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sheetId="28" r:id="rId19"/>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1" r:id="rId20"/>
    <pivotCache cacheId="2" r:id="rId21"/>
    <pivotCache cacheId="3" r:id="rId22"/>
    <pivotCache cacheId="4" r:id="rId23"/>
    <pivotCache cacheId="5" r:id="rId24"/>
    <pivotCache cacheId="6" r:id="rId25"/>
    <pivotCache cacheId="7" r:id="rId26"/>
    <pivotCache cacheId="8" r:id="rId27"/>
    <pivotCache cacheId="9" r:id="rId28"/>
    <pivotCache cacheId="10" r:id="rId29"/>
    <pivotCache cacheId="11" r:id="rId30"/>
    <pivotCache cacheId="12" r:id="rId31"/>
    <pivotCache cacheId="13" r:id="rId32"/>
    <pivotCache cacheId="14" r:id="rId33"/>
    <pivotCache cacheId="15" r:id="rId34"/>
    <pivotCache cacheId="16" r:id="rId35"/>
    <pivotCache cacheId="24" r:id="rId3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0" i="5" l="1"/>
  <c r="C69" i="5"/>
  <c r="C68" i="5"/>
  <c r="C67" i="5"/>
  <c r="C66" i="5"/>
  <c r="C65" i="5"/>
  <c r="C61" i="13" l="1"/>
  <c r="C62" i="13"/>
  <c r="C8" i="13"/>
  <c r="C56" i="13"/>
  <c r="C57" i="13"/>
  <c r="C61" i="5" l="1"/>
  <c r="C56" i="5"/>
  <c r="C60" i="5"/>
  <c r="C7" i="5"/>
  <c r="C55" i="5"/>
  <c r="C8" i="5"/>
  <c r="E9" i="5" l="1"/>
  <c r="E25" i="5"/>
  <c r="E35" i="5"/>
  <c r="E48" i="5"/>
  <c r="C59" i="5" l="1"/>
  <c r="C58" i="5"/>
  <c r="C57" i="5"/>
  <c r="C48" i="5" l="1"/>
  <c r="C35" i="5"/>
  <c r="C25" i="5"/>
  <c r="E49" i="13"/>
  <c r="E42" i="13"/>
  <c r="E35" i="13"/>
  <c r="E25" i="13"/>
  <c r="C49" i="13"/>
  <c r="C42" i="13"/>
  <c r="C35" i="13"/>
  <c r="C25" i="13"/>
  <c r="C9" i="5"/>
  <c r="E9" i="13"/>
  <c r="C9" i="13"/>
  <c r="C7" i="13"/>
  <c r="C60" i="13" l="1"/>
  <c r="C59" i="13"/>
  <c r="C58" i="13"/>
  <c r="C86" i="13" l="1"/>
  <c r="C84" i="13"/>
  <c r="C85" i="13"/>
  <c r="C89" i="5"/>
  <c r="C90" i="5"/>
  <c r="C91" i="5"/>
  <c r="C18" i="13" l="1"/>
  <c r="C17" i="13"/>
  <c r="C16" i="13"/>
  <c r="C17" i="5"/>
  <c r="C18" i="5"/>
  <c r="C16" i="5"/>
  <c r="C88" i="5" l="1"/>
  <c r="C87" i="5"/>
  <c r="C86" i="5"/>
  <c r="C85" i="5"/>
  <c r="C84" i="5"/>
  <c r="C83" i="5"/>
  <c r="C82" i="5"/>
  <c r="C81" i="5"/>
  <c r="C80" i="5"/>
  <c r="C79" i="5"/>
  <c r="C78" i="5"/>
  <c r="C77" i="5"/>
  <c r="C76" i="5"/>
  <c r="C75" i="5"/>
  <c r="C74" i="5"/>
  <c r="C73" i="5"/>
  <c r="C72" i="5"/>
  <c r="C71" i="5"/>
  <c r="C64" i="5"/>
  <c r="C63" i="5"/>
  <c r="C62" i="5"/>
  <c r="C54" i="5"/>
  <c r="C53" i="5"/>
  <c r="C52" i="5"/>
  <c r="C51" i="5"/>
  <c r="C50" i="5"/>
  <c r="C49" i="5"/>
  <c r="C47" i="5"/>
  <c r="C46" i="5"/>
  <c r="C45" i="5"/>
  <c r="C44" i="5"/>
  <c r="C43" i="5"/>
  <c r="C42"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3" i="13"/>
  <c r="C82" i="13"/>
  <c r="C81" i="13"/>
  <c r="C80" i="13"/>
  <c r="C79" i="13"/>
  <c r="C78" i="13"/>
  <c r="C77" i="13"/>
  <c r="C76" i="13"/>
  <c r="C75" i="13"/>
  <c r="C74" i="13"/>
  <c r="C73" i="13"/>
  <c r="C72" i="13"/>
  <c r="C71" i="13"/>
  <c r="C70" i="13"/>
  <c r="C69" i="13"/>
  <c r="C68" i="13"/>
  <c r="C67" i="13"/>
  <c r="C66" i="13"/>
  <c r="C65" i="13"/>
  <c r="C64" i="13"/>
  <c r="C63"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Term&quot;"/>
  </connection>
  <connection id="6" odcFile="C:\Doc\Balmorel\flex4res_balmodel\Flex4Res_data\output\BASE-results.db" name="main Electricity generation - Annual1"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Annual&quot;"/>
  </connection>
  <connection id="7" odcFile="C:\Doc\Balmorel\flex4res_balmodel\Flex4Res_data\output\BASE-results.db" name="main Electricity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Term&quot;"/>
  </connection>
  <connection id="8" odcFile="\\intra.ttu.ee\home\Hardi.Koduvere\Documents\My Data Sources\main Electricity generation capacity Total.odc" name="main Electricity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lectricity generation capacity Total&quot;"/>
  </connection>
  <connection id="9" odcFile="C:\Doc\Balmorel\flex4res_balmodel\Flex4Res_data\output\BASE-results.db" name="main Electricity_pric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_price&quot;"/>
  </connection>
  <connection id="10" odcFile="C:\Doc\Balmorel\flex4res_balmodel\Flex4Res_data\output\BASE-results.db" name="main Emissions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missions - Annual&quot;"/>
  </connection>
  <connection id="11" odcFile="C:\Doc\Balmorel\flex4res_balmodel\Flex4Res_data\output\BASE-results.db" name="main Fuel Consump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Annual&quot;"/>
  </connection>
  <connection id="12" odcFile="C:\Doc\Balmorel\flex4res_balmodel\Flex4Res_data\output\BASE-results.db" name="main Fuel Consump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Term&quot;"/>
  </connection>
  <connection id="13" odcFile="C:\Doc\Balmorel\flex4res_balmodel\Flex4Res_data\output\BASE-results.db" name="main Heat Genera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Annual&quot;"/>
  </connection>
  <connection id="14" odcFile="C:\Doc\Balmorel\flex4res_balmodel\Flex4Res_data\output\BASE-results.db" name="main Heat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Term&quot;"/>
  </connection>
  <connection id="15" odcFile="C:\Doc\Balmorel\flex4res_balmodel\Flex4Res_data\output\BASE-results.db" name="main Heat price - Margin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price - Marginal&quot;"/>
  </connection>
  <connection id="16" odcFile="C:\Doc\Balmorel\flex4res_balmodel\Flex4Res_data\output\BASE-results.db" name="main Heat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Storage volume&quot;"/>
  </connection>
  <connection id="17" odcFile="C:\Doc\Balmorel\flex4res_balmodel\Flex4Res_data\output\BASE-results.db" name="main Weekly Hydro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<sst xmlns="http://schemas.openxmlformats.org/spreadsheetml/2006/main" count="1605" uniqueCount="376">
  <si>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</si>
  <si>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</si>
  <si>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</si>
  <si>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</si>
  <si>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</si>
  <si>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</si>
  <si>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</si>
  <si>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</si>
  <si>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</si>
  <si>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</si>
  <si>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</si>
  <si>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</si>
  <si>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</si>
  <si>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</si>
  <si>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</si>
  <si>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</si>
  <si>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</si>
  <si>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</si>
  <si>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</si>
  <si>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</si>
  <si>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</si>
  <si>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</si>
  <si>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</si>
  <si>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</si>
  <si>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</si>
  <si>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</si>
  <si>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</si>
  <si>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</si>
  <si>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</si>
  <si>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</si>
  <si>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</si>
  <si>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</si>
  <si>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</si>
  <si>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</si>
  <si>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</si>
  <si>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</si>
  <si>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</si>
  <si>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</si>
  <si>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</si>
  <si>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</si>
  <si>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</si>
  <si>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</si>
  <si>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</si>
  <si>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</si>
  <si>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</si>
  <si>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</si>
  <si>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</si>
  <si>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</si>
  <si>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</si>
  <si>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</si>
  <si>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</si>
  <si>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</si>
  <si>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</si>
  <si>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</si>
  <si>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</si>
  <si>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</si>
  <si>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</si>
  <si>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</si>
  <si>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</si>
  <si>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</si>
  <si>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</si>
  <si>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</si>
  <si>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</si>
  <si>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</si>
  <si>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</si>
  <si>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</si>
  <si>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</si>
  <si>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</si>
  <si>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</si>
  <si>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</si>
  <si>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</si>
  <si>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</si>
  <si>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</si>
  <si>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</si>
  <si>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</si>
  <si>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</si>
  <si>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</si>
  <si>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</si>
  <si>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</si>
  <si>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</si>
  <si>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</si>
  <si>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</si>
  <si>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</si>
  <si>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</si>
  <si>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</si>
  <si>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</si>
  <si>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</si>
  <si>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</si>
  <si>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</si>
  <si>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</si>
  <si>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</si>
  <si>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</si>
  <si>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</si>
  <si>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</si>
  <si>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</si>
  <si>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</si>
  <si>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</si>
  <si>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</si>
  <si>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</si>
  <si>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</si>
  <si>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</si>
  <si>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</si>
  <si>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</si>
  <si>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</si>
  <si>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</si>
  <si>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</si>
  <si>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</si>
  <si>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</si>
  <si>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</si>
  <si>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</si>
  <si>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</si>
  <si>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</si>
  <si>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</si>
  <si>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</si>
  <si>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</si>
  <si>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</si>
  <si>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</si>
  <si>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</si>
  <si>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</si>
  <si>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</si>
  <si>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</si>
  <si>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</si>
  <si>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</si>
  <si>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</si>
  <si>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</si>
  <si>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</si>
  <si>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</si>
  <si>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</si>
  <si>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</si>
  <si>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</si>
  <si>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</si>
  <si>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</si>
  <si>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</si>
  <si>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</si>
  <si>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</si>
  <si>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</si>
  <si>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</si>
  <si>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</si>
  <si>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</si>
  <si>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</si>
  <si>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</si>
  <si>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</si>
  <si>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</si>
  <si>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</si>
  <si>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</si>
  <si>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</si>
  <si>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</si>
  <si>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</si>
  <si>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</si>
  <si>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</si>
  <si>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Destination</t>
  </si>
  <si>
    <t>CREATE TABLE `Heat price - Marginal`(`Case` TEXT, Year1 TEXT, Year2 TEXT,  Country TEXT,Region TEXT, Area TEXT, Season TEXT, Term TEXT, `OMONEY/GJ` REAL,`OMONEY/MWh` REAL);</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</si>
  <si>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</si>
  <si>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</si>
  <si>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</si>
  <si>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</si>
  <si>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</si>
  <si>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</si>
  <si>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</si>
  <si>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</si>
  <si>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</si>
  <si>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</si>
  <si>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</si>
  <si>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</si>
  <si>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</si>
  <si>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</si>
  <si>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</si>
  <si>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Year1</t>
  </si>
  <si>
    <t>Investments</t>
  </si>
  <si>
    <t>Case</t>
  </si>
  <si>
    <t>T007</t>
  </si>
  <si>
    <t>T008</t>
  </si>
  <si>
    <t>T009</t>
  </si>
  <si>
    <t>T010</t>
  </si>
  <si>
    <t>T011</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</si>
  <si>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</si>
  <si>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</si>
  <si>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</si>
  <si>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</si>
  <si>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</si>
  <si>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</si>
  <si>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</si>
  <si>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</si>
  <si>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</si>
  <si>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</si>
  <si>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</si>
  <si>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</si>
  <si>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</si>
  <si>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</si>
  <si>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</si>
  <si>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</si>
  <si>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</si>
  <si>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</si>
  <si>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</si>
  <si>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</si>
  <si>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</si>
  <si>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</si>
  <si>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</si>
  <si>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</si>
  <si>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</si>
  <si>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</si>
  <si>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</si>
  <si>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</si>
  <si>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WOODCHIPS</t>
  </si>
  <si>
    <t>WOODWASTE</t>
  </si>
  <si>
    <t>MUNIWASTE</t>
  </si>
  <si>
    <t>RECYCLEDWOOD</t>
  </si>
  <si>
    <t>UNITED_KINGDOM</t>
  </si>
  <si>
    <t>T012</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</si>
  <si>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</si>
  <si>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</si>
  <si>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</si>
  <si>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</si>
  <si>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</si>
  <si>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</si>
  <si>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</si>
  <si>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</si>
  <si>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</si>
  <si>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</si>
  <si>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</si>
  <si>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</si>
  <si>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</si>
  <si>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</si>
  <si>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</si>
  <si>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</si>
  <si>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DE4-E</t>
  </si>
  <si>
    <t>DE4-N</t>
  </si>
  <si>
    <t>SE4</t>
  </si>
  <si>
    <t>T013</t>
  </si>
  <si>
    <t>T014</t>
  </si>
  <si>
    <t>T015</t>
  </si>
  <si>
    <t>T016</t>
  </si>
  <si>
    <t>T017</t>
  </si>
  <si>
    <t>T018</t>
  </si>
  <si>
    <t>T019</t>
  </si>
  <si>
    <t>T020</t>
  </si>
  <si>
    <t>T021</t>
  </si>
  <si>
    <t>T022</t>
  </si>
  <si>
    <t>T023</t>
  </si>
  <si>
    <t>T024</t>
  </si>
  <si>
    <t>WASTEHEAT</t>
  </si>
  <si>
    <t>LPG</t>
  </si>
  <si>
    <t>RETORTGAS</t>
  </si>
  <si>
    <t>HEAT</t>
  </si>
  <si>
    <t>C:\Doc\Balmorel\flex4res_balmodel\Flex4Res_data\output\BASE-results.db</t>
  </si>
  <si>
    <t>BaseYear</t>
  </si>
  <si>
    <t>ModelYear</t>
  </si>
  <si>
    <t>Country1</t>
  </si>
  <si>
    <t>Country2</t>
  </si>
  <si>
    <t>INSERT INTO `Electricity_price`(`Case1`,`Year1`,`Year2`,`Country`,`Region`,`Season`,`Term`,`OMONEY/MWh`) SELECT QEEQ.QEEQ AS [Case1], QEEQ.QEEQ2 AS [Year1],QEEQ.QEEQ3 AS [Year2],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</si>
  <si>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</si>
  <si>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S02</t>
  </si>
  <si>
    <t>NATGAS_EXETS</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</si>
  <si>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</si>
  <si>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</si>
  <si>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</si>
  <si>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</si>
  <si>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</si>
  <si>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</si>
  <si>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</si>
  <si>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</si>
  <si>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</si>
  <si>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EL storage S</t>
  </si>
  <si>
    <t>Electricity to heat</t>
  </si>
  <si>
    <t>Hydro reservoir</t>
  </si>
  <si>
    <t>'DENMARK' , 'NORWAY' , 'GERMANY' , 'SWEDEN' , 'FINLAND' , 'NETHERLANDS' , 'UNITED_KINGDOM' , 'ESTONIA' , 'LATVIA' , 'LITHUANIA' , 'POLAND'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</si>
  <si>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</si>
  <si>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</si>
  <si>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</si>
  <si>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</si>
  <si>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</si>
  <si>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</si>
  <si>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</si>
  <si>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</si>
  <si>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</si>
  <si>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</si>
  <si>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</si>
  <si>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</si>
  <si>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</si>
  <si>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 xml:space="preserve">INSERT INTO `Endo_gen_cap_MW`(`Case`,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</si>
  <si>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Exogenous Electricity Generation Capacity</t>
  </si>
  <si>
    <t>DROP TABLE if exists `Exogenous Electricity Generation Capacity`;</t>
  </si>
  <si>
    <t>CREATE TABLE `Exogenous Electricity Generation Capacity`(`Case` TEXT,`Year` TEXT,`Country` TEXT, `Region` TEXT, `Area` TEXT, `Fuel` TEXT, `Technology` TEXT, `MW` REAL, `GW` REAL);</t>
  </si>
  <si>
    <t>INSERT INTO `Exogenous Electricity Generation Capacity`(`Case`,Year,Country,Region,Area,Fuel,Technology,MW,GW) SELECT [Exo_gen_cap_MW].`Case`, [Exo_gen_cap_MW].Year, [Exo_gen_cap_MW].Country AS Country, [Exo_gen_cap_MW].Region, [Exo_gen_cap_MW].Area, [Exo_gen_cap_MW].Fuel, [Exo_gen_cap_MW].Technology, [Exo_gen_cap_MW].MW,[Exo_gen_cap_MW].MW/1000 FROM ([Exo_gen_cap_MW] INNER JOIN IGE ON ([Exo_gen_cap_MW].`Case` = IGE.IGE) AND ([Exo_gen_cap_MW].Technology = IGE.IGE3)) INNER JOIN GDATA ON (IGE.IGE3 = GDATA.GDATA3) AND (IGE.IGE = GDATA.GDATA) WHERE (((GDATA.value)&lt;&gt;5) AND ((GDATA.GDATA4)="GDTYPE"));</t>
  </si>
  <si>
    <t>CREATE TABLE `Exogenous Electricity Generation Capacity`(`Case` TEXT,`Year` TEXT,`Country` TEXT, `Region` TEXT, `Area` TEXT, `Fuel` TEXT,`Technology Type` TEXT, `Technology` TEXT, `MW` REAL, `GW` REAL);</t>
  </si>
  <si>
    <t>INSERT INTO `Exogenous Electricity Generation Capacity`(`Case`,Year,Country,Region,Area,Fuel,`Technology Type`,Technology,MW,GW) SELECT [Exo_gen_cap_MW].`Case`, [Exo_gen_cap_MW].Year, [Exo_gen_cap_MW].Country, [Exo_gen_cap_MW].Region, [Exo_gen_cap_MW].Area, [Exo_gen_cap_MW].Fuel,[Exo_gen_cap_MW].[Technology Type],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t>
  </si>
  <si>
    <t>DROP TABLE if exists `Endogenous Electricity Generation Capacity`;</t>
  </si>
  <si>
    <t>CREATE TABLE `Endogenous Electricity Generation Capacity`(`Case` TEXT,`BaseYear` TEXT,`ModelYear` TEXT,`Country` TEXT, `Region` TEXT, `Area` TEXT, `Fuel` TEXT,`Technology Type` TEXT, `Technology` TEXT, `MW` REAL, `GW` REAL);</t>
  </si>
  <si>
    <t>INSERT INTO `Endogenous Electricity Generation Capacity`(`Case`,BaseYear,ModelYear,Country,Region,Area,Fuel,`Technology Type`,Technology,MW,GW) SELECT [Endo_gen_cap_MW].`Case`, [Endo_gen_cap_MW].BaseYear, [Endo_gen_cap_MW].ModelYear,[Endo_gen_cap_MW].Country, [Endo_gen_cap_MW].Region, [Endo_gen_cap_MW].Area, [Endo_gen_cap_MW].Fuel,[Endo_gen_cap_MW].[Technology Type],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</si>
  <si>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Endogenous Electricity Generation Capacity</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</si>
  <si>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</si>
  <si>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</si>
  <si>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</si>
  <si>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Exogenous</t>
  </si>
  <si>
    <t>FUELOIL</t>
  </si>
  <si>
    <t>Capacity Type</t>
  </si>
  <si>
    <t>INSERT INTO `Electricity generation capacity Total`(`Case`,BaseYear,ModelYear,Country,Region,Area,Fuel,`Technology Type`,`Capacity Type`,Technology,MW,GW)SELECT       `Case`,Year,Year,Country,Region,Area,Fuel,`Technology Type`,'Exogenous',Technology,MW,GW  FROM `Exogenous Electricity Generation Capacity` UNION SELECT `Case`,BaseYear,ModelYear,Country,Region,Area,Fuel,`Technology Type`,'Endogenous',Technology,MW,GW FROM `Endogenous Electricity Generation Capacity` ;</t>
  </si>
  <si>
    <t>BIOOIL</t>
  </si>
  <si>
    <t>WOODPELLETS</t>
  </si>
  <si>
    <t>Sum of GJ</t>
  </si>
  <si>
    <t>GNR_ST_NGAS_BP_E-39</t>
  </si>
  <si>
    <t>GNR_ENG_NGAS_BP_E-40</t>
  </si>
  <si>
    <t>GNR_ENG_NGAS_BP_E-41</t>
  </si>
  <si>
    <t>GNR_ENG_NGAS_BP_E-42</t>
  </si>
  <si>
    <t>GNR_ENG_NGAS_BP_E-43</t>
  </si>
  <si>
    <t>GNR_ENG_NGAS_BP_E-44</t>
  </si>
  <si>
    <t>GNR_ENG_NGAS_BP_E-46</t>
  </si>
  <si>
    <t>GNR_GT_NGAS_BP_E-44</t>
  </si>
  <si>
    <t>GNR_ST_NGAS_EXT_E-47</t>
  </si>
  <si>
    <t>GNR_ENG_NGAS_BP_E-47</t>
  </si>
  <si>
    <t>GNR_GT_NGAS_BP_E-47</t>
  </si>
  <si>
    <t>GNR_GT_NGAS_BP_E-42</t>
  </si>
  <si>
    <t>Sum of CO2 kilotons</t>
  </si>
  <si>
    <t>GNR_ST_COAL_EXT_E-47</t>
  </si>
  <si>
    <t>GNR_ST_COAL_EXT_E-42</t>
  </si>
  <si>
    <t>GNR_ST_COAL_EXT_E-41</t>
  </si>
  <si>
    <t>GNR_ST_COAL_BP_E-35</t>
  </si>
  <si>
    <t>INSERT INTO `Emissions - Term`(`Case`,Year1,Year2,Country,Region,Area,`Fuel`,Technology,Season, `Term`, `CO2 t/h`, `CO2 tons`,`SO2 t/h`,`SO2 tons`,`N2O t/h` ,`N2O tons`   ) SELECT [Fuel Consumption - Term].[Case] AS `Case`, [Fuel Consumption - Term].Year1 AS Year1, [Fuel Consumption - Term].Year2 AS Year2,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 AS `N2O t/h`,[Fuel Consumption - Term].[GJ]*IM_N2O.value/1000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Term].Year1, [Fuel Consumption - Term].Year2, [Fuel Consumption - Term].Country, [Fuel Consumption - Term].Region, [Fuel Consumption - Term].Area, [Fuel Consumption - Term].Fuel, [Fuel Consumption - Term].Technology, [Fuel Consumption - Term].Season , [Fuel Consumption - Term].Term;</t>
  </si>
  <si>
    <t>GNR_BO_MSW_E-105</t>
  </si>
  <si>
    <t>GNR_ST_MSW_BP_E-18</t>
  </si>
  <si>
    <t>GNR_ST_MSW_BP_E-19</t>
  </si>
  <si>
    <t>GNR_ST_MSW_BP_E-22</t>
  </si>
  <si>
    <t>GNR_ST_MSW_BP_E-23</t>
  </si>
  <si>
    <t>GNR_ST_MSW_BP_E-27</t>
  </si>
  <si>
    <t>GNR_ENG_NGAS_BP_E-34</t>
  </si>
  <si>
    <t>GNR_ENG_NGAS_BP_E-38</t>
  </si>
  <si>
    <t>GNR_ENG_NGAS_BP_E-39</t>
  </si>
  <si>
    <t>GNR_GT_NGAS_BP_E-27</t>
  </si>
  <si>
    <t>GNR_ST_STRW_BP_E-26</t>
  </si>
  <si>
    <t>GNR_EH_HEAT</t>
  </si>
  <si>
    <t>GNR_ST_WOODCHI_BP_E-23</t>
  </si>
  <si>
    <t>GNR_BO_MSW_E-100</t>
  </si>
  <si>
    <t>GNR_ST_MSW_BP_E-17</t>
  </si>
  <si>
    <t>GNR_ST_MSW_BP_E-20</t>
  </si>
  <si>
    <t>GNR_ST_MSW_BP_E-21</t>
  </si>
  <si>
    <t>GNR_ST_MSW_BP_E-26</t>
  </si>
  <si>
    <t>GNR_ENG_NGAS_BP_E-35</t>
  </si>
  <si>
    <t>GNR_ENG_NGAS_BP_E-37</t>
  </si>
  <si>
    <t>GNR_GT_NGAS_BP_E-31</t>
  </si>
  <si>
    <t>GNR_BO_STRW_E-102</t>
  </si>
  <si>
    <t>GNR_ST_STRW_BP_E-21</t>
  </si>
  <si>
    <t>GNR_GEO_HEAT_HO</t>
  </si>
  <si>
    <t>GNR_BO_WOODCHI_E-110</t>
  </si>
  <si>
    <t>GNR_ENG_NGAS_BP_E-36</t>
  </si>
  <si>
    <t>GNR_GT_NGAS_BP_E-43</t>
  </si>
  <si>
    <t>GNR_ST_WOODCHI_BP_E-27</t>
  </si>
  <si>
    <t>GNR_ST_WOODCHI_BP_E-30</t>
  </si>
  <si>
    <t>GNR_ENG_NGAS_BP_E-33</t>
  </si>
  <si>
    <t>GNR_ENG_NGAS_CND_E-41</t>
  </si>
  <si>
    <t>GNR_ENG_NGAS_CND_E-46</t>
  </si>
  <si>
    <t>GNR_GT_NGAS_BP_E-28</t>
  </si>
  <si>
    <t>GNR_GT_NGAS_BP_E-33</t>
  </si>
  <si>
    <t>GNR_GT_NGAS_BP_E-36</t>
  </si>
  <si>
    <t>GNR_PV_SUN</t>
  </si>
  <si>
    <t>GNR_ROR_WTR</t>
  </si>
  <si>
    <t>GNR_WT_WIND_ONS</t>
  </si>
  <si>
    <t>GNR_WT_WIND_OFF</t>
  </si>
  <si>
    <t>GNR_ENG_NGAS_BP_E-45</t>
  </si>
  <si>
    <t>GNR_GT_NGAS_BP_E-30</t>
  </si>
  <si>
    <t>GNR_GT_NGAS_BP_E-41</t>
  </si>
  <si>
    <t>GNR_ST_WOODPEL_BP_E-30</t>
  </si>
  <si>
    <t>GNR_BO_WOODWST_E-100</t>
  </si>
  <si>
    <t>GNR_BO_WOODWST_E-89</t>
  </si>
  <si>
    <t>GNR_ENG_BGAS_BP_E-42</t>
  </si>
  <si>
    <t>GNR_ST_MSW_BP_E-16</t>
  </si>
  <si>
    <t>GNR_ST_WOODCHI_BP_E-24</t>
  </si>
  <si>
    <t>GNR_ST_WOODPEL_EXT_E-50</t>
  </si>
  <si>
    <t>GNR_BO_WOODWST_E-90</t>
  </si>
  <si>
    <t>GNR_ST_MSW_BP_E-25</t>
  </si>
  <si>
    <t>GNR_ST_MSW_BP_E-28</t>
  </si>
  <si>
    <t>GNR_ENG_BGAS_BP_E-39</t>
  </si>
  <si>
    <t>GNR_ENG_BGAS_BP_E-40</t>
  </si>
  <si>
    <t>GNR_ENG_BGAS_BP_E-41</t>
  </si>
  <si>
    <t>GNR_ST_STRW_BP_E-24</t>
  </si>
  <si>
    <t>GNR_ST_STRW_BP_E-27</t>
  </si>
  <si>
    <t>GNR_ST_STRW_BP_E-28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</si>
</sst>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9">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7.xml"/><Relationship Id="rId39" Type="http://schemas.openxmlformats.org/officeDocument/2006/relationships/styles" Target="styles.xml"/><Relationship Id="rId21" Type="http://schemas.openxmlformats.org/officeDocument/2006/relationships/pivotCacheDefinition" Target="pivotCache/pivotCacheDefinition2.xml"/><Relationship Id="rId34" Type="http://schemas.openxmlformats.org/officeDocument/2006/relationships/pivotCacheDefinition" Target="pivotCache/pivotCacheDefinition1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pivotCacheDefinition" Target="pivotCache/pivotCacheDefinition1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ivotCacheDefinition" Target="pivotCache/pivotCacheDefinition13.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openxmlformats.org/officeDocument/2006/relationships/pivotCacheDefinition" Target="pivotCache/pivotCacheDefinition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openxmlformats.org/officeDocument/2006/relationships/pivotCacheDefinition" Target="pivotCache/pivotCacheDefinition11.xml"/><Relationship Id="rId35" Type="http://schemas.openxmlformats.org/officeDocument/2006/relationships/pivotCacheDefinition" Target="pivotCache/pivotCacheDefinition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pivotCacheDefinition" Target="pivotCache/pivotCacheDefinition14.xml"/><Relationship Id="rId3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dLbls>
          <c:showLegendKey val="0"/>
          <c:showVal val="0"/>
          <c:showCatName val="0"/>
          <c:showSerName val="0"/>
          <c:showPercent val="0"/>
          <c:showBubbleSize val="0"/>
        </c:dLbls>
        <c:marker val="1"/>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0.75020790923040903</c:v>
                </c:pt>
                <c:pt idx="1">
                  <c:v>2.82234105763518</c:v>
                </c:pt>
                <c:pt idx="2">
                  <c:v>2.8718558130322802</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0.61343999999999999</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0.20147999999999999</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1.2071279999999998</c:v>
                </c:pt>
                <c:pt idx="1">
                  <c:v>0.47304000000000002</c:v>
                </c:pt>
                <c:pt idx="2">
                  <c:v>0.42310799999999998</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HEAT</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2">
                  <c:v>0.32412000000000002</c:v>
                </c:pt>
              </c:numCache>
            </c:numRef>
          </c:val>
          <c:extLst>
            <c:ext xmlns:c16="http://schemas.microsoft.com/office/drawing/2014/chart" uri="{C3380CC4-5D6E-409C-BE32-E72D297353CC}">
              <c16:uniqueId val="{00000122-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Backpressure</c:v>
                </c:pt>
              </c:strCache>
            </c:strRef>
          </c:tx>
          <c:spPr>
            <a:solidFill>
              <a:schemeClr val="accent1"/>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Time'!$F$7:$F$31</c:f>
              <c:numCache>
                <c:formatCode>General</c:formatCode>
                <c:ptCount val="24"/>
                <c:pt idx="0">
                  <c:v>9699.2936076229962</c:v>
                </c:pt>
                <c:pt idx="1">
                  <c:v>9681.6154347236534</c:v>
                </c:pt>
                <c:pt idx="2">
                  <c:v>9663.3499661604365</c:v>
                </c:pt>
                <c:pt idx="3">
                  <c:v>9669.732439341371</c:v>
                </c:pt>
                <c:pt idx="4">
                  <c:v>10279.030723915586</c:v>
                </c:pt>
                <c:pt idx="5">
                  <c:v>9710.6052612721833</c:v>
                </c:pt>
                <c:pt idx="6">
                  <c:v>9708.7550842077726</c:v>
                </c:pt>
                <c:pt idx="7">
                  <c:v>9765.1982786442368</c:v>
                </c:pt>
                <c:pt idx="8">
                  <c:v>9764.2176462407551</c:v>
                </c:pt>
                <c:pt idx="9">
                  <c:v>9707.7521004263072</c:v>
                </c:pt>
                <c:pt idx="10">
                  <c:v>9412.8596312897644</c:v>
                </c:pt>
                <c:pt idx="11">
                  <c:v>9678.1230774689902</c:v>
                </c:pt>
                <c:pt idx="12">
                  <c:v>9690.6637124212739</c:v>
                </c:pt>
                <c:pt idx="13">
                  <c:v>12888.634539683952</c:v>
                </c:pt>
                <c:pt idx="14">
                  <c:v>9729.1162646547582</c:v>
                </c:pt>
                <c:pt idx="15">
                  <c:v>9680.143436491413</c:v>
                </c:pt>
                <c:pt idx="16">
                  <c:v>9427.2682968392783</c:v>
                </c:pt>
                <c:pt idx="17">
                  <c:v>9395.6820023141681</c:v>
                </c:pt>
                <c:pt idx="18">
                  <c:v>9685.2479780870271</c:v>
                </c:pt>
                <c:pt idx="19">
                  <c:v>10245.621367031876</c:v>
                </c:pt>
                <c:pt idx="20">
                  <c:v>9448.3022764608104</c:v>
                </c:pt>
                <c:pt idx="21">
                  <c:v>9447.210438349779</c:v>
                </c:pt>
                <c:pt idx="22">
                  <c:v>9446.3915597665055</c:v>
                </c:pt>
                <c:pt idx="23">
                  <c:v>9446.1186002387476</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Condensing</c:v>
                </c:pt>
              </c:strCache>
            </c:strRef>
          </c:tx>
          <c:spPr>
            <a:solidFill>
              <a:schemeClr val="accent2"/>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Time'!$G$7:$G$31</c:f>
              <c:numCache>
                <c:formatCode>General</c:formatCode>
                <c:ptCount val="24"/>
                <c:pt idx="0">
                  <c:v>45035.353773973635</c:v>
                </c:pt>
                <c:pt idx="1">
                  <c:v>45018.88199521738</c:v>
                </c:pt>
                <c:pt idx="2">
                  <c:v>45018.88199521738</c:v>
                </c:pt>
                <c:pt idx="3">
                  <c:v>45018.88199521738</c:v>
                </c:pt>
                <c:pt idx="4">
                  <c:v>45135.508334357801</c:v>
                </c:pt>
                <c:pt idx="5">
                  <c:v>45473.88199521738</c:v>
                </c:pt>
                <c:pt idx="6">
                  <c:v>45773.88199521738</c:v>
                </c:pt>
                <c:pt idx="7">
                  <c:v>45773.88199521738</c:v>
                </c:pt>
                <c:pt idx="8">
                  <c:v>45773.88199521738</c:v>
                </c:pt>
                <c:pt idx="9">
                  <c:v>45773.88199521738</c:v>
                </c:pt>
                <c:pt idx="10">
                  <c:v>45773.88199521738</c:v>
                </c:pt>
                <c:pt idx="11">
                  <c:v>45773.88199521738</c:v>
                </c:pt>
                <c:pt idx="12">
                  <c:v>45773.88199521738</c:v>
                </c:pt>
                <c:pt idx="13">
                  <c:v>45773.88199521738</c:v>
                </c:pt>
                <c:pt idx="14">
                  <c:v>45773.88199521738</c:v>
                </c:pt>
                <c:pt idx="15">
                  <c:v>50928.842831080707</c:v>
                </c:pt>
                <c:pt idx="16">
                  <c:v>45773.88199521738</c:v>
                </c:pt>
                <c:pt idx="17">
                  <c:v>45773.88199521738</c:v>
                </c:pt>
                <c:pt idx="18">
                  <c:v>45737.323106383112</c:v>
                </c:pt>
                <c:pt idx="19">
                  <c:v>53070.666384910721</c:v>
                </c:pt>
                <c:pt idx="20">
                  <c:v>45473.88199521738</c:v>
                </c:pt>
                <c:pt idx="21">
                  <c:v>45473.88199521738</c:v>
                </c:pt>
                <c:pt idx="22">
                  <c:v>45018.88199521738</c:v>
                </c:pt>
                <c:pt idx="23">
                  <c:v>45018.88199521738</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EL storage S</c:v>
                </c:pt>
              </c:strCache>
            </c:strRef>
          </c:tx>
          <c:spPr>
            <a:solidFill>
              <a:schemeClr val="accent3"/>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Time'!$H$7:$H$31</c:f>
              <c:numCache>
                <c:formatCode>General</c:formatCode>
                <c:ptCount val="24"/>
                <c:pt idx="0">
                  <c:v>1922.044534146843</c:v>
                </c:pt>
                <c:pt idx="1">
                  <c:v>683.05633531305398</c:v>
                </c:pt>
                <c:pt idx="2">
                  <c:v>1887.995901095805</c:v>
                </c:pt>
                <c:pt idx="3">
                  <c:v>119.1</c:v>
                </c:pt>
                <c:pt idx="4">
                  <c:v>1254.8974421061637</c:v>
                </c:pt>
                <c:pt idx="5">
                  <c:v>1176.7439277568501</c:v>
                </c:pt>
                <c:pt idx="6">
                  <c:v>1146</c:v>
                </c:pt>
                <c:pt idx="7">
                  <c:v>2415</c:v>
                </c:pt>
                <c:pt idx="8">
                  <c:v>1567.3273972602728</c:v>
                </c:pt>
                <c:pt idx="9">
                  <c:v>4578</c:v>
                </c:pt>
                <c:pt idx="10">
                  <c:v>16.641369863013701</c:v>
                </c:pt>
                <c:pt idx="11">
                  <c:v>1661.8317488185398</c:v>
                </c:pt>
                <c:pt idx="12">
                  <c:v>1146</c:v>
                </c:pt>
                <c:pt idx="13">
                  <c:v>1651.220405143652</c:v>
                </c:pt>
                <c:pt idx="15">
                  <c:v>364.77133298230501</c:v>
                </c:pt>
                <c:pt idx="16">
                  <c:v>1250.83724470328</c:v>
                </c:pt>
                <c:pt idx="17">
                  <c:v>2317.5807541567801</c:v>
                </c:pt>
                <c:pt idx="18">
                  <c:v>2263.9903941850334</c:v>
                </c:pt>
                <c:pt idx="20">
                  <c:v>119.1</c:v>
                </c:pt>
                <c:pt idx="21">
                  <c:v>2163</c:v>
                </c:pt>
                <c:pt idx="22">
                  <c:v>1448.2273972602741</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Electricity to heat</c:v>
                </c:pt>
              </c:strCache>
            </c:strRef>
          </c:tx>
          <c:spPr>
            <a:solidFill>
              <a:schemeClr val="accent4"/>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Time'!$I$7:$I$31</c:f>
              <c:numCache>
                <c:formatCode>General</c:formatCode>
                <c:ptCount val="24"/>
                <c:pt idx="0">
                  <c:v>-126.09637188208617</c:v>
                </c:pt>
                <c:pt idx="1">
                  <c:v>-126.09637188208617</c:v>
                </c:pt>
                <c:pt idx="2">
                  <c:v>-126.09637188208617</c:v>
                </c:pt>
                <c:pt idx="3">
                  <c:v>-126.09637188208617</c:v>
                </c:pt>
                <c:pt idx="4">
                  <c:v>-126.09637188208617</c:v>
                </c:pt>
                <c:pt idx="5">
                  <c:v>-126.09637188208617</c:v>
                </c:pt>
                <c:pt idx="6">
                  <c:v>-181.63970729019746</c:v>
                </c:pt>
                <c:pt idx="7">
                  <c:v>-126.09637188208617</c:v>
                </c:pt>
                <c:pt idx="8">
                  <c:v>-223.64739229024946</c:v>
                </c:pt>
                <c:pt idx="9">
                  <c:v>-223.64739229024946</c:v>
                </c:pt>
                <c:pt idx="10">
                  <c:v>-215.24892036887337</c:v>
                </c:pt>
                <c:pt idx="11">
                  <c:v>-208.59177669092497</c:v>
                </c:pt>
                <c:pt idx="12">
                  <c:v>-205.44963919765468</c:v>
                </c:pt>
                <c:pt idx="13">
                  <c:v>-204.53348919370296</c:v>
                </c:pt>
                <c:pt idx="14">
                  <c:v>-206.30349069756085</c:v>
                </c:pt>
                <c:pt idx="15">
                  <c:v>-134.48853844080347</c:v>
                </c:pt>
                <c:pt idx="16">
                  <c:v>-201.42693511548845</c:v>
                </c:pt>
                <c:pt idx="17">
                  <c:v>-128.4983790957381</c:v>
                </c:pt>
                <c:pt idx="18">
                  <c:v>-192.33953417648246</c:v>
                </c:pt>
                <c:pt idx="19">
                  <c:v>-185.35709103704232</c:v>
                </c:pt>
                <c:pt idx="20">
                  <c:v>-176.16672365441843</c:v>
                </c:pt>
                <c:pt idx="21">
                  <c:v>-170.27306505939544</c:v>
                </c:pt>
                <c:pt idx="22">
                  <c:v>-150.44381895058376</c:v>
                </c:pt>
                <c:pt idx="23">
                  <c:v>-132.3644380544529</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Extraction</c:v>
                </c:pt>
              </c:strCache>
            </c:strRef>
          </c:tx>
          <c:spPr>
            <a:solidFill>
              <a:schemeClr val="accent5"/>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Time'!$J$7:$J$31</c:f>
              <c:numCache>
                <c:formatCode>General</c:formatCode>
                <c:ptCount val="24"/>
                <c:pt idx="0">
                  <c:v>2480.04302321976</c:v>
                </c:pt>
                <c:pt idx="1">
                  <c:v>2369.5283624408489</c:v>
                </c:pt>
                <c:pt idx="2">
                  <c:v>2370.5637547469869</c:v>
                </c:pt>
                <c:pt idx="3">
                  <c:v>2374.5928186216761</c:v>
                </c:pt>
                <c:pt idx="4">
                  <c:v>2448.5812168215061</c:v>
                </c:pt>
                <c:pt idx="5">
                  <c:v>3035.0998993441667</c:v>
                </c:pt>
                <c:pt idx="6">
                  <c:v>3259.6358871716557</c:v>
                </c:pt>
                <c:pt idx="7">
                  <c:v>3929.7575112246768</c:v>
                </c:pt>
                <c:pt idx="8">
                  <c:v>3968.8198662359459</c:v>
                </c:pt>
                <c:pt idx="9">
                  <c:v>3643.1971332875896</c:v>
                </c:pt>
                <c:pt idx="10">
                  <c:v>3699.6682022286127</c:v>
                </c:pt>
                <c:pt idx="11">
                  <c:v>3571.857634333699</c:v>
                </c:pt>
                <c:pt idx="12">
                  <c:v>3566.9506751754116</c:v>
                </c:pt>
                <c:pt idx="13">
                  <c:v>3561.0001294018657</c:v>
                </c:pt>
                <c:pt idx="14">
                  <c:v>3566.1448057285434</c:v>
                </c:pt>
                <c:pt idx="15">
                  <c:v>3576.5988569108868</c:v>
                </c:pt>
                <c:pt idx="16">
                  <c:v>3703.5077807245152</c:v>
                </c:pt>
                <c:pt idx="17">
                  <c:v>3598.0770439674711</c:v>
                </c:pt>
                <c:pt idx="18">
                  <c:v>3647.3263044998848</c:v>
                </c:pt>
                <c:pt idx="19">
                  <c:v>3417.0898688058287</c:v>
                </c:pt>
                <c:pt idx="20">
                  <c:v>3370.7580907003912</c:v>
                </c:pt>
                <c:pt idx="21">
                  <c:v>3310.5647226434189</c:v>
                </c:pt>
                <c:pt idx="22">
                  <c:v>2759.9221535395209</c:v>
                </c:pt>
                <c:pt idx="23">
                  <c:v>2633.5542272542289</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Hydro reservoir</c:v>
                </c:pt>
              </c:strCache>
            </c:strRef>
          </c:tx>
          <c:spPr>
            <a:solidFill>
              <a:schemeClr val="accent6"/>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Time'!$K$7:$K$31</c:f>
              <c:numCache>
                <c:formatCode>General</c:formatCode>
                <c:ptCount val="24"/>
                <c:pt idx="0">
                  <c:v>13706.107228792593</c:v>
                </c:pt>
                <c:pt idx="1">
                  <c:v>13054.399007480335</c:v>
                </c:pt>
                <c:pt idx="2">
                  <c:v>12988.05898876723</c:v>
                </c:pt>
                <c:pt idx="3">
                  <c:v>13329.004010515611</c:v>
                </c:pt>
                <c:pt idx="4">
                  <c:v>14212.83232316979</c:v>
                </c:pt>
                <c:pt idx="5">
                  <c:v>15440.97681834264</c:v>
                </c:pt>
                <c:pt idx="6">
                  <c:v>18561.966028374274</c:v>
                </c:pt>
                <c:pt idx="7">
                  <c:v>21167.920776074268</c:v>
                </c:pt>
                <c:pt idx="8">
                  <c:v>22188.136954812453</c:v>
                </c:pt>
                <c:pt idx="9">
                  <c:v>21618.585234143378</c:v>
                </c:pt>
                <c:pt idx="10">
                  <c:v>21238.486268165601</c:v>
                </c:pt>
                <c:pt idx="11">
                  <c:v>20383.402904964649</c:v>
                </c:pt>
                <c:pt idx="12">
                  <c:v>19869.441915448577</c:v>
                </c:pt>
                <c:pt idx="13">
                  <c:v>19081.937882907965</c:v>
                </c:pt>
                <c:pt idx="14">
                  <c:v>19010.00533098786</c:v>
                </c:pt>
                <c:pt idx="15">
                  <c:v>19182.58007840917</c:v>
                </c:pt>
                <c:pt idx="16">
                  <c:v>19326.942528018681</c:v>
                </c:pt>
                <c:pt idx="17">
                  <c:v>18395.820988371332</c:v>
                </c:pt>
                <c:pt idx="18">
                  <c:v>18213.812868279267</c:v>
                </c:pt>
                <c:pt idx="19">
                  <c:v>18188.056676289867</c:v>
                </c:pt>
                <c:pt idx="20">
                  <c:v>17538.523735921579</c:v>
                </c:pt>
                <c:pt idx="21">
                  <c:v>16313.077658715169</c:v>
                </c:pt>
                <c:pt idx="22">
                  <c:v>14682.573814111836</c:v>
                </c:pt>
                <c:pt idx="23">
                  <c:v>12221.626525065443</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Hydro ROR</c:v>
                </c:pt>
              </c:strCache>
            </c:strRef>
          </c:tx>
          <c:spPr>
            <a:solidFill>
              <a:schemeClr val="accent1">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Time'!$L$7:$L$31</c:f>
              <c:numCache>
                <c:formatCode>General</c:formatCode>
                <c:ptCount val="24"/>
                <c:pt idx="0">
                  <c:v>13829.162535144897</c:v>
                </c:pt>
                <c:pt idx="1">
                  <c:v>13829.162535144897</c:v>
                </c:pt>
                <c:pt idx="2">
                  <c:v>13829.162535144897</c:v>
                </c:pt>
                <c:pt idx="3">
                  <c:v>13829.162535144897</c:v>
                </c:pt>
                <c:pt idx="4">
                  <c:v>13829.162535144897</c:v>
                </c:pt>
                <c:pt idx="5">
                  <c:v>13829.162535144897</c:v>
                </c:pt>
                <c:pt idx="6">
                  <c:v>13829.162535144897</c:v>
                </c:pt>
                <c:pt idx="7">
                  <c:v>13829.162535144897</c:v>
                </c:pt>
                <c:pt idx="8">
                  <c:v>13829.162535144897</c:v>
                </c:pt>
                <c:pt idx="9">
                  <c:v>13829.162535144897</c:v>
                </c:pt>
                <c:pt idx="10">
                  <c:v>13829.162535144897</c:v>
                </c:pt>
                <c:pt idx="11">
                  <c:v>13829.162535144897</c:v>
                </c:pt>
                <c:pt idx="12">
                  <c:v>13829.162535144897</c:v>
                </c:pt>
                <c:pt idx="13">
                  <c:v>13829.162535144897</c:v>
                </c:pt>
                <c:pt idx="14">
                  <c:v>13829.162535144897</c:v>
                </c:pt>
                <c:pt idx="15">
                  <c:v>13829.162535144897</c:v>
                </c:pt>
                <c:pt idx="16">
                  <c:v>13829.162535144897</c:v>
                </c:pt>
                <c:pt idx="17">
                  <c:v>13829.162535144897</c:v>
                </c:pt>
                <c:pt idx="18">
                  <c:v>13829.162535144897</c:v>
                </c:pt>
                <c:pt idx="19">
                  <c:v>13829.162535144897</c:v>
                </c:pt>
                <c:pt idx="20">
                  <c:v>13829.162535144897</c:v>
                </c:pt>
                <c:pt idx="21">
                  <c:v>13829.162535144897</c:v>
                </c:pt>
                <c:pt idx="22">
                  <c:v>13829.162535144897</c:v>
                </c:pt>
                <c:pt idx="23">
                  <c:v>13829.162535144897</c:v>
                </c:pt>
              </c:numCache>
            </c:numRef>
          </c:val>
          <c:extLst>
            <c:ext xmlns:c16="http://schemas.microsoft.com/office/drawing/2014/chart" uri="{C3380CC4-5D6E-409C-BE32-E72D297353CC}">
              <c16:uniqueId val="{00000042-66F2-4940-B061-2E4F5C8174DB}"/>
            </c:ext>
          </c:extLst>
        </c:ser>
        <c:ser>
          <c:idx val="7"/>
          <c:order val="7"/>
          <c:tx>
            <c:strRef>
              <c:f>'EL GEN - Time'!$M$5:$M$6</c:f>
              <c:strCache>
                <c:ptCount val="1"/>
                <c:pt idx="0">
                  <c:v>Solar PV</c:v>
                </c:pt>
              </c:strCache>
            </c:strRef>
          </c:tx>
          <c:spPr>
            <a:solidFill>
              <a:schemeClr val="accent2">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Time'!$M$7:$M$31</c:f>
              <c:numCache>
                <c:formatCode>General</c:formatCode>
                <c:ptCount val="24"/>
                <c:pt idx="5">
                  <c:v>91.934696158323504</c:v>
                </c:pt>
                <c:pt idx="6">
                  <c:v>183.86939231664701</c:v>
                </c:pt>
                <c:pt idx="7">
                  <c:v>220.643270779977</c:v>
                </c:pt>
                <c:pt idx="8">
                  <c:v>1176.0805771593928</c:v>
                </c:pt>
                <c:pt idx="9">
                  <c:v>8130.4619303789168</c:v>
                </c:pt>
                <c:pt idx="10">
                  <c:v>18563.825332569784</c:v>
                </c:pt>
                <c:pt idx="11">
                  <c:v>28115.141446769296</c:v>
                </c:pt>
                <c:pt idx="12">
                  <c:v>32167.59619761975</c:v>
                </c:pt>
                <c:pt idx="13">
                  <c:v>27881.221233303357</c:v>
                </c:pt>
                <c:pt idx="14">
                  <c:v>18207.360577234642</c:v>
                </c:pt>
                <c:pt idx="15">
                  <c:v>9142.2192496858097</c:v>
                </c:pt>
                <c:pt idx="16">
                  <c:v>1256.898982558145</c:v>
                </c:pt>
                <c:pt idx="17">
                  <c:v>36.773878463329403</c:v>
                </c:pt>
                <c:pt idx="18">
                  <c:v>36.773878463329403</c:v>
                </c:pt>
                <c:pt idx="19">
                  <c:v>18.386939231664702</c:v>
                </c:pt>
              </c:numCache>
            </c:numRef>
          </c:val>
          <c:extLst>
            <c:ext xmlns:c16="http://schemas.microsoft.com/office/drawing/2014/chart" uri="{C3380CC4-5D6E-409C-BE32-E72D297353CC}">
              <c16:uniqueId val="{00000000-AD10-4431-A271-4F6B478B3F90}"/>
            </c:ext>
          </c:extLst>
        </c:ser>
        <c:ser>
          <c:idx val="8"/>
          <c:order val="8"/>
          <c:tx>
            <c:strRef>
              <c:f>'EL GEN - Time'!$N$5:$N$6</c:f>
              <c:strCache>
                <c:ptCount val="1"/>
                <c:pt idx="0">
                  <c:v>Wind</c:v>
                </c:pt>
              </c:strCache>
            </c:strRef>
          </c:tx>
          <c:spPr>
            <a:solidFill>
              <a:schemeClr val="accent3">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Time'!$N$7:$N$31</c:f>
              <c:numCache>
                <c:formatCode>General</c:formatCode>
                <c:ptCount val="24"/>
                <c:pt idx="0">
                  <c:v>17311.331966654056</c:v>
                </c:pt>
                <c:pt idx="1">
                  <c:v>17318.522643738739</c:v>
                </c:pt>
                <c:pt idx="2">
                  <c:v>17210.80544110779</c:v>
                </c:pt>
                <c:pt idx="3">
                  <c:v>16825.233279227745</c:v>
                </c:pt>
                <c:pt idx="4">
                  <c:v>16070.588950084248</c:v>
                </c:pt>
                <c:pt idx="5">
                  <c:v>15373.778556644525</c:v>
                </c:pt>
                <c:pt idx="6">
                  <c:v>14270.277819800309</c:v>
                </c:pt>
                <c:pt idx="7">
                  <c:v>14486.213089911464</c:v>
                </c:pt>
                <c:pt idx="8">
                  <c:v>15373.130235023491</c:v>
                </c:pt>
                <c:pt idx="9">
                  <c:v>15993.88832320045</c:v>
                </c:pt>
                <c:pt idx="10">
                  <c:v>16842.929557754676</c:v>
                </c:pt>
                <c:pt idx="11">
                  <c:v>17702.689269213217</c:v>
                </c:pt>
                <c:pt idx="12">
                  <c:v>19900.164076742749</c:v>
                </c:pt>
                <c:pt idx="13">
                  <c:v>21843.206837636131</c:v>
                </c:pt>
                <c:pt idx="14">
                  <c:v>22975.854937674332</c:v>
                </c:pt>
                <c:pt idx="15">
                  <c:v>24828.31849067349</c:v>
                </c:pt>
                <c:pt idx="16">
                  <c:v>27359.207206460971</c:v>
                </c:pt>
                <c:pt idx="17">
                  <c:v>29740.490665036625</c:v>
                </c:pt>
                <c:pt idx="18">
                  <c:v>33353.71920618997</c:v>
                </c:pt>
                <c:pt idx="19">
                  <c:v>36487.941214878956</c:v>
                </c:pt>
                <c:pt idx="20">
                  <c:v>38564.951405288346</c:v>
                </c:pt>
                <c:pt idx="21">
                  <c:v>40924.497954198225</c:v>
                </c:pt>
                <c:pt idx="22">
                  <c:v>44003.310531339106</c:v>
                </c:pt>
                <c:pt idx="23">
                  <c:v>45979.24053604174</c:v>
                </c:pt>
              </c:numCache>
            </c:numRef>
          </c:val>
          <c:extLst>
            <c:ext xmlns:c16="http://schemas.microsoft.com/office/drawing/2014/chart" uri="{C3380CC4-5D6E-409C-BE32-E72D297353CC}">
              <c16:uniqueId val="{00000001-AD10-4431-A271-4F6B478B3F90}"/>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ELECTRIC</c:v>
                </c:pt>
              </c:strCache>
            </c:strRef>
          </c:tx>
          <c:spPr>
            <a:solidFill>
              <a:schemeClr val="accent1"/>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Annual'!$E$4:$E$13</c:f>
              <c:numCache>
                <c:formatCode>General</c:formatCode>
                <c:ptCount val="9"/>
                <c:pt idx="2">
                  <c:v>6.5700000000000003E-3</c:v>
                </c:pt>
                <c:pt idx="7">
                  <c:v>1.7949409248369081</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MUNIWASTE</c:v>
                </c:pt>
              </c:strCache>
            </c:strRef>
          </c:tx>
          <c:spPr>
            <a:solidFill>
              <a:schemeClr val="accent2"/>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Annual'!$F$4:$F$13</c:f>
              <c:numCache>
                <c:formatCode>General</c:formatCode>
                <c:ptCount val="9"/>
                <c:pt idx="0">
                  <c:v>11.794092465135027</c:v>
                </c:pt>
                <c:pt idx="1">
                  <c:v>39.697170708811839</c:v>
                </c:pt>
                <c:pt idx="2">
                  <c:v>2.3012602890322542</c:v>
                </c:pt>
                <c:pt idx="3">
                  <c:v>15.334098485643652</c:v>
                </c:pt>
                <c:pt idx="4">
                  <c:v>0.29783999999999999</c:v>
                </c:pt>
                <c:pt idx="5">
                  <c:v>2.5841840458597689</c:v>
                </c:pt>
                <c:pt idx="6">
                  <c:v>1.4892000000000001</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WOODWASTE</c:v>
                </c:pt>
              </c:strCache>
            </c:strRef>
          </c:tx>
          <c:spPr>
            <a:solidFill>
              <a:schemeClr val="accent3"/>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Annual'!$G$4:$G$13</c:f>
              <c:numCache>
                <c:formatCode>General</c:formatCode>
                <c:ptCount val="9"/>
                <c:pt idx="0">
                  <c:v>0.70805328000000001</c:v>
                </c:pt>
                <c:pt idx="2">
                  <c:v>0.64819228898306269</c:v>
                </c:pt>
                <c:pt idx="3">
                  <c:v>20.565206075767485</c:v>
                </c:pt>
                <c:pt idx="4">
                  <c:v>1.106526315789474</c:v>
                </c:pt>
                <c:pt idx="5">
                  <c:v>0.23974736842105299</c:v>
                </c:pt>
                <c:pt idx="7">
                  <c:v>6.14284725925926</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WASTEHEAT</c:v>
                </c:pt>
              </c:strCache>
            </c:strRef>
          </c:tx>
          <c:spPr>
            <a:solidFill>
              <a:schemeClr val="accent4"/>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Annual'!$H$4:$H$13</c:f>
              <c:numCache>
                <c:formatCode>General</c:formatCode>
                <c:ptCount val="9"/>
                <c:pt idx="0">
                  <c:v>2.8772220000000006</c:v>
                </c:pt>
                <c:pt idx="2">
                  <c:v>0.18939141865256892</c:v>
                </c:pt>
                <c:pt idx="3">
                  <c:v>4.4802791475786146</c:v>
                </c:pt>
                <c:pt idx="7">
                  <c:v>1.9283832417582336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NATGAS</c:v>
                </c:pt>
              </c:strCache>
            </c:strRef>
          </c:tx>
          <c:spPr>
            <a:solidFill>
              <a:schemeClr val="accent5"/>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Annual'!$I$4:$I$13</c:f>
              <c:numCache>
                <c:formatCode>General</c:formatCode>
                <c:ptCount val="9"/>
                <c:pt idx="0">
                  <c:v>2.4288670066854738</c:v>
                </c:pt>
                <c:pt idx="1">
                  <c:v>2.30195611359553</c:v>
                </c:pt>
                <c:pt idx="3">
                  <c:v>8.8952219642025501E-2</c:v>
                </c:pt>
                <c:pt idx="4">
                  <c:v>1.1419344501535735</c:v>
                </c:pt>
                <c:pt idx="6">
                  <c:v>2.228163992869876</c:v>
                </c:pt>
                <c:pt idx="7">
                  <c:v>2.7750309899167878</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STRAW</c:v>
                </c:pt>
              </c:strCache>
            </c:strRef>
          </c:tx>
          <c:spPr>
            <a:solidFill>
              <a:schemeClr val="accent6"/>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Annual'!$J$4:$J$13</c:f>
              <c:numCache>
                <c:formatCode>General</c:formatCode>
                <c:ptCount val="9"/>
                <c:pt idx="0">
                  <c:v>4.4330046276034709</c:v>
                </c:pt>
                <c:pt idx="3">
                  <c:v>2.1899999999999999E-2</c:v>
                </c:pt>
                <c:pt idx="6">
                  <c:v>56.578011923831596</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WOODCHIPS</c:v>
                </c:pt>
              </c:strCache>
            </c:strRef>
          </c:tx>
          <c:spPr>
            <a:solidFill>
              <a:schemeClr val="accent1">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Annual'!$K$4:$K$13</c:f>
              <c:numCache>
                <c:formatCode>General</c:formatCode>
                <c:ptCount val="9"/>
                <c:pt idx="0">
                  <c:v>6.8596290780172398</c:v>
                </c:pt>
                <c:pt idx="2">
                  <c:v>0.60751672092287334</c:v>
                </c:pt>
                <c:pt idx="3">
                  <c:v>4.5689445921917535</c:v>
                </c:pt>
                <c:pt idx="7">
                  <c:v>11.159820260630774</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LPG</c:v>
                </c:pt>
              </c:strCache>
            </c:strRef>
          </c:tx>
          <c:spPr>
            <a:solidFill>
              <a:schemeClr val="accent2">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Annual'!$L$4:$L$13</c:f>
              <c:numCache>
                <c:formatCode>General</c:formatCode>
                <c:ptCount val="9"/>
                <c:pt idx="2">
                  <c:v>6.7158483870967706E-2</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RECYCLEDWOOD</c:v>
                </c:pt>
              </c:strCache>
            </c:strRef>
          </c:tx>
          <c:spPr>
            <a:solidFill>
              <a:schemeClr val="accent3">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Annual'!$M$4:$M$13</c:f>
              <c:numCache>
                <c:formatCode>General</c:formatCode>
                <c:ptCount val="9"/>
                <c:pt idx="3">
                  <c:v>2.8957776574300063</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WOOD</c:v>
                </c:pt>
              </c:strCache>
            </c:strRef>
          </c:tx>
          <c:spPr>
            <a:solidFill>
              <a:schemeClr val="accent4">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Annual'!$N$4:$N$13</c:f>
              <c:numCache>
                <c:formatCode>General</c:formatCode>
                <c:ptCount val="9"/>
                <c:pt idx="3">
                  <c:v>26.287963636363632</c:v>
                </c:pt>
                <c:pt idx="4">
                  <c:v>3.0484817145844216</c:v>
                </c:pt>
                <c:pt idx="5">
                  <c:v>2.0448731343448712</c:v>
                </c:pt>
                <c:pt idx="6">
                  <c:v>0.92068246561461198</c:v>
                </c:pt>
                <c:pt idx="7">
                  <c:v>27.837213759213768</c:v>
                </c:pt>
                <c:pt idx="8">
                  <c:v>0.92752941176470505</c:v>
                </c:pt>
              </c:numCache>
            </c:numRef>
          </c:val>
          <c:extLst>
            <c:ext xmlns:c16="http://schemas.microsoft.com/office/drawing/2014/chart" uri="{C3380CC4-5D6E-409C-BE32-E72D297353CC}">
              <c16:uniqueId val="{00000008-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ELECTRIC</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164.95</c:v>
                </c:pt>
                <c:pt idx="1">
                  <c:v>164.95</c:v>
                </c:pt>
                <c:pt idx="2">
                  <c:v>164.95</c:v>
                </c:pt>
                <c:pt idx="3">
                  <c:v>164.95</c:v>
                </c:pt>
                <c:pt idx="4">
                  <c:v>164.95</c:v>
                </c:pt>
                <c:pt idx="5">
                  <c:v>164.95</c:v>
                </c:pt>
                <c:pt idx="6">
                  <c:v>219.38246869994907</c:v>
                </c:pt>
                <c:pt idx="7">
                  <c:v>164.95</c:v>
                </c:pt>
                <c:pt idx="8">
                  <c:v>260.55</c:v>
                </c:pt>
                <c:pt idx="9">
                  <c:v>260.55</c:v>
                </c:pt>
                <c:pt idx="10">
                  <c:v>252.3194975170515</c:v>
                </c:pt>
                <c:pt idx="11">
                  <c:v>245.7954967126621</c:v>
                </c:pt>
                <c:pt idx="12">
                  <c:v>242.7162019692571</c:v>
                </c:pt>
                <c:pt idx="13">
                  <c:v>241.81837496538452</c:v>
                </c:pt>
                <c:pt idx="14">
                  <c:v>243.55297643916521</c:v>
                </c:pt>
                <c:pt idx="15">
                  <c:v>173.17432322754294</c:v>
                </c:pt>
                <c:pt idx="16">
                  <c:v>238.77395196873431</c:v>
                </c:pt>
                <c:pt idx="17">
                  <c:v>167.30396706937887</c:v>
                </c:pt>
                <c:pt idx="18">
                  <c:v>229.86829904850839</c:v>
                </c:pt>
                <c:pt idx="19">
                  <c:v>223.02550477185702</c:v>
                </c:pt>
                <c:pt idx="20">
                  <c:v>214.0189447368856</c:v>
                </c:pt>
                <c:pt idx="21">
                  <c:v>208.2431593137631</c:v>
                </c:pt>
                <c:pt idx="22">
                  <c:v>188.81049812712757</c:v>
                </c:pt>
                <c:pt idx="23">
                  <c:v>171.0927048489194</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MUNIWASTE</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8283.8631595559564</c:v>
                </c:pt>
                <c:pt idx="1">
                  <c:v>8283.5027110603933</c:v>
                </c:pt>
                <c:pt idx="2">
                  <c:v>8283.1750306098802</c:v>
                </c:pt>
                <c:pt idx="3">
                  <c:v>8291.7631034831084</c:v>
                </c:pt>
                <c:pt idx="4">
                  <c:v>8378.5603863619872</c:v>
                </c:pt>
                <c:pt idx="5">
                  <c:v>8421.8192829206328</c:v>
                </c:pt>
                <c:pt idx="6">
                  <c:v>8436.1716866530551</c:v>
                </c:pt>
                <c:pt idx="7">
                  <c:v>8444.7241464114159</c:v>
                </c:pt>
                <c:pt idx="8">
                  <c:v>8446.0021001684127</c:v>
                </c:pt>
                <c:pt idx="9">
                  <c:v>8445.838259943157</c:v>
                </c:pt>
                <c:pt idx="10">
                  <c:v>8446.1331723486182</c:v>
                </c:pt>
                <c:pt idx="11">
                  <c:v>8445.838259943157</c:v>
                </c:pt>
                <c:pt idx="12">
                  <c:v>8444.0032494202896</c:v>
                </c:pt>
                <c:pt idx="13">
                  <c:v>8442.7252956632929</c:v>
                </c:pt>
                <c:pt idx="14">
                  <c:v>8443.2495843841134</c:v>
                </c:pt>
                <c:pt idx="15">
                  <c:v>8443.7411050598803</c:v>
                </c:pt>
                <c:pt idx="16">
                  <c:v>8444.0360174653415</c:v>
                </c:pt>
                <c:pt idx="17">
                  <c:v>8444.9207546817233</c:v>
                </c:pt>
                <c:pt idx="18">
                  <c:v>8444.7896825015196</c:v>
                </c:pt>
                <c:pt idx="19">
                  <c:v>8400.303660376987</c:v>
                </c:pt>
                <c:pt idx="20">
                  <c:v>8362.7524781845186</c:v>
                </c:pt>
                <c:pt idx="21">
                  <c:v>8301.3811031183795</c:v>
                </c:pt>
                <c:pt idx="22">
                  <c:v>8293.3331245757508</c:v>
                </c:pt>
                <c:pt idx="23">
                  <c:v>8291.3342738276278</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WOODWASTE</c:v>
                </c:pt>
              </c:strCache>
            </c:strRef>
          </c:tx>
          <c:spPr>
            <a:solidFill>
              <a:schemeClr val="accent3"/>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3100.1146483863095</c:v>
                </c:pt>
                <c:pt idx="1">
                  <c:v>3100.1146483863095</c:v>
                </c:pt>
                <c:pt idx="2">
                  <c:v>3100.1146483863095</c:v>
                </c:pt>
                <c:pt idx="3">
                  <c:v>3100.1146483863095</c:v>
                </c:pt>
                <c:pt idx="4">
                  <c:v>3102.9399750134926</c:v>
                </c:pt>
                <c:pt idx="5">
                  <c:v>3262.8048537740597</c:v>
                </c:pt>
                <c:pt idx="6">
                  <c:v>3650.2777810187326</c:v>
                </c:pt>
                <c:pt idx="7">
                  <c:v>3795.2726235721989</c:v>
                </c:pt>
                <c:pt idx="8">
                  <c:v>3798.9892505872981</c:v>
                </c:pt>
                <c:pt idx="9">
                  <c:v>3749.5523775701336</c:v>
                </c:pt>
                <c:pt idx="10">
                  <c:v>3747.0148627329258</c:v>
                </c:pt>
                <c:pt idx="11">
                  <c:v>3663.1877267229229</c:v>
                </c:pt>
                <c:pt idx="12">
                  <c:v>3590.7230414574865</c:v>
                </c:pt>
                <c:pt idx="13">
                  <c:v>3546.4596622999138</c:v>
                </c:pt>
                <c:pt idx="14">
                  <c:v>3496.979297126858</c:v>
                </c:pt>
                <c:pt idx="15">
                  <c:v>3475.3748916132781</c:v>
                </c:pt>
                <c:pt idx="16">
                  <c:v>3370.056548011778</c:v>
                </c:pt>
                <c:pt idx="17">
                  <c:v>3251.6998458322705</c:v>
                </c:pt>
                <c:pt idx="18">
                  <c:v>3169.4700154959282</c:v>
                </c:pt>
                <c:pt idx="19">
                  <c:v>3139.8291138445547</c:v>
                </c:pt>
                <c:pt idx="20">
                  <c:v>3108.8924538301126</c:v>
                </c:pt>
                <c:pt idx="21">
                  <c:v>3093.0136227009025</c:v>
                </c:pt>
                <c:pt idx="22">
                  <c:v>3090.395720710002</c:v>
                </c:pt>
                <c:pt idx="23">
                  <c:v>3073.5189431435401</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WASTEHEAT</c:v>
                </c:pt>
              </c:strCache>
            </c:strRef>
          </c:tx>
          <c:spPr>
            <a:solidFill>
              <a:schemeClr val="accent4"/>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987.92919983858508</c:v>
                </c:pt>
                <c:pt idx="1">
                  <c:v>1046.3424611750436</c:v>
                </c:pt>
                <c:pt idx="2">
                  <c:v>987.67791567134407</c:v>
                </c:pt>
                <c:pt idx="3">
                  <c:v>1050.3854668706149</c:v>
                </c:pt>
                <c:pt idx="4">
                  <c:v>1072.1189176499038</c:v>
                </c:pt>
                <c:pt idx="5">
                  <c:v>1081.6880974482187</c:v>
                </c:pt>
                <c:pt idx="6">
                  <c:v>1102.8730056842669</c:v>
                </c:pt>
                <c:pt idx="7">
                  <c:v>1116.6004110754309</c:v>
                </c:pt>
                <c:pt idx="8">
                  <c:v>1119.0096608151468</c:v>
                </c:pt>
                <c:pt idx="9">
                  <c:v>1122.7899968894528</c:v>
                </c:pt>
                <c:pt idx="10">
                  <c:v>1117.5157960616389</c:v>
                </c:pt>
                <c:pt idx="11">
                  <c:v>1115.3988387801749</c:v>
                </c:pt>
                <c:pt idx="12">
                  <c:v>1115.6127944287498</c:v>
                </c:pt>
                <c:pt idx="13">
                  <c:v>1114.562864903372</c:v>
                </c:pt>
                <c:pt idx="14">
                  <c:v>1113.9203680535009</c:v>
                </c:pt>
                <c:pt idx="15">
                  <c:v>1120.2270191808518</c:v>
                </c:pt>
                <c:pt idx="16">
                  <c:v>1109.5646972052018</c:v>
                </c:pt>
                <c:pt idx="17">
                  <c:v>1104.3849645561888</c:v>
                </c:pt>
                <c:pt idx="18">
                  <c:v>1101.2910632995688</c:v>
                </c:pt>
                <c:pt idx="19">
                  <c:v>1095.3284250951567</c:v>
                </c:pt>
                <c:pt idx="20">
                  <c:v>1089.1946043507955</c:v>
                </c:pt>
                <c:pt idx="21">
                  <c:v>1071.4118411086051</c:v>
                </c:pt>
                <c:pt idx="22">
                  <c:v>990.12041105273909</c:v>
                </c:pt>
                <c:pt idx="23">
                  <c:v>1013.7109267216791</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HEAT</c:v>
                </c:pt>
              </c:strCache>
            </c:strRef>
          </c:tx>
          <c:spPr>
            <a:solidFill>
              <a:schemeClr val="accent5"/>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11853.973366123928</c:v>
                </c:pt>
                <c:pt idx="1">
                  <c:v>11860.516353887706</c:v>
                </c:pt>
                <c:pt idx="2">
                  <c:v>11860.515752641015</c:v>
                </c:pt>
                <c:pt idx="3">
                  <c:v>11899.769543814698</c:v>
                </c:pt>
                <c:pt idx="4">
                  <c:v>12213.219851185879</c:v>
                </c:pt>
                <c:pt idx="5">
                  <c:v>12203.669849810518</c:v>
                </c:pt>
                <c:pt idx="6">
                  <c:v>12707.907387091624</c:v>
                </c:pt>
                <c:pt idx="7">
                  <c:v>13811.567653678316</c:v>
                </c:pt>
                <c:pt idx="8">
                  <c:v>13501.811438331211</c:v>
                </c:pt>
                <c:pt idx="9">
                  <c:v>13461.007278913385</c:v>
                </c:pt>
                <c:pt idx="10">
                  <c:v>13218.843455920793</c:v>
                </c:pt>
                <c:pt idx="11">
                  <c:v>13160.368217077281</c:v>
                </c:pt>
                <c:pt idx="12">
                  <c:v>12830.594853945335</c:v>
                </c:pt>
                <c:pt idx="13">
                  <c:v>12800.966523719129</c:v>
                </c:pt>
                <c:pt idx="14">
                  <c:v>12783.35070590853</c:v>
                </c:pt>
                <c:pt idx="15">
                  <c:v>12831.745115103791</c:v>
                </c:pt>
                <c:pt idx="16">
                  <c:v>12671.021567438584</c:v>
                </c:pt>
                <c:pt idx="17">
                  <c:v>12791.586355550729</c:v>
                </c:pt>
                <c:pt idx="18">
                  <c:v>12734.410901920925</c:v>
                </c:pt>
                <c:pt idx="19">
                  <c:v>12441.062150942396</c:v>
                </c:pt>
                <c:pt idx="20">
                  <c:v>12309.696413585087</c:v>
                </c:pt>
                <c:pt idx="21">
                  <c:v>12057.178695007538</c:v>
                </c:pt>
                <c:pt idx="22">
                  <c:v>11991.628428133727</c:v>
                </c:pt>
                <c:pt idx="23">
                  <c:v>11918.267638466545</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1056.3257138842068</c:v>
                </c:pt>
                <c:pt idx="1">
                  <c:v>1034.7858425612944</c:v>
                </c:pt>
                <c:pt idx="2">
                  <c:v>1016.410127523936</c:v>
                </c:pt>
                <c:pt idx="3">
                  <c:v>1029.2154625134121</c:v>
                </c:pt>
                <c:pt idx="4">
                  <c:v>1562.4064165659402</c:v>
                </c:pt>
                <c:pt idx="5">
                  <c:v>1111.3783600336558</c:v>
                </c:pt>
                <c:pt idx="6">
                  <c:v>1270.4797265338866</c:v>
                </c:pt>
                <c:pt idx="7">
                  <c:v>1752.8082865524377</c:v>
                </c:pt>
                <c:pt idx="8">
                  <c:v>1664.0540201198939</c:v>
                </c:pt>
                <c:pt idx="9">
                  <c:v>1243.7949698708862</c:v>
                </c:pt>
                <c:pt idx="10">
                  <c:v>983.35498875949872</c:v>
                </c:pt>
                <c:pt idx="11">
                  <c:v>1164.3958191383704</c:v>
                </c:pt>
                <c:pt idx="12">
                  <c:v>1163.0616096218585</c:v>
                </c:pt>
                <c:pt idx="13">
                  <c:v>3832.8002105069118</c:v>
                </c:pt>
                <c:pt idx="14">
                  <c:v>1199.8390568788395</c:v>
                </c:pt>
                <c:pt idx="15">
                  <c:v>1162.7598323488694</c:v>
                </c:pt>
                <c:pt idx="16">
                  <c:v>997.85169741755135</c:v>
                </c:pt>
                <c:pt idx="17">
                  <c:v>850.40033774950882</c:v>
                </c:pt>
                <c:pt idx="18">
                  <c:v>1224.8545687582509</c:v>
                </c:pt>
                <c:pt idx="19">
                  <c:v>1504.2453575323373</c:v>
                </c:pt>
                <c:pt idx="20">
                  <c:v>823.13637008319677</c:v>
                </c:pt>
                <c:pt idx="21">
                  <c:v>815.84563757710214</c:v>
                </c:pt>
                <c:pt idx="22">
                  <c:v>796.80765711826018</c:v>
                </c:pt>
                <c:pt idx="23">
                  <c:v>779.82292449583781</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7672.1870870749362</c:v>
                </c:pt>
                <c:pt idx="1">
                  <c:v>7670.6754334275793</c:v>
                </c:pt>
                <c:pt idx="2">
                  <c:v>7669.9123139501835</c:v>
                </c:pt>
                <c:pt idx="3">
                  <c:v>7671.3625487218324</c:v>
                </c:pt>
                <c:pt idx="4">
                  <c:v>7672.8742023691893</c:v>
                </c:pt>
                <c:pt idx="5">
                  <c:v>7696.9232376680511</c:v>
                </c:pt>
                <c:pt idx="6">
                  <c:v>7757.1145374446314</c:v>
                </c:pt>
                <c:pt idx="7">
                  <c:v>7538.151331939086</c:v>
                </c:pt>
                <c:pt idx="8">
                  <c:v>7328.2085316289258</c:v>
                </c:pt>
                <c:pt idx="9">
                  <c:v>7137.6450667319959</c:v>
                </c:pt>
                <c:pt idx="10">
                  <c:v>7255.4609372483255</c:v>
                </c:pt>
                <c:pt idx="11">
                  <c:v>6824.3458108845261</c:v>
                </c:pt>
                <c:pt idx="12">
                  <c:v>6701.6100199339762</c:v>
                </c:pt>
                <c:pt idx="13">
                  <c:v>6601.483453632196</c:v>
                </c:pt>
                <c:pt idx="14">
                  <c:v>6540.1155581569255</c:v>
                </c:pt>
                <c:pt idx="15">
                  <c:v>6494.8971088593462</c:v>
                </c:pt>
                <c:pt idx="16">
                  <c:v>6709.5795534578456</c:v>
                </c:pt>
                <c:pt idx="17">
                  <c:v>6709.6096564419158</c:v>
                </c:pt>
                <c:pt idx="18">
                  <c:v>6381.850985615406</c:v>
                </c:pt>
                <c:pt idx="19">
                  <c:v>6336.6325363178457</c:v>
                </c:pt>
                <c:pt idx="20">
                  <c:v>6297.8738654913459</c:v>
                </c:pt>
                <c:pt idx="21">
                  <c:v>6216.5835679042784</c:v>
                </c:pt>
                <c:pt idx="22">
                  <c:v>6173.2225666639324</c:v>
                </c:pt>
                <c:pt idx="23">
                  <c:v>6155.150092367413</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2513.7090786332615</c:v>
                </c:pt>
                <c:pt idx="1">
                  <c:v>2553.195609418633</c:v>
                </c:pt>
                <c:pt idx="2">
                  <c:v>2513.2548089070574</c:v>
                </c:pt>
                <c:pt idx="3">
                  <c:v>2521.6909914466014</c:v>
                </c:pt>
                <c:pt idx="4">
                  <c:v>2538.0127491831245</c:v>
                </c:pt>
                <c:pt idx="5">
                  <c:v>2614.4375342740268</c:v>
                </c:pt>
                <c:pt idx="6">
                  <c:v>2709.5114076742097</c:v>
                </c:pt>
                <c:pt idx="7">
                  <c:v>2717.7584734149841</c:v>
                </c:pt>
                <c:pt idx="8">
                  <c:v>2715.0895802622767</c:v>
                </c:pt>
                <c:pt idx="9">
                  <c:v>2731.7826726715371</c:v>
                </c:pt>
                <c:pt idx="10">
                  <c:v>2729.4190945879222</c:v>
                </c:pt>
                <c:pt idx="11">
                  <c:v>2732.6180903754007</c:v>
                </c:pt>
                <c:pt idx="12">
                  <c:v>2725.1425103385604</c:v>
                </c:pt>
                <c:pt idx="13">
                  <c:v>2696.7231281616023</c:v>
                </c:pt>
                <c:pt idx="14">
                  <c:v>2704.4714342447492</c:v>
                </c:pt>
                <c:pt idx="15">
                  <c:v>2688.8727445448321</c:v>
                </c:pt>
                <c:pt idx="16">
                  <c:v>2671.7723005514813</c:v>
                </c:pt>
                <c:pt idx="17">
                  <c:v>2675.9404059899725</c:v>
                </c:pt>
                <c:pt idx="18">
                  <c:v>2658.8506780527623</c:v>
                </c:pt>
                <c:pt idx="19">
                  <c:v>2654.4718327826617</c:v>
                </c:pt>
                <c:pt idx="20">
                  <c:v>2657.7890359813391</c:v>
                </c:pt>
                <c:pt idx="21">
                  <c:v>2641.4169664160622</c:v>
                </c:pt>
                <c:pt idx="22">
                  <c:v>2603.5805132893815</c:v>
                </c:pt>
                <c:pt idx="23">
                  <c:v>2580.9285006129976</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2.4178105738039801</c:v>
                </c:pt>
                <c:pt idx="1">
                  <c:v>2.3349853872847102</c:v>
                </c:pt>
                <c:pt idx="2">
                  <c:v>2.5520205108980201</c:v>
                </c:pt>
                <c:pt idx="3">
                  <c:v>2.9353421706606602</c:v>
                </c:pt>
                <c:pt idx="4">
                  <c:v>4.7618605742745999</c:v>
                </c:pt>
                <c:pt idx="5">
                  <c:v>8.4907793242854392</c:v>
                </c:pt>
                <c:pt idx="6">
                  <c:v>13.4324970408765</c:v>
                </c:pt>
                <c:pt idx="7">
                  <c:v>18.203337198540702</c:v>
                </c:pt>
                <c:pt idx="8">
                  <c:v>18.413680611421899</c:v>
                </c:pt>
                <c:pt idx="9">
                  <c:v>17.110407746510798</c:v>
                </c:pt>
                <c:pt idx="10">
                  <c:v>15.611602196331599</c:v>
                </c:pt>
                <c:pt idx="11">
                  <c:v>13.767386443380399</c:v>
                </c:pt>
                <c:pt idx="12">
                  <c:v>12.1960697873065</c:v>
                </c:pt>
                <c:pt idx="13">
                  <c:v>10.7331159105947</c:v>
                </c:pt>
                <c:pt idx="14">
                  <c:v>9.6904087971999093</c:v>
                </c:pt>
                <c:pt idx="15">
                  <c:v>7.4794538232291998</c:v>
                </c:pt>
                <c:pt idx="16">
                  <c:v>6.0326594205541904</c:v>
                </c:pt>
                <c:pt idx="17">
                  <c:v>4.7209889704802697</c:v>
                </c:pt>
                <c:pt idx="18">
                  <c:v>3.7920136736157102</c:v>
                </c:pt>
                <c:pt idx="19">
                  <c:v>3.66499963586431</c:v>
                </c:pt>
                <c:pt idx="20">
                  <c:v>3.14854222911337</c:v>
                </c:pt>
                <c:pt idx="21">
                  <c:v>1.6410807920505199</c:v>
                </c:pt>
                <c:pt idx="22">
                  <c:v>0.65239450840167401</c:v>
                </c:pt>
                <c:pt idx="23">
                  <c:v>0.21240889514948999</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322.21911612317092</c:v>
                </c:pt>
                <c:pt idx="1">
                  <c:v>322.21911612317092</c:v>
                </c:pt>
                <c:pt idx="2">
                  <c:v>322.21911612317092</c:v>
                </c:pt>
                <c:pt idx="3">
                  <c:v>322.21911612317092</c:v>
                </c:pt>
                <c:pt idx="4">
                  <c:v>322.21911612317092</c:v>
                </c:pt>
                <c:pt idx="5">
                  <c:v>322.21911612317092</c:v>
                </c:pt>
                <c:pt idx="6">
                  <c:v>429.00179913542991</c:v>
                </c:pt>
                <c:pt idx="7">
                  <c:v>322.21911612317092</c:v>
                </c:pt>
                <c:pt idx="8">
                  <c:v>322.21911612317092</c:v>
                </c:pt>
                <c:pt idx="9">
                  <c:v>322.21911612317092</c:v>
                </c:pt>
                <c:pt idx="10">
                  <c:v>322.21911612317092</c:v>
                </c:pt>
                <c:pt idx="11">
                  <c:v>322.21911612317092</c:v>
                </c:pt>
                <c:pt idx="12">
                  <c:v>322.21911612317092</c:v>
                </c:pt>
                <c:pt idx="13">
                  <c:v>322.21911612317092</c:v>
                </c:pt>
                <c:pt idx="14">
                  <c:v>322.21911612317092</c:v>
                </c:pt>
                <c:pt idx="15">
                  <c:v>386.94780035510007</c:v>
                </c:pt>
                <c:pt idx="16">
                  <c:v>351.0863795393177</c:v>
                </c:pt>
                <c:pt idx="17">
                  <c:v>322.21911612317092</c:v>
                </c:pt>
                <c:pt idx="18">
                  <c:v>322.21911612317092</c:v>
                </c:pt>
                <c:pt idx="19">
                  <c:v>322.21911612317092</c:v>
                </c:pt>
                <c:pt idx="20">
                  <c:v>322.21911612317092</c:v>
                </c:pt>
                <c:pt idx="21">
                  <c:v>322.21911612317092</c:v>
                </c:pt>
                <c:pt idx="22">
                  <c:v>322.21911612317092</c:v>
                </c:pt>
                <c:pt idx="23">
                  <c:v>322.21911612317092</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7316.3096471102754</c:v>
                </c:pt>
                <c:pt idx="1">
                  <c:v>7367.9878748789333</c:v>
                </c:pt>
                <c:pt idx="2">
                  <c:v>7384.1373210566353</c:v>
                </c:pt>
                <c:pt idx="3">
                  <c:v>7335.6889825235276</c:v>
                </c:pt>
                <c:pt idx="4">
                  <c:v>7229.1026377506632</c:v>
                </c:pt>
                <c:pt idx="5">
                  <c:v>7074.0679544446893</c:v>
                </c:pt>
                <c:pt idx="6">
                  <c:v>6877.0447110767063</c:v>
                </c:pt>
                <c:pt idx="7">
                  <c:v>6865.9887735469702</c:v>
                </c:pt>
                <c:pt idx="8">
                  <c:v>6865.9887735469702</c:v>
                </c:pt>
                <c:pt idx="9">
                  <c:v>6865.9887735469702</c:v>
                </c:pt>
                <c:pt idx="10">
                  <c:v>6865.9887735469702</c:v>
                </c:pt>
                <c:pt idx="11">
                  <c:v>6865.9887735469702</c:v>
                </c:pt>
                <c:pt idx="12">
                  <c:v>6865.9887735469702</c:v>
                </c:pt>
                <c:pt idx="13">
                  <c:v>6865.9887735469702</c:v>
                </c:pt>
                <c:pt idx="14">
                  <c:v>6865.9887735469702</c:v>
                </c:pt>
                <c:pt idx="15">
                  <c:v>6865.9887735469702</c:v>
                </c:pt>
                <c:pt idx="16">
                  <c:v>6865.9887735469702</c:v>
                </c:pt>
                <c:pt idx="17">
                  <c:v>6865.9887735469702</c:v>
                </c:pt>
                <c:pt idx="18">
                  <c:v>6865.9887735469702</c:v>
                </c:pt>
                <c:pt idx="19">
                  <c:v>6865.9887735469702</c:v>
                </c:pt>
                <c:pt idx="20">
                  <c:v>6865.9887735469702</c:v>
                </c:pt>
                <c:pt idx="21">
                  <c:v>6865.9887735469702</c:v>
                </c:pt>
                <c:pt idx="22">
                  <c:v>6865.9887735469702</c:v>
                </c:pt>
                <c:pt idx="23">
                  <c:v>6865.9887735469702</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316.52860767244601</c:v>
                </c:pt>
                <c:pt idx="1">
                  <c:v>315.11397551797</c:v>
                </c:pt>
                <c:pt idx="2">
                  <c:v>315.92046840363503</c:v>
                </c:pt>
                <c:pt idx="3">
                  <c:v>318.89304732382698</c:v>
                </c:pt>
                <c:pt idx="4">
                  <c:v>326.13587041128</c:v>
                </c:pt>
                <c:pt idx="5">
                  <c:v>339.52372111809899</c:v>
                </c:pt>
                <c:pt idx="6">
                  <c:v>366.52607491453898</c:v>
                </c:pt>
                <c:pt idx="7">
                  <c:v>382.61812028962004</c:v>
                </c:pt>
                <c:pt idx="8">
                  <c:v>386.65342526277902</c:v>
                </c:pt>
                <c:pt idx="9">
                  <c:v>387.69478017846302</c:v>
                </c:pt>
                <c:pt idx="10">
                  <c:v>381.86282267246901</c:v>
                </c:pt>
                <c:pt idx="11">
                  <c:v>377.98246952915997</c:v>
                </c:pt>
                <c:pt idx="12">
                  <c:v>376.583489537432</c:v>
                </c:pt>
                <c:pt idx="13">
                  <c:v>376.34996238073802</c:v>
                </c:pt>
                <c:pt idx="14">
                  <c:v>377.34186701887</c:v>
                </c:pt>
                <c:pt idx="15">
                  <c:v>382.98280080148999</c:v>
                </c:pt>
                <c:pt idx="16">
                  <c:v>378.49771476201204</c:v>
                </c:pt>
                <c:pt idx="17">
                  <c:v>374.37738029969501</c:v>
                </c:pt>
                <c:pt idx="18">
                  <c:v>375.08156739542596</c:v>
                </c:pt>
                <c:pt idx="19">
                  <c:v>372.11956391503901</c:v>
                </c:pt>
                <c:pt idx="20">
                  <c:v>368.09071485516597</c:v>
                </c:pt>
                <c:pt idx="21">
                  <c:v>364.46182307952802</c:v>
                </c:pt>
                <c:pt idx="22">
                  <c:v>355.35195736357599</c:v>
                </c:pt>
                <c:pt idx="23">
                  <c:v>347.12969310495998</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BIOGAS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1339.3417842454048</c:v>
                </c:pt>
                <c:pt idx="1">
                  <c:v>1339.3417842454048</c:v>
                </c:pt>
                <c:pt idx="2">
                  <c:v>1339.3417842454048</c:v>
                </c:pt>
                <c:pt idx="3">
                  <c:v>1339.3417842454048</c:v>
                </c:pt>
                <c:pt idx="4">
                  <c:v>1339.3417842454048</c:v>
                </c:pt>
                <c:pt idx="5">
                  <c:v>1339.3417842454048</c:v>
                </c:pt>
                <c:pt idx="6">
                  <c:v>1339.3417842454048</c:v>
                </c:pt>
                <c:pt idx="7">
                  <c:v>1339.8417842454048</c:v>
                </c:pt>
                <c:pt idx="8">
                  <c:v>1339.8417842454048</c:v>
                </c:pt>
                <c:pt idx="9">
                  <c:v>1339.8417842454048</c:v>
                </c:pt>
                <c:pt idx="10">
                  <c:v>1339.8417842454048</c:v>
                </c:pt>
                <c:pt idx="11">
                  <c:v>1339.8417842454048</c:v>
                </c:pt>
                <c:pt idx="12">
                  <c:v>1339.8417842454048</c:v>
                </c:pt>
                <c:pt idx="13">
                  <c:v>1339.8417842454048</c:v>
                </c:pt>
                <c:pt idx="14">
                  <c:v>1339.8417842454048</c:v>
                </c:pt>
                <c:pt idx="15">
                  <c:v>1339.8417842454048</c:v>
                </c:pt>
                <c:pt idx="16">
                  <c:v>1339.8417842454048</c:v>
                </c:pt>
                <c:pt idx="17">
                  <c:v>1339.8417842454048</c:v>
                </c:pt>
                <c:pt idx="18">
                  <c:v>1339.8417842454048</c:v>
                </c:pt>
                <c:pt idx="19">
                  <c:v>1339.8417842454048</c:v>
                </c:pt>
                <c:pt idx="20">
                  <c:v>1339.8417842454048</c:v>
                </c:pt>
                <c:pt idx="21">
                  <c:v>1339.3417842454048</c:v>
                </c:pt>
                <c:pt idx="22">
                  <c:v>1339.3417842454048</c:v>
                </c:pt>
                <c:pt idx="23">
                  <c:v>1339.3417842454048</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BIOOIL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255.084206113383</c:v>
                </c:pt>
                <c:pt idx="1">
                  <c:v>281.21427586225172</c:v>
                </c:pt>
                <c:pt idx="2">
                  <c:v>258.22018438620978</c:v>
                </c:pt>
                <c:pt idx="3">
                  <c:v>266.39607974199322</c:v>
                </c:pt>
                <c:pt idx="4">
                  <c:v>300.82185114724336</c:v>
                </c:pt>
                <c:pt idx="5">
                  <c:v>345.73052764895084</c:v>
                </c:pt>
                <c:pt idx="6">
                  <c:v>547.94212624668739</c:v>
                </c:pt>
                <c:pt idx="7">
                  <c:v>422.01040662681953</c:v>
                </c:pt>
                <c:pt idx="8">
                  <c:v>642.03819477855109</c:v>
                </c:pt>
                <c:pt idx="9">
                  <c:v>624.87585180686096</c:v>
                </c:pt>
                <c:pt idx="10">
                  <c:v>591.93998182337612</c:v>
                </c:pt>
                <c:pt idx="11">
                  <c:v>547.5080493532281</c:v>
                </c:pt>
                <c:pt idx="12">
                  <c:v>568.82624237429741</c:v>
                </c:pt>
                <c:pt idx="13">
                  <c:v>554.02978615121049</c:v>
                </c:pt>
                <c:pt idx="14">
                  <c:v>548.99857465226785</c:v>
                </c:pt>
                <c:pt idx="15">
                  <c:v>555.21846281939997</c:v>
                </c:pt>
                <c:pt idx="16">
                  <c:v>578.61335051990352</c:v>
                </c:pt>
                <c:pt idx="17">
                  <c:v>530.79076694920957</c:v>
                </c:pt>
                <c:pt idx="18">
                  <c:v>498.17786465031395</c:v>
                </c:pt>
                <c:pt idx="19">
                  <c:v>451.4281687979493</c:v>
                </c:pt>
                <c:pt idx="20">
                  <c:v>407.84598148791241</c:v>
                </c:pt>
                <c:pt idx="21">
                  <c:v>348.86459227080832</c:v>
                </c:pt>
                <c:pt idx="22">
                  <c:v>297.49426927035785</c:v>
                </c:pt>
                <c:pt idx="23">
                  <c:v>239.61684356067786</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WOODPELLETS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1205.5004754250917</c:v>
                </c:pt>
                <c:pt idx="1">
                  <c:v>1591.9060731473496</c:v>
                </c:pt>
                <c:pt idx="2">
                  <c:v>1591.9060731473496</c:v>
                </c:pt>
                <c:pt idx="3">
                  <c:v>1591.9060731473496</c:v>
                </c:pt>
                <c:pt idx="4">
                  <c:v>1497.2419355043064</c:v>
                </c:pt>
                <c:pt idx="5">
                  <c:v>960.79496203623876</c:v>
                </c:pt>
                <c:pt idx="6">
                  <c:v>974.79496203623876</c:v>
                </c:pt>
                <c:pt idx="7">
                  <c:v>960.79496203623876</c:v>
                </c:pt>
                <c:pt idx="8">
                  <c:v>960.79496203623876</c:v>
                </c:pt>
                <c:pt idx="9">
                  <c:v>960.79496203623876</c:v>
                </c:pt>
                <c:pt idx="10">
                  <c:v>961.73078695110644</c:v>
                </c:pt>
                <c:pt idx="11">
                  <c:v>960.79496203623876</c:v>
                </c:pt>
                <c:pt idx="12">
                  <c:v>960.79496203623876</c:v>
                </c:pt>
                <c:pt idx="13">
                  <c:v>970.48933359846092</c:v>
                </c:pt>
                <c:pt idx="14">
                  <c:v>960.79496203623876</c:v>
                </c:pt>
                <c:pt idx="15">
                  <c:v>960.79496203623876</c:v>
                </c:pt>
                <c:pt idx="16">
                  <c:v>960.79496203623876</c:v>
                </c:pt>
                <c:pt idx="17">
                  <c:v>960.79496203623876</c:v>
                </c:pt>
                <c:pt idx="18">
                  <c:v>960.79496203623876</c:v>
                </c:pt>
                <c:pt idx="19">
                  <c:v>1591.9060731473496</c:v>
                </c:pt>
                <c:pt idx="20">
                  <c:v>1540.1443465547397</c:v>
                </c:pt>
                <c:pt idx="21">
                  <c:v>1522.6430885688994</c:v>
                </c:pt>
                <c:pt idx="22">
                  <c:v>1544.3539542185742</c:v>
                </c:pt>
                <c:pt idx="23">
                  <c:v>1591.9060731473496</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FUELOIL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57.16</c:v>
                </c:pt>
                <c:pt idx="1">
                  <c:v>57.16</c:v>
                </c:pt>
                <c:pt idx="2">
                  <c:v>57.16</c:v>
                </c:pt>
                <c:pt idx="3">
                  <c:v>57.16</c:v>
                </c:pt>
                <c:pt idx="4">
                  <c:v>57.16</c:v>
                </c:pt>
                <c:pt idx="5">
                  <c:v>57.16</c:v>
                </c:pt>
                <c:pt idx="6">
                  <c:v>57.16</c:v>
                </c:pt>
                <c:pt idx="7">
                  <c:v>57.16</c:v>
                </c:pt>
                <c:pt idx="8">
                  <c:v>57.16</c:v>
                </c:pt>
                <c:pt idx="9">
                  <c:v>57.135595491798398</c:v>
                </c:pt>
                <c:pt idx="10">
                  <c:v>55.749697752180403</c:v>
                </c:pt>
                <c:pt idx="11">
                  <c:v>54.599141138157897</c:v>
                </c:pt>
                <c:pt idx="12">
                  <c:v>57.16</c:v>
                </c:pt>
                <c:pt idx="13">
                  <c:v>55.190499968715002</c:v>
                </c:pt>
                <c:pt idx="14">
                  <c:v>52.2980279101129</c:v>
                </c:pt>
                <c:pt idx="15">
                  <c:v>57.16</c:v>
                </c:pt>
                <c:pt idx="16">
                  <c:v>57.16</c:v>
                </c:pt>
                <c:pt idx="17">
                  <c:v>57.16</c:v>
                </c:pt>
                <c:pt idx="18">
                  <c:v>57.16</c:v>
                </c:pt>
                <c:pt idx="19">
                  <c:v>57.16</c:v>
                </c:pt>
                <c:pt idx="20">
                  <c:v>57.16</c:v>
                </c:pt>
                <c:pt idx="21">
                  <c:v>57.16</c:v>
                </c:pt>
                <c:pt idx="22">
                  <c:v>57.16</c:v>
                </c:pt>
                <c:pt idx="23">
                  <c:v>57.16</c:v>
                </c:pt>
              </c:numCache>
            </c:numRef>
          </c:val>
          <c:extLst>
            <c:ext xmlns:c16="http://schemas.microsoft.com/office/drawing/2014/chart" uri="{C3380CC4-5D6E-409C-BE32-E72D297353CC}">
              <c16:uniqueId val="{0000000D-1313-4556-84DE-66D64760551D}"/>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s>
    <c:plotArea>
      <c:layout/>
      <c:barChart>
        <c:barDir val="col"/>
        <c:grouping val="clustered"/>
        <c:varyColors val="0"/>
        <c:ser>
          <c:idx val="0"/>
          <c:order val="0"/>
          <c:tx>
            <c:strRef>
              <c:f>'Fuel CON - Time'!$D$4:$D$7</c:f>
              <c:strCache>
                <c:ptCount val="1"/>
                <c:pt idx="0">
                  <c:v>DENMARK - NATGAS - GNR_ENG_NGAS_BP_E-40</c:v>
                </c:pt>
              </c:strCache>
            </c:strRef>
          </c:tx>
          <c:spPr>
            <a:solidFill>
              <a:schemeClr val="accent1"/>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Time'!$D$8:$D$32</c:f>
              <c:numCache>
                <c:formatCode>General</c:formatCode>
                <c:ptCount val="24"/>
                <c:pt idx="0">
                  <c:v>35182.35</c:v>
                </c:pt>
                <c:pt idx="1">
                  <c:v>35182.35</c:v>
                </c:pt>
                <c:pt idx="2">
                  <c:v>17114.849999999999</c:v>
                </c:pt>
                <c:pt idx="3">
                  <c:v>35182.35</c:v>
                </c:pt>
                <c:pt idx="4">
                  <c:v>35182.35</c:v>
                </c:pt>
                <c:pt idx="5">
                  <c:v>35182.35</c:v>
                </c:pt>
                <c:pt idx="6">
                  <c:v>35182.35</c:v>
                </c:pt>
                <c:pt idx="7">
                  <c:v>35182.35</c:v>
                </c:pt>
                <c:pt idx="8">
                  <c:v>35182.35</c:v>
                </c:pt>
                <c:pt idx="9">
                  <c:v>35182.35</c:v>
                </c:pt>
                <c:pt idx="10">
                  <c:v>35182.35</c:v>
                </c:pt>
                <c:pt idx="11">
                  <c:v>35182.35</c:v>
                </c:pt>
                <c:pt idx="12">
                  <c:v>35182.35</c:v>
                </c:pt>
                <c:pt idx="13">
                  <c:v>35182.35</c:v>
                </c:pt>
                <c:pt idx="14">
                  <c:v>35182.35</c:v>
                </c:pt>
                <c:pt idx="15">
                  <c:v>35182.35</c:v>
                </c:pt>
                <c:pt idx="16">
                  <c:v>35182.35</c:v>
                </c:pt>
                <c:pt idx="17">
                  <c:v>35182.35</c:v>
                </c:pt>
                <c:pt idx="18">
                  <c:v>35182.35</c:v>
                </c:pt>
                <c:pt idx="19">
                  <c:v>17114.849999999999</c:v>
                </c:pt>
                <c:pt idx="20">
                  <c:v>17114.849999999999</c:v>
                </c:pt>
                <c:pt idx="21">
                  <c:v>17114.849999999999</c:v>
                </c:pt>
                <c:pt idx="22">
                  <c:v>17114.849999999999</c:v>
                </c:pt>
                <c:pt idx="23">
                  <c:v>17114.849999999999</c:v>
                </c:pt>
              </c:numCache>
            </c:numRef>
          </c:val>
          <c:extLst>
            <c:ext xmlns:c16="http://schemas.microsoft.com/office/drawing/2014/chart" uri="{C3380CC4-5D6E-409C-BE32-E72D297353CC}">
              <c16:uniqueId val="{00000000-C276-4130-A710-9D626C89CFEA}"/>
            </c:ext>
          </c:extLst>
        </c:ser>
        <c:ser>
          <c:idx val="1"/>
          <c:order val="1"/>
          <c:tx>
            <c:strRef>
              <c:f>'Fuel CON - Time'!$E$4:$E$7</c:f>
              <c:strCache>
                <c:ptCount val="1"/>
                <c:pt idx="0">
                  <c:v>DENMARK - NATGAS - GNR_ENG_NGAS_BP_E-41</c:v>
                </c:pt>
              </c:strCache>
            </c:strRef>
          </c:tx>
          <c:spPr>
            <a:solidFill>
              <a:schemeClr val="accent2"/>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Time'!$E$8:$E$32</c:f>
              <c:numCache>
                <c:formatCode>General</c:formatCode>
                <c:ptCount val="24"/>
                <c:pt idx="0">
                  <c:v>12178.5365853659</c:v>
                </c:pt>
                <c:pt idx="1">
                  <c:v>12178.5365853659</c:v>
                </c:pt>
                <c:pt idx="2">
                  <c:v>12178.5365853659</c:v>
                </c:pt>
                <c:pt idx="3">
                  <c:v>12178.5365853659</c:v>
                </c:pt>
                <c:pt idx="4">
                  <c:v>12178.5365853659</c:v>
                </c:pt>
                <c:pt idx="5">
                  <c:v>12178.5365853659</c:v>
                </c:pt>
                <c:pt idx="6">
                  <c:v>12178.5365853659</c:v>
                </c:pt>
                <c:pt idx="7">
                  <c:v>12178.5365853659</c:v>
                </c:pt>
                <c:pt idx="8">
                  <c:v>12178.5365853659</c:v>
                </c:pt>
                <c:pt idx="9">
                  <c:v>12178.5365853659</c:v>
                </c:pt>
                <c:pt idx="10">
                  <c:v>12178.5365853659</c:v>
                </c:pt>
                <c:pt idx="11">
                  <c:v>12178.5365853659</c:v>
                </c:pt>
                <c:pt idx="12">
                  <c:v>12178.5365853659</c:v>
                </c:pt>
                <c:pt idx="13">
                  <c:v>12178.5365853659</c:v>
                </c:pt>
                <c:pt idx="14">
                  <c:v>12178.5365853659</c:v>
                </c:pt>
                <c:pt idx="15">
                  <c:v>12178.5365853659</c:v>
                </c:pt>
                <c:pt idx="16">
                  <c:v>12178.5365853659</c:v>
                </c:pt>
                <c:pt idx="17">
                  <c:v>12178.5365853659</c:v>
                </c:pt>
                <c:pt idx="18">
                  <c:v>12178.5365853659</c:v>
                </c:pt>
                <c:pt idx="19">
                  <c:v>12178.5365853659</c:v>
                </c:pt>
                <c:pt idx="20">
                  <c:v>12178.5365853659</c:v>
                </c:pt>
                <c:pt idx="21">
                  <c:v>12178.5365853659</c:v>
                </c:pt>
                <c:pt idx="22">
                  <c:v>12178.5365853659</c:v>
                </c:pt>
                <c:pt idx="23">
                  <c:v>12178.5365853659</c:v>
                </c:pt>
              </c:numCache>
            </c:numRef>
          </c:val>
          <c:extLst>
            <c:ext xmlns:c16="http://schemas.microsoft.com/office/drawing/2014/chart" uri="{C3380CC4-5D6E-409C-BE32-E72D297353CC}">
              <c16:uniqueId val="{0000008B-8F36-414A-BFDD-19B2A05302E7}"/>
            </c:ext>
          </c:extLst>
        </c:ser>
        <c:ser>
          <c:idx val="2"/>
          <c:order val="2"/>
          <c:tx>
            <c:strRef>
              <c:f>'Fuel CON - Time'!$F$4:$F$7</c:f>
              <c:strCache>
                <c:ptCount val="1"/>
                <c:pt idx="0">
                  <c:v>DENMARK - NATGAS - GNR_ENG_NGAS_BP_E-42</c:v>
                </c:pt>
              </c:strCache>
            </c:strRef>
          </c:tx>
          <c:spPr>
            <a:solidFill>
              <a:schemeClr val="accent3"/>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Time'!$F$8:$F$32</c:f>
              <c:numCache>
                <c:formatCode>General</c:formatCode>
                <c:ptCount val="24"/>
                <c:pt idx="0">
                  <c:v>7070.5714285714303</c:v>
                </c:pt>
                <c:pt idx="1">
                  <c:v>7070.5714285714303</c:v>
                </c:pt>
                <c:pt idx="2">
                  <c:v>7070.5714285714303</c:v>
                </c:pt>
                <c:pt idx="3">
                  <c:v>7070.5714285714303</c:v>
                </c:pt>
                <c:pt idx="4">
                  <c:v>7070.5714285714303</c:v>
                </c:pt>
                <c:pt idx="5">
                  <c:v>13327.71428571429</c:v>
                </c:pt>
                <c:pt idx="6">
                  <c:v>13327.71428571429</c:v>
                </c:pt>
                <c:pt idx="7">
                  <c:v>13327.71428571429</c:v>
                </c:pt>
                <c:pt idx="8">
                  <c:v>13327.71428571429</c:v>
                </c:pt>
                <c:pt idx="9">
                  <c:v>13327.71428571429</c:v>
                </c:pt>
                <c:pt idx="10">
                  <c:v>13327.71428571429</c:v>
                </c:pt>
                <c:pt idx="11">
                  <c:v>13327.71428571429</c:v>
                </c:pt>
                <c:pt idx="12">
                  <c:v>13327.71428571429</c:v>
                </c:pt>
                <c:pt idx="13">
                  <c:v>13327.71428571429</c:v>
                </c:pt>
                <c:pt idx="14">
                  <c:v>13327.71428571429</c:v>
                </c:pt>
                <c:pt idx="15">
                  <c:v>13327.71428571429</c:v>
                </c:pt>
                <c:pt idx="16">
                  <c:v>13327.71428571429</c:v>
                </c:pt>
                <c:pt idx="17">
                  <c:v>13327.71428571429</c:v>
                </c:pt>
                <c:pt idx="18">
                  <c:v>13327.71428571429</c:v>
                </c:pt>
                <c:pt idx="19">
                  <c:v>7070.5714285714303</c:v>
                </c:pt>
                <c:pt idx="20">
                  <c:v>7070.5714285714303</c:v>
                </c:pt>
                <c:pt idx="21">
                  <c:v>7070.5714285714303</c:v>
                </c:pt>
                <c:pt idx="22">
                  <c:v>7070.5714285714303</c:v>
                </c:pt>
                <c:pt idx="23">
                  <c:v>7070.5714285714303</c:v>
                </c:pt>
              </c:numCache>
            </c:numRef>
          </c:val>
          <c:extLst>
            <c:ext xmlns:c16="http://schemas.microsoft.com/office/drawing/2014/chart" uri="{C3380CC4-5D6E-409C-BE32-E72D297353CC}">
              <c16:uniqueId val="{0000008C-8F36-414A-BFDD-19B2A05302E7}"/>
            </c:ext>
          </c:extLst>
        </c:ser>
        <c:ser>
          <c:idx val="3"/>
          <c:order val="3"/>
          <c:tx>
            <c:strRef>
              <c:f>'Fuel CON - Time'!$G$4:$G$7</c:f>
              <c:strCache>
                <c:ptCount val="1"/>
                <c:pt idx="0">
                  <c:v>DENMARK - NATGAS - GNR_ENG_NGAS_BP_E-43</c:v>
                </c:pt>
              </c:strCache>
            </c:strRef>
          </c:tx>
          <c:spPr>
            <a:solidFill>
              <a:schemeClr val="accent4"/>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Time'!$G$8:$G$32</c:f>
              <c:numCache>
                <c:formatCode>General</c:formatCode>
                <c:ptCount val="24"/>
                <c:pt idx="0">
                  <c:v>27471.767441860498</c:v>
                </c:pt>
                <c:pt idx="1">
                  <c:v>27471.767441860498</c:v>
                </c:pt>
                <c:pt idx="2">
                  <c:v>27471.767441860498</c:v>
                </c:pt>
                <c:pt idx="3">
                  <c:v>27471.767441860498</c:v>
                </c:pt>
                <c:pt idx="4">
                  <c:v>27471.767441860498</c:v>
                </c:pt>
                <c:pt idx="5">
                  <c:v>27471.767441860498</c:v>
                </c:pt>
                <c:pt idx="6">
                  <c:v>27471.767441860498</c:v>
                </c:pt>
                <c:pt idx="7">
                  <c:v>27471.767441860498</c:v>
                </c:pt>
                <c:pt idx="8">
                  <c:v>27471.767441860498</c:v>
                </c:pt>
                <c:pt idx="9">
                  <c:v>27471.767441860498</c:v>
                </c:pt>
                <c:pt idx="10">
                  <c:v>27471.767441860498</c:v>
                </c:pt>
                <c:pt idx="11">
                  <c:v>27471.767441860498</c:v>
                </c:pt>
                <c:pt idx="12">
                  <c:v>27471.767441860498</c:v>
                </c:pt>
                <c:pt idx="13">
                  <c:v>27471.767441860498</c:v>
                </c:pt>
                <c:pt idx="14">
                  <c:v>27471.767441860498</c:v>
                </c:pt>
                <c:pt idx="15">
                  <c:v>27471.767441860498</c:v>
                </c:pt>
                <c:pt idx="16">
                  <c:v>27471.767441860498</c:v>
                </c:pt>
                <c:pt idx="17">
                  <c:v>27471.767441860498</c:v>
                </c:pt>
                <c:pt idx="18">
                  <c:v>27471.767441860498</c:v>
                </c:pt>
                <c:pt idx="19">
                  <c:v>27471.767441860498</c:v>
                </c:pt>
                <c:pt idx="20">
                  <c:v>27471.767441860498</c:v>
                </c:pt>
                <c:pt idx="21">
                  <c:v>27471.767441860498</c:v>
                </c:pt>
                <c:pt idx="22">
                  <c:v>27471.767441860498</c:v>
                </c:pt>
                <c:pt idx="23">
                  <c:v>27471.767441860498</c:v>
                </c:pt>
              </c:numCache>
            </c:numRef>
          </c:val>
          <c:extLst>
            <c:ext xmlns:c16="http://schemas.microsoft.com/office/drawing/2014/chart" uri="{C3380CC4-5D6E-409C-BE32-E72D297353CC}">
              <c16:uniqueId val="{0000008D-8F36-414A-BFDD-19B2A05302E7}"/>
            </c:ext>
          </c:extLst>
        </c:ser>
        <c:ser>
          <c:idx val="4"/>
          <c:order val="4"/>
          <c:tx>
            <c:strRef>
              <c:f>'Fuel CON - Time'!$H$4:$H$7</c:f>
              <c:strCache>
                <c:ptCount val="1"/>
                <c:pt idx="0">
                  <c:v>DENMARK - NATGAS - GNR_ENG_NGAS_BP_E-44</c:v>
                </c:pt>
              </c:strCache>
            </c:strRef>
          </c:tx>
          <c:spPr>
            <a:solidFill>
              <a:schemeClr val="accent5"/>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Time'!$H$8:$H$32</c:f>
              <c:numCache>
                <c:formatCode>General</c:formatCode>
                <c:ptCount val="24"/>
                <c:pt idx="0">
                  <c:v>9377.1818181818198</c:v>
                </c:pt>
                <c:pt idx="1">
                  <c:v>9377.1818181818198</c:v>
                </c:pt>
                <c:pt idx="2">
                  <c:v>9377.1818181818198</c:v>
                </c:pt>
                <c:pt idx="3">
                  <c:v>9377.1818181818198</c:v>
                </c:pt>
                <c:pt idx="4">
                  <c:v>9377.1818181818198</c:v>
                </c:pt>
                <c:pt idx="5">
                  <c:v>9377.1818181818198</c:v>
                </c:pt>
                <c:pt idx="6">
                  <c:v>9377.1818181818198</c:v>
                </c:pt>
                <c:pt idx="7">
                  <c:v>9377.1818181818198</c:v>
                </c:pt>
                <c:pt idx="8">
                  <c:v>9377.1818181818198</c:v>
                </c:pt>
                <c:pt idx="9">
                  <c:v>9377.1818181818198</c:v>
                </c:pt>
                <c:pt idx="10">
                  <c:v>9377.1818181818198</c:v>
                </c:pt>
                <c:pt idx="11">
                  <c:v>9377.1818181818198</c:v>
                </c:pt>
                <c:pt idx="12">
                  <c:v>9377.1818181818198</c:v>
                </c:pt>
                <c:pt idx="13">
                  <c:v>9377.1818181818198</c:v>
                </c:pt>
                <c:pt idx="14">
                  <c:v>9377.1818181818198</c:v>
                </c:pt>
                <c:pt idx="15">
                  <c:v>9377.1818181818198</c:v>
                </c:pt>
                <c:pt idx="16">
                  <c:v>9377.1818181818198</c:v>
                </c:pt>
                <c:pt idx="17">
                  <c:v>9377.1818181818198</c:v>
                </c:pt>
                <c:pt idx="18">
                  <c:v>9377.1818181818198</c:v>
                </c:pt>
                <c:pt idx="19">
                  <c:v>9377.1818181818198</c:v>
                </c:pt>
                <c:pt idx="20">
                  <c:v>9377.1818181818198</c:v>
                </c:pt>
                <c:pt idx="21">
                  <c:v>9377.1818181818198</c:v>
                </c:pt>
                <c:pt idx="22">
                  <c:v>9377.1818181818198</c:v>
                </c:pt>
                <c:pt idx="23">
                  <c:v>9377.1818181818198</c:v>
                </c:pt>
              </c:numCache>
            </c:numRef>
          </c:val>
          <c:extLst>
            <c:ext xmlns:c16="http://schemas.microsoft.com/office/drawing/2014/chart" uri="{C3380CC4-5D6E-409C-BE32-E72D297353CC}">
              <c16:uniqueId val="{0000008E-8F36-414A-BFDD-19B2A05302E7}"/>
            </c:ext>
          </c:extLst>
        </c:ser>
        <c:ser>
          <c:idx val="5"/>
          <c:order val="5"/>
          <c:tx>
            <c:strRef>
              <c:f>'Fuel CON - Time'!$I$4:$I$7</c:f>
              <c:strCache>
                <c:ptCount val="1"/>
                <c:pt idx="0">
                  <c:v>DENMARK - NATGAS - GNR_ENG_NGAS_BP_E-46</c:v>
                </c:pt>
              </c:strCache>
            </c:strRef>
          </c:tx>
          <c:spPr>
            <a:solidFill>
              <a:schemeClr val="accent6"/>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Time'!$I$8:$I$32</c:f>
              <c:numCache>
                <c:formatCode>General</c:formatCode>
                <c:ptCount val="24"/>
                <c:pt idx="0">
                  <c:v>100761.9709089573</c:v>
                </c:pt>
                <c:pt idx="1">
                  <c:v>46105.40664751477</c:v>
                </c:pt>
                <c:pt idx="2">
                  <c:v>8341.04347826087</c:v>
                </c:pt>
                <c:pt idx="3">
                  <c:v>14760.421428514321</c:v>
                </c:pt>
                <c:pt idx="4">
                  <c:v>146853.78260869591</c:v>
                </c:pt>
                <c:pt idx="5">
                  <c:v>146853.78260869591</c:v>
                </c:pt>
                <c:pt idx="6">
                  <c:v>146853.78260869591</c:v>
                </c:pt>
                <c:pt idx="7">
                  <c:v>146853.78260869591</c:v>
                </c:pt>
                <c:pt idx="8">
                  <c:v>146853.78260869591</c:v>
                </c:pt>
                <c:pt idx="9">
                  <c:v>146853.78260869591</c:v>
                </c:pt>
                <c:pt idx="10">
                  <c:v>146853.78260869591</c:v>
                </c:pt>
                <c:pt idx="11">
                  <c:v>146853.78260869591</c:v>
                </c:pt>
                <c:pt idx="12">
                  <c:v>146853.78260869591</c:v>
                </c:pt>
                <c:pt idx="13">
                  <c:v>146853.78260869591</c:v>
                </c:pt>
                <c:pt idx="14">
                  <c:v>146853.78260869591</c:v>
                </c:pt>
                <c:pt idx="15">
                  <c:v>146853.78260869591</c:v>
                </c:pt>
                <c:pt idx="16">
                  <c:v>146853.78260869591</c:v>
                </c:pt>
                <c:pt idx="17">
                  <c:v>146853.78260869591</c:v>
                </c:pt>
                <c:pt idx="18">
                  <c:v>146853.78260869591</c:v>
                </c:pt>
                <c:pt idx="19">
                  <c:v>8341.04347826087</c:v>
                </c:pt>
                <c:pt idx="20">
                  <c:v>8341.04347826087</c:v>
                </c:pt>
                <c:pt idx="21">
                  <c:v>8341.04347826087</c:v>
                </c:pt>
                <c:pt idx="22">
                  <c:v>8341.04347826087</c:v>
                </c:pt>
                <c:pt idx="23">
                  <c:v>8341.04347826087</c:v>
                </c:pt>
              </c:numCache>
            </c:numRef>
          </c:val>
          <c:extLst>
            <c:ext xmlns:c16="http://schemas.microsoft.com/office/drawing/2014/chart" uri="{C3380CC4-5D6E-409C-BE32-E72D297353CC}">
              <c16:uniqueId val="{0000008F-8F36-414A-BFDD-19B2A05302E7}"/>
            </c:ext>
          </c:extLst>
        </c:ser>
        <c:ser>
          <c:idx val="6"/>
          <c:order val="6"/>
          <c:tx>
            <c:strRef>
              <c:f>'Fuel CON - Time'!$J$4:$J$7</c:f>
              <c:strCache>
                <c:ptCount val="1"/>
                <c:pt idx="0">
                  <c:v>DENMARK - NATGAS - GNR_ST_NGAS_EXT_E-47</c:v>
                </c:pt>
              </c:strCache>
            </c:strRef>
          </c:tx>
          <c:spPr>
            <a:solidFill>
              <a:schemeClr val="accent1">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Time'!$J$8:$J$32</c:f>
              <c:numCache>
                <c:formatCode>General</c:formatCode>
                <c:ptCount val="24"/>
                <c:pt idx="6">
                  <c:v>163238.096301307</c:v>
                </c:pt>
                <c:pt idx="7">
                  <c:v>1095931.9148936199</c:v>
                </c:pt>
                <c:pt idx="8">
                  <c:v>1095931.9148936199</c:v>
                </c:pt>
                <c:pt idx="9">
                  <c:v>111170.672687504</c:v>
                </c:pt>
              </c:numCache>
            </c:numRef>
          </c:val>
          <c:extLst>
            <c:ext xmlns:c16="http://schemas.microsoft.com/office/drawing/2014/chart" uri="{C3380CC4-5D6E-409C-BE32-E72D297353CC}">
              <c16:uniqueId val="{00000090-8F36-414A-BFDD-19B2A05302E7}"/>
            </c:ext>
          </c:extLst>
        </c:ser>
        <c:ser>
          <c:idx val="7"/>
          <c:order val="7"/>
          <c:tx>
            <c:strRef>
              <c:f>'Fuel CON - Time'!$K$4:$K$7</c:f>
              <c:strCache>
                <c:ptCount val="1"/>
                <c:pt idx="0">
                  <c:v>DENMARK - NATGAS - GNR_GT_NGAS_BP_E-47</c:v>
                </c:pt>
              </c:strCache>
            </c:strRef>
          </c:tx>
          <c:spPr>
            <a:solidFill>
              <a:schemeClr val="accent2">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Time'!$K$8:$K$32</c:f>
              <c:numCache>
                <c:formatCode>General</c:formatCode>
                <c:ptCount val="24"/>
                <c:pt idx="7">
                  <c:v>176878.889311412</c:v>
                </c:pt>
                <c:pt idx="8">
                  <c:v>25722.7335179908</c:v>
                </c:pt>
              </c:numCache>
            </c:numRef>
          </c:val>
          <c:extLst>
            <c:ext xmlns:c16="http://schemas.microsoft.com/office/drawing/2014/chart" uri="{C3380CC4-5D6E-409C-BE32-E72D297353CC}">
              <c16:uniqueId val="{00000091-8F36-414A-BFDD-19B2A05302E7}"/>
            </c:ext>
          </c:extLst>
        </c:ser>
        <c:ser>
          <c:idx val="8"/>
          <c:order val="8"/>
          <c:tx>
            <c:strRef>
              <c:f>'Fuel CON - Time'!$L$4:$L$7</c:f>
              <c:strCache>
                <c:ptCount val="1"/>
                <c:pt idx="0">
                  <c:v>DENMARK - NATGAS - GNR_ENG_NGAS_BP_E-47</c:v>
                </c:pt>
              </c:strCache>
            </c:strRef>
          </c:tx>
          <c:spPr>
            <a:solidFill>
              <a:schemeClr val="accent3">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Time'!$L$8:$L$32</c:f>
              <c:numCache>
                <c:formatCode>General</c:formatCode>
                <c:ptCount val="24"/>
                <c:pt idx="6">
                  <c:v>10344.255319148901</c:v>
                </c:pt>
                <c:pt idx="7">
                  <c:v>10344.255319148901</c:v>
                </c:pt>
                <c:pt idx="8">
                  <c:v>10344.255319148901</c:v>
                </c:pt>
                <c:pt idx="9">
                  <c:v>10344.255319148901</c:v>
                </c:pt>
              </c:numCache>
            </c:numRef>
          </c:val>
          <c:extLst>
            <c:ext xmlns:c16="http://schemas.microsoft.com/office/drawing/2014/chart" uri="{C3380CC4-5D6E-409C-BE32-E72D297353CC}">
              <c16:uniqueId val="{00000092-8F36-414A-BFDD-19B2A05302E7}"/>
            </c:ext>
          </c:extLst>
        </c:ser>
        <c:ser>
          <c:idx val="9"/>
          <c:order val="9"/>
          <c:tx>
            <c:strRef>
              <c:f>'Fuel CON - Time'!$M$4:$M$7</c:f>
              <c:strCache>
                <c:ptCount val="1"/>
                <c:pt idx="0">
                  <c:v>DENMARK - NATGAS - GNR_ST_NGAS_BP_E-39</c:v>
                </c:pt>
              </c:strCache>
            </c:strRef>
          </c:tx>
          <c:spPr>
            <a:solidFill>
              <a:schemeClr val="accent4">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Time'!$M$8:$M$32</c:f>
              <c:numCache>
                <c:formatCode>General</c:formatCode>
                <c:ptCount val="24"/>
                <c:pt idx="0">
                  <c:v>276276.92307692301</c:v>
                </c:pt>
                <c:pt idx="1">
                  <c:v>276276.92307692301</c:v>
                </c:pt>
                <c:pt idx="2">
                  <c:v>276276.92307692301</c:v>
                </c:pt>
                <c:pt idx="3">
                  <c:v>276276.92307692301</c:v>
                </c:pt>
                <c:pt idx="4">
                  <c:v>276276.92307692301</c:v>
                </c:pt>
                <c:pt idx="5">
                  <c:v>276276.92307692301</c:v>
                </c:pt>
                <c:pt idx="6">
                  <c:v>276276.92307692301</c:v>
                </c:pt>
                <c:pt idx="7">
                  <c:v>276276.92307692301</c:v>
                </c:pt>
                <c:pt idx="8">
                  <c:v>276276.92307692301</c:v>
                </c:pt>
                <c:pt idx="9">
                  <c:v>276276.92307692301</c:v>
                </c:pt>
                <c:pt idx="10">
                  <c:v>276276.92307692301</c:v>
                </c:pt>
                <c:pt idx="11">
                  <c:v>276276.92307692301</c:v>
                </c:pt>
                <c:pt idx="12">
                  <c:v>276276.92307692301</c:v>
                </c:pt>
                <c:pt idx="13">
                  <c:v>276276.92307692301</c:v>
                </c:pt>
                <c:pt idx="14">
                  <c:v>276276.92307692301</c:v>
                </c:pt>
                <c:pt idx="15">
                  <c:v>276276.92307692301</c:v>
                </c:pt>
                <c:pt idx="16">
                  <c:v>276276.92307692301</c:v>
                </c:pt>
                <c:pt idx="17">
                  <c:v>276276.92307692301</c:v>
                </c:pt>
                <c:pt idx="18">
                  <c:v>276276.92307692301</c:v>
                </c:pt>
              </c:numCache>
            </c:numRef>
          </c:val>
          <c:extLst>
            <c:ext xmlns:c16="http://schemas.microsoft.com/office/drawing/2014/chart" uri="{C3380CC4-5D6E-409C-BE32-E72D297353CC}">
              <c16:uniqueId val="{00000093-8F36-414A-BFDD-19B2A05302E7}"/>
            </c:ext>
          </c:extLst>
        </c:ser>
        <c:ser>
          <c:idx val="10"/>
          <c:order val="10"/>
          <c:tx>
            <c:strRef>
              <c:f>'Fuel CON - Time'!$N$4:$N$7</c:f>
              <c:strCache>
                <c:ptCount val="1"/>
                <c:pt idx="0">
                  <c:v>DENMARK - NATGAS - GNR_GT_NGAS_BP_E-42</c:v>
                </c:pt>
              </c:strCache>
            </c:strRef>
          </c:tx>
          <c:spPr>
            <a:solidFill>
              <a:schemeClr val="accent5">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Time'!$N$8:$N$32</c:f>
              <c:numCache>
                <c:formatCode>General</c:formatCode>
                <c:ptCount val="24"/>
                <c:pt idx="8">
                  <c:v>184585.714285714</c:v>
                </c:pt>
                <c:pt idx="9">
                  <c:v>53508.994451409097</c:v>
                </c:pt>
                <c:pt idx="10">
                  <c:v>61736.561194159098</c:v>
                </c:pt>
                <c:pt idx="12">
                  <c:v>50051.268350721599</c:v>
                </c:pt>
                <c:pt idx="13">
                  <c:v>184585.714285714</c:v>
                </c:pt>
                <c:pt idx="14">
                  <c:v>184585.714285714</c:v>
                </c:pt>
                <c:pt idx="15">
                  <c:v>35355.932422800397</c:v>
                </c:pt>
                <c:pt idx="16">
                  <c:v>40542.521573831502</c:v>
                </c:pt>
                <c:pt idx="17">
                  <c:v>56102.289026924504</c:v>
                </c:pt>
                <c:pt idx="18">
                  <c:v>61288.878177955601</c:v>
                </c:pt>
              </c:numCache>
            </c:numRef>
          </c:val>
          <c:extLst>
            <c:ext xmlns:c16="http://schemas.microsoft.com/office/drawing/2014/chart" uri="{C3380CC4-5D6E-409C-BE32-E72D297353CC}">
              <c16:uniqueId val="{00000094-8F36-414A-BFDD-19B2A05302E7}"/>
            </c:ext>
          </c:extLst>
        </c:ser>
        <c:ser>
          <c:idx val="11"/>
          <c:order val="11"/>
          <c:tx>
            <c:strRef>
              <c:f>'Fuel CON - Time'!$O$4:$O$7</c:f>
              <c:strCache>
                <c:ptCount val="1"/>
                <c:pt idx="0">
                  <c:v>DENMARK - NATGAS - GNR_GT_NGAS_BP_E-44</c:v>
                </c:pt>
              </c:strCache>
            </c:strRef>
          </c:tx>
          <c:spPr>
            <a:solidFill>
              <a:schemeClr val="accent6">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Time'!$O$8:$O$32</c:f>
              <c:numCache>
                <c:formatCode>General</c:formatCode>
                <c:ptCount val="24"/>
                <c:pt idx="0">
                  <c:v>229950</c:v>
                </c:pt>
                <c:pt idx="1">
                  <c:v>229950</c:v>
                </c:pt>
                <c:pt idx="2">
                  <c:v>229950</c:v>
                </c:pt>
                <c:pt idx="3">
                  <c:v>229950</c:v>
                </c:pt>
                <c:pt idx="4">
                  <c:v>229950</c:v>
                </c:pt>
                <c:pt idx="5">
                  <c:v>229950</c:v>
                </c:pt>
                <c:pt idx="6">
                  <c:v>229950</c:v>
                </c:pt>
                <c:pt idx="7">
                  <c:v>229950</c:v>
                </c:pt>
                <c:pt idx="8">
                  <c:v>229950</c:v>
                </c:pt>
                <c:pt idx="9">
                  <c:v>229950</c:v>
                </c:pt>
                <c:pt idx="10">
                  <c:v>229950</c:v>
                </c:pt>
                <c:pt idx="11">
                  <c:v>229950</c:v>
                </c:pt>
                <c:pt idx="12">
                  <c:v>229950</c:v>
                </c:pt>
                <c:pt idx="13">
                  <c:v>229950</c:v>
                </c:pt>
                <c:pt idx="14">
                  <c:v>229950</c:v>
                </c:pt>
                <c:pt idx="15">
                  <c:v>229950</c:v>
                </c:pt>
                <c:pt idx="16">
                  <c:v>229950</c:v>
                </c:pt>
                <c:pt idx="17">
                  <c:v>229950</c:v>
                </c:pt>
                <c:pt idx="18">
                  <c:v>229950</c:v>
                </c:pt>
              </c:numCache>
            </c:numRef>
          </c:val>
          <c:extLst>
            <c:ext xmlns:c16="http://schemas.microsoft.com/office/drawing/2014/chart" uri="{C3380CC4-5D6E-409C-BE32-E72D297353CC}">
              <c16:uniqueId val="{00000095-8F36-414A-BFDD-19B2A05302E7}"/>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SUN</c:v>
                </c:pt>
              </c:strCache>
            </c:strRef>
          </c:tx>
          <c:spPr>
            <a:solidFill>
              <a:schemeClr val="accent1"/>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Annual'!$C$6:$C$17</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ELECTRIC</c:v>
                </c:pt>
              </c:strCache>
            </c:strRef>
          </c:tx>
          <c:spPr>
            <a:solidFill>
              <a:schemeClr val="accent2"/>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Annual'!$D$6:$D$17</c:f>
              <c:numCache>
                <c:formatCode>General</c:formatCode>
                <c:ptCount val="11"/>
                <c:pt idx="1">
                  <c:v>11.370978657449029</c:v>
                </c:pt>
              </c:numCache>
            </c:numRef>
          </c:val>
          <c:extLst>
            <c:ext xmlns:c16="http://schemas.microsoft.com/office/drawing/2014/chart" uri="{C3380CC4-5D6E-409C-BE32-E72D297353CC}">
              <c16:uniqueId val="{00000001-9575-4B09-8D6E-5D253FEFC951}"/>
            </c:ext>
          </c:extLst>
        </c:ser>
        <c:ser>
          <c:idx val="2"/>
          <c:order val="2"/>
          <c:tx>
            <c:strRef>
              <c:f>'Fuel CON - Annual'!$E$4:$E$5</c:f>
              <c:strCache>
                <c:ptCount val="1"/>
                <c:pt idx="0">
                  <c:v>WIND</c:v>
                </c:pt>
              </c:strCache>
            </c:strRef>
          </c:tx>
          <c:spPr>
            <a:solidFill>
              <a:schemeClr val="accent3"/>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Annual'!$E$6:$E$17</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2-9575-4B09-8D6E-5D253FEFC951}"/>
            </c:ext>
          </c:extLst>
        </c:ser>
        <c:ser>
          <c:idx val="3"/>
          <c:order val="3"/>
          <c:tx>
            <c:strRef>
              <c:f>'Fuel CON - Annual'!$F$4:$F$5</c:f>
              <c:strCache>
                <c:ptCount val="1"/>
                <c:pt idx="0">
                  <c:v>NATGAS</c:v>
                </c:pt>
              </c:strCache>
            </c:strRef>
          </c:tx>
          <c:spPr>
            <a:solidFill>
              <a:schemeClr val="accent4"/>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Annual'!$F$6:$F$17</c:f>
              <c:numCache>
                <c:formatCode>General</c:formatCode>
                <c:ptCount val="11"/>
                <c:pt idx="0">
                  <c:v>4.9514755397108452</c:v>
                </c:pt>
                <c:pt idx="1">
                  <c:v>4.9514755397108301</c:v>
                </c:pt>
                <c:pt idx="2">
                  <c:v>4.86260691577756</c:v>
                </c:pt>
                <c:pt idx="3">
                  <c:v>4.9514755397108301</c:v>
                </c:pt>
                <c:pt idx="4">
                  <c:v>4.9514755397108301</c:v>
                </c:pt>
                <c:pt idx="5">
                  <c:v>4.9514755397108301</c:v>
                </c:pt>
                <c:pt idx="6">
                  <c:v>2.6064878005573204</c:v>
                </c:pt>
                <c:pt idx="7">
                  <c:v>4.9514755397108399</c:v>
                </c:pt>
                <c:pt idx="8">
                  <c:v>4.9514755397108301</c:v>
                </c:pt>
                <c:pt idx="9">
                  <c:v>4.9514755397108319</c:v>
                </c:pt>
                <c:pt idx="10">
                  <c:v>4.951475539710831</c:v>
                </c:pt>
              </c:numCache>
            </c:numRef>
          </c:val>
          <c:extLst>
            <c:ext xmlns:c16="http://schemas.microsoft.com/office/drawing/2014/chart" uri="{C3380CC4-5D6E-409C-BE32-E72D297353CC}">
              <c16:uniqueId val="{00000003-9575-4B09-8D6E-5D253FEFC951}"/>
            </c:ext>
          </c:extLst>
        </c:ser>
        <c:ser>
          <c:idx val="4"/>
          <c:order val="4"/>
          <c:tx>
            <c:strRef>
              <c:f>'Fuel CON - Annual'!$G$4:$G$5</c:f>
              <c:strCache>
                <c:ptCount val="1"/>
                <c:pt idx="0">
                  <c:v>MUNIWASTE</c:v>
                </c:pt>
              </c:strCache>
            </c:strRef>
          </c:tx>
          <c:spPr>
            <a:solidFill>
              <a:schemeClr val="accent5"/>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Annual'!$G$6:$G$17</c:f>
              <c:numCache>
                <c:formatCode>General</c:formatCode>
                <c:ptCount val="11"/>
                <c:pt idx="0">
                  <c:v>15.811433029861528</c:v>
                </c:pt>
                <c:pt idx="1">
                  <c:v>42.969827409091032</c:v>
                </c:pt>
                <c:pt idx="2">
                  <c:v>3.0429286750293008</c:v>
                </c:pt>
                <c:pt idx="3">
                  <c:v>20.504820396973471</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4-9575-4B09-8D6E-5D253FEFC951}"/>
            </c:ext>
          </c:extLst>
        </c:ser>
        <c:ser>
          <c:idx val="5"/>
          <c:order val="5"/>
          <c:tx>
            <c:strRef>
              <c:f>'Fuel CON - Annual'!$H$4:$H$5</c:f>
              <c:strCache>
                <c:ptCount val="1"/>
                <c:pt idx="0">
                  <c:v>WOODWASTE</c:v>
                </c:pt>
              </c:strCache>
            </c:strRef>
          </c:tx>
          <c:spPr>
            <a:solidFill>
              <a:schemeClr val="accent6"/>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Annual'!$H$6:$H$17</c:f>
              <c:numCache>
                <c:formatCode>General</c:formatCode>
                <c:ptCount val="11"/>
                <c:pt idx="0">
                  <c:v>0.74706410686558578</c:v>
                </c:pt>
                <c:pt idx="2">
                  <c:v>0.76257916350948518</c:v>
                </c:pt>
                <c:pt idx="3">
                  <c:v>35.314669650794016</c:v>
                </c:pt>
                <c:pt idx="6">
                  <c:v>1.279638530287984</c:v>
                </c:pt>
                <c:pt idx="8">
                  <c:v>0.35962105263157901</c:v>
                </c:pt>
                <c:pt idx="10">
                  <c:v>8.8821075004951453</c:v>
                </c:pt>
              </c:numCache>
            </c:numRef>
          </c:val>
          <c:extLst>
            <c:ext xmlns:c16="http://schemas.microsoft.com/office/drawing/2014/chart" uri="{C3380CC4-5D6E-409C-BE32-E72D297353CC}">
              <c16:uniqueId val="{00000005-9575-4B09-8D6E-5D253FEFC951}"/>
            </c:ext>
          </c:extLst>
        </c:ser>
        <c:ser>
          <c:idx val="6"/>
          <c:order val="6"/>
          <c:tx>
            <c:strRef>
              <c:f>'Fuel CON - Annual'!$I$4:$I$5</c:f>
              <c:strCache>
                <c:ptCount val="1"/>
                <c:pt idx="0">
                  <c:v>WASTEHEAT</c:v>
                </c:pt>
              </c:strCache>
            </c:strRef>
          </c:tx>
          <c:spPr>
            <a:solidFill>
              <a:schemeClr val="accent1">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Annual'!$I$6:$I$17</c:f>
              <c:numCache>
                <c:formatCode>General</c:formatCode>
                <c:ptCount val="11"/>
                <c:pt idx="0">
                  <c:v>2.8772220000000006</c:v>
                </c:pt>
                <c:pt idx="1">
                  <c:v>0.39402480000000001</c:v>
                </c:pt>
                <c:pt idx="2">
                  <c:v>0.18939141865256892</c:v>
                </c:pt>
                <c:pt idx="3">
                  <c:v>4.4802791475786146</c:v>
                </c:pt>
                <c:pt idx="10">
                  <c:v>1.9283832417582336</c:v>
                </c:pt>
              </c:numCache>
            </c:numRef>
          </c:val>
          <c:extLst>
            <c:ext xmlns:c16="http://schemas.microsoft.com/office/drawing/2014/chart" uri="{C3380CC4-5D6E-409C-BE32-E72D297353CC}">
              <c16:uniqueId val="{00000006-9575-4B09-8D6E-5D253FEFC951}"/>
            </c:ext>
          </c:extLst>
        </c:ser>
        <c:ser>
          <c:idx val="7"/>
          <c:order val="7"/>
          <c:tx>
            <c:strRef>
              <c:f>'Fuel CON - Annual'!$J$4:$J$5</c:f>
              <c:strCache>
                <c:ptCount val="1"/>
                <c:pt idx="0">
                  <c:v>WATER</c:v>
                </c:pt>
              </c:strCache>
            </c:strRef>
          </c:tx>
          <c:spPr>
            <a:solidFill>
              <a:schemeClr val="accent2">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Annual'!$J$6:$J$17</c:f>
              <c:numCache>
                <c:formatCode>General</c:formatCode>
                <c:ptCount val="11"/>
                <c:pt idx="0">
                  <c:v>3.3522130756080723E-2</c:v>
                </c:pt>
                <c:pt idx="1">
                  <c:v>43.223641610514896</c:v>
                </c:pt>
                <c:pt idx="2">
                  <c:v>137.49465082914</c:v>
                </c:pt>
                <c:pt idx="3">
                  <c:v>68.097598734566006</c:v>
                </c:pt>
                <c:pt idx="4">
                  <c:v>0.15959999999999999</c:v>
                </c:pt>
                <c:pt idx="5">
                  <c:v>5.28207359972677</c:v>
                </c:pt>
                <c:pt idx="6">
                  <c:v>0.03</c:v>
                </c:pt>
                <c:pt idx="7">
                  <c:v>4.0200000000000001E-4</c:v>
                </c:pt>
                <c:pt idx="8">
                  <c:v>0.61343999999999999</c:v>
                </c:pt>
                <c:pt idx="9">
                  <c:v>2.3110249999999999</c:v>
                </c:pt>
                <c:pt idx="10">
                  <c:v>17.166220842502952</c:v>
                </c:pt>
              </c:numCache>
            </c:numRef>
          </c:val>
          <c:extLst>
            <c:ext xmlns:c16="http://schemas.microsoft.com/office/drawing/2014/chart" uri="{C3380CC4-5D6E-409C-BE32-E72D297353CC}">
              <c16:uniqueId val="{00000007-9575-4B09-8D6E-5D253FEFC951}"/>
            </c:ext>
          </c:extLst>
        </c:ser>
        <c:ser>
          <c:idx val="8"/>
          <c:order val="8"/>
          <c:tx>
            <c:strRef>
              <c:f>'Fuel CON - Annual'!$K$4:$K$5</c:f>
              <c:strCache>
                <c:ptCount val="1"/>
                <c:pt idx="0">
                  <c:v>NUCLEAR</c:v>
                </c:pt>
              </c:strCache>
            </c:strRef>
          </c:tx>
          <c:spPr>
            <a:solidFill>
              <a:schemeClr val="accent3">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Annual'!$K$6:$K$17</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8-9575-4B09-8D6E-5D253FEFC951}"/>
            </c:ext>
          </c:extLst>
        </c:ser>
        <c:ser>
          <c:idx val="9"/>
          <c:order val="9"/>
          <c:tx>
            <c:strRef>
              <c:f>'Fuel CON - Annual'!$L$4:$L$5</c:f>
              <c:strCache>
                <c:ptCount val="1"/>
                <c:pt idx="0">
                  <c:v>WOOD</c:v>
                </c:pt>
              </c:strCache>
            </c:strRef>
          </c:tx>
          <c:spPr>
            <a:solidFill>
              <a:schemeClr val="accent4">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Annual'!$L$6:$L$17</c:f>
              <c:numCache>
                <c:formatCode>General</c:formatCode>
                <c:ptCount val="11"/>
                <c:pt idx="3">
                  <c:v>42.533334422880451</c:v>
                </c:pt>
                <c:pt idx="4">
                  <c:v>7.008</c:v>
                </c:pt>
                <c:pt idx="6">
                  <c:v>4.5954806167550108</c:v>
                </c:pt>
                <c:pt idx="7">
                  <c:v>1.5561882352941201</c:v>
                </c:pt>
                <c:pt idx="8">
                  <c:v>2.6435539743526189</c:v>
                </c:pt>
                <c:pt idx="9">
                  <c:v>23.891349132281309</c:v>
                </c:pt>
                <c:pt idx="10">
                  <c:v>73.893856949430827</c:v>
                </c:pt>
              </c:numCache>
            </c:numRef>
          </c:val>
          <c:extLst>
            <c:ext xmlns:c16="http://schemas.microsoft.com/office/drawing/2014/chart" uri="{C3380CC4-5D6E-409C-BE32-E72D297353CC}">
              <c16:uniqueId val="{00000009-9575-4B09-8D6E-5D253FEFC951}"/>
            </c:ext>
          </c:extLst>
        </c:ser>
        <c:ser>
          <c:idx val="10"/>
          <c:order val="10"/>
          <c:tx>
            <c:strRef>
              <c:f>'Fuel CON - Annual'!$M$4:$M$5</c:f>
              <c:strCache>
                <c:ptCount val="1"/>
                <c:pt idx="0">
                  <c:v>STRAW</c:v>
                </c:pt>
              </c:strCache>
            </c:strRef>
          </c:tx>
          <c:spPr>
            <a:solidFill>
              <a:schemeClr val="accent5">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Annual'!$M$6:$M$17</c:f>
              <c:numCache>
                <c:formatCode>General</c:formatCode>
                <c:ptCount val="11"/>
                <c:pt idx="0">
                  <c:v>5.5952932216316702</c:v>
                </c:pt>
                <c:pt idx="3">
                  <c:v>2.5764705882352901E-2</c:v>
                </c:pt>
                <c:pt idx="9">
                  <c:v>61.942834204998697</c:v>
                </c:pt>
              </c:numCache>
            </c:numRef>
          </c:val>
          <c:extLst>
            <c:ext xmlns:c16="http://schemas.microsoft.com/office/drawing/2014/chart" uri="{C3380CC4-5D6E-409C-BE32-E72D297353CC}">
              <c16:uniqueId val="{0000000A-9575-4B09-8D6E-5D253FEFC951}"/>
            </c:ext>
          </c:extLst>
        </c:ser>
        <c:ser>
          <c:idx val="11"/>
          <c:order val="11"/>
          <c:tx>
            <c:strRef>
              <c:f>'Fuel CON - Annual'!$N$4:$N$5</c:f>
              <c:strCache>
                <c:ptCount val="1"/>
                <c:pt idx="0">
                  <c:v>WOODCHIPS</c:v>
                </c:pt>
              </c:strCache>
            </c:strRef>
          </c:tx>
          <c:spPr>
            <a:solidFill>
              <a:schemeClr val="accent6">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Annual'!$N$6:$N$17</c:f>
              <c:numCache>
                <c:formatCode>General</c:formatCode>
                <c:ptCount val="11"/>
                <c:pt idx="0">
                  <c:v>7.6897230546405488</c:v>
                </c:pt>
                <c:pt idx="2">
                  <c:v>0.67501857880319249</c:v>
                </c:pt>
                <c:pt idx="3">
                  <c:v>6.5783290960161995</c:v>
                </c:pt>
                <c:pt idx="10">
                  <c:v>15.272125085241845</c:v>
                </c:pt>
              </c:numCache>
            </c:numRef>
          </c:val>
          <c:extLst>
            <c:ext xmlns:c16="http://schemas.microsoft.com/office/drawing/2014/chart" uri="{C3380CC4-5D6E-409C-BE32-E72D297353CC}">
              <c16:uniqueId val="{00000000-81FF-4F1F-B265-5E7B5905AE22}"/>
            </c:ext>
          </c:extLst>
        </c:ser>
        <c:ser>
          <c:idx val="12"/>
          <c:order val="12"/>
          <c:tx>
            <c:strRef>
              <c:f>'Fuel CON - Annual'!$O$4:$O$5</c:f>
              <c:strCache>
                <c:ptCount val="1"/>
                <c:pt idx="0">
                  <c:v>HEAT</c:v>
                </c:pt>
              </c:strCache>
            </c:strRef>
          </c:tx>
          <c:spPr>
            <a:solidFill>
              <a:schemeClr val="accent1">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Annual'!$O$6:$O$17</c:f>
              <c:numCache>
                <c:formatCode>General</c:formatCode>
                <c:ptCount val="11"/>
                <c:pt idx="8">
                  <c:v>0.747176470588235</c:v>
                </c:pt>
              </c:numCache>
            </c:numRef>
          </c:val>
          <c:extLst>
            <c:ext xmlns:c16="http://schemas.microsoft.com/office/drawing/2014/chart" uri="{C3380CC4-5D6E-409C-BE32-E72D297353CC}">
              <c16:uniqueId val="{00000001-81FF-4F1F-B265-5E7B5905AE22}"/>
            </c:ext>
          </c:extLst>
        </c:ser>
        <c:ser>
          <c:idx val="13"/>
          <c:order val="13"/>
          <c:tx>
            <c:strRef>
              <c:f>'Fuel CON - Annual'!$P$4:$P$5</c:f>
              <c:strCache>
                <c:ptCount val="1"/>
                <c:pt idx="0">
                  <c:v>LPG</c:v>
                </c:pt>
              </c:strCache>
            </c:strRef>
          </c:tx>
          <c:spPr>
            <a:solidFill>
              <a:schemeClr val="accent2">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Annual'!$P$6:$P$17</c:f>
              <c:numCache>
                <c:formatCode>General</c:formatCode>
                <c:ptCount val="11"/>
                <c:pt idx="2">
                  <c:v>7.90099810246679E-2</c:v>
                </c:pt>
              </c:numCache>
            </c:numRef>
          </c:val>
          <c:extLst>
            <c:ext xmlns:c16="http://schemas.microsoft.com/office/drawing/2014/chart" uri="{C3380CC4-5D6E-409C-BE32-E72D297353CC}">
              <c16:uniqueId val="{00000006-3A7A-42A9-8EE0-2B9BE1BFD318}"/>
            </c:ext>
          </c:extLst>
        </c:ser>
        <c:ser>
          <c:idx val="14"/>
          <c:order val="14"/>
          <c:tx>
            <c:strRef>
              <c:f>'Fuel CON - Annual'!$Q$4:$Q$5</c:f>
              <c:strCache>
                <c:ptCount val="1"/>
                <c:pt idx="0">
                  <c:v>RECYCLEDWOOD</c:v>
                </c:pt>
              </c:strCache>
            </c:strRef>
          </c:tx>
          <c:spPr>
            <a:solidFill>
              <a:schemeClr val="accent3">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Annual'!$Q$6:$Q$17</c:f>
              <c:numCache>
                <c:formatCode>General</c:formatCode>
                <c:ptCount val="11"/>
                <c:pt idx="3">
                  <c:v>4.5762361830933935</c:v>
                </c:pt>
              </c:numCache>
            </c:numRef>
          </c:val>
          <c:extLst>
            <c:ext xmlns:c16="http://schemas.microsoft.com/office/drawing/2014/chart" uri="{C3380CC4-5D6E-409C-BE32-E72D297353CC}">
              <c16:uniqueId val="{00000007-3A7A-42A9-8EE0-2B9BE1BFD318}"/>
            </c:ext>
          </c:extLst>
        </c:ser>
        <c:ser>
          <c:idx val="15"/>
          <c:order val="15"/>
          <c:tx>
            <c:strRef>
              <c:f>'Fuel CON - Annual'!$R$4:$R$5</c:f>
              <c:strCache>
                <c:ptCount val="1"/>
                <c:pt idx="0">
                  <c:v>RETORTGAS</c:v>
                </c:pt>
              </c:strCache>
            </c:strRef>
          </c:tx>
          <c:spPr>
            <a:solidFill>
              <a:schemeClr val="accent4">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Annual'!$R$6:$R$17</c:f>
              <c:numCache>
                <c:formatCode>General</c:formatCode>
                <c:ptCount val="11"/>
                <c:pt idx="6">
                  <c:v>1.5546764753700699</c:v>
                </c:pt>
              </c:numCache>
            </c:numRef>
          </c:val>
          <c:extLst>
            <c:ext xmlns:c16="http://schemas.microsoft.com/office/drawing/2014/chart" uri="{C3380CC4-5D6E-409C-BE32-E72D297353CC}">
              <c16:uniqueId val="{00000008-3A7A-42A9-8EE0-2B9BE1BFD318}"/>
            </c:ext>
          </c:extLst>
        </c:ser>
        <c:ser>
          <c:idx val="16"/>
          <c:order val="16"/>
          <c:tx>
            <c:strRef>
              <c:f>'Fuel CON - Annual'!$S$4:$S$5</c:f>
              <c:strCache>
                <c:ptCount val="1"/>
                <c:pt idx="0">
                  <c:v>NATGAS_EXETS</c:v>
                </c:pt>
              </c:strCache>
            </c:strRef>
          </c:tx>
          <c:spPr>
            <a:solidFill>
              <a:schemeClr val="accent5">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Annual'!$S$6:$S$17</c:f>
              <c:numCache>
                <c:formatCode>General</c:formatCode>
                <c:ptCount val="11"/>
                <c:pt idx="10">
                  <c:v>3.7203470588235299</c:v>
                </c:pt>
              </c:numCache>
            </c:numRef>
          </c:val>
          <c:extLst>
            <c:ext xmlns:c16="http://schemas.microsoft.com/office/drawing/2014/chart" uri="{C3380CC4-5D6E-409C-BE32-E72D297353CC}">
              <c16:uniqueId val="{00000009-3A7A-42A9-8EE0-2B9BE1BFD318}"/>
            </c:ext>
          </c:extLst>
        </c:ser>
        <c:ser>
          <c:idx val="17"/>
          <c:order val="17"/>
          <c:tx>
            <c:strRef>
              <c:f>'Fuel CON - Annual'!$T$4:$T$5</c:f>
              <c:strCache>
                <c:ptCount val="1"/>
                <c:pt idx="0">
                  <c:v>BIOGAS</c:v>
                </c:pt>
              </c:strCache>
            </c:strRef>
          </c:tx>
          <c:spPr>
            <a:solidFill>
              <a:schemeClr val="accent6">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Annual'!$T$6:$T$17</c:f>
              <c:numCache>
                <c:formatCode>General</c:formatCode>
                <c:ptCount val="11"/>
                <c:pt idx="0">
                  <c:v>2.7145002578078592</c:v>
                </c:pt>
                <c:pt idx="1">
                  <c:v>168.85712838118025</c:v>
                </c:pt>
                <c:pt idx="5">
                  <c:v>73.654566666666696</c:v>
                </c:pt>
                <c:pt idx="6">
                  <c:v>8.2082248828735077E-2</c:v>
                </c:pt>
                <c:pt idx="7">
                  <c:v>1.7867346405228799</c:v>
                </c:pt>
                <c:pt idx="8">
                  <c:v>1.03527272727273</c:v>
                </c:pt>
                <c:pt idx="9">
                  <c:v>8.6179459459459498</c:v>
                </c:pt>
                <c:pt idx="10">
                  <c:v>0.12779294117647061</c:v>
                </c:pt>
              </c:numCache>
            </c:numRef>
          </c:val>
          <c:extLst>
            <c:ext xmlns:c16="http://schemas.microsoft.com/office/drawing/2014/chart" uri="{C3380CC4-5D6E-409C-BE32-E72D297353CC}">
              <c16:uniqueId val="{0000000A-3A7A-42A9-8EE0-2B9BE1BFD318}"/>
            </c:ext>
          </c:extLst>
        </c:ser>
        <c:ser>
          <c:idx val="18"/>
          <c:order val="18"/>
          <c:tx>
            <c:strRef>
              <c:f>'Fuel CON - Annual'!$U$4:$U$5</c:f>
              <c:strCache>
                <c:ptCount val="1"/>
                <c:pt idx="0">
                  <c:v>BIOOIL</c:v>
                </c:pt>
              </c:strCache>
            </c:strRef>
          </c:tx>
          <c:spPr>
            <a:solidFill>
              <a:schemeClr val="accent1">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Annual'!$U$6:$U$17</c:f>
              <c:numCache>
                <c:formatCode>General</c:formatCode>
                <c:ptCount val="11"/>
                <c:pt idx="0">
                  <c:v>2.4784949534685468</c:v>
                </c:pt>
                <c:pt idx="2">
                  <c:v>0.526877495256171</c:v>
                </c:pt>
                <c:pt idx="3">
                  <c:v>5.4724462267879534</c:v>
                </c:pt>
              </c:numCache>
            </c:numRef>
          </c:val>
          <c:extLst>
            <c:ext xmlns:c16="http://schemas.microsoft.com/office/drawing/2014/chart" uri="{C3380CC4-5D6E-409C-BE32-E72D297353CC}">
              <c16:uniqueId val="{0000000B-3A7A-42A9-8EE0-2B9BE1BFD318}"/>
            </c:ext>
          </c:extLst>
        </c:ser>
        <c:ser>
          <c:idx val="19"/>
          <c:order val="19"/>
          <c:tx>
            <c:strRef>
              <c:f>'Fuel CON - Annual'!$V$4:$V$5</c:f>
              <c:strCache>
                <c:ptCount val="1"/>
                <c:pt idx="0">
                  <c:v>WOODPELLETS</c:v>
                </c:pt>
              </c:strCache>
            </c:strRef>
          </c:tx>
          <c:spPr>
            <a:solidFill>
              <a:schemeClr val="accent2">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Annual'!$V$6:$V$17</c:f>
              <c:numCache>
                <c:formatCode>General</c:formatCode>
                <c:ptCount val="11"/>
                <c:pt idx="0">
                  <c:v>13.668662965490199</c:v>
                </c:pt>
                <c:pt idx="2">
                  <c:v>0.54506666666666703</c:v>
                </c:pt>
                <c:pt idx="3">
                  <c:v>8.1971571711558386</c:v>
                </c:pt>
                <c:pt idx="10">
                  <c:v>0.60866650925977706</c:v>
                </c:pt>
              </c:numCache>
            </c:numRef>
          </c:val>
          <c:extLst>
            <c:ext xmlns:c16="http://schemas.microsoft.com/office/drawing/2014/chart" uri="{C3380CC4-5D6E-409C-BE32-E72D297353CC}">
              <c16:uniqueId val="{0000000C-3A7A-42A9-8EE0-2B9BE1BFD318}"/>
            </c:ext>
          </c:extLst>
        </c:ser>
        <c:ser>
          <c:idx val="20"/>
          <c:order val="20"/>
          <c:tx>
            <c:strRef>
              <c:f>'Fuel CON - Annual'!$W$4:$W$5</c:f>
              <c:strCache>
                <c:ptCount val="1"/>
                <c:pt idx="0">
                  <c:v>FUELOIL</c:v>
                </c:pt>
              </c:strCache>
            </c:strRef>
          </c:tx>
          <c:spPr>
            <a:solidFill>
              <a:schemeClr val="accent3">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Annual'!$W$6:$W$17</c:f>
              <c:numCache>
                <c:formatCode>General</c:formatCode>
                <c:ptCount val="11"/>
                <c:pt idx="6">
                  <c:v>0.584434977912061</c:v>
                </c:pt>
              </c:numCache>
            </c:numRef>
          </c:val>
          <c:extLst>
            <c:ext xmlns:c16="http://schemas.microsoft.com/office/drawing/2014/chart" uri="{C3380CC4-5D6E-409C-BE32-E72D297353CC}">
              <c16:uniqueId val="{0000000D-3A7A-42A9-8EE0-2B9BE1BFD318}"/>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'Emissions - Annual'!$F$3</c:f>
              <c:strCache>
                <c:ptCount val="1"/>
                <c:pt idx="0">
                  <c:v>Sum of CO2 kilotons</c:v>
                </c:pt>
              </c:strCache>
            </c:strRef>
          </c:tx>
          <c:spPr>
            <a:solidFill>
              <a:schemeClr val="accent1"/>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Annual'!$F$4:$F$78</c:f>
              <c:numCache>
                <c:formatCode>General</c:formatCode>
                <c:ptCount val="74"/>
                <c:pt idx="0">
                  <c:v>167.790284324298</c:v>
                </c:pt>
                <c:pt idx="1">
                  <c:v>467.78152244653501</c:v>
                </c:pt>
                <c:pt idx="2">
                  <c:v>325.00594065773902</c:v>
                </c:pt>
                <c:pt idx="3">
                  <c:v>39.422252571428601</c:v>
                </c:pt>
              </c:numCache>
            </c:numRef>
          </c:val>
          <c:extLst>
            <c:ext xmlns:c16="http://schemas.microsoft.com/office/drawing/2014/chart" uri="{C3380CC4-5D6E-409C-BE32-E72D297353CC}">
              <c16:uniqueId val="{00000003-67F4-4EED-B23F-1045A65ACCF2}"/>
            </c:ext>
          </c:extLst>
        </c:ser>
        <c:ser>
          <c:idx val="1"/>
          <c:order val="1"/>
          <c:tx>
            <c:strRef>
              <c:f>'Emissions - Annual'!$G$3</c:f>
              <c:strCache>
                <c:ptCount val="1"/>
                <c:pt idx="0">
                  <c:v>Sum of N2O kilotons</c:v>
                </c:pt>
              </c:strCache>
            </c:strRef>
          </c:tx>
          <c:spPr>
            <a:solidFill>
              <a:schemeClr val="accent2"/>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Annual'!$G$4:$G$78</c:f>
              <c:numCache>
                <c:formatCode>General</c:formatCode>
                <c:ptCount val="74"/>
                <c:pt idx="0">
                  <c:v>5.3210449574301703E-3</c:v>
                </c:pt>
                <c:pt idx="1">
                  <c:v>1.4834509168494801E-2</c:v>
                </c:pt>
                <c:pt idx="2">
                  <c:v>1.03067423041566E-2</c:v>
                </c:pt>
                <c:pt idx="3">
                  <c:v>1.2501771428571401E-3</c:v>
                </c:pt>
                <c:pt idx="4">
                  <c:v>6.9675199942669892E-3</c:v>
                </c:pt>
                <c:pt idx="5">
                  <c:v>1.9972800000000001E-3</c:v>
                </c:pt>
                <c:pt idx="6">
                  <c:v>5.9752421052631597E-3</c:v>
                </c:pt>
                <c:pt idx="7">
                  <c:v>2.1843883835682393E-2</c:v>
                </c:pt>
                <c:pt idx="8">
                  <c:v>2.154386534820148E-2</c:v>
                </c:pt>
                <c:pt idx="9">
                  <c:v>1.7426560000000042E-2</c:v>
                </c:pt>
                <c:pt idx="10">
                  <c:v>1.2128142705882341E-3</c:v>
                </c:pt>
                <c:pt idx="11">
                  <c:v>5.7172974834097615E-3</c:v>
                </c:pt>
                <c:pt idx="12">
                  <c:v>9.6048346153846179E-3</c:v>
                </c:pt>
                <c:pt idx="13">
                  <c:v>1.0296398879999998E-2</c:v>
                </c:pt>
                <c:pt idx="14">
                  <c:v>1.1775812983520489E-2</c:v>
                </c:pt>
                <c:pt idx="15">
                  <c:v>9.0757604571428483E-3</c:v>
                </c:pt>
                <c:pt idx="16">
                  <c:v>5.4095240930232521E-3</c:v>
                </c:pt>
                <c:pt idx="17">
                  <c:v>4.432958181818188E-3</c:v>
                </c:pt>
                <c:pt idx="18">
                  <c:v>5.4889779130434732E-3</c:v>
                </c:pt>
                <c:pt idx="19">
                  <c:v>6.3266666666666701E-4</c:v>
                </c:pt>
                <c:pt idx="20">
                  <c:v>2.63023659574468E-2</c:v>
                </c:pt>
                <c:pt idx="21">
                  <c:v>1.6092976379678239E-2</c:v>
                </c:pt>
                <c:pt idx="24">
                  <c:v>8.1993599999999995E-4</c:v>
                </c:pt>
                <c:pt idx="25">
                  <c:v>1.78085647058824E-3</c:v>
                </c:pt>
                <c:pt idx="26">
                  <c:v>2.7059202000000001E-2</c:v>
                </c:pt>
                <c:pt idx="27">
                  <c:v>1.62485485714286E-2</c:v>
                </c:pt>
                <c:pt idx="28">
                  <c:v>3.39618461538462E-3</c:v>
                </c:pt>
                <c:pt idx="29">
                  <c:v>1.3167781714285703E-3</c:v>
                </c:pt>
                <c:pt idx="30">
                  <c:v>3.5873620540540544E-3</c:v>
                </c:pt>
                <c:pt idx="31">
                  <c:v>2.2617754838709708E-3</c:v>
                </c:pt>
                <c:pt idx="32">
                  <c:v>3.4851741852093511E-3</c:v>
                </c:pt>
                <c:pt idx="33">
                  <c:v>1.0512000000000001E-2</c:v>
                </c:pt>
                <c:pt idx="36">
                  <c:v>2.0697325000000001E-3</c:v>
                </c:pt>
                <c:pt idx="37">
                  <c:v>6.0248427906976799E-3</c:v>
                </c:pt>
                <c:pt idx="38">
                  <c:v>9.6041454545454496E-3</c:v>
                </c:pt>
                <c:pt idx="39">
                  <c:v>7.28347404255319E-3</c:v>
                </c:pt>
                <c:pt idx="42">
                  <c:v>8.9373899999999908E-4</c:v>
                </c:pt>
                <c:pt idx="43">
                  <c:v>3.1382165853658501E-3</c:v>
                </c:pt>
                <c:pt idx="44">
                  <c:v>4.3876173913043497E-5</c:v>
                </c:pt>
                <c:pt idx="45">
                  <c:v>1.0239814285714279E-3</c:v>
                </c:pt>
                <c:pt idx="46">
                  <c:v>1.26621818181818E-4</c:v>
                </c:pt>
                <c:pt idx="47">
                  <c:v>2.2513199999999998E-3</c:v>
                </c:pt>
                <c:pt idx="52">
                  <c:v>7.6667519999999993E-4</c:v>
                </c:pt>
                <c:pt idx="53">
                  <c:v>2.4826212765957401E-4</c:v>
                </c:pt>
                <c:pt idx="54">
                  <c:v>1.3797000000000001E-4</c:v>
                </c:pt>
                <c:pt idx="55">
                  <c:v>4.6150243902439E-4</c:v>
                </c:pt>
                <c:pt idx="57">
                  <c:v>1.0154592000000001E-3</c:v>
                </c:pt>
                <c:pt idx="58">
                  <c:v>2.5006937477765098E-4</c:v>
                </c:pt>
                <c:pt idx="59">
                  <c:v>9.8899148571428589E-4</c:v>
                </c:pt>
                <c:pt idx="60">
                  <c:v>2.24694E-2</c:v>
                </c:pt>
                <c:pt idx="61">
                  <c:v>7.1069206153846123E-3</c:v>
                </c:pt>
                <c:pt idx="64">
                  <c:v>9.3346559999999996E-4</c:v>
                </c:pt>
                <c:pt idx="65">
                  <c:v>4.4028208839267001E-3</c:v>
                </c:pt>
                <c:pt idx="66">
                  <c:v>3.9084015855191103E-3</c:v>
                </c:pt>
                <c:pt idx="67">
                  <c:v>4.4300571428571396E-3</c:v>
                </c:pt>
                <c:pt idx="68">
                  <c:v>4.0835076923076901E-5</c:v>
                </c:pt>
                <c:pt idx="69">
                  <c:v>3.4820999999999997E-5</c:v>
                </c:pt>
                <c:pt idx="70">
                  <c:v>2.30751219512195E-4</c:v>
                </c:pt>
                <c:pt idx="71">
                  <c:v>2.6280000000000001E-3</c:v>
                </c:pt>
                <c:pt idx="72">
                  <c:v>4.6626560000000003E-3</c:v>
                </c:pt>
                <c:pt idx="73">
                  <c:v>5.0022620689655203E-3</c:v>
                </c:pt>
              </c:numCache>
            </c:numRef>
          </c:val>
          <c:extLst>
            <c:ext xmlns:c16="http://schemas.microsoft.com/office/drawing/2014/chart" uri="{C3380CC4-5D6E-409C-BE32-E72D297353CC}">
              <c16:uniqueId val="{00000004-67F4-4EED-B23F-1045A65ACCF2}"/>
            </c:ext>
          </c:extLst>
        </c:ser>
        <c:ser>
          <c:idx val="2"/>
          <c:order val="2"/>
          <c:tx>
            <c:strRef>
              <c:f>'Emissions - Annual'!$H$3</c:f>
              <c:strCache>
                <c:ptCount val="1"/>
                <c:pt idx="0">
                  <c:v>Sum of SO2 kilotons</c:v>
                </c:pt>
              </c:strCache>
            </c:strRef>
          </c:tx>
          <c:spPr>
            <a:solidFill>
              <a:schemeClr val="accent3"/>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Annual'!$H$4:$H$78</c:f>
              <c:numCache>
                <c:formatCode>General</c:formatCode>
                <c:ptCount val="74"/>
                <c:pt idx="0">
                  <c:v>-121.575235187364</c:v>
                </c:pt>
                <c:pt idx="1">
                  <c:v>-338.938865481768</c:v>
                </c:pt>
                <c:pt idx="2">
                  <c:v>-235.48844816537101</c:v>
                </c:pt>
                <c:pt idx="3">
                  <c:v>0.29754216</c:v>
                </c:pt>
                <c:pt idx="4">
                  <c:v>-26.85127372012845</c:v>
                </c:pt>
                <c:pt idx="5">
                  <c:v>-7.6970732800000103</c:v>
                </c:pt>
                <c:pt idx="6">
                  <c:v>-23.027255242105301</c:v>
                </c:pt>
                <c:pt idx="7">
                  <c:v>-84.181474106311882</c:v>
                </c:pt>
                <c:pt idx="8">
                  <c:v>-83.025269526335748</c:v>
                </c:pt>
                <c:pt idx="9">
                  <c:v>-67.158089671111213</c:v>
                </c:pt>
                <c:pt idx="21">
                  <c:v>-9.5049141742474266</c:v>
                </c:pt>
                <c:pt idx="24">
                  <c:v>-3.1598511359999999</c:v>
                </c:pt>
                <c:pt idx="25">
                  <c:v>-6.8630250917647002</c:v>
                </c:pt>
                <c:pt idx="26">
                  <c:v>-104.280151352</c:v>
                </c:pt>
                <c:pt idx="27">
                  <c:v>-62.618295405714385</c:v>
                </c:pt>
                <c:pt idx="28">
                  <c:v>-13.0881408</c:v>
                </c:pt>
                <c:pt idx="32">
                  <c:v>-2.0584310031392761</c:v>
                </c:pt>
                <c:pt idx="33">
                  <c:v>-6.2086499999999996</c:v>
                </c:pt>
                <c:pt idx="57">
                  <c:v>-0.61244883000000006</c:v>
                </c:pt>
                <c:pt idx="58">
                  <c:v>-0.150823091662771</c:v>
                </c:pt>
                <c:pt idx="59">
                  <c:v>6.1811967857142904E-3</c:v>
                </c:pt>
                <c:pt idx="60">
                  <c:v>-86.592074400000101</c:v>
                </c:pt>
                <c:pt idx="64">
                  <c:v>-0.56299644000000004</c:v>
                </c:pt>
                <c:pt idx="65">
                  <c:v>-16.967493282012612</c:v>
                </c:pt>
                <c:pt idx="66">
                  <c:v>-15.062111176905001</c:v>
                </c:pt>
                <c:pt idx="68">
                  <c:v>2.5521923076923098E-4</c:v>
                </c:pt>
                <c:pt idx="69">
                  <c:v>2.1763125000000001E-4</c:v>
                </c:pt>
                <c:pt idx="70">
                  <c:v>1.44219512195122E-3</c:v>
                </c:pt>
                <c:pt idx="71">
                  <c:v>-1.5521624999999999</c:v>
                </c:pt>
                <c:pt idx="72">
                  <c:v>-2.7538811999999999</c:v>
                </c:pt>
                <c:pt idx="73">
                  <c:v>-2.95446103448276</c:v>
                </c:pt>
              </c:numCache>
            </c:numRef>
          </c:val>
          <c:extLst>
            <c:ext xmlns:c16="http://schemas.microsoft.com/office/drawing/2014/chart" uri="{C3380CC4-5D6E-409C-BE32-E72D297353CC}">
              <c16:uniqueId val="{00000005-67F4-4EED-B23F-1045A65ACCF2}"/>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34227.409340962418</c:v>
                </c:pt>
                <c:pt idx="1">
                  <c:v>43610.121279394334</c:v>
                </c:pt>
                <c:pt idx="2">
                  <c:v>56451.07517572221</c:v>
                </c:pt>
                <c:pt idx="3">
                  <c:v>68006.561854422805</c:v>
                </c:pt>
                <c:pt idx="4">
                  <c:v>78789.023605851311</c:v>
                </c:pt>
                <c:pt idx="5">
                  <c:v>87399.677257453004</c:v>
                </c:pt>
                <c:pt idx="6">
                  <c:v>88329.393180912724</c:v>
                </c:pt>
                <c:pt idx="7">
                  <c:v>84097.833756104126</c:v>
                </c:pt>
                <c:pt idx="8">
                  <c:v>73808.361375868277</c:v>
                </c:pt>
                <c:pt idx="9">
                  <c:v>65343.121264986963</c:v>
                </c:pt>
                <c:pt idx="10">
                  <c:v>55409.843751631262</c:v>
                </c:pt>
                <c:pt idx="11">
                  <c:v>47264.906157123674</c:v>
                </c:pt>
                <c:pt idx="12">
                  <c:v>40314.996523092115</c:v>
                </c:pt>
                <c:pt idx="13">
                  <c:v>35019.839701233635</c:v>
                </c:pt>
                <c:pt idx="14">
                  <c:v>30303.764750258655</c:v>
                </c:pt>
                <c:pt idx="15">
                  <c:v>25701.027037041313</c:v>
                </c:pt>
                <c:pt idx="16">
                  <c:v>20432.497576573329</c:v>
                </c:pt>
                <c:pt idx="17">
                  <c:v>16376.657578349766</c:v>
                </c:pt>
                <c:pt idx="18">
                  <c:v>12196.622746870684</c:v>
                </c:pt>
                <c:pt idx="19">
                  <c:v>8857.2819851566292</c:v>
                </c:pt>
                <c:pt idx="20">
                  <c:v>9143.1038794465894</c:v>
                </c:pt>
                <c:pt idx="21">
                  <c:v>10705.351000981018</c:v>
                </c:pt>
                <c:pt idx="22">
                  <c:v>15693.949551372851</c:v>
                </c:pt>
                <c:pt idx="23">
                  <c:v>23012.925347952871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stacked"/>
        <c:varyColors val="0"/>
        <c:ser>
          <c:idx val="0"/>
          <c:order val="0"/>
          <c:tx>
            <c:strRef>
              <c:f>'EL GEN CAP'!$E$2:$E$4</c:f>
              <c:strCache>
                <c:ptCount val="1"/>
                <c:pt idx="0">
                  <c:v>SUN - Exogenous</c:v>
                </c:pt>
              </c:strCache>
            </c:strRef>
          </c:tx>
          <c:spPr>
            <a:solidFill>
              <a:schemeClr val="accent1"/>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CAP'!$E$5:$E$8</c:f>
              <c:numCache>
                <c:formatCode>General</c:formatCode>
                <c:ptCount val="3"/>
                <c:pt idx="2">
                  <c:v>0.08</c:v>
                </c:pt>
              </c:numCache>
            </c:numRef>
          </c:val>
          <c:extLst>
            <c:ext xmlns:c16="http://schemas.microsoft.com/office/drawing/2014/chart" uri="{C3380CC4-5D6E-409C-BE32-E72D297353CC}">
              <c16:uniqueId val="{00000000-C939-4995-8C3F-7C3B4F0807CF}"/>
            </c:ext>
          </c:extLst>
        </c:ser>
        <c:ser>
          <c:idx val="1"/>
          <c:order val="1"/>
          <c:tx>
            <c:strRef>
              <c:f>'EL GEN CAP'!$F$2:$F$4</c:f>
              <c:strCache>
                <c:ptCount val="1"/>
                <c:pt idx="0">
                  <c:v>BIOGAS - Exogenous</c:v>
                </c:pt>
              </c:strCache>
            </c:strRef>
          </c:tx>
          <c:spPr>
            <a:solidFill>
              <a:schemeClr val="accent2"/>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CAP'!$F$5:$F$8</c:f>
              <c:numCache>
                <c:formatCode>General</c:formatCode>
                <c:ptCount val="3"/>
                <c:pt idx="0">
                  <c:v>3.5999999999999995E-3</c:v>
                </c:pt>
                <c:pt idx="1">
                  <c:v>6.2E-2</c:v>
                </c:pt>
                <c:pt idx="2">
                  <c:v>3.9E-2</c:v>
                </c:pt>
              </c:numCache>
            </c:numRef>
          </c:val>
          <c:extLst>
            <c:ext xmlns:c16="http://schemas.microsoft.com/office/drawing/2014/chart" uri="{C3380CC4-5D6E-409C-BE32-E72D297353CC}">
              <c16:uniqueId val="{00000002-C939-4995-8C3F-7C3B4F0807CF}"/>
            </c:ext>
          </c:extLst>
        </c:ser>
        <c:ser>
          <c:idx val="2"/>
          <c:order val="2"/>
          <c:tx>
            <c:strRef>
              <c:f>'EL GEN CAP'!$G$2:$G$4</c:f>
              <c:strCache>
                <c:ptCount val="1"/>
                <c:pt idx="0">
                  <c:v>FUELOIL - Exogenous</c:v>
                </c:pt>
              </c:strCache>
            </c:strRef>
          </c:tx>
          <c:spPr>
            <a:solidFill>
              <a:schemeClr val="accent3"/>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CAP'!$G$5:$G$8</c:f>
              <c:numCache>
                <c:formatCode>General</c:formatCode>
                <c:ptCount val="3"/>
                <c:pt idx="2">
                  <c:v>0.16</c:v>
                </c:pt>
              </c:numCache>
            </c:numRef>
          </c:val>
          <c:extLst>
            <c:ext xmlns:c16="http://schemas.microsoft.com/office/drawing/2014/chart" uri="{C3380CC4-5D6E-409C-BE32-E72D297353CC}">
              <c16:uniqueId val="{00000003-C939-4995-8C3F-7C3B4F0807CF}"/>
            </c:ext>
          </c:extLst>
        </c:ser>
        <c:ser>
          <c:idx val="3"/>
          <c:order val="3"/>
          <c:tx>
            <c:strRef>
              <c:f>'EL GEN CAP'!$H$2:$H$4</c:f>
              <c:strCache>
                <c:ptCount val="1"/>
                <c:pt idx="0">
                  <c:v>HEAT - Exogenous</c:v>
                </c:pt>
              </c:strCache>
            </c:strRef>
          </c:tx>
          <c:spPr>
            <a:solidFill>
              <a:schemeClr val="accent4"/>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CAP'!$H$5:$H$8</c:f>
              <c:numCache>
                <c:formatCode>General</c:formatCode>
                <c:ptCount val="3"/>
                <c:pt idx="2">
                  <c:v>3.6999999999999998E-2</c:v>
                </c:pt>
              </c:numCache>
            </c:numRef>
          </c:val>
          <c:extLst>
            <c:ext xmlns:c16="http://schemas.microsoft.com/office/drawing/2014/chart" uri="{C3380CC4-5D6E-409C-BE32-E72D297353CC}">
              <c16:uniqueId val="{00000004-C939-4995-8C3F-7C3B4F0807CF}"/>
            </c:ext>
          </c:extLst>
        </c:ser>
        <c:ser>
          <c:idx val="4"/>
          <c:order val="4"/>
          <c:tx>
            <c:strRef>
              <c:f>'EL GEN CAP'!$I$2:$I$4</c:f>
              <c:strCache>
                <c:ptCount val="1"/>
                <c:pt idx="0">
                  <c:v>MUNIWASTE - Exogenous</c:v>
                </c:pt>
              </c:strCache>
            </c:strRef>
          </c:tx>
          <c:spPr>
            <a:solidFill>
              <a:schemeClr val="accent5"/>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CAP'!$I$5:$I$8</c:f>
              <c:numCache>
                <c:formatCode>General</c:formatCode>
                <c:ptCount val="3"/>
                <c:pt idx="0">
                  <c:v>1.7000000000000001E-2</c:v>
                </c:pt>
                <c:pt idx="2">
                  <c:v>0.11599999999999999</c:v>
                </c:pt>
              </c:numCache>
            </c:numRef>
          </c:val>
          <c:extLst>
            <c:ext xmlns:c16="http://schemas.microsoft.com/office/drawing/2014/chart" uri="{C3380CC4-5D6E-409C-BE32-E72D297353CC}">
              <c16:uniqueId val="{00000005-C939-4995-8C3F-7C3B4F0807CF}"/>
            </c:ext>
          </c:extLst>
        </c:ser>
        <c:ser>
          <c:idx val="5"/>
          <c:order val="5"/>
          <c:tx>
            <c:strRef>
              <c:f>'EL GEN CAP'!$J$2:$J$4</c:f>
              <c:strCache>
                <c:ptCount val="1"/>
                <c:pt idx="0">
                  <c:v>NATGAS - Exogenous</c:v>
                </c:pt>
              </c:strCache>
            </c:strRef>
          </c:tx>
          <c:spPr>
            <a:solidFill>
              <a:schemeClr val="accent6"/>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CAP'!$J$5:$J$8</c:f>
              <c:numCache>
                <c:formatCode>General</c:formatCode>
                <c:ptCount val="3"/>
                <c:pt idx="0">
                  <c:v>0.1236</c:v>
                </c:pt>
                <c:pt idx="1">
                  <c:v>1.19299</c:v>
                </c:pt>
                <c:pt idx="2">
                  <c:v>1.7222000000000002</c:v>
                </c:pt>
              </c:numCache>
            </c:numRef>
          </c:val>
          <c:extLst>
            <c:ext xmlns:c16="http://schemas.microsoft.com/office/drawing/2014/chart" uri="{C3380CC4-5D6E-409C-BE32-E72D297353CC}">
              <c16:uniqueId val="{00000006-C939-4995-8C3F-7C3B4F0807CF}"/>
            </c:ext>
          </c:extLst>
        </c:ser>
        <c:ser>
          <c:idx val="6"/>
          <c:order val="6"/>
          <c:tx>
            <c:strRef>
              <c:f>'EL GEN CAP'!$K$2:$K$4</c:f>
              <c:strCache>
                <c:ptCount val="1"/>
                <c:pt idx="0">
                  <c:v>RETORTGAS - Exogenous</c:v>
                </c:pt>
              </c:strCache>
            </c:strRef>
          </c:tx>
          <c:spPr>
            <a:solidFill>
              <a:schemeClr val="accent1">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CAP'!$K$5:$K$8</c:f>
              <c:numCache>
                <c:formatCode>General</c:formatCode>
                <c:ptCount val="3"/>
                <c:pt idx="0">
                  <c:v>0.13</c:v>
                </c:pt>
              </c:numCache>
            </c:numRef>
          </c:val>
          <c:extLst>
            <c:ext xmlns:c16="http://schemas.microsoft.com/office/drawing/2014/chart" uri="{C3380CC4-5D6E-409C-BE32-E72D297353CC}">
              <c16:uniqueId val="{00000007-C939-4995-8C3F-7C3B4F0807CF}"/>
            </c:ext>
          </c:extLst>
        </c:ser>
        <c:ser>
          <c:idx val="7"/>
          <c:order val="7"/>
          <c:tx>
            <c:strRef>
              <c:f>'EL GEN CAP'!$L$2:$L$4</c:f>
              <c:strCache>
                <c:ptCount val="1"/>
                <c:pt idx="0">
                  <c:v>SHALE - Exogenous</c:v>
                </c:pt>
              </c:strCache>
            </c:strRef>
          </c:tx>
          <c:spPr>
            <a:solidFill>
              <a:schemeClr val="accent2">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CAP'!$L$5:$L$8</c:f>
              <c:numCache>
                <c:formatCode>General</c:formatCode>
                <c:ptCount val="3"/>
                <c:pt idx="0">
                  <c:v>1.9949999999999999</c:v>
                </c:pt>
              </c:numCache>
            </c:numRef>
          </c:val>
          <c:extLst>
            <c:ext xmlns:c16="http://schemas.microsoft.com/office/drawing/2014/chart" uri="{C3380CC4-5D6E-409C-BE32-E72D297353CC}">
              <c16:uniqueId val="{00000008-C939-4995-8C3F-7C3B4F0807CF}"/>
            </c:ext>
          </c:extLst>
        </c:ser>
        <c:ser>
          <c:idx val="8"/>
          <c:order val="8"/>
          <c:tx>
            <c:strRef>
              <c:f>'EL GEN CAP'!$M$2:$M$4</c:f>
              <c:strCache>
                <c:ptCount val="1"/>
                <c:pt idx="0">
                  <c:v>WATER - Exogenous</c:v>
                </c:pt>
              </c:strCache>
            </c:strRef>
          </c:tx>
          <c:spPr>
            <a:solidFill>
              <a:schemeClr val="accent3">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CAP'!$M$5:$M$8</c:f>
              <c:numCache>
                <c:formatCode>General</c:formatCode>
                <c:ptCount val="3"/>
                <c:pt idx="0">
                  <c:v>4.0000000000000001E-3</c:v>
                </c:pt>
                <c:pt idx="1">
                  <c:v>1.6160000000000001</c:v>
                </c:pt>
                <c:pt idx="2">
                  <c:v>0.2235446808510638</c:v>
                </c:pt>
              </c:numCache>
            </c:numRef>
          </c:val>
          <c:extLst>
            <c:ext xmlns:c16="http://schemas.microsoft.com/office/drawing/2014/chart" uri="{C3380CC4-5D6E-409C-BE32-E72D297353CC}">
              <c16:uniqueId val="{00000009-C939-4995-8C3F-7C3B4F0807CF}"/>
            </c:ext>
          </c:extLst>
        </c:ser>
        <c:ser>
          <c:idx val="9"/>
          <c:order val="9"/>
          <c:tx>
            <c:strRef>
              <c:f>'EL GEN CAP'!$N$2:$N$4</c:f>
              <c:strCache>
                <c:ptCount val="1"/>
                <c:pt idx="0">
                  <c:v>WIND - Exogenous</c:v>
                </c:pt>
              </c:strCache>
            </c:strRef>
          </c:tx>
          <c:spPr>
            <a:solidFill>
              <a:schemeClr val="accent4">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CAP'!$N$5:$N$8</c:f>
              <c:numCache>
                <c:formatCode>General</c:formatCode>
                <c:ptCount val="3"/>
                <c:pt idx="0">
                  <c:v>0.40300000000000002</c:v>
                </c:pt>
                <c:pt idx="1">
                  <c:v>0.06</c:v>
                </c:pt>
                <c:pt idx="2">
                  <c:v>0.50900000000000001</c:v>
                </c:pt>
              </c:numCache>
            </c:numRef>
          </c:val>
          <c:extLst>
            <c:ext xmlns:c16="http://schemas.microsoft.com/office/drawing/2014/chart" uri="{C3380CC4-5D6E-409C-BE32-E72D297353CC}">
              <c16:uniqueId val="{0000000A-C939-4995-8C3F-7C3B4F0807CF}"/>
            </c:ext>
          </c:extLst>
        </c:ser>
        <c:ser>
          <c:idx val="10"/>
          <c:order val="10"/>
          <c:tx>
            <c:strRef>
              <c:f>'EL GEN CAP'!$O$2:$O$4</c:f>
              <c:strCache>
                <c:ptCount val="1"/>
                <c:pt idx="0">
                  <c:v>WOOD - Exogenous</c:v>
                </c:pt>
              </c:strCache>
            </c:strRef>
          </c:tx>
          <c:spPr>
            <a:solidFill>
              <a:schemeClr val="accent5">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CAP'!$O$5:$O$8</c:f>
              <c:numCache>
                <c:formatCode>General</c:formatCode>
                <c:ptCount val="3"/>
                <c:pt idx="0">
                  <c:v>0.13780000000000003</c:v>
                </c:pt>
                <c:pt idx="1">
                  <c:v>5.3999999999999999E-2</c:v>
                </c:pt>
                <c:pt idx="2">
                  <c:v>4.8299999999999996E-2</c:v>
                </c:pt>
              </c:numCache>
            </c:numRef>
          </c:val>
          <c:extLst>
            <c:ext xmlns:c16="http://schemas.microsoft.com/office/drawing/2014/chart" uri="{C3380CC4-5D6E-409C-BE32-E72D297353CC}">
              <c16:uniqueId val="{0000000B-C939-4995-8C3F-7C3B4F0807CF}"/>
            </c:ext>
          </c:extLst>
        </c:ser>
        <c:ser>
          <c:idx val="11"/>
          <c:order val="11"/>
          <c:tx>
            <c:strRef>
              <c:f>'EL GEN CAP'!$P$2:$P$4</c:f>
              <c:strCache>
                <c:ptCount val="1"/>
                <c:pt idx="0">
                  <c:v>WOODWASTE - Exogenous</c:v>
                </c:pt>
              </c:strCache>
            </c:strRef>
          </c:tx>
          <c:spPr>
            <a:solidFill>
              <a:schemeClr val="accent6">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CAP'!$P$5:$P$8</c:f>
              <c:numCache>
                <c:formatCode>General</c:formatCode>
                <c:ptCount val="3"/>
                <c:pt idx="0">
                  <c:v>2.3E-2</c:v>
                </c:pt>
                <c:pt idx="2">
                  <c:v>1.04E-2</c:v>
                </c:pt>
              </c:numCache>
            </c:numRef>
          </c:val>
          <c:extLst>
            <c:ext xmlns:c16="http://schemas.microsoft.com/office/drawing/2014/chart" uri="{C3380CC4-5D6E-409C-BE32-E72D297353CC}">
              <c16:uniqueId val="{00000074-C939-4995-8C3F-7C3B4F0807C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10" name="Check Box 762" hidden="1">
              <a:extLst>
                <a:ext uri="{63B3BB69-23CF-44E3-9099-C40C66FF867C}">
                  <a14:compatExt spid="_x0000_s2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11" name="Check Box 763" hidden="1">
              <a:extLst>
                <a:ext uri="{63B3BB69-23CF-44E3-9099-C40C66FF867C}">
                  <a14:compatExt spid="_x0000_s2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12" name="Check Box 764" hidden="1">
              <a:extLst>
                <a:ext uri="{63B3BB69-23CF-44E3-9099-C40C66FF867C}">
                  <a14:compatExt spid="_x0000_s2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13" name="Check Box 765" hidden="1">
              <a:extLst>
                <a:ext uri="{63B3BB69-23CF-44E3-9099-C40C66FF867C}">
                  <a14:compatExt spid="_x0000_s2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14" name="Check Box 766" hidden="1">
              <a:extLst>
                <a:ext uri="{63B3BB69-23CF-44E3-9099-C40C66FF867C}">
                  <a14:compatExt spid="_x0000_s2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15" name="Check Box 767" hidden="1">
              <a:extLst>
                <a:ext uri="{63B3BB69-23CF-44E3-9099-C40C66FF867C}">
                  <a14:compatExt spid="_x0000_s2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16" name="Check Box 768" hidden="1">
              <a:extLst>
                <a:ext uri="{63B3BB69-23CF-44E3-9099-C40C66FF867C}">
                  <a14:compatExt spid="_x0000_s2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17" name="Check Box 769" hidden="1">
              <a:extLst>
                <a:ext uri="{63B3BB69-23CF-44E3-9099-C40C66FF867C}">
                  <a14:compatExt spid="_x0000_s2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18" name="Check Box 770" hidden="1">
              <a:extLst>
                <a:ext uri="{63B3BB69-23CF-44E3-9099-C40C66FF867C}">
                  <a14:compatExt spid="_x0000_s2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19" name="Check Box 771" hidden="1">
              <a:extLst>
                <a:ext uri="{63B3BB69-23CF-44E3-9099-C40C66FF867C}">
                  <a14:compatExt spid="_x0000_s2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20" name="Check Box 772" hidden="1">
              <a:extLst>
                <a:ext uri="{63B3BB69-23CF-44E3-9099-C40C66FF867C}">
                  <a14:compatExt spid="_x0000_s2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762000</xdr:colOff>
      <xdr:row>9</xdr:row>
      <xdr:rowOff>23812</xdr:rowOff>
    </xdr:from>
    <xdr:to>
      <xdr:col>12</xdr:col>
      <xdr:colOff>638175</xdr:colOff>
      <xdr:row>23</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752474</xdr:colOff>
      <xdr:row>14</xdr:row>
      <xdr:rowOff>95250</xdr:rowOff>
    </xdr:from>
    <xdr:to>
      <xdr:col>13</xdr:col>
      <xdr:colOff>676274</xdr:colOff>
      <xdr:row>41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833435</xdr:colOff>
      <xdr:row>0</xdr:row>
      <xdr:rowOff>0</xdr:rowOff>
    </xdr:from>
    <xdr:to>
      <xdr:col>12</xdr:col>
      <xdr:colOff>133349</xdr:colOff>
      <xdr:row>33</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09.723186805553" missingItemsLimit="0" createdVersion="5" refreshedVersion="6" minRefreshableVersion="3" recordCount="12079">
  <cacheSource type="external" connectionId="12"/>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1">
        <s v="BIOGAS"/>
        <s v="BIOOIL"/>
        <s v="MUNIWASTE"/>
        <s v="NATGAS"/>
        <s v="STRAW"/>
        <s v="WASTEHEAT"/>
        <s v="WOODCHIPS"/>
        <s v="WOODPELLETS"/>
        <s v="SUN"/>
        <s v="WATER"/>
        <s v="WIND"/>
        <s v="WOODWASTE"/>
        <s v="RETORTGAS"/>
        <s v="WOOD"/>
        <s v="FUELOIL"/>
        <s v="NATGAS_EXETS"/>
        <s v="NUCLEAR"/>
        <s v="ELECTRIC"/>
        <s v="HEAT"/>
        <s v="LPG"/>
        <s v="RECYCLEDWOOD"/>
      </sharedItems>
    </cacheField>
    <cacheField name="Technology" numFmtId="0" sqlType="-10">
      <sharedItems count="221">
        <s v="GNR_BO_BGAS_E-90"/>
        <s v="GNR_BO_BGAS_E-95"/>
        <s v="GNR_ENG_BGAS_BP_E-31"/>
        <s v="GNR_ENG_BGAS_BP_E-36"/>
        <s v="GNR_ENG_BGAS_BP_E-37"/>
        <s v="GNR_ENG_BGAS_BP_E-39"/>
        <s v="GNR_ENG_BGAS_BP_E-40"/>
        <s v="GNR_ENG_BGAS_BP_E-41"/>
        <s v="GNR_ENG_BGAS_BP_E-42"/>
        <s v="GNR_ENG_BGAS_BP_E-43"/>
        <s v="GNR_BO_BIOIL_E-79"/>
        <s v="GNR_BO_BIOIL_E-85"/>
        <s v="GNR_BO_BIOIL_E-93"/>
        <s v="GNR_BO_BIOIL_E-94"/>
        <s v="GNR_BO_MSW_E-105"/>
        <s v="GNR_ST_MSW_BP_E-18"/>
        <s v="GNR_ST_MSW_BP_E-19"/>
        <s v="GNR_ST_MSW_BP_E-22"/>
        <s v="GNR_ST_MSW_BP_E-23"/>
        <s v="GNR_ST_MSW_BP_E-27"/>
        <s v="GNR_ENG_NGAS_BP_E-40"/>
        <s v="GNR_ENG_NGAS_BP_E-41"/>
        <s v="GNR_ENG_NGAS_BP_E-42"/>
        <s v="GNR_ENG_NGAS_BP_E-43"/>
        <s v="GNR_ENG_NGAS_BP_E-44"/>
        <s v="GNR_ENG_NGAS_BP_E-46"/>
        <s v="GNR_ST_NGAS_EXT_E-47"/>
        <s v="GNR_BO_STRW_E-100"/>
        <s v="GNR_BO_STRW_E-102"/>
        <s v="GNR_ST_STRW_BP_E-26"/>
        <s v="GNR_EH_HEAT"/>
        <s v="GNR_BO_WOODCHI_E-100"/>
        <s v="GNR_ST_WOODCHI_BP_E-23"/>
        <s v="GNR_BO_WOODPEL_E-100"/>
        <s v="GNR_BO_WOODPEL_E-102"/>
        <s v="GNR_BO_BGAS_E-100"/>
        <s v="GNR_ENG_BGAS_BP_E-33"/>
        <s v="GNR_ENG_BGAS_BP_E-38"/>
        <s v="GNR_BO_BIOIL_E-113"/>
        <s v="GNR_BO_MSW_E-100"/>
        <s v="GNR_ST_MSW_BP_E-17"/>
        <s v="GNR_ST_MSW_BP_E-20"/>
        <s v="GNR_ST_MSW_BP_E-21"/>
        <s v="GNR_ST_MSW_BP_E-26"/>
        <s v="GNR_ST_STRW_BP_E-21"/>
        <s v="GNR_GEO_HEAT_HO"/>
        <s v="GNR_BO_WOODCHI_E-110"/>
        <s v="GNR_ENG_BGAS_BP_E-32"/>
        <s v="GNR_ENG_BGAS_BP_E-34"/>
        <s v="GNR_ENG_BGAS_BP_E-35"/>
        <s v="GNR_GT_NGAS_BP_E-47"/>
        <s v="GNR_ST_WOODCHI_BP_E-27"/>
        <s v="GNR_ST_WOODCHI_BP_E-30"/>
        <s v="GNR_ENG_BGAS_BP_E-30"/>
        <s v="GNR_ENG_BGAS_CND_E-36"/>
        <s v="GNR_ENG_BGAS_CND_E-42"/>
        <s v="GNR_PV_SUN"/>
        <s v="GNR_ROR_WTR"/>
        <s v="GNR_WT_WIND_ONS"/>
        <s v="GNR_WT_WIND_OFF"/>
        <s v="GNR_ENG_NGAS_BP_E-47"/>
        <s v="GNR_BO_WOODCHI_E-107"/>
        <s v="GNR_BO_WOODCHI_E-108"/>
        <s v="GNR_BO_WOODCHI_E-112"/>
        <s v="GNR_BO_WOODCHI_E-113"/>
        <s v="GNR_BO_WOODCHI_E-114"/>
        <s v="GNR_BO_WOODCHI_E-117"/>
        <s v="GNR_BO_WOODCHI_E-120"/>
        <s v="GNR_ST_WOODCHI_BP_E-17"/>
        <s v="GNR_ST_WOODPEL_BP_E-30"/>
        <s v="GNR_BO_WOODWST_E-100"/>
        <s v="GNR_BO_WOODWST_E-113"/>
        <s v="GNR_BO_WOODWST_E-84"/>
        <s v="GNR_BO_WOODWST_E-86"/>
        <s v="GNR_BO_WOODWST_E-89"/>
        <s v="GNR_BO_WOODWST_E-90"/>
        <s v="GNR_BO_WOODWST_E-91"/>
        <s v="GNR_BO_WOODWST_E-94"/>
        <s v="GNR_ST_WOODCHI_BP_E-15"/>
        <s v="GNR_ST_MSW_BP_E-16"/>
        <s v="GNR_ST_NGAS_BP_E-39"/>
        <s v="GNR_ST_WOODCHI_BP_E-24"/>
        <s v="GNR_ST_WOODPEL_BP_E-18"/>
        <s v="GNR_ST_WOODPEL_EXT_E-50"/>
        <s v="GNR_ST_MSW_BP_E-25"/>
        <s v="GNR_ST_MSW_BP_E-28"/>
        <s v="GNR_BO_BGAS_E-99"/>
        <s v="GNR_GT_NGAS_BP_E-42"/>
        <s v="GNR_GT_NGAS_BP_E-44"/>
        <s v="GNR_BO_WOODWST_E-82"/>
        <s v="GNR_ENG_BGAS_CND_E-32"/>
        <s v="GNR_ENG_BGAS_CND_E-35"/>
        <s v="GNR_ST_STRW_BP_E-24"/>
        <s v="GNR_ST_STRW_BP_E-27"/>
        <s v="GNR_ST_STRW_BP_E-28"/>
        <s v="GNR_BO_WOODCHI_E-119"/>
        <s v="GNR_ST_BGAS_EXT_E-38"/>
        <s v="GNR_ENG_RETORT-GAS_E-44"/>
        <s v="IMAVERE_ST_WOOD_BP"/>
        <s v="OSULA_ST_WOOD_BP"/>
        <s v="GNR_ST_WOODWST_BP_E-53"/>
        <s v="GNR_BO_NGAS_HO_E-85"/>
        <s v="GNR_ENG_NGAS_EXT_E-44"/>
        <s v="GNR_BO_FUELOIL_HO_E-85"/>
        <s v="PARNU-1_ST_WOOD_BP"/>
        <s v="EBAVERE_ST_WOODWST_BP"/>
        <s v="SILLAMAE_ST_WOOD_BP"/>
        <s v="IRU_ST_MSW_BP"/>
        <s v="IRU_ST_NGAS_BP"/>
        <s v="MUSTAMAE_ST_WOOD_BP"/>
        <s v="VAO-1_ST_WOOD_BP"/>
        <s v="VAO-2_ST_WOOD_BP"/>
        <s v="TARTU-1_ST_WOOD_BP"/>
        <s v="GNR_ST_WOOD_BP_E-53"/>
        <s v="GBPR_WOODCHIPS"/>
        <s v="GHOB_WOODCHIPS"/>
        <s v="GBPR_WOODWASTE_FINEL"/>
        <s v="GHOB_NATGAS_EXETS"/>
        <s v="GEXT_NATGAS_VOUSAARI"/>
        <s v="GHOB_BIOGAS"/>
        <s v="GHOB_WASTEHEAT"/>
        <s v="GHOB_WOODPELLETS"/>
        <s v="GHOB_WOODWASTE"/>
        <s v="GBPR_WOODCHIPS_FINOTHER"/>
        <s v="GBPR_WOODPELLETS"/>
        <s v="GBPR_WOODWASTE_FINOTHER"/>
        <s v="GEXT_NATGAS_TAMPERE"/>
        <s v="GCND_NUCLEAR"/>
        <s v="GNR_RES_WTR_NOPMP_MC-01"/>
        <s v="GNR_RES_WTR_NOPMP_MC-02"/>
        <s v="GNR_RES_WTR_NOPMP_MC-03"/>
        <s v="GNR_RES_WTR_NOPMP_MC-04"/>
        <s v="GNR_RES_WTR_NOPMP_MC-05"/>
        <s v="GNR_RES_WTR_NOPMP_MC-06"/>
        <s v="GNR_RES_WTR_NOPMP_MC-07"/>
        <s v="GNR_RES_WTR_NOPMP_MC-08"/>
        <s v="GNR_RES_WTR_NOPMP_MC-09"/>
        <s v="GNR_RES_WTR_NOPMP_MC-10"/>
        <s v="GBPR_IND_BIO"/>
        <s v="GBPR_WOOD_IND"/>
        <s v="GCND_COFIRING"/>
        <s v="GCND_WOODCHIPS"/>
        <s v="GNR_ENG_BGAS_BP_E-45"/>
        <s v="GNR_ENG_BGAS_CND_E-44"/>
        <s v="GNR_ST_BGAS_BP_E-38"/>
        <s v="GNR_ST_BGAS_CND_E-38"/>
        <s v="AGG-DE4-E_RES_WTR_PMP"/>
        <s v="GNR_ST_MSW_BP_E-33"/>
        <s v="GNR_ST_MSW_CND_E-33"/>
        <s v="GNR_GEO_HEAT_EO"/>
        <s v="GNR_BO_BGAS_E-80"/>
        <s v="AGG-DE4-N_RES_WTR_PMP"/>
        <s v="GNR_BO_MSW_E-80"/>
        <s v="GNR_CC_NGAS_BP_E-57"/>
        <s v="GNR_ST_NUCL_CND_E-33"/>
        <s v="AGG-DE4-S_RES_WTR_PMP"/>
        <s v="GNR_RES_WTR_NOPMP"/>
        <s v="GNR_ST_BGAS_BP_E-33"/>
        <s v="AGG-DE4-W_RES_WTR_PMP"/>
        <s v="GNR_CC_NGAS_BP_E-55"/>
        <s v="GNR_GT_BGAS_BP_E-30"/>
        <s v="GNR_ST_WOOD_BP_E-30"/>
        <s v="RIGA-TEC2_CC_NGAS_EXT"/>
        <s v="KAUNAS_ST_MSW_BP"/>
        <s v="KLAIPEDA_ST_WOOD_BP"/>
        <s v="GNR_ENG_BGAS_EXT_E-33"/>
        <s v="LIFOSA_ST_HEAT_BP"/>
        <s v="GNR_ST_WOOD_EXT_E-14"/>
        <s v="SIAULIAI_ST_WOOD_BP"/>
        <s v="VILNIUS_ST_MSW_BP"/>
        <s v="GNR_CC_NGAS_CND_E-58"/>
        <s v="VILNIUS_ST_WOOD_BP"/>
        <s v="GNR_ST_MSW_CND_E-40"/>
        <s v="GNR_CC_NGAS_CND_E-38"/>
        <s v="GNR_ST_WOOD_CND_E-50"/>
        <s v="GBPR_MUNIWASTE"/>
        <s v="GHOB_MUNIWASTE"/>
        <s v="GHOB_BIOOIL"/>
        <s v="GNR_RES_WTR_PMP_MC-01"/>
        <s v="GCND_NATGAS4"/>
        <s v="GHOB_LPG"/>
        <s v="GNR_ST_BGAS_CND_E-37"/>
        <s v="GNR_ST_MSW_BP_E-15"/>
        <s v="NOWA-1_ST_NGAS_BP"/>
        <s v="RZES-2_ST_NGAS_BP"/>
        <s v="ZIEL-1_ST_NGAS_BP"/>
        <s v="ZIEL-3_ST_NGAS_BP"/>
        <s v="BIAL-1_ST_STRAW_BP"/>
        <s v="GNR_BO_STRAW_HO_E-100"/>
        <s v="GNR_ST_STRAW_BP_E-15"/>
        <s v="LODZ-3_ST_STRAW_EXT"/>
        <s v="GNR_BO_WOOD_HO_E-100"/>
        <s v="GNR_ST_WOOD_EXT_E-45"/>
        <s v="GBPR_WOODWASTE_25"/>
        <s v="GBPR_WOODCHIPS_25"/>
        <s v="GBPR_WOODWASTE"/>
        <s v="GBPR_MUNIWASTE_24"/>
        <s v="GBPR_WOODCHIPS_37"/>
        <s v="GEXT_WOODWASTE_HORNEBORG"/>
        <s v="GBPR_WOODWASTE_36"/>
        <s v="GBPR_MUNIWASTE_LINK"/>
        <s v="GBPR_RECYCLEDWOOD_SE3EL"/>
        <s v="GHOB_RECYCLEDWOOD"/>
        <s v="GBPR_WOODWASTE_ABY"/>
        <s v="GBPR_WOODWASTE_GOT"/>
        <s v="GBPR_WOODCHIPS_08"/>
        <s v="GEXT_WOODWASTE"/>
        <s v="GBPR_RECYCLEDWOOD_SE3OTHER"/>
        <s v="GEXT_BIOOIL_VARTAN"/>
        <s v="GBPR_MUNIWASTE_HOGDALEN"/>
        <s v="GBPR_WOODPELLETS_HASSELBY"/>
        <s v="GBPR_WOODWASTE_BRISTA"/>
        <s v="GBPR_RECYCLEDWOOD"/>
        <s v="GBPR_RECYCLEDWOOD_SE4EL"/>
        <s v="GHOB_STRAW"/>
        <s v="GBPR_MUNIWASTE_65"/>
        <s v="GEXT_NATGAS_ORESUND"/>
        <s v="GBPR_MUNIWASTE_19"/>
        <s v="GNR_ST_BGAS_CND_E-40"/>
        <s v="GNR_ST_BGAS_CND_E-45"/>
        <s v="GNR_CC_NGAS_CND_E-56"/>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J/s" numFmtId="0" sqlType="8">
      <sharedItems containsSemiMixedTypes="0" containsString="0" containsNumber="1" minValue="3.4340659340659201E-3" maxValue="28487.878787878799"/>
    </cacheField>
    <cacheField name="MWh" numFmtId="0" sqlType="8">
      <sharedItems containsSemiMixedTypes="0" containsString="0" containsNumber="1" minValue="1.2534340659340599" maxValue="10398075.757575801"/>
    </cacheField>
    <cacheField name="GJ" numFmtId="0" sqlType="8">
      <sharedItems containsSemiMixedTypes="0" containsString="0" containsNumber="1" minValue="4.51236263736262" maxValue="37433072.7272726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09.723187962962" createdVersion="6" refreshedVersion="6" minRefreshableVersion="3" recordCount="803">
  <cacheSource type="external" connectionId="8"/>
  <cacheFields count="12">
    <cacheField name="Case" numFmtId="0" sqlType="-10">
      <sharedItems count="1">
        <s v="BASE"/>
      </sharedItems>
    </cacheField>
    <cacheField name="BaseYear" numFmtId="0" sqlType="-10">
      <sharedItems count="3">
        <s v="2016"/>
        <s v="2020" u="1"/>
        <s v="2030" u="1"/>
      </sharedItems>
    </cacheField>
    <cacheField name="ModelYear" numFmtId="0" sqlType="-10">
      <sharedItems count="4">
        <s v="2016"/>
        <s v="2020" u="1"/>
        <s v="modelyear" u="1"/>
        <s v="2030" u="1"/>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5">
        <s v="BIOGAS"/>
        <s v="COAL"/>
        <s v="LIGHTOIL"/>
        <s v="MUNIWASTE"/>
        <s v="NATGAS"/>
        <s v="STRAW"/>
        <s v="WOODCHIPS"/>
        <s v="FUELOIL"/>
        <s v="SUN"/>
        <s v="WATER"/>
        <s v="WIND"/>
        <s v="WOODPELLETS"/>
        <s v="RETORTGAS"/>
        <s v="WOOD"/>
        <s v="WOODWASTE"/>
        <s v="SHALE"/>
        <s v="HEAVYFUELOIL"/>
        <s v="PEAT"/>
        <s v="NUCLEAR"/>
        <s v="ELECTRIC"/>
        <s v="LIGNITE"/>
        <s v="WASTEHEAT"/>
        <s v="HEAT"/>
        <s v="RECYCLEDWOOD"/>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u="1"/>
      </sharedItems>
    </cacheField>
    <cacheField name="Technology" numFmtId="0" sqlType="-10">
      <sharedItems/>
    </cacheField>
    <cacheField name="MW" numFmtId="0" sqlType="8">
      <sharedItems containsSemiMixedTypes="0" containsString="0" containsNumber="1" minValue="1.4999999999999999E-2" maxValue="100000"/>
    </cacheField>
    <cacheField name="GW" numFmtId="0" sqlType="8">
      <sharedItems containsSemiMixedTypes="0" containsString="0" containsNumber="1" minValue="1.5E-5" maxValue="1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09.723188657408" missingItemsLimit="0" createdVersion="5" refreshedVersion="6" minRefreshableVersion="3" recordCount="0">
  <cacheSource type="external" connectionId="15"/>
  <cacheFields count="10">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GJ" numFmtId="0" sqlType="8">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09.723189351855" missingItemsLimit="0" createdVersion="5" refreshedVersion="6" minRefreshableVersion="3" recordCount="0">
  <cacheSource type="external" connectionId="9"/>
  <cacheFields count="8">
    <cacheField name="Case1"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09.723190277778"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09.723190972225"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09.723191550926"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25107.469834190299" count="28">
        <n v="58.053965427196403"/>
        <n v="0"/>
        <n v="7712.8583387331901"/>
        <n v="15.604844380885099"/>
        <n v="742.81020727548002"/>
        <n v="213.77938230991501"/>
        <n v="3204.0796411687202"/>
        <n v="659.37667377922901"/>
        <n v="4312.3631786518199"/>
        <n v="2961.00490268263"/>
        <n v="755.90804224163298"/>
        <n v="16078.790082510601"/>
        <n v="8.3161588248218301"/>
        <n v="5518.8"/>
        <n v="7968.6197195864097"/>
        <n v="1931.6279226941699"/>
        <n v="6179.9242547824297"/>
        <n v="18809.839188004298"/>
        <n v="11400.343817834"/>
        <n v="6433.8255212740696"/>
        <n v="25107.469834190299"/>
        <n v="7391.3347328374703"/>
        <n v="2250.5462430126499"/>
        <n v="4448.4490123394899"/>
        <n v="3335.5143305837901"/>
        <n v="14827.935084188"/>
        <n v="12.535366480411801"/>
        <n v="1797.1242726235801"/>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09.723192476849"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5.3338086432400296" maxValue="5.333808643240029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09.72319340278" missingItemsLimit="0" createdVersion="5" refreshedVersion="6" minRefreshableVersion="3" recordCount="11">
  <cacheSource type="external" connectionId="17"/>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09.723194328704" missingItemsLimit="0" createdVersion="5" refreshedVersion="6" minRefreshableVersion="3" recordCount="1224">
  <cacheSource type="external" connectionId="16"/>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25413.393336003599"/>
    </cacheField>
    <cacheField name="GJ" numFmtId="0" sqlType="8">
      <sharedItems containsSemiMixedTypes="0" containsString="0" containsNumber="1" minValue="0" maxValue="91488.21600961299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09.723196527775" missingItemsLimit="0" createdVersion="5" refreshedVersion="6" minRefreshableVersion="3" recordCount="8810">
  <cacheSource type="external" connectionId="14"/>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6">
        <s v="BIOGAS"/>
        <s v="BIOOIL"/>
        <s v="HEAT"/>
        <s v="MUNIWASTE"/>
        <s v="NATGAS"/>
        <s v="STRAW"/>
        <s v="WASTEHEAT"/>
        <s v="WOODCHIPS"/>
        <s v="WOODPELLETS"/>
        <s v="WOODWASTE"/>
        <s v="WOOD"/>
        <s v="FUELOIL"/>
        <s v="ELECTRIC"/>
        <s v="NATGAS_EXETS"/>
        <s v="LPG"/>
        <s v="RECYCLEDWOOD"/>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3.4340659340659201E-3" maxValue="6500"/>
    </cacheField>
    <cacheField name="MWh" numFmtId="0" sqlType="8">
      <sharedItems containsSemiMixedTypes="0" containsString="0" containsNumber="1" minValue="1.2534340659340599" maxValue="2372500"/>
    </cacheField>
    <cacheField name="GJ" numFmtId="0" sqlType="8">
      <sharedItems containsSemiMixedTypes="0" containsString="0" containsNumber="1" minValue="4.51236263736262" maxValue="854100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09.723197569445" missingItemsLimit="0" createdVersion="5" refreshedVersion="6" minRefreshableVersion="3" recordCount="419">
  <cacheSource type="external" connectionId="6"/>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BIOGAS"/>
        <s v="MUNIWASTE"/>
        <s v="NATGAS"/>
        <s v="STRAW"/>
        <s v="WOODCHIPS"/>
        <s v="SUN"/>
        <s v="WATER"/>
        <s v="WIND"/>
        <s v="WOODPELLETS"/>
        <s v="RETORTGAS"/>
        <s v="WOOD"/>
        <s v="WOODWASTE"/>
        <s v="ELECTRIC"/>
        <s v="NUCLEAR"/>
        <s v="WASTEHEAT"/>
        <s v="HEAT"/>
        <s v="RECYCLEDWOOD"/>
        <s v="BIOOIL"/>
      </sharedItems>
    </cacheField>
    <cacheField name="Technology Type" numFmtId="0" sqlType="-10">
      <sharedItems count="9">
        <s v="Backpressure"/>
        <s v="Extraction"/>
        <s v="Condensing"/>
        <s v="Solar PV"/>
        <s v="Hydro ROR"/>
        <s v="Wind"/>
        <s v="Electricity to heat"/>
        <s v="Hydro reservoir"/>
        <s v="EL storage S"/>
      </sharedItems>
    </cacheField>
    <cacheField name="Technology" numFmtId="0" sqlType="-10">
      <sharedItems/>
    </cacheField>
    <cacheField name="TWh" numFmtId="0" sqlType="8">
      <sharedItems containsSemiMixedTypes="0" containsString="0" containsNumber="1" minValue="-0.715102040816327" maxValue="82.352760000000004"/>
    </cacheField>
    <cacheField name="PJ" numFmtId="0" sqlType="8">
      <sharedItems containsSemiMixedTypes="0" containsString="0" containsNumber="1" minValue="-2.57436734693878" maxValue="296.46993600000002"/>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09.723198148145" missingItemsLimit="0" createdVersion="5" refreshedVersion="6" minRefreshableVersion="3" recordCount="402">
  <cacheSource type="external" connectionId="13"/>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6">
        <s v="BIOGAS"/>
        <s v="BIOOIL"/>
        <s v="HEAT"/>
        <s v="MUNIWASTE"/>
        <s v="NATGAS"/>
        <s v="STRAW"/>
        <s v="WASTEHEAT"/>
        <s v="WOODCHIPS"/>
        <s v="WOODPELLETS"/>
        <s v="WOODWASTE"/>
        <s v="WOOD"/>
        <s v="FUELOIL"/>
        <s v="ELECTRIC"/>
        <s v="NATGAS_EXETS"/>
        <s v="LPG"/>
        <s v="RECYCLEDWOOD"/>
      </sharedItems>
    </cacheField>
    <cacheField name="Technology" numFmtId="0" sqlType="-10">
      <sharedItems/>
    </cacheField>
    <cacheField name="TWh" numFmtId="0" sqlType="8">
      <sharedItems containsSemiMixedTypes="0" containsString="0" containsNumber="1" minValue="3.0082417582417501E-5" maxValue="52.158171500071397"/>
    </cacheField>
    <cacheField name="PJ" numFmtId="0" sqlType="8">
      <sharedItems containsSemiMixedTypes="0" containsString="0" containsNumber="1" minValue="1.08296703296703E-4" maxValue="187.769417400257"/>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09.723200231485" missingItemsLimit="0" createdVersion="5" refreshedVersion="6" minRefreshableVersion="3" recordCount="9101">
  <cacheSource type="external" connectionId="7"/>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BIOGAS"/>
        <s v="MUNIWASTE"/>
        <s v="NATGAS"/>
        <s v="STRAW"/>
        <s v="WOODCHIPS"/>
        <s v="SUN"/>
        <s v="WATER"/>
        <s v="WIND"/>
        <s v="WOODPELLETS"/>
        <s v="RETORTGAS"/>
        <s v="WOOD"/>
        <s v="WOODWASTE"/>
        <s v="ELECTRIC"/>
        <s v="NUCLEAR"/>
        <s v="WASTEHEAT"/>
        <s v="HEAT"/>
        <s v="RECYCLEDWOOD"/>
        <s v="BIOOIL"/>
      </sharedItems>
    </cacheField>
    <cacheField name="Technology Type" numFmtId="0" sqlType="-10">
      <sharedItems count="9">
        <s v="Backpressure"/>
        <s v="Extraction"/>
        <s v="Condensing"/>
        <s v="Solar PV"/>
        <s v="Hydro ROR"/>
        <s v="Wind"/>
        <s v="Electricity to heat"/>
        <s v="Hydro reservoir"/>
        <s v="EL storage S"/>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97.551020408163296" maxValue="13223.540018137999"/>
    </cacheField>
    <cacheField name="MWh" numFmtId="0" sqlType="8">
      <sharedItems containsSemiMixedTypes="0" containsString="0" containsNumber="1" minValue="-35606.1224489796" maxValue="4826592.1066203704"/>
    </cacheField>
    <cacheField name="GJ" numFmtId="0" sqlType="8">
      <sharedItems containsSemiMixedTypes="0" containsString="0" containsNumber="1" minValue="-128182.040816327" maxValue="17375731.5838333"/>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09.72320104167"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09.723201851855" missingItemsLimit="0" createdVersion="5" refreshedVersion="6" minRefreshableVersion="3" recordCount="553">
  <cacheSource type="external" connectionId="11"/>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1">
        <s v="BIOGAS"/>
        <s v="BIOOIL"/>
        <s v="MUNIWASTE"/>
        <s v="NATGAS"/>
        <s v="STRAW"/>
        <s v="WASTEHEAT"/>
        <s v="WOODCHIPS"/>
        <s v="WOODPELLETS"/>
        <s v="SUN"/>
        <s v="WATER"/>
        <s v="WIND"/>
        <s v="WOODWASTE"/>
        <s v="RETORTGAS"/>
        <s v="WOOD"/>
        <s v="FUELOIL"/>
        <s v="NATGAS_EXETS"/>
        <s v="NUCLEAR"/>
        <s v="ELECTRIC"/>
        <s v="HEAT"/>
        <s v="LPG"/>
        <s v="RECYCLEDWOOD"/>
      </sharedItems>
    </cacheField>
    <cacheField name="Technology" numFmtId="0" sqlType="-10">
      <sharedItems/>
    </cacheField>
    <cacheField name="TWh" numFmtId="0" sqlType="8">
      <sharedItems containsSemiMixedTypes="0" containsString="0" containsNumber="1" minValue="3.0082417582417501E-5" maxValue="249.553818181818"/>
    </cacheField>
    <cacheField name="PJ" numFmtId="0" sqlType="8">
      <sharedItems containsSemiMixedTypes="0" containsString="0" containsNumber="1" minValue="1.08296703296703E-4" maxValue="898.39374545454496"/>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09.87882002315" missingItemsLimit="0" createdVersion="5" refreshedVersion="6" minRefreshableVersion="3" recordCount="615">
  <cacheSource type="external" connectionId="10"/>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ount="267">
        <s v="GNR_ST_COAL_EXT_E-47"/>
        <s v="GNR_BO_MSW_E-105"/>
        <s v="GNR_ST_MSW_BP_E-18"/>
        <s v="GNR_ST_MSW_BP_E-19"/>
        <s v="GNR_ST_MSW_BP_E-22"/>
        <s v="GNR_ST_MSW_BP_E-23"/>
        <s v="GNR_ST_MSW_BP_E-27"/>
        <s v="GNR_ENG_NGAS_BP_E-34"/>
        <s v="GNR_ENG_NGAS_BP_E-38"/>
        <s v="GNR_ENG_NGAS_BP_E-39"/>
        <s v="GNR_ENG_NGAS_BP_E-40"/>
        <s v="GNR_ENG_NGAS_BP_E-41"/>
        <s v="GNR_ENG_NGAS_BP_E-42"/>
        <s v="GNR_ENG_NGAS_BP_E-43"/>
        <s v="GNR_ENG_NGAS_BP_E-44"/>
        <s v="GNR_ENG_NGAS_BP_E-46"/>
        <s v="GNR_GT_NGAS_BP_E-27"/>
        <s v="GNR_ST_NGAS_EXT_E-47"/>
        <s v="GNR_ST_STRW_BP_E-26"/>
        <s v="GNR_EH_HEAT"/>
        <s v="GNR_ST_WOODCHI_BP_E-23"/>
        <s v="GNR_BO_MSW_E-100"/>
        <s v="GNR_ST_MSW_BP_E-17"/>
        <s v="GNR_ST_MSW_BP_E-20"/>
        <s v="GNR_ST_MSW_BP_E-21"/>
        <s v="GNR_ST_MSW_BP_E-26"/>
        <s v="GNR_ENG_NGAS_BP_E-35"/>
        <s v="GNR_ENG_NGAS_BP_E-37"/>
        <s v="GNR_GT_NGAS_BP_E-31"/>
        <s v="GNR_BO_STRW_E-102"/>
        <s v="GNR_ST_STRW_BP_E-21"/>
        <s v="GNR_GEO_HEAT_HO"/>
        <s v="GNR_BO_WOODCHI_E-110"/>
        <s v="GNR_ENG_NGAS_BP_E-36"/>
        <s v="GNR_GT_NGAS_BP_E-43"/>
        <s v="GNR_GT_NGAS_BP_E-44"/>
        <s v="GNR_GT_NGAS_BP_E-47"/>
        <s v="GNR_ST_WOODCHI_BP_E-27"/>
        <s v="GNR_ST_WOODCHI_BP_E-30"/>
        <s v="GNR_ENG_NGAS_BP_E-33"/>
        <s v="GNR_ENG_NGAS_CND_E-41"/>
        <s v="GNR_ENG_NGAS_CND_E-46"/>
        <s v="GNR_GT_NGAS_BP_E-28"/>
        <s v="GNR_GT_NGAS_BP_E-33"/>
        <s v="GNR_GT_NGAS_BP_E-36"/>
        <s v="GNR_PV_SUN"/>
        <s v="GNR_ROR_WTR"/>
        <s v="GNR_WT_WIND_ONS"/>
        <s v="GNR_WT_WIND_OFF"/>
        <s v="GNR_ENG_NGAS_BP_E-45"/>
        <s v="GNR_ENG_NGAS_BP_E-47"/>
        <s v="GNR_GT_NGAS_BP_E-30"/>
        <s v="GNR_GT_NGAS_BP_E-41"/>
        <s v="GNR_ST_WOODPEL_BP_E-30"/>
        <s v="GNR_BO_WOODWST_E-100"/>
        <s v="GNR_BO_WOODWST_E-89"/>
        <s v="GNR_ENG_BGAS_BP_E-42"/>
        <s v="GNR_ST_COAL_EXT_E-42"/>
        <s v="GNR_ST_MSW_BP_E-16"/>
        <s v="GNR_ST_NGAS_BP_E-39"/>
        <s v="GNR_ST_WOODCHI_BP_E-24"/>
        <s v="GNR_ST_WOODPEL_EXT_E-50"/>
        <s v="GNR_BO_WOODWST_E-90"/>
        <s v="GNR_ST_MSW_BP_E-25"/>
        <s v="GNR_ST_MSW_BP_E-28"/>
        <s v="GNR_ST_COAL_EXT_E-41"/>
        <s v="GNR_GT_NGAS_BP_E-42"/>
        <s v="GNR_ENG_BGAS_BP_E-39"/>
        <s v="GNR_ENG_BGAS_BP_E-40"/>
        <s v="GNR_ENG_BGAS_BP_E-41"/>
        <s v="GNR_ST_COAL_BP_E-35"/>
        <s v="GNR_ST_STRW_BP_E-24"/>
        <s v="GNR_ST_STRW_BP_E-27"/>
        <s v="GNR_ST_STRW_BP_E-28"/>
        <s v="ENEFIT_ST_RETORT-GAS_CND"/>
        <s v="GNR_ENG_RETORT-GAS_E-44"/>
        <s v="IMAVERE_ST_WOOD_BP"/>
        <s v="OSULA_ST_WOOD_BP"/>
        <s v="GNR_ST_WOODWST_BP_E-53"/>
        <s v="GNR_BO_NGAS_HO_E-85"/>
        <s v="GNR_ENG_NGAS_EXT_E-44"/>
        <s v="GNR_BO_FUELOIL_HO_E-85"/>
        <s v="NARVA-11_ST_SHALE_EXT"/>
        <s v="PARNU-1_ST_WOOD_BP"/>
        <s v="EBAVERE_ST_WOODWST_BP"/>
        <s v="IRU_ST_MSW_BP"/>
        <s v="IRU_ST_NGAS_BP"/>
        <s v="MUSTAMAE_ST_WOOD_BP"/>
        <s v="VAO-1_ST_WOOD_BP"/>
        <s v="VAO-2_ST_WOOD_BP"/>
        <s v="TARTU-1_ST_WOOD_BP"/>
        <s v="GNR_ST_WOOD_BP_E-53"/>
        <s v="GBPR_NATGAS_FINEL"/>
        <s v="GEXT_NATGAS_MERTANIEMI"/>
        <s v="GBPR_WOODCHIPS"/>
        <s v="GBPR_WOODWASTE_FINEL"/>
        <s v="GBPR_NATGAS_SUOMENOJA"/>
        <s v="GBPR_NATGAS_SUOMENOJA2"/>
        <s v="GHOB_NATGAS"/>
        <s v="GHOB_NATGAS_EXETS"/>
        <s v="GBPR_NATGAS_GASAREA"/>
        <s v="GEXT_NATGAS_NOKIA"/>
        <s v="GBPR_NATGAS_MARTINLAAKSOGT"/>
        <s v="GBPR_NATGAS_VOUSAARI"/>
        <s v="GEXT_NATGAS_VOUSAARI"/>
        <s v="GHOB_BIOGAS"/>
        <s v="GBPR_COAL_NAANTALI"/>
        <s v="GHOB_PEAT"/>
        <s v="GHOB_WASTEHEAT"/>
        <s v="GHOB_WOODCHIPS"/>
        <s v="GHOB_WOODPELLETS"/>
        <s v="GHOB_WOODWASTE"/>
        <s v="GBPR_NATGAS_100"/>
        <s v="GBPR_WOODCHIPS_FINOTHER"/>
        <s v="GBPR_WOODPELLETS"/>
        <s v="GBPR_WOODWASTE_FINOTHER"/>
        <s v="GEXT_NATGAS_TAMPERE"/>
        <s v="GBPR_NATGAS_IND"/>
        <s v="GCND_NATGAS1"/>
        <s v="GCND_NATGAS2"/>
        <s v="GCND_NATGAS3"/>
        <s v="GCND_NUCLEAR"/>
        <s v="GNR_RES_WTR_NOPMP_MC-01"/>
        <s v="GNR_RES_WTR_NOPMP_MC-02"/>
        <s v="GNR_RES_WTR_NOPMP_MC-03"/>
        <s v="GNR_RES_WTR_NOPMP_MC-04"/>
        <s v="GNR_RES_WTR_NOPMP_MC-05"/>
        <s v="GNR_RES_WTR_NOPMP_MC-06"/>
        <s v="GNR_RES_WTR_NOPMP_MC-07"/>
        <s v="GNR_RES_WTR_NOPMP_MC-08"/>
        <s v="GNR_RES_WTR_NOPMP_MC-09"/>
        <s v="GBPR_IND_BIO"/>
        <s v="GBPR_WOOD_IND"/>
        <s v="GCND_COFIRING"/>
        <s v="GCND_WOODCHIPS"/>
        <s v="GNR_ENG_BGAS_BP_E-45"/>
        <s v="GNR_ENG_BGAS_CND_E-44"/>
        <s v="GNR_ST_BGAS_BP_E-38"/>
        <s v="GNR_ST_BGAS_CND_E-38"/>
        <s v="AGG-DE4-E_ES_ELEC"/>
        <s v="AGG-DE4-E_RES_WTR_PMP"/>
        <s v="GNR_ES_ELEC_BAT-LITHIO_E-95_Y-16-29"/>
        <s v="GNR_ST_MSW_BP_E-33"/>
        <s v="GNR_ST_MSW_CND_E-33"/>
        <s v="GNR_CC_NGAS_BP_E-53"/>
        <s v="GNR_CC_NGAS_CND_E-51"/>
        <s v="GNR_CC_NGAS_CND_E-57"/>
        <s v="GNR_GT_NGAS_BP_E-38"/>
        <s v="GNR_GT_NGAS_CND_E-35"/>
        <s v="GNR_ST_NGAS_BP_E-31"/>
        <s v="GNR_ST_NGAS_BP_E-38"/>
        <s v="GNR_ST_NGAS_CND_E-38"/>
        <s v="GNR_GEO_HEAT_EO"/>
        <s v="GNR_BO_BGAS_E-80"/>
        <s v="GNR_ST_COAL_BP_E-40"/>
        <s v="AGG-DE4-N_ES_ELEC"/>
        <s v="AGG-DE4-N_RES_WTR_PMP"/>
        <s v="GNR_ST_FUELOIL_BP_E-35"/>
        <s v="GNR_ST_FUELOIL_BP_E-38"/>
        <s v="GNR_BO_MSW_E-80"/>
        <s v="GNR_CC_NGAS_BP_E-57"/>
        <s v="GNR_ST_NUCL_CND_E-33"/>
        <s v="AGG-DE4-S_ES_ELEC"/>
        <s v="AGG-DE4-S_RES_WTR_PMP"/>
        <s v="GNR_CC_NGAS_CND_E-43"/>
        <s v="GNR_GT_NGAS_BP_E-32"/>
        <s v="GNR_GT_NGAS_BP_E-37"/>
        <s v="GNR_GT_NGAS_CND_E-31"/>
        <s v="GNR_ST_NGAS_CND_E-36"/>
        <s v="GNR_RES_WTR_NOPMP"/>
        <s v="AGG-DE4-W_ES_ELEC"/>
        <s v="AGG-DE4-W_RES_WTR_PMP"/>
        <s v="GNR_CC_NGAS_BP_E-39"/>
        <s v="GNR_CC_NGAS_BP_E-55"/>
        <s v="GNR_CC_NGAS_CND_E-42"/>
        <s v="GNR_ENG_NGAS_CND_E-44"/>
        <s v="GNR_GT_NGAS_BP_E-39"/>
        <s v="GNR_GT_NGAS_CND_E-32"/>
        <s v="GNR_GT_NGAS_CND_E-40"/>
        <s v="GNR_ST_NGAS_BP_E-33"/>
        <s v="GNR_ST_NGAS_CND_E-39"/>
        <s v="GNR_ST_NGAS_BP_E-28"/>
        <s v="GNR_ST_WOOD_BP_E-30"/>
        <s v="GNR_ST_NGAS_BP_E-42"/>
        <s v="RIGA-TEC2_CC_NGAS_BP"/>
        <s v="RIGA-TEC2_CC_NGAS_EXT"/>
        <s v="KAUNAS_ST_MSW_BP"/>
        <s v="GNR_ST_NGAS_EXT_E-24"/>
        <s v="GNR_ST_NGAS_EXT_E-31"/>
        <s v="LIFOSA_ST_HEAT_BP"/>
        <s v="ACHEMA1_ST_NGAS_EXT"/>
        <s v="ACHEMA2_ST_NGAS_EXT"/>
        <s v="ALYTUS_ENG_NGAS_BP"/>
        <s v="GNR_ENG_NGAS_EXT_E-43"/>
        <s v="GNR_CC_NGAS_BP_E-42"/>
        <s v="SIAULIAI_ST_WOOD_BP"/>
        <s v="VILNIUS_ST_MSW_BP"/>
        <s v="GNR_CC_NGAS_CND_E-58"/>
        <s v="GNR_ST_NGAS_CON_E-38"/>
        <s v="GNR_ST_NGAS_EXT_E-39"/>
        <s v="GNR_ES_WTR_PMP"/>
        <s v="GNR_ST_COAL_CND_E-40"/>
        <s v="GNR_ST_MSW_CND_E-40"/>
        <s v="GNR_CC_NGAS_CND_E-38"/>
        <s v="GNR_ST_WOOD_CND_E-50"/>
        <s v="GHOB_LNG"/>
        <s v="GHOB_LPG"/>
        <s v="GBPR_MUNIWASTE"/>
        <s v="GHOB_MUNIWASTE"/>
        <s v="GNR_RES_WTR_PMP_MC-01"/>
        <s v="GNR_ST_BGAS_CND_E-37"/>
        <s v="BIAL-4_ST_COAL_CND"/>
        <s v="KATO_ST_COAL_BP"/>
        <s v="LAZI-1_ST_COAL_EXT"/>
        <s v="SIER-1_ST_COAL_BP"/>
        <s v="ZIEL-2_ST_COAL_BP"/>
        <s v="ZIEL-4_ST_COAL_BP"/>
        <s v="GNR_ST_MSW_BP_E-15"/>
        <s v="GNR_ST_NGAS_BP_E-15"/>
        <s v="GORZ-4_ST_NGAS_BP"/>
        <s v="NOWA-1_ST_NGAS_BP"/>
        <s v="RZES-2_ST_NGAS_BP"/>
        <s v="ZIEL-1_ST_NGAS_BP"/>
        <s v="ZIEL-3_ST_NGAS_BP"/>
        <s v="BIAL-1_ST_STRAW_BP"/>
        <s v="GNR_BO_STRAW_HO_E-100"/>
        <s v="GNR_ST_STRAW_BP_E-15"/>
        <s v="LODZ-3_ST_STRAW_EXT"/>
        <s v="GNR_ST_WOOD_EXT_E-45"/>
        <s v="LAGI-6_ST_COAL_CND"/>
        <s v="GBPR_WOODWASTE_25"/>
        <s v="GBPR_NATGAS"/>
        <s v="GBPR_WOODCHIPS_25"/>
        <s v="GBPR_WOODWASTE"/>
        <s v="GBPR_MUNIWASTE_24"/>
        <s v="GEXT_WOODWASTE_HORNEBORG"/>
        <s v="GBPR_WOODWASTE_36"/>
        <s v="GEXT_COAL_LINK"/>
        <s v="GBPR_MUNIWASTE_LINK"/>
        <s v="GBPR_RECYCLEDWOOD_SE3EL"/>
        <s v="GHOB_RECYCLEDWOOD"/>
        <s v="GBPR_WOODWASTE_ABY"/>
        <s v="GBPR_NATGAS_RYA"/>
        <s v="GBPR_WOODWASTE_GOT"/>
        <s v="GEXT_WOODWASTE"/>
        <s v="GBPR_RECYCLEDWOOD_SE3OTHER"/>
        <s v="GBPR_WOODCHIPS_37"/>
        <s v="GBPR_COAL_VARTAN"/>
        <s v="GBPR_MUNIWASTE_HOGDALEN"/>
        <s v="GBPR_WOODPELLETS_HASSELBY"/>
        <s v="GBPR_WOODWASTE_BRISTA"/>
        <s v="GNR_RES_WTR_NOPMP_MC-10"/>
        <s v="GBPR_RECYCLEDWOOD"/>
        <s v="GBPR_RECYCLEDWOOD_SE4EL"/>
        <s v="GHOB_STRAW"/>
        <s v="GBPR_MUNIWASTE_65"/>
        <s v="GBPR_NATGAS_MAL"/>
        <s v="GEXT_NATGAS_ORESUND"/>
        <s v="GBPR_MUNIWASTE_19"/>
        <s v="GNR_ST_BGAS_CND_E-45"/>
        <s v="GNR_ST_COAL_CND_E-35"/>
        <s v="GNR_CC_NGAS_CND_E-47"/>
        <s v="GNR_CC_NGAS_CND_E-52"/>
        <s v="GNR_CC_NGAS_CND_E-56"/>
        <s v="GNR_GT_NGAS_CND_E-33"/>
        <s v="GNR_GT_NGAS_CND_E-38"/>
        <s v="GNR_GT_NGAS_CND_E-41"/>
      </sharedItems>
    </cacheField>
    <cacheField name="CO2 kilotons" numFmtId="0" sqlType="8">
      <sharedItems containsString="0" containsBlank="1" containsNumber="1" minValue="0.93389117434134095" maxValue="1000"/>
    </cacheField>
    <cacheField name="CO2 megatons" numFmtId="0" sqlType="8">
      <sharedItems containsString="0" containsBlank="1" containsNumber="1" minValue="9.3389117434134101E-4" maxValue="1"/>
    </cacheField>
    <cacheField name="SO2 kilotons" numFmtId="0" sqlType="8">
      <sharedItems containsString="0" containsBlank="1" containsNumber="1" minValue="-979.55385216000002" maxValue="7.5475687103594096"/>
    </cacheField>
    <cacheField name="SO2 megatons" numFmtId="0" sqlType="8">
      <sharedItems containsString="0" containsBlank="1" containsNumber="1" minValue="-0.97955385215999902" maxValue="7.5475687103594103E-3"/>
    </cacheField>
    <cacheField name="N2O kilotons" numFmtId="0" sqlType="8">
      <sharedItems containsString="0" containsBlank="1" containsNumber="1" minValue="2.6877272727272701E-6" maxValue="1.6168390607987"/>
    </cacheField>
    <cacheField name="N2O megatons" numFmtId="0" sqlType="8">
      <sharedItems containsString="0" containsBlank="1" containsNumber="1" minValue="2.6877272727272701E-9" maxValue="1.6168390607987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079">
  <r>
    <x v="0"/>
    <x v="0"/>
    <x v="0"/>
    <x v="0"/>
    <x v="0"/>
    <s v="DK1_Large"/>
    <x v="0"/>
    <x v="0"/>
    <x v="0"/>
    <x v="0"/>
    <n v="0.42"/>
    <n v="153.30000000000001"/>
    <n v="551.88"/>
  </r>
  <r>
    <x v="0"/>
    <x v="0"/>
    <x v="0"/>
    <x v="0"/>
    <x v="0"/>
    <s v="DK1_Large"/>
    <x v="0"/>
    <x v="0"/>
    <x v="0"/>
    <x v="1"/>
    <n v="0.42"/>
    <n v="153.30000000000001"/>
    <n v="551.88"/>
  </r>
  <r>
    <x v="0"/>
    <x v="0"/>
    <x v="0"/>
    <x v="0"/>
    <x v="0"/>
    <s v="DK1_Large"/>
    <x v="0"/>
    <x v="0"/>
    <x v="0"/>
    <x v="2"/>
    <n v="0.42"/>
    <n v="153.30000000000001"/>
    <n v="551.88"/>
  </r>
  <r>
    <x v="0"/>
    <x v="0"/>
    <x v="0"/>
    <x v="0"/>
    <x v="0"/>
    <s v="DK1_Large"/>
    <x v="0"/>
    <x v="0"/>
    <x v="0"/>
    <x v="3"/>
    <n v="0.42"/>
    <n v="153.30000000000001"/>
    <n v="551.88"/>
  </r>
  <r>
    <x v="0"/>
    <x v="0"/>
    <x v="0"/>
    <x v="0"/>
    <x v="0"/>
    <s v="DK1_Large"/>
    <x v="0"/>
    <x v="0"/>
    <x v="0"/>
    <x v="4"/>
    <n v="0.42"/>
    <n v="153.30000000000001"/>
    <n v="551.88"/>
  </r>
  <r>
    <x v="0"/>
    <x v="0"/>
    <x v="0"/>
    <x v="0"/>
    <x v="0"/>
    <s v="DK1_Large"/>
    <x v="0"/>
    <x v="0"/>
    <x v="0"/>
    <x v="5"/>
    <n v="0.42"/>
    <n v="153.30000000000001"/>
    <n v="551.88"/>
  </r>
  <r>
    <x v="0"/>
    <x v="0"/>
    <x v="0"/>
    <x v="0"/>
    <x v="0"/>
    <s v="DK1_Large"/>
    <x v="0"/>
    <x v="0"/>
    <x v="0"/>
    <x v="6"/>
    <n v="0.42"/>
    <n v="153.30000000000001"/>
    <n v="551.88"/>
  </r>
  <r>
    <x v="0"/>
    <x v="0"/>
    <x v="0"/>
    <x v="0"/>
    <x v="0"/>
    <s v="DK1_Large"/>
    <x v="0"/>
    <x v="0"/>
    <x v="0"/>
    <x v="7"/>
    <n v="0.42"/>
    <n v="153.30000000000001"/>
    <n v="551.88"/>
  </r>
  <r>
    <x v="0"/>
    <x v="0"/>
    <x v="0"/>
    <x v="0"/>
    <x v="0"/>
    <s v="DK1_Large"/>
    <x v="0"/>
    <x v="0"/>
    <x v="0"/>
    <x v="8"/>
    <n v="0.42"/>
    <n v="153.30000000000001"/>
    <n v="551.88"/>
  </r>
  <r>
    <x v="0"/>
    <x v="0"/>
    <x v="0"/>
    <x v="0"/>
    <x v="0"/>
    <s v="DK1_Large"/>
    <x v="0"/>
    <x v="0"/>
    <x v="0"/>
    <x v="9"/>
    <n v="0.42"/>
    <n v="153.30000000000001"/>
    <n v="551.88"/>
  </r>
  <r>
    <x v="0"/>
    <x v="0"/>
    <x v="0"/>
    <x v="0"/>
    <x v="0"/>
    <s v="DK1_Large"/>
    <x v="0"/>
    <x v="0"/>
    <x v="0"/>
    <x v="10"/>
    <n v="0.42"/>
    <n v="153.30000000000001"/>
    <n v="551.88"/>
  </r>
  <r>
    <x v="0"/>
    <x v="0"/>
    <x v="0"/>
    <x v="0"/>
    <x v="0"/>
    <s v="DK1_Large"/>
    <x v="0"/>
    <x v="0"/>
    <x v="0"/>
    <x v="11"/>
    <n v="0.42"/>
    <n v="153.30000000000001"/>
    <n v="551.88"/>
  </r>
  <r>
    <x v="0"/>
    <x v="0"/>
    <x v="0"/>
    <x v="0"/>
    <x v="0"/>
    <s v="DK1_Large"/>
    <x v="0"/>
    <x v="0"/>
    <x v="0"/>
    <x v="12"/>
    <n v="0.42"/>
    <n v="153.30000000000001"/>
    <n v="551.88"/>
  </r>
  <r>
    <x v="0"/>
    <x v="0"/>
    <x v="0"/>
    <x v="0"/>
    <x v="0"/>
    <s v="DK1_Large"/>
    <x v="0"/>
    <x v="0"/>
    <x v="0"/>
    <x v="13"/>
    <n v="0.42"/>
    <n v="153.30000000000001"/>
    <n v="551.88"/>
  </r>
  <r>
    <x v="0"/>
    <x v="0"/>
    <x v="0"/>
    <x v="0"/>
    <x v="0"/>
    <s v="DK1_Large"/>
    <x v="0"/>
    <x v="0"/>
    <x v="0"/>
    <x v="14"/>
    <n v="0.42"/>
    <n v="153.30000000000001"/>
    <n v="551.88"/>
  </r>
  <r>
    <x v="0"/>
    <x v="0"/>
    <x v="0"/>
    <x v="0"/>
    <x v="0"/>
    <s v="DK1_Large"/>
    <x v="0"/>
    <x v="0"/>
    <x v="0"/>
    <x v="15"/>
    <n v="0.42"/>
    <n v="153.30000000000001"/>
    <n v="551.88"/>
  </r>
  <r>
    <x v="0"/>
    <x v="0"/>
    <x v="0"/>
    <x v="0"/>
    <x v="0"/>
    <s v="DK1_Large"/>
    <x v="0"/>
    <x v="0"/>
    <x v="0"/>
    <x v="16"/>
    <n v="0.42"/>
    <n v="153.30000000000001"/>
    <n v="551.88"/>
  </r>
  <r>
    <x v="0"/>
    <x v="0"/>
    <x v="0"/>
    <x v="0"/>
    <x v="0"/>
    <s v="DK1_Large"/>
    <x v="0"/>
    <x v="0"/>
    <x v="0"/>
    <x v="17"/>
    <n v="0.42"/>
    <n v="153.30000000000001"/>
    <n v="551.88"/>
  </r>
  <r>
    <x v="0"/>
    <x v="0"/>
    <x v="0"/>
    <x v="0"/>
    <x v="0"/>
    <s v="DK1_Large"/>
    <x v="0"/>
    <x v="0"/>
    <x v="0"/>
    <x v="18"/>
    <n v="0.42"/>
    <n v="153.30000000000001"/>
    <n v="551.88"/>
  </r>
  <r>
    <x v="0"/>
    <x v="0"/>
    <x v="0"/>
    <x v="0"/>
    <x v="0"/>
    <s v="DK1_Large"/>
    <x v="0"/>
    <x v="0"/>
    <x v="0"/>
    <x v="19"/>
    <n v="0.42"/>
    <n v="153.30000000000001"/>
    <n v="551.88"/>
  </r>
  <r>
    <x v="0"/>
    <x v="0"/>
    <x v="0"/>
    <x v="0"/>
    <x v="0"/>
    <s v="DK1_Large"/>
    <x v="0"/>
    <x v="0"/>
    <x v="0"/>
    <x v="20"/>
    <n v="0.42"/>
    <n v="153.30000000000001"/>
    <n v="551.88"/>
  </r>
  <r>
    <x v="0"/>
    <x v="0"/>
    <x v="0"/>
    <x v="0"/>
    <x v="0"/>
    <s v="DK1_Large"/>
    <x v="0"/>
    <x v="0"/>
    <x v="0"/>
    <x v="21"/>
    <n v="0.42"/>
    <n v="153.30000000000001"/>
    <n v="551.88"/>
  </r>
  <r>
    <x v="0"/>
    <x v="0"/>
    <x v="0"/>
    <x v="0"/>
    <x v="0"/>
    <s v="DK1_Large"/>
    <x v="0"/>
    <x v="0"/>
    <x v="0"/>
    <x v="22"/>
    <n v="0.42"/>
    <n v="153.30000000000001"/>
    <n v="551.88"/>
  </r>
  <r>
    <x v="0"/>
    <x v="0"/>
    <x v="0"/>
    <x v="0"/>
    <x v="0"/>
    <s v="DK1_Large"/>
    <x v="0"/>
    <x v="0"/>
    <x v="0"/>
    <x v="23"/>
    <n v="0.42"/>
    <n v="153.30000000000001"/>
    <n v="551.88"/>
  </r>
  <r>
    <x v="0"/>
    <x v="0"/>
    <x v="0"/>
    <x v="0"/>
    <x v="0"/>
    <s v="DK1_Large"/>
    <x v="0"/>
    <x v="1"/>
    <x v="0"/>
    <x v="0"/>
    <n v="0.98947368421052595"/>
    <n v="361.15789473684202"/>
    <n v="1300.16842105263"/>
  </r>
  <r>
    <x v="0"/>
    <x v="0"/>
    <x v="0"/>
    <x v="0"/>
    <x v="0"/>
    <s v="DK1_Large"/>
    <x v="0"/>
    <x v="1"/>
    <x v="0"/>
    <x v="1"/>
    <n v="0.98947368421052595"/>
    <n v="361.15789473684202"/>
    <n v="1300.16842105263"/>
  </r>
  <r>
    <x v="0"/>
    <x v="0"/>
    <x v="0"/>
    <x v="0"/>
    <x v="0"/>
    <s v="DK1_Large"/>
    <x v="0"/>
    <x v="1"/>
    <x v="0"/>
    <x v="2"/>
    <n v="0.98947368421052595"/>
    <n v="361.15789473684202"/>
    <n v="1300.16842105263"/>
  </r>
  <r>
    <x v="0"/>
    <x v="0"/>
    <x v="0"/>
    <x v="0"/>
    <x v="0"/>
    <s v="DK1_Large"/>
    <x v="0"/>
    <x v="1"/>
    <x v="0"/>
    <x v="3"/>
    <n v="0.98947368421052595"/>
    <n v="361.15789473684202"/>
    <n v="1300.16842105263"/>
  </r>
  <r>
    <x v="0"/>
    <x v="0"/>
    <x v="0"/>
    <x v="0"/>
    <x v="0"/>
    <s v="DK1_Large"/>
    <x v="0"/>
    <x v="1"/>
    <x v="0"/>
    <x v="4"/>
    <n v="0.98947368421052595"/>
    <n v="361.15789473684202"/>
    <n v="1300.16842105263"/>
  </r>
  <r>
    <x v="0"/>
    <x v="0"/>
    <x v="0"/>
    <x v="0"/>
    <x v="0"/>
    <s v="DK1_Large"/>
    <x v="0"/>
    <x v="1"/>
    <x v="0"/>
    <x v="5"/>
    <n v="0.98947368421052595"/>
    <n v="361.15789473684202"/>
    <n v="1300.16842105263"/>
  </r>
  <r>
    <x v="0"/>
    <x v="0"/>
    <x v="0"/>
    <x v="0"/>
    <x v="0"/>
    <s v="DK1_Large"/>
    <x v="0"/>
    <x v="1"/>
    <x v="0"/>
    <x v="6"/>
    <n v="0.98947368421052595"/>
    <n v="361.15789473684202"/>
    <n v="1300.16842105263"/>
  </r>
  <r>
    <x v="0"/>
    <x v="0"/>
    <x v="0"/>
    <x v="0"/>
    <x v="0"/>
    <s v="DK1_Large"/>
    <x v="0"/>
    <x v="1"/>
    <x v="0"/>
    <x v="7"/>
    <n v="0.98947368421052595"/>
    <n v="361.15789473684202"/>
    <n v="1300.16842105263"/>
  </r>
  <r>
    <x v="0"/>
    <x v="0"/>
    <x v="0"/>
    <x v="0"/>
    <x v="0"/>
    <s v="DK1_Large"/>
    <x v="0"/>
    <x v="1"/>
    <x v="0"/>
    <x v="8"/>
    <n v="0.98947368421052595"/>
    <n v="361.15789473684202"/>
    <n v="1300.16842105263"/>
  </r>
  <r>
    <x v="0"/>
    <x v="0"/>
    <x v="0"/>
    <x v="0"/>
    <x v="0"/>
    <s v="DK1_Large"/>
    <x v="0"/>
    <x v="1"/>
    <x v="0"/>
    <x v="9"/>
    <n v="0.98947368421052595"/>
    <n v="361.15789473684202"/>
    <n v="1300.16842105263"/>
  </r>
  <r>
    <x v="0"/>
    <x v="0"/>
    <x v="0"/>
    <x v="0"/>
    <x v="0"/>
    <s v="DK1_Large"/>
    <x v="0"/>
    <x v="1"/>
    <x v="0"/>
    <x v="10"/>
    <n v="0.98947368421052595"/>
    <n v="361.15789473684202"/>
    <n v="1300.16842105263"/>
  </r>
  <r>
    <x v="0"/>
    <x v="0"/>
    <x v="0"/>
    <x v="0"/>
    <x v="0"/>
    <s v="DK1_Large"/>
    <x v="0"/>
    <x v="1"/>
    <x v="0"/>
    <x v="11"/>
    <n v="0.98947368421052595"/>
    <n v="361.15789473684202"/>
    <n v="1300.16842105263"/>
  </r>
  <r>
    <x v="0"/>
    <x v="0"/>
    <x v="0"/>
    <x v="0"/>
    <x v="0"/>
    <s v="DK1_Large"/>
    <x v="0"/>
    <x v="1"/>
    <x v="0"/>
    <x v="12"/>
    <n v="0.98947368421052595"/>
    <n v="361.15789473684202"/>
    <n v="1300.16842105263"/>
  </r>
  <r>
    <x v="0"/>
    <x v="0"/>
    <x v="0"/>
    <x v="0"/>
    <x v="0"/>
    <s v="DK1_Large"/>
    <x v="0"/>
    <x v="1"/>
    <x v="0"/>
    <x v="13"/>
    <n v="0.98947368421052595"/>
    <n v="361.15789473684202"/>
    <n v="1300.16842105263"/>
  </r>
  <r>
    <x v="0"/>
    <x v="0"/>
    <x v="0"/>
    <x v="0"/>
    <x v="0"/>
    <s v="DK1_Large"/>
    <x v="0"/>
    <x v="1"/>
    <x v="0"/>
    <x v="14"/>
    <n v="0.98947368421052595"/>
    <n v="361.15789473684202"/>
    <n v="1300.16842105263"/>
  </r>
  <r>
    <x v="0"/>
    <x v="0"/>
    <x v="0"/>
    <x v="0"/>
    <x v="0"/>
    <s v="DK1_Large"/>
    <x v="0"/>
    <x v="1"/>
    <x v="0"/>
    <x v="15"/>
    <n v="0.98947368421052595"/>
    <n v="361.15789473684202"/>
    <n v="1300.16842105263"/>
  </r>
  <r>
    <x v="0"/>
    <x v="0"/>
    <x v="0"/>
    <x v="0"/>
    <x v="0"/>
    <s v="DK1_Large"/>
    <x v="0"/>
    <x v="1"/>
    <x v="0"/>
    <x v="16"/>
    <n v="0.98947368421052595"/>
    <n v="361.15789473684202"/>
    <n v="1300.16842105263"/>
  </r>
  <r>
    <x v="0"/>
    <x v="0"/>
    <x v="0"/>
    <x v="0"/>
    <x v="0"/>
    <s v="DK1_Large"/>
    <x v="0"/>
    <x v="1"/>
    <x v="0"/>
    <x v="17"/>
    <n v="0.98947368421052595"/>
    <n v="361.15789473684202"/>
    <n v="1300.16842105263"/>
  </r>
  <r>
    <x v="0"/>
    <x v="0"/>
    <x v="0"/>
    <x v="0"/>
    <x v="0"/>
    <s v="DK1_Large"/>
    <x v="0"/>
    <x v="1"/>
    <x v="0"/>
    <x v="18"/>
    <n v="0.98947368421052595"/>
    <n v="361.15789473684202"/>
    <n v="1300.16842105263"/>
  </r>
  <r>
    <x v="0"/>
    <x v="0"/>
    <x v="0"/>
    <x v="0"/>
    <x v="0"/>
    <s v="DK1_Large"/>
    <x v="0"/>
    <x v="1"/>
    <x v="0"/>
    <x v="19"/>
    <n v="0.98947368421052595"/>
    <n v="361.15789473684202"/>
    <n v="1300.16842105263"/>
  </r>
  <r>
    <x v="0"/>
    <x v="0"/>
    <x v="0"/>
    <x v="0"/>
    <x v="0"/>
    <s v="DK1_Large"/>
    <x v="0"/>
    <x v="1"/>
    <x v="0"/>
    <x v="20"/>
    <n v="0.98947368421052595"/>
    <n v="361.15789473684202"/>
    <n v="1300.16842105263"/>
  </r>
  <r>
    <x v="0"/>
    <x v="0"/>
    <x v="0"/>
    <x v="0"/>
    <x v="0"/>
    <s v="DK1_Large"/>
    <x v="0"/>
    <x v="1"/>
    <x v="0"/>
    <x v="21"/>
    <n v="0.98947368421052595"/>
    <n v="361.15789473684202"/>
    <n v="1300.16842105263"/>
  </r>
  <r>
    <x v="0"/>
    <x v="0"/>
    <x v="0"/>
    <x v="0"/>
    <x v="0"/>
    <s v="DK1_Large"/>
    <x v="0"/>
    <x v="1"/>
    <x v="0"/>
    <x v="22"/>
    <n v="0.98947368421052595"/>
    <n v="361.15789473684202"/>
    <n v="1300.16842105263"/>
  </r>
  <r>
    <x v="0"/>
    <x v="0"/>
    <x v="0"/>
    <x v="0"/>
    <x v="0"/>
    <s v="DK1_Large"/>
    <x v="0"/>
    <x v="1"/>
    <x v="0"/>
    <x v="23"/>
    <n v="0.98947368421052595"/>
    <n v="361.15789473684202"/>
    <n v="1300.16842105263"/>
  </r>
  <r>
    <x v="0"/>
    <x v="0"/>
    <x v="0"/>
    <x v="0"/>
    <x v="0"/>
    <s v="DK1_Large"/>
    <x v="0"/>
    <x v="2"/>
    <x v="0"/>
    <x v="0"/>
    <n v="0.80645161290322598"/>
    <n v="294.35483870967698"/>
    <n v="1059.6774193548399"/>
  </r>
  <r>
    <x v="0"/>
    <x v="0"/>
    <x v="0"/>
    <x v="0"/>
    <x v="0"/>
    <s v="DK1_Large"/>
    <x v="0"/>
    <x v="2"/>
    <x v="0"/>
    <x v="1"/>
    <n v="0.80645161290322598"/>
    <n v="294.35483870967698"/>
    <n v="1059.6774193548399"/>
  </r>
  <r>
    <x v="0"/>
    <x v="0"/>
    <x v="0"/>
    <x v="0"/>
    <x v="0"/>
    <s v="DK1_Large"/>
    <x v="0"/>
    <x v="2"/>
    <x v="0"/>
    <x v="2"/>
    <n v="0.80645161290322598"/>
    <n v="294.35483870967698"/>
    <n v="1059.6774193548399"/>
  </r>
  <r>
    <x v="0"/>
    <x v="0"/>
    <x v="0"/>
    <x v="0"/>
    <x v="0"/>
    <s v="DK1_Large"/>
    <x v="0"/>
    <x v="2"/>
    <x v="0"/>
    <x v="3"/>
    <n v="0.80645161290322598"/>
    <n v="294.35483870967698"/>
    <n v="1059.6774193548399"/>
  </r>
  <r>
    <x v="0"/>
    <x v="0"/>
    <x v="0"/>
    <x v="0"/>
    <x v="0"/>
    <s v="DK1_Large"/>
    <x v="0"/>
    <x v="2"/>
    <x v="0"/>
    <x v="4"/>
    <n v="0.80645161290322598"/>
    <n v="294.35483870967698"/>
    <n v="1059.6774193548399"/>
  </r>
  <r>
    <x v="0"/>
    <x v="0"/>
    <x v="0"/>
    <x v="0"/>
    <x v="0"/>
    <s v="DK1_Large"/>
    <x v="0"/>
    <x v="2"/>
    <x v="0"/>
    <x v="5"/>
    <n v="0.80645161290322598"/>
    <n v="294.35483870967698"/>
    <n v="1059.6774193548399"/>
  </r>
  <r>
    <x v="0"/>
    <x v="0"/>
    <x v="0"/>
    <x v="0"/>
    <x v="0"/>
    <s v="DK1_Large"/>
    <x v="0"/>
    <x v="2"/>
    <x v="0"/>
    <x v="6"/>
    <n v="0.80645161290322598"/>
    <n v="294.35483870967698"/>
    <n v="1059.6774193548399"/>
  </r>
  <r>
    <x v="0"/>
    <x v="0"/>
    <x v="0"/>
    <x v="0"/>
    <x v="0"/>
    <s v="DK1_Large"/>
    <x v="0"/>
    <x v="2"/>
    <x v="0"/>
    <x v="7"/>
    <n v="0.80645161290322598"/>
    <n v="294.35483870967698"/>
    <n v="1059.6774193548399"/>
  </r>
  <r>
    <x v="0"/>
    <x v="0"/>
    <x v="0"/>
    <x v="0"/>
    <x v="0"/>
    <s v="DK1_Large"/>
    <x v="0"/>
    <x v="2"/>
    <x v="0"/>
    <x v="8"/>
    <n v="0.80645161290322598"/>
    <n v="294.35483870967698"/>
    <n v="1059.6774193548399"/>
  </r>
  <r>
    <x v="0"/>
    <x v="0"/>
    <x v="0"/>
    <x v="0"/>
    <x v="0"/>
    <s v="DK1_Large"/>
    <x v="0"/>
    <x v="2"/>
    <x v="0"/>
    <x v="9"/>
    <n v="0.80645161290322598"/>
    <n v="294.35483870967698"/>
    <n v="1059.6774193548399"/>
  </r>
  <r>
    <x v="0"/>
    <x v="0"/>
    <x v="0"/>
    <x v="0"/>
    <x v="0"/>
    <s v="DK1_Large"/>
    <x v="0"/>
    <x v="2"/>
    <x v="0"/>
    <x v="10"/>
    <n v="0.80645161290322598"/>
    <n v="294.35483870967698"/>
    <n v="1059.6774193548399"/>
  </r>
  <r>
    <x v="0"/>
    <x v="0"/>
    <x v="0"/>
    <x v="0"/>
    <x v="0"/>
    <s v="DK1_Large"/>
    <x v="0"/>
    <x v="2"/>
    <x v="0"/>
    <x v="11"/>
    <n v="0.80645161290322598"/>
    <n v="294.35483870967698"/>
    <n v="1059.6774193548399"/>
  </r>
  <r>
    <x v="0"/>
    <x v="0"/>
    <x v="0"/>
    <x v="0"/>
    <x v="0"/>
    <s v="DK1_Large"/>
    <x v="0"/>
    <x v="2"/>
    <x v="0"/>
    <x v="12"/>
    <n v="0.80645161290322598"/>
    <n v="294.35483870967698"/>
    <n v="1059.6774193548399"/>
  </r>
  <r>
    <x v="0"/>
    <x v="0"/>
    <x v="0"/>
    <x v="0"/>
    <x v="0"/>
    <s v="DK1_Large"/>
    <x v="0"/>
    <x v="2"/>
    <x v="0"/>
    <x v="13"/>
    <n v="0.80645161290322598"/>
    <n v="294.35483870967698"/>
    <n v="1059.6774193548399"/>
  </r>
  <r>
    <x v="0"/>
    <x v="0"/>
    <x v="0"/>
    <x v="0"/>
    <x v="0"/>
    <s v="DK1_Large"/>
    <x v="0"/>
    <x v="2"/>
    <x v="0"/>
    <x v="14"/>
    <n v="0.80645161290322598"/>
    <n v="294.35483870967698"/>
    <n v="1059.6774193548399"/>
  </r>
  <r>
    <x v="0"/>
    <x v="0"/>
    <x v="0"/>
    <x v="0"/>
    <x v="0"/>
    <s v="DK1_Large"/>
    <x v="0"/>
    <x v="2"/>
    <x v="0"/>
    <x v="15"/>
    <n v="0.80645161290322598"/>
    <n v="294.35483870967698"/>
    <n v="1059.6774193548399"/>
  </r>
  <r>
    <x v="0"/>
    <x v="0"/>
    <x v="0"/>
    <x v="0"/>
    <x v="0"/>
    <s v="DK1_Large"/>
    <x v="0"/>
    <x v="2"/>
    <x v="0"/>
    <x v="16"/>
    <n v="0.80645161290322598"/>
    <n v="294.35483870967698"/>
    <n v="1059.6774193548399"/>
  </r>
  <r>
    <x v="0"/>
    <x v="0"/>
    <x v="0"/>
    <x v="0"/>
    <x v="0"/>
    <s v="DK1_Large"/>
    <x v="0"/>
    <x v="2"/>
    <x v="0"/>
    <x v="17"/>
    <n v="0.80645161290322598"/>
    <n v="294.35483870967698"/>
    <n v="1059.6774193548399"/>
  </r>
  <r>
    <x v="0"/>
    <x v="0"/>
    <x v="0"/>
    <x v="0"/>
    <x v="0"/>
    <s v="DK1_Large"/>
    <x v="0"/>
    <x v="2"/>
    <x v="0"/>
    <x v="18"/>
    <n v="0.80645161290322598"/>
    <n v="294.35483870967698"/>
    <n v="1059.6774193548399"/>
  </r>
  <r>
    <x v="0"/>
    <x v="0"/>
    <x v="0"/>
    <x v="0"/>
    <x v="0"/>
    <s v="DK1_Large"/>
    <x v="0"/>
    <x v="2"/>
    <x v="0"/>
    <x v="19"/>
    <n v="0.80645161290322598"/>
    <n v="294.35483870967698"/>
    <n v="1059.6774193548399"/>
  </r>
  <r>
    <x v="0"/>
    <x v="0"/>
    <x v="0"/>
    <x v="0"/>
    <x v="0"/>
    <s v="DK1_Large"/>
    <x v="0"/>
    <x v="2"/>
    <x v="0"/>
    <x v="20"/>
    <n v="0.80645161290322598"/>
    <n v="294.35483870967698"/>
    <n v="1059.6774193548399"/>
  </r>
  <r>
    <x v="0"/>
    <x v="0"/>
    <x v="0"/>
    <x v="0"/>
    <x v="0"/>
    <s v="DK1_Large"/>
    <x v="0"/>
    <x v="2"/>
    <x v="0"/>
    <x v="21"/>
    <n v="0.80645161290322598"/>
    <n v="294.35483870967698"/>
    <n v="1059.6774193548399"/>
  </r>
  <r>
    <x v="0"/>
    <x v="0"/>
    <x v="0"/>
    <x v="0"/>
    <x v="0"/>
    <s v="DK1_Large"/>
    <x v="0"/>
    <x v="2"/>
    <x v="0"/>
    <x v="22"/>
    <n v="0.80645161290322598"/>
    <n v="294.35483870967698"/>
    <n v="1059.6774193548399"/>
  </r>
  <r>
    <x v="0"/>
    <x v="0"/>
    <x v="0"/>
    <x v="0"/>
    <x v="0"/>
    <s v="DK1_Large"/>
    <x v="0"/>
    <x v="2"/>
    <x v="0"/>
    <x v="23"/>
    <n v="0.80645161290322598"/>
    <n v="294.35483870967698"/>
    <n v="1059.6774193548399"/>
  </r>
  <r>
    <x v="0"/>
    <x v="0"/>
    <x v="0"/>
    <x v="0"/>
    <x v="0"/>
    <s v="DK1_Large"/>
    <x v="0"/>
    <x v="3"/>
    <x v="0"/>
    <x v="0"/>
    <n v="2.25"/>
    <n v="821.25"/>
    <n v="2956.5"/>
  </r>
  <r>
    <x v="0"/>
    <x v="0"/>
    <x v="0"/>
    <x v="0"/>
    <x v="0"/>
    <s v="DK1_Large"/>
    <x v="0"/>
    <x v="3"/>
    <x v="0"/>
    <x v="1"/>
    <n v="2.25"/>
    <n v="821.25"/>
    <n v="2956.5"/>
  </r>
  <r>
    <x v="0"/>
    <x v="0"/>
    <x v="0"/>
    <x v="0"/>
    <x v="0"/>
    <s v="DK1_Large"/>
    <x v="0"/>
    <x v="3"/>
    <x v="0"/>
    <x v="2"/>
    <n v="2.25"/>
    <n v="821.25"/>
    <n v="2956.5"/>
  </r>
  <r>
    <x v="0"/>
    <x v="0"/>
    <x v="0"/>
    <x v="0"/>
    <x v="0"/>
    <s v="DK1_Large"/>
    <x v="0"/>
    <x v="3"/>
    <x v="0"/>
    <x v="3"/>
    <n v="2.25"/>
    <n v="821.25"/>
    <n v="2956.5"/>
  </r>
  <r>
    <x v="0"/>
    <x v="0"/>
    <x v="0"/>
    <x v="0"/>
    <x v="0"/>
    <s v="DK1_Large"/>
    <x v="0"/>
    <x v="3"/>
    <x v="0"/>
    <x v="4"/>
    <n v="2.25"/>
    <n v="821.25"/>
    <n v="2956.5"/>
  </r>
  <r>
    <x v="0"/>
    <x v="0"/>
    <x v="0"/>
    <x v="0"/>
    <x v="0"/>
    <s v="DK1_Large"/>
    <x v="0"/>
    <x v="3"/>
    <x v="0"/>
    <x v="5"/>
    <n v="2.25"/>
    <n v="821.25"/>
    <n v="2956.5"/>
  </r>
  <r>
    <x v="0"/>
    <x v="0"/>
    <x v="0"/>
    <x v="0"/>
    <x v="0"/>
    <s v="DK1_Large"/>
    <x v="0"/>
    <x v="3"/>
    <x v="0"/>
    <x v="6"/>
    <n v="2.25"/>
    <n v="821.25"/>
    <n v="2956.5"/>
  </r>
  <r>
    <x v="0"/>
    <x v="0"/>
    <x v="0"/>
    <x v="0"/>
    <x v="0"/>
    <s v="DK1_Large"/>
    <x v="0"/>
    <x v="3"/>
    <x v="0"/>
    <x v="7"/>
    <n v="2.25"/>
    <n v="821.25"/>
    <n v="2956.5"/>
  </r>
  <r>
    <x v="0"/>
    <x v="0"/>
    <x v="0"/>
    <x v="0"/>
    <x v="0"/>
    <s v="DK1_Large"/>
    <x v="0"/>
    <x v="3"/>
    <x v="0"/>
    <x v="8"/>
    <n v="2.25"/>
    <n v="821.25"/>
    <n v="2956.5"/>
  </r>
  <r>
    <x v="0"/>
    <x v="0"/>
    <x v="0"/>
    <x v="0"/>
    <x v="0"/>
    <s v="DK1_Large"/>
    <x v="0"/>
    <x v="3"/>
    <x v="0"/>
    <x v="9"/>
    <n v="2.25"/>
    <n v="821.25"/>
    <n v="2956.5"/>
  </r>
  <r>
    <x v="0"/>
    <x v="0"/>
    <x v="0"/>
    <x v="0"/>
    <x v="0"/>
    <s v="DK1_Large"/>
    <x v="0"/>
    <x v="3"/>
    <x v="0"/>
    <x v="10"/>
    <n v="2.25"/>
    <n v="821.25"/>
    <n v="2956.5"/>
  </r>
  <r>
    <x v="0"/>
    <x v="0"/>
    <x v="0"/>
    <x v="0"/>
    <x v="0"/>
    <s v="DK1_Large"/>
    <x v="0"/>
    <x v="3"/>
    <x v="0"/>
    <x v="11"/>
    <n v="2.25"/>
    <n v="821.25"/>
    <n v="2956.5"/>
  </r>
  <r>
    <x v="0"/>
    <x v="0"/>
    <x v="0"/>
    <x v="0"/>
    <x v="0"/>
    <s v="DK1_Large"/>
    <x v="0"/>
    <x v="3"/>
    <x v="0"/>
    <x v="12"/>
    <n v="2.25"/>
    <n v="821.25"/>
    <n v="2956.5"/>
  </r>
  <r>
    <x v="0"/>
    <x v="0"/>
    <x v="0"/>
    <x v="0"/>
    <x v="0"/>
    <s v="DK1_Large"/>
    <x v="0"/>
    <x v="3"/>
    <x v="0"/>
    <x v="13"/>
    <n v="2.25"/>
    <n v="821.25"/>
    <n v="2956.5"/>
  </r>
  <r>
    <x v="0"/>
    <x v="0"/>
    <x v="0"/>
    <x v="0"/>
    <x v="0"/>
    <s v="DK1_Large"/>
    <x v="0"/>
    <x v="3"/>
    <x v="0"/>
    <x v="14"/>
    <n v="2.25"/>
    <n v="821.25"/>
    <n v="2956.5"/>
  </r>
  <r>
    <x v="0"/>
    <x v="0"/>
    <x v="0"/>
    <x v="0"/>
    <x v="0"/>
    <s v="DK1_Large"/>
    <x v="0"/>
    <x v="3"/>
    <x v="0"/>
    <x v="15"/>
    <n v="2.25"/>
    <n v="821.25"/>
    <n v="2956.5"/>
  </r>
  <r>
    <x v="0"/>
    <x v="0"/>
    <x v="0"/>
    <x v="0"/>
    <x v="0"/>
    <s v="DK1_Large"/>
    <x v="0"/>
    <x v="3"/>
    <x v="0"/>
    <x v="16"/>
    <n v="2.25"/>
    <n v="821.25"/>
    <n v="2956.5"/>
  </r>
  <r>
    <x v="0"/>
    <x v="0"/>
    <x v="0"/>
    <x v="0"/>
    <x v="0"/>
    <s v="DK1_Large"/>
    <x v="0"/>
    <x v="3"/>
    <x v="0"/>
    <x v="17"/>
    <n v="2.25"/>
    <n v="821.25"/>
    <n v="2956.5"/>
  </r>
  <r>
    <x v="0"/>
    <x v="0"/>
    <x v="0"/>
    <x v="0"/>
    <x v="0"/>
    <s v="DK1_Large"/>
    <x v="0"/>
    <x v="3"/>
    <x v="0"/>
    <x v="18"/>
    <n v="2.25"/>
    <n v="821.25"/>
    <n v="2956.5"/>
  </r>
  <r>
    <x v="0"/>
    <x v="0"/>
    <x v="0"/>
    <x v="0"/>
    <x v="0"/>
    <s v="DK1_Large"/>
    <x v="0"/>
    <x v="3"/>
    <x v="0"/>
    <x v="19"/>
    <n v="2.25"/>
    <n v="821.25"/>
    <n v="2956.5"/>
  </r>
  <r>
    <x v="0"/>
    <x v="0"/>
    <x v="0"/>
    <x v="0"/>
    <x v="0"/>
    <s v="DK1_Large"/>
    <x v="0"/>
    <x v="3"/>
    <x v="0"/>
    <x v="20"/>
    <n v="2.25"/>
    <n v="821.25"/>
    <n v="2956.5"/>
  </r>
  <r>
    <x v="0"/>
    <x v="0"/>
    <x v="0"/>
    <x v="0"/>
    <x v="0"/>
    <s v="DK1_Large"/>
    <x v="0"/>
    <x v="3"/>
    <x v="0"/>
    <x v="21"/>
    <n v="2.25"/>
    <n v="821.25"/>
    <n v="2956.5"/>
  </r>
  <r>
    <x v="0"/>
    <x v="0"/>
    <x v="0"/>
    <x v="0"/>
    <x v="0"/>
    <s v="DK1_Large"/>
    <x v="0"/>
    <x v="3"/>
    <x v="0"/>
    <x v="22"/>
    <n v="2.25"/>
    <n v="821.25"/>
    <n v="2956.5"/>
  </r>
  <r>
    <x v="0"/>
    <x v="0"/>
    <x v="0"/>
    <x v="0"/>
    <x v="0"/>
    <s v="DK1_Large"/>
    <x v="0"/>
    <x v="3"/>
    <x v="0"/>
    <x v="23"/>
    <n v="2.25"/>
    <n v="821.25"/>
    <n v="2956.5"/>
  </r>
  <r>
    <x v="0"/>
    <x v="0"/>
    <x v="0"/>
    <x v="0"/>
    <x v="0"/>
    <s v="DK1_Large"/>
    <x v="0"/>
    <x v="4"/>
    <x v="0"/>
    <x v="0"/>
    <n v="3.13513513513514"/>
    <n v="1144.3243243243201"/>
    <n v="4119.5675675675702"/>
  </r>
  <r>
    <x v="0"/>
    <x v="0"/>
    <x v="0"/>
    <x v="0"/>
    <x v="0"/>
    <s v="DK1_Large"/>
    <x v="0"/>
    <x v="4"/>
    <x v="0"/>
    <x v="1"/>
    <n v="3.13513513513514"/>
    <n v="1144.3243243243201"/>
    <n v="4119.5675675675702"/>
  </r>
  <r>
    <x v="0"/>
    <x v="0"/>
    <x v="0"/>
    <x v="0"/>
    <x v="0"/>
    <s v="DK1_Large"/>
    <x v="0"/>
    <x v="4"/>
    <x v="0"/>
    <x v="2"/>
    <n v="3.13513513513514"/>
    <n v="1144.3243243243201"/>
    <n v="4119.5675675675702"/>
  </r>
  <r>
    <x v="0"/>
    <x v="0"/>
    <x v="0"/>
    <x v="0"/>
    <x v="0"/>
    <s v="DK1_Large"/>
    <x v="0"/>
    <x v="4"/>
    <x v="0"/>
    <x v="3"/>
    <n v="3.13513513513514"/>
    <n v="1144.3243243243201"/>
    <n v="4119.5675675675702"/>
  </r>
  <r>
    <x v="0"/>
    <x v="0"/>
    <x v="0"/>
    <x v="0"/>
    <x v="0"/>
    <s v="DK1_Large"/>
    <x v="0"/>
    <x v="4"/>
    <x v="0"/>
    <x v="4"/>
    <n v="3.13513513513514"/>
    <n v="1144.3243243243201"/>
    <n v="4119.5675675675702"/>
  </r>
  <r>
    <x v="0"/>
    <x v="0"/>
    <x v="0"/>
    <x v="0"/>
    <x v="0"/>
    <s v="DK1_Large"/>
    <x v="0"/>
    <x v="4"/>
    <x v="0"/>
    <x v="5"/>
    <n v="3.13513513513514"/>
    <n v="1144.3243243243201"/>
    <n v="4119.5675675675702"/>
  </r>
  <r>
    <x v="0"/>
    <x v="0"/>
    <x v="0"/>
    <x v="0"/>
    <x v="0"/>
    <s v="DK1_Large"/>
    <x v="0"/>
    <x v="4"/>
    <x v="0"/>
    <x v="6"/>
    <n v="3.13513513513514"/>
    <n v="1144.3243243243201"/>
    <n v="4119.5675675675702"/>
  </r>
  <r>
    <x v="0"/>
    <x v="0"/>
    <x v="0"/>
    <x v="0"/>
    <x v="0"/>
    <s v="DK1_Large"/>
    <x v="0"/>
    <x v="4"/>
    <x v="0"/>
    <x v="7"/>
    <n v="3.13513513513514"/>
    <n v="1144.3243243243201"/>
    <n v="4119.5675675675702"/>
  </r>
  <r>
    <x v="0"/>
    <x v="0"/>
    <x v="0"/>
    <x v="0"/>
    <x v="0"/>
    <s v="DK1_Large"/>
    <x v="0"/>
    <x v="4"/>
    <x v="0"/>
    <x v="8"/>
    <n v="3.13513513513514"/>
    <n v="1144.3243243243201"/>
    <n v="4119.5675675675702"/>
  </r>
  <r>
    <x v="0"/>
    <x v="0"/>
    <x v="0"/>
    <x v="0"/>
    <x v="0"/>
    <s v="DK1_Large"/>
    <x v="0"/>
    <x v="4"/>
    <x v="0"/>
    <x v="9"/>
    <n v="3.13513513513514"/>
    <n v="1144.3243243243201"/>
    <n v="4119.5675675675702"/>
  </r>
  <r>
    <x v="0"/>
    <x v="0"/>
    <x v="0"/>
    <x v="0"/>
    <x v="0"/>
    <s v="DK1_Large"/>
    <x v="0"/>
    <x v="4"/>
    <x v="0"/>
    <x v="10"/>
    <n v="3.13513513513514"/>
    <n v="1144.3243243243201"/>
    <n v="4119.5675675675702"/>
  </r>
  <r>
    <x v="0"/>
    <x v="0"/>
    <x v="0"/>
    <x v="0"/>
    <x v="0"/>
    <s v="DK1_Large"/>
    <x v="0"/>
    <x v="4"/>
    <x v="0"/>
    <x v="11"/>
    <n v="3.13513513513514"/>
    <n v="1144.3243243243201"/>
    <n v="4119.5675675675702"/>
  </r>
  <r>
    <x v="0"/>
    <x v="0"/>
    <x v="0"/>
    <x v="0"/>
    <x v="0"/>
    <s v="DK1_Large"/>
    <x v="0"/>
    <x v="4"/>
    <x v="0"/>
    <x v="12"/>
    <n v="3.13513513513514"/>
    <n v="1144.3243243243201"/>
    <n v="4119.5675675675702"/>
  </r>
  <r>
    <x v="0"/>
    <x v="0"/>
    <x v="0"/>
    <x v="0"/>
    <x v="0"/>
    <s v="DK1_Large"/>
    <x v="0"/>
    <x v="4"/>
    <x v="0"/>
    <x v="13"/>
    <n v="3.13513513513514"/>
    <n v="1144.3243243243201"/>
    <n v="4119.5675675675702"/>
  </r>
  <r>
    <x v="0"/>
    <x v="0"/>
    <x v="0"/>
    <x v="0"/>
    <x v="0"/>
    <s v="DK1_Large"/>
    <x v="0"/>
    <x v="4"/>
    <x v="0"/>
    <x v="14"/>
    <n v="3.13513513513514"/>
    <n v="1144.3243243243201"/>
    <n v="4119.5675675675702"/>
  </r>
  <r>
    <x v="0"/>
    <x v="0"/>
    <x v="0"/>
    <x v="0"/>
    <x v="0"/>
    <s v="DK1_Large"/>
    <x v="0"/>
    <x v="4"/>
    <x v="0"/>
    <x v="15"/>
    <n v="3.13513513513514"/>
    <n v="1144.3243243243201"/>
    <n v="4119.5675675675702"/>
  </r>
  <r>
    <x v="0"/>
    <x v="0"/>
    <x v="0"/>
    <x v="0"/>
    <x v="0"/>
    <s v="DK1_Large"/>
    <x v="0"/>
    <x v="4"/>
    <x v="0"/>
    <x v="16"/>
    <n v="3.13513513513514"/>
    <n v="1144.3243243243201"/>
    <n v="4119.5675675675702"/>
  </r>
  <r>
    <x v="0"/>
    <x v="0"/>
    <x v="0"/>
    <x v="0"/>
    <x v="0"/>
    <s v="DK1_Large"/>
    <x v="0"/>
    <x v="4"/>
    <x v="0"/>
    <x v="17"/>
    <n v="3.13513513513514"/>
    <n v="1144.3243243243201"/>
    <n v="4119.5675675675702"/>
  </r>
  <r>
    <x v="0"/>
    <x v="0"/>
    <x v="0"/>
    <x v="0"/>
    <x v="0"/>
    <s v="DK1_Large"/>
    <x v="0"/>
    <x v="4"/>
    <x v="0"/>
    <x v="18"/>
    <n v="3.13513513513514"/>
    <n v="1144.3243243243201"/>
    <n v="4119.5675675675702"/>
  </r>
  <r>
    <x v="0"/>
    <x v="0"/>
    <x v="0"/>
    <x v="0"/>
    <x v="0"/>
    <s v="DK1_Large"/>
    <x v="0"/>
    <x v="4"/>
    <x v="0"/>
    <x v="19"/>
    <n v="3.13513513513514"/>
    <n v="1144.3243243243201"/>
    <n v="4119.5675675675702"/>
  </r>
  <r>
    <x v="0"/>
    <x v="0"/>
    <x v="0"/>
    <x v="0"/>
    <x v="0"/>
    <s v="DK1_Large"/>
    <x v="0"/>
    <x v="4"/>
    <x v="0"/>
    <x v="20"/>
    <n v="3.13513513513514"/>
    <n v="1144.3243243243201"/>
    <n v="4119.5675675675702"/>
  </r>
  <r>
    <x v="0"/>
    <x v="0"/>
    <x v="0"/>
    <x v="0"/>
    <x v="0"/>
    <s v="DK1_Large"/>
    <x v="0"/>
    <x v="4"/>
    <x v="0"/>
    <x v="21"/>
    <n v="3.13513513513514"/>
    <n v="1144.3243243243201"/>
    <n v="4119.5675675675702"/>
  </r>
  <r>
    <x v="0"/>
    <x v="0"/>
    <x v="0"/>
    <x v="0"/>
    <x v="0"/>
    <s v="DK1_Large"/>
    <x v="0"/>
    <x v="4"/>
    <x v="0"/>
    <x v="22"/>
    <n v="3.13513513513514"/>
    <n v="1144.3243243243201"/>
    <n v="4119.5675675675702"/>
  </r>
  <r>
    <x v="0"/>
    <x v="0"/>
    <x v="0"/>
    <x v="0"/>
    <x v="0"/>
    <s v="DK1_Large"/>
    <x v="0"/>
    <x v="4"/>
    <x v="0"/>
    <x v="23"/>
    <n v="3.13513513513514"/>
    <n v="1144.3243243243201"/>
    <n v="4119.5675675675702"/>
  </r>
  <r>
    <x v="0"/>
    <x v="0"/>
    <x v="0"/>
    <x v="0"/>
    <x v="0"/>
    <s v="DK1_Large"/>
    <x v="0"/>
    <x v="5"/>
    <x v="0"/>
    <x v="0"/>
    <n v="10.551282051282101"/>
    <n v="3851.2179487179501"/>
    <n v="13864.384615384601"/>
  </r>
  <r>
    <x v="0"/>
    <x v="0"/>
    <x v="0"/>
    <x v="0"/>
    <x v="0"/>
    <s v="DK1_Large"/>
    <x v="0"/>
    <x v="5"/>
    <x v="0"/>
    <x v="1"/>
    <n v="10.551282051282101"/>
    <n v="3851.2179487179501"/>
    <n v="13864.384615384601"/>
  </r>
  <r>
    <x v="0"/>
    <x v="0"/>
    <x v="0"/>
    <x v="0"/>
    <x v="0"/>
    <s v="DK1_Large"/>
    <x v="0"/>
    <x v="5"/>
    <x v="0"/>
    <x v="2"/>
    <n v="10.551282051282101"/>
    <n v="3851.2179487179501"/>
    <n v="13864.384615384601"/>
  </r>
  <r>
    <x v="0"/>
    <x v="0"/>
    <x v="0"/>
    <x v="0"/>
    <x v="0"/>
    <s v="DK1_Large"/>
    <x v="0"/>
    <x v="5"/>
    <x v="0"/>
    <x v="3"/>
    <n v="10.551282051282101"/>
    <n v="3851.2179487179501"/>
    <n v="13864.384615384601"/>
  </r>
  <r>
    <x v="0"/>
    <x v="0"/>
    <x v="0"/>
    <x v="0"/>
    <x v="0"/>
    <s v="DK1_Large"/>
    <x v="0"/>
    <x v="5"/>
    <x v="0"/>
    <x v="4"/>
    <n v="10.551282051282101"/>
    <n v="3851.2179487179501"/>
    <n v="13864.384615384601"/>
  </r>
  <r>
    <x v="0"/>
    <x v="0"/>
    <x v="0"/>
    <x v="0"/>
    <x v="0"/>
    <s v="DK1_Large"/>
    <x v="0"/>
    <x v="5"/>
    <x v="0"/>
    <x v="5"/>
    <n v="10.551282051282101"/>
    <n v="3851.2179487179501"/>
    <n v="13864.384615384601"/>
  </r>
  <r>
    <x v="0"/>
    <x v="0"/>
    <x v="0"/>
    <x v="0"/>
    <x v="0"/>
    <s v="DK1_Large"/>
    <x v="0"/>
    <x v="5"/>
    <x v="0"/>
    <x v="6"/>
    <n v="10.551282051282101"/>
    <n v="3851.2179487179501"/>
    <n v="13864.384615384601"/>
  </r>
  <r>
    <x v="0"/>
    <x v="0"/>
    <x v="0"/>
    <x v="0"/>
    <x v="0"/>
    <s v="DK1_Large"/>
    <x v="0"/>
    <x v="5"/>
    <x v="0"/>
    <x v="7"/>
    <n v="10.551282051282101"/>
    <n v="3851.2179487179501"/>
    <n v="13864.384615384601"/>
  </r>
  <r>
    <x v="0"/>
    <x v="0"/>
    <x v="0"/>
    <x v="0"/>
    <x v="0"/>
    <s v="DK1_Large"/>
    <x v="0"/>
    <x v="5"/>
    <x v="0"/>
    <x v="8"/>
    <n v="10.551282051282101"/>
    <n v="3851.2179487179501"/>
    <n v="13864.384615384601"/>
  </r>
  <r>
    <x v="0"/>
    <x v="0"/>
    <x v="0"/>
    <x v="0"/>
    <x v="0"/>
    <s v="DK1_Large"/>
    <x v="0"/>
    <x v="5"/>
    <x v="0"/>
    <x v="9"/>
    <n v="10.551282051282101"/>
    <n v="3851.2179487179501"/>
    <n v="13864.384615384601"/>
  </r>
  <r>
    <x v="0"/>
    <x v="0"/>
    <x v="0"/>
    <x v="0"/>
    <x v="0"/>
    <s v="DK1_Large"/>
    <x v="0"/>
    <x v="5"/>
    <x v="0"/>
    <x v="10"/>
    <n v="10.551282051282101"/>
    <n v="3851.2179487179501"/>
    <n v="13864.384615384601"/>
  </r>
  <r>
    <x v="0"/>
    <x v="0"/>
    <x v="0"/>
    <x v="0"/>
    <x v="0"/>
    <s v="DK1_Large"/>
    <x v="0"/>
    <x v="5"/>
    <x v="0"/>
    <x v="11"/>
    <n v="10.551282051282101"/>
    <n v="3851.2179487179501"/>
    <n v="13864.384615384601"/>
  </r>
  <r>
    <x v="0"/>
    <x v="0"/>
    <x v="0"/>
    <x v="0"/>
    <x v="0"/>
    <s v="DK1_Large"/>
    <x v="0"/>
    <x v="5"/>
    <x v="0"/>
    <x v="12"/>
    <n v="10.551282051282101"/>
    <n v="3851.2179487179501"/>
    <n v="13864.384615384601"/>
  </r>
  <r>
    <x v="0"/>
    <x v="0"/>
    <x v="0"/>
    <x v="0"/>
    <x v="0"/>
    <s v="DK1_Large"/>
    <x v="0"/>
    <x v="5"/>
    <x v="0"/>
    <x v="13"/>
    <n v="10.551282051282101"/>
    <n v="3851.2179487179501"/>
    <n v="13864.384615384601"/>
  </r>
  <r>
    <x v="0"/>
    <x v="0"/>
    <x v="0"/>
    <x v="0"/>
    <x v="0"/>
    <s v="DK1_Large"/>
    <x v="0"/>
    <x v="5"/>
    <x v="0"/>
    <x v="14"/>
    <n v="10.551282051282101"/>
    <n v="3851.2179487179501"/>
    <n v="13864.384615384601"/>
  </r>
  <r>
    <x v="0"/>
    <x v="0"/>
    <x v="0"/>
    <x v="0"/>
    <x v="0"/>
    <s v="DK1_Large"/>
    <x v="0"/>
    <x v="5"/>
    <x v="0"/>
    <x v="15"/>
    <n v="10.551282051282101"/>
    <n v="3851.2179487179501"/>
    <n v="13864.384615384601"/>
  </r>
  <r>
    <x v="0"/>
    <x v="0"/>
    <x v="0"/>
    <x v="0"/>
    <x v="0"/>
    <s v="DK1_Large"/>
    <x v="0"/>
    <x v="5"/>
    <x v="0"/>
    <x v="16"/>
    <n v="10.551282051282101"/>
    <n v="3851.2179487179501"/>
    <n v="13864.384615384601"/>
  </r>
  <r>
    <x v="0"/>
    <x v="0"/>
    <x v="0"/>
    <x v="0"/>
    <x v="0"/>
    <s v="DK1_Large"/>
    <x v="0"/>
    <x v="5"/>
    <x v="0"/>
    <x v="17"/>
    <n v="10.551282051282101"/>
    <n v="3851.2179487179501"/>
    <n v="13864.384615384601"/>
  </r>
  <r>
    <x v="0"/>
    <x v="0"/>
    <x v="0"/>
    <x v="0"/>
    <x v="0"/>
    <s v="DK1_Large"/>
    <x v="0"/>
    <x v="5"/>
    <x v="0"/>
    <x v="18"/>
    <n v="10.551282051282101"/>
    <n v="3851.2179487179501"/>
    <n v="13864.384615384601"/>
  </r>
  <r>
    <x v="0"/>
    <x v="0"/>
    <x v="0"/>
    <x v="0"/>
    <x v="0"/>
    <s v="DK1_Large"/>
    <x v="0"/>
    <x v="5"/>
    <x v="0"/>
    <x v="19"/>
    <n v="10.551282051282101"/>
    <n v="3851.2179487179501"/>
    <n v="13864.384615384601"/>
  </r>
  <r>
    <x v="0"/>
    <x v="0"/>
    <x v="0"/>
    <x v="0"/>
    <x v="0"/>
    <s v="DK1_Large"/>
    <x v="0"/>
    <x v="5"/>
    <x v="0"/>
    <x v="20"/>
    <n v="10.551282051282101"/>
    <n v="3851.2179487179501"/>
    <n v="13864.384615384601"/>
  </r>
  <r>
    <x v="0"/>
    <x v="0"/>
    <x v="0"/>
    <x v="0"/>
    <x v="0"/>
    <s v="DK1_Large"/>
    <x v="0"/>
    <x v="5"/>
    <x v="0"/>
    <x v="21"/>
    <n v="10.551282051282101"/>
    <n v="3851.2179487179501"/>
    <n v="13864.384615384601"/>
  </r>
  <r>
    <x v="0"/>
    <x v="0"/>
    <x v="0"/>
    <x v="0"/>
    <x v="0"/>
    <s v="DK1_Large"/>
    <x v="0"/>
    <x v="5"/>
    <x v="0"/>
    <x v="22"/>
    <n v="10.551282051282101"/>
    <n v="3851.2179487179501"/>
    <n v="13864.384615384601"/>
  </r>
  <r>
    <x v="0"/>
    <x v="0"/>
    <x v="0"/>
    <x v="0"/>
    <x v="0"/>
    <s v="DK1_Large"/>
    <x v="0"/>
    <x v="5"/>
    <x v="0"/>
    <x v="23"/>
    <n v="10.551282051282101"/>
    <n v="3851.2179487179501"/>
    <n v="13864.384615384601"/>
  </r>
  <r>
    <x v="0"/>
    <x v="0"/>
    <x v="0"/>
    <x v="0"/>
    <x v="0"/>
    <s v="DK1_Large"/>
    <x v="0"/>
    <x v="6"/>
    <x v="0"/>
    <x v="0"/>
    <n v="3.1074999999999999"/>
    <n v="1134.2375"/>
    <n v="4083.2550000000001"/>
  </r>
  <r>
    <x v="0"/>
    <x v="0"/>
    <x v="0"/>
    <x v="0"/>
    <x v="0"/>
    <s v="DK1_Large"/>
    <x v="0"/>
    <x v="6"/>
    <x v="0"/>
    <x v="1"/>
    <n v="3.1074999999999999"/>
    <n v="1134.2375"/>
    <n v="4083.2550000000001"/>
  </r>
  <r>
    <x v="0"/>
    <x v="0"/>
    <x v="0"/>
    <x v="0"/>
    <x v="0"/>
    <s v="DK1_Large"/>
    <x v="0"/>
    <x v="6"/>
    <x v="0"/>
    <x v="2"/>
    <n v="3.1074999999999999"/>
    <n v="1134.2375"/>
    <n v="4083.2550000000001"/>
  </r>
  <r>
    <x v="0"/>
    <x v="0"/>
    <x v="0"/>
    <x v="0"/>
    <x v="0"/>
    <s v="DK1_Large"/>
    <x v="0"/>
    <x v="6"/>
    <x v="0"/>
    <x v="3"/>
    <n v="3.1074999999999999"/>
    <n v="1134.2375"/>
    <n v="4083.2550000000001"/>
  </r>
  <r>
    <x v="0"/>
    <x v="0"/>
    <x v="0"/>
    <x v="0"/>
    <x v="0"/>
    <s v="DK1_Large"/>
    <x v="0"/>
    <x v="6"/>
    <x v="0"/>
    <x v="4"/>
    <n v="3.1074999999999999"/>
    <n v="1134.2375"/>
    <n v="4083.2550000000001"/>
  </r>
  <r>
    <x v="0"/>
    <x v="0"/>
    <x v="0"/>
    <x v="0"/>
    <x v="0"/>
    <s v="DK1_Large"/>
    <x v="0"/>
    <x v="6"/>
    <x v="0"/>
    <x v="5"/>
    <n v="3.1074999999999999"/>
    <n v="1134.2375"/>
    <n v="4083.2550000000001"/>
  </r>
  <r>
    <x v="0"/>
    <x v="0"/>
    <x v="0"/>
    <x v="0"/>
    <x v="0"/>
    <s v="DK1_Large"/>
    <x v="0"/>
    <x v="6"/>
    <x v="0"/>
    <x v="6"/>
    <n v="3.1074999999999999"/>
    <n v="1134.2375"/>
    <n v="4083.2550000000001"/>
  </r>
  <r>
    <x v="0"/>
    <x v="0"/>
    <x v="0"/>
    <x v="0"/>
    <x v="0"/>
    <s v="DK1_Large"/>
    <x v="0"/>
    <x v="6"/>
    <x v="0"/>
    <x v="7"/>
    <n v="3.1074999999999999"/>
    <n v="1134.2375"/>
    <n v="4083.2550000000001"/>
  </r>
  <r>
    <x v="0"/>
    <x v="0"/>
    <x v="0"/>
    <x v="0"/>
    <x v="0"/>
    <s v="DK1_Large"/>
    <x v="0"/>
    <x v="6"/>
    <x v="0"/>
    <x v="8"/>
    <n v="3.1074999999999999"/>
    <n v="1134.2375"/>
    <n v="4083.2550000000001"/>
  </r>
  <r>
    <x v="0"/>
    <x v="0"/>
    <x v="0"/>
    <x v="0"/>
    <x v="0"/>
    <s v="DK1_Large"/>
    <x v="0"/>
    <x v="6"/>
    <x v="0"/>
    <x v="9"/>
    <n v="3.1074999999999999"/>
    <n v="1134.2375"/>
    <n v="4083.2550000000001"/>
  </r>
  <r>
    <x v="0"/>
    <x v="0"/>
    <x v="0"/>
    <x v="0"/>
    <x v="0"/>
    <s v="DK1_Large"/>
    <x v="0"/>
    <x v="6"/>
    <x v="0"/>
    <x v="10"/>
    <n v="3.1074999999999999"/>
    <n v="1134.2375"/>
    <n v="4083.2550000000001"/>
  </r>
  <r>
    <x v="0"/>
    <x v="0"/>
    <x v="0"/>
    <x v="0"/>
    <x v="0"/>
    <s v="DK1_Large"/>
    <x v="0"/>
    <x v="6"/>
    <x v="0"/>
    <x v="11"/>
    <n v="3.1074999999999999"/>
    <n v="1134.2375"/>
    <n v="4083.2550000000001"/>
  </r>
  <r>
    <x v="0"/>
    <x v="0"/>
    <x v="0"/>
    <x v="0"/>
    <x v="0"/>
    <s v="DK1_Large"/>
    <x v="0"/>
    <x v="6"/>
    <x v="0"/>
    <x v="12"/>
    <n v="3.1074999999999999"/>
    <n v="1134.2375"/>
    <n v="4083.2550000000001"/>
  </r>
  <r>
    <x v="0"/>
    <x v="0"/>
    <x v="0"/>
    <x v="0"/>
    <x v="0"/>
    <s v="DK1_Large"/>
    <x v="0"/>
    <x v="6"/>
    <x v="0"/>
    <x v="13"/>
    <n v="3.1074999999999999"/>
    <n v="1134.2375"/>
    <n v="4083.2550000000001"/>
  </r>
  <r>
    <x v="0"/>
    <x v="0"/>
    <x v="0"/>
    <x v="0"/>
    <x v="0"/>
    <s v="DK1_Large"/>
    <x v="0"/>
    <x v="6"/>
    <x v="0"/>
    <x v="14"/>
    <n v="3.1074999999999999"/>
    <n v="1134.2375"/>
    <n v="4083.2550000000001"/>
  </r>
  <r>
    <x v="0"/>
    <x v="0"/>
    <x v="0"/>
    <x v="0"/>
    <x v="0"/>
    <s v="DK1_Large"/>
    <x v="0"/>
    <x v="6"/>
    <x v="0"/>
    <x v="15"/>
    <n v="3.1074999999999999"/>
    <n v="1134.2375"/>
    <n v="4083.2550000000001"/>
  </r>
  <r>
    <x v="0"/>
    <x v="0"/>
    <x v="0"/>
    <x v="0"/>
    <x v="0"/>
    <s v="DK1_Large"/>
    <x v="0"/>
    <x v="6"/>
    <x v="0"/>
    <x v="16"/>
    <n v="3.1074999999999999"/>
    <n v="1134.2375"/>
    <n v="4083.2550000000001"/>
  </r>
  <r>
    <x v="0"/>
    <x v="0"/>
    <x v="0"/>
    <x v="0"/>
    <x v="0"/>
    <s v="DK1_Large"/>
    <x v="0"/>
    <x v="6"/>
    <x v="0"/>
    <x v="17"/>
    <n v="3.1074999999999999"/>
    <n v="1134.2375"/>
    <n v="4083.2550000000001"/>
  </r>
  <r>
    <x v="0"/>
    <x v="0"/>
    <x v="0"/>
    <x v="0"/>
    <x v="0"/>
    <s v="DK1_Large"/>
    <x v="0"/>
    <x v="6"/>
    <x v="0"/>
    <x v="18"/>
    <n v="3.1074999999999999"/>
    <n v="1134.2375"/>
    <n v="4083.2550000000001"/>
  </r>
  <r>
    <x v="0"/>
    <x v="0"/>
    <x v="0"/>
    <x v="0"/>
    <x v="0"/>
    <s v="DK1_Large"/>
    <x v="0"/>
    <x v="6"/>
    <x v="0"/>
    <x v="19"/>
    <n v="3.1074999999999999"/>
    <n v="1134.2375"/>
    <n v="4083.2550000000001"/>
  </r>
  <r>
    <x v="0"/>
    <x v="0"/>
    <x v="0"/>
    <x v="0"/>
    <x v="0"/>
    <s v="DK1_Large"/>
    <x v="0"/>
    <x v="6"/>
    <x v="0"/>
    <x v="20"/>
    <n v="3.1074999999999999"/>
    <n v="1134.2375"/>
    <n v="4083.2550000000001"/>
  </r>
  <r>
    <x v="0"/>
    <x v="0"/>
    <x v="0"/>
    <x v="0"/>
    <x v="0"/>
    <s v="DK1_Large"/>
    <x v="0"/>
    <x v="6"/>
    <x v="0"/>
    <x v="21"/>
    <n v="3.1074999999999999"/>
    <n v="1134.2375"/>
    <n v="4083.2550000000001"/>
  </r>
  <r>
    <x v="0"/>
    <x v="0"/>
    <x v="0"/>
    <x v="0"/>
    <x v="0"/>
    <s v="DK1_Large"/>
    <x v="0"/>
    <x v="6"/>
    <x v="0"/>
    <x v="22"/>
    <n v="3.1074999999999999"/>
    <n v="1134.2375"/>
    <n v="4083.2550000000001"/>
  </r>
  <r>
    <x v="0"/>
    <x v="0"/>
    <x v="0"/>
    <x v="0"/>
    <x v="0"/>
    <s v="DK1_Large"/>
    <x v="0"/>
    <x v="6"/>
    <x v="0"/>
    <x v="23"/>
    <n v="3.1074999999999999"/>
    <n v="1134.2375"/>
    <n v="4083.2550000000001"/>
  </r>
  <r>
    <x v="0"/>
    <x v="0"/>
    <x v="0"/>
    <x v="0"/>
    <x v="0"/>
    <s v="DK1_Large"/>
    <x v="0"/>
    <x v="7"/>
    <x v="0"/>
    <x v="0"/>
    <n v="6.5292682926829304"/>
    <n v="2383.1829268292699"/>
    <n v="8579.4585365853709"/>
  </r>
  <r>
    <x v="0"/>
    <x v="0"/>
    <x v="0"/>
    <x v="0"/>
    <x v="0"/>
    <s v="DK1_Large"/>
    <x v="0"/>
    <x v="7"/>
    <x v="0"/>
    <x v="1"/>
    <n v="6.5292682926829304"/>
    <n v="2383.1829268292699"/>
    <n v="8579.4585365853709"/>
  </r>
  <r>
    <x v="0"/>
    <x v="0"/>
    <x v="0"/>
    <x v="0"/>
    <x v="0"/>
    <s v="DK1_Large"/>
    <x v="0"/>
    <x v="7"/>
    <x v="0"/>
    <x v="2"/>
    <n v="6.5292682926829304"/>
    <n v="2383.1829268292699"/>
    <n v="8579.4585365853709"/>
  </r>
  <r>
    <x v="0"/>
    <x v="0"/>
    <x v="0"/>
    <x v="0"/>
    <x v="0"/>
    <s v="DK1_Large"/>
    <x v="0"/>
    <x v="7"/>
    <x v="0"/>
    <x v="3"/>
    <n v="6.5292682926829304"/>
    <n v="2383.1829268292699"/>
    <n v="8579.4585365853709"/>
  </r>
  <r>
    <x v="0"/>
    <x v="0"/>
    <x v="0"/>
    <x v="0"/>
    <x v="0"/>
    <s v="DK1_Large"/>
    <x v="0"/>
    <x v="7"/>
    <x v="0"/>
    <x v="4"/>
    <n v="6.5292682926829304"/>
    <n v="2383.1829268292699"/>
    <n v="8579.4585365853709"/>
  </r>
  <r>
    <x v="0"/>
    <x v="0"/>
    <x v="0"/>
    <x v="0"/>
    <x v="0"/>
    <s v="DK1_Large"/>
    <x v="0"/>
    <x v="7"/>
    <x v="0"/>
    <x v="5"/>
    <n v="6.5292682926829304"/>
    <n v="2383.1829268292699"/>
    <n v="8579.4585365853709"/>
  </r>
  <r>
    <x v="0"/>
    <x v="0"/>
    <x v="0"/>
    <x v="0"/>
    <x v="0"/>
    <s v="DK1_Large"/>
    <x v="0"/>
    <x v="7"/>
    <x v="0"/>
    <x v="6"/>
    <n v="6.5292682926829304"/>
    <n v="2383.1829268292699"/>
    <n v="8579.4585365853709"/>
  </r>
  <r>
    <x v="0"/>
    <x v="0"/>
    <x v="0"/>
    <x v="0"/>
    <x v="0"/>
    <s v="DK1_Large"/>
    <x v="0"/>
    <x v="7"/>
    <x v="0"/>
    <x v="7"/>
    <n v="6.5292682926829304"/>
    <n v="2383.1829268292699"/>
    <n v="8579.4585365853709"/>
  </r>
  <r>
    <x v="0"/>
    <x v="0"/>
    <x v="0"/>
    <x v="0"/>
    <x v="0"/>
    <s v="DK1_Large"/>
    <x v="0"/>
    <x v="7"/>
    <x v="0"/>
    <x v="8"/>
    <n v="6.5292682926829304"/>
    <n v="2383.1829268292699"/>
    <n v="8579.4585365853709"/>
  </r>
  <r>
    <x v="0"/>
    <x v="0"/>
    <x v="0"/>
    <x v="0"/>
    <x v="0"/>
    <s v="DK1_Large"/>
    <x v="0"/>
    <x v="7"/>
    <x v="0"/>
    <x v="9"/>
    <n v="6.5292682926829304"/>
    <n v="2383.1829268292699"/>
    <n v="8579.4585365853709"/>
  </r>
  <r>
    <x v="0"/>
    <x v="0"/>
    <x v="0"/>
    <x v="0"/>
    <x v="0"/>
    <s v="DK1_Large"/>
    <x v="0"/>
    <x v="7"/>
    <x v="0"/>
    <x v="10"/>
    <n v="6.5292682926829304"/>
    <n v="2383.1829268292699"/>
    <n v="8579.4585365853709"/>
  </r>
  <r>
    <x v="0"/>
    <x v="0"/>
    <x v="0"/>
    <x v="0"/>
    <x v="0"/>
    <s v="DK1_Large"/>
    <x v="0"/>
    <x v="7"/>
    <x v="0"/>
    <x v="11"/>
    <n v="6.5292682926829304"/>
    <n v="2383.1829268292699"/>
    <n v="8579.4585365853709"/>
  </r>
  <r>
    <x v="0"/>
    <x v="0"/>
    <x v="0"/>
    <x v="0"/>
    <x v="0"/>
    <s v="DK1_Large"/>
    <x v="0"/>
    <x v="7"/>
    <x v="0"/>
    <x v="12"/>
    <n v="6.5292682926829304"/>
    <n v="2383.1829268292699"/>
    <n v="8579.4585365853709"/>
  </r>
  <r>
    <x v="0"/>
    <x v="0"/>
    <x v="0"/>
    <x v="0"/>
    <x v="0"/>
    <s v="DK1_Large"/>
    <x v="0"/>
    <x v="7"/>
    <x v="0"/>
    <x v="13"/>
    <n v="6.5292682926829304"/>
    <n v="2383.1829268292699"/>
    <n v="8579.4585365853709"/>
  </r>
  <r>
    <x v="0"/>
    <x v="0"/>
    <x v="0"/>
    <x v="0"/>
    <x v="0"/>
    <s v="DK1_Large"/>
    <x v="0"/>
    <x v="7"/>
    <x v="0"/>
    <x v="14"/>
    <n v="6.5292682926829304"/>
    <n v="2383.1829268292699"/>
    <n v="8579.4585365853709"/>
  </r>
  <r>
    <x v="0"/>
    <x v="0"/>
    <x v="0"/>
    <x v="0"/>
    <x v="0"/>
    <s v="DK1_Large"/>
    <x v="0"/>
    <x v="7"/>
    <x v="0"/>
    <x v="15"/>
    <n v="6.5292682926829304"/>
    <n v="2383.1829268292699"/>
    <n v="8579.4585365853709"/>
  </r>
  <r>
    <x v="0"/>
    <x v="0"/>
    <x v="0"/>
    <x v="0"/>
    <x v="0"/>
    <s v="DK1_Large"/>
    <x v="0"/>
    <x v="7"/>
    <x v="0"/>
    <x v="16"/>
    <n v="6.5292682926829304"/>
    <n v="2383.1829268292699"/>
    <n v="8579.4585365853709"/>
  </r>
  <r>
    <x v="0"/>
    <x v="0"/>
    <x v="0"/>
    <x v="0"/>
    <x v="0"/>
    <s v="DK1_Large"/>
    <x v="0"/>
    <x v="7"/>
    <x v="0"/>
    <x v="17"/>
    <n v="6.5292682926829304"/>
    <n v="2383.1829268292699"/>
    <n v="8579.4585365853709"/>
  </r>
  <r>
    <x v="0"/>
    <x v="0"/>
    <x v="0"/>
    <x v="0"/>
    <x v="0"/>
    <s v="DK1_Large"/>
    <x v="0"/>
    <x v="7"/>
    <x v="0"/>
    <x v="18"/>
    <n v="6.5292682926829304"/>
    <n v="2383.1829268292699"/>
    <n v="8579.4585365853709"/>
  </r>
  <r>
    <x v="0"/>
    <x v="0"/>
    <x v="0"/>
    <x v="0"/>
    <x v="0"/>
    <s v="DK1_Large"/>
    <x v="0"/>
    <x v="7"/>
    <x v="0"/>
    <x v="19"/>
    <n v="6.5292682926829304"/>
    <n v="2383.1829268292699"/>
    <n v="8579.4585365853709"/>
  </r>
  <r>
    <x v="0"/>
    <x v="0"/>
    <x v="0"/>
    <x v="0"/>
    <x v="0"/>
    <s v="DK1_Large"/>
    <x v="0"/>
    <x v="7"/>
    <x v="0"/>
    <x v="20"/>
    <n v="6.5292682926829304"/>
    <n v="2383.1829268292699"/>
    <n v="8579.4585365853709"/>
  </r>
  <r>
    <x v="0"/>
    <x v="0"/>
    <x v="0"/>
    <x v="0"/>
    <x v="0"/>
    <s v="DK1_Large"/>
    <x v="0"/>
    <x v="7"/>
    <x v="0"/>
    <x v="21"/>
    <n v="6.5292682926829304"/>
    <n v="2383.1829268292699"/>
    <n v="8579.4585365853709"/>
  </r>
  <r>
    <x v="0"/>
    <x v="0"/>
    <x v="0"/>
    <x v="0"/>
    <x v="0"/>
    <s v="DK1_Large"/>
    <x v="0"/>
    <x v="7"/>
    <x v="0"/>
    <x v="22"/>
    <n v="6.5292682926829304"/>
    <n v="2383.1829268292699"/>
    <n v="8579.4585365853709"/>
  </r>
  <r>
    <x v="0"/>
    <x v="0"/>
    <x v="0"/>
    <x v="0"/>
    <x v="0"/>
    <s v="DK1_Large"/>
    <x v="0"/>
    <x v="7"/>
    <x v="0"/>
    <x v="23"/>
    <n v="6.5292682926829304"/>
    <n v="2383.1829268292699"/>
    <n v="8579.4585365853709"/>
  </r>
  <r>
    <x v="0"/>
    <x v="0"/>
    <x v="0"/>
    <x v="0"/>
    <x v="0"/>
    <s v="DK1_Large"/>
    <x v="0"/>
    <x v="8"/>
    <x v="0"/>
    <x v="0"/>
    <n v="7.15"/>
    <n v="2609.75"/>
    <n v="9395.1000000000095"/>
  </r>
  <r>
    <x v="0"/>
    <x v="0"/>
    <x v="0"/>
    <x v="0"/>
    <x v="0"/>
    <s v="DK1_Large"/>
    <x v="0"/>
    <x v="8"/>
    <x v="0"/>
    <x v="1"/>
    <n v="7.15"/>
    <n v="2609.75"/>
    <n v="9395.1000000000095"/>
  </r>
  <r>
    <x v="0"/>
    <x v="0"/>
    <x v="0"/>
    <x v="0"/>
    <x v="0"/>
    <s v="DK1_Large"/>
    <x v="0"/>
    <x v="8"/>
    <x v="0"/>
    <x v="2"/>
    <n v="7.15"/>
    <n v="2609.75"/>
    <n v="9395.1000000000095"/>
  </r>
  <r>
    <x v="0"/>
    <x v="0"/>
    <x v="0"/>
    <x v="0"/>
    <x v="0"/>
    <s v="DK1_Large"/>
    <x v="0"/>
    <x v="8"/>
    <x v="0"/>
    <x v="3"/>
    <n v="7.15"/>
    <n v="2609.75"/>
    <n v="9395.1000000000095"/>
  </r>
  <r>
    <x v="0"/>
    <x v="0"/>
    <x v="0"/>
    <x v="0"/>
    <x v="0"/>
    <s v="DK1_Large"/>
    <x v="0"/>
    <x v="8"/>
    <x v="0"/>
    <x v="4"/>
    <n v="7.15"/>
    <n v="2609.75"/>
    <n v="9395.1000000000095"/>
  </r>
  <r>
    <x v="0"/>
    <x v="0"/>
    <x v="0"/>
    <x v="0"/>
    <x v="0"/>
    <s v="DK1_Large"/>
    <x v="0"/>
    <x v="8"/>
    <x v="0"/>
    <x v="5"/>
    <n v="7.15"/>
    <n v="2609.75"/>
    <n v="9395.1000000000095"/>
  </r>
  <r>
    <x v="0"/>
    <x v="0"/>
    <x v="0"/>
    <x v="0"/>
    <x v="0"/>
    <s v="DK1_Large"/>
    <x v="0"/>
    <x v="8"/>
    <x v="0"/>
    <x v="6"/>
    <n v="7.15"/>
    <n v="2609.75"/>
    <n v="9395.1000000000095"/>
  </r>
  <r>
    <x v="0"/>
    <x v="0"/>
    <x v="0"/>
    <x v="0"/>
    <x v="0"/>
    <s v="DK1_Large"/>
    <x v="0"/>
    <x v="8"/>
    <x v="0"/>
    <x v="7"/>
    <n v="7.15"/>
    <n v="2609.75"/>
    <n v="9395.1000000000095"/>
  </r>
  <r>
    <x v="0"/>
    <x v="0"/>
    <x v="0"/>
    <x v="0"/>
    <x v="0"/>
    <s v="DK1_Large"/>
    <x v="0"/>
    <x v="8"/>
    <x v="0"/>
    <x v="8"/>
    <n v="7.15"/>
    <n v="2609.75"/>
    <n v="9395.1000000000095"/>
  </r>
  <r>
    <x v="0"/>
    <x v="0"/>
    <x v="0"/>
    <x v="0"/>
    <x v="0"/>
    <s v="DK1_Large"/>
    <x v="0"/>
    <x v="8"/>
    <x v="0"/>
    <x v="9"/>
    <n v="7.15"/>
    <n v="2609.75"/>
    <n v="9395.1000000000095"/>
  </r>
  <r>
    <x v="0"/>
    <x v="0"/>
    <x v="0"/>
    <x v="0"/>
    <x v="0"/>
    <s v="DK1_Large"/>
    <x v="0"/>
    <x v="8"/>
    <x v="0"/>
    <x v="10"/>
    <n v="7.15"/>
    <n v="2609.75"/>
    <n v="9395.1000000000095"/>
  </r>
  <r>
    <x v="0"/>
    <x v="0"/>
    <x v="0"/>
    <x v="0"/>
    <x v="0"/>
    <s v="DK1_Large"/>
    <x v="0"/>
    <x v="8"/>
    <x v="0"/>
    <x v="11"/>
    <n v="7.15"/>
    <n v="2609.75"/>
    <n v="9395.1000000000095"/>
  </r>
  <r>
    <x v="0"/>
    <x v="0"/>
    <x v="0"/>
    <x v="0"/>
    <x v="0"/>
    <s v="DK1_Large"/>
    <x v="0"/>
    <x v="8"/>
    <x v="0"/>
    <x v="12"/>
    <n v="7.15"/>
    <n v="2609.75"/>
    <n v="9395.1000000000095"/>
  </r>
  <r>
    <x v="0"/>
    <x v="0"/>
    <x v="0"/>
    <x v="0"/>
    <x v="0"/>
    <s v="DK1_Large"/>
    <x v="0"/>
    <x v="8"/>
    <x v="0"/>
    <x v="13"/>
    <n v="7.15"/>
    <n v="2609.75"/>
    <n v="9395.1000000000095"/>
  </r>
  <r>
    <x v="0"/>
    <x v="0"/>
    <x v="0"/>
    <x v="0"/>
    <x v="0"/>
    <s v="DK1_Large"/>
    <x v="0"/>
    <x v="8"/>
    <x v="0"/>
    <x v="14"/>
    <n v="7.15"/>
    <n v="2609.75"/>
    <n v="9395.1000000000095"/>
  </r>
  <r>
    <x v="0"/>
    <x v="0"/>
    <x v="0"/>
    <x v="0"/>
    <x v="0"/>
    <s v="DK1_Large"/>
    <x v="0"/>
    <x v="8"/>
    <x v="0"/>
    <x v="15"/>
    <n v="7.15"/>
    <n v="2609.75"/>
    <n v="9395.1000000000095"/>
  </r>
  <r>
    <x v="0"/>
    <x v="0"/>
    <x v="0"/>
    <x v="0"/>
    <x v="0"/>
    <s v="DK1_Large"/>
    <x v="0"/>
    <x v="8"/>
    <x v="0"/>
    <x v="16"/>
    <n v="7.15"/>
    <n v="2609.75"/>
    <n v="9395.1000000000095"/>
  </r>
  <r>
    <x v="0"/>
    <x v="0"/>
    <x v="0"/>
    <x v="0"/>
    <x v="0"/>
    <s v="DK1_Large"/>
    <x v="0"/>
    <x v="8"/>
    <x v="0"/>
    <x v="17"/>
    <n v="7.15"/>
    <n v="2609.75"/>
    <n v="9395.1000000000095"/>
  </r>
  <r>
    <x v="0"/>
    <x v="0"/>
    <x v="0"/>
    <x v="0"/>
    <x v="0"/>
    <s v="DK1_Large"/>
    <x v="0"/>
    <x v="8"/>
    <x v="0"/>
    <x v="18"/>
    <n v="7.15"/>
    <n v="2609.75"/>
    <n v="9395.1000000000095"/>
  </r>
  <r>
    <x v="0"/>
    <x v="0"/>
    <x v="0"/>
    <x v="0"/>
    <x v="0"/>
    <s v="DK1_Large"/>
    <x v="0"/>
    <x v="8"/>
    <x v="0"/>
    <x v="19"/>
    <n v="7.15"/>
    <n v="2609.75"/>
    <n v="9395.1000000000095"/>
  </r>
  <r>
    <x v="0"/>
    <x v="0"/>
    <x v="0"/>
    <x v="0"/>
    <x v="0"/>
    <s v="DK1_Large"/>
    <x v="0"/>
    <x v="8"/>
    <x v="0"/>
    <x v="20"/>
    <n v="7.15"/>
    <n v="2609.75"/>
    <n v="9395.1000000000095"/>
  </r>
  <r>
    <x v="0"/>
    <x v="0"/>
    <x v="0"/>
    <x v="0"/>
    <x v="0"/>
    <s v="DK1_Large"/>
    <x v="0"/>
    <x v="8"/>
    <x v="0"/>
    <x v="21"/>
    <n v="7.15"/>
    <n v="2609.75"/>
    <n v="9395.1000000000095"/>
  </r>
  <r>
    <x v="0"/>
    <x v="0"/>
    <x v="0"/>
    <x v="0"/>
    <x v="0"/>
    <s v="DK1_Large"/>
    <x v="0"/>
    <x v="8"/>
    <x v="0"/>
    <x v="22"/>
    <n v="7.15"/>
    <n v="2609.75"/>
    <n v="9395.1000000000095"/>
  </r>
  <r>
    <x v="0"/>
    <x v="0"/>
    <x v="0"/>
    <x v="0"/>
    <x v="0"/>
    <s v="DK1_Large"/>
    <x v="0"/>
    <x v="8"/>
    <x v="0"/>
    <x v="23"/>
    <n v="7.15"/>
    <n v="2609.75"/>
    <n v="9395.1000000000095"/>
  </r>
  <r>
    <x v="0"/>
    <x v="0"/>
    <x v="0"/>
    <x v="0"/>
    <x v="0"/>
    <s v="DK1_Large"/>
    <x v="0"/>
    <x v="9"/>
    <x v="0"/>
    <x v="0"/>
    <n v="7.0860465116279103"/>
    <n v="2586.4069767441902"/>
    <n v="9311.0651162790691"/>
  </r>
  <r>
    <x v="0"/>
    <x v="0"/>
    <x v="0"/>
    <x v="0"/>
    <x v="0"/>
    <s v="DK1_Large"/>
    <x v="0"/>
    <x v="9"/>
    <x v="0"/>
    <x v="1"/>
    <n v="7.0860465116279103"/>
    <n v="2586.4069767441902"/>
    <n v="9311.0651162790691"/>
  </r>
  <r>
    <x v="0"/>
    <x v="0"/>
    <x v="0"/>
    <x v="0"/>
    <x v="0"/>
    <s v="DK1_Large"/>
    <x v="0"/>
    <x v="9"/>
    <x v="0"/>
    <x v="2"/>
    <n v="7.0860465116279103"/>
    <n v="2586.4069767441902"/>
    <n v="9311.0651162790691"/>
  </r>
  <r>
    <x v="0"/>
    <x v="0"/>
    <x v="0"/>
    <x v="0"/>
    <x v="0"/>
    <s v="DK1_Large"/>
    <x v="0"/>
    <x v="9"/>
    <x v="0"/>
    <x v="3"/>
    <n v="7.0860465116279103"/>
    <n v="2586.4069767441902"/>
    <n v="9311.0651162790691"/>
  </r>
  <r>
    <x v="0"/>
    <x v="0"/>
    <x v="0"/>
    <x v="0"/>
    <x v="0"/>
    <s v="DK1_Large"/>
    <x v="0"/>
    <x v="9"/>
    <x v="0"/>
    <x v="4"/>
    <n v="7.0860465116279103"/>
    <n v="2586.4069767441902"/>
    <n v="9311.0651162790691"/>
  </r>
  <r>
    <x v="0"/>
    <x v="0"/>
    <x v="0"/>
    <x v="0"/>
    <x v="0"/>
    <s v="DK1_Large"/>
    <x v="0"/>
    <x v="9"/>
    <x v="0"/>
    <x v="5"/>
    <n v="7.0860465116279103"/>
    <n v="2586.4069767441902"/>
    <n v="9311.0651162790691"/>
  </r>
  <r>
    <x v="0"/>
    <x v="0"/>
    <x v="0"/>
    <x v="0"/>
    <x v="0"/>
    <s v="DK1_Large"/>
    <x v="0"/>
    <x v="9"/>
    <x v="0"/>
    <x v="6"/>
    <n v="7.0860465116279103"/>
    <n v="2586.4069767441902"/>
    <n v="9311.0651162790691"/>
  </r>
  <r>
    <x v="0"/>
    <x v="0"/>
    <x v="0"/>
    <x v="0"/>
    <x v="0"/>
    <s v="DK1_Large"/>
    <x v="0"/>
    <x v="9"/>
    <x v="0"/>
    <x v="7"/>
    <n v="7.0860465116279103"/>
    <n v="2586.4069767441902"/>
    <n v="9311.0651162790691"/>
  </r>
  <r>
    <x v="0"/>
    <x v="0"/>
    <x v="0"/>
    <x v="0"/>
    <x v="0"/>
    <s v="DK1_Large"/>
    <x v="0"/>
    <x v="9"/>
    <x v="0"/>
    <x v="8"/>
    <n v="7.0860465116279103"/>
    <n v="2586.4069767441902"/>
    <n v="9311.0651162790691"/>
  </r>
  <r>
    <x v="0"/>
    <x v="0"/>
    <x v="0"/>
    <x v="0"/>
    <x v="0"/>
    <s v="DK1_Large"/>
    <x v="0"/>
    <x v="9"/>
    <x v="0"/>
    <x v="9"/>
    <n v="7.0860465116279103"/>
    <n v="2586.4069767441902"/>
    <n v="9311.0651162790691"/>
  </r>
  <r>
    <x v="0"/>
    <x v="0"/>
    <x v="0"/>
    <x v="0"/>
    <x v="0"/>
    <s v="DK1_Large"/>
    <x v="0"/>
    <x v="9"/>
    <x v="0"/>
    <x v="10"/>
    <n v="7.0860465116279103"/>
    <n v="2586.4069767441902"/>
    <n v="9311.0651162790691"/>
  </r>
  <r>
    <x v="0"/>
    <x v="0"/>
    <x v="0"/>
    <x v="0"/>
    <x v="0"/>
    <s v="DK1_Large"/>
    <x v="0"/>
    <x v="9"/>
    <x v="0"/>
    <x v="11"/>
    <n v="7.0860465116279103"/>
    <n v="2586.4069767441902"/>
    <n v="9311.0651162790691"/>
  </r>
  <r>
    <x v="0"/>
    <x v="0"/>
    <x v="0"/>
    <x v="0"/>
    <x v="0"/>
    <s v="DK1_Large"/>
    <x v="0"/>
    <x v="9"/>
    <x v="0"/>
    <x v="12"/>
    <n v="7.0860465116279103"/>
    <n v="2586.4069767441902"/>
    <n v="9311.0651162790691"/>
  </r>
  <r>
    <x v="0"/>
    <x v="0"/>
    <x v="0"/>
    <x v="0"/>
    <x v="0"/>
    <s v="DK1_Large"/>
    <x v="0"/>
    <x v="9"/>
    <x v="0"/>
    <x v="13"/>
    <n v="7.0860465116279103"/>
    <n v="2586.4069767441902"/>
    <n v="9311.0651162790691"/>
  </r>
  <r>
    <x v="0"/>
    <x v="0"/>
    <x v="0"/>
    <x v="0"/>
    <x v="0"/>
    <s v="DK1_Large"/>
    <x v="0"/>
    <x v="9"/>
    <x v="0"/>
    <x v="14"/>
    <n v="7.0860465116279103"/>
    <n v="2586.4069767441902"/>
    <n v="9311.0651162790691"/>
  </r>
  <r>
    <x v="0"/>
    <x v="0"/>
    <x v="0"/>
    <x v="0"/>
    <x v="0"/>
    <s v="DK1_Large"/>
    <x v="0"/>
    <x v="9"/>
    <x v="0"/>
    <x v="15"/>
    <n v="7.0860465116279103"/>
    <n v="2586.4069767441902"/>
    <n v="9311.0651162790691"/>
  </r>
  <r>
    <x v="0"/>
    <x v="0"/>
    <x v="0"/>
    <x v="0"/>
    <x v="0"/>
    <s v="DK1_Large"/>
    <x v="0"/>
    <x v="9"/>
    <x v="0"/>
    <x v="16"/>
    <n v="7.0860465116279103"/>
    <n v="2586.4069767441902"/>
    <n v="9311.0651162790691"/>
  </r>
  <r>
    <x v="0"/>
    <x v="0"/>
    <x v="0"/>
    <x v="0"/>
    <x v="0"/>
    <s v="DK1_Large"/>
    <x v="0"/>
    <x v="9"/>
    <x v="0"/>
    <x v="17"/>
    <n v="7.0860465116279103"/>
    <n v="2586.4069767441902"/>
    <n v="9311.0651162790691"/>
  </r>
  <r>
    <x v="0"/>
    <x v="0"/>
    <x v="0"/>
    <x v="0"/>
    <x v="0"/>
    <s v="DK1_Large"/>
    <x v="0"/>
    <x v="9"/>
    <x v="0"/>
    <x v="18"/>
    <n v="7.0860465116279103"/>
    <n v="2586.4069767441902"/>
    <n v="9311.0651162790691"/>
  </r>
  <r>
    <x v="0"/>
    <x v="0"/>
    <x v="0"/>
    <x v="0"/>
    <x v="0"/>
    <s v="DK1_Large"/>
    <x v="0"/>
    <x v="9"/>
    <x v="0"/>
    <x v="19"/>
    <n v="7.0860465116279103"/>
    <n v="2586.4069767441902"/>
    <n v="9311.0651162790691"/>
  </r>
  <r>
    <x v="0"/>
    <x v="0"/>
    <x v="0"/>
    <x v="0"/>
    <x v="0"/>
    <s v="DK1_Large"/>
    <x v="0"/>
    <x v="9"/>
    <x v="0"/>
    <x v="20"/>
    <n v="7.0860465116279103"/>
    <n v="2586.4069767441902"/>
    <n v="9311.0651162790691"/>
  </r>
  <r>
    <x v="0"/>
    <x v="0"/>
    <x v="0"/>
    <x v="0"/>
    <x v="0"/>
    <s v="DK1_Large"/>
    <x v="0"/>
    <x v="9"/>
    <x v="0"/>
    <x v="21"/>
    <n v="7.0860465116279103"/>
    <n v="2586.4069767441902"/>
    <n v="9311.0651162790691"/>
  </r>
  <r>
    <x v="0"/>
    <x v="0"/>
    <x v="0"/>
    <x v="0"/>
    <x v="0"/>
    <s v="DK1_Large"/>
    <x v="0"/>
    <x v="9"/>
    <x v="0"/>
    <x v="22"/>
    <n v="7.0860465116279103"/>
    <n v="2586.4069767441902"/>
    <n v="9311.0651162790691"/>
  </r>
  <r>
    <x v="0"/>
    <x v="0"/>
    <x v="0"/>
    <x v="0"/>
    <x v="0"/>
    <s v="DK1_Large"/>
    <x v="0"/>
    <x v="9"/>
    <x v="0"/>
    <x v="23"/>
    <n v="7.0860465116279103"/>
    <n v="2586.4069767441902"/>
    <n v="9311.0651162790691"/>
  </r>
  <r>
    <x v="0"/>
    <x v="0"/>
    <x v="0"/>
    <x v="0"/>
    <x v="0"/>
    <s v="DK1_Large"/>
    <x v="1"/>
    <x v="10"/>
    <x v="0"/>
    <x v="0"/>
    <n v="6.9620253164557004"/>
    <n v="2541.1392405063302"/>
    <n v="9148.1012658227792"/>
  </r>
  <r>
    <x v="0"/>
    <x v="0"/>
    <x v="0"/>
    <x v="0"/>
    <x v="0"/>
    <s v="DK1_Large"/>
    <x v="1"/>
    <x v="10"/>
    <x v="0"/>
    <x v="1"/>
    <n v="6.9620253164557004"/>
    <n v="2541.1392405063302"/>
    <n v="9148.1012658227792"/>
  </r>
  <r>
    <x v="0"/>
    <x v="0"/>
    <x v="0"/>
    <x v="0"/>
    <x v="0"/>
    <s v="DK1_Large"/>
    <x v="1"/>
    <x v="10"/>
    <x v="0"/>
    <x v="2"/>
    <n v="6.9620253164557004"/>
    <n v="2541.1392405063302"/>
    <n v="9148.1012658227792"/>
  </r>
  <r>
    <x v="0"/>
    <x v="0"/>
    <x v="0"/>
    <x v="0"/>
    <x v="0"/>
    <s v="DK1_Large"/>
    <x v="1"/>
    <x v="10"/>
    <x v="0"/>
    <x v="3"/>
    <n v="6.9620253164557004"/>
    <n v="2541.1392405063302"/>
    <n v="9148.1012658227792"/>
  </r>
  <r>
    <x v="0"/>
    <x v="0"/>
    <x v="0"/>
    <x v="0"/>
    <x v="0"/>
    <s v="DK1_Large"/>
    <x v="1"/>
    <x v="10"/>
    <x v="0"/>
    <x v="4"/>
    <n v="6.9620253164557004"/>
    <n v="2541.1392405063302"/>
    <n v="9148.1012658227792"/>
  </r>
  <r>
    <x v="0"/>
    <x v="0"/>
    <x v="0"/>
    <x v="0"/>
    <x v="0"/>
    <s v="DK1_Large"/>
    <x v="1"/>
    <x v="10"/>
    <x v="0"/>
    <x v="5"/>
    <n v="6.9620253164557004"/>
    <n v="2541.1392405063302"/>
    <n v="9148.1012658227792"/>
  </r>
  <r>
    <x v="0"/>
    <x v="0"/>
    <x v="0"/>
    <x v="0"/>
    <x v="0"/>
    <s v="DK1_Large"/>
    <x v="1"/>
    <x v="10"/>
    <x v="0"/>
    <x v="6"/>
    <n v="6.9620253164557004"/>
    <n v="2541.1392405063302"/>
    <n v="9148.1012658227792"/>
  </r>
  <r>
    <x v="0"/>
    <x v="0"/>
    <x v="0"/>
    <x v="0"/>
    <x v="0"/>
    <s v="DK1_Large"/>
    <x v="1"/>
    <x v="10"/>
    <x v="0"/>
    <x v="7"/>
    <n v="6.9620253164557004"/>
    <n v="2541.1392405063302"/>
    <n v="9148.1012658227792"/>
  </r>
  <r>
    <x v="0"/>
    <x v="0"/>
    <x v="0"/>
    <x v="0"/>
    <x v="0"/>
    <s v="DK1_Large"/>
    <x v="1"/>
    <x v="10"/>
    <x v="0"/>
    <x v="8"/>
    <n v="6.9620253164557004"/>
    <n v="2541.1392405063302"/>
    <n v="9148.1012658227792"/>
  </r>
  <r>
    <x v="0"/>
    <x v="0"/>
    <x v="0"/>
    <x v="0"/>
    <x v="0"/>
    <s v="DK1_Large"/>
    <x v="1"/>
    <x v="10"/>
    <x v="0"/>
    <x v="9"/>
    <n v="6.9620253164557004"/>
    <n v="2541.1392405063302"/>
    <n v="9148.1012658227792"/>
  </r>
  <r>
    <x v="0"/>
    <x v="0"/>
    <x v="0"/>
    <x v="0"/>
    <x v="0"/>
    <s v="DK1_Large"/>
    <x v="1"/>
    <x v="10"/>
    <x v="0"/>
    <x v="10"/>
    <n v="6.9620253164557004"/>
    <n v="2541.1392405063302"/>
    <n v="9148.1012658227792"/>
  </r>
  <r>
    <x v="0"/>
    <x v="0"/>
    <x v="0"/>
    <x v="0"/>
    <x v="0"/>
    <s v="DK1_Large"/>
    <x v="1"/>
    <x v="10"/>
    <x v="0"/>
    <x v="11"/>
    <n v="6.9620253164557004"/>
    <n v="2541.1392405063302"/>
    <n v="9148.1012658227792"/>
  </r>
  <r>
    <x v="0"/>
    <x v="0"/>
    <x v="0"/>
    <x v="0"/>
    <x v="0"/>
    <s v="DK1_Large"/>
    <x v="1"/>
    <x v="10"/>
    <x v="0"/>
    <x v="12"/>
    <n v="6.9620253164557004"/>
    <n v="2541.1392405063302"/>
    <n v="9148.1012658227792"/>
  </r>
  <r>
    <x v="0"/>
    <x v="0"/>
    <x v="0"/>
    <x v="0"/>
    <x v="0"/>
    <s v="DK1_Large"/>
    <x v="1"/>
    <x v="10"/>
    <x v="0"/>
    <x v="13"/>
    <n v="6.9620253164557004"/>
    <n v="2541.1392405063302"/>
    <n v="9148.1012658227792"/>
  </r>
  <r>
    <x v="0"/>
    <x v="0"/>
    <x v="0"/>
    <x v="0"/>
    <x v="0"/>
    <s v="DK1_Large"/>
    <x v="1"/>
    <x v="10"/>
    <x v="0"/>
    <x v="14"/>
    <n v="6.9620253164557004"/>
    <n v="2541.1392405063302"/>
    <n v="9148.1012658227792"/>
  </r>
  <r>
    <x v="0"/>
    <x v="0"/>
    <x v="0"/>
    <x v="0"/>
    <x v="0"/>
    <s v="DK1_Large"/>
    <x v="1"/>
    <x v="10"/>
    <x v="0"/>
    <x v="15"/>
    <n v="6.9620253164557004"/>
    <n v="2541.1392405063302"/>
    <n v="9148.1012658227792"/>
  </r>
  <r>
    <x v="0"/>
    <x v="0"/>
    <x v="0"/>
    <x v="0"/>
    <x v="0"/>
    <s v="DK1_Large"/>
    <x v="1"/>
    <x v="10"/>
    <x v="0"/>
    <x v="16"/>
    <n v="6.9620253164557004"/>
    <n v="2541.1392405063302"/>
    <n v="9148.1012658227792"/>
  </r>
  <r>
    <x v="0"/>
    <x v="0"/>
    <x v="0"/>
    <x v="0"/>
    <x v="0"/>
    <s v="DK1_Large"/>
    <x v="1"/>
    <x v="10"/>
    <x v="0"/>
    <x v="17"/>
    <n v="6.9620253164557004"/>
    <n v="2541.1392405063302"/>
    <n v="9148.1012658227792"/>
  </r>
  <r>
    <x v="0"/>
    <x v="0"/>
    <x v="0"/>
    <x v="0"/>
    <x v="0"/>
    <s v="DK1_Large"/>
    <x v="1"/>
    <x v="10"/>
    <x v="0"/>
    <x v="18"/>
    <n v="6.9620253164557004"/>
    <n v="2541.1392405063302"/>
    <n v="9148.1012658227792"/>
  </r>
  <r>
    <x v="0"/>
    <x v="0"/>
    <x v="0"/>
    <x v="0"/>
    <x v="0"/>
    <s v="DK1_Large"/>
    <x v="1"/>
    <x v="10"/>
    <x v="0"/>
    <x v="19"/>
    <n v="6.9620253164557004"/>
    <n v="2541.1392405063302"/>
    <n v="9148.1012658227792"/>
  </r>
  <r>
    <x v="0"/>
    <x v="0"/>
    <x v="0"/>
    <x v="0"/>
    <x v="0"/>
    <s v="DK1_Large"/>
    <x v="1"/>
    <x v="10"/>
    <x v="0"/>
    <x v="20"/>
    <n v="6.9620253164557004"/>
    <n v="2541.1392405063302"/>
    <n v="9148.1012658227792"/>
  </r>
  <r>
    <x v="0"/>
    <x v="0"/>
    <x v="0"/>
    <x v="0"/>
    <x v="0"/>
    <s v="DK1_Large"/>
    <x v="1"/>
    <x v="10"/>
    <x v="0"/>
    <x v="21"/>
    <n v="6.9620253164557004"/>
    <n v="2541.1392405063302"/>
    <n v="9148.1012658227792"/>
  </r>
  <r>
    <x v="0"/>
    <x v="0"/>
    <x v="0"/>
    <x v="0"/>
    <x v="0"/>
    <s v="DK1_Large"/>
    <x v="1"/>
    <x v="10"/>
    <x v="0"/>
    <x v="22"/>
    <n v="6.9620253164557004"/>
    <n v="2541.1392405063302"/>
    <n v="9148.1012658227792"/>
  </r>
  <r>
    <x v="0"/>
    <x v="0"/>
    <x v="0"/>
    <x v="0"/>
    <x v="0"/>
    <s v="DK1_Large"/>
    <x v="1"/>
    <x v="10"/>
    <x v="0"/>
    <x v="23"/>
    <n v="6.9620253164557004"/>
    <n v="2541.1392405063302"/>
    <n v="9148.1012658227792"/>
  </r>
  <r>
    <x v="0"/>
    <x v="0"/>
    <x v="0"/>
    <x v="0"/>
    <x v="0"/>
    <s v="DK1_Large"/>
    <x v="1"/>
    <x v="11"/>
    <x v="0"/>
    <x v="0"/>
    <n v="129.29411764705901"/>
    <n v="47192.352941176498"/>
    <n v="169892.47058823501"/>
  </r>
  <r>
    <x v="0"/>
    <x v="0"/>
    <x v="0"/>
    <x v="0"/>
    <x v="0"/>
    <s v="DK1_Large"/>
    <x v="1"/>
    <x v="11"/>
    <x v="0"/>
    <x v="1"/>
    <n v="129.29411764705901"/>
    <n v="47192.352941176498"/>
    <n v="169892.47058823501"/>
  </r>
  <r>
    <x v="0"/>
    <x v="0"/>
    <x v="0"/>
    <x v="0"/>
    <x v="0"/>
    <s v="DK1_Large"/>
    <x v="1"/>
    <x v="11"/>
    <x v="0"/>
    <x v="2"/>
    <n v="129.29411764705901"/>
    <n v="47192.352941176498"/>
    <n v="169892.47058823501"/>
  </r>
  <r>
    <x v="0"/>
    <x v="0"/>
    <x v="0"/>
    <x v="0"/>
    <x v="0"/>
    <s v="DK1_Large"/>
    <x v="1"/>
    <x v="11"/>
    <x v="0"/>
    <x v="3"/>
    <n v="129.29411764705901"/>
    <n v="47192.352941176498"/>
    <n v="169892.47058823501"/>
  </r>
  <r>
    <x v="0"/>
    <x v="0"/>
    <x v="0"/>
    <x v="0"/>
    <x v="0"/>
    <s v="DK1_Large"/>
    <x v="1"/>
    <x v="11"/>
    <x v="0"/>
    <x v="4"/>
    <n v="129.29411764705901"/>
    <n v="47192.352941176498"/>
    <n v="169892.47058823501"/>
  </r>
  <r>
    <x v="0"/>
    <x v="0"/>
    <x v="0"/>
    <x v="0"/>
    <x v="0"/>
    <s v="DK1_Large"/>
    <x v="1"/>
    <x v="11"/>
    <x v="0"/>
    <x v="5"/>
    <n v="129.29411764705901"/>
    <n v="47192.352941176498"/>
    <n v="169892.47058823501"/>
  </r>
  <r>
    <x v="0"/>
    <x v="0"/>
    <x v="0"/>
    <x v="0"/>
    <x v="0"/>
    <s v="DK1_Large"/>
    <x v="1"/>
    <x v="11"/>
    <x v="0"/>
    <x v="6"/>
    <n v="129.29411764705901"/>
    <n v="47192.352941176498"/>
    <n v="169892.47058823501"/>
  </r>
  <r>
    <x v="0"/>
    <x v="0"/>
    <x v="0"/>
    <x v="0"/>
    <x v="0"/>
    <s v="DK1_Large"/>
    <x v="1"/>
    <x v="11"/>
    <x v="0"/>
    <x v="7"/>
    <n v="129.29411764705901"/>
    <n v="47192.352941176498"/>
    <n v="169892.47058823501"/>
  </r>
  <r>
    <x v="0"/>
    <x v="0"/>
    <x v="0"/>
    <x v="0"/>
    <x v="0"/>
    <s v="DK1_Large"/>
    <x v="1"/>
    <x v="11"/>
    <x v="0"/>
    <x v="8"/>
    <n v="129.29411764705901"/>
    <n v="47192.352941176498"/>
    <n v="169892.47058823501"/>
  </r>
  <r>
    <x v="0"/>
    <x v="0"/>
    <x v="0"/>
    <x v="0"/>
    <x v="0"/>
    <s v="DK1_Large"/>
    <x v="1"/>
    <x v="11"/>
    <x v="0"/>
    <x v="9"/>
    <n v="129.29411764705901"/>
    <n v="47192.352941176498"/>
    <n v="169892.47058823501"/>
  </r>
  <r>
    <x v="0"/>
    <x v="0"/>
    <x v="0"/>
    <x v="0"/>
    <x v="0"/>
    <s v="DK1_Large"/>
    <x v="1"/>
    <x v="11"/>
    <x v="0"/>
    <x v="10"/>
    <n v="129.29411764705901"/>
    <n v="47192.352941176498"/>
    <n v="169892.47058823501"/>
  </r>
  <r>
    <x v="0"/>
    <x v="0"/>
    <x v="0"/>
    <x v="0"/>
    <x v="0"/>
    <s v="DK1_Large"/>
    <x v="1"/>
    <x v="11"/>
    <x v="0"/>
    <x v="11"/>
    <n v="129.29411764705901"/>
    <n v="47192.352941176498"/>
    <n v="169892.47058823501"/>
  </r>
  <r>
    <x v="0"/>
    <x v="0"/>
    <x v="0"/>
    <x v="0"/>
    <x v="0"/>
    <s v="DK1_Large"/>
    <x v="1"/>
    <x v="11"/>
    <x v="0"/>
    <x v="12"/>
    <n v="129.29411764705901"/>
    <n v="47192.352941176498"/>
    <n v="169892.47058823501"/>
  </r>
  <r>
    <x v="0"/>
    <x v="0"/>
    <x v="0"/>
    <x v="0"/>
    <x v="0"/>
    <s v="DK1_Large"/>
    <x v="1"/>
    <x v="11"/>
    <x v="0"/>
    <x v="13"/>
    <n v="129.29411764705901"/>
    <n v="47192.352941176498"/>
    <n v="169892.47058823501"/>
  </r>
  <r>
    <x v="0"/>
    <x v="0"/>
    <x v="0"/>
    <x v="0"/>
    <x v="0"/>
    <s v="DK1_Large"/>
    <x v="1"/>
    <x v="11"/>
    <x v="0"/>
    <x v="14"/>
    <n v="129.29411764705901"/>
    <n v="47192.352941176498"/>
    <n v="169892.47058823501"/>
  </r>
  <r>
    <x v="0"/>
    <x v="0"/>
    <x v="0"/>
    <x v="0"/>
    <x v="0"/>
    <s v="DK1_Large"/>
    <x v="1"/>
    <x v="11"/>
    <x v="0"/>
    <x v="15"/>
    <n v="129.29411764705901"/>
    <n v="47192.352941176498"/>
    <n v="169892.47058823501"/>
  </r>
  <r>
    <x v="0"/>
    <x v="0"/>
    <x v="0"/>
    <x v="0"/>
    <x v="0"/>
    <s v="DK1_Large"/>
    <x v="1"/>
    <x v="11"/>
    <x v="0"/>
    <x v="16"/>
    <n v="129.29411764705901"/>
    <n v="47192.352941176498"/>
    <n v="169892.47058823501"/>
  </r>
  <r>
    <x v="0"/>
    <x v="0"/>
    <x v="0"/>
    <x v="0"/>
    <x v="0"/>
    <s v="DK1_Large"/>
    <x v="1"/>
    <x v="11"/>
    <x v="0"/>
    <x v="17"/>
    <n v="129.29411764705901"/>
    <n v="47192.352941176498"/>
    <n v="169892.47058823501"/>
  </r>
  <r>
    <x v="0"/>
    <x v="0"/>
    <x v="0"/>
    <x v="0"/>
    <x v="0"/>
    <s v="DK1_Large"/>
    <x v="1"/>
    <x v="11"/>
    <x v="0"/>
    <x v="18"/>
    <n v="129.29411764705901"/>
    <n v="47192.352941176498"/>
    <n v="169892.47058823501"/>
  </r>
  <r>
    <x v="0"/>
    <x v="0"/>
    <x v="0"/>
    <x v="0"/>
    <x v="0"/>
    <s v="DK1_Large"/>
    <x v="1"/>
    <x v="11"/>
    <x v="0"/>
    <x v="19"/>
    <n v="129.29411764705901"/>
    <n v="47192.352941176498"/>
    <n v="169892.47058823501"/>
  </r>
  <r>
    <x v="0"/>
    <x v="0"/>
    <x v="0"/>
    <x v="0"/>
    <x v="0"/>
    <s v="DK1_Large"/>
    <x v="1"/>
    <x v="11"/>
    <x v="0"/>
    <x v="20"/>
    <n v="129.29411764705901"/>
    <n v="47192.352941176498"/>
    <n v="169892.47058823501"/>
  </r>
  <r>
    <x v="0"/>
    <x v="0"/>
    <x v="0"/>
    <x v="0"/>
    <x v="0"/>
    <s v="DK1_Large"/>
    <x v="1"/>
    <x v="11"/>
    <x v="0"/>
    <x v="21"/>
    <n v="129.29411764705901"/>
    <n v="47192.352941176498"/>
    <n v="169892.47058823501"/>
  </r>
  <r>
    <x v="0"/>
    <x v="0"/>
    <x v="0"/>
    <x v="0"/>
    <x v="0"/>
    <s v="DK1_Large"/>
    <x v="1"/>
    <x v="11"/>
    <x v="0"/>
    <x v="22"/>
    <n v="129.29411764705901"/>
    <n v="47192.352941176498"/>
    <n v="169892.47058823501"/>
  </r>
  <r>
    <x v="0"/>
    <x v="0"/>
    <x v="0"/>
    <x v="0"/>
    <x v="0"/>
    <s v="DK1_Large"/>
    <x v="1"/>
    <x v="11"/>
    <x v="0"/>
    <x v="23"/>
    <n v="129.29411764705901"/>
    <n v="47192.352941176498"/>
    <n v="169892.47058823501"/>
  </r>
  <r>
    <x v="0"/>
    <x v="0"/>
    <x v="0"/>
    <x v="0"/>
    <x v="0"/>
    <s v="DK1_Large"/>
    <x v="1"/>
    <x v="12"/>
    <x v="0"/>
    <x v="0"/>
    <n v="24.946236559139798"/>
    <n v="9105.3763440860203"/>
    <n v="32779.354838709703"/>
  </r>
  <r>
    <x v="0"/>
    <x v="0"/>
    <x v="0"/>
    <x v="0"/>
    <x v="0"/>
    <s v="DK1_Large"/>
    <x v="1"/>
    <x v="12"/>
    <x v="0"/>
    <x v="1"/>
    <n v="24.946236559139798"/>
    <n v="9105.3763440860203"/>
    <n v="32779.354838709703"/>
  </r>
  <r>
    <x v="0"/>
    <x v="0"/>
    <x v="0"/>
    <x v="0"/>
    <x v="0"/>
    <s v="DK1_Large"/>
    <x v="1"/>
    <x v="12"/>
    <x v="0"/>
    <x v="2"/>
    <n v="24.946236559139798"/>
    <n v="9105.3763440860203"/>
    <n v="32779.354838709703"/>
  </r>
  <r>
    <x v="0"/>
    <x v="0"/>
    <x v="0"/>
    <x v="0"/>
    <x v="0"/>
    <s v="DK1_Large"/>
    <x v="1"/>
    <x v="12"/>
    <x v="0"/>
    <x v="3"/>
    <n v="24.946236559139798"/>
    <n v="9105.3763440860203"/>
    <n v="32779.354838709703"/>
  </r>
  <r>
    <x v="0"/>
    <x v="0"/>
    <x v="0"/>
    <x v="0"/>
    <x v="0"/>
    <s v="DK1_Large"/>
    <x v="1"/>
    <x v="12"/>
    <x v="0"/>
    <x v="4"/>
    <n v="24.946236559139798"/>
    <n v="9105.3763440860203"/>
    <n v="32779.354838709703"/>
  </r>
  <r>
    <x v="0"/>
    <x v="0"/>
    <x v="0"/>
    <x v="0"/>
    <x v="0"/>
    <s v="DK1_Large"/>
    <x v="1"/>
    <x v="12"/>
    <x v="0"/>
    <x v="5"/>
    <n v="24.946236559139798"/>
    <n v="9105.3763440860203"/>
    <n v="32779.354838709703"/>
  </r>
  <r>
    <x v="0"/>
    <x v="0"/>
    <x v="0"/>
    <x v="0"/>
    <x v="0"/>
    <s v="DK1_Large"/>
    <x v="1"/>
    <x v="12"/>
    <x v="0"/>
    <x v="6"/>
    <n v="24.946236559139798"/>
    <n v="9105.3763440860203"/>
    <n v="32779.354838709703"/>
  </r>
  <r>
    <x v="0"/>
    <x v="0"/>
    <x v="0"/>
    <x v="0"/>
    <x v="0"/>
    <s v="DK1_Large"/>
    <x v="1"/>
    <x v="12"/>
    <x v="0"/>
    <x v="7"/>
    <n v="24.946236559139798"/>
    <n v="9105.3763440860203"/>
    <n v="32779.354838709703"/>
  </r>
  <r>
    <x v="0"/>
    <x v="0"/>
    <x v="0"/>
    <x v="0"/>
    <x v="0"/>
    <s v="DK1_Large"/>
    <x v="1"/>
    <x v="12"/>
    <x v="0"/>
    <x v="8"/>
    <n v="24.946236559139798"/>
    <n v="9105.3763440860203"/>
    <n v="32779.354838709703"/>
  </r>
  <r>
    <x v="0"/>
    <x v="0"/>
    <x v="0"/>
    <x v="0"/>
    <x v="0"/>
    <s v="DK1_Large"/>
    <x v="1"/>
    <x v="12"/>
    <x v="0"/>
    <x v="9"/>
    <n v="24.946236559139798"/>
    <n v="9105.3763440860203"/>
    <n v="32779.354838709703"/>
  </r>
  <r>
    <x v="0"/>
    <x v="0"/>
    <x v="0"/>
    <x v="0"/>
    <x v="0"/>
    <s v="DK1_Large"/>
    <x v="1"/>
    <x v="12"/>
    <x v="0"/>
    <x v="10"/>
    <n v="24.946236559139798"/>
    <n v="9105.3763440860203"/>
    <n v="32779.354838709703"/>
  </r>
  <r>
    <x v="0"/>
    <x v="0"/>
    <x v="0"/>
    <x v="0"/>
    <x v="0"/>
    <s v="DK1_Large"/>
    <x v="1"/>
    <x v="12"/>
    <x v="0"/>
    <x v="11"/>
    <n v="24.946236559139798"/>
    <n v="9105.3763440860203"/>
    <n v="32779.354838709703"/>
  </r>
  <r>
    <x v="0"/>
    <x v="0"/>
    <x v="0"/>
    <x v="0"/>
    <x v="0"/>
    <s v="DK1_Large"/>
    <x v="1"/>
    <x v="12"/>
    <x v="0"/>
    <x v="12"/>
    <n v="24.946236559139798"/>
    <n v="9105.3763440860203"/>
    <n v="32779.354838709703"/>
  </r>
  <r>
    <x v="0"/>
    <x v="0"/>
    <x v="0"/>
    <x v="0"/>
    <x v="0"/>
    <s v="DK1_Large"/>
    <x v="1"/>
    <x v="12"/>
    <x v="0"/>
    <x v="13"/>
    <n v="24.946236559139798"/>
    <n v="9105.3763440860203"/>
    <n v="32779.354838709703"/>
  </r>
  <r>
    <x v="0"/>
    <x v="0"/>
    <x v="0"/>
    <x v="0"/>
    <x v="0"/>
    <s v="DK1_Large"/>
    <x v="1"/>
    <x v="12"/>
    <x v="0"/>
    <x v="14"/>
    <n v="24.946236559139798"/>
    <n v="9105.3763440860203"/>
    <n v="32779.354838709703"/>
  </r>
  <r>
    <x v="0"/>
    <x v="0"/>
    <x v="0"/>
    <x v="0"/>
    <x v="0"/>
    <s v="DK1_Large"/>
    <x v="1"/>
    <x v="12"/>
    <x v="0"/>
    <x v="15"/>
    <n v="24.946236559139798"/>
    <n v="9105.3763440860203"/>
    <n v="32779.354838709703"/>
  </r>
  <r>
    <x v="0"/>
    <x v="0"/>
    <x v="0"/>
    <x v="0"/>
    <x v="0"/>
    <s v="DK1_Large"/>
    <x v="1"/>
    <x v="12"/>
    <x v="0"/>
    <x v="16"/>
    <n v="24.946236559139798"/>
    <n v="9105.3763440860203"/>
    <n v="32779.354838709703"/>
  </r>
  <r>
    <x v="0"/>
    <x v="0"/>
    <x v="0"/>
    <x v="0"/>
    <x v="0"/>
    <s v="DK1_Large"/>
    <x v="1"/>
    <x v="12"/>
    <x v="0"/>
    <x v="17"/>
    <n v="24.946236559139798"/>
    <n v="9105.3763440860203"/>
    <n v="32779.354838709703"/>
  </r>
  <r>
    <x v="0"/>
    <x v="0"/>
    <x v="0"/>
    <x v="0"/>
    <x v="0"/>
    <s v="DK1_Large"/>
    <x v="1"/>
    <x v="12"/>
    <x v="0"/>
    <x v="18"/>
    <n v="24.946236559139798"/>
    <n v="9105.3763440860203"/>
    <n v="32779.354838709703"/>
  </r>
  <r>
    <x v="0"/>
    <x v="0"/>
    <x v="0"/>
    <x v="0"/>
    <x v="0"/>
    <s v="DK1_Large"/>
    <x v="1"/>
    <x v="12"/>
    <x v="0"/>
    <x v="19"/>
    <n v="24.946236559139798"/>
    <n v="9105.3763440860203"/>
    <n v="32779.354838709703"/>
  </r>
  <r>
    <x v="0"/>
    <x v="0"/>
    <x v="0"/>
    <x v="0"/>
    <x v="0"/>
    <s v="DK1_Large"/>
    <x v="1"/>
    <x v="12"/>
    <x v="0"/>
    <x v="20"/>
    <n v="24.946236559139798"/>
    <n v="9105.3763440860203"/>
    <n v="32779.354838709703"/>
  </r>
  <r>
    <x v="0"/>
    <x v="0"/>
    <x v="0"/>
    <x v="0"/>
    <x v="0"/>
    <s v="DK1_Large"/>
    <x v="1"/>
    <x v="12"/>
    <x v="0"/>
    <x v="21"/>
    <n v="24.946236559139798"/>
    <n v="9105.3763440860203"/>
    <n v="32779.354838709703"/>
  </r>
  <r>
    <x v="0"/>
    <x v="0"/>
    <x v="0"/>
    <x v="0"/>
    <x v="0"/>
    <s v="DK1_Large"/>
    <x v="1"/>
    <x v="12"/>
    <x v="0"/>
    <x v="22"/>
    <n v="24.946236559139798"/>
    <n v="9105.3763440860203"/>
    <n v="32779.354838709703"/>
  </r>
  <r>
    <x v="0"/>
    <x v="0"/>
    <x v="0"/>
    <x v="0"/>
    <x v="0"/>
    <s v="DK1_Large"/>
    <x v="1"/>
    <x v="12"/>
    <x v="0"/>
    <x v="23"/>
    <n v="24.946236559139798"/>
    <n v="9105.3763440860203"/>
    <n v="32779.354838709703"/>
  </r>
  <r>
    <x v="0"/>
    <x v="0"/>
    <x v="0"/>
    <x v="0"/>
    <x v="0"/>
    <s v="DK1_Large"/>
    <x v="1"/>
    <x v="13"/>
    <x v="0"/>
    <x v="0"/>
    <n v="106.38297872340399"/>
    <n v="38829.787234042597"/>
    <n v="139787.234042553"/>
  </r>
  <r>
    <x v="0"/>
    <x v="0"/>
    <x v="0"/>
    <x v="0"/>
    <x v="0"/>
    <s v="DK1_Large"/>
    <x v="1"/>
    <x v="13"/>
    <x v="0"/>
    <x v="1"/>
    <n v="106.38297872340399"/>
    <n v="38829.787234042597"/>
    <n v="139787.234042553"/>
  </r>
  <r>
    <x v="0"/>
    <x v="0"/>
    <x v="0"/>
    <x v="0"/>
    <x v="0"/>
    <s v="DK1_Large"/>
    <x v="1"/>
    <x v="13"/>
    <x v="0"/>
    <x v="2"/>
    <n v="106.38297872340399"/>
    <n v="38829.787234042597"/>
    <n v="139787.234042553"/>
  </r>
  <r>
    <x v="0"/>
    <x v="0"/>
    <x v="0"/>
    <x v="0"/>
    <x v="0"/>
    <s v="DK1_Large"/>
    <x v="1"/>
    <x v="13"/>
    <x v="0"/>
    <x v="3"/>
    <n v="106.38297872340399"/>
    <n v="38829.787234042597"/>
    <n v="139787.234042553"/>
  </r>
  <r>
    <x v="0"/>
    <x v="0"/>
    <x v="0"/>
    <x v="0"/>
    <x v="0"/>
    <s v="DK1_Large"/>
    <x v="1"/>
    <x v="13"/>
    <x v="0"/>
    <x v="4"/>
    <n v="106.38297872340399"/>
    <n v="38829.787234042597"/>
    <n v="139787.234042553"/>
  </r>
  <r>
    <x v="0"/>
    <x v="0"/>
    <x v="0"/>
    <x v="0"/>
    <x v="0"/>
    <s v="DK1_Large"/>
    <x v="1"/>
    <x v="13"/>
    <x v="0"/>
    <x v="5"/>
    <n v="106.38297872340399"/>
    <n v="38829.787234042597"/>
    <n v="139787.234042553"/>
  </r>
  <r>
    <x v="0"/>
    <x v="0"/>
    <x v="0"/>
    <x v="0"/>
    <x v="0"/>
    <s v="DK1_Large"/>
    <x v="1"/>
    <x v="13"/>
    <x v="0"/>
    <x v="6"/>
    <n v="106.38297872340399"/>
    <n v="38829.787234042597"/>
    <n v="139787.234042553"/>
  </r>
  <r>
    <x v="0"/>
    <x v="0"/>
    <x v="0"/>
    <x v="0"/>
    <x v="0"/>
    <s v="DK1_Large"/>
    <x v="1"/>
    <x v="13"/>
    <x v="0"/>
    <x v="7"/>
    <n v="106.38297872340399"/>
    <n v="38829.787234042597"/>
    <n v="139787.234042553"/>
  </r>
  <r>
    <x v="0"/>
    <x v="0"/>
    <x v="0"/>
    <x v="0"/>
    <x v="0"/>
    <s v="DK1_Large"/>
    <x v="1"/>
    <x v="13"/>
    <x v="0"/>
    <x v="8"/>
    <n v="106.38297872340399"/>
    <n v="38829.787234042597"/>
    <n v="139787.234042553"/>
  </r>
  <r>
    <x v="0"/>
    <x v="0"/>
    <x v="0"/>
    <x v="0"/>
    <x v="0"/>
    <s v="DK1_Large"/>
    <x v="1"/>
    <x v="13"/>
    <x v="0"/>
    <x v="9"/>
    <n v="106.38297872340399"/>
    <n v="38829.787234042597"/>
    <n v="139787.234042553"/>
  </r>
  <r>
    <x v="0"/>
    <x v="0"/>
    <x v="0"/>
    <x v="0"/>
    <x v="0"/>
    <s v="DK1_Large"/>
    <x v="1"/>
    <x v="13"/>
    <x v="0"/>
    <x v="10"/>
    <n v="106.38297872340399"/>
    <n v="38829.787234042597"/>
    <n v="139787.234042553"/>
  </r>
  <r>
    <x v="0"/>
    <x v="0"/>
    <x v="0"/>
    <x v="0"/>
    <x v="0"/>
    <s v="DK1_Large"/>
    <x v="1"/>
    <x v="13"/>
    <x v="0"/>
    <x v="11"/>
    <n v="106.38297872340399"/>
    <n v="38829.787234042597"/>
    <n v="139787.234042553"/>
  </r>
  <r>
    <x v="0"/>
    <x v="0"/>
    <x v="0"/>
    <x v="0"/>
    <x v="0"/>
    <s v="DK1_Large"/>
    <x v="1"/>
    <x v="13"/>
    <x v="0"/>
    <x v="12"/>
    <n v="106.38297872340399"/>
    <n v="38829.787234042597"/>
    <n v="139787.234042553"/>
  </r>
  <r>
    <x v="0"/>
    <x v="0"/>
    <x v="0"/>
    <x v="0"/>
    <x v="0"/>
    <s v="DK1_Large"/>
    <x v="1"/>
    <x v="13"/>
    <x v="0"/>
    <x v="13"/>
    <n v="106.38297872340399"/>
    <n v="38829.787234042597"/>
    <n v="139787.234042553"/>
  </r>
  <r>
    <x v="0"/>
    <x v="0"/>
    <x v="0"/>
    <x v="0"/>
    <x v="0"/>
    <s v="DK1_Large"/>
    <x v="1"/>
    <x v="13"/>
    <x v="0"/>
    <x v="14"/>
    <n v="106.38297872340399"/>
    <n v="38829.787234042597"/>
    <n v="139787.234042553"/>
  </r>
  <r>
    <x v="0"/>
    <x v="0"/>
    <x v="0"/>
    <x v="0"/>
    <x v="0"/>
    <s v="DK1_Large"/>
    <x v="1"/>
    <x v="13"/>
    <x v="0"/>
    <x v="15"/>
    <n v="106.38297872340399"/>
    <n v="38829.787234042597"/>
    <n v="139787.234042553"/>
  </r>
  <r>
    <x v="0"/>
    <x v="0"/>
    <x v="0"/>
    <x v="0"/>
    <x v="0"/>
    <s v="DK1_Large"/>
    <x v="1"/>
    <x v="13"/>
    <x v="0"/>
    <x v="16"/>
    <n v="106.38297872340399"/>
    <n v="38829.787234042597"/>
    <n v="139787.234042553"/>
  </r>
  <r>
    <x v="0"/>
    <x v="0"/>
    <x v="0"/>
    <x v="0"/>
    <x v="0"/>
    <s v="DK1_Large"/>
    <x v="1"/>
    <x v="13"/>
    <x v="0"/>
    <x v="17"/>
    <n v="106.38297872340399"/>
    <n v="38829.787234042597"/>
    <n v="139787.234042553"/>
  </r>
  <r>
    <x v="0"/>
    <x v="0"/>
    <x v="0"/>
    <x v="0"/>
    <x v="0"/>
    <s v="DK1_Large"/>
    <x v="1"/>
    <x v="13"/>
    <x v="0"/>
    <x v="18"/>
    <n v="106.38297872340399"/>
    <n v="38829.787234042597"/>
    <n v="139787.234042553"/>
  </r>
  <r>
    <x v="0"/>
    <x v="0"/>
    <x v="0"/>
    <x v="0"/>
    <x v="0"/>
    <s v="DK1_Large"/>
    <x v="1"/>
    <x v="13"/>
    <x v="0"/>
    <x v="19"/>
    <n v="106.38297872340399"/>
    <n v="38829.787234042597"/>
    <n v="139787.234042553"/>
  </r>
  <r>
    <x v="0"/>
    <x v="0"/>
    <x v="0"/>
    <x v="0"/>
    <x v="0"/>
    <s v="DK1_Large"/>
    <x v="1"/>
    <x v="13"/>
    <x v="0"/>
    <x v="20"/>
    <n v="106.38297872340399"/>
    <n v="38829.787234042597"/>
    <n v="139787.234042553"/>
  </r>
  <r>
    <x v="0"/>
    <x v="0"/>
    <x v="0"/>
    <x v="0"/>
    <x v="0"/>
    <s v="DK1_Large"/>
    <x v="1"/>
    <x v="13"/>
    <x v="0"/>
    <x v="21"/>
    <n v="106.38297872340399"/>
    <n v="38829.787234042597"/>
    <n v="139787.234042553"/>
  </r>
  <r>
    <x v="0"/>
    <x v="0"/>
    <x v="0"/>
    <x v="0"/>
    <x v="0"/>
    <s v="DK1_Large"/>
    <x v="1"/>
    <x v="13"/>
    <x v="0"/>
    <x v="22"/>
    <n v="106.38297872340399"/>
    <n v="38829.787234042597"/>
    <n v="139787.234042553"/>
  </r>
  <r>
    <x v="0"/>
    <x v="0"/>
    <x v="0"/>
    <x v="0"/>
    <x v="0"/>
    <s v="DK1_Large"/>
    <x v="1"/>
    <x v="13"/>
    <x v="0"/>
    <x v="23"/>
    <n v="106.38297872340399"/>
    <n v="38829.787234042597"/>
    <n v="139787.234042553"/>
  </r>
  <r>
    <x v="0"/>
    <x v="0"/>
    <x v="0"/>
    <x v="0"/>
    <x v="0"/>
    <s v="DK1_Large"/>
    <x v="2"/>
    <x v="14"/>
    <x v="0"/>
    <x v="0"/>
    <n v="36.190476190476197"/>
    <n v="13209.5238095238"/>
    <n v="47554.285714285703"/>
  </r>
  <r>
    <x v="0"/>
    <x v="0"/>
    <x v="0"/>
    <x v="0"/>
    <x v="0"/>
    <s v="DK1_Large"/>
    <x v="2"/>
    <x v="14"/>
    <x v="0"/>
    <x v="1"/>
    <n v="36.190476190476197"/>
    <n v="13209.5238095238"/>
    <n v="47554.285714285703"/>
  </r>
  <r>
    <x v="0"/>
    <x v="0"/>
    <x v="0"/>
    <x v="0"/>
    <x v="0"/>
    <s v="DK1_Large"/>
    <x v="2"/>
    <x v="14"/>
    <x v="0"/>
    <x v="2"/>
    <n v="36.190476190476197"/>
    <n v="13209.5238095238"/>
    <n v="47554.285714285703"/>
  </r>
  <r>
    <x v="0"/>
    <x v="0"/>
    <x v="0"/>
    <x v="0"/>
    <x v="0"/>
    <s v="DK1_Large"/>
    <x v="2"/>
    <x v="14"/>
    <x v="0"/>
    <x v="3"/>
    <n v="36.190476190476197"/>
    <n v="13209.5238095238"/>
    <n v="47554.285714285703"/>
  </r>
  <r>
    <x v="0"/>
    <x v="0"/>
    <x v="0"/>
    <x v="0"/>
    <x v="0"/>
    <s v="DK1_Large"/>
    <x v="2"/>
    <x v="14"/>
    <x v="0"/>
    <x v="4"/>
    <n v="36.190476190476197"/>
    <n v="13209.5238095238"/>
    <n v="47554.285714285703"/>
  </r>
  <r>
    <x v="0"/>
    <x v="0"/>
    <x v="0"/>
    <x v="0"/>
    <x v="0"/>
    <s v="DK1_Large"/>
    <x v="2"/>
    <x v="14"/>
    <x v="0"/>
    <x v="5"/>
    <n v="36.190476190476197"/>
    <n v="13209.5238095238"/>
    <n v="47554.285714285703"/>
  </r>
  <r>
    <x v="0"/>
    <x v="0"/>
    <x v="0"/>
    <x v="0"/>
    <x v="0"/>
    <s v="DK1_Large"/>
    <x v="2"/>
    <x v="14"/>
    <x v="0"/>
    <x v="6"/>
    <n v="36.190476190476197"/>
    <n v="13209.5238095238"/>
    <n v="47554.285714285703"/>
  </r>
  <r>
    <x v="0"/>
    <x v="0"/>
    <x v="0"/>
    <x v="0"/>
    <x v="0"/>
    <s v="DK1_Large"/>
    <x v="2"/>
    <x v="14"/>
    <x v="0"/>
    <x v="7"/>
    <n v="36.190476190476197"/>
    <n v="13209.5238095238"/>
    <n v="47554.285714285703"/>
  </r>
  <r>
    <x v="0"/>
    <x v="0"/>
    <x v="0"/>
    <x v="0"/>
    <x v="0"/>
    <s v="DK1_Large"/>
    <x v="2"/>
    <x v="14"/>
    <x v="0"/>
    <x v="8"/>
    <n v="36.190476190476197"/>
    <n v="13209.5238095238"/>
    <n v="47554.285714285703"/>
  </r>
  <r>
    <x v="0"/>
    <x v="0"/>
    <x v="0"/>
    <x v="0"/>
    <x v="0"/>
    <s v="DK1_Large"/>
    <x v="2"/>
    <x v="14"/>
    <x v="0"/>
    <x v="9"/>
    <n v="36.190476190476197"/>
    <n v="13209.5238095238"/>
    <n v="47554.285714285703"/>
  </r>
  <r>
    <x v="0"/>
    <x v="0"/>
    <x v="0"/>
    <x v="0"/>
    <x v="0"/>
    <s v="DK1_Large"/>
    <x v="2"/>
    <x v="14"/>
    <x v="0"/>
    <x v="10"/>
    <n v="36.190476190476197"/>
    <n v="13209.5238095238"/>
    <n v="47554.285714285703"/>
  </r>
  <r>
    <x v="0"/>
    <x v="0"/>
    <x v="0"/>
    <x v="0"/>
    <x v="0"/>
    <s v="DK1_Large"/>
    <x v="2"/>
    <x v="14"/>
    <x v="0"/>
    <x v="11"/>
    <n v="36.190476190476197"/>
    <n v="13209.5238095238"/>
    <n v="47554.285714285703"/>
  </r>
  <r>
    <x v="0"/>
    <x v="0"/>
    <x v="0"/>
    <x v="0"/>
    <x v="0"/>
    <s v="DK1_Large"/>
    <x v="2"/>
    <x v="14"/>
    <x v="0"/>
    <x v="12"/>
    <n v="36.190476190476197"/>
    <n v="13209.5238095238"/>
    <n v="47554.285714285703"/>
  </r>
  <r>
    <x v="0"/>
    <x v="0"/>
    <x v="0"/>
    <x v="0"/>
    <x v="0"/>
    <s v="DK1_Large"/>
    <x v="2"/>
    <x v="14"/>
    <x v="0"/>
    <x v="13"/>
    <n v="36.190476190476197"/>
    <n v="13209.5238095238"/>
    <n v="47554.285714285703"/>
  </r>
  <r>
    <x v="0"/>
    <x v="0"/>
    <x v="0"/>
    <x v="0"/>
    <x v="0"/>
    <s v="DK1_Large"/>
    <x v="2"/>
    <x v="14"/>
    <x v="0"/>
    <x v="14"/>
    <n v="36.190476190476197"/>
    <n v="13209.5238095238"/>
    <n v="47554.285714285703"/>
  </r>
  <r>
    <x v="0"/>
    <x v="0"/>
    <x v="0"/>
    <x v="0"/>
    <x v="0"/>
    <s v="DK1_Large"/>
    <x v="2"/>
    <x v="14"/>
    <x v="0"/>
    <x v="15"/>
    <n v="36.190476190476197"/>
    <n v="13209.5238095238"/>
    <n v="47554.285714285703"/>
  </r>
  <r>
    <x v="0"/>
    <x v="0"/>
    <x v="0"/>
    <x v="0"/>
    <x v="0"/>
    <s v="DK1_Large"/>
    <x v="2"/>
    <x v="14"/>
    <x v="0"/>
    <x v="16"/>
    <n v="36.190476190476197"/>
    <n v="13209.5238095238"/>
    <n v="47554.285714285703"/>
  </r>
  <r>
    <x v="0"/>
    <x v="0"/>
    <x v="0"/>
    <x v="0"/>
    <x v="0"/>
    <s v="DK1_Large"/>
    <x v="2"/>
    <x v="14"/>
    <x v="0"/>
    <x v="17"/>
    <n v="36.190476190476197"/>
    <n v="13209.5238095238"/>
    <n v="47554.285714285703"/>
  </r>
  <r>
    <x v="0"/>
    <x v="0"/>
    <x v="0"/>
    <x v="0"/>
    <x v="0"/>
    <s v="DK1_Large"/>
    <x v="2"/>
    <x v="14"/>
    <x v="0"/>
    <x v="18"/>
    <n v="36.190476190476197"/>
    <n v="13209.5238095238"/>
    <n v="47554.285714285703"/>
  </r>
  <r>
    <x v="0"/>
    <x v="0"/>
    <x v="0"/>
    <x v="0"/>
    <x v="0"/>
    <s v="DK1_Large"/>
    <x v="2"/>
    <x v="14"/>
    <x v="0"/>
    <x v="19"/>
    <n v="36.190476190476197"/>
    <n v="13209.5238095238"/>
    <n v="47554.285714285703"/>
  </r>
  <r>
    <x v="0"/>
    <x v="0"/>
    <x v="0"/>
    <x v="0"/>
    <x v="0"/>
    <s v="DK1_Large"/>
    <x v="2"/>
    <x v="14"/>
    <x v="0"/>
    <x v="20"/>
    <n v="36.190476190476197"/>
    <n v="13209.5238095238"/>
    <n v="47554.285714285703"/>
  </r>
  <r>
    <x v="0"/>
    <x v="0"/>
    <x v="0"/>
    <x v="0"/>
    <x v="0"/>
    <s v="DK1_Large"/>
    <x v="2"/>
    <x v="14"/>
    <x v="0"/>
    <x v="21"/>
    <n v="36.190476190476197"/>
    <n v="13209.5238095238"/>
    <n v="47554.285714285703"/>
  </r>
  <r>
    <x v="0"/>
    <x v="0"/>
    <x v="0"/>
    <x v="0"/>
    <x v="0"/>
    <s v="DK1_Large"/>
    <x v="2"/>
    <x v="14"/>
    <x v="0"/>
    <x v="22"/>
    <n v="36.190476190476197"/>
    <n v="13209.5238095238"/>
    <n v="47554.285714285703"/>
  </r>
  <r>
    <x v="0"/>
    <x v="0"/>
    <x v="0"/>
    <x v="0"/>
    <x v="0"/>
    <s v="DK1_Large"/>
    <x v="2"/>
    <x v="14"/>
    <x v="0"/>
    <x v="23"/>
    <n v="36.190476190476197"/>
    <n v="13209.5238095238"/>
    <n v="47554.285714285703"/>
  </r>
  <r>
    <x v="0"/>
    <x v="0"/>
    <x v="0"/>
    <x v="0"/>
    <x v="0"/>
    <s v="DK1_Large"/>
    <x v="2"/>
    <x v="15"/>
    <x v="0"/>
    <x v="0"/>
    <n v="15.8333333333334"/>
    <n v="5779.1666666666697"/>
    <n v="20805"/>
  </r>
  <r>
    <x v="0"/>
    <x v="0"/>
    <x v="0"/>
    <x v="0"/>
    <x v="0"/>
    <s v="DK1_Large"/>
    <x v="2"/>
    <x v="15"/>
    <x v="0"/>
    <x v="1"/>
    <n v="15.8333333333334"/>
    <n v="5779.1666666666697"/>
    <n v="20805"/>
  </r>
  <r>
    <x v="0"/>
    <x v="0"/>
    <x v="0"/>
    <x v="0"/>
    <x v="0"/>
    <s v="DK1_Large"/>
    <x v="2"/>
    <x v="15"/>
    <x v="0"/>
    <x v="2"/>
    <n v="15.8333333333334"/>
    <n v="5779.1666666666697"/>
    <n v="20805"/>
  </r>
  <r>
    <x v="0"/>
    <x v="0"/>
    <x v="0"/>
    <x v="0"/>
    <x v="0"/>
    <s v="DK1_Large"/>
    <x v="2"/>
    <x v="15"/>
    <x v="0"/>
    <x v="3"/>
    <n v="15.8333333333334"/>
    <n v="5779.1666666666697"/>
    <n v="20805"/>
  </r>
  <r>
    <x v="0"/>
    <x v="0"/>
    <x v="0"/>
    <x v="0"/>
    <x v="0"/>
    <s v="DK1_Large"/>
    <x v="2"/>
    <x v="15"/>
    <x v="0"/>
    <x v="4"/>
    <n v="15.8333333333334"/>
    <n v="5779.1666666666697"/>
    <n v="20805"/>
  </r>
  <r>
    <x v="0"/>
    <x v="0"/>
    <x v="0"/>
    <x v="0"/>
    <x v="0"/>
    <s v="DK1_Large"/>
    <x v="2"/>
    <x v="15"/>
    <x v="0"/>
    <x v="5"/>
    <n v="15.8333333333334"/>
    <n v="5779.1666666666697"/>
    <n v="20805"/>
  </r>
  <r>
    <x v="0"/>
    <x v="0"/>
    <x v="0"/>
    <x v="0"/>
    <x v="0"/>
    <s v="DK1_Large"/>
    <x v="2"/>
    <x v="15"/>
    <x v="0"/>
    <x v="6"/>
    <n v="15.8333333333334"/>
    <n v="5779.1666666666697"/>
    <n v="20805"/>
  </r>
  <r>
    <x v="0"/>
    <x v="0"/>
    <x v="0"/>
    <x v="0"/>
    <x v="0"/>
    <s v="DK1_Large"/>
    <x v="2"/>
    <x v="15"/>
    <x v="0"/>
    <x v="7"/>
    <n v="15.8333333333334"/>
    <n v="5779.1666666666697"/>
    <n v="20805"/>
  </r>
  <r>
    <x v="0"/>
    <x v="0"/>
    <x v="0"/>
    <x v="0"/>
    <x v="0"/>
    <s v="DK1_Large"/>
    <x v="2"/>
    <x v="15"/>
    <x v="0"/>
    <x v="8"/>
    <n v="15.8333333333334"/>
    <n v="5779.1666666666697"/>
    <n v="20805"/>
  </r>
  <r>
    <x v="0"/>
    <x v="0"/>
    <x v="0"/>
    <x v="0"/>
    <x v="0"/>
    <s v="DK1_Large"/>
    <x v="2"/>
    <x v="15"/>
    <x v="0"/>
    <x v="9"/>
    <n v="15.8333333333334"/>
    <n v="5779.1666666666697"/>
    <n v="20805"/>
  </r>
  <r>
    <x v="0"/>
    <x v="0"/>
    <x v="0"/>
    <x v="0"/>
    <x v="0"/>
    <s v="DK1_Large"/>
    <x v="2"/>
    <x v="15"/>
    <x v="0"/>
    <x v="10"/>
    <n v="15.8333333333334"/>
    <n v="5779.1666666666697"/>
    <n v="20805"/>
  </r>
  <r>
    <x v="0"/>
    <x v="0"/>
    <x v="0"/>
    <x v="0"/>
    <x v="0"/>
    <s v="DK1_Large"/>
    <x v="2"/>
    <x v="15"/>
    <x v="0"/>
    <x v="11"/>
    <n v="15.8333333333334"/>
    <n v="5779.1666666666697"/>
    <n v="20805"/>
  </r>
  <r>
    <x v="0"/>
    <x v="0"/>
    <x v="0"/>
    <x v="0"/>
    <x v="0"/>
    <s v="DK1_Large"/>
    <x v="2"/>
    <x v="15"/>
    <x v="0"/>
    <x v="12"/>
    <n v="15.8333333333334"/>
    <n v="5779.1666666666697"/>
    <n v="20805"/>
  </r>
  <r>
    <x v="0"/>
    <x v="0"/>
    <x v="0"/>
    <x v="0"/>
    <x v="0"/>
    <s v="DK1_Large"/>
    <x v="2"/>
    <x v="15"/>
    <x v="0"/>
    <x v="13"/>
    <n v="15.8333333333334"/>
    <n v="5779.1666666666697"/>
    <n v="20805"/>
  </r>
  <r>
    <x v="0"/>
    <x v="0"/>
    <x v="0"/>
    <x v="0"/>
    <x v="0"/>
    <s v="DK1_Large"/>
    <x v="2"/>
    <x v="15"/>
    <x v="0"/>
    <x v="14"/>
    <n v="15.8333333333334"/>
    <n v="5779.1666666666697"/>
    <n v="20805"/>
  </r>
  <r>
    <x v="0"/>
    <x v="0"/>
    <x v="0"/>
    <x v="0"/>
    <x v="0"/>
    <s v="DK1_Large"/>
    <x v="2"/>
    <x v="15"/>
    <x v="0"/>
    <x v="15"/>
    <n v="15.8333333333334"/>
    <n v="5779.1666666666697"/>
    <n v="20805"/>
  </r>
  <r>
    <x v="0"/>
    <x v="0"/>
    <x v="0"/>
    <x v="0"/>
    <x v="0"/>
    <s v="DK1_Large"/>
    <x v="2"/>
    <x v="15"/>
    <x v="0"/>
    <x v="16"/>
    <n v="15.8333333333334"/>
    <n v="5779.1666666666697"/>
    <n v="20805"/>
  </r>
  <r>
    <x v="0"/>
    <x v="0"/>
    <x v="0"/>
    <x v="0"/>
    <x v="0"/>
    <s v="DK1_Large"/>
    <x v="2"/>
    <x v="15"/>
    <x v="0"/>
    <x v="17"/>
    <n v="15.8333333333334"/>
    <n v="5779.1666666666697"/>
    <n v="20805"/>
  </r>
  <r>
    <x v="0"/>
    <x v="0"/>
    <x v="0"/>
    <x v="0"/>
    <x v="0"/>
    <s v="DK1_Large"/>
    <x v="2"/>
    <x v="15"/>
    <x v="0"/>
    <x v="18"/>
    <n v="15.8333333333334"/>
    <n v="5779.1666666666697"/>
    <n v="20805"/>
  </r>
  <r>
    <x v="0"/>
    <x v="0"/>
    <x v="0"/>
    <x v="0"/>
    <x v="0"/>
    <s v="DK1_Large"/>
    <x v="2"/>
    <x v="15"/>
    <x v="0"/>
    <x v="19"/>
    <n v="15.8333333333334"/>
    <n v="5779.1666666666697"/>
    <n v="20805"/>
  </r>
  <r>
    <x v="0"/>
    <x v="0"/>
    <x v="0"/>
    <x v="0"/>
    <x v="0"/>
    <s v="DK1_Large"/>
    <x v="2"/>
    <x v="15"/>
    <x v="0"/>
    <x v="20"/>
    <n v="15.8333333333334"/>
    <n v="5779.1666666666697"/>
    <n v="20805"/>
  </r>
  <r>
    <x v="0"/>
    <x v="0"/>
    <x v="0"/>
    <x v="0"/>
    <x v="0"/>
    <s v="DK1_Large"/>
    <x v="2"/>
    <x v="15"/>
    <x v="0"/>
    <x v="21"/>
    <n v="15.8333333333334"/>
    <n v="5779.1666666666697"/>
    <n v="20805"/>
  </r>
  <r>
    <x v="0"/>
    <x v="0"/>
    <x v="0"/>
    <x v="0"/>
    <x v="0"/>
    <s v="DK1_Large"/>
    <x v="2"/>
    <x v="15"/>
    <x v="0"/>
    <x v="22"/>
    <n v="15.8333333333334"/>
    <n v="5779.1666666666697"/>
    <n v="20805"/>
  </r>
  <r>
    <x v="0"/>
    <x v="0"/>
    <x v="0"/>
    <x v="0"/>
    <x v="0"/>
    <s v="DK1_Large"/>
    <x v="2"/>
    <x v="15"/>
    <x v="0"/>
    <x v="23"/>
    <n v="15.8333333333334"/>
    <n v="5779.1666666666697"/>
    <n v="20805"/>
  </r>
  <r>
    <x v="0"/>
    <x v="0"/>
    <x v="0"/>
    <x v="0"/>
    <x v="0"/>
    <s v="DK1_Large"/>
    <x v="2"/>
    <x v="16"/>
    <x v="0"/>
    <x v="0"/>
    <n v="47.368421052631597"/>
    <n v="17289.473684210501"/>
    <n v="62242.1052631579"/>
  </r>
  <r>
    <x v="0"/>
    <x v="0"/>
    <x v="0"/>
    <x v="0"/>
    <x v="0"/>
    <s v="DK1_Large"/>
    <x v="2"/>
    <x v="16"/>
    <x v="0"/>
    <x v="1"/>
    <n v="47.368421052631597"/>
    <n v="17289.473684210501"/>
    <n v="62242.1052631579"/>
  </r>
  <r>
    <x v="0"/>
    <x v="0"/>
    <x v="0"/>
    <x v="0"/>
    <x v="0"/>
    <s v="DK1_Large"/>
    <x v="2"/>
    <x v="16"/>
    <x v="0"/>
    <x v="2"/>
    <n v="47.368421052631597"/>
    <n v="17289.473684210501"/>
    <n v="62242.1052631579"/>
  </r>
  <r>
    <x v="0"/>
    <x v="0"/>
    <x v="0"/>
    <x v="0"/>
    <x v="0"/>
    <s v="DK1_Large"/>
    <x v="2"/>
    <x v="16"/>
    <x v="0"/>
    <x v="3"/>
    <n v="47.368421052631597"/>
    <n v="17289.473684210501"/>
    <n v="62242.1052631579"/>
  </r>
  <r>
    <x v="0"/>
    <x v="0"/>
    <x v="0"/>
    <x v="0"/>
    <x v="0"/>
    <s v="DK1_Large"/>
    <x v="2"/>
    <x v="16"/>
    <x v="0"/>
    <x v="4"/>
    <n v="47.368421052631597"/>
    <n v="17289.473684210501"/>
    <n v="62242.1052631579"/>
  </r>
  <r>
    <x v="0"/>
    <x v="0"/>
    <x v="0"/>
    <x v="0"/>
    <x v="0"/>
    <s v="DK1_Large"/>
    <x v="2"/>
    <x v="16"/>
    <x v="0"/>
    <x v="5"/>
    <n v="47.368421052631597"/>
    <n v="17289.473684210501"/>
    <n v="62242.1052631579"/>
  </r>
  <r>
    <x v="0"/>
    <x v="0"/>
    <x v="0"/>
    <x v="0"/>
    <x v="0"/>
    <s v="DK1_Large"/>
    <x v="2"/>
    <x v="16"/>
    <x v="0"/>
    <x v="6"/>
    <n v="47.368421052631597"/>
    <n v="17289.473684210501"/>
    <n v="62242.1052631579"/>
  </r>
  <r>
    <x v="0"/>
    <x v="0"/>
    <x v="0"/>
    <x v="0"/>
    <x v="0"/>
    <s v="DK1_Large"/>
    <x v="2"/>
    <x v="16"/>
    <x v="0"/>
    <x v="7"/>
    <n v="47.368421052631597"/>
    <n v="17289.473684210501"/>
    <n v="62242.1052631579"/>
  </r>
  <r>
    <x v="0"/>
    <x v="0"/>
    <x v="0"/>
    <x v="0"/>
    <x v="0"/>
    <s v="DK1_Large"/>
    <x v="2"/>
    <x v="16"/>
    <x v="0"/>
    <x v="8"/>
    <n v="47.368421052631597"/>
    <n v="17289.473684210501"/>
    <n v="62242.1052631579"/>
  </r>
  <r>
    <x v="0"/>
    <x v="0"/>
    <x v="0"/>
    <x v="0"/>
    <x v="0"/>
    <s v="DK1_Large"/>
    <x v="2"/>
    <x v="16"/>
    <x v="0"/>
    <x v="9"/>
    <n v="47.368421052631597"/>
    <n v="17289.473684210501"/>
    <n v="62242.1052631579"/>
  </r>
  <r>
    <x v="0"/>
    <x v="0"/>
    <x v="0"/>
    <x v="0"/>
    <x v="0"/>
    <s v="DK1_Large"/>
    <x v="2"/>
    <x v="16"/>
    <x v="0"/>
    <x v="10"/>
    <n v="47.368421052631597"/>
    <n v="17289.473684210501"/>
    <n v="62242.1052631579"/>
  </r>
  <r>
    <x v="0"/>
    <x v="0"/>
    <x v="0"/>
    <x v="0"/>
    <x v="0"/>
    <s v="DK1_Large"/>
    <x v="2"/>
    <x v="16"/>
    <x v="0"/>
    <x v="11"/>
    <n v="47.368421052631597"/>
    <n v="17289.473684210501"/>
    <n v="62242.1052631579"/>
  </r>
  <r>
    <x v="0"/>
    <x v="0"/>
    <x v="0"/>
    <x v="0"/>
    <x v="0"/>
    <s v="DK1_Large"/>
    <x v="2"/>
    <x v="16"/>
    <x v="0"/>
    <x v="12"/>
    <n v="47.368421052631597"/>
    <n v="17289.473684210501"/>
    <n v="62242.1052631579"/>
  </r>
  <r>
    <x v="0"/>
    <x v="0"/>
    <x v="0"/>
    <x v="0"/>
    <x v="0"/>
    <s v="DK1_Large"/>
    <x v="2"/>
    <x v="16"/>
    <x v="0"/>
    <x v="13"/>
    <n v="47.368421052631597"/>
    <n v="17289.473684210501"/>
    <n v="62242.1052631579"/>
  </r>
  <r>
    <x v="0"/>
    <x v="0"/>
    <x v="0"/>
    <x v="0"/>
    <x v="0"/>
    <s v="DK1_Large"/>
    <x v="2"/>
    <x v="16"/>
    <x v="0"/>
    <x v="14"/>
    <n v="47.368421052631597"/>
    <n v="17289.473684210501"/>
    <n v="62242.1052631579"/>
  </r>
  <r>
    <x v="0"/>
    <x v="0"/>
    <x v="0"/>
    <x v="0"/>
    <x v="0"/>
    <s v="DK1_Large"/>
    <x v="2"/>
    <x v="16"/>
    <x v="0"/>
    <x v="15"/>
    <n v="47.368421052631597"/>
    <n v="17289.473684210501"/>
    <n v="62242.1052631579"/>
  </r>
  <r>
    <x v="0"/>
    <x v="0"/>
    <x v="0"/>
    <x v="0"/>
    <x v="0"/>
    <s v="DK1_Large"/>
    <x v="2"/>
    <x v="16"/>
    <x v="0"/>
    <x v="16"/>
    <n v="47.368421052631597"/>
    <n v="17289.473684210501"/>
    <n v="62242.1052631579"/>
  </r>
  <r>
    <x v="0"/>
    <x v="0"/>
    <x v="0"/>
    <x v="0"/>
    <x v="0"/>
    <s v="DK1_Large"/>
    <x v="2"/>
    <x v="16"/>
    <x v="0"/>
    <x v="17"/>
    <n v="47.368421052631597"/>
    <n v="17289.473684210501"/>
    <n v="62242.1052631579"/>
  </r>
  <r>
    <x v="0"/>
    <x v="0"/>
    <x v="0"/>
    <x v="0"/>
    <x v="0"/>
    <s v="DK1_Large"/>
    <x v="2"/>
    <x v="16"/>
    <x v="0"/>
    <x v="18"/>
    <n v="47.368421052631597"/>
    <n v="17289.473684210501"/>
    <n v="62242.1052631579"/>
  </r>
  <r>
    <x v="0"/>
    <x v="0"/>
    <x v="0"/>
    <x v="0"/>
    <x v="0"/>
    <s v="DK1_Large"/>
    <x v="2"/>
    <x v="16"/>
    <x v="0"/>
    <x v="19"/>
    <n v="47.368421052631597"/>
    <n v="17289.473684210501"/>
    <n v="62242.1052631579"/>
  </r>
  <r>
    <x v="0"/>
    <x v="0"/>
    <x v="0"/>
    <x v="0"/>
    <x v="0"/>
    <s v="DK1_Large"/>
    <x v="2"/>
    <x v="16"/>
    <x v="0"/>
    <x v="20"/>
    <n v="47.368421052631597"/>
    <n v="17289.473684210501"/>
    <n v="62242.1052631579"/>
  </r>
  <r>
    <x v="0"/>
    <x v="0"/>
    <x v="0"/>
    <x v="0"/>
    <x v="0"/>
    <s v="DK1_Large"/>
    <x v="2"/>
    <x v="16"/>
    <x v="0"/>
    <x v="21"/>
    <n v="47.368421052631597"/>
    <n v="17289.473684210501"/>
    <n v="62242.1052631579"/>
  </r>
  <r>
    <x v="0"/>
    <x v="0"/>
    <x v="0"/>
    <x v="0"/>
    <x v="0"/>
    <s v="DK1_Large"/>
    <x v="2"/>
    <x v="16"/>
    <x v="0"/>
    <x v="22"/>
    <n v="47.368421052631597"/>
    <n v="17289.473684210501"/>
    <n v="62242.1052631579"/>
  </r>
  <r>
    <x v="0"/>
    <x v="0"/>
    <x v="0"/>
    <x v="0"/>
    <x v="0"/>
    <s v="DK1_Large"/>
    <x v="2"/>
    <x v="16"/>
    <x v="0"/>
    <x v="23"/>
    <n v="47.368421052631597"/>
    <n v="17289.473684210501"/>
    <n v="62242.1052631579"/>
  </r>
  <r>
    <x v="0"/>
    <x v="0"/>
    <x v="0"/>
    <x v="0"/>
    <x v="0"/>
    <s v="DK1_Large"/>
    <x v="2"/>
    <x v="17"/>
    <x v="0"/>
    <x v="0"/>
    <n v="140.90909090909099"/>
    <n v="51431.818181818198"/>
    <n v="185154.54545454599"/>
  </r>
  <r>
    <x v="0"/>
    <x v="0"/>
    <x v="0"/>
    <x v="0"/>
    <x v="0"/>
    <s v="DK1_Large"/>
    <x v="2"/>
    <x v="17"/>
    <x v="0"/>
    <x v="1"/>
    <n v="140.90909090909099"/>
    <n v="51431.818181818198"/>
    <n v="185154.54545454599"/>
  </r>
  <r>
    <x v="0"/>
    <x v="0"/>
    <x v="0"/>
    <x v="0"/>
    <x v="0"/>
    <s v="DK1_Large"/>
    <x v="2"/>
    <x v="17"/>
    <x v="0"/>
    <x v="2"/>
    <n v="140.90909090909099"/>
    <n v="51431.818181818198"/>
    <n v="185154.54545454599"/>
  </r>
  <r>
    <x v="0"/>
    <x v="0"/>
    <x v="0"/>
    <x v="0"/>
    <x v="0"/>
    <s v="DK1_Large"/>
    <x v="2"/>
    <x v="17"/>
    <x v="0"/>
    <x v="3"/>
    <n v="140.90909090909099"/>
    <n v="51431.818181818198"/>
    <n v="185154.54545454599"/>
  </r>
  <r>
    <x v="0"/>
    <x v="0"/>
    <x v="0"/>
    <x v="0"/>
    <x v="0"/>
    <s v="DK1_Large"/>
    <x v="2"/>
    <x v="17"/>
    <x v="0"/>
    <x v="4"/>
    <n v="140.90909090909099"/>
    <n v="51431.818181818198"/>
    <n v="185154.54545454599"/>
  </r>
  <r>
    <x v="0"/>
    <x v="0"/>
    <x v="0"/>
    <x v="0"/>
    <x v="0"/>
    <s v="DK1_Large"/>
    <x v="2"/>
    <x v="17"/>
    <x v="0"/>
    <x v="5"/>
    <n v="140.90909090909099"/>
    <n v="51431.818181818198"/>
    <n v="185154.54545454599"/>
  </r>
  <r>
    <x v="0"/>
    <x v="0"/>
    <x v="0"/>
    <x v="0"/>
    <x v="0"/>
    <s v="DK1_Large"/>
    <x v="2"/>
    <x v="17"/>
    <x v="0"/>
    <x v="6"/>
    <n v="140.90909090909099"/>
    <n v="51431.818181818198"/>
    <n v="185154.54545454599"/>
  </r>
  <r>
    <x v="0"/>
    <x v="0"/>
    <x v="0"/>
    <x v="0"/>
    <x v="0"/>
    <s v="DK1_Large"/>
    <x v="2"/>
    <x v="17"/>
    <x v="0"/>
    <x v="7"/>
    <n v="140.90909090909099"/>
    <n v="51431.818181818198"/>
    <n v="185154.54545454599"/>
  </r>
  <r>
    <x v="0"/>
    <x v="0"/>
    <x v="0"/>
    <x v="0"/>
    <x v="0"/>
    <s v="DK1_Large"/>
    <x v="2"/>
    <x v="17"/>
    <x v="0"/>
    <x v="8"/>
    <n v="140.90909090909099"/>
    <n v="51431.818181818198"/>
    <n v="185154.54545454599"/>
  </r>
  <r>
    <x v="0"/>
    <x v="0"/>
    <x v="0"/>
    <x v="0"/>
    <x v="0"/>
    <s v="DK1_Large"/>
    <x v="2"/>
    <x v="17"/>
    <x v="0"/>
    <x v="9"/>
    <n v="140.90909090909099"/>
    <n v="51431.818181818198"/>
    <n v="185154.54545454599"/>
  </r>
  <r>
    <x v="0"/>
    <x v="0"/>
    <x v="0"/>
    <x v="0"/>
    <x v="0"/>
    <s v="DK1_Large"/>
    <x v="2"/>
    <x v="17"/>
    <x v="0"/>
    <x v="10"/>
    <n v="140.90909090909099"/>
    <n v="51431.818181818198"/>
    <n v="185154.54545454599"/>
  </r>
  <r>
    <x v="0"/>
    <x v="0"/>
    <x v="0"/>
    <x v="0"/>
    <x v="0"/>
    <s v="DK1_Large"/>
    <x v="2"/>
    <x v="17"/>
    <x v="0"/>
    <x v="11"/>
    <n v="140.90909090909099"/>
    <n v="51431.818181818198"/>
    <n v="185154.54545454599"/>
  </r>
  <r>
    <x v="0"/>
    <x v="0"/>
    <x v="0"/>
    <x v="0"/>
    <x v="0"/>
    <s v="DK1_Large"/>
    <x v="2"/>
    <x v="17"/>
    <x v="0"/>
    <x v="12"/>
    <n v="140.90909090909099"/>
    <n v="51431.818181818198"/>
    <n v="185154.54545454599"/>
  </r>
  <r>
    <x v="0"/>
    <x v="0"/>
    <x v="0"/>
    <x v="0"/>
    <x v="0"/>
    <s v="DK1_Large"/>
    <x v="2"/>
    <x v="17"/>
    <x v="0"/>
    <x v="13"/>
    <n v="140.90909090909099"/>
    <n v="51431.818181818198"/>
    <n v="185154.54545454599"/>
  </r>
  <r>
    <x v="0"/>
    <x v="0"/>
    <x v="0"/>
    <x v="0"/>
    <x v="0"/>
    <s v="DK1_Large"/>
    <x v="2"/>
    <x v="17"/>
    <x v="0"/>
    <x v="14"/>
    <n v="140.90909090909099"/>
    <n v="51431.818181818198"/>
    <n v="185154.54545454599"/>
  </r>
  <r>
    <x v="0"/>
    <x v="0"/>
    <x v="0"/>
    <x v="0"/>
    <x v="0"/>
    <s v="DK1_Large"/>
    <x v="2"/>
    <x v="17"/>
    <x v="0"/>
    <x v="15"/>
    <n v="140.90909090909099"/>
    <n v="51431.818181818198"/>
    <n v="185154.54545454599"/>
  </r>
  <r>
    <x v="0"/>
    <x v="0"/>
    <x v="0"/>
    <x v="0"/>
    <x v="0"/>
    <s v="DK1_Large"/>
    <x v="2"/>
    <x v="17"/>
    <x v="0"/>
    <x v="16"/>
    <n v="140.90909090909099"/>
    <n v="51431.818181818198"/>
    <n v="185154.54545454599"/>
  </r>
  <r>
    <x v="0"/>
    <x v="0"/>
    <x v="0"/>
    <x v="0"/>
    <x v="0"/>
    <s v="DK1_Large"/>
    <x v="2"/>
    <x v="17"/>
    <x v="0"/>
    <x v="17"/>
    <n v="140.90909090909099"/>
    <n v="51431.818181818198"/>
    <n v="185154.54545454599"/>
  </r>
  <r>
    <x v="0"/>
    <x v="0"/>
    <x v="0"/>
    <x v="0"/>
    <x v="0"/>
    <s v="DK1_Large"/>
    <x v="2"/>
    <x v="17"/>
    <x v="0"/>
    <x v="18"/>
    <n v="140.90909090909099"/>
    <n v="51431.818181818198"/>
    <n v="185154.54545454599"/>
  </r>
  <r>
    <x v="0"/>
    <x v="0"/>
    <x v="0"/>
    <x v="0"/>
    <x v="0"/>
    <s v="DK1_Large"/>
    <x v="2"/>
    <x v="17"/>
    <x v="0"/>
    <x v="19"/>
    <n v="140.90909090909099"/>
    <n v="51431.818181818198"/>
    <n v="185154.54545454599"/>
  </r>
  <r>
    <x v="0"/>
    <x v="0"/>
    <x v="0"/>
    <x v="0"/>
    <x v="0"/>
    <s v="DK1_Large"/>
    <x v="2"/>
    <x v="17"/>
    <x v="0"/>
    <x v="20"/>
    <n v="140.90909090909099"/>
    <n v="51431.818181818198"/>
    <n v="185154.54545454599"/>
  </r>
  <r>
    <x v="0"/>
    <x v="0"/>
    <x v="0"/>
    <x v="0"/>
    <x v="0"/>
    <s v="DK1_Large"/>
    <x v="2"/>
    <x v="17"/>
    <x v="0"/>
    <x v="21"/>
    <n v="140.90909090909099"/>
    <n v="51431.818181818198"/>
    <n v="185154.54545454599"/>
  </r>
  <r>
    <x v="0"/>
    <x v="0"/>
    <x v="0"/>
    <x v="0"/>
    <x v="0"/>
    <s v="DK1_Large"/>
    <x v="2"/>
    <x v="17"/>
    <x v="0"/>
    <x v="22"/>
    <n v="140.90909090909099"/>
    <n v="51431.818181818198"/>
    <n v="185154.54545454599"/>
  </r>
  <r>
    <x v="0"/>
    <x v="0"/>
    <x v="0"/>
    <x v="0"/>
    <x v="0"/>
    <s v="DK1_Large"/>
    <x v="2"/>
    <x v="17"/>
    <x v="0"/>
    <x v="23"/>
    <n v="140.90909090909099"/>
    <n v="51431.818181818198"/>
    <n v="185154.54545454599"/>
  </r>
  <r>
    <x v="0"/>
    <x v="0"/>
    <x v="0"/>
    <x v="0"/>
    <x v="0"/>
    <s v="DK1_Large"/>
    <x v="2"/>
    <x v="18"/>
    <x v="0"/>
    <x v="0"/>
    <n v="156.78260869565199"/>
    <n v="57225.652173913099"/>
    <n v="206012.347826087"/>
  </r>
  <r>
    <x v="0"/>
    <x v="0"/>
    <x v="0"/>
    <x v="0"/>
    <x v="0"/>
    <s v="DK1_Large"/>
    <x v="2"/>
    <x v="18"/>
    <x v="0"/>
    <x v="1"/>
    <n v="156.78260869565199"/>
    <n v="57225.652173913099"/>
    <n v="206012.347826087"/>
  </r>
  <r>
    <x v="0"/>
    <x v="0"/>
    <x v="0"/>
    <x v="0"/>
    <x v="0"/>
    <s v="DK1_Large"/>
    <x v="2"/>
    <x v="18"/>
    <x v="0"/>
    <x v="2"/>
    <n v="156.78260869565199"/>
    <n v="57225.652173913099"/>
    <n v="206012.347826087"/>
  </r>
  <r>
    <x v="0"/>
    <x v="0"/>
    <x v="0"/>
    <x v="0"/>
    <x v="0"/>
    <s v="DK1_Large"/>
    <x v="2"/>
    <x v="18"/>
    <x v="0"/>
    <x v="3"/>
    <n v="156.78260869565199"/>
    <n v="57225.652173913099"/>
    <n v="206012.347826087"/>
  </r>
  <r>
    <x v="0"/>
    <x v="0"/>
    <x v="0"/>
    <x v="0"/>
    <x v="0"/>
    <s v="DK1_Large"/>
    <x v="2"/>
    <x v="18"/>
    <x v="0"/>
    <x v="4"/>
    <n v="156.78260869565199"/>
    <n v="57225.652173913099"/>
    <n v="206012.347826087"/>
  </r>
  <r>
    <x v="0"/>
    <x v="0"/>
    <x v="0"/>
    <x v="0"/>
    <x v="0"/>
    <s v="DK1_Large"/>
    <x v="2"/>
    <x v="18"/>
    <x v="0"/>
    <x v="5"/>
    <n v="156.78260869565199"/>
    <n v="57225.652173913099"/>
    <n v="206012.347826087"/>
  </r>
  <r>
    <x v="0"/>
    <x v="0"/>
    <x v="0"/>
    <x v="0"/>
    <x v="0"/>
    <s v="DK1_Large"/>
    <x v="2"/>
    <x v="18"/>
    <x v="0"/>
    <x v="6"/>
    <n v="156.78260869565199"/>
    <n v="57225.652173913099"/>
    <n v="206012.347826087"/>
  </r>
  <r>
    <x v="0"/>
    <x v="0"/>
    <x v="0"/>
    <x v="0"/>
    <x v="0"/>
    <s v="DK1_Large"/>
    <x v="2"/>
    <x v="18"/>
    <x v="0"/>
    <x v="7"/>
    <n v="156.78260869565199"/>
    <n v="57225.652173913099"/>
    <n v="206012.347826087"/>
  </r>
  <r>
    <x v="0"/>
    <x v="0"/>
    <x v="0"/>
    <x v="0"/>
    <x v="0"/>
    <s v="DK1_Large"/>
    <x v="2"/>
    <x v="18"/>
    <x v="0"/>
    <x v="8"/>
    <n v="156.78260869565199"/>
    <n v="57225.652173913099"/>
    <n v="206012.347826087"/>
  </r>
  <r>
    <x v="0"/>
    <x v="0"/>
    <x v="0"/>
    <x v="0"/>
    <x v="0"/>
    <s v="DK1_Large"/>
    <x v="2"/>
    <x v="18"/>
    <x v="0"/>
    <x v="9"/>
    <n v="156.78260869565199"/>
    <n v="57225.652173913099"/>
    <n v="206012.347826087"/>
  </r>
  <r>
    <x v="0"/>
    <x v="0"/>
    <x v="0"/>
    <x v="0"/>
    <x v="0"/>
    <s v="DK1_Large"/>
    <x v="2"/>
    <x v="18"/>
    <x v="0"/>
    <x v="10"/>
    <n v="156.78260869565199"/>
    <n v="57225.652173913099"/>
    <n v="206012.347826087"/>
  </r>
  <r>
    <x v="0"/>
    <x v="0"/>
    <x v="0"/>
    <x v="0"/>
    <x v="0"/>
    <s v="DK1_Large"/>
    <x v="2"/>
    <x v="18"/>
    <x v="0"/>
    <x v="11"/>
    <n v="156.78260869565199"/>
    <n v="57225.652173913099"/>
    <n v="206012.347826087"/>
  </r>
  <r>
    <x v="0"/>
    <x v="0"/>
    <x v="0"/>
    <x v="0"/>
    <x v="0"/>
    <s v="DK1_Large"/>
    <x v="2"/>
    <x v="18"/>
    <x v="0"/>
    <x v="12"/>
    <n v="156.78260869565199"/>
    <n v="57225.652173913099"/>
    <n v="206012.347826087"/>
  </r>
  <r>
    <x v="0"/>
    <x v="0"/>
    <x v="0"/>
    <x v="0"/>
    <x v="0"/>
    <s v="DK1_Large"/>
    <x v="2"/>
    <x v="18"/>
    <x v="0"/>
    <x v="13"/>
    <n v="156.78260869565199"/>
    <n v="57225.652173913099"/>
    <n v="206012.347826087"/>
  </r>
  <r>
    <x v="0"/>
    <x v="0"/>
    <x v="0"/>
    <x v="0"/>
    <x v="0"/>
    <s v="DK1_Large"/>
    <x v="2"/>
    <x v="18"/>
    <x v="0"/>
    <x v="14"/>
    <n v="156.78260869565199"/>
    <n v="57225.652173913099"/>
    <n v="206012.347826087"/>
  </r>
  <r>
    <x v="0"/>
    <x v="0"/>
    <x v="0"/>
    <x v="0"/>
    <x v="0"/>
    <s v="DK1_Large"/>
    <x v="2"/>
    <x v="18"/>
    <x v="0"/>
    <x v="15"/>
    <n v="156.78260869565199"/>
    <n v="57225.652173913099"/>
    <n v="206012.347826087"/>
  </r>
  <r>
    <x v="0"/>
    <x v="0"/>
    <x v="0"/>
    <x v="0"/>
    <x v="0"/>
    <s v="DK1_Large"/>
    <x v="2"/>
    <x v="18"/>
    <x v="0"/>
    <x v="16"/>
    <n v="156.78260869565199"/>
    <n v="57225.652173913099"/>
    <n v="206012.347826087"/>
  </r>
  <r>
    <x v="0"/>
    <x v="0"/>
    <x v="0"/>
    <x v="0"/>
    <x v="0"/>
    <s v="DK1_Large"/>
    <x v="2"/>
    <x v="18"/>
    <x v="0"/>
    <x v="17"/>
    <n v="156.78260869565199"/>
    <n v="57225.652173913099"/>
    <n v="206012.347826087"/>
  </r>
  <r>
    <x v="0"/>
    <x v="0"/>
    <x v="0"/>
    <x v="0"/>
    <x v="0"/>
    <s v="DK1_Large"/>
    <x v="2"/>
    <x v="18"/>
    <x v="0"/>
    <x v="18"/>
    <n v="156.78260869565199"/>
    <n v="57225.652173913099"/>
    <n v="206012.347826087"/>
  </r>
  <r>
    <x v="0"/>
    <x v="0"/>
    <x v="0"/>
    <x v="0"/>
    <x v="0"/>
    <s v="DK1_Large"/>
    <x v="2"/>
    <x v="18"/>
    <x v="0"/>
    <x v="19"/>
    <n v="156.78260869565199"/>
    <n v="57225.652173913099"/>
    <n v="206012.347826087"/>
  </r>
  <r>
    <x v="0"/>
    <x v="0"/>
    <x v="0"/>
    <x v="0"/>
    <x v="0"/>
    <s v="DK1_Large"/>
    <x v="2"/>
    <x v="18"/>
    <x v="0"/>
    <x v="20"/>
    <n v="156.78260869565199"/>
    <n v="57225.652173913099"/>
    <n v="206012.347826087"/>
  </r>
  <r>
    <x v="0"/>
    <x v="0"/>
    <x v="0"/>
    <x v="0"/>
    <x v="0"/>
    <s v="DK1_Large"/>
    <x v="2"/>
    <x v="18"/>
    <x v="0"/>
    <x v="21"/>
    <n v="156.78260869565199"/>
    <n v="57225.652173913099"/>
    <n v="206012.347826087"/>
  </r>
  <r>
    <x v="0"/>
    <x v="0"/>
    <x v="0"/>
    <x v="0"/>
    <x v="0"/>
    <s v="DK1_Large"/>
    <x v="2"/>
    <x v="18"/>
    <x v="0"/>
    <x v="22"/>
    <n v="156.78260869565199"/>
    <n v="57225.652173913099"/>
    <n v="206012.347826087"/>
  </r>
  <r>
    <x v="0"/>
    <x v="0"/>
    <x v="0"/>
    <x v="0"/>
    <x v="0"/>
    <s v="DK1_Large"/>
    <x v="2"/>
    <x v="18"/>
    <x v="0"/>
    <x v="23"/>
    <n v="156.78260869565199"/>
    <n v="57225.652173913099"/>
    <n v="206012.347826087"/>
  </r>
  <r>
    <x v="0"/>
    <x v="0"/>
    <x v="0"/>
    <x v="0"/>
    <x v="0"/>
    <s v="DK1_Large"/>
    <x v="2"/>
    <x v="19"/>
    <x v="0"/>
    <x v="0"/>
    <n v="66.296296296296404"/>
    <n v="24198.148148148201"/>
    <n v="87113.333333333503"/>
  </r>
  <r>
    <x v="0"/>
    <x v="0"/>
    <x v="0"/>
    <x v="0"/>
    <x v="0"/>
    <s v="DK1_Large"/>
    <x v="2"/>
    <x v="19"/>
    <x v="0"/>
    <x v="1"/>
    <n v="66.296296296296404"/>
    <n v="24198.148148148201"/>
    <n v="87113.333333333503"/>
  </r>
  <r>
    <x v="0"/>
    <x v="0"/>
    <x v="0"/>
    <x v="0"/>
    <x v="0"/>
    <s v="DK1_Large"/>
    <x v="2"/>
    <x v="19"/>
    <x v="0"/>
    <x v="2"/>
    <n v="66.296296296296404"/>
    <n v="24198.148148148201"/>
    <n v="87113.333333333503"/>
  </r>
  <r>
    <x v="0"/>
    <x v="0"/>
    <x v="0"/>
    <x v="0"/>
    <x v="0"/>
    <s v="DK1_Large"/>
    <x v="2"/>
    <x v="19"/>
    <x v="0"/>
    <x v="3"/>
    <n v="66.296296296296404"/>
    <n v="24198.148148148201"/>
    <n v="87113.333333333503"/>
  </r>
  <r>
    <x v="0"/>
    <x v="0"/>
    <x v="0"/>
    <x v="0"/>
    <x v="0"/>
    <s v="DK1_Large"/>
    <x v="2"/>
    <x v="19"/>
    <x v="0"/>
    <x v="4"/>
    <n v="66.296296296296404"/>
    <n v="24198.148148148201"/>
    <n v="87113.333333333503"/>
  </r>
  <r>
    <x v="0"/>
    <x v="0"/>
    <x v="0"/>
    <x v="0"/>
    <x v="0"/>
    <s v="DK1_Large"/>
    <x v="2"/>
    <x v="19"/>
    <x v="0"/>
    <x v="5"/>
    <n v="66.296296296296404"/>
    <n v="24198.148148148201"/>
    <n v="87113.333333333503"/>
  </r>
  <r>
    <x v="0"/>
    <x v="0"/>
    <x v="0"/>
    <x v="0"/>
    <x v="0"/>
    <s v="DK1_Large"/>
    <x v="2"/>
    <x v="19"/>
    <x v="0"/>
    <x v="6"/>
    <n v="66.296296296296404"/>
    <n v="24198.148148148201"/>
    <n v="87113.333333333503"/>
  </r>
  <r>
    <x v="0"/>
    <x v="0"/>
    <x v="0"/>
    <x v="0"/>
    <x v="0"/>
    <s v="DK1_Large"/>
    <x v="2"/>
    <x v="19"/>
    <x v="0"/>
    <x v="7"/>
    <n v="66.296296296296404"/>
    <n v="24198.148148148201"/>
    <n v="87113.333333333503"/>
  </r>
  <r>
    <x v="0"/>
    <x v="0"/>
    <x v="0"/>
    <x v="0"/>
    <x v="0"/>
    <s v="DK1_Large"/>
    <x v="2"/>
    <x v="19"/>
    <x v="0"/>
    <x v="8"/>
    <n v="66.296296296296404"/>
    <n v="24198.148148148201"/>
    <n v="87113.333333333503"/>
  </r>
  <r>
    <x v="0"/>
    <x v="0"/>
    <x v="0"/>
    <x v="0"/>
    <x v="0"/>
    <s v="DK1_Large"/>
    <x v="2"/>
    <x v="19"/>
    <x v="0"/>
    <x v="9"/>
    <n v="66.296296296296404"/>
    <n v="24198.148148148201"/>
    <n v="87113.333333333503"/>
  </r>
  <r>
    <x v="0"/>
    <x v="0"/>
    <x v="0"/>
    <x v="0"/>
    <x v="0"/>
    <s v="DK1_Large"/>
    <x v="2"/>
    <x v="19"/>
    <x v="0"/>
    <x v="10"/>
    <n v="66.296296296296404"/>
    <n v="24198.148148148201"/>
    <n v="87113.333333333503"/>
  </r>
  <r>
    <x v="0"/>
    <x v="0"/>
    <x v="0"/>
    <x v="0"/>
    <x v="0"/>
    <s v="DK1_Large"/>
    <x v="2"/>
    <x v="19"/>
    <x v="0"/>
    <x v="11"/>
    <n v="66.296296296296404"/>
    <n v="24198.148148148201"/>
    <n v="87113.333333333503"/>
  </r>
  <r>
    <x v="0"/>
    <x v="0"/>
    <x v="0"/>
    <x v="0"/>
    <x v="0"/>
    <s v="DK1_Large"/>
    <x v="2"/>
    <x v="19"/>
    <x v="0"/>
    <x v="12"/>
    <n v="66.296296296296404"/>
    <n v="24198.148148148201"/>
    <n v="87113.333333333503"/>
  </r>
  <r>
    <x v="0"/>
    <x v="0"/>
    <x v="0"/>
    <x v="0"/>
    <x v="0"/>
    <s v="DK1_Large"/>
    <x v="2"/>
    <x v="19"/>
    <x v="0"/>
    <x v="13"/>
    <n v="66.296296296296404"/>
    <n v="24198.148148148201"/>
    <n v="87113.333333333503"/>
  </r>
  <r>
    <x v="0"/>
    <x v="0"/>
    <x v="0"/>
    <x v="0"/>
    <x v="0"/>
    <s v="DK1_Large"/>
    <x v="2"/>
    <x v="19"/>
    <x v="0"/>
    <x v="14"/>
    <n v="66.296296296296404"/>
    <n v="24198.148148148201"/>
    <n v="87113.333333333503"/>
  </r>
  <r>
    <x v="0"/>
    <x v="0"/>
    <x v="0"/>
    <x v="0"/>
    <x v="0"/>
    <s v="DK1_Large"/>
    <x v="2"/>
    <x v="19"/>
    <x v="0"/>
    <x v="15"/>
    <n v="66.296296296296404"/>
    <n v="24198.148148148201"/>
    <n v="87113.333333333503"/>
  </r>
  <r>
    <x v="0"/>
    <x v="0"/>
    <x v="0"/>
    <x v="0"/>
    <x v="0"/>
    <s v="DK1_Large"/>
    <x v="2"/>
    <x v="19"/>
    <x v="0"/>
    <x v="16"/>
    <n v="66.296296296296404"/>
    <n v="24198.148148148201"/>
    <n v="87113.333333333503"/>
  </r>
  <r>
    <x v="0"/>
    <x v="0"/>
    <x v="0"/>
    <x v="0"/>
    <x v="0"/>
    <s v="DK1_Large"/>
    <x v="2"/>
    <x v="19"/>
    <x v="0"/>
    <x v="17"/>
    <n v="66.296296296296404"/>
    <n v="24198.148148148201"/>
    <n v="87113.333333333503"/>
  </r>
  <r>
    <x v="0"/>
    <x v="0"/>
    <x v="0"/>
    <x v="0"/>
    <x v="0"/>
    <s v="DK1_Large"/>
    <x v="2"/>
    <x v="19"/>
    <x v="0"/>
    <x v="18"/>
    <n v="66.296296296296404"/>
    <n v="24198.148148148201"/>
    <n v="87113.333333333503"/>
  </r>
  <r>
    <x v="0"/>
    <x v="0"/>
    <x v="0"/>
    <x v="0"/>
    <x v="0"/>
    <s v="DK1_Large"/>
    <x v="2"/>
    <x v="19"/>
    <x v="0"/>
    <x v="19"/>
    <n v="66.296296296296404"/>
    <n v="24198.148148148201"/>
    <n v="87113.333333333503"/>
  </r>
  <r>
    <x v="0"/>
    <x v="0"/>
    <x v="0"/>
    <x v="0"/>
    <x v="0"/>
    <s v="DK1_Large"/>
    <x v="2"/>
    <x v="19"/>
    <x v="0"/>
    <x v="20"/>
    <n v="66.296296296296404"/>
    <n v="24198.148148148201"/>
    <n v="87113.333333333503"/>
  </r>
  <r>
    <x v="0"/>
    <x v="0"/>
    <x v="0"/>
    <x v="0"/>
    <x v="0"/>
    <s v="DK1_Large"/>
    <x v="2"/>
    <x v="19"/>
    <x v="0"/>
    <x v="21"/>
    <n v="66.296296296296404"/>
    <n v="24198.148148148201"/>
    <n v="87113.333333333503"/>
  </r>
  <r>
    <x v="0"/>
    <x v="0"/>
    <x v="0"/>
    <x v="0"/>
    <x v="0"/>
    <s v="DK1_Large"/>
    <x v="2"/>
    <x v="19"/>
    <x v="0"/>
    <x v="22"/>
    <n v="66.296296296296404"/>
    <n v="24198.148148148201"/>
    <n v="87113.333333333503"/>
  </r>
  <r>
    <x v="0"/>
    <x v="0"/>
    <x v="0"/>
    <x v="0"/>
    <x v="0"/>
    <s v="DK1_Large"/>
    <x v="2"/>
    <x v="19"/>
    <x v="0"/>
    <x v="23"/>
    <n v="66.296296296296404"/>
    <n v="24198.148148148201"/>
    <n v="87113.333333333503"/>
  </r>
  <r>
    <x v="0"/>
    <x v="0"/>
    <x v="0"/>
    <x v="0"/>
    <x v="0"/>
    <s v="DK1_Large"/>
    <x v="3"/>
    <x v="20"/>
    <x v="0"/>
    <x v="0"/>
    <n v="13.025"/>
    <n v="4754.125"/>
    <n v="17114.849999999999"/>
  </r>
  <r>
    <x v="0"/>
    <x v="0"/>
    <x v="0"/>
    <x v="0"/>
    <x v="0"/>
    <s v="DK1_Large"/>
    <x v="3"/>
    <x v="20"/>
    <x v="0"/>
    <x v="1"/>
    <n v="13.025"/>
    <n v="4754.125"/>
    <n v="17114.849999999999"/>
  </r>
  <r>
    <x v="0"/>
    <x v="0"/>
    <x v="0"/>
    <x v="0"/>
    <x v="0"/>
    <s v="DK1_Large"/>
    <x v="3"/>
    <x v="20"/>
    <x v="0"/>
    <x v="2"/>
    <n v="13.025"/>
    <n v="4754.125"/>
    <n v="17114.849999999999"/>
  </r>
  <r>
    <x v="0"/>
    <x v="0"/>
    <x v="0"/>
    <x v="0"/>
    <x v="0"/>
    <s v="DK1_Large"/>
    <x v="3"/>
    <x v="20"/>
    <x v="0"/>
    <x v="3"/>
    <n v="13.025"/>
    <n v="4754.125"/>
    <n v="17114.849999999999"/>
  </r>
  <r>
    <x v="0"/>
    <x v="0"/>
    <x v="0"/>
    <x v="0"/>
    <x v="0"/>
    <s v="DK1_Large"/>
    <x v="3"/>
    <x v="20"/>
    <x v="0"/>
    <x v="4"/>
    <n v="13.025"/>
    <n v="4754.125"/>
    <n v="17114.849999999999"/>
  </r>
  <r>
    <x v="0"/>
    <x v="0"/>
    <x v="0"/>
    <x v="0"/>
    <x v="0"/>
    <s v="DK1_Large"/>
    <x v="3"/>
    <x v="20"/>
    <x v="0"/>
    <x v="5"/>
    <n v="13.025"/>
    <n v="4754.125"/>
    <n v="17114.849999999999"/>
  </r>
  <r>
    <x v="0"/>
    <x v="0"/>
    <x v="0"/>
    <x v="0"/>
    <x v="0"/>
    <s v="DK1_Large"/>
    <x v="3"/>
    <x v="20"/>
    <x v="0"/>
    <x v="6"/>
    <n v="13.025"/>
    <n v="4754.125"/>
    <n v="17114.849999999999"/>
  </r>
  <r>
    <x v="0"/>
    <x v="0"/>
    <x v="0"/>
    <x v="0"/>
    <x v="0"/>
    <s v="DK1_Large"/>
    <x v="3"/>
    <x v="20"/>
    <x v="0"/>
    <x v="7"/>
    <n v="13.025"/>
    <n v="4754.125"/>
    <n v="17114.849999999999"/>
  </r>
  <r>
    <x v="0"/>
    <x v="0"/>
    <x v="0"/>
    <x v="0"/>
    <x v="0"/>
    <s v="DK1_Large"/>
    <x v="3"/>
    <x v="20"/>
    <x v="0"/>
    <x v="8"/>
    <n v="13.025"/>
    <n v="4754.125"/>
    <n v="17114.849999999999"/>
  </r>
  <r>
    <x v="0"/>
    <x v="0"/>
    <x v="0"/>
    <x v="0"/>
    <x v="0"/>
    <s v="DK1_Large"/>
    <x v="3"/>
    <x v="20"/>
    <x v="0"/>
    <x v="9"/>
    <n v="13.025"/>
    <n v="4754.125"/>
    <n v="17114.849999999999"/>
  </r>
  <r>
    <x v="0"/>
    <x v="0"/>
    <x v="0"/>
    <x v="0"/>
    <x v="0"/>
    <s v="DK1_Large"/>
    <x v="3"/>
    <x v="20"/>
    <x v="0"/>
    <x v="10"/>
    <n v="13.025"/>
    <n v="4754.125"/>
    <n v="17114.849999999999"/>
  </r>
  <r>
    <x v="0"/>
    <x v="0"/>
    <x v="0"/>
    <x v="0"/>
    <x v="0"/>
    <s v="DK1_Large"/>
    <x v="3"/>
    <x v="20"/>
    <x v="0"/>
    <x v="11"/>
    <n v="13.025"/>
    <n v="4754.125"/>
    <n v="17114.849999999999"/>
  </r>
  <r>
    <x v="0"/>
    <x v="0"/>
    <x v="0"/>
    <x v="0"/>
    <x v="0"/>
    <s v="DK1_Large"/>
    <x v="3"/>
    <x v="20"/>
    <x v="0"/>
    <x v="12"/>
    <n v="13.025"/>
    <n v="4754.125"/>
    <n v="17114.849999999999"/>
  </r>
  <r>
    <x v="0"/>
    <x v="0"/>
    <x v="0"/>
    <x v="0"/>
    <x v="0"/>
    <s v="DK1_Large"/>
    <x v="3"/>
    <x v="20"/>
    <x v="0"/>
    <x v="13"/>
    <n v="13.025"/>
    <n v="4754.125"/>
    <n v="17114.849999999999"/>
  </r>
  <r>
    <x v="0"/>
    <x v="0"/>
    <x v="0"/>
    <x v="0"/>
    <x v="0"/>
    <s v="DK1_Large"/>
    <x v="3"/>
    <x v="20"/>
    <x v="0"/>
    <x v="14"/>
    <n v="13.025"/>
    <n v="4754.125"/>
    <n v="17114.849999999999"/>
  </r>
  <r>
    <x v="0"/>
    <x v="0"/>
    <x v="0"/>
    <x v="0"/>
    <x v="0"/>
    <s v="DK1_Large"/>
    <x v="3"/>
    <x v="20"/>
    <x v="0"/>
    <x v="15"/>
    <n v="13.025"/>
    <n v="4754.125"/>
    <n v="17114.849999999999"/>
  </r>
  <r>
    <x v="0"/>
    <x v="0"/>
    <x v="0"/>
    <x v="0"/>
    <x v="0"/>
    <s v="DK1_Large"/>
    <x v="3"/>
    <x v="20"/>
    <x v="0"/>
    <x v="16"/>
    <n v="13.025"/>
    <n v="4754.125"/>
    <n v="17114.849999999999"/>
  </r>
  <r>
    <x v="0"/>
    <x v="0"/>
    <x v="0"/>
    <x v="0"/>
    <x v="0"/>
    <s v="DK1_Large"/>
    <x v="3"/>
    <x v="20"/>
    <x v="0"/>
    <x v="17"/>
    <n v="13.025"/>
    <n v="4754.125"/>
    <n v="17114.849999999999"/>
  </r>
  <r>
    <x v="0"/>
    <x v="0"/>
    <x v="0"/>
    <x v="0"/>
    <x v="0"/>
    <s v="DK1_Large"/>
    <x v="3"/>
    <x v="20"/>
    <x v="0"/>
    <x v="18"/>
    <n v="13.025"/>
    <n v="4754.125"/>
    <n v="17114.849999999999"/>
  </r>
  <r>
    <x v="0"/>
    <x v="0"/>
    <x v="0"/>
    <x v="0"/>
    <x v="0"/>
    <s v="DK1_Large"/>
    <x v="3"/>
    <x v="20"/>
    <x v="0"/>
    <x v="19"/>
    <n v="13.025"/>
    <n v="4754.125"/>
    <n v="17114.849999999999"/>
  </r>
  <r>
    <x v="0"/>
    <x v="0"/>
    <x v="0"/>
    <x v="0"/>
    <x v="0"/>
    <s v="DK1_Large"/>
    <x v="3"/>
    <x v="20"/>
    <x v="0"/>
    <x v="20"/>
    <n v="13.025"/>
    <n v="4754.125"/>
    <n v="17114.849999999999"/>
  </r>
  <r>
    <x v="0"/>
    <x v="0"/>
    <x v="0"/>
    <x v="0"/>
    <x v="0"/>
    <s v="DK1_Large"/>
    <x v="3"/>
    <x v="20"/>
    <x v="0"/>
    <x v="21"/>
    <n v="13.025"/>
    <n v="4754.125"/>
    <n v="17114.849999999999"/>
  </r>
  <r>
    <x v="0"/>
    <x v="0"/>
    <x v="0"/>
    <x v="0"/>
    <x v="0"/>
    <s v="DK1_Large"/>
    <x v="3"/>
    <x v="20"/>
    <x v="0"/>
    <x v="22"/>
    <n v="13.025"/>
    <n v="4754.125"/>
    <n v="17114.849999999999"/>
  </r>
  <r>
    <x v="0"/>
    <x v="0"/>
    <x v="0"/>
    <x v="0"/>
    <x v="0"/>
    <s v="DK1_Large"/>
    <x v="3"/>
    <x v="20"/>
    <x v="0"/>
    <x v="23"/>
    <n v="13.025"/>
    <n v="4754.125"/>
    <n v="17114.849999999999"/>
  </r>
  <r>
    <x v="0"/>
    <x v="0"/>
    <x v="0"/>
    <x v="0"/>
    <x v="0"/>
    <s v="DK1_Large"/>
    <x v="3"/>
    <x v="21"/>
    <x v="0"/>
    <x v="0"/>
    <n v="9.2682926829268393"/>
    <n v="3382.9268292683"/>
    <n v="12178.5365853659"/>
  </r>
  <r>
    <x v="0"/>
    <x v="0"/>
    <x v="0"/>
    <x v="0"/>
    <x v="0"/>
    <s v="DK1_Large"/>
    <x v="3"/>
    <x v="21"/>
    <x v="0"/>
    <x v="1"/>
    <n v="9.2682926829268393"/>
    <n v="3382.9268292683"/>
    <n v="12178.5365853659"/>
  </r>
  <r>
    <x v="0"/>
    <x v="0"/>
    <x v="0"/>
    <x v="0"/>
    <x v="0"/>
    <s v="DK1_Large"/>
    <x v="3"/>
    <x v="21"/>
    <x v="0"/>
    <x v="2"/>
    <n v="9.2682926829268393"/>
    <n v="3382.9268292683"/>
    <n v="12178.5365853659"/>
  </r>
  <r>
    <x v="0"/>
    <x v="0"/>
    <x v="0"/>
    <x v="0"/>
    <x v="0"/>
    <s v="DK1_Large"/>
    <x v="3"/>
    <x v="21"/>
    <x v="0"/>
    <x v="3"/>
    <n v="9.2682926829268393"/>
    <n v="3382.9268292683"/>
    <n v="12178.5365853659"/>
  </r>
  <r>
    <x v="0"/>
    <x v="0"/>
    <x v="0"/>
    <x v="0"/>
    <x v="0"/>
    <s v="DK1_Large"/>
    <x v="3"/>
    <x v="21"/>
    <x v="0"/>
    <x v="4"/>
    <n v="9.2682926829268393"/>
    <n v="3382.9268292683"/>
    <n v="12178.5365853659"/>
  </r>
  <r>
    <x v="0"/>
    <x v="0"/>
    <x v="0"/>
    <x v="0"/>
    <x v="0"/>
    <s v="DK1_Large"/>
    <x v="3"/>
    <x v="21"/>
    <x v="0"/>
    <x v="5"/>
    <n v="9.2682926829268393"/>
    <n v="3382.9268292683"/>
    <n v="12178.5365853659"/>
  </r>
  <r>
    <x v="0"/>
    <x v="0"/>
    <x v="0"/>
    <x v="0"/>
    <x v="0"/>
    <s v="DK1_Large"/>
    <x v="3"/>
    <x v="21"/>
    <x v="0"/>
    <x v="6"/>
    <n v="9.2682926829268393"/>
    <n v="3382.9268292683"/>
    <n v="12178.5365853659"/>
  </r>
  <r>
    <x v="0"/>
    <x v="0"/>
    <x v="0"/>
    <x v="0"/>
    <x v="0"/>
    <s v="DK1_Large"/>
    <x v="3"/>
    <x v="21"/>
    <x v="0"/>
    <x v="7"/>
    <n v="9.2682926829268393"/>
    <n v="3382.9268292683"/>
    <n v="12178.5365853659"/>
  </r>
  <r>
    <x v="0"/>
    <x v="0"/>
    <x v="0"/>
    <x v="0"/>
    <x v="0"/>
    <s v="DK1_Large"/>
    <x v="3"/>
    <x v="21"/>
    <x v="0"/>
    <x v="8"/>
    <n v="9.2682926829268393"/>
    <n v="3382.9268292683"/>
    <n v="12178.5365853659"/>
  </r>
  <r>
    <x v="0"/>
    <x v="0"/>
    <x v="0"/>
    <x v="0"/>
    <x v="0"/>
    <s v="DK1_Large"/>
    <x v="3"/>
    <x v="21"/>
    <x v="0"/>
    <x v="9"/>
    <n v="9.2682926829268393"/>
    <n v="3382.9268292683"/>
    <n v="12178.5365853659"/>
  </r>
  <r>
    <x v="0"/>
    <x v="0"/>
    <x v="0"/>
    <x v="0"/>
    <x v="0"/>
    <s v="DK1_Large"/>
    <x v="3"/>
    <x v="21"/>
    <x v="0"/>
    <x v="10"/>
    <n v="9.2682926829268393"/>
    <n v="3382.9268292683"/>
    <n v="12178.5365853659"/>
  </r>
  <r>
    <x v="0"/>
    <x v="0"/>
    <x v="0"/>
    <x v="0"/>
    <x v="0"/>
    <s v="DK1_Large"/>
    <x v="3"/>
    <x v="21"/>
    <x v="0"/>
    <x v="11"/>
    <n v="9.2682926829268393"/>
    <n v="3382.9268292683"/>
    <n v="12178.5365853659"/>
  </r>
  <r>
    <x v="0"/>
    <x v="0"/>
    <x v="0"/>
    <x v="0"/>
    <x v="0"/>
    <s v="DK1_Large"/>
    <x v="3"/>
    <x v="21"/>
    <x v="0"/>
    <x v="12"/>
    <n v="9.2682926829268393"/>
    <n v="3382.9268292683"/>
    <n v="12178.5365853659"/>
  </r>
  <r>
    <x v="0"/>
    <x v="0"/>
    <x v="0"/>
    <x v="0"/>
    <x v="0"/>
    <s v="DK1_Large"/>
    <x v="3"/>
    <x v="21"/>
    <x v="0"/>
    <x v="13"/>
    <n v="9.2682926829268393"/>
    <n v="3382.9268292683"/>
    <n v="12178.5365853659"/>
  </r>
  <r>
    <x v="0"/>
    <x v="0"/>
    <x v="0"/>
    <x v="0"/>
    <x v="0"/>
    <s v="DK1_Large"/>
    <x v="3"/>
    <x v="21"/>
    <x v="0"/>
    <x v="14"/>
    <n v="9.2682926829268393"/>
    <n v="3382.9268292683"/>
    <n v="12178.5365853659"/>
  </r>
  <r>
    <x v="0"/>
    <x v="0"/>
    <x v="0"/>
    <x v="0"/>
    <x v="0"/>
    <s v="DK1_Large"/>
    <x v="3"/>
    <x v="21"/>
    <x v="0"/>
    <x v="15"/>
    <n v="9.2682926829268393"/>
    <n v="3382.9268292683"/>
    <n v="12178.5365853659"/>
  </r>
  <r>
    <x v="0"/>
    <x v="0"/>
    <x v="0"/>
    <x v="0"/>
    <x v="0"/>
    <s v="DK1_Large"/>
    <x v="3"/>
    <x v="21"/>
    <x v="0"/>
    <x v="16"/>
    <n v="9.2682926829268393"/>
    <n v="3382.9268292683"/>
    <n v="12178.5365853659"/>
  </r>
  <r>
    <x v="0"/>
    <x v="0"/>
    <x v="0"/>
    <x v="0"/>
    <x v="0"/>
    <s v="DK1_Large"/>
    <x v="3"/>
    <x v="21"/>
    <x v="0"/>
    <x v="17"/>
    <n v="9.2682926829268393"/>
    <n v="3382.9268292683"/>
    <n v="12178.5365853659"/>
  </r>
  <r>
    <x v="0"/>
    <x v="0"/>
    <x v="0"/>
    <x v="0"/>
    <x v="0"/>
    <s v="DK1_Large"/>
    <x v="3"/>
    <x v="21"/>
    <x v="0"/>
    <x v="18"/>
    <n v="9.2682926829268393"/>
    <n v="3382.9268292683"/>
    <n v="12178.5365853659"/>
  </r>
  <r>
    <x v="0"/>
    <x v="0"/>
    <x v="0"/>
    <x v="0"/>
    <x v="0"/>
    <s v="DK1_Large"/>
    <x v="3"/>
    <x v="21"/>
    <x v="0"/>
    <x v="19"/>
    <n v="9.2682926829268393"/>
    <n v="3382.9268292683"/>
    <n v="12178.5365853659"/>
  </r>
  <r>
    <x v="0"/>
    <x v="0"/>
    <x v="0"/>
    <x v="0"/>
    <x v="0"/>
    <s v="DK1_Large"/>
    <x v="3"/>
    <x v="21"/>
    <x v="0"/>
    <x v="20"/>
    <n v="9.2682926829268393"/>
    <n v="3382.9268292683"/>
    <n v="12178.5365853659"/>
  </r>
  <r>
    <x v="0"/>
    <x v="0"/>
    <x v="0"/>
    <x v="0"/>
    <x v="0"/>
    <s v="DK1_Large"/>
    <x v="3"/>
    <x v="21"/>
    <x v="0"/>
    <x v="21"/>
    <n v="9.2682926829268393"/>
    <n v="3382.9268292683"/>
    <n v="12178.5365853659"/>
  </r>
  <r>
    <x v="0"/>
    <x v="0"/>
    <x v="0"/>
    <x v="0"/>
    <x v="0"/>
    <s v="DK1_Large"/>
    <x v="3"/>
    <x v="21"/>
    <x v="0"/>
    <x v="22"/>
    <n v="9.2682926829268393"/>
    <n v="3382.9268292683"/>
    <n v="12178.5365853659"/>
  </r>
  <r>
    <x v="0"/>
    <x v="0"/>
    <x v="0"/>
    <x v="0"/>
    <x v="0"/>
    <s v="DK1_Large"/>
    <x v="3"/>
    <x v="21"/>
    <x v="0"/>
    <x v="23"/>
    <n v="9.2682926829268393"/>
    <n v="3382.9268292683"/>
    <n v="12178.5365853659"/>
  </r>
  <r>
    <x v="0"/>
    <x v="0"/>
    <x v="0"/>
    <x v="0"/>
    <x v="0"/>
    <s v="DK1_Large"/>
    <x v="3"/>
    <x v="22"/>
    <x v="0"/>
    <x v="0"/>
    <n v="5.3809523809523796"/>
    <n v="1964.0476190476199"/>
    <n v="7070.5714285714303"/>
  </r>
  <r>
    <x v="0"/>
    <x v="0"/>
    <x v="0"/>
    <x v="0"/>
    <x v="0"/>
    <s v="DK1_Large"/>
    <x v="3"/>
    <x v="22"/>
    <x v="0"/>
    <x v="1"/>
    <n v="5.3809523809523796"/>
    <n v="1964.0476190476199"/>
    <n v="7070.5714285714303"/>
  </r>
  <r>
    <x v="0"/>
    <x v="0"/>
    <x v="0"/>
    <x v="0"/>
    <x v="0"/>
    <s v="DK1_Large"/>
    <x v="3"/>
    <x v="22"/>
    <x v="0"/>
    <x v="2"/>
    <n v="5.3809523809523796"/>
    <n v="1964.0476190476199"/>
    <n v="7070.5714285714303"/>
  </r>
  <r>
    <x v="0"/>
    <x v="0"/>
    <x v="0"/>
    <x v="0"/>
    <x v="0"/>
    <s v="DK1_Large"/>
    <x v="3"/>
    <x v="22"/>
    <x v="0"/>
    <x v="3"/>
    <n v="5.3809523809523796"/>
    <n v="1964.0476190476199"/>
    <n v="7070.5714285714303"/>
  </r>
  <r>
    <x v="0"/>
    <x v="0"/>
    <x v="0"/>
    <x v="0"/>
    <x v="0"/>
    <s v="DK1_Large"/>
    <x v="3"/>
    <x v="22"/>
    <x v="0"/>
    <x v="4"/>
    <n v="5.3809523809523796"/>
    <n v="1964.0476190476199"/>
    <n v="7070.5714285714303"/>
  </r>
  <r>
    <x v="0"/>
    <x v="0"/>
    <x v="0"/>
    <x v="0"/>
    <x v="0"/>
    <s v="DK1_Large"/>
    <x v="3"/>
    <x v="22"/>
    <x v="0"/>
    <x v="5"/>
    <n v="5.3809523809523796"/>
    <n v="1964.0476190476199"/>
    <n v="7070.5714285714303"/>
  </r>
  <r>
    <x v="0"/>
    <x v="0"/>
    <x v="0"/>
    <x v="0"/>
    <x v="0"/>
    <s v="DK1_Large"/>
    <x v="3"/>
    <x v="22"/>
    <x v="0"/>
    <x v="6"/>
    <n v="5.3809523809523796"/>
    <n v="1964.0476190476199"/>
    <n v="7070.5714285714303"/>
  </r>
  <r>
    <x v="0"/>
    <x v="0"/>
    <x v="0"/>
    <x v="0"/>
    <x v="0"/>
    <s v="DK1_Large"/>
    <x v="3"/>
    <x v="22"/>
    <x v="0"/>
    <x v="7"/>
    <n v="5.3809523809523796"/>
    <n v="1964.0476190476199"/>
    <n v="7070.5714285714303"/>
  </r>
  <r>
    <x v="0"/>
    <x v="0"/>
    <x v="0"/>
    <x v="0"/>
    <x v="0"/>
    <s v="DK1_Large"/>
    <x v="3"/>
    <x v="22"/>
    <x v="0"/>
    <x v="8"/>
    <n v="5.3809523809523796"/>
    <n v="1964.0476190476199"/>
    <n v="7070.5714285714303"/>
  </r>
  <r>
    <x v="0"/>
    <x v="0"/>
    <x v="0"/>
    <x v="0"/>
    <x v="0"/>
    <s v="DK1_Large"/>
    <x v="3"/>
    <x v="22"/>
    <x v="0"/>
    <x v="9"/>
    <n v="5.3809523809523796"/>
    <n v="1964.0476190476199"/>
    <n v="7070.5714285714303"/>
  </r>
  <r>
    <x v="0"/>
    <x v="0"/>
    <x v="0"/>
    <x v="0"/>
    <x v="0"/>
    <s v="DK1_Large"/>
    <x v="3"/>
    <x v="22"/>
    <x v="0"/>
    <x v="10"/>
    <n v="5.3809523809523796"/>
    <n v="1964.0476190476199"/>
    <n v="7070.5714285714303"/>
  </r>
  <r>
    <x v="0"/>
    <x v="0"/>
    <x v="0"/>
    <x v="0"/>
    <x v="0"/>
    <s v="DK1_Large"/>
    <x v="3"/>
    <x v="22"/>
    <x v="0"/>
    <x v="11"/>
    <n v="5.3809523809523796"/>
    <n v="1964.0476190476199"/>
    <n v="7070.5714285714303"/>
  </r>
  <r>
    <x v="0"/>
    <x v="0"/>
    <x v="0"/>
    <x v="0"/>
    <x v="0"/>
    <s v="DK1_Large"/>
    <x v="3"/>
    <x v="22"/>
    <x v="0"/>
    <x v="12"/>
    <n v="5.3809523809523796"/>
    <n v="1964.0476190476199"/>
    <n v="7070.5714285714303"/>
  </r>
  <r>
    <x v="0"/>
    <x v="0"/>
    <x v="0"/>
    <x v="0"/>
    <x v="0"/>
    <s v="DK1_Large"/>
    <x v="3"/>
    <x v="22"/>
    <x v="0"/>
    <x v="13"/>
    <n v="5.3809523809523796"/>
    <n v="1964.0476190476199"/>
    <n v="7070.5714285714303"/>
  </r>
  <r>
    <x v="0"/>
    <x v="0"/>
    <x v="0"/>
    <x v="0"/>
    <x v="0"/>
    <s v="DK1_Large"/>
    <x v="3"/>
    <x v="22"/>
    <x v="0"/>
    <x v="14"/>
    <n v="5.3809523809523796"/>
    <n v="1964.0476190476199"/>
    <n v="7070.5714285714303"/>
  </r>
  <r>
    <x v="0"/>
    <x v="0"/>
    <x v="0"/>
    <x v="0"/>
    <x v="0"/>
    <s v="DK1_Large"/>
    <x v="3"/>
    <x v="22"/>
    <x v="0"/>
    <x v="15"/>
    <n v="5.3809523809523796"/>
    <n v="1964.0476190476199"/>
    <n v="7070.5714285714303"/>
  </r>
  <r>
    <x v="0"/>
    <x v="0"/>
    <x v="0"/>
    <x v="0"/>
    <x v="0"/>
    <s v="DK1_Large"/>
    <x v="3"/>
    <x v="22"/>
    <x v="0"/>
    <x v="16"/>
    <n v="5.3809523809523796"/>
    <n v="1964.0476190476199"/>
    <n v="7070.5714285714303"/>
  </r>
  <r>
    <x v="0"/>
    <x v="0"/>
    <x v="0"/>
    <x v="0"/>
    <x v="0"/>
    <s v="DK1_Large"/>
    <x v="3"/>
    <x v="22"/>
    <x v="0"/>
    <x v="17"/>
    <n v="5.3809523809523796"/>
    <n v="1964.0476190476199"/>
    <n v="7070.5714285714303"/>
  </r>
  <r>
    <x v="0"/>
    <x v="0"/>
    <x v="0"/>
    <x v="0"/>
    <x v="0"/>
    <s v="DK1_Large"/>
    <x v="3"/>
    <x v="22"/>
    <x v="0"/>
    <x v="18"/>
    <n v="5.3809523809523796"/>
    <n v="1964.0476190476199"/>
    <n v="7070.5714285714303"/>
  </r>
  <r>
    <x v="0"/>
    <x v="0"/>
    <x v="0"/>
    <x v="0"/>
    <x v="0"/>
    <s v="DK1_Large"/>
    <x v="3"/>
    <x v="22"/>
    <x v="0"/>
    <x v="19"/>
    <n v="5.3809523809523796"/>
    <n v="1964.0476190476199"/>
    <n v="7070.5714285714303"/>
  </r>
  <r>
    <x v="0"/>
    <x v="0"/>
    <x v="0"/>
    <x v="0"/>
    <x v="0"/>
    <s v="DK1_Large"/>
    <x v="3"/>
    <x v="22"/>
    <x v="0"/>
    <x v="20"/>
    <n v="5.3809523809523796"/>
    <n v="1964.0476190476199"/>
    <n v="7070.5714285714303"/>
  </r>
  <r>
    <x v="0"/>
    <x v="0"/>
    <x v="0"/>
    <x v="0"/>
    <x v="0"/>
    <s v="DK1_Large"/>
    <x v="3"/>
    <x v="22"/>
    <x v="0"/>
    <x v="21"/>
    <n v="5.3809523809523796"/>
    <n v="1964.0476190476199"/>
    <n v="7070.5714285714303"/>
  </r>
  <r>
    <x v="0"/>
    <x v="0"/>
    <x v="0"/>
    <x v="0"/>
    <x v="0"/>
    <s v="DK1_Large"/>
    <x v="3"/>
    <x v="22"/>
    <x v="0"/>
    <x v="22"/>
    <n v="5.3809523809523796"/>
    <n v="1964.0476190476199"/>
    <n v="7070.5714285714303"/>
  </r>
  <r>
    <x v="0"/>
    <x v="0"/>
    <x v="0"/>
    <x v="0"/>
    <x v="0"/>
    <s v="DK1_Large"/>
    <x v="3"/>
    <x v="22"/>
    <x v="0"/>
    <x v="23"/>
    <n v="5.3809523809523796"/>
    <n v="1964.0476190476199"/>
    <n v="7070.5714285714303"/>
  </r>
  <r>
    <x v="0"/>
    <x v="0"/>
    <x v="0"/>
    <x v="0"/>
    <x v="0"/>
    <s v="DK1_Large"/>
    <x v="3"/>
    <x v="23"/>
    <x v="0"/>
    <x v="0"/>
    <n v="20.906976744186"/>
    <n v="7631.0465116279001"/>
    <n v="27471.767441860498"/>
  </r>
  <r>
    <x v="0"/>
    <x v="0"/>
    <x v="0"/>
    <x v="0"/>
    <x v="0"/>
    <s v="DK1_Large"/>
    <x v="3"/>
    <x v="23"/>
    <x v="0"/>
    <x v="1"/>
    <n v="20.906976744186"/>
    <n v="7631.0465116279001"/>
    <n v="27471.767441860498"/>
  </r>
  <r>
    <x v="0"/>
    <x v="0"/>
    <x v="0"/>
    <x v="0"/>
    <x v="0"/>
    <s v="DK1_Large"/>
    <x v="3"/>
    <x v="23"/>
    <x v="0"/>
    <x v="2"/>
    <n v="20.906976744186"/>
    <n v="7631.0465116279001"/>
    <n v="27471.767441860498"/>
  </r>
  <r>
    <x v="0"/>
    <x v="0"/>
    <x v="0"/>
    <x v="0"/>
    <x v="0"/>
    <s v="DK1_Large"/>
    <x v="3"/>
    <x v="23"/>
    <x v="0"/>
    <x v="3"/>
    <n v="20.906976744186"/>
    <n v="7631.0465116279001"/>
    <n v="27471.767441860498"/>
  </r>
  <r>
    <x v="0"/>
    <x v="0"/>
    <x v="0"/>
    <x v="0"/>
    <x v="0"/>
    <s v="DK1_Large"/>
    <x v="3"/>
    <x v="23"/>
    <x v="0"/>
    <x v="4"/>
    <n v="20.906976744186"/>
    <n v="7631.0465116279001"/>
    <n v="27471.767441860498"/>
  </r>
  <r>
    <x v="0"/>
    <x v="0"/>
    <x v="0"/>
    <x v="0"/>
    <x v="0"/>
    <s v="DK1_Large"/>
    <x v="3"/>
    <x v="23"/>
    <x v="0"/>
    <x v="5"/>
    <n v="20.906976744186"/>
    <n v="7631.0465116279001"/>
    <n v="27471.767441860498"/>
  </r>
  <r>
    <x v="0"/>
    <x v="0"/>
    <x v="0"/>
    <x v="0"/>
    <x v="0"/>
    <s v="DK1_Large"/>
    <x v="3"/>
    <x v="23"/>
    <x v="0"/>
    <x v="6"/>
    <n v="20.906976744186"/>
    <n v="7631.0465116279001"/>
    <n v="27471.767441860498"/>
  </r>
  <r>
    <x v="0"/>
    <x v="0"/>
    <x v="0"/>
    <x v="0"/>
    <x v="0"/>
    <s v="DK1_Large"/>
    <x v="3"/>
    <x v="23"/>
    <x v="0"/>
    <x v="7"/>
    <n v="20.906976744186"/>
    <n v="7631.0465116279001"/>
    <n v="27471.767441860498"/>
  </r>
  <r>
    <x v="0"/>
    <x v="0"/>
    <x v="0"/>
    <x v="0"/>
    <x v="0"/>
    <s v="DK1_Large"/>
    <x v="3"/>
    <x v="23"/>
    <x v="0"/>
    <x v="8"/>
    <n v="20.906976744186"/>
    <n v="7631.0465116279001"/>
    <n v="27471.767441860498"/>
  </r>
  <r>
    <x v="0"/>
    <x v="0"/>
    <x v="0"/>
    <x v="0"/>
    <x v="0"/>
    <s v="DK1_Large"/>
    <x v="3"/>
    <x v="23"/>
    <x v="0"/>
    <x v="9"/>
    <n v="20.906976744186"/>
    <n v="7631.0465116279001"/>
    <n v="27471.767441860498"/>
  </r>
  <r>
    <x v="0"/>
    <x v="0"/>
    <x v="0"/>
    <x v="0"/>
    <x v="0"/>
    <s v="DK1_Large"/>
    <x v="3"/>
    <x v="23"/>
    <x v="0"/>
    <x v="10"/>
    <n v="20.906976744186"/>
    <n v="7631.0465116279001"/>
    <n v="27471.767441860498"/>
  </r>
  <r>
    <x v="0"/>
    <x v="0"/>
    <x v="0"/>
    <x v="0"/>
    <x v="0"/>
    <s v="DK1_Large"/>
    <x v="3"/>
    <x v="23"/>
    <x v="0"/>
    <x v="11"/>
    <n v="20.906976744186"/>
    <n v="7631.0465116279001"/>
    <n v="27471.767441860498"/>
  </r>
  <r>
    <x v="0"/>
    <x v="0"/>
    <x v="0"/>
    <x v="0"/>
    <x v="0"/>
    <s v="DK1_Large"/>
    <x v="3"/>
    <x v="23"/>
    <x v="0"/>
    <x v="12"/>
    <n v="20.906976744186"/>
    <n v="7631.0465116279001"/>
    <n v="27471.767441860498"/>
  </r>
  <r>
    <x v="0"/>
    <x v="0"/>
    <x v="0"/>
    <x v="0"/>
    <x v="0"/>
    <s v="DK1_Large"/>
    <x v="3"/>
    <x v="23"/>
    <x v="0"/>
    <x v="13"/>
    <n v="20.906976744186"/>
    <n v="7631.0465116279001"/>
    <n v="27471.767441860498"/>
  </r>
  <r>
    <x v="0"/>
    <x v="0"/>
    <x v="0"/>
    <x v="0"/>
    <x v="0"/>
    <s v="DK1_Large"/>
    <x v="3"/>
    <x v="23"/>
    <x v="0"/>
    <x v="14"/>
    <n v="20.906976744186"/>
    <n v="7631.0465116279001"/>
    <n v="27471.767441860498"/>
  </r>
  <r>
    <x v="0"/>
    <x v="0"/>
    <x v="0"/>
    <x v="0"/>
    <x v="0"/>
    <s v="DK1_Large"/>
    <x v="3"/>
    <x v="23"/>
    <x v="0"/>
    <x v="15"/>
    <n v="20.906976744186"/>
    <n v="7631.0465116279001"/>
    <n v="27471.767441860498"/>
  </r>
  <r>
    <x v="0"/>
    <x v="0"/>
    <x v="0"/>
    <x v="0"/>
    <x v="0"/>
    <s v="DK1_Large"/>
    <x v="3"/>
    <x v="23"/>
    <x v="0"/>
    <x v="16"/>
    <n v="20.906976744186"/>
    <n v="7631.0465116279001"/>
    <n v="27471.767441860498"/>
  </r>
  <r>
    <x v="0"/>
    <x v="0"/>
    <x v="0"/>
    <x v="0"/>
    <x v="0"/>
    <s v="DK1_Large"/>
    <x v="3"/>
    <x v="23"/>
    <x v="0"/>
    <x v="17"/>
    <n v="20.906976744186"/>
    <n v="7631.0465116279001"/>
    <n v="27471.767441860498"/>
  </r>
  <r>
    <x v="0"/>
    <x v="0"/>
    <x v="0"/>
    <x v="0"/>
    <x v="0"/>
    <s v="DK1_Large"/>
    <x v="3"/>
    <x v="23"/>
    <x v="0"/>
    <x v="18"/>
    <n v="20.906976744186"/>
    <n v="7631.0465116279001"/>
    <n v="27471.767441860498"/>
  </r>
  <r>
    <x v="0"/>
    <x v="0"/>
    <x v="0"/>
    <x v="0"/>
    <x v="0"/>
    <s v="DK1_Large"/>
    <x v="3"/>
    <x v="23"/>
    <x v="0"/>
    <x v="19"/>
    <n v="20.906976744186"/>
    <n v="7631.0465116279001"/>
    <n v="27471.767441860498"/>
  </r>
  <r>
    <x v="0"/>
    <x v="0"/>
    <x v="0"/>
    <x v="0"/>
    <x v="0"/>
    <s v="DK1_Large"/>
    <x v="3"/>
    <x v="23"/>
    <x v="0"/>
    <x v="20"/>
    <n v="20.906976744186"/>
    <n v="7631.0465116279001"/>
    <n v="27471.767441860498"/>
  </r>
  <r>
    <x v="0"/>
    <x v="0"/>
    <x v="0"/>
    <x v="0"/>
    <x v="0"/>
    <s v="DK1_Large"/>
    <x v="3"/>
    <x v="23"/>
    <x v="0"/>
    <x v="21"/>
    <n v="20.906976744186"/>
    <n v="7631.0465116279001"/>
    <n v="27471.767441860498"/>
  </r>
  <r>
    <x v="0"/>
    <x v="0"/>
    <x v="0"/>
    <x v="0"/>
    <x v="0"/>
    <s v="DK1_Large"/>
    <x v="3"/>
    <x v="23"/>
    <x v="0"/>
    <x v="22"/>
    <n v="20.906976744186"/>
    <n v="7631.0465116279001"/>
    <n v="27471.767441860498"/>
  </r>
  <r>
    <x v="0"/>
    <x v="0"/>
    <x v="0"/>
    <x v="0"/>
    <x v="0"/>
    <s v="DK1_Large"/>
    <x v="3"/>
    <x v="23"/>
    <x v="0"/>
    <x v="23"/>
    <n v="20.906976744186"/>
    <n v="7631.0465116279001"/>
    <n v="27471.767441860498"/>
  </r>
  <r>
    <x v="0"/>
    <x v="0"/>
    <x v="0"/>
    <x v="0"/>
    <x v="0"/>
    <s v="DK1_Large"/>
    <x v="3"/>
    <x v="24"/>
    <x v="0"/>
    <x v="0"/>
    <n v="7.1363636363636402"/>
    <n v="2604.7727272727302"/>
    <n v="9377.1818181818198"/>
  </r>
  <r>
    <x v="0"/>
    <x v="0"/>
    <x v="0"/>
    <x v="0"/>
    <x v="0"/>
    <s v="DK1_Large"/>
    <x v="3"/>
    <x v="24"/>
    <x v="0"/>
    <x v="1"/>
    <n v="7.1363636363636402"/>
    <n v="2604.7727272727302"/>
    <n v="9377.1818181818198"/>
  </r>
  <r>
    <x v="0"/>
    <x v="0"/>
    <x v="0"/>
    <x v="0"/>
    <x v="0"/>
    <s v="DK1_Large"/>
    <x v="3"/>
    <x v="24"/>
    <x v="0"/>
    <x v="2"/>
    <n v="7.1363636363636402"/>
    <n v="2604.7727272727302"/>
    <n v="9377.1818181818198"/>
  </r>
  <r>
    <x v="0"/>
    <x v="0"/>
    <x v="0"/>
    <x v="0"/>
    <x v="0"/>
    <s v="DK1_Large"/>
    <x v="3"/>
    <x v="24"/>
    <x v="0"/>
    <x v="3"/>
    <n v="7.1363636363636402"/>
    <n v="2604.7727272727302"/>
    <n v="9377.1818181818198"/>
  </r>
  <r>
    <x v="0"/>
    <x v="0"/>
    <x v="0"/>
    <x v="0"/>
    <x v="0"/>
    <s v="DK1_Large"/>
    <x v="3"/>
    <x v="24"/>
    <x v="0"/>
    <x v="4"/>
    <n v="7.1363636363636402"/>
    <n v="2604.7727272727302"/>
    <n v="9377.1818181818198"/>
  </r>
  <r>
    <x v="0"/>
    <x v="0"/>
    <x v="0"/>
    <x v="0"/>
    <x v="0"/>
    <s v="DK1_Large"/>
    <x v="3"/>
    <x v="24"/>
    <x v="0"/>
    <x v="5"/>
    <n v="7.1363636363636402"/>
    <n v="2604.7727272727302"/>
    <n v="9377.1818181818198"/>
  </r>
  <r>
    <x v="0"/>
    <x v="0"/>
    <x v="0"/>
    <x v="0"/>
    <x v="0"/>
    <s v="DK1_Large"/>
    <x v="3"/>
    <x v="24"/>
    <x v="0"/>
    <x v="6"/>
    <n v="7.1363636363636402"/>
    <n v="2604.7727272727302"/>
    <n v="9377.1818181818198"/>
  </r>
  <r>
    <x v="0"/>
    <x v="0"/>
    <x v="0"/>
    <x v="0"/>
    <x v="0"/>
    <s v="DK1_Large"/>
    <x v="3"/>
    <x v="24"/>
    <x v="0"/>
    <x v="7"/>
    <n v="7.1363636363636402"/>
    <n v="2604.7727272727302"/>
    <n v="9377.1818181818198"/>
  </r>
  <r>
    <x v="0"/>
    <x v="0"/>
    <x v="0"/>
    <x v="0"/>
    <x v="0"/>
    <s v="DK1_Large"/>
    <x v="3"/>
    <x v="24"/>
    <x v="0"/>
    <x v="8"/>
    <n v="7.1363636363636402"/>
    <n v="2604.7727272727302"/>
    <n v="9377.1818181818198"/>
  </r>
  <r>
    <x v="0"/>
    <x v="0"/>
    <x v="0"/>
    <x v="0"/>
    <x v="0"/>
    <s v="DK1_Large"/>
    <x v="3"/>
    <x v="24"/>
    <x v="0"/>
    <x v="9"/>
    <n v="7.1363636363636402"/>
    <n v="2604.7727272727302"/>
    <n v="9377.1818181818198"/>
  </r>
  <r>
    <x v="0"/>
    <x v="0"/>
    <x v="0"/>
    <x v="0"/>
    <x v="0"/>
    <s v="DK1_Large"/>
    <x v="3"/>
    <x v="24"/>
    <x v="0"/>
    <x v="10"/>
    <n v="7.1363636363636402"/>
    <n v="2604.7727272727302"/>
    <n v="9377.1818181818198"/>
  </r>
  <r>
    <x v="0"/>
    <x v="0"/>
    <x v="0"/>
    <x v="0"/>
    <x v="0"/>
    <s v="DK1_Large"/>
    <x v="3"/>
    <x v="24"/>
    <x v="0"/>
    <x v="11"/>
    <n v="7.1363636363636402"/>
    <n v="2604.7727272727302"/>
    <n v="9377.1818181818198"/>
  </r>
  <r>
    <x v="0"/>
    <x v="0"/>
    <x v="0"/>
    <x v="0"/>
    <x v="0"/>
    <s v="DK1_Large"/>
    <x v="3"/>
    <x v="24"/>
    <x v="0"/>
    <x v="12"/>
    <n v="7.1363636363636402"/>
    <n v="2604.7727272727302"/>
    <n v="9377.1818181818198"/>
  </r>
  <r>
    <x v="0"/>
    <x v="0"/>
    <x v="0"/>
    <x v="0"/>
    <x v="0"/>
    <s v="DK1_Large"/>
    <x v="3"/>
    <x v="24"/>
    <x v="0"/>
    <x v="13"/>
    <n v="7.1363636363636402"/>
    <n v="2604.7727272727302"/>
    <n v="9377.1818181818198"/>
  </r>
  <r>
    <x v="0"/>
    <x v="0"/>
    <x v="0"/>
    <x v="0"/>
    <x v="0"/>
    <s v="DK1_Large"/>
    <x v="3"/>
    <x v="24"/>
    <x v="0"/>
    <x v="14"/>
    <n v="7.1363636363636402"/>
    <n v="2604.7727272727302"/>
    <n v="9377.1818181818198"/>
  </r>
  <r>
    <x v="0"/>
    <x v="0"/>
    <x v="0"/>
    <x v="0"/>
    <x v="0"/>
    <s v="DK1_Large"/>
    <x v="3"/>
    <x v="24"/>
    <x v="0"/>
    <x v="15"/>
    <n v="7.1363636363636402"/>
    <n v="2604.7727272727302"/>
    <n v="9377.1818181818198"/>
  </r>
  <r>
    <x v="0"/>
    <x v="0"/>
    <x v="0"/>
    <x v="0"/>
    <x v="0"/>
    <s v="DK1_Large"/>
    <x v="3"/>
    <x v="24"/>
    <x v="0"/>
    <x v="16"/>
    <n v="7.1363636363636402"/>
    <n v="2604.7727272727302"/>
    <n v="9377.1818181818198"/>
  </r>
  <r>
    <x v="0"/>
    <x v="0"/>
    <x v="0"/>
    <x v="0"/>
    <x v="0"/>
    <s v="DK1_Large"/>
    <x v="3"/>
    <x v="24"/>
    <x v="0"/>
    <x v="17"/>
    <n v="7.1363636363636402"/>
    <n v="2604.7727272727302"/>
    <n v="9377.1818181818198"/>
  </r>
  <r>
    <x v="0"/>
    <x v="0"/>
    <x v="0"/>
    <x v="0"/>
    <x v="0"/>
    <s v="DK1_Large"/>
    <x v="3"/>
    <x v="24"/>
    <x v="0"/>
    <x v="18"/>
    <n v="7.1363636363636402"/>
    <n v="2604.7727272727302"/>
    <n v="9377.1818181818198"/>
  </r>
  <r>
    <x v="0"/>
    <x v="0"/>
    <x v="0"/>
    <x v="0"/>
    <x v="0"/>
    <s v="DK1_Large"/>
    <x v="3"/>
    <x v="24"/>
    <x v="0"/>
    <x v="19"/>
    <n v="7.1363636363636402"/>
    <n v="2604.7727272727302"/>
    <n v="9377.1818181818198"/>
  </r>
  <r>
    <x v="0"/>
    <x v="0"/>
    <x v="0"/>
    <x v="0"/>
    <x v="0"/>
    <s v="DK1_Large"/>
    <x v="3"/>
    <x v="24"/>
    <x v="0"/>
    <x v="20"/>
    <n v="7.1363636363636402"/>
    <n v="2604.7727272727302"/>
    <n v="9377.1818181818198"/>
  </r>
  <r>
    <x v="0"/>
    <x v="0"/>
    <x v="0"/>
    <x v="0"/>
    <x v="0"/>
    <s v="DK1_Large"/>
    <x v="3"/>
    <x v="24"/>
    <x v="0"/>
    <x v="21"/>
    <n v="7.1363636363636402"/>
    <n v="2604.7727272727302"/>
    <n v="9377.1818181818198"/>
  </r>
  <r>
    <x v="0"/>
    <x v="0"/>
    <x v="0"/>
    <x v="0"/>
    <x v="0"/>
    <s v="DK1_Large"/>
    <x v="3"/>
    <x v="24"/>
    <x v="0"/>
    <x v="22"/>
    <n v="7.1363636363636402"/>
    <n v="2604.7727272727302"/>
    <n v="9377.1818181818198"/>
  </r>
  <r>
    <x v="0"/>
    <x v="0"/>
    <x v="0"/>
    <x v="0"/>
    <x v="0"/>
    <s v="DK1_Large"/>
    <x v="3"/>
    <x v="24"/>
    <x v="0"/>
    <x v="23"/>
    <n v="7.1363636363636402"/>
    <n v="2604.7727272727302"/>
    <n v="9377.1818181818198"/>
  </r>
  <r>
    <x v="0"/>
    <x v="0"/>
    <x v="0"/>
    <x v="0"/>
    <x v="0"/>
    <s v="DK1_Large"/>
    <x v="3"/>
    <x v="25"/>
    <x v="0"/>
    <x v="0"/>
    <n v="6.3478260869565197"/>
    <n v="2316.95652173913"/>
    <n v="8341.04347826087"/>
  </r>
  <r>
    <x v="0"/>
    <x v="0"/>
    <x v="0"/>
    <x v="0"/>
    <x v="0"/>
    <s v="DK1_Large"/>
    <x v="3"/>
    <x v="25"/>
    <x v="0"/>
    <x v="1"/>
    <n v="6.3478260869565197"/>
    <n v="2316.95652173913"/>
    <n v="8341.04347826087"/>
  </r>
  <r>
    <x v="0"/>
    <x v="0"/>
    <x v="0"/>
    <x v="0"/>
    <x v="0"/>
    <s v="DK1_Large"/>
    <x v="3"/>
    <x v="25"/>
    <x v="0"/>
    <x v="2"/>
    <n v="6.3478260869565197"/>
    <n v="2316.95652173913"/>
    <n v="8341.04347826087"/>
  </r>
  <r>
    <x v="0"/>
    <x v="0"/>
    <x v="0"/>
    <x v="0"/>
    <x v="0"/>
    <s v="DK1_Large"/>
    <x v="3"/>
    <x v="25"/>
    <x v="0"/>
    <x v="3"/>
    <n v="6.3478260869565197"/>
    <n v="2316.95652173913"/>
    <n v="8341.04347826087"/>
  </r>
  <r>
    <x v="0"/>
    <x v="0"/>
    <x v="0"/>
    <x v="0"/>
    <x v="0"/>
    <s v="DK1_Large"/>
    <x v="3"/>
    <x v="25"/>
    <x v="0"/>
    <x v="4"/>
    <n v="6.3478260869565197"/>
    <n v="2316.95652173913"/>
    <n v="8341.04347826087"/>
  </r>
  <r>
    <x v="0"/>
    <x v="0"/>
    <x v="0"/>
    <x v="0"/>
    <x v="0"/>
    <s v="DK1_Large"/>
    <x v="3"/>
    <x v="25"/>
    <x v="0"/>
    <x v="5"/>
    <n v="6.3478260869565197"/>
    <n v="2316.95652173913"/>
    <n v="8341.04347826087"/>
  </r>
  <r>
    <x v="0"/>
    <x v="0"/>
    <x v="0"/>
    <x v="0"/>
    <x v="0"/>
    <s v="DK1_Large"/>
    <x v="3"/>
    <x v="25"/>
    <x v="0"/>
    <x v="6"/>
    <n v="6.3478260869565197"/>
    <n v="2316.95652173913"/>
    <n v="8341.04347826087"/>
  </r>
  <r>
    <x v="0"/>
    <x v="0"/>
    <x v="0"/>
    <x v="0"/>
    <x v="0"/>
    <s v="DK1_Large"/>
    <x v="3"/>
    <x v="25"/>
    <x v="0"/>
    <x v="7"/>
    <n v="6.3478260869565197"/>
    <n v="2316.95652173913"/>
    <n v="8341.04347826087"/>
  </r>
  <r>
    <x v="0"/>
    <x v="0"/>
    <x v="0"/>
    <x v="0"/>
    <x v="0"/>
    <s v="DK1_Large"/>
    <x v="3"/>
    <x v="25"/>
    <x v="0"/>
    <x v="8"/>
    <n v="6.3478260869565197"/>
    <n v="2316.95652173913"/>
    <n v="8341.04347826087"/>
  </r>
  <r>
    <x v="0"/>
    <x v="0"/>
    <x v="0"/>
    <x v="0"/>
    <x v="0"/>
    <s v="DK1_Large"/>
    <x v="3"/>
    <x v="25"/>
    <x v="0"/>
    <x v="9"/>
    <n v="6.3478260869565197"/>
    <n v="2316.95652173913"/>
    <n v="8341.04347826087"/>
  </r>
  <r>
    <x v="0"/>
    <x v="0"/>
    <x v="0"/>
    <x v="0"/>
    <x v="0"/>
    <s v="DK1_Large"/>
    <x v="3"/>
    <x v="25"/>
    <x v="0"/>
    <x v="10"/>
    <n v="6.3478260869565197"/>
    <n v="2316.95652173913"/>
    <n v="8341.04347826087"/>
  </r>
  <r>
    <x v="0"/>
    <x v="0"/>
    <x v="0"/>
    <x v="0"/>
    <x v="0"/>
    <s v="DK1_Large"/>
    <x v="3"/>
    <x v="25"/>
    <x v="0"/>
    <x v="11"/>
    <n v="6.3478260869565197"/>
    <n v="2316.95652173913"/>
    <n v="8341.04347826087"/>
  </r>
  <r>
    <x v="0"/>
    <x v="0"/>
    <x v="0"/>
    <x v="0"/>
    <x v="0"/>
    <s v="DK1_Large"/>
    <x v="3"/>
    <x v="25"/>
    <x v="0"/>
    <x v="12"/>
    <n v="6.3478260869565197"/>
    <n v="2316.95652173913"/>
    <n v="8341.04347826087"/>
  </r>
  <r>
    <x v="0"/>
    <x v="0"/>
    <x v="0"/>
    <x v="0"/>
    <x v="0"/>
    <s v="DK1_Large"/>
    <x v="3"/>
    <x v="25"/>
    <x v="0"/>
    <x v="13"/>
    <n v="6.3478260869565197"/>
    <n v="2316.95652173913"/>
    <n v="8341.04347826087"/>
  </r>
  <r>
    <x v="0"/>
    <x v="0"/>
    <x v="0"/>
    <x v="0"/>
    <x v="0"/>
    <s v="DK1_Large"/>
    <x v="3"/>
    <x v="25"/>
    <x v="0"/>
    <x v="14"/>
    <n v="6.3478260869565197"/>
    <n v="2316.95652173913"/>
    <n v="8341.04347826087"/>
  </r>
  <r>
    <x v="0"/>
    <x v="0"/>
    <x v="0"/>
    <x v="0"/>
    <x v="0"/>
    <s v="DK1_Large"/>
    <x v="3"/>
    <x v="25"/>
    <x v="0"/>
    <x v="15"/>
    <n v="6.3478260869565197"/>
    <n v="2316.95652173913"/>
    <n v="8341.04347826087"/>
  </r>
  <r>
    <x v="0"/>
    <x v="0"/>
    <x v="0"/>
    <x v="0"/>
    <x v="0"/>
    <s v="DK1_Large"/>
    <x v="3"/>
    <x v="25"/>
    <x v="0"/>
    <x v="16"/>
    <n v="6.3478260869565197"/>
    <n v="2316.95652173913"/>
    <n v="8341.04347826087"/>
  </r>
  <r>
    <x v="0"/>
    <x v="0"/>
    <x v="0"/>
    <x v="0"/>
    <x v="0"/>
    <s v="DK1_Large"/>
    <x v="3"/>
    <x v="25"/>
    <x v="0"/>
    <x v="17"/>
    <n v="6.3478260869565197"/>
    <n v="2316.95652173913"/>
    <n v="8341.04347826087"/>
  </r>
  <r>
    <x v="0"/>
    <x v="0"/>
    <x v="0"/>
    <x v="0"/>
    <x v="0"/>
    <s v="DK1_Large"/>
    <x v="3"/>
    <x v="25"/>
    <x v="0"/>
    <x v="18"/>
    <n v="6.3478260869565197"/>
    <n v="2316.95652173913"/>
    <n v="8341.04347826087"/>
  </r>
  <r>
    <x v="0"/>
    <x v="0"/>
    <x v="0"/>
    <x v="0"/>
    <x v="0"/>
    <s v="DK1_Large"/>
    <x v="3"/>
    <x v="25"/>
    <x v="0"/>
    <x v="19"/>
    <n v="6.3478260869565197"/>
    <n v="2316.95652173913"/>
    <n v="8341.04347826087"/>
  </r>
  <r>
    <x v="0"/>
    <x v="0"/>
    <x v="0"/>
    <x v="0"/>
    <x v="0"/>
    <s v="DK1_Large"/>
    <x v="3"/>
    <x v="25"/>
    <x v="0"/>
    <x v="20"/>
    <n v="6.3478260869565197"/>
    <n v="2316.95652173913"/>
    <n v="8341.04347826087"/>
  </r>
  <r>
    <x v="0"/>
    <x v="0"/>
    <x v="0"/>
    <x v="0"/>
    <x v="0"/>
    <s v="DK1_Large"/>
    <x v="3"/>
    <x v="25"/>
    <x v="0"/>
    <x v="21"/>
    <n v="6.3478260869565197"/>
    <n v="2316.95652173913"/>
    <n v="8341.04347826087"/>
  </r>
  <r>
    <x v="0"/>
    <x v="0"/>
    <x v="0"/>
    <x v="0"/>
    <x v="0"/>
    <s v="DK1_Large"/>
    <x v="3"/>
    <x v="25"/>
    <x v="0"/>
    <x v="22"/>
    <n v="6.3478260869565197"/>
    <n v="2316.95652173913"/>
    <n v="8341.04347826087"/>
  </r>
  <r>
    <x v="0"/>
    <x v="0"/>
    <x v="0"/>
    <x v="0"/>
    <x v="0"/>
    <s v="DK1_Large"/>
    <x v="3"/>
    <x v="25"/>
    <x v="0"/>
    <x v="23"/>
    <n v="6.3478260869565197"/>
    <n v="2316.95652173913"/>
    <n v="8341.04347826087"/>
  </r>
  <r>
    <x v="0"/>
    <x v="0"/>
    <x v="0"/>
    <x v="0"/>
    <x v="0"/>
    <s v="DK1_Large"/>
    <x v="3"/>
    <x v="26"/>
    <x v="0"/>
    <x v="6"/>
    <n v="124.229905860964"/>
    <n v="45343.915639252002"/>
    <n v="163238.096301307"/>
  </r>
  <r>
    <x v="0"/>
    <x v="0"/>
    <x v="0"/>
    <x v="0"/>
    <x v="0"/>
    <s v="DK1_Large"/>
    <x v="3"/>
    <x v="26"/>
    <x v="0"/>
    <x v="7"/>
    <n v="834.04255319148899"/>
    <n v="304425.531914894"/>
    <n v="1095931.9148936199"/>
  </r>
  <r>
    <x v="0"/>
    <x v="0"/>
    <x v="0"/>
    <x v="0"/>
    <x v="0"/>
    <s v="DK1_Large"/>
    <x v="3"/>
    <x v="26"/>
    <x v="0"/>
    <x v="8"/>
    <n v="834.04255319148899"/>
    <n v="304425.531914894"/>
    <n v="1095931.9148936199"/>
  </r>
  <r>
    <x v="0"/>
    <x v="0"/>
    <x v="0"/>
    <x v="0"/>
    <x v="0"/>
    <s v="DK1_Large"/>
    <x v="3"/>
    <x v="26"/>
    <x v="0"/>
    <x v="9"/>
    <n v="84.6047737347821"/>
    <n v="30880.742413195501"/>
    <n v="111170.672687504"/>
  </r>
  <r>
    <x v="0"/>
    <x v="0"/>
    <x v="0"/>
    <x v="0"/>
    <x v="0"/>
    <s v="DK1_Large"/>
    <x v="4"/>
    <x v="27"/>
    <x v="0"/>
    <x v="0"/>
    <n v="10.78"/>
    <n v="3934.7"/>
    <n v="14164.92"/>
  </r>
  <r>
    <x v="0"/>
    <x v="0"/>
    <x v="0"/>
    <x v="0"/>
    <x v="0"/>
    <s v="DK1_Large"/>
    <x v="4"/>
    <x v="27"/>
    <x v="0"/>
    <x v="1"/>
    <n v="10.78"/>
    <n v="3934.7"/>
    <n v="14164.92"/>
  </r>
  <r>
    <x v="0"/>
    <x v="0"/>
    <x v="0"/>
    <x v="0"/>
    <x v="0"/>
    <s v="DK1_Large"/>
    <x v="4"/>
    <x v="27"/>
    <x v="0"/>
    <x v="2"/>
    <n v="10.78"/>
    <n v="3934.7"/>
    <n v="14164.92"/>
  </r>
  <r>
    <x v="0"/>
    <x v="0"/>
    <x v="0"/>
    <x v="0"/>
    <x v="0"/>
    <s v="DK1_Large"/>
    <x v="4"/>
    <x v="27"/>
    <x v="0"/>
    <x v="3"/>
    <n v="10.78"/>
    <n v="3934.7"/>
    <n v="14164.92"/>
  </r>
  <r>
    <x v="0"/>
    <x v="0"/>
    <x v="0"/>
    <x v="0"/>
    <x v="0"/>
    <s v="DK1_Large"/>
    <x v="4"/>
    <x v="27"/>
    <x v="0"/>
    <x v="4"/>
    <n v="10.78"/>
    <n v="3934.7"/>
    <n v="14164.92"/>
  </r>
  <r>
    <x v="0"/>
    <x v="0"/>
    <x v="0"/>
    <x v="0"/>
    <x v="0"/>
    <s v="DK1_Large"/>
    <x v="4"/>
    <x v="27"/>
    <x v="0"/>
    <x v="5"/>
    <n v="10.78"/>
    <n v="3934.7"/>
    <n v="14164.92"/>
  </r>
  <r>
    <x v="0"/>
    <x v="0"/>
    <x v="0"/>
    <x v="0"/>
    <x v="0"/>
    <s v="DK1_Large"/>
    <x v="4"/>
    <x v="27"/>
    <x v="0"/>
    <x v="6"/>
    <n v="10.78"/>
    <n v="3934.7"/>
    <n v="14164.92"/>
  </r>
  <r>
    <x v="0"/>
    <x v="0"/>
    <x v="0"/>
    <x v="0"/>
    <x v="0"/>
    <s v="DK1_Large"/>
    <x v="4"/>
    <x v="27"/>
    <x v="0"/>
    <x v="7"/>
    <n v="10.78"/>
    <n v="3934.7"/>
    <n v="14164.92"/>
  </r>
  <r>
    <x v="0"/>
    <x v="0"/>
    <x v="0"/>
    <x v="0"/>
    <x v="0"/>
    <s v="DK1_Large"/>
    <x v="4"/>
    <x v="27"/>
    <x v="0"/>
    <x v="8"/>
    <n v="10.78"/>
    <n v="3934.7"/>
    <n v="14164.92"/>
  </r>
  <r>
    <x v="0"/>
    <x v="0"/>
    <x v="0"/>
    <x v="0"/>
    <x v="0"/>
    <s v="DK1_Large"/>
    <x v="4"/>
    <x v="27"/>
    <x v="0"/>
    <x v="9"/>
    <n v="10.78"/>
    <n v="3934.7"/>
    <n v="14164.92"/>
  </r>
  <r>
    <x v="0"/>
    <x v="0"/>
    <x v="0"/>
    <x v="0"/>
    <x v="0"/>
    <s v="DK1_Large"/>
    <x v="4"/>
    <x v="27"/>
    <x v="0"/>
    <x v="10"/>
    <n v="10.78"/>
    <n v="3934.7"/>
    <n v="14164.92"/>
  </r>
  <r>
    <x v="0"/>
    <x v="0"/>
    <x v="0"/>
    <x v="0"/>
    <x v="0"/>
    <s v="DK1_Large"/>
    <x v="4"/>
    <x v="27"/>
    <x v="0"/>
    <x v="11"/>
    <n v="10.78"/>
    <n v="3934.7"/>
    <n v="14164.92"/>
  </r>
  <r>
    <x v="0"/>
    <x v="0"/>
    <x v="0"/>
    <x v="0"/>
    <x v="0"/>
    <s v="DK1_Large"/>
    <x v="4"/>
    <x v="27"/>
    <x v="0"/>
    <x v="12"/>
    <n v="10.78"/>
    <n v="3934.7"/>
    <n v="14164.92"/>
  </r>
  <r>
    <x v="0"/>
    <x v="0"/>
    <x v="0"/>
    <x v="0"/>
    <x v="0"/>
    <s v="DK1_Large"/>
    <x v="4"/>
    <x v="27"/>
    <x v="0"/>
    <x v="13"/>
    <n v="10.78"/>
    <n v="3934.7"/>
    <n v="14164.92"/>
  </r>
  <r>
    <x v="0"/>
    <x v="0"/>
    <x v="0"/>
    <x v="0"/>
    <x v="0"/>
    <s v="DK1_Large"/>
    <x v="4"/>
    <x v="27"/>
    <x v="0"/>
    <x v="14"/>
    <n v="10.78"/>
    <n v="3934.7"/>
    <n v="14164.92"/>
  </r>
  <r>
    <x v="0"/>
    <x v="0"/>
    <x v="0"/>
    <x v="0"/>
    <x v="0"/>
    <s v="DK1_Large"/>
    <x v="4"/>
    <x v="27"/>
    <x v="0"/>
    <x v="15"/>
    <n v="10.78"/>
    <n v="3934.7"/>
    <n v="14164.92"/>
  </r>
  <r>
    <x v="0"/>
    <x v="0"/>
    <x v="0"/>
    <x v="0"/>
    <x v="0"/>
    <s v="DK1_Large"/>
    <x v="4"/>
    <x v="27"/>
    <x v="0"/>
    <x v="16"/>
    <n v="10.78"/>
    <n v="3934.7"/>
    <n v="14164.92"/>
  </r>
  <r>
    <x v="0"/>
    <x v="0"/>
    <x v="0"/>
    <x v="0"/>
    <x v="0"/>
    <s v="DK1_Large"/>
    <x v="4"/>
    <x v="27"/>
    <x v="0"/>
    <x v="17"/>
    <n v="10.78"/>
    <n v="3934.7"/>
    <n v="14164.92"/>
  </r>
  <r>
    <x v="0"/>
    <x v="0"/>
    <x v="0"/>
    <x v="0"/>
    <x v="0"/>
    <s v="DK1_Large"/>
    <x v="4"/>
    <x v="27"/>
    <x v="0"/>
    <x v="18"/>
    <n v="10.78"/>
    <n v="3934.7"/>
    <n v="14164.92"/>
  </r>
  <r>
    <x v="0"/>
    <x v="0"/>
    <x v="0"/>
    <x v="0"/>
    <x v="0"/>
    <s v="DK1_Large"/>
    <x v="4"/>
    <x v="27"/>
    <x v="0"/>
    <x v="19"/>
    <n v="10.78"/>
    <n v="3934.7"/>
    <n v="14164.92"/>
  </r>
  <r>
    <x v="0"/>
    <x v="0"/>
    <x v="0"/>
    <x v="0"/>
    <x v="0"/>
    <s v="DK1_Large"/>
    <x v="4"/>
    <x v="27"/>
    <x v="0"/>
    <x v="20"/>
    <n v="10.78"/>
    <n v="3934.7"/>
    <n v="14164.92"/>
  </r>
  <r>
    <x v="0"/>
    <x v="0"/>
    <x v="0"/>
    <x v="0"/>
    <x v="0"/>
    <s v="DK1_Large"/>
    <x v="4"/>
    <x v="27"/>
    <x v="0"/>
    <x v="21"/>
    <n v="10.78"/>
    <n v="3934.7"/>
    <n v="14164.92"/>
  </r>
  <r>
    <x v="0"/>
    <x v="0"/>
    <x v="0"/>
    <x v="0"/>
    <x v="0"/>
    <s v="DK1_Large"/>
    <x v="4"/>
    <x v="27"/>
    <x v="0"/>
    <x v="22"/>
    <n v="10.78"/>
    <n v="3934.7"/>
    <n v="14164.92"/>
  </r>
  <r>
    <x v="0"/>
    <x v="0"/>
    <x v="0"/>
    <x v="0"/>
    <x v="0"/>
    <s v="DK1_Large"/>
    <x v="4"/>
    <x v="27"/>
    <x v="0"/>
    <x v="23"/>
    <n v="10.78"/>
    <n v="3934.7"/>
    <n v="14164.92"/>
  </r>
  <r>
    <x v="0"/>
    <x v="0"/>
    <x v="0"/>
    <x v="0"/>
    <x v="0"/>
    <s v="DK1_Large"/>
    <x v="4"/>
    <x v="28"/>
    <x v="0"/>
    <x v="0"/>
    <n v="6.1764705882352899"/>
    <n v="2254.4117647058802"/>
    <n v="8115.8823529411802"/>
  </r>
  <r>
    <x v="0"/>
    <x v="0"/>
    <x v="0"/>
    <x v="0"/>
    <x v="0"/>
    <s v="DK1_Large"/>
    <x v="4"/>
    <x v="28"/>
    <x v="0"/>
    <x v="1"/>
    <n v="6.1764705882352899"/>
    <n v="2254.4117647058802"/>
    <n v="8115.8823529411802"/>
  </r>
  <r>
    <x v="0"/>
    <x v="0"/>
    <x v="0"/>
    <x v="0"/>
    <x v="0"/>
    <s v="DK1_Large"/>
    <x v="4"/>
    <x v="28"/>
    <x v="0"/>
    <x v="2"/>
    <n v="6.1764705882352899"/>
    <n v="2254.4117647058802"/>
    <n v="8115.8823529411802"/>
  </r>
  <r>
    <x v="0"/>
    <x v="0"/>
    <x v="0"/>
    <x v="0"/>
    <x v="0"/>
    <s v="DK1_Large"/>
    <x v="4"/>
    <x v="28"/>
    <x v="0"/>
    <x v="3"/>
    <n v="6.1764705882352899"/>
    <n v="2254.4117647058802"/>
    <n v="8115.8823529411802"/>
  </r>
  <r>
    <x v="0"/>
    <x v="0"/>
    <x v="0"/>
    <x v="0"/>
    <x v="0"/>
    <s v="DK1_Large"/>
    <x v="4"/>
    <x v="28"/>
    <x v="0"/>
    <x v="4"/>
    <n v="6.1764705882352899"/>
    <n v="2254.4117647058802"/>
    <n v="8115.8823529411802"/>
  </r>
  <r>
    <x v="0"/>
    <x v="0"/>
    <x v="0"/>
    <x v="0"/>
    <x v="0"/>
    <s v="DK1_Large"/>
    <x v="4"/>
    <x v="28"/>
    <x v="0"/>
    <x v="5"/>
    <n v="6.1764705882352899"/>
    <n v="2254.4117647058802"/>
    <n v="8115.8823529411802"/>
  </r>
  <r>
    <x v="0"/>
    <x v="0"/>
    <x v="0"/>
    <x v="0"/>
    <x v="0"/>
    <s v="DK1_Large"/>
    <x v="4"/>
    <x v="28"/>
    <x v="0"/>
    <x v="6"/>
    <n v="6.1764705882352899"/>
    <n v="2254.4117647058802"/>
    <n v="8115.8823529411802"/>
  </r>
  <r>
    <x v="0"/>
    <x v="0"/>
    <x v="0"/>
    <x v="0"/>
    <x v="0"/>
    <s v="DK1_Large"/>
    <x v="4"/>
    <x v="28"/>
    <x v="0"/>
    <x v="7"/>
    <n v="6.1764705882352899"/>
    <n v="2254.4117647058802"/>
    <n v="8115.8823529411802"/>
  </r>
  <r>
    <x v="0"/>
    <x v="0"/>
    <x v="0"/>
    <x v="0"/>
    <x v="0"/>
    <s v="DK1_Large"/>
    <x v="4"/>
    <x v="28"/>
    <x v="0"/>
    <x v="8"/>
    <n v="6.1764705882352899"/>
    <n v="2254.4117647058802"/>
    <n v="8115.8823529411802"/>
  </r>
  <r>
    <x v="0"/>
    <x v="0"/>
    <x v="0"/>
    <x v="0"/>
    <x v="0"/>
    <s v="DK1_Large"/>
    <x v="4"/>
    <x v="28"/>
    <x v="0"/>
    <x v="9"/>
    <n v="6.1764705882352899"/>
    <n v="2254.4117647058802"/>
    <n v="8115.8823529411802"/>
  </r>
  <r>
    <x v="0"/>
    <x v="0"/>
    <x v="0"/>
    <x v="0"/>
    <x v="0"/>
    <s v="DK1_Large"/>
    <x v="4"/>
    <x v="28"/>
    <x v="0"/>
    <x v="10"/>
    <n v="6.1764705882352899"/>
    <n v="2254.4117647058802"/>
    <n v="8115.8823529411802"/>
  </r>
  <r>
    <x v="0"/>
    <x v="0"/>
    <x v="0"/>
    <x v="0"/>
    <x v="0"/>
    <s v="DK1_Large"/>
    <x v="4"/>
    <x v="28"/>
    <x v="0"/>
    <x v="11"/>
    <n v="6.1764705882352899"/>
    <n v="2254.4117647058802"/>
    <n v="8115.8823529411802"/>
  </r>
  <r>
    <x v="0"/>
    <x v="0"/>
    <x v="0"/>
    <x v="0"/>
    <x v="0"/>
    <s v="DK1_Large"/>
    <x v="4"/>
    <x v="28"/>
    <x v="0"/>
    <x v="12"/>
    <n v="6.1764705882352899"/>
    <n v="2254.4117647058802"/>
    <n v="8115.8823529411802"/>
  </r>
  <r>
    <x v="0"/>
    <x v="0"/>
    <x v="0"/>
    <x v="0"/>
    <x v="0"/>
    <s v="DK1_Large"/>
    <x v="4"/>
    <x v="28"/>
    <x v="0"/>
    <x v="13"/>
    <n v="6.1764705882352899"/>
    <n v="2254.4117647058802"/>
    <n v="8115.8823529411802"/>
  </r>
  <r>
    <x v="0"/>
    <x v="0"/>
    <x v="0"/>
    <x v="0"/>
    <x v="0"/>
    <s v="DK1_Large"/>
    <x v="4"/>
    <x v="28"/>
    <x v="0"/>
    <x v="14"/>
    <n v="6.1764705882352899"/>
    <n v="2254.4117647058802"/>
    <n v="8115.8823529411802"/>
  </r>
  <r>
    <x v="0"/>
    <x v="0"/>
    <x v="0"/>
    <x v="0"/>
    <x v="0"/>
    <s v="DK1_Large"/>
    <x v="4"/>
    <x v="28"/>
    <x v="0"/>
    <x v="15"/>
    <n v="6.1764705882352899"/>
    <n v="2254.4117647058802"/>
    <n v="8115.8823529411802"/>
  </r>
  <r>
    <x v="0"/>
    <x v="0"/>
    <x v="0"/>
    <x v="0"/>
    <x v="0"/>
    <s v="DK1_Large"/>
    <x v="4"/>
    <x v="28"/>
    <x v="0"/>
    <x v="16"/>
    <n v="6.1764705882352899"/>
    <n v="2254.4117647058802"/>
    <n v="8115.8823529411802"/>
  </r>
  <r>
    <x v="0"/>
    <x v="0"/>
    <x v="0"/>
    <x v="0"/>
    <x v="0"/>
    <s v="DK1_Large"/>
    <x v="4"/>
    <x v="28"/>
    <x v="0"/>
    <x v="17"/>
    <n v="6.1764705882352899"/>
    <n v="2254.4117647058802"/>
    <n v="8115.8823529411802"/>
  </r>
  <r>
    <x v="0"/>
    <x v="0"/>
    <x v="0"/>
    <x v="0"/>
    <x v="0"/>
    <s v="DK1_Large"/>
    <x v="4"/>
    <x v="28"/>
    <x v="0"/>
    <x v="18"/>
    <n v="6.1764705882352899"/>
    <n v="2254.4117647058802"/>
    <n v="8115.8823529411802"/>
  </r>
  <r>
    <x v="0"/>
    <x v="0"/>
    <x v="0"/>
    <x v="0"/>
    <x v="0"/>
    <s v="DK1_Large"/>
    <x v="4"/>
    <x v="28"/>
    <x v="0"/>
    <x v="19"/>
    <n v="6.1764705882352899"/>
    <n v="2254.4117647058802"/>
    <n v="8115.8823529411802"/>
  </r>
  <r>
    <x v="0"/>
    <x v="0"/>
    <x v="0"/>
    <x v="0"/>
    <x v="0"/>
    <s v="DK1_Large"/>
    <x v="4"/>
    <x v="28"/>
    <x v="0"/>
    <x v="20"/>
    <n v="6.1764705882352899"/>
    <n v="2254.4117647058802"/>
    <n v="8115.8823529411802"/>
  </r>
  <r>
    <x v="0"/>
    <x v="0"/>
    <x v="0"/>
    <x v="0"/>
    <x v="0"/>
    <s v="DK1_Large"/>
    <x v="4"/>
    <x v="28"/>
    <x v="0"/>
    <x v="21"/>
    <n v="6.1764705882352899"/>
    <n v="2254.4117647058802"/>
    <n v="8115.8823529411802"/>
  </r>
  <r>
    <x v="0"/>
    <x v="0"/>
    <x v="0"/>
    <x v="0"/>
    <x v="0"/>
    <s v="DK1_Large"/>
    <x v="4"/>
    <x v="28"/>
    <x v="0"/>
    <x v="22"/>
    <n v="6.1764705882352899"/>
    <n v="2254.4117647058802"/>
    <n v="8115.8823529411802"/>
  </r>
  <r>
    <x v="0"/>
    <x v="0"/>
    <x v="0"/>
    <x v="0"/>
    <x v="0"/>
    <s v="DK1_Large"/>
    <x v="4"/>
    <x v="28"/>
    <x v="0"/>
    <x v="23"/>
    <n v="6.1764705882352899"/>
    <n v="2254.4117647058802"/>
    <n v="8115.8823529411802"/>
  </r>
  <r>
    <x v="0"/>
    <x v="0"/>
    <x v="0"/>
    <x v="0"/>
    <x v="0"/>
    <s v="DK1_Large"/>
    <x v="4"/>
    <x v="29"/>
    <x v="0"/>
    <x v="0"/>
    <n v="119.230769230769"/>
    <n v="43519.2307692307"/>
    <n v="156669.23076923101"/>
  </r>
  <r>
    <x v="0"/>
    <x v="0"/>
    <x v="0"/>
    <x v="0"/>
    <x v="0"/>
    <s v="DK1_Large"/>
    <x v="4"/>
    <x v="29"/>
    <x v="0"/>
    <x v="1"/>
    <n v="119.230769230769"/>
    <n v="43519.2307692307"/>
    <n v="156669.23076923101"/>
  </r>
  <r>
    <x v="0"/>
    <x v="0"/>
    <x v="0"/>
    <x v="0"/>
    <x v="0"/>
    <s v="DK1_Large"/>
    <x v="4"/>
    <x v="29"/>
    <x v="0"/>
    <x v="2"/>
    <n v="119.230769230769"/>
    <n v="43519.2307692307"/>
    <n v="156669.23076923101"/>
  </r>
  <r>
    <x v="0"/>
    <x v="0"/>
    <x v="0"/>
    <x v="0"/>
    <x v="0"/>
    <s v="DK1_Large"/>
    <x v="4"/>
    <x v="29"/>
    <x v="0"/>
    <x v="3"/>
    <n v="119.230769230769"/>
    <n v="43519.2307692307"/>
    <n v="156669.23076923101"/>
  </r>
  <r>
    <x v="0"/>
    <x v="0"/>
    <x v="0"/>
    <x v="0"/>
    <x v="0"/>
    <s v="DK1_Large"/>
    <x v="4"/>
    <x v="29"/>
    <x v="0"/>
    <x v="4"/>
    <n v="119.230769230769"/>
    <n v="43519.2307692307"/>
    <n v="156669.23076923101"/>
  </r>
  <r>
    <x v="0"/>
    <x v="0"/>
    <x v="0"/>
    <x v="0"/>
    <x v="0"/>
    <s v="DK1_Large"/>
    <x v="4"/>
    <x v="29"/>
    <x v="0"/>
    <x v="5"/>
    <n v="119.230769230769"/>
    <n v="43519.2307692307"/>
    <n v="156669.23076923101"/>
  </r>
  <r>
    <x v="0"/>
    <x v="0"/>
    <x v="0"/>
    <x v="0"/>
    <x v="0"/>
    <s v="DK1_Large"/>
    <x v="4"/>
    <x v="29"/>
    <x v="0"/>
    <x v="6"/>
    <n v="119.230769230769"/>
    <n v="43519.2307692307"/>
    <n v="156669.23076923101"/>
  </r>
  <r>
    <x v="0"/>
    <x v="0"/>
    <x v="0"/>
    <x v="0"/>
    <x v="0"/>
    <s v="DK1_Large"/>
    <x v="4"/>
    <x v="29"/>
    <x v="0"/>
    <x v="7"/>
    <n v="119.230769230769"/>
    <n v="43519.2307692307"/>
    <n v="156669.23076923101"/>
  </r>
  <r>
    <x v="0"/>
    <x v="0"/>
    <x v="0"/>
    <x v="0"/>
    <x v="0"/>
    <s v="DK1_Large"/>
    <x v="4"/>
    <x v="29"/>
    <x v="0"/>
    <x v="8"/>
    <n v="119.230769230769"/>
    <n v="43519.2307692307"/>
    <n v="156669.23076923101"/>
  </r>
  <r>
    <x v="0"/>
    <x v="0"/>
    <x v="0"/>
    <x v="0"/>
    <x v="0"/>
    <s v="DK1_Large"/>
    <x v="4"/>
    <x v="29"/>
    <x v="0"/>
    <x v="9"/>
    <n v="119.230769230769"/>
    <n v="43519.2307692307"/>
    <n v="156669.23076923101"/>
  </r>
  <r>
    <x v="0"/>
    <x v="0"/>
    <x v="0"/>
    <x v="0"/>
    <x v="0"/>
    <s v="DK1_Large"/>
    <x v="4"/>
    <x v="29"/>
    <x v="0"/>
    <x v="10"/>
    <n v="119.230769230769"/>
    <n v="43519.2307692307"/>
    <n v="156669.23076923101"/>
  </r>
  <r>
    <x v="0"/>
    <x v="0"/>
    <x v="0"/>
    <x v="0"/>
    <x v="0"/>
    <s v="DK1_Large"/>
    <x v="4"/>
    <x v="29"/>
    <x v="0"/>
    <x v="11"/>
    <n v="119.230769230769"/>
    <n v="43519.2307692307"/>
    <n v="156669.23076923101"/>
  </r>
  <r>
    <x v="0"/>
    <x v="0"/>
    <x v="0"/>
    <x v="0"/>
    <x v="0"/>
    <s v="DK1_Large"/>
    <x v="4"/>
    <x v="29"/>
    <x v="0"/>
    <x v="12"/>
    <n v="119.230769230769"/>
    <n v="43519.2307692307"/>
    <n v="156669.23076923101"/>
  </r>
  <r>
    <x v="0"/>
    <x v="0"/>
    <x v="0"/>
    <x v="0"/>
    <x v="0"/>
    <s v="DK1_Large"/>
    <x v="4"/>
    <x v="29"/>
    <x v="0"/>
    <x v="13"/>
    <n v="119.230769230769"/>
    <n v="43519.2307692307"/>
    <n v="156669.23076923101"/>
  </r>
  <r>
    <x v="0"/>
    <x v="0"/>
    <x v="0"/>
    <x v="0"/>
    <x v="0"/>
    <s v="DK1_Large"/>
    <x v="4"/>
    <x v="29"/>
    <x v="0"/>
    <x v="14"/>
    <n v="119.230769230769"/>
    <n v="43519.2307692307"/>
    <n v="156669.23076923101"/>
  </r>
  <r>
    <x v="0"/>
    <x v="0"/>
    <x v="0"/>
    <x v="0"/>
    <x v="0"/>
    <s v="DK1_Large"/>
    <x v="4"/>
    <x v="29"/>
    <x v="0"/>
    <x v="15"/>
    <n v="119.230769230769"/>
    <n v="43519.2307692307"/>
    <n v="156669.23076923101"/>
  </r>
  <r>
    <x v="0"/>
    <x v="0"/>
    <x v="0"/>
    <x v="0"/>
    <x v="0"/>
    <s v="DK1_Large"/>
    <x v="4"/>
    <x v="29"/>
    <x v="0"/>
    <x v="16"/>
    <n v="119.230769230769"/>
    <n v="43519.2307692307"/>
    <n v="156669.23076923101"/>
  </r>
  <r>
    <x v="0"/>
    <x v="0"/>
    <x v="0"/>
    <x v="0"/>
    <x v="0"/>
    <s v="DK1_Large"/>
    <x v="4"/>
    <x v="29"/>
    <x v="0"/>
    <x v="17"/>
    <n v="119.230769230769"/>
    <n v="43519.2307692307"/>
    <n v="156669.23076923101"/>
  </r>
  <r>
    <x v="0"/>
    <x v="0"/>
    <x v="0"/>
    <x v="0"/>
    <x v="0"/>
    <s v="DK1_Large"/>
    <x v="4"/>
    <x v="29"/>
    <x v="0"/>
    <x v="18"/>
    <n v="119.230769230769"/>
    <n v="43519.2307692307"/>
    <n v="156669.23076923101"/>
  </r>
  <r>
    <x v="0"/>
    <x v="0"/>
    <x v="0"/>
    <x v="0"/>
    <x v="0"/>
    <s v="DK1_Large"/>
    <x v="4"/>
    <x v="29"/>
    <x v="0"/>
    <x v="19"/>
    <n v="119.230769230769"/>
    <n v="43519.2307692307"/>
    <n v="156669.23076923101"/>
  </r>
  <r>
    <x v="0"/>
    <x v="0"/>
    <x v="0"/>
    <x v="0"/>
    <x v="0"/>
    <s v="DK1_Large"/>
    <x v="4"/>
    <x v="29"/>
    <x v="0"/>
    <x v="20"/>
    <n v="119.230769230769"/>
    <n v="43519.2307692307"/>
    <n v="156669.23076923101"/>
  </r>
  <r>
    <x v="0"/>
    <x v="0"/>
    <x v="0"/>
    <x v="0"/>
    <x v="0"/>
    <s v="DK1_Large"/>
    <x v="4"/>
    <x v="29"/>
    <x v="0"/>
    <x v="21"/>
    <n v="119.230769230769"/>
    <n v="43519.2307692307"/>
    <n v="156669.23076923101"/>
  </r>
  <r>
    <x v="0"/>
    <x v="0"/>
    <x v="0"/>
    <x v="0"/>
    <x v="0"/>
    <s v="DK1_Large"/>
    <x v="4"/>
    <x v="29"/>
    <x v="0"/>
    <x v="22"/>
    <n v="119.230769230769"/>
    <n v="43519.2307692307"/>
    <n v="156669.23076923101"/>
  </r>
  <r>
    <x v="0"/>
    <x v="0"/>
    <x v="0"/>
    <x v="0"/>
    <x v="0"/>
    <s v="DK1_Large"/>
    <x v="4"/>
    <x v="29"/>
    <x v="0"/>
    <x v="23"/>
    <n v="119.230769230769"/>
    <n v="43519.2307692307"/>
    <n v="156669.23076923101"/>
  </r>
  <r>
    <x v="0"/>
    <x v="0"/>
    <x v="0"/>
    <x v="0"/>
    <x v="0"/>
    <s v="DK1_Large"/>
    <x v="5"/>
    <x v="30"/>
    <x v="0"/>
    <x v="0"/>
    <n v="174.14"/>
    <n v="63561.1"/>
    <n v="228819.96"/>
  </r>
  <r>
    <x v="0"/>
    <x v="0"/>
    <x v="0"/>
    <x v="0"/>
    <x v="0"/>
    <s v="DK1_Large"/>
    <x v="5"/>
    <x v="30"/>
    <x v="0"/>
    <x v="1"/>
    <n v="174.14"/>
    <n v="63561.1"/>
    <n v="228819.96"/>
  </r>
  <r>
    <x v="0"/>
    <x v="0"/>
    <x v="0"/>
    <x v="0"/>
    <x v="0"/>
    <s v="DK1_Large"/>
    <x v="5"/>
    <x v="30"/>
    <x v="0"/>
    <x v="2"/>
    <n v="174.14"/>
    <n v="63561.1"/>
    <n v="228819.96"/>
  </r>
  <r>
    <x v="0"/>
    <x v="0"/>
    <x v="0"/>
    <x v="0"/>
    <x v="0"/>
    <s v="DK1_Large"/>
    <x v="5"/>
    <x v="30"/>
    <x v="0"/>
    <x v="3"/>
    <n v="174.14"/>
    <n v="63561.1"/>
    <n v="228819.96"/>
  </r>
  <r>
    <x v="0"/>
    <x v="0"/>
    <x v="0"/>
    <x v="0"/>
    <x v="0"/>
    <s v="DK1_Large"/>
    <x v="5"/>
    <x v="30"/>
    <x v="0"/>
    <x v="4"/>
    <n v="174.14"/>
    <n v="63561.1"/>
    <n v="228819.96"/>
  </r>
  <r>
    <x v="0"/>
    <x v="0"/>
    <x v="0"/>
    <x v="0"/>
    <x v="0"/>
    <s v="DK1_Large"/>
    <x v="5"/>
    <x v="30"/>
    <x v="0"/>
    <x v="5"/>
    <n v="174.14"/>
    <n v="63561.1"/>
    <n v="228819.96"/>
  </r>
  <r>
    <x v="0"/>
    <x v="0"/>
    <x v="0"/>
    <x v="0"/>
    <x v="0"/>
    <s v="DK1_Large"/>
    <x v="5"/>
    <x v="30"/>
    <x v="0"/>
    <x v="6"/>
    <n v="174.14"/>
    <n v="63561.1"/>
    <n v="228819.96"/>
  </r>
  <r>
    <x v="0"/>
    <x v="0"/>
    <x v="0"/>
    <x v="0"/>
    <x v="0"/>
    <s v="DK1_Large"/>
    <x v="5"/>
    <x v="30"/>
    <x v="0"/>
    <x v="7"/>
    <n v="174.14"/>
    <n v="63561.1"/>
    <n v="228819.96"/>
  </r>
  <r>
    <x v="0"/>
    <x v="0"/>
    <x v="0"/>
    <x v="0"/>
    <x v="0"/>
    <s v="DK1_Large"/>
    <x v="5"/>
    <x v="30"/>
    <x v="0"/>
    <x v="8"/>
    <n v="174.14"/>
    <n v="63561.1"/>
    <n v="228819.96"/>
  </r>
  <r>
    <x v="0"/>
    <x v="0"/>
    <x v="0"/>
    <x v="0"/>
    <x v="0"/>
    <s v="DK1_Large"/>
    <x v="5"/>
    <x v="30"/>
    <x v="0"/>
    <x v="9"/>
    <n v="174.14"/>
    <n v="63561.1"/>
    <n v="228819.96"/>
  </r>
  <r>
    <x v="0"/>
    <x v="0"/>
    <x v="0"/>
    <x v="0"/>
    <x v="0"/>
    <s v="DK1_Large"/>
    <x v="5"/>
    <x v="30"/>
    <x v="0"/>
    <x v="10"/>
    <n v="174.14"/>
    <n v="63561.1"/>
    <n v="228819.96"/>
  </r>
  <r>
    <x v="0"/>
    <x v="0"/>
    <x v="0"/>
    <x v="0"/>
    <x v="0"/>
    <s v="DK1_Large"/>
    <x v="5"/>
    <x v="30"/>
    <x v="0"/>
    <x v="11"/>
    <n v="174.14"/>
    <n v="63561.1"/>
    <n v="228819.96"/>
  </r>
  <r>
    <x v="0"/>
    <x v="0"/>
    <x v="0"/>
    <x v="0"/>
    <x v="0"/>
    <s v="DK1_Large"/>
    <x v="5"/>
    <x v="30"/>
    <x v="0"/>
    <x v="12"/>
    <n v="174.14"/>
    <n v="63561.1"/>
    <n v="228819.96"/>
  </r>
  <r>
    <x v="0"/>
    <x v="0"/>
    <x v="0"/>
    <x v="0"/>
    <x v="0"/>
    <s v="DK1_Large"/>
    <x v="5"/>
    <x v="30"/>
    <x v="0"/>
    <x v="13"/>
    <n v="174.14"/>
    <n v="63561.1"/>
    <n v="228819.96"/>
  </r>
  <r>
    <x v="0"/>
    <x v="0"/>
    <x v="0"/>
    <x v="0"/>
    <x v="0"/>
    <s v="DK1_Large"/>
    <x v="5"/>
    <x v="30"/>
    <x v="0"/>
    <x v="14"/>
    <n v="174.14"/>
    <n v="63561.1"/>
    <n v="228819.96"/>
  </r>
  <r>
    <x v="0"/>
    <x v="0"/>
    <x v="0"/>
    <x v="0"/>
    <x v="0"/>
    <s v="DK1_Large"/>
    <x v="5"/>
    <x v="30"/>
    <x v="0"/>
    <x v="15"/>
    <n v="174.14"/>
    <n v="63561.1"/>
    <n v="228819.96"/>
  </r>
  <r>
    <x v="0"/>
    <x v="0"/>
    <x v="0"/>
    <x v="0"/>
    <x v="0"/>
    <s v="DK1_Large"/>
    <x v="5"/>
    <x v="30"/>
    <x v="0"/>
    <x v="16"/>
    <n v="174.14"/>
    <n v="63561.1"/>
    <n v="228819.96"/>
  </r>
  <r>
    <x v="0"/>
    <x v="0"/>
    <x v="0"/>
    <x v="0"/>
    <x v="0"/>
    <s v="DK1_Large"/>
    <x v="5"/>
    <x v="30"/>
    <x v="0"/>
    <x v="17"/>
    <n v="174.14"/>
    <n v="63561.1"/>
    <n v="228819.96"/>
  </r>
  <r>
    <x v="0"/>
    <x v="0"/>
    <x v="0"/>
    <x v="0"/>
    <x v="0"/>
    <s v="DK1_Large"/>
    <x v="5"/>
    <x v="30"/>
    <x v="0"/>
    <x v="18"/>
    <n v="174.14"/>
    <n v="63561.1"/>
    <n v="228819.96"/>
  </r>
  <r>
    <x v="0"/>
    <x v="0"/>
    <x v="0"/>
    <x v="0"/>
    <x v="0"/>
    <s v="DK1_Large"/>
    <x v="5"/>
    <x v="30"/>
    <x v="0"/>
    <x v="19"/>
    <n v="174.14"/>
    <n v="63561.1"/>
    <n v="228819.96"/>
  </r>
  <r>
    <x v="0"/>
    <x v="0"/>
    <x v="0"/>
    <x v="0"/>
    <x v="0"/>
    <s v="DK1_Large"/>
    <x v="5"/>
    <x v="30"/>
    <x v="0"/>
    <x v="20"/>
    <n v="174.14"/>
    <n v="63561.1"/>
    <n v="228819.96"/>
  </r>
  <r>
    <x v="0"/>
    <x v="0"/>
    <x v="0"/>
    <x v="0"/>
    <x v="0"/>
    <s v="DK1_Large"/>
    <x v="5"/>
    <x v="30"/>
    <x v="0"/>
    <x v="21"/>
    <n v="174.14"/>
    <n v="63561.1"/>
    <n v="228819.96"/>
  </r>
  <r>
    <x v="0"/>
    <x v="0"/>
    <x v="0"/>
    <x v="0"/>
    <x v="0"/>
    <s v="DK1_Large"/>
    <x v="5"/>
    <x v="30"/>
    <x v="0"/>
    <x v="22"/>
    <n v="174.14"/>
    <n v="63561.1"/>
    <n v="228819.96"/>
  </r>
  <r>
    <x v="0"/>
    <x v="0"/>
    <x v="0"/>
    <x v="0"/>
    <x v="0"/>
    <s v="DK1_Large"/>
    <x v="5"/>
    <x v="30"/>
    <x v="0"/>
    <x v="23"/>
    <n v="174.14"/>
    <n v="63561.1"/>
    <n v="228819.96"/>
  </r>
  <r>
    <x v="0"/>
    <x v="0"/>
    <x v="0"/>
    <x v="0"/>
    <x v="0"/>
    <s v="DK1_Large"/>
    <x v="6"/>
    <x v="31"/>
    <x v="0"/>
    <x v="0"/>
    <n v="20"/>
    <n v="7300"/>
    <n v="26280"/>
  </r>
  <r>
    <x v="0"/>
    <x v="0"/>
    <x v="0"/>
    <x v="0"/>
    <x v="0"/>
    <s v="DK1_Large"/>
    <x v="6"/>
    <x v="31"/>
    <x v="0"/>
    <x v="1"/>
    <n v="20"/>
    <n v="7300"/>
    <n v="26280"/>
  </r>
  <r>
    <x v="0"/>
    <x v="0"/>
    <x v="0"/>
    <x v="0"/>
    <x v="0"/>
    <s v="DK1_Large"/>
    <x v="6"/>
    <x v="31"/>
    <x v="0"/>
    <x v="2"/>
    <n v="20"/>
    <n v="7300"/>
    <n v="26280"/>
  </r>
  <r>
    <x v="0"/>
    <x v="0"/>
    <x v="0"/>
    <x v="0"/>
    <x v="0"/>
    <s v="DK1_Large"/>
    <x v="6"/>
    <x v="31"/>
    <x v="0"/>
    <x v="3"/>
    <n v="20"/>
    <n v="7300"/>
    <n v="26280"/>
  </r>
  <r>
    <x v="0"/>
    <x v="0"/>
    <x v="0"/>
    <x v="0"/>
    <x v="0"/>
    <s v="DK1_Large"/>
    <x v="6"/>
    <x v="31"/>
    <x v="0"/>
    <x v="4"/>
    <n v="20"/>
    <n v="7300"/>
    <n v="26280"/>
  </r>
  <r>
    <x v="0"/>
    <x v="0"/>
    <x v="0"/>
    <x v="0"/>
    <x v="0"/>
    <s v="DK1_Large"/>
    <x v="6"/>
    <x v="31"/>
    <x v="0"/>
    <x v="5"/>
    <n v="20"/>
    <n v="7300"/>
    <n v="26280"/>
  </r>
  <r>
    <x v="0"/>
    <x v="0"/>
    <x v="0"/>
    <x v="0"/>
    <x v="0"/>
    <s v="DK1_Large"/>
    <x v="6"/>
    <x v="31"/>
    <x v="0"/>
    <x v="6"/>
    <n v="20"/>
    <n v="7300"/>
    <n v="26280"/>
  </r>
  <r>
    <x v="0"/>
    <x v="0"/>
    <x v="0"/>
    <x v="0"/>
    <x v="0"/>
    <s v="DK1_Large"/>
    <x v="6"/>
    <x v="31"/>
    <x v="0"/>
    <x v="7"/>
    <n v="20"/>
    <n v="7300"/>
    <n v="26280"/>
  </r>
  <r>
    <x v="0"/>
    <x v="0"/>
    <x v="0"/>
    <x v="0"/>
    <x v="0"/>
    <s v="DK1_Large"/>
    <x v="6"/>
    <x v="31"/>
    <x v="0"/>
    <x v="8"/>
    <n v="20"/>
    <n v="7300"/>
    <n v="26280"/>
  </r>
  <r>
    <x v="0"/>
    <x v="0"/>
    <x v="0"/>
    <x v="0"/>
    <x v="0"/>
    <s v="DK1_Large"/>
    <x v="6"/>
    <x v="31"/>
    <x v="0"/>
    <x v="9"/>
    <n v="20"/>
    <n v="7300"/>
    <n v="26280"/>
  </r>
  <r>
    <x v="0"/>
    <x v="0"/>
    <x v="0"/>
    <x v="0"/>
    <x v="0"/>
    <s v="DK1_Large"/>
    <x v="6"/>
    <x v="31"/>
    <x v="0"/>
    <x v="10"/>
    <n v="20"/>
    <n v="7300"/>
    <n v="26280"/>
  </r>
  <r>
    <x v="0"/>
    <x v="0"/>
    <x v="0"/>
    <x v="0"/>
    <x v="0"/>
    <s v="DK1_Large"/>
    <x v="6"/>
    <x v="31"/>
    <x v="0"/>
    <x v="11"/>
    <n v="20"/>
    <n v="7300"/>
    <n v="26280"/>
  </r>
  <r>
    <x v="0"/>
    <x v="0"/>
    <x v="0"/>
    <x v="0"/>
    <x v="0"/>
    <s v="DK1_Large"/>
    <x v="6"/>
    <x v="31"/>
    <x v="0"/>
    <x v="12"/>
    <n v="20"/>
    <n v="7300"/>
    <n v="26280"/>
  </r>
  <r>
    <x v="0"/>
    <x v="0"/>
    <x v="0"/>
    <x v="0"/>
    <x v="0"/>
    <s v="DK1_Large"/>
    <x v="6"/>
    <x v="31"/>
    <x v="0"/>
    <x v="13"/>
    <n v="20"/>
    <n v="7300"/>
    <n v="26280"/>
  </r>
  <r>
    <x v="0"/>
    <x v="0"/>
    <x v="0"/>
    <x v="0"/>
    <x v="0"/>
    <s v="DK1_Large"/>
    <x v="6"/>
    <x v="31"/>
    <x v="0"/>
    <x v="14"/>
    <n v="20"/>
    <n v="7300"/>
    <n v="26280"/>
  </r>
  <r>
    <x v="0"/>
    <x v="0"/>
    <x v="0"/>
    <x v="0"/>
    <x v="0"/>
    <s v="DK1_Large"/>
    <x v="6"/>
    <x v="31"/>
    <x v="0"/>
    <x v="15"/>
    <n v="20"/>
    <n v="7300"/>
    <n v="26280"/>
  </r>
  <r>
    <x v="0"/>
    <x v="0"/>
    <x v="0"/>
    <x v="0"/>
    <x v="0"/>
    <s v="DK1_Large"/>
    <x v="6"/>
    <x v="31"/>
    <x v="0"/>
    <x v="16"/>
    <n v="20"/>
    <n v="7300"/>
    <n v="26280"/>
  </r>
  <r>
    <x v="0"/>
    <x v="0"/>
    <x v="0"/>
    <x v="0"/>
    <x v="0"/>
    <s v="DK1_Large"/>
    <x v="6"/>
    <x v="31"/>
    <x v="0"/>
    <x v="17"/>
    <n v="20"/>
    <n v="7300"/>
    <n v="26280"/>
  </r>
  <r>
    <x v="0"/>
    <x v="0"/>
    <x v="0"/>
    <x v="0"/>
    <x v="0"/>
    <s v="DK1_Large"/>
    <x v="6"/>
    <x v="31"/>
    <x v="0"/>
    <x v="18"/>
    <n v="20"/>
    <n v="7300"/>
    <n v="26280"/>
  </r>
  <r>
    <x v="0"/>
    <x v="0"/>
    <x v="0"/>
    <x v="0"/>
    <x v="0"/>
    <s v="DK1_Large"/>
    <x v="6"/>
    <x v="31"/>
    <x v="0"/>
    <x v="19"/>
    <n v="20"/>
    <n v="7300"/>
    <n v="26280"/>
  </r>
  <r>
    <x v="0"/>
    <x v="0"/>
    <x v="0"/>
    <x v="0"/>
    <x v="0"/>
    <s v="DK1_Large"/>
    <x v="6"/>
    <x v="31"/>
    <x v="0"/>
    <x v="20"/>
    <n v="20"/>
    <n v="7300"/>
    <n v="26280"/>
  </r>
  <r>
    <x v="0"/>
    <x v="0"/>
    <x v="0"/>
    <x v="0"/>
    <x v="0"/>
    <s v="DK1_Large"/>
    <x v="6"/>
    <x v="31"/>
    <x v="0"/>
    <x v="21"/>
    <n v="20"/>
    <n v="7300"/>
    <n v="26280"/>
  </r>
  <r>
    <x v="0"/>
    <x v="0"/>
    <x v="0"/>
    <x v="0"/>
    <x v="0"/>
    <s v="DK1_Large"/>
    <x v="6"/>
    <x v="31"/>
    <x v="0"/>
    <x v="22"/>
    <n v="20"/>
    <n v="7300"/>
    <n v="26280"/>
  </r>
  <r>
    <x v="0"/>
    <x v="0"/>
    <x v="0"/>
    <x v="0"/>
    <x v="0"/>
    <s v="DK1_Large"/>
    <x v="6"/>
    <x v="31"/>
    <x v="0"/>
    <x v="23"/>
    <n v="20"/>
    <n v="7300"/>
    <n v="26280"/>
  </r>
  <r>
    <x v="0"/>
    <x v="0"/>
    <x v="0"/>
    <x v="0"/>
    <x v="0"/>
    <s v="DK1_Large"/>
    <x v="6"/>
    <x v="32"/>
    <x v="0"/>
    <x v="0"/>
    <n v="32.6086956521739"/>
    <n v="11902.1739130435"/>
    <n v="42847.826086956498"/>
  </r>
  <r>
    <x v="0"/>
    <x v="0"/>
    <x v="0"/>
    <x v="0"/>
    <x v="0"/>
    <s v="DK1_Large"/>
    <x v="6"/>
    <x v="32"/>
    <x v="0"/>
    <x v="1"/>
    <n v="32.6086956521739"/>
    <n v="11902.1739130435"/>
    <n v="42847.826086956498"/>
  </r>
  <r>
    <x v="0"/>
    <x v="0"/>
    <x v="0"/>
    <x v="0"/>
    <x v="0"/>
    <s v="DK1_Large"/>
    <x v="6"/>
    <x v="32"/>
    <x v="0"/>
    <x v="2"/>
    <n v="32.6086956521739"/>
    <n v="11902.1739130435"/>
    <n v="42847.826086956498"/>
  </r>
  <r>
    <x v="0"/>
    <x v="0"/>
    <x v="0"/>
    <x v="0"/>
    <x v="0"/>
    <s v="DK1_Large"/>
    <x v="6"/>
    <x v="32"/>
    <x v="0"/>
    <x v="3"/>
    <n v="32.6086956521739"/>
    <n v="11902.1739130435"/>
    <n v="42847.826086956498"/>
  </r>
  <r>
    <x v="0"/>
    <x v="0"/>
    <x v="0"/>
    <x v="0"/>
    <x v="0"/>
    <s v="DK1_Large"/>
    <x v="6"/>
    <x v="32"/>
    <x v="0"/>
    <x v="4"/>
    <n v="32.6086956521739"/>
    <n v="11902.1739130435"/>
    <n v="42847.826086956498"/>
  </r>
  <r>
    <x v="0"/>
    <x v="0"/>
    <x v="0"/>
    <x v="0"/>
    <x v="0"/>
    <s v="DK1_Large"/>
    <x v="6"/>
    <x v="32"/>
    <x v="0"/>
    <x v="5"/>
    <n v="32.6086956521739"/>
    <n v="11902.1739130435"/>
    <n v="42847.826086956498"/>
  </r>
  <r>
    <x v="0"/>
    <x v="0"/>
    <x v="0"/>
    <x v="0"/>
    <x v="0"/>
    <s v="DK1_Large"/>
    <x v="6"/>
    <x v="32"/>
    <x v="0"/>
    <x v="6"/>
    <n v="32.6086956521739"/>
    <n v="11902.1739130435"/>
    <n v="42847.826086956498"/>
  </r>
  <r>
    <x v="0"/>
    <x v="0"/>
    <x v="0"/>
    <x v="0"/>
    <x v="0"/>
    <s v="DK1_Large"/>
    <x v="6"/>
    <x v="32"/>
    <x v="0"/>
    <x v="7"/>
    <n v="32.6086956521739"/>
    <n v="11902.1739130435"/>
    <n v="42847.826086956498"/>
  </r>
  <r>
    <x v="0"/>
    <x v="0"/>
    <x v="0"/>
    <x v="0"/>
    <x v="0"/>
    <s v="DK1_Large"/>
    <x v="6"/>
    <x v="32"/>
    <x v="0"/>
    <x v="8"/>
    <n v="32.6086956521739"/>
    <n v="11902.1739130435"/>
    <n v="42847.826086956498"/>
  </r>
  <r>
    <x v="0"/>
    <x v="0"/>
    <x v="0"/>
    <x v="0"/>
    <x v="0"/>
    <s v="DK1_Large"/>
    <x v="6"/>
    <x v="32"/>
    <x v="0"/>
    <x v="9"/>
    <n v="32.6086956521739"/>
    <n v="11902.1739130435"/>
    <n v="42847.826086956498"/>
  </r>
  <r>
    <x v="0"/>
    <x v="0"/>
    <x v="0"/>
    <x v="0"/>
    <x v="0"/>
    <s v="DK1_Large"/>
    <x v="6"/>
    <x v="32"/>
    <x v="0"/>
    <x v="10"/>
    <n v="32.6086956521739"/>
    <n v="11902.1739130435"/>
    <n v="42847.826086956498"/>
  </r>
  <r>
    <x v="0"/>
    <x v="0"/>
    <x v="0"/>
    <x v="0"/>
    <x v="0"/>
    <s v="DK1_Large"/>
    <x v="6"/>
    <x v="32"/>
    <x v="0"/>
    <x v="11"/>
    <n v="32.6086956521739"/>
    <n v="11902.1739130435"/>
    <n v="42847.826086956498"/>
  </r>
  <r>
    <x v="0"/>
    <x v="0"/>
    <x v="0"/>
    <x v="0"/>
    <x v="0"/>
    <s v="DK1_Large"/>
    <x v="6"/>
    <x v="32"/>
    <x v="0"/>
    <x v="12"/>
    <n v="32.6086956521739"/>
    <n v="11902.1739130435"/>
    <n v="42847.826086956498"/>
  </r>
  <r>
    <x v="0"/>
    <x v="0"/>
    <x v="0"/>
    <x v="0"/>
    <x v="0"/>
    <s v="DK1_Large"/>
    <x v="6"/>
    <x v="32"/>
    <x v="0"/>
    <x v="13"/>
    <n v="32.6086956521739"/>
    <n v="11902.1739130435"/>
    <n v="42847.826086956498"/>
  </r>
  <r>
    <x v="0"/>
    <x v="0"/>
    <x v="0"/>
    <x v="0"/>
    <x v="0"/>
    <s v="DK1_Large"/>
    <x v="6"/>
    <x v="32"/>
    <x v="0"/>
    <x v="14"/>
    <n v="32.6086956521739"/>
    <n v="11902.1739130435"/>
    <n v="42847.826086956498"/>
  </r>
  <r>
    <x v="0"/>
    <x v="0"/>
    <x v="0"/>
    <x v="0"/>
    <x v="0"/>
    <s v="DK1_Large"/>
    <x v="6"/>
    <x v="32"/>
    <x v="0"/>
    <x v="15"/>
    <n v="32.6086956521739"/>
    <n v="11902.1739130435"/>
    <n v="42847.826086956498"/>
  </r>
  <r>
    <x v="0"/>
    <x v="0"/>
    <x v="0"/>
    <x v="0"/>
    <x v="0"/>
    <s v="DK1_Large"/>
    <x v="6"/>
    <x v="32"/>
    <x v="0"/>
    <x v="16"/>
    <n v="32.6086956521739"/>
    <n v="11902.1739130435"/>
    <n v="42847.826086956498"/>
  </r>
  <r>
    <x v="0"/>
    <x v="0"/>
    <x v="0"/>
    <x v="0"/>
    <x v="0"/>
    <s v="DK1_Large"/>
    <x v="6"/>
    <x v="32"/>
    <x v="0"/>
    <x v="17"/>
    <n v="32.6086956521739"/>
    <n v="11902.1739130435"/>
    <n v="42847.826086956498"/>
  </r>
  <r>
    <x v="0"/>
    <x v="0"/>
    <x v="0"/>
    <x v="0"/>
    <x v="0"/>
    <s v="DK1_Large"/>
    <x v="6"/>
    <x v="32"/>
    <x v="0"/>
    <x v="18"/>
    <n v="32.6086956521739"/>
    <n v="11902.1739130435"/>
    <n v="42847.826086956498"/>
  </r>
  <r>
    <x v="0"/>
    <x v="0"/>
    <x v="0"/>
    <x v="0"/>
    <x v="0"/>
    <s v="DK1_Large"/>
    <x v="6"/>
    <x v="32"/>
    <x v="0"/>
    <x v="19"/>
    <n v="32.6086956521739"/>
    <n v="11902.1739130435"/>
    <n v="42847.826086956498"/>
  </r>
  <r>
    <x v="0"/>
    <x v="0"/>
    <x v="0"/>
    <x v="0"/>
    <x v="0"/>
    <s v="DK1_Large"/>
    <x v="6"/>
    <x v="32"/>
    <x v="0"/>
    <x v="20"/>
    <n v="32.6086956521739"/>
    <n v="11902.1739130435"/>
    <n v="42847.826086956498"/>
  </r>
  <r>
    <x v="0"/>
    <x v="0"/>
    <x v="0"/>
    <x v="0"/>
    <x v="0"/>
    <s v="DK1_Large"/>
    <x v="6"/>
    <x v="32"/>
    <x v="0"/>
    <x v="21"/>
    <n v="32.6086956521739"/>
    <n v="11902.1739130435"/>
    <n v="42847.826086956498"/>
  </r>
  <r>
    <x v="0"/>
    <x v="0"/>
    <x v="0"/>
    <x v="0"/>
    <x v="0"/>
    <s v="DK1_Large"/>
    <x v="6"/>
    <x v="32"/>
    <x v="0"/>
    <x v="22"/>
    <n v="32.6086956521739"/>
    <n v="11902.1739130435"/>
    <n v="42847.826086956498"/>
  </r>
  <r>
    <x v="0"/>
    <x v="0"/>
    <x v="0"/>
    <x v="0"/>
    <x v="0"/>
    <s v="DK1_Large"/>
    <x v="6"/>
    <x v="32"/>
    <x v="0"/>
    <x v="23"/>
    <n v="32.6086956521739"/>
    <n v="11902.1739130435"/>
    <n v="42847.826086956498"/>
  </r>
  <r>
    <x v="0"/>
    <x v="0"/>
    <x v="0"/>
    <x v="0"/>
    <x v="0"/>
    <s v="DK1_Large"/>
    <x v="7"/>
    <x v="33"/>
    <x v="0"/>
    <x v="0"/>
    <n v="13.349"/>
    <n v="4872.3850000000002"/>
    <n v="17540.585999999999"/>
  </r>
  <r>
    <x v="0"/>
    <x v="0"/>
    <x v="0"/>
    <x v="0"/>
    <x v="0"/>
    <s v="DK1_Large"/>
    <x v="7"/>
    <x v="33"/>
    <x v="0"/>
    <x v="1"/>
    <n v="13.349"/>
    <n v="4872.3850000000002"/>
    <n v="17540.585999999999"/>
  </r>
  <r>
    <x v="0"/>
    <x v="0"/>
    <x v="0"/>
    <x v="0"/>
    <x v="0"/>
    <s v="DK1_Large"/>
    <x v="7"/>
    <x v="33"/>
    <x v="0"/>
    <x v="2"/>
    <n v="13.349"/>
    <n v="4872.3850000000002"/>
    <n v="17540.585999999999"/>
  </r>
  <r>
    <x v="0"/>
    <x v="0"/>
    <x v="0"/>
    <x v="0"/>
    <x v="0"/>
    <s v="DK1_Large"/>
    <x v="7"/>
    <x v="33"/>
    <x v="0"/>
    <x v="3"/>
    <n v="13.349"/>
    <n v="4872.3850000000002"/>
    <n v="17540.585999999999"/>
  </r>
  <r>
    <x v="0"/>
    <x v="0"/>
    <x v="0"/>
    <x v="0"/>
    <x v="0"/>
    <s v="DK1_Large"/>
    <x v="7"/>
    <x v="33"/>
    <x v="0"/>
    <x v="4"/>
    <n v="13.349"/>
    <n v="4872.3850000000002"/>
    <n v="17540.585999999999"/>
  </r>
  <r>
    <x v="0"/>
    <x v="0"/>
    <x v="0"/>
    <x v="0"/>
    <x v="0"/>
    <s v="DK1_Large"/>
    <x v="7"/>
    <x v="33"/>
    <x v="0"/>
    <x v="5"/>
    <n v="13.349"/>
    <n v="4872.3850000000002"/>
    <n v="17540.585999999999"/>
  </r>
  <r>
    <x v="0"/>
    <x v="0"/>
    <x v="0"/>
    <x v="0"/>
    <x v="0"/>
    <s v="DK1_Large"/>
    <x v="7"/>
    <x v="33"/>
    <x v="0"/>
    <x v="6"/>
    <n v="13.349"/>
    <n v="4872.3850000000002"/>
    <n v="17540.585999999999"/>
  </r>
  <r>
    <x v="0"/>
    <x v="0"/>
    <x v="0"/>
    <x v="0"/>
    <x v="0"/>
    <s v="DK1_Large"/>
    <x v="7"/>
    <x v="33"/>
    <x v="0"/>
    <x v="7"/>
    <n v="13.349"/>
    <n v="4872.3850000000002"/>
    <n v="17540.585999999999"/>
  </r>
  <r>
    <x v="0"/>
    <x v="0"/>
    <x v="0"/>
    <x v="0"/>
    <x v="0"/>
    <s v="DK1_Large"/>
    <x v="7"/>
    <x v="33"/>
    <x v="0"/>
    <x v="8"/>
    <n v="13.349"/>
    <n v="4872.3850000000002"/>
    <n v="17540.585999999999"/>
  </r>
  <r>
    <x v="0"/>
    <x v="0"/>
    <x v="0"/>
    <x v="0"/>
    <x v="0"/>
    <s v="DK1_Large"/>
    <x v="7"/>
    <x v="33"/>
    <x v="0"/>
    <x v="9"/>
    <n v="13.349"/>
    <n v="4872.3850000000002"/>
    <n v="17540.585999999999"/>
  </r>
  <r>
    <x v="0"/>
    <x v="0"/>
    <x v="0"/>
    <x v="0"/>
    <x v="0"/>
    <s v="DK1_Large"/>
    <x v="7"/>
    <x v="33"/>
    <x v="0"/>
    <x v="10"/>
    <n v="13.349"/>
    <n v="4872.3850000000002"/>
    <n v="17540.585999999999"/>
  </r>
  <r>
    <x v="0"/>
    <x v="0"/>
    <x v="0"/>
    <x v="0"/>
    <x v="0"/>
    <s v="DK1_Large"/>
    <x v="7"/>
    <x v="33"/>
    <x v="0"/>
    <x v="11"/>
    <n v="13.349"/>
    <n v="4872.3850000000002"/>
    <n v="17540.585999999999"/>
  </r>
  <r>
    <x v="0"/>
    <x v="0"/>
    <x v="0"/>
    <x v="0"/>
    <x v="0"/>
    <s v="DK1_Large"/>
    <x v="7"/>
    <x v="33"/>
    <x v="0"/>
    <x v="12"/>
    <n v="13.349"/>
    <n v="4872.3850000000002"/>
    <n v="17540.585999999999"/>
  </r>
  <r>
    <x v="0"/>
    <x v="0"/>
    <x v="0"/>
    <x v="0"/>
    <x v="0"/>
    <s v="DK1_Large"/>
    <x v="7"/>
    <x v="33"/>
    <x v="0"/>
    <x v="13"/>
    <n v="13.349"/>
    <n v="4872.3850000000002"/>
    <n v="17540.585999999999"/>
  </r>
  <r>
    <x v="0"/>
    <x v="0"/>
    <x v="0"/>
    <x v="0"/>
    <x v="0"/>
    <s v="DK1_Large"/>
    <x v="7"/>
    <x v="33"/>
    <x v="0"/>
    <x v="14"/>
    <n v="13.349"/>
    <n v="4872.3850000000002"/>
    <n v="17540.585999999999"/>
  </r>
  <r>
    <x v="0"/>
    <x v="0"/>
    <x v="0"/>
    <x v="0"/>
    <x v="0"/>
    <s v="DK1_Large"/>
    <x v="7"/>
    <x v="33"/>
    <x v="0"/>
    <x v="15"/>
    <n v="13.349"/>
    <n v="4872.3850000000002"/>
    <n v="17540.585999999999"/>
  </r>
  <r>
    <x v="0"/>
    <x v="0"/>
    <x v="0"/>
    <x v="0"/>
    <x v="0"/>
    <s v="DK1_Large"/>
    <x v="7"/>
    <x v="33"/>
    <x v="0"/>
    <x v="16"/>
    <n v="13.349"/>
    <n v="4872.3850000000002"/>
    <n v="17540.585999999999"/>
  </r>
  <r>
    <x v="0"/>
    <x v="0"/>
    <x v="0"/>
    <x v="0"/>
    <x v="0"/>
    <s v="DK1_Large"/>
    <x v="7"/>
    <x v="33"/>
    <x v="0"/>
    <x v="17"/>
    <n v="13.349"/>
    <n v="4872.3850000000002"/>
    <n v="17540.585999999999"/>
  </r>
  <r>
    <x v="0"/>
    <x v="0"/>
    <x v="0"/>
    <x v="0"/>
    <x v="0"/>
    <s v="DK1_Large"/>
    <x v="7"/>
    <x v="33"/>
    <x v="0"/>
    <x v="18"/>
    <n v="13.349"/>
    <n v="4872.3850000000002"/>
    <n v="17540.585999999999"/>
  </r>
  <r>
    <x v="0"/>
    <x v="0"/>
    <x v="0"/>
    <x v="0"/>
    <x v="0"/>
    <s v="DK1_Large"/>
    <x v="7"/>
    <x v="33"/>
    <x v="0"/>
    <x v="19"/>
    <n v="13.349"/>
    <n v="4872.3850000000002"/>
    <n v="17540.585999999999"/>
  </r>
  <r>
    <x v="0"/>
    <x v="0"/>
    <x v="0"/>
    <x v="0"/>
    <x v="0"/>
    <s v="DK1_Large"/>
    <x v="7"/>
    <x v="33"/>
    <x v="0"/>
    <x v="20"/>
    <n v="13.349"/>
    <n v="4872.3850000000002"/>
    <n v="17540.585999999999"/>
  </r>
  <r>
    <x v="0"/>
    <x v="0"/>
    <x v="0"/>
    <x v="0"/>
    <x v="0"/>
    <s v="DK1_Large"/>
    <x v="7"/>
    <x v="33"/>
    <x v="0"/>
    <x v="21"/>
    <n v="13.349"/>
    <n v="4872.3850000000002"/>
    <n v="17540.585999999999"/>
  </r>
  <r>
    <x v="0"/>
    <x v="0"/>
    <x v="0"/>
    <x v="0"/>
    <x v="0"/>
    <s v="DK1_Large"/>
    <x v="7"/>
    <x v="33"/>
    <x v="0"/>
    <x v="22"/>
    <n v="13.349"/>
    <n v="4872.3850000000002"/>
    <n v="17540.585999999999"/>
  </r>
  <r>
    <x v="0"/>
    <x v="0"/>
    <x v="0"/>
    <x v="0"/>
    <x v="0"/>
    <s v="DK1_Large"/>
    <x v="7"/>
    <x v="33"/>
    <x v="0"/>
    <x v="23"/>
    <n v="13.349"/>
    <n v="4872.3850000000002"/>
    <n v="17540.585999999999"/>
  </r>
  <r>
    <x v="0"/>
    <x v="0"/>
    <x v="0"/>
    <x v="0"/>
    <x v="0"/>
    <s v="DK1_Large"/>
    <x v="7"/>
    <x v="34"/>
    <x v="0"/>
    <x v="0"/>
    <n v="1.76470588235294"/>
    <n v="644.11764705882399"/>
    <n v="2318.8235294117599"/>
  </r>
  <r>
    <x v="0"/>
    <x v="0"/>
    <x v="0"/>
    <x v="0"/>
    <x v="0"/>
    <s v="DK1_Large"/>
    <x v="7"/>
    <x v="34"/>
    <x v="0"/>
    <x v="1"/>
    <n v="1.76470588235294"/>
    <n v="644.11764705882399"/>
    <n v="2318.8235294117599"/>
  </r>
  <r>
    <x v="0"/>
    <x v="0"/>
    <x v="0"/>
    <x v="0"/>
    <x v="0"/>
    <s v="DK1_Large"/>
    <x v="7"/>
    <x v="34"/>
    <x v="0"/>
    <x v="2"/>
    <n v="1.76470588235294"/>
    <n v="644.11764705882399"/>
    <n v="2318.8235294117599"/>
  </r>
  <r>
    <x v="0"/>
    <x v="0"/>
    <x v="0"/>
    <x v="0"/>
    <x v="0"/>
    <s v="DK1_Large"/>
    <x v="7"/>
    <x v="34"/>
    <x v="0"/>
    <x v="3"/>
    <n v="1.76470588235294"/>
    <n v="644.11764705882399"/>
    <n v="2318.8235294117599"/>
  </r>
  <r>
    <x v="0"/>
    <x v="0"/>
    <x v="0"/>
    <x v="0"/>
    <x v="0"/>
    <s v="DK1_Large"/>
    <x v="7"/>
    <x v="34"/>
    <x v="0"/>
    <x v="4"/>
    <n v="1.76470588235294"/>
    <n v="644.11764705882399"/>
    <n v="2318.8235294117599"/>
  </r>
  <r>
    <x v="0"/>
    <x v="0"/>
    <x v="0"/>
    <x v="0"/>
    <x v="0"/>
    <s v="DK1_Large"/>
    <x v="7"/>
    <x v="34"/>
    <x v="0"/>
    <x v="5"/>
    <n v="1.76470588235294"/>
    <n v="644.11764705882399"/>
    <n v="2318.8235294117599"/>
  </r>
  <r>
    <x v="0"/>
    <x v="0"/>
    <x v="0"/>
    <x v="0"/>
    <x v="0"/>
    <s v="DK1_Large"/>
    <x v="7"/>
    <x v="34"/>
    <x v="0"/>
    <x v="6"/>
    <n v="1.76470588235294"/>
    <n v="644.11764705882399"/>
    <n v="2318.8235294117599"/>
  </r>
  <r>
    <x v="0"/>
    <x v="0"/>
    <x v="0"/>
    <x v="0"/>
    <x v="0"/>
    <s v="DK1_Large"/>
    <x v="7"/>
    <x v="34"/>
    <x v="0"/>
    <x v="7"/>
    <n v="1.76470588235294"/>
    <n v="644.11764705882399"/>
    <n v="2318.8235294117599"/>
  </r>
  <r>
    <x v="0"/>
    <x v="0"/>
    <x v="0"/>
    <x v="0"/>
    <x v="0"/>
    <s v="DK1_Large"/>
    <x v="7"/>
    <x v="34"/>
    <x v="0"/>
    <x v="8"/>
    <n v="1.76470588235294"/>
    <n v="644.11764705882399"/>
    <n v="2318.8235294117599"/>
  </r>
  <r>
    <x v="0"/>
    <x v="0"/>
    <x v="0"/>
    <x v="0"/>
    <x v="0"/>
    <s v="DK1_Large"/>
    <x v="7"/>
    <x v="34"/>
    <x v="0"/>
    <x v="9"/>
    <n v="1.76470588235294"/>
    <n v="644.11764705882399"/>
    <n v="2318.8235294117599"/>
  </r>
  <r>
    <x v="0"/>
    <x v="0"/>
    <x v="0"/>
    <x v="0"/>
    <x v="0"/>
    <s v="DK1_Large"/>
    <x v="7"/>
    <x v="34"/>
    <x v="0"/>
    <x v="10"/>
    <n v="1.76470588235294"/>
    <n v="644.11764705882399"/>
    <n v="2318.8235294117599"/>
  </r>
  <r>
    <x v="0"/>
    <x v="0"/>
    <x v="0"/>
    <x v="0"/>
    <x v="0"/>
    <s v="DK1_Large"/>
    <x v="7"/>
    <x v="34"/>
    <x v="0"/>
    <x v="11"/>
    <n v="1.76470588235294"/>
    <n v="644.11764705882399"/>
    <n v="2318.8235294117599"/>
  </r>
  <r>
    <x v="0"/>
    <x v="0"/>
    <x v="0"/>
    <x v="0"/>
    <x v="0"/>
    <s v="DK1_Large"/>
    <x v="7"/>
    <x v="34"/>
    <x v="0"/>
    <x v="12"/>
    <n v="1.76470588235294"/>
    <n v="644.11764705882399"/>
    <n v="2318.8235294117599"/>
  </r>
  <r>
    <x v="0"/>
    <x v="0"/>
    <x v="0"/>
    <x v="0"/>
    <x v="0"/>
    <s v="DK1_Large"/>
    <x v="7"/>
    <x v="34"/>
    <x v="0"/>
    <x v="13"/>
    <n v="1.76470588235294"/>
    <n v="644.11764705882399"/>
    <n v="2318.8235294117599"/>
  </r>
  <r>
    <x v="0"/>
    <x v="0"/>
    <x v="0"/>
    <x v="0"/>
    <x v="0"/>
    <s v="DK1_Large"/>
    <x v="7"/>
    <x v="34"/>
    <x v="0"/>
    <x v="14"/>
    <n v="1.76470588235294"/>
    <n v="644.11764705882399"/>
    <n v="2318.8235294117599"/>
  </r>
  <r>
    <x v="0"/>
    <x v="0"/>
    <x v="0"/>
    <x v="0"/>
    <x v="0"/>
    <s v="DK1_Large"/>
    <x v="7"/>
    <x v="34"/>
    <x v="0"/>
    <x v="15"/>
    <n v="1.76470588235294"/>
    <n v="644.11764705882399"/>
    <n v="2318.8235294117599"/>
  </r>
  <r>
    <x v="0"/>
    <x v="0"/>
    <x v="0"/>
    <x v="0"/>
    <x v="0"/>
    <s v="DK1_Large"/>
    <x v="7"/>
    <x v="34"/>
    <x v="0"/>
    <x v="16"/>
    <n v="1.76470588235294"/>
    <n v="644.11764705882399"/>
    <n v="2318.8235294117599"/>
  </r>
  <r>
    <x v="0"/>
    <x v="0"/>
    <x v="0"/>
    <x v="0"/>
    <x v="0"/>
    <s v="DK1_Large"/>
    <x v="7"/>
    <x v="34"/>
    <x v="0"/>
    <x v="17"/>
    <n v="1.76470588235294"/>
    <n v="644.11764705882399"/>
    <n v="2318.8235294117599"/>
  </r>
  <r>
    <x v="0"/>
    <x v="0"/>
    <x v="0"/>
    <x v="0"/>
    <x v="0"/>
    <s v="DK1_Large"/>
    <x v="7"/>
    <x v="34"/>
    <x v="0"/>
    <x v="18"/>
    <n v="1.76470588235294"/>
    <n v="644.11764705882399"/>
    <n v="2318.8235294117599"/>
  </r>
  <r>
    <x v="0"/>
    <x v="0"/>
    <x v="0"/>
    <x v="0"/>
    <x v="0"/>
    <s v="DK1_Large"/>
    <x v="7"/>
    <x v="34"/>
    <x v="0"/>
    <x v="19"/>
    <n v="1.76470588235294"/>
    <n v="644.11764705882399"/>
    <n v="2318.8235294117599"/>
  </r>
  <r>
    <x v="0"/>
    <x v="0"/>
    <x v="0"/>
    <x v="0"/>
    <x v="0"/>
    <s v="DK1_Large"/>
    <x v="7"/>
    <x v="34"/>
    <x v="0"/>
    <x v="20"/>
    <n v="1.76470588235294"/>
    <n v="644.11764705882399"/>
    <n v="2318.8235294117599"/>
  </r>
  <r>
    <x v="0"/>
    <x v="0"/>
    <x v="0"/>
    <x v="0"/>
    <x v="0"/>
    <s v="DK1_Large"/>
    <x v="7"/>
    <x v="34"/>
    <x v="0"/>
    <x v="21"/>
    <n v="1.76470588235294"/>
    <n v="644.11764705882399"/>
    <n v="2318.8235294117599"/>
  </r>
  <r>
    <x v="0"/>
    <x v="0"/>
    <x v="0"/>
    <x v="0"/>
    <x v="0"/>
    <s v="DK1_Large"/>
    <x v="7"/>
    <x v="34"/>
    <x v="0"/>
    <x v="22"/>
    <n v="1.76470588235294"/>
    <n v="644.11764705882399"/>
    <n v="2318.8235294117599"/>
  </r>
  <r>
    <x v="0"/>
    <x v="0"/>
    <x v="0"/>
    <x v="0"/>
    <x v="0"/>
    <s v="DK1_Large"/>
    <x v="7"/>
    <x v="34"/>
    <x v="0"/>
    <x v="23"/>
    <n v="1.76470588235294"/>
    <n v="644.11764705882399"/>
    <n v="2318.8235294117599"/>
  </r>
  <r>
    <x v="0"/>
    <x v="0"/>
    <x v="0"/>
    <x v="0"/>
    <x v="0"/>
    <s v="DK1_MedSmall"/>
    <x v="0"/>
    <x v="35"/>
    <x v="0"/>
    <x v="0"/>
    <n v="0.59"/>
    <n v="215.35"/>
    <n v="775.26"/>
  </r>
  <r>
    <x v="0"/>
    <x v="0"/>
    <x v="0"/>
    <x v="0"/>
    <x v="0"/>
    <s v="DK1_MedSmall"/>
    <x v="0"/>
    <x v="35"/>
    <x v="0"/>
    <x v="1"/>
    <n v="0.59"/>
    <n v="215.35"/>
    <n v="775.26"/>
  </r>
  <r>
    <x v="0"/>
    <x v="0"/>
    <x v="0"/>
    <x v="0"/>
    <x v="0"/>
    <s v="DK1_MedSmall"/>
    <x v="0"/>
    <x v="35"/>
    <x v="0"/>
    <x v="2"/>
    <n v="0.59"/>
    <n v="215.35"/>
    <n v="775.26"/>
  </r>
  <r>
    <x v="0"/>
    <x v="0"/>
    <x v="0"/>
    <x v="0"/>
    <x v="0"/>
    <s v="DK1_MedSmall"/>
    <x v="0"/>
    <x v="35"/>
    <x v="0"/>
    <x v="3"/>
    <n v="0.59"/>
    <n v="215.35"/>
    <n v="775.26"/>
  </r>
  <r>
    <x v="0"/>
    <x v="0"/>
    <x v="0"/>
    <x v="0"/>
    <x v="0"/>
    <s v="DK1_MedSmall"/>
    <x v="0"/>
    <x v="35"/>
    <x v="0"/>
    <x v="4"/>
    <n v="0.59"/>
    <n v="215.35"/>
    <n v="775.26"/>
  </r>
  <r>
    <x v="0"/>
    <x v="0"/>
    <x v="0"/>
    <x v="0"/>
    <x v="0"/>
    <s v="DK1_MedSmall"/>
    <x v="0"/>
    <x v="35"/>
    <x v="0"/>
    <x v="5"/>
    <n v="0.59"/>
    <n v="215.35"/>
    <n v="775.26"/>
  </r>
  <r>
    <x v="0"/>
    <x v="0"/>
    <x v="0"/>
    <x v="0"/>
    <x v="0"/>
    <s v="DK1_MedSmall"/>
    <x v="0"/>
    <x v="35"/>
    <x v="0"/>
    <x v="6"/>
    <n v="0.59"/>
    <n v="215.35"/>
    <n v="775.26"/>
  </r>
  <r>
    <x v="0"/>
    <x v="0"/>
    <x v="0"/>
    <x v="0"/>
    <x v="0"/>
    <s v="DK1_MedSmall"/>
    <x v="0"/>
    <x v="35"/>
    <x v="0"/>
    <x v="7"/>
    <n v="0.59"/>
    <n v="215.35"/>
    <n v="775.26"/>
  </r>
  <r>
    <x v="0"/>
    <x v="0"/>
    <x v="0"/>
    <x v="0"/>
    <x v="0"/>
    <s v="DK1_MedSmall"/>
    <x v="0"/>
    <x v="35"/>
    <x v="0"/>
    <x v="8"/>
    <n v="0.59"/>
    <n v="215.35"/>
    <n v="775.26"/>
  </r>
  <r>
    <x v="0"/>
    <x v="0"/>
    <x v="0"/>
    <x v="0"/>
    <x v="0"/>
    <s v="DK1_MedSmall"/>
    <x v="0"/>
    <x v="35"/>
    <x v="0"/>
    <x v="9"/>
    <n v="0.59"/>
    <n v="215.35"/>
    <n v="775.26"/>
  </r>
  <r>
    <x v="0"/>
    <x v="0"/>
    <x v="0"/>
    <x v="0"/>
    <x v="0"/>
    <s v="DK1_MedSmall"/>
    <x v="0"/>
    <x v="35"/>
    <x v="0"/>
    <x v="10"/>
    <n v="0.59"/>
    <n v="215.35"/>
    <n v="775.26"/>
  </r>
  <r>
    <x v="0"/>
    <x v="0"/>
    <x v="0"/>
    <x v="0"/>
    <x v="0"/>
    <s v="DK1_MedSmall"/>
    <x v="0"/>
    <x v="35"/>
    <x v="0"/>
    <x v="11"/>
    <n v="0.59"/>
    <n v="215.35"/>
    <n v="775.26"/>
  </r>
  <r>
    <x v="0"/>
    <x v="0"/>
    <x v="0"/>
    <x v="0"/>
    <x v="0"/>
    <s v="DK1_MedSmall"/>
    <x v="0"/>
    <x v="35"/>
    <x v="0"/>
    <x v="12"/>
    <n v="0.59"/>
    <n v="215.35"/>
    <n v="775.26"/>
  </r>
  <r>
    <x v="0"/>
    <x v="0"/>
    <x v="0"/>
    <x v="0"/>
    <x v="0"/>
    <s v="DK1_MedSmall"/>
    <x v="0"/>
    <x v="35"/>
    <x v="0"/>
    <x v="13"/>
    <n v="0.59"/>
    <n v="215.35"/>
    <n v="775.26"/>
  </r>
  <r>
    <x v="0"/>
    <x v="0"/>
    <x v="0"/>
    <x v="0"/>
    <x v="0"/>
    <s v="DK1_MedSmall"/>
    <x v="0"/>
    <x v="35"/>
    <x v="0"/>
    <x v="14"/>
    <n v="0.59"/>
    <n v="215.35"/>
    <n v="775.26"/>
  </r>
  <r>
    <x v="0"/>
    <x v="0"/>
    <x v="0"/>
    <x v="0"/>
    <x v="0"/>
    <s v="DK1_MedSmall"/>
    <x v="0"/>
    <x v="35"/>
    <x v="0"/>
    <x v="15"/>
    <n v="0.59"/>
    <n v="215.35"/>
    <n v="775.26"/>
  </r>
  <r>
    <x v="0"/>
    <x v="0"/>
    <x v="0"/>
    <x v="0"/>
    <x v="0"/>
    <s v="DK1_MedSmall"/>
    <x v="0"/>
    <x v="35"/>
    <x v="0"/>
    <x v="16"/>
    <n v="0.59"/>
    <n v="215.35"/>
    <n v="775.26"/>
  </r>
  <r>
    <x v="0"/>
    <x v="0"/>
    <x v="0"/>
    <x v="0"/>
    <x v="0"/>
    <s v="DK1_MedSmall"/>
    <x v="0"/>
    <x v="35"/>
    <x v="0"/>
    <x v="17"/>
    <n v="0.59"/>
    <n v="215.35"/>
    <n v="775.26"/>
  </r>
  <r>
    <x v="0"/>
    <x v="0"/>
    <x v="0"/>
    <x v="0"/>
    <x v="0"/>
    <s v="DK1_MedSmall"/>
    <x v="0"/>
    <x v="35"/>
    <x v="0"/>
    <x v="18"/>
    <n v="0.59"/>
    <n v="215.35"/>
    <n v="775.26"/>
  </r>
  <r>
    <x v="0"/>
    <x v="0"/>
    <x v="0"/>
    <x v="0"/>
    <x v="0"/>
    <s v="DK1_MedSmall"/>
    <x v="0"/>
    <x v="35"/>
    <x v="0"/>
    <x v="19"/>
    <n v="0.59"/>
    <n v="215.35"/>
    <n v="775.26"/>
  </r>
  <r>
    <x v="0"/>
    <x v="0"/>
    <x v="0"/>
    <x v="0"/>
    <x v="0"/>
    <s v="DK1_MedSmall"/>
    <x v="0"/>
    <x v="35"/>
    <x v="0"/>
    <x v="20"/>
    <n v="0.59"/>
    <n v="215.35"/>
    <n v="775.26"/>
  </r>
  <r>
    <x v="0"/>
    <x v="0"/>
    <x v="0"/>
    <x v="0"/>
    <x v="0"/>
    <s v="DK1_MedSmall"/>
    <x v="0"/>
    <x v="35"/>
    <x v="0"/>
    <x v="21"/>
    <n v="0.59"/>
    <n v="215.35"/>
    <n v="775.26"/>
  </r>
  <r>
    <x v="0"/>
    <x v="0"/>
    <x v="0"/>
    <x v="0"/>
    <x v="0"/>
    <s v="DK1_MedSmall"/>
    <x v="0"/>
    <x v="35"/>
    <x v="0"/>
    <x v="22"/>
    <n v="0.59"/>
    <n v="215.35"/>
    <n v="775.26"/>
  </r>
  <r>
    <x v="0"/>
    <x v="0"/>
    <x v="0"/>
    <x v="0"/>
    <x v="0"/>
    <s v="DK1_MedSmall"/>
    <x v="0"/>
    <x v="35"/>
    <x v="0"/>
    <x v="23"/>
    <n v="0.59"/>
    <n v="215.35"/>
    <n v="775.26"/>
  </r>
  <r>
    <x v="0"/>
    <x v="0"/>
    <x v="0"/>
    <x v="0"/>
    <x v="0"/>
    <s v="DK1_MedSmall"/>
    <x v="0"/>
    <x v="1"/>
    <x v="0"/>
    <x v="7"/>
    <n v="0.52631578947368396"/>
    <n v="192.105263157895"/>
    <n v="691.57894736842104"/>
  </r>
  <r>
    <x v="0"/>
    <x v="0"/>
    <x v="0"/>
    <x v="0"/>
    <x v="0"/>
    <s v="DK1_MedSmall"/>
    <x v="0"/>
    <x v="1"/>
    <x v="0"/>
    <x v="8"/>
    <n v="0.52631578947368396"/>
    <n v="192.105263157895"/>
    <n v="691.57894736842104"/>
  </r>
  <r>
    <x v="0"/>
    <x v="0"/>
    <x v="0"/>
    <x v="0"/>
    <x v="0"/>
    <s v="DK1_MedSmall"/>
    <x v="0"/>
    <x v="1"/>
    <x v="0"/>
    <x v="9"/>
    <n v="0.52631578947368396"/>
    <n v="192.105263157895"/>
    <n v="691.57894736842104"/>
  </r>
  <r>
    <x v="0"/>
    <x v="0"/>
    <x v="0"/>
    <x v="0"/>
    <x v="0"/>
    <s v="DK1_MedSmall"/>
    <x v="0"/>
    <x v="1"/>
    <x v="0"/>
    <x v="10"/>
    <n v="0.52631578947368396"/>
    <n v="192.105263157895"/>
    <n v="691.57894736842104"/>
  </r>
  <r>
    <x v="0"/>
    <x v="0"/>
    <x v="0"/>
    <x v="0"/>
    <x v="0"/>
    <s v="DK1_MedSmall"/>
    <x v="0"/>
    <x v="1"/>
    <x v="0"/>
    <x v="11"/>
    <n v="0.52631578947368396"/>
    <n v="192.105263157895"/>
    <n v="691.57894736842104"/>
  </r>
  <r>
    <x v="0"/>
    <x v="0"/>
    <x v="0"/>
    <x v="0"/>
    <x v="0"/>
    <s v="DK1_MedSmall"/>
    <x v="0"/>
    <x v="1"/>
    <x v="0"/>
    <x v="12"/>
    <n v="0.52631578947368396"/>
    <n v="192.105263157895"/>
    <n v="691.57894736842104"/>
  </r>
  <r>
    <x v="0"/>
    <x v="0"/>
    <x v="0"/>
    <x v="0"/>
    <x v="0"/>
    <s v="DK1_MedSmall"/>
    <x v="0"/>
    <x v="1"/>
    <x v="0"/>
    <x v="13"/>
    <n v="0.52631578947368396"/>
    <n v="192.105263157895"/>
    <n v="691.57894736842104"/>
  </r>
  <r>
    <x v="0"/>
    <x v="0"/>
    <x v="0"/>
    <x v="0"/>
    <x v="0"/>
    <s v="DK1_MedSmall"/>
    <x v="0"/>
    <x v="1"/>
    <x v="0"/>
    <x v="14"/>
    <n v="0.52631578947368396"/>
    <n v="192.105263157895"/>
    <n v="691.57894736842104"/>
  </r>
  <r>
    <x v="0"/>
    <x v="0"/>
    <x v="0"/>
    <x v="0"/>
    <x v="0"/>
    <s v="DK1_MedSmall"/>
    <x v="0"/>
    <x v="1"/>
    <x v="0"/>
    <x v="15"/>
    <n v="0.52631578947368396"/>
    <n v="192.105263157895"/>
    <n v="691.57894736842104"/>
  </r>
  <r>
    <x v="0"/>
    <x v="0"/>
    <x v="0"/>
    <x v="0"/>
    <x v="0"/>
    <s v="DK1_MedSmall"/>
    <x v="0"/>
    <x v="1"/>
    <x v="0"/>
    <x v="16"/>
    <n v="0.52631578947368396"/>
    <n v="192.105263157895"/>
    <n v="691.57894736842104"/>
  </r>
  <r>
    <x v="0"/>
    <x v="0"/>
    <x v="0"/>
    <x v="0"/>
    <x v="0"/>
    <s v="DK1_MedSmall"/>
    <x v="0"/>
    <x v="1"/>
    <x v="0"/>
    <x v="17"/>
    <n v="0.52631578947368396"/>
    <n v="192.105263157895"/>
    <n v="691.57894736842104"/>
  </r>
  <r>
    <x v="0"/>
    <x v="0"/>
    <x v="0"/>
    <x v="0"/>
    <x v="0"/>
    <s v="DK1_MedSmall"/>
    <x v="0"/>
    <x v="1"/>
    <x v="0"/>
    <x v="18"/>
    <n v="0.52631578947368396"/>
    <n v="192.105263157895"/>
    <n v="691.57894736842104"/>
  </r>
  <r>
    <x v="0"/>
    <x v="0"/>
    <x v="0"/>
    <x v="0"/>
    <x v="0"/>
    <s v="DK1_MedSmall"/>
    <x v="0"/>
    <x v="1"/>
    <x v="0"/>
    <x v="19"/>
    <n v="0.52631578947368396"/>
    <n v="192.105263157895"/>
    <n v="691.57894736842104"/>
  </r>
  <r>
    <x v="0"/>
    <x v="0"/>
    <x v="0"/>
    <x v="0"/>
    <x v="0"/>
    <s v="DK1_MedSmall"/>
    <x v="0"/>
    <x v="1"/>
    <x v="0"/>
    <x v="20"/>
    <n v="0.52631578947368396"/>
    <n v="192.105263157895"/>
    <n v="691.57894736842104"/>
  </r>
  <r>
    <x v="0"/>
    <x v="0"/>
    <x v="0"/>
    <x v="0"/>
    <x v="0"/>
    <s v="DK1_MedSmall"/>
    <x v="0"/>
    <x v="36"/>
    <x v="0"/>
    <x v="0"/>
    <n v="0.51515151515151503"/>
    <n v="188.030303030303"/>
    <n v="676.90909090909099"/>
  </r>
  <r>
    <x v="0"/>
    <x v="0"/>
    <x v="0"/>
    <x v="0"/>
    <x v="0"/>
    <s v="DK1_MedSmall"/>
    <x v="0"/>
    <x v="36"/>
    <x v="0"/>
    <x v="1"/>
    <n v="0.51515151515151503"/>
    <n v="188.030303030303"/>
    <n v="676.90909090909099"/>
  </r>
  <r>
    <x v="0"/>
    <x v="0"/>
    <x v="0"/>
    <x v="0"/>
    <x v="0"/>
    <s v="DK1_MedSmall"/>
    <x v="0"/>
    <x v="36"/>
    <x v="0"/>
    <x v="2"/>
    <n v="0.51515151515151503"/>
    <n v="188.030303030303"/>
    <n v="676.90909090909099"/>
  </r>
  <r>
    <x v="0"/>
    <x v="0"/>
    <x v="0"/>
    <x v="0"/>
    <x v="0"/>
    <s v="DK1_MedSmall"/>
    <x v="0"/>
    <x v="36"/>
    <x v="0"/>
    <x v="3"/>
    <n v="0.51515151515151503"/>
    <n v="188.030303030303"/>
    <n v="676.90909090909099"/>
  </r>
  <r>
    <x v="0"/>
    <x v="0"/>
    <x v="0"/>
    <x v="0"/>
    <x v="0"/>
    <s v="DK1_MedSmall"/>
    <x v="0"/>
    <x v="36"/>
    <x v="0"/>
    <x v="4"/>
    <n v="0.51515151515151503"/>
    <n v="188.030303030303"/>
    <n v="676.90909090909099"/>
  </r>
  <r>
    <x v="0"/>
    <x v="0"/>
    <x v="0"/>
    <x v="0"/>
    <x v="0"/>
    <s v="DK1_MedSmall"/>
    <x v="0"/>
    <x v="36"/>
    <x v="0"/>
    <x v="5"/>
    <n v="0.51515151515151503"/>
    <n v="188.030303030303"/>
    <n v="676.90909090909099"/>
  </r>
  <r>
    <x v="0"/>
    <x v="0"/>
    <x v="0"/>
    <x v="0"/>
    <x v="0"/>
    <s v="DK1_MedSmall"/>
    <x v="0"/>
    <x v="36"/>
    <x v="0"/>
    <x v="6"/>
    <n v="0.51515151515151503"/>
    <n v="188.030303030303"/>
    <n v="676.90909090909099"/>
  </r>
  <r>
    <x v="0"/>
    <x v="0"/>
    <x v="0"/>
    <x v="0"/>
    <x v="0"/>
    <s v="DK1_MedSmall"/>
    <x v="0"/>
    <x v="36"/>
    <x v="0"/>
    <x v="7"/>
    <n v="0.51515151515151503"/>
    <n v="188.030303030303"/>
    <n v="676.90909090909099"/>
  </r>
  <r>
    <x v="0"/>
    <x v="0"/>
    <x v="0"/>
    <x v="0"/>
    <x v="0"/>
    <s v="DK1_MedSmall"/>
    <x v="0"/>
    <x v="36"/>
    <x v="0"/>
    <x v="8"/>
    <n v="0.51515151515151503"/>
    <n v="188.030303030303"/>
    <n v="676.90909090909099"/>
  </r>
  <r>
    <x v="0"/>
    <x v="0"/>
    <x v="0"/>
    <x v="0"/>
    <x v="0"/>
    <s v="DK1_MedSmall"/>
    <x v="0"/>
    <x v="36"/>
    <x v="0"/>
    <x v="9"/>
    <n v="0.51515151515151503"/>
    <n v="188.030303030303"/>
    <n v="676.90909090909099"/>
  </r>
  <r>
    <x v="0"/>
    <x v="0"/>
    <x v="0"/>
    <x v="0"/>
    <x v="0"/>
    <s v="DK1_MedSmall"/>
    <x v="0"/>
    <x v="36"/>
    <x v="0"/>
    <x v="10"/>
    <n v="0.51515151515151503"/>
    <n v="188.030303030303"/>
    <n v="676.90909090909099"/>
  </r>
  <r>
    <x v="0"/>
    <x v="0"/>
    <x v="0"/>
    <x v="0"/>
    <x v="0"/>
    <s v="DK1_MedSmall"/>
    <x v="0"/>
    <x v="36"/>
    <x v="0"/>
    <x v="11"/>
    <n v="0.51515151515151503"/>
    <n v="188.030303030303"/>
    <n v="676.90909090909099"/>
  </r>
  <r>
    <x v="0"/>
    <x v="0"/>
    <x v="0"/>
    <x v="0"/>
    <x v="0"/>
    <s v="DK1_MedSmall"/>
    <x v="0"/>
    <x v="36"/>
    <x v="0"/>
    <x v="12"/>
    <n v="0.51515151515151503"/>
    <n v="188.030303030303"/>
    <n v="676.90909090909099"/>
  </r>
  <r>
    <x v="0"/>
    <x v="0"/>
    <x v="0"/>
    <x v="0"/>
    <x v="0"/>
    <s v="DK1_MedSmall"/>
    <x v="0"/>
    <x v="36"/>
    <x v="0"/>
    <x v="13"/>
    <n v="0.51515151515151503"/>
    <n v="188.030303030303"/>
    <n v="676.90909090909099"/>
  </r>
  <r>
    <x v="0"/>
    <x v="0"/>
    <x v="0"/>
    <x v="0"/>
    <x v="0"/>
    <s v="DK1_MedSmall"/>
    <x v="0"/>
    <x v="36"/>
    <x v="0"/>
    <x v="14"/>
    <n v="0.51515151515151503"/>
    <n v="188.030303030303"/>
    <n v="676.90909090909099"/>
  </r>
  <r>
    <x v="0"/>
    <x v="0"/>
    <x v="0"/>
    <x v="0"/>
    <x v="0"/>
    <s v="DK1_MedSmall"/>
    <x v="0"/>
    <x v="36"/>
    <x v="0"/>
    <x v="15"/>
    <n v="0.51515151515151503"/>
    <n v="188.030303030303"/>
    <n v="676.90909090909099"/>
  </r>
  <r>
    <x v="0"/>
    <x v="0"/>
    <x v="0"/>
    <x v="0"/>
    <x v="0"/>
    <s v="DK1_MedSmall"/>
    <x v="0"/>
    <x v="36"/>
    <x v="0"/>
    <x v="16"/>
    <n v="0.51515151515151503"/>
    <n v="188.030303030303"/>
    <n v="676.90909090909099"/>
  </r>
  <r>
    <x v="0"/>
    <x v="0"/>
    <x v="0"/>
    <x v="0"/>
    <x v="0"/>
    <s v="DK1_MedSmall"/>
    <x v="0"/>
    <x v="36"/>
    <x v="0"/>
    <x v="17"/>
    <n v="0.51515151515151503"/>
    <n v="188.030303030303"/>
    <n v="676.90909090909099"/>
  </r>
  <r>
    <x v="0"/>
    <x v="0"/>
    <x v="0"/>
    <x v="0"/>
    <x v="0"/>
    <s v="DK1_MedSmall"/>
    <x v="0"/>
    <x v="36"/>
    <x v="0"/>
    <x v="18"/>
    <n v="0.51515151515151503"/>
    <n v="188.030303030303"/>
    <n v="676.90909090909099"/>
  </r>
  <r>
    <x v="0"/>
    <x v="0"/>
    <x v="0"/>
    <x v="0"/>
    <x v="0"/>
    <s v="DK1_MedSmall"/>
    <x v="0"/>
    <x v="36"/>
    <x v="0"/>
    <x v="19"/>
    <n v="0.51515151515151503"/>
    <n v="188.030303030303"/>
    <n v="676.90909090909099"/>
  </r>
  <r>
    <x v="0"/>
    <x v="0"/>
    <x v="0"/>
    <x v="0"/>
    <x v="0"/>
    <s v="DK1_MedSmall"/>
    <x v="0"/>
    <x v="36"/>
    <x v="0"/>
    <x v="20"/>
    <n v="0.51515151515151503"/>
    <n v="188.030303030303"/>
    <n v="676.90909090909099"/>
  </r>
  <r>
    <x v="0"/>
    <x v="0"/>
    <x v="0"/>
    <x v="0"/>
    <x v="0"/>
    <s v="DK1_MedSmall"/>
    <x v="0"/>
    <x v="36"/>
    <x v="0"/>
    <x v="21"/>
    <n v="0.51515151515151503"/>
    <n v="188.030303030303"/>
    <n v="676.90909090909099"/>
  </r>
  <r>
    <x v="0"/>
    <x v="0"/>
    <x v="0"/>
    <x v="0"/>
    <x v="0"/>
    <s v="DK1_MedSmall"/>
    <x v="0"/>
    <x v="36"/>
    <x v="0"/>
    <x v="22"/>
    <n v="0.51515151515151503"/>
    <n v="188.030303030303"/>
    <n v="676.90909090909099"/>
  </r>
  <r>
    <x v="0"/>
    <x v="0"/>
    <x v="0"/>
    <x v="0"/>
    <x v="0"/>
    <s v="DK1_MedSmall"/>
    <x v="0"/>
    <x v="36"/>
    <x v="0"/>
    <x v="23"/>
    <n v="0.51515151515151503"/>
    <n v="188.030303030303"/>
    <n v="676.90909090909099"/>
  </r>
  <r>
    <x v="0"/>
    <x v="0"/>
    <x v="0"/>
    <x v="0"/>
    <x v="0"/>
    <s v="DK1_MedSmall"/>
    <x v="0"/>
    <x v="37"/>
    <x v="0"/>
    <x v="0"/>
    <n v="0.44736842105263103"/>
    <n v="163.28947368421001"/>
    <n v="587.84210526315803"/>
  </r>
  <r>
    <x v="0"/>
    <x v="0"/>
    <x v="0"/>
    <x v="0"/>
    <x v="0"/>
    <s v="DK1_MedSmall"/>
    <x v="0"/>
    <x v="37"/>
    <x v="0"/>
    <x v="1"/>
    <n v="0.44736842105263103"/>
    <n v="163.28947368421001"/>
    <n v="587.84210526315803"/>
  </r>
  <r>
    <x v="0"/>
    <x v="0"/>
    <x v="0"/>
    <x v="0"/>
    <x v="0"/>
    <s v="DK1_MedSmall"/>
    <x v="0"/>
    <x v="37"/>
    <x v="0"/>
    <x v="2"/>
    <n v="0.44736842105263103"/>
    <n v="163.28947368421001"/>
    <n v="587.84210526315803"/>
  </r>
  <r>
    <x v="0"/>
    <x v="0"/>
    <x v="0"/>
    <x v="0"/>
    <x v="0"/>
    <s v="DK1_MedSmall"/>
    <x v="0"/>
    <x v="37"/>
    <x v="0"/>
    <x v="3"/>
    <n v="0.44736842105263103"/>
    <n v="163.28947368421001"/>
    <n v="587.84210526315803"/>
  </r>
  <r>
    <x v="0"/>
    <x v="0"/>
    <x v="0"/>
    <x v="0"/>
    <x v="0"/>
    <s v="DK1_MedSmall"/>
    <x v="0"/>
    <x v="37"/>
    <x v="0"/>
    <x v="4"/>
    <n v="0.44736842105263103"/>
    <n v="163.28947368421001"/>
    <n v="587.84210526315803"/>
  </r>
  <r>
    <x v="0"/>
    <x v="0"/>
    <x v="0"/>
    <x v="0"/>
    <x v="0"/>
    <s v="DK1_MedSmall"/>
    <x v="0"/>
    <x v="37"/>
    <x v="0"/>
    <x v="5"/>
    <n v="0.44736842105263103"/>
    <n v="163.28947368421001"/>
    <n v="587.84210526315803"/>
  </r>
  <r>
    <x v="0"/>
    <x v="0"/>
    <x v="0"/>
    <x v="0"/>
    <x v="0"/>
    <s v="DK1_MedSmall"/>
    <x v="0"/>
    <x v="37"/>
    <x v="0"/>
    <x v="6"/>
    <n v="0.44736842105263103"/>
    <n v="163.28947368421001"/>
    <n v="587.84210526315803"/>
  </r>
  <r>
    <x v="0"/>
    <x v="0"/>
    <x v="0"/>
    <x v="0"/>
    <x v="0"/>
    <s v="DK1_MedSmall"/>
    <x v="0"/>
    <x v="37"/>
    <x v="0"/>
    <x v="7"/>
    <n v="0.44736842105263103"/>
    <n v="163.28947368421001"/>
    <n v="587.84210526315803"/>
  </r>
  <r>
    <x v="0"/>
    <x v="0"/>
    <x v="0"/>
    <x v="0"/>
    <x v="0"/>
    <s v="DK1_MedSmall"/>
    <x v="0"/>
    <x v="37"/>
    <x v="0"/>
    <x v="8"/>
    <n v="0.44736842105263103"/>
    <n v="163.28947368421001"/>
    <n v="587.84210526315803"/>
  </r>
  <r>
    <x v="0"/>
    <x v="0"/>
    <x v="0"/>
    <x v="0"/>
    <x v="0"/>
    <s v="DK1_MedSmall"/>
    <x v="0"/>
    <x v="37"/>
    <x v="0"/>
    <x v="9"/>
    <n v="0.44736842105263103"/>
    <n v="163.28947368421001"/>
    <n v="587.84210526315803"/>
  </r>
  <r>
    <x v="0"/>
    <x v="0"/>
    <x v="0"/>
    <x v="0"/>
    <x v="0"/>
    <s v="DK1_MedSmall"/>
    <x v="0"/>
    <x v="37"/>
    <x v="0"/>
    <x v="10"/>
    <n v="0.44736842105263103"/>
    <n v="163.28947368421001"/>
    <n v="587.84210526315803"/>
  </r>
  <r>
    <x v="0"/>
    <x v="0"/>
    <x v="0"/>
    <x v="0"/>
    <x v="0"/>
    <s v="DK1_MedSmall"/>
    <x v="0"/>
    <x v="37"/>
    <x v="0"/>
    <x v="11"/>
    <n v="0.44736842105263103"/>
    <n v="163.28947368421001"/>
    <n v="587.84210526315803"/>
  </r>
  <r>
    <x v="0"/>
    <x v="0"/>
    <x v="0"/>
    <x v="0"/>
    <x v="0"/>
    <s v="DK1_MedSmall"/>
    <x v="0"/>
    <x v="37"/>
    <x v="0"/>
    <x v="12"/>
    <n v="0.44736842105263103"/>
    <n v="163.28947368421001"/>
    <n v="587.84210526315803"/>
  </r>
  <r>
    <x v="0"/>
    <x v="0"/>
    <x v="0"/>
    <x v="0"/>
    <x v="0"/>
    <s v="DK1_MedSmall"/>
    <x v="0"/>
    <x v="37"/>
    <x v="0"/>
    <x v="13"/>
    <n v="0.44736842105263103"/>
    <n v="163.28947368421001"/>
    <n v="587.84210526315803"/>
  </r>
  <r>
    <x v="0"/>
    <x v="0"/>
    <x v="0"/>
    <x v="0"/>
    <x v="0"/>
    <s v="DK1_MedSmall"/>
    <x v="0"/>
    <x v="37"/>
    <x v="0"/>
    <x v="14"/>
    <n v="0.44736842105263103"/>
    <n v="163.28947368421001"/>
    <n v="587.84210526315803"/>
  </r>
  <r>
    <x v="0"/>
    <x v="0"/>
    <x v="0"/>
    <x v="0"/>
    <x v="0"/>
    <s v="DK1_MedSmall"/>
    <x v="0"/>
    <x v="37"/>
    <x v="0"/>
    <x v="15"/>
    <n v="0.44736842105263103"/>
    <n v="163.28947368421001"/>
    <n v="587.84210526315803"/>
  </r>
  <r>
    <x v="0"/>
    <x v="0"/>
    <x v="0"/>
    <x v="0"/>
    <x v="0"/>
    <s v="DK1_MedSmall"/>
    <x v="0"/>
    <x v="37"/>
    <x v="0"/>
    <x v="16"/>
    <n v="0.44736842105263103"/>
    <n v="163.28947368421001"/>
    <n v="587.84210526315803"/>
  </r>
  <r>
    <x v="0"/>
    <x v="0"/>
    <x v="0"/>
    <x v="0"/>
    <x v="0"/>
    <s v="DK1_MedSmall"/>
    <x v="0"/>
    <x v="37"/>
    <x v="0"/>
    <x v="17"/>
    <n v="0.44736842105263103"/>
    <n v="163.28947368421001"/>
    <n v="587.84210526315803"/>
  </r>
  <r>
    <x v="0"/>
    <x v="0"/>
    <x v="0"/>
    <x v="0"/>
    <x v="0"/>
    <s v="DK1_MedSmall"/>
    <x v="0"/>
    <x v="37"/>
    <x v="0"/>
    <x v="18"/>
    <n v="0.44736842105263103"/>
    <n v="163.28947368421001"/>
    <n v="587.84210526315803"/>
  </r>
  <r>
    <x v="0"/>
    <x v="0"/>
    <x v="0"/>
    <x v="0"/>
    <x v="0"/>
    <s v="DK1_MedSmall"/>
    <x v="0"/>
    <x v="37"/>
    <x v="0"/>
    <x v="19"/>
    <n v="0.44736842105263103"/>
    <n v="163.28947368421001"/>
    <n v="587.84210526315803"/>
  </r>
  <r>
    <x v="0"/>
    <x v="0"/>
    <x v="0"/>
    <x v="0"/>
    <x v="0"/>
    <s v="DK1_MedSmall"/>
    <x v="0"/>
    <x v="37"/>
    <x v="0"/>
    <x v="20"/>
    <n v="0.44736842105263103"/>
    <n v="163.28947368421001"/>
    <n v="587.84210526315803"/>
  </r>
  <r>
    <x v="0"/>
    <x v="0"/>
    <x v="0"/>
    <x v="0"/>
    <x v="0"/>
    <s v="DK1_MedSmall"/>
    <x v="0"/>
    <x v="37"/>
    <x v="0"/>
    <x v="21"/>
    <n v="0.44736842105263103"/>
    <n v="163.28947368421001"/>
    <n v="587.84210526315803"/>
  </r>
  <r>
    <x v="0"/>
    <x v="0"/>
    <x v="0"/>
    <x v="0"/>
    <x v="0"/>
    <s v="DK1_MedSmall"/>
    <x v="0"/>
    <x v="37"/>
    <x v="0"/>
    <x v="22"/>
    <n v="0.44736842105263103"/>
    <n v="163.28947368421001"/>
    <n v="587.84210526315803"/>
  </r>
  <r>
    <x v="0"/>
    <x v="0"/>
    <x v="0"/>
    <x v="0"/>
    <x v="0"/>
    <s v="DK1_MedSmall"/>
    <x v="0"/>
    <x v="37"/>
    <x v="0"/>
    <x v="23"/>
    <n v="0.44736842105263103"/>
    <n v="163.28947368421001"/>
    <n v="587.84210526315803"/>
  </r>
  <r>
    <x v="0"/>
    <x v="0"/>
    <x v="0"/>
    <x v="0"/>
    <x v="0"/>
    <s v="DK1_MedSmall"/>
    <x v="1"/>
    <x v="38"/>
    <x v="0"/>
    <x v="1"/>
    <n v="21.9298245614035"/>
    <n v="8004.3859649122796"/>
    <n v="28815.789473684199"/>
  </r>
  <r>
    <x v="0"/>
    <x v="0"/>
    <x v="0"/>
    <x v="0"/>
    <x v="0"/>
    <s v="DK1_MedSmall"/>
    <x v="1"/>
    <x v="38"/>
    <x v="0"/>
    <x v="4"/>
    <n v="18.7953314519944"/>
    <n v="6860.2959799779601"/>
    <n v="24697.0655279206"/>
  </r>
  <r>
    <x v="0"/>
    <x v="0"/>
    <x v="0"/>
    <x v="0"/>
    <x v="0"/>
    <s v="DK1_MedSmall"/>
    <x v="1"/>
    <x v="38"/>
    <x v="0"/>
    <x v="6"/>
    <n v="20.6058350120732"/>
    <n v="7521.1297794067304"/>
    <n v="27076.067205864201"/>
  </r>
  <r>
    <x v="0"/>
    <x v="0"/>
    <x v="0"/>
    <x v="0"/>
    <x v="0"/>
    <s v="DK1_MedSmall"/>
    <x v="1"/>
    <x v="38"/>
    <x v="0"/>
    <x v="7"/>
    <n v="21.9298245614035"/>
    <n v="8004.3859649122796"/>
    <n v="28815.789473684199"/>
  </r>
  <r>
    <x v="0"/>
    <x v="0"/>
    <x v="0"/>
    <x v="0"/>
    <x v="0"/>
    <s v="DK1_MedSmall"/>
    <x v="1"/>
    <x v="38"/>
    <x v="0"/>
    <x v="8"/>
    <n v="21.9298245614035"/>
    <n v="8004.3859649122796"/>
    <n v="28815.789473684199"/>
  </r>
  <r>
    <x v="0"/>
    <x v="0"/>
    <x v="0"/>
    <x v="0"/>
    <x v="0"/>
    <s v="DK1_MedSmall"/>
    <x v="1"/>
    <x v="38"/>
    <x v="0"/>
    <x v="9"/>
    <n v="21.9298245614035"/>
    <n v="8004.3859649122796"/>
    <n v="28815.789473684199"/>
  </r>
  <r>
    <x v="0"/>
    <x v="0"/>
    <x v="0"/>
    <x v="0"/>
    <x v="0"/>
    <s v="DK1_MedSmall"/>
    <x v="1"/>
    <x v="38"/>
    <x v="0"/>
    <x v="10"/>
    <n v="21.9298245614035"/>
    <n v="8004.3859649122796"/>
    <n v="28815.789473684199"/>
  </r>
  <r>
    <x v="0"/>
    <x v="0"/>
    <x v="0"/>
    <x v="0"/>
    <x v="0"/>
    <s v="DK1_MedSmall"/>
    <x v="1"/>
    <x v="38"/>
    <x v="0"/>
    <x v="11"/>
    <n v="21.9298245614035"/>
    <n v="8004.3859649122796"/>
    <n v="28815.789473684199"/>
  </r>
  <r>
    <x v="0"/>
    <x v="0"/>
    <x v="0"/>
    <x v="0"/>
    <x v="0"/>
    <s v="DK1_MedSmall"/>
    <x v="1"/>
    <x v="38"/>
    <x v="0"/>
    <x v="12"/>
    <n v="21.9298245614035"/>
    <n v="8004.3859649122796"/>
    <n v="28815.789473684199"/>
  </r>
  <r>
    <x v="0"/>
    <x v="0"/>
    <x v="0"/>
    <x v="0"/>
    <x v="0"/>
    <s v="DK1_MedSmall"/>
    <x v="1"/>
    <x v="38"/>
    <x v="0"/>
    <x v="13"/>
    <n v="21.9298245614035"/>
    <n v="8004.3859649122796"/>
    <n v="28815.789473684199"/>
  </r>
  <r>
    <x v="0"/>
    <x v="0"/>
    <x v="0"/>
    <x v="0"/>
    <x v="0"/>
    <s v="DK1_MedSmall"/>
    <x v="1"/>
    <x v="38"/>
    <x v="0"/>
    <x v="14"/>
    <n v="21.9298245614035"/>
    <n v="8004.3859649122796"/>
    <n v="28815.789473684199"/>
  </r>
  <r>
    <x v="0"/>
    <x v="0"/>
    <x v="0"/>
    <x v="0"/>
    <x v="0"/>
    <s v="DK1_MedSmall"/>
    <x v="1"/>
    <x v="38"/>
    <x v="0"/>
    <x v="15"/>
    <n v="21.9298245614035"/>
    <n v="8004.3859649122796"/>
    <n v="28815.789473684199"/>
  </r>
  <r>
    <x v="0"/>
    <x v="0"/>
    <x v="0"/>
    <x v="0"/>
    <x v="0"/>
    <s v="DK1_MedSmall"/>
    <x v="1"/>
    <x v="38"/>
    <x v="0"/>
    <x v="16"/>
    <n v="21.9298245614035"/>
    <n v="8004.3859649122796"/>
    <n v="28815.789473684199"/>
  </r>
  <r>
    <x v="0"/>
    <x v="0"/>
    <x v="0"/>
    <x v="0"/>
    <x v="0"/>
    <s v="DK1_MedSmall"/>
    <x v="1"/>
    <x v="38"/>
    <x v="0"/>
    <x v="17"/>
    <n v="21.9298245614035"/>
    <n v="8004.3859649122796"/>
    <n v="28815.789473684199"/>
  </r>
  <r>
    <x v="0"/>
    <x v="0"/>
    <x v="0"/>
    <x v="0"/>
    <x v="0"/>
    <s v="DK1_MedSmall"/>
    <x v="1"/>
    <x v="38"/>
    <x v="0"/>
    <x v="18"/>
    <n v="21.9298245614035"/>
    <n v="8004.3859649122796"/>
    <n v="28815.789473684199"/>
  </r>
  <r>
    <x v="0"/>
    <x v="0"/>
    <x v="0"/>
    <x v="0"/>
    <x v="0"/>
    <s v="DK1_MedSmall"/>
    <x v="1"/>
    <x v="38"/>
    <x v="0"/>
    <x v="19"/>
    <n v="21.9298245614035"/>
    <n v="8004.3859649122796"/>
    <n v="28815.789473684199"/>
  </r>
  <r>
    <x v="0"/>
    <x v="0"/>
    <x v="0"/>
    <x v="0"/>
    <x v="0"/>
    <s v="DK1_MedSmall"/>
    <x v="1"/>
    <x v="38"/>
    <x v="0"/>
    <x v="20"/>
    <n v="21.9298245614035"/>
    <n v="8004.3859649122796"/>
    <n v="28815.789473684199"/>
  </r>
  <r>
    <x v="0"/>
    <x v="0"/>
    <x v="0"/>
    <x v="0"/>
    <x v="0"/>
    <s v="DK1_MedSmall"/>
    <x v="2"/>
    <x v="39"/>
    <x v="0"/>
    <x v="0"/>
    <n v="6.5"/>
    <n v="2372.5"/>
    <n v="8541"/>
  </r>
  <r>
    <x v="0"/>
    <x v="0"/>
    <x v="0"/>
    <x v="0"/>
    <x v="0"/>
    <s v="DK1_MedSmall"/>
    <x v="2"/>
    <x v="39"/>
    <x v="0"/>
    <x v="1"/>
    <n v="6.5"/>
    <n v="2372.5"/>
    <n v="8541"/>
  </r>
  <r>
    <x v="0"/>
    <x v="0"/>
    <x v="0"/>
    <x v="0"/>
    <x v="0"/>
    <s v="DK1_MedSmall"/>
    <x v="2"/>
    <x v="39"/>
    <x v="0"/>
    <x v="2"/>
    <n v="6.5"/>
    <n v="2372.5"/>
    <n v="8541"/>
  </r>
  <r>
    <x v="0"/>
    <x v="0"/>
    <x v="0"/>
    <x v="0"/>
    <x v="0"/>
    <s v="DK1_MedSmall"/>
    <x v="2"/>
    <x v="39"/>
    <x v="0"/>
    <x v="3"/>
    <n v="6.5"/>
    <n v="2372.5"/>
    <n v="8541"/>
  </r>
  <r>
    <x v="0"/>
    <x v="0"/>
    <x v="0"/>
    <x v="0"/>
    <x v="0"/>
    <s v="DK1_MedSmall"/>
    <x v="2"/>
    <x v="39"/>
    <x v="0"/>
    <x v="4"/>
    <n v="6.5"/>
    <n v="2372.5"/>
    <n v="8541"/>
  </r>
  <r>
    <x v="0"/>
    <x v="0"/>
    <x v="0"/>
    <x v="0"/>
    <x v="0"/>
    <s v="DK1_MedSmall"/>
    <x v="2"/>
    <x v="39"/>
    <x v="0"/>
    <x v="5"/>
    <n v="6.5"/>
    <n v="2372.5"/>
    <n v="8541"/>
  </r>
  <r>
    <x v="0"/>
    <x v="0"/>
    <x v="0"/>
    <x v="0"/>
    <x v="0"/>
    <s v="DK1_MedSmall"/>
    <x v="2"/>
    <x v="39"/>
    <x v="0"/>
    <x v="6"/>
    <n v="6.5"/>
    <n v="2372.5"/>
    <n v="8541"/>
  </r>
  <r>
    <x v="0"/>
    <x v="0"/>
    <x v="0"/>
    <x v="0"/>
    <x v="0"/>
    <s v="DK1_MedSmall"/>
    <x v="2"/>
    <x v="39"/>
    <x v="0"/>
    <x v="7"/>
    <n v="6.5"/>
    <n v="2372.5"/>
    <n v="8541"/>
  </r>
  <r>
    <x v="0"/>
    <x v="0"/>
    <x v="0"/>
    <x v="0"/>
    <x v="0"/>
    <s v="DK1_MedSmall"/>
    <x v="2"/>
    <x v="39"/>
    <x v="0"/>
    <x v="8"/>
    <n v="6.5"/>
    <n v="2372.5"/>
    <n v="8541"/>
  </r>
  <r>
    <x v="0"/>
    <x v="0"/>
    <x v="0"/>
    <x v="0"/>
    <x v="0"/>
    <s v="DK1_MedSmall"/>
    <x v="2"/>
    <x v="39"/>
    <x v="0"/>
    <x v="9"/>
    <n v="6.5"/>
    <n v="2372.5"/>
    <n v="8541"/>
  </r>
  <r>
    <x v="0"/>
    <x v="0"/>
    <x v="0"/>
    <x v="0"/>
    <x v="0"/>
    <s v="DK1_MedSmall"/>
    <x v="2"/>
    <x v="39"/>
    <x v="0"/>
    <x v="10"/>
    <n v="6.5"/>
    <n v="2372.5"/>
    <n v="8541"/>
  </r>
  <r>
    <x v="0"/>
    <x v="0"/>
    <x v="0"/>
    <x v="0"/>
    <x v="0"/>
    <s v="DK1_MedSmall"/>
    <x v="2"/>
    <x v="39"/>
    <x v="0"/>
    <x v="11"/>
    <n v="6.5"/>
    <n v="2372.5"/>
    <n v="8541"/>
  </r>
  <r>
    <x v="0"/>
    <x v="0"/>
    <x v="0"/>
    <x v="0"/>
    <x v="0"/>
    <s v="DK1_MedSmall"/>
    <x v="2"/>
    <x v="39"/>
    <x v="0"/>
    <x v="12"/>
    <n v="6.5"/>
    <n v="2372.5"/>
    <n v="8541"/>
  </r>
  <r>
    <x v="0"/>
    <x v="0"/>
    <x v="0"/>
    <x v="0"/>
    <x v="0"/>
    <s v="DK1_MedSmall"/>
    <x v="2"/>
    <x v="39"/>
    <x v="0"/>
    <x v="13"/>
    <n v="6.5"/>
    <n v="2372.5"/>
    <n v="8541"/>
  </r>
  <r>
    <x v="0"/>
    <x v="0"/>
    <x v="0"/>
    <x v="0"/>
    <x v="0"/>
    <s v="DK1_MedSmall"/>
    <x v="2"/>
    <x v="39"/>
    <x v="0"/>
    <x v="14"/>
    <n v="6.5"/>
    <n v="2372.5"/>
    <n v="8541"/>
  </r>
  <r>
    <x v="0"/>
    <x v="0"/>
    <x v="0"/>
    <x v="0"/>
    <x v="0"/>
    <s v="DK1_MedSmall"/>
    <x v="2"/>
    <x v="39"/>
    <x v="0"/>
    <x v="15"/>
    <n v="6.5"/>
    <n v="2372.5"/>
    <n v="8541"/>
  </r>
  <r>
    <x v="0"/>
    <x v="0"/>
    <x v="0"/>
    <x v="0"/>
    <x v="0"/>
    <s v="DK1_MedSmall"/>
    <x v="2"/>
    <x v="39"/>
    <x v="0"/>
    <x v="16"/>
    <n v="6.5"/>
    <n v="2372.5"/>
    <n v="8541"/>
  </r>
  <r>
    <x v="0"/>
    <x v="0"/>
    <x v="0"/>
    <x v="0"/>
    <x v="0"/>
    <s v="DK1_MedSmall"/>
    <x v="2"/>
    <x v="39"/>
    <x v="0"/>
    <x v="17"/>
    <n v="6.5"/>
    <n v="2372.5"/>
    <n v="8541"/>
  </r>
  <r>
    <x v="0"/>
    <x v="0"/>
    <x v="0"/>
    <x v="0"/>
    <x v="0"/>
    <s v="DK1_MedSmall"/>
    <x v="2"/>
    <x v="39"/>
    <x v="0"/>
    <x v="18"/>
    <n v="6.5"/>
    <n v="2372.5"/>
    <n v="8541"/>
  </r>
  <r>
    <x v="0"/>
    <x v="0"/>
    <x v="0"/>
    <x v="0"/>
    <x v="0"/>
    <s v="DK1_MedSmall"/>
    <x v="2"/>
    <x v="39"/>
    <x v="0"/>
    <x v="19"/>
    <n v="6.5"/>
    <n v="2372.5"/>
    <n v="8541"/>
  </r>
  <r>
    <x v="0"/>
    <x v="0"/>
    <x v="0"/>
    <x v="0"/>
    <x v="0"/>
    <s v="DK1_MedSmall"/>
    <x v="2"/>
    <x v="39"/>
    <x v="0"/>
    <x v="20"/>
    <n v="6.5"/>
    <n v="2372.5"/>
    <n v="8541"/>
  </r>
  <r>
    <x v="0"/>
    <x v="0"/>
    <x v="0"/>
    <x v="0"/>
    <x v="0"/>
    <s v="DK1_MedSmall"/>
    <x v="2"/>
    <x v="39"/>
    <x v="0"/>
    <x v="21"/>
    <n v="6.5"/>
    <n v="2372.5"/>
    <n v="8541"/>
  </r>
  <r>
    <x v="0"/>
    <x v="0"/>
    <x v="0"/>
    <x v="0"/>
    <x v="0"/>
    <s v="DK1_MedSmall"/>
    <x v="2"/>
    <x v="39"/>
    <x v="0"/>
    <x v="22"/>
    <n v="6.5"/>
    <n v="2372.5"/>
    <n v="8541"/>
  </r>
  <r>
    <x v="0"/>
    <x v="0"/>
    <x v="0"/>
    <x v="0"/>
    <x v="0"/>
    <s v="DK1_MedSmall"/>
    <x v="2"/>
    <x v="39"/>
    <x v="0"/>
    <x v="23"/>
    <n v="6.5"/>
    <n v="2372.5"/>
    <n v="8541"/>
  </r>
  <r>
    <x v="0"/>
    <x v="0"/>
    <x v="0"/>
    <x v="0"/>
    <x v="0"/>
    <s v="DK1_MedSmall"/>
    <x v="2"/>
    <x v="40"/>
    <x v="0"/>
    <x v="0"/>
    <n v="14.117647058823501"/>
    <n v="5152.9411764705901"/>
    <n v="18550.588235294101"/>
  </r>
  <r>
    <x v="0"/>
    <x v="0"/>
    <x v="0"/>
    <x v="0"/>
    <x v="0"/>
    <s v="DK1_MedSmall"/>
    <x v="2"/>
    <x v="40"/>
    <x v="0"/>
    <x v="1"/>
    <n v="14.117647058823501"/>
    <n v="5152.9411764705901"/>
    <n v="18550.588235294101"/>
  </r>
  <r>
    <x v="0"/>
    <x v="0"/>
    <x v="0"/>
    <x v="0"/>
    <x v="0"/>
    <s v="DK1_MedSmall"/>
    <x v="2"/>
    <x v="40"/>
    <x v="0"/>
    <x v="2"/>
    <n v="14.117647058823501"/>
    <n v="5152.9411764705901"/>
    <n v="18550.588235294101"/>
  </r>
  <r>
    <x v="0"/>
    <x v="0"/>
    <x v="0"/>
    <x v="0"/>
    <x v="0"/>
    <s v="DK1_MedSmall"/>
    <x v="2"/>
    <x v="40"/>
    <x v="0"/>
    <x v="3"/>
    <n v="14.117647058823501"/>
    <n v="5152.9411764705901"/>
    <n v="18550.588235294101"/>
  </r>
  <r>
    <x v="0"/>
    <x v="0"/>
    <x v="0"/>
    <x v="0"/>
    <x v="0"/>
    <s v="DK1_MedSmall"/>
    <x v="2"/>
    <x v="40"/>
    <x v="0"/>
    <x v="4"/>
    <n v="14.117647058823501"/>
    <n v="5152.9411764705901"/>
    <n v="18550.588235294101"/>
  </r>
  <r>
    <x v="0"/>
    <x v="0"/>
    <x v="0"/>
    <x v="0"/>
    <x v="0"/>
    <s v="DK1_MedSmall"/>
    <x v="2"/>
    <x v="40"/>
    <x v="0"/>
    <x v="5"/>
    <n v="14.117647058823501"/>
    <n v="5152.9411764705901"/>
    <n v="18550.588235294101"/>
  </r>
  <r>
    <x v="0"/>
    <x v="0"/>
    <x v="0"/>
    <x v="0"/>
    <x v="0"/>
    <s v="DK1_MedSmall"/>
    <x v="2"/>
    <x v="40"/>
    <x v="0"/>
    <x v="6"/>
    <n v="14.117647058823501"/>
    <n v="5152.9411764705901"/>
    <n v="18550.588235294101"/>
  </r>
  <r>
    <x v="0"/>
    <x v="0"/>
    <x v="0"/>
    <x v="0"/>
    <x v="0"/>
    <s v="DK1_MedSmall"/>
    <x v="2"/>
    <x v="40"/>
    <x v="0"/>
    <x v="7"/>
    <n v="14.117647058823501"/>
    <n v="5152.9411764705901"/>
    <n v="18550.588235294101"/>
  </r>
  <r>
    <x v="0"/>
    <x v="0"/>
    <x v="0"/>
    <x v="0"/>
    <x v="0"/>
    <s v="DK1_MedSmall"/>
    <x v="2"/>
    <x v="40"/>
    <x v="0"/>
    <x v="8"/>
    <n v="14.117647058823501"/>
    <n v="5152.9411764705901"/>
    <n v="18550.588235294101"/>
  </r>
  <r>
    <x v="0"/>
    <x v="0"/>
    <x v="0"/>
    <x v="0"/>
    <x v="0"/>
    <s v="DK1_MedSmall"/>
    <x v="2"/>
    <x v="40"/>
    <x v="0"/>
    <x v="9"/>
    <n v="14.117647058823501"/>
    <n v="5152.9411764705901"/>
    <n v="18550.588235294101"/>
  </r>
  <r>
    <x v="0"/>
    <x v="0"/>
    <x v="0"/>
    <x v="0"/>
    <x v="0"/>
    <s v="DK1_MedSmall"/>
    <x v="2"/>
    <x v="40"/>
    <x v="0"/>
    <x v="10"/>
    <n v="14.117647058823501"/>
    <n v="5152.9411764705901"/>
    <n v="18550.588235294101"/>
  </r>
  <r>
    <x v="0"/>
    <x v="0"/>
    <x v="0"/>
    <x v="0"/>
    <x v="0"/>
    <s v="DK1_MedSmall"/>
    <x v="2"/>
    <x v="40"/>
    <x v="0"/>
    <x v="11"/>
    <n v="14.117647058823501"/>
    <n v="5152.9411764705901"/>
    <n v="18550.588235294101"/>
  </r>
  <r>
    <x v="0"/>
    <x v="0"/>
    <x v="0"/>
    <x v="0"/>
    <x v="0"/>
    <s v="DK1_MedSmall"/>
    <x v="2"/>
    <x v="40"/>
    <x v="0"/>
    <x v="12"/>
    <n v="14.117647058823501"/>
    <n v="5152.9411764705901"/>
    <n v="18550.588235294101"/>
  </r>
  <r>
    <x v="0"/>
    <x v="0"/>
    <x v="0"/>
    <x v="0"/>
    <x v="0"/>
    <s v="DK1_MedSmall"/>
    <x v="2"/>
    <x v="40"/>
    <x v="0"/>
    <x v="13"/>
    <n v="14.117647058823501"/>
    <n v="5152.9411764705901"/>
    <n v="18550.588235294101"/>
  </r>
  <r>
    <x v="0"/>
    <x v="0"/>
    <x v="0"/>
    <x v="0"/>
    <x v="0"/>
    <s v="DK1_MedSmall"/>
    <x v="2"/>
    <x v="40"/>
    <x v="0"/>
    <x v="14"/>
    <n v="14.117647058823501"/>
    <n v="5152.9411764705901"/>
    <n v="18550.588235294101"/>
  </r>
  <r>
    <x v="0"/>
    <x v="0"/>
    <x v="0"/>
    <x v="0"/>
    <x v="0"/>
    <s v="DK1_MedSmall"/>
    <x v="2"/>
    <x v="40"/>
    <x v="0"/>
    <x v="15"/>
    <n v="14.117647058823501"/>
    <n v="5152.9411764705901"/>
    <n v="18550.588235294101"/>
  </r>
  <r>
    <x v="0"/>
    <x v="0"/>
    <x v="0"/>
    <x v="0"/>
    <x v="0"/>
    <s v="DK1_MedSmall"/>
    <x v="2"/>
    <x v="40"/>
    <x v="0"/>
    <x v="16"/>
    <n v="14.117647058823501"/>
    <n v="5152.9411764705901"/>
    <n v="18550.588235294101"/>
  </r>
  <r>
    <x v="0"/>
    <x v="0"/>
    <x v="0"/>
    <x v="0"/>
    <x v="0"/>
    <s v="DK1_MedSmall"/>
    <x v="2"/>
    <x v="40"/>
    <x v="0"/>
    <x v="17"/>
    <n v="14.117647058823501"/>
    <n v="5152.9411764705901"/>
    <n v="18550.588235294101"/>
  </r>
  <r>
    <x v="0"/>
    <x v="0"/>
    <x v="0"/>
    <x v="0"/>
    <x v="0"/>
    <s v="DK1_MedSmall"/>
    <x v="2"/>
    <x v="40"/>
    <x v="0"/>
    <x v="18"/>
    <n v="14.117647058823501"/>
    <n v="5152.9411764705901"/>
    <n v="18550.588235294101"/>
  </r>
  <r>
    <x v="0"/>
    <x v="0"/>
    <x v="0"/>
    <x v="0"/>
    <x v="0"/>
    <s v="DK1_MedSmall"/>
    <x v="2"/>
    <x v="40"/>
    <x v="0"/>
    <x v="19"/>
    <n v="14.117647058823501"/>
    <n v="5152.9411764705901"/>
    <n v="18550.588235294101"/>
  </r>
  <r>
    <x v="0"/>
    <x v="0"/>
    <x v="0"/>
    <x v="0"/>
    <x v="0"/>
    <s v="DK1_MedSmall"/>
    <x v="2"/>
    <x v="40"/>
    <x v="0"/>
    <x v="20"/>
    <n v="14.117647058823501"/>
    <n v="5152.9411764705901"/>
    <n v="18550.588235294101"/>
  </r>
  <r>
    <x v="0"/>
    <x v="0"/>
    <x v="0"/>
    <x v="0"/>
    <x v="0"/>
    <s v="DK1_MedSmall"/>
    <x v="2"/>
    <x v="40"/>
    <x v="0"/>
    <x v="21"/>
    <n v="14.117647058823501"/>
    <n v="5152.9411764705901"/>
    <n v="18550.588235294101"/>
  </r>
  <r>
    <x v="0"/>
    <x v="0"/>
    <x v="0"/>
    <x v="0"/>
    <x v="0"/>
    <s v="DK1_MedSmall"/>
    <x v="2"/>
    <x v="40"/>
    <x v="0"/>
    <x v="22"/>
    <n v="14.117647058823501"/>
    <n v="5152.9411764705901"/>
    <n v="18550.588235294101"/>
  </r>
  <r>
    <x v="0"/>
    <x v="0"/>
    <x v="0"/>
    <x v="0"/>
    <x v="0"/>
    <s v="DK1_MedSmall"/>
    <x v="2"/>
    <x v="40"/>
    <x v="0"/>
    <x v="23"/>
    <n v="14.117647058823501"/>
    <n v="5152.9411764705901"/>
    <n v="18550.588235294101"/>
  </r>
  <r>
    <x v="0"/>
    <x v="0"/>
    <x v="0"/>
    <x v="0"/>
    <x v="0"/>
    <s v="DK1_MedSmall"/>
    <x v="2"/>
    <x v="41"/>
    <x v="0"/>
    <x v="0"/>
    <n v="16.5"/>
    <n v="6022.50000000001"/>
    <n v="21681"/>
  </r>
  <r>
    <x v="0"/>
    <x v="0"/>
    <x v="0"/>
    <x v="0"/>
    <x v="0"/>
    <s v="DK1_MedSmall"/>
    <x v="2"/>
    <x v="41"/>
    <x v="0"/>
    <x v="1"/>
    <n v="16.5"/>
    <n v="6022.50000000001"/>
    <n v="21681"/>
  </r>
  <r>
    <x v="0"/>
    <x v="0"/>
    <x v="0"/>
    <x v="0"/>
    <x v="0"/>
    <s v="DK1_MedSmall"/>
    <x v="2"/>
    <x v="41"/>
    <x v="0"/>
    <x v="2"/>
    <n v="16.5"/>
    <n v="6022.50000000001"/>
    <n v="21681"/>
  </r>
  <r>
    <x v="0"/>
    <x v="0"/>
    <x v="0"/>
    <x v="0"/>
    <x v="0"/>
    <s v="DK1_MedSmall"/>
    <x v="2"/>
    <x v="41"/>
    <x v="0"/>
    <x v="3"/>
    <n v="16.5"/>
    <n v="6022.50000000001"/>
    <n v="21681"/>
  </r>
  <r>
    <x v="0"/>
    <x v="0"/>
    <x v="0"/>
    <x v="0"/>
    <x v="0"/>
    <s v="DK1_MedSmall"/>
    <x v="2"/>
    <x v="41"/>
    <x v="0"/>
    <x v="4"/>
    <n v="16.5"/>
    <n v="6022.50000000001"/>
    <n v="21681"/>
  </r>
  <r>
    <x v="0"/>
    <x v="0"/>
    <x v="0"/>
    <x v="0"/>
    <x v="0"/>
    <s v="DK1_MedSmall"/>
    <x v="2"/>
    <x v="41"/>
    <x v="0"/>
    <x v="5"/>
    <n v="16.5"/>
    <n v="6022.50000000001"/>
    <n v="21681"/>
  </r>
  <r>
    <x v="0"/>
    <x v="0"/>
    <x v="0"/>
    <x v="0"/>
    <x v="0"/>
    <s v="DK1_MedSmall"/>
    <x v="2"/>
    <x v="41"/>
    <x v="0"/>
    <x v="6"/>
    <n v="16.5"/>
    <n v="6022.50000000001"/>
    <n v="21681"/>
  </r>
  <r>
    <x v="0"/>
    <x v="0"/>
    <x v="0"/>
    <x v="0"/>
    <x v="0"/>
    <s v="DK1_MedSmall"/>
    <x v="2"/>
    <x v="41"/>
    <x v="0"/>
    <x v="7"/>
    <n v="16.5"/>
    <n v="6022.50000000001"/>
    <n v="21681"/>
  </r>
  <r>
    <x v="0"/>
    <x v="0"/>
    <x v="0"/>
    <x v="0"/>
    <x v="0"/>
    <s v="DK1_MedSmall"/>
    <x v="2"/>
    <x v="41"/>
    <x v="0"/>
    <x v="8"/>
    <n v="16.5"/>
    <n v="6022.50000000001"/>
    <n v="21681"/>
  </r>
  <r>
    <x v="0"/>
    <x v="0"/>
    <x v="0"/>
    <x v="0"/>
    <x v="0"/>
    <s v="DK1_MedSmall"/>
    <x v="2"/>
    <x v="41"/>
    <x v="0"/>
    <x v="9"/>
    <n v="16.5"/>
    <n v="6022.50000000001"/>
    <n v="21681"/>
  </r>
  <r>
    <x v="0"/>
    <x v="0"/>
    <x v="0"/>
    <x v="0"/>
    <x v="0"/>
    <s v="DK1_MedSmall"/>
    <x v="2"/>
    <x v="41"/>
    <x v="0"/>
    <x v="10"/>
    <n v="16.5"/>
    <n v="6022.50000000001"/>
    <n v="21681"/>
  </r>
  <r>
    <x v="0"/>
    <x v="0"/>
    <x v="0"/>
    <x v="0"/>
    <x v="0"/>
    <s v="DK1_MedSmall"/>
    <x v="2"/>
    <x v="41"/>
    <x v="0"/>
    <x v="11"/>
    <n v="16.5"/>
    <n v="6022.50000000001"/>
    <n v="21681"/>
  </r>
  <r>
    <x v="0"/>
    <x v="0"/>
    <x v="0"/>
    <x v="0"/>
    <x v="0"/>
    <s v="DK1_MedSmall"/>
    <x v="2"/>
    <x v="41"/>
    <x v="0"/>
    <x v="12"/>
    <n v="16.5"/>
    <n v="6022.50000000001"/>
    <n v="21681"/>
  </r>
  <r>
    <x v="0"/>
    <x v="0"/>
    <x v="0"/>
    <x v="0"/>
    <x v="0"/>
    <s v="DK1_MedSmall"/>
    <x v="2"/>
    <x v="41"/>
    <x v="0"/>
    <x v="13"/>
    <n v="16.5"/>
    <n v="6022.50000000001"/>
    <n v="21681"/>
  </r>
  <r>
    <x v="0"/>
    <x v="0"/>
    <x v="0"/>
    <x v="0"/>
    <x v="0"/>
    <s v="DK1_MedSmall"/>
    <x v="2"/>
    <x v="41"/>
    <x v="0"/>
    <x v="14"/>
    <n v="16.5"/>
    <n v="6022.50000000001"/>
    <n v="21681"/>
  </r>
  <r>
    <x v="0"/>
    <x v="0"/>
    <x v="0"/>
    <x v="0"/>
    <x v="0"/>
    <s v="DK1_MedSmall"/>
    <x v="2"/>
    <x v="41"/>
    <x v="0"/>
    <x v="15"/>
    <n v="16.5"/>
    <n v="6022.50000000001"/>
    <n v="21681"/>
  </r>
  <r>
    <x v="0"/>
    <x v="0"/>
    <x v="0"/>
    <x v="0"/>
    <x v="0"/>
    <s v="DK1_MedSmall"/>
    <x v="2"/>
    <x v="41"/>
    <x v="0"/>
    <x v="16"/>
    <n v="16.5"/>
    <n v="6022.50000000001"/>
    <n v="21681"/>
  </r>
  <r>
    <x v="0"/>
    <x v="0"/>
    <x v="0"/>
    <x v="0"/>
    <x v="0"/>
    <s v="DK1_MedSmall"/>
    <x v="2"/>
    <x v="41"/>
    <x v="0"/>
    <x v="17"/>
    <n v="16.5"/>
    <n v="6022.50000000001"/>
    <n v="21681"/>
  </r>
  <r>
    <x v="0"/>
    <x v="0"/>
    <x v="0"/>
    <x v="0"/>
    <x v="0"/>
    <s v="DK1_MedSmall"/>
    <x v="2"/>
    <x v="41"/>
    <x v="0"/>
    <x v="18"/>
    <n v="16.5"/>
    <n v="6022.50000000001"/>
    <n v="21681"/>
  </r>
  <r>
    <x v="0"/>
    <x v="0"/>
    <x v="0"/>
    <x v="0"/>
    <x v="0"/>
    <s v="DK1_MedSmall"/>
    <x v="2"/>
    <x v="41"/>
    <x v="0"/>
    <x v="19"/>
    <n v="16.5"/>
    <n v="6022.50000000001"/>
    <n v="21681"/>
  </r>
  <r>
    <x v="0"/>
    <x v="0"/>
    <x v="0"/>
    <x v="0"/>
    <x v="0"/>
    <s v="DK1_MedSmall"/>
    <x v="2"/>
    <x v="41"/>
    <x v="0"/>
    <x v="20"/>
    <n v="16.5"/>
    <n v="6022.50000000001"/>
    <n v="21681"/>
  </r>
  <r>
    <x v="0"/>
    <x v="0"/>
    <x v="0"/>
    <x v="0"/>
    <x v="0"/>
    <s v="DK1_MedSmall"/>
    <x v="2"/>
    <x v="41"/>
    <x v="0"/>
    <x v="21"/>
    <n v="16.5"/>
    <n v="6022.50000000001"/>
    <n v="21681"/>
  </r>
  <r>
    <x v="0"/>
    <x v="0"/>
    <x v="0"/>
    <x v="0"/>
    <x v="0"/>
    <s v="DK1_MedSmall"/>
    <x v="2"/>
    <x v="41"/>
    <x v="0"/>
    <x v="22"/>
    <n v="16.5"/>
    <n v="6022.50000000001"/>
    <n v="21681"/>
  </r>
  <r>
    <x v="0"/>
    <x v="0"/>
    <x v="0"/>
    <x v="0"/>
    <x v="0"/>
    <s v="DK1_MedSmall"/>
    <x v="2"/>
    <x v="41"/>
    <x v="0"/>
    <x v="23"/>
    <n v="16.5"/>
    <n v="6022.50000000001"/>
    <n v="21681"/>
  </r>
  <r>
    <x v="0"/>
    <x v="0"/>
    <x v="0"/>
    <x v="0"/>
    <x v="0"/>
    <s v="DK1_MedSmall"/>
    <x v="2"/>
    <x v="42"/>
    <x v="0"/>
    <x v="0"/>
    <n v="47.619047619047699"/>
    <n v="17380.9523809524"/>
    <n v="62571.428571428703"/>
  </r>
  <r>
    <x v="0"/>
    <x v="0"/>
    <x v="0"/>
    <x v="0"/>
    <x v="0"/>
    <s v="DK1_MedSmall"/>
    <x v="2"/>
    <x v="42"/>
    <x v="0"/>
    <x v="1"/>
    <n v="47.619047619047699"/>
    <n v="17380.9523809524"/>
    <n v="62571.428571428703"/>
  </r>
  <r>
    <x v="0"/>
    <x v="0"/>
    <x v="0"/>
    <x v="0"/>
    <x v="0"/>
    <s v="DK1_MedSmall"/>
    <x v="2"/>
    <x v="42"/>
    <x v="0"/>
    <x v="2"/>
    <n v="47.619047619047699"/>
    <n v="17380.9523809524"/>
    <n v="62571.428571428703"/>
  </r>
  <r>
    <x v="0"/>
    <x v="0"/>
    <x v="0"/>
    <x v="0"/>
    <x v="0"/>
    <s v="DK1_MedSmall"/>
    <x v="2"/>
    <x v="42"/>
    <x v="0"/>
    <x v="3"/>
    <n v="47.619047619047699"/>
    <n v="17380.9523809524"/>
    <n v="62571.428571428703"/>
  </r>
  <r>
    <x v="0"/>
    <x v="0"/>
    <x v="0"/>
    <x v="0"/>
    <x v="0"/>
    <s v="DK1_MedSmall"/>
    <x v="2"/>
    <x v="42"/>
    <x v="0"/>
    <x v="4"/>
    <n v="47.619047619047699"/>
    <n v="17380.9523809524"/>
    <n v="62571.428571428703"/>
  </r>
  <r>
    <x v="0"/>
    <x v="0"/>
    <x v="0"/>
    <x v="0"/>
    <x v="0"/>
    <s v="DK1_MedSmall"/>
    <x v="2"/>
    <x v="42"/>
    <x v="0"/>
    <x v="5"/>
    <n v="47.619047619047699"/>
    <n v="17380.9523809524"/>
    <n v="62571.428571428703"/>
  </r>
  <r>
    <x v="0"/>
    <x v="0"/>
    <x v="0"/>
    <x v="0"/>
    <x v="0"/>
    <s v="DK1_MedSmall"/>
    <x v="2"/>
    <x v="42"/>
    <x v="0"/>
    <x v="6"/>
    <n v="47.619047619047699"/>
    <n v="17380.9523809524"/>
    <n v="62571.428571428703"/>
  </r>
  <r>
    <x v="0"/>
    <x v="0"/>
    <x v="0"/>
    <x v="0"/>
    <x v="0"/>
    <s v="DK1_MedSmall"/>
    <x v="2"/>
    <x v="42"/>
    <x v="0"/>
    <x v="7"/>
    <n v="47.619047619047699"/>
    <n v="17380.9523809524"/>
    <n v="62571.428571428703"/>
  </r>
  <r>
    <x v="0"/>
    <x v="0"/>
    <x v="0"/>
    <x v="0"/>
    <x v="0"/>
    <s v="DK1_MedSmall"/>
    <x v="2"/>
    <x v="42"/>
    <x v="0"/>
    <x v="8"/>
    <n v="47.619047619047699"/>
    <n v="17380.9523809524"/>
    <n v="62571.428571428703"/>
  </r>
  <r>
    <x v="0"/>
    <x v="0"/>
    <x v="0"/>
    <x v="0"/>
    <x v="0"/>
    <s v="DK1_MedSmall"/>
    <x v="2"/>
    <x v="42"/>
    <x v="0"/>
    <x v="9"/>
    <n v="47.619047619047699"/>
    <n v="17380.9523809524"/>
    <n v="62571.428571428703"/>
  </r>
  <r>
    <x v="0"/>
    <x v="0"/>
    <x v="0"/>
    <x v="0"/>
    <x v="0"/>
    <s v="DK1_MedSmall"/>
    <x v="2"/>
    <x v="42"/>
    <x v="0"/>
    <x v="10"/>
    <n v="47.619047619047699"/>
    <n v="17380.9523809524"/>
    <n v="62571.428571428703"/>
  </r>
  <r>
    <x v="0"/>
    <x v="0"/>
    <x v="0"/>
    <x v="0"/>
    <x v="0"/>
    <s v="DK1_MedSmall"/>
    <x v="2"/>
    <x v="42"/>
    <x v="0"/>
    <x v="11"/>
    <n v="47.619047619047699"/>
    <n v="17380.9523809524"/>
    <n v="62571.428571428703"/>
  </r>
  <r>
    <x v="0"/>
    <x v="0"/>
    <x v="0"/>
    <x v="0"/>
    <x v="0"/>
    <s v="DK1_MedSmall"/>
    <x v="2"/>
    <x v="42"/>
    <x v="0"/>
    <x v="12"/>
    <n v="47.619047619047699"/>
    <n v="17380.9523809524"/>
    <n v="62571.428571428703"/>
  </r>
  <r>
    <x v="0"/>
    <x v="0"/>
    <x v="0"/>
    <x v="0"/>
    <x v="0"/>
    <s v="DK1_MedSmall"/>
    <x v="2"/>
    <x v="42"/>
    <x v="0"/>
    <x v="13"/>
    <n v="47.619047619047699"/>
    <n v="17380.9523809524"/>
    <n v="62571.428571428703"/>
  </r>
  <r>
    <x v="0"/>
    <x v="0"/>
    <x v="0"/>
    <x v="0"/>
    <x v="0"/>
    <s v="DK1_MedSmall"/>
    <x v="2"/>
    <x v="42"/>
    <x v="0"/>
    <x v="14"/>
    <n v="47.619047619047699"/>
    <n v="17380.9523809524"/>
    <n v="62571.428571428703"/>
  </r>
  <r>
    <x v="0"/>
    <x v="0"/>
    <x v="0"/>
    <x v="0"/>
    <x v="0"/>
    <s v="DK1_MedSmall"/>
    <x v="2"/>
    <x v="42"/>
    <x v="0"/>
    <x v="15"/>
    <n v="47.619047619047699"/>
    <n v="17380.9523809524"/>
    <n v="62571.428571428703"/>
  </r>
  <r>
    <x v="0"/>
    <x v="0"/>
    <x v="0"/>
    <x v="0"/>
    <x v="0"/>
    <s v="DK1_MedSmall"/>
    <x v="2"/>
    <x v="42"/>
    <x v="0"/>
    <x v="16"/>
    <n v="47.619047619047699"/>
    <n v="17380.9523809524"/>
    <n v="62571.428571428703"/>
  </r>
  <r>
    <x v="0"/>
    <x v="0"/>
    <x v="0"/>
    <x v="0"/>
    <x v="0"/>
    <s v="DK1_MedSmall"/>
    <x v="2"/>
    <x v="42"/>
    <x v="0"/>
    <x v="17"/>
    <n v="47.619047619047699"/>
    <n v="17380.9523809524"/>
    <n v="62571.428571428703"/>
  </r>
  <r>
    <x v="0"/>
    <x v="0"/>
    <x v="0"/>
    <x v="0"/>
    <x v="0"/>
    <s v="DK1_MedSmall"/>
    <x v="2"/>
    <x v="42"/>
    <x v="0"/>
    <x v="18"/>
    <n v="47.619047619047699"/>
    <n v="17380.9523809524"/>
    <n v="62571.428571428703"/>
  </r>
  <r>
    <x v="0"/>
    <x v="0"/>
    <x v="0"/>
    <x v="0"/>
    <x v="0"/>
    <s v="DK1_MedSmall"/>
    <x v="2"/>
    <x v="42"/>
    <x v="0"/>
    <x v="19"/>
    <n v="47.619047619047699"/>
    <n v="17380.9523809524"/>
    <n v="62571.428571428703"/>
  </r>
  <r>
    <x v="0"/>
    <x v="0"/>
    <x v="0"/>
    <x v="0"/>
    <x v="0"/>
    <s v="DK1_MedSmall"/>
    <x v="2"/>
    <x v="42"/>
    <x v="0"/>
    <x v="20"/>
    <n v="47.619047619047699"/>
    <n v="17380.9523809524"/>
    <n v="62571.428571428703"/>
  </r>
  <r>
    <x v="0"/>
    <x v="0"/>
    <x v="0"/>
    <x v="0"/>
    <x v="0"/>
    <s v="DK1_MedSmall"/>
    <x v="2"/>
    <x v="42"/>
    <x v="0"/>
    <x v="21"/>
    <n v="47.619047619047699"/>
    <n v="17380.9523809524"/>
    <n v="62571.428571428703"/>
  </r>
  <r>
    <x v="0"/>
    <x v="0"/>
    <x v="0"/>
    <x v="0"/>
    <x v="0"/>
    <s v="DK1_MedSmall"/>
    <x v="2"/>
    <x v="42"/>
    <x v="0"/>
    <x v="22"/>
    <n v="47.619047619047699"/>
    <n v="17380.9523809524"/>
    <n v="62571.428571428703"/>
  </r>
  <r>
    <x v="0"/>
    <x v="0"/>
    <x v="0"/>
    <x v="0"/>
    <x v="0"/>
    <s v="DK1_MedSmall"/>
    <x v="2"/>
    <x v="42"/>
    <x v="0"/>
    <x v="23"/>
    <n v="47.619047619047699"/>
    <n v="17380.9523809524"/>
    <n v="62571.428571428703"/>
  </r>
  <r>
    <x v="0"/>
    <x v="0"/>
    <x v="0"/>
    <x v="0"/>
    <x v="0"/>
    <s v="DK1_MedSmall"/>
    <x v="2"/>
    <x v="17"/>
    <x v="0"/>
    <x v="0"/>
    <n v="20.454545454545499"/>
    <n v="7465.9090909091001"/>
    <n v="26877.272727272801"/>
  </r>
  <r>
    <x v="0"/>
    <x v="0"/>
    <x v="0"/>
    <x v="0"/>
    <x v="0"/>
    <s v="DK1_MedSmall"/>
    <x v="2"/>
    <x v="17"/>
    <x v="0"/>
    <x v="1"/>
    <n v="20.454545454545499"/>
    <n v="7465.9090909091001"/>
    <n v="26877.272727272801"/>
  </r>
  <r>
    <x v="0"/>
    <x v="0"/>
    <x v="0"/>
    <x v="0"/>
    <x v="0"/>
    <s v="DK1_MedSmall"/>
    <x v="2"/>
    <x v="17"/>
    <x v="0"/>
    <x v="2"/>
    <n v="20.454545454545499"/>
    <n v="7465.9090909091001"/>
    <n v="26877.272727272801"/>
  </r>
  <r>
    <x v="0"/>
    <x v="0"/>
    <x v="0"/>
    <x v="0"/>
    <x v="0"/>
    <s v="DK1_MedSmall"/>
    <x v="2"/>
    <x v="17"/>
    <x v="0"/>
    <x v="3"/>
    <n v="20.454545454545499"/>
    <n v="7465.9090909091001"/>
    <n v="26877.272727272801"/>
  </r>
  <r>
    <x v="0"/>
    <x v="0"/>
    <x v="0"/>
    <x v="0"/>
    <x v="0"/>
    <s v="DK1_MedSmall"/>
    <x v="2"/>
    <x v="17"/>
    <x v="0"/>
    <x v="4"/>
    <n v="20.454545454545499"/>
    <n v="7465.9090909091001"/>
    <n v="26877.272727272801"/>
  </r>
  <r>
    <x v="0"/>
    <x v="0"/>
    <x v="0"/>
    <x v="0"/>
    <x v="0"/>
    <s v="DK1_MedSmall"/>
    <x v="2"/>
    <x v="17"/>
    <x v="0"/>
    <x v="5"/>
    <n v="20.454545454545499"/>
    <n v="7465.9090909091001"/>
    <n v="26877.272727272801"/>
  </r>
  <r>
    <x v="0"/>
    <x v="0"/>
    <x v="0"/>
    <x v="0"/>
    <x v="0"/>
    <s v="DK1_MedSmall"/>
    <x v="2"/>
    <x v="17"/>
    <x v="0"/>
    <x v="6"/>
    <n v="20.454545454545499"/>
    <n v="7465.9090909091001"/>
    <n v="26877.272727272801"/>
  </r>
  <r>
    <x v="0"/>
    <x v="0"/>
    <x v="0"/>
    <x v="0"/>
    <x v="0"/>
    <s v="DK1_MedSmall"/>
    <x v="2"/>
    <x v="17"/>
    <x v="0"/>
    <x v="7"/>
    <n v="20.454545454545499"/>
    <n v="7465.9090909091001"/>
    <n v="26877.272727272801"/>
  </r>
  <r>
    <x v="0"/>
    <x v="0"/>
    <x v="0"/>
    <x v="0"/>
    <x v="0"/>
    <s v="DK1_MedSmall"/>
    <x v="2"/>
    <x v="17"/>
    <x v="0"/>
    <x v="8"/>
    <n v="20.454545454545499"/>
    <n v="7465.9090909091001"/>
    <n v="26877.272727272801"/>
  </r>
  <r>
    <x v="0"/>
    <x v="0"/>
    <x v="0"/>
    <x v="0"/>
    <x v="0"/>
    <s v="DK1_MedSmall"/>
    <x v="2"/>
    <x v="17"/>
    <x v="0"/>
    <x v="9"/>
    <n v="20.454545454545499"/>
    <n v="7465.9090909091001"/>
    <n v="26877.272727272801"/>
  </r>
  <r>
    <x v="0"/>
    <x v="0"/>
    <x v="0"/>
    <x v="0"/>
    <x v="0"/>
    <s v="DK1_MedSmall"/>
    <x v="2"/>
    <x v="17"/>
    <x v="0"/>
    <x v="10"/>
    <n v="20.454545454545499"/>
    <n v="7465.9090909091001"/>
    <n v="26877.272727272801"/>
  </r>
  <r>
    <x v="0"/>
    <x v="0"/>
    <x v="0"/>
    <x v="0"/>
    <x v="0"/>
    <s v="DK1_MedSmall"/>
    <x v="2"/>
    <x v="17"/>
    <x v="0"/>
    <x v="11"/>
    <n v="20.454545454545499"/>
    <n v="7465.9090909091001"/>
    <n v="26877.272727272801"/>
  </r>
  <r>
    <x v="0"/>
    <x v="0"/>
    <x v="0"/>
    <x v="0"/>
    <x v="0"/>
    <s v="DK1_MedSmall"/>
    <x v="2"/>
    <x v="17"/>
    <x v="0"/>
    <x v="12"/>
    <n v="20.454545454545499"/>
    <n v="7465.9090909091001"/>
    <n v="26877.272727272801"/>
  </r>
  <r>
    <x v="0"/>
    <x v="0"/>
    <x v="0"/>
    <x v="0"/>
    <x v="0"/>
    <s v="DK1_MedSmall"/>
    <x v="2"/>
    <x v="17"/>
    <x v="0"/>
    <x v="13"/>
    <n v="20.454545454545499"/>
    <n v="7465.9090909091001"/>
    <n v="26877.272727272801"/>
  </r>
  <r>
    <x v="0"/>
    <x v="0"/>
    <x v="0"/>
    <x v="0"/>
    <x v="0"/>
    <s v="DK1_MedSmall"/>
    <x v="2"/>
    <x v="17"/>
    <x v="0"/>
    <x v="14"/>
    <n v="20.454545454545499"/>
    <n v="7465.9090909091001"/>
    <n v="26877.272727272801"/>
  </r>
  <r>
    <x v="0"/>
    <x v="0"/>
    <x v="0"/>
    <x v="0"/>
    <x v="0"/>
    <s v="DK1_MedSmall"/>
    <x v="2"/>
    <x v="17"/>
    <x v="0"/>
    <x v="15"/>
    <n v="20.454545454545499"/>
    <n v="7465.9090909091001"/>
    <n v="26877.272727272801"/>
  </r>
  <r>
    <x v="0"/>
    <x v="0"/>
    <x v="0"/>
    <x v="0"/>
    <x v="0"/>
    <s v="DK1_MedSmall"/>
    <x v="2"/>
    <x v="17"/>
    <x v="0"/>
    <x v="16"/>
    <n v="20.454545454545499"/>
    <n v="7465.9090909091001"/>
    <n v="26877.272727272801"/>
  </r>
  <r>
    <x v="0"/>
    <x v="0"/>
    <x v="0"/>
    <x v="0"/>
    <x v="0"/>
    <s v="DK1_MedSmall"/>
    <x v="2"/>
    <x v="17"/>
    <x v="0"/>
    <x v="17"/>
    <n v="20.454545454545499"/>
    <n v="7465.9090909091001"/>
    <n v="26877.272727272801"/>
  </r>
  <r>
    <x v="0"/>
    <x v="0"/>
    <x v="0"/>
    <x v="0"/>
    <x v="0"/>
    <s v="DK1_MedSmall"/>
    <x v="2"/>
    <x v="17"/>
    <x v="0"/>
    <x v="18"/>
    <n v="20.454545454545499"/>
    <n v="7465.9090909091001"/>
    <n v="26877.272727272801"/>
  </r>
  <r>
    <x v="0"/>
    <x v="0"/>
    <x v="0"/>
    <x v="0"/>
    <x v="0"/>
    <s v="DK1_MedSmall"/>
    <x v="2"/>
    <x v="17"/>
    <x v="0"/>
    <x v="19"/>
    <n v="20.454545454545499"/>
    <n v="7465.9090909091001"/>
    <n v="26877.272727272801"/>
  </r>
  <r>
    <x v="0"/>
    <x v="0"/>
    <x v="0"/>
    <x v="0"/>
    <x v="0"/>
    <s v="DK1_MedSmall"/>
    <x v="2"/>
    <x v="17"/>
    <x v="0"/>
    <x v="20"/>
    <n v="20.454545454545499"/>
    <n v="7465.9090909091001"/>
    <n v="26877.272727272801"/>
  </r>
  <r>
    <x v="0"/>
    <x v="0"/>
    <x v="0"/>
    <x v="0"/>
    <x v="0"/>
    <s v="DK1_MedSmall"/>
    <x v="2"/>
    <x v="17"/>
    <x v="0"/>
    <x v="21"/>
    <n v="20.454545454545499"/>
    <n v="7465.9090909091001"/>
    <n v="26877.272727272801"/>
  </r>
  <r>
    <x v="0"/>
    <x v="0"/>
    <x v="0"/>
    <x v="0"/>
    <x v="0"/>
    <s v="DK1_MedSmall"/>
    <x v="2"/>
    <x v="17"/>
    <x v="0"/>
    <x v="22"/>
    <n v="20.454545454545499"/>
    <n v="7465.9090909091001"/>
    <n v="26877.272727272801"/>
  </r>
  <r>
    <x v="0"/>
    <x v="0"/>
    <x v="0"/>
    <x v="0"/>
    <x v="0"/>
    <s v="DK1_MedSmall"/>
    <x v="2"/>
    <x v="17"/>
    <x v="0"/>
    <x v="23"/>
    <n v="20.454545454545499"/>
    <n v="7465.9090909091001"/>
    <n v="26877.272727272801"/>
  </r>
  <r>
    <x v="0"/>
    <x v="0"/>
    <x v="0"/>
    <x v="0"/>
    <x v="0"/>
    <s v="DK1_MedSmall"/>
    <x v="2"/>
    <x v="43"/>
    <x v="0"/>
    <x v="0"/>
    <n v="26.923076923077002"/>
    <n v="9826.9230769230908"/>
    <n v="35376.9230769231"/>
  </r>
  <r>
    <x v="0"/>
    <x v="0"/>
    <x v="0"/>
    <x v="0"/>
    <x v="0"/>
    <s v="DK1_MedSmall"/>
    <x v="2"/>
    <x v="43"/>
    <x v="0"/>
    <x v="1"/>
    <n v="26.923076923077002"/>
    <n v="9826.9230769230908"/>
    <n v="35376.9230769231"/>
  </r>
  <r>
    <x v="0"/>
    <x v="0"/>
    <x v="0"/>
    <x v="0"/>
    <x v="0"/>
    <s v="DK1_MedSmall"/>
    <x v="2"/>
    <x v="43"/>
    <x v="0"/>
    <x v="2"/>
    <n v="26.923076923077002"/>
    <n v="9826.9230769230908"/>
    <n v="35376.9230769231"/>
  </r>
  <r>
    <x v="0"/>
    <x v="0"/>
    <x v="0"/>
    <x v="0"/>
    <x v="0"/>
    <s v="DK1_MedSmall"/>
    <x v="2"/>
    <x v="43"/>
    <x v="0"/>
    <x v="3"/>
    <n v="26.923076923077002"/>
    <n v="9826.9230769230908"/>
    <n v="35376.9230769231"/>
  </r>
  <r>
    <x v="0"/>
    <x v="0"/>
    <x v="0"/>
    <x v="0"/>
    <x v="0"/>
    <s v="DK1_MedSmall"/>
    <x v="2"/>
    <x v="43"/>
    <x v="0"/>
    <x v="4"/>
    <n v="26.923076923077002"/>
    <n v="9826.9230769230908"/>
    <n v="35376.9230769231"/>
  </r>
  <r>
    <x v="0"/>
    <x v="0"/>
    <x v="0"/>
    <x v="0"/>
    <x v="0"/>
    <s v="DK1_MedSmall"/>
    <x v="2"/>
    <x v="43"/>
    <x v="0"/>
    <x v="5"/>
    <n v="26.923076923077002"/>
    <n v="9826.9230769230908"/>
    <n v="35376.9230769231"/>
  </r>
  <r>
    <x v="0"/>
    <x v="0"/>
    <x v="0"/>
    <x v="0"/>
    <x v="0"/>
    <s v="DK1_MedSmall"/>
    <x v="2"/>
    <x v="43"/>
    <x v="0"/>
    <x v="6"/>
    <n v="26.923076923077002"/>
    <n v="9826.9230769230908"/>
    <n v="35376.9230769231"/>
  </r>
  <r>
    <x v="0"/>
    <x v="0"/>
    <x v="0"/>
    <x v="0"/>
    <x v="0"/>
    <s v="DK1_MedSmall"/>
    <x v="2"/>
    <x v="43"/>
    <x v="0"/>
    <x v="7"/>
    <n v="26.923076923077002"/>
    <n v="9826.9230769230908"/>
    <n v="35376.9230769231"/>
  </r>
  <r>
    <x v="0"/>
    <x v="0"/>
    <x v="0"/>
    <x v="0"/>
    <x v="0"/>
    <s v="DK1_MedSmall"/>
    <x v="2"/>
    <x v="43"/>
    <x v="0"/>
    <x v="8"/>
    <n v="26.923076923077002"/>
    <n v="9826.9230769230908"/>
    <n v="35376.9230769231"/>
  </r>
  <r>
    <x v="0"/>
    <x v="0"/>
    <x v="0"/>
    <x v="0"/>
    <x v="0"/>
    <s v="DK1_MedSmall"/>
    <x v="2"/>
    <x v="43"/>
    <x v="0"/>
    <x v="9"/>
    <n v="26.923076923077002"/>
    <n v="9826.9230769230908"/>
    <n v="35376.9230769231"/>
  </r>
  <r>
    <x v="0"/>
    <x v="0"/>
    <x v="0"/>
    <x v="0"/>
    <x v="0"/>
    <s v="DK1_MedSmall"/>
    <x v="2"/>
    <x v="43"/>
    <x v="0"/>
    <x v="10"/>
    <n v="26.923076923077002"/>
    <n v="9826.9230769230908"/>
    <n v="35376.9230769231"/>
  </r>
  <r>
    <x v="0"/>
    <x v="0"/>
    <x v="0"/>
    <x v="0"/>
    <x v="0"/>
    <s v="DK1_MedSmall"/>
    <x v="2"/>
    <x v="43"/>
    <x v="0"/>
    <x v="11"/>
    <n v="26.923076923077002"/>
    <n v="9826.9230769230908"/>
    <n v="35376.9230769231"/>
  </r>
  <r>
    <x v="0"/>
    <x v="0"/>
    <x v="0"/>
    <x v="0"/>
    <x v="0"/>
    <s v="DK1_MedSmall"/>
    <x v="2"/>
    <x v="43"/>
    <x v="0"/>
    <x v="12"/>
    <n v="26.923076923077002"/>
    <n v="9826.9230769230908"/>
    <n v="35376.9230769231"/>
  </r>
  <r>
    <x v="0"/>
    <x v="0"/>
    <x v="0"/>
    <x v="0"/>
    <x v="0"/>
    <s v="DK1_MedSmall"/>
    <x v="2"/>
    <x v="43"/>
    <x v="0"/>
    <x v="13"/>
    <n v="26.923076923077002"/>
    <n v="9826.9230769230908"/>
    <n v="35376.9230769231"/>
  </r>
  <r>
    <x v="0"/>
    <x v="0"/>
    <x v="0"/>
    <x v="0"/>
    <x v="0"/>
    <s v="DK1_MedSmall"/>
    <x v="2"/>
    <x v="43"/>
    <x v="0"/>
    <x v="14"/>
    <n v="26.923076923077002"/>
    <n v="9826.9230769230908"/>
    <n v="35376.9230769231"/>
  </r>
  <r>
    <x v="0"/>
    <x v="0"/>
    <x v="0"/>
    <x v="0"/>
    <x v="0"/>
    <s v="DK1_MedSmall"/>
    <x v="2"/>
    <x v="43"/>
    <x v="0"/>
    <x v="15"/>
    <n v="26.923076923077002"/>
    <n v="9826.9230769230908"/>
    <n v="35376.9230769231"/>
  </r>
  <r>
    <x v="0"/>
    <x v="0"/>
    <x v="0"/>
    <x v="0"/>
    <x v="0"/>
    <s v="DK1_MedSmall"/>
    <x v="2"/>
    <x v="43"/>
    <x v="0"/>
    <x v="16"/>
    <n v="26.923076923077002"/>
    <n v="9826.9230769230908"/>
    <n v="35376.9230769231"/>
  </r>
  <r>
    <x v="0"/>
    <x v="0"/>
    <x v="0"/>
    <x v="0"/>
    <x v="0"/>
    <s v="DK1_MedSmall"/>
    <x v="2"/>
    <x v="43"/>
    <x v="0"/>
    <x v="17"/>
    <n v="26.923076923077002"/>
    <n v="9826.9230769230908"/>
    <n v="35376.9230769231"/>
  </r>
  <r>
    <x v="0"/>
    <x v="0"/>
    <x v="0"/>
    <x v="0"/>
    <x v="0"/>
    <s v="DK1_MedSmall"/>
    <x v="2"/>
    <x v="43"/>
    <x v="0"/>
    <x v="18"/>
    <n v="26.923076923077002"/>
    <n v="9826.9230769230908"/>
    <n v="35376.9230769231"/>
  </r>
  <r>
    <x v="0"/>
    <x v="0"/>
    <x v="0"/>
    <x v="0"/>
    <x v="0"/>
    <s v="DK1_MedSmall"/>
    <x v="2"/>
    <x v="43"/>
    <x v="0"/>
    <x v="19"/>
    <n v="26.923076923077002"/>
    <n v="9826.9230769230908"/>
    <n v="35376.9230769231"/>
  </r>
  <r>
    <x v="0"/>
    <x v="0"/>
    <x v="0"/>
    <x v="0"/>
    <x v="0"/>
    <s v="DK1_MedSmall"/>
    <x v="2"/>
    <x v="43"/>
    <x v="0"/>
    <x v="20"/>
    <n v="26.923076923077002"/>
    <n v="9826.9230769230908"/>
    <n v="35376.9230769231"/>
  </r>
  <r>
    <x v="0"/>
    <x v="0"/>
    <x v="0"/>
    <x v="0"/>
    <x v="0"/>
    <s v="DK1_MedSmall"/>
    <x v="2"/>
    <x v="43"/>
    <x v="0"/>
    <x v="21"/>
    <n v="26.923076923077002"/>
    <n v="9826.9230769230908"/>
    <n v="35376.9230769231"/>
  </r>
  <r>
    <x v="0"/>
    <x v="0"/>
    <x v="0"/>
    <x v="0"/>
    <x v="0"/>
    <s v="DK1_MedSmall"/>
    <x v="2"/>
    <x v="43"/>
    <x v="0"/>
    <x v="22"/>
    <n v="26.923076923077002"/>
    <n v="9826.9230769230908"/>
    <n v="35376.9230769231"/>
  </r>
  <r>
    <x v="0"/>
    <x v="0"/>
    <x v="0"/>
    <x v="0"/>
    <x v="0"/>
    <s v="DK1_MedSmall"/>
    <x v="2"/>
    <x v="43"/>
    <x v="0"/>
    <x v="23"/>
    <n v="26.923076923077002"/>
    <n v="9826.9230769230908"/>
    <n v="35376.9230769231"/>
  </r>
  <r>
    <x v="0"/>
    <x v="0"/>
    <x v="0"/>
    <x v="0"/>
    <x v="0"/>
    <s v="DK1_MedSmall"/>
    <x v="4"/>
    <x v="28"/>
    <x v="0"/>
    <x v="0"/>
    <n v="10.519607843137299"/>
    <n v="3839.6568627451002"/>
    <n v="13822.7647058824"/>
  </r>
  <r>
    <x v="0"/>
    <x v="0"/>
    <x v="0"/>
    <x v="0"/>
    <x v="0"/>
    <s v="DK1_MedSmall"/>
    <x v="4"/>
    <x v="28"/>
    <x v="0"/>
    <x v="1"/>
    <n v="10.519607843137299"/>
    <n v="3839.6568627451002"/>
    <n v="13822.7647058824"/>
  </r>
  <r>
    <x v="0"/>
    <x v="0"/>
    <x v="0"/>
    <x v="0"/>
    <x v="0"/>
    <s v="DK1_MedSmall"/>
    <x v="4"/>
    <x v="28"/>
    <x v="0"/>
    <x v="2"/>
    <n v="10.519607843137299"/>
    <n v="3839.6568627451002"/>
    <n v="13822.7647058824"/>
  </r>
  <r>
    <x v="0"/>
    <x v="0"/>
    <x v="0"/>
    <x v="0"/>
    <x v="0"/>
    <s v="DK1_MedSmall"/>
    <x v="4"/>
    <x v="28"/>
    <x v="0"/>
    <x v="3"/>
    <n v="10.519607843137299"/>
    <n v="3839.6568627451002"/>
    <n v="13822.7647058824"/>
  </r>
  <r>
    <x v="0"/>
    <x v="0"/>
    <x v="0"/>
    <x v="0"/>
    <x v="0"/>
    <s v="DK1_MedSmall"/>
    <x v="4"/>
    <x v="28"/>
    <x v="0"/>
    <x v="4"/>
    <n v="10.519607843137299"/>
    <n v="3839.6568627451002"/>
    <n v="13822.7647058824"/>
  </r>
  <r>
    <x v="0"/>
    <x v="0"/>
    <x v="0"/>
    <x v="0"/>
    <x v="0"/>
    <s v="DK1_MedSmall"/>
    <x v="4"/>
    <x v="28"/>
    <x v="0"/>
    <x v="5"/>
    <n v="10.519607843137299"/>
    <n v="3839.6568627451002"/>
    <n v="13822.7647058824"/>
  </r>
  <r>
    <x v="0"/>
    <x v="0"/>
    <x v="0"/>
    <x v="0"/>
    <x v="0"/>
    <s v="DK1_MedSmall"/>
    <x v="4"/>
    <x v="28"/>
    <x v="0"/>
    <x v="6"/>
    <n v="10.519607843137299"/>
    <n v="3839.6568627451002"/>
    <n v="13822.7647058824"/>
  </r>
  <r>
    <x v="0"/>
    <x v="0"/>
    <x v="0"/>
    <x v="0"/>
    <x v="0"/>
    <s v="DK1_MedSmall"/>
    <x v="4"/>
    <x v="28"/>
    <x v="0"/>
    <x v="7"/>
    <n v="10.519607843137299"/>
    <n v="3839.6568627451002"/>
    <n v="13822.7647058824"/>
  </r>
  <r>
    <x v="0"/>
    <x v="0"/>
    <x v="0"/>
    <x v="0"/>
    <x v="0"/>
    <s v="DK1_MedSmall"/>
    <x v="4"/>
    <x v="28"/>
    <x v="0"/>
    <x v="8"/>
    <n v="10.519607843137299"/>
    <n v="3839.6568627451002"/>
    <n v="13822.7647058824"/>
  </r>
  <r>
    <x v="0"/>
    <x v="0"/>
    <x v="0"/>
    <x v="0"/>
    <x v="0"/>
    <s v="DK1_MedSmall"/>
    <x v="4"/>
    <x v="28"/>
    <x v="0"/>
    <x v="9"/>
    <n v="10.519607843137299"/>
    <n v="3839.6568627451002"/>
    <n v="13822.7647058824"/>
  </r>
  <r>
    <x v="0"/>
    <x v="0"/>
    <x v="0"/>
    <x v="0"/>
    <x v="0"/>
    <s v="DK1_MedSmall"/>
    <x v="4"/>
    <x v="28"/>
    <x v="0"/>
    <x v="10"/>
    <n v="10.519607843137299"/>
    <n v="3839.6568627451002"/>
    <n v="13822.7647058824"/>
  </r>
  <r>
    <x v="0"/>
    <x v="0"/>
    <x v="0"/>
    <x v="0"/>
    <x v="0"/>
    <s v="DK1_MedSmall"/>
    <x v="4"/>
    <x v="28"/>
    <x v="0"/>
    <x v="11"/>
    <n v="10.519607843137299"/>
    <n v="3839.6568627451002"/>
    <n v="13822.7647058824"/>
  </r>
  <r>
    <x v="0"/>
    <x v="0"/>
    <x v="0"/>
    <x v="0"/>
    <x v="0"/>
    <s v="DK1_MedSmall"/>
    <x v="4"/>
    <x v="28"/>
    <x v="0"/>
    <x v="12"/>
    <n v="10.519607843137299"/>
    <n v="3839.6568627451002"/>
    <n v="13822.7647058824"/>
  </r>
  <r>
    <x v="0"/>
    <x v="0"/>
    <x v="0"/>
    <x v="0"/>
    <x v="0"/>
    <s v="DK1_MedSmall"/>
    <x v="4"/>
    <x v="28"/>
    <x v="0"/>
    <x v="13"/>
    <n v="10.519607843137299"/>
    <n v="3839.6568627451002"/>
    <n v="13822.7647058824"/>
  </r>
  <r>
    <x v="0"/>
    <x v="0"/>
    <x v="0"/>
    <x v="0"/>
    <x v="0"/>
    <s v="DK1_MedSmall"/>
    <x v="4"/>
    <x v="28"/>
    <x v="0"/>
    <x v="14"/>
    <n v="10.519607843137299"/>
    <n v="3839.6568627451002"/>
    <n v="13822.7647058824"/>
  </r>
  <r>
    <x v="0"/>
    <x v="0"/>
    <x v="0"/>
    <x v="0"/>
    <x v="0"/>
    <s v="DK1_MedSmall"/>
    <x v="4"/>
    <x v="28"/>
    <x v="0"/>
    <x v="15"/>
    <n v="10.519607843137299"/>
    <n v="3839.6568627451002"/>
    <n v="13822.7647058824"/>
  </r>
  <r>
    <x v="0"/>
    <x v="0"/>
    <x v="0"/>
    <x v="0"/>
    <x v="0"/>
    <s v="DK1_MedSmall"/>
    <x v="4"/>
    <x v="28"/>
    <x v="0"/>
    <x v="16"/>
    <n v="10.519607843137299"/>
    <n v="3839.6568627451002"/>
    <n v="13822.7647058824"/>
  </r>
  <r>
    <x v="0"/>
    <x v="0"/>
    <x v="0"/>
    <x v="0"/>
    <x v="0"/>
    <s v="DK1_MedSmall"/>
    <x v="4"/>
    <x v="28"/>
    <x v="0"/>
    <x v="17"/>
    <n v="10.519607843137299"/>
    <n v="3839.6568627451002"/>
    <n v="13822.7647058824"/>
  </r>
  <r>
    <x v="0"/>
    <x v="0"/>
    <x v="0"/>
    <x v="0"/>
    <x v="0"/>
    <s v="DK1_MedSmall"/>
    <x v="4"/>
    <x v="28"/>
    <x v="0"/>
    <x v="18"/>
    <n v="10.519607843137299"/>
    <n v="3839.6568627451002"/>
    <n v="13822.7647058824"/>
  </r>
  <r>
    <x v="0"/>
    <x v="0"/>
    <x v="0"/>
    <x v="0"/>
    <x v="0"/>
    <s v="DK1_MedSmall"/>
    <x v="4"/>
    <x v="28"/>
    <x v="0"/>
    <x v="19"/>
    <n v="10.519607843137299"/>
    <n v="3839.6568627451002"/>
    <n v="13822.7647058824"/>
  </r>
  <r>
    <x v="0"/>
    <x v="0"/>
    <x v="0"/>
    <x v="0"/>
    <x v="0"/>
    <s v="DK1_MedSmall"/>
    <x v="4"/>
    <x v="28"/>
    <x v="0"/>
    <x v="20"/>
    <n v="10.519607843137299"/>
    <n v="3839.6568627451002"/>
    <n v="13822.7647058824"/>
  </r>
  <r>
    <x v="0"/>
    <x v="0"/>
    <x v="0"/>
    <x v="0"/>
    <x v="0"/>
    <s v="DK1_MedSmall"/>
    <x v="4"/>
    <x v="28"/>
    <x v="0"/>
    <x v="21"/>
    <n v="10.519607843137299"/>
    <n v="3839.6568627451002"/>
    <n v="13822.7647058824"/>
  </r>
  <r>
    <x v="0"/>
    <x v="0"/>
    <x v="0"/>
    <x v="0"/>
    <x v="0"/>
    <s v="DK1_MedSmall"/>
    <x v="4"/>
    <x v="28"/>
    <x v="0"/>
    <x v="22"/>
    <n v="10.519607843137299"/>
    <n v="3839.6568627451002"/>
    <n v="13822.7647058824"/>
  </r>
  <r>
    <x v="0"/>
    <x v="0"/>
    <x v="0"/>
    <x v="0"/>
    <x v="0"/>
    <s v="DK1_MedSmall"/>
    <x v="4"/>
    <x v="28"/>
    <x v="0"/>
    <x v="23"/>
    <n v="10.519607843137299"/>
    <n v="3839.6568627451002"/>
    <n v="13822.7647058824"/>
  </r>
  <r>
    <x v="0"/>
    <x v="0"/>
    <x v="0"/>
    <x v="0"/>
    <x v="0"/>
    <s v="DK1_MedSmall"/>
    <x v="4"/>
    <x v="44"/>
    <x v="0"/>
    <x v="0"/>
    <n v="83.3333333333333"/>
    <n v="30416.666666666599"/>
    <n v="109500"/>
  </r>
  <r>
    <x v="0"/>
    <x v="0"/>
    <x v="0"/>
    <x v="0"/>
    <x v="0"/>
    <s v="DK1_MedSmall"/>
    <x v="4"/>
    <x v="44"/>
    <x v="0"/>
    <x v="1"/>
    <n v="83.3333333333333"/>
    <n v="30416.666666666599"/>
    <n v="109500"/>
  </r>
  <r>
    <x v="0"/>
    <x v="0"/>
    <x v="0"/>
    <x v="0"/>
    <x v="0"/>
    <s v="DK1_MedSmall"/>
    <x v="4"/>
    <x v="44"/>
    <x v="0"/>
    <x v="2"/>
    <n v="83.3333333333333"/>
    <n v="30416.666666666599"/>
    <n v="109500"/>
  </r>
  <r>
    <x v="0"/>
    <x v="0"/>
    <x v="0"/>
    <x v="0"/>
    <x v="0"/>
    <s v="DK1_MedSmall"/>
    <x v="4"/>
    <x v="44"/>
    <x v="0"/>
    <x v="3"/>
    <n v="83.3333333333333"/>
    <n v="30416.666666666599"/>
    <n v="109500"/>
  </r>
  <r>
    <x v="0"/>
    <x v="0"/>
    <x v="0"/>
    <x v="0"/>
    <x v="0"/>
    <s v="DK1_MedSmall"/>
    <x v="4"/>
    <x v="44"/>
    <x v="0"/>
    <x v="4"/>
    <n v="83.3333333333333"/>
    <n v="30416.666666666599"/>
    <n v="109500"/>
  </r>
  <r>
    <x v="0"/>
    <x v="0"/>
    <x v="0"/>
    <x v="0"/>
    <x v="0"/>
    <s v="DK1_MedSmall"/>
    <x v="4"/>
    <x v="44"/>
    <x v="0"/>
    <x v="5"/>
    <n v="83.3333333333333"/>
    <n v="30416.666666666599"/>
    <n v="109500"/>
  </r>
  <r>
    <x v="0"/>
    <x v="0"/>
    <x v="0"/>
    <x v="0"/>
    <x v="0"/>
    <s v="DK1_MedSmall"/>
    <x v="4"/>
    <x v="44"/>
    <x v="0"/>
    <x v="6"/>
    <n v="83.3333333333333"/>
    <n v="30416.666666666599"/>
    <n v="109500"/>
  </r>
  <r>
    <x v="0"/>
    <x v="0"/>
    <x v="0"/>
    <x v="0"/>
    <x v="0"/>
    <s v="DK1_MedSmall"/>
    <x v="4"/>
    <x v="44"/>
    <x v="0"/>
    <x v="7"/>
    <n v="83.3333333333333"/>
    <n v="30416.666666666599"/>
    <n v="109500"/>
  </r>
  <r>
    <x v="0"/>
    <x v="0"/>
    <x v="0"/>
    <x v="0"/>
    <x v="0"/>
    <s v="DK1_MedSmall"/>
    <x v="4"/>
    <x v="44"/>
    <x v="0"/>
    <x v="8"/>
    <n v="83.3333333333333"/>
    <n v="30416.666666666599"/>
    <n v="109500"/>
  </r>
  <r>
    <x v="0"/>
    <x v="0"/>
    <x v="0"/>
    <x v="0"/>
    <x v="0"/>
    <s v="DK1_MedSmall"/>
    <x v="4"/>
    <x v="44"/>
    <x v="0"/>
    <x v="9"/>
    <n v="83.3333333333333"/>
    <n v="30416.666666666599"/>
    <n v="109500"/>
  </r>
  <r>
    <x v="0"/>
    <x v="0"/>
    <x v="0"/>
    <x v="0"/>
    <x v="0"/>
    <s v="DK1_MedSmall"/>
    <x v="4"/>
    <x v="44"/>
    <x v="0"/>
    <x v="10"/>
    <n v="83.3333333333333"/>
    <n v="30416.666666666599"/>
    <n v="109500"/>
  </r>
  <r>
    <x v="0"/>
    <x v="0"/>
    <x v="0"/>
    <x v="0"/>
    <x v="0"/>
    <s v="DK1_MedSmall"/>
    <x v="4"/>
    <x v="44"/>
    <x v="0"/>
    <x v="11"/>
    <n v="83.3333333333333"/>
    <n v="30416.666666666599"/>
    <n v="109500"/>
  </r>
  <r>
    <x v="0"/>
    <x v="0"/>
    <x v="0"/>
    <x v="0"/>
    <x v="0"/>
    <s v="DK1_MedSmall"/>
    <x v="4"/>
    <x v="44"/>
    <x v="0"/>
    <x v="12"/>
    <n v="83.3333333333333"/>
    <n v="30416.666666666599"/>
    <n v="109500"/>
  </r>
  <r>
    <x v="0"/>
    <x v="0"/>
    <x v="0"/>
    <x v="0"/>
    <x v="0"/>
    <s v="DK1_MedSmall"/>
    <x v="4"/>
    <x v="44"/>
    <x v="0"/>
    <x v="13"/>
    <n v="83.3333333333333"/>
    <n v="30416.666666666599"/>
    <n v="109500"/>
  </r>
  <r>
    <x v="0"/>
    <x v="0"/>
    <x v="0"/>
    <x v="0"/>
    <x v="0"/>
    <s v="DK1_MedSmall"/>
    <x v="4"/>
    <x v="44"/>
    <x v="0"/>
    <x v="14"/>
    <n v="83.3333333333333"/>
    <n v="30416.666666666599"/>
    <n v="109500"/>
  </r>
  <r>
    <x v="0"/>
    <x v="0"/>
    <x v="0"/>
    <x v="0"/>
    <x v="0"/>
    <s v="DK1_MedSmall"/>
    <x v="4"/>
    <x v="44"/>
    <x v="0"/>
    <x v="15"/>
    <n v="83.3333333333333"/>
    <n v="30416.666666666599"/>
    <n v="109500"/>
  </r>
  <r>
    <x v="0"/>
    <x v="0"/>
    <x v="0"/>
    <x v="0"/>
    <x v="0"/>
    <s v="DK1_MedSmall"/>
    <x v="4"/>
    <x v="44"/>
    <x v="0"/>
    <x v="16"/>
    <n v="83.3333333333333"/>
    <n v="30416.666666666599"/>
    <n v="109500"/>
  </r>
  <r>
    <x v="0"/>
    <x v="0"/>
    <x v="0"/>
    <x v="0"/>
    <x v="0"/>
    <s v="DK1_MedSmall"/>
    <x v="4"/>
    <x v="44"/>
    <x v="0"/>
    <x v="17"/>
    <n v="83.3333333333333"/>
    <n v="30416.666666666599"/>
    <n v="109500"/>
  </r>
  <r>
    <x v="0"/>
    <x v="0"/>
    <x v="0"/>
    <x v="0"/>
    <x v="0"/>
    <s v="DK1_MedSmall"/>
    <x v="4"/>
    <x v="44"/>
    <x v="0"/>
    <x v="18"/>
    <n v="83.3333333333333"/>
    <n v="30416.666666666599"/>
    <n v="109500"/>
  </r>
  <r>
    <x v="0"/>
    <x v="0"/>
    <x v="0"/>
    <x v="0"/>
    <x v="0"/>
    <s v="DK1_MedSmall"/>
    <x v="4"/>
    <x v="44"/>
    <x v="0"/>
    <x v="19"/>
    <n v="83.3333333333333"/>
    <n v="30416.666666666599"/>
    <n v="109500"/>
  </r>
  <r>
    <x v="0"/>
    <x v="0"/>
    <x v="0"/>
    <x v="0"/>
    <x v="0"/>
    <s v="DK1_MedSmall"/>
    <x v="4"/>
    <x v="44"/>
    <x v="0"/>
    <x v="20"/>
    <n v="83.3333333333333"/>
    <n v="30416.666666666599"/>
    <n v="109500"/>
  </r>
  <r>
    <x v="0"/>
    <x v="0"/>
    <x v="0"/>
    <x v="0"/>
    <x v="0"/>
    <s v="DK1_MedSmall"/>
    <x v="4"/>
    <x v="44"/>
    <x v="0"/>
    <x v="21"/>
    <n v="83.3333333333333"/>
    <n v="30416.666666666599"/>
    <n v="109500"/>
  </r>
  <r>
    <x v="0"/>
    <x v="0"/>
    <x v="0"/>
    <x v="0"/>
    <x v="0"/>
    <s v="DK1_MedSmall"/>
    <x v="4"/>
    <x v="44"/>
    <x v="0"/>
    <x v="22"/>
    <n v="83.3333333333333"/>
    <n v="30416.666666666599"/>
    <n v="109500"/>
  </r>
  <r>
    <x v="0"/>
    <x v="0"/>
    <x v="0"/>
    <x v="0"/>
    <x v="0"/>
    <s v="DK1_MedSmall"/>
    <x v="4"/>
    <x v="44"/>
    <x v="0"/>
    <x v="23"/>
    <n v="83.3333333333333"/>
    <n v="30416.666666666599"/>
    <n v="109500"/>
  </r>
  <r>
    <x v="0"/>
    <x v="0"/>
    <x v="0"/>
    <x v="0"/>
    <x v="0"/>
    <s v="DK1_MedSmall"/>
    <x v="5"/>
    <x v="30"/>
    <x v="0"/>
    <x v="0"/>
    <n v="12.5"/>
    <n v="4562.5"/>
    <n v="16425"/>
  </r>
  <r>
    <x v="0"/>
    <x v="0"/>
    <x v="0"/>
    <x v="0"/>
    <x v="0"/>
    <s v="DK1_MedSmall"/>
    <x v="5"/>
    <x v="30"/>
    <x v="0"/>
    <x v="1"/>
    <n v="12.5"/>
    <n v="4562.5"/>
    <n v="16425"/>
  </r>
  <r>
    <x v="0"/>
    <x v="0"/>
    <x v="0"/>
    <x v="0"/>
    <x v="0"/>
    <s v="DK1_MedSmall"/>
    <x v="5"/>
    <x v="30"/>
    <x v="0"/>
    <x v="2"/>
    <n v="12.5"/>
    <n v="4562.5"/>
    <n v="16425"/>
  </r>
  <r>
    <x v="0"/>
    <x v="0"/>
    <x v="0"/>
    <x v="0"/>
    <x v="0"/>
    <s v="DK1_MedSmall"/>
    <x v="5"/>
    <x v="30"/>
    <x v="0"/>
    <x v="3"/>
    <n v="12.5"/>
    <n v="4562.5"/>
    <n v="16425"/>
  </r>
  <r>
    <x v="0"/>
    <x v="0"/>
    <x v="0"/>
    <x v="0"/>
    <x v="0"/>
    <s v="DK1_MedSmall"/>
    <x v="5"/>
    <x v="30"/>
    <x v="0"/>
    <x v="4"/>
    <n v="12.5"/>
    <n v="4562.5"/>
    <n v="16425"/>
  </r>
  <r>
    <x v="0"/>
    <x v="0"/>
    <x v="0"/>
    <x v="0"/>
    <x v="0"/>
    <s v="DK1_MedSmall"/>
    <x v="5"/>
    <x v="30"/>
    <x v="0"/>
    <x v="5"/>
    <n v="12.5"/>
    <n v="4562.5"/>
    <n v="16425"/>
  </r>
  <r>
    <x v="0"/>
    <x v="0"/>
    <x v="0"/>
    <x v="0"/>
    <x v="0"/>
    <s v="DK1_MedSmall"/>
    <x v="5"/>
    <x v="30"/>
    <x v="0"/>
    <x v="6"/>
    <n v="12.5"/>
    <n v="4562.5"/>
    <n v="16425"/>
  </r>
  <r>
    <x v="0"/>
    <x v="0"/>
    <x v="0"/>
    <x v="0"/>
    <x v="0"/>
    <s v="DK1_MedSmall"/>
    <x v="5"/>
    <x v="30"/>
    <x v="0"/>
    <x v="7"/>
    <n v="12.5"/>
    <n v="4562.5"/>
    <n v="16425"/>
  </r>
  <r>
    <x v="0"/>
    <x v="0"/>
    <x v="0"/>
    <x v="0"/>
    <x v="0"/>
    <s v="DK1_MedSmall"/>
    <x v="5"/>
    <x v="30"/>
    <x v="0"/>
    <x v="8"/>
    <n v="12.5"/>
    <n v="4562.5"/>
    <n v="16425"/>
  </r>
  <r>
    <x v="0"/>
    <x v="0"/>
    <x v="0"/>
    <x v="0"/>
    <x v="0"/>
    <s v="DK1_MedSmall"/>
    <x v="5"/>
    <x v="30"/>
    <x v="0"/>
    <x v="9"/>
    <n v="12.5"/>
    <n v="4562.5"/>
    <n v="16425"/>
  </r>
  <r>
    <x v="0"/>
    <x v="0"/>
    <x v="0"/>
    <x v="0"/>
    <x v="0"/>
    <s v="DK1_MedSmall"/>
    <x v="5"/>
    <x v="30"/>
    <x v="0"/>
    <x v="10"/>
    <n v="12.5"/>
    <n v="4562.5"/>
    <n v="16425"/>
  </r>
  <r>
    <x v="0"/>
    <x v="0"/>
    <x v="0"/>
    <x v="0"/>
    <x v="0"/>
    <s v="DK1_MedSmall"/>
    <x v="5"/>
    <x v="30"/>
    <x v="0"/>
    <x v="11"/>
    <n v="12.5"/>
    <n v="4562.5"/>
    <n v="16425"/>
  </r>
  <r>
    <x v="0"/>
    <x v="0"/>
    <x v="0"/>
    <x v="0"/>
    <x v="0"/>
    <s v="DK1_MedSmall"/>
    <x v="5"/>
    <x v="30"/>
    <x v="0"/>
    <x v="12"/>
    <n v="12.5"/>
    <n v="4562.5"/>
    <n v="16425"/>
  </r>
  <r>
    <x v="0"/>
    <x v="0"/>
    <x v="0"/>
    <x v="0"/>
    <x v="0"/>
    <s v="DK1_MedSmall"/>
    <x v="5"/>
    <x v="30"/>
    <x v="0"/>
    <x v="13"/>
    <n v="12.5"/>
    <n v="4562.5"/>
    <n v="16425"/>
  </r>
  <r>
    <x v="0"/>
    <x v="0"/>
    <x v="0"/>
    <x v="0"/>
    <x v="0"/>
    <s v="DK1_MedSmall"/>
    <x v="5"/>
    <x v="30"/>
    <x v="0"/>
    <x v="14"/>
    <n v="12.5"/>
    <n v="4562.5"/>
    <n v="16425"/>
  </r>
  <r>
    <x v="0"/>
    <x v="0"/>
    <x v="0"/>
    <x v="0"/>
    <x v="0"/>
    <s v="DK1_MedSmall"/>
    <x v="5"/>
    <x v="30"/>
    <x v="0"/>
    <x v="15"/>
    <n v="12.5"/>
    <n v="4562.5"/>
    <n v="16425"/>
  </r>
  <r>
    <x v="0"/>
    <x v="0"/>
    <x v="0"/>
    <x v="0"/>
    <x v="0"/>
    <s v="DK1_MedSmall"/>
    <x v="5"/>
    <x v="30"/>
    <x v="0"/>
    <x v="16"/>
    <n v="12.5"/>
    <n v="4562.5"/>
    <n v="16425"/>
  </r>
  <r>
    <x v="0"/>
    <x v="0"/>
    <x v="0"/>
    <x v="0"/>
    <x v="0"/>
    <s v="DK1_MedSmall"/>
    <x v="5"/>
    <x v="30"/>
    <x v="0"/>
    <x v="17"/>
    <n v="12.5"/>
    <n v="4562.5"/>
    <n v="16425"/>
  </r>
  <r>
    <x v="0"/>
    <x v="0"/>
    <x v="0"/>
    <x v="0"/>
    <x v="0"/>
    <s v="DK1_MedSmall"/>
    <x v="5"/>
    <x v="30"/>
    <x v="0"/>
    <x v="18"/>
    <n v="12.5"/>
    <n v="4562.5"/>
    <n v="16425"/>
  </r>
  <r>
    <x v="0"/>
    <x v="0"/>
    <x v="0"/>
    <x v="0"/>
    <x v="0"/>
    <s v="DK1_MedSmall"/>
    <x v="5"/>
    <x v="30"/>
    <x v="0"/>
    <x v="19"/>
    <n v="12.5"/>
    <n v="4562.5"/>
    <n v="16425"/>
  </r>
  <r>
    <x v="0"/>
    <x v="0"/>
    <x v="0"/>
    <x v="0"/>
    <x v="0"/>
    <s v="DK1_MedSmall"/>
    <x v="5"/>
    <x v="30"/>
    <x v="0"/>
    <x v="20"/>
    <n v="12.5"/>
    <n v="4562.5"/>
    <n v="16425"/>
  </r>
  <r>
    <x v="0"/>
    <x v="0"/>
    <x v="0"/>
    <x v="0"/>
    <x v="0"/>
    <s v="DK1_MedSmall"/>
    <x v="5"/>
    <x v="30"/>
    <x v="0"/>
    <x v="21"/>
    <n v="12.5"/>
    <n v="4562.5"/>
    <n v="16425"/>
  </r>
  <r>
    <x v="0"/>
    <x v="0"/>
    <x v="0"/>
    <x v="0"/>
    <x v="0"/>
    <s v="DK1_MedSmall"/>
    <x v="5"/>
    <x v="30"/>
    <x v="0"/>
    <x v="22"/>
    <n v="12.5"/>
    <n v="4562.5"/>
    <n v="16425"/>
  </r>
  <r>
    <x v="0"/>
    <x v="0"/>
    <x v="0"/>
    <x v="0"/>
    <x v="0"/>
    <s v="DK1_MedSmall"/>
    <x v="5"/>
    <x v="30"/>
    <x v="0"/>
    <x v="23"/>
    <n v="12.5"/>
    <n v="4562.5"/>
    <n v="16425"/>
  </r>
  <r>
    <x v="0"/>
    <x v="0"/>
    <x v="0"/>
    <x v="0"/>
    <x v="0"/>
    <s v="DK1_MedSmall"/>
    <x v="5"/>
    <x v="45"/>
    <x v="0"/>
    <x v="0"/>
    <n v="8.3000000000000007"/>
    <n v="3029.5"/>
    <n v="10906.2"/>
  </r>
  <r>
    <x v="0"/>
    <x v="0"/>
    <x v="0"/>
    <x v="0"/>
    <x v="0"/>
    <s v="DK1_MedSmall"/>
    <x v="5"/>
    <x v="45"/>
    <x v="0"/>
    <x v="1"/>
    <n v="8.3000000000000007"/>
    <n v="3029.5"/>
    <n v="10906.2"/>
  </r>
  <r>
    <x v="0"/>
    <x v="0"/>
    <x v="0"/>
    <x v="0"/>
    <x v="0"/>
    <s v="DK1_MedSmall"/>
    <x v="5"/>
    <x v="45"/>
    <x v="0"/>
    <x v="2"/>
    <n v="8.3000000000000007"/>
    <n v="3029.5"/>
    <n v="10906.2"/>
  </r>
  <r>
    <x v="0"/>
    <x v="0"/>
    <x v="0"/>
    <x v="0"/>
    <x v="0"/>
    <s v="DK1_MedSmall"/>
    <x v="5"/>
    <x v="45"/>
    <x v="0"/>
    <x v="3"/>
    <n v="8.3000000000000007"/>
    <n v="3029.5"/>
    <n v="10906.2"/>
  </r>
  <r>
    <x v="0"/>
    <x v="0"/>
    <x v="0"/>
    <x v="0"/>
    <x v="0"/>
    <s v="DK1_MedSmall"/>
    <x v="5"/>
    <x v="45"/>
    <x v="0"/>
    <x v="4"/>
    <n v="8.3000000000000007"/>
    <n v="3029.5"/>
    <n v="10906.2"/>
  </r>
  <r>
    <x v="0"/>
    <x v="0"/>
    <x v="0"/>
    <x v="0"/>
    <x v="0"/>
    <s v="DK1_MedSmall"/>
    <x v="5"/>
    <x v="45"/>
    <x v="0"/>
    <x v="5"/>
    <n v="8.3000000000000007"/>
    <n v="3029.5"/>
    <n v="10906.2"/>
  </r>
  <r>
    <x v="0"/>
    <x v="0"/>
    <x v="0"/>
    <x v="0"/>
    <x v="0"/>
    <s v="DK1_MedSmall"/>
    <x v="5"/>
    <x v="45"/>
    <x v="0"/>
    <x v="6"/>
    <n v="8.3000000000000007"/>
    <n v="3029.5"/>
    <n v="10906.2"/>
  </r>
  <r>
    <x v="0"/>
    <x v="0"/>
    <x v="0"/>
    <x v="0"/>
    <x v="0"/>
    <s v="DK1_MedSmall"/>
    <x v="5"/>
    <x v="45"/>
    <x v="0"/>
    <x v="7"/>
    <n v="8.3000000000000007"/>
    <n v="3029.5"/>
    <n v="10906.2"/>
  </r>
  <r>
    <x v="0"/>
    <x v="0"/>
    <x v="0"/>
    <x v="0"/>
    <x v="0"/>
    <s v="DK1_MedSmall"/>
    <x v="5"/>
    <x v="45"/>
    <x v="0"/>
    <x v="8"/>
    <n v="8.3000000000000007"/>
    <n v="3029.5"/>
    <n v="10906.2"/>
  </r>
  <r>
    <x v="0"/>
    <x v="0"/>
    <x v="0"/>
    <x v="0"/>
    <x v="0"/>
    <s v="DK1_MedSmall"/>
    <x v="5"/>
    <x v="45"/>
    <x v="0"/>
    <x v="9"/>
    <n v="8.3000000000000007"/>
    <n v="3029.5"/>
    <n v="10906.2"/>
  </r>
  <r>
    <x v="0"/>
    <x v="0"/>
    <x v="0"/>
    <x v="0"/>
    <x v="0"/>
    <s v="DK1_MedSmall"/>
    <x v="5"/>
    <x v="45"/>
    <x v="0"/>
    <x v="10"/>
    <n v="8.3000000000000007"/>
    <n v="3029.5"/>
    <n v="10906.2"/>
  </r>
  <r>
    <x v="0"/>
    <x v="0"/>
    <x v="0"/>
    <x v="0"/>
    <x v="0"/>
    <s v="DK1_MedSmall"/>
    <x v="5"/>
    <x v="45"/>
    <x v="0"/>
    <x v="11"/>
    <n v="8.3000000000000007"/>
    <n v="3029.5"/>
    <n v="10906.2"/>
  </r>
  <r>
    <x v="0"/>
    <x v="0"/>
    <x v="0"/>
    <x v="0"/>
    <x v="0"/>
    <s v="DK1_MedSmall"/>
    <x v="5"/>
    <x v="45"/>
    <x v="0"/>
    <x v="12"/>
    <n v="8.3000000000000007"/>
    <n v="3029.5"/>
    <n v="10906.2"/>
  </r>
  <r>
    <x v="0"/>
    <x v="0"/>
    <x v="0"/>
    <x v="0"/>
    <x v="0"/>
    <s v="DK1_MedSmall"/>
    <x v="5"/>
    <x v="45"/>
    <x v="0"/>
    <x v="13"/>
    <n v="8.3000000000000007"/>
    <n v="3029.5"/>
    <n v="10906.2"/>
  </r>
  <r>
    <x v="0"/>
    <x v="0"/>
    <x v="0"/>
    <x v="0"/>
    <x v="0"/>
    <s v="DK1_MedSmall"/>
    <x v="5"/>
    <x v="45"/>
    <x v="0"/>
    <x v="14"/>
    <n v="8.3000000000000007"/>
    <n v="3029.5"/>
    <n v="10906.2"/>
  </r>
  <r>
    <x v="0"/>
    <x v="0"/>
    <x v="0"/>
    <x v="0"/>
    <x v="0"/>
    <s v="DK1_MedSmall"/>
    <x v="5"/>
    <x v="45"/>
    <x v="0"/>
    <x v="15"/>
    <n v="8.3000000000000007"/>
    <n v="3029.5"/>
    <n v="10906.2"/>
  </r>
  <r>
    <x v="0"/>
    <x v="0"/>
    <x v="0"/>
    <x v="0"/>
    <x v="0"/>
    <s v="DK1_MedSmall"/>
    <x v="5"/>
    <x v="45"/>
    <x v="0"/>
    <x v="16"/>
    <n v="8.3000000000000007"/>
    <n v="3029.5"/>
    <n v="10906.2"/>
  </r>
  <r>
    <x v="0"/>
    <x v="0"/>
    <x v="0"/>
    <x v="0"/>
    <x v="0"/>
    <s v="DK1_MedSmall"/>
    <x v="5"/>
    <x v="45"/>
    <x v="0"/>
    <x v="17"/>
    <n v="8.3000000000000007"/>
    <n v="3029.5"/>
    <n v="10906.2"/>
  </r>
  <r>
    <x v="0"/>
    <x v="0"/>
    <x v="0"/>
    <x v="0"/>
    <x v="0"/>
    <s v="DK1_MedSmall"/>
    <x v="5"/>
    <x v="45"/>
    <x v="0"/>
    <x v="18"/>
    <n v="8.3000000000000007"/>
    <n v="3029.5"/>
    <n v="10906.2"/>
  </r>
  <r>
    <x v="0"/>
    <x v="0"/>
    <x v="0"/>
    <x v="0"/>
    <x v="0"/>
    <s v="DK1_MedSmall"/>
    <x v="5"/>
    <x v="45"/>
    <x v="0"/>
    <x v="19"/>
    <n v="8.3000000000000007"/>
    <n v="3029.5"/>
    <n v="10906.2"/>
  </r>
  <r>
    <x v="0"/>
    <x v="0"/>
    <x v="0"/>
    <x v="0"/>
    <x v="0"/>
    <s v="DK1_MedSmall"/>
    <x v="5"/>
    <x v="45"/>
    <x v="0"/>
    <x v="20"/>
    <n v="8.3000000000000007"/>
    <n v="3029.5"/>
    <n v="10906.2"/>
  </r>
  <r>
    <x v="0"/>
    <x v="0"/>
    <x v="0"/>
    <x v="0"/>
    <x v="0"/>
    <s v="DK1_MedSmall"/>
    <x v="5"/>
    <x v="45"/>
    <x v="0"/>
    <x v="21"/>
    <n v="8.3000000000000007"/>
    <n v="3029.5"/>
    <n v="10906.2"/>
  </r>
  <r>
    <x v="0"/>
    <x v="0"/>
    <x v="0"/>
    <x v="0"/>
    <x v="0"/>
    <s v="DK1_MedSmall"/>
    <x v="5"/>
    <x v="45"/>
    <x v="0"/>
    <x v="22"/>
    <n v="8.3000000000000007"/>
    <n v="3029.5"/>
    <n v="10906.2"/>
  </r>
  <r>
    <x v="0"/>
    <x v="0"/>
    <x v="0"/>
    <x v="0"/>
    <x v="0"/>
    <s v="DK1_MedSmall"/>
    <x v="5"/>
    <x v="45"/>
    <x v="0"/>
    <x v="23"/>
    <n v="8.3000000000000007"/>
    <n v="3029.5"/>
    <n v="10906.2"/>
  </r>
  <r>
    <x v="0"/>
    <x v="0"/>
    <x v="0"/>
    <x v="0"/>
    <x v="0"/>
    <s v="DK1_MedSmall"/>
    <x v="6"/>
    <x v="31"/>
    <x v="0"/>
    <x v="0"/>
    <n v="2.1"/>
    <n v="766.5"/>
    <n v="2759.4"/>
  </r>
  <r>
    <x v="0"/>
    <x v="0"/>
    <x v="0"/>
    <x v="0"/>
    <x v="0"/>
    <s v="DK1_MedSmall"/>
    <x v="6"/>
    <x v="31"/>
    <x v="0"/>
    <x v="1"/>
    <n v="2.1"/>
    <n v="766.5"/>
    <n v="2759.4"/>
  </r>
  <r>
    <x v="0"/>
    <x v="0"/>
    <x v="0"/>
    <x v="0"/>
    <x v="0"/>
    <s v="DK1_MedSmall"/>
    <x v="6"/>
    <x v="31"/>
    <x v="0"/>
    <x v="2"/>
    <n v="2.1"/>
    <n v="766.5"/>
    <n v="2759.4"/>
  </r>
  <r>
    <x v="0"/>
    <x v="0"/>
    <x v="0"/>
    <x v="0"/>
    <x v="0"/>
    <s v="DK1_MedSmall"/>
    <x v="6"/>
    <x v="31"/>
    <x v="0"/>
    <x v="3"/>
    <n v="2.1"/>
    <n v="766.5"/>
    <n v="2759.4"/>
  </r>
  <r>
    <x v="0"/>
    <x v="0"/>
    <x v="0"/>
    <x v="0"/>
    <x v="0"/>
    <s v="DK1_MedSmall"/>
    <x v="6"/>
    <x v="31"/>
    <x v="0"/>
    <x v="4"/>
    <n v="2.1"/>
    <n v="766.5"/>
    <n v="2759.4"/>
  </r>
  <r>
    <x v="0"/>
    <x v="0"/>
    <x v="0"/>
    <x v="0"/>
    <x v="0"/>
    <s v="DK1_MedSmall"/>
    <x v="6"/>
    <x v="31"/>
    <x v="0"/>
    <x v="5"/>
    <n v="2.1"/>
    <n v="766.5"/>
    <n v="2759.4"/>
  </r>
  <r>
    <x v="0"/>
    <x v="0"/>
    <x v="0"/>
    <x v="0"/>
    <x v="0"/>
    <s v="DK1_MedSmall"/>
    <x v="6"/>
    <x v="31"/>
    <x v="0"/>
    <x v="6"/>
    <n v="2.1"/>
    <n v="766.5"/>
    <n v="2759.4"/>
  </r>
  <r>
    <x v="0"/>
    <x v="0"/>
    <x v="0"/>
    <x v="0"/>
    <x v="0"/>
    <s v="DK1_MedSmall"/>
    <x v="6"/>
    <x v="31"/>
    <x v="0"/>
    <x v="7"/>
    <n v="2.1"/>
    <n v="766.5"/>
    <n v="2759.4"/>
  </r>
  <r>
    <x v="0"/>
    <x v="0"/>
    <x v="0"/>
    <x v="0"/>
    <x v="0"/>
    <s v="DK1_MedSmall"/>
    <x v="6"/>
    <x v="31"/>
    <x v="0"/>
    <x v="8"/>
    <n v="2.1"/>
    <n v="766.5"/>
    <n v="2759.4"/>
  </r>
  <r>
    <x v="0"/>
    <x v="0"/>
    <x v="0"/>
    <x v="0"/>
    <x v="0"/>
    <s v="DK1_MedSmall"/>
    <x v="6"/>
    <x v="31"/>
    <x v="0"/>
    <x v="9"/>
    <n v="2.1"/>
    <n v="766.5"/>
    <n v="2759.4"/>
  </r>
  <r>
    <x v="0"/>
    <x v="0"/>
    <x v="0"/>
    <x v="0"/>
    <x v="0"/>
    <s v="DK1_MedSmall"/>
    <x v="6"/>
    <x v="31"/>
    <x v="0"/>
    <x v="10"/>
    <n v="2.1"/>
    <n v="766.5"/>
    <n v="2759.4"/>
  </r>
  <r>
    <x v="0"/>
    <x v="0"/>
    <x v="0"/>
    <x v="0"/>
    <x v="0"/>
    <s v="DK1_MedSmall"/>
    <x v="6"/>
    <x v="31"/>
    <x v="0"/>
    <x v="11"/>
    <n v="2.1"/>
    <n v="766.5"/>
    <n v="2759.4"/>
  </r>
  <r>
    <x v="0"/>
    <x v="0"/>
    <x v="0"/>
    <x v="0"/>
    <x v="0"/>
    <s v="DK1_MedSmall"/>
    <x v="6"/>
    <x v="31"/>
    <x v="0"/>
    <x v="12"/>
    <n v="2.1"/>
    <n v="766.5"/>
    <n v="2759.4"/>
  </r>
  <r>
    <x v="0"/>
    <x v="0"/>
    <x v="0"/>
    <x v="0"/>
    <x v="0"/>
    <s v="DK1_MedSmall"/>
    <x v="6"/>
    <x v="31"/>
    <x v="0"/>
    <x v="13"/>
    <n v="2.1"/>
    <n v="766.5"/>
    <n v="2759.4"/>
  </r>
  <r>
    <x v="0"/>
    <x v="0"/>
    <x v="0"/>
    <x v="0"/>
    <x v="0"/>
    <s v="DK1_MedSmall"/>
    <x v="6"/>
    <x v="31"/>
    <x v="0"/>
    <x v="14"/>
    <n v="2.1"/>
    <n v="766.5"/>
    <n v="2759.4"/>
  </r>
  <r>
    <x v="0"/>
    <x v="0"/>
    <x v="0"/>
    <x v="0"/>
    <x v="0"/>
    <s v="DK1_MedSmall"/>
    <x v="6"/>
    <x v="31"/>
    <x v="0"/>
    <x v="15"/>
    <n v="2.1"/>
    <n v="766.5"/>
    <n v="2759.4"/>
  </r>
  <r>
    <x v="0"/>
    <x v="0"/>
    <x v="0"/>
    <x v="0"/>
    <x v="0"/>
    <s v="DK1_MedSmall"/>
    <x v="6"/>
    <x v="31"/>
    <x v="0"/>
    <x v="16"/>
    <n v="2.1"/>
    <n v="766.5"/>
    <n v="2759.4"/>
  </r>
  <r>
    <x v="0"/>
    <x v="0"/>
    <x v="0"/>
    <x v="0"/>
    <x v="0"/>
    <s v="DK1_MedSmall"/>
    <x v="6"/>
    <x v="31"/>
    <x v="0"/>
    <x v="17"/>
    <n v="2.1"/>
    <n v="766.5"/>
    <n v="2759.4"/>
  </r>
  <r>
    <x v="0"/>
    <x v="0"/>
    <x v="0"/>
    <x v="0"/>
    <x v="0"/>
    <s v="DK1_MedSmall"/>
    <x v="6"/>
    <x v="31"/>
    <x v="0"/>
    <x v="18"/>
    <n v="2.1"/>
    <n v="766.5"/>
    <n v="2759.4"/>
  </r>
  <r>
    <x v="0"/>
    <x v="0"/>
    <x v="0"/>
    <x v="0"/>
    <x v="0"/>
    <s v="DK1_MedSmall"/>
    <x v="6"/>
    <x v="31"/>
    <x v="0"/>
    <x v="19"/>
    <n v="2.1"/>
    <n v="766.5"/>
    <n v="2759.4"/>
  </r>
  <r>
    <x v="0"/>
    <x v="0"/>
    <x v="0"/>
    <x v="0"/>
    <x v="0"/>
    <s v="DK1_MedSmall"/>
    <x v="6"/>
    <x v="31"/>
    <x v="0"/>
    <x v="20"/>
    <n v="2.1"/>
    <n v="766.5"/>
    <n v="2759.4"/>
  </r>
  <r>
    <x v="0"/>
    <x v="0"/>
    <x v="0"/>
    <x v="0"/>
    <x v="0"/>
    <s v="DK1_MedSmall"/>
    <x v="6"/>
    <x v="31"/>
    <x v="0"/>
    <x v="21"/>
    <n v="2.1"/>
    <n v="766.5"/>
    <n v="2759.4"/>
  </r>
  <r>
    <x v="0"/>
    <x v="0"/>
    <x v="0"/>
    <x v="0"/>
    <x v="0"/>
    <s v="DK1_MedSmall"/>
    <x v="6"/>
    <x v="31"/>
    <x v="0"/>
    <x v="22"/>
    <n v="2.1"/>
    <n v="766.5"/>
    <n v="2759.4"/>
  </r>
  <r>
    <x v="0"/>
    <x v="0"/>
    <x v="0"/>
    <x v="0"/>
    <x v="0"/>
    <s v="DK1_MedSmall"/>
    <x v="6"/>
    <x v="31"/>
    <x v="0"/>
    <x v="23"/>
    <n v="2.1"/>
    <n v="766.5"/>
    <n v="2759.4"/>
  </r>
  <r>
    <x v="0"/>
    <x v="0"/>
    <x v="0"/>
    <x v="0"/>
    <x v="0"/>
    <s v="DK1_MedSmall"/>
    <x v="6"/>
    <x v="46"/>
    <x v="0"/>
    <x v="0"/>
    <n v="15.454545454545499"/>
    <n v="5640.9090909090901"/>
    <n v="20307.272727272699"/>
  </r>
  <r>
    <x v="0"/>
    <x v="0"/>
    <x v="0"/>
    <x v="0"/>
    <x v="0"/>
    <s v="DK1_MedSmall"/>
    <x v="6"/>
    <x v="46"/>
    <x v="0"/>
    <x v="1"/>
    <n v="15.454545454545499"/>
    <n v="5640.9090909090901"/>
    <n v="20307.272727272699"/>
  </r>
  <r>
    <x v="0"/>
    <x v="0"/>
    <x v="0"/>
    <x v="0"/>
    <x v="0"/>
    <s v="DK1_MedSmall"/>
    <x v="6"/>
    <x v="46"/>
    <x v="0"/>
    <x v="2"/>
    <n v="15.454545454545499"/>
    <n v="5640.9090909090901"/>
    <n v="20307.272727272699"/>
  </r>
  <r>
    <x v="0"/>
    <x v="0"/>
    <x v="0"/>
    <x v="0"/>
    <x v="0"/>
    <s v="DK1_MedSmall"/>
    <x v="6"/>
    <x v="46"/>
    <x v="0"/>
    <x v="3"/>
    <n v="15.454545454545499"/>
    <n v="5640.9090909090901"/>
    <n v="20307.272727272699"/>
  </r>
  <r>
    <x v="0"/>
    <x v="0"/>
    <x v="0"/>
    <x v="0"/>
    <x v="0"/>
    <s v="DK1_MedSmall"/>
    <x v="6"/>
    <x v="46"/>
    <x v="0"/>
    <x v="4"/>
    <n v="15.454545454545499"/>
    <n v="5640.9090909090901"/>
    <n v="20307.272727272699"/>
  </r>
  <r>
    <x v="0"/>
    <x v="0"/>
    <x v="0"/>
    <x v="0"/>
    <x v="0"/>
    <s v="DK1_MedSmall"/>
    <x v="6"/>
    <x v="46"/>
    <x v="0"/>
    <x v="5"/>
    <n v="15.454545454545499"/>
    <n v="5640.9090909090901"/>
    <n v="20307.272727272699"/>
  </r>
  <r>
    <x v="0"/>
    <x v="0"/>
    <x v="0"/>
    <x v="0"/>
    <x v="0"/>
    <s v="DK1_MedSmall"/>
    <x v="6"/>
    <x v="46"/>
    <x v="0"/>
    <x v="6"/>
    <n v="15.454545454545499"/>
    <n v="5640.9090909090901"/>
    <n v="20307.272727272699"/>
  </r>
  <r>
    <x v="0"/>
    <x v="0"/>
    <x v="0"/>
    <x v="0"/>
    <x v="0"/>
    <s v="DK1_MedSmall"/>
    <x v="6"/>
    <x v="46"/>
    <x v="0"/>
    <x v="7"/>
    <n v="15.454545454545499"/>
    <n v="5640.9090909090901"/>
    <n v="20307.272727272699"/>
  </r>
  <r>
    <x v="0"/>
    <x v="0"/>
    <x v="0"/>
    <x v="0"/>
    <x v="0"/>
    <s v="DK1_MedSmall"/>
    <x v="6"/>
    <x v="46"/>
    <x v="0"/>
    <x v="8"/>
    <n v="15.454545454545499"/>
    <n v="5640.9090909090901"/>
    <n v="20307.272727272699"/>
  </r>
  <r>
    <x v="0"/>
    <x v="0"/>
    <x v="0"/>
    <x v="0"/>
    <x v="0"/>
    <s v="DK1_MedSmall"/>
    <x v="6"/>
    <x v="46"/>
    <x v="0"/>
    <x v="9"/>
    <n v="15.454545454545499"/>
    <n v="5640.9090909090901"/>
    <n v="20307.272727272699"/>
  </r>
  <r>
    <x v="0"/>
    <x v="0"/>
    <x v="0"/>
    <x v="0"/>
    <x v="0"/>
    <s v="DK1_MedSmall"/>
    <x v="6"/>
    <x v="46"/>
    <x v="0"/>
    <x v="10"/>
    <n v="15.454545454545499"/>
    <n v="5640.9090909090901"/>
    <n v="20307.272727272699"/>
  </r>
  <r>
    <x v="0"/>
    <x v="0"/>
    <x v="0"/>
    <x v="0"/>
    <x v="0"/>
    <s v="DK1_MedSmall"/>
    <x v="6"/>
    <x v="46"/>
    <x v="0"/>
    <x v="11"/>
    <n v="15.454545454545499"/>
    <n v="5640.9090909090901"/>
    <n v="20307.272727272699"/>
  </r>
  <r>
    <x v="0"/>
    <x v="0"/>
    <x v="0"/>
    <x v="0"/>
    <x v="0"/>
    <s v="DK1_MedSmall"/>
    <x v="6"/>
    <x v="46"/>
    <x v="0"/>
    <x v="12"/>
    <n v="15.454545454545499"/>
    <n v="5640.9090909090901"/>
    <n v="20307.272727272699"/>
  </r>
  <r>
    <x v="0"/>
    <x v="0"/>
    <x v="0"/>
    <x v="0"/>
    <x v="0"/>
    <s v="DK1_MedSmall"/>
    <x v="6"/>
    <x v="46"/>
    <x v="0"/>
    <x v="13"/>
    <n v="15.454545454545499"/>
    <n v="5640.9090909090901"/>
    <n v="20307.272727272699"/>
  </r>
  <r>
    <x v="0"/>
    <x v="0"/>
    <x v="0"/>
    <x v="0"/>
    <x v="0"/>
    <s v="DK1_MedSmall"/>
    <x v="6"/>
    <x v="46"/>
    <x v="0"/>
    <x v="14"/>
    <n v="15.454545454545499"/>
    <n v="5640.9090909090901"/>
    <n v="20307.272727272699"/>
  </r>
  <r>
    <x v="0"/>
    <x v="0"/>
    <x v="0"/>
    <x v="0"/>
    <x v="0"/>
    <s v="DK1_MedSmall"/>
    <x v="6"/>
    <x v="46"/>
    <x v="0"/>
    <x v="15"/>
    <n v="15.454545454545499"/>
    <n v="5640.9090909090901"/>
    <n v="20307.272727272699"/>
  </r>
  <r>
    <x v="0"/>
    <x v="0"/>
    <x v="0"/>
    <x v="0"/>
    <x v="0"/>
    <s v="DK1_MedSmall"/>
    <x v="6"/>
    <x v="46"/>
    <x v="0"/>
    <x v="16"/>
    <n v="15.454545454545499"/>
    <n v="5640.9090909090901"/>
    <n v="20307.272727272699"/>
  </r>
  <r>
    <x v="0"/>
    <x v="0"/>
    <x v="0"/>
    <x v="0"/>
    <x v="0"/>
    <s v="DK1_MedSmall"/>
    <x v="6"/>
    <x v="46"/>
    <x v="0"/>
    <x v="17"/>
    <n v="15.454545454545499"/>
    <n v="5640.9090909090901"/>
    <n v="20307.272727272699"/>
  </r>
  <r>
    <x v="0"/>
    <x v="0"/>
    <x v="0"/>
    <x v="0"/>
    <x v="0"/>
    <s v="DK1_MedSmall"/>
    <x v="6"/>
    <x v="46"/>
    <x v="0"/>
    <x v="18"/>
    <n v="15.454545454545499"/>
    <n v="5640.9090909090901"/>
    <n v="20307.272727272699"/>
  </r>
  <r>
    <x v="0"/>
    <x v="0"/>
    <x v="0"/>
    <x v="0"/>
    <x v="0"/>
    <s v="DK1_MedSmall"/>
    <x v="6"/>
    <x v="46"/>
    <x v="0"/>
    <x v="19"/>
    <n v="15.454545454545499"/>
    <n v="5640.9090909090901"/>
    <n v="20307.272727272699"/>
  </r>
  <r>
    <x v="0"/>
    <x v="0"/>
    <x v="0"/>
    <x v="0"/>
    <x v="0"/>
    <s v="DK1_MedSmall"/>
    <x v="6"/>
    <x v="46"/>
    <x v="0"/>
    <x v="20"/>
    <n v="15.454545454545499"/>
    <n v="5640.9090909090901"/>
    <n v="20307.272727272699"/>
  </r>
  <r>
    <x v="0"/>
    <x v="0"/>
    <x v="0"/>
    <x v="0"/>
    <x v="0"/>
    <s v="DK1_MedSmall"/>
    <x v="6"/>
    <x v="46"/>
    <x v="0"/>
    <x v="21"/>
    <n v="15.454545454545499"/>
    <n v="5640.9090909090901"/>
    <n v="20307.272727272699"/>
  </r>
  <r>
    <x v="0"/>
    <x v="0"/>
    <x v="0"/>
    <x v="0"/>
    <x v="0"/>
    <s v="DK1_MedSmall"/>
    <x v="6"/>
    <x v="46"/>
    <x v="0"/>
    <x v="22"/>
    <n v="15.454545454545499"/>
    <n v="5640.9090909090901"/>
    <n v="20307.272727272699"/>
  </r>
  <r>
    <x v="0"/>
    <x v="0"/>
    <x v="0"/>
    <x v="0"/>
    <x v="0"/>
    <s v="DK1_MedSmall"/>
    <x v="6"/>
    <x v="46"/>
    <x v="0"/>
    <x v="23"/>
    <n v="15.454545454545499"/>
    <n v="5640.9090909090901"/>
    <n v="20307.272727272699"/>
  </r>
  <r>
    <x v="0"/>
    <x v="0"/>
    <x v="0"/>
    <x v="0"/>
    <x v="0"/>
    <s v="DK1_MedSmall"/>
    <x v="7"/>
    <x v="33"/>
    <x v="0"/>
    <x v="0"/>
    <n v="4"/>
    <n v="1460"/>
    <n v="5256"/>
  </r>
  <r>
    <x v="0"/>
    <x v="0"/>
    <x v="0"/>
    <x v="0"/>
    <x v="0"/>
    <s v="DK1_MedSmall"/>
    <x v="7"/>
    <x v="33"/>
    <x v="0"/>
    <x v="1"/>
    <n v="4"/>
    <n v="1460"/>
    <n v="5256"/>
  </r>
  <r>
    <x v="0"/>
    <x v="0"/>
    <x v="0"/>
    <x v="0"/>
    <x v="0"/>
    <s v="DK1_MedSmall"/>
    <x v="7"/>
    <x v="33"/>
    <x v="0"/>
    <x v="2"/>
    <n v="4"/>
    <n v="1460"/>
    <n v="5256"/>
  </r>
  <r>
    <x v="0"/>
    <x v="0"/>
    <x v="0"/>
    <x v="0"/>
    <x v="0"/>
    <s v="DK1_MedSmall"/>
    <x v="7"/>
    <x v="33"/>
    <x v="0"/>
    <x v="3"/>
    <n v="4"/>
    <n v="1460"/>
    <n v="5256"/>
  </r>
  <r>
    <x v="0"/>
    <x v="0"/>
    <x v="0"/>
    <x v="0"/>
    <x v="0"/>
    <s v="DK1_MedSmall"/>
    <x v="7"/>
    <x v="33"/>
    <x v="0"/>
    <x v="4"/>
    <n v="4"/>
    <n v="1460"/>
    <n v="5256"/>
  </r>
  <r>
    <x v="0"/>
    <x v="0"/>
    <x v="0"/>
    <x v="0"/>
    <x v="0"/>
    <s v="DK1_MedSmall"/>
    <x v="7"/>
    <x v="33"/>
    <x v="0"/>
    <x v="5"/>
    <n v="4"/>
    <n v="1460"/>
    <n v="5256"/>
  </r>
  <r>
    <x v="0"/>
    <x v="0"/>
    <x v="0"/>
    <x v="0"/>
    <x v="0"/>
    <s v="DK1_MedSmall"/>
    <x v="7"/>
    <x v="33"/>
    <x v="0"/>
    <x v="6"/>
    <n v="4"/>
    <n v="1460"/>
    <n v="5256"/>
  </r>
  <r>
    <x v="0"/>
    <x v="0"/>
    <x v="0"/>
    <x v="0"/>
    <x v="0"/>
    <s v="DK1_MedSmall"/>
    <x v="7"/>
    <x v="33"/>
    <x v="0"/>
    <x v="7"/>
    <n v="4"/>
    <n v="1460"/>
    <n v="5256"/>
  </r>
  <r>
    <x v="0"/>
    <x v="0"/>
    <x v="0"/>
    <x v="0"/>
    <x v="0"/>
    <s v="DK1_MedSmall"/>
    <x v="7"/>
    <x v="33"/>
    <x v="0"/>
    <x v="8"/>
    <n v="4"/>
    <n v="1460"/>
    <n v="5256"/>
  </r>
  <r>
    <x v="0"/>
    <x v="0"/>
    <x v="0"/>
    <x v="0"/>
    <x v="0"/>
    <s v="DK1_MedSmall"/>
    <x v="7"/>
    <x v="33"/>
    <x v="0"/>
    <x v="9"/>
    <n v="4"/>
    <n v="1460"/>
    <n v="5256"/>
  </r>
  <r>
    <x v="0"/>
    <x v="0"/>
    <x v="0"/>
    <x v="0"/>
    <x v="0"/>
    <s v="DK1_MedSmall"/>
    <x v="7"/>
    <x v="33"/>
    <x v="0"/>
    <x v="10"/>
    <n v="4"/>
    <n v="1460"/>
    <n v="5256"/>
  </r>
  <r>
    <x v="0"/>
    <x v="0"/>
    <x v="0"/>
    <x v="0"/>
    <x v="0"/>
    <s v="DK1_MedSmall"/>
    <x v="7"/>
    <x v="33"/>
    <x v="0"/>
    <x v="11"/>
    <n v="4"/>
    <n v="1460"/>
    <n v="5256"/>
  </r>
  <r>
    <x v="0"/>
    <x v="0"/>
    <x v="0"/>
    <x v="0"/>
    <x v="0"/>
    <s v="DK1_MedSmall"/>
    <x v="7"/>
    <x v="33"/>
    <x v="0"/>
    <x v="12"/>
    <n v="4"/>
    <n v="1460"/>
    <n v="5256"/>
  </r>
  <r>
    <x v="0"/>
    <x v="0"/>
    <x v="0"/>
    <x v="0"/>
    <x v="0"/>
    <s v="DK1_MedSmall"/>
    <x v="7"/>
    <x v="33"/>
    <x v="0"/>
    <x v="13"/>
    <n v="4"/>
    <n v="1460"/>
    <n v="5256"/>
  </r>
  <r>
    <x v="0"/>
    <x v="0"/>
    <x v="0"/>
    <x v="0"/>
    <x v="0"/>
    <s v="DK1_MedSmall"/>
    <x v="7"/>
    <x v="33"/>
    <x v="0"/>
    <x v="14"/>
    <n v="4"/>
    <n v="1460"/>
    <n v="5256"/>
  </r>
  <r>
    <x v="0"/>
    <x v="0"/>
    <x v="0"/>
    <x v="0"/>
    <x v="0"/>
    <s v="DK1_MedSmall"/>
    <x v="7"/>
    <x v="33"/>
    <x v="0"/>
    <x v="15"/>
    <n v="4"/>
    <n v="1460"/>
    <n v="5256"/>
  </r>
  <r>
    <x v="0"/>
    <x v="0"/>
    <x v="0"/>
    <x v="0"/>
    <x v="0"/>
    <s v="DK1_MedSmall"/>
    <x v="7"/>
    <x v="33"/>
    <x v="0"/>
    <x v="16"/>
    <n v="4"/>
    <n v="1460"/>
    <n v="5256"/>
  </r>
  <r>
    <x v="0"/>
    <x v="0"/>
    <x v="0"/>
    <x v="0"/>
    <x v="0"/>
    <s v="DK1_MedSmall"/>
    <x v="7"/>
    <x v="33"/>
    <x v="0"/>
    <x v="17"/>
    <n v="4"/>
    <n v="1460"/>
    <n v="5256"/>
  </r>
  <r>
    <x v="0"/>
    <x v="0"/>
    <x v="0"/>
    <x v="0"/>
    <x v="0"/>
    <s v="DK1_MedSmall"/>
    <x v="7"/>
    <x v="33"/>
    <x v="0"/>
    <x v="18"/>
    <n v="4"/>
    <n v="1460"/>
    <n v="5256"/>
  </r>
  <r>
    <x v="0"/>
    <x v="0"/>
    <x v="0"/>
    <x v="0"/>
    <x v="0"/>
    <s v="DK1_MedSmall"/>
    <x v="7"/>
    <x v="33"/>
    <x v="0"/>
    <x v="19"/>
    <n v="4"/>
    <n v="1460"/>
    <n v="5256"/>
  </r>
  <r>
    <x v="0"/>
    <x v="0"/>
    <x v="0"/>
    <x v="0"/>
    <x v="0"/>
    <s v="DK1_MedSmall"/>
    <x v="7"/>
    <x v="33"/>
    <x v="0"/>
    <x v="20"/>
    <n v="4"/>
    <n v="1460"/>
    <n v="5256"/>
  </r>
  <r>
    <x v="0"/>
    <x v="0"/>
    <x v="0"/>
    <x v="0"/>
    <x v="0"/>
    <s v="DK1_MedSmall"/>
    <x v="7"/>
    <x v="33"/>
    <x v="0"/>
    <x v="21"/>
    <n v="4"/>
    <n v="1460"/>
    <n v="5256"/>
  </r>
  <r>
    <x v="0"/>
    <x v="0"/>
    <x v="0"/>
    <x v="0"/>
    <x v="0"/>
    <s v="DK1_MedSmall"/>
    <x v="7"/>
    <x v="33"/>
    <x v="0"/>
    <x v="22"/>
    <n v="4"/>
    <n v="1460"/>
    <n v="5256"/>
  </r>
  <r>
    <x v="0"/>
    <x v="0"/>
    <x v="0"/>
    <x v="0"/>
    <x v="0"/>
    <s v="DK1_MedSmall"/>
    <x v="7"/>
    <x v="33"/>
    <x v="0"/>
    <x v="23"/>
    <n v="4"/>
    <n v="1460"/>
    <n v="5256"/>
  </r>
  <r>
    <x v="0"/>
    <x v="0"/>
    <x v="0"/>
    <x v="0"/>
    <x v="0"/>
    <s v="DK1_Medium"/>
    <x v="0"/>
    <x v="47"/>
    <x v="0"/>
    <x v="0"/>
    <n v="0.90625"/>
    <n v="330.78125"/>
    <n v="1190.8125"/>
  </r>
  <r>
    <x v="0"/>
    <x v="0"/>
    <x v="0"/>
    <x v="0"/>
    <x v="0"/>
    <s v="DK1_Medium"/>
    <x v="0"/>
    <x v="47"/>
    <x v="0"/>
    <x v="1"/>
    <n v="0.90625"/>
    <n v="330.78125"/>
    <n v="1190.8125"/>
  </r>
  <r>
    <x v="0"/>
    <x v="0"/>
    <x v="0"/>
    <x v="0"/>
    <x v="0"/>
    <s v="DK1_Medium"/>
    <x v="0"/>
    <x v="47"/>
    <x v="0"/>
    <x v="2"/>
    <n v="0.90625"/>
    <n v="330.78125"/>
    <n v="1190.8125"/>
  </r>
  <r>
    <x v="0"/>
    <x v="0"/>
    <x v="0"/>
    <x v="0"/>
    <x v="0"/>
    <s v="DK1_Medium"/>
    <x v="0"/>
    <x v="47"/>
    <x v="0"/>
    <x v="3"/>
    <n v="0.90625"/>
    <n v="330.78125"/>
    <n v="1190.8125"/>
  </r>
  <r>
    <x v="0"/>
    <x v="0"/>
    <x v="0"/>
    <x v="0"/>
    <x v="0"/>
    <s v="DK1_Medium"/>
    <x v="0"/>
    <x v="47"/>
    <x v="0"/>
    <x v="4"/>
    <n v="0.90625"/>
    <n v="330.78125"/>
    <n v="1190.8125"/>
  </r>
  <r>
    <x v="0"/>
    <x v="0"/>
    <x v="0"/>
    <x v="0"/>
    <x v="0"/>
    <s v="DK1_Medium"/>
    <x v="0"/>
    <x v="47"/>
    <x v="0"/>
    <x v="5"/>
    <n v="0.90625"/>
    <n v="330.78125"/>
    <n v="1190.8125"/>
  </r>
  <r>
    <x v="0"/>
    <x v="0"/>
    <x v="0"/>
    <x v="0"/>
    <x v="0"/>
    <s v="DK1_Medium"/>
    <x v="0"/>
    <x v="47"/>
    <x v="0"/>
    <x v="6"/>
    <n v="0.90625"/>
    <n v="330.78125"/>
    <n v="1190.8125"/>
  </r>
  <r>
    <x v="0"/>
    <x v="0"/>
    <x v="0"/>
    <x v="0"/>
    <x v="0"/>
    <s v="DK1_Medium"/>
    <x v="0"/>
    <x v="47"/>
    <x v="0"/>
    <x v="7"/>
    <n v="0.90625"/>
    <n v="330.78125"/>
    <n v="1190.8125"/>
  </r>
  <r>
    <x v="0"/>
    <x v="0"/>
    <x v="0"/>
    <x v="0"/>
    <x v="0"/>
    <s v="DK1_Medium"/>
    <x v="0"/>
    <x v="47"/>
    <x v="0"/>
    <x v="8"/>
    <n v="0.90625"/>
    <n v="330.78125"/>
    <n v="1190.8125"/>
  </r>
  <r>
    <x v="0"/>
    <x v="0"/>
    <x v="0"/>
    <x v="0"/>
    <x v="0"/>
    <s v="DK1_Medium"/>
    <x v="0"/>
    <x v="47"/>
    <x v="0"/>
    <x v="9"/>
    <n v="0.90625"/>
    <n v="330.78125"/>
    <n v="1190.8125"/>
  </r>
  <r>
    <x v="0"/>
    <x v="0"/>
    <x v="0"/>
    <x v="0"/>
    <x v="0"/>
    <s v="DK1_Medium"/>
    <x v="0"/>
    <x v="47"/>
    <x v="0"/>
    <x v="10"/>
    <n v="0.90625"/>
    <n v="330.78125"/>
    <n v="1190.8125"/>
  </r>
  <r>
    <x v="0"/>
    <x v="0"/>
    <x v="0"/>
    <x v="0"/>
    <x v="0"/>
    <s v="DK1_Medium"/>
    <x v="0"/>
    <x v="47"/>
    <x v="0"/>
    <x v="11"/>
    <n v="0.90625"/>
    <n v="330.78125"/>
    <n v="1190.8125"/>
  </r>
  <r>
    <x v="0"/>
    <x v="0"/>
    <x v="0"/>
    <x v="0"/>
    <x v="0"/>
    <s v="DK1_Medium"/>
    <x v="0"/>
    <x v="47"/>
    <x v="0"/>
    <x v="12"/>
    <n v="0.90625"/>
    <n v="330.78125"/>
    <n v="1190.8125"/>
  </r>
  <r>
    <x v="0"/>
    <x v="0"/>
    <x v="0"/>
    <x v="0"/>
    <x v="0"/>
    <s v="DK1_Medium"/>
    <x v="0"/>
    <x v="47"/>
    <x v="0"/>
    <x v="13"/>
    <n v="0.90625"/>
    <n v="330.78125"/>
    <n v="1190.8125"/>
  </r>
  <r>
    <x v="0"/>
    <x v="0"/>
    <x v="0"/>
    <x v="0"/>
    <x v="0"/>
    <s v="DK1_Medium"/>
    <x v="0"/>
    <x v="47"/>
    <x v="0"/>
    <x v="14"/>
    <n v="0.90625"/>
    <n v="330.78125"/>
    <n v="1190.8125"/>
  </r>
  <r>
    <x v="0"/>
    <x v="0"/>
    <x v="0"/>
    <x v="0"/>
    <x v="0"/>
    <s v="DK1_Medium"/>
    <x v="0"/>
    <x v="47"/>
    <x v="0"/>
    <x v="15"/>
    <n v="0.90625"/>
    <n v="330.78125"/>
    <n v="1190.8125"/>
  </r>
  <r>
    <x v="0"/>
    <x v="0"/>
    <x v="0"/>
    <x v="0"/>
    <x v="0"/>
    <s v="DK1_Medium"/>
    <x v="0"/>
    <x v="47"/>
    <x v="0"/>
    <x v="16"/>
    <n v="0.90625"/>
    <n v="330.78125"/>
    <n v="1190.8125"/>
  </r>
  <r>
    <x v="0"/>
    <x v="0"/>
    <x v="0"/>
    <x v="0"/>
    <x v="0"/>
    <s v="DK1_Medium"/>
    <x v="0"/>
    <x v="47"/>
    <x v="0"/>
    <x v="17"/>
    <n v="0.90625"/>
    <n v="330.78125"/>
    <n v="1190.8125"/>
  </r>
  <r>
    <x v="0"/>
    <x v="0"/>
    <x v="0"/>
    <x v="0"/>
    <x v="0"/>
    <s v="DK1_Medium"/>
    <x v="0"/>
    <x v="47"/>
    <x v="0"/>
    <x v="18"/>
    <n v="0.90625"/>
    <n v="330.78125"/>
    <n v="1190.8125"/>
  </r>
  <r>
    <x v="0"/>
    <x v="0"/>
    <x v="0"/>
    <x v="0"/>
    <x v="0"/>
    <s v="DK1_Medium"/>
    <x v="0"/>
    <x v="47"/>
    <x v="0"/>
    <x v="19"/>
    <n v="0.90625"/>
    <n v="330.78125"/>
    <n v="1190.8125"/>
  </r>
  <r>
    <x v="0"/>
    <x v="0"/>
    <x v="0"/>
    <x v="0"/>
    <x v="0"/>
    <s v="DK1_Medium"/>
    <x v="0"/>
    <x v="47"/>
    <x v="0"/>
    <x v="20"/>
    <n v="0.90625"/>
    <n v="330.78125"/>
    <n v="1190.8125"/>
  </r>
  <r>
    <x v="0"/>
    <x v="0"/>
    <x v="0"/>
    <x v="0"/>
    <x v="0"/>
    <s v="DK1_Medium"/>
    <x v="0"/>
    <x v="47"/>
    <x v="0"/>
    <x v="21"/>
    <n v="0.90625"/>
    <n v="330.78125"/>
    <n v="1190.8125"/>
  </r>
  <r>
    <x v="0"/>
    <x v="0"/>
    <x v="0"/>
    <x v="0"/>
    <x v="0"/>
    <s v="DK1_Medium"/>
    <x v="0"/>
    <x v="47"/>
    <x v="0"/>
    <x v="22"/>
    <n v="0.90625"/>
    <n v="330.78125"/>
    <n v="1190.8125"/>
  </r>
  <r>
    <x v="0"/>
    <x v="0"/>
    <x v="0"/>
    <x v="0"/>
    <x v="0"/>
    <s v="DK1_Medium"/>
    <x v="0"/>
    <x v="47"/>
    <x v="0"/>
    <x v="23"/>
    <n v="0.90625"/>
    <n v="330.78125"/>
    <n v="1190.8125"/>
  </r>
  <r>
    <x v="0"/>
    <x v="0"/>
    <x v="0"/>
    <x v="0"/>
    <x v="0"/>
    <s v="DK1_Medium"/>
    <x v="0"/>
    <x v="48"/>
    <x v="0"/>
    <x v="0"/>
    <n v="1.8823529411764699"/>
    <n v="687.05882352941205"/>
    <n v="2473.4117647058802"/>
  </r>
  <r>
    <x v="0"/>
    <x v="0"/>
    <x v="0"/>
    <x v="0"/>
    <x v="0"/>
    <s v="DK1_Medium"/>
    <x v="0"/>
    <x v="48"/>
    <x v="0"/>
    <x v="1"/>
    <n v="1.8823529411764699"/>
    <n v="687.05882352941205"/>
    <n v="2473.4117647058802"/>
  </r>
  <r>
    <x v="0"/>
    <x v="0"/>
    <x v="0"/>
    <x v="0"/>
    <x v="0"/>
    <s v="DK1_Medium"/>
    <x v="0"/>
    <x v="48"/>
    <x v="0"/>
    <x v="2"/>
    <n v="1.8823529411764699"/>
    <n v="687.05882352941205"/>
    <n v="2473.4117647058802"/>
  </r>
  <r>
    <x v="0"/>
    <x v="0"/>
    <x v="0"/>
    <x v="0"/>
    <x v="0"/>
    <s v="DK1_Medium"/>
    <x v="0"/>
    <x v="48"/>
    <x v="0"/>
    <x v="3"/>
    <n v="1.8823529411764699"/>
    <n v="687.05882352941205"/>
    <n v="2473.4117647058802"/>
  </r>
  <r>
    <x v="0"/>
    <x v="0"/>
    <x v="0"/>
    <x v="0"/>
    <x v="0"/>
    <s v="DK1_Medium"/>
    <x v="0"/>
    <x v="48"/>
    <x v="0"/>
    <x v="4"/>
    <n v="1.8823529411764699"/>
    <n v="687.05882352941205"/>
    <n v="2473.4117647058802"/>
  </r>
  <r>
    <x v="0"/>
    <x v="0"/>
    <x v="0"/>
    <x v="0"/>
    <x v="0"/>
    <s v="DK1_Medium"/>
    <x v="0"/>
    <x v="48"/>
    <x v="0"/>
    <x v="5"/>
    <n v="1.8823529411764699"/>
    <n v="687.05882352941205"/>
    <n v="2473.4117647058802"/>
  </r>
  <r>
    <x v="0"/>
    <x v="0"/>
    <x v="0"/>
    <x v="0"/>
    <x v="0"/>
    <s v="DK1_Medium"/>
    <x v="0"/>
    <x v="48"/>
    <x v="0"/>
    <x v="6"/>
    <n v="1.8823529411764699"/>
    <n v="687.05882352941205"/>
    <n v="2473.4117647058802"/>
  </r>
  <r>
    <x v="0"/>
    <x v="0"/>
    <x v="0"/>
    <x v="0"/>
    <x v="0"/>
    <s v="DK1_Medium"/>
    <x v="0"/>
    <x v="48"/>
    <x v="0"/>
    <x v="7"/>
    <n v="1.8823529411764699"/>
    <n v="687.05882352941205"/>
    <n v="2473.4117647058802"/>
  </r>
  <r>
    <x v="0"/>
    <x v="0"/>
    <x v="0"/>
    <x v="0"/>
    <x v="0"/>
    <s v="DK1_Medium"/>
    <x v="0"/>
    <x v="48"/>
    <x v="0"/>
    <x v="8"/>
    <n v="1.8823529411764699"/>
    <n v="687.05882352941205"/>
    <n v="2473.4117647058802"/>
  </r>
  <r>
    <x v="0"/>
    <x v="0"/>
    <x v="0"/>
    <x v="0"/>
    <x v="0"/>
    <s v="DK1_Medium"/>
    <x v="0"/>
    <x v="48"/>
    <x v="0"/>
    <x v="9"/>
    <n v="1.8823529411764699"/>
    <n v="687.05882352941205"/>
    <n v="2473.4117647058802"/>
  </r>
  <r>
    <x v="0"/>
    <x v="0"/>
    <x v="0"/>
    <x v="0"/>
    <x v="0"/>
    <s v="DK1_Medium"/>
    <x v="0"/>
    <x v="48"/>
    <x v="0"/>
    <x v="10"/>
    <n v="1.8823529411764699"/>
    <n v="687.05882352941205"/>
    <n v="2473.4117647058802"/>
  </r>
  <r>
    <x v="0"/>
    <x v="0"/>
    <x v="0"/>
    <x v="0"/>
    <x v="0"/>
    <s v="DK1_Medium"/>
    <x v="0"/>
    <x v="48"/>
    <x v="0"/>
    <x v="11"/>
    <n v="1.8823529411764699"/>
    <n v="687.05882352941205"/>
    <n v="2473.4117647058802"/>
  </r>
  <r>
    <x v="0"/>
    <x v="0"/>
    <x v="0"/>
    <x v="0"/>
    <x v="0"/>
    <s v="DK1_Medium"/>
    <x v="0"/>
    <x v="48"/>
    <x v="0"/>
    <x v="12"/>
    <n v="1.8823529411764699"/>
    <n v="687.05882352941205"/>
    <n v="2473.4117647058802"/>
  </r>
  <r>
    <x v="0"/>
    <x v="0"/>
    <x v="0"/>
    <x v="0"/>
    <x v="0"/>
    <s v="DK1_Medium"/>
    <x v="0"/>
    <x v="48"/>
    <x v="0"/>
    <x v="13"/>
    <n v="1.8823529411764699"/>
    <n v="687.05882352941205"/>
    <n v="2473.4117647058802"/>
  </r>
  <r>
    <x v="0"/>
    <x v="0"/>
    <x v="0"/>
    <x v="0"/>
    <x v="0"/>
    <s v="DK1_Medium"/>
    <x v="0"/>
    <x v="48"/>
    <x v="0"/>
    <x v="14"/>
    <n v="1.8823529411764699"/>
    <n v="687.05882352941205"/>
    <n v="2473.4117647058802"/>
  </r>
  <r>
    <x v="0"/>
    <x v="0"/>
    <x v="0"/>
    <x v="0"/>
    <x v="0"/>
    <s v="DK1_Medium"/>
    <x v="0"/>
    <x v="48"/>
    <x v="0"/>
    <x v="15"/>
    <n v="1.8823529411764699"/>
    <n v="687.05882352941205"/>
    <n v="2473.4117647058802"/>
  </r>
  <r>
    <x v="0"/>
    <x v="0"/>
    <x v="0"/>
    <x v="0"/>
    <x v="0"/>
    <s v="DK1_Medium"/>
    <x v="0"/>
    <x v="48"/>
    <x v="0"/>
    <x v="16"/>
    <n v="1.8823529411764699"/>
    <n v="687.05882352941205"/>
    <n v="2473.4117647058802"/>
  </r>
  <r>
    <x v="0"/>
    <x v="0"/>
    <x v="0"/>
    <x v="0"/>
    <x v="0"/>
    <s v="DK1_Medium"/>
    <x v="0"/>
    <x v="48"/>
    <x v="0"/>
    <x v="17"/>
    <n v="1.8823529411764699"/>
    <n v="687.05882352941205"/>
    <n v="2473.4117647058802"/>
  </r>
  <r>
    <x v="0"/>
    <x v="0"/>
    <x v="0"/>
    <x v="0"/>
    <x v="0"/>
    <s v="DK1_Medium"/>
    <x v="0"/>
    <x v="48"/>
    <x v="0"/>
    <x v="18"/>
    <n v="1.8823529411764699"/>
    <n v="687.05882352941205"/>
    <n v="2473.4117647058802"/>
  </r>
  <r>
    <x v="0"/>
    <x v="0"/>
    <x v="0"/>
    <x v="0"/>
    <x v="0"/>
    <s v="DK1_Medium"/>
    <x v="0"/>
    <x v="48"/>
    <x v="0"/>
    <x v="19"/>
    <n v="1.8823529411764699"/>
    <n v="687.05882352941205"/>
    <n v="2473.4117647058802"/>
  </r>
  <r>
    <x v="0"/>
    <x v="0"/>
    <x v="0"/>
    <x v="0"/>
    <x v="0"/>
    <s v="DK1_Medium"/>
    <x v="0"/>
    <x v="48"/>
    <x v="0"/>
    <x v="20"/>
    <n v="1.8823529411764699"/>
    <n v="687.05882352941205"/>
    <n v="2473.4117647058802"/>
  </r>
  <r>
    <x v="0"/>
    <x v="0"/>
    <x v="0"/>
    <x v="0"/>
    <x v="0"/>
    <s v="DK1_Medium"/>
    <x v="0"/>
    <x v="48"/>
    <x v="0"/>
    <x v="21"/>
    <n v="1.8823529411764699"/>
    <n v="687.05882352941205"/>
    <n v="2473.4117647058802"/>
  </r>
  <r>
    <x v="0"/>
    <x v="0"/>
    <x v="0"/>
    <x v="0"/>
    <x v="0"/>
    <s v="DK1_Medium"/>
    <x v="0"/>
    <x v="48"/>
    <x v="0"/>
    <x v="22"/>
    <n v="1.8823529411764699"/>
    <n v="687.05882352941205"/>
    <n v="2473.4117647058802"/>
  </r>
  <r>
    <x v="0"/>
    <x v="0"/>
    <x v="0"/>
    <x v="0"/>
    <x v="0"/>
    <s v="DK1_Medium"/>
    <x v="0"/>
    <x v="48"/>
    <x v="0"/>
    <x v="23"/>
    <n v="1.8823529411764699"/>
    <n v="687.05882352941205"/>
    <n v="2473.4117647058802"/>
  </r>
  <r>
    <x v="0"/>
    <x v="0"/>
    <x v="0"/>
    <x v="0"/>
    <x v="0"/>
    <s v="DK1_Medium"/>
    <x v="0"/>
    <x v="49"/>
    <x v="0"/>
    <x v="0"/>
    <n v="1.0857142857142901"/>
    <n v="396.28571428571399"/>
    <n v="1426.62857142857"/>
  </r>
  <r>
    <x v="0"/>
    <x v="0"/>
    <x v="0"/>
    <x v="0"/>
    <x v="0"/>
    <s v="DK1_Medium"/>
    <x v="0"/>
    <x v="49"/>
    <x v="0"/>
    <x v="1"/>
    <n v="1.0857142857142901"/>
    <n v="396.28571428571399"/>
    <n v="1426.62857142857"/>
  </r>
  <r>
    <x v="0"/>
    <x v="0"/>
    <x v="0"/>
    <x v="0"/>
    <x v="0"/>
    <s v="DK1_Medium"/>
    <x v="0"/>
    <x v="49"/>
    <x v="0"/>
    <x v="2"/>
    <n v="1.0857142857142901"/>
    <n v="396.28571428571399"/>
    <n v="1426.62857142857"/>
  </r>
  <r>
    <x v="0"/>
    <x v="0"/>
    <x v="0"/>
    <x v="0"/>
    <x v="0"/>
    <s v="DK1_Medium"/>
    <x v="0"/>
    <x v="49"/>
    <x v="0"/>
    <x v="3"/>
    <n v="1.0857142857142901"/>
    <n v="396.28571428571399"/>
    <n v="1426.62857142857"/>
  </r>
  <r>
    <x v="0"/>
    <x v="0"/>
    <x v="0"/>
    <x v="0"/>
    <x v="0"/>
    <s v="DK1_Medium"/>
    <x v="0"/>
    <x v="49"/>
    <x v="0"/>
    <x v="4"/>
    <n v="1.0857142857142901"/>
    <n v="396.28571428571399"/>
    <n v="1426.62857142857"/>
  </r>
  <r>
    <x v="0"/>
    <x v="0"/>
    <x v="0"/>
    <x v="0"/>
    <x v="0"/>
    <s v="DK1_Medium"/>
    <x v="0"/>
    <x v="49"/>
    <x v="0"/>
    <x v="5"/>
    <n v="1.0857142857142901"/>
    <n v="396.28571428571399"/>
    <n v="1426.62857142857"/>
  </r>
  <r>
    <x v="0"/>
    <x v="0"/>
    <x v="0"/>
    <x v="0"/>
    <x v="0"/>
    <s v="DK1_Medium"/>
    <x v="0"/>
    <x v="49"/>
    <x v="0"/>
    <x v="6"/>
    <n v="1.0857142857142901"/>
    <n v="396.28571428571399"/>
    <n v="1426.62857142857"/>
  </r>
  <r>
    <x v="0"/>
    <x v="0"/>
    <x v="0"/>
    <x v="0"/>
    <x v="0"/>
    <s v="DK1_Medium"/>
    <x v="0"/>
    <x v="49"/>
    <x v="0"/>
    <x v="7"/>
    <n v="1.0857142857142901"/>
    <n v="396.28571428571399"/>
    <n v="1426.62857142857"/>
  </r>
  <r>
    <x v="0"/>
    <x v="0"/>
    <x v="0"/>
    <x v="0"/>
    <x v="0"/>
    <s v="DK1_Medium"/>
    <x v="0"/>
    <x v="49"/>
    <x v="0"/>
    <x v="8"/>
    <n v="1.0857142857142901"/>
    <n v="396.28571428571399"/>
    <n v="1426.62857142857"/>
  </r>
  <r>
    <x v="0"/>
    <x v="0"/>
    <x v="0"/>
    <x v="0"/>
    <x v="0"/>
    <s v="DK1_Medium"/>
    <x v="0"/>
    <x v="49"/>
    <x v="0"/>
    <x v="9"/>
    <n v="1.0857142857142901"/>
    <n v="396.28571428571399"/>
    <n v="1426.62857142857"/>
  </r>
  <r>
    <x v="0"/>
    <x v="0"/>
    <x v="0"/>
    <x v="0"/>
    <x v="0"/>
    <s v="DK1_Medium"/>
    <x v="0"/>
    <x v="49"/>
    <x v="0"/>
    <x v="10"/>
    <n v="1.0857142857142901"/>
    <n v="396.28571428571399"/>
    <n v="1426.62857142857"/>
  </r>
  <r>
    <x v="0"/>
    <x v="0"/>
    <x v="0"/>
    <x v="0"/>
    <x v="0"/>
    <s v="DK1_Medium"/>
    <x v="0"/>
    <x v="49"/>
    <x v="0"/>
    <x v="11"/>
    <n v="1.0857142857142901"/>
    <n v="396.28571428571399"/>
    <n v="1426.62857142857"/>
  </r>
  <r>
    <x v="0"/>
    <x v="0"/>
    <x v="0"/>
    <x v="0"/>
    <x v="0"/>
    <s v="DK1_Medium"/>
    <x v="0"/>
    <x v="49"/>
    <x v="0"/>
    <x v="12"/>
    <n v="1.0857142857142901"/>
    <n v="396.28571428571399"/>
    <n v="1426.62857142857"/>
  </r>
  <r>
    <x v="0"/>
    <x v="0"/>
    <x v="0"/>
    <x v="0"/>
    <x v="0"/>
    <s v="DK1_Medium"/>
    <x v="0"/>
    <x v="49"/>
    <x v="0"/>
    <x v="13"/>
    <n v="1.0857142857142901"/>
    <n v="396.28571428571399"/>
    <n v="1426.62857142857"/>
  </r>
  <r>
    <x v="0"/>
    <x v="0"/>
    <x v="0"/>
    <x v="0"/>
    <x v="0"/>
    <s v="DK1_Medium"/>
    <x v="0"/>
    <x v="49"/>
    <x v="0"/>
    <x v="14"/>
    <n v="1.0857142857142901"/>
    <n v="396.28571428571399"/>
    <n v="1426.62857142857"/>
  </r>
  <r>
    <x v="0"/>
    <x v="0"/>
    <x v="0"/>
    <x v="0"/>
    <x v="0"/>
    <s v="DK1_Medium"/>
    <x v="0"/>
    <x v="49"/>
    <x v="0"/>
    <x v="15"/>
    <n v="1.0857142857142901"/>
    <n v="396.28571428571399"/>
    <n v="1426.62857142857"/>
  </r>
  <r>
    <x v="0"/>
    <x v="0"/>
    <x v="0"/>
    <x v="0"/>
    <x v="0"/>
    <s v="DK1_Medium"/>
    <x v="0"/>
    <x v="49"/>
    <x v="0"/>
    <x v="16"/>
    <n v="1.0857142857142901"/>
    <n v="396.28571428571399"/>
    <n v="1426.62857142857"/>
  </r>
  <r>
    <x v="0"/>
    <x v="0"/>
    <x v="0"/>
    <x v="0"/>
    <x v="0"/>
    <s v="DK1_Medium"/>
    <x v="0"/>
    <x v="49"/>
    <x v="0"/>
    <x v="17"/>
    <n v="1.0857142857142901"/>
    <n v="396.28571428571399"/>
    <n v="1426.62857142857"/>
  </r>
  <r>
    <x v="0"/>
    <x v="0"/>
    <x v="0"/>
    <x v="0"/>
    <x v="0"/>
    <s v="DK1_Medium"/>
    <x v="0"/>
    <x v="49"/>
    <x v="0"/>
    <x v="18"/>
    <n v="1.0857142857142901"/>
    <n v="396.28571428571399"/>
    <n v="1426.62857142857"/>
  </r>
  <r>
    <x v="0"/>
    <x v="0"/>
    <x v="0"/>
    <x v="0"/>
    <x v="0"/>
    <s v="DK1_Medium"/>
    <x v="0"/>
    <x v="49"/>
    <x v="0"/>
    <x v="19"/>
    <n v="1.0857142857142901"/>
    <n v="396.28571428571399"/>
    <n v="1426.62857142857"/>
  </r>
  <r>
    <x v="0"/>
    <x v="0"/>
    <x v="0"/>
    <x v="0"/>
    <x v="0"/>
    <s v="DK1_Medium"/>
    <x v="0"/>
    <x v="49"/>
    <x v="0"/>
    <x v="20"/>
    <n v="1.0857142857142901"/>
    <n v="396.28571428571399"/>
    <n v="1426.62857142857"/>
  </r>
  <r>
    <x v="0"/>
    <x v="0"/>
    <x v="0"/>
    <x v="0"/>
    <x v="0"/>
    <s v="DK1_Medium"/>
    <x v="0"/>
    <x v="49"/>
    <x v="0"/>
    <x v="21"/>
    <n v="1.0857142857142901"/>
    <n v="396.28571428571399"/>
    <n v="1426.62857142857"/>
  </r>
  <r>
    <x v="0"/>
    <x v="0"/>
    <x v="0"/>
    <x v="0"/>
    <x v="0"/>
    <s v="DK1_Medium"/>
    <x v="0"/>
    <x v="49"/>
    <x v="0"/>
    <x v="22"/>
    <n v="1.0857142857142901"/>
    <n v="396.28571428571399"/>
    <n v="1426.62857142857"/>
  </r>
  <r>
    <x v="0"/>
    <x v="0"/>
    <x v="0"/>
    <x v="0"/>
    <x v="0"/>
    <s v="DK1_Medium"/>
    <x v="0"/>
    <x v="49"/>
    <x v="0"/>
    <x v="23"/>
    <n v="1.0857142857142901"/>
    <n v="396.28571428571399"/>
    <n v="1426.62857142857"/>
  </r>
  <r>
    <x v="0"/>
    <x v="0"/>
    <x v="0"/>
    <x v="0"/>
    <x v="0"/>
    <s v="DK1_Medium"/>
    <x v="0"/>
    <x v="4"/>
    <x v="0"/>
    <x v="0"/>
    <n v="6.7567567567567597"/>
    <n v="2466.2162162162199"/>
    <n v="8878.3783783783801"/>
  </r>
  <r>
    <x v="0"/>
    <x v="0"/>
    <x v="0"/>
    <x v="0"/>
    <x v="0"/>
    <s v="DK1_Medium"/>
    <x v="0"/>
    <x v="4"/>
    <x v="0"/>
    <x v="1"/>
    <n v="6.7567567567567597"/>
    <n v="2466.2162162162199"/>
    <n v="8878.3783783783801"/>
  </r>
  <r>
    <x v="0"/>
    <x v="0"/>
    <x v="0"/>
    <x v="0"/>
    <x v="0"/>
    <s v="DK1_Medium"/>
    <x v="0"/>
    <x v="4"/>
    <x v="0"/>
    <x v="2"/>
    <n v="6.7567567567567597"/>
    <n v="2466.2162162162199"/>
    <n v="8878.3783783783801"/>
  </r>
  <r>
    <x v="0"/>
    <x v="0"/>
    <x v="0"/>
    <x v="0"/>
    <x v="0"/>
    <s v="DK1_Medium"/>
    <x v="0"/>
    <x v="4"/>
    <x v="0"/>
    <x v="3"/>
    <n v="6.7567567567567597"/>
    <n v="2466.2162162162199"/>
    <n v="8878.3783783783801"/>
  </r>
  <r>
    <x v="0"/>
    <x v="0"/>
    <x v="0"/>
    <x v="0"/>
    <x v="0"/>
    <s v="DK1_Medium"/>
    <x v="0"/>
    <x v="4"/>
    <x v="0"/>
    <x v="4"/>
    <n v="6.7567567567567597"/>
    <n v="2466.2162162162199"/>
    <n v="8878.3783783783801"/>
  </r>
  <r>
    <x v="0"/>
    <x v="0"/>
    <x v="0"/>
    <x v="0"/>
    <x v="0"/>
    <s v="DK1_Medium"/>
    <x v="0"/>
    <x v="4"/>
    <x v="0"/>
    <x v="5"/>
    <n v="6.7567567567567597"/>
    <n v="2466.2162162162199"/>
    <n v="8878.3783783783801"/>
  </r>
  <r>
    <x v="0"/>
    <x v="0"/>
    <x v="0"/>
    <x v="0"/>
    <x v="0"/>
    <s v="DK1_Medium"/>
    <x v="0"/>
    <x v="4"/>
    <x v="0"/>
    <x v="6"/>
    <n v="6.7567567567567597"/>
    <n v="2466.2162162162199"/>
    <n v="8878.3783783783801"/>
  </r>
  <r>
    <x v="0"/>
    <x v="0"/>
    <x v="0"/>
    <x v="0"/>
    <x v="0"/>
    <s v="DK1_Medium"/>
    <x v="0"/>
    <x v="4"/>
    <x v="0"/>
    <x v="7"/>
    <n v="6.7567567567567597"/>
    <n v="2466.2162162162199"/>
    <n v="8878.3783783783801"/>
  </r>
  <r>
    <x v="0"/>
    <x v="0"/>
    <x v="0"/>
    <x v="0"/>
    <x v="0"/>
    <s v="DK1_Medium"/>
    <x v="0"/>
    <x v="4"/>
    <x v="0"/>
    <x v="8"/>
    <n v="6.7567567567567597"/>
    <n v="2466.2162162162199"/>
    <n v="8878.3783783783801"/>
  </r>
  <r>
    <x v="0"/>
    <x v="0"/>
    <x v="0"/>
    <x v="0"/>
    <x v="0"/>
    <s v="DK1_Medium"/>
    <x v="0"/>
    <x v="4"/>
    <x v="0"/>
    <x v="9"/>
    <n v="6.7567567567567597"/>
    <n v="2466.2162162162199"/>
    <n v="8878.3783783783801"/>
  </r>
  <r>
    <x v="0"/>
    <x v="0"/>
    <x v="0"/>
    <x v="0"/>
    <x v="0"/>
    <s v="DK1_Medium"/>
    <x v="0"/>
    <x v="4"/>
    <x v="0"/>
    <x v="10"/>
    <n v="6.7567567567567597"/>
    <n v="2466.2162162162199"/>
    <n v="8878.3783783783801"/>
  </r>
  <r>
    <x v="0"/>
    <x v="0"/>
    <x v="0"/>
    <x v="0"/>
    <x v="0"/>
    <s v="DK1_Medium"/>
    <x v="0"/>
    <x v="4"/>
    <x v="0"/>
    <x v="11"/>
    <n v="6.7567567567567597"/>
    <n v="2466.2162162162199"/>
    <n v="8878.3783783783801"/>
  </r>
  <r>
    <x v="0"/>
    <x v="0"/>
    <x v="0"/>
    <x v="0"/>
    <x v="0"/>
    <s v="DK1_Medium"/>
    <x v="0"/>
    <x v="4"/>
    <x v="0"/>
    <x v="12"/>
    <n v="6.7567567567567597"/>
    <n v="2466.2162162162199"/>
    <n v="8878.3783783783801"/>
  </r>
  <r>
    <x v="0"/>
    <x v="0"/>
    <x v="0"/>
    <x v="0"/>
    <x v="0"/>
    <s v="DK1_Medium"/>
    <x v="0"/>
    <x v="4"/>
    <x v="0"/>
    <x v="13"/>
    <n v="6.7567567567567597"/>
    <n v="2466.2162162162199"/>
    <n v="8878.3783783783801"/>
  </r>
  <r>
    <x v="0"/>
    <x v="0"/>
    <x v="0"/>
    <x v="0"/>
    <x v="0"/>
    <s v="DK1_Medium"/>
    <x v="0"/>
    <x v="4"/>
    <x v="0"/>
    <x v="14"/>
    <n v="6.7567567567567597"/>
    <n v="2466.2162162162199"/>
    <n v="8878.3783783783801"/>
  </r>
  <r>
    <x v="0"/>
    <x v="0"/>
    <x v="0"/>
    <x v="0"/>
    <x v="0"/>
    <s v="DK1_Medium"/>
    <x v="0"/>
    <x v="4"/>
    <x v="0"/>
    <x v="15"/>
    <n v="6.7567567567567597"/>
    <n v="2466.2162162162199"/>
    <n v="8878.3783783783801"/>
  </r>
  <r>
    <x v="0"/>
    <x v="0"/>
    <x v="0"/>
    <x v="0"/>
    <x v="0"/>
    <s v="DK1_Medium"/>
    <x v="0"/>
    <x v="4"/>
    <x v="0"/>
    <x v="16"/>
    <n v="6.7567567567567597"/>
    <n v="2466.2162162162199"/>
    <n v="8878.3783783783801"/>
  </r>
  <r>
    <x v="0"/>
    <x v="0"/>
    <x v="0"/>
    <x v="0"/>
    <x v="0"/>
    <s v="DK1_Medium"/>
    <x v="0"/>
    <x v="4"/>
    <x v="0"/>
    <x v="17"/>
    <n v="6.7567567567567597"/>
    <n v="2466.2162162162199"/>
    <n v="8878.3783783783801"/>
  </r>
  <r>
    <x v="0"/>
    <x v="0"/>
    <x v="0"/>
    <x v="0"/>
    <x v="0"/>
    <s v="DK1_Medium"/>
    <x v="0"/>
    <x v="4"/>
    <x v="0"/>
    <x v="18"/>
    <n v="6.7567567567567597"/>
    <n v="2466.2162162162199"/>
    <n v="8878.3783783783801"/>
  </r>
  <r>
    <x v="0"/>
    <x v="0"/>
    <x v="0"/>
    <x v="0"/>
    <x v="0"/>
    <s v="DK1_Medium"/>
    <x v="0"/>
    <x v="4"/>
    <x v="0"/>
    <x v="19"/>
    <n v="6.7567567567567597"/>
    <n v="2466.2162162162199"/>
    <n v="8878.3783783783801"/>
  </r>
  <r>
    <x v="0"/>
    <x v="0"/>
    <x v="0"/>
    <x v="0"/>
    <x v="0"/>
    <s v="DK1_Medium"/>
    <x v="0"/>
    <x v="4"/>
    <x v="0"/>
    <x v="20"/>
    <n v="6.7567567567567597"/>
    <n v="2466.2162162162199"/>
    <n v="8878.3783783783801"/>
  </r>
  <r>
    <x v="0"/>
    <x v="0"/>
    <x v="0"/>
    <x v="0"/>
    <x v="0"/>
    <s v="DK1_Medium"/>
    <x v="0"/>
    <x v="4"/>
    <x v="0"/>
    <x v="21"/>
    <n v="6.7567567567567597"/>
    <n v="2466.2162162162199"/>
    <n v="8878.3783783783801"/>
  </r>
  <r>
    <x v="0"/>
    <x v="0"/>
    <x v="0"/>
    <x v="0"/>
    <x v="0"/>
    <s v="DK1_Medium"/>
    <x v="0"/>
    <x v="4"/>
    <x v="0"/>
    <x v="22"/>
    <n v="6.7567567567567597"/>
    <n v="2466.2162162162199"/>
    <n v="8878.3783783783801"/>
  </r>
  <r>
    <x v="0"/>
    <x v="0"/>
    <x v="0"/>
    <x v="0"/>
    <x v="0"/>
    <s v="DK1_Medium"/>
    <x v="0"/>
    <x v="4"/>
    <x v="0"/>
    <x v="23"/>
    <n v="6.7567567567567597"/>
    <n v="2466.2162162162199"/>
    <n v="8878.3783783783801"/>
  </r>
  <r>
    <x v="0"/>
    <x v="0"/>
    <x v="0"/>
    <x v="0"/>
    <x v="0"/>
    <s v="DK1_Medium"/>
    <x v="0"/>
    <x v="5"/>
    <x v="0"/>
    <x v="0"/>
    <n v="1.6153846153846201"/>
    <n v="589.61538461538498"/>
    <n v="2122.6153846153802"/>
  </r>
  <r>
    <x v="0"/>
    <x v="0"/>
    <x v="0"/>
    <x v="0"/>
    <x v="0"/>
    <s v="DK1_Medium"/>
    <x v="0"/>
    <x v="5"/>
    <x v="0"/>
    <x v="1"/>
    <n v="1.6153846153846201"/>
    <n v="589.61538461538498"/>
    <n v="2122.6153846153802"/>
  </r>
  <r>
    <x v="0"/>
    <x v="0"/>
    <x v="0"/>
    <x v="0"/>
    <x v="0"/>
    <s v="DK1_Medium"/>
    <x v="0"/>
    <x v="5"/>
    <x v="0"/>
    <x v="2"/>
    <n v="1.6153846153846201"/>
    <n v="589.61538461538498"/>
    <n v="2122.6153846153802"/>
  </r>
  <r>
    <x v="0"/>
    <x v="0"/>
    <x v="0"/>
    <x v="0"/>
    <x v="0"/>
    <s v="DK1_Medium"/>
    <x v="0"/>
    <x v="5"/>
    <x v="0"/>
    <x v="3"/>
    <n v="1.6153846153846201"/>
    <n v="589.61538461538498"/>
    <n v="2122.6153846153802"/>
  </r>
  <r>
    <x v="0"/>
    <x v="0"/>
    <x v="0"/>
    <x v="0"/>
    <x v="0"/>
    <s v="DK1_Medium"/>
    <x v="0"/>
    <x v="5"/>
    <x v="0"/>
    <x v="4"/>
    <n v="1.6153846153846201"/>
    <n v="589.61538461538498"/>
    <n v="2122.6153846153802"/>
  </r>
  <r>
    <x v="0"/>
    <x v="0"/>
    <x v="0"/>
    <x v="0"/>
    <x v="0"/>
    <s v="DK1_Medium"/>
    <x v="0"/>
    <x v="5"/>
    <x v="0"/>
    <x v="5"/>
    <n v="1.6153846153846201"/>
    <n v="589.61538461538498"/>
    <n v="2122.6153846153802"/>
  </r>
  <r>
    <x v="0"/>
    <x v="0"/>
    <x v="0"/>
    <x v="0"/>
    <x v="0"/>
    <s v="DK1_Medium"/>
    <x v="0"/>
    <x v="5"/>
    <x v="0"/>
    <x v="6"/>
    <n v="1.6153846153846201"/>
    <n v="589.61538461538498"/>
    <n v="2122.6153846153802"/>
  </r>
  <r>
    <x v="0"/>
    <x v="0"/>
    <x v="0"/>
    <x v="0"/>
    <x v="0"/>
    <s v="DK1_Medium"/>
    <x v="0"/>
    <x v="5"/>
    <x v="0"/>
    <x v="7"/>
    <n v="1.6153846153846201"/>
    <n v="589.61538461538498"/>
    <n v="2122.6153846153802"/>
  </r>
  <r>
    <x v="0"/>
    <x v="0"/>
    <x v="0"/>
    <x v="0"/>
    <x v="0"/>
    <s v="DK1_Medium"/>
    <x v="0"/>
    <x v="5"/>
    <x v="0"/>
    <x v="8"/>
    <n v="1.6153846153846201"/>
    <n v="589.61538461538498"/>
    <n v="2122.6153846153802"/>
  </r>
  <r>
    <x v="0"/>
    <x v="0"/>
    <x v="0"/>
    <x v="0"/>
    <x v="0"/>
    <s v="DK1_Medium"/>
    <x v="0"/>
    <x v="5"/>
    <x v="0"/>
    <x v="9"/>
    <n v="1.6153846153846201"/>
    <n v="589.61538461538498"/>
    <n v="2122.6153846153802"/>
  </r>
  <r>
    <x v="0"/>
    <x v="0"/>
    <x v="0"/>
    <x v="0"/>
    <x v="0"/>
    <s v="DK1_Medium"/>
    <x v="0"/>
    <x v="5"/>
    <x v="0"/>
    <x v="10"/>
    <n v="1.6153846153846201"/>
    <n v="589.61538461538498"/>
    <n v="2122.6153846153802"/>
  </r>
  <r>
    <x v="0"/>
    <x v="0"/>
    <x v="0"/>
    <x v="0"/>
    <x v="0"/>
    <s v="DK1_Medium"/>
    <x v="0"/>
    <x v="5"/>
    <x v="0"/>
    <x v="11"/>
    <n v="1.6153846153846201"/>
    <n v="589.61538461538498"/>
    <n v="2122.6153846153802"/>
  </r>
  <r>
    <x v="0"/>
    <x v="0"/>
    <x v="0"/>
    <x v="0"/>
    <x v="0"/>
    <s v="DK1_Medium"/>
    <x v="0"/>
    <x v="5"/>
    <x v="0"/>
    <x v="12"/>
    <n v="1.6153846153846201"/>
    <n v="589.61538461538498"/>
    <n v="2122.6153846153802"/>
  </r>
  <r>
    <x v="0"/>
    <x v="0"/>
    <x v="0"/>
    <x v="0"/>
    <x v="0"/>
    <s v="DK1_Medium"/>
    <x v="0"/>
    <x v="5"/>
    <x v="0"/>
    <x v="13"/>
    <n v="1.6153846153846201"/>
    <n v="589.61538461538498"/>
    <n v="2122.6153846153802"/>
  </r>
  <r>
    <x v="0"/>
    <x v="0"/>
    <x v="0"/>
    <x v="0"/>
    <x v="0"/>
    <s v="DK1_Medium"/>
    <x v="0"/>
    <x v="5"/>
    <x v="0"/>
    <x v="14"/>
    <n v="1.6153846153846201"/>
    <n v="589.61538461538498"/>
    <n v="2122.6153846153802"/>
  </r>
  <r>
    <x v="0"/>
    <x v="0"/>
    <x v="0"/>
    <x v="0"/>
    <x v="0"/>
    <s v="DK1_Medium"/>
    <x v="0"/>
    <x v="5"/>
    <x v="0"/>
    <x v="15"/>
    <n v="1.6153846153846201"/>
    <n v="589.61538461538498"/>
    <n v="2122.6153846153802"/>
  </r>
  <r>
    <x v="0"/>
    <x v="0"/>
    <x v="0"/>
    <x v="0"/>
    <x v="0"/>
    <s v="DK1_Medium"/>
    <x v="0"/>
    <x v="5"/>
    <x v="0"/>
    <x v="16"/>
    <n v="1.6153846153846201"/>
    <n v="589.61538461538498"/>
    <n v="2122.6153846153802"/>
  </r>
  <r>
    <x v="0"/>
    <x v="0"/>
    <x v="0"/>
    <x v="0"/>
    <x v="0"/>
    <s v="DK1_Medium"/>
    <x v="0"/>
    <x v="5"/>
    <x v="0"/>
    <x v="17"/>
    <n v="1.6153846153846201"/>
    <n v="589.61538461538498"/>
    <n v="2122.6153846153802"/>
  </r>
  <r>
    <x v="0"/>
    <x v="0"/>
    <x v="0"/>
    <x v="0"/>
    <x v="0"/>
    <s v="DK1_Medium"/>
    <x v="0"/>
    <x v="5"/>
    <x v="0"/>
    <x v="18"/>
    <n v="1.6153846153846201"/>
    <n v="589.61538461538498"/>
    <n v="2122.6153846153802"/>
  </r>
  <r>
    <x v="0"/>
    <x v="0"/>
    <x v="0"/>
    <x v="0"/>
    <x v="0"/>
    <s v="DK1_Medium"/>
    <x v="0"/>
    <x v="5"/>
    <x v="0"/>
    <x v="19"/>
    <n v="1.6153846153846201"/>
    <n v="589.61538461538498"/>
    <n v="2122.6153846153802"/>
  </r>
  <r>
    <x v="0"/>
    <x v="0"/>
    <x v="0"/>
    <x v="0"/>
    <x v="0"/>
    <s v="DK1_Medium"/>
    <x v="0"/>
    <x v="5"/>
    <x v="0"/>
    <x v="20"/>
    <n v="1.6153846153846201"/>
    <n v="589.61538461538498"/>
    <n v="2122.6153846153802"/>
  </r>
  <r>
    <x v="0"/>
    <x v="0"/>
    <x v="0"/>
    <x v="0"/>
    <x v="0"/>
    <s v="DK1_Medium"/>
    <x v="0"/>
    <x v="5"/>
    <x v="0"/>
    <x v="21"/>
    <n v="1.6153846153846201"/>
    <n v="589.61538461538498"/>
    <n v="2122.6153846153802"/>
  </r>
  <r>
    <x v="0"/>
    <x v="0"/>
    <x v="0"/>
    <x v="0"/>
    <x v="0"/>
    <s v="DK1_Medium"/>
    <x v="0"/>
    <x v="5"/>
    <x v="0"/>
    <x v="22"/>
    <n v="1.6153846153846201"/>
    <n v="589.61538461538498"/>
    <n v="2122.6153846153802"/>
  </r>
  <r>
    <x v="0"/>
    <x v="0"/>
    <x v="0"/>
    <x v="0"/>
    <x v="0"/>
    <s v="DK1_Medium"/>
    <x v="0"/>
    <x v="5"/>
    <x v="0"/>
    <x v="23"/>
    <n v="1.6153846153846201"/>
    <n v="589.61538461538498"/>
    <n v="2122.6153846153802"/>
  </r>
  <r>
    <x v="0"/>
    <x v="0"/>
    <x v="0"/>
    <x v="0"/>
    <x v="0"/>
    <s v="DK1_Medium"/>
    <x v="0"/>
    <x v="7"/>
    <x v="0"/>
    <x v="0"/>
    <n v="8.0902439024390205"/>
    <n v="2952.9390243902399"/>
    <n v="10630.5804878049"/>
  </r>
  <r>
    <x v="0"/>
    <x v="0"/>
    <x v="0"/>
    <x v="0"/>
    <x v="0"/>
    <s v="DK1_Medium"/>
    <x v="0"/>
    <x v="7"/>
    <x v="0"/>
    <x v="1"/>
    <n v="8.0902439024390205"/>
    <n v="2952.9390243902399"/>
    <n v="10630.5804878049"/>
  </r>
  <r>
    <x v="0"/>
    <x v="0"/>
    <x v="0"/>
    <x v="0"/>
    <x v="0"/>
    <s v="DK1_Medium"/>
    <x v="0"/>
    <x v="7"/>
    <x v="0"/>
    <x v="2"/>
    <n v="8.0902439024390205"/>
    <n v="2952.9390243902399"/>
    <n v="10630.5804878049"/>
  </r>
  <r>
    <x v="0"/>
    <x v="0"/>
    <x v="0"/>
    <x v="0"/>
    <x v="0"/>
    <s v="DK1_Medium"/>
    <x v="0"/>
    <x v="7"/>
    <x v="0"/>
    <x v="3"/>
    <n v="8.0902439024390205"/>
    <n v="2952.9390243902399"/>
    <n v="10630.5804878049"/>
  </r>
  <r>
    <x v="0"/>
    <x v="0"/>
    <x v="0"/>
    <x v="0"/>
    <x v="0"/>
    <s v="DK1_Medium"/>
    <x v="0"/>
    <x v="7"/>
    <x v="0"/>
    <x v="4"/>
    <n v="8.0902439024390205"/>
    <n v="2952.9390243902399"/>
    <n v="10630.5804878049"/>
  </r>
  <r>
    <x v="0"/>
    <x v="0"/>
    <x v="0"/>
    <x v="0"/>
    <x v="0"/>
    <s v="DK1_Medium"/>
    <x v="0"/>
    <x v="7"/>
    <x v="0"/>
    <x v="5"/>
    <n v="8.0902439024390205"/>
    <n v="2952.9390243902399"/>
    <n v="10630.5804878049"/>
  </r>
  <r>
    <x v="0"/>
    <x v="0"/>
    <x v="0"/>
    <x v="0"/>
    <x v="0"/>
    <s v="DK1_Medium"/>
    <x v="0"/>
    <x v="7"/>
    <x v="0"/>
    <x v="6"/>
    <n v="8.0902439024390205"/>
    <n v="2952.9390243902399"/>
    <n v="10630.5804878049"/>
  </r>
  <r>
    <x v="0"/>
    <x v="0"/>
    <x v="0"/>
    <x v="0"/>
    <x v="0"/>
    <s v="DK1_Medium"/>
    <x v="0"/>
    <x v="7"/>
    <x v="0"/>
    <x v="7"/>
    <n v="8.0902439024390205"/>
    <n v="2952.9390243902399"/>
    <n v="10630.5804878049"/>
  </r>
  <r>
    <x v="0"/>
    <x v="0"/>
    <x v="0"/>
    <x v="0"/>
    <x v="0"/>
    <s v="DK1_Medium"/>
    <x v="0"/>
    <x v="7"/>
    <x v="0"/>
    <x v="8"/>
    <n v="8.0902439024390205"/>
    <n v="2952.9390243902399"/>
    <n v="10630.5804878049"/>
  </r>
  <r>
    <x v="0"/>
    <x v="0"/>
    <x v="0"/>
    <x v="0"/>
    <x v="0"/>
    <s v="DK1_Medium"/>
    <x v="0"/>
    <x v="7"/>
    <x v="0"/>
    <x v="9"/>
    <n v="8.0902439024390205"/>
    <n v="2952.9390243902399"/>
    <n v="10630.5804878049"/>
  </r>
  <r>
    <x v="0"/>
    <x v="0"/>
    <x v="0"/>
    <x v="0"/>
    <x v="0"/>
    <s v="DK1_Medium"/>
    <x v="0"/>
    <x v="7"/>
    <x v="0"/>
    <x v="10"/>
    <n v="8.0902439024390205"/>
    <n v="2952.9390243902399"/>
    <n v="10630.5804878049"/>
  </r>
  <r>
    <x v="0"/>
    <x v="0"/>
    <x v="0"/>
    <x v="0"/>
    <x v="0"/>
    <s v="DK1_Medium"/>
    <x v="0"/>
    <x v="7"/>
    <x v="0"/>
    <x v="11"/>
    <n v="8.0902439024390205"/>
    <n v="2952.9390243902399"/>
    <n v="10630.5804878049"/>
  </r>
  <r>
    <x v="0"/>
    <x v="0"/>
    <x v="0"/>
    <x v="0"/>
    <x v="0"/>
    <s v="DK1_Medium"/>
    <x v="0"/>
    <x v="7"/>
    <x v="0"/>
    <x v="12"/>
    <n v="8.0902439024390205"/>
    <n v="2952.9390243902399"/>
    <n v="10630.5804878049"/>
  </r>
  <r>
    <x v="0"/>
    <x v="0"/>
    <x v="0"/>
    <x v="0"/>
    <x v="0"/>
    <s v="DK1_Medium"/>
    <x v="0"/>
    <x v="7"/>
    <x v="0"/>
    <x v="13"/>
    <n v="8.0902439024390205"/>
    <n v="2952.9390243902399"/>
    <n v="10630.5804878049"/>
  </r>
  <r>
    <x v="0"/>
    <x v="0"/>
    <x v="0"/>
    <x v="0"/>
    <x v="0"/>
    <s v="DK1_Medium"/>
    <x v="0"/>
    <x v="7"/>
    <x v="0"/>
    <x v="14"/>
    <n v="8.0902439024390205"/>
    <n v="2952.9390243902399"/>
    <n v="10630.5804878049"/>
  </r>
  <r>
    <x v="0"/>
    <x v="0"/>
    <x v="0"/>
    <x v="0"/>
    <x v="0"/>
    <s v="DK1_Medium"/>
    <x v="0"/>
    <x v="7"/>
    <x v="0"/>
    <x v="15"/>
    <n v="8.0902439024390205"/>
    <n v="2952.9390243902399"/>
    <n v="10630.5804878049"/>
  </r>
  <r>
    <x v="0"/>
    <x v="0"/>
    <x v="0"/>
    <x v="0"/>
    <x v="0"/>
    <s v="DK1_Medium"/>
    <x v="0"/>
    <x v="7"/>
    <x v="0"/>
    <x v="16"/>
    <n v="8.0902439024390205"/>
    <n v="2952.9390243902399"/>
    <n v="10630.5804878049"/>
  </r>
  <r>
    <x v="0"/>
    <x v="0"/>
    <x v="0"/>
    <x v="0"/>
    <x v="0"/>
    <s v="DK1_Medium"/>
    <x v="0"/>
    <x v="7"/>
    <x v="0"/>
    <x v="17"/>
    <n v="8.0902439024390205"/>
    <n v="2952.9390243902399"/>
    <n v="10630.5804878049"/>
  </r>
  <r>
    <x v="0"/>
    <x v="0"/>
    <x v="0"/>
    <x v="0"/>
    <x v="0"/>
    <s v="DK1_Medium"/>
    <x v="0"/>
    <x v="7"/>
    <x v="0"/>
    <x v="18"/>
    <n v="8.0902439024390205"/>
    <n v="2952.9390243902399"/>
    <n v="10630.5804878049"/>
  </r>
  <r>
    <x v="0"/>
    <x v="0"/>
    <x v="0"/>
    <x v="0"/>
    <x v="0"/>
    <s v="DK1_Medium"/>
    <x v="0"/>
    <x v="7"/>
    <x v="0"/>
    <x v="19"/>
    <n v="8.0902439024390205"/>
    <n v="2952.9390243902399"/>
    <n v="10630.5804878049"/>
  </r>
  <r>
    <x v="0"/>
    <x v="0"/>
    <x v="0"/>
    <x v="0"/>
    <x v="0"/>
    <s v="DK1_Medium"/>
    <x v="0"/>
    <x v="7"/>
    <x v="0"/>
    <x v="20"/>
    <n v="8.0902439024390205"/>
    <n v="2952.9390243902399"/>
    <n v="10630.5804878049"/>
  </r>
  <r>
    <x v="0"/>
    <x v="0"/>
    <x v="0"/>
    <x v="0"/>
    <x v="0"/>
    <s v="DK1_Medium"/>
    <x v="0"/>
    <x v="7"/>
    <x v="0"/>
    <x v="21"/>
    <n v="8.0902439024390205"/>
    <n v="2952.9390243902399"/>
    <n v="10630.5804878049"/>
  </r>
  <r>
    <x v="0"/>
    <x v="0"/>
    <x v="0"/>
    <x v="0"/>
    <x v="0"/>
    <s v="DK1_Medium"/>
    <x v="0"/>
    <x v="7"/>
    <x v="0"/>
    <x v="22"/>
    <n v="8.0902439024390205"/>
    <n v="2952.9390243902399"/>
    <n v="10630.5804878049"/>
  </r>
  <r>
    <x v="0"/>
    <x v="0"/>
    <x v="0"/>
    <x v="0"/>
    <x v="0"/>
    <s v="DK1_Medium"/>
    <x v="0"/>
    <x v="7"/>
    <x v="0"/>
    <x v="23"/>
    <n v="8.0902439024390205"/>
    <n v="2952.9390243902399"/>
    <n v="10630.5804878049"/>
  </r>
  <r>
    <x v="0"/>
    <x v="0"/>
    <x v="0"/>
    <x v="0"/>
    <x v="0"/>
    <s v="DK1_Medium"/>
    <x v="0"/>
    <x v="8"/>
    <x v="0"/>
    <x v="0"/>
    <n v="1.4523809523809501"/>
    <n v="530.11904761904805"/>
    <n v="1908.42857142857"/>
  </r>
  <r>
    <x v="0"/>
    <x v="0"/>
    <x v="0"/>
    <x v="0"/>
    <x v="0"/>
    <s v="DK1_Medium"/>
    <x v="0"/>
    <x v="8"/>
    <x v="0"/>
    <x v="1"/>
    <n v="1.4523809523809501"/>
    <n v="530.11904761904805"/>
    <n v="1908.42857142857"/>
  </r>
  <r>
    <x v="0"/>
    <x v="0"/>
    <x v="0"/>
    <x v="0"/>
    <x v="0"/>
    <s v="DK1_Medium"/>
    <x v="0"/>
    <x v="8"/>
    <x v="0"/>
    <x v="2"/>
    <n v="1.4523809523809501"/>
    <n v="530.11904761904805"/>
    <n v="1908.42857142857"/>
  </r>
  <r>
    <x v="0"/>
    <x v="0"/>
    <x v="0"/>
    <x v="0"/>
    <x v="0"/>
    <s v="DK1_Medium"/>
    <x v="0"/>
    <x v="8"/>
    <x v="0"/>
    <x v="3"/>
    <n v="1.4523809523809501"/>
    <n v="530.11904761904805"/>
    <n v="1908.42857142857"/>
  </r>
  <r>
    <x v="0"/>
    <x v="0"/>
    <x v="0"/>
    <x v="0"/>
    <x v="0"/>
    <s v="DK1_Medium"/>
    <x v="0"/>
    <x v="8"/>
    <x v="0"/>
    <x v="4"/>
    <n v="1.4523809523809501"/>
    <n v="530.11904761904805"/>
    <n v="1908.42857142857"/>
  </r>
  <r>
    <x v="0"/>
    <x v="0"/>
    <x v="0"/>
    <x v="0"/>
    <x v="0"/>
    <s v="DK1_Medium"/>
    <x v="0"/>
    <x v="8"/>
    <x v="0"/>
    <x v="5"/>
    <n v="1.4523809523809501"/>
    <n v="530.11904761904805"/>
    <n v="1908.42857142857"/>
  </r>
  <r>
    <x v="0"/>
    <x v="0"/>
    <x v="0"/>
    <x v="0"/>
    <x v="0"/>
    <s v="DK1_Medium"/>
    <x v="0"/>
    <x v="8"/>
    <x v="0"/>
    <x v="6"/>
    <n v="1.4523809523809501"/>
    <n v="530.11904761904805"/>
    <n v="1908.42857142857"/>
  </r>
  <r>
    <x v="0"/>
    <x v="0"/>
    <x v="0"/>
    <x v="0"/>
    <x v="0"/>
    <s v="DK1_Medium"/>
    <x v="0"/>
    <x v="8"/>
    <x v="0"/>
    <x v="7"/>
    <n v="1.4523809523809501"/>
    <n v="530.11904761904805"/>
    <n v="1908.42857142857"/>
  </r>
  <r>
    <x v="0"/>
    <x v="0"/>
    <x v="0"/>
    <x v="0"/>
    <x v="0"/>
    <s v="DK1_Medium"/>
    <x v="0"/>
    <x v="8"/>
    <x v="0"/>
    <x v="8"/>
    <n v="1.4523809523809501"/>
    <n v="530.11904761904805"/>
    <n v="1908.42857142857"/>
  </r>
  <r>
    <x v="0"/>
    <x v="0"/>
    <x v="0"/>
    <x v="0"/>
    <x v="0"/>
    <s v="DK1_Medium"/>
    <x v="0"/>
    <x v="8"/>
    <x v="0"/>
    <x v="9"/>
    <n v="1.4523809523809501"/>
    <n v="530.11904761904805"/>
    <n v="1908.42857142857"/>
  </r>
  <r>
    <x v="0"/>
    <x v="0"/>
    <x v="0"/>
    <x v="0"/>
    <x v="0"/>
    <s v="DK1_Medium"/>
    <x v="0"/>
    <x v="8"/>
    <x v="0"/>
    <x v="10"/>
    <n v="1.4523809523809501"/>
    <n v="530.11904761904805"/>
    <n v="1908.42857142857"/>
  </r>
  <r>
    <x v="0"/>
    <x v="0"/>
    <x v="0"/>
    <x v="0"/>
    <x v="0"/>
    <s v="DK1_Medium"/>
    <x v="0"/>
    <x v="8"/>
    <x v="0"/>
    <x v="11"/>
    <n v="1.4523809523809501"/>
    <n v="530.11904761904805"/>
    <n v="1908.42857142857"/>
  </r>
  <r>
    <x v="0"/>
    <x v="0"/>
    <x v="0"/>
    <x v="0"/>
    <x v="0"/>
    <s v="DK1_Medium"/>
    <x v="0"/>
    <x v="8"/>
    <x v="0"/>
    <x v="12"/>
    <n v="1.4523809523809501"/>
    <n v="530.11904761904805"/>
    <n v="1908.42857142857"/>
  </r>
  <r>
    <x v="0"/>
    <x v="0"/>
    <x v="0"/>
    <x v="0"/>
    <x v="0"/>
    <s v="DK1_Medium"/>
    <x v="0"/>
    <x v="8"/>
    <x v="0"/>
    <x v="13"/>
    <n v="1.4523809523809501"/>
    <n v="530.11904761904805"/>
    <n v="1908.42857142857"/>
  </r>
  <r>
    <x v="0"/>
    <x v="0"/>
    <x v="0"/>
    <x v="0"/>
    <x v="0"/>
    <s v="DK1_Medium"/>
    <x v="0"/>
    <x v="8"/>
    <x v="0"/>
    <x v="14"/>
    <n v="1.4523809523809501"/>
    <n v="530.11904761904805"/>
    <n v="1908.42857142857"/>
  </r>
  <r>
    <x v="0"/>
    <x v="0"/>
    <x v="0"/>
    <x v="0"/>
    <x v="0"/>
    <s v="DK1_Medium"/>
    <x v="0"/>
    <x v="8"/>
    <x v="0"/>
    <x v="15"/>
    <n v="1.4523809523809501"/>
    <n v="530.11904761904805"/>
    <n v="1908.42857142857"/>
  </r>
  <r>
    <x v="0"/>
    <x v="0"/>
    <x v="0"/>
    <x v="0"/>
    <x v="0"/>
    <s v="DK1_Medium"/>
    <x v="0"/>
    <x v="8"/>
    <x v="0"/>
    <x v="16"/>
    <n v="1.4523809523809501"/>
    <n v="530.11904761904805"/>
    <n v="1908.42857142857"/>
  </r>
  <r>
    <x v="0"/>
    <x v="0"/>
    <x v="0"/>
    <x v="0"/>
    <x v="0"/>
    <s v="DK1_Medium"/>
    <x v="0"/>
    <x v="8"/>
    <x v="0"/>
    <x v="17"/>
    <n v="1.4523809523809501"/>
    <n v="530.11904761904805"/>
    <n v="1908.42857142857"/>
  </r>
  <r>
    <x v="0"/>
    <x v="0"/>
    <x v="0"/>
    <x v="0"/>
    <x v="0"/>
    <s v="DK1_Medium"/>
    <x v="0"/>
    <x v="8"/>
    <x v="0"/>
    <x v="18"/>
    <n v="1.4523809523809501"/>
    <n v="530.11904761904805"/>
    <n v="1908.42857142857"/>
  </r>
  <r>
    <x v="0"/>
    <x v="0"/>
    <x v="0"/>
    <x v="0"/>
    <x v="0"/>
    <s v="DK1_Medium"/>
    <x v="0"/>
    <x v="8"/>
    <x v="0"/>
    <x v="19"/>
    <n v="1.4523809523809501"/>
    <n v="530.11904761904805"/>
    <n v="1908.42857142857"/>
  </r>
  <r>
    <x v="0"/>
    <x v="0"/>
    <x v="0"/>
    <x v="0"/>
    <x v="0"/>
    <s v="DK1_Medium"/>
    <x v="0"/>
    <x v="8"/>
    <x v="0"/>
    <x v="20"/>
    <n v="1.4523809523809501"/>
    <n v="530.11904761904805"/>
    <n v="1908.42857142857"/>
  </r>
  <r>
    <x v="0"/>
    <x v="0"/>
    <x v="0"/>
    <x v="0"/>
    <x v="0"/>
    <s v="DK1_Medium"/>
    <x v="0"/>
    <x v="8"/>
    <x v="0"/>
    <x v="21"/>
    <n v="1.4523809523809501"/>
    <n v="530.11904761904805"/>
    <n v="1908.42857142857"/>
  </r>
  <r>
    <x v="0"/>
    <x v="0"/>
    <x v="0"/>
    <x v="0"/>
    <x v="0"/>
    <s v="DK1_Medium"/>
    <x v="0"/>
    <x v="8"/>
    <x v="0"/>
    <x v="22"/>
    <n v="1.4523809523809501"/>
    <n v="530.11904761904805"/>
    <n v="1908.42857142857"/>
  </r>
  <r>
    <x v="0"/>
    <x v="0"/>
    <x v="0"/>
    <x v="0"/>
    <x v="0"/>
    <s v="DK1_Medium"/>
    <x v="0"/>
    <x v="8"/>
    <x v="0"/>
    <x v="23"/>
    <n v="1.4523809523809501"/>
    <n v="530.11904761904805"/>
    <n v="1908.42857142857"/>
  </r>
  <r>
    <x v="0"/>
    <x v="0"/>
    <x v="0"/>
    <x v="0"/>
    <x v="0"/>
    <s v="DK1_Medium"/>
    <x v="2"/>
    <x v="15"/>
    <x v="0"/>
    <x v="0"/>
    <n v="38.8888888888889"/>
    <n v="14194.4444444445"/>
    <n v="51100.000000000102"/>
  </r>
  <r>
    <x v="0"/>
    <x v="0"/>
    <x v="0"/>
    <x v="0"/>
    <x v="0"/>
    <s v="DK1_Medium"/>
    <x v="2"/>
    <x v="15"/>
    <x v="0"/>
    <x v="1"/>
    <n v="38.8888888888889"/>
    <n v="14194.4444444445"/>
    <n v="51100.000000000102"/>
  </r>
  <r>
    <x v="0"/>
    <x v="0"/>
    <x v="0"/>
    <x v="0"/>
    <x v="0"/>
    <s v="DK1_Medium"/>
    <x v="2"/>
    <x v="15"/>
    <x v="0"/>
    <x v="2"/>
    <n v="38.8888888888889"/>
    <n v="14194.4444444445"/>
    <n v="51100.000000000102"/>
  </r>
  <r>
    <x v="0"/>
    <x v="0"/>
    <x v="0"/>
    <x v="0"/>
    <x v="0"/>
    <s v="DK1_Medium"/>
    <x v="2"/>
    <x v="15"/>
    <x v="0"/>
    <x v="3"/>
    <n v="38.8888888888889"/>
    <n v="14194.4444444445"/>
    <n v="51100.000000000102"/>
  </r>
  <r>
    <x v="0"/>
    <x v="0"/>
    <x v="0"/>
    <x v="0"/>
    <x v="0"/>
    <s v="DK1_Medium"/>
    <x v="2"/>
    <x v="15"/>
    <x v="0"/>
    <x v="4"/>
    <n v="38.8888888888889"/>
    <n v="14194.4444444445"/>
    <n v="51100.000000000102"/>
  </r>
  <r>
    <x v="0"/>
    <x v="0"/>
    <x v="0"/>
    <x v="0"/>
    <x v="0"/>
    <s v="DK1_Medium"/>
    <x v="2"/>
    <x v="15"/>
    <x v="0"/>
    <x v="5"/>
    <n v="38.8888888888889"/>
    <n v="14194.4444444445"/>
    <n v="51100.000000000102"/>
  </r>
  <r>
    <x v="0"/>
    <x v="0"/>
    <x v="0"/>
    <x v="0"/>
    <x v="0"/>
    <s v="DK1_Medium"/>
    <x v="2"/>
    <x v="15"/>
    <x v="0"/>
    <x v="6"/>
    <n v="38.8888888888889"/>
    <n v="14194.4444444445"/>
    <n v="51100.000000000102"/>
  </r>
  <r>
    <x v="0"/>
    <x v="0"/>
    <x v="0"/>
    <x v="0"/>
    <x v="0"/>
    <s v="DK1_Medium"/>
    <x v="2"/>
    <x v="15"/>
    <x v="0"/>
    <x v="7"/>
    <n v="38.8888888888889"/>
    <n v="14194.4444444445"/>
    <n v="51100.000000000102"/>
  </r>
  <r>
    <x v="0"/>
    <x v="0"/>
    <x v="0"/>
    <x v="0"/>
    <x v="0"/>
    <s v="DK1_Medium"/>
    <x v="2"/>
    <x v="15"/>
    <x v="0"/>
    <x v="8"/>
    <n v="38.8888888888889"/>
    <n v="14194.4444444445"/>
    <n v="51100.000000000102"/>
  </r>
  <r>
    <x v="0"/>
    <x v="0"/>
    <x v="0"/>
    <x v="0"/>
    <x v="0"/>
    <s v="DK1_Medium"/>
    <x v="2"/>
    <x v="15"/>
    <x v="0"/>
    <x v="9"/>
    <n v="38.8888888888889"/>
    <n v="14194.4444444445"/>
    <n v="51100.000000000102"/>
  </r>
  <r>
    <x v="0"/>
    <x v="0"/>
    <x v="0"/>
    <x v="0"/>
    <x v="0"/>
    <s v="DK1_Medium"/>
    <x v="2"/>
    <x v="15"/>
    <x v="0"/>
    <x v="10"/>
    <n v="38.8888888888889"/>
    <n v="14194.4444444445"/>
    <n v="51100.000000000102"/>
  </r>
  <r>
    <x v="0"/>
    <x v="0"/>
    <x v="0"/>
    <x v="0"/>
    <x v="0"/>
    <s v="DK1_Medium"/>
    <x v="2"/>
    <x v="15"/>
    <x v="0"/>
    <x v="11"/>
    <n v="38.8888888888889"/>
    <n v="14194.4444444445"/>
    <n v="51100.000000000102"/>
  </r>
  <r>
    <x v="0"/>
    <x v="0"/>
    <x v="0"/>
    <x v="0"/>
    <x v="0"/>
    <s v="DK1_Medium"/>
    <x v="2"/>
    <x v="15"/>
    <x v="0"/>
    <x v="12"/>
    <n v="38.8888888888889"/>
    <n v="14194.4444444445"/>
    <n v="51100.000000000102"/>
  </r>
  <r>
    <x v="0"/>
    <x v="0"/>
    <x v="0"/>
    <x v="0"/>
    <x v="0"/>
    <s v="DK1_Medium"/>
    <x v="2"/>
    <x v="15"/>
    <x v="0"/>
    <x v="13"/>
    <n v="38.8888888888889"/>
    <n v="14194.4444444445"/>
    <n v="51100.000000000102"/>
  </r>
  <r>
    <x v="0"/>
    <x v="0"/>
    <x v="0"/>
    <x v="0"/>
    <x v="0"/>
    <s v="DK1_Medium"/>
    <x v="2"/>
    <x v="15"/>
    <x v="0"/>
    <x v="14"/>
    <n v="38.8888888888889"/>
    <n v="14194.4444444445"/>
    <n v="51100.000000000102"/>
  </r>
  <r>
    <x v="0"/>
    <x v="0"/>
    <x v="0"/>
    <x v="0"/>
    <x v="0"/>
    <s v="DK1_Medium"/>
    <x v="2"/>
    <x v="15"/>
    <x v="0"/>
    <x v="15"/>
    <n v="38.8888888888889"/>
    <n v="14194.4444444445"/>
    <n v="51100.000000000102"/>
  </r>
  <r>
    <x v="0"/>
    <x v="0"/>
    <x v="0"/>
    <x v="0"/>
    <x v="0"/>
    <s v="DK1_Medium"/>
    <x v="2"/>
    <x v="15"/>
    <x v="0"/>
    <x v="16"/>
    <n v="38.8888888888889"/>
    <n v="14194.4444444445"/>
    <n v="51100.000000000102"/>
  </r>
  <r>
    <x v="0"/>
    <x v="0"/>
    <x v="0"/>
    <x v="0"/>
    <x v="0"/>
    <s v="DK1_Medium"/>
    <x v="2"/>
    <x v="15"/>
    <x v="0"/>
    <x v="17"/>
    <n v="38.8888888888889"/>
    <n v="14194.4444444445"/>
    <n v="51100.000000000102"/>
  </r>
  <r>
    <x v="0"/>
    <x v="0"/>
    <x v="0"/>
    <x v="0"/>
    <x v="0"/>
    <s v="DK1_Medium"/>
    <x v="2"/>
    <x v="15"/>
    <x v="0"/>
    <x v="18"/>
    <n v="38.8888888888889"/>
    <n v="14194.4444444445"/>
    <n v="51100.000000000102"/>
  </r>
  <r>
    <x v="0"/>
    <x v="0"/>
    <x v="0"/>
    <x v="0"/>
    <x v="0"/>
    <s v="DK1_Medium"/>
    <x v="2"/>
    <x v="15"/>
    <x v="0"/>
    <x v="19"/>
    <n v="38.8888888888889"/>
    <n v="14194.4444444445"/>
    <n v="51100.000000000102"/>
  </r>
  <r>
    <x v="0"/>
    <x v="0"/>
    <x v="0"/>
    <x v="0"/>
    <x v="0"/>
    <s v="DK1_Medium"/>
    <x v="2"/>
    <x v="15"/>
    <x v="0"/>
    <x v="20"/>
    <n v="38.8888888888889"/>
    <n v="14194.4444444445"/>
    <n v="51100.000000000102"/>
  </r>
  <r>
    <x v="0"/>
    <x v="0"/>
    <x v="0"/>
    <x v="0"/>
    <x v="0"/>
    <s v="DK1_Medium"/>
    <x v="2"/>
    <x v="15"/>
    <x v="0"/>
    <x v="21"/>
    <n v="38.8888888888889"/>
    <n v="14194.4444444445"/>
    <n v="51100.000000000102"/>
  </r>
  <r>
    <x v="0"/>
    <x v="0"/>
    <x v="0"/>
    <x v="0"/>
    <x v="0"/>
    <s v="DK1_Medium"/>
    <x v="2"/>
    <x v="15"/>
    <x v="0"/>
    <x v="22"/>
    <n v="38.8888888888889"/>
    <n v="14194.4444444445"/>
    <n v="51100.000000000102"/>
  </r>
  <r>
    <x v="0"/>
    <x v="0"/>
    <x v="0"/>
    <x v="0"/>
    <x v="0"/>
    <s v="DK1_Medium"/>
    <x v="2"/>
    <x v="15"/>
    <x v="0"/>
    <x v="23"/>
    <n v="38.8888888888889"/>
    <n v="14194.4444444445"/>
    <n v="51100.000000000102"/>
  </r>
  <r>
    <x v="0"/>
    <x v="0"/>
    <x v="0"/>
    <x v="0"/>
    <x v="0"/>
    <s v="DK1_Medium"/>
    <x v="2"/>
    <x v="42"/>
    <x v="0"/>
    <x v="0"/>
    <n v="128.57142857142901"/>
    <n v="46928.5714285715"/>
    <n v="168942.85714285701"/>
  </r>
  <r>
    <x v="0"/>
    <x v="0"/>
    <x v="0"/>
    <x v="0"/>
    <x v="0"/>
    <s v="DK1_Medium"/>
    <x v="2"/>
    <x v="42"/>
    <x v="0"/>
    <x v="1"/>
    <n v="128.57142857142901"/>
    <n v="46928.5714285715"/>
    <n v="168942.85714285701"/>
  </r>
  <r>
    <x v="0"/>
    <x v="0"/>
    <x v="0"/>
    <x v="0"/>
    <x v="0"/>
    <s v="DK1_Medium"/>
    <x v="2"/>
    <x v="42"/>
    <x v="0"/>
    <x v="2"/>
    <n v="128.57142857142901"/>
    <n v="46928.5714285715"/>
    <n v="168942.85714285701"/>
  </r>
  <r>
    <x v="0"/>
    <x v="0"/>
    <x v="0"/>
    <x v="0"/>
    <x v="0"/>
    <s v="DK1_Medium"/>
    <x v="2"/>
    <x v="42"/>
    <x v="0"/>
    <x v="3"/>
    <n v="128.57142857142901"/>
    <n v="46928.5714285715"/>
    <n v="168942.85714285701"/>
  </r>
  <r>
    <x v="0"/>
    <x v="0"/>
    <x v="0"/>
    <x v="0"/>
    <x v="0"/>
    <s v="DK1_Medium"/>
    <x v="2"/>
    <x v="42"/>
    <x v="0"/>
    <x v="4"/>
    <n v="128.57142857142901"/>
    <n v="46928.5714285715"/>
    <n v="168942.85714285701"/>
  </r>
  <r>
    <x v="0"/>
    <x v="0"/>
    <x v="0"/>
    <x v="0"/>
    <x v="0"/>
    <s v="DK1_Medium"/>
    <x v="2"/>
    <x v="42"/>
    <x v="0"/>
    <x v="5"/>
    <n v="128.57142857142901"/>
    <n v="46928.5714285715"/>
    <n v="168942.85714285701"/>
  </r>
  <r>
    <x v="0"/>
    <x v="0"/>
    <x v="0"/>
    <x v="0"/>
    <x v="0"/>
    <s v="DK1_Medium"/>
    <x v="2"/>
    <x v="42"/>
    <x v="0"/>
    <x v="6"/>
    <n v="128.57142857142901"/>
    <n v="46928.5714285715"/>
    <n v="168942.85714285701"/>
  </r>
  <r>
    <x v="0"/>
    <x v="0"/>
    <x v="0"/>
    <x v="0"/>
    <x v="0"/>
    <s v="DK1_Medium"/>
    <x v="2"/>
    <x v="42"/>
    <x v="0"/>
    <x v="7"/>
    <n v="128.57142857142901"/>
    <n v="46928.5714285715"/>
    <n v="168942.85714285701"/>
  </r>
  <r>
    <x v="0"/>
    <x v="0"/>
    <x v="0"/>
    <x v="0"/>
    <x v="0"/>
    <s v="DK1_Medium"/>
    <x v="2"/>
    <x v="42"/>
    <x v="0"/>
    <x v="8"/>
    <n v="128.57142857142901"/>
    <n v="46928.5714285715"/>
    <n v="168942.85714285701"/>
  </r>
  <r>
    <x v="0"/>
    <x v="0"/>
    <x v="0"/>
    <x v="0"/>
    <x v="0"/>
    <s v="DK1_Medium"/>
    <x v="2"/>
    <x v="42"/>
    <x v="0"/>
    <x v="9"/>
    <n v="128.57142857142901"/>
    <n v="46928.5714285715"/>
    <n v="168942.85714285701"/>
  </r>
  <r>
    <x v="0"/>
    <x v="0"/>
    <x v="0"/>
    <x v="0"/>
    <x v="0"/>
    <s v="DK1_Medium"/>
    <x v="2"/>
    <x v="42"/>
    <x v="0"/>
    <x v="10"/>
    <n v="128.57142857142901"/>
    <n v="46928.5714285715"/>
    <n v="168942.85714285701"/>
  </r>
  <r>
    <x v="0"/>
    <x v="0"/>
    <x v="0"/>
    <x v="0"/>
    <x v="0"/>
    <s v="DK1_Medium"/>
    <x v="2"/>
    <x v="42"/>
    <x v="0"/>
    <x v="11"/>
    <n v="128.57142857142901"/>
    <n v="46928.5714285715"/>
    <n v="168942.85714285701"/>
  </r>
  <r>
    <x v="0"/>
    <x v="0"/>
    <x v="0"/>
    <x v="0"/>
    <x v="0"/>
    <s v="DK1_Medium"/>
    <x v="2"/>
    <x v="42"/>
    <x v="0"/>
    <x v="12"/>
    <n v="128.57142857142901"/>
    <n v="46928.5714285715"/>
    <n v="168942.85714285701"/>
  </r>
  <r>
    <x v="0"/>
    <x v="0"/>
    <x v="0"/>
    <x v="0"/>
    <x v="0"/>
    <s v="DK1_Medium"/>
    <x v="2"/>
    <x v="42"/>
    <x v="0"/>
    <x v="13"/>
    <n v="128.57142857142901"/>
    <n v="46928.5714285715"/>
    <n v="168942.85714285701"/>
  </r>
  <r>
    <x v="0"/>
    <x v="0"/>
    <x v="0"/>
    <x v="0"/>
    <x v="0"/>
    <s v="DK1_Medium"/>
    <x v="2"/>
    <x v="42"/>
    <x v="0"/>
    <x v="14"/>
    <n v="128.57142857142901"/>
    <n v="46928.5714285715"/>
    <n v="168942.85714285701"/>
  </r>
  <r>
    <x v="0"/>
    <x v="0"/>
    <x v="0"/>
    <x v="0"/>
    <x v="0"/>
    <s v="DK1_Medium"/>
    <x v="2"/>
    <x v="42"/>
    <x v="0"/>
    <x v="15"/>
    <n v="128.57142857142901"/>
    <n v="46928.5714285715"/>
    <n v="168942.85714285701"/>
  </r>
  <r>
    <x v="0"/>
    <x v="0"/>
    <x v="0"/>
    <x v="0"/>
    <x v="0"/>
    <s v="DK1_Medium"/>
    <x v="2"/>
    <x v="42"/>
    <x v="0"/>
    <x v="16"/>
    <n v="128.57142857142901"/>
    <n v="46928.5714285715"/>
    <n v="168942.85714285701"/>
  </r>
  <r>
    <x v="0"/>
    <x v="0"/>
    <x v="0"/>
    <x v="0"/>
    <x v="0"/>
    <s v="DK1_Medium"/>
    <x v="2"/>
    <x v="42"/>
    <x v="0"/>
    <x v="17"/>
    <n v="128.57142857142901"/>
    <n v="46928.5714285715"/>
    <n v="168942.85714285701"/>
  </r>
  <r>
    <x v="0"/>
    <x v="0"/>
    <x v="0"/>
    <x v="0"/>
    <x v="0"/>
    <s v="DK1_Medium"/>
    <x v="2"/>
    <x v="42"/>
    <x v="0"/>
    <x v="18"/>
    <n v="128.57142857142901"/>
    <n v="46928.5714285715"/>
    <n v="168942.85714285701"/>
  </r>
  <r>
    <x v="0"/>
    <x v="0"/>
    <x v="0"/>
    <x v="0"/>
    <x v="0"/>
    <s v="DK1_Medium"/>
    <x v="2"/>
    <x v="42"/>
    <x v="0"/>
    <x v="19"/>
    <n v="128.57142857142901"/>
    <n v="46928.5714285715"/>
    <n v="168942.85714285701"/>
  </r>
  <r>
    <x v="0"/>
    <x v="0"/>
    <x v="0"/>
    <x v="0"/>
    <x v="0"/>
    <s v="DK1_Medium"/>
    <x v="2"/>
    <x v="42"/>
    <x v="0"/>
    <x v="20"/>
    <n v="128.57142857142901"/>
    <n v="46928.5714285715"/>
    <n v="168942.85714285701"/>
  </r>
  <r>
    <x v="0"/>
    <x v="0"/>
    <x v="0"/>
    <x v="0"/>
    <x v="0"/>
    <s v="DK1_Medium"/>
    <x v="2"/>
    <x v="42"/>
    <x v="0"/>
    <x v="21"/>
    <n v="128.57142857142901"/>
    <n v="46928.5714285715"/>
    <n v="168942.85714285701"/>
  </r>
  <r>
    <x v="0"/>
    <x v="0"/>
    <x v="0"/>
    <x v="0"/>
    <x v="0"/>
    <s v="DK1_Medium"/>
    <x v="2"/>
    <x v="42"/>
    <x v="0"/>
    <x v="22"/>
    <n v="128.57142857142901"/>
    <n v="46928.5714285715"/>
    <n v="168942.85714285701"/>
  </r>
  <r>
    <x v="0"/>
    <x v="0"/>
    <x v="0"/>
    <x v="0"/>
    <x v="0"/>
    <s v="DK1_Medium"/>
    <x v="2"/>
    <x v="42"/>
    <x v="0"/>
    <x v="23"/>
    <n v="128.57142857142901"/>
    <n v="46928.5714285715"/>
    <n v="168942.85714285701"/>
  </r>
  <r>
    <x v="0"/>
    <x v="0"/>
    <x v="0"/>
    <x v="0"/>
    <x v="0"/>
    <s v="DK1_Medium"/>
    <x v="2"/>
    <x v="17"/>
    <x v="0"/>
    <x v="0"/>
    <n v="284.54545454545502"/>
    <n v="103859.090909091"/>
    <n v="373892.72727272799"/>
  </r>
  <r>
    <x v="0"/>
    <x v="0"/>
    <x v="0"/>
    <x v="0"/>
    <x v="0"/>
    <s v="DK1_Medium"/>
    <x v="2"/>
    <x v="17"/>
    <x v="0"/>
    <x v="1"/>
    <n v="284.54545454545502"/>
    <n v="103859.090909091"/>
    <n v="373892.72727272799"/>
  </r>
  <r>
    <x v="0"/>
    <x v="0"/>
    <x v="0"/>
    <x v="0"/>
    <x v="0"/>
    <s v="DK1_Medium"/>
    <x v="2"/>
    <x v="17"/>
    <x v="0"/>
    <x v="2"/>
    <n v="284.54545454545502"/>
    <n v="103859.090909091"/>
    <n v="373892.72727272799"/>
  </r>
  <r>
    <x v="0"/>
    <x v="0"/>
    <x v="0"/>
    <x v="0"/>
    <x v="0"/>
    <s v="DK1_Medium"/>
    <x v="2"/>
    <x v="17"/>
    <x v="0"/>
    <x v="3"/>
    <n v="284.54545454545502"/>
    <n v="103859.090909091"/>
    <n v="373892.72727272799"/>
  </r>
  <r>
    <x v="0"/>
    <x v="0"/>
    <x v="0"/>
    <x v="0"/>
    <x v="0"/>
    <s v="DK1_Medium"/>
    <x v="2"/>
    <x v="17"/>
    <x v="0"/>
    <x v="4"/>
    <n v="284.54545454545502"/>
    <n v="103859.090909091"/>
    <n v="373892.72727272799"/>
  </r>
  <r>
    <x v="0"/>
    <x v="0"/>
    <x v="0"/>
    <x v="0"/>
    <x v="0"/>
    <s v="DK1_Medium"/>
    <x v="2"/>
    <x v="17"/>
    <x v="0"/>
    <x v="5"/>
    <n v="284.54545454545502"/>
    <n v="103859.090909091"/>
    <n v="373892.72727272799"/>
  </r>
  <r>
    <x v="0"/>
    <x v="0"/>
    <x v="0"/>
    <x v="0"/>
    <x v="0"/>
    <s v="DK1_Medium"/>
    <x v="2"/>
    <x v="17"/>
    <x v="0"/>
    <x v="6"/>
    <n v="284.54545454545502"/>
    <n v="103859.090909091"/>
    <n v="373892.72727272799"/>
  </r>
  <r>
    <x v="0"/>
    <x v="0"/>
    <x v="0"/>
    <x v="0"/>
    <x v="0"/>
    <s v="DK1_Medium"/>
    <x v="2"/>
    <x v="17"/>
    <x v="0"/>
    <x v="7"/>
    <n v="284.54545454545502"/>
    <n v="103859.090909091"/>
    <n v="373892.72727272799"/>
  </r>
  <r>
    <x v="0"/>
    <x v="0"/>
    <x v="0"/>
    <x v="0"/>
    <x v="0"/>
    <s v="DK1_Medium"/>
    <x v="2"/>
    <x v="17"/>
    <x v="0"/>
    <x v="8"/>
    <n v="284.54545454545502"/>
    <n v="103859.090909091"/>
    <n v="373892.72727272799"/>
  </r>
  <r>
    <x v="0"/>
    <x v="0"/>
    <x v="0"/>
    <x v="0"/>
    <x v="0"/>
    <s v="DK1_Medium"/>
    <x v="2"/>
    <x v="17"/>
    <x v="0"/>
    <x v="9"/>
    <n v="284.54545454545502"/>
    <n v="103859.090909091"/>
    <n v="373892.72727272799"/>
  </r>
  <r>
    <x v="0"/>
    <x v="0"/>
    <x v="0"/>
    <x v="0"/>
    <x v="0"/>
    <s v="DK1_Medium"/>
    <x v="2"/>
    <x v="17"/>
    <x v="0"/>
    <x v="10"/>
    <n v="284.54545454545502"/>
    <n v="103859.090909091"/>
    <n v="373892.72727272799"/>
  </r>
  <r>
    <x v="0"/>
    <x v="0"/>
    <x v="0"/>
    <x v="0"/>
    <x v="0"/>
    <s v="DK1_Medium"/>
    <x v="2"/>
    <x v="17"/>
    <x v="0"/>
    <x v="11"/>
    <n v="284.54545454545502"/>
    <n v="103859.090909091"/>
    <n v="373892.72727272799"/>
  </r>
  <r>
    <x v="0"/>
    <x v="0"/>
    <x v="0"/>
    <x v="0"/>
    <x v="0"/>
    <s v="DK1_Medium"/>
    <x v="2"/>
    <x v="17"/>
    <x v="0"/>
    <x v="12"/>
    <n v="284.54545454545502"/>
    <n v="103859.090909091"/>
    <n v="373892.72727272799"/>
  </r>
  <r>
    <x v="0"/>
    <x v="0"/>
    <x v="0"/>
    <x v="0"/>
    <x v="0"/>
    <s v="DK1_Medium"/>
    <x v="2"/>
    <x v="17"/>
    <x v="0"/>
    <x v="13"/>
    <n v="284.54545454545502"/>
    <n v="103859.090909091"/>
    <n v="373892.72727272799"/>
  </r>
  <r>
    <x v="0"/>
    <x v="0"/>
    <x v="0"/>
    <x v="0"/>
    <x v="0"/>
    <s v="DK1_Medium"/>
    <x v="2"/>
    <x v="17"/>
    <x v="0"/>
    <x v="14"/>
    <n v="284.54545454545502"/>
    <n v="103859.090909091"/>
    <n v="373892.72727272799"/>
  </r>
  <r>
    <x v="0"/>
    <x v="0"/>
    <x v="0"/>
    <x v="0"/>
    <x v="0"/>
    <s v="DK1_Medium"/>
    <x v="2"/>
    <x v="17"/>
    <x v="0"/>
    <x v="15"/>
    <n v="284.54545454545502"/>
    <n v="103859.090909091"/>
    <n v="373892.72727272799"/>
  </r>
  <r>
    <x v="0"/>
    <x v="0"/>
    <x v="0"/>
    <x v="0"/>
    <x v="0"/>
    <s v="DK1_Medium"/>
    <x v="2"/>
    <x v="17"/>
    <x v="0"/>
    <x v="16"/>
    <n v="284.54545454545502"/>
    <n v="103859.090909091"/>
    <n v="373892.72727272799"/>
  </r>
  <r>
    <x v="0"/>
    <x v="0"/>
    <x v="0"/>
    <x v="0"/>
    <x v="0"/>
    <s v="DK1_Medium"/>
    <x v="2"/>
    <x v="17"/>
    <x v="0"/>
    <x v="17"/>
    <n v="284.54545454545502"/>
    <n v="103859.090909091"/>
    <n v="373892.72727272799"/>
  </r>
  <r>
    <x v="0"/>
    <x v="0"/>
    <x v="0"/>
    <x v="0"/>
    <x v="0"/>
    <s v="DK1_Medium"/>
    <x v="2"/>
    <x v="17"/>
    <x v="0"/>
    <x v="18"/>
    <n v="284.54545454545502"/>
    <n v="103859.090909091"/>
    <n v="373892.72727272799"/>
  </r>
  <r>
    <x v="0"/>
    <x v="0"/>
    <x v="0"/>
    <x v="0"/>
    <x v="0"/>
    <s v="DK1_Medium"/>
    <x v="2"/>
    <x v="17"/>
    <x v="0"/>
    <x v="19"/>
    <n v="284.54545454545502"/>
    <n v="103859.090909091"/>
    <n v="373892.72727272799"/>
  </r>
  <r>
    <x v="0"/>
    <x v="0"/>
    <x v="0"/>
    <x v="0"/>
    <x v="0"/>
    <s v="DK1_Medium"/>
    <x v="2"/>
    <x v="17"/>
    <x v="0"/>
    <x v="20"/>
    <n v="284.54545454545502"/>
    <n v="103859.090909091"/>
    <n v="373892.72727272799"/>
  </r>
  <r>
    <x v="0"/>
    <x v="0"/>
    <x v="0"/>
    <x v="0"/>
    <x v="0"/>
    <s v="DK1_Medium"/>
    <x v="2"/>
    <x v="17"/>
    <x v="0"/>
    <x v="21"/>
    <n v="284.54545454545502"/>
    <n v="103859.090909091"/>
    <n v="373892.72727272799"/>
  </r>
  <r>
    <x v="0"/>
    <x v="0"/>
    <x v="0"/>
    <x v="0"/>
    <x v="0"/>
    <s v="DK1_Medium"/>
    <x v="2"/>
    <x v="17"/>
    <x v="0"/>
    <x v="22"/>
    <n v="284.54545454545502"/>
    <n v="103859.090909091"/>
    <n v="373892.72727272799"/>
  </r>
  <r>
    <x v="0"/>
    <x v="0"/>
    <x v="0"/>
    <x v="0"/>
    <x v="0"/>
    <s v="DK1_Medium"/>
    <x v="2"/>
    <x v="17"/>
    <x v="0"/>
    <x v="23"/>
    <n v="284.54545454545502"/>
    <n v="103859.090909091"/>
    <n v="373892.72727272799"/>
  </r>
  <r>
    <x v="0"/>
    <x v="0"/>
    <x v="0"/>
    <x v="0"/>
    <x v="0"/>
    <s v="DK1_Medium"/>
    <x v="3"/>
    <x v="50"/>
    <x v="0"/>
    <x v="7"/>
    <n v="134.61102687322"/>
    <n v="49133.024808725502"/>
    <n v="176878.889311412"/>
  </r>
  <r>
    <x v="0"/>
    <x v="0"/>
    <x v="0"/>
    <x v="0"/>
    <x v="0"/>
    <s v="DK1_Medium"/>
    <x v="3"/>
    <x v="50"/>
    <x v="0"/>
    <x v="8"/>
    <n v="19.575900698623201"/>
    <n v="7145.2037549974602"/>
    <n v="25722.7335179908"/>
  </r>
  <r>
    <x v="0"/>
    <x v="0"/>
    <x v="0"/>
    <x v="0"/>
    <x v="0"/>
    <s v="DK1_Medium"/>
    <x v="6"/>
    <x v="51"/>
    <x v="0"/>
    <x v="0"/>
    <n v="192.59259259259301"/>
    <n v="70296.296296296496"/>
    <n v="253066.666666668"/>
  </r>
  <r>
    <x v="0"/>
    <x v="0"/>
    <x v="0"/>
    <x v="0"/>
    <x v="0"/>
    <s v="DK1_Medium"/>
    <x v="6"/>
    <x v="51"/>
    <x v="0"/>
    <x v="1"/>
    <n v="192.59259259259301"/>
    <n v="70296.296296296496"/>
    <n v="253066.666666668"/>
  </r>
  <r>
    <x v="0"/>
    <x v="0"/>
    <x v="0"/>
    <x v="0"/>
    <x v="0"/>
    <s v="DK1_Medium"/>
    <x v="6"/>
    <x v="51"/>
    <x v="0"/>
    <x v="2"/>
    <n v="192.59259259259301"/>
    <n v="70296.296296296496"/>
    <n v="253066.666666668"/>
  </r>
  <r>
    <x v="0"/>
    <x v="0"/>
    <x v="0"/>
    <x v="0"/>
    <x v="0"/>
    <s v="DK1_Medium"/>
    <x v="6"/>
    <x v="51"/>
    <x v="0"/>
    <x v="3"/>
    <n v="192.59259259259301"/>
    <n v="70296.296296296496"/>
    <n v="253066.666666668"/>
  </r>
  <r>
    <x v="0"/>
    <x v="0"/>
    <x v="0"/>
    <x v="0"/>
    <x v="0"/>
    <s v="DK1_Medium"/>
    <x v="6"/>
    <x v="51"/>
    <x v="0"/>
    <x v="4"/>
    <n v="192.59259259259301"/>
    <n v="70296.296296296496"/>
    <n v="253066.666666668"/>
  </r>
  <r>
    <x v="0"/>
    <x v="0"/>
    <x v="0"/>
    <x v="0"/>
    <x v="0"/>
    <s v="DK1_Medium"/>
    <x v="6"/>
    <x v="51"/>
    <x v="0"/>
    <x v="5"/>
    <n v="192.59259259259301"/>
    <n v="70296.296296296496"/>
    <n v="253066.666666668"/>
  </r>
  <r>
    <x v="0"/>
    <x v="0"/>
    <x v="0"/>
    <x v="0"/>
    <x v="0"/>
    <s v="DK1_Medium"/>
    <x v="6"/>
    <x v="51"/>
    <x v="0"/>
    <x v="6"/>
    <n v="192.59259259259301"/>
    <n v="70296.296296296496"/>
    <n v="253066.666666668"/>
  </r>
  <r>
    <x v="0"/>
    <x v="0"/>
    <x v="0"/>
    <x v="0"/>
    <x v="0"/>
    <s v="DK1_Medium"/>
    <x v="6"/>
    <x v="51"/>
    <x v="0"/>
    <x v="7"/>
    <n v="192.59259259259301"/>
    <n v="70296.296296296496"/>
    <n v="253066.666666668"/>
  </r>
  <r>
    <x v="0"/>
    <x v="0"/>
    <x v="0"/>
    <x v="0"/>
    <x v="0"/>
    <s v="DK1_Medium"/>
    <x v="6"/>
    <x v="51"/>
    <x v="0"/>
    <x v="8"/>
    <n v="192.59259259259301"/>
    <n v="70296.296296296496"/>
    <n v="253066.666666668"/>
  </r>
  <r>
    <x v="0"/>
    <x v="0"/>
    <x v="0"/>
    <x v="0"/>
    <x v="0"/>
    <s v="DK1_Medium"/>
    <x v="6"/>
    <x v="51"/>
    <x v="0"/>
    <x v="9"/>
    <n v="192.59259259259301"/>
    <n v="70296.296296296496"/>
    <n v="253066.666666668"/>
  </r>
  <r>
    <x v="0"/>
    <x v="0"/>
    <x v="0"/>
    <x v="0"/>
    <x v="0"/>
    <s v="DK1_Medium"/>
    <x v="6"/>
    <x v="51"/>
    <x v="0"/>
    <x v="10"/>
    <n v="192.59259259259301"/>
    <n v="70296.296296296496"/>
    <n v="253066.666666668"/>
  </r>
  <r>
    <x v="0"/>
    <x v="0"/>
    <x v="0"/>
    <x v="0"/>
    <x v="0"/>
    <s v="DK1_Medium"/>
    <x v="6"/>
    <x v="51"/>
    <x v="0"/>
    <x v="11"/>
    <n v="192.59259259259301"/>
    <n v="70296.296296296496"/>
    <n v="253066.666666668"/>
  </r>
  <r>
    <x v="0"/>
    <x v="0"/>
    <x v="0"/>
    <x v="0"/>
    <x v="0"/>
    <s v="DK1_Medium"/>
    <x v="6"/>
    <x v="51"/>
    <x v="0"/>
    <x v="12"/>
    <n v="192.59259259259301"/>
    <n v="70296.296296296496"/>
    <n v="253066.666666668"/>
  </r>
  <r>
    <x v="0"/>
    <x v="0"/>
    <x v="0"/>
    <x v="0"/>
    <x v="0"/>
    <s v="DK1_Medium"/>
    <x v="6"/>
    <x v="51"/>
    <x v="0"/>
    <x v="13"/>
    <n v="192.59259259259301"/>
    <n v="70296.296296296496"/>
    <n v="253066.666666668"/>
  </r>
  <r>
    <x v="0"/>
    <x v="0"/>
    <x v="0"/>
    <x v="0"/>
    <x v="0"/>
    <s v="DK1_Medium"/>
    <x v="6"/>
    <x v="51"/>
    <x v="0"/>
    <x v="14"/>
    <n v="192.59259259259301"/>
    <n v="70296.296296296496"/>
    <n v="253066.666666668"/>
  </r>
  <r>
    <x v="0"/>
    <x v="0"/>
    <x v="0"/>
    <x v="0"/>
    <x v="0"/>
    <s v="DK1_Medium"/>
    <x v="6"/>
    <x v="51"/>
    <x v="0"/>
    <x v="15"/>
    <n v="192.59259259259301"/>
    <n v="70296.296296296496"/>
    <n v="253066.666666668"/>
  </r>
  <r>
    <x v="0"/>
    <x v="0"/>
    <x v="0"/>
    <x v="0"/>
    <x v="0"/>
    <s v="DK1_Medium"/>
    <x v="6"/>
    <x v="51"/>
    <x v="0"/>
    <x v="16"/>
    <n v="192.59259259259301"/>
    <n v="70296.296296296496"/>
    <n v="253066.666666668"/>
  </r>
  <r>
    <x v="0"/>
    <x v="0"/>
    <x v="0"/>
    <x v="0"/>
    <x v="0"/>
    <s v="DK1_Medium"/>
    <x v="6"/>
    <x v="51"/>
    <x v="0"/>
    <x v="17"/>
    <n v="192.59259259259301"/>
    <n v="70296.296296296496"/>
    <n v="253066.666666668"/>
  </r>
  <r>
    <x v="0"/>
    <x v="0"/>
    <x v="0"/>
    <x v="0"/>
    <x v="0"/>
    <s v="DK1_Medium"/>
    <x v="6"/>
    <x v="51"/>
    <x v="0"/>
    <x v="18"/>
    <n v="192.59259259259301"/>
    <n v="70296.296296296496"/>
    <n v="253066.666666668"/>
  </r>
  <r>
    <x v="0"/>
    <x v="0"/>
    <x v="0"/>
    <x v="0"/>
    <x v="0"/>
    <s v="DK1_Medium"/>
    <x v="6"/>
    <x v="51"/>
    <x v="0"/>
    <x v="19"/>
    <n v="192.59259259259301"/>
    <n v="70296.296296296496"/>
    <n v="253066.666666668"/>
  </r>
  <r>
    <x v="0"/>
    <x v="0"/>
    <x v="0"/>
    <x v="0"/>
    <x v="0"/>
    <s v="DK1_Medium"/>
    <x v="6"/>
    <x v="51"/>
    <x v="0"/>
    <x v="20"/>
    <n v="192.59259259259301"/>
    <n v="70296.296296296496"/>
    <n v="253066.666666668"/>
  </r>
  <r>
    <x v="0"/>
    <x v="0"/>
    <x v="0"/>
    <x v="0"/>
    <x v="0"/>
    <s v="DK1_Medium"/>
    <x v="6"/>
    <x v="51"/>
    <x v="0"/>
    <x v="21"/>
    <n v="192.59259259259301"/>
    <n v="70296.296296296496"/>
    <n v="253066.666666668"/>
  </r>
  <r>
    <x v="0"/>
    <x v="0"/>
    <x v="0"/>
    <x v="0"/>
    <x v="0"/>
    <s v="DK1_Medium"/>
    <x v="6"/>
    <x v="51"/>
    <x v="0"/>
    <x v="22"/>
    <n v="192.59259259259301"/>
    <n v="70296.296296296496"/>
    <n v="253066.666666668"/>
  </r>
  <r>
    <x v="0"/>
    <x v="0"/>
    <x v="0"/>
    <x v="0"/>
    <x v="0"/>
    <s v="DK1_Medium"/>
    <x v="6"/>
    <x v="51"/>
    <x v="0"/>
    <x v="23"/>
    <n v="192.59259259259301"/>
    <n v="70296.296296296496"/>
    <n v="253066.666666668"/>
  </r>
  <r>
    <x v="0"/>
    <x v="0"/>
    <x v="0"/>
    <x v="0"/>
    <x v="0"/>
    <s v="DK1_Medium"/>
    <x v="6"/>
    <x v="52"/>
    <x v="0"/>
    <x v="0"/>
    <n v="301.33333333333297"/>
    <n v="109986.66666666701"/>
    <n v="395952"/>
  </r>
  <r>
    <x v="0"/>
    <x v="0"/>
    <x v="0"/>
    <x v="0"/>
    <x v="0"/>
    <s v="DK1_Medium"/>
    <x v="6"/>
    <x v="52"/>
    <x v="0"/>
    <x v="1"/>
    <n v="301.33333333333297"/>
    <n v="109986.66666666701"/>
    <n v="395952"/>
  </r>
  <r>
    <x v="0"/>
    <x v="0"/>
    <x v="0"/>
    <x v="0"/>
    <x v="0"/>
    <s v="DK1_Medium"/>
    <x v="6"/>
    <x v="52"/>
    <x v="0"/>
    <x v="2"/>
    <n v="301.33333333333297"/>
    <n v="109986.66666666701"/>
    <n v="395952"/>
  </r>
  <r>
    <x v="0"/>
    <x v="0"/>
    <x v="0"/>
    <x v="0"/>
    <x v="0"/>
    <s v="DK1_Medium"/>
    <x v="6"/>
    <x v="52"/>
    <x v="0"/>
    <x v="3"/>
    <n v="301.33333333333297"/>
    <n v="109986.66666666701"/>
    <n v="395952"/>
  </r>
  <r>
    <x v="0"/>
    <x v="0"/>
    <x v="0"/>
    <x v="0"/>
    <x v="0"/>
    <s v="DK1_Medium"/>
    <x v="6"/>
    <x v="52"/>
    <x v="0"/>
    <x v="4"/>
    <n v="301.33333333333297"/>
    <n v="109986.66666666701"/>
    <n v="395952"/>
  </r>
  <r>
    <x v="0"/>
    <x v="0"/>
    <x v="0"/>
    <x v="0"/>
    <x v="0"/>
    <s v="DK1_Medium"/>
    <x v="6"/>
    <x v="52"/>
    <x v="0"/>
    <x v="5"/>
    <n v="301.33333333333297"/>
    <n v="109986.66666666701"/>
    <n v="395952"/>
  </r>
  <r>
    <x v="0"/>
    <x v="0"/>
    <x v="0"/>
    <x v="0"/>
    <x v="0"/>
    <s v="DK1_Medium"/>
    <x v="6"/>
    <x v="52"/>
    <x v="0"/>
    <x v="6"/>
    <n v="301.33333333333297"/>
    <n v="109986.66666666701"/>
    <n v="395952"/>
  </r>
  <r>
    <x v="0"/>
    <x v="0"/>
    <x v="0"/>
    <x v="0"/>
    <x v="0"/>
    <s v="DK1_Medium"/>
    <x v="6"/>
    <x v="52"/>
    <x v="0"/>
    <x v="7"/>
    <n v="301.33333333333297"/>
    <n v="109986.66666666701"/>
    <n v="395952"/>
  </r>
  <r>
    <x v="0"/>
    <x v="0"/>
    <x v="0"/>
    <x v="0"/>
    <x v="0"/>
    <s v="DK1_Medium"/>
    <x v="6"/>
    <x v="52"/>
    <x v="0"/>
    <x v="8"/>
    <n v="301.33333333333297"/>
    <n v="109986.66666666701"/>
    <n v="395952"/>
  </r>
  <r>
    <x v="0"/>
    <x v="0"/>
    <x v="0"/>
    <x v="0"/>
    <x v="0"/>
    <s v="DK1_Medium"/>
    <x v="6"/>
    <x v="52"/>
    <x v="0"/>
    <x v="9"/>
    <n v="301.33333333333297"/>
    <n v="109986.66666666701"/>
    <n v="395952"/>
  </r>
  <r>
    <x v="0"/>
    <x v="0"/>
    <x v="0"/>
    <x v="0"/>
    <x v="0"/>
    <s v="DK1_Medium"/>
    <x v="6"/>
    <x v="52"/>
    <x v="0"/>
    <x v="10"/>
    <n v="301.33333333333297"/>
    <n v="109986.66666666701"/>
    <n v="395952"/>
  </r>
  <r>
    <x v="0"/>
    <x v="0"/>
    <x v="0"/>
    <x v="0"/>
    <x v="0"/>
    <s v="DK1_Medium"/>
    <x v="6"/>
    <x v="52"/>
    <x v="0"/>
    <x v="11"/>
    <n v="301.33333333333297"/>
    <n v="109986.66666666701"/>
    <n v="395952"/>
  </r>
  <r>
    <x v="0"/>
    <x v="0"/>
    <x v="0"/>
    <x v="0"/>
    <x v="0"/>
    <s v="DK1_Medium"/>
    <x v="6"/>
    <x v="52"/>
    <x v="0"/>
    <x v="12"/>
    <n v="301.33333333333297"/>
    <n v="109986.66666666701"/>
    <n v="395952"/>
  </r>
  <r>
    <x v="0"/>
    <x v="0"/>
    <x v="0"/>
    <x v="0"/>
    <x v="0"/>
    <s v="DK1_Medium"/>
    <x v="6"/>
    <x v="52"/>
    <x v="0"/>
    <x v="13"/>
    <n v="301.33333333333297"/>
    <n v="109986.66666666701"/>
    <n v="395952"/>
  </r>
  <r>
    <x v="0"/>
    <x v="0"/>
    <x v="0"/>
    <x v="0"/>
    <x v="0"/>
    <s v="DK1_Medium"/>
    <x v="6"/>
    <x v="52"/>
    <x v="0"/>
    <x v="14"/>
    <n v="301.33333333333297"/>
    <n v="109986.66666666701"/>
    <n v="395952"/>
  </r>
  <r>
    <x v="0"/>
    <x v="0"/>
    <x v="0"/>
    <x v="0"/>
    <x v="0"/>
    <s v="DK1_Medium"/>
    <x v="6"/>
    <x v="52"/>
    <x v="0"/>
    <x v="15"/>
    <n v="301.33333333333297"/>
    <n v="109986.66666666701"/>
    <n v="395952"/>
  </r>
  <r>
    <x v="0"/>
    <x v="0"/>
    <x v="0"/>
    <x v="0"/>
    <x v="0"/>
    <s v="DK1_Medium"/>
    <x v="6"/>
    <x v="52"/>
    <x v="0"/>
    <x v="16"/>
    <n v="301.33333333333297"/>
    <n v="109986.66666666701"/>
    <n v="395952"/>
  </r>
  <r>
    <x v="0"/>
    <x v="0"/>
    <x v="0"/>
    <x v="0"/>
    <x v="0"/>
    <s v="DK1_Medium"/>
    <x v="6"/>
    <x v="52"/>
    <x v="0"/>
    <x v="17"/>
    <n v="301.33333333333297"/>
    <n v="109986.66666666701"/>
    <n v="395952"/>
  </r>
  <r>
    <x v="0"/>
    <x v="0"/>
    <x v="0"/>
    <x v="0"/>
    <x v="0"/>
    <s v="DK1_Medium"/>
    <x v="6"/>
    <x v="52"/>
    <x v="0"/>
    <x v="18"/>
    <n v="301.33333333333297"/>
    <n v="109986.66666666701"/>
    <n v="395952"/>
  </r>
  <r>
    <x v="0"/>
    <x v="0"/>
    <x v="0"/>
    <x v="0"/>
    <x v="0"/>
    <s v="DK1_Medium"/>
    <x v="6"/>
    <x v="52"/>
    <x v="0"/>
    <x v="19"/>
    <n v="301.33333333333297"/>
    <n v="109986.66666666701"/>
    <n v="395952"/>
  </r>
  <r>
    <x v="0"/>
    <x v="0"/>
    <x v="0"/>
    <x v="0"/>
    <x v="0"/>
    <s v="DK1_Medium"/>
    <x v="6"/>
    <x v="52"/>
    <x v="0"/>
    <x v="20"/>
    <n v="301.33333333333297"/>
    <n v="109986.66666666701"/>
    <n v="395952"/>
  </r>
  <r>
    <x v="0"/>
    <x v="0"/>
    <x v="0"/>
    <x v="0"/>
    <x v="0"/>
    <s v="DK1_Medium"/>
    <x v="6"/>
    <x v="52"/>
    <x v="0"/>
    <x v="21"/>
    <n v="301.33333333333297"/>
    <n v="109986.66666666701"/>
    <n v="395952"/>
  </r>
  <r>
    <x v="0"/>
    <x v="0"/>
    <x v="0"/>
    <x v="0"/>
    <x v="0"/>
    <s v="DK1_Medium"/>
    <x v="6"/>
    <x v="52"/>
    <x v="0"/>
    <x v="22"/>
    <n v="301.33333333333297"/>
    <n v="109986.66666666701"/>
    <n v="395952"/>
  </r>
  <r>
    <x v="0"/>
    <x v="0"/>
    <x v="0"/>
    <x v="0"/>
    <x v="0"/>
    <s v="DK1_Medium"/>
    <x v="6"/>
    <x v="52"/>
    <x v="0"/>
    <x v="23"/>
    <n v="301.33333333333297"/>
    <n v="109986.66666666701"/>
    <n v="395952"/>
  </r>
  <r>
    <x v="0"/>
    <x v="0"/>
    <x v="0"/>
    <x v="0"/>
    <x v="0"/>
    <s v="DK1_NoDH"/>
    <x v="0"/>
    <x v="53"/>
    <x v="0"/>
    <x v="0"/>
    <n v="1.43333333333333"/>
    <n v="523.16666666666697"/>
    <n v="1883.4"/>
  </r>
  <r>
    <x v="0"/>
    <x v="0"/>
    <x v="0"/>
    <x v="0"/>
    <x v="0"/>
    <s v="DK1_NoDH"/>
    <x v="0"/>
    <x v="53"/>
    <x v="0"/>
    <x v="1"/>
    <n v="1.43333333333333"/>
    <n v="523.16666666666697"/>
    <n v="1883.4"/>
  </r>
  <r>
    <x v="0"/>
    <x v="0"/>
    <x v="0"/>
    <x v="0"/>
    <x v="0"/>
    <s v="DK1_NoDH"/>
    <x v="0"/>
    <x v="53"/>
    <x v="0"/>
    <x v="2"/>
    <n v="1.43333333333333"/>
    <n v="523.16666666666697"/>
    <n v="1883.4"/>
  </r>
  <r>
    <x v="0"/>
    <x v="0"/>
    <x v="0"/>
    <x v="0"/>
    <x v="0"/>
    <s v="DK1_NoDH"/>
    <x v="0"/>
    <x v="53"/>
    <x v="0"/>
    <x v="3"/>
    <n v="1.43333333333333"/>
    <n v="523.16666666666697"/>
    <n v="1883.4"/>
  </r>
  <r>
    <x v="0"/>
    <x v="0"/>
    <x v="0"/>
    <x v="0"/>
    <x v="0"/>
    <s v="DK1_NoDH"/>
    <x v="0"/>
    <x v="53"/>
    <x v="0"/>
    <x v="4"/>
    <n v="1.43333333333333"/>
    <n v="523.16666666666697"/>
    <n v="1883.4"/>
  </r>
  <r>
    <x v="0"/>
    <x v="0"/>
    <x v="0"/>
    <x v="0"/>
    <x v="0"/>
    <s v="DK1_NoDH"/>
    <x v="0"/>
    <x v="53"/>
    <x v="0"/>
    <x v="5"/>
    <n v="1.43333333333333"/>
    <n v="523.16666666666697"/>
    <n v="1883.4"/>
  </r>
  <r>
    <x v="0"/>
    <x v="0"/>
    <x v="0"/>
    <x v="0"/>
    <x v="0"/>
    <s v="DK1_NoDH"/>
    <x v="0"/>
    <x v="53"/>
    <x v="0"/>
    <x v="6"/>
    <n v="1.43333333333333"/>
    <n v="523.16666666666697"/>
    <n v="1883.4"/>
  </r>
  <r>
    <x v="0"/>
    <x v="0"/>
    <x v="0"/>
    <x v="0"/>
    <x v="0"/>
    <s v="DK1_NoDH"/>
    <x v="0"/>
    <x v="53"/>
    <x v="0"/>
    <x v="7"/>
    <n v="1.43333333333333"/>
    <n v="523.16666666666697"/>
    <n v="1883.4"/>
  </r>
  <r>
    <x v="0"/>
    <x v="0"/>
    <x v="0"/>
    <x v="0"/>
    <x v="0"/>
    <s v="DK1_NoDH"/>
    <x v="0"/>
    <x v="53"/>
    <x v="0"/>
    <x v="8"/>
    <n v="1.43333333333333"/>
    <n v="523.16666666666697"/>
    <n v="1883.4"/>
  </r>
  <r>
    <x v="0"/>
    <x v="0"/>
    <x v="0"/>
    <x v="0"/>
    <x v="0"/>
    <s v="DK1_NoDH"/>
    <x v="0"/>
    <x v="53"/>
    <x v="0"/>
    <x v="9"/>
    <n v="1.43333333333333"/>
    <n v="523.16666666666697"/>
    <n v="1883.4"/>
  </r>
  <r>
    <x v="0"/>
    <x v="0"/>
    <x v="0"/>
    <x v="0"/>
    <x v="0"/>
    <s v="DK1_NoDH"/>
    <x v="0"/>
    <x v="53"/>
    <x v="0"/>
    <x v="10"/>
    <n v="1.43333333333333"/>
    <n v="523.16666666666697"/>
    <n v="1883.4"/>
  </r>
  <r>
    <x v="0"/>
    <x v="0"/>
    <x v="0"/>
    <x v="0"/>
    <x v="0"/>
    <s v="DK1_NoDH"/>
    <x v="0"/>
    <x v="53"/>
    <x v="0"/>
    <x v="11"/>
    <n v="1.43333333333333"/>
    <n v="523.16666666666697"/>
    <n v="1883.4"/>
  </r>
  <r>
    <x v="0"/>
    <x v="0"/>
    <x v="0"/>
    <x v="0"/>
    <x v="0"/>
    <s v="DK1_NoDH"/>
    <x v="0"/>
    <x v="53"/>
    <x v="0"/>
    <x v="12"/>
    <n v="1.43333333333333"/>
    <n v="523.16666666666697"/>
    <n v="1883.4"/>
  </r>
  <r>
    <x v="0"/>
    <x v="0"/>
    <x v="0"/>
    <x v="0"/>
    <x v="0"/>
    <s v="DK1_NoDH"/>
    <x v="0"/>
    <x v="53"/>
    <x v="0"/>
    <x v="13"/>
    <n v="1.43333333333333"/>
    <n v="523.16666666666697"/>
    <n v="1883.4"/>
  </r>
  <r>
    <x v="0"/>
    <x v="0"/>
    <x v="0"/>
    <x v="0"/>
    <x v="0"/>
    <s v="DK1_NoDH"/>
    <x v="0"/>
    <x v="53"/>
    <x v="0"/>
    <x v="14"/>
    <n v="1.43333333333333"/>
    <n v="523.16666666666697"/>
    <n v="1883.4"/>
  </r>
  <r>
    <x v="0"/>
    <x v="0"/>
    <x v="0"/>
    <x v="0"/>
    <x v="0"/>
    <s v="DK1_NoDH"/>
    <x v="0"/>
    <x v="53"/>
    <x v="0"/>
    <x v="15"/>
    <n v="1.43333333333333"/>
    <n v="523.16666666666697"/>
    <n v="1883.4"/>
  </r>
  <r>
    <x v="0"/>
    <x v="0"/>
    <x v="0"/>
    <x v="0"/>
    <x v="0"/>
    <s v="DK1_NoDH"/>
    <x v="0"/>
    <x v="53"/>
    <x v="0"/>
    <x v="16"/>
    <n v="1.43333333333333"/>
    <n v="523.16666666666697"/>
    <n v="1883.4"/>
  </r>
  <r>
    <x v="0"/>
    <x v="0"/>
    <x v="0"/>
    <x v="0"/>
    <x v="0"/>
    <s v="DK1_NoDH"/>
    <x v="0"/>
    <x v="53"/>
    <x v="0"/>
    <x v="17"/>
    <n v="1.43333333333333"/>
    <n v="523.16666666666697"/>
    <n v="1883.4"/>
  </r>
  <r>
    <x v="0"/>
    <x v="0"/>
    <x v="0"/>
    <x v="0"/>
    <x v="0"/>
    <s v="DK1_NoDH"/>
    <x v="0"/>
    <x v="53"/>
    <x v="0"/>
    <x v="18"/>
    <n v="1.43333333333333"/>
    <n v="523.16666666666697"/>
    <n v="1883.4"/>
  </r>
  <r>
    <x v="0"/>
    <x v="0"/>
    <x v="0"/>
    <x v="0"/>
    <x v="0"/>
    <s v="DK1_NoDH"/>
    <x v="0"/>
    <x v="53"/>
    <x v="0"/>
    <x v="19"/>
    <n v="1.43333333333333"/>
    <n v="523.16666666666697"/>
    <n v="1883.4"/>
  </r>
  <r>
    <x v="0"/>
    <x v="0"/>
    <x v="0"/>
    <x v="0"/>
    <x v="0"/>
    <s v="DK1_NoDH"/>
    <x v="0"/>
    <x v="53"/>
    <x v="0"/>
    <x v="20"/>
    <n v="1.43333333333333"/>
    <n v="523.16666666666697"/>
    <n v="1883.4"/>
  </r>
  <r>
    <x v="0"/>
    <x v="0"/>
    <x v="0"/>
    <x v="0"/>
    <x v="0"/>
    <s v="DK1_NoDH"/>
    <x v="0"/>
    <x v="53"/>
    <x v="0"/>
    <x v="21"/>
    <n v="1.43333333333333"/>
    <n v="523.16666666666697"/>
    <n v="1883.4"/>
  </r>
  <r>
    <x v="0"/>
    <x v="0"/>
    <x v="0"/>
    <x v="0"/>
    <x v="0"/>
    <s v="DK1_NoDH"/>
    <x v="0"/>
    <x v="53"/>
    <x v="0"/>
    <x v="22"/>
    <n v="1.43333333333333"/>
    <n v="523.16666666666697"/>
    <n v="1883.4"/>
  </r>
  <r>
    <x v="0"/>
    <x v="0"/>
    <x v="0"/>
    <x v="0"/>
    <x v="0"/>
    <s v="DK1_NoDH"/>
    <x v="0"/>
    <x v="53"/>
    <x v="0"/>
    <x v="23"/>
    <n v="1.43333333333333"/>
    <n v="523.16666666666697"/>
    <n v="1883.4"/>
  </r>
  <r>
    <x v="0"/>
    <x v="0"/>
    <x v="0"/>
    <x v="0"/>
    <x v="0"/>
    <s v="DK1_NoDH"/>
    <x v="0"/>
    <x v="2"/>
    <x v="0"/>
    <x v="0"/>
    <n v="1.5161290322580601"/>
    <n v="553.38709677419297"/>
    <n v="1992.1935483871"/>
  </r>
  <r>
    <x v="0"/>
    <x v="0"/>
    <x v="0"/>
    <x v="0"/>
    <x v="0"/>
    <s v="DK1_NoDH"/>
    <x v="0"/>
    <x v="2"/>
    <x v="0"/>
    <x v="1"/>
    <n v="1.5161290322580601"/>
    <n v="553.38709677419297"/>
    <n v="1992.1935483871"/>
  </r>
  <r>
    <x v="0"/>
    <x v="0"/>
    <x v="0"/>
    <x v="0"/>
    <x v="0"/>
    <s v="DK1_NoDH"/>
    <x v="0"/>
    <x v="2"/>
    <x v="0"/>
    <x v="2"/>
    <n v="1.5161290322580601"/>
    <n v="553.38709677419297"/>
    <n v="1992.1935483871"/>
  </r>
  <r>
    <x v="0"/>
    <x v="0"/>
    <x v="0"/>
    <x v="0"/>
    <x v="0"/>
    <s v="DK1_NoDH"/>
    <x v="0"/>
    <x v="2"/>
    <x v="0"/>
    <x v="3"/>
    <n v="1.5161290322580601"/>
    <n v="553.38709677419297"/>
    <n v="1992.1935483871"/>
  </r>
  <r>
    <x v="0"/>
    <x v="0"/>
    <x v="0"/>
    <x v="0"/>
    <x v="0"/>
    <s v="DK1_NoDH"/>
    <x v="0"/>
    <x v="2"/>
    <x v="0"/>
    <x v="4"/>
    <n v="1.5161290322580601"/>
    <n v="553.38709677419297"/>
    <n v="1992.1935483871"/>
  </r>
  <r>
    <x v="0"/>
    <x v="0"/>
    <x v="0"/>
    <x v="0"/>
    <x v="0"/>
    <s v="DK1_NoDH"/>
    <x v="0"/>
    <x v="2"/>
    <x v="0"/>
    <x v="5"/>
    <n v="1.5161290322580601"/>
    <n v="553.38709677419297"/>
    <n v="1992.1935483871"/>
  </r>
  <r>
    <x v="0"/>
    <x v="0"/>
    <x v="0"/>
    <x v="0"/>
    <x v="0"/>
    <s v="DK1_NoDH"/>
    <x v="0"/>
    <x v="2"/>
    <x v="0"/>
    <x v="6"/>
    <n v="1.5161290322580601"/>
    <n v="553.38709677419297"/>
    <n v="1992.1935483871"/>
  </r>
  <r>
    <x v="0"/>
    <x v="0"/>
    <x v="0"/>
    <x v="0"/>
    <x v="0"/>
    <s v="DK1_NoDH"/>
    <x v="0"/>
    <x v="2"/>
    <x v="0"/>
    <x v="7"/>
    <n v="1.5161290322580601"/>
    <n v="553.38709677419297"/>
    <n v="1992.1935483871"/>
  </r>
  <r>
    <x v="0"/>
    <x v="0"/>
    <x v="0"/>
    <x v="0"/>
    <x v="0"/>
    <s v="DK1_NoDH"/>
    <x v="0"/>
    <x v="2"/>
    <x v="0"/>
    <x v="8"/>
    <n v="1.5161290322580601"/>
    <n v="553.38709677419297"/>
    <n v="1992.1935483871"/>
  </r>
  <r>
    <x v="0"/>
    <x v="0"/>
    <x v="0"/>
    <x v="0"/>
    <x v="0"/>
    <s v="DK1_NoDH"/>
    <x v="0"/>
    <x v="2"/>
    <x v="0"/>
    <x v="9"/>
    <n v="1.5161290322580601"/>
    <n v="553.38709677419297"/>
    <n v="1992.1935483871"/>
  </r>
  <r>
    <x v="0"/>
    <x v="0"/>
    <x v="0"/>
    <x v="0"/>
    <x v="0"/>
    <s v="DK1_NoDH"/>
    <x v="0"/>
    <x v="2"/>
    <x v="0"/>
    <x v="10"/>
    <n v="1.5161290322580601"/>
    <n v="553.38709677419297"/>
    <n v="1992.1935483871"/>
  </r>
  <r>
    <x v="0"/>
    <x v="0"/>
    <x v="0"/>
    <x v="0"/>
    <x v="0"/>
    <s v="DK1_NoDH"/>
    <x v="0"/>
    <x v="2"/>
    <x v="0"/>
    <x v="11"/>
    <n v="1.5161290322580601"/>
    <n v="553.38709677419297"/>
    <n v="1992.1935483871"/>
  </r>
  <r>
    <x v="0"/>
    <x v="0"/>
    <x v="0"/>
    <x v="0"/>
    <x v="0"/>
    <s v="DK1_NoDH"/>
    <x v="0"/>
    <x v="2"/>
    <x v="0"/>
    <x v="12"/>
    <n v="1.5161290322580601"/>
    <n v="553.38709677419297"/>
    <n v="1992.1935483871"/>
  </r>
  <r>
    <x v="0"/>
    <x v="0"/>
    <x v="0"/>
    <x v="0"/>
    <x v="0"/>
    <s v="DK1_NoDH"/>
    <x v="0"/>
    <x v="2"/>
    <x v="0"/>
    <x v="13"/>
    <n v="1.5161290322580601"/>
    <n v="553.38709677419297"/>
    <n v="1992.1935483871"/>
  </r>
  <r>
    <x v="0"/>
    <x v="0"/>
    <x v="0"/>
    <x v="0"/>
    <x v="0"/>
    <s v="DK1_NoDH"/>
    <x v="0"/>
    <x v="2"/>
    <x v="0"/>
    <x v="14"/>
    <n v="1.5161290322580601"/>
    <n v="553.38709677419297"/>
    <n v="1992.1935483871"/>
  </r>
  <r>
    <x v="0"/>
    <x v="0"/>
    <x v="0"/>
    <x v="0"/>
    <x v="0"/>
    <s v="DK1_NoDH"/>
    <x v="0"/>
    <x v="2"/>
    <x v="0"/>
    <x v="15"/>
    <n v="1.5161290322580601"/>
    <n v="553.38709677419297"/>
    <n v="1992.1935483871"/>
  </r>
  <r>
    <x v="0"/>
    <x v="0"/>
    <x v="0"/>
    <x v="0"/>
    <x v="0"/>
    <s v="DK1_NoDH"/>
    <x v="0"/>
    <x v="2"/>
    <x v="0"/>
    <x v="16"/>
    <n v="1.5161290322580601"/>
    <n v="553.38709677419297"/>
    <n v="1992.1935483871"/>
  </r>
  <r>
    <x v="0"/>
    <x v="0"/>
    <x v="0"/>
    <x v="0"/>
    <x v="0"/>
    <s v="DK1_NoDH"/>
    <x v="0"/>
    <x v="2"/>
    <x v="0"/>
    <x v="17"/>
    <n v="1.5161290322580601"/>
    <n v="553.38709677419297"/>
    <n v="1992.1935483871"/>
  </r>
  <r>
    <x v="0"/>
    <x v="0"/>
    <x v="0"/>
    <x v="0"/>
    <x v="0"/>
    <s v="DK1_NoDH"/>
    <x v="0"/>
    <x v="2"/>
    <x v="0"/>
    <x v="18"/>
    <n v="1.5161290322580601"/>
    <n v="553.38709677419297"/>
    <n v="1992.1935483871"/>
  </r>
  <r>
    <x v="0"/>
    <x v="0"/>
    <x v="0"/>
    <x v="0"/>
    <x v="0"/>
    <s v="DK1_NoDH"/>
    <x v="0"/>
    <x v="2"/>
    <x v="0"/>
    <x v="19"/>
    <n v="1.5161290322580601"/>
    <n v="553.38709677419297"/>
    <n v="1992.1935483871"/>
  </r>
  <r>
    <x v="0"/>
    <x v="0"/>
    <x v="0"/>
    <x v="0"/>
    <x v="0"/>
    <s v="DK1_NoDH"/>
    <x v="0"/>
    <x v="2"/>
    <x v="0"/>
    <x v="20"/>
    <n v="1.5161290322580601"/>
    <n v="553.38709677419297"/>
    <n v="1992.1935483871"/>
  </r>
  <r>
    <x v="0"/>
    <x v="0"/>
    <x v="0"/>
    <x v="0"/>
    <x v="0"/>
    <s v="DK1_NoDH"/>
    <x v="0"/>
    <x v="2"/>
    <x v="0"/>
    <x v="21"/>
    <n v="1.5161290322580601"/>
    <n v="553.38709677419297"/>
    <n v="1992.1935483871"/>
  </r>
  <r>
    <x v="0"/>
    <x v="0"/>
    <x v="0"/>
    <x v="0"/>
    <x v="0"/>
    <s v="DK1_NoDH"/>
    <x v="0"/>
    <x v="2"/>
    <x v="0"/>
    <x v="22"/>
    <n v="1.5161290322580601"/>
    <n v="553.38709677419297"/>
    <n v="1992.1935483871"/>
  </r>
  <r>
    <x v="0"/>
    <x v="0"/>
    <x v="0"/>
    <x v="0"/>
    <x v="0"/>
    <s v="DK1_NoDH"/>
    <x v="0"/>
    <x v="2"/>
    <x v="0"/>
    <x v="23"/>
    <n v="1.5161290322580601"/>
    <n v="553.38709677419297"/>
    <n v="1992.1935483871"/>
  </r>
  <r>
    <x v="0"/>
    <x v="0"/>
    <x v="0"/>
    <x v="0"/>
    <x v="0"/>
    <s v="DK1_NoDH"/>
    <x v="0"/>
    <x v="47"/>
    <x v="0"/>
    <x v="0"/>
    <n v="3.71875"/>
    <n v="1357.34375"/>
    <n v="4886.4375"/>
  </r>
  <r>
    <x v="0"/>
    <x v="0"/>
    <x v="0"/>
    <x v="0"/>
    <x v="0"/>
    <s v="DK1_NoDH"/>
    <x v="0"/>
    <x v="47"/>
    <x v="0"/>
    <x v="1"/>
    <n v="3.71875"/>
    <n v="1357.34375"/>
    <n v="4886.4375"/>
  </r>
  <r>
    <x v="0"/>
    <x v="0"/>
    <x v="0"/>
    <x v="0"/>
    <x v="0"/>
    <s v="DK1_NoDH"/>
    <x v="0"/>
    <x v="47"/>
    <x v="0"/>
    <x v="2"/>
    <n v="3.71875"/>
    <n v="1357.34375"/>
    <n v="4886.4375"/>
  </r>
  <r>
    <x v="0"/>
    <x v="0"/>
    <x v="0"/>
    <x v="0"/>
    <x v="0"/>
    <s v="DK1_NoDH"/>
    <x v="0"/>
    <x v="47"/>
    <x v="0"/>
    <x v="3"/>
    <n v="3.71875"/>
    <n v="1357.34375"/>
    <n v="4886.4375"/>
  </r>
  <r>
    <x v="0"/>
    <x v="0"/>
    <x v="0"/>
    <x v="0"/>
    <x v="0"/>
    <s v="DK1_NoDH"/>
    <x v="0"/>
    <x v="47"/>
    <x v="0"/>
    <x v="4"/>
    <n v="3.71875"/>
    <n v="1357.34375"/>
    <n v="4886.4375"/>
  </r>
  <r>
    <x v="0"/>
    <x v="0"/>
    <x v="0"/>
    <x v="0"/>
    <x v="0"/>
    <s v="DK1_NoDH"/>
    <x v="0"/>
    <x v="47"/>
    <x v="0"/>
    <x v="5"/>
    <n v="3.71875"/>
    <n v="1357.34375"/>
    <n v="4886.4375"/>
  </r>
  <r>
    <x v="0"/>
    <x v="0"/>
    <x v="0"/>
    <x v="0"/>
    <x v="0"/>
    <s v="DK1_NoDH"/>
    <x v="0"/>
    <x v="47"/>
    <x v="0"/>
    <x v="6"/>
    <n v="3.71875"/>
    <n v="1357.34375"/>
    <n v="4886.4375"/>
  </r>
  <r>
    <x v="0"/>
    <x v="0"/>
    <x v="0"/>
    <x v="0"/>
    <x v="0"/>
    <s v="DK1_NoDH"/>
    <x v="0"/>
    <x v="47"/>
    <x v="0"/>
    <x v="7"/>
    <n v="3.71875"/>
    <n v="1357.34375"/>
    <n v="4886.4375"/>
  </r>
  <r>
    <x v="0"/>
    <x v="0"/>
    <x v="0"/>
    <x v="0"/>
    <x v="0"/>
    <s v="DK1_NoDH"/>
    <x v="0"/>
    <x v="47"/>
    <x v="0"/>
    <x v="8"/>
    <n v="3.71875"/>
    <n v="1357.34375"/>
    <n v="4886.4375"/>
  </r>
  <r>
    <x v="0"/>
    <x v="0"/>
    <x v="0"/>
    <x v="0"/>
    <x v="0"/>
    <s v="DK1_NoDH"/>
    <x v="0"/>
    <x v="47"/>
    <x v="0"/>
    <x v="9"/>
    <n v="3.71875"/>
    <n v="1357.34375"/>
    <n v="4886.4375"/>
  </r>
  <r>
    <x v="0"/>
    <x v="0"/>
    <x v="0"/>
    <x v="0"/>
    <x v="0"/>
    <s v="DK1_NoDH"/>
    <x v="0"/>
    <x v="47"/>
    <x v="0"/>
    <x v="10"/>
    <n v="3.71875"/>
    <n v="1357.34375"/>
    <n v="4886.4375"/>
  </r>
  <r>
    <x v="0"/>
    <x v="0"/>
    <x v="0"/>
    <x v="0"/>
    <x v="0"/>
    <s v="DK1_NoDH"/>
    <x v="0"/>
    <x v="47"/>
    <x v="0"/>
    <x v="11"/>
    <n v="3.71875"/>
    <n v="1357.34375"/>
    <n v="4886.4375"/>
  </r>
  <r>
    <x v="0"/>
    <x v="0"/>
    <x v="0"/>
    <x v="0"/>
    <x v="0"/>
    <s v="DK1_NoDH"/>
    <x v="0"/>
    <x v="47"/>
    <x v="0"/>
    <x v="12"/>
    <n v="3.71875"/>
    <n v="1357.34375"/>
    <n v="4886.4375"/>
  </r>
  <r>
    <x v="0"/>
    <x v="0"/>
    <x v="0"/>
    <x v="0"/>
    <x v="0"/>
    <s v="DK1_NoDH"/>
    <x v="0"/>
    <x v="47"/>
    <x v="0"/>
    <x v="13"/>
    <n v="3.71875"/>
    <n v="1357.34375"/>
    <n v="4886.4375"/>
  </r>
  <r>
    <x v="0"/>
    <x v="0"/>
    <x v="0"/>
    <x v="0"/>
    <x v="0"/>
    <s v="DK1_NoDH"/>
    <x v="0"/>
    <x v="47"/>
    <x v="0"/>
    <x v="14"/>
    <n v="3.71875"/>
    <n v="1357.34375"/>
    <n v="4886.4375"/>
  </r>
  <r>
    <x v="0"/>
    <x v="0"/>
    <x v="0"/>
    <x v="0"/>
    <x v="0"/>
    <s v="DK1_NoDH"/>
    <x v="0"/>
    <x v="47"/>
    <x v="0"/>
    <x v="15"/>
    <n v="3.71875"/>
    <n v="1357.34375"/>
    <n v="4886.4375"/>
  </r>
  <r>
    <x v="0"/>
    <x v="0"/>
    <x v="0"/>
    <x v="0"/>
    <x v="0"/>
    <s v="DK1_NoDH"/>
    <x v="0"/>
    <x v="47"/>
    <x v="0"/>
    <x v="16"/>
    <n v="3.71875"/>
    <n v="1357.34375"/>
    <n v="4886.4375"/>
  </r>
  <r>
    <x v="0"/>
    <x v="0"/>
    <x v="0"/>
    <x v="0"/>
    <x v="0"/>
    <s v="DK1_NoDH"/>
    <x v="0"/>
    <x v="47"/>
    <x v="0"/>
    <x v="17"/>
    <n v="3.71875"/>
    <n v="1357.34375"/>
    <n v="4886.4375"/>
  </r>
  <r>
    <x v="0"/>
    <x v="0"/>
    <x v="0"/>
    <x v="0"/>
    <x v="0"/>
    <s v="DK1_NoDH"/>
    <x v="0"/>
    <x v="47"/>
    <x v="0"/>
    <x v="18"/>
    <n v="3.71875"/>
    <n v="1357.34375"/>
    <n v="4886.4375"/>
  </r>
  <r>
    <x v="0"/>
    <x v="0"/>
    <x v="0"/>
    <x v="0"/>
    <x v="0"/>
    <s v="DK1_NoDH"/>
    <x v="0"/>
    <x v="47"/>
    <x v="0"/>
    <x v="19"/>
    <n v="3.71875"/>
    <n v="1357.34375"/>
    <n v="4886.4375"/>
  </r>
  <r>
    <x v="0"/>
    <x v="0"/>
    <x v="0"/>
    <x v="0"/>
    <x v="0"/>
    <s v="DK1_NoDH"/>
    <x v="0"/>
    <x v="47"/>
    <x v="0"/>
    <x v="20"/>
    <n v="3.71875"/>
    <n v="1357.34375"/>
    <n v="4886.4375"/>
  </r>
  <r>
    <x v="0"/>
    <x v="0"/>
    <x v="0"/>
    <x v="0"/>
    <x v="0"/>
    <s v="DK1_NoDH"/>
    <x v="0"/>
    <x v="47"/>
    <x v="0"/>
    <x v="21"/>
    <n v="3.71875"/>
    <n v="1357.34375"/>
    <n v="4886.4375"/>
  </r>
  <r>
    <x v="0"/>
    <x v="0"/>
    <x v="0"/>
    <x v="0"/>
    <x v="0"/>
    <s v="DK1_NoDH"/>
    <x v="0"/>
    <x v="47"/>
    <x v="0"/>
    <x v="22"/>
    <n v="3.71875"/>
    <n v="1357.34375"/>
    <n v="4886.4375"/>
  </r>
  <r>
    <x v="0"/>
    <x v="0"/>
    <x v="0"/>
    <x v="0"/>
    <x v="0"/>
    <s v="DK1_NoDH"/>
    <x v="0"/>
    <x v="47"/>
    <x v="0"/>
    <x v="23"/>
    <n v="3.71875"/>
    <n v="1357.34375"/>
    <n v="4886.4375"/>
  </r>
  <r>
    <x v="0"/>
    <x v="0"/>
    <x v="0"/>
    <x v="0"/>
    <x v="0"/>
    <s v="DK1_NoDH"/>
    <x v="0"/>
    <x v="36"/>
    <x v="0"/>
    <x v="0"/>
    <n v="2.7878787878787898"/>
    <n v="1017.57575757576"/>
    <n v="3663.2727272727302"/>
  </r>
  <r>
    <x v="0"/>
    <x v="0"/>
    <x v="0"/>
    <x v="0"/>
    <x v="0"/>
    <s v="DK1_NoDH"/>
    <x v="0"/>
    <x v="36"/>
    <x v="0"/>
    <x v="1"/>
    <n v="2.7878787878787898"/>
    <n v="1017.57575757576"/>
    <n v="3663.2727272727302"/>
  </r>
  <r>
    <x v="0"/>
    <x v="0"/>
    <x v="0"/>
    <x v="0"/>
    <x v="0"/>
    <s v="DK1_NoDH"/>
    <x v="0"/>
    <x v="36"/>
    <x v="0"/>
    <x v="2"/>
    <n v="2.7878787878787898"/>
    <n v="1017.57575757576"/>
    <n v="3663.2727272727302"/>
  </r>
  <r>
    <x v="0"/>
    <x v="0"/>
    <x v="0"/>
    <x v="0"/>
    <x v="0"/>
    <s v="DK1_NoDH"/>
    <x v="0"/>
    <x v="36"/>
    <x v="0"/>
    <x v="3"/>
    <n v="2.7878787878787898"/>
    <n v="1017.57575757576"/>
    <n v="3663.2727272727302"/>
  </r>
  <r>
    <x v="0"/>
    <x v="0"/>
    <x v="0"/>
    <x v="0"/>
    <x v="0"/>
    <s v="DK1_NoDH"/>
    <x v="0"/>
    <x v="36"/>
    <x v="0"/>
    <x v="4"/>
    <n v="2.7878787878787898"/>
    <n v="1017.57575757576"/>
    <n v="3663.2727272727302"/>
  </r>
  <r>
    <x v="0"/>
    <x v="0"/>
    <x v="0"/>
    <x v="0"/>
    <x v="0"/>
    <s v="DK1_NoDH"/>
    <x v="0"/>
    <x v="36"/>
    <x v="0"/>
    <x v="5"/>
    <n v="2.7878787878787898"/>
    <n v="1017.57575757576"/>
    <n v="3663.2727272727302"/>
  </r>
  <r>
    <x v="0"/>
    <x v="0"/>
    <x v="0"/>
    <x v="0"/>
    <x v="0"/>
    <s v="DK1_NoDH"/>
    <x v="0"/>
    <x v="36"/>
    <x v="0"/>
    <x v="6"/>
    <n v="2.7878787878787898"/>
    <n v="1017.57575757576"/>
    <n v="3663.2727272727302"/>
  </r>
  <r>
    <x v="0"/>
    <x v="0"/>
    <x v="0"/>
    <x v="0"/>
    <x v="0"/>
    <s v="DK1_NoDH"/>
    <x v="0"/>
    <x v="36"/>
    <x v="0"/>
    <x v="7"/>
    <n v="2.7878787878787898"/>
    <n v="1017.57575757576"/>
    <n v="3663.2727272727302"/>
  </r>
  <r>
    <x v="0"/>
    <x v="0"/>
    <x v="0"/>
    <x v="0"/>
    <x v="0"/>
    <s v="DK1_NoDH"/>
    <x v="0"/>
    <x v="36"/>
    <x v="0"/>
    <x v="8"/>
    <n v="2.7878787878787898"/>
    <n v="1017.57575757576"/>
    <n v="3663.2727272727302"/>
  </r>
  <r>
    <x v="0"/>
    <x v="0"/>
    <x v="0"/>
    <x v="0"/>
    <x v="0"/>
    <s v="DK1_NoDH"/>
    <x v="0"/>
    <x v="36"/>
    <x v="0"/>
    <x v="9"/>
    <n v="2.7878787878787898"/>
    <n v="1017.57575757576"/>
    <n v="3663.2727272727302"/>
  </r>
  <r>
    <x v="0"/>
    <x v="0"/>
    <x v="0"/>
    <x v="0"/>
    <x v="0"/>
    <s v="DK1_NoDH"/>
    <x v="0"/>
    <x v="36"/>
    <x v="0"/>
    <x v="10"/>
    <n v="2.7878787878787898"/>
    <n v="1017.57575757576"/>
    <n v="3663.2727272727302"/>
  </r>
  <r>
    <x v="0"/>
    <x v="0"/>
    <x v="0"/>
    <x v="0"/>
    <x v="0"/>
    <s v="DK1_NoDH"/>
    <x v="0"/>
    <x v="36"/>
    <x v="0"/>
    <x v="11"/>
    <n v="2.7878787878787898"/>
    <n v="1017.57575757576"/>
    <n v="3663.2727272727302"/>
  </r>
  <r>
    <x v="0"/>
    <x v="0"/>
    <x v="0"/>
    <x v="0"/>
    <x v="0"/>
    <s v="DK1_NoDH"/>
    <x v="0"/>
    <x v="36"/>
    <x v="0"/>
    <x v="12"/>
    <n v="2.7878787878787898"/>
    <n v="1017.57575757576"/>
    <n v="3663.2727272727302"/>
  </r>
  <r>
    <x v="0"/>
    <x v="0"/>
    <x v="0"/>
    <x v="0"/>
    <x v="0"/>
    <s v="DK1_NoDH"/>
    <x v="0"/>
    <x v="36"/>
    <x v="0"/>
    <x v="13"/>
    <n v="2.7878787878787898"/>
    <n v="1017.57575757576"/>
    <n v="3663.2727272727302"/>
  </r>
  <r>
    <x v="0"/>
    <x v="0"/>
    <x v="0"/>
    <x v="0"/>
    <x v="0"/>
    <s v="DK1_NoDH"/>
    <x v="0"/>
    <x v="36"/>
    <x v="0"/>
    <x v="14"/>
    <n v="2.7878787878787898"/>
    <n v="1017.57575757576"/>
    <n v="3663.2727272727302"/>
  </r>
  <r>
    <x v="0"/>
    <x v="0"/>
    <x v="0"/>
    <x v="0"/>
    <x v="0"/>
    <s v="DK1_NoDH"/>
    <x v="0"/>
    <x v="36"/>
    <x v="0"/>
    <x v="15"/>
    <n v="2.7878787878787898"/>
    <n v="1017.57575757576"/>
    <n v="3663.2727272727302"/>
  </r>
  <r>
    <x v="0"/>
    <x v="0"/>
    <x v="0"/>
    <x v="0"/>
    <x v="0"/>
    <s v="DK1_NoDH"/>
    <x v="0"/>
    <x v="36"/>
    <x v="0"/>
    <x v="16"/>
    <n v="2.7878787878787898"/>
    <n v="1017.57575757576"/>
    <n v="3663.2727272727302"/>
  </r>
  <r>
    <x v="0"/>
    <x v="0"/>
    <x v="0"/>
    <x v="0"/>
    <x v="0"/>
    <s v="DK1_NoDH"/>
    <x v="0"/>
    <x v="36"/>
    <x v="0"/>
    <x v="17"/>
    <n v="2.7878787878787898"/>
    <n v="1017.57575757576"/>
    <n v="3663.2727272727302"/>
  </r>
  <r>
    <x v="0"/>
    <x v="0"/>
    <x v="0"/>
    <x v="0"/>
    <x v="0"/>
    <s v="DK1_NoDH"/>
    <x v="0"/>
    <x v="36"/>
    <x v="0"/>
    <x v="18"/>
    <n v="2.7878787878787898"/>
    <n v="1017.57575757576"/>
    <n v="3663.2727272727302"/>
  </r>
  <r>
    <x v="0"/>
    <x v="0"/>
    <x v="0"/>
    <x v="0"/>
    <x v="0"/>
    <s v="DK1_NoDH"/>
    <x v="0"/>
    <x v="36"/>
    <x v="0"/>
    <x v="19"/>
    <n v="2.7878787878787898"/>
    <n v="1017.57575757576"/>
    <n v="3663.2727272727302"/>
  </r>
  <r>
    <x v="0"/>
    <x v="0"/>
    <x v="0"/>
    <x v="0"/>
    <x v="0"/>
    <s v="DK1_NoDH"/>
    <x v="0"/>
    <x v="36"/>
    <x v="0"/>
    <x v="20"/>
    <n v="2.7878787878787898"/>
    <n v="1017.57575757576"/>
    <n v="3663.2727272727302"/>
  </r>
  <r>
    <x v="0"/>
    <x v="0"/>
    <x v="0"/>
    <x v="0"/>
    <x v="0"/>
    <s v="DK1_NoDH"/>
    <x v="0"/>
    <x v="36"/>
    <x v="0"/>
    <x v="21"/>
    <n v="2.7878787878787898"/>
    <n v="1017.57575757576"/>
    <n v="3663.2727272727302"/>
  </r>
  <r>
    <x v="0"/>
    <x v="0"/>
    <x v="0"/>
    <x v="0"/>
    <x v="0"/>
    <s v="DK1_NoDH"/>
    <x v="0"/>
    <x v="36"/>
    <x v="0"/>
    <x v="22"/>
    <n v="2.7878787878787898"/>
    <n v="1017.57575757576"/>
    <n v="3663.2727272727302"/>
  </r>
  <r>
    <x v="0"/>
    <x v="0"/>
    <x v="0"/>
    <x v="0"/>
    <x v="0"/>
    <s v="DK1_NoDH"/>
    <x v="0"/>
    <x v="36"/>
    <x v="0"/>
    <x v="23"/>
    <n v="2.7878787878787898"/>
    <n v="1017.57575757576"/>
    <n v="3663.2727272727302"/>
  </r>
  <r>
    <x v="0"/>
    <x v="0"/>
    <x v="0"/>
    <x v="0"/>
    <x v="0"/>
    <s v="DK1_NoDH"/>
    <x v="0"/>
    <x v="48"/>
    <x v="0"/>
    <x v="0"/>
    <n v="8.4470588235294208"/>
    <n v="3083.1764705882401"/>
    <n v="11099.4352941177"/>
  </r>
  <r>
    <x v="0"/>
    <x v="0"/>
    <x v="0"/>
    <x v="0"/>
    <x v="0"/>
    <s v="DK1_NoDH"/>
    <x v="0"/>
    <x v="48"/>
    <x v="0"/>
    <x v="1"/>
    <n v="8.4470588235294208"/>
    <n v="3083.1764705882401"/>
    <n v="11099.4352941177"/>
  </r>
  <r>
    <x v="0"/>
    <x v="0"/>
    <x v="0"/>
    <x v="0"/>
    <x v="0"/>
    <s v="DK1_NoDH"/>
    <x v="0"/>
    <x v="48"/>
    <x v="0"/>
    <x v="2"/>
    <n v="8.4470588235294208"/>
    <n v="3083.1764705882401"/>
    <n v="11099.4352941177"/>
  </r>
  <r>
    <x v="0"/>
    <x v="0"/>
    <x v="0"/>
    <x v="0"/>
    <x v="0"/>
    <s v="DK1_NoDH"/>
    <x v="0"/>
    <x v="48"/>
    <x v="0"/>
    <x v="3"/>
    <n v="8.4470588235294208"/>
    <n v="3083.1764705882401"/>
    <n v="11099.4352941177"/>
  </r>
  <r>
    <x v="0"/>
    <x v="0"/>
    <x v="0"/>
    <x v="0"/>
    <x v="0"/>
    <s v="DK1_NoDH"/>
    <x v="0"/>
    <x v="48"/>
    <x v="0"/>
    <x v="4"/>
    <n v="8.4470588235294208"/>
    <n v="3083.1764705882401"/>
    <n v="11099.4352941177"/>
  </r>
  <r>
    <x v="0"/>
    <x v="0"/>
    <x v="0"/>
    <x v="0"/>
    <x v="0"/>
    <s v="DK1_NoDH"/>
    <x v="0"/>
    <x v="48"/>
    <x v="0"/>
    <x v="5"/>
    <n v="8.4470588235294208"/>
    <n v="3083.1764705882401"/>
    <n v="11099.4352941177"/>
  </r>
  <r>
    <x v="0"/>
    <x v="0"/>
    <x v="0"/>
    <x v="0"/>
    <x v="0"/>
    <s v="DK1_NoDH"/>
    <x v="0"/>
    <x v="48"/>
    <x v="0"/>
    <x v="6"/>
    <n v="8.4470588235294208"/>
    <n v="3083.1764705882401"/>
    <n v="11099.4352941177"/>
  </r>
  <r>
    <x v="0"/>
    <x v="0"/>
    <x v="0"/>
    <x v="0"/>
    <x v="0"/>
    <s v="DK1_NoDH"/>
    <x v="0"/>
    <x v="48"/>
    <x v="0"/>
    <x v="7"/>
    <n v="8.4470588235294208"/>
    <n v="3083.1764705882401"/>
    <n v="11099.4352941177"/>
  </r>
  <r>
    <x v="0"/>
    <x v="0"/>
    <x v="0"/>
    <x v="0"/>
    <x v="0"/>
    <s v="DK1_NoDH"/>
    <x v="0"/>
    <x v="48"/>
    <x v="0"/>
    <x v="8"/>
    <n v="8.4470588235294208"/>
    <n v="3083.1764705882401"/>
    <n v="11099.4352941177"/>
  </r>
  <r>
    <x v="0"/>
    <x v="0"/>
    <x v="0"/>
    <x v="0"/>
    <x v="0"/>
    <s v="DK1_NoDH"/>
    <x v="0"/>
    <x v="48"/>
    <x v="0"/>
    <x v="9"/>
    <n v="8.4470588235294208"/>
    <n v="3083.1764705882401"/>
    <n v="11099.4352941177"/>
  </r>
  <r>
    <x v="0"/>
    <x v="0"/>
    <x v="0"/>
    <x v="0"/>
    <x v="0"/>
    <s v="DK1_NoDH"/>
    <x v="0"/>
    <x v="48"/>
    <x v="0"/>
    <x v="10"/>
    <n v="8.4470588235294208"/>
    <n v="3083.1764705882401"/>
    <n v="11099.4352941177"/>
  </r>
  <r>
    <x v="0"/>
    <x v="0"/>
    <x v="0"/>
    <x v="0"/>
    <x v="0"/>
    <s v="DK1_NoDH"/>
    <x v="0"/>
    <x v="48"/>
    <x v="0"/>
    <x v="11"/>
    <n v="8.4470588235294208"/>
    <n v="3083.1764705882401"/>
    <n v="11099.4352941177"/>
  </r>
  <r>
    <x v="0"/>
    <x v="0"/>
    <x v="0"/>
    <x v="0"/>
    <x v="0"/>
    <s v="DK1_NoDH"/>
    <x v="0"/>
    <x v="48"/>
    <x v="0"/>
    <x v="12"/>
    <n v="8.4470588235294208"/>
    <n v="3083.1764705882401"/>
    <n v="11099.4352941177"/>
  </r>
  <r>
    <x v="0"/>
    <x v="0"/>
    <x v="0"/>
    <x v="0"/>
    <x v="0"/>
    <s v="DK1_NoDH"/>
    <x v="0"/>
    <x v="48"/>
    <x v="0"/>
    <x v="13"/>
    <n v="8.4470588235294208"/>
    <n v="3083.1764705882401"/>
    <n v="11099.4352941177"/>
  </r>
  <r>
    <x v="0"/>
    <x v="0"/>
    <x v="0"/>
    <x v="0"/>
    <x v="0"/>
    <s v="DK1_NoDH"/>
    <x v="0"/>
    <x v="48"/>
    <x v="0"/>
    <x v="14"/>
    <n v="8.4470588235294208"/>
    <n v="3083.1764705882401"/>
    <n v="11099.4352941177"/>
  </r>
  <r>
    <x v="0"/>
    <x v="0"/>
    <x v="0"/>
    <x v="0"/>
    <x v="0"/>
    <s v="DK1_NoDH"/>
    <x v="0"/>
    <x v="48"/>
    <x v="0"/>
    <x v="15"/>
    <n v="8.4470588235294208"/>
    <n v="3083.1764705882401"/>
    <n v="11099.4352941177"/>
  </r>
  <r>
    <x v="0"/>
    <x v="0"/>
    <x v="0"/>
    <x v="0"/>
    <x v="0"/>
    <s v="DK1_NoDH"/>
    <x v="0"/>
    <x v="48"/>
    <x v="0"/>
    <x v="16"/>
    <n v="8.4470588235294208"/>
    <n v="3083.1764705882401"/>
    <n v="11099.4352941177"/>
  </r>
  <r>
    <x v="0"/>
    <x v="0"/>
    <x v="0"/>
    <x v="0"/>
    <x v="0"/>
    <s v="DK1_NoDH"/>
    <x v="0"/>
    <x v="48"/>
    <x v="0"/>
    <x v="17"/>
    <n v="8.4470588235294208"/>
    <n v="3083.1764705882401"/>
    <n v="11099.4352941177"/>
  </r>
  <r>
    <x v="0"/>
    <x v="0"/>
    <x v="0"/>
    <x v="0"/>
    <x v="0"/>
    <s v="DK1_NoDH"/>
    <x v="0"/>
    <x v="48"/>
    <x v="0"/>
    <x v="18"/>
    <n v="8.4470588235294208"/>
    <n v="3083.1764705882401"/>
    <n v="11099.4352941177"/>
  </r>
  <r>
    <x v="0"/>
    <x v="0"/>
    <x v="0"/>
    <x v="0"/>
    <x v="0"/>
    <s v="DK1_NoDH"/>
    <x v="0"/>
    <x v="48"/>
    <x v="0"/>
    <x v="19"/>
    <n v="8.4470588235294208"/>
    <n v="3083.1764705882401"/>
    <n v="11099.4352941177"/>
  </r>
  <r>
    <x v="0"/>
    <x v="0"/>
    <x v="0"/>
    <x v="0"/>
    <x v="0"/>
    <s v="DK1_NoDH"/>
    <x v="0"/>
    <x v="48"/>
    <x v="0"/>
    <x v="20"/>
    <n v="8.4470588235294208"/>
    <n v="3083.1764705882401"/>
    <n v="11099.4352941177"/>
  </r>
  <r>
    <x v="0"/>
    <x v="0"/>
    <x v="0"/>
    <x v="0"/>
    <x v="0"/>
    <s v="DK1_NoDH"/>
    <x v="0"/>
    <x v="48"/>
    <x v="0"/>
    <x v="21"/>
    <n v="8.4470588235294208"/>
    <n v="3083.1764705882401"/>
    <n v="11099.4352941177"/>
  </r>
  <r>
    <x v="0"/>
    <x v="0"/>
    <x v="0"/>
    <x v="0"/>
    <x v="0"/>
    <s v="DK1_NoDH"/>
    <x v="0"/>
    <x v="48"/>
    <x v="0"/>
    <x v="22"/>
    <n v="8.4470588235294208"/>
    <n v="3083.1764705882401"/>
    <n v="11099.4352941177"/>
  </r>
  <r>
    <x v="0"/>
    <x v="0"/>
    <x v="0"/>
    <x v="0"/>
    <x v="0"/>
    <s v="DK1_NoDH"/>
    <x v="0"/>
    <x v="48"/>
    <x v="0"/>
    <x v="23"/>
    <n v="8.4470588235294208"/>
    <n v="3083.1764705882401"/>
    <n v="11099.4352941177"/>
  </r>
  <r>
    <x v="0"/>
    <x v="0"/>
    <x v="0"/>
    <x v="0"/>
    <x v="0"/>
    <s v="DK1_NoDH"/>
    <x v="0"/>
    <x v="49"/>
    <x v="0"/>
    <x v="0"/>
    <n v="6.2571428571428598"/>
    <n v="2283.8571428571399"/>
    <n v="8221.8857142857105"/>
  </r>
  <r>
    <x v="0"/>
    <x v="0"/>
    <x v="0"/>
    <x v="0"/>
    <x v="0"/>
    <s v="DK1_NoDH"/>
    <x v="0"/>
    <x v="49"/>
    <x v="0"/>
    <x v="1"/>
    <n v="6.2571428571428598"/>
    <n v="2283.8571428571399"/>
    <n v="8221.8857142857105"/>
  </r>
  <r>
    <x v="0"/>
    <x v="0"/>
    <x v="0"/>
    <x v="0"/>
    <x v="0"/>
    <s v="DK1_NoDH"/>
    <x v="0"/>
    <x v="49"/>
    <x v="0"/>
    <x v="2"/>
    <n v="6.2571428571428598"/>
    <n v="2283.8571428571399"/>
    <n v="8221.8857142857105"/>
  </r>
  <r>
    <x v="0"/>
    <x v="0"/>
    <x v="0"/>
    <x v="0"/>
    <x v="0"/>
    <s v="DK1_NoDH"/>
    <x v="0"/>
    <x v="49"/>
    <x v="0"/>
    <x v="3"/>
    <n v="6.2571428571428598"/>
    <n v="2283.8571428571399"/>
    <n v="8221.8857142857105"/>
  </r>
  <r>
    <x v="0"/>
    <x v="0"/>
    <x v="0"/>
    <x v="0"/>
    <x v="0"/>
    <s v="DK1_NoDH"/>
    <x v="0"/>
    <x v="49"/>
    <x v="0"/>
    <x v="4"/>
    <n v="6.2571428571428598"/>
    <n v="2283.8571428571399"/>
    <n v="8221.8857142857105"/>
  </r>
  <r>
    <x v="0"/>
    <x v="0"/>
    <x v="0"/>
    <x v="0"/>
    <x v="0"/>
    <s v="DK1_NoDH"/>
    <x v="0"/>
    <x v="49"/>
    <x v="0"/>
    <x v="5"/>
    <n v="6.2571428571428598"/>
    <n v="2283.8571428571399"/>
    <n v="8221.8857142857105"/>
  </r>
  <r>
    <x v="0"/>
    <x v="0"/>
    <x v="0"/>
    <x v="0"/>
    <x v="0"/>
    <s v="DK1_NoDH"/>
    <x v="0"/>
    <x v="49"/>
    <x v="0"/>
    <x v="6"/>
    <n v="6.2571428571428598"/>
    <n v="2283.8571428571399"/>
    <n v="8221.8857142857105"/>
  </r>
  <r>
    <x v="0"/>
    <x v="0"/>
    <x v="0"/>
    <x v="0"/>
    <x v="0"/>
    <s v="DK1_NoDH"/>
    <x v="0"/>
    <x v="49"/>
    <x v="0"/>
    <x v="7"/>
    <n v="6.2571428571428598"/>
    <n v="2283.8571428571399"/>
    <n v="8221.8857142857105"/>
  </r>
  <r>
    <x v="0"/>
    <x v="0"/>
    <x v="0"/>
    <x v="0"/>
    <x v="0"/>
    <s v="DK1_NoDH"/>
    <x v="0"/>
    <x v="49"/>
    <x v="0"/>
    <x v="8"/>
    <n v="6.2571428571428598"/>
    <n v="2283.8571428571399"/>
    <n v="8221.8857142857105"/>
  </r>
  <r>
    <x v="0"/>
    <x v="0"/>
    <x v="0"/>
    <x v="0"/>
    <x v="0"/>
    <s v="DK1_NoDH"/>
    <x v="0"/>
    <x v="49"/>
    <x v="0"/>
    <x v="9"/>
    <n v="6.2571428571428598"/>
    <n v="2283.8571428571399"/>
    <n v="8221.8857142857105"/>
  </r>
  <r>
    <x v="0"/>
    <x v="0"/>
    <x v="0"/>
    <x v="0"/>
    <x v="0"/>
    <s v="DK1_NoDH"/>
    <x v="0"/>
    <x v="49"/>
    <x v="0"/>
    <x v="10"/>
    <n v="6.2571428571428598"/>
    <n v="2283.8571428571399"/>
    <n v="8221.8857142857105"/>
  </r>
  <r>
    <x v="0"/>
    <x v="0"/>
    <x v="0"/>
    <x v="0"/>
    <x v="0"/>
    <s v="DK1_NoDH"/>
    <x v="0"/>
    <x v="49"/>
    <x v="0"/>
    <x v="11"/>
    <n v="6.2571428571428598"/>
    <n v="2283.8571428571399"/>
    <n v="8221.8857142857105"/>
  </r>
  <r>
    <x v="0"/>
    <x v="0"/>
    <x v="0"/>
    <x v="0"/>
    <x v="0"/>
    <s v="DK1_NoDH"/>
    <x v="0"/>
    <x v="49"/>
    <x v="0"/>
    <x v="12"/>
    <n v="6.2571428571428598"/>
    <n v="2283.8571428571399"/>
    <n v="8221.8857142857105"/>
  </r>
  <r>
    <x v="0"/>
    <x v="0"/>
    <x v="0"/>
    <x v="0"/>
    <x v="0"/>
    <s v="DK1_NoDH"/>
    <x v="0"/>
    <x v="49"/>
    <x v="0"/>
    <x v="13"/>
    <n v="6.2571428571428598"/>
    <n v="2283.8571428571399"/>
    <n v="8221.8857142857105"/>
  </r>
  <r>
    <x v="0"/>
    <x v="0"/>
    <x v="0"/>
    <x v="0"/>
    <x v="0"/>
    <s v="DK1_NoDH"/>
    <x v="0"/>
    <x v="49"/>
    <x v="0"/>
    <x v="14"/>
    <n v="6.2571428571428598"/>
    <n v="2283.8571428571399"/>
    <n v="8221.8857142857105"/>
  </r>
  <r>
    <x v="0"/>
    <x v="0"/>
    <x v="0"/>
    <x v="0"/>
    <x v="0"/>
    <s v="DK1_NoDH"/>
    <x v="0"/>
    <x v="49"/>
    <x v="0"/>
    <x v="15"/>
    <n v="6.2571428571428598"/>
    <n v="2283.8571428571399"/>
    <n v="8221.8857142857105"/>
  </r>
  <r>
    <x v="0"/>
    <x v="0"/>
    <x v="0"/>
    <x v="0"/>
    <x v="0"/>
    <s v="DK1_NoDH"/>
    <x v="0"/>
    <x v="49"/>
    <x v="0"/>
    <x v="16"/>
    <n v="6.2571428571428598"/>
    <n v="2283.8571428571399"/>
    <n v="8221.8857142857105"/>
  </r>
  <r>
    <x v="0"/>
    <x v="0"/>
    <x v="0"/>
    <x v="0"/>
    <x v="0"/>
    <s v="DK1_NoDH"/>
    <x v="0"/>
    <x v="49"/>
    <x v="0"/>
    <x v="17"/>
    <n v="6.2571428571428598"/>
    <n v="2283.8571428571399"/>
    <n v="8221.8857142857105"/>
  </r>
  <r>
    <x v="0"/>
    <x v="0"/>
    <x v="0"/>
    <x v="0"/>
    <x v="0"/>
    <s v="DK1_NoDH"/>
    <x v="0"/>
    <x v="49"/>
    <x v="0"/>
    <x v="18"/>
    <n v="6.2571428571428598"/>
    <n v="2283.8571428571399"/>
    <n v="8221.8857142857105"/>
  </r>
  <r>
    <x v="0"/>
    <x v="0"/>
    <x v="0"/>
    <x v="0"/>
    <x v="0"/>
    <s v="DK1_NoDH"/>
    <x v="0"/>
    <x v="49"/>
    <x v="0"/>
    <x v="19"/>
    <n v="6.2571428571428598"/>
    <n v="2283.8571428571399"/>
    <n v="8221.8857142857105"/>
  </r>
  <r>
    <x v="0"/>
    <x v="0"/>
    <x v="0"/>
    <x v="0"/>
    <x v="0"/>
    <s v="DK1_NoDH"/>
    <x v="0"/>
    <x v="49"/>
    <x v="0"/>
    <x v="20"/>
    <n v="6.2571428571428598"/>
    <n v="2283.8571428571399"/>
    <n v="8221.8857142857105"/>
  </r>
  <r>
    <x v="0"/>
    <x v="0"/>
    <x v="0"/>
    <x v="0"/>
    <x v="0"/>
    <s v="DK1_NoDH"/>
    <x v="0"/>
    <x v="49"/>
    <x v="0"/>
    <x v="21"/>
    <n v="6.2571428571428598"/>
    <n v="2283.8571428571399"/>
    <n v="8221.8857142857105"/>
  </r>
  <r>
    <x v="0"/>
    <x v="0"/>
    <x v="0"/>
    <x v="0"/>
    <x v="0"/>
    <s v="DK1_NoDH"/>
    <x v="0"/>
    <x v="49"/>
    <x v="0"/>
    <x v="22"/>
    <n v="6.2571428571428598"/>
    <n v="2283.8571428571399"/>
    <n v="8221.8857142857105"/>
  </r>
  <r>
    <x v="0"/>
    <x v="0"/>
    <x v="0"/>
    <x v="0"/>
    <x v="0"/>
    <s v="DK1_NoDH"/>
    <x v="0"/>
    <x v="49"/>
    <x v="0"/>
    <x v="23"/>
    <n v="6.2571428571428598"/>
    <n v="2283.8571428571399"/>
    <n v="8221.8857142857105"/>
  </r>
  <r>
    <x v="0"/>
    <x v="0"/>
    <x v="0"/>
    <x v="0"/>
    <x v="0"/>
    <s v="DK1_NoDH"/>
    <x v="0"/>
    <x v="3"/>
    <x v="0"/>
    <x v="0"/>
    <n v="5.7777777777777803"/>
    <n v="2108.8888888888901"/>
    <n v="7592"/>
  </r>
  <r>
    <x v="0"/>
    <x v="0"/>
    <x v="0"/>
    <x v="0"/>
    <x v="0"/>
    <s v="DK1_NoDH"/>
    <x v="0"/>
    <x v="3"/>
    <x v="0"/>
    <x v="1"/>
    <n v="5.7777777777777803"/>
    <n v="2108.8888888888901"/>
    <n v="7592"/>
  </r>
  <r>
    <x v="0"/>
    <x v="0"/>
    <x v="0"/>
    <x v="0"/>
    <x v="0"/>
    <s v="DK1_NoDH"/>
    <x v="0"/>
    <x v="3"/>
    <x v="0"/>
    <x v="2"/>
    <n v="5.7777777777777803"/>
    <n v="2108.8888888888901"/>
    <n v="7592"/>
  </r>
  <r>
    <x v="0"/>
    <x v="0"/>
    <x v="0"/>
    <x v="0"/>
    <x v="0"/>
    <s v="DK1_NoDH"/>
    <x v="0"/>
    <x v="3"/>
    <x v="0"/>
    <x v="3"/>
    <n v="5.7777777777777803"/>
    <n v="2108.8888888888901"/>
    <n v="7592"/>
  </r>
  <r>
    <x v="0"/>
    <x v="0"/>
    <x v="0"/>
    <x v="0"/>
    <x v="0"/>
    <s v="DK1_NoDH"/>
    <x v="0"/>
    <x v="3"/>
    <x v="0"/>
    <x v="4"/>
    <n v="5.7777777777777803"/>
    <n v="2108.8888888888901"/>
    <n v="7592"/>
  </r>
  <r>
    <x v="0"/>
    <x v="0"/>
    <x v="0"/>
    <x v="0"/>
    <x v="0"/>
    <s v="DK1_NoDH"/>
    <x v="0"/>
    <x v="3"/>
    <x v="0"/>
    <x v="5"/>
    <n v="5.7777777777777803"/>
    <n v="2108.8888888888901"/>
    <n v="7592"/>
  </r>
  <r>
    <x v="0"/>
    <x v="0"/>
    <x v="0"/>
    <x v="0"/>
    <x v="0"/>
    <s v="DK1_NoDH"/>
    <x v="0"/>
    <x v="3"/>
    <x v="0"/>
    <x v="6"/>
    <n v="5.7777777777777803"/>
    <n v="2108.8888888888901"/>
    <n v="7592"/>
  </r>
  <r>
    <x v="0"/>
    <x v="0"/>
    <x v="0"/>
    <x v="0"/>
    <x v="0"/>
    <s v="DK1_NoDH"/>
    <x v="0"/>
    <x v="3"/>
    <x v="0"/>
    <x v="7"/>
    <n v="5.7777777777777803"/>
    <n v="2108.8888888888901"/>
    <n v="7592"/>
  </r>
  <r>
    <x v="0"/>
    <x v="0"/>
    <x v="0"/>
    <x v="0"/>
    <x v="0"/>
    <s v="DK1_NoDH"/>
    <x v="0"/>
    <x v="3"/>
    <x v="0"/>
    <x v="8"/>
    <n v="5.7777777777777803"/>
    <n v="2108.8888888888901"/>
    <n v="7592"/>
  </r>
  <r>
    <x v="0"/>
    <x v="0"/>
    <x v="0"/>
    <x v="0"/>
    <x v="0"/>
    <s v="DK1_NoDH"/>
    <x v="0"/>
    <x v="3"/>
    <x v="0"/>
    <x v="9"/>
    <n v="5.7777777777777803"/>
    <n v="2108.8888888888901"/>
    <n v="7592"/>
  </r>
  <r>
    <x v="0"/>
    <x v="0"/>
    <x v="0"/>
    <x v="0"/>
    <x v="0"/>
    <s v="DK1_NoDH"/>
    <x v="0"/>
    <x v="3"/>
    <x v="0"/>
    <x v="10"/>
    <n v="5.7777777777777803"/>
    <n v="2108.8888888888901"/>
    <n v="7592"/>
  </r>
  <r>
    <x v="0"/>
    <x v="0"/>
    <x v="0"/>
    <x v="0"/>
    <x v="0"/>
    <s v="DK1_NoDH"/>
    <x v="0"/>
    <x v="3"/>
    <x v="0"/>
    <x v="11"/>
    <n v="5.7777777777777803"/>
    <n v="2108.8888888888901"/>
    <n v="7592"/>
  </r>
  <r>
    <x v="0"/>
    <x v="0"/>
    <x v="0"/>
    <x v="0"/>
    <x v="0"/>
    <s v="DK1_NoDH"/>
    <x v="0"/>
    <x v="3"/>
    <x v="0"/>
    <x v="12"/>
    <n v="5.7777777777777803"/>
    <n v="2108.8888888888901"/>
    <n v="7592"/>
  </r>
  <r>
    <x v="0"/>
    <x v="0"/>
    <x v="0"/>
    <x v="0"/>
    <x v="0"/>
    <s v="DK1_NoDH"/>
    <x v="0"/>
    <x v="3"/>
    <x v="0"/>
    <x v="13"/>
    <n v="5.7777777777777803"/>
    <n v="2108.8888888888901"/>
    <n v="7592"/>
  </r>
  <r>
    <x v="0"/>
    <x v="0"/>
    <x v="0"/>
    <x v="0"/>
    <x v="0"/>
    <s v="DK1_NoDH"/>
    <x v="0"/>
    <x v="3"/>
    <x v="0"/>
    <x v="14"/>
    <n v="5.7777777777777803"/>
    <n v="2108.8888888888901"/>
    <n v="7592"/>
  </r>
  <r>
    <x v="0"/>
    <x v="0"/>
    <x v="0"/>
    <x v="0"/>
    <x v="0"/>
    <s v="DK1_NoDH"/>
    <x v="0"/>
    <x v="3"/>
    <x v="0"/>
    <x v="15"/>
    <n v="5.7777777777777803"/>
    <n v="2108.8888888888901"/>
    <n v="7592"/>
  </r>
  <r>
    <x v="0"/>
    <x v="0"/>
    <x v="0"/>
    <x v="0"/>
    <x v="0"/>
    <s v="DK1_NoDH"/>
    <x v="0"/>
    <x v="3"/>
    <x v="0"/>
    <x v="16"/>
    <n v="5.7777777777777803"/>
    <n v="2108.8888888888901"/>
    <n v="7592"/>
  </r>
  <r>
    <x v="0"/>
    <x v="0"/>
    <x v="0"/>
    <x v="0"/>
    <x v="0"/>
    <s v="DK1_NoDH"/>
    <x v="0"/>
    <x v="3"/>
    <x v="0"/>
    <x v="17"/>
    <n v="5.7777777777777803"/>
    <n v="2108.8888888888901"/>
    <n v="7592"/>
  </r>
  <r>
    <x v="0"/>
    <x v="0"/>
    <x v="0"/>
    <x v="0"/>
    <x v="0"/>
    <s v="DK1_NoDH"/>
    <x v="0"/>
    <x v="3"/>
    <x v="0"/>
    <x v="18"/>
    <n v="5.7777777777777803"/>
    <n v="2108.8888888888901"/>
    <n v="7592"/>
  </r>
  <r>
    <x v="0"/>
    <x v="0"/>
    <x v="0"/>
    <x v="0"/>
    <x v="0"/>
    <s v="DK1_NoDH"/>
    <x v="0"/>
    <x v="3"/>
    <x v="0"/>
    <x v="19"/>
    <n v="5.7777777777777803"/>
    <n v="2108.8888888888901"/>
    <n v="7592"/>
  </r>
  <r>
    <x v="0"/>
    <x v="0"/>
    <x v="0"/>
    <x v="0"/>
    <x v="0"/>
    <s v="DK1_NoDH"/>
    <x v="0"/>
    <x v="3"/>
    <x v="0"/>
    <x v="20"/>
    <n v="5.7777777777777803"/>
    <n v="2108.8888888888901"/>
    <n v="7592"/>
  </r>
  <r>
    <x v="0"/>
    <x v="0"/>
    <x v="0"/>
    <x v="0"/>
    <x v="0"/>
    <s v="DK1_NoDH"/>
    <x v="0"/>
    <x v="3"/>
    <x v="0"/>
    <x v="21"/>
    <n v="5.7777777777777803"/>
    <n v="2108.8888888888901"/>
    <n v="7592"/>
  </r>
  <r>
    <x v="0"/>
    <x v="0"/>
    <x v="0"/>
    <x v="0"/>
    <x v="0"/>
    <s v="DK1_NoDH"/>
    <x v="0"/>
    <x v="3"/>
    <x v="0"/>
    <x v="22"/>
    <n v="5.7777777777777803"/>
    <n v="2108.8888888888901"/>
    <n v="7592"/>
  </r>
  <r>
    <x v="0"/>
    <x v="0"/>
    <x v="0"/>
    <x v="0"/>
    <x v="0"/>
    <s v="DK1_NoDH"/>
    <x v="0"/>
    <x v="3"/>
    <x v="0"/>
    <x v="23"/>
    <n v="5.7777777777777803"/>
    <n v="2108.8888888888901"/>
    <n v="7592"/>
  </r>
  <r>
    <x v="0"/>
    <x v="0"/>
    <x v="0"/>
    <x v="0"/>
    <x v="0"/>
    <s v="DK1_NoDH"/>
    <x v="0"/>
    <x v="4"/>
    <x v="0"/>
    <x v="0"/>
    <n v="11.759459459459499"/>
    <n v="4292.2027027026998"/>
    <n v="15451.9297297297"/>
  </r>
  <r>
    <x v="0"/>
    <x v="0"/>
    <x v="0"/>
    <x v="0"/>
    <x v="0"/>
    <s v="DK1_NoDH"/>
    <x v="0"/>
    <x v="4"/>
    <x v="0"/>
    <x v="1"/>
    <n v="11.759459459459499"/>
    <n v="4292.2027027026998"/>
    <n v="15451.9297297297"/>
  </r>
  <r>
    <x v="0"/>
    <x v="0"/>
    <x v="0"/>
    <x v="0"/>
    <x v="0"/>
    <s v="DK1_NoDH"/>
    <x v="0"/>
    <x v="4"/>
    <x v="0"/>
    <x v="2"/>
    <n v="11.759459459459499"/>
    <n v="4292.2027027026998"/>
    <n v="15451.9297297297"/>
  </r>
  <r>
    <x v="0"/>
    <x v="0"/>
    <x v="0"/>
    <x v="0"/>
    <x v="0"/>
    <s v="DK1_NoDH"/>
    <x v="0"/>
    <x v="4"/>
    <x v="0"/>
    <x v="3"/>
    <n v="11.759459459459499"/>
    <n v="4292.2027027026998"/>
    <n v="15451.9297297297"/>
  </r>
  <r>
    <x v="0"/>
    <x v="0"/>
    <x v="0"/>
    <x v="0"/>
    <x v="0"/>
    <s v="DK1_NoDH"/>
    <x v="0"/>
    <x v="4"/>
    <x v="0"/>
    <x v="4"/>
    <n v="11.759459459459499"/>
    <n v="4292.2027027026998"/>
    <n v="15451.9297297297"/>
  </r>
  <r>
    <x v="0"/>
    <x v="0"/>
    <x v="0"/>
    <x v="0"/>
    <x v="0"/>
    <s v="DK1_NoDH"/>
    <x v="0"/>
    <x v="4"/>
    <x v="0"/>
    <x v="5"/>
    <n v="11.759459459459499"/>
    <n v="4292.2027027026998"/>
    <n v="15451.9297297297"/>
  </r>
  <r>
    <x v="0"/>
    <x v="0"/>
    <x v="0"/>
    <x v="0"/>
    <x v="0"/>
    <s v="DK1_NoDH"/>
    <x v="0"/>
    <x v="4"/>
    <x v="0"/>
    <x v="6"/>
    <n v="11.759459459459499"/>
    <n v="4292.2027027026998"/>
    <n v="15451.9297297297"/>
  </r>
  <r>
    <x v="0"/>
    <x v="0"/>
    <x v="0"/>
    <x v="0"/>
    <x v="0"/>
    <s v="DK1_NoDH"/>
    <x v="0"/>
    <x v="4"/>
    <x v="0"/>
    <x v="7"/>
    <n v="11.759459459459499"/>
    <n v="4292.2027027026998"/>
    <n v="15451.9297297297"/>
  </r>
  <r>
    <x v="0"/>
    <x v="0"/>
    <x v="0"/>
    <x v="0"/>
    <x v="0"/>
    <s v="DK1_NoDH"/>
    <x v="0"/>
    <x v="4"/>
    <x v="0"/>
    <x v="8"/>
    <n v="11.759459459459499"/>
    <n v="4292.2027027026998"/>
    <n v="15451.9297297297"/>
  </r>
  <r>
    <x v="0"/>
    <x v="0"/>
    <x v="0"/>
    <x v="0"/>
    <x v="0"/>
    <s v="DK1_NoDH"/>
    <x v="0"/>
    <x v="4"/>
    <x v="0"/>
    <x v="9"/>
    <n v="11.759459459459499"/>
    <n v="4292.2027027026998"/>
    <n v="15451.9297297297"/>
  </r>
  <r>
    <x v="0"/>
    <x v="0"/>
    <x v="0"/>
    <x v="0"/>
    <x v="0"/>
    <s v="DK1_NoDH"/>
    <x v="0"/>
    <x v="4"/>
    <x v="0"/>
    <x v="10"/>
    <n v="11.759459459459499"/>
    <n v="4292.2027027026998"/>
    <n v="15451.9297297297"/>
  </r>
  <r>
    <x v="0"/>
    <x v="0"/>
    <x v="0"/>
    <x v="0"/>
    <x v="0"/>
    <s v="DK1_NoDH"/>
    <x v="0"/>
    <x v="4"/>
    <x v="0"/>
    <x v="11"/>
    <n v="11.759459459459499"/>
    <n v="4292.2027027026998"/>
    <n v="15451.9297297297"/>
  </r>
  <r>
    <x v="0"/>
    <x v="0"/>
    <x v="0"/>
    <x v="0"/>
    <x v="0"/>
    <s v="DK1_NoDH"/>
    <x v="0"/>
    <x v="4"/>
    <x v="0"/>
    <x v="12"/>
    <n v="11.759459459459499"/>
    <n v="4292.2027027026998"/>
    <n v="15451.9297297297"/>
  </r>
  <r>
    <x v="0"/>
    <x v="0"/>
    <x v="0"/>
    <x v="0"/>
    <x v="0"/>
    <s v="DK1_NoDH"/>
    <x v="0"/>
    <x v="4"/>
    <x v="0"/>
    <x v="13"/>
    <n v="11.759459459459499"/>
    <n v="4292.2027027026998"/>
    <n v="15451.9297297297"/>
  </r>
  <r>
    <x v="0"/>
    <x v="0"/>
    <x v="0"/>
    <x v="0"/>
    <x v="0"/>
    <s v="DK1_NoDH"/>
    <x v="0"/>
    <x v="4"/>
    <x v="0"/>
    <x v="14"/>
    <n v="11.759459459459499"/>
    <n v="4292.2027027026998"/>
    <n v="15451.9297297297"/>
  </r>
  <r>
    <x v="0"/>
    <x v="0"/>
    <x v="0"/>
    <x v="0"/>
    <x v="0"/>
    <s v="DK1_NoDH"/>
    <x v="0"/>
    <x v="4"/>
    <x v="0"/>
    <x v="15"/>
    <n v="11.759459459459499"/>
    <n v="4292.2027027026998"/>
    <n v="15451.9297297297"/>
  </r>
  <r>
    <x v="0"/>
    <x v="0"/>
    <x v="0"/>
    <x v="0"/>
    <x v="0"/>
    <s v="DK1_NoDH"/>
    <x v="0"/>
    <x v="4"/>
    <x v="0"/>
    <x v="16"/>
    <n v="11.759459459459499"/>
    <n v="4292.2027027026998"/>
    <n v="15451.9297297297"/>
  </r>
  <r>
    <x v="0"/>
    <x v="0"/>
    <x v="0"/>
    <x v="0"/>
    <x v="0"/>
    <s v="DK1_NoDH"/>
    <x v="0"/>
    <x v="4"/>
    <x v="0"/>
    <x v="17"/>
    <n v="11.759459459459499"/>
    <n v="4292.2027027026998"/>
    <n v="15451.9297297297"/>
  </r>
  <r>
    <x v="0"/>
    <x v="0"/>
    <x v="0"/>
    <x v="0"/>
    <x v="0"/>
    <s v="DK1_NoDH"/>
    <x v="0"/>
    <x v="4"/>
    <x v="0"/>
    <x v="18"/>
    <n v="11.759459459459499"/>
    <n v="4292.2027027026998"/>
    <n v="15451.9297297297"/>
  </r>
  <r>
    <x v="0"/>
    <x v="0"/>
    <x v="0"/>
    <x v="0"/>
    <x v="0"/>
    <s v="DK1_NoDH"/>
    <x v="0"/>
    <x v="4"/>
    <x v="0"/>
    <x v="19"/>
    <n v="11.759459459459499"/>
    <n v="4292.2027027026998"/>
    <n v="15451.9297297297"/>
  </r>
  <r>
    <x v="0"/>
    <x v="0"/>
    <x v="0"/>
    <x v="0"/>
    <x v="0"/>
    <s v="DK1_NoDH"/>
    <x v="0"/>
    <x v="4"/>
    <x v="0"/>
    <x v="20"/>
    <n v="11.759459459459499"/>
    <n v="4292.2027027026998"/>
    <n v="15451.9297297297"/>
  </r>
  <r>
    <x v="0"/>
    <x v="0"/>
    <x v="0"/>
    <x v="0"/>
    <x v="0"/>
    <s v="DK1_NoDH"/>
    <x v="0"/>
    <x v="4"/>
    <x v="0"/>
    <x v="21"/>
    <n v="11.759459459459499"/>
    <n v="4292.2027027026998"/>
    <n v="15451.9297297297"/>
  </r>
  <r>
    <x v="0"/>
    <x v="0"/>
    <x v="0"/>
    <x v="0"/>
    <x v="0"/>
    <s v="DK1_NoDH"/>
    <x v="0"/>
    <x v="4"/>
    <x v="0"/>
    <x v="22"/>
    <n v="11.759459459459499"/>
    <n v="4292.2027027026998"/>
    <n v="15451.9297297297"/>
  </r>
  <r>
    <x v="0"/>
    <x v="0"/>
    <x v="0"/>
    <x v="0"/>
    <x v="0"/>
    <s v="DK1_NoDH"/>
    <x v="0"/>
    <x v="4"/>
    <x v="0"/>
    <x v="23"/>
    <n v="11.759459459459499"/>
    <n v="4292.2027027026998"/>
    <n v="15451.9297297297"/>
  </r>
  <r>
    <x v="0"/>
    <x v="0"/>
    <x v="0"/>
    <x v="0"/>
    <x v="0"/>
    <s v="DK1_NoDH"/>
    <x v="0"/>
    <x v="37"/>
    <x v="0"/>
    <x v="0"/>
    <n v="0.5"/>
    <n v="182.5"/>
    <n v="657"/>
  </r>
  <r>
    <x v="0"/>
    <x v="0"/>
    <x v="0"/>
    <x v="0"/>
    <x v="0"/>
    <s v="DK1_NoDH"/>
    <x v="0"/>
    <x v="37"/>
    <x v="0"/>
    <x v="1"/>
    <n v="0.5"/>
    <n v="182.5"/>
    <n v="657"/>
  </r>
  <r>
    <x v="0"/>
    <x v="0"/>
    <x v="0"/>
    <x v="0"/>
    <x v="0"/>
    <s v="DK1_NoDH"/>
    <x v="0"/>
    <x v="37"/>
    <x v="0"/>
    <x v="2"/>
    <n v="0.5"/>
    <n v="182.5"/>
    <n v="657"/>
  </r>
  <r>
    <x v="0"/>
    <x v="0"/>
    <x v="0"/>
    <x v="0"/>
    <x v="0"/>
    <s v="DK1_NoDH"/>
    <x v="0"/>
    <x v="37"/>
    <x v="0"/>
    <x v="3"/>
    <n v="0.5"/>
    <n v="182.5"/>
    <n v="657"/>
  </r>
  <r>
    <x v="0"/>
    <x v="0"/>
    <x v="0"/>
    <x v="0"/>
    <x v="0"/>
    <s v="DK1_NoDH"/>
    <x v="0"/>
    <x v="37"/>
    <x v="0"/>
    <x v="4"/>
    <n v="0.5"/>
    <n v="182.5"/>
    <n v="657"/>
  </r>
  <r>
    <x v="0"/>
    <x v="0"/>
    <x v="0"/>
    <x v="0"/>
    <x v="0"/>
    <s v="DK1_NoDH"/>
    <x v="0"/>
    <x v="37"/>
    <x v="0"/>
    <x v="5"/>
    <n v="0.5"/>
    <n v="182.5"/>
    <n v="657"/>
  </r>
  <r>
    <x v="0"/>
    <x v="0"/>
    <x v="0"/>
    <x v="0"/>
    <x v="0"/>
    <s v="DK1_NoDH"/>
    <x v="0"/>
    <x v="37"/>
    <x v="0"/>
    <x v="6"/>
    <n v="0.5"/>
    <n v="182.5"/>
    <n v="657"/>
  </r>
  <r>
    <x v="0"/>
    <x v="0"/>
    <x v="0"/>
    <x v="0"/>
    <x v="0"/>
    <s v="DK1_NoDH"/>
    <x v="0"/>
    <x v="37"/>
    <x v="0"/>
    <x v="7"/>
    <n v="0.5"/>
    <n v="182.5"/>
    <n v="657"/>
  </r>
  <r>
    <x v="0"/>
    <x v="0"/>
    <x v="0"/>
    <x v="0"/>
    <x v="0"/>
    <s v="DK1_NoDH"/>
    <x v="0"/>
    <x v="37"/>
    <x v="0"/>
    <x v="8"/>
    <n v="0.5"/>
    <n v="182.5"/>
    <n v="657"/>
  </r>
  <r>
    <x v="0"/>
    <x v="0"/>
    <x v="0"/>
    <x v="0"/>
    <x v="0"/>
    <s v="DK1_NoDH"/>
    <x v="0"/>
    <x v="37"/>
    <x v="0"/>
    <x v="9"/>
    <n v="0.5"/>
    <n v="182.5"/>
    <n v="657"/>
  </r>
  <r>
    <x v="0"/>
    <x v="0"/>
    <x v="0"/>
    <x v="0"/>
    <x v="0"/>
    <s v="DK1_NoDH"/>
    <x v="0"/>
    <x v="37"/>
    <x v="0"/>
    <x v="10"/>
    <n v="0.5"/>
    <n v="182.5"/>
    <n v="657"/>
  </r>
  <r>
    <x v="0"/>
    <x v="0"/>
    <x v="0"/>
    <x v="0"/>
    <x v="0"/>
    <s v="DK1_NoDH"/>
    <x v="0"/>
    <x v="37"/>
    <x v="0"/>
    <x v="11"/>
    <n v="0.5"/>
    <n v="182.5"/>
    <n v="657"/>
  </r>
  <r>
    <x v="0"/>
    <x v="0"/>
    <x v="0"/>
    <x v="0"/>
    <x v="0"/>
    <s v="DK1_NoDH"/>
    <x v="0"/>
    <x v="37"/>
    <x v="0"/>
    <x v="12"/>
    <n v="0.5"/>
    <n v="182.5"/>
    <n v="657"/>
  </r>
  <r>
    <x v="0"/>
    <x v="0"/>
    <x v="0"/>
    <x v="0"/>
    <x v="0"/>
    <s v="DK1_NoDH"/>
    <x v="0"/>
    <x v="37"/>
    <x v="0"/>
    <x v="13"/>
    <n v="0.5"/>
    <n v="182.5"/>
    <n v="657"/>
  </r>
  <r>
    <x v="0"/>
    <x v="0"/>
    <x v="0"/>
    <x v="0"/>
    <x v="0"/>
    <s v="DK1_NoDH"/>
    <x v="0"/>
    <x v="37"/>
    <x v="0"/>
    <x v="14"/>
    <n v="0.5"/>
    <n v="182.5"/>
    <n v="657"/>
  </r>
  <r>
    <x v="0"/>
    <x v="0"/>
    <x v="0"/>
    <x v="0"/>
    <x v="0"/>
    <s v="DK1_NoDH"/>
    <x v="0"/>
    <x v="37"/>
    <x v="0"/>
    <x v="15"/>
    <n v="0.5"/>
    <n v="182.5"/>
    <n v="657"/>
  </r>
  <r>
    <x v="0"/>
    <x v="0"/>
    <x v="0"/>
    <x v="0"/>
    <x v="0"/>
    <s v="DK1_NoDH"/>
    <x v="0"/>
    <x v="37"/>
    <x v="0"/>
    <x v="16"/>
    <n v="0.5"/>
    <n v="182.5"/>
    <n v="657"/>
  </r>
  <r>
    <x v="0"/>
    <x v="0"/>
    <x v="0"/>
    <x v="0"/>
    <x v="0"/>
    <s v="DK1_NoDH"/>
    <x v="0"/>
    <x v="37"/>
    <x v="0"/>
    <x v="17"/>
    <n v="0.5"/>
    <n v="182.5"/>
    <n v="657"/>
  </r>
  <r>
    <x v="0"/>
    <x v="0"/>
    <x v="0"/>
    <x v="0"/>
    <x v="0"/>
    <s v="DK1_NoDH"/>
    <x v="0"/>
    <x v="37"/>
    <x v="0"/>
    <x v="18"/>
    <n v="0.5"/>
    <n v="182.5"/>
    <n v="657"/>
  </r>
  <r>
    <x v="0"/>
    <x v="0"/>
    <x v="0"/>
    <x v="0"/>
    <x v="0"/>
    <s v="DK1_NoDH"/>
    <x v="0"/>
    <x v="37"/>
    <x v="0"/>
    <x v="19"/>
    <n v="0.5"/>
    <n v="182.5"/>
    <n v="657"/>
  </r>
  <r>
    <x v="0"/>
    <x v="0"/>
    <x v="0"/>
    <x v="0"/>
    <x v="0"/>
    <s v="DK1_NoDH"/>
    <x v="0"/>
    <x v="37"/>
    <x v="0"/>
    <x v="20"/>
    <n v="0.5"/>
    <n v="182.5"/>
    <n v="657"/>
  </r>
  <r>
    <x v="0"/>
    <x v="0"/>
    <x v="0"/>
    <x v="0"/>
    <x v="0"/>
    <s v="DK1_NoDH"/>
    <x v="0"/>
    <x v="37"/>
    <x v="0"/>
    <x v="21"/>
    <n v="0.5"/>
    <n v="182.5"/>
    <n v="657"/>
  </r>
  <r>
    <x v="0"/>
    <x v="0"/>
    <x v="0"/>
    <x v="0"/>
    <x v="0"/>
    <s v="DK1_NoDH"/>
    <x v="0"/>
    <x v="37"/>
    <x v="0"/>
    <x v="22"/>
    <n v="0.5"/>
    <n v="182.5"/>
    <n v="657"/>
  </r>
  <r>
    <x v="0"/>
    <x v="0"/>
    <x v="0"/>
    <x v="0"/>
    <x v="0"/>
    <s v="DK1_NoDH"/>
    <x v="0"/>
    <x v="37"/>
    <x v="0"/>
    <x v="23"/>
    <n v="0.5"/>
    <n v="182.5"/>
    <n v="657"/>
  </r>
  <r>
    <x v="0"/>
    <x v="0"/>
    <x v="0"/>
    <x v="0"/>
    <x v="0"/>
    <s v="DK1_NoDH"/>
    <x v="0"/>
    <x v="5"/>
    <x v="0"/>
    <x v="0"/>
    <n v="2.97435897435897"/>
    <n v="1085.64102564103"/>
    <n v="3908.3076923076901"/>
  </r>
  <r>
    <x v="0"/>
    <x v="0"/>
    <x v="0"/>
    <x v="0"/>
    <x v="0"/>
    <s v="DK1_NoDH"/>
    <x v="0"/>
    <x v="5"/>
    <x v="0"/>
    <x v="1"/>
    <n v="2.97435897435897"/>
    <n v="1085.64102564103"/>
    <n v="3908.3076923076901"/>
  </r>
  <r>
    <x v="0"/>
    <x v="0"/>
    <x v="0"/>
    <x v="0"/>
    <x v="0"/>
    <s v="DK1_NoDH"/>
    <x v="0"/>
    <x v="5"/>
    <x v="0"/>
    <x v="2"/>
    <n v="2.97435897435897"/>
    <n v="1085.64102564103"/>
    <n v="3908.3076923076901"/>
  </r>
  <r>
    <x v="0"/>
    <x v="0"/>
    <x v="0"/>
    <x v="0"/>
    <x v="0"/>
    <s v="DK1_NoDH"/>
    <x v="0"/>
    <x v="5"/>
    <x v="0"/>
    <x v="3"/>
    <n v="2.97435897435897"/>
    <n v="1085.64102564103"/>
    <n v="3908.3076923076901"/>
  </r>
  <r>
    <x v="0"/>
    <x v="0"/>
    <x v="0"/>
    <x v="0"/>
    <x v="0"/>
    <s v="DK1_NoDH"/>
    <x v="0"/>
    <x v="5"/>
    <x v="0"/>
    <x v="4"/>
    <n v="2.97435897435897"/>
    <n v="1085.64102564103"/>
    <n v="3908.3076923076901"/>
  </r>
  <r>
    <x v="0"/>
    <x v="0"/>
    <x v="0"/>
    <x v="0"/>
    <x v="0"/>
    <s v="DK1_NoDH"/>
    <x v="0"/>
    <x v="5"/>
    <x v="0"/>
    <x v="5"/>
    <n v="2.97435897435897"/>
    <n v="1085.64102564103"/>
    <n v="3908.3076923076901"/>
  </r>
  <r>
    <x v="0"/>
    <x v="0"/>
    <x v="0"/>
    <x v="0"/>
    <x v="0"/>
    <s v="DK1_NoDH"/>
    <x v="0"/>
    <x v="5"/>
    <x v="0"/>
    <x v="6"/>
    <n v="2.97435897435897"/>
    <n v="1085.64102564103"/>
    <n v="3908.3076923076901"/>
  </r>
  <r>
    <x v="0"/>
    <x v="0"/>
    <x v="0"/>
    <x v="0"/>
    <x v="0"/>
    <s v="DK1_NoDH"/>
    <x v="0"/>
    <x v="5"/>
    <x v="0"/>
    <x v="7"/>
    <n v="2.97435897435897"/>
    <n v="1085.64102564103"/>
    <n v="3908.3076923076901"/>
  </r>
  <r>
    <x v="0"/>
    <x v="0"/>
    <x v="0"/>
    <x v="0"/>
    <x v="0"/>
    <s v="DK1_NoDH"/>
    <x v="0"/>
    <x v="5"/>
    <x v="0"/>
    <x v="8"/>
    <n v="2.97435897435897"/>
    <n v="1085.64102564103"/>
    <n v="3908.3076923076901"/>
  </r>
  <r>
    <x v="0"/>
    <x v="0"/>
    <x v="0"/>
    <x v="0"/>
    <x v="0"/>
    <s v="DK1_NoDH"/>
    <x v="0"/>
    <x v="5"/>
    <x v="0"/>
    <x v="9"/>
    <n v="2.97435897435897"/>
    <n v="1085.64102564103"/>
    <n v="3908.3076923076901"/>
  </r>
  <r>
    <x v="0"/>
    <x v="0"/>
    <x v="0"/>
    <x v="0"/>
    <x v="0"/>
    <s v="DK1_NoDH"/>
    <x v="0"/>
    <x v="5"/>
    <x v="0"/>
    <x v="10"/>
    <n v="2.97435897435897"/>
    <n v="1085.64102564103"/>
    <n v="3908.3076923076901"/>
  </r>
  <r>
    <x v="0"/>
    <x v="0"/>
    <x v="0"/>
    <x v="0"/>
    <x v="0"/>
    <s v="DK1_NoDH"/>
    <x v="0"/>
    <x v="5"/>
    <x v="0"/>
    <x v="11"/>
    <n v="2.97435897435897"/>
    <n v="1085.64102564103"/>
    <n v="3908.3076923076901"/>
  </r>
  <r>
    <x v="0"/>
    <x v="0"/>
    <x v="0"/>
    <x v="0"/>
    <x v="0"/>
    <s v="DK1_NoDH"/>
    <x v="0"/>
    <x v="5"/>
    <x v="0"/>
    <x v="12"/>
    <n v="2.97435897435897"/>
    <n v="1085.64102564103"/>
    <n v="3908.3076923076901"/>
  </r>
  <r>
    <x v="0"/>
    <x v="0"/>
    <x v="0"/>
    <x v="0"/>
    <x v="0"/>
    <s v="DK1_NoDH"/>
    <x v="0"/>
    <x v="5"/>
    <x v="0"/>
    <x v="13"/>
    <n v="2.97435897435897"/>
    <n v="1085.64102564103"/>
    <n v="3908.3076923076901"/>
  </r>
  <r>
    <x v="0"/>
    <x v="0"/>
    <x v="0"/>
    <x v="0"/>
    <x v="0"/>
    <s v="DK1_NoDH"/>
    <x v="0"/>
    <x v="5"/>
    <x v="0"/>
    <x v="14"/>
    <n v="2.97435897435897"/>
    <n v="1085.64102564103"/>
    <n v="3908.3076923076901"/>
  </r>
  <r>
    <x v="0"/>
    <x v="0"/>
    <x v="0"/>
    <x v="0"/>
    <x v="0"/>
    <s v="DK1_NoDH"/>
    <x v="0"/>
    <x v="5"/>
    <x v="0"/>
    <x v="15"/>
    <n v="2.97435897435897"/>
    <n v="1085.64102564103"/>
    <n v="3908.3076923076901"/>
  </r>
  <r>
    <x v="0"/>
    <x v="0"/>
    <x v="0"/>
    <x v="0"/>
    <x v="0"/>
    <s v="DK1_NoDH"/>
    <x v="0"/>
    <x v="5"/>
    <x v="0"/>
    <x v="16"/>
    <n v="2.97435897435897"/>
    <n v="1085.64102564103"/>
    <n v="3908.3076923076901"/>
  </r>
  <r>
    <x v="0"/>
    <x v="0"/>
    <x v="0"/>
    <x v="0"/>
    <x v="0"/>
    <s v="DK1_NoDH"/>
    <x v="0"/>
    <x v="5"/>
    <x v="0"/>
    <x v="17"/>
    <n v="2.97435897435897"/>
    <n v="1085.64102564103"/>
    <n v="3908.3076923076901"/>
  </r>
  <r>
    <x v="0"/>
    <x v="0"/>
    <x v="0"/>
    <x v="0"/>
    <x v="0"/>
    <s v="DK1_NoDH"/>
    <x v="0"/>
    <x v="5"/>
    <x v="0"/>
    <x v="18"/>
    <n v="2.97435897435897"/>
    <n v="1085.64102564103"/>
    <n v="3908.3076923076901"/>
  </r>
  <r>
    <x v="0"/>
    <x v="0"/>
    <x v="0"/>
    <x v="0"/>
    <x v="0"/>
    <s v="DK1_NoDH"/>
    <x v="0"/>
    <x v="5"/>
    <x v="0"/>
    <x v="19"/>
    <n v="2.97435897435897"/>
    <n v="1085.64102564103"/>
    <n v="3908.3076923076901"/>
  </r>
  <r>
    <x v="0"/>
    <x v="0"/>
    <x v="0"/>
    <x v="0"/>
    <x v="0"/>
    <s v="DK1_NoDH"/>
    <x v="0"/>
    <x v="5"/>
    <x v="0"/>
    <x v="20"/>
    <n v="2.97435897435897"/>
    <n v="1085.64102564103"/>
    <n v="3908.3076923076901"/>
  </r>
  <r>
    <x v="0"/>
    <x v="0"/>
    <x v="0"/>
    <x v="0"/>
    <x v="0"/>
    <s v="DK1_NoDH"/>
    <x v="0"/>
    <x v="5"/>
    <x v="0"/>
    <x v="21"/>
    <n v="2.97435897435897"/>
    <n v="1085.64102564103"/>
    <n v="3908.3076923076901"/>
  </r>
  <r>
    <x v="0"/>
    <x v="0"/>
    <x v="0"/>
    <x v="0"/>
    <x v="0"/>
    <s v="DK1_NoDH"/>
    <x v="0"/>
    <x v="5"/>
    <x v="0"/>
    <x v="22"/>
    <n v="2.97435897435897"/>
    <n v="1085.64102564103"/>
    <n v="3908.3076923076901"/>
  </r>
  <r>
    <x v="0"/>
    <x v="0"/>
    <x v="0"/>
    <x v="0"/>
    <x v="0"/>
    <s v="DK1_NoDH"/>
    <x v="0"/>
    <x v="5"/>
    <x v="0"/>
    <x v="23"/>
    <n v="2.97435897435897"/>
    <n v="1085.64102564103"/>
    <n v="3908.3076923076901"/>
  </r>
  <r>
    <x v="0"/>
    <x v="0"/>
    <x v="0"/>
    <x v="0"/>
    <x v="0"/>
    <s v="DK1_NoDH"/>
    <x v="0"/>
    <x v="6"/>
    <x v="0"/>
    <x v="0"/>
    <n v="6.5"/>
    <n v="2372.5"/>
    <n v="8540.9999999999909"/>
  </r>
  <r>
    <x v="0"/>
    <x v="0"/>
    <x v="0"/>
    <x v="0"/>
    <x v="0"/>
    <s v="DK1_NoDH"/>
    <x v="0"/>
    <x v="6"/>
    <x v="0"/>
    <x v="1"/>
    <n v="6.5"/>
    <n v="2372.5"/>
    <n v="8540.9999999999909"/>
  </r>
  <r>
    <x v="0"/>
    <x v="0"/>
    <x v="0"/>
    <x v="0"/>
    <x v="0"/>
    <s v="DK1_NoDH"/>
    <x v="0"/>
    <x v="6"/>
    <x v="0"/>
    <x v="2"/>
    <n v="6.5"/>
    <n v="2372.5"/>
    <n v="8540.9999999999909"/>
  </r>
  <r>
    <x v="0"/>
    <x v="0"/>
    <x v="0"/>
    <x v="0"/>
    <x v="0"/>
    <s v="DK1_NoDH"/>
    <x v="0"/>
    <x v="6"/>
    <x v="0"/>
    <x v="3"/>
    <n v="6.5"/>
    <n v="2372.5"/>
    <n v="8540.9999999999909"/>
  </r>
  <r>
    <x v="0"/>
    <x v="0"/>
    <x v="0"/>
    <x v="0"/>
    <x v="0"/>
    <s v="DK1_NoDH"/>
    <x v="0"/>
    <x v="6"/>
    <x v="0"/>
    <x v="4"/>
    <n v="6.5"/>
    <n v="2372.5"/>
    <n v="8540.9999999999909"/>
  </r>
  <r>
    <x v="0"/>
    <x v="0"/>
    <x v="0"/>
    <x v="0"/>
    <x v="0"/>
    <s v="DK1_NoDH"/>
    <x v="0"/>
    <x v="6"/>
    <x v="0"/>
    <x v="5"/>
    <n v="6.5"/>
    <n v="2372.5"/>
    <n v="8540.9999999999909"/>
  </r>
  <r>
    <x v="0"/>
    <x v="0"/>
    <x v="0"/>
    <x v="0"/>
    <x v="0"/>
    <s v="DK1_NoDH"/>
    <x v="0"/>
    <x v="6"/>
    <x v="0"/>
    <x v="6"/>
    <n v="6.5"/>
    <n v="2372.5"/>
    <n v="8540.9999999999909"/>
  </r>
  <r>
    <x v="0"/>
    <x v="0"/>
    <x v="0"/>
    <x v="0"/>
    <x v="0"/>
    <s v="DK1_NoDH"/>
    <x v="0"/>
    <x v="6"/>
    <x v="0"/>
    <x v="7"/>
    <n v="6.5"/>
    <n v="2372.5"/>
    <n v="8540.9999999999909"/>
  </r>
  <r>
    <x v="0"/>
    <x v="0"/>
    <x v="0"/>
    <x v="0"/>
    <x v="0"/>
    <s v="DK1_NoDH"/>
    <x v="0"/>
    <x v="6"/>
    <x v="0"/>
    <x v="8"/>
    <n v="6.5"/>
    <n v="2372.5"/>
    <n v="8540.9999999999909"/>
  </r>
  <r>
    <x v="0"/>
    <x v="0"/>
    <x v="0"/>
    <x v="0"/>
    <x v="0"/>
    <s v="DK1_NoDH"/>
    <x v="0"/>
    <x v="6"/>
    <x v="0"/>
    <x v="9"/>
    <n v="6.5"/>
    <n v="2372.5"/>
    <n v="8540.9999999999909"/>
  </r>
  <r>
    <x v="0"/>
    <x v="0"/>
    <x v="0"/>
    <x v="0"/>
    <x v="0"/>
    <s v="DK1_NoDH"/>
    <x v="0"/>
    <x v="6"/>
    <x v="0"/>
    <x v="10"/>
    <n v="6.5"/>
    <n v="2372.5"/>
    <n v="8540.9999999999909"/>
  </r>
  <r>
    <x v="0"/>
    <x v="0"/>
    <x v="0"/>
    <x v="0"/>
    <x v="0"/>
    <s v="DK1_NoDH"/>
    <x v="0"/>
    <x v="6"/>
    <x v="0"/>
    <x v="11"/>
    <n v="6.5"/>
    <n v="2372.5"/>
    <n v="8540.9999999999909"/>
  </r>
  <r>
    <x v="0"/>
    <x v="0"/>
    <x v="0"/>
    <x v="0"/>
    <x v="0"/>
    <s v="DK1_NoDH"/>
    <x v="0"/>
    <x v="6"/>
    <x v="0"/>
    <x v="12"/>
    <n v="6.5"/>
    <n v="2372.5"/>
    <n v="8540.9999999999909"/>
  </r>
  <r>
    <x v="0"/>
    <x v="0"/>
    <x v="0"/>
    <x v="0"/>
    <x v="0"/>
    <s v="DK1_NoDH"/>
    <x v="0"/>
    <x v="6"/>
    <x v="0"/>
    <x v="13"/>
    <n v="6.5"/>
    <n v="2372.5"/>
    <n v="8540.9999999999909"/>
  </r>
  <r>
    <x v="0"/>
    <x v="0"/>
    <x v="0"/>
    <x v="0"/>
    <x v="0"/>
    <s v="DK1_NoDH"/>
    <x v="0"/>
    <x v="6"/>
    <x v="0"/>
    <x v="14"/>
    <n v="6.5"/>
    <n v="2372.5"/>
    <n v="8540.9999999999909"/>
  </r>
  <r>
    <x v="0"/>
    <x v="0"/>
    <x v="0"/>
    <x v="0"/>
    <x v="0"/>
    <s v="DK1_NoDH"/>
    <x v="0"/>
    <x v="6"/>
    <x v="0"/>
    <x v="15"/>
    <n v="6.5"/>
    <n v="2372.5"/>
    <n v="8540.9999999999909"/>
  </r>
  <r>
    <x v="0"/>
    <x v="0"/>
    <x v="0"/>
    <x v="0"/>
    <x v="0"/>
    <s v="DK1_NoDH"/>
    <x v="0"/>
    <x v="6"/>
    <x v="0"/>
    <x v="16"/>
    <n v="6.5"/>
    <n v="2372.5"/>
    <n v="8540.9999999999909"/>
  </r>
  <r>
    <x v="0"/>
    <x v="0"/>
    <x v="0"/>
    <x v="0"/>
    <x v="0"/>
    <s v="DK1_NoDH"/>
    <x v="0"/>
    <x v="6"/>
    <x v="0"/>
    <x v="17"/>
    <n v="6.5"/>
    <n v="2372.5"/>
    <n v="8540.9999999999909"/>
  </r>
  <r>
    <x v="0"/>
    <x v="0"/>
    <x v="0"/>
    <x v="0"/>
    <x v="0"/>
    <s v="DK1_NoDH"/>
    <x v="0"/>
    <x v="6"/>
    <x v="0"/>
    <x v="18"/>
    <n v="6.5"/>
    <n v="2372.5"/>
    <n v="8540.9999999999909"/>
  </r>
  <r>
    <x v="0"/>
    <x v="0"/>
    <x v="0"/>
    <x v="0"/>
    <x v="0"/>
    <s v="DK1_NoDH"/>
    <x v="0"/>
    <x v="6"/>
    <x v="0"/>
    <x v="19"/>
    <n v="6.5"/>
    <n v="2372.5"/>
    <n v="8540.9999999999909"/>
  </r>
  <r>
    <x v="0"/>
    <x v="0"/>
    <x v="0"/>
    <x v="0"/>
    <x v="0"/>
    <s v="DK1_NoDH"/>
    <x v="0"/>
    <x v="6"/>
    <x v="0"/>
    <x v="20"/>
    <n v="6.5"/>
    <n v="2372.5"/>
    <n v="8540.9999999999909"/>
  </r>
  <r>
    <x v="0"/>
    <x v="0"/>
    <x v="0"/>
    <x v="0"/>
    <x v="0"/>
    <s v="DK1_NoDH"/>
    <x v="0"/>
    <x v="6"/>
    <x v="0"/>
    <x v="21"/>
    <n v="6.5"/>
    <n v="2372.5"/>
    <n v="8540.9999999999909"/>
  </r>
  <r>
    <x v="0"/>
    <x v="0"/>
    <x v="0"/>
    <x v="0"/>
    <x v="0"/>
    <s v="DK1_NoDH"/>
    <x v="0"/>
    <x v="6"/>
    <x v="0"/>
    <x v="22"/>
    <n v="6.5"/>
    <n v="2372.5"/>
    <n v="8540.9999999999909"/>
  </r>
  <r>
    <x v="0"/>
    <x v="0"/>
    <x v="0"/>
    <x v="0"/>
    <x v="0"/>
    <s v="DK1_NoDH"/>
    <x v="0"/>
    <x v="6"/>
    <x v="0"/>
    <x v="23"/>
    <n v="6.5"/>
    <n v="2372.5"/>
    <n v="8540.9999999999909"/>
  </r>
  <r>
    <x v="0"/>
    <x v="0"/>
    <x v="0"/>
    <x v="0"/>
    <x v="0"/>
    <s v="DK1_NoDH"/>
    <x v="0"/>
    <x v="8"/>
    <x v="0"/>
    <x v="0"/>
    <n v="3.3333333333333401"/>
    <n v="1216.6666666666699"/>
    <n v="4380"/>
  </r>
  <r>
    <x v="0"/>
    <x v="0"/>
    <x v="0"/>
    <x v="0"/>
    <x v="0"/>
    <s v="DK1_NoDH"/>
    <x v="0"/>
    <x v="8"/>
    <x v="0"/>
    <x v="1"/>
    <n v="3.3333333333333401"/>
    <n v="1216.6666666666699"/>
    <n v="4380"/>
  </r>
  <r>
    <x v="0"/>
    <x v="0"/>
    <x v="0"/>
    <x v="0"/>
    <x v="0"/>
    <s v="DK1_NoDH"/>
    <x v="0"/>
    <x v="8"/>
    <x v="0"/>
    <x v="2"/>
    <n v="3.3333333333333401"/>
    <n v="1216.6666666666699"/>
    <n v="4380"/>
  </r>
  <r>
    <x v="0"/>
    <x v="0"/>
    <x v="0"/>
    <x v="0"/>
    <x v="0"/>
    <s v="DK1_NoDH"/>
    <x v="0"/>
    <x v="8"/>
    <x v="0"/>
    <x v="3"/>
    <n v="3.3333333333333401"/>
    <n v="1216.6666666666699"/>
    <n v="4380"/>
  </r>
  <r>
    <x v="0"/>
    <x v="0"/>
    <x v="0"/>
    <x v="0"/>
    <x v="0"/>
    <s v="DK1_NoDH"/>
    <x v="0"/>
    <x v="8"/>
    <x v="0"/>
    <x v="4"/>
    <n v="3.3333333333333401"/>
    <n v="1216.6666666666699"/>
    <n v="4380"/>
  </r>
  <r>
    <x v="0"/>
    <x v="0"/>
    <x v="0"/>
    <x v="0"/>
    <x v="0"/>
    <s v="DK1_NoDH"/>
    <x v="0"/>
    <x v="8"/>
    <x v="0"/>
    <x v="5"/>
    <n v="3.3333333333333401"/>
    <n v="1216.6666666666699"/>
    <n v="4380"/>
  </r>
  <r>
    <x v="0"/>
    <x v="0"/>
    <x v="0"/>
    <x v="0"/>
    <x v="0"/>
    <s v="DK1_NoDH"/>
    <x v="0"/>
    <x v="8"/>
    <x v="0"/>
    <x v="6"/>
    <n v="3.3333333333333401"/>
    <n v="1216.6666666666699"/>
    <n v="4380"/>
  </r>
  <r>
    <x v="0"/>
    <x v="0"/>
    <x v="0"/>
    <x v="0"/>
    <x v="0"/>
    <s v="DK1_NoDH"/>
    <x v="0"/>
    <x v="8"/>
    <x v="0"/>
    <x v="7"/>
    <n v="3.3333333333333401"/>
    <n v="1216.6666666666699"/>
    <n v="4380"/>
  </r>
  <r>
    <x v="0"/>
    <x v="0"/>
    <x v="0"/>
    <x v="0"/>
    <x v="0"/>
    <s v="DK1_NoDH"/>
    <x v="0"/>
    <x v="8"/>
    <x v="0"/>
    <x v="8"/>
    <n v="3.3333333333333401"/>
    <n v="1216.6666666666699"/>
    <n v="4380"/>
  </r>
  <r>
    <x v="0"/>
    <x v="0"/>
    <x v="0"/>
    <x v="0"/>
    <x v="0"/>
    <s v="DK1_NoDH"/>
    <x v="0"/>
    <x v="8"/>
    <x v="0"/>
    <x v="9"/>
    <n v="3.3333333333333401"/>
    <n v="1216.6666666666699"/>
    <n v="4380"/>
  </r>
  <r>
    <x v="0"/>
    <x v="0"/>
    <x v="0"/>
    <x v="0"/>
    <x v="0"/>
    <s v="DK1_NoDH"/>
    <x v="0"/>
    <x v="8"/>
    <x v="0"/>
    <x v="10"/>
    <n v="3.3333333333333401"/>
    <n v="1216.6666666666699"/>
    <n v="4380"/>
  </r>
  <r>
    <x v="0"/>
    <x v="0"/>
    <x v="0"/>
    <x v="0"/>
    <x v="0"/>
    <s v="DK1_NoDH"/>
    <x v="0"/>
    <x v="8"/>
    <x v="0"/>
    <x v="11"/>
    <n v="3.3333333333333401"/>
    <n v="1216.6666666666699"/>
    <n v="4380"/>
  </r>
  <r>
    <x v="0"/>
    <x v="0"/>
    <x v="0"/>
    <x v="0"/>
    <x v="0"/>
    <s v="DK1_NoDH"/>
    <x v="0"/>
    <x v="8"/>
    <x v="0"/>
    <x v="12"/>
    <n v="3.3333333333333401"/>
    <n v="1216.6666666666699"/>
    <n v="4380"/>
  </r>
  <r>
    <x v="0"/>
    <x v="0"/>
    <x v="0"/>
    <x v="0"/>
    <x v="0"/>
    <s v="DK1_NoDH"/>
    <x v="0"/>
    <x v="8"/>
    <x v="0"/>
    <x v="13"/>
    <n v="3.3333333333333401"/>
    <n v="1216.6666666666699"/>
    <n v="4380"/>
  </r>
  <r>
    <x v="0"/>
    <x v="0"/>
    <x v="0"/>
    <x v="0"/>
    <x v="0"/>
    <s v="DK1_NoDH"/>
    <x v="0"/>
    <x v="8"/>
    <x v="0"/>
    <x v="14"/>
    <n v="3.3333333333333401"/>
    <n v="1216.6666666666699"/>
    <n v="4380"/>
  </r>
  <r>
    <x v="0"/>
    <x v="0"/>
    <x v="0"/>
    <x v="0"/>
    <x v="0"/>
    <s v="DK1_NoDH"/>
    <x v="0"/>
    <x v="8"/>
    <x v="0"/>
    <x v="15"/>
    <n v="3.3333333333333401"/>
    <n v="1216.6666666666699"/>
    <n v="4380"/>
  </r>
  <r>
    <x v="0"/>
    <x v="0"/>
    <x v="0"/>
    <x v="0"/>
    <x v="0"/>
    <s v="DK1_NoDH"/>
    <x v="0"/>
    <x v="8"/>
    <x v="0"/>
    <x v="16"/>
    <n v="3.3333333333333401"/>
    <n v="1216.6666666666699"/>
    <n v="4380"/>
  </r>
  <r>
    <x v="0"/>
    <x v="0"/>
    <x v="0"/>
    <x v="0"/>
    <x v="0"/>
    <s v="DK1_NoDH"/>
    <x v="0"/>
    <x v="8"/>
    <x v="0"/>
    <x v="17"/>
    <n v="3.3333333333333401"/>
    <n v="1216.6666666666699"/>
    <n v="4380"/>
  </r>
  <r>
    <x v="0"/>
    <x v="0"/>
    <x v="0"/>
    <x v="0"/>
    <x v="0"/>
    <s v="DK1_NoDH"/>
    <x v="0"/>
    <x v="8"/>
    <x v="0"/>
    <x v="18"/>
    <n v="3.3333333333333401"/>
    <n v="1216.6666666666699"/>
    <n v="4380"/>
  </r>
  <r>
    <x v="0"/>
    <x v="0"/>
    <x v="0"/>
    <x v="0"/>
    <x v="0"/>
    <s v="DK1_NoDH"/>
    <x v="0"/>
    <x v="8"/>
    <x v="0"/>
    <x v="19"/>
    <n v="3.3333333333333401"/>
    <n v="1216.6666666666699"/>
    <n v="4380"/>
  </r>
  <r>
    <x v="0"/>
    <x v="0"/>
    <x v="0"/>
    <x v="0"/>
    <x v="0"/>
    <s v="DK1_NoDH"/>
    <x v="0"/>
    <x v="8"/>
    <x v="0"/>
    <x v="20"/>
    <n v="3.3333333333333401"/>
    <n v="1216.6666666666699"/>
    <n v="4380"/>
  </r>
  <r>
    <x v="0"/>
    <x v="0"/>
    <x v="0"/>
    <x v="0"/>
    <x v="0"/>
    <s v="DK1_NoDH"/>
    <x v="0"/>
    <x v="8"/>
    <x v="0"/>
    <x v="21"/>
    <n v="3.3333333333333401"/>
    <n v="1216.6666666666699"/>
    <n v="4380"/>
  </r>
  <r>
    <x v="0"/>
    <x v="0"/>
    <x v="0"/>
    <x v="0"/>
    <x v="0"/>
    <s v="DK1_NoDH"/>
    <x v="0"/>
    <x v="8"/>
    <x v="0"/>
    <x v="22"/>
    <n v="3.3333333333333401"/>
    <n v="1216.6666666666699"/>
    <n v="4380"/>
  </r>
  <r>
    <x v="0"/>
    <x v="0"/>
    <x v="0"/>
    <x v="0"/>
    <x v="0"/>
    <s v="DK1_NoDH"/>
    <x v="0"/>
    <x v="8"/>
    <x v="0"/>
    <x v="23"/>
    <n v="3.3333333333333401"/>
    <n v="1216.6666666666699"/>
    <n v="4380"/>
  </r>
  <r>
    <x v="0"/>
    <x v="0"/>
    <x v="0"/>
    <x v="0"/>
    <x v="0"/>
    <s v="DK1_NoDH"/>
    <x v="0"/>
    <x v="9"/>
    <x v="0"/>
    <x v="0"/>
    <n v="13.953488372093"/>
    <n v="5093.0232558139496"/>
    <n v="18334.8837209302"/>
  </r>
  <r>
    <x v="0"/>
    <x v="0"/>
    <x v="0"/>
    <x v="0"/>
    <x v="0"/>
    <s v="DK1_NoDH"/>
    <x v="0"/>
    <x v="9"/>
    <x v="0"/>
    <x v="1"/>
    <n v="13.953488372093"/>
    <n v="5093.0232558139496"/>
    <n v="18334.8837209302"/>
  </r>
  <r>
    <x v="0"/>
    <x v="0"/>
    <x v="0"/>
    <x v="0"/>
    <x v="0"/>
    <s v="DK1_NoDH"/>
    <x v="0"/>
    <x v="9"/>
    <x v="0"/>
    <x v="2"/>
    <n v="13.953488372093"/>
    <n v="5093.0232558139496"/>
    <n v="18334.8837209302"/>
  </r>
  <r>
    <x v="0"/>
    <x v="0"/>
    <x v="0"/>
    <x v="0"/>
    <x v="0"/>
    <s v="DK1_NoDH"/>
    <x v="0"/>
    <x v="9"/>
    <x v="0"/>
    <x v="3"/>
    <n v="13.953488372093"/>
    <n v="5093.0232558139496"/>
    <n v="18334.8837209302"/>
  </r>
  <r>
    <x v="0"/>
    <x v="0"/>
    <x v="0"/>
    <x v="0"/>
    <x v="0"/>
    <s v="DK1_NoDH"/>
    <x v="0"/>
    <x v="9"/>
    <x v="0"/>
    <x v="4"/>
    <n v="13.953488372093"/>
    <n v="5093.0232558139496"/>
    <n v="18334.8837209302"/>
  </r>
  <r>
    <x v="0"/>
    <x v="0"/>
    <x v="0"/>
    <x v="0"/>
    <x v="0"/>
    <s v="DK1_NoDH"/>
    <x v="0"/>
    <x v="9"/>
    <x v="0"/>
    <x v="5"/>
    <n v="13.953488372093"/>
    <n v="5093.0232558139496"/>
    <n v="18334.8837209302"/>
  </r>
  <r>
    <x v="0"/>
    <x v="0"/>
    <x v="0"/>
    <x v="0"/>
    <x v="0"/>
    <s v="DK1_NoDH"/>
    <x v="0"/>
    <x v="9"/>
    <x v="0"/>
    <x v="6"/>
    <n v="13.953488372093"/>
    <n v="5093.0232558139496"/>
    <n v="18334.8837209302"/>
  </r>
  <r>
    <x v="0"/>
    <x v="0"/>
    <x v="0"/>
    <x v="0"/>
    <x v="0"/>
    <s v="DK1_NoDH"/>
    <x v="0"/>
    <x v="9"/>
    <x v="0"/>
    <x v="7"/>
    <n v="13.953488372093"/>
    <n v="5093.0232558139496"/>
    <n v="18334.8837209302"/>
  </r>
  <r>
    <x v="0"/>
    <x v="0"/>
    <x v="0"/>
    <x v="0"/>
    <x v="0"/>
    <s v="DK1_NoDH"/>
    <x v="0"/>
    <x v="9"/>
    <x v="0"/>
    <x v="8"/>
    <n v="13.953488372093"/>
    <n v="5093.0232558139496"/>
    <n v="18334.8837209302"/>
  </r>
  <r>
    <x v="0"/>
    <x v="0"/>
    <x v="0"/>
    <x v="0"/>
    <x v="0"/>
    <s v="DK1_NoDH"/>
    <x v="0"/>
    <x v="9"/>
    <x v="0"/>
    <x v="9"/>
    <n v="13.953488372093"/>
    <n v="5093.0232558139496"/>
    <n v="18334.8837209302"/>
  </r>
  <r>
    <x v="0"/>
    <x v="0"/>
    <x v="0"/>
    <x v="0"/>
    <x v="0"/>
    <s v="DK1_NoDH"/>
    <x v="0"/>
    <x v="9"/>
    <x v="0"/>
    <x v="10"/>
    <n v="13.953488372093"/>
    <n v="5093.0232558139496"/>
    <n v="18334.8837209302"/>
  </r>
  <r>
    <x v="0"/>
    <x v="0"/>
    <x v="0"/>
    <x v="0"/>
    <x v="0"/>
    <s v="DK1_NoDH"/>
    <x v="0"/>
    <x v="9"/>
    <x v="0"/>
    <x v="11"/>
    <n v="13.953488372093"/>
    <n v="5093.0232558139496"/>
    <n v="18334.8837209302"/>
  </r>
  <r>
    <x v="0"/>
    <x v="0"/>
    <x v="0"/>
    <x v="0"/>
    <x v="0"/>
    <s v="DK1_NoDH"/>
    <x v="0"/>
    <x v="9"/>
    <x v="0"/>
    <x v="12"/>
    <n v="13.953488372093"/>
    <n v="5093.0232558139496"/>
    <n v="18334.8837209302"/>
  </r>
  <r>
    <x v="0"/>
    <x v="0"/>
    <x v="0"/>
    <x v="0"/>
    <x v="0"/>
    <s v="DK1_NoDH"/>
    <x v="0"/>
    <x v="9"/>
    <x v="0"/>
    <x v="13"/>
    <n v="13.953488372093"/>
    <n v="5093.0232558139496"/>
    <n v="18334.8837209302"/>
  </r>
  <r>
    <x v="0"/>
    <x v="0"/>
    <x v="0"/>
    <x v="0"/>
    <x v="0"/>
    <s v="DK1_NoDH"/>
    <x v="0"/>
    <x v="9"/>
    <x v="0"/>
    <x v="14"/>
    <n v="13.953488372093"/>
    <n v="5093.0232558139496"/>
    <n v="18334.8837209302"/>
  </r>
  <r>
    <x v="0"/>
    <x v="0"/>
    <x v="0"/>
    <x v="0"/>
    <x v="0"/>
    <s v="DK1_NoDH"/>
    <x v="0"/>
    <x v="9"/>
    <x v="0"/>
    <x v="15"/>
    <n v="13.953488372093"/>
    <n v="5093.0232558139496"/>
    <n v="18334.8837209302"/>
  </r>
  <r>
    <x v="0"/>
    <x v="0"/>
    <x v="0"/>
    <x v="0"/>
    <x v="0"/>
    <s v="DK1_NoDH"/>
    <x v="0"/>
    <x v="9"/>
    <x v="0"/>
    <x v="16"/>
    <n v="13.953488372093"/>
    <n v="5093.0232558139496"/>
    <n v="18334.8837209302"/>
  </r>
  <r>
    <x v="0"/>
    <x v="0"/>
    <x v="0"/>
    <x v="0"/>
    <x v="0"/>
    <s v="DK1_NoDH"/>
    <x v="0"/>
    <x v="9"/>
    <x v="0"/>
    <x v="17"/>
    <n v="13.953488372093"/>
    <n v="5093.0232558139496"/>
    <n v="18334.8837209302"/>
  </r>
  <r>
    <x v="0"/>
    <x v="0"/>
    <x v="0"/>
    <x v="0"/>
    <x v="0"/>
    <s v="DK1_NoDH"/>
    <x v="0"/>
    <x v="9"/>
    <x v="0"/>
    <x v="18"/>
    <n v="13.953488372093"/>
    <n v="5093.0232558139496"/>
    <n v="18334.8837209302"/>
  </r>
  <r>
    <x v="0"/>
    <x v="0"/>
    <x v="0"/>
    <x v="0"/>
    <x v="0"/>
    <s v="DK1_NoDH"/>
    <x v="0"/>
    <x v="9"/>
    <x v="0"/>
    <x v="19"/>
    <n v="13.953488372093"/>
    <n v="5093.0232558139496"/>
    <n v="18334.8837209302"/>
  </r>
  <r>
    <x v="0"/>
    <x v="0"/>
    <x v="0"/>
    <x v="0"/>
    <x v="0"/>
    <s v="DK1_NoDH"/>
    <x v="0"/>
    <x v="9"/>
    <x v="0"/>
    <x v="20"/>
    <n v="13.953488372093"/>
    <n v="5093.0232558139496"/>
    <n v="18334.8837209302"/>
  </r>
  <r>
    <x v="0"/>
    <x v="0"/>
    <x v="0"/>
    <x v="0"/>
    <x v="0"/>
    <s v="DK1_NoDH"/>
    <x v="0"/>
    <x v="9"/>
    <x v="0"/>
    <x v="21"/>
    <n v="13.953488372093"/>
    <n v="5093.0232558139496"/>
    <n v="18334.8837209302"/>
  </r>
  <r>
    <x v="0"/>
    <x v="0"/>
    <x v="0"/>
    <x v="0"/>
    <x v="0"/>
    <s v="DK1_NoDH"/>
    <x v="0"/>
    <x v="9"/>
    <x v="0"/>
    <x v="22"/>
    <n v="13.953488372093"/>
    <n v="5093.0232558139496"/>
    <n v="18334.8837209302"/>
  </r>
  <r>
    <x v="0"/>
    <x v="0"/>
    <x v="0"/>
    <x v="0"/>
    <x v="0"/>
    <s v="DK1_NoDH"/>
    <x v="0"/>
    <x v="9"/>
    <x v="0"/>
    <x v="23"/>
    <n v="13.953488372093"/>
    <n v="5093.0232558139496"/>
    <n v="18334.8837209302"/>
  </r>
  <r>
    <x v="0"/>
    <x v="0"/>
    <x v="0"/>
    <x v="0"/>
    <x v="0"/>
    <s v="DK1_NoDH"/>
    <x v="0"/>
    <x v="54"/>
    <x v="0"/>
    <x v="0"/>
    <n v="3.8888888888888902"/>
    <n v="1419.44444444444"/>
    <n v="5110"/>
  </r>
  <r>
    <x v="0"/>
    <x v="0"/>
    <x v="0"/>
    <x v="0"/>
    <x v="0"/>
    <s v="DK1_NoDH"/>
    <x v="0"/>
    <x v="54"/>
    <x v="0"/>
    <x v="1"/>
    <n v="3.8888888888888902"/>
    <n v="1419.44444444444"/>
    <n v="5110"/>
  </r>
  <r>
    <x v="0"/>
    <x v="0"/>
    <x v="0"/>
    <x v="0"/>
    <x v="0"/>
    <s v="DK1_NoDH"/>
    <x v="0"/>
    <x v="54"/>
    <x v="0"/>
    <x v="2"/>
    <n v="3.8888888888888902"/>
    <n v="1419.44444444444"/>
    <n v="5110"/>
  </r>
  <r>
    <x v="0"/>
    <x v="0"/>
    <x v="0"/>
    <x v="0"/>
    <x v="0"/>
    <s v="DK1_NoDH"/>
    <x v="0"/>
    <x v="54"/>
    <x v="0"/>
    <x v="3"/>
    <n v="3.8888888888888902"/>
    <n v="1419.44444444444"/>
    <n v="5110"/>
  </r>
  <r>
    <x v="0"/>
    <x v="0"/>
    <x v="0"/>
    <x v="0"/>
    <x v="0"/>
    <s v="DK1_NoDH"/>
    <x v="0"/>
    <x v="54"/>
    <x v="0"/>
    <x v="4"/>
    <n v="3.8888888888888902"/>
    <n v="1419.44444444444"/>
    <n v="5110"/>
  </r>
  <r>
    <x v="0"/>
    <x v="0"/>
    <x v="0"/>
    <x v="0"/>
    <x v="0"/>
    <s v="DK1_NoDH"/>
    <x v="0"/>
    <x v="54"/>
    <x v="0"/>
    <x v="5"/>
    <n v="3.8888888888888902"/>
    <n v="1419.44444444444"/>
    <n v="5110"/>
  </r>
  <r>
    <x v="0"/>
    <x v="0"/>
    <x v="0"/>
    <x v="0"/>
    <x v="0"/>
    <s v="DK1_NoDH"/>
    <x v="0"/>
    <x v="54"/>
    <x v="0"/>
    <x v="6"/>
    <n v="3.8888888888888902"/>
    <n v="1419.44444444444"/>
    <n v="5110"/>
  </r>
  <r>
    <x v="0"/>
    <x v="0"/>
    <x v="0"/>
    <x v="0"/>
    <x v="0"/>
    <s v="DK1_NoDH"/>
    <x v="0"/>
    <x v="54"/>
    <x v="0"/>
    <x v="7"/>
    <n v="3.8888888888888902"/>
    <n v="1419.44444444444"/>
    <n v="5110"/>
  </r>
  <r>
    <x v="0"/>
    <x v="0"/>
    <x v="0"/>
    <x v="0"/>
    <x v="0"/>
    <s v="DK1_NoDH"/>
    <x v="0"/>
    <x v="54"/>
    <x v="0"/>
    <x v="8"/>
    <n v="3.8888888888888902"/>
    <n v="1419.44444444444"/>
    <n v="5110"/>
  </r>
  <r>
    <x v="0"/>
    <x v="0"/>
    <x v="0"/>
    <x v="0"/>
    <x v="0"/>
    <s v="DK1_NoDH"/>
    <x v="0"/>
    <x v="54"/>
    <x v="0"/>
    <x v="9"/>
    <n v="3.8888888888888902"/>
    <n v="1419.44444444444"/>
    <n v="5110"/>
  </r>
  <r>
    <x v="0"/>
    <x v="0"/>
    <x v="0"/>
    <x v="0"/>
    <x v="0"/>
    <s v="DK1_NoDH"/>
    <x v="0"/>
    <x v="54"/>
    <x v="0"/>
    <x v="10"/>
    <n v="3.8888888888888902"/>
    <n v="1419.44444444444"/>
    <n v="5110"/>
  </r>
  <r>
    <x v="0"/>
    <x v="0"/>
    <x v="0"/>
    <x v="0"/>
    <x v="0"/>
    <s v="DK1_NoDH"/>
    <x v="0"/>
    <x v="54"/>
    <x v="0"/>
    <x v="11"/>
    <n v="3.8888888888888902"/>
    <n v="1419.44444444444"/>
    <n v="5110"/>
  </r>
  <r>
    <x v="0"/>
    <x v="0"/>
    <x v="0"/>
    <x v="0"/>
    <x v="0"/>
    <s v="DK1_NoDH"/>
    <x v="0"/>
    <x v="54"/>
    <x v="0"/>
    <x v="12"/>
    <n v="3.8888888888888902"/>
    <n v="1419.44444444444"/>
    <n v="5110"/>
  </r>
  <r>
    <x v="0"/>
    <x v="0"/>
    <x v="0"/>
    <x v="0"/>
    <x v="0"/>
    <s v="DK1_NoDH"/>
    <x v="0"/>
    <x v="54"/>
    <x v="0"/>
    <x v="13"/>
    <n v="3.8888888888888902"/>
    <n v="1419.44444444444"/>
    <n v="5110"/>
  </r>
  <r>
    <x v="0"/>
    <x v="0"/>
    <x v="0"/>
    <x v="0"/>
    <x v="0"/>
    <s v="DK1_NoDH"/>
    <x v="0"/>
    <x v="54"/>
    <x v="0"/>
    <x v="14"/>
    <n v="3.8888888888888902"/>
    <n v="1419.44444444444"/>
    <n v="5110"/>
  </r>
  <r>
    <x v="0"/>
    <x v="0"/>
    <x v="0"/>
    <x v="0"/>
    <x v="0"/>
    <s v="DK1_NoDH"/>
    <x v="0"/>
    <x v="54"/>
    <x v="0"/>
    <x v="15"/>
    <n v="3.8888888888888902"/>
    <n v="1419.44444444444"/>
    <n v="5110"/>
  </r>
  <r>
    <x v="0"/>
    <x v="0"/>
    <x v="0"/>
    <x v="0"/>
    <x v="0"/>
    <s v="DK1_NoDH"/>
    <x v="0"/>
    <x v="54"/>
    <x v="0"/>
    <x v="16"/>
    <n v="3.8888888888888902"/>
    <n v="1419.44444444444"/>
    <n v="5110"/>
  </r>
  <r>
    <x v="0"/>
    <x v="0"/>
    <x v="0"/>
    <x v="0"/>
    <x v="0"/>
    <s v="DK1_NoDH"/>
    <x v="0"/>
    <x v="54"/>
    <x v="0"/>
    <x v="17"/>
    <n v="3.8888888888888902"/>
    <n v="1419.44444444444"/>
    <n v="5110"/>
  </r>
  <r>
    <x v="0"/>
    <x v="0"/>
    <x v="0"/>
    <x v="0"/>
    <x v="0"/>
    <s v="DK1_NoDH"/>
    <x v="0"/>
    <x v="54"/>
    <x v="0"/>
    <x v="18"/>
    <n v="3.8888888888888902"/>
    <n v="1419.44444444444"/>
    <n v="5110"/>
  </r>
  <r>
    <x v="0"/>
    <x v="0"/>
    <x v="0"/>
    <x v="0"/>
    <x v="0"/>
    <s v="DK1_NoDH"/>
    <x v="0"/>
    <x v="54"/>
    <x v="0"/>
    <x v="19"/>
    <n v="3.8888888888888902"/>
    <n v="1419.44444444444"/>
    <n v="5110"/>
  </r>
  <r>
    <x v="0"/>
    <x v="0"/>
    <x v="0"/>
    <x v="0"/>
    <x v="0"/>
    <s v="DK1_NoDH"/>
    <x v="0"/>
    <x v="54"/>
    <x v="0"/>
    <x v="20"/>
    <n v="3.8888888888888902"/>
    <n v="1419.44444444444"/>
    <n v="5110"/>
  </r>
  <r>
    <x v="0"/>
    <x v="0"/>
    <x v="0"/>
    <x v="0"/>
    <x v="0"/>
    <s v="DK1_NoDH"/>
    <x v="0"/>
    <x v="54"/>
    <x v="0"/>
    <x v="21"/>
    <n v="3.8888888888888902"/>
    <n v="1419.44444444444"/>
    <n v="5110"/>
  </r>
  <r>
    <x v="0"/>
    <x v="0"/>
    <x v="0"/>
    <x v="0"/>
    <x v="0"/>
    <s v="DK1_NoDH"/>
    <x v="0"/>
    <x v="54"/>
    <x v="0"/>
    <x v="22"/>
    <n v="3.8888888888888902"/>
    <n v="1419.44444444444"/>
    <n v="5110"/>
  </r>
  <r>
    <x v="0"/>
    <x v="0"/>
    <x v="0"/>
    <x v="0"/>
    <x v="0"/>
    <s v="DK1_NoDH"/>
    <x v="0"/>
    <x v="54"/>
    <x v="0"/>
    <x v="23"/>
    <n v="3.8888888888888902"/>
    <n v="1419.44444444444"/>
    <n v="5110"/>
  </r>
  <r>
    <x v="0"/>
    <x v="0"/>
    <x v="0"/>
    <x v="0"/>
    <x v="0"/>
    <s v="DK1_NoDH"/>
    <x v="0"/>
    <x v="55"/>
    <x v="0"/>
    <x v="0"/>
    <n v="0.83333333333333304"/>
    <n v="304.16666666666703"/>
    <n v="1095"/>
  </r>
  <r>
    <x v="0"/>
    <x v="0"/>
    <x v="0"/>
    <x v="0"/>
    <x v="0"/>
    <s v="DK1_NoDH"/>
    <x v="0"/>
    <x v="55"/>
    <x v="0"/>
    <x v="1"/>
    <n v="0.83333333333333304"/>
    <n v="304.16666666666703"/>
    <n v="1095"/>
  </r>
  <r>
    <x v="0"/>
    <x v="0"/>
    <x v="0"/>
    <x v="0"/>
    <x v="0"/>
    <s v="DK1_NoDH"/>
    <x v="0"/>
    <x v="55"/>
    <x v="0"/>
    <x v="2"/>
    <n v="0.83333333333333304"/>
    <n v="304.16666666666703"/>
    <n v="1095"/>
  </r>
  <r>
    <x v="0"/>
    <x v="0"/>
    <x v="0"/>
    <x v="0"/>
    <x v="0"/>
    <s v="DK1_NoDH"/>
    <x v="0"/>
    <x v="55"/>
    <x v="0"/>
    <x v="3"/>
    <n v="0.83333333333333304"/>
    <n v="304.16666666666703"/>
    <n v="1095"/>
  </r>
  <r>
    <x v="0"/>
    <x v="0"/>
    <x v="0"/>
    <x v="0"/>
    <x v="0"/>
    <s v="DK1_NoDH"/>
    <x v="0"/>
    <x v="55"/>
    <x v="0"/>
    <x v="4"/>
    <n v="0.83333333333333304"/>
    <n v="304.16666666666703"/>
    <n v="1095"/>
  </r>
  <r>
    <x v="0"/>
    <x v="0"/>
    <x v="0"/>
    <x v="0"/>
    <x v="0"/>
    <s v="DK1_NoDH"/>
    <x v="0"/>
    <x v="55"/>
    <x v="0"/>
    <x v="5"/>
    <n v="0.83333333333333304"/>
    <n v="304.16666666666703"/>
    <n v="1095"/>
  </r>
  <r>
    <x v="0"/>
    <x v="0"/>
    <x v="0"/>
    <x v="0"/>
    <x v="0"/>
    <s v="DK1_NoDH"/>
    <x v="0"/>
    <x v="55"/>
    <x v="0"/>
    <x v="6"/>
    <n v="0.83333333333333304"/>
    <n v="304.16666666666703"/>
    <n v="1095"/>
  </r>
  <r>
    <x v="0"/>
    <x v="0"/>
    <x v="0"/>
    <x v="0"/>
    <x v="0"/>
    <s v="DK1_NoDH"/>
    <x v="0"/>
    <x v="55"/>
    <x v="0"/>
    <x v="7"/>
    <n v="0.83333333333333304"/>
    <n v="304.16666666666703"/>
    <n v="1095"/>
  </r>
  <r>
    <x v="0"/>
    <x v="0"/>
    <x v="0"/>
    <x v="0"/>
    <x v="0"/>
    <s v="DK1_NoDH"/>
    <x v="0"/>
    <x v="55"/>
    <x v="0"/>
    <x v="8"/>
    <n v="0.83333333333333304"/>
    <n v="304.16666666666703"/>
    <n v="1095"/>
  </r>
  <r>
    <x v="0"/>
    <x v="0"/>
    <x v="0"/>
    <x v="0"/>
    <x v="0"/>
    <s v="DK1_NoDH"/>
    <x v="0"/>
    <x v="55"/>
    <x v="0"/>
    <x v="9"/>
    <n v="0.83333333333333304"/>
    <n v="304.16666666666703"/>
    <n v="1095"/>
  </r>
  <r>
    <x v="0"/>
    <x v="0"/>
    <x v="0"/>
    <x v="0"/>
    <x v="0"/>
    <s v="DK1_NoDH"/>
    <x v="0"/>
    <x v="55"/>
    <x v="0"/>
    <x v="10"/>
    <n v="0.83333333333333304"/>
    <n v="304.16666666666703"/>
    <n v="1095"/>
  </r>
  <r>
    <x v="0"/>
    <x v="0"/>
    <x v="0"/>
    <x v="0"/>
    <x v="0"/>
    <s v="DK1_NoDH"/>
    <x v="0"/>
    <x v="55"/>
    <x v="0"/>
    <x v="11"/>
    <n v="0.83333333333333304"/>
    <n v="304.16666666666703"/>
    <n v="1095"/>
  </r>
  <r>
    <x v="0"/>
    <x v="0"/>
    <x v="0"/>
    <x v="0"/>
    <x v="0"/>
    <s v="DK1_NoDH"/>
    <x v="0"/>
    <x v="55"/>
    <x v="0"/>
    <x v="12"/>
    <n v="0.83333333333333304"/>
    <n v="304.16666666666703"/>
    <n v="1095"/>
  </r>
  <r>
    <x v="0"/>
    <x v="0"/>
    <x v="0"/>
    <x v="0"/>
    <x v="0"/>
    <s v="DK1_NoDH"/>
    <x v="0"/>
    <x v="55"/>
    <x v="0"/>
    <x v="13"/>
    <n v="0.83333333333333304"/>
    <n v="304.16666666666703"/>
    <n v="1095"/>
  </r>
  <r>
    <x v="0"/>
    <x v="0"/>
    <x v="0"/>
    <x v="0"/>
    <x v="0"/>
    <s v="DK1_NoDH"/>
    <x v="0"/>
    <x v="55"/>
    <x v="0"/>
    <x v="14"/>
    <n v="0.83333333333333304"/>
    <n v="304.16666666666703"/>
    <n v="1095"/>
  </r>
  <r>
    <x v="0"/>
    <x v="0"/>
    <x v="0"/>
    <x v="0"/>
    <x v="0"/>
    <s v="DK1_NoDH"/>
    <x v="0"/>
    <x v="55"/>
    <x v="0"/>
    <x v="15"/>
    <n v="0.83333333333333304"/>
    <n v="304.16666666666703"/>
    <n v="1095"/>
  </r>
  <r>
    <x v="0"/>
    <x v="0"/>
    <x v="0"/>
    <x v="0"/>
    <x v="0"/>
    <s v="DK1_NoDH"/>
    <x v="0"/>
    <x v="55"/>
    <x v="0"/>
    <x v="16"/>
    <n v="0.83333333333333304"/>
    <n v="304.16666666666703"/>
    <n v="1095"/>
  </r>
  <r>
    <x v="0"/>
    <x v="0"/>
    <x v="0"/>
    <x v="0"/>
    <x v="0"/>
    <s v="DK1_NoDH"/>
    <x v="0"/>
    <x v="55"/>
    <x v="0"/>
    <x v="17"/>
    <n v="0.83333333333333304"/>
    <n v="304.16666666666703"/>
    <n v="1095"/>
  </r>
  <r>
    <x v="0"/>
    <x v="0"/>
    <x v="0"/>
    <x v="0"/>
    <x v="0"/>
    <s v="DK1_NoDH"/>
    <x v="0"/>
    <x v="55"/>
    <x v="0"/>
    <x v="18"/>
    <n v="0.83333333333333304"/>
    <n v="304.16666666666703"/>
    <n v="1095"/>
  </r>
  <r>
    <x v="0"/>
    <x v="0"/>
    <x v="0"/>
    <x v="0"/>
    <x v="0"/>
    <s v="DK1_NoDH"/>
    <x v="0"/>
    <x v="55"/>
    <x v="0"/>
    <x v="19"/>
    <n v="0.83333333333333304"/>
    <n v="304.16666666666703"/>
    <n v="1095"/>
  </r>
  <r>
    <x v="0"/>
    <x v="0"/>
    <x v="0"/>
    <x v="0"/>
    <x v="0"/>
    <s v="DK1_NoDH"/>
    <x v="0"/>
    <x v="55"/>
    <x v="0"/>
    <x v="20"/>
    <n v="0.83333333333333304"/>
    <n v="304.16666666666703"/>
    <n v="1095"/>
  </r>
  <r>
    <x v="0"/>
    <x v="0"/>
    <x v="0"/>
    <x v="0"/>
    <x v="0"/>
    <s v="DK1_NoDH"/>
    <x v="0"/>
    <x v="55"/>
    <x v="0"/>
    <x v="21"/>
    <n v="0.83333333333333304"/>
    <n v="304.16666666666703"/>
    <n v="1095"/>
  </r>
  <r>
    <x v="0"/>
    <x v="0"/>
    <x v="0"/>
    <x v="0"/>
    <x v="0"/>
    <s v="DK1_NoDH"/>
    <x v="0"/>
    <x v="55"/>
    <x v="0"/>
    <x v="22"/>
    <n v="0.83333333333333304"/>
    <n v="304.16666666666703"/>
    <n v="1095"/>
  </r>
  <r>
    <x v="0"/>
    <x v="0"/>
    <x v="0"/>
    <x v="0"/>
    <x v="0"/>
    <s v="DK1_NoDH"/>
    <x v="0"/>
    <x v="55"/>
    <x v="0"/>
    <x v="23"/>
    <n v="0.83333333333333304"/>
    <n v="304.16666666666703"/>
    <n v="1095"/>
  </r>
  <r>
    <x v="0"/>
    <x v="0"/>
    <x v="0"/>
    <x v="0"/>
    <x v="0"/>
    <s v="DK1_NoDH"/>
    <x v="8"/>
    <x v="56"/>
    <x v="0"/>
    <x v="8"/>
    <n v="11.5255572480597"/>
    <n v="4206.8283955417901"/>
    <n v="15144.5822239504"/>
  </r>
  <r>
    <x v="0"/>
    <x v="0"/>
    <x v="0"/>
    <x v="0"/>
    <x v="0"/>
    <s v="DK1_NoDH"/>
    <x v="8"/>
    <x v="56"/>
    <x v="0"/>
    <x v="9"/>
    <n v="86.766759180264799"/>
    <n v="31669.867100796699"/>
    <n v="114011.521562868"/>
  </r>
  <r>
    <x v="0"/>
    <x v="0"/>
    <x v="0"/>
    <x v="0"/>
    <x v="0"/>
    <s v="DK1_NoDH"/>
    <x v="8"/>
    <x v="56"/>
    <x v="0"/>
    <x v="10"/>
    <n v="200.426485272669"/>
    <n v="73155.667124524203"/>
    <n v="263360.40164828702"/>
  </r>
  <r>
    <x v="0"/>
    <x v="0"/>
    <x v="0"/>
    <x v="0"/>
    <x v="0"/>
    <s v="DK1_NoDH"/>
    <x v="8"/>
    <x v="56"/>
    <x v="0"/>
    <x v="11"/>
    <n v="305.22039809733502"/>
    <n v="111405.445305527"/>
    <n v="401059.60309989803"/>
  </r>
  <r>
    <x v="0"/>
    <x v="0"/>
    <x v="0"/>
    <x v="0"/>
    <x v="0"/>
    <s v="DK1_NoDH"/>
    <x v="8"/>
    <x v="56"/>
    <x v="0"/>
    <x v="12"/>
    <n v="347.00793129927399"/>
    <n v="126657.89492423501"/>
    <n v="455968.42172724602"/>
  </r>
  <r>
    <x v="0"/>
    <x v="0"/>
    <x v="0"/>
    <x v="0"/>
    <x v="0"/>
    <s v="DK1_NoDH"/>
    <x v="8"/>
    <x v="56"/>
    <x v="0"/>
    <x v="13"/>
    <n v="301.73317821202397"/>
    <n v="110132.610047389"/>
    <n v="396477.39617060003"/>
  </r>
  <r>
    <x v="0"/>
    <x v="0"/>
    <x v="0"/>
    <x v="0"/>
    <x v="0"/>
    <s v="DK1_NoDH"/>
    <x v="8"/>
    <x v="56"/>
    <x v="0"/>
    <x v="14"/>
    <n v="196.348211169509"/>
    <n v="71667.097076870894"/>
    <n v="258001.549476735"/>
  </r>
  <r>
    <x v="0"/>
    <x v="0"/>
    <x v="0"/>
    <x v="0"/>
    <x v="0"/>
    <s v="DK1_NoDH"/>
    <x v="8"/>
    <x v="56"/>
    <x v="0"/>
    <x v="15"/>
    <n v="99.415319442238001"/>
    <n v="36286.591596416903"/>
    <n v="130631.729747101"/>
  </r>
  <r>
    <x v="0"/>
    <x v="0"/>
    <x v="0"/>
    <x v="0"/>
    <x v="0"/>
    <s v="DK1_NoDH"/>
    <x v="8"/>
    <x v="56"/>
    <x v="0"/>
    <x v="16"/>
    <n v="12.944087370897799"/>
    <n v="4724.5918903777001"/>
    <n v="17008.5308053597"/>
  </r>
  <r>
    <x v="0"/>
    <x v="0"/>
    <x v="0"/>
    <x v="0"/>
    <x v="0"/>
    <s v="DK1_NoDH"/>
    <x v="9"/>
    <x v="57"/>
    <x v="0"/>
    <x v="0"/>
    <n v="3.81847406923176"/>
    <n v="1393.7430352695901"/>
    <n v="5017.4749269705299"/>
  </r>
  <r>
    <x v="0"/>
    <x v="0"/>
    <x v="0"/>
    <x v="0"/>
    <x v="0"/>
    <s v="DK1_NoDH"/>
    <x v="9"/>
    <x v="57"/>
    <x v="0"/>
    <x v="1"/>
    <n v="3.81847406923176"/>
    <n v="1393.7430352695901"/>
    <n v="5017.4749269705299"/>
  </r>
  <r>
    <x v="0"/>
    <x v="0"/>
    <x v="0"/>
    <x v="0"/>
    <x v="0"/>
    <s v="DK1_NoDH"/>
    <x v="9"/>
    <x v="57"/>
    <x v="0"/>
    <x v="2"/>
    <n v="3.81847406923176"/>
    <n v="1393.7430352695901"/>
    <n v="5017.4749269705299"/>
  </r>
  <r>
    <x v="0"/>
    <x v="0"/>
    <x v="0"/>
    <x v="0"/>
    <x v="0"/>
    <s v="DK1_NoDH"/>
    <x v="9"/>
    <x v="57"/>
    <x v="0"/>
    <x v="3"/>
    <n v="3.81847406923176"/>
    <n v="1393.7430352695901"/>
    <n v="5017.4749269705299"/>
  </r>
  <r>
    <x v="0"/>
    <x v="0"/>
    <x v="0"/>
    <x v="0"/>
    <x v="0"/>
    <s v="DK1_NoDH"/>
    <x v="9"/>
    <x v="57"/>
    <x v="0"/>
    <x v="4"/>
    <n v="3.81847406923176"/>
    <n v="1393.7430352695901"/>
    <n v="5017.4749269705299"/>
  </r>
  <r>
    <x v="0"/>
    <x v="0"/>
    <x v="0"/>
    <x v="0"/>
    <x v="0"/>
    <s v="DK1_NoDH"/>
    <x v="9"/>
    <x v="57"/>
    <x v="0"/>
    <x v="5"/>
    <n v="3.81847406923176"/>
    <n v="1393.7430352695901"/>
    <n v="5017.4749269705299"/>
  </r>
  <r>
    <x v="0"/>
    <x v="0"/>
    <x v="0"/>
    <x v="0"/>
    <x v="0"/>
    <s v="DK1_NoDH"/>
    <x v="9"/>
    <x v="57"/>
    <x v="0"/>
    <x v="6"/>
    <n v="3.81847406923176"/>
    <n v="1393.7430352695901"/>
    <n v="5017.4749269705299"/>
  </r>
  <r>
    <x v="0"/>
    <x v="0"/>
    <x v="0"/>
    <x v="0"/>
    <x v="0"/>
    <s v="DK1_NoDH"/>
    <x v="9"/>
    <x v="57"/>
    <x v="0"/>
    <x v="7"/>
    <n v="3.81847406923176"/>
    <n v="1393.7430352695901"/>
    <n v="5017.4749269705299"/>
  </r>
  <r>
    <x v="0"/>
    <x v="0"/>
    <x v="0"/>
    <x v="0"/>
    <x v="0"/>
    <s v="DK1_NoDH"/>
    <x v="9"/>
    <x v="57"/>
    <x v="0"/>
    <x v="8"/>
    <n v="3.81847406923176"/>
    <n v="1393.7430352695901"/>
    <n v="5017.4749269705299"/>
  </r>
  <r>
    <x v="0"/>
    <x v="0"/>
    <x v="0"/>
    <x v="0"/>
    <x v="0"/>
    <s v="DK1_NoDH"/>
    <x v="9"/>
    <x v="57"/>
    <x v="0"/>
    <x v="9"/>
    <n v="3.81847406923176"/>
    <n v="1393.7430352695901"/>
    <n v="5017.4749269705299"/>
  </r>
  <r>
    <x v="0"/>
    <x v="0"/>
    <x v="0"/>
    <x v="0"/>
    <x v="0"/>
    <s v="DK1_NoDH"/>
    <x v="9"/>
    <x v="57"/>
    <x v="0"/>
    <x v="10"/>
    <n v="3.81847406923176"/>
    <n v="1393.7430352695901"/>
    <n v="5017.4749269705299"/>
  </r>
  <r>
    <x v="0"/>
    <x v="0"/>
    <x v="0"/>
    <x v="0"/>
    <x v="0"/>
    <s v="DK1_NoDH"/>
    <x v="9"/>
    <x v="57"/>
    <x v="0"/>
    <x v="11"/>
    <n v="3.81847406923176"/>
    <n v="1393.7430352695901"/>
    <n v="5017.4749269705299"/>
  </r>
  <r>
    <x v="0"/>
    <x v="0"/>
    <x v="0"/>
    <x v="0"/>
    <x v="0"/>
    <s v="DK1_NoDH"/>
    <x v="9"/>
    <x v="57"/>
    <x v="0"/>
    <x v="12"/>
    <n v="3.81847406923176"/>
    <n v="1393.7430352695901"/>
    <n v="5017.4749269705299"/>
  </r>
  <r>
    <x v="0"/>
    <x v="0"/>
    <x v="0"/>
    <x v="0"/>
    <x v="0"/>
    <s v="DK1_NoDH"/>
    <x v="9"/>
    <x v="57"/>
    <x v="0"/>
    <x v="13"/>
    <n v="3.81847406923176"/>
    <n v="1393.7430352695901"/>
    <n v="5017.4749269705299"/>
  </r>
  <r>
    <x v="0"/>
    <x v="0"/>
    <x v="0"/>
    <x v="0"/>
    <x v="0"/>
    <s v="DK1_NoDH"/>
    <x v="9"/>
    <x v="57"/>
    <x v="0"/>
    <x v="14"/>
    <n v="3.81847406923176"/>
    <n v="1393.7430352695901"/>
    <n v="5017.4749269705299"/>
  </r>
  <r>
    <x v="0"/>
    <x v="0"/>
    <x v="0"/>
    <x v="0"/>
    <x v="0"/>
    <s v="DK1_NoDH"/>
    <x v="9"/>
    <x v="57"/>
    <x v="0"/>
    <x v="15"/>
    <n v="3.81847406923176"/>
    <n v="1393.7430352695901"/>
    <n v="5017.4749269705299"/>
  </r>
  <r>
    <x v="0"/>
    <x v="0"/>
    <x v="0"/>
    <x v="0"/>
    <x v="0"/>
    <s v="DK1_NoDH"/>
    <x v="9"/>
    <x v="57"/>
    <x v="0"/>
    <x v="16"/>
    <n v="3.81847406923176"/>
    <n v="1393.7430352695901"/>
    <n v="5017.4749269705299"/>
  </r>
  <r>
    <x v="0"/>
    <x v="0"/>
    <x v="0"/>
    <x v="0"/>
    <x v="0"/>
    <s v="DK1_NoDH"/>
    <x v="9"/>
    <x v="57"/>
    <x v="0"/>
    <x v="17"/>
    <n v="3.81847406923176"/>
    <n v="1393.7430352695901"/>
    <n v="5017.4749269705299"/>
  </r>
  <r>
    <x v="0"/>
    <x v="0"/>
    <x v="0"/>
    <x v="0"/>
    <x v="0"/>
    <s v="DK1_NoDH"/>
    <x v="9"/>
    <x v="57"/>
    <x v="0"/>
    <x v="18"/>
    <n v="3.81847406923176"/>
    <n v="1393.7430352695901"/>
    <n v="5017.4749269705299"/>
  </r>
  <r>
    <x v="0"/>
    <x v="0"/>
    <x v="0"/>
    <x v="0"/>
    <x v="0"/>
    <s v="DK1_NoDH"/>
    <x v="9"/>
    <x v="57"/>
    <x v="0"/>
    <x v="19"/>
    <n v="3.81847406923176"/>
    <n v="1393.7430352695901"/>
    <n v="5017.4749269705299"/>
  </r>
  <r>
    <x v="0"/>
    <x v="0"/>
    <x v="0"/>
    <x v="0"/>
    <x v="0"/>
    <s v="DK1_NoDH"/>
    <x v="9"/>
    <x v="57"/>
    <x v="0"/>
    <x v="20"/>
    <n v="3.81847406923176"/>
    <n v="1393.7430352695901"/>
    <n v="5017.4749269705299"/>
  </r>
  <r>
    <x v="0"/>
    <x v="0"/>
    <x v="0"/>
    <x v="0"/>
    <x v="0"/>
    <s v="DK1_NoDH"/>
    <x v="9"/>
    <x v="57"/>
    <x v="0"/>
    <x v="21"/>
    <n v="3.81847406923176"/>
    <n v="1393.7430352695901"/>
    <n v="5017.4749269705299"/>
  </r>
  <r>
    <x v="0"/>
    <x v="0"/>
    <x v="0"/>
    <x v="0"/>
    <x v="0"/>
    <s v="DK1_NoDH"/>
    <x v="9"/>
    <x v="57"/>
    <x v="0"/>
    <x v="22"/>
    <n v="3.81847406923176"/>
    <n v="1393.7430352695901"/>
    <n v="5017.4749269705299"/>
  </r>
  <r>
    <x v="0"/>
    <x v="0"/>
    <x v="0"/>
    <x v="0"/>
    <x v="0"/>
    <s v="DK1_NoDH"/>
    <x v="9"/>
    <x v="57"/>
    <x v="0"/>
    <x v="23"/>
    <n v="3.81847406923176"/>
    <n v="1393.7430352695901"/>
    <n v="5017.4749269705299"/>
  </r>
  <r>
    <x v="0"/>
    <x v="0"/>
    <x v="0"/>
    <x v="0"/>
    <x v="0"/>
    <s v="DK1_NoDH"/>
    <x v="10"/>
    <x v="58"/>
    <x v="0"/>
    <x v="0"/>
    <n v="30.762561377727302"/>
    <n v="11228.3349028705"/>
    <n v="40422.005650333696"/>
  </r>
  <r>
    <x v="0"/>
    <x v="0"/>
    <x v="0"/>
    <x v="0"/>
    <x v="0"/>
    <s v="DK1_NoDH"/>
    <x v="10"/>
    <x v="58"/>
    <x v="0"/>
    <x v="1"/>
    <n v="28.087556040533599"/>
    <n v="10251.9579547948"/>
    <n v="36907.048637261199"/>
  </r>
  <r>
    <x v="0"/>
    <x v="0"/>
    <x v="0"/>
    <x v="0"/>
    <x v="0"/>
    <s v="DK1_NoDH"/>
    <x v="10"/>
    <x v="58"/>
    <x v="0"/>
    <x v="2"/>
    <n v="13.3750266859684"/>
    <n v="4881.8847403784603"/>
    <n v="17574.785065362499"/>
  </r>
  <r>
    <x v="0"/>
    <x v="0"/>
    <x v="0"/>
    <x v="0"/>
    <x v="0"/>
    <s v="DK1_NoDH"/>
    <x v="10"/>
    <x v="58"/>
    <x v="0"/>
    <x v="3"/>
    <n v="14.7125293545652"/>
    <n v="5370.0732144163103"/>
    <n v="19332.2635718987"/>
  </r>
  <r>
    <x v="0"/>
    <x v="0"/>
    <x v="0"/>
    <x v="0"/>
    <x v="0"/>
    <s v="DK1_NoDH"/>
    <x v="10"/>
    <x v="58"/>
    <x v="0"/>
    <x v="4"/>
    <n v="26.750053371936801"/>
    <n v="9763.7694807569205"/>
    <n v="35149.570130724896"/>
  </r>
  <r>
    <x v="0"/>
    <x v="0"/>
    <x v="0"/>
    <x v="0"/>
    <x v="0"/>
    <s v="DK1_NoDH"/>
    <x v="10"/>
    <x v="58"/>
    <x v="0"/>
    <x v="5"/>
    <n v="46.812593400889398"/>
    <n v="17086.5965913246"/>
    <n v="61511.747728768598"/>
  </r>
  <r>
    <x v="0"/>
    <x v="0"/>
    <x v="0"/>
    <x v="0"/>
    <x v="0"/>
    <s v="DK1_NoDH"/>
    <x v="10"/>
    <x v="58"/>
    <x v="0"/>
    <x v="6"/>
    <n v="94.962689470375594"/>
    <n v="34661.381656687103"/>
    <n v="124780.973964073"/>
  </r>
  <r>
    <x v="0"/>
    <x v="0"/>
    <x v="0"/>
    <x v="0"/>
    <x v="0"/>
    <s v="DK1_NoDH"/>
    <x v="10"/>
    <x v="58"/>
    <x v="0"/>
    <x v="7"/>
    <n v="197.950394952332"/>
    <n v="72251.8941576012"/>
    <n v="260106.818967364"/>
  </r>
  <r>
    <x v="0"/>
    <x v="0"/>
    <x v="0"/>
    <x v="0"/>
    <x v="0"/>
    <s v="DK1_NoDH"/>
    <x v="10"/>
    <x v="58"/>
    <x v="0"/>
    <x v="8"/>
    <n v="327.68815380622601"/>
    <n v="119606.17613927199"/>
    <n v="430582.23410137999"/>
  </r>
  <r>
    <x v="0"/>
    <x v="0"/>
    <x v="0"/>
    <x v="0"/>
    <x v="0"/>
    <s v="DK1_NoDH"/>
    <x v="10"/>
    <x v="58"/>
    <x v="0"/>
    <x v="9"/>
    <n v="484.17596603205601"/>
    <n v="176724.2276017"/>
    <n v="636207.21936612099"/>
  </r>
  <r>
    <x v="0"/>
    <x v="0"/>
    <x v="0"/>
    <x v="0"/>
    <x v="0"/>
    <s v="DK1_NoDH"/>
    <x v="10"/>
    <x v="58"/>
    <x v="0"/>
    <x v="10"/>
    <n v="643.33878359507901"/>
    <n v="234818.65601220401"/>
    <n v="845347.16164393397"/>
  </r>
  <r>
    <x v="0"/>
    <x v="0"/>
    <x v="0"/>
    <x v="0"/>
    <x v="0"/>
    <s v="DK1_NoDH"/>
    <x v="10"/>
    <x v="58"/>
    <x v="0"/>
    <x v="11"/>
    <n v="787.78907180353804"/>
    <n v="287543.01120829099"/>
    <n v="1035154.84034985"/>
  </r>
  <r>
    <x v="0"/>
    <x v="0"/>
    <x v="0"/>
    <x v="0"/>
    <x v="0"/>
    <s v="DK1_NoDH"/>
    <x v="10"/>
    <x v="58"/>
    <x v="0"/>
    <x v="12"/>
    <n v="872.05173992513903"/>
    <n v="318298.885072676"/>
    <n v="1145875.98626163"/>
  </r>
  <r>
    <x v="0"/>
    <x v="0"/>
    <x v="0"/>
    <x v="0"/>
    <x v="0"/>
    <s v="DK1_NoDH"/>
    <x v="10"/>
    <x v="58"/>
    <x v="0"/>
    <x v="13"/>
    <n v="1031.2145574881599"/>
    <n v="376393.31348317902"/>
    <n v="1355015.92853945"/>
  </r>
  <r>
    <x v="0"/>
    <x v="0"/>
    <x v="0"/>
    <x v="0"/>
    <x v="0"/>
    <s v="DK1_NoDH"/>
    <x v="10"/>
    <x v="58"/>
    <x v="0"/>
    <x v="14"/>
    <n v="1172.98984035943"/>
    <n v="428141.29173119098"/>
    <n v="1541308.6502322899"/>
  </r>
  <r>
    <x v="0"/>
    <x v="0"/>
    <x v="0"/>
    <x v="0"/>
    <x v="0"/>
    <s v="DK1_NoDH"/>
    <x v="10"/>
    <x v="58"/>
    <x v="0"/>
    <x v="15"/>
    <n v="1404.37780202668"/>
    <n v="512597.89773973898"/>
    <n v="1845352.43186306"/>
  </r>
  <r>
    <x v="0"/>
    <x v="0"/>
    <x v="0"/>
    <x v="0"/>
    <x v="0"/>
    <s v="DK1_NoDH"/>
    <x v="10"/>
    <x v="58"/>
    <x v="0"/>
    <x v="16"/>
    <n v="1746.7784851874701"/>
    <n v="637574.14709342702"/>
    <n v="2295266.9295363398"/>
  </r>
  <r>
    <x v="0"/>
    <x v="0"/>
    <x v="0"/>
    <x v="0"/>
    <x v="0"/>
    <s v="DK1_NoDH"/>
    <x v="10"/>
    <x v="58"/>
    <x v="0"/>
    <x v="17"/>
    <n v="2201.5293925104002"/>
    <n v="803558.22826629505"/>
    <n v="2892809.6217586598"/>
  </r>
  <r>
    <x v="0"/>
    <x v="0"/>
    <x v="0"/>
    <x v="0"/>
    <x v="0"/>
    <s v="DK1_NoDH"/>
    <x v="10"/>
    <x v="58"/>
    <x v="0"/>
    <x v="18"/>
    <n v="2720.4804279259702"/>
    <n v="992975.35619297903"/>
    <n v="3574711.2822947302"/>
  </r>
  <r>
    <x v="0"/>
    <x v="0"/>
    <x v="0"/>
    <x v="0"/>
    <x v="0"/>
    <s v="DK1_NoDH"/>
    <x v="10"/>
    <x v="58"/>
    <x v="0"/>
    <x v="19"/>
    <n v="2931.8058495642699"/>
    <n v="1070109.13509096"/>
    <n v="3852392.8863274502"/>
  </r>
  <r>
    <x v="0"/>
    <x v="0"/>
    <x v="0"/>
    <x v="0"/>
    <x v="0"/>
    <s v="DK1_NoDH"/>
    <x v="10"/>
    <x v="58"/>
    <x v="0"/>
    <x v="20"/>
    <n v="2894.3557748435601"/>
    <n v="1056439.8578178999"/>
    <n v="3803183.4881444401"/>
  </r>
  <r>
    <x v="0"/>
    <x v="0"/>
    <x v="0"/>
    <x v="0"/>
    <x v="0"/>
    <s v="DK1_NoDH"/>
    <x v="10"/>
    <x v="58"/>
    <x v="0"/>
    <x v="21"/>
    <n v="2910.40580686672"/>
    <n v="1062298.11950635"/>
    <n v="3824273.2302228701"/>
  </r>
  <r>
    <x v="0"/>
    <x v="0"/>
    <x v="0"/>
    <x v="0"/>
    <x v="0"/>
    <s v="DK1_NoDH"/>
    <x v="10"/>
    <x v="58"/>
    <x v="0"/>
    <x v="22"/>
    <n v="2982.6309509709499"/>
    <n v="1088660.2971043999"/>
    <n v="3919177.0695758299"/>
  </r>
  <r>
    <x v="0"/>
    <x v="0"/>
    <x v="0"/>
    <x v="0"/>
    <x v="0"/>
    <s v="DK1_NoDH"/>
    <x v="10"/>
    <x v="58"/>
    <x v="0"/>
    <x v="23"/>
    <n v="3001.3559883313101"/>
    <n v="1095494.93574093"/>
    <n v="3943781.7686673398"/>
  </r>
  <r>
    <x v="0"/>
    <x v="0"/>
    <x v="0"/>
    <x v="0"/>
    <x v="0"/>
    <s v="DK1_Offshore"/>
    <x v="10"/>
    <x v="59"/>
    <x v="0"/>
    <x v="0"/>
    <n v="10.826956579742401"/>
    <n v="3951.8391516059701"/>
    <n v="14226.6209457815"/>
  </r>
  <r>
    <x v="0"/>
    <x v="0"/>
    <x v="0"/>
    <x v="0"/>
    <x v="0"/>
    <s v="DK1_Offshore"/>
    <x v="10"/>
    <x v="59"/>
    <x v="0"/>
    <x v="1"/>
    <n v="9.88548209454739"/>
    <n v="3608.2009645098001"/>
    <n v="12989.5234722353"/>
  </r>
  <r>
    <x v="0"/>
    <x v="0"/>
    <x v="0"/>
    <x v="0"/>
    <x v="0"/>
    <s v="DK1_Offshore"/>
    <x v="10"/>
    <x v="59"/>
    <x v="0"/>
    <x v="2"/>
    <n v="4.7073724259749499"/>
    <n v="1718.1909354808599"/>
    <n v="6185.4873677310798"/>
  </r>
  <r>
    <x v="0"/>
    <x v="0"/>
    <x v="0"/>
    <x v="0"/>
    <x v="0"/>
    <s v="DK1_Offshore"/>
    <x v="10"/>
    <x v="59"/>
    <x v="0"/>
    <x v="3"/>
    <n v="5.1781096685724401"/>
    <n v="1890.0100290289399"/>
    <n v="6804.03610450419"/>
  </r>
  <r>
    <x v="0"/>
    <x v="0"/>
    <x v="0"/>
    <x v="0"/>
    <x v="0"/>
    <s v="DK1_Offshore"/>
    <x v="10"/>
    <x v="59"/>
    <x v="0"/>
    <x v="4"/>
    <n v="9.4147448519498997"/>
    <n v="3436.3818709617099"/>
    <n v="12370.9747354622"/>
  </r>
  <r>
    <x v="0"/>
    <x v="0"/>
    <x v="0"/>
    <x v="0"/>
    <x v="0"/>
    <s v="DK1_Offshore"/>
    <x v="10"/>
    <x v="59"/>
    <x v="0"/>
    <x v="5"/>
    <n v="16.475803490912298"/>
    <n v="6013.668274183"/>
    <n v="21649.2057870588"/>
  </r>
  <r>
    <x v="0"/>
    <x v="0"/>
    <x v="0"/>
    <x v="0"/>
    <x v="0"/>
    <s v="DK1_Offshore"/>
    <x v="10"/>
    <x v="59"/>
    <x v="0"/>
    <x v="6"/>
    <n v="33.422344224422098"/>
    <n v="12199.1556419141"/>
    <n v="43916.960310890703"/>
  </r>
  <r>
    <x v="0"/>
    <x v="0"/>
    <x v="0"/>
    <x v="0"/>
    <x v="0"/>
    <s v="DK1_Offshore"/>
    <x v="10"/>
    <x v="59"/>
    <x v="0"/>
    <x v="7"/>
    <n v="69.669111904429201"/>
    <n v="25429.2258451167"/>
    <n v="91545.21304242"/>
  </r>
  <r>
    <x v="0"/>
    <x v="0"/>
    <x v="0"/>
    <x v="0"/>
    <x v="0"/>
    <s v="DK1_Offshore"/>
    <x v="10"/>
    <x v="59"/>
    <x v="0"/>
    <x v="8"/>
    <n v="115.330624436386"/>
    <n v="42095.677919280999"/>
    <n v="151544.440509412"/>
  </r>
  <r>
    <x v="0"/>
    <x v="0"/>
    <x v="0"/>
    <x v="0"/>
    <x v="0"/>
    <s v="DK1_Offshore"/>
    <x v="10"/>
    <x v="59"/>
    <x v="0"/>
    <x v="9"/>
    <n v="170.40688182029299"/>
    <n v="62198.511864407003"/>
    <n v="223914.64271186499"/>
  </r>
  <r>
    <x v="0"/>
    <x v="0"/>
    <x v="0"/>
    <x v="0"/>
    <x v="0"/>
    <s v="DK1_Offshore"/>
    <x v="10"/>
    <x v="59"/>
    <x v="0"/>
    <x v="10"/>
    <n v="226.42461368939499"/>
    <n v="82644.983996629206"/>
    <n v="297521.94238786498"/>
  </r>
  <r>
    <x v="0"/>
    <x v="0"/>
    <x v="0"/>
    <x v="0"/>
    <x v="0"/>
    <s v="DK1_Offshore"/>
    <x v="10"/>
    <x v="59"/>
    <x v="0"/>
    <x v="11"/>
    <n v="277.26423588992498"/>
    <n v="101201.446099822"/>
    <n v="364325.20595936099"/>
  </r>
  <r>
    <x v="0"/>
    <x v="0"/>
    <x v="0"/>
    <x v="0"/>
    <x v="0"/>
    <s v="DK1_Offshore"/>
    <x v="10"/>
    <x v="59"/>
    <x v="0"/>
    <x v="12"/>
    <n v="306.920682173567"/>
    <n v="112026.048993352"/>
    <n v="403293.77637606702"/>
  </r>
  <r>
    <x v="0"/>
    <x v="0"/>
    <x v="0"/>
    <x v="0"/>
    <x v="0"/>
    <s v="DK1_Offshore"/>
    <x v="10"/>
    <x v="59"/>
    <x v="0"/>
    <x v="13"/>
    <n v="362.93841404266902"/>
    <n v="132472.52112557401"/>
    <n v="476901.076052066"/>
  </r>
  <r>
    <x v="0"/>
    <x v="0"/>
    <x v="0"/>
    <x v="0"/>
    <x v="0"/>
    <s v="DK1_Offshore"/>
    <x v="10"/>
    <x v="59"/>
    <x v="0"/>
    <x v="14"/>
    <n v="412.83656175800297"/>
    <n v="150685.34504167101"/>
    <n v="542467.24215001601"/>
  </r>
  <r>
    <x v="0"/>
    <x v="0"/>
    <x v="0"/>
    <x v="0"/>
    <x v="0"/>
    <s v="DK1_Offshore"/>
    <x v="10"/>
    <x v="59"/>
    <x v="0"/>
    <x v="15"/>
    <n v="494.27410472737"/>
    <n v="180410.04822549"/>
    <n v="649476.17361176398"/>
  </r>
  <r>
    <x v="0"/>
    <x v="0"/>
    <x v="0"/>
    <x v="0"/>
    <x v="0"/>
    <s v="DK1_Offshore"/>
    <x v="10"/>
    <x v="59"/>
    <x v="0"/>
    <x v="16"/>
    <n v="614.78283883232803"/>
    <n v="224395.73617379999"/>
    <n v="807824.65022567997"/>
  </r>
  <r>
    <x v="0"/>
    <x v="0"/>
    <x v="0"/>
    <x v="0"/>
    <x v="0"/>
    <s v="DK1_Offshore"/>
    <x v="10"/>
    <x v="59"/>
    <x v="0"/>
    <x v="17"/>
    <n v="774.83350131547695"/>
    <n v="282814.22798014898"/>
    <n v="1018131.22072854"/>
  </r>
  <r>
    <x v="0"/>
    <x v="0"/>
    <x v="0"/>
    <x v="0"/>
    <x v="0"/>
    <s v="DK1_Offshore"/>
    <x v="10"/>
    <x v="59"/>
    <x v="0"/>
    <x v="18"/>
    <n v="957.47955144330501"/>
    <n v="349480.03627680597"/>
    <n v="1258128.1305964999"/>
  </r>
  <r>
    <x v="0"/>
    <x v="0"/>
    <x v="0"/>
    <x v="0"/>
    <x v="0"/>
    <s v="DK1_Offshore"/>
    <x v="10"/>
    <x v="59"/>
    <x v="0"/>
    <x v="19"/>
    <n v="1031.8560357737099"/>
    <n v="376627.45305740403"/>
    <n v="1355858.8310066501"/>
  </r>
  <r>
    <x v="0"/>
    <x v="0"/>
    <x v="0"/>
    <x v="0"/>
    <x v="0"/>
    <s v="DK1_Offshore"/>
    <x v="10"/>
    <x v="59"/>
    <x v="0"/>
    <x v="20"/>
    <n v="1018.67539298098"/>
    <n v="371816.51843805698"/>
    <n v="1338539.4663770101"/>
  </r>
  <r>
    <x v="0"/>
    <x v="0"/>
    <x v="0"/>
    <x v="0"/>
    <x v="0"/>
    <s v="DK1_Offshore"/>
    <x v="10"/>
    <x v="59"/>
    <x v="0"/>
    <x v="21"/>
    <n v="1024.32423989215"/>
    <n v="373878.34756063402"/>
    <n v="1345962.0512182801"/>
  </r>
  <r>
    <x v="0"/>
    <x v="0"/>
    <x v="0"/>
    <x v="0"/>
    <x v="0"/>
    <s v="DK1_Offshore"/>
    <x v="10"/>
    <x v="59"/>
    <x v="0"/>
    <x v="22"/>
    <n v="1049.7440509924099"/>
    <n v="383156.57861223101"/>
    <n v="1379363.68300403"/>
  </r>
  <r>
    <x v="0"/>
    <x v="0"/>
    <x v="0"/>
    <x v="0"/>
    <x v="0"/>
    <s v="DK1_Offshore"/>
    <x v="10"/>
    <x v="59"/>
    <x v="0"/>
    <x v="23"/>
    <n v="1056.3343723887799"/>
    <n v="385562.04592190398"/>
    <n v="1388023.3653188599"/>
  </r>
  <r>
    <x v="0"/>
    <x v="0"/>
    <x v="0"/>
    <x v="0"/>
    <x v="0"/>
    <s v="DK1_Rural"/>
    <x v="0"/>
    <x v="53"/>
    <x v="0"/>
    <x v="0"/>
    <n v="20"/>
    <n v="7300"/>
    <n v="26280"/>
  </r>
  <r>
    <x v="0"/>
    <x v="0"/>
    <x v="0"/>
    <x v="0"/>
    <x v="0"/>
    <s v="DK1_Rural"/>
    <x v="0"/>
    <x v="53"/>
    <x v="0"/>
    <x v="1"/>
    <n v="20"/>
    <n v="7300"/>
    <n v="26280"/>
  </r>
  <r>
    <x v="0"/>
    <x v="0"/>
    <x v="0"/>
    <x v="0"/>
    <x v="0"/>
    <s v="DK1_Rural"/>
    <x v="0"/>
    <x v="53"/>
    <x v="0"/>
    <x v="2"/>
    <n v="20"/>
    <n v="7300"/>
    <n v="26280"/>
  </r>
  <r>
    <x v="0"/>
    <x v="0"/>
    <x v="0"/>
    <x v="0"/>
    <x v="0"/>
    <s v="DK1_Rural"/>
    <x v="0"/>
    <x v="53"/>
    <x v="0"/>
    <x v="3"/>
    <n v="20"/>
    <n v="7300"/>
    <n v="26280"/>
  </r>
  <r>
    <x v="0"/>
    <x v="0"/>
    <x v="0"/>
    <x v="0"/>
    <x v="0"/>
    <s v="DK1_Rural"/>
    <x v="0"/>
    <x v="53"/>
    <x v="0"/>
    <x v="4"/>
    <n v="20"/>
    <n v="7300"/>
    <n v="26280"/>
  </r>
  <r>
    <x v="0"/>
    <x v="0"/>
    <x v="0"/>
    <x v="0"/>
    <x v="0"/>
    <s v="DK1_Rural"/>
    <x v="0"/>
    <x v="53"/>
    <x v="0"/>
    <x v="5"/>
    <n v="20"/>
    <n v="7300"/>
    <n v="26280"/>
  </r>
  <r>
    <x v="0"/>
    <x v="0"/>
    <x v="0"/>
    <x v="0"/>
    <x v="0"/>
    <s v="DK1_Rural"/>
    <x v="0"/>
    <x v="53"/>
    <x v="0"/>
    <x v="6"/>
    <n v="20"/>
    <n v="7300"/>
    <n v="26280"/>
  </r>
  <r>
    <x v="0"/>
    <x v="0"/>
    <x v="0"/>
    <x v="0"/>
    <x v="0"/>
    <s v="DK1_Rural"/>
    <x v="0"/>
    <x v="53"/>
    <x v="0"/>
    <x v="7"/>
    <n v="20"/>
    <n v="7300"/>
    <n v="26280"/>
  </r>
  <r>
    <x v="0"/>
    <x v="0"/>
    <x v="0"/>
    <x v="0"/>
    <x v="0"/>
    <s v="DK1_Rural"/>
    <x v="0"/>
    <x v="53"/>
    <x v="0"/>
    <x v="8"/>
    <n v="20"/>
    <n v="7300"/>
    <n v="26280"/>
  </r>
  <r>
    <x v="0"/>
    <x v="0"/>
    <x v="0"/>
    <x v="0"/>
    <x v="0"/>
    <s v="DK1_Rural"/>
    <x v="0"/>
    <x v="53"/>
    <x v="0"/>
    <x v="9"/>
    <n v="20"/>
    <n v="7300"/>
    <n v="26280"/>
  </r>
  <r>
    <x v="0"/>
    <x v="0"/>
    <x v="0"/>
    <x v="0"/>
    <x v="0"/>
    <s v="DK1_Rural"/>
    <x v="0"/>
    <x v="53"/>
    <x v="0"/>
    <x v="10"/>
    <n v="20"/>
    <n v="7300"/>
    <n v="26280"/>
  </r>
  <r>
    <x v="0"/>
    <x v="0"/>
    <x v="0"/>
    <x v="0"/>
    <x v="0"/>
    <s v="DK1_Rural"/>
    <x v="0"/>
    <x v="53"/>
    <x v="0"/>
    <x v="11"/>
    <n v="20"/>
    <n v="7300"/>
    <n v="26280"/>
  </r>
  <r>
    <x v="0"/>
    <x v="0"/>
    <x v="0"/>
    <x v="0"/>
    <x v="0"/>
    <s v="DK1_Rural"/>
    <x v="0"/>
    <x v="53"/>
    <x v="0"/>
    <x v="12"/>
    <n v="20"/>
    <n v="7300"/>
    <n v="26280"/>
  </r>
  <r>
    <x v="0"/>
    <x v="0"/>
    <x v="0"/>
    <x v="0"/>
    <x v="0"/>
    <s v="DK1_Rural"/>
    <x v="0"/>
    <x v="53"/>
    <x v="0"/>
    <x v="13"/>
    <n v="20"/>
    <n v="7300"/>
    <n v="26280"/>
  </r>
  <r>
    <x v="0"/>
    <x v="0"/>
    <x v="0"/>
    <x v="0"/>
    <x v="0"/>
    <s v="DK1_Rural"/>
    <x v="0"/>
    <x v="53"/>
    <x v="0"/>
    <x v="14"/>
    <n v="20"/>
    <n v="7300"/>
    <n v="26280"/>
  </r>
  <r>
    <x v="0"/>
    <x v="0"/>
    <x v="0"/>
    <x v="0"/>
    <x v="0"/>
    <s v="DK1_Rural"/>
    <x v="0"/>
    <x v="53"/>
    <x v="0"/>
    <x v="15"/>
    <n v="20"/>
    <n v="7300"/>
    <n v="26280"/>
  </r>
  <r>
    <x v="0"/>
    <x v="0"/>
    <x v="0"/>
    <x v="0"/>
    <x v="0"/>
    <s v="DK1_Rural"/>
    <x v="0"/>
    <x v="53"/>
    <x v="0"/>
    <x v="16"/>
    <n v="20"/>
    <n v="7300"/>
    <n v="26280"/>
  </r>
  <r>
    <x v="0"/>
    <x v="0"/>
    <x v="0"/>
    <x v="0"/>
    <x v="0"/>
    <s v="DK1_Rural"/>
    <x v="0"/>
    <x v="53"/>
    <x v="0"/>
    <x v="17"/>
    <n v="20"/>
    <n v="7300"/>
    <n v="26280"/>
  </r>
  <r>
    <x v="0"/>
    <x v="0"/>
    <x v="0"/>
    <x v="0"/>
    <x v="0"/>
    <s v="DK1_Rural"/>
    <x v="0"/>
    <x v="53"/>
    <x v="0"/>
    <x v="18"/>
    <n v="20"/>
    <n v="7300"/>
    <n v="26280"/>
  </r>
  <r>
    <x v="0"/>
    <x v="0"/>
    <x v="0"/>
    <x v="0"/>
    <x v="0"/>
    <s v="DK1_Rural"/>
    <x v="0"/>
    <x v="53"/>
    <x v="0"/>
    <x v="19"/>
    <n v="20"/>
    <n v="7300"/>
    <n v="26280"/>
  </r>
  <r>
    <x v="0"/>
    <x v="0"/>
    <x v="0"/>
    <x v="0"/>
    <x v="0"/>
    <s v="DK1_Rural"/>
    <x v="0"/>
    <x v="53"/>
    <x v="0"/>
    <x v="20"/>
    <n v="20"/>
    <n v="7300"/>
    <n v="26280"/>
  </r>
  <r>
    <x v="0"/>
    <x v="0"/>
    <x v="0"/>
    <x v="0"/>
    <x v="0"/>
    <s v="DK1_Rural"/>
    <x v="0"/>
    <x v="53"/>
    <x v="0"/>
    <x v="21"/>
    <n v="20"/>
    <n v="7300"/>
    <n v="26280"/>
  </r>
  <r>
    <x v="0"/>
    <x v="0"/>
    <x v="0"/>
    <x v="0"/>
    <x v="0"/>
    <s v="DK1_Rural"/>
    <x v="0"/>
    <x v="53"/>
    <x v="0"/>
    <x v="22"/>
    <n v="20"/>
    <n v="7300"/>
    <n v="26280"/>
  </r>
  <r>
    <x v="0"/>
    <x v="0"/>
    <x v="0"/>
    <x v="0"/>
    <x v="0"/>
    <s v="DK1_Rural"/>
    <x v="0"/>
    <x v="53"/>
    <x v="0"/>
    <x v="23"/>
    <n v="20"/>
    <n v="7300"/>
    <n v="26280"/>
  </r>
  <r>
    <x v="0"/>
    <x v="0"/>
    <x v="0"/>
    <x v="0"/>
    <x v="0"/>
    <s v="DK1_Rural"/>
    <x v="0"/>
    <x v="48"/>
    <x v="0"/>
    <x v="0"/>
    <n v="3.03823529411765"/>
    <n v="1108.9558823529401"/>
    <n v="3992.2411764705898"/>
  </r>
  <r>
    <x v="0"/>
    <x v="0"/>
    <x v="0"/>
    <x v="0"/>
    <x v="0"/>
    <s v="DK1_Rural"/>
    <x v="0"/>
    <x v="48"/>
    <x v="0"/>
    <x v="1"/>
    <n v="3.03823529411765"/>
    <n v="1108.9558823529401"/>
    <n v="3992.2411764705898"/>
  </r>
  <r>
    <x v="0"/>
    <x v="0"/>
    <x v="0"/>
    <x v="0"/>
    <x v="0"/>
    <s v="DK1_Rural"/>
    <x v="0"/>
    <x v="48"/>
    <x v="0"/>
    <x v="2"/>
    <n v="3.03823529411765"/>
    <n v="1108.9558823529401"/>
    <n v="3992.2411764705898"/>
  </r>
  <r>
    <x v="0"/>
    <x v="0"/>
    <x v="0"/>
    <x v="0"/>
    <x v="0"/>
    <s v="DK1_Rural"/>
    <x v="0"/>
    <x v="48"/>
    <x v="0"/>
    <x v="3"/>
    <n v="3.03823529411765"/>
    <n v="1108.9558823529401"/>
    <n v="3992.2411764705898"/>
  </r>
  <r>
    <x v="0"/>
    <x v="0"/>
    <x v="0"/>
    <x v="0"/>
    <x v="0"/>
    <s v="DK1_Rural"/>
    <x v="0"/>
    <x v="48"/>
    <x v="0"/>
    <x v="4"/>
    <n v="3.03823529411765"/>
    <n v="1108.9558823529401"/>
    <n v="3992.2411764705898"/>
  </r>
  <r>
    <x v="0"/>
    <x v="0"/>
    <x v="0"/>
    <x v="0"/>
    <x v="0"/>
    <s v="DK1_Rural"/>
    <x v="0"/>
    <x v="48"/>
    <x v="0"/>
    <x v="5"/>
    <n v="3.03823529411765"/>
    <n v="1108.9558823529401"/>
    <n v="3992.2411764705898"/>
  </r>
  <r>
    <x v="0"/>
    <x v="0"/>
    <x v="0"/>
    <x v="0"/>
    <x v="0"/>
    <s v="DK1_Rural"/>
    <x v="0"/>
    <x v="48"/>
    <x v="0"/>
    <x v="6"/>
    <n v="3.03823529411765"/>
    <n v="1108.9558823529401"/>
    <n v="3992.2411764705898"/>
  </r>
  <r>
    <x v="0"/>
    <x v="0"/>
    <x v="0"/>
    <x v="0"/>
    <x v="0"/>
    <s v="DK1_Rural"/>
    <x v="0"/>
    <x v="48"/>
    <x v="0"/>
    <x v="7"/>
    <n v="3.03823529411765"/>
    <n v="1108.9558823529401"/>
    <n v="3992.2411764705898"/>
  </r>
  <r>
    <x v="0"/>
    <x v="0"/>
    <x v="0"/>
    <x v="0"/>
    <x v="0"/>
    <s v="DK1_Rural"/>
    <x v="0"/>
    <x v="48"/>
    <x v="0"/>
    <x v="8"/>
    <n v="3.03823529411765"/>
    <n v="1108.9558823529401"/>
    <n v="3992.2411764705898"/>
  </r>
  <r>
    <x v="0"/>
    <x v="0"/>
    <x v="0"/>
    <x v="0"/>
    <x v="0"/>
    <s v="DK1_Rural"/>
    <x v="0"/>
    <x v="48"/>
    <x v="0"/>
    <x v="9"/>
    <n v="3.03823529411765"/>
    <n v="1108.9558823529401"/>
    <n v="3992.2411764705898"/>
  </r>
  <r>
    <x v="0"/>
    <x v="0"/>
    <x v="0"/>
    <x v="0"/>
    <x v="0"/>
    <s v="DK1_Rural"/>
    <x v="0"/>
    <x v="48"/>
    <x v="0"/>
    <x v="10"/>
    <n v="3.03823529411765"/>
    <n v="1108.9558823529401"/>
    <n v="3992.2411764705898"/>
  </r>
  <r>
    <x v="0"/>
    <x v="0"/>
    <x v="0"/>
    <x v="0"/>
    <x v="0"/>
    <s v="DK1_Rural"/>
    <x v="0"/>
    <x v="48"/>
    <x v="0"/>
    <x v="11"/>
    <n v="3.03823529411765"/>
    <n v="1108.9558823529401"/>
    <n v="3992.2411764705898"/>
  </r>
  <r>
    <x v="0"/>
    <x v="0"/>
    <x v="0"/>
    <x v="0"/>
    <x v="0"/>
    <s v="DK1_Rural"/>
    <x v="0"/>
    <x v="48"/>
    <x v="0"/>
    <x v="12"/>
    <n v="3.03823529411765"/>
    <n v="1108.9558823529401"/>
    <n v="3992.2411764705898"/>
  </r>
  <r>
    <x v="0"/>
    <x v="0"/>
    <x v="0"/>
    <x v="0"/>
    <x v="0"/>
    <s v="DK1_Rural"/>
    <x v="0"/>
    <x v="48"/>
    <x v="0"/>
    <x v="13"/>
    <n v="3.03823529411765"/>
    <n v="1108.9558823529401"/>
    <n v="3992.2411764705898"/>
  </r>
  <r>
    <x v="0"/>
    <x v="0"/>
    <x v="0"/>
    <x v="0"/>
    <x v="0"/>
    <s v="DK1_Rural"/>
    <x v="0"/>
    <x v="48"/>
    <x v="0"/>
    <x v="14"/>
    <n v="3.03823529411765"/>
    <n v="1108.9558823529401"/>
    <n v="3992.2411764705898"/>
  </r>
  <r>
    <x v="0"/>
    <x v="0"/>
    <x v="0"/>
    <x v="0"/>
    <x v="0"/>
    <s v="DK1_Rural"/>
    <x v="0"/>
    <x v="48"/>
    <x v="0"/>
    <x v="15"/>
    <n v="3.03823529411765"/>
    <n v="1108.9558823529401"/>
    <n v="3992.2411764705898"/>
  </r>
  <r>
    <x v="0"/>
    <x v="0"/>
    <x v="0"/>
    <x v="0"/>
    <x v="0"/>
    <s v="DK1_Rural"/>
    <x v="0"/>
    <x v="48"/>
    <x v="0"/>
    <x v="16"/>
    <n v="3.03823529411765"/>
    <n v="1108.9558823529401"/>
    <n v="3992.2411764705898"/>
  </r>
  <r>
    <x v="0"/>
    <x v="0"/>
    <x v="0"/>
    <x v="0"/>
    <x v="0"/>
    <s v="DK1_Rural"/>
    <x v="0"/>
    <x v="48"/>
    <x v="0"/>
    <x v="17"/>
    <n v="3.03823529411765"/>
    <n v="1108.9558823529401"/>
    <n v="3992.2411764705898"/>
  </r>
  <r>
    <x v="0"/>
    <x v="0"/>
    <x v="0"/>
    <x v="0"/>
    <x v="0"/>
    <s v="DK1_Rural"/>
    <x v="0"/>
    <x v="48"/>
    <x v="0"/>
    <x v="18"/>
    <n v="3.03823529411765"/>
    <n v="1108.9558823529401"/>
    <n v="3992.2411764705898"/>
  </r>
  <r>
    <x v="0"/>
    <x v="0"/>
    <x v="0"/>
    <x v="0"/>
    <x v="0"/>
    <s v="DK1_Rural"/>
    <x v="0"/>
    <x v="48"/>
    <x v="0"/>
    <x v="19"/>
    <n v="3.03823529411765"/>
    <n v="1108.9558823529401"/>
    <n v="3992.2411764705898"/>
  </r>
  <r>
    <x v="0"/>
    <x v="0"/>
    <x v="0"/>
    <x v="0"/>
    <x v="0"/>
    <s v="DK1_Rural"/>
    <x v="0"/>
    <x v="48"/>
    <x v="0"/>
    <x v="20"/>
    <n v="3.03823529411765"/>
    <n v="1108.9558823529401"/>
    <n v="3992.2411764705898"/>
  </r>
  <r>
    <x v="0"/>
    <x v="0"/>
    <x v="0"/>
    <x v="0"/>
    <x v="0"/>
    <s v="DK1_Rural"/>
    <x v="0"/>
    <x v="48"/>
    <x v="0"/>
    <x v="21"/>
    <n v="3.03823529411765"/>
    <n v="1108.9558823529401"/>
    <n v="3992.2411764705898"/>
  </r>
  <r>
    <x v="0"/>
    <x v="0"/>
    <x v="0"/>
    <x v="0"/>
    <x v="0"/>
    <s v="DK1_Rural"/>
    <x v="0"/>
    <x v="48"/>
    <x v="0"/>
    <x v="22"/>
    <n v="3.03823529411765"/>
    <n v="1108.9558823529401"/>
    <n v="3992.2411764705898"/>
  </r>
  <r>
    <x v="0"/>
    <x v="0"/>
    <x v="0"/>
    <x v="0"/>
    <x v="0"/>
    <s v="DK1_Rural"/>
    <x v="0"/>
    <x v="48"/>
    <x v="0"/>
    <x v="23"/>
    <n v="3.03823529411765"/>
    <n v="1108.9558823529401"/>
    <n v="3992.2411764705898"/>
  </r>
  <r>
    <x v="0"/>
    <x v="0"/>
    <x v="0"/>
    <x v="0"/>
    <x v="0"/>
    <s v="DK1_Rural"/>
    <x v="0"/>
    <x v="49"/>
    <x v="0"/>
    <x v="0"/>
    <n v="3"/>
    <n v="1095"/>
    <n v="3942"/>
  </r>
  <r>
    <x v="0"/>
    <x v="0"/>
    <x v="0"/>
    <x v="0"/>
    <x v="0"/>
    <s v="DK1_Rural"/>
    <x v="0"/>
    <x v="49"/>
    <x v="0"/>
    <x v="1"/>
    <n v="3"/>
    <n v="1095"/>
    <n v="3942"/>
  </r>
  <r>
    <x v="0"/>
    <x v="0"/>
    <x v="0"/>
    <x v="0"/>
    <x v="0"/>
    <s v="DK1_Rural"/>
    <x v="0"/>
    <x v="49"/>
    <x v="0"/>
    <x v="2"/>
    <n v="3"/>
    <n v="1095"/>
    <n v="3942"/>
  </r>
  <r>
    <x v="0"/>
    <x v="0"/>
    <x v="0"/>
    <x v="0"/>
    <x v="0"/>
    <s v="DK1_Rural"/>
    <x v="0"/>
    <x v="49"/>
    <x v="0"/>
    <x v="3"/>
    <n v="3"/>
    <n v="1095"/>
    <n v="3942"/>
  </r>
  <r>
    <x v="0"/>
    <x v="0"/>
    <x v="0"/>
    <x v="0"/>
    <x v="0"/>
    <s v="DK1_Rural"/>
    <x v="0"/>
    <x v="49"/>
    <x v="0"/>
    <x v="4"/>
    <n v="3"/>
    <n v="1095"/>
    <n v="3942"/>
  </r>
  <r>
    <x v="0"/>
    <x v="0"/>
    <x v="0"/>
    <x v="0"/>
    <x v="0"/>
    <s v="DK1_Rural"/>
    <x v="0"/>
    <x v="49"/>
    <x v="0"/>
    <x v="5"/>
    <n v="3"/>
    <n v="1095"/>
    <n v="3942"/>
  </r>
  <r>
    <x v="0"/>
    <x v="0"/>
    <x v="0"/>
    <x v="0"/>
    <x v="0"/>
    <s v="DK1_Rural"/>
    <x v="0"/>
    <x v="49"/>
    <x v="0"/>
    <x v="6"/>
    <n v="3"/>
    <n v="1095"/>
    <n v="3942"/>
  </r>
  <r>
    <x v="0"/>
    <x v="0"/>
    <x v="0"/>
    <x v="0"/>
    <x v="0"/>
    <s v="DK1_Rural"/>
    <x v="0"/>
    <x v="49"/>
    <x v="0"/>
    <x v="7"/>
    <n v="3"/>
    <n v="1095"/>
    <n v="3942"/>
  </r>
  <r>
    <x v="0"/>
    <x v="0"/>
    <x v="0"/>
    <x v="0"/>
    <x v="0"/>
    <s v="DK1_Rural"/>
    <x v="0"/>
    <x v="49"/>
    <x v="0"/>
    <x v="8"/>
    <n v="3"/>
    <n v="1095"/>
    <n v="3942"/>
  </r>
  <r>
    <x v="0"/>
    <x v="0"/>
    <x v="0"/>
    <x v="0"/>
    <x v="0"/>
    <s v="DK1_Rural"/>
    <x v="0"/>
    <x v="49"/>
    <x v="0"/>
    <x v="9"/>
    <n v="3"/>
    <n v="1095"/>
    <n v="3942"/>
  </r>
  <r>
    <x v="0"/>
    <x v="0"/>
    <x v="0"/>
    <x v="0"/>
    <x v="0"/>
    <s v="DK1_Rural"/>
    <x v="0"/>
    <x v="49"/>
    <x v="0"/>
    <x v="10"/>
    <n v="3"/>
    <n v="1095"/>
    <n v="3942"/>
  </r>
  <r>
    <x v="0"/>
    <x v="0"/>
    <x v="0"/>
    <x v="0"/>
    <x v="0"/>
    <s v="DK1_Rural"/>
    <x v="0"/>
    <x v="49"/>
    <x v="0"/>
    <x v="11"/>
    <n v="3"/>
    <n v="1095"/>
    <n v="3942"/>
  </r>
  <r>
    <x v="0"/>
    <x v="0"/>
    <x v="0"/>
    <x v="0"/>
    <x v="0"/>
    <s v="DK1_Rural"/>
    <x v="0"/>
    <x v="49"/>
    <x v="0"/>
    <x v="12"/>
    <n v="3"/>
    <n v="1095"/>
    <n v="3942"/>
  </r>
  <r>
    <x v="0"/>
    <x v="0"/>
    <x v="0"/>
    <x v="0"/>
    <x v="0"/>
    <s v="DK1_Rural"/>
    <x v="0"/>
    <x v="49"/>
    <x v="0"/>
    <x v="13"/>
    <n v="3"/>
    <n v="1095"/>
    <n v="3942"/>
  </r>
  <r>
    <x v="0"/>
    <x v="0"/>
    <x v="0"/>
    <x v="0"/>
    <x v="0"/>
    <s v="DK1_Rural"/>
    <x v="0"/>
    <x v="49"/>
    <x v="0"/>
    <x v="14"/>
    <n v="3"/>
    <n v="1095"/>
    <n v="3942"/>
  </r>
  <r>
    <x v="0"/>
    <x v="0"/>
    <x v="0"/>
    <x v="0"/>
    <x v="0"/>
    <s v="DK1_Rural"/>
    <x v="0"/>
    <x v="49"/>
    <x v="0"/>
    <x v="15"/>
    <n v="3"/>
    <n v="1095"/>
    <n v="3942"/>
  </r>
  <r>
    <x v="0"/>
    <x v="0"/>
    <x v="0"/>
    <x v="0"/>
    <x v="0"/>
    <s v="DK1_Rural"/>
    <x v="0"/>
    <x v="49"/>
    <x v="0"/>
    <x v="16"/>
    <n v="3"/>
    <n v="1095"/>
    <n v="3942"/>
  </r>
  <r>
    <x v="0"/>
    <x v="0"/>
    <x v="0"/>
    <x v="0"/>
    <x v="0"/>
    <s v="DK1_Rural"/>
    <x v="0"/>
    <x v="49"/>
    <x v="0"/>
    <x v="17"/>
    <n v="3"/>
    <n v="1095"/>
    <n v="3942"/>
  </r>
  <r>
    <x v="0"/>
    <x v="0"/>
    <x v="0"/>
    <x v="0"/>
    <x v="0"/>
    <s v="DK1_Rural"/>
    <x v="0"/>
    <x v="49"/>
    <x v="0"/>
    <x v="18"/>
    <n v="3"/>
    <n v="1095"/>
    <n v="3942"/>
  </r>
  <r>
    <x v="0"/>
    <x v="0"/>
    <x v="0"/>
    <x v="0"/>
    <x v="0"/>
    <s v="DK1_Rural"/>
    <x v="0"/>
    <x v="49"/>
    <x v="0"/>
    <x v="19"/>
    <n v="3"/>
    <n v="1095"/>
    <n v="3942"/>
  </r>
  <r>
    <x v="0"/>
    <x v="0"/>
    <x v="0"/>
    <x v="0"/>
    <x v="0"/>
    <s v="DK1_Rural"/>
    <x v="0"/>
    <x v="49"/>
    <x v="0"/>
    <x v="20"/>
    <n v="3"/>
    <n v="1095"/>
    <n v="3942"/>
  </r>
  <r>
    <x v="0"/>
    <x v="0"/>
    <x v="0"/>
    <x v="0"/>
    <x v="0"/>
    <s v="DK1_Rural"/>
    <x v="0"/>
    <x v="49"/>
    <x v="0"/>
    <x v="21"/>
    <n v="3"/>
    <n v="1095"/>
    <n v="3942"/>
  </r>
  <r>
    <x v="0"/>
    <x v="0"/>
    <x v="0"/>
    <x v="0"/>
    <x v="0"/>
    <s v="DK1_Rural"/>
    <x v="0"/>
    <x v="49"/>
    <x v="0"/>
    <x v="22"/>
    <n v="3"/>
    <n v="1095"/>
    <n v="3942"/>
  </r>
  <r>
    <x v="0"/>
    <x v="0"/>
    <x v="0"/>
    <x v="0"/>
    <x v="0"/>
    <s v="DK1_Rural"/>
    <x v="0"/>
    <x v="49"/>
    <x v="0"/>
    <x v="23"/>
    <n v="3"/>
    <n v="1095"/>
    <n v="3942"/>
  </r>
  <r>
    <x v="0"/>
    <x v="0"/>
    <x v="0"/>
    <x v="0"/>
    <x v="0"/>
    <s v="DK1_Rural"/>
    <x v="0"/>
    <x v="4"/>
    <x v="0"/>
    <x v="0"/>
    <n v="13.5"/>
    <n v="4927.5"/>
    <n v="17739"/>
  </r>
  <r>
    <x v="0"/>
    <x v="0"/>
    <x v="0"/>
    <x v="0"/>
    <x v="0"/>
    <s v="DK1_Rural"/>
    <x v="0"/>
    <x v="4"/>
    <x v="0"/>
    <x v="1"/>
    <n v="13.5"/>
    <n v="4927.5"/>
    <n v="17739"/>
  </r>
  <r>
    <x v="0"/>
    <x v="0"/>
    <x v="0"/>
    <x v="0"/>
    <x v="0"/>
    <s v="DK1_Rural"/>
    <x v="0"/>
    <x v="4"/>
    <x v="0"/>
    <x v="2"/>
    <n v="13.5"/>
    <n v="4927.5"/>
    <n v="17739"/>
  </r>
  <r>
    <x v="0"/>
    <x v="0"/>
    <x v="0"/>
    <x v="0"/>
    <x v="0"/>
    <s v="DK1_Rural"/>
    <x v="0"/>
    <x v="4"/>
    <x v="0"/>
    <x v="3"/>
    <n v="13.5"/>
    <n v="4927.5"/>
    <n v="17739"/>
  </r>
  <r>
    <x v="0"/>
    <x v="0"/>
    <x v="0"/>
    <x v="0"/>
    <x v="0"/>
    <s v="DK1_Rural"/>
    <x v="0"/>
    <x v="4"/>
    <x v="0"/>
    <x v="4"/>
    <n v="13.5"/>
    <n v="4927.5"/>
    <n v="17739"/>
  </r>
  <r>
    <x v="0"/>
    <x v="0"/>
    <x v="0"/>
    <x v="0"/>
    <x v="0"/>
    <s v="DK1_Rural"/>
    <x v="0"/>
    <x v="4"/>
    <x v="0"/>
    <x v="5"/>
    <n v="13.5"/>
    <n v="4927.5"/>
    <n v="17739"/>
  </r>
  <r>
    <x v="0"/>
    <x v="0"/>
    <x v="0"/>
    <x v="0"/>
    <x v="0"/>
    <s v="DK1_Rural"/>
    <x v="0"/>
    <x v="4"/>
    <x v="0"/>
    <x v="6"/>
    <n v="13.5"/>
    <n v="4927.5"/>
    <n v="17739"/>
  </r>
  <r>
    <x v="0"/>
    <x v="0"/>
    <x v="0"/>
    <x v="0"/>
    <x v="0"/>
    <s v="DK1_Rural"/>
    <x v="0"/>
    <x v="4"/>
    <x v="0"/>
    <x v="7"/>
    <n v="13.5"/>
    <n v="4927.5"/>
    <n v="17739"/>
  </r>
  <r>
    <x v="0"/>
    <x v="0"/>
    <x v="0"/>
    <x v="0"/>
    <x v="0"/>
    <s v="DK1_Rural"/>
    <x v="0"/>
    <x v="4"/>
    <x v="0"/>
    <x v="8"/>
    <n v="13.5"/>
    <n v="4927.5"/>
    <n v="17739"/>
  </r>
  <r>
    <x v="0"/>
    <x v="0"/>
    <x v="0"/>
    <x v="0"/>
    <x v="0"/>
    <s v="DK1_Rural"/>
    <x v="0"/>
    <x v="4"/>
    <x v="0"/>
    <x v="9"/>
    <n v="13.5"/>
    <n v="4927.5"/>
    <n v="17739"/>
  </r>
  <r>
    <x v="0"/>
    <x v="0"/>
    <x v="0"/>
    <x v="0"/>
    <x v="0"/>
    <s v="DK1_Rural"/>
    <x v="0"/>
    <x v="4"/>
    <x v="0"/>
    <x v="10"/>
    <n v="13.5"/>
    <n v="4927.5"/>
    <n v="17739"/>
  </r>
  <r>
    <x v="0"/>
    <x v="0"/>
    <x v="0"/>
    <x v="0"/>
    <x v="0"/>
    <s v="DK1_Rural"/>
    <x v="0"/>
    <x v="4"/>
    <x v="0"/>
    <x v="11"/>
    <n v="13.5"/>
    <n v="4927.5"/>
    <n v="17739"/>
  </r>
  <r>
    <x v="0"/>
    <x v="0"/>
    <x v="0"/>
    <x v="0"/>
    <x v="0"/>
    <s v="DK1_Rural"/>
    <x v="0"/>
    <x v="4"/>
    <x v="0"/>
    <x v="12"/>
    <n v="13.5"/>
    <n v="4927.5"/>
    <n v="17739"/>
  </r>
  <r>
    <x v="0"/>
    <x v="0"/>
    <x v="0"/>
    <x v="0"/>
    <x v="0"/>
    <s v="DK1_Rural"/>
    <x v="0"/>
    <x v="4"/>
    <x v="0"/>
    <x v="13"/>
    <n v="13.5"/>
    <n v="4927.5"/>
    <n v="17739"/>
  </r>
  <r>
    <x v="0"/>
    <x v="0"/>
    <x v="0"/>
    <x v="0"/>
    <x v="0"/>
    <s v="DK1_Rural"/>
    <x v="0"/>
    <x v="4"/>
    <x v="0"/>
    <x v="14"/>
    <n v="13.5"/>
    <n v="4927.5"/>
    <n v="17739"/>
  </r>
  <r>
    <x v="0"/>
    <x v="0"/>
    <x v="0"/>
    <x v="0"/>
    <x v="0"/>
    <s v="DK1_Rural"/>
    <x v="0"/>
    <x v="4"/>
    <x v="0"/>
    <x v="15"/>
    <n v="13.5"/>
    <n v="4927.5"/>
    <n v="17739"/>
  </r>
  <r>
    <x v="0"/>
    <x v="0"/>
    <x v="0"/>
    <x v="0"/>
    <x v="0"/>
    <s v="DK1_Rural"/>
    <x v="0"/>
    <x v="4"/>
    <x v="0"/>
    <x v="16"/>
    <n v="13.5"/>
    <n v="4927.5"/>
    <n v="17739"/>
  </r>
  <r>
    <x v="0"/>
    <x v="0"/>
    <x v="0"/>
    <x v="0"/>
    <x v="0"/>
    <s v="DK1_Rural"/>
    <x v="0"/>
    <x v="4"/>
    <x v="0"/>
    <x v="17"/>
    <n v="13.5"/>
    <n v="4927.5"/>
    <n v="17739"/>
  </r>
  <r>
    <x v="0"/>
    <x v="0"/>
    <x v="0"/>
    <x v="0"/>
    <x v="0"/>
    <s v="DK1_Rural"/>
    <x v="0"/>
    <x v="4"/>
    <x v="0"/>
    <x v="18"/>
    <n v="13.5"/>
    <n v="4927.5"/>
    <n v="17739"/>
  </r>
  <r>
    <x v="0"/>
    <x v="0"/>
    <x v="0"/>
    <x v="0"/>
    <x v="0"/>
    <s v="DK1_Rural"/>
    <x v="0"/>
    <x v="4"/>
    <x v="0"/>
    <x v="19"/>
    <n v="13.5"/>
    <n v="4927.5"/>
    <n v="17739"/>
  </r>
  <r>
    <x v="0"/>
    <x v="0"/>
    <x v="0"/>
    <x v="0"/>
    <x v="0"/>
    <s v="DK1_Rural"/>
    <x v="0"/>
    <x v="4"/>
    <x v="0"/>
    <x v="20"/>
    <n v="13.5"/>
    <n v="4927.5"/>
    <n v="17739"/>
  </r>
  <r>
    <x v="0"/>
    <x v="0"/>
    <x v="0"/>
    <x v="0"/>
    <x v="0"/>
    <s v="DK1_Rural"/>
    <x v="0"/>
    <x v="4"/>
    <x v="0"/>
    <x v="21"/>
    <n v="13.5"/>
    <n v="4927.5"/>
    <n v="17739"/>
  </r>
  <r>
    <x v="0"/>
    <x v="0"/>
    <x v="0"/>
    <x v="0"/>
    <x v="0"/>
    <s v="DK1_Rural"/>
    <x v="0"/>
    <x v="4"/>
    <x v="0"/>
    <x v="22"/>
    <n v="13.5"/>
    <n v="4927.5"/>
    <n v="17739"/>
  </r>
  <r>
    <x v="0"/>
    <x v="0"/>
    <x v="0"/>
    <x v="0"/>
    <x v="0"/>
    <s v="DK1_Rural"/>
    <x v="0"/>
    <x v="4"/>
    <x v="0"/>
    <x v="23"/>
    <n v="13.5"/>
    <n v="4927.5"/>
    <n v="17739"/>
  </r>
  <r>
    <x v="0"/>
    <x v="0"/>
    <x v="0"/>
    <x v="0"/>
    <x v="0"/>
    <s v="DK1_Rural"/>
    <x v="0"/>
    <x v="37"/>
    <x v="0"/>
    <x v="0"/>
    <n v="2.1052631578947398"/>
    <n v="768.42105263157805"/>
    <n v="2766.3157894736801"/>
  </r>
  <r>
    <x v="0"/>
    <x v="0"/>
    <x v="0"/>
    <x v="0"/>
    <x v="0"/>
    <s v="DK1_Rural"/>
    <x v="0"/>
    <x v="37"/>
    <x v="0"/>
    <x v="1"/>
    <n v="2.1052631578947398"/>
    <n v="768.42105263157805"/>
    <n v="2766.3157894736801"/>
  </r>
  <r>
    <x v="0"/>
    <x v="0"/>
    <x v="0"/>
    <x v="0"/>
    <x v="0"/>
    <s v="DK1_Rural"/>
    <x v="0"/>
    <x v="37"/>
    <x v="0"/>
    <x v="2"/>
    <n v="2.1052631578947398"/>
    <n v="768.42105263157805"/>
    <n v="2766.3157894736801"/>
  </r>
  <r>
    <x v="0"/>
    <x v="0"/>
    <x v="0"/>
    <x v="0"/>
    <x v="0"/>
    <s v="DK1_Rural"/>
    <x v="0"/>
    <x v="37"/>
    <x v="0"/>
    <x v="3"/>
    <n v="2.1052631578947398"/>
    <n v="768.42105263157805"/>
    <n v="2766.3157894736801"/>
  </r>
  <r>
    <x v="0"/>
    <x v="0"/>
    <x v="0"/>
    <x v="0"/>
    <x v="0"/>
    <s v="DK1_Rural"/>
    <x v="0"/>
    <x v="37"/>
    <x v="0"/>
    <x v="4"/>
    <n v="2.1052631578947398"/>
    <n v="768.42105263157805"/>
    <n v="2766.3157894736801"/>
  </r>
  <r>
    <x v="0"/>
    <x v="0"/>
    <x v="0"/>
    <x v="0"/>
    <x v="0"/>
    <s v="DK1_Rural"/>
    <x v="0"/>
    <x v="37"/>
    <x v="0"/>
    <x v="5"/>
    <n v="2.1052631578947398"/>
    <n v="768.42105263157805"/>
    <n v="2766.3157894736801"/>
  </r>
  <r>
    <x v="0"/>
    <x v="0"/>
    <x v="0"/>
    <x v="0"/>
    <x v="0"/>
    <s v="DK1_Rural"/>
    <x v="0"/>
    <x v="37"/>
    <x v="0"/>
    <x v="6"/>
    <n v="2.1052631578947398"/>
    <n v="768.42105263157805"/>
    <n v="2766.3157894736801"/>
  </r>
  <r>
    <x v="0"/>
    <x v="0"/>
    <x v="0"/>
    <x v="0"/>
    <x v="0"/>
    <s v="DK1_Rural"/>
    <x v="0"/>
    <x v="37"/>
    <x v="0"/>
    <x v="7"/>
    <n v="2.1052631578947398"/>
    <n v="768.42105263157805"/>
    <n v="2766.3157894736801"/>
  </r>
  <r>
    <x v="0"/>
    <x v="0"/>
    <x v="0"/>
    <x v="0"/>
    <x v="0"/>
    <s v="DK1_Rural"/>
    <x v="0"/>
    <x v="37"/>
    <x v="0"/>
    <x v="8"/>
    <n v="2.1052631578947398"/>
    <n v="768.42105263157805"/>
    <n v="2766.3157894736801"/>
  </r>
  <r>
    <x v="0"/>
    <x v="0"/>
    <x v="0"/>
    <x v="0"/>
    <x v="0"/>
    <s v="DK1_Rural"/>
    <x v="0"/>
    <x v="37"/>
    <x v="0"/>
    <x v="9"/>
    <n v="2.1052631578947398"/>
    <n v="768.42105263157805"/>
    <n v="2766.3157894736801"/>
  </r>
  <r>
    <x v="0"/>
    <x v="0"/>
    <x v="0"/>
    <x v="0"/>
    <x v="0"/>
    <s v="DK1_Rural"/>
    <x v="0"/>
    <x v="37"/>
    <x v="0"/>
    <x v="10"/>
    <n v="2.1052631578947398"/>
    <n v="768.42105263157805"/>
    <n v="2766.3157894736801"/>
  </r>
  <r>
    <x v="0"/>
    <x v="0"/>
    <x v="0"/>
    <x v="0"/>
    <x v="0"/>
    <s v="DK1_Rural"/>
    <x v="0"/>
    <x v="37"/>
    <x v="0"/>
    <x v="11"/>
    <n v="2.1052631578947398"/>
    <n v="768.42105263157805"/>
    <n v="2766.3157894736801"/>
  </r>
  <r>
    <x v="0"/>
    <x v="0"/>
    <x v="0"/>
    <x v="0"/>
    <x v="0"/>
    <s v="DK1_Rural"/>
    <x v="0"/>
    <x v="37"/>
    <x v="0"/>
    <x v="12"/>
    <n v="2.1052631578947398"/>
    <n v="768.42105263157805"/>
    <n v="2766.3157894736801"/>
  </r>
  <r>
    <x v="0"/>
    <x v="0"/>
    <x v="0"/>
    <x v="0"/>
    <x v="0"/>
    <s v="DK1_Rural"/>
    <x v="0"/>
    <x v="37"/>
    <x v="0"/>
    <x v="13"/>
    <n v="2.1052631578947398"/>
    <n v="768.42105263157805"/>
    <n v="2766.3157894736801"/>
  </r>
  <r>
    <x v="0"/>
    <x v="0"/>
    <x v="0"/>
    <x v="0"/>
    <x v="0"/>
    <s v="DK1_Rural"/>
    <x v="0"/>
    <x v="37"/>
    <x v="0"/>
    <x v="14"/>
    <n v="2.1052631578947398"/>
    <n v="768.42105263157805"/>
    <n v="2766.3157894736801"/>
  </r>
  <r>
    <x v="0"/>
    <x v="0"/>
    <x v="0"/>
    <x v="0"/>
    <x v="0"/>
    <s v="DK1_Rural"/>
    <x v="0"/>
    <x v="37"/>
    <x v="0"/>
    <x v="15"/>
    <n v="2.1052631578947398"/>
    <n v="768.42105263157805"/>
    <n v="2766.3157894736801"/>
  </r>
  <r>
    <x v="0"/>
    <x v="0"/>
    <x v="0"/>
    <x v="0"/>
    <x v="0"/>
    <s v="DK1_Rural"/>
    <x v="0"/>
    <x v="37"/>
    <x v="0"/>
    <x v="16"/>
    <n v="2.1052631578947398"/>
    <n v="768.42105263157805"/>
    <n v="2766.3157894736801"/>
  </r>
  <r>
    <x v="0"/>
    <x v="0"/>
    <x v="0"/>
    <x v="0"/>
    <x v="0"/>
    <s v="DK1_Rural"/>
    <x v="0"/>
    <x v="37"/>
    <x v="0"/>
    <x v="17"/>
    <n v="2.1052631578947398"/>
    <n v="768.42105263157805"/>
    <n v="2766.3157894736801"/>
  </r>
  <r>
    <x v="0"/>
    <x v="0"/>
    <x v="0"/>
    <x v="0"/>
    <x v="0"/>
    <s v="DK1_Rural"/>
    <x v="0"/>
    <x v="37"/>
    <x v="0"/>
    <x v="18"/>
    <n v="2.1052631578947398"/>
    <n v="768.42105263157805"/>
    <n v="2766.3157894736801"/>
  </r>
  <r>
    <x v="0"/>
    <x v="0"/>
    <x v="0"/>
    <x v="0"/>
    <x v="0"/>
    <s v="DK1_Rural"/>
    <x v="0"/>
    <x v="37"/>
    <x v="0"/>
    <x v="19"/>
    <n v="2.1052631578947398"/>
    <n v="768.42105263157805"/>
    <n v="2766.3157894736801"/>
  </r>
  <r>
    <x v="0"/>
    <x v="0"/>
    <x v="0"/>
    <x v="0"/>
    <x v="0"/>
    <s v="DK1_Rural"/>
    <x v="0"/>
    <x v="37"/>
    <x v="0"/>
    <x v="20"/>
    <n v="2.1052631578947398"/>
    <n v="768.42105263157805"/>
    <n v="2766.3157894736801"/>
  </r>
  <r>
    <x v="0"/>
    <x v="0"/>
    <x v="0"/>
    <x v="0"/>
    <x v="0"/>
    <s v="DK1_Rural"/>
    <x v="0"/>
    <x v="37"/>
    <x v="0"/>
    <x v="21"/>
    <n v="2.1052631578947398"/>
    <n v="768.42105263157805"/>
    <n v="2766.3157894736801"/>
  </r>
  <r>
    <x v="0"/>
    <x v="0"/>
    <x v="0"/>
    <x v="0"/>
    <x v="0"/>
    <s v="DK1_Rural"/>
    <x v="0"/>
    <x v="37"/>
    <x v="0"/>
    <x v="22"/>
    <n v="2.1052631578947398"/>
    <n v="768.42105263157805"/>
    <n v="2766.3157894736801"/>
  </r>
  <r>
    <x v="0"/>
    <x v="0"/>
    <x v="0"/>
    <x v="0"/>
    <x v="0"/>
    <s v="DK1_Rural"/>
    <x v="0"/>
    <x v="37"/>
    <x v="0"/>
    <x v="23"/>
    <n v="2.1052631578947398"/>
    <n v="768.42105263157805"/>
    <n v="2766.3157894736801"/>
  </r>
  <r>
    <x v="0"/>
    <x v="0"/>
    <x v="0"/>
    <x v="0"/>
    <x v="0"/>
    <s v="DK1_Rural"/>
    <x v="0"/>
    <x v="5"/>
    <x v="0"/>
    <x v="0"/>
    <n v="9.2820512820512793"/>
    <n v="3387.9487179487201"/>
    <n v="12196.615384615399"/>
  </r>
  <r>
    <x v="0"/>
    <x v="0"/>
    <x v="0"/>
    <x v="0"/>
    <x v="0"/>
    <s v="DK1_Rural"/>
    <x v="0"/>
    <x v="5"/>
    <x v="0"/>
    <x v="1"/>
    <n v="9.2820512820512793"/>
    <n v="3387.9487179487201"/>
    <n v="12196.615384615399"/>
  </r>
  <r>
    <x v="0"/>
    <x v="0"/>
    <x v="0"/>
    <x v="0"/>
    <x v="0"/>
    <s v="DK1_Rural"/>
    <x v="0"/>
    <x v="5"/>
    <x v="0"/>
    <x v="2"/>
    <n v="9.2820512820512793"/>
    <n v="3387.9487179487201"/>
    <n v="12196.615384615399"/>
  </r>
  <r>
    <x v="0"/>
    <x v="0"/>
    <x v="0"/>
    <x v="0"/>
    <x v="0"/>
    <s v="DK1_Rural"/>
    <x v="0"/>
    <x v="5"/>
    <x v="0"/>
    <x v="3"/>
    <n v="9.2820512820512793"/>
    <n v="3387.9487179487201"/>
    <n v="12196.615384615399"/>
  </r>
  <r>
    <x v="0"/>
    <x v="0"/>
    <x v="0"/>
    <x v="0"/>
    <x v="0"/>
    <s v="DK1_Rural"/>
    <x v="0"/>
    <x v="5"/>
    <x v="0"/>
    <x v="4"/>
    <n v="9.2820512820512793"/>
    <n v="3387.9487179487201"/>
    <n v="12196.615384615399"/>
  </r>
  <r>
    <x v="0"/>
    <x v="0"/>
    <x v="0"/>
    <x v="0"/>
    <x v="0"/>
    <s v="DK1_Rural"/>
    <x v="0"/>
    <x v="5"/>
    <x v="0"/>
    <x v="5"/>
    <n v="9.2820512820512793"/>
    <n v="3387.9487179487201"/>
    <n v="12196.615384615399"/>
  </r>
  <r>
    <x v="0"/>
    <x v="0"/>
    <x v="0"/>
    <x v="0"/>
    <x v="0"/>
    <s v="DK1_Rural"/>
    <x v="0"/>
    <x v="5"/>
    <x v="0"/>
    <x v="6"/>
    <n v="9.2820512820512793"/>
    <n v="3387.9487179487201"/>
    <n v="12196.615384615399"/>
  </r>
  <r>
    <x v="0"/>
    <x v="0"/>
    <x v="0"/>
    <x v="0"/>
    <x v="0"/>
    <s v="DK1_Rural"/>
    <x v="0"/>
    <x v="5"/>
    <x v="0"/>
    <x v="7"/>
    <n v="9.2820512820512793"/>
    <n v="3387.9487179487201"/>
    <n v="12196.615384615399"/>
  </r>
  <r>
    <x v="0"/>
    <x v="0"/>
    <x v="0"/>
    <x v="0"/>
    <x v="0"/>
    <s v="DK1_Rural"/>
    <x v="0"/>
    <x v="5"/>
    <x v="0"/>
    <x v="8"/>
    <n v="9.2820512820512793"/>
    <n v="3387.9487179487201"/>
    <n v="12196.615384615399"/>
  </r>
  <r>
    <x v="0"/>
    <x v="0"/>
    <x v="0"/>
    <x v="0"/>
    <x v="0"/>
    <s v="DK1_Rural"/>
    <x v="0"/>
    <x v="5"/>
    <x v="0"/>
    <x v="9"/>
    <n v="9.2820512820512793"/>
    <n v="3387.9487179487201"/>
    <n v="12196.615384615399"/>
  </r>
  <r>
    <x v="0"/>
    <x v="0"/>
    <x v="0"/>
    <x v="0"/>
    <x v="0"/>
    <s v="DK1_Rural"/>
    <x v="0"/>
    <x v="5"/>
    <x v="0"/>
    <x v="10"/>
    <n v="9.2820512820512793"/>
    <n v="3387.9487179487201"/>
    <n v="12196.615384615399"/>
  </r>
  <r>
    <x v="0"/>
    <x v="0"/>
    <x v="0"/>
    <x v="0"/>
    <x v="0"/>
    <s v="DK1_Rural"/>
    <x v="0"/>
    <x v="5"/>
    <x v="0"/>
    <x v="11"/>
    <n v="9.2820512820512793"/>
    <n v="3387.9487179487201"/>
    <n v="12196.615384615399"/>
  </r>
  <r>
    <x v="0"/>
    <x v="0"/>
    <x v="0"/>
    <x v="0"/>
    <x v="0"/>
    <s v="DK1_Rural"/>
    <x v="0"/>
    <x v="5"/>
    <x v="0"/>
    <x v="12"/>
    <n v="9.2820512820512793"/>
    <n v="3387.9487179487201"/>
    <n v="12196.615384615399"/>
  </r>
  <r>
    <x v="0"/>
    <x v="0"/>
    <x v="0"/>
    <x v="0"/>
    <x v="0"/>
    <s v="DK1_Rural"/>
    <x v="0"/>
    <x v="5"/>
    <x v="0"/>
    <x v="13"/>
    <n v="9.2820512820512793"/>
    <n v="3387.9487179487201"/>
    <n v="12196.615384615399"/>
  </r>
  <r>
    <x v="0"/>
    <x v="0"/>
    <x v="0"/>
    <x v="0"/>
    <x v="0"/>
    <s v="DK1_Rural"/>
    <x v="0"/>
    <x v="5"/>
    <x v="0"/>
    <x v="14"/>
    <n v="9.2820512820512793"/>
    <n v="3387.9487179487201"/>
    <n v="12196.615384615399"/>
  </r>
  <r>
    <x v="0"/>
    <x v="0"/>
    <x v="0"/>
    <x v="0"/>
    <x v="0"/>
    <s v="DK1_Rural"/>
    <x v="0"/>
    <x v="5"/>
    <x v="0"/>
    <x v="15"/>
    <n v="9.2820512820512793"/>
    <n v="3387.9487179487201"/>
    <n v="12196.615384615399"/>
  </r>
  <r>
    <x v="0"/>
    <x v="0"/>
    <x v="0"/>
    <x v="0"/>
    <x v="0"/>
    <s v="DK1_Rural"/>
    <x v="0"/>
    <x v="5"/>
    <x v="0"/>
    <x v="16"/>
    <n v="9.2820512820512793"/>
    <n v="3387.9487179487201"/>
    <n v="12196.615384615399"/>
  </r>
  <r>
    <x v="0"/>
    <x v="0"/>
    <x v="0"/>
    <x v="0"/>
    <x v="0"/>
    <s v="DK1_Rural"/>
    <x v="0"/>
    <x v="5"/>
    <x v="0"/>
    <x v="17"/>
    <n v="9.2820512820512793"/>
    <n v="3387.9487179487201"/>
    <n v="12196.615384615399"/>
  </r>
  <r>
    <x v="0"/>
    <x v="0"/>
    <x v="0"/>
    <x v="0"/>
    <x v="0"/>
    <s v="DK1_Rural"/>
    <x v="0"/>
    <x v="5"/>
    <x v="0"/>
    <x v="18"/>
    <n v="9.2820512820512793"/>
    <n v="3387.9487179487201"/>
    <n v="12196.615384615399"/>
  </r>
  <r>
    <x v="0"/>
    <x v="0"/>
    <x v="0"/>
    <x v="0"/>
    <x v="0"/>
    <s v="DK1_Rural"/>
    <x v="0"/>
    <x v="5"/>
    <x v="0"/>
    <x v="19"/>
    <n v="9.2820512820512793"/>
    <n v="3387.9487179487201"/>
    <n v="12196.615384615399"/>
  </r>
  <r>
    <x v="0"/>
    <x v="0"/>
    <x v="0"/>
    <x v="0"/>
    <x v="0"/>
    <s v="DK1_Rural"/>
    <x v="0"/>
    <x v="5"/>
    <x v="0"/>
    <x v="20"/>
    <n v="9.2820512820512793"/>
    <n v="3387.9487179487201"/>
    <n v="12196.615384615399"/>
  </r>
  <r>
    <x v="0"/>
    <x v="0"/>
    <x v="0"/>
    <x v="0"/>
    <x v="0"/>
    <s v="DK1_Rural"/>
    <x v="0"/>
    <x v="5"/>
    <x v="0"/>
    <x v="21"/>
    <n v="9.2820512820512793"/>
    <n v="3387.9487179487201"/>
    <n v="12196.615384615399"/>
  </r>
  <r>
    <x v="0"/>
    <x v="0"/>
    <x v="0"/>
    <x v="0"/>
    <x v="0"/>
    <s v="DK1_Rural"/>
    <x v="0"/>
    <x v="5"/>
    <x v="0"/>
    <x v="22"/>
    <n v="9.2820512820512793"/>
    <n v="3387.9487179487201"/>
    <n v="12196.615384615399"/>
  </r>
  <r>
    <x v="0"/>
    <x v="0"/>
    <x v="0"/>
    <x v="0"/>
    <x v="0"/>
    <s v="DK1_Rural"/>
    <x v="0"/>
    <x v="5"/>
    <x v="0"/>
    <x v="23"/>
    <n v="9.2820512820512793"/>
    <n v="3387.9487179487201"/>
    <n v="12196.615384615399"/>
  </r>
  <r>
    <x v="0"/>
    <x v="0"/>
    <x v="0"/>
    <x v="0"/>
    <x v="0"/>
    <s v="DK1_Rural"/>
    <x v="0"/>
    <x v="6"/>
    <x v="0"/>
    <x v="0"/>
    <n v="15.6"/>
    <n v="5694"/>
    <n v="20498.400000000001"/>
  </r>
  <r>
    <x v="0"/>
    <x v="0"/>
    <x v="0"/>
    <x v="0"/>
    <x v="0"/>
    <s v="DK1_Rural"/>
    <x v="0"/>
    <x v="6"/>
    <x v="0"/>
    <x v="1"/>
    <n v="15.6"/>
    <n v="5694"/>
    <n v="20498.400000000001"/>
  </r>
  <r>
    <x v="0"/>
    <x v="0"/>
    <x v="0"/>
    <x v="0"/>
    <x v="0"/>
    <s v="DK1_Rural"/>
    <x v="0"/>
    <x v="6"/>
    <x v="0"/>
    <x v="2"/>
    <n v="15.6"/>
    <n v="5694"/>
    <n v="20498.400000000001"/>
  </r>
  <r>
    <x v="0"/>
    <x v="0"/>
    <x v="0"/>
    <x v="0"/>
    <x v="0"/>
    <s v="DK1_Rural"/>
    <x v="0"/>
    <x v="6"/>
    <x v="0"/>
    <x v="3"/>
    <n v="15.6"/>
    <n v="5694"/>
    <n v="20498.400000000001"/>
  </r>
  <r>
    <x v="0"/>
    <x v="0"/>
    <x v="0"/>
    <x v="0"/>
    <x v="0"/>
    <s v="DK1_Rural"/>
    <x v="0"/>
    <x v="6"/>
    <x v="0"/>
    <x v="4"/>
    <n v="15.6"/>
    <n v="5694"/>
    <n v="20498.400000000001"/>
  </r>
  <r>
    <x v="0"/>
    <x v="0"/>
    <x v="0"/>
    <x v="0"/>
    <x v="0"/>
    <s v="DK1_Rural"/>
    <x v="0"/>
    <x v="6"/>
    <x v="0"/>
    <x v="5"/>
    <n v="15.6"/>
    <n v="5694"/>
    <n v="20498.400000000001"/>
  </r>
  <r>
    <x v="0"/>
    <x v="0"/>
    <x v="0"/>
    <x v="0"/>
    <x v="0"/>
    <s v="DK1_Rural"/>
    <x v="0"/>
    <x v="6"/>
    <x v="0"/>
    <x v="6"/>
    <n v="15.6"/>
    <n v="5694"/>
    <n v="20498.400000000001"/>
  </r>
  <r>
    <x v="0"/>
    <x v="0"/>
    <x v="0"/>
    <x v="0"/>
    <x v="0"/>
    <s v="DK1_Rural"/>
    <x v="0"/>
    <x v="6"/>
    <x v="0"/>
    <x v="7"/>
    <n v="15.6"/>
    <n v="5694"/>
    <n v="20498.400000000001"/>
  </r>
  <r>
    <x v="0"/>
    <x v="0"/>
    <x v="0"/>
    <x v="0"/>
    <x v="0"/>
    <s v="DK1_Rural"/>
    <x v="0"/>
    <x v="6"/>
    <x v="0"/>
    <x v="8"/>
    <n v="15.6"/>
    <n v="5694"/>
    <n v="20498.400000000001"/>
  </r>
  <r>
    <x v="0"/>
    <x v="0"/>
    <x v="0"/>
    <x v="0"/>
    <x v="0"/>
    <s v="DK1_Rural"/>
    <x v="0"/>
    <x v="6"/>
    <x v="0"/>
    <x v="9"/>
    <n v="15.6"/>
    <n v="5694"/>
    <n v="20498.400000000001"/>
  </r>
  <r>
    <x v="0"/>
    <x v="0"/>
    <x v="0"/>
    <x v="0"/>
    <x v="0"/>
    <s v="DK1_Rural"/>
    <x v="0"/>
    <x v="6"/>
    <x v="0"/>
    <x v="10"/>
    <n v="15.6"/>
    <n v="5694"/>
    <n v="20498.400000000001"/>
  </r>
  <r>
    <x v="0"/>
    <x v="0"/>
    <x v="0"/>
    <x v="0"/>
    <x v="0"/>
    <s v="DK1_Rural"/>
    <x v="0"/>
    <x v="6"/>
    <x v="0"/>
    <x v="11"/>
    <n v="15.6"/>
    <n v="5694"/>
    <n v="20498.400000000001"/>
  </r>
  <r>
    <x v="0"/>
    <x v="0"/>
    <x v="0"/>
    <x v="0"/>
    <x v="0"/>
    <s v="DK1_Rural"/>
    <x v="0"/>
    <x v="6"/>
    <x v="0"/>
    <x v="12"/>
    <n v="15.6"/>
    <n v="5694"/>
    <n v="20498.400000000001"/>
  </r>
  <r>
    <x v="0"/>
    <x v="0"/>
    <x v="0"/>
    <x v="0"/>
    <x v="0"/>
    <s v="DK1_Rural"/>
    <x v="0"/>
    <x v="6"/>
    <x v="0"/>
    <x v="13"/>
    <n v="15.6"/>
    <n v="5694"/>
    <n v="20498.400000000001"/>
  </r>
  <r>
    <x v="0"/>
    <x v="0"/>
    <x v="0"/>
    <x v="0"/>
    <x v="0"/>
    <s v="DK1_Rural"/>
    <x v="0"/>
    <x v="6"/>
    <x v="0"/>
    <x v="14"/>
    <n v="15.6"/>
    <n v="5694"/>
    <n v="20498.400000000001"/>
  </r>
  <r>
    <x v="0"/>
    <x v="0"/>
    <x v="0"/>
    <x v="0"/>
    <x v="0"/>
    <s v="DK1_Rural"/>
    <x v="0"/>
    <x v="6"/>
    <x v="0"/>
    <x v="15"/>
    <n v="15.6"/>
    <n v="5694"/>
    <n v="20498.400000000001"/>
  </r>
  <r>
    <x v="0"/>
    <x v="0"/>
    <x v="0"/>
    <x v="0"/>
    <x v="0"/>
    <s v="DK1_Rural"/>
    <x v="0"/>
    <x v="6"/>
    <x v="0"/>
    <x v="16"/>
    <n v="15.6"/>
    <n v="5694"/>
    <n v="20498.400000000001"/>
  </r>
  <r>
    <x v="0"/>
    <x v="0"/>
    <x v="0"/>
    <x v="0"/>
    <x v="0"/>
    <s v="DK1_Rural"/>
    <x v="0"/>
    <x v="6"/>
    <x v="0"/>
    <x v="17"/>
    <n v="15.6"/>
    <n v="5694"/>
    <n v="20498.400000000001"/>
  </r>
  <r>
    <x v="0"/>
    <x v="0"/>
    <x v="0"/>
    <x v="0"/>
    <x v="0"/>
    <s v="DK1_Rural"/>
    <x v="0"/>
    <x v="6"/>
    <x v="0"/>
    <x v="18"/>
    <n v="15.6"/>
    <n v="5694"/>
    <n v="20498.400000000001"/>
  </r>
  <r>
    <x v="0"/>
    <x v="0"/>
    <x v="0"/>
    <x v="0"/>
    <x v="0"/>
    <s v="DK1_Rural"/>
    <x v="0"/>
    <x v="6"/>
    <x v="0"/>
    <x v="19"/>
    <n v="15.6"/>
    <n v="5694"/>
    <n v="20498.400000000001"/>
  </r>
  <r>
    <x v="0"/>
    <x v="0"/>
    <x v="0"/>
    <x v="0"/>
    <x v="0"/>
    <s v="DK1_Rural"/>
    <x v="0"/>
    <x v="6"/>
    <x v="0"/>
    <x v="20"/>
    <n v="15.6"/>
    <n v="5694"/>
    <n v="20498.400000000001"/>
  </r>
  <r>
    <x v="0"/>
    <x v="0"/>
    <x v="0"/>
    <x v="0"/>
    <x v="0"/>
    <s v="DK1_Rural"/>
    <x v="0"/>
    <x v="6"/>
    <x v="0"/>
    <x v="21"/>
    <n v="15.6"/>
    <n v="5694"/>
    <n v="20498.400000000001"/>
  </r>
  <r>
    <x v="0"/>
    <x v="0"/>
    <x v="0"/>
    <x v="0"/>
    <x v="0"/>
    <s v="DK1_Rural"/>
    <x v="0"/>
    <x v="6"/>
    <x v="0"/>
    <x v="22"/>
    <n v="15.6"/>
    <n v="5694"/>
    <n v="20498.400000000001"/>
  </r>
  <r>
    <x v="0"/>
    <x v="0"/>
    <x v="0"/>
    <x v="0"/>
    <x v="0"/>
    <s v="DK1_Rural"/>
    <x v="0"/>
    <x v="6"/>
    <x v="0"/>
    <x v="23"/>
    <n v="15.6"/>
    <n v="5694"/>
    <n v="20498.400000000001"/>
  </r>
  <r>
    <x v="0"/>
    <x v="0"/>
    <x v="0"/>
    <x v="0"/>
    <x v="0"/>
    <s v="DK1_Rural"/>
    <x v="0"/>
    <x v="7"/>
    <x v="0"/>
    <x v="0"/>
    <n v="5.0756097560975597"/>
    <n v="1852.5975609756099"/>
    <n v="6669.3512195121903"/>
  </r>
  <r>
    <x v="0"/>
    <x v="0"/>
    <x v="0"/>
    <x v="0"/>
    <x v="0"/>
    <s v="DK1_Rural"/>
    <x v="0"/>
    <x v="7"/>
    <x v="0"/>
    <x v="1"/>
    <n v="5.0756097560975597"/>
    <n v="1852.5975609756099"/>
    <n v="6669.3512195121903"/>
  </r>
  <r>
    <x v="0"/>
    <x v="0"/>
    <x v="0"/>
    <x v="0"/>
    <x v="0"/>
    <s v="DK1_Rural"/>
    <x v="0"/>
    <x v="7"/>
    <x v="0"/>
    <x v="2"/>
    <n v="5.0756097560975597"/>
    <n v="1852.5975609756099"/>
    <n v="6669.3512195121903"/>
  </r>
  <r>
    <x v="0"/>
    <x v="0"/>
    <x v="0"/>
    <x v="0"/>
    <x v="0"/>
    <s v="DK1_Rural"/>
    <x v="0"/>
    <x v="7"/>
    <x v="0"/>
    <x v="3"/>
    <n v="5.0756097560975597"/>
    <n v="1852.5975609756099"/>
    <n v="6669.3512195121903"/>
  </r>
  <r>
    <x v="0"/>
    <x v="0"/>
    <x v="0"/>
    <x v="0"/>
    <x v="0"/>
    <s v="DK1_Rural"/>
    <x v="0"/>
    <x v="7"/>
    <x v="0"/>
    <x v="4"/>
    <n v="5.0756097560975597"/>
    <n v="1852.5975609756099"/>
    <n v="6669.3512195121903"/>
  </r>
  <r>
    <x v="0"/>
    <x v="0"/>
    <x v="0"/>
    <x v="0"/>
    <x v="0"/>
    <s v="DK1_Rural"/>
    <x v="0"/>
    <x v="7"/>
    <x v="0"/>
    <x v="5"/>
    <n v="5.0756097560975597"/>
    <n v="1852.5975609756099"/>
    <n v="6669.3512195121903"/>
  </r>
  <r>
    <x v="0"/>
    <x v="0"/>
    <x v="0"/>
    <x v="0"/>
    <x v="0"/>
    <s v="DK1_Rural"/>
    <x v="0"/>
    <x v="7"/>
    <x v="0"/>
    <x v="6"/>
    <n v="5.0756097560975597"/>
    <n v="1852.5975609756099"/>
    <n v="6669.3512195121903"/>
  </r>
  <r>
    <x v="0"/>
    <x v="0"/>
    <x v="0"/>
    <x v="0"/>
    <x v="0"/>
    <s v="DK1_Rural"/>
    <x v="0"/>
    <x v="7"/>
    <x v="0"/>
    <x v="7"/>
    <n v="5.0756097560975597"/>
    <n v="1852.5975609756099"/>
    <n v="6669.3512195121903"/>
  </r>
  <r>
    <x v="0"/>
    <x v="0"/>
    <x v="0"/>
    <x v="0"/>
    <x v="0"/>
    <s v="DK1_Rural"/>
    <x v="0"/>
    <x v="7"/>
    <x v="0"/>
    <x v="8"/>
    <n v="5.0756097560975597"/>
    <n v="1852.5975609756099"/>
    <n v="6669.3512195121903"/>
  </r>
  <r>
    <x v="0"/>
    <x v="0"/>
    <x v="0"/>
    <x v="0"/>
    <x v="0"/>
    <s v="DK1_Rural"/>
    <x v="0"/>
    <x v="7"/>
    <x v="0"/>
    <x v="9"/>
    <n v="5.0756097560975597"/>
    <n v="1852.5975609756099"/>
    <n v="6669.3512195121903"/>
  </r>
  <r>
    <x v="0"/>
    <x v="0"/>
    <x v="0"/>
    <x v="0"/>
    <x v="0"/>
    <s v="DK1_Rural"/>
    <x v="0"/>
    <x v="7"/>
    <x v="0"/>
    <x v="10"/>
    <n v="5.0756097560975597"/>
    <n v="1852.5975609756099"/>
    <n v="6669.3512195121903"/>
  </r>
  <r>
    <x v="0"/>
    <x v="0"/>
    <x v="0"/>
    <x v="0"/>
    <x v="0"/>
    <s v="DK1_Rural"/>
    <x v="0"/>
    <x v="7"/>
    <x v="0"/>
    <x v="11"/>
    <n v="5.0756097560975597"/>
    <n v="1852.5975609756099"/>
    <n v="6669.3512195121903"/>
  </r>
  <r>
    <x v="0"/>
    <x v="0"/>
    <x v="0"/>
    <x v="0"/>
    <x v="0"/>
    <s v="DK1_Rural"/>
    <x v="0"/>
    <x v="7"/>
    <x v="0"/>
    <x v="12"/>
    <n v="5.0756097560975597"/>
    <n v="1852.5975609756099"/>
    <n v="6669.3512195121903"/>
  </r>
  <r>
    <x v="0"/>
    <x v="0"/>
    <x v="0"/>
    <x v="0"/>
    <x v="0"/>
    <s v="DK1_Rural"/>
    <x v="0"/>
    <x v="7"/>
    <x v="0"/>
    <x v="13"/>
    <n v="5.0756097560975597"/>
    <n v="1852.5975609756099"/>
    <n v="6669.3512195121903"/>
  </r>
  <r>
    <x v="0"/>
    <x v="0"/>
    <x v="0"/>
    <x v="0"/>
    <x v="0"/>
    <s v="DK1_Rural"/>
    <x v="0"/>
    <x v="7"/>
    <x v="0"/>
    <x v="14"/>
    <n v="5.0756097560975597"/>
    <n v="1852.5975609756099"/>
    <n v="6669.3512195121903"/>
  </r>
  <r>
    <x v="0"/>
    <x v="0"/>
    <x v="0"/>
    <x v="0"/>
    <x v="0"/>
    <s v="DK1_Rural"/>
    <x v="0"/>
    <x v="7"/>
    <x v="0"/>
    <x v="15"/>
    <n v="5.0756097560975597"/>
    <n v="1852.5975609756099"/>
    <n v="6669.3512195121903"/>
  </r>
  <r>
    <x v="0"/>
    <x v="0"/>
    <x v="0"/>
    <x v="0"/>
    <x v="0"/>
    <s v="DK1_Rural"/>
    <x v="0"/>
    <x v="7"/>
    <x v="0"/>
    <x v="16"/>
    <n v="5.0756097560975597"/>
    <n v="1852.5975609756099"/>
    <n v="6669.3512195121903"/>
  </r>
  <r>
    <x v="0"/>
    <x v="0"/>
    <x v="0"/>
    <x v="0"/>
    <x v="0"/>
    <s v="DK1_Rural"/>
    <x v="0"/>
    <x v="7"/>
    <x v="0"/>
    <x v="17"/>
    <n v="5.0756097560975597"/>
    <n v="1852.5975609756099"/>
    <n v="6669.3512195121903"/>
  </r>
  <r>
    <x v="0"/>
    <x v="0"/>
    <x v="0"/>
    <x v="0"/>
    <x v="0"/>
    <s v="DK1_Rural"/>
    <x v="0"/>
    <x v="7"/>
    <x v="0"/>
    <x v="18"/>
    <n v="5.0756097560975597"/>
    <n v="1852.5975609756099"/>
    <n v="6669.3512195121903"/>
  </r>
  <r>
    <x v="0"/>
    <x v="0"/>
    <x v="0"/>
    <x v="0"/>
    <x v="0"/>
    <s v="DK1_Rural"/>
    <x v="0"/>
    <x v="7"/>
    <x v="0"/>
    <x v="19"/>
    <n v="5.0756097560975597"/>
    <n v="1852.5975609756099"/>
    <n v="6669.3512195121903"/>
  </r>
  <r>
    <x v="0"/>
    <x v="0"/>
    <x v="0"/>
    <x v="0"/>
    <x v="0"/>
    <s v="DK1_Rural"/>
    <x v="0"/>
    <x v="7"/>
    <x v="0"/>
    <x v="20"/>
    <n v="5.0756097560975597"/>
    <n v="1852.5975609756099"/>
    <n v="6669.3512195121903"/>
  </r>
  <r>
    <x v="0"/>
    <x v="0"/>
    <x v="0"/>
    <x v="0"/>
    <x v="0"/>
    <s v="DK1_Rural"/>
    <x v="0"/>
    <x v="7"/>
    <x v="0"/>
    <x v="21"/>
    <n v="5.0756097560975597"/>
    <n v="1852.5975609756099"/>
    <n v="6669.3512195121903"/>
  </r>
  <r>
    <x v="0"/>
    <x v="0"/>
    <x v="0"/>
    <x v="0"/>
    <x v="0"/>
    <s v="DK1_Rural"/>
    <x v="0"/>
    <x v="7"/>
    <x v="0"/>
    <x v="22"/>
    <n v="5.0756097560975597"/>
    <n v="1852.5975609756099"/>
    <n v="6669.3512195121903"/>
  </r>
  <r>
    <x v="0"/>
    <x v="0"/>
    <x v="0"/>
    <x v="0"/>
    <x v="0"/>
    <s v="DK1_Rural"/>
    <x v="0"/>
    <x v="7"/>
    <x v="0"/>
    <x v="23"/>
    <n v="5.0756097560975597"/>
    <n v="1852.5975609756099"/>
    <n v="6669.3512195121903"/>
  </r>
  <r>
    <x v="0"/>
    <x v="0"/>
    <x v="0"/>
    <x v="0"/>
    <x v="0"/>
    <s v="DK1_Rural"/>
    <x v="0"/>
    <x v="8"/>
    <x v="0"/>
    <x v="0"/>
    <n v="20.3095238095238"/>
    <n v="7412.9761904761899"/>
    <n v="26686.714285714301"/>
  </r>
  <r>
    <x v="0"/>
    <x v="0"/>
    <x v="0"/>
    <x v="0"/>
    <x v="0"/>
    <s v="DK1_Rural"/>
    <x v="0"/>
    <x v="8"/>
    <x v="0"/>
    <x v="1"/>
    <n v="20.3095238095238"/>
    <n v="7412.9761904761899"/>
    <n v="26686.714285714301"/>
  </r>
  <r>
    <x v="0"/>
    <x v="0"/>
    <x v="0"/>
    <x v="0"/>
    <x v="0"/>
    <s v="DK1_Rural"/>
    <x v="0"/>
    <x v="8"/>
    <x v="0"/>
    <x v="2"/>
    <n v="20.3095238095238"/>
    <n v="7412.9761904761899"/>
    <n v="26686.714285714301"/>
  </r>
  <r>
    <x v="0"/>
    <x v="0"/>
    <x v="0"/>
    <x v="0"/>
    <x v="0"/>
    <s v="DK1_Rural"/>
    <x v="0"/>
    <x v="8"/>
    <x v="0"/>
    <x v="3"/>
    <n v="20.3095238095238"/>
    <n v="7412.9761904761899"/>
    <n v="26686.714285714301"/>
  </r>
  <r>
    <x v="0"/>
    <x v="0"/>
    <x v="0"/>
    <x v="0"/>
    <x v="0"/>
    <s v="DK1_Rural"/>
    <x v="0"/>
    <x v="8"/>
    <x v="0"/>
    <x v="4"/>
    <n v="20.3095238095238"/>
    <n v="7412.9761904761899"/>
    <n v="26686.714285714301"/>
  </r>
  <r>
    <x v="0"/>
    <x v="0"/>
    <x v="0"/>
    <x v="0"/>
    <x v="0"/>
    <s v="DK1_Rural"/>
    <x v="0"/>
    <x v="8"/>
    <x v="0"/>
    <x v="5"/>
    <n v="20.3095238095238"/>
    <n v="7412.9761904761899"/>
    <n v="26686.714285714301"/>
  </r>
  <r>
    <x v="0"/>
    <x v="0"/>
    <x v="0"/>
    <x v="0"/>
    <x v="0"/>
    <s v="DK1_Rural"/>
    <x v="0"/>
    <x v="8"/>
    <x v="0"/>
    <x v="6"/>
    <n v="20.3095238095238"/>
    <n v="7412.9761904761899"/>
    <n v="26686.714285714301"/>
  </r>
  <r>
    <x v="0"/>
    <x v="0"/>
    <x v="0"/>
    <x v="0"/>
    <x v="0"/>
    <s v="DK1_Rural"/>
    <x v="0"/>
    <x v="8"/>
    <x v="0"/>
    <x v="7"/>
    <n v="20.3095238095238"/>
    <n v="7412.9761904761899"/>
    <n v="26686.714285714301"/>
  </r>
  <r>
    <x v="0"/>
    <x v="0"/>
    <x v="0"/>
    <x v="0"/>
    <x v="0"/>
    <s v="DK1_Rural"/>
    <x v="0"/>
    <x v="8"/>
    <x v="0"/>
    <x v="8"/>
    <n v="20.3095238095238"/>
    <n v="7412.9761904761899"/>
    <n v="26686.714285714301"/>
  </r>
  <r>
    <x v="0"/>
    <x v="0"/>
    <x v="0"/>
    <x v="0"/>
    <x v="0"/>
    <s v="DK1_Rural"/>
    <x v="0"/>
    <x v="8"/>
    <x v="0"/>
    <x v="9"/>
    <n v="20.3095238095238"/>
    <n v="7412.9761904761899"/>
    <n v="26686.714285714301"/>
  </r>
  <r>
    <x v="0"/>
    <x v="0"/>
    <x v="0"/>
    <x v="0"/>
    <x v="0"/>
    <s v="DK1_Rural"/>
    <x v="0"/>
    <x v="8"/>
    <x v="0"/>
    <x v="10"/>
    <n v="20.3095238095238"/>
    <n v="7412.9761904761899"/>
    <n v="26686.714285714301"/>
  </r>
  <r>
    <x v="0"/>
    <x v="0"/>
    <x v="0"/>
    <x v="0"/>
    <x v="0"/>
    <s v="DK1_Rural"/>
    <x v="0"/>
    <x v="8"/>
    <x v="0"/>
    <x v="11"/>
    <n v="20.3095238095238"/>
    <n v="7412.9761904761899"/>
    <n v="26686.714285714301"/>
  </r>
  <r>
    <x v="0"/>
    <x v="0"/>
    <x v="0"/>
    <x v="0"/>
    <x v="0"/>
    <s v="DK1_Rural"/>
    <x v="0"/>
    <x v="8"/>
    <x v="0"/>
    <x v="12"/>
    <n v="20.3095238095238"/>
    <n v="7412.9761904761899"/>
    <n v="26686.714285714301"/>
  </r>
  <r>
    <x v="0"/>
    <x v="0"/>
    <x v="0"/>
    <x v="0"/>
    <x v="0"/>
    <s v="DK1_Rural"/>
    <x v="0"/>
    <x v="8"/>
    <x v="0"/>
    <x v="13"/>
    <n v="20.3095238095238"/>
    <n v="7412.9761904761899"/>
    <n v="26686.714285714301"/>
  </r>
  <r>
    <x v="0"/>
    <x v="0"/>
    <x v="0"/>
    <x v="0"/>
    <x v="0"/>
    <s v="DK1_Rural"/>
    <x v="0"/>
    <x v="8"/>
    <x v="0"/>
    <x v="14"/>
    <n v="20.3095238095238"/>
    <n v="7412.9761904761899"/>
    <n v="26686.714285714301"/>
  </r>
  <r>
    <x v="0"/>
    <x v="0"/>
    <x v="0"/>
    <x v="0"/>
    <x v="0"/>
    <s v="DK1_Rural"/>
    <x v="0"/>
    <x v="8"/>
    <x v="0"/>
    <x v="15"/>
    <n v="20.3095238095238"/>
    <n v="7412.9761904761899"/>
    <n v="26686.714285714301"/>
  </r>
  <r>
    <x v="0"/>
    <x v="0"/>
    <x v="0"/>
    <x v="0"/>
    <x v="0"/>
    <s v="DK1_Rural"/>
    <x v="0"/>
    <x v="8"/>
    <x v="0"/>
    <x v="16"/>
    <n v="20.3095238095238"/>
    <n v="7412.9761904761899"/>
    <n v="26686.714285714301"/>
  </r>
  <r>
    <x v="0"/>
    <x v="0"/>
    <x v="0"/>
    <x v="0"/>
    <x v="0"/>
    <s v="DK1_Rural"/>
    <x v="0"/>
    <x v="8"/>
    <x v="0"/>
    <x v="17"/>
    <n v="20.3095238095238"/>
    <n v="7412.9761904761899"/>
    <n v="26686.714285714301"/>
  </r>
  <r>
    <x v="0"/>
    <x v="0"/>
    <x v="0"/>
    <x v="0"/>
    <x v="0"/>
    <s v="DK1_Rural"/>
    <x v="0"/>
    <x v="8"/>
    <x v="0"/>
    <x v="18"/>
    <n v="20.3095238095238"/>
    <n v="7412.9761904761899"/>
    <n v="26686.714285714301"/>
  </r>
  <r>
    <x v="0"/>
    <x v="0"/>
    <x v="0"/>
    <x v="0"/>
    <x v="0"/>
    <s v="DK1_Rural"/>
    <x v="0"/>
    <x v="8"/>
    <x v="0"/>
    <x v="19"/>
    <n v="20.3095238095238"/>
    <n v="7412.9761904761899"/>
    <n v="26686.714285714301"/>
  </r>
  <r>
    <x v="0"/>
    <x v="0"/>
    <x v="0"/>
    <x v="0"/>
    <x v="0"/>
    <s v="DK1_Rural"/>
    <x v="0"/>
    <x v="8"/>
    <x v="0"/>
    <x v="20"/>
    <n v="20.3095238095238"/>
    <n v="7412.9761904761899"/>
    <n v="26686.714285714301"/>
  </r>
  <r>
    <x v="0"/>
    <x v="0"/>
    <x v="0"/>
    <x v="0"/>
    <x v="0"/>
    <s v="DK1_Rural"/>
    <x v="0"/>
    <x v="8"/>
    <x v="0"/>
    <x v="21"/>
    <n v="20.3095238095238"/>
    <n v="7412.9761904761899"/>
    <n v="26686.714285714301"/>
  </r>
  <r>
    <x v="0"/>
    <x v="0"/>
    <x v="0"/>
    <x v="0"/>
    <x v="0"/>
    <s v="DK1_Rural"/>
    <x v="0"/>
    <x v="8"/>
    <x v="0"/>
    <x v="22"/>
    <n v="20.3095238095238"/>
    <n v="7412.9761904761899"/>
    <n v="26686.714285714301"/>
  </r>
  <r>
    <x v="0"/>
    <x v="0"/>
    <x v="0"/>
    <x v="0"/>
    <x v="0"/>
    <s v="DK1_Rural"/>
    <x v="0"/>
    <x v="8"/>
    <x v="0"/>
    <x v="23"/>
    <n v="20.3095238095238"/>
    <n v="7412.9761904761899"/>
    <n v="26686.714285714301"/>
  </r>
  <r>
    <x v="0"/>
    <x v="0"/>
    <x v="0"/>
    <x v="0"/>
    <x v="0"/>
    <s v="DK1_Rural"/>
    <x v="0"/>
    <x v="9"/>
    <x v="0"/>
    <x v="0"/>
    <n v="11.953488372093"/>
    <n v="4363.0232558139496"/>
    <n v="15706.8837209302"/>
  </r>
  <r>
    <x v="0"/>
    <x v="0"/>
    <x v="0"/>
    <x v="0"/>
    <x v="0"/>
    <s v="DK1_Rural"/>
    <x v="0"/>
    <x v="9"/>
    <x v="0"/>
    <x v="1"/>
    <n v="11.953488372093"/>
    <n v="4363.0232558139496"/>
    <n v="15706.8837209302"/>
  </r>
  <r>
    <x v="0"/>
    <x v="0"/>
    <x v="0"/>
    <x v="0"/>
    <x v="0"/>
    <s v="DK1_Rural"/>
    <x v="0"/>
    <x v="9"/>
    <x v="0"/>
    <x v="2"/>
    <n v="11.953488372093"/>
    <n v="4363.0232558139496"/>
    <n v="15706.8837209302"/>
  </r>
  <r>
    <x v="0"/>
    <x v="0"/>
    <x v="0"/>
    <x v="0"/>
    <x v="0"/>
    <s v="DK1_Rural"/>
    <x v="0"/>
    <x v="9"/>
    <x v="0"/>
    <x v="3"/>
    <n v="11.953488372093"/>
    <n v="4363.0232558139496"/>
    <n v="15706.8837209302"/>
  </r>
  <r>
    <x v="0"/>
    <x v="0"/>
    <x v="0"/>
    <x v="0"/>
    <x v="0"/>
    <s v="DK1_Rural"/>
    <x v="0"/>
    <x v="9"/>
    <x v="0"/>
    <x v="4"/>
    <n v="11.953488372093"/>
    <n v="4363.0232558139496"/>
    <n v="15706.8837209302"/>
  </r>
  <r>
    <x v="0"/>
    <x v="0"/>
    <x v="0"/>
    <x v="0"/>
    <x v="0"/>
    <s v="DK1_Rural"/>
    <x v="0"/>
    <x v="9"/>
    <x v="0"/>
    <x v="5"/>
    <n v="11.953488372093"/>
    <n v="4363.0232558139496"/>
    <n v="15706.8837209302"/>
  </r>
  <r>
    <x v="0"/>
    <x v="0"/>
    <x v="0"/>
    <x v="0"/>
    <x v="0"/>
    <s v="DK1_Rural"/>
    <x v="0"/>
    <x v="9"/>
    <x v="0"/>
    <x v="6"/>
    <n v="11.953488372093"/>
    <n v="4363.0232558139496"/>
    <n v="15706.8837209302"/>
  </r>
  <r>
    <x v="0"/>
    <x v="0"/>
    <x v="0"/>
    <x v="0"/>
    <x v="0"/>
    <s v="DK1_Rural"/>
    <x v="0"/>
    <x v="9"/>
    <x v="0"/>
    <x v="7"/>
    <n v="11.953488372093"/>
    <n v="4363.0232558139496"/>
    <n v="15706.8837209302"/>
  </r>
  <r>
    <x v="0"/>
    <x v="0"/>
    <x v="0"/>
    <x v="0"/>
    <x v="0"/>
    <s v="DK1_Rural"/>
    <x v="0"/>
    <x v="9"/>
    <x v="0"/>
    <x v="8"/>
    <n v="11.953488372093"/>
    <n v="4363.0232558139496"/>
    <n v="15706.8837209302"/>
  </r>
  <r>
    <x v="0"/>
    <x v="0"/>
    <x v="0"/>
    <x v="0"/>
    <x v="0"/>
    <s v="DK1_Rural"/>
    <x v="0"/>
    <x v="9"/>
    <x v="0"/>
    <x v="9"/>
    <n v="11.953488372093"/>
    <n v="4363.0232558139496"/>
    <n v="15706.8837209302"/>
  </r>
  <r>
    <x v="0"/>
    <x v="0"/>
    <x v="0"/>
    <x v="0"/>
    <x v="0"/>
    <s v="DK1_Rural"/>
    <x v="0"/>
    <x v="9"/>
    <x v="0"/>
    <x v="10"/>
    <n v="11.953488372093"/>
    <n v="4363.0232558139496"/>
    <n v="15706.8837209302"/>
  </r>
  <r>
    <x v="0"/>
    <x v="0"/>
    <x v="0"/>
    <x v="0"/>
    <x v="0"/>
    <s v="DK1_Rural"/>
    <x v="0"/>
    <x v="9"/>
    <x v="0"/>
    <x v="11"/>
    <n v="11.953488372093"/>
    <n v="4363.0232558139496"/>
    <n v="15706.8837209302"/>
  </r>
  <r>
    <x v="0"/>
    <x v="0"/>
    <x v="0"/>
    <x v="0"/>
    <x v="0"/>
    <s v="DK1_Rural"/>
    <x v="0"/>
    <x v="9"/>
    <x v="0"/>
    <x v="12"/>
    <n v="11.953488372093"/>
    <n v="4363.0232558139496"/>
    <n v="15706.8837209302"/>
  </r>
  <r>
    <x v="0"/>
    <x v="0"/>
    <x v="0"/>
    <x v="0"/>
    <x v="0"/>
    <s v="DK1_Rural"/>
    <x v="0"/>
    <x v="9"/>
    <x v="0"/>
    <x v="13"/>
    <n v="11.953488372093"/>
    <n v="4363.0232558139496"/>
    <n v="15706.8837209302"/>
  </r>
  <r>
    <x v="0"/>
    <x v="0"/>
    <x v="0"/>
    <x v="0"/>
    <x v="0"/>
    <s v="DK1_Rural"/>
    <x v="0"/>
    <x v="9"/>
    <x v="0"/>
    <x v="14"/>
    <n v="11.953488372093"/>
    <n v="4363.0232558139496"/>
    <n v="15706.8837209302"/>
  </r>
  <r>
    <x v="0"/>
    <x v="0"/>
    <x v="0"/>
    <x v="0"/>
    <x v="0"/>
    <s v="DK1_Rural"/>
    <x v="0"/>
    <x v="9"/>
    <x v="0"/>
    <x v="15"/>
    <n v="11.953488372093"/>
    <n v="4363.0232558139496"/>
    <n v="15706.8837209302"/>
  </r>
  <r>
    <x v="0"/>
    <x v="0"/>
    <x v="0"/>
    <x v="0"/>
    <x v="0"/>
    <s v="DK1_Rural"/>
    <x v="0"/>
    <x v="9"/>
    <x v="0"/>
    <x v="16"/>
    <n v="11.953488372093"/>
    <n v="4363.0232558139496"/>
    <n v="15706.8837209302"/>
  </r>
  <r>
    <x v="0"/>
    <x v="0"/>
    <x v="0"/>
    <x v="0"/>
    <x v="0"/>
    <s v="DK1_Rural"/>
    <x v="0"/>
    <x v="9"/>
    <x v="0"/>
    <x v="17"/>
    <n v="11.953488372093"/>
    <n v="4363.0232558139496"/>
    <n v="15706.8837209302"/>
  </r>
  <r>
    <x v="0"/>
    <x v="0"/>
    <x v="0"/>
    <x v="0"/>
    <x v="0"/>
    <s v="DK1_Rural"/>
    <x v="0"/>
    <x v="9"/>
    <x v="0"/>
    <x v="18"/>
    <n v="11.953488372093"/>
    <n v="4363.0232558139496"/>
    <n v="15706.8837209302"/>
  </r>
  <r>
    <x v="0"/>
    <x v="0"/>
    <x v="0"/>
    <x v="0"/>
    <x v="0"/>
    <s v="DK1_Rural"/>
    <x v="0"/>
    <x v="9"/>
    <x v="0"/>
    <x v="19"/>
    <n v="11.953488372093"/>
    <n v="4363.0232558139496"/>
    <n v="15706.8837209302"/>
  </r>
  <r>
    <x v="0"/>
    <x v="0"/>
    <x v="0"/>
    <x v="0"/>
    <x v="0"/>
    <s v="DK1_Rural"/>
    <x v="0"/>
    <x v="9"/>
    <x v="0"/>
    <x v="20"/>
    <n v="11.953488372093"/>
    <n v="4363.0232558139496"/>
    <n v="15706.8837209302"/>
  </r>
  <r>
    <x v="0"/>
    <x v="0"/>
    <x v="0"/>
    <x v="0"/>
    <x v="0"/>
    <s v="DK1_Rural"/>
    <x v="0"/>
    <x v="9"/>
    <x v="0"/>
    <x v="21"/>
    <n v="11.953488372093"/>
    <n v="4363.0232558139496"/>
    <n v="15706.8837209302"/>
  </r>
  <r>
    <x v="0"/>
    <x v="0"/>
    <x v="0"/>
    <x v="0"/>
    <x v="0"/>
    <s v="DK1_Rural"/>
    <x v="0"/>
    <x v="9"/>
    <x v="0"/>
    <x v="22"/>
    <n v="11.953488372093"/>
    <n v="4363.0232558139496"/>
    <n v="15706.8837209302"/>
  </r>
  <r>
    <x v="0"/>
    <x v="0"/>
    <x v="0"/>
    <x v="0"/>
    <x v="0"/>
    <s v="DK1_Rural"/>
    <x v="0"/>
    <x v="9"/>
    <x v="0"/>
    <x v="23"/>
    <n v="11.953488372093"/>
    <n v="4363.0232558139496"/>
    <n v="15706.8837209302"/>
  </r>
  <r>
    <x v="0"/>
    <x v="0"/>
    <x v="0"/>
    <x v="0"/>
    <x v="0"/>
    <s v="DK1_Rural"/>
    <x v="3"/>
    <x v="60"/>
    <x v="0"/>
    <x v="6"/>
    <n v="7.8723404255319203"/>
    <n v="2873.4042553191498"/>
    <n v="10344.255319148901"/>
  </r>
  <r>
    <x v="0"/>
    <x v="0"/>
    <x v="0"/>
    <x v="0"/>
    <x v="0"/>
    <s v="DK1_Rural"/>
    <x v="3"/>
    <x v="60"/>
    <x v="0"/>
    <x v="7"/>
    <n v="7.8723404255319203"/>
    <n v="2873.4042553191498"/>
    <n v="10344.255319148901"/>
  </r>
  <r>
    <x v="0"/>
    <x v="0"/>
    <x v="0"/>
    <x v="0"/>
    <x v="0"/>
    <s v="DK1_Rural"/>
    <x v="3"/>
    <x v="60"/>
    <x v="0"/>
    <x v="8"/>
    <n v="7.8723404255319203"/>
    <n v="2873.4042553191498"/>
    <n v="10344.255319148901"/>
  </r>
  <r>
    <x v="0"/>
    <x v="0"/>
    <x v="0"/>
    <x v="0"/>
    <x v="0"/>
    <s v="DK1_Rural"/>
    <x v="3"/>
    <x v="60"/>
    <x v="0"/>
    <x v="9"/>
    <n v="7.8723404255319203"/>
    <n v="2873.4042553191498"/>
    <n v="10344.255319148901"/>
  </r>
  <r>
    <x v="0"/>
    <x v="0"/>
    <x v="0"/>
    <x v="0"/>
    <x v="0"/>
    <s v="DK1_Rural"/>
    <x v="4"/>
    <x v="27"/>
    <x v="0"/>
    <x v="0"/>
    <n v="133.37"/>
    <n v="48680.05"/>
    <n v="175248.18"/>
  </r>
  <r>
    <x v="0"/>
    <x v="0"/>
    <x v="0"/>
    <x v="0"/>
    <x v="0"/>
    <s v="DK1_Rural"/>
    <x v="4"/>
    <x v="27"/>
    <x v="0"/>
    <x v="1"/>
    <n v="133.37"/>
    <n v="48680.05"/>
    <n v="175248.18"/>
  </r>
  <r>
    <x v="0"/>
    <x v="0"/>
    <x v="0"/>
    <x v="0"/>
    <x v="0"/>
    <s v="DK1_Rural"/>
    <x v="4"/>
    <x v="27"/>
    <x v="0"/>
    <x v="2"/>
    <n v="133.37"/>
    <n v="48680.05"/>
    <n v="175248.18"/>
  </r>
  <r>
    <x v="0"/>
    <x v="0"/>
    <x v="0"/>
    <x v="0"/>
    <x v="0"/>
    <s v="DK1_Rural"/>
    <x v="4"/>
    <x v="27"/>
    <x v="0"/>
    <x v="3"/>
    <n v="133.37"/>
    <n v="48680.05"/>
    <n v="175248.18"/>
  </r>
  <r>
    <x v="0"/>
    <x v="0"/>
    <x v="0"/>
    <x v="0"/>
    <x v="0"/>
    <s v="DK1_Rural"/>
    <x v="4"/>
    <x v="27"/>
    <x v="0"/>
    <x v="4"/>
    <n v="133.37"/>
    <n v="48680.05"/>
    <n v="175248.18"/>
  </r>
  <r>
    <x v="0"/>
    <x v="0"/>
    <x v="0"/>
    <x v="0"/>
    <x v="0"/>
    <s v="DK1_Rural"/>
    <x v="4"/>
    <x v="27"/>
    <x v="0"/>
    <x v="5"/>
    <n v="133.37"/>
    <n v="48680.05"/>
    <n v="175248.18"/>
  </r>
  <r>
    <x v="0"/>
    <x v="0"/>
    <x v="0"/>
    <x v="0"/>
    <x v="0"/>
    <s v="DK1_Rural"/>
    <x v="4"/>
    <x v="27"/>
    <x v="0"/>
    <x v="6"/>
    <n v="133.37"/>
    <n v="48680.05"/>
    <n v="175248.18"/>
  </r>
  <r>
    <x v="0"/>
    <x v="0"/>
    <x v="0"/>
    <x v="0"/>
    <x v="0"/>
    <s v="DK1_Rural"/>
    <x v="4"/>
    <x v="27"/>
    <x v="0"/>
    <x v="7"/>
    <n v="133.37"/>
    <n v="48680.05"/>
    <n v="175248.18"/>
  </r>
  <r>
    <x v="0"/>
    <x v="0"/>
    <x v="0"/>
    <x v="0"/>
    <x v="0"/>
    <s v="DK1_Rural"/>
    <x v="4"/>
    <x v="27"/>
    <x v="0"/>
    <x v="8"/>
    <n v="133.37"/>
    <n v="48680.05"/>
    <n v="175248.18"/>
  </r>
  <r>
    <x v="0"/>
    <x v="0"/>
    <x v="0"/>
    <x v="0"/>
    <x v="0"/>
    <s v="DK1_Rural"/>
    <x v="4"/>
    <x v="27"/>
    <x v="0"/>
    <x v="9"/>
    <n v="133.37"/>
    <n v="48680.05"/>
    <n v="175248.18"/>
  </r>
  <r>
    <x v="0"/>
    <x v="0"/>
    <x v="0"/>
    <x v="0"/>
    <x v="0"/>
    <s v="DK1_Rural"/>
    <x v="4"/>
    <x v="27"/>
    <x v="0"/>
    <x v="10"/>
    <n v="133.37"/>
    <n v="48680.05"/>
    <n v="175248.18"/>
  </r>
  <r>
    <x v="0"/>
    <x v="0"/>
    <x v="0"/>
    <x v="0"/>
    <x v="0"/>
    <s v="DK1_Rural"/>
    <x v="4"/>
    <x v="27"/>
    <x v="0"/>
    <x v="11"/>
    <n v="133.37"/>
    <n v="48680.05"/>
    <n v="175248.18"/>
  </r>
  <r>
    <x v="0"/>
    <x v="0"/>
    <x v="0"/>
    <x v="0"/>
    <x v="0"/>
    <s v="DK1_Rural"/>
    <x v="4"/>
    <x v="27"/>
    <x v="0"/>
    <x v="12"/>
    <n v="133.37"/>
    <n v="48680.05"/>
    <n v="175248.18"/>
  </r>
  <r>
    <x v="0"/>
    <x v="0"/>
    <x v="0"/>
    <x v="0"/>
    <x v="0"/>
    <s v="DK1_Rural"/>
    <x v="4"/>
    <x v="27"/>
    <x v="0"/>
    <x v="13"/>
    <n v="133.37"/>
    <n v="48680.05"/>
    <n v="175248.18"/>
  </r>
  <r>
    <x v="0"/>
    <x v="0"/>
    <x v="0"/>
    <x v="0"/>
    <x v="0"/>
    <s v="DK1_Rural"/>
    <x v="4"/>
    <x v="27"/>
    <x v="0"/>
    <x v="14"/>
    <n v="133.37"/>
    <n v="48680.05"/>
    <n v="175248.18"/>
  </r>
  <r>
    <x v="0"/>
    <x v="0"/>
    <x v="0"/>
    <x v="0"/>
    <x v="0"/>
    <s v="DK1_Rural"/>
    <x v="4"/>
    <x v="27"/>
    <x v="0"/>
    <x v="15"/>
    <n v="133.37"/>
    <n v="48680.05"/>
    <n v="175248.18"/>
  </r>
  <r>
    <x v="0"/>
    <x v="0"/>
    <x v="0"/>
    <x v="0"/>
    <x v="0"/>
    <s v="DK1_Rural"/>
    <x v="4"/>
    <x v="27"/>
    <x v="0"/>
    <x v="16"/>
    <n v="133.37"/>
    <n v="48680.05"/>
    <n v="175248.18"/>
  </r>
  <r>
    <x v="0"/>
    <x v="0"/>
    <x v="0"/>
    <x v="0"/>
    <x v="0"/>
    <s v="DK1_Rural"/>
    <x v="4"/>
    <x v="27"/>
    <x v="0"/>
    <x v="17"/>
    <n v="133.37"/>
    <n v="48680.05"/>
    <n v="175248.18"/>
  </r>
  <r>
    <x v="0"/>
    <x v="0"/>
    <x v="0"/>
    <x v="0"/>
    <x v="0"/>
    <s v="DK1_Rural"/>
    <x v="4"/>
    <x v="27"/>
    <x v="0"/>
    <x v="18"/>
    <n v="133.37"/>
    <n v="48680.05"/>
    <n v="175248.18"/>
  </r>
  <r>
    <x v="0"/>
    <x v="0"/>
    <x v="0"/>
    <x v="0"/>
    <x v="0"/>
    <s v="DK1_Rural"/>
    <x v="4"/>
    <x v="27"/>
    <x v="0"/>
    <x v="19"/>
    <n v="133.37"/>
    <n v="48680.05"/>
    <n v="175248.18"/>
  </r>
  <r>
    <x v="0"/>
    <x v="0"/>
    <x v="0"/>
    <x v="0"/>
    <x v="0"/>
    <s v="DK1_Rural"/>
    <x v="4"/>
    <x v="27"/>
    <x v="0"/>
    <x v="20"/>
    <n v="133.37"/>
    <n v="48680.05"/>
    <n v="175248.18"/>
  </r>
  <r>
    <x v="0"/>
    <x v="0"/>
    <x v="0"/>
    <x v="0"/>
    <x v="0"/>
    <s v="DK1_Rural"/>
    <x v="4"/>
    <x v="27"/>
    <x v="0"/>
    <x v="21"/>
    <n v="133.37"/>
    <n v="48680.05"/>
    <n v="175248.18"/>
  </r>
  <r>
    <x v="0"/>
    <x v="0"/>
    <x v="0"/>
    <x v="0"/>
    <x v="0"/>
    <s v="DK1_Rural"/>
    <x v="4"/>
    <x v="27"/>
    <x v="0"/>
    <x v="22"/>
    <n v="133.37"/>
    <n v="48680.05"/>
    <n v="175248.18"/>
  </r>
  <r>
    <x v="0"/>
    <x v="0"/>
    <x v="0"/>
    <x v="0"/>
    <x v="0"/>
    <s v="DK1_Rural"/>
    <x v="4"/>
    <x v="27"/>
    <x v="0"/>
    <x v="23"/>
    <n v="133.37"/>
    <n v="48680.05"/>
    <n v="175248.18"/>
  </r>
  <r>
    <x v="0"/>
    <x v="0"/>
    <x v="0"/>
    <x v="0"/>
    <x v="0"/>
    <s v="DK1_Rural"/>
    <x v="4"/>
    <x v="28"/>
    <x v="0"/>
    <x v="0"/>
    <n v="55.843137254901997"/>
    <n v="20382.745098039199"/>
    <n v="73377.882352941204"/>
  </r>
  <r>
    <x v="0"/>
    <x v="0"/>
    <x v="0"/>
    <x v="0"/>
    <x v="0"/>
    <s v="DK1_Rural"/>
    <x v="4"/>
    <x v="28"/>
    <x v="0"/>
    <x v="1"/>
    <n v="55.843137254901997"/>
    <n v="20382.745098039199"/>
    <n v="73377.882352941204"/>
  </r>
  <r>
    <x v="0"/>
    <x v="0"/>
    <x v="0"/>
    <x v="0"/>
    <x v="0"/>
    <s v="DK1_Rural"/>
    <x v="4"/>
    <x v="28"/>
    <x v="0"/>
    <x v="2"/>
    <n v="55.843137254901997"/>
    <n v="20382.745098039199"/>
    <n v="73377.882352941204"/>
  </r>
  <r>
    <x v="0"/>
    <x v="0"/>
    <x v="0"/>
    <x v="0"/>
    <x v="0"/>
    <s v="DK1_Rural"/>
    <x v="4"/>
    <x v="28"/>
    <x v="0"/>
    <x v="3"/>
    <n v="55.843137254901997"/>
    <n v="20382.745098039199"/>
    <n v="73377.882352941204"/>
  </r>
  <r>
    <x v="0"/>
    <x v="0"/>
    <x v="0"/>
    <x v="0"/>
    <x v="0"/>
    <s v="DK1_Rural"/>
    <x v="4"/>
    <x v="28"/>
    <x v="0"/>
    <x v="4"/>
    <n v="55.843137254901997"/>
    <n v="20382.745098039199"/>
    <n v="73377.882352941204"/>
  </r>
  <r>
    <x v="0"/>
    <x v="0"/>
    <x v="0"/>
    <x v="0"/>
    <x v="0"/>
    <s v="DK1_Rural"/>
    <x v="4"/>
    <x v="28"/>
    <x v="0"/>
    <x v="5"/>
    <n v="55.843137254901997"/>
    <n v="20382.745098039199"/>
    <n v="73377.882352941204"/>
  </r>
  <r>
    <x v="0"/>
    <x v="0"/>
    <x v="0"/>
    <x v="0"/>
    <x v="0"/>
    <s v="DK1_Rural"/>
    <x v="4"/>
    <x v="28"/>
    <x v="0"/>
    <x v="6"/>
    <n v="55.843137254901997"/>
    <n v="20382.745098039199"/>
    <n v="73377.882352941204"/>
  </r>
  <r>
    <x v="0"/>
    <x v="0"/>
    <x v="0"/>
    <x v="0"/>
    <x v="0"/>
    <s v="DK1_Rural"/>
    <x v="4"/>
    <x v="28"/>
    <x v="0"/>
    <x v="7"/>
    <n v="55.843137254901997"/>
    <n v="20382.745098039199"/>
    <n v="73377.882352941204"/>
  </r>
  <r>
    <x v="0"/>
    <x v="0"/>
    <x v="0"/>
    <x v="0"/>
    <x v="0"/>
    <s v="DK1_Rural"/>
    <x v="4"/>
    <x v="28"/>
    <x v="0"/>
    <x v="8"/>
    <n v="55.843137254901997"/>
    <n v="20382.745098039199"/>
    <n v="73377.882352941204"/>
  </r>
  <r>
    <x v="0"/>
    <x v="0"/>
    <x v="0"/>
    <x v="0"/>
    <x v="0"/>
    <s v="DK1_Rural"/>
    <x v="4"/>
    <x v="28"/>
    <x v="0"/>
    <x v="9"/>
    <n v="55.843137254901997"/>
    <n v="20382.745098039199"/>
    <n v="73377.882352941204"/>
  </r>
  <r>
    <x v="0"/>
    <x v="0"/>
    <x v="0"/>
    <x v="0"/>
    <x v="0"/>
    <s v="DK1_Rural"/>
    <x v="4"/>
    <x v="28"/>
    <x v="0"/>
    <x v="10"/>
    <n v="55.843137254901997"/>
    <n v="20382.745098039199"/>
    <n v="73377.882352941204"/>
  </r>
  <r>
    <x v="0"/>
    <x v="0"/>
    <x v="0"/>
    <x v="0"/>
    <x v="0"/>
    <s v="DK1_Rural"/>
    <x v="4"/>
    <x v="28"/>
    <x v="0"/>
    <x v="11"/>
    <n v="55.843137254901997"/>
    <n v="20382.745098039199"/>
    <n v="73377.882352941204"/>
  </r>
  <r>
    <x v="0"/>
    <x v="0"/>
    <x v="0"/>
    <x v="0"/>
    <x v="0"/>
    <s v="DK1_Rural"/>
    <x v="4"/>
    <x v="28"/>
    <x v="0"/>
    <x v="12"/>
    <n v="55.843137254901997"/>
    <n v="20382.745098039199"/>
    <n v="73377.882352941204"/>
  </r>
  <r>
    <x v="0"/>
    <x v="0"/>
    <x v="0"/>
    <x v="0"/>
    <x v="0"/>
    <s v="DK1_Rural"/>
    <x v="4"/>
    <x v="28"/>
    <x v="0"/>
    <x v="13"/>
    <n v="55.843137254901997"/>
    <n v="20382.745098039199"/>
    <n v="73377.882352941204"/>
  </r>
  <r>
    <x v="0"/>
    <x v="0"/>
    <x v="0"/>
    <x v="0"/>
    <x v="0"/>
    <s v="DK1_Rural"/>
    <x v="4"/>
    <x v="28"/>
    <x v="0"/>
    <x v="14"/>
    <n v="55.843137254901997"/>
    <n v="20382.745098039199"/>
    <n v="73377.882352941204"/>
  </r>
  <r>
    <x v="0"/>
    <x v="0"/>
    <x v="0"/>
    <x v="0"/>
    <x v="0"/>
    <s v="DK1_Rural"/>
    <x v="4"/>
    <x v="28"/>
    <x v="0"/>
    <x v="15"/>
    <n v="55.843137254901997"/>
    <n v="20382.745098039199"/>
    <n v="73377.882352941204"/>
  </r>
  <r>
    <x v="0"/>
    <x v="0"/>
    <x v="0"/>
    <x v="0"/>
    <x v="0"/>
    <s v="DK1_Rural"/>
    <x v="4"/>
    <x v="28"/>
    <x v="0"/>
    <x v="16"/>
    <n v="55.843137254901997"/>
    <n v="20382.745098039199"/>
    <n v="73377.882352941204"/>
  </r>
  <r>
    <x v="0"/>
    <x v="0"/>
    <x v="0"/>
    <x v="0"/>
    <x v="0"/>
    <s v="DK1_Rural"/>
    <x v="4"/>
    <x v="28"/>
    <x v="0"/>
    <x v="17"/>
    <n v="55.843137254901997"/>
    <n v="20382.745098039199"/>
    <n v="73377.882352941204"/>
  </r>
  <r>
    <x v="0"/>
    <x v="0"/>
    <x v="0"/>
    <x v="0"/>
    <x v="0"/>
    <s v="DK1_Rural"/>
    <x v="4"/>
    <x v="28"/>
    <x v="0"/>
    <x v="18"/>
    <n v="55.843137254901997"/>
    <n v="20382.745098039199"/>
    <n v="73377.882352941204"/>
  </r>
  <r>
    <x v="0"/>
    <x v="0"/>
    <x v="0"/>
    <x v="0"/>
    <x v="0"/>
    <s v="DK1_Rural"/>
    <x v="4"/>
    <x v="28"/>
    <x v="0"/>
    <x v="19"/>
    <n v="55.843137254901997"/>
    <n v="20382.745098039199"/>
    <n v="73377.882352941204"/>
  </r>
  <r>
    <x v="0"/>
    <x v="0"/>
    <x v="0"/>
    <x v="0"/>
    <x v="0"/>
    <s v="DK1_Rural"/>
    <x v="4"/>
    <x v="28"/>
    <x v="0"/>
    <x v="20"/>
    <n v="55.843137254901997"/>
    <n v="20382.745098039199"/>
    <n v="73377.882352941204"/>
  </r>
  <r>
    <x v="0"/>
    <x v="0"/>
    <x v="0"/>
    <x v="0"/>
    <x v="0"/>
    <s v="DK1_Rural"/>
    <x v="4"/>
    <x v="28"/>
    <x v="0"/>
    <x v="21"/>
    <n v="55.843137254901997"/>
    <n v="20382.745098039199"/>
    <n v="73377.882352941204"/>
  </r>
  <r>
    <x v="0"/>
    <x v="0"/>
    <x v="0"/>
    <x v="0"/>
    <x v="0"/>
    <s v="DK1_Rural"/>
    <x v="4"/>
    <x v="28"/>
    <x v="0"/>
    <x v="22"/>
    <n v="55.843137254901997"/>
    <n v="20382.745098039199"/>
    <n v="73377.882352941204"/>
  </r>
  <r>
    <x v="0"/>
    <x v="0"/>
    <x v="0"/>
    <x v="0"/>
    <x v="0"/>
    <s v="DK1_Rural"/>
    <x v="4"/>
    <x v="28"/>
    <x v="0"/>
    <x v="23"/>
    <n v="55.843137254901997"/>
    <n v="20382.745098039199"/>
    <n v="73377.882352941204"/>
  </r>
  <r>
    <x v="0"/>
    <x v="0"/>
    <x v="0"/>
    <x v="0"/>
    <x v="0"/>
    <s v="DK1_Rural"/>
    <x v="4"/>
    <x v="29"/>
    <x v="0"/>
    <x v="0"/>
    <n v="8.8461538461538396"/>
    <n v="3228.8461538461502"/>
    <n v="11623.8461538461"/>
  </r>
  <r>
    <x v="0"/>
    <x v="0"/>
    <x v="0"/>
    <x v="0"/>
    <x v="0"/>
    <s v="DK1_Rural"/>
    <x v="4"/>
    <x v="29"/>
    <x v="0"/>
    <x v="1"/>
    <n v="8.8461538461538396"/>
    <n v="3228.8461538461502"/>
    <n v="11623.8461538461"/>
  </r>
  <r>
    <x v="0"/>
    <x v="0"/>
    <x v="0"/>
    <x v="0"/>
    <x v="0"/>
    <s v="DK1_Rural"/>
    <x v="4"/>
    <x v="29"/>
    <x v="0"/>
    <x v="2"/>
    <n v="8.8461538461538396"/>
    <n v="3228.8461538461502"/>
    <n v="11623.8461538461"/>
  </r>
  <r>
    <x v="0"/>
    <x v="0"/>
    <x v="0"/>
    <x v="0"/>
    <x v="0"/>
    <s v="DK1_Rural"/>
    <x v="4"/>
    <x v="29"/>
    <x v="0"/>
    <x v="3"/>
    <n v="8.8461538461538396"/>
    <n v="3228.8461538461502"/>
    <n v="11623.8461538461"/>
  </r>
  <r>
    <x v="0"/>
    <x v="0"/>
    <x v="0"/>
    <x v="0"/>
    <x v="0"/>
    <s v="DK1_Rural"/>
    <x v="4"/>
    <x v="29"/>
    <x v="0"/>
    <x v="4"/>
    <n v="8.8461538461538396"/>
    <n v="3228.8461538461502"/>
    <n v="11623.8461538461"/>
  </r>
  <r>
    <x v="0"/>
    <x v="0"/>
    <x v="0"/>
    <x v="0"/>
    <x v="0"/>
    <s v="DK1_Rural"/>
    <x v="4"/>
    <x v="29"/>
    <x v="0"/>
    <x v="5"/>
    <n v="8.8461538461538396"/>
    <n v="3228.8461538461502"/>
    <n v="11623.8461538461"/>
  </r>
  <r>
    <x v="0"/>
    <x v="0"/>
    <x v="0"/>
    <x v="0"/>
    <x v="0"/>
    <s v="DK1_Rural"/>
    <x v="4"/>
    <x v="29"/>
    <x v="0"/>
    <x v="6"/>
    <n v="8.8461538461538396"/>
    <n v="3228.8461538461502"/>
    <n v="11623.8461538461"/>
  </r>
  <r>
    <x v="0"/>
    <x v="0"/>
    <x v="0"/>
    <x v="0"/>
    <x v="0"/>
    <s v="DK1_Rural"/>
    <x v="4"/>
    <x v="29"/>
    <x v="0"/>
    <x v="7"/>
    <n v="8.8461538461538396"/>
    <n v="3228.8461538461502"/>
    <n v="11623.8461538461"/>
  </r>
  <r>
    <x v="0"/>
    <x v="0"/>
    <x v="0"/>
    <x v="0"/>
    <x v="0"/>
    <s v="DK1_Rural"/>
    <x v="4"/>
    <x v="29"/>
    <x v="0"/>
    <x v="8"/>
    <n v="8.8461538461538396"/>
    <n v="3228.8461538461502"/>
    <n v="11623.8461538461"/>
  </r>
  <r>
    <x v="0"/>
    <x v="0"/>
    <x v="0"/>
    <x v="0"/>
    <x v="0"/>
    <s v="DK1_Rural"/>
    <x v="4"/>
    <x v="29"/>
    <x v="0"/>
    <x v="9"/>
    <n v="8.8461538461538396"/>
    <n v="3228.8461538461502"/>
    <n v="11623.8461538461"/>
  </r>
  <r>
    <x v="0"/>
    <x v="0"/>
    <x v="0"/>
    <x v="0"/>
    <x v="0"/>
    <s v="DK1_Rural"/>
    <x v="4"/>
    <x v="29"/>
    <x v="0"/>
    <x v="10"/>
    <n v="8.8461538461538396"/>
    <n v="3228.8461538461502"/>
    <n v="11623.8461538461"/>
  </r>
  <r>
    <x v="0"/>
    <x v="0"/>
    <x v="0"/>
    <x v="0"/>
    <x v="0"/>
    <s v="DK1_Rural"/>
    <x v="4"/>
    <x v="29"/>
    <x v="0"/>
    <x v="11"/>
    <n v="8.8461538461538396"/>
    <n v="3228.8461538461502"/>
    <n v="11623.8461538461"/>
  </r>
  <r>
    <x v="0"/>
    <x v="0"/>
    <x v="0"/>
    <x v="0"/>
    <x v="0"/>
    <s v="DK1_Rural"/>
    <x v="4"/>
    <x v="29"/>
    <x v="0"/>
    <x v="12"/>
    <n v="8.8461538461538396"/>
    <n v="3228.8461538461502"/>
    <n v="11623.8461538461"/>
  </r>
  <r>
    <x v="0"/>
    <x v="0"/>
    <x v="0"/>
    <x v="0"/>
    <x v="0"/>
    <s v="DK1_Rural"/>
    <x v="4"/>
    <x v="29"/>
    <x v="0"/>
    <x v="13"/>
    <n v="8.8461538461538396"/>
    <n v="3228.8461538461502"/>
    <n v="11623.8461538461"/>
  </r>
  <r>
    <x v="0"/>
    <x v="0"/>
    <x v="0"/>
    <x v="0"/>
    <x v="0"/>
    <s v="DK1_Rural"/>
    <x v="4"/>
    <x v="29"/>
    <x v="0"/>
    <x v="14"/>
    <n v="8.8461538461538396"/>
    <n v="3228.8461538461502"/>
    <n v="11623.8461538461"/>
  </r>
  <r>
    <x v="0"/>
    <x v="0"/>
    <x v="0"/>
    <x v="0"/>
    <x v="0"/>
    <s v="DK1_Rural"/>
    <x v="4"/>
    <x v="29"/>
    <x v="0"/>
    <x v="15"/>
    <n v="8.8461538461538396"/>
    <n v="3228.8461538461502"/>
    <n v="11623.8461538461"/>
  </r>
  <r>
    <x v="0"/>
    <x v="0"/>
    <x v="0"/>
    <x v="0"/>
    <x v="0"/>
    <s v="DK1_Rural"/>
    <x v="4"/>
    <x v="29"/>
    <x v="0"/>
    <x v="16"/>
    <n v="8.8461538461538396"/>
    <n v="3228.8461538461502"/>
    <n v="11623.8461538461"/>
  </r>
  <r>
    <x v="0"/>
    <x v="0"/>
    <x v="0"/>
    <x v="0"/>
    <x v="0"/>
    <s v="DK1_Rural"/>
    <x v="4"/>
    <x v="29"/>
    <x v="0"/>
    <x v="17"/>
    <n v="8.8461538461538396"/>
    <n v="3228.8461538461502"/>
    <n v="11623.8461538461"/>
  </r>
  <r>
    <x v="0"/>
    <x v="0"/>
    <x v="0"/>
    <x v="0"/>
    <x v="0"/>
    <s v="DK1_Rural"/>
    <x v="4"/>
    <x v="29"/>
    <x v="0"/>
    <x v="18"/>
    <n v="8.8461538461538396"/>
    <n v="3228.8461538461502"/>
    <n v="11623.8461538461"/>
  </r>
  <r>
    <x v="0"/>
    <x v="0"/>
    <x v="0"/>
    <x v="0"/>
    <x v="0"/>
    <s v="DK1_Rural"/>
    <x v="4"/>
    <x v="29"/>
    <x v="0"/>
    <x v="19"/>
    <n v="8.8461538461538396"/>
    <n v="3228.8461538461502"/>
    <n v="11623.8461538461"/>
  </r>
  <r>
    <x v="0"/>
    <x v="0"/>
    <x v="0"/>
    <x v="0"/>
    <x v="0"/>
    <s v="DK1_Rural"/>
    <x v="4"/>
    <x v="29"/>
    <x v="0"/>
    <x v="20"/>
    <n v="8.8461538461538396"/>
    <n v="3228.8461538461502"/>
    <n v="11623.8461538461"/>
  </r>
  <r>
    <x v="0"/>
    <x v="0"/>
    <x v="0"/>
    <x v="0"/>
    <x v="0"/>
    <s v="DK1_Rural"/>
    <x v="4"/>
    <x v="29"/>
    <x v="0"/>
    <x v="21"/>
    <n v="8.8461538461538396"/>
    <n v="3228.8461538461502"/>
    <n v="11623.8461538461"/>
  </r>
  <r>
    <x v="0"/>
    <x v="0"/>
    <x v="0"/>
    <x v="0"/>
    <x v="0"/>
    <s v="DK1_Rural"/>
    <x v="4"/>
    <x v="29"/>
    <x v="0"/>
    <x v="22"/>
    <n v="8.8461538461538396"/>
    <n v="3228.8461538461502"/>
    <n v="11623.8461538461"/>
  </r>
  <r>
    <x v="0"/>
    <x v="0"/>
    <x v="0"/>
    <x v="0"/>
    <x v="0"/>
    <s v="DK1_Rural"/>
    <x v="4"/>
    <x v="29"/>
    <x v="0"/>
    <x v="23"/>
    <n v="8.8461538461538396"/>
    <n v="3228.8461538461502"/>
    <n v="11623.8461538461"/>
  </r>
  <r>
    <x v="0"/>
    <x v="0"/>
    <x v="0"/>
    <x v="0"/>
    <x v="0"/>
    <s v="DK1_Rural"/>
    <x v="5"/>
    <x v="30"/>
    <x v="0"/>
    <x v="0"/>
    <n v="87.01"/>
    <n v="31758.65"/>
    <n v="114331.14"/>
  </r>
  <r>
    <x v="0"/>
    <x v="0"/>
    <x v="0"/>
    <x v="0"/>
    <x v="0"/>
    <s v="DK1_Rural"/>
    <x v="5"/>
    <x v="30"/>
    <x v="0"/>
    <x v="1"/>
    <n v="87.01"/>
    <n v="31758.65"/>
    <n v="114331.14"/>
  </r>
  <r>
    <x v="0"/>
    <x v="0"/>
    <x v="0"/>
    <x v="0"/>
    <x v="0"/>
    <s v="DK1_Rural"/>
    <x v="5"/>
    <x v="30"/>
    <x v="0"/>
    <x v="2"/>
    <n v="87.01"/>
    <n v="31758.65"/>
    <n v="114331.14"/>
  </r>
  <r>
    <x v="0"/>
    <x v="0"/>
    <x v="0"/>
    <x v="0"/>
    <x v="0"/>
    <s v="DK1_Rural"/>
    <x v="5"/>
    <x v="30"/>
    <x v="0"/>
    <x v="3"/>
    <n v="87.01"/>
    <n v="31758.65"/>
    <n v="114331.14"/>
  </r>
  <r>
    <x v="0"/>
    <x v="0"/>
    <x v="0"/>
    <x v="0"/>
    <x v="0"/>
    <s v="DK1_Rural"/>
    <x v="5"/>
    <x v="30"/>
    <x v="0"/>
    <x v="4"/>
    <n v="87.01"/>
    <n v="31758.65"/>
    <n v="114331.14"/>
  </r>
  <r>
    <x v="0"/>
    <x v="0"/>
    <x v="0"/>
    <x v="0"/>
    <x v="0"/>
    <s v="DK1_Rural"/>
    <x v="5"/>
    <x v="30"/>
    <x v="0"/>
    <x v="5"/>
    <n v="87.01"/>
    <n v="31758.65"/>
    <n v="114331.14"/>
  </r>
  <r>
    <x v="0"/>
    <x v="0"/>
    <x v="0"/>
    <x v="0"/>
    <x v="0"/>
    <s v="DK1_Rural"/>
    <x v="5"/>
    <x v="30"/>
    <x v="0"/>
    <x v="6"/>
    <n v="87.01"/>
    <n v="31758.65"/>
    <n v="114331.14"/>
  </r>
  <r>
    <x v="0"/>
    <x v="0"/>
    <x v="0"/>
    <x v="0"/>
    <x v="0"/>
    <s v="DK1_Rural"/>
    <x v="5"/>
    <x v="30"/>
    <x v="0"/>
    <x v="7"/>
    <n v="87.01"/>
    <n v="31758.65"/>
    <n v="114331.14"/>
  </r>
  <r>
    <x v="0"/>
    <x v="0"/>
    <x v="0"/>
    <x v="0"/>
    <x v="0"/>
    <s v="DK1_Rural"/>
    <x v="5"/>
    <x v="30"/>
    <x v="0"/>
    <x v="8"/>
    <n v="87.01"/>
    <n v="31758.65"/>
    <n v="114331.14"/>
  </r>
  <r>
    <x v="0"/>
    <x v="0"/>
    <x v="0"/>
    <x v="0"/>
    <x v="0"/>
    <s v="DK1_Rural"/>
    <x v="5"/>
    <x v="30"/>
    <x v="0"/>
    <x v="9"/>
    <n v="87.01"/>
    <n v="31758.65"/>
    <n v="114331.14"/>
  </r>
  <r>
    <x v="0"/>
    <x v="0"/>
    <x v="0"/>
    <x v="0"/>
    <x v="0"/>
    <s v="DK1_Rural"/>
    <x v="5"/>
    <x v="30"/>
    <x v="0"/>
    <x v="10"/>
    <n v="87.01"/>
    <n v="31758.65"/>
    <n v="114331.14"/>
  </r>
  <r>
    <x v="0"/>
    <x v="0"/>
    <x v="0"/>
    <x v="0"/>
    <x v="0"/>
    <s v="DK1_Rural"/>
    <x v="5"/>
    <x v="30"/>
    <x v="0"/>
    <x v="11"/>
    <n v="87.01"/>
    <n v="31758.65"/>
    <n v="114331.14"/>
  </r>
  <r>
    <x v="0"/>
    <x v="0"/>
    <x v="0"/>
    <x v="0"/>
    <x v="0"/>
    <s v="DK1_Rural"/>
    <x v="5"/>
    <x v="30"/>
    <x v="0"/>
    <x v="12"/>
    <n v="87.01"/>
    <n v="31758.65"/>
    <n v="114331.14"/>
  </r>
  <r>
    <x v="0"/>
    <x v="0"/>
    <x v="0"/>
    <x v="0"/>
    <x v="0"/>
    <s v="DK1_Rural"/>
    <x v="5"/>
    <x v="30"/>
    <x v="0"/>
    <x v="13"/>
    <n v="87.01"/>
    <n v="31758.65"/>
    <n v="114331.14"/>
  </r>
  <r>
    <x v="0"/>
    <x v="0"/>
    <x v="0"/>
    <x v="0"/>
    <x v="0"/>
    <s v="DK1_Rural"/>
    <x v="5"/>
    <x v="30"/>
    <x v="0"/>
    <x v="14"/>
    <n v="87.01"/>
    <n v="31758.65"/>
    <n v="114331.14"/>
  </r>
  <r>
    <x v="0"/>
    <x v="0"/>
    <x v="0"/>
    <x v="0"/>
    <x v="0"/>
    <s v="DK1_Rural"/>
    <x v="5"/>
    <x v="30"/>
    <x v="0"/>
    <x v="15"/>
    <n v="87.01"/>
    <n v="31758.65"/>
    <n v="114331.14"/>
  </r>
  <r>
    <x v="0"/>
    <x v="0"/>
    <x v="0"/>
    <x v="0"/>
    <x v="0"/>
    <s v="DK1_Rural"/>
    <x v="5"/>
    <x v="30"/>
    <x v="0"/>
    <x v="16"/>
    <n v="87.01"/>
    <n v="31758.65"/>
    <n v="114331.14"/>
  </r>
  <r>
    <x v="0"/>
    <x v="0"/>
    <x v="0"/>
    <x v="0"/>
    <x v="0"/>
    <s v="DK1_Rural"/>
    <x v="5"/>
    <x v="30"/>
    <x v="0"/>
    <x v="17"/>
    <n v="87.01"/>
    <n v="31758.65"/>
    <n v="114331.14"/>
  </r>
  <r>
    <x v="0"/>
    <x v="0"/>
    <x v="0"/>
    <x v="0"/>
    <x v="0"/>
    <s v="DK1_Rural"/>
    <x v="5"/>
    <x v="30"/>
    <x v="0"/>
    <x v="18"/>
    <n v="87.01"/>
    <n v="31758.65"/>
    <n v="114331.14"/>
  </r>
  <r>
    <x v="0"/>
    <x v="0"/>
    <x v="0"/>
    <x v="0"/>
    <x v="0"/>
    <s v="DK1_Rural"/>
    <x v="5"/>
    <x v="30"/>
    <x v="0"/>
    <x v="19"/>
    <n v="87.01"/>
    <n v="31758.65"/>
    <n v="114331.14"/>
  </r>
  <r>
    <x v="0"/>
    <x v="0"/>
    <x v="0"/>
    <x v="0"/>
    <x v="0"/>
    <s v="DK1_Rural"/>
    <x v="5"/>
    <x v="30"/>
    <x v="0"/>
    <x v="20"/>
    <n v="87.01"/>
    <n v="31758.65"/>
    <n v="114331.14"/>
  </r>
  <r>
    <x v="0"/>
    <x v="0"/>
    <x v="0"/>
    <x v="0"/>
    <x v="0"/>
    <s v="DK1_Rural"/>
    <x v="5"/>
    <x v="30"/>
    <x v="0"/>
    <x v="21"/>
    <n v="87.01"/>
    <n v="31758.65"/>
    <n v="114331.14"/>
  </r>
  <r>
    <x v="0"/>
    <x v="0"/>
    <x v="0"/>
    <x v="0"/>
    <x v="0"/>
    <s v="DK1_Rural"/>
    <x v="5"/>
    <x v="30"/>
    <x v="0"/>
    <x v="22"/>
    <n v="87.01"/>
    <n v="31758.65"/>
    <n v="114331.14"/>
  </r>
  <r>
    <x v="0"/>
    <x v="0"/>
    <x v="0"/>
    <x v="0"/>
    <x v="0"/>
    <s v="DK1_Rural"/>
    <x v="5"/>
    <x v="30"/>
    <x v="0"/>
    <x v="23"/>
    <n v="87.01"/>
    <n v="31758.65"/>
    <n v="114331.14"/>
  </r>
  <r>
    <x v="0"/>
    <x v="0"/>
    <x v="0"/>
    <x v="0"/>
    <x v="0"/>
    <s v="DK1_Rural"/>
    <x v="6"/>
    <x v="61"/>
    <x v="0"/>
    <x v="9"/>
    <n v="11.663551401869199"/>
    <n v="4257.1962616822402"/>
    <n v="15325.9065420561"/>
  </r>
  <r>
    <x v="0"/>
    <x v="0"/>
    <x v="0"/>
    <x v="0"/>
    <x v="0"/>
    <s v="DK1_Rural"/>
    <x v="6"/>
    <x v="61"/>
    <x v="0"/>
    <x v="10"/>
    <n v="11.663551401869199"/>
    <n v="4257.1962616822402"/>
    <n v="15325.9065420561"/>
  </r>
  <r>
    <x v="0"/>
    <x v="0"/>
    <x v="0"/>
    <x v="0"/>
    <x v="0"/>
    <s v="DK1_Rural"/>
    <x v="6"/>
    <x v="61"/>
    <x v="0"/>
    <x v="11"/>
    <n v="11.663551401869199"/>
    <n v="4257.1962616822402"/>
    <n v="15325.9065420561"/>
  </r>
  <r>
    <x v="0"/>
    <x v="0"/>
    <x v="0"/>
    <x v="0"/>
    <x v="0"/>
    <s v="DK1_Rural"/>
    <x v="6"/>
    <x v="61"/>
    <x v="0"/>
    <x v="14"/>
    <n v="11.663551401869199"/>
    <n v="4257.1962616822402"/>
    <n v="15325.9065420561"/>
  </r>
  <r>
    <x v="0"/>
    <x v="0"/>
    <x v="0"/>
    <x v="0"/>
    <x v="0"/>
    <s v="DK1_Rural"/>
    <x v="6"/>
    <x v="61"/>
    <x v="0"/>
    <x v="17"/>
    <n v="11.663551401869199"/>
    <n v="4257.1962616822402"/>
    <n v="15325.9065420561"/>
  </r>
  <r>
    <x v="0"/>
    <x v="0"/>
    <x v="0"/>
    <x v="0"/>
    <x v="0"/>
    <s v="DK1_Rural"/>
    <x v="6"/>
    <x v="61"/>
    <x v="0"/>
    <x v="20"/>
    <n v="9.1775756297036608"/>
    <n v="3349.8151048418299"/>
    <n v="12059.334377430599"/>
  </r>
  <r>
    <x v="0"/>
    <x v="0"/>
    <x v="0"/>
    <x v="0"/>
    <x v="0"/>
    <s v="DK1_Rural"/>
    <x v="6"/>
    <x v="62"/>
    <x v="0"/>
    <x v="7"/>
    <n v="3.24074074074074"/>
    <n v="1182.87037037037"/>
    <n v="4258.3333333333303"/>
  </r>
  <r>
    <x v="0"/>
    <x v="0"/>
    <x v="0"/>
    <x v="0"/>
    <x v="0"/>
    <s v="DK1_Rural"/>
    <x v="6"/>
    <x v="62"/>
    <x v="0"/>
    <x v="8"/>
    <n v="3.24074074074074"/>
    <n v="1182.87037037037"/>
    <n v="4258.3333333333303"/>
  </r>
  <r>
    <x v="0"/>
    <x v="0"/>
    <x v="0"/>
    <x v="0"/>
    <x v="0"/>
    <s v="DK1_Rural"/>
    <x v="6"/>
    <x v="62"/>
    <x v="0"/>
    <x v="9"/>
    <n v="3.24074074074074"/>
    <n v="1182.87037037037"/>
    <n v="4258.3333333333303"/>
  </r>
  <r>
    <x v="0"/>
    <x v="0"/>
    <x v="0"/>
    <x v="0"/>
    <x v="0"/>
    <s v="DK1_Rural"/>
    <x v="6"/>
    <x v="62"/>
    <x v="0"/>
    <x v="10"/>
    <n v="3.24074074074074"/>
    <n v="1182.87037037037"/>
    <n v="4258.3333333333303"/>
  </r>
  <r>
    <x v="0"/>
    <x v="0"/>
    <x v="0"/>
    <x v="0"/>
    <x v="0"/>
    <s v="DK1_Rural"/>
    <x v="6"/>
    <x v="62"/>
    <x v="0"/>
    <x v="11"/>
    <n v="3.24074074074074"/>
    <n v="1182.87037037037"/>
    <n v="4258.3333333333303"/>
  </r>
  <r>
    <x v="0"/>
    <x v="0"/>
    <x v="0"/>
    <x v="0"/>
    <x v="0"/>
    <s v="DK1_Rural"/>
    <x v="6"/>
    <x v="62"/>
    <x v="0"/>
    <x v="12"/>
    <n v="3.24074074074074"/>
    <n v="1182.87037037037"/>
    <n v="4258.3333333333303"/>
  </r>
  <r>
    <x v="0"/>
    <x v="0"/>
    <x v="0"/>
    <x v="0"/>
    <x v="0"/>
    <s v="DK1_Rural"/>
    <x v="6"/>
    <x v="62"/>
    <x v="0"/>
    <x v="13"/>
    <n v="3.24074074074074"/>
    <n v="1182.87037037037"/>
    <n v="4258.3333333333303"/>
  </r>
  <r>
    <x v="0"/>
    <x v="0"/>
    <x v="0"/>
    <x v="0"/>
    <x v="0"/>
    <s v="DK1_Rural"/>
    <x v="6"/>
    <x v="62"/>
    <x v="0"/>
    <x v="14"/>
    <n v="3.24074074074074"/>
    <n v="1182.87037037037"/>
    <n v="4258.3333333333303"/>
  </r>
  <r>
    <x v="0"/>
    <x v="0"/>
    <x v="0"/>
    <x v="0"/>
    <x v="0"/>
    <s v="DK1_Rural"/>
    <x v="6"/>
    <x v="62"/>
    <x v="0"/>
    <x v="15"/>
    <n v="3.24074074074074"/>
    <n v="1182.87037037037"/>
    <n v="4258.3333333333303"/>
  </r>
  <r>
    <x v="0"/>
    <x v="0"/>
    <x v="0"/>
    <x v="0"/>
    <x v="0"/>
    <s v="DK1_Rural"/>
    <x v="6"/>
    <x v="62"/>
    <x v="0"/>
    <x v="16"/>
    <n v="3.24074074074074"/>
    <n v="1182.87037037037"/>
    <n v="4258.3333333333303"/>
  </r>
  <r>
    <x v="0"/>
    <x v="0"/>
    <x v="0"/>
    <x v="0"/>
    <x v="0"/>
    <s v="DK1_Rural"/>
    <x v="6"/>
    <x v="62"/>
    <x v="0"/>
    <x v="17"/>
    <n v="3.24074074074074"/>
    <n v="1182.87037037037"/>
    <n v="4258.3333333333303"/>
  </r>
  <r>
    <x v="0"/>
    <x v="0"/>
    <x v="0"/>
    <x v="0"/>
    <x v="0"/>
    <s v="DK1_Rural"/>
    <x v="6"/>
    <x v="62"/>
    <x v="0"/>
    <x v="18"/>
    <n v="3.24074074074074"/>
    <n v="1182.87037037037"/>
    <n v="4258.3333333333303"/>
  </r>
  <r>
    <x v="0"/>
    <x v="0"/>
    <x v="0"/>
    <x v="0"/>
    <x v="0"/>
    <s v="DK1_Rural"/>
    <x v="6"/>
    <x v="62"/>
    <x v="0"/>
    <x v="19"/>
    <n v="3.24074074074074"/>
    <n v="1182.87037037037"/>
    <n v="4258.3333333333303"/>
  </r>
  <r>
    <x v="0"/>
    <x v="0"/>
    <x v="0"/>
    <x v="0"/>
    <x v="0"/>
    <s v="DK1_Rural"/>
    <x v="6"/>
    <x v="62"/>
    <x v="0"/>
    <x v="20"/>
    <n v="3.24074074074074"/>
    <n v="1182.87037037037"/>
    <n v="4258.3333333333303"/>
  </r>
  <r>
    <x v="0"/>
    <x v="0"/>
    <x v="0"/>
    <x v="0"/>
    <x v="0"/>
    <s v="DK1_Rural"/>
    <x v="6"/>
    <x v="46"/>
    <x v="0"/>
    <x v="5"/>
    <n v="51.122094065007502"/>
    <n v="18659.5643337277"/>
    <n v="67174.431601419798"/>
  </r>
  <r>
    <x v="0"/>
    <x v="0"/>
    <x v="0"/>
    <x v="0"/>
    <x v="0"/>
    <s v="DK1_Rural"/>
    <x v="6"/>
    <x v="46"/>
    <x v="0"/>
    <x v="6"/>
    <n v="116.754545454545"/>
    <n v="42615.409090909103"/>
    <n v="153415.47272727301"/>
  </r>
  <r>
    <x v="0"/>
    <x v="0"/>
    <x v="0"/>
    <x v="0"/>
    <x v="0"/>
    <s v="DK1_Rural"/>
    <x v="6"/>
    <x v="46"/>
    <x v="0"/>
    <x v="7"/>
    <n v="116.754545454545"/>
    <n v="42615.409090909103"/>
    <n v="153415.47272727301"/>
  </r>
  <r>
    <x v="0"/>
    <x v="0"/>
    <x v="0"/>
    <x v="0"/>
    <x v="0"/>
    <s v="DK1_Rural"/>
    <x v="6"/>
    <x v="46"/>
    <x v="0"/>
    <x v="8"/>
    <n v="116.754545454545"/>
    <n v="42615.409090909103"/>
    <n v="153415.47272727301"/>
  </r>
  <r>
    <x v="0"/>
    <x v="0"/>
    <x v="0"/>
    <x v="0"/>
    <x v="0"/>
    <s v="DK1_Rural"/>
    <x v="6"/>
    <x v="46"/>
    <x v="0"/>
    <x v="9"/>
    <n v="116.754545454545"/>
    <n v="42615.409090909103"/>
    <n v="153415.47272727301"/>
  </r>
  <r>
    <x v="0"/>
    <x v="0"/>
    <x v="0"/>
    <x v="0"/>
    <x v="0"/>
    <s v="DK1_Rural"/>
    <x v="6"/>
    <x v="46"/>
    <x v="0"/>
    <x v="10"/>
    <n v="116.754545454545"/>
    <n v="42615.409090909103"/>
    <n v="153415.47272727301"/>
  </r>
  <r>
    <x v="0"/>
    <x v="0"/>
    <x v="0"/>
    <x v="0"/>
    <x v="0"/>
    <s v="DK1_Rural"/>
    <x v="6"/>
    <x v="46"/>
    <x v="0"/>
    <x v="11"/>
    <n v="116.754545454545"/>
    <n v="42615.409090909103"/>
    <n v="153415.47272727301"/>
  </r>
  <r>
    <x v="0"/>
    <x v="0"/>
    <x v="0"/>
    <x v="0"/>
    <x v="0"/>
    <s v="DK1_Rural"/>
    <x v="6"/>
    <x v="46"/>
    <x v="0"/>
    <x v="12"/>
    <n v="116.754545454545"/>
    <n v="42615.409090909103"/>
    <n v="153415.47272727301"/>
  </r>
  <r>
    <x v="0"/>
    <x v="0"/>
    <x v="0"/>
    <x v="0"/>
    <x v="0"/>
    <s v="DK1_Rural"/>
    <x v="6"/>
    <x v="46"/>
    <x v="0"/>
    <x v="13"/>
    <n v="116.754545454545"/>
    <n v="42615.409090909103"/>
    <n v="153415.47272727301"/>
  </r>
  <r>
    <x v="0"/>
    <x v="0"/>
    <x v="0"/>
    <x v="0"/>
    <x v="0"/>
    <s v="DK1_Rural"/>
    <x v="6"/>
    <x v="46"/>
    <x v="0"/>
    <x v="14"/>
    <n v="116.754545454545"/>
    <n v="42615.409090909103"/>
    <n v="153415.47272727301"/>
  </r>
  <r>
    <x v="0"/>
    <x v="0"/>
    <x v="0"/>
    <x v="0"/>
    <x v="0"/>
    <s v="DK1_Rural"/>
    <x v="6"/>
    <x v="46"/>
    <x v="0"/>
    <x v="15"/>
    <n v="116.754545454545"/>
    <n v="42615.409090909103"/>
    <n v="153415.47272727301"/>
  </r>
  <r>
    <x v="0"/>
    <x v="0"/>
    <x v="0"/>
    <x v="0"/>
    <x v="0"/>
    <s v="DK1_Rural"/>
    <x v="6"/>
    <x v="46"/>
    <x v="0"/>
    <x v="16"/>
    <n v="116.754545454545"/>
    <n v="42615.409090909103"/>
    <n v="153415.47272727301"/>
  </r>
  <r>
    <x v="0"/>
    <x v="0"/>
    <x v="0"/>
    <x v="0"/>
    <x v="0"/>
    <s v="DK1_Rural"/>
    <x v="6"/>
    <x v="46"/>
    <x v="0"/>
    <x v="17"/>
    <n v="116.754545454545"/>
    <n v="42615.409090909103"/>
    <n v="153415.47272727301"/>
  </r>
  <r>
    <x v="0"/>
    <x v="0"/>
    <x v="0"/>
    <x v="0"/>
    <x v="0"/>
    <s v="DK1_Rural"/>
    <x v="6"/>
    <x v="46"/>
    <x v="0"/>
    <x v="18"/>
    <n v="116.754545454545"/>
    <n v="42615.409090909103"/>
    <n v="153415.47272727301"/>
  </r>
  <r>
    <x v="0"/>
    <x v="0"/>
    <x v="0"/>
    <x v="0"/>
    <x v="0"/>
    <s v="DK1_Rural"/>
    <x v="6"/>
    <x v="46"/>
    <x v="0"/>
    <x v="19"/>
    <n v="116.754545454545"/>
    <n v="42615.409090909103"/>
    <n v="153415.47272727301"/>
  </r>
  <r>
    <x v="0"/>
    <x v="0"/>
    <x v="0"/>
    <x v="0"/>
    <x v="0"/>
    <s v="DK1_Rural"/>
    <x v="6"/>
    <x v="46"/>
    <x v="0"/>
    <x v="20"/>
    <n v="116.754545454545"/>
    <n v="42615.409090909103"/>
    <n v="153415.47272727301"/>
  </r>
  <r>
    <x v="0"/>
    <x v="0"/>
    <x v="0"/>
    <x v="0"/>
    <x v="0"/>
    <s v="DK1_Rural"/>
    <x v="6"/>
    <x v="46"/>
    <x v="0"/>
    <x v="21"/>
    <n v="116.754545454545"/>
    <n v="42615.409090909103"/>
    <n v="153415.47272727301"/>
  </r>
  <r>
    <x v="0"/>
    <x v="0"/>
    <x v="0"/>
    <x v="0"/>
    <x v="0"/>
    <s v="DK1_Rural"/>
    <x v="6"/>
    <x v="46"/>
    <x v="0"/>
    <x v="22"/>
    <n v="88.678268792222298"/>
    <n v="32367.5681091611"/>
    <n v="116523.24519298"/>
  </r>
  <r>
    <x v="0"/>
    <x v="0"/>
    <x v="0"/>
    <x v="0"/>
    <x v="0"/>
    <s v="DK1_Rural"/>
    <x v="6"/>
    <x v="46"/>
    <x v="0"/>
    <x v="23"/>
    <n v="67.660593027450702"/>
    <n v="24696.116455019499"/>
    <n v="88906.019238070206"/>
  </r>
  <r>
    <x v="0"/>
    <x v="0"/>
    <x v="0"/>
    <x v="0"/>
    <x v="0"/>
    <s v="DK1_Rural"/>
    <x v="6"/>
    <x v="63"/>
    <x v="0"/>
    <x v="0"/>
    <n v="6.26160290306247"/>
    <n v="2285.4850596177998"/>
    <n v="8227.7462146240905"/>
  </r>
  <r>
    <x v="0"/>
    <x v="0"/>
    <x v="0"/>
    <x v="0"/>
    <x v="0"/>
    <s v="DK1_Rural"/>
    <x v="6"/>
    <x v="63"/>
    <x v="0"/>
    <x v="1"/>
    <n v="2.53921009343523"/>
    <n v="926.81168410385897"/>
    <n v="3336.52206277389"/>
  </r>
  <r>
    <x v="0"/>
    <x v="0"/>
    <x v="0"/>
    <x v="0"/>
    <x v="0"/>
    <s v="DK1_Rural"/>
    <x v="6"/>
    <x v="63"/>
    <x v="0"/>
    <x v="3"/>
    <n v="4.2312068250839996"/>
    <n v="1544.3904911556599"/>
    <n v="5559.8057681603696"/>
  </r>
  <r>
    <x v="0"/>
    <x v="0"/>
    <x v="0"/>
    <x v="0"/>
    <x v="0"/>
    <s v="DK1_Rural"/>
    <x v="6"/>
    <x v="63"/>
    <x v="0"/>
    <x v="4"/>
    <n v="7.9535996347112397"/>
    <n v="2903.0638666696"/>
    <n v="10451.0299200106"/>
  </r>
  <r>
    <x v="0"/>
    <x v="0"/>
    <x v="0"/>
    <x v="0"/>
    <x v="0"/>
    <s v="DK1_Rural"/>
    <x v="6"/>
    <x v="63"/>
    <x v="0"/>
    <x v="5"/>
    <n v="16.964285714285701"/>
    <n v="6191.9642857142799"/>
    <n v="22291.071428571398"/>
  </r>
  <r>
    <x v="0"/>
    <x v="0"/>
    <x v="0"/>
    <x v="0"/>
    <x v="0"/>
    <s v="DK1_Rural"/>
    <x v="6"/>
    <x v="63"/>
    <x v="0"/>
    <x v="6"/>
    <n v="16.964285714285701"/>
    <n v="6191.9642857142799"/>
    <n v="22291.071428571398"/>
  </r>
  <r>
    <x v="0"/>
    <x v="0"/>
    <x v="0"/>
    <x v="0"/>
    <x v="0"/>
    <s v="DK1_Rural"/>
    <x v="6"/>
    <x v="63"/>
    <x v="0"/>
    <x v="7"/>
    <n v="16.964285714285701"/>
    <n v="6191.9642857142799"/>
    <n v="22291.071428571398"/>
  </r>
  <r>
    <x v="0"/>
    <x v="0"/>
    <x v="0"/>
    <x v="0"/>
    <x v="0"/>
    <s v="DK1_Rural"/>
    <x v="6"/>
    <x v="63"/>
    <x v="0"/>
    <x v="8"/>
    <n v="16.964285714285701"/>
    <n v="6191.9642857142799"/>
    <n v="22291.071428571398"/>
  </r>
  <r>
    <x v="0"/>
    <x v="0"/>
    <x v="0"/>
    <x v="0"/>
    <x v="0"/>
    <s v="DK1_Rural"/>
    <x v="6"/>
    <x v="63"/>
    <x v="0"/>
    <x v="9"/>
    <n v="16.964285714285701"/>
    <n v="6191.9642857142799"/>
    <n v="22291.071428571398"/>
  </r>
  <r>
    <x v="0"/>
    <x v="0"/>
    <x v="0"/>
    <x v="0"/>
    <x v="0"/>
    <s v="DK1_Rural"/>
    <x v="6"/>
    <x v="63"/>
    <x v="0"/>
    <x v="10"/>
    <n v="16.964285714285701"/>
    <n v="6191.9642857142799"/>
    <n v="22291.071428571398"/>
  </r>
  <r>
    <x v="0"/>
    <x v="0"/>
    <x v="0"/>
    <x v="0"/>
    <x v="0"/>
    <s v="DK1_Rural"/>
    <x v="6"/>
    <x v="63"/>
    <x v="0"/>
    <x v="11"/>
    <n v="16.964285714285701"/>
    <n v="6191.9642857142799"/>
    <n v="22291.071428571398"/>
  </r>
  <r>
    <x v="0"/>
    <x v="0"/>
    <x v="0"/>
    <x v="0"/>
    <x v="0"/>
    <s v="DK1_Rural"/>
    <x v="6"/>
    <x v="63"/>
    <x v="0"/>
    <x v="12"/>
    <n v="16.964285714285701"/>
    <n v="6191.9642857142799"/>
    <n v="22291.071428571398"/>
  </r>
  <r>
    <x v="0"/>
    <x v="0"/>
    <x v="0"/>
    <x v="0"/>
    <x v="0"/>
    <s v="DK1_Rural"/>
    <x v="6"/>
    <x v="63"/>
    <x v="0"/>
    <x v="13"/>
    <n v="16.964285714285701"/>
    <n v="6191.9642857142799"/>
    <n v="22291.071428571398"/>
  </r>
  <r>
    <x v="0"/>
    <x v="0"/>
    <x v="0"/>
    <x v="0"/>
    <x v="0"/>
    <s v="DK1_Rural"/>
    <x v="6"/>
    <x v="63"/>
    <x v="0"/>
    <x v="14"/>
    <n v="16.964285714285701"/>
    <n v="6191.9642857142799"/>
    <n v="22291.071428571398"/>
  </r>
  <r>
    <x v="0"/>
    <x v="0"/>
    <x v="0"/>
    <x v="0"/>
    <x v="0"/>
    <s v="DK1_Rural"/>
    <x v="6"/>
    <x v="63"/>
    <x v="0"/>
    <x v="15"/>
    <n v="16.964285714285701"/>
    <n v="6191.9642857142799"/>
    <n v="22291.071428571398"/>
  </r>
  <r>
    <x v="0"/>
    <x v="0"/>
    <x v="0"/>
    <x v="0"/>
    <x v="0"/>
    <s v="DK1_Rural"/>
    <x v="6"/>
    <x v="63"/>
    <x v="0"/>
    <x v="16"/>
    <n v="16.964285714285701"/>
    <n v="6191.9642857142799"/>
    <n v="22291.071428571398"/>
  </r>
  <r>
    <x v="0"/>
    <x v="0"/>
    <x v="0"/>
    <x v="0"/>
    <x v="0"/>
    <s v="DK1_Rural"/>
    <x v="6"/>
    <x v="63"/>
    <x v="0"/>
    <x v="17"/>
    <n v="16.964285714285701"/>
    <n v="6191.9642857142799"/>
    <n v="22291.071428571398"/>
  </r>
  <r>
    <x v="0"/>
    <x v="0"/>
    <x v="0"/>
    <x v="0"/>
    <x v="0"/>
    <s v="DK1_Rural"/>
    <x v="6"/>
    <x v="63"/>
    <x v="0"/>
    <x v="18"/>
    <n v="16.964285714285701"/>
    <n v="6191.9642857142799"/>
    <n v="22291.071428571398"/>
  </r>
  <r>
    <x v="0"/>
    <x v="0"/>
    <x v="0"/>
    <x v="0"/>
    <x v="0"/>
    <s v="DK1_Rural"/>
    <x v="6"/>
    <x v="63"/>
    <x v="0"/>
    <x v="19"/>
    <n v="16.964285714285701"/>
    <n v="6191.9642857142799"/>
    <n v="22291.071428571398"/>
  </r>
  <r>
    <x v="0"/>
    <x v="0"/>
    <x v="0"/>
    <x v="0"/>
    <x v="0"/>
    <s v="DK1_Rural"/>
    <x v="6"/>
    <x v="63"/>
    <x v="0"/>
    <x v="20"/>
    <n v="16.964285714285701"/>
    <n v="6191.9642857142799"/>
    <n v="22291.071428571398"/>
  </r>
  <r>
    <x v="0"/>
    <x v="0"/>
    <x v="0"/>
    <x v="0"/>
    <x v="0"/>
    <s v="DK1_Rural"/>
    <x v="6"/>
    <x v="63"/>
    <x v="0"/>
    <x v="21"/>
    <n v="16.964285714285701"/>
    <n v="6191.9642857142799"/>
    <n v="22291.071428571398"/>
  </r>
  <r>
    <x v="0"/>
    <x v="0"/>
    <x v="0"/>
    <x v="0"/>
    <x v="0"/>
    <s v="DK1_Rural"/>
    <x v="6"/>
    <x v="63"/>
    <x v="0"/>
    <x v="22"/>
    <n v="16.964285714285701"/>
    <n v="6191.9642857142799"/>
    <n v="22291.071428571398"/>
  </r>
  <r>
    <x v="0"/>
    <x v="0"/>
    <x v="0"/>
    <x v="0"/>
    <x v="0"/>
    <s v="DK1_Rural"/>
    <x v="6"/>
    <x v="63"/>
    <x v="0"/>
    <x v="23"/>
    <n v="16.964285714285701"/>
    <n v="6191.9642857142799"/>
    <n v="22291.071428571398"/>
  </r>
  <r>
    <x v="0"/>
    <x v="0"/>
    <x v="0"/>
    <x v="0"/>
    <x v="0"/>
    <s v="DK1_Rural"/>
    <x v="6"/>
    <x v="64"/>
    <x v="0"/>
    <x v="0"/>
    <n v="4.2105263157894699"/>
    <n v="1536.84210526316"/>
    <n v="5532.6315789473701"/>
  </r>
  <r>
    <x v="0"/>
    <x v="0"/>
    <x v="0"/>
    <x v="0"/>
    <x v="0"/>
    <s v="DK1_Rural"/>
    <x v="6"/>
    <x v="64"/>
    <x v="0"/>
    <x v="1"/>
    <n v="4.2105263157894699"/>
    <n v="1536.84210526316"/>
    <n v="5532.6315789473701"/>
  </r>
  <r>
    <x v="0"/>
    <x v="0"/>
    <x v="0"/>
    <x v="0"/>
    <x v="0"/>
    <s v="DK1_Rural"/>
    <x v="6"/>
    <x v="64"/>
    <x v="0"/>
    <x v="2"/>
    <n v="3.3805637068019601"/>
    <n v="1233.9057529827101"/>
    <n v="4442.06071073777"/>
  </r>
  <r>
    <x v="0"/>
    <x v="0"/>
    <x v="0"/>
    <x v="0"/>
    <x v="0"/>
    <s v="DK1_Rural"/>
    <x v="6"/>
    <x v="64"/>
    <x v="0"/>
    <x v="3"/>
    <n v="4.2105263157894699"/>
    <n v="1536.84210526316"/>
    <n v="5532.6315789473701"/>
  </r>
  <r>
    <x v="0"/>
    <x v="0"/>
    <x v="0"/>
    <x v="0"/>
    <x v="0"/>
    <s v="DK1_Rural"/>
    <x v="6"/>
    <x v="64"/>
    <x v="0"/>
    <x v="4"/>
    <n v="4.2105263157894699"/>
    <n v="1536.84210526316"/>
    <n v="5532.6315789473701"/>
  </r>
  <r>
    <x v="0"/>
    <x v="0"/>
    <x v="0"/>
    <x v="0"/>
    <x v="0"/>
    <s v="DK1_Rural"/>
    <x v="6"/>
    <x v="64"/>
    <x v="0"/>
    <x v="5"/>
    <n v="4.2105263157894699"/>
    <n v="1536.84210526316"/>
    <n v="5532.6315789473701"/>
  </r>
  <r>
    <x v="0"/>
    <x v="0"/>
    <x v="0"/>
    <x v="0"/>
    <x v="0"/>
    <s v="DK1_Rural"/>
    <x v="6"/>
    <x v="64"/>
    <x v="0"/>
    <x v="6"/>
    <n v="4.2105263157894699"/>
    <n v="1536.84210526316"/>
    <n v="5532.6315789473701"/>
  </r>
  <r>
    <x v="0"/>
    <x v="0"/>
    <x v="0"/>
    <x v="0"/>
    <x v="0"/>
    <s v="DK1_Rural"/>
    <x v="6"/>
    <x v="64"/>
    <x v="0"/>
    <x v="7"/>
    <n v="4.2105263157894699"/>
    <n v="1536.84210526316"/>
    <n v="5532.6315789473701"/>
  </r>
  <r>
    <x v="0"/>
    <x v="0"/>
    <x v="0"/>
    <x v="0"/>
    <x v="0"/>
    <s v="DK1_Rural"/>
    <x v="6"/>
    <x v="64"/>
    <x v="0"/>
    <x v="8"/>
    <n v="4.2105263157894699"/>
    <n v="1536.84210526316"/>
    <n v="5532.6315789473701"/>
  </r>
  <r>
    <x v="0"/>
    <x v="0"/>
    <x v="0"/>
    <x v="0"/>
    <x v="0"/>
    <s v="DK1_Rural"/>
    <x v="6"/>
    <x v="64"/>
    <x v="0"/>
    <x v="9"/>
    <n v="4.2105263157894699"/>
    <n v="1536.84210526316"/>
    <n v="5532.6315789473701"/>
  </r>
  <r>
    <x v="0"/>
    <x v="0"/>
    <x v="0"/>
    <x v="0"/>
    <x v="0"/>
    <s v="DK1_Rural"/>
    <x v="6"/>
    <x v="64"/>
    <x v="0"/>
    <x v="10"/>
    <n v="4.2105263157894699"/>
    <n v="1536.84210526316"/>
    <n v="5532.6315789473701"/>
  </r>
  <r>
    <x v="0"/>
    <x v="0"/>
    <x v="0"/>
    <x v="0"/>
    <x v="0"/>
    <s v="DK1_Rural"/>
    <x v="6"/>
    <x v="64"/>
    <x v="0"/>
    <x v="11"/>
    <n v="4.2105263157894699"/>
    <n v="1536.84210526316"/>
    <n v="5532.6315789473701"/>
  </r>
  <r>
    <x v="0"/>
    <x v="0"/>
    <x v="0"/>
    <x v="0"/>
    <x v="0"/>
    <s v="DK1_Rural"/>
    <x v="6"/>
    <x v="64"/>
    <x v="0"/>
    <x v="12"/>
    <n v="4.2105263157894699"/>
    <n v="1536.84210526316"/>
    <n v="5532.6315789473701"/>
  </r>
  <r>
    <x v="0"/>
    <x v="0"/>
    <x v="0"/>
    <x v="0"/>
    <x v="0"/>
    <s v="DK1_Rural"/>
    <x v="6"/>
    <x v="64"/>
    <x v="0"/>
    <x v="13"/>
    <n v="4.2105263157894699"/>
    <n v="1536.84210526316"/>
    <n v="5532.6315789473701"/>
  </r>
  <r>
    <x v="0"/>
    <x v="0"/>
    <x v="0"/>
    <x v="0"/>
    <x v="0"/>
    <s v="DK1_Rural"/>
    <x v="6"/>
    <x v="64"/>
    <x v="0"/>
    <x v="14"/>
    <n v="4.2105263157894699"/>
    <n v="1536.84210526316"/>
    <n v="5532.6315789473701"/>
  </r>
  <r>
    <x v="0"/>
    <x v="0"/>
    <x v="0"/>
    <x v="0"/>
    <x v="0"/>
    <s v="DK1_Rural"/>
    <x v="6"/>
    <x v="64"/>
    <x v="0"/>
    <x v="15"/>
    <n v="4.2105263157894699"/>
    <n v="1536.84210526316"/>
    <n v="5532.6315789473701"/>
  </r>
  <r>
    <x v="0"/>
    <x v="0"/>
    <x v="0"/>
    <x v="0"/>
    <x v="0"/>
    <s v="DK1_Rural"/>
    <x v="6"/>
    <x v="64"/>
    <x v="0"/>
    <x v="16"/>
    <n v="4.2105263157894699"/>
    <n v="1536.84210526316"/>
    <n v="5532.6315789473701"/>
  </r>
  <r>
    <x v="0"/>
    <x v="0"/>
    <x v="0"/>
    <x v="0"/>
    <x v="0"/>
    <s v="DK1_Rural"/>
    <x v="6"/>
    <x v="64"/>
    <x v="0"/>
    <x v="17"/>
    <n v="4.2105263157894699"/>
    <n v="1536.84210526316"/>
    <n v="5532.6315789473701"/>
  </r>
  <r>
    <x v="0"/>
    <x v="0"/>
    <x v="0"/>
    <x v="0"/>
    <x v="0"/>
    <s v="DK1_Rural"/>
    <x v="6"/>
    <x v="64"/>
    <x v="0"/>
    <x v="18"/>
    <n v="4.2105263157894699"/>
    <n v="1536.84210526316"/>
    <n v="5532.6315789473701"/>
  </r>
  <r>
    <x v="0"/>
    <x v="0"/>
    <x v="0"/>
    <x v="0"/>
    <x v="0"/>
    <s v="DK1_Rural"/>
    <x v="6"/>
    <x v="64"/>
    <x v="0"/>
    <x v="19"/>
    <n v="4.2105263157894699"/>
    <n v="1536.84210526316"/>
    <n v="5532.6315789473701"/>
  </r>
  <r>
    <x v="0"/>
    <x v="0"/>
    <x v="0"/>
    <x v="0"/>
    <x v="0"/>
    <s v="DK1_Rural"/>
    <x v="6"/>
    <x v="64"/>
    <x v="0"/>
    <x v="20"/>
    <n v="4.2105263157894699"/>
    <n v="1536.84210526316"/>
    <n v="5532.6315789473701"/>
  </r>
  <r>
    <x v="0"/>
    <x v="0"/>
    <x v="0"/>
    <x v="0"/>
    <x v="0"/>
    <s v="DK1_Rural"/>
    <x v="6"/>
    <x v="64"/>
    <x v="0"/>
    <x v="21"/>
    <n v="4.2105263157894699"/>
    <n v="1536.84210526316"/>
    <n v="5532.6315789473701"/>
  </r>
  <r>
    <x v="0"/>
    <x v="0"/>
    <x v="0"/>
    <x v="0"/>
    <x v="0"/>
    <s v="DK1_Rural"/>
    <x v="6"/>
    <x v="64"/>
    <x v="0"/>
    <x v="22"/>
    <n v="4.2105263157894699"/>
    <n v="1536.84210526316"/>
    <n v="5532.6315789473701"/>
  </r>
  <r>
    <x v="0"/>
    <x v="0"/>
    <x v="0"/>
    <x v="0"/>
    <x v="0"/>
    <s v="DK1_Rural"/>
    <x v="6"/>
    <x v="64"/>
    <x v="0"/>
    <x v="23"/>
    <n v="4.2105263157894699"/>
    <n v="1536.84210526316"/>
    <n v="5532.6315789473701"/>
  </r>
  <r>
    <x v="0"/>
    <x v="0"/>
    <x v="0"/>
    <x v="0"/>
    <x v="0"/>
    <s v="DK1_Rural"/>
    <x v="6"/>
    <x v="65"/>
    <x v="0"/>
    <x v="0"/>
    <n v="18.260869565217401"/>
    <n v="6665.2173913043498"/>
    <n v="23994.782608695699"/>
  </r>
  <r>
    <x v="0"/>
    <x v="0"/>
    <x v="0"/>
    <x v="0"/>
    <x v="0"/>
    <s v="DK1_Rural"/>
    <x v="6"/>
    <x v="65"/>
    <x v="0"/>
    <x v="1"/>
    <n v="18.260869565217401"/>
    <n v="6665.2173913043498"/>
    <n v="23994.782608695699"/>
  </r>
  <r>
    <x v="0"/>
    <x v="0"/>
    <x v="0"/>
    <x v="0"/>
    <x v="0"/>
    <s v="DK1_Rural"/>
    <x v="6"/>
    <x v="65"/>
    <x v="0"/>
    <x v="2"/>
    <n v="18.260869565217401"/>
    <n v="6665.2173913043498"/>
    <n v="23994.782608695699"/>
  </r>
  <r>
    <x v="0"/>
    <x v="0"/>
    <x v="0"/>
    <x v="0"/>
    <x v="0"/>
    <s v="DK1_Rural"/>
    <x v="6"/>
    <x v="65"/>
    <x v="0"/>
    <x v="3"/>
    <n v="18.260869565217401"/>
    <n v="6665.2173913043498"/>
    <n v="23994.782608695699"/>
  </r>
  <r>
    <x v="0"/>
    <x v="0"/>
    <x v="0"/>
    <x v="0"/>
    <x v="0"/>
    <s v="DK1_Rural"/>
    <x v="6"/>
    <x v="65"/>
    <x v="0"/>
    <x v="4"/>
    <n v="18.260869565217401"/>
    <n v="6665.2173913043498"/>
    <n v="23994.782608695699"/>
  </r>
  <r>
    <x v="0"/>
    <x v="0"/>
    <x v="0"/>
    <x v="0"/>
    <x v="0"/>
    <s v="DK1_Rural"/>
    <x v="6"/>
    <x v="65"/>
    <x v="0"/>
    <x v="5"/>
    <n v="18.260869565217401"/>
    <n v="6665.2173913043498"/>
    <n v="23994.782608695699"/>
  </r>
  <r>
    <x v="0"/>
    <x v="0"/>
    <x v="0"/>
    <x v="0"/>
    <x v="0"/>
    <s v="DK1_Rural"/>
    <x v="6"/>
    <x v="65"/>
    <x v="0"/>
    <x v="6"/>
    <n v="18.260869565217401"/>
    <n v="6665.2173913043498"/>
    <n v="23994.782608695699"/>
  </r>
  <r>
    <x v="0"/>
    <x v="0"/>
    <x v="0"/>
    <x v="0"/>
    <x v="0"/>
    <s v="DK1_Rural"/>
    <x v="6"/>
    <x v="65"/>
    <x v="0"/>
    <x v="7"/>
    <n v="18.260869565217401"/>
    <n v="6665.2173913043498"/>
    <n v="23994.782608695699"/>
  </r>
  <r>
    <x v="0"/>
    <x v="0"/>
    <x v="0"/>
    <x v="0"/>
    <x v="0"/>
    <s v="DK1_Rural"/>
    <x v="6"/>
    <x v="65"/>
    <x v="0"/>
    <x v="8"/>
    <n v="18.260869565217401"/>
    <n v="6665.2173913043498"/>
    <n v="23994.782608695699"/>
  </r>
  <r>
    <x v="0"/>
    <x v="0"/>
    <x v="0"/>
    <x v="0"/>
    <x v="0"/>
    <s v="DK1_Rural"/>
    <x v="6"/>
    <x v="65"/>
    <x v="0"/>
    <x v="9"/>
    <n v="18.260869565217401"/>
    <n v="6665.2173913043498"/>
    <n v="23994.782608695699"/>
  </r>
  <r>
    <x v="0"/>
    <x v="0"/>
    <x v="0"/>
    <x v="0"/>
    <x v="0"/>
    <s v="DK1_Rural"/>
    <x v="6"/>
    <x v="65"/>
    <x v="0"/>
    <x v="10"/>
    <n v="18.260869565217401"/>
    <n v="6665.2173913043498"/>
    <n v="23994.782608695699"/>
  </r>
  <r>
    <x v="0"/>
    <x v="0"/>
    <x v="0"/>
    <x v="0"/>
    <x v="0"/>
    <s v="DK1_Rural"/>
    <x v="6"/>
    <x v="65"/>
    <x v="0"/>
    <x v="11"/>
    <n v="18.260869565217401"/>
    <n v="6665.2173913043498"/>
    <n v="23994.782608695699"/>
  </r>
  <r>
    <x v="0"/>
    <x v="0"/>
    <x v="0"/>
    <x v="0"/>
    <x v="0"/>
    <s v="DK1_Rural"/>
    <x v="6"/>
    <x v="65"/>
    <x v="0"/>
    <x v="12"/>
    <n v="18.260869565217401"/>
    <n v="6665.2173913043498"/>
    <n v="23994.782608695699"/>
  </r>
  <r>
    <x v="0"/>
    <x v="0"/>
    <x v="0"/>
    <x v="0"/>
    <x v="0"/>
    <s v="DK1_Rural"/>
    <x v="6"/>
    <x v="65"/>
    <x v="0"/>
    <x v="13"/>
    <n v="18.260869565217401"/>
    <n v="6665.2173913043498"/>
    <n v="23994.782608695699"/>
  </r>
  <r>
    <x v="0"/>
    <x v="0"/>
    <x v="0"/>
    <x v="0"/>
    <x v="0"/>
    <s v="DK1_Rural"/>
    <x v="6"/>
    <x v="65"/>
    <x v="0"/>
    <x v="14"/>
    <n v="18.260869565217401"/>
    <n v="6665.2173913043498"/>
    <n v="23994.782608695699"/>
  </r>
  <r>
    <x v="0"/>
    <x v="0"/>
    <x v="0"/>
    <x v="0"/>
    <x v="0"/>
    <s v="DK1_Rural"/>
    <x v="6"/>
    <x v="65"/>
    <x v="0"/>
    <x v="15"/>
    <n v="18.260869565217401"/>
    <n v="6665.2173913043498"/>
    <n v="23994.782608695699"/>
  </r>
  <r>
    <x v="0"/>
    <x v="0"/>
    <x v="0"/>
    <x v="0"/>
    <x v="0"/>
    <s v="DK1_Rural"/>
    <x v="6"/>
    <x v="65"/>
    <x v="0"/>
    <x v="16"/>
    <n v="18.260869565217401"/>
    <n v="6665.2173913043498"/>
    <n v="23994.782608695699"/>
  </r>
  <r>
    <x v="0"/>
    <x v="0"/>
    <x v="0"/>
    <x v="0"/>
    <x v="0"/>
    <s v="DK1_Rural"/>
    <x v="6"/>
    <x v="65"/>
    <x v="0"/>
    <x v="17"/>
    <n v="18.260869565217401"/>
    <n v="6665.2173913043498"/>
    <n v="23994.782608695699"/>
  </r>
  <r>
    <x v="0"/>
    <x v="0"/>
    <x v="0"/>
    <x v="0"/>
    <x v="0"/>
    <s v="DK1_Rural"/>
    <x v="6"/>
    <x v="65"/>
    <x v="0"/>
    <x v="18"/>
    <n v="18.260869565217401"/>
    <n v="6665.2173913043498"/>
    <n v="23994.782608695699"/>
  </r>
  <r>
    <x v="0"/>
    <x v="0"/>
    <x v="0"/>
    <x v="0"/>
    <x v="0"/>
    <s v="DK1_Rural"/>
    <x v="6"/>
    <x v="65"/>
    <x v="0"/>
    <x v="19"/>
    <n v="18.260869565217401"/>
    <n v="6665.2173913043498"/>
    <n v="23994.782608695699"/>
  </r>
  <r>
    <x v="0"/>
    <x v="0"/>
    <x v="0"/>
    <x v="0"/>
    <x v="0"/>
    <s v="DK1_Rural"/>
    <x v="6"/>
    <x v="65"/>
    <x v="0"/>
    <x v="20"/>
    <n v="18.260869565217401"/>
    <n v="6665.2173913043498"/>
    <n v="23994.782608695699"/>
  </r>
  <r>
    <x v="0"/>
    <x v="0"/>
    <x v="0"/>
    <x v="0"/>
    <x v="0"/>
    <s v="DK1_Rural"/>
    <x v="6"/>
    <x v="65"/>
    <x v="0"/>
    <x v="21"/>
    <n v="18.260869565217401"/>
    <n v="6665.2173913043498"/>
    <n v="23994.782608695699"/>
  </r>
  <r>
    <x v="0"/>
    <x v="0"/>
    <x v="0"/>
    <x v="0"/>
    <x v="0"/>
    <s v="DK1_Rural"/>
    <x v="6"/>
    <x v="65"/>
    <x v="0"/>
    <x v="22"/>
    <n v="18.260869565217401"/>
    <n v="6665.2173913043498"/>
    <n v="23994.782608695699"/>
  </r>
  <r>
    <x v="0"/>
    <x v="0"/>
    <x v="0"/>
    <x v="0"/>
    <x v="0"/>
    <s v="DK1_Rural"/>
    <x v="6"/>
    <x v="65"/>
    <x v="0"/>
    <x v="23"/>
    <n v="18.260869565217401"/>
    <n v="6665.2173913043498"/>
    <n v="23994.782608695699"/>
  </r>
  <r>
    <x v="0"/>
    <x v="0"/>
    <x v="0"/>
    <x v="0"/>
    <x v="0"/>
    <s v="DK1_Rural"/>
    <x v="6"/>
    <x v="66"/>
    <x v="0"/>
    <x v="0"/>
    <n v="17.094017094017101"/>
    <n v="6239.3162393162402"/>
    <n v="22461.538461538501"/>
  </r>
  <r>
    <x v="0"/>
    <x v="0"/>
    <x v="0"/>
    <x v="0"/>
    <x v="0"/>
    <s v="DK1_Rural"/>
    <x v="6"/>
    <x v="66"/>
    <x v="0"/>
    <x v="1"/>
    <n v="17.094017094017101"/>
    <n v="6239.3162393162402"/>
    <n v="22461.538461538501"/>
  </r>
  <r>
    <x v="0"/>
    <x v="0"/>
    <x v="0"/>
    <x v="0"/>
    <x v="0"/>
    <s v="DK1_Rural"/>
    <x v="6"/>
    <x v="66"/>
    <x v="0"/>
    <x v="2"/>
    <n v="17.094017094017101"/>
    <n v="6239.3162393162402"/>
    <n v="22461.538461538501"/>
  </r>
  <r>
    <x v="0"/>
    <x v="0"/>
    <x v="0"/>
    <x v="0"/>
    <x v="0"/>
    <s v="DK1_Rural"/>
    <x v="6"/>
    <x v="66"/>
    <x v="0"/>
    <x v="3"/>
    <n v="17.094017094017101"/>
    <n v="6239.3162393162402"/>
    <n v="22461.538461538501"/>
  </r>
  <r>
    <x v="0"/>
    <x v="0"/>
    <x v="0"/>
    <x v="0"/>
    <x v="0"/>
    <s v="DK1_Rural"/>
    <x v="6"/>
    <x v="66"/>
    <x v="0"/>
    <x v="4"/>
    <n v="17.094017094017101"/>
    <n v="6239.3162393162402"/>
    <n v="22461.538461538501"/>
  </r>
  <r>
    <x v="0"/>
    <x v="0"/>
    <x v="0"/>
    <x v="0"/>
    <x v="0"/>
    <s v="DK1_Rural"/>
    <x v="6"/>
    <x v="66"/>
    <x v="0"/>
    <x v="5"/>
    <n v="17.094017094017101"/>
    <n v="6239.3162393162402"/>
    <n v="22461.538461538501"/>
  </r>
  <r>
    <x v="0"/>
    <x v="0"/>
    <x v="0"/>
    <x v="0"/>
    <x v="0"/>
    <s v="DK1_Rural"/>
    <x v="6"/>
    <x v="66"/>
    <x v="0"/>
    <x v="6"/>
    <n v="17.094017094017101"/>
    <n v="6239.3162393162402"/>
    <n v="22461.538461538501"/>
  </r>
  <r>
    <x v="0"/>
    <x v="0"/>
    <x v="0"/>
    <x v="0"/>
    <x v="0"/>
    <s v="DK1_Rural"/>
    <x v="6"/>
    <x v="66"/>
    <x v="0"/>
    <x v="7"/>
    <n v="17.094017094017101"/>
    <n v="6239.3162393162402"/>
    <n v="22461.538461538501"/>
  </r>
  <r>
    <x v="0"/>
    <x v="0"/>
    <x v="0"/>
    <x v="0"/>
    <x v="0"/>
    <s v="DK1_Rural"/>
    <x v="6"/>
    <x v="66"/>
    <x v="0"/>
    <x v="8"/>
    <n v="17.094017094017101"/>
    <n v="6239.3162393162402"/>
    <n v="22461.538461538501"/>
  </r>
  <r>
    <x v="0"/>
    <x v="0"/>
    <x v="0"/>
    <x v="0"/>
    <x v="0"/>
    <s v="DK1_Rural"/>
    <x v="6"/>
    <x v="66"/>
    <x v="0"/>
    <x v="9"/>
    <n v="17.094017094017101"/>
    <n v="6239.3162393162402"/>
    <n v="22461.538461538501"/>
  </r>
  <r>
    <x v="0"/>
    <x v="0"/>
    <x v="0"/>
    <x v="0"/>
    <x v="0"/>
    <s v="DK1_Rural"/>
    <x v="6"/>
    <x v="66"/>
    <x v="0"/>
    <x v="10"/>
    <n v="17.094017094017101"/>
    <n v="6239.3162393162402"/>
    <n v="22461.538461538501"/>
  </r>
  <r>
    <x v="0"/>
    <x v="0"/>
    <x v="0"/>
    <x v="0"/>
    <x v="0"/>
    <s v="DK1_Rural"/>
    <x v="6"/>
    <x v="66"/>
    <x v="0"/>
    <x v="11"/>
    <n v="17.094017094017101"/>
    <n v="6239.3162393162402"/>
    <n v="22461.538461538501"/>
  </r>
  <r>
    <x v="0"/>
    <x v="0"/>
    <x v="0"/>
    <x v="0"/>
    <x v="0"/>
    <s v="DK1_Rural"/>
    <x v="6"/>
    <x v="66"/>
    <x v="0"/>
    <x v="12"/>
    <n v="17.094017094017101"/>
    <n v="6239.3162393162402"/>
    <n v="22461.538461538501"/>
  </r>
  <r>
    <x v="0"/>
    <x v="0"/>
    <x v="0"/>
    <x v="0"/>
    <x v="0"/>
    <s v="DK1_Rural"/>
    <x v="6"/>
    <x v="66"/>
    <x v="0"/>
    <x v="13"/>
    <n v="17.094017094017101"/>
    <n v="6239.3162393162402"/>
    <n v="22461.538461538501"/>
  </r>
  <r>
    <x v="0"/>
    <x v="0"/>
    <x v="0"/>
    <x v="0"/>
    <x v="0"/>
    <s v="DK1_Rural"/>
    <x v="6"/>
    <x v="66"/>
    <x v="0"/>
    <x v="14"/>
    <n v="17.094017094017101"/>
    <n v="6239.3162393162402"/>
    <n v="22461.538461538501"/>
  </r>
  <r>
    <x v="0"/>
    <x v="0"/>
    <x v="0"/>
    <x v="0"/>
    <x v="0"/>
    <s v="DK1_Rural"/>
    <x v="6"/>
    <x v="66"/>
    <x v="0"/>
    <x v="15"/>
    <n v="17.094017094017101"/>
    <n v="6239.3162393162402"/>
    <n v="22461.538461538501"/>
  </r>
  <r>
    <x v="0"/>
    <x v="0"/>
    <x v="0"/>
    <x v="0"/>
    <x v="0"/>
    <s v="DK1_Rural"/>
    <x v="6"/>
    <x v="66"/>
    <x v="0"/>
    <x v="16"/>
    <n v="17.094017094017101"/>
    <n v="6239.3162393162402"/>
    <n v="22461.538461538501"/>
  </r>
  <r>
    <x v="0"/>
    <x v="0"/>
    <x v="0"/>
    <x v="0"/>
    <x v="0"/>
    <s v="DK1_Rural"/>
    <x v="6"/>
    <x v="66"/>
    <x v="0"/>
    <x v="17"/>
    <n v="17.094017094017101"/>
    <n v="6239.3162393162402"/>
    <n v="22461.538461538501"/>
  </r>
  <r>
    <x v="0"/>
    <x v="0"/>
    <x v="0"/>
    <x v="0"/>
    <x v="0"/>
    <s v="DK1_Rural"/>
    <x v="6"/>
    <x v="66"/>
    <x v="0"/>
    <x v="18"/>
    <n v="17.094017094017101"/>
    <n v="6239.3162393162402"/>
    <n v="22461.538461538501"/>
  </r>
  <r>
    <x v="0"/>
    <x v="0"/>
    <x v="0"/>
    <x v="0"/>
    <x v="0"/>
    <s v="DK1_Rural"/>
    <x v="6"/>
    <x v="66"/>
    <x v="0"/>
    <x v="19"/>
    <n v="17.094017094017101"/>
    <n v="6239.3162393162402"/>
    <n v="22461.538461538501"/>
  </r>
  <r>
    <x v="0"/>
    <x v="0"/>
    <x v="0"/>
    <x v="0"/>
    <x v="0"/>
    <s v="DK1_Rural"/>
    <x v="6"/>
    <x v="66"/>
    <x v="0"/>
    <x v="20"/>
    <n v="17.094017094017101"/>
    <n v="6239.3162393162402"/>
    <n v="22461.538461538501"/>
  </r>
  <r>
    <x v="0"/>
    <x v="0"/>
    <x v="0"/>
    <x v="0"/>
    <x v="0"/>
    <s v="DK1_Rural"/>
    <x v="6"/>
    <x v="66"/>
    <x v="0"/>
    <x v="21"/>
    <n v="17.094017094017101"/>
    <n v="6239.3162393162402"/>
    <n v="22461.538461538501"/>
  </r>
  <r>
    <x v="0"/>
    <x v="0"/>
    <x v="0"/>
    <x v="0"/>
    <x v="0"/>
    <s v="DK1_Rural"/>
    <x v="6"/>
    <x v="66"/>
    <x v="0"/>
    <x v="22"/>
    <n v="17.094017094017101"/>
    <n v="6239.3162393162402"/>
    <n v="22461.538461538501"/>
  </r>
  <r>
    <x v="0"/>
    <x v="0"/>
    <x v="0"/>
    <x v="0"/>
    <x v="0"/>
    <s v="DK1_Rural"/>
    <x v="6"/>
    <x v="66"/>
    <x v="0"/>
    <x v="23"/>
    <n v="17.094017094017101"/>
    <n v="6239.3162393162402"/>
    <n v="22461.538461538501"/>
  </r>
  <r>
    <x v="0"/>
    <x v="0"/>
    <x v="0"/>
    <x v="0"/>
    <x v="0"/>
    <s v="DK1_Rural"/>
    <x v="6"/>
    <x v="67"/>
    <x v="0"/>
    <x v="0"/>
    <n v="20"/>
    <n v="7300"/>
    <n v="26280"/>
  </r>
  <r>
    <x v="0"/>
    <x v="0"/>
    <x v="0"/>
    <x v="0"/>
    <x v="0"/>
    <s v="DK1_Rural"/>
    <x v="6"/>
    <x v="67"/>
    <x v="0"/>
    <x v="1"/>
    <n v="20"/>
    <n v="7300"/>
    <n v="26280"/>
  </r>
  <r>
    <x v="0"/>
    <x v="0"/>
    <x v="0"/>
    <x v="0"/>
    <x v="0"/>
    <s v="DK1_Rural"/>
    <x v="6"/>
    <x v="67"/>
    <x v="0"/>
    <x v="2"/>
    <n v="20"/>
    <n v="7300"/>
    <n v="26280"/>
  </r>
  <r>
    <x v="0"/>
    <x v="0"/>
    <x v="0"/>
    <x v="0"/>
    <x v="0"/>
    <s v="DK1_Rural"/>
    <x v="6"/>
    <x v="67"/>
    <x v="0"/>
    <x v="3"/>
    <n v="20"/>
    <n v="7300"/>
    <n v="26280"/>
  </r>
  <r>
    <x v="0"/>
    <x v="0"/>
    <x v="0"/>
    <x v="0"/>
    <x v="0"/>
    <s v="DK1_Rural"/>
    <x v="6"/>
    <x v="67"/>
    <x v="0"/>
    <x v="4"/>
    <n v="20"/>
    <n v="7300"/>
    <n v="26280"/>
  </r>
  <r>
    <x v="0"/>
    <x v="0"/>
    <x v="0"/>
    <x v="0"/>
    <x v="0"/>
    <s v="DK1_Rural"/>
    <x v="6"/>
    <x v="67"/>
    <x v="0"/>
    <x v="5"/>
    <n v="20"/>
    <n v="7300"/>
    <n v="26280"/>
  </r>
  <r>
    <x v="0"/>
    <x v="0"/>
    <x v="0"/>
    <x v="0"/>
    <x v="0"/>
    <s v="DK1_Rural"/>
    <x v="6"/>
    <x v="67"/>
    <x v="0"/>
    <x v="6"/>
    <n v="20"/>
    <n v="7300"/>
    <n v="26280"/>
  </r>
  <r>
    <x v="0"/>
    <x v="0"/>
    <x v="0"/>
    <x v="0"/>
    <x v="0"/>
    <s v="DK1_Rural"/>
    <x v="6"/>
    <x v="67"/>
    <x v="0"/>
    <x v="7"/>
    <n v="20"/>
    <n v="7300"/>
    <n v="26280"/>
  </r>
  <r>
    <x v="0"/>
    <x v="0"/>
    <x v="0"/>
    <x v="0"/>
    <x v="0"/>
    <s v="DK1_Rural"/>
    <x v="6"/>
    <x v="67"/>
    <x v="0"/>
    <x v="8"/>
    <n v="20"/>
    <n v="7300"/>
    <n v="26280"/>
  </r>
  <r>
    <x v="0"/>
    <x v="0"/>
    <x v="0"/>
    <x v="0"/>
    <x v="0"/>
    <s v="DK1_Rural"/>
    <x v="6"/>
    <x v="67"/>
    <x v="0"/>
    <x v="9"/>
    <n v="20"/>
    <n v="7300"/>
    <n v="26280"/>
  </r>
  <r>
    <x v="0"/>
    <x v="0"/>
    <x v="0"/>
    <x v="0"/>
    <x v="0"/>
    <s v="DK1_Rural"/>
    <x v="6"/>
    <x v="67"/>
    <x v="0"/>
    <x v="10"/>
    <n v="20"/>
    <n v="7300"/>
    <n v="26280"/>
  </r>
  <r>
    <x v="0"/>
    <x v="0"/>
    <x v="0"/>
    <x v="0"/>
    <x v="0"/>
    <s v="DK1_Rural"/>
    <x v="6"/>
    <x v="67"/>
    <x v="0"/>
    <x v="11"/>
    <n v="20"/>
    <n v="7300"/>
    <n v="26280"/>
  </r>
  <r>
    <x v="0"/>
    <x v="0"/>
    <x v="0"/>
    <x v="0"/>
    <x v="0"/>
    <s v="DK1_Rural"/>
    <x v="6"/>
    <x v="67"/>
    <x v="0"/>
    <x v="12"/>
    <n v="20"/>
    <n v="7300"/>
    <n v="26280"/>
  </r>
  <r>
    <x v="0"/>
    <x v="0"/>
    <x v="0"/>
    <x v="0"/>
    <x v="0"/>
    <s v="DK1_Rural"/>
    <x v="6"/>
    <x v="67"/>
    <x v="0"/>
    <x v="13"/>
    <n v="20"/>
    <n v="7300"/>
    <n v="26280"/>
  </r>
  <r>
    <x v="0"/>
    <x v="0"/>
    <x v="0"/>
    <x v="0"/>
    <x v="0"/>
    <s v="DK1_Rural"/>
    <x v="6"/>
    <x v="67"/>
    <x v="0"/>
    <x v="14"/>
    <n v="20"/>
    <n v="7300"/>
    <n v="26280"/>
  </r>
  <r>
    <x v="0"/>
    <x v="0"/>
    <x v="0"/>
    <x v="0"/>
    <x v="0"/>
    <s v="DK1_Rural"/>
    <x v="6"/>
    <x v="67"/>
    <x v="0"/>
    <x v="15"/>
    <n v="20"/>
    <n v="7300"/>
    <n v="26280"/>
  </r>
  <r>
    <x v="0"/>
    <x v="0"/>
    <x v="0"/>
    <x v="0"/>
    <x v="0"/>
    <s v="DK1_Rural"/>
    <x v="6"/>
    <x v="67"/>
    <x v="0"/>
    <x v="16"/>
    <n v="20"/>
    <n v="7300"/>
    <n v="26280"/>
  </r>
  <r>
    <x v="0"/>
    <x v="0"/>
    <x v="0"/>
    <x v="0"/>
    <x v="0"/>
    <s v="DK1_Rural"/>
    <x v="6"/>
    <x v="67"/>
    <x v="0"/>
    <x v="17"/>
    <n v="20"/>
    <n v="7300"/>
    <n v="26280"/>
  </r>
  <r>
    <x v="0"/>
    <x v="0"/>
    <x v="0"/>
    <x v="0"/>
    <x v="0"/>
    <s v="DK1_Rural"/>
    <x v="6"/>
    <x v="67"/>
    <x v="0"/>
    <x v="18"/>
    <n v="20"/>
    <n v="7300"/>
    <n v="26280"/>
  </r>
  <r>
    <x v="0"/>
    <x v="0"/>
    <x v="0"/>
    <x v="0"/>
    <x v="0"/>
    <s v="DK1_Rural"/>
    <x v="6"/>
    <x v="67"/>
    <x v="0"/>
    <x v="19"/>
    <n v="20"/>
    <n v="7300"/>
    <n v="26280"/>
  </r>
  <r>
    <x v="0"/>
    <x v="0"/>
    <x v="0"/>
    <x v="0"/>
    <x v="0"/>
    <s v="DK1_Rural"/>
    <x v="6"/>
    <x v="67"/>
    <x v="0"/>
    <x v="20"/>
    <n v="20"/>
    <n v="7300"/>
    <n v="26280"/>
  </r>
  <r>
    <x v="0"/>
    <x v="0"/>
    <x v="0"/>
    <x v="0"/>
    <x v="0"/>
    <s v="DK1_Rural"/>
    <x v="6"/>
    <x v="67"/>
    <x v="0"/>
    <x v="21"/>
    <n v="20"/>
    <n v="7300"/>
    <n v="26280"/>
  </r>
  <r>
    <x v="0"/>
    <x v="0"/>
    <x v="0"/>
    <x v="0"/>
    <x v="0"/>
    <s v="DK1_Rural"/>
    <x v="6"/>
    <x v="67"/>
    <x v="0"/>
    <x v="22"/>
    <n v="20"/>
    <n v="7300"/>
    <n v="26280"/>
  </r>
  <r>
    <x v="0"/>
    <x v="0"/>
    <x v="0"/>
    <x v="0"/>
    <x v="0"/>
    <s v="DK1_Rural"/>
    <x v="6"/>
    <x v="67"/>
    <x v="0"/>
    <x v="23"/>
    <n v="20"/>
    <n v="7300"/>
    <n v="26280"/>
  </r>
  <r>
    <x v="0"/>
    <x v="0"/>
    <x v="0"/>
    <x v="0"/>
    <x v="0"/>
    <s v="DK1_Rural"/>
    <x v="6"/>
    <x v="68"/>
    <x v="0"/>
    <x v="0"/>
    <n v="4.4117647058823497"/>
    <n v="1610.2941176470599"/>
    <n v="5797.0588235294099"/>
  </r>
  <r>
    <x v="0"/>
    <x v="0"/>
    <x v="0"/>
    <x v="0"/>
    <x v="0"/>
    <s v="DK1_Rural"/>
    <x v="6"/>
    <x v="68"/>
    <x v="0"/>
    <x v="1"/>
    <n v="4.4117647058823497"/>
    <n v="1610.2941176470599"/>
    <n v="5797.0588235294099"/>
  </r>
  <r>
    <x v="0"/>
    <x v="0"/>
    <x v="0"/>
    <x v="0"/>
    <x v="0"/>
    <s v="DK1_Rural"/>
    <x v="6"/>
    <x v="68"/>
    <x v="0"/>
    <x v="2"/>
    <n v="4.4117647058823497"/>
    <n v="1610.2941176470599"/>
    <n v="5797.0588235294099"/>
  </r>
  <r>
    <x v="0"/>
    <x v="0"/>
    <x v="0"/>
    <x v="0"/>
    <x v="0"/>
    <s v="DK1_Rural"/>
    <x v="6"/>
    <x v="68"/>
    <x v="0"/>
    <x v="3"/>
    <n v="4.4117647058823497"/>
    <n v="1610.2941176470599"/>
    <n v="5797.0588235294099"/>
  </r>
  <r>
    <x v="0"/>
    <x v="0"/>
    <x v="0"/>
    <x v="0"/>
    <x v="0"/>
    <s v="DK1_Rural"/>
    <x v="6"/>
    <x v="68"/>
    <x v="0"/>
    <x v="4"/>
    <n v="4.4117647058823497"/>
    <n v="1610.2941176470599"/>
    <n v="5797.0588235294099"/>
  </r>
  <r>
    <x v="0"/>
    <x v="0"/>
    <x v="0"/>
    <x v="0"/>
    <x v="0"/>
    <s v="DK1_Rural"/>
    <x v="6"/>
    <x v="68"/>
    <x v="0"/>
    <x v="5"/>
    <n v="4.4117647058823497"/>
    <n v="1610.2941176470599"/>
    <n v="5797.0588235294099"/>
  </r>
  <r>
    <x v="0"/>
    <x v="0"/>
    <x v="0"/>
    <x v="0"/>
    <x v="0"/>
    <s v="DK1_Rural"/>
    <x v="6"/>
    <x v="68"/>
    <x v="0"/>
    <x v="6"/>
    <n v="4.4117647058823497"/>
    <n v="1610.2941176470599"/>
    <n v="5797.0588235294099"/>
  </r>
  <r>
    <x v="0"/>
    <x v="0"/>
    <x v="0"/>
    <x v="0"/>
    <x v="0"/>
    <s v="DK1_Rural"/>
    <x v="6"/>
    <x v="68"/>
    <x v="0"/>
    <x v="7"/>
    <n v="4.4117647058823497"/>
    <n v="1610.2941176470599"/>
    <n v="5797.0588235294099"/>
  </r>
  <r>
    <x v="0"/>
    <x v="0"/>
    <x v="0"/>
    <x v="0"/>
    <x v="0"/>
    <s v="DK1_Rural"/>
    <x v="6"/>
    <x v="68"/>
    <x v="0"/>
    <x v="8"/>
    <n v="4.4117647058823497"/>
    <n v="1610.2941176470599"/>
    <n v="5797.0588235294099"/>
  </r>
  <r>
    <x v="0"/>
    <x v="0"/>
    <x v="0"/>
    <x v="0"/>
    <x v="0"/>
    <s v="DK1_Rural"/>
    <x v="6"/>
    <x v="68"/>
    <x v="0"/>
    <x v="9"/>
    <n v="4.4117647058823497"/>
    <n v="1610.2941176470599"/>
    <n v="5797.0588235294099"/>
  </r>
  <r>
    <x v="0"/>
    <x v="0"/>
    <x v="0"/>
    <x v="0"/>
    <x v="0"/>
    <s v="DK1_Rural"/>
    <x v="6"/>
    <x v="68"/>
    <x v="0"/>
    <x v="10"/>
    <n v="4.4117647058823497"/>
    <n v="1610.2941176470599"/>
    <n v="5797.0588235294099"/>
  </r>
  <r>
    <x v="0"/>
    <x v="0"/>
    <x v="0"/>
    <x v="0"/>
    <x v="0"/>
    <s v="DK1_Rural"/>
    <x v="6"/>
    <x v="68"/>
    <x v="0"/>
    <x v="11"/>
    <n v="4.4117647058823497"/>
    <n v="1610.2941176470599"/>
    <n v="5797.0588235294099"/>
  </r>
  <r>
    <x v="0"/>
    <x v="0"/>
    <x v="0"/>
    <x v="0"/>
    <x v="0"/>
    <s v="DK1_Rural"/>
    <x v="6"/>
    <x v="68"/>
    <x v="0"/>
    <x v="12"/>
    <n v="4.4117647058823497"/>
    <n v="1610.2941176470599"/>
    <n v="5797.0588235294099"/>
  </r>
  <r>
    <x v="0"/>
    <x v="0"/>
    <x v="0"/>
    <x v="0"/>
    <x v="0"/>
    <s v="DK1_Rural"/>
    <x v="6"/>
    <x v="68"/>
    <x v="0"/>
    <x v="13"/>
    <n v="4.4117647058823497"/>
    <n v="1610.2941176470599"/>
    <n v="5797.0588235294099"/>
  </r>
  <r>
    <x v="0"/>
    <x v="0"/>
    <x v="0"/>
    <x v="0"/>
    <x v="0"/>
    <s v="DK1_Rural"/>
    <x v="6"/>
    <x v="68"/>
    <x v="0"/>
    <x v="14"/>
    <n v="4.4117647058823497"/>
    <n v="1610.2941176470599"/>
    <n v="5797.0588235294099"/>
  </r>
  <r>
    <x v="0"/>
    <x v="0"/>
    <x v="0"/>
    <x v="0"/>
    <x v="0"/>
    <s v="DK1_Rural"/>
    <x v="6"/>
    <x v="68"/>
    <x v="0"/>
    <x v="15"/>
    <n v="4.4117647058823497"/>
    <n v="1610.2941176470599"/>
    <n v="5797.0588235294099"/>
  </r>
  <r>
    <x v="0"/>
    <x v="0"/>
    <x v="0"/>
    <x v="0"/>
    <x v="0"/>
    <s v="DK1_Rural"/>
    <x v="6"/>
    <x v="68"/>
    <x v="0"/>
    <x v="16"/>
    <n v="4.4117647058823497"/>
    <n v="1610.2941176470599"/>
    <n v="5797.0588235294099"/>
  </r>
  <r>
    <x v="0"/>
    <x v="0"/>
    <x v="0"/>
    <x v="0"/>
    <x v="0"/>
    <s v="DK1_Rural"/>
    <x v="6"/>
    <x v="68"/>
    <x v="0"/>
    <x v="17"/>
    <n v="4.4117647058823497"/>
    <n v="1610.2941176470599"/>
    <n v="5797.0588235294099"/>
  </r>
  <r>
    <x v="0"/>
    <x v="0"/>
    <x v="0"/>
    <x v="0"/>
    <x v="0"/>
    <s v="DK1_Rural"/>
    <x v="6"/>
    <x v="68"/>
    <x v="0"/>
    <x v="18"/>
    <n v="4.4117647058823497"/>
    <n v="1610.2941176470599"/>
    <n v="5797.0588235294099"/>
  </r>
  <r>
    <x v="0"/>
    <x v="0"/>
    <x v="0"/>
    <x v="0"/>
    <x v="0"/>
    <s v="DK1_Rural"/>
    <x v="6"/>
    <x v="68"/>
    <x v="0"/>
    <x v="19"/>
    <n v="4.4117647058823497"/>
    <n v="1610.2941176470599"/>
    <n v="5797.0588235294099"/>
  </r>
  <r>
    <x v="0"/>
    <x v="0"/>
    <x v="0"/>
    <x v="0"/>
    <x v="0"/>
    <s v="DK1_Rural"/>
    <x v="6"/>
    <x v="68"/>
    <x v="0"/>
    <x v="20"/>
    <n v="4.4117647058823497"/>
    <n v="1610.2941176470599"/>
    <n v="5797.0588235294099"/>
  </r>
  <r>
    <x v="0"/>
    <x v="0"/>
    <x v="0"/>
    <x v="0"/>
    <x v="0"/>
    <s v="DK1_Rural"/>
    <x v="6"/>
    <x v="68"/>
    <x v="0"/>
    <x v="21"/>
    <n v="4.4117647058823497"/>
    <n v="1610.2941176470599"/>
    <n v="5797.0588235294099"/>
  </r>
  <r>
    <x v="0"/>
    <x v="0"/>
    <x v="0"/>
    <x v="0"/>
    <x v="0"/>
    <s v="DK1_Rural"/>
    <x v="6"/>
    <x v="68"/>
    <x v="0"/>
    <x v="22"/>
    <n v="4.4117647058823497"/>
    <n v="1610.2941176470599"/>
    <n v="5797.0588235294099"/>
  </r>
  <r>
    <x v="0"/>
    <x v="0"/>
    <x v="0"/>
    <x v="0"/>
    <x v="0"/>
    <s v="DK1_Rural"/>
    <x v="6"/>
    <x v="68"/>
    <x v="0"/>
    <x v="23"/>
    <n v="4.4117647058823497"/>
    <n v="1610.2941176470599"/>
    <n v="5797.0588235294099"/>
  </r>
  <r>
    <x v="0"/>
    <x v="0"/>
    <x v="0"/>
    <x v="0"/>
    <x v="0"/>
    <s v="DK1_Rural"/>
    <x v="6"/>
    <x v="51"/>
    <x v="0"/>
    <x v="0"/>
    <n v="17.407407407407501"/>
    <n v="6353.7037037037198"/>
    <n v="22873.333333333401"/>
  </r>
  <r>
    <x v="0"/>
    <x v="0"/>
    <x v="0"/>
    <x v="0"/>
    <x v="0"/>
    <s v="DK1_Rural"/>
    <x v="6"/>
    <x v="51"/>
    <x v="0"/>
    <x v="1"/>
    <n v="17.407407407407501"/>
    <n v="6353.7037037037198"/>
    <n v="22873.333333333401"/>
  </r>
  <r>
    <x v="0"/>
    <x v="0"/>
    <x v="0"/>
    <x v="0"/>
    <x v="0"/>
    <s v="DK1_Rural"/>
    <x v="6"/>
    <x v="51"/>
    <x v="0"/>
    <x v="2"/>
    <n v="17.407407407407501"/>
    <n v="6353.7037037037198"/>
    <n v="22873.333333333401"/>
  </r>
  <r>
    <x v="0"/>
    <x v="0"/>
    <x v="0"/>
    <x v="0"/>
    <x v="0"/>
    <s v="DK1_Rural"/>
    <x v="6"/>
    <x v="51"/>
    <x v="0"/>
    <x v="3"/>
    <n v="17.407407407407501"/>
    <n v="6353.7037037037198"/>
    <n v="22873.333333333401"/>
  </r>
  <r>
    <x v="0"/>
    <x v="0"/>
    <x v="0"/>
    <x v="0"/>
    <x v="0"/>
    <s v="DK1_Rural"/>
    <x v="6"/>
    <x v="51"/>
    <x v="0"/>
    <x v="4"/>
    <n v="17.407407407407501"/>
    <n v="6353.7037037037198"/>
    <n v="22873.333333333401"/>
  </r>
  <r>
    <x v="0"/>
    <x v="0"/>
    <x v="0"/>
    <x v="0"/>
    <x v="0"/>
    <s v="DK1_Rural"/>
    <x v="6"/>
    <x v="51"/>
    <x v="0"/>
    <x v="5"/>
    <n v="17.407407407407501"/>
    <n v="6353.7037037037198"/>
    <n v="22873.333333333401"/>
  </r>
  <r>
    <x v="0"/>
    <x v="0"/>
    <x v="0"/>
    <x v="0"/>
    <x v="0"/>
    <s v="DK1_Rural"/>
    <x v="6"/>
    <x v="51"/>
    <x v="0"/>
    <x v="6"/>
    <n v="17.407407407407501"/>
    <n v="6353.7037037037198"/>
    <n v="22873.333333333401"/>
  </r>
  <r>
    <x v="0"/>
    <x v="0"/>
    <x v="0"/>
    <x v="0"/>
    <x v="0"/>
    <s v="DK1_Rural"/>
    <x v="6"/>
    <x v="51"/>
    <x v="0"/>
    <x v="7"/>
    <n v="17.407407407407501"/>
    <n v="6353.7037037037198"/>
    <n v="22873.333333333401"/>
  </r>
  <r>
    <x v="0"/>
    <x v="0"/>
    <x v="0"/>
    <x v="0"/>
    <x v="0"/>
    <s v="DK1_Rural"/>
    <x v="6"/>
    <x v="51"/>
    <x v="0"/>
    <x v="8"/>
    <n v="17.407407407407501"/>
    <n v="6353.7037037037198"/>
    <n v="22873.333333333401"/>
  </r>
  <r>
    <x v="0"/>
    <x v="0"/>
    <x v="0"/>
    <x v="0"/>
    <x v="0"/>
    <s v="DK1_Rural"/>
    <x v="6"/>
    <x v="51"/>
    <x v="0"/>
    <x v="9"/>
    <n v="17.407407407407501"/>
    <n v="6353.7037037037198"/>
    <n v="22873.333333333401"/>
  </r>
  <r>
    <x v="0"/>
    <x v="0"/>
    <x v="0"/>
    <x v="0"/>
    <x v="0"/>
    <s v="DK1_Rural"/>
    <x v="6"/>
    <x v="51"/>
    <x v="0"/>
    <x v="10"/>
    <n v="17.407407407407501"/>
    <n v="6353.7037037037198"/>
    <n v="22873.333333333401"/>
  </r>
  <r>
    <x v="0"/>
    <x v="0"/>
    <x v="0"/>
    <x v="0"/>
    <x v="0"/>
    <s v="DK1_Rural"/>
    <x v="6"/>
    <x v="51"/>
    <x v="0"/>
    <x v="11"/>
    <n v="17.407407407407501"/>
    <n v="6353.7037037037198"/>
    <n v="22873.333333333401"/>
  </r>
  <r>
    <x v="0"/>
    <x v="0"/>
    <x v="0"/>
    <x v="0"/>
    <x v="0"/>
    <s v="DK1_Rural"/>
    <x v="6"/>
    <x v="51"/>
    <x v="0"/>
    <x v="12"/>
    <n v="17.407407407407501"/>
    <n v="6353.7037037037198"/>
    <n v="22873.333333333401"/>
  </r>
  <r>
    <x v="0"/>
    <x v="0"/>
    <x v="0"/>
    <x v="0"/>
    <x v="0"/>
    <s v="DK1_Rural"/>
    <x v="6"/>
    <x v="51"/>
    <x v="0"/>
    <x v="13"/>
    <n v="17.407407407407501"/>
    <n v="6353.7037037037198"/>
    <n v="22873.333333333401"/>
  </r>
  <r>
    <x v="0"/>
    <x v="0"/>
    <x v="0"/>
    <x v="0"/>
    <x v="0"/>
    <s v="DK1_Rural"/>
    <x v="6"/>
    <x v="51"/>
    <x v="0"/>
    <x v="14"/>
    <n v="17.407407407407501"/>
    <n v="6353.7037037037198"/>
    <n v="22873.333333333401"/>
  </r>
  <r>
    <x v="0"/>
    <x v="0"/>
    <x v="0"/>
    <x v="0"/>
    <x v="0"/>
    <s v="DK1_Rural"/>
    <x v="6"/>
    <x v="51"/>
    <x v="0"/>
    <x v="15"/>
    <n v="17.407407407407501"/>
    <n v="6353.7037037037198"/>
    <n v="22873.333333333401"/>
  </r>
  <r>
    <x v="0"/>
    <x v="0"/>
    <x v="0"/>
    <x v="0"/>
    <x v="0"/>
    <s v="DK1_Rural"/>
    <x v="6"/>
    <x v="51"/>
    <x v="0"/>
    <x v="16"/>
    <n v="17.407407407407501"/>
    <n v="6353.7037037037198"/>
    <n v="22873.333333333401"/>
  </r>
  <r>
    <x v="0"/>
    <x v="0"/>
    <x v="0"/>
    <x v="0"/>
    <x v="0"/>
    <s v="DK1_Rural"/>
    <x v="6"/>
    <x v="51"/>
    <x v="0"/>
    <x v="17"/>
    <n v="17.407407407407501"/>
    <n v="6353.7037037037198"/>
    <n v="22873.333333333401"/>
  </r>
  <r>
    <x v="0"/>
    <x v="0"/>
    <x v="0"/>
    <x v="0"/>
    <x v="0"/>
    <s v="DK1_Rural"/>
    <x v="6"/>
    <x v="51"/>
    <x v="0"/>
    <x v="18"/>
    <n v="17.407407407407501"/>
    <n v="6353.7037037037198"/>
    <n v="22873.333333333401"/>
  </r>
  <r>
    <x v="0"/>
    <x v="0"/>
    <x v="0"/>
    <x v="0"/>
    <x v="0"/>
    <s v="DK1_Rural"/>
    <x v="6"/>
    <x v="51"/>
    <x v="0"/>
    <x v="19"/>
    <n v="17.407407407407501"/>
    <n v="6353.7037037037198"/>
    <n v="22873.333333333401"/>
  </r>
  <r>
    <x v="0"/>
    <x v="0"/>
    <x v="0"/>
    <x v="0"/>
    <x v="0"/>
    <s v="DK1_Rural"/>
    <x v="6"/>
    <x v="51"/>
    <x v="0"/>
    <x v="20"/>
    <n v="17.407407407407501"/>
    <n v="6353.7037037037198"/>
    <n v="22873.333333333401"/>
  </r>
  <r>
    <x v="0"/>
    <x v="0"/>
    <x v="0"/>
    <x v="0"/>
    <x v="0"/>
    <s v="DK1_Rural"/>
    <x v="6"/>
    <x v="51"/>
    <x v="0"/>
    <x v="21"/>
    <n v="17.407407407407501"/>
    <n v="6353.7037037037198"/>
    <n v="22873.333333333401"/>
  </r>
  <r>
    <x v="0"/>
    <x v="0"/>
    <x v="0"/>
    <x v="0"/>
    <x v="0"/>
    <s v="DK1_Rural"/>
    <x v="6"/>
    <x v="51"/>
    <x v="0"/>
    <x v="22"/>
    <n v="17.407407407407501"/>
    <n v="6353.7037037037198"/>
    <n v="22873.333333333401"/>
  </r>
  <r>
    <x v="0"/>
    <x v="0"/>
    <x v="0"/>
    <x v="0"/>
    <x v="0"/>
    <s v="DK1_Rural"/>
    <x v="6"/>
    <x v="51"/>
    <x v="0"/>
    <x v="23"/>
    <n v="17.407407407407501"/>
    <n v="6353.7037037037198"/>
    <n v="22873.333333333401"/>
  </r>
  <r>
    <x v="0"/>
    <x v="0"/>
    <x v="0"/>
    <x v="0"/>
    <x v="0"/>
    <s v="DK1_Rural"/>
    <x v="7"/>
    <x v="69"/>
    <x v="0"/>
    <x v="0"/>
    <n v="6.3666666666666698"/>
    <n v="2323.8333333333298"/>
    <n v="8365.7999999999993"/>
  </r>
  <r>
    <x v="0"/>
    <x v="0"/>
    <x v="0"/>
    <x v="0"/>
    <x v="0"/>
    <s v="DK1_Rural"/>
    <x v="7"/>
    <x v="69"/>
    <x v="0"/>
    <x v="1"/>
    <n v="6.3666666666666698"/>
    <n v="2323.8333333333298"/>
    <n v="8365.7999999999993"/>
  </r>
  <r>
    <x v="0"/>
    <x v="0"/>
    <x v="0"/>
    <x v="0"/>
    <x v="0"/>
    <s v="DK1_Rural"/>
    <x v="7"/>
    <x v="69"/>
    <x v="0"/>
    <x v="2"/>
    <n v="6.3666666666666698"/>
    <n v="2323.8333333333298"/>
    <n v="8365.7999999999993"/>
  </r>
  <r>
    <x v="0"/>
    <x v="0"/>
    <x v="0"/>
    <x v="0"/>
    <x v="0"/>
    <s v="DK1_Rural"/>
    <x v="7"/>
    <x v="69"/>
    <x v="0"/>
    <x v="3"/>
    <n v="6.3666666666666698"/>
    <n v="2323.8333333333298"/>
    <n v="8365.7999999999993"/>
  </r>
  <r>
    <x v="0"/>
    <x v="0"/>
    <x v="0"/>
    <x v="0"/>
    <x v="0"/>
    <s v="DK1_Rural"/>
    <x v="7"/>
    <x v="69"/>
    <x v="0"/>
    <x v="4"/>
    <n v="6.3666666666666698"/>
    <n v="2323.8333333333298"/>
    <n v="8365.7999999999993"/>
  </r>
  <r>
    <x v="0"/>
    <x v="0"/>
    <x v="0"/>
    <x v="0"/>
    <x v="0"/>
    <s v="DK1_Rural"/>
    <x v="7"/>
    <x v="69"/>
    <x v="0"/>
    <x v="5"/>
    <n v="6.3666666666666698"/>
    <n v="2323.8333333333298"/>
    <n v="8365.7999999999993"/>
  </r>
  <r>
    <x v="0"/>
    <x v="0"/>
    <x v="0"/>
    <x v="0"/>
    <x v="0"/>
    <s v="DK1_Rural"/>
    <x v="7"/>
    <x v="69"/>
    <x v="0"/>
    <x v="6"/>
    <n v="6.3666666666666698"/>
    <n v="2323.8333333333298"/>
    <n v="8365.7999999999993"/>
  </r>
  <r>
    <x v="0"/>
    <x v="0"/>
    <x v="0"/>
    <x v="0"/>
    <x v="0"/>
    <s v="DK1_Rural"/>
    <x v="7"/>
    <x v="69"/>
    <x v="0"/>
    <x v="7"/>
    <n v="6.3666666666666698"/>
    <n v="2323.8333333333298"/>
    <n v="8365.7999999999993"/>
  </r>
  <r>
    <x v="0"/>
    <x v="0"/>
    <x v="0"/>
    <x v="0"/>
    <x v="0"/>
    <s v="DK1_Rural"/>
    <x v="7"/>
    <x v="69"/>
    <x v="0"/>
    <x v="8"/>
    <n v="6.3666666666666698"/>
    <n v="2323.8333333333298"/>
    <n v="8365.7999999999993"/>
  </r>
  <r>
    <x v="0"/>
    <x v="0"/>
    <x v="0"/>
    <x v="0"/>
    <x v="0"/>
    <s v="DK1_Rural"/>
    <x v="7"/>
    <x v="69"/>
    <x v="0"/>
    <x v="9"/>
    <n v="6.3666666666666698"/>
    <n v="2323.8333333333298"/>
    <n v="8365.7999999999993"/>
  </r>
  <r>
    <x v="0"/>
    <x v="0"/>
    <x v="0"/>
    <x v="0"/>
    <x v="0"/>
    <s v="DK1_Rural"/>
    <x v="7"/>
    <x v="69"/>
    <x v="0"/>
    <x v="10"/>
    <n v="6.3666666666666698"/>
    <n v="2323.8333333333298"/>
    <n v="8365.7999999999993"/>
  </r>
  <r>
    <x v="0"/>
    <x v="0"/>
    <x v="0"/>
    <x v="0"/>
    <x v="0"/>
    <s v="DK1_Rural"/>
    <x v="7"/>
    <x v="69"/>
    <x v="0"/>
    <x v="11"/>
    <n v="6.3666666666666698"/>
    <n v="2323.8333333333298"/>
    <n v="8365.7999999999993"/>
  </r>
  <r>
    <x v="0"/>
    <x v="0"/>
    <x v="0"/>
    <x v="0"/>
    <x v="0"/>
    <s v="DK1_Rural"/>
    <x v="7"/>
    <x v="69"/>
    <x v="0"/>
    <x v="12"/>
    <n v="6.3666666666666698"/>
    <n v="2323.8333333333298"/>
    <n v="8365.7999999999993"/>
  </r>
  <r>
    <x v="0"/>
    <x v="0"/>
    <x v="0"/>
    <x v="0"/>
    <x v="0"/>
    <s v="DK1_Rural"/>
    <x v="7"/>
    <x v="69"/>
    <x v="0"/>
    <x v="13"/>
    <n v="6.3666666666666698"/>
    <n v="2323.8333333333298"/>
    <n v="8365.7999999999993"/>
  </r>
  <r>
    <x v="0"/>
    <x v="0"/>
    <x v="0"/>
    <x v="0"/>
    <x v="0"/>
    <s v="DK1_Rural"/>
    <x v="7"/>
    <x v="69"/>
    <x v="0"/>
    <x v="14"/>
    <n v="6.3666666666666698"/>
    <n v="2323.8333333333298"/>
    <n v="8365.7999999999993"/>
  </r>
  <r>
    <x v="0"/>
    <x v="0"/>
    <x v="0"/>
    <x v="0"/>
    <x v="0"/>
    <s v="DK1_Rural"/>
    <x v="7"/>
    <x v="69"/>
    <x v="0"/>
    <x v="15"/>
    <n v="6.3666666666666698"/>
    <n v="2323.8333333333298"/>
    <n v="8365.7999999999993"/>
  </r>
  <r>
    <x v="0"/>
    <x v="0"/>
    <x v="0"/>
    <x v="0"/>
    <x v="0"/>
    <s v="DK1_Rural"/>
    <x v="7"/>
    <x v="69"/>
    <x v="0"/>
    <x v="16"/>
    <n v="6.3666666666666698"/>
    <n v="2323.8333333333298"/>
    <n v="8365.7999999999993"/>
  </r>
  <r>
    <x v="0"/>
    <x v="0"/>
    <x v="0"/>
    <x v="0"/>
    <x v="0"/>
    <s v="DK1_Rural"/>
    <x v="7"/>
    <x v="69"/>
    <x v="0"/>
    <x v="17"/>
    <n v="6.3666666666666698"/>
    <n v="2323.8333333333298"/>
    <n v="8365.7999999999993"/>
  </r>
  <r>
    <x v="0"/>
    <x v="0"/>
    <x v="0"/>
    <x v="0"/>
    <x v="0"/>
    <s v="DK1_Rural"/>
    <x v="7"/>
    <x v="69"/>
    <x v="0"/>
    <x v="18"/>
    <n v="6.3666666666666698"/>
    <n v="2323.8333333333298"/>
    <n v="8365.7999999999993"/>
  </r>
  <r>
    <x v="0"/>
    <x v="0"/>
    <x v="0"/>
    <x v="0"/>
    <x v="0"/>
    <s v="DK1_Rural"/>
    <x v="7"/>
    <x v="69"/>
    <x v="0"/>
    <x v="19"/>
    <n v="6.3666666666666698"/>
    <n v="2323.8333333333298"/>
    <n v="8365.7999999999993"/>
  </r>
  <r>
    <x v="0"/>
    <x v="0"/>
    <x v="0"/>
    <x v="0"/>
    <x v="0"/>
    <s v="DK1_Rural"/>
    <x v="7"/>
    <x v="69"/>
    <x v="0"/>
    <x v="20"/>
    <n v="6.3666666666666698"/>
    <n v="2323.8333333333298"/>
    <n v="8365.7999999999993"/>
  </r>
  <r>
    <x v="0"/>
    <x v="0"/>
    <x v="0"/>
    <x v="0"/>
    <x v="0"/>
    <s v="DK1_Rural"/>
    <x v="7"/>
    <x v="69"/>
    <x v="0"/>
    <x v="21"/>
    <n v="6.3666666666666698"/>
    <n v="2323.8333333333298"/>
    <n v="8365.7999999999993"/>
  </r>
  <r>
    <x v="0"/>
    <x v="0"/>
    <x v="0"/>
    <x v="0"/>
    <x v="0"/>
    <s v="DK1_Rural"/>
    <x v="7"/>
    <x v="69"/>
    <x v="0"/>
    <x v="22"/>
    <n v="6.3666666666666698"/>
    <n v="2323.8333333333298"/>
    <n v="8365.7999999999993"/>
  </r>
  <r>
    <x v="0"/>
    <x v="0"/>
    <x v="0"/>
    <x v="0"/>
    <x v="0"/>
    <s v="DK1_Rural"/>
    <x v="7"/>
    <x v="69"/>
    <x v="0"/>
    <x v="23"/>
    <n v="6.3666666666666698"/>
    <n v="2323.8333333333298"/>
    <n v="8365.7999999999993"/>
  </r>
  <r>
    <x v="0"/>
    <x v="0"/>
    <x v="0"/>
    <x v="0"/>
    <x v="0"/>
    <s v="DK1_Rural"/>
    <x v="11"/>
    <x v="70"/>
    <x v="0"/>
    <x v="0"/>
    <n v="30.75"/>
    <n v="11223.75"/>
    <n v="40405.5"/>
  </r>
  <r>
    <x v="0"/>
    <x v="0"/>
    <x v="0"/>
    <x v="0"/>
    <x v="0"/>
    <s v="DK1_Rural"/>
    <x v="11"/>
    <x v="70"/>
    <x v="0"/>
    <x v="1"/>
    <n v="30.75"/>
    <n v="11223.75"/>
    <n v="40405.5"/>
  </r>
  <r>
    <x v="0"/>
    <x v="0"/>
    <x v="0"/>
    <x v="0"/>
    <x v="0"/>
    <s v="DK1_Rural"/>
    <x v="11"/>
    <x v="70"/>
    <x v="0"/>
    <x v="2"/>
    <n v="30.75"/>
    <n v="11223.75"/>
    <n v="40405.5"/>
  </r>
  <r>
    <x v="0"/>
    <x v="0"/>
    <x v="0"/>
    <x v="0"/>
    <x v="0"/>
    <s v="DK1_Rural"/>
    <x v="11"/>
    <x v="70"/>
    <x v="0"/>
    <x v="3"/>
    <n v="30.75"/>
    <n v="11223.75"/>
    <n v="40405.5"/>
  </r>
  <r>
    <x v="0"/>
    <x v="0"/>
    <x v="0"/>
    <x v="0"/>
    <x v="0"/>
    <s v="DK1_Rural"/>
    <x v="11"/>
    <x v="70"/>
    <x v="0"/>
    <x v="4"/>
    <n v="30.75"/>
    <n v="11223.75"/>
    <n v="40405.5"/>
  </r>
  <r>
    <x v="0"/>
    <x v="0"/>
    <x v="0"/>
    <x v="0"/>
    <x v="0"/>
    <s v="DK1_Rural"/>
    <x v="11"/>
    <x v="70"/>
    <x v="0"/>
    <x v="5"/>
    <n v="30.75"/>
    <n v="11223.75"/>
    <n v="40405.5"/>
  </r>
  <r>
    <x v="0"/>
    <x v="0"/>
    <x v="0"/>
    <x v="0"/>
    <x v="0"/>
    <s v="DK1_Rural"/>
    <x v="11"/>
    <x v="70"/>
    <x v="0"/>
    <x v="6"/>
    <n v="30.75"/>
    <n v="11223.75"/>
    <n v="40405.5"/>
  </r>
  <r>
    <x v="0"/>
    <x v="0"/>
    <x v="0"/>
    <x v="0"/>
    <x v="0"/>
    <s v="DK1_Rural"/>
    <x v="11"/>
    <x v="70"/>
    <x v="0"/>
    <x v="7"/>
    <n v="30.75"/>
    <n v="11223.75"/>
    <n v="40405.5"/>
  </r>
  <r>
    <x v="0"/>
    <x v="0"/>
    <x v="0"/>
    <x v="0"/>
    <x v="0"/>
    <s v="DK1_Rural"/>
    <x v="11"/>
    <x v="70"/>
    <x v="0"/>
    <x v="8"/>
    <n v="30.75"/>
    <n v="11223.75"/>
    <n v="40405.5"/>
  </r>
  <r>
    <x v="0"/>
    <x v="0"/>
    <x v="0"/>
    <x v="0"/>
    <x v="0"/>
    <s v="DK1_Rural"/>
    <x v="11"/>
    <x v="70"/>
    <x v="0"/>
    <x v="9"/>
    <n v="30.75"/>
    <n v="11223.75"/>
    <n v="40405.5"/>
  </r>
  <r>
    <x v="0"/>
    <x v="0"/>
    <x v="0"/>
    <x v="0"/>
    <x v="0"/>
    <s v="DK1_Rural"/>
    <x v="11"/>
    <x v="70"/>
    <x v="0"/>
    <x v="10"/>
    <n v="30.75"/>
    <n v="11223.75"/>
    <n v="40405.5"/>
  </r>
  <r>
    <x v="0"/>
    <x v="0"/>
    <x v="0"/>
    <x v="0"/>
    <x v="0"/>
    <s v="DK1_Rural"/>
    <x v="11"/>
    <x v="70"/>
    <x v="0"/>
    <x v="11"/>
    <n v="30.75"/>
    <n v="11223.75"/>
    <n v="40405.5"/>
  </r>
  <r>
    <x v="0"/>
    <x v="0"/>
    <x v="0"/>
    <x v="0"/>
    <x v="0"/>
    <s v="DK1_Rural"/>
    <x v="11"/>
    <x v="70"/>
    <x v="0"/>
    <x v="12"/>
    <n v="30.75"/>
    <n v="11223.75"/>
    <n v="40405.5"/>
  </r>
  <r>
    <x v="0"/>
    <x v="0"/>
    <x v="0"/>
    <x v="0"/>
    <x v="0"/>
    <s v="DK1_Rural"/>
    <x v="11"/>
    <x v="70"/>
    <x v="0"/>
    <x v="13"/>
    <n v="30.75"/>
    <n v="11223.75"/>
    <n v="40405.5"/>
  </r>
  <r>
    <x v="0"/>
    <x v="0"/>
    <x v="0"/>
    <x v="0"/>
    <x v="0"/>
    <s v="DK1_Rural"/>
    <x v="11"/>
    <x v="70"/>
    <x v="0"/>
    <x v="14"/>
    <n v="30.75"/>
    <n v="11223.75"/>
    <n v="40405.5"/>
  </r>
  <r>
    <x v="0"/>
    <x v="0"/>
    <x v="0"/>
    <x v="0"/>
    <x v="0"/>
    <s v="DK1_Rural"/>
    <x v="11"/>
    <x v="70"/>
    <x v="0"/>
    <x v="15"/>
    <n v="30.75"/>
    <n v="11223.75"/>
    <n v="40405.5"/>
  </r>
  <r>
    <x v="0"/>
    <x v="0"/>
    <x v="0"/>
    <x v="0"/>
    <x v="0"/>
    <s v="DK1_Rural"/>
    <x v="11"/>
    <x v="70"/>
    <x v="0"/>
    <x v="16"/>
    <n v="30.75"/>
    <n v="11223.75"/>
    <n v="40405.5"/>
  </r>
  <r>
    <x v="0"/>
    <x v="0"/>
    <x v="0"/>
    <x v="0"/>
    <x v="0"/>
    <s v="DK1_Rural"/>
    <x v="11"/>
    <x v="70"/>
    <x v="0"/>
    <x v="17"/>
    <n v="30.75"/>
    <n v="11223.75"/>
    <n v="40405.5"/>
  </r>
  <r>
    <x v="0"/>
    <x v="0"/>
    <x v="0"/>
    <x v="0"/>
    <x v="0"/>
    <s v="DK1_Rural"/>
    <x v="11"/>
    <x v="70"/>
    <x v="0"/>
    <x v="18"/>
    <n v="30.75"/>
    <n v="11223.75"/>
    <n v="40405.5"/>
  </r>
  <r>
    <x v="0"/>
    <x v="0"/>
    <x v="0"/>
    <x v="0"/>
    <x v="0"/>
    <s v="DK1_Rural"/>
    <x v="11"/>
    <x v="70"/>
    <x v="0"/>
    <x v="19"/>
    <n v="30.75"/>
    <n v="11223.75"/>
    <n v="40405.5"/>
  </r>
  <r>
    <x v="0"/>
    <x v="0"/>
    <x v="0"/>
    <x v="0"/>
    <x v="0"/>
    <s v="DK1_Rural"/>
    <x v="11"/>
    <x v="70"/>
    <x v="0"/>
    <x v="20"/>
    <n v="30.75"/>
    <n v="11223.75"/>
    <n v="40405.5"/>
  </r>
  <r>
    <x v="0"/>
    <x v="0"/>
    <x v="0"/>
    <x v="0"/>
    <x v="0"/>
    <s v="DK1_Rural"/>
    <x v="11"/>
    <x v="70"/>
    <x v="0"/>
    <x v="21"/>
    <n v="30.75"/>
    <n v="11223.75"/>
    <n v="40405.5"/>
  </r>
  <r>
    <x v="0"/>
    <x v="0"/>
    <x v="0"/>
    <x v="0"/>
    <x v="0"/>
    <s v="DK1_Rural"/>
    <x v="11"/>
    <x v="70"/>
    <x v="0"/>
    <x v="22"/>
    <n v="30.75"/>
    <n v="11223.75"/>
    <n v="40405.5"/>
  </r>
  <r>
    <x v="0"/>
    <x v="0"/>
    <x v="0"/>
    <x v="0"/>
    <x v="0"/>
    <s v="DK1_Rural"/>
    <x v="11"/>
    <x v="70"/>
    <x v="0"/>
    <x v="23"/>
    <n v="30.75"/>
    <n v="11223.75"/>
    <n v="40405.5"/>
  </r>
  <r>
    <x v="0"/>
    <x v="0"/>
    <x v="0"/>
    <x v="0"/>
    <x v="0"/>
    <s v="DK1_Rural"/>
    <x v="11"/>
    <x v="71"/>
    <x v="0"/>
    <x v="0"/>
    <n v="3.5087719298245599"/>
    <n v="1280.7017543859599"/>
    <n v="4610.5263157894697"/>
  </r>
  <r>
    <x v="0"/>
    <x v="0"/>
    <x v="0"/>
    <x v="0"/>
    <x v="0"/>
    <s v="DK1_Rural"/>
    <x v="11"/>
    <x v="71"/>
    <x v="0"/>
    <x v="1"/>
    <n v="3.5087719298245599"/>
    <n v="1280.7017543859599"/>
    <n v="4610.5263157894697"/>
  </r>
  <r>
    <x v="0"/>
    <x v="0"/>
    <x v="0"/>
    <x v="0"/>
    <x v="0"/>
    <s v="DK1_Rural"/>
    <x v="11"/>
    <x v="71"/>
    <x v="0"/>
    <x v="2"/>
    <n v="3.5087719298245599"/>
    <n v="1280.7017543859599"/>
    <n v="4610.5263157894697"/>
  </r>
  <r>
    <x v="0"/>
    <x v="0"/>
    <x v="0"/>
    <x v="0"/>
    <x v="0"/>
    <s v="DK1_Rural"/>
    <x v="11"/>
    <x v="71"/>
    <x v="0"/>
    <x v="3"/>
    <n v="3.5087719298245599"/>
    <n v="1280.7017543859599"/>
    <n v="4610.5263157894697"/>
  </r>
  <r>
    <x v="0"/>
    <x v="0"/>
    <x v="0"/>
    <x v="0"/>
    <x v="0"/>
    <s v="DK1_Rural"/>
    <x v="11"/>
    <x v="71"/>
    <x v="0"/>
    <x v="4"/>
    <n v="3.5087719298245599"/>
    <n v="1280.7017543859599"/>
    <n v="4610.5263157894697"/>
  </r>
  <r>
    <x v="0"/>
    <x v="0"/>
    <x v="0"/>
    <x v="0"/>
    <x v="0"/>
    <s v="DK1_Rural"/>
    <x v="11"/>
    <x v="71"/>
    <x v="0"/>
    <x v="5"/>
    <n v="3.5087719298245599"/>
    <n v="1280.7017543859599"/>
    <n v="4610.5263157894697"/>
  </r>
  <r>
    <x v="0"/>
    <x v="0"/>
    <x v="0"/>
    <x v="0"/>
    <x v="0"/>
    <s v="DK1_Rural"/>
    <x v="11"/>
    <x v="71"/>
    <x v="0"/>
    <x v="6"/>
    <n v="3.5087719298245599"/>
    <n v="1280.7017543859599"/>
    <n v="4610.5263157894697"/>
  </r>
  <r>
    <x v="0"/>
    <x v="0"/>
    <x v="0"/>
    <x v="0"/>
    <x v="0"/>
    <s v="DK1_Rural"/>
    <x v="11"/>
    <x v="71"/>
    <x v="0"/>
    <x v="7"/>
    <n v="3.5087719298245599"/>
    <n v="1280.7017543859599"/>
    <n v="4610.5263157894697"/>
  </r>
  <r>
    <x v="0"/>
    <x v="0"/>
    <x v="0"/>
    <x v="0"/>
    <x v="0"/>
    <s v="DK1_Rural"/>
    <x v="11"/>
    <x v="71"/>
    <x v="0"/>
    <x v="8"/>
    <n v="3.5087719298245599"/>
    <n v="1280.7017543859599"/>
    <n v="4610.5263157894697"/>
  </r>
  <r>
    <x v="0"/>
    <x v="0"/>
    <x v="0"/>
    <x v="0"/>
    <x v="0"/>
    <s v="DK1_Rural"/>
    <x v="11"/>
    <x v="71"/>
    <x v="0"/>
    <x v="9"/>
    <n v="3.5087719298245599"/>
    <n v="1280.7017543859599"/>
    <n v="4610.5263157894697"/>
  </r>
  <r>
    <x v="0"/>
    <x v="0"/>
    <x v="0"/>
    <x v="0"/>
    <x v="0"/>
    <s v="DK1_Rural"/>
    <x v="11"/>
    <x v="71"/>
    <x v="0"/>
    <x v="10"/>
    <n v="3.5087719298245599"/>
    <n v="1280.7017543859599"/>
    <n v="4610.5263157894697"/>
  </r>
  <r>
    <x v="0"/>
    <x v="0"/>
    <x v="0"/>
    <x v="0"/>
    <x v="0"/>
    <s v="DK1_Rural"/>
    <x v="11"/>
    <x v="71"/>
    <x v="0"/>
    <x v="11"/>
    <n v="3.5087719298245599"/>
    <n v="1280.7017543859599"/>
    <n v="4610.5263157894697"/>
  </r>
  <r>
    <x v="0"/>
    <x v="0"/>
    <x v="0"/>
    <x v="0"/>
    <x v="0"/>
    <s v="DK1_Rural"/>
    <x v="11"/>
    <x v="71"/>
    <x v="0"/>
    <x v="12"/>
    <n v="3.5087719298245599"/>
    <n v="1280.7017543859599"/>
    <n v="4610.5263157894697"/>
  </r>
  <r>
    <x v="0"/>
    <x v="0"/>
    <x v="0"/>
    <x v="0"/>
    <x v="0"/>
    <s v="DK1_Rural"/>
    <x v="11"/>
    <x v="71"/>
    <x v="0"/>
    <x v="13"/>
    <n v="3.5087719298245599"/>
    <n v="1280.7017543859599"/>
    <n v="4610.5263157894697"/>
  </r>
  <r>
    <x v="0"/>
    <x v="0"/>
    <x v="0"/>
    <x v="0"/>
    <x v="0"/>
    <s v="DK1_Rural"/>
    <x v="11"/>
    <x v="71"/>
    <x v="0"/>
    <x v="14"/>
    <n v="3.5087719298245599"/>
    <n v="1280.7017543859599"/>
    <n v="4610.5263157894697"/>
  </r>
  <r>
    <x v="0"/>
    <x v="0"/>
    <x v="0"/>
    <x v="0"/>
    <x v="0"/>
    <s v="DK1_Rural"/>
    <x v="11"/>
    <x v="71"/>
    <x v="0"/>
    <x v="15"/>
    <n v="3.5087719298245599"/>
    <n v="1280.7017543859599"/>
    <n v="4610.5263157894697"/>
  </r>
  <r>
    <x v="0"/>
    <x v="0"/>
    <x v="0"/>
    <x v="0"/>
    <x v="0"/>
    <s v="DK1_Rural"/>
    <x v="11"/>
    <x v="71"/>
    <x v="0"/>
    <x v="16"/>
    <n v="3.5087719298245599"/>
    <n v="1280.7017543859599"/>
    <n v="4610.5263157894697"/>
  </r>
  <r>
    <x v="0"/>
    <x v="0"/>
    <x v="0"/>
    <x v="0"/>
    <x v="0"/>
    <s v="DK1_Rural"/>
    <x v="11"/>
    <x v="71"/>
    <x v="0"/>
    <x v="17"/>
    <n v="3.5087719298245599"/>
    <n v="1280.7017543859599"/>
    <n v="4610.5263157894697"/>
  </r>
  <r>
    <x v="0"/>
    <x v="0"/>
    <x v="0"/>
    <x v="0"/>
    <x v="0"/>
    <s v="DK1_Rural"/>
    <x v="11"/>
    <x v="71"/>
    <x v="0"/>
    <x v="18"/>
    <n v="3.5087719298245599"/>
    <n v="1280.7017543859599"/>
    <n v="4610.5263157894697"/>
  </r>
  <r>
    <x v="0"/>
    <x v="0"/>
    <x v="0"/>
    <x v="0"/>
    <x v="0"/>
    <s v="DK1_Rural"/>
    <x v="11"/>
    <x v="71"/>
    <x v="0"/>
    <x v="19"/>
    <n v="3.5087719298245599"/>
    <n v="1280.7017543859599"/>
    <n v="4610.5263157894697"/>
  </r>
  <r>
    <x v="0"/>
    <x v="0"/>
    <x v="0"/>
    <x v="0"/>
    <x v="0"/>
    <s v="DK1_Rural"/>
    <x v="11"/>
    <x v="71"/>
    <x v="0"/>
    <x v="20"/>
    <n v="3.5087719298245599"/>
    <n v="1280.7017543859599"/>
    <n v="4610.5263157894697"/>
  </r>
  <r>
    <x v="0"/>
    <x v="0"/>
    <x v="0"/>
    <x v="0"/>
    <x v="0"/>
    <s v="DK1_Rural"/>
    <x v="11"/>
    <x v="71"/>
    <x v="0"/>
    <x v="21"/>
    <n v="3.5087719298245599"/>
    <n v="1280.7017543859599"/>
    <n v="4610.5263157894697"/>
  </r>
  <r>
    <x v="0"/>
    <x v="0"/>
    <x v="0"/>
    <x v="0"/>
    <x v="0"/>
    <s v="DK1_Rural"/>
    <x v="11"/>
    <x v="71"/>
    <x v="0"/>
    <x v="22"/>
    <n v="3.5087719298245599"/>
    <n v="1280.7017543859599"/>
    <n v="4610.5263157894697"/>
  </r>
  <r>
    <x v="0"/>
    <x v="0"/>
    <x v="0"/>
    <x v="0"/>
    <x v="0"/>
    <s v="DK1_Rural"/>
    <x v="11"/>
    <x v="71"/>
    <x v="0"/>
    <x v="23"/>
    <n v="3.5087719298245599"/>
    <n v="1280.7017543859599"/>
    <n v="4610.5263157894697"/>
  </r>
  <r>
    <x v="0"/>
    <x v="0"/>
    <x v="0"/>
    <x v="0"/>
    <x v="0"/>
    <s v="DK1_Rural"/>
    <x v="11"/>
    <x v="72"/>
    <x v="0"/>
    <x v="0"/>
    <n v="6.9166666666666696"/>
    <n v="2524.5833333333298"/>
    <n v="9088.5"/>
  </r>
  <r>
    <x v="0"/>
    <x v="0"/>
    <x v="0"/>
    <x v="0"/>
    <x v="0"/>
    <s v="DK1_Rural"/>
    <x v="11"/>
    <x v="72"/>
    <x v="0"/>
    <x v="1"/>
    <n v="6.9166666666666696"/>
    <n v="2524.5833333333298"/>
    <n v="9088.5"/>
  </r>
  <r>
    <x v="0"/>
    <x v="0"/>
    <x v="0"/>
    <x v="0"/>
    <x v="0"/>
    <s v="DK1_Rural"/>
    <x v="11"/>
    <x v="72"/>
    <x v="0"/>
    <x v="2"/>
    <n v="6.9166666666666696"/>
    <n v="2524.5833333333298"/>
    <n v="9088.5"/>
  </r>
  <r>
    <x v="0"/>
    <x v="0"/>
    <x v="0"/>
    <x v="0"/>
    <x v="0"/>
    <s v="DK1_Rural"/>
    <x v="11"/>
    <x v="72"/>
    <x v="0"/>
    <x v="3"/>
    <n v="6.9166666666666696"/>
    <n v="2524.5833333333298"/>
    <n v="9088.5"/>
  </r>
  <r>
    <x v="0"/>
    <x v="0"/>
    <x v="0"/>
    <x v="0"/>
    <x v="0"/>
    <s v="DK1_Rural"/>
    <x v="11"/>
    <x v="72"/>
    <x v="0"/>
    <x v="4"/>
    <n v="6.9166666666666696"/>
    <n v="2524.5833333333298"/>
    <n v="9088.5"/>
  </r>
  <r>
    <x v="0"/>
    <x v="0"/>
    <x v="0"/>
    <x v="0"/>
    <x v="0"/>
    <s v="DK1_Rural"/>
    <x v="11"/>
    <x v="72"/>
    <x v="0"/>
    <x v="5"/>
    <n v="6.9166666666666696"/>
    <n v="2524.5833333333298"/>
    <n v="9088.5"/>
  </r>
  <r>
    <x v="0"/>
    <x v="0"/>
    <x v="0"/>
    <x v="0"/>
    <x v="0"/>
    <s v="DK1_Rural"/>
    <x v="11"/>
    <x v="72"/>
    <x v="0"/>
    <x v="6"/>
    <n v="6.9166666666666696"/>
    <n v="2524.5833333333298"/>
    <n v="9088.5"/>
  </r>
  <r>
    <x v="0"/>
    <x v="0"/>
    <x v="0"/>
    <x v="0"/>
    <x v="0"/>
    <s v="DK1_Rural"/>
    <x v="11"/>
    <x v="72"/>
    <x v="0"/>
    <x v="7"/>
    <n v="6.9166666666666696"/>
    <n v="2524.5833333333298"/>
    <n v="9088.5"/>
  </r>
  <r>
    <x v="0"/>
    <x v="0"/>
    <x v="0"/>
    <x v="0"/>
    <x v="0"/>
    <s v="DK1_Rural"/>
    <x v="11"/>
    <x v="72"/>
    <x v="0"/>
    <x v="8"/>
    <n v="6.9166666666666696"/>
    <n v="2524.5833333333298"/>
    <n v="9088.5"/>
  </r>
  <r>
    <x v="0"/>
    <x v="0"/>
    <x v="0"/>
    <x v="0"/>
    <x v="0"/>
    <s v="DK1_Rural"/>
    <x v="11"/>
    <x v="72"/>
    <x v="0"/>
    <x v="9"/>
    <n v="6.9166666666666696"/>
    <n v="2524.5833333333298"/>
    <n v="9088.5"/>
  </r>
  <r>
    <x v="0"/>
    <x v="0"/>
    <x v="0"/>
    <x v="0"/>
    <x v="0"/>
    <s v="DK1_Rural"/>
    <x v="11"/>
    <x v="72"/>
    <x v="0"/>
    <x v="10"/>
    <n v="6.9166666666666696"/>
    <n v="2524.5833333333298"/>
    <n v="9088.5"/>
  </r>
  <r>
    <x v="0"/>
    <x v="0"/>
    <x v="0"/>
    <x v="0"/>
    <x v="0"/>
    <s v="DK1_Rural"/>
    <x v="11"/>
    <x v="72"/>
    <x v="0"/>
    <x v="11"/>
    <n v="6.9166666666666696"/>
    <n v="2524.5833333333298"/>
    <n v="9088.5"/>
  </r>
  <r>
    <x v="0"/>
    <x v="0"/>
    <x v="0"/>
    <x v="0"/>
    <x v="0"/>
    <s v="DK1_Rural"/>
    <x v="11"/>
    <x v="72"/>
    <x v="0"/>
    <x v="12"/>
    <n v="6.9166666666666696"/>
    <n v="2524.5833333333298"/>
    <n v="9088.5"/>
  </r>
  <r>
    <x v="0"/>
    <x v="0"/>
    <x v="0"/>
    <x v="0"/>
    <x v="0"/>
    <s v="DK1_Rural"/>
    <x v="11"/>
    <x v="72"/>
    <x v="0"/>
    <x v="13"/>
    <n v="6.9166666666666696"/>
    <n v="2524.5833333333298"/>
    <n v="9088.5"/>
  </r>
  <r>
    <x v="0"/>
    <x v="0"/>
    <x v="0"/>
    <x v="0"/>
    <x v="0"/>
    <s v="DK1_Rural"/>
    <x v="11"/>
    <x v="72"/>
    <x v="0"/>
    <x v="14"/>
    <n v="6.9166666666666696"/>
    <n v="2524.5833333333298"/>
    <n v="9088.5"/>
  </r>
  <r>
    <x v="0"/>
    <x v="0"/>
    <x v="0"/>
    <x v="0"/>
    <x v="0"/>
    <s v="DK1_Rural"/>
    <x v="11"/>
    <x v="72"/>
    <x v="0"/>
    <x v="15"/>
    <n v="6.9166666666666696"/>
    <n v="2524.5833333333298"/>
    <n v="9088.5"/>
  </r>
  <r>
    <x v="0"/>
    <x v="0"/>
    <x v="0"/>
    <x v="0"/>
    <x v="0"/>
    <s v="DK1_Rural"/>
    <x v="11"/>
    <x v="72"/>
    <x v="0"/>
    <x v="16"/>
    <n v="6.9166666666666696"/>
    <n v="2524.5833333333298"/>
    <n v="9088.5"/>
  </r>
  <r>
    <x v="0"/>
    <x v="0"/>
    <x v="0"/>
    <x v="0"/>
    <x v="0"/>
    <s v="DK1_Rural"/>
    <x v="11"/>
    <x v="72"/>
    <x v="0"/>
    <x v="17"/>
    <n v="6.9166666666666696"/>
    <n v="2524.5833333333298"/>
    <n v="9088.5"/>
  </r>
  <r>
    <x v="0"/>
    <x v="0"/>
    <x v="0"/>
    <x v="0"/>
    <x v="0"/>
    <s v="DK1_Rural"/>
    <x v="11"/>
    <x v="72"/>
    <x v="0"/>
    <x v="18"/>
    <n v="6.9166666666666696"/>
    <n v="2524.5833333333298"/>
    <n v="9088.5"/>
  </r>
  <r>
    <x v="0"/>
    <x v="0"/>
    <x v="0"/>
    <x v="0"/>
    <x v="0"/>
    <s v="DK1_Rural"/>
    <x v="11"/>
    <x v="72"/>
    <x v="0"/>
    <x v="19"/>
    <n v="6.9166666666666696"/>
    <n v="2524.5833333333298"/>
    <n v="9088.5"/>
  </r>
  <r>
    <x v="0"/>
    <x v="0"/>
    <x v="0"/>
    <x v="0"/>
    <x v="0"/>
    <s v="DK1_Rural"/>
    <x v="11"/>
    <x v="72"/>
    <x v="0"/>
    <x v="20"/>
    <n v="6.9166666666666696"/>
    <n v="2524.5833333333298"/>
    <n v="9088.5"/>
  </r>
  <r>
    <x v="0"/>
    <x v="0"/>
    <x v="0"/>
    <x v="0"/>
    <x v="0"/>
    <s v="DK1_Rural"/>
    <x v="11"/>
    <x v="72"/>
    <x v="0"/>
    <x v="21"/>
    <n v="6.9166666666666696"/>
    <n v="2524.5833333333298"/>
    <n v="9088.5"/>
  </r>
  <r>
    <x v="0"/>
    <x v="0"/>
    <x v="0"/>
    <x v="0"/>
    <x v="0"/>
    <s v="DK1_Rural"/>
    <x v="11"/>
    <x v="72"/>
    <x v="0"/>
    <x v="22"/>
    <n v="6.9166666666666696"/>
    <n v="2524.5833333333298"/>
    <n v="9088.5"/>
  </r>
  <r>
    <x v="0"/>
    <x v="0"/>
    <x v="0"/>
    <x v="0"/>
    <x v="0"/>
    <s v="DK1_Rural"/>
    <x v="11"/>
    <x v="72"/>
    <x v="0"/>
    <x v="23"/>
    <n v="6.9166666666666696"/>
    <n v="2524.5833333333298"/>
    <n v="9088.5"/>
  </r>
  <r>
    <x v="0"/>
    <x v="0"/>
    <x v="0"/>
    <x v="0"/>
    <x v="0"/>
    <s v="DK1_Rural"/>
    <x v="11"/>
    <x v="73"/>
    <x v="0"/>
    <x v="0"/>
    <n v="3.4883720930232598"/>
    <n v="1273.2558139534899"/>
    <n v="4583.72093023256"/>
  </r>
  <r>
    <x v="0"/>
    <x v="0"/>
    <x v="0"/>
    <x v="0"/>
    <x v="0"/>
    <s v="DK1_Rural"/>
    <x v="11"/>
    <x v="73"/>
    <x v="0"/>
    <x v="1"/>
    <n v="3.4883720930232598"/>
    <n v="1273.2558139534899"/>
    <n v="4583.72093023256"/>
  </r>
  <r>
    <x v="0"/>
    <x v="0"/>
    <x v="0"/>
    <x v="0"/>
    <x v="0"/>
    <s v="DK1_Rural"/>
    <x v="11"/>
    <x v="73"/>
    <x v="0"/>
    <x v="2"/>
    <n v="3.4883720930232598"/>
    <n v="1273.2558139534899"/>
    <n v="4583.72093023256"/>
  </r>
  <r>
    <x v="0"/>
    <x v="0"/>
    <x v="0"/>
    <x v="0"/>
    <x v="0"/>
    <s v="DK1_Rural"/>
    <x v="11"/>
    <x v="73"/>
    <x v="0"/>
    <x v="3"/>
    <n v="3.4883720930232598"/>
    <n v="1273.2558139534899"/>
    <n v="4583.72093023256"/>
  </r>
  <r>
    <x v="0"/>
    <x v="0"/>
    <x v="0"/>
    <x v="0"/>
    <x v="0"/>
    <s v="DK1_Rural"/>
    <x v="11"/>
    <x v="73"/>
    <x v="0"/>
    <x v="4"/>
    <n v="3.4883720930232598"/>
    <n v="1273.2558139534899"/>
    <n v="4583.72093023256"/>
  </r>
  <r>
    <x v="0"/>
    <x v="0"/>
    <x v="0"/>
    <x v="0"/>
    <x v="0"/>
    <s v="DK1_Rural"/>
    <x v="11"/>
    <x v="73"/>
    <x v="0"/>
    <x v="5"/>
    <n v="3.4883720930232598"/>
    <n v="1273.2558139534899"/>
    <n v="4583.72093023256"/>
  </r>
  <r>
    <x v="0"/>
    <x v="0"/>
    <x v="0"/>
    <x v="0"/>
    <x v="0"/>
    <s v="DK1_Rural"/>
    <x v="11"/>
    <x v="73"/>
    <x v="0"/>
    <x v="6"/>
    <n v="3.4883720930232598"/>
    <n v="1273.2558139534899"/>
    <n v="4583.72093023256"/>
  </r>
  <r>
    <x v="0"/>
    <x v="0"/>
    <x v="0"/>
    <x v="0"/>
    <x v="0"/>
    <s v="DK1_Rural"/>
    <x v="11"/>
    <x v="73"/>
    <x v="0"/>
    <x v="7"/>
    <n v="3.4883720930232598"/>
    <n v="1273.2558139534899"/>
    <n v="4583.72093023256"/>
  </r>
  <r>
    <x v="0"/>
    <x v="0"/>
    <x v="0"/>
    <x v="0"/>
    <x v="0"/>
    <s v="DK1_Rural"/>
    <x v="11"/>
    <x v="73"/>
    <x v="0"/>
    <x v="8"/>
    <n v="3.4883720930232598"/>
    <n v="1273.2558139534899"/>
    <n v="4583.72093023256"/>
  </r>
  <r>
    <x v="0"/>
    <x v="0"/>
    <x v="0"/>
    <x v="0"/>
    <x v="0"/>
    <s v="DK1_Rural"/>
    <x v="11"/>
    <x v="73"/>
    <x v="0"/>
    <x v="9"/>
    <n v="3.4883720930232598"/>
    <n v="1273.2558139534899"/>
    <n v="4583.72093023256"/>
  </r>
  <r>
    <x v="0"/>
    <x v="0"/>
    <x v="0"/>
    <x v="0"/>
    <x v="0"/>
    <s v="DK1_Rural"/>
    <x v="11"/>
    <x v="73"/>
    <x v="0"/>
    <x v="10"/>
    <n v="3.4883720930232598"/>
    <n v="1273.2558139534899"/>
    <n v="4583.72093023256"/>
  </r>
  <r>
    <x v="0"/>
    <x v="0"/>
    <x v="0"/>
    <x v="0"/>
    <x v="0"/>
    <s v="DK1_Rural"/>
    <x v="11"/>
    <x v="73"/>
    <x v="0"/>
    <x v="11"/>
    <n v="3.4883720930232598"/>
    <n v="1273.2558139534899"/>
    <n v="4583.72093023256"/>
  </r>
  <r>
    <x v="0"/>
    <x v="0"/>
    <x v="0"/>
    <x v="0"/>
    <x v="0"/>
    <s v="DK1_Rural"/>
    <x v="11"/>
    <x v="73"/>
    <x v="0"/>
    <x v="12"/>
    <n v="3.4883720930232598"/>
    <n v="1273.2558139534899"/>
    <n v="4583.72093023256"/>
  </r>
  <r>
    <x v="0"/>
    <x v="0"/>
    <x v="0"/>
    <x v="0"/>
    <x v="0"/>
    <s v="DK1_Rural"/>
    <x v="11"/>
    <x v="73"/>
    <x v="0"/>
    <x v="13"/>
    <n v="3.4883720930232598"/>
    <n v="1273.2558139534899"/>
    <n v="4583.72093023256"/>
  </r>
  <r>
    <x v="0"/>
    <x v="0"/>
    <x v="0"/>
    <x v="0"/>
    <x v="0"/>
    <s v="DK1_Rural"/>
    <x v="11"/>
    <x v="73"/>
    <x v="0"/>
    <x v="14"/>
    <n v="3.4883720930232598"/>
    <n v="1273.2558139534899"/>
    <n v="4583.72093023256"/>
  </r>
  <r>
    <x v="0"/>
    <x v="0"/>
    <x v="0"/>
    <x v="0"/>
    <x v="0"/>
    <s v="DK1_Rural"/>
    <x v="11"/>
    <x v="73"/>
    <x v="0"/>
    <x v="15"/>
    <n v="3.4883720930232598"/>
    <n v="1273.2558139534899"/>
    <n v="4583.72093023256"/>
  </r>
  <r>
    <x v="0"/>
    <x v="0"/>
    <x v="0"/>
    <x v="0"/>
    <x v="0"/>
    <s v="DK1_Rural"/>
    <x v="11"/>
    <x v="73"/>
    <x v="0"/>
    <x v="16"/>
    <n v="3.4883720930232598"/>
    <n v="1273.2558139534899"/>
    <n v="4583.72093023256"/>
  </r>
  <r>
    <x v="0"/>
    <x v="0"/>
    <x v="0"/>
    <x v="0"/>
    <x v="0"/>
    <s v="DK1_Rural"/>
    <x v="11"/>
    <x v="73"/>
    <x v="0"/>
    <x v="17"/>
    <n v="3.4883720930232598"/>
    <n v="1273.2558139534899"/>
    <n v="4583.72093023256"/>
  </r>
  <r>
    <x v="0"/>
    <x v="0"/>
    <x v="0"/>
    <x v="0"/>
    <x v="0"/>
    <s v="DK1_Rural"/>
    <x v="11"/>
    <x v="73"/>
    <x v="0"/>
    <x v="18"/>
    <n v="3.4883720930232598"/>
    <n v="1273.2558139534899"/>
    <n v="4583.72093023256"/>
  </r>
  <r>
    <x v="0"/>
    <x v="0"/>
    <x v="0"/>
    <x v="0"/>
    <x v="0"/>
    <s v="DK1_Rural"/>
    <x v="11"/>
    <x v="73"/>
    <x v="0"/>
    <x v="19"/>
    <n v="3.4883720930232598"/>
    <n v="1273.2558139534899"/>
    <n v="4583.72093023256"/>
  </r>
  <r>
    <x v="0"/>
    <x v="0"/>
    <x v="0"/>
    <x v="0"/>
    <x v="0"/>
    <s v="DK1_Rural"/>
    <x v="11"/>
    <x v="73"/>
    <x v="0"/>
    <x v="20"/>
    <n v="3.4883720930232598"/>
    <n v="1273.2558139534899"/>
    <n v="4583.72093023256"/>
  </r>
  <r>
    <x v="0"/>
    <x v="0"/>
    <x v="0"/>
    <x v="0"/>
    <x v="0"/>
    <s v="DK1_Rural"/>
    <x v="11"/>
    <x v="73"/>
    <x v="0"/>
    <x v="21"/>
    <n v="3.4883720930232598"/>
    <n v="1273.2558139534899"/>
    <n v="4583.72093023256"/>
  </r>
  <r>
    <x v="0"/>
    <x v="0"/>
    <x v="0"/>
    <x v="0"/>
    <x v="0"/>
    <s v="DK1_Rural"/>
    <x v="11"/>
    <x v="73"/>
    <x v="0"/>
    <x v="22"/>
    <n v="3.4883720930232598"/>
    <n v="1273.2558139534899"/>
    <n v="4583.72093023256"/>
  </r>
  <r>
    <x v="0"/>
    <x v="0"/>
    <x v="0"/>
    <x v="0"/>
    <x v="0"/>
    <s v="DK1_Rural"/>
    <x v="11"/>
    <x v="73"/>
    <x v="0"/>
    <x v="23"/>
    <n v="3.4883720930232598"/>
    <n v="1273.2558139534899"/>
    <n v="4583.72093023256"/>
  </r>
  <r>
    <x v="0"/>
    <x v="0"/>
    <x v="0"/>
    <x v="0"/>
    <x v="0"/>
    <s v="DK1_Rural"/>
    <x v="11"/>
    <x v="74"/>
    <x v="0"/>
    <x v="0"/>
    <n v="7.8651685393258397"/>
    <n v="2870.7865168539302"/>
    <n v="10334.831460674201"/>
  </r>
  <r>
    <x v="0"/>
    <x v="0"/>
    <x v="0"/>
    <x v="0"/>
    <x v="0"/>
    <s v="DK1_Rural"/>
    <x v="11"/>
    <x v="74"/>
    <x v="0"/>
    <x v="1"/>
    <n v="7.8651685393258397"/>
    <n v="2870.7865168539302"/>
    <n v="10334.831460674201"/>
  </r>
  <r>
    <x v="0"/>
    <x v="0"/>
    <x v="0"/>
    <x v="0"/>
    <x v="0"/>
    <s v="DK1_Rural"/>
    <x v="11"/>
    <x v="74"/>
    <x v="0"/>
    <x v="2"/>
    <n v="7.8651685393258397"/>
    <n v="2870.7865168539302"/>
    <n v="10334.831460674201"/>
  </r>
  <r>
    <x v="0"/>
    <x v="0"/>
    <x v="0"/>
    <x v="0"/>
    <x v="0"/>
    <s v="DK1_Rural"/>
    <x v="11"/>
    <x v="74"/>
    <x v="0"/>
    <x v="3"/>
    <n v="7.8651685393258397"/>
    <n v="2870.7865168539302"/>
    <n v="10334.831460674201"/>
  </r>
  <r>
    <x v="0"/>
    <x v="0"/>
    <x v="0"/>
    <x v="0"/>
    <x v="0"/>
    <s v="DK1_Rural"/>
    <x v="11"/>
    <x v="74"/>
    <x v="0"/>
    <x v="4"/>
    <n v="7.8651685393258397"/>
    <n v="2870.7865168539302"/>
    <n v="10334.831460674201"/>
  </r>
  <r>
    <x v="0"/>
    <x v="0"/>
    <x v="0"/>
    <x v="0"/>
    <x v="0"/>
    <s v="DK1_Rural"/>
    <x v="11"/>
    <x v="74"/>
    <x v="0"/>
    <x v="5"/>
    <n v="7.8651685393258397"/>
    <n v="2870.7865168539302"/>
    <n v="10334.831460674201"/>
  </r>
  <r>
    <x v="0"/>
    <x v="0"/>
    <x v="0"/>
    <x v="0"/>
    <x v="0"/>
    <s v="DK1_Rural"/>
    <x v="11"/>
    <x v="74"/>
    <x v="0"/>
    <x v="6"/>
    <n v="7.8651685393258397"/>
    <n v="2870.7865168539302"/>
    <n v="10334.831460674201"/>
  </r>
  <r>
    <x v="0"/>
    <x v="0"/>
    <x v="0"/>
    <x v="0"/>
    <x v="0"/>
    <s v="DK1_Rural"/>
    <x v="11"/>
    <x v="74"/>
    <x v="0"/>
    <x v="7"/>
    <n v="7.8651685393258397"/>
    <n v="2870.7865168539302"/>
    <n v="10334.831460674201"/>
  </r>
  <r>
    <x v="0"/>
    <x v="0"/>
    <x v="0"/>
    <x v="0"/>
    <x v="0"/>
    <s v="DK1_Rural"/>
    <x v="11"/>
    <x v="74"/>
    <x v="0"/>
    <x v="8"/>
    <n v="7.8651685393258397"/>
    <n v="2870.7865168539302"/>
    <n v="10334.831460674201"/>
  </r>
  <r>
    <x v="0"/>
    <x v="0"/>
    <x v="0"/>
    <x v="0"/>
    <x v="0"/>
    <s v="DK1_Rural"/>
    <x v="11"/>
    <x v="74"/>
    <x v="0"/>
    <x v="9"/>
    <n v="7.8651685393258397"/>
    <n v="2870.7865168539302"/>
    <n v="10334.831460674201"/>
  </r>
  <r>
    <x v="0"/>
    <x v="0"/>
    <x v="0"/>
    <x v="0"/>
    <x v="0"/>
    <s v="DK1_Rural"/>
    <x v="11"/>
    <x v="74"/>
    <x v="0"/>
    <x v="10"/>
    <n v="7.8651685393258397"/>
    <n v="2870.7865168539302"/>
    <n v="10334.831460674201"/>
  </r>
  <r>
    <x v="0"/>
    <x v="0"/>
    <x v="0"/>
    <x v="0"/>
    <x v="0"/>
    <s v="DK1_Rural"/>
    <x v="11"/>
    <x v="74"/>
    <x v="0"/>
    <x v="11"/>
    <n v="7.8651685393258397"/>
    <n v="2870.7865168539302"/>
    <n v="10334.831460674201"/>
  </r>
  <r>
    <x v="0"/>
    <x v="0"/>
    <x v="0"/>
    <x v="0"/>
    <x v="0"/>
    <s v="DK1_Rural"/>
    <x v="11"/>
    <x v="74"/>
    <x v="0"/>
    <x v="12"/>
    <n v="7.8651685393258397"/>
    <n v="2870.7865168539302"/>
    <n v="10334.831460674201"/>
  </r>
  <r>
    <x v="0"/>
    <x v="0"/>
    <x v="0"/>
    <x v="0"/>
    <x v="0"/>
    <s v="DK1_Rural"/>
    <x v="11"/>
    <x v="74"/>
    <x v="0"/>
    <x v="13"/>
    <n v="7.8651685393258397"/>
    <n v="2870.7865168539302"/>
    <n v="10334.831460674201"/>
  </r>
  <r>
    <x v="0"/>
    <x v="0"/>
    <x v="0"/>
    <x v="0"/>
    <x v="0"/>
    <s v="DK1_Rural"/>
    <x v="11"/>
    <x v="74"/>
    <x v="0"/>
    <x v="14"/>
    <n v="7.8651685393258397"/>
    <n v="2870.7865168539302"/>
    <n v="10334.831460674201"/>
  </r>
  <r>
    <x v="0"/>
    <x v="0"/>
    <x v="0"/>
    <x v="0"/>
    <x v="0"/>
    <s v="DK1_Rural"/>
    <x v="11"/>
    <x v="74"/>
    <x v="0"/>
    <x v="15"/>
    <n v="7.8651685393258397"/>
    <n v="2870.7865168539302"/>
    <n v="10334.831460674201"/>
  </r>
  <r>
    <x v="0"/>
    <x v="0"/>
    <x v="0"/>
    <x v="0"/>
    <x v="0"/>
    <s v="DK1_Rural"/>
    <x v="11"/>
    <x v="74"/>
    <x v="0"/>
    <x v="16"/>
    <n v="7.8651685393258397"/>
    <n v="2870.7865168539302"/>
    <n v="10334.831460674201"/>
  </r>
  <r>
    <x v="0"/>
    <x v="0"/>
    <x v="0"/>
    <x v="0"/>
    <x v="0"/>
    <s v="DK1_Rural"/>
    <x v="11"/>
    <x v="74"/>
    <x v="0"/>
    <x v="17"/>
    <n v="7.8651685393258397"/>
    <n v="2870.7865168539302"/>
    <n v="10334.831460674201"/>
  </r>
  <r>
    <x v="0"/>
    <x v="0"/>
    <x v="0"/>
    <x v="0"/>
    <x v="0"/>
    <s v="DK1_Rural"/>
    <x v="11"/>
    <x v="74"/>
    <x v="0"/>
    <x v="18"/>
    <n v="7.8651685393258397"/>
    <n v="2870.7865168539302"/>
    <n v="10334.831460674201"/>
  </r>
  <r>
    <x v="0"/>
    <x v="0"/>
    <x v="0"/>
    <x v="0"/>
    <x v="0"/>
    <s v="DK1_Rural"/>
    <x v="11"/>
    <x v="74"/>
    <x v="0"/>
    <x v="19"/>
    <n v="7.8651685393258397"/>
    <n v="2870.7865168539302"/>
    <n v="10334.831460674201"/>
  </r>
  <r>
    <x v="0"/>
    <x v="0"/>
    <x v="0"/>
    <x v="0"/>
    <x v="0"/>
    <s v="DK1_Rural"/>
    <x v="11"/>
    <x v="74"/>
    <x v="0"/>
    <x v="20"/>
    <n v="7.8651685393258397"/>
    <n v="2870.7865168539302"/>
    <n v="10334.831460674201"/>
  </r>
  <r>
    <x v="0"/>
    <x v="0"/>
    <x v="0"/>
    <x v="0"/>
    <x v="0"/>
    <s v="DK1_Rural"/>
    <x v="11"/>
    <x v="74"/>
    <x v="0"/>
    <x v="21"/>
    <n v="7.8651685393258397"/>
    <n v="2870.7865168539302"/>
    <n v="10334.831460674201"/>
  </r>
  <r>
    <x v="0"/>
    <x v="0"/>
    <x v="0"/>
    <x v="0"/>
    <x v="0"/>
    <s v="DK1_Rural"/>
    <x v="11"/>
    <x v="74"/>
    <x v="0"/>
    <x v="22"/>
    <n v="7.8651685393258397"/>
    <n v="2870.7865168539302"/>
    <n v="10334.831460674201"/>
  </r>
  <r>
    <x v="0"/>
    <x v="0"/>
    <x v="0"/>
    <x v="0"/>
    <x v="0"/>
    <s v="DK1_Rural"/>
    <x v="11"/>
    <x v="74"/>
    <x v="0"/>
    <x v="23"/>
    <n v="7.8651685393258397"/>
    <n v="2870.7865168539302"/>
    <n v="10334.831460674201"/>
  </r>
  <r>
    <x v="0"/>
    <x v="0"/>
    <x v="0"/>
    <x v="0"/>
    <x v="0"/>
    <s v="DK1_Rural"/>
    <x v="11"/>
    <x v="75"/>
    <x v="0"/>
    <x v="0"/>
    <n v="10"/>
    <n v="3650"/>
    <n v="13140"/>
  </r>
  <r>
    <x v="0"/>
    <x v="0"/>
    <x v="0"/>
    <x v="0"/>
    <x v="0"/>
    <s v="DK1_Rural"/>
    <x v="11"/>
    <x v="75"/>
    <x v="0"/>
    <x v="1"/>
    <n v="10"/>
    <n v="3650"/>
    <n v="13140"/>
  </r>
  <r>
    <x v="0"/>
    <x v="0"/>
    <x v="0"/>
    <x v="0"/>
    <x v="0"/>
    <s v="DK1_Rural"/>
    <x v="11"/>
    <x v="75"/>
    <x v="0"/>
    <x v="2"/>
    <n v="10"/>
    <n v="3650"/>
    <n v="13140"/>
  </r>
  <r>
    <x v="0"/>
    <x v="0"/>
    <x v="0"/>
    <x v="0"/>
    <x v="0"/>
    <s v="DK1_Rural"/>
    <x v="11"/>
    <x v="75"/>
    <x v="0"/>
    <x v="3"/>
    <n v="10"/>
    <n v="3650"/>
    <n v="13140"/>
  </r>
  <r>
    <x v="0"/>
    <x v="0"/>
    <x v="0"/>
    <x v="0"/>
    <x v="0"/>
    <s v="DK1_Rural"/>
    <x v="11"/>
    <x v="75"/>
    <x v="0"/>
    <x v="4"/>
    <n v="10"/>
    <n v="3650"/>
    <n v="13140"/>
  </r>
  <r>
    <x v="0"/>
    <x v="0"/>
    <x v="0"/>
    <x v="0"/>
    <x v="0"/>
    <s v="DK1_Rural"/>
    <x v="11"/>
    <x v="75"/>
    <x v="0"/>
    <x v="5"/>
    <n v="10"/>
    <n v="3650"/>
    <n v="13140"/>
  </r>
  <r>
    <x v="0"/>
    <x v="0"/>
    <x v="0"/>
    <x v="0"/>
    <x v="0"/>
    <s v="DK1_Rural"/>
    <x v="11"/>
    <x v="75"/>
    <x v="0"/>
    <x v="6"/>
    <n v="10"/>
    <n v="3650"/>
    <n v="13140"/>
  </r>
  <r>
    <x v="0"/>
    <x v="0"/>
    <x v="0"/>
    <x v="0"/>
    <x v="0"/>
    <s v="DK1_Rural"/>
    <x v="11"/>
    <x v="75"/>
    <x v="0"/>
    <x v="7"/>
    <n v="10"/>
    <n v="3650"/>
    <n v="13140"/>
  </r>
  <r>
    <x v="0"/>
    <x v="0"/>
    <x v="0"/>
    <x v="0"/>
    <x v="0"/>
    <s v="DK1_Rural"/>
    <x v="11"/>
    <x v="75"/>
    <x v="0"/>
    <x v="8"/>
    <n v="10"/>
    <n v="3650"/>
    <n v="13140"/>
  </r>
  <r>
    <x v="0"/>
    <x v="0"/>
    <x v="0"/>
    <x v="0"/>
    <x v="0"/>
    <s v="DK1_Rural"/>
    <x v="11"/>
    <x v="75"/>
    <x v="0"/>
    <x v="9"/>
    <n v="10"/>
    <n v="3650"/>
    <n v="13140"/>
  </r>
  <r>
    <x v="0"/>
    <x v="0"/>
    <x v="0"/>
    <x v="0"/>
    <x v="0"/>
    <s v="DK1_Rural"/>
    <x v="11"/>
    <x v="75"/>
    <x v="0"/>
    <x v="10"/>
    <n v="10"/>
    <n v="3650"/>
    <n v="13140"/>
  </r>
  <r>
    <x v="0"/>
    <x v="0"/>
    <x v="0"/>
    <x v="0"/>
    <x v="0"/>
    <s v="DK1_Rural"/>
    <x v="11"/>
    <x v="75"/>
    <x v="0"/>
    <x v="11"/>
    <n v="10"/>
    <n v="3650"/>
    <n v="13140"/>
  </r>
  <r>
    <x v="0"/>
    <x v="0"/>
    <x v="0"/>
    <x v="0"/>
    <x v="0"/>
    <s v="DK1_Rural"/>
    <x v="11"/>
    <x v="75"/>
    <x v="0"/>
    <x v="12"/>
    <n v="10"/>
    <n v="3650"/>
    <n v="13140"/>
  </r>
  <r>
    <x v="0"/>
    <x v="0"/>
    <x v="0"/>
    <x v="0"/>
    <x v="0"/>
    <s v="DK1_Rural"/>
    <x v="11"/>
    <x v="75"/>
    <x v="0"/>
    <x v="13"/>
    <n v="10"/>
    <n v="3650"/>
    <n v="13140"/>
  </r>
  <r>
    <x v="0"/>
    <x v="0"/>
    <x v="0"/>
    <x v="0"/>
    <x v="0"/>
    <s v="DK1_Rural"/>
    <x v="11"/>
    <x v="75"/>
    <x v="0"/>
    <x v="14"/>
    <n v="10"/>
    <n v="3650"/>
    <n v="13140"/>
  </r>
  <r>
    <x v="0"/>
    <x v="0"/>
    <x v="0"/>
    <x v="0"/>
    <x v="0"/>
    <s v="DK1_Rural"/>
    <x v="11"/>
    <x v="75"/>
    <x v="0"/>
    <x v="15"/>
    <n v="10"/>
    <n v="3650"/>
    <n v="13140"/>
  </r>
  <r>
    <x v="0"/>
    <x v="0"/>
    <x v="0"/>
    <x v="0"/>
    <x v="0"/>
    <s v="DK1_Rural"/>
    <x v="11"/>
    <x v="75"/>
    <x v="0"/>
    <x v="16"/>
    <n v="10"/>
    <n v="3650"/>
    <n v="13140"/>
  </r>
  <r>
    <x v="0"/>
    <x v="0"/>
    <x v="0"/>
    <x v="0"/>
    <x v="0"/>
    <s v="DK1_Rural"/>
    <x v="11"/>
    <x v="75"/>
    <x v="0"/>
    <x v="17"/>
    <n v="10"/>
    <n v="3650"/>
    <n v="13140"/>
  </r>
  <r>
    <x v="0"/>
    <x v="0"/>
    <x v="0"/>
    <x v="0"/>
    <x v="0"/>
    <s v="DK1_Rural"/>
    <x v="11"/>
    <x v="75"/>
    <x v="0"/>
    <x v="18"/>
    <n v="10"/>
    <n v="3650"/>
    <n v="13140"/>
  </r>
  <r>
    <x v="0"/>
    <x v="0"/>
    <x v="0"/>
    <x v="0"/>
    <x v="0"/>
    <s v="DK1_Rural"/>
    <x v="11"/>
    <x v="75"/>
    <x v="0"/>
    <x v="19"/>
    <n v="10"/>
    <n v="3650"/>
    <n v="13140"/>
  </r>
  <r>
    <x v="0"/>
    <x v="0"/>
    <x v="0"/>
    <x v="0"/>
    <x v="0"/>
    <s v="DK1_Rural"/>
    <x v="11"/>
    <x v="75"/>
    <x v="0"/>
    <x v="20"/>
    <n v="10"/>
    <n v="3650"/>
    <n v="13140"/>
  </r>
  <r>
    <x v="0"/>
    <x v="0"/>
    <x v="0"/>
    <x v="0"/>
    <x v="0"/>
    <s v="DK1_Rural"/>
    <x v="11"/>
    <x v="75"/>
    <x v="0"/>
    <x v="21"/>
    <n v="10"/>
    <n v="3650"/>
    <n v="13140"/>
  </r>
  <r>
    <x v="0"/>
    <x v="0"/>
    <x v="0"/>
    <x v="0"/>
    <x v="0"/>
    <s v="DK1_Rural"/>
    <x v="11"/>
    <x v="75"/>
    <x v="0"/>
    <x v="22"/>
    <n v="10"/>
    <n v="3650"/>
    <n v="13140"/>
  </r>
  <r>
    <x v="0"/>
    <x v="0"/>
    <x v="0"/>
    <x v="0"/>
    <x v="0"/>
    <s v="DK1_Rural"/>
    <x v="11"/>
    <x v="75"/>
    <x v="0"/>
    <x v="23"/>
    <n v="10"/>
    <n v="3650"/>
    <n v="13140"/>
  </r>
  <r>
    <x v="0"/>
    <x v="0"/>
    <x v="0"/>
    <x v="0"/>
    <x v="0"/>
    <s v="DK1_Rural"/>
    <x v="11"/>
    <x v="76"/>
    <x v="0"/>
    <x v="0"/>
    <n v="3.4615384615384599"/>
    <n v="1263.4615384615399"/>
    <n v="4548.4615384615399"/>
  </r>
  <r>
    <x v="0"/>
    <x v="0"/>
    <x v="0"/>
    <x v="0"/>
    <x v="0"/>
    <s v="DK1_Rural"/>
    <x v="11"/>
    <x v="76"/>
    <x v="0"/>
    <x v="1"/>
    <n v="3.4615384615384599"/>
    <n v="1263.4615384615399"/>
    <n v="4548.4615384615399"/>
  </r>
  <r>
    <x v="0"/>
    <x v="0"/>
    <x v="0"/>
    <x v="0"/>
    <x v="0"/>
    <s v="DK1_Rural"/>
    <x v="11"/>
    <x v="76"/>
    <x v="0"/>
    <x v="2"/>
    <n v="3.4615384615384599"/>
    <n v="1263.4615384615399"/>
    <n v="4548.4615384615399"/>
  </r>
  <r>
    <x v="0"/>
    <x v="0"/>
    <x v="0"/>
    <x v="0"/>
    <x v="0"/>
    <s v="DK1_Rural"/>
    <x v="11"/>
    <x v="76"/>
    <x v="0"/>
    <x v="3"/>
    <n v="3.4615384615384599"/>
    <n v="1263.4615384615399"/>
    <n v="4548.4615384615399"/>
  </r>
  <r>
    <x v="0"/>
    <x v="0"/>
    <x v="0"/>
    <x v="0"/>
    <x v="0"/>
    <s v="DK1_Rural"/>
    <x v="11"/>
    <x v="76"/>
    <x v="0"/>
    <x v="4"/>
    <n v="3.4615384615384599"/>
    <n v="1263.4615384615399"/>
    <n v="4548.4615384615399"/>
  </r>
  <r>
    <x v="0"/>
    <x v="0"/>
    <x v="0"/>
    <x v="0"/>
    <x v="0"/>
    <s v="DK1_Rural"/>
    <x v="11"/>
    <x v="76"/>
    <x v="0"/>
    <x v="5"/>
    <n v="3.4615384615384599"/>
    <n v="1263.4615384615399"/>
    <n v="4548.4615384615399"/>
  </r>
  <r>
    <x v="0"/>
    <x v="0"/>
    <x v="0"/>
    <x v="0"/>
    <x v="0"/>
    <s v="DK1_Rural"/>
    <x v="11"/>
    <x v="76"/>
    <x v="0"/>
    <x v="6"/>
    <n v="3.4615384615384599"/>
    <n v="1263.4615384615399"/>
    <n v="4548.4615384615399"/>
  </r>
  <r>
    <x v="0"/>
    <x v="0"/>
    <x v="0"/>
    <x v="0"/>
    <x v="0"/>
    <s v="DK1_Rural"/>
    <x v="11"/>
    <x v="76"/>
    <x v="0"/>
    <x v="7"/>
    <n v="3.4615384615384599"/>
    <n v="1263.4615384615399"/>
    <n v="4548.4615384615399"/>
  </r>
  <r>
    <x v="0"/>
    <x v="0"/>
    <x v="0"/>
    <x v="0"/>
    <x v="0"/>
    <s v="DK1_Rural"/>
    <x v="11"/>
    <x v="76"/>
    <x v="0"/>
    <x v="8"/>
    <n v="3.4615384615384599"/>
    <n v="1263.4615384615399"/>
    <n v="4548.4615384615399"/>
  </r>
  <r>
    <x v="0"/>
    <x v="0"/>
    <x v="0"/>
    <x v="0"/>
    <x v="0"/>
    <s v="DK1_Rural"/>
    <x v="11"/>
    <x v="76"/>
    <x v="0"/>
    <x v="9"/>
    <n v="3.4615384615384599"/>
    <n v="1263.4615384615399"/>
    <n v="4548.4615384615399"/>
  </r>
  <r>
    <x v="0"/>
    <x v="0"/>
    <x v="0"/>
    <x v="0"/>
    <x v="0"/>
    <s v="DK1_Rural"/>
    <x v="11"/>
    <x v="76"/>
    <x v="0"/>
    <x v="10"/>
    <n v="3.4615384615384599"/>
    <n v="1263.4615384615399"/>
    <n v="4548.4615384615399"/>
  </r>
  <r>
    <x v="0"/>
    <x v="0"/>
    <x v="0"/>
    <x v="0"/>
    <x v="0"/>
    <s v="DK1_Rural"/>
    <x v="11"/>
    <x v="76"/>
    <x v="0"/>
    <x v="11"/>
    <n v="3.4615384615384599"/>
    <n v="1263.4615384615399"/>
    <n v="4548.4615384615399"/>
  </r>
  <r>
    <x v="0"/>
    <x v="0"/>
    <x v="0"/>
    <x v="0"/>
    <x v="0"/>
    <s v="DK1_Rural"/>
    <x v="11"/>
    <x v="76"/>
    <x v="0"/>
    <x v="12"/>
    <n v="3.4615384615384599"/>
    <n v="1263.4615384615399"/>
    <n v="4548.4615384615399"/>
  </r>
  <r>
    <x v="0"/>
    <x v="0"/>
    <x v="0"/>
    <x v="0"/>
    <x v="0"/>
    <s v="DK1_Rural"/>
    <x v="11"/>
    <x v="76"/>
    <x v="0"/>
    <x v="13"/>
    <n v="3.4615384615384599"/>
    <n v="1263.4615384615399"/>
    <n v="4548.4615384615399"/>
  </r>
  <r>
    <x v="0"/>
    <x v="0"/>
    <x v="0"/>
    <x v="0"/>
    <x v="0"/>
    <s v="DK1_Rural"/>
    <x v="11"/>
    <x v="76"/>
    <x v="0"/>
    <x v="14"/>
    <n v="3.4615384615384599"/>
    <n v="1263.4615384615399"/>
    <n v="4548.4615384615399"/>
  </r>
  <r>
    <x v="0"/>
    <x v="0"/>
    <x v="0"/>
    <x v="0"/>
    <x v="0"/>
    <s v="DK1_Rural"/>
    <x v="11"/>
    <x v="76"/>
    <x v="0"/>
    <x v="15"/>
    <n v="3.4615384615384599"/>
    <n v="1263.4615384615399"/>
    <n v="4548.4615384615399"/>
  </r>
  <r>
    <x v="0"/>
    <x v="0"/>
    <x v="0"/>
    <x v="0"/>
    <x v="0"/>
    <s v="DK1_Rural"/>
    <x v="11"/>
    <x v="76"/>
    <x v="0"/>
    <x v="16"/>
    <n v="3.4615384615384599"/>
    <n v="1263.4615384615399"/>
    <n v="4548.4615384615399"/>
  </r>
  <r>
    <x v="0"/>
    <x v="0"/>
    <x v="0"/>
    <x v="0"/>
    <x v="0"/>
    <s v="DK1_Rural"/>
    <x v="11"/>
    <x v="76"/>
    <x v="0"/>
    <x v="17"/>
    <n v="3.4615384615384599"/>
    <n v="1263.4615384615399"/>
    <n v="4548.4615384615399"/>
  </r>
  <r>
    <x v="0"/>
    <x v="0"/>
    <x v="0"/>
    <x v="0"/>
    <x v="0"/>
    <s v="DK1_Rural"/>
    <x v="11"/>
    <x v="76"/>
    <x v="0"/>
    <x v="18"/>
    <n v="3.4615384615384599"/>
    <n v="1263.4615384615399"/>
    <n v="4548.4615384615399"/>
  </r>
  <r>
    <x v="0"/>
    <x v="0"/>
    <x v="0"/>
    <x v="0"/>
    <x v="0"/>
    <s v="DK1_Rural"/>
    <x v="11"/>
    <x v="76"/>
    <x v="0"/>
    <x v="19"/>
    <n v="3.4615384615384599"/>
    <n v="1263.4615384615399"/>
    <n v="4548.4615384615399"/>
  </r>
  <r>
    <x v="0"/>
    <x v="0"/>
    <x v="0"/>
    <x v="0"/>
    <x v="0"/>
    <s v="DK1_Rural"/>
    <x v="11"/>
    <x v="76"/>
    <x v="0"/>
    <x v="20"/>
    <n v="3.4615384615384599"/>
    <n v="1263.4615384615399"/>
    <n v="4548.4615384615399"/>
  </r>
  <r>
    <x v="0"/>
    <x v="0"/>
    <x v="0"/>
    <x v="0"/>
    <x v="0"/>
    <s v="DK1_Rural"/>
    <x v="11"/>
    <x v="76"/>
    <x v="0"/>
    <x v="21"/>
    <n v="3.4615384615384599"/>
    <n v="1263.4615384615399"/>
    <n v="4548.4615384615399"/>
  </r>
  <r>
    <x v="0"/>
    <x v="0"/>
    <x v="0"/>
    <x v="0"/>
    <x v="0"/>
    <s v="DK1_Rural"/>
    <x v="11"/>
    <x v="76"/>
    <x v="0"/>
    <x v="22"/>
    <n v="3.4615384615384599"/>
    <n v="1263.4615384615399"/>
    <n v="4548.4615384615399"/>
  </r>
  <r>
    <x v="0"/>
    <x v="0"/>
    <x v="0"/>
    <x v="0"/>
    <x v="0"/>
    <s v="DK1_Rural"/>
    <x v="11"/>
    <x v="76"/>
    <x v="0"/>
    <x v="23"/>
    <n v="3.4615384615384599"/>
    <n v="1263.4615384615399"/>
    <n v="4548.4615384615399"/>
  </r>
  <r>
    <x v="0"/>
    <x v="0"/>
    <x v="0"/>
    <x v="0"/>
    <x v="0"/>
    <s v="DK1_Rural"/>
    <x v="11"/>
    <x v="77"/>
    <x v="0"/>
    <x v="0"/>
    <n v="0.98936170212765995"/>
    <n v="361.11702127659601"/>
    <n v="1300.0212765957399"/>
  </r>
  <r>
    <x v="0"/>
    <x v="0"/>
    <x v="0"/>
    <x v="0"/>
    <x v="0"/>
    <s v="DK1_Rural"/>
    <x v="11"/>
    <x v="77"/>
    <x v="0"/>
    <x v="1"/>
    <n v="0.98936170212765995"/>
    <n v="361.11702127659601"/>
    <n v="1300.0212765957399"/>
  </r>
  <r>
    <x v="0"/>
    <x v="0"/>
    <x v="0"/>
    <x v="0"/>
    <x v="0"/>
    <s v="DK1_Rural"/>
    <x v="11"/>
    <x v="77"/>
    <x v="0"/>
    <x v="2"/>
    <n v="0.98936170212765995"/>
    <n v="361.11702127659601"/>
    <n v="1300.0212765957399"/>
  </r>
  <r>
    <x v="0"/>
    <x v="0"/>
    <x v="0"/>
    <x v="0"/>
    <x v="0"/>
    <s v="DK1_Rural"/>
    <x v="11"/>
    <x v="77"/>
    <x v="0"/>
    <x v="3"/>
    <n v="0.98936170212765995"/>
    <n v="361.11702127659601"/>
    <n v="1300.0212765957399"/>
  </r>
  <r>
    <x v="0"/>
    <x v="0"/>
    <x v="0"/>
    <x v="0"/>
    <x v="0"/>
    <s v="DK1_Rural"/>
    <x v="11"/>
    <x v="77"/>
    <x v="0"/>
    <x v="4"/>
    <n v="0.98936170212765995"/>
    <n v="361.11702127659601"/>
    <n v="1300.0212765957399"/>
  </r>
  <r>
    <x v="0"/>
    <x v="0"/>
    <x v="0"/>
    <x v="0"/>
    <x v="0"/>
    <s v="DK1_Rural"/>
    <x v="11"/>
    <x v="77"/>
    <x v="0"/>
    <x v="5"/>
    <n v="0.98936170212765995"/>
    <n v="361.11702127659601"/>
    <n v="1300.0212765957399"/>
  </r>
  <r>
    <x v="0"/>
    <x v="0"/>
    <x v="0"/>
    <x v="0"/>
    <x v="0"/>
    <s v="DK1_Rural"/>
    <x v="11"/>
    <x v="77"/>
    <x v="0"/>
    <x v="6"/>
    <n v="0.98936170212765995"/>
    <n v="361.11702127659601"/>
    <n v="1300.0212765957399"/>
  </r>
  <r>
    <x v="0"/>
    <x v="0"/>
    <x v="0"/>
    <x v="0"/>
    <x v="0"/>
    <s v="DK1_Rural"/>
    <x v="11"/>
    <x v="77"/>
    <x v="0"/>
    <x v="7"/>
    <n v="0.98936170212765995"/>
    <n v="361.11702127659601"/>
    <n v="1300.0212765957399"/>
  </r>
  <r>
    <x v="0"/>
    <x v="0"/>
    <x v="0"/>
    <x v="0"/>
    <x v="0"/>
    <s v="DK1_Rural"/>
    <x v="11"/>
    <x v="77"/>
    <x v="0"/>
    <x v="8"/>
    <n v="0.98936170212765995"/>
    <n v="361.11702127659601"/>
    <n v="1300.0212765957399"/>
  </r>
  <r>
    <x v="0"/>
    <x v="0"/>
    <x v="0"/>
    <x v="0"/>
    <x v="0"/>
    <s v="DK1_Rural"/>
    <x v="11"/>
    <x v="77"/>
    <x v="0"/>
    <x v="9"/>
    <n v="0.98936170212765995"/>
    <n v="361.11702127659601"/>
    <n v="1300.0212765957399"/>
  </r>
  <r>
    <x v="0"/>
    <x v="0"/>
    <x v="0"/>
    <x v="0"/>
    <x v="0"/>
    <s v="DK1_Rural"/>
    <x v="11"/>
    <x v="77"/>
    <x v="0"/>
    <x v="10"/>
    <n v="0.98936170212765995"/>
    <n v="361.11702127659601"/>
    <n v="1300.0212765957399"/>
  </r>
  <r>
    <x v="0"/>
    <x v="0"/>
    <x v="0"/>
    <x v="0"/>
    <x v="0"/>
    <s v="DK1_Rural"/>
    <x v="11"/>
    <x v="77"/>
    <x v="0"/>
    <x v="11"/>
    <n v="0.98936170212765995"/>
    <n v="361.11702127659601"/>
    <n v="1300.0212765957399"/>
  </r>
  <r>
    <x v="0"/>
    <x v="0"/>
    <x v="0"/>
    <x v="0"/>
    <x v="0"/>
    <s v="DK1_Rural"/>
    <x v="11"/>
    <x v="77"/>
    <x v="0"/>
    <x v="12"/>
    <n v="0.98936170212765995"/>
    <n v="361.11702127659601"/>
    <n v="1300.0212765957399"/>
  </r>
  <r>
    <x v="0"/>
    <x v="0"/>
    <x v="0"/>
    <x v="0"/>
    <x v="0"/>
    <s v="DK1_Rural"/>
    <x v="11"/>
    <x v="77"/>
    <x v="0"/>
    <x v="13"/>
    <n v="0.98936170212765995"/>
    <n v="361.11702127659601"/>
    <n v="1300.0212765957399"/>
  </r>
  <r>
    <x v="0"/>
    <x v="0"/>
    <x v="0"/>
    <x v="0"/>
    <x v="0"/>
    <s v="DK1_Rural"/>
    <x v="11"/>
    <x v="77"/>
    <x v="0"/>
    <x v="14"/>
    <n v="0.98936170212765995"/>
    <n v="361.11702127659601"/>
    <n v="1300.0212765957399"/>
  </r>
  <r>
    <x v="0"/>
    <x v="0"/>
    <x v="0"/>
    <x v="0"/>
    <x v="0"/>
    <s v="DK1_Rural"/>
    <x v="11"/>
    <x v="77"/>
    <x v="0"/>
    <x v="15"/>
    <n v="0.98936170212765995"/>
    <n v="361.11702127659601"/>
    <n v="1300.0212765957399"/>
  </r>
  <r>
    <x v="0"/>
    <x v="0"/>
    <x v="0"/>
    <x v="0"/>
    <x v="0"/>
    <s v="DK1_Rural"/>
    <x v="11"/>
    <x v="77"/>
    <x v="0"/>
    <x v="16"/>
    <n v="0.98936170212765995"/>
    <n v="361.11702127659601"/>
    <n v="1300.0212765957399"/>
  </r>
  <r>
    <x v="0"/>
    <x v="0"/>
    <x v="0"/>
    <x v="0"/>
    <x v="0"/>
    <s v="DK1_Rural"/>
    <x v="11"/>
    <x v="77"/>
    <x v="0"/>
    <x v="17"/>
    <n v="0.98936170212765995"/>
    <n v="361.11702127659601"/>
    <n v="1300.0212765957399"/>
  </r>
  <r>
    <x v="0"/>
    <x v="0"/>
    <x v="0"/>
    <x v="0"/>
    <x v="0"/>
    <s v="DK1_Rural"/>
    <x v="11"/>
    <x v="77"/>
    <x v="0"/>
    <x v="18"/>
    <n v="0.98936170212765995"/>
    <n v="361.11702127659601"/>
    <n v="1300.0212765957399"/>
  </r>
  <r>
    <x v="0"/>
    <x v="0"/>
    <x v="0"/>
    <x v="0"/>
    <x v="0"/>
    <s v="DK1_Rural"/>
    <x v="11"/>
    <x v="77"/>
    <x v="0"/>
    <x v="19"/>
    <n v="0.98936170212765995"/>
    <n v="361.11702127659601"/>
    <n v="1300.0212765957399"/>
  </r>
  <r>
    <x v="0"/>
    <x v="0"/>
    <x v="0"/>
    <x v="0"/>
    <x v="0"/>
    <s v="DK1_Rural"/>
    <x v="11"/>
    <x v="77"/>
    <x v="0"/>
    <x v="20"/>
    <n v="0.98936170212765995"/>
    <n v="361.11702127659601"/>
    <n v="1300.0212765957399"/>
  </r>
  <r>
    <x v="0"/>
    <x v="0"/>
    <x v="0"/>
    <x v="0"/>
    <x v="0"/>
    <s v="DK1_Rural"/>
    <x v="11"/>
    <x v="77"/>
    <x v="0"/>
    <x v="21"/>
    <n v="0.98936170212765995"/>
    <n v="361.11702127659601"/>
    <n v="1300.0212765957399"/>
  </r>
  <r>
    <x v="0"/>
    <x v="0"/>
    <x v="0"/>
    <x v="0"/>
    <x v="0"/>
    <s v="DK1_Rural"/>
    <x v="11"/>
    <x v="77"/>
    <x v="0"/>
    <x v="22"/>
    <n v="0.98936170212765995"/>
    <n v="361.11702127659601"/>
    <n v="1300.0212765957399"/>
  </r>
  <r>
    <x v="0"/>
    <x v="0"/>
    <x v="0"/>
    <x v="0"/>
    <x v="0"/>
    <s v="DK1_Rural"/>
    <x v="11"/>
    <x v="77"/>
    <x v="0"/>
    <x v="23"/>
    <n v="0.98936170212765995"/>
    <n v="361.11702127659601"/>
    <n v="1300.0212765957399"/>
  </r>
  <r>
    <x v="0"/>
    <x v="0"/>
    <x v="0"/>
    <x v="0"/>
    <x v="0"/>
    <s v="DK1_Small"/>
    <x v="2"/>
    <x v="14"/>
    <x v="0"/>
    <x v="0"/>
    <n v="3.8396254543244401"/>
    <n v="1401.46329082842"/>
    <n v="5045.2678469823104"/>
  </r>
  <r>
    <x v="0"/>
    <x v="0"/>
    <x v="0"/>
    <x v="0"/>
    <x v="0"/>
    <s v="DK1_Small"/>
    <x v="2"/>
    <x v="14"/>
    <x v="0"/>
    <x v="1"/>
    <n v="3.4963411728357601"/>
    <n v="1276.1645280850501"/>
    <n v="4594.1923011061899"/>
  </r>
  <r>
    <x v="0"/>
    <x v="0"/>
    <x v="0"/>
    <x v="0"/>
    <x v="0"/>
    <s v="DK1_Small"/>
    <x v="2"/>
    <x v="14"/>
    <x v="0"/>
    <x v="2"/>
    <n v="3.1842645533006002"/>
    <n v="1162.2565619547199"/>
    <n v="4184.1236230369896"/>
  </r>
  <r>
    <x v="0"/>
    <x v="0"/>
    <x v="0"/>
    <x v="0"/>
    <x v="0"/>
    <s v="DK1_Small"/>
    <x v="2"/>
    <x v="14"/>
    <x v="0"/>
    <x v="3"/>
    <n v="3.6523794826033402"/>
    <n v="1333.11851115022"/>
    <n v="4799.2266401407996"/>
  </r>
  <r>
    <x v="0"/>
    <x v="0"/>
    <x v="0"/>
    <x v="0"/>
    <x v="0"/>
    <s v="DK1_Small"/>
    <x v="2"/>
    <x v="14"/>
    <x v="0"/>
    <x v="4"/>
    <n v="3.9956637640920198"/>
    <n v="1458.4172738935899"/>
    <n v="5250.3021860169201"/>
  </r>
  <r>
    <x v="0"/>
    <x v="0"/>
    <x v="0"/>
    <x v="0"/>
    <x v="0"/>
    <s v="DK1_Small"/>
    <x v="2"/>
    <x v="14"/>
    <x v="0"/>
    <x v="5"/>
    <n v="9.4570046059573691"/>
    <n v="3451.8066811744402"/>
    <n v="12426.504052228"/>
  </r>
  <r>
    <x v="0"/>
    <x v="0"/>
    <x v="0"/>
    <x v="0"/>
    <x v="0"/>
    <s v="DK1_Small"/>
    <x v="2"/>
    <x v="14"/>
    <x v="0"/>
    <x v="6"/>
    <n v="23.1259605415975"/>
    <n v="8440.9755976830802"/>
    <n v="30387.512151659099"/>
  </r>
  <r>
    <x v="0"/>
    <x v="0"/>
    <x v="0"/>
    <x v="0"/>
    <x v="0"/>
    <s v="DK1_Small"/>
    <x v="2"/>
    <x v="14"/>
    <x v="0"/>
    <x v="7"/>
    <n v="31.271160311465199"/>
    <n v="11413.973513684799"/>
    <n v="41090.304649265301"/>
  </r>
  <r>
    <x v="0"/>
    <x v="0"/>
    <x v="0"/>
    <x v="0"/>
    <x v="0"/>
    <s v="DK1_Small"/>
    <x v="2"/>
    <x v="14"/>
    <x v="0"/>
    <x v="8"/>
    <n v="32.488259127652398"/>
    <n v="11858.2145815931"/>
    <n v="42689.572493735199"/>
  </r>
  <r>
    <x v="0"/>
    <x v="0"/>
    <x v="0"/>
    <x v="0"/>
    <x v="0"/>
    <s v="DK1_Small"/>
    <x v="2"/>
    <x v="14"/>
    <x v="0"/>
    <x v="9"/>
    <n v="32.332220817884803"/>
    <n v="11801.260598527901"/>
    <n v="42484.538154700604"/>
  </r>
  <r>
    <x v="0"/>
    <x v="0"/>
    <x v="0"/>
    <x v="0"/>
    <x v="0"/>
    <s v="DK1_Small"/>
    <x v="2"/>
    <x v="14"/>
    <x v="0"/>
    <x v="10"/>
    <n v="32.613089775466399"/>
    <n v="11903.7777680452"/>
    <n v="42853.599964962901"/>
  </r>
  <r>
    <x v="0"/>
    <x v="0"/>
    <x v="0"/>
    <x v="0"/>
    <x v="0"/>
    <s v="DK1_Small"/>
    <x v="2"/>
    <x v="14"/>
    <x v="0"/>
    <x v="11"/>
    <n v="32.332220817884803"/>
    <n v="11801.260598527901"/>
    <n v="42484.538154700604"/>
  </r>
  <r>
    <x v="0"/>
    <x v="0"/>
    <x v="0"/>
    <x v="0"/>
    <x v="0"/>
    <s v="DK1_Small"/>
    <x v="2"/>
    <x v="14"/>
    <x v="0"/>
    <x v="12"/>
    <n v="30.584591748487899"/>
    <n v="11163.3759881981"/>
    <n v="40188.153557513098"/>
  </r>
  <r>
    <x v="0"/>
    <x v="0"/>
    <x v="0"/>
    <x v="0"/>
    <x v="0"/>
    <s v="DK1_Small"/>
    <x v="2"/>
    <x v="14"/>
    <x v="0"/>
    <x v="13"/>
    <n v="29.367492932300699"/>
    <n v="10719.1349202898"/>
    <n v="38588.885713043201"/>
  </r>
  <r>
    <x v="0"/>
    <x v="0"/>
    <x v="0"/>
    <x v="0"/>
    <x v="0"/>
    <s v="DK1_Small"/>
    <x v="2"/>
    <x v="14"/>
    <x v="0"/>
    <x v="14"/>
    <n v="29.866815523557001"/>
    <n v="10901.387666098301"/>
    <n v="39244.995597953901"/>
  </r>
  <r>
    <x v="0"/>
    <x v="0"/>
    <x v="0"/>
    <x v="0"/>
    <x v="0"/>
    <s v="DK1_Small"/>
    <x v="2"/>
    <x v="14"/>
    <x v="0"/>
    <x v="15"/>
    <n v="30.334930452859702"/>
    <n v="11072.2496152938"/>
    <n v="39860.098615057701"/>
  </r>
  <r>
    <x v="0"/>
    <x v="0"/>
    <x v="0"/>
    <x v="0"/>
    <x v="0"/>
    <s v="DK1_Small"/>
    <x v="2"/>
    <x v="14"/>
    <x v="0"/>
    <x v="16"/>
    <n v="30.615799410441401"/>
    <n v="11174.7667848111"/>
    <n v="40229.160425319998"/>
  </r>
  <r>
    <x v="0"/>
    <x v="0"/>
    <x v="0"/>
    <x v="0"/>
    <x v="0"/>
    <s v="DK1_Small"/>
    <x v="2"/>
    <x v="14"/>
    <x v="0"/>
    <x v="17"/>
    <n v="31.458406283186299"/>
    <n v="11482.318293363"/>
    <n v="41336.345856106796"/>
  </r>
  <r>
    <x v="0"/>
    <x v="0"/>
    <x v="0"/>
    <x v="0"/>
    <x v="0"/>
    <s v="DK1_Small"/>
    <x v="2"/>
    <x v="14"/>
    <x v="0"/>
    <x v="18"/>
    <n v="31.333575635372299"/>
    <n v="11436.755106910899"/>
    <n v="41172.318384879203"/>
  </r>
  <r>
    <x v="0"/>
    <x v="0"/>
    <x v="0"/>
    <x v="0"/>
    <x v="0"/>
    <s v="DK1_Small"/>
    <x v="2"/>
    <x v="14"/>
    <x v="0"/>
    <x v="19"/>
    <n v="30.054061495278098"/>
    <n v="10969.732445776501"/>
    <n v="39491.036804795403"/>
  </r>
  <r>
    <x v="0"/>
    <x v="0"/>
    <x v="0"/>
    <x v="0"/>
    <x v="0"/>
    <s v="DK1_Small"/>
    <x v="2"/>
    <x v="14"/>
    <x v="0"/>
    <x v="20"/>
    <n v="27.6510715248574"/>
    <n v="10092.641106572901"/>
    <n v="36333.507983662603"/>
  </r>
  <r>
    <x v="0"/>
    <x v="0"/>
    <x v="0"/>
    <x v="0"/>
    <x v="0"/>
    <s v="DK1_Small"/>
    <x v="2"/>
    <x v="14"/>
    <x v="0"/>
    <x v="21"/>
    <n v="16.1042366020563"/>
    <n v="5878.0463597505604"/>
    <n v="21160.966895101999"/>
  </r>
  <r>
    <x v="0"/>
    <x v="0"/>
    <x v="0"/>
    <x v="0"/>
    <x v="0"/>
    <s v="DK1_Small"/>
    <x v="2"/>
    <x v="14"/>
    <x v="0"/>
    <x v="22"/>
    <n v="12.8586397588906"/>
    <n v="4693.4035119950804"/>
    <n v="16896.252643182299"/>
  </r>
  <r>
    <x v="0"/>
    <x v="0"/>
    <x v="0"/>
    <x v="0"/>
    <x v="0"/>
    <s v="DK1_Small"/>
    <x v="2"/>
    <x v="14"/>
    <x v="0"/>
    <x v="23"/>
    <n v="10.9549723797262"/>
    <n v="3998.5649186000501"/>
    <n v="14394.8337069602"/>
  </r>
  <r>
    <x v="0"/>
    <x v="0"/>
    <x v="0"/>
    <x v="0"/>
    <x v="0"/>
    <s v="DK1_Small"/>
    <x v="2"/>
    <x v="41"/>
    <x v="0"/>
    <x v="0"/>
    <n v="14.45"/>
    <n v="5274.25000000001"/>
    <n v="18987.3"/>
  </r>
  <r>
    <x v="0"/>
    <x v="0"/>
    <x v="0"/>
    <x v="0"/>
    <x v="0"/>
    <s v="DK1_Small"/>
    <x v="2"/>
    <x v="41"/>
    <x v="0"/>
    <x v="1"/>
    <n v="14.45"/>
    <n v="5274.25000000001"/>
    <n v="18987.3"/>
  </r>
  <r>
    <x v="0"/>
    <x v="0"/>
    <x v="0"/>
    <x v="0"/>
    <x v="0"/>
    <s v="DK1_Small"/>
    <x v="2"/>
    <x v="41"/>
    <x v="0"/>
    <x v="2"/>
    <n v="14.45"/>
    <n v="5274.25000000001"/>
    <n v="18987.3"/>
  </r>
  <r>
    <x v="0"/>
    <x v="0"/>
    <x v="0"/>
    <x v="0"/>
    <x v="0"/>
    <s v="DK1_Small"/>
    <x v="2"/>
    <x v="41"/>
    <x v="0"/>
    <x v="3"/>
    <n v="14.45"/>
    <n v="5274.25000000001"/>
    <n v="18987.3"/>
  </r>
  <r>
    <x v="0"/>
    <x v="0"/>
    <x v="0"/>
    <x v="0"/>
    <x v="0"/>
    <s v="DK1_Small"/>
    <x v="2"/>
    <x v="41"/>
    <x v="0"/>
    <x v="4"/>
    <n v="14.45"/>
    <n v="5274.25000000001"/>
    <n v="18987.3"/>
  </r>
  <r>
    <x v="0"/>
    <x v="0"/>
    <x v="0"/>
    <x v="0"/>
    <x v="0"/>
    <s v="DK1_Small"/>
    <x v="2"/>
    <x v="41"/>
    <x v="0"/>
    <x v="5"/>
    <n v="14.45"/>
    <n v="5274.25000000001"/>
    <n v="18987.3"/>
  </r>
  <r>
    <x v="0"/>
    <x v="0"/>
    <x v="0"/>
    <x v="0"/>
    <x v="0"/>
    <s v="DK1_Small"/>
    <x v="2"/>
    <x v="41"/>
    <x v="0"/>
    <x v="6"/>
    <n v="14.45"/>
    <n v="5274.25000000001"/>
    <n v="18987.3"/>
  </r>
  <r>
    <x v="0"/>
    <x v="0"/>
    <x v="0"/>
    <x v="0"/>
    <x v="0"/>
    <s v="DK1_Small"/>
    <x v="2"/>
    <x v="41"/>
    <x v="0"/>
    <x v="7"/>
    <n v="14.45"/>
    <n v="5274.25000000001"/>
    <n v="18987.3"/>
  </r>
  <r>
    <x v="0"/>
    <x v="0"/>
    <x v="0"/>
    <x v="0"/>
    <x v="0"/>
    <s v="DK1_Small"/>
    <x v="2"/>
    <x v="41"/>
    <x v="0"/>
    <x v="8"/>
    <n v="14.45"/>
    <n v="5274.25000000001"/>
    <n v="18987.3"/>
  </r>
  <r>
    <x v="0"/>
    <x v="0"/>
    <x v="0"/>
    <x v="0"/>
    <x v="0"/>
    <s v="DK1_Small"/>
    <x v="2"/>
    <x v="41"/>
    <x v="0"/>
    <x v="9"/>
    <n v="14.45"/>
    <n v="5274.25000000001"/>
    <n v="18987.3"/>
  </r>
  <r>
    <x v="0"/>
    <x v="0"/>
    <x v="0"/>
    <x v="0"/>
    <x v="0"/>
    <s v="DK1_Small"/>
    <x v="2"/>
    <x v="41"/>
    <x v="0"/>
    <x v="10"/>
    <n v="14.45"/>
    <n v="5274.25000000001"/>
    <n v="18987.3"/>
  </r>
  <r>
    <x v="0"/>
    <x v="0"/>
    <x v="0"/>
    <x v="0"/>
    <x v="0"/>
    <s v="DK1_Small"/>
    <x v="2"/>
    <x v="41"/>
    <x v="0"/>
    <x v="11"/>
    <n v="14.45"/>
    <n v="5274.25000000001"/>
    <n v="18987.3"/>
  </r>
  <r>
    <x v="0"/>
    <x v="0"/>
    <x v="0"/>
    <x v="0"/>
    <x v="0"/>
    <s v="DK1_Small"/>
    <x v="2"/>
    <x v="41"/>
    <x v="0"/>
    <x v="12"/>
    <n v="14.45"/>
    <n v="5274.25000000001"/>
    <n v="18987.3"/>
  </r>
  <r>
    <x v="0"/>
    <x v="0"/>
    <x v="0"/>
    <x v="0"/>
    <x v="0"/>
    <s v="DK1_Small"/>
    <x v="2"/>
    <x v="41"/>
    <x v="0"/>
    <x v="13"/>
    <n v="14.45"/>
    <n v="5274.25000000001"/>
    <n v="18987.3"/>
  </r>
  <r>
    <x v="0"/>
    <x v="0"/>
    <x v="0"/>
    <x v="0"/>
    <x v="0"/>
    <s v="DK1_Small"/>
    <x v="2"/>
    <x v="41"/>
    <x v="0"/>
    <x v="14"/>
    <n v="14.45"/>
    <n v="5274.25000000001"/>
    <n v="18987.3"/>
  </r>
  <r>
    <x v="0"/>
    <x v="0"/>
    <x v="0"/>
    <x v="0"/>
    <x v="0"/>
    <s v="DK1_Small"/>
    <x v="2"/>
    <x v="41"/>
    <x v="0"/>
    <x v="15"/>
    <n v="14.45"/>
    <n v="5274.25000000001"/>
    <n v="18987.3"/>
  </r>
  <r>
    <x v="0"/>
    <x v="0"/>
    <x v="0"/>
    <x v="0"/>
    <x v="0"/>
    <s v="DK1_Small"/>
    <x v="2"/>
    <x v="41"/>
    <x v="0"/>
    <x v="16"/>
    <n v="14.45"/>
    <n v="5274.25000000001"/>
    <n v="18987.3"/>
  </r>
  <r>
    <x v="0"/>
    <x v="0"/>
    <x v="0"/>
    <x v="0"/>
    <x v="0"/>
    <s v="DK1_Small"/>
    <x v="2"/>
    <x v="41"/>
    <x v="0"/>
    <x v="17"/>
    <n v="14.45"/>
    <n v="5274.25000000001"/>
    <n v="18987.3"/>
  </r>
  <r>
    <x v="0"/>
    <x v="0"/>
    <x v="0"/>
    <x v="0"/>
    <x v="0"/>
    <s v="DK1_Small"/>
    <x v="2"/>
    <x v="41"/>
    <x v="0"/>
    <x v="18"/>
    <n v="14.45"/>
    <n v="5274.25000000001"/>
    <n v="18987.3"/>
  </r>
  <r>
    <x v="0"/>
    <x v="0"/>
    <x v="0"/>
    <x v="0"/>
    <x v="0"/>
    <s v="DK1_Small"/>
    <x v="2"/>
    <x v="41"/>
    <x v="0"/>
    <x v="19"/>
    <n v="14.45"/>
    <n v="5274.25000000001"/>
    <n v="18987.3"/>
  </r>
  <r>
    <x v="0"/>
    <x v="0"/>
    <x v="0"/>
    <x v="0"/>
    <x v="0"/>
    <s v="DK1_Small"/>
    <x v="2"/>
    <x v="41"/>
    <x v="0"/>
    <x v="20"/>
    <n v="14.45"/>
    <n v="5274.25000000001"/>
    <n v="18987.3"/>
  </r>
  <r>
    <x v="0"/>
    <x v="0"/>
    <x v="0"/>
    <x v="0"/>
    <x v="0"/>
    <s v="DK1_Small"/>
    <x v="2"/>
    <x v="41"/>
    <x v="0"/>
    <x v="21"/>
    <n v="14.45"/>
    <n v="5274.25000000001"/>
    <n v="18987.3"/>
  </r>
  <r>
    <x v="0"/>
    <x v="0"/>
    <x v="0"/>
    <x v="0"/>
    <x v="0"/>
    <s v="DK1_Small"/>
    <x v="2"/>
    <x v="41"/>
    <x v="0"/>
    <x v="22"/>
    <n v="14.45"/>
    <n v="5274.25000000001"/>
    <n v="18987.3"/>
  </r>
  <r>
    <x v="0"/>
    <x v="0"/>
    <x v="0"/>
    <x v="0"/>
    <x v="0"/>
    <s v="DK1_Small"/>
    <x v="2"/>
    <x v="41"/>
    <x v="0"/>
    <x v="23"/>
    <n v="14.45"/>
    <n v="5274.25000000001"/>
    <n v="18987.3"/>
  </r>
  <r>
    <x v="0"/>
    <x v="0"/>
    <x v="0"/>
    <x v="0"/>
    <x v="0"/>
    <s v="DK1_Small"/>
    <x v="5"/>
    <x v="30"/>
    <x v="0"/>
    <x v="0"/>
    <n v="14"/>
    <n v="5110"/>
    <n v="18396"/>
  </r>
  <r>
    <x v="0"/>
    <x v="0"/>
    <x v="0"/>
    <x v="0"/>
    <x v="0"/>
    <s v="DK1_Small"/>
    <x v="5"/>
    <x v="30"/>
    <x v="0"/>
    <x v="1"/>
    <n v="14"/>
    <n v="5110"/>
    <n v="18396"/>
  </r>
  <r>
    <x v="0"/>
    <x v="0"/>
    <x v="0"/>
    <x v="0"/>
    <x v="0"/>
    <s v="DK1_Small"/>
    <x v="5"/>
    <x v="30"/>
    <x v="0"/>
    <x v="2"/>
    <n v="14"/>
    <n v="5110"/>
    <n v="18396"/>
  </r>
  <r>
    <x v="0"/>
    <x v="0"/>
    <x v="0"/>
    <x v="0"/>
    <x v="0"/>
    <s v="DK1_Small"/>
    <x v="5"/>
    <x v="30"/>
    <x v="0"/>
    <x v="3"/>
    <n v="14"/>
    <n v="5110"/>
    <n v="18396"/>
  </r>
  <r>
    <x v="0"/>
    <x v="0"/>
    <x v="0"/>
    <x v="0"/>
    <x v="0"/>
    <s v="DK1_Small"/>
    <x v="5"/>
    <x v="30"/>
    <x v="0"/>
    <x v="4"/>
    <n v="14"/>
    <n v="5110"/>
    <n v="18396"/>
  </r>
  <r>
    <x v="0"/>
    <x v="0"/>
    <x v="0"/>
    <x v="0"/>
    <x v="0"/>
    <s v="DK1_Small"/>
    <x v="5"/>
    <x v="30"/>
    <x v="0"/>
    <x v="5"/>
    <n v="14"/>
    <n v="5110"/>
    <n v="18396"/>
  </r>
  <r>
    <x v="0"/>
    <x v="0"/>
    <x v="0"/>
    <x v="0"/>
    <x v="0"/>
    <s v="DK1_Small"/>
    <x v="5"/>
    <x v="30"/>
    <x v="0"/>
    <x v="6"/>
    <n v="14"/>
    <n v="5110"/>
    <n v="18396"/>
  </r>
  <r>
    <x v="0"/>
    <x v="0"/>
    <x v="0"/>
    <x v="0"/>
    <x v="0"/>
    <s v="DK1_Small"/>
    <x v="5"/>
    <x v="30"/>
    <x v="0"/>
    <x v="7"/>
    <n v="14"/>
    <n v="5110"/>
    <n v="18396"/>
  </r>
  <r>
    <x v="0"/>
    <x v="0"/>
    <x v="0"/>
    <x v="0"/>
    <x v="0"/>
    <s v="DK1_Small"/>
    <x v="5"/>
    <x v="30"/>
    <x v="0"/>
    <x v="8"/>
    <n v="14"/>
    <n v="5110"/>
    <n v="18396"/>
  </r>
  <r>
    <x v="0"/>
    <x v="0"/>
    <x v="0"/>
    <x v="0"/>
    <x v="0"/>
    <s v="DK1_Small"/>
    <x v="5"/>
    <x v="30"/>
    <x v="0"/>
    <x v="9"/>
    <n v="14"/>
    <n v="5110"/>
    <n v="18396"/>
  </r>
  <r>
    <x v="0"/>
    <x v="0"/>
    <x v="0"/>
    <x v="0"/>
    <x v="0"/>
    <s v="DK1_Small"/>
    <x v="5"/>
    <x v="30"/>
    <x v="0"/>
    <x v="10"/>
    <n v="14"/>
    <n v="5110"/>
    <n v="18396"/>
  </r>
  <r>
    <x v="0"/>
    <x v="0"/>
    <x v="0"/>
    <x v="0"/>
    <x v="0"/>
    <s v="DK1_Small"/>
    <x v="5"/>
    <x v="30"/>
    <x v="0"/>
    <x v="11"/>
    <n v="14"/>
    <n v="5110"/>
    <n v="18396"/>
  </r>
  <r>
    <x v="0"/>
    <x v="0"/>
    <x v="0"/>
    <x v="0"/>
    <x v="0"/>
    <s v="DK1_Small"/>
    <x v="5"/>
    <x v="30"/>
    <x v="0"/>
    <x v="12"/>
    <n v="14"/>
    <n v="5110"/>
    <n v="18396"/>
  </r>
  <r>
    <x v="0"/>
    <x v="0"/>
    <x v="0"/>
    <x v="0"/>
    <x v="0"/>
    <s v="DK1_Small"/>
    <x v="5"/>
    <x v="30"/>
    <x v="0"/>
    <x v="13"/>
    <n v="14"/>
    <n v="5110"/>
    <n v="18396"/>
  </r>
  <r>
    <x v="0"/>
    <x v="0"/>
    <x v="0"/>
    <x v="0"/>
    <x v="0"/>
    <s v="DK1_Small"/>
    <x v="5"/>
    <x v="30"/>
    <x v="0"/>
    <x v="14"/>
    <n v="14"/>
    <n v="5110"/>
    <n v="18396"/>
  </r>
  <r>
    <x v="0"/>
    <x v="0"/>
    <x v="0"/>
    <x v="0"/>
    <x v="0"/>
    <s v="DK1_Small"/>
    <x v="5"/>
    <x v="30"/>
    <x v="0"/>
    <x v="15"/>
    <n v="14"/>
    <n v="5110"/>
    <n v="18396"/>
  </r>
  <r>
    <x v="0"/>
    <x v="0"/>
    <x v="0"/>
    <x v="0"/>
    <x v="0"/>
    <s v="DK1_Small"/>
    <x v="5"/>
    <x v="30"/>
    <x v="0"/>
    <x v="16"/>
    <n v="14"/>
    <n v="5110"/>
    <n v="18396"/>
  </r>
  <r>
    <x v="0"/>
    <x v="0"/>
    <x v="0"/>
    <x v="0"/>
    <x v="0"/>
    <s v="DK1_Small"/>
    <x v="5"/>
    <x v="30"/>
    <x v="0"/>
    <x v="17"/>
    <n v="14"/>
    <n v="5110"/>
    <n v="18396"/>
  </r>
  <r>
    <x v="0"/>
    <x v="0"/>
    <x v="0"/>
    <x v="0"/>
    <x v="0"/>
    <s v="DK1_Small"/>
    <x v="5"/>
    <x v="30"/>
    <x v="0"/>
    <x v="18"/>
    <n v="14"/>
    <n v="5110"/>
    <n v="18396"/>
  </r>
  <r>
    <x v="0"/>
    <x v="0"/>
    <x v="0"/>
    <x v="0"/>
    <x v="0"/>
    <s v="DK1_Small"/>
    <x v="5"/>
    <x v="30"/>
    <x v="0"/>
    <x v="19"/>
    <n v="14"/>
    <n v="5110"/>
    <n v="18396"/>
  </r>
  <r>
    <x v="0"/>
    <x v="0"/>
    <x v="0"/>
    <x v="0"/>
    <x v="0"/>
    <s v="DK1_Small"/>
    <x v="5"/>
    <x v="30"/>
    <x v="0"/>
    <x v="20"/>
    <n v="14"/>
    <n v="5110"/>
    <n v="18396"/>
  </r>
  <r>
    <x v="0"/>
    <x v="0"/>
    <x v="0"/>
    <x v="0"/>
    <x v="0"/>
    <s v="DK1_Small"/>
    <x v="5"/>
    <x v="30"/>
    <x v="0"/>
    <x v="21"/>
    <n v="14"/>
    <n v="5110"/>
    <n v="18396"/>
  </r>
  <r>
    <x v="0"/>
    <x v="0"/>
    <x v="0"/>
    <x v="0"/>
    <x v="0"/>
    <s v="DK1_Small"/>
    <x v="5"/>
    <x v="30"/>
    <x v="0"/>
    <x v="22"/>
    <n v="14"/>
    <n v="5110"/>
    <n v="18396"/>
  </r>
  <r>
    <x v="0"/>
    <x v="0"/>
    <x v="0"/>
    <x v="0"/>
    <x v="0"/>
    <s v="DK1_Small"/>
    <x v="5"/>
    <x v="30"/>
    <x v="0"/>
    <x v="23"/>
    <n v="14"/>
    <n v="5110"/>
    <n v="18396"/>
  </r>
  <r>
    <x v="0"/>
    <x v="0"/>
    <x v="0"/>
    <x v="0"/>
    <x v="0"/>
    <s v="DK1_Small"/>
    <x v="6"/>
    <x v="78"/>
    <x v="0"/>
    <x v="0"/>
    <n v="4"/>
    <n v="1460"/>
    <n v="5256"/>
  </r>
  <r>
    <x v="0"/>
    <x v="0"/>
    <x v="0"/>
    <x v="0"/>
    <x v="0"/>
    <s v="DK1_Small"/>
    <x v="6"/>
    <x v="78"/>
    <x v="0"/>
    <x v="1"/>
    <n v="4"/>
    <n v="1460"/>
    <n v="5256"/>
  </r>
  <r>
    <x v="0"/>
    <x v="0"/>
    <x v="0"/>
    <x v="0"/>
    <x v="0"/>
    <s v="DK1_Small"/>
    <x v="6"/>
    <x v="78"/>
    <x v="0"/>
    <x v="2"/>
    <n v="4"/>
    <n v="1460"/>
    <n v="5256"/>
  </r>
  <r>
    <x v="0"/>
    <x v="0"/>
    <x v="0"/>
    <x v="0"/>
    <x v="0"/>
    <s v="DK1_Small"/>
    <x v="6"/>
    <x v="78"/>
    <x v="0"/>
    <x v="3"/>
    <n v="4"/>
    <n v="1460"/>
    <n v="5256"/>
  </r>
  <r>
    <x v="0"/>
    <x v="0"/>
    <x v="0"/>
    <x v="0"/>
    <x v="0"/>
    <s v="DK1_Small"/>
    <x v="6"/>
    <x v="78"/>
    <x v="0"/>
    <x v="4"/>
    <n v="4"/>
    <n v="1460"/>
    <n v="5256"/>
  </r>
  <r>
    <x v="0"/>
    <x v="0"/>
    <x v="0"/>
    <x v="0"/>
    <x v="0"/>
    <s v="DK1_Small"/>
    <x v="6"/>
    <x v="78"/>
    <x v="0"/>
    <x v="5"/>
    <n v="4"/>
    <n v="1460"/>
    <n v="5256"/>
  </r>
  <r>
    <x v="0"/>
    <x v="0"/>
    <x v="0"/>
    <x v="0"/>
    <x v="0"/>
    <s v="DK1_Small"/>
    <x v="6"/>
    <x v="78"/>
    <x v="0"/>
    <x v="6"/>
    <n v="4"/>
    <n v="1460"/>
    <n v="5256"/>
  </r>
  <r>
    <x v="0"/>
    <x v="0"/>
    <x v="0"/>
    <x v="0"/>
    <x v="0"/>
    <s v="DK1_Small"/>
    <x v="6"/>
    <x v="78"/>
    <x v="0"/>
    <x v="7"/>
    <n v="4"/>
    <n v="1460"/>
    <n v="5256"/>
  </r>
  <r>
    <x v="0"/>
    <x v="0"/>
    <x v="0"/>
    <x v="0"/>
    <x v="0"/>
    <s v="DK1_Small"/>
    <x v="6"/>
    <x v="78"/>
    <x v="0"/>
    <x v="8"/>
    <n v="4"/>
    <n v="1460"/>
    <n v="5256"/>
  </r>
  <r>
    <x v="0"/>
    <x v="0"/>
    <x v="0"/>
    <x v="0"/>
    <x v="0"/>
    <s v="DK1_Small"/>
    <x v="6"/>
    <x v="78"/>
    <x v="0"/>
    <x v="9"/>
    <n v="4"/>
    <n v="1460"/>
    <n v="5256"/>
  </r>
  <r>
    <x v="0"/>
    <x v="0"/>
    <x v="0"/>
    <x v="0"/>
    <x v="0"/>
    <s v="DK1_Small"/>
    <x v="6"/>
    <x v="78"/>
    <x v="0"/>
    <x v="10"/>
    <n v="4"/>
    <n v="1460"/>
    <n v="5256"/>
  </r>
  <r>
    <x v="0"/>
    <x v="0"/>
    <x v="0"/>
    <x v="0"/>
    <x v="0"/>
    <s v="DK1_Small"/>
    <x v="6"/>
    <x v="78"/>
    <x v="0"/>
    <x v="11"/>
    <n v="4"/>
    <n v="1460"/>
    <n v="5256"/>
  </r>
  <r>
    <x v="0"/>
    <x v="0"/>
    <x v="0"/>
    <x v="0"/>
    <x v="0"/>
    <s v="DK1_Small"/>
    <x v="6"/>
    <x v="78"/>
    <x v="0"/>
    <x v="12"/>
    <n v="4"/>
    <n v="1460"/>
    <n v="5256"/>
  </r>
  <r>
    <x v="0"/>
    <x v="0"/>
    <x v="0"/>
    <x v="0"/>
    <x v="0"/>
    <s v="DK1_Small"/>
    <x v="6"/>
    <x v="78"/>
    <x v="0"/>
    <x v="13"/>
    <n v="4"/>
    <n v="1460"/>
    <n v="5256"/>
  </r>
  <r>
    <x v="0"/>
    <x v="0"/>
    <x v="0"/>
    <x v="0"/>
    <x v="0"/>
    <s v="DK1_Small"/>
    <x v="6"/>
    <x v="78"/>
    <x v="0"/>
    <x v="14"/>
    <n v="4"/>
    <n v="1460"/>
    <n v="5256"/>
  </r>
  <r>
    <x v="0"/>
    <x v="0"/>
    <x v="0"/>
    <x v="0"/>
    <x v="0"/>
    <s v="DK1_Small"/>
    <x v="6"/>
    <x v="78"/>
    <x v="0"/>
    <x v="15"/>
    <n v="4"/>
    <n v="1460"/>
    <n v="5256"/>
  </r>
  <r>
    <x v="0"/>
    <x v="0"/>
    <x v="0"/>
    <x v="0"/>
    <x v="0"/>
    <s v="DK1_Small"/>
    <x v="6"/>
    <x v="78"/>
    <x v="0"/>
    <x v="16"/>
    <n v="4"/>
    <n v="1460"/>
    <n v="5256"/>
  </r>
  <r>
    <x v="0"/>
    <x v="0"/>
    <x v="0"/>
    <x v="0"/>
    <x v="0"/>
    <s v="DK1_Small"/>
    <x v="6"/>
    <x v="78"/>
    <x v="0"/>
    <x v="17"/>
    <n v="4"/>
    <n v="1460"/>
    <n v="5256"/>
  </r>
  <r>
    <x v="0"/>
    <x v="0"/>
    <x v="0"/>
    <x v="0"/>
    <x v="0"/>
    <s v="DK1_Small"/>
    <x v="6"/>
    <x v="78"/>
    <x v="0"/>
    <x v="18"/>
    <n v="4"/>
    <n v="1460"/>
    <n v="5256"/>
  </r>
  <r>
    <x v="0"/>
    <x v="0"/>
    <x v="0"/>
    <x v="0"/>
    <x v="0"/>
    <s v="DK1_Small"/>
    <x v="6"/>
    <x v="78"/>
    <x v="0"/>
    <x v="19"/>
    <n v="4"/>
    <n v="1460"/>
    <n v="5256"/>
  </r>
  <r>
    <x v="0"/>
    <x v="0"/>
    <x v="0"/>
    <x v="0"/>
    <x v="0"/>
    <s v="DK1_Small"/>
    <x v="6"/>
    <x v="78"/>
    <x v="0"/>
    <x v="20"/>
    <n v="4"/>
    <n v="1460"/>
    <n v="5256"/>
  </r>
  <r>
    <x v="0"/>
    <x v="0"/>
    <x v="0"/>
    <x v="0"/>
    <x v="0"/>
    <s v="DK1_Small"/>
    <x v="6"/>
    <x v="78"/>
    <x v="0"/>
    <x v="21"/>
    <n v="4"/>
    <n v="1460"/>
    <n v="5256"/>
  </r>
  <r>
    <x v="0"/>
    <x v="0"/>
    <x v="0"/>
    <x v="0"/>
    <x v="0"/>
    <s v="DK1_Small"/>
    <x v="6"/>
    <x v="78"/>
    <x v="0"/>
    <x v="22"/>
    <n v="4"/>
    <n v="1460"/>
    <n v="5256"/>
  </r>
  <r>
    <x v="0"/>
    <x v="0"/>
    <x v="0"/>
    <x v="0"/>
    <x v="0"/>
    <s v="DK1_Small"/>
    <x v="6"/>
    <x v="78"/>
    <x v="0"/>
    <x v="23"/>
    <n v="4"/>
    <n v="1460"/>
    <n v="5256"/>
  </r>
  <r>
    <x v="0"/>
    <x v="0"/>
    <x v="0"/>
    <x v="0"/>
    <x v="0"/>
    <s v="DK1_Small"/>
    <x v="11"/>
    <x v="70"/>
    <x v="0"/>
    <x v="0"/>
    <n v="1.75"/>
    <n v="638.75"/>
    <n v="2299.5"/>
  </r>
  <r>
    <x v="0"/>
    <x v="0"/>
    <x v="0"/>
    <x v="0"/>
    <x v="0"/>
    <s v="DK1_Small"/>
    <x v="11"/>
    <x v="70"/>
    <x v="0"/>
    <x v="1"/>
    <n v="1.75"/>
    <n v="638.75"/>
    <n v="2299.5"/>
  </r>
  <r>
    <x v="0"/>
    <x v="0"/>
    <x v="0"/>
    <x v="0"/>
    <x v="0"/>
    <s v="DK1_Small"/>
    <x v="11"/>
    <x v="70"/>
    <x v="0"/>
    <x v="2"/>
    <n v="1.75"/>
    <n v="638.75"/>
    <n v="2299.5"/>
  </r>
  <r>
    <x v="0"/>
    <x v="0"/>
    <x v="0"/>
    <x v="0"/>
    <x v="0"/>
    <s v="DK1_Small"/>
    <x v="11"/>
    <x v="70"/>
    <x v="0"/>
    <x v="3"/>
    <n v="1.75"/>
    <n v="638.75"/>
    <n v="2299.5"/>
  </r>
  <r>
    <x v="0"/>
    <x v="0"/>
    <x v="0"/>
    <x v="0"/>
    <x v="0"/>
    <s v="DK1_Small"/>
    <x v="11"/>
    <x v="70"/>
    <x v="0"/>
    <x v="4"/>
    <n v="1.75"/>
    <n v="638.75"/>
    <n v="2299.5"/>
  </r>
  <r>
    <x v="0"/>
    <x v="0"/>
    <x v="0"/>
    <x v="0"/>
    <x v="0"/>
    <s v="DK1_Small"/>
    <x v="11"/>
    <x v="70"/>
    <x v="0"/>
    <x v="5"/>
    <n v="1.75"/>
    <n v="638.75"/>
    <n v="2299.5"/>
  </r>
  <r>
    <x v="0"/>
    <x v="0"/>
    <x v="0"/>
    <x v="0"/>
    <x v="0"/>
    <s v="DK1_Small"/>
    <x v="11"/>
    <x v="70"/>
    <x v="0"/>
    <x v="6"/>
    <n v="1.75"/>
    <n v="638.75"/>
    <n v="2299.5"/>
  </r>
  <r>
    <x v="0"/>
    <x v="0"/>
    <x v="0"/>
    <x v="0"/>
    <x v="0"/>
    <s v="DK1_Small"/>
    <x v="11"/>
    <x v="70"/>
    <x v="0"/>
    <x v="7"/>
    <n v="1.75"/>
    <n v="638.75"/>
    <n v="2299.5"/>
  </r>
  <r>
    <x v="0"/>
    <x v="0"/>
    <x v="0"/>
    <x v="0"/>
    <x v="0"/>
    <s v="DK1_Small"/>
    <x v="11"/>
    <x v="70"/>
    <x v="0"/>
    <x v="8"/>
    <n v="1.75"/>
    <n v="638.75"/>
    <n v="2299.5"/>
  </r>
  <r>
    <x v="0"/>
    <x v="0"/>
    <x v="0"/>
    <x v="0"/>
    <x v="0"/>
    <s v="DK1_Small"/>
    <x v="11"/>
    <x v="70"/>
    <x v="0"/>
    <x v="9"/>
    <n v="1.75"/>
    <n v="638.75"/>
    <n v="2299.5"/>
  </r>
  <r>
    <x v="0"/>
    <x v="0"/>
    <x v="0"/>
    <x v="0"/>
    <x v="0"/>
    <s v="DK1_Small"/>
    <x v="11"/>
    <x v="70"/>
    <x v="0"/>
    <x v="10"/>
    <n v="1.75"/>
    <n v="638.75"/>
    <n v="2299.5"/>
  </r>
  <r>
    <x v="0"/>
    <x v="0"/>
    <x v="0"/>
    <x v="0"/>
    <x v="0"/>
    <s v="DK1_Small"/>
    <x v="11"/>
    <x v="70"/>
    <x v="0"/>
    <x v="11"/>
    <n v="1.75"/>
    <n v="638.75"/>
    <n v="2299.5"/>
  </r>
  <r>
    <x v="0"/>
    <x v="0"/>
    <x v="0"/>
    <x v="0"/>
    <x v="0"/>
    <s v="DK1_Small"/>
    <x v="11"/>
    <x v="70"/>
    <x v="0"/>
    <x v="12"/>
    <n v="1.75"/>
    <n v="638.75"/>
    <n v="2299.5"/>
  </r>
  <r>
    <x v="0"/>
    <x v="0"/>
    <x v="0"/>
    <x v="0"/>
    <x v="0"/>
    <s v="DK1_Small"/>
    <x v="11"/>
    <x v="70"/>
    <x v="0"/>
    <x v="13"/>
    <n v="1.75"/>
    <n v="638.75"/>
    <n v="2299.5"/>
  </r>
  <r>
    <x v="0"/>
    <x v="0"/>
    <x v="0"/>
    <x v="0"/>
    <x v="0"/>
    <s v="DK1_Small"/>
    <x v="11"/>
    <x v="70"/>
    <x v="0"/>
    <x v="14"/>
    <n v="1.75"/>
    <n v="638.75"/>
    <n v="2299.5"/>
  </r>
  <r>
    <x v="0"/>
    <x v="0"/>
    <x v="0"/>
    <x v="0"/>
    <x v="0"/>
    <s v="DK1_Small"/>
    <x v="11"/>
    <x v="70"/>
    <x v="0"/>
    <x v="15"/>
    <n v="1.75"/>
    <n v="638.75"/>
    <n v="2299.5"/>
  </r>
  <r>
    <x v="0"/>
    <x v="0"/>
    <x v="0"/>
    <x v="0"/>
    <x v="0"/>
    <s v="DK1_Small"/>
    <x v="11"/>
    <x v="70"/>
    <x v="0"/>
    <x v="16"/>
    <n v="1.75"/>
    <n v="638.75"/>
    <n v="2299.5"/>
  </r>
  <r>
    <x v="0"/>
    <x v="0"/>
    <x v="0"/>
    <x v="0"/>
    <x v="0"/>
    <s v="DK1_Small"/>
    <x v="11"/>
    <x v="70"/>
    <x v="0"/>
    <x v="17"/>
    <n v="1.75"/>
    <n v="638.75"/>
    <n v="2299.5"/>
  </r>
  <r>
    <x v="0"/>
    <x v="0"/>
    <x v="0"/>
    <x v="0"/>
    <x v="0"/>
    <s v="DK1_Small"/>
    <x v="11"/>
    <x v="70"/>
    <x v="0"/>
    <x v="18"/>
    <n v="1.75"/>
    <n v="638.75"/>
    <n v="2299.5"/>
  </r>
  <r>
    <x v="0"/>
    <x v="0"/>
    <x v="0"/>
    <x v="0"/>
    <x v="0"/>
    <s v="DK1_Small"/>
    <x v="11"/>
    <x v="70"/>
    <x v="0"/>
    <x v="19"/>
    <n v="1.75"/>
    <n v="638.75"/>
    <n v="2299.5"/>
  </r>
  <r>
    <x v="0"/>
    <x v="0"/>
    <x v="0"/>
    <x v="0"/>
    <x v="0"/>
    <s v="DK1_Small"/>
    <x v="11"/>
    <x v="70"/>
    <x v="0"/>
    <x v="20"/>
    <n v="1.75"/>
    <n v="638.75"/>
    <n v="2299.5"/>
  </r>
  <r>
    <x v="0"/>
    <x v="0"/>
    <x v="0"/>
    <x v="0"/>
    <x v="0"/>
    <s v="DK1_Small"/>
    <x v="11"/>
    <x v="70"/>
    <x v="0"/>
    <x v="21"/>
    <n v="1.75"/>
    <n v="638.75"/>
    <n v="2299.5"/>
  </r>
  <r>
    <x v="0"/>
    <x v="0"/>
    <x v="0"/>
    <x v="0"/>
    <x v="0"/>
    <s v="DK1_Small"/>
    <x v="11"/>
    <x v="70"/>
    <x v="0"/>
    <x v="22"/>
    <n v="1.75"/>
    <n v="638.75"/>
    <n v="2299.5"/>
  </r>
  <r>
    <x v="0"/>
    <x v="0"/>
    <x v="0"/>
    <x v="0"/>
    <x v="0"/>
    <s v="DK1_Small"/>
    <x v="11"/>
    <x v="70"/>
    <x v="0"/>
    <x v="23"/>
    <n v="1.75"/>
    <n v="638.75"/>
    <n v="2299.5"/>
  </r>
  <r>
    <x v="0"/>
    <x v="0"/>
    <x v="0"/>
    <x v="0"/>
    <x v="0"/>
    <s v="DK1_Small"/>
    <x v="11"/>
    <x v="74"/>
    <x v="0"/>
    <x v="0"/>
    <n v="1.99775280898876"/>
    <n v="729.17977528089898"/>
    <n v="2625.0471910112401"/>
  </r>
  <r>
    <x v="0"/>
    <x v="0"/>
    <x v="0"/>
    <x v="0"/>
    <x v="0"/>
    <s v="DK1_Small"/>
    <x v="11"/>
    <x v="74"/>
    <x v="0"/>
    <x v="1"/>
    <n v="1.99775280898876"/>
    <n v="729.17977528089898"/>
    <n v="2625.0471910112401"/>
  </r>
  <r>
    <x v="0"/>
    <x v="0"/>
    <x v="0"/>
    <x v="0"/>
    <x v="0"/>
    <s v="DK1_Small"/>
    <x v="11"/>
    <x v="74"/>
    <x v="0"/>
    <x v="2"/>
    <n v="1.99775280898876"/>
    <n v="729.17977528089898"/>
    <n v="2625.0471910112401"/>
  </r>
  <r>
    <x v="0"/>
    <x v="0"/>
    <x v="0"/>
    <x v="0"/>
    <x v="0"/>
    <s v="DK1_Small"/>
    <x v="11"/>
    <x v="74"/>
    <x v="0"/>
    <x v="3"/>
    <n v="1.99775280898876"/>
    <n v="729.17977528089898"/>
    <n v="2625.0471910112401"/>
  </r>
  <r>
    <x v="0"/>
    <x v="0"/>
    <x v="0"/>
    <x v="0"/>
    <x v="0"/>
    <s v="DK1_Small"/>
    <x v="11"/>
    <x v="74"/>
    <x v="0"/>
    <x v="4"/>
    <n v="1.99775280898876"/>
    <n v="729.17977528089898"/>
    <n v="2625.0471910112401"/>
  </r>
  <r>
    <x v="0"/>
    <x v="0"/>
    <x v="0"/>
    <x v="0"/>
    <x v="0"/>
    <s v="DK1_Small"/>
    <x v="11"/>
    <x v="74"/>
    <x v="0"/>
    <x v="5"/>
    <n v="1.99775280898876"/>
    <n v="729.17977528089898"/>
    <n v="2625.0471910112401"/>
  </r>
  <r>
    <x v="0"/>
    <x v="0"/>
    <x v="0"/>
    <x v="0"/>
    <x v="0"/>
    <s v="DK1_Small"/>
    <x v="11"/>
    <x v="74"/>
    <x v="0"/>
    <x v="6"/>
    <n v="1.99775280898876"/>
    <n v="729.17977528089898"/>
    <n v="2625.0471910112401"/>
  </r>
  <r>
    <x v="0"/>
    <x v="0"/>
    <x v="0"/>
    <x v="0"/>
    <x v="0"/>
    <s v="DK1_Small"/>
    <x v="11"/>
    <x v="74"/>
    <x v="0"/>
    <x v="7"/>
    <n v="1.99775280898876"/>
    <n v="729.17977528089898"/>
    <n v="2625.0471910112401"/>
  </r>
  <r>
    <x v="0"/>
    <x v="0"/>
    <x v="0"/>
    <x v="0"/>
    <x v="0"/>
    <s v="DK1_Small"/>
    <x v="11"/>
    <x v="74"/>
    <x v="0"/>
    <x v="8"/>
    <n v="1.99775280898876"/>
    <n v="729.17977528089898"/>
    <n v="2625.0471910112401"/>
  </r>
  <r>
    <x v="0"/>
    <x v="0"/>
    <x v="0"/>
    <x v="0"/>
    <x v="0"/>
    <s v="DK1_Small"/>
    <x v="11"/>
    <x v="74"/>
    <x v="0"/>
    <x v="9"/>
    <n v="1.99775280898876"/>
    <n v="729.17977528089898"/>
    <n v="2625.0471910112401"/>
  </r>
  <r>
    <x v="0"/>
    <x v="0"/>
    <x v="0"/>
    <x v="0"/>
    <x v="0"/>
    <s v="DK1_Small"/>
    <x v="11"/>
    <x v="74"/>
    <x v="0"/>
    <x v="10"/>
    <n v="1.99775280898876"/>
    <n v="729.17977528089898"/>
    <n v="2625.0471910112401"/>
  </r>
  <r>
    <x v="0"/>
    <x v="0"/>
    <x v="0"/>
    <x v="0"/>
    <x v="0"/>
    <s v="DK1_Small"/>
    <x v="11"/>
    <x v="74"/>
    <x v="0"/>
    <x v="11"/>
    <n v="1.99775280898876"/>
    <n v="729.17977528089898"/>
    <n v="2625.0471910112401"/>
  </r>
  <r>
    <x v="0"/>
    <x v="0"/>
    <x v="0"/>
    <x v="0"/>
    <x v="0"/>
    <s v="DK1_Small"/>
    <x v="11"/>
    <x v="74"/>
    <x v="0"/>
    <x v="12"/>
    <n v="1.99775280898876"/>
    <n v="729.17977528089898"/>
    <n v="2625.0471910112401"/>
  </r>
  <r>
    <x v="0"/>
    <x v="0"/>
    <x v="0"/>
    <x v="0"/>
    <x v="0"/>
    <s v="DK1_Small"/>
    <x v="11"/>
    <x v="74"/>
    <x v="0"/>
    <x v="13"/>
    <n v="1.99775280898876"/>
    <n v="729.17977528089898"/>
    <n v="2625.0471910112401"/>
  </r>
  <r>
    <x v="0"/>
    <x v="0"/>
    <x v="0"/>
    <x v="0"/>
    <x v="0"/>
    <s v="DK1_Small"/>
    <x v="11"/>
    <x v="74"/>
    <x v="0"/>
    <x v="14"/>
    <n v="1.99775280898876"/>
    <n v="729.17977528089898"/>
    <n v="2625.0471910112401"/>
  </r>
  <r>
    <x v="0"/>
    <x v="0"/>
    <x v="0"/>
    <x v="0"/>
    <x v="0"/>
    <s v="DK1_Small"/>
    <x v="11"/>
    <x v="74"/>
    <x v="0"/>
    <x v="15"/>
    <n v="1.99775280898876"/>
    <n v="729.17977528089898"/>
    <n v="2625.0471910112401"/>
  </r>
  <r>
    <x v="0"/>
    <x v="0"/>
    <x v="0"/>
    <x v="0"/>
    <x v="0"/>
    <s v="DK1_Small"/>
    <x v="11"/>
    <x v="74"/>
    <x v="0"/>
    <x v="16"/>
    <n v="1.99775280898876"/>
    <n v="729.17977528089898"/>
    <n v="2625.0471910112401"/>
  </r>
  <r>
    <x v="0"/>
    <x v="0"/>
    <x v="0"/>
    <x v="0"/>
    <x v="0"/>
    <s v="DK1_Small"/>
    <x v="11"/>
    <x v="74"/>
    <x v="0"/>
    <x v="17"/>
    <n v="1.99775280898876"/>
    <n v="729.17977528089898"/>
    <n v="2625.0471910112401"/>
  </r>
  <r>
    <x v="0"/>
    <x v="0"/>
    <x v="0"/>
    <x v="0"/>
    <x v="0"/>
    <s v="DK1_Small"/>
    <x v="11"/>
    <x v="74"/>
    <x v="0"/>
    <x v="18"/>
    <n v="1.99775280898876"/>
    <n v="729.17977528089898"/>
    <n v="2625.0471910112401"/>
  </r>
  <r>
    <x v="0"/>
    <x v="0"/>
    <x v="0"/>
    <x v="0"/>
    <x v="0"/>
    <s v="DK1_Small"/>
    <x v="11"/>
    <x v="74"/>
    <x v="0"/>
    <x v="19"/>
    <n v="1.99775280898876"/>
    <n v="729.17977528089898"/>
    <n v="2625.0471910112401"/>
  </r>
  <r>
    <x v="0"/>
    <x v="0"/>
    <x v="0"/>
    <x v="0"/>
    <x v="0"/>
    <s v="DK1_Small"/>
    <x v="11"/>
    <x v="74"/>
    <x v="0"/>
    <x v="20"/>
    <n v="1.99775280898876"/>
    <n v="729.17977528089898"/>
    <n v="2625.0471910112401"/>
  </r>
  <r>
    <x v="0"/>
    <x v="0"/>
    <x v="0"/>
    <x v="0"/>
    <x v="0"/>
    <s v="DK1_Small"/>
    <x v="11"/>
    <x v="74"/>
    <x v="0"/>
    <x v="21"/>
    <n v="1.99775280898876"/>
    <n v="729.17977528089898"/>
    <n v="2625.0471910112401"/>
  </r>
  <r>
    <x v="0"/>
    <x v="0"/>
    <x v="0"/>
    <x v="0"/>
    <x v="0"/>
    <s v="DK1_Small"/>
    <x v="11"/>
    <x v="74"/>
    <x v="0"/>
    <x v="22"/>
    <n v="1.99775280898876"/>
    <n v="729.17977528089898"/>
    <n v="2625.0471910112401"/>
  </r>
  <r>
    <x v="0"/>
    <x v="0"/>
    <x v="0"/>
    <x v="0"/>
    <x v="0"/>
    <s v="DK1_Small"/>
    <x v="11"/>
    <x v="74"/>
    <x v="0"/>
    <x v="23"/>
    <n v="1.99775280898876"/>
    <n v="729.17977528089898"/>
    <n v="2625.0471910112401"/>
  </r>
  <r>
    <x v="0"/>
    <x v="0"/>
    <x v="0"/>
    <x v="0"/>
    <x v="1"/>
    <s v="DK2_Large"/>
    <x v="0"/>
    <x v="0"/>
    <x v="0"/>
    <x v="0"/>
    <n v="13.3333333333333"/>
    <n v="4866.6666666666697"/>
    <n v="17520"/>
  </r>
  <r>
    <x v="0"/>
    <x v="0"/>
    <x v="0"/>
    <x v="0"/>
    <x v="1"/>
    <s v="DK2_Large"/>
    <x v="0"/>
    <x v="0"/>
    <x v="0"/>
    <x v="1"/>
    <n v="13.3333333333333"/>
    <n v="4866.6666666666697"/>
    <n v="17520"/>
  </r>
  <r>
    <x v="0"/>
    <x v="0"/>
    <x v="0"/>
    <x v="0"/>
    <x v="1"/>
    <s v="DK2_Large"/>
    <x v="0"/>
    <x v="0"/>
    <x v="0"/>
    <x v="2"/>
    <n v="13.3333333333333"/>
    <n v="4866.6666666666697"/>
    <n v="17520"/>
  </r>
  <r>
    <x v="0"/>
    <x v="0"/>
    <x v="0"/>
    <x v="0"/>
    <x v="1"/>
    <s v="DK2_Large"/>
    <x v="0"/>
    <x v="0"/>
    <x v="0"/>
    <x v="3"/>
    <n v="13.3333333333333"/>
    <n v="4866.6666666666697"/>
    <n v="17520"/>
  </r>
  <r>
    <x v="0"/>
    <x v="0"/>
    <x v="0"/>
    <x v="0"/>
    <x v="1"/>
    <s v="DK2_Large"/>
    <x v="0"/>
    <x v="0"/>
    <x v="0"/>
    <x v="4"/>
    <n v="13.3333333333333"/>
    <n v="4866.6666666666697"/>
    <n v="17520"/>
  </r>
  <r>
    <x v="0"/>
    <x v="0"/>
    <x v="0"/>
    <x v="0"/>
    <x v="1"/>
    <s v="DK2_Large"/>
    <x v="0"/>
    <x v="0"/>
    <x v="0"/>
    <x v="5"/>
    <n v="13.3333333333333"/>
    <n v="4866.6666666666697"/>
    <n v="17520"/>
  </r>
  <r>
    <x v="0"/>
    <x v="0"/>
    <x v="0"/>
    <x v="0"/>
    <x v="1"/>
    <s v="DK2_Large"/>
    <x v="0"/>
    <x v="0"/>
    <x v="0"/>
    <x v="6"/>
    <n v="13.3333333333333"/>
    <n v="4866.6666666666697"/>
    <n v="17520"/>
  </r>
  <r>
    <x v="0"/>
    <x v="0"/>
    <x v="0"/>
    <x v="0"/>
    <x v="1"/>
    <s v="DK2_Large"/>
    <x v="0"/>
    <x v="0"/>
    <x v="0"/>
    <x v="7"/>
    <n v="13.3333333333333"/>
    <n v="4866.6666666666697"/>
    <n v="17520"/>
  </r>
  <r>
    <x v="0"/>
    <x v="0"/>
    <x v="0"/>
    <x v="0"/>
    <x v="1"/>
    <s v="DK2_Large"/>
    <x v="0"/>
    <x v="0"/>
    <x v="0"/>
    <x v="8"/>
    <n v="13.3333333333333"/>
    <n v="4866.6666666666697"/>
    <n v="17520"/>
  </r>
  <r>
    <x v="0"/>
    <x v="0"/>
    <x v="0"/>
    <x v="0"/>
    <x v="1"/>
    <s v="DK2_Large"/>
    <x v="0"/>
    <x v="0"/>
    <x v="0"/>
    <x v="9"/>
    <n v="13.3333333333333"/>
    <n v="4866.6666666666697"/>
    <n v="17520"/>
  </r>
  <r>
    <x v="0"/>
    <x v="0"/>
    <x v="0"/>
    <x v="0"/>
    <x v="1"/>
    <s v="DK2_Large"/>
    <x v="0"/>
    <x v="0"/>
    <x v="0"/>
    <x v="10"/>
    <n v="13.3333333333333"/>
    <n v="4866.6666666666697"/>
    <n v="17520"/>
  </r>
  <r>
    <x v="0"/>
    <x v="0"/>
    <x v="0"/>
    <x v="0"/>
    <x v="1"/>
    <s v="DK2_Large"/>
    <x v="0"/>
    <x v="0"/>
    <x v="0"/>
    <x v="11"/>
    <n v="13.3333333333333"/>
    <n v="4866.6666666666697"/>
    <n v="17520"/>
  </r>
  <r>
    <x v="0"/>
    <x v="0"/>
    <x v="0"/>
    <x v="0"/>
    <x v="1"/>
    <s v="DK2_Large"/>
    <x v="0"/>
    <x v="0"/>
    <x v="0"/>
    <x v="12"/>
    <n v="13.3333333333333"/>
    <n v="4866.6666666666697"/>
    <n v="17520"/>
  </r>
  <r>
    <x v="0"/>
    <x v="0"/>
    <x v="0"/>
    <x v="0"/>
    <x v="1"/>
    <s v="DK2_Large"/>
    <x v="0"/>
    <x v="0"/>
    <x v="0"/>
    <x v="13"/>
    <n v="13.3333333333333"/>
    <n v="4866.6666666666697"/>
    <n v="17520"/>
  </r>
  <r>
    <x v="0"/>
    <x v="0"/>
    <x v="0"/>
    <x v="0"/>
    <x v="1"/>
    <s v="DK2_Large"/>
    <x v="0"/>
    <x v="0"/>
    <x v="0"/>
    <x v="14"/>
    <n v="13.3333333333333"/>
    <n v="4866.6666666666697"/>
    <n v="17520"/>
  </r>
  <r>
    <x v="0"/>
    <x v="0"/>
    <x v="0"/>
    <x v="0"/>
    <x v="1"/>
    <s v="DK2_Large"/>
    <x v="0"/>
    <x v="0"/>
    <x v="0"/>
    <x v="15"/>
    <n v="13.3333333333333"/>
    <n v="4866.6666666666697"/>
    <n v="17520"/>
  </r>
  <r>
    <x v="0"/>
    <x v="0"/>
    <x v="0"/>
    <x v="0"/>
    <x v="1"/>
    <s v="DK2_Large"/>
    <x v="0"/>
    <x v="0"/>
    <x v="0"/>
    <x v="16"/>
    <n v="13.3333333333333"/>
    <n v="4866.6666666666697"/>
    <n v="17520"/>
  </r>
  <r>
    <x v="0"/>
    <x v="0"/>
    <x v="0"/>
    <x v="0"/>
    <x v="1"/>
    <s v="DK2_Large"/>
    <x v="0"/>
    <x v="0"/>
    <x v="0"/>
    <x v="17"/>
    <n v="13.3333333333333"/>
    <n v="4866.6666666666697"/>
    <n v="17520"/>
  </r>
  <r>
    <x v="0"/>
    <x v="0"/>
    <x v="0"/>
    <x v="0"/>
    <x v="1"/>
    <s v="DK2_Large"/>
    <x v="0"/>
    <x v="0"/>
    <x v="0"/>
    <x v="18"/>
    <n v="13.3333333333333"/>
    <n v="4866.6666666666697"/>
    <n v="17520"/>
  </r>
  <r>
    <x v="0"/>
    <x v="0"/>
    <x v="0"/>
    <x v="0"/>
    <x v="1"/>
    <s v="DK2_Large"/>
    <x v="0"/>
    <x v="0"/>
    <x v="0"/>
    <x v="19"/>
    <n v="13.3333333333333"/>
    <n v="4866.6666666666697"/>
    <n v="17520"/>
  </r>
  <r>
    <x v="0"/>
    <x v="0"/>
    <x v="0"/>
    <x v="0"/>
    <x v="1"/>
    <s v="DK2_Large"/>
    <x v="0"/>
    <x v="0"/>
    <x v="0"/>
    <x v="20"/>
    <n v="13.3333333333333"/>
    <n v="4866.6666666666697"/>
    <n v="17520"/>
  </r>
  <r>
    <x v="0"/>
    <x v="0"/>
    <x v="0"/>
    <x v="0"/>
    <x v="1"/>
    <s v="DK2_Large"/>
    <x v="0"/>
    <x v="0"/>
    <x v="0"/>
    <x v="21"/>
    <n v="13.3333333333333"/>
    <n v="4866.6666666666697"/>
    <n v="17520"/>
  </r>
  <r>
    <x v="0"/>
    <x v="0"/>
    <x v="0"/>
    <x v="0"/>
    <x v="1"/>
    <s v="DK2_Large"/>
    <x v="0"/>
    <x v="0"/>
    <x v="0"/>
    <x v="22"/>
    <n v="13.3333333333333"/>
    <n v="4866.6666666666697"/>
    <n v="17520"/>
  </r>
  <r>
    <x v="0"/>
    <x v="0"/>
    <x v="0"/>
    <x v="0"/>
    <x v="1"/>
    <s v="DK2_Large"/>
    <x v="0"/>
    <x v="0"/>
    <x v="0"/>
    <x v="23"/>
    <n v="13.3333333333333"/>
    <n v="4866.6666666666697"/>
    <n v="17520"/>
  </r>
  <r>
    <x v="0"/>
    <x v="0"/>
    <x v="0"/>
    <x v="0"/>
    <x v="1"/>
    <s v="DK2_Large"/>
    <x v="0"/>
    <x v="1"/>
    <x v="0"/>
    <x v="0"/>
    <n v="0.8"/>
    <n v="292"/>
    <n v="1051.2"/>
  </r>
  <r>
    <x v="0"/>
    <x v="0"/>
    <x v="0"/>
    <x v="0"/>
    <x v="1"/>
    <s v="DK2_Large"/>
    <x v="0"/>
    <x v="1"/>
    <x v="0"/>
    <x v="1"/>
    <n v="0.8"/>
    <n v="292"/>
    <n v="1051.2"/>
  </r>
  <r>
    <x v="0"/>
    <x v="0"/>
    <x v="0"/>
    <x v="0"/>
    <x v="1"/>
    <s v="DK2_Large"/>
    <x v="0"/>
    <x v="1"/>
    <x v="0"/>
    <x v="2"/>
    <n v="0.8"/>
    <n v="292"/>
    <n v="1051.2"/>
  </r>
  <r>
    <x v="0"/>
    <x v="0"/>
    <x v="0"/>
    <x v="0"/>
    <x v="1"/>
    <s v="DK2_Large"/>
    <x v="0"/>
    <x v="1"/>
    <x v="0"/>
    <x v="3"/>
    <n v="0.8"/>
    <n v="292"/>
    <n v="1051.2"/>
  </r>
  <r>
    <x v="0"/>
    <x v="0"/>
    <x v="0"/>
    <x v="0"/>
    <x v="1"/>
    <s v="DK2_Large"/>
    <x v="0"/>
    <x v="1"/>
    <x v="0"/>
    <x v="4"/>
    <n v="0.8"/>
    <n v="292"/>
    <n v="1051.2"/>
  </r>
  <r>
    <x v="0"/>
    <x v="0"/>
    <x v="0"/>
    <x v="0"/>
    <x v="1"/>
    <s v="DK2_Large"/>
    <x v="0"/>
    <x v="1"/>
    <x v="0"/>
    <x v="5"/>
    <n v="0.8"/>
    <n v="292"/>
    <n v="1051.2"/>
  </r>
  <r>
    <x v="0"/>
    <x v="0"/>
    <x v="0"/>
    <x v="0"/>
    <x v="1"/>
    <s v="DK2_Large"/>
    <x v="0"/>
    <x v="1"/>
    <x v="0"/>
    <x v="6"/>
    <n v="0.8"/>
    <n v="292"/>
    <n v="1051.2"/>
  </r>
  <r>
    <x v="0"/>
    <x v="0"/>
    <x v="0"/>
    <x v="0"/>
    <x v="1"/>
    <s v="DK2_Large"/>
    <x v="0"/>
    <x v="1"/>
    <x v="0"/>
    <x v="7"/>
    <n v="0.8"/>
    <n v="292"/>
    <n v="1051.2"/>
  </r>
  <r>
    <x v="0"/>
    <x v="0"/>
    <x v="0"/>
    <x v="0"/>
    <x v="1"/>
    <s v="DK2_Large"/>
    <x v="0"/>
    <x v="1"/>
    <x v="0"/>
    <x v="8"/>
    <n v="0.8"/>
    <n v="292"/>
    <n v="1051.2"/>
  </r>
  <r>
    <x v="0"/>
    <x v="0"/>
    <x v="0"/>
    <x v="0"/>
    <x v="1"/>
    <s v="DK2_Large"/>
    <x v="0"/>
    <x v="1"/>
    <x v="0"/>
    <x v="9"/>
    <n v="0.8"/>
    <n v="292"/>
    <n v="1051.2"/>
  </r>
  <r>
    <x v="0"/>
    <x v="0"/>
    <x v="0"/>
    <x v="0"/>
    <x v="1"/>
    <s v="DK2_Large"/>
    <x v="0"/>
    <x v="1"/>
    <x v="0"/>
    <x v="10"/>
    <n v="0.8"/>
    <n v="292"/>
    <n v="1051.2"/>
  </r>
  <r>
    <x v="0"/>
    <x v="0"/>
    <x v="0"/>
    <x v="0"/>
    <x v="1"/>
    <s v="DK2_Large"/>
    <x v="0"/>
    <x v="1"/>
    <x v="0"/>
    <x v="11"/>
    <n v="0.8"/>
    <n v="292"/>
    <n v="1051.2"/>
  </r>
  <r>
    <x v="0"/>
    <x v="0"/>
    <x v="0"/>
    <x v="0"/>
    <x v="1"/>
    <s v="DK2_Large"/>
    <x v="0"/>
    <x v="1"/>
    <x v="0"/>
    <x v="12"/>
    <n v="0.8"/>
    <n v="292"/>
    <n v="1051.2"/>
  </r>
  <r>
    <x v="0"/>
    <x v="0"/>
    <x v="0"/>
    <x v="0"/>
    <x v="1"/>
    <s v="DK2_Large"/>
    <x v="0"/>
    <x v="1"/>
    <x v="0"/>
    <x v="13"/>
    <n v="0.8"/>
    <n v="292"/>
    <n v="1051.2"/>
  </r>
  <r>
    <x v="0"/>
    <x v="0"/>
    <x v="0"/>
    <x v="0"/>
    <x v="1"/>
    <s v="DK2_Large"/>
    <x v="0"/>
    <x v="1"/>
    <x v="0"/>
    <x v="14"/>
    <n v="0.8"/>
    <n v="292"/>
    <n v="1051.2"/>
  </r>
  <r>
    <x v="0"/>
    <x v="0"/>
    <x v="0"/>
    <x v="0"/>
    <x v="1"/>
    <s v="DK2_Large"/>
    <x v="0"/>
    <x v="1"/>
    <x v="0"/>
    <x v="15"/>
    <n v="0.8"/>
    <n v="292"/>
    <n v="1051.2"/>
  </r>
  <r>
    <x v="0"/>
    <x v="0"/>
    <x v="0"/>
    <x v="0"/>
    <x v="1"/>
    <s v="DK2_Large"/>
    <x v="0"/>
    <x v="1"/>
    <x v="0"/>
    <x v="16"/>
    <n v="0.8"/>
    <n v="292"/>
    <n v="1051.2"/>
  </r>
  <r>
    <x v="0"/>
    <x v="0"/>
    <x v="0"/>
    <x v="0"/>
    <x v="1"/>
    <s v="DK2_Large"/>
    <x v="0"/>
    <x v="1"/>
    <x v="0"/>
    <x v="17"/>
    <n v="0.8"/>
    <n v="292"/>
    <n v="1051.2"/>
  </r>
  <r>
    <x v="0"/>
    <x v="0"/>
    <x v="0"/>
    <x v="0"/>
    <x v="1"/>
    <s v="DK2_Large"/>
    <x v="0"/>
    <x v="1"/>
    <x v="0"/>
    <x v="18"/>
    <n v="0.8"/>
    <n v="292"/>
    <n v="1051.2"/>
  </r>
  <r>
    <x v="0"/>
    <x v="0"/>
    <x v="0"/>
    <x v="0"/>
    <x v="1"/>
    <s v="DK2_Large"/>
    <x v="0"/>
    <x v="1"/>
    <x v="0"/>
    <x v="19"/>
    <n v="0.8"/>
    <n v="292"/>
    <n v="1051.2"/>
  </r>
  <r>
    <x v="0"/>
    <x v="0"/>
    <x v="0"/>
    <x v="0"/>
    <x v="1"/>
    <s v="DK2_Large"/>
    <x v="0"/>
    <x v="1"/>
    <x v="0"/>
    <x v="20"/>
    <n v="0.8"/>
    <n v="292"/>
    <n v="1051.2"/>
  </r>
  <r>
    <x v="0"/>
    <x v="0"/>
    <x v="0"/>
    <x v="0"/>
    <x v="1"/>
    <s v="DK2_Large"/>
    <x v="0"/>
    <x v="1"/>
    <x v="0"/>
    <x v="21"/>
    <n v="0.8"/>
    <n v="292"/>
    <n v="1051.2"/>
  </r>
  <r>
    <x v="0"/>
    <x v="0"/>
    <x v="0"/>
    <x v="0"/>
    <x v="1"/>
    <s v="DK2_Large"/>
    <x v="0"/>
    <x v="1"/>
    <x v="0"/>
    <x v="22"/>
    <n v="0.8"/>
    <n v="292"/>
    <n v="1051.2"/>
  </r>
  <r>
    <x v="0"/>
    <x v="0"/>
    <x v="0"/>
    <x v="0"/>
    <x v="1"/>
    <s v="DK2_Large"/>
    <x v="0"/>
    <x v="1"/>
    <x v="0"/>
    <x v="23"/>
    <n v="0.8"/>
    <n v="292"/>
    <n v="1051.2"/>
  </r>
  <r>
    <x v="0"/>
    <x v="0"/>
    <x v="0"/>
    <x v="0"/>
    <x v="1"/>
    <s v="DK2_Large"/>
    <x v="0"/>
    <x v="37"/>
    <x v="0"/>
    <x v="0"/>
    <n v="1.57894736842105"/>
    <n v="576.31578947368405"/>
    <n v="2074.7368421052602"/>
  </r>
  <r>
    <x v="0"/>
    <x v="0"/>
    <x v="0"/>
    <x v="0"/>
    <x v="1"/>
    <s v="DK2_Large"/>
    <x v="0"/>
    <x v="37"/>
    <x v="0"/>
    <x v="1"/>
    <n v="1.57894736842105"/>
    <n v="576.31578947368405"/>
    <n v="2074.7368421052602"/>
  </r>
  <r>
    <x v="0"/>
    <x v="0"/>
    <x v="0"/>
    <x v="0"/>
    <x v="1"/>
    <s v="DK2_Large"/>
    <x v="0"/>
    <x v="37"/>
    <x v="0"/>
    <x v="2"/>
    <n v="1.57894736842105"/>
    <n v="576.31578947368405"/>
    <n v="2074.7368421052602"/>
  </r>
  <r>
    <x v="0"/>
    <x v="0"/>
    <x v="0"/>
    <x v="0"/>
    <x v="1"/>
    <s v="DK2_Large"/>
    <x v="0"/>
    <x v="37"/>
    <x v="0"/>
    <x v="3"/>
    <n v="1.57894736842105"/>
    <n v="576.31578947368405"/>
    <n v="2074.7368421052602"/>
  </r>
  <r>
    <x v="0"/>
    <x v="0"/>
    <x v="0"/>
    <x v="0"/>
    <x v="1"/>
    <s v="DK2_Large"/>
    <x v="0"/>
    <x v="37"/>
    <x v="0"/>
    <x v="4"/>
    <n v="1.57894736842105"/>
    <n v="576.31578947368405"/>
    <n v="2074.7368421052602"/>
  </r>
  <r>
    <x v="0"/>
    <x v="0"/>
    <x v="0"/>
    <x v="0"/>
    <x v="1"/>
    <s v="DK2_Large"/>
    <x v="0"/>
    <x v="37"/>
    <x v="0"/>
    <x v="5"/>
    <n v="1.57894736842105"/>
    <n v="576.31578947368405"/>
    <n v="2074.7368421052602"/>
  </r>
  <r>
    <x v="0"/>
    <x v="0"/>
    <x v="0"/>
    <x v="0"/>
    <x v="1"/>
    <s v="DK2_Large"/>
    <x v="0"/>
    <x v="37"/>
    <x v="0"/>
    <x v="6"/>
    <n v="1.57894736842105"/>
    <n v="576.31578947368405"/>
    <n v="2074.7368421052602"/>
  </r>
  <r>
    <x v="0"/>
    <x v="0"/>
    <x v="0"/>
    <x v="0"/>
    <x v="1"/>
    <s v="DK2_Large"/>
    <x v="0"/>
    <x v="37"/>
    <x v="0"/>
    <x v="7"/>
    <n v="1.57894736842105"/>
    <n v="576.31578947368405"/>
    <n v="2074.7368421052602"/>
  </r>
  <r>
    <x v="0"/>
    <x v="0"/>
    <x v="0"/>
    <x v="0"/>
    <x v="1"/>
    <s v="DK2_Large"/>
    <x v="0"/>
    <x v="37"/>
    <x v="0"/>
    <x v="8"/>
    <n v="1.57894736842105"/>
    <n v="576.31578947368405"/>
    <n v="2074.7368421052602"/>
  </r>
  <r>
    <x v="0"/>
    <x v="0"/>
    <x v="0"/>
    <x v="0"/>
    <x v="1"/>
    <s v="DK2_Large"/>
    <x v="0"/>
    <x v="37"/>
    <x v="0"/>
    <x v="9"/>
    <n v="1.57894736842105"/>
    <n v="576.31578947368405"/>
    <n v="2074.7368421052602"/>
  </r>
  <r>
    <x v="0"/>
    <x v="0"/>
    <x v="0"/>
    <x v="0"/>
    <x v="1"/>
    <s v="DK2_Large"/>
    <x v="0"/>
    <x v="37"/>
    <x v="0"/>
    <x v="10"/>
    <n v="1.57894736842105"/>
    <n v="576.31578947368405"/>
    <n v="2074.7368421052602"/>
  </r>
  <r>
    <x v="0"/>
    <x v="0"/>
    <x v="0"/>
    <x v="0"/>
    <x v="1"/>
    <s v="DK2_Large"/>
    <x v="0"/>
    <x v="37"/>
    <x v="0"/>
    <x v="11"/>
    <n v="1.57894736842105"/>
    <n v="576.31578947368405"/>
    <n v="2074.7368421052602"/>
  </r>
  <r>
    <x v="0"/>
    <x v="0"/>
    <x v="0"/>
    <x v="0"/>
    <x v="1"/>
    <s v="DK2_Large"/>
    <x v="0"/>
    <x v="37"/>
    <x v="0"/>
    <x v="12"/>
    <n v="1.57894736842105"/>
    <n v="576.31578947368405"/>
    <n v="2074.7368421052602"/>
  </r>
  <r>
    <x v="0"/>
    <x v="0"/>
    <x v="0"/>
    <x v="0"/>
    <x v="1"/>
    <s v="DK2_Large"/>
    <x v="0"/>
    <x v="37"/>
    <x v="0"/>
    <x v="13"/>
    <n v="1.57894736842105"/>
    <n v="576.31578947368405"/>
    <n v="2074.7368421052602"/>
  </r>
  <r>
    <x v="0"/>
    <x v="0"/>
    <x v="0"/>
    <x v="0"/>
    <x v="1"/>
    <s v="DK2_Large"/>
    <x v="0"/>
    <x v="37"/>
    <x v="0"/>
    <x v="14"/>
    <n v="1.57894736842105"/>
    <n v="576.31578947368405"/>
    <n v="2074.7368421052602"/>
  </r>
  <r>
    <x v="0"/>
    <x v="0"/>
    <x v="0"/>
    <x v="0"/>
    <x v="1"/>
    <s v="DK2_Large"/>
    <x v="0"/>
    <x v="37"/>
    <x v="0"/>
    <x v="15"/>
    <n v="1.57894736842105"/>
    <n v="576.31578947368405"/>
    <n v="2074.7368421052602"/>
  </r>
  <r>
    <x v="0"/>
    <x v="0"/>
    <x v="0"/>
    <x v="0"/>
    <x v="1"/>
    <s v="DK2_Large"/>
    <x v="0"/>
    <x v="37"/>
    <x v="0"/>
    <x v="16"/>
    <n v="1.57894736842105"/>
    <n v="576.31578947368405"/>
    <n v="2074.7368421052602"/>
  </r>
  <r>
    <x v="0"/>
    <x v="0"/>
    <x v="0"/>
    <x v="0"/>
    <x v="1"/>
    <s v="DK2_Large"/>
    <x v="0"/>
    <x v="37"/>
    <x v="0"/>
    <x v="17"/>
    <n v="1.57894736842105"/>
    <n v="576.31578947368405"/>
    <n v="2074.7368421052602"/>
  </r>
  <r>
    <x v="0"/>
    <x v="0"/>
    <x v="0"/>
    <x v="0"/>
    <x v="1"/>
    <s v="DK2_Large"/>
    <x v="0"/>
    <x v="37"/>
    <x v="0"/>
    <x v="18"/>
    <n v="1.57894736842105"/>
    <n v="576.31578947368405"/>
    <n v="2074.7368421052602"/>
  </r>
  <r>
    <x v="0"/>
    <x v="0"/>
    <x v="0"/>
    <x v="0"/>
    <x v="1"/>
    <s v="DK2_Large"/>
    <x v="0"/>
    <x v="37"/>
    <x v="0"/>
    <x v="19"/>
    <n v="1.57894736842105"/>
    <n v="576.31578947368405"/>
    <n v="2074.7368421052602"/>
  </r>
  <r>
    <x v="0"/>
    <x v="0"/>
    <x v="0"/>
    <x v="0"/>
    <x v="1"/>
    <s v="DK2_Large"/>
    <x v="0"/>
    <x v="37"/>
    <x v="0"/>
    <x v="20"/>
    <n v="1.57894736842105"/>
    <n v="576.31578947368405"/>
    <n v="2074.7368421052602"/>
  </r>
  <r>
    <x v="0"/>
    <x v="0"/>
    <x v="0"/>
    <x v="0"/>
    <x v="1"/>
    <s v="DK2_Large"/>
    <x v="0"/>
    <x v="37"/>
    <x v="0"/>
    <x v="21"/>
    <n v="1.57894736842105"/>
    <n v="576.31578947368405"/>
    <n v="2074.7368421052602"/>
  </r>
  <r>
    <x v="0"/>
    <x v="0"/>
    <x v="0"/>
    <x v="0"/>
    <x v="1"/>
    <s v="DK2_Large"/>
    <x v="0"/>
    <x v="37"/>
    <x v="0"/>
    <x v="22"/>
    <n v="1.57894736842105"/>
    <n v="576.31578947368405"/>
    <n v="2074.7368421052602"/>
  </r>
  <r>
    <x v="0"/>
    <x v="0"/>
    <x v="0"/>
    <x v="0"/>
    <x v="1"/>
    <s v="DK2_Large"/>
    <x v="0"/>
    <x v="37"/>
    <x v="0"/>
    <x v="23"/>
    <n v="1.57894736842105"/>
    <n v="576.31578947368405"/>
    <n v="2074.7368421052602"/>
  </r>
  <r>
    <x v="0"/>
    <x v="0"/>
    <x v="0"/>
    <x v="0"/>
    <x v="1"/>
    <s v="DK2_Large"/>
    <x v="0"/>
    <x v="8"/>
    <x v="0"/>
    <x v="0"/>
    <n v="7.2547619047619101"/>
    <n v="2647.9880952381"/>
    <n v="9532.75714285715"/>
  </r>
  <r>
    <x v="0"/>
    <x v="0"/>
    <x v="0"/>
    <x v="0"/>
    <x v="1"/>
    <s v="DK2_Large"/>
    <x v="0"/>
    <x v="8"/>
    <x v="0"/>
    <x v="1"/>
    <n v="7.2547619047619101"/>
    <n v="2647.9880952381"/>
    <n v="9532.75714285715"/>
  </r>
  <r>
    <x v="0"/>
    <x v="0"/>
    <x v="0"/>
    <x v="0"/>
    <x v="1"/>
    <s v="DK2_Large"/>
    <x v="0"/>
    <x v="8"/>
    <x v="0"/>
    <x v="2"/>
    <n v="7.2547619047619101"/>
    <n v="2647.9880952381"/>
    <n v="9532.75714285715"/>
  </r>
  <r>
    <x v="0"/>
    <x v="0"/>
    <x v="0"/>
    <x v="0"/>
    <x v="1"/>
    <s v="DK2_Large"/>
    <x v="0"/>
    <x v="8"/>
    <x v="0"/>
    <x v="3"/>
    <n v="7.2547619047619101"/>
    <n v="2647.9880952381"/>
    <n v="9532.75714285715"/>
  </r>
  <r>
    <x v="0"/>
    <x v="0"/>
    <x v="0"/>
    <x v="0"/>
    <x v="1"/>
    <s v="DK2_Large"/>
    <x v="0"/>
    <x v="8"/>
    <x v="0"/>
    <x v="4"/>
    <n v="7.2547619047619101"/>
    <n v="2647.9880952381"/>
    <n v="9532.75714285715"/>
  </r>
  <r>
    <x v="0"/>
    <x v="0"/>
    <x v="0"/>
    <x v="0"/>
    <x v="1"/>
    <s v="DK2_Large"/>
    <x v="0"/>
    <x v="8"/>
    <x v="0"/>
    <x v="5"/>
    <n v="7.2547619047619101"/>
    <n v="2647.9880952381"/>
    <n v="9532.75714285715"/>
  </r>
  <r>
    <x v="0"/>
    <x v="0"/>
    <x v="0"/>
    <x v="0"/>
    <x v="1"/>
    <s v="DK2_Large"/>
    <x v="0"/>
    <x v="8"/>
    <x v="0"/>
    <x v="6"/>
    <n v="7.2547619047619101"/>
    <n v="2647.9880952381"/>
    <n v="9532.75714285715"/>
  </r>
  <r>
    <x v="0"/>
    <x v="0"/>
    <x v="0"/>
    <x v="0"/>
    <x v="1"/>
    <s v="DK2_Large"/>
    <x v="0"/>
    <x v="8"/>
    <x v="0"/>
    <x v="7"/>
    <n v="7.2547619047619101"/>
    <n v="2647.9880952381"/>
    <n v="9532.75714285715"/>
  </r>
  <r>
    <x v="0"/>
    <x v="0"/>
    <x v="0"/>
    <x v="0"/>
    <x v="1"/>
    <s v="DK2_Large"/>
    <x v="0"/>
    <x v="8"/>
    <x v="0"/>
    <x v="8"/>
    <n v="7.2547619047619101"/>
    <n v="2647.9880952381"/>
    <n v="9532.75714285715"/>
  </r>
  <r>
    <x v="0"/>
    <x v="0"/>
    <x v="0"/>
    <x v="0"/>
    <x v="1"/>
    <s v="DK2_Large"/>
    <x v="0"/>
    <x v="8"/>
    <x v="0"/>
    <x v="9"/>
    <n v="7.2547619047619101"/>
    <n v="2647.9880952381"/>
    <n v="9532.75714285715"/>
  </r>
  <r>
    <x v="0"/>
    <x v="0"/>
    <x v="0"/>
    <x v="0"/>
    <x v="1"/>
    <s v="DK2_Large"/>
    <x v="0"/>
    <x v="8"/>
    <x v="0"/>
    <x v="10"/>
    <n v="7.2547619047619101"/>
    <n v="2647.9880952381"/>
    <n v="9532.75714285715"/>
  </r>
  <r>
    <x v="0"/>
    <x v="0"/>
    <x v="0"/>
    <x v="0"/>
    <x v="1"/>
    <s v="DK2_Large"/>
    <x v="0"/>
    <x v="8"/>
    <x v="0"/>
    <x v="11"/>
    <n v="7.2547619047619101"/>
    <n v="2647.9880952381"/>
    <n v="9532.75714285715"/>
  </r>
  <r>
    <x v="0"/>
    <x v="0"/>
    <x v="0"/>
    <x v="0"/>
    <x v="1"/>
    <s v="DK2_Large"/>
    <x v="0"/>
    <x v="8"/>
    <x v="0"/>
    <x v="12"/>
    <n v="7.2547619047619101"/>
    <n v="2647.9880952381"/>
    <n v="9532.75714285715"/>
  </r>
  <r>
    <x v="0"/>
    <x v="0"/>
    <x v="0"/>
    <x v="0"/>
    <x v="1"/>
    <s v="DK2_Large"/>
    <x v="0"/>
    <x v="8"/>
    <x v="0"/>
    <x v="13"/>
    <n v="7.2547619047619101"/>
    <n v="2647.9880952381"/>
    <n v="9532.75714285715"/>
  </r>
  <r>
    <x v="0"/>
    <x v="0"/>
    <x v="0"/>
    <x v="0"/>
    <x v="1"/>
    <s v="DK2_Large"/>
    <x v="0"/>
    <x v="8"/>
    <x v="0"/>
    <x v="14"/>
    <n v="7.2547619047619101"/>
    <n v="2647.9880952381"/>
    <n v="9532.75714285715"/>
  </r>
  <r>
    <x v="0"/>
    <x v="0"/>
    <x v="0"/>
    <x v="0"/>
    <x v="1"/>
    <s v="DK2_Large"/>
    <x v="0"/>
    <x v="8"/>
    <x v="0"/>
    <x v="15"/>
    <n v="7.2547619047619101"/>
    <n v="2647.9880952381"/>
    <n v="9532.75714285715"/>
  </r>
  <r>
    <x v="0"/>
    <x v="0"/>
    <x v="0"/>
    <x v="0"/>
    <x v="1"/>
    <s v="DK2_Large"/>
    <x v="0"/>
    <x v="8"/>
    <x v="0"/>
    <x v="16"/>
    <n v="7.2547619047619101"/>
    <n v="2647.9880952381"/>
    <n v="9532.75714285715"/>
  </r>
  <r>
    <x v="0"/>
    <x v="0"/>
    <x v="0"/>
    <x v="0"/>
    <x v="1"/>
    <s v="DK2_Large"/>
    <x v="0"/>
    <x v="8"/>
    <x v="0"/>
    <x v="17"/>
    <n v="7.2547619047619101"/>
    <n v="2647.9880952381"/>
    <n v="9532.75714285715"/>
  </r>
  <r>
    <x v="0"/>
    <x v="0"/>
    <x v="0"/>
    <x v="0"/>
    <x v="1"/>
    <s v="DK2_Large"/>
    <x v="0"/>
    <x v="8"/>
    <x v="0"/>
    <x v="18"/>
    <n v="7.2547619047619101"/>
    <n v="2647.9880952381"/>
    <n v="9532.75714285715"/>
  </r>
  <r>
    <x v="0"/>
    <x v="0"/>
    <x v="0"/>
    <x v="0"/>
    <x v="1"/>
    <s v="DK2_Large"/>
    <x v="0"/>
    <x v="8"/>
    <x v="0"/>
    <x v="19"/>
    <n v="7.2547619047619101"/>
    <n v="2647.9880952381"/>
    <n v="9532.75714285715"/>
  </r>
  <r>
    <x v="0"/>
    <x v="0"/>
    <x v="0"/>
    <x v="0"/>
    <x v="1"/>
    <s v="DK2_Large"/>
    <x v="0"/>
    <x v="8"/>
    <x v="0"/>
    <x v="20"/>
    <n v="7.2547619047619101"/>
    <n v="2647.9880952381"/>
    <n v="9532.75714285715"/>
  </r>
  <r>
    <x v="0"/>
    <x v="0"/>
    <x v="0"/>
    <x v="0"/>
    <x v="1"/>
    <s v="DK2_Large"/>
    <x v="0"/>
    <x v="8"/>
    <x v="0"/>
    <x v="21"/>
    <n v="7.2547619047619101"/>
    <n v="2647.9880952381"/>
    <n v="9532.75714285715"/>
  </r>
  <r>
    <x v="0"/>
    <x v="0"/>
    <x v="0"/>
    <x v="0"/>
    <x v="1"/>
    <s v="DK2_Large"/>
    <x v="0"/>
    <x v="8"/>
    <x v="0"/>
    <x v="22"/>
    <n v="7.2547619047619101"/>
    <n v="2647.9880952381"/>
    <n v="9532.75714285715"/>
  </r>
  <r>
    <x v="0"/>
    <x v="0"/>
    <x v="0"/>
    <x v="0"/>
    <x v="1"/>
    <s v="DK2_Large"/>
    <x v="0"/>
    <x v="8"/>
    <x v="0"/>
    <x v="23"/>
    <n v="7.2547619047619101"/>
    <n v="2647.9880952381"/>
    <n v="9532.75714285715"/>
  </r>
  <r>
    <x v="0"/>
    <x v="0"/>
    <x v="0"/>
    <x v="0"/>
    <x v="1"/>
    <s v="DK2_Large"/>
    <x v="2"/>
    <x v="79"/>
    <x v="0"/>
    <x v="0"/>
    <n v="178.125"/>
    <n v="65015.625000000102"/>
    <n v="234056.25"/>
  </r>
  <r>
    <x v="0"/>
    <x v="0"/>
    <x v="0"/>
    <x v="0"/>
    <x v="1"/>
    <s v="DK2_Large"/>
    <x v="2"/>
    <x v="79"/>
    <x v="0"/>
    <x v="1"/>
    <n v="178.125"/>
    <n v="65015.625000000102"/>
    <n v="234056.25"/>
  </r>
  <r>
    <x v="0"/>
    <x v="0"/>
    <x v="0"/>
    <x v="0"/>
    <x v="1"/>
    <s v="DK2_Large"/>
    <x v="2"/>
    <x v="79"/>
    <x v="0"/>
    <x v="2"/>
    <n v="178.125"/>
    <n v="65015.625000000102"/>
    <n v="234056.25"/>
  </r>
  <r>
    <x v="0"/>
    <x v="0"/>
    <x v="0"/>
    <x v="0"/>
    <x v="1"/>
    <s v="DK2_Large"/>
    <x v="2"/>
    <x v="79"/>
    <x v="0"/>
    <x v="3"/>
    <n v="178.125"/>
    <n v="65015.625000000102"/>
    <n v="234056.25"/>
  </r>
  <r>
    <x v="0"/>
    <x v="0"/>
    <x v="0"/>
    <x v="0"/>
    <x v="1"/>
    <s v="DK2_Large"/>
    <x v="2"/>
    <x v="79"/>
    <x v="0"/>
    <x v="4"/>
    <n v="178.125"/>
    <n v="65015.625000000102"/>
    <n v="234056.25"/>
  </r>
  <r>
    <x v="0"/>
    <x v="0"/>
    <x v="0"/>
    <x v="0"/>
    <x v="1"/>
    <s v="DK2_Large"/>
    <x v="2"/>
    <x v="79"/>
    <x v="0"/>
    <x v="5"/>
    <n v="178.125"/>
    <n v="65015.625000000102"/>
    <n v="234056.25"/>
  </r>
  <r>
    <x v="0"/>
    <x v="0"/>
    <x v="0"/>
    <x v="0"/>
    <x v="1"/>
    <s v="DK2_Large"/>
    <x v="2"/>
    <x v="79"/>
    <x v="0"/>
    <x v="6"/>
    <n v="178.125"/>
    <n v="65015.625000000102"/>
    <n v="234056.25"/>
  </r>
  <r>
    <x v="0"/>
    <x v="0"/>
    <x v="0"/>
    <x v="0"/>
    <x v="1"/>
    <s v="DK2_Large"/>
    <x v="2"/>
    <x v="79"/>
    <x v="0"/>
    <x v="7"/>
    <n v="178.125"/>
    <n v="65015.625000000102"/>
    <n v="234056.25"/>
  </r>
  <r>
    <x v="0"/>
    <x v="0"/>
    <x v="0"/>
    <x v="0"/>
    <x v="1"/>
    <s v="DK2_Large"/>
    <x v="2"/>
    <x v="79"/>
    <x v="0"/>
    <x v="8"/>
    <n v="178.125"/>
    <n v="65015.625000000102"/>
    <n v="234056.25"/>
  </r>
  <r>
    <x v="0"/>
    <x v="0"/>
    <x v="0"/>
    <x v="0"/>
    <x v="1"/>
    <s v="DK2_Large"/>
    <x v="2"/>
    <x v="79"/>
    <x v="0"/>
    <x v="9"/>
    <n v="178.125"/>
    <n v="65015.625000000102"/>
    <n v="234056.25"/>
  </r>
  <r>
    <x v="0"/>
    <x v="0"/>
    <x v="0"/>
    <x v="0"/>
    <x v="1"/>
    <s v="DK2_Large"/>
    <x v="2"/>
    <x v="79"/>
    <x v="0"/>
    <x v="10"/>
    <n v="178.125"/>
    <n v="65015.625000000102"/>
    <n v="234056.25"/>
  </r>
  <r>
    <x v="0"/>
    <x v="0"/>
    <x v="0"/>
    <x v="0"/>
    <x v="1"/>
    <s v="DK2_Large"/>
    <x v="2"/>
    <x v="79"/>
    <x v="0"/>
    <x v="11"/>
    <n v="178.125"/>
    <n v="65015.625000000102"/>
    <n v="234056.25"/>
  </r>
  <r>
    <x v="0"/>
    <x v="0"/>
    <x v="0"/>
    <x v="0"/>
    <x v="1"/>
    <s v="DK2_Large"/>
    <x v="2"/>
    <x v="79"/>
    <x v="0"/>
    <x v="12"/>
    <n v="178.125"/>
    <n v="65015.625000000102"/>
    <n v="234056.25"/>
  </r>
  <r>
    <x v="0"/>
    <x v="0"/>
    <x v="0"/>
    <x v="0"/>
    <x v="1"/>
    <s v="DK2_Large"/>
    <x v="2"/>
    <x v="79"/>
    <x v="0"/>
    <x v="13"/>
    <n v="178.125"/>
    <n v="65015.625000000102"/>
    <n v="234056.25"/>
  </r>
  <r>
    <x v="0"/>
    <x v="0"/>
    <x v="0"/>
    <x v="0"/>
    <x v="1"/>
    <s v="DK2_Large"/>
    <x v="2"/>
    <x v="79"/>
    <x v="0"/>
    <x v="14"/>
    <n v="178.125"/>
    <n v="65015.625000000102"/>
    <n v="234056.25"/>
  </r>
  <r>
    <x v="0"/>
    <x v="0"/>
    <x v="0"/>
    <x v="0"/>
    <x v="1"/>
    <s v="DK2_Large"/>
    <x v="2"/>
    <x v="79"/>
    <x v="0"/>
    <x v="15"/>
    <n v="178.125"/>
    <n v="65015.625000000102"/>
    <n v="234056.25"/>
  </r>
  <r>
    <x v="0"/>
    <x v="0"/>
    <x v="0"/>
    <x v="0"/>
    <x v="1"/>
    <s v="DK2_Large"/>
    <x v="2"/>
    <x v="79"/>
    <x v="0"/>
    <x v="16"/>
    <n v="178.125"/>
    <n v="65015.625000000102"/>
    <n v="234056.25"/>
  </r>
  <r>
    <x v="0"/>
    <x v="0"/>
    <x v="0"/>
    <x v="0"/>
    <x v="1"/>
    <s v="DK2_Large"/>
    <x v="2"/>
    <x v="79"/>
    <x v="0"/>
    <x v="17"/>
    <n v="178.125"/>
    <n v="65015.625000000102"/>
    <n v="234056.25"/>
  </r>
  <r>
    <x v="0"/>
    <x v="0"/>
    <x v="0"/>
    <x v="0"/>
    <x v="1"/>
    <s v="DK2_Large"/>
    <x v="2"/>
    <x v="79"/>
    <x v="0"/>
    <x v="18"/>
    <n v="178.125"/>
    <n v="65015.625000000102"/>
    <n v="234056.25"/>
  </r>
  <r>
    <x v="0"/>
    <x v="0"/>
    <x v="0"/>
    <x v="0"/>
    <x v="1"/>
    <s v="DK2_Large"/>
    <x v="2"/>
    <x v="79"/>
    <x v="0"/>
    <x v="19"/>
    <n v="178.125"/>
    <n v="65015.625000000102"/>
    <n v="234056.25"/>
  </r>
  <r>
    <x v="0"/>
    <x v="0"/>
    <x v="0"/>
    <x v="0"/>
    <x v="1"/>
    <s v="DK2_Large"/>
    <x v="2"/>
    <x v="79"/>
    <x v="0"/>
    <x v="20"/>
    <n v="178.125"/>
    <n v="65015.625000000102"/>
    <n v="234056.25"/>
  </r>
  <r>
    <x v="0"/>
    <x v="0"/>
    <x v="0"/>
    <x v="0"/>
    <x v="1"/>
    <s v="DK2_Large"/>
    <x v="2"/>
    <x v="79"/>
    <x v="0"/>
    <x v="21"/>
    <n v="178.125"/>
    <n v="65015.625000000102"/>
    <n v="234056.25"/>
  </r>
  <r>
    <x v="0"/>
    <x v="0"/>
    <x v="0"/>
    <x v="0"/>
    <x v="1"/>
    <s v="DK2_Large"/>
    <x v="2"/>
    <x v="79"/>
    <x v="0"/>
    <x v="22"/>
    <n v="178.125"/>
    <n v="65015.625000000102"/>
    <n v="234056.25"/>
  </r>
  <r>
    <x v="0"/>
    <x v="0"/>
    <x v="0"/>
    <x v="0"/>
    <x v="1"/>
    <s v="DK2_Large"/>
    <x v="2"/>
    <x v="79"/>
    <x v="0"/>
    <x v="23"/>
    <n v="178.125"/>
    <n v="65015.625000000102"/>
    <n v="234056.25"/>
  </r>
  <r>
    <x v="0"/>
    <x v="0"/>
    <x v="0"/>
    <x v="0"/>
    <x v="1"/>
    <s v="DK2_Large"/>
    <x v="2"/>
    <x v="41"/>
    <x v="0"/>
    <x v="0"/>
    <n v="195"/>
    <n v="71175.000000000102"/>
    <n v="256230"/>
  </r>
  <r>
    <x v="0"/>
    <x v="0"/>
    <x v="0"/>
    <x v="0"/>
    <x v="1"/>
    <s v="DK2_Large"/>
    <x v="2"/>
    <x v="41"/>
    <x v="0"/>
    <x v="1"/>
    <n v="195"/>
    <n v="71175.000000000102"/>
    <n v="256230"/>
  </r>
  <r>
    <x v="0"/>
    <x v="0"/>
    <x v="0"/>
    <x v="0"/>
    <x v="1"/>
    <s v="DK2_Large"/>
    <x v="2"/>
    <x v="41"/>
    <x v="0"/>
    <x v="2"/>
    <n v="195"/>
    <n v="71175.000000000102"/>
    <n v="256230"/>
  </r>
  <r>
    <x v="0"/>
    <x v="0"/>
    <x v="0"/>
    <x v="0"/>
    <x v="1"/>
    <s v="DK2_Large"/>
    <x v="2"/>
    <x v="41"/>
    <x v="0"/>
    <x v="3"/>
    <n v="195"/>
    <n v="71175.000000000102"/>
    <n v="256230"/>
  </r>
  <r>
    <x v="0"/>
    <x v="0"/>
    <x v="0"/>
    <x v="0"/>
    <x v="1"/>
    <s v="DK2_Large"/>
    <x v="2"/>
    <x v="41"/>
    <x v="0"/>
    <x v="4"/>
    <n v="195"/>
    <n v="71175.000000000102"/>
    <n v="256230"/>
  </r>
  <r>
    <x v="0"/>
    <x v="0"/>
    <x v="0"/>
    <x v="0"/>
    <x v="1"/>
    <s v="DK2_Large"/>
    <x v="2"/>
    <x v="41"/>
    <x v="0"/>
    <x v="5"/>
    <n v="195"/>
    <n v="71175.000000000102"/>
    <n v="256230"/>
  </r>
  <r>
    <x v="0"/>
    <x v="0"/>
    <x v="0"/>
    <x v="0"/>
    <x v="1"/>
    <s v="DK2_Large"/>
    <x v="2"/>
    <x v="41"/>
    <x v="0"/>
    <x v="6"/>
    <n v="195"/>
    <n v="71175.000000000102"/>
    <n v="256230"/>
  </r>
  <r>
    <x v="0"/>
    <x v="0"/>
    <x v="0"/>
    <x v="0"/>
    <x v="1"/>
    <s v="DK2_Large"/>
    <x v="2"/>
    <x v="41"/>
    <x v="0"/>
    <x v="7"/>
    <n v="195"/>
    <n v="71175.000000000102"/>
    <n v="256230"/>
  </r>
  <r>
    <x v="0"/>
    <x v="0"/>
    <x v="0"/>
    <x v="0"/>
    <x v="1"/>
    <s v="DK2_Large"/>
    <x v="2"/>
    <x v="41"/>
    <x v="0"/>
    <x v="8"/>
    <n v="195"/>
    <n v="71175.000000000102"/>
    <n v="256230"/>
  </r>
  <r>
    <x v="0"/>
    <x v="0"/>
    <x v="0"/>
    <x v="0"/>
    <x v="1"/>
    <s v="DK2_Large"/>
    <x v="2"/>
    <x v="41"/>
    <x v="0"/>
    <x v="9"/>
    <n v="195"/>
    <n v="71175.000000000102"/>
    <n v="256230"/>
  </r>
  <r>
    <x v="0"/>
    <x v="0"/>
    <x v="0"/>
    <x v="0"/>
    <x v="1"/>
    <s v="DK2_Large"/>
    <x v="2"/>
    <x v="41"/>
    <x v="0"/>
    <x v="10"/>
    <n v="195"/>
    <n v="71175.000000000102"/>
    <n v="256230"/>
  </r>
  <r>
    <x v="0"/>
    <x v="0"/>
    <x v="0"/>
    <x v="0"/>
    <x v="1"/>
    <s v="DK2_Large"/>
    <x v="2"/>
    <x v="41"/>
    <x v="0"/>
    <x v="11"/>
    <n v="195"/>
    <n v="71175.000000000102"/>
    <n v="256230"/>
  </r>
  <r>
    <x v="0"/>
    <x v="0"/>
    <x v="0"/>
    <x v="0"/>
    <x v="1"/>
    <s v="DK2_Large"/>
    <x v="2"/>
    <x v="41"/>
    <x v="0"/>
    <x v="12"/>
    <n v="195"/>
    <n v="71175.000000000102"/>
    <n v="256230"/>
  </r>
  <r>
    <x v="0"/>
    <x v="0"/>
    <x v="0"/>
    <x v="0"/>
    <x v="1"/>
    <s v="DK2_Large"/>
    <x v="2"/>
    <x v="41"/>
    <x v="0"/>
    <x v="13"/>
    <n v="195"/>
    <n v="71175.000000000102"/>
    <n v="256230"/>
  </r>
  <r>
    <x v="0"/>
    <x v="0"/>
    <x v="0"/>
    <x v="0"/>
    <x v="1"/>
    <s v="DK2_Large"/>
    <x v="2"/>
    <x v="41"/>
    <x v="0"/>
    <x v="14"/>
    <n v="195"/>
    <n v="71175.000000000102"/>
    <n v="256230"/>
  </r>
  <r>
    <x v="0"/>
    <x v="0"/>
    <x v="0"/>
    <x v="0"/>
    <x v="1"/>
    <s v="DK2_Large"/>
    <x v="2"/>
    <x v="41"/>
    <x v="0"/>
    <x v="15"/>
    <n v="195"/>
    <n v="71175.000000000102"/>
    <n v="256230"/>
  </r>
  <r>
    <x v="0"/>
    <x v="0"/>
    <x v="0"/>
    <x v="0"/>
    <x v="1"/>
    <s v="DK2_Large"/>
    <x v="2"/>
    <x v="41"/>
    <x v="0"/>
    <x v="16"/>
    <n v="195"/>
    <n v="71175.000000000102"/>
    <n v="256230"/>
  </r>
  <r>
    <x v="0"/>
    <x v="0"/>
    <x v="0"/>
    <x v="0"/>
    <x v="1"/>
    <s v="DK2_Large"/>
    <x v="2"/>
    <x v="41"/>
    <x v="0"/>
    <x v="17"/>
    <n v="195"/>
    <n v="71175.000000000102"/>
    <n v="256230"/>
  </r>
  <r>
    <x v="0"/>
    <x v="0"/>
    <x v="0"/>
    <x v="0"/>
    <x v="1"/>
    <s v="DK2_Large"/>
    <x v="2"/>
    <x v="41"/>
    <x v="0"/>
    <x v="18"/>
    <n v="195"/>
    <n v="71175.000000000102"/>
    <n v="256230"/>
  </r>
  <r>
    <x v="0"/>
    <x v="0"/>
    <x v="0"/>
    <x v="0"/>
    <x v="1"/>
    <s v="DK2_Large"/>
    <x v="2"/>
    <x v="41"/>
    <x v="0"/>
    <x v="19"/>
    <n v="195"/>
    <n v="71175.000000000102"/>
    <n v="256230"/>
  </r>
  <r>
    <x v="0"/>
    <x v="0"/>
    <x v="0"/>
    <x v="0"/>
    <x v="1"/>
    <s v="DK2_Large"/>
    <x v="2"/>
    <x v="41"/>
    <x v="0"/>
    <x v="20"/>
    <n v="195"/>
    <n v="71175.000000000102"/>
    <n v="256230"/>
  </r>
  <r>
    <x v="0"/>
    <x v="0"/>
    <x v="0"/>
    <x v="0"/>
    <x v="1"/>
    <s v="DK2_Large"/>
    <x v="2"/>
    <x v="41"/>
    <x v="0"/>
    <x v="21"/>
    <n v="195"/>
    <n v="71175.000000000102"/>
    <n v="256230"/>
  </r>
  <r>
    <x v="0"/>
    <x v="0"/>
    <x v="0"/>
    <x v="0"/>
    <x v="1"/>
    <s v="DK2_Large"/>
    <x v="2"/>
    <x v="41"/>
    <x v="0"/>
    <x v="22"/>
    <n v="195"/>
    <n v="71175.000000000102"/>
    <n v="256230"/>
  </r>
  <r>
    <x v="0"/>
    <x v="0"/>
    <x v="0"/>
    <x v="0"/>
    <x v="1"/>
    <s v="DK2_Large"/>
    <x v="2"/>
    <x v="41"/>
    <x v="0"/>
    <x v="23"/>
    <n v="195"/>
    <n v="71175.000000000102"/>
    <n v="256230"/>
  </r>
  <r>
    <x v="0"/>
    <x v="0"/>
    <x v="0"/>
    <x v="0"/>
    <x v="1"/>
    <s v="DK2_Large"/>
    <x v="2"/>
    <x v="42"/>
    <x v="0"/>
    <x v="0"/>
    <n v="65.238095238095298"/>
    <n v="23811.9047619048"/>
    <n v="85722.857142857305"/>
  </r>
  <r>
    <x v="0"/>
    <x v="0"/>
    <x v="0"/>
    <x v="0"/>
    <x v="1"/>
    <s v="DK2_Large"/>
    <x v="2"/>
    <x v="42"/>
    <x v="0"/>
    <x v="1"/>
    <n v="65.238095238095298"/>
    <n v="23811.9047619048"/>
    <n v="85722.857142857305"/>
  </r>
  <r>
    <x v="0"/>
    <x v="0"/>
    <x v="0"/>
    <x v="0"/>
    <x v="1"/>
    <s v="DK2_Large"/>
    <x v="2"/>
    <x v="42"/>
    <x v="0"/>
    <x v="2"/>
    <n v="65.238095238095298"/>
    <n v="23811.9047619048"/>
    <n v="85722.857142857305"/>
  </r>
  <r>
    <x v="0"/>
    <x v="0"/>
    <x v="0"/>
    <x v="0"/>
    <x v="1"/>
    <s v="DK2_Large"/>
    <x v="2"/>
    <x v="42"/>
    <x v="0"/>
    <x v="3"/>
    <n v="65.238095238095298"/>
    <n v="23811.9047619048"/>
    <n v="85722.857142857305"/>
  </r>
  <r>
    <x v="0"/>
    <x v="0"/>
    <x v="0"/>
    <x v="0"/>
    <x v="1"/>
    <s v="DK2_Large"/>
    <x v="2"/>
    <x v="42"/>
    <x v="0"/>
    <x v="4"/>
    <n v="65.238095238095298"/>
    <n v="23811.9047619048"/>
    <n v="85722.857142857305"/>
  </r>
  <r>
    <x v="0"/>
    <x v="0"/>
    <x v="0"/>
    <x v="0"/>
    <x v="1"/>
    <s v="DK2_Large"/>
    <x v="2"/>
    <x v="42"/>
    <x v="0"/>
    <x v="5"/>
    <n v="65.238095238095298"/>
    <n v="23811.9047619048"/>
    <n v="85722.857142857305"/>
  </r>
  <r>
    <x v="0"/>
    <x v="0"/>
    <x v="0"/>
    <x v="0"/>
    <x v="1"/>
    <s v="DK2_Large"/>
    <x v="2"/>
    <x v="42"/>
    <x v="0"/>
    <x v="6"/>
    <n v="65.238095238095298"/>
    <n v="23811.9047619048"/>
    <n v="85722.857142857305"/>
  </r>
  <r>
    <x v="0"/>
    <x v="0"/>
    <x v="0"/>
    <x v="0"/>
    <x v="1"/>
    <s v="DK2_Large"/>
    <x v="2"/>
    <x v="42"/>
    <x v="0"/>
    <x v="7"/>
    <n v="65.238095238095298"/>
    <n v="23811.9047619048"/>
    <n v="85722.857142857305"/>
  </r>
  <r>
    <x v="0"/>
    <x v="0"/>
    <x v="0"/>
    <x v="0"/>
    <x v="1"/>
    <s v="DK2_Large"/>
    <x v="2"/>
    <x v="42"/>
    <x v="0"/>
    <x v="8"/>
    <n v="65.238095238095298"/>
    <n v="23811.9047619048"/>
    <n v="85722.857142857305"/>
  </r>
  <r>
    <x v="0"/>
    <x v="0"/>
    <x v="0"/>
    <x v="0"/>
    <x v="1"/>
    <s v="DK2_Large"/>
    <x v="2"/>
    <x v="42"/>
    <x v="0"/>
    <x v="9"/>
    <n v="65.238095238095298"/>
    <n v="23811.9047619048"/>
    <n v="85722.857142857305"/>
  </r>
  <r>
    <x v="0"/>
    <x v="0"/>
    <x v="0"/>
    <x v="0"/>
    <x v="1"/>
    <s v="DK2_Large"/>
    <x v="2"/>
    <x v="42"/>
    <x v="0"/>
    <x v="10"/>
    <n v="65.238095238095298"/>
    <n v="23811.9047619048"/>
    <n v="85722.857142857305"/>
  </r>
  <r>
    <x v="0"/>
    <x v="0"/>
    <x v="0"/>
    <x v="0"/>
    <x v="1"/>
    <s v="DK2_Large"/>
    <x v="2"/>
    <x v="42"/>
    <x v="0"/>
    <x v="11"/>
    <n v="65.238095238095298"/>
    <n v="23811.9047619048"/>
    <n v="85722.857142857305"/>
  </r>
  <r>
    <x v="0"/>
    <x v="0"/>
    <x v="0"/>
    <x v="0"/>
    <x v="1"/>
    <s v="DK2_Large"/>
    <x v="2"/>
    <x v="42"/>
    <x v="0"/>
    <x v="12"/>
    <n v="65.238095238095298"/>
    <n v="23811.9047619048"/>
    <n v="85722.857142857305"/>
  </r>
  <r>
    <x v="0"/>
    <x v="0"/>
    <x v="0"/>
    <x v="0"/>
    <x v="1"/>
    <s v="DK2_Large"/>
    <x v="2"/>
    <x v="42"/>
    <x v="0"/>
    <x v="13"/>
    <n v="65.238095238095298"/>
    <n v="23811.9047619048"/>
    <n v="85722.857142857305"/>
  </r>
  <r>
    <x v="0"/>
    <x v="0"/>
    <x v="0"/>
    <x v="0"/>
    <x v="1"/>
    <s v="DK2_Large"/>
    <x v="2"/>
    <x v="42"/>
    <x v="0"/>
    <x v="14"/>
    <n v="65.238095238095298"/>
    <n v="23811.9047619048"/>
    <n v="85722.857142857305"/>
  </r>
  <r>
    <x v="0"/>
    <x v="0"/>
    <x v="0"/>
    <x v="0"/>
    <x v="1"/>
    <s v="DK2_Large"/>
    <x v="2"/>
    <x v="42"/>
    <x v="0"/>
    <x v="15"/>
    <n v="65.238095238095298"/>
    <n v="23811.9047619048"/>
    <n v="85722.857142857305"/>
  </r>
  <r>
    <x v="0"/>
    <x v="0"/>
    <x v="0"/>
    <x v="0"/>
    <x v="1"/>
    <s v="DK2_Large"/>
    <x v="2"/>
    <x v="42"/>
    <x v="0"/>
    <x v="16"/>
    <n v="65.238095238095298"/>
    <n v="23811.9047619048"/>
    <n v="85722.857142857305"/>
  </r>
  <r>
    <x v="0"/>
    <x v="0"/>
    <x v="0"/>
    <x v="0"/>
    <x v="1"/>
    <s v="DK2_Large"/>
    <x v="2"/>
    <x v="42"/>
    <x v="0"/>
    <x v="17"/>
    <n v="65.238095238095298"/>
    <n v="23811.9047619048"/>
    <n v="85722.857142857305"/>
  </r>
  <r>
    <x v="0"/>
    <x v="0"/>
    <x v="0"/>
    <x v="0"/>
    <x v="1"/>
    <s v="DK2_Large"/>
    <x v="2"/>
    <x v="42"/>
    <x v="0"/>
    <x v="18"/>
    <n v="65.238095238095298"/>
    <n v="23811.9047619048"/>
    <n v="85722.857142857305"/>
  </r>
  <r>
    <x v="0"/>
    <x v="0"/>
    <x v="0"/>
    <x v="0"/>
    <x v="1"/>
    <s v="DK2_Large"/>
    <x v="2"/>
    <x v="42"/>
    <x v="0"/>
    <x v="19"/>
    <n v="65.238095238095298"/>
    <n v="23811.9047619048"/>
    <n v="85722.857142857305"/>
  </r>
  <r>
    <x v="0"/>
    <x v="0"/>
    <x v="0"/>
    <x v="0"/>
    <x v="1"/>
    <s v="DK2_Large"/>
    <x v="2"/>
    <x v="42"/>
    <x v="0"/>
    <x v="20"/>
    <n v="65.238095238095298"/>
    <n v="23811.9047619048"/>
    <n v="85722.857142857305"/>
  </r>
  <r>
    <x v="0"/>
    <x v="0"/>
    <x v="0"/>
    <x v="0"/>
    <x v="1"/>
    <s v="DK2_Large"/>
    <x v="2"/>
    <x v="42"/>
    <x v="0"/>
    <x v="21"/>
    <n v="65.238095238095298"/>
    <n v="23811.9047619048"/>
    <n v="85722.857142857305"/>
  </r>
  <r>
    <x v="0"/>
    <x v="0"/>
    <x v="0"/>
    <x v="0"/>
    <x v="1"/>
    <s v="DK2_Large"/>
    <x v="2"/>
    <x v="42"/>
    <x v="0"/>
    <x v="22"/>
    <n v="65.238095238095298"/>
    <n v="23811.9047619048"/>
    <n v="85722.857142857305"/>
  </r>
  <r>
    <x v="0"/>
    <x v="0"/>
    <x v="0"/>
    <x v="0"/>
    <x v="1"/>
    <s v="DK2_Large"/>
    <x v="2"/>
    <x v="42"/>
    <x v="0"/>
    <x v="23"/>
    <n v="65.238095238095298"/>
    <n v="23811.9047619048"/>
    <n v="85722.857142857305"/>
  </r>
  <r>
    <x v="0"/>
    <x v="0"/>
    <x v="0"/>
    <x v="0"/>
    <x v="1"/>
    <s v="DK2_Large"/>
    <x v="2"/>
    <x v="19"/>
    <x v="0"/>
    <x v="0"/>
    <n v="71.851851851852004"/>
    <n v="26225.925925926"/>
    <n v="94413.333333333503"/>
  </r>
  <r>
    <x v="0"/>
    <x v="0"/>
    <x v="0"/>
    <x v="0"/>
    <x v="1"/>
    <s v="DK2_Large"/>
    <x v="2"/>
    <x v="19"/>
    <x v="0"/>
    <x v="1"/>
    <n v="71.851851851852004"/>
    <n v="26225.925925926"/>
    <n v="94413.333333333503"/>
  </r>
  <r>
    <x v="0"/>
    <x v="0"/>
    <x v="0"/>
    <x v="0"/>
    <x v="1"/>
    <s v="DK2_Large"/>
    <x v="2"/>
    <x v="19"/>
    <x v="0"/>
    <x v="2"/>
    <n v="71.851851851852004"/>
    <n v="26225.925925926"/>
    <n v="94413.333333333503"/>
  </r>
  <r>
    <x v="0"/>
    <x v="0"/>
    <x v="0"/>
    <x v="0"/>
    <x v="1"/>
    <s v="DK2_Large"/>
    <x v="2"/>
    <x v="19"/>
    <x v="0"/>
    <x v="3"/>
    <n v="71.851851851852004"/>
    <n v="26225.925925926"/>
    <n v="94413.333333333503"/>
  </r>
  <r>
    <x v="0"/>
    <x v="0"/>
    <x v="0"/>
    <x v="0"/>
    <x v="1"/>
    <s v="DK2_Large"/>
    <x v="2"/>
    <x v="19"/>
    <x v="0"/>
    <x v="4"/>
    <n v="71.851851851852004"/>
    <n v="26225.925925926"/>
    <n v="94413.333333333503"/>
  </r>
  <r>
    <x v="0"/>
    <x v="0"/>
    <x v="0"/>
    <x v="0"/>
    <x v="1"/>
    <s v="DK2_Large"/>
    <x v="2"/>
    <x v="19"/>
    <x v="0"/>
    <x v="5"/>
    <n v="71.851851851852004"/>
    <n v="26225.925925926"/>
    <n v="94413.333333333503"/>
  </r>
  <r>
    <x v="0"/>
    <x v="0"/>
    <x v="0"/>
    <x v="0"/>
    <x v="1"/>
    <s v="DK2_Large"/>
    <x v="2"/>
    <x v="19"/>
    <x v="0"/>
    <x v="6"/>
    <n v="71.851851851852004"/>
    <n v="26225.925925926"/>
    <n v="94413.333333333503"/>
  </r>
  <r>
    <x v="0"/>
    <x v="0"/>
    <x v="0"/>
    <x v="0"/>
    <x v="1"/>
    <s v="DK2_Large"/>
    <x v="2"/>
    <x v="19"/>
    <x v="0"/>
    <x v="7"/>
    <n v="71.851851851852004"/>
    <n v="26225.925925926"/>
    <n v="94413.333333333503"/>
  </r>
  <r>
    <x v="0"/>
    <x v="0"/>
    <x v="0"/>
    <x v="0"/>
    <x v="1"/>
    <s v="DK2_Large"/>
    <x v="2"/>
    <x v="19"/>
    <x v="0"/>
    <x v="8"/>
    <n v="71.851851851852004"/>
    <n v="26225.925925926"/>
    <n v="94413.333333333503"/>
  </r>
  <r>
    <x v="0"/>
    <x v="0"/>
    <x v="0"/>
    <x v="0"/>
    <x v="1"/>
    <s v="DK2_Large"/>
    <x v="2"/>
    <x v="19"/>
    <x v="0"/>
    <x v="9"/>
    <n v="71.851851851852004"/>
    <n v="26225.925925926"/>
    <n v="94413.333333333503"/>
  </r>
  <r>
    <x v="0"/>
    <x v="0"/>
    <x v="0"/>
    <x v="0"/>
    <x v="1"/>
    <s v="DK2_Large"/>
    <x v="2"/>
    <x v="19"/>
    <x v="0"/>
    <x v="10"/>
    <n v="71.851851851852004"/>
    <n v="26225.925925926"/>
    <n v="94413.333333333503"/>
  </r>
  <r>
    <x v="0"/>
    <x v="0"/>
    <x v="0"/>
    <x v="0"/>
    <x v="1"/>
    <s v="DK2_Large"/>
    <x v="2"/>
    <x v="19"/>
    <x v="0"/>
    <x v="11"/>
    <n v="71.851851851852004"/>
    <n v="26225.925925926"/>
    <n v="94413.333333333503"/>
  </r>
  <r>
    <x v="0"/>
    <x v="0"/>
    <x v="0"/>
    <x v="0"/>
    <x v="1"/>
    <s v="DK2_Large"/>
    <x v="2"/>
    <x v="19"/>
    <x v="0"/>
    <x v="12"/>
    <n v="71.851851851852004"/>
    <n v="26225.925925926"/>
    <n v="94413.333333333503"/>
  </r>
  <r>
    <x v="0"/>
    <x v="0"/>
    <x v="0"/>
    <x v="0"/>
    <x v="1"/>
    <s v="DK2_Large"/>
    <x v="2"/>
    <x v="19"/>
    <x v="0"/>
    <x v="13"/>
    <n v="71.851851851852004"/>
    <n v="26225.925925926"/>
    <n v="94413.333333333503"/>
  </r>
  <r>
    <x v="0"/>
    <x v="0"/>
    <x v="0"/>
    <x v="0"/>
    <x v="1"/>
    <s v="DK2_Large"/>
    <x v="2"/>
    <x v="19"/>
    <x v="0"/>
    <x v="14"/>
    <n v="71.851851851852004"/>
    <n v="26225.925925926"/>
    <n v="94413.333333333503"/>
  </r>
  <r>
    <x v="0"/>
    <x v="0"/>
    <x v="0"/>
    <x v="0"/>
    <x v="1"/>
    <s v="DK2_Large"/>
    <x v="2"/>
    <x v="19"/>
    <x v="0"/>
    <x v="15"/>
    <n v="71.851851851852004"/>
    <n v="26225.925925926"/>
    <n v="94413.333333333503"/>
  </r>
  <r>
    <x v="0"/>
    <x v="0"/>
    <x v="0"/>
    <x v="0"/>
    <x v="1"/>
    <s v="DK2_Large"/>
    <x v="2"/>
    <x v="19"/>
    <x v="0"/>
    <x v="16"/>
    <n v="71.851851851852004"/>
    <n v="26225.925925926"/>
    <n v="94413.333333333503"/>
  </r>
  <r>
    <x v="0"/>
    <x v="0"/>
    <x v="0"/>
    <x v="0"/>
    <x v="1"/>
    <s v="DK2_Large"/>
    <x v="2"/>
    <x v="19"/>
    <x v="0"/>
    <x v="17"/>
    <n v="71.851851851852004"/>
    <n v="26225.925925926"/>
    <n v="94413.333333333503"/>
  </r>
  <r>
    <x v="0"/>
    <x v="0"/>
    <x v="0"/>
    <x v="0"/>
    <x v="1"/>
    <s v="DK2_Large"/>
    <x v="2"/>
    <x v="19"/>
    <x v="0"/>
    <x v="18"/>
    <n v="71.851851851852004"/>
    <n v="26225.925925926"/>
    <n v="94413.333333333503"/>
  </r>
  <r>
    <x v="0"/>
    <x v="0"/>
    <x v="0"/>
    <x v="0"/>
    <x v="1"/>
    <s v="DK2_Large"/>
    <x v="2"/>
    <x v="19"/>
    <x v="0"/>
    <x v="19"/>
    <n v="71.851851851852004"/>
    <n v="26225.925925926"/>
    <n v="94413.333333333503"/>
  </r>
  <r>
    <x v="0"/>
    <x v="0"/>
    <x v="0"/>
    <x v="0"/>
    <x v="1"/>
    <s v="DK2_Large"/>
    <x v="2"/>
    <x v="19"/>
    <x v="0"/>
    <x v="20"/>
    <n v="71.851851851852004"/>
    <n v="26225.925925926"/>
    <n v="94413.333333333503"/>
  </r>
  <r>
    <x v="0"/>
    <x v="0"/>
    <x v="0"/>
    <x v="0"/>
    <x v="1"/>
    <s v="DK2_Large"/>
    <x v="2"/>
    <x v="19"/>
    <x v="0"/>
    <x v="21"/>
    <n v="71.851851851852004"/>
    <n v="26225.925925926"/>
    <n v="94413.333333333503"/>
  </r>
  <r>
    <x v="0"/>
    <x v="0"/>
    <x v="0"/>
    <x v="0"/>
    <x v="1"/>
    <s v="DK2_Large"/>
    <x v="2"/>
    <x v="19"/>
    <x v="0"/>
    <x v="22"/>
    <n v="71.851851851852004"/>
    <n v="26225.925925926"/>
    <n v="94413.333333333503"/>
  </r>
  <r>
    <x v="0"/>
    <x v="0"/>
    <x v="0"/>
    <x v="0"/>
    <x v="1"/>
    <s v="DK2_Large"/>
    <x v="2"/>
    <x v="19"/>
    <x v="0"/>
    <x v="23"/>
    <n v="71.851851851852004"/>
    <n v="26225.925925926"/>
    <n v="94413.333333333503"/>
  </r>
  <r>
    <x v="0"/>
    <x v="0"/>
    <x v="0"/>
    <x v="0"/>
    <x v="1"/>
    <s v="DK2_Large"/>
    <x v="3"/>
    <x v="20"/>
    <x v="0"/>
    <x v="0"/>
    <n v="13.75"/>
    <n v="5018.75"/>
    <n v="18067.5"/>
  </r>
  <r>
    <x v="0"/>
    <x v="0"/>
    <x v="0"/>
    <x v="0"/>
    <x v="1"/>
    <s v="DK2_Large"/>
    <x v="3"/>
    <x v="20"/>
    <x v="0"/>
    <x v="1"/>
    <n v="13.75"/>
    <n v="5018.75"/>
    <n v="18067.5"/>
  </r>
  <r>
    <x v="0"/>
    <x v="0"/>
    <x v="0"/>
    <x v="0"/>
    <x v="1"/>
    <s v="DK2_Large"/>
    <x v="3"/>
    <x v="20"/>
    <x v="0"/>
    <x v="3"/>
    <n v="13.75"/>
    <n v="5018.75"/>
    <n v="18067.5"/>
  </r>
  <r>
    <x v="0"/>
    <x v="0"/>
    <x v="0"/>
    <x v="0"/>
    <x v="1"/>
    <s v="DK2_Large"/>
    <x v="3"/>
    <x v="20"/>
    <x v="0"/>
    <x v="4"/>
    <n v="13.75"/>
    <n v="5018.75"/>
    <n v="18067.5"/>
  </r>
  <r>
    <x v="0"/>
    <x v="0"/>
    <x v="0"/>
    <x v="0"/>
    <x v="1"/>
    <s v="DK2_Large"/>
    <x v="3"/>
    <x v="20"/>
    <x v="0"/>
    <x v="5"/>
    <n v="13.75"/>
    <n v="5018.75"/>
    <n v="18067.5"/>
  </r>
  <r>
    <x v="0"/>
    <x v="0"/>
    <x v="0"/>
    <x v="0"/>
    <x v="1"/>
    <s v="DK2_Large"/>
    <x v="3"/>
    <x v="20"/>
    <x v="0"/>
    <x v="6"/>
    <n v="13.75"/>
    <n v="5018.75"/>
    <n v="18067.5"/>
  </r>
  <r>
    <x v="0"/>
    <x v="0"/>
    <x v="0"/>
    <x v="0"/>
    <x v="1"/>
    <s v="DK2_Large"/>
    <x v="3"/>
    <x v="20"/>
    <x v="0"/>
    <x v="7"/>
    <n v="13.75"/>
    <n v="5018.75"/>
    <n v="18067.5"/>
  </r>
  <r>
    <x v="0"/>
    <x v="0"/>
    <x v="0"/>
    <x v="0"/>
    <x v="1"/>
    <s v="DK2_Large"/>
    <x v="3"/>
    <x v="20"/>
    <x v="0"/>
    <x v="8"/>
    <n v="13.75"/>
    <n v="5018.75"/>
    <n v="18067.5"/>
  </r>
  <r>
    <x v="0"/>
    <x v="0"/>
    <x v="0"/>
    <x v="0"/>
    <x v="1"/>
    <s v="DK2_Large"/>
    <x v="3"/>
    <x v="20"/>
    <x v="0"/>
    <x v="9"/>
    <n v="13.75"/>
    <n v="5018.75"/>
    <n v="18067.5"/>
  </r>
  <r>
    <x v="0"/>
    <x v="0"/>
    <x v="0"/>
    <x v="0"/>
    <x v="1"/>
    <s v="DK2_Large"/>
    <x v="3"/>
    <x v="20"/>
    <x v="0"/>
    <x v="10"/>
    <n v="13.75"/>
    <n v="5018.75"/>
    <n v="18067.5"/>
  </r>
  <r>
    <x v="0"/>
    <x v="0"/>
    <x v="0"/>
    <x v="0"/>
    <x v="1"/>
    <s v="DK2_Large"/>
    <x v="3"/>
    <x v="20"/>
    <x v="0"/>
    <x v="11"/>
    <n v="13.75"/>
    <n v="5018.75"/>
    <n v="18067.5"/>
  </r>
  <r>
    <x v="0"/>
    <x v="0"/>
    <x v="0"/>
    <x v="0"/>
    <x v="1"/>
    <s v="DK2_Large"/>
    <x v="3"/>
    <x v="20"/>
    <x v="0"/>
    <x v="12"/>
    <n v="13.75"/>
    <n v="5018.75"/>
    <n v="18067.5"/>
  </r>
  <r>
    <x v="0"/>
    <x v="0"/>
    <x v="0"/>
    <x v="0"/>
    <x v="1"/>
    <s v="DK2_Large"/>
    <x v="3"/>
    <x v="20"/>
    <x v="0"/>
    <x v="13"/>
    <n v="13.75"/>
    <n v="5018.75"/>
    <n v="18067.5"/>
  </r>
  <r>
    <x v="0"/>
    <x v="0"/>
    <x v="0"/>
    <x v="0"/>
    <x v="1"/>
    <s v="DK2_Large"/>
    <x v="3"/>
    <x v="20"/>
    <x v="0"/>
    <x v="14"/>
    <n v="13.75"/>
    <n v="5018.75"/>
    <n v="18067.5"/>
  </r>
  <r>
    <x v="0"/>
    <x v="0"/>
    <x v="0"/>
    <x v="0"/>
    <x v="1"/>
    <s v="DK2_Large"/>
    <x v="3"/>
    <x v="20"/>
    <x v="0"/>
    <x v="15"/>
    <n v="13.75"/>
    <n v="5018.75"/>
    <n v="18067.5"/>
  </r>
  <r>
    <x v="0"/>
    <x v="0"/>
    <x v="0"/>
    <x v="0"/>
    <x v="1"/>
    <s v="DK2_Large"/>
    <x v="3"/>
    <x v="20"/>
    <x v="0"/>
    <x v="16"/>
    <n v="13.75"/>
    <n v="5018.75"/>
    <n v="18067.5"/>
  </r>
  <r>
    <x v="0"/>
    <x v="0"/>
    <x v="0"/>
    <x v="0"/>
    <x v="1"/>
    <s v="DK2_Large"/>
    <x v="3"/>
    <x v="20"/>
    <x v="0"/>
    <x v="17"/>
    <n v="13.75"/>
    <n v="5018.75"/>
    <n v="18067.5"/>
  </r>
  <r>
    <x v="0"/>
    <x v="0"/>
    <x v="0"/>
    <x v="0"/>
    <x v="1"/>
    <s v="DK2_Large"/>
    <x v="3"/>
    <x v="20"/>
    <x v="0"/>
    <x v="18"/>
    <n v="13.75"/>
    <n v="5018.75"/>
    <n v="18067.5"/>
  </r>
  <r>
    <x v="0"/>
    <x v="0"/>
    <x v="0"/>
    <x v="0"/>
    <x v="1"/>
    <s v="DK2_Large"/>
    <x v="3"/>
    <x v="80"/>
    <x v="0"/>
    <x v="0"/>
    <n v="210.25641025640999"/>
    <n v="76743.589743589793"/>
    <n v="276276.92307692301"/>
  </r>
  <r>
    <x v="0"/>
    <x v="0"/>
    <x v="0"/>
    <x v="0"/>
    <x v="1"/>
    <s v="DK2_Large"/>
    <x v="3"/>
    <x v="80"/>
    <x v="0"/>
    <x v="1"/>
    <n v="210.25641025640999"/>
    <n v="76743.589743589793"/>
    <n v="276276.92307692301"/>
  </r>
  <r>
    <x v="0"/>
    <x v="0"/>
    <x v="0"/>
    <x v="0"/>
    <x v="1"/>
    <s v="DK2_Large"/>
    <x v="3"/>
    <x v="80"/>
    <x v="0"/>
    <x v="2"/>
    <n v="210.25641025640999"/>
    <n v="76743.589743589793"/>
    <n v="276276.92307692301"/>
  </r>
  <r>
    <x v="0"/>
    <x v="0"/>
    <x v="0"/>
    <x v="0"/>
    <x v="1"/>
    <s v="DK2_Large"/>
    <x v="3"/>
    <x v="80"/>
    <x v="0"/>
    <x v="3"/>
    <n v="210.25641025640999"/>
    <n v="76743.589743589793"/>
    <n v="276276.92307692301"/>
  </r>
  <r>
    <x v="0"/>
    <x v="0"/>
    <x v="0"/>
    <x v="0"/>
    <x v="1"/>
    <s v="DK2_Large"/>
    <x v="3"/>
    <x v="80"/>
    <x v="0"/>
    <x v="4"/>
    <n v="210.25641025640999"/>
    <n v="76743.589743589793"/>
    <n v="276276.92307692301"/>
  </r>
  <r>
    <x v="0"/>
    <x v="0"/>
    <x v="0"/>
    <x v="0"/>
    <x v="1"/>
    <s v="DK2_Large"/>
    <x v="3"/>
    <x v="80"/>
    <x v="0"/>
    <x v="5"/>
    <n v="210.25641025640999"/>
    <n v="76743.589743589793"/>
    <n v="276276.92307692301"/>
  </r>
  <r>
    <x v="0"/>
    <x v="0"/>
    <x v="0"/>
    <x v="0"/>
    <x v="1"/>
    <s v="DK2_Large"/>
    <x v="3"/>
    <x v="80"/>
    <x v="0"/>
    <x v="6"/>
    <n v="210.25641025640999"/>
    <n v="76743.589743589793"/>
    <n v="276276.92307692301"/>
  </r>
  <r>
    <x v="0"/>
    <x v="0"/>
    <x v="0"/>
    <x v="0"/>
    <x v="1"/>
    <s v="DK2_Large"/>
    <x v="3"/>
    <x v="80"/>
    <x v="0"/>
    <x v="7"/>
    <n v="210.25641025640999"/>
    <n v="76743.589743589793"/>
    <n v="276276.92307692301"/>
  </r>
  <r>
    <x v="0"/>
    <x v="0"/>
    <x v="0"/>
    <x v="0"/>
    <x v="1"/>
    <s v="DK2_Large"/>
    <x v="3"/>
    <x v="80"/>
    <x v="0"/>
    <x v="8"/>
    <n v="210.25641025640999"/>
    <n v="76743.589743589793"/>
    <n v="276276.92307692301"/>
  </r>
  <r>
    <x v="0"/>
    <x v="0"/>
    <x v="0"/>
    <x v="0"/>
    <x v="1"/>
    <s v="DK2_Large"/>
    <x v="3"/>
    <x v="80"/>
    <x v="0"/>
    <x v="9"/>
    <n v="210.25641025640999"/>
    <n v="76743.589743589793"/>
    <n v="276276.92307692301"/>
  </r>
  <r>
    <x v="0"/>
    <x v="0"/>
    <x v="0"/>
    <x v="0"/>
    <x v="1"/>
    <s v="DK2_Large"/>
    <x v="3"/>
    <x v="80"/>
    <x v="0"/>
    <x v="10"/>
    <n v="210.25641025640999"/>
    <n v="76743.589743589793"/>
    <n v="276276.92307692301"/>
  </r>
  <r>
    <x v="0"/>
    <x v="0"/>
    <x v="0"/>
    <x v="0"/>
    <x v="1"/>
    <s v="DK2_Large"/>
    <x v="3"/>
    <x v="80"/>
    <x v="0"/>
    <x v="11"/>
    <n v="210.25641025640999"/>
    <n v="76743.589743589793"/>
    <n v="276276.92307692301"/>
  </r>
  <r>
    <x v="0"/>
    <x v="0"/>
    <x v="0"/>
    <x v="0"/>
    <x v="1"/>
    <s v="DK2_Large"/>
    <x v="3"/>
    <x v="80"/>
    <x v="0"/>
    <x v="12"/>
    <n v="210.25641025640999"/>
    <n v="76743.589743589793"/>
    <n v="276276.92307692301"/>
  </r>
  <r>
    <x v="0"/>
    <x v="0"/>
    <x v="0"/>
    <x v="0"/>
    <x v="1"/>
    <s v="DK2_Large"/>
    <x v="3"/>
    <x v="80"/>
    <x v="0"/>
    <x v="13"/>
    <n v="210.25641025640999"/>
    <n v="76743.589743589793"/>
    <n v="276276.92307692301"/>
  </r>
  <r>
    <x v="0"/>
    <x v="0"/>
    <x v="0"/>
    <x v="0"/>
    <x v="1"/>
    <s v="DK2_Large"/>
    <x v="3"/>
    <x v="80"/>
    <x v="0"/>
    <x v="14"/>
    <n v="210.25641025640999"/>
    <n v="76743.589743589793"/>
    <n v="276276.92307692301"/>
  </r>
  <r>
    <x v="0"/>
    <x v="0"/>
    <x v="0"/>
    <x v="0"/>
    <x v="1"/>
    <s v="DK2_Large"/>
    <x v="3"/>
    <x v="80"/>
    <x v="0"/>
    <x v="15"/>
    <n v="210.25641025640999"/>
    <n v="76743.589743589793"/>
    <n v="276276.92307692301"/>
  </r>
  <r>
    <x v="0"/>
    <x v="0"/>
    <x v="0"/>
    <x v="0"/>
    <x v="1"/>
    <s v="DK2_Large"/>
    <x v="3"/>
    <x v="80"/>
    <x v="0"/>
    <x v="16"/>
    <n v="210.25641025640999"/>
    <n v="76743.589743589793"/>
    <n v="276276.92307692301"/>
  </r>
  <r>
    <x v="0"/>
    <x v="0"/>
    <x v="0"/>
    <x v="0"/>
    <x v="1"/>
    <s v="DK2_Large"/>
    <x v="3"/>
    <x v="80"/>
    <x v="0"/>
    <x v="17"/>
    <n v="210.25641025640999"/>
    <n v="76743.589743589793"/>
    <n v="276276.92307692301"/>
  </r>
  <r>
    <x v="0"/>
    <x v="0"/>
    <x v="0"/>
    <x v="0"/>
    <x v="1"/>
    <s v="DK2_Large"/>
    <x v="3"/>
    <x v="80"/>
    <x v="0"/>
    <x v="18"/>
    <n v="210.25641025640999"/>
    <n v="76743.589743589793"/>
    <n v="276276.92307692301"/>
  </r>
  <r>
    <x v="0"/>
    <x v="0"/>
    <x v="0"/>
    <x v="0"/>
    <x v="1"/>
    <s v="DK2_Large"/>
    <x v="5"/>
    <x v="45"/>
    <x v="0"/>
    <x v="0"/>
    <n v="14"/>
    <n v="5110"/>
    <n v="18396"/>
  </r>
  <r>
    <x v="0"/>
    <x v="0"/>
    <x v="0"/>
    <x v="0"/>
    <x v="1"/>
    <s v="DK2_Large"/>
    <x v="5"/>
    <x v="45"/>
    <x v="0"/>
    <x v="1"/>
    <n v="14"/>
    <n v="5110"/>
    <n v="18396"/>
  </r>
  <r>
    <x v="0"/>
    <x v="0"/>
    <x v="0"/>
    <x v="0"/>
    <x v="1"/>
    <s v="DK2_Large"/>
    <x v="5"/>
    <x v="45"/>
    <x v="0"/>
    <x v="2"/>
    <n v="14"/>
    <n v="5110"/>
    <n v="18396"/>
  </r>
  <r>
    <x v="0"/>
    <x v="0"/>
    <x v="0"/>
    <x v="0"/>
    <x v="1"/>
    <s v="DK2_Large"/>
    <x v="5"/>
    <x v="45"/>
    <x v="0"/>
    <x v="3"/>
    <n v="14"/>
    <n v="5110"/>
    <n v="18396"/>
  </r>
  <r>
    <x v="0"/>
    <x v="0"/>
    <x v="0"/>
    <x v="0"/>
    <x v="1"/>
    <s v="DK2_Large"/>
    <x v="5"/>
    <x v="45"/>
    <x v="0"/>
    <x v="4"/>
    <n v="14"/>
    <n v="5110"/>
    <n v="18396"/>
  </r>
  <r>
    <x v="0"/>
    <x v="0"/>
    <x v="0"/>
    <x v="0"/>
    <x v="1"/>
    <s v="DK2_Large"/>
    <x v="5"/>
    <x v="45"/>
    <x v="0"/>
    <x v="5"/>
    <n v="14"/>
    <n v="5110"/>
    <n v="18396"/>
  </r>
  <r>
    <x v="0"/>
    <x v="0"/>
    <x v="0"/>
    <x v="0"/>
    <x v="1"/>
    <s v="DK2_Large"/>
    <x v="5"/>
    <x v="45"/>
    <x v="0"/>
    <x v="6"/>
    <n v="14"/>
    <n v="5110"/>
    <n v="18396"/>
  </r>
  <r>
    <x v="0"/>
    <x v="0"/>
    <x v="0"/>
    <x v="0"/>
    <x v="1"/>
    <s v="DK2_Large"/>
    <x v="5"/>
    <x v="45"/>
    <x v="0"/>
    <x v="7"/>
    <n v="14"/>
    <n v="5110"/>
    <n v="18396"/>
  </r>
  <r>
    <x v="0"/>
    <x v="0"/>
    <x v="0"/>
    <x v="0"/>
    <x v="1"/>
    <s v="DK2_Large"/>
    <x v="5"/>
    <x v="45"/>
    <x v="0"/>
    <x v="8"/>
    <n v="14"/>
    <n v="5110"/>
    <n v="18396"/>
  </r>
  <r>
    <x v="0"/>
    <x v="0"/>
    <x v="0"/>
    <x v="0"/>
    <x v="1"/>
    <s v="DK2_Large"/>
    <x v="5"/>
    <x v="45"/>
    <x v="0"/>
    <x v="9"/>
    <n v="14"/>
    <n v="5110"/>
    <n v="18396"/>
  </r>
  <r>
    <x v="0"/>
    <x v="0"/>
    <x v="0"/>
    <x v="0"/>
    <x v="1"/>
    <s v="DK2_Large"/>
    <x v="5"/>
    <x v="45"/>
    <x v="0"/>
    <x v="10"/>
    <n v="14"/>
    <n v="5110"/>
    <n v="18396"/>
  </r>
  <r>
    <x v="0"/>
    <x v="0"/>
    <x v="0"/>
    <x v="0"/>
    <x v="1"/>
    <s v="DK2_Large"/>
    <x v="5"/>
    <x v="45"/>
    <x v="0"/>
    <x v="11"/>
    <n v="14"/>
    <n v="5110"/>
    <n v="18396"/>
  </r>
  <r>
    <x v="0"/>
    <x v="0"/>
    <x v="0"/>
    <x v="0"/>
    <x v="1"/>
    <s v="DK2_Large"/>
    <x v="5"/>
    <x v="45"/>
    <x v="0"/>
    <x v="12"/>
    <n v="14"/>
    <n v="5110"/>
    <n v="18396"/>
  </r>
  <r>
    <x v="0"/>
    <x v="0"/>
    <x v="0"/>
    <x v="0"/>
    <x v="1"/>
    <s v="DK2_Large"/>
    <x v="5"/>
    <x v="45"/>
    <x v="0"/>
    <x v="13"/>
    <n v="14"/>
    <n v="5110"/>
    <n v="18396"/>
  </r>
  <r>
    <x v="0"/>
    <x v="0"/>
    <x v="0"/>
    <x v="0"/>
    <x v="1"/>
    <s v="DK2_Large"/>
    <x v="5"/>
    <x v="45"/>
    <x v="0"/>
    <x v="14"/>
    <n v="14"/>
    <n v="5110"/>
    <n v="18396"/>
  </r>
  <r>
    <x v="0"/>
    <x v="0"/>
    <x v="0"/>
    <x v="0"/>
    <x v="1"/>
    <s v="DK2_Large"/>
    <x v="5"/>
    <x v="45"/>
    <x v="0"/>
    <x v="15"/>
    <n v="14"/>
    <n v="5110"/>
    <n v="18396"/>
  </r>
  <r>
    <x v="0"/>
    <x v="0"/>
    <x v="0"/>
    <x v="0"/>
    <x v="1"/>
    <s v="DK2_Large"/>
    <x v="5"/>
    <x v="45"/>
    <x v="0"/>
    <x v="16"/>
    <n v="14"/>
    <n v="5110"/>
    <n v="18396"/>
  </r>
  <r>
    <x v="0"/>
    <x v="0"/>
    <x v="0"/>
    <x v="0"/>
    <x v="1"/>
    <s v="DK2_Large"/>
    <x v="5"/>
    <x v="45"/>
    <x v="0"/>
    <x v="17"/>
    <n v="14"/>
    <n v="5110"/>
    <n v="18396"/>
  </r>
  <r>
    <x v="0"/>
    <x v="0"/>
    <x v="0"/>
    <x v="0"/>
    <x v="1"/>
    <s v="DK2_Large"/>
    <x v="5"/>
    <x v="45"/>
    <x v="0"/>
    <x v="18"/>
    <n v="14"/>
    <n v="5110"/>
    <n v="18396"/>
  </r>
  <r>
    <x v="0"/>
    <x v="0"/>
    <x v="0"/>
    <x v="0"/>
    <x v="1"/>
    <s v="DK2_Large"/>
    <x v="5"/>
    <x v="45"/>
    <x v="0"/>
    <x v="19"/>
    <n v="14"/>
    <n v="5110"/>
    <n v="18396"/>
  </r>
  <r>
    <x v="0"/>
    <x v="0"/>
    <x v="0"/>
    <x v="0"/>
    <x v="1"/>
    <s v="DK2_Large"/>
    <x v="5"/>
    <x v="45"/>
    <x v="0"/>
    <x v="20"/>
    <n v="14"/>
    <n v="5110"/>
    <n v="18396"/>
  </r>
  <r>
    <x v="0"/>
    <x v="0"/>
    <x v="0"/>
    <x v="0"/>
    <x v="1"/>
    <s v="DK2_Large"/>
    <x v="5"/>
    <x v="45"/>
    <x v="0"/>
    <x v="21"/>
    <n v="14"/>
    <n v="5110"/>
    <n v="18396"/>
  </r>
  <r>
    <x v="0"/>
    <x v="0"/>
    <x v="0"/>
    <x v="0"/>
    <x v="1"/>
    <s v="DK2_Large"/>
    <x v="5"/>
    <x v="45"/>
    <x v="0"/>
    <x v="22"/>
    <n v="14"/>
    <n v="5110"/>
    <n v="18396"/>
  </r>
  <r>
    <x v="0"/>
    <x v="0"/>
    <x v="0"/>
    <x v="0"/>
    <x v="1"/>
    <s v="DK2_Large"/>
    <x v="5"/>
    <x v="45"/>
    <x v="0"/>
    <x v="23"/>
    <n v="14"/>
    <n v="5110"/>
    <n v="18396"/>
  </r>
  <r>
    <x v="0"/>
    <x v="0"/>
    <x v="0"/>
    <x v="0"/>
    <x v="1"/>
    <s v="DK2_Large"/>
    <x v="6"/>
    <x v="81"/>
    <x v="0"/>
    <x v="0"/>
    <n v="45.8333333333334"/>
    <n v="16729.166666666701"/>
    <n v="60225"/>
  </r>
  <r>
    <x v="0"/>
    <x v="0"/>
    <x v="0"/>
    <x v="0"/>
    <x v="1"/>
    <s v="DK2_Large"/>
    <x v="6"/>
    <x v="81"/>
    <x v="0"/>
    <x v="1"/>
    <n v="45.8333333333334"/>
    <n v="16729.166666666701"/>
    <n v="60225"/>
  </r>
  <r>
    <x v="0"/>
    <x v="0"/>
    <x v="0"/>
    <x v="0"/>
    <x v="1"/>
    <s v="DK2_Large"/>
    <x v="6"/>
    <x v="81"/>
    <x v="0"/>
    <x v="2"/>
    <n v="45.8333333333334"/>
    <n v="16729.166666666701"/>
    <n v="60225"/>
  </r>
  <r>
    <x v="0"/>
    <x v="0"/>
    <x v="0"/>
    <x v="0"/>
    <x v="1"/>
    <s v="DK2_Large"/>
    <x v="6"/>
    <x v="81"/>
    <x v="0"/>
    <x v="3"/>
    <n v="45.8333333333334"/>
    <n v="16729.166666666701"/>
    <n v="60225"/>
  </r>
  <r>
    <x v="0"/>
    <x v="0"/>
    <x v="0"/>
    <x v="0"/>
    <x v="1"/>
    <s v="DK2_Large"/>
    <x v="6"/>
    <x v="81"/>
    <x v="0"/>
    <x v="4"/>
    <n v="45.8333333333334"/>
    <n v="16729.166666666701"/>
    <n v="60225"/>
  </r>
  <r>
    <x v="0"/>
    <x v="0"/>
    <x v="0"/>
    <x v="0"/>
    <x v="1"/>
    <s v="DK2_Large"/>
    <x v="6"/>
    <x v="81"/>
    <x v="0"/>
    <x v="5"/>
    <n v="45.8333333333334"/>
    <n v="16729.166666666701"/>
    <n v="60225"/>
  </r>
  <r>
    <x v="0"/>
    <x v="0"/>
    <x v="0"/>
    <x v="0"/>
    <x v="1"/>
    <s v="DK2_Large"/>
    <x v="6"/>
    <x v="81"/>
    <x v="0"/>
    <x v="6"/>
    <n v="45.8333333333334"/>
    <n v="16729.166666666701"/>
    <n v="60225"/>
  </r>
  <r>
    <x v="0"/>
    <x v="0"/>
    <x v="0"/>
    <x v="0"/>
    <x v="1"/>
    <s v="DK2_Large"/>
    <x v="6"/>
    <x v="81"/>
    <x v="0"/>
    <x v="7"/>
    <n v="45.8333333333334"/>
    <n v="16729.166666666701"/>
    <n v="60225"/>
  </r>
  <r>
    <x v="0"/>
    <x v="0"/>
    <x v="0"/>
    <x v="0"/>
    <x v="1"/>
    <s v="DK2_Large"/>
    <x v="6"/>
    <x v="81"/>
    <x v="0"/>
    <x v="8"/>
    <n v="45.8333333333334"/>
    <n v="16729.166666666701"/>
    <n v="60225"/>
  </r>
  <r>
    <x v="0"/>
    <x v="0"/>
    <x v="0"/>
    <x v="0"/>
    <x v="1"/>
    <s v="DK2_Large"/>
    <x v="6"/>
    <x v="81"/>
    <x v="0"/>
    <x v="9"/>
    <n v="45.8333333333334"/>
    <n v="16729.166666666701"/>
    <n v="60225"/>
  </r>
  <r>
    <x v="0"/>
    <x v="0"/>
    <x v="0"/>
    <x v="0"/>
    <x v="1"/>
    <s v="DK2_Large"/>
    <x v="6"/>
    <x v="81"/>
    <x v="0"/>
    <x v="10"/>
    <n v="45.8333333333334"/>
    <n v="16729.166666666701"/>
    <n v="60225"/>
  </r>
  <r>
    <x v="0"/>
    <x v="0"/>
    <x v="0"/>
    <x v="0"/>
    <x v="1"/>
    <s v="DK2_Large"/>
    <x v="6"/>
    <x v="81"/>
    <x v="0"/>
    <x v="11"/>
    <n v="45.8333333333334"/>
    <n v="16729.166666666701"/>
    <n v="60225"/>
  </r>
  <r>
    <x v="0"/>
    <x v="0"/>
    <x v="0"/>
    <x v="0"/>
    <x v="1"/>
    <s v="DK2_Large"/>
    <x v="6"/>
    <x v="81"/>
    <x v="0"/>
    <x v="12"/>
    <n v="45.8333333333334"/>
    <n v="16729.166666666701"/>
    <n v="60225"/>
  </r>
  <r>
    <x v="0"/>
    <x v="0"/>
    <x v="0"/>
    <x v="0"/>
    <x v="1"/>
    <s v="DK2_Large"/>
    <x v="6"/>
    <x v="81"/>
    <x v="0"/>
    <x v="13"/>
    <n v="45.8333333333334"/>
    <n v="16729.166666666701"/>
    <n v="60225"/>
  </r>
  <r>
    <x v="0"/>
    <x v="0"/>
    <x v="0"/>
    <x v="0"/>
    <x v="1"/>
    <s v="DK2_Large"/>
    <x v="6"/>
    <x v="81"/>
    <x v="0"/>
    <x v="14"/>
    <n v="45.8333333333334"/>
    <n v="16729.166666666701"/>
    <n v="60225"/>
  </r>
  <r>
    <x v="0"/>
    <x v="0"/>
    <x v="0"/>
    <x v="0"/>
    <x v="1"/>
    <s v="DK2_Large"/>
    <x v="6"/>
    <x v="81"/>
    <x v="0"/>
    <x v="15"/>
    <n v="45.8333333333334"/>
    <n v="16729.166666666701"/>
    <n v="60225"/>
  </r>
  <r>
    <x v="0"/>
    <x v="0"/>
    <x v="0"/>
    <x v="0"/>
    <x v="1"/>
    <s v="DK2_Large"/>
    <x v="6"/>
    <x v="81"/>
    <x v="0"/>
    <x v="16"/>
    <n v="45.8333333333334"/>
    <n v="16729.166666666701"/>
    <n v="60225"/>
  </r>
  <r>
    <x v="0"/>
    <x v="0"/>
    <x v="0"/>
    <x v="0"/>
    <x v="1"/>
    <s v="DK2_Large"/>
    <x v="6"/>
    <x v="81"/>
    <x v="0"/>
    <x v="17"/>
    <n v="45.8333333333334"/>
    <n v="16729.166666666701"/>
    <n v="60225"/>
  </r>
  <r>
    <x v="0"/>
    <x v="0"/>
    <x v="0"/>
    <x v="0"/>
    <x v="1"/>
    <s v="DK2_Large"/>
    <x v="6"/>
    <x v="81"/>
    <x v="0"/>
    <x v="18"/>
    <n v="45.8333333333334"/>
    <n v="16729.166666666701"/>
    <n v="60225"/>
  </r>
  <r>
    <x v="0"/>
    <x v="0"/>
    <x v="0"/>
    <x v="0"/>
    <x v="1"/>
    <s v="DK2_Large"/>
    <x v="6"/>
    <x v="81"/>
    <x v="0"/>
    <x v="19"/>
    <n v="45.8333333333334"/>
    <n v="16729.166666666701"/>
    <n v="60225"/>
  </r>
  <r>
    <x v="0"/>
    <x v="0"/>
    <x v="0"/>
    <x v="0"/>
    <x v="1"/>
    <s v="DK2_Large"/>
    <x v="6"/>
    <x v="81"/>
    <x v="0"/>
    <x v="20"/>
    <n v="45.8333333333334"/>
    <n v="16729.166666666701"/>
    <n v="60225"/>
  </r>
  <r>
    <x v="0"/>
    <x v="0"/>
    <x v="0"/>
    <x v="0"/>
    <x v="1"/>
    <s v="DK2_Large"/>
    <x v="6"/>
    <x v="81"/>
    <x v="0"/>
    <x v="21"/>
    <n v="45.8333333333334"/>
    <n v="16729.166666666701"/>
    <n v="60225"/>
  </r>
  <r>
    <x v="0"/>
    <x v="0"/>
    <x v="0"/>
    <x v="0"/>
    <x v="1"/>
    <s v="DK2_Large"/>
    <x v="6"/>
    <x v="81"/>
    <x v="0"/>
    <x v="22"/>
    <n v="45.8333333333334"/>
    <n v="16729.166666666701"/>
    <n v="60225"/>
  </r>
  <r>
    <x v="0"/>
    <x v="0"/>
    <x v="0"/>
    <x v="0"/>
    <x v="1"/>
    <s v="DK2_Large"/>
    <x v="6"/>
    <x v="81"/>
    <x v="0"/>
    <x v="23"/>
    <n v="45.8333333333334"/>
    <n v="16729.166666666701"/>
    <n v="60225"/>
  </r>
  <r>
    <x v="0"/>
    <x v="0"/>
    <x v="0"/>
    <x v="0"/>
    <x v="1"/>
    <s v="DK2_Large"/>
    <x v="6"/>
    <x v="51"/>
    <x v="0"/>
    <x v="0"/>
    <n v="55.555555555555699"/>
    <n v="20277.777777777799"/>
    <n v="73000.000000000204"/>
  </r>
  <r>
    <x v="0"/>
    <x v="0"/>
    <x v="0"/>
    <x v="0"/>
    <x v="1"/>
    <s v="DK2_Large"/>
    <x v="6"/>
    <x v="51"/>
    <x v="0"/>
    <x v="1"/>
    <n v="55.555555555555699"/>
    <n v="20277.777777777799"/>
    <n v="73000.000000000204"/>
  </r>
  <r>
    <x v="0"/>
    <x v="0"/>
    <x v="0"/>
    <x v="0"/>
    <x v="1"/>
    <s v="DK2_Large"/>
    <x v="6"/>
    <x v="51"/>
    <x v="0"/>
    <x v="2"/>
    <n v="55.555555555555699"/>
    <n v="20277.777777777799"/>
    <n v="73000.000000000204"/>
  </r>
  <r>
    <x v="0"/>
    <x v="0"/>
    <x v="0"/>
    <x v="0"/>
    <x v="1"/>
    <s v="DK2_Large"/>
    <x v="6"/>
    <x v="51"/>
    <x v="0"/>
    <x v="3"/>
    <n v="55.555555555555699"/>
    <n v="20277.777777777799"/>
    <n v="73000.000000000204"/>
  </r>
  <r>
    <x v="0"/>
    <x v="0"/>
    <x v="0"/>
    <x v="0"/>
    <x v="1"/>
    <s v="DK2_Large"/>
    <x v="6"/>
    <x v="51"/>
    <x v="0"/>
    <x v="4"/>
    <n v="55.555555555555699"/>
    <n v="20277.777777777799"/>
    <n v="73000.000000000204"/>
  </r>
  <r>
    <x v="0"/>
    <x v="0"/>
    <x v="0"/>
    <x v="0"/>
    <x v="1"/>
    <s v="DK2_Large"/>
    <x v="6"/>
    <x v="51"/>
    <x v="0"/>
    <x v="5"/>
    <n v="55.555555555555699"/>
    <n v="20277.777777777799"/>
    <n v="73000.000000000204"/>
  </r>
  <r>
    <x v="0"/>
    <x v="0"/>
    <x v="0"/>
    <x v="0"/>
    <x v="1"/>
    <s v="DK2_Large"/>
    <x v="6"/>
    <x v="51"/>
    <x v="0"/>
    <x v="6"/>
    <n v="55.555555555555699"/>
    <n v="20277.777777777799"/>
    <n v="73000.000000000204"/>
  </r>
  <r>
    <x v="0"/>
    <x v="0"/>
    <x v="0"/>
    <x v="0"/>
    <x v="1"/>
    <s v="DK2_Large"/>
    <x v="6"/>
    <x v="51"/>
    <x v="0"/>
    <x v="7"/>
    <n v="55.555555555555699"/>
    <n v="20277.777777777799"/>
    <n v="73000.000000000204"/>
  </r>
  <r>
    <x v="0"/>
    <x v="0"/>
    <x v="0"/>
    <x v="0"/>
    <x v="1"/>
    <s v="DK2_Large"/>
    <x v="6"/>
    <x v="51"/>
    <x v="0"/>
    <x v="8"/>
    <n v="55.555555555555699"/>
    <n v="20277.777777777799"/>
    <n v="73000.000000000204"/>
  </r>
  <r>
    <x v="0"/>
    <x v="0"/>
    <x v="0"/>
    <x v="0"/>
    <x v="1"/>
    <s v="DK2_Large"/>
    <x v="6"/>
    <x v="51"/>
    <x v="0"/>
    <x v="9"/>
    <n v="55.555555555555699"/>
    <n v="20277.777777777799"/>
    <n v="73000.000000000204"/>
  </r>
  <r>
    <x v="0"/>
    <x v="0"/>
    <x v="0"/>
    <x v="0"/>
    <x v="1"/>
    <s v="DK2_Large"/>
    <x v="6"/>
    <x v="51"/>
    <x v="0"/>
    <x v="10"/>
    <n v="55.555555555555699"/>
    <n v="20277.777777777799"/>
    <n v="73000.000000000204"/>
  </r>
  <r>
    <x v="0"/>
    <x v="0"/>
    <x v="0"/>
    <x v="0"/>
    <x v="1"/>
    <s v="DK2_Large"/>
    <x v="6"/>
    <x v="51"/>
    <x v="0"/>
    <x v="11"/>
    <n v="55.555555555555699"/>
    <n v="20277.777777777799"/>
    <n v="73000.000000000204"/>
  </r>
  <r>
    <x v="0"/>
    <x v="0"/>
    <x v="0"/>
    <x v="0"/>
    <x v="1"/>
    <s v="DK2_Large"/>
    <x v="6"/>
    <x v="51"/>
    <x v="0"/>
    <x v="12"/>
    <n v="55.555555555555699"/>
    <n v="20277.777777777799"/>
    <n v="73000.000000000204"/>
  </r>
  <r>
    <x v="0"/>
    <x v="0"/>
    <x v="0"/>
    <x v="0"/>
    <x v="1"/>
    <s v="DK2_Large"/>
    <x v="6"/>
    <x v="51"/>
    <x v="0"/>
    <x v="13"/>
    <n v="55.555555555555699"/>
    <n v="20277.777777777799"/>
    <n v="73000.000000000204"/>
  </r>
  <r>
    <x v="0"/>
    <x v="0"/>
    <x v="0"/>
    <x v="0"/>
    <x v="1"/>
    <s v="DK2_Large"/>
    <x v="6"/>
    <x v="51"/>
    <x v="0"/>
    <x v="14"/>
    <n v="55.555555555555699"/>
    <n v="20277.777777777799"/>
    <n v="73000.000000000204"/>
  </r>
  <r>
    <x v="0"/>
    <x v="0"/>
    <x v="0"/>
    <x v="0"/>
    <x v="1"/>
    <s v="DK2_Large"/>
    <x v="6"/>
    <x v="51"/>
    <x v="0"/>
    <x v="15"/>
    <n v="55.555555555555699"/>
    <n v="20277.777777777799"/>
    <n v="73000.000000000204"/>
  </r>
  <r>
    <x v="0"/>
    <x v="0"/>
    <x v="0"/>
    <x v="0"/>
    <x v="1"/>
    <s v="DK2_Large"/>
    <x v="6"/>
    <x v="51"/>
    <x v="0"/>
    <x v="16"/>
    <n v="55.555555555555699"/>
    <n v="20277.777777777799"/>
    <n v="73000.000000000204"/>
  </r>
  <r>
    <x v="0"/>
    <x v="0"/>
    <x v="0"/>
    <x v="0"/>
    <x v="1"/>
    <s v="DK2_Large"/>
    <x v="6"/>
    <x v="51"/>
    <x v="0"/>
    <x v="17"/>
    <n v="55.555555555555699"/>
    <n v="20277.777777777799"/>
    <n v="73000.000000000204"/>
  </r>
  <r>
    <x v="0"/>
    <x v="0"/>
    <x v="0"/>
    <x v="0"/>
    <x v="1"/>
    <s v="DK2_Large"/>
    <x v="6"/>
    <x v="51"/>
    <x v="0"/>
    <x v="18"/>
    <n v="55.555555555555699"/>
    <n v="20277.777777777799"/>
    <n v="73000.000000000204"/>
  </r>
  <r>
    <x v="0"/>
    <x v="0"/>
    <x v="0"/>
    <x v="0"/>
    <x v="1"/>
    <s v="DK2_Large"/>
    <x v="6"/>
    <x v="51"/>
    <x v="0"/>
    <x v="19"/>
    <n v="55.555555555555699"/>
    <n v="20277.777777777799"/>
    <n v="73000.000000000204"/>
  </r>
  <r>
    <x v="0"/>
    <x v="0"/>
    <x v="0"/>
    <x v="0"/>
    <x v="1"/>
    <s v="DK2_Large"/>
    <x v="6"/>
    <x v="51"/>
    <x v="0"/>
    <x v="20"/>
    <n v="55.555555555555699"/>
    <n v="20277.777777777799"/>
    <n v="73000.000000000204"/>
  </r>
  <r>
    <x v="0"/>
    <x v="0"/>
    <x v="0"/>
    <x v="0"/>
    <x v="1"/>
    <s v="DK2_Large"/>
    <x v="6"/>
    <x v="51"/>
    <x v="0"/>
    <x v="21"/>
    <n v="55.555555555555699"/>
    <n v="20277.777777777799"/>
    <n v="73000.000000000204"/>
  </r>
  <r>
    <x v="0"/>
    <x v="0"/>
    <x v="0"/>
    <x v="0"/>
    <x v="1"/>
    <s v="DK2_Large"/>
    <x v="6"/>
    <x v="51"/>
    <x v="0"/>
    <x v="22"/>
    <n v="55.555555555555699"/>
    <n v="20277.777777777799"/>
    <n v="73000.000000000204"/>
  </r>
  <r>
    <x v="0"/>
    <x v="0"/>
    <x v="0"/>
    <x v="0"/>
    <x v="1"/>
    <s v="DK2_Large"/>
    <x v="6"/>
    <x v="51"/>
    <x v="0"/>
    <x v="23"/>
    <n v="55.555555555555699"/>
    <n v="20277.777777777799"/>
    <n v="73000.000000000204"/>
  </r>
  <r>
    <x v="0"/>
    <x v="0"/>
    <x v="0"/>
    <x v="0"/>
    <x v="1"/>
    <s v="DK2_Large"/>
    <x v="7"/>
    <x v="33"/>
    <x v="0"/>
    <x v="0"/>
    <n v="33"/>
    <n v="12045"/>
    <n v="43362"/>
  </r>
  <r>
    <x v="0"/>
    <x v="0"/>
    <x v="0"/>
    <x v="0"/>
    <x v="1"/>
    <s v="DK2_Large"/>
    <x v="7"/>
    <x v="33"/>
    <x v="0"/>
    <x v="1"/>
    <n v="33"/>
    <n v="12045"/>
    <n v="43362"/>
  </r>
  <r>
    <x v="0"/>
    <x v="0"/>
    <x v="0"/>
    <x v="0"/>
    <x v="1"/>
    <s v="DK2_Large"/>
    <x v="7"/>
    <x v="33"/>
    <x v="0"/>
    <x v="2"/>
    <n v="33"/>
    <n v="12045"/>
    <n v="43362"/>
  </r>
  <r>
    <x v="0"/>
    <x v="0"/>
    <x v="0"/>
    <x v="0"/>
    <x v="1"/>
    <s v="DK2_Large"/>
    <x v="7"/>
    <x v="33"/>
    <x v="0"/>
    <x v="3"/>
    <n v="33"/>
    <n v="12045"/>
    <n v="43362"/>
  </r>
  <r>
    <x v="0"/>
    <x v="0"/>
    <x v="0"/>
    <x v="0"/>
    <x v="1"/>
    <s v="DK2_Large"/>
    <x v="7"/>
    <x v="33"/>
    <x v="0"/>
    <x v="4"/>
    <n v="33"/>
    <n v="12045"/>
    <n v="43362"/>
  </r>
  <r>
    <x v="0"/>
    <x v="0"/>
    <x v="0"/>
    <x v="0"/>
    <x v="1"/>
    <s v="DK2_Large"/>
    <x v="7"/>
    <x v="33"/>
    <x v="0"/>
    <x v="5"/>
    <n v="33"/>
    <n v="12045"/>
    <n v="43362"/>
  </r>
  <r>
    <x v="0"/>
    <x v="0"/>
    <x v="0"/>
    <x v="0"/>
    <x v="1"/>
    <s v="DK2_Large"/>
    <x v="7"/>
    <x v="33"/>
    <x v="0"/>
    <x v="6"/>
    <n v="33"/>
    <n v="12045"/>
    <n v="43362"/>
  </r>
  <r>
    <x v="0"/>
    <x v="0"/>
    <x v="0"/>
    <x v="0"/>
    <x v="1"/>
    <s v="DK2_Large"/>
    <x v="7"/>
    <x v="33"/>
    <x v="0"/>
    <x v="7"/>
    <n v="33"/>
    <n v="12045"/>
    <n v="43362"/>
  </r>
  <r>
    <x v="0"/>
    <x v="0"/>
    <x v="0"/>
    <x v="0"/>
    <x v="1"/>
    <s v="DK2_Large"/>
    <x v="7"/>
    <x v="33"/>
    <x v="0"/>
    <x v="8"/>
    <n v="33"/>
    <n v="12045"/>
    <n v="43362"/>
  </r>
  <r>
    <x v="0"/>
    <x v="0"/>
    <x v="0"/>
    <x v="0"/>
    <x v="1"/>
    <s v="DK2_Large"/>
    <x v="7"/>
    <x v="33"/>
    <x v="0"/>
    <x v="9"/>
    <n v="33"/>
    <n v="12045"/>
    <n v="43362"/>
  </r>
  <r>
    <x v="0"/>
    <x v="0"/>
    <x v="0"/>
    <x v="0"/>
    <x v="1"/>
    <s v="DK2_Large"/>
    <x v="7"/>
    <x v="33"/>
    <x v="0"/>
    <x v="10"/>
    <n v="33"/>
    <n v="12045"/>
    <n v="43362"/>
  </r>
  <r>
    <x v="0"/>
    <x v="0"/>
    <x v="0"/>
    <x v="0"/>
    <x v="1"/>
    <s v="DK2_Large"/>
    <x v="7"/>
    <x v="33"/>
    <x v="0"/>
    <x v="11"/>
    <n v="33"/>
    <n v="12045"/>
    <n v="43362"/>
  </r>
  <r>
    <x v="0"/>
    <x v="0"/>
    <x v="0"/>
    <x v="0"/>
    <x v="1"/>
    <s v="DK2_Large"/>
    <x v="7"/>
    <x v="33"/>
    <x v="0"/>
    <x v="12"/>
    <n v="33"/>
    <n v="12045"/>
    <n v="43362"/>
  </r>
  <r>
    <x v="0"/>
    <x v="0"/>
    <x v="0"/>
    <x v="0"/>
    <x v="1"/>
    <s v="DK2_Large"/>
    <x v="7"/>
    <x v="33"/>
    <x v="0"/>
    <x v="13"/>
    <n v="33"/>
    <n v="12045"/>
    <n v="43362"/>
  </r>
  <r>
    <x v="0"/>
    <x v="0"/>
    <x v="0"/>
    <x v="0"/>
    <x v="1"/>
    <s v="DK2_Large"/>
    <x v="7"/>
    <x v="33"/>
    <x v="0"/>
    <x v="14"/>
    <n v="33"/>
    <n v="12045"/>
    <n v="43362"/>
  </r>
  <r>
    <x v="0"/>
    <x v="0"/>
    <x v="0"/>
    <x v="0"/>
    <x v="1"/>
    <s v="DK2_Large"/>
    <x v="7"/>
    <x v="33"/>
    <x v="0"/>
    <x v="15"/>
    <n v="33"/>
    <n v="12045"/>
    <n v="43362"/>
  </r>
  <r>
    <x v="0"/>
    <x v="0"/>
    <x v="0"/>
    <x v="0"/>
    <x v="1"/>
    <s v="DK2_Large"/>
    <x v="7"/>
    <x v="33"/>
    <x v="0"/>
    <x v="16"/>
    <n v="33"/>
    <n v="12045"/>
    <n v="43362"/>
  </r>
  <r>
    <x v="0"/>
    <x v="0"/>
    <x v="0"/>
    <x v="0"/>
    <x v="1"/>
    <s v="DK2_Large"/>
    <x v="7"/>
    <x v="33"/>
    <x v="0"/>
    <x v="17"/>
    <n v="33"/>
    <n v="12045"/>
    <n v="43362"/>
  </r>
  <r>
    <x v="0"/>
    <x v="0"/>
    <x v="0"/>
    <x v="0"/>
    <x v="1"/>
    <s v="DK2_Large"/>
    <x v="7"/>
    <x v="33"/>
    <x v="0"/>
    <x v="18"/>
    <n v="33"/>
    <n v="12045"/>
    <n v="43362"/>
  </r>
  <r>
    <x v="0"/>
    <x v="0"/>
    <x v="0"/>
    <x v="0"/>
    <x v="1"/>
    <s v="DK2_Large"/>
    <x v="7"/>
    <x v="33"/>
    <x v="0"/>
    <x v="19"/>
    <n v="33"/>
    <n v="12045"/>
    <n v="43362"/>
  </r>
  <r>
    <x v="0"/>
    <x v="0"/>
    <x v="0"/>
    <x v="0"/>
    <x v="1"/>
    <s v="DK2_Large"/>
    <x v="7"/>
    <x v="33"/>
    <x v="0"/>
    <x v="20"/>
    <n v="33"/>
    <n v="12045"/>
    <n v="43362"/>
  </r>
  <r>
    <x v="0"/>
    <x v="0"/>
    <x v="0"/>
    <x v="0"/>
    <x v="1"/>
    <s v="DK2_Large"/>
    <x v="7"/>
    <x v="33"/>
    <x v="0"/>
    <x v="21"/>
    <n v="33"/>
    <n v="12045"/>
    <n v="43362"/>
  </r>
  <r>
    <x v="0"/>
    <x v="0"/>
    <x v="0"/>
    <x v="0"/>
    <x v="1"/>
    <s v="DK2_Large"/>
    <x v="7"/>
    <x v="33"/>
    <x v="0"/>
    <x v="22"/>
    <n v="33"/>
    <n v="12045"/>
    <n v="43362"/>
  </r>
  <r>
    <x v="0"/>
    <x v="0"/>
    <x v="0"/>
    <x v="0"/>
    <x v="1"/>
    <s v="DK2_Large"/>
    <x v="7"/>
    <x v="33"/>
    <x v="0"/>
    <x v="23"/>
    <n v="33"/>
    <n v="12045"/>
    <n v="43362"/>
  </r>
  <r>
    <x v="0"/>
    <x v="0"/>
    <x v="0"/>
    <x v="0"/>
    <x v="1"/>
    <s v="DK2_Large"/>
    <x v="7"/>
    <x v="82"/>
    <x v="0"/>
    <x v="0"/>
    <n v="355.555555555556"/>
    <n v="129777.777777778"/>
    <n v="467200"/>
  </r>
  <r>
    <x v="0"/>
    <x v="0"/>
    <x v="0"/>
    <x v="0"/>
    <x v="1"/>
    <s v="DK2_Large"/>
    <x v="7"/>
    <x v="82"/>
    <x v="0"/>
    <x v="1"/>
    <n v="355.555555555556"/>
    <n v="129777.777777778"/>
    <n v="467200"/>
  </r>
  <r>
    <x v="0"/>
    <x v="0"/>
    <x v="0"/>
    <x v="0"/>
    <x v="1"/>
    <s v="DK2_Large"/>
    <x v="7"/>
    <x v="82"/>
    <x v="0"/>
    <x v="2"/>
    <n v="355.555555555556"/>
    <n v="129777.777777778"/>
    <n v="467200"/>
  </r>
  <r>
    <x v="0"/>
    <x v="0"/>
    <x v="0"/>
    <x v="0"/>
    <x v="1"/>
    <s v="DK2_Large"/>
    <x v="7"/>
    <x v="82"/>
    <x v="0"/>
    <x v="3"/>
    <n v="355.555555555556"/>
    <n v="129777.777777778"/>
    <n v="467200"/>
  </r>
  <r>
    <x v="0"/>
    <x v="0"/>
    <x v="0"/>
    <x v="0"/>
    <x v="1"/>
    <s v="DK2_Large"/>
    <x v="7"/>
    <x v="82"/>
    <x v="0"/>
    <x v="4"/>
    <n v="355.555555555556"/>
    <n v="129777.777777778"/>
    <n v="467200"/>
  </r>
  <r>
    <x v="0"/>
    <x v="0"/>
    <x v="0"/>
    <x v="0"/>
    <x v="1"/>
    <s v="DK2_Large"/>
    <x v="7"/>
    <x v="82"/>
    <x v="0"/>
    <x v="5"/>
    <n v="355.555555555556"/>
    <n v="129777.777777778"/>
    <n v="467200"/>
  </r>
  <r>
    <x v="0"/>
    <x v="0"/>
    <x v="0"/>
    <x v="0"/>
    <x v="1"/>
    <s v="DK2_Large"/>
    <x v="7"/>
    <x v="82"/>
    <x v="0"/>
    <x v="6"/>
    <n v="355.555555555556"/>
    <n v="129777.777777778"/>
    <n v="467200"/>
  </r>
  <r>
    <x v="0"/>
    <x v="0"/>
    <x v="0"/>
    <x v="0"/>
    <x v="1"/>
    <s v="DK2_Large"/>
    <x v="7"/>
    <x v="82"/>
    <x v="0"/>
    <x v="7"/>
    <n v="355.555555555556"/>
    <n v="129777.777777778"/>
    <n v="467200"/>
  </r>
  <r>
    <x v="0"/>
    <x v="0"/>
    <x v="0"/>
    <x v="0"/>
    <x v="1"/>
    <s v="DK2_Large"/>
    <x v="7"/>
    <x v="82"/>
    <x v="0"/>
    <x v="8"/>
    <n v="355.555555555556"/>
    <n v="129777.777777778"/>
    <n v="467200"/>
  </r>
  <r>
    <x v="0"/>
    <x v="0"/>
    <x v="0"/>
    <x v="0"/>
    <x v="1"/>
    <s v="DK2_Large"/>
    <x v="7"/>
    <x v="82"/>
    <x v="0"/>
    <x v="9"/>
    <n v="355.555555555556"/>
    <n v="129777.777777778"/>
    <n v="467200"/>
  </r>
  <r>
    <x v="0"/>
    <x v="0"/>
    <x v="0"/>
    <x v="0"/>
    <x v="1"/>
    <s v="DK2_Large"/>
    <x v="7"/>
    <x v="82"/>
    <x v="0"/>
    <x v="10"/>
    <n v="355.555555555556"/>
    <n v="129777.777777778"/>
    <n v="467200"/>
  </r>
  <r>
    <x v="0"/>
    <x v="0"/>
    <x v="0"/>
    <x v="0"/>
    <x v="1"/>
    <s v="DK2_Large"/>
    <x v="7"/>
    <x v="82"/>
    <x v="0"/>
    <x v="11"/>
    <n v="355.555555555556"/>
    <n v="129777.777777778"/>
    <n v="467200"/>
  </r>
  <r>
    <x v="0"/>
    <x v="0"/>
    <x v="0"/>
    <x v="0"/>
    <x v="1"/>
    <s v="DK2_Large"/>
    <x v="7"/>
    <x v="82"/>
    <x v="0"/>
    <x v="12"/>
    <n v="355.555555555556"/>
    <n v="129777.777777778"/>
    <n v="467200"/>
  </r>
  <r>
    <x v="0"/>
    <x v="0"/>
    <x v="0"/>
    <x v="0"/>
    <x v="1"/>
    <s v="DK2_Large"/>
    <x v="7"/>
    <x v="82"/>
    <x v="0"/>
    <x v="13"/>
    <n v="355.555555555556"/>
    <n v="129777.777777778"/>
    <n v="467200"/>
  </r>
  <r>
    <x v="0"/>
    <x v="0"/>
    <x v="0"/>
    <x v="0"/>
    <x v="1"/>
    <s v="DK2_Large"/>
    <x v="7"/>
    <x v="82"/>
    <x v="0"/>
    <x v="14"/>
    <n v="355.555555555556"/>
    <n v="129777.777777778"/>
    <n v="467200"/>
  </r>
  <r>
    <x v="0"/>
    <x v="0"/>
    <x v="0"/>
    <x v="0"/>
    <x v="1"/>
    <s v="DK2_Large"/>
    <x v="7"/>
    <x v="82"/>
    <x v="0"/>
    <x v="15"/>
    <n v="355.555555555556"/>
    <n v="129777.777777778"/>
    <n v="467200"/>
  </r>
  <r>
    <x v="0"/>
    <x v="0"/>
    <x v="0"/>
    <x v="0"/>
    <x v="1"/>
    <s v="DK2_Large"/>
    <x v="7"/>
    <x v="82"/>
    <x v="0"/>
    <x v="16"/>
    <n v="355.555555555556"/>
    <n v="129777.777777778"/>
    <n v="467200"/>
  </r>
  <r>
    <x v="0"/>
    <x v="0"/>
    <x v="0"/>
    <x v="0"/>
    <x v="1"/>
    <s v="DK2_Large"/>
    <x v="7"/>
    <x v="82"/>
    <x v="0"/>
    <x v="17"/>
    <n v="355.555555555556"/>
    <n v="129777.777777778"/>
    <n v="467200"/>
  </r>
  <r>
    <x v="0"/>
    <x v="0"/>
    <x v="0"/>
    <x v="0"/>
    <x v="1"/>
    <s v="DK2_Large"/>
    <x v="7"/>
    <x v="82"/>
    <x v="0"/>
    <x v="18"/>
    <n v="355.555555555556"/>
    <n v="129777.777777778"/>
    <n v="467200"/>
  </r>
  <r>
    <x v="0"/>
    <x v="0"/>
    <x v="0"/>
    <x v="0"/>
    <x v="1"/>
    <s v="DK2_Large"/>
    <x v="7"/>
    <x v="82"/>
    <x v="0"/>
    <x v="19"/>
    <n v="355.555555555556"/>
    <n v="129777.777777778"/>
    <n v="467200"/>
  </r>
  <r>
    <x v="0"/>
    <x v="0"/>
    <x v="0"/>
    <x v="0"/>
    <x v="1"/>
    <s v="DK2_Large"/>
    <x v="7"/>
    <x v="82"/>
    <x v="0"/>
    <x v="20"/>
    <n v="355.555555555556"/>
    <n v="129777.777777778"/>
    <n v="467200"/>
  </r>
  <r>
    <x v="0"/>
    <x v="0"/>
    <x v="0"/>
    <x v="0"/>
    <x v="1"/>
    <s v="DK2_Large"/>
    <x v="7"/>
    <x v="82"/>
    <x v="0"/>
    <x v="21"/>
    <n v="355.555555555556"/>
    <n v="129777.777777778"/>
    <n v="467200"/>
  </r>
  <r>
    <x v="0"/>
    <x v="0"/>
    <x v="0"/>
    <x v="0"/>
    <x v="1"/>
    <s v="DK2_Large"/>
    <x v="7"/>
    <x v="82"/>
    <x v="0"/>
    <x v="22"/>
    <n v="355.555555555556"/>
    <n v="129777.777777778"/>
    <n v="467200"/>
  </r>
  <r>
    <x v="0"/>
    <x v="0"/>
    <x v="0"/>
    <x v="0"/>
    <x v="1"/>
    <s v="DK2_Large"/>
    <x v="7"/>
    <x v="82"/>
    <x v="0"/>
    <x v="23"/>
    <n v="355.555555555556"/>
    <n v="129777.777777778"/>
    <n v="467200"/>
  </r>
  <r>
    <x v="0"/>
    <x v="0"/>
    <x v="0"/>
    <x v="0"/>
    <x v="1"/>
    <s v="DK2_Large"/>
    <x v="7"/>
    <x v="83"/>
    <x v="0"/>
    <x v="0"/>
    <n v="1136"/>
    <n v="414640"/>
    <n v="1492704"/>
  </r>
  <r>
    <x v="0"/>
    <x v="0"/>
    <x v="0"/>
    <x v="0"/>
    <x v="1"/>
    <s v="DK2_Large"/>
    <x v="7"/>
    <x v="83"/>
    <x v="0"/>
    <x v="1"/>
    <n v="1136"/>
    <n v="414640"/>
    <n v="1492704"/>
  </r>
  <r>
    <x v="0"/>
    <x v="0"/>
    <x v="0"/>
    <x v="0"/>
    <x v="1"/>
    <s v="DK2_Large"/>
    <x v="7"/>
    <x v="83"/>
    <x v="0"/>
    <x v="2"/>
    <n v="1136"/>
    <n v="414640"/>
    <n v="1492704"/>
  </r>
  <r>
    <x v="0"/>
    <x v="0"/>
    <x v="0"/>
    <x v="0"/>
    <x v="1"/>
    <s v="DK2_Large"/>
    <x v="7"/>
    <x v="83"/>
    <x v="0"/>
    <x v="3"/>
    <n v="1136"/>
    <n v="414640"/>
    <n v="1492704"/>
  </r>
  <r>
    <x v="0"/>
    <x v="0"/>
    <x v="0"/>
    <x v="0"/>
    <x v="1"/>
    <s v="DK2_Large"/>
    <x v="7"/>
    <x v="83"/>
    <x v="0"/>
    <x v="4"/>
    <n v="1136"/>
    <n v="414640"/>
    <n v="1492704"/>
  </r>
  <r>
    <x v="0"/>
    <x v="0"/>
    <x v="0"/>
    <x v="0"/>
    <x v="1"/>
    <s v="DK2_Large"/>
    <x v="7"/>
    <x v="83"/>
    <x v="0"/>
    <x v="5"/>
    <n v="1136"/>
    <n v="414640"/>
    <n v="1492704"/>
  </r>
  <r>
    <x v="0"/>
    <x v="0"/>
    <x v="0"/>
    <x v="0"/>
    <x v="1"/>
    <s v="DK2_Large"/>
    <x v="7"/>
    <x v="83"/>
    <x v="0"/>
    <x v="6"/>
    <n v="1136"/>
    <n v="414640"/>
    <n v="1492704"/>
  </r>
  <r>
    <x v="0"/>
    <x v="0"/>
    <x v="0"/>
    <x v="0"/>
    <x v="1"/>
    <s v="DK2_Large"/>
    <x v="7"/>
    <x v="83"/>
    <x v="0"/>
    <x v="7"/>
    <n v="1136"/>
    <n v="414640"/>
    <n v="1492704"/>
  </r>
  <r>
    <x v="0"/>
    <x v="0"/>
    <x v="0"/>
    <x v="0"/>
    <x v="1"/>
    <s v="DK2_Large"/>
    <x v="7"/>
    <x v="83"/>
    <x v="0"/>
    <x v="8"/>
    <n v="1136"/>
    <n v="414640"/>
    <n v="1492704"/>
  </r>
  <r>
    <x v="0"/>
    <x v="0"/>
    <x v="0"/>
    <x v="0"/>
    <x v="1"/>
    <s v="DK2_Large"/>
    <x v="7"/>
    <x v="83"/>
    <x v="0"/>
    <x v="9"/>
    <n v="1136"/>
    <n v="414640"/>
    <n v="1492704"/>
  </r>
  <r>
    <x v="0"/>
    <x v="0"/>
    <x v="0"/>
    <x v="0"/>
    <x v="1"/>
    <s v="DK2_Large"/>
    <x v="7"/>
    <x v="83"/>
    <x v="0"/>
    <x v="10"/>
    <n v="1136"/>
    <n v="414640"/>
    <n v="1492704"/>
  </r>
  <r>
    <x v="0"/>
    <x v="0"/>
    <x v="0"/>
    <x v="0"/>
    <x v="1"/>
    <s v="DK2_Large"/>
    <x v="7"/>
    <x v="83"/>
    <x v="0"/>
    <x v="11"/>
    <n v="1136"/>
    <n v="414640"/>
    <n v="1492704"/>
  </r>
  <r>
    <x v="0"/>
    <x v="0"/>
    <x v="0"/>
    <x v="0"/>
    <x v="1"/>
    <s v="DK2_Large"/>
    <x v="7"/>
    <x v="83"/>
    <x v="0"/>
    <x v="12"/>
    <n v="1136"/>
    <n v="414640"/>
    <n v="1492704"/>
  </r>
  <r>
    <x v="0"/>
    <x v="0"/>
    <x v="0"/>
    <x v="0"/>
    <x v="1"/>
    <s v="DK2_Large"/>
    <x v="7"/>
    <x v="83"/>
    <x v="0"/>
    <x v="13"/>
    <n v="1136"/>
    <n v="414640"/>
    <n v="1492704"/>
  </r>
  <r>
    <x v="0"/>
    <x v="0"/>
    <x v="0"/>
    <x v="0"/>
    <x v="1"/>
    <s v="DK2_Large"/>
    <x v="7"/>
    <x v="83"/>
    <x v="0"/>
    <x v="14"/>
    <n v="1136"/>
    <n v="414640"/>
    <n v="1492704"/>
  </r>
  <r>
    <x v="0"/>
    <x v="0"/>
    <x v="0"/>
    <x v="0"/>
    <x v="1"/>
    <s v="DK2_Large"/>
    <x v="7"/>
    <x v="83"/>
    <x v="0"/>
    <x v="15"/>
    <n v="1136"/>
    <n v="414640"/>
    <n v="1492704"/>
  </r>
  <r>
    <x v="0"/>
    <x v="0"/>
    <x v="0"/>
    <x v="0"/>
    <x v="1"/>
    <s v="DK2_Large"/>
    <x v="7"/>
    <x v="83"/>
    <x v="0"/>
    <x v="16"/>
    <n v="1136"/>
    <n v="414640"/>
    <n v="1492704"/>
  </r>
  <r>
    <x v="0"/>
    <x v="0"/>
    <x v="0"/>
    <x v="0"/>
    <x v="1"/>
    <s v="DK2_Large"/>
    <x v="7"/>
    <x v="83"/>
    <x v="0"/>
    <x v="17"/>
    <n v="1136"/>
    <n v="414640"/>
    <n v="1492704"/>
  </r>
  <r>
    <x v="0"/>
    <x v="0"/>
    <x v="0"/>
    <x v="0"/>
    <x v="1"/>
    <s v="DK2_Large"/>
    <x v="7"/>
    <x v="83"/>
    <x v="0"/>
    <x v="18"/>
    <n v="1136"/>
    <n v="414640"/>
    <n v="1492704"/>
  </r>
  <r>
    <x v="0"/>
    <x v="0"/>
    <x v="0"/>
    <x v="0"/>
    <x v="1"/>
    <s v="DK2_Large"/>
    <x v="7"/>
    <x v="83"/>
    <x v="0"/>
    <x v="19"/>
    <n v="1136"/>
    <n v="414640"/>
    <n v="1492704"/>
  </r>
  <r>
    <x v="0"/>
    <x v="0"/>
    <x v="0"/>
    <x v="0"/>
    <x v="1"/>
    <s v="DK2_Large"/>
    <x v="7"/>
    <x v="83"/>
    <x v="0"/>
    <x v="20"/>
    <n v="1136"/>
    <n v="414640"/>
    <n v="1492704"/>
  </r>
  <r>
    <x v="0"/>
    <x v="0"/>
    <x v="0"/>
    <x v="0"/>
    <x v="1"/>
    <s v="DK2_Large"/>
    <x v="7"/>
    <x v="83"/>
    <x v="0"/>
    <x v="21"/>
    <n v="1136"/>
    <n v="414640"/>
    <n v="1492704"/>
  </r>
  <r>
    <x v="0"/>
    <x v="0"/>
    <x v="0"/>
    <x v="0"/>
    <x v="1"/>
    <s v="DK2_Large"/>
    <x v="7"/>
    <x v="83"/>
    <x v="0"/>
    <x v="22"/>
    <n v="1136"/>
    <n v="414640"/>
    <n v="1492704"/>
  </r>
  <r>
    <x v="0"/>
    <x v="0"/>
    <x v="0"/>
    <x v="0"/>
    <x v="1"/>
    <s v="DK2_Large"/>
    <x v="7"/>
    <x v="83"/>
    <x v="0"/>
    <x v="23"/>
    <n v="1136"/>
    <n v="414640"/>
    <n v="1492704"/>
  </r>
  <r>
    <x v="0"/>
    <x v="0"/>
    <x v="0"/>
    <x v="0"/>
    <x v="1"/>
    <s v="DK2_Large"/>
    <x v="11"/>
    <x v="75"/>
    <x v="0"/>
    <x v="0"/>
    <n v="7.4"/>
    <n v="2701"/>
    <n v="9723.6"/>
  </r>
  <r>
    <x v="0"/>
    <x v="0"/>
    <x v="0"/>
    <x v="0"/>
    <x v="1"/>
    <s v="DK2_Large"/>
    <x v="11"/>
    <x v="75"/>
    <x v="0"/>
    <x v="1"/>
    <n v="7.4"/>
    <n v="2701"/>
    <n v="9723.6"/>
  </r>
  <r>
    <x v="0"/>
    <x v="0"/>
    <x v="0"/>
    <x v="0"/>
    <x v="1"/>
    <s v="DK2_Large"/>
    <x v="11"/>
    <x v="75"/>
    <x v="0"/>
    <x v="2"/>
    <n v="7.4"/>
    <n v="2701"/>
    <n v="9723.6"/>
  </r>
  <r>
    <x v="0"/>
    <x v="0"/>
    <x v="0"/>
    <x v="0"/>
    <x v="1"/>
    <s v="DK2_Large"/>
    <x v="11"/>
    <x v="75"/>
    <x v="0"/>
    <x v="3"/>
    <n v="7.4"/>
    <n v="2701"/>
    <n v="9723.6"/>
  </r>
  <r>
    <x v="0"/>
    <x v="0"/>
    <x v="0"/>
    <x v="0"/>
    <x v="1"/>
    <s v="DK2_Large"/>
    <x v="11"/>
    <x v="75"/>
    <x v="0"/>
    <x v="4"/>
    <n v="7.4"/>
    <n v="2701"/>
    <n v="9723.6"/>
  </r>
  <r>
    <x v="0"/>
    <x v="0"/>
    <x v="0"/>
    <x v="0"/>
    <x v="1"/>
    <s v="DK2_Large"/>
    <x v="11"/>
    <x v="75"/>
    <x v="0"/>
    <x v="5"/>
    <n v="7.4"/>
    <n v="2701"/>
    <n v="9723.6"/>
  </r>
  <r>
    <x v="0"/>
    <x v="0"/>
    <x v="0"/>
    <x v="0"/>
    <x v="1"/>
    <s v="DK2_Large"/>
    <x v="11"/>
    <x v="75"/>
    <x v="0"/>
    <x v="6"/>
    <n v="7.4"/>
    <n v="2701"/>
    <n v="9723.6"/>
  </r>
  <r>
    <x v="0"/>
    <x v="0"/>
    <x v="0"/>
    <x v="0"/>
    <x v="1"/>
    <s v="DK2_Large"/>
    <x v="11"/>
    <x v="75"/>
    <x v="0"/>
    <x v="7"/>
    <n v="7.4"/>
    <n v="2701"/>
    <n v="9723.6"/>
  </r>
  <r>
    <x v="0"/>
    <x v="0"/>
    <x v="0"/>
    <x v="0"/>
    <x v="1"/>
    <s v="DK2_Large"/>
    <x v="11"/>
    <x v="75"/>
    <x v="0"/>
    <x v="8"/>
    <n v="7.4"/>
    <n v="2701"/>
    <n v="9723.6"/>
  </r>
  <r>
    <x v="0"/>
    <x v="0"/>
    <x v="0"/>
    <x v="0"/>
    <x v="1"/>
    <s v="DK2_Large"/>
    <x v="11"/>
    <x v="75"/>
    <x v="0"/>
    <x v="9"/>
    <n v="7.4"/>
    <n v="2701"/>
    <n v="9723.6"/>
  </r>
  <r>
    <x v="0"/>
    <x v="0"/>
    <x v="0"/>
    <x v="0"/>
    <x v="1"/>
    <s v="DK2_Large"/>
    <x v="11"/>
    <x v="75"/>
    <x v="0"/>
    <x v="10"/>
    <n v="7.4"/>
    <n v="2701"/>
    <n v="9723.6"/>
  </r>
  <r>
    <x v="0"/>
    <x v="0"/>
    <x v="0"/>
    <x v="0"/>
    <x v="1"/>
    <s v="DK2_Large"/>
    <x v="11"/>
    <x v="75"/>
    <x v="0"/>
    <x v="11"/>
    <n v="7.4"/>
    <n v="2701"/>
    <n v="9723.6"/>
  </r>
  <r>
    <x v="0"/>
    <x v="0"/>
    <x v="0"/>
    <x v="0"/>
    <x v="1"/>
    <s v="DK2_Large"/>
    <x v="11"/>
    <x v="75"/>
    <x v="0"/>
    <x v="12"/>
    <n v="7.4"/>
    <n v="2701"/>
    <n v="9723.6"/>
  </r>
  <r>
    <x v="0"/>
    <x v="0"/>
    <x v="0"/>
    <x v="0"/>
    <x v="1"/>
    <s v="DK2_Large"/>
    <x v="11"/>
    <x v="75"/>
    <x v="0"/>
    <x v="13"/>
    <n v="7.4"/>
    <n v="2701"/>
    <n v="9723.6"/>
  </r>
  <r>
    <x v="0"/>
    <x v="0"/>
    <x v="0"/>
    <x v="0"/>
    <x v="1"/>
    <s v="DK2_Large"/>
    <x v="11"/>
    <x v="75"/>
    <x v="0"/>
    <x v="14"/>
    <n v="7.4"/>
    <n v="2701"/>
    <n v="9723.6"/>
  </r>
  <r>
    <x v="0"/>
    <x v="0"/>
    <x v="0"/>
    <x v="0"/>
    <x v="1"/>
    <s v="DK2_Large"/>
    <x v="11"/>
    <x v="75"/>
    <x v="0"/>
    <x v="15"/>
    <n v="7.4"/>
    <n v="2701"/>
    <n v="9723.6"/>
  </r>
  <r>
    <x v="0"/>
    <x v="0"/>
    <x v="0"/>
    <x v="0"/>
    <x v="1"/>
    <s v="DK2_Large"/>
    <x v="11"/>
    <x v="75"/>
    <x v="0"/>
    <x v="16"/>
    <n v="7.4"/>
    <n v="2701"/>
    <n v="9723.6"/>
  </r>
  <r>
    <x v="0"/>
    <x v="0"/>
    <x v="0"/>
    <x v="0"/>
    <x v="1"/>
    <s v="DK2_Large"/>
    <x v="11"/>
    <x v="75"/>
    <x v="0"/>
    <x v="17"/>
    <n v="7.4"/>
    <n v="2701"/>
    <n v="9723.6"/>
  </r>
  <r>
    <x v="0"/>
    <x v="0"/>
    <x v="0"/>
    <x v="0"/>
    <x v="1"/>
    <s v="DK2_Large"/>
    <x v="11"/>
    <x v="75"/>
    <x v="0"/>
    <x v="18"/>
    <n v="7.4"/>
    <n v="2701"/>
    <n v="9723.6"/>
  </r>
  <r>
    <x v="0"/>
    <x v="0"/>
    <x v="0"/>
    <x v="0"/>
    <x v="1"/>
    <s v="DK2_Large"/>
    <x v="11"/>
    <x v="75"/>
    <x v="0"/>
    <x v="19"/>
    <n v="7.4"/>
    <n v="2701"/>
    <n v="9723.6"/>
  </r>
  <r>
    <x v="0"/>
    <x v="0"/>
    <x v="0"/>
    <x v="0"/>
    <x v="1"/>
    <s v="DK2_Large"/>
    <x v="11"/>
    <x v="75"/>
    <x v="0"/>
    <x v="20"/>
    <n v="7.4"/>
    <n v="2701"/>
    <n v="9723.6"/>
  </r>
  <r>
    <x v="0"/>
    <x v="0"/>
    <x v="0"/>
    <x v="0"/>
    <x v="1"/>
    <s v="DK2_Large"/>
    <x v="11"/>
    <x v="75"/>
    <x v="0"/>
    <x v="21"/>
    <n v="7.4"/>
    <n v="2701"/>
    <n v="9723.6"/>
  </r>
  <r>
    <x v="0"/>
    <x v="0"/>
    <x v="0"/>
    <x v="0"/>
    <x v="1"/>
    <s v="DK2_Large"/>
    <x v="11"/>
    <x v="75"/>
    <x v="0"/>
    <x v="22"/>
    <n v="7.4"/>
    <n v="2701"/>
    <n v="9723.6"/>
  </r>
  <r>
    <x v="0"/>
    <x v="0"/>
    <x v="0"/>
    <x v="0"/>
    <x v="1"/>
    <s v="DK2_Large"/>
    <x v="11"/>
    <x v="75"/>
    <x v="0"/>
    <x v="23"/>
    <n v="7.4"/>
    <n v="2701"/>
    <n v="9723.6"/>
  </r>
  <r>
    <x v="0"/>
    <x v="0"/>
    <x v="0"/>
    <x v="0"/>
    <x v="1"/>
    <s v="DK2_MedSmall"/>
    <x v="0"/>
    <x v="37"/>
    <x v="0"/>
    <x v="0"/>
    <n v="0.65789473684210498"/>
    <n v="240.13157894736801"/>
    <n v="864.47368421052602"/>
  </r>
  <r>
    <x v="0"/>
    <x v="0"/>
    <x v="0"/>
    <x v="0"/>
    <x v="1"/>
    <s v="DK2_MedSmall"/>
    <x v="0"/>
    <x v="37"/>
    <x v="0"/>
    <x v="1"/>
    <n v="0.65789473684210498"/>
    <n v="240.13157894736801"/>
    <n v="864.47368421052602"/>
  </r>
  <r>
    <x v="0"/>
    <x v="0"/>
    <x v="0"/>
    <x v="0"/>
    <x v="1"/>
    <s v="DK2_MedSmall"/>
    <x v="0"/>
    <x v="37"/>
    <x v="0"/>
    <x v="2"/>
    <n v="0.65789473684210498"/>
    <n v="240.13157894736801"/>
    <n v="864.47368421052602"/>
  </r>
  <r>
    <x v="0"/>
    <x v="0"/>
    <x v="0"/>
    <x v="0"/>
    <x v="1"/>
    <s v="DK2_MedSmall"/>
    <x v="0"/>
    <x v="37"/>
    <x v="0"/>
    <x v="3"/>
    <n v="0.65789473684210498"/>
    <n v="240.13157894736801"/>
    <n v="864.47368421052602"/>
  </r>
  <r>
    <x v="0"/>
    <x v="0"/>
    <x v="0"/>
    <x v="0"/>
    <x v="1"/>
    <s v="DK2_MedSmall"/>
    <x v="0"/>
    <x v="37"/>
    <x v="0"/>
    <x v="4"/>
    <n v="0.65789473684210498"/>
    <n v="240.13157894736801"/>
    <n v="864.47368421052602"/>
  </r>
  <r>
    <x v="0"/>
    <x v="0"/>
    <x v="0"/>
    <x v="0"/>
    <x v="1"/>
    <s v="DK2_MedSmall"/>
    <x v="0"/>
    <x v="37"/>
    <x v="0"/>
    <x v="5"/>
    <n v="0.65789473684210498"/>
    <n v="240.13157894736801"/>
    <n v="864.47368421052602"/>
  </r>
  <r>
    <x v="0"/>
    <x v="0"/>
    <x v="0"/>
    <x v="0"/>
    <x v="1"/>
    <s v="DK2_MedSmall"/>
    <x v="0"/>
    <x v="37"/>
    <x v="0"/>
    <x v="6"/>
    <n v="0.65789473684210498"/>
    <n v="240.13157894736801"/>
    <n v="864.47368421052602"/>
  </r>
  <r>
    <x v="0"/>
    <x v="0"/>
    <x v="0"/>
    <x v="0"/>
    <x v="1"/>
    <s v="DK2_MedSmall"/>
    <x v="0"/>
    <x v="37"/>
    <x v="0"/>
    <x v="7"/>
    <n v="0.65789473684210498"/>
    <n v="240.13157894736801"/>
    <n v="864.47368421052602"/>
  </r>
  <r>
    <x v="0"/>
    <x v="0"/>
    <x v="0"/>
    <x v="0"/>
    <x v="1"/>
    <s v="DK2_MedSmall"/>
    <x v="0"/>
    <x v="37"/>
    <x v="0"/>
    <x v="8"/>
    <n v="0.65789473684210498"/>
    <n v="240.13157894736801"/>
    <n v="864.47368421052602"/>
  </r>
  <r>
    <x v="0"/>
    <x v="0"/>
    <x v="0"/>
    <x v="0"/>
    <x v="1"/>
    <s v="DK2_MedSmall"/>
    <x v="0"/>
    <x v="37"/>
    <x v="0"/>
    <x v="9"/>
    <n v="0.65789473684210498"/>
    <n v="240.13157894736801"/>
    <n v="864.47368421052602"/>
  </r>
  <r>
    <x v="0"/>
    <x v="0"/>
    <x v="0"/>
    <x v="0"/>
    <x v="1"/>
    <s v="DK2_MedSmall"/>
    <x v="0"/>
    <x v="37"/>
    <x v="0"/>
    <x v="10"/>
    <n v="0.65789473684210498"/>
    <n v="240.13157894736801"/>
    <n v="864.47368421052602"/>
  </r>
  <r>
    <x v="0"/>
    <x v="0"/>
    <x v="0"/>
    <x v="0"/>
    <x v="1"/>
    <s v="DK2_MedSmall"/>
    <x v="0"/>
    <x v="37"/>
    <x v="0"/>
    <x v="11"/>
    <n v="0.65789473684210498"/>
    <n v="240.13157894736801"/>
    <n v="864.47368421052602"/>
  </r>
  <r>
    <x v="0"/>
    <x v="0"/>
    <x v="0"/>
    <x v="0"/>
    <x v="1"/>
    <s v="DK2_MedSmall"/>
    <x v="0"/>
    <x v="37"/>
    <x v="0"/>
    <x v="12"/>
    <n v="0.65789473684210498"/>
    <n v="240.13157894736801"/>
    <n v="864.47368421052602"/>
  </r>
  <r>
    <x v="0"/>
    <x v="0"/>
    <x v="0"/>
    <x v="0"/>
    <x v="1"/>
    <s v="DK2_MedSmall"/>
    <x v="0"/>
    <x v="37"/>
    <x v="0"/>
    <x v="13"/>
    <n v="0.65789473684210498"/>
    <n v="240.13157894736801"/>
    <n v="864.47368421052602"/>
  </r>
  <r>
    <x v="0"/>
    <x v="0"/>
    <x v="0"/>
    <x v="0"/>
    <x v="1"/>
    <s v="DK2_MedSmall"/>
    <x v="0"/>
    <x v="37"/>
    <x v="0"/>
    <x v="14"/>
    <n v="0.65789473684210498"/>
    <n v="240.13157894736801"/>
    <n v="864.47368421052602"/>
  </r>
  <r>
    <x v="0"/>
    <x v="0"/>
    <x v="0"/>
    <x v="0"/>
    <x v="1"/>
    <s v="DK2_MedSmall"/>
    <x v="0"/>
    <x v="37"/>
    <x v="0"/>
    <x v="15"/>
    <n v="0.65789473684210498"/>
    <n v="240.13157894736801"/>
    <n v="864.47368421052602"/>
  </r>
  <r>
    <x v="0"/>
    <x v="0"/>
    <x v="0"/>
    <x v="0"/>
    <x v="1"/>
    <s v="DK2_MedSmall"/>
    <x v="0"/>
    <x v="37"/>
    <x v="0"/>
    <x v="16"/>
    <n v="0.65789473684210498"/>
    <n v="240.13157894736801"/>
    <n v="864.47368421052602"/>
  </r>
  <r>
    <x v="0"/>
    <x v="0"/>
    <x v="0"/>
    <x v="0"/>
    <x v="1"/>
    <s v="DK2_MedSmall"/>
    <x v="0"/>
    <x v="37"/>
    <x v="0"/>
    <x v="17"/>
    <n v="0.65789473684210498"/>
    <n v="240.13157894736801"/>
    <n v="864.47368421052602"/>
  </r>
  <r>
    <x v="0"/>
    <x v="0"/>
    <x v="0"/>
    <x v="0"/>
    <x v="1"/>
    <s v="DK2_MedSmall"/>
    <x v="0"/>
    <x v="37"/>
    <x v="0"/>
    <x v="18"/>
    <n v="0.65789473684210498"/>
    <n v="240.13157894736801"/>
    <n v="864.47368421052602"/>
  </r>
  <r>
    <x v="0"/>
    <x v="0"/>
    <x v="0"/>
    <x v="0"/>
    <x v="1"/>
    <s v="DK2_MedSmall"/>
    <x v="0"/>
    <x v="37"/>
    <x v="0"/>
    <x v="19"/>
    <n v="0.65789473684210498"/>
    <n v="240.13157894736801"/>
    <n v="864.47368421052602"/>
  </r>
  <r>
    <x v="0"/>
    <x v="0"/>
    <x v="0"/>
    <x v="0"/>
    <x v="1"/>
    <s v="DK2_MedSmall"/>
    <x v="0"/>
    <x v="37"/>
    <x v="0"/>
    <x v="20"/>
    <n v="0.65789473684210498"/>
    <n v="240.13157894736801"/>
    <n v="864.47368421052602"/>
  </r>
  <r>
    <x v="0"/>
    <x v="0"/>
    <x v="0"/>
    <x v="0"/>
    <x v="1"/>
    <s v="DK2_MedSmall"/>
    <x v="0"/>
    <x v="37"/>
    <x v="0"/>
    <x v="21"/>
    <n v="0.65789473684210498"/>
    <n v="240.13157894736801"/>
    <n v="864.47368421052602"/>
  </r>
  <r>
    <x v="0"/>
    <x v="0"/>
    <x v="0"/>
    <x v="0"/>
    <x v="1"/>
    <s v="DK2_MedSmall"/>
    <x v="0"/>
    <x v="37"/>
    <x v="0"/>
    <x v="22"/>
    <n v="0.65789473684210498"/>
    <n v="240.13157894736801"/>
    <n v="864.47368421052602"/>
  </r>
  <r>
    <x v="0"/>
    <x v="0"/>
    <x v="0"/>
    <x v="0"/>
    <x v="1"/>
    <s v="DK2_MedSmall"/>
    <x v="0"/>
    <x v="37"/>
    <x v="0"/>
    <x v="23"/>
    <n v="0.65789473684210498"/>
    <n v="240.13157894736801"/>
    <n v="864.47368421052602"/>
  </r>
  <r>
    <x v="0"/>
    <x v="0"/>
    <x v="0"/>
    <x v="0"/>
    <x v="1"/>
    <s v="DK2_MedSmall"/>
    <x v="2"/>
    <x v="42"/>
    <x v="0"/>
    <x v="0"/>
    <n v="31.904761904762001"/>
    <n v="11645.238095238101"/>
    <n v="41922.857142857203"/>
  </r>
  <r>
    <x v="0"/>
    <x v="0"/>
    <x v="0"/>
    <x v="0"/>
    <x v="1"/>
    <s v="DK2_MedSmall"/>
    <x v="2"/>
    <x v="42"/>
    <x v="0"/>
    <x v="1"/>
    <n v="31.904761904762001"/>
    <n v="11645.238095238101"/>
    <n v="41922.857142857203"/>
  </r>
  <r>
    <x v="0"/>
    <x v="0"/>
    <x v="0"/>
    <x v="0"/>
    <x v="1"/>
    <s v="DK2_MedSmall"/>
    <x v="2"/>
    <x v="42"/>
    <x v="0"/>
    <x v="2"/>
    <n v="31.904761904762001"/>
    <n v="11645.238095238101"/>
    <n v="41922.857142857203"/>
  </r>
  <r>
    <x v="0"/>
    <x v="0"/>
    <x v="0"/>
    <x v="0"/>
    <x v="1"/>
    <s v="DK2_MedSmall"/>
    <x v="2"/>
    <x v="42"/>
    <x v="0"/>
    <x v="3"/>
    <n v="31.904761904762001"/>
    <n v="11645.238095238101"/>
    <n v="41922.857142857203"/>
  </r>
  <r>
    <x v="0"/>
    <x v="0"/>
    <x v="0"/>
    <x v="0"/>
    <x v="1"/>
    <s v="DK2_MedSmall"/>
    <x v="2"/>
    <x v="42"/>
    <x v="0"/>
    <x v="4"/>
    <n v="31.904761904762001"/>
    <n v="11645.238095238101"/>
    <n v="41922.857142857203"/>
  </r>
  <r>
    <x v="0"/>
    <x v="0"/>
    <x v="0"/>
    <x v="0"/>
    <x v="1"/>
    <s v="DK2_MedSmall"/>
    <x v="2"/>
    <x v="42"/>
    <x v="0"/>
    <x v="5"/>
    <n v="31.904761904762001"/>
    <n v="11645.238095238101"/>
    <n v="41922.857142857203"/>
  </r>
  <r>
    <x v="0"/>
    <x v="0"/>
    <x v="0"/>
    <x v="0"/>
    <x v="1"/>
    <s v="DK2_MedSmall"/>
    <x v="2"/>
    <x v="42"/>
    <x v="0"/>
    <x v="6"/>
    <n v="31.904761904762001"/>
    <n v="11645.238095238101"/>
    <n v="41922.857142857203"/>
  </r>
  <r>
    <x v="0"/>
    <x v="0"/>
    <x v="0"/>
    <x v="0"/>
    <x v="1"/>
    <s v="DK2_MedSmall"/>
    <x v="2"/>
    <x v="42"/>
    <x v="0"/>
    <x v="7"/>
    <n v="31.904761904762001"/>
    <n v="11645.238095238101"/>
    <n v="41922.857142857203"/>
  </r>
  <r>
    <x v="0"/>
    <x v="0"/>
    <x v="0"/>
    <x v="0"/>
    <x v="1"/>
    <s v="DK2_MedSmall"/>
    <x v="2"/>
    <x v="42"/>
    <x v="0"/>
    <x v="8"/>
    <n v="31.904761904762001"/>
    <n v="11645.238095238101"/>
    <n v="41922.857142857203"/>
  </r>
  <r>
    <x v="0"/>
    <x v="0"/>
    <x v="0"/>
    <x v="0"/>
    <x v="1"/>
    <s v="DK2_MedSmall"/>
    <x v="2"/>
    <x v="42"/>
    <x v="0"/>
    <x v="9"/>
    <n v="31.904761904762001"/>
    <n v="11645.238095238101"/>
    <n v="41922.857142857203"/>
  </r>
  <r>
    <x v="0"/>
    <x v="0"/>
    <x v="0"/>
    <x v="0"/>
    <x v="1"/>
    <s v="DK2_MedSmall"/>
    <x v="2"/>
    <x v="42"/>
    <x v="0"/>
    <x v="10"/>
    <n v="31.904761904762001"/>
    <n v="11645.238095238101"/>
    <n v="41922.857142857203"/>
  </r>
  <r>
    <x v="0"/>
    <x v="0"/>
    <x v="0"/>
    <x v="0"/>
    <x v="1"/>
    <s v="DK2_MedSmall"/>
    <x v="2"/>
    <x v="42"/>
    <x v="0"/>
    <x v="11"/>
    <n v="31.904761904762001"/>
    <n v="11645.238095238101"/>
    <n v="41922.857142857203"/>
  </r>
  <r>
    <x v="0"/>
    <x v="0"/>
    <x v="0"/>
    <x v="0"/>
    <x v="1"/>
    <s v="DK2_MedSmall"/>
    <x v="2"/>
    <x v="42"/>
    <x v="0"/>
    <x v="12"/>
    <n v="31.904761904762001"/>
    <n v="11645.238095238101"/>
    <n v="41922.857142857203"/>
  </r>
  <r>
    <x v="0"/>
    <x v="0"/>
    <x v="0"/>
    <x v="0"/>
    <x v="1"/>
    <s v="DK2_MedSmall"/>
    <x v="2"/>
    <x v="42"/>
    <x v="0"/>
    <x v="13"/>
    <n v="31.904761904762001"/>
    <n v="11645.238095238101"/>
    <n v="41922.857142857203"/>
  </r>
  <r>
    <x v="0"/>
    <x v="0"/>
    <x v="0"/>
    <x v="0"/>
    <x v="1"/>
    <s v="DK2_MedSmall"/>
    <x v="2"/>
    <x v="42"/>
    <x v="0"/>
    <x v="14"/>
    <n v="31.904761904762001"/>
    <n v="11645.238095238101"/>
    <n v="41922.857142857203"/>
  </r>
  <r>
    <x v="0"/>
    <x v="0"/>
    <x v="0"/>
    <x v="0"/>
    <x v="1"/>
    <s v="DK2_MedSmall"/>
    <x v="2"/>
    <x v="42"/>
    <x v="0"/>
    <x v="15"/>
    <n v="31.904761904762001"/>
    <n v="11645.238095238101"/>
    <n v="41922.857142857203"/>
  </r>
  <r>
    <x v="0"/>
    <x v="0"/>
    <x v="0"/>
    <x v="0"/>
    <x v="1"/>
    <s v="DK2_MedSmall"/>
    <x v="2"/>
    <x v="42"/>
    <x v="0"/>
    <x v="16"/>
    <n v="31.904761904762001"/>
    <n v="11645.238095238101"/>
    <n v="41922.857142857203"/>
  </r>
  <r>
    <x v="0"/>
    <x v="0"/>
    <x v="0"/>
    <x v="0"/>
    <x v="1"/>
    <s v="DK2_MedSmall"/>
    <x v="2"/>
    <x v="42"/>
    <x v="0"/>
    <x v="17"/>
    <n v="31.904761904762001"/>
    <n v="11645.238095238101"/>
    <n v="41922.857142857203"/>
  </r>
  <r>
    <x v="0"/>
    <x v="0"/>
    <x v="0"/>
    <x v="0"/>
    <x v="1"/>
    <s v="DK2_MedSmall"/>
    <x v="2"/>
    <x v="42"/>
    <x v="0"/>
    <x v="18"/>
    <n v="31.904761904762001"/>
    <n v="11645.238095238101"/>
    <n v="41922.857142857203"/>
  </r>
  <r>
    <x v="0"/>
    <x v="0"/>
    <x v="0"/>
    <x v="0"/>
    <x v="1"/>
    <s v="DK2_MedSmall"/>
    <x v="2"/>
    <x v="42"/>
    <x v="0"/>
    <x v="19"/>
    <n v="31.904761904762001"/>
    <n v="11645.238095238101"/>
    <n v="41922.857142857203"/>
  </r>
  <r>
    <x v="0"/>
    <x v="0"/>
    <x v="0"/>
    <x v="0"/>
    <x v="1"/>
    <s v="DK2_MedSmall"/>
    <x v="2"/>
    <x v="42"/>
    <x v="0"/>
    <x v="20"/>
    <n v="31.904761904762001"/>
    <n v="11645.238095238101"/>
    <n v="41922.857142857203"/>
  </r>
  <r>
    <x v="0"/>
    <x v="0"/>
    <x v="0"/>
    <x v="0"/>
    <x v="1"/>
    <s v="DK2_MedSmall"/>
    <x v="2"/>
    <x v="42"/>
    <x v="0"/>
    <x v="21"/>
    <n v="31.904761904762001"/>
    <n v="11645.238095238101"/>
    <n v="41922.857142857203"/>
  </r>
  <r>
    <x v="0"/>
    <x v="0"/>
    <x v="0"/>
    <x v="0"/>
    <x v="1"/>
    <s v="DK2_MedSmall"/>
    <x v="2"/>
    <x v="42"/>
    <x v="0"/>
    <x v="22"/>
    <n v="31.904761904762001"/>
    <n v="11645.238095238101"/>
    <n v="41922.857142857203"/>
  </r>
  <r>
    <x v="0"/>
    <x v="0"/>
    <x v="0"/>
    <x v="0"/>
    <x v="1"/>
    <s v="DK2_MedSmall"/>
    <x v="2"/>
    <x v="42"/>
    <x v="0"/>
    <x v="23"/>
    <n v="31.904761904762001"/>
    <n v="11645.238095238101"/>
    <n v="41922.857142857203"/>
  </r>
  <r>
    <x v="0"/>
    <x v="0"/>
    <x v="0"/>
    <x v="0"/>
    <x v="1"/>
    <s v="DK2_MedSmall"/>
    <x v="2"/>
    <x v="84"/>
    <x v="0"/>
    <x v="0"/>
    <n v="43.6"/>
    <n v="15914"/>
    <n v="57290.400000000103"/>
  </r>
  <r>
    <x v="0"/>
    <x v="0"/>
    <x v="0"/>
    <x v="0"/>
    <x v="1"/>
    <s v="DK2_MedSmall"/>
    <x v="2"/>
    <x v="84"/>
    <x v="0"/>
    <x v="1"/>
    <n v="43.6"/>
    <n v="15914"/>
    <n v="57290.400000000103"/>
  </r>
  <r>
    <x v="0"/>
    <x v="0"/>
    <x v="0"/>
    <x v="0"/>
    <x v="1"/>
    <s v="DK2_MedSmall"/>
    <x v="2"/>
    <x v="84"/>
    <x v="0"/>
    <x v="2"/>
    <n v="43.6"/>
    <n v="15914"/>
    <n v="57290.400000000103"/>
  </r>
  <r>
    <x v="0"/>
    <x v="0"/>
    <x v="0"/>
    <x v="0"/>
    <x v="1"/>
    <s v="DK2_MedSmall"/>
    <x v="2"/>
    <x v="84"/>
    <x v="0"/>
    <x v="3"/>
    <n v="43.6"/>
    <n v="15914"/>
    <n v="57290.400000000103"/>
  </r>
  <r>
    <x v="0"/>
    <x v="0"/>
    <x v="0"/>
    <x v="0"/>
    <x v="1"/>
    <s v="DK2_MedSmall"/>
    <x v="2"/>
    <x v="84"/>
    <x v="0"/>
    <x v="4"/>
    <n v="43.6"/>
    <n v="15914"/>
    <n v="57290.400000000103"/>
  </r>
  <r>
    <x v="0"/>
    <x v="0"/>
    <x v="0"/>
    <x v="0"/>
    <x v="1"/>
    <s v="DK2_MedSmall"/>
    <x v="2"/>
    <x v="84"/>
    <x v="0"/>
    <x v="5"/>
    <n v="43.6"/>
    <n v="15914"/>
    <n v="57290.400000000103"/>
  </r>
  <r>
    <x v="0"/>
    <x v="0"/>
    <x v="0"/>
    <x v="0"/>
    <x v="1"/>
    <s v="DK2_MedSmall"/>
    <x v="2"/>
    <x v="84"/>
    <x v="0"/>
    <x v="6"/>
    <n v="43.6"/>
    <n v="15914"/>
    <n v="57290.400000000103"/>
  </r>
  <r>
    <x v="0"/>
    <x v="0"/>
    <x v="0"/>
    <x v="0"/>
    <x v="1"/>
    <s v="DK2_MedSmall"/>
    <x v="2"/>
    <x v="84"/>
    <x v="0"/>
    <x v="7"/>
    <n v="43.6"/>
    <n v="15914"/>
    <n v="57290.400000000103"/>
  </r>
  <r>
    <x v="0"/>
    <x v="0"/>
    <x v="0"/>
    <x v="0"/>
    <x v="1"/>
    <s v="DK2_MedSmall"/>
    <x v="2"/>
    <x v="84"/>
    <x v="0"/>
    <x v="8"/>
    <n v="43.6"/>
    <n v="15914"/>
    <n v="57290.400000000103"/>
  </r>
  <r>
    <x v="0"/>
    <x v="0"/>
    <x v="0"/>
    <x v="0"/>
    <x v="1"/>
    <s v="DK2_MedSmall"/>
    <x v="2"/>
    <x v="84"/>
    <x v="0"/>
    <x v="9"/>
    <n v="43.6"/>
    <n v="15914"/>
    <n v="57290.400000000103"/>
  </r>
  <r>
    <x v="0"/>
    <x v="0"/>
    <x v="0"/>
    <x v="0"/>
    <x v="1"/>
    <s v="DK2_MedSmall"/>
    <x v="2"/>
    <x v="84"/>
    <x v="0"/>
    <x v="10"/>
    <n v="43.6"/>
    <n v="15914"/>
    <n v="57290.400000000103"/>
  </r>
  <r>
    <x v="0"/>
    <x v="0"/>
    <x v="0"/>
    <x v="0"/>
    <x v="1"/>
    <s v="DK2_MedSmall"/>
    <x v="2"/>
    <x v="84"/>
    <x v="0"/>
    <x v="11"/>
    <n v="43.6"/>
    <n v="15914"/>
    <n v="57290.400000000103"/>
  </r>
  <r>
    <x v="0"/>
    <x v="0"/>
    <x v="0"/>
    <x v="0"/>
    <x v="1"/>
    <s v="DK2_MedSmall"/>
    <x v="2"/>
    <x v="84"/>
    <x v="0"/>
    <x v="12"/>
    <n v="43.6"/>
    <n v="15914"/>
    <n v="57290.400000000103"/>
  </r>
  <r>
    <x v="0"/>
    <x v="0"/>
    <x v="0"/>
    <x v="0"/>
    <x v="1"/>
    <s v="DK2_MedSmall"/>
    <x v="2"/>
    <x v="84"/>
    <x v="0"/>
    <x v="13"/>
    <n v="43.6"/>
    <n v="15914"/>
    <n v="57290.400000000103"/>
  </r>
  <r>
    <x v="0"/>
    <x v="0"/>
    <x v="0"/>
    <x v="0"/>
    <x v="1"/>
    <s v="DK2_MedSmall"/>
    <x v="2"/>
    <x v="84"/>
    <x v="0"/>
    <x v="14"/>
    <n v="43.6"/>
    <n v="15914"/>
    <n v="57290.400000000103"/>
  </r>
  <r>
    <x v="0"/>
    <x v="0"/>
    <x v="0"/>
    <x v="0"/>
    <x v="1"/>
    <s v="DK2_MedSmall"/>
    <x v="2"/>
    <x v="84"/>
    <x v="0"/>
    <x v="15"/>
    <n v="43.6"/>
    <n v="15914"/>
    <n v="57290.400000000103"/>
  </r>
  <r>
    <x v="0"/>
    <x v="0"/>
    <x v="0"/>
    <x v="0"/>
    <x v="1"/>
    <s v="DK2_MedSmall"/>
    <x v="2"/>
    <x v="84"/>
    <x v="0"/>
    <x v="16"/>
    <n v="43.6"/>
    <n v="15914"/>
    <n v="57290.400000000103"/>
  </r>
  <r>
    <x v="0"/>
    <x v="0"/>
    <x v="0"/>
    <x v="0"/>
    <x v="1"/>
    <s v="DK2_MedSmall"/>
    <x v="2"/>
    <x v="84"/>
    <x v="0"/>
    <x v="17"/>
    <n v="43.6"/>
    <n v="15914"/>
    <n v="57290.400000000103"/>
  </r>
  <r>
    <x v="0"/>
    <x v="0"/>
    <x v="0"/>
    <x v="0"/>
    <x v="1"/>
    <s v="DK2_MedSmall"/>
    <x v="2"/>
    <x v="84"/>
    <x v="0"/>
    <x v="18"/>
    <n v="43.6"/>
    <n v="15914"/>
    <n v="57290.400000000103"/>
  </r>
  <r>
    <x v="0"/>
    <x v="0"/>
    <x v="0"/>
    <x v="0"/>
    <x v="1"/>
    <s v="DK2_MedSmall"/>
    <x v="2"/>
    <x v="84"/>
    <x v="0"/>
    <x v="19"/>
    <n v="43.6"/>
    <n v="15914"/>
    <n v="57290.400000000103"/>
  </r>
  <r>
    <x v="0"/>
    <x v="0"/>
    <x v="0"/>
    <x v="0"/>
    <x v="1"/>
    <s v="DK2_MedSmall"/>
    <x v="2"/>
    <x v="84"/>
    <x v="0"/>
    <x v="20"/>
    <n v="43.6"/>
    <n v="15914"/>
    <n v="57290.400000000103"/>
  </r>
  <r>
    <x v="0"/>
    <x v="0"/>
    <x v="0"/>
    <x v="0"/>
    <x v="1"/>
    <s v="DK2_MedSmall"/>
    <x v="2"/>
    <x v="84"/>
    <x v="0"/>
    <x v="21"/>
    <n v="43.6"/>
    <n v="15914"/>
    <n v="57290.400000000103"/>
  </r>
  <r>
    <x v="0"/>
    <x v="0"/>
    <x v="0"/>
    <x v="0"/>
    <x v="1"/>
    <s v="DK2_MedSmall"/>
    <x v="2"/>
    <x v="84"/>
    <x v="0"/>
    <x v="22"/>
    <n v="43.6"/>
    <n v="15914"/>
    <n v="57290.400000000103"/>
  </r>
  <r>
    <x v="0"/>
    <x v="0"/>
    <x v="0"/>
    <x v="0"/>
    <x v="1"/>
    <s v="DK2_MedSmall"/>
    <x v="2"/>
    <x v="84"/>
    <x v="0"/>
    <x v="23"/>
    <n v="43.6"/>
    <n v="15914"/>
    <n v="57290.400000000103"/>
  </r>
  <r>
    <x v="0"/>
    <x v="0"/>
    <x v="0"/>
    <x v="0"/>
    <x v="1"/>
    <s v="DK2_MedSmall"/>
    <x v="2"/>
    <x v="85"/>
    <x v="0"/>
    <x v="0"/>
    <n v="44.448275862069103"/>
    <n v="16223.620689655199"/>
    <n v="58405.034482758798"/>
  </r>
  <r>
    <x v="0"/>
    <x v="0"/>
    <x v="0"/>
    <x v="0"/>
    <x v="1"/>
    <s v="DK2_MedSmall"/>
    <x v="2"/>
    <x v="85"/>
    <x v="0"/>
    <x v="1"/>
    <n v="44.448275862069103"/>
    <n v="16223.620689655199"/>
    <n v="58405.034482758798"/>
  </r>
  <r>
    <x v="0"/>
    <x v="0"/>
    <x v="0"/>
    <x v="0"/>
    <x v="1"/>
    <s v="DK2_MedSmall"/>
    <x v="2"/>
    <x v="85"/>
    <x v="0"/>
    <x v="2"/>
    <n v="44.448275862069103"/>
    <n v="16223.620689655199"/>
    <n v="58405.034482758798"/>
  </r>
  <r>
    <x v="0"/>
    <x v="0"/>
    <x v="0"/>
    <x v="0"/>
    <x v="1"/>
    <s v="DK2_MedSmall"/>
    <x v="2"/>
    <x v="85"/>
    <x v="0"/>
    <x v="3"/>
    <n v="44.448275862069103"/>
    <n v="16223.620689655199"/>
    <n v="58405.034482758798"/>
  </r>
  <r>
    <x v="0"/>
    <x v="0"/>
    <x v="0"/>
    <x v="0"/>
    <x v="1"/>
    <s v="DK2_MedSmall"/>
    <x v="2"/>
    <x v="85"/>
    <x v="0"/>
    <x v="4"/>
    <n v="44.448275862069103"/>
    <n v="16223.620689655199"/>
    <n v="58405.034482758798"/>
  </r>
  <r>
    <x v="0"/>
    <x v="0"/>
    <x v="0"/>
    <x v="0"/>
    <x v="1"/>
    <s v="DK2_MedSmall"/>
    <x v="2"/>
    <x v="85"/>
    <x v="0"/>
    <x v="5"/>
    <n v="44.448275862069103"/>
    <n v="16223.620689655199"/>
    <n v="58405.034482758798"/>
  </r>
  <r>
    <x v="0"/>
    <x v="0"/>
    <x v="0"/>
    <x v="0"/>
    <x v="1"/>
    <s v="DK2_MedSmall"/>
    <x v="2"/>
    <x v="85"/>
    <x v="0"/>
    <x v="6"/>
    <n v="44.448275862069103"/>
    <n v="16223.620689655199"/>
    <n v="58405.034482758798"/>
  </r>
  <r>
    <x v="0"/>
    <x v="0"/>
    <x v="0"/>
    <x v="0"/>
    <x v="1"/>
    <s v="DK2_MedSmall"/>
    <x v="2"/>
    <x v="85"/>
    <x v="0"/>
    <x v="7"/>
    <n v="44.448275862069103"/>
    <n v="16223.620689655199"/>
    <n v="58405.034482758798"/>
  </r>
  <r>
    <x v="0"/>
    <x v="0"/>
    <x v="0"/>
    <x v="0"/>
    <x v="1"/>
    <s v="DK2_MedSmall"/>
    <x v="2"/>
    <x v="85"/>
    <x v="0"/>
    <x v="8"/>
    <n v="44.448275862069103"/>
    <n v="16223.620689655199"/>
    <n v="58405.034482758798"/>
  </r>
  <r>
    <x v="0"/>
    <x v="0"/>
    <x v="0"/>
    <x v="0"/>
    <x v="1"/>
    <s v="DK2_MedSmall"/>
    <x v="2"/>
    <x v="85"/>
    <x v="0"/>
    <x v="9"/>
    <n v="44.448275862069103"/>
    <n v="16223.620689655199"/>
    <n v="58405.034482758798"/>
  </r>
  <r>
    <x v="0"/>
    <x v="0"/>
    <x v="0"/>
    <x v="0"/>
    <x v="1"/>
    <s v="DK2_MedSmall"/>
    <x v="2"/>
    <x v="85"/>
    <x v="0"/>
    <x v="10"/>
    <n v="44.448275862069103"/>
    <n v="16223.620689655199"/>
    <n v="58405.034482758798"/>
  </r>
  <r>
    <x v="0"/>
    <x v="0"/>
    <x v="0"/>
    <x v="0"/>
    <x v="1"/>
    <s v="DK2_MedSmall"/>
    <x v="2"/>
    <x v="85"/>
    <x v="0"/>
    <x v="11"/>
    <n v="44.448275862069103"/>
    <n v="16223.620689655199"/>
    <n v="58405.034482758798"/>
  </r>
  <r>
    <x v="0"/>
    <x v="0"/>
    <x v="0"/>
    <x v="0"/>
    <x v="1"/>
    <s v="DK2_MedSmall"/>
    <x v="2"/>
    <x v="85"/>
    <x v="0"/>
    <x v="12"/>
    <n v="44.448275862069103"/>
    <n v="16223.620689655199"/>
    <n v="58405.034482758798"/>
  </r>
  <r>
    <x v="0"/>
    <x v="0"/>
    <x v="0"/>
    <x v="0"/>
    <x v="1"/>
    <s v="DK2_MedSmall"/>
    <x v="2"/>
    <x v="85"/>
    <x v="0"/>
    <x v="13"/>
    <n v="44.448275862069103"/>
    <n v="16223.620689655199"/>
    <n v="58405.034482758798"/>
  </r>
  <r>
    <x v="0"/>
    <x v="0"/>
    <x v="0"/>
    <x v="0"/>
    <x v="1"/>
    <s v="DK2_MedSmall"/>
    <x v="2"/>
    <x v="85"/>
    <x v="0"/>
    <x v="14"/>
    <n v="44.448275862069103"/>
    <n v="16223.620689655199"/>
    <n v="58405.034482758798"/>
  </r>
  <r>
    <x v="0"/>
    <x v="0"/>
    <x v="0"/>
    <x v="0"/>
    <x v="1"/>
    <s v="DK2_MedSmall"/>
    <x v="2"/>
    <x v="85"/>
    <x v="0"/>
    <x v="15"/>
    <n v="44.448275862069103"/>
    <n v="16223.620689655199"/>
    <n v="58405.034482758798"/>
  </r>
  <r>
    <x v="0"/>
    <x v="0"/>
    <x v="0"/>
    <x v="0"/>
    <x v="1"/>
    <s v="DK2_MedSmall"/>
    <x v="2"/>
    <x v="85"/>
    <x v="0"/>
    <x v="16"/>
    <n v="44.448275862069103"/>
    <n v="16223.620689655199"/>
    <n v="58405.034482758798"/>
  </r>
  <r>
    <x v="0"/>
    <x v="0"/>
    <x v="0"/>
    <x v="0"/>
    <x v="1"/>
    <s v="DK2_MedSmall"/>
    <x v="2"/>
    <x v="85"/>
    <x v="0"/>
    <x v="17"/>
    <n v="44.448275862069103"/>
    <n v="16223.620689655199"/>
    <n v="58405.034482758798"/>
  </r>
  <r>
    <x v="0"/>
    <x v="0"/>
    <x v="0"/>
    <x v="0"/>
    <x v="1"/>
    <s v="DK2_MedSmall"/>
    <x v="2"/>
    <x v="85"/>
    <x v="0"/>
    <x v="18"/>
    <n v="44.448275862069103"/>
    <n v="16223.620689655199"/>
    <n v="58405.034482758798"/>
  </r>
  <r>
    <x v="0"/>
    <x v="0"/>
    <x v="0"/>
    <x v="0"/>
    <x v="1"/>
    <s v="DK2_MedSmall"/>
    <x v="2"/>
    <x v="85"/>
    <x v="0"/>
    <x v="19"/>
    <n v="44.448275862069103"/>
    <n v="16223.620689655199"/>
    <n v="58405.034482758798"/>
  </r>
  <r>
    <x v="0"/>
    <x v="0"/>
    <x v="0"/>
    <x v="0"/>
    <x v="1"/>
    <s v="DK2_MedSmall"/>
    <x v="2"/>
    <x v="85"/>
    <x v="0"/>
    <x v="20"/>
    <n v="44.448275862069103"/>
    <n v="16223.620689655199"/>
    <n v="58405.034482758798"/>
  </r>
  <r>
    <x v="0"/>
    <x v="0"/>
    <x v="0"/>
    <x v="0"/>
    <x v="1"/>
    <s v="DK2_MedSmall"/>
    <x v="2"/>
    <x v="85"/>
    <x v="0"/>
    <x v="21"/>
    <n v="44.448275862069103"/>
    <n v="16223.620689655199"/>
    <n v="58405.034482758798"/>
  </r>
  <r>
    <x v="0"/>
    <x v="0"/>
    <x v="0"/>
    <x v="0"/>
    <x v="1"/>
    <s v="DK2_MedSmall"/>
    <x v="2"/>
    <x v="85"/>
    <x v="0"/>
    <x v="22"/>
    <n v="44.448275862069103"/>
    <n v="16223.620689655199"/>
    <n v="58405.034482758798"/>
  </r>
  <r>
    <x v="0"/>
    <x v="0"/>
    <x v="0"/>
    <x v="0"/>
    <x v="1"/>
    <s v="DK2_MedSmall"/>
    <x v="2"/>
    <x v="85"/>
    <x v="0"/>
    <x v="23"/>
    <n v="44.448275862069103"/>
    <n v="16223.620689655199"/>
    <n v="58405.034482758798"/>
  </r>
  <r>
    <x v="0"/>
    <x v="0"/>
    <x v="0"/>
    <x v="0"/>
    <x v="1"/>
    <s v="DK2_Medium"/>
    <x v="0"/>
    <x v="35"/>
    <x v="0"/>
    <x v="0"/>
    <n v="0.4"/>
    <n v="146"/>
    <n v="525.6"/>
  </r>
  <r>
    <x v="0"/>
    <x v="0"/>
    <x v="0"/>
    <x v="0"/>
    <x v="1"/>
    <s v="DK2_Medium"/>
    <x v="0"/>
    <x v="35"/>
    <x v="0"/>
    <x v="1"/>
    <n v="0.4"/>
    <n v="146"/>
    <n v="525.6"/>
  </r>
  <r>
    <x v="0"/>
    <x v="0"/>
    <x v="0"/>
    <x v="0"/>
    <x v="1"/>
    <s v="DK2_Medium"/>
    <x v="0"/>
    <x v="35"/>
    <x v="0"/>
    <x v="2"/>
    <n v="0.4"/>
    <n v="146"/>
    <n v="525.6"/>
  </r>
  <r>
    <x v="0"/>
    <x v="0"/>
    <x v="0"/>
    <x v="0"/>
    <x v="1"/>
    <s v="DK2_Medium"/>
    <x v="0"/>
    <x v="35"/>
    <x v="0"/>
    <x v="3"/>
    <n v="0.4"/>
    <n v="146"/>
    <n v="525.6"/>
  </r>
  <r>
    <x v="0"/>
    <x v="0"/>
    <x v="0"/>
    <x v="0"/>
    <x v="1"/>
    <s v="DK2_Medium"/>
    <x v="0"/>
    <x v="35"/>
    <x v="0"/>
    <x v="4"/>
    <n v="0.4"/>
    <n v="146"/>
    <n v="525.6"/>
  </r>
  <r>
    <x v="0"/>
    <x v="0"/>
    <x v="0"/>
    <x v="0"/>
    <x v="1"/>
    <s v="DK2_Medium"/>
    <x v="0"/>
    <x v="35"/>
    <x v="0"/>
    <x v="5"/>
    <n v="0.4"/>
    <n v="146"/>
    <n v="525.6"/>
  </r>
  <r>
    <x v="0"/>
    <x v="0"/>
    <x v="0"/>
    <x v="0"/>
    <x v="1"/>
    <s v="DK2_Medium"/>
    <x v="0"/>
    <x v="35"/>
    <x v="0"/>
    <x v="6"/>
    <n v="0.4"/>
    <n v="146"/>
    <n v="525.6"/>
  </r>
  <r>
    <x v="0"/>
    <x v="0"/>
    <x v="0"/>
    <x v="0"/>
    <x v="1"/>
    <s v="DK2_Medium"/>
    <x v="0"/>
    <x v="35"/>
    <x v="0"/>
    <x v="7"/>
    <n v="0.4"/>
    <n v="146"/>
    <n v="525.6"/>
  </r>
  <r>
    <x v="0"/>
    <x v="0"/>
    <x v="0"/>
    <x v="0"/>
    <x v="1"/>
    <s v="DK2_Medium"/>
    <x v="0"/>
    <x v="35"/>
    <x v="0"/>
    <x v="8"/>
    <n v="0.4"/>
    <n v="146"/>
    <n v="525.6"/>
  </r>
  <r>
    <x v="0"/>
    <x v="0"/>
    <x v="0"/>
    <x v="0"/>
    <x v="1"/>
    <s v="DK2_Medium"/>
    <x v="0"/>
    <x v="35"/>
    <x v="0"/>
    <x v="9"/>
    <n v="0.4"/>
    <n v="146"/>
    <n v="525.6"/>
  </r>
  <r>
    <x v="0"/>
    <x v="0"/>
    <x v="0"/>
    <x v="0"/>
    <x v="1"/>
    <s v="DK2_Medium"/>
    <x v="0"/>
    <x v="35"/>
    <x v="0"/>
    <x v="10"/>
    <n v="0.4"/>
    <n v="146"/>
    <n v="525.6"/>
  </r>
  <r>
    <x v="0"/>
    <x v="0"/>
    <x v="0"/>
    <x v="0"/>
    <x v="1"/>
    <s v="DK2_Medium"/>
    <x v="0"/>
    <x v="35"/>
    <x v="0"/>
    <x v="11"/>
    <n v="0.4"/>
    <n v="146"/>
    <n v="525.6"/>
  </r>
  <r>
    <x v="0"/>
    <x v="0"/>
    <x v="0"/>
    <x v="0"/>
    <x v="1"/>
    <s v="DK2_Medium"/>
    <x v="0"/>
    <x v="35"/>
    <x v="0"/>
    <x v="12"/>
    <n v="0.4"/>
    <n v="146"/>
    <n v="525.6"/>
  </r>
  <r>
    <x v="0"/>
    <x v="0"/>
    <x v="0"/>
    <x v="0"/>
    <x v="1"/>
    <s v="DK2_Medium"/>
    <x v="0"/>
    <x v="35"/>
    <x v="0"/>
    <x v="13"/>
    <n v="0.4"/>
    <n v="146"/>
    <n v="525.6"/>
  </r>
  <r>
    <x v="0"/>
    <x v="0"/>
    <x v="0"/>
    <x v="0"/>
    <x v="1"/>
    <s v="DK2_Medium"/>
    <x v="0"/>
    <x v="35"/>
    <x v="0"/>
    <x v="14"/>
    <n v="0.4"/>
    <n v="146"/>
    <n v="525.6"/>
  </r>
  <r>
    <x v="0"/>
    <x v="0"/>
    <x v="0"/>
    <x v="0"/>
    <x v="1"/>
    <s v="DK2_Medium"/>
    <x v="0"/>
    <x v="35"/>
    <x v="0"/>
    <x v="15"/>
    <n v="0.4"/>
    <n v="146"/>
    <n v="525.6"/>
  </r>
  <r>
    <x v="0"/>
    <x v="0"/>
    <x v="0"/>
    <x v="0"/>
    <x v="1"/>
    <s v="DK2_Medium"/>
    <x v="0"/>
    <x v="35"/>
    <x v="0"/>
    <x v="16"/>
    <n v="0.4"/>
    <n v="146"/>
    <n v="525.6"/>
  </r>
  <r>
    <x v="0"/>
    <x v="0"/>
    <x v="0"/>
    <x v="0"/>
    <x v="1"/>
    <s v="DK2_Medium"/>
    <x v="0"/>
    <x v="35"/>
    <x v="0"/>
    <x v="17"/>
    <n v="0.4"/>
    <n v="146"/>
    <n v="525.6"/>
  </r>
  <r>
    <x v="0"/>
    <x v="0"/>
    <x v="0"/>
    <x v="0"/>
    <x v="1"/>
    <s v="DK2_Medium"/>
    <x v="0"/>
    <x v="35"/>
    <x v="0"/>
    <x v="18"/>
    <n v="0.4"/>
    <n v="146"/>
    <n v="525.6"/>
  </r>
  <r>
    <x v="0"/>
    <x v="0"/>
    <x v="0"/>
    <x v="0"/>
    <x v="1"/>
    <s v="DK2_Medium"/>
    <x v="0"/>
    <x v="35"/>
    <x v="0"/>
    <x v="19"/>
    <n v="0.4"/>
    <n v="146"/>
    <n v="525.6"/>
  </r>
  <r>
    <x v="0"/>
    <x v="0"/>
    <x v="0"/>
    <x v="0"/>
    <x v="1"/>
    <s v="DK2_Medium"/>
    <x v="0"/>
    <x v="35"/>
    <x v="0"/>
    <x v="20"/>
    <n v="0.4"/>
    <n v="146"/>
    <n v="525.6"/>
  </r>
  <r>
    <x v="0"/>
    <x v="0"/>
    <x v="0"/>
    <x v="0"/>
    <x v="1"/>
    <s v="DK2_Medium"/>
    <x v="0"/>
    <x v="35"/>
    <x v="0"/>
    <x v="21"/>
    <n v="0.4"/>
    <n v="146"/>
    <n v="525.6"/>
  </r>
  <r>
    <x v="0"/>
    <x v="0"/>
    <x v="0"/>
    <x v="0"/>
    <x v="1"/>
    <s v="DK2_Medium"/>
    <x v="0"/>
    <x v="35"/>
    <x v="0"/>
    <x v="22"/>
    <n v="0.4"/>
    <n v="146"/>
    <n v="525.6"/>
  </r>
  <r>
    <x v="0"/>
    <x v="0"/>
    <x v="0"/>
    <x v="0"/>
    <x v="1"/>
    <s v="DK2_Medium"/>
    <x v="0"/>
    <x v="35"/>
    <x v="0"/>
    <x v="23"/>
    <n v="0.4"/>
    <n v="146"/>
    <n v="525.6"/>
  </r>
  <r>
    <x v="0"/>
    <x v="0"/>
    <x v="0"/>
    <x v="0"/>
    <x v="1"/>
    <s v="DK2_Medium"/>
    <x v="0"/>
    <x v="86"/>
    <x v="0"/>
    <x v="0"/>
    <n v="0.29292929292929298"/>
    <n v="106.919191919192"/>
    <n v="384.90909090909099"/>
  </r>
  <r>
    <x v="0"/>
    <x v="0"/>
    <x v="0"/>
    <x v="0"/>
    <x v="1"/>
    <s v="DK2_Medium"/>
    <x v="0"/>
    <x v="86"/>
    <x v="0"/>
    <x v="1"/>
    <n v="0.29292929292929298"/>
    <n v="106.919191919192"/>
    <n v="384.90909090909099"/>
  </r>
  <r>
    <x v="0"/>
    <x v="0"/>
    <x v="0"/>
    <x v="0"/>
    <x v="1"/>
    <s v="DK2_Medium"/>
    <x v="0"/>
    <x v="86"/>
    <x v="0"/>
    <x v="2"/>
    <n v="0.29292929292929298"/>
    <n v="106.919191919192"/>
    <n v="384.90909090909099"/>
  </r>
  <r>
    <x v="0"/>
    <x v="0"/>
    <x v="0"/>
    <x v="0"/>
    <x v="1"/>
    <s v="DK2_Medium"/>
    <x v="0"/>
    <x v="86"/>
    <x v="0"/>
    <x v="3"/>
    <n v="0.29292929292929298"/>
    <n v="106.919191919192"/>
    <n v="384.90909090909099"/>
  </r>
  <r>
    <x v="0"/>
    <x v="0"/>
    <x v="0"/>
    <x v="0"/>
    <x v="1"/>
    <s v="DK2_Medium"/>
    <x v="0"/>
    <x v="86"/>
    <x v="0"/>
    <x v="4"/>
    <n v="0.29292929292929298"/>
    <n v="106.919191919192"/>
    <n v="384.90909090909099"/>
  </r>
  <r>
    <x v="0"/>
    <x v="0"/>
    <x v="0"/>
    <x v="0"/>
    <x v="1"/>
    <s v="DK2_Medium"/>
    <x v="0"/>
    <x v="86"/>
    <x v="0"/>
    <x v="5"/>
    <n v="0.29292929292929298"/>
    <n v="106.919191919192"/>
    <n v="384.90909090909099"/>
  </r>
  <r>
    <x v="0"/>
    <x v="0"/>
    <x v="0"/>
    <x v="0"/>
    <x v="1"/>
    <s v="DK2_Medium"/>
    <x v="0"/>
    <x v="86"/>
    <x v="0"/>
    <x v="6"/>
    <n v="0.29292929292929298"/>
    <n v="106.919191919192"/>
    <n v="384.90909090909099"/>
  </r>
  <r>
    <x v="0"/>
    <x v="0"/>
    <x v="0"/>
    <x v="0"/>
    <x v="1"/>
    <s v="DK2_Medium"/>
    <x v="0"/>
    <x v="86"/>
    <x v="0"/>
    <x v="7"/>
    <n v="0.29292929292929298"/>
    <n v="106.919191919192"/>
    <n v="384.90909090909099"/>
  </r>
  <r>
    <x v="0"/>
    <x v="0"/>
    <x v="0"/>
    <x v="0"/>
    <x v="1"/>
    <s v="DK2_Medium"/>
    <x v="0"/>
    <x v="86"/>
    <x v="0"/>
    <x v="8"/>
    <n v="0.29292929292929298"/>
    <n v="106.919191919192"/>
    <n v="384.90909090909099"/>
  </r>
  <r>
    <x v="0"/>
    <x v="0"/>
    <x v="0"/>
    <x v="0"/>
    <x v="1"/>
    <s v="DK2_Medium"/>
    <x v="0"/>
    <x v="86"/>
    <x v="0"/>
    <x v="9"/>
    <n v="0.29292929292929298"/>
    <n v="106.919191919192"/>
    <n v="384.90909090909099"/>
  </r>
  <r>
    <x v="0"/>
    <x v="0"/>
    <x v="0"/>
    <x v="0"/>
    <x v="1"/>
    <s v="DK2_Medium"/>
    <x v="0"/>
    <x v="86"/>
    <x v="0"/>
    <x v="10"/>
    <n v="0.29292929292929298"/>
    <n v="106.919191919192"/>
    <n v="384.90909090909099"/>
  </r>
  <r>
    <x v="0"/>
    <x v="0"/>
    <x v="0"/>
    <x v="0"/>
    <x v="1"/>
    <s v="DK2_Medium"/>
    <x v="0"/>
    <x v="86"/>
    <x v="0"/>
    <x v="11"/>
    <n v="0.29292929292929298"/>
    <n v="106.919191919192"/>
    <n v="384.90909090909099"/>
  </r>
  <r>
    <x v="0"/>
    <x v="0"/>
    <x v="0"/>
    <x v="0"/>
    <x v="1"/>
    <s v="DK2_Medium"/>
    <x v="0"/>
    <x v="86"/>
    <x v="0"/>
    <x v="12"/>
    <n v="0.29292929292929298"/>
    <n v="106.919191919192"/>
    <n v="384.90909090909099"/>
  </r>
  <r>
    <x v="0"/>
    <x v="0"/>
    <x v="0"/>
    <x v="0"/>
    <x v="1"/>
    <s v="DK2_Medium"/>
    <x v="0"/>
    <x v="86"/>
    <x v="0"/>
    <x v="13"/>
    <n v="0.29292929292929298"/>
    <n v="106.919191919192"/>
    <n v="384.90909090909099"/>
  </r>
  <r>
    <x v="0"/>
    <x v="0"/>
    <x v="0"/>
    <x v="0"/>
    <x v="1"/>
    <s v="DK2_Medium"/>
    <x v="0"/>
    <x v="86"/>
    <x v="0"/>
    <x v="14"/>
    <n v="0.29292929292929298"/>
    <n v="106.919191919192"/>
    <n v="384.90909090909099"/>
  </r>
  <r>
    <x v="0"/>
    <x v="0"/>
    <x v="0"/>
    <x v="0"/>
    <x v="1"/>
    <s v="DK2_Medium"/>
    <x v="0"/>
    <x v="86"/>
    <x v="0"/>
    <x v="15"/>
    <n v="0.29292929292929298"/>
    <n v="106.919191919192"/>
    <n v="384.90909090909099"/>
  </r>
  <r>
    <x v="0"/>
    <x v="0"/>
    <x v="0"/>
    <x v="0"/>
    <x v="1"/>
    <s v="DK2_Medium"/>
    <x v="0"/>
    <x v="86"/>
    <x v="0"/>
    <x v="16"/>
    <n v="0.29292929292929298"/>
    <n v="106.919191919192"/>
    <n v="384.90909090909099"/>
  </r>
  <r>
    <x v="0"/>
    <x v="0"/>
    <x v="0"/>
    <x v="0"/>
    <x v="1"/>
    <s v="DK2_Medium"/>
    <x v="0"/>
    <x v="86"/>
    <x v="0"/>
    <x v="17"/>
    <n v="0.29292929292929298"/>
    <n v="106.919191919192"/>
    <n v="384.90909090909099"/>
  </r>
  <r>
    <x v="0"/>
    <x v="0"/>
    <x v="0"/>
    <x v="0"/>
    <x v="1"/>
    <s v="DK2_Medium"/>
    <x v="0"/>
    <x v="86"/>
    <x v="0"/>
    <x v="18"/>
    <n v="0.29292929292929298"/>
    <n v="106.919191919192"/>
    <n v="384.90909090909099"/>
  </r>
  <r>
    <x v="0"/>
    <x v="0"/>
    <x v="0"/>
    <x v="0"/>
    <x v="1"/>
    <s v="DK2_Medium"/>
    <x v="0"/>
    <x v="86"/>
    <x v="0"/>
    <x v="19"/>
    <n v="0.29292929292929298"/>
    <n v="106.919191919192"/>
    <n v="384.90909090909099"/>
  </r>
  <r>
    <x v="0"/>
    <x v="0"/>
    <x v="0"/>
    <x v="0"/>
    <x v="1"/>
    <s v="DK2_Medium"/>
    <x v="0"/>
    <x v="86"/>
    <x v="0"/>
    <x v="20"/>
    <n v="0.29292929292929298"/>
    <n v="106.919191919192"/>
    <n v="384.90909090909099"/>
  </r>
  <r>
    <x v="0"/>
    <x v="0"/>
    <x v="0"/>
    <x v="0"/>
    <x v="1"/>
    <s v="DK2_Medium"/>
    <x v="0"/>
    <x v="86"/>
    <x v="0"/>
    <x v="21"/>
    <n v="0.29292929292929298"/>
    <n v="106.919191919192"/>
    <n v="384.90909090909099"/>
  </r>
  <r>
    <x v="0"/>
    <x v="0"/>
    <x v="0"/>
    <x v="0"/>
    <x v="1"/>
    <s v="DK2_Medium"/>
    <x v="0"/>
    <x v="86"/>
    <x v="0"/>
    <x v="22"/>
    <n v="0.29292929292929298"/>
    <n v="106.919191919192"/>
    <n v="384.90909090909099"/>
  </r>
  <r>
    <x v="0"/>
    <x v="0"/>
    <x v="0"/>
    <x v="0"/>
    <x v="1"/>
    <s v="DK2_Medium"/>
    <x v="0"/>
    <x v="86"/>
    <x v="0"/>
    <x v="23"/>
    <n v="0.29292929292929298"/>
    <n v="106.919191919192"/>
    <n v="384.90909090909099"/>
  </r>
  <r>
    <x v="0"/>
    <x v="0"/>
    <x v="0"/>
    <x v="0"/>
    <x v="1"/>
    <s v="DK2_Medium"/>
    <x v="2"/>
    <x v="14"/>
    <x v="0"/>
    <x v="0"/>
    <n v="20"/>
    <n v="7300"/>
    <n v="26280"/>
  </r>
  <r>
    <x v="0"/>
    <x v="0"/>
    <x v="0"/>
    <x v="0"/>
    <x v="1"/>
    <s v="DK2_Medium"/>
    <x v="2"/>
    <x v="14"/>
    <x v="0"/>
    <x v="1"/>
    <n v="20"/>
    <n v="7300"/>
    <n v="26280"/>
  </r>
  <r>
    <x v="0"/>
    <x v="0"/>
    <x v="0"/>
    <x v="0"/>
    <x v="1"/>
    <s v="DK2_Medium"/>
    <x v="2"/>
    <x v="14"/>
    <x v="0"/>
    <x v="2"/>
    <n v="20"/>
    <n v="7300"/>
    <n v="26280"/>
  </r>
  <r>
    <x v="0"/>
    <x v="0"/>
    <x v="0"/>
    <x v="0"/>
    <x v="1"/>
    <s v="DK2_Medium"/>
    <x v="2"/>
    <x v="14"/>
    <x v="0"/>
    <x v="3"/>
    <n v="20"/>
    <n v="7300"/>
    <n v="26280"/>
  </r>
  <r>
    <x v="0"/>
    <x v="0"/>
    <x v="0"/>
    <x v="0"/>
    <x v="1"/>
    <s v="DK2_Medium"/>
    <x v="2"/>
    <x v="14"/>
    <x v="0"/>
    <x v="4"/>
    <n v="20"/>
    <n v="7300"/>
    <n v="26280"/>
  </r>
  <r>
    <x v="0"/>
    <x v="0"/>
    <x v="0"/>
    <x v="0"/>
    <x v="1"/>
    <s v="DK2_Medium"/>
    <x v="2"/>
    <x v="14"/>
    <x v="0"/>
    <x v="5"/>
    <n v="20"/>
    <n v="7300"/>
    <n v="26280"/>
  </r>
  <r>
    <x v="0"/>
    <x v="0"/>
    <x v="0"/>
    <x v="0"/>
    <x v="1"/>
    <s v="DK2_Medium"/>
    <x v="2"/>
    <x v="14"/>
    <x v="0"/>
    <x v="6"/>
    <n v="20"/>
    <n v="7300"/>
    <n v="26280"/>
  </r>
  <r>
    <x v="0"/>
    <x v="0"/>
    <x v="0"/>
    <x v="0"/>
    <x v="1"/>
    <s v="DK2_Medium"/>
    <x v="2"/>
    <x v="14"/>
    <x v="0"/>
    <x v="7"/>
    <n v="20"/>
    <n v="7300"/>
    <n v="26280"/>
  </r>
  <r>
    <x v="0"/>
    <x v="0"/>
    <x v="0"/>
    <x v="0"/>
    <x v="1"/>
    <s v="DK2_Medium"/>
    <x v="2"/>
    <x v="14"/>
    <x v="0"/>
    <x v="8"/>
    <n v="20"/>
    <n v="7300"/>
    <n v="26280"/>
  </r>
  <r>
    <x v="0"/>
    <x v="0"/>
    <x v="0"/>
    <x v="0"/>
    <x v="1"/>
    <s v="DK2_Medium"/>
    <x v="2"/>
    <x v="14"/>
    <x v="0"/>
    <x v="9"/>
    <n v="20"/>
    <n v="7300"/>
    <n v="26280"/>
  </r>
  <r>
    <x v="0"/>
    <x v="0"/>
    <x v="0"/>
    <x v="0"/>
    <x v="1"/>
    <s v="DK2_Medium"/>
    <x v="2"/>
    <x v="14"/>
    <x v="0"/>
    <x v="10"/>
    <n v="20"/>
    <n v="7300"/>
    <n v="26280"/>
  </r>
  <r>
    <x v="0"/>
    <x v="0"/>
    <x v="0"/>
    <x v="0"/>
    <x v="1"/>
    <s v="DK2_Medium"/>
    <x v="2"/>
    <x v="14"/>
    <x v="0"/>
    <x v="11"/>
    <n v="20"/>
    <n v="7300"/>
    <n v="26280"/>
  </r>
  <r>
    <x v="0"/>
    <x v="0"/>
    <x v="0"/>
    <x v="0"/>
    <x v="1"/>
    <s v="DK2_Medium"/>
    <x v="2"/>
    <x v="14"/>
    <x v="0"/>
    <x v="12"/>
    <n v="20"/>
    <n v="7300"/>
    <n v="26280"/>
  </r>
  <r>
    <x v="0"/>
    <x v="0"/>
    <x v="0"/>
    <x v="0"/>
    <x v="1"/>
    <s v="DK2_Medium"/>
    <x v="2"/>
    <x v="14"/>
    <x v="0"/>
    <x v="13"/>
    <n v="20"/>
    <n v="7300"/>
    <n v="26280"/>
  </r>
  <r>
    <x v="0"/>
    <x v="0"/>
    <x v="0"/>
    <x v="0"/>
    <x v="1"/>
    <s v="DK2_Medium"/>
    <x v="2"/>
    <x v="14"/>
    <x v="0"/>
    <x v="14"/>
    <n v="20"/>
    <n v="7300"/>
    <n v="26280"/>
  </r>
  <r>
    <x v="0"/>
    <x v="0"/>
    <x v="0"/>
    <x v="0"/>
    <x v="1"/>
    <s v="DK2_Medium"/>
    <x v="2"/>
    <x v="14"/>
    <x v="0"/>
    <x v="15"/>
    <n v="20"/>
    <n v="7300"/>
    <n v="26280"/>
  </r>
  <r>
    <x v="0"/>
    <x v="0"/>
    <x v="0"/>
    <x v="0"/>
    <x v="1"/>
    <s v="DK2_Medium"/>
    <x v="2"/>
    <x v="14"/>
    <x v="0"/>
    <x v="16"/>
    <n v="20"/>
    <n v="7300"/>
    <n v="26280"/>
  </r>
  <r>
    <x v="0"/>
    <x v="0"/>
    <x v="0"/>
    <x v="0"/>
    <x v="1"/>
    <s v="DK2_Medium"/>
    <x v="2"/>
    <x v="14"/>
    <x v="0"/>
    <x v="17"/>
    <n v="20"/>
    <n v="7300"/>
    <n v="26280"/>
  </r>
  <r>
    <x v="0"/>
    <x v="0"/>
    <x v="0"/>
    <x v="0"/>
    <x v="1"/>
    <s v="DK2_Medium"/>
    <x v="2"/>
    <x v="14"/>
    <x v="0"/>
    <x v="18"/>
    <n v="20"/>
    <n v="7300"/>
    <n v="26280"/>
  </r>
  <r>
    <x v="0"/>
    <x v="0"/>
    <x v="0"/>
    <x v="0"/>
    <x v="1"/>
    <s v="DK2_Medium"/>
    <x v="2"/>
    <x v="14"/>
    <x v="0"/>
    <x v="19"/>
    <n v="20"/>
    <n v="7300"/>
    <n v="26280"/>
  </r>
  <r>
    <x v="0"/>
    <x v="0"/>
    <x v="0"/>
    <x v="0"/>
    <x v="1"/>
    <s v="DK2_Medium"/>
    <x v="2"/>
    <x v="14"/>
    <x v="0"/>
    <x v="20"/>
    <n v="20"/>
    <n v="7300"/>
    <n v="26280"/>
  </r>
  <r>
    <x v="0"/>
    <x v="0"/>
    <x v="0"/>
    <x v="0"/>
    <x v="1"/>
    <s v="DK2_Medium"/>
    <x v="2"/>
    <x v="14"/>
    <x v="0"/>
    <x v="21"/>
    <n v="20"/>
    <n v="7300"/>
    <n v="26280"/>
  </r>
  <r>
    <x v="0"/>
    <x v="0"/>
    <x v="0"/>
    <x v="0"/>
    <x v="1"/>
    <s v="DK2_Medium"/>
    <x v="2"/>
    <x v="14"/>
    <x v="0"/>
    <x v="22"/>
    <n v="20"/>
    <n v="7300"/>
    <n v="26280"/>
  </r>
  <r>
    <x v="0"/>
    <x v="0"/>
    <x v="0"/>
    <x v="0"/>
    <x v="1"/>
    <s v="DK2_Medium"/>
    <x v="2"/>
    <x v="14"/>
    <x v="0"/>
    <x v="23"/>
    <n v="20"/>
    <n v="7300"/>
    <n v="26280"/>
  </r>
  <r>
    <x v="0"/>
    <x v="0"/>
    <x v="0"/>
    <x v="0"/>
    <x v="1"/>
    <s v="DK2_Medium"/>
    <x v="2"/>
    <x v="18"/>
    <x v="0"/>
    <x v="0"/>
    <n v="34.7826086956522"/>
    <n v="12695.652173913"/>
    <n v="45704.347826087003"/>
  </r>
  <r>
    <x v="0"/>
    <x v="0"/>
    <x v="0"/>
    <x v="0"/>
    <x v="1"/>
    <s v="DK2_Medium"/>
    <x v="2"/>
    <x v="18"/>
    <x v="0"/>
    <x v="1"/>
    <n v="34.7826086956522"/>
    <n v="12695.652173913"/>
    <n v="45704.347826087003"/>
  </r>
  <r>
    <x v="0"/>
    <x v="0"/>
    <x v="0"/>
    <x v="0"/>
    <x v="1"/>
    <s v="DK2_Medium"/>
    <x v="2"/>
    <x v="18"/>
    <x v="0"/>
    <x v="2"/>
    <n v="34.7826086956522"/>
    <n v="12695.652173913"/>
    <n v="45704.347826087003"/>
  </r>
  <r>
    <x v="0"/>
    <x v="0"/>
    <x v="0"/>
    <x v="0"/>
    <x v="1"/>
    <s v="DK2_Medium"/>
    <x v="2"/>
    <x v="18"/>
    <x v="0"/>
    <x v="3"/>
    <n v="34.7826086956522"/>
    <n v="12695.652173913"/>
    <n v="45704.347826087003"/>
  </r>
  <r>
    <x v="0"/>
    <x v="0"/>
    <x v="0"/>
    <x v="0"/>
    <x v="1"/>
    <s v="DK2_Medium"/>
    <x v="2"/>
    <x v="18"/>
    <x v="0"/>
    <x v="4"/>
    <n v="34.7826086956522"/>
    <n v="12695.652173913"/>
    <n v="45704.347826087003"/>
  </r>
  <r>
    <x v="0"/>
    <x v="0"/>
    <x v="0"/>
    <x v="0"/>
    <x v="1"/>
    <s v="DK2_Medium"/>
    <x v="2"/>
    <x v="18"/>
    <x v="0"/>
    <x v="5"/>
    <n v="34.7826086956522"/>
    <n v="12695.652173913"/>
    <n v="45704.347826087003"/>
  </r>
  <r>
    <x v="0"/>
    <x v="0"/>
    <x v="0"/>
    <x v="0"/>
    <x v="1"/>
    <s v="DK2_Medium"/>
    <x v="2"/>
    <x v="18"/>
    <x v="0"/>
    <x v="6"/>
    <n v="34.7826086956522"/>
    <n v="12695.652173913"/>
    <n v="45704.347826087003"/>
  </r>
  <r>
    <x v="0"/>
    <x v="0"/>
    <x v="0"/>
    <x v="0"/>
    <x v="1"/>
    <s v="DK2_Medium"/>
    <x v="2"/>
    <x v="18"/>
    <x v="0"/>
    <x v="7"/>
    <n v="34.7826086956522"/>
    <n v="12695.652173913"/>
    <n v="45704.347826087003"/>
  </r>
  <r>
    <x v="0"/>
    <x v="0"/>
    <x v="0"/>
    <x v="0"/>
    <x v="1"/>
    <s v="DK2_Medium"/>
    <x v="2"/>
    <x v="18"/>
    <x v="0"/>
    <x v="8"/>
    <n v="34.7826086956522"/>
    <n v="12695.652173913"/>
    <n v="45704.347826087003"/>
  </r>
  <r>
    <x v="0"/>
    <x v="0"/>
    <x v="0"/>
    <x v="0"/>
    <x v="1"/>
    <s v="DK2_Medium"/>
    <x v="2"/>
    <x v="18"/>
    <x v="0"/>
    <x v="9"/>
    <n v="34.7826086956522"/>
    <n v="12695.652173913"/>
    <n v="45704.347826087003"/>
  </r>
  <r>
    <x v="0"/>
    <x v="0"/>
    <x v="0"/>
    <x v="0"/>
    <x v="1"/>
    <s v="DK2_Medium"/>
    <x v="2"/>
    <x v="18"/>
    <x v="0"/>
    <x v="10"/>
    <n v="34.7826086956522"/>
    <n v="12695.652173913"/>
    <n v="45704.347826087003"/>
  </r>
  <r>
    <x v="0"/>
    <x v="0"/>
    <x v="0"/>
    <x v="0"/>
    <x v="1"/>
    <s v="DK2_Medium"/>
    <x v="2"/>
    <x v="18"/>
    <x v="0"/>
    <x v="11"/>
    <n v="34.7826086956522"/>
    <n v="12695.652173913"/>
    <n v="45704.347826087003"/>
  </r>
  <r>
    <x v="0"/>
    <x v="0"/>
    <x v="0"/>
    <x v="0"/>
    <x v="1"/>
    <s v="DK2_Medium"/>
    <x v="2"/>
    <x v="18"/>
    <x v="0"/>
    <x v="12"/>
    <n v="34.7826086956522"/>
    <n v="12695.652173913"/>
    <n v="45704.347826087003"/>
  </r>
  <r>
    <x v="0"/>
    <x v="0"/>
    <x v="0"/>
    <x v="0"/>
    <x v="1"/>
    <s v="DK2_Medium"/>
    <x v="2"/>
    <x v="18"/>
    <x v="0"/>
    <x v="13"/>
    <n v="34.7826086956522"/>
    <n v="12695.652173913"/>
    <n v="45704.347826087003"/>
  </r>
  <r>
    <x v="0"/>
    <x v="0"/>
    <x v="0"/>
    <x v="0"/>
    <x v="1"/>
    <s v="DK2_Medium"/>
    <x v="2"/>
    <x v="18"/>
    <x v="0"/>
    <x v="14"/>
    <n v="34.7826086956522"/>
    <n v="12695.652173913"/>
    <n v="45704.347826087003"/>
  </r>
  <r>
    <x v="0"/>
    <x v="0"/>
    <x v="0"/>
    <x v="0"/>
    <x v="1"/>
    <s v="DK2_Medium"/>
    <x v="2"/>
    <x v="18"/>
    <x v="0"/>
    <x v="15"/>
    <n v="34.7826086956522"/>
    <n v="12695.652173913"/>
    <n v="45704.347826087003"/>
  </r>
  <r>
    <x v="0"/>
    <x v="0"/>
    <x v="0"/>
    <x v="0"/>
    <x v="1"/>
    <s v="DK2_Medium"/>
    <x v="2"/>
    <x v="18"/>
    <x v="0"/>
    <x v="16"/>
    <n v="34.7826086956522"/>
    <n v="12695.652173913"/>
    <n v="45704.347826087003"/>
  </r>
  <r>
    <x v="0"/>
    <x v="0"/>
    <x v="0"/>
    <x v="0"/>
    <x v="1"/>
    <s v="DK2_Medium"/>
    <x v="2"/>
    <x v="18"/>
    <x v="0"/>
    <x v="17"/>
    <n v="34.7826086956522"/>
    <n v="12695.652173913"/>
    <n v="45704.347826087003"/>
  </r>
  <r>
    <x v="0"/>
    <x v="0"/>
    <x v="0"/>
    <x v="0"/>
    <x v="1"/>
    <s v="DK2_Medium"/>
    <x v="2"/>
    <x v="18"/>
    <x v="0"/>
    <x v="18"/>
    <n v="34.7826086956522"/>
    <n v="12695.652173913"/>
    <n v="45704.347826087003"/>
  </r>
  <r>
    <x v="0"/>
    <x v="0"/>
    <x v="0"/>
    <x v="0"/>
    <x v="1"/>
    <s v="DK2_Medium"/>
    <x v="2"/>
    <x v="18"/>
    <x v="0"/>
    <x v="19"/>
    <n v="34.7826086956522"/>
    <n v="12695.652173913"/>
    <n v="45704.347826087003"/>
  </r>
  <r>
    <x v="0"/>
    <x v="0"/>
    <x v="0"/>
    <x v="0"/>
    <x v="1"/>
    <s v="DK2_Medium"/>
    <x v="2"/>
    <x v="18"/>
    <x v="0"/>
    <x v="20"/>
    <n v="34.7826086956522"/>
    <n v="12695.652173913"/>
    <n v="45704.347826087003"/>
  </r>
  <r>
    <x v="0"/>
    <x v="0"/>
    <x v="0"/>
    <x v="0"/>
    <x v="1"/>
    <s v="DK2_Medium"/>
    <x v="2"/>
    <x v="18"/>
    <x v="0"/>
    <x v="21"/>
    <n v="34.7826086956522"/>
    <n v="12695.652173913"/>
    <n v="45704.347826087003"/>
  </r>
  <r>
    <x v="0"/>
    <x v="0"/>
    <x v="0"/>
    <x v="0"/>
    <x v="1"/>
    <s v="DK2_Medium"/>
    <x v="2"/>
    <x v="18"/>
    <x v="0"/>
    <x v="22"/>
    <n v="34.7826086956522"/>
    <n v="12695.652173913"/>
    <n v="45704.347826087003"/>
  </r>
  <r>
    <x v="0"/>
    <x v="0"/>
    <x v="0"/>
    <x v="0"/>
    <x v="1"/>
    <s v="DK2_Medium"/>
    <x v="2"/>
    <x v="18"/>
    <x v="0"/>
    <x v="23"/>
    <n v="34.7826086956522"/>
    <n v="12695.652173913"/>
    <n v="45704.347826087003"/>
  </r>
  <r>
    <x v="0"/>
    <x v="0"/>
    <x v="0"/>
    <x v="0"/>
    <x v="1"/>
    <s v="DK2_Medium"/>
    <x v="2"/>
    <x v="84"/>
    <x v="0"/>
    <x v="0"/>
    <n v="29.6"/>
    <n v="10804"/>
    <n v="38894.400000000001"/>
  </r>
  <r>
    <x v="0"/>
    <x v="0"/>
    <x v="0"/>
    <x v="0"/>
    <x v="1"/>
    <s v="DK2_Medium"/>
    <x v="2"/>
    <x v="84"/>
    <x v="0"/>
    <x v="1"/>
    <n v="29.6"/>
    <n v="10804"/>
    <n v="38894.400000000001"/>
  </r>
  <r>
    <x v="0"/>
    <x v="0"/>
    <x v="0"/>
    <x v="0"/>
    <x v="1"/>
    <s v="DK2_Medium"/>
    <x v="2"/>
    <x v="84"/>
    <x v="0"/>
    <x v="2"/>
    <n v="29.6"/>
    <n v="10804"/>
    <n v="38894.400000000001"/>
  </r>
  <r>
    <x v="0"/>
    <x v="0"/>
    <x v="0"/>
    <x v="0"/>
    <x v="1"/>
    <s v="DK2_Medium"/>
    <x v="2"/>
    <x v="84"/>
    <x v="0"/>
    <x v="3"/>
    <n v="29.6"/>
    <n v="10804"/>
    <n v="38894.400000000001"/>
  </r>
  <r>
    <x v="0"/>
    <x v="0"/>
    <x v="0"/>
    <x v="0"/>
    <x v="1"/>
    <s v="DK2_Medium"/>
    <x v="2"/>
    <x v="84"/>
    <x v="0"/>
    <x v="4"/>
    <n v="29.6"/>
    <n v="10804"/>
    <n v="38894.400000000001"/>
  </r>
  <r>
    <x v="0"/>
    <x v="0"/>
    <x v="0"/>
    <x v="0"/>
    <x v="1"/>
    <s v="DK2_Medium"/>
    <x v="2"/>
    <x v="84"/>
    <x v="0"/>
    <x v="5"/>
    <n v="29.6"/>
    <n v="10804"/>
    <n v="38894.400000000001"/>
  </r>
  <r>
    <x v="0"/>
    <x v="0"/>
    <x v="0"/>
    <x v="0"/>
    <x v="1"/>
    <s v="DK2_Medium"/>
    <x v="2"/>
    <x v="84"/>
    <x v="0"/>
    <x v="6"/>
    <n v="29.6"/>
    <n v="10804"/>
    <n v="38894.400000000001"/>
  </r>
  <r>
    <x v="0"/>
    <x v="0"/>
    <x v="0"/>
    <x v="0"/>
    <x v="1"/>
    <s v="DK2_Medium"/>
    <x v="2"/>
    <x v="84"/>
    <x v="0"/>
    <x v="7"/>
    <n v="29.6"/>
    <n v="10804"/>
    <n v="38894.400000000001"/>
  </r>
  <r>
    <x v="0"/>
    <x v="0"/>
    <x v="0"/>
    <x v="0"/>
    <x v="1"/>
    <s v="DK2_Medium"/>
    <x v="2"/>
    <x v="84"/>
    <x v="0"/>
    <x v="8"/>
    <n v="29.6"/>
    <n v="10804"/>
    <n v="38894.400000000001"/>
  </r>
  <r>
    <x v="0"/>
    <x v="0"/>
    <x v="0"/>
    <x v="0"/>
    <x v="1"/>
    <s v="DK2_Medium"/>
    <x v="2"/>
    <x v="84"/>
    <x v="0"/>
    <x v="9"/>
    <n v="29.6"/>
    <n v="10804"/>
    <n v="38894.400000000001"/>
  </r>
  <r>
    <x v="0"/>
    <x v="0"/>
    <x v="0"/>
    <x v="0"/>
    <x v="1"/>
    <s v="DK2_Medium"/>
    <x v="2"/>
    <x v="84"/>
    <x v="0"/>
    <x v="10"/>
    <n v="29.6"/>
    <n v="10804"/>
    <n v="38894.400000000001"/>
  </r>
  <r>
    <x v="0"/>
    <x v="0"/>
    <x v="0"/>
    <x v="0"/>
    <x v="1"/>
    <s v="DK2_Medium"/>
    <x v="2"/>
    <x v="84"/>
    <x v="0"/>
    <x v="11"/>
    <n v="29.6"/>
    <n v="10804"/>
    <n v="38894.400000000001"/>
  </r>
  <r>
    <x v="0"/>
    <x v="0"/>
    <x v="0"/>
    <x v="0"/>
    <x v="1"/>
    <s v="DK2_Medium"/>
    <x v="2"/>
    <x v="84"/>
    <x v="0"/>
    <x v="12"/>
    <n v="29.6"/>
    <n v="10804"/>
    <n v="38894.400000000001"/>
  </r>
  <r>
    <x v="0"/>
    <x v="0"/>
    <x v="0"/>
    <x v="0"/>
    <x v="1"/>
    <s v="DK2_Medium"/>
    <x v="2"/>
    <x v="84"/>
    <x v="0"/>
    <x v="13"/>
    <n v="29.6"/>
    <n v="10804"/>
    <n v="38894.400000000001"/>
  </r>
  <r>
    <x v="0"/>
    <x v="0"/>
    <x v="0"/>
    <x v="0"/>
    <x v="1"/>
    <s v="DK2_Medium"/>
    <x v="2"/>
    <x v="84"/>
    <x v="0"/>
    <x v="14"/>
    <n v="29.6"/>
    <n v="10804"/>
    <n v="38894.400000000001"/>
  </r>
  <r>
    <x v="0"/>
    <x v="0"/>
    <x v="0"/>
    <x v="0"/>
    <x v="1"/>
    <s v="DK2_Medium"/>
    <x v="2"/>
    <x v="84"/>
    <x v="0"/>
    <x v="15"/>
    <n v="29.6"/>
    <n v="10804"/>
    <n v="38894.400000000001"/>
  </r>
  <r>
    <x v="0"/>
    <x v="0"/>
    <x v="0"/>
    <x v="0"/>
    <x v="1"/>
    <s v="DK2_Medium"/>
    <x v="2"/>
    <x v="84"/>
    <x v="0"/>
    <x v="16"/>
    <n v="29.6"/>
    <n v="10804"/>
    <n v="38894.400000000001"/>
  </r>
  <r>
    <x v="0"/>
    <x v="0"/>
    <x v="0"/>
    <x v="0"/>
    <x v="1"/>
    <s v="DK2_Medium"/>
    <x v="2"/>
    <x v="84"/>
    <x v="0"/>
    <x v="17"/>
    <n v="29.6"/>
    <n v="10804"/>
    <n v="38894.400000000001"/>
  </r>
  <r>
    <x v="0"/>
    <x v="0"/>
    <x v="0"/>
    <x v="0"/>
    <x v="1"/>
    <s v="DK2_Medium"/>
    <x v="2"/>
    <x v="84"/>
    <x v="0"/>
    <x v="18"/>
    <n v="29.6"/>
    <n v="10804"/>
    <n v="38894.400000000001"/>
  </r>
  <r>
    <x v="0"/>
    <x v="0"/>
    <x v="0"/>
    <x v="0"/>
    <x v="1"/>
    <s v="DK2_Medium"/>
    <x v="2"/>
    <x v="84"/>
    <x v="0"/>
    <x v="19"/>
    <n v="29.6"/>
    <n v="10804"/>
    <n v="38894.400000000001"/>
  </r>
  <r>
    <x v="0"/>
    <x v="0"/>
    <x v="0"/>
    <x v="0"/>
    <x v="1"/>
    <s v="DK2_Medium"/>
    <x v="2"/>
    <x v="84"/>
    <x v="0"/>
    <x v="20"/>
    <n v="29.6"/>
    <n v="10804"/>
    <n v="38894.400000000001"/>
  </r>
  <r>
    <x v="0"/>
    <x v="0"/>
    <x v="0"/>
    <x v="0"/>
    <x v="1"/>
    <s v="DK2_Medium"/>
    <x v="2"/>
    <x v="84"/>
    <x v="0"/>
    <x v="21"/>
    <n v="29.6"/>
    <n v="10804"/>
    <n v="38894.400000000001"/>
  </r>
  <r>
    <x v="0"/>
    <x v="0"/>
    <x v="0"/>
    <x v="0"/>
    <x v="1"/>
    <s v="DK2_Medium"/>
    <x v="2"/>
    <x v="84"/>
    <x v="0"/>
    <x v="22"/>
    <n v="29.6"/>
    <n v="10804"/>
    <n v="38894.400000000001"/>
  </r>
  <r>
    <x v="0"/>
    <x v="0"/>
    <x v="0"/>
    <x v="0"/>
    <x v="1"/>
    <s v="DK2_Medium"/>
    <x v="2"/>
    <x v="84"/>
    <x v="0"/>
    <x v="23"/>
    <n v="29.6"/>
    <n v="10804"/>
    <n v="38894.400000000001"/>
  </r>
  <r>
    <x v="0"/>
    <x v="0"/>
    <x v="0"/>
    <x v="0"/>
    <x v="1"/>
    <s v="DK2_Medium"/>
    <x v="3"/>
    <x v="22"/>
    <x v="0"/>
    <x v="5"/>
    <n v="4.7619047619047601"/>
    <n v="1738.0952380952399"/>
    <n v="6257.1428571428596"/>
  </r>
  <r>
    <x v="0"/>
    <x v="0"/>
    <x v="0"/>
    <x v="0"/>
    <x v="1"/>
    <s v="DK2_Medium"/>
    <x v="3"/>
    <x v="22"/>
    <x v="0"/>
    <x v="6"/>
    <n v="4.7619047619047601"/>
    <n v="1738.0952380952399"/>
    <n v="6257.1428571428596"/>
  </r>
  <r>
    <x v="0"/>
    <x v="0"/>
    <x v="0"/>
    <x v="0"/>
    <x v="1"/>
    <s v="DK2_Medium"/>
    <x v="3"/>
    <x v="22"/>
    <x v="0"/>
    <x v="7"/>
    <n v="4.7619047619047601"/>
    <n v="1738.0952380952399"/>
    <n v="6257.1428571428596"/>
  </r>
  <r>
    <x v="0"/>
    <x v="0"/>
    <x v="0"/>
    <x v="0"/>
    <x v="1"/>
    <s v="DK2_Medium"/>
    <x v="3"/>
    <x v="22"/>
    <x v="0"/>
    <x v="8"/>
    <n v="4.7619047619047601"/>
    <n v="1738.0952380952399"/>
    <n v="6257.1428571428596"/>
  </r>
  <r>
    <x v="0"/>
    <x v="0"/>
    <x v="0"/>
    <x v="0"/>
    <x v="1"/>
    <s v="DK2_Medium"/>
    <x v="3"/>
    <x v="22"/>
    <x v="0"/>
    <x v="9"/>
    <n v="4.7619047619047601"/>
    <n v="1738.0952380952399"/>
    <n v="6257.1428571428596"/>
  </r>
  <r>
    <x v="0"/>
    <x v="0"/>
    <x v="0"/>
    <x v="0"/>
    <x v="1"/>
    <s v="DK2_Medium"/>
    <x v="3"/>
    <x v="22"/>
    <x v="0"/>
    <x v="10"/>
    <n v="4.7619047619047601"/>
    <n v="1738.0952380952399"/>
    <n v="6257.1428571428596"/>
  </r>
  <r>
    <x v="0"/>
    <x v="0"/>
    <x v="0"/>
    <x v="0"/>
    <x v="1"/>
    <s v="DK2_Medium"/>
    <x v="3"/>
    <x v="22"/>
    <x v="0"/>
    <x v="11"/>
    <n v="4.7619047619047601"/>
    <n v="1738.0952380952399"/>
    <n v="6257.1428571428596"/>
  </r>
  <r>
    <x v="0"/>
    <x v="0"/>
    <x v="0"/>
    <x v="0"/>
    <x v="1"/>
    <s v="DK2_Medium"/>
    <x v="3"/>
    <x v="22"/>
    <x v="0"/>
    <x v="12"/>
    <n v="4.7619047619047601"/>
    <n v="1738.0952380952399"/>
    <n v="6257.1428571428596"/>
  </r>
  <r>
    <x v="0"/>
    <x v="0"/>
    <x v="0"/>
    <x v="0"/>
    <x v="1"/>
    <s v="DK2_Medium"/>
    <x v="3"/>
    <x v="22"/>
    <x v="0"/>
    <x v="13"/>
    <n v="4.7619047619047601"/>
    <n v="1738.0952380952399"/>
    <n v="6257.1428571428596"/>
  </r>
  <r>
    <x v="0"/>
    <x v="0"/>
    <x v="0"/>
    <x v="0"/>
    <x v="1"/>
    <s v="DK2_Medium"/>
    <x v="3"/>
    <x v="22"/>
    <x v="0"/>
    <x v="14"/>
    <n v="4.7619047619047601"/>
    <n v="1738.0952380952399"/>
    <n v="6257.1428571428596"/>
  </r>
  <r>
    <x v="0"/>
    <x v="0"/>
    <x v="0"/>
    <x v="0"/>
    <x v="1"/>
    <s v="DK2_Medium"/>
    <x v="3"/>
    <x v="22"/>
    <x v="0"/>
    <x v="15"/>
    <n v="4.7619047619047601"/>
    <n v="1738.0952380952399"/>
    <n v="6257.1428571428596"/>
  </r>
  <r>
    <x v="0"/>
    <x v="0"/>
    <x v="0"/>
    <x v="0"/>
    <x v="1"/>
    <s v="DK2_Medium"/>
    <x v="3"/>
    <x v="22"/>
    <x v="0"/>
    <x v="16"/>
    <n v="4.7619047619047601"/>
    <n v="1738.0952380952399"/>
    <n v="6257.1428571428596"/>
  </r>
  <r>
    <x v="0"/>
    <x v="0"/>
    <x v="0"/>
    <x v="0"/>
    <x v="1"/>
    <s v="DK2_Medium"/>
    <x v="3"/>
    <x v="22"/>
    <x v="0"/>
    <x v="17"/>
    <n v="4.7619047619047601"/>
    <n v="1738.0952380952399"/>
    <n v="6257.1428571428596"/>
  </r>
  <r>
    <x v="0"/>
    <x v="0"/>
    <x v="0"/>
    <x v="0"/>
    <x v="1"/>
    <s v="DK2_Medium"/>
    <x v="3"/>
    <x v="22"/>
    <x v="0"/>
    <x v="18"/>
    <n v="4.7619047619047601"/>
    <n v="1738.0952380952399"/>
    <n v="6257.1428571428596"/>
  </r>
  <r>
    <x v="0"/>
    <x v="0"/>
    <x v="0"/>
    <x v="0"/>
    <x v="1"/>
    <s v="DK2_Medium"/>
    <x v="3"/>
    <x v="87"/>
    <x v="0"/>
    <x v="8"/>
    <n v="140.47619047619"/>
    <n v="51273.809523809497"/>
    <n v="184585.714285714"/>
  </r>
  <r>
    <x v="0"/>
    <x v="0"/>
    <x v="0"/>
    <x v="0"/>
    <x v="1"/>
    <s v="DK2_Medium"/>
    <x v="3"/>
    <x v="87"/>
    <x v="0"/>
    <x v="9"/>
    <n v="40.722217999550303"/>
    <n v="14863.6095698359"/>
    <n v="53508.994451409097"/>
  </r>
  <r>
    <x v="0"/>
    <x v="0"/>
    <x v="0"/>
    <x v="0"/>
    <x v="1"/>
    <s v="DK2_Medium"/>
    <x v="3"/>
    <x v="87"/>
    <x v="0"/>
    <x v="10"/>
    <n v="46.983684318233699"/>
    <n v="17149.0447761553"/>
    <n v="61736.561194159098"/>
  </r>
  <r>
    <x v="0"/>
    <x v="0"/>
    <x v="0"/>
    <x v="0"/>
    <x v="1"/>
    <s v="DK2_Medium"/>
    <x v="3"/>
    <x v="87"/>
    <x v="0"/>
    <x v="12"/>
    <n v="38.090767390199098"/>
    <n v="13903.1300974227"/>
    <n v="50051.268350721599"/>
  </r>
  <r>
    <x v="0"/>
    <x v="0"/>
    <x v="0"/>
    <x v="0"/>
    <x v="1"/>
    <s v="DK2_Medium"/>
    <x v="3"/>
    <x v="87"/>
    <x v="0"/>
    <x v="13"/>
    <n v="140.47619047619"/>
    <n v="51273.809523809497"/>
    <n v="184585.714285714"/>
  </r>
  <r>
    <x v="0"/>
    <x v="0"/>
    <x v="0"/>
    <x v="0"/>
    <x v="1"/>
    <s v="DK2_Medium"/>
    <x v="3"/>
    <x v="87"/>
    <x v="0"/>
    <x v="14"/>
    <n v="140.47619047619"/>
    <n v="51273.809523809497"/>
    <n v="184585.714285714"/>
  </r>
  <r>
    <x v="0"/>
    <x v="0"/>
    <x v="0"/>
    <x v="0"/>
    <x v="1"/>
    <s v="DK2_Medium"/>
    <x v="3"/>
    <x v="87"/>
    <x v="0"/>
    <x v="15"/>
    <n v="26.907102300456899"/>
    <n v="9821.0923396667695"/>
    <n v="35355.932422800397"/>
  </r>
  <r>
    <x v="0"/>
    <x v="0"/>
    <x v="0"/>
    <x v="0"/>
    <x v="1"/>
    <s v="DK2_Medium"/>
    <x v="3"/>
    <x v="87"/>
    <x v="0"/>
    <x v="16"/>
    <n v="30.8542782144836"/>
    <n v="11261.8115482865"/>
    <n v="40542.521573831502"/>
  </r>
  <r>
    <x v="0"/>
    <x v="0"/>
    <x v="0"/>
    <x v="0"/>
    <x v="1"/>
    <s v="DK2_Medium"/>
    <x v="3"/>
    <x v="87"/>
    <x v="0"/>
    <x v="17"/>
    <n v="42.695805956563497"/>
    <n v="15583.969174145701"/>
    <n v="56102.289026924504"/>
  </r>
  <r>
    <x v="0"/>
    <x v="0"/>
    <x v="0"/>
    <x v="0"/>
    <x v="1"/>
    <s v="DK2_Medium"/>
    <x v="3"/>
    <x v="87"/>
    <x v="0"/>
    <x v="18"/>
    <n v="46.642981870590297"/>
    <n v="17024.688382765398"/>
    <n v="61288.878177955601"/>
  </r>
  <r>
    <x v="0"/>
    <x v="0"/>
    <x v="0"/>
    <x v="0"/>
    <x v="1"/>
    <s v="DK2_Medium"/>
    <x v="3"/>
    <x v="88"/>
    <x v="0"/>
    <x v="0"/>
    <n v="175"/>
    <n v="63875"/>
    <n v="229950"/>
  </r>
  <r>
    <x v="0"/>
    <x v="0"/>
    <x v="0"/>
    <x v="0"/>
    <x v="1"/>
    <s v="DK2_Medium"/>
    <x v="3"/>
    <x v="88"/>
    <x v="0"/>
    <x v="1"/>
    <n v="175"/>
    <n v="63875"/>
    <n v="229950"/>
  </r>
  <r>
    <x v="0"/>
    <x v="0"/>
    <x v="0"/>
    <x v="0"/>
    <x v="1"/>
    <s v="DK2_Medium"/>
    <x v="3"/>
    <x v="88"/>
    <x v="0"/>
    <x v="2"/>
    <n v="175"/>
    <n v="63875"/>
    <n v="229950"/>
  </r>
  <r>
    <x v="0"/>
    <x v="0"/>
    <x v="0"/>
    <x v="0"/>
    <x v="1"/>
    <s v="DK2_Medium"/>
    <x v="3"/>
    <x v="88"/>
    <x v="0"/>
    <x v="3"/>
    <n v="175"/>
    <n v="63875"/>
    <n v="229950"/>
  </r>
  <r>
    <x v="0"/>
    <x v="0"/>
    <x v="0"/>
    <x v="0"/>
    <x v="1"/>
    <s v="DK2_Medium"/>
    <x v="3"/>
    <x v="88"/>
    <x v="0"/>
    <x v="4"/>
    <n v="175"/>
    <n v="63875"/>
    <n v="229950"/>
  </r>
  <r>
    <x v="0"/>
    <x v="0"/>
    <x v="0"/>
    <x v="0"/>
    <x v="1"/>
    <s v="DK2_Medium"/>
    <x v="3"/>
    <x v="88"/>
    <x v="0"/>
    <x v="5"/>
    <n v="175"/>
    <n v="63875"/>
    <n v="229950"/>
  </r>
  <r>
    <x v="0"/>
    <x v="0"/>
    <x v="0"/>
    <x v="0"/>
    <x v="1"/>
    <s v="DK2_Medium"/>
    <x v="3"/>
    <x v="88"/>
    <x v="0"/>
    <x v="6"/>
    <n v="175"/>
    <n v="63875"/>
    <n v="229950"/>
  </r>
  <r>
    <x v="0"/>
    <x v="0"/>
    <x v="0"/>
    <x v="0"/>
    <x v="1"/>
    <s v="DK2_Medium"/>
    <x v="3"/>
    <x v="88"/>
    <x v="0"/>
    <x v="7"/>
    <n v="175"/>
    <n v="63875"/>
    <n v="229950"/>
  </r>
  <r>
    <x v="0"/>
    <x v="0"/>
    <x v="0"/>
    <x v="0"/>
    <x v="1"/>
    <s v="DK2_Medium"/>
    <x v="3"/>
    <x v="88"/>
    <x v="0"/>
    <x v="8"/>
    <n v="175"/>
    <n v="63875"/>
    <n v="229950"/>
  </r>
  <r>
    <x v="0"/>
    <x v="0"/>
    <x v="0"/>
    <x v="0"/>
    <x v="1"/>
    <s v="DK2_Medium"/>
    <x v="3"/>
    <x v="88"/>
    <x v="0"/>
    <x v="9"/>
    <n v="175"/>
    <n v="63875"/>
    <n v="229950"/>
  </r>
  <r>
    <x v="0"/>
    <x v="0"/>
    <x v="0"/>
    <x v="0"/>
    <x v="1"/>
    <s v="DK2_Medium"/>
    <x v="3"/>
    <x v="88"/>
    <x v="0"/>
    <x v="10"/>
    <n v="175"/>
    <n v="63875"/>
    <n v="229950"/>
  </r>
  <r>
    <x v="0"/>
    <x v="0"/>
    <x v="0"/>
    <x v="0"/>
    <x v="1"/>
    <s v="DK2_Medium"/>
    <x v="3"/>
    <x v="88"/>
    <x v="0"/>
    <x v="11"/>
    <n v="175"/>
    <n v="63875"/>
    <n v="229950"/>
  </r>
  <r>
    <x v="0"/>
    <x v="0"/>
    <x v="0"/>
    <x v="0"/>
    <x v="1"/>
    <s v="DK2_Medium"/>
    <x v="3"/>
    <x v="88"/>
    <x v="0"/>
    <x v="12"/>
    <n v="175"/>
    <n v="63875"/>
    <n v="229950"/>
  </r>
  <r>
    <x v="0"/>
    <x v="0"/>
    <x v="0"/>
    <x v="0"/>
    <x v="1"/>
    <s v="DK2_Medium"/>
    <x v="3"/>
    <x v="88"/>
    <x v="0"/>
    <x v="13"/>
    <n v="175"/>
    <n v="63875"/>
    <n v="229950"/>
  </r>
  <r>
    <x v="0"/>
    <x v="0"/>
    <x v="0"/>
    <x v="0"/>
    <x v="1"/>
    <s v="DK2_Medium"/>
    <x v="3"/>
    <x v="88"/>
    <x v="0"/>
    <x v="14"/>
    <n v="175"/>
    <n v="63875"/>
    <n v="229950"/>
  </r>
  <r>
    <x v="0"/>
    <x v="0"/>
    <x v="0"/>
    <x v="0"/>
    <x v="1"/>
    <s v="DK2_Medium"/>
    <x v="3"/>
    <x v="88"/>
    <x v="0"/>
    <x v="15"/>
    <n v="175"/>
    <n v="63875"/>
    <n v="229950"/>
  </r>
  <r>
    <x v="0"/>
    <x v="0"/>
    <x v="0"/>
    <x v="0"/>
    <x v="1"/>
    <s v="DK2_Medium"/>
    <x v="3"/>
    <x v="88"/>
    <x v="0"/>
    <x v="16"/>
    <n v="175"/>
    <n v="63875"/>
    <n v="229950"/>
  </r>
  <r>
    <x v="0"/>
    <x v="0"/>
    <x v="0"/>
    <x v="0"/>
    <x v="1"/>
    <s v="DK2_Medium"/>
    <x v="3"/>
    <x v="88"/>
    <x v="0"/>
    <x v="17"/>
    <n v="175"/>
    <n v="63875"/>
    <n v="229950"/>
  </r>
  <r>
    <x v="0"/>
    <x v="0"/>
    <x v="0"/>
    <x v="0"/>
    <x v="1"/>
    <s v="DK2_Medium"/>
    <x v="3"/>
    <x v="88"/>
    <x v="0"/>
    <x v="18"/>
    <n v="175"/>
    <n v="63875"/>
    <n v="229950"/>
  </r>
  <r>
    <x v="0"/>
    <x v="0"/>
    <x v="0"/>
    <x v="0"/>
    <x v="1"/>
    <s v="DK2_Medium"/>
    <x v="5"/>
    <x v="30"/>
    <x v="0"/>
    <x v="0"/>
    <n v="2"/>
    <n v="730"/>
    <n v="2628"/>
  </r>
  <r>
    <x v="0"/>
    <x v="0"/>
    <x v="0"/>
    <x v="0"/>
    <x v="1"/>
    <s v="DK2_Medium"/>
    <x v="5"/>
    <x v="30"/>
    <x v="0"/>
    <x v="1"/>
    <n v="2"/>
    <n v="730"/>
    <n v="2628"/>
  </r>
  <r>
    <x v="0"/>
    <x v="0"/>
    <x v="0"/>
    <x v="0"/>
    <x v="1"/>
    <s v="DK2_Medium"/>
    <x v="5"/>
    <x v="30"/>
    <x v="0"/>
    <x v="2"/>
    <n v="2"/>
    <n v="730"/>
    <n v="2628"/>
  </r>
  <r>
    <x v="0"/>
    <x v="0"/>
    <x v="0"/>
    <x v="0"/>
    <x v="1"/>
    <s v="DK2_Medium"/>
    <x v="5"/>
    <x v="30"/>
    <x v="0"/>
    <x v="3"/>
    <n v="2"/>
    <n v="730"/>
    <n v="2628"/>
  </r>
  <r>
    <x v="0"/>
    <x v="0"/>
    <x v="0"/>
    <x v="0"/>
    <x v="1"/>
    <s v="DK2_Medium"/>
    <x v="5"/>
    <x v="30"/>
    <x v="0"/>
    <x v="4"/>
    <n v="2"/>
    <n v="730"/>
    <n v="2628"/>
  </r>
  <r>
    <x v="0"/>
    <x v="0"/>
    <x v="0"/>
    <x v="0"/>
    <x v="1"/>
    <s v="DK2_Medium"/>
    <x v="5"/>
    <x v="30"/>
    <x v="0"/>
    <x v="5"/>
    <n v="2"/>
    <n v="730"/>
    <n v="2628"/>
  </r>
  <r>
    <x v="0"/>
    <x v="0"/>
    <x v="0"/>
    <x v="0"/>
    <x v="1"/>
    <s v="DK2_Medium"/>
    <x v="5"/>
    <x v="30"/>
    <x v="0"/>
    <x v="6"/>
    <n v="2"/>
    <n v="730"/>
    <n v="2628"/>
  </r>
  <r>
    <x v="0"/>
    <x v="0"/>
    <x v="0"/>
    <x v="0"/>
    <x v="1"/>
    <s v="DK2_Medium"/>
    <x v="5"/>
    <x v="30"/>
    <x v="0"/>
    <x v="7"/>
    <n v="2"/>
    <n v="730"/>
    <n v="2628"/>
  </r>
  <r>
    <x v="0"/>
    <x v="0"/>
    <x v="0"/>
    <x v="0"/>
    <x v="1"/>
    <s v="DK2_Medium"/>
    <x v="5"/>
    <x v="30"/>
    <x v="0"/>
    <x v="8"/>
    <n v="2"/>
    <n v="730"/>
    <n v="2628"/>
  </r>
  <r>
    <x v="0"/>
    <x v="0"/>
    <x v="0"/>
    <x v="0"/>
    <x v="1"/>
    <s v="DK2_Medium"/>
    <x v="5"/>
    <x v="30"/>
    <x v="0"/>
    <x v="9"/>
    <n v="2"/>
    <n v="730"/>
    <n v="2628"/>
  </r>
  <r>
    <x v="0"/>
    <x v="0"/>
    <x v="0"/>
    <x v="0"/>
    <x v="1"/>
    <s v="DK2_Medium"/>
    <x v="5"/>
    <x v="30"/>
    <x v="0"/>
    <x v="10"/>
    <n v="2"/>
    <n v="730"/>
    <n v="2628"/>
  </r>
  <r>
    <x v="0"/>
    <x v="0"/>
    <x v="0"/>
    <x v="0"/>
    <x v="1"/>
    <s v="DK2_Medium"/>
    <x v="5"/>
    <x v="30"/>
    <x v="0"/>
    <x v="11"/>
    <n v="2"/>
    <n v="730"/>
    <n v="2628"/>
  </r>
  <r>
    <x v="0"/>
    <x v="0"/>
    <x v="0"/>
    <x v="0"/>
    <x v="1"/>
    <s v="DK2_Medium"/>
    <x v="5"/>
    <x v="30"/>
    <x v="0"/>
    <x v="12"/>
    <n v="2"/>
    <n v="730"/>
    <n v="2628"/>
  </r>
  <r>
    <x v="0"/>
    <x v="0"/>
    <x v="0"/>
    <x v="0"/>
    <x v="1"/>
    <s v="DK2_Medium"/>
    <x v="5"/>
    <x v="30"/>
    <x v="0"/>
    <x v="13"/>
    <n v="2"/>
    <n v="730"/>
    <n v="2628"/>
  </r>
  <r>
    <x v="0"/>
    <x v="0"/>
    <x v="0"/>
    <x v="0"/>
    <x v="1"/>
    <s v="DK2_Medium"/>
    <x v="5"/>
    <x v="30"/>
    <x v="0"/>
    <x v="14"/>
    <n v="2"/>
    <n v="730"/>
    <n v="2628"/>
  </r>
  <r>
    <x v="0"/>
    <x v="0"/>
    <x v="0"/>
    <x v="0"/>
    <x v="1"/>
    <s v="DK2_Medium"/>
    <x v="5"/>
    <x v="30"/>
    <x v="0"/>
    <x v="15"/>
    <n v="2"/>
    <n v="730"/>
    <n v="2628"/>
  </r>
  <r>
    <x v="0"/>
    <x v="0"/>
    <x v="0"/>
    <x v="0"/>
    <x v="1"/>
    <s v="DK2_Medium"/>
    <x v="5"/>
    <x v="30"/>
    <x v="0"/>
    <x v="16"/>
    <n v="2"/>
    <n v="730"/>
    <n v="2628"/>
  </r>
  <r>
    <x v="0"/>
    <x v="0"/>
    <x v="0"/>
    <x v="0"/>
    <x v="1"/>
    <s v="DK2_Medium"/>
    <x v="5"/>
    <x v="30"/>
    <x v="0"/>
    <x v="17"/>
    <n v="2"/>
    <n v="730"/>
    <n v="2628"/>
  </r>
  <r>
    <x v="0"/>
    <x v="0"/>
    <x v="0"/>
    <x v="0"/>
    <x v="1"/>
    <s v="DK2_Medium"/>
    <x v="5"/>
    <x v="30"/>
    <x v="0"/>
    <x v="18"/>
    <n v="2"/>
    <n v="730"/>
    <n v="2628"/>
  </r>
  <r>
    <x v="0"/>
    <x v="0"/>
    <x v="0"/>
    <x v="0"/>
    <x v="1"/>
    <s v="DK2_Medium"/>
    <x v="5"/>
    <x v="30"/>
    <x v="0"/>
    <x v="19"/>
    <n v="2"/>
    <n v="730"/>
    <n v="2628"/>
  </r>
  <r>
    <x v="0"/>
    <x v="0"/>
    <x v="0"/>
    <x v="0"/>
    <x v="1"/>
    <s v="DK2_Medium"/>
    <x v="5"/>
    <x v="30"/>
    <x v="0"/>
    <x v="20"/>
    <n v="2"/>
    <n v="730"/>
    <n v="2628"/>
  </r>
  <r>
    <x v="0"/>
    <x v="0"/>
    <x v="0"/>
    <x v="0"/>
    <x v="1"/>
    <s v="DK2_Medium"/>
    <x v="5"/>
    <x v="30"/>
    <x v="0"/>
    <x v="21"/>
    <n v="2"/>
    <n v="730"/>
    <n v="2628"/>
  </r>
  <r>
    <x v="0"/>
    <x v="0"/>
    <x v="0"/>
    <x v="0"/>
    <x v="1"/>
    <s v="DK2_Medium"/>
    <x v="5"/>
    <x v="30"/>
    <x v="0"/>
    <x v="22"/>
    <n v="2"/>
    <n v="730"/>
    <n v="2628"/>
  </r>
  <r>
    <x v="0"/>
    <x v="0"/>
    <x v="0"/>
    <x v="0"/>
    <x v="1"/>
    <s v="DK2_Medium"/>
    <x v="5"/>
    <x v="30"/>
    <x v="0"/>
    <x v="23"/>
    <n v="2"/>
    <n v="730"/>
    <n v="2628"/>
  </r>
  <r>
    <x v="0"/>
    <x v="0"/>
    <x v="0"/>
    <x v="0"/>
    <x v="1"/>
    <s v="DK2_Medium"/>
    <x v="6"/>
    <x v="31"/>
    <x v="0"/>
    <x v="0"/>
    <n v="5.56"/>
    <n v="2029.4"/>
    <n v="7305.84"/>
  </r>
  <r>
    <x v="0"/>
    <x v="0"/>
    <x v="0"/>
    <x v="0"/>
    <x v="1"/>
    <s v="DK2_Medium"/>
    <x v="6"/>
    <x v="31"/>
    <x v="0"/>
    <x v="1"/>
    <n v="5.56"/>
    <n v="2029.4"/>
    <n v="7305.84"/>
  </r>
  <r>
    <x v="0"/>
    <x v="0"/>
    <x v="0"/>
    <x v="0"/>
    <x v="1"/>
    <s v="DK2_Medium"/>
    <x v="6"/>
    <x v="31"/>
    <x v="0"/>
    <x v="2"/>
    <n v="5.56"/>
    <n v="2029.4"/>
    <n v="7305.84"/>
  </r>
  <r>
    <x v="0"/>
    <x v="0"/>
    <x v="0"/>
    <x v="0"/>
    <x v="1"/>
    <s v="DK2_Medium"/>
    <x v="6"/>
    <x v="31"/>
    <x v="0"/>
    <x v="3"/>
    <n v="5.56"/>
    <n v="2029.4"/>
    <n v="7305.84"/>
  </r>
  <r>
    <x v="0"/>
    <x v="0"/>
    <x v="0"/>
    <x v="0"/>
    <x v="1"/>
    <s v="DK2_Medium"/>
    <x v="6"/>
    <x v="31"/>
    <x v="0"/>
    <x v="4"/>
    <n v="5.56"/>
    <n v="2029.4"/>
    <n v="7305.84"/>
  </r>
  <r>
    <x v="0"/>
    <x v="0"/>
    <x v="0"/>
    <x v="0"/>
    <x v="1"/>
    <s v="DK2_Medium"/>
    <x v="6"/>
    <x v="31"/>
    <x v="0"/>
    <x v="5"/>
    <n v="5.56"/>
    <n v="2029.4"/>
    <n v="7305.84"/>
  </r>
  <r>
    <x v="0"/>
    <x v="0"/>
    <x v="0"/>
    <x v="0"/>
    <x v="1"/>
    <s v="DK2_Medium"/>
    <x v="6"/>
    <x v="31"/>
    <x v="0"/>
    <x v="6"/>
    <n v="5.56"/>
    <n v="2029.4"/>
    <n v="7305.84"/>
  </r>
  <r>
    <x v="0"/>
    <x v="0"/>
    <x v="0"/>
    <x v="0"/>
    <x v="1"/>
    <s v="DK2_Medium"/>
    <x v="6"/>
    <x v="31"/>
    <x v="0"/>
    <x v="7"/>
    <n v="5.56"/>
    <n v="2029.4"/>
    <n v="7305.84"/>
  </r>
  <r>
    <x v="0"/>
    <x v="0"/>
    <x v="0"/>
    <x v="0"/>
    <x v="1"/>
    <s v="DK2_Medium"/>
    <x v="6"/>
    <x v="31"/>
    <x v="0"/>
    <x v="8"/>
    <n v="5.56"/>
    <n v="2029.4"/>
    <n v="7305.84"/>
  </r>
  <r>
    <x v="0"/>
    <x v="0"/>
    <x v="0"/>
    <x v="0"/>
    <x v="1"/>
    <s v="DK2_Medium"/>
    <x v="6"/>
    <x v="31"/>
    <x v="0"/>
    <x v="9"/>
    <n v="5.56"/>
    <n v="2029.4"/>
    <n v="7305.84"/>
  </r>
  <r>
    <x v="0"/>
    <x v="0"/>
    <x v="0"/>
    <x v="0"/>
    <x v="1"/>
    <s v="DK2_Medium"/>
    <x v="6"/>
    <x v="31"/>
    <x v="0"/>
    <x v="10"/>
    <n v="5.56"/>
    <n v="2029.4"/>
    <n v="7305.84"/>
  </r>
  <r>
    <x v="0"/>
    <x v="0"/>
    <x v="0"/>
    <x v="0"/>
    <x v="1"/>
    <s v="DK2_Medium"/>
    <x v="6"/>
    <x v="31"/>
    <x v="0"/>
    <x v="11"/>
    <n v="5.56"/>
    <n v="2029.4"/>
    <n v="7305.84"/>
  </r>
  <r>
    <x v="0"/>
    <x v="0"/>
    <x v="0"/>
    <x v="0"/>
    <x v="1"/>
    <s v="DK2_Medium"/>
    <x v="6"/>
    <x v="31"/>
    <x v="0"/>
    <x v="12"/>
    <n v="5.56"/>
    <n v="2029.4"/>
    <n v="7305.84"/>
  </r>
  <r>
    <x v="0"/>
    <x v="0"/>
    <x v="0"/>
    <x v="0"/>
    <x v="1"/>
    <s v="DK2_Medium"/>
    <x v="6"/>
    <x v="31"/>
    <x v="0"/>
    <x v="13"/>
    <n v="5.56"/>
    <n v="2029.4"/>
    <n v="7305.84"/>
  </r>
  <r>
    <x v="0"/>
    <x v="0"/>
    <x v="0"/>
    <x v="0"/>
    <x v="1"/>
    <s v="DK2_Medium"/>
    <x v="6"/>
    <x v="31"/>
    <x v="0"/>
    <x v="14"/>
    <n v="5.56"/>
    <n v="2029.4"/>
    <n v="7305.84"/>
  </r>
  <r>
    <x v="0"/>
    <x v="0"/>
    <x v="0"/>
    <x v="0"/>
    <x v="1"/>
    <s v="DK2_Medium"/>
    <x v="6"/>
    <x v="31"/>
    <x v="0"/>
    <x v="15"/>
    <n v="5.56"/>
    <n v="2029.4"/>
    <n v="7305.84"/>
  </r>
  <r>
    <x v="0"/>
    <x v="0"/>
    <x v="0"/>
    <x v="0"/>
    <x v="1"/>
    <s v="DK2_Medium"/>
    <x v="6"/>
    <x v="31"/>
    <x v="0"/>
    <x v="16"/>
    <n v="5.56"/>
    <n v="2029.4"/>
    <n v="7305.84"/>
  </r>
  <r>
    <x v="0"/>
    <x v="0"/>
    <x v="0"/>
    <x v="0"/>
    <x v="1"/>
    <s v="DK2_Medium"/>
    <x v="6"/>
    <x v="31"/>
    <x v="0"/>
    <x v="17"/>
    <n v="5.56"/>
    <n v="2029.4"/>
    <n v="7305.84"/>
  </r>
  <r>
    <x v="0"/>
    <x v="0"/>
    <x v="0"/>
    <x v="0"/>
    <x v="1"/>
    <s v="DK2_Medium"/>
    <x v="6"/>
    <x v="31"/>
    <x v="0"/>
    <x v="18"/>
    <n v="5.56"/>
    <n v="2029.4"/>
    <n v="7305.84"/>
  </r>
  <r>
    <x v="0"/>
    <x v="0"/>
    <x v="0"/>
    <x v="0"/>
    <x v="1"/>
    <s v="DK2_Medium"/>
    <x v="6"/>
    <x v="31"/>
    <x v="0"/>
    <x v="19"/>
    <n v="5.56"/>
    <n v="2029.4"/>
    <n v="7305.84"/>
  </r>
  <r>
    <x v="0"/>
    <x v="0"/>
    <x v="0"/>
    <x v="0"/>
    <x v="1"/>
    <s v="DK2_Medium"/>
    <x v="6"/>
    <x v="31"/>
    <x v="0"/>
    <x v="20"/>
    <n v="5.56"/>
    <n v="2029.4"/>
    <n v="7305.84"/>
  </r>
  <r>
    <x v="0"/>
    <x v="0"/>
    <x v="0"/>
    <x v="0"/>
    <x v="1"/>
    <s v="DK2_Medium"/>
    <x v="6"/>
    <x v="31"/>
    <x v="0"/>
    <x v="21"/>
    <n v="5.56"/>
    <n v="2029.4"/>
    <n v="7305.84"/>
  </r>
  <r>
    <x v="0"/>
    <x v="0"/>
    <x v="0"/>
    <x v="0"/>
    <x v="1"/>
    <s v="DK2_Medium"/>
    <x v="6"/>
    <x v="31"/>
    <x v="0"/>
    <x v="22"/>
    <n v="5.56"/>
    <n v="2029.4"/>
    <n v="7305.84"/>
  </r>
  <r>
    <x v="0"/>
    <x v="0"/>
    <x v="0"/>
    <x v="0"/>
    <x v="1"/>
    <s v="DK2_Medium"/>
    <x v="6"/>
    <x v="31"/>
    <x v="0"/>
    <x v="23"/>
    <n v="5.56"/>
    <n v="2029.4"/>
    <n v="7305.84"/>
  </r>
  <r>
    <x v="0"/>
    <x v="0"/>
    <x v="0"/>
    <x v="0"/>
    <x v="1"/>
    <s v="DK2_Medium"/>
    <x v="6"/>
    <x v="46"/>
    <x v="0"/>
    <x v="0"/>
    <n v="13.3090909090909"/>
    <n v="4857.8181818181802"/>
    <n v="17488.145454545502"/>
  </r>
  <r>
    <x v="0"/>
    <x v="0"/>
    <x v="0"/>
    <x v="0"/>
    <x v="1"/>
    <s v="DK2_Medium"/>
    <x v="6"/>
    <x v="46"/>
    <x v="0"/>
    <x v="1"/>
    <n v="13.3090909090909"/>
    <n v="4857.8181818181802"/>
    <n v="17488.145454545502"/>
  </r>
  <r>
    <x v="0"/>
    <x v="0"/>
    <x v="0"/>
    <x v="0"/>
    <x v="1"/>
    <s v="DK2_Medium"/>
    <x v="6"/>
    <x v="46"/>
    <x v="0"/>
    <x v="2"/>
    <n v="13.3090909090909"/>
    <n v="4857.8181818181802"/>
    <n v="17488.145454545502"/>
  </r>
  <r>
    <x v="0"/>
    <x v="0"/>
    <x v="0"/>
    <x v="0"/>
    <x v="1"/>
    <s v="DK2_Medium"/>
    <x v="6"/>
    <x v="46"/>
    <x v="0"/>
    <x v="3"/>
    <n v="13.3090909090909"/>
    <n v="4857.8181818181802"/>
    <n v="17488.145454545502"/>
  </r>
  <r>
    <x v="0"/>
    <x v="0"/>
    <x v="0"/>
    <x v="0"/>
    <x v="1"/>
    <s v="DK2_Medium"/>
    <x v="6"/>
    <x v="46"/>
    <x v="0"/>
    <x v="4"/>
    <n v="13.3090909090909"/>
    <n v="4857.8181818181802"/>
    <n v="17488.145454545502"/>
  </r>
  <r>
    <x v="0"/>
    <x v="0"/>
    <x v="0"/>
    <x v="0"/>
    <x v="1"/>
    <s v="DK2_Medium"/>
    <x v="6"/>
    <x v="46"/>
    <x v="0"/>
    <x v="5"/>
    <n v="13.3090909090909"/>
    <n v="4857.8181818181802"/>
    <n v="17488.145454545502"/>
  </r>
  <r>
    <x v="0"/>
    <x v="0"/>
    <x v="0"/>
    <x v="0"/>
    <x v="1"/>
    <s v="DK2_Medium"/>
    <x v="6"/>
    <x v="46"/>
    <x v="0"/>
    <x v="6"/>
    <n v="13.3090909090909"/>
    <n v="4857.8181818181802"/>
    <n v="17488.145454545502"/>
  </r>
  <r>
    <x v="0"/>
    <x v="0"/>
    <x v="0"/>
    <x v="0"/>
    <x v="1"/>
    <s v="DK2_Medium"/>
    <x v="6"/>
    <x v="46"/>
    <x v="0"/>
    <x v="7"/>
    <n v="13.3090909090909"/>
    <n v="4857.8181818181802"/>
    <n v="17488.145454545502"/>
  </r>
  <r>
    <x v="0"/>
    <x v="0"/>
    <x v="0"/>
    <x v="0"/>
    <x v="1"/>
    <s v="DK2_Medium"/>
    <x v="6"/>
    <x v="46"/>
    <x v="0"/>
    <x v="8"/>
    <n v="13.3090909090909"/>
    <n v="4857.8181818181802"/>
    <n v="17488.145454545502"/>
  </r>
  <r>
    <x v="0"/>
    <x v="0"/>
    <x v="0"/>
    <x v="0"/>
    <x v="1"/>
    <s v="DK2_Medium"/>
    <x v="6"/>
    <x v="46"/>
    <x v="0"/>
    <x v="9"/>
    <n v="13.3090909090909"/>
    <n v="4857.8181818181802"/>
    <n v="17488.145454545502"/>
  </r>
  <r>
    <x v="0"/>
    <x v="0"/>
    <x v="0"/>
    <x v="0"/>
    <x v="1"/>
    <s v="DK2_Medium"/>
    <x v="6"/>
    <x v="46"/>
    <x v="0"/>
    <x v="10"/>
    <n v="13.3090909090909"/>
    <n v="4857.8181818181802"/>
    <n v="17488.145454545502"/>
  </r>
  <r>
    <x v="0"/>
    <x v="0"/>
    <x v="0"/>
    <x v="0"/>
    <x v="1"/>
    <s v="DK2_Medium"/>
    <x v="6"/>
    <x v="46"/>
    <x v="0"/>
    <x v="11"/>
    <n v="13.3090909090909"/>
    <n v="4857.8181818181802"/>
    <n v="17488.145454545502"/>
  </r>
  <r>
    <x v="0"/>
    <x v="0"/>
    <x v="0"/>
    <x v="0"/>
    <x v="1"/>
    <s v="DK2_Medium"/>
    <x v="6"/>
    <x v="46"/>
    <x v="0"/>
    <x v="12"/>
    <n v="13.3090909090909"/>
    <n v="4857.8181818181802"/>
    <n v="17488.145454545502"/>
  </r>
  <r>
    <x v="0"/>
    <x v="0"/>
    <x v="0"/>
    <x v="0"/>
    <x v="1"/>
    <s v="DK2_Medium"/>
    <x v="6"/>
    <x v="46"/>
    <x v="0"/>
    <x v="13"/>
    <n v="13.3090909090909"/>
    <n v="4857.8181818181802"/>
    <n v="17488.145454545502"/>
  </r>
  <r>
    <x v="0"/>
    <x v="0"/>
    <x v="0"/>
    <x v="0"/>
    <x v="1"/>
    <s v="DK2_Medium"/>
    <x v="6"/>
    <x v="46"/>
    <x v="0"/>
    <x v="14"/>
    <n v="13.3090909090909"/>
    <n v="4857.8181818181802"/>
    <n v="17488.145454545502"/>
  </r>
  <r>
    <x v="0"/>
    <x v="0"/>
    <x v="0"/>
    <x v="0"/>
    <x v="1"/>
    <s v="DK2_Medium"/>
    <x v="6"/>
    <x v="46"/>
    <x v="0"/>
    <x v="15"/>
    <n v="13.3090909090909"/>
    <n v="4857.8181818181802"/>
    <n v="17488.145454545502"/>
  </r>
  <r>
    <x v="0"/>
    <x v="0"/>
    <x v="0"/>
    <x v="0"/>
    <x v="1"/>
    <s v="DK2_Medium"/>
    <x v="6"/>
    <x v="46"/>
    <x v="0"/>
    <x v="16"/>
    <n v="13.3090909090909"/>
    <n v="4857.8181818181802"/>
    <n v="17488.145454545502"/>
  </r>
  <r>
    <x v="0"/>
    <x v="0"/>
    <x v="0"/>
    <x v="0"/>
    <x v="1"/>
    <s v="DK2_Medium"/>
    <x v="6"/>
    <x v="46"/>
    <x v="0"/>
    <x v="17"/>
    <n v="13.3090909090909"/>
    <n v="4857.8181818181802"/>
    <n v="17488.145454545502"/>
  </r>
  <r>
    <x v="0"/>
    <x v="0"/>
    <x v="0"/>
    <x v="0"/>
    <x v="1"/>
    <s v="DK2_Medium"/>
    <x v="6"/>
    <x v="46"/>
    <x v="0"/>
    <x v="18"/>
    <n v="13.3090909090909"/>
    <n v="4857.8181818181802"/>
    <n v="17488.145454545502"/>
  </r>
  <r>
    <x v="0"/>
    <x v="0"/>
    <x v="0"/>
    <x v="0"/>
    <x v="1"/>
    <s v="DK2_Medium"/>
    <x v="6"/>
    <x v="46"/>
    <x v="0"/>
    <x v="19"/>
    <n v="13.3090909090909"/>
    <n v="4857.8181818181802"/>
    <n v="17488.145454545502"/>
  </r>
  <r>
    <x v="0"/>
    <x v="0"/>
    <x v="0"/>
    <x v="0"/>
    <x v="1"/>
    <s v="DK2_Medium"/>
    <x v="6"/>
    <x v="46"/>
    <x v="0"/>
    <x v="20"/>
    <n v="13.3090909090909"/>
    <n v="4857.8181818181802"/>
    <n v="17488.145454545502"/>
  </r>
  <r>
    <x v="0"/>
    <x v="0"/>
    <x v="0"/>
    <x v="0"/>
    <x v="1"/>
    <s v="DK2_Medium"/>
    <x v="6"/>
    <x v="46"/>
    <x v="0"/>
    <x v="21"/>
    <n v="13.3090909090909"/>
    <n v="4857.8181818181802"/>
    <n v="17488.145454545502"/>
  </r>
  <r>
    <x v="0"/>
    <x v="0"/>
    <x v="0"/>
    <x v="0"/>
    <x v="1"/>
    <s v="DK2_Medium"/>
    <x v="6"/>
    <x v="46"/>
    <x v="0"/>
    <x v="22"/>
    <n v="13.3090909090909"/>
    <n v="4857.8181818181802"/>
    <n v="17488.145454545502"/>
  </r>
  <r>
    <x v="0"/>
    <x v="0"/>
    <x v="0"/>
    <x v="0"/>
    <x v="1"/>
    <s v="DK2_Medium"/>
    <x v="6"/>
    <x v="46"/>
    <x v="0"/>
    <x v="23"/>
    <n v="13.3090909090909"/>
    <n v="4857.8181818181802"/>
    <n v="17488.145454545502"/>
  </r>
  <r>
    <x v="0"/>
    <x v="0"/>
    <x v="0"/>
    <x v="0"/>
    <x v="1"/>
    <s v="DK2_Medium"/>
    <x v="6"/>
    <x v="51"/>
    <x v="0"/>
    <x v="0"/>
    <n v="1.2222222222222301"/>
    <n v="446.11111111111302"/>
    <n v="1606.00000000001"/>
  </r>
  <r>
    <x v="0"/>
    <x v="0"/>
    <x v="0"/>
    <x v="0"/>
    <x v="1"/>
    <s v="DK2_Medium"/>
    <x v="6"/>
    <x v="51"/>
    <x v="0"/>
    <x v="1"/>
    <n v="1.2222222222222301"/>
    <n v="446.11111111111302"/>
    <n v="1606.00000000001"/>
  </r>
  <r>
    <x v="0"/>
    <x v="0"/>
    <x v="0"/>
    <x v="0"/>
    <x v="1"/>
    <s v="DK2_Medium"/>
    <x v="6"/>
    <x v="51"/>
    <x v="0"/>
    <x v="2"/>
    <n v="1.2222222222222301"/>
    <n v="446.11111111111302"/>
    <n v="1606.00000000001"/>
  </r>
  <r>
    <x v="0"/>
    <x v="0"/>
    <x v="0"/>
    <x v="0"/>
    <x v="1"/>
    <s v="DK2_Medium"/>
    <x v="6"/>
    <x v="51"/>
    <x v="0"/>
    <x v="3"/>
    <n v="1.2222222222222301"/>
    <n v="446.11111111111302"/>
    <n v="1606.00000000001"/>
  </r>
  <r>
    <x v="0"/>
    <x v="0"/>
    <x v="0"/>
    <x v="0"/>
    <x v="1"/>
    <s v="DK2_Medium"/>
    <x v="6"/>
    <x v="51"/>
    <x v="0"/>
    <x v="4"/>
    <n v="1.2222222222222301"/>
    <n v="446.11111111111302"/>
    <n v="1606.00000000001"/>
  </r>
  <r>
    <x v="0"/>
    <x v="0"/>
    <x v="0"/>
    <x v="0"/>
    <x v="1"/>
    <s v="DK2_Medium"/>
    <x v="6"/>
    <x v="51"/>
    <x v="0"/>
    <x v="5"/>
    <n v="1.2222222222222301"/>
    <n v="446.11111111111302"/>
    <n v="1606.00000000001"/>
  </r>
  <r>
    <x v="0"/>
    <x v="0"/>
    <x v="0"/>
    <x v="0"/>
    <x v="1"/>
    <s v="DK2_Medium"/>
    <x v="6"/>
    <x v="51"/>
    <x v="0"/>
    <x v="6"/>
    <n v="1.2222222222222301"/>
    <n v="446.11111111111302"/>
    <n v="1606.00000000001"/>
  </r>
  <r>
    <x v="0"/>
    <x v="0"/>
    <x v="0"/>
    <x v="0"/>
    <x v="1"/>
    <s v="DK2_Medium"/>
    <x v="6"/>
    <x v="51"/>
    <x v="0"/>
    <x v="7"/>
    <n v="1.2222222222222301"/>
    <n v="446.11111111111302"/>
    <n v="1606.00000000001"/>
  </r>
  <r>
    <x v="0"/>
    <x v="0"/>
    <x v="0"/>
    <x v="0"/>
    <x v="1"/>
    <s v="DK2_Medium"/>
    <x v="6"/>
    <x v="51"/>
    <x v="0"/>
    <x v="8"/>
    <n v="1.2222222222222301"/>
    <n v="446.11111111111302"/>
    <n v="1606.00000000001"/>
  </r>
  <r>
    <x v="0"/>
    <x v="0"/>
    <x v="0"/>
    <x v="0"/>
    <x v="1"/>
    <s v="DK2_Medium"/>
    <x v="6"/>
    <x v="51"/>
    <x v="0"/>
    <x v="9"/>
    <n v="1.2222222222222301"/>
    <n v="446.11111111111302"/>
    <n v="1606.00000000001"/>
  </r>
  <r>
    <x v="0"/>
    <x v="0"/>
    <x v="0"/>
    <x v="0"/>
    <x v="1"/>
    <s v="DK2_Medium"/>
    <x v="6"/>
    <x v="51"/>
    <x v="0"/>
    <x v="10"/>
    <n v="1.2222222222222301"/>
    <n v="446.11111111111302"/>
    <n v="1606.00000000001"/>
  </r>
  <r>
    <x v="0"/>
    <x v="0"/>
    <x v="0"/>
    <x v="0"/>
    <x v="1"/>
    <s v="DK2_Medium"/>
    <x v="6"/>
    <x v="51"/>
    <x v="0"/>
    <x v="11"/>
    <n v="1.2222222222222301"/>
    <n v="446.11111111111302"/>
    <n v="1606.00000000001"/>
  </r>
  <r>
    <x v="0"/>
    <x v="0"/>
    <x v="0"/>
    <x v="0"/>
    <x v="1"/>
    <s v="DK2_Medium"/>
    <x v="6"/>
    <x v="51"/>
    <x v="0"/>
    <x v="12"/>
    <n v="1.2222222222222301"/>
    <n v="446.11111111111302"/>
    <n v="1606.00000000001"/>
  </r>
  <r>
    <x v="0"/>
    <x v="0"/>
    <x v="0"/>
    <x v="0"/>
    <x v="1"/>
    <s v="DK2_Medium"/>
    <x v="6"/>
    <x v="51"/>
    <x v="0"/>
    <x v="13"/>
    <n v="1.2222222222222301"/>
    <n v="446.11111111111302"/>
    <n v="1606.00000000001"/>
  </r>
  <r>
    <x v="0"/>
    <x v="0"/>
    <x v="0"/>
    <x v="0"/>
    <x v="1"/>
    <s v="DK2_Medium"/>
    <x v="6"/>
    <x v="51"/>
    <x v="0"/>
    <x v="14"/>
    <n v="1.2222222222222301"/>
    <n v="446.11111111111302"/>
    <n v="1606.00000000001"/>
  </r>
  <r>
    <x v="0"/>
    <x v="0"/>
    <x v="0"/>
    <x v="0"/>
    <x v="1"/>
    <s v="DK2_Medium"/>
    <x v="6"/>
    <x v="51"/>
    <x v="0"/>
    <x v="15"/>
    <n v="1.2222222222222301"/>
    <n v="446.11111111111302"/>
    <n v="1606.00000000001"/>
  </r>
  <r>
    <x v="0"/>
    <x v="0"/>
    <x v="0"/>
    <x v="0"/>
    <x v="1"/>
    <s v="DK2_Medium"/>
    <x v="6"/>
    <x v="51"/>
    <x v="0"/>
    <x v="16"/>
    <n v="1.2222222222222301"/>
    <n v="446.11111111111302"/>
    <n v="1606.00000000001"/>
  </r>
  <r>
    <x v="0"/>
    <x v="0"/>
    <x v="0"/>
    <x v="0"/>
    <x v="1"/>
    <s v="DK2_Medium"/>
    <x v="6"/>
    <x v="51"/>
    <x v="0"/>
    <x v="17"/>
    <n v="1.2222222222222301"/>
    <n v="446.11111111111302"/>
    <n v="1606.00000000001"/>
  </r>
  <r>
    <x v="0"/>
    <x v="0"/>
    <x v="0"/>
    <x v="0"/>
    <x v="1"/>
    <s v="DK2_Medium"/>
    <x v="6"/>
    <x v="51"/>
    <x v="0"/>
    <x v="18"/>
    <n v="1.2222222222222301"/>
    <n v="446.11111111111302"/>
    <n v="1606.00000000001"/>
  </r>
  <r>
    <x v="0"/>
    <x v="0"/>
    <x v="0"/>
    <x v="0"/>
    <x v="1"/>
    <s v="DK2_Medium"/>
    <x v="6"/>
    <x v="51"/>
    <x v="0"/>
    <x v="19"/>
    <n v="1.2222222222222301"/>
    <n v="446.11111111111302"/>
    <n v="1606.00000000001"/>
  </r>
  <r>
    <x v="0"/>
    <x v="0"/>
    <x v="0"/>
    <x v="0"/>
    <x v="1"/>
    <s v="DK2_Medium"/>
    <x v="6"/>
    <x v="51"/>
    <x v="0"/>
    <x v="20"/>
    <n v="1.2222222222222301"/>
    <n v="446.11111111111302"/>
    <n v="1606.00000000001"/>
  </r>
  <r>
    <x v="0"/>
    <x v="0"/>
    <x v="0"/>
    <x v="0"/>
    <x v="1"/>
    <s v="DK2_Medium"/>
    <x v="6"/>
    <x v="51"/>
    <x v="0"/>
    <x v="21"/>
    <n v="1.2222222222222301"/>
    <n v="446.11111111111302"/>
    <n v="1606.00000000001"/>
  </r>
  <r>
    <x v="0"/>
    <x v="0"/>
    <x v="0"/>
    <x v="0"/>
    <x v="1"/>
    <s v="DK2_Medium"/>
    <x v="6"/>
    <x v="51"/>
    <x v="0"/>
    <x v="22"/>
    <n v="1.2222222222222301"/>
    <n v="446.11111111111302"/>
    <n v="1606.00000000001"/>
  </r>
  <r>
    <x v="0"/>
    <x v="0"/>
    <x v="0"/>
    <x v="0"/>
    <x v="1"/>
    <s v="DK2_Medium"/>
    <x v="6"/>
    <x v="51"/>
    <x v="0"/>
    <x v="23"/>
    <n v="1.2222222222222301"/>
    <n v="446.11111111111302"/>
    <n v="1606.00000000001"/>
  </r>
  <r>
    <x v="0"/>
    <x v="0"/>
    <x v="0"/>
    <x v="0"/>
    <x v="1"/>
    <s v="DK2_Medium"/>
    <x v="7"/>
    <x v="33"/>
    <x v="0"/>
    <x v="0"/>
    <n v="1"/>
    <n v="365"/>
    <n v="1314"/>
  </r>
  <r>
    <x v="0"/>
    <x v="0"/>
    <x v="0"/>
    <x v="0"/>
    <x v="1"/>
    <s v="DK2_Medium"/>
    <x v="7"/>
    <x v="33"/>
    <x v="0"/>
    <x v="1"/>
    <n v="1"/>
    <n v="365"/>
    <n v="1314"/>
  </r>
  <r>
    <x v="0"/>
    <x v="0"/>
    <x v="0"/>
    <x v="0"/>
    <x v="1"/>
    <s v="DK2_Medium"/>
    <x v="7"/>
    <x v="33"/>
    <x v="0"/>
    <x v="2"/>
    <n v="1"/>
    <n v="365"/>
    <n v="1314"/>
  </r>
  <r>
    <x v="0"/>
    <x v="0"/>
    <x v="0"/>
    <x v="0"/>
    <x v="1"/>
    <s v="DK2_Medium"/>
    <x v="7"/>
    <x v="33"/>
    <x v="0"/>
    <x v="3"/>
    <n v="1"/>
    <n v="365"/>
    <n v="1314"/>
  </r>
  <r>
    <x v="0"/>
    <x v="0"/>
    <x v="0"/>
    <x v="0"/>
    <x v="1"/>
    <s v="DK2_Medium"/>
    <x v="7"/>
    <x v="33"/>
    <x v="0"/>
    <x v="4"/>
    <n v="1"/>
    <n v="365"/>
    <n v="1314"/>
  </r>
  <r>
    <x v="0"/>
    <x v="0"/>
    <x v="0"/>
    <x v="0"/>
    <x v="1"/>
    <s v="DK2_Medium"/>
    <x v="7"/>
    <x v="33"/>
    <x v="0"/>
    <x v="5"/>
    <n v="1"/>
    <n v="365"/>
    <n v="1314"/>
  </r>
  <r>
    <x v="0"/>
    <x v="0"/>
    <x v="0"/>
    <x v="0"/>
    <x v="1"/>
    <s v="DK2_Medium"/>
    <x v="7"/>
    <x v="33"/>
    <x v="0"/>
    <x v="6"/>
    <n v="1"/>
    <n v="365"/>
    <n v="1314"/>
  </r>
  <r>
    <x v="0"/>
    <x v="0"/>
    <x v="0"/>
    <x v="0"/>
    <x v="1"/>
    <s v="DK2_Medium"/>
    <x v="7"/>
    <x v="33"/>
    <x v="0"/>
    <x v="7"/>
    <n v="1"/>
    <n v="365"/>
    <n v="1314"/>
  </r>
  <r>
    <x v="0"/>
    <x v="0"/>
    <x v="0"/>
    <x v="0"/>
    <x v="1"/>
    <s v="DK2_Medium"/>
    <x v="7"/>
    <x v="33"/>
    <x v="0"/>
    <x v="8"/>
    <n v="1"/>
    <n v="365"/>
    <n v="1314"/>
  </r>
  <r>
    <x v="0"/>
    <x v="0"/>
    <x v="0"/>
    <x v="0"/>
    <x v="1"/>
    <s v="DK2_Medium"/>
    <x v="7"/>
    <x v="33"/>
    <x v="0"/>
    <x v="9"/>
    <n v="1"/>
    <n v="365"/>
    <n v="1314"/>
  </r>
  <r>
    <x v="0"/>
    <x v="0"/>
    <x v="0"/>
    <x v="0"/>
    <x v="1"/>
    <s v="DK2_Medium"/>
    <x v="7"/>
    <x v="33"/>
    <x v="0"/>
    <x v="10"/>
    <n v="1"/>
    <n v="365"/>
    <n v="1314"/>
  </r>
  <r>
    <x v="0"/>
    <x v="0"/>
    <x v="0"/>
    <x v="0"/>
    <x v="1"/>
    <s v="DK2_Medium"/>
    <x v="7"/>
    <x v="33"/>
    <x v="0"/>
    <x v="11"/>
    <n v="1"/>
    <n v="365"/>
    <n v="1314"/>
  </r>
  <r>
    <x v="0"/>
    <x v="0"/>
    <x v="0"/>
    <x v="0"/>
    <x v="1"/>
    <s v="DK2_Medium"/>
    <x v="7"/>
    <x v="33"/>
    <x v="0"/>
    <x v="12"/>
    <n v="1"/>
    <n v="365"/>
    <n v="1314"/>
  </r>
  <r>
    <x v="0"/>
    <x v="0"/>
    <x v="0"/>
    <x v="0"/>
    <x v="1"/>
    <s v="DK2_Medium"/>
    <x v="7"/>
    <x v="33"/>
    <x v="0"/>
    <x v="13"/>
    <n v="1"/>
    <n v="365"/>
    <n v="1314"/>
  </r>
  <r>
    <x v="0"/>
    <x v="0"/>
    <x v="0"/>
    <x v="0"/>
    <x v="1"/>
    <s v="DK2_Medium"/>
    <x v="7"/>
    <x v="33"/>
    <x v="0"/>
    <x v="14"/>
    <n v="1"/>
    <n v="365"/>
    <n v="1314"/>
  </r>
  <r>
    <x v="0"/>
    <x v="0"/>
    <x v="0"/>
    <x v="0"/>
    <x v="1"/>
    <s v="DK2_Medium"/>
    <x v="7"/>
    <x v="33"/>
    <x v="0"/>
    <x v="15"/>
    <n v="1"/>
    <n v="365"/>
    <n v="1314"/>
  </r>
  <r>
    <x v="0"/>
    <x v="0"/>
    <x v="0"/>
    <x v="0"/>
    <x v="1"/>
    <s v="DK2_Medium"/>
    <x v="7"/>
    <x v="33"/>
    <x v="0"/>
    <x v="16"/>
    <n v="1"/>
    <n v="365"/>
    <n v="1314"/>
  </r>
  <r>
    <x v="0"/>
    <x v="0"/>
    <x v="0"/>
    <x v="0"/>
    <x v="1"/>
    <s v="DK2_Medium"/>
    <x v="7"/>
    <x v="33"/>
    <x v="0"/>
    <x v="17"/>
    <n v="1"/>
    <n v="365"/>
    <n v="1314"/>
  </r>
  <r>
    <x v="0"/>
    <x v="0"/>
    <x v="0"/>
    <x v="0"/>
    <x v="1"/>
    <s v="DK2_Medium"/>
    <x v="7"/>
    <x v="33"/>
    <x v="0"/>
    <x v="18"/>
    <n v="1"/>
    <n v="365"/>
    <n v="1314"/>
  </r>
  <r>
    <x v="0"/>
    <x v="0"/>
    <x v="0"/>
    <x v="0"/>
    <x v="1"/>
    <s v="DK2_Medium"/>
    <x v="7"/>
    <x v="33"/>
    <x v="0"/>
    <x v="19"/>
    <n v="1"/>
    <n v="365"/>
    <n v="1314"/>
  </r>
  <r>
    <x v="0"/>
    <x v="0"/>
    <x v="0"/>
    <x v="0"/>
    <x v="1"/>
    <s v="DK2_Medium"/>
    <x v="7"/>
    <x v="33"/>
    <x v="0"/>
    <x v="20"/>
    <n v="1"/>
    <n v="365"/>
    <n v="1314"/>
  </r>
  <r>
    <x v="0"/>
    <x v="0"/>
    <x v="0"/>
    <x v="0"/>
    <x v="1"/>
    <s v="DK2_Medium"/>
    <x v="7"/>
    <x v="33"/>
    <x v="0"/>
    <x v="21"/>
    <n v="1"/>
    <n v="365"/>
    <n v="1314"/>
  </r>
  <r>
    <x v="0"/>
    <x v="0"/>
    <x v="0"/>
    <x v="0"/>
    <x v="1"/>
    <s v="DK2_Medium"/>
    <x v="7"/>
    <x v="33"/>
    <x v="0"/>
    <x v="22"/>
    <n v="1"/>
    <n v="365"/>
    <n v="1314"/>
  </r>
  <r>
    <x v="0"/>
    <x v="0"/>
    <x v="0"/>
    <x v="0"/>
    <x v="1"/>
    <s v="DK2_Medium"/>
    <x v="7"/>
    <x v="33"/>
    <x v="0"/>
    <x v="23"/>
    <n v="1"/>
    <n v="365"/>
    <n v="1314"/>
  </r>
  <r>
    <x v="0"/>
    <x v="0"/>
    <x v="0"/>
    <x v="0"/>
    <x v="1"/>
    <s v="DK2_Medium"/>
    <x v="7"/>
    <x v="34"/>
    <x v="0"/>
    <x v="0"/>
    <n v="9.3137254901960809"/>
    <n v="3399.50980392157"/>
    <n v="12238.2352941176"/>
  </r>
  <r>
    <x v="0"/>
    <x v="0"/>
    <x v="0"/>
    <x v="0"/>
    <x v="1"/>
    <s v="DK2_Medium"/>
    <x v="7"/>
    <x v="34"/>
    <x v="0"/>
    <x v="1"/>
    <n v="9.3137254901960809"/>
    <n v="3399.50980392157"/>
    <n v="12238.2352941176"/>
  </r>
  <r>
    <x v="0"/>
    <x v="0"/>
    <x v="0"/>
    <x v="0"/>
    <x v="1"/>
    <s v="DK2_Medium"/>
    <x v="7"/>
    <x v="34"/>
    <x v="0"/>
    <x v="2"/>
    <n v="9.3137254901960809"/>
    <n v="3399.50980392157"/>
    <n v="12238.2352941176"/>
  </r>
  <r>
    <x v="0"/>
    <x v="0"/>
    <x v="0"/>
    <x v="0"/>
    <x v="1"/>
    <s v="DK2_Medium"/>
    <x v="7"/>
    <x v="34"/>
    <x v="0"/>
    <x v="3"/>
    <n v="9.3137254901960809"/>
    <n v="3399.50980392157"/>
    <n v="12238.2352941176"/>
  </r>
  <r>
    <x v="0"/>
    <x v="0"/>
    <x v="0"/>
    <x v="0"/>
    <x v="1"/>
    <s v="DK2_Medium"/>
    <x v="7"/>
    <x v="34"/>
    <x v="0"/>
    <x v="4"/>
    <n v="9.3137254901960809"/>
    <n v="3399.50980392157"/>
    <n v="12238.2352941176"/>
  </r>
  <r>
    <x v="0"/>
    <x v="0"/>
    <x v="0"/>
    <x v="0"/>
    <x v="1"/>
    <s v="DK2_Medium"/>
    <x v="7"/>
    <x v="34"/>
    <x v="0"/>
    <x v="5"/>
    <n v="9.3137254901960809"/>
    <n v="3399.50980392157"/>
    <n v="12238.2352941176"/>
  </r>
  <r>
    <x v="0"/>
    <x v="0"/>
    <x v="0"/>
    <x v="0"/>
    <x v="1"/>
    <s v="DK2_Medium"/>
    <x v="7"/>
    <x v="34"/>
    <x v="0"/>
    <x v="6"/>
    <n v="9.3137254901960809"/>
    <n v="3399.50980392157"/>
    <n v="12238.2352941176"/>
  </r>
  <r>
    <x v="0"/>
    <x v="0"/>
    <x v="0"/>
    <x v="0"/>
    <x v="1"/>
    <s v="DK2_Medium"/>
    <x v="7"/>
    <x v="34"/>
    <x v="0"/>
    <x v="7"/>
    <n v="9.3137254901960809"/>
    <n v="3399.50980392157"/>
    <n v="12238.2352941176"/>
  </r>
  <r>
    <x v="0"/>
    <x v="0"/>
    <x v="0"/>
    <x v="0"/>
    <x v="1"/>
    <s v="DK2_Medium"/>
    <x v="7"/>
    <x v="34"/>
    <x v="0"/>
    <x v="8"/>
    <n v="9.3137254901960809"/>
    <n v="3399.50980392157"/>
    <n v="12238.2352941176"/>
  </r>
  <r>
    <x v="0"/>
    <x v="0"/>
    <x v="0"/>
    <x v="0"/>
    <x v="1"/>
    <s v="DK2_Medium"/>
    <x v="7"/>
    <x v="34"/>
    <x v="0"/>
    <x v="9"/>
    <n v="9.3137254901960809"/>
    <n v="3399.50980392157"/>
    <n v="12238.2352941176"/>
  </r>
  <r>
    <x v="0"/>
    <x v="0"/>
    <x v="0"/>
    <x v="0"/>
    <x v="1"/>
    <s v="DK2_Medium"/>
    <x v="7"/>
    <x v="34"/>
    <x v="0"/>
    <x v="10"/>
    <n v="9.3137254901960809"/>
    <n v="3399.50980392157"/>
    <n v="12238.2352941176"/>
  </r>
  <r>
    <x v="0"/>
    <x v="0"/>
    <x v="0"/>
    <x v="0"/>
    <x v="1"/>
    <s v="DK2_Medium"/>
    <x v="7"/>
    <x v="34"/>
    <x v="0"/>
    <x v="11"/>
    <n v="9.3137254901960809"/>
    <n v="3399.50980392157"/>
    <n v="12238.2352941176"/>
  </r>
  <r>
    <x v="0"/>
    <x v="0"/>
    <x v="0"/>
    <x v="0"/>
    <x v="1"/>
    <s v="DK2_Medium"/>
    <x v="7"/>
    <x v="34"/>
    <x v="0"/>
    <x v="12"/>
    <n v="9.3137254901960809"/>
    <n v="3399.50980392157"/>
    <n v="12238.2352941176"/>
  </r>
  <r>
    <x v="0"/>
    <x v="0"/>
    <x v="0"/>
    <x v="0"/>
    <x v="1"/>
    <s v="DK2_Medium"/>
    <x v="7"/>
    <x v="34"/>
    <x v="0"/>
    <x v="13"/>
    <n v="9.3137254901960809"/>
    <n v="3399.50980392157"/>
    <n v="12238.2352941176"/>
  </r>
  <r>
    <x v="0"/>
    <x v="0"/>
    <x v="0"/>
    <x v="0"/>
    <x v="1"/>
    <s v="DK2_Medium"/>
    <x v="7"/>
    <x v="34"/>
    <x v="0"/>
    <x v="14"/>
    <n v="9.3137254901960809"/>
    <n v="3399.50980392157"/>
    <n v="12238.2352941176"/>
  </r>
  <r>
    <x v="0"/>
    <x v="0"/>
    <x v="0"/>
    <x v="0"/>
    <x v="1"/>
    <s v="DK2_Medium"/>
    <x v="7"/>
    <x v="34"/>
    <x v="0"/>
    <x v="15"/>
    <n v="9.3137254901960809"/>
    <n v="3399.50980392157"/>
    <n v="12238.2352941176"/>
  </r>
  <r>
    <x v="0"/>
    <x v="0"/>
    <x v="0"/>
    <x v="0"/>
    <x v="1"/>
    <s v="DK2_Medium"/>
    <x v="7"/>
    <x v="34"/>
    <x v="0"/>
    <x v="16"/>
    <n v="9.3137254901960809"/>
    <n v="3399.50980392157"/>
    <n v="12238.2352941176"/>
  </r>
  <r>
    <x v="0"/>
    <x v="0"/>
    <x v="0"/>
    <x v="0"/>
    <x v="1"/>
    <s v="DK2_Medium"/>
    <x v="7"/>
    <x v="34"/>
    <x v="0"/>
    <x v="17"/>
    <n v="9.3137254901960809"/>
    <n v="3399.50980392157"/>
    <n v="12238.2352941176"/>
  </r>
  <r>
    <x v="0"/>
    <x v="0"/>
    <x v="0"/>
    <x v="0"/>
    <x v="1"/>
    <s v="DK2_Medium"/>
    <x v="7"/>
    <x v="34"/>
    <x v="0"/>
    <x v="18"/>
    <n v="9.3137254901960809"/>
    <n v="3399.50980392157"/>
    <n v="12238.2352941176"/>
  </r>
  <r>
    <x v="0"/>
    <x v="0"/>
    <x v="0"/>
    <x v="0"/>
    <x v="1"/>
    <s v="DK2_Medium"/>
    <x v="7"/>
    <x v="34"/>
    <x v="0"/>
    <x v="19"/>
    <n v="9.3137254901960809"/>
    <n v="3399.50980392157"/>
    <n v="12238.2352941176"/>
  </r>
  <r>
    <x v="0"/>
    <x v="0"/>
    <x v="0"/>
    <x v="0"/>
    <x v="1"/>
    <s v="DK2_Medium"/>
    <x v="7"/>
    <x v="34"/>
    <x v="0"/>
    <x v="20"/>
    <n v="9.3137254901960809"/>
    <n v="3399.50980392157"/>
    <n v="12238.2352941176"/>
  </r>
  <r>
    <x v="0"/>
    <x v="0"/>
    <x v="0"/>
    <x v="0"/>
    <x v="1"/>
    <s v="DK2_Medium"/>
    <x v="7"/>
    <x v="34"/>
    <x v="0"/>
    <x v="21"/>
    <n v="9.3137254901960809"/>
    <n v="3399.50980392157"/>
    <n v="12238.2352941176"/>
  </r>
  <r>
    <x v="0"/>
    <x v="0"/>
    <x v="0"/>
    <x v="0"/>
    <x v="1"/>
    <s v="DK2_Medium"/>
    <x v="7"/>
    <x v="34"/>
    <x v="0"/>
    <x v="22"/>
    <n v="9.3137254901960809"/>
    <n v="3399.50980392157"/>
    <n v="12238.2352941176"/>
  </r>
  <r>
    <x v="0"/>
    <x v="0"/>
    <x v="0"/>
    <x v="0"/>
    <x v="1"/>
    <s v="DK2_Medium"/>
    <x v="7"/>
    <x v="34"/>
    <x v="0"/>
    <x v="23"/>
    <n v="9.3137254901960809"/>
    <n v="3399.50980392157"/>
    <n v="12238.2352941176"/>
  </r>
  <r>
    <x v="0"/>
    <x v="0"/>
    <x v="0"/>
    <x v="0"/>
    <x v="1"/>
    <s v="DK2_Medium"/>
    <x v="11"/>
    <x v="89"/>
    <x v="0"/>
    <x v="0"/>
    <n v="0.85365853658536595"/>
    <n v="311.58536585365903"/>
    <n v="1121.7073170731701"/>
  </r>
  <r>
    <x v="0"/>
    <x v="0"/>
    <x v="0"/>
    <x v="0"/>
    <x v="1"/>
    <s v="DK2_Medium"/>
    <x v="11"/>
    <x v="89"/>
    <x v="0"/>
    <x v="1"/>
    <n v="0.85365853658536595"/>
    <n v="311.58536585365903"/>
    <n v="1121.7073170731701"/>
  </r>
  <r>
    <x v="0"/>
    <x v="0"/>
    <x v="0"/>
    <x v="0"/>
    <x v="1"/>
    <s v="DK2_Medium"/>
    <x v="11"/>
    <x v="89"/>
    <x v="0"/>
    <x v="2"/>
    <n v="0.85365853658536595"/>
    <n v="311.58536585365903"/>
    <n v="1121.7073170731701"/>
  </r>
  <r>
    <x v="0"/>
    <x v="0"/>
    <x v="0"/>
    <x v="0"/>
    <x v="1"/>
    <s v="DK2_Medium"/>
    <x v="11"/>
    <x v="89"/>
    <x v="0"/>
    <x v="3"/>
    <n v="0.85365853658536595"/>
    <n v="311.58536585365903"/>
    <n v="1121.7073170731701"/>
  </r>
  <r>
    <x v="0"/>
    <x v="0"/>
    <x v="0"/>
    <x v="0"/>
    <x v="1"/>
    <s v="DK2_Medium"/>
    <x v="11"/>
    <x v="89"/>
    <x v="0"/>
    <x v="4"/>
    <n v="0.85365853658536595"/>
    <n v="311.58536585365903"/>
    <n v="1121.7073170731701"/>
  </r>
  <r>
    <x v="0"/>
    <x v="0"/>
    <x v="0"/>
    <x v="0"/>
    <x v="1"/>
    <s v="DK2_Medium"/>
    <x v="11"/>
    <x v="89"/>
    <x v="0"/>
    <x v="5"/>
    <n v="0.85365853658536595"/>
    <n v="311.58536585365903"/>
    <n v="1121.7073170731701"/>
  </r>
  <r>
    <x v="0"/>
    <x v="0"/>
    <x v="0"/>
    <x v="0"/>
    <x v="1"/>
    <s v="DK2_Medium"/>
    <x v="11"/>
    <x v="89"/>
    <x v="0"/>
    <x v="6"/>
    <n v="0.85365853658536595"/>
    <n v="311.58536585365903"/>
    <n v="1121.7073170731701"/>
  </r>
  <r>
    <x v="0"/>
    <x v="0"/>
    <x v="0"/>
    <x v="0"/>
    <x v="1"/>
    <s v="DK2_Medium"/>
    <x v="11"/>
    <x v="89"/>
    <x v="0"/>
    <x v="7"/>
    <n v="0.85365853658536595"/>
    <n v="311.58536585365903"/>
    <n v="1121.7073170731701"/>
  </r>
  <r>
    <x v="0"/>
    <x v="0"/>
    <x v="0"/>
    <x v="0"/>
    <x v="1"/>
    <s v="DK2_Medium"/>
    <x v="11"/>
    <x v="89"/>
    <x v="0"/>
    <x v="8"/>
    <n v="0.85365853658536595"/>
    <n v="311.58536585365903"/>
    <n v="1121.7073170731701"/>
  </r>
  <r>
    <x v="0"/>
    <x v="0"/>
    <x v="0"/>
    <x v="0"/>
    <x v="1"/>
    <s v="DK2_Medium"/>
    <x v="11"/>
    <x v="89"/>
    <x v="0"/>
    <x v="9"/>
    <n v="0.85365853658536595"/>
    <n v="311.58536585365903"/>
    <n v="1121.7073170731701"/>
  </r>
  <r>
    <x v="0"/>
    <x v="0"/>
    <x v="0"/>
    <x v="0"/>
    <x v="1"/>
    <s v="DK2_Medium"/>
    <x v="11"/>
    <x v="89"/>
    <x v="0"/>
    <x v="10"/>
    <n v="0.85365853658536595"/>
    <n v="311.58536585365903"/>
    <n v="1121.7073170731701"/>
  </r>
  <r>
    <x v="0"/>
    <x v="0"/>
    <x v="0"/>
    <x v="0"/>
    <x v="1"/>
    <s v="DK2_Medium"/>
    <x v="11"/>
    <x v="89"/>
    <x v="0"/>
    <x v="11"/>
    <n v="0.85365853658536595"/>
    <n v="311.58536585365903"/>
    <n v="1121.7073170731701"/>
  </r>
  <r>
    <x v="0"/>
    <x v="0"/>
    <x v="0"/>
    <x v="0"/>
    <x v="1"/>
    <s v="DK2_Medium"/>
    <x v="11"/>
    <x v="89"/>
    <x v="0"/>
    <x v="12"/>
    <n v="0.85365853658536595"/>
    <n v="311.58536585365903"/>
    <n v="1121.7073170731701"/>
  </r>
  <r>
    <x v="0"/>
    <x v="0"/>
    <x v="0"/>
    <x v="0"/>
    <x v="1"/>
    <s v="DK2_Medium"/>
    <x v="11"/>
    <x v="89"/>
    <x v="0"/>
    <x v="13"/>
    <n v="0.85365853658536595"/>
    <n v="311.58536585365903"/>
    <n v="1121.7073170731701"/>
  </r>
  <r>
    <x v="0"/>
    <x v="0"/>
    <x v="0"/>
    <x v="0"/>
    <x v="1"/>
    <s v="DK2_Medium"/>
    <x v="11"/>
    <x v="89"/>
    <x v="0"/>
    <x v="14"/>
    <n v="0.85365853658536595"/>
    <n v="311.58536585365903"/>
    <n v="1121.7073170731701"/>
  </r>
  <r>
    <x v="0"/>
    <x v="0"/>
    <x v="0"/>
    <x v="0"/>
    <x v="1"/>
    <s v="DK2_Medium"/>
    <x v="11"/>
    <x v="89"/>
    <x v="0"/>
    <x v="15"/>
    <n v="0.85365853658536595"/>
    <n v="311.58536585365903"/>
    <n v="1121.7073170731701"/>
  </r>
  <r>
    <x v="0"/>
    <x v="0"/>
    <x v="0"/>
    <x v="0"/>
    <x v="1"/>
    <s v="DK2_Medium"/>
    <x v="11"/>
    <x v="89"/>
    <x v="0"/>
    <x v="16"/>
    <n v="0.85365853658536595"/>
    <n v="311.58536585365903"/>
    <n v="1121.7073170731701"/>
  </r>
  <r>
    <x v="0"/>
    <x v="0"/>
    <x v="0"/>
    <x v="0"/>
    <x v="1"/>
    <s v="DK2_Medium"/>
    <x v="11"/>
    <x v="89"/>
    <x v="0"/>
    <x v="17"/>
    <n v="0.85365853658536595"/>
    <n v="311.58536585365903"/>
    <n v="1121.7073170731701"/>
  </r>
  <r>
    <x v="0"/>
    <x v="0"/>
    <x v="0"/>
    <x v="0"/>
    <x v="1"/>
    <s v="DK2_Medium"/>
    <x v="11"/>
    <x v="89"/>
    <x v="0"/>
    <x v="18"/>
    <n v="0.85365853658536595"/>
    <n v="311.58536585365903"/>
    <n v="1121.7073170731701"/>
  </r>
  <r>
    <x v="0"/>
    <x v="0"/>
    <x v="0"/>
    <x v="0"/>
    <x v="1"/>
    <s v="DK2_Medium"/>
    <x v="11"/>
    <x v="89"/>
    <x v="0"/>
    <x v="19"/>
    <n v="0.85365853658536595"/>
    <n v="311.58536585365903"/>
    <n v="1121.7073170731701"/>
  </r>
  <r>
    <x v="0"/>
    <x v="0"/>
    <x v="0"/>
    <x v="0"/>
    <x v="1"/>
    <s v="DK2_Medium"/>
    <x v="11"/>
    <x v="89"/>
    <x v="0"/>
    <x v="20"/>
    <n v="0.85365853658536595"/>
    <n v="311.58536585365903"/>
    <n v="1121.7073170731701"/>
  </r>
  <r>
    <x v="0"/>
    <x v="0"/>
    <x v="0"/>
    <x v="0"/>
    <x v="1"/>
    <s v="DK2_Medium"/>
    <x v="11"/>
    <x v="89"/>
    <x v="0"/>
    <x v="21"/>
    <n v="0.85365853658536595"/>
    <n v="311.58536585365903"/>
    <n v="1121.7073170731701"/>
  </r>
  <r>
    <x v="0"/>
    <x v="0"/>
    <x v="0"/>
    <x v="0"/>
    <x v="1"/>
    <s v="DK2_Medium"/>
    <x v="11"/>
    <x v="89"/>
    <x v="0"/>
    <x v="22"/>
    <n v="0.85365853658536595"/>
    <n v="311.58536585365903"/>
    <n v="1121.7073170731701"/>
  </r>
  <r>
    <x v="0"/>
    <x v="0"/>
    <x v="0"/>
    <x v="0"/>
    <x v="1"/>
    <s v="DK2_Medium"/>
    <x v="11"/>
    <x v="89"/>
    <x v="0"/>
    <x v="23"/>
    <n v="0.85365853658536595"/>
    <n v="311.58536585365903"/>
    <n v="1121.7073170731701"/>
  </r>
  <r>
    <x v="0"/>
    <x v="0"/>
    <x v="0"/>
    <x v="0"/>
    <x v="1"/>
    <s v="DK2_NoDH"/>
    <x v="0"/>
    <x v="2"/>
    <x v="0"/>
    <x v="0"/>
    <n v="0.32258064516128998"/>
    <n v="117.741935483871"/>
    <n v="423.87096774193498"/>
  </r>
  <r>
    <x v="0"/>
    <x v="0"/>
    <x v="0"/>
    <x v="0"/>
    <x v="1"/>
    <s v="DK2_NoDH"/>
    <x v="0"/>
    <x v="2"/>
    <x v="0"/>
    <x v="1"/>
    <n v="0.32258064516128998"/>
    <n v="117.741935483871"/>
    <n v="423.87096774193498"/>
  </r>
  <r>
    <x v="0"/>
    <x v="0"/>
    <x v="0"/>
    <x v="0"/>
    <x v="1"/>
    <s v="DK2_NoDH"/>
    <x v="0"/>
    <x v="2"/>
    <x v="0"/>
    <x v="2"/>
    <n v="0.32258064516128998"/>
    <n v="117.741935483871"/>
    <n v="423.87096774193498"/>
  </r>
  <r>
    <x v="0"/>
    <x v="0"/>
    <x v="0"/>
    <x v="0"/>
    <x v="1"/>
    <s v="DK2_NoDH"/>
    <x v="0"/>
    <x v="2"/>
    <x v="0"/>
    <x v="3"/>
    <n v="0.32258064516128998"/>
    <n v="117.741935483871"/>
    <n v="423.87096774193498"/>
  </r>
  <r>
    <x v="0"/>
    <x v="0"/>
    <x v="0"/>
    <x v="0"/>
    <x v="1"/>
    <s v="DK2_NoDH"/>
    <x v="0"/>
    <x v="2"/>
    <x v="0"/>
    <x v="4"/>
    <n v="0.32258064516128998"/>
    <n v="117.741935483871"/>
    <n v="423.87096774193498"/>
  </r>
  <r>
    <x v="0"/>
    <x v="0"/>
    <x v="0"/>
    <x v="0"/>
    <x v="1"/>
    <s v="DK2_NoDH"/>
    <x v="0"/>
    <x v="2"/>
    <x v="0"/>
    <x v="5"/>
    <n v="0.32258064516128998"/>
    <n v="117.741935483871"/>
    <n v="423.87096774193498"/>
  </r>
  <r>
    <x v="0"/>
    <x v="0"/>
    <x v="0"/>
    <x v="0"/>
    <x v="1"/>
    <s v="DK2_NoDH"/>
    <x v="0"/>
    <x v="2"/>
    <x v="0"/>
    <x v="6"/>
    <n v="0.32258064516128998"/>
    <n v="117.741935483871"/>
    <n v="423.87096774193498"/>
  </r>
  <r>
    <x v="0"/>
    <x v="0"/>
    <x v="0"/>
    <x v="0"/>
    <x v="1"/>
    <s v="DK2_NoDH"/>
    <x v="0"/>
    <x v="2"/>
    <x v="0"/>
    <x v="7"/>
    <n v="0.32258064516128998"/>
    <n v="117.741935483871"/>
    <n v="423.87096774193498"/>
  </r>
  <r>
    <x v="0"/>
    <x v="0"/>
    <x v="0"/>
    <x v="0"/>
    <x v="1"/>
    <s v="DK2_NoDH"/>
    <x v="0"/>
    <x v="2"/>
    <x v="0"/>
    <x v="8"/>
    <n v="0.32258064516128998"/>
    <n v="117.741935483871"/>
    <n v="423.87096774193498"/>
  </r>
  <r>
    <x v="0"/>
    <x v="0"/>
    <x v="0"/>
    <x v="0"/>
    <x v="1"/>
    <s v="DK2_NoDH"/>
    <x v="0"/>
    <x v="2"/>
    <x v="0"/>
    <x v="9"/>
    <n v="0.32258064516128998"/>
    <n v="117.741935483871"/>
    <n v="423.87096774193498"/>
  </r>
  <r>
    <x v="0"/>
    <x v="0"/>
    <x v="0"/>
    <x v="0"/>
    <x v="1"/>
    <s v="DK2_NoDH"/>
    <x v="0"/>
    <x v="2"/>
    <x v="0"/>
    <x v="10"/>
    <n v="0.32258064516128998"/>
    <n v="117.741935483871"/>
    <n v="423.87096774193498"/>
  </r>
  <r>
    <x v="0"/>
    <x v="0"/>
    <x v="0"/>
    <x v="0"/>
    <x v="1"/>
    <s v="DK2_NoDH"/>
    <x v="0"/>
    <x v="2"/>
    <x v="0"/>
    <x v="11"/>
    <n v="0.32258064516128998"/>
    <n v="117.741935483871"/>
    <n v="423.87096774193498"/>
  </r>
  <r>
    <x v="0"/>
    <x v="0"/>
    <x v="0"/>
    <x v="0"/>
    <x v="1"/>
    <s v="DK2_NoDH"/>
    <x v="0"/>
    <x v="2"/>
    <x v="0"/>
    <x v="12"/>
    <n v="0.32258064516128998"/>
    <n v="117.741935483871"/>
    <n v="423.87096774193498"/>
  </r>
  <r>
    <x v="0"/>
    <x v="0"/>
    <x v="0"/>
    <x v="0"/>
    <x v="1"/>
    <s v="DK2_NoDH"/>
    <x v="0"/>
    <x v="2"/>
    <x v="0"/>
    <x v="13"/>
    <n v="0.32258064516128998"/>
    <n v="117.741935483871"/>
    <n v="423.87096774193498"/>
  </r>
  <r>
    <x v="0"/>
    <x v="0"/>
    <x v="0"/>
    <x v="0"/>
    <x v="1"/>
    <s v="DK2_NoDH"/>
    <x v="0"/>
    <x v="2"/>
    <x v="0"/>
    <x v="14"/>
    <n v="0.32258064516128998"/>
    <n v="117.741935483871"/>
    <n v="423.87096774193498"/>
  </r>
  <r>
    <x v="0"/>
    <x v="0"/>
    <x v="0"/>
    <x v="0"/>
    <x v="1"/>
    <s v="DK2_NoDH"/>
    <x v="0"/>
    <x v="2"/>
    <x v="0"/>
    <x v="15"/>
    <n v="0.32258064516128998"/>
    <n v="117.741935483871"/>
    <n v="423.87096774193498"/>
  </r>
  <r>
    <x v="0"/>
    <x v="0"/>
    <x v="0"/>
    <x v="0"/>
    <x v="1"/>
    <s v="DK2_NoDH"/>
    <x v="0"/>
    <x v="2"/>
    <x v="0"/>
    <x v="16"/>
    <n v="0.32258064516128998"/>
    <n v="117.741935483871"/>
    <n v="423.87096774193498"/>
  </r>
  <r>
    <x v="0"/>
    <x v="0"/>
    <x v="0"/>
    <x v="0"/>
    <x v="1"/>
    <s v="DK2_NoDH"/>
    <x v="0"/>
    <x v="2"/>
    <x v="0"/>
    <x v="17"/>
    <n v="0.32258064516128998"/>
    <n v="117.741935483871"/>
    <n v="423.87096774193498"/>
  </r>
  <r>
    <x v="0"/>
    <x v="0"/>
    <x v="0"/>
    <x v="0"/>
    <x v="1"/>
    <s v="DK2_NoDH"/>
    <x v="0"/>
    <x v="2"/>
    <x v="0"/>
    <x v="18"/>
    <n v="0.32258064516128998"/>
    <n v="117.741935483871"/>
    <n v="423.87096774193498"/>
  </r>
  <r>
    <x v="0"/>
    <x v="0"/>
    <x v="0"/>
    <x v="0"/>
    <x v="1"/>
    <s v="DK2_NoDH"/>
    <x v="0"/>
    <x v="2"/>
    <x v="0"/>
    <x v="19"/>
    <n v="0.32258064516128998"/>
    <n v="117.741935483871"/>
    <n v="423.87096774193498"/>
  </r>
  <r>
    <x v="0"/>
    <x v="0"/>
    <x v="0"/>
    <x v="0"/>
    <x v="1"/>
    <s v="DK2_NoDH"/>
    <x v="0"/>
    <x v="2"/>
    <x v="0"/>
    <x v="20"/>
    <n v="0.32258064516128998"/>
    <n v="117.741935483871"/>
    <n v="423.87096774193498"/>
  </r>
  <r>
    <x v="0"/>
    <x v="0"/>
    <x v="0"/>
    <x v="0"/>
    <x v="1"/>
    <s v="DK2_NoDH"/>
    <x v="0"/>
    <x v="2"/>
    <x v="0"/>
    <x v="21"/>
    <n v="0.32258064516128998"/>
    <n v="117.741935483871"/>
    <n v="423.87096774193498"/>
  </r>
  <r>
    <x v="0"/>
    <x v="0"/>
    <x v="0"/>
    <x v="0"/>
    <x v="1"/>
    <s v="DK2_NoDH"/>
    <x v="0"/>
    <x v="2"/>
    <x v="0"/>
    <x v="22"/>
    <n v="0.32258064516128998"/>
    <n v="117.741935483871"/>
    <n v="423.87096774193498"/>
  </r>
  <r>
    <x v="0"/>
    <x v="0"/>
    <x v="0"/>
    <x v="0"/>
    <x v="1"/>
    <s v="DK2_NoDH"/>
    <x v="0"/>
    <x v="2"/>
    <x v="0"/>
    <x v="23"/>
    <n v="0.32258064516128998"/>
    <n v="117.741935483871"/>
    <n v="423.87096774193498"/>
  </r>
  <r>
    <x v="0"/>
    <x v="0"/>
    <x v="0"/>
    <x v="0"/>
    <x v="1"/>
    <s v="DK2_NoDH"/>
    <x v="0"/>
    <x v="47"/>
    <x v="0"/>
    <x v="0"/>
    <n v="0.34375"/>
    <n v="125.46875"/>
    <n v="451.6875"/>
  </r>
  <r>
    <x v="0"/>
    <x v="0"/>
    <x v="0"/>
    <x v="0"/>
    <x v="1"/>
    <s v="DK2_NoDH"/>
    <x v="0"/>
    <x v="47"/>
    <x v="0"/>
    <x v="1"/>
    <n v="0.34375"/>
    <n v="125.46875"/>
    <n v="451.6875"/>
  </r>
  <r>
    <x v="0"/>
    <x v="0"/>
    <x v="0"/>
    <x v="0"/>
    <x v="1"/>
    <s v="DK2_NoDH"/>
    <x v="0"/>
    <x v="47"/>
    <x v="0"/>
    <x v="2"/>
    <n v="0.34375"/>
    <n v="125.46875"/>
    <n v="451.6875"/>
  </r>
  <r>
    <x v="0"/>
    <x v="0"/>
    <x v="0"/>
    <x v="0"/>
    <x v="1"/>
    <s v="DK2_NoDH"/>
    <x v="0"/>
    <x v="47"/>
    <x v="0"/>
    <x v="3"/>
    <n v="0.34375"/>
    <n v="125.46875"/>
    <n v="451.6875"/>
  </r>
  <r>
    <x v="0"/>
    <x v="0"/>
    <x v="0"/>
    <x v="0"/>
    <x v="1"/>
    <s v="DK2_NoDH"/>
    <x v="0"/>
    <x v="47"/>
    <x v="0"/>
    <x v="4"/>
    <n v="0.34375"/>
    <n v="125.46875"/>
    <n v="451.6875"/>
  </r>
  <r>
    <x v="0"/>
    <x v="0"/>
    <x v="0"/>
    <x v="0"/>
    <x v="1"/>
    <s v="DK2_NoDH"/>
    <x v="0"/>
    <x v="47"/>
    <x v="0"/>
    <x v="5"/>
    <n v="0.34375"/>
    <n v="125.46875"/>
    <n v="451.6875"/>
  </r>
  <r>
    <x v="0"/>
    <x v="0"/>
    <x v="0"/>
    <x v="0"/>
    <x v="1"/>
    <s v="DK2_NoDH"/>
    <x v="0"/>
    <x v="47"/>
    <x v="0"/>
    <x v="6"/>
    <n v="0.34375"/>
    <n v="125.46875"/>
    <n v="451.6875"/>
  </r>
  <r>
    <x v="0"/>
    <x v="0"/>
    <x v="0"/>
    <x v="0"/>
    <x v="1"/>
    <s v="DK2_NoDH"/>
    <x v="0"/>
    <x v="47"/>
    <x v="0"/>
    <x v="7"/>
    <n v="0.34375"/>
    <n v="125.46875"/>
    <n v="451.6875"/>
  </r>
  <r>
    <x v="0"/>
    <x v="0"/>
    <x v="0"/>
    <x v="0"/>
    <x v="1"/>
    <s v="DK2_NoDH"/>
    <x v="0"/>
    <x v="47"/>
    <x v="0"/>
    <x v="8"/>
    <n v="0.34375"/>
    <n v="125.46875"/>
    <n v="451.6875"/>
  </r>
  <r>
    <x v="0"/>
    <x v="0"/>
    <x v="0"/>
    <x v="0"/>
    <x v="1"/>
    <s v="DK2_NoDH"/>
    <x v="0"/>
    <x v="47"/>
    <x v="0"/>
    <x v="9"/>
    <n v="0.34375"/>
    <n v="125.46875"/>
    <n v="451.6875"/>
  </r>
  <r>
    <x v="0"/>
    <x v="0"/>
    <x v="0"/>
    <x v="0"/>
    <x v="1"/>
    <s v="DK2_NoDH"/>
    <x v="0"/>
    <x v="47"/>
    <x v="0"/>
    <x v="10"/>
    <n v="0.34375"/>
    <n v="125.46875"/>
    <n v="451.6875"/>
  </r>
  <r>
    <x v="0"/>
    <x v="0"/>
    <x v="0"/>
    <x v="0"/>
    <x v="1"/>
    <s v="DK2_NoDH"/>
    <x v="0"/>
    <x v="47"/>
    <x v="0"/>
    <x v="11"/>
    <n v="0.34375"/>
    <n v="125.46875"/>
    <n v="451.6875"/>
  </r>
  <r>
    <x v="0"/>
    <x v="0"/>
    <x v="0"/>
    <x v="0"/>
    <x v="1"/>
    <s v="DK2_NoDH"/>
    <x v="0"/>
    <x v="47"/>
    <x v="0"/>
    <x v="12"/>
    <n v="0.34375"/>
    <n v="125.46875"/>
    <n v="451.6875"/>
  </r>
  <r>
    <x v="0"/>
    <x v="0"/>
    <x v="0"/>
    <x v="0"/>
    <x v="1"/>
    <s v="DK2_NoDH"/>
    <x v="0"/>
    <x v="47"/>
    <x v="0"/>
    <x v="13"/>
    <n v="0.34375"/>
    <n v="125.46875"/>
    <n v="451.6875"/>
  </r>
  <r>
    <x v="0"/>
    <x v="0"/>
    <x v="0"/>
    <x v="0"/>
    <x v="1"/>
    <s v="DK2_NoDH"/>
    <x v="0"/>
    <x v="47"/>
    <x v="0"/>
    <x v="14"/>
    <n v="0.34375"/>
    <n v="125.46875"/>
    <n v="451.6875"/>
  </r>
  <r>
    <x v="0"/>
    <x v="0"/>
    <x v="0"/>
    <x v="0"/>
    <x v="1"/>
    <s v="DK2_NoDH"/>
    <x v="0"/>
    <x v="47"/>
    <x v="0"/>
    <x v="15"/>
    <n v="0.34375"/>
    <n v="125.46875"/>
    <n v="451.6875"/>
  </r>
  <r>
    <x v="0"/>
    <x v="0"/>
    <x v="0"/>
    <x v="0"/>
    <x v="1"/>
    <s v="DK2_NoDH"/>
    <x v="0"/>
    <x v="47"/>
    <x v="0"/>
    <x v="16"/>
    <n v="0.34375"/>
    <n v="125.46875"/>
    <n v="451.6875"/>
  </r>
  <r>
    <x v="0"/>
    <x v="0"/>
    <x v="0"/>
    <x v="0"/>
    <x v="1"/>
    <s v="DK2_NoDH"/>
    <x v="0"/>
    <x v="47"/>
    <x v="0"/>
    <x v="17"/>
    <n v="0.34375"/>
    <n v="125.46875"/>
    <n v="451.6875"/>
  </r>
  <r>
    <x v="0"/>
    <x v="0"/>
    <x v="0"/>
    <x v="0"/>
    <x v="1"/>
    <s v="DK2_NoDH"/>
    <x v="0"/>
    <x v="47"/>
    <x v="0"/>
    <x v="18"/>
    <n v="0.34375"/>
    <n v="125.46875"/>
    <n v="451.6875"/>
  </r>
  <r>
    <x v="0"/>
    <x v="0"/>
    <x v="0"/>
    <x v="0"/>
    <x v="1"/>
    <s v="DK2_NoDH"/>
    <x v="0"/>
    <x v="47"/>
    <x v="0"/>
    <x v="19"/>
    <n v="0.34375"/>
    <n v="125.46875"/>
    <n v="451.6875"/>
  </r>
  <r>
    <x v="0"/>
    <x v="0"/>
    <x v="0"/>
    <x v="0"/>
    <x v="1"/>
    <s v="DK2_NoDH"/>
    <x v="0"/>
    <x v="47"/>
    <x v="0"/>
    <x v="20"/>
    <n v="0.34375"/>
    <n v="125.46875"/>
    <n v="451.6875"/>
  </r>
  <r>
    <x v="0"/>
    <x v="0"/>
    <x v="0"/>
    <x v="0"/>
    <x v="1"/>
    <s v="DK2_NoDH"/>
    <x v="0"/>
    <x v="47"/>
    <x v="0"/>
    <x v="21"/>
    <n v="0.34375"/>
    <n v="125.46875"/>
    <n v="451.6875"/>
  </r>
  <r>
    <x v="0"/>
    <x v="0"/>
    <x v="0"/>
    <x v="0"/>
    <x v="1"/>
    <s v="DK2_NoDH"/>
    <x v="0"/>
    <x v="47"/>
    <x v="0"/>
    <x v="22"/>
    <n v="0.34375"/>
    <n v="125.46875"/>
    <n v="451.6875"/>
  </r>
  <r>
    <x v="0"/>
    <x v="0"/>
    <x v="0"/>
    <x v="0"/>
    <x v="1"/>
    <s v="DK2_NoDH"/>
    <x v="0"/>
    <x v="47"/>
    <x v="0"/>
    <x v="23"/>
    <n v="0.34375"/>
    <n v="125.46875"/>
    <n v="451.6875"/>
  </r>
  <r>
    <x v="0"/>
    <x v="0"/>
    <x v="0"/>
    <x v="0"/>
    <x v="1"/>
    <s v="DK2_NoDH"/>
    <x v="0"/>
    <x v="36"/>
    <x v="0"/>
    <x v="0"/>
    <n v="0.69696969696969702"/>
    <n v="254.39393939393901"/>
    <n v="915.81818181818198"/>
  </r>
  <r>
    <x v="0"/>
    <x v="0"/>
    <x v="0"/>
    <x v="0"/>
    <x v="1"/>
    <s v="DK2_NoDH"/>
    <x v="0"/>
    <x v="36"/>
    <x v="0"/>
    <x v="1"/>
    <n v="0.69696969696969702"/>
    <n v="254.39393939393901"/>
    <n v="915.81818181818198"/>
  </r>
  <r>
    <x v="0"/>
    <x v="0"/>
    <x v="0"/>
    <x v="0"/>
    <x v="1"/>
    <s v="DK2_NoDH"/>
    <x v="0"/>
    <x v="36"/>
    <x v="0"/>
    <x v="2"/>
    <n v="0.69696969696969702"/>
    <n v="254.39393939393901"/>
    <n v="915.81818181818198"/>
  </r>
  <r>
    <x v="0"/>
    <x v="0"/>
    <x v="0"/>
    <x v="0"/>
    <x v="1"/>
    <s v="DK2_NoDH"/>
    <x v="0"/>
    <x v="36"/>
    <x v="0"/>
    <x v="3"/>
    <n v="0.69696969696969702"/>
    <n v="254.39393939393901"/>
    <n v="915.81818181818198"/>
  </r>
  <r>
    <x v="0"/>
    <x v="0"/>
    <x v="0"/>
    <x v="0"/>
    <x v="1"/>
    <s v="DK2_NoDH"/>
    <x v="0"/>
    <x v="36"/>
    <x v="0"/>
    <x v="4"/>
    <n v="0.69696969696969702"/>
    <n v="254.39393939393901"/>
    <n v="915.81818181818198"/>
  </r>
  <r>
    <x v="0"/>
    <x v="0"/>
    <x v="0"/>
    <x v="0"/>
    <x v="1"/>
    <s v="DK2_NoDH"/>
    <x v="0"/>
    <x v="36"/>
    <x v="0"/>
    <x v="5"/>
    <n v="0.69696969696969702"/>
    <n v="254.39393939393901"/>
    <n v="915.81818181818198"/>
  </r>
  <r>
    <x v="0"/>
    <x v="0"/>
    <x v="0"/>
    <x v="0"/>
    <x v="1"/>
    <s v="DK2_NoDH"/>
    <x v="0"/>
    <x v="36"/>
    <x v="0"/>
    <x v="6"/>
    <n v="0.69696969696969702"/>
    <n v="254.39393939393901"/>
    <n v="915.81818181818198"/>
  </r>
  <r>
    <x v="0"/>
    <x v="0"/>
    <x v="0"/>
    <x v="0"/>
    <x v="1"/>
    <s v="DK2_NoDH"/>
    <x v="0"/>
    <x v="36"/>
    <x v="0"/>
    <x v="7"/>
    <n v="0.69696969696969702"/>
    <n v="254.39393939393901"/>
    <n v="915.81818181818198"/>
  </r>
  <r>
    <x v="0"/>
    <x v="0"/>
    <x v="0"/>
    <x v="0"/>
    <x v="1"/>
    <s v="DK2_NoDH"/>
    <x v="0"/>
    <x v="36"/>
    <x v="0"/>
    <x v="8"/>
    <n v="0.69696969696969702"/>
    <n v="254.39393939393901"/>
    <n v="915.81818181818198"/>
  </r>
  <r>
    <x v="0"/>
    <x v="0"/>
    <x v="0"/>
    <x v="0"/>
    <x v="1"/>
    <s v="DK2_NoDH"/>
    <x v="0"/>
    <x v="36"/>
    <x v="0"/>
    <x v="9"/>
    <n v="0.69696969696969702"/>
    <n v="254.39393939393901"/>
    <n v="915.81818181818198"/>
  </r>
  <r>
    <x v="0"/>
    <x v="0"/>
    <x v="0"/>
    <x v="0"/>
    <x v="1"/>
    <s v="DK2_NoDH"/>
    <x v="0"/>
    <x v="36"/>
    <x v="0"/>
    <x v="10"/>
    <n v="0.69696969696969702"/>
    <n v="254.39393939393901"/>
    <n v="915.81818181818198"/>
  </r>
  <r>
    <x v="0"/>
    <x v="0"/>
    <x v="0"/>
    <x v="0"/>
    <x v="1"/>
    <s v="DK2_NoDH"/>
    <x v="0"/>
    <x v="36"/>
    <x v="0"/>
    <x v="11"/>
    <n v="0.69696969696969702"/>
    <n v="254.39393939393901"/>
    <n v="915.81818181818198"/>
  </r>
  <r>
    <x v="0"/>
    <x v="0"/>
    <x v="0"/>
    <x v="0"/>
    <x v="1"/>
    <s v="DK2_NoDH"/>
    <x v="0"/>
    <x v="36"/>
    <x v="0"/>
    <x v="12"/>
    <n v="0.69696969696969702"/>
    <n v="254.39393939393901"/>
    <n v="915.81818181818198"/>
  </r>
  <r>
    <x v="0"/>
    <x v="0"/>
    <x v="0"/>
    <x v="0"/>
    <x v="1"/>
    <s v="DK2_NoDH"/>
    <x v="0"/>
    <x v="36"/>
    <x v="0"/>
    <x v="13"/>
    <n v="0.69696969696969702"/>
    <n v="254.39393939393901"/>
    <n v="915.81818181818198"/>
  </r>
  <r>
    <x v="0"/>
    <x v="0"/>
    <x v="0"/>
    <x v="0"/>
    <x v="1"/>
    <s v="DK2_NoDH"/>
    <x v="0"/>
    <x v="36"/>
    <x v="0"/>
    <x v="14"/>
    <n v="0.69696969696969702"/>
    <n v="254.39393939393901"/>
    <n v="915.81818181818198"/>
  </r>
  <r>
    <x v="0"/>
    <x v="0"/>
    <x v="0"/>
    <x v="0"/>
    <x v="1"/>
    <s v="DK2_NoDH"/>
    <x v="0"/>
    <x v="36"/>
    <x v="0"/>
    <x v="15"/>
    <n v="0.69696969696969702"/>
    <n v="254.39393939393901"/>
    <n v="915.81818181818198"/>
  </r>
  <r>
    <x v="0"/>
    <x v="0"/>
    <x v="0"/>
    <x v="0"/>
    <x v="1"/>
    <s v="DK2_NoDH"/>
    <x v="0"/>
    <x v="36"/>
    <x v="0"/>
    <x v="16"/>
    <n v="0.69696969696969702"/>
    <n v="254.39393939393901"/>
    <n v="915.81818181818198"/>
  </r>
  <r>
    <x v="0"/>
    <x v="0"/>
    <x v="0"/>
    <x v="0"/>
    <x v="1"/>
    <s v="DK2_NoDH"/>
    <x v="0"/>
    <x v="36"/>
    <x v="0"/>
    <x v="17"/>
    <n v="0.69696969696969702"/>
    <n v="254.39393939393901"/>
    <n v="915.81818181818198"/>
  </r>
  <r>
    <x v="0"/>
    <x v="0"/>
    <x v="0"/>
    <x v="0"/>
    <x v="1"/>
    <s v="DK2_NoDH"/>
    <x v="0"/>
    <x v="36"/>
    <x v="0"/>
    <x v="18"/>
    <n v="0.69696969696969702"/>
    <n v="254.39393939393901"/>
    <n v="915.81818181818198"/>
  </r>
  <r>
    <x v="0"/>
    <x v="0"/>
    <x v="0"/>
    <x v="0"/>
    <x v="1"/>
    <s v="DK2_NoDH"/>
    <x v="0"/>
    <x v="36"/>
    <x v="0"/>
    <x v="19"/>
    <n v="0.69696969696969702"/>
    <n v="254.39393939393901"/>
    <n v="915.81818181818198"/>
  </r>
  <r>
    <x v="0"/>
    <x v="0"/>
    <x v="0"/>
    <x v="0"/>
    <x v="1"/>
    <s v="DK2_NoDH"/>
    <x v="0"/>
    <x v="36"/>
    <x v="0"/>
    <x v="20"/>
    <n v="0.69696969696969702"/>
    <n v="254.39393939393901"/>
    <n v="915.81818181818198"/>
  </r>
  <r>
    <x v="0"/>
    <x v="0"/>
    <x v="0"/>
    <x v="0"/>
    <x v="1"/>
    <s v="DK2_NoDH"/>
    <x v="0"/>
    <x v="36"/>
    <x v="0"/>
    <x v="21"/>
    <n v="0.69696969696969702"/>
    <n v="254.39393939393901"/>
    <n v="915.81818181818198"/>
  </r>
  <r>
    <x v="0"/>
    <x v="0"/>
    <x v="0"/>
    <x v="0"/>
    <x v="1"/>
    <s v="DK2_NoDH"/>
    <x v="0"/>
    <x v="36"/>
    <x v="0"/>
    <x v="22"/>
    <n v="0.69696969696969702"/>
    <n v="254.39393939393901"/>
    <n v="915.81818181818198"/>
  </r>
  <r>
    <x v="0"/>
    <x v="0"/>
    <x v="0"/>
    <x v="0"/>
    <x v="1"/>
    <s v="DK2_NoDH"/>
    <x v="0"/>
    <x v="36"/>
    <x v="0"/>
    <x v="23"/>
    <n v="0.69696969696969702"/>
    <n v="254.39393939393901"/>
    <n v="915.81818181818198"/>
  </r>
  <r>
    <x v="0"/>
    <x v="0"/>
    <x v="0"/>
    <x v="0"/>
    <x v="1"/>
    <s v="DK2_NoDH"/>
    <x v="0"/>
    <x v="48"/>
    <x v="0"/>
    <x v="0"/>
    <n v="0.29411764705882398"/>
    <n v="107.35294117647101"/>
    <n v="386.47058823529397"/>
  </r>
  <r>
    <x v="0"/>
    <x v="0"/>
    <x v="0"/>
    <x v="0"/>
    <x v="1"/>
    <s v="DK2_NoDH"/>
    <x v="0"/>
    <x v="48"/>
    <x v="0"/>
    <x v="1"/>
    <n v="0.29411764705882398"/>
    <n v="107.35294117647101"/>
    <n v="386.47058823529397"/>
  </r>
  <r>
    <x v="0"/>
    <x v="0"/>
    <x v="0"/>
    <x v="0"/>
    <x v="1"/>
    <s v="DK2_NoDH"/>
    <x v="0"/>
    <x v="48"/>
    <x v="0"/>
    <x v="2"/>
    <n v="0.29411764705882398"/>
    <n v="107.35294117647101"/>
    <n v="386.47058823529397"/>
  </r>
  <r>
    <x v="0"/>
    <x v="0"/>
    <x v="0"/>
    <x v="0"/>
    <x v="1"/>
    <s v="DK2_NoDH"/>
    <x v="0"/>
    <x v="48"/>
    <x v="0"/>
    <x v="3"/>
    <n v="0.29411764705882398"/>
    <n v="107.35294117647101"/>
    <n v="386.47058823529397"/>
  </r>
  <r>
    <x v="0"/>
    <x v="0"/>
    <x v="0"/>
    <x v="0"/>
    <x v="1"/>
    <s v="DK2_NoDH"/>
    <x v="0"/>
    <x v="48"/>
    <x v="0"/>
    <x v="4"/>
    <n v="0.29411764705882398"/>
    <n v="107.35294117647101"/>
    <n v="386.47058823529397"/>
  </r>
  <r>
    <x v="0"/>
    <x v="0"/>
    <x v="0"/>
    <x v="0"/>
    <x v="1"/>
    <s v="DK2_NoDH"/>
    <x v="0"/>
    <x v="48"/>
    <x v="0"/>
    <x v="5"/>
    <n v="0.29411764705882398"/>
    <n v="107.35294117647101"/>
    <n v="386.47058823529397"/>
  </r>
  <r>
    <x v="0"/>
    <x v="0"/>
    <x v="0"/>
    <x v="0"/>
    <x v="1"/>
    <s v="DK2_NoDH"/>
    <x v="0"/>
    <x v="48"/>
    <x v="0"/>
    <x v="6"/>
    <n v="0.29411764705882398"/>
    <n v="107.35294117647101"/>
    <n v="386.47058823529397"/>
  </r>
  <r>
    <x v="0"/>
    <x v="0"/>
    <x v="0"/>
    <x v="0"/>
    <x v="1"/>
    <s v="DK2_NoDH"/>
    <x v="0"/>
    <x v="48"/>
    <x v="0"/>
    <x v="7"/>
    <n v="0.29411764705882398"/>
    <n v="107.35294117647101"/>
    <n v="386.47058823529397"/>
  </r>
  <r>
    <x v="0"/>
    <x v="0"/>
    <x v="0"/>
    <x v="0"/>
    <x v="1"/>
    <s v="DK2_NoDH"/>
    <x v="0"/>
    <x v="48"/>
    <x v="0"/>
    <x v="8"/>
    <n v="0.29411764705882398"/>
    <n v="107.35294117647101"/>
    <n v="386.47058823529397"/>
  </r>
  <r>
    <x v="0"/>
    <x v="0"/>
    <x v="0"/>
    <x v="0"/>
    <x v="1"/>
    <s v="DK2_NoDH"/>
    <x v="0"/>
    <x v="48"/>
    <x v="0"/>
    <x v="9"/>
    <n v="0.29411764705882398"/>
    <n v="107.35294117647101"/>
    <n v="386.47058823529397"/>
  </r>
  <r>
    <x v="0"/>
    <x v="0"/>
    <x v="0"/>
    <x v="0"/>
    <x v="1"/>
    <s v="DK2_NoDH"/>
    <x v="0"/>
    <x v="48"/>
    <x v="0"/>
    <x v="10"/>
    <n v="0.29411764705882398"/>
    <n v="107.35294117647101"/>
    <n v="386.47058823529397"/>
  </r>
  <r>
    <x v="0"/>
    <x v="0"/>
    <x v="0"/>
    <x v="0"/>
    <x v="1"/>
    <s v="DK2_NoDH"/>
    <x v="0"/>
    <x v="48"/>
    <x v="0"/>
    <x v="11"/>
    <n v="0.29411764705882398"/>
    <n v="107.35294117647101"/>
    <n v="386.47058823529397"/>
  </r>
  <r>
    <x v="0"/>
    <x v="0"/>
    <x v="0"/>
    <x v="0"/>
    <x v="1"/>
    <s v="DK2_NoDH"/>
    <x v="0"/>
    <x v="48"/>
    <x v="0"/>
    <x v="12"/>
    <n v="0.29411764705882398"/>
    <n v="107.35294117647101"/>
    <n v="386.47058823529397"/>
  </r>
  <r>
    <x v="0"/>
    <x v="0"/>
    <x v="0"/>
    <x v="0"/>
    <x v="1"/>
    <s v="DK2_NoDH"/>
    <x v="0"/>
    <x v="48"/>
    <x v="0"/>
    <x v="13"/>
    <n v="0.29411764705882398"/>
    <n v="107.35294117647101"/>
    <n v="386.47058823529397"/>
  </r>
  <r>
    <x v="0"/>
    <x v="0"/>
    <x v="0"/>
    <x v="0"/>
    <x v="1"/>
    <s v="DK2_NoDH"/>
    <x v="0"/>
    <x v="48"/>
    <x v="0"/>
    <x v="14"/>
    <n v="0.29411764705882398"/>
    <n v="107.35294117647101"/>
    <n v="386.47058823529397"/>
  </r>
  <r>
    <x v="0"/>
    <x v="0"/>
    <x v="0"/>
    <x v="0"/>
    <x v="1"/>
    <s v="DK2_NoDH"/>
    <x v="0"/>
    <x v="48"/>
    <x v="0"/>
    <x v="15"/>
    <n v="0.29411764705882398"/>
    <n v="107.35294117647101"/>
    <n v="386.47058823529397"/>
  </r>
  <r>
    <x v="0"/>
    <x v="0"/>
    <x v="0"/>
    <x v="0"/>
    <x v="1"/>
    <s v="DK2_NoDH"/>
    <x v="0"/>
    <x v="48"/>
    <x v="0"/>
    <x v="16"/>
    <n v="0.29411764705882398"/>
    <n v="107.35294117647101"/>
    <n v="386.47058823529397"/>
  </r>
  <r>
    <x v="0"/>
    <x v="0"/>
    <x v="0"/>
    <x v="0"/>
    <x v="1"/>
    <s v="DK2_NoDH"/>
    <x v="0"/>
    <x v="48"/>
    <x v="0"/>
    <x v="17"/>
    <n v="0.29411764705882398"/>
    <n v="107.35294117647101"/>
    <n v="386.47058823529397"/>
  </r>
  <r>
    <x v="0"/>
    <x v="0"/>
    <x v="0"/>
    <x v="0"/>
    <x v="1"/>
    <s v="DK2_NoDH"/>
    <x v="0"/>
    <x v="48"/>
    <x v="0"/>
    <x v="18"/>
    <n v="0.29411764705882398"/>
    <n v="107.35294117647101"/>
    <n v="386.47058823529397"/>
  </r>
  <r>
    <x v="0"/>
    <x v="0"/>
    <x v="0"/>
    <x v="0"/>
    <x v="1"/>
    <s v="DK2_NoDH"/>
    <x v="0"/>
    <x v="48"/>
    <x v="0"/>
    <x v="19"/>
    <n v="0.29411764705882398"/>
    <n v="107.35294117647101"/>
    <n v="386.47058823529397"/>
  </r>
  <r>
    <x v="0"/>
    <x v="0"/>
    <x v="0"/>
    <x v="0"/>
    <x v="1"/>
    <s v="DK2_NoDH"/>
    <x v="0"/>
    <x v="48"/>
    <x v="0"/>
    <x v="20"/>
    <n v="0.29411764705882398"/>
    <n v="107.35294117647101"/>
    <n v="386.47058823529397"/>
  </r>
  <r>
    <x v="0"/>
    <x v="0"/>
    <x v="0"/>
    <x v="0"/>
    <x v="1"/>
    <s v="DK2_NoDH"/>
    <x v="0"/>
    <x v="48"/>
    <x v="0"/>
    <x v="21"/>
    <n v="0.29411764705882398"/>
    <n v="107.35294117647101"/>
    <n v="386.47058823529397"/>
  </r>
  <r>
    <x v="0"/>
    <x v="0"/>
    <x v="0"/>
    <x v="0"/>
    <x v="1"/>
    <s v="DK2_NoDH"/>
    <x v="0"/>
    <x v="48"/>
    <x v="0"/>
    <x v="22"/>
    <n v="0.29411764705882398"/>
    <n v="107.35294117647101"/>
    <n v="386.47058823529397"/>
  </r>
  <r>
    <x v="0"/>
    <x v="0"/>
    <x v="0"/>
    <x v="0"/>
    <x v="1"/>
    <s v="DK2_NoDH"/>
    <x v="0"/>
    <x v="48"/>
    <x v="0"/>
    <x v="23"/>
    <n v="0.29411764705882398"/>
    <n v="107.35294117647101"/>
    <n v="386.47058823529397"/>
  </r>
  <r>
    <x v="0"/>
    <x v="0"/>
    <x v="0"/>
    <x v="0"/>
    <x v="1"/>
    <s v="DK2_NoDH"/>
    <x v="0"/>
    <x v="49"/>
    <x v="0"/>
    <x v="0"/>
    <n v="0.628571428571429"/>
    <n v="229.42857142857099"/>
    <n v="825.94285714285695"/>
  </r>
  <r>
    <x v="0"/>
    <x v="0"/>
    <x v="0"/>
    <x v="0"/>
    <x v="1"/>
    <s v="DK2_NoDH"/>
    <x v="0"/>
    <x v="49"/>
    <x v="0"/>
    <x v="1"/>
    <n v="0.628571428571429"/>
    <n v="229.42857142857099"/>
    <n v="825.94285714285695"/>
  </r>
  <r>
    <x v="0"/>
    <x v="0"/>
    <x v="0"/>
    <x v="0"/>
    <x v="1"/>
    <s v="DK2_NoDH"/>
    <x v="0"/>
    <x v="49"/>
    <x v="0"/>
    <x v="2"/>
    <n v="0.628571428571429"/>
    <n v="229.42857142857099"/>
    <n v="825.94285714285695"/>
  </r>
  <r>
    <x v="0"/>
    <x v="0"/>
    <x v="0"/>
    <x v="0"/>
    <x v="1"/>
    <s v="DK2_NoDH"/>
    <x v="0"/>
    <x v="49"/>
    <x v="0"/>
    <x v="3"/>
    <n v="0.628571428571429"/>
    <n v="229.42857142857099"/>
    <n v="825.94285714285695"/>
  </r>
  <r>
    <x v="0"/>
    <x v="0"/>
    <x v="0"/>
    <x v="0"/>
    <x v="1"/>
    <s v="DK2_NoDH"/>
    <x v="0"/>
    <x v="49"/>
    <x v="0"/>
    <x v="4"/>
    <n v="0.628571428571429"/>
    <n v="229.42857142857099"/>
    <n v="825.94285714285695"/>
  </r>
  <r>
    <x v="0"/>
    <x v="0"/>
    <x v="0"/>
    <x v="0"/>
    <x v="1"/>
    <s v="DK2_NoDH"/>
    <x v="0"/>
    <x v="49"/>
    <x v="0"/>
    <x v="5"/>
    <n v="0.628571428571429"/>
    <n v="229.42857142857099"/>
    <n v="825.94285714285695"/>
  </r>
  <r>
    <x v="0"/>
    <x v="0"/>
    <x v="0"/>
    <x v="0"/>
    <x v="1"/>
    <s v="DK2_NoDH"/>
    <x v="0"/>
    <x v="49"/>
    <x v="0"/>
    <x v="6"/>
    <n v="0.628571428571429"/>
    <n v="229.42857142857099"/>
    <n v="825.94285714285695"/>
  </r>
  <r>
    <x v="0"/>
    <x v="0"/>
    <x v="0"/>
    <x v="0"/>
    <x v="1"/>
    <s v="DK2_NoDH"/>
    <x v="0"/>
    <x v="49"/>
    <x v="0"/>
    <x v="7"/>
    <n v="0.628571428571429"/>
    <n v="229.42857142857099"/>
    <n v="825.94285714285695"/>
  </r>
  <r>
    <x v="0"/>
    <x v="0"/>
    <x v="0"/>
    <x v="0"/>
    <x v="1"/>
    <s v="DK2_NoDH"/>
    <x v="0"/>
    <x v="49"/>
    <x v="0"/>
    <x v="8"/>
    <n v="0.628571428571429"/>
    <n v="229.42857142857099"/>
    <n v="825.94285714285695"/>
  </r>
  <r>
    <x v="0"/>
    <x v="0"/>
    <x v="0"/>
    <x v="0"/>
    <x v="1"/>
    <s v="DK2_NoDH"/>
    <x v="0"/>
    <x v="49"/>
    <x v="0"/>
    <x v="9"/>
    <n v="0.628571428571429"/>
    <n v="229.42857142857099"/>
    <n v="825.94285714285695"/>
  </r>
  <r>
    <x v="0"/>
    <x v="0"/>
    <x v="0"/>
    <x v="0"/>
    <x v="1"/>
    <s v="DK2_NoDH"/>
    <x v="0"/>
    <x v="49"/>
    <x v="0"/>
    <x v="10"/>
    <n v="0.628571428571429"/>
    <n v="229.42857142857099"/>
    <n v="825.94285714285695"/>
  </r>
  <r>
    <x v="0"/>
    <x v="0"/>
    <x v="0"/>
    <x v="0"/>
    <x v="1"/>
    <s v="DK2_NoDH"/>
    <x v="0"/>
    <x v="49"/>
    <x v="0"/>
    <x v="11"/>
    <n v="0.628571428571429"/>
    <n v="229.42857142857099"/>
    <n v="825.94285714285695"/>
  </r>
  <r>
    <x v="0"/>
    <x v="0"/>
    <x v="0"/>
    <x v="0"/>
    <x v="1"/>
    <s v="DK2_NoDH"/>
    <x v="0"/>
    <x v="49"/>
    <x v="0"/>
    <x v="12"/>
    <n v="0.628571428571429"/>
    <n v="229.42857142857099"/>
    <n v="825.94285714285695"/>
  </r>
  <r>
    <x v="0"/>
    <x v="0"/>
    <x v="0"/>
    <x v="0"/>
    <x v="1"/>
    <s v="DK2_NoDH"/>
    <x v="0"/>
    <x v="49"/>
    <x v="0"/>
    <x v="13"/>
    <n v="0.628571428571429"/>
    <n v="229.42857142857099"/>
    <n v="825.94285714285695"/>
  </r>
  <r>
    <x v="0"/>
    <x v="0"/>
    <x v="0"/>
    <x v="0"/>
    <x v="1"/>
    <s v="DK2_NoDH"/>
    <x v="0"/>
    <x v="49"/>
    <x v="0"/>
    <x v="14"/>
    <n v="0.628571428571429"/>
    <n v="229.42857142857099"/>
    <n v="825.94285714285695"/>
  </r>
  <r>
    <x v="0"/>
    <x v="0"/>
    <x v="0"/>
    <x v="0"/>
    <x v="1"/>
    <s v="DK2_NoDH"/>
    <x v="0"/>
    <x v="49"/>
    <x v="0"/>
    <x v="15"/>
    <n v="0.628571428571429"/>
    <n v="229.42857142857099"/>
    <n v="825.94285714285695"/>
  </r>
  <r>
    <x v="0"/>
    <x v="0"/>
    <x v="0"/>
    <x v="0"/>
    <x v="1"/>
    <s v="DK2_NoDH"/>
    <x v="0"/>
    <x v="49"/>
    <x v="0"/>
    <x v="16"/>
    <n v="0.628571428571429"/>
    <n v="229.42857142857099"/>
    <n v="825.94285714285695"/>
  </r>
  <r>
    <x v="0"/>
    <x v="0"/>
    <x v="0"/>
    <x v="0"/>
    <x v="1"/>
    <s v="DK2_NoDH"/>
    <x v="0"/>
    <x v="49"/>
    <x v="0"/>
    <x v="17"/>
    <n v="0.628571428571429"/>
    <n v="229.42857142857099"/>
    <n v="825.94285714285695"/>
  </r>
  <r>
    <x v="0"/>
    <x v="0"/>
    <x v="0"/>
    <x v="0"/>
    <x v="1"/>
    <s v="DK2_NoDH"/>
    <x v="0"/>
    <x v="49"/>
    <x v="0"/>
    <x v="18"/>
    <n v="0.628571428571429"/>
    <n v="229.42857142857099"/>
    <n v="825.94285714285695"/>
  </r>
  <r>
    <x v="0"/>
    <x v="0"/>
    <x v="0"/>
    <x v="0"/>
    <x v="1"/>
    <s v="DK2_NoDH"/>
    <x v="0"/>
    <x v="49"/>
    <x v="0"/>
    <x v="19"/>
    <n v="0.628571428571429"/>
    <n v="229.42857142857099"/>
    <n v="825.94285714285695"/>
  </r>
  <r>
    <x v="0"/>
    <x v="0"/>
    <x v="0"/>
    <x v="0"/>
    <x v="1"/>
    <s v="DK2_NoDH"/>
    <x v="0"/>
    <x v="49"/>
    <x v="0"/>
    <x v="20"/>
    <n v="0.628571428571429"/>
    <n v="229.42857142857099"/>
    <n v="825.94285714285695"/>
  </r>
  <r>
    <x v="0"/>
    <x v="0"/>
    <x v="0"/>
    <x v="0"/>
    <x v="1"/>
    <s v="DK2_NoDH"/>
    <x v="0"/>
    <x v="49"/>
    <x v="0"/>
    <x v="21"/>
    <n v="0.628571428571429"/>
    <n v="229.42857142857099"/>
    <n v="825.94285714285695"/>
  </r>
  <r>
    <x v="0"/>
    <x v="0"/>
    <x v="0"/>
    <x v="0"/>
    <x v="1"/>
    <s v="DK2_NoDH"/>
    <x v="0"/>
    <x v="49"/>
    <x v="0"/>
    <x v="22"/>
    <n v="0.628571428571429"/>
    <n v="229.42857142857099"/>
    <n v="825.94285714285695"/>
  </r>
  <r>
    <x v="0"/>
    <x v="0"/>
    <x v="0"/>
    <x v="0"/>
    <x v="1"/>
    <s v="DK2_NoDH"/>
    <x v="0"/>
    <x v="49"/>
    <x v="0"/>
    <x v="23"/>
    <n v="0.628571428571429"/>
    <n v="229.42857142857099"/>
    <n v="825.94285714285695"/>
  </r>
  <r>
    <x v="0"/>
    <x v="0"/>
    <x v="0"/>
    <x v="0"/>
    <x v="1"/>
    <s v="DK2_NoDH"/>
    <x v="0"/>
    <x v="3"/>
    <x v="0"/>
    <x v="0"/>
    <n v="0.17499999999999999"/>
    <n v="63.875"/>
    <n v="229.95"/>
  </r>
  <r>
    <x v="0"/>
    <x v="0"/>
    <x v="0"/>
    <x v="0"/>
    <x v="1"/>
    <s v="DK2_NoDH"/>
    <x v="0"/>
    <x v="3"/>
    <x v="0"/>
    <x v="1"/>
    <n v="0.17499999999999999"/>
    <n v="63.875"/>
    <n v="229.95"/>
  </r>
  <r>
    <x v="0"/>
    <x v="0"/>
    <x v="0"/>
    <x v="0"/>
    <x v="1"/>
    <s v="DK2_NoDH"/>
    <x v="0"/>
    <x v="3"/>
    <x v="0"/>
    <x v="2"/>
    <n v="0.17499999999999999"/>
    <n v="63.875"/>
    <n v="229.95"/>
  </r>
  <r>
    <x v="0"/>
    <x v="0"/>
    <x v="0"/>
    <x v="0"/>
    <x v="1"/>
    <s v="DK2_NoDH"/>
    <x v="0"/>
    <x v="3"/>
    <x v="0"/>
    <x v="3"/>
    <n v="0.17499999999999999"/>
    <n v="63.875"/>
    <n v="229.95"/>
  </r>
  <r>
    <x v="0"/>
    <x v="0"/>
    <x v="0"/>
    <x v="0"/>
    <x v="1"/>
    <s v="DK2_NoDH"/>
    <x v="0"/>
    <x v="3"/>
    <x v="0"/>
    <x v="4"/>
    <n v="0.17499999999999999"/>
    <n v="63.875"/>
    <n v="229.95"/>
  </r>
  <r>
    <x v="0"/>
    <x v="0"/>
    <x v="0"/>
    <x v="0"/>
    <x v="1"/>
    <s v="DK2_NoDH"/>
    <x v="0"/>
    <x v="3"/>
    <x v="0"/>
    <x v="5"/>
    <n v="0.17499999999999999"/>
    <n v="63.875"/>
    <n v="229.95"/>
  </r>
  <r>
    <x v="0"/>
    <x v="0"/>
    <x v="0"/>
    <x v="0"/>
    <x v="1"/>
    <s v="DK2_NoDH"/>
    <x v="0"/>
    <x v="3"/>
    <x v="0"/>
    <x v="6"/>
    <n v="0.17499999999999999"/>
    <n v="63.875"/>
    <n v="229.95"/>
  </r>
  <r>
    <x v="0"/>
    <x v="0"/>
    <x v="0"/>
    <x v="0"/>
    <x v="1"/>
    <s v="DK2_NoDH"/>
    <x v="0"/>
    <x v="3"/>
    <x v="0"/>
    <x v="7"/>
    <n v="0.17499999999999999"/>
    <n v="63.875"/>
    <n v="229.95"/>
  </r>
  <r>
    <x v="0"/>
    <x v="0"/>
    <x v="0"/>
    <x v="0"/>
    <x v="1"/>
    <s v="DK2_NoDH"/>
    <x v="0"/>
    <x v="3"/>
    <x v="0"/>
    <x v="8"/>
    <n v="0.17499999999999999"/>
    <n v="63.875"/>
    <n v="229.95"/>
  </r>
  <r>
    <x v="0"/>
    <x v="0"/>
    <x v="0"/>
    <x v="0"/>
    <x v="1"/>
    <s v="DK2_NoDH"/>
    <x v="0"/>
    <x v="3"/>
    <x v="0"/>
    <x v="9"/>
    <n v="0.17499999999999999"/>
    <n v="63.875"/>
    <n v="229.95"/>
  </r>
  <r>
    <x v="0"/>
    <x v="0"/>
    <x v="0"/>
    <x v="0"/>
    <x v="1"/>
    <s v="DK2_NoDH"/>
    <x v="0"/>
    <x v="3"/>
    <x v="0"/>
    <x v="10"/>
    <n v="0.17499999999999999"/>
    <n v="63.875"/>
    <n v="229.95"/>
  </r>
  <r>
    <x v="0"/>
    <x v="0"/>
    <x v="0"/>
    <x v="0"/>
    <x v="1"/>
    <s v="DK2_NoDH"/>
    <x v="0"/>
    <x v="3"/>
    <x v="0"/>
    <x v="11"/>
    <n v="0.17499999999999999"/>
    <n v="63.875"/>
    <n v="229.95"/>
  </r>
  <r>
    <x v="0"/>
    <x v="0"/>
    <x v="0"/>
    <x v="0"/>
    <x v="1"/>
    <s v="DK2_NoDH"/>
    <x v="0"/>
    <x v="3"/>
    <x v="0"/>
    <x v="12"/>
    <n v="0.17499999999999999"/>
    <n v="63.875"/>
    <n v="229.95"/>
  </r>
  <r>
    <x v="0"/>
    <x v="0"/>
    <x v="0"/>
    <x v="0"/>
    <x v="1"/>
    <s v="DK2_NoDH"/>
    <x v="0"/>
    <x v="3"/>
    <x v="0"/>
    <x v="13"/>
    <n v="0.17499999999999999"/>
    <n v="63.875"/>
    <n v="229.95"/>
  </r>
  <r>
    <x v="0"/>
    <x v="0"/>
    <x v="0"/>
    <x v="0"/>
    <x v="1"/>
    <s v="DK2_NoDH"/>
    <x v="0"/>
    <x v="3"/>
    <x v="0"/>
    <x v="14"/>
    <n v="0.17499999999999999"/>
    <n v="63.875"/>
    <n v="229.95"/>
  </r>
  <r>
    <x v="0"/>
    <x v="0"/>
    <x v="0"/>
    <x v="0"/>
    <x v="1"/>
    <s v="DK2_NoDH"/>
    <x v="0"/>
    <x v="3"/>
    <x v="0"/>
    <x v="15"/>
    <n v="0.17499999999999999"/>
    <n v="63.875"/>
    <n v="229.95"/>
  </r>
  <r>
    <x v="0"/>
    <x v="0"/>
    <x v="0"/>
    <x v="0"/>
    <x v="1"/>
    <s v="DK2_NoDH"/>
    <x v="0"/>
    <x v="3"/>
    <x v="0"/>
    <x v="16"/>
    <n v="0.17499999999999999"/>
    <n v="63.875"/>
    <n v="229.95"/>
  </r>
  <r>
    <x v="0"/>
    <x v="0"/>
    <x v="0"/>
    <x v="0"/>
    <x v="1"/>
    <s v="DK2_NoDH"/>
    <x v="0"/>
    <x v="3"/>
    <x v="0"/>
    <x v="17"/>
    <n v="0.17499999999999999"/>
    <n v="63.875"/>
    <n v="229.95"/>
  </r>
  <r>
    <x v="0"/>
    <x v="0"/>
    <x v="0"/>
    <x v="0"/>
    <x v="1"/>
    <s v="DK2_NoDH"/>
    <x v="0"/>
    <x v="3"/>
    <x v="0"/>
    <x v="18"/>
    <n v="0.17499999999999999"/>
    <n v="63.875"/>
    <n v="229.95"/>
  </r>
  <r>
    <x v="0"/>
    <x v="0"/>
    <x v="0"/>
    <x v="0"/>
    <x v="1"/>
    <s v="DK2_NoDH"/>
    <x v="0"/>
    <x v="3"/>
    <x v="0"/>
    <x v="19"/>
    <n v="0.17499999999999999"/>
    <n v="63.875"/>
    <n v="229.95"/>
  </r>
  <r>
    <x v="0"/>
    <x v="0"/>
    <x v="0"/>
    <x v="0"/>
    <x v="1"/>
    <s v="DK2_NoDH"/>
    <x v="0"/>
    <x v="3"/>
    <x v="0"/>
    <x v="20"/>
    <n v="0.17499999999999999"/>
    <n v="63.875"/>
    <n v="229.95"/>
  </r>
  <r>
    <x v="0"/>
    <x v="0"/>
    <x v="0"/>
    <x v="0"/>
    <x v="1"/>
    <s v="DK2_NoDH"/>
    <x v="0"/>
    <x v="3"/>
    <x v="0"/>
    <x v="21"/>
    <n v="0.17499999999999999"/>
    <n v="63.875"/>
    <n v="229.95"/>
  </r>
  <r>
    <x v="0"/>
    <x v="0"/>
    <x v="0"/>
    <x v="0"/>
    <x v="1"/>
    <s v="DK2_NoDH"/>
    <x v="0"/>
    <x v="3"/>
    <x v="0"/>
    <x v="22"/>
    <n v="0.17499999999999999"/>
    <n v="63.875"/>
    <n v="229.95"/>
  </r>
  <r>
    <x v="0"/>
    <x v="0"/>
    <x v="0"/>
    <x v="0"/>
    <x v="1"/>
    <s v="DK2_NoDH"/>
    <x v="0"/>
    <x v="3"/>
    <x v="0"/>
    <x v="23"/>
    <n v="0.17499999999999999"/>
    <n v="63.875"/>
    <n v="229.95"/>
  </r>
  <r>
    <x v="0"/>
    <x v="0"/>
    <x v="0"/>
    <x v="0"/>
    <x v="1"/>
    <s v="DK2_NoDH"/>
    <x v="0"/>
    <x v="4"/>
    <x v="0"/>
    <x v="0"/>
    <n v="0.27027027027027001"/>
    <n v="98.648648648648603"/>
    <n v="355.13513513513499"/>
  </r>
  <r>
    <x v="0"/>
    <x v="0"/>
    <x v="0"/>
    <x v="0"/>
    <x v="1"/>
    <s v="DK2_NoDH"/>
    <x v="0"/>
    <x v="4"/>
    <x v="0"/>
    <x v="1"/>
    <n v="0.27027027027027001"/>
    <n v="98.648648648648603"/>
    <n v="355.13513513513499"/>
  </r>
  <r>
    <x v="0"/>
    <x v="0"/>
    <x v="0"/>
    <x v="0"/>
    <x v="1"/>
    <s v="DK2_NoDH"/>
    <x v="0"/>
    <x v="4"/>
    <x v="0"/>
    <x v="2"/>
    <n v="0.27027027027027001"/>
    <n v="98.648648648648603"/>
    <n v="355.13513513513499"/>
  </r>
  <r>
    <x v="0"/>
    <x v="0"/>
    <x v="0"/>
    <x v="0"/>
    <x v="1"/>
    <s v="DK2_NoDH"/>
    <x v="0"/>
    <x v="4"/>
    <x v="0"/>
    <x v="3"/>
    <n v="0.27027027027027001"/>
    <n v="98.648648648648603"/>
    <n v="355.13513513513499"/>
  </r>
  <r>
    <x v="0"/>
    <x v="0"/>
    <x v="0"/>
    <x v="0"/>
    <x v="1"/>
    <s v="DK2_NoDH"/>
    <x v="0"/>
    <x v="4"/>
    <x v="0"/>
    <x v="4"/>
    <n v="0.27027027027027001"/>
    <n v="98.648648648648603"/>
    <n v="355.13513513513499"/>
  </r>
  <r>
    <x v="0"/>
    <x v="0"/>
    <x v="0"/>
    <x v="0"/>
    <x v="1"/>
    <s v="DK2_NoDH"/>
    <x v="0"/>
    <x v="4"/>
    <x v="0"/>
    <x v="5"/>
    <n v="0.27027027027027001"/>
    <n v="98.648648648648603"/>
    <n v="355.13513513513499"/>
  </r>
  <r>
    <x v="0"/>
    <x v="0"/>
    <x v="0"/>
    <x v="0"/>
    <x v="1"/>
    <s v="DK2_NoDH"/>
    <x v="0"/>
    <x v="4"/>
    <x v="0"/>
    <x v="6"/>
    <n v="0.27027027027027001"/>
    <n v="98.648648648648603"/>
    <n v="355.13513513513499"/>
  </r>
  <r>
    <x v="0"/>
    <x v="0"/>
    <x v="0"/>
    <x v="0"/>
    <x v="1"/>
    <s v="DK2_NoDH"/>
    <x v="0"/>
    <x v="4"/>
    <x v="0"/>
    <x v="7"/>
    <n v="0.27027027027027001"/>
    <n v="98.648648648648603"/>
    <n v="355.13513513513499"/>
  </r>
  <r>
    <x v="0"/>
    <x v="0"/>
    <x v="0"/>
    <x v="0"/>
    <x v="1"/>
    <s v="DK2_NoDH"/>
    <x v="0"/>
    <x v="4"/>
    <x v="0"/>
    <x v="8"/>
    <n v="0.27027027027027001"/>
    <n v="98.648648648648603"/>
    <n v="355.13513513513499"/>
  </r>
  <r>
    <x v="0"/>
    <x v="0"/>
    <x v="0"/>
    <x v="0"/>
    <x v="1"/>
    <s v="DK2_NoDH"/>
    <x v="0"/>
    <x v="4"/>
    <x v="0"/>
    <x v="9"/>
    <n v="0.27027027027027001"/>
    <n v="98.648648648648603"/>
    <n v="355.13513513513499"/>
  </r>
  <r>
    <x v="0"/>
    <x v="0"/>
    <x v="0"/>
    <x v="0"/>
    <x v="1"/>
    <s v="DK2_NoDH"/>
    <x v="0"/>
    <x v="4"/>
    <x v="0"/>
    <x v="10"/>
    <n v="0.27027027027027001"/>
    <n v="98.648648648648603"/>
    <n v="355.13513513513499"/>
  </r>
  <r>
    <x v="0"/>
    <x v="0"/>
    <x v="0"/>
    <x v="0"/>
    <x v="1"/>
    <s v="DK2_NoDH"/>
    <x v="0"/>
    <x v="4"/>
    <x v="0"/>
    <x v="11"/>
    <n v="0.27027027027027001"/>
    <n v="98.648648648648603"/>
    <n v="355.13513513513499"/>
  </r>
  <r>
    <x v="0"/>
    <x v="0"/>
    <x v="0"/>
    <x v="0"/>
    <x v="1"/>
    <s v="DK2_NoDH"/>
    <x v="0"/>
    <x v="4"/>
    <x v="0"/>
    <x v="12"/>
    <n v="0.27027027027027001"/>
    <n v="98.648648648648603"/>
    <n v="355.13513513513499"/>
  </r>
  <r>
    <x v="0"/>
    <x v="0"/>
    <x v="0"/>
    <x v="0"/>
    <x v="1"/>
    <s v="DK2_NoDH"/>
    <x v="0"/>
    <x v="4"/>
    <x v="0"/>
    <x v="13"/>
    <n v="0.27027027027027001"/>
    <n v="98.648648648648603"/>
    <n v="355.13513513513499"/>
  </r>
  <r>
    <x v="0"/>
    <x v="0"/>
    <x v="0"/>
    <x v="0"/>
    <x v="1"/>
    <s v="DK2_NoDH"/>
    <x v="0"/>
    <x v="4"/>
    <x v="0"/>
    <x v="14"/>
    <n v="0.27027027027027001"/>
    <n v="98.648648648648603"/>
    <n v="355.13513513513499"/>
  </r>
  <r>
    <x v="0"/>
    <x v="0"/>
    <x v="0"/>
    <x v="0"/>
    <x v="1"/>
    <s v="DK2_NoDH"/>
    <x v="0"/>
    <x v="4"/>
    <x v="0"/>
    <x v="15"/>
    <n v="0.27027027027027001"/>
    <n v="98.648648648648603"/>
    <n v="355.13513513513499"/>
  </r>
  <r>
    <x v="0"/>
    <x v="0"/>
    <x v="0"/>
    <x v="0"/>
    <x v="1"/>
    <s v="DK2_NoDH"/>
    <x v="0"/>
    <x v="4"/>
    <x v="0"/>
    <x v="16"/>
    <n v="0.27027027027027001"/>
    <n v="98.648648648648603"/>
    <n v="355.13513513513499"/>
  </r>
  <r>
    <x v="0"/>
    <x v="0"/>
    <x v="0"/>
    <x v="0"/>
    <x v="1"/>
    <s v="DK2_NoDH"/>
    <x v="0"/>
    <x v="4"/>
    <x v="0"/>
    <x v="17"/>
    <n v="0.27027027027027001"/>
    <n v="98.648648648648603"/>
    <n v="355.13513513513499"/>
  </r>
  <r>
    <x v="0"/>
    <x v="0"/>
    <x v="0"/>
    <x v="0"/>
    <x v="1"/>
    <s v="DK2_NoDH"/>
    <x v="0"/>
    <x v="4"/>
    <x v="0"/>
    <x v="18"/>
    <n v="0.27027027027027001"/>
    <n v="98.648648648648603"/>
    <n v="355.13513513513499"/>
  </r>
  <r>
    <x v="0"/>
    <x v="0"/>
    <x v="0"/>
    <x v="0"/>
    <x v="1"/>
    <s v="DK2_NoDH"/>
    <x v="0"/>
    <x v="4"/>
    <x v="0"/>
    <x v="19"/>
    <n v="0.27027027027027001"/>
    <n v="98.648648648648603"/>
    <n v="355.13513513513499"/>
  </r>
  <r>
    <x v="0"/>
    <x v="0"/>
    <x v="0"/>
    <x v="0"/>
    <x v="1"/>
    <s v="DK2_NoDH"/>
    <x v="0"/>
    <x v="4"/>
    <x v="0"/>
    <x v="20"/>
    <n v="0.27027027027027001"/>
    <n v="98.648648648648603"/>
    <n v="355.13513513513499"/>
  </r>
  <r>
    <x v="0"/>
    <x v="0"/>
    <x v="0"/>
    <x v="0"/>
    <x v="1"/>
    <s v="DK2_NoDH"/>
    <x v="0"/>
    <x v="4"/>
    <x v="0"/>
    <x v="21"/>
    <n v="0.27027027027027001"/>
    <n v="98.648648648648603"/>
    <n v="355.13513513513499"/>
  </r>
  <r>
    <x v="0"/>
    <x v="0"/>
    <x v="0"/>
    <x v="0"/>
    <x v="1"/>
    <s v="DK2_NoDH"/>
    <x v="0"/>
    <x v="4"/>
    <x v="0"/>
    <x v="22"/>
    <n v="0.27027027027027001"/>
    <n v="98.648648648648603"/>
    <n v="355.13513513513499"/>
  </r>
  <r>
    <x v="0"/>
    <x v="0"/>
    <x v="0"/>
    <x v="0"/>
    <x v="1"/>
    <s v="DK2_NoDH"/>
    <x v="0"/>
    <x v="4"/>
    <x v="0"/>
    <x v="23"/>
    <n v="0.27027027027027001"/>
    <n v="98.648648648648603"/>
    <n v="355.13513513513499"/>
  </r>
  <r>
    <x v="0"/>
    <x v="0"/>
    <x v="0"/>
    <x v="0"/>
    <x v="1"/>
    <s v="DK2_NoDH"/>
    <x v="0"/>
    <x v="37"/>
    <x v="0"/>
    <x v="0"/>
    <n v="0.95526315789473604"/>
    <n v="348.67105263157902"/>
    <n v="1255.2157894736799"/>
  </r>
  <r>
    <x v="0"/>
    <x v="0"/>
    <x v="0"/>
    <x v="0"/>
    <x v="1"/>
    <s v="DK2_NoDH"/>
    <x v="0"/>
    <x v="37"/>
    <x v="0"/>
    <x v="1"/>
    <n v="0.95526315789473604"/>
    <n v="348.67105263157902"/>
    <n v="1255.2157894736799"/>
  </r>
  <r>
    <x v="0"/>
    <x v="0"/>
    <x v="0"/>
    <x v="0"/>
    <x v="1"/>
    <s v="DK2_NoDH"/>
    <x v="0"/>
    <x v="37"/>
    <x v="0"/>
    <x v="2"/>
    <n v="0.95526315789473604"/>
    <n v="348.67105263157902"/>
    <n v="1255.2157894736799"/>
  </r>
  <r>
    <x v="0"/>
    <x v="0"/>
    <x v="0"/>
    <x v="0"/>
    <x v="1"/>
    <s v="DK2_NoDH"/>
    <x v="0"/>
    <x v="37"/>
    <x v="0"/>
    <x v="3"/>
    <n v="0.95526315789473604"/>
    <n v="348.67105263157902"/>
    <n v="1255.2157894736799"/>
  </r>
  <r>
    <x v="0"/>
    <x v="0"/>
    <x v="0"/>
    <x v="0"/>
    <x v="1"/>
    <s v="DK2_NoDH"/>
    <x v="0"/>
    <x v="37"/>
    <x v="0"/>
    <x v="4"/>
    <n v="0.95526315789473604"/>
    <n v="348.67105263157902"/>
    <n v="1255.2157894736799"/>
  </r>
  <r>
    <x v="0"/>
    <x v="0"/>
    <x v="0"/>
    <x v="0"/>
    <x v="1"/>
    <s v="DK2_NoDH"/>
    <x v="0"/>
    <x v="37"/>
    <x v="0"/>
    <x v="5"/>
    <n v="0.95526315789473604"/>
    <n v="348.67105263157902"/>
    <n v="1255.2157894736799"/>
  </r>
  <r>
    <x v="0"/>
    <x v="0"/>
    <x v="0"/>
    <x v="0"/>
    <x v="1"/>
    <s v="DK2_NoDH"/>
    <x v="0"/>
    <x v="37"/>
    <x v="0"/>
    <x v="6"/>
    <n v="0.95526315789473604"/>
    <n v="348.67105263157902"/>
    <n v="1255.2157894736799"/>
  </r>
  <r>
    <x v="0"/>
    <x v="0"/>
    <x v="0"/>
    <x v="0"/>
    <x v="1"/>
    <s v="DK2_NoDH"/>
    <x v="0"/>
    <x v="37"/>
    <x v="0"/>
    <x v="7"/>
    <n v="0.95526315789473604"/>
    <n v="348.67105263157902"/>
    <n v="1255.2157894736799"/>
  </r>
  <r>
    <x v="0"/>
    <x v="0"/>
    <x v="0"/>
    <x v="0"/>
    <x v="1"/>
    <s v="DK2_NoDH"/>
    <x v="0"/>
    <x v="37"/>
    <x v="0"/>
    <x v="8"/>
    <n v="0.95526315789473604"/>
    <n v="348.67105263157902"/>
    <n v="1255.2157894736799"/>
  </r>
  <r>
    <x v="0"/>
    <x v="0"/>
    <x v="0"/>
    <x v="0"/>
    <x v="1"/>
    <s v="DK2_NoDH"/>
    <x v="0"/>
    <x v="37"/>
    <x v="0"/>
    <x v="9"/>
    <n v="0.95526315789473604"/>
    <n v="348.67105263157902"/>
    <n v="1255.2157894736799"/>
  </r>
  <r>
    <x v="0"/>
    <x v="0"/>
    <x v="0"/>
    <x v="0"/>
    <x v="1"/>
    <s v="DK2_NoDH"/>
    <x v="0"/>
    <x v="37"/>
    <x v="0"/>
    <x v="10"/>
    <n v="0.95526315789473604"/>
    <n v="348.67105263157902"/>
    <n v="1255.2157894736799"/>
  </r>
  <r>
    <x v="0"/>
    <x v="0"/>
    <x v="0"/>
    <x v="0"/>
    <x v="1"/>
    <s v="DK2_NoDH"/>
    <x v="0"/>
    <x v="37"/>
    <x v="0"/>
    <x v="11"/>
    <n v="0.95526315789473604"/>
    <n v="348.67105263157902"/>
    <n v="1255.2157894736799"/>
  </r>
  <r>
    <x v="0"/>
    <x v="0"/>
    <x v="0"/>
    <x v="0"/>
    <x v="1"/>
    <s v="DK2_NoDH"/>
    <x v="0"/>
    <x v="37"/>
    <x v="0"/>
    <x v="12"/>
    <n v="0.95526315789473604"/>
    <n v="348.67105263157902"/>
    <n v="1255.2157894736799"/>
  </r>
  <r>
    <x v="0"/>
    <x v="0"/>
    <x v="0"/>
    <x v="0"/>
    <x v="1"/>
    <s v="DK2_NoDH"/>
    <x v="0"/>
    <x v="37"/>
    <x v="0"/>
    <x v="13"/>
    <n v="0.95526315789473604"/>
    <n v="348.67105263157902"/>
    <n v="1255.2157894736799"/>
  </r>
  <r>
    <x v="0"/>
    <x v="0"/>
    <x v="0"/>
    <x v="0"/>
    <x v="1"/>
    <s v="DK2_NoDH"/>
    <x v="0"/>
    <x v="37"/>
    <x v="0"/>
    <x v="14"/>
    <n v="0.95526315789473604"/>
    <n v="348.67105263157902"/>
    <n v="1255.2157894736799"/>
  </r>
  <r>
    <x v="0"/>
    <x v="0"/>
    <x v="0"/>
    <x v="0"/>
    <x v="1"/>
    <s v="DK2_NoDH"/>
    <x v="0"/>
    <x v="37"/>
    <x v="0"/>
    <x v="15"/>
    <n v="0.95526315789473604"/>
    <n v="348.67105263157902"/>
    <n v="1255.2157894736799"/>
  </r>
  <r>
    <x v="0"/>
    <x v="0"/>
    <x v="0"/>
    <x v="0"/>
    <x v="1"/>
    <s v="DK2_NoDH"/>
    <x v="0"/>
    <x v="37"/>
    <x v="0"/>
    <x v="16"/>
    <n v="0.95526315789473604"/>
    <n v="348.67105263157902"/>
    <n v="1255.2157894736799"/>
  </r>
  <r>
    <x v="0"/>
    <x v="0"/>
    <x v="0"/>
    <x v="0"/>
    <x v="1"/>
    <s v="DK2_NoDH"/>
    <x v="0"/>
    <x v="37"/>
    <x v="0"/>
    <x v="17"/>
    <n v="0.95526315789473604"/>
    <n v="348.67105263157902"/>
    <n v="1255.2157894736799"/>
  </r>
  <r>
    <x v="0"/>
    <x v="0"/>
    <x v="0"/>
    <x v="0"/>
    <x v="1"/>
    <s v="DK2_NoDH"/>
    <x v="0"/>
    <x v="37"/>
    <x v="0"/>
    <x v="18"/>
    <n v="0.95526315789473604"/>
    <n v="348.67105263157902"/>
    <n v="1255.2157894736799"/>
  </r>
  <r>
    <x v="0"/>
    <x v="0"/>
    <x v="0"/>
    <x v="0"/>
    <x v="1"/>
    <s v="DK2_NoDH"/>
    <x v="0"/>
    <x v="37"/>
    <x v="0"/>
    <x v="19"/>
    <n v="0.95526315789473604"/>
    <n v="348.67105263157902"/>
    <n v="1255.2157894736799"/>
  </r>
  <r>
    <x v="0"/>
    <x v="0"/>
    <x v="0"/>
    <x v="0"/>
    <x v="1"/>
    <s v="DK2_NoDH"/>
    <x v="0"/>
    <x v="37"/>
    <x v="0"/>
    <x v="20"/>
    <n v="0.95526315789473604"/>
    <n v="348.67105263157902"/>
    <n v="1255.2157894736799"/>
  </r>
  <r>
    <x v="0"/>
    <x v="0"/>
    <x v="0"/>
    <x v="0"/>
    <x v="1"/>
    <s v="DK2_NoDH"/>
    <x v="0"/>
    <x v="37"/>
    <x v="0"/>
    <x v="21"/>
    <n v="0.95526315789473604"/>
    <n v="348.67105263157902"/>
    <n v="1255.2157894736799"/>
  </r>
  <r>
    <x v="0"/>
    <x v="0"/>
    <x v="0"/>
    <x v="0"/>
    <x v="1"/>
    <s v="DK2_NoDH"/>
    <x v="0"/>
    <x v="37"/>
    <x v="0"/>
    <x v="22"/>
    <n v="0.95526315789473604"/>
    <n v="348.67105263157902"/>
    <n v="1255.2157894736799"/>
  </r>
  <r>
    <x v="0"/>
    <x v="0"/>
    <x v="0"/>
    <x v="0"/>
    <x v="1"/>
    <s v="DK2_NoDH"/>
    <x v="0"/>
    <x v="37"/>
    <x v="0"/>
    <x v="23"/>
    <n v="0.95526315789473604"/>
    <n v="348.67105263157902"/>
    <n v="1255.2157894736799"/>
  </r>
  <r>
    <x v="0"/>
    <x v="0"/>
    <x v="0"/>
    <x v="0"/>
    <x v="1"/>
    <s v="DK2_NoDH"/>
    <x v="0"/>
    <x v="5"/>
    <x v="0"/>
    <x v="0"/>
    <n v="2.1025641025641"/>
    <n v="767.435897435897"/>
    <n v="2762.76923076923"/>
  </r>
  <r>
    <x v="0"/>
    <x v="0"/>
    <x v="0"/>
    <x v="0"/>
    <x v="1"/>
    <s v="DK2_NoDH"/>
    <x v="0"/>
    <x v="5"/>
    <x v="0"/>
    <x v="1"/>
    <n v="2.1025641025641"/>
    <n v="767.435897435897"/>
    <n v="2762.76923076923"/>
  </r>
  <r>
    <x v="0"/>
    <x v="0"/>
    <x v="0"/>
    <x v="0"/>
    <x v="1"/>
    <s v="DK2_NoDH"/>
    <x v="0"/>
    <x v="5"/>
    <x v="0"/>
    <x v="2"/>
    <n v="2.1025641025641"/>
    <n v="767.435897435897"/>
    <n v="2762.76923076923"/>
  </r>
  <r>
    <x v="0"/>
    <x v="0"/>
    <x v="0"/>
    <x v="0"/>
    <x v="1"/>
    <s v="DK2_NoDH"/>
    <x v="0"/>
    <x v="5"/>
    <x v="0"/>
    <x v="3"/>
    <n v="2.1025641025641"/>
    <n v="767.435897435897"/>
    <n v="2762.76923076923"/>
  </r>
  <r>
    <x v="0"/>
    <x v="0"/>
    <x v="0"/>
    <x v="0"/>
    <x v="1"/>
    <s v="DK2_NoDH"/>
    <x v="0"/>
    <x v="5"/>
    <x v="0"/>
    <x v="4"/>
    <n v="2.1025641025641"/>
    <n v="767.435897435897"/>
    <n v="2762.76923076923"/>
  </r>
  <r>
    <x v="0"/>
    <x v="0"/>
    <x v="0"/>
    <x v="0"/>
    <x v="1"/>
    <s v="DK2_NoDH"/>
    <x v="0"/>
    <x v="5"/>
    <x v="0"/>
    <x v="5"/>
    <n v="2.1025641025641"/>
    <n v="767.435897435897"/>
    <n v="2762.76923076923"/>
  </r>
  <r>
    <x v="0"/>
    <x v="0"/>
    <x v="0"/>
    <x v="0"/>
    <x v="1"/>
    <s v="DK2_NoDH"/>
    <x v="0"/>
    <x v="5"/>
    <x v="0"/>
    <x v="6"/>
    <n v="2.1025641025641"/>
    <n v="767.435897435897"/>
    <n v="2762.76923076923"/>
  </r>
  <r>
    <x v="0"/>
    <x v="0"/>
    <x v="0"/>
    <x v="0"/>
    <x v="1"/>
    <s v="DK2_NoDH"/>
    <x v="0"/>
    <x v="5"/>
    <x v="0"/>
    <x v="7"/>
    <n v="2.1025641025641"/>
    <n v="767.435897435897"/>
    <n v="2762.76923076923"/>
  </r>
  <r>
    <x v="0"/>
    <x v="0"/>
    <x v="0"/>
    <x v="0"/>
    <x v="1"/>
    <s v="DK2_NoDH"/>
    <x v="0"/>
    <x v="5"/>
    <x v="0"/>
    <x v="8"/>
    <n v="2.1025641025641"/>
    <n v="767.435897435897"/>
    <n v="2762.76923076923"/>
  </r>
  <r>
    <x v="0"/>
    <x v="0"/>
    <x v="0"/>
    <x v="0"/>
    <x v="1"/>
    <s v="DK2_NoDH"/>
    <x v="0"/>
    <x v="5"/>
    <x v="0"/>
    <x v="9"/>
    <n v="2.1025641025641"/>
    <n v="767.435897435897"/>
    <n v="2762.76923076923"/>
  </r>
  <r>
    <x v="0"/>
    <x v="0"/>
    <x v="0"/>
    <x v="0"/>
    <x v="1"/>
    <s v="DK2_NoDH"/>
    <x v="0"/>
    <x v="5"/>
    <x v="0"/>
    <x v="10"/>
    <n v="2.1025641025641"/>
    <n v="767.435897435897"/>
    <n v="2762.76923076923"/>
  </r>
  <r>
    <x v="0"/>
    <x v="0"/>
    <x v="0"/>
    <x v="0"/>
    <x v="1"/>
    <s v="DK2_NoDH"/>
    <x v="0"/>
    <x v="5"/>
    <x v="0"/>
    <x v="11"/>
    <n v="2.1025641025641"/>
    <n v="767.435897435897"/>
    <n v="2762.76923076923"/>
  </r>
  <r>
    <x v="0"/>
    <x v="0"/>
    <x v="0"/>
    <x v="0"/>
    <x v="1"/>
    <s v="DK2_NoDH"/>
    <x v="0"/>
    <x v="5"/>
    <x v="0"/>
    <x v="12"/>
    <n v="2.1025641025641"/>
    <n v="767.435897435897"/>
    <n v="2762.76923076923"/>
  </r>
  <r>
    <x v="0"/>
    <x v="0"/>
    <x v="0"/>
    <x v="0"/>
    <x v="1"/>
    <s v="DK2_NoDH"/>
    <x v="0"/>
    <x v="5"/>
    <x v="0"/>
    <x v="13"/>
    <n v="2.1025641025641"/>
    <n v="767.435897435897"/>
    <n v="2762.76923076923"/>
  </r>
  <r>
    <x v="0"/>
    <x v="0"/>
    <x v="0"/>
    <x v="0"/>
    <x v="1"/>
    <s v="DK2_NoDH"/>
    <x v="0"/>
    <x v="5"/>
    <x v="0"/>
    <x v="14"/>
    <n v="2.1025641025641"/>
    <n v="767.435897435897"/>
    <n v="2762.76923076923"/>
  </r>
  <r>
    <x v="0"/>
    <x v="0"/>
    <x v="0"/>
    <x v="0"/>
    <x v="1"/>
    <s v="DK2_NoDH"/>
    <x v="0"/>
    <x v="5"/>
    <x v="0"/>
    <x v="15"/>
    <n v="2.1025641025641"/>
    <n v="767.435897435897"/>
    <n v="2762.76923076923"/>
  </r>
  <r>
    <x v="0"/>
    <x v="0"/>
    <x v="0"/>
    <x v="0"/>
    <x v="1"/>
    <s v="DK2_NoDH"/>
    <x v="0"/>
    <x v="5"/>
    <x v="0"/>
    <x v="16"/>
    <n v="2.1025641025641"/>
    <n v="767.435897435897"/>
    <n v="2762.76923076923"/>
  </r>
  <r>
    <x v="0"/>
    <x v="0"/>
    <x v="0"/>
    <x v="0"/>
    <x v="1"/>
    <s v="DK2_NoDH"/>
    <x v="0"/>
    <x v="5"/>
    <x v="0"/>
    <x v="17"/>
    <n v="2.1025641025641"/>
    <n v="767.435897435897"/>
    <n v="2762.76923076923"/>
  </r>
  <r>
    <x v="0"/>
    <x v="0"/>
    <x v="0"/>
    <x v="0"/>
    <x v="1"/>
    <s v="DK2_NoDH"/>
    <x v="0"/>
    <x v="5"/>
    <x v="0"/>
    <x v="18"/>
    <n v="2.1025641025641"/>
    <n v="767.435897435897"/>
    <n v="2762.76923076923"/>
  </r>
  <r>
    <x v="0"/>
    <x v="0"/>
    <x v="0"/>
    <x v="0"/>
    <x v="1"/>
    <s v="DK2_NoDH"/>
    <x v="0"/>
    <x v="5"/>
    <x v="0"/>
    <x v="19"/>
    <n v="2.1025641025641"/>
    <n v="767.435897435897"/>
    <n v="2762.76923076923"/>
  </r>
  <r>
    <x v="0"/>
    <x v="0"/>
    <x v="0"/>
    <x v="0"/>
    <x v="1"/>
    <s v="DK2_NoDH"/>
    <x v="0"/>
    <x v="5"/>
    <x v="0"/>
    <x v="20"/>
    <n v="2.1025641025641"/>
    <n v="767.435897435897"/>
    <n v="2762.76923076923"/>
  </r>
  <r>
    <x v="0"/>
    <x v="0"/>
    <x v="0"/>
    <x v="0"/>
    <x v="1"/>
    <s v="DK2_NoDH"/>
    <x v="0"/>
    <x v="5"/>
    <x v="0"/>
    <x v="21"/>
    <n v="2.1025641025641"/>
    <n v="767.435897435897"/>
    <n v="2762.76923076923"/>
  </r>
  <r>
    <x v="0"/>
    <x v="0"/>
    <x v="0"/>
    <x v="0"/>
    <x v="1"/>
    <s v="DK2_NoDH"/>
    <x v="0"/>
    <x v="5"/>
    <x v="0"/>
    <x v="22"/>
    <n v="2.1025641025641"/>
    <n v="767.435897435897"/>
    <n v="2762.76923076923"/>
  </r>
  <r>
    <x v="0"/>
    <x v="0"/>
    <x v="0"/>
    <x v="0"/>
    <x v="1"/>
    <s v="DK2_NoDH"/>
    <x v="0"/>
    <x v="5"/>
    <x v="0"/>
    <x v="23"/>
    <n v="2.1025641025641"/>
    <n v="767.435897435897"/>
    <n v="2762.76923076923"/>
  </r>
  <r>
    <x v="0"/>
    <x v="0"/>
    <x v="0"/>
    <x v="0"/>
    <x v="1"/>
    <s v="DK2_NoDH"/>
    <x v="0"/>
    <x v="6"/>
    <x v="0"/>
    <x v="0"/>
    <n v="0.1"/>
    <n v="36.5"/>
    <n v="131.4"/>
  </r>
  <r>
    <x v="0"/>
    <x v="0"/>
    <x v="0"/>
    <x v="0"/>
    <x v="1"/>
    <s v="DK2_NoDH"/>
    <x v="0"/>
    <x v="6"/>
    <x v="0"/>
    <x v="1"/>
    <n v="0.1"/>
    <n v="36.5"/>
    <n v="131.4"/>
  </r>
  <r>
    <x v="0"/>
    <x v="0"/>
    <x v="0"/>
    <x v="0"/>
    <x v="1"/>
    <s v="DK2_NoDH"/>
    <x v="0"/>
    <x v="6"/>
    <x v="0"/>
    <x v="2"/>
    <n v="0.1"/>
    <n v="36.5"/>
    <n v="131.4"/>
  </r>
  <r>
    <x v="0"/>
    <x v="0"/>
    <x v="0"/>
    <x v="0"/>
    <x v="1"/>
    <s v="DK2_NoDH"/>
    <x v="0"/>
    <x v="6"/>
    <x v="0"/>
    <x v="3"/>
    <n v="0.1"/>
    <n v="36.5"/>
    <n v="131.4"/>
  </r>
  <r>
    <x v="0"/>
    <x v="0"/>
    <x v="0"/>
    <x v="0"/>
    <x v="1"/>
    <s v="DK2_NoDH"/>
    <x v="0"/>
    <x v="6"/>
    <x v="0"/>
    <x v="4"/>
    <n v="0.1"/>
    <n v="36.5"/>
    <n v="131.4"/>
  </r>
  <r>
    <x v="0"/>
    <x v="0"/>
    <x v="0"/>
    <x v="0"/>
    <x v="1"/>
    <s v="DK2_NoDH"/>
    <x v="0"/>
    <x v="6"/>
    <x v="0"/>
    <x v="5"/>
    <n v="0.1"/>
    <n v="36.5"/>
    <n v="131.4"/>
  </r>
  <r>
    <x v="0"/>
    <x v="0"/>
    <x v="0"/>
    <x v="0"/>
    <x v="1"/>
    <s v="DK2_NoDH"/>
    <x v="0"/>
    <x v="6"/>
    <x v="0"/>
    <x v="6"/>
    <n v="0.1"/>
    <n v="36.5"/>
    <n v="131.4"/>
  </r>
  <r>
    <x v="0"/>
    <x v="0"/>
    <x v="0"/>
    <x v="0"/>
    <x v="1"/>
    <s v="DK2_NoDH"/>
    <x v="0"/>
    <x v="6"/>
    <x v="0"/>
    <x v="7"/>
    <n v="0.1"/>
    <n v="36.5"/>
    <n v="131.4"/>
  </r>
  <r>
    <x v="0"/>
    <x v="0"/>
    <x v="0"/>
    <x v="0"/>
    <x v="1"/>
    <s v="DK2_NoDH"/>
    <x v="0"/>
    <x v="6"/>
    <x v="0"/>
    <x v="8"/>
    <n v="0.1"/>
    <n v="36.5"/>
    <n v="131.4"/>
  </r>
  <r>
    <x v="0"/>
    <x v="0"/>
    <x v="0"/>
    <x v="0"/>
    <x v="1"/>
    <s v="DK2_NoDH"/>
    <x v="0"/>
    <x v="6"/>
    <x v="0"/>
    <x v="9"/>
    <n v="0.1"/>
    <n v="36.5"/>
    <n v="131.4"/>
  </r>
  <r>
    <x v="0"/>
    <x v="0"/>
    <x v="0"/>
    <x v="0"/>
    <x v="1"/>
    <s v="DK2_NoDH"/>
    <x v="0"/>
    <x v="6"/>
    <x v="0"/>
    <x v="10"/>
    <n v="0.1"/>
    <n v="36.5"/>
    <n v="131.4"/>
  </r>
  <r>
    <x v="0"/>
    <x v="0"/>
    <x v="0"/>
    <x v="0"/>
    <x v="1"/>
    <s v="DK2_NoDH"/>
    <x v="0"/>
    <x v="6"/>
    <x v="0"/>
    <x v="11"/>
    <n v="0.1"/>
    <n v="36.5"/>
    <n v="131.4"/>
  </r>
  <r>
    <x v="0"/>
    <x v="0"/>
    <x v="0"/>
    <x v="0"/>
    <x v="1"/>
    <s v="DK2_NoDH"/>
    <x v="0"/>
    <x v="6"/>
    <x v="0"/>
    <x v="12"/>
    <n v="0.1"/>
    <n v="36.5"/>
    <n v="131.4"/>
  </r>
  <r>
    <x v="0"/>
    <x v="0"/>
    <x v="0"/>
    <x v="0"/>
    <x v="1"/>
    <s v="DK2_NoDH"/>
    <x v="0"/>
    <x v="6"/>
    <x v="0"/>
    <x v="13"/>
    <n v="0.1"/>
    <n v="36.5"/>
    <n v="131.4"/>
  </r>
  <r>
    <x v="0"/>
    <x v="0"/>
    <x v="0"/>
    <x v="0"/>
    <x v="1"/>
    <s v="DK2_NoDH"/>
    <x v="0"/>
    <x v="6"/>
    <x v="0"/>
    <x v="14"/>
    <n v="0.1"/>
    <n v="36.5"/>
    <n v="131.4"/>
  </r>
  <r>
    <x v="0"/>
    <x v="0"/>
    <x v="0"/>
    <x v="0"/>
    <x v="1"/>
    <s v="DK2_NoDH"/>
    <x v="0"/>
    <x v="6"/>
    <x v="0"/>
    <x v="15"/>
    <n v="0.1"/>
    <n v="36.5"/>
    <n v="131.4"/>
  </r>
  <r>
    <x v="0"/>
    <x v="0"/>
    <x v="0"/>
    <x v="0"/>
    <x v="1"/>
    <s v="DK2_NoDH"/>
    <x v="0"/>
    <x v="6"/>
    <x v="0"/>
    <x v="16"/>
    <n v="0.1"/>
    <n v="36.5"/>
    <n v="131.4"/>
  </r>
  <r>
    <x v="0"/>
    <x v="0"/>
    <x v="0"/>
    <x v="0"/>
    <x v="1"/>
    <s v="DK2_NoDH"/>
    <x v="0"/>
    <x v="6"/>
    <x v="0"/>
    <x v="17"/>
    <n v="0.1"/>
    <n v="36.5"/>
    <n v="131.4"/>
  </r>
  <r>
    <x v="0"/>
    <x v="0"/>
    <x v="0"/>
    <x v="0"/>
    <x v="1"/>
    <s v="DK2_NoDH"/>
    <x v="0"/>
    <x v="6"/>
    <x v="0"/>
    <x v="18"/>
    <n v="0.1"/>
    <n v="36.5"/>
    <n v="131.4"/>
  </r>
  <r>
    <x v="0"/>
    <x v="0"/>
    <x v="0"/>
    <x v="0"/>
    <x v="1"/>
    <s v="DK2_NoDH"/>
    <x v="0"/>
    <x v="6"/>
    <x v="0"/>
    <x v="19"/>
    <n v="0.1"/>
    <n v="36.5"/>
    <n v="131.4"/>
  </r>
  <r>
    <x v="0"/>
    <x v="0"/>
    <x v="0"/>
    <x v="0"/>
    <x v="1"/>
    <s v="DK2_NoDH"/>
    <x v="0"/>
    <x v="6"/>
    <x v="0"/>
    <x v="20"/>
    <n v="0.1"/>
    <n v="36.5"/>
    <n v="131.4"/>
  </r>
  <r>
    <x v="0"/>
    <x v="0"/>
    <x v="0"/>
    <x v="0"/>
    <x v="1"/>
    <s v="DK2_NoDH"/>
    <x v="0"/>
    <x v="6"/>
    <x v="0"/>
    <x v="21"/>
    <n v="0.1"/>
    <n v="36.5"/>
    <n v="131.4"/>
  </r>
  <r>
    <x v="0"/>
    <x v="0"/>
    <x v="0"/>
    <x v="0"/>
    <x v="1"/>
    <s v="DK2_NoDH"/>
    <x v="0"/>
    <x v="6"/>
    <x v="0"/>
    <x v="22"/>
    <n v="0.1"/>
    <n v="36.5"/>
    <n v="131.4"/>
  </r>
  <r>
    <x v="0"/>
    <x v="0"/>
    <x v="0"/>
    <x v="0"/>
    <x v="1"/>
    <s v="DK2_NoDH"/>
    <x v="0"/>
    <x v="6"/>
    <x v="0"/>
    <x v="23"/>
    <n v="0.1"/>
    <n v="36.5"/>
    <n v="131.4"/>
  </r>
  <r>
    <x v="0"/>
    <x v="0"/>
    <x v="0"/>
    <x v="0"/>
    <x v="1"/>
    <s v="DK2_NoDH"/>
    <x v="0"/>
    <x v="8"/>
    <x v="0"/>
    <x v="0"/>
    <n v="10.476190476190499"/>
    <n v="3823.8095238095302"/>
    <n v="13765.714285714301"/>
  </r>
  <r>
    <x v="0"/>
    <x v="0"/>
    <x v="0"/>
    <x v="0"/>
    <x v="1"/>
    <s v="DK2_NoDH"/>
    <x v="0"/>
    <x v="8"/>
    <x v="0"/>
    <x v="1"/>
    <n v="10.476190476190499"/>
    <n v="3823.8095238095302"/>
    <n v="13765.714285714301"/>
  </r>
  <r>
    <x v="0"/>
    <x v="0"/>
    <x v="0"/>
    <x v="0"/>
    <x v="1"/>
    <s v="DK2_NoDH"/>
    <x v="0"/>
    <x v="8"/>
    <x v="0"/>
    <x v="2"/>
    <n v="10.476190476190499"/>
    <n v="3823.8095238095302"/>
    <n v="13765.714285714301"/>
  </r>
  <r>
    <x v="0"/>
    <x v="0"/>
    <x v="0"/>
    <x v="0"/>
    <x v="1"/>
    <s v="DK2_NoDH"/>
    <x v="0"/>
    <x v="8"/>
    <x v="0"/>
    <x v="3"/>
    <n v="10.476190476190499"/>
    <n v="3823.8095238095302"/>
    <n v="13765.714285714301"/>
  </r>
  <r>
    <x v="0"/>
    <x v="0"/>
    <x v="0"/>
    <x v="0"/>
    <x v="1"/>
    <s v="DK2_NoDH"/>
    <x v="0"/>
    <x v="8"/>
    <x v="0"/>
    <x v="4"/>
    <n v="10.476190476190499"/>
    <n v="3823.8095238095302"/>
    <n v="13765.714285714301"/>
  </r>
  <r>
    <x v="0"/>
    <x v="0"/>
    <x v="0"/>
    <x v="0"/>
    <x v="1"/>
    <s v="DK2_NoDH"/>
    <x v="0"/>
    <x v="8"/>
    <x v="0"/>
    <x v="5"/>
    <n v="10.476190476190499"/>
    <n v="3823.8095238095302"/>
    <n v="13765.714285714301"/>
  </r>
  <r>
    <x v="0"/>
    <x v="0"/>
    <x v="0"/>
    <x v="0"/>
    <x v="1"/>
    <s v="DK2_NoDH"/>
    <x v="0"/>
    <x v="8"/>
    <x v="0"/>
    <x v="6"/>
    <n v="10.476190476190499"/>
    <n v="3823.8095238095302"/>
    <n v="13765.714285714301"/>
  </r>
  <r>
    <x v="0"/>
    <x v="0"/>
    <x v="0"/>
    <x v="0"/>
    <x v="1"/>
    <s v="DK2_NoDH"/>
    <x v="0"/>
    <x v="8"/>
    <x v="0"/>
    <x v="7"/>
    <n v="10.476190476190499"/>
    <n v="3823.8095238095302"/>
    <n v="13765.714285714301"/>
  </r>
  <r>
    <x v="0"/>
    <x v="0"/>
    <x v="0"/>
    <x v="0"/>
    <x v="1"/>
    <s v="DK2_NoDH"/>
    <x v="0"/>
    <x v="8"/>
    <x v="0"/>
    <x v="8"/>
    <n v="10.476190476190499"/>
    <n v="3823.8095238095302"/>
    <n v="13765.714285714301"/>
  </r>
  <r>
    <x v="0"/>
    <x v="0"/>
    <x v="0"/>
    <x v="0"/>
    <x v="1"/>
    <s v="DK2_NoDH"/>
    <x v="0"/>
    <x v="8"/>
    <x v="0"/>
    <x v="9"/>
    <n v="10.476190476190499"/>
    <n v="3823.8095238095302"/>
    <n v="13765.714285714301"/>
  </r>
  <r>
    <x v="0"/>
    <x v="0"/>
    <x v="0"/>
    <x v="0"/>
    <x v="1"/>
    <s v="DK2_NoDH"/>
    <x v="0"/>
    <x v="8"/>
    <x v="0"/>
    <x v="10"/>
    <n v="10.476190476190499"/>
    <n v="3823.8095238095302"/>
    <n v="13765.714285714301"/>
  </r>
  <r>
    <x v="0"/>
    <x v="0"/>
    <x v="0"/>
    <x v="0"/>
    <x v="1"/>
    <s v="DK2_NoDH"/>
    <x v="0"/>
    <x v="8"/>
    <x v="0"/>
    <x v="11"/>
    <n v="10.476190476190499"/>
    <n v="3823.8095238095302"/>
    <n v="13765.714285714301"/>
  </r>
  <r>
    <x v="0"/>
    <x v="0"/>
    <x v="0"/>
    <x v="0"/>
    <x v="1"/>
    <s v="DK2_NoDH"/>
    <x v="0"/>
    <x v="8"/>
    <x v="0"/>
    <x v="12"/>
    <n v="10.476190476190499"/>
    <n v="3823.8095238095302"/>
    <n v="13765.714285714301"/>
  </r>
  <r>
    <x v="0"/>
    <x v="0"/>
    <x v="0"/>
    <x v="0"/>
    <x v="1"/>
    <s v="DK2_NoDH"/>
    <x v="0"/>
    <x v="8"/>
    <x v="0"/>
    <x v="13"/>
    <n v="10.476190476190499"/>
    <n v="3823.8095238095302"/>
    <n v="13765.714285714301"/>
  </r>
  <r>
    <x v="0"/>
    <x v="0"/>
    <x v="0"/>
    <x v="0"/>
    <x v="1"/>
    <s v="DK2_NoDH"/>
    <x v="0"/>
    <x v="8"/>
    <x v="0"/>
    <x v="14"/>
    <n v="10.476190476190499"/>
    <n v="3823.8095238095302"/>
    <n v="13765.714285714301"/>
  </r>
  <r>
    <x v="0"/>
    <x v="0"/>
    <x v="0"/>
    <x v="0"/>
    <x v="1"/>
    <s v="DK2_NoDH"/>
    <x v="0"/>
    <x v="8"/>
    <x v="0"/>
    <x v="15"/>
    <n v="10.476190476190499"/>
    <n v="3823.8095238095302"/>
    <n v="13765.714285714301"/>
  </r>
  <r>
    <x v="0"/>
    <x v="0"/>
    <x v="0"/>
    <x v="0"/>
    <x v="1"/>
    <s v="DK2_NoDH"/>
    <x v="0"/>
    <x v="8"/>
    <x v="0"/>
    <x v="16"/>
    <n v="10.476190476190499"/>
    <n v="3823.8095238095302"/>
    <n v="13765.714285714301"/>
  </r>
  <r>
    <x v="0"/>
    <x v="0"/>
    <x v="0"/>
    <x v="0"/>
    <x v="1"/>
    <s v="DK2_NoDH"/>
    <x v="0"/>
    <x v="8"/>
    <x v="0"/>
    <x v="17"/>
    <n v="10.476190476190499"/>
    <n v="3823.8095238095302"/>
    <n v="13765.714285714301"/>
  </r>
  <r>
    <x v="0"/>
    <x v="0"/>
    <x v="0"/>
    <x v="0"/>
    <x v="1"/>
    <s v="DK2_NoDH"/>
    <x v="0"/>
    <x v="8"/>
    <x v="0"/>
    <x v="18"/>
    <n v="10.476190476190499"/>
    <n v="3823.8095238095302"/>
    <n v="13765.714285714301"/>
  </r>
  <r>
    <x v="0"/>
    <x v="0"/>
    <x v="0"/>
    <x v="0"/>
    <x v="1"/>
    <s v="DK2_NoDH"/>
    <x v="0"/>
    <x v="8"/>
    <x v="0"/>
    <x v="19"/>
    <n v="10.476190476190499"/>
    <n v="3823.8095238095302"/>
    <n v="13765.714285714301"/>
  </r>
  <r>
    <x v="0"/>
    <x v="0"/>
    <x v="0"/>
    <x v="0"/>
    <x v="1"/>
    <s v="DK2_NoDH"/>
    <x v="0"/>
    <x v="8"/>
    <x v="0"/>
    <x v="20"/>
    <n v="10.476190476190499"/>
    <n v="3823.8095238095302"/>
    <n v="13765.714285714301"/>
  </r>
  <r>
    <x v="0"/>
    <x v="0"/>
    <x v="0"/>
    <x v="0"/>
    <x v="1"/>
    <s v="DK2_NoDH"/>
    <x v="0"/>
    <x v="8"/>
    <x v="0"/>
    <x v="21"/>
    <n v="10.476190476190499"/>
    <n v="3823.8095238095302"/>
    <n v="13765.714285714301"/>
  </r>
  <r>
    <x v="0"/>
    <x v="0"/>
    <x v="0"/>
    <x v="0"/>
    <x v="1"/>
    <s v="DK2_NoDH"/>
    <x v="0"/>
    <x v="8"/>
    <x v="0"/>
    <x v="22"/>
    <n v="10.476190476190499"/>
    <n v="3823.8095238095302"/>
    <n v="13765.714285714301"/>
  </r>
  <r>
    <x v="0"/>
    <x v="0"/>
    <x v="0"/>
    <x v="0"/>
    <x v="1"/>
    <s v="DK2_NoDH"/>
    <x v="0"/>
    <x v="8"/>
    <x v="0"/>
    <x v="23"/>
    <n v="10.476190476190499"/>
    <n v="3823.8095238095302"/>
    <n v="13765.714285714301"/>
  </r>
  <r>
    <x v="0"/>
    <x v="0"/>
    <x v="0"/>
    <x v="0"/>
    <x v="1"/>
    <s v="DK2_NoDH"/>
    <x v="0"/>
    <x v="90"/>
    <x v="0"/>
    <x v="0"/>
    <n v="0.40625"/>
    <n v="148.28125"/>
    <n v="533.8125"/>
  </r>
  <r>
    <x v="0"/>
    <x v="0"/>
    <x v="0"/>
    <x v="0"/>
    <x v="1"/>
    <s v="DK2_NoDH"/>
    <x v="0"/>
    <x v="90"/>
    <x v="0"/>
    <x v="1"/>
    <n v="0.40625"/>
    <n v="148.28125"/>
    <n v="533.8125"/>
  </r>
  <r>
    <x v="0"/>
    <x v="0"/>
    <x v="0"/>
    <x v="0"/>
    <x v="1"/>
    <s v="DK2_NoDH"/>
    <x v="0"/>
    <x v="90"/>
    <x v="0"/>
    <x v="2"/>
    <n v="0.40625"/>
    <n v="148.28125"/>
    <n v="533.8125"/>
  </r>
  <r>
    <x v="0"/>
    <x v="0"/>
    <x v="0"/>
    <x v="0"/>
    <x v="1"/>
    <s v="DK2_NoDH"/>
    <x v="0"/>
    <x v="90"/>
    <x v="0"/>
    <x v="3"/>
    <n v="0.40625"/>
    <n v="148.28125"/>
    <n v="533.8125"/>
  </r>
  <r>
    <x v="0"/>
    <x v="0"/>
    <x v="0"/>
    <x v="0"/>
    <x v="1"/>
    <s v="DK2_NoDH"/>
    <x v="0"/>
    <x v="90"/>
    <x v="0"/>
    <x v="4"/>
    <n v="0.40625"/>
    <n v="148.28125"/>
    <n v="533.8125"/>
  </r>
  <r>
    <x v="0"/>
    <x v="0"/>
    <x v="0"/>
    <x v="0"/>
    <x v="1"/>
    <s v="DK2_NoDH"/>
    <x v="0"/>
    <x v="90"/>
    <x v="0"/>
    <x v="5"/>
    <n v="0.40625"/>
    <n v="148.28125"/>
    <n v="533.8125"/>
  </r>
  <r>
    <x v="0"/>
    <x v="0"/>
    <x v="0"/>
    <x v="0"/>
    <x v="1"/>
    <s v="DK2_NoDH"/>
    <x v="0"/>
    <x v="90"/>
    <x v="0"/>
    <x v="6"/>
    <n v="0.40625"/>
    <n v="148.28125"/>
    <n v="533.8125"/>
  </r>
  <r>
    <x v="0"/>
    <x v="0"/>
    <x v="0"/>
    <x v="0"/>
    <x v="1"/>
    <s v="DK2_NoDH"/>
    <x v="0"/>
    <x v="90"/>
    <x v="0"/>
    <x v="7"/>
    <n v="0.40625"/>
    <n v="148.28125"/>
    <n v="533.8125"/>
  </r>
  <r>
    <x v="0"/>
    <x v="0"/>
    <x v="0"/>
    <x v="0"/>
    <x v="1"/>
    <s v="DK2_NoDH"/>
    <x v="0"/>
    <x v="90"/>
    <x v="0"/>
    <x v="8"/>
    <n v="0.40625"/>
    <n v="148.28125"/>
    <n v="533.8125"/>
  </r>
  <r>
    <x v="0"/>
    <x v="0"/>
    <x v="0"/>
    <x v="0"/>
    <x v="1"/>
    <s v="DK2_NoDH"/>
    <x v="0"/>
    <x v="90"/>
    <x v="0"/>
    <x v="9"/>
    <n v="0.40625"/>
    <n v="148.28125"/>
    <n v="533.8125"/>
  </r>
  <r>
    <x v="0"/>
    <x v="0"/>
    <x v="0"/>
    <x v="0"/>
    <x v="1"/>
    <s v="DK2_NoDH"/>
    <x v="0"/>
    <x v="90"/>
    <x v="0"/>
    <x v="10"/>
    <n v="0.40625"/>
    <n v="148.28125"/>
    <n v="533.8125"/>
  </r>
  <r>
    <x v="0"/>
    <x v="0"/>
    <x v="0"/>
    <x v="0"/>
    <x v="1"/>
    <s v="DK2_NoDH"/>
    <x v="0"/>
    <x v="90"/>
    <x v="0"/>
    <x v="11"/>
    <n v="0.40625"/>
    <n v="148.28125"/>
    <n v="533.8125"/>
  </r>
  <r>
    <x v="0"/>
    <x v="0"/>
    <x v="0"/>
    <x v="0"/>
    <x v="1"/>
    <s v="DK2_NoDH"/>
    <x v="0"/>
    <x v="90"/>
    <x v="0"/>
    <x v="12"/>
    <n v="0.40625"/>
    <n v="148.28125"/>
    <n v="533.8125"/>
  </r>
  <r>
    <x v="0"/>
    <x v="0"/>
    <x v="0"/>
    <x v="0"/>
    <x v="1"/>
    <s v="DK2_NoDH"/>
    <x v="0"/>
    <x v="90"/>
    <x v="0"/>
    <x v="13"/>
    <n v="0.40625"/>
    <n v="148.28125"/>
    <n v="533.8125"/>
  </r>
  <r>
    <x v="0"/>
    <x v="0"/>
    <x v="0"/>
    <x v="0"/>
    <x v="1"/>
    <s v="DK2_NoDH"/>
    <x v="0"/>
    <x v="90"/>
    <x v="0"/>
    <x v="14"/>
    <n v="0.40625"/>
    <n v="148.28125"/>
    <n v="533.8125"/>
  </r>
  <r>
    <x v="0"/>
    <x v="0"/>
    <x v="0"/>
    <x v="0"/>
    <x v="1"/>
    <s v="DK2_NoDH"/>
    <x v="0"/>
    <x v="90"/>
    <x v="0"/>
    <x v="15"/>
    <n v="0.40625"/>
    <n v="148.28125"/>
    <n v="533.8125"/>
  </r>
  <r>
    <x v="0"/>
    <x v="0"/>
    <x v="0"/>
    <x v="0"/>
    <x v="1"/>
    <s v="DK2_NoDH"/>
    <x v="0"/>
    <x v="90"/>
    <x v="0"/>
    <x v="16"/>
    <n v="0.40625"/>
    <n v="148.28125"/>
    <n v="533.8125"/>
  </r>
  <r>
    <x v="0"/>
    <x v="0"/>
    <x v="0"/>
    <x v="0"/>
    <x v="1"/>
    <s v="DK2_NoDH"/>
    <x v="0"/>
    <x v="90"/>
    <x v="0"/>
    <x v="17"/>
    <n v="0.40625"/>
    <n v="148.28125"/>
    <n v="533.8125"/>
  </r>
  <r>
    <x v="0"/>
    <x v="0"/>
    <x v="0"/>
    <x v="0"/>
    <x v="1"/>
    <s v="DK2_NoDH"/>
    <x v="0"/>
    <x v="90"/>
    <x v="0"/>
    <x v="18"/>
    <n v="0.40625"/>
    <n v="148.28125"/>
    <n v="533.8125"/>
  </r>
  <r>
    <x v="0"/>
    <x v="0"/>
    <x v="0"/>
    <x v="0"/>
    <x v="1"/>
    <s v="DK2_NoDH"/>
    <x v="0"/>
    <x v="90"/>
    <x v="0"/>
    <x v="19"/>
    <n v="0.40625"/>
    <n v="148.28125"/>
    <n v="533.8125"/>
  </r>
  <r>
    <x v="0"/>
    <x v="0"/>
    <x v="0"/>
    <x v="0"/>
    <x v="1"/>
    <s v="DK2_NoDH"/>
    <x v="0"/>
    <x v="90"/>
    <x v="0"/>
    <x v="20"/>
    <n v="0.40625"/>
    <n v="148.28125"/>
    <n v="533.8125"/>
  </r>
  <r>
    <x v="0"/>
    <x v="0"/>
    <x v="0"/>
    <x v="0"/>
    <x v="1"/>
    <s v="DK2_NoDH"/>
    <x v="0"/>
    <x v="90"/>
    <x v="0"/>
    <x v="21"/>
    <n v="0.40625"/>
    <n v="148.28125"/>
    <n v="533.8125"/>
  </r>
  <r>
    <x v="0"/>
    <x v="0"/>
    <x v="0"/>
    <x v="0"/>
    <x v="1"/>
    <s v="DK2_NoDH"/>
    <x v="0"/>
    <x v="90"/>
    <x v="0"/>
    <x v="22"/>
    <n v="0.40625"/>
    <n v="148.28125"/>
    <n v="533.8125"/>
  </r>
  <r>
    <x v="0"/>
    <x v="0"/>
    <x v="0"/>
    <x v="0"/>
    <x v="1"/>
    <s v="DK2_NoDH"/>
    <x v="0"/>
    <x v="90"/>
    <x v="0"/>
    <x v="23"/>
    <n v="0.40625"/>
    <n v="148.28125"/>
    <n v="533.8125"/>
  </r>
  <r>
    <x v="0"/>
    <x v="0"/>
    <x v="0"/>
    <x v="0"/>
    <x v="1"/>
    <s v="DK2_NoDH"/>
    <x v="0"/>
    <x v="91"/>
    <x v="0"/>
    <x v="0"/>
    <n v="0.88571428571428601"/>
    <n v="323.28571428571399"/>
    <n v="1163.8285714285701"/>
  </r>
  <r>
    <x v="0"/>
    <x v="0"/>
    <x v="0"/>
    <x v="0"/>
    <x v="1"/>
    <s v="DK2_NoDH"/>
    <x v="0"/>
    <x v="91"/>
    <x v="0"/>
    <x v="1"/>
    <n v="0.88571428571428601"/>
    <n v="323.28571428571399"/>
    <n v="1163.8285714285701"/>
  </r>
  <r>
    <x v="0"/>
    <x v="0"/>
    <x v="0"/>
    <x v="0"/>
    <x v="1"/>
    <s v="DK2_NoDH"/>
    <x v="0"/>
    <x v="91"/>
    <x v="0"/>
    <x v="2"/>
    <n v="0.88571428571428601"/>
    <n v="323.28571428571399"/>
    <n v="1163.8285714285701"/>
  </r>
  <r>
    <x v="0"/>
    <x v="0"/>
    <x v="0"/>
    <x v="0"/>
    <x v="1"/>
    <s v="DK2_NoDH"/>
    <x v="0"/>
    <x v="91"/>
    <x v="0"/>
    <x v="3"/>
    <n v="0.88571428571428601"/>
    <n v="323.28571428571399"/>
    <n v="1163.8285714285701"/>
  </r>
  <r>
    <x v="0"/>
    <x v="0"/>
    <x v="0"/>
    <x v="0"/>
    <x v="1"/>
    <s v="DK2_NoDH"/>
    <x v="0"/>
    <x v="91"/>
    <x v="0"/>
    <x v="4"/>
    <n v="0.88571428571428601"/>
    <n v="323.28571428571399"/>
    <n v="1163.8285714285701"/>
  </r>
  <r>
    <x v="0"/>
    <x v="0"/>
    <x v="0"/>
    <x v="0"/>
    <x v="1"/>
    <s v="DK2_NoDH"/>
    <x v="0"/>
    <x v="91"/>
    <x v="0"/>
    <x v="5"/>
    <n v="0.88571428571428601"/>
    <n v="323.28571428571399"/>
    <n v="1163.8285714285701"/>
  </r>
  <r>
    <x v="0"/>
    <x v="0"/>
    <x v="0"/>
    <x v="0"/>
    <x v="1"/>
    <s v="DK2_NoDH"/>
    <x v="0"/>
    <x v="91"/>
    <x v="0"/>
    <x v="6"/>
    <n v="0.88571428571428601"/>
    <n v="323.28571428571399"/>
    <n v="1163.8285714285701"/>
  </r>
  <r>
    <x v="0"/>
    <x v="0"/>
    <x v="0"/>
    <x v="0"/>
    <x v="1"/>
    <s v="DK2_NoDH"/>
    <x v="0"/>
    <x v="91"/>
    <x v="0"/>
    <x v="7"/>
    <n v="0.88571428571428601"/>
    <n v="323.28571428571399"/>
    <n v="1163.8285714285701"/>
  </r>
  <r>
    <x v="0"/>
    <x v="0"/>
    <x v="0"/>
    <x v="0"/>
    <x v="1"/>
    <s v="DK2_NoDH"/>
    <x v="0"/>
    <x v="91"/>
    <x v="0"/>
    <x v="8"/>
    <n v="0.88571428571428601"/>
    <n v="323.28571428571399"/>
    <n v="1163.8285714285701"/>
  </r>
  <r>
    <x v="0"/>
    <x v="0"/>
    <x v="0"/>
    <x v="0"/>
    <x v="1"/>
    <s v="DK2_NoDH"/>
    <x v="0"/>
    <x v="91"/>
    <x v="0"/>
    <x v="9"/>
    <n v="0.88571428571428601"/>
    <n v="323.28571428571399"/>
    <n v="1163.8285714285701"/>
  </r>
  <r>
    <x v="0"/>
    <x v="0"/>
    <x v="0"/>
    <x v="0"/>
    <x v="1"/>
    <s v="DK2_NoDH"/>
    <x v="0"/>
    <x v="91"/>
    <x v="0"/>
    <x v="10"/>
    <n v="0.88571428571428601"/>
    <n v="323.28571428571399"/>
    <n v="1163.8285714285701"/>
  </r>
  <r>
    <x v="0"/>
    <x v="0"/>
    <x v="0"/>
    <x v="0"/>
    <x v="1"/>
    <s v="DK2_NoDH"/>
    <x v="0"/>
    <x v="91"/>
    <x v="0"/>
    <x v="11"/>
    <n v="0.88571428571428601"/>
    <n v="323.28571428571399"/>
    <n v="1163.8285714285701"/>
  </r>
  <r>
    <x v="0"/>
    <x v="0"/>
    <x v="0"/>
    <x v="0"/>
    <x v="1"/>
    <s v="DK2_NoDH"/>
    <x v="0"/>
    <x v="91"/>
    <x v="0"/>
    <x v="12"/>
    <n v="0.88571428571428601"/>
    <n v="323.28571428571399"/>
    <n v="1163.8285714285701"/>
  </r>
  <r>
    <x v="0"/>
    <x v="0"/>
    <x v="0"/>
    <x v="0"/>
    <x v="1"/>
    <s v="DK2_NoDH"/>
    <x v="0"/>
    <x v="91"/>
    <x v="0"/>
    <x v="13"/>
    <n v="0.88571428571428601"/>
    <n v="323.28571428571399"/>
    <n v="1163.8285714285701"/>
  </r>
  <r>
    <x v="0"/>
    <x v="0"/>
    <x v="0"/>
    <x v="0"/>
    <x v="1"/>
    <s v="DK2_NoDH"/>
    <x v="0"/>
    <x v="91"/>
    <x v="0"/>
    <x v="14"/>
    <n v="0.88571428571428601"/>
    <n v="323.28571428571399"/>
    <n v="1163.8285714285701"/>
  </r>
  <r>
    <x v="0"/>
    <x v="0"/>
    <x v="0"/>
    <x v="0"/>
    <x v="1"/>
    <s v="DK2_NoDH"/>
    <x v="0"/>
    <x v="91"/>
    <x v="0"/>
    <x v="15"/>
    <n v="0.88571428571428601"/>
    <n v="323.28571428571399"/>
    <n v="1163.8285714285701"/>
  </r>
  <r>
    <x v="0"/>
    <x v="0"/>
    <x v="0"/>
    <x v="0"/>
    <x v="1"/>
    <s v="DK2_NoDH"/>
    <x v="0"/>
    <x v="91"/>
    <x v="0"/>
    <x v="16"/>
    <n v="0.88571428571428601"/>
    <n v="323.28571428571399"/>
    <n v="1163.8285714285701"/>
  </r>
  <r>
    <x v="0"/>
    <x v="0"/>
    <x v="0"/>
    <x v="0"/>
    <x v="1"/>
    <s v="DK2_NoDH"/>
    <x v="0"/>
    <x v="91"/>
    <x v="0"/>
    <x v="17"/>
    <n v="0.88571428571428601"/>
    <n v="323.28571428571399"/>
    <n v="1163.8285714285701"/>
  </r>
  <r>
    <x v="0"/>
    <x v="0"/>
    <x v="0"/>
    <x v="0"/>
    <x v="1"/>
    <s v="DK2_NoDH"/>
    <x v="0"/>
    <x v="91"/>
    <x v="0"/>
    <x v="18"/>
    <n v="0.88571428571428601"/>
    <n v="323.28571428571399"/>
    <n v="1163.8285714285701"/>
  </r>
  <r>
    <x v="0"/>
    <x v="0"/>
    <x v="0"/>
    <x v="0"/>
    <x v="1"/>
    <s v="DK2_NoDH"/>
    <x v="0"/>
    <x v="91"/>
    <x v="0"/>
    <x v="19"/>
    <n v="0.88571428571428601"/>
    <n v="323.28571428571399"/>
    <n v="1163.8285714285701"/>
  </r>
  <r>
    <x v="0"/>
    <x v="0"/>
    <x v="0"/>
    <x v="0"/>
    <x v="1"/>
    <s v="DK2_NoDH"/>
    <x v="0"/>
    <x v="91"/>
    <x v="0"/>
    <x v="20"/>
    <n v="0.88571428571428601"/>
    <n v="323.28571428571399"/>
    <n v="1163.8285714285701"/>
  </r>
  <r>
    <x v="0"/>
    <x v="0"/>
    <x v="0"/>
    <x v="0"/>
    <x v="1"/>
    <s v="DK2_NoDH"/>
    <x v="0"/>
    <x v="91"/>
    <x v="0"/>
    <x v="21"/>
    <n v="0.88571428571428601"/>
    <n v="323.28571428571399"/>
    <n v="1163.8285714285701"/>
  </r>
  <r>
    <x v="0"/>
    <x v="0"/>
    <x v="0"/>
    <x v="0"/>
    <x v="1"/>
    <s v="DK2_NoDH"/>
    <x v="0"/>
    <x v="91"/>
    <x v="0"/>
    <x v="22"/>
    <n v="0.88571428571428601"/>
    <n v="323.28571428571399"/>
    <n v="1163.8285714285701"/>
  </r>
  <r>
    <x v="0"/>
    <x v="0"/>
    <x v="0"/>
    <x v="0"/>
    <x v="1"/>
    <s v="DK2_NoDH"/>
    <x v="0"/>
    <x v="91"/>
    <x v="0"/>
    <x v="23"/>
    <n v="0.88571428571428601"/>
    <n v="323.28571428571399"/>
    <n v="1163.8285714285701"/>
  </r>
  <r>
    <x v="0"/>
    <x v="0"/>
    <x v="0"/>
    <x v="0"/>
    <x v="1"/>
    <s v="DK2_NoDH"/>
    <x v="3"/>
    <x v="25"/>
    <x v="0"/>
    <x v="0"/>
    <n v="20.521739130434799"/>
    <n v="7490.4347826086996"/>
    <n v="26965.5652173913"/>
  </r>
  <r>
    <x v="0"/>
    <x v="0"/>
    <x v="0"/>
    <x v="0"/>
    <x v="1"/>
    <s v="DK2_NoDH"/>
    <x v="3"/>
    <x v="25"/>
    <x v="0"/>
    <x v="1"/>
    <n v="20.521739130434799"/>
    <n v="7490.4347826086996"/>
    <n v="26965.5652173913"/>
  </r>
  <r>
    <x v="0"/>
    <x v="0"/>
    <x v="0"/>
    <x v="0"/>
    <x v="1"/>
    <s v="DK2_NoDH"/>
    <x v="3"/>
    <x v="25"/>
    <x v="0"/>
    <x v="3"/>
    <n v="3.6897191733118002"/>
    <n v="1346.7474982588101"/>
    <n v="4848.2909937317099"/>
  </r>
  <r>
    <x v="0"/>
    <x v="0"/>
    <x v="0"/>
    <x v="0"/>
    <x v="1"/>
    <s v="DK2_NoDH"/>
    <x v="3"/>
    <x v="25"/>
    <x v="0"/>
    <x v="4"/>
    <n v="20.521739130434799"/>
    <n v="7490.4347826086996"/>
    <n v="26965.5652173913"/>
  </r>
  <r>
    <x v="0"/>
    <x v="0"/>
    <x v="0"/>
    <x v="0"/>
    <x v="1"/>
    <s v="DK2_NoDH"/>
    <x v="3"/>
    <x v="25"/>
    <x v="0"/>
    <x v="5"/>
    <n v="20.521739130434799"/>
    <n v="7490.4347826086996"/>
    <n v="26965.5652173913"/>
  </r>
  <r>
    <x v="0"/>
    <x v="0"/>
    <x v="0"/>
    <x v="0"/>
    <x v="1"/>
    <s v="DK2_NoDH"/>
    <x v="3"/>
    <x v="25"/>
    <x v="0"/>
    <x v="6"/>
    <n v="20.521739130434799"/>
    <n v="7490.4347826086996"/>
    <n v="26965.5652173913"/>
  </r>
  <r>
    <x v="0"/>
    <x v="0"/>
    <x v="0"/>
    <x v="0"/>
    <x v="1"/>
    <s v="DK2_NoDH"/>
    <x v="3"/>
    <x v="25"/>
    <x v="0"/>
    <x v="7"/>
    <n v="20.521739130434799"/>
    <n v="7490.4347826086996"/>
    <n v="26965.5652173913"/>
  </r>
  <r>
    <x v="0"/>
    <x v="0"/>
    <x v="0"/>
    <x v="0"/>
    <x v="1"/>
    <s v="DK2_NoDH"/>
    <x v="3"/>
    <x v="25"/>
    <x v="0"/>
    <x v="8"/>
    <n v="20.521739130434799"/>
    <n v="7490.4347826086996"/>
    <n v="26965.5652173913"/>
  </r>
  <r>
    <x v="0"/>
    <x v="0"/>
    <x v="0"/>
    <x v="0"/>
    <x v="1"/>
    <s v="DK2_NoDH"/>
    <x v="3"/>
    <x v="25"/>
    <x v="0"/>
    <x v="9"/>
    <n v="20.521739130434799"/>
    <n v="7490.4347826086996"/>
    <n v="26965.5652173913"/>
  </r>
  <r>
    <x v="0"/>
    <x v="0"/>
    <x v="0"/>
    <x v="0"/>
    <x v="1"/>
    <s v="DK2_NoDH"/>
    <x v="3"/>
    <x v="25"/>
    <x v="0"/>
    <x v="10"/>
    <n v="20.521739130434799"/>
    <n v="7490.4347826086996"/>
    <n v="26965.5652173913"/>
  </r>
  <r>
    <x v="0"/>
    <x v="0"/>
    <x v="0"/>
    <x v="0"/>
    <x v="1"/>
    <s v="DK2_NoDH"/>
    <x v="3"/>
    <x v="25"/>
    <x v="0"/>
    <x v="11"/>
    <n v="20.521739130434799"/>
    <n v="7490.4347826086996"/>
    <n v="26965.5652173913"/>
  </r>
  <r>
    <x v="0"/>
    <x v="0"/>
    <x v="0"/>
    <x v="0"/>
    <x v="1"/>
    <s v="DK2_NoDH"/>
    <x v="3"/>
    <x v="25"/>
    <x v="0"/>
    <x v="12"/>
    <n v="20.521739130434799"/>
    <n v="7490.4347826086996"/>
    <n v="26965.5652173913"/>
  </r>
  <r>
    <x v="0"/>
    <x v="0"/>
    <x v="0"/>
    <x v="0"/>
    <x v="1"/>
    <s v="DK2_NoDH"/>
    <x v="3"/>
    <x v="25"/>
    <x v="0"/>
    <x v="13"/>
    <n v="20.521739130434799"/>
    <n v="7490.4347826086996"/>
    <n v="26965.5652173913"/>
  </r>
  <r>
    <x v="0"/>
    <x v="0"/>
    <x v="0"/>
    <x v="0"/>
    <x v="1"/>
    <s v="DK2_NoDH"/>
    <x v="3"/>
    <x v="25"/>
    <x v="0"/>
    <x v="14"/>
    <n v="20.521739130434799"/>
    <n v="7490.4347826086996"/>
    <n v="26965.5652173913"/>
  </r>
  <r>
    <x v="0"/>
    <x v="0"/>
    <x v="0"/>
    <x v="0"/>
    <x v="1"/>
    <s v="DK2_NoDH"/>
    <x v="3"/>
    <x v="25"/>
    <x v="0"/>
    <x v="15"/>
    <n v="20.521739130434799"/>
    <n v="7490.4347826086996"/>
    <n v="26965.5652173913"/>
  </r>
  <r>
    <x v="0"/>
    <x v="0"/>
    <x v="0"/>
    <x v="0"/>
    <x v="1"/>
    <s v="DK2_NoDH"/>
    <x v="3"/>
    <x v="25"/>
    <x v="0"/>
    <x v="16"/>
    <n v="20.521739130434799"/>
    <n v="7490.4347826086996"/>
    <n v="26965.5652173913"/>
  </r>
  <r>
    <x v="0"/>
    <x v="0"/>
    <x v="0"/>
    <x v="0"/>
    <x v="1"/>
    <s v="DK2_NoDH"/>
    <x v="3"/>
    <x v="25"/>
    <x v="0"/>
    <x v="17"/>
    <n v="20.521739130434799"/>
    <n v="7490.4347826086996"/>
    <n v="26965.5652173913"/>
  </r>
  <r>
    <x v="0"/>
    <x v="0"/>
    <x v="0"/>
    <x v="0"/>
    <x v="1"/>
    <s v="DK2_NoDH"/>
    <x v="3"/>
    <x v="25"/>
    <x v="0"/>
    <x v="18"/>
    <n v="20.521739130434799"/>
    <n v="7490.4347826086996"/>
    <n v="26965.5652173913"/>
  </r>
  <r>
    <x v="0"/>
    <x v="0"/>
    <x v="0"/>
    <x v="0"/>
    <x v="1"/>
    <s v="DK2_NoDH"/>
    <x v="8"/>
    <x v="56"/>
    <x v="0"/>
    <x v="8"/>
    <n v="5.89448093338929"/>
    <n v="2151.4855406870902"/>
    <n v="7745.3479464735301"/>
  </r>
  <r>
    <x v="0"/>
    <x v="0"/>
    <x v="0"/>
    <x v="0"/>
    <x v="1"/>
    <s v="DK2_NoDH"/>
    <x v="8"/>
    <x v="56"/>
    <x v="0"/>
    <x v="9"/>
    <n v="44.374861590848603"/>
    <n v="16196.824480659699"/>
    <n v="58308.568130375097"/>
  </r>
  <r>
    <x v="0"/>
    <x v="0"/>
    <x v="0"/>
    <x v="0"/>
    <x v="1"/>
    <s v="DK2_NoDH"/>
    <x v="8"/>
    <x v="56"/>
    <x v="0"/>
    <x v="10"/>
    <n v="102.50351202627201"/>
    <n v="37413.781889589402"/>
    <n v="134689.614802522"/>
  </r>
  <r>
    <x v="0"/>
    <x v="0"/>
    <x v="0"/>
    <x v="0"/>
    <x v="1"/>
    <s v="DK2_NoDH"/>
    <x v="8"/>
    <x v="56"/>
    <x v="0"/>
    <x v="11"/>
    <n v="156.09794635908901"/>
    <n v="56975.750421067401"/>
    <n v="205112.70151584299"/>
  </r>
  <r>
    <x v="0"/>
    <x v="0"/>
    <x v="0"/>
    <x v="0"/>
    <x v="1"/>
    <s v="DK2_NoDH"/>
    <x v="8"/>
    <x v="56"/>
    <x v="0"/>
    <x v="12"/>
    <n v="177.469218256044"/>
    <n v="64776.264663456001"/>
    <n v="233194.55278844101"/>
  </r>
  <r>
    <x v="0"/>
    <x v="0"/>
    <x v="0"/>
    <x v="0"/>
    <x v="1"/>
    <s v="DK2_NoDH"/>
    <x v="8"/>
    <x v="56"/>
    <x v="0"/>
    <x v="13"/>
    <n v="154.314488025397"/>
    <n v="56324.788129269698"/>
    <n v="202769.23726537099"/>
  </r>
  <r>
    <x v="0"/>
    <x v="0"/>
    <x v="0"/>
    <x v="0"/>
    <x v="1"/>
    <s v="DK2_NoDH"/>
    <x v="8"/>
    <x v="56"/>
    <x v="0"/>
    <x v="14"/>
    <n v="100.41777261907301"/>
    <n v="36652.487005961601"/>
    <n v="131948.953221462"/>
  </r>
  <r>
    <x v="0"/>
    <x v="0"/>
    <x v="0"/>
    <x v="0"/>
    <x v="1"/>
    <s v="DK2_NoDH"/>
    <x v="8"/>
    <x v="56"/>
    <x v="0"/>
    <x v="15"/>
    <n v="50.843676563901496"/>
    <n v="18557.941945824001"/>
    <n v="66808.591004966496"/>
  </r>
  <r>
    <x v="0"/>
    <x v="0"/>
    <x v="0"/>
    <x v="0"/>
    <x v="1"/>
    <s v="DK2_NoDH"/>
    <x v="8"/>
    <x v="56"/>
    <x v="0"/>
    <x v="16"/>
    <n v="6.61995550980643"/>
    <n v="2416.2837610793499"/>
    <n v="8698.6215398856493"/>
  </r>
  <r>
    <x v="0"/>
    <x v="0"/>
    <x v="0"/>
    <x v="0"/>
    <x v="1"/>
    <s v="DK2_NoDH"/>
    <x v="9"/>
    <x v="57"/>
    <x v="0"/>
    <x v="0"/>
    <n v="8.2531860285989002E-3"/>
    <n v="3.0124129004386"/>
    <n v="10.844686441579"/>
  </r>
  <r>
    <x v="0"/>
    <x v="0"/>
    <x v="0"/>
    <x v="0"/>
    <x v="1"/>
    <s v="DK2_NoDH"/>
    <x v="9"/>
    <x v="57"/>
    <x v="0"/>
    <x v="1"/>
    <n v="8.2531860285989002E-3"/>
    <n v="3.0124129004386"/>
    <n v="10.844686441579"/>
  </r>
  <r>
    <x v="0"/>
    <x v="0"/>
    <x v="0"/>
    <x v="0"/>
    <x v="1"/>
    <s v="DK2_NoDH"/>
    <x v="9"/>
    <x v="57"/>
    <x v="0"/>
    <x v="2"/>
    <n v="8.2531860285989002E-3"/>
    <n v="3.0124129004386"/>
    <n v="10.844686441579"/>
  </r>
  <r>
    <x v="0"/>
    <x v="0"/>
    <x v="0"/>
    <x v="0"/>
    <x v="1"/>
    <s v="DK2_NoDH"/>
    <x v="9"/>
    <x v="57"/>
    <x v="0"/>
    <x v="3"/>
    <n v="8.2531860285989002E-3"/>
    <n v="3.0124129004386"/>
    <n v="10.844686441579"/>
  </r>
  <r>
    <x v="0"/>
    <x v="0"/>
    <x v="0"/>
    <x v="0"/>
    <x v="1"/>
    <s v="DK2_NoDH"/>
    <x v="9"/>
    <x v="57"/>
    <x v="0"/>
    <x v="4"/>
    <n v="8.2531860285989002E-3"/>
    <n v="3.0124129004386"/>
    <n v="10.844686441579"/>
  </r>
  <r>
    <x v="0"/>
    <x v="0"/>
    <x v="0"/>
    <x v="0"/>
    <x v="1"/>
    <s v="DK2_NoDH"/>
    <x v="9"/>
    <x v="57"/>
    <x v="0"/>
    <x v="5"/>
    <n v="8.2531860285989002E-3"/>
    <n v="3.0124129004386"/>
    <n v="10.844686441579"/>
  </r>
  <r>
    <x v="0"/>
    <x v="0"/>
    <x v="0"/>
    <x v="0"/>
    <x v="1"/>
    <s v="DK2_NoDH"/>
    <x v="9"/>
    <x v="57"/>
    <x v="0"/>
    <x v="6"/>
    <n v="8.2531860285989002E-3"/>
    <n v="3.0124129004386"/>
    <n v="10.844686441579"/>
  </r>
  <r>
    <x v="0"/>
    <x v="0"/>
    <x v="0"/>
    <x v="0"/>
    <x v="1"/>
    <s v="DK2_NoDH"/>
    <x v="9"/>
    <x v="57"/>
    <x v="0"/>
    <x v="7"/>
    <n v="8.2531860285989002E-3"/>
    <n v="3.0124129004386"/>
    <n v="10.844686441579"/>
  </r>
  <r>
    <x v="0"/>
    <x v="0"/>
    <x v="0"/>
    <x v="0"/>
    <x v="1"/>
    <s v="DK2_NoDH"/>
    <x v="9"/>
    <x v="57"/>
    <x v="0"/>
    <x v="8"/>
    <n v="8.2531860285989002E-3"/>
    <n v="3.0124129004386"/>
    <n v="10.844686441579"/>
  </r>
  <r>
    <x v="0"/>
    <x v="0"/>
    <x v="0"/>
    <x v="0"/>
    <x v="1"/>
    <s v="DK2_NoDH"/>
    <x v="9"/>
    <x v="57"/>
    <x v="0"/>
    <x v="9"/>
    <n v="8.2531860285989002E-3"/>
    <n v="3.0124129004386"/>
    <n v="10.844686441579"/>
  </r>
  <r>
    <x v="0"/>
    <x v="0"/>
    <x v="0"/>
    <x v="0"/>
    <x v="1"/>
    <s v="DK2_NoDH"/>
    <x v="9"/>
    <x v="57"/>
    <x v="0"/>
    <x v="10"/>
    <n v="8.2531860285989002E-3"/>
    <n v="3.0124129004386"/>
    <n v="10.844686441579"/>
  </r>
  <r>
    <x v="0"/>
    <x v="0"/>
    <x v="0"/>
    <x v="0"/>
    <x v="1"/>
    <s v="DK2_NoDH"/>
    <x v="9"/>
    <x v="57"/>
    <x v="0"/>
    <x v="11"/>
    <n v="8.2531860285989002E-3"/>
    <n v="3.0124129004386"/>
    <n v="10.844686441579"/>
  </r>
  <r>
    <x v="0"/>
    <x v="0"/>
    <x v="0"/>
    <x v="0"/>
    <x v="1"/>
    <s v="DK2_NoDH"/>
    <x v="9"/>
    <x v="57"/>
    <x v="0"/>
    <x v="12"/>
    <n v="8.2531860285989002E-3"/>
    <n v="3.0124129004386"/>
    <n v="10.844686441579"/>
  </r>
  <r>
    <x v="0"/>
    <x v="0"/>
    <x v="0"/>
    <x v="0"/>
    <x v="1"/>
    <s v="DK2_NoDH"/>
    <x v="9"/>
    <x v="57"/>
    <x v="0"/>
    <x v="13"/>
    <n v="8.2531860285989002E-3"/>
    <n v="3.0124129004386"/>
    <n v="10.844686441579"/>
  </r>
  <r>
    <x v="0"/>
    <x v="0"/>
    <x v="0"/>
    <x v="0"/>
    <x v="1"/>
    <s v="DK2_NoDH"/>
    <x v="9"/>
    <x v="57"/>
    <x v="0"/>
    <x v="14"/>
    <n v="8.2531860285989002E-3"/>
    <n v="3.0124129004386"/>
    <n v="10.844686441579"/>
  </r>
  <r>
    <x v="0"/>
    <x v="0"/>
    <x v="0"/>
    <x v="0"/>
    <x v="1"/>
    <s v="DK2_NoDH"/>
    <x v="9"/>
    <x v="57"/>
    <x v="0"/>
    <x v="15"/>
    <n v="8.2531860285989002E-3"/>
    <n v="3.0124129004386"/>
    <n v="10.844686441579"/>
  </r>
  <r>
    <x v="0"/>
    <x v="0"/>
    <x v="0"/>
    <x v="0"/>
    <x v="1"/>
    <s v="DK2_NoDH"/>
    <x v="9"/>
    <x v="57"/>
    <x v="0"/>
    <x v="16"/>
    <n v="8.2531860285989002E-3"/>
    <n v="3.0124129004386"/>
    <n v="10.844686441579"/>
  </r>
  <r>
    <x v="0"/>
    <x v="0"/>
    <x v="0"/>
    <x v="0"/>
    <x v="1"/>
    <s v="DK2_NoDH"/>
    <x v="9"/>
    <x v="57"/>
    <x v="0"/>
    <x v="17"/>
    <n v="8.2531860285989002E-3"/>
    <n v="3.0124129004386"/>
    <n v="10.844686441579"/>
  </r>
  <r>
    <x v="0"/>
    <x v="0"/>
    <x v="0"/>
    <x v="0"/>
    <x v="1"/>
    <s v="DK2_NoDH"/>
    <x v="9"/>
    <x v="57"/>
    <x v="0"/>
    <x v="18"/>
    <n v="8.2531860285989002E-3"/>
    <n v="3.0124129004386"/>
    <n v="10.844686441579"/>
  </r>
  <r>
    <x v="0"/>
    <x v="0"/>
    <x v="0"/>
    <x v="0"/>
    <x v="1"/>
    <s v="DK2_NoDH"/>
    <x v="9"/>
    <x v="57"/>
    <x v="0"/>
    <x v="19"/>
    <n v="8.2531860285989002E-3"/>
    <n v="3.0124129004386"/>
    <n v="10.844686441579"/>
  </r>
  <r>
    <x v="0"/>
    <x v="0"/>
    <x v="0"/>
    <x v="0"/>
    <x v="1"/>
    <s v="DK2_NoDH"/>
    <x v="9"/>
    <x v="57"/>
    <x v="0"/>
    <x v="20"/>
    <n v="8.2531860285989002E-3"/>
    <n v="3.0124129004386"/>
    <n v="10.844686441579"/>
  </r>
  <r>
    <x v="0"/>
    <x v="0"/>
    <x v="0"/>
    <x v="0"/>
    <x v="1"/>
    <s v="DK2_NoDH"/>
    <x v="9"/>
    <x v="57"/>
    <x v="0"/>
    <x v="21"/>
    <n v="8.2531860285989002E-3"/>
    <n v="3.0124129004386"/>
    <n v="10.844686441579"/>
  </r>
  <r>
    <x v="0"/>
    <x v="0"/>
    <x v="0"/>
    <x v="0"/>
    <x v="1"/>
    <s v="DK2_NoDH"/>
    <x v="9"/>
    <x v="57"/>
    <x v="0"/>
    <x v="22"/>
    <n v="8.2531860285989002E-3"/>
    <n v="3.0124129004386"/>
    <n v="10.844686441579"/>
  </r>
  <r>
    <x v="0"/>
    <x v="0"/>
    <x v="0"/>
    <x v="0"/>
    <x v="1"/>
    <s v="DK2_NoDH"/>
    <x v="9"/>
    <x v="57"/>
    <x v="0"/>
    <x v="23"/>
    <n v="8.2531860285989002E-3"/>
    <n v="3.0124129004386"/>
    <n v="10.844686441579"/>
  </r>
  <r>
    <x v="0"/>
    <x v="0"/>
    <x v="0"/>
    <x v="0"/>
    <x v="1"/>
    <s v="DK2_NoDH"/>
    <x v="10"/>
    <x v="58"/>
    <x v="0"/>
    <x v="0"/>
    <n v="56.727540341350497"/>
    <n v="20705.552224592899"/>
    <n v="74539.988008534594"/>
  </r>
  <r>
    <x v="0"/>
    <x v="0"/>
    <x v="0"/>
    <x v="0"/>
    <x v="1"/>
    <s v="DK2_NoDH"/>
    <x v="10"/>
    <x v="58"/>
    <x v="0"/>
    <x v="1"/>
    <n v="68.073048409620696"/>
    <n v="24846.662669511501"/>
    <n v="89447.985610241507"/>
  </r>
  <r>
    <x v="0"/>
    <x v="0"/>
    <x v="0"/>
    <x v="0"/>
    <x v="1"/>
    <s v="DK2_NoDH"/>
    <x v="10"/>
    <x v="58"/>
    <x v="0"/>
    <x v="2"/>
    <n v="66.452261542724898"/>
    <n v="24255.075463094599"/>
    <n v="87318.271667140594"/>
  </r>
  <r>
    <x v="0"/>
    <x v="0"/>
    <x v="0"/>
    <x v="0"/>
    <x v="1"/>
    <s v="DK2_NoDH"/>
    <x v="10"/>
    <x v="58"/>
    <x v="0"/>
    <x v="3"/>
    <n v="62.400294375485601"/>
    <n v="22776.1074470522"/>
    <n v="81993.986809388094"/>
  </r>
  <r>
    <x v="0"/>
    <x v="0"/>
    <x v="0"/>
    <x v="0"/>
    <x v="1"/>
    <s v="DK2_NoDH"/>
    <x v="10"/>
    <x v="58"/>
    <x v="0"/>
    <x v="4"/>
    <n v="46.192425706528297"/>
    <n v="16860.235382882802"/>
    <n v="60696.847378378203"/>
  </r>
  <r>
    <x v="0"/>
    <x v="0"/>
    <x v="0"/>
    <x v="0"/>
    <x v="1"/>
    <s v="DK2_NoDH"/>
    <x v="10"/>
    <x v="58"/>
    <x v="0"/>
    <x v="5"/>
    <n v="26.7429833037795"/>
    <n v="9761.1889058795296"/>
    <n v="35140.280061166297"/>
  </r>
  <r>
    <x v="0"/>
    <x v="0"/>
    <x v="0"/>
    <x v="0"/>
    <x v="1"/>
    <s v="DK2_NoDH"/>
    <x v="10"/>
    <x v="58"/>
    <x v="0"/>
    <x v="6"/>
    <n v="5.6727540341350497"/>
    <n v="2070.5552224592898"/>
    <n v="7453.9988008534601"/>
  </r>
  <r>
    <x v="0"/>
    <x v="0"/>
    <x v="0"/>
    <x v="0"/>
    <x v="1"/>
    <s v="DK2_NoDH"/>
    <x v="10"/>
    <x v="58"/>
    <x v="0"/>
    <x v="7"/>
    <n v="4.0519671672393196"/>
    <n v="1478.96801604235"/>
    <n v="5324.2848577524701"/>
  </r>
  <r>
    <x v="0"/>
    <x v="0"/>
    <x v="0"/>
    <x v="0"/>
    <x v="1"/>
    <s v="DK2_NoDH"/>
    <x v="10"/>
    <x v="58"/>
    <x v="0"/>
    <x v="8"/>
    <n v="5.6727540341350497"/>
    <n v="2070.5552224592898"/>
    <n v="7453.9988008534601"/>
  </r>
  <r>
    <x v="0"/>
    <x v="0"/>
    <x v="0"/>
    <x v="0"/>
    <x v="1"/>
    <s v="DK2_NoDH"/>
    <x v="10"/>
    <x v="58"/>
    <x v="0"/>
    <x v="9"/>
    <n v="26.7429833037795"/>
    <n v="9761.1889058795296"/>
    <n v="35140.280061166297"/>
  </r>
  <r>
    <x v="0"/>
    <x v="0"/>
    <x v="0"/>
    <x v="0"/>
    <x v="1"/>
    <s v="DK2_NoDH"/>
    <x v="10"/>
    <x v="58"/>
    <x v="0"/>
    <x v="10"/>
    <n v="62.400294375485601"/>
    <n v="22776.1074470522"/>
    <n v="81993.986809388094"/>
  </r>
  <r>
    <x v="0"/>
    <x v="0"/>
    <x v="0"/>
    <x v="0"/>
    <x v="1"/>
    <s v="DK2_NoDH"/>
    <x v="10"/>
    <x v="58"/>
    <x v="0"/>
    <x v="11"/>
    <n v="96.436818580295906"/>
    <n v="35199.438781807999"/>
    <n v="126717.97961450899"/>
  </r>
  <r>
    <x v="0"/>
    <x v="0"/>
    <x v="0"/>
    <x v="0"/>
    <x v="1"/>
    <s v="DK2_NoDH"/>
    <x v="10"/>
    <x v="58"/>
    <x v="0"/>
    <x v="12"/>
    <n v="111.834293815805"/>
    <n v="40819.517242768998"/>
    <n v="146950.26207396801"/>
  </r>
  <r>
    <x v="0"/>
    <x v="0"/>
    <x v="0"/>
    <x v="0"/>
    <x v="1"/>
    <s v="DK2_NoDH"/>
    <x v="10"/>
    <x v="58"/>
    <x v="0"/>
    <x v="13"/>
    <n v="128.042162484763"/>
    <n v="46735.389306938399"/>
    <n v="168247.40150497801"/>
  </r>
  <r>
    <x v="0"/>
    <x v="0"/>
    <x v="0"/>
    <x v="0"/>
    <x v="1"/>
    <s v="DK2_NoDH"/>
    <x v="10"/>
    <x v="58"/>
    <x v="0"/>
    <x v="14"/>
    <n v="128.042162484763"/>
    <n v="46735.389306938399"/>
    <n v="168247.40150497801"/>
  </r>
  <r>
    <x v="0"/>
    <x v="0"/>
    <x v="0"/>
    <x v="0"/>
    <x v="1"/>
    <s v="DK2_NoDH"/>
    <x v="10"/>
    <x v="58"/>
    <x v="0"/>
    <x v="15"/>
    <n v="202.59835836196601"/>
    <n v="73948.4008021177"/>
    <n v="266214.24288762402"/>
  </r>
  <r>
    <x v="0"/>
    <x v="0"/>
    <x v="0"/>
    <x v="0"/>
    <x v="1"/>
    <s v="DK2_NoDH"/>
    <x v="10"/>
    <x v="58"/>
    <x v="0"/>
    <x v="16"/>
    <n v="261.75707900366001"/>
    <n v="95541.333836335994"/>
    <n v="343948.80181080999"/>
  </r>
  <r>
    <x v="0"/>
    <x v="0"/>
    <x v="0"/>
    <x v="0"/>
    <x v="1"/>
    <s v="DK2_NoDH"/>
    <x v="10"/>
    <x v="58"/>
    <x v="0"/>
    <x v="17"/>
    <n v="258.51550526986898"/>
    <n v="94358.159423502206"/>
    <n v="339689.37392460799"/>
  </r>
  <r>
    <x v="0"/>
    <x v="0"/>
    <x v="0"/>
    <x v="0"/>
    <x v="1"/>
    <s v="DK2_NoDH"/>
    <x v="10"/>
    <x v="58"/>
    <x v="0"/>
    <x v="18"/>
    <n v="353.33153698326902"/>
    <n v="128966.01099889301"/>
    <n v="464277.63959601597"/>
  </r>
  <r>
    <x v="0"/>
    <x v="0"/>
    <x v="0"/>
    <x v="0"/>
    <x v="1"/>
    <s v="DK2_NoDH"/>
    <x v="10"/>
    <x v="58"/>
    <x v="0"/>
    <x v="19"/>
    <n v="525.94533830766397"/>
    <n v="191970.04848229699"/>
    <n v="691092.17453627102"/>
  </r>
  <r>
    <x v="0"/>
    <x v="0"/>
    <x v="0"/>
    <x v="0"/>
    <x v="1"/>
    <s v="DK2_NoDH"/>
    <x v="10"/>
    <x v="58"/>
    <x v="0"/>
    <x v="20"/>
    <n v="609.41586195279399"/>
    <n v="222436.78961276999"/>
    <n v="800772.44260597206"/>
  </r>
  <r>
    <x v="0"/>
    <x v="0"/>
    <x v="0"/>
    <x v="0"/>
    <x v="1"/>
    <s v="DK2_NoDH"/>
    <x v="10"/>
    <x v="58"/>
    <x v="0"/>
    <x v="21"/>
    <n v="657.22907452621803"/>
    <n v="239888.61220207001"/>
    <n v="863599.00392745098"/>
  </r>
  <r>
    <x v="0"/>
    <x v="0"/>
    <x v="0"/>
    <x v="0"/>
    <x v="1"/>
    <s v="DK2_NoDH"/>
    <x v="10"/>
    <x v="58"/>
    <x v="0"/>
    <x v="22"/>
    <n v="667.76418916104103"/>
    <n v="243733.92904377999"/>
    <n v="877442.14455760701"/>
  </r>
  <r>
    <x v="0"/>
    <x v="0"/>
    <x v="0"/>
    <x v="0"/>
    <x v="1"/>
    <s v="DK2_NoDH"/>
    <x v="10"/>
    <x v="58"/>
    <x v="0"/>
    <x v="23"/>
    <n v="695.31756589826796"/>
    <n v="253790.911552868"/>
    <n v="913647.28159032401"/>
  </r>
  <r>
    <x v="0"/>
    <x v="0"/>
    <x v="0"/>
    <x v="0"/>
    <x v="1"/>
    <s v="DK2_Offshore"/>
    <x v="10"/>
    <x v="59"/>
    <x v="0"/>
    <x v="0"/>
    <n v="59.000474158369002"/>
    <n v="21535.173067804699"/>
    <n v="77526.623044096894"/>
  </r>
  <r>
    <x v="0"/>
    <x v="0"/>
    <x v="0"/>
    <x v="0"/>
    <x v="1"/>
    <s v="DK2_Offshore"/>
    <x v="10"/>
    <x v="59"/>
    <x v="0"/>
    <x v="1"/>
    <n v="70.800568990042805"/>
    <n v="25842.207681365599"/>
    <n v="93031.947652916293"/>
  </r>
  <r>
    <x v="0"/>
    <x v="0"/>
    <x v="0"/>
    <x v="0"/>
    <x v="1"/>
    <s v="DK2_Offshore"/>
    <x v="10"/>
    <x v="59"/>
    <x v="0"/>
    <x v="2"/>
    <n v="69.114841156946596"/>
    <n v="25226.917022285499"/>
    <n v="90816.901280227801"/>
  </r>
  <r>
    <x v="0"/>
    <x v="0"/>
    <x v="0"/>
    <x v="0"/>
    <x v="1"/>
    <s v="DK2_Offshore"/>
    <x v="10"/>
    <x v="59"/>
    <x v="0"/>
    <x v="3"/>
    <n v="64.900521574205897"/>
    <n v="23688.6903745852"/>
    <n v="85279.285348506601"/>
  </r>
  <r>
    <x v="0"/>
    <x v="0"/>
    <x v="0"/>
    <x v="0"/>
    <x v="1"/>
    <s v="DK2_Offshore"/>
    <x v="10"/>
    <x v="59"/>
    <x v="0"/>
    <x v="4"/>
    <n v="48.043243243243403"/>
    <n v="17535.783783783801"/>
    <n v="63128.821621621799"/>
  </r>
  <r>
    <x v="0"/>
    <x v="0"/>
    <x v="0"/>
    <x v="0"/>
    <x v="1"/>
    <s v="DK2_Offshore"/>
    <x v="10"/>
    <x v="59"/>
    <x v="0"/>
    <x v="5"/>
    <n v="27.814509246088299"/>
    <n v="10152.295874822201"/>
    <n v="36548.265149359999"/>
  </r>
  <r>
    <x v="0"/>
    <x v="0"/>
    <x v="0"/>
    <x v="0"/>
    <x v="1"/>
    <s v="DK2_Offshore"/>
    <x v="10"/>
    <x v="59"/>
    <x v="0"/>
    <x v="6"/>
    <n v="5.9000474158368998"/>
    <n v="2153.5173067804699"/>
    <n v="7752.6623044096896"/>
  </r>
  <r>
    <x v="0"/>
    <x v="0"/>
    <x v="0"/>
    <x v="0"/>
    <x v="1"/>
    <s v="DK2_Offshore"/>
    <x v="10"/>
    <x v="59"/>
    <x v="0"/>
    <x v="7"/>
    <n v="4.2143195827406403"/>
    <n v="1538.22664770034"/>
    <n v="5537.6159317212096"/>
  </r>
  <r>
    <x v="0"/>
    <x v="0"/>
    <x v="0"/>
    <x v="0"/>
    <x v="1"/>
    <s v="DK2_Offshore"/>
    <x v="10"/>
    <x v="59"/>
    <x v="0"/>
    <x v="8"/>
    <n v="5.9000474158368998"/>
    <n v="2153.5173067804699"/>
    <n v="7752.6623044096896"/>
  </r>
  <r>
    <x v="0"/>
    <x v="0"/>
    <x v="0"/>
    <x v="0"/>
    <x v="1"/>
    <s v="DK2_Offshore"/>
    <x v="10"/>
    <x v="59"/>
    <x v="0"/>
    <x v="9"/>
    <n v="27.814509246088299"/>
    <n v="10152.295874822201"/>
    <n v="36548.265149359999"/>
  </r>
  <r>
    <x v="0"/>
    <x v="0"/>
    <x v="0"/>
    <x v="0"/>
    <x v="1"/>
    <s v="DK2_Offshore"/>
    <x v="10"/>
    <x v="59"/>
    <x v="0"/>
    <x v="10"/>
    <n v="64.900521574205897"/>
    <n v="23688.6903745852"/>
    <n v="85279.285348506601"/>
  </r>
  <r>
    <x v="0"/>
    <x v="0"/>
    <x v="0"/>
    <x v="0"/>
    <x v="1"/>
    <s v="DK2_Offshore"/>
    <x v="10"/>
    <x v="59"/>
    <x v="0"/>
    <x v="11"/>
    <n v="100.30080606922699"/>
    <n v="36609.794215267997"/>
    <n v="131795.259174965"/>
  </r>
  <r>
    <x v="0"/>
    <x v="0"/>
    <x v="0"/>
    <x v="0"/>
    <x v="1"/>
    <s v="DK2_Offshore"/>
    <x v="10"/>
    <x v="59"/>
    <x v="0"/>
    <x v="12"/>
    <n v="116.31522048364199"/>
    <n v="42455.055476529298"/>
    <n v="152838.199715505"/>
  </r>
  <r>
    <x v="0"/>
    <x v="0"/>
    <x v="0"/>
    <x v="0"/>
    <x v="1"/>
    <s v="DK2_Offshore"/>
    <x v="10"/>
    <x v="59"/>
    <x v="0"/>
    <x v="13"/>
    <n v="133.17249881460401"/>
    <n v="48607.962067330598"/>
    <n v="174988.66344239001"/>
  </r>
  <r>
    <x v="0"/>
    <x v="0"/>
    <x v="0"/>
    <x v="0"/>
    <x v="1"/>
    <s v="DK2_Offshore"/>
    <x v="10"/>
    <x v="59"/>
    <x v="0"/>
    <x v="14"/>
    <n v="133.17249881460401"/>
    <n v="48607.962067330598"/>
    <n v="174988.66344239001"/>
  </r>
  <r>
    <x v="0"/>
    <x v="0"/>
    <x v="0"/>
    <x v="0"/>
    <x v="1"/>
    <s v="DK2_Offshore"/>
    <x v="10"/>
    <x v="59"/>
    <x v="0"/>
    <x v="15"/>
    <n v="210.71597913703201"/>
    <n v="76911.332385016794"/>
    <n v="276880.79658606002"/>
  </r>
  <r>
    <x v="0"/>
    <x v="0"/>
    <x v="0"/>
    <x v="0"/>
    <x v="1"/>
    <s v="DK2_Offshore"/>
    <x v="10"/>
    <x v="59"/>
    <x v="0"/>
    <x v="16"/>
    <n v="272.24504504504603"/>
    <n v="99369.441441441697"/>
    <n v="357729.98918918998"/>
  </r>
  <r>
    <x v="0"/>
    <x v="0"/>
    <x v="0"/>
    <x v="0"/>
    <x v="1"/>
    <s v="DK2_Offshore"/>
    <x v="10"/>
    <x v="59"/>
    <x v="0"/>
    <x v="17"/>
    <n v="268.87358937885301"/>
    <n v="98138.860123281396"/>
    <n v="353299.89644381299"/>
  </r>
  <r>
    <x v="0"/>
    <x v="0"/>
    <x v="0"/>
    <x v="0"/>
    <x v="1"/>
    <s v="DK2_Offshore"/>
    <x v="10"/>
    <x v="59"/>
    <x v="0"/>
    <x v="18"/>
    <n v="367.48866761498402"/>
    <n v="134133.36367946901"/>
    <n v="482880.10924608901"/>
  </r>
  <r>
    <x v="0"/>
    <x v="0"/>
    <x v="0"/>
    <x v="0"/>
    <x v="1"/>
    <s v="DK2_Offshore"/>
    <x v="10"/>
    <x v="59"/>
    <x v="0"/>
    <x v="19"/>
    <n v="547.01868183973602"/>
    <n v="199661.81887150399"/>
    <n v="718782.54793741298"/>
  </r>
  <r>
    <x v="0"/>
    <x v="0"/>
    <x v="0"/>
    <x v="0"/>
    <x v="1"/>
    <s v="DK2_Offshore"/>
    <x v="10"/>
    <x v="59"/>
    <x v="0"/>
    <x v="20"/>
    <n v="633.83366524419296"/>
    <n v="231349.28781412999"/>
    <n v="832857.43613087002"/>
  </r>
  <r>
    <x v="0"/>
    <x v="0"/>
    <x v="0"/>
    <x v="0"/>
    <x v="1"/>
    <s v="DK2_Offshore"/>
    <x v="10"/>
    <x v="59"/>
    <x v="0"/>
    <x v="21"/>
    <n v="683.56263632053299"/>
    <n v="249500.36225699401"/>
    <n v="898201.30412518"/>
  </r>
  <r>
    <x v="0"/>
    <x v="0"/>
    <x v="0"/>
    <x v="0"/>
    <x v="1"/>
    <s v="DK2_Offshore"/>
    <x v="10"/>
    <x v="59"/>
    <x v="0"/>
    <x v="22"/>
    <n v="694.51986723565801"/>
    <n v="253499.75154101499"/>
    <n v="912599.10554765502"/>
  </r>
  <r>
    <x v="0"/>
    <x v="0"/>
    <x v="0"/>
    <x v="0"/>
    <x v="1"/>
    <s v="DK2_Offshore"/>
    <x v="10"/>
    <x v="59"/>
    <x v="0"/>
    <x v="23"/>
    <n v="723.177240398295"/>
    <n v="263959.69274537801"/>
    <n v="950254.89388335904"/>
  </r>
  <r>
    <x v="0"/>
    <x v="0"/>
    <x v="0"/>
    <x v="0"/>
    <x v="1"/>
    <s v="DK2_Rural"/>
    <x v="0"/>
    <x v="48"/>
    <x v="0"/>
    <x v="0"/>
    <n v="2.2352941176470602"/>
    <n v="815.88235294117703"/>
    <n v="2937.1764705882401"/>
  </r>
  <r>
    <x v="0"/>
    <x v="0"/>
    <x v="0"/>
    <x v="0"/>
    <x v="1"/>
    <s v="DK2_Rural"/>
    <x v="0"/>
    <x v="48"/>
    <x v="0"/>
    <x v="1"/>
    <n v="2.2352941176470602"/>
    <n v="815.88235294117703"/>
    <n v="2937.1764705882401"/>
  </r>
  <r>
    <x v="0"/>
    <x v="0"/>
    <x v="0"/>
    <x v="0"/>
    <x v="1"/>
    <s v="DK2_Rural"/>
    <x v="0"/>
    <x v="48"/>
    <x v="0"/>
    <x v="2"/>
    <n v="2.2352941176470602"/>
    <n v="815.88235294117703"/>
    <n v="2937.1764705882401"/>
  </r>
  <r>
    <x v="0"/>
    <x v="0"/>
    <x v="0"/>
    <x v="0"/>
    <x v="1"/>
    <s v="DK2_Rural"/>
    <x v="0"/>
    <x v="48"/>
    <x v="0"/>
    <x v="3"/>
    <n v="2.2352941176470602"/>
    <n v="815.88235294117703"/>
    <n v="2937.1764705882401"/>
  </r>
  <r>
    <x v="0"/>
    <x v="0"/>
    <x v="0"/>
    <x v="0"/>
    <x v="1"/>
    <s v="DK2_Rural"/>
    <x v="0"/>
    <x v="48"/>
    <x v="0"/>
    <x v="4"/>
    <n v="2.2352941176470602"/>
    <n v="815.88235294117703"/>
    <n v="2937.1764705882401"/>
  </r>
  <r>
    <x v="0"/>
    <x v="0"/>
    <x v="0"/>
    <x v="0"/>
    <x v="1"/>
    <s v="DK2_Rural"/>
    <x v="0"/>
    <x v="48"/>
    <x v="0"/>
    <x v="5"/>
    <n v="2.2352941176470602"/>
    <n v="815.88235294117703"/>
    <n v="2937.1764705882401"/>
  </r>
  <r>
    <x v="0"/>
    <x v="0"/>
    <x v="0"/>
    <x v="0"/>
    <x v="1"/>
    <s v="DK2_Rural"/>
    <x v="0"/>
    <x v="48"/>
    <x v="0"/>
    <x v="6"/>
    <n v="2.2352941176470602"/>
    <n v="815.88235294117703"/>
    <n v="2937.1764705882401"/>
  </r>
  <r>
    <x v="0"/>
    <x v="0"/>
    <x v="0"/>
    <x v="0"/>
    <x v="1"/>
    <s v="DK2_Rural"/>
    <x v="0"/>
    <x v="48"/>
    <x v="0"/>
    <x v="7"/>
    <n v="2.2352941176470602"/>
    <n v="815.88235294117703"/>
    <n v="2937.1764705882401"/>
  </r>
  <r>
    <x v="0"/>
    <x v="0"/>
    <x v="0"/>
    <x v="0"/>
    <x v="1"/>
    <s v="DK2_Rural"/>
    <x v="0"/>
    <x v="48"/>
    <x v="0"/>
    <x v="8"/>
    <n v="2.2352941176470602"/>
    <n v="815.88235294117703"/>
    <n v="2937.1764705882401"/>
  </r>
  <r>
    <x v="0"/>
    <x v="0"/>
    <x v="0"/>
    <x v="0"/>
    <x v="1"/>
    <s v="DK2_Rural"/>
    <x v="0"/>
    <x v="48"/>
    <x v="0"/>
    <x v="9"/>
    <n v="2.2352941176470602"/>
    <n v="815.88235294117703"/>
    <n v="2937.1764705882401"/>
  </r>
  <r>
    <x v="0"/>
    <x v="0"/>
    <x v="0"/>
    <x v="0"/>
    <x v="1"/>
    <s v="DK2_Rural"/>
    <x v="0"/>
    <x v="48"/>
    <x v="0"/>
    <x v="10"/>
    <n v="2.2352941176470602"/>
    <n v="815.88235294117703"/>
    <n v="2937.1764705882401"/>
  </r>
  <r>
    <x v="0"/>
    <x v="0"/>
    <x v="0"/>
    <x v="0"/>
    <x v="1"/>
    <s v="DK2_Rural"/>
    <x v="0"/>
    <x v="48"/>
    <x v="0"/>
    <x v="11"/>
    <n v="2.2352941176470602"/>
    <n v="815.88235294117703"/>
    <n v="2937.1764705882401"/>
  </r>
  <r>
    <x v="0"/>
    <x v="0"/>
    <x v="0"/>
    <x v="0"/>
    <x v="1"/>
    <s v="DK2_Rural"/>
    <x v="0"/>
    <x v="48"/>
    <x v="0"/>
    <x v="12"/>
    <n v="2.2352941176470602"/>
    <n v="815.88235294117703"/>
    <n v="2937.1764705882401"/>
  </r>
  <r>
    <x v="0"/>
    <x v="0"/>
    <x v="0"/>
    <x v="0"/>
    <x v="1"/>
    <s v="DK2_Rural"/>
    <x v="0"/>
    <x v="48"/>
    <x v="0"/>
    <x v="13"/>
    <n v="2.2352941176470602"/>
    <n v="815.88235294117703"/>
    <n v="2937.1764705882401"/>
  </r>
  <r>
    <x v="0"/>
    <x v="0"/>
    <x v="0"/>
    <x v="0"/>
    <x v="1"/>
    <s v="DK2_Rural"/>
    <x v="0"/>
    <x v="48"/>
    <x v="0"/>
    <x v="14"/>
    <n v="2.2352941176470602"/>
    <n v="815.88235294117703"/>
    <n v="2937.1764705882401"/>
  </r>
  <r>
    <x v="0"/>
    <x v="0"/>
    <x v="0"/>
    <x v="0"/>
    <x v="1"/>
    <s v="DK2_Rural"/>
    <x v="0"/>
    <x v="48"/>
    <x v="0"/>
    <x v="15"/>
    <n v="2.2352941176470602"/>
    <n v="815.88235294117703"/>
    <n v="2937.1764705882401"/>
  </r>
  <r>
    <x v="0"/>
    <x v="0"/>
    <x v="0"/>
    <x v="0"/>
    <x v="1"/>
    <s v="DK2_Rural"/>
    <x v="0"/>
    <x v="48"/>
    <x v="0"/>
    <x v="16"/>
    <n v="2.2352941176470602"/>
    <n v="815.88235294117703"/>
    <n v="2937.1764705882401"/>
  </r>
  <r>
    <x v="0"/>
    <x v="0"/>
    <x v="0"/>
    <x v="0"/>
    <x v="1"/>
    <s v="DK2_Rural"/>
    <x v="0"/>
    <x v="48"/>
    <x v="0"/>
    <x v="17"/>
    <n v="2.2352941176470602"/>
    <n v="815.88235294117703"/>
    <n v="2937.1764705882401"/>
  </r>
  <r>
    <x v="0"/>
    <x v="0"/>
    <x v="0"/>
    <x v="0"/>
    <x v="1"/>
    <s v="DK2_Rural"/>
    <x v="0"/>
    <x v="48"/>
    <x v="0"/>
    <x v="18"/>
    <n v="2.2352941176470602"/>
    <n v="815.88235294117703"/>
    <n v="2937.1764705882401"/>
  </r>
  <r>
    <x v="0"/>
    <x v="0"/>
    <x v="0"/>
    <x v="0"/>
    <x v="1"/>
    <s v="DK2_Rural"/>
    <x v="0"/>
    <x v="48"/>
    <x v="0"/>
    <x v="19"/>
    <n v="2.2352941176470602"/>
    <n v="815.88235294117703"/>
    <n v="2937.1764705882401"/>
  </r>
  <r>
    <x v="0"/>
    <x v="0"/>
    <x v="0"/>
    <x v="0"/>
    <x v="1"/>
    <s v="DK2_Rural"/>
    <x v="0"/>
    <x v="48"/>
    <x v="0"/>
    <x v="20"/>
    <n v="2.2352941176470602"/>
    <n v="815.88235294117703"/>
    <n v="2937.1764705882401"/>
  </r>
  <r>
    <x v="0"/>
    <x v="0"/>
    <x v="0"/>
    <x v="0"/>
    <x v="1"/>
    <s v="DK2_Rural"/>
    <x v="0"/>
    <x v="48"/>
    <x v="0"/>
    <x v="21"/>
    <n v="2.2352941176470602"/>
    <n v="815.88235294117703"/>
    <n v="2937.1764705882401"/>
  </r>
  <r>
    <x v="0"/>
    <x v="0"/>
    <x v="0"/>
    <x v="0"/>
    <x v="1"/>
    <s v="DK2_Rural"/>
    <x v="0"/>
    <x v="48"/>
    <x v="0"/>
    <x v="22"/>
    <n v="2.2352941176470602"/>
    <n v="815.88235294117703"/>
    <n v="2937.1764705882401"/>
  </r>
  <r>
    <x v="0"/>
    <x v="0"/>
    <x v="0"/>
    <x v="0"/>
    <x v="1"/>
    <s v="DK2_Rural"/>
    <x v="0"/>
    <x v="48"/>
    <x v="0"/>
    <x v="23"/>
    <n v="2.2352941176470602"/>
    <n v="815.88235294117703"/>
    <n v="2937.1764705882401"/>
  </r>
  <r>
    <x v="0"/>
    <x v="0"/>
    <x v="0"/>
    <x v="0"/>
    <x v="1"/>
    <s v="DK2_Rural"/>
    <x v="0"/>
    <x v="5"/>
    <x v="0"/>
    <x v="0"/>
    <n v="2.5897435897435899"/>
    <n v="945.25641025641005"/>
    <n v="3402.9230769230799"/>
  </r>
  <r>
    <x v="0"/>
    <x v="0"/>
    <x v="0"/>
    <x v="0"/>
    <x v="1"/>
    <s v="DK2_Rural"/>
    <x v="0"/>
    <x v="5"/>
    <x v="0"/>
    <x v="1"/>
    <n v="2.5897435897435899"/>
    <n v="945.25641025641005"/>
    <n v="3402.9230769230799"/>
  </r>
  <r>
    <x v="0"/>
    <x v="0"/>
    <x v="0"/>
    <x v="0"/>
    <x v="1"/>
    <s v="DK2_Rural"/>
    <x v="0"/>
    <x v="5"/>
    <x v="0"/>
    <x v="2"/>
    <n v="2.5897435897435899"/>
    <n v="945.25641025641005"/>
    <n v="3402.9230769230799"/>
  </r>
  <r>
    <x v="0"/>
    <x v="0"/>
    <x v="0"/>
    <x v="0"/>
    <x v="1"/>
    <s v="DK2_Rural"/>
    <x v="0"/>
    <x v="5"/>
    <x v="0"/>
    <x v="3"/>
    <n v="2.5897435897435899"/>
    <n v="945.25641025641005"/>
    <n v="3402.9230769230799"/>
  </r>
  <r>
    <x v="0"/>
    <x v="0"/>
    <x v="0"/>
    <x v="0"/>
    <x v="1"/>
    <s v="DK2_Rural"/>
    <x v="0"/>
    <x v="5"/>
    <x v="0"/>
    <x v="4"/>
    <n v="2.5897435897435899"/>
    <n v="945.25641025641005"/>
    <n v="3402.9230769230799"/>
  </r>
  <r>
    <x v="0"/>
    <x v="0"/>
    <x v="0"/>
    <x v="0"/>
    <x v="1"/>
    <s v="DK2_Rural"/>
    <x v="0"/>
    <x v="5"/>
    <x v="0"/>
    <x v="5"/>
    <n v="2.5897435897435899"/>
    <n v="945.25641025641005"/>
    <n v="3402.9230769230799"/>
  </r>
  <r>
    <x v="0"/>
    <x v="0"/>
    <x v="0"/>
    <x v="0"/>
    <x v="1"/>
    <s v="DK2_Rural"/>
    <x v="0"/>
    <x v="5"/>
    <x v="0"/>
    <x v="6"/>
    <n v="2.5897435897435899"/>
    <n v="945.25641025641005"/>
    <n v="3402.9230769230799"/>
  </r>
  <r>
    <x v="0"/>
    <x v="0"/>
    <x v="0"/>
    <x v="0"/>
    <x v="1"/>
    <s v="DK2_Rural"/>
    <x v="0"/>
    <x v="5"/>
    <x v="0"/>
    <x v="7"/>
    <n v="2.5897435897435899"/>
    <n v="945.25641025641005"/>
    <n v="3402.9230769230799"/>
  </r>
  <r>
    <x v="0"/>
    <x v="0"/>
    <x v="0"/>
    <x v="0"/>
    <x v="1"/>
    <s v="DK2_Rural"/>
    <x v="0"/>
    <x v="5"/>
    <x v="0"/>
    <x v="8"/>
    <n v="2.5897435897435899"/>
    <n v="945.25641025641005"/>
    <n v="3402.9230769230799"/>
  </r>
  <r>
    <x v="0"/>
    <x v="0"/>
    <x v="0"/>
    <x v="0"/>
    <x v="1"/>
    <s v="DK2_Rural"/>
    <x v="0"/>
    <x v="5"/>
    <x v="0"/>
    <x v="9"/>
    <n v="2.5897435897435899"/>
    <n v="945.25641025641005"/>
    <n v="3402.9230769230799"/>
  </r>
  <r>
    <x v="0"/>
    <x v="0"/>
    <x v="0"/>
    <x v="0"/>
    <x v="1"/>
    <s v="DK2_Rural"/>
    <x v="0"/>
    <x v="5"/>
    <x v="0"/>
    <x v="10"/>
    <n v="2.5897435897435899"/>
    <n v="945.25641025641005"/>
    <n v="3402.9230769230799"/>
  </r>
  <r>
    <x v="0"/>
    <x v="0"/>
    <x v="0"/>
    <x v="0"/>
    <x v="1"/>
    <s v="DK2_Rural"/>
    <x v="0"/>
    <x v="5"/>
    <x v="0"/>
    <x v="11"/>
    <n v="2.5897435897435899"/>
    <n v="945.25641025641005"/>
    <n v="3402.9230769230799"/>
  </r>
  <r>
    <x v="0"/>
    <x v="0"/>
    <x v="0"/>
    <x v="0"/>
    <x v="1"/>
    <s v="DK2_Rural"/>
    <x v="0"/>
    <x v="5"/>
    <x v="0"/>
    <x v="12"/>
    <n v="2.5897435897435899"/>
    <n v="945.25641025641005"/>
    <n v="3402.9230769230799"/>
  </r>
  <r>
    <x v="0"/>
    <x v="0"/>
    <x v="0"/>
    <x v="0"/>
    <x v="1"/>
    <s v="DK2_Rural"/>
    <x v="0"/>
    <x v="5"/>
    <x v="0"/>
    <x v="13"/>
    <n v="2.5897435897435899"/>
    <n v="945.25641025641005"/>
    <n v="3402.9230769230799"/>
  </r>
  <r>
    <x v="0"/>
    <x v="0"/>
    <x v="0"/>
    <x v="0"/>
    <x v="1"/>
    <s v="DK2_Rural"/>
    <x v="0"/>
    <x v="5"/>
    <x v="0"/>
    <x v="14"/>
    <n v="2.5897435897435899"/>
    <n v="945.25641025641005"/>
    <n v="3402.9230769230799"/>
  </r>
  <r>
    <x v="0"/>
    <x v="0"/>
    <x v="0"/>
    <x v="0"/>
    <x v="1"/>
    <s v="DK2_Rural"/>
    <x v="0"/>
    <x v="5"/>
    <x v="0"/>
    <x v="15"/>
    <n v="2.5897435897435899"/>
    <n v="945.25641025641005"/>
    <n v="3402.9230769230799"/>
  </r>
  <r>
    <x v="0"/>
    <x v="0"/>
    <x v="0"/>
    <x v="0"/>
    <x v="1"/>
    <s v="DK2_Rural"/>
    <x v="0"/>
    <x v="5"/>
    <x v="0"/>
    <x v="16"/>
    <n v="2.5897435897435899"/>
    <n v="945.25641025641005"/>
    <n v="3402.9230769230799"/>
  </r>
  <r>
    <x v="0"/>
    <x v="0"/>
    <x v="0"/>
    <x v="0"/>
    <x v="1"/>
    <s v="DK2_Rural"/>
    <x v="0"/>
    <x v="5"/>
    <x v="0"/>
    <x v="17"/>
    <n v="2.5897435897435899"/>
    <n v="945.25641025641005"/>
    <n v="3402.9230769230799"/>
  </r>
  <r>
    <x v="0"/>
    <x v="0"/>
    <x v="0"/>
    <x v="0"/>
    <x v="1"/>
    <s v="DK2_Rural"/>
    <x v="0"/>
    <x v="5"/>
    <x v="0"/>
    <x v="18"/>
    <n v="2.5897435897435899"/>
    <n v="945.25641025641005"/>
    <n v="3402.9230769230799"/>
  </r>
  <r>
    <x v="0"/>
    <x v="0"/>
    <x v="0"/>
    <x v="0"/>
    <x v="1"/>
    <s v="DK2_Rural"/>
    <x v="0"/>
    <x v="5"/>
    <x v="0"/>
    <x v="19"/>
    <n v="2.5897435897435899"/>
    <n v="945.25641025641005"/>
    <n v="3402.9230769230799"/>
  </r>
  <r>
    <x v="0"/>
    <x v="0"/>
    <x v="0"/>
    <x v="0"/>
    <x v="1"/>
    <s v="DK2_Rural"/>
    <x v="0"/>
    <x v="5"/>
    <x v="0"/>
    <x v="20"/>
    <n v="2.5897435897435899"/>
    <n v="945.25641025641005"/>
    <n v="3402.9230769230799"/>
  </r>
  <r>
    <x v="0"/>
    <x v="0"/>
    <x v="0"/>
    <x v="0"/>
    <x v="1"/>
    <s v="DK2_Rural"/>
    <x v="0"/>
    <x v="5"/>
    <x v="0"/>
    <x v="21"/>
    <n v="2.5897435897435899"/>
    <n v="945.25641025641005"/>
    <n v="3402.9230769230799"/>
  </r>
  <r>
    <x v="0"/>
    <x v="0"/>
    <x v="0"/>
    <x v="0"/>
    <x v="1"/>
    <s v="DK2_Rural"/>
    <x v="0"/>
    <x v="5"/>
    <x v="0"/>
    <x v="22"/>
    <n v="2.5897435897435899"/>
    <n v="945.25641025641005"/>
    <n v="3402.9230769230799"/>
  </r>
  <r>
    <x v="0"/>
    <x v="0"/>
    <x v="0"/>
    <x v="0"/>
    <x v="1"/>
    <s v="DK2_Rural"/>
    <x v="0"/>
    <x v="5"/>
    <x v="0"/>
    <x v="23"/>
    <n v="2.5897435897435899"/>
    <n v="945.25641025641005"/>
    <n v="3402.9230769230799"/>
  </r>
  <r>
    <x v="0"/>
    <x v="0"/>
    <x v="0"/>
    <x v="0"/>
    <x v="1"/>
    <s v="DK2_Rural"/>
    <x v="0"/>
    <x v="6"/>
    <x v="0"/>
    <x v="0"/>
    <n v="1.325"/>
    <n v="483.625"/>
    <n v="1741.05"/>
  </r>
  <r>
    <x v="0"/>
    <x v="0"/>
    <x v="0"/>
    <x v="0"/>
    <x v="1"/>
    <s v="DK2_Rural"/>
    <x v="0"/>
    <x v="6"/>
    <x v="0"/>
    <x v="1"/>
    <n v="1.325"/>
    <n v="483.625"/>
    <n v="1741.05"/>
  </r>
  <r>
    <x v="0"/>
    <x v="0"/>
    <x v="0"/>
    <x v="0"/>
    <x v="1"/>
    <s v="DK2_Rural"/>
    <x v="0"/>
    <x v="6"/>
    <x v="0"/>
    <x v="2"/>
    <n v="1.325"/>
    <n v="483.625"/>
    <n v="1741.05"/>
  </r>
  <r>
    <x v="0"/>
    <x v="0"/>
    <x v="0"/>
    <x v="0"/>
    <x v="1"/>
    <s v="DK2_Rural"/>
    <x v="0"/>
    <x v="6"/>
    <x v="0"/>
    <x v="3"/>
    <n v="1.325"/>
    <n v="483.625"/>
    <n v="1741.05"/>
  </r>
  <r>
    <x v="0"/>
    <x v="0"/>
    <x v="0"/>
    <x v="0"/>
    <x v="1"/>
    <s v="DK2_Rural"/>
    <x v="0"/>
    <x v="6"/>
    <x v="0"/>
    <x v="4"/>
    <n v="1.325"/>
    <n v="483.625"/>
    <n v="1741.05"/>
  </r>
  <r>
    <x v="0"/>
    <x v="0"/>
    <x v="0"/>
    <x v="0"/>
    <x v="1"/>
    <s v="DK2_Rural"/>
    <x v="0"/>
    <x v="6"/>
    <x v="0"/>
    <x v="5"/>
    <n v="1.325"/>
    <n v="483.625"/>
    <n v="1741.05"/>
  </r>
  <r>
    <x v="0"/>
    <x v="0"/>
    <x v="0"/>
    <x v="0"/>
    <x v="1"/>
    <s v="DK2_Rural"/>
    <x v="0"/>
    <x v="6"/>
    <x v="0"/>
    <x v="6"/>
    <n v="1.325"/>
    <n v="483.625"/>
    <n v="1741.05"/>
  </r>
  <r>
    <x v="0"/>
    <x v="0"/>
    <x v="0"/>
    <x v="0"/>
    <x v="1"/>
    <s v="DK2_Rural"/>
    <x v="0"/>
    <x v="6"/>
    <x v="0"/>
    <x v="7"/>
    <n v="1.325"/>
    <n v="483.625"/>
    <n v="1741.05"/>
  </r>
  <r>
    <x v="0"/>
    <x v="0"/>
    <x v="0"/>
    <x v="0"/>
    <x v="1"/>
    <s v="DK2_Rural"/>
    <x v="0"/>
    <x v="6"/>
    <x v="0"/>
    <x v="8"/>
    <n v="1.325"/>
    <n v="483.625"/>
    <n v="1741.05"/>
  </r>
  <r>
    <x v="0"/>
    <x v="0"/>
    <x v="0"/>
    <x v="0"/>
    <x v="1"/>
    <s v="DK2_Rural"/>
    <x v="0"/>
    <x v="6"/>
    <x v="0"/>
    <x v="9"/>
    <n v="1.325"/>
    <n v="483.625"/>
    <n v="1741.05"/>
  </r>
  <r>
    <x v="0"/>
    <x v="0"/>
    <x v="0"/>
    <x v="0"/>
    <x v="1"/>
    <s v="DK2_Rural"/>
    <x v="0"/>
    <x v="6"/>
    <x v="0"/>
    <x v="10"/>
    <n v="1.325"/>
    <n v="483.625"/>
    <n v="1741.05"/>
  </r>
  <r>
    <x v="0"/>
    <x v="0"/>
    <x v="0"/>
    <x v="0"/>
    <x v="1"/>
    <s v="DK2_Rural"/>
    <x v="0"/>
    <x v="6"/>
    <x v="0"/>
    <x v="11"/>
    <n v="1.325"/>
    <n v="483.625"/>
    <n v="1741.05"/>
  </r>
  <r>
    <x v="0"/>
    <x v="0"/>
    <x v="0"/>
    <x v="0"/>
    <x v="1"/>
    <s v="DK2_Rural"/>
    <x v="0"/>
    <x v="6"/>
    <x v="0"/>
    <x v="12"/>
    <n v="1.325"/>
    <n v="483.625"/>
    <n v="1741.05"/>
  </r>
  <r>
    <x v="0"/>
    <x v="0"/>
    <x v="0"/>
    <x v="0"/>
    <x v="1"/>
    <s v="DK2_Rural"/>
    <x v="0"/>
    <x v="6"/>
    <x v="0"/>
    <x v="13"/>
    <n v="1.325"/>
    <n v="483.625"/>
    <n v="1741.05"/>
  </r>
  <r>
    <x v="0"/>
    <x v="0"/>
    <x v="0"/>
    <x v="0"/>
    <x v="1"/>
    <s v="DK2_Rural"/>
    <x v="0"/>
    <x v="6"/>
    <x v="0"/>
    <x v="14"/>
    <n v="1.325"/>
    <n v="483.625"/>
    <n v="1741.05"/>
  </r>
  <r>
    <x v="0"/>
    <x v="0"/>
    <x v="0"/>
    <x v="0"/>
    <x v="1"/>
    <s v="DK2_Rural"/>
    <x v="0"/>
    <x v="6"/>
    <x v="0"/>
    <x v="15"/>
    <n v="1.325"/>
    <n v="483.625"/>
    <n v="1741.05"/>
  </r>
  <r>
    <x v="0"/>
    <x v="0"/>
    <x v="0"/>
    <x v="0"/>
    <x v="1"/>
    <s v="DK2_Rural"/>
    <x v="0"/>
    <x v="6"/>
    <x v="0"/>
    <x v="16"/>
    <n v="1.325"/>
    <n v="483.625"/>
    <n v="1741.05"/>
  </r>
  <r>
    <x v="0"/>
    <x v="0"/>
    <x v="0"/>
    <x v="0"/>
    <x v="1"/>
    <s v="DK2_Rural"/>
    <x v="0"/>
    <x v="6"/>
    <x v="0"/>
    <x v="17"/>
    <n v="1.325"/>
    <n v="483.625"/>
    <n v="1741.05"/>
  </r>
  <r>
    <x v="0"/>
    <x v="0"/>
    <x v="0"/>
    <x v="0"/>
    <x v="1"/>
    <s v="DK2_Rural"/>
    <x v="0"/>
    <x v="6"/>
    <x v="0"/>
    <x v="18"/>
    <n v="1.325"/>
    <n v="483.625"/>
    <n v="1741.05"/>
  </r>
  <r>
    <x v="0"/>
    <x v="0"/>
    <x v="0"/>
    <x v="0"/>
    <x v="1"/>
    <s v="DK2_Rural"/>
    <x v="0"/>
    <x v="6"/>
    <x v="0"/>
    <x v="19"/>
    <n v="1.325"/>
    <n v="483.625"/>
    <n v="1741.05"/>
  </r>
  <r>
    <x v="0"/>
    <x v="0"/>
    <x v="0"/>
    <x v="0"/>
    <x v="1"/>
    <s v="DK2_Rural"/>
    <x v="0"/>
    <x v="6"/>
    <x v="0"/>
    <x v="20"/>
    <n v="1.325"/>
    <n v="483.625"/>
    <n v="1741.05"/>
  </r>
  <r>
    <x v="0"/>
    <x v="0"/>
    <x v="0"/>
    <x v="0"/>
    <x v="1"/>
    <s v="DK2_Rural"/>
    <x v="0"/>
    <x v="6"/>
    <x v="0"/>
    <x v="21"/>
    <n v="1.325"/>
    <n v="483.625"/>
    <n v="1741.05"/>
  </r>
  <r>
    <x v="0"/>
    <x v="0"/>
    <x v="0"/>
    <x v="0"/>
    <x v="1"/>
    <s v="DK2_Rural"/>
    <x v="0"/>
    <x v="6"/>
    <x v="0"/>
    <x v="22"/>
    <n v="1.325"/>
    <n v="483.625"/>
    <n v="1741.05"/>
  </r>
  <r>
    <x v="0"/>
    <x v="0"/>
    <x v="0"/>
    <x v="0"/>
    <x v="1"/>
    <s v="DK2_Rural"/>
    <x v="0"/>
    <x v="6"/>
    <x v="0"/>
    <x v="23"/>
    <n v="1.325"/>
    <n v="483.625"/>
    <n v="1741.05"/>
  </r>
  <r>
    <x v="0"/>
    <x v="0"/>
    <x v="0"/>
    <x v="0"/>
    <x v="1"/>
    <s v="DK2_Rural"/>
    <x v="0"/>
    <x v="7"/>
    <x v="0"/>
    <x v="0"/>
    <n v="4.8780487804878003"/>
    <n v="1780.4878048780499"/>
    <n v="6409.7560975609704"/>
  </r>
  <r>
    <x v="0"/>
    <x v="0"/>
    <x v="0"/>
    <x v="0"/>
    <x v="1"/>
    <s v="DK2_Rural"/>
    <x v="0"/>
    <x v="7"/>
    <x v="0"/>
    <x v="1"/>
    <n v="4.8780487804878003"/>
    <n v="1780.4878048780499"/>
    <n v="6409.7560975609704"/>
  </r>
  <r>
    <x v="0"/>
    <x v="0"/>
    <x v="0"/>
    <x v="0"/>
    <x v="1"/>
    <s v="DK2_Rural"/>
    <x v="0"/>
    <x v="7"/>
    <x v="0"/>
    <x v="2"/>
    <n v="4.8780487804878003"/>
    <n v="1780.4878048780499"/>
    <n v="6409.7560975609704"/>
  </r>
  <r>
    <x v="0"/>
    <x v="0"/>
    <x v="0"/>
    <x v="0"/>
    <x v="1"/>
    <s v="DK2_Rural"/>
    <x v="0"/>
    <x v="7"/>
    <x v="0"/>
    <x v="3"/>
    <n v="4.8780487804878003"/>
    <n v="1780.4878048780499"/>
    <n v="6409.7560975609704"/>
  </r>
  <r>
    <x v="0"/>
    <x v="0"/>
    <x v="0"/>
    <x v="0"/>
    <x v="1"/>
    <s v="DK2_Rural"/>
    <x v="0"/>
    <x v="7"/>
    <x v="0"/>
    <x v="4"/>
    <n v="4.8780487804878003"/>
    <n v="1780.4878048780499"/>
    <n v="6409.7560975609704"/>
  </r>
  <r>
    <x v="0"/>
    <x v="0"/>
    <x v="0"/>
    <x v="0"/>
    <x v="1"/>
    <s v="DK2_Rural"/>
    <x v="0"/>
    <x v="7"/>
    <x v="0"/>
    <x v="5"/>
    <n v="4.8780487804878003"/>
    <n v="1780.4878048780499"/>
    <n v="6409.7560975609704"/>
  </r>
  <r>
    <x v="0"/>
    <x v="0"/>
    <x v="0"/>
    <x v="0"/>
    <x v="1"/>
    <s v="DK2_Rural"/>
    <x v="0"/>
    <x v="7"/>
    <x v="0"/>
    <x v="6"/>
    <n v="4.8780487804878003"/>
    <n v="1780.4878048780499"/>
    <n v="6409.7560975609704"/>
  </r>
  <r>
    <x v="0"/>
    <x v="0"/>
    <x v="0"/>
    <x v="0"/>
    <x v="1"/>
    <s v="DK2_Rural"/>
    <x v="0"/>
    <x v="7"/>
    <x v="0"/>
    <x v="7"/>
    <n v="4.8780487804878003"/>
    <n v="1780.4878048780499"/>
    <n v="6409.7560975609704"/>
  </r>
  <r>
    <x v="0"/>
    <x v="0"/>
    <x v="0"/>
    <x v="0"/>
    <x v="1"/>
    <s v="DK2_Rural"/>
    <x v="0"/>
    <x v="7"/>
    <x v="0"/>
    <x v="8"/>
    <n v="4.8780487804878003"/>
    <n v="1780.4878048780499"/>
    <n v="6409.7560975609704"/>
  </r>
  <r>
    <x v="0"/>
    <x v="0"/>
    <x v="0"/>
    <x v="0"/>
    <x v="1"/>
    <s v="DK2_Rural"/>
    <x v="0"/>
    <x v="7"/>
    <x v="0"/>
    <x v="9"/>
    <n v="4.8780487804878003"/>
    <n v="1780.4878048780499"/>
    <n v="6409.7560975609704"/>
  </r>
  <r>
    <x v="0"/>
    <x v="0"/>
    <x v="0"/>
    <x v="0"/>
    <x v="1"/>
    <s v="DK2_Rural"/>
    <x v="0"/>
    <x v="7"/>
    <x v="0"/>
    <x v="10"/>
    <n v="4.8780487804878003"/>
    <n v="1780.4878048780499"/>
    <n v="6409.7560975609704"/>
  </r>
  <r>
    <x v="0"/>
    <x v="0"/>
    <x v="0"/>
    <x v="0"/>
    <x v="1"/>
    <s v="DK2_Rural"/>
    <x v="0"/>
    <x v="7"/>
    <x v="0"/>
    <x v="11"/>
    <n v="4.8780487804878003"/>
    <n v="1780.4878048780499"/>
    <n v="6409.7560975609704"/>
  </r>
  <r>
    <x v="0"/>
    <x v="0"/>
    <x v="0"/>
    <x v="0"/>
    <x v="1"/>
    <s v="DK2_Rural"/>
    <x v="0"/>
    <x v="7"/>
    <x v="0"/>
    <x v="12"/>
    <n v="4.8780487804878003"/>
    <n v="1780.4878048780499"/>
    <n v="6409.7560975609704"/>
  </r>
  <r>
    <x v="0"/>
    <x v="0"/>
    <x v="0"/>
    <x v="0"/>
    <x v="1"/>
    <s v="DK2_Rural"/>
    <x v="0"/>
    <x v="7"/>
    <x v="0"/>
    <x v="13"/>
    <n v="4.8780487804878003"/>
    <n v="1780.4878048780499"/>
    <n v="6409.7560975609704"/>
  </r>
  <r>
    <x v="0"/>
    <x v="0"/>
    <x v="0"/>
    <x v="0"/>
    <x v="1"/>
    <s v="DK2_Rural"/>
    <x v="0"/>
    <x v="7"/>
    <x v="0"/>
    <x v="14"/>
    <n v="4.8780487804878003"/>
    <n v="1780.4878048780499"/>
    <n v="6409.7560975609704"/>
  </r>
  <r>
    <x v="0"/>
    <x v="0"/>
    <x v="0"/>
    <x v="0"/>
    <x v="1"/>
    <s v="DK2_Rural"/>
    <x v="0"/>
    <x v="7"/>
    <x v="0"/>
    <x v="15"/>
    <n v="4.8780487804878003"/>
    <n v="1780.4878048780499"/>
    <n v="6409.7560975609704"/>
  </r>
  <r>
    <x v="0"/>
    <x v="0"/>
    <x v="0"/>
    <x v="0"/>
    <x v="1"/>
    <s v="DK2_Rural"/>
    <x v="0"/>
    <x v="7"/>
    <x v="0"/>
    <x v="16"/>
    <n v="4.8780487804878003"/>
    <n v="1780.4878048780499"/>
    <n v="6409.7560975609704"/>
  </r>
  <r>
    <x v="0"/>
    <x v="0"/>
    <x v="0"/>
    <x v="0"/>
    <x v="1"/>
    <s v="DK2_Rural"/>
    <x v="0"/>
    <x v="7"/>
    <x v="0"/>
    <x v="17"/>
    <n v="4.8780487804878003"/>
    <n v="1780.4878048780499"/>
    <n v="6409.7560975609704"/>
  </r>
  <r>
    <x v="0"/>
    <x v="0"/>
    <x v="0"/>
    <x v="0"/>
    <x v="1"/>
    <s v="DK2_Rural"/>
    <x v="0"/>
    <x v="7"/>
    <x v="0"/>
    <x v="18"/>
    <n v="4.8780487804878003"/>
    <n v="1780.4878048780499"/>
    <n v="6409.7560975609704"/>
  </r>
  <r>
    <x v="0"/>
    <x v="0"/>
    <x v="0"/>
    <x v="0"/>
    <x v="1"/>
    <s v="DK2_Rural"/>
    <x v="0"/>
    <x v="7"/>
    <x v="0"/>
    <x v="19"/>
    <n v="4.8780487804878003"/>
    <n v="1780.4878048780499"/>
    <n v="6409.7560975609704"/>
  </r>
  <r>
    <x v="0"/>
    <x v="0"/>
    <x v="0"/>
    <x v="0"/>
    <x v="1"/>
    <s v="DK2_Rural"/>
    <x v="0"/>
    <x v="7"/>
    <x v="0"/>
    <x v="20"/>
    <n v="4.8780487804878003"/>
    <n v="1780.4878048780499"/>
    <n v="6409.7560975609704"/>
  </r>
  <r>
    <x v="0"/>
    <x v="0"/>
    <x v="0"/>
    <x v="0"/>
    <x v="1"/>
    <s v="DK2_Rural"/>
    <x v="0"/>
    <x v="7"/>
    <x v="0"/>
    <x v="21"/>
    <n v="4.8780487804878003"/>
    <n v="1780.4878048780499"/>
    <n v="6409.7560975609704"/>
  </r>
  <r>
    <x v="0"/>
    <x v="0"/>
    <x v="0"/>
    <x v="0"/>
    <x v="1"/>
    <s v="DK2_Rural"/>
    <x v="0"/>
    <x v="7"/>
    <x v="0"/>
    <x v="22"/>
    <n v="4.8780487804878003"/>
    <n v="1780.4878048780499"/>
    <n v="6409.7560975609704"/>
  </r>
  <r>
    <x v="0"/>
    <x v="0"/>
    <x v="0"/>
    <x v="0"/>
    <x v="1"/>
    <s v="DK2_Rural"/>
    <x v="0"/>
    <x v="7"/>
    <x v="0"/>
    <x v="23"/>
    <n v="4.8780487804878003"/>
    <n v="1780.4878048780499"/>
    <n v="6409.7560975609704"/>
  </r>
  <r>
    <x v="0"/>
    <x v="0"/>
    <x v="0"/>
    <x v="0"/>
    <x v="1"/>
    <s v="DK2_Rural"/>
    <x v="0"/>
    <x v="8"/>
    <x v="0"/>
    <x v="0"/>
    <n v="13.652380952381"/>
    <n v="4983.1190476190504"/>
    <n v="17939.228571428601"/>
  </r>
  <r>
    <x v="0"/>
    <x v="0"/>
    <x v="0"/>
    <x v="0"/>
    <x v="1"/>
    <s v="DK2_Rural"/>
    <x v="0"/>
    <x v="8"/>
    <x v="0"/>
    <x v="1"/>
    <n v="13.652380952381"/>
    <n v="4983.1190476190504"/>
    <n v="17939.228571428601"/>
  </r>
  <r>
    <x v="0"/>
    <x v="0"/>
    <x v="0"/>
    <x v="0"/>
    <x v="1"/>
    <s v="DK2_Rural"/>
    <x v="0"/>
    <x v="8"/>
    <x v="0"/>
    <x v="2"/>
    <n v="13.652380952381"/>
    <n v="4983.1190476190504"/>
    <n v="17939.228571428601"/>
  </r>
  <r>
    <x v="0"/>
    <x v="0"/>
    <x v="0"/>
    <x v="0"/>
    <x v="1"/>
    <s v="DK2_Rural"/>
    <x v="0"/>
    <x v="8"/>
    <x v="0"/>
    <x v="3"/>
    <n v="13.652380952381"/>
    <n v="4983.1190476190504"/>
    <n v="17939.228571428601"/>
  </r>
  <r>
    <x v="0"/>
    <x v="0"/>
    <x v="0"/>
    <x v="0"/>
    <x v="1"/>
    <s v="DK2_Rural"/>
    <x v="0"/>
    <x v="8"/>
    <x v="0"/>
    <x v="4"/>
    <n v="13.652380952381"/>
    <n v="4983.1190476190504"/>
    <n v="17939.228571428601"/>
  </r>
  <r>
    <x v="0"/>
    <x v="0"/>
    <x v="0"/>
    <x v="0"/>
    <x v="1"/>
    <s v="DK2_Rural"/>
    <x v="0"/>
    <x v="8"/>
    <x v="0"/>
    <x v="5"/>
    <n v="13.652380952381"/>
    <n v="4983.1190476190504"/>
    <n v="17939.228571428601"/>
  </r>
  <r>
    <x v="0"/>
    <x v="0"/>
    <x v="0"/>
    <x v="0"/>
    <x v="1"/>
    <s v="DK2_Rural"/>
    <x v="0"/>
    <x v="8"/>
    <x v="0"/>
    <x v="6"/>
    <n v="13.652380952381"/>
    <n v="4983.1190476190504"/>
    <n v="17939.228571428601"/>
  </r>
  <r>
    <x v="0"/>
    <x v="0"/>
    <x v="0"/>
    <x v="0"/>
    <x v="1"/>
    <s v="DK2_Rural"/>
    <x v="0"/>
    <x v="8"/>
    <x v="0"/>
    <x v="7"/>
    <n v="13.652380952381"/>
    <n v="4983.1190476190504"/>
    <n v="17939.228571428601"/>
  </r>
  <r>
    <x v="0"/>
    <x v="0"/>
    <x v="0"/>
    <x v="0"/>
    <x v="1"/>
    <s v="DK2_Rural"/>
    <x v="0"/>
    <x v="8"/>
    <x v="0"/>
    <x v="8"/>
    <n v="13.652380952381"/>
    <n v="4983.1190476190504"/>
    <n v="17939.228571428601"/>
  </r>
  <r>
    <x v="0"/>
    <x v="0"/>
    <x v="0"/>
    <x v="0"/>
    <x v="1"/>
    <s v="DK2_Rural"/>
    <x v="0"/>
    <x v="8"/>
    <x v="0"/>
    <x v="9"/>
    <n v="13.652380952381"/>
    <n v="4983.1190476190504"/>
    <n v="17939.228571428601"/>
  </r>
  <r>
    <x v="0"/>
    <x v="0"/>
    <x v="0"/>
    <x v="0"/>
    <x v="1"/>
    <s v="DK2_Rural"/>
    <x v="0"/>
    <x v="8"/>
    <x v="0"/>
    <x v="10"/>
    <n v="13.652380952381"/>
    <n v="4983.1190476190504"/>
    <n v="17939.228571428601"/>
  </r>
  <r>
    <x v="0"/>
    <x v="0"/>
    <x v="0"/>
    <x v="0"/>
    <x v="1"/>
    <s v="DK2_Rural"/>
    <x v="0"/>
    <x v="8"/>
    <x v="0"/>
    <x v="11"/>
    <n v="13.652380952381"/>
    <n v="4983.1190476190504"/>
    <n v="17939.228571428601"/>
  </r>
  <r>
    <x v="0"/>
    <x v="0"/>
    <x v="0"/>
    <x v="0"/>
    <x v="1"/>
    <s v="DK2_Rural"/>
    <x v="0"/>
    <x v="8"/>
    <x v="0"/>
    <x v="12"/>
    <n v="13.652380952381"/>
    <n v="4983.1190476190504"/>
    <n v="17939.228571428601"/>
  </r>
  <r>
    <x v="0"/>
    <x v="0"/>
    <x v="0"/>
    <x v="0"/>
    <x v="1"/>
    <s v="DK2_Rural"/>
    <x v="0"/>
    <x v="8"/>
    <x v="0"/>
    <x v="13"/>
    <n v="13.652380952381"/>
    <n v="4983.1190476190504"/>
    <n v="17939.228571428601"/>
  </r>
  <r>
    <x v="0"/>
    <x v="0"/>
    <x v="0"/>
    <x v="0"/>
    <x v="1"/>
    <s v="DK2_Rural"/>
    <x v="0"/>
    <x v="8"/>
    <x v="0"/>
    <x v="14"/>
    <n v="13.652380952381"/>
    <n v="4983.1190476190504"/>
    <n v="17939.228571428601"/>
  </r>
  <r>
    <x v="0"/>
    <x v="0"/>
    <x v="0"/>
    <x v="0"/>
    <x v="1"/>
    <s v="DK2_Rural"/>
    <x v="0"/>
    <x v="8"/>
    <x v="0"/>
    <x v="15"/>
    <n v="13.652380952381"/>
    <n v="4983.1190476190504"/>
    <n v="17939.228571428601"/>
  </r>
  <r>
    <x v="0"/>
    <x v="0"/>
    <x v="0"/>
    <x v="0"/>
    <x v="1"/>
    <s v="DK2_Rural"/>
    <x v="0"/>
    <x v="8"/>
    <x v="0"/>
    <x v="16"/>
    <n v="13.652380952381"/>
    <n v="4983.1190476190504"/>
    <n v="17939.228571428601"/>
  </r>
  <r>
    <x v="0"/>
    <x v="0"/>
    <x v="0"/>
    <x v="0"/>
    <x v="1"/>
    <s v="DK2_Rural"/>
    <x v="0"/>
    <x v="8"/>
    <x v="0"/>
    <x v="17"/>
    <n v="13.652380952381"/>
    <n v="4983.1190476190504"/>
    <n v="17939.228571428601"/>
  </r>
  <r>
    <x v="0"/>
    <x v="0"/>
    <x v="0"/>
    <x v="0"/>
    <x v="1"/>
    <s v="DK2_Rural"/>
    <x v="0"/>
    <x v="8"/>
    <x v="0"/>
    <x v="18"/>
    <n v="13.652380952381"/>
    <n v="4983.1190476190504"/>
    <n v="17939.228571428601"/>
  </r>
  <r>
    <x v="0"/>
    <x v="0"/>
    <x v="0"/>
    <x v="0"/>
    <x v="1"/>
    <s v="DK2_Rural"/>
    <x v="0"/>
    <x v="8"/>
    <x v="0"/>
    <x v="19"/>
    <n v="13.652380952381"/>
    <n v="4983.1190476190504"/>
    <n v="17939.228571428601"/>
  </r>
  <r>
    <x v="0"/>
    <x v="0"/>
    <x v="0"/>
    <x v="0"/>
    <x v="1"/>
    <s v="DK2_Rural"/>
    <x v="0"/>
    <x v="8"/>
    <x v="0"/>
    <x v="20"/>
    <n v="13.652380952381"/>
    <n v="4983.1190476190504"/>
    <n v="17939.228571428601"/>
  </r>
  <r>
    <x v="0"/>
    <x v="0"/>
    <x v="0"/>
    <x v="0"/>
    <x v="1"/>
    <s v="DK2_Rural"/>
    <x v="0"/>
    <x v="8"/>
    <x v="0"/>
    <x v="21"/>
    <n v="13.652380952381"/>
    <n v="4983.1190476190504"/>
    <n v="17939.228571428601"/>
  </r>
  <r>
    <x v="0"/>
    <x v="0"/>
    <x v="0"/>
    <x v="0"/>
    <x v="1"/>
    <s v="DK2_Rural"/>
    <x v="0"/>
    <x v="8"/>
    <x v="0"/>
    <x v="22"/>
    <n v="13.652380952381"/>
    <n v="4983.1190476190504"/>
    <n v="17939.228571428601"/>
  </r>
  <r>
    <x v="0"/>
    <x v="0"/>
    <x v="0"/>
    <x v="0"/>
    <x v="1"/>
    <s v="DK2_Rural"/>
    <x v="0"/>
    <x v="8"/>
    <x v="0"/>
    <x v="23"/>
    <n v="13.652380952381"/>
    <n v="4983.1190476190504"/>
    <n v="17939.228571428601"/>
  </r>
  <r>
    <x v="0"/>
    <x v="0"/>
    <x v="0"/>
    <x v="0"/>
    <x v="1"/>
    <s v="DK2_Rural"/>
    <x v="2"/>
    <x v="14"/>
    <x v="0"/>
    <x v="0"/>
    <n v="6.6666666666666696"/>
    <n v="2433.3333333333298"/>
    <n v="8760"/>
  </r>
  <r>
    <x v="0"/>
    <x v="0"/>
    <x v="0"/>
    <x v="0"/>
    <x v="1"/>
    <s v="DK2_Rural"/>
    <x v="2"/>
    <x v="14"/>
    <x v="0"/>
    <x v="1"/>
    <n v="6.6666666666666696"/>
    <n v="2433.3333333333298"/>
    <n v="8760"/>
  </r>
  <r>
    <x v="0"/>
    <x v="0"/>
    <x v="0"/>
    <x v="0"/>
    <x v="1"/>
    <s v="DK2_Rural"/>
    <x v="2"/>
    <x v="14"/>
    <x v="0"/>
    <x v="2"/>
    <n v="6.6666666666666696"/>
    <n v="2433.3333333333298"/>
    <n v="8760"/>
  </r>
  <r>
    <x v="0"/>
    <x v="0"/>
    <x v="0"/>
    <x v="0"/>
    <x v="1"/>
    <s v="DK2_Rural"/>
    <x v="2"/>
    <x v="14"/>
    <x v="0"/>
    <x v="3"/>
    <n v="6.6666666666666696"/>
    <n v="2433.3333333333298"/>
    <n v="8760"/>
  </r>
  <r>
    <x v="0"/>
    <x v="0"/>
    <x v="0"/>
    <x v="0"/>
    <x v="1"/>
    <s v="DK2_Rural"/>
    <x v="2"/>
    <x v="14"/>
    <x v="0"/>
    <x v="4"/>
    <n v="6.6666666666666696"/>
    <n v="2433.3333333333298"/>
    <n v="8760"/>
  </r>
  <r>
    <x v="0"/>
    <x v="0"/>
    <x v="0"/>
    <x v="0"/>
    <x v="1"/>
    <s v="DK2_Rural"/>
    <x v="2"/>
    <x v="14"/>
    <x v="0"/>
    <x v="5"/>
    <n v="6.6666666666666696"/>
    <n v="2433.3333333333298"/>
    <n v="8760"/>
  </r>
  <r>
    <x v="0"/>
    <x v="0"/>
    <x v="0"/>
    <x v="0"/>
    <x v="1"/>
    <s v="DK2_Rural"/>
    <x v="2"/>
    <x v="14"/>
    <x v="0"/>
    <x v="6"/>
    <n v="6.6666666666666696"/>
    <n v="2433.3333333333298"/>
    <n v="8760"/>
  </r>
  <r>
    <x v="0"/>
    <x v="0"/>
    <x v="0"/>
    <x v="0"/>
    <x v="1"/>
    <s v="DK2_Rural"/>
    <x v="2"/>
    <x v="14"/>
    <x v="0"/>
    <x v="7"/>
    <n v="6.6666666666666696"/>
    <n v="2433.3333333333298"/>
    <n v="8760"/>
  </r>
  <r>
    <x v="0"/>
    <x v="0"/>
    <x v="0"/>
    <x v="0"/>
    <x v="1"/>
    <s v="DK2_Rural"/>
    <x v="2"/>
    <x v="14"/>
    <x v="0"/>
    <x v="8"/>
    <n v="6.6666666666666696"/>
    <n v="2433.3333333333298"/>
    <n v="8760"/>
  </r>
  <r>
    <x v="0"/>
    <x v="0"/>
    <x v="0"/>
    <x v="0"/>
    <x v="1"/>
    <s v="DK2_Rural"/>
    <x v="2"/>
    <x v="14"/>
    <x v="0"/>
    <x v="9"/>
    <n v="6.6666666666666696"/>
    <n v="2433.3333333333298"/>
    <n v="8760"/>
  </r>
  <r>
    <x v="0"/>
    <x v="0"/>
    <x v="0"/>
    <x v="0"/>
    <x v="1"/>
    <s v="DK2_Rural"/>
    <x v="2"/>
    <x v="14"/>
    <x v="0"/>
    <x v="10"/>
    <n v="6.6666666666666696"/>
    <n v="2433.3333333333298"/>
    <n v="8760"/>
  </r>
  <r>
    <x v="0"/>
    <x v="0"/>
    <x v="0"/>
    <x v="0"/>
    <x v="1"/>
    <s v="DK2_Rural"/>
    <x v="2"/>
    <x v="14"/>
    <x v="0"/>
    <x v="11"/>
    <n v="6.6666666666666696"/>
    <n v="2433.3333333333298"/>
    <n v="8760"/>
  </r>
  <r>
    <x v="0"/>
    <x v="0"/>
    <x v="0"/>
    <x v="0"/>
    <x v="1"/>
    <s v="DK2_Rural"/>
    <x v="2"/>
    <x v="14"/>
    <x v="0"/>
    <x v="12"/>
    <n v="6.6666666666666696"/>
    <n v="2433.3333333333298"/>
    <n v="8760"/>
  </r>
  <r>
    <x v="0"/>
    <x v="0"/>
    <x v="0"/>
    <x v="0"/>
    <x v="1"/>
    <s v="DK2_Rural"/>
    <x v="2"/>
    <x v="14"/>
    <x v="0"/>
    <x v="13"/>
    <n v="6.6666666666666696"/>
    <n v="2433.3333333333298"/>
    <n v="8760"/>
  </r>
  <r>
    <x v="0"/>
    <x v="0"/>
    <x v="0"/>
    <x v="0"/>
    <x v="1"/>
    <s v="DK2_Rural"/>
    <x v="2"/>
    <x v="14"/>
    <x v="0"/>
    <x v="14"/>
    <n v="6.6666666666666696"/>
    <n v="2433.3333333333298"/>
    <n v="8760"/>
  </r>
  <r>
    <x v="0"/>
    <x v="0"/>
    <x v="0"/>
    <x v="0"/>
    <x v="1"/>
    <s v="DK2_Rural"/>
    <x v="2"/>
    <x v="14"/>
    <x v="0"/>
    <x v="15"/>
    <n v="6.6666666666666696"/>
    <n v="2433.3333333333298"/>
    <n v="8760"/>
  </r>
  <r>
    <x v="0"/>
    <x v="0"/>
    <x v="0"/>
    <x v="0"/>
    <x v="1"/>
    <s v="DK2_Rural"/>
    <x v="2"/>
    <x v="14"/>
    <x v="0"/>
    <x v="16"/>
    <n v="6.6666666666666696"/>
    <n v="2433.3333333333298"/>
    <n v="8760"/>
  </r>
  <r>
    <x v="0"/>
    <x v="0"/>
    <x v="0"/>
    <x v="0"/>
    <x v="1"/>
    <s v="DK2_Rural"/>
    <x v="2"/>
    <x v="14"/>
    <x v="0"/>
    <x v="17"/>
    <n v="6.6666666666666696"/>
    <n v="2433.3333333333298"/>
    <n v="8760"/>
  </r>
  <r>
    <x v="0"/>
    <x v="0"/>
    <x v="0"/>
    <x v="0"/>
    <x v="1"/>
    <s v="DK2_Rural"/>
    <x v="2"/>
    <x v="14"/>
    <x v="0"/>
    <x v="18"/>
    <n v="6.6666666666666696"/>
    <n v="2433.3333333333298"/>
    <n v="8760"/>
  </r>
  <r>
    <x v="0"/>
    <x v="0"/>
    <x v="0"/>
    <x v="0"/>
    <x v="1"/>
    <s v="DK2_Rural"/>
    <x v="2"/>
    <x v="14"/>
    <x v="0"/>
    <x v="19"/>
    <n v="6.6666666666666696"/>
    <n v="2433.3333333333298"/>
    <n v="8760"/>
  </r>
  <r>
    <x v="0"/>
    <x v="0"/>
    <x v="0"/>
    <x v="0"/>
    <x v="1"/>
    <s v="DK2_Rural"/>
    <x v="2"/>
    <x v="14"/>
    <x v="0"/>
    <x v="20"/>
    <n v="6.6666666666666696"/>
    <n v="2433.3333333333298"/>
    <n v="8760"/>
  </r>
  <r>
    <x v="0"/>
    <x v="0"/>
    <x v="0"/>
    <x v="0"/>
    <x v="1"/>
    <s v="DK2_Rural"/>
    <x v="2"/>
    <x v="14"/>
    <x v="0"/>
    <x v="21"/>
    <n v="6.6666666666666696"/>
    <n v="2433.3333333333298"/>
    <n v="8760"/>
  </r>
  <r>
    <x v="0"/>
    <x v="0"/>
    <x v="0"/>
    <x v="0"/>
    <x v="1"/>
    <s v="DK2_Rural"/>
    <x v="2"/>
    <x v="14"/>
    <x v="0"/>
    <x v="22"/>
    <n v="6.6666666666666696"/>
    <n v="2433.3333333333298"/>
    <n v="8760"/>
  </r>
  <r>
    <x v="0"/>
    <x v="0"/>
    <x v="0"/>
    <x v="0"/>
    <x v="1"/>
    <s v="DK2_Rural"/>
    <x v="2"/>
    <x v="14"/>
    <x v="0"/>
    <x v="23"/>
    <n v="6.6666666666666696"/>
    <n v="2433.3333333333298"/>
    <n v="8760"/>
  </r>
  <r>
    <x v="0"/>
    <x v="0"/>
    <x v="0"/>
    <x v="0"/>
    <x v="1"/>
    <s v="DK2_Rural"/>
    <x v="3"/>
    <x v="25"/>
    <x v="0"/>
    <x v="0"/>
    <n v="1.1956521739130399"/>
    <n v="436.41304347826099"/>
    <n v="1571.0869565217399"/>
  </r>
  <r>
    <x v="0"/>
    <x v="0"/>
    <x v="0"/>
    <x v="0"/>
    <x v="1"/>
    <s v="DK2_Rural"/>
    <x v="3"/>
    <x v="25"/>
    <x v="0"/>
    <x v="1"/>
    <n v="1.1956521739130399"/>
    <n v="436.41304347826099"/>
    <n v="1571.0869565217399"/>
  </r>
  <r>
    <x v="0"/>
    <x v="0"/>
    <x v="0"/>
    <x v="0"/>
    <x v="1"/>
    <s v="DK2_Rural"/>
    <x v="3"/>
    <x v="25"/>
    <x v="0"/>
    <x v="3"/>
    <n v="1.1956521739130399"/>
    <n v="436.41304347826099"/>
    <n v="1571.0869565217399"/>
  </r>
  <r>
    <x v="0"/>
    <x v="0"/>
    <x v="0"/>
    <x v="0"/>
    <x v="1"/>
    <s v="DK2_Rural"/>
    <x v="3"/>
    <x v="25"/>
    <x v="0"/>
    <x v="4"/>
    <n v="1.1956521739130399"/>
    <n v="436.41304347826099"/>
    <n v="1571.0869565217399"/>
  </r>
  <r>
    <x v="0"/>
    <x v="0"/>
    <x v="0"/>
    <x v="0"/>
    <x v="1"/>
    <s v="DK2_Rural"/>
    <x v="3"/>
    <x v="25"/>
    <x v="0"/>
    <x v="5"/>
    <n v="1.1956521739130399"/>
    <n v="436.41304347826099"/>
    <n v="1571.0869565217399"/>
  </r>
  <r>
    <x v="0"/>
    <x v="0"/>
    <x v="0"/>
    <x v="0"/>
    <x v="1"/>
    <s v="DK2_Rural"/>
    <x v="3"/>
    <x v="25"/>
    <x v="0"/>
    <x v="6"/>
    <n v="1.1956521739130399"/>
    <n v="436.41304347826099"/>
    <n v="1571.0869565217399"/>
  </r>
  <r>
    <x v="0"/>
    <x v="0"/>
    <x v="0"/>
    <x v="0"/>
    <x v="1"/>
    <s v="DK2_Rural"/>
    <x v="3"/>
    <x v="25"/>
    <x v="0"/>
    <x v="7"/>
    <n v="1.1956521739130399"/>
    <n v="436.41304347826099"/>
    <n v="1571.0869565217399"/>
  </r>
  <r>
    <x v="0"/>
    <x v="0"/>
    <x v="0"/>
    <x v="0"/>
    <x v="1"/>
    <s v="DK2_Rural"/>
    <x v="3"/>
    <x v="25"/>
    <x v="0"/>
    <x v="8"/>
    <n v="1.1956521739130399"/>
    <n v="436.41304347826099"/>
    <n v="1571.0869565217399"/>
  </r>
  <r>
    <x v="0"/>
    <x v="0"/>
    <x v="0"/>
    <x v="0"/>
    <x v="1"/>
    <s v="DK2_Rural"/>
    <x v="3"/>
    <x v="25"/>
    <x v="0"/>
    <x v="9"/>
    <n v="1.1956521739130399"/>
    <n v="436.41304347826099"/>
    <n v="1571.0869565217399"/>
  </r>
  <r>
    <x v="0"/>
    <x v="0"/>
    <x v="0"/>
    <x v="0"/>
    <x v="1"/>
    <s v="DK2_Rural"/>
    <x v="3"/>
    <x v="25"/>
    <x v="0"/>
    <x v="10"/>
    <n v="1.1956521739130399"/>
    <n v="436.41304347826099"/>
    <n v="1571.0869565217399"/>
  </r>
  <r>
    <x v="0"/>
    <x v="0"/>
    <x v="0"/>
    <x v="0"/>
    <x v="1"/>
    <s v="DK2_Rural"/>
    <x v="3"/>
    <x v="25"/>
    <x v="0"/>
    <x v="11"/>
    <n v="1.1956521739130399"/>
    <n v="436.41304347826099"/>
    <n v="1571.0869565217399"/>
  </r>
  <r>
    <x v="0"/>
    <x v="0"/>
    <x v="0"/>
    <x v="0"/>
    <x v="1"/>
    <s v="DK2_Rural"/>
    <x v="3"/>
    <x v="25"/>
    <x v="0"/>
    <x v="12"/>
    <n v="1.1956521739130399"/>
    <n v="436.41304347826099"/>
    <n v="1571.0869565217399"/>
  </r>
  <r>
    <x v="0"/>
    <x v="0"/>
    <x v="0"/>
    <x v="0"/>
    <x v="1"/>
    <s v="DK2_Rural"/>
    <x v="3"/>
    <x v="25"/>
    <x v="0"/>
    <x v="13"/>
    <n v="1.1956521739130399"/>
    <n v="436.41304347826099"/>
    <n v="1571.0869565217399"/>
  </r>
  <r>
    <x v="0"/>
    <x v="0"/>
    <x v="0"/>
    <x v="0"/>
    <x v="1"/>
    <s v="DK2_Rural"/>
    <x v="3"/>
    <x v="25"/>
    <x v="0"/>
    <x v="14"/>
    <n v="1.1956521739130399"/>
    <n v="436.41304347826099"/>
    <n v="1571.0869565217399"/>
  </r>
  <r>
    <x v="0"/>
    <x v="0"/>
    <x v="0"/>
    <x v="0"/>
    <x v="1"/>
    <s v="DK2_Rural"/>
    <x v="3"/>
    <x v="25"/>
    <x v="0"/>
    <x v="15"/>
    <n v="1.1956521739130399"/>
    <n v="436.41304347826099"/>
    <n v="1571.0869565217399"/>
  </r>
  <r>
    <x v="0"/>
    <x v="0"/>
    <x v="0"/>
    <x v="0"/>
    <x v="1"/>
    <s v="DK2_Rural"/>
    <x v="3"/>
    <x v="25"/>
    <x v="0"/>
    <x v="16"/>
    <n v="1.1956521739130399"/>
    <n v="436.41304347826099"/>
    <n v="1571.0869565217399"/>
  </r>
  <r>
    <x v="0"/>
    <x v="0"/>
    <x v="0"/>
    <x v="0"/>
    <x v="1"/>
    <s v="DK2_Rural"/>
    <x v="3"/>
    <x v="25"/>
    <x v="0"/>
    <x v="17"/>
    <n v="1.1956521739130399"/>
    <n v="436.41304347826099"/>
    <n v="1571.0869565217399"/>
  </r>
  <r>
    <x v="0"/>
    <x v="0"/>
    <x v="0"/>
    <x v="0"/>
    <x v="1"/>
    <s v="DK2_Rural"/>
    <x v="3"/>
    <x v="25"/>
    <x v="0"/>
    <x v="18"/>
    <n v="1.1956521739130399"/>
    <n v="436.41304347826099"/>
    <n v="1571.0869565217399"/>
  </r>
  <r>
    <x v="0"/>
    <x v="0"/>
    <x v="0"/>
    <x v="0"/>
    <x v="1"/>
    <s v="DK2_Rural"/>
    <x v="4"/>
    <x v="27"/>
    <x v="0"/>
    <x v="4"/>
    <n v="0.68711529425320494"/>
    <n v="250.79708240241999"/>
    <n v="902.86949664871202"/>
  </r>
  <r>
    <x v="0"/>
    <x v="0"/>
    <x v="0"/>
    <x v="0"/>
    <x v="1"/>
    <s v="DK2_Rural"/>
    <x v="4"/>
    <x v="27"/>
    <x v="0"/>
    <x v="5"/>
    <n v="24.736150593115202"/>
    <n v="9028.6949664870608"/>
    <n v="32503.301879353399"/>
  </r>
  <r>
    <x v="0"/>
    <x v="0"/>
    <x v="0"/>
    <x v="0"/>
    <x v="1"/>
    <s v="DK2_Rural"/>
    <x v="4"/>
    <x v="27"/>
    <x v="0"/>
    <x v="6"/>
    <n v="84.927450369695606"/>
    <n v="30998.5193849389"/>
    <n v="111594.66978578"/>
  </r>
  <r>
    <x v="0"/>
    <x v="0"/>
    <x v="0"/>
    <x v="0"/>
    <x v="1"/>
    <s v="DK2_Rural"/>
    <x v="4"/>
    <x v="27"/>
    <x v="0"/>
    <x v="7"/>
    <n v="97.15"/>
    <n v="35459.75"/>
    <n v="127655.1"/>
  </r>
  <r>
    <x v="0"/>
    <x v="0"/>
    <x v="0"/>
    <x v="0"/>
    <x v="1"/>
    <s v="DK2_Rural"/>
    <x v="4"/>
    <x v="27"/>
    <x v="0"/>
    <x v="8"/>
    <n v="97.15"/>
    <n v="35459.75"/>
    <n v="127655.1"/>
  </r>
  <r>
    <x v="0"/>
    <x v="0"/>
    <x v="0"/>
    <x v="0"/>
    <x v="1"/>
    <s v="DK2_Rural"/>
    <x v="4"/>
    <x v="27"/>
    <x v="0"/>
    <x v="9"/>
    <n v="97.15"/>
    <n v="35459.75"/>
    <n v="127655.1"/>
  </r>
  <r>
    <x v="0"/>
    <x v="0"/>
    <x v="0"/>
    <x v="0"/>
    <x v="1"/>
    <s v="DK2_Rural"/>
    <x v="4"/>
    <x v="27"/>
    <x v="0"/>
    <x v="10"/>
    <n v="97.15"/>
    <n v="35459.75"/>
    <n v="127655.1"/>
  </r>
  <r>
    <x v="0"/>
    <x v="0"/>
    <x v="0"/>
    <x v="0"/>
    <x v="1"/>
    <s v="DK2_Rural"/>
    <x v="4"/>
    <x v="27"/>
    <x v="0"/>
    <x v="11"/>
    <n v="97.15"/>
    <n v="35459.75"/>
    <n v="127655.1"/>
  </r>
  <r>
    <x v="0"/>
    <x v="0"/>
    <x v="0"/>
    <x v="0"/>
    <x v="1"/>
    <s v="DK2_Rural"/>
    <x v="4"/>
    <x v="27"/>
    <x v="0"/>
    <x v="12"/>
    <n v="97.15"/>
    <n v="35459.75"/>
    <n v="127655.1"/>
  </r>
  <r>
    <x v="0"/>
    <x v="0"/>
    <x v="0"/>
    <x v="0"/>
    <x v="1"/>
    <s v="DK2_Rural"/>
    <x v="4"/>
    <x v="27"/>
    <x v="0"/>
    <x v="13"/>
    <n v="97.15"/>
    <n v="35459.75"/>
    <n v="127655.1"/>
  </r>
  <r>
    <x v="0"/>
    <x v="0"/>
    <x v="0"/>
    <x v="0"/>
    <x v="1"/>
    <s v="DK2_Rural"/>
    <x v="4"/>
    <x v="27"/>
    <x v="0"/>
    <x v="14"/>
    <n v="97.15"/>
    <n v="35459.75"/>
    <n v="127655.1"/>
  </r>
  <r>
    <x v="0"/>
    <x v="0"/>
    <x v="0"/>
    <x v="0"/>
    <x v="1"/>
    <s v="DK2_Rural"/>
    <x v="4"/>
    <x v="27"/>
    <x v="0"/>
    <x v="15"/>
    <n v="97.15"/>
    <n v="35459.75"/>
    <n v="127655.1"/>
  </r>
  <r>
    <x v="0"/>
    <x v="0"/>
    <x v="0"/>
    <x v="0"/>
    <x v="1"/>
    <s v="DK2_Rural"/>
    <x v="4"/>
    <x v="27"/>
    <x v="0"/>
    <x v="16"/>
    <n v="97.15"/>
    <n v="35459.75"/>
    <n v="127655.1"/>
  </r>
  <r>
    <x v="0"/>
    <x v="0"/>
    <x v="0"/>
    <x v="0"/>
    <x v="1"/>
    <s v="DK2_Rural"/>
    <x v="4"/>
    <x v="27"/>
    <x v="0"/>
    <x v="17"/>
    <n v="97.15"/>
    <n v="35459.75"/>
    <n v="127655.1"/>
  </r>
  <r>
    <x v="0"/>
    <x v="0"/>
    <x v="0"/>
    <x v="0"/>
    <x v="1"/>
    <s v="DK2_Rural"/>
    <x v="4"/>
    <x v="27"/>
    <x v="0"/>
    <x v="18"/>
    <n v="97.15"/>
    <n v="35459.75"/>
    <n v="127655.1"/>
  </r>
  <r>
    <x v="0"/>
    <x v="0"/>
    <x v="0"/>
    <x v="0"/>
    <x v="1"/>
    <s v="DK2_Rural"/>
    <x v="4"/>
    <x v="27"/>
    <x v="0"/>
    <x v="19"/>
    <n v="97.15"/>
    <n v="35459.75"/>
    <n v="127655.1"/>
  </r>
  <r>
    <x v="0"/>
    <x v="0"/>
    <x v="0"/>
    <x v="0"/>
    <x v="1"/>
    <s v="DK2_Rural"/>
    <x v="4"/>
    <x v="27"/>
    <x v="0"/>
    <x v="20"/>
    <n v="97.15"/>
    <n v="35459.75"/>
    <n v="127655.1"/>
  </r>
  <r>
    <x v="0"/>
    <x v="0"/>
    <x v="0"/>
    <x v="0"/>
    <x v="1"/>
    <s v="DK2_Rural"/>
    <x v="4"/>
    <x v="27"/>
    <x v="0"/>
    <x v="21"/>
    <n v="54.618373239412698"/>
    <n v="19935.706232385601"/>
    <n v="71768.542436588206"/>
  </r>
  <r>
    <x v="0"/>
    <x v="0"/>
    <x v="0"/>
    <x v="0"/>
    <x v="1"/>
    <s v="DK2_Rural"/>
    <x v="4"/>
    <x v="27"/>
    <x v="0"/>
    <x v="22"/>
    <n v="40.326375118946103"/>
    <n v="14719.126918415301"/>
    <n v="52988.856906295201"/>
  </r>
  <r>
    <x v="0"/>
    <x v="0"/>
    <x v="0"/>
    <x v="0"/>
    <x v="1"/>
    <s v="DK2_Rural"/>
    <x v="4"/>
    <x v="27"/>
    <x v="0"/>
    <x v="23"/>
    <n v="31.943568529057"/>
    <n v="11659.402513105801"/>
    <n v="41973.849047181"/>
  </r>
  <r>
    <x v="0"/>
    <x v="0"/>
    <x v="0"/>
    <x v="0"/>
    <x v="1"/>
    <s v="DK2_Rural"/>
    <x v="4"/>
    <x v="28"/>
    <x v="0"/>
    <x v="0"/>
    <n v="46.813725490196099"/>
    <n v="17087.009803921599"/>
    <n v="61513.235294117701"/>
  </r>
  <r>
    <x v="0"/>
    <x v="0"/>
    <x v="0"/>
    <x v="0"/>
    <x v="1"/>
    <s v="DK2_Rural"/>
    <x v="4"/>
    <x v="28"/>
    <x v="0"/>
    <x v="1"/>
    <n v="45.331712110434303"/>
    <n v="16546.0749203085"/>
    <n v="59565.869713110602"/>
  </r>
  <r>
    <x v="0"/>
    <x v="0"/>
    <x v="0"/>
    <x v="0"/>
    <x v="1"/>
    <s v="DK2_Rural"/>
    <x v="4"/>
    <x v="28"/>
    <x v="0"/>
    <x v="2"/>
    <n v="44.5835557600467"/>
    <n v="16272.9978524171"/>
    <n v="58582.7922687014"/>
  </r>
  <r>
    <x v="0"/>
    <x v="0"/>
    <x v="0"/>
    <x v="0"/>
    <x v="1"/>
    <s v="DK2_Rural"/>
    <x v="4"/>
    <x v="28"/>
    <x v="0"/>
    <x v="3"/>
    <n v="46.005354555780599"/>
    <n v="16791.954412859901"/>
    <n v="60451.0358862957"/>
  </r>
  <r>
    <x v="0"/>
    <x v="0"/>
    <x v="0"/>
    <x v="0"/>
    <x v="1"/>
    <s v="DK2_Rural"/>
    <x v="4"/>
    <x v="28"/>
    <x v="0"/>
    <x v="4"/>
    <n v="46.813725490196099"/>
    <n v="17087.009803921599"/>
    <n v="61513.235294117701"/>
  </r>
  <r>
    <x v="0"/>
    <x v="0"/>
    <x v="0"/>
    <x v="0"/>
    <x v="1"/>
    <s v="DK2_Rural"/>
    <x v="4"/>
    <x v="28"/>
    <x v="0"/>
    <x v="5"/>
    <n v="46.813725490196099"/>
    <n v="17087.009803921599"/>
    <n v="61513.235294117701"/>
  </r>
  <r>
    <x v="0"/>
    <x v="0"/>
    <x v="0"/>
    <x v="0"/>
    <x v="1"/>
    <s v="DK2_Rural"/>
    <x v="4"/>
    <x v="28"/>
    <x v="0"/>
    <x v="6"/>
    <n v="46.813725490196099"/>
    <n v="17087.009803921599"/>
    <n v="61513.235294117701"/>
  </r>
  <r>
    <x v="0"/>
    <x v="0"/>
    <x v="0"/>
    <x v="0"/>
    <x v="1"/>
    <s v="DK2_Rural"/>
    <x v="4"/>
    <x v="28"/>
    <x v="0"/>
    <x v="7"/>
    <n v="46.813725490196099"/>
    <n v="17087.009803921599"/>
    <n v="61513.235294117701"/>
  </r>
  <r>
    <x v="0"/>
    <x v="0"/>
    <x v="0"/>
    <x v="0"/>
    <x v="1"/>
    <s v="DK2_Rural"/>
    <x v="4"/>
    <x v="28"/>
    <x v="0"/>
    <x v="8"/>
    <n v="46.813725490196099"/>
    <n v="17087.009803921599"/>
    <n v="61513.235294117701"/>
  </r>
  <r>
    <x v="0"/>
    <x v="0"/>
    <x v="0"/>
    <x v="0"/>
    <x v="1"/>
    <s v="DK2_Rural"/>
    <x v="4"/>
    <x v="28"/>
    <x v="0"/>
    <x v="9"/>
    <n v="46.813725490196099"/>
    <n v="17087.009803921599"/>
    <n v="61513.235294117701"/>
  </r>
  <r>
    <x v="0"/>
    <x v="0"/>
    <x v="0"/>
    <x v="0"/>
    <x v="1"/>
    <s v="DK2_Rural"/>
    <x v="4"/>
    <x v="28"/>
    <x v="0"/>
    <x v="10"/>
    <n v="46.813725490196099"/>
    <n v="17087.009803921599"/>
    <n v="61513.235294117701"/>
  </r>
  <r>
    <x v="0"/>
    <x v="0"/>
    <x v="0"/>
    <x v="0"/>
    <x v="1"/>
    <s v="DK2_Rural"/>
    <x v="4"/>
    <x v="28"/>
    <x v="0"/>
    <x v="11"/>
    <n v="46.813725490196099"/>
    <n v="17087.009803921599"/>
    <n v="61513.235294117701"/>
  </r>
  <r>
    <x v="0"/>
    <x v="0"/>
    <x v="0"/>
    <x v="0"/>
    <x v="1"/>
    <s v="DK2_Rural"/>
    <x v="4"/>
    <x v="28"/>
    <x v="0"/>
    <x v="12"/>
    <n v="46.813725490196099"/>
    <n v="17087.009803921599"/>
    <n v="61513.235294117701"/>
  </r>
  <r>
    <x v="0"/>
    <x v="0"/>
    <x v="0"/>
    <x v="0"/>
    <x v="1"/>
    <s v="DK2_Rural"/>
    <x v="4"/>
    <x v="28"/>
    <x v="0"/>
    <x v="13"/>
    <n v="46.813725490196099"/>
    <n v="17087.009803921599"/>
    <n v="61513.235294117701"/>
  </r>
  <r>
    <x v="0"/>
    <x v="0"/>
    <x v="0"/>
    <x v="0"/>
    <x v="1"/>
    <s v="DK2_Rural"/>
    <x v="4"/>
    <x v="28"/>
    <x v="0"/>
    <x v="14"/>
    <n v="46.813725490196099"/>
    <n v="17087.009803921599"/>
    <n v="61513.235294117701"/>
  </r>
  <r>
    <x v="0"/>
    <x v="0"/>
    <x v="0"/>
    <x v="0"/>
    <x v="1"/>
    <s v="DK2_Rural"/>
    <x v="4"/>
    <x v="28"/>
    <x v="0"/>
    <x v="15"/>
    <n v="46.813725490196099"/>
    <n v="17087.009803921599"/>
    <n v="61513.235294117701"/>
  </r>
  <r>
    <x v="0"/>
    <x v="0"/>
    <x v="0"/>
    <x v="0"/>
    <x v="1"/>
    <s v="DK2_Rural"/>
    <x v="4"/>
    <x v="28"/>
    <x v="0"/>
    <x v="16"/>
    <n v="46.813725490196099"/>
    <n v="17087.009803921599"/>
    <n v="61513.235294117701"/>
  </r>
  <r>
    <x v="0"/>
    <x v="0"/>
    <x v="0"/>
    <x v="0"/>
    <x v="1"/>
    <s v="DK2_Rural"/>
    <x v="4"/>
    <x v="28"/>
    <x v="0"/>
    <x v="17"/>
    <n v="46.813725490196099"/>
    <n v="17087.009803921599"/>
    <n v="61513.235294117701"/>
  </r>
  <r>
    <x v="0"/>
    <x v="0"/>
    <x v="0"/>
    <x v="0"/>
    <x v="1"/>
    <s v="DK2_Rural"/>
    <x v="4"/>
    <x v="28"/>
    <x v="0"/>
    <x v="18"/>
    <n v="46.813725490196099"/>
    <n v="17087.009803921599"/>
    <n v="61513.235294117701"/>
  </r>
  <r>
    <x v="0"/>
    <x v="0"/>
    <x v="0"/>
    <x v="0"/>
    <x v="1"/>
    <s v="DK2_Rural"/>
    <x v="4"/>
    <x v="28"/>
    <x v="0"/>
    <x v="19"/>
    <n v="46.813725490196099"/>
    <n v="17087.009803921599"/>
    <n v="61513.235294117701"/>
  </r>
  <r>
    <x v="0"/>
    <x v="0"/>
    <x v="0"/>
    <x v="0"/>
    <x v="1"/>
    <s v="DK2_Rural"/>
    <x v="4"/>
    <x v="28"/>
    <x v="0"/>
    <x v="20"/>
    <n v="46.813725490196099"/>
    <n v="17087.009803921599"/>
    <n v="61513.235294117701"/>
  </r>
  <r>
    <x v="0"/>
    <x v="0"/>
    <x v="0"/>
    <x v="0"/>
    <x v="1"/>
    <s v="DK2_Rural"/>
    <x v="4"/>
    <x v="28"/>
    <x v="0"/>
    <x v="21"/>
    <n v="46.813725490196099"/>
    <n v="17087.009803921599"/>
    <n v="61513.235294117701"/>
  </r>
  <r>
    <x v="0"/>
    <x v="0"/>
    <x v="0"/>
    <x v="0"/>
    <x v="1"/>
    <s v="DK2_Rural"/>
    <x v="4"/>
    <x v="28"/>
    <x v="0"/>
    <x v="22"/>
    <n v="46.813725490196099"/>
    <n v="17087.009803921599"/>
    <n v="61513.235294117701"/>
  </r>
  <r>
    <x v="0"/>
    <x v="0"/>
    <x v="0"/>
    <x v="0"/>
    <x v="1"/>
    <s v="DK2_Rural"/>
    <x v="4"/>
    <x v="28"/>
    <x v="0"/>
    <x v="23"/>
    <n v="46.813725490196099"/>
    <n v="17087.009803921599"/>
    <n v="61513.235294117701"/>
  </r>
  <r>
    <x v="0"/>
    <x v="0"/>
    <x v="0"/>
    <x v="0"/>
    <x v="1"/>
    <s v="DK2_Rural"/>
    <x v="4"/>
    <x v="92"/>
    <x v="0"/>
    <x v="0"/>
    <n v="20.8333333333333"/>
    <n v="7604.1666666666697"/>
    <n v="27375"/>
  </r>
  <r>
    <x v="0"/>
    <x v="0"/>
    <x v="0"/>
    <x v="0"/>
    <x v="1"/>
    <s v="DK2_Rural"/>
    <x v="4"/>
    <x v="92"/>
    <x v="0"/>
    <x v="1"/>
    <n v="20.8333333333333"/>
    <n v="7604.1666666666697"/>
    <n v="27375"/>
  </r>
  <r>
    <x v="0"/>
    <x v="0"/>
    <x v="0"/>
    <x v="0"/>
    <x v="1"/>
    <s v="DK2_Rural"/>
    <x v="4"/>
    <x v="92"/>
    <x v="0"/>
    <x v="2"/>
    <n v="20.8333333333333"/>
    <n v="7604.1666666666697"/>
    <n v="27375"/>
  </r>
  <r>
    <x v="0"/>
    <x v="0"/>
    <x v="0"/>
    <x v="0"/>
    <x v="1"/>
    <s v="DK2_Rural"/>
    <x v="4"/>
    <x v="92"/>
    <x v="0"/>
    <x v="3"/>
    <n v="20.8333333333333"/>
    <n v="7604.1666666666697"/>
    <n v="27375"/>
  </r>
  <r>
    <x v="0"/>
    <x v="0"/>
    <x v="0"/>
    <x v="0"/>
    <x v="1"/>
    <s v="DK2_Rural"/>
    <x v="4"/>
    <x v="92"/>
    <x v="0"/>
    <x v="4"/>
    <n v="20.8333333333333"/>
    <n v="7604.1666666666697"/>
    <n v="27375"/>
  </r>
  <r>
    <x v="0"/>
    <x v="0"/>
    <x v="0"/>
    <x v="0"/>
    <x v="1"/>
    <s v="DK2_Rural"/>
    <x v="4"/>
    <x v="92"/>
    <x v="0"/>
    <x v="5"/>
    <n v="20.8333333333333"/>
    <n v="7604.1666666666697"/>
    <n v="27375"/>
  </r>
  <r>
    <x v="0"/>
    <x v="0"/>
    <x v="0"/>
    <x v="0"/>
    <x v="1"/>
    <s v="DK2_Rural"/>
    <x v="4"/>
    <x v="92"/>
    <x v="0"/>
    <x v="6"/>
    <n v="20.8333333333333"/>
    <n v="7604.1666666666697"/>
    <n v="27375"/>
  </r>
  <r>
    <x v="0"/>
    <x v="0"/>
    <x v="0"/>
    <x v="0"/>
    <x v="1"/>
    <s v="DK2_Rural"/>
    <x v="4"/>
    <x v="92"/>
    <x v="0"/>
    <x v="7"/>
    <n v="20.8333333333333"/>
    <n v="7604.1666666666697"/>
    <n v="27375"/>
  </r>
  <r>
    <x v="0"/>
    <x v="0"/>
    <x v="0"/>
    <x v="0"/>
    <x v="1"/>
    <s v="DK2_Rural"/>
    <x v="4"/>
    <x v="92"/>
    <x v="0"/>
    <x v="8"/>
    <n v="20.8333333333333"/>
    <n v="7604.1666666666697"/>
    <n v="27375"/>
  </r>
  <r>
    <x v="0"/>
    <x v="0"/>
    <x v="0"/>
    <x v="0"/>
    <x v="1"/>
    <s v="DK2_Rural"/>
    <x v="4"/>
    <x v="92"/>
    <x v="0"/>
    <x v="9"/>
    <n v="20.8333333333333"/>
    <n v="7604.1666666666697"/>
    <n v="27375"/>
  </r>
  <r>
    <x v="0"/>
    <x v="0"/>
    <x v="0"/>
    <x v="0"/>
    <x v="1"/>
    <s v="DK2_Rural"/>
    <x v="4"/>
    <x v="92"/>
    <x v="0"/>
    <x v="10"/>
    <n v="20.8333333333333"/>
    <n v="7604.1666666666697"/>
    <n v="27375"/>
  </r>
  <r>
    <x v="0"/>
    <x v="0"/>
    <x v="0"/>
    <x v="0"/>
    <x v="1"/>
    <s v="DK2_Rural"/>
    <x v="4"/>
    <x v="92"/>
    <x v="0"/>
    <x v="11"/>
    <n v="20.8333333333333"/>
    <n v="7604.1666666666697"/>
    <n v="27375"/>
  </r>
  <r>
    <x v="0"/>
    <x v="0"/>
    <x v="0"/>
    <x v="0"/>
    <x v="1"/>
    <s v="DK2_Rural"/>
    <x v="4"/>
    <x v="92"/>
    <x v="0"/>
    <x v="12"/>
    <n v="20.8333333333333"/>
    <n v="7604.1666666666697"/>
    <n v="27375"/>
  </r>
  <r>
    <x v="0"/>
    <x v="0"/>
    <x v="0"/>
    <x v="0"/>
    <x v="1"/>
    <s v="DK2_Rural"/>
    <x v="4"/>
    <x v="92"/>
    <x v="0"/>
    <x v="13"/>
    <n v="20.8333333333333"/>
    <n v="7604.1666666666697"/>
    <n v="27375"/>
  </r>
  <r>
    <x v="0"/>
    <x v="0"/>
    <x v="0"/>
    <x v="0"/>
    <x v="1"/>
    <s v="DK2_Rural"/>
    <x v="4"/>
    <x v="92"/>
    <x v="0"/>
    <x v="14"/>
    <n v="20.8333333333333"/>
    <n v="7604.1666666666697"/>
    <n v="27375"/>
  </r>
  <r>
    <x v="0"/>
    <x v="0"/>
    <x v="0"/>
    <x v="0"/>
    <x v="1"/>
    <s v="DK2_Rural"/>
    <x v="4"/>
    <x v="92"/>
    <x v="0"/>
    <x v="15"/>
    <n v="20.8333333333333"/>
    <n v="7604.1666666666697"/>
    <n v="27375"/>
  </r>
  <r>
    <x v="0"/>
    <x v="0"/>
    <x v="0"/>
    <x v="0"/>
    <x v="1"/>
    <s v="DK2_Rural"/>
    <x v="4"/>
    <x v="92"/>
    <x v="0"/>
    <x v="16"/>
    <n v="20.8333333333333"/>
    <n v="7604.1666666666697"/>
    <n v="27375"/>
  </r>
  <r>
    <x v="0"/>
    <x v="0"/>
    <x v="0"/>
    <x v="0"/>
    <x v="1"/>
    <s v="DK2_Rural"/>
    <x v="4"/>
    <x v="92"/>
    <x v="0"/>
    <x v="17"/>
    <n v="20.8333333333333"/>
    <n v="7604.1666666666697"/>
    <n v="27375"/>
  </r>
  <r>
    <x v="0"/>
    <x v="0"/>
    <x v="0"/>
    <x v="0"/>
    <x v="1"/>
    <s v="DK2_Rural"/>
    <x v="4"/>
    <x v="92"/>
    <x v="0"/>
    <x v="18"/>
    <n v="20.8333333333333"/>
    <n v="7604.1666666666697"/>
    <n v="27375"/>
  </r>
  <r>
    <x v="0"/>
    <x v="0"/>
    <x v="0"/>
    <x v="0"/>
    <x v="1"/>
    <s v="DK2_Rural"/>
    <x v="4"/>
    <x v="92"/>
    <x v="0"/>
    <x v="19"/>
    <n v="20.8333333333333"/>
    <n v="7604.1666666666697"/>
    <n v="27375"/>
  </r>
  <r>
    <x v="0"/>
    <x v="0"/>
    <x v="0"/>
    <x v="0"/>
    <x v="1"/>
    <s v="DK2_Rural"/>
    <x v="4"/>
    <x v="92"/>
    <x v="0"/>
    <x v="20"/>
    <n v="20.8333333333333"/>
    <n v="7604.1666666666697"/>
    <n v="27375"/>
  </r>
  <r>
    <x v="0"/>
    <x v="0"/>
    <x v="0"/>
    <x v="0"/>
    <x v="1"/>
    <s v="DK2_Rural"/>
    <x v="4"/>
    <x v="92"/>
    <x v="0"/>
    <x v="21"/>
    <n v="20.8333333333333"/>
    <n v="7604.1666666666697"/>
    <n v="27375"/>
  </r>
  <r>
    <x v="0"/>
    <x v="0"/>
    <x v="0"/>
    <x v="0"/>
    <x v="1"/>
    <s v="DK2_Rural"/>
    <x v="4"/>
    <x v="92"/>
    <x v="0"/>
    <x v="22"/>
    <n v="20.8333333333333"/>
    <n v="7604.1666666666697"/>
    <n v="27375"/>
  </r>
  <r>
    <x v="0"/>
    <x v="0"/>
    <x v="0"/>
    <x v="0"/>
    <x v="1"/>
    <s v="DK2_Rural"/>
    <x v="4"/>
    <x v="92"/>
    <x v="0"/>
    <x v="23"/>
    <n v="20.8333333333333"/>
    <n v="7604.1666666666697"/>
    <n v="27375"/>
  </r>
  <r>
    <x v="0"/>
    <x v="0"/>
    <x v="0"/>
    <x v="0"/>
    <x v="1"/>
    <s v="DK2_Rural"/>
    <x v="4"/>
    <x v="93"/>
    <x v="0"/>
    <x v="0"/>
    <n v="36.962962962962997"/>
    <n v="13491.4814814815"/>
    <n v="48569.333333333299"/>
  </r>
  <r>
    <x v="0"/>
    <x v="0"/>
    <x v="0"/>
    <x v="0"/>
    <x v="1"/>
    <s v="DK2_Rural"/>
    <x v="4"/>
    <x v="93"/>
    <x v="0"/>
    <x v="1"/>
    <n v="36.962962962962997"/>
    <n v="13491.4814814815"/>
    <n v="48569.333333333299"/>
  </r>
  <r>
    <x v="0"/>
    <x v="0"/>
    <x v="0"/>
    <x v="0"/>
    <x v="1"/>
    <s v="DK2_Rural"/>
    <x v="4"/>
    <x v="93"/>
    <x v="0"/>
    <x v="2"/>
    <n v="36.962962962962997"/>
    <n v="13491.4814814815"/>
    <n v="48569.333333333299"/>
  </r>
  <r>
    <x v="0"/>
    <x v="0"/>
    <x v="0"/>
    <x v="0"/>
    <x v="1"/>
    <s v="DK2_Rural"/>
    <x v="4"/>
    <x v="93"/>
    <x v="0"/>
    <x v="3"/>
    <n v="36.962962962962997"/>
    <n v="13491.4814814815"/>
    <n v="48569.333333333299"/>
  </r>
  <r>
    <x v="0"/>
    <x v="0"/>
    <x v="0"/>
    <x v="0"/>
    <x v="1"/>
    <s v="DK2_Rural"/>
    <x v="4"/>
    <x v="93"/>
    <x v="0"/>
    <x v="4"/>
    <n v="36.962962962962997"/>
    <n v="13491.4814814815"/>
    <n v="48569.333333333299"/>
  </r>
  <r>
    <x v="0"/>
    <x v="0"/>
    <x v="0"/>
    <x v="0"/>
    <x v="1"/>
    <s v="DK2_Rural"/>
    <x v="4"/>
    <x v="93"/>
    <x v="0"/>
    <x v="5"/>
    <n v="36.962962962962997"/>
    <n v="13491.4814814815"/>
    <n v="48569.333333333299"/>
  </r>
  <r>
    <x v="0"/>
    <x v="0"/>
    <x v="0"/>
    <x v="0"/>
    <x v="1"/>
    <s v="DK2_Rural"/>
    <x v="4"/>
    <x v="93"/>
    <x v="0"/>
    <x v="6"/>
    <n v="36.962962962962997"/>
    <n v="13491.4814814815"/>
    <n v="48569.333333333299"/>
  </r>
  <r>
    <x v="0"/>
    <x v="0"/>
    <x v="0"/>
    <x v="0"/>
    <x v="1"/>
    <s v="DK2_Rural"/>
    <x v="4"/>
    <x v="93"/>
    <x v="0"/>
    <x v="7"/>
    <n v="36.962962962962997"/>
    <n v="13491.4814814815"/>
    <n v="48569.333333333299"/>
  </r>
  <r>
    <x v="0"/>
    <x v="0"/>
    <x v="0"/>
    <x v="0"/>
    <x v="1"/>
    <s v="DK2_Rural"/>
    <x v="4"/>
    <x v="93"/>
    <x v="0"/>
    <x v="8"/>
    <n v="36.962962962962997"/>
    <n v="13491.4814814815"/>
    <n v="48569.333333333299"/>
  </r>
  <r>
    <x v="0"/>
    <x v="0"/>
    <x v="0"/>
    <x v="0"/>
    <x v="1"/>
    <s v="DK2_Rural"/>
    <x v="4"/>
    <x v="93"/>
    <x v="0"/>
    <x v="9"/>
    <n v="36.962962962962997"/>
    <n v="13491.4814814815"/>
    <n v="48569.333333333299"/>
  </r>
  <r>
    <x v="0"/>
    <x v="0"/>
    <x v="0"/>
    <x v="0"/>
    <x v="1"/>
    <s v="DK2_Rural"/>
    <x v="4"/>
    <x v="93"/>
    <x v="0"/>
    <x v="10"/>
    <n v="36.962962962962997"/>
    <n v="13491.4814814815"/>
    <n v="48569.333333333299"/>
  </r>
  <r>
    <x v="0"/>
    <x v="0"/>
    <x v="0"/>
    <x v="0"/>
    <x v="1"/>
    <s v="DK2_Rural"/>
    <x v="4"/>
    <x v="93"/>
    <x v="0"/>
    <x v="11"/>
    <n v="36.962962962962997"/>
    <n v="13491.4814814815"/>
    <n v="48569.333333333299"/>
  </r>
  <r>
    <x v="0"/>
    <x v="0"/>
    <x v="0"/>
    <x v="0"/>
    <x v="1"/>
    <s v="DK2_Rural"/>
    <x v="4"/>
    <x v="93"/>
    <x v="0"/>
    <x v="12"/>
    <n v="36.962962962962997"/>
    <n v="13491.4814814815"/>
    <n v="48569.333333333299"/>
  </r>
  <r>
    <x v="0"/>
    <x v="0"/>
    <x v="0"/>
    <x v="0"/>
    <x v="1"/>
    <s v="DK2_Rural"/>
    <x v="4"/>
    <x v="93"/>
    <x v="0"/>
    <x v="13"/>
    <n v="36.962962962962997"/>
    <n v="13491.4814814815"/>
    <n v="48569.333333333299"/>
  </r>
  <r>
    <x v="0"/>
    <x v="0"/>
    <x v="0"/>
    <x v="0"/>
    <x v="1"/>
    <s v="DK2_Rural"/>
    <x v="4"/>
    <x v="93"/>
    <x v="0"/>
    <x v="14"/>
    <n v="36.962962962962997"/>
    <n v="13491.4814814815"/>
    <n v="48569.333333333299"/>
  </r>
  <r>
    <x v="0"/>
    <x v="0"/>
    <x v="0"/>
    <x v="0"/>
    <x v="1"/>
    <s v="DK2_Rural"/>
    <x v="4"/>
    <x v="93"/>
    <x v="0"/>
    <x v="15"/>
    <n v="36.962962962962997"/>
    <n v="13491.4814814815"/>
    <n v="48569.333333333299"/>
  </r>
  <r>
    <x v="0"/>
    <x v="0"/>
    <x v="0"/>
    <x v="0"/>
    <x v="1"/>
    <s v="DK2_Rural"/>
    <x v="4"/>
    <x v="93"/>
    <x v="0"/>
    <x v="16"/>
    <n v="36.962962962962997"/>
    <n v="13491.4814814815"/>
    <n v="48569.333333333299"/>
  </r>
  <r>
    <x v="0"/>
    <x v="0"/>
    <x v="0"/>
    <x v="0"/>
    <x v="1"/>
    <s v="DK2_Rural"/>
    <x v="4"/>
    <x v="93"/>
    <x v="0"/>
    <x v="17"/>
    <n v="36.962962962962997"/>
    <n v="13491.4814814815"/>
    <n v="48569.333333333299"/>
  </r>
  <r>
    <x v="0"/>
    <x v="0"/>
    <x v="0"/>
    <x v="0"/>
    <x v="1"/>
    <s v="DK2_Rural"/>
    <x v="4"/>
    <x v="93"/>
    <x v="0"/>
    <x v="18"/>
    <n v="36.962962962962997"/>
    <n v="13491.4814814815"/>
    <n v="48569.333333333299"/>
  </r>
  <r>
    <x v="0"/>
    <x v="0"/>
    <x v="0"/>
    <x v="0"/>
    <x v="1"/>
    <s v="DK2_Rural"/>
    <x v="4"/>
    <x v="93"/>
    <x v="0"/>
    <x v="19"/>
    <n v="36.962962962962997"/>
    <n v="13491.4814814815"/>
    <n v="48569.333333333299"/>
  </r>
  <r>
    <x v="0"/>
    <x v="0"/>
    <x v="0"/>
    <x v="0"/>
    <x v="1"/>
    <s v="DK2_Rural"/>
    <x v="4"/>
    <x v="93"/>
    <x v="0"/>
    <x v="20"/>
    <n v="36.962962962962997"/>
    <n v="13491.4814814815"/>
    <n v="48569.333333333299"/>
  </r>
  <r>
    <x v="0"/>
    <x v="0"/>
    <x v="0"/>
    <x v="0"/>
    <x v="1"/>
    <s v="DK2_Rural"/>
    <x v="4"/>
    <x v="93"/>
    <x v="0"/>
    <x v="21"/>
    <n v="36.962962962962997"/>
    <n v="13491.4814814815"/>
    <n v="48569.333333333299"/>
  </r>
  <r>
    <x v="0"/>
    <x v="0"/>
    <x v="0"/>
    <x v="0"/>
    <x v="1"/>
    <s v="DK2_Rural"/>
    <x v="4"/>
    <x v="93"/>
    <x v="0"/>
    <x v="22"/>
    <n v="36.962962962962997"/>
    <n v="13491.4814814815"/>
    <n v="48569.333333333299"/>
  </r>
  <r>
    <x v="0"/>
    <x v="0"/>
    <x v="0"/>
    <x v="0"/>
    <x v="1"/>
    <s v="DK2_Rural"/>
    <x v="4"/>
    <x v="93"/>
    <x v="0"/>
    <x v="23"/>
    <n v="36.962962962962997"/>
    <n v="13491.4814814815"/>
    <n v="48569.333333333299"/>
  </r>
  <r>
    <x v="0"/>
    <x v="0"/>
    <x v="0"/>
    <x v="0"/>
    <x v="1"/>
    <s v="DK2_Rural"/>
    <x v="4"/>
    <x v="94"/>
    <x v="0"/>
    <x v="0"/>
    <n v="39.655172413793103"/>
    <n v="14474.1379310345"/>
    <n v="52106.896551724203"/>
  </r>
  <r>
    <x v="0"/>
    <x v="0"/>
    <x v="0"/>
    <x v="0"/>
    <x v="1"/>
    <s v="DK2_Rural"/>
    <x v="4"/>
    <x v="94"/>
    <x v="0"/>
    <x v="1"/>
    <n v="39.655172413793103"/>
    <n v="14474.1379310345"/>
    <n v="52106.896551724203"/>
  </r>
  <r>
    <x v="0"/>
    <x v="0"/>
    <x v="0"/>
    <x v="0"/>
    <x v="1"/>
    <s v="DK2_Rural"/>
    <x v="4"/>
    <x v="94"/>
    <x v="0"/>
    <x v="2"/>
    <n v="39.655172413793103"/>
    <n v="14474.1379310345"/>
    <n v="52106.896551724203"/>
  </r>
  <r>
    <x v="0"/>
    <x v="0"/>
    <x v="0"/>
    <x v="0"/>
    <x v="1"/>
    <s v="DK2_Rural"/>
    <x v="4"/>
    <x v="94"/>
    <x v="0"/>
    <x v="3"/>
    <n v="39.655172413793103"/>
    <n v="14474.1379310345"/>
    <n v="52106.896551724203"/>
  </r>
  <r>
    <x v="0"/>
    <x v="0"/>
    <x v="0"/>
    <x v="0"/>
    <x v="1"/>
    <s v="DK2_Rural"/>
    <x v="4"/>
    <x v="94"/>
    <x v="0"/>
    <x v="4"/>
    <n v="39.655172413793103"/>
    <n v="14474.1379310345"/>
    <n v="52106.896551724203"/>
  </r>
  <r>
    <x v="0"/>
    <x v="0"/>
    <x v="0"/>
    <x v="0"/>
    <x v="1"/>
    <s v="DK2_Rural"/>
    <x v="4"/>
    <x v="94"/>
    <x v="0"/>
    <x v="5"/>
    <n v="39.655172413793103"/>
    <n v="14474.1379310345"/>
    <n v="52106.896551724203"/>
  </r>
  <r>
    <x v="0"/>
    <x v="0"/>
    <x v="0"/>
    <x v="0"/>
    <x v="1"/>
    <s v="DK2_Rural"/>
    <x v="4"/>
    <x v="94"/>
    <x v="0"/>
    <x v="6"/>
    <n v="39.655172413793103"/>
    <n v="14474.1379310345"/>
    <n v="52106.896551724203"/>
  </r>
  <r>
    <x v="0"/>
    <x v="0"/>
    <x v="0"/>
    <x v="0"/>
    <x v="1"/>
    <s v="DK2_Rural"/>
    <x v="4"/>
    <x v="94"/>
    <x v="0"/>
    <x v="7"/>
    <n v="39.655172413793103"/>
    <n v="14474.1379310345"/>
    <n v="52106.896551724203"/>
  </r>
  <r>
    <x v="0"/>
    <x v="0"/>
    <x v="0"/>
    <x v="0"/>
    <x v="1"/>
    <s v="DK2_Rural"/>
    <x v="4"/>
    <x v="94"/>
    <x v="0"/>
    <x v="8"/>
    <n v="39.655172413793103"/>
    <n v="14474.1379310345"/>
    <n v="52106.896551724203"/>
  </r>
  <r>
    <x v="0"/>
    <x v="0"/>
    <x v="0"/>
    <x v="0"/>
    <x v="1"/>
    <s v="DK2_Rural"/>
    <x v="4"/>
    <x v="94"/>
    <x v="0"/>
    <x v="9"/>
    <n v="39.655172413793103"/>
    <n v="14474.1379310345"/>
    <n v="52106.896551724203"/>
  </r>
  <r>
    <x v="0"/>
    <x v="0"/>
    <x v="0"/>
    <x v="0"/>
    <x v="1"/>
    <s v="DK2_Rural"/>
    <x v="4"/>
    <x v="94"/>
    <x v="0"/>
    <x v="10"/>
    <n v="39.655172413793103"/>
    <n v="14474.1379310345"/>
    <n v="52106.896551724203"/>
  </r>
  <r>
    <x v="0"/>
    <x v="0"/>
    <x v="0"/>
    <x v="0"/>
    <x v="1"/>
    <s v="DK2_Rural"/>
    <x v="4"/>
    <x v="94"/>
    <x v="0"/>
    <x v="11"/>
    <n v="39.655172413793103"/>
    <n v="14474.1379310345"/>
    <n v="52106.896551724203"/>
  </r>
  <r>
    <x v="0"/>
    <x v="0"/>
    <x v="0"/>
    <x v="0"/>
    <x v="1"/>
    <s v="DK2_Rural"/>
    <x v="4"/>
    <x v="94"/>
    <x v="0"/>
    <x v="12"/>
    <n v="39.655172413793103"/>
    <n v="14474.1379310345"/>
    <n v="52106.896551724203"/>
  </r>
  <r>
    <x v="0"/>
    <x v="0"/>
    <x v="0"/>
    <x v="0"/>
    <x v="1"/>
    <s v="DK2_Rural"/>
    <x v="4"/>
    <x v="94"/>
    <x v="0"/>
    <x v="13"/>
    <n v="39.655172413793103"/>
    <n v="14474.1379310345"/>
    <n v="52106.896551724203"/>
  </r>
  <r>
    <x v="0"/>
    <x v="0"/>
    <x v="0"/>
    <x v="0"/>
    <x v="1"/>
    <s v="DK2_Rural"/>
    <x v="4"/>
    <x v="94"/>
    <x v="0"/>
    <x v="14"/>
    <n v="39.655172413793103"/>
    <n v="14474.1379310345"/>
    <n v="52106.896551724203"/>
  </r>
  <r>
    <x v="0"/>
    <x v="0"/>
    <x v="0"/>
    <x v="0"/>
    <x v="1"/>
    <s v="DK2_Rural"/>
    <x v="4"/>
    <x v="94"/>
    <x v="0"/>
    <x v="15"/>
    <n v="39.655172413793103"/>
    <n v="14474.1379310345"/>
    <n v="52106.896551724203"/>
  </r>
  <r>
    <x v="0"/>
    <x v="0"/>
    <x v="0"/>
    <x v="0"/>
    <x v="1"/>
    <s v="DK2_Rural"/>
    <x v="4"/>
    <x v="94"/>
    <x v="0"/>
    <x v="16"/>
    <n v="39.655172413793103"/>
    <n v="14474.1379310345"/>
    <n v="52106.896551724203"/>
  </r>
  <r>
    <x v="0"/>
    <x v="0"/>
    <x v="0"/>
    <x v="0"/>
    <x v="1"/>
    <s v="DK2_Rural"/>
    <x v="4"/>
    <x v="94"/>
    <x v="0"/>
    <x v="17"/>
    <n v="39.655172413793103"/>
    <n v="14474.1379310345"/>
    <n v="52106.896551724203"/>
  </r>
  <r>
    <x v="0"/>
    <x v="0"/>
    <x v="0"/>
    <x v="0"/>
    <x v="1"/>
    <s v="DK2_Rural"/>
    <x v="4"/>
    <x v="94"/>
    <x v="0"/>
    <x v="18"/>
    <n v="39.655172413793103"/>
    <n v="14474.1379310345"/>
    <n v="52106.896551724203"/>
  </r>
  <r>
    <x v="0"/>
    <x v="0"/>
    <x v="0"/>
    <x v="0"/>
    <x v="1"/>
    <s v="DK2_Rural"/>
    <x v="4"/>
    <x v="94"/>
    <x v="0"/>
    <x v="19"/>
    <n v="39.655172413793103"/>
    <n v="14474.1379310345"/>
    <n v="52106.896551724203"/>
  </r>
  <r>
    <x v="0"/>
    <x v="0"/>
    <x v="0"/>
    <x v="0"/>
    <x v="1"/>
    <s v="DK2_Rural"/>
    <x v="4"/>
    <x v="94"/>
    <x v="0"/>
    <x v="20"/>
    <n v="39.655172413793103"/>
    <n v="14474.1379310345"/>
    <n v="52106.896551724203"/>
  </r>
  <r>
    <x v="0"/>
    <x v="0"/>
    <x v="0"/>
    <x v="0"/>
    <x v="1"/>
    <s v="DK2_Rural"/>
    <x v="4"/>
    <x v="94"/>
    <x v="0"/>
    <x v="21"/>
    <n v="39.655172413793103"/>
    <n v="14474.1379310345"/>
    <n v="52106.896551724203"/>
  </r>
  <r>
    <x v="0"/>
    <x v="0"/>
    <x v="0"/>
    <x v="0"/>
    <x v="1"/>
    <s v="DK2_Rural"/>
    <x v="4"/>
    <x v="94"/>
    <x v="0"/>
    <x v="22"/>
    <n v="39.655172413793103"/>
    <n v="14474.1379310345"/>
    <n v="52106.896551724203"/>
  </r>
  <r>
    <x v="0"/>
    <x v="0"/>
    <x v="0"/>
    <x v="0"/>
    <x v="1"/>
    <s v="DK2_Rural"/>
    <x v="4"/>
    <x v="94"/>
    <x v="0"/>
    <x v="23"/>
    <n v="39.655172413793103"/>
    <n v="14474.1379310345"/>
    <n v="52106.896551724203"/>
  </r>
  <r>
    <x v="0"/>
    <x v="0"/>
    <x v="0"/>
    <x v="0"/>
    <x v="1"/>
    <s v="DK2_Rural"/>
    <x v="5"/>
    <x v="30"/>
    <x v="0"/>
    <x v="0"/>
    <n v="16.5"/>
    <n v="6022.5"/>
    <n v="21681"/>
  </r>
  <r>
    <x v="0"/>
    <x v="0"/>
    <x v="0"/>
    <x v="0"/>
    <x v="1"/>
    <s v="DK2_Rural"/>
    <x v="5"/>
    <x v="30"/>
    <x v="0"/>
    <x v="1"/>
    <n v="16.5"/>
    <n v="6022.5"/>
    <n v="21681"/>
  </r>
  <r>
    <x v="0"/>
    <x v="0"/>
    <x v="0"/>
    <x v="0"/>
    <x v="1"/>
    <s v="DK2_Rural"/>
    <x v="5"/>
    <x v="30"/>
    <x v="0"/>
    <x v="2"/>
    <n v="16.5"/>
    <n v="6022.5"/>
    <n v="21681"/>
  </r>
  <r>
    <x v="0"/>
    <x v="0"/>
    <x v="0"/>
    <x v="0"/>
    <x v="1"/>
    <s v="DK2_Rural"/>
    <x v="5"/>
    <x v="30"/>
    <x v="0"/>
    <x v="3"/>
    <n v="16.5"/>
    <n v="6022.5"/>
    <n v="21681"/>
  </r>
  <r>
    <x v="0"/>
    <x v="0"/>
    <x v="0"/>
    <x v="0"/>
    <x v="1"/>
    <s v="DK2_Rural"/>
    <x v="5"/>
    <x v="30"/>
    <x v="0"/>
    <x v="4"/>
    <n v="16.5"/>
    <n v="6022.5"/>
    <n v="21681"/>
  </r>
  <r>
    <x v="0"/>
    <x v="0"/>
    <x v="0"/>
    <x v="0"/>
    <x v="1"/>
    <s v="DK2_Rural"/>
    <x v="5"/>
    <x v="30"/>
    <x v="0"/>
    <x v="5"/>
    <n v="16.5"/>
    <n v="6022.5"/>
    <n v="21681"/>
  </r>
  <r>
    <x v="0"/>
    <x v="0"/>
    <x v="0"/>
    <x v="0"/>
    <x v="1"/>
    <s v="DK2_Rural"/>
    <x v="5"/>
    <x v="30"/>
    <x v="0"/>
    <x v="6"/>
    <n v="16.5"/>
    <n v="6022.5"/>
    <n v="21681"/>
  </r>
  <r>
    <x v="0"/>
    <x v="0"/>
    <x v="0"/>
    <x v="0"/>
    <x v="1"/>
    <s v="DK2_Rural"/>
    <x v="5"/>
    <x v="30"/>
    <x v="0"/>
    <x v="7"/>
    <n v="16.5"/>
    <n v="6022.5"/>
    <n v="21681"/>
  </r>
  <r>
    <x v="0"/>
    <x v="0"/>
    <x v="0"/>
    <x v="0"/>
    <x v="1"/>
    <s v="DK2_Rural"/>
    <x v="5"/>
    <x v="30"/>
    <x v="0"/>
    <x v="8"/>
    <n v="16.5"/>
    <n v="6022.5"/>
    <n v="21681"/>
  </r>
  <r>
    <x v="0"/>
    <x v="0"/>
    <x v="0"/>
    <x v="0"/>
    <x v="1"/>
    <s v="DK2_Rural"/>
    <x v="5"/>
    <x v="30"/>
    <x v="0"/>
    <x v="9"/>
    <n v="16.5"/>
    <n v="6022.5"/>
    <n v="21681"/>
  </r>
  <r>
    <x v="0"/>
    <x v="0"/>
    <x v="0"/>
    <x v="0"/>
    <x v="1"/>
    <s v="DK2_Rural"/>
    <x v="5"/>
    <x v="30"/>
    <x v="0"/>
    <x v="10"/>
    <n v="16.5"/>
    <n v="6022.5"/>
    <n v="21681"/>
  </r>
  <r>
    <x v="0"/>
    <x v="0"/>
    <x v="0"/>
    <x v="0"/>
    <x v="1"/>
    <s v="DK2_Rural"/>
    <x v="5"/>
    <x v="30"/>
    <x v="0"/>
    <x v="11"/>
    <n v="16.5"/>
    <n v="6022.5"/>
    <n v="21681"/>
  </r>
  <r>
    <x v="0"/>
    <x v="0"/>
    <x v="0"/>
    <x v="0"/>
    <x v="1"/>
    <s v="DK2_Rural"/>
    <x v="5"/>
    <x v="30"/>
    <x v="0"/>
    <x v="12"/>
    <n v="16.5"/>
    <n v="6022.5"/>
    <n v="21681"/>
  </r>
  <r>
    <x v="0"/>
    <x v="0"/>
    <x v="0"/>
    <x v="0"/>
    <x v="1"/>
    <s v="DK2_Rural"/>
    <x v="5"/>
    <x v="30"/>
    <x v="0"/>
    <x v="13"/>
    <n v="16.5"/>
    <n v="6022.5"/>
    <n v="21681"/>
  </r>
  <r>
    <x v="0"/>
    <x v="0"/>
    <x v="0"/>
    <x v="0"/>
    <x v="1"/>
    <s v="DK2_Rural"/>
    <x v="5"/>
    <x v="30"/>
    <x v="0"/>
    <x v="14"/>
    <n v="16.5"/>
    <n v="6022.5"/>
    <n v="21681"/>
  </r>
  <r>
    <x v="0"/>
    <x v="0"/>
    <x v="0"/>
    <x v="0"/>
    <x v="1"/>
    <s v="DK2_Rural"/>
    <x v="5"/>
    <x v="30"/>
    <x v="0"/>
    <x v="15"/>
    <n v="16.5"/>
    <n v="6022.5"/>
    <n v="21681"/>
  </r>
  <r>
    <x v="0"/>
    <x v="0"/>
    <x v="0"/>
    <x v="0"/>
    <x v="1"/>
    <s v="DK2_Rural"/>
    <x v="5"/>
    <x v="30"/>
    <x v="0"/>
    <x v="16"/>
    <n v="16.5"/>
    <n v="6022.5"/>
    <n v="21681"/>
  </r>
  <r>
    <x v="0"/>
    <x v="0"/>
    <x v="0"/>
    <x v="0"/>
    <x v="1"/>
    <s v="DK2_Rural"/>
    <x v="5"/>
    <x v="30"/>
    <x v="0"/>
    <x v="17"/>
    <n v="16.5"/>
    <n v="6022.5"/>
    <n v="21681"/>
  </r>
  <r>
    <x v="0"/>
    <x v="0"/>
    <x v="0"/>
    <x v="0"/>
    <x v="1"/>
    <s v="DK2_Rural"/>
    <x v="5"/>
    <x v="30"/>
    <x v="0"/>
    <x v="18"/>
    <n v="16.5"/>
    <n v="6022.5"/>
    <n v="21681"/>
  </r>
  <r>
    <x v="0"/>
    <x v="0"/>
    <x v="0"/>
    <x v="0"/>
    <x v="1"/>
    <s v="DK2_Rural"/>
    <x v="5"/>
    <x v="30"/>
    <x v="0"/>
    <x v="19"/>
    <n v="16.5"/>
    <n v="6022.5"/>
    <n v="21681"/>
  </r>
  <r>
    <x v="0"/>
    <x v="0"/>
    <x v="0"/>
    <x v="0"/>
    <x v="1"/>
    <s v="DK2_Rural"/>
    <x v="5"/>
    <x v="30"/>
    <x v="0"/>
    <x v="20"/>
    <n v="16.5"/>
    <n v="6022.5"/>
    <n v="21681"/>
  </r>
  <r>
    <x v="0"/>
    <x v="0"/>
    <x v="0"/>
    <x v="0"/>
    <x v="1"/>
    <s v="DK2_Rural"/>
    <x v="5"/>
    <x v="30"/>
    <x v="0"/>
    <x v="21"/>
    <n v="16.5"/>
    <n v="6022.5"/>
    <n v="21681"/>
  </r>
  <r>
    <x v="0"/>
    <x v="0"/>
    <x v="0"/>
    <x v="0"/>
    <x v="1"/>
    <s v="DK2_Rural"/>
    <x v="5"/>
    <x v="30"/>
    <x v="0"/>
    <x v="22"/>
    <n v="16.5"/>
    <n v="6022.5"/>
    <n v="21681"/>
  </r>
  <r>
    <x v="0"/>
    <x v="0"/>
    <x v="0"/>
    <x v="0"/>
    <x v="1"/>
    <s v="DK2_Rural"/>
    <x v="5"/>
    <x v="30"/>
    <x v="0"/>
    <x v="23"/>
    <n v="16.5"/>
    <n v="6022.5"/>
    <n v="21681"/>
  </r>
  <r>
    <x v="0"/>
    <x v="0"/>
    <x v="0"/>
    <x v="0"/>
    <x v="1"/>
    <s v="DK2_Rural"/>
    <x v="6"/>
    <x v="95"/>
    <x v="0"/>
    <x v="10"/>
    <n v="6.2792820241338498"/>
    <n v="2291.9379388088601"/>
    <n v="8250.9765797118798"/>
  </r>
  <r>
    <x v="0"/>
    <x v="0"/>
    <x v="0"/>
    <x v="0"/>
    <x v="1"/>
    <s v="DK2_Rural"/>
    <x v="6"/>
    <x v="95"/>
    <x v="0"/>
    <x v="11"/>
    <n v="14.4245847186323"/>
    <n v="5264.9734223007899"/>
    <n v="18953.904320282902"/>
  </r>
  <r>
    <x v="0"/>
    <x v="0"/>
    <x v="0"/>
    <x v="0"/>
    <x v="1"/>
    <s v="DK2_Rural"/>
    <x v="6"/>
    <x v="95"/>
    <x v="0"/>
    <x v="12"/>
    <n v="7.9576172433080998"/>
    <n v="2904.5302938074601"/>
    <n v="10456.3090577068"/>
  </r>
  <r>
    <x v="0"/>
    <x v="0"/>
    <x v="0"/>
    <x v="0"/>
    <x v="1"/>
    <s v="DK2_Rural"/>
    <x v="6"/>
    <x v="95"/>
    <x v="0"/>
    <x v="14"/>
    <n v="5.3015413159427798"/>
    <n v="1935.0625803191101"/>
    <n v="6966.2252891488097"/>
  </r>
  <r>
    <x v="0"/>
    <x v="0"/>
    <x v="0"/>
    <x v="0"/>
    <x v="1"/>
    <s v="DK2_Rural"/>
    <x v="11"/>
    <x v="70"/>
    <x v="0"/>
    <x v="0"/>
    <n v="6.3"/>
    <n v="2299.5"/>
    <n v="8278.2000000000007"/>
  </r>
  <r>
    <x v="0"/>
    <x v="0"/>
    <x v="0"/>
    <x v="0"/>
    <x v="1"/>
    <s v="DK2_Rural"/>
    <x v="11"/>
    <x v="70"/>
    <x v="0"/>
    <x v="1"/>
    <n v="6.3"/>
    <n v="2299.5"/>
    <n v="8278.2000000000007"/>
  </r>
  <r>
    <x v="0"/>
    <x v="0"/>
    <x v="0"/>
    <x v="0"/>
    <x v="1"/>
    <s v="DK2_Rural"/>
    <x v="11"/>
    <x v="70"/>
    <x v="0"/>
    <x v="2"/>
    <n v="6.3"/>
    <n v="2299.5"/>
    <n v="8278.2000000000007"/>
  </r>
  <r>
    <x v="0"/>
    <x v="0"/>
    <x v="0"/>
    <x v="0"/>
    <x v="1"/>
    <s v="DK2_Rural"/>
    <x v="11"/>
    <x v="70"/>
    <x v="0"/>
    <x v="3"/>
    <n v="6.3"/>
    <n v="2299.5"/>
    <n v="8278.2000000000007"/>
  </r>
  <r>
    <x v="0"/>
    <x v="0"/>
    <x v="0"/>
    <x v="0"/>
    <x v="1"/>
    <s v="DK2_Rural"/>
    <x v="11"/>
    <x v="70"/>
    <x v="0"/>
    <x v="4"/>
    <n v="6.3"/>
    <n v="2299.5"/>
    <n v="8278.2000000000007"/>
  </r>
  <r>
    <x v="0"/>
    <x v="0"/>
    <x v="0"/>
    <x v="0"/>
    <x v="1"/>
    <s v="DK2_Rural"/>
    <x v="11"/>
    <x v="70"/>
    <x v="0"/>
    <x v="5"/>
    <n v="6.3"/>
    <n v="2299.5"/>
    <n v="8278.2000000000007"/>
  </r>
  <r>
    <x v="0"/>
    <x v="0"/>
    <x v="0"/>
    <x v="0"/>
    <x v="1"/>
    <s v="DK2_Rural"/>
    <x v="11"/>
    <x v="70"/>
    <x v="0"/>
    <x v="6"/>
    <n v="6.3"/>
    <n v="2299.5"/>
    <n v="8278.2000000000007"/>
  </r>
  <r>
    <x v="0"/>
    <x v="0"/>
    <x v="0"/>
    <x v="0"/>
    <x v="1"/>
    <s v="DK2_Rural"/>
    <x v="11"/>
    <x v="70"/>
    <x v="0"/>
    <x v="7"/>
    <n v="6.3"/>
    <n v="2299.5"/>
    <n v="8278.2000000000007"/>
  </r>
  <r>
    <x v="0"/>
    <x v="0"/>
    <x v="0"/>
    <x v="0"/>
    <x v="1"/>
    <s v="DK2_Rural"/>
    <x v="11"/>
    <x v="70"/>
    <x v="0"/>
    <x v="8"/>
    <n v="6.3"/>
    <n v="2299.5"/>
    <n v="8278.2000000000007"/>
  </r>
  <r>
    <x v="0"/>
    <x v="0"/>
    <x v="0"/>
    <x v="0"/>
    <x v="1"/>
    <s v="DK2_Rural"/>
    <x v="11"/>
    <x v="70"/>
    <x v="0"/>
    <x v="9"/>
    <n v="6.3"/>
    <n v="2299.5"/>
    <n v="8278.2000000000007"/>
  </r>
  <r>
    <x v="0"/>
    <x v="0"/>
    <x v="0"/>
    <x v="0"/>
    <x v="1"/>
    <s v="DK2_Rural"/>
    <x v="11"/>
    <x v="70"/>
    <x v="0"/>
    <x v="10"/>
    <n v="6.3"/>
    <n v="2299.5"/>
    <n v="8278.2000000000007"/>
  </r>
  <r>
    <x v="0"/>
    <x v="0"/>
    <x v="0"/>
    <x v="0"/>
    <x v="1"/>
    <s v="DK2_Rural"/>
    <x v="11"/>
    <x v="70"/>
    <x v="0"/>
    <x v="11"/>
    <n v="6.3"/>
    <n v="2299.5"/>
    <n v="8278.2000000000007"/>
  </r>
  <r>
    <x v="0"/>
    <x v="0"/>
    <x v="0"/>
    <x v="0"/>
    <x v="1"/>
    <s v="DK2_Rural"/>
    <x v="11"/>
    <x v="70"/>
    <x v="0"/>
    <x v="12"/>
    <n v="6.3"/>
    <n v="2299.5"/>
    <n v="8278.2000000000007"/>
  </r>
  <r>
    <x v="0"/>
    <x v="0"/>
    <x v="0"/>
    <x v="0"/>
    <x v="1"/>
    <s v="DK2_Rural"/>
    <x v="11"/>
    <x v="70"/>
    <x v="0"/>
    <x v="13"/>
    <n v="6.3"/>
    <n v="2299.5"/>
    <n v="8278.2000000000007"/>
  </r>
  <r>
    <x v="0"/>
    <x v="0"/>
    <x v="0"/>
    <x v="0"/>
    <x v="1"/>
    <s v="DK2_Rural"/>
    <x v="11"/>
    <x v="70"/>
    <x v="0"/>
    <x v="14"/>
    <n v="6.3"/>
    <n v="2299.5"/>
    <n v="8278.2000000000007"/>
  </r>
  <r>
    <x v="0"/>
    <x v="0"/>
    <x v="0"/>
    <x v="0"/>
    <x v="1"/>
    <s v="DK2_Rural"/>
    <x v="11"/>
    <x v="70"/>
    <x v="0"/>
    <x v="15"/>
    <n v="6.3"/>
    <n v="2299.5"/>
    <n v="8278.2000000000007"/>
  </r>
  <r>
    <x v="0"/>
    <x v="0"/>
    <x v="0"/>
    <x v="0"/>
    <x v="1"/>
    <s v="DK2_Rural"/>
    <x v="11"/>
    <x v="70"/>
    <x v="0"/>
    <x v="16"/>
    <n v="6.3"/>
    <n v="2299.5"/>
    <n v="8278.2000000000007"/>
  </r>
  <r>
    <x v="0"/>
    <x v="0"/>
    <x v="0"/>
    <x v="0"/>
    <x v="1"/>
    <s v="DK2_Rural"/>
    <x v="11"/>
    <x v="70"/>
    <x v="0"/>
    <x v="17"/>
    <n v="6.3"/>
    <n v="2299.5"/>
    <n v="8278.2000000000007"/>
  </r>
  <r>
    <x v="0"/>
    <x v="0"/>
    <x v="0"/>
    <x v="0"/>
    <x v="1"/>
    <s v="DK2_Rural"/>
    <x v="11"/>
    <x v="70"/>
    <x v="0"/>
    <x v="18"/>
    <n v="6.3"/>
    <n v="2299.5"/>
    <n v="8278.2000000000007"/>
  </r>
  <r>
    <x v="0"/>
    <x v="0"/>
    <x v="0"/>
    <x v="0"/>
    <x v="1"/>
    <s v="DK2_Rural"/>
    <x v="11"/>
    <x v="70"/>
    <x v="0"/>
    <x v="19"/>
    <n v="6.3"/>
    <n v="2299.5"/>
    <n v="8278.2000000000007"/>
  </r>
  <r>
    <x v="0"/>
    <x v="0"/>
    <x v="0"/>
    <x v="0"/>
    <x v="1"/>
    <s v="DK2_Rural"/>
    <x v="11"/>
    <x v="70"/>
    <x v="0"/>
    <x v="20"/>
    <n v="6.3"/>
    <n v="2299.5"/>
    <n v="8278.2000000000007"/>
  </r>
  <r>
    <x v="0"/>
    <x v="0"/>
    <x v="0"/>
    <x v="0"/>
    <x v="1"/>
    <s v="DK2_Rural"/>
    <x v="11"/>
    <x v="70"/>
    <x v="0"/>
    <x v="21"/>
    <n v="6.3"/>
    <n v="2299.5"/>
    <n v="8278.2000000000007"/>
  </r>
  <r>
    <x v="0"/>
    <x v="0"/>
    <x v="0"/>
    <x v="0"/>
    <x v="1"/>
    <s v="DK2_Rural"/>
    <x v="11"/>
    <x v="70"/>
    <x v="0"/>
    <x v="22"/>
    <n v="6.3"/>
    <n v="2299.5"/>
    <n v="8278.2000000000007"/>
  </r>
  <r>
    <x v="0"/>
    <x v="0"/>
    <x v="0"/>
    <x v="0"/>
    <x v="1"/>
    <s v="DK2_Rural"/>
    <x v="11"/>
    <x v="70"/>
    <x v="0"/>
    <x v="23"/>
    <n v="6.3"/>
    <n v="2299.5"/>
    <n v="8278.2000000000007"/>
  </r>
  <r>
    <x v="0"/>
    <x v="0"/>
    <x v="0"/>
    <x v="0"/>
    <x v="1"/>
    <s v="DK2_Small"/>
    <x v="3"/>
    <x v="25"/>
    <x v="0"/>
    <x v="0"/>
    <n v="48.618169906227898"/>
    <n v="17745.632015773201"/>
    <n v="63884.275256783403"/>
  </r>
  <r>
    <x v="0"/>
    <x v="0"/>
    <x v="0"/>
    <x v="0"/>
    <x v="1"/>
    <s v="DK2_Small"/>
    <x v="3"/>
    <x v="25"/>
    <x v="0"/>
    <x v="1"/>
    <n v="7.0226111075653401"/>
    <n v="2563.2530542613499"/>
    <n v="9227.7109953408599"/>
  </r>
  <r>
    <x v="0"/>
    <x v="0"/>
    <x v="0"/>
    <x v="0"/>
    <x v="1"/>
    <s v="DK2_Small"/>
    <x v="3"/>
    <x v="25"/>
    <x v="0"/>
    <x v="4"/>
    <n v="83.695652173913004"/>
    <n v="30548.9130434783"/>
    <n v="109976.08695652201"/>
  </r>
  <r>
    <x v="0"/>
    <x v="0"/>
    <x v="0"/>
    <x v="0"/>
    <x v="1"/>
    <s v="DK2_Small"/>
    <x v="3"/>
    <x v="25"/>
    <x v="0"/>
    <x v="5"/>
    <n v="83.695652173913004"/>
    <n v="30548.9130434783"/>
    <n v="109976.08695652201"/>
  </r>
  <r>
    <x v="0"/>
    <x v="0"/>
    <x v="0"/>
    <x v="0"/>
    <x v="1"/>
    <s v="DK2_Small"/>
    <x v="3"/>
    <x v="25"/>
    <x v="0"/>
    <x v="6"/>
    <n v="83.695652173913004"/>
    <n v="30548.9130434783"/>
    <n v="109976.08695652201"/>
  </r>
  <r>
    <x v="0"/>
    <x v="0"/>
    <x v="0"/>
    <x v="0"/>
    <x v="1"/>
    <s v="DK2_Small"/>
    <x v="3"/>
    <x v="25"/>
    <x v="0"/>
    <x v="7"/>
    <n v="83.695652173913004"/>
    <n v="30548.9130434783"/>
    <n v="109976.08695652201"/>
  </r>
  <r>
    <x v="0"/>
    <x v="0"/>
    <x v="0"/>
    <x v="0"/>
    <x v="1"/>
    <s v="DK2_Small"/>
    <x v="3"/>
    <x v="25"/>
    <x v="0"/>
    <x v="8"/>
    <n v="83.695652173913004"/>
    <n v="30548.9130434783"/>
    <n v="109976.08695652201"/>
  </r>
  <r>
    <x v="0"/>
    <x v="0"/>
    <x v="0"/>
    <x v="0"/>
    <x v="1"/>
    <s v="DK2_Small"/>
    <x v="3"/>
    <x v="25"/>
    <x v="0"/>
    <x v="9"/>
    <n v="83.695652173913004"/>
    <n v="30548.9130434783"/>
    <n v="109976.08695652201"/>
  </r>
  <r>
    <x v="0"/>
    <x v="0"/>
    <x v="0"/>
    <x v="0"/>
    <x v="1"/>
    <s v="DK2_Small"/>
    <x v="3"/>
    <x v="25"/>
    <x v="0"/>
    <x v="10"/>
    <n v="83.695652173913004"/>
    <n v="30548.9130434783"/>
    <n v="109976.08695652201"/>
  </r>
  <r>
    <x v="0"/>
    <x v="0"/>
    <x v="0"/>
    <x v="0"/>
    <x v="1"/>
    <s v="DK2_Small"/>
    <x v="3"/>
    <x v="25"/>
    <x v="0"/>
    <x v="11"/>
    <n v="83.695652173913004"/>
    <n v="30548.9130434783"/>
    <n v="109976.08695652201"/>
  </r>
  <r>
    <x v="0"/>
    <x v="0"/>
    <x v="0"/>
    <x v="0"/>
    <x v="1"/>
    <s v="DK2_Small"/>
    <x v="3"/>
    <x v="25"/>
    <x v="0"/>
    <x v="12"/>
    <n v="83.695652173913004"/>
    <n v="30548.9130434783"/>
    <n v="109976.08695652201"/>
  </r>
  <r>
    <x v="0"/>
    <x v="0"/>
    <x v="0"/>
    <x v="0"/>
    <x v="1"/>
    <s v="DK2_Small"/>
    <x v="3"/>
    <x v="25"/>
    <x v="0"/>
    <x v="13"/>
    <n v="83.695652173913004"/>
    <n v="30548.9130434783"/>
    <n v="109976.08695652201"/>
  </r>
  <r>
    <x v="0"/>
    <x v="0"/>
    <x v="0"/>
    <x v="0"/>
    <x v="1"/>
    <s v="DK2_Small"/>
    <x v="3"/>
    <x v="25"/>
    <x v="0"/>
    <x v="14"/>
    <n v="83.695652173913004"/>
    <n v="30548.9130434783"/>
    <n v="109976.08695652201"/>
  </r>
  <r>
    <x v="0"/>
    <x v="0"/>
    <x v="0"/>
    <x v="0"/>
    <x v="1"/>
    <s v="DK2_Small"/>
    <x v="3"/>
    <x v="25"/>
    <x v="0"/>
    <x v="15"/>
    <n v="83.695652173913004"/>
    <n v="30548.9130434783"/>
    <n v="109976.08695652201"/>
  </r>
  <r>
    <x v="0"/>
    <x v="0"/>
    <x v="0"/>
    <x v="0"/>
    <x v="1"/>
    <s v="DK2_Small"/>
    <x v="3"/>
    <x v="25"/>
    <x v="0"/>
    <x v="16"/>
    <n v="83.695652173913004"/>
    <n v="30548.9130434783"/>
    <n v="109976.08695652201"/>
  </r>
  <r>
    <x v="0"/>
    <x v="0"/>
    <x v="0"/>
    <x v="0"/>
    <x v="1"/>
    <s v="DK2_Small"/>
    <x v="3"/>
    <x v="25"/>
    <x v="0"/>
    <x v="17"/>
    <n v="83.695652173913004"/>
    <n v="30548.9130434783"/>
    <n v="109976.08695652201"/>
  </r>
  <r>
    <x v="0"/>
    <x v="0"/>
    <x v="0"/>
    <x v="0"/>
    <x v="1"/>
    <s v="DK2_Small"/>
    <x v="3"/>
    <x v="25"/>
    <x v="0"/>
    <x v="18"/>
    <n v="83.695652173913004"/>
    <n v="30548.9130434783"/>
    <n v="109976.08695652201"/>
  </r>
  <r>
    <x v="0"/>
    <x v="0"/>
    <x v="0"/>
    <x v="1"/>
    <x v="2"/>
    <s v="EE_Industry"/>
    <x v="0"/>
    <x v="96"/>
    <x v="0"/>
    <x v="0"/>
    <n v="0.260281103591879"/>
    <n v="95.002602811035899"/>
    <n v="342.009370119729"/>
  </r>
  <r>
    <x v="0"/>
    <x v="0"/>
    <x v="0"/>
    <x v="1"/>
    <x v="2"/>
    <s v="EE_Industry"/>
    <x v="0"/>
    <x v="96"/>
    <x v="0"/>
    <x v="1"/>
    <n v="0.260281103591879"/>
    <n v="95.002602811035899"/>
    <n v="342.009370119729"/>
  </r>
  <r>
    <x v="0"/>
    <x v="0"/>
    <x v="0"/>
    <x v="1"/>
    <x v="2"/>
    <s v="EE_Industry"/>
    <x v="0"/>
    <x v="96"/>
    <x v="0"/>
    <x v="2"/>
    <n v="0.260281103591879"/>
    <n v="95.002602811035899"/>
    <n v="342.009370119729"/>
  </r>
  <r>
    <x v="0"/>
    <x v="0"/>
    <x v="0"/>
    <x v="1"/>
    <x v="2"/>
    <s v="EE_Industry"/>
    <x v="0"/>
    <x v="96"/>
    <x v="0"/>
    <x v="3"/>
    <n v="0.260281103591879"/>
    <n v="95.002602811035899"/>
    <n v="342.009370119729"/>
  </r>
  <r>
    <x v="0"/>
    <x v="0"/>
    <x v="0"/>
    <x v="1"/>
    <x v="2"/>
    <s v="EE_Industry"/>
    <x v="0"/>
    <x v="96"/>
    <x v="0"/>
    <x v="4"/>
    <n v="0.260281103591879"/>
    <n v="95.002602811035899"/>
    <n v="342.009370119729"/>
  </r>
  <r>
    <x v="0"/>
    <x v="0"/>
    <x v="0"/>
    <x v="1"/>
    <x v="2"/>
    <s v="EE_Industry"/>
    <x v="0"/>
    <x v="96"/>
    <x v="0"/>
    <x v="5"/>
    <n v="0.260281103591879"/>
    <n v="95.002602811035899"/>
    <n v="342.009370119729"/>
  </r>
  <r>
    <x v="0"/>
    <x v="0"/>
    <x v="0"/>
    <x v="1"/>
    <x v="2"/>
    <s v="EE_Industry"/>
    <x v="0"/>
    <x v="96"/>
    <x v="0"/>
    <x v="6"/>
    <n v="0.260281103591879"/>
    <n v="95.002602811035899"/>
    <n v="342.009370119729"/>
  </r>
  <r>
    <x v="0"/>
    <x v="0"/>
    <x v="0"/>
    <x v="1"/>
    <x v="2"/>
    <s v="EE_Industry"/>
    <x v="0"/>
    <x v="96"/>
    <x v="0"/>
    <x v="7"/>
    <n v="0.260281103591879"/>
    <n v="95.002602811035899"/>
    <n v="342.009370119729"/>
  </r>
  <r>
    <x v="0"/>
    <x v="0"/>
    <x v="0"/>
    <x v="1"/>
    <x v="2"/>
    <s v="EE_Industry"/>
    <x v="0"/>
    <x v="96"/>
    <x v="0"/>
    <x v="8"/>
    <n v="0.260281103591879"/>
    <n v="95.002602811035899"/>
    <n v="342.009370119729"/>
  </r>
  <r>
    <x v="0"/>
    <x v="0"/>
    <x v="0"/>
    <x v="1"/>
    <x v="2"/>
    <s v="EE_Industry"/>
    <x v="0"/>
    <x v="96"/>
    <x v="0"/>
    <x v="9"/>
    <n v="0.260281103591879"/>
    <n v="95.002602811035899"/>
    <n v="342.009370119729"/>
  </r>
  <r>
    <x v="0"/>
    <x v="0"/>
    <x v="0"/>
    <x v="1"/>
    <x v="2"/>
    <s v="EE_Industry"/>
    <x v="0"/>
    <x v="96"/>
    <x v="0"/>
    <x v="10"/>
    <n v="0.260281103591879"/>
    <n v="95.002602811035899"/>
    <n v="342.009370119729"/>
  </r>
  <r>
    <x v="0"/>
    <x v="0"/>
    <x v="0"/>
    <x v="1"/>
    <x v="2"/>
    <s v="EE_Industry"/>
    <x v="0"/>
    <x v="96"/>
    <x v="0"/>
    <x v="11"/>
    <n v="0.260281103591879"/>
    <n v="95.002602811035899"/>
    <n v="342.009370119729"/>
  </r>
  <r>
    <x v="0"/>
    <x v="0"/>
    <x v="0"/>
    <x v="1"/>
    <x v="2"/>
    <s v="EE_Industry"/>
    <x v="0"/>
    <x v="96"/>
    <x v="0"/>
    <x v="12"/>
    <n v="0.260281103591879"/>
    <n v="95.002602811035899"/>
    <n v="342.009370119729"/>
  </r>
  <r>
    <x v="0"/>
    <x v="0"/>
    <x v="0"/>
    <x v="1"/>
    <x v="2"/>
    <s v="EE_Industry"/>
    <x v="0"/>
    <x v="96"/>
    <x v="0"/>
    <x v="13"/>
    <n v="0.260281103591879"/>
    <n v="95.002602811035899"/>
    <n v="342.009370119729"/>
  </r>
  <r>
    <x v="0"/>
    <x v="0"/>
    <x v="0"/>
    <x v="1"/>
    <x v="2"/>
    <s v="EE_Industry"/>
    <x v="0"/>
    <x v="96"/>
    <x v="0"/>
    <x v="14"/>
    <n v="0.260281103591879"/>
    <n v="95.002602811035899"/>
    <n v="342.009370119729"/>
  </r>
  <r>
    <x v="0"/>
    <x v="0"/>
    <x v="0"/>
    <x v="1"/>
    <x v="2"/>
    <s v="EE_Industry"/>
    <x v="0"/>
    <x v="96"/>
    <x v="0"/>
    <x v="15"/>
    <n v="0.260281103591879"/>
    <n v="95.002602811035899"/>
    <n v="342.009370119729"/>
  </r>
  <r>
    <x v="0"/>
    <x v="0"/>
    <x v="0"/>
    <x v="1"/>
    <x v="2"/>
    <s v="EE_Industry"/>
    <x v="0"/>
    <x v="96"/>
    <x v="0"/>
    <x v="16"/>
    <n v="0.260281103591879"/>
    <n v="95.002602811035899"/>
    <n v="342.009370119729"/>
  </r>
  <r>
    <x v="0"/>
    <x v="0"/>
    <x v="0"/>
    <x v="1"/>
    <x v="2"/>
    <s v="EE_Industry"/>
    <x v="0"/>
    <x v="96"/>
    <x v="0"/>
    <x v="17"/>
    <n v="0.260281103591879"/>
    <n v="95.002602811035899"/>
    <n v="342.009370119729"/>
  </r>
  <r>
    <x v="0"/>
    <x v="0"/>
    <x v="0"/>
    <x v="1"/>
    <x v="2"/>
    <s v="EE_Industry"/>
    <x v="0"/>
    <x v="96"/>
    <x v="0"/>
    <x v="18"/>
    <n v="0.260281103591879"/>
    <n v="95.002602811035899"/>
    <n v="342.009370119729"/>
  </r>
  <r>
    <x v="0"/>
    <x v="0"/>
    <x v="0"/>
    <x v="1"/>
    <x v="2"/>
    <s v="EE_Industry"/>
    <x v="0"/>
    <x v="96"/>
    <x v="0"/>
    <x v="19"/>
    <n v="0.260281103591879"/>
    <n v="95.002602811035899"/>
    <n v="342.009370119729"/>
  </r>
  <r>
    <x v="0"/>
    <x v="0"/>
    <x v="0"/>
    <x v="1"/>
    <x v="2"/>
    <s v="EE_Industry"/>
    <x v="0"/>
    <x v="96"/>
    <x v="0"/>
    <x v="20"/>
    <n v="0.260281103591879"/>
    <n v="95.002602811035899"/>
    <n v="342.009370119729"/>
  </r>
  <r>
    <x v="0"/>
    <x v="0"/>
    <x v="0"/>
    <x v="1"/>
    <x v="2"/>
    <s v="EE_Industry"/>
    <x v="0"/>
    <x v="96"/>
    <x v="0"/>
    <x v="21"/>
    <n v="0.260281103591879"/>
    <n v="95.002602811035899"/>
    <n v="342.009370119729"/>
  </r>
  <r>
    <x v="0"/>
    <x v="0"/>
    <x v="0"/>
    <x v="1"/>
    <x v="2"/>
    <s v="EE_Industry"/>
    <x v="0"/>
    <x v="96"/>
    <x v="0"/>
    <x v="22"/>
    <n v="0.260281103591879"/>
    <n v="95.002602811035899"/>
    <n v="342.009370119729"/>
  </r>
  <r>
    <x v="0"/>
    <x v="0"/>
    <x v="0"/>
    <x v="1"/>
    <x v="2"/>
    <s v="EE_Industry"/>
    <x v="0"/>
    <x v="96"/>
    <x v="0"/>
    <x v="23"/>
    <n v="0.260281103591879"/>
    <n v="95.002602811035899"/>
    <n v="342.009370119729"/>
  </r>
  <r>
    <x v="0"/>
    <x v="0"/>
    <x v="0"/>
    <x v="1"/>
    <x v="2"/>
    <s v="EE_Industry"/>
    <x v="12"/>
    <x v="97"/>
    <x v="0"/>
    <x v="4"/>
    <n v="115.67777822561899"/>
    <n v="42222.3890523511"/>
    <n v="152000.600588464"/>
  </r>
  <r>
    <x v="0"/>
    <x v="0"/>
    <x v="0"/>
    <x v="1"/>
    <x v="2"/>
    <s v="EE_Industry"/>
    <x v="12"/>
    <x v="97"/>
    <x v="0"/>
    <x v="5"/>
    <n v="218.08999081726401"/>
    <n v="79602.846648301202"/>
    <n v="286570.24793388398"/>
  </r>
  <r>
    <x v="0"/>
    <x v="0"/>
    <x v="0"/>
    <x v="1"/>
    <x v="2"/>
    <s v="EE_Industry"/>
    <x v="12"/>
    <x v="97"/>
    <x v="0"/>
    <x v="6"/>
    <n v="218.08999081726401"/>
    <n v="79602.846648301202"/>
    <n v="286570.24793388398"/>
  </r>
  <r>
    <x v="0"/>
    <x v="0"/>
    <x v="0"/>
    <x v="1"/>
    <x v="2"/>
    <s v="EE_Industry"/>
    <x v="12"/>
    <x v="97"/>
    <x v="0"/>
    <x v="7"/>
    <n v="218.08999081726401"/>
    <n v="79602.846648301202"/>
    <n v="286570.24793388398"/>
  </r>
  <r>
    <x v="0"/>
    <x v="0"/>
    <x v="0"/>
    <x v="1"/>
    <x v="2"/>
    <s v="EE_Industry"/>
    <x v="12"/>
    <x v="97"/>
    <x v="0"/>
    <x v="8"/>
    <n v="218.08999081726401"/>
    <n v="79602.846648301202"/>
    <n v="286570.24793388398"/>
  </r>
  <r>
    <x v="0"/>
    <x v="0"/>
    <x v="0"/>
    <x v="1"/>
    <x v="2"/>
    <s v="EE_Industry"/>
    <x v="12"/>
    <x v="97"/>
    <x v="0"/>
    <x v="9"/>
    <n v="218.08999081726401"/>
    <n v="79602.846648301202"/>
    <n v="286570.24793388398"/>
  </r>
  <r>
    <x v="0"/>
    <x v="0"/>
    <x v="0"/>
    <x v="1"/>
    <x v="2"/>
    <s v="EE_Industry"/>
    <x v="12"/>
    <x v="97"/>
    <x v="0"/>
    <x v="10"/>
    <n v="218.08999081726401"/>
    <n v="79602.846648301202"/>
    <n v="286570.24793388398"/>
  </r>
  <r>
    <x v="0"/>
    <x v="0"/>
    <x v="0"/>
    <x v="1"/>
    <x v="2"/>
    <s v="EE_Industry"/>
    <x v="12"/>
    <x v="97"/>
    <x v="0"/>
    <x v="11"/>
    <n v="218.08999081726401"/>
    <n v="79602.846648301202"/>
    <n v="286570.24793388398"/>
  </r>
  <r>
    <x v="0"/>
    <x v="0"/>
    <x v="0"/>
    <x v="1"/>
    <x v="2"/>
    <s v="EE_Industry"/>
    <x v="12"/>
    <x v="97"/>
    <x v="0"/>
    <x v="12"/>
    <n v="218.08999081726401"/>
    <n v="79602.846648301202"/>
    <n v="286570.24793388398"/>
  </r>
  <r>
    <x v="0"/>
    <x v="0"/>
    <x v="0"/>
    <x v="1"/>
    <x v="2"/>
    <s v="EE_Industry"/>
    <x v="12"/>
    <x v="97"/>
    <x v="0"/>
    <x v="13"/>
    <n v="218.08999081726401"/>
    <n v="79602.846648301202"/>
    <n v="286570.24793388398"/>
  </r>
  <r>
    <x v="0"/>
    <x v="0"/>
    <x v="0"/>
    <x v="1"/>
    <x v="2"/>
    <s v="EE_Industry"/>
    <x v="12"/>
    <x v="97"/>
    <x v="0"/>
    <x v="14"/>
    <n v="218.08999081726401"/>
    <n v="79602.846648301202"/>
    <n v="286570.24793388398"/>
  </r>
  <r>
    <x v="0"/>
    <x v="0"/>
    <x v="0"/>
    <x v="1"/>
    <x v="2"/>
    <s v="EE_Industry"/>
    <x v="12"/>
    <x v="97"/>
    <x v="0"/>
    <x v="15"/>
    <n v="218.08999081726401"/>
    <n v="79602.846648301202"/>
    <n v="286570.24793388398"/>
  </r>
  <r>
    <x v="0"/>
    <x v="0"/>
    <x v="0"/>
    <x v="1"/>
    <x v="2"/>
    <s v="EE_Industry"/>
    <x v="12"/>
    <x v="97"/>
    <x v="0"/>
    <x v="16"/>
    <n v="218.08999081726401"/>
    <n v="79602.846648301202"/>
    <n v="286570.24793388398"/>
  </r>
  <r>
    <x v="0"/>
    <x v="0"/>
    <x v="0"/>
    <x v="1"/>
    <x v="2"/>
    <s v="EE_Industry"/>
    <x v="12"/>
    <x v="97"/>
    <x v="0"/>
    <x v="17"/>
    <n v="218.08999081726401"/>
    <n v="79602.846648301202"/>
    <n v="286570.24793388398"/>
  </r>
  <r>
    <x v="0"/>
    <x v="0"/>
    <x v="0"/>
    <x v="1"/>
    <x v="2"/>
    <s v="EE_Industry"/>
    <x v="12"/>
    <x v="97"/>
    <x v="0"/>
    <x v="18"/>
    <n v="218.08999081726401"/>
    <n v="79602.846648301202"/>
    <n v="286570.24793388398"/>
  </r>
  <r>
    <x v="0"/>
    <x v="0"/>
    <x v="0"/>
    <x v="1"/>
    <x v="2"/>
    <s v="EE_Industry"/>
    <x v="12"/>
    <x v="97"/>
    <x v="0"/>
    <x v="19"/>
    <n v="218.08999081726401"/>
    <n v="79602.846648301202"/>
    <n v="286570.24793388398"/>
  </r>
  <r>
    <x v="0"/>
    <x v="0"/>
    <x v="0"/>
    <x v="1"/>
    <x v="2"/>
    <s v="EE_Industry"/>
    <x v="12"/>
    <x v="97"/>
    <x v="0"/>
    <x v="20"/>
    <n v="218.08999081726401"/>
    <n v="79602.846648301202"/>
    <n v="286570.24793388398"/>
  </r>
  <r>
    <x v="0"/>
    <x v="0"/>
    <x v="0"/>
    <x v="1"/>
    <x v="2"/>
    <s v="EE_Industry"/>
    <x v="12"/>
    <x v="97"/>
    <x v="0"/>
    <x v="21"/>
    <n v="218.08999081726401"/>
    <n v="79602.846648301202"/>
    <n v="286570.24793388398"/>
  </r>
  <r>
    <x v="0"/>
    <x v="0"/>
    <x v="0"/>
    <x v="1"/>
    <x v="2"/>
    <s v="EE_Industry"/>
    <x v="12"/>
    <x v="97"/>
    <x v="0"/>
    <x v="22"/>
    <n v="218.08999081726401"/>
    <n v="79602.846648301202"/>
    <n v="286570.24793388398"/>
  </r>
  <r>
    <x v="0"/>
    <x v="0"/>
    <x v="0"/>
    <x v="1"/>
    <x v="2"/>
    <s v="EE_Industry"/>
    <x v="12"/>
    <x v="97"/>
    <x v="0"/>
    <x v="23"/>
    <n v="218.08999081726401"/>
    <n v="79602.846648301202"/>
    <n v="286570.24793388398"/>
  </r>
  <r>
    <x v="0"/>
    <x v="0"/>
    <x v="0"/>
    <x v="1"/>
    <x v="2"/>
    <s v="EE_Industry"/>
    <x v="13"/>
    <x v="98"/>
    <x v="0"/>
    <x v="0"/>
    <n v="43.478293478293502"/>
    <n v="15869.577119577099"/>
    <n v="57130.477630477602"/>
  </r>
  <r>
    <x v="0"/>
    <x v="0"/>
    <x v="0"/>
    <x v="1"/>
    <x v="2"/>
    <s v="EE_Industry"/>
    <x v="13"/>
    <x v="98"/>
    <x v="0"/>
    <x v="1"/>
    <n v="43.478293478293502"/>
    <n v="15869.577119577099"/>
    <n v="57130.477630477602"/>
  </r>
  <r>
    <x v="0"/>
    <x v="0"/>
    <x v="0"/>
    <x v="1"/>
    <x v="2"/>
    <s v="EE_Industry"/>
    <x v="13"/>
    <x v="98"/>
    <x v="0"/>
    <x v="2"/>
    <n v="43.478293478293502"/>
    <n v="15869.577119577099"/>
    <n v="57130.477630477602"/>
  </r>
  <r>
    <x v="0"/>
    <x v="0"/>
    <x v="0"/>
    <x v="1"/>
    <x v="2"/>
    <s v="EE_Industry"/>
    <x v="13"/>
    <x v="98"/>
    <x v="0"/>
    <x v="3"/>
    <n v="43.478293478293502"/>
    <n v="15869.577119577099"/>
    <n v="57130.477630477602"/>
  </r>
  <r>
    <x v="0"/>
    <x v="0"/>
    <x v="0"/>
    <x v="1"/>
    <x v="2"/>
    <s v="EE_Industry"/>
    <x v="13"/>
    <x v="98"/>
    <x v="0"/>
    <x v="4"/>
    <n v="43.478293478293502"/>
    <n v="15869.577119577099"/>
    <n v="57130.477630477602"/>
  </r>
  <r>
    <x v="0"/>
    <x v="0"/>
    <x v="0"/>
    <x v="1"/>
    <x v="2"/>
    <s v="EE_Industry"/>
    <x v="13"/>
    <x v="98"/>
    <x v="0"/>
    <x v="5"/>
    <n v="43.478293478293502"/>
    <n v="15869.577119577099"/>
    <n v="57130.477630477602"/>
  </r>
  <r>
    <x v="0"/>
    <x v="0"/>
    <x v="0"/>
    <x v="1"/>
    <x v="2"/>
    <s v="EE_Industry"/>
    <x v="13"/>
    <x v="98"/>
    <x v="0"/>
    <x v="6"/>
    <n v="43.478293478293502"/>
    <n v="15869.577119577099"/>
    <n v="57130.477630477602"/>
  </r>
  <r>
    <x v="0"/>
    <x v="0"/>
    <x v="0"/>
    <x v="1"/>
    <x v="2"/>
    <s v="EE_Industry"/>
    <x v="13"/>
    <x v="98"/>
    <x v="0"/>
    <x v="7"/>
    <n v="43.478293478293502"/>
    <n v="15869.577119577099"/>
    <n v="57130.477630477602"/>
  </r>
  <r>
    <x v="0"/>
    <x v="0"/>
    <x v="0"/>
    <x v="1"/>
    <x v="2"/>
    <s v="EE_Industry"/>
    <x v="13"/>
    <x v="98"/>
    <x v="0"/>
    <x v="8"/>
    <n v="43.478293478293502"/>
    <n v="15869.577119577099"/>
    <n v="57130.477630477602"/>
  </r>
  <r>
    <x v="0"/>
    <x v="0"/>
    <x v="0"/>
    <x v="1"/>
    <x v="2"/>
    <s v="EE_Industry"/>
    <x v="13"/>
    <x v="98"/>
    <x v="0"/>
    <x v="9"/>
    <n v="43.478293478293502"/>
    <n v="15869.577119577099"/>
    <n v="57130.477630477602"/>
  </r>
  <r>
    <x v="0"/>
    <x v="0"/>
    <x v="0"/>
    <x v="1"/>
    <x v="2"/>
    <s v="EE_Industry"/>
    <x v="13"/>
    <x v="98"/>
    <x v="0"/>
    <x v="10"/>
    <n v="43.478293478293502"/>
    <n v="15869.577119577099"/>
    <n v="57130.477630477602"/>
  </r>
  <r>
    <x v="0"/>
    <x v="0"/>
    <x v="0"/>
    <x v="1"/>
    <x v="2"/>
    <s v="EE_Industry"/>
    <x v="13"/>
    <x v="98"/>
    <x v="0"/>
    <x v="11"/>
    <n v="43.478293478293502"/>
    <n v="15869.577119577099"/>
    <n v="57130.477630477602"/>
  </r>
  <r>
    <x v="0"/>
    <x v="0"/>
    <x v="0"/>
    <x v="1"/>
    <x v="2"/>
    <s v="EE_Industry"/>
    <x v="13"/>
    <x v="98"/>
    <x v="0"/>
    <x v="12"/>
    <n v="43.478293478293502"/>
    <n v="15869.577119577099"/>
    <n v="57130.477630477602"/>
  </r>
  <r>
    <x v="0"/>
    <x v="0"/>
    <x v="0"/>
    <x v="1"/>
    <x v="2"/>
    <s v="EE_Industry"/>
    <x v="13"/>
    <x v="98"/>
    <x v="0"/>
    <x v="13"/>
    <n v="43.478293478293502"/>
    <n v="15869.577119577099"/>
    <n v="57130.477630477602"/>
  </r>
  <r>
    <x v="0"/>
    <x v="0"/>
    <x v="0"/>
    <x v="1"/>
    <x v="2"/>
    <s v="EE_Industry"/>
    <x v="13"/>
    <x v="98"/>
    <x v="0"/>
    <x v="14"/>
    <n v="43.478293478293502"/>
    <n v="15869.577119577099"/>
    <n v="57130.477630477602"/>
  </r>
  <r>
    <x v="0"/>
    <x v="0"/>
    <x v="0"/>
    <x v="1"/>
    <x v="2"/>
    <s v="EE_Industry"/>
    <x v="13"/>
    <x v="98"/>
    <x v="0"/>
    <x v="15"/>
    <n v="43.478293478293502"/>
    <n v="15869.577119577099"/>
    <n v="57130.477630477602"/>
  </r>
  <r>
    <x v="0"/>
    <x v="0"/>
    <x v="0"/>
    <x v="1"/>
    <x v="2"/>
    <s v="EE_Industry"/>
    <x v="13"/>
    <x v="98"/>
    <x v="0"/>
    <x v="16"/>
    <n v="43.478293478293502"/>
    <n v="15869.577119577099"/>
    <n v="57130.477630477602"/>
  </r>
  <r>
    <x v="0"/>
    <x v="0"/>
    <x v="0"/>
    <x v="1"/>
    <x v="2"/>
    <s v="EE_Industry"/>
    <x v="13"/>
    <x v="98"/>
    <x v="0"/>
    <x v="17"/>
    <n v="43.478293478293502"/>
    <n v="15869.577119577099"/>
    <n v="57130.477630477602"/>
  </r>
  <r>
    <x v="0"/>
    <x v="0"/>
    <x v="0"/>
    <x v="1"/>
    <x v="2"/>
    <s v="EE_Industry"/>
    <x v="13"/>
    <x v="98"/>
    <x v="0"/>
    <x v="18"/>
    <n v="43.478293478293502"/>
    <n v="15869.577119577099"/>
    <n v="57130.477630477602"/>
  </r>
  <r>
    <x v="0"/>
    <x v="0"/>
    <x v="0"/>
    <x v="1"/>
    <x v="2"/>
    <s v="EE_Industry"/>
    <x v="13"/>
    <x v="98"/>
    <x v="0"/>
    <x v="19"/>
    <n v="43.478293478293502"/>
    <n v="15869.577119577099"/>
    <n v="57130.477630477602"/>
  </r>
  <r>
    <x v="0"/>
    <x v="0"/>
    <x v="0"/>
    <x v="1"/>
    <x v="2"/>
    <s v="EE_Industry"/>
    <x v="13"/>
    <x v="98"/>
    <x v="0"/>
    <x v="20"/>
    <n v="43.478293478293502"/>
    <n v="15869.577119577099"/>
    <n v="57130.477630477602"/>
  </r>
  <r>
    <x v="0"/>
    <x v="0"/>
    <x v="0"/>
    <x v="1"/>
    <x v="2"/>
    <s v="EE_Industry"/>
    <x v="13"/>
    <x v="98"/>
    <x v="0"/>
    <x v="21"/>
    <n v="43.478293478293502"/>
    <n v="15869.577119577099"/>
    <n v="57130.477630477602"/>
  </r>
  <r>
    <x v="0"/>
    <x v="0"/>
    <x v="0"/>
    <x v="1"/>
    <x v="2"/>
    <s v="EE_Industry"/>
    <x v="13"/>
    <x v="98"/>
    <x v="0"/>
    <x v="22"/>
    <n v="43.478293478293502"/>
    <n v="15869.577119577099"/>
    <n v="57130.477630477602"/>
  </r>
  <r>
    <x v="0"/>
    <x v="0"/>
    <x v="0"/>
    <x v="1"/>
    <x v="2"/>
    <s v="EE_Industry"/>
    <x v="13"/>
    <x v="98"/>
    <x v="0"/>
    <x v="23"/>
    <n v="43.478293478293502"/>
    <n v="15869.577119577099"/>
    <n v="57130.477630477602"/>
  </r>
  <r>
    <x v="0"/>
    <x v="0"/>
    <x v="0"/>
    <x v="1"/>
    <x v="2"/>
    <s v="EE_Industry"/>
    <x v="13"/>
    <x v="99"/>
    <x v="0"/>
    <x v="0"/>
    <n v="43.478293478293502"/>
    <n v="15869.577119577099"/>
    <n v="57130.477630477602"/>
  </r>
  <r>
    <x v="0"/>
    <x v="0"/>
    <x v="0"/>
    <x v="1"/>
    <x v="2"/>
    <s v="EE_Industry"/>
    <x v="13"/>
    <x v="99"/>
    <x v="0"/>
    <x v="1"/>
    <n v="43.478293478293502"/>
    <n v="15869.577119577099"/>
    <n v="57130.477630477602"/>
  </r>
  <r>
    <x v="0"/>
    <x v="0"/>
    <x v="0"/>
    <x v="1"/>
    <x v="2"/>
    <s v="EE_Industry"/>
    <x v="13"/>
    <x v="99"/>
    <x v="0"/>
    <x v="2"/>
    <n v="43.478293478293502"/>
    <n v="15869.577119577099"/>
    <n v="57130.477630477602"/>
  </r>
  <r>
    <x v="0"/>
    <x v="0"/>
    <x v="0"/>
    <x v="1"/>
    <x v="2"/>
    <s v="EE_Industry"/>
    <x v="13"/>
    <x v="99"/>
    <x v="0"/>
    <x v="3"/>
    <n v="43.478293478293502"/>
    <n v="15869.577119577099"/>
    <n v="57130.477630477602"/>
  </r>
  <r>
    <x v="0"/>
    <x v="0"/>
    <x v="0"/>
    <x v="1"/>
    <x v="2"/>
    <s v="EE_Industry"/>
    <x v="13"/>
    <x v="99"/>
    <x v="0"/>
    <x v="4"/>
    <n v="43.478293478293502"/>
    <n v="15869.577119577099"/>
    <n v="57130.477630477602"/>
  </r>
  <r>
    <x v="0"/>
    <x v="0"/>
    <x v="0"/>
    <x v="1"/>
    <x v="2"/>
    <s v="EE_Industry"/>
    <x v="13"/>
    <x v="99"/>
    <x v="0"/>
    <x v="5"/>
    <n v="43.478293478293502"/>
    <n v="15869.577119577099"/>
    <n v="57130.477630477602"/>
  </r>
  <r>
    <x v="0"/>
    <x v="0"/>
    <x v="0"/>
    <x v="1"/>
    <x v="2"/>
    <s v="EE_Industry"/>
    <x v="13"/>
    <x v="99"/>
    <x v="0"/>
    <x v="6"/>
    <n v="43.478293478293502"/>
    <n v="15869.577119577099"/>
    <n v="57130.477630477602"/>
  </r>
  <r>
    <x v="0"/>
    <x v="0"/>
    <x v="0"/>
    <x v="1"/>
    <x v="2"/>
    <s v="EE_Industry"/>
    <x v="13"/>
    <x v="99"/>
    <x v="0"/>
    <x v="7"/>
    <n v="43.478293478293502"/>
    <n v="15869.577119577099"/>
    <n v="57130.477630477602"/>
  </r>
  <r>
    <x v="0"/>
    <x v="0"/>
    <x v="0"/>
    <x v="1"/>
    <x v="2"/>
    <s v="EE_Industry"/>
    <x v="13"/>
    <x v="99"/>
    <x v="0"/>
    <x v="8"/>
    <n v="43.478293478293502"/>
    <n v="15869.577119577099"/>
    <n v="57130.477630477602"/>
  </r>
  <r>
    <x v="0"/>
    <x v="0"/>
    <x v="0"/>
    <x v="1"/>
    <x v="2"/>
    <s v="EE_Industry"/>
    <x v="13"/>
    <x v="99"/>
    <x v="0"/>
    <x v="9"/>
    <n v="43.478293478293502"/>
    <n v="15869.577119577099"/>
    <n v="57130.477630477602"/>
  </r>
  <r>
    <x v="0"/>
    <x v="0"/>
    <x v="0"/>
    <x v="1"/>
    <x v="2"/>
    <s v="EE_Industry"/>
    <x v="13"/>
    <x v="99"/>
    <x v="0"/>
    <x v="10"/>
    <n v="43.478293478293502"/>
    <n v="15869.577119577099"/>
    <n v="57130.477630477602"/>
  </r>
  <r>
    <x v="0"/>
    <x v="0"/>
    <x v="0"/>
    <x v="1"/>
    <x v="2"/>
    <s v="EE_Industry"/>
    <x v="13"/>
    <x v="99"/>
    <x v="0"/>
    <x v="11"/>
    <n v="43.478293478293502"/>
    <n v="15869.577119577099"/>
    <n v="57130.477630477602"/>
  </r>
  <r>
    <x v="0"/>
    <x v="0"/>
    <x v="0"/>
    <x v="1"/>
    <x v="2"/>
    <s v="EE_Industry"/>
    <x v="13"/>
    <x v="99"/>
    <x v="0"/>
    <x v="12"/>
    <n v="43.478293478293502"/>
    <n v="15869.577119577099"/>
    <n v="57130.477630477602"/>
  </r>
  <r>
    <x v="0"/>
    <x v="0"/>
    <x v="0"/>
    <x v="1"/>
    <x v="2"/>
    <s v="EE_Industry"/>
    <x v="13"/>
    <x v="99"/>
    <x v="0"/>
    <x v="13"/>
    <n v="43.478293478293502"/>
    <n v="15869.577119577099"/>
    <n v="57130.477630477602"/>
  </r>
  <r>
    <x v="0"/>
    <x v="0"/>
    <x v="0"/>
    <x v="1"/>
    <x v="2"/>
    <s v="EE_Industry"/>
    <x v="13"/>
    <x v="99"/>
    <x v="0"/>
    <x v="14"/>
    <n v="43.478293478293502"/>
    <n v="15869.577119577099"/>
    <n v="57130.477630477602"/>
  </r>
  <r>
    <x v="0"/>
    <x v="0"/>
    <x v="0"/>
    <x v="1"/>
    <x v="2"/>
    <s v="EE_Industry"/>
    <x v="13"/>
    <x v="99"/>
    <x v="0"/>
    <x v="15"/>
    <n v="43.478293478293502"/>
    <n v="15869.577119577099"/>
    <n v="57130.477630477602"/>
  </r>
  <r>
    <x v="0"/>
    <x v="0"/>
    <x v="0"/>
    <x v="1"/>
    <x v="2"/>
    <s v="EE_Industry"/>
    <x v="13"/>
    <x v="99"/>
    <x v="0"/>
    <x v="16"/>
    <n v="43.478293478293502"/>
    <n v="15869.577119577099"/>
    <n v="57130.477630477602"/>
  </r>
  <r>
    <x v="0"/>
    <x v="0"/>
    <x v="0"/>
    <x v="1"/>
    <x v="2"/>
    <s v="EE_Industry"/>
    <x v="13"/>
    <x v="99"/>
    <x v="0"/>
    <x v="17"/>
    <n v="43.478293478293502"/>
    <n v="15869.577119577099"/>
    <n v="57130.477630477602"/>
  </r>
  <r>
    <x v="0"/>
    <x v="0"/>
    <x v="0"/>
    <x v="1"/>
    <x v="2"/>
    <s v="EE_Industry"/>
    <x v="13"/>
    <x v="99"/>
    <x v="0"/>
    <x v="18"/>
    <n v="43.478293478293502"/>
    <n v="15869.577119577099"/>
    <n v="57130.477630477602"/>
  </r>
  <r>
    <x v="0"/>
    <x v="0"/>
    <x v="0"/>
    <x v="1"/>
    <x v="2"/>
    <s v="EE_Industry"/>
    <x v="13"/>
    <x v="99"/>
    <x v="0"/>
    <x v="19"/>
    <n v="43.478293478293502"/>
    <n v="15869.577119577099"/>
    <n v="57130.477630477602"/>
  </r>
  <r>
    <x v="0"/>
    <x v="0"/>
    <x v="0"/>
    <x v="1"/>
    <x v="2"/>
    <s v="EE_Industry"/>
    <x v="13"/>
    <x v="99"/>
    <x v="0"/>
    <x v="20"/>
    <n v="43.478293478293502"/>
    <n v="15869.577119577099"/>
    <n v="57130.477630477602"/>
  </r>
  <r>
    <x v="0"/>
    <x v="0"/>
    <x v="0"/>
    <x v="1"/>
    <x v="2"/>
    <s v="EE_Industry"/>
    <x v="13"/>
    <x v="99"/>
    <x v="0"/>
    <x v="21"/>
    <n v="43.478293478293502"/>
    <n v="15869.577119577099"/>
    <n v="57130.477630477602"/>
  </r>
  <r>
    <x v="0"/>
    <x v="0"/>
    <x v="0"/>
    <x v="1"/>
    <x v="2"/>
    <s v="EE_Industry"/>
    <x v="13"/>
    <x v="99"/>
    <x v="0"/>
    <x v="22"/>
    <n v="43.478293478293502"/>
    <n v="15869.577119577099"/>
    <n v="57130.477630477602"/>
  </r>
  <r>
    <x v="0"/>
    <x v="0"/>
    <x v="0"/>
    <x v="1"/>
    <x v="2"/>
    <s v="EE_Industry"/>
    <x v="13"/>
    <x v="99"/>
    <x v="0"/>
    <x v="23"/>
    <n v="43.478293478293502"/>
    <n v="15869.577119577099"/>
    <n v="57130.477630477602"/>
  </r>
  <r>
    <x v="0"/>
    <x v="0"/>
    <x v="0"/>
    <x v="1"/>
    <x v="2"/>
    <s v="EE_Industry"/>
    <x v="11"/>
    <x v="100"/>
    <x v="0"/>
    <x v="0"/>
    <n v="106.60377358490599"/>
    <n v="38910.377358490601"/>
    <n v="140077.358490566"/>
  </r>
  <r>
    <x v="0"/>
    <x v="0"/>
    <x v="0"/>
    <x v="1"/>
    <x v="2"/>
    <s v="EE_Industry"/>
    <x v="11"/>
    <x v="100"/>
    <x v="0"/>
    <x v="1"/>
    <n v="106.60377358490599"/>
    <n v="38910.377358490601"/>
    <n v="140077.358490566"/>
  </r>
  <r>
    <x v="0"/>
    <x v="0"/>
    <x v="0"/>
    <x v="1"/>
    <x v="2"/>
    <s v="EE_Industry"/>
    <x v="11"/>
    <x v="100"/>
    <x v="0"/>
    <x v="2"/>
    <n v="106.60377358490599"/>
    <n v="38910.377358490601"/>
    <n v="140077.358490566"/>
  </r>
  <r>
    <x v="0"/>
    <x v="0"/>
    <x v="0"/>
    <x v="1"/>
    <x v="2"/>
    <s v="EE_Industry"/>
    <x v="11"/>
    <x v="100"/>
    <x v="0"/>
    <x v="3"/>
    <n v="106.60377358490599"/>
    <n v="38910.377358490601"/>
    <n v="140077.358490566"/>
  </r>
  <r>
    <x v="0"/>
    <x v="0"/>
    <x v="0"/>
    <x v="1"/>
    <x v="2"/>
    <s v="EE_Industry"/>
    <x v="11"/>
    <x v="100"/>
    <x v="0"/>
    <x v="4"/>
    <n v="106.60377358490599"/>
    <n v="38910.377358490601"/>
    <n v="140077.358490566"/>
  </r>
  <r>
    <x v="0"/>
    <x v="0"/>
    <x v="0"/>
    <x v="1"/>
    <x v="2"/>
    <s v="EE_Industry"/>
    <x v="11"/>
    <x v="100"/>
    <x v="0"/>
    <x v="5"/>
    <n v="106.60377358490599"/>
    <n v="38910.377358490601"/>
    <n v="140077.358490566"/>
  </r>
  <r>
    <x v="0"/>
    <x v="0"/>
    <x v="0"/>
    <x v="1"/>
    <x v="2"/>
    <s v="EE_Industry"/>
    <x v="11"/>
    <x v="100"/>
    <x v="0"/>
    <x v="6"/>
    <n v="106.60377358490599"/>
    <n v="38910.377358490601"/>
    <n v="140077.358490566"/>
  </r>
  <r>
    <x v="0"/>
    <x v="0"/>
    <x v="0"/>
    <x v="1"/>
    <x v="2"/>
    <s v="EE_Industry"/>
    <x v="11"/>
    <x v="100"/>
    <x v="0"/>
    <x v="7"/>
    <n v="106.60377358490599"/>
    <n v="38910.377358490601"/>
    <n v="140077.358490566"/>
  </r>
  <r>
    <x v="0"/>
    <x v="0"/>
    <x v="0"/>
    <x v="1"/>
    <x v="2"/>
    <s v="EE_Industry"/>
    <x v="11"/>
    <x v="100"/>
    <x v="0"/>
    <x v="8"/>
    <n v="106.60377358490599"/>
    <n v="38910.377358490601"/>
    <n v="140077.358490566"/>
  </r>
  <r>
    <x v="0"/>
    <x v="0"/>
    <x v="0"/>
    <x v="1"/>
    <x v="2"/>
    <s v="EE_Industry"/>
    <x v="11"/>
    <x v="100"/>
    <x v="0"/>
    <x v="9"/>
    <n v="106.60377358490599"/>
    <n v="38910.377358490601"/>
    <n v="140077.358490566"/>
  </r>
  <r>
    <x v="0"/>
    <x v="0"/>
    <x v="0"/>
    <x v="1"/>
    <x v="2"/>
    <s v="EE_Industry"/>
    <x v="11"/>
    <x v="100"/>
    <x v="0"/>
    <x v="10"/>
    <n v="106.60377358490599"/>
    <n v="38910.377358490601"/>
    <n v="140077.358490566"/>
  </r>
  <r>
    <x v="0"/>
    <x v="0"/>
    <x v="0"/>
    <x v="1"/>
    <x v="2"/>
    <s v="EE_Industry"/>
    <x v="11"/>
    <x v="100"/>
    <x v="0"/>
    <x v="11"/>
    <n v="106.60377358490599"/>
    <n v="38910.377358490601"/>
    <n v="140077.358490566"/>
  </r>
  <r>
    <x v="0"/>
    <x v="0"/>
    <x v="0"/>
    <x v="1"/>
    <x v="2"/>
    <s v="EE_Industry"/>
    <x v="11"/>
    <x v="100"/>
    <x v="0"/>
    <x v="12"/>
    <n v="106.60377358490599"/>
    <n v="38910.377358490601"/>
    <n v="140077.358490566"/>
  </r>
  <r>
    <x v="0"/>
    <x v="0"/>
    <x v="0"/>
    <x v="1"/>
    <x v="2"/>
    <s v="EE_Industry"/>
    <x v="11"/>
    <x v="100"/>
    <x v="0"/>
    <x v="13"/>
    <n v="106.60377358490599"/>
    <n v="38910.377358490601"/>
    <n v="140077.358490566"/>
  </r>
  <r>
    <x v="0"/>
    <x v="0"/>
    <x v="0"/>
    <x v="1"/>
    <x v="2"/>
    <s v="EE_Industry"/>
    <x v="11"/>
    <x v="100"/>
    <x v="0"/>
    <x v="14"/>
    <n v="106.60377358490599"/>
    <n v="38910.377358490601"/>
    <n v="140077.358490566"/>
  </r>
  <r>
    <x v="0"/>
    <x v="0"/>
    <x v="0"/>
    <x v="1"/>
    <x v="2"/>
    <s v="EE_Industry"/>
    <x v="11"/>
    <x v="100"/>
    <x v="0"/>
    <x v="15"/>
    <n v="106.60377358490599"/>
    <n v="38910.377358490601"/>
    <n v="140077.358490566"/>
  </r>
  <r>
    <x v="0"/>
    <x v="0"/>
    <x v="0"/>
    <x v="1"/>
    <x v="2"/>
    <s v="EE_Industry"/>
    <x v="11"/>
    <x v="100"/>
    <x v="0"/>
    <x v="16"/>
    <n v="106.60377358490599"/>
    <n v="38910.377358490601"/>
    <n v="140077.358490566"/>
  </r>
  <r>
    <x v="0"/>
    <x v="0"/>
    <x v="0"/>
    <x v="1"/>
    <x v="2"/>
    <s v="EE_Industry"/>
    <x v="11"/>
    <x v="100"/>
    <x v="0"/>
    <x v="17"/>
    <n v="106.60377358490599"/>
    <n v="38910.377358490601"/>
    <n v="140077.358490566"/>
  </r>
  <r>
    <x v="0"/>
    <x v="0"/>
    <x v="0"/>
    <x v="1"/>
    <x v="2"/>
    <s v="EE_Industry"/>
    <x v="11"/>
    <x v="100"/>
    <x v="0"/>
    <x v="18"/>
    <n v="106.60377358490599"/>
    <n v="38910.377358490601"/>
    <n v="140077.358490566"/>
  </r>
  <r>
    <x v="0"/>
    <x v="0"/>
    <x v="0"/>
    <x v="1"/>
    <x v="2"/>
    <s v="EE_Industry"/>
    <x v="11"/>
    <x v="100"/>
    <x v="0"/>
    <x v="19"/>
    <n v="106.60377358490599"/>
    <n v="38910.377358490601"/>
    <n v="140077.358490566"/>
  </r>
  <r>
    <x v="0"/>
    <x v="0"/>
    <x v="0"/>
    <x v="1"/>
    <x v="2"/>
    <s v="EE_Industry"/>
    <x v="11"/>
    <x v="100"/>
    <x v="0"/>
    <x v="20"/>
    <n v="106.60377358490599"/>
    <n v="38910.377358490601"/>
    <n v="140077.358490566"/>
  </r>
  <r>
    <x v="0"/>
    <x v="0"/>
    <x v="0"/>
    <x v="1"/>
    <x v="2"/>
    <s v="EE_Industry"/>
    <x v="11"/>
    <x v="100"/>
    <x v="0"/>
    <x v="21"/>
    <n v="106.60377358490599"/>
    <n v="38910.377358490601"/>
    <n v="140077.358490566"/>
  </r>
  <r>
    <x v="0"/>
    <x v="0"/>
    <x v="0"/>
    <x v="1"/>
    <x v="2"/>
    <s v="EE_Industry"/>
    <x v="11"/>
    <x v="100"/>
    <x v="0"/>
    <x v="22"/>
    <n v="106.60377358490599"/>
    <n v="38910.377358490601"/>
    <n v="140077.358490566"/>
  </r>
  <r>
    <x v="0"/>
    <x v="0"/>
    <x v="0"/>
    <x v="1"/>
    <x v="2"/>
    <s v="EE_Industry"/>
    <x v="11"/>
    <x v="100"/>
    <x v="0"/>
    <x v="23"/>
    <n v="106.60377358490599"/>
    <n v="38910.377358490601"/>
    <n v="140077.358490566"/>
  </r>
  <r>
    <x v="0"/>
    <x v="0"/>
    <x v="0"/>
    <x v="1"/>
    <x v="2"/>
    <s v="EE_Kohtla_Jarve"/>
    <x v="3"/>
    <x v="101"/>
    <x v="0"/>
    <x v="0"/>
    <n v="31.406195667197"/>
    <n v="11463.261418526899"/>
    <n v="41267.7411066969"/>
  </r>
  <r>
    <x v="0"/>
    <x v="0"/>
    <x v="0"/>
    <x v="1"/>
    <x v="2"/>
    <s v="EE_Kohtla_Jarve"/>
    <x v="3"/>
    <x v="101"/>
    <x v="0"/>
    <x v="1"/>
    <n v="31.738393942415701"/>
    <n v="11584.5137889817"/>
    <n v="41704.249640334201"/>
  </r>
  <r>
    <x v="0"/>
    <x v="0"/>
    <x v="0"/>
    <x v="1"/>
    <x v="2"/>
    <s v="EE_Kohtla_Jarve"/>
    <x v="3"/>
    <x v="101"/>
    <x v="0"/>
    <x v="2"/>
    <n v="31.842205903421501"/>
    <n v="11622.4051547488"/>
    <n v="41840.658557095798"/>
  </r>
  <r>
    <x v="0"/>
    <x v="0"/>
    <x v="0"/>
    <x v="1"/>
    <x v="2"/>
    <s v="EE_Kohtla_Jarve"/>
    <x v="3"/>
    <x v="101"/>
    <x v="0"/>
    <x v="3"/>
    <n v="31.530770020403999"/>
    <n v="11508.7310574475"/>
    <n v="41431.431806810797"/>
  </r>
  <r>
    <x v="0"/>
    <x v="0"/>
    <x v="0"/>
    <x v="1"/>
    <x v="2"/>
    <s v="EE_Kohtla_Jarve"/>
    <x v="3"/>
    <x v="101"/>
    <x v="0"/>
    <x v="4"/>
    <n v="30.845611077765501"/>
    <n v="11258.648043384401"/>
    <n v="40531.132956183901"/>
  </r>
  <r>
    <x v="0"/>
    <x v="0"/>
    <x v="0"/>
    <x v="1"/>
    <x v="2"/>
    <s v="EE_Kohtla_Jarve"/>
    <x v="3"/>
    <x v="101"/>
    <x v="0"/>
    <x v="5"/>
    <n v="29.8490162521096"/>
    <n v="10894.89093202"/>
    <n v="39221.607355272099"/>
  </r>
  <r>
    <x v="0"/>
    <x v="0"/>
    <x v="0"/>
    <x v="1"/>
    <x v="2"/>
    <s v="EE_Kohtla_Jarve"/>
    <x v="3"/>
    <x v="101"/>
    <x v="0"/>
    <x v="6"/>
    <n v="28.582510327838602"/>
    <n v="10432.616269661101"/>
    <n v="37557.418570779897"/>
  </r>
  <r>
    <x v="0"/>
    <x v="0"/>
    <x v="0"/>
    <x v="1"/>
    <x v="2"/>
    <s v="EE_Kohtla_Jarve"/>
    <x v="3"/>
    <x v="101"/>
    <x v="0"/>
    <x v="7"/>
    <n v="27.025330912751201"/>
    <n v="9864.2457831541906"/>
    <n v="35511.284819355104"/>
  </r>
  <r>
    <x v="0"/>
    <x v="0"/>
    <x v="0"/>
    <x v="1"/>
    <x v="2"/>
    <s v="EE_Kohtla_Jarve"/>
    <x v="3"/>
    <x v="101"/>
    <x v="0"/>
    <x v="8"/>
    <n v="25.675775419675499"/>
    <n v="9371.6580281815604"/>
    <n v="33737.968901453598"/>
  </r>
  <r>
    <x v="0"/>
    <x v="0"/>
    <x v="0"/>
    <x v="1"/>
    <x v="2"/>
    <s v="EE_Kohtla_Jarve"/>
    <x v="3"/>
    <x v="101"/>
    <x v="0"/>
    <x v="9"/>
    <n v="24.450794279806701"/>
    <n v="8924.5399121294595"/>
    <n v="32128.343683666099"/>
  </r>
  <r>
    <x v="0"/>
    <x v="0"/>
    <x v="0"/>
    <x v="1"/>
    <x v="2"/>
    <s v="EE_Kohtla_Jarve"/>
    <x v="3"/>
    <x v="101"/>
    <x v="0"/>
    <x v="10"/>
    <n v="23.350387493145"/>
    <n v="8522.8914349979295"/>
    <n v="30682.4091659925"/>
  </r>
  <r>
    <x v="0"/>
    <x v="0"/>
    <x v="0"/>
    <x v="1"/>
    <x v="2"/>
    <s v="EE_Kohtla_Jarve"/>
    <x v="3"/>
    <x v="101"/>
    <x v="0"/>
    <x v="11"/>
    <n v="22.436842236293799"/>
    <n v="8189.4474162472297"/>
    <n v="29482.010698490001"/>
  </r>
  <r>
    <x v="0"/>
    <x v="0"/>
    <x v="0"/>
    <x v="1"/>
    <x v="2"/>
    <s v="EE_Kohtla_Jarve"/>
    <x v="3"/>
    <x v="101"/>
    <x v="0"/>
    <x v="12"/>
    <n v="21.647871332649501"/>
    <n v="7901.47303641707"/>
    <n v="28445.3029311014"/>
  </r>
  <r>
    <x v="0"/>
    <x v="0"/>
    <x v="0"/>
    <x v="1"/>
    <x v="2"/>
    <s v="EE_Kohtla_Jarve"/>
    <x v="3"/>
    <x v="101"/>
    <x v="0"/>
    <x v="13"/>
    <n v="21.004237174413401"/>
    <n v="7666.5465686609004"/>
    <n v="27599.567647179199"/>
  </r>
  <r>
    <x v="0"/>
    <x v="0"/>
    <x v="0"/>
    <x v="1"/>
    <x v="2"/>
    <s v="EE_Kohtla_Jarve"/>
    <x v="3"/>
    <x v="101"/>
    <x v="0"/>
    <x v="14"/>
    <n v="20.609751722591199"/>
    <n v="7522.5593787458001"/>
    <n v="27081.213763484899"/>
  </r>
  <r>
    <x v="0"/>
    <x v="0"/>
    <x v="0"/>
    <x v="1"/>
    <x v="2"/>
    <s v="EE_Kohtla_Jarve"/>
    <x v="3"/>
    <x v="101"/>
    <x v="0"/>
    <x v="15"/>
    <n v="20.319078231774998"/>
    <n v="7416.4635545978699"/>
    <n v="26699.2687965523"/>
  </r>
  <r>
    <x v="0"/>
    <x v="0"/>
    <x v="0"/>
    <x v="1"/>
    <x v="2"/>
    <s v="EE_Kohtla_Jarve"/>
    <x v="3"/>
    <x v="101"/>
    <x v="0"/>
    <x v="16"/>
    <n v="20.069929525360902"/>
    <n v="7325.5242767567397"/>
    <n v="26371.887396324299"/>
  </r>
  <r>
    <x v="0"/>
    <x v="0"/>
    <x v="0"/>
    <x v="1"/>
    <x v="2"/>
    <s v="EE_Kohtla_Jarve"/>
    <x v="3"/>
    <x v="101"/>
    <x v="0"/>
    <x v="17"/>
    <n v="19.8415432111481"/>
    <n v="7242.1632720690704"/>
    <n v="26071.787779448601"/>
  </r>
  <r>
    <x v="0"/>
    <x v="0"/>
    <x v="0"/>
    <x v="1"/>
    <x v="2"/>
    <s v="EE_Kohtla_Jarve"/>
    <x v="3"/>
    <x v="101"/>
    <x v="0"/>
    <x v="18"/>
    <n v="19.592394504734202"/>
    <n v="7151.2239942279703"/>
    <n v="25744.406379220702"/>
  </r>
  <r>
    <x v="0"/>
    <x v="0"/>
    <x v="0"/>
    <x v="1"/>
    <x v="2"/>
    <s v="EE_Kohtla_Jarve"/>
    <x v="3"/>
    <x v="101"/>
    <x v="0"/>
    <x v="19"/>
    <n v="19.301721013917899"/>
    <n v="7045.12817008004"/>
    <n v="25362.461412288099"/>
  </r>
  <r>
    <x v="0"/>
    <x v="0"/>
    <x v="0"/>
    <x v="1"/>
    <x v="2"/>
    <s v="EE_Kohtla_Jarve"/>
    <x v="3"/>
    <x v="101"/>
    <x v="0"/>
    <x v="20"/>
    <n v="19.052572307503802"/>
    <n v="6954.1888922388998"/>
    <n v="25035.080012060102"/>
  </r>
  <r>
    <x v="0"/>
    <x v="0"/>
    <x v="0"/>
    <x v="1"/>
    <x v="2"/>
    <s v="EE_Kohtla_Jarve"/>
    <x v="3"/>
    <x v="101"/>
    <x v="0"/>
    <x v="21"/>
    <n v="18.8034236010899"/>
    <n v="6863.2496143978096"/>
    <n v="24707.6986118321"/>
  </r>
  <r>
    <x v="0"/>
    <x v="0"/>
    <x v="0"/>
    <x v="1"/>
    <x v="2"/>
    <s v="EE_Kohtla_Jarve"/>
    <x v="3"/>
    <x v="101"/>
    <x v="0"/>
    <x v="22"/>
    <n v="18.6165620712795"/>
    <n v="6795.0451560170004"/>
    <n v="24462.1625616612"/>
  </r>
  <r>
    <x v="0"/>
    <x v="0"/>
    <x v="0"/>
    <x v="1"/>
    <x v="2"/>
    <s v="EE_Kohtla_Jarve"/>
    <x v="3"/>
    <x v="101"/>
    <x v="0"/>
    <x v="23"/>
    <n v="18.554274894675899"/>
    <n v="6772.3103365567104"/>
    <n v="24380.317211604099"/>
  </r>
  <r>
    <x v="0"/>
    <x v="0"/>
    <x v="0"/>
    <x v="1"/>
    <x v="2"/>
    <s v="EE_Kohtla_Jarve"/>
    <x v="3"/>
    <x v="102"/>
    <x v="0"/>
    <x v="0"/>
    <n v="36.3228242016121"/>
    <n v="13257.830833588399"/>
    <n v="47728.191000918298"/>
  </r>
  <r>
    <x v="0"/>
    <x v="0"/>
    <x v="0"/>
    <x v="1"/>
    <x v="2"/>
    <s v="EE_Kohtla_Jarve"/>
    <x v="3"/>
    <x v="102"/>
    <x v="0"/>
    <x v="1"/>
    <n v="36.3228242016121"/>
    <n v="13257.830833588399"/>
    <n v="47728.191000918298"/>
  </r>
  <r>
    <x v="0"/>
    <x v="0"/>
    <x v="0"/>
    <x v="1"/>
    <x v="2"/>
    <s v="EE_Kohtla_Jarve"/>
    <x v="3"/>
    <x v="102"/>
    <x v="0"/>
    <x v="2"/>
    <n v="36.3228242016121"/>
    <n v="13257.830833588399"/>
    <n v="47728.191000918298"/>
  </r>
  <r>
    <x v="0"/>
    <x v="0"/>
    <x v="0"/>
    <x v="1"/>
    <x v="2"/>
    <s v="EE_Kohtla_Jarve"/>
    <x v="3"/>
    <x v="102"/>
    <x v="0"/>
    <x v="3"/>
    <n v="36.3228242016121"/>
    <n v="13257.830833588399"/>
    <n v="47728.191000918298"/>
  </r>
  <r>
    <x v="0"/>
    <x v="0"/>
    <x v="0"/>
    <x v="1"/>
    <x v="2"/>
    <s v="EE_Kohtla_Jarve"/>
    <x v="3"/>
    <x v="102"/>
    <x v="0"/>
    <x v="4"/>
    <n v="36.3228242016121"/>
    <n v="13257.830833588399"/>
    <n v="47728.191000918298"/>
  </r>
  <r>
    <x v="0"/>
    <x v="0"/>
    <x v="0"/>
    <x v="1"/>
    <x v="2"/>
    <s v="EE_Kohtla_Jarve"/>
    <x v="3"/>
    <x v="102"/>
    <x v="0"/>
    <x v="5"/>
    <n v="36.3228242016121"/>
    <n v="13257.830833588399"/>
    <n v="47728.191000918298"/>
  </r>
  <r>
    <x v="0"/>
    <x v="0"/>
    <x v="0"/>
    <x v="1"/>
    <x v="2"/>
    <s v="EE_Kohtla_Jarve"/>
    <x v="3"/>
    <x v="102"/>
    <x v="0"/>
    <x v="6"/>
    <n v="36.3228242016121"/>
    <n v="13257.830833588399"/>
    <n v="47728.191000918298"/>
  </r>
  <r>
    <x v="0"/>
    <x v="0"/>
    <x v="0"/>
    <x v="1"/>
    <x v="2"/>
    <s v="EE_Kohtla_Jarve"/>
    <x v="3"/>
    <x v="102"/>
    <x v="0"/>
    <x v="7"/>
    <n v="36.3228242016121"/>
    <n v="13257.830833588399"/>
    <n v="47728.191000918298"/>
  </r>
  <r>
    <x v="0"/>
    <x v="0"/>
    <x v="0"/>
    <x v="1"/>
    <x v="2"/>
    <s v="EE_Kohtla_Jarve"/>
    <x v="3"/>
    <x v="102"/>
    <x v="0"/>
    <x v="8"/>
    <n v="36.3228242016121"/>
    <n v="13257.830833588399"/>
    <n v="47728.191000918298"/>
  </r>
  <r>
    <x v="0"/>
    <x v="0"/>
    <x v="0"/>
    <x v="1"/>
    <x v="2"/>
    <s v="EE_Kohtla_Jarve"/>
    <x v="3"/>
    <x v="102"/>
    <x v="0"/>
    <x v="9"/>
    <n v="36.3228242016121"/>
    <n v="13257.830833588399"/>
    <n v="47728.191000918298"/>
  </r>
  <r>
    <x v="0"/>
    <x v="0"/>
    <x v="0"/>
    <x v="1"/>
    <x v="2"/>
    <s v="EE_Kohtla_Jarve"/>
    <x v="3"/>
    <x v="102"/>
    <x v="0"/>
    <x v="10"/>
    <n v="36.3228242016121"/>
    <n v="13257.830833588399"/>
    <n v="47728.191000918298"/>
  </r>
  <r>
    <x v="0"/>
    <x v="0"/>
    <x v="0"/>
    <x v="1"/>
    <x v="2"/>
    <s v="EE_Kohtla_Jarve"/>
    <x v="3"/>
    <x v="102"/>
    <x v="0"/>
    <x v="11"/>
    <n v="36.3228242016121"/>
    <n v="13257.830833588399"/>
    <n v="47728.191000918298"/>
  </r>
  <r>
    <x v="0"/>
    <x v="0"/>
    <x v="0"/>
    <x v="1"/>
    <x v="2"/>
    <s v="EE_Kohtla_Jarve"/>
    <x v="3"/>
    <x v="102"/>
    <x v="0"/>
    <x v="12"/>
    <n v="36.3228242016121"/>
    <n v="13257.830833588399"/>
    <n v="47728.191000918298"/>
  </r>
  <r>
    <x v="0"/>
    <x v="0"/>
    <x v="0"/>
    <x v="1"/>
    <x v="2"/>
    <s v="EE_Kohtla_Jarve"/>
    <x v="3"/>
    <x v="102"/>
    <x v="0"/>
    <x v="13"/>
    <n v="36.3228242016121"/>
    <n v="13257.830833588399"/>
    <n v="47728.191000918298"/>
  </r>
  <r>
    <x v="0"/>
    <x v="0"/>
    <x v="0"/>
    <x v="1"/>
    <x v="2"/>
    <s v="EE_Kohtla_Jarve"/>
    <x v="3"/>
    <x v="102"/>
    <x v="0"/>
    <x v="14"/>
    <n v="36.3228242016121"/>
    <n v="13257.830833588399"/>
    <n v="47728.191000918298"/>
  </r>
  <r>
    <x v="0"/>
    <x v="0"/>
    <x v="0"/>
    <x v="1"/>
    <x v="2"/>
    <s v="EE_Kohtla_Jarve"/>
    <x v="3"/>
    <x v="102"/>
    <x v="0"/>
    <x v="15"/>
    <n v="36.3228242016121"/>
    <n v="13257.830833588399"/>
    <n v="47728.191000918298"/>
  </r>
  <r>
    <x v="0"/>
    <x v="0"/>
    <x v="0"/>
    <x v="1"/>
    <x v="2"/>
    <s v="EE_Kohtla_Jarve"/>
    <x v="3"/>
    <x v="102"/>
    <x v="0"/>
    <x v="16"/>
    <n v="36.3228242016121"/>
    <n v="13257.830833588399"/>
    <n v="47728.191000918298"/>
  </r>
  <r>
    <x v="0"/>
    <x v="0"/>
    <x v="0"/>
    <x v="1"/>
    <x v="2"/>
    <s v="EE_Kohtla_Jarve"/>
    <x v="3"/>
    <x v="102"/>
    <x v="0"/>
    <x v="17"/>
    <n v="36.3228242016121"/>
    <n v="13257.830833588399"/>
    <n v="47728.191000918298"/>
  </r>
  <r>
    <x v="0"/>
    <x v="0"/>
    <x v="0"/>
    <x v="1"/>
    <x v="2"/>
    <s v="EE_Kohtla_Jarve"/>
    <x v="3"/>
    <x v="102"/>
    <x v="0"/>
    <x v="18"/>
    <n v="36.3228242016121"/>
    <n v="13257.830833588399"/>
    <n v="47728.191000918298"/>
  </r>
  <r>
    <x v="0"/>
    <x v="0"/>
    <x v="0"/>
    <x v="1"/>
    <x v="2"/>
    <s v="EE_Kohtla_Jarve"/>
    <x v="3"/>
    <x v="102"/>
    <x v="0"/>
    <x v="19"/>
    <n v="36.3228242016121"/>
    <n v="13257.830833588399"/>
    <n v="47728.191000918298"/>
  </r>
  <r>
    <x v="0"/>
    <x v="0"/>
    <x v="0"/>
    <x v="1"/>
    <x v="2"/>
    <s v="EE_Kohtla_Jarve"/>
    <x v="3"/>
    <x v="102"/>
    <x v="0"/>
    <x v="20"/>
    <n v="36.3228242016121"/>
    <n v="13257.830833588399"/>
    <n v="47728.191000918298"/>
  </r>
  <r>
    <x v="0"/>
    <x v="0"/>
    <x v="0"/>
    <x v="1"/>
    <x v="2"/>
    <s v="EE_Kohtla_Jarve"/>
    <x v="3"/>
    <x v="102"/>
    <x v="0"/>
    <x v="21"/>
    <n v="36.3228242016121"/>
    <n v="13257.830833588399"/>
    <n v="47728.191000918298"/>
  </r>
  <r>
    <x v="0"/>
    <x v="0"/>
    <x v="0"/>
    <x v="1"/>
    <x v="2"/>
    <s v="EE_Kohtla_Jarve"/>
    <x v="3"/>
    <x v="102"/>
    <x v="0"/>
    <x v="22"/>
    <n v="36.3228242016121"/>
    <n v="13257.830833588399"/>
    <n v="47728.191000918298"/>
  </r>
  <r>
    <x v="0"/>
    <x v="0"/>
    <x v="0"/>
    <x v="1"/>
    <x v="2"/>
    <s v="EE_Kohtla_Jarve"/>
    <x v="3"/>
    <x v="102"/>
    <x v="0"/>
    <x v="23"/>
    <n v="36.3228242016121"/>
    <n v="13257.830833588399"/>
    <n v="47728.191000918298"/>
  </r>
  <r>
    <x v="0"/>
    <x v="0"/>
    <x v="0"/>
    <x v="1"/>
    <x v="2"/>
    <s v="EE_Narva"/>
    <x v="14"/>
    <x v="103"/>
    <x v="0"/>
    <x v="0"/>
    <n v="67.2470588235294"/>
    <n v="24545.176470588201"/>
    <n v="88362.635294117703"/>
  </r>
  <r>
    <x v="0"/>
    <x v="0"/>
    <x v="0"/>
    <x v="1"/>
    <x v="2"/>
    <s v="EE_Narva"/>
    <x v="14"/>
    <x v="103"/>
    <x v="0"/>
    <x v="1"/>
    <n v="67.2470588235294"/>
    <n v="24545.176470588201"/>
    <n v="88362.635294117703"/>
  </r>
  <r>
    <x v="0"/>
    <x v="0"/>
    <x v="0"/>
    <x v="1"/>
    <x v="2"/>
    <s v="EE_Narva"/>
    <x v="14"/>
    <x v="103"/>
    <x v="0"/>
    <x v="2"/>
    <n v="67.2470588235294"/>
    <n v="24545.176470588201"/>
    <n v="88362.635294117703"/>
  </r>
  <r>
    <x v="0"/>
    <x v="0"/>
    <x v="0"/>
    <x v="1"/>
    <x v="2"/>
    <s v="EE_Narva"/>
    <x v="14"/>
    <x v="103"/>
    <x v="0"/>
    <x v="3"/>
    <n v="67.2470588235294"/>
    <n v="24545.176470588201"/>
    <n v="88362.635294117703"/>
  </r>
  <r>
    <x v="0"/>
    <x v="0"/>
    <x v="0"/>
    <x v="1"/>
    <x v="2"/>
    <s v="EE_Narva"/>
    <x v="14"/>
    <x v="103"/>
    <x v="0"/>
    <x v="4"/>
    <n v="67.2470588235294"/>
    <n v="24545.176470588201"/>
    <n v="88362.635294117703"/>
  </r>
  <r>
    <x v="0"/>
    <x v="0"/>
    <x v="0"/>
    <x v="1"/>
    <x v="2"/>
    <s v="EE_Narva"/>
    <x v="14"/>
    <x v="103"/>
    <x v="0"/>
    <x v="5"/>
    <n v="67.2470588235294"/>
    <n v="24545.176470588201"/>
    <n v="88362.635294117703"/>
  </r>
  <r>
    <x v="0"/>
    <x v="0"/>
    <x v="0"/>
    <x v="1"/>
    <x v="2"/>
    <s v="EE_Narva"/>
    <x v="14"/>
    <x v="103"/>
    <x v="0"/>
    <x v="6"/>
    <n v="67.2470588235294"/>
    <n v="24545.176470588201"/>
    <n v="88362.635294117703"/>
  </r>
  <r>
    <x v="0"/>
    <x v="0"/>
    <x v="0"/>
    <x v="1"/>
    <x v="2"/>
    <s v="EE_Narva"/>
    <x v="14"/>
    <x v="103"/>
    <x v="0"/>
    <x v="7"/>
    <n v="67.2470588235294"/>
    <n v="24545.176470588201"/>
    <n v="88362.635294117703"/>
  </r>
  <r>
    <x v="0"/>
    <x v="0"/>
    <x v="0"/>
    <x v="1"/>
    <x v="2"/>
    <s v="EE_Narva"/>
    <x v="14"/>
    <x v="103"/>
    <x v="0"/>
    <x v="8"/>
    <n v="67.2470588235294"/>
    <n v="24545.176470588201"/>
    <n v="88362.635294117703"/>
  </r>
  <r>
    <x v="0"/>
    <x v="0"/>
    <x v="0"/>
    <x v="1"/>
    <x v="2"/>
    <s v="EE_Narva"/>
    <x v="14"/>
    <x v="103"/>
    <x v="0"/>
    <x v="9"/>
    <n v="67.218347637409906"/>
    <n v="24534.696887654602"/>
    <n v="88324.908795556606"/>
  </r>
  <r>
    <x v="0"/>
    <x v="0"/>
    <x v="0"/>
    <x v="1"/>
    <x v="2"/>
    <s v="EE_Narva"/>
    <x v="14"/>
    <x v="103"/>
    <x v="0"/>
    <x v="10"/>
    <n v="65.587879708447502"/>
    <n v="23939.576093583401"/>
    <n v="86182.473936900104"/>
  </r>
  <r>
    <x v="0"/>
    <x v="0"/>
    <x v="0"/>
    <x v="1"/>
    <x v="2"/>
    <s v="EE_Narva"/>
    <x v="14"/>
    <x v="103"/>
    <x v="0"/>
    <x v="11"/>
    <n v="64.234283691950495"/>
    <n v="23445.513547561899"/>
    <n v="84403.848771222998"/>
  </r>
  <r>
    <x v="0"/>
    <x v="0"/>
    <x v="0"/>
    <x v="1"/>
    <x v="2"/>
    <s v="EE_Narva"/>
    <x v="14"/>
    <x v="103"/>
    <x v="0"/>
    <x v="12"/>
    <n v="67.2470588235294"/>
    <n v="24545.176470588201"/>
    <n v="88362.635294117703"/>
  </r>
  <r>
    <x v="0"/>
    <x v="0"/>
    <x v="0"/>
    <x v="1"/>
    <x v="2"/>
    <s v="EE_Narva"/>
    <x v="14"/>
    <x v="103"/>
    <x v="0"/>
    <x v="13"/>
    <n v="64.929999963194206"/>
    <n v="23699.449986565902"/>
    <n v="85318.019951637107"/>
  </r>
  <r>
    <x v="0"/>
    <x v="0"/>
    <x v="0"/>
    <x v="1"/>
    <x v="2"/>
    <s v="EE_Narva"/>
    <x v="14"/>
    <x v="103"/>
    <x v="0"/>
    <x v="14"/>
    <n v="61.527091658956401"/>
    <n v="22457.3884555191"/>
    <n v="80846.5984398687"/>
  </r>
  <r>
    <x v="0"/>
    <x v="0"/>
    <x v="0"/>
    <x v="1"/>
    <x v="2"/>
    <s v="EE_Narva"/>
    <x v="14"/>
    <x v="103"/>
    <x v="0"/>
    <x v="15"/>
    <n v="67.2470588235294"/>
    <n v="24545.176470588201"/>
    <n v="88362.635294117703"/>
  </r>
  <r>
    <x v="0"/>
    <x v="0"/>
    <x v="0"/>
    <x v="1"/>
    <x v="2"/>
    <s v="EE_Narva"/>
    <x v="14"/>
    <x v="103"/>
    <x v="0"/>
    <x v="16"/>
    <n v="67.2470588235294"/>
    <n v="24545.176470588201"/>
    <n v="88362.635294117703"/>
  </r>
  <r>
    <x v="0"/>
    <x v="0"/>
    <x v="0"/>
    <x v="1"/>
    <x v="2"/>
    <s v="EE_Narva"/>
    <x v="14"/>
    <x v="103"/>
    <x v="0"/>
    <x v="17"/>
    <n v="67.2470588235294"/>
    <n v="24545.176470588201"/>
    <n v="88362.635294117703"/>
  </r>
  <r>
    <x v="0"/>
    <x v="0"/>
    <x v="0"/>
    <x v="1"/>
    <x v="2"/>
    <s v="EE_Narva"/>
    <x v="14"/>
    <x v="103"/>
    <x v="0"/>
    <x v="18"/>
    <n v="67.2470588235294"/>
    <n v="24545.176470588201"/>
    <n v="88362.635294117703"/>
  </r>
  <r>
    <x v="0"/>
    <x v="0"/>
    <x v="0"/>
    <x v="1"/>
    <x v="2"/>
    <s v="EE_Narva"/>
    <x v="14"/>
    <x v="103"/>
    <x v="0"/>
    <x v="19"/>
    <n v="67.2470588235294"/>
    <n v="24545.176470588201"/>
    <n v="88362.635294117703"/>
  </r>
  <r>
    <x v="0"/>
    <x v="0"/>
    <x v="0"/>
    <x v="1"/>
    <x v="2"/>
    <s v="EE_Narva"/>
    <x v="14"/>
    <x v="103"/>
    <x v="0"/>
    <x v="20"/>
    <n v="67.2470588235294"/>
    <n v="24545.176470588201"/>
    <n v="88362.635294117703"/>
  </r>
  <r>
    <x v="0"/>
    <x v="0"/>
    <x v="0"/>
    <x v="1"/>
    <x v="2"/>
    <s v="EE_Narva"/>
    <x v="14"/>
    <x v="103"/>
    <x v="0"/>
    <x v="21"/>
    <n v="67.2470588235294"/>
    <n v="24545.176470588201"/>
    <n v="88362.635294117703"/>
  </r>
  <r>
    <x v="0"/>
    <x v="0"/>
    <x v="0"/>
    <x v="1"/>
    <x v="2"/>
    <s v="EE_Narva"/>
    <x v="14"/>
    <x v="103"/>
    <x v="0"/>
    <x v="22"/>
    <n v="67.2470588235294"/>
    <n v="24545.176470588201"/>
    <n v="88362.635294117703"/>
  </r>
  <r>
    <x v="0"/>
    <x v="0"/>
    <x v="0"/>
    <x v="1"/>
    <x v="2"/>
    <s v="EE_Narva"/>
    <x v="14"/>
    <x v="103"/>
    <x v="0"/>
    <x v="23"/>
    <n v="67.2470588235294"/>
    <n v="24545.176470588201"/>
    <n v="88362.635294117703"/>
  </r>
  <r>
    <x v="0"/>
    <x v="0"/>
    <x v="0"/>
    <x v="1"/>
    <x v="2"/>
    <s v="EE_Parnu"/>
    <x v="0"/>
    <x v="96"/>
    <x v="0"/>
    <x v="0"/>
    <n v="0.260281103591879"/>
    <n v="95.002602811035899"/>
    <n v="342.009370119729"/>
  </r>
  <r>
    <x v="0"/>
    <x v="0"/>
    <x v="0"/>
    <x v="1"/>
    <x v="2"/>
    <s v="EE_Parnu"/>
    <x v="0"/>
    <x v="96"/>
    <x v="0"/>
    <x v="1"/>
    <n v="0.260281103591879"/>
    <n v="95.002602811035899"/>
    <n v="342.009370119729"/>
  </r>
  <r>
    <x v="0"/>
    <x v="0"/>
    <x v="0"/>
    <x v="1"/>
    <x v="2"/>
    <s v="EE_Parnu"/>
    <x v="0"/>
    <x v="96"/>
    <x v="0"/>
    <x v="2"/>
    <n v="0.260281103591879"/>
    <n v="95.002602811035899"/>
    <n v="342.009370119729"/>
  </r>
  <r>
    <x v="0"/>
    <x v="0"/>
    <x v="0"/>
    <x v="1"/>
    <x v="2"/>
    <s v="EE_Parnu"/>
    <x v="0"/>
    <x v="96"/>
    <x v="0"/>
    <x v="3"/>
    <n v="0.260281103591879"/>
    <n v="95.002602811035899"/>
    <n v="342.009370119729"/>
  </r>
  <r>
    <x v="0"/>
    <x v="0"/>
    <x v="0"/>
    <x v="1"/>
    <x v="2"/>
    <s v="EE_Parnu"/>
    <x v="0"/>
    <x v="96"/>
    <x v="0"/>
    <x v="4"/>
    <n v="0.260281103591879"/>
    <n v="95.002602811035899"/>
    <n v="342.009370119729"/>
  </r>
  <r>
    <x v="0"/>
    <x v="0"/>
    <x v="0"/>
    <x v="1"/>
    <x v="2"/>
    <s v="EE_Parnu"/>
    <x v="0"/>
    <x v="96"/>
    <x v="0"/>
    <x v="5"/>
    <n v="0.260281103591879"/>
    <n v="95.002602811035899"/>
    <n v="342.009370119729"/>
  </r>
  <r>
    <x v="0"/>
    <x v="0"/>
    <x v="0"/>
    <x v="1"/>
    <x v="2"/>
    <s v="EE_Parnu"/>
    <x v="0"/>
    <x v="96"/>
    <x v="0"/>
    <x v="6"/>
    <n v="0.260281103591879"/>
    <n v="95.002602811035899"/>
    <n v="342.009370119729"/>
  </r>
  <r>
    <x v="0"/>
    <x v="0"/>
    <x v="0"/>
    <x v="1"/>
    <x v="2"/>
    <s v="EE_Parnu"/>
    <x v="0"/>
    <x v="96"/>
    <x v="0"/>
    <x v="7"/>
    <n v="0.260281103591879"/>
    <n v="95.002602811035899"/>
    <n v="342.009370119729"/>
  </r>
  <r>
    <x v="0"/>
    <x v="0"/>
    <x v="0"/>
    <x v="1"/>
    <x v="2"/>
    <s v="EE_Parnu"/>
    <x v="0"/>
    <x v="96"/>
    <x v="0"/>
    <x v="8"/>
    <n v="0.260281103591879"/>
    <n v="95.002602811035899"/>
    <n v="342.009370119729"/>
  </r>
  <r>
    <x v="0"/>
    <x v="0"/>
    <x v="0"/>
    <x v="1"/>
    <x v="2"/>
    <s v="EE_Parnu"/>
    <x v="0"/>
    <x v="96"/>
    <x v="0"/>
    <x v="9"/>
    <n v="0.260281103591879"/>
    <n v="95.002602811035899"/>
    <n v="342.009370119729"/>
  </r>
  <r>
    <x v="0"/>
    <x v="0"/>
    <x v="0"/>
    <x v="1"/>
    <x v="2"/>
    <s v="EE_Parnu"/>
    <x v="0"/>
    <x v="96"/>
    <x v="0"/>
    <x v="10"/>
    <n v="0.260281103591879"/>
    <n v="95.002602811035899"/>
    <n v="342.009370119729"/>
  </r>
  <r>
    <x v="0"/>
    <x v="0"/>
    <x v="0"/>
    <x v="1"/>
    <x v="2"/>
    <s v="EE_Parnu"/>
    <x v="0"/>
    <x v="96"/>
    <x v="0"/>
    <x v="11"/>
    <n v="0.260281103591879"/>
    <n v="95.002602811035899"/>
    <n v="342.009370119729"/>
  </r>
  <r>
    <x v="0"/>
    <x v="0"/>
    <x v="0"/>
    <x v="1"/>
    <x v="2"/>
    <s v="EE_Parnu"/>
    <x v="0"/>
    <x v="96"/>
    <x v="0"/>
    <x v="12"/>
    <n v="0.260281103591879"/>
    <n v="95.002602811035899"/>
    <n v="342.009370119729"/>
  </r>
  <r>
    <x v="0"/>
    <x v="0"/>
    <x v="0"/>
    <x v="1"/>
    <x v="2"/>
    <s v="EE_Parnu"/>
    <x v="0"/>
    <x v="96"/>
    <x v="0"/>
    <x v="13"/>
    <n v="0.260281103591879"/>
    <n v="95.002602811035899"/>
    <n v="342.009370119729"/>
  </r>
  <r>
    <x v="0"/>
    <x v="0"/>
    <x v="0"/>
    <x v="1"/>
    <x v="2"/>
    <s v="EE_Parnu"/>
    <x v="0"/>
    <x v="96"/>
    <x v="0"/>
    <x v="14"/>
    <n v="0.260281103591879"/>
    <n v="95.002602811035899"/>
    <n v="342.009370119729"/>
  </r>
  <r>
    <x v="0"/>
    <x v="0"/>
    <x v="0"/>
    <x v="1"/>
    <x v="2"/>
    <s v="EE_Parnu"/>
    <x v="0"/>
    <x v="96"/>
    <x v="0"/>
    <x v="15"/>
    <n v="0.260281103591879"/>
    <n v="95.002602811035899"/>
    <n v="342.009370119729"/>
  </r>
  <r>
    <x v="0"/>
    <x v="0"/>
    <x v="0"/>
    <x v="1"/>
    <x v="2"/>
    <s v="EE_Parnu"/>
    <x v="0"/>
    <x v="96"/>
    <x v="0"/>
    <x v="16"/>
    <n v="0.260281103591879"/>
    <n v="95.002602811035899"/>
    <n v="342.009370119729"/>
  </r>
  <r>
    <x v="0"/>
    <x v="0"/>
    <x v="0"/>
    <x v="1"/>
    <x v="2"/>
    <s v="EE_Parnu"/>
    <x v="0"/>
    <x v="96"/>
    <x v="0"/>
    <x v="17"/>
    <n v="0.260281103591879"/>
    <n v="95.002602811035899"/>
    <n v="342.009370119729"/>
  </r>
  <r>
    <x v="0"/>
    <x v="0"/>
    <x v="0"/>
    <x v="1"/>
    <x v="2"/>
    <s v="EE_Parnu"/>
    <x v="0"/>
    <x v="96"/>
    <x v="0"/>
    <x v="18"/>
    <n v="0.260281103591879"/>
    <n v="95.002602811035899"/>
    <n v="342.009370119729"/>
  </r>
  <r>
    <x v="0"/>
    <x v="0"/>
    <x v="0"/>
    <x v="1"/>
    <x v="2"/>
    <s v="EE_Parnu"/>
    <x v="0"/>
    <x v="96"/>
    <x v="0"/>
    <x v="19"/>
    <n v="0.260281103591879"/>
    <n v="95.002602811035899"/>
    <n v="342.009370119729"/>
  </r>
  <r>
    <x v="0"/>
    <x v="0"/>
    <x v="0"/>
    <x v="1"/>
    <x v="2"/>
    <s v="EE_Parnu"/>
    <x v="0"/>
    <x v="96"/>
    <x v="0"/>
    <x v="20"/>
    <n v="0.260281103591879"/>
    <n v="95.002602811035899"/>
    <n v="342.009370119729"/>
  </r>
  <r>
    <x v="0"/>
    <x v="0"/>
    <x v="0"/>
    <x v="1"/>
    <x v="2"/>
    <s v="EE_Parnu"/>
    <x v="0"/>
    <x v="96"/>
    <x v="0"/>
    <x v="21"/>
    <n v="0.260281103591879"/>
    <n v="95.002602811035899"/>
    <n v="342.009370119729"/>
  </r>
  <r>
    <x v="0"/>
    <x v="0"/>
    <x v="0"/>
    <x v="1"/>
    <x v="2"/>
    <s v="EE_Parnu"/>
    <x v="0"/>
    <x v="96"/>
    <x v="0"/>
    <x v="22"/>
    <n v="0.260281103591879"/>
    <n v="95.002602811035899"/>
    <n v="342.009370119729"/>
  </r>
  <r>
    <x v="0"/>
    <x v="0"/>
    <x v="0"/>
    <x v="1"/>
    <x v="2"/>
    <s v="EE_Parnu"/>
    <x v="0"/>
    <x v="96"/>
    <x v="0"/>
    <x v="23"/>
    <n v="0.260281103591879"/>
    <n v="95.002602811035899"/>
    <n v="342.009370119729"/>
  </r>
  <r>
    <x v="0"/>
    <x v="0"/>
    <x v="0"/>
    <x v="1"/>
    <x v="2"/>
    <s v="EE_Parnu"/>
    <x v="13"/>
    <x v="104"/>
    <x v="0"/>
    <x v="0"/>
    <n v="76.086994466430795"/>
    <n v="27771.752980247202"/>
    <n v="99978.310728890006"/>
  </r>
  <r>
    <x v="0"/>
    <x v="0"/>
    <x v="0"/>
    <x v="1"/>
    <x v="2"/>
    <s v="EE_Parnu"/>
    <x v="13"/>
    <x v="104"/>
    <x v="0"/>
    <x v="1"/>
    <n v="76.086994466430795"/>
    <n v="27771.752980247202"/>
    <n v="99978.310728890006"/>
  </r>
  <r>
    <x v="0"/>
    <x v="0"/>
    <x v="0"/>
    <x v="1"/>
    <x v="2"/>
    <s v="EE_Parnu"/>
    <x v="13"/>
    <x v="104"/>
    <x v="0"/>
    <x v="2"/>
    <n v="76.086994466430795"/>
    <n v="27771.752980247202"/>
    <n v="99978.310728890006"/>
  </r>
  <r>
    <x v="0"/>
    <x v="0"/>
    <x v="0"/>
    <x v="1"/>
    <x v="2"/>
    <s v="EE_Parnu"/>
    <x v="13"/>
    <x v="104"/>
    <x v="0"/>
    <x v="3"/>
    <n v="76.086994466430795"/>
    <n v="27771.752980247202"/>
    <n v="99978.310728890006"/>
  </r>
  <r>
    <x v="0"/>
    <x v="0"/>
    <x v="0"/>
    <x v="1"/>
    <x v="2"/>
    <s v="EE_Parnu"/>
    <x v="13"/>
    <x v="104"/>
    <x v="0"/>
    <x v="4"/>
    <n v="76.086994466430795"/>
    <n v="27771.752980247202"/>
    <n v="99978.310728890006"/>
  </r>
  <r>
    <x v="0"/>
    <x v="0"/>
    <x v="0"/>
    <x v="1"/>
    <x v="2"/>
    <s v="EE_Parnu"/>
    <x v="13"/>
    <x v="104"/>
    <x v="0"/>
    <x v="5"/>
    <n v="76.086994466430795"/>
    <n v="27771.752980247202"/>
    <n v="99978.310728890006"/>
  </r>
  <r>
    <x v="0"/>
    <x v="0"/>
    <x v="0"/>
    <x v="1"/>
    <x v="2"/>
    <s v="EE_Parnu"/>
    <x v="13"/>
    <x v="104"/>
    <x v="0"/>
    <x v="6"/>
    <n v="76.086994466430795"/>
    <n v="27771.752980247202"/>
    <n v="99978.310728890006"/>
  </r>
  <r>
    <x v="0"/>
    <x v="0"/>
    <x v="0"/>
    <x v="1"/>
    <x v="2"/>
    <s v="EE_Parnu"/>
    <x v="13"/>
    <x v="104"/>
    <x v="0"/>
    <x v="7"/>
    <n v="76.086994466430795"/>
    <n v="27771.752980247202"/>
    <n v="99978.310728890006"/>
  </r>
  <r>
    <x v="0"/>
    <x v="0"/>
    <x v="0"/>
    <x v="1"/>
    <x v="2"/>
    <s v="EE_Parnu"/>
    <x v="13"/>
    <x v="104"/>
    <x v="0"/>
    <x v="8"/>
    <n v="76.086994466430795"/>
    <n v="27771.752980247202"/>
    <n v="99978.310728890006"/>
  </r>
  <r>
    <x v="0"/>
    <x v="0"/>
    <x v="0"/>
    <x v="1"/>
    <x v="2"/>
    <s v="EE_Parnu"/>
    <x v="13"/>
    <x v="104"/>
    <x v="0"/>
    <x v="9"/>
    <n v="76.086994466430795"/>
    <n v="27771.752980247202"/>
    <n v="99978.310728890006"/>
  </r>
  <r>
    <x v="0"/>
    <x v="0"/>
    <x v="0"/>
    <x v="1"/>
    <x v="2"/>
    <s v="EE_Parnu"/>
    <x v="13"/>
    <x v="104"/>
    <x v="0"/>
    <x v="10"/>
    <n v="76.086994466430795"/>
    <n v="27771.752980247202"/>
    <n v="99978.310728890006"/>
  </r>
  <r>
    <x v="0"/>
    <x v="0"/>
    <x v="0"/>
    <x v="1"/>
    <x v="2"/>
    <s v="EE_Parnu"/>
    <x v="13"/>
    <x v="104"/>
    <x v="0"/>
    <x v="11"/>
    <n v="76.086994466430795"/>
    <n v="27771.752980247202"/>
    <n v="99978.310728890006"/>
  </r>
  <r>
    <x v="0"/>
    <x v="0"/>
    <x v="0"/>
    <x v="1"/>
    <x v="2"/>
    <s v="EE_Parnu"/>
    <x v="13"/>
    <x v="104"/>
    <x v="0"/>
    <x v="12"/>
    <n v="76.086994466430795"/>
    <n v="27771.752980247202"/>
    <n v="99978.310728890006"/>
  </r>
  <r>
    <x v="0"/>
    <x v="0"/>
    <x v="0"/>
    <x v="1"/>
    <x v="2"/>
    <s v="EE_Parnu"/>
    <x v="13"/>
    <x v="104"/>
    <x v="0"/>
    <x v="13"/>
    <n v="76.086994466430795"/>
    <n v="27771.752980247202"/>
    <n v="99978.310728890006"/>
  </r>
  <r>
    <x v="0"/>
    <x v="0"/>
    <x v="0"/>
    <x v="1"/>
    <x v="2"/>
    <s v="EE_Parnu"/>
    <x v="13"/>
    <x v="104"/>
    <x v="0"/>
    <x v="14"/>
    <n v="76.086994466430795"/>
    <n v="27771.752980247202"/>
    <n v="99978.310728890006"/>
  </r>
  <r>
    <x v="0"/>
    <x v="0"/>
    <x v="0"/>
    <x v="1"/>
    <x v="2"/>
    <s v="EE_Parnu"/>
    <x v="13"/>
    <x v="104"/>
    <x v="0"/>
    <x v="15"/>
    <n v="76.086994466430795"/>
    <n v="27771.752980247202"/>
    <n v="99978.310728890006"/>
  </r>
  <r>
    <x v="0"/>
    <x v="0"/>
    <x v="0"/>
    <x v="1"/>
    <x v="2"/>
    <s v="EE_Parnu"/>
    <x v="13"/>
    <x v="104"/>
    <x v="0"/>
    <x v="16"/>
    <n v="76.086994466430795"/>
    <n v="27771.752980247202"/>
    <n v="99978.310728890006"/>
  </r>
  <r>
    <x v="0"/>
    <x v="0"/>
    <x v="0"/>
    <x v="1"/>
    <x v="2"/>
    <s v="EE_Parnu"/>
    <x v="13"/>
    <x v="104"/>
    <x v="0"/>
    <x v="17"/>
    <n v="76.086994466430795"/>
    <n v="27771.752980247202"/>
    <n v="99978.310728890006"/>
  </r>
  <r>
    <x v="0"/>
    <x v="0"/>
    <x v="0"/>
    <x v="1"/>
    <x v="2"/>
    <s v="EE_Parnu"/>
    <x v="13"/>
    <x v="104"/>
    <x v="0"/>
    <x v="18"/>
    <n v="76.086994466430795"/>
    <n v="27771.752980247202"/>
    <n v="99978.310728890006"/>
  </r>
  <r>
    <x v="0"/>
    <x v="0"/>
    <x v="0"/>
    <x v="1"/>
    <x v="2"/>
    <s v="EE_Parnu"/>
    <x v="13"/>
    <x v="104"/>
    <x v="0"/>
    <x v="19"/>
    <n v="76.086994466430795"/>
    <n v="27771.752980247202"/>
    <n v="99978.310728890006"/>
  </r>
  <r>
    <x v="0"/>
    <x v="0"/>
    <x v="0"/>
    <x v="1"/>
    <x v="2"/>
    <s v="EE_Parnu"/>
    <x v="13"/>
    <x v="104"/>
    <x v="0"/>
    <x v="20"/>
    <n v="76.086994466430795"/>
    <n v="27771.752980247202"/>
    <n v="99978.310728890006"/>
  </r>
  <r>
    <x v="0"/>
    <x v="0"/>
    <x v="0"/>
    <x v="1"/>
    <x v="2"/>
    <s v="EE_Parnu"/>
    <x v="13"/>
    <x v="104"/>
    <x v="0"/>
    <x v="21"/>
    <n v="76.086994466430795"/>
    <n v="27771.752980247202"/>
    <n v="99978.310728890006"/>
  </r>
  <r>
    <x v="0"/>
    <x v="0"/>
    <x v="0"/>
    <x v="1"/>
    <x v="2"/>
    <s v="EE_Parnu"/>
    <x v="13"/>
    <x v="104"/>
    <x v="0"/>
    <x v="22"/>
    <n v="76.086994466430795"/>
    <n v="27771.752980247202"/>
    <n v="99978.310728890006"/>
  </r>
  <r>
    <x v="0"/>
    <x v="0"/>
    <x v="0"/>
    <x v="1"/>
    <x v="2"/>
    <s v="EE_Parnu"/>
    <x v="13"/>
    <x v="104"/>
    <x v="0"/>
    <x v="23"/>
    <n v="76.086994466430795"/>
    <n v="27771.752980247202"/>
    <n v="99978.310728890006"/>
  </r>
  <r>
    <x v="0"/>
    <x v="0"/>
    <x v="0"/>
    <x v="1"/>
    <x v="2"/>
    <s v="EE_Rural"/>
    <x v="0"/>
    <x v="96"/>
    <x v="0"/>
    <x v="0"/>
    <n v="8.5892764185320107"/>
    <n v="3135.0858927641898"/>
    <n v="11286.309213951101"/>
  </r>
  <r>
    <x v="0"/>
    <x v="0"/>
    <x v="0"/>
    <x v="1"/>
    <x v="2"/>
    <s v="EE_Rural"/>
    <x v="0"/>
    <x v="96"/>
    <x v="0"/>
    <x v="1"/>
    <n v="8.5892764185320107"/>
    <n v="3135.0858927641898"/>
    <n v="11286.309213951101"/>
  </r>
  <r>
    <x v="0"/>
    <x v="0"/>
    <x v="0"/>
    <x v="1"/>
    <x v="2"/>
    <s v="EE_Rural"/>
    <x v="0"/>
    <x v="96"/>
    <x v="0"/>
    <x v="2"/>
    <n v="8.5892764185320107"/>
    <n v="3135.0858927641898"/>
    <n v="11286.309213951101"/>
  </r>
  <r>
    <x v="0"/>
    <x v="0"/>
    <x v="0"/>
    <x v="1"/>
    <x v="2"/>
    <s v="EE_Rural"/>
    <x v="0"/>
    <x v="96"/>
    <x v="0"/>
    <x v="3"/>
    <n v="8.5892764185320107"/>
    <n v="3135.0858927641898"/>
    <n v="11286.309213951101"/>
  </r>
  <r>
    <x v="0"/>
    <x v="0"/>
    <x v="0"/>
    <x v="1"/>
    <x v="2"/>
    <s v="EE_Rural"/>
    <x v="0"/>
    <x v="96"/>
    <x v="0"/>
    <x v="4"/>
    <n v="8.5892764185320107"/>
    <n v="3135.0858927641898"/>
    <n v="11286.309213951101"/>
  </r>
  <r>
    <x v="0"/>
    <x v="0"/>
    <x v="0"/>
    <x v="1"/>
    <x v="2"/>
    <s v="EE_Rural"/>
    <x v="0"/>
    <x v="96"/>
    <x v="0"/>
    <x v="5"/>
    <n v="8.5892764185320107"/>
    <n v="3135.0858927641898"/>
    <n v="11286.309213951101"/>
  </r>
  <r>
    <x v="0"/>
    <x v="0"/>
    <x v="0"/>
    <x v="1"/>
    <x v="2"/>
    <s v="EE_Rural"/>
    <x v="0"/>
    <x v="96"/>
    <x v="0"/>
    <x v="6"/>
    <n v="8.5892764185320107"/>
    <n v="3135.0858927641898"/>
    <n v="11286.309213951101"/>
  </r>
  <r>
    <x v="0"/>
    <x v="0"/>
    <x v="0"/>
    <x v="1"/>
    <x v="2"/>
    <s v="EE_Rural"/>
    <x v="0"/>
    <x v="96"/>
    <x v="0"/>
    <x v="7"/>
    <n v="8.5892764185320107"/>
    <n v="3135.0858927641898"/>
    <n v="11286.309213951101"/>
  </r>
  <r>
    <x v="0"/>
    <x v="0"/>
    <x v="0"/>
    <x v="1"/>
    <x v="2"/>
    <s v="EE_Rural"/>
    <x v="0"/>
    <x v="96"/>
    <x v="0"/>
    <x v="8"/>
    <n v="8.5892764185320107"/>
    <n v="3135.0858927641898"/>
    <n v="11286.309213951101"/>
  </r>
  <r>
    <x v="0"/>
    <x v="0"/>
    <x v="0"/>
    <x v="1"/>
    <x v="2"/>
    <s v="EE_Rural"/>
    <x v="0"/>
    <x v="96"/>
    <x v="0"/>
    <x v="9"/>
    <n v="8.5892764185320107"/>
    <n v="3135.0858927641898"/>
    <n v="11286.309213951101"/>
  </r>
  <r>
    <x v="0"/>
    <x v="0"/>
    <x v="0"/>
    <x v="1"/>
    <x v="2"/>
    <s v="EE_Rural"/>
    <x v="0"/>
    <x v="96"/>
    <x v="0"/>
    <x v="10"/>
    <n v="8.5892764185320107"/>
    <n v="3135.0858927641898"/>
    <n v="11286.309213951101"/>
  </r>
  <r>
    <x v="0"/>
    <x v="0"/>
    <x v="0"/>
    <x v="1"/>
    <x v="2"/>
    <s v="EE_Rural"/>
    <x v="0"/>
    <x v="96"/>
    <x v="0"/>
    <x v="11"/>
    <n v="8.5892764185320107"/>
    <n v="3135.0858927641898"/>
    <n v="11286.309213951101"/>
  </r>
  <r>
    <x v="0"/>
    <x v="0"/>
    <x v="0"/>
    <x v="1"/>
    <x v="2"/>
    <s v="EE_Rural"/>
    <x v="0"/>
    <x v="96"/>
    <x v="0"/>
    <x v="12"/>
    <n v="8.5892764185320107"/>
    <n v="3135.0858927641898"/>
    <n v="11286.309213951101"/>
  </r>
  <r>
    <x v="0"/>
    <x v="0"/>
    <x v="0"/>
    <x v="1"/>
    <x v="2"/>
    <s v="EE_Rural"/>
    <x v="0"/>
    <x v="96"/>
    <x v="0"/>
    <x v="13"/>
    <n v="8.5892764185320107"/>
    <n v="3135.0858927641898"/>
    <n v="11286.309213951101"/>
  </r>
  <r>
    <x v="0"/>
    <x v="0"/>
    <x v="0"/>
    <x v="1"/>
    <x v="2"/>
    <s v="EE_Rural"/>
    <x v="0"/>
    <x v="96"/>
    <x v="0"/>
    <x v="14"/>
    <n v="8.5892764185320107"/>
    <n v="3135.0858927641898"/>
    <n v="11286.309213951101"/>
  </r>
  <r>
    <x v="0"/>
    <x v="0"/>
    <x v="0"/>
    <x v="1"/>
    <x v="2"/>
    <s v="EE_Rural"/>
    <x v="0"/>
    <x v="96"/>
    <x v="0"/>
    <x v="15"/>
    <n v="8.5892764185320107"/>
    <n v="3135.0858927641898"/>
    <n v="11286.309213951101"/>
  </r>
  <r>
    <x v="0"/>
    <x v="0"/>
    <x v="0"/>
    <x v="1"/>
    <x v="2"/>
    <s v="EE_Rural"/>
    <x v="0"/>
    <x v="96"/>
    <x v="0"/>
    <x v="16"/>
    <n v="8.5892764185320107"/>
    <n v="3135.0858927641898"/>
    <n v="11286.309213951101"/>
  </r>
  <r>
    <x v="0"/>
    <x v="0"/>
    <x v="0"/>
    <x v="1"/>
    <x v="2"/>
    <s v="EE_Rural"/>
    <x v="0"/>
    <x v="96"/>
    <x v="0"/>
    <x v="17"/>
    <n v="8.5892764185320107"/>
    <n v="3135.0858927641898"/>
    <n v="11286.309213951101"/>
  </r>
  <r>
    <x v="0"/>
    <x v="0"/>
    <x v="0"/>
    <x v="1"/>
    <x v="2"/>
    <s v="EE_Rural"/>
    <x v="0"/>
    <x v="96"/>
    <x v="0"/>
    <x v="18"/>
    <n v="8.5892764185320107"/>
    <n v="3135.0858927641898"/>
    <n v="11286.309213951101"/>
  </r>
  <r>
    <x v="0"/>
    <x v="0"/>
    <x v="0"/>
    <x v="1"/>
    <x v="2"/>
    <s v="EE_Rural"/>
    <x v="0"/>
    <x v="96"/>
    <x v="0"/>
    <x v="19"/>
    <n v="8.5892764185320107"/>
    <n v="3135.0858927641898"/>
    <n v="11286.309213951101"/>
  </r>
  <r>
    <x v="0"/>
    <x v="0"/>
    <x v="0"/>
    <x v="1"/>
    <x v="2"/>
    <s v="EE_Rural"/>
    <x v="0"/>
    <x v="96"/>
    <x v="0"/>
    <x v="20"/>
    <n v="8.5892764185320107"/>
    <n v="3135.0858927641898"/>
    <n v="11286.309213951101"/>
  </r>
  <r>
    <x v="0"/>
    <x v="0"/>
    <x v="0"/>
    <x v="1"/>
    <x v="2"/>
    <s v="EE_Rural"/>
    <x v="0"/>
    <x v="96"/>
    <x v="0"/>
    <x v="21"/>
    <n v="8.5892764185320107"/>
    <n v="3135.0858927641898"/>
    <n v="11286.309213951101"/>
  </r>
  <r>
    <x v="0"/>
    <x v="0"/>
    <x v="0"/>
    <x v="1"/>
    <x v="2"/>
    <s v="EE_Rural"/>
    <x v="0"/>
    <x v="96"/>
    <x v="0"/>
    <x v="22"/>
    <n v="8.5892764185320107"/>
    <n v="3135.0858927641898"/>
    <n v="11286.309213951101"/>
  </r>
  <r>
    <x v="0"/>
    <x v="0"/>
    <x v="0"/>
    <x v="1"/>
    <x v="2"/>
    <s v="EE_Rural"/>
    <x v="0"/>
    <x v="96"/>
    <x v="0"/>
    <x v="23"/>
    <n v="8.5892764185320107"/>
    <n v="3135.0858927641898"/>
    <n v="11286.309213951101"/>
  </r>
  <r>
    <x v="0"/>
    <x v="0"/>
    <x v="0"/>
    <x v="1"/>
    <x v="2"/>
    <s v="EE_Rural"/>
    <x v="3"/>
    <x v="102"/>
    <x v="0"/>
    <x v="0"/>
    <n v="2.7242118151209098"/>
    <n v="994.33731251913105"/>
    <n v="3579.6143250688701"/>
  </r>
  <r>
    <x v="0"/>
    <x v="0"/>
    <x v="0"/>
    <x v="1"/>
    <x v="2"/>
    <s v="EE_Rural"/>
    <x v="3"/>
    <x v="102"/>
    <x v="0"/>
    <x v="1"/>
    <n v="2.7242118151209098"/>
    <n v="994.33731251913105"/>
    <n v="3579.6143250688701"/>
  </r>
  <r>
    <x v="0"/>
    <x v="0"/>
    <x v="0"/>
    <x v="1"/>
    <x v="2"/>
    <s v="EE_Rural"/>
    <x v="3"/>
    <x v="102"/>
    <x v="0"/>
    <x v="2"/>
    <n v="2.7242118151209098"/>
    <n v="994.33731251913105"/>
    <n v="3579.6143250688701"/>
  </r>
  <r>
    <x v="0"/>
    <x v="0"/>
    <x v="0"/>
    <x v="1"/>
    <x v="2"/>
    <s v="EE_Rural"/>
    <x v="3"/>
    <x v="102"/>
    <x v="0"/>
    <x v="3"/>
    <n v="2.7242118151209098"/>
    <n v="994.33731251913105"/>
    <n v="3579.6143250688701"/>
  </r>
  <r>
    <x v="0"/>
    <x v="0"/>
    <x v="0"/>
    <x v="1"/>
    <x v="2"/>
    <s v="EE_Rural"/>
    <x v="3"/>
    <x v="102"/>
    <x v="0"/>
    <x v="4"/>
    <n v="2.7242118151209098"/>
    <n v="994.33731251913105"/>
    <n v="3579.6143250688701"/>
  </r>
  <r>
    <x v="0"/>
    <x v="0"/>
    <x v="0"/>
    <x v="1"/>
    <x v="2"/>
    <s v="EE_Rural"/>
    <x v="3"/>
    <x v="102"/>
    <x v="0"/>
    <x v="5"/>
    <n v="2.7242118151209098"/>
    <n v="994.33731251913105"/>
    <n v="3579.6143250688701"/>
  </r>
  <r>
    <x v="0"/>
    <x v="0"/>
    <x v="0"/>
    <x v="1"/>
    <x v="2"/>
    <s v="EE_Rural"/>
    <x v="3"/>
    <x v="102"/>
    <x v="0"/>
    <x v="6"/>
    <n v="2.7242118151209098"/>
    <n v="994.33731251913105"/>
    <n v="3579.6143250688701"/>
  </r>
  <r>
    <x v="0"/>
    <x v="0"/>
    <x v="0"/>
    <x v="1"/>
    <x v="2"/>
    <s v="EE_Rural"/>
    <x v="3"/>
    <x v="102"/>
    <x v="0"/>
    <x v="7"/>
    <n v="2.7242118151209098"/>
    <n v="994.33731251913105"/>
    <n v="3579.6143250688701"/>
  </r>
  <r>
    <x v="0"/>
    <x v="0"/>
    <x v="0"/>
    <x v="1"/>
    <x v="2"/>
    <s v="EE_Rural"/>
    <x v="3"/>
    <x v="102"/>
    <x v="0"/>
    <x v="8"/>
    <n v="2.7242118151209098"/>
    <n v="994.33731251913105"/>
    <n v="3579.6143250688701"/>
  </r>
  <r>
    <x v="0"/>
    <x v="0"/>
    <x v="0"/>
    <x v="1"/>
    <x v="2"/>
    <s v="EE_Rural"/>
    <x v="3"/>
    <x v="102"/>
    <x v="0"/>
    <x v="9"/>
    <n v="2.7242118151209098"/>
    <n v="994.33731251913105"/>
    <n v="3579.6143250688701"/>
  </r>
  <r>
    <x v="0"/>
    <x v="0"/>
    <x v="0"/>
    <x v="1"/>
    <x v="2"/>
    <s v="EE_Rural"/>
    <x v="3"/>
    <x v="102"/>
    <x v="0"/>
    <x v="10"/>
    <n v="2.7242118151209098"/>
    <n v="994.33731251913105"/>
    <n v="3579.6143250688701"/>
  </r>
  <r>
    <x v="0"/>
    <x v="0"/>
    <x v="0"/>
    <x v="1"/>
    <x v="2"/>
    <s v="EE_Rural"/>
    <x v="3"/>
    <x v="102"/>
    <x v="0"/>
    <x v="11"/>
    <n v="2.7242118151209098"/>
    <n v="994.33731251913105"/>
    <n v="3579.6143250688701"/>
  </r>
  <r>
    <x v="0"/>
    <x v="0"/>
    <x v="0"/>
    <x v="1"/>
    <x v="2"/>
    <s v="EE_Rural"/>
    <x v="3"/>
    <x v="102"/>
    <x v="0"/>
    <x v="12"/>
    <n v="2.7242118151209098"/>
    <n v="994.33731251913105"/>
    <n v="3579.6143250688701"/>
  </r>
  <r>
    <x v="0"/>
    <x v="0"/>
    <x v="0"/>
    <x v="1"/>
    <x v="2"/>
    <s v="EE_Rural"/>
    <x v="3"/>
    <x v="102"/>
    <x v="0"/>
    <x v="13"/>
    <n v="2.7242118151209098"/>
    <n v="994.33731251913105"/>
    <n v="3579.6143250688701"/>
  </r>
  <r>
    <x v="0"/>
    <x v="0"/>
    <x v="0"/>
    <x v="1"/>
    <x v="2"/>
    <s v="EE_Rural"/>
    <x v="3"/>
    <x v="102"/>
    <x v="0"/>
    <x v="14"/>
    <n v="2.7242118151209098"/>
    <n v="994.33731251913105"/>
    <n v="3579.6143250688701"/>
  </r>
  <r>
    <x v="0"/>
    <x v="0"/>
    <x v="0"/>
    <x v="1"/>
    <x v="2"/>
    <s v="EE_Rural"/>
    <x v="3"/>
    <x v="102"/>
    <x v="0"/>
    <x v="15"/>
    <n v="2.7242118151209098"/>
    <n v="994.33731251913105"/>
    <n v="3579.6143250688701"/>
  </r>
  <r>
    <x v="0"/>
    <x v="0"/>
    <x v="0"/>
    <x v="1"/>
    <x v="2"/>
    <s v="EE_Rural"/>
    <x v="3"/>
    <x v="102"/>
    <x v="0"/>
    <x v="16"/>
    <n v="2.7242118151209098"/>
    <n v="994.33731251913105"/>
    <n v="3579.6143250688701"/>
  </r>
  <r>
    <x v="0"/>
    <x v="0"/>
    <x v="0"/>
    <x v="1"/>
    <x v="2"/>
    <s v="EE_Rural"/>
    <x v="3"/>
    <x v="102"/>
    <x v="0"/>
    <x v="17"/>
    <n v="2.7242118151209098"/>
    <n v="994.33731251913105"/>
    <n v="3579.6143250688701"/>
  </r>
  <r>
    <x v="0"/>
    <x v="0"/>
    <x v="0"/>
    <x v="1"/>
    <x v="2"/>
    <s v="EE_Rural"/>
    <x v="3"/>
    <x v="102"/>
    <x v="0"/>
    <x v="18"/>
    <n v="2.7242118151209098"/>
    <n v="994.33731251913105"/>
    <n v="3579.6143250688701"/>
  </r>
  <r>
    <x v="0"/>
    <x v="0"/>
    <x v="0"/>
    <x v="1"/>
    <x v="2"/>
    <s v="EE_Rural"/>
    <x v="3"/>
    <x v="102"/>
    <x v="0"/>
    <x v="19"/>
    <n v="2.7242118151209098"/>
    <n v="994.33731251913105"/>
    <n v="3579.6143250688701"/>
  </r>
  <r>
    <x v="0"/>
    <x v="0"/>
    <x v="0"/>
    <x v="1"/>
    <x v="2"/>
    <s v="EE_Rural"/>
    <x v="3"/>
    <x v="102"/>
    <x v="0"/>
    <x v="20"/>
    <n v="2.7242118151209098"/>
    <n v="994.33731251913105"/>
    <n v="3579.6143250688701"/>
  </r>
  <r>
    <x v="0"/>
    <x v="0"/>
    <x v="0"/>
    <x v="1"/>
    <x v="2"/>
    <s v="EE_Rural"/>
    <x v="3"/>
    <x v="102"/>
    <x v="0"/>
    <x v="21"/>
    <n v="2.7242118151209098"/>
    <n v="994.33731251913105"/>
    <n v="3579.6143250688701"/>
  </r>
  <r>
    <x v="0"/>
    <x v="0"/>
    <x v="0"/>
    <x v="1"/>
    <x v="2"/>
    <s v="EE_Rural"/>
    <x v="3"/>
    <x v="102"/>
    <x v="0"/>
    <x v="22"/>
    <n v="2.7242118151209098"/>
    <n v="994.33731251913105"/>
    <n v="3579.6143250688701"/>
  </r>
  <r>
    <x v="0"/>
    <x v="0"/>
    <x v="0"/>
    <x v="1"/>
    <x v="2"/>
    <s v="EE_Rural"/>
    <x v="3"/>
    <x v="102"/>
    <x v="0"/>
    <x v="23"/>
    <n v="2.7242118151209098"/>
    <n v="994.33731251913105"/>
    <n v="3579.6143250688701"/>
  </r>
  <r>
    <x v="0"/>
    <x v="0"/>
    <x v="0"/>
    <x v="1"/>
    <x v="2"/>
    <s v="EE_Rural"/>
    <x v="9"/>
    <x v="57"/>
    <x v="0"/>
    <x v="0"/>
    <n v="3.4246575342465699"/>
    <n v="1250"/>
    <n v="4500"/>
  </r>
  <r>
    <x v="0"/>
    <x v="0"/>
    <x v="0"/>
    <x v="1"/>
    <x v="2"/>
    <s v="EE_Rural"/>
    <x v="9"/>
    <x v="57"/>
    <x v="0"/>
    <x v="1"/>
    <n v="3.4246575342465699"/>
    <n v="1250"/>
    <n v="4500"/>
  </r>
  <r>
    <x v="0"/>
    <x v="0"/>
    <x v="0"/>
    <x v="1"/>
    <x v="2"/>
    <s v="EE_Rural"/>
    <x v="9"/>
    <x v="57"/>
    <x v="0"/>
    <x v="2"/>
    <n v="3.4246575342465699"/>
    <n v="1250"/>
    <n v="4500"/>
  </r>
  <r>
    <x v="0"/>
    <x v="0"/>
    <x v="0"/>
    <x v="1"/>
    <x v="2"/>
    <s v="EE_Rural"/>
    <x v="9"/>
    <x v="57"/>
    <x v="0"/>
    <x v="3"/>
    <n v="3.4246575342465699"/>
    <n v="1250"/>
    <n v="4500"/>
  </r>
  <r>
    <x v="0"/>
    <x v="0"/>
    <x v="0"/>
    <x v="1"/>
    <x v="2"/>
    <s v="EE_Rural"/>
    <x v="9"/>
    <x v="57"/>
    <x v="0"/>
    <x v="4"/>
    <n v="3.4246575342465699"/>
    <n v="1250"/>
    <n v="4500"/>
  </r>
  <r>
    <x v="0"/>
    <x v="0"/>
    <x v="0"/>
    <x v="1"/>
    <x v="2"/>
    <s v="EE_Rural"/>
    <x v="9"/>
    <x v="57"/>
    <x v="0"/>
    <x v="5"/>
    <n v="3.4246575342465699"/>
    <n v="1250"/>
    <n v="4500"/>
  </r>
  <r>
    <x v="0"/>
    <x v="0"/>
    <x v="0"/>
    <x v="1"/>
    <x v="2"/>
    <s v="EE_Rural"/>
    <x v="9"/>
    <x v="57"/>
    <x v="0"/>
    <x v="6"/>
    <n v="3.4246575342465699"/>
    <n v="1250"/>
    <n v="4500"/>
  </r>
  <r>
    <x v="0"/>
    <x v="0"/>
    <x v="0"/>
    <x v="1"/>
    <x v="2"/>
    <s v="EE_Rural"/>
    <x v="9"/>
    <x v="57"/>
    <x v="0"/>
    <x v="7"/>
    <n v="3.4246575342465699"/>
    <n v="1250"/>
    <n v="4500"/>
  </r>
  <r>
    <x v="0"/>
    <x v="0"/>
    <x v="0"/>
    <x v="1"/>
    <x v="2"/>
    <s v="EE_Rural"/>
    <x v="9"/>
    <x v="57"/>
    <x v="0"/>
    <x v="8"/>
    <n v="3.4246575342465699"/>
    <n v="1250"/>
    <n v="4500"/>
  </r>
  <r>
    <x v="0"/>
    <x v="0"/>
    <x v="0"/>
    <x v="1"/>
    <x v="2"/>
    <s v="EE_Rural"/>
    <x v="9"/>
    <x v="57"/>
    <x v="0"/>
    <x v="9"/>
    <n v="3.4246575342465699"/>
    <n v="1250"/>
    <n v="4500"/>
  </r>
  <r>
    <x v="0"/>
    <x v="0"/>
    <x v="0"/>
    <x v="1"/>
    <x v="2"/>
    <s v="EE_Rural"/>
    <x v="9"/>
    <x v="57"/>
    <x v="0"/>
    <x v="10"/>
    <n v="3.4246575342465699"/>
    <n v="1250"/>
    <n v="4500"/>
  </r>
  <r>
    <x v="0"/>
    <x v="0"/>
    <x v="0"/>
    <x v="1"/>
    <x v="2"/>
    <s v="EE_Rural"/>
    <x v="9"/>
    <x v="57"/>
    <x v="0"/>
    <x v="11"/>
    <n v="3.4246575342465699"/>
    <n v="1250"/>
    <n v="4500"/>
  </r>
  <r>
    <x v="0"/>
    <x v="0"/>
    <x v="0"/>
    <x v="1"/>
    <x v="2"/>
    <s v="EE_Rural"/>
    <x v="9"/>
    <x v="57"/>
    <x v="0"/>
    <x v="12"/>
    <n v="3.4246575342465699"/>
    <n v="1250"/>
    <n v="4500"/>
  </r>
  <r>
    <x v="0"/>
    <x v="0"/>
    <x v="0"/>
    <x v="1"/>
    <x v="2"/>
    <s v="EE_Rural"/>
    <x v="9"/>
    <x v="57"/>
    <x v="0"/>
    <x v="13"/>
    <n v="3.4246575342465699"/>
    <n v="1250"/>
    <n v="4500"/>
  </r>
  <r>
    <x v="0"/>
    <x v="0"/>
    <x v="0"/>
    <x v="1"/>
    <x v="2"/>
    <s v="EE_Rural"/>
    <x v="9"/>
    <x v="57"/>
    <x v="0"/>
    <x v="14"/>
    <n v="3.4246575342465699"/>
    <n v="1250"/>
    <n v="4500"/>
  </r>
  <r>
    <x v="0"/>
    <x v="0"/>
    <x v="0"/>
    <x v="1"/>
    <x v="2"/>
    <s v="EE_Rural"/>
    <x v="9"/>
    <x v="57"/>
    <x v="0"/>
    <x v="15"/>
    <n v="3.4246575342465699"/>
    <n v="1250"/>
    <n v="4500"/>
  </r>
  <r>
    <x v="0"/>
    <x v="0"/>
    <x v="0"/>
    <x v="1"/>
    <x v="2"/>
    <s v="EE_Rural"/>
    <x v="9"/>
    <x v="57"/>
    <x v="0"/>
    <x v="16"/>
    <n v="3.4246575342465699"/>
    <n v="1250"/>
    <n v="4500"/>
  </r>
  <r>
    <x v="0"/>
    <x v="0"/>
    <x v="0"/>
    <x v="1"/>
    <x v="2"/>
    <s v="EE_Rural"/>
    <x v="9"/>
    <x v="57"/>
    <x v="0"/>
    <x v="17"/>
    <n v="3.4246575342465699"/>
    <n v="1250"/>
    <n v="4500"/>
  </r>
  <r>
    <x v="0"/>
    <x v="0"/>
    <x v="0"/>
    <x v="1"/>
    <x v="2"/>
    <s v="EE_Rural"/>
    <x v="9"/>
    <x v="57"/>
    <x v="0"/>
    <x v="18"/>
    <n v="3.4246575342465699"/>
    <n v="1250"/>
    <n v="4500"/>
  </r>
  <r>
    <x v="0"/>
    <x v="0"/>
    <x v="0"/>
    <x v="1"/>
    <x v="2"/>
    <s v="EE_Rural"/>
    <x v="9"/>
    <x v="57"/>
    <x v="0"/>
    <x v="19"/>
    <n v="3.4246575342465699"/>
    <n v="1250"/>
    <n v="4500"/>
  </r>
  <r>
    <x v="0"/>
    <x v="0"/>
    <x v="0"/>
    <x v="1"/>
    <x v="2"/>
    <s v="EE_Rural"/>
    <x v="9"/>
    <x v="57"/>
    <x v="0"/>
    <x v="20"/>
    <n v="3.4246575342465699"/>
    <n v="1250"/>
    <n v="4500"/>
  </r>
  <r>
    <x v="0"/>
    <x v="0"/>
    <x v="0"/>
    <x v="1"/>
    <x v="2"/>
    <s v="EE_Rural"/>
    <x v="9"/>
    <x v="57"/>
    <x v="0"/>
    <x v="21"/>
    <n v="3.4246575342465699"/>
    <n v="1250"/>
    <n v="4500"/>
  </r>
  <r>
    <x v="0"/>
    <x v="0"/>
    <x v="0"/>
    <x v="1"/>
    <x v="2"/>
    <s v="EE_Rural"/>
    <x v="9"/>
    <x v="57"/>
    <x v="0"/>
    <x v="22"/>
    <n v="3.4246575342465699"/>
    <n v="1250"/>
    <n v="4500"/>
  </r>
  <r>
    <x v="0"/>
    <x v="0"/>
    <x v="0"/>
    <x v="1"/>
    <x v="2"/>
    <s v="EE_Rural"/>
    <x v="9"/>
    <x v="57"/>
    <x v="0"/>
    <x v="23"/>
    <n v="3.4246575342465699"/>
    <n v="1250"/>
    <n v="4500"/>
  </r>
  <r>
    <x v="0"/>
    <x v="0"/>
    <x v="0"/>
    <x v="1"/>
    <x v="2"/>
    <s v="EE_Rural"/>
    <x v="10"/>
    <x v="58"/>
    <x v="0"/>
    <x v="0"/>
    <n v="23.661485566316099"/>
    <n v="8636.4422317053904"/>
    <n v="31091.1920341394"/>
  </r>
  <r>
    <x v="0"/>
    <x v="0"/>
    <x v="0"/>
    <x v="1"/>
    <x v="2"/>
    <s v="EE_Rural"/>
    <x v="10"/>
    <x v="58"/>
    <x v="0"/>
    <x v="1"/>
    <n v="28.393782679579399"/>
    <n v="10363.730678046501"/>
    <n v="37309.430440967299"/>
  </r>
  <r>
    <x v="0"/>
    <x v="0"/>
    <x v="0"/>
    <x v="1"/>
    <x v="2"/>
    <s v="EE_Rural"/>
    <x v="10"/>
    <x v="58"/>
    <x v="0"/>
    <x v="2"/>
    <n v="27.717740234827499"/>
    <n v="10116.975185712001"/>
    <n v="36421.110668563299"/>
  </r>
  <r>
    <x v="0"/>
    <x v="0"/>
    <x v="0"/>
    <x v="1"/>
    <x v="2"/>
    <s v="EE_Rural"/>
    <x v="10"/>
    <x v="58"/>
    <x v="0"/>
    <x v="3"/>
    <n v="26.027634122947699"/>
    <n v="9500.0864548759291"/>
    <n v="34200.311237553302"/>
  </r>
  <r>
    <x v="0"/>
    <x v="0"/>
    <x v="0"/>
    <x v="1"/>
    <x v="2"/>
    <s v="EE_Rural"/>
    <x v="10"/>
    <x v="58"/>
    <x v="0"/>
    <x v="4"/>
    <n v="19.267209675428902"/>
    <n v="7032.5315315315302"/>
    <n v="25317.113513513501"/>
  </r>
  <r>
    <x v="0"/>
    <x v="0"/>
    <x v="0"/>
    <x v="1"/>
    <x v="2"/>
    <s v="EE_Rural"/>
    <x v="10"/>
    <x v="58"/>
    <x v="0"/>
    <x v="5"/>
    <n v="11.154700338406199"/>
    <n v="4071.4656235182501"/>
    <n v="14657.2762446657"/>
  </r>
  <r>
    <x v="0"/>
    <x v="0"/>
    <x v="0"/>
    <x v="1"/>
    <x v="2"/>
    <s v="EE_Rural"/>
    <x v="10"/>
    <x v="58"/>
    <x v="0"/>
    <x v="6"/>
    <n v="2.3661485566316101"/>
    <n v="863.64422317053902"/>
    <n v="3109.1192034139399"/>
  </r>
  <r>
    <x v="0"/>
    <x v="0"/>
    <x v="0"/>
    <x v="1"/>
    <x v="2"/>
    <s v="EE_Rural"/>
    <x v="10"/>
    <x v="58"/>
    <x v="0"/>
    <x v="7"/>
    <n v="1.69010611187972"/>
    <n v="616.88873083609894"/>
    <n v="2220.7994310099598"/>
  </r>
  <r>
    <x v="0"/>
    <x v="0"/>
    <x v="0"/>
    <x v="1"/>
    <x v="2"/>
    <s v="EE_Rural"/>
    <x v="10"/>
    <x v="58"/>
    <x v="0"/>
    <x v="8"/>
    <n v="2.3661485566316101"/>
    <n v="863.64422317053902"/>
    <n v="3109.1192034139399"/>
  </r>
  <r>
    <x v="0"/>
    <x v="0"/>
    <x v="0"/>
    <x v="1"/>
    <x v="2"/>
    <s v="EE_Rural"/>
    <x v="10"/>
    <x v="58"/>
    <x v="0"/>
    <x v="9"/>
    <n v="11.154700338406199"/>
    <n v="4071.4656235182501"/>
    <n v="14657.2762446657"/>
  </r>
  <r>
    <x v="0"/>
    <x v="0"/>
    <x v="0"/>
    <x v="1"/>
    <x v="2"/>
    <s v="EE_Rural"/>
    <x v="10"/>
    <x v="58"/>
    <x v="0"/>
    <x v="10"/>
    <n v="26.027634122947699"/>
    <n v="9500.0864548759291"/>
    <n v="34200.311237553302"/>
  </r>
  <r>
    <x v="0"/>
    <x v="0"/>
    <x v="0"/>
    <x v="1"/>
    <x v="2"/>
    <s v="EE_Rural"/>
    <x v="10"/>
    <x v="58"/>
    <x v="0"/>
    <x v="11"/>
    <n v="40.224525462737397"/>
    <n v="14681.951793899199"/>
    <n v="52855.026458036999"/>
  </r>
  <r>
    <x v="0"/>
    <x v="0"/>
    <x v="0"/>
    <x v="1"/>
    <x v="2"/>
    <s v="EE_Rural"/>
    <x v="10"/>
    <x v="58"/>
    <x v="0"/>
    <x v="12"/>
    <n v="46.646928687880397"/>
    <n v="17026.128971076301"/>
    <n v="61294.064295874799"/>
  </r>
  <r>
    <x v="0"/>
    <x v="0"/>
    <x v="0"/>
    <x v="1"/>
    <x v="2"/>
    <s v="EE_Rural"/>
    <x v="10"/>
    <x v="58"/>
    <x v="0"/>
    <x v="13"/>
    <n v="53.407353135399298"/>
    <n v="19493.683894420701"/>
    <n v="70177.262019914706"/>
  </r>
  <r>
    <x v="0"/>
    <x v="0"/>
    <x v="0"/>
    <x v="1"/>
    <x v="2"/>
    <s v="EE_Rural"/>
    <x v="10"/>
    <x v="58"/>
    <x v="0"/>
    <x v="14"/>
    <n v="53.407353135399298"/>
    <n v="19493.683894420701"/>
    <n v="70177.262019914706"/>
  </r>
  <r>
    <x v="0"/>
    <x v="0"/>
    <x v="0"/>
    <x v="1"/>
    <x v="2"/>
    <s v="EE_Rural"/>
    <x v="10"/>
    <x v="58"/>
    <x v="0"/>
    <x v="15"/>
    <n v="84.505305593986193"/>
    <n v="30844.436541805"/>
    <n v="111039.971550498"/>
  </r>
  <r>
    <x v="0"/>
    <x v="0"/>
    <x v="0"/>
    <x v="1"/>
    <x v="2"/>
    <s v="EE_Rural"/>
    <x v="10"/>
    <x v="58"/>
    <x v="0"/>
    <x v="16"/>
    <n v="109.18085482743"/>
    <n v="39851.012012011997"/>
    <n v="143463.64324324299"/>
  </r>
  <r>
    <x v="0"/>
    <x v="0"/>
    <x v="0"/>
    <x v="1"/>
    <x v="2"/>
    <s v="EE_Rural"/>
    <x v="10"/>
    <x v="58"/>
    <x v="0"/>
    <x v="17"/>
    <n v="107.828769937926"/>
    <n v="39357.501027343103"/>
    <n v="141687.003698435"/>
  </r>
  <r>
    <x v="0"/>
    <x v="0"/>
    <x v="0"/>
    <x v="1"/>
    <x v="2"/>
    <s v="EE_Rural"/>
    <x v="10"/>
    <x v="58"/>
    <x v="0"/>
    <x v="18"/>
    <n v="147.37725295591201"/>
    <n v="53792.697328907903"/>
    <n v="193653.71038406799"/>
  </r>
  <r>
    <x v="0"/>
    <x v="0"/>
    <x v="0"/>
    <x v="1"/>
    <x v="2"/>
    <s v="EE_Rural"/>
    <x v="10"/>
    <x v="58"/>
    <x v="0"/>
    <x v="19"/>
    <n v="219.37577332198799"/>
    <n v="80072.157262525696"/>
    <n v="288259.76614509203"/>
  </r>
  <r>
    <x v="0"/>
    <x v="0"/>
    <x v="0"/>
    <x v="1"/>
    <x v="2"/>
    <s v="EE_Rural"/>
    <x v="10"/>
    <x v="58"/>
    <x v="0"/>
    <x v="20"/>
    <n v="254.19195922671"/>
    <n v="92780.065117749298"/>
    <n v="334008.23442389799"/>
  </r>
  <r>
    <x v="0"/>
    <x v="0"/>
    <x v="0"/>
    <x v="1"/>
    <x v="2"/>
    <s v="EE_Rural"/>
    <x v="10"/>
    <x v="58"/>
    <x v="0"/>
    <x v="21"/>
    <n v="274.13521134689103"/>
    <n v="100059.352141615"/>
    <n v="360213.66770981502"/>
  </r>
  <r>
    <x v="0"/>
    <x v="0"/>
    <x v="0"/>
    <x v="1"/>
    <x v="2"/>
    <s v="EE_Rural"/>
    <x v="10"/>
    <x v="58"/>
    <x v="0"/>
    <x v="22"/>
    <n v="278.52948723777899"/>
    <n v="101663.26284178899"/>
    <n v="365987.74623044097"/>
  </r>
  <r>
    <x v="0"/>
    <x v="0"/>
    <x v="0"/>
    <x v="1"/>
    <x v="2"/>
    <s v="EE_Rural"/>
    <x v="10"/>
    <x v="58"/>
    <x v="0"/>
    <x v="23"/>
    <n v="290.022208798561"/>
    <n v="105858.10621147499"/>
    <n v="381089.18236130901"/>
  </r>
  <r>
    <x v="0"/>
    <x v="0"/>
    <x v="0"/>
    <x v="1"/>
    <x v="2"/>
    <s v="EE_Rural"/>
    <x v="11"/>
    <x v="105"/>
    <x v="0"/>
    <x v="0"/>
    <n v="39.473684210526301"/>
    <n v="14407.8947368421"/>
    <n v="51868.421052631602"/>
  </r>
  <r>
    <x v="0"/>
    <x v="0"/>
    <x v="0"/>
    <x v="1"/>
    <x v="2"/>
    <s v="EE_Rural"/>
    <x v="11"/>
    <x v="105"/>
    <x v="0"/>
    <x v="1"/>
    <n v="39.473684210526301"/>
    <n v="14407.8947368421"/>
    <n v="51868.421052631602"/>
  </r>
  <r>
    <x v="0"/>
    <x v="0"/>
    <x v="0"/>
    <x v="1"/>
    <x v="2"/>
    <s v="EE_Rural"/>
    <x v="11"/>
    <x v="105"/>
    <x v="0"/>
    <x v="2"/>
    <n v="39.473684210526301"/>
    <n v="14407.8947368421"/>
    <n v="51868.421052631602"/>
  </r>
  <r>
    <x v="0"/>
    <x v="0"/>
    <x v="0"/>
    <x v="1"/>
    <x v="2"/>
    <s v="EE_Rural"/>
    <x v="11"/>
    <x v="105"/>
    <x v="0"/>
    <x v="3"/>
    <n v="39.473684210526301"/>
    <n v="14407.8947368421"/>
    <n v="51868.421052631602"/>
  </r>
  <r>
    <x v="0"/>
    <x v="0"/>
    <x v="0"/>
    <x v="1"/>
    <x v="2"/>
    <s v="EE_Rural"/>
    <x v="11"/>
    <x v="105"/>
    <x v="0"/>
    <x v="4"/>
    <n v="39.473684210526301"/>
    <n v="14407.8947368421"/>
    <n v="51868.421052631602"/>
  </r>
  <r>
    <x v="0"/>
    <x v="0"/>
    <x v="0"/>
    <x v="1"/>
    <x v="2"/>
    <s v="EE_Rural"/>
    <x v="11"/>
    <x v="105"/>
    <x v="0"/>
    <x v="5"/>
    <n v="39.473684210526301"/>
    <n v="14407.8947368421"/>
    <n v="51868.421052631602"/>
  </r>
  <r>
    <x v="0"/>
    <x v="0"/>
    <x v="0"/>
    <x v="1"/>
    <x v="2"/>
    <s v="EE_Rural"/>
    <x v="11"/>
    <x v="105"/>
    <x v="0"/>
    <x v="6"/>
    <n v="39.473684210526301"/>
    <n v="14407.8947368421"/>
    <n v="51868.421052631602"/>
  </r>
  <r>
    <x v="0"/>
    <x v="0"/>
    <x v="0"/>
    <x v="1"/>
    <x v="2"/>
    <s v="EE_Rural"/>
    <x v="11"/>
    <x v="105"/>
    <x v="0"/>
    <x v="7"/>
    <n v="39.473684210526301"/>
    <n v="14407.8947368421"/>
    <n v="51868.421052631602"/>
  </r>
  <r>
    <x v="0"/>
    <x v="0"/>
    <x v="0"/>
    <x v="1"/>
    <x v="2"/>
    <s v="EE_Rural"/>
    <x v="11"/>
    <x v="105"/>
    <x v="0"/>
    <x v="8"/>
    <n v="39.473684210526301"/>
    <n v="14407.8947368421"/>
    <n v="51868.421052631602"/>
  </r>
  <r>
    <x v="0"/>
    <x v="0"/>
    <x v="0"/>
    <x v="1"/>
    <x v="2"/>
    <s v="EE_Rural"/>
    <x v="11"/>
    <x v="105"/>
    <x v="0"/>
    <x v="9"/>
    <n v="39.473684210526301"/>
    <n v="14407.8947368421"/>
    <n v="51868.421052631602"/>
  </r>
  <r>
    <x v="0"/>
    <x v="0"/>
    <x v="0"/>
    <x v="1"/>
    <x v="2"/>
    <s v="EE_Rural"/>
    <x v="11"/>
    <x v="105"/>
    <x v="0"/>
    <x v="10"/>
    <n v="39.473684210526301"/>
    <n v="14407.8947368421"/>
    <n v="51868.421052631602"/>
  </r>
  <r>
    <x v="0"/>
    <x v="0"/>
    <x v="0"/>
    <x v="1"/>
    <x v="2"/>
    <s v="EE_Rural"/>
    <x v="11"/>
    <x v="105"/>
    <x v="0"/>
    <x v="11"/>
    <n v="39.473684210526301"/>
    <n v="14407.8947368421"/>
    <n v="51868.421052631602"/>
  </r>
  <r>
    <x v="0"/>
    <x v="0"/>
    <x v="0"/>
    <x v="1"/>
    <x v="2"/>
    <s v="EE_Rural"/>
    <x v="11"/>
    <x v="105"/>
    <x v="0"/>
    <x v="12"/>
    <n v="39.473684210526301"/>
    <n v="14407.8947368421"/>
    <n v="51868.421052631602"/>
  </r>
  <r>
    <x v="0"/>
    <x v="0"/>
    <x v="0"/>
    <x v="1"/>
    <x v="2"/>
    <s v="EE_Rural"/>
    <x v="11"/>
    <x v="105"/>
    <x v="0"/>
    <x v="13"/>
    <n v="39.473684210526301"/>
    <n v="14407.8947368421"/>
    <n v="51868.421052631602"/>
  </r>
  <r>
    <x v="0"/>
    <x v="0"/>
    <x v="0"/>
    <x v="1"/>
    <x v="2"/>
    <s v="EE_Rural"/>
    <x v="11"/>
    <x v="105"/>
    <x v="0"/>
    <x v="14"/>
    <n v="39.473684210526301"/>
    <n v="14407.8947368421"/>
    <n v="51868.421052631602"/>
  </r>
  <r>
    <x v="0"/>
    <x v="0"/>
    <x v="0"/>
    <x v="1"/>
    <x v="2"/>
    <s v="EE_Rural"/>
    <x v="11"/>
    <x v="105"/>
    <x v="0"/>
    <x v="15"/>
    <n v="39.473684210526301"/>
    <n v="14407.8947368421"/>
    <n v="51868.421052631602"/>
  </r>
  <r>
    <x v="0"/>
    <x v="0"/>
    <x v="0"/>
    <x v="1"/>
    <x v="2"/>
    <s v="EE_Rural"/>
    <x v="11"/>
    <x v="105"/>
    <x v="0"/>
    <x v="16"/>
    <n v="39.473684210526301"/>
    <n v="14407.8947368421"/>
    <n v="51868.421052631602"/>
  </r>
  <r>
    <x v="0"/>
    <x v="0"/>
    <x v="0"/>
    <x v="1"/>
    <x v="2"/>
    <s v="EE_Rural"/>
    <x v="11"/>
    <x v="105"/>
    <x v="0"/>
    <x v="17"/>
    <n v="39.473684210526301"/>
    <n v="14407.8947368421"/>
    <n v="51868.421052631602"/>
  </r>
  <r>
    <x v="0"/>
    <x v="0"/>
    <x v="0"/>
    <x v="1"/>
    <x v="2"/>
    <s v="EE_Rural"/>
    <x v="11"/>
    <x v="105"/>
    <x v="0"/>
    <x v="18"/>
    <n v="39.473684210526301"/>
    <n v="14407.8947368421"/>
    <n v="51868.421052631602"/>
  </r>
  <r>
    <x v="0"/>
    <x v="0"/>
    <x v="0"/>
    <x v="1"/>
    <x v="2"/>
    <s v="EE_Rural"/>
    <x v="11"/>
    <x v="105"/>
    <x v="0"/>
    <x v="19"/>
    <n v="39.473684210526301"/>
    <n v="14407.8947368421"/>
    <n v="51868.421052631602"/>
  </r>
  <r>
    <x v="0"/>
    <x v="0"/>
    <x v="0"/>
    <x v="1"/>
    <x v="2"/>
    <s v="EE_Rural"/>
    <x v="11"/>
    <x v="105"/>
    <x v="0"/>
    <x v="20"/>
    <n v="39.473684210526301"/>
    <n v="14407.8947368421"/>
    <n v="51868.421052631602"/>
  </r>
  <r>
    <x v="0"/>
    <x v="0"/>
    <x v="0"/>
    <x v="1"/>
    <x v="2"/>
    <s v="EE_Rural"/>
    <x v="11"/>
    <x v="105"/>
    <x v="0"/>
    <x v="21"/>
    <n v="39.473684210526301"/>
    <n v="14407.8947368421"/>
    <n v="51868.421052631602"/>
  </r>
  <r>
    <x v="0"/>
    <x v="0"/>
    <x v="0"/>
    <x v="1"/>
    <x v="2"/>
    <s v="EE_Rural"/>
    <x v="11"/>
    <x v="105"/>
    <x v="0"/>
    <x v="22"/>
    <n v="39.473684210526301"/>
    <n v="14407.8947368421"/>
    <n v="51868.421052631602"/>
  </r>
  <r>
    <x v="0"/>
    <x v="0"/>
    <x v="0"/>
    <x v="1"/>
    <x v="2"/>
    <s v="EE_Rural"/>
    <x v="11"/>
    <x v="105"/>
    <x v="0"/>
    <x v="23"/>
    <n v="39.473684210526301"/>
    <n v="14407.8947368421"/>
    <n v="51868.421052631602"/>
  </r>
  <r>
    <x v="0"/>
    <x v="0"/>
    <x v="0"/>
    <x v="1"/>
    <x v="2"/>
    <s v="EE_Sillamae"/>
    <x v="3"/>
    <x v="102"/>
    <x v="0"/>
    <x v="0"/>
    <n v="22.701765126007601"/>
    <n v="8286.1442709927596"/>
    <n v="29830.1193755739"/>
  </r>
  <r>
    <x v="0"/>
    <x v="0"/>
    <x v="0"/>
    <x v="1"/>
    <x v="2"/>
    <s v="EE_Sillamae"/>
    <x v="3"/>
    <x v="102"/>
    <x v="0"/>
    <x v="1"/>
    <n v="22.701765126007601"/>
    <n v="8286.1442709927596"/>
    <n v="29830.1193755739"/>
  </r>
  <r>
    <x v="0"/>
    <x v="0"/>
    <x v="0"/>
    <x v="1"/>
    <x v="2"/>
    <s v="EE_Sillamae"/>
    <x v="3"/>
    <x v="102"/>
    <x v="0"/>
    <x v="2"/>
    <n v="22.701765126007601"/>
    <n v="8286.1442709927596"/>
    <n v="29830.1193755739"/>
  </r>
  <r>
    <x v="0"/>
    <x v="0"/>
    <x v="0"/>
    <x v="1"/>
    <x v="2"/>
    <s v="EE_Sillamae"/>
    <x v="3"/>
    <x v="102"/>
    <x v="0"/>
    <x v="3"/>
    <n v="22.701765126007601"/>
    <n v="8286.1442709927596"/>
    <n v="29830.1193755739"/>
  </r>
  <r>
    <x v="0"/>
    <x v="0"/>
    <x v="0"/>
    <x v="1"/>
    <x v="2"/>
    <s v="EE_Sillamae"/>
    <x v="3"/>
    <x v="102"/>
    <x v="0"/>
    <x v="4"/>
    <n v="22.701765126007601"/>
    <n v="8286.1442709927596"/>
    <n v="29830.1193755739"/>
  </r>
  <r>
    <x v="0"/>
    <x v="0"/>
    <x v="0"/>
    <x v="1"/>
    <x v="2"/>
    <s v="EE_Sillamae"/>
    <x v="3"/>
    <x v="102"/>
    <x v="0"/>
    <x v="5"/>
    <n v="22.701765126007601"/>
    <n v="8286.1442709927596"/>
    <n v="29830.1193755739"/>
  </r>
  <r>
    <x v="0"/>
    <x v="0"/>
    <x v="0"/>
    <x v="1"/>
    <x v="2"/>
    <s v="EE_Sillamae"/>
    <x v="3"/>
    <x v="102"/>
    <x v="0"/>
    <x v="6"/>
    <n v="22.701765126007601"/>
    <n v="8286.1442709927596"/>
    <n v="29830.1193755739"/>
  </r>
  <r>
    <x v="0"/>
    <x v="0"/>
    <x v="0"/>
    <x v="1"/>
    <x v="2"/>
    <s v="EE_Sillamae"/>
    <x v="3"/>
    <x v="102"/>
    <x v="0"/>
    <x v="7"/>
    <n v="22.701765126007601"/>
    <n v="8286.1442709927596"/>
    <n v="29830.1193755739"/>
  </r>
  <r>
    <x v="0"/>
    <x v="0"/>
    <x v="0"/>
    <x v="1"/>
    <x v="2"/>
    <s v="EE_Sillamae"/>
    <x v="3"/>
    <x v="102"/>
    <x v="0"/>
    <x v="8"/>
    <n v="22.701765126007601"/>
    <n v="8286.1442709927596"/>
    <n v="29830.1193755739"/>
  </r>
  <r>
    <x v="0"/>
    <x v="0"/>
    <x v="0"/>
    <x v="1"/>
    <x v="2"/>
    <s v="EE_Sillamae"/>
    <x v="3"/>
    <x v="102"/>
    <x v="0"/>
    <x v="9"/>
    <n v="22.701765126007601"/>
    <n v="8286.1442709927596"/>
    <n v="29830.1193755739"/>
  </r>
  <r>
    <x v="0"/>
    <x v="0"/>
    <x v="0"/>
    <x v="1"/>
    <x v="2"/>
    <s v="EE_Sillamae"/>
    <x v="3"/>
    <x v="102"/>
    <x v="0"/>
    <x v="10"/>
    <n v="22.701765126007601"/>
    <n v="8286.1442709927596"/>
    <n v="29830.1193755739"/>
  </r>
  <r>
    <x v="0"/>
    <x v="0"/>
    <x v="0"/>
    <x v="1"/>
    <x v="2"/>
    <s v="EE_Sillamae"/>
    <x v="3"/>
    <x v="102"/>
    <x v="0"/>
    <x v="11"/>
    <n v="22.701765126007601"/>
    <n v="8286.1442709927596"/>
    <n v="29830.1193755739"/>
  </r>
  <r>
    <x v="0"/>
    <x v="0"/>
    <x v="0"/>
    <x v="1"/>
    <x v="2"/>
    <s v="EE_Sillamae"/>
    <x v="3"/>
    <x v="102"/>
    <x v="0"/>
    <x v="12"/>
    <n v="22.701765126007601"/>
    <n v="8286.1442709927596"/>
    <n v="29830.1193755739"/>
  </r>
  <r>
    <x v="0"/>
    <x v="0"/>
    <x v="0"/>
    <x v="1"/>
    <x v="2"/>
    <s v="EE_Sillamae"/>
    <x v="3"/>
    <x v="102"/>
    <x v="0"/>
    <x v="13"/>
    <n v="22.701765126007601"/>
    <n v="8286.1442709927596"/>
    <n v="29830.1193755739"/>
  </r>
  <r>
    <x v="0"/>
    <x v="0"/>
    <x v="0"/>
    <x v="1"/>
    <x v="2"/>
    <s v="EE_Sillamae"/>
    <x v="3"/>
    <x v="102"/>
    <x v="0"/>
    <x v="14"/>
    <n v="22.701765126007601"/>
    <n v="8286.1442709927596"/>
    <n v="29830.1193755739"/>
  </r>
  <r>
    <x v="0"/>
    <x v="0"/>
    <x v="0"/>
    <x v="1"/>
    <x v="2"/>
    <s v="EE_Sillamae"/>
    <x v="3"/>
    <x v="102"/>
    <x v="0"/>
    <x v="15"/>
    <n v="22.701765126007601"/>
    <n v="8286.1442709927596"/>
    <n v="29830.1193755739"/>
  </r>
  <r>
    <x v="0"/>
    <x v="0"/>
    <x v="0"/>
    <x v="1"/>
    <x v="2"/>
    <s v="EE_Sillamae"/>
    <x v="3"/>
    <x v="102"/>
    <x v="0"/>
    <x v="16"/>
    <n v="22.701765126007601"/>
    <n v="8286.1442709927596"/>
    <n v="29830.1193755739"/>
  </r>
  <r>
    <x v="0"/>
    <x v="0"/>
    <x v="0"/>
    <x v="1"/>
    <x v="2"/>
    <s v="EE_Sillamae"/>
    <x v="3"/>
    <x v="102"/>
    <x v="0"/>
    <x v="17"/>
    <n v="22.701765126007601"/>
    <n v="8286.1442709927596"/>
    <n v="29830.1193755739"/>
  </r>
  <r>
    <x v="0"/>
    <x v="0"/>
    <x v="0"/>
    <x v="1"/>
    <x v="2"/>
    <s v="EE_Sillamae"/>
    <x v="3"/>
    <x v="102"/>
    <x v="0"/>
    <x v="18"/>
    <n v="22.701765126007601"/>
    <n v="8286.1442709927596"/>
    <n v="29830.1193755739"/>
  </r>
  <r>
    <x v="0"/>
    <x v="0"/>
    <x v="0"/>
    <x v="1"/>
    <x v="2"/>
    <s v="EE_Sillamae"/>
    <x v="3"/>
    <x v="102"/>
    <x v="0"/>
    <x v="19"/>
    <n v="22.701765126007601"/>
    <n v="8286.1442709927596"/>
    <n v="29830.1193755739"/>
  </r>
  <r>
    <x v="0"/>
    <x v="0"/>
    <x v="0"/>
    <x v="1"/>
    <x v="2"/>
    <s v="EE_Sillamae"/>
    <x v="3"/>
    <x v="102"/>
    <x v="0"/>
    <x v="20"/>
    <n v="22.701765126007601"/>
    <n v="8286.1442709927596"/>
    <n v="29830.1193755739"/>
  </r>
  <r>
    <x v="0"/>
    <x v="0"/>
    <x v="0"/>
    <x v="1"/>
    <x v="2"/>
    <s v="EE_Sillamae"/>
    <x v="3"/>
    <x v="102"/>
    <x v="0"/>
    <x v="21"/>
    <n v="22.701765126007601"/>
    <n v="8286.1442709927596"/>
    <n v="29830.1193755739"/>
  </r>
  <r>
    <x v="0"/>
    <x v="0"/>
    <x v="0"/>
    <x v="1"/>
    <x v="2"/>
    <s v="EE_Sillamae"/>
    <x v="3"/>
    <x v="102"/>
    <x v="0"/>
    <x v="22"/>
    <n v="22.701765126007601"/>
    <n v="8286.1442709927596"/>
    <n v="29830.1193755739"/>
  </r>
  <r>
    <x v="0"/>
    <x v="0"/>
    <x v="0"/>
    <x v="1"/>
    <x v="2"/>
    <s v="EE_Sillamae"/>
    <x v="3"/>
    <x v="102"/>
    <x v="0"/>
    <x v="23"/>
    <n v="22.701765126007601"/>
    <n v="8286.1442709927596"/>
    <n v="29830.1193755739"/>
  </r>
  <r>
    <x v="0"/>
    <x v="0"/>
    <x v="0"/>
    <x v="1"/>
    <x v="2"/>
    <s v="EE_Sillamae"/>
    <x v="13"/>
    <x v="106"/>
    <x v="0"/>
    <x v="0"/>
    <n v="60.652173913043498"/>
    <n v="22138.043478260901"/>
    <n v="79696.956521739106"/>
  </r>
  <r>
    <x v="0"/>
    <x v="0"/>
    <x v="0"/>
    <x v="1"/>
    <x v="2"/>
    <s v="EE_Sillamae"/>
    <x v="13"/>
    <x v="106"/>
    <x v="0"/>
    <x v="1"/>
    <n v="60.652173913043498"/>
    <n v="22138.043478260901"/>
    <n v="79696.956521739106"/>
  </r>
  <r>
    <x v="0"/>
    <x v="0"/>
    <x v="0"/>
    <x v="1"/>
    <x v="2"/>
    <s v="EE_Sillamae"/>
    <x v="13"/>
    <x v="106"/>
    <x v="0"/>
    <x v="2"/>
    <n v="60.652173913043498"/>
    <n v="22138.043478260901"/>
    <n v="79696.956521739106"/>
  </r>
  <r>
    <x v="0"/>
    <x v="0"/>
    <x v="0"/>
    <x v="1"/>
    <x v="2"/>
    <s v="EE_Sillamae"/>
    <x v="13"/>
    <x v="106"/>
    <x v="0"/>
    <x v="3"/>
    <n v="60.652173913043498"/>
    <n v="22138.043478260901"/>
    <n v="79696.956521739106"/>
  </r>
  <r>
    <x v="0"/>
    <x v="0"/>
    <x v="0"/>
    <x v="1"/>
    <x v="2"/>
    <s v="EE_Sillamae"/>
    <x v="13"/>
    <x v="106"/>
    <x v="0"/>
    <x v="4"/>
    <n v="60.652173913043498"/>
    <n v="22138.043478260901"/>
    <n v="79696.956521739106"/>
  </r>
  <r>
    <x v="0"/>
    <x v="0"/>
    <x v="0"/>
    <x v="1"/>
    <x v="2"/>
    <s v="EE_Sillamae"/>
    <x v="13"/>
    <x v="106"/>
    <x v="0"/>
    <x v="5"/>
    <n v="60.652173913043498"/>
    <n v="22138.043478260901"/>
    <n v="79696.956521739106"/>
  </r>
  <r>
    <x v="0"/>
    <x v="0"/>
    <x v="0"/>
    <x v="1"/>
    <x v="2"/>
    <s v="EE_Sillamae"/>
    <x v="13"/>
    <x v="106"/>
    <x v="0"/>
    <x v="6"/>
    <n v="60.652173913043498"/>
    <n v="22138.043478260901"/>
    <n v="79696.956521739106"/>
  </r>
  <r>
    <x v="0"/>
    <x v="0"/>
    <x v="0"/>
    <x v="1"/>
    <x v="2"/>
    <s v="EE_Sillamae"/>
    <x v="13"/>
    <x v="106"/>
    <x v="0"/>
    <x v="7"/>
    <n v="60.652173913043498"/>
    <n v="22138.043478260901"/>
    <n v="79696.956521739106"/>
  </r>
  <r>
    <x v="0"/>
    <x v="0"/>
    <x v="0"/>
    <x v="1"/>
    <x v="2"/>
    <s v="EE_Sillamae"/>
    <x v="13"/>
    <x v="106"/>
    <x v="0"/>
    <x v="8"/>
    <n v="60.652173913043498"/>
    <n v="22138.043478260901"/>
    <n v="79696.956521739106"/>
  </r>
  <r>
    <x v="0"/>
    <x v="0"/>
    <x v="0"/>
    <x v="1"/>
    <x v="2"/>
    <s v="EE_Sillamae"/>
    <x v="13"/>
    <x v="106"/>
    <x v="0"/>
    <x v="9"/>
    <n v="60.652173913043498"/>
    <n v="22138.043478260901"/>
    <n v="79696.956521739106"/>
  </r>
  <r>
    <x v="0"/>
    <x v="0"/>
    <x v="0"/>
    <x v="1"/>
    <x v="2"/>
    <s v="EE_Sillamae"/>
    <x v="13"/>
    <x v="106"/>
    <x v="0"/>
    <x v="10"/>
    <n v="60.652173913043498"/>
    <n v="22138.043478260901"/>
    <n v="79696.956521739106"/>
  </r>
  <r>
    <x v="0"/>
    <x v="0"/>
    <x v="0"/>
    <x v="1"/>
    <x v="2"/>
    <s v="EE_Sillamae"/>
    <x v="13"/>
    <x v="106"/>
    <x v="0"/>
    <x v="11"/>
    <n v="60.652173913043498"/>
    <n v="22138.043478260901"/>
    <n v="79696.956521739106"/>
  </r>
  <r>
    <x v="0"/>
    <x v="0"/>
    <x v="0"/>
    <x v="1"/>
    <x v="2"/>
    <s v="EE_Sillamae"/>
    <x v="13"/>
    <x v="106"/>
    <x v="0"/>
    <x v="12"/>
    <n v="60.652173913043498"/>
    <n v="22138.043478260901"/>
    <n v="79696.956521739106"/>
  </r>
  <r>
    <x v="0"/>
    <x v="0"/>
    <x v="0"/>
    <x v="1"/>
    <x v="2"/>
    <s v="EE_Sillamae"/>
    <x v="13"/>
    <x v="106"/>
    <x v="0"/>
    <x v="13"/>
    <n v="60.652173913043498"/>
    <n v="22138.043478260901"/>
    <n v="79696.956521739106"/>
  </r>
  <r>
    <x v="0"/>
    <x v="0"/>
    <x v="0"/>
    <x v="1"/>
    <x v="2"/>
    <s v="EE_Sillamae"/>
    <x v="13"/>
    <x v="106"/>
    <x v="0"/>
    <x v="14"/>
    <n v="60.652173913043498"/>
    <n v="22138.043478260901"/>
    <n v="79696.956521739106"/>
  </r>
  <r>
    <x v="0"/>
    <x v="0"/>
    <x v="0"/>
    <x v="1"/>
    <x v="2"/>
    <s v="EE_Sillamae"/>
    <x v="13"/>
    <x v="106"/>
    <x v="0"/>
    <x v="15"/>
    <n v="60.652173913043498"/>
    <n v="22138.043478260901"/>
    <n v="79696.956521739106"/>
  </r>
  <r>
    <x v="0"/>
    <x v="0"/>
    <x v="0"/>
    <x v="1"/>
    <x v="2"/>
    <s v="EE_Sillamae"/>
    <x v="13"/>
    <x v="106"/>
    <x v="0"/>
    <x v="16"/>
    <n v="60.652173913043498"/>
    <n v="22138.043478260901"/>
    <n v="79696.956521739106"/>
  </r>
  <r>
    <x v="0"/>
    <x v="0"/>
    <x v="0"/>
    <x v="1"/>
    <x v="2"/>
    <s v="EE_Sillamae"/>
    <x v="13"/>
    <x v="106"/>
    <x v="0"/>
    <x v="17"/>
    <n v="60.652173913043498"/>
    <n v="22138.043478260901"/>
    <n v="79696.956521739106"/>
  </r>
  <r>
    <x v="0"/>
    <x v="0"/>
    <x v="0"/>
    <x v="1"/>
    <x v="2"/>
    <s v="EE_Sillamae"/>
    <x v="13"/>
    <x v="106"/>
    <x v="0"/>
    <x v="18"/>
    <n v="60.652173913043498"/>
    <n v="22138.043478260901"/>
    <n v="79696.956521739106"/>
  </r>
  <r>
    <x v="0"/>
    <x v="0"/>
    <x v="0"/>
    <x v="1"/>
    <x v="2"/>
    <s v="EE_Sillamae"/>
    <x v="13"/>
    <x v="106"/>
    <x v="0"/>
    <x v="19"/>
    <n v="60.652173913043498"/>
    <n v="22138.043478260901"/>
    <n v="79696.956521739106"/>
  </r>
  <r>
    <x v="0"/>
    <x v="0"/>
    <x v="0"/>
    <x v="1"/>
    <x v="2"/>
    <s v="EE_Sillamae"/>
    <x v="13"/>
    <x v="106"/>
    <x v="0"/>
    <x v="20"/>
    <n v="60.652173913043498"/>
    <n v="22138.043478260901"/>
    <n v="79696.956521739106"/>
  </r>
  <r>
    <x v="0"/>
    <x v="0"/>
    <x v="0"/>
    <x v="1"/>
    <x v="2"/>
    <s v="EE_Sillamae"/>
    <x v="13"/>
    <x v="106"/>
    <x v="0"/>
    <x v="21"/>
    <n v="60.652173913043498"/>
    <n v="22138.043478260901"/>
    <n v="79696.956521739106"/>
  </r>
  <r>
    <x v="0"/>
    <x v="0"/>
    <x v="0"/>
    <x v="1"/>
    <x v="2"/>
    <s v="EE_Sillamae"/>
    <x v="13"/>
    <x v="106"/>
    <x v="0"/>
    <x v="22"/>
    <n v="60.652173913043498"/>
    <n v="22138.043478260901"/>
    <n v="79696.956521739106"/>
  </r>
  <r>
    <x v="0"/>
    <x v="0"/>
    <x v="0"/>
    <x v="1"/>
    <x v="2"/>
    <s v="EE_Sillamae"/>
    <x v="13"/>
    <x v="106"/>
    <x v="0"/>
    <x v="23"/>
    <n v="60.652173913043498"/>
    <n v="22138.043478260901"/>
    <n v="79696.956521739106"/>
  </r>
  <r>
    <x v="0"/>
    <x v="0"/>
    <x v="0"/>
    <x v="1"/>
    <x v="2"/>
    <s v="EE_Tallinn"/>
    <x v="2"/>
    <x v="107"/>
    <x v="0"/>
    <x v="0"/>
    <n v="56.6666666666667"/>
    <n v="20683.333333333299"/>
    <n v="74460"/>
  </r>
  <r>
    <x v="0"/>
    <x v="0"/>
    <x v="0"/>
    <x v="1"/>
    <x v="2"/>
    <s v="EE_Tallinn"/>
    <x v="2"/>
    <x v="107"/>
    <x v="0"/>
    <x v="1"/>
    <n v="56.6666666666667"/>
    <n v="20683.333333333299"/>
    <n v="74460"/>
  </r>
  <r>
    <x v="0"/>
    <x v="0"/>
    <x v="0"/>
    <x v="1"/>
    <x v="2"/>
    <s v="EE_Tallinn"/>
    <x v="2"/>
    <x v="107"/>
    <x v="0"/>
    <x v="2"/>
    <n v="56.6666666666667"/>
    <n v="20683.333333333299"/>
    <n v="74460"/>
  </r>
  <r>
    <x v="0"/>
    <x v="0"/>
    <x v="0"/>
    <x v="1"/>
    <x v="2"/>
    <s v="EE_Tallinn"/>
    <x v="2"/>
    <x v="107"/>
    <x v="0"/>
    <x v="3"/>
    <n v="56.6666666666667"/>
    <n v="20683.333333333299"/>
    <n v="74460"/>
  </r>
  <r>
    <x v="0"/>
    <x v="0"/>
    <x v="0"/>
    <x v="1"/>
    <x v="2"/>
    <s v="EE_Tallinn"/>
    <x v="2"/>
    <x v="107"/>
    <x v="0"/>
    <x v="4"/>
    <n v="56.6666666666667"/>
    <n v="20683.333333333299"/>
    <n v="74460"/>
  </r>
  <r>
    <x v="0"/>
    <x v="0"/>
    <x v="0"/>
    <x v="1"/>
    <x v="2"/>
    <s v="EE_Tallinn"/>
    <x v="2"/>
    <x v="107"/>
    <x v="0"/>
    <x v="5"/>
    <n v="56.6666666666667"/>
    <n v="20683.333333333299"/>
    <n v="74460"/>
  </r>
  <r>
    <x v="0"/>
    <x v="0"/>
    <x v="0"/>
    <x v="1"/>
    <x v="2"/>
    <s v="EE_Tallinn"/>
    <x v="2"/>
    <x v="107"/>
    <x v="0"/>
    <x v="6"/>
    <n v="56.6666666666667"/>
    <n v="20683.333333333299"/>
    <n v="74460"/>
  </r>
  <r>
    <x v="0"/>
    <x v="0"/>
    <x v="0"/>
    <x v="1"/>
    <x v="2"/>
    <s v="EE_Tallinn"/>
    <x v="2"/>
    <x v="107"/>
    <x v="0"/>
    <x v="7"/>
    <n v="56.6666666666667"/>
    <n v="20683.333333333299"/>
    <n v="74460"/>
  </r>
  <r>
    <x v="0"/>
    <x v="0"/>
    <x v="0"/>
    <x v="1"/>
    <x v="2"/>
    <s v="EE_Tallinn"/>
    <x v="2"/>
    <x v="107"/>
    <x v="0"/>
    <x v="8"/>
    <n v="56.6666666666667"/>
    <n v="20683.333333333299"/>
    <n v="74460"/>
  </r>
  <r>
    <x v="0"/>
    <x v="0"/>
    <x v="0"/>
    <x v="1"/>
    <x v="2"/>
    <s v="EE_Tallinn"/>
    <x v="2"/>
    <x v="107"/>
    <x v="0"/>
    <x v="9"/>
    <n v="56.6666666666667"/>
    <n v="20683.333333333299"/>
    <n v="74460"/>
  </r>
  <r>
    <x v="0"/>
    <x v="0"/>
    <x v="0"/>
    <x v="1"/>
    <x v="2"/>
    <s v="EE_Tallinn"/>
    <x v="2"/>
    <x v="107"/>
    <x v="0"/>
    <x v="10"/>
    <n v="56.6666666666667"/>
    <n v="20683.333333333299"/>
    <n v="74460"/>
  </r>
  <r>
    <x v="0"/>
    <x v="0"/>
    <x v="0"/>
    <x v="1"/>
    <x v="2"/>
    <s v="EE_Tallinn"/>
    <x v="2"/>
    <x v="107"/>
    <x v="0"/>
    <x v="11"/>
    <n v="56.6666666666667"/>
    <n v="20683.333333333299"/>
    <n v="74460"/>
  </r>
  <r>
    <x v="0"/>
    <x v="0"/>
    <x v="0"/>
    <x v="1"/>
    <x v="2"/>
    <s v="EE_Tallinn"/>
    <x v="2"/>
    <x v="107"/>
    <x v="0"/>
    <x v="12"/>
    <n v="56.6666666666667"/>
    <n v="20683.333333333299"/>
    <n v="74460"/>
  </r>
  <r>
    <x v="0"/>
    <x v="0"/>
    <x v="0"/>
    <x v="1"/>
    <x v="2"/>
    <s v="EE_Tallinn"/>
    <x v="2"/>
    <x v="107"/>
    <x v="0"/>
    <x v="13"/>
    <n v="56.6666666666667"/>
    <n v="20683.333333333299"/>
    <n v="74460"/>
  </r>
  <r>
    <x v="0"/>
    <x v="0"/>
    <x v="0"/>
    <x v="1"/>
    <x v="2"/>
    <s v="EE_Tallinn"/>
    <x v="2"/>
    <x v="107"/>
    <x v="0"/>
    <x v="14"/>
    <n v="56.6666666666667"/>
    <n v="20683.333333333299"/>
    <n v="74460"/>
  </r>
  <r>
    <x v="0"/>
    <x v="0"/>
    <x v="0"/>
    <x v="1"/>
    <x v="2"/>
    <s v="EE_Tallinn"/>
    <x v="2"/>
    <x v="107"/>
    <x v="0"/>
    <x v="15"/>
    <n v="56.6666666666667"/>
    <n v="20683.333333333299"/>
    <n v="74460"/>
  </r>
  <r>
    <x v="0"/>
    <x v="0"/>
    <x v="0"/>
    <x v="1"/>
    <x v="2"/>
    <s v="EE_Tallinn"/>
    <x v="2"/>
    <x v="107"/>
    <x v="0"/>
    <x v="16"/>
    <n v="56.6666666666667"/>
    <n v="20683.333333333299"/>
    <n v="74460"/>
  </r>
  <r>
    <x v="0"/>
    <x v="0"/>
    <x v="0"/>
    <x v="1"/>
    <x v="2"/>
    <s v="EE_Tallinn"/>
    <x v="2"/>
    <x v="107"/>
    <x v="0"/>
    <x v="17"/>
    <n v="56.6666666666667"/>
    <n v="20683.333333333299"/>
    <n v="74460"/>
  </r>
  <r>
    <x v="0"/>
    <x v="0"/>
    <x v="0"/>
    <x v="1"/>
    <x v="2"/>
    <s v="EE_Tallinn"/>
    <x v="2"/>
    <x v="107"/>
    <x v="0"/>
    <x v="18"/>
    <n v="56.6666666666667"/>
    <n v="20683.333333333299"/>
    <n v="74460"/>
  </r>
  <r>
    <x v="0"/>
    <x v="0"/>
    <x v="0"/>
    <x v="1"/>
    <x v="2"/>
    <s v="EE_Tallinn"/>
    <x v="2"/>
    <x v="107"/>
    <x v="0"/>
    <x v="19"/>
    <n v="56.6666666666667"/>
    <n v="20683.333333333299"/>
    <n v="74460"/>
  </r>
  <r>
    <x v="0"/>
    <x v="0"/>
    <x v="0"/>
    <x v="1"/>
    <x v="2"/>
    <s v="EE_Tallinn"/>
    <x v="2"/>
    <x v="107"/>
    <x v="0"/>
    <x v="20"/>
    <n v="56.6666666666667"/>
    <n v="20683.333333333299"/>
    <n v="74460"/>
  </r>
  <r>
    <x v="0"/>
    <x v="0"/>
    <x v="0"/>
    <x v="1"/>
    <x v="2"/>
    <s v="EE_Tallinn"/>
    <x v="2"/>
    <x v="107"/>
    <x v="0"/>
    <x v="21"/>
    <n v="56.6666666666667"/>
    <n v="20683.333333333299"/>
    <n v="74460"/>
  </r>
  <r>
    <x v="0"/>
    <x v="0"/>
    <x v="0"/>
    <x v="1"/>
    <x v="2"/>
    <s v="EE_Tallinn"/>
    <x v="2"/>
    <x v="107"/>
    <x v="0"/>
    <x v="22"/>
    <n v="56.6666666666667"/>
    <n v="20683.333333333299"/>
    <n v="74460"/>
  </r>
  <r>
    <x v="0"/>
    <x v="0"/>
    <x v="0"/>
    <x v="1"/>
    <x v="2"/>
    <s v="EE_Tallinn"/>
    <x v="2"/>
    <x v="107"/>
    <x v="0"/>
    <x v="23"/>
    <n v="56.6666666666667"/>
    <n v="20683.333333333299"/>
    <n v="74460"/>
  </r>
  <r>
    <x v="0"/>
    <x v="0"/>
    <x v="0"/>
    <x v="1"/>
    <x v="2"/>
    <s v="EE_Tallinn"/>
    <x v="3"/>
    <x v="102"/>
    <x v="0"/>
    <x v="0"/>
    <n v="3.4052647689011302"/>
    <n v="1242.9216406489099"/>
    <n v="4474.5179063360902"/>
  </r>
  <r>
    <x v="0"/>
    <x v="0"/>
    <x v="0"/>
    <x v="1"/>
    <x v="2"/>
    <s v="EE_Tallinn"/>
    <x v="3"/>
    <x v="102"/>
    <x v="0"/>
    <x v="1"/>
    <n v="3.4052647689011302"/>
    <n v="1242.9216406489099"/>
    <n v="4474.5179063360902"/>
  </r>
  <r>
    <x v="0"/>
    <x v="0"/>
    <x v="0"/>
    <x v="1"/>
    <x v="2"/>
    <s v="EE_Tallinn"/>
    <x v="3"/>
    <x v="102"/>
    <x v="0"/>
    <x v="2"/>
    <n v="3.4052647689011302"/>
    <n v="1242.9216406489099"/>
    <n v="4474.5179063360902"/>
  </r>
  <r>
    <x v="0"/>
    <x v="0"/>
    <x v="0"/>
    <x v="1"/>
    <x v="2"/>
    <s v="EE_Tallinn"/>
    <x v="3"/>
    <x v="102"/>
    <x v="0"/>
    <x v="3"/>
    <n v="3.4052647689011302"/>
    <n v="1242.9216406489099"/>
    <n v="4474.5179063360902"/>
  </r>
  <r>
    <x v="0"/>
    <x v="0"/>
    <x v="0"/>
    <x v="1"/>
    <x v="2"/>
    <s v="EE_Tallinn"/>
    <x v="3"/>
    <x v="102"/>
    <x v="0"/>
    <x v="4"/>
    <n v="3.4052647689011302"/>
    <n v="1242.9216406489099"/>
    <n v="4474.5179063360902"/>
  </r>
  <r>
    <x v="0"/>
    <x v="0"/>
    <x v="0"/>
    <x v="1"/>
    <x v="2"/>
    <s v="EE_Tallinn"/>
    <x v="3"/>
    <x v="102"/>
    <x v="0"/>
    <x v="5"/>
    <n v="3.4052647689011302"/>
    <n v="1242.9216406489099"/>
    <n v="4474.5179063360902"/>
  </r>
  <r>
    <x v="0"/>
    <x v="0"/>
    <x v="0"/>
    <x v="1"/>
    <x v="2"/>
    <s v="EE_Tallinn"/>
    <x v="3"/>
    <x v="102"/>
    <x v="0"/>
    <x v="6"/>
    <n v="3.4052647689011302"/>
    <n v="1242.9216406489099"/>
    <n v="4474.5179063360902"/>
  </r>
  <r>
    <x v="0"/>
    <x v="0"/>
    <x v="0"/>
    <x v="1"/>
    <x v="2"/>
    <s v="EE_Tallinn"/>
    <x v="3"/>
    <x v="102"/>
    <x v="0"/>
    <x v="7"/>
    <n v="3.4052647689011302"/>
    <n v="1242.9216406489099"/>
    <n v="4474.5179063360902"/>
  </r>
  <r>
    <x v="0"/>
    <x v="0"/>
    <x v="0"/>
    <x v="1"/>
    <x v="2"/>
    <s v="EE_Tallinn"/>
    <x v="3"/>
    <x v="102"/>
    <x v="0"/>
    <x v="8"/>
    <n v="3.4052647689011302"/>
    <n v="1242.9216406489099"/>
    <n v="4474.5179063360902"/>
  </r>
  <r>
    <x v="0"/>
    <x v="0"/>
    <x v="0"/>
    <x v="1"/>
    <x v="2"/>
    <s v="EE_Tallinn"/>
    <x v="3"/>
    <x v="102"/>
    <x v="0"/>
    <x v="9"/>
    <n v="3.4052647689011302"/>
    <n v="1242.9216406489099"/>
    <n v="4474.5179063360902"/>
  </r>
  <r>
    <x v="0"/>
    <x v="0"/>
    <x v="0"/>
    <x v="1"/>
    <x v="2"/>
    <s v="EE_Tallinn"/>
    <x v="3"/>
    <x v="102"/>
    <x v="0"/>
    <x v="10"/>
    <n v="3.4052647689011302"/>
    <n v="1242.9216406489099"/>
    <n v="4474.5179063360902"/>
  </r>
  <r>
    <x v="0"/>
    <x v="0"/>
    <x v="0"/>
    <x v="1"/>
    <x v="2"/>
    <s v="EE_Tallinn"/>
    <x v="3"/>
    <x v="102"/>
    <x v="0"/>
    <x v="11"/>
    <n v="3.4052647689011302"/>
    <n v="1242.9216406489099"/>
    <n v="4474.5179063360902"/>
  </r>
  <r>
    <x v="0"/>
    <x v="0"/>
    <x v="0"/>
    <x v="1"/>
    <x v="2"/>
    <s v="EE_Tallinn"/>
    <x v="3"/>
    <x v="102"/>
    <x v="0"/>
    <x v="12"/>
    <n v="3.4052647689011302"/>
    <n v="1242.9216406489099"/>
    <n v="4474.5179063360902"/>
  </r>
  <r>
    <x v="0"/>
    <x v="0"/>
    <x v="0"/>
    <x v="1"/>
    <x v="2"/>
    <s v="EE_Tallinn"/>
    <x v="3"/>
    <x v="102"/>
    <x v="0"/>
    <x v="13"/>
    <n v="3.4052647689011302"/>
    <n v="1242.9216406489099"/>
    <n v="4474.5179063360902"/>
  </r>
  <r>
    <x v="0"/>
    <x v="0"/>
    <x v="0"/>
    <x v="1"/>
    <x v="2"/>
    <s v="EE_Tallinn"/>
    <x v="3"/>
    <x v="102"/>
    <x v="0"/>
    <x v="14"/>
    <n v="3.4052647689011302"/>
    <n v="1242.9216406489099"/>
    <n v="4474.5179063360902"/>
  </r>
  <r>
    <x v="0"/>
    <x v="0"/>
    <x v="0"/>
    <x v="1"/>
    <x v="2"/>
    <s v="EE_Tallinn"/>
    <x v="3"/>
    <x v="102"/>
    <x v="0"/>
    <x v="15"/>
    <n v="3.4052647689011302"/>
    <n v="1242.9216406489099"/>
    <n v="4474.5179063360902"/>
  </r>
  <r>
    <x v="0"/>
    <x v="0"/>
    <x v="0"/>
    <x v="1"/>
    <x v="2"/>
    <s v="EE_Tallinn"/>
    <x v="3"/>
    <x v="102"/>
    <x v="0"/>
    <x v="16"/>
    <n v="3.4052647689011302"/>
    <n v="1242.9216406489099"/>
    <n v="4474.5179063360902"/>
  </r>
  <r>
    <x v="0"/>
    <x v="0"/>
    <x v="0"/>
    <x v="1"/>
    <x v="2"/>
    <s v="EE_Tallinn"/>
    <x v="3"/>
    <x v="102"/>
    <x v="0"/>
    <x v="17"/>
    <n v="3.4052647689011302"/>
    <n v="1242.9216406489099"/>
    <n v="4474.5179063360902"/>
  </r>
  <r>
    <x v="0"/>
    <x v="0"/>
    <x v="0"/>
    <x v="1"/>
    <x v="2"/>
    <s v="EE_Tallinn"/>
    <x v="3"/>
    <x v="102"/>
    <x v="0"/>
    <x v="18"/>
    <n v="3.4052647689011302"/>
    <n v="1242.9216406489099"/>
    <n v="4474.5179063360902"/>
  </r>
  <r>
    <x v="0"/>
    <x v="0"/>
    <x v="0"/>
    <x v="1"/>
    <x v="2"/>
    <s v="EE_Tallinn"/>
    <x v="3"/>
    <x v="102"/>
    <x v="0"/>
    <x v="19"/>
    <n v="3.4052647689011302"/>
    <n v="1242.9216406489099"/>
    <n v="4474.5179063360902"/>
  </r>
  <r>
    <x v="0"/>
    <x v="0"/>
    <x v="0"/>
    <x v="1"/>
    <x v="2"/>
    <s v="EE_Tallinn"/>
    <x v="3"/>
    <x v="102"/>
    <x v="0"/>
    <x v="20"/>
    <n v="3.4052647689011302"/>
    <n v="1242.9216406489099"/>
    <n v="4474.5179063360902"/>
  </r>
  <r>
    <x v="0"/>
    <x v="0"/>
    <x v="0"/>
    <x v="1"/>
    <x v="2"/>
    <s v="EE_Tallinn"/>
    <x v="3"/>
    <x v="102"/>
    <x v="0"/>
    <x v="21"/>
    <n v="3.4052647689011302"/>
    <n v="1242.9216406489099"/>
    <n v="4474.5179063360902"/>
  </r>
  <r>
    <x v="0"/>
    <x v="0"/>
    <x v="0"/>
    <x v="1"/>
    <x v="2"/>
    <s v="EE_Tallinn"/>
    <x v="3"/>
    <x v="102"/>
    <x v="0"/>
    <x v="22"/>
    <n v="3.4052647689011302"/>
    <n v="1242.9216406489099"/>
    <n v="4474.5179063360902"/>
  </r>
  <r>
    <x v="0"/>
    <x v="0"/>
    <x v="0"/>
    <x v="1"/>
    <x v="2"/>
    <s v="EE_Tallinn"/>
    <x v="3"/>
    <x v="102"/>
    <x v="0"/>
    <x v="23"/>
    <n v="3.4052647689011302"/>
    <n v="1242.9216406489099"/>
    <n v="4474.5179063360902"/>
  </r>
  <r>
    <x v="0"/>
    <x v="0"/>
    <x v="0"/>
    <x v="1"/>
    <x v="2"/>
    <s v="EE_Tallinn"/>
    <x v="3"/>
    <x v="108"/>
    <x v="0"/>
    <x v="0"/>
    <n v="305.06648491737099"/>
    <n v="111349.26699484"/>
    <n v="400857.36118142598"/>
  </r>
  <r>
    <x v="0"/>
    <x v="0"/>
    <x v="0"/>
    <x v="1"/>
    <x v="2"/>
    <s v="EE_Tallinn"/>
    <x v="3"/>
    <x v="108"/>
    <x v="0"/>
    <x v="1"/>
    <n v="310.08643025544802"/>
    <n v="113181.547043238"/>
    <n v="407453.56935565802"/>
  </r>
  <r>
    <x v="0"/>
    <x v="0"/>
    <x v="0"/>
    <x v="1"/>
    <x v="2"/>
    <s v="EE_Tallinn"/>
    <x v="3"/>
    <x v="108"/>
    <x v="0"/>
    <x v="2"/>
    <n v="311.65516317359697"/>
    <n v="113754.134558363"/>
    <n v="409514.88441010599"/>
  </r>
  <r>
    <x v="0"/>
    <x v="0"/>
    <x v="0"/>
    <x v="1"/>
    <x v="2"/>
    <s v="EE_Tallinn"/>
    <x v="3"/>
    <x v="108"/>
    <x v="0"/>
    <x v="3"/>
    <n v="306.94896441915"/>
    <n v="112036.37201299"/>
    <n v="403330.939246764"/>
  </r>
  <r>
    <x v="0"/>
    <x v="0"/>
    <x v="0"/>
    <x v="1"/>
    <x v="2"/>
    <s v="EE_Tallinn"/>
    <x v="3"/>
    <x v="108"/>
    <x v="0"/>
    <x v="4"/>
    <n v="296.59532715936598"/>
    <n v="108257.294413169"/>
    <n v="389726.25988740701"/>
  </r>
  <r>
    <x v="0"/>
    <x v="0"/>
    <x v="0"/>
    <x v="1"/>
    <x v="2"/>
    <s v="EE_Tallinn"/>
    <x v="3"/>
    <x v="108"/>
    <x v="0"/>
    <x v="5"/>
    <n v="281.53549114513601"/>
    <n v="102760.454267975"/>
    <n v="369937.63536470901"/>
  </r>
  <r>
    <x v="0"/>
    <x v="0"/>
    <x v="0"/>
    <x v="1"/>
    <x v="2"/>
    <s v="EE_Tallinn"/>
    <x v="3"/>
    <x v="108"/>
    <x v="0"/>
    <x v="6"/>
    <n v="262.39694954372101"/>
    <n v="95774.886583458006"/>
    <n v="344789.591700449"/>
  </r>
  <r>
    <x v="0"/>
    <x v="0"/>
    <x v="0"/>
    <x v="1"/>
    <x v="2"/>
    <s v="EE_Tallinn"/>
    <x v="3"/>
    <x v="108"/>
    <x v="0"/>
    <x v="7"/>
    <n v="238.865955771486"/>
    <n v="87186.073856592295"/>
    <n v="313869.86588373198"/>
  </r>
  <r>
    <x v="0"/>
    <x v="0"/>
    <x v="0"/>
    <x v="1"/>
    <x v="2"/>
    <s v="EE_Tallinn"/>
    <x v="3"/>
    <x v="108"/>
    <x v="0"/>
    <x v="8"/>
    <n v="218.47242783555001"/>
    <n v="79742.436159975696"/>
    <n v="287072.770175913"/>
  </r>
  <r>
    <x v="0"/>
    <x v="0"/>
    <x v="0"/>
    <x v="1"/>
    <x v="2"/>
    <s v="EE_Tallinn"/>
    <x v="3"/>
    <x v="108"/>
    <x v="0"/>
    <x v="9"/>
    <n v="199.96137940139201"/>
    <n v="72985.903481507994"/>
    <n v="262749.25253342901"/>
  </r>
  <r>
    <x v="0"/>
    <x v="0"/>
    <x v="0"/>
    <x v="1"/>
    <x v="2"/>
    <s v="EE_Tallinn"/>
    <x v="3"/>
    <x v="108"/>
    <x v="0"/>
    <x v="10"/>
    <n v="183.332810469013"/>
    <n v="66916.475821189597"/>
    <n v="240899.312956282"/>
  </r>
  <r>
    <x v="0"/>
    <x v="0"/>
    <x v="0"/>
    <x v="1"/>
    <x v="2"/>
    <s v="EE_Tallinn"/>
    <x v="3"/>
    <x v="108"/>
    <x v="0"/>
    <x v="11"/>
    <n v="169.527960789302"/>
    <n v="61877.705688095397"/>
    <n v="222759.740477143"/>
  </r>
  <r>
    <x v="0"/>
    <x v="0"/>
    <x v="0"/>
    <x v="1"/>
    <x v="2"/>
    <s v="EE_Tallinn"/>
    <x v="3"/>
    <x v="108"/>
    <x v="0"/>
    <x v="12"/>
    <n v="157.60559061137201"/>
    <n v="57526.040573150698"/>
    <n v="207093.746063342"/>
  </r>
  <r>
    <x v="0"/>
    <x v="0"/>
    <x v="0"/>
    <x v="1"/>
    <x v="2"/>
    <s v="EE_Tallinn"/>
    <x v="3"/>
    <x v="108"/>
    <x v="0"/>
    <x v="13"/>
    <n v="147.879446518847"/>
    <n v="53975.997979378997"/>
    <n v="194313.59272576499"/>
  </r>
  <r>
    <x v="0"/>
    <x v="0"/>
    <x v="0"/>
    <x v="1"/>
    <x v="2"/>
    <s v="EE_Tallinn"/>
    <x v="3"/>
    <x v="108"/>
    <x v="0"/>
    <x v="14"/>
    <n v="141.91826142988199"/>
    <n v="51800.165421906997"/>
    <n v="186480.59551886501"/>
  </r>
  <r>
    <x v="0"/>
    <x v="0"/>
    <x v="0"/>
    <x v="1"/>
    <x v="2"/>
    <s v="EE_Tallinn"/>
    <x v="3"/>
    <x v="108"/>
    <x v="0"/>
    <x v="15"/>
    <n v="137.525809259065"/>
    <n v="50196.9203795586"/>
    <n v="180708.913366411"/>
  </r>
  <r>
    <x v="0"/>
    <x v="0"/>
    <x v="0"/>
    <x v="1"/>
    <x v="2"/>
    <s v="EE_Tallinn"/>
    <x v="3"/>
    <x v="108"/>
    <x v="0"/>
    <x v="16"/>
    <n v="133.760850255506"/>
    <n v="48822.7103432597"/>
    <n v="175761.75723573501"/>
  </r>
  <r>
    <x v="0"/>
    <x v="0"/>
    <x v="0"/>
    <x v="1"/>
    <x v="2"/>
    <s v="EE_Tallinn"/>
    <x v="3"/>
    <x v="108"/>
    <x v="0"/>
    <x v="17"/>
    <n v="130.30963783557999"/>
    <n v="47563.017809986697"/>
    <n v="171226.86411595199"/>
  </r>
  <r>
    <x v="0"/>
    <x v="0"/>
    <x v="0"/>
    <x v="1"/>
    <x v="2"/>
    <s v="EE_Tallinn"/>
    <x v="3"/>
    <x v="108"/>
    <x v="0"/>
    <x v="18"/>
    <n v="126.544678832022"/>
    <n v="46188.807773687797"/>
    <n v="166279.70798527601"/>
  </r>
  <r>
    <x v="0"/>
    <x v="0"/>
    <x v="0"/>
    <x v="1"/>
    <x v="2"/>
    <s v="EE_Tallinn"/>
    <x v="3"/>
    <x v="108"/>
    <x v="0"/>
    <x v="19"/>
    <n v="122.152226661206"/>
    <n v="44585.562731340098"/>
    <n v="160508.025832824"/>
  </r>
  <r>
    <x v="0"/>
    <x v="0"/>
    <x v="0"/>
    <x v="1"/>
    <x v="2"/>
    <s v="EE_Tallinn"/>
    <x v="3"/>
    <x v="108"/>
    <x v="0"/>
    <x v="20"/>
    <n v="118.387267657647"/>
    <n v="43211.352695041198"/>
    <n v="155560.86970214799"/>
  </r>
  <r>
    <x v="0"/>
    <x v="0"/>
    <x v="0"/>
    <x v="1"/>
    <x v="2"/>
    <s v="EE_Tallinn"/>
    <x v="3"/>
    <x v="108"/>
    <x v="0"/>
    <x v="21"/>
    <n v="114.622308654091"/>
    <n v="41837.142658743098"/>
    <n v="150613.713571475"/>
  </r>
  <r>
    <x v="0"/>
    <x v="0"/>
    <x v="0"/>
    <x v="1"/>
    <x v="2"/>
    <s v="EE_Tallinn"/>
    <x v="3"/>
    <x v="108"/>
    <x v="0"/>
    <x v="22"/>
    <n v="111.79858940142201"/>
    <n v="40806.485131518901"/>
    <n v="146903.346473468"/>
  </r>
  <r>
    <x v="0"/>
    <x v="0"/>
    <x v="0"/>
    <x v="1"/>
    <x v="2"/>
    <s v="EE_Tallinn"/>
    <x v="3"/>
    <x v="108"/>
    <x v="0"/>
    <x v="23"/>
    <n v="110.857349650532"/>
    <n v="40462.932622444197"/>
    <n v="145666.55744079899"/>
  </r>
  <r>
    <x v="0"/>
    <x v="0"/>
    <x v="0"/>
    <x v="1"/>
    <x v="2"/>
    <s v="EE_Tallinn"/>
    <x v="13"/>
    <x v="109"/>
    <x v="0"/>
    <x v="0"/>
    <n v="46.739166304383701"/>
    <n v="17059.7957011"/>
    <n v="61415.264523960199"/>
  </r>
  <r>
    <x v="0"/>
    <x v="0"/>
    <x v="0"/>
    <x v="1"/>
    <x v="2"/>
    <s v="EE_Tallinn"/>
    <x v="13"/>
    <x v="109"/>
    <x v="0"/>
    <x v="1"/>
    <n v="46.739166304383701"/>
    <n v="17059.7957011"/>
    <n v="61415.264523960199"/>
  </r>
  <r>
    <x v="0"/>
    <x v="0"/>
    <x v="0"/>
    <x v="1"/>
    <x v="2"/>
    <s v="EE_Tallinn"/>
    <x v="13"/>
    <x v="109"/>
    <x v="0"/>
    <x v="2"/>
    <n v="46.739166304383701"/>
    <n v="17059.7957011"/>
    <n v="61415.264523960199"/>
  </r>
  <r>
    <x v="0"/>
    <x v="0"/>
    <x v="0"/>
    <x v="1"/>
    <x v="2"/>
    <s v="EE_Tallinn"/>
    <x v="13"/>
    <x v="109"/>
    <x v="0"/>
    <x v="3"/>
    <n v="46.739166304383701"/>
    <n v="17059.7957011"/>
    <n v="61415.264523960199"/>
  </r>
  <r>
    <x v="0"/>
    <x v="0"/>
    <x v="0"/>
    <x v="1"/>
    <x v="2"/>
    <s v="EE_Tallinn"/>
    <x v="13"/>
    <x v="109"/>
    <x v="0"/>
    <x v="4"/>
    <n v="46.739166304383701"/>
    <n v="17059.7957011"/>
    <n v="61415.264523960199"/>
  </r>
  <r>
    <x v="0"/>
    <x v="0"/>
    <x v="0"/>
    <x v="1"/>
    <x v="2"/>
    <s v="EE_Tallinn"/>
    <x v="13"/>
    <x v="109"/>
    <x v="0"/>
    <x v="5"/>
    <n v="46.739166304383701"/>
    <n v="17059.7957011"/>
    <n v="61415.264523960199"/>
  </r>
  <r>
    <x v="0"/>
    <x v="0"/>
    <x v="0"/>
    <x v="1"/>
    <x v="2"/>
    <s v="EE_Tallinn"/>
    <x v="13"/>
    <x v="109"/>
    <x v="0"/>
    <x v="6"/>
    <n v="46.739166304383701"/>
    <n v="17059.7957011"/>
    <n v="61415.264523960199"/>
  </r>
  <r>
    <x v="0"/>
    <x v="0"/>
    <x v="0"/>
    <x v="1"/>
    <x v="2"/>
    <s v="EE_Tallinn"/>
    <x v="13"/>
    <x v="109"/>
    <x v="0"/>
    <x v="7"/>
    <n v="46.739166304383701"/>
    <n v="17059.7957011"/>
    <n v="61415.264523960199"/>
  </r>
  <r>
    <x v="0"/>
    <x v="0"/>
    <x v="0"/>
    <x v="1"/>
    <x v="2"/>
    <s v="EE_Tallinn"/>
    <x v="13"/>
    <x v="109"/>
    <x v="0"/>
    <x v="8"/>
    <n v="46.739166304383701"/>
    <n v="17059.7957011"/>
    <n v="61415.264523960199"/>
  </r>
  <r>
    <x v="0"/>
    <x v="0"/>
    <x v="0"/>
    <x v="1"/>
    <x v="2"/>
    <s v="EE_Tallinn"/>
    <x v="13"/>
    <x v="109"/>
    <x v="0"/>
    <x v="9"/>
    <n v="46.739166304383701"/>
    <n v="17059.7957011"/>
    <n v="61415.264523960199"/>
  </r>
  <r>
    <x v="0"/>
    <x v="0"/>
    <x v="0"/>
    <x v="1"/>
    <x v="2"/>
    <s v="EE_Tallinn"/>
    <x v="13"/>
    <x v="109"/>
    <x v="0"/>
    <x v="10"/>
    <n v="46.739166304383701"/>
    <n v="17059.7957011"/>
    <n v="61415.264523960199"/>
  </r>
  <r>
    <x v="0"/>
    <x v="0"/>
    <x v="0"/>
    <x v="1"/>
    <x v="2"/>
    <s v="EE_Tallinn"/>
    <x v="13"/>
    <x v="109"/>
    <x v="0"/>
    <x v="11"/>
    <n v="46.739166304383701"/>
    <n v="17059.7957011"/>
    <n v="61415.264523960199"/>
  </r>
  <r>
    <x v="0"/>
    <x v="0"/>
    <x v="0"/>
    <x v="1"/>
    <x v="2"/>
    <s v="EE_Tallinn"/>
    <x v="13"/>
    <x v="109"/>
    <x v="0"/>
    <x v="12"/>
    <n v="46.739166304383701"/>
    <n v="17059.7957011"/>
    <n v="61415.264523960199"/>
  </r>
  <r>
    <x v="0"/>
    <x v="0"/>
    <x v="0"/>
    <x v="1"/>
    <x v="2"/>
    <s v="EE_Tallinn"/>
    <x v="13"/>
    <x v="109"/>
    <x v="0"/>
    <x v="13"/>
    <n v="46.739166304383701"/>
    <n v="17059.7957011"/>
    <n v="61415.264523960199"/>
  </r>
  <r>
    <x v="0"/>
    <x v="0"/>
    <x v="0"/>
    <x v="1"/>
    <x v="2"/>
    <s v="EE_Tallinn"/>
    <x v="13"/>
    <x v="109"/>
    <x v="0"/>
    <x v="14"/>
    <n v="46.739166304383701"/>
    <n v="17059.7957011"/>
    <n v="61415.264523960199"/>
  </r>
  <r>
    <x v="0"/>
    <x v="0"/>
    <x v="0"/>
    <x v="1"/>
    <x v="2"/>
    <s v="EE_Tallinn"/>
    <x v="13"/>
    <x v="109"/>
    <x v="0"/>
    <x v="15"/>
    <n v="46.739166304383701"/>
    <n v="17059.7957011"/>
    <n v="61415.264523960199"/>
  </r>
  <r>
    <x v="0"/>
    <x v="0"/>
    <x v="0"/>
    <x v="1"/>
    <x v="2"/>
    <s v="EE_Tallinn"/>
    <x v="13"/>
    <x v="109"/>
    <x v="0"/>
    <x v="16"/>
    <n v="46.739166304383701"/>
    <n v="17059.7957011"/>
    <n v="61415.264523960199"/>
  </r>
  <r>
    <x v="0"/>
    <x v="0"/>
    <x v="0"/>
    <x v="1"/>
    <x v="2"/>
    <s v="EE_Tallinn"/>
    <x v="13"/>
    <x v="109"/>
    <x v="0"/>
    <x v="17"/>
    <n v="46.739166304383701"/>
    <n v="17059.7957011"/>
    <n v="61415.264523960199"/>
  </r>
  <r>
    <x v="0"/>
    <x v="0"/>
    <x v="0"/>
    <x v="1"/>
    <x v="2"/>
    <s v="EE_Tallinn"/>
    <x v="13"/>
    <x v="109"/>
    <x v="0"/>
    <x v="18"/>
    <n v="46.739166304383701"/>
    <n v="17059.7957011"/>
    <n v="61415.264523960199"/>
  </r>
  <r>
    <x v="0"/>
    <x v="0"/>
    <x v="0"/>
    <x v="1"/>
    <x v="2"/>
    <s v="EE_Tallinn"/>
    <x v="13"/>
    <x v="109"/>
    <x v="0"/>
    <x v="19"/>
    <n v="46.739166304383701"/>
    <n v="17059.7957011"/>
    <n v="61415.264523960199"/>
  </r>
  <r>
    <x v="0"/>
    <x v="0"/>
    <x v="0"/>
    <x v="1"/>
    <x v="2"/>
    <s v="EE_Tallinn"/>
    <x v="13"/>
    <x v="109"/>
    <x v="0"/>
    <x v="20"/>
    <n v="46.739166304383701"/>
    <n v="17059.7957011"/>
    <n v="61415.264523960199"/>
  </r>
  <r>
    <x v="0"/>
    <x v="0"/>
    <x v="0"/>
    <x v="1"/>
    <x v="2"/>
    <s v="EE_Tallinn"/>
    <x v="13"/>
    <x v="109"/>
    <x v="0"/>
    <x v="21"/>
    <n v="46.739166304383701"/>
    <n v="17059.7957011"/>
    <n v="61415.264523960199"/>
  </r>
  <r>
    <x v="0"/>
    <x v="0"/>
    <x v="0"/>
    <x v="1"/>
    <x v="2"/>
    <s v="EE_Tallinn"/>
    <x v="13"/>
    <x v="109"/>
    <x v="0"/>
    <x v="22"/>
    <n v="46.739166304383701"/>
    <n v="17059.7957011"/>
    <n v="61415.264523960199"/>
  </r>
  <r>
    <x v="0"/>
    <x v="0"/>
    <x v="0"/>
    <x v="1"/>
    <x v="2"/>
    <s v="EE_Tallinn"/>
    <x v="13"/>
    <x v="109"/>
    <x v="0"/>
    <x v="23"/>
    <n v="46.739166304383701"/>
    <n v="17059.7957011"/>
    <n v="61415.264523960199"/>
  </r>
  <r>
    <x v="0"/>
    <x v="0"/>
    <x v="0"/>
    <x v="1"/>
    <x v="2"/>
    <s v="EE_Tallinn"/>
    <x v="13"/>
    <x v="110"/>
    <x v="0"/>
    <x v="0"/>
    <n v="72.826094260870704"/>
    <n v="26581.524405217799"/>
    <n v="95693.487858784094"/>
  </r>
  <r>
    <x v="0"/>
    <x v="0"/>
    <x v="0"/>
    <x v="1"/>
    <x v="2"/>
    <s v="EE_Tallinn"/>
    <x v="13"/>
    <x v="110"/>
    <x v="0"/>
    <x v="1"/>
    <n v="72.826094260870704"/>
    <n v="26581.524405217799"/>
    <n v="95693.487858784094"/>
  </r>
  <r>
    <x v="0"/>
    <x v="0"/>
    <x v="0"/>
    <x v="1"/>
    <x v="2"/>
    <s v="EE_Tallinn"/>
    <x v="13"/>
    <x v="110"/>
    <x v="0"/>
    <x v="2"/>
    <n v="72.826094260870704"/>
    <n v="26581.524405217799"/>
    <n v="95693.487858784094"/>
  </r>
  <r>
    <x v="0"/>
    <x v="0"/>
    <x v="0"/>
    <x v="1"/>
    <x v="2"/>
    <s v="EE_Tallinn"/>
    <x v="13"/>
    <x v="110"/>
    <x v="0"/>
    <x v="3"/>
    <n v="72.826094260870704"/>
    <n v="26581.524405217799"/>
    <n v="95693.487858784094"/>
  </r>
  <r>
    <x v="0"/>
    <x v="0"/>
    <x v="0"/>
    <x v="1"/>
    <x v="2"/>
    <s v="EE_Tallinn"/>
    <x v="13"/>
    <x v="110"/>
    <x v="0"/>
    <x v="4"/>
    <n v="72.826094260870704"/>
    <n v="26581.524405217799"/>
    <n v="95693.487858784094"/>
  </r>
  <r>
    <x v="0"/>
    <x v="0"/>
    <x v="0"/>
    <x v="1"/>
    <x v="2"/>
    <s v="EE_Tallinn"/>
    <x v="13"/>
    <x v="110"/>
    <x v="0"/>
    <x v="5"/>
    <n v="72.826094260870704"/>
    <n v="26581.524405217799"/>
    <n v="95693.487858784094"/>
  </r>
  <r>
    <x v="0"/>
    <x v="0"/>
    <x v="0"/>
    <x v="1"/>
    <x v="2"/>
    <s v="EE_Tallinn"/>
    <x v="13"/>
    <x v="110"/>
    <x v="0"/>
    <x v="6"/>
    <n v="72.826094260870704"/>
    <n v="26581.524405217799"/>
    <n v="95693.487858784094"/>
  </r>
  <r>
    <x v="0"/>
    <x v="0"/>
    <x v="0"/>
    <x v="1"/>
    <x v="2"/>
    <s v="EE_Tallinn"/>
    <x v="13"/>
    <x v="110"/>
    <x v="0"/>
    <x v="7"/>
    <n v="72.826094260870704"/>
    <n v="26581.524405217799"/>
    <n v="95693.487858784094"/>
  </r>
  <r>
    <x v="0"/>
    <x v="0"/>
    <x v="0"/>
    <x v="1"/>
    <x v="2"/>
    <s v="EE_Tallinn"/>
    <x v="13"/>
    <x v="110"/>
    <x v="0"/>
    <x v="8"/>
    <n v="72.826094260870704"/>
    <n v="26581.524405217799"/>
    <n v="95693.487858784094"/>
  </r>
  <r>
    <x v="0"/>
    <x v="0"/>
    <x v="0"/>
    <x v="1"/>
    <x v="2"/>
    <s v="EE_Tallinn"/>
    <x v="13"/>
    <x v="110"/>
    <x v="0"/>
    <x v="9"/>
    <n v="72.826094260870704"/>
    <n v="26581.524405217799"/>
    <n v="95693.487858784094"/>
  </r>
  <r>
    <x v="0"/>
    <x v="0"/>
    <x v="0"/>
    <x v="1"/>
    <x v="2"/>
    <s v="EE_Tallinn"/>
    <x v="13"/>
    <x v="110"/>
    <x v="0"/>
    <x v="10"/>
    <n v="72.826094260870704"/>
    <n v="26581.524405217799"/>
    <n v="95693.487858784094"/>
  </r>
  <r>
    <x v="0"/>
    <x v="0"/>
    <x v="0"/>
    <x v="1"/>
    <x v="2"/>
    <s v="EE_Tallinn"/>
    <x v="13"/>
    <x v="110"/>
    <x v="0"/>
    <x v="11"/>
    <n v="72.826094260870704"/>
    <n v="26581.524405217799"/>
    <n v="95693.487858784094"/>
  </r>
  <r>
    <x v="0"/>
    <x v="0"/>
    <x v="0"/>
    <x v="1"/>
    <x v="2"/>
    <s v="EE_Tallinn"/>
    <x v="13"/>
    <x v="110"/>
    <x v="0"/>
    <x v="12"/>
    <n v="72.826094260870704"/>
    <n v="26581.524405217799"/>
    <n v="95693.487858784094"/>
  </r>
  <r>
    <x v="0"/>
    <x v="0"/>
    <x v="0"/>
    <x v="1"/>
    <x v="2"/>
    <s v="EE_Tallinn"/>
    <x v="13"/>
    <x v="110"/>
    <x v="0"/>
    <x v="13"/>
    <n v="72.826094260870704"/>
    <n v="26581.524405217799"/>
    <n v="95693.487858784094"/>
  </r>
  <r>
    <x v="0"/>
    <x v="0"/>
    <x v="0"/>
    <x v="1"/>
    <x v="2"/>
    <s v="EE_Tallinn"/>
    <x v="13"/>
    <x v="110"/>
    <x v="0"/>
    <x v="14"/>
    <n v="72.826094260870704"/>
    <n v="26581.524405217799"/>
    <n v="95693.487858784094"/>
  </r>
  <r>
    <x v="0"/>
    <x v="0"/>
    <x v="0"/>
    <x v="1"/>
    <x v="2"/>
    <s v="EE_Tallinn"/>
    <x v="13"/>
    <x v="110"/>
    <x v="0"/>
    <x v="15"/>
    <n v="72.826094260870704"/>
    <n v="26581.524405217799"/>
    <n v="95693.487858784094"/>
  </r>
  <r>
    <x v="0"/>
    <x v="0"/>
    <x v="0"/>
    <x v="1"/>
    <x v="2"/>
    <s v="EE_Tallinn"/>
    <x v="13"/>
    <x v="110"/>
    <x v="0"/>
    <x v="16"/>
    <n v="72.826094260870704"/>
    <n v="26581.524405217799"/>
    <n v="95693.487858784094"/>
  </r>
  <r>
    <x v="0"/>
    <x v="0"/>
    <x v="0"/>
    <x v="1"/>
    <x v="2"/>
    <s v="EE_Tallinn"/>
    <x v="13"/>
    <x v="110"/>
    <x v="0"/>
    <x v="17"/>
    <n v="72.826094260870704"/>
    <n v="26581.524405217799"/>
    <n v="95693.487858784094"/>
  </r>
  <r>
    <x v="0"/>
    <x v="0"/>
    <x v="0"/>
    <x v="1"/>
    <x v="2"/>
    <s v="EE_Tallinn"/>
    <x v="13"/>
    <x v="110"/>
    <x v="0"/>
    <x v="18"/>
    <n v="72.826094260870704"/>
    <n v="26581.524405217799"/>
    <n v="95693.487858784094"/>
  </r>
  <r>
    <x v="0"/>
    <x v="0"/>
    <x v="0"/>
    <x v="1"/>
    <x v="2"/>
    <s v="EE_Tallinn"/>
    <x v="13"/>
    <x v="110"/>
    <x v="0"/>
    <x v="19"/>
    <n v="72.826094260870704"/>
    <n v="26581.524405217799"/>
    <n v="95693.487858784094"/>
  </r>
  <r>
    <x v="0"/>
    <x v="0"/>
    <x v="0"/>
    <x v="1"/>
    <x v="2"/>
    <s v="EE_Tallinn"/>
    <x v="13"/>
    <x v="110"/>
    <x v="0"/>
    <x v="20"/>
    <n v="72.826094260870704"/>
    <n v="26581.524405217799"/>
    <n v="95693.487858784094"/>
  </r>
  <r>
    <x v="0"/>
    <x v="0"/>
    <x v="0"/>
    <x v="1"/>
    <x v="2"/>
    <s v="EE_Tallinn"/>
    <x v="13"/>
    <x v="110"/>
    <x v="0"/>
    <x v="21"/>
    <n v="72.826094260870704"/>
    <n v="26581.524405217799"/>
    <n v="95693.487858784094"/>
  </r>
  <r>
    <x v="0"/>
    <x v="0"/>
    <x v="0"/>
    <x v="1"/>
    <x v="2"/>
    <s v="EE_Tallinn"/>
    <x v="13"/>
    <x v="110"/>
    <x v="0"/>
    <x v="22"/>
    <n v="72.826094260870704"/>
    <n v="26581.524405217799"/>
    <n v="95693.487858784094"/>
  </r>
  <r>
    <x v="0"/>
    <x v="0"/>
    <x v="0"/>
    <x v="1"/>
    <x v="2"/>
    <s v="EE_Tallinn"/>
    <x v="13"/>
    <x v="110"/>
    <x v="0"/>
    <x v="23"/>
    <n v="72.826094260870704"/>
    <n v="26581.524405217799"/>
    <n v="95693.487858784094"/>
  </r>
  <r>
    <x v="0"/>
    <x v="0"/>
    <x v="0"/>
    <x v="1"/>
    <x v="2"/>
    <s v="EE_Tallinn"/>
    <x v="13"/>
    <x v="111"/>
    <x v="0"/>
    <x v="0"/>
    <n v="82.608724120096397"/>
    <n v="30152.184303835202"/>
    <n v="108547.863493807"/>
  </r>
  <r>
    <x v="0"/>
    <x v="0"/>
    <x v="0"/>
    <x v="1"/>
    <x v="2"/>
    <s v="EE_Tallinn"/>
    <x v="13"/>
    <x v="111"/>
    <x v="0"/>
    <x v="1"/>
    <n v="82.608724120096397"/>
    <n v="30152.184303835202"/>
    <n v="108547.863493807"/>
  </r>
  <r>
    <x v="0"/>
    <x v="0"/>
    <x v="0"/>
    <x v="1"/>
    <x v="2"/>
    <s v="EE_Tallinn"/>
    <x v="13"/>
    <x v="111"/>
    <x v="0"/>
    <x v="2"/>
    <n v="82.608724120096397"/>
    <n v="30152.184303835202"/>
    <n v="108547.863493807"/>
  </r>
  <r>
    <x v="0"/>
    <x v="0"/>
    <x v="0"/>
    <x v="1"/>
    <x v="2"/>
    <s v="EE_Tallinn"/>
    <x v="13"/>
    <x v="111"/>
    <x v="0"/>
    <x v="3"/>
    <n v="82.608724120096397"/>
    <n v="30152.184303835202"/>
    <n v="108547.863493807"/>
  </r>
  <r>
    <x v="0"/>
    <x v="0"/>
    <x v="0"/>
    <x v="1"/>
    <x v="2"/>
    <s v="EE_Tallinn"/>
    <x v="13"/>
    <x v="111"/>
    <x v="0"/>
    <x v="4"/>
    <n v="82.608724120096397"/>
    <n v="30152.184303835202"/>
    <n v="108547.863493807"/>
  </r>
  <r>
    <x v="0"/>
    <x v="0"/>
    <x v="0"/>
    <x v="1"/>
    <x v="2"/>
    <s v="EE_Tallinn"/>
    <x v="13"/>
    <x v="111"/>
    <x v="0"/>
    <x v="5"/>
    <n v="82.608724120096397"/>
    <n v="30152.184303835202"/>
    <n v="108547.863493807"/>
  </r>
  <r>
    <x v="0"/>
    <x v="0"/>
    <x v="0"/>
    <x v="1"/>
    <x v="2"/>
    <s v="EE_Tallinn"/>
    <x v="13"/>
    <x v="111"/>
    <x v="0"/>
    <x v="6"/>
    <n v="82.608724120096397"/>
    <n v="30152.184303835202"/>
    <n v="108547.863493807"/>
  </r>
  <r>
    <x v="0"/>
    <x v="0"/>
    <x v="0"/>
    <x v="1"/>
    <x v="2"/>
    <s v="EE_Tallinn"/>
    <x v="13"/>
    <x v="111"/>
    <x v="0"/>
    <x v="7"/>
    <n v="82.608724120096397"/>
    <n v="30152.184303835202"/>
    <n v="108547.863493807"/>
  </r>
  <r>
    <x v="0"/>
    <x v="0"/>
    <x v="0"/>
    <x v="1"/>
    <x v="2"/>
    <s v="EE_Tallinn"/>
    <x v="13"/>
    <x v="111"/>
    <x v="0"/>
    <x v="8"/>
    <n v="82.608724120096397"/>
    <n v="30152.184303835202"/>
    <n v="108547.863493807"/>
  </r>
  <r>
    <x v="0"/>
    <x v="0"/>
    <x v="0"/>
    <x v="1"/>
    <x v="2"/>
    <s v="EE_Tallinn"/>
    <x v="13"/>
    <x v="111"/>
    <x v="0"/>
    <x v="9"/>
    <n v="82.608724120096397"/>
    <n v="30152.184303835202"/>
    <n v="108547.863493807"/>
  </r>
  <r>
    <x v="0"/>
    <x v="0"/>
    <x v="0"/>
    <x v="1"/>
    <x v="2"/>
    <s v="EE_Tallinn"/>
    <x v="13"/>
    <x v="111"/>
    <x v="0"/>
    <x v="10"/>
    <n v="82.608724120096397"/>
    <n v="30152.184303835202"/>
    <n v="108547.863493807"/>
  </r>
  <r>
    <x v="0"/>
    <x v="0"/>
    <x v="0"/>
    <x v="1"/>
    <x v="2"/>
    <s v="EE_Tallinn"/>
    <x v="13"/>
    <x v="111"/>
    <x v="0"/>
    <x v="11"/>
    <n v="82.608724120096397"/>
    <n v="30152.184303835202"/>
    <n v="108547.863493807"/>
  </r>
  <r>
    <x v="0"/>
    <x v="0"/>
    <x v="0"/>
    <x v="1"/>
    <x v="2"/>
    <s v="EE_Tallinn"/>
    <x v="13"/>
    <x v="111"/>
    <x v="0"/>
    <x v="12"/>
    <n v="82.608724120096397"/>
    <n v="30152.184303835202"/>
    <n v="108547.863493807"/>
  </r>
  <r>
    <x v="0"/>
    <x v="0"/>
    <x v="0"/>
    <x v="1"/>
    <x v="2"/>
    <s v="EE_Tallinn"/>
    <x v="13"/>
    <x v="111"/>
    <x v="0"/>
    <x v="13"/>
    <n v="82.608724120096397"/>
    <n v="30152.184303835202"/>
    <n v="108547.863493807"/>
  </r>
  <r>
    <x v="0"/>
    <x v="0"/>
    <x v="0"/>
    <x v="1"/>
    <x v="2"/>
    <s v="EE_Tallinn"/>
    <x v="13"/>
    <x v="111"/>
    <x v="0"/>
    <x v="14"/>
    <n v="82.608724120096397"/>
    <n v="30152.184303835202"/>
    <n v="108547.863493807"/>
  </r>
  <r>
    <x v="0"/>
    <x v="0"/>
    <x v="0"/>
    <x v="1"/>
    <x v="2"/>
    <s v="EE_Tallinn"/>
    <x v="13"/>
    <x v="111"/>
    <x v="0"/>
    <x v="15"/>
    <n v="82.608724120096397"/>
    <n v="30152.184303835202"/>
    <n v="108547.863493807"/>
  </r>
  <r>
    <x v="0"/>
    <x v="0"/>
    <x v="0"/>
    <x v="1"/>
    <x v="2"/>
    <s v="EE_Tallinn"/>
    <x v="13"/>
    <x v="111"/>
    <x v="0"/>
    <x v="16"/>
    <n v="82.608724120096397"/>
    <n v="30152.184303835202"/>
    <n v="108547.863493807"/>
  </r>
  <r>
    <x v="0"/>
    <x v="0"/>
    <x v="0"/>
    <x v="1"/>
    <x v="2"/>
    <s v="EE_Tallinn"/>
    <x v="13"/>
    <x v="111"/>
    <x v="0"/>
    <x v="17"/>
    <n v="82.608724120096397"/>
    <n v="30152.184303835202"/>
    <n v="108547.863493807"/>
  </r>
  <r>
    <x v="0"/>
    <x v="0"/>
    <x v="0"/>
    <x v="1"/>
    <x v="2"/>
    <s v="EE_Tallinn"/>
    <x v="13"/>
    <x v="111"/>
    <x v="0"/>
    <x v="18"/>
    <n v="82.608724120096397"/>
    <n v="30152.184303835202"/>
    <n v="108547.863493807"/>
  </r>
  <r>
    <x v="0"/>
    <x v="0"/>
    <x v="0"/>
    <x v="1"/>
    <x v="2"/>
    <s v="EE_Tallinn"/>
    <x v="13"/>
    <x v="111"/>
    <x v="0"/>
    <x v="19"/>
    <n v="82.608724120096397"/>
    <n v="30152.184303835202"/>
    <n v="108547.863493807"/>
  </r>
  <r>
    <x v="0"/>
    <x v="0"/>
    <x v="0"/>
    <x v="1"/>
    <x v="2"/>
    <s v="EE_Tallinn"/>
    <x v="13"/>
    <x v="111"/>
    <x v="0"/>
    <x v="20"/>
    <n v="82.608724120096397"/>
    <n v="30152.184303835202"/>
    <n v="108547.863493807"/>
  </r>
  <r>
    <x v="0"/>
    <x v="0"/>
    <x v="0"/>
    <x v="1"/>
    <x v="2"/>
    <s v="EE_Tallinn"/>
    <x v="13"/>
    <x v="111"/>
    <x v="0"/>
    <x v="21"/>
    <n v="82.608724120096397"/>
    <n v="30152.184303835202"/>
    <n v="108547.863493807"/>
  </r>
  <r>
    <x v="0"/>
    <x v="0"/>
    <x v="0"/>
    <x v="1"/>
    <x v="2"/>
    <s v="EE_Tallinn"/>
    <x v="13"/>
    <x v="111"/>
    <x v="0"/>
    <x v="22"/>
    <n v="82.608724120096397"/>
    <n v="30152.184303835202"/>
    <n v="108547.863493807"/>
  </r>
  <r>
    <x v="0"/>
    <x v="0"/>
    <x v="0"/>
    <x v="1"/>
    <x v="2"/>
    <s v="EE_Tallinn"/>
    <x v="13"/>
    <x v="111"/>
    <x v="0"/>
    <x v="23"/>
    <n v="82.608724120096397"/>
    <n v="30152.184303835202"/>
    <n v="108547.863493807"/>
  </r>
  <r>
    <x v="0"/>
    <x v="0"/>
    <x v="0"/>
    <x v="1"/>
    <x v="2"/>
    <s v="EE_Tartu"/>
    <x v="3"/>
    <x v="101"/>
    <x v="0"/>
    <x v="0"/>
    <n v="24.559441288092501"/>
    <n v="8964.1960701537701"/>
    <n v="32271.105852553599"/>
  </r>
  <r>
    <x v="0"/>
    <x v="0"/>
    <x v="0"/>
    <x v="1"/>
    <x v="2"/>
    <s v="EE_Tartu"/>
    <x v="3"/>
    <x v="101"/>
    <x v="0"/>
    <x v="1"/>
    <n v="25.073917926778002"/>
    <n v="9151.9800432739794"/>
    <n v="32947.128155786297"/>
  </r>
  <r>
    <x v="0"/>
    <x v="0"/>
    <x v="0"/>
    <x v="1"/>
    <x v="2"/>
    <s v="EE_Tartu"/>
    <x v="3"/>
    <x v="101"/>
    <x v="0"/>
    <x v="2"/>
    <n v="25.234691876367101"/>
    <n v="9210.6625348739799"/>
    <n v="33158.385125546301"/>
  </r>
  <r>
    <x v="0"/>
    <x v="0"/>
    <x v="0"/>
    <x v="1"/>
    <x v="2"/>
    <s v="EE_Tartu"/>
    <x v="3"/>
    <x v="101"/>
    <x v="0"/>
    <x v="3"/>
    <n v="24.752370027599198"/>
    <n v="9034.6150600737001"/>
    <n v="32524.614216265301"/>
  </r>
  <r>
    <x v="0"/>
    <x v="0"/>
    <x v="0"/>
    <x v="1"/>
    <x v="2"/>
    <s v="EE_Tartu"/>
    <x v="3"/>
    <x v="101"/>
    <x v="0"/>
    <x v="4"/>
    <n v="23.691261960311301"/>
    <n v="8647.3106155136102"/>
    <n v="31130.318215849002"/>
  </r>
  <r>
    <x v="0"/>
    <x v="0"/>
    <x v="0"/>
    <x v="1"/>
    <x v="2"/>
    <s v="EE_Tartu"/>
    <x v="3"/>
    <x v="101"/>
    <x v="0"/>
    <x v="5"/>
    <n v="22.1478320442551"/>
    <n v="8083.9586961531204"/>
    <n v="29102.2513061512"/>
  </r>
  <r>
    <x v="0"/>
    <x v="0"/>
    <x v="0"/>
    <x v="1"/>
    <x v="2"/>
    <s v="EE_Tartu"/>
    <x v="3"/>
    <x v="101"/>
    <x v="0"/>
    <x v="6"/>
    <n v="20.1863898592674"/>
    <n v="7368.03229863259"/>
    <n v="26524.916275077299"/>
  </r>
  <r>
    <x v="0"/>
    <x v="0"/>
    <x v="0"/>
    <x v="1"/>
    <x v="2"/>
    <s v="EE_Tartu"/>
    <x v="3"/>
    <x v="101"/>
    <x v="0"/>
    <x v="7"/>
    <n v="17.77478061543"/>
    <n v="6487.7949246319404"/>
    <n v="23356.061728674998"/>
  </r>
  <r>
    <x v="0"/>
    <x v="0"/>
    <x v="0"/>
    <x v="1"/>
    <x v="2"/>
    <s v="EE_Tartu"/>
    <x v="3"/>
    <x v="101"/>
    <x v="0"/>
    <x v="8"/>
    <n v="15.684719270771"/>
    <n v="5724.92253383141"/>
    <n v="20609.7211217931"/>
  </r>
  <r>
    <x v="0"/>
    <x v="0"/>
    <x v="0"/>
    <x v="1"/>
    <x v="2"/>
    <s v="EE_Tartu"/>
    <x v="3"/>
    <x v="101"/>
    <x v="0"/>
    <x v="9"/>
    <n v="13.7875866656189"/>
    <n v="5032.4691329508996"/>
    <n v="18116.8888786233"/>
  </r>
  <r>
    <x v="0"/>
    <x v="0"/>
    <x v="0"/>
    <x v="1"/>
    <x v="2"/>
    <s v="EE_Tartu"/>
    <x v="3"/>
    <x v="101"/>
    <x v="0"/>
    <x v="10"/>
    <n v="12.083382799973901"/>
    <n v="4410.4347219904803"/>
    <n v="15877.564999165699"/>
  </r>
  <r>
    <x v="0"/>
    <x v="0"/>
    <x v="0"/>
    <x v="1"/>
    <x v="2"/>
    <s v="EE_Tartu"/>
    <x v="3"/>
    <x v="101"/>
    <x v="0"/>
    <x v="11"/>
    <n v="10.6685720435893"/>
    <n v="3894.0287959100801"/>
    <n v="14018.503665276299"/>
  </r>
  <r>
    <x v="0"/>
    <x v="0"/>
    <x v="0"/>
    <x v="1"/>
    <x v="2"/>
    <s v="EE_Tartu"/>
    <x v="3"/>
    <x v="101"/>
    <x v="0"/>
    <x v="12"/>
    <n v="9.4466900267116607"/>
    <n v="3448.0418597497601"/>
    <n v="12412.9506950991"/>
  </r>
  <r>
    <x v="0"/>
    <x v="0"/>
    <x v="0"/>
    <x v="1"/>
    <x v="2"/>
    <s v="EE_Tartu"/>
    <x v="3"/>
    <x v="101"/>
    <x v="0"/>
    <x v="13"/>
    <n v="8.4498915392589495"/>
    <n v="3084.2104118295201"/>
    <n v="11103.157482586301"/>
  </r>
  <r>
    <x v="0"/>
    <x v="0"/>
    <x v="0"/>
    <x v="1"/>
    <x v="2"/>
    <s v="EE_Tartu"/>
    <x v="3"/>
    <x v="101"/>
    <x v="0"/>
    <x v="14"/>
    <n v="7.8389505308201599"/>
    <n v="2861.2169437493599"/>
    <n v="10300.380997497699"/>
  </r>
  <r>
    <x v="0"/>
    <x v="0"/>
    <x v="0"/>
    <x v="1"/>
    <x v="2"/>
    <s v="EE_Tartu"/>
    <x v="3"/>
    <x v="101"/>
    <x v="0"/>
    <x v="15"/>
    <n v="7.3887834719704699"/>
    <n v="2696.9059672692201"/>
    <n v="9708.8614821691899"/>
  </r>
  <r>
    <x v="0"/>
    <x v="0"/>
    <x v="0"/>
    <x v="1"/>
    <x v="2"/>
    <s v="EE_Tartu"/>
    <x v="3"/>
    <x v="101"/>
    <x v="0"/>
    <x v="16"/>
    <n v="7.00292599295648"/>
    <n v="2556.06798742912"/>
    <n v="9201.8447547448195"/>
  </r>
  <r>
    <x v="0"/>
    <x v="0"/>
    <x v="0"/>
    <x v="1"/>
    <x v="2"/>
    <s v="EE_Tartu"/>
    <x v="3"/>
    <x v="101"/>
    <x v="0"/>
    <x v="17"/>
    <n v="6.6492233038603796"/>
    <n v="2426.9665059090398"/>
    <n v="8737.0794212725395"/>
  </r>
  <r>
    <x v="0"/>
    <x v="0"/>
    <x v="0"/>
    <x v="1"/>
    <x v="2"/>
    <s v="EE_Tartu"/>
    <x v="3"/>
    <x v="101"/>
    <x v="0"/>
    <x v="18"/>
    <n v="6.2633658248463897"/>
    <n v="2286.1285260689301"/>
    <n v="8230.0626938481491"/>
  </r>
  <r>
    <x v="0"/>
    <x v="0"/>
    <x v="0"/>
    <x v="1"/>
    <x v="2"/>
    <s v="EE_Tartu"/>
    <x v="3"/>
    <x v="101"/>
    <x v="0"/>
    <x v="19"/>
    <n v="5.8131987659967699"/>
    <n v="2121.8175495888199"/>
    <n v="7638.5431785197597"/>
  </r>
  <r>
    <x v="0"/>
    <x v="0"/>
    <x v="0"/>
    <x v="1"/>
    <x v="2"/>
    <s v="EE_Tartu"/>
    <x v="3"/>
    <x v="101"/>
    <x v="0"/>
    <x v="20"/>
    <n v="5.4273412869827897"/>
    <n v="1980.97956974872"/>
    <n v="7131.5264510953803"/>
  </r>
  <r>
    <x v="0"/>
    <x v="0"/>
    <x v="0"/>
    <x v="1"/>
    <x v="2"/>
    <s v="EE_Tartu"/>
    <x v="3"/>
    <x v="101"/>
    <x v="0"/>
    <x v="21"/>
    <n v="5.04148380796879"/>
    <n v="1840.1415899086101"/>
    <n v="6624.5097236709898"/>
  </r>
  <r>
    <x v="0"/>
    <x v="0"/>
    <x v="0"/>
    <x v="1"/>
    <x v="2"/>
    <s v="EE_Tartu"/>
    <x v="3"/>
    <x v="101"/>
    <x v="0"/>
    <x v="22"/>
    <n v="4.7520906987083"/>
    <n v="1734.5131050285299"/>
    <n v="6244.2471781027098"/>
  </r>
  <r>
    <x v="0"/>
    <x v="0"/>
    <x v="0"/>
    <x v="1"/>
    <x v="2"/>
    <s v="EE_Tartu"/>
    <x v="3"/>
    <x v="101"/>
    <x v="0"/>
    <x v="23"/>
    <n v="4.6556263289548099"/>
    <n v="1699.3036100684999"/>
    <n v="6117.4929962466103"/>
  </r>
  <r>
    <x v="0"/>
    <x v="0"/>
    <x v="0"/>
    <x v="1"/>
    <x v="2"/>
    <s v="EE_Tartu"/>
    <x v="13"/>
    <x v="112"/>
    <x v="0"/>
    <x v="0"/>
    <n v="76.086994466430795"/>
    <n v="27771.752980247202"/>
    <n v="99978.310728890006"/>
  </r>
  <r>
    <x v="0"/>
    <x v="0"/>
    <x v="0"/>
    <x v="1"/>
    <x v="2"/>
    <s v="EE_Tartu"/>
    <x v="13"/>
    <x v="112"/>
    <x v="0"/>
    <x v="1"/>
    <n v="76.086994466430795"/>
    <n v="27771.752980247202"/>
    <n v="99978.310728890006"/>
  </r>
  <r>
    <x v="0"/>
    <x v="0"/>
    <x v="0"/>
    <x v="1"/>
    <x v="2"/>
    <s v="EE_Tartu"/>
    <x v="13"/>
    <x v="112"/>
    <x v="0"/>
    <x v="2"/>
    <n v="76.086994466430795"/>
    <n v="27771.752980247202"/>
    <n v="99978.310728890006"/>
  </r>
  <r>
    <x v="0"/>
    <x v="0"/>
    <x v="0"/>
    <x v="1"/>
    <x v="2"/>
    <s v="EE_Tartu"/>
    <x v="13"/>
    <x v="112"/>
    <x v="0"/>
    <x v="3"/>
    <n v="76.086994466430795"/>
    <n v="27771.752980247202"/>
    <n v="99978.310728890006"/>
  </r>
  <r>
    <x v="0"/>
    <x v="0"/>
    <x v="0"/>
    <x v="1"/>
    <x v="2"/>
    <s v="EE_Tartu"/>
    <x v="13"/>
    <x v="112"/>
    <x v="0"/>
    <x v="4"/>
    <n v="76.086994466430795"/>
    <n v="27771.752980247202"/>
    <n v="99978.310728890006"/>
  </r>
  <r>
    <x v="0"/>
    <x v="0"/>
    <x v="0"/>
    <x v="1"/>
    <x v="2"/>
    <s v="EE_Tartu"/>
    <x v="13"/>
    <x v="112"/>
    <x v="0"/>
    <x v="5"/>
    <n v="76.086994466430795"/>
    <n v="27771.752980247202"/>
    <n v="99978.310728890006"/>
  </r>
  <r>
    <x v="0"/>
    <x v="0"/>
    <x v="0"/>
    <x v="1"/>
    <x v="2"/>
    <s v="EE_Tartu"/>
    <x v="13"/>
    <x v="112"/>
    <x v="0"/>
    <x v="6"/>
    <n v="76.086994466430795"/>
    <n v="27771.752980247202"/>
    <n v="99978.310728890006"/>
  </r>
  <r>
    <x v="0"/>
    <x v="0"/>
    <x v="0"/>
    <x v="1"/>
    <x v="2"/>
    <s v="EE_Tartu"/>
    <x v="13"/>
    <x v="112"/>
    <x v="0"/>
    <x v="7"/>
    <n v="76.086994466430795"/>
    <n v="27771.752980247202"/>
    <n v="99978.310728890006"/>
  </r>
  <r>
    <x v="0"/>
    <x v="0"/>
    <x v="0"/>
    <x v="1"/>
    <x v="2"/>
    <s v="EE_Tartu"/>
    <x v="13"/>
    <x v="112"/>
    <x v="0"/>
    <x v="8"/>
    <n v="76.086994466430795"/>
    <n v="27771.752980247202"/>
    <n v="99978.310728890006"/>
  </r>
  <r>
    <x v="0"/>
    <x v="0"/>
    <x v="0"/>
    <x v="1"/>
    <x v="2"/>
    <s v="EE_Tartu"/>
    <x v="13"/>
    <x v="112"/>
    <x v="0"/>
    <x v="9"/>
    <n v="76.086994466430795"/>
    <n v="27771.752980247202"/>
    <n v="99978.310728890006"/>
  </r>
  <r>
    <x v="0"/>
    <x v="0"/>
    <x v="0"/>
    <x v="1"/>
    <x v="2"/>
    <s v="EE_Tartu"/>
    <x v="13"/>
    <x v="112"/>
    <x v="0"/>
    <x v="10"/>
    <n v="76.086994466430795"/>
    <n v="27771.752980247202"/>
    <n v="99978.310728890006"/>
  </r>
  <r>
    <x v="0"/>
    <x v="0"/>
    <x v="0"/>
    <x v="1"/>
    <x v="2"/>
    <s v="EE_Tartu"/>
    <x v="13"/>
    <x v="112"/>
    <x v="0"/>
    <x v="11"/>
    <n v="76.086994466430795"/>
    <n v="27771.752980247202"/>
    <n v="99978.310728890006"/>
  </r>
  <r>
    <x v="0"/>
    <x v="0"/>
    <x v="0"/>
    <x v="1"/>
    <x v="2"/>
    <s v="EE_Tartu"/>
    <x v="13"/>
    <x v="112"/>
    <x v="0"/>
    <x v="12"/>
    <n v="76.086994466430795"/>
    <n v="27771.752980247202"/>
    <n v="99978.310728890006"/>
  </r>
  <r>
    <x v="0"/>
    <x v="0"/>
    <x v="0"/>
    <x v="1"/>
    <x v="2"/>
    <s v="EE_Tartu"/>
    <x v="13"/>
    <x v="112"/>
    <x v="0"/>
    <x v="13"/>
    <n v="76.086994466430795"/>
    <n v="27771.752980247202"/>
    <n v="99978.310728890006"/>
  </r>
  <r>
    <x v="0"/>
    <x v="0"/>
    <x v="0"/>
    <x v="1"/>
    <x v="2"/>
    <s v="EE_Tartu"/>
    <x v="13"/>
    <x v="112"/>
    <x v="0"/>
    <x v="14"/>
    <n v="76.086994466430795"/>
    <n v="27771.752980247202"/>
    <n v="99978.310728890006"/>
  </r>
  <r>
    <x v="0"/>
    <x v="0"/>
    <x v="0"/>
    <x v="1"/>
    <x v="2"/>
    <s v="EE_Tartu"/>
    <x v="13"/>
    <x v="112"/>
    <x v="0"/>
    <x v="15"/>
    <n v="76.086994466430795"/>
    <n v="27771.752980247202"/>
    <n v="99978.310728890006"/>
  </r>
  <r>
    <x v="0"/>
    <x v="0"/>
    <x v="0"/>
    <x v="1"/>
    <x v="2"/>
    <s v="EE_Tartu"/>
    <x v="13"/>
    <x v="112"/>
    <x v="0"/>
    <x v="16"/>
    <n v="76.086994466430795"/>
    <n v="27771.752980247202"/>
    <n v="99978.310728890006"/>
  </r>
  <r>
    <x v="0"/>
    <x v="0"/>
    <x v="0"/>
    <x v="1"/>
    <x v="2"/>
    <s v="EE_Tartu"/>
    <x v="13"/>
    <x v="112"/>
    <x v="0"/>
    <x v="17"/>
    <n v="76.086994466430795"/>
    <n v="27771.752980247202"/>
    <n v="99978.310728890006"/>
  </r>
  <r>
    <x v="0"/>
    <x v="0"/>
    <x v="0"/>
    <x v="1"/>
    <x v="2"/>
    <s v="EE_Tartu"/>
    <x v="13"/>
    <x v="112"/>
    <x v="0"/>
    <x v="18"/>
    <n v="76.086994466430795"/>
    <n v="27771.752980247202"/>
    <n v="99978.310728890006"/>
  </r>
  <r>
    <x v="0"/>
    <x v="0"/>
    <x v="0"/>
    <x v="1"/>
    <x v="2"/>
    <s v="EE_Tartu"/>
    <x v="13"/>
    <x v="112"/>
    <x v="0"/>
    <x v="19"/>
    <n v="76.086994466430795"/>
    <n v="27771.752980247202"/>
    <n v="99978.310728890006"/>
  </r>
  <r>
    <x v="0"/>
    <x v="0"/>
    <x v="0"/>
    <x v="1"/>
    <x v="2"/>
    <s v="EE_Tartu"/>
    <x v="13"/>
    <x v="112"/>
    <x v="0"/>
    <x v="20"/>
    <n v="76.086994466430795"/>
    <n v="27771.752980247202"/>
    <n v="99978.310728890006"/>
  </r>
  <r>
    <x v="0"/>
    <x v="0"/>
    <x v="0"/>
    <x v="1"/>
    <x v="2"/>
    <s v="EE_Tartu"/>
    <x v="13"/>
    <x v="112"/>
    <x v="0"/>
    <x v="21"/>
    <n v="76.086994466430795"/>
    <n v="27771.752980247202"/>
    <n v="99978.310728890006"/>
  </r>
  <r>
    <x v="0"/>
    <x v="0"/>
    <x v="0"/>
    <x v="1"/>
    <x v="2"/>
    <s v="EE_Tartu"/>
    <x v="13"/>
    <x v="112"/>
    <x v="0"/>
    <x v="22"/>
    <n v="76.086994466430795"/>
    <n v="27771.752980247202"/>
    <n v="99978.310728890006"/>
  </r>
  <r>
    <x v="0"/>
    <x v="0"/>
    <x v="0"/>
    <x v="1"/>
    <x v="2"/>
    <s v="EE_Tartu"/>
    <x v="13"/>
    <x v="112"/>
    <x v="0"/>
    <x v="23"/>
    <n v="76.086994466430795"/>
    <n v="27771.752980247202"/>
    <n v="99978.310728890006"/>
  </r>
  <r>
    <x v="0"/>
    <x v="0"/>
    <x v="0"/>
    <x v="1"/>
    <x v="2"/>
    <s v="EE_Urban"/>
    <x v="0"/>
    <x v="96"/>
    <x v="0"/>
    <x v="0"/>
    <n v="0.260281103591879"/>
    <n v="95.002602811035899"/>
    <n v="342.009370119729"/>
  </r>
  <r>
    <x v="0"/>
    <x v="0"/>
    <x v="0"/>
    <x v="1"/>
    <x v="2"/>
    <s v="EE_Urban"/>
    <x v="0"/>
    <x v="96"/>
    <x v="0"/>
    <x v="1"/>
    <n v="0.260281103591879"/>
    <n v="95.002602811035899"/>
    <n v="342.009370119729"/>
  </r>
  <r>
    <x v="0"/>
    <x v="0"/>
    <x v="0"/>
    <x v="1"/>
    <x v="2"/>
    <s v="EE_Urban"/>
    <x v="0"/>
    <x v="96"/>
    <x v="0"/>
    <x v="2"/>
    <n v="0.260281103591879"/>
    <n v="95.002602811035899"/>
    <n v="342.009370119729"/>
  </r>
  <r>
    <x v="0"/>
    <x v="0"/>
    <x v="0"/>
    <x v="1"/>
    <x v="2"/>
    <s v="EE_Urban"/>
    <x v="0"/>
    <x v="96"/>
    <x v="0"/>
    <x v="3"/>
    <n v="0.260281103591879"/>
    <n v="95.002602811035899"/>
    <n v="342.009370119729"/>
  </r>
  <r>
    <x v="0"/>
    <x v="0"/>
    <x v="0"/>
    <x v="1"/>
    <x v="2"/>
    <s v="EE_Urban"/>
    <x v="0"/>
    <x v="96"/>
    <x v="0"/>
    <x v="4"/>
    <n v="0.260281103591879"/>
    <n v="95.002602811035899"/>
    <n v="342.009370119729"/>
  </r>
  <r>
    <x v="0"/>
    <x v="0"/>
    <x v="0"/>
    <x v="1"/>
    <x v="2"/>
    <s v="EE_Urban"/>
    <x v="0"/>
    <x v="96"/>
    <x v="0"/>
    <x v="5"/>
    <n v="0.260281103591879"/>
    <n v="95.002602811035899"/>
    <n v="342.009370119729"/>
  </r>
  <r>
    <x v="0"/>
    <x v="0"/>
    <x v="0"/>
    <x v="1"/>
    <x v="2"/>
    <s v="EE_Urban"/>
    <x v="0"/>
    <x v="96"/>
    <x v="0"/>
    <x v="6"/>
    <n v="0.260281103591879"/>
    <n v="95.002602811035899"/>
    <n v="342.009370119729"/>
  </r>
  <r>
    <x v="0"/>
    <x v="0"/>
    <x v="0"/>
    <x v="1"/>
    <x v="2"/>
    <s v="EE_Urban"/>
    <x v="0"/>
    <x v="96"/>
    <x v="0"/>
    <x v="7"/>
    <n v="0.260281103591879"/>
    <n v="95.002602811035899"/>
    <n v="342.009370119729"/>
  </r>
  <r>
    <x v="0"/>
    <x v="0"/>
    <x v="0"/>
    <x v="1"/>
    <x v="2"/>
    <s v="EE_Urban"/>
    <x v="0"/>
    <x v="96"/>
    <x v="0"/>
    <x v="8"/>
    <n v="0.260281103591879"/>
    <n v="95.002602811035899"/>
    <n v="342.009370119729"/>
  </r>
  <r>
    <x v="0"/>
    <x v="0"/>
    <x v="0"/>
    <x v="1"/>
    <x v="2"/>
    <s v="EE_Urban"/>
    <x v="0"/>
    <x v="96"/>
    <x v="0"/>
    <x v="9"/>
    <n v="0.260281103591879"/>
    <n v="95.002602811035899"/>
    <n v="342.009370119729"/>
  </r>
  <r>
    <x v="0"/>
    <x v="0"/>
    <x v="0"/>
    <x v="1"/>
    <x v="2"/>
    <s v="EE_Urban"/>
    <x v="0"/>
    <x v="96"/>
    <x v="0"/>
    <x v="10"/>
    <n v="0.260281103591879"/>
    <n v="95.002602811035899"/>
    <n v="342.009370119729"/>
  </r>
  <r>
    <x v="0"/>
    <x v="0"/>
    <x v="0"/>
    <x v="1"/>
    <x v="2"/>
    <s v="EE_Urban"/>
    <x v="0"/>
    <x v="96"/>
    <x v="0"/>
    <x v="11"/>
    <n v="0.260281103591879"/>
    <n v="95.002602811035899"/>
    <n v="342.009370119729"/>
  </r>
  <r>
    <x v="0"/>
    <x v="0"/>
    <x v="0"/>
    <x v="1"/>
    <x v="2"/>
    <s v="EE_Urban"/>
    <x v="0"/>
    <x v="96"/>
    <x v="0"/>
    <x v="12"/>
    <n v="0.260281103591879"/>
    <n v="95.002602811035899"/>
    <n v="342.009370119729"/>
  </r>
  <r>
    <x v="0"/>
    <x v="0"/>
    <x v="0"/>
    <x v="1"/>
    <x v="2"/>
    <s v="EE_Urban"/>
    <x v="0"/>
    <x v="96"/>
    <x v="0"/>
    <x v="13"/>
    <n v="0.260281103591879"/>
    <n v="95.002602811035899"/>
    <n v="342.009370119729"/>
  </r>
  <r>
    <x v="0"/>
    <x v="0"/>
    <x v="0"/>
    <x v="1"/>
    <x v="2"/>
    <s v="EE_Urban"/>
    <x v="0"/>
    <x v="96"/>
    <x v="0"/>
    <x v="14"/>
    <n v="0.260281103591879"/>
    <n v="95.002602811035899"/>
    <n v="342.009370119729"/>
  </r>
  <r>
    <x v="0"/>
    <x v="0"/>
    <x v="0"/>
    <x v="1"/>
    <x v="2"/>
    <s v="EE_Urban"/>
    <x v="0"/>
    <x v="96"/>
    <x v="0"/>
    <x v="15"/>
    <n v="0.260281103591879"/>
    <n v="95.002602811035899"/>
    <n v="342.009370119729"/>
  </r>
  <r>
    <x v="0"/>
    <x v="0"/>
    <x v="0"/>
    <x v="1"/>
    <x v="2"/>
    <s v="EE_Urban"/>
    <x v="0"/>
    <x v="96"/>
    <x v="0"/>
    <x v="16"/>
    <n v="0.260281103591879"/>
    <n v="95.002602811035899"/>
    <n v="342.009370119729"/>
  </r>
  <r>
    <x v="0"/>
    <x v="0"/>
    <x v="0"/>
    <x v="1"/>
    <x v="2"/>
    <s v="EE_Urban"/>
    <x v="0"/>
    <x v="96"/>
    <x v="0"/>
    <x v="17"/>
    <n v="0.260281103591879"/>
    <n v="95.002602811035899"/>
    <n v="342.009370119729"/>
  </r>
  <r>
    <x v="0"/>
    <x v="0"/>
    <x v="0"/>
    <x v="1"/>
    <x v="2"/>
    <s v="EE_Urban"/>
    <x v="0"/>
    <x v="96"/>
    <x v="0"/>
    <x v="18"/>
    <n v="0.260281103591879"/>
    <n v="95.002602811035899"/>
    <n v="342.009370119729"/>
  </r>
  <r>
    <x v="0"/>
    <x v="0"/>
    <x v="0"/>
    <x v="1"/>
    <x v="2"/>
    <s v="EE_Urban"/>
    <x v="0"/>
    <x v="96"/>
    <x v="0"/>
    <x v="19"/>
    <n v="0.260281103591879"/>
    <n v="95.002602811035899"/>
    <n v="342.009370119729"/>
  </r>
  <r>
    <x v="0"/>
    <x v="0"/>
    <x v="0"/>
    <x v="1"/>
    <x v="2"/>
    <s v="EE_Urban"/>
    <x v="0"/>
    <x v="96"/>
    <x v="0"/>
    <x v="20"/>
    <n v="0.260281103591879"/>
    <n v="95.002602811035899"/>
    <n v="342.009370119729"/>
  </r>
  <r>
    <x v="0"/>
    <x v="0"/>
    <x v="0"/>
    <x v="1"/>
    <x v="2"/>
    <s v="EE_Urban"/>
    <x v="0"/>
    <x v="96"/>
    <x v="0"/>
    <x v="21"/>
    <n v="0.260281103591879"/>
    <n v="95.002602811035899"/>
    <n v="342.009370119729"/>
  </r>
  <r>
    <x v="0"/>
    <x v="0"/>
    <x v="0"/>
    <x v="1"/>
    <x v="2"/>
    <s v="EE_Urban"/>
    <x v="0"/>
    <x v="96"/>
    <x v="0"/>
    <x v="22"/>
    <n v="0.260281103591879"/>
    <n v="95.002602811035899"/>
    <n v="342.009370119729"/>
  </r>
  <r>
    <x v="0"/>
    <x v="0"/>
    <x v="0"/>
    <x v="1"/>
    <x v="2"/>
    <s v="EE_Urban"/>
    <x v="0"/>
    <x v="96"/>
    <x v="0"/>
    <x v="23"/>
    <n v="0.260281103591879"/>
    <n v="95.002602811035899"/>
    <n v="342.009370119729"/>
  </r>
  <r>
    <x v="0"/>
    <x v="0"/>
    <x v="0"/>
    <x v="1"/>
    <x v="2"/>
    <s v="EE_Urban"/>
    <x v="3"/>
    <x v="102"/>
    <x v="0"/>
    <x v="0"/>
    <n v="2.0431588613406801"/>
    <n v="745.75298438934794"/>
    <n v="2684.7107438016501"/>
  </r>
  <r>
    <x v="0"/>
    <x v="0"/>
    <x v="0"/>
    <x v="1"/>
    <x v="2"/>
    <s v="EE_Urban"/>
    <x v="3"/>
    <x v="102"/>
    <x v="0"/>
    <x v="1"/>
    <n v="2.0431588613406801"/>
    <n v="745.75298438934794"/>
    <n v="2684.7107438016501"/>
  </r>
  <r>
    <x v="0"/>
    <x v="0"/>
    <x v="0"/>
    <x v="1"/>
    <x v="2"/>
    <s v="EE_Urban"/>
    <x v="3"/>
    <x v="102"/>
    <x v="0"/>
    <x v="2"/>
    <n v="2.0431588613406801"/>
    <n v="745.75298438934794"/>
    <n v="2684.7107438016501"/>
  </r>
  <r>
    <x v="0"/>
    <x v="0"/>
    <x v="0"/>
    <x v="1"/>
    <x v="2"/>
    <s v="EE_Urban"/>
    <x v="3"/>
    <x v="102"/>
    <x v="0"/>
    <x v="3"/>
    <n v="2.0431588613406801"/>
    <n v="745.75298438934794"/>
    <n v="2684.7107438016501"/>
  </r>
  <r>
    <x v="0"/>
    <x v="0"/>
    <x v="0"/>
    <x v="1"/>
    <x v="2"/>
    <s v="EE_Urban"/>
    <x v="3"/>
    <x v="102"/>
    <x v="0"/>
    <x v="4"/>
    <n v="2.0431588613406801"/>
    <n v="745.75298438934794"/>
    <n v="2684.7107438016501"/>
  </r>
  <r>
    <x v="0"/>
    <x v="0"/>
    <x v="0"/>
    <x v="1"/>
    <x v="2"/>
    <s v="EE_Urban"/>
    <x v="3"/>
    <x v="102"/>
    <x v="0"/>
    <x v="5"/>
    <n v="2.0431588613406801"/>
    <n v="745.75298438934794"/>
    <n v="2684.7107438016501"/>
  </r>
  <r>
    <x v="0"/>
    <x v="0"/>
    <x v="0"/>
    <x v="1"/>
    <x v="2"/>
    <s v="EE_Urban"/>
    <x v="3"/>
    <x v="102"/>
    <x v="0"/>
    <x v="6"/>
    <n v="2.0431588613406801"/>
    <n v="745.75298438934794"/>
    <n v="2684.7107438016501"/>
  </r>
  <r>
    <x v="0"/>
    <x v="0"/>
    <x v="0"/>
    <x v="1"/>
    <x v="2"/>
    <s v="EE_Urban"/>
    <x v="3"/>
    <x v="102"/>
    <x v="0"/>
    <x v="7"/>
    <n v="2.0431588613406801"/>
    <n v="745.75298438934794"/>
    <n v="2684.7107438016501"/>
  </r>
  <r>
    <x v="0"/>
    <x v="0"/>
    <x v="0"/>
    <x v="1"/>
    <x v="2"/>
    <s v="EE_Urban"/>
    <x v="3"/>
    <x v="102"/>
    <x v="0"/>
    <x v="8"/>
    <n v="2.0431588613406801"/>
    <n v="745.75298438934794"/>
    <n v="2684.7107438016501"/>
  </r>
  <r>
    <x v="0"/>
    <x v="0"/>
    <x v="0"/>
    <x v="1"/>
    <x v="2"/>
    <s v="EE_Urban"/>
    <x v="3"/>
    <x v="102"/>
    <x v="0"/>
    <x v="9"/>
    <n v="2.0431588613406801"/>
    <n v="745.75298438934794"/>
    <n v="2684.7107438016501"/>
  </r>
  <r>
    <x v="0"/>
    <x v="0"/>
    <x v="0"/>
    <x v="1"/>
    <x v="2"/>
    <s v="EE_Urban"/>
    <x v="3"/>
    <x v="102"/>
    <x v="0"/>
    <x v="10"/>
    <n v="2.0431588613406801"/>
    <n v="745.75298438934794"/>
    <n v="2684.7107438016501"/>
  </r>
  <r>
    <x v="0"/>
    <x v="0"/>
    <x v="0"/>
    <x v="1"/>
    <x v="2"/>
    <s v="EE_Urban"/>
    <x v="3"/>
    <x v="102"/>
    <x v="0"/>
    <x v="11"/>
    <n v="2.0431588613406801"/>
    <n v="745.75298438934794"/>
    <n v="2684.7107438016501"/>
  </r>
  <r>
    <x v="0"/>
    <x v="0"/>
    <x v="0"/>
    <x v="1"/>
    <x v="2"/>
    <s v="EE_Urban"/>
    <x v="3"/>
    <x v="102"/>
    <x v="0"/>
    <x v="12"/>
    <n v="2.0431588613406801"/>
    <n v="745.75298438934794"/>
    <n v="2684.7107438016501"/>
  </r>
  <r>
    <x v="0"/>
    <x v="0"/>
    <x v="0"/>
    <x v="1"/>
    <x v="2"/>
    <s v="EE_Urban"/>
    <x v="3"/>
    <x v="102"/>
    <x v="0"/>
    <x v="13"/>
    <n v="2.0431588613406801"/>
    <n v="745.75298438934794"/>
    <n v="2684.7107438016501"/>
  </r>
  <r>
    <x v="0"/>
    <x v="0"/>
    <x v="0"/>
    <x v="1"/>
    <x v="2"/>
    <s v="EE_Urban"/>
    <x v="3"/>
    <x v="102"/>
    <x v="0"/>
    <x v="14"/>
    <n v="2.0431588613406801"/>
    <n v="745.75298438934794"/>
    <n v="2684.7107438016501"/>
  </r>
  <r>
    <x v="0"/>
    <x v="0"/>
    <x v="0"/>
    <x v="1"/>
    <x v="2"/>
    <s v="EE_Urban"/>
    <x v="3"/>
    <x v="102"/>
    <x v="0"/>
    <x v="15"/>
    <n v="2.0431588613406801"/>
    <n v="745.75298438934794"/>
    <n v="2684.7107438016501"/>
  </r>
  <r>
    <x v="0"/>
    <x v="0"/>
    <x v="0"/>
    <x v="1"/>
    <x v="2"/>
    <s v="EE_Urban"/>
    <x v="3"/>
    <x v="102"/>
    <x v="0"/>
    <x v="16"/>
    <n v="2.0431588613406801"/>
    <n v="745.75298438934794"/>
    <n v="2684.7107438016501"/>
  </r>
  <r>
    <x v="0"/>
    <x v="0"/>
    <x v="0"/>
    <x v="1"/>
    <x v="2"/>
    <s v="EE_Urban"/>
    <x v="3"/>
    <x v="102"/>
    <x v="0"/>
    <x v="17"/>
    <n v="2.0431588613406801"/>
    <n v="745.75298438934794"/>
    <n v="2684.7107438016501"/>
  </r>
  <r>
    <x v="0"/>
    <x v="0"/>
    <x v="0"/>
    <x v="1"/>
    <x v="2"/>
    <s v="EE_Urban"/>
    <x v="3"/>
    <x v="102"/>
    <x v="0"/>
    <x v="18"/>
    <n v="2.0431588613406801"/>
    <n v="745.75298438934794"/>
    <n v="2684.7107438016501"/>
  </r>
  <r>
    <x v="0"/>
    <x v="0"/>
    <x v="0"/>
    <x v="1"/>
    <x v="2"/>
    <s v="EE_Urban"/>
    <x v="3"/>
    <x v="102"/>
    <x v="0"/>
    <x v="19"/>
    <n v="2.0431588613406801"/>
    <n v="745.75298438934794"/>
    <n v="2684.7107438016501"/>
  </r>
  <r>
    <x v="0"/>
    <x v="0"/>
    <x v="0"/>
    <x v="1"/>
    <x v="2"/>
    <s v="EE_Urban"/>
    <x v="3"/>
    <x v="102"/>
    <x v="0"/>
    <x v="20"/>
    <n v="2.0431588613406801"/>
    <n v="745.75298438934794"/>
    <n v="2684.7107438016501"/>
  </r>
  <r>
    <x v="0"/>
    <x v="0"/>
    <x v="0"/>
    <x v="1"/>
    <x v="2"/>
    <s v="EE_Urban"/>
    <x v="3"/>
    <x v="102"/>
    <x v="0"/>
    <x v="21"/>
    <n v="2.0431588613406801"/>
    <n v="745.75298438934794"/>
    <n v="2684.7107438016501"/>
  </r>
  <r>
    <x v="0"/>
    <x v="0"/>
    <x v="0"/>
    <x v="1"/>
    <x v="2"/>
    <s v="EE_Urban"/>
    <x v="3"/>
    <x v="102"/>
    <x v="0"/>
    <x v="22"/>
    <n v="2.0431588613406801"/>
    <n v="745.75298438934794"/>
    <n v="2684.7107438016501"/>
  </r>
  <r>
    <x v="0"/>
    <x v="0"/>
    <x v="0"/>
    <x v="1"/>
    <x v="2"/>
    <s v="EE_Urban"/>
    <x v="3"/>
    <x v="102"/>
    <x v="0"/>
    <x v="23"/>
    <n v="2.0431588613406801"/>
    <n v="745.75298438934794"/>
    <n v="2684.7107438016501"/>
  </r>
  <r>
    <x v="0"/>
    <x v="0"/>
    <x v="0"/>
    <x v="1"/>
    <x v="2"/>
    <s v="EE_Urban"/>
    <x v="13"/>
    <x v="113"/>
    <x v="0"/>
    <x v="0"/>
    <n v="22.641509433962302"/>
    <n v="8264.1509433962292"/>
    <n v="29750.943396226401"/>
  </r>
  <r>
    <x v="0"/>
    <x v="0"/>
    <x v="0"/>
    <x v="1"/>
    <x v="2"/>
    <s v="EE_Urban"/>
    <x v="13"/>
    <x v="113"/>
    <x v="0"/>
    <x v="1"/>
    <n v="22.641509433962302"/>
    <n v="8264.1509433962292"/>
    <n v="29750.943396226401"/>
  </r>
  <r>
    <x v="0"/>
    <x v="0"/>
    <x v="0"/>
    <x v="1"/>
    <x v="2"/>
    <s v="EE_Urban"/>
    <x v="13"/>
    <x v="113"/>
    <x v="0"/>
    <x v="2"/>
    <n v="22.641509433962302"/>
    <n v="8264.1509433962292"/>
    <n v="29750.943396226401"/>
  </r>
  <r>
    <x v="0"/>
    <x v="0"/>
    <x v="0"/>
    <x v="1"/>
    <x v="2"/>
    <s v="EE_Urban"/>
    <x v="13"/>
    <x v="113"/>
    <x v="0"/>
    <x v="3"/>
    <n v="22.641509433962302"/>
    <n v="8264.1509433962292"/>
    <n v="29750.943396226401"/>
  </r>
  <r>
    <x v="0"/>
    <x v="0"/>
    <x v="0"/>
    <x v="1"/>
    <x v="2"/>
    <s v="EE_Urban"/>
    <x v="13"/>
    <x v="113"/>
    <x v="0"/>
    <x v="4"/>
    <n v="22.641509433962302"/>
    <n v="8264.1509433962292"/>
    <n v="29750.943396226401"/>
  </r>
  <r>
    <x v="0"/>
    <x v="0"/>
    <x v="0"/>
    <x v="1"/>
    <x v="2"/>
    <s v="EE_Urban"/>
    <x v="13"/>
    <x v="113"/>
    <x v="0"/>
    <x v="5"/>
    <n v="22.641509433962302"/>
    <n v="8264.1509433962292"/>
    <n v="29750.943396226401"/>
  </r>
  <r>
    <x v="0"/>
    <x v="0"/>
    <x v="0"/>
    <x v="1"/>
    <x v="2"/>
    <s v="EE_Urban"/>
    <x v="13"/>
    <x v="113"/>
    <x v="0"/>
    <x v="6"/>
    <n v="22.641509433962302"/>
    <n v="8264.1509433962292"/>
    <n v="29750.943396226401"/>
  </r>
  <r>
    <x v="0"/>
    <x v="0"/>
    <x v="0"/>
    <x v="1"/>
    <x v="2"/>
    <s v="EE_Urban"/>
    <x v="13"/>
    <x v="113"/>
    <x v="0"/>
    <x v="7"/>
    <n v="22.641509433962302"/>
    <n v="8264.1509433962292"/>
    <n v="29750.943396226401"/>
  </r>
  <r>
    <x v="0"/>
    <x v="0"/>
    <x v="0"/>
    <x v="1"/>
    <x v="2"/>
    <s v="EE_Urban"/>
    <x v="13"/>
    <x v="113"/>
    <x v="0"/>
    <x v="8"/>
    <n v="22.641509433962302"/>
    <n v="8264.1509433962292"/>
    <n v="29750.943396226401"/>
  </r>
  <r>
    <x v="0"/>
    <x v="0"/>
    <x v="0"/>
    <x v="1"/>
    <x v="2"/>
    <s v="EE_Urban"/>
    <x v="13"/>
    <x v="113"/>
    <x v="0"/>
    <x v="9"/>
    <n v="22.641509433962302"/>
    <n v="8264.1509433962292"/>
    <n v="29750.943396226401"/>
  </r>
  <r>
    <x v="0"/>
    <x v="0"/>
    <x v="0"/>
    <x v="1"/>
    <x v="2"/>
    <s v="EE_Urban"/>
    <x v="13"/>
    <x v="113"/>
    <x v="0"/>
    <x v="10"/>
    <n v="22.641509433962302"/>
    <n v="8264.1509433962292"/>
    <n v="29750.943396226401"/>
  </r>
  <r>
    <x v="0"/>
    <x v="0"/>
    <x v="0"/>
    <x v="1"/>
    <x v="2"/>
    <s v="EE_Urban"/>
    <x v="13"/>
    <x v="113"/>
    <x v="0"/>
    <x v="11"/>
    <n v="22.641509433962302"/>
    <n v="8264.1509433962292"/>
    <n v="29750.943396226401"/>
  </r>
  <r>
    <x v="0"/>
    <x v="0"/>
    <x v="0"/>
    <x v="1"/>
    <x v="2"/>
    <s v="EE_Urban"/>
    <x v="13"/>
    <x v="113"/>
    <x v="0"/>
    <x v="12"/>
    <n v="22.641509433962302"/>
    <n v="8264.1509433962292"/>
    <n v="29750.943396226401"/>
  </r>
  <r>
    <x v="0"/>
    <x v="0"/>
    <x v="0"/>
    <x v="1"/>
    <x v="2"/>
    <s v="EE_Urban"/>
    <x v="13"/>
    <x v="113"/>
    <x v="0"/>
    <x v="13"/>
    <n v="22.641509433962302"/>
    <n v="8264.1509433962292"/>
    <n v="29750.943396226401"/>
  </r>
  <r>
    <x v="0"/>
    <x v="0"/>
    <x v="0"/>
    <x v="1"/>
    <x v="2"/>
    <s v="EE_Urban"/>
    <x v="13"/>
    <x v="113"/>
    <x v="0"/>
    <x v="14"/>
    <n v="22.641509433962302"/>
    <n v="8264.1509433962292"/>
    <n v="29750.943396226401"/>
  </r>
  <r>
    <x v="0"/>
    <x v="0"/>
    <x v="0"/>
    <x v="1"/>
    <x v="2"/>
    <s v="EE_Urban"/>
    <x v="13"/>
    <x v="113"/>
    <x v="0"/>
    <x v="15"/>
    <n v="22.641509433962302"/>
    <n v="8264.1509433962292"/>
    <n v="29750.943396226401"/>
  </r>
  <r>
    <x v="0"/>
    <x v="0"/>
    <x v="0"/>
    <x v="1"/>
    <x v="2"/>
    <s v="EE_Urban"/>
    <x v="13"/>
    <x v="113"/>
    <x v="0"/>
    <x v="16"/>
    <n v="22.641509433962302"/>
    <n v="8264.1509433962292"/>
    <n v="29750.943396226401"/>
  </r>
  <r>
    <x v="0"/>
    <x v="0"/>
    <x v="0"/>
    <x v="1"/>
    <x v="2"/>
    <s v="EE_Urban"/>
    <x v="13"/>
    <x v="113"/>
    <x v="0"/>
    <x v="17"/>
    <n v="22.641509433962302"/>
    <n v="8264.1509433962292"/>
    <n v="29750.943396226401"/>
  </r>
  <r>
    <x v="0"/>
    <x v="0"/>
    <x v="0"/>
    <x v="1"/>
    <x v="2"/>
    <s v="EE_Urban"/>
    <x v="13"/>
    <x v="113"/>
    <x v="0"/>
    <x v="18"/>
    <n v="22.641509433962302"/>
    <n v="8264.1509433962292"/>
    <n v="29750.943396226401"/>
  </r>
  <r>
    <x v="0"/>
    <x v="0"/>
    <x v="0"/>
    <x v="1"/>
    <x v="2"/>
    <s v="EE_Urban"/>
    <x v="13"/>
    <x v="113"/>
    <x v="0"/>
    <x v="19"/>
    <n v="22.641509433962302"/>
    <n v="8264.1509433962292"/>
    <n v="29750.943396226401"/>
  </r>
  <r>
    <x v="0"/>
    <x v="0"/>
    <x v="0"/>
    <x v="1"/>
    <x v="2"/>
    <s v="EE_Urban"/>
    <x v="13"/>
    <x v="113"/>
    <x v="0"/>
    <x v="20"/>
    <n v="22.641509433962302"/>
    <n v="8264.1509433962292"/>
    <n v="29750.943396226401"/>
  </r>
  <r>
    <x v="0"/>
    <x v="0"/>
    <x v="0"/>
    <x v="1"/>
    <x v="2"/>
    <s v="EE_Urban"/>
    <x v="13"/>
    <x v="113"/>
    <x v="0"/>
    <x v="21"/>
    <n v="22.641509433962302"/>
    <n v="8264.1509433962292"/>
    <n v="29750.943396226401"/>
  </r>
  <r>
    <x v="0"/>
    <x v="0"/>
    <x v="0"/>
    <x v="1"/>
    <x v="2"/>
    <s v="EE_Urban"/>
    <x v="13"/>
    <x v="113"/>
    <x v="0"/>
    <x v="22"/>
    <n v="22.641509433962302"/>
    <n v="8264.1509433962292"/>
    <n v="29750.943396226401"/>
  </r>
  <r>
    <x v="0"/>
    <x v="0"/>
    <x v="0"/>
    <x v="1"/>
    <x v="2"/>
    <s v="EE_Urban"/>
    <x v="13"/>
    <x v="113"/>
    <x v="0"/>
    <x v="23"/>
    <n v="22.641509433962302"/>
    <n v="8264.1509433962292"/>
    <n v="29750.943396226401"/>
  </r>
  <r>
    <x v="0"/>
    <x v="0"/>
    <x v="0"/>
    <x v="2"/>
    <x v="3"/>
    <s v="FIN_EL"/>
    <x v="6"/>
    <x v="114"/>
    <x v="0"/>
    <x v="0"/>
    <n v="163.03922117159999"/>
    <n v="59509.315727633897"/>
    <n v="214233.53661948201"/>
  </r>
  <r>
    <x v="0"/>
    <x v="0"/>
    <x v="0"/>
    <x v="2"/>
    <x v="3"/>
    <s v="FIN_EL"/>
    <x v="6"/>
    <x v="114"/>
    <x v="0"/>
    <x v="1"/>
    <n v="163.03922117159999"/>
    <n v="59509.315727633897"/>
    <n v="214233.53661948201"/>
  </r>
  <r>
    <x v="0"/>
    <x v="0"/>
    <x v="0"/>
    <x v="2"/>
    <x v="3"/>
    <s v="FIN_EL"/>
    <x v="6"/>
    <x v="114"/>
    <x v="0"/>
    <x v="2"/>
    <n v="163.03922117159999"/>
    <n v="59509.315727633897"/>
    <n v="214233.53661948201"/>
  </r>
  <r>
    <x v="0"/>
    <x v="0"/>
    <x v="0"/>
    <x v="2"/>
    <x v="3"/>
    <s v="FIN_EL"/>
    <x v="6"/>
    <x v="114"/>
    <x v="0"/>
    <x v="3"/>
    <n v="163.03922117159999"/>
    <n v="59509.315727633897"/>
    <n v="214233.53661948201"/>
  </r>
  <r>
    <x v="0"/>
    <x v="0"/>
    <x v="0"/>
    <x v="2"/>
    <x v="3"/>
    <s v="FIN_EL"/>
    <x v="6"/>
    <x v="114"/>
    <x v="0"/>
    <x v="4"/>
    <n v="163.03922117159999"/>
    <n v="59509.315727633897"/>
    <n v="214233.53661948201"/>
  </r>
  <r>
    <x v="0"/>
    <x v="0"/>
    <x v="0"/>
    <x v="2"/>
    <x v="3"/>
    <s v="FIN_EL"/>
    <x v="6"/>
    <x v="114"/>
    <x v="0"/>
    <x v="5"/>
    <n v="163.03922117159999"/>
    <n v="59509.315727633897"/>
    <n v="214233.53661948201"/>
  </r>
  <r>
    <x v="0"/>
    <x v="0"/>
    <x v="0"/>
    <x v="2"/>
    <x v="3"/>
    <s v="FIN_EL"/>
    <x v="6"/>
    <x v="114"/>
    <x v="0"/>
    <x v="6"/>
    <n v="163.03922117159999"/>
    <n v="59509.315727633897"/>
    <n v="214233.53661948201"/>
  </r>
  <r>
    <x v="0"/>
    <x v="0"/>
    <x v="0"/>
    <x v="2"/>
    <x v="3"/>
    <s v="FIN_EL"/>
    <x v="6"/>
    <x v="114"/>
    <x v="0"/>
    <x v="7"/>
    <n v="163.03922117159999"/>
    <n v="59509.315727633897"/>
    <n v="214233.53661948201"/>
  </r>
  <r>
    <x v="0"/>
    <x v="0"/>
    <x v="0"/>
    <x v="2"/>
    <x v="3"/>
    <s v="FIN_EL"/>
    <x v="6"/>
    <x v="114"/>
    <x v="0"/>
    <x v="8"/>
    <n v="163.03922117159999"/>
    <n v="59509.315727633897"/>
    <n v="214233.53661948201"/>
  </r>
  <r>
    <x v="0"/>
    <x v="0"/>
    <x v="0"/>
    <x v="2"/>
    <x v="3"/>
    <s v="FIN_EL"/>
    <x v="6"/>
    <x v="114"/>
    <x v="0"/>
    <x v="9"/>
    <n v="163.03922117159999"/>
    <n v="59509.315727633897"/>
    <n v="214233.53661948201"/>
  </r>
  <r>
    <x v="0"/>
    <x v="0"/>
    <x v="0"/>
    <x v="2"/>
    <x v="3"/>
    <s v="FIN_EL"/>
    <x v="6"/>
    <x v="114"/>
    <x v="0"/>
    <x v="10"/>
    <n v="163.03922117159999"/>
    <n v="59509.315727633897"/>
    <n v="214233.53661948201"/>
  </r>
  <r>
    <x v="0"/>
    <x v="0"/>
    <x v="0"/>
    <x v="2"/>
    <x v="3"/>
    <s v="FIN_EL"/>
    <x v="6"/>
    <x v="114"/>
    <x v="0"/>
    <x v="11"/>
    <n v="163.03922117159999"/>
    <n v="59509.315727633897"/>
    <n v="214233.53661948201"/>
  </r>
  <r>
    <x v="0"/>
    <x v="0"/>
    <x v="0"/>
    <x v="2"/>
    <x v="3"/>
    <s v="FIN_EL"/>
    <x v="6"/>
    <x v="114"/>
    <x v="0"/>
    <x v="12"/>
    <n v="163.03922117159999"/>
    <n v="59509.315727633897"/>
    <n v="214233.53661948201"/>
  </r>
  <r>
    <x v="0"/>
    <x v="0"/>
    <x v="0"/>
    <x v="2"/>
    <x v="3"/>
    <s v="FIN_EL"/>
    <x v="6"/>
    <x v="114"/>
    <x v="0"/>
    <x v="13"/>
    <n v="163.03922117159999"/>
    <n v="59509.315727633897"/>
    <n v="214233.53661948201"/>
  </r>
  <r>
    <x v="0"/>
    <x v="0"/>
    <x v="0"/>
    <x v="2"/>
    <x v="3"/>
    <s v="FIN_EL"/>
    <x v="6"/>
    <x v="114"/>
    <x v="0"/>
    <x v="14"/>
    <n v="163.03922117159999"/>
    <n v="59509.315727633897"/>
    <n v="214233.53661948201"/>
  </r>
  <r>
    <x v="0"/>
    <x v="0"/>
    <x v="0"/>
    <x v="2"/>
    <x v="3"/>
    <s v="FIN_EL"/>
    <x v="6"/>
    <x v="114"/>
    <x v="0"/>
    <x v="15"/>
    <n v="163.03922117159999"/>
    <n v="59509.315727633897"/>
    <n v="214233.53661948201"/>
  </r>
  <r>
    <x v="0"/>
    <x v="0"/>
    <x v="0"/>
    <x v="2"/>
    <x v="3"/>
    <s v="FIN_EL"/>
    <x v="6"/>
    <x v="114"/>
    <x v="0"/>
    <x v="16"/>
    <n v="163.03922117159999"/>
    <n v="59509.315727633897"/>
    <n v="214233.53661948201"/>
  </r>
  <r>
    <x v="0"/>
    <x v="0"/>
    <x v="0"/>
    <x v="2"/>
    <x v="3"/>
    <s v="FIN_EL"/>
    <x v="6"/>
    <x v="114"/>
    <x v="0"/>
    <x v="17"/>
    <n v="163.03922117159999"/>
    <n v="59509.315727633897"/>
    <n v="214233.53661948201"/>
  </r>
  <r>
    <x v="0"/>
    <x v="0"/>
    <x v="0"/>
    <x v="2"/>
    <x v="3"/>
    <s v="FIN_EL"/>
    <x v="6"/>
    <x v="114"/>
    <x v="0"/>
    <x v="18"/>
    <n v="163.03922117159999"/>
    <n v="59509.315727633897"/>
    <n v="214233.53661948201"/>
  </r>
  <r>
    <x v="0"/>
    <x v="0"/>
    <x v="0"/>
    <x v="2"/>
    <x v="3"/>
    <s v="FIN_EL"/>
    <x v="6"/>
    <x v="114"/>
    <x v="0"/>
    <x v="19"/>
    <n v="163.03922117159999"/>
    <n v="59509.315727633897"/>
    <n v="214233.53661948201"/>
  </r>
  <r>
    <x v="0"/>
    <x v="0"/>
    <x v="0"/>
    <x v="2"/>
    <x v="3"/>
    <s v="FIN_EL"/>
    <x v="6"/>
    <x v="114"/>
    <x v="0"/>
    <x v="20"/>
    <n v="163.03922117159999"/>
    <n v="59509.315727633897"/>
    <n v="214233.53661948201"/>
  </r>
  <r>
    <x v="0"/>
    <x v="0"/>
    <x v="0"/>
    <x v="2"/>
    <x v="3"/>
    <s v="FIN_EL"/>
    <x v="6"/>
    <x v="114"/>
    <x v="0"/>
    <x v="21"/>
    <n v="163.03922117159999"/>
    <n v="59509.315727633897"/>
    <n v="214233.53661948201"/>
  </r>
  <r>
    <x v="0"/>
    <x v="0"/>
    <x v="0"/>
    <x v="2"/>
    <x v="3"/>
    <s v="FIN_EL"/>
    <x v="6"/>
    <x v="114"/>
    <x v="0"/>
    <x v="22"/>
    <n v="163.03922117159999"/>
    <n v="59509.315727633897"/>
    <n v="214233.53661948201"/>
  </r>
  <r>
    <x v="0"/>
    <x v="0"/>
    <x v="0"/>
    <x v="2"/>
    <x v="3"/>
    <s v="FIN_EL"/>
    <x v="6"/>
    <x v="114"/>
    <x v="0"/>
    <x v="23"/>
    <n v="163.03922117159999"/>
    <n v="59509.315727633897"/>
    <n v="214233.53661948201"/>
  </r>
  <r>
    <x v="0"/>
    <x v="0"/>
    <x v="0"/>
    <x v="2"/>
    <x v="3"/>
    <s v="FIN_EL"/>
    <x v="6"/>
    <x v="115"/>
    <x v="0"/>
    <x v="0"/>
    <n v="33.3333333333333"/>
    <n v="12166.666666666701"/>
    <n v="43800"/>
  </r>
  <r>
    <x v="0"/>
    <x v="0"/>
    <x v="0"/>
    <x v="2"/>
    <x v="3"/>
    <s v="FIN_EL"/>
    <x v="6"/>
    <x v="115"/>
    <x v="0"/>
    <x v="1"/>
    <n v="33.3333333333333"/>
    <n v="12166.666666666701"/>
    <n v="43800"/>
  </r>
  <r>
    <x v="0"/>
    <x v="0"/>
    <x v="0"/>
    <x v="2"/>
    <x v="3"/>
    <s v="FIN_EL"/>
    <x v="6"/>
    <x v="115"/>
    <x v="0"/>
    <x v="2"/>
    <n v="33.3333333333333"/>
    <n v="12166.666666666701"/>
    <n v="43800"/>
  </r>
  <r>
    <x v="0"/>
    <x v="0"/>
    <x v="0"/>
    <x v="2"/>
    <x v="3"/>
    <s v="FIN_EL"/>
    <x v="6"/>
    <x v="115"/>
    <x v="0"/>
    <x v="3"/>
    <n v="33.3333333333333"/>
    <n v="12166.666666666701"/>
    <n v="43800"/>
  </r>
  <r>
    <x v="0"/>
    <x v="0"/>
    <x v="0"/>
    <x v="2"/>
    <x v="3"/>
    <s v="FIN_EL"/>
    <x v="6"/>
    <x v="115"/>
    <x v="0"/>
    <x v="4"/>
    <n v="33.3333333333333"/>
    <n v="12166.666666666701"/>
    <n v="43800"/>
  </r>
  <r>
    <x v="0"/>
    <x v="0"/>
    <x v="0"/>
    <x v="2"/>
    <x v="3"/>
    <s v="FIN_EL"/>
    <x v="6"/>
    <x v="115"/>
    <x v="0"/>
    <x v="5"/>
    <n v="33.3333333333333"/>
    <n v="12166.666666666701"/>
    <n v="43800"/>
  </r>
  <r>
    <x v="0"/>
    <x v="0"/>
    <x v="0"/>
    <x v="2"/>
    <x v="3"/>
    <s v="FIN_EL"/>
    <x v="6"/>
    <x v="115"/>
    <x v="0"/>
    <x v="6"/>
    <n v="33.3333333333333"/>
    <n v="12166.666666666701"/>
    <n v="43800"/>
  </r>
  <r>
    <x v="0"/>
    <x v="0"/>
    <x v="0"/>
    <x v="2"/>
    <x v="3"/>
    <s v="FIN_EL"/>
    <x v="6"/>
    <x v="115"/>
    <x v="0"/>
    <x v="7"/>
    <n v="33.3333333333333"/>
    <n v="12166.666666666701"/>
    <n v="43800"/>
  </r>
  <r>
    <x v="0"/>
    <x v="0"/>
    <x v="0"/>
    <x v="2"/>
    <x v="3"/>
    <s v="FIN_EL"/>
    <x v="6"/>
    <x v="115"/>
    <x v="0"/>
    <x v="8"/>
    <n v="33.3333333333333"/>
    <n v="12166.666666666701"/>
    <n v="43800"/>
  </r>
  <r>
    <x v="0"/>
    <x v="0"/>
    <x v="0"/>
    <x v="2"/>
    <x v="3"/>
    <s v="FIN_EL"/>
    <x v="6"/>
    <x v="115"/>
    <x v="0"/>
    <x v="9"/>
    <n v="33.3333333333333"/>
    <n v="12166.666666666701"/>
    <n v="43800"/>
  </r>
  <r>
    <x v="0"/>
    <x v="0"/>
    <x v="0"/>
    <x v="2"/>
    <x v="3"/>
    <s v="FIN_EL"/>
    <x v="6"/>
    <x v="115"/>
    <x v="0"/>
    <x v="10"/>
    <n v="33.3333333333333"/>
    <n v="12166.666666666701"/>
    <n v="43800"/>
  </r>
  <r>
    <x v="0"/>
    <x v="0"/>
    <x v="0"/>
    <x v="2"/>
    <x v="3"/>
    <s v="FIN_EL"/>
    <x v="6"/>
    <x v="115"/>
    <x v="0"/>
    <x v="11"/>
    <n v="33.3333333333333"/>
    <n v="12166.666666666701"/>
    <n v="43800"/>
  </r>
  <r>
    <x v="0"/>
    <x v="0"/>
    <x v="0"/>
    <x v="2"/>
    <x v="3"/>
    <s v="FIN_EL"/>
    <x v="6"/>
    <x v="115"/>
    <x v="0"/>
    <x v="12"/>
    <n v="33.3333333333333"/>
    <n v="12166.666666666701"/>
    <n v="43800"/>
  </r>
  <r>
    <x v="0"/>
    <x v="0"/>
    <x v="0"/>
    <x v="2"/>
    <x v="3"/>
    <s v="FIN_EL"/>
    <x v="6"/>
    <x v="115"/>
    <x v="0"/>
    <x v="13"/>
    <n v="33.3333333333333"/>
    <n v="12166.666666666701"/>
    <n v="43800"/>
  </r>
  <r>
    <x v="0"/>
    <x v="0"/>
    <x v="0"/>
    <x v="2"/>
    <x v="3"/>
    <s v="FIN_EL"/>
    <x v="6"/>
    <x v="115"/>
    <x v="0"/>
    <x v="14"/>
    <n v="33.3333333333333"/>
    <n v="12166.666666666701"/>
    <n v="43800"/>
  </r>
  <r>
    <x v="0"/>
    <x v="0"/>
    <x v="0"/>
    <x v="2"/>
    <x v="3"/>
    <s v="FIN_EL"/>
    <x v="6"/>
    <x v="115"/>
    <x v="0"/>
    <x v="15"/>
    <n v="33.3333333333333"/>
    <n v="12166.666666666701"/>
    <n v="43800"/>
  </r>
  <r>
    <x v="0"/>
    <x v="0"/>
    <x v="0"/>
    <x v="2"/>
    <x v="3"/>
    <s v="FIN_EL"/>
    <x v="6"/>
    <x v="115"/>
    <x v="0"/>
    <x v="16"/>
    <n v="33.3333333333333"/>
    <n v="12166.666666666701"/>
    <n v="43800"/>
  </r>
  <r>
    <x v="0"/>
    <x v="0"/>
    <x v="0"/>
    <x v="2"/>
    <x v="3"/>
    <s v="FIN_EL"/>
    <x v="6"/>
    <x v="115"/>
    <x v="0"/>
    <x v="17"/>
    <n v="33.3333333333333"/>
    <n v="12166.666666666701"/>
    <n v="43800"/>
  </r>
  <r>
    <x v="0"/>
    <x v="0"/>
    <x v="0"/>
    <x v="2"/>
    <x v="3"/>
    <s v="FIN_EL"/>
    <x v="6"/>
    <x v="115"/>
    <x v="0"/>
    <x v="18"/>
    <n v="33.3333333333333"/>
    <n v="12166.666666666701"/>
    <n v="43800"/>
  </r>
  <r>
    <x v="0"/>
    <x v="0"/>
    <x v="0"/>
    <x v="2"/>
    <x v="3"/>
    <s v="FIN_EL"/>
    <x v="6"/>
    <x v="115"/>
    <x v="0"/>
    <x v="19"/>
    <n v="33.3333333333333"/>
    <n v="12166.666666666701"/>
    <n v="43800"/>
  </r>
  <r>
    <x v="0"/>
    <x v="0"/>
    <x v="0"/>
    <x v="2"/>
    <x v="3"/>
    <s v="FIN_EL"/>
    <x v="6"/>
    <x v="115"/>
    <x v="0"/>
    <x v="20"/>
    <n v="33.3333333333333"/>
    <n v="12166.666666666701"/>
    <n v="43800"/>
  </r>
  <r>
    <x v="0"/>
    <x v="0"/>
    <x v="0"/>
    <x v="2"/>
    <x v="3"/>
    <s v="FIN_EL"/>
    <x v="6"/>
    <x v="115"/>
    <x v="0"/>
    <x v="21"/>
    <n v="33.3333333333333"/>
    <n v="12166.666666666701"/>
    <n v="43800"/>
  </r>
  <r>
    <x v="0"/>
    <x v="0"/>
    <x v="0"/>
    <x v="2"/>
    <x v="3"/>
    <s v="FIN_EL"/>
    <x v="6"/>
    <x v="115"/>
    <x v="0"/>
    <x v="22"/>
    <n v="33.3333333333333"/>
    <n v="12166.666666666701"/>
    <n v="43800"/>
  </r>
  <r>
    <x v="0"/>
    <x v="0"/>
    <x v="0"/>
    <x v="2"/>
    <x v="3"/>
    <s v="FIN_EL"/>
    <x v="6"/>
    <x v="115"/>
    <x v="0"/>
    <x v="23"/>
    <n v="33.3333333333333"/>
    <n v="12166.666666666701"/>
    <n v="43800"/>
  </r>
  <r>
    <x v="0"/>
    <x v="0"/>
    <x v="0"/>
    <x v="2"/>
    <x v="3"/>
    <s v="FIN_EL"/>
    <x v="11"/>
    <x v="116"/>
    <x v="0"/>
    <x v="0"/>
    <n v="352.27272727272702"/>
    <n v="128579.545454545"/>
    <n v="462886.363636364"/>
  </r>
  <r>
    <x v="0"/>
    <x v="0"/>
    <x v="0"/>
    <x v="2"/>
    <x v="3"/>
    <s v="FIN_EL"/>
    <x v="11"/>
    <x v="116"/>
    <x v="0"/>
    <x v="1"/>
    <n v="352.27272727272702"/>
    <n v="128579.545454545"/>
    <n v="462886.363636364"/>
  </r>
  <r>
    <x v="0"/>
    <x v="0"/>
    <x v="0"/>
    <x v="2"/>
    <x v="3"/>
    <s v="FIN_EL"/>
    <x v="11"/>
    <x v="116"/>
    <x v="0"/>
    <x v="2"/>
    <n v="352.27272727272702"/>
    <n v="128579.545454545"/>
    <n v="462886.363636364"/>
  </r>
  <r>
    <x v="0"/>
    <x v="0"/>
    <x v="0"/>
    <x v="2"/>
    <x v="3"/>
    <s v="FIN_EL"/>
    <x v="11"/>
    <x v="116"/>
    <x v="0"/>
    <x v="3"/>
    <n v="352.27272727272702"/>
    <n v="128579.545454545"/>
    <n v="462886.363636364"/>
  </r>
  <r>
    <x v="0"/>
    <x v="0"/>
    <x v="0"/>
    <x v="2"/>
    <x v="3"/>
    <s v="FIN_EL"/>
    <x v="11"/>
    <x v="116"/>
    <x v="0"/>
    <x v="4"/>
    <n v="352.27272727272702"/>
    <n v="128579.545454545"/>
    <n v="462886.363636364"/>
  </r>
  <r>
    <x v="0"/>
    <x v="0"/>
    <x v="0"/>
    <x v="2"/>
    <x v="3"/>
    <s v="FIN_EL"/>
    <x v="11"/>
    <x v="116"/>
    <x v="0"/>
    <x v="5"/>
    <n v="352.27272727272702"/>
    <n v="128579.545454545"/>
    <n v="462886.363636364"/>
  </r>
  <r>
    <x v="0"/>
    <x v="0"/>
    <x v="0"/>
    <x v="2"/>
    <x v="3"/>
    <s v="FIN_EL"/>
    <x v="11"/>
    <x v="116"/>
    <x v="0"/>
    <x v="6"/>
    <n v="352.27272727272702"/>
    <n v="128579.545454545"/>
    <n v="462886.363636364"/>
  </r>
  <r>
    <x v="0"/>
    <x v="0"/>
    <x v="0"/>
    <x v="2"/>
    <x v="3"/>
    <s v="FIN_EL"/>
    <x v="11"/>
    <x v="116"/>
    <x v="0"/>
    <x v="7"/>
    <n v="352.27272727272702"/>
    <n v="128579.545454545"/>
    <n v="462886.363636364"/>
  </r>
  <r>
    <x v="0"/>
    <x v="0"/>
    <x v="0"/>
    <x v="2"/>
    <x v="3"/>
    <s v="FIN_EL"/>
    <x v="11"/>
    <x v="116"/>
    <x v="0"/>
    <x v="8"/>
    <n v="352.27272727272702"/>
    <n v="128579.545454545"/>
    <n v="462886.363636364"/>
  </r>
  <r>
    <x v="0"/>
    <x v="0"/>
    <x v="0"/>
    <x v="2"/>
    <x v="3"/>
    <s v="FIN_EL"/>
    <x v="11"/>
    <x v="116"/>
    <x v="0"/>
    <x v="9"/>
    <n v="352.27272727272702"/>
    <n v="128579.545454545"/>
    <n v="462886.363636364"/>
  </r>
  <r>
    <x v="0"/>
    <x v="0"/>
    <x v="0"/>
    <x v="2"/>
    <x v="3"/>
    <s v="FIN_EL"/>
    <x v="11"/>
    <x v="116"/>
    <x v="0"/>
    <x v="10"/>
    <n v="352.27272727272702"/>
    <n v="128579.545454545"/>
    <n v="462886.363636364"/>
  </r>
  <r>
    <x v="0"/>
    <x v="0"/>
    <x v="0"/>
    <x v="2"/>
    <x v="3"/>
    <s v="FIN_EL"/>
    <x v="11"/>
    <x v="116"/>
    <x v="0"/>
    <x v="11"/>
    <n v="352.27272727272702"/>
    <n v="128579.545454545"/>
    <n v="462886.363636364"/>
  </r>
  <r>
    <x v="0"/>
    <x v="0"/>
    <x v="0"/>
    <x v="2"/>
    <x v="3"/>
    <s v="FIN_EL"/>
    <x v="11"/>
    <x v="116"/>
    <x v="0"/>
    <x v="12"/>
    <n v="352.27272727272702"/>
    <n v="128579.545454545"/>
    <n v="462886.363636364"/>
  </r>
  <r>
    <x v="0"/>
    <x v="0"/>
    <x v="0"/>
    <x v="2"/>
    <x v="3"/>
    <s v="FIN_EL"/>
    <x v="11"/>
    <x v="116"/>
    <x v="0"/>
    <x v="13"/>
    <n v="352.27272727272702"/>
    <n v="128579.545454545"/>
    <n v="462886.363636364"/>
  </r>
  <r>
    <x v="0"/>
    <x v="0"/>
    <x v="0"/>
    <x v="2"/>
    <x v="3"/>
    <s v="FIN_EL"/>
    <x v="11"/>
    <x v="116"/>
    <x v="0"/>
    <x v="14"/>
    <n v="352.27272727272702"/>
    <n v="128579.545454545"/>
    <n v="462886.363636364"/>
  </r>
  <r>
    <x v="0"/>
    <x v="0"/>
    <x v="0"/>
    <x v="2"/>
    <x v="3"/>
    <s v="FIN_EL"/>
    <x v="11"/>
    <x v="116"/>
    <x v="0"/>
    <x v="15"/>
    <n v="352.27272727272702"/>
    <n v="128579.545454545"/>
    <n v="462886.363636364"/>
  </r>
  <r>
    <x v="0"/>
    <x v="0"/>
    <x v="0"/>
    <x v="2"/>
    <x v="3"/>
    <s v="FIN_EL"/>
    <x v="11"/>
    <x v="116"/>
    <x v="0"/>
    <x v="16"/>
    <n v="352.27272727272702"/>
    <n v="128579.545454545"/>
    <n v="462886.363636364"/>
  </r>
  <r>
    <x v="0"/>
    <x v="0"/>
    <x v="0"/>
    <x v="2"/>
    <x v="3"/>
    <s v="FIN_EL"/>
    <x v="11"/>
    <x v="116"/>
    <x v="0"/>
    <x v="17"/>
    <n v="352.27272727272702"/>
    <n v="128579.545454545"/>
    <n v="462886.363636364"/>
  </r>
  <r>
    <x v="0"/>
    <x v="0"/>
    <x v="0"/>
    <x v="2"/>
    <x v="3"/>
    <s v="FIN_EL"/>
    <x v="11"/>
    <x v="116"/>
    <x v="0"/>
    <x v="18"/>
    <n v="352.27272727272702"/>
    <n v="128579.545454545"/>
    <n v="462886.363636364"/>
  </r>
  <r>
    <x v="0"/>
    <x v="0"/>
    <x v="0"/>
    <x v="2"/>
    <x v="3"/>
    <s v="FIN_EL"/>
    <x v="11"/>
    <x v="116"/>
    <x v="0"/>
    <x v="19"/>
    <n v="352.27272727272702"/>
    <n v="128579.545454545"/>
    <n v="462886.363636364"/>
  </r>
  <r>
    <x v="0"/>
    <x v="0"/>
    <x v="0"/>
    <x v="2"/>
    <x v="3"/>
    <s v="FIN_EL"/>
    <x v="11"/>
    <x v="116"/>
    <x v="0"/>
    <x v="20"/>
    <n v="352.27272727272702"/>
    <n v="128579.545454545"/>
    <n v="462886.363636364"/>
  </r>
  <r>
    <x v="0"/>
    <x v="0"/>
    <x v="0"/>
    <x v="2"/>
    <x v="3"/>
    <s v="FIN_EL"/>
    <x v="11"/>
    <x v="116"/>
    <x v="0"/>
    <x v="21"/>
    <n v="352.27272727272702"/>
    <n v="128579.545454545"/>
    <n v="462886.363636364"/>
  </r>
  <r>
    <x v="0"/>
    <x v="0"/>
    <x v="0"/>
    <x v="2"/>
    <x v="3"/>
    <s v="FIN_EL"/>
    <x v="11"/>
    <x v="116"/>
    <x v="0"/>
    <x v="22"/>
    <n v="352.27272727272702"/>
    <n v="128579.545454545"/>
    <n v="462886.363636364"/>
  </r>
  <r>
    <x v="0"/>
    <x v="0"/>
    <x v="0"/>
    <x v="2"/>
    <x v="3"/>
    <s v="FIN_EL"/>
    <x v="11"/>
    <x v="116"/>
    <x v="0"/>
    <x v="23"/>
    <n v="352.27272727272702"/>
    <n v="128579.545454545"/>
    <n v="462886.363636364"/>
  </r>
  <r>
    <x v="0"/>
    <x v="0"/>
    <x v="0"/>
    <x v="2"/>
    <x v="3"/>
    <s v="FIN_ESPOO"/>
    <x v="15"/>
    <x v="117"/>
    <x v="0"/>
    <x v="0"/>
    <n v="23.529411764705898"/>
    <n v="8588.2352941176505"/>
    <n v="30917.647058823499"/>
  </r>
  <r>
    <x v="0"/>
    <x v="0"/>
    <x v="0"/>
    <x v="2"/>
    <x v="3"/>
    <s v="FIN_ESPOO"/>
    <x v="15"/>
    <x v="117"/>
    <x v="0"/>
    <x v="1"/>
    <n v="23.529411764705898"/>
    <n v="8588.2352941176505"/>
    <n v="30917.647058823499"/>
  </r>
  <r>
    <x v="0"/>
    <x v="0"/>
    <x v="0"/>
    <x v="2"/>
    <x v="3"/>
    <s v="FIN_ESPOO"/>
    <x v="15"/>
    <x v="117"/>
    <x v="0"/>
    <x v="2"/>
    <n v="23.529411764705898"/>
    <n v="8588.2352941176505"/>
    <n v="30917.647058823499"/>
  </r>
  <r>
    <x v="0"/>
    <x v="0"/>
    <x v="0"/>
    <x v="2"/>
    <x v="3"/>
    <s v="FIN_ESPOO"/>
    <x v="15"/>
    <x v="117"/>
    <x v="0"/>
    <x v="3"/>
    <n v="23.529411764705898"/>
    <n v="8588.2352941176505"/>
    <n v="30917.647058823499"/>
  </r>
  <r>
    <x v="0"/>
    <x v="0"/>
    <x v="0"/>
    <x v="2"/>
    <x v="3"/>
    <s v="FIN_ESPOO"/>
    <x v="15"/>
    <x v="117"/>
    <x v="0"/>
    <x v="4"/>
    <n v="23.529411764705898"/>
    <n v="8588.2352941176505"/>
    <n v="30917.647058823499"/>
  </r>
  <r>
    <x v="0"/>
    <x v="0"/>
    <x v="0"/>
    <x v="2"/>
    <x v="3"/>
    <s v="FIN_ESPOO"/>
    <x v="15"/>
    <x v="117"/>
    <x v="0"/>
    <x v="5"/>
    <n v="23.529411764705898"/>
    <n v="8588.2352941176505"/>
    <n v="30917.647058823499"/>
  </r>
  <r>
    <x v="0"/>
    <x v="0"/>
    <x v="0"/>
    <x v="2"/>
    <x v="3"/>
    <s v="FIN_ESPOO"/>
    <x v="15"/>
    <x v="117"/>
    <x v="0"/>
    <x v="6"/>
    <n v="23.529411764705898"/>
    <n v="8588.2352941176505"/>
    <n v="30917.647058823499"/>
  </r>
  <r>
    <x v="0"/>
    <x v="0"/>
    <x v="0"/>
    <x v="2"/>
    <x v="3"/>
    <s v="FIN_ESPOO"/>
    <x v="15"/>
    <x v="117"/>
    <x v="0"/>
    <x v="7"/>
    <n v="23.529411764705898"/>
    <n v="8588.2352941176505"/>
    <n v="30917.647058823499"/>
  </r>
  <r>
    <x v="0"/>
    <x v="0"/>
    <x v="0"/>
    <x v="2"/>
    <x v="3"/>
    <s v="FIN_ESPOO"/>
    <x v="15"/>
    <x v="117"/>
    <x v="0"/>
    <x v="8"/>
    <n v="23.529411764705898"/>
    <n v="8588.2352941176505"/>
    <n v="30917.647058823499"/>
  </r>
  <r>
    <x v="0"/>
    <x v="0"/>
    <x v="0"/>
    <x v="2"/>
    <x v="3"/>
    <s v="FIN_ESPOO"/>
    <x v="15"/>
    <x v="117"/>
    <x v="0"/>
    <x v="9"/>
    <n v="23.529411764705898"/>
    <n v="8588.2352941176505"/>
    <n v="30917.647058823499"/>
  </r>
  <r>
    <x v="0"/>
    <x v="0"/>
    <x v="0"/>
    <x v="2"/>
    <x v="3"/>
    <s v="FIN_ESPOO"/>
    <x v="15"/>
    <x v="117"/>
    <x v="0"/>
    <x v="10"/>
    <n v="23.529411764705898"/>
    <n v="8588.2352941176505"/>
    <n v="30917.647058823499"/>
  </r>
  <r>
    <x v="0"/>
    <x v="0"/>
    <x v="0"/>
    <x v="2"/>
    <x v="3"/>
    <s v="FIN_ESPOO"/>
    <x v="15"/>
    <x v="117"/>
    <x v="0"/>
    <x v="11"/>
    <n v="23.529411764705898"/>
    <n v="8588.2352941176505"/>
    <n v="30917.647058823499"/>
  </r>
  <r>
    <x v="0"/>
    <x v="0"/>
    <x v="0"/>
    <x v="2"/>
    <x v="3"/>
    <s v="FIN_ESPOO"/>
    <x v="15"/>
    <x v="117"/>
    <x v="0"/>
    <x v="12"/>
    <n v="23.529411764705898"/>
    <n v="8588.2352941176505"/>
    <n v="30917.647058823499"/>
  </r>
  <r>
    <x v="0"/>
    <x v="0"/>
    <x v="0"/>
    <x v="2"/>
    <x v="3"/>
    <s v="FIN_ESPOO"/>
    <x v="15"/>
    <x v="117"/>
    <x v="0"/>
    <x v="13"/>
    <n v="23.529411764705898"/>
    <n v="8588.2352941176505"/>
    <n v="30917.647058823499"/>
  </r>
  <r>
    <x v="0"/>
    <x v="0"/>
    <x v="0"/>
    <x v="2"/>
    <x v="3"/>
    <s v="FIN_ESPOO"/>
    <x v="15"/>
    <x v="117"/>
    <x v="0"/>
    <x v="14"/>
    <n v="23.529411764705898"/>
    <n v="8588.2352941176505"/>
    <n v="30917.647058823499"/>
  </r>
  <r>
    <x v="0"/>
    <x v="0"/>
    <x v="0"/>
    <x v="2"/>
    <x v="3"/>
    <s v="FIN_ESPOO"/>
    <x v="15"/>
    <x v="117"/>
    <x v="0"/>
    <x v="15"/>
    <n v="23.529411764705898"/>
    <n v="8588.2352941176505"/>
    <n v="30917.647058823499"/>
  </r>
  <r>
    <x v="0"/>
    <x v="0"/>
    <x v="0"/>
    <x v="2"/>
    <x v="3"/>
    <s v="FIN_ESPOO"/>
    <x v="15"/>
    <x v="117"/>
    <x v="0"/>
    <x v="16"/>
    <n v="23.529411764705898"/>
    <n v="8588.2352941176505"/>
    <n v="30917.647058823499"/>
  </r>
  <r>
    <x v="0"/>
    <x v="0"/>
    <x v="0"/>
    <x v="2"/>
    <x v="3"/>
    <s v="FIN_ESPOO"/>
    <x v="15"/>
    <x v="117"/>
    <x v="0"/>
    <x v="17"/>
    <n v="23.529411764705898"/>
    <n v="8588.2352941176505"/>
    <n v="30917.647058823499"/>
  </r>
  <r>
    <x v="0"/>
    <x v="0"/>
    <x v="0"/>
    <x v="2"/>
    <x v="3"/>
    <s v="FIN_ESPOO"/>
    <x v="15"/>
    <x v="117"/>
    <x v="0"/>
    <x v="18"/>
    <n v="23.529411764705898"/>
    <n v="8588.2352941176505"/>
    <n v="30917.647058823499"/>
  </r>
  <r>
    <x v="0"/>
    <x v="0"/>
    <x v="0"/>
    <x v="2"/>
    <x v="3"/>
    <s v="FIN_ESPOO"/>
    <x v="15"/>
    <x v="117"/>
    <x v="0"/>
    <x v="19"/>
    <n v="23.529411764705898"/>
    <n v="8588.2352941176505"/>
    <n v="30917.647058823499"/>
  </r>
  <r>
    <x v="0"/>
    <x v="0"/>
    <x v="0"/>
    <x v="2"/>
    <x v="3"/>
    <s v="FIN_ESPOO"/>
    <x v="15"/>
    <x v="117"/>
    <x v="0"/>
    <x v="20"/>
    <n v="23.529411764705898"/>
    <n v="8588.2352941176505"/>
    <n v="30917.647058823499"/>
  </r>
  <r>
    <x v="0"/>
    <x v="0"/>
    <x v="0"/>
    <x v="2"/>
    <x v="3"/>
    <s v="FIN_ESPOO"/>
    <x v="15"/>
    <x v="117"/>
    <x v="0"/>
    <x v="21"/>
    <n v="23.529411764705898"/>
    <n v="8588.2352941176505"/>
    <n v="30917.647058823499"/>
  </r>
  <r>
    <x v="0"/>
    <x v="0"/>
    <x v="0"/>
    <x v="2"/>
    <x v="3"/>
    <s v="FIN_ESPOO"/>
    <x v="15"/>
    <x v="117"/>
    <x v="0"/>
    <x v="22"/>
    <n v="23.529411764705898"/>
    <n v="8588.2352941176505"/>
    <n v="30917.647058823499"/>
  </r>
  <r>
    <x v="0"/>
    <x v="0"/>
    <x v="0"/>
    <x v="2"/>
    <x v="3"/>
    <s v="FIN_ESPOO"/>
    <x v="15"/>
    <x v="117"/>
    <x v="0"/>
    <x v="23"/>
    <n v="23.529411764705898"/>
    <n v="8588.2352941176505"/>
    <n v="30917.647058823499"/>
  </r>
  <r>
    <x v="0"/>
    <x v="0"/>
    <x v="0"/>
    <x v="2"/>
    <x v="3"/>
    <s v="FIN_GAS"/>
    <x v="15"/>
    <x v="117"/>
    <x v="0"/>
    <x v="0"/>
    <n v="152.38659726170101"/>
    <n v="55621.108000521002"/>
    <n v="200235.988801876"/>
  </r>
  <r>
    <x v="0"/>
    <x v="0"/>
    <x v="0"/>
    <x v="2"/>
    <x v="3"/>
    <s v="FIN_GAS"/>
    <x v="15"/>
    <x v="117"/>
    <x v="0"/>
    <x v="1"/>
    <n v="150.722324138788"/>
    <n v="55013.648310657598"/>
    <n v="198049.13391836701"/>
  </r>
  <r>
    <x v="0"/>
    <x v="0"/>
    <x v="0"/>
    <x v="2"/>
    <x v="3"/>
    <s v="FIN_GAS"/>
    <x v="15"/>
    <x v="117"/>
    <x v="0"/>
    <x v="2"/>
    <n v="151.67113929839499"/>
    <n v="55359.965843914099"/>
    <n v="199295.87703809101"/>
  </r>
  <r>
    <x v="0"/>
    <x v="0"/>
    <x v="0"/>
    <x v="2"/>
    <x v="3"/>
    <s v="FIN_GAS"/>
    <x v="15"/>
    <x v="117"/>
    <x v="0"/>
    <x v="3"/>
    <n v="155.16829096920799"/>
    <n v="56636.426203761002"/>
    <n v="203891.13433353999"/>
  </r>
  <r>
    <x v="0"/>
    <x v="0"/>
    <x v="0"/>
    <x v="2"/>
    <x v="3"/>
    <s v="FIN_GAS"/>
    <x v="15"/>
    <x v="117"/>
    <x v="0"/>
    <x v="4"/>
    <n v="163.689259307388"/>
    <n v="59746.579647196697"/>
    <n v="215087.68672990799"/>
  </r>
  <r>
    <x v="0"/>
    <x v="0"/>
    <x v="0"/>
    <x v="2"/>
    <x v="3"/>
    <s v="FIN_GAS"/>
    <x v="15"/>
    <x v="117"/>
    <x v="0"/>
    <x v="5"/>
    <n v="179.43967190364501"/>
    <n v="65495.4802448306"/>
    <n v="235783.72888139001"/>
  </r>
  <r>
    <x v="0"/>
    <x v="0"/>
    <x v="0"/>
    <x v="2"/>
    <x v="3"/>
    <s v="FIN_GAS"/>
    <x v="15"/>
    <x v="117"/>
    <x v="0"/>
    <x v="6"/>
    <n v="211.20714695828099"/>
    <n v="77090.608639772501"/>
    <n v="277526.19110318099"/>
  </r>
  <r>
    <x v="0"/>
    <x v="0"/>
    <x v="0"/>
    <x v="2"/>
    <x v="3"/>
    <s v="FIN_GAS"/>
    <x v="15"/>
    <x v="117"/>
    <x v="0"/>
    <x v="7"/>
    <n v="230.13896504661199"/>
    <n v="84000.722242013406"/>
    <n v="302402.60007124802"/>
  </r>
  <r>
    <x v="0"/>
    <x v="0"/>
    <x v="0"/>
    <x v="2"/>
    <x v="3"/>
    <s v="FIN_GAS"/>
    <x v="15"/>
    <x v="117"/>
    <x v="0"/>
    <x v="8"/>
    <n v="234.88638266209199"/>
    <n v="85733.529671663695"/>
    <n v="308640.706817989"/>
  </r>
  <r>
    <x v="0"/>
    <x v="0"/>
    <x v="0"/>
    <x v="2"/>
    <x v="3"/>
    <s v="FIN_GAS"/>
    <x v="15"/>
    <x v="117"/>
    <x v="0"/>
    <x v="9"/>
    <n v="236.11150609230901"/>
    <n v="86180.699723693004"/>
    <n v="310250.51900529501"/>
  </r>
  <r>
    <x v="0"/>
    <x v="0"/>
    <x v="0"/>
    <x v="2"/>
    <x v="3"/>
    <s v="FIN_GAS"/>
    <x v="15"/>
    <x v="117"/>
    <x v="0"/>
    <x v="10"/>
    <n v="229.25037961467001"/>
    <n v="83676.388559354396"/>
    <n v="301234.99881367601"/>
  </r>
  <r>
    <x v="0"/>
    <x v="0"/>
    <x v="0"/>
    <x v="2"/>
    <x v="3"/>
    <s v="FIN_GAS"/>
    <x v="15"/>
    <x v="117"/>
    <x v="0"/>
    <x v="11"/>
    <n v="224.68525826960001"/>
    <n v="82010.119268403898"/>
    <n v="295236.42936625401"/>
  </r>
  <r>
    <x v="0"/>
    <x v="0"/>
    <x v="0"/>
    <x v="2"/>
    <x v="3"/>
    <s v="FIN_GAS"/>
    <x v="15"/>
    <x v="117"/>
    <x v="0"/>
    <x v="12"/>
    <n v="223.03939945580299"/>
    <n v="81409.380801368097"/>
    <n v="293073.77088492498"/>
  </r>
  <r>
    <x v="0"/>
    <x v="0"/>
    <x v="0"/>
    <x v="2"/>
    <x v="3"/>
    <s v="FIN_GAS"/>
    <x v="15"/>
    <x v="117"/>
    <x v="0"/>
    <x v="13"/>
    <n v="222.764661624398"/>
    <n v="81309.101492905305"/>
    <n v="292712.76537445898"/>
  </r>
  <r>
    <x v="0"/>
    <x v="0"/>
    <x v="0"/>
    <x v="2"/>
    <x v="3"/>
    <s v="FIN_GAS"/>
    <x v="15"/>
    <x v="117"/>
    <x v="0"/>
    <x v="14"/>
    <n v="223.93160825749399"/>
    <n v="81735.037013985202"/>
    <n v="294246.13325034699"/>
  </r>
  <r>
    <x v="0"/>
    <x v="0"/>
    <x v="0"/>
    <x v="2"/>
    <x v="3"/>
    <s v="FIN_GAS"/>
    <x v="15"/>
    <x v="117"/>
    <x v="0"/>
    <x v="15"/>
    <n v="230.56800094292899"/>
    <n v="84157.3203441691"/>
    <n v="302966.35323900898"/>
  </r>
  <r>
    <x v="0"/>
    <x v="0"/>
    <x v="0"/>
    <x v="2"/>
    <x v="3"/>
    <s v="FIN_GAS"/>
    <x v="15"/>
    <x v="117"/>
    <x v="0"/>
    <x v="16"/>
    <n v="225.29142913177901"/>
    <n v="82231.371633099203"/>
    <n v="296032.93787915702"/>
  </r>
  <r>
    <x v="0"/>
    <x v="0"/>
    <x v="0"/>
    <x v="2"/>
    <x v="3"/>
    <s v="FIN_GAS"/>
    <x v="15"/>
    <x v="117"/>
    <x v="0"/>
    <x v="17"/>
    <n v="220.44397682317"/>
    <n v="80462.051540457105"/>
    <n v="289663.38554564503"/>
  </r>
  <r>
    <x v="0"/>
    <x v="0"/>
    <x v="0"/>
    <x v="2"/>
    <x v="3"/>
    <s v="FIN_GAS"/>
    <x v="15"/>
    <x v="117"/>
    <x v="0"/>
    <x v="18"/>
    <n v="221.27243222991299"/>
    <n v="80764.437763918395"/>
    <n v="290751.97595010599"/>
  </r>
  <r>
    <x v="0"/>
    <x v="0"/>
    <x v="0"/>
    <x v="2"/>
    <x v="3"/>
    <s v="FIN_GAS"/>
    <x v="15"/>
    <x v="117"/>
    <x v="0"/>
    <x v="19"/>
    <n v="217.787722252988"/>
    <n v="79492.518622340503"/>
    <n v="286173.06704042602"/>
  </r>
  <r>
    <x v="0"/>
    <x v="0"/>
    <x v="0"/>
    <x v="2"/>
    <x v="3"/>
    <s v="FIN_GAS"/>
    <x v="15"/>
    <x v="117"/>
    <x v="0"/>
    <x v="20"/>
    <n v="213.04789982960699"/>
    <n v="77762.483437806397"/>
    <n v="279944.94037610298"/>
  </r>
  <r>
    <x v="0"/>
    <x v="0"/>
    <x v="0"/>
    <x v="2"/>
    <x v="3"/>
    <s v="FIN_GAS"/>
    <x v="15"/>
    <x v="117"/>
    <x v="0"/>
    <x v="21"/>
    <n v="208.77861538767999"/>
    <n v="76204.1946165033"/>
    <n v="274335.10061941203"/>
  </r>
  <r>
    <x v="0"/>
    <x v="0"/>
    <x v="0"/>
    <x v="2"/>
    <x v="3"/>
    <s v="FIN_GAS"/>
    <x v="15"/>
    <x v="117"/>
    <x v="0"/>
    <x v="22"/>
    <n v="198.06112631009"/>
    <n v="72292.311103182699"/>
    <n v="260252.319971458"/>
  </r>
  <r>
    <x v="0"/>
    <x v="0"/>
    <x v="0"/>
    <x v="2"/>
    <x v="3"/>
    <s v="FIN_GAS"/>
    <x v="15"/>
    <x v="117"/>
    <x v="0"/>
    <x v="23"/>
    <n v="188.387874241129"/>
    <n v="68761.574098012206"/>
    <n v="247541.666752844"/>
  </r>
  <r>
    <x v="0"/>
    <x v="0"/>
    <x v="0"/>
    <x v="2"/>
    <x v="3"/>
    <s v="FIN_HELS"/>
    <x v="3"/>
    <x v="118"/>
    <x v="0"/>
    <x v="7"/>
    <n v="370.757407140694"/>
    <n v="135326.453606353"/>
    <n v="487175.232982872"/>
  </r>
  <r>
    <x v="0"/>
    <x v="0"/>
    <x v="0"/>
    <x v="2"/>
    <x v="3"/>
    <s v="FIN_HELS"/>
    <x v="3"/>
    <x v="118"/>
    <x v="0"/>
    <x v="8"/>
    <n v="161.555611793108"/>
    <n v="58967.798304484502"/>
    <n v="212284.07389614399"/>
  </r>
  <r>
    <x v="0"/>
    <x v="0"/>
    <x v="0"/>
    <x v="2"/>
    <x v="3"/>
    <s v="FIN_HELS"/>
    <x v="3"/>
    <x v="118"/>
    <x v="0"/>
    <x v="9"/>
    <n v="26.8522933079221"/>
    <n v="9801.0870573915799"/>
    <n v="35283.913406609703"/>
  </r>
  <r>
    <x v="0"/>
    <x v="0"/>
    <x v="0"/>
    <x v="2"/>
    <x v="3"/>
    <s v="FIN_HELS"/>
    <x v="3"/>
    <x v="118"/>
    <x v="0"/>
    <x v="10"/>
    <n v="217.761880242719"/>
    <n v="79483.086288592502"/>
    <n v="286139.11063893302"/>
  </r>
  <r>
    <x v="0"/>
    <x v="0"/>
    <x v="0"/>
    <x v="2"/>
    <x v="3"/>
    <s v="FIN_HELS"/>
    <x v="3"/>
    <x v="118"/>
    <x v="0"/>
    <x v="16"/>
    <n v="210.922518634624"/>
    <n v="76986.719301637801"/>
    <n v="277152.18948589597"/>
  </r>
  <r>
    <x v="0"/>
    <x v="0"/>
    <x v="0"/>
    <x v="2"/>
    <x v="3"/>
    <s v="FIN_HELS"/>
    <x v="3"/>
    <x v="118"/>
    <x v="0"/>
    <x v="18"/>
    <n v="186.62661685581199"/>
    <n v="68118.715152371398"/>
    <n v="245227.37454853699"/>
  </r>
  <r>
    <x v="0"/>
    <x v="0"/>
    <x v="0"/>
    <x v="2"/>
    <x v="3"/>
    <s v="FIN_HP"/>
    <x v="0"/>
    <x v="119"/>
    <x v="0"/>
    <x v="0"/>
    <n v="4.7058823529411802"/>
    <n v="1717.64705882353"/>
    <n v="6183.5294117647099"/>
  </r>
  <r>
    <x v="0"/>
    <x v="0"/>
    <x v="0"/>
    <x v="2"/>
    <x v="3"/>
    <s v="FIN_HP"/>
    <x v="0"/>
    <x v="119"/>
    <x v="0"/>
    <x v="1"/>
    <n v="4.7058823529411802"/>
    <n v="1717.64705882353"/>
    <n v="6183.5294117647099"/>
  </r>
  <r>
    <x v="0"/>
    <x v="0"/>
    <x v="0"/>
    <x v="2"/>
    <x v="3"/>
    <s v="FIN_HP"/>
    <x v="0"/>
    <x v="119"/>
    <x v="0"/>
    <x v="2"/>
    <n v="4.7058823529411802"/>
    <n v="1717.64705882353"/>
    <n v="6183.5294117647099"/>
  </r>
  <r>
    <x v="0"/>
    <x v="0"/>
    <x v="0"/>
    <x v="2"/>
    <x v="3"/>
    <s v="FIN_HP"/>
    <x v="0"/>
    <x v="119"/>
    <x v="0"/>
    <x v="3"/>
    <n v="4.7058823529411802"/>
    <n v="1717.64705882353"/>
    <n v="6183.5294117647099"/>
  </r>
  <r>
    <x v="0"/>
    <x v="0"/>
    <x v="0"/>
    <x v="2"/>
    <x v="3"/>
    <s v="FIN_HP"/>
    <x v="0"/>
    <x v="119"/>
    <x v="0"/>
    <x v="4"/>
    <n v="4.7058823529411802"/>
    <n v="1717.64705882353"/>
    <n v="6183.5294117647099"/>
  </r>
  <r>
    <x v="0"/>
    <x v="0"/>
    <x v="0"/>
    <x v="2"/>
    <x v="3"/>
    <s v="FIN_HP"/>
    <x v="0"/>
    <x v="119"/>
    <x v="0"/>
    <x v="5"/>
    <n v="4.7058823529411802"/>
    <n v="1717.64705882353"/>
    <n v="6183.5294117647099"/>
  </r>
  <r>
    <x v="0"/>
    <x v="0"/>
    <x v="0"/>
    <x v="2"/>
    <x v="3"/>
    <s v="FIN_HP"/>
    <x v="0"/>
    <x v="119"/>
    <x v="0"/>
    <x v="6"/>
    <n v="4.7058823529411802"/>
    <n v="1717.64705882353"/>
    <n v="6183.5294117647099"/>
  </r>
  <r>
    <x v="0"/>
    <x v="0"/>
    <x v="0"/>
    <x v="2"/>
    <x v="3"/>
    <s v="FIN_HP"/>
    <x v="0"/>
    <x v="119"/>
    <x v="0"/>
    <x v="7"/>
    <n v="4.7058823529411802"/>
    <n v="1717.64705882353"/>
    <n v="6183.5294117647099"/>
  </r>
  <r>
    <x v="0"/>
    <x v="0"/>
    <x v="0"/>
    <x v="2"/>
    <x v="3"/>
    <s v="FIN_HP"/>
    <x v="0"/>
    <x v="119"/>
    <x v="0"/>
    <x v="8"/>
    <n v="4.7058823529411802"/>
    <n v="1717.64705882353"/>
    <n v="6183.5294117647099"/>
  </r>
  <r>
    <x v="0"/>
    <x v="0"/>
    <x v="0"/>
    <x v="2"/>
    <x v="3"/>
    <s v="FIN_HP"/>
    <x v="0"/>
    <x v="119"/>
    <x v="0"/>
    <x v="9"/>
    <n v="4.7058823529411802"/>
    <n v="1717.64705882353"/>
    <n v="6183.5294117647099"/>
  </r>
  <r>
    <x v="0"/>
    <x v="0"/>
    <x v="0"/>
    <x v="2"/>
    <x v="3"/>
    <s v="FIN_HP"/>
    <x v="0"/>
    <x v="119"/>
    <x v="0"/>
    <x v="10"/>
    <n v="4.7058823529411802"/>
    <n v="1717.64705882353"/>
    <n v="6183.5294117647099"/>
  </r>
  <r>
    <x v="0"/>
    <x v="0"/>
    <x v="0"/>
    <x v="2"/>
    <x v="3"/>
    <s v="FIN_HP"/>
    <x v="0"/>
    <x v="119"/>
    <x v="0"/>
    <x v="11"/>
    <n v="4.7058823529411802"/>
    <n v="1717.64705882353"/>
    <n v="6183.5294117647099"/>
  </r>
  <r>
    <x v="0"/>
    <x v="0"/>
    <x v="0"/>
    <x v="2"/>
    <x v="3"/>
    <s v="FIN_HP"/>
    <x v="0"/>
    <x v="119"/>
    <x v="0"/>
    <x v="12"/>
    <n v="4.7058823529411802"/>
    <n v="1717.64705882353"/>
    <n v="6183.5294117647099"/>
  </r>
  <r>
    <x v="0"/>
    <x v="0"/>
    <x v="0"/>
    <x v="2"/>
    <x v="3"/>
    <s v="FIN_HP"/>
    <x v="0"/>
    <x v="119"/>
    <x v="0"/>
    <x v="13"/>
    <n v="4.7058823529411802"/>
    <n v="1717.64705882353"/>
    <n v="6183.5294117647099"/>
  </r>
  <r>
    <x v="0"/>
    <x v="0"/>
    <x v="0"/>
    <x v="2"/>
    <x v="3"/>
    <s v="FIN_HP"/>
    <x v="0"/>
    <x v="119"/>
    <x v="0"/>
    <x v="14"/>
    <n v="4.7058823529411802"/>
    <n v="1717.64705882353"/>
    <n v="6183.5294117647099"/>
  </r>
  <r>
    <x v="0"/>
    <x v="0"/>
    <x v="0"/>
    <x v="2"/>
    <x v="3"/>
    <s v="FIN_HP"/>
    <x v="0"/>
    <x v="119"/>
    <x v="0"/>
    <x v="15"/>
    <n v="4.7058823529411802"/>
    <n v="1717.64705882353"/>
    <n v="6183.5294117647099"/>
  </r>
  <r>
    <x v="0"/>
    <x v="0"/>
    <x v="0"/>
    <x v="2"/>
    <x v="3"/>
    <s v="FIN_HP"/>
    <x v="0"/>
    <x v="119"/>
    <x v="0"/>
    <x v="16"/>
    <n v="4.7058823529411802"/>
    <n v="1717.64705882353"/>
    <n v="6183.5294117647099"/>
  </r>
  <r>
    <x v="0"/>
    <x v="0"/>
    <x v="0"/>
    <x v="2"/>
    <x v="3"/>
    <s v="FIN_HP"/>
    <x v="0"/>
    <x v="119"/>
    <x v="0"/>
    <x v="17"/>
    <n v="4.7058823529411802"/>
    <n v="1717.64705882353"/>
    <n v="6183.5294117647099"/>
  </r>
  <r>
    <x v="0"/>
    <x v="0"/>
    <x v="0"/>
    <x v="2"/>
    <x v="3"/>
    <s v="FIN_HP"/>
    <x v="0"/>
    <x v="119"/>
    <x v="0"/>
    <x v="18"/>
    <n v="4.7058823529411802"/>
    <n v="1717.64705882353"/>
    <n v="6183.5294117647099"/>
  </r>
  <r>
    <x v="0"/>
    <x v="0"/>
    <x v="0"/>
    <x v="2"/>
    <x v="3"/>
    <s v="FIN_HP"/>
    <x v="0"/>
    <x v="119"/>
    <x v="0"/>
    <x v="19"/>
    <n v="4.7058823529411802"/>
    <n v="1717.64705882353"/>
    <n v="6183.5294117647099"/>
  </r>
  <r>
    <x v="0"/>
    <x v="0"/>
    <x v="0"/>
    <x v="2"/>
    <x v="3"/>
    <s v="FIN_HP"/>
    <x v="0"/>
    <x v="119"/>
    <x v="0"/>
    <x v="20"/>
    <n v="4.7058823529411802"/>
    <n v="1717.64705882353"/>
    <n v="6183.5294117647099"/>
  </r>
  <r>
    <x v="0"/>
    <x v="0"/>
    <x v="0"/>
    <x v="2"/>
    <x v="3"/>
    <s v="FIN_HP"/>
    <x v="0"/>
    <x v="119"/>
    <x v="0"/>
    <x v="21"/>
    <n v="4.7058823529411802"/>
    <n v="1717.64705882353"/>
    <n v="6183.5294117647099"/>
  </r>
  <r>
    <x v="0"/>
    <x v="0"/>
    <x v="0"/>
    <x v="2"/>
    <x v="3"/>
    <s v="FIN_HP"/>
    <x v="0"/>
    <x v="119"/>
    <x v="0"/>
    <x v="22"/>
    <n v="4.7058823529411802"/>
    <n v="1717.64705882353"/>
    <n v="6183.5294117647099"/>
  </r>
  <r>
    <x v="0"/>
    <x v="0"/>
    <x v="0"/>
    <x v="2"/>
    <x v="3"/>
    <s v="FIN_HP"/>
    <x v="0"/>
    <x v="119"/>
    <x v="0"/>
    <x v="23"/>
    <n v="4.7058823529411802"/>
    <n v="1717.64705882353"/>
    <n v="6183.5294117647099"/>
  </r>
  <r>
    <x v="0"/>
    <x v="0"/>
    <x v="0"/>
    <x v="2"/>
    <x v="3"/>
    <s v="FIN_HP"/>
    <x v="5"/>
    <x v="120"/>
    <x v="0"/>
    <x v="0"/>
    <n v="5.2655677655677398"/>
    <n v="1921.93223443223"/>
    <n v="6918.95604395602"/>
  </r>
  <r>
    <x v="0"/>
    <x v="0"/>
    <x v="0"/>
    <x v="2"/>
    <x v="3"/>
    <s v="FIN_HP"/>
    <x v="5"/>
    <x v="120"/>
    <x v="0"/>
    <x v="1"/>
    <n v="5.2655677655677398"/>
    <n v="1921.93223443223"/>
    <n v="6918.95604395602"/>
  </r>
  <r>
    <x v="0"/>
    <x v="0"/>
    <x v="0"/>
    <x v="2"/>
    <x v="3"/>
    <s v="FIN_HP"/>
    <x v="5"/>
    <x v="120"/>
    <x v="0"/>
    <x v="2"/>
    <n v="5.2655677655677398"/>
    <n v="1921.93223443223"/>
    <n v="6918.95604395602"/>
  </r>
  <r>
    <x v="0"/>
    <x v="0"/>
    <x v="0"/>
    <x v="2"/>
    <x v="3"/>
    <s v="FIN_HP"/>
    <x v="5"/>
    <x v="120"/>
    <x v="0"/>
    <x v="3"/>
    <n v="5.2655677655677398"/>
    <n v="1921.93223443223"/>
    <n v="6918.95604395602"/>
  </r>
  <r>
    <x v="0"/>
    <x v="0"/>
    <x v="0"/>
    <x v="2"/>
    <x v="3"/>
    <s v="FIN_HP"/>
    <x v="5"/>
    <x v="120"/>
    <x v="0"/>
    <x v="4"/>
    <n v="5.2655677655677398"/>
    <n v="1921.93223443223"/>
    <n v="6918.95604395602"/>
  </r>
  <r>
    <x v="0"/>
    <x v="0"/>
    <x v="0"/>
    <x v="2"/>
    <x v="3"/>
    <s v="FIN_HP"/>
    <x v="5"/>
    <x v="120"/>
    <x v="0"/>
    <x v="5"/>
    <n v="5.2655677655677398"/>
    <n v="1921.93223443223"/>
    <n v="6918.95604395602"/>
  </r>
  <r>
    <x v="0"/>
    <x v="0"/>
    <x v="0"/>
    <x v="2"/>
    <x v="3"/>
    <s v="FIN_HP"/>
    <x v="5"/>
    <x v="120"/>
    <x v="0"/>
    <x v="6"/>
    <n v="5.2655677655677398"/>
    <n v="1921.93223443223"/>
    <n v="6918.95604395602"/>
  </r>
  <r>
    <x v="0"/>
    <x v="0"/>
    <x v="0"/>
    <x v="2"/>
    <x v="3"/>
    <s v="FIN_HP"/>
    <x v="5"/>
    <x v="120"/>
    <x v="0"/>
    <x v="7"/>
    <n v="5.2655677655677398"/>
    <n v="1921.93223443223"/>
    <n v="6918.95604395602"/>
  </r>
  <r>
    <x v="0"/>
    <x v="0"/>
    <x v="0"/>
    <x v="2"/>
    <x v="3"/>
    <s v="FIN_HP"/>
    <x v="5"/>
    <x v="120"/>
    <x v="0"/>
    <x v="8"/>
    <n v="5.2655677655677398"/>
    <n v="1921.93223443223"/>
    <n v="6918.95604395602"/>
  </r>
  <r>
    <x v="0"/>
    <x v="0"/>
    <x v="0"/>
    <x v="2"/>
    <x v="3"/>
    <s v="FIN_HP"/>
    <x v="5"/>
    <x v="120"/>
    <x v="0"/>
    <x v="9"/>
    <n v="5.2655677655677398"/>
    <n v="1921.93223443223"/>
    <n v="6918.95604395602"/>
  </r>
  <r>
    <x v="0"/>
    <x v="0"/>
    <x v="0"/>
    <x v="2"/>
    <x v="3"/>
    <s v="FIN_HP"/>
    <x v="5"/>
    <x v="120"/>
    <x v="0"/>
    <x v="10"/>
    <n v="5.2655677655677398"/>
    <n v="1921.93223443223"/>
    <n v="6918.95604395602"/>
  </r>
  <r>
    <x v="0"/>
    <x v="0"/>
    <x v="0"/>
    <x v="2"/>
    <x v="3"/>
    <s v="FIN_HP"/>
    <x v="5"/>
    <x v="120"/>
    <x v="0"/>
    <x v="11"/>
    <n v="5.2655677655677398"/>
    <n v="1921.93223443223"/>
    <n v="6918.95604395602"/>
  </r>
  <r>
    <x v="0"/>
    <x v="0"/>
    <x v="0"/>
    <x v="2"/>
    <x v="3"/>
    <s v="FIN_HP"/>
    <x v="5"/>
    <x v="120"/>
    <x v="0"/>
    <x v="12"/>
    <n v="5.2655677655677398"/>
    <n v="1921.93223443223"/>
    <n v="6918.95604395602"/>
  </r>
  <r>
    <x v="0"/>
    <x v="0"/>
    <x v="0"/>
    <x v="2"/>
    <x v="3"/>
    <s v="FIN_HP"/>
    <x v="5"/>
    <x v="120"/>
    <x v="0"/>
    <x v="13"/>
    <n v="5.2655677655677398"/>
    <n v="1921.93223443223"/>
    <n v="6918.95604395602"/>
  </r>
  <r>
    <x v="0"/>
    <x v="0"/>
    <x v="0"/>
    <x v="2"/>
    <x v="3"/>
    <s v="FIN_HP"/>
    <x v="5"/>
    <x v="120"/>
    <x v="0"/>
    <x v="14"/>
    <n v="5.2655677655677398"/>
    <n v="1921.93223443223"/>
    <n v="6918.95604395602"/>
  </r>
  <r>
    <x v="0"/>
    <x v="0"/>
    <x v="0"/>
    <x v="2"/>
    <x v="3"/>
    <s v="FIN_HP"/>
    <x v="5"/>
    <x v="120"/>
    <x v="0"/>
    <x v="15"/>
    <n v="5.2655677655677398"/>
    <n v="1921.93223443223"/>
    <n v="6918.95604395602"/>
  </r>
  <r>
    <x v="0"/>
    <x v="0"/>
    <x v="0"/>
    <x v="2"/>
    <x v="3"/>
    <s v="FIN_HP"/>
    <x v="5"/>
    <x v="120"/>
    <x v="0"/>
    <x v="16"/>
    <n v="5.2655677655677398"/>
    <n v="1921.93223443223"/>
    <n v="6918.95604395602"/>
  </r>
  <r>
    <x v="0"/>
    <x v="0"/>
    <x v="0"/>
    <x v="2"/>
    <x v="3"/>
    <s v="FIN_HP"/>
    <x v="5"/>
    <x v="120"/>
    <x v="0"/>
    <x v="17"/>
    <n v="5.2655677655677398"/>
    <n v="1921.93223443223"/>
    <n v="6918.95604395602"/>
  </r>
  <r>
    <x v="0"/>
    <x v="0"/>
    <x v="0"/>
    <x v="2"/>
    <x v="3"/>
    <s v="FIN_HP"/>
    <x v="5"/>
    <x v="120"/>
    <x v="0"/>
    <x v="18"/>
    <n v="5.2655677655677398"/>
    <n v="1921.93223443223"/>
    <n v="6918.95604395602"/>
  </r>
  <r>
    <x v="0"/>
    <x v="0"/>
    <x v="0"/>
    <x v="2"/>
    <x v="3"/>
    <s v="FIN_HP"/>
    <x v="5"/>
    <x v="120"/>
    <x v="0"/>
    <x v="19"/>
    <n v="5.2655677655677398"/>
    <n v="1921.93223443223"/>
    <n v="6918.95604395602"/>
  </r>
  <r>
    <x v="0"/>
    <x v="0"/>
    <x v="0"/>
    <x v="2"/>
    <x v="3"/>
    <s v="FIN_HP"/>
    <x v="5"/>
    <x v="120"/>
    <x v="0"/>
    <x v="20"/>
    <n v="5.2655677655677398"/>
    <n v="1921.93223443223"/>
    <n v="6918.95604395602"/>
  </r>
  <r>
    <x v="0"/>
    <x v="0"/>
    <x v="0"/>
    <x v="2"/>
    <x v="3"/>
    <s v="FIN_HP"/>
    <x v="5"/>
    <x v="120"/>
    <x v="0"/>
    <x v="21"/>
    <n v="5.2655677655677398"/>
    <n v="1921.93223443223"/>
    <n v="6918.95604395602"/>
  </r>
  <r>
    <x v="0"/>
    <x v="0"/>
    <x v="0"/>
    <x v="2"/>
    <x v="3"/>
    <s v="FIN_HP"/>
    <x v="5"/>
    <x v="120"/>
    <x v="0"/>
    <x v="22"/>
    <n v="5.2655677655677398"/>
    <n v="1921.93223443223"/>
    <n v="6918.95604395602"/>
  </r>
  <r>
    <x v="0"/>
    <x v="0"/>
    <x v="0"/>
    <x v="2"/>
    <x v="3"/>
    <s v="FIN_HP"/>
    <x v="5"/>
    <x v="120"/>
    <x v="0"/>
    <x v="23"/>
    <n v="5.2655677655677398"/>
    <n v="1921.93223443223"/>
    <n v="6918.95604395602"/>
  </r>
  <r>
    <x v="0"/>
    <x v="0"/>
    <x v="0"/>
    <x v="2"/>
    <x v="3"/>
    <s v="FIN_HP"/>
    <x v="6"/>
    <x v="115"/>
    <x v="0"/>
    <x v="0"/>
    <n v="96.4444444444444"/>
    <n v="35202.222222222197"/>
    <n v="126728"/>
  </r>
  <r>
    <x v="0"/>
    <x v="0"/>
    <x v="0"/>
    <x v="2"/>
    <x v="3"/>
    <s v="FIN_HP"/>
    <x v="6"/>
    <x v="115"/>
    <x v="0"/>
    <x v="1"/>
    <n v="96.4444444444444"/>
    <n v="35202.222222222197"/>
    <n v="126728"/>
  </r>
  <r>
    <x v="0"/>
    <x v="0"/>
    <x v="0"/>
    <x v="2"/>
    <x v="3"/>
    <s v="FIN_HP"/>
    <x v="6"/>
    <x v="115"/>
    <x v="0"/>
    <x v="2"/>
    <n v="96.4444444444444"/>
    <n v="35202.222222222197"/>
    <n v="126728"/>
  </r>
  <r>
    <x v="0"/>
    <x v="0"/>
    <x v="0"/>
    <x v="2"/>
    <x v="3"/>
    <s v="FIN_HP"/>
    <x v="6"/>
    <x v="115"/>
    <x v="0"/>
    <x v="3"/>
    <n v="96.4444444444444"/>
    <n v="35202.222222222197"/>
    <n v="126728"/>
  </r>
  <r>
    <x v="0"/>
    <x v="0"/>
    <x v="0"/>
    <x v="2"/>
    <x v="3"/>
    <s v="FIN_HP"/>
    <x v="6"/>
    <x v="115"/>
    <x v="0"/>
    <x v="4"/>
    <n v="96.4444444444444"/>
    <n v="35202.222222222197"/>
    <n v="126728"/>
  </r>
  <r>
    <x v="0"/>
    <x v="0"/>
    <x v="0"/>
    <x v="2"/>
    <x v="3"/>
    <s v="FIN_HP"/>
    <x v="6"/>
    <x v="115"/>
    <x v="0"/>
    <x v="5"/>
    <n v="96.4444444444444"/>
    <n v="35202.222222222197"/>
    <n v="126728"/>
  </r>
  <r>
    <x v="0"/>
    <x v="0"/>
    <x v="0"/>
    <x v="2"/>
    <x v="3"/>
    <s v="FIN_HP"/>
    <x v="6"/>
    <x v="115"/>
    <x v="0"/>
    <x v="6"/>
    <n v="96.4444444444444"/>
    <n v="35202.222222222197"/>
    <n v="126728"/>
  </r>
  <r>
    <x v="0"/>
    <x v="0"/>
    <x v="0"/>
    <x v="2"/>
    <x v="3"/>
    <s v="FIN_HP"/>
    <x v="6"/>
    <x v="115"/>
    <x v="0"/>
    <x v="7"/>
    <n v="96.4444444444444"/>
    <n v="35202.222222222197"/>
    <n v="126728"/>
  </r>
  <r>
    <x v="0"/>
    <x v="0"/>
    <x v="0"/>
    <x v="2"/>
    <x v="3"/>
    <s v="FIN_HP"/>
    <x v="6"/>
    <x v="115"/>
    <x v="0"/>
    <x v="8"/>
    <n v="96.4444444444444"/>
    <n v="35202.222222222197"/>
    <n v="126728"/>
  </r>
  <r>
    <x v="0"/>
    <x v="0"/>
    <x v="0"/>
    <x v="2"/>
    <x v="3"/>
    <s v="FIN_HP"/>
    <x v="6"/>
    <x v="115"/>
    <x v="0"/>
    <x v="9"/>
    <n v="96.4444444444444"/>
    <n v="35202.222222222197"/>
    <n v="126728"/>
  </r>
  <r>
    <x v="0"/>
    <x v="0"/>
    <x v="0"/>
    <x v="2"/>
    <x v="3"/>
    <s v="FIN_HP"/>
    <x v="6"/>
    <x v="115"/>
    <x v="0"/>
    <x v="10"/>
    <n v="96.4444444444444"/>
    <n v="35202.222222222197"/>
    <n v="126728"/>
  </r>
  <r>
    <x v="0"/>
    <x v="0"/>
    <x v="0"/>
    <x v="2"/>
    <x v="3"/>
    <s v="FIN_HP"/>
    <x v="6"/>
    <x v="115"/>
    <x v="0"/>
    <x v="11"/>
    <n v="96.4444444444444"/>
    <n v="35202.222222222197"/>
    <n v="126728"/>
  </r>
  <r>
    <x v="0"/>
    <x v="0"/>
    <x v="0"/>
    <x v="2"/>
    <x v="3"/>
    <s v="FIN_HP"/>
    <x v="6"/>
    <x v="115"/>
    <x v="0"/>
    <x v="12"/>
    <n v="96.4444444444444"/>
    <n v="35202.222222222197"/>
    <n v="126728"/>
  </r>
  <r>
    <x v="0"/>
    <x v="0"/>
    <x v="0"/>
    <x v="2"/>
    <x v="3"/>
    <s v="FIN_HP"/>
    <x v="6"/>
    <x v="115"/>
    <x v="0"/>
    <x v="13"/>
    <n v="96.4444444444444"/>
    <n v="35202.222222222197"/>
    <n v="126728"/>
  </r>
  <r>
    <x v="0"/>
    <x v="0"/>
    <x v="0"/>
    <x v="2"/>
    <x v="3"/>
    <s v="FIN_HP"/>
    <x v="6"/>
    <x v="115"/>
    <x v="0"/>
    <x v="14"/>
    <n v="96.4444444444444"/>
    <n v="35202.222222222197"/>
    <n v="126728"/>
  </r>
  <r>
    <x v="0"/>
    <x v="0"/>
    <x v="0"/>
    <x v="2"/>
    <x v="3"/>
    <s v="FIN_HP"/>
    <x v="6"/>
    <x v="115"/>
    <x v="0"/>
    <x v="15"/>
    <n v="96.4444444444444"/>
    <n v="35202.222222222197"/>
    <n v="126728"/>
  </r>
  <r>
    <x v="0"/>
    <x v="0"/>
    <x v="0"/>
    <x v="2"/>
    <x v="3"/>
    <s v="FIN_HP"/>
    <x v="6"/>
    <x v="115"/>
    <x v="0"/>
    <x v="16"/>
    <n v="96.4444444444444"/>
    <n v="35202.222222222197"/>
    <n v="126728"/>
  </r>
  <r>
    <x v="0"/>
    <x v="0"/>
    <x v="0"/>
    <x v="2"/>
    <x v="3"/>
    <s v="FIN_HP"/>
    <x v="6"/>
    <x v="115"/>
    <x v="0"/>
    <x v="17"/>
    <n v="96.4444444444444"/>
    <n v="35202.222222222197"/>
    <n v="126728"/>
  </r>
  <r>
    <x v="0"/>
    <x v="0"/>
    <x v="0"/>
    <x v="2"/>
    <x v="3"/>
    <s v="FIN_HP"/>
    <x v="6"/>
    <x v="115"/>
    <x v="0"/>
    <x v="18"/>
    <n v="96.4444444444444"/>
    <n v="35202.222222222197"/>
    <n v="126728"/>
  </r>
  <r>
    <x v="0"/>
    <x v="0"/>
    <x v="0"/>
    <x v="2"/>
    <x v="3"/>
    <s v="FIN_HP"/>
    <x v="6"/>
    <x v="115"/>
    <x v="0"/>
    <x v="19"/>
    <n v="96.4444444444444"/>
    <n v="35202.222222222197"/>
    <n v="126728"/>
  </r>
  <r>
    <x v="0"/>
    <x v="0"/>
    <x v="0"/>
    <x v="2"/>
    <x v="3"/>
    <s v="FIN_HP"/>
    <x v="6"/>
    <x v="115"/>
    <x v="0"/>
    <x v="20"/>
    <n v="96.4444444444444"/>
    <n v="35202.222222222197"/>
    <n v="126728"/>
  </r>
  <r>
    <x v="0"/>
    <x v="0"/>
    <x v="0"/>
    <x v="2"/>
    <x v="3"/>
    <s v="FIN_HP"/>
    <x v="6"/>
    <x v="115"/>
    <x v="0"/>
    <x v="21"/>
    <n v="96.4444444444444"/>
    <n v="35202.222222222197"/>
    <n v="126728"/>
  </r>
  <r>
    <x v="0"/>
    <x v="0"/>
    <x v="0"/>
    <x v="2"/>
    <x v="3"/>
    <s v="FIN_HP"/>
    <x v="6"/>
    <x v="115"/>
    <x v="0"/>
    <x v="22"/>
    <n v="96.4444444444444"/>
    <n v="35202.222222222197"/>
    <n v="126728"/>
  </r>
  <r>
    <x v="0"/>
    <x v="0"/>
    <x v="0"/>
    <x v="2"/>
    <x v="3"/>
    <s v="FIN_HP"/>
    <x v="6"/>
    <x v="115"/>
    <x v="0"/>
    <x v="23"/>
    <n v="96.4444444444444"/>
    <n v="35202.222222222197"/>
    <n v="126728"/>
  </r>
  <r>
    <x v="0"/>
    <x v="0"/>
    <x v="0"/>
    <x v="2"/>
    <x v="3"/>
    <s v="FIN_HP"/>
    <x v="7"/>
    <x v="121"/>
    <x v="0"/>
    <x v="0"/>
    <n v="1.8888888888888899"/>
    <n v="689.444444444444"/>
    <n v="2482"/>
  </r>
  <r>
    <x v="0"/>
    <x v="0"/>
    <x v="0"/>
    <x v="2"/>
    <x v="3"/>
    <s v="FIN_HP"/>
    <x v="7"/>
    <x v="121"/>
    <x v="0"/>
    <x v="1"/>
    <n v="1.8888888888888899"/>
    <n v="689.444444444444"/>
    <n v="2482"/>
  </r>
  <r>
    <x v="0"/>
    <x v="0"/>
    <x v="0"/>
    <x v="2"/>
    <x v="3"/>
    <s v="FIN_HP"/>
    <x v="7"/>
    <x v="121"/>
    <x v="0"/>
    <x v="2"/>
    <n v="1.8888888888888899"/>
    <n v="689.444444444444"/>
    <n v="2482"/>
  </r>
  <r>
    <x v="0"/>
    <x v="0"/>
    <x v="0"/>
    <x v="2"/>
    <x v="3"/>
    <s v="FIN_HP"/>
    <x v="7"/>
    <x v="121"/>
    <x v="0"/>
    <x v="3"/>
    <n v="1.8888888888888899"/>
    <n v="689.444444444444"/>
    <n v="2482"/>
  </r>
  <r>
    <x v="0"/>
    <x v="0"/>
    <x v="0"/>
    <x v="2"/>
    <x v="3"/>
    <s v="FIN_HP"/>
    <x v="7"/>
    <x v="121"/>
    <x v="0"/>
    <x v="4"/>
    <n v="1.8888888888888899"/>
    <n v="689.444444444444"/>
    <n v="2482"/>
  </r>
  <r>
    <x v="0"/>
    <x v="0"/>
    <x v="0"/>
    <x v="2"/>
    <x v="3"/>
    <s v="FIN_HP"/>
    <x v="7"/>
    <x v="121"/>
    <x v="0"/>
    <x v="5"/>
    <n v="1.8888888888888899"/>
    <n v="689.444444444444"/>
    <n v="2482"/>
  </r>
  <r>
    <x v="0"/>
    <x v="0"/>
    <x v="0"/>
    <x v="2"/>
    <x v="3"/>
    <s v="FIN_HP"/>
    <x v="7"/>
    <x v="121"/>
    <x v="0"/>
    <x v="6"/>
    <n v="1.8888888888888899"/>
    <n v="689.444444444444"/>
    <n v="2482"/>
  </r>
  <r>
    <x v="0"/>
    <x v="0"/>
    <x v="0"/>
    <x v="2"/>
    <x v="3"/>
    <s v="FIN_HP"/>
    <x v="7"/>
    <x v="121"/>
    <x v="0"/>
    <x v="7"/>
    <n v="1.8888888888888899"/>
    <n v="689.444444444444"/>
    <n v="2482"/>
  </r>
  <r>
    <x v="0"/>
    <x v="0"/>
    <x v="0"/>
    <x v="2"/>
    <x v="3"/>
    <s v="FIN_HP"/>
    <x v="7"/>
    <x v="121"/>
    <x v="0"/>
    <x v="8"/>
    <n v="1.8888888888888899"/>
    <n v="689.444444444444"/>
    <n v="2482"/>
  </r>
  <r>
    <x v="0"/>
    <x v="0"/>
    <x v="0"/>
    <x v="2"/>
    <x v="3"/>
    <s v="FIN_HP"/>
    <x v="7"/>
    <x v="121"/>
    <x v="0"/>
    <x v="9"/>
    <n v="1.8888888888888899"/>
    <n v="689.444444444444"/>
    <n v="2482"/>
  </r>
  <r>
    <x v="0"/>
    <x v="0"/>
    <x v="0"/>
    <x v="2"/>
    <x v="3"/>
    <s v="FIN_HP"/>
    <x v="7"/>
    <x v="121"/>
    <x v="0"/>
    <x v="10"/>
    <n v="1.8888888888888899"/>
    <n v="689.444444444444"/>
    <n v="2482"/>
  </r>
  <r>
    <x v="0"/>
    <x v="0"/>
    <x v="0"/>
    <x v="2"/>
    <x v="3"/>
    <s v="FIN_HP"/>
    <x v="7"/>
    <x v="121"/>
    <x v="0"/>
    <x v="11"/>
    <n v="1.8888888888888899"/>
    <n v="689.444444444444"/>
    <n v="2482"/>
  </r>
  <r>
    <x v="0"/>
    <x v="0"/>
    <x v="0"/>
    <x v="2"/>
    <x v="3"/>
    <s v="FIN_HP"/>
    <x v="7"/>
    <x v="121"/>
    <x v="0"/>
    <x v="12"/>
    <n v="1.8888888888888899"/>
    <n v="689.444444444444"/>
    <n v="2482"/>
  </r>
  <r>
    <x v="0"/>
    <x v="0"/>
    <x v="0"/>
    <x v="2"/>
    <x v="3"/>
    <s v="FIN_HP"/>
    <x v="7"/>
    <x v="121"/>
    <x v="0"/>
    <x v="13"/>
    <n v="1.8888888888888899"/>
    <n v="689.444444444444"/>
    <n v="2482"/>
  </r>
  <r>
    <x v="0"/>
    <x v="0"/>
    <x v="0"/>
    <x v="2"/>
    <x v="3"/>
    <s v="FIN_HP"/>
    <x v="7"/>
    <x v="121"/>
    <x v="0"/>
    <x v="14"/>
    <n v="1.8888888888888899"/>
    <n v="689.444444444444"/>
    <n v="2482"/>
  </r>
  <r>
    <x v="0"/>
    <x v="0"/>
    <x v="0"/>
    <x v="2"/>
    <x v="3"/>
    <s v="FIN_HP"/>
    <x v="7"/>
    <x v="121"/>
    <x v="0"/>
    <x v="15"/>
    <n v="1.8888888888888899"/>
    <n v="689.444444444444"/>
    <n v="2482"/>
  </r>
  <r>
    <x v="0"/>
    <x v="0"/>
    <x v="0"/>
    <x v="2"/>
    <x v="3"/>
    <s v="FIN_HP"/>
    <x v="7"/>
    <x v="121"/>
    <x v="0"/>
    <x v="16"/>
    <n v="1.8888888888888899"/>
    <n v="689.444444444444"/>
    <n v="2482"/>
  </r>
  <r>
    <x v="0"/>
    <x v="0"/>
    <x v="0"/>
    <x v="2"/>
    <x v="3"/>
    <s v="FIN_HP"/>
    <x v="7"/>
    <x v="121"/>
    <x v="0"/>
    <x v="17"/>
    <n v="1.8888888888888899"/>
    <n v="689.444444444444"/>
    <n v="2482"/>
  </r>
  <r>
    <x v="0"/>
    <x v="0"/>
    <x v="0"/>
    <x v="2"/>
    <x v="3"/>
    <s v="FIN_HP"/>
    <x v="7"/>
    <x v="121"/>
    <x v="0"/>
    <x v="18"/>
    <n v="1.8888888888888899"/>
    <n v="689.444444444444"/>
    <n v="2482"/>
  </r>
  <r>
    <x v="0"/>
    <x v="0"/>
    <x v="0"/>
    <x v="2"/>
    <x v="3"/>
    <s v="FIN_HP"/>
    <x v="7"/>
    <x v="121"/>
    <x v="0"/>
    <x v="19"/>
    <n v="1.8888888888888899"/>
    <n v="689.444444444444"/>
    <n v="2482"/>
  </r>
  <r>
    <x v="0"/>
    <x v="0"/>
    <x v="0"/>
    <x v="2"/>
    <x v="3"/>
    <s v="FIN_HP"/>
    <x v="7"/>
    <x v="121"/>
    <x v="0"/>
    <x v="20"/>
    <n v="1.8888888888888899"/>
    <n v="689.444444444444"/>
    <n v="2482"/>
  </r>
  <r>
    <x v="0"/>
    <x v="0"/>
    <x v="0"/>
    <x v="2"/>
    <x v="3"/>
    <s v="FIN_HP"/>
    <x v="7"/>
    <x v="121"/>
    <x v="0"/>
    <x v="21"/>
    <n v="1.8888888888888899"/>
    <n v="689.444444444444"/>
    <n v="2482"/>
  </r>
  <r>
    <x v="0"/>
    <x v="0"/>
    <x v="0"/>
    <x v="2"/>
    <x v="3"/>
    <s v="FIN_HP"/>
    <x v="7"/>
    <x v="121"/>
    <x v="0"/>
    <x v="22"/>
    <n v="1.8888888888888899"/>
    <n v="689.444444444444"/>
    <n v="2482"/>
  </r>
  <r>
    <x v="0"/>
    <x v="0"/>
    <x v="0"/>
    <x v="2"/>
    <x v="3"/>
    <s v="FIN_HP"/>
    <x v="7"/>
    <x v="121"/>
    <x v="0"/>
    <x v="23"/>
    <n v="1.8888888888888899"/>
    <n v="689.444444444444"/>
    <n v="2482"/>
  </r>
  <r>
    <x v="0"/>
    <x v="0"/>
    <x v="0"/>
    <x v="2"/>
    <x v="3"/>
    <s v="FIN_HP"/>
    <x v="11"/>
    <x v="122"/>
    <x v="0"/>
    <x v="0"/>
    <n v="34.705882352941202"/>
    <n v="12667.647058823501"/>
    <n v="45603.529411764699"/>
  </r>
  <r>
    <x v="0"/>
    <x v="0"/>
    <x v="0"/>
    <x v="2"/>
    <x v="3"/>
    <s v="FIN_HP"/>
    <x v="11"/>
    <x v="122"/>
    <x v="0"/>
    <x v="1"/>
    <n v="34.705882352941202"/>
    <n v="12667.647058823501"/>
    <n v="45603.529411764699"/>
  </r>
  <r>
    <x v="0"/>
    <x v="0"/>
    <x v="0"/>
    <x v="2"/>
    <x v="3"/>
    <s v="FIN_HP"/>
    <x v="11"/>
    <x v="122"/>
    <x v="0"/>
    <x v="2"/>
    <n v="34.705882352941202"/>
    <n v="12667.647058823501"/>
    <n v="45603.529411764699"/>
  </r>
  <r>
    <x v="0"/>
    <x v="0"/>
    <x v="0"/>
    <x v="2"/>
    <x v="3"/>
    <s v="FIN_HP"/>
    <x v="11"/>
    <x v="122"/>
    <x v="0"/>
    <x v="3"/>
    <n v="34.705882352941202"/>
    <n v="12667.647058823501"/>
    <n v="45603.529411764699"/>
  </r>
  <r>
    <x v="0"/>
    <x v="0"/>
    <x v="0"/>
    <x v="2"/>
    <x v="3"/>
    <s v="FIN_HP"/>
    <x v="11"/>
    <x v="122"/>
    <x v="0"/>
    <x v="4"/>
    <n v="34.705882352941202"/>
    <n v="12667.647058823501"/>
    <n v="45603.529411764699"/>
  </r>
  <r>
    <x v="0"/>
    <x v="0"/>
    <x v="0"/>
    <x v="2"/>
    <x v="3"/>
    <s v="FIN_HP"/>
    <x v="11"/>
    <x v="122"/>
    <x v="0"/>
    <x v="5"/>
    <n v="34.705882352941202"/>
    <n v="12667.647058823501"/>
    <n v="45603.529411764699"/>
  </r>
  <r>
    <x v="0"/>
    <x v="0"/>
    <x v="0"/>
    <x v="2"/>
    <x v="3"/>
    <s v="FIN_HP"/>
    <x v="11"/>
    <x v="122"/>
    <x v="0"/>
    <x v="6"/>
    <n v="34.705882352941202"/>
    <n v="12667.647058823501"/>
    <n v="45603.529411764699"/>
  </r>
  <r>
    <x v="0"/>
    <x v="0"/>
    <x v="0"/>
    <x v="2"/>
    <x v="3"/>
    <s v="FIN_HP"/>
    <x v="11"/>
    <x v="122"/>
    <x v="0"/>
    <x v="7"/>
    <n v="34.705882352941202"/>
    <n v="12667.647058823501"/>
    <n v="45603.529411764699"/>
  </r>
  <r>
    <x v="0"/>
    <x v="0"/>
    <x v="0"/>
    <x v="2"/>
    <x v="3"/>
    <s v="FIN_HP"/>
    <x v="11"/>
    <x v="122"/>
    <x v="0"/>
    <x v="8"/>
    <n v="34.705882352941202"/>
    <n v="12667.647058823501"/>
    <n v="45603.529411764699"/>
  </r>
  <r>
    <x v="0"/>
    <x v="0"/>
    <x v="0"/>
    <x v="2"/>
    <x v="3"/>
    <s v="FIN_HP"/>
    <x v="11"/>
    <x v="122"/>
    <x v="0"/>
    <x v="9"/>
    <n v="34.705882352941202"/>
    <n v="12667.647058823501"/>
    <n v="45603.529411764699"/>
  </r>
  <r>
    <x v="0"/>
    <x v="0"/>
    <x v="0"/>
    <x v="2"/>
    <x v="3"/>
    <s v="FIN_HP"/>
    <x v="11"/>
    <x v="122"/>
    <x v="0"/>
    <x v="10"/>
    <n v="34.705882352941202"/>
    <n v="12667.647058823501"/>
    <n v="45603.529411764699"/>
  </r>
  <r>
    <x v="0"/>
    <x v="0"/>
    <x v="0"/>
    <x v="2"/>
    <x v="3"/>
    <s v="FIN_HP"/>
    <x v="11"/>
    <x v="122"/>
    <x v="0"/>
    <x v="11"/>
    <n v="34.705882352941202"/>
    <n v="12667.647058823501"/>
    <n v="45603.529411764699"/>
  </r>
  <r>
    <x v="0"/>
    <x v="0"/>
    <x v="0"/>
    <x v="2"/>
    <x v="3"/>
    <s v="FIN_HP"/>
    <x v="11"/>
    <x v="122"/>
    <x v="0"/>
    <x v="12"/>
    <n v="34.705882352941202"/>
    <n v="12667.647058823501"/>
    <n v="45603.529411764699"/>
  </r>
  <r>
    <x v="0"/>
    <x v="0"/>
    <x v="0"/>
    <x v="2"/>
    <x v="3"/>
    <s v="FIN_HP"/>
    <x v="11"/>
    <x v="122"/>
    <x v="0"/>
    <x v="13"/>
    <n v="34.705882352941202"/>
    <n v="12667.647058823501"/>
    <n v="45603.529411764699"/>
  </r>
  <r>
    <x v="0"/>
    <x v="0"/>
    <x v="0"/>
    <x v="2"/>
    <x v="3"/>
    <s v="FIN_HP"/>
    <x v="11"/>
    <x v="122"/>
    <x v="0"/>
    <x v="14"/>
    <n v="34.705882352941202"/>
    <n v="12667.647058823501"/>
    <n v="45603.529411764699"/>
  </r>
  <r>
    <x v="0"/>
    <x v="0"/>
    <x v="0"/>
    <x v="2"/>
    <x v="3"/>
    <s v="FIN_HP"/>
    <x v="11"/>
    <x v="122"/>
    <x v="0"/>
    <x v="15"/>
    <n v="34.705882352941202"/>
    <n v="12667.647058823501"/>
    <n v="45603.529411764699"/>
  </r>
  <r>
    <x v="0"/>
    <x v="0"/>
    <x v="0"/>
    <x v="2"/>
    <x v="3"/>
    <s v="FIN_HP"/>
    <x v="11"/>
    <x v="122"/>
    <x v="0"/>
    <x v="16"/>
    <n v="34.705882352941202"/>
    <n v="12667.647058823501"/>
    <n v="45603.529411764699"/>
  </r>
  <r>
    <x v="0"/>
    <x v="0"/>
    <x v="0"/>
    <x v="2"/>
    <x v="3"/>
    <s v="FIN_HP"/>
    <x v="11"/>
    <x v="122"/>
    <x v="0"/>
    <x v="17"/>
    <n v="34.705882352941202"/>
    <n v="12667.647058823501"/>
    <n v="45603.529411764699"/>
  </r>
  <r>
    <x v="0"/>
    <x v="0"/>
    <x v="0"/>
    <x v="2"/>
    <x v="3"/>
    <s v="FIN_HP"/>
    <x v="11"/>
    <x v="122"/>
    <x v="0"/>
    <x v="18"/>
    <n v="34.705882352941202"/>
    <n v="12667.647058823501"/>
    <n v="45603.529411764699"/>
  </r>
  <r>
    <x v="0"/>
    <x v="0"/>
    <x v="0"/>
    <x v="2"/>
    <x v="3"/>
    <s v="FIN_HP"/>
    <x v="11"/>
    <x v="122"/>
    <x v="0"/>
    <x v="19"/>
    <n v="34.705882352941202"/>
    <n v="12667.647058823501"/>
    <n v="45603.529411764699"/>
  </r>
  <r>
    <x v="0"/>
    <x v="0"/>
    <x v="0"/>
    <x v="2"/>
    <x v="3"/>
    <s v="FIN_HP"/>
    <x v="11"/>
    <x v="122"/>
    <x v="0"/>
    <x v="20"/>
    <n v="34.705882352941202"/>
    <n v="12667.647058823501"/>
    <n v="45603.529411764699"/>
  </r>
  <r>
    <x v="0"/>
    <x v="0"/>
    <x v="0"/>
    <x v="2"/>
    <x v="3"/>
    <s v="FIN_HP"/>
    <x v="11"/>
    <x v="122"/>
    <x v="0"/>
    <x v="21"/>
    <n v="34.705882352941202"/>
    <n v="12667.647058823501"/>
    <n v="45603.529411764699"/>
  </r>
  <r>
    <x v="0"/>
    <x v="0"/>
    <x v="0"/>
    <x v="2"/>
    <x v="3"/>
    <s v="FIN_HP"/>
    <x v="11"/>
    <x v="122"/>
    <x v="0"/>
    <x v="22"/>
    <n v="34.705882352941202"/>
    <n v="12667.647058823501"/>
    <n v="45603.529411764699"/>
  </r>
  <r>
    <x v="0"/>
    <x v="0"/>
    <x v="0"/>
    <x v="2"/>
    <x v="3"/>
    <s v="FIN_HP"/>
    <x v="11"/>
    <x v="122"/>
    <x v="0"/>
    <x v="23"/>
    <n v="34.705882352941202"/>
    <n v="12667.647058823501"/>
    <n v="45603.529411764699"/>
  </r>
  <r>
    <x v="0"/>
    <x v="0"/>
    <x v="0"/>
    <x v="2"/>
    <x v="3"/>
    <s v="FIN_OTHER"/>
    <x v="0"/>
    <x v="119"/>
    <x v="0"/>
    <x v="0"/>
    <n v="9.8823529411764692"/>
    <n v="3607.0588235294099"/>
    <n v="12985.411764705899"/>
  </r>
  <r>
    <x v="0"/>
    <x v="0"/>
    <x v="0"/>
    <x v="2"/>
    <x v="3"/>
    <s v="FIN_OTHER"/>
    <x v="0"/>
    <x v="119"/>
    <x v="0"/>
    <x v="1"/>
    <n v="9.8823529411764692"/>
    <n v="3607.0588235294099"/>
    <n v="12985.411764705899"/>
  </r>
  <r>
    <x v="0"/>
    <x v="0"/>
    <x v="0"/>
    <x v="2"/>
    <x v="3"/>
    <s v="FIN_OTHER"/>
    <x v="0"/>
    <x v="119"/>
    <x v="0"/>
    <x v="2"/>
    <n v="9.8823529411764692"/>
    <n v="3607.0588235294099"/>
    <n v="12985.411764705899"/>
  </r>
  <r>
    <x v="0"/>
    <x v="0"/>
    <x v="0"/>
    <x v="2"/>
    <x v="3"/>
    <s v="FIN_OTHER"/>
    <x v="0"/>
    <x v="119"/>
    <x v="0"/>
    <x v="3"/>
    <n v="9.8823529411764692"/>
    <n v="3607.0588235294099"/>
    <n v="12985.411764705899"/>
  </r>
  <r>
    <x v="0"/>
    <x v="0"/>
    <x v="0"/>
    <x v="2"/>
    <x v="3"/>
    <s v="FIN_OTHER"/>
    <x v="0"/>
    <x v="119"/>
    <x v="0"/>
    <x v="4"/>
    <n v="9.8823529411764692"/>
    <n v="3607.0588235294099"/>
    <n v="12985.411764705899"/>
  </r>
  <r>
    <x v="0"/>
    <x v="0"/>
    <x v="0"/>
    <x v="2"/>
    <x v="3"/>
    <s v="FIN_OTHER"/>
    <x v="0"/>
    <x v="119"/>
    <x v="0"/>
    <x v="5"/>
    <n v="9.8823529411764692"/>
    <n v="3607.0588235294099"/>
    <n v="12985.411764705899"/>
  </r>
  <r>
    <x v="0"/>
    <x v="0"/>
    <x v="0"/>
    <x v="2"/>
    <x v="3"/>
    <s v="FIN_OTHER"/>
    <x v="0"/>
    <x v="119"/>
    <x v="0"/>
    <x v="6"/>
    <n v="9.8823529411764692"/>
    <n v="3607.0588235294099"/>
    <n v="12985.411764705899"/>
  </r>
  <r>
    <x v="0"/>
    <x v="0"/>
    <x v="0"/>
    <x v="2"/>
    <x v="3"/>
    <s v="FIN_OTHER"/>
    <x v="0"/>
    <x v="119"/>
    <x v="0"/>
    <x v="7"/>
    <n v="9.8823529411764692"/>
    <n v="3607.0588235294099"/>
    <n v="12985.411764705899"/>
  </r>
  <r>
    <x v="0"/>
    <x v="0"/>
    <x v="0"/>
    <x v="2"/>
    <x v="3"/>
    <s v="FIN_OTHER"/>
    <x v="0"/>
    <x v="119"/>
    <x v="0"/>
    <x v="8"/>
    <n v="9.8823529411764692"/>
    <n v="3607.0588235294099"/>
    <n v="12985.411764705899"/>
  </r>
  <r>
    <x v="0"/>
    <x v="0"/>
    <x v="0"/>
    <x v="2"/>
    <x v="3"/>
    <s v="FIN_OTHER"/>
    <x v="0"/>
    <x v="119"/>
    <x v="0"/>
    <x v="9"/>
    <n v="9.8823529411764692"/>
    <n v="3607.0588235294099"/>
    <n v="12985.411764705899"/>
  </r>
  <r>
    <x v="0"/>
    <x v="0"/>
    <x v="0"/>
    <x v="2"/>
    <x v="3"/>
    <s v="FIN_OTHER"/>
    <x v="0"/>
    <x v="119"/>
    <x v="0"/>
    <x v="10"/>
    <n v="9.8823529411764692"/>
    <n v="3607.0588235294099"/>
    <n v="12985.411764705899"/>
  </r>
  <r>
    <x v="0"/>
    <x v="0"/>
    <x v="0"/>
    <x v="2"/>
    <x v="3"/>
    <s v="FIN_OTHER"/>
    <x v="0"/>
    <x v="119"/>
    <x v="0"/>
    <x v="11"/>
    <n v="9.8823529411764692"/>
    <n v="3607.0588235294099"/>
    <n v="12985.411764705899"/>
  </r>
  <r>
    <x v="0"/>
    <x v="0"/>
    <x v="0"/>
    <x v="2"/>
    <x v="3"/>
    <s v="FIN_OTHER"/>
    <x v="0"/>
    <x v="119"/>
    <x v="0"/>
    <x v="12"/>
    <n v="9.8823529411764692"/>
    <n v="3607.0588235294099"/>
    <n v="12985.411764705899"/>
  </r>
  <r>
    <x v="0"/>
    <x v="0"/>
    <x v="0"/>
    <x v="2"/>
    <x v="3"/>
    <s v="FIN_OTHER"/>
    <x v="0"/>
    <x v="119"/>
    <x v="0"/>
    <x v="13"/>
    <n v="9.8823529411764692"/>
    <n v="3607.0588235294099"/>
    <n v="12985.411764705899"/>
  </r>
  <r>
    <x v="0"/>
    <x v="0"/>
    <x v="0"/>
    <x v="2"/>
    <x v="3"/>
    <s v="FIN_OTHER"/>
    <x v="0"/>
    <x v="119"/>
    <x v="0"/>
    <x v="14"/>
    <n v="9.8823529411764692"/>
    <n v="3607.0588235294099"/>
    <n v="12985.411764705899"/>
  </r>
  <r>
    <x v="0"/>
    <x v="0"/>
    <x v="0"/>
    <x v="2"/>
    <x v="3"/>
    <s v="FIN_OTHER"/>
    <x v="0"/>
    <x v="119"/>
    <x v="0"/>
    <x v="15"/>
    <n v="9.8823529411764692"/>
    <n v="3607.0588235294099"/>
    <n v="12985.411764705899"/>
  </r>
  <r>
    <x v="0"/>
    <x v="0"/>
    <x v="0"/>
    <x v="2"/>
    <x v="3"/>
    <s v="FIN_OTHER"/>
    <x v="0"/>
    <x v="119"/>
    <x v="0"/>
    <x v="16"/>
    <n v="9.8823529411764692"/>
    <n v="3607.0588235294099"/>
    <n v="12985.411764705899"/>
  </r>
  <r>
    <x v="0"/>
    <x v="0"/>
    <x v="0"/>
    <x v="2"/>
    <x v="3"/>
    <s v="FIN_OTHER"/>
    <x v="0"/>
    <x v="119"/>
    <x v="0"/>
    <x v="17"/>
    <n v="9.8823529411764692"/>
    <n v="3607.0588235294099"/>
    <n v="12985.411764705899"/>
  </r>
  <r>
    <x v="0"/>
    <x v="0"/>
    <x v="0"/>
    <x v="2"/>
    <x v="3"/>
    <s v="FIN_OTHER"/>
    <x v="0"/>
    <x v="119"/>
    <x v="0"/>
    <x v="18"/>
    <n v="9.8823529411764692"/>
    <n v="3607.0588235294099"/>
    <n v="12985.411764705899"/>
  </r>
  <r>
    <x v="0"/>
    <x v="0"/>
    <x v="0"/>
    <x v="2"/>
    <x v="3"/>
    <s v="FIN_OTHER"/>
    <x v="0"/>
    <x v="119"/>
    <x v="0"/>
    <x v="19"/>
    <n v="9.8823529411764692"/>
    <n v="3607.0588235294099"/>
    <n v="12985.411764705899"/>
  </r>
  <r>
    <x v="0"/>
    <x v="0"/>
    <x v="0"/>
    <x v="2"/>
    <x v="3"/>
    <s v="FIN_OTHER"/>
    <x v="0"/>
    <x v="119"/>
    <x v="0"/>
    <x v="20"/>
    <n v="9.8823529411764692"/>
    <n v="3607.0588235294099"/>
    <n v="12985.411764705899"/>
  </r>
  <r>
    <x v="0"/>
    <x v="0"/>
    <x v="0"/>
    <x v="2"/>
    <x v="3"/>
    <s v="FIN_OTHER"/>
    <x v="0"/>
    <x v="119"/>
    <x v="0"/>
    <x v="21"/>
    <n v="9.8823529411764692"/>
    <n v="3607.0588235294099"/>
    <n v="12985.411764705899"/>
  </r>
  <r>
    <x v="0"/>
    <x v="0"/>
    <x v="0"/>
    <x v="2"/>
    <x v="3"/>
    <s v="FIN_OTHER"/>
    <x v="0"/>
    <x v="119"/>
    <x v="0"/>
    <x v="22"/>
    <n v="9.8823529411764692"/>
    <n v="3607.0588235294099"/>
    <n v="12985.411764705899"/>
  </r>
  <r>
    <x v="0"/>
    <x v="0"/>
    <x v="0"/>
    <x v="2"/>
    <x v="3"/>
    <s v="FIN_OTHER"/>
    <x v="0"/>
    <x v="119"/>
    <x v="0"/>
    <x v="23"/>
    <n v="9.8823529411764692"/>
    <n v="3607.0588235294099"/>
    <n v="12985.411764705899"/>
  </r>
  <r>
    <x v="0"/>
    <x v="0"/>
    <x v="0"/>
    <x v="2"/>
    <x v="3"/>
    <s v="FIN_OTHER"/>
    <x v="15"/>
    <x v="117"/>
    <x v="0"/>
    <x v="0"/>
    <n v="170.58823529411799"/>
    <n v="62264.705882352901"/>
    <n v="224152.94117647101"/>
  </r>
  <r>
    <x v="0"/>
    <x v="0"/>
    <x v="0"/>
    <x v="2"/>
    <x v="3"/>
    <s v="FIN_OTHER"/>
    <x v="15"/>
    <x v="117"/>
    <x v="0"/>
    <x v="1"/>
    <n v="170.58823529411799"/>
    <n v="62264.705882352901"/>
    <n v="224152.94117647101"/>
  </r>
  <r>
    <x v="0"/>
    <x v="0"/>
    <x v="0"/>
    <x v="2"/>
    <x v="3"/>
    <s v="FIN_OTHER"/>
    <x v="15"/>
    <x v="117"/>
    <x v="0"/>
    <x v="2"/>
    <n v="170.58823529411799"/>
    <n v="62264.705882352901"/>
    <n v="224152.94117647101"/>
  </r>
  <r>
    <x v="0"/>
    <x v="0"/>
    <x v="0"/>
    <x v="2"/>
    <x v="3"/>
    <s v="FIN_OTHER"/>
    <x v="15"/>
    <x v="117"/>
    <x v="0"/>
    <x v="3"/>
    <n v="170.58823529411799"/>
    <n v="62264.705882352901"/>
    <n v="224152.94117647101"/>
  </r>
  <r>
    <x v="0"/>
    <x v="0"/>
    <x v="0"/>
    <x v="2"/>
    <x v="3"/>
    <s v="FIN_OTHER"/>
    <x v="15"/>
    <x v="117"/>
    <x v="0"/>
    <x v="4"/>
    <n v="170.58823529411799"/>
    <n v="62264.705882352901"/>
    <n v="224152.94117647101"/>
  </r>
  <r>
    <x v="0"/>
    <x v="0"/>
    <x v="0"/>
    <x v="2"/>
    <x v="3"/>
    <s v="FIN_OTHER"/>
    <x v="15"/>
    <x v="117"/>
    <x v="0"/>
    <x v="5"/>
    <n v="170.58823529411799"/>
    <n v="62264.705882352901"/>
    <n v="224152.94117647101"/>
  </r>
  <r>
    <x v="0"/>
    <x v="0"/>
    <x v="0"/>
    <x v="2"/>
    <x v="3"/>
    <s v="FIN_OTHER"/>
    <x v="15"/>
    <x v="117"/>
    <x v="0"/>
    <x v="6"/>
    <n v="170.58823529411799"/>
    <n v="62264.705882352901"/>
    <n v="224152.94117647101"/>
  </r>
  <r>
    <x v="0"/>
    <x v="0"/>
    <x v="0"/>
    <x v="2"/>
    <x v="3"/>
    <s v="FIN_OTHER"/>
    <x v="15"/>
    <x v="117"/>
    <x v="0"/>
    <x v="7"/>
    <n v="170.58823529411799"/>
    <n v="62264.705882352901"/>
    <n v="224152.94117647101"/>
  </r>
  <r>
    <x v="0"/>
    <x v="0"/>
    <x v="0"/>
    <x v="2"/>
    <x v="3"/>
    <s v="FIN_OTHER"/>
    <x v="15"/>
    <x v="117"/>
    <x v="0"/>
    <x v="8"/>
    <n v="170.58823529411799"/>
    <n v="62264.705882352901"/>
    <n v="224152.94117647101"/>
  </r>
  <r>
    <x v="0"/>
    <x v="0"/>
    <x v="0"/>
    <x v="2"/>
    <x v="3"/>
    <s v="FIN_OTHER"/>
    <x v="15"/>
    <x v="117"/>
    <x v="0"/>
    <x v="9"/>
    <n v="170.58823529411799"/>
    <n v="62264.705882352901"/>
    <n v="224152.94117647101"/>
  </r>
  <r>
    <x v="0"/>
    <x v="0"/>
    <x v="0"/>
    <x v="2"/>
    <x v="3"/>
    <s v="FIN_OTHER"/>
    <x v="15"/>
    <x v="117"/>
    <x v="0"/>
    <x v="10"/>
    <n v="170.58823529411799"/>
    <n v="62264.705882352901"/>
    <n v="224152.94117647101"/>
  </r>
  <r>
    <x v="0"/>
    <x v="0"/>
    <x v="0"/>
    <x v="2"/>
    <x v="3"/>
    <s v="FIN_OTHER"/>
    <x v="15"/>
    <x v="117"/>
    <x v="0"/>
    <x v="11"/>
    <n v="170.58823529411799"/>
    <n v="62264.705882352901"/>
    <n v="224152.94117647101"/>
  </r>
  <r>
    <x v="0"/>
    <x v="0"/>
    <x v="0"/>
    <x v="2"/>
    <x v="3"/>
    <s v="FIN_OTHER"/>
    <x v="15"/>
    <x v="117"/>
    <x v="0"/>
    <x v="12"/>
    <n v="170.58823529411799"/>
    <n v="62264.705882352901"/>
    <n v="224152.94117647101"/>
  </r>
  <r>
    <x v="0"/>
    <x v="0"/>
    <x v="0"/>
    <x v="2"/>
    <x v="3"/>
    <s v="FIN_OTHER"/>
    <x v="15"/>
    <x v="117"/>
    <x v="0"/>
    <x v="13"/>
    <n v="170.58823529411799"/>
    <n v="62264.705882352901"/>
    <n v="224152.94117647101"/>
  </r>
  <r>
    <x v="0"/>
    <x v="0"/>
    <x v="0"/>
    <x v="2"/>
    <x v="3"/>
    <s v="FIN_OTHER"/>
    <x v="15"/>
    <x v="117"/>
    <x v="0"/>
    <x v="14"/>
    <n v="170.58823529411799"/>
    <n v="62264.705882352901"/>
    <n v="224152.94117647101"/>
  </r>
  <r>
    <x v="0"/>
    <x v="0"/>
    <x v="0"/>
    <x v="2"/>
    <x v="3"/>
    <s v="FIN_OTHER"/>
    <x v="15"/>
    <x v="117"/>
    <x v="0"/>
    <x v="15"/>
    <n v="170.58823529411799"/>
    <n v="62264.705882352901"/>
    <n v="224152.94117647101"/>
  </r>
  <r>
    <x v="0"/>
    <x v="0"/>
    <x v="0"/>
    <x v="2"/>
    <x v="3"/>
    <s v="FIN_OTHER"/>
    <x v="15"/>
    <x v="117"/>
    <x v="0"/>
    <x v="16"/>
    <n v="170.58823529411799"/>
    <n v="62264.705882352901"/>
    <n v="224152.94117647101"/>
  </r>
  <r>
    <x v="0"/>
    <x v="0"/>
    <x v="0"/>
    <x v="2"/>
    <x v="3"/>
    <s v="FIN_OTHER"/>
    <x v="15"/>
    <x v="117"/>
    <x v="0"/>
    <x v="17"/>
    <n v="170.58823529411799"/>
    <n v="62264.705882352901"/>
    <n v="224152.94117647101"/>
  </r>
  <r>
    <x v="0"/>
    <x v="0"/>
    <x v="0"/>
    <x v="2"/>
    <x v="3"/>
    <s v="FIN_OTHER"/>
    <x v="15"/>
    <x v="117"/>
    <x v="0"/>
    <x v="18"/>
    <n v="170.58823529411799"/>
    <n v="62264.705882352901"/>
    <n v="224152.94117647101"/>
  </r>
  <r>
    <x v="0"/>
    <x v="0"/>
    <x v="0"/>
    <x v="2"/>
    <x v="3"/>
    <s v="FIN_OTHER"/>
    <x v="15"/>
    <x v="117"/>
    <x v="0"/>
    <x v="19"/>
    <n v="170.58823529411799"/>
    <n v="62264.705882352901"/>
    <n v="224152.94117647101"/>
  </r>
  <r>
    <x v="0"/>
    <x v="0"/>
    <x v="0"/>
    <x v="2"/>
    <x v="3"/>
    <s v="FIN_OTHER"/>
    <x v="15"/>
    <x v="117"/>
    <x v="0"/>
    <x v="20"/>
    <n v="170.58823529411799"/>
    <n v="62264.705882352901"/>
    <n v="224152.94117647101"/>
  </r>
  <r>
    <x v="0"/>
    <x v="0"/>
    <x v="0"/>
    <x v="2"/>
    <x v="3"/>
    <s v="FIN_OTHER"/>
    <x v="15"/>
    <x v="117"/>
    <x v="0"/>
    <x v="21"/>
    <n v="170.58823529411799"/>
    <n v="62264.705882352901"/>
    <n v="224152.94117647101"/>
  </r>
  <r>
    <x v="0"/>
    <x v="0"/>
    <x v="0"/>
    <x v="2"/>
    <x v="3"/>
    <s v="FIN_OTHER"/>
    <x v="15"/>
    <x v="117"/>
    <x v="0"/>
    <x v="22"/>
    <n v="170.58823529411799"/>
    <n v="62264.705882352901"/>
    <n v="224152.94117647101"/>
  </r>
  <r>
    <x v="0"/>
    <x v="0"/>
    <x v="0"/>
    <x v="2"/>
    <x v="3"/>
    <s v="FIN_OTHER"/>
    <x v="15"/>
    <x v="117"/>
    <x v="0"/>
    <x v="23"/>
    <n v="170.58823529411799"/>
    <n v="62264.705882352901"/>
    <n v="224152.94117647101"/>
  </r>
  <r>
    <x v="0"/>
    <x v="0"/>
    <x v="0"/>
    <x v="2"/>
    <x v="3"/>
    <s v="FIN_OTHER"/>
    <x v="5"/>
    <x v="120"/>
    <x v="0"/>
    <x v="0"/>
    <n v="214.86950549450501"/>
    <n v="78427.369505494207"/>
    <n v="282338.530219779"/>
  </r>
  <r>
    <x v="0"/>
    <x v="0"/>
    <x v="0"/>
    <x v="2"/>
    <x v="3"/>
    <s v="FIN_OTHER"/>
    <x v="5"/>
    <x v="120"/>
    <x v="0"/>
    <x v="1"/>
    <n v="214.86950549450501"/>
    <n v="78427.369505494207"/>
    <n v="282338.530219779"/>
  </r>
  <r>
    <x v="0"/>
    <x v="0"/>
    <x v="0"/>
    <x v="2"/>
    <x v="3"/>
    <s v="FIN_OTHER"/>
    <x v="5"/>
    <x v="120"/>
    <x v="0"/>
    <x v="2"/>
    <n v="214.86950549450501"/>
    <n v="78427.369505494207"/>
    <n v="282338.530219779"/>
  </r>
  <r>
    <x v="0"/>
    <x v="0"/>
    <x v="0"/>
    <x v="2"/>
    <x v="3"/>
    <s v="FIN_OTHER"/>
    <x v="5"/>
    <x v="120"/>
    <x v="0"/>
    <x v="3"/>
    <n v="214.86950549450501"/>
    <n v="78427.369505494207"/>
    <n v="282338.530219779"/>
  </r>
  <r>
    <x v="0"/>
    <x v="0"/>
    <x v="0"/>
    <x v="2"/>
    <x v="3"/>
    <s v="FIN_OTHER"/>
    <x v="5"/>
    <x v="120"/>
    <x v="0"/>
    <x v="4"/>
    <n v="214.86950549450501"/>
    <n v="78427.369505494207"/>
    <n v="282338.530219779"/>
  </r>
  <r>
    <x v="0"/>
    <x v="0"/>
    <x v="0"/>
    <x v="2"/>
    <x v="3"/>
    <s v="FIN_OTHER"/>
    <x v="5"/>
    <x v="120"/>
    <x v="0"/>
    <x v="5"/>
    <n v="214.86950549450501"/>
    <n v="78427.369505494207"/>
    <n v="282338.530219779"/>
  </r>
  <r>
    <x v="0"/>
    <x v="0"/>
    <x v="0"/>
    <x v="2"/>
    <x v="3"/>
    <s v="FIN_OTHER"/>
    <x v="5"/>
    <x v="120"/>
    <x v="0"/>
    <x v="6"/>
    <n v="214.86950549450501"/>
    <n v="78427.369505494207"/>
    <n v="282338.530219779"/>
  </r>
  <r>
    <x v="0"/>
    <x v="0"/>
    <x v="0"/>
    <x v="2"/>
    <x v="3"/>
    <s v="FIN_OTHER"/>
    <x v="5"/>
    <x v="120"/>
    <x v="0"/>
    <x v="7"/>
    <n v="214.86950549450501"/>
    <n v="78427.369505494207"/>
    <n v="282338.530219779"/>
  </r>
  <r>
    <x v="0"/>
    <x v="0"/>
    <x v="0"/>
    <x v="2"/>
    <x v="3"/>
    <s v="FIN_OTHER"/>
    <x v="5"/>
    <x v="120"/>
    <x v="0"/>
    <x v="8"/>
    <n v="214.86950549450501"/>
    <n v="78427.369505494207"/>
    <n v="282338.530219779"/>
  </r>
  <r>
    <x v="0"/>
    <x v="0"/>
    <x v="0"/>
    <x v="2"/>
    <x v="3"/>
    <s v="FIN_OTHER"/>
    <x v="5"/>
    <x v="120"/>
    <x v="0"/>
    <x v="9"/>
    <n v="214.86950549450501"/>
    <n v="78427.369505494207"/>
    <n v="282338.530219779"/>
  </r>
  <r>
    <x v="0"/>
    <x v="0"/>
    <x v="0"/>
    <x v="2"/>
    <x v="3"/>
    <s v="FIN_OTHER"/>
    <x v="5"/>
    <x v="120"/>
    <x v="0"/>
    <x v="10"/>
    <n v="214.86950549450501"/>
    <n v="78427.369505494207"/>
    <n v="282338.530219779"/>
  </r>
  <r>
    <x v="0"/>
    <x v="0"/>
    <x v="0"/>
    <x v="2"/>
    <x v="3"/>
    <s v="FIN_OTHER"/>
    <x v="5"/>
    <x v="120"/>
    <x v="0"/>
    <x v="11"/>
    <n v="214.86950549450501"/>
    <n v="78427.369505494207"/>
    <n v="282338.530219779"/>
  </r>
  <r>
    <x v="0"/>
    <x v="0"/>
    <x v="0"/>
    <x v="2"/>
    <x v="3"/>
    <s v="FIN_OTHER"/>
    <x v="5"/>
    <x v="120"/>
    <x v="0"/>
    <x v="12"/>
    <n v="214.86950549450501"/>
    <n v="78427.369505494207"/>
    <n v="282338.530219779"/>
  </r>
  <r>
    <x v="0"/>
    <x v="0"/>
    <x v="0"/>
    <x v="2"/>
    <x v="3"/>
    <s v="FIN_OTHER"/>
    <x v="5"/>
    <x v="120"/>
    <x v="0"/>
    <x v="13"/>
    <n v="214.86950549450501"/>
    <n v="78427.369505494207"/>
    <n v="282338.530219779"/>
  </r>
  <r>
    <x v="0"/>
    <x v="0"/>
    <x v="0"/>
    <x v="2"/>
    <x v="3"/>
    <s v="FIN_OTHER"/>
    <x v="5"/>
    <x v="120"/>
    <x v="0"/>
    <x v="14"/>
    <n v="214.86950549450501"/>
    <n v="78427.369505494207"/>
    <n v="282338.530219779"/>
  </r>
  <r>
    <x v="0"/>
    <x v="0"/>
    <x v="0"/>
    <x v="2"/>
    <x v="3"/>
    <s v="FIN_OTHER"/>
    <x v="5"/>
    <x v="120"/>
    <x v="0"/>
    <x v="15"/>
    <n v="214.86950549450501"/>
    <n v="78427.369505494207"/>
    <n v="282338.530219779"/>
  </r>
  <r>
    <x v="0"/>
    <x v="0"/>
    <x v="0"/>
    <x v="2"/>
    <x v="3"/>
    <s v="FIN_OTHER"/>
    <x v="5"/>
    <x v="120"/>
    <x v="0"/>
    <x v="16"/>
    <n v="214.86950549450501"/>
    <n v="78427.369505494207"/>
    <n v="282338.530219779"/>
  </r>
  <r>
    <x v="0"/>
    <x v="0"/>
    <x v="0"/>
    <x v="2"/>
    <x v="3"/>
    <s v="FIN_OTHER"/>
    <x v="5"/>
    <x v="120"/>
    <x v="0"/>
    <x v="17"/>
    <n v="214.86950549450501"/>
    <n v="78427.369505494207"/>
    <n v="282338.530219779"/>
  </r>
  <r>
    <x v="0"/>
    <x v="0"/>
    <x v="0"/>
    <x v="2"/>
    <x v="3"/>
    <s v="FIN_OTHER"/>
    <x v="5"/>
    <x v="120"/>
    <x v="0"/>
    <x v="18"/>
    <n v="214.86950549450501"/>
    <n v="78427.369505494207"/>
    <n v="282338.530219779"/>
  </r>
  <r>
    <x v="0"/>
    <x v="0"/>
    <x v="0"/>
    <x v="2"/>
    <x v="3"/>
    <s v="FIN_OTHER"/>
    <x v="5"/>
    <x v="120"/>
    <x v="0"/>
    <x v="19"/>
    <n v="214.86950549450501"/>
    <n v="78427.369505494207"/>
    <n v="282338.530219779"/>
  </r>
  <r>
    <x v="0"/>
    <x v="0"/>
    <x v="0"/>
    <x v="2"/>
    <x v="3"/>
    <s v="FIN_OTHER"/>
    <x v="5"/>
    <x v="120"/>
    <x v="0"/>
    <x v="20"/>
    <n v="214.86950549450501"/>
    <n v="78427.369505494207"/>
    <n v="282338.530219779"/>
  </r>
  <r>
    <x v="0"/>
    <x v="0"/>
    <x v="0"/>
    <x v="2"/>
    <x v="3"/>
    <s v="FIN_OTHER"/>
    <x v="5"/>
    <x v="120"/>
    <x v="0"/>
    <x v="21"/>
    <n v="214.86950549450501"/>
    <n v="78427.369505494207"/>
    <n v="282338.530219779"/>
  </r>
  <r>
    <x v="0"/>
    <x v="0"/>
    <x v="0"/>
    <x v="2"/>
    <x v="3"/>
    <s v="FIN_OTHER"/>
    <x v="5"/>
    <x v="120"/>
    <x v="0"/>
    <x v="22"/>
    <n v="214.86950549450501"/>
    <n v="78427.369505494207"/>
    <n v="282338.530219779"/>
  </r>
  <r>
    <x v="0"/>
    <x v="0"/>
    <x v="0"/>
    <x v="2"/>
    <x v="3"/>
    <s v="FIN_OTHER"/>
    <x v="5"/>
    <x v="120"/>
    <x v="0"/>
    <x v="23"/>
    <n v="214.86950549450501"/>
    <n v="78427.369505494207"/>
    <n v="282338.530219779"/>
  </r>
  <r>
    <x v="0"/>
    <x v="0"/>
    <x v="0"/>
    <x v="2"/>
    <x v="3"/>
    <s v="FIN_OTHER"/>
    <x v="6"/>
    <x v="123"/>
    <x v="0"/>
    <x v="0"/>
    <n v="849.13705583756405"/>
    <n v="309935.02538071101"/>
    <n v="1115766.09137056"/>
  </r>
  <r>
    <x v="0"/>
    <x v="0"/>
    <x v="0"/>
    <x v="2"/>
    <x v="3"/>
    <s v="FIN_OTHER"/>
    <x v="6"/>
    <x v="123"/>
    <x v="0"/>
    <x v="1"/>
    <n v="849.13705583756405"/>
    <n v="309935.02538071101"/>
    <n v="1115766.09137056"/>
  </r>
  <r>
    <x v="0"/>
    <x v="0"/>
    <x v="0"/>
    <x v="2"/>
    <x v="3"/>
    <s v="FIN_OTHER"/>
    <x v="6"/>
    <x v="123"/>
    <x v="0"/>
    <x v="2"/>
    <n v="849.13705583756405"/>
    <n v="309935.02538071101"/>
    <n v="1115766.09137056"/>
  </r>
  <r>
    <x v="0"/>
    <x v="0"/>
    <x v="0"/>
    <x v="2"/>
    <x v="3"/>
    <s v="FIN_OTHER"/>
    <x v="6"/>
    <x v="123"/>
    <x v="0"/>
    <x v="3"/>
    <n v="849.13705583756405"/>
    <n v="309935.02538071101"/>
    <n v="1115766.09137056"/>
  </r>
  <r>
    <x v="0"/>
    <x v="0"/>
    <x v="0"/>
    <x v="2"/>
    <x v="3"/>
    <s v="FIN_OTHER"/>
    <x v="6"/>
    <x v="123"/>
    <x v="0"/>
    <x v="4"/>
    <n v="849.13705583756405"/>
    <n v="309935.02538071101"/>
    <n v="1115766.09137056"/>
  </r>
  <r>
    <x v="0"/>
    <x v="0"/>
    <x v="0"/>
    <x v="2"/>
    <x v="3"/>
    <s v="FIN_OTHER"/>
    <x v="6"/>
    <x v="123"/>
    <x v="0"/>
    <x v="5"/>
    <n v="849.13705583756405"/>
    <n v="309935.02538071101"/>
    <n v="1115766.09137056"/>
  </r>
  <r>
    <x v="0"/>
    <x v="0"/>
    <x v="0"/>
    <x v="2"/>
    <x v="3"/>
    <s v="FIN_OTHER"/>
    <x v="6"/>
    <x v="123"/>
    <x v="0"/>
    <x v="6"/>
    <n v="849.13705583756405"/>
    <n v="309935.02538071101"/>
    <n v="1115766.09137056"/>
  </r>
  <r>
    <x v="0"/>
    <x v="0"/>
    <x v="0"/>
    <x v="2"/>
    <x v="3"/>
    <s v="FIN_OTHER"/>
    <x v="6"/>
    <x v="123"/>
    <x v="0"/>
    <x v="7"/>
    <n v="849.13705583756405"/>
    <n v="309935.02538071101"/>
    <n v="1115766.09137056"/>
  </r>
  <r>
    <x v="0"/>
    <x v="0"/>
    <x v="0"/>
    <x v="2"/>
    <x v="3"/>
    <s v="FIN_OTHER"/>
    <x v="6"/>
    <x v="123"/>
    <x v="0"/>
    <x v="8"/>
    <n v="849.13705583756405"/>
    <n v="309935.02538071101"/>
    <n v="1115766.09137056"/>
  </r>
  <r>
    <x v="0"/>
    <x v="0"/>
    <x v="0"/>
    <x v="2"/>
    <x v="3"/>
    <s v="FIN_OTHER"/>
    <x v="6"/>
    <x v="123"/>
    <x v="0"/>
    <x v="9"/>
    <n v="849.13705583756405"/>
    <n v="309935.02538071101"/>
    <n v="1115766.09137056"/>
  </r>
  <r>
    <x v="0"/>
    <x v="0"/>
    <x v="0"/>
    <x v="2"/>
    <x v="3"/>
    <s v="FIN_OTHER"/>
    <x v="6"/>
    <x v="123"/>
    <x v="0"/>
    <x v="10"/>
    <n v="849.13705583756405"/>
    <n v="309935.02538071101"/>
    <n v="1115766.09137056"/>
  </r>
  <r>
    <x v="0"/>
    <x v="0"/>
    <x v="0"/>
    <x v="2"/>
    <x v="3"/>
    <s v="FIN_OTHER"/>
    <x v="6"/>
    <x v="123"/>
    <x v="0"/>
    <x v="11"/>
    <n v="849.13705583756405"/>
    <n v="309935.02538071101"/>
    <n v="1115766.09137056"/>
  </r>
  <r>
    <x v="0"/>
    <x v="0"/>
    <x v="0"/>
    <x v="2"/>
    <x v="3"/>
    <s v="FIN_OTHER"/>
    <x v="6"/>
    <x v="123"/>
    <x v="0"/>
    <x v="12"/>
    <n v="849.13705583756405"/>
    <n v="309935.02538071101"/>
    <n v="1115766.09137056"/>
  </r>
  <r>
    <x v="0"/>
    <x v="0"/>
    <x v="0"/>
    <x v="2"/>
    <x v="3"/>
    <s v="FIN_OTHER"/>
    <x v="6"/>
    <x v="123"/>
    <x v="0"/>
    <x v="13"/>
    <n v="849.13705583756405"/>
    <n v="309935.02538071101"/>
    <n v="1115766.09137056"/>
  </r>
  <r>
    <x v="0"/>
    <x v="0"/>
    <x v="0"/>
    <x v="2"/>
    <x v="3"/>
    <s v="FIN_OTHER"/>
    <x v="6"/>
    <x v="123"/>
    <x v="0"/>
    <x v="14"/>
    <n v="849.13705583756405"/>
    <n v="309935.02538071101"/>
    <n v="1115766.09137056"/>
  </r>
  <r>
    <x v="0"/>
    <x v="0"/>
    <x v="0"/>
    <x v="2"/>
    <x v="3"/>
    <s v="FIN_OTHER"/>
    <x v="6"/>
    <x v="123"/>
    <x v="0"/>
    <x v="15"/>
    <n v="849.13705583756405"/>
    <n v="309935.02538071101"/>
    <n v="1115766.09137056"/>
  </r>
  <r>
    <x v="0"/>
    <x v="0"/>
    <x v="0"/>
    <x v="2"/>
    <x v="3"/>
    <s v="FIN_OTHER"/>
    <x v="6"/>
    <x v="123"/>
    <x v="0"/>
    <x v="16"/>
    <n v="849.13705583756405"/>
    <n v="309935.02538071101"/>
    <n v="1115766.09137056"/>
  </r>
  <r>
    <x v="0"/>
    <x v="0"/>
    <x v="0"/>
    <x v="2"/>
    <x v="3"/>
    <s v="FIN_OTHER"/>
    <x v="6"/>
    <x v="123"/>
    <x v="0"/>
    <x v="17"/>
    <n v="849.13705583756405"/>
    <n v="309935.02538071101"/>
    <n v="1115766.09137056"/>
  </r>
  <r>
    <x v="0"/>
    <x v="0"/>
    <x v="0"/>
    <x v="2"/>
    <x v="3"/>
    <s v="FIN_OTHER"/>
    <x v="6"/>
    <x v="123"/>
    <x v="0"/>
    <x v="18"/>
    <n v="849.13705583756405"/>
    <n v="309935.02538071101"/>
    <n v="1115766.09137056"/>
  </r>
  <r>
    <x v="0"/>
    <x v="0"/>
    <x v="0"/>
    <x v="2"/>
    <x v="3"/>
    <s v="FIN_OTHER"/>
    <x v="6"/>
    <x v="123"/>
    <x v="0"/>
    <x v="19"/>
    <n v="849.13705583756405"/>
    <n v="309935.02538071101"/>
    <n v="1115766.09137056"/>
  </r>
  <r>
    <x v="0"/>
    <x v="0"/>
    <x v="0"/>
    <x v="2"/>
    <x v="3"/>
    <s v="FIN_OTHER"/>
    <x v="6"/>
    <x v="123"/>
    <x v="0"/>
    <x v="20"/>
    <n v="849.13705583756405"/>
    <n v="309935.02538071101"/>
    <n v="1115766.09137056"/>
  </r>
  <r>
    <x v="0"/>
    <x v="0"/>
    <x v="0"/>
    <x v="2"/>
    <x v="3"/>
    <s v="FIN_OTHER"/>
    <x v="6"/>
    <x v="123"/>
    <x v="0"/>
    <x v="21"/>
    <n v="849.13705583756405"/>
    <n v="309935.02538071101"/>
    <n v="1115766.09137056"/>
  </r>
  <r>
    <x v="0"/>
    <x v="0"/>
    <x v="0"/>
    <x v="2"/>
    <x v="3"/>
    <s v="FIN_OTHER"/>
    <x v="6"/>
    <x v="123"/>
    <x v="0"/>
    <x v="22"/>
    <n v="849.13705583756405"/>
    <n v="309935.02538071101"/>
    <n v="1115766.09137056"/>
  </r>
  <r>
    <x v="0"/>
    <x v="0"/>
    <x v="0"/>
    <x v="2"/>
    <x v="3"/>
    <s v="FIN_OTHER"/>
    <x v="6"/>
    <x v="123"/>
    <x v="0"/>
    <x v="23"/>
    <n v="849.13705583756405"/>
    <n v="309935.02538071101"/>
    <n v="1115766.09137056"/>
  </r>
  <r>
    <x v="0"/>
    <x v="0"/>
    <x v="0"/>
    <x v="2"/>
    <x v="3"/>
    <s v="FIN_OTHER"/>
    <x v="6"/>
    <x v="115"/>
    <x v="0"/>
    <x v="0"/>
    <n v="583.11111111111097"/>
    <n v="212835.555555556"/>
    <n v="766208"/>
  </r>
  <r>
    <x v="0"/>
    <x v="0"/>
    <x v="0"/>
    <x v="2"/>
    <x v="3"/>
    <s v="FIN_OTHER"/>
    <x v="6"/>
    <x v="115"/>
    <x v="0"/>
    <x v="1"/>
    <n v="583.11111111111097"/>
    <n v="212835.555555556"/>
    <n v="766208"/>
  </r>
  <r>
    <x v="0"/>
    <x v="0"/>
    <x v="0"/>
    <x v="2"/>
    <x v="3"/>
    <s v="FIN_OTHER"/>
    <x v="6"/>
    <x v="115"/>
    <x v="0"/>
    <x v="2"/>
    <n v="583.11111111111097"/>
    <n v="212835.555555556"/>
    <n v="766208"/>
  </r>
  <r>
    <x v="0"/>
    <x v="0"/>
    <x v="0"/>
    <x v="2"/>
    <x v="3"/>
    <s v="FIN_OTHER"/>
    <x v="6"/>
    <x v="115"/>
    <x v="0"/>
    <x v="3"/>
    <n v="583.11111111111097"/>
    <n v="212835.555555556"/>
    <n v="766208"/>
  </r>
  <r>
    <x v="0"/>
    <x v="0"/>
    <x v="0"/>
    <x v="2"/>
    <x v="3"/>
    <s v="FIN_OTHER"/>
    <x v="6"/>
    <x v="115"/>
    <x v="0"/>
    <x v="4"/>
    <n v="583.11111111111097"/>
    <n v="212835.555555556"/>
    <n v="766208"/>
  </r>
  <r>
    <x v="0"/>
    <x v="0"/>
    <x v="0"/>
    <x v="2"/>
    <x v="3"/>
    <s v="FIN_OTHER"/>
    <x v="6"/>
    <x v="115"/>
    <x v="0"/>
    <x v="5"/>
    <n v="583.11111111111097"/>
    <n v="212835.555555556"/>
    <n v="766208"/>
  </r>
  <r>
    <x v="0"/>
    <x v="0"/>
    <x v="0"/>
    <x v="2"/>
    <x v="3"/>
    <s v="FIN_OTHER"/>
    <x v="6"/>
    <x v="115"/>
    <x v="0"/>
    <x v="6"/>
    <n v="583.11111111111097"/>
    <n v="212835.555555556"/>
    <n v="766208"/>
  </r>
  <r>
    <x v="0"/>
    <x v="0"/>
    <x v="0"/>
    <x v="2"/>
    <x v="3"/>
    <s v="FIN_OTHER"/>
    <x v="6"/>
    <x v="115"/>
    <x v="0"/>
    <x v="7"/>
    <n v="583.11111111111097"/>
    <n v="212835.555555556"/>
    <n v="766208"/>
  </r>
  <r>
    <x v="0"/>
    <x v="0"/>
    <x v="0"/>
    <x v="2"/>
    <x v="3"/>
    <s v="FIN_OTHER"/>
    <x v="6"/>
    <x v="115"/>
    <x v="0"/>
    <x v="8"/>
    <n v="583.11111111111097"/>
    <n v="212835.555555556"/>
    <n v="766208"/>
  </r>
  <r>
    <x v="0"/>
    <x v="0"/>
    <x v="0"/>
    <x v="2"/>
    <x v="3"/>
    <s v="FIN_OTHER"/>
    <x v="6"/>
    <x v="115"/>
    <x v="0"/>
    <x v="9"/>
    <n v="583.11111111111097"/>
    <n v="212835.555555556"/>
    <n v="766208"/>
  </r>
  <r>
    <x v="0"/>
    <x v="0"/>
    <x v="0"/>
    <x v="2"/>
    <x v="3"/>
    <s v="FIN_OTHER"/>
    <x v="6"/>
    <x v="115"/>
    <x v="0"/>
    <x v="10"/>
    <n v="583.11111111111097"/>
    <n v="212835.555555556"/>
    <n v="766208"/>
  </r>
  <r>
    <x v="0"/>
    <x v="0"/>
    <x v="0"/>
    <x v="2"/>
    <x v="3"/>
    <s v="FIN_OTHER"/>
    <x v="6"/>
    <x v="115"/>
    <x v="0"/>
    <x v="11"/>
    <n v="583.11111111111097"/>
    <n v="212835.555555556"/>
    <n v="766208"/>
  </r>
  <r>
    <x v="0"/>
    <x v="0"/>
    <x v="0"/>
    <x v="2"/>
    <x v="3"/>
    <s v="FIN_OTHER"/>
    <x v="6"/>
    <x v="115"/>
    <x v="0"/>
    <x v="12"/>
    <n v="583.11111111111097"/>
    <n v="212835.555555556"/>
    <n v="766208"/>
  </r>
  <r>
    <x v="0"/>
    <x v="0"/>
    <x v="0"/>
    <x v="2"/>
    <x v="3"/>
    <s v="FIN_OTHER"/>
    <x v="6"/>
    <x v="115"/>
    <x v="0"/>
    <x v="13"/>
    <n v="583.11111111111097"/>
    <n v="212835.555555556"/>
    <n v="766208"/>
  </r>
  <r>
    <x v="0"/>
    <x v="0"/>
    <x v="0"/>
    <x v="2"/>
    <x v="3"/>
    <s v="FIN_OTHER"/>
    <x v="6"/>
    <x v="115"/>
    <x v="0"/>
    <x v="14"/>
    <n v="583.11111111111097"/>
    <n v="212835.555555556"/>
    <n v="766208"/>
  </r>
  <r>
    <x v="0"/>
    <x v="0"/>
    <x v="0"/>
    <x v="2"/>
    <x v="3"/>
    <s v="FIN_OTHER"/>
    <x v="6"/>
    <x v="115"/>
    <x v="0"/>
    <x v="15"/>
    <n v="583.11111111111097"/>
    <n v="212835.555555556"/>
    <n v="766208"/>
  </r>
  <r>
    <x v="0"/>
    <x v="0"/>
    <x v="0"/>
    <x v="2"/>
    <x v="3"/>
    <s v="FIN_OTHER"/>
    <x v="6"/>
    <x v="115"/>
    <x v="0"/>
    <x v="16"/>
    <n v="583.11111111111097"/>
    <n v="212835.555555556"/>
    <n v="766208"/>
  </r>
  <r>
    <x v="0"/>
    <x v="0"/>
    <x v="0"/>
    <x v="2"/>
    <x v="3"/>
    <s v="FIN_OTHER"/>
    <x v="6"/>
    <x v="115"/>
    <x v="0"/>
    <x v="17"/>
    <n v="583.11111111111097"/>
    <n v="212835.555555556"/>
    <n v="766208"/>
  </r>
  <r>
    <x v="0"/>
    <x v="0"/>
    <x v="0"/>
    <x v="2"/>
    <x v="3"/>
    <s v="FIN_OTHER"/>
    <x v="6"/>
    <x v="115"/>
    <x v="0"/>
    <x v="18"/>
    <n v="583.11111111111097"/>
    <n v="212835.555555556"/>
    <n v="766208"/>
  </r>
  <r>
    <x v="0"/>
    <x v="0"/>
    <x v="0"/>
    <x v="2"/>
    <x v="3"/>
    <s v="FIN_OTHER"/>
    <x v="6"/>
    <x v="115"/>
    <x v="0"/>
    <x v="19"/>
    <n v="583.11111111111097"/>
    <n v="212835.555555556"/>
    <n v="766208"/>
  </r>
  <r>
    <x v="0"/>
    <x v="0"/>
    <x v="0"/>
    <x v="2"/>
    <x v="3"/>
    <s v="FIN_OTHER"/>
    <x v="6"/>
    <x v="115"/>
    <x v="0"/>
    <x v="20"/>
    <n v="583.11111111111097"/>
    <n v="212835.555555556"/>
    <n v="766208"/>
  </r>
  <r>
    <x v="0"/>
    <x v="0"/>
    <x v="0"/>
    <x v="2"/>
    <x v="3"/>
    <s v="FIN_OTHER"/>
    <x v="6"/>
    <x v="115"/>
    <x v="0"/>
    <x v="21"/>
    <n v="583.11111111111097"/>
    <n v="212835.555555556"/>
    <n v="766208"/>
  </r>
  <r>
    <x v="0"/>
    <x v="0"/>
    <x v="0"/>
    <x v="2"/>
    <x v="3"/>
    <s v="FIN_OTHER"/>
    <x v="6"/>
    <x v="115"/>
    <x v="0"/>
    <x v="22"/>
    <n v="583.11111111111097"/>
    <n v="212835.555555556"/>
    <n v="766208"/>
  </r>
  <r>
    <x v="0"/>
    <x v="0"/>
    <x v="0"/>
    <x v="2"/>
    <x v="3"/>
    <s v="FIN_OTHER"/>
    <x v="6"/>
    <x v="115"/>
    <x v="0"/>
    <x v="23"/>
    <n v="583.11111111111097"/>
    <n v="212835.555555556"/>
    <n v="766208"/>
  </r>
  <r>
    <x v="0"/>
    <x v="0"/>
    <x v="0"/>
    <x v="2"/>
    <x v="3"/>
    <s v="FIN_OTHER"/>
    <x v="7"/>
    <x v="124"/>
    <x v="0"/>
    <x v="0"/>
    <n v="3.8158115593353101"/>
    <n v="1392.7712191573901"/>
    <n v="5013.9763889666001"/>
  </r>
  <r>
    <x v="0"/>
    <x v="0"/>
    <x v="0"/>
    <x v="2"/>
    <x v="3"/>
    <s v="FIN_OTHER"/>
    <x v="7"/>
    <x v="124"/>
    <x v="0"/>
    <x v="1"/>
    <n v="3.8158115593353101"/>
    <n v="1392.7712191573901"/>
    <n v="5013.9763889666001"/>
  </r>
  <r>
    <x v="0"/>
    <x v="0"/>
    <x v="0"/>
    <x v="2"/>
    <x v="3"/>
    <s v="FIN_OTHER"/>
    <x v="7"/>
    <x v="124"/>
    <x v="0"/>
    <x v="2"/>
    <n v="3.8158115593353101"/>
    <n v="1392.7712191573901"/>
    <n v="5013.9763889666001"/>
  </r>
  <r>
    <x v="0"/>
    <x v="0"/>
    <x v="0"/>
    <x v="2"/>
    <x v="3"/>
    <s v="FIN_OTHER"/>
    <x v="7"/>
    <x v="124"/>
    <x v="0"/>
    <x v="3"/>
    <n v="3.8158115593353101"/>
    <n v="1392.7712191573901"/>
    <n v="5013.9763889666001"/>
  </r>
  <r>
    <x v="0"/>
    <x v="0"/>
    <x v="0"/>
    <x v="2"/>
    <x v="3"/>
    <s v="FIN_OTHER"/>
    <x v="7"/>
    <x v="124"/>
    <x v="0"/>
    <x v="4"/>
    <n v="3.8158115593353101"/>
    <n v="1392.7712191573901"/>
    <n v="5013.9763889666001"/>
  </r>
  <r>
    <x v="0"/>
    <x v="0"/>
    <x v="0"/>
    <x v="2"/>
    <x v="3"/>
    <s v="FIN_OTHER"/>
    <x v="7"/>
    <x v="124"/>
    <x v="0"/>
    <x v="5"/>
    <n v="3.8158115593353101"/>
    <n v="1392.7712191573901"/>
    <n v="5013.9763889666001"/>
  </r>
  <r>
    <x v="0"/>
    <x v="0"/>
    <x v="0"/>
    <x v="2"/>
    <x v="3"/>
    <s v="FIN_OTHER"/>
    <x v="7"/>
    <x v="124"/>
    <x v="0"/>
    <x v="6"/>
    <n v="3.8158115593353101"/>
    <n v="1392.7712191573901"/>
    <n v="5013.9763889666001"/>
  </r>
  <r>
    <x v="0"/>
    <x v="0"/>
    <x v="0"/>
    <x v="2"/>
    <x v="3"/>
    <s v="FIN_OTHER"/>
    <x v="7"/>
    <x v="124"/>
    <x v="0"/>
    <x v="7"/>
    <n v="3.8158115593353101"/>
    <n v="1392.7712191573901"/>
    <n v="5013.9763889666001"/>
  </r>
  <r>
    <x v="0"/>
    <x v="0"/>
    <x v="0"/>
    <x v="2"/>
    <x v="3"/>
    <s v="FIN_OTHER"/>
    <x v="7"/>
    <x v="124"/>
    <x v="0"/>
    <x v="8"/>
    <n v="3.8158115593353101"/>
    <n v="1392.7712191573901"/>
    <n v="5013.9763889666001"/>
  </r>
  <r>
    <x v="0"/>
    <x v="0"/>
    <x v="0"/>
    <x v="2"/>
    <x v="3"/>
    <s v="FIN_OTHER"/>
    <x v="7"/>
    <x v="124"/>
    <x v="0"/>
    <x v="9"/>
    <n v="3.8158115593353101"/>
    <n v="1392.7712191573901"/>
    <n v="5013.9763889666001"/>
  </r>
  <r>
    <x v="0"/>
    <x v="0"/>
    <x v="0"/>
    <x v="2"/>
    <x v="3"/>
    <s v="FIN_OTHER"/>
    <x v="7"/>
    <x v="124"/>
    <x v="0"/>
    <x v="10"/>
    <n v="3.8158115593353101"/>
    <n v="1392.7712191573901"/>
    <n v="5013.9763889666001"/>
  </r>
  <r>
    <x v="0"/>
    <x v="0"/>
    <x v="0"/>
    <x v="2"/>
    <x v="3"/>
    <s v="FIN_OTHER"/>
    <x v="7"/>
    <x v="124"/>
    <x v="0"/>
    <x v="11"/>
    <n v="3.8158115593353101"/>
    <n v="1392.7712191573901"/>
    <n v="5013.9763889666001"/>
  </r>
  <r>
    <x v="0"/>
    <x v="0"/>
    <x v="0"/>
    <x v="2"/>
    <x v="3"/>
    <s v="FIN_OTHER"/>
    <x v="7"/>
    <x v="124"/>
    <x v="0"/>
    <x v="12"/>
    <n v="3.8158115593353101"/>
    <n v="1392.7712191573901"/>
    <n v="5013.9763889666001"/>
  </r>
  <r>
    <x v="0"/>
    <x v="0"/>
    <x v="0"/>
    <x v="2"/>
    <x v="3"/>
    <s v="FIN_OTHER"/>
    <x v="7"/>
    <x v="124"/>
    <x v="0"/>
    <x v="13"/>
    <n v="3.8158115593353101"/>
    <n v="1392.7712191573901"/>
    <n v="5013.9763889666001"/>
  </r>
  <r>
    <x v="0"/>
    <x v="0"/>
    <x v="0"/>
    <x v="2"/>
    <x v="3"/>
    <s v="FIN_OTHER"/>
    <x v="7"/>
    <x v="124"/>
    <x v="0"/>
    <x v="14"/>
    <n v="3.8158115593353101"/>
    <n v="1392.7712191573901"/>
    <n v="5013.9763889666001"/>
  </r>
  <r>
    <x v="0"/>
    <x v="0"/>
    <x v="0"/>
    <x v="2"/>
    <x v="3"/>
    <s v="FIN_OTHER"/>
    <x v="7"/>
    <x v="124"/>
    <x v="0"/>
    <x v="15"/>
    <n v="3.8158115593353101"/>
    <n v="1392.7712191573901"/>
    <n v="5013.9763889666001"/>
  </r>
  <r>
    <x v="0"/>
    <x v="0"/>
    <x v="0"/>
    <x v="2"/>
    <x v="3"/>
    <s v="FIN_OTHER"/>
    <x v="7"/>
    <x v="124"/>
    <x v="0"/>
    <x v="16"/>
    <n v="3.8158115593353101"/>
    <n v="1392.7712191573901"/>
    <n v="5013.9763889666001"/>
  </r>
  <r>
    <x v="0"/>
    <x v="0"/>
    <x v="0"/>
    <x v="2"/>
    <x v="3"/>
    <s v="FIN_OTHER"/>
    <x v="7"/>
    <x v="124"/>
    <x v="0"/>
    <x v="17"/>
    <n v="3.8158115593353101"/>
    <n v="1392.7712191573901"/>
    <n v="5013.9763889666001"/>
  </r>
  <r>
    <x v="0"/>
    <x v="0"/>
    <x v="0"/>
    <x v="2"/>
    <x v="3"/>
    <s v="FIN_OTHER"/>
    <x v="7"/>
    <x v="124"/>
    <x v="0"/>
    <x v="18"/>
    <n v="3.8158115593353101"/>
    <n v="1392.7712191573901"/>
    <n v="5013.9763889666001"/>
  </r>
  <r>
    <x v="0"/>
    <x v="0"/>
    <x v="0"/>
    <x v="2"/>
    <x v="3"/>
    <s v="FIN_OTHER"/>
    <x v="7"/>
    <x v="124"/>
    <x v="0"/>
    <x v="19"/>
    <n v="3.8158115593353101"/>
    <n v="1392.7712191573901"/>
    <n v="5013.9763889666001"/>
  </r>
  <r>
    <x v="0"/>
    <x v="0"/>
    <x v="0"/>
    <x v="2"/>
    <x v="3"/>
    <s v="FIN_OTHER"/>
    <x v="7"/>
    <x v="124"/>
    <x v="0"/>
    <x v="20"/>
    <n v="3.8158115593353101"/>
    <n v="1392.7712191573901"/>
    <n v="5013.9763889666001"/>
  </r>
  <r>
    <x v="0"/>
    <x v="0"/>
    <x v="0"/>
    <x v="2"/>
    <x v="3"/>
    <s v="FIN_OTHER"/>
    <x v="7"/>
    <x v="124"/>
    <x v="0"/>
    <x v="21"/>
    <n v="3.8158115593353101"/>
    <n v="1392.7712191573901"/>
    <n v="5013.9763889666001"/>
  </r>
  <r>
    <x v="0"/>
    <x v="0"/>
    <x v="0"/>
    <x v="2"/>
    <x v="3"/>
    <s v="FIN_OTHER"/>
    <x v="7"/>
    <x v="124"/>
    <x v="0"/>
    <x v="22"/>
    <n v="3.8158115593353101"/>
    <n v="1392.7712191573901"/>
    <n v="5013.9763889666001"/>
  </r>
  <r>
    <x v="0"/>
    <x v="0"/>
    <x v="0"/>
    <x v="2"/>
    <x v="3"/>
    <s v="FIN_OTHER"/>
    <x v="7"/>
    <x v="124"/>
    <x v="0"/>
    <x v="23"/>
    <n v="3.8158115593353101"/>
    <n v="1392.7712191573901"/>
    <n v="5013.9763889666001"/>
  </r>
  <r>
    <x v="0"/>
    <x v="0"/>
    <x v="0"/>
    <x v="2"/>
    <x v="3"/>
    <s v="FIN_OTHER"/>
    <x v="7"/>
    <x v="121"/>
    <x v="0"/>
    <x v="0"/>
    <n v="63.7777777777778"/>
    <n v="23278.888888888901"/>
    <n v="83804"/>
  </r>
  <r>
    <x v="0"/>
    <x v="0"/>
    <x v="0"/>
    <x v="2"/>
    <x v="3"/>
    <s v="FIN_OTHER"/>
    <x v="7"/>
    <x v="121"/>
    <x v="0"/>
    <x v="1"/>
    <n v="63.7777777777778"/>
    <n v="23278.888888888901"/>
    <n v="83804"/>
  </r>
  <r>
    <x v="0"/>
    <x v="0"/>
    <x v="0"/>
    <x v="2"/>
    <x v="3"/>
    <s v="FIN_OTHER"/>
    <x v="7"/>
    <x v="121"/>
    <x v="0"/>
    <x v="2"/>
    <n v="63.7777777777778"/>
    <n v="23278.888888888901"/>
    <n v="83804"/>
  </r>
  <r>
    <x v="0"/>
    <x v="0"/>
    <x v="0"/>
    <x v="2"/>
    <x v="3"/>
    <s v="FIN_OTHER"/>
    <x v="7"/>
    <x v="121"/>
    <x v="0"/>
    <x v="3"/>
    <n v="63.7777777777778"/>
    <n v="23278.888888888901"/>
    <n v="83804"/>
  </r>
  <r>
    <x v="0"/>
    <x v="0"/>
    <x v="0"/>
    <x v="2"/>
    <x v="3"/>
    <s v="FIN_OTHER"/>
    <x v="7"/>
    <x v="121"/>
    <x v="0"/>
    <x v="4"/>
    <n v="63.7777777777778"/>
    <n v="23278.888888888901"/>
    <n v="83804"/>
  </r>
  <r>
    <x v="0"/>
    <x v="0"/>
    <x v="0"/>
    <x v="2"/>
    <x v="3"/>
    <s v="FIN_OTHER"/>
    <x v="7"/>
    <x v="121"/>
    <x v="0"/>
    <x v="5"/>
    <n v="63.7777777777778"/>
    <n v="23278.888888888901"/>
    <n v="83804"/>
  </r>
  <r>
    <x v="0"/>
    <x v="0"/>
    <x v="0"/>
    <x v="2"/>
    <x v="3"/>
    <s v="FIN_OTHER"/>
    <x v="7"/>
    <x v="121"/>
    <x v="0"/>
    <x v="6"/>
    <n v="63.7777777777778"/>
    <n v="23278.888888888901"/>
    <n v="83804"/>
  </r>
  <r>
    <x v="0"/>
    <x v="0"/>
    <x v="0"/>
    <x v="2"/>
    <x v="3"/>
    <s v="FIN_OTHER"/>
    <x v="7"/>
    <x v="121"/>
    <x v="0"/>
    <x v="7"/>
    <n v="63.7777777777778"/>
    <n v="23278.888888888901"/>
    <n v="83804"/>
  </r>
  <r>
    <x v="0"/>
    <x v="0"/>
    <x v="0"/>
    <x v="2"/>
    <x v="3"/>
    <s v="FIN_OTHER"/>
    <x v="7"/>
    <x v="121"/>
    <x v="0"/>
    <x v="8"/>
    <n v="63.7777777777778"/>
    <n v="23278.888888888901"/>
    <n v="83804"/>
  </r>
  <r>
    <x v="0"/>
    <x v="0"/>
    <x v="0"/>
    <x v="2"/>
    <x v="3"/>
    <s v="FIN_OTHER"/>
    <x v="7"/>
    <x v="121"/>
    <x v="0"/>
    <x v="9"/>
    <n v="63.7777777777778"/>
    <n v="23278.888888888901"/>
    <n v="83804"/>
  </r>
  <r>
    <x v="0"/>
    <x v="0"/>
    <x v="0"/>
    <x v="2"/>
    <x v="3"/>
    <s v="FIN_OTHER"/>
    <x v="7"/>
    <x v="121"/>
    <x v="0"/>
    <x v="10"/>
    <n v="63.7777777777778"/>
    <n v="23278.888888888901"/>
    <n v="83804"/>
  </r>
  <r>
    <x v="0"/>
    <x v="0"/>
    <x v="0"/>
    <x v="2"/>
    <x v="3"/>
    <s v="FIN_OTHER"/>
    <x v="7"/>
    <x v="121"/>
    <x v="0"/>
    <x v="11"/>
    <n v="63.7777777777778"/>
    <n v="23278.888888888901"/>
    <n v="83804"/>
  </r>
  <r>
    <x v="0"/>
    <x v="0"/>
    <x v="0"/>
    <x v="2"/>
    <x v="3"/>
    <s v="FIN_OTHER"/>
    <x v="7"/>
    <x v="121"/>
    <x v="0"/>
    <x v="12"/>
    <n v="63.7777777777778"/>
    <n v="23278.888888888901"/>
    <n v="83804"/>
  </r>
  <r>
    <x v="0"/>
    <x v="0"/>
    <x v="0"/>
    <x v="2"/>
    <x v="3"/>
    <s v="FIN_OTHER"/>
    <x v="7"/>
    <x v="121"/>
    <x v="0"/>
    <x v="13"/>
    <n v="63.7777777777778"/>
    <n v="23278.888888888901"/>
    <n v="83804"/>
  </r>
  <r>
    <x v="0"/>
    <x v="0"/>
    <x v="0"/>
    <x v="2"/>
    <x v="3"/>
    <s v="FIN_OTHER"/>
    <x v="7"/>
    <x v="121"/>
    <x v="0"/>
    <x v="14"/>
    <n v="63.7777777777778"/>
    <n v="23278.888888888901"/>
    <n v="83804"/>
  </r>
  <r>
    <x v="0"/>
    <x v="0"/>
    <x v="0"/>
    <x v="2"/>
    <x v="3"/>
    <s v="FIN_OTHER"/>
    <x v="7"/>
    <x v="121"/>
    <x v="0"/>
    <x v="15"/>
    <n v="63.7777777777778"/>
    <n v="23278.888888888901"/>
    <n v="83804"/>
  </r>
  <r>
    <x v="0"/>
    <x v="0"/>
    <x v="0"/>
    <x v="2"/>
    <x v="3"/>
    <s v="FIN_OTHER"/>
    <x v="7"/>
    <x v="121"/>
    <x v="0"/>
    <x v="16"/>
    <n v="63.7777777777778"/>
    <n v="23278.888888888901"/>
    <n v="83804"/>
  </r>
  <r>
    <x v="0"/>
    <x v="0"/>
    <x v="0"/>
    <x v="2"/>
    <x v="3"/>
    <s v="FIN_OTHER"/>
    <x v="7"/>
    <x v="121"/>
    <x v="0"/>
    <x v="17"/>
    <n v="63.7777777777778"/>
    <n v="23278.888888888901"/>
    <n v="83804"/>
  </r>
  <r>
    <x v="0"/>
    <x v="0"/>
    <x v="0"/>
    <x v="2"/>
    <x v="3"/>
    <s v="FIN_OTHER"/>
    <x v="7"/>
    <x v="121"/>
    <x v="0"/>
    <x v="18"/>
    <n v="63.7777777777778"/>
    <n v="23278.888888888901"/>
    <n v="83804"/>
  </r>
  <r>
    <x v="0"/>
    <x v="0"/>
    <x v="0"/>
    <x v="2"/>
    <x v="3"/>
    <s v="FIN_OTHER"/>
    <x v="7"/>
    <x v="121"/>
    <x v="0"/>
    <x v="19"/>
    <n v="63.7777777777778"/>
    <n v="23278.888888888901"/>
    <n v="83804"/>
  </r>
  <r>
    <x v="0"/>
    <x v="0"/>
    <x v="0"/>
    <x v="2"/>
    <x v="3"/>
    <s v="FIN_OTHER"/>
    <x v="7"/>
    <x v="121"/>
    <x v="0"/>
    <x v="20"/>
    <n v="63.7777777777778"/>
    <n v="23278.888888888901"/>
    <n v="83804"/>
  </r>
  <r>
    <x v="0"/>
    <x v="0"/>
    <x v="0"/>
    <x v="2"/>
    <x v="3"/>
    <s v="FIN_OTHER"/>
    <x v="7"/>
    <x v="121"/>
    <x v="0"/>
    <x v="21"/>
    <n v="63.7777777777778"/>
    <n v="23278.888888888901"/>
    <n v="83804"/>
  </r>
  <r>
    <x v="0"/>
    <x v="0"/>
    <x v="0"/>
    <x v="2"/>
    <x v="3"/>
    <s v="FIN_OTHER"/>
    <x v="7"/>
    <x v="121"/>
    <x v="0"/>
    <x v="22"/>
    <n v="63.7777777777778"/>
    <n v="23278.888888888901"/>
    <n v="83804"/>
  </r>
  <r>
    <x v="0"/>
    <x v="0"/>
    <x v="0"/>
    <x v="2"/>
    <x v="3"/>
    <s v="FIN_OTHER"/>
    <x v="7"/>
    <x v="121"/>
    <x v="0"/>
    <x v="23"/>
    <n v="63.7777777777778"/>
    <n v="23278.888888888901"/>
    <n v="83804"/>
  </r>
  <r>
    <x v="0"/>
    <x v="0"/>
    <x v="0"/>
    <x v="2"/>
    <x v="3"/>
    <s v="FIN_OTHER"/>
    <x v="11"/>
    <x v="125"/>
    <x v="0"/>
    <x v="0"/>
    <n v="430.725308641975"/>
    <n v="157214.73765432101"/>
    <n v="565973.05555555597"/>
  </r>
  <r>
    <x v="0"/>
    <x v="0"/>
    <x v="0"/>
    <x v="2"/>
    <x v="3"/>
    <s v="FIN_OTHER"/>
    <x v="11"/>
    <x v="125"/>
    <x v="0"/>
    <x v="1"/>
    <n v="430.725308641975"/>
    <n v="157214.73765432101"/>
    <n v="565973.05555555597"/>
  </r>
  <r>
    <x v="0"/>
    <x v="0"/>
    <x v="0"/>
    <x v="2"/>
    <x v="3"/>
    <s v="FIN_OTHER"/>
    <x v="11"/>
    <x v="125"/>
    <x v="0"/>
    <x v="2"/>
    <n v="430.725308641975"/>
    <n v="157214.73765432101"/>
    <n v="565973.05555555597"/>
  </r>
  <r>
    <x v="0"/>
    <x v="0"/>
    <x v="0"/>
    <x v="2"/>
    <x v="3"/>
    <s v="FIN_OTHER"/>
    <x v="11"/>
    <x v="125"/>
    <x v="0"/>
    <x v="3"/>
    <n v="430.725308641975"/>
    <n v="157214.73765432101"/>
    <n v="565973.05555555597"/>
  </r>
  <r>
    <x v="0"/>
    <x v="0"/>
    <x v="0"/>
    <x v="2"/>
    <x v="3"/>
    <s v="FIN_OTHER"/>
    <x v="11"/>
    <x v="125"/>
    <x v="0"/>
    <x v="4"/>
    <n v="430.725308641975"/>
    <n v="157214.73765432101"/>
    <n v="565973.05555555597"/>
  </r>
  <r>
    <x v="0"/>
    <x v="0"/>
    <x v="0"/>
    <x v="2"/>
    <x v="3"/>
    <s v="FIN_OTHER"/>
    <x v="11"/>
    <x v="125"/>
    <x v="0"/>
    <x v="5"/>
    <n v="430.725308641975"/>
    <n v="157214.73765432101"/>
    <n v="565973.05555555597"/>
  </r>
  <r>
    <x v="0"/>
    <x v="0"/>
    <x v="0"/>
    <x v="2"/>
    <x v="3"/>
    <s v="FIN_OTHER"/>
    <x v="11"/>
    <x v="125"/>
    <x v="0"/>
    <x v="6"/>
    <n v="430.725308641975"/>
    <n v="157214.73765432101"/>
    <n v="565973.05555555597"/>
  </r>
  <r>
    <x v="0"/>
    <x v="0"/>
    <x v="0"/>
    <x v="2"/>
    <x v="3"/>
    <s v="FIN_OTHER"/>
    <x v="11"/>
    <x v="125"/>
    <x v="0"/>
    <x v="7"/>
    <n v="430.725308641975"/>
    <n v="157214.73765432101"/>
    <n v="565973.05555555597"/>
  </r>
  <r>
    <x v="0"/>
    <x v="0"/>
    <x v="0"/>
    <x v="2"/>
    <x v="3"/>
    <s v="FIN_OTHER"/>
    <x v="11"/>
    <x v="125"/>
    <x v="0"/>
    <x v="8"/>
    <n v="430.725308641975"/>
    <n v="157214.73765432101"/>
    <n v="565973.05555555597"/>
  </r>
  <r>
    <x v="0"/>
    <x v="0"/>
    <x v="0"/>
    <x v="2"/>
    <x v="3"/>
    <s v="FIN_OTHER"/>
    <x v="11"/>
    <x v="125"/>
    <x v="0"/>
    <x v="9"/>
    <n v="430.725308641975"/>
    <n v="157214.73765432101"/>
    <n v="565973.05555555597"/>
  </r>
  <r>
    <x v="0"/>
    <x v="0"/>
    <x v="0"/>
    <x v="2"/>
    <x v="3"/>
    <s v="FIN_OTHER"/>
    <x v="11"/>
    <x v="125"/>
    <x v="0"/>
    <x v="10"/>
    <n v="430.725308641975"/>
    <n v="157214.73765432101"/>
    <n v="565973.05555555597"/>
  </r>
  <r>
    <x v="0"/>
    <x v="0"/>
    <x v="0"/>
    <x v="2"/>
    <x v="3"/>
    <s v="FIN_OTHER"/>
    <x v="11"/>
    <x v="125"/>
    <x v="0"/>
    <x v="11"/>
    <n v="430.725308641975"/>
    <n v="157214.73765432101"/>
    <n v="565973.05555555597"/>
  </r>
  <r>
    <x v="0"/>
    <x v="0"/>
    <x v="0"/>
    <x v="2"/>
    <x v="3"/>
    <s v="FIN_OTHER"/>
    <x v="11"/>
    <x v="125"/>
    <x v="0"/>
    <x v="12"/>
    <n v="430.725308641975"/>
    <n v="157214.73765432101"/>
    <n v="565973.05555555597"/>
  </r>
  <r>
    <x v="0"/>
    <x v="0"/>
    <x v="0"/>
    <x v="2"/>
    <x v="3"/>
    <s v="FIN_OTHER"/>
    <x v="11"/>
    <x v="125"/>
    <x v="0"/>
    <x v="13"/>
    <n v="430.725308641975"/>
    <n v="157214.73765432101"/>
    <n v="565973.05555555597"/>
  </r>
  <r>
    <x v="0"/>
    <x v="0"/>
    <x v="0"/>
    <x v="2"/>
    <x v="3"/>
    <s v="FIN_OTHER"/>
    <x v="11"/>
    <x v="125"/>
    <x v="0"/>
    <x v="14"/>
    <n v="430.725308641975"/>
    <n v="157214.73765432101"/>
    <n v="565973.05555555597"/>
  </r>
  <r>
    <x v="0"/>
    <x v="0"/>
    <x v="0"/>
    <x v="2"/>
    <x v="3"/>
    <s v="FIN_OTHER"/>
    <x v="11"/>
    <x v="125"/>
    <x v="0"/>
    <x v="15"/>
    <n v="430.725308641975"/>
    <n v="157214.73765432101"/>
    <n v="565973.05555555597"/>
  </r>
  <r>
    <x v="0"/>
    <x v="0"/>
    <x v="0"/>
    <x v="2"/>
    <x v="3"/>
    <s v="FIN_OTHER"/>
    <x v="11"/>
    <x v="125"/>
    <x v="0"/>
    <x v="16"/>
    <n v="430.725308641975"/>
    <n v="157214.73765432101"/>
    <n v="565973.05555555597"/>
  </r>
  <r>
    <x v="0"/>
    <x v="0"/>
    <x v="0"/>
    <x v="2"/>
    <x v="3"/>
    <s v="FIN_OTHER"/>
    <x v="11"/>
    <x v="125"/>
    <x v="0"/>
    <x v="17"/>
    <n v="430.725308641975"/>
    <n v="157214.73765432101"/>
    <n v="565973.05555555597"/>
  </r>
  <r>
    <x v="0"/>
    <x v="0"/>
    <x v="0"/>
    <x v="2"/>
    <x v="3"/>
    <s v="FIN_OTHER"/>
    <x v="11"/>
    <x v="125"/>
    <x v="0"/>
    <x v="18"/>
    <n v="430.725308641975"/>
    <n v="157214.73765432101"/>
    <n v="565973.05555555597"/>
  </r>
  <r>
    <x v="0"/>
    <x v="0"/>
    <x v="0"/>
    <x v="2"/>
    <x v="3"/>
    <s v="FIN_OTHER"/>
    <x v="11"/>
    <x v="125"/>
    <x v="0"/>
    <x v="19"/>
    <n v="430.725308641975"/>
    <n v="157214.73765432101"/>
    <n v="565973.05555555597"/>
  </r>
  <r>
    <x v="0"/>
    <x v="0"/>
    <x v="0"/>
    <x v="2"/>
    <x v="3"/>
    <s v="FIN_OTHER"/>
    <x v="11"/>
    <x v="125"/>
    <x v="0"/>
    <x v="20"/>
    <n v="430.725308641975"/>
    <n v="157214.73765432101"/>
    <n v="565973.05555555597"/>
  </r>
  <r>
    <x v="0"/>
    <x v="0"/>
    <x v="0"/>
    <x v="2"/>
    <x v="3"/>
    <s v="FIN_OTHER"/>
    <x v="11"/>
    <x v="125"/>
    <x v="0"/>
    <x v="21"/>
    <n v="430.725308641975"/>
    <n v="157214.73765432101"/>
    <n v="565973.05555555597"/>
  </r>
  <r>
    <x v="0"/>
    <x v="0"/>
    <x v="0"/>
    <x v="2"/>
    <x v="3"/>
    <s v="FIN_OTHER"/>
    <x v="11"/>
    <x v="125"/>
    <x v="0"/>
    <x v="22"/>
    <n v="430.725308641975"/>
    <n v="157214.73765432101"/>
    <n v="565973.05555555597"/>
  </r>
  <r>
    <x v="0"/>
    <x v="0"/>
    <x v="0"/>
    <x v="2"/>
    <x v="3"/>
    <s v="FIN_OTHER"/>
    <x v="11"/>
    <x v="125"/>
    <x v="0"/>
    <x v="23"/>
    <n v="430.725308641975"/>
    <n v="157214.73765432101"/>
    <n v="565973.05555555597"/>
  </r>
  <r>
    <x v="0"/>
    <x v="0"/>
    <x v="0"/>
    <x v="2"/>
    <x v="3"/>
    <s v="FIN_OTHER"/>
    <x v="11"/>
    <x v="122"/>
    <x v="0"/>
    <x v="0"/>
    <n v="196.23529411764699"/>
    <n v="71625.882352941204"/>
    <n v="257853.17647058799"/>
  </r>
  <r>
    <x v="0"/>
    <x v="0"/>
    <x v="0"/>
    <x v="2"/>
    <x v="3"/>
    <s v="FIN_OTHER"/>
    <x v="11"/>
    <x v="122"/>
    <x v="0"/>
    <x v="1"/>
    <n v="196.23529411764699"/>
    <n v="71625.882352941204"/>
    <n v="257853.17647058799"/>
  </r>
  <r>
    <x v="0"/>
    <x v="0"/>
    <x v="0"/>
    <x v="2"/>
    <x v="3"/>
    <s v="FIN_OTHER"/>
    <x v="11"/>
    <x v="122"/>
    <x v="0"/>
    <x v="2"/>
    <n v="196.23529411764699"/>
    <n v="71625.882352941204"/>
    <n v="257853.17647058799"/>
  </r>
  <r>
    <x v="0"/>
    <x v="0"/>
    <x v="0"/>
    <x v="2"/>
    <x v="3"/>
    <s v="FIN_OTHER"/>
    <x v="11"/>
    <x v="122"/>
    <x v="0"/>
    <x v="3"/>
    <n v="196.23529411764699"/>
    <n v="71625.882352941204"/>
    <n v="257853.17647058799"/>
  </r>
  <r>
    <x v="0"/>
    <x v="0"/>
    <x v="0"/>
    <x v="2"/>
    <x v="3"/>
    <s v="FIN_OTHER"/>
    <x v="11"/>
    <x v="122"/>
    <x v="0"/>
    <x v="4"/>
    <n v="196.23529411764699"/>
    <n v="71625.882352941204"/>
    <n v="257853.17647058799"/>
  </r>
  <r>
    <x v="0"/>
    <x v="0"/>
    <x v="0"/>
    <x v="2"/>
    <x v="3"/>
    <s v="FIN_OTHER"/>
    <x v="11"/>
    <x v="122"/>
    <x v="0"/>
    <x v="5"/>
    <n v="196.23529411764699"/>
    <n v="71625.882352941204"/>
    <n v="257853.17647058799"/>
  </r>
  <r>
    <x v="0"/>
    <x v="0"/>
    <x v="0"/>
    <x v="2"/>
    <x v="3"/>
    <s v="FIN_OTHER"/>
    <x v="11"/>
    <x v="122"/>
    <x v="0"/>
    <x v="6"/>
    <n v="196.23529411764699"/>
    <n v="71625.882352941204"/>
    <n v="257853.17647058799"/>
  </r>
  <r>
    <x v="0"/>
    <x v="0"/>
    <x v="0"/>
    <x v="2"/>
    <x v="3"/>
    <s v="FIN_OTHER"/>
    <x v="11"/>
    <x v="122"/>
    <x v="0"/>
    <x v="7"/>
    <n v="196.23529411764699"/>
    <n v="71625.882352941204"/>
    <n v="257853.17647058799"/>
  </r>
  <r>
    <x v="0"/>
    <x v="0"/>
    <x v="0"/>
    <x v="2"/>
    <x v="3"/>
    <s v="FIN_OTHER"/>
    <x v="11"/>
    <x v="122"/>
    <x v="0"/>
    <x v="8"/>
    <n v="196.23529411764699"/>
    <n v="71625.882352941204"/>
    <n v="257853.17647058799"/>
  </r>
  <r>
    <x v="0"/>
    <x v="0"/>
    <x v="0"/>
    <x v="2"/>
    <x v="3"/>
    <s v="FIN_OTHER"/>
    <x v="11"/>
    <x v="122"/>
    <x v="0"/>
    <x v="9"/>
    <n v="196.23529411764699"/>
    <n v="71625.882352941204"/>
    <n v="257853.17647058799"/>
  </r>
  <r>
    <x v="0"/>
    <x v="0"/>
    <x v="0"/>
    <x v="2"/>
    <x v="3"/>
    <s v="FIN_OTHER"/>
    <x v="11"/>
    <x v="122"/>
    <x v="0"/>
    <x v="10"/>
    <n v="196.23529411764699"/>
    <n v="71625.882352941204"/>
    <n v="257853.17647058799"/>
  </r>
  <r>
    <x v="0"/>
    <x v="0"/>
    <x v="0"/>
    <x v="2"/>
    <x v="3"/>
    <s v="FIN_OTHER"/>
    <x v="11"/>
    <x v="122"/>
    <x v="0"/>
    <x v="11"/>
    <n v="196.23529411764699"/>
    <n v="71625.882352941204"/>
    <n v="257853.17647058799"/>
  </r>
  <r>
    <x v="0"/>
    <x v="0"/>
    <x v="0"/>
    <x v="2"/>
    <x v="3"/>
    <s v="FIN_OTHER"/>
    <x v="11"/>
    <x v="122"/>
    <x v="0"/>
    <x v="12"/>
    <n v="196.23529411764699"/>
    <n v="71625.882352941204"/>
    <n v="257853.17647058799"/>
  </r>
  <r>
    <x v="0"/>
    <x v="0"/>
    <x v="0"/>
    <x v="2"/>
    <x v="3"/>
    <s v="FIN_OTHER"/>
    <x v="11"/>
    <x v="122"/>
    <x v="0"/>
    <x v="13"/>
    <n v="196.23529411764699"/>
    <n v="71625.882352941204"/>
    <n v="257853.17647058799"/>
  </r>
  <r>
    <x v="0"/>
    <x v="0"/>
    <x v="0"/>
    <x v="2"/>
    <x v="3"/>
    <s v="FIN_OTHER"/>
    <x v="11"/>
    <x v="122"/>
    <x v="0"/>
    <x v="14"/>
    <n v="196.23529411764699"/>
    <n v="71625.882352941204"/>
    <n v="257853.17647058799"/>
  </r>
  <r>
    <x v="0"/>
    <x v="0"/>
    <x v="0"/>
    <x v="2"/>
    <x v="3"/>
    <s v="FIN_OTHER"/>
    <x v="11"/>
    <x v="122"/>
    <x v="0"/>
    <x v="15"/>
    <n v="196.23529411764699"/>
    <n v="71625.882352941204"/>
    <n v="257853.17647058799"/>
  </r>
  <r>
    <x v="0"/>
    <x v="0"/>
    <x v="0"/>
    <x v="2"/>
    <x v="3"/>
    <s v="FIN_OTHER"/>
    <x v="11"/>
    <x v="122"/>
    <x v="0"/>
    <x v="16"/>
    <n v="196.23529411764699"/>
    <n v="71625.882352941204"/>
    <n v="257853.17647058799"/>
  </r>
  <r>
    <x v="0"/>
    <x v="0"/>
    <x v="0"/>
    <x v="2"/>
    <x v="3"/>
    <s v="FIN_OTHER"/>
    <x v="11"/>
    <x v="122"/>
    <x v="0"/>
    <x v="17"/>
    <n v="196.23529411764699"/>
    <n v="71625.882352941204"/>
    <n v="257853.17647058799"/>
  </r>
  <r>
    <x v="0"/>
    <x v="0"/>
    <x v="0"/>
    <x v="2"/>
    <x v="3"/>
    <s v="FIN_OTHER"/>
    <x v="11"/>
    <x v="122"/>
    <x v="0"/>
    <x v="18"/>
    <n v="196.23529411764699"/>
    <n v="71625.882352941204"/>
    <n v="257853.17647058799"/>
  </r>
  <r>
    <x v="0"/>
    <x v="0"/>
    <x v="0"/>
    <x v="2"/>
    <x v="3"/>
    <s v="FIN_OTHER"/>
    <x v="11"/>
    <x v="122"/>
    <x v="0"/>
    <x v="19"/>
    <n v="196.23529411764699"/>
    <n v="71625.882352941204"/>
    <n v="257853.17647058799"/>
  </r>
  <r>
    <x v="0"/>
    <x v="0"/>
    <x v="0"/>
    <x v="2"/>
    <x v="3"/>
    <s v="FIN_OTHER"/>
    <x v="11"/>
    <x v="122"/>
    <x v="0"/>
    <x v="20"/>
    <n v="196.23529411764699"/>
    <n v="71625.882352941204"/>
    <n v="257853.17647058799"/>
  </r>
  <r>
    <x v="0"/>
    <x v="0"/>
    <x v="0"/>
    <x v="2"/>
    <x v="3"/>
    <s v="FIN_OTHER"/>
    <x v="11"/>
    <x v="122"/>
    <x v="0"/>
    <x v="21"/>
    <n v="196.23529411764699"/>
    <n v="71625.882352941204"/>
    <n v="257853.17647058799"/>
  </r>
  <r>
    <x v="0"/>
    <x v="0"/>
    <x v="0"/>
    <x v="2"/>
    <x v="3"/>
    <s v="FIN_OTHER"/>
    <x v="11"/>
    <x v="122"/>
    <x v="0"/>
    <x v="22"/>
    <n v="196.23529411764699"/>
    <n v="71625.882352941204"/>
    <n v="257853.17647058799"/>
  </r>
  <r>
    <x v="0"/>
    <x v="0"/>
    <x v="0"/>
    <x v="2"/>
    <x v="3"/>
    <s v="FIN_OTHER"/>
    <x v="11"/>
    <x v="122"/>
    <x v="0"/>
    <x v="23"/>
    <n v="196.23529411764699"/>
    <n v="71625.882352941204"/>
    <n v="257853.17647058799"/>
  </r>
  <r>
    <x v="0"/>
    <x v="0"/>
    <x v="0"/>
    <x v="2"/>
    <x v="3"/>
    <s v="FIN_TAMP"/>
    <x v="3"/>
    <x v="126"/>
    <x v="0"/>
    <x v="0"/>
    <n v="365.11351802252801"/>
    <n v="133266.43407822301"/>
    <n v="479759.162681602"/>
  </r>
  <r>
    <x v="0"/>
    <x v="0"/>
    <x v="0"/>
    <x v="2"/>
    <x v="3"/>
    <s v="FIN_TAMP"/>
    <x v="3"/>
    <x v="126"/>
    <x v="0"/>
    <x v="1"/>
    <n v="360.33990529671303"/>
    <n v="131524.06543330001"/>
    <n v="473486.63555988099"/>
  </r>
  <r>
    <x v="0"/>
    <x v="0"/>
    <x v="0"/>
    <x v="2"/>
    <x v="3"/>
    <s v="FIN_TAMP"/>
    <x v="3"/>
    <x v="126"/>
    <x v="0"/>
    <x v="2"/>
    <n v="363.26963272243898"/>
    <n v="132593.41594368999"/>
    <n v="477336.297397285"/>
  </r>
  <r>
    <x v="0"/>
    <x v="0"/>
    <x v="0"/>
    <x v="2"/>
    <x v="3"/>
    <s v="FIN_TAMP"/>
    <x v="3"/>
    <x v="126"/>
    <x v="0"/>
    <x v="3"/>
    <n v="374.67019931319902"/>
    <n v="136754.62274931799"/>
    <n v="492316.64189754298"/>
  </r>
  <r>
    <x v="0"/>
    <x v="0"/>
    <x v="0"/>
    <x v="2"/>
    <x v="3"/>
    <s v="FIN_TAMP"/>
    <x v="3"/>
    <x v="126"/>
    <x v="0"/>
    <x v="4"/>
    <n v="401.26696097010603"/>
    <n v="146462.44075408901"/>
    <n v="527264.78671471903"/>
  </r>
  <r>
    <x v="0"/>
    <x v="0"/>
    <x v="0"/>
    <x v="2"/>
    <x v="3"/>
    <s v="FIN_TAMP"/>
    <x v="3"/>
    <x v="126"/>
    <x v="0"/>
    <x v="5"/>
    <n v="445.33350597890598"/>
    <n v="162546.729682301"/>
    <n v="585168.22685628303"/>
  </r>
  <r>
    <x v="0"/>
    <x v="0"/>
    <x v="0"/>
    <x v="2"/>
    <x v="3"/>
    <s v="FIN_TAMP"/>
    <x v="3"/>
    <x v="126"/>
    <x v="0"/>
    <x v="6"/>
    <n v="538.158202336969"/>
    <n v="196427.743852994"/>
    <n v="707139.87787077797"/>
  </r>
  <r>
    <x v="0"/>
    <x v="0"/>
    <x v="0"/>
    <x v="2"/>
    <x v="3"/>
    <s v="FIN_TAMP"/>
    <x v="3"/>
    <x v="126"/>
    <x v="0"/>
    <x v="7"/>
    <n v="592.49276464749005"/>
    <n v="216259.859096334"/>
    <n v="778535.49274680205"/>
  </r>
  <r>
    <x v="0"/>
    <x v="0"/>
    <x v="0"/>
    <x v="2"/>
    <x v="3"/>
    <s v="FIN_TAMP"/>
    <x v="3"/>
    <x v="126"/>
    <x v="0"/>
    <x v="8"/>
    <n v="603.30067969389302"/>
    <n v="220204.74808827101"/>
    <n v="792737.09311777505"/>
  </r>
  <r>
    <x v="0"/>
    <x v="0"/>
    <x v="0"/>
    <x v="2"/>
    <x v="3"/>
    <s v="FIN_TAMP"/>
    <x v="3"/>
    <x v="126"/>
    <x v="0"/>
    <x v="9"/>
    <n v="607.23320241294596"/>
    <n v="221640.118880725"/>
    <n v="797904.42797061102"/>
  </r>
  <r>
    <x v="0"/>
    <x v="0"/>
    <x v="0"/>
    <x v="2"/>
    <x v="3"/>
    <s v="FIN_TAMP"/>
    <x v="3"/>
    <x v="126"/>
    <x v="0"/>
    <x v="10"/>
    <n v="587.31495136926799"/>
    <n v="214369.95724978301"/>
    <n v="771731.846099218"/>
  </r>
  <r>
    <x v="0"/>
    <x v="0"/>
    <x v="0"/>
    <x v="2"/>
    <x v="3"/>
    <s v="FIN_TAMP"/>
    <x v="3"/>
    <x v="126"/>
    <x v="0"/>
    <x v="11"/>
    <n v="575.52609433361499"/>
    <n v="210067.02443177"/>
    <n v="756241.28795437003"/>
  </r>
  <r>
    <x v="0"/>
    <x v="0"/>
    <x v="0"/>
    <x v="2"/>
    <x v="3"/>
    <s v="FIN_TAMP"/>
    <x v="3"/>
    <x v="126"/>
    <x v="0"/>
    <x v="12"/>
    <n v="570.82271958613603"/>
    <n v="208350.29264894"/>
    <n v="750061.05353618297"/>
  </r>
  <r>
    <x v="0"/>
    <x v="0"/>
    <x v="0"/>
    <x v="2"/>
    <x v="3"/>
    <s v="FIN_TAMP"/>
    <x v="3"/>
    <x v="126"/>
    <x v="0"/>
    <x v="13"/>
    <n v="569.68134508913704"/>
    <n v="207933.690957535"/>
    <n v="748561.287447126"/>
  </r>
  <r>
    <x v="0"/>
    <x v="0"/>
    <x v="0"/>
    <x v="2"/>
    <x v="3"/>
    <s v="FIN_TAMP"/>
    <x v="3"/>
    <x v="126"/>
    <x v="0"/>
    <x v="14"/>
    <n v="573.11823426052399"/>
    <n v="209188.15550509101"/>
    <n v="753077.35981832899"/>
  </r>
  <r>
    <x v="0"/>
    <x v="0"/>
    <x v="0"/>
    <x v="2"/>
    <x v="3"/>
    <s v="FIN_TAMP"/>
    <x v="3"/>
    <x v="126"/>
    <x v="0"/>
    <x v="15"/>
    <n v="595.25608197913903"/>
    <n v="217268.46992238599"/>
    <n v="782166.49172058795"/>
  </r>
  <r>
    <x v="0"/>
    <x v="0"/>
    <x v="0"/>
    <x v="2"/>
    <x v="3"/>
    <s v="FIN_TAMP"/>
    <x v="3"/>
    <x v="126"/>
    <x v="0"/>
    <x v="16"/>
    <n v="572.65070241247997"/>
    <n v="209017.50638055499"/>
    <n v="752463.022969999"/>
  </r>
  <r>
    <x v="0"/>
    <x v="0"/>
    <x v="0"/>
    <x v="2"/>
    <x v="3"/>
    <s v="FIN_TAMP"/>
    <x v="3"/>
    <x v="126"/>
    <x v="0"/>
    <x v="17"/>
    <n v="557.38044421555298"/>
    <n v="203443.86213867701"/>
    <n v="732397.90369923704"/>
  </r>
  <r>
    <x v="0"/>
    <x v="0"/>
    <x v="0"/>
    <x v="2"/>
    <x v="3"/>
    <s v="FIN_TAMP"/>
    <x v="3"/>
    <x v="126"/>
    <x v="0"/>
    <x v="18"/>
    <n v="560.76716167192001"/>
    <n v="204680.014010251"/>
    <n v="736848.05043690302"/>
  </r>
  <r>
    <x v="0"/>
    <x v="0"/>
    <x v="0"/>
    <x v="2"/>
    <x v="3"/>
    <s v="FIN_TAMP"/>
    <x v="3"/>
    <x v="126"/>
    <x v="0"/>
    <x v="19"/>
    <n v="550.67014113394498"/>
    <n v="200994.60151389"/>
    <n v="723580.56545000302"/>
  </r>
  <r>
    <x v="0"/>
    <x v="0"/>
    <x v="0"/>
    <x v="2"/>
    <x v="3"/>
    <s v="FIN_TAMP"/>
    <x v="3"/>
    <x v="126"/>
    <x v="0"/>
    <x v="20"/>
    <n v="536.74865502578496"/>
    <n v="195913.25908441099"/>
    <n v="705287.73270388099"/>
  </r>
  <r>
    <x v="0"/>
    <x v="0"/>
    <x v="0"/>
    <x v="2"/>
    <x v="3"/>
    <s v="FIN_TAMP"/>
    <x v="3"/>
    <x v="126"/>
    <x v="0"/>
    <x v="21"/>
    <n v="527.12768221600595"/>
    <n v="192401.604008842"/>
    <n v="692645.77443183202"/>
  </r>
  <r>
    <x v="0"/>
    <x v="0"/>
    <x v="0"/>
    <x v="2"/>
    <x v="3"/>
    <s v="FIN_TAMP"/>
    <x v="3"/>
    <x v="126"/>
    <x v="0"/>
    <x v="22"/>
    <n v="496.028873909156"/>
    <n v="181050.53897684201"/>
    <n v="651781.94031663099"/>
  </r>
  <r>
    <x v="0"/>
    <x v="0"/>
    <x v="0"/>
    <x v="2"/>
    <x v="3"/>
    <s v="FIN_TAMP"/>
    <x v="3"/>
    <x v="126"/>
    <x v="0"/>
    <x v="23"/>
    <n v="466.93842359393"/>
    <n v="170432.52461178499"/>
    <n v="613557.08860242402"/>
  </r>
  <r>
    <x v="0"/>
    <x v="0"/>
    <x v="0"/>
    <x v="2"/>
    <x v="3"/>
    <s v="FIN_TAMP"/>
    <x v="15"/>
    <x v="117"/>
    <x v="0"/>
    <x v="0"/>
    <n v="25.882352941176499"/>
    <n v="9447.0588235294108"/>
    <n v="34009.411764705903"/>
  </r>
  <r>
    <x v="0"/>
    <x v="0"/>
    <x v="0"/>
    <x v="2"/>
    <x v="3"/>
    <s v="FIN_TAMP"/>
    <x v="15"/>
    <x v="117"/>
    <x v="0"/>
    <x v="1"/>
    <n v="25.882352941176499"/>
    <n v="9447.0588235294108"/>
    <n v="34009.411764705903"/>
  </r>
  <r>
    <x v="0"/>
    <x v="0"/>
    <x v="0"/>
    <x v="2"/>
    <x v="3"/>
    <s v="FIN_TAMP"/>
    <x v="15"/>
    <x v="117"/>
    <x v="0"/>
    <x v="2"/>
    <n v="25.882352941176499"/>
    <n v="9447.0588235294108"/>
    <n v="34009.411764705903"/>
  </r>
  <r>
    <x v="0"/>
    <x v="0"/>
    <x v="0"/>
    <x v="2"/>
    <x v="3"/>
    <s v="FIN_TAMP"/>
    <x v="15"/>
    <x v="117"/>
    <x v="0"/>
    <x v="3"/>
    <n v="25.882352941176499"/>
    <n v="9447.0588235294108"/>
    <n v="34009.411764705903"/>
  </r>
  <r>
    <x v="0"/>
    <x v="0"/>
    <x v="0"/>
    <x v="2"/>
    <x v="3"/>
    <s v="FIN_TAMP"/>
    <x v="15"/>
    <x v="117"/>
    <x v="0"/>
    <x v="4"/>
    <n v="25.882352941176499"/>
    <n v="9447.0588235294108"/>
    <n v="34009.411764705903"/>
  </r>
  <r>
    <x v="0"/>
    <x v="0"/>
    <x v="0"/>
    <x v="2"/>
    <x v="3"/>
    <s v="FIN_TAMP"/>
    <x v="15"/>
    <x v="117"/>
    <x v="0"/>
    <x v="5"/>
    <n v="25.882352941176499"/>
    <n v="9447.0588235294108"/>
    <n v="34009.411764705903"/>
  </r>
  <r>
    <x v="0"/>
    <x v="0"/>
    <x v="0"/>
    <x v="2"/>
    <x v="3"/>
    <s v="FIN_TAMP"/>
    <x v="15"/>
    <x v="117"/>
    <x v="0"/>
    <x v="6"/>
    <n v="25.882352941176499"/>
    <n v="9447.0588235294108"/>
    <n v="34009.411764705903"/>
  </r>
  <r>
    <x v="0"/>
    <x v="0"/>
    <x v="0"/>
    <x v="2"/>
    <x v="3"/>
    <s v="FIN_TAMP"/>
    <x v="15"/>
    <x v="117"/>
    <x v="0"/>
    <x v="7"/>
    <n v="25.882352941176499"/>
    <n v="9447.0588235294108"/>
    <n v="34009.411764705903"/>
  </r>
  <r>
    <x v="0"/>
    <x v="0"/>
    <x v="0"/>
    <x v="2"/>
    <x v="3"/>
    <s v="FIN_TAMP"/>
    <x v="15"/>
    <x v="117"/>
    <x v="0"/>
    <x v="8"/>
    <n v="25.882352941176499"/>
    <n v="9447.0588235294108"/>
    <n v="34009.411764705903"/>
  </r>
  <r>
    <x v="0"/>
    <x v="0"/>
    <x v="0"/>
    <x v="2"/>
    <x v="3"/>
    <s v="FIN_TAMP"/>
    <x v="15"/>
    <x v="117"/>
    <x v="0"/>
    <x v="9"/>
    <n v="25.882352941176499"/>
    <n v="9447.0588235294108"/>
    <n v="34009.411764705903"/>
  </r>
  <r>
    <x v="0"/>
    <x v="0"/>
    <x v="0"/>
    <x v="2"/>
    <x v="3"/>
    <s v="FIN_TAMP"/>
    <x v="15"/>
    <x v="117"/>
    <x v="0"/>
    <x v="10"/>
    <n v="25.882352941176499"/>
    <n v="9447.0588235294108"/>
    <n v="34009.411764705903"/>
  </r>
  <r>
    <x v="0"/>
    <x v="0"/>
    <x v="0"/>
    <x v="2"/>
    <x v="3"/>
    <s v="FIN_TAMP"/>
    <x v="15"/>
    <x v="117"/>
    <x v="0"/>
    <x v="11"/>
    <n v="25.882352941176499"/>
    <n v="9447.0588235294108"/>
    <n v="34009.411764705903"/>
  </r>
  <r>
    <x v="0"/>
    <x v="0"/>
    <x v="0"/>
    <x v="2"/>
    <x v="3"/>
    <s v="FIN_TAMP"/>
    <x v="15"/>
    <x v="117"/>
    <x v="0"/>
    <x v="12"/>
    <n v="25.882352941176499"/>
    <n v="9447.0588235294108"/>
    <n v="34009.411764705903"/>
  </r>
  <r>
    <x v="0"/>
    <x v="0"/>
    <x v="0"/>
    <x v="2"/>
    <x v="3"/>
    <s v="FIN_TAMP"/>
    <x v="15"/>
    <x v="117"/>
    <x v="0"/>
    <x v="13"/>
    <n v="25.882352941176499"/>
    <n v="9447.0588235294108"/>
    <n v="34009.411764705903"/>
  </r>
  <r>
    <x v="0"/>
    <x v="0"/>
    <x v="0"/>
    <x v="2"/>
    <x v="3"/>
    <s v="FIN_TAMP"/>
    <x v="15"/>
    <x v="117"/>
    <x v="0"/>
    <x v="14"/>
    <n v="25.882352941176499"/>
    <n v="9447.0588235294108"/>
    <n v="34009.411764705903"/>
  </r>
  <r>
    <x v="0"/>
    <x v="0"/>
    <x v="0"/>
    <x v="2"/>
    <x v="3"/>
    <s v="FIN_TAMP"/>
    <x v="15"/>
    <x v="117"/>
    <x v="0"/>
    <x v="15"/>
    <n v="25.882352941176499"/>
    <n v="9447.0588235294108"/>
    <n v="34009.411764705903"/>
  </r>
  <r>
    <x v="0"/>
    <x v="0"/>
    <x v="0"/>
    <x v="2"/>
    <x v="3"/>
    <s v="FIN_TAMP"/>
    <x v="15"/>
    <x v="117"/>
    <x v="0"/>
    <x v="16"/>
    <n v="25.882352941176499"/>
    <n v="9447.0588235294108"/>
    <n v="34009.411764705903"/>
  </r>
  <r>
    <x v="0"/>
    <x v="0"/>
    <x v="0"/>
    <x v="2"/>
    <x v="3"/>
    <s v="FIN_TAMP"/>
    <x v="15"/>
    <x v="117"/>
    <x v="0"/>
    <x v="17"/>
    <n v="25.882352941176499"/>
    <n v="9447.0588235294108"/>
    <n v="34009.411764705903"/>
  </r>
  <r>
    <x v="0"/>
    <x v="0"/>
    <x v="0"/>
    <x v="2"/>
    <x v="3"/>
    <s v="FIN_TAMP"/>
    <x v="15"/>
    <x v="117"/>
    <x v="0"/>
    <x v="18"/>
    <n v="25.882352941176499"/>
    <n v="9447.0588235294108"/>
    <n v="34009.411764705903"/>
  </r>
  <r>
    <x v="0"/>
    <x v="0"/>
    <x v="0"/>
    <x v="2"/>
    <x v="3"/>
    <s v="FIN_TAMP"/>
    <x v="15"/>
    <x v="117"/>
    <x v="0"/>
    <x v="19"/>
    <n v="25.882352941176499"/>
    <n v="9447.0588235294108"/>
    <n v="34009.411764705903"/>
  </r>
  <r>
    <x v="0"/>
    <x v="0"/>
    <x v="0"/>
    <x v="2"/>
    <x v="3"/>
    <s v="FIN_TAMP"/>
    <x v="15"/>
    <x v="117"/>
    <x v="0"/>
    <x v="20"/>
    <n v="25.882352941176499"/>
    <n v="9447.0588235294108"/>
    <n v="34009.411764705903"/>
  </r>
  <r>
    <x v="0"/>
    <x v="0"/>
    <x v="0"/>
    <x v="2"/>
    <x v="3"/>
    <s v="FIN_TAMP"/>
    <x v="15"/>
    <x v="117"/>
    <x v="0"/>
    <x v="21"/>
    <n v="25.882352941176499"/>
    <n v="9447.0588235294108"/>
    <n v="34009.411764705903"/>
  </r>
  <r>
    <x v="0"/>
    <x v="0"/>
    <x v="0"/>
    <x v="2"/>
    <x v="3"/>
    <s v="FIN_TAMP"/>
    <x v="15"/>
    <x v="117"/>
    <x v="0"/>
    <x v="22"/>
    <n v="25.882352941176499"/>
    <n v="9447.0588235294108"/>
    <n v="34009.411764705903"/>
  </r>
  <r>
    <x v="0"/>
    <x v="0"/>
    <x v="0"/>
    <x v="2"/>
    <x v="3"/>
    <s v="FIN_TAMP"/>
    <x v="15"/>
    <x v="117"/>
    <x v="0"/>
    <x v="23"/>
    <n v="25.882352941176499"/>
    <n v="9447.0588235294108"/>
    <n v="34009.411764705903"/>
  </r>
  <r>
    <x v="0"/>
    <x v="0"/>
    <x v="0"/>
    <x v="2"/>
    <x v="3"/>
    <s v="FinA"/>
    <x v="16"/>
    <x v="127"/>
    <x v="0"/>
    <x v="0"/>
    <n v="8284.8960000000006"/>
    <n v="3023987.04"/>
    <n v="10886353.344000001"/>
  </r>
  <r>
    <x v="0"/>
    <x v="0"/>
    <x v="0"/>
    <x v="2"/>
    <x v="3"/>
    <s v="FinA"/>
    <x v="16"/>
    <x v="127"/>
    <x v="0"/>
    <x v="1"/>
    <n v="8284.8960000000006"/>
    <n v="3023987.04"/>
    <n v="10886353.344000001"/>
  </r>
  <r>
    <x v="0"/>
    <x v="0"/>
    <x v="0"/>
    <x v="2"/>
    <x v="3"/>
    <s v="FinA"/>
    <x v="16"/>
    <x v="127"/>
    <x v="0"/>
    <x v="2"/>
    <n v="8284.8960000000006"/>
    <n v="3023987.04"/>
    <n v="10886353.344000001"/>
  </r>
  <r>
    <x v="0"/>
    <x v="0"/>
    <x v="0"/>
    <x v="2"/>
    <x v="3"/>
    <s v="FinA"/>
    <x v="16"/>
    <x v="127"/>
    <x v="0"/>
    <x v="3"/>
    <n v="8284.8960000000006"/>
    <n v="3023987.04"/>
    <n v="10886353.344000001"/>
  </r>
  <r>
    <x v="0"/>
    <x v="0"/>
    <x v="0"/>
    <x v="2"/>
    <x v="3"/>
    <s v="FinA"/>
    <x v="16"/>
    <x v="127"/>
    <x v="0"/>
    <x v="4"/>
    <n v="8284.8960000000006"/>
    <n v="3023987.04"/>
    <n v="10886353.344000001"/>
  </r>
  <r>
    <x v="0"/>
    <x v="0"/>
    <x v="0"/>
    <x v="2"/>
    <x v="3"/>
    <s v="FinA"/>
    <x v="16"/>
    <x v="127"/>
    <x v="0"/>
    <x v="5"/>
    <n v="8284.8960000000006"/>
    <n v="3023987.04"/>
    <n v="10886353.344000001"/>
  </r>
  <r>
    <x v="0"/>
    <x v="0"/>
    <x v="0"/>
    <x v="2"/>
    <x v="3"/>
    <s v="FinA"/>
    <x v="16"/>
    <x v="127"/>
    <x v="0"/>
    <x v="6"/>
    <n v="8284.8960000000006"/>
    <n v="3023987.04"/>
    <n v="10886353.344000001"/>
  </r>
  <r>
    <x v="0"/>
    <x v="0"/>
    <x v="0"/>
    <x v="2"/>
    <x v="3"/>
    <s v="FinA"/>
    <x v="16"/>
    <x v="127"/>
    <x v="0"/>
    <x v="7"/>
    <n v="8284.8960000000006"/>
    <n v="3023987.04"/>
    <n v="10886353.344000001"/>
  </r>
  <r>
    <x v="0"/>
    <x v="0"/>
    <x v="0"/>
    <x v="2"/>
    <x v="3"/>
    <s v="FinA"/>
    <x v="16"/>
    <x v="127"/>
    <x v="0"/>
    <x v="8"/>
    <n v="8284.8960000000006"/>
    <n v="3023987.04"/>
    <n v="10886353.344000001"/>
  </r>
  <r>
    <x v="0"/>
    <x v="0"/>
    <x v="0"/>
    <x v="2"/>
    <x v="3"/>
    <s v="FinA"/>
    <x v="16"/>
    <x v="127"/>
    <x v="0"/>
    <x v="9"/>
    <n v="8284.8960000000006"/>
    <n v="3023987.04"/>
    <n v="10886353.344000001"/>
  </r>
  <r>
    <x v="0"/>
    <x v="0"/>
    <x v="0"/>
    <x v="2"/>
    <x v="3"/>
    <s v="FinA"/>
    <x v="16"/>
    <x v="127"/>
    <x v="0"/>
    <x v="10"/>
    <n v="8284.8960000000006"/>
    <n v="3023987.04"/>
    <n v="10886353.344000001"/>
  </r>
  <r>
    <x v="0"/>
    <x v="0"/>
    <x v="0"/>
    <x v="2"/>
    <x v="3"/>
    <s v="FinA"/>
    <x v="16"/>
    <x v="127"/>
    <x v="0"/>
    <x v="11"/>
    <n v="8284.8960000000006"/>
    <n v="3023987.04"/>
    <n v="10886353.344000001"/>
  </r>
  <r>
    <x v="0"/>
    <x v="0"/>
    <x v="0"/>
    <x v="2"/>
    <x v="3"/>
    <s v="FinA"/>
    <x v="16"/>
    <x v="127"/>
    <x v="0"/>
    <x v="12"/>
    <n v="8284.8960000000006"/>
    <n v="3023987.04"/>
    <n v="10886353.344000001"/>
  </r>
  <r>
    <x v="0"/>
    <x v="0"/>
    <x v="0"/>
    <x v="2"/>
    <x v="3"/>
    <s v="FinA"/>
    <x v="16"/>
    <x v="127"/>
    <x v="0"/>
    <x v="13"/>
    <n v="8284.8960000000006"/>
    <n v="3023987.04"/>
    <n v="10886353.344000001"/>
  </r>
  <r>
    <x v="0"/>
    <x v="0"/>
    <x v="0"/>
    <x v="2"/>
    <x v="3"/>
    <s v="FinA"/>
    <x v="16"/>
    <x v="127"/>
    <x v="0"/>
    <x v="14"/>
    <n v="8284.8960000000006"/>
    <n v="3023987.04"/>
    <n v="10886353.344000001"/>
  </r>
  <r>
    <x v="0"/>
    <x v="0"/>
    <x v="0"/>
    <x v="2"/>
    <x v="3"/>
    <s v="FinA"/>
    <x v="16"/>
    <x v="127"/>
    <x v="0"/>
    <x v="15"/>
    <n v="8284.8960000000006"/>
    <n v="3023987.04"/>
    <n v="10886353.344000001"/>
  </r>
  <r>
    <x v="0"/>
    <x v="0"/>
    <x v="0"/>
    <x v="2"/>
    <x v="3"/>
    <s v="FinA"/>
    <x v="16"/>
    <x v="127"/>
    <x v="0"/>
    <x v="16"/>
    <n v="8284.8960000000006"/>
    <n v="3023987.04"/>
    <n v="10886353.344000001"/>
  </r>
  <r>
    <x v="0"/>
    <x v="0"/>
    <x v="0"/>
    <x v="2"/>
    <x v="3"/>
    <s v="FinA"/>
    <x v="16"/>
    <x v="127"/>
    <x v="0"/>
    <x v="17"/>
    <n v="8284.8960000000006"/>
    <n v="3023987.04"/>
    <n v="10886353.344000001"/>
  </r>
  <r>
    <x v="0"/>
    <x v="0"/>
    <x v="0"/>
    <x v="2"/>
    <x v="3"/>
    <s v="FinA"/>
    <x v="16"/>
    <x v="127"/>
    <x v="0"/>
    <x v="18"/>
    <n v="8284.8960000000006"/>
    <n v="3023987.04"/>
    <n v="10886353.344000001"/>
  </r>
  <r>
    <x v="0"/>
    <x v="0"/>
    <x v="0"/>
    <x v="2"/>
    <x v="3"/>
    <s v="FinA"/>
    <x v="16"/>
    <x v="127"/>
    <x v="0"/>
    <x v="19"/>
    <n v="8284.8960000000006"/>
    <n v="3023987.04"/>
    <n v="10886353.344000001"/>
  </r>
  <r>
    <x v="0"/>
    <x v="0"/>
    <x v="0"/>
    <x v="2"/>
    <x v="3"/>
    <s v="FinA"/>
    <x v="16"/>
    <x v="127"/>
    <x v="0"/>
    <x v="20"/>
    <n v="8284.8960000000006"/>
    <n v="3023987.04"/>
    <n v="10886353.344000001"/>
  </r>
  <r>
    <x v="0"/>
    <x v="0"/>
    <x v="0"/>
    <x v="2"/>
    <x v="3"/>
    <s v="FinA"/>
    <x v="16"/>
    <x v="127"/>
    <x v="0"/>
    <x v="21"/>
    <n v="8284.8960000000006"/>
    <n v="3023987.04"/>
    <n v="10886353.344000001"/>
  </r>
  <r>
    <x v="0"/>
    <x v="0"/>
    <x v="0"/>
    <x v="2"/>
    <x v="3"/>
    <s v="FinA"/>
    <x v="16"/>
    <x v="127"/>
    <x v="0"/>
    <x v="22"/>
    <n v="8284.8960000000006"/>
    <n v="3023987.04"/>
    <n v="10886353.344000001"/>
  </r>
  <r>
    <x v="0"/>
    <x v="0"/>
    <x v="0"/>
    <x v="2"/>
    <x v="3"/>
    <s v="FinA"/>
    <x v="16"/>
    <x v="127"/>
    <x v="0"/>
    <x v="23"/>
    <n v="8284.8960000000006"/>
    <n v="3023987.04"/>
    <n v="10886353.344000001"/>
  </r>
  <r>
    <x v="0"/>
    <x v="0"/>
    <x v="0"/>
    <x v="2"/>
    <x v="3"/>
    <s v="FinA"/>
    <x v="9"/>
    <x v="128"/>
    <x v="0"/>
    <x v="4"/>
    <n v="31.114513775632101"/>
    <n v="11356.797528105701"/>
    <n v="40884.471101180497"/>
  </r>
  <r>
    <x v="0"/>
    <x v="0"/>
    <x v="0"/>
    <x v="2"/>
    <x v="3"/>
    <s v="FinA"/>
    <x v="9"/>
    <x v="128"/>
    <x v="0"/>
    <x v="5"/>
    <n v="156.94999999999999"/>
    <n v="57286.75"/>
    <n v="206232.3"/>
  </r>
  <r>
    <x v="0"/>
    <x v="0"/>
    <x v="0"/>
    <x v="2"/>
    <x v="3"/>
    <s v="FinA"/>
    <x v="9"/>
    <x v="128"/>
    <x v="0"/>
    <x v="6"/>
    <n v="156.94999999999999"/>
    <n v="57286.75"/>
    <n v="206232.3"/>
  </r>
  <r>
    <x v="0"/>
    <x v="0"/>
    <x v="0"/>
    <x v="2"/>
    <x v="3"/>
    <s v="FinA"/>
    <x v="9"/>
    <x v="128"/>
    <x v="0"/>
    <x v="7"/>
    <n v="156.94999999999999"/>
    <n v="57286.75"/>
    <n v="206232.3"/>
  </r>
  <r>
    <x v="0"/>
    <x v="0"/>
    <x v="0"/>
    <x v="2"/>
    <x v="3"/>
    <s v="FinA"/>
    <x v="9"/>
    <x v="128"/>
    <x v="0"/>
    <x v="8"/>
    <n v="156.94999999999999"/>
    <n v="57286.75"/>
    <n v="206232.3"/>
  </r>
  <r>
    <x v="0"/>
    <x v="0"/>
    <x v="0"/>
    <x v="2"/>
    <x v="3"/>
    <s v="FinA"/>
    <x v="9"/>
    <x v="128"/>
    <x v="0"/>
    <x v="9"/>
    <n v="156.94999999999999"/>
    <n v="57286.75"/>
    <n v="206232.3"/>
  </r>
  <r>
    <x v="0"/>
    <x v="0"/>
    <x v="0"/>
    <x v="2"/>
    <x v="3"/>
    <s v="FinA"/>
    <x v="9"/>
    <x v="128"/>
    <x v="0"/>
    <x v="10"/>
    <n v="156.94999999999999"/>
    <n v="57286.75"/>
    <n v="206232.3"/>
  </r>
  <r>
    <x v="0"/>
    <x v="0"/>
    <x v="0"/>
    <x v="2"/>
    <x v="3"/>
    <s v="FinA"/>
    <x v="9"/>
    <x v="128"/>
    <x v="0"/>
    <x v="11"/>
    <n v="156.94999999999999"/>
    <n v="57286.75"/>
    <n v="206232.3"/>
  </r>
  <r>
    <x v="0"/>
    <x v="0"/>
    <x v="0"/>
    <x v="2"/>
    <x v="3"/>
    <s v="FinA"/>
    <x v="9"/>
    <x v="128"/>
    <x v="0"/>
    <x v="12"/>
    <n v="156.94999999999999"/>
    <n v="57286.75"/>
    <n v="206232.3"/>
  </r>
  <r>
    <x v="0"/>
    <x v="0"/>
    <x v="0"/>
    <x v="2"/>
    <x v="3"/>
    <s v="FinA"/>
    <x v="9"/>
    <x v="128"/>
    <x v="0"/>
    <x v="13"/>
    <n v="156.94999999999999"/>
    <n v="57286.75"/>
    <n v="206232.3"/>
  </r>
  <r>
    <x v="0"/>
    <x v="0"/>
    <x v="0"/>
    <x v="2"/>
    <x v="3"/>
    <s v="FinA"/>
    <x v="9"/>
    <x v="128"/>
    <x v="0"/>
    <x v="14"/>
    <n v="156.94999999999999"/>
    <n v="57286.75"/>
    <n v="206232.3"/>
  </r>
  <r>
    <x v="0"/>
    <x v="0"/>
    <x v="0"/>
    <x v="2"/>
    <x v="3"/>
    <s v="FinA"/>
    <x v="9"/>
    <x v="128"/>
    <x v="0"/>
    <x v="15"/>
    <n v="156.94999999999999"/>
    <n v="57286.75"/>
    <n v="206232.3"/>
  </r>
  <r>
    <x v="0"/>
    <x v="0"/>
    <x v="0"/>
    <x v="2"/>
    <x v="3"/>
    <s v="FinA"/>
    <x v="9"/>
    <x v="128"/>
    <x v="0"/>
    <x v="16"/>
    <n v="156.94999999999999"/>
    <n v="57286.75"/>
    <n v="206232.3"/>
  </r>
  <r>
    <x v="0"/>
    <x v="0"/>
    <x v="0"/>
    <x v="2"/>
    <x v="3"/>
    <s v="FinA"/>
    <x v="9"/>
    <x v="128"/>
    <x v="0"/>
    <x v="17"/>
    <n v="156.94999999999999"/>
    <n v="57286.75"/>
    <n v="206232.3"/>
  </r>
  <r>
    <x v="0"/>
    <x v="0"/>
    <x v="0"/>
    <x v="2"/>
    <x v="3"/>
    <s v="FinA"/>
    <x v="9"/>
    <x v="128"/>
    <x v="0"/>
    <x v="18"/>
    <n v="156.94999999999999"/>
    <n v="57286.75"/>
    <n v="206232.3"/>
  </r>
  <r>
    <x v="0"/>
    <x v="0"/>
    <x v="0"/>
    <x v="2"/>
    <x v="3"/>
    <s v="FinA"/>
    <x v="9"/>
    <x v="128"/>
    <x v="0"/>
    <x v="19"/>
    <n v="156.94999999999999"/>
    <n v="57286.75"/>
    <n v="206232.3"/>
  </r>
  <r>
    <x v="0"/>
    <x v="0"/>
    <x v="0"/>
    <x v="2"/>
    <x v="3"/>
    <s v="FinA"/>
    <x v="9"/>
    <x v="128"/>
    <x v="0"/>
    <x v="20"/>
    <n v="156.94999999999999"/>
    <n v="57286.75"/>
    <n v="206232.3"/>
  </r>
  <r>
    <x v="0"/>
    <x v="0"/>
    <x v="0"/>
    <x v="2"/>
    <x v="3"/>
    <s v="FinA"/>
    <x v="9"/>
    <x v="128"/>
    <x v="0"/>
    <x v="21"/>
    <n v="156.94999999999999"/>
    <n v="57286.75"/>
    <n v="206232.3"/>
  </r>
  <r>
    <x v="0"/>
    <x v="0"/>
    <x v="0"/>
    <x v="2"/>
    <x v="3"/>
    <s v="FinA"/>
    <x v="9"/>
    <x v="128"/>
    <x v="0"/>
    <x v="22"/>
    <n v="156.94999999999999"/>
    <n v="57286.75"/>
    <n v="206232.3"/>
  </r>
  <r>
    <x v="0"/>
    <x v="0"/>
    <x v="0"/>
    <x v="2"/>
    <x v="3"/>
    <s v="FinA"/>
    <x v="9"/>
    <x v="128"/>
    <x v="0"/>
    <x v="23"/>
    <n v="156.94999999999999"/>
    <n v="57286.75"/>
    <n v="206232.3"/>
  </r>
  <r>
    <x v="0"/>
    <x v="0"/>
    <x v="0"/>
    <x v="2"/>
    <x v="3"/>
    <s v="FinA"/>
    <x v="9"/>
    <x v="129"/>
    <x v="0"/>
    <x v="5"/>
    <n v="156.94999999999999"/>
    <n v="57286.75"/>
    <n v="206232.3"/>
  </r>
  <r>
    <x v="0"/>
    <x v="0"/>
    <x v="0"/>
    <x v="2"/>
    <x v="3"/>
    <s v="FinA"/>
    <x v="9"/>
    <x v="129"/>
    <x v="0"/>
    <x v="6"/>
    <n v="156.94999999999999"/>
    <n v="57286.75"/>
    <n v="206232.3"/>
  </r>
  <r>
    <x v="0"/>
    <x v="0"/>
    <x v="0"/>
    <x v="2"/>
    <x v="3"/>
    <s v="FinA"/>
    <x v="9"/>
    <x v="129"/>
    <x v="0"/>
    <x v="7"/>
    <n v="156.94999999999999"/>
    <n v="57286.75"/>
    <n v="206232.3"/>
  </r>
  <r>
    <x v="0"/>
    <x v="0"/>
    <x v="0"/>
    <x v="2"/>
    <x v="3"/>
    <s v="FinA"/>
    <x v="9"/>
    <x v="129"/>
    <x v="0"/>
    <x v="8"/>
    <n v="156.94999999999999"/>
    <n v="57286.75"/>
    <n v="206232.3"/>
  </r>
  <r>
    <x v="0"/>
    <x v="0"/>
    <x v="0"/>
    <x v="2"/>
    <x v="3"/>
    <s v="FinA"/>
    <x v="9"/>
    <x v="129"/>
    <x v="0"/>
    <x v="9"/>
    <n v="156.94999999999999"/>
    <n v="57286.75"/>
    <n v="206232.3"/>
  </r>
  <r>
    <x v="0"/>
    <x v="0"/>
    <x v="0"/>
    <x v="2"/>
    <x v="3"/>
    <s v="FinA"/>
    <x v="9"/>
    <x v="129"/>
    <x v="0"/>
    <x v="10"/>
    <n v="156.94999999999999"/>
    <n v="57286.75"/>
    <n v="206232.3"/>
  </r>
  <r>
    <x v="0"/>
    <x v="0"/>
    <x v="0"/>
    <x v="2"/>
    <x v="3"/>
    <s v="FinA"/>
    <x v="9"/>
    <x v="129"/>
    <x v="0"/>
    <x v="11"/>
    <n v="156.94999999999999"/>
    <n v="57286.75"/>
    <n v="206232.3"/>
  </r>
  <r>
    <x v="0"/>
    <x v="0"/>
    <x v="0"/>
    <x v="2"/>
    <x v="3"/>
    <s v="FinA"/>
    <x v="9"/>
    <x v="129"/>
    <x v="0"/>
    <x v="12"/>
    <n v="156.94999999999999"/>
    <n v="57286.75"/>
    <n v="206232.3"/>
  </r>
  <r>
    <x v="0"/>
    <x v="0"/>
    <x v="0"/>
    <x v="2"/>
    <x v="3"/>
    <s v="FinA"/>
    <x v="9"/>
    <x v="129"/>
    <x v="0"/>
    <x v="13"/>
    <n v="156.94999999999999"/>
    <n v="57286.75"/>
    <n v="206232.3"/>
  </r>
  <r>
    <x v="0"/>
    <x v="0"/>
    <x v="0"/>
    <x v="2"/>
    <x v="3"/>
    <s v="FinA"/>
    <x v="9"/>
    <x v="129"/>
    <x v="0"/>
    <x v="14"/>
    <n v="156.94999999999999"/>
    <n v="57286.75"/>
    <n v="206232.3"/>
  </r>
  <r>
    <x v="0"/>
    <x v="0"/>
    <x v="0"/>
    <x v="2"/>
    <x v="3"/>
    <s v="FinA"/>
    <x v="9"/>
    <x v="129"/>
    <x v="0"/>
    <x v="15"/>
    <n v="156.94999999999999"/>
    <n v="57286.75"/>
    <n v="206232.3"/>
  </r>
  <r>
    <x v="0"/>
    <x v="0"/>
    <x v="0"/>
    <x v="2"/>
    <x v="3"/>
    <s v="FinA"/>
    <x v="9"/>
    <x v="129"/>
    <x v="0"/>
    <x v="16"/>
    <n v="156.94999999999999"/>
    <n v="57286.75"/>
    <n v="206232.3"/>
  </r>
  <r>
    <x v="0"/>
    <x v="0"/>
    <x v="0"/>
    <x v="2"/>
    <x v="3"/>
    <s v="FinA"/>
    <x v="9"/>
    <x v="129"/>
    <x v="0"/>
    <x v="17"/>
    <n v="156.94999999999999"/>
    <n v="57286.75"/>
    <n v="206232.3"/>
  </r>
  <r>
    <x v="0"/>
    <x v="0"/>
    <x v="0"/>
    <x v="2"/>
    <x v="3"/>
    <s v="FinA"/>
    <x v="9"/>
    <x v="129"/>
    <x v="0"/>
    <x v="18"/>
    <n v="156.94999999999999"/>
    <n v="57286.75"/>
    <n v="206232.3"/>
  </r>
  <r>
    <x v="0"/>
    <x v="0"/>
    <x v="0"/>
    <x v="2"/>
    <x v="3"/>
    <s v="FinA"/>
    <x v="9"/>
    <x v="129"/>
    <x v="0"/>
    <x v="19"/>
    <n v="156.94999999999999"/>
    <n v="57286.75"/>
    <n v="206232.3"/>
  </r>
  <r>
    <x v="0"/>
    <x v="0"/>
    <x v="0"/>
    <x v="2"/>
    <x v="3"/>
    <s v="FinA"/>
    <x v="9"/>
    <x v="129"/>
    <x v="0"/>
    <x v="20"/>
    <n v="156.94999999999999"/>
    <n v="57286.75"/>
    <n v="206232.3"/>
  </r>
  <r>
    <x v="0"/>
    <x v="0"/>
    <x v="0"/>
    <x v="2"/>
    <x v="3"/>
    <s v="FinA"/>
    <x v="9"/>
    <x v="129"/>
    <x v="0"/>
    <x v="21"/>
    <n v="156.94999999999999"/>
    <n v="57286.75"/>
    <n v="206232.3"/>
  </r>
  <r>
    <x v="0"/>
    <x v="0"/>
    <x v="0"/>
    <x v="2"/>
    <x v="3"/>
    <s v="FinA"/>
    <x v="9"/>
    <x v="129"/>
    <x v="0"/>
    <x v="22"/>
    <n v="156.94999999999999"/>
    <n v="57286.75"/>
    <n v="206232.3"/>
  </r>
  <r>
    <x v="0"/>
    <x v="0"/>
    <x v="0"/>
    <x v="2"/>
    <x v="3"/>
    <s v="FinA"/>
    <x v="9"/>
    <x v="129"/>
    <x v="0"/>
    <x v="23"/>
    <n v="37.422947923728799"/>
    <n v="13659.375992161"/>
    <n v="49173.753571779598"/>
  </r>
  <r>
    <x v="0"/>
    <x v="0"/>
    <x v="0"/>
    <x v="2"/>
    <x v="3"/>
    <s v="FinA"/>
    <x v="9"/>
    <x v="130"/>
    <x v="0"/>
    <x v="5"/>
    <n v="156.94999999999999"/>
    <n v="57286.75"/>
    <n v="206232.3"/>
  </r>
  <r>
    <x v="0"/>
    <x v="0"/>
    <x v="0"/>
    <x v="2"/>
    <x v="3"/>
    <s v="FinA"/>
    <x v="9"/>
    <x v="130"/>
    <x v="0"/>
    <x v="6"/>
    <n v="156.94999999999999"/>
    <n v="57286.75"/>
    <n v="206232.3"/>
  </r>
  <r>
    <x v="0"/>
    <x v="0"/>
    <x v="0"/>
    <x v="2"/>
    <x v="3"/>
    <s v="FinA"/>
    <x v="9"/>
    <x v="130"/>
    <x v="0"/>
    <x v="7"/>
    <n v="156.94999999999999"/>
    <n v="57286.75"/>
    <n v="206232.3"/>
  </r>
  <r>
    <x v="0"/>
    <x v="0"/>
    <x v="0"/>
    <x v="2"/>
    <x v="3"/>
    <s v="FinA"/>
    <x v="9"/>
    <x v="130"/>
    <x v="0"/>
    <x v="8"/>
    <n v="156.94999999999999"/>
    <n v="57286.75"/>
    <n v="206232.3"/>
  </r>
  <r>
    <x v="0"/>
    <x v="0"/>
    <x v="0"/>
    <x v="2"/>
    <x v="3"/>
    <s v="FinA"/>
    <x v="9"/>
    <x v="130"/>
    <x v="0"/>
    <x v="9"/>
    <n v="156.94999999999999"/>
    <n v="57286.75"/>
    <n v="206232.3"/>
  </r>
  <r>
    <x v="0"/>
    <x v="0"/>
    <x v="0"/>
    <x v="2"/>
    <x v="3"/>
    <s v="FinA"/>
    <x v="9"/>
    <x v="130"/>
    <x v="0"/>
    <x v="10"/>
    <n v="156.94999999999999"/>
    <n v="57286.75"/>
    <n v="206232.3"/>
  </r>
  <r>
    <x v="0"/>
    <x v="0"/>
    <x v="0"/>
    <x v="2"/>
    <x v="3"/>
    <s v="FinA"/>
    <x v="9"/>
    <x v="130"/>
    <x v="0"/>
    <x v="11"/>
    <n v="156.94999999999999"/>
    <n v="57286.75"/>
    <n v="206232.3"/>
  </r>
  <r>
    <x v="0"/>
    <x v="0"/>
    <x v="0"/>
    <x v="2"/>
    <x v="3"/>
    <s v="FinA"/>
    <x v="9"/>
    <x v="130"/>
    <x v="0"/>
    <x v="12"/>
    <n v="156.94999999999999"/>
    <n v="57286.75"/>
    <n v="206232.3"/>
  </r>
  <r>
    <x v="0"/>
    <x v="0"/>
    <x v="0"/>
    <x v="2"/>
    <x v="3"/>
    <s v="FinA"/>
    <x v="9"/>
    <x v="130"/>
    <x v="0"/>
    <x v="13"/>
    <n v="156.94999999999999"/>
    <n v="57286.75"/>
    <n v="206232.3"/>
  </r>
  <r>
    <x v="0"/>
    <x v="0"/>
    <x v="0"/>
    <x v="2"/>
    <x v="3"/>
    <s v="FinA"/>
    <x v="9"/>
    <x v="130"/>
    <x v="0"/>
    <x v="14"/>
    <n v="156.94999999999999"/>
    <n v="57286.75"/>
    <n v="206232.3"/>
  </r>
  <r>
    <x v="0"/>
    <x v="0"/>
    <x v="0"/>
    <x v="2"/>
    <x v="3"/>
    <s v="FinA"/>
    <x v="9"/>
    <x v="130"/>
    <x v="0"/>
    <x v="15"/>
    <n v="156.94999999999999"/>
    <n v="57286.75"/>
    <n v="206232.3"/>
  </r>
  <r>
    <x v="0"/>
    <x v="0"/>
    <x v="0"/>
    <x v="2"/>
    <x v="3"/>
    <s v="FinA"/>
    <x v="9"/>
    <x v="130"/>
    <x v="0"/>
    <x v="16"/>
    <n v="156.94999999999999"/>
    <n v="57286.75"/>
    <n v="206232.3"/>
  </r>
  <r>
    <x v="0"/>
    <x v="0"/>
    <x v="0"/>
    <x v="2"/>
    <x v="3"/>
    <s v="FinA"/>
    <x v="9"/>
    <x v="130"/>
    <x v="0"/>
    <x v="17"/>
    <n v="156.94999999999999"/>
    <n v="57286.75"/>
    <n v="206232.3"/>
  </r>
  <r>
    <x v="0"/>
    <x v="0"/>
    <x v="0"/>
    <x v="2"/>
    <x v="3"/>
    <s v="FinA"/>
    <x v="9"/>
    <x v="130"/>
    <x v="0"/>
    <x v="18"/>
    <n v="156.94999999999999"/>
    <n v="57286.75"/>
    <n v="206232.3"/>
  </r>
  <r>
    <x v="0"/>
    <x v="0"/>
    <x v="0"/>
    <x v="2"/>
    <x v="3"/>
    <s v="FinA"/>
    <x v="9"/>
    <x v="130"/>
    <x v="0"/>
    <x v="19"/>
    <n v="156.94999999999999"/>
    <n v="57286.75"/>
    <n v="206232.3"/>
  </r>
  <r>
    <x v="0"/>
    <x v="0"/>
    <x v="0"/>
    <x v="2"/>
    <x v="3"/>
    <s v="FinA"/>
    <x v="9"/>
    <x v="130"/>
    <x v="0"/>
    <x v="20"/>
    <n v="156.94999999999999"/>
    <n v="57286.75"/>
    <n v="206232.3"/>
  </r>
  <r>
    <x v="0"/>
    <x v="0"/>
    <x v="0"/>
    <x v="2"/>
    <x v="3"/>
    <s v="FinA"/>
    <x v="9"/>
    <x v="130"/>
    <x v="0"/>
    <x v="21"/>
    <n v="156.94999999999999"/>
    <n v="57286.75"/>
    <n v="206232.3"/>
  </r>
  <r>
    <x v="0"/>
    <x v="0"/>
    <x v="0"/>
    <x v="2"/>
    <x v="3"/>
    <s v="FinA"/>
    <x v="9"/>
    <x v="130"/>
    <x v="0"/>
    <x v="22"/>
    <n v="156.94999999999999"/>
    <n v="57286.75"/>
    <n v="206232.3"/>
  </r>
  <r>
    <x v="0"/>
    <x v="0"/>
    <x v="0"/>
    <x v="2"/>
    <x v="3"/>
    <s v="FinA"/>
    <x v="9"/>
    <x v="131"/>
    <x v="0"/>
    <x v="5"/>
    <n v="156.94999999999999"/>
    <n v="57286.75"/>
    <n v="206232.3"/>
  </r>
  <r>
    <x v="0"/>
    <x v="0"/>
    <x v="0"/>
    <x v="2"/>
    <x v="3"/>
    <s v="FinA"/>
    <x v="9"/>
    <x v="131"/>
    <x v="0"/>
    <x v="6"/>
    <n v="156.94999999999999"/>
    <n v="57286.75"/>
    <n v="206232.3"/>
  </r>
  <r>
    <x v="0"/>
    <x v="0"/>
    <x v="0"/>
    <x v="2"/>
    <x v="3"/>
    <s v="FinA"/>
    <x v="9"/>
    <x v="131"/>
    <x v="0"/>
    <x v="7"/>
    <n v="156.94999999999999"/>
    <n v="57286.75"/>
    <n v="206232.3"/>
  </r>
  <r>
    <x v="0"/>
    <x v="0"/>
    <x v="0"/>
    <x v="2"/>
    <x v="3"/>
    <s v="FinA"/>
    <x v="9"/>
    <x v="131"/>
    <x v="0"/>
    <x v="8"/>
    <n v="156.94999999999999"/>
    <n v="57286.75"/>
    <n v="206232.3"/>
  </r>
  <r>
    <x v="0"/>
    <x v="0"/>
    <x v="0"/>
    <x v="2"/>
    <x v="3"/>
    <s v="FinA"/>
    <x v="9"/>
    <x v="131"/>
    <x v="0"/>
    <x v="9"/>
    <n v="156.94999999999999"/>
    <n v="57286.75"/>
    <n v="206232.3"/>
  </r>
  <r>
    <x v="0"/>
    <x v="0"/>
    <x v="0"/>
    <x v="2"/>
    <x v="3"/>
    <s v="FinA"/>
    <x v="9"/>
    <x v="131"/>
    <x v="0"/>
    <x v="10"/>
    <n v="156.94999999999999"/>
    <n v="57286.75"/>
    <n v="206232.3"/>
  </r>
  <r>
    <x v="0"/>
    <x v="0"/>
    <x v="0"/>
    <x v="2"/>
    <x v="3"/>
    <s v="FinA"/>
    <x v="9"/>
    <x v="131"/>
    <x v="0"/>
    <x v="11"/>
    <n v="156.94999999999999"/>
    <n v="57286.75"/>
    <n v="206232.3"/>
  </r>
  <r>
    <x v="0"/>
    <x v="0"/>
    <x v="0"/>
    <x v="2"/>
    <x v="3"/>
    <s v="FinA"/>
    <x v="9"/>
    <x v="131"/>
    <x v="0"/>
    <x v="12"/>
    <n v="156.94999999999999"/>
    <n v="57286.75"/>
    <n v="206232.3"/>
  </r>
  <r>
    <x v="0"/>
    <x v="0"/>
    <x v="0"/>
    <x v="2"/>
    <x v="3"/>
    <s v="FinA"/>
    <x v="9"/>
    <x v="131"/>
    <x v="0"/>
    <x v="13"/>
    <n v="156.94999999999999"/>
    <n v="57286.75"/>
    <n v="206232.3"/>
  </r>
  <r>
    <x v="0"/>
    <x v="0"/>
    <x v="0"/>
    <x v="2"/>
    <x v="3"/>
    <s v="FinA"/>
    <x v="9"/>
    <x v="131"/>
    <x v="0"/>
    <x v="14"/>
    <n v="156.94999999999999"/>
    <n v="57286.75"/>
    <n v="206232.3"/>
  </r>
  <r>
    <x v="0"/>
    <x v="0"/>
    <x v="0"/>
    <x v="2"/>
    <x v="3"/>
    <s v="FinA"/>
    <x v="9"/>
    <x v="131"/>
    <x v="0"/>
    <x v="15"/>
    <n v="156.94999999999999"/>
    <n v="57286.75"/>
    <n v="206232.3"/>
  </r>
  <r>
    <x v="0"/>
    <x v="0"/>
    <x v="0"/>
    <x v="2"/>
    <x v="3"/>
    <s v="FinA"/>
    <x v="9"/>
    <x v="131"/>
    <x v="0"/>
    <x v="16"/>
    <n v="156.94999999999999"/>
    <n v="57286.75"/>
    <n v="206232.3"/>
  </r>
  <r>
    <x v="0"/>
    <x v="0"/>
    <x v="0"/>
    <x v="2"/>
    <x v="3"/>
    <s v="FinA"/>
    <x v="9"/>
    <x v="131"/>
    <x v="0"/>
    <x v="17"/>
    <n v="156.94999999999999"/>
    <n v="57286.75"/>
    <n v="206232.3"/>
  </r>
  <r>
    <x v="0"/>
    <x v="0"/>
    <x v="0"/>
    <x v="2"/>
    <x v="3"/>
    <s v="FinA"/>
    <x v="9"/>
    <x v="131"/>
    <x v="0"/>
    <x v="18"/>
    <n v="156.94999999999999"/>
    <n v="57286.75"/>
    <n v="206232.3"/>
  </r>
  <r>
    <x v="0"/>
    <x v="0"/>
    <x v="0"/>
    <x v="2"/>
    <x v="3"/>
    <s v="FinA"/>
    <x v="9"/>
    <x v="131"/>
    <x v="0"/>
    <x v="19"/>
    <n v="156.94999999999999"/>
    <n v="57286.75"/>
    <n v="206232.3"/>
  </r>
  <r>
    <x v="0"/>
    <x v="0"/>
    <x v="0"/>
    <x v="2"/>
    <x v="3"/>
    <s v="FinA"/>
    <x v="9"/>
    <x v="131"/>
    <x v="0"/>
    <x v="20"/>
    <n v="156.94999999999999"/>
    <n v="57286.75"/>
    <n v="206232.3"/>
  </r>
  <r>
    <x v="0"/>
    <x v="0"/>
    <x v="0"/>
    <x v="2"/>
    <x v="3"/>
    <s v="FinA"/>
    <x v="9"/>
    <x v="131"/>
    <x v="0"/>
    <x v="21"/>
    <n v="156.94999999999999"/>
    <n v="57286.75"/>
    <n v="206232.3"/>
  </r>
  <r>
    <x v="0"/>
    <x v="0"/>
    <x v="0"/>
    <x v="2"/>
    <x v="3"/>
    <s v="FinA"/>
    <x v="9"/>
    <x v="131"/>
    <x v="0"/>
    <x v="22"/>
    <n v="156.94999999999999"/>
    <n v="57286.75"/>
    <n v="206232.3"/>
  </r>
  <r>
    <x v="0"/>
    <x v="0"/>
    <x v="0"/>
    <x v="2"/>
    <x v="3"/>
    <s v="FinA"/>
    <x v="9"/>
    <x v="132"/>
    <x v="0"/>
    <x v="5"/>
    <n v="156.94999999999999"/>
    <n v="57286.75"/>
    <n v="206232.3"/>
  </r>
  <r>
    <x v="0"/>
    <x v="0"/>
    <x v="0"/>
    <x v="2"/>
    <x v="3"/>
    <s v="FinA"/>
    <x v="9"/>
    <x v="132"/>
    <x v="0"/>
    <x v="6"/>
    <n v="156.94999999999999"/>
    <n v="57286.75"/>
    <n v="206232.3"/>
  </r>
  <r>
    <x v="0"/>
    <x v="0"/>
    <x v="0"/>
    <x v="2"/>
    <x v="3"/>
    <s v="FinA"/>
    <x v="9"/>
    <x v="132"/>
    <x v="0"/>
    <x v="7"/>
    <n v="156.94999999999999"/>
    <n v="57286.75"/>
    <n v="206232.3"/>
  </r>
  <r>
    <x v="0"/>
    <x v="0"/>
    <x v="0"/>
    <x v="2"/>
    <x v="3"/>
    <s v="FinA"/>
    <x v="9"/>
    <x v="132"/>
    <x v="0"/>
    <x v="8"/>
    <n v="156.94999999999999"/>
    <n v="57286.75"/>
    <n v="206232.3"/>
  </r>
  <r>
    <x v="0"/>
    <x v="0"/>
    <x v="0"/>
    <x v="2"/>
    <x v="3"/>
    <s v="FinA"/>
    <x v="9"/>
    <x v="132"/>
    <x v="0"/>
    <x v="9"/>
    <n v="156.94999999999999"/>
    <n v="57286.75"/>
    <n v="206232.3"/>
  </r>
  <r>
    <x v="0"/>
    <x v="0"/>
    <x v="0"/>
    <x v="2"/>
    <x v="3"/>
    <s v="FinA"/>
    <x v="9"/>
    <x v="132"/>
    <x v="0"/>
    <x v="10"/>
    <n v="156.94999999999999"/>
    <n v="57286.75"/>
    <n v="206232.3"/>
  </r>
  <r>
    <x v="0"/>
    <x v="0"/>
    <x v="0"/>
    <x v="2"/>
    <x v="3"/>
    <s v="FinA"/>
    <x v="9"/>
    <x v="132"/>
    <x v="0"/>
    <x v="11"/>
    <n v="156.94999999999999"/>
    <n v="57286.75"/>
    <n v="206232.3"/>
  </r>
  <r>
    <x v="0"/>
    <x v="0"/>
    <x v="0"/>
    <x v="2"/>
    <x v="3"/>
    <s v="FinA"/>
    <x v="9"/>
    <x v="132"/>
    <x v="0"/>
    <x v="12"/>
    <n v="156.94999999999999"/>
    <n v="57286.75"/>
    <n v="206232.3"/>
  </r>
  <r>
    <x v="0"/>
    <x v="0"/>
    <x v="0"/>
    <x v="2"/>
    <x v="3"/>
    <s v="FinA"/>
    <x v="9"/>
    <x v="132"/>
    <x v="0"/>
    <x v="13"/>
    <n v="156.94999999999999"/>
    <n v="57286.75"/>
    <n v="206232.3"/>
  </r>
  <r>
    <x v="0"/>
    <x v="0"/>
    <x v="0"/>
    <x v="2"/>
    <x v="3"/>
    <s v="FinA"/>
    <x v="9"/>
    <x v="132"/>
    <x v="0"/>
    <x v="14"/>
    <n v="156.94999999999999"/>
    <n v="57286.75"/>
    <n v="206232.3"/>
  </r>
  <r>
    <x v="0"/>
    <x v="0"/>
    <x v="0"/>
    <x v="2"/>
    <x v="3"/>
    <s v="FinA"/>
    <x v="9"/>
    <x v="132"/>
    <x v="0"/>
    <x v="15"/>
    <n v="156.94999999999999"/>
    <n v="57286.75"/>
    <n v="206232.3"/>
  </r>
  <r>
    <x v="0"/>
    <x v="0"/>
    <x v="0"/>
    <x v="2"/>
    <x v="3"/>
    <s v="FinA"/>
    <x v="9"/>
    <x v="132"/>
    <x v="0"/>
    <x v="16"/>
    <n v="156.94999999999999"/>
    <n v="57286.75"/>
    <n v="206232.3"/>
  </r>
  <r>
    <x v="0"/>
    <x v="0"/>
    <x v="0"/>
    <x v="2"/>
    <x v="3"/>
    <s v="FinA"/>
    <x v="9"/>
    <x v="132"/>
    <x v="0"/>
    <x v="17"/>
    <n v="156.94999999999999"/>
    <n v="57286.75"/>
    <n v="206232.3"/>
  </r>
  <r>
    <x v="0"/>
    <x v="0"/>
    <x v="0"/>
    <x v="2"/>
    <x v="3"/>
    <s v="FinA"/>
    <x v="9"/>
    <x v="132"/>
    <x v="0"/>
    <x v="18"/>
    <n v="156.94999999999999"/>
    <n v="57286.75"/>
    <n v="206232.3"/>
  </r>
  <r>
    <x v="0"/>
    <x v="0"/>
    <x v="0"/>
    <x v="2"/>
    <x v="3"/>
    <s v="FinA"/>
    <x v="9"/>
    <x v="132"/>
    <x v="0"/>
    <x v="19"/>
    <n v="156.94999999999999"/>
    <n v="57286.75"/>
    <n v="206232.3"/>
  </r>
  <r>
    <x v="0"/>
    <x v="0"/>
    <x v="0"/>
    <x v="2"/>
    <x v="3"/>
    <s v="FinA"/>
    <x v="9"/>
    <x v="132"/>
    <x v="0"/>
    <x v="20"/>
    <n v="156.94999999999999"/>
    <n v="57286.75"/>
    <n v="206232.3"/>
  </r>
  <r>
    <x v="0"/>
    <x v="0"/>
    <x v="0"/>
    <x v="2"/>
    <x v="3"/>
    <s v="FinA"/>
    <x v="9"/>
    <x v="132"/>
    <x v="0"/>
    <x v="21"/>
    <n v="156.94999999999999"/>
    <n v="57286.75"/>
    <n v="206232.3"/>
  </r>
  <r>
    <x v="0"/>
    <x v="0"/>
    <x v="0"/>
    <x v="2"/>
    <x v="3"/>
    <s v="FinA"/>
    <x v="9"/>
    <x v="132"/>
    <x v="0"/>
    <x v="22"/>
    <n v="39.570964591259298"/>
    <n v="14443.402075809699"/>
    <n v="51996.247472914802"/>
  </r>
  <r>
    <x v="0"/>
    <x v="0"/>
    <x v="0"/>
    <x v="2"/>
    <x v="3"/>
    <s v="FinA"/>
    <x v="9"/>
    <x v="133"/>
    <x v="0"/>
    <x v="5"/>
    <n v="71.858581758353694"/>
    <n v="26228.382341799101"/>
    <n v="94422.1764304768"/>
  </r>
  <r>
    <x v="0"/>
    <x v="0"/>
    <x v="0"/>
    <x v="2"/>
    <x v="3"/>
    <s v="FinA"/>
    <x v="9"/>
    <x v="133"/>
    <x v="0"/>
    <x v="6"/>
    <n v="156.94999999999999"/>
    <n v="57286.75"/>
    <n v="206232.3"/>
  </r>
  <r>
    <x v="0"/>
    <x v="0"/>
    <x v="0"/>
    <x v="2"/>
    <x v="3"/>
    <s v="FinA"/>
    <x v="9"/>
    <x v="133"/>
    <x v="0"/>
    <x v="7"/>
    <n v="156.94999999999999"/>
    <n v="57286.75"/>
    <n v="206232.3"/>
  </r>
  <r>
    <x v="0"/>
    <x v="0"/>
    <x v="0"/>
    <x v="2"/>
    <x v="3"/>
    <s v="FinA"/>
    <x v="9"/>
    <x v="133"/>
    <x v="0"/>
    <x v="8"/>
    <n v="156.94999999999999"/>
    <n v="57286.75"/>
    <n v="206232.3"/>
  </r>
  <r>
    <x v="0"/>
    <x v="0"/>
    <x v="0"/>
    <x v="2"/>
    <x v="3"/>
    <s v="FinA"/>
    <x v="9"/>
    <x v="133"/>
    <x v="0"/>
    <x v="9"/>
    <n v="156.94999999999999"/>
    <n v="57286.75"/>
    <n v="206232.3"/>
  </r>
  <r>
    <x v="0"/>
    <x v="0"/>
    <x v="0"/>
    <x v="2"/>
    <x v="3"/>
    <s v="FinA"/>
    <x v="9"/>
    <x v="133"/>
    <x v="0"/>
    <x v="10"/>
    <n v="156.94999999999999"/>
    <n v="57286.75"/>
    <n v="206232.3"/>
  </r>
  <r>
    <x v="0"/>
    <x v="0"/>
    <x v="0"/>
    <x v="2"/>
    <x v="3"/>
    <s v="FinA"/>
    <x v="9"/>
    <x v="133"/>
    <x v="0"/>
    <x v="11"/>
    <n v="156.94999999999999"/>
    <n v="57286.75"/>
    <n v="206232.3"/>
  </r>
  <r>
    <x v="0"/>
    <x v="0"/>
    <x v="0"/>
    <x v="2"/>
    <x v="3"/>
    <s v="FinA"/>
    <x v="9"/>
    <x v="133"/>
    <x v="0"/>
    <x v="12"/>
    <n v="156.94999999999999"/>
    <n v="57286.75"/>
    <n v="206232.3"/>
  </r>
  <r>
    <x v="0"/>
    <x v="0"/>
    <x v="0"/>
    <x v="2"/>
    <x v="3"/>
    <s v="FinA"/>
    <x v="9"/>
    <x v="133"/>
    <x v="0"/>
    <x v="13"/>
    <n v="156.94999999999999"/>
    <n v="57286.75"/>
    <n v="206232.3"/>
  </r>
  <r>
    <x v="0"/>
    <x v="0"/>
    <x v="0"/>
    <x v="2"/>
    <x v="3"/>
    <s v="FinA"/>
    <x v="9"/>
    <x v="133"/>
    <x v="0"/>
    <x v="14"/>
    <n v="156.94999999999999"/>
    <n v="57286.75"/>
    <n v="206232.3"/>
  </r>
  <r>
    <x v="0"/>
    <x v="0"/>
    <x v="0"/>
    <x v="2"/>
    <x v="3"/>
    <s v="FinA"/>
    <x v="9"/>
    <x v="133"/>
    <x v="0"/>
    <x v="15"/>
    <n v="156.94999999999999"/>
    <n v="57286.75"/>
    <n v="206232.3"/>
  </r>
  <r>
    <x v="0"/>
    <x v="0"/>
    <x v="0"/>
    <x v="2"/>
    <x v="3"/>
    <s v="FinA"/>
    <x v="9"/>
    <x v="133"/>
    <x v="0"/>
    <x v="16"/>
    <n v="156.94999999999999"/>
    <n v="57286.75"/>
    <n v="206232.3"/>
  </r>
  <r>
    <x v="0"/>
    <x v="0"/>
    <x v="0"/>
    <x v="2"/>
    <x v="3"/>
    <s v="FinA"/>
    <x v="9"/>
    <x v="133"/>
    <x v="0"/>
    <x v="17"/>
    <n v="156.94999999999999"/>
    <n v="57286.75"/>
    <n v="206232.3"/>
  </r>
  <r>
    <x v="0"/>
    <x v="0"/>
    <x v="0"/>
    <x v="2"/>
    <x v="3"/>
    <s v="FinA"/>
    <x v="9"/>
    <x v="133"/>
    <x v="0"/>
    <x v="18"/>
    <n v="156.94999999999999"/>
    <n v="57286.75"/>
    <n v="206232.3"/>
  </r>
  <r>
    <x v="0"/>
    <x v="0"/>
    <x v="0"/>
    <x v="2"/>
    <x v="3"/>
    <s v="FinA"/>
    <x v="9"/>
    <x v="133"/>
    <x v="0"/>
    <x v="19"/>
    <n v="156.94999999999999"/>
    <n v="57286.75"/>
    <n v="206232.3"/>
  </r>
  <r>
    <x v="0"/>
    <x v="0"/>
    <x v="0"/>
    <x v="2"/>
    <x v="3"/>
    <s v="FinA"/>
    <x v="9"/>
    <x v="133"/>
    <x v="0"/>
    <x v="20"/>
    <n v="156.94999999999999"/>
    <n v="57286.75"/>
    <n v="206232.3"/>
  </r>
  <r>
    <x v="0"/>
    <x v="0"/>
    <x v="0"/>
    <x v="2"/>
    <x v="3"/>
    <s v="FinA"/>
    <x v="9"/>
    <x v="133"/>
    <x v="0"/>
    <x v="21"/>
    <n v="156.94999999999999"/>
    <n v="57286.75"/>
    <n v="206232.3"/>
  </r>
  <r>
    <x v="0"/>
    <x v="0"/>
    <x v="0"/>
    <x v="2"/>
    <x v="3"/>
    <s v="FinA"/>
    <x v="9"/>
    <x v="134"/>
    <x v="0"/>
    <x v="6"/>
    <n v="156.94999999999999"/>
    <n v="57286.75"/>
    <n v="206232.3"/>
  </r>
  <r>
    <x v="0"/>
    <x v="0"/>
    <x v="0"/>
    <x v="2"/>
    <x v="3"/>
    <s v="FinA"/>
    <x v="9"/>
    <x v="134"/>
    <x v="0"/>
    <x v="7"/>
    <n v="156.94999999999999"/>
    <n v="57286.75"/>
    <n v="206232.3"/>
  </r>
  <r>
    <x v="0"/>
    <x v="0"/>
    <x v="0"/>
    <x v="2"/>
    <x v="3"/>
    <s v="FinA"/>
    <x v="9"/>
    <x v="134"/>
    <x v="0"/>
    <x v="8"/>
    <n v="156.94999999999999"/>
    <n v="57286.75"/>
    <n v="206232.3"/>
  </r>
  <r>
    <x v="0"/>
    <x v="0"/>
    <x v="0"/>
    <x v="2"/>
    <x v="3"/>
    <s v="FinA"/>
    <x v="9"/>
    <x v="134"/>
    <x v="0"/>
    <x v="9"/>
    <n v="156.94999999999999"/>
    <n v="57286.75"/>
    <n v="206232.3"/>
  </r>
  <r>
    <x v="0"/>
    <x v="0"/>
    <x v="0"/>
    <x v="2"/>
    <x v="3"/>
    <s v="FinA"/>
    <x v="9"/>
    <x v="134"/>
    <x v="0"/>
    <x v="10"/>
    <n v="156.94999999999999"/>
    <n v="57286.75"/>
    <n v="206232.3"/>
  </r>
  <r>
    <x v="0"/>
    <x v="0"/>
    <x v="0"/>
    <x v="2"/>
    <x v="3"/>
    <s v="FinA"/>
    <x v="9"/>
    <x v="134"/>
    <x v="0"/>
    <x v="11"/>
    <n v="156.94999999999999"/>
    <n v="57286.75"/>
    <n v="206232.3"/>
  </r>
  <r>
    <x v="0"/>
    <x v="0"/>
    <x v="0"/>
    <x v="2"/>
    <x v="3"/>
    <s v="FinA"/>
    <x v="9"/>
    <x v="134"/>
    <x v="0"/>
    <x v="12"/>
    <n v="156.94999999999999"/>
    <n v="57286.75"/>
    <n v="206232.3"/>
  </r>
  <r>
    <x v="0"/>
    <x v="0"/>
    <x v="0"/>
    <x v="2"/>
    <x v="3"/>
    <s v="FinA"/>
    <x v="9"/>
    <x v="134"/>
    <x v="0"/>
    <x v="13"/>
    <n v="156.94999999999999"/>
    <n v="57286.75"/>
    <n v="206232.3"/>
  </r>
  <r>
    <x v="0"/>
    <x v="0"/>
    <x v="0"/>
    <x v="2"/>
    <x v="3"/>
    <s v="FinA"/>
    <x v="9"/>
    <x v="134"/>
    <x v="0"/>
    <x v="14"/>
    <n v="156.94999999999999"/>
    <n v="57286.75"/>
    <n v="206232.3"/>
  </r>
  <r>
    <x v="0"/>
    <x v="0"/>
    <x v="0"/>
    <x v="2"/>
    <x v="3"/>
    <s v="FinA"/>
    <x v="9"/>
    <x v="134"/>
    <x v="0"/>
    <x v="15"/>
    <n v="156.94999999999999"/>
    <n v="57286.75"/>
    <n v="206232.3"/>
  </r>
  <r>
    <x v="0"/>
    <x v="0"/>
    <x v="0"/>
    <x v="2"/>
    <x v="3"/>
    <s v="FinA"/>
    <x v="9"/>
    <x v="134"/>
    <x v="0"/>
    <x v="16"/>
    <n v="156.94999999999999"/>
    <n v="57286.75"/>
    <n v="206232.3"/>
  </r>
  <r>
    <x v="0"/>
    <x v="0"/>
    <x v="0"/>
    <x v="2"/>
    <x v="3"/>
    <s v="FinA"/>
    <x v="9"/>
    <x v="134"/>
    <x v="0"/>
    <x v="17"/>
    <n v="156.94999999999999"/>
    <n v="57286.75"/>
    <n v="206232.3"/>
  </r>
  <r>
    <x v="0"/>
    <x v="0"/>
    <x v="0"/>
    <x v="2"/>
    <x v="3"/>
    <s v="FinA"/>
    <x v="9"/>
    <x v="134"/>
    <x v="0"/>
    <x v="18"/>
    <n v="156.94999999999999"/>
    <n v="57286.75"/>
    <n v="206232.3"/>
  </r>
  <r>
    <x v="0"/>
    <x v="0"/>
    <x v="0"/>
    <x v="2"/>
    <x v="3"/>
    <s v="FinA"/>
    <x v="9"/>
    <x v="134"/>
    <x v="0"/>
    <x v="19"/>
    <n v="156.94999999999999"/>
    <n v="57286.75"/>
    <n v="206232.3"/>
  </r>
  <r>
    <x v="0"/>
    <x v="0"/>
    <x v="0"/>
    <x v="2"/>
    <x v="3"/>
    <s v="FinA"/>
    <x v="9"/>
    <x v="134"/>
    <x v="0"/>
    <x v="20"/>
    <n v="111.091027885353"/>
    <n v="40548.2251781538"/>
    <n v="145973.610641354"/>
  </r>
  <r>
    <x v="0"/>
    <x v="0"/>
    <x v="0"/>
    <x v="2"/>
    <x v="3"/>
    <s v="FinA"/>
    <x v="9"/>
    <x v="134"/>
    <x v="0"/>
    <x v="21"/>
    <n v="156.94999999999999"/>
    <n v="57286.75"/>
    <n v="206232.3"/>
  </r>
  <r>
    <x v="0"/>
    <x v="0"/>
    <x v="0"/>
    <x v="2"/>
    <x v="3"/>
    <s v="FinA"/>
    <x v="9"/>
    <x v="135"/>
    <x v="0"/>
    <x v="6"/>
    <n v="156.94999999999999"/>
    <n v="57286.75"/>
    <n v="206232.3"/>
  </r>
  <r>
    <x v="0"/>
    <x v="0"/>
    <x v="0"/>
    <x v="2"/>
    <x v="3"/>
    <s v="FinA"/>
    <x v="9"/>
    <x v="135"/>
    <x v="0"/>
    <x v="7"/>
    <n v="156.94999999999999"/>
    <n v="57286.75"/>
    <n v="206232.3"/>
  </r>
  <r>
    <x v="0"/>
    <x v="0"/>
    <x v="0"/>
    <x v="2"/>
    <x v="3"/>
    <s v="FinA"/>
    <x v="9"/>
    <x v="135"/>
    <x v="0"/>
    <x v="8"/>
    <n v="156.94999999999999"/>
    <n v="57286.75"/>
    <n v="206232.3"/>
  </r>
  <r>
    <x v="0"/>
    <x v="0"/>
    <x v="0"/>
    <x v="2"/>
    <x v="3"/>
    <s v="FinA"/>
    <x v="9"/>
    <x v="135"/>
    <x v="0"/>
    <x v="9"/>
    <n v="156.94999999999999"/>
    <n v="57286.75"/>
    <n v="206232.3"/>
  </r>
  <r>
    <x v="0"/>
    <x v="0"/>
    <x v="0"/>
    <x v="2"/>
    <x v="3"/>
    <s v="FinA"/>
    <x v="9"/>
    <x v="135"/>
    <x v="0"/>
    <x v="10"/>
    <n v="156.94999999999999"/>
    <n v="57286.75"/>
    <n v="206232.3"/>
  </r>
  <r>
    <x v="0"/>
    <x v="0"/>
    <x v="0"/>
    <x v="2"/>
    <x v="3"/>
    <s v="FinA"/>
    <x v="9"/>
    <x v="135"/>
    <x v="0"/>
    <x v="11"/>
    <n v="156.94999999999999"/>
    <n v="57286.75"/>
    <n v="206232.3"/>
  </r>
  <r>
    <x v="0"/>
    <x v="0"/>
    <x v="0"/>
    <x v="2"/>
    <x v="3"/>
    <s v="FinA"/>
    <x v="9"/>
    <x v="135"/>
    <x v="0"/>
    <x v="12"/>
    <n v="156.94999999999999"/>
    <n v="57286.75"/>
    <n v="206232.3"/>
  </r>
  <r>
    <x v="0"/>
    <x v="0"/>
    <x v="0"/>
    <x v="2"/>
    <x v="3"/>
    <s v="FinA"/>
    <x v="9"/>
    <x v="135"/>
    <x v="0"/>
    <x v="13"/>
    <n v="156.94999999999999"/>
    <n v="57286.75"/>
    <n v="206232.3"/>
  </r>
  <r>
    <x v="0"/>
    <x v="0"/>
    <x v="0"/>
    <x v="2"/>
    <x v="3"/>
    <s v="FinA"/>
    <x v="9"/>
    <x v="135"/>
    <x v="0"/>
    <x v="14"/>
    <n v="156.94999999999999"/>
    <n v="57286.75"/>
    <n v="206232.3"/>
  </r>
  <r>
    <x v="0"/>
    <x v="0"/>
    <x v="0"/>
    <x v="2"/>
    <x v="3"/>
    <s v="FinA"/>
    <x v="9"/>
    <x v="135"/>
    <x v="0"/>
    <x v="15"/>
    <n v="156.94999999999999"/>
    <n v="57286.75"/>
    <n v="206232.3"/>
  </r>
  <r>
    <x v="0"/>
    <x v="0"/>
    <x v="0"/>
    <x v="2"/>
    <x v="3"/>
    <s v="FinA"/>
    <x v="9"/>
    <x v="135"/>
    <x v="0"/>
    <x v="16"/>
    <n v="156.94999999999999"/>
    <n v="57286.75"/>
    <n v="206232.3"/>
  </r>
  <r>
    <x v="0"/>
    <x v="0"/>
    <x v="0"/>
    <x v="2"/>
    <x v="3"/>
    <s v="FinA"/>
    <x v="9"/>
    <x v="135"/>
    <x v="0"/>
    <x v="17"/>
    <n v="156.94999999999999"/>
    <n v="57286.75"/>
    <n v="206232.3"/>
  </r>
  <r>
    <x v="0"/>
    <x v="0"/>
    <x v="0"/>
    <x v="2"/>
    <x v="3"/>
    <s v="FinA"/>
    <x v="9"/>
    <x v="135"/>
    <x v="0"/>
    <x v="18"/>
    <n v="156.94999999999999"/>
    <n v="57286.75"/>
    <n v="206232.3"/>
  </r>
  <r>
    <x v="0"/>
    <x v="0"/>
    <x v="0"/>
    <x v="2"/>
    <x v="3"/>
    <s v="FinA"/>
    <x v="9"/>
    <x v="135"/>
    <x v="0"/>
    <x v="19"/>
    <n v="156.94999999999999"/>
    <n v="57286.75"/>
    <n v="206232.3"/>
  </r>
  <r>
    <x v="0"/>
    <x v="0"/>
    <x v="0"/>
    <x v="2"/>
    <x v="3"/>
    <s v="FinA"/>
    <x v="9"/>
    <x v="135"/>
    <x v="0"/>
    <x v="21"/>
    <n v="26.0006280047023"/>
    <n v="9490.2292217163504"/>
    <n v="34164.825198178798"/>
  </r>
  <r>
    <x v="0"/>
    <x v="0"/>
    <x v="0"/>
    <x v="2"/>
    <x v="3"/>
    <s v="FinA"/>
    <x v="9"/>
    <x v="136"/>
    <x v="0"/>
    <x v="6"/>
    <n v="85.081576240748504"/>
    <n v="31054.775327873202"/>
    <n v="111797.191180344"/>
  </r>
  <r>
    <x v="0"/>
    <x v="0"/>
    <x v="0"/>
    <x v="2"/>
    <x v="3"/>
    <s v="FinA"/>
    <x v="9"/>
    <x v="136"/>
    <x v="0"/>
    <x v="7"/>
    <n v="156.94999999999999"/>
    <n v="57286.75"/>
    <n v="206232.3"/>
  </r>
  <r>
    <x v="0"/>
    <x v="0"/>
    <x v="0"/>
    <x v="2"/>
    <x v="3"/>
    <s v="FinA"/>
    <x v="9"/>
    <x v="136"/>
    <x v="0"/>
    <x v="8"/>
    <n v="156.94999999999999"/>
    <n v="57286.75"/>
    <n v="206232.3"/>
  </r>
  <r>
    <x v="0"/>
    <x v="0"/>
    <x v="0"/>
    <x v="2"/>
    <x v="3"/>
    <s v="FinA"/>
    <x v="9"/>
    <x v="136"/>
    <x v="0"/>
    <x v="9"/>
    <n v="156.94999999999999"/>
    <n v="57286.75"/>
    <n v="206232.3"/>
  </r>
  <r>
    <x v="0"/>
    <x v="0"/>
    <x v="0"/>
    <x v="2"/>
    <x v="3"/>
    <s v="FinA"/>
    <x v="9"/>
    <x v="136"/>
    <x v="0"/>
    <x v="10"/>
    <n v="156.94999999999999"/>
    <n v="57286.75"/>
    <n v="206232.3"/>
  </r>
  <r>
    <x v="0"/>
    <x v="0"/>
    <x v="0"/>
    <x v="2"/>
    <x v="3"/>
    <s v="FinA"/>
    <x v="9"/>
    <x v="136"/>
    <x v="0"/>
    <x v="11"/>
    <n v="156.94999999999999"/>
    <n v="57286.75"/>
    <n v="206232.3"/>
  </r>
  <r>
    <x v="0"/>
    <x v="0"/>
    <x v="0"/>
    <x v="2"/>
    <x v="3"/>
    <s v="FinA"/>
    <x v="9"/>
    <x v="136"/>
    <x v="0"/>
    <x v="12"/>
    <n v="156.94999999999999"/>
    <n v="57286.75"/>
    <n v="206232.3"/>
  </r>
  <r>
    <x v="0"/>
    <x v="0"/>
    <x v="0"/>
    <x v="2"/>
    <x v="3"/>
    <s v="FinA"/>
    <x v="9"/>
    <x v="136"/>
    <x v="0"/>
    <x v="13"/>
    <n v="108.881509772112"/>
    <n v="39741.7510668209"/>
    <n v="143070.30384055499"/>
  </r>
  <r>
    <x v="0"/>
    <x v="0"/>
    <x v="0"/>
    <x v="2"/>
    <x v="3"/>
    <s v="FinA"/>
    <x v="9"/>
    <x v="136"/>
    <x v="0"/>
    <x v="14"/>
    <n v="156.94999999999999"/>
    <n v="57286.75"/>
    <n v="206232.3"/>
  </r>
  <r>
    <x v="0"/>
    <x v="0"/>
    <x v="0"/>
    <x v="2"/>
    <x v="3"/>
    <s v="FinA"/>
    <x v="9"/>
    <x v="136"/>
    <x v="0"/>
    <x v="15"/>
    <n v="156.94999999999999"/>
    <n v="57286.75"/>
    <n v="206232.3"/>
  </r>
  <r>
    <x v="0"/>
    <x v="0"/>
    <x v="0"/>
    <x v="2"/>
    <x v="3"/>
    <s v="FinA"/>
    <x v="9"/>
    <x v="136"/>
    <x v="0"/>
    <x v="16"/>
    <n v="156.94999999999999"/>
    <n v="57286.75"/>
    <n v="206232.3"/>
  </r>
  <r>
    <x v="0"/>
    <x v="0"/>
    <x v="0"/>
    <x v="2"/>
    <x v="3"/>
    <s v="FinA"/>
    <x v="9"/>
    <x v="136"/>
    <x v="0"/>
    <x v="17"/>
    <n v="156.94999999999999"/>
    <n v="57286.75"/>
    <n v="206232.3"/>
  </r>
  <r>
    <x v="0"/>
    <x v="0"/>
    <x v="0"/>
    <x v="2"/>
    <x v="3"/>
    <s v="FinA"/>
    <x v="9"/>
    <x v="136"/>
    <x v="0"/>
    <x v="18"/>
    <n v="156.94999999999999"/>
    <n v="57286.75"/>
    <n v="206232.3"/>
  </r>
  <r>
    <x v="0"/>
    <x v="0"/>
    <x v="0"/>
    <x v="2"/>
    <x v="3"/>
    <s v="FinA"/>
    <x v="9"/>
    <x v="136"/>
    <x v="0"/>
    <x v="19"/>
    <n v="156.94999999999999"/>
    <n v="57286.75"/>
    <n v="206232.3"/>
  </r>
  <r>
    <x v="0"/>
    <x v="0"/>
    <x v="0"/>
    <x v="2"/>
    <x v="3"/>
    <s v="FinA"/>
    <x v="9"/>
    <x v="137"/>
    <x v="0"/>
    <x v="7"/>
    <n v="31.9320211818263"/>
    <n v="11655.187731366599"/>
    <n v="41958.675832919696"/>
  </r>
  <r>
    <x v="0"/>
    <x v="0"/>
    <x v="0"/>
    <x v="2"/>
    <x v="3"/>
    <s v="FinA"/>
    <x v="9"/>
    <x v="137"/>
    <x v="0"/>
    <x v="8"/>
    <n v="156.94999999999999"/>
    <n v="57286.75"/>
    <n v="206232.3"/>
  </r>
  <r>
    <x v="0"/>
    <x v="0"/>
    <x v="0"/>
    <x v="2"/>
    <x v="3"/>
    <s v="FinA"/>
    <x v="9"/>
    <x v="137"/>
    <x v="0"/>
    <x v="9"/>
    <n v="156.94999999999999"/>
    <n v="57286.75"/>
    <n v="206232.3"/>
  </r>
  <r>
    <x v="0"/>
    <x v="0"/>
    <x v="0"/>
    <x v="2"/>
    <x v="3"/>
    <s v="FinA"/>
    <x v="9"/>
    <x v="137"/>
    <x v="0"/>
    <x v="10"/>
    <n v="156.94999999999999"/>
    <n v="57286.75"/>
    <n v="206232.3"/>
  </r>
  <r>
    <x v="0"/>
    <x v="0"/>
    <x v="0"/>
    <x v="2"/>
    <x v="3"/>
    <s v="FinA"/>
    <x v="9"/>
    <x v="137"/>
    <x v="0"/>
    <x v="11"/>
    <n v="74.234955684941497"/>
    <n v="27095.758825003599"/>
    <n v="97544.731770013095"/>
  </r>
  <r>
    <x v="0"/>
    <x v="0"/>
    <x v="0"/>
    <x v="2"/>
    <x v="3"/>
    <s v="FinA"/>
    <x v="9"/>
    <x v="137"/>
    <x v="0"/>
    <x v="12"/>
    <n v="12.5309124468422"/>
    <n v="4573.7830430974"/>
    <n v="16465.6189551506"/>
  </r>
  <r>
    <x v="0"/>
    <x v="0"/>
    <x v="0"/>
    <x v="2"/>
    <x v="3"/>
    <s v="FinA"/>
    <x v="9"/>
    <x v="137"/>
    <x v="0"/>
    <x v="14"/>
    <n v="80.010182496154997"/>
    <n v="29203.716611096599"/>
    <n v="105133.379799948"/>
  </r>
  <r>
    <x v="0"/>
    <x v="0"/>
    <x v="0"/>
    <x v="2"/>
    <x v="3"/>
    <s v="FinA"/>
    <x v="9"/>
    <x v="137"/>
    <x v="0"/>
    <x v="15"/>
    <n v="103.27461714575099"/>
    <n v="37695.235258199202"/>
    <n v="135702.84692951699"/>
  </r>
  <r>
    <x v="0"/>
    <x v="0"/>
    <x v="0"/>
    <x v="2"/>
    <x v="3"/>
    <s v="FinA"/>
    <x v="9"/>
    <x v="137"/>
    <x v="0"/>
    <x v="16"/>
    <n v="156.94999999999999"/>
    <n v="57286.75"/>
    <n v="206232.3"/>
  </r>
  <r>
    <x v="0"/>
    <x v="0"/>
    <x v="0"/>
    <x v="2"/>
    <x v="3"/>
    <s v="FinA"/>
    <x v="9"/>
    <x v="137"/>
    <x v="0"/>
    <x v="17"/>
    <n v="156.94999999999999"/>
    <n v="57286.75"/>
    <n v="206232.3"/>
  </r>
  <r>
    <x v="0"/>
    <x v="0"/>
    <x v="0"/>
    <x v="2"/>
    <x v="3"/>
    <s v="FinA"/>
    <x v="9"/>
    <x v="137"/>
    <x v="0"/>
    <x v="18"/>
    <n v="156.94999999999999"/>
    <n v="57286.75"/>
    <n v="206232.3"/>
  </r>
  <r>
    <x v="0"/>
    <x v="0"/>
    <x v="0"/>
    <x v="2"/>
    <x v="3"/>
    <s v="FinA"/>
    <x v="9"/>
    <x v="137"/>
    <x v="0"/>
    <x v="19"/>
    <n v="113.645561092615"/>
    <n v="41480.629798804599"/>
    <n v="149330.26727569601"/>
  </r>
  <r>
    <x v="0"/>
    <x v="0"/>
    <x v="0"/>
    <x v="2"/>
    <x v="3"/>
    <s v="FinA"/>
    <x v="9"/>
    <x v="57"/>
    <x v="0"/>
    <x v="0"/>
    <n v="920.44758476060997"/>
    <n v="335963.36843762302"/>
    <n v="1209468.12637544"/>
  </r>
  <r>
    <x v="0"/>
    <x v="0"/>
    <x v="0"/>
    <x v="2"/>
    <x v="3"/>
    <s v="FinA"/>
    <x v="9"/>
    <x v="57"/>
    <x v="0"/>
    <x v="1"/>
    <n v="920.44758476060997"/>
    <n v="335963.36843762302"/>
    <n v="1209468.12637544"/>
  </r>
  <r>
    <x v="0"/>
    <x v="0"/>
    <x v="0"/>
    <x v="2"/>
    <x v="3"/>
    <s v="FinA"/>
    <x v="9"/>
    <x v="57"/>
    <x v="0"/>
    <x v="2"/>
    <n v="920.44758476060997"/>
    <n v="335963.36843762302"/>
    <n v="1209468.12637544"/>
  </r>
  <r>
    <x v="0"/>
    <x v="0"/>
    <x v="0"/>
    <x v="2"/>
    <x v="3"/>
    <s v="FinA"/>
    <x v="9"/>
    <x v="57"/>
    <x v="0"/>
    <x v="3"/>
    <n v="920.44758476060997"/>
    <n v="335963.36843762302"/>
    <n v="1209468.12637544"/>
  </r>
  <r>
    <x v="0"/>
    <x v="0"/>
    <x v="0"/>
    <x v="2"/>
    <x v="3"/>
    <s v="FinA"/>
    <x v="9"/>
    <x v="57"/>
    <x v="0"/>
    <x v="4"/>
    <n v="920.44758476060997"/>
    <n v="335963.36843762302"/>
    <n v="1209468.12637544"/>
  </r>
  <r>
    <x v="0"/>
    <x v="0"/>
    <x v="0"/>
    <x v="2"/>
    <x v="3"/>
    <s v="FinA"/>
    <x v="9"/>
    <x v="57"/>
    <x v="0"/>
    <x v="5"/>
    <n v="920.44758476060997"/>
    <n v="335963.36843762302"/>
    <n v="1209468.12637544"/>
  </r>
  <r>
    <x v="0"/>
    <x v="0"/>
    <x v="0"/>
    <x v="2"/>
    <x v="3"/>
    <s v="FinA"/>
    <x v="9"/>
    <x v="57"/>
    <x v="0"/>
    <x v="6"/>
    <n v="920.44758476060997"/>
    <n v="335963.36843762302"/>
    <n v="1209468.12637544"/>
  </r>
  <r>
    <x v="0"/>
    <x v="0"/>
    <x v="0"/>
    <x v="2"/>
    <x v="3"/>
    <s v="FinA"/>
    <x v="9"/>
    <x v="57"/>
    <x v="0"/>
    <x v="7"/>
    <n v="920.44758476060997"/>
    <n v="335963.36843762302"/>
    <n v="1209468.12637544"/>
  </r>
  <r>
    <x v="0"/>
    <x v="0"/>
    <x v="0"/>
    <x v="2"/>
    <x v="3"/>
    <s v="FinA"/>
    <x v="9"/>
    <x v="57"/>
    <x v="0"/>
    <x v="8"/>
    <n v="920.44758476060997"/>
    <n v="335963.36843762302"/>
    <n v="1209468.12637544"/>
  </r>
  <r>
    <x v="0"/>
    <x v="0"/>
    <x v="0"/>
    <x v="2"/>
    <x v="3"/>
    <s v="FinA"/>
    <x v="9"/>
    <x v="57"/>
    <x v="0"/>
    <x v="9"/>
    <n v="920.44758476060997"/>
    <n v="335963.36843762302"/>
    <n v="1209468.12637544"/>
  </r>
  <r>
    <x v="0"/>
    <x v="0"/>
    <x v="0"/>
    <x v="2"/>
    <x v="3"/>
    <s v="FinA"/>
    <x v="9"/>
    <x v="57"/>
    <x v="0"/>
    <x v="10"/>
    <n v="920.44758476060997"/>
    <n v="335963.36843762302"/>
    <n v="1209468.12637544"/>
  </r>
  <r>
    <x v="0"/>
    <x v="0"/>
    <x v="0"/>
    <x v="2"/>
    <x v="3"/>
    <s v="FinA"/>
    <x v="9"/>
    <x v="57"/>
    <x v="0"/>
    <x v="11"/>
    <n v="920.44758476060997"/>
    <n v="335963.36843762302"/>
    <n v="1209468.12637544"/>
  </r>
  <r>
    <x v="0"/>
    <x v="0"/>
    <x v="0"/>
    <x v="2"/>
    <x v="3"/>
    <s v="FinA"/>
    <x v="9"/>
    <x v="57"/>
    <x v="0"/>
    <x v="12"/>
    <n v="920.44758476060997"/>
    <n v="335963.36843762302"/>
    <n v="1209468.12637544"/>
  </r>
  <r>
    <x v="0"/>
    <x v="0"/>
    <x v="0"/>
    <x v="2"/>
    <x v="3"/>
    <s v="FinA"/>
    <x v="9"/>
    <x v="57"/>
    <x v="0"/>
    <x v="13"/>
    <n v="920.44758476060997"/>
    <n v="335963.36843762302"/>
    <n v="1209468.12637544"/>
  </r>
  <r>
    <x v="0"/>
    <x v="0"/>
    <x v="0"/>
    <x v="2"/>
    <x v="3"/>
    <s v="FinA"/>
    <x v="9"/>
    <x v="57"/>
    <x v="0"/>
    <x v="14"/>
    <n v="920.44758476060997"/>
    <n v="335963.36843762302"/>
    <n v="1209468.12637544"/>
  </r>
  <r>
    <x v="0"/>
    <x v="0"/>
    <x v="0"/>
    <x v="2"/>
    <x v="3"/>
    <s v="FinA"/>
    <x v="9"/>
    <x v="57"/>
    <x v="0"/>
    <x v="15"/>
    <n v="920.44758476060997"/>
    <n v="335963.36843762302"/>
    <n v="1209468.12637544"/>
  </r>
  <r>
    <x v="0"/>
    <x v="0"/>
    <x v="0"/>
    <x v="2"/>
    <x v="3"/>
    <s v="FinA"/>
    <x v="9"/>
    <x v="57"/>
    <x v="0"/>
    <x v="16"/>
    <n v="920.44758476060997"/>
    <n v="335963.36843762302"/>
    <n v="1209468.12637544"/>
  </r>
  <r>
    <x v="0"/>
    <x v="0"/>
    <x v="0"/>
    <x v="2"/>
    <x v="3"/>
    <s v="FinA"/>
    <x v="9"/>
    <x v="57"/>
    <x v="0"/>
    <x v="17"/>
    <n v="920.44758476060997"/>
    <n v="335963.36843762302"/>
    <n v="1209468.12637544"/>
  </r>
  <r>
    <x v="0"/>
    <x v="0"/>
    <x v="0"/>
    <x v="2"/>
    <x v="3"/>
    <s v="FinA"/>
    <x v="9"/>
    <x v="57"/>
    <x v="0"/>
    <x v="18"/>
    <n v="920.44758476060997"/>
    <n v="335963.36843762302"/>
    <n v="1209468.12637544"/>
  </r>
  <r>
    <x v="0"/>
    <x v="0"/>
    <x v="0"/>
    <x v="2"/>
    <x v="3"/>
    <s v="FinA"/>
    <x v="9"/>
    <x v="57"/>
    <x v="0"/>
    <x v="19"/>
    <n v="920.44758476060997"/>
    <n v="335963.36843762302"/>
    <n v="1209468.12637544"/>
  </r>
  <r>
    <x v="0"/>
    <x v="0"/>
    <x v="0"/>
    <x v="2"/>
    <x v="3"/>
    <s v="FinA"/>
    <x v="9"/>
    <x v="57"/>
    <x v="0"/>
    <x v="20"/>
    <n v="920.44758476060997"/>
    <n v="335963.36843762302"/>
    <n v="1209468.12637544"/>
  </r>
  <r>
    <x v="0"/>
    <x v="0"/>
    <x v="0"/>
    <x v="2"/>
    <x v="3"/>
    <s v="FinA"/>
    <x v="9"/>
    <x v="57"/>
    <x v="0"/>
    <x v="21"/>
    <n v="920.44758476060997"/>
    <n v="335963.36843762302"/>
    <n v="1209468.12637544"/>
  </r>
  <r>
    <x v="0"/>
    <x v="0"/>
    <x v="0"/>
    <x v="2"/>
    <x v="3"/>
    <s v="FinA"/>
    <x v="9"/>
    <x v="57"/>
    <x v="0"/>
    <x v="22"/>
    <n v="920.44758476060997"/>
    <n v="335963.36843762302"/>
    <n v="1209468.12637544"/>
  </r>
  <r>
    <x v="0"/>
    <x v="0"/>
    <x v="0"/>
    <x v="2"/>
    <x v="3"/>
    <s v="FinA"/>
    <x v="9"/>
    <x v="57"/>
    <x v="0"/>
    <x v="23"/>
    <n v="920.44758476060997"/>
    <n v="335963.36843762302"/>
    <n v="1209468.12637544"/>
  </r>
  <r>
    <x v="0"/>
    <x v="0"/>
    <x v="0"/>
    <x v="2"/>
    <x v="3"/>
    <s v="FinA"/>
    <x v="10"/>
    <x v="58"/>
    <x v="0"/>
    <x v="0"/>
    <n v="411.74149233805298"/>
    <n v="150285.644703389"/>
    <n v="541028.32093220204"/>
  </r>
  <r>
    <x v="0"/>
    <x v="0"/>
    <x v="0"/>
    <x v="2"/>
    <x v="3"/>
    <s v="FinA"/>
    <x v="10"/>
    <x v="58"/>
    <x v="0"/>
    <x v="1"/>
    <n v="380.51871296754302"/>
    <n v="138889.33023315301"/>
    <n v="500001.58883935102"/>
  </r>
  <r>
    <x v="0"/>
    <x v="0"/>
    <x v="0"/>
    <x v="2"/>
    <x v="3"/>
    <s v="FinA"/>
    <x v="10"/>
    <x v="58"/>
    <x v="0"/>
    <x v="2"/>
    <n v="389.78574794052503"/>
    <n v="142271.79799829199"/>
    <n v="512178.47279385"/>
  </r>
  <r>
    <x v="0"/>
    <x v="0"/>
    <x v="0"/>
    <x v="2"/>
    <x v="3"/>
    <s v="FinA"/>
    <x v="10"/>
    <x v="58"/>
    <x v="0"/>
    <x v="3"/>
    <n v="289.82397289129898"/>
    <n v="105785.750105324"/>
    <n v="380828.70037916698"/>
  </r>
  <r>
    <x v="0"/>
    <x v="0"/>
    <x v="0"/>
    <x v="2"/>
    <x v="3"/>
    <s v="FinA"/>
    <x v="10"/>
    <x v="58"/>
    <x v="0"/>
    <x v="4"/>
    <n v="286.89110907567402"/>
    <n v="104715.254812621"/>
    <n v="376974.91732543497"/>
  </r>
  <r>
    <x v="0"/>
    <x v="0"/>
    <x v="0"/>
    <x v="2"/>
    <x v="3"/>
    <s v="FinA"/>
    <x v="10"/>
    <x v="58"/>
    <x v="0"/>
    <x v="5"/>
    <n v="334.46867764026098"/>
    <n v="122081.06733869499"/>
    <n v="439491.84241930197"/>
  </r>
  <r>
    <x v="0"/>
    <x v="0"/>
    <x v="0"/>
    <x v="2"/>
    <x v="3"/>
    <s v="FinA"/>
    <x v="10"/>
    <x v="58"/>
    <x v="0"/>
    <x v="6"/>
    <n v="380.84458672483402"/>
    <n v="139008.27415456501"/>
    <n v="500429.78695643198"/>
  </r>
  <r>
    <x v="0"/>
    <x v="0"/>
    <x v="0"/>
    <x v="2"/>
    <x v="3"/>
    <s v="FinA"/>
    <x v="10"/>
    <x v="58"/>
    <x v="0"/>
    <x v="7"/>
    <n v="371.74048863049802"/>
    <n v="135685.27835013199"/>
    <n v="488467.00206047401"/>
  </r>
  <r>
    <x v="0"/>
    <x v="0"/>
    <x v="0"/>
    <x v="2"/>
    <x v="3"/>
    <s v="FinA"/>
    <x v="10"/>
    <x v="58"/>
    <x v="0"/>
    <x v="8"/>
    <n v="366.03769787789298"/>
    <n v="133603.75972543101"/>
    <n v="480973.53501155198"/>
  </r>
  <r>
    <x v="0"/>
    <x v="0"/>
    <x v="0"/>
    <x v="2"/>
    <x v="3"/>
    <s v="FinA"/>
    <x v="10"/>
    <x v="58"/>
    <x v="0"/>
    <x v="9"/>
    <n v="345.263245850548"/>
    <n v="126021.08473545"/>
    <n v="453675.90504762001"/>
  </r>
  <r>
    <x v="0"/>
    <x v="0"/>
    <x v="0"/>
    <x v="2"/>
    <x v="3"/>
    <s v="FinA"/>
    <x v="10"/>
    <x v="58"/>
    <x v="0"/>
    <x v="10"/>
    <n v="291.43297456792601"/>
    <n v="106373.03571729299"/>
    <n v="382942.92858225497"/>
  </r>
  <r>
    <x v="0"/>
    <x v="0"/>
    <x v="0"/>
    <x v="2"/>
    <x v="3"/>
    <s v="FinA"/>
    <x v="10"/>
    <x v="58"/>
    <x v="0"/>
    <x v="11"/>
    <n v="377.97282423870098"/>
    <n v="137960.080847126"/>
    <n v="496656.29104965401"/>
  </r>
  <r>
    <x v="0"/>
    <x v="0"/>
    <x v="0"/>
    <x v="2"/>
    <x v="3"/>
    <s v="FinA"/>
    <x v="10"/>
    <x v="58"/>
    <x v="0"/>
    <x v="12"/>
    <n v="353.02311469605598"/>
    <n v="128853.436864061"/>
    <n v="463872.37271061802"/>
  </r>
  <r>
    <x v="0"/>
    <x v="0"/>
    <x v="0"/>
    <x v="2"/>
    <x v="3"/>
    <s v="FinA"/>
    <x v="10"/>
    <x v="58"/>
    <x v="0"/>
    <x v="13"/>
    <n v="344.08195348036497"/>
    <n v="125589.913020333"/>
    <n v="452123.6868732"/>
  </r>
  <r>
    <x v="0"/>
    <x v="0"/>
    <x v="0"/>
    <x v="2"/>
    <x v="3"/>
    <s v="FinA"/>
    <x v="10"/>
    <x v="58"/>
    <x v="0"/>
    <x v="14"/>
    <n v="335.71107133993502"/>
    <n v="122534.54103907599"/>
    <n v="441124.34774067497"/>
  </r>
  <r>
    <x v="0"/>
    <x v="0"/>
    <x v="0"/>
    <x v="2"/>
    <x v="3"/>
    <s v="FinA"/>
    <x v="10"/>
    <x v="58"/>
    <x v="0"/>
    <x v="15"/>
    <n v="351.49558145875102"/>
    <n v="128295.887232444"/>
    <n v="461865.19403679902"/>
  </r>
  <r>
    <x v="0"/>
    <x v="0"/>
    <x v="0"/>
    <x v="2"/>
    <x v="3"/>
    <s v="FinA"/>
    <x v="10"/>
    <x v="58"/>
    <x v="0"/>
    <x v="16"/>
    <n v="393.73696724768701"/>
    <n v="143713.99304540601"/>
    <n v="517370.37496346101"/>
  </r>
  <r>
    <x v="0"/>
    <x v="0"/>
    <x v="0"/>
    <x v="2"/>
    <x v="3"/>
    <s v="FinA"/>
    <x v="10"/>
    <x v="58"/>
    <x v="0"/>
    <x v="17"/>
    <n v="421.25293262900402"/>
    <n v="153757.320409587"/>
    <n v="553526.353474512"/>
  </r>
  <r>
    <x v="0"/>
    <x v="0"/>
    <x v="0"/>
    <x v="2"/>
    <x v="3"/>
    <s v="FinA"/>
    <x v="10"/>
    <x v="58"/>
    <x v="0"/>
    <x v="18"/>
    <n v="373.06435076949498"/>
    <n v="136168.48803086599"/>
    <n v="490206.55691111699"/>
  </r>
  <r>
    <x v="0"/>
    <x v="0"/>
    <x v="0"/>
    <x v="2"/>
    <x v="3"/>
    <s v="FinA"/>
    <x v="10"/>
    <x v="58"/>
    <x v="0"/>
    <x v="19"/>
    <n v="267.236848089018"/>
    <n v="97541.4495524917"/>
    <n v="351149.21838897001"/>
  </r>
  <r>
    <x v="0"/>
    <x v="0"/>
    <x v="0"/>
    <x v="2"/>
    <x v="3"/>
    <s v="FinA"/>
    <x v="10"/>
    <x v="58"/>
    <x v="0"/>
    <x v="20"/>
    <n v="294.91575034898102"/>
    <n v="107644.24887737801"/>
    <n v="387519.295958562"/>
  </r>
  <r>
    <x v="0"/>
    <x v="0"/>
    <x v="0"/>
    <x v="2"/>
    <x v="3"/>
    <s v="FinA"/>
    <x v="10"/>
    <x v="58"/>
    <x v="0"/>
    <x v="21"/>
    <n v="285.38394294819898"/>
    <n v="104165.139176093"/>
    <n v="374994.50103393401"/>
  </r>
  <r>
    <x v="0"/>
    <x v="0"/>
    <x v="0"/>
    <x v="2"/>
    <x v="3"/>
    <s v="FinA"/>
    <x v="10"/>
    <x v="58"/>
    <x v="0"/>
    <x v="22"/>
    <n v="257.92907889637399"/>
    <n v="94144.1137971766"/>
    <n v="338918.80966983602"/>
  </r>
  <r>
    <x v="0"/>
    <x v="0"/>
    <x v="0"/>
    <x v="2"/>
    <x v="3"/>
    <s v="FinA"/>
    <x v="10"/>
    <x v="58"/>
    <x v="0"/>
    <x v="23"/>
    <n v="227.093274612648"/>
    <n v="82889.045233616504"/>
    <n v="298400.56284101901"/>
  </r>
  <r>
    <x v="0"/>
    <x v="0"/>
    <x v="0"/>
    <x v="2"/>
    <x v="3"/>
    <s v="FinA"/>
    <x v="13"/>
    <x v="138"/>
    <x v="0"/>
    <x v="0"/>
    <n v="1103.1664964249201"/>
    <n v="402655.77119509701"/>
    <n v="1449560.77630235"/>
  </r>
  <r>
    <x v="0"/>
    <x v="0"/>
    <x v="0"/>
    <x v="2"/>
    <x v="3"/>
    <s v="FinA"/>
    <x v="13"/>
    <x v="138"/>
    <x v="0"/>
    <x v="1"/>
    <n v="1103.1664964249201"/>
    <n v="402655.77119509701"/>
    <n v="1449560.77630235"/>
  </r>
  <r>
    <x v="0"/>
    <x v="0"/>
    <x v="0"/>
    <x v="2"/>
    <x v="3"/>
    <s v="FinA"/>
    <x v="13"/>
    <x v="138"/>
    <x v="0"/>
    <x v="2"/>
    <n v="1103.1664964249201"/>
    <n v="402655.77119509701"/>
    <n v="1449560.77630235"/>
  </r>
  <r>
    <x v="0"/>
    <x v="0"/>
    <x v="0"/>
    <x v="2"/>
    <x v="3"/>
    <s v="FinA"/>
    <x v="13"/>
    <x v="138"/>
    <x v="0"/>
    <x v="3"/>
    <n v="1103.1664964249201"/>
    <n v="402655.77119509701"/>
    <n v="1449560.77630235"/>
  </r>
  <r>
    <x v="0"/>
    <x v="0"/>
    <x v="0"/>
    <x v="2"/>
    <x v="3"/>
    <s v="FinA"/>
    <x v="13"/>
    <x v="138"/>
    <x v="0"/>
    <x v="4"/>
    <n v="1103.1664964249201"/>
    <n v="402655.77119509701"/>
    <n v="1449560.77630235"/>
  </r>
  <r>
    <x v="0"/>
    <x v="0"/>
    <x v="0"/>
    <x v="2"/>
    <x v="3"/>
    <s v="FinA"/>
    <x v="13"/>
    <x v="138"/>
    <x v="0"/>
    <x v="5"/>
    <n v="1103.1664964249201"/>
    <n v="402655.77119509701"/>
    <n v="1449560.77630235"/>
  </r>
  <r>
    <x v="0"/>
    <x v="0"/>
    <x v="0"/>
    <x v="2"/>
    <x v="3"/>
    <s v="FinA"/>
    <x v="13"/>
    <x v="138"/>
    <x v="0"/>
    <x v="6"/>
    <n v="1103.1664964249201"/>
    <n v="402655.77119509701"/>
    <n v="1449560.77630235"/>
  </r>
  <r>
    <x v="0"/>
    <x v="0"/>
    <x v="0"/>
    <x v="2"/>
    <x v="3"/>
    <s v="FinA"/>
    <x v="13"/>
    <x v="138"/>
    <x v="0"/>
    <x v="7"/>
    <n v="1103.1664964249201"/>
    <n v="402655.77119509701"/>
    <n v="1449560.77630235"/>
  </r>
  <r>
    <x v="0"/>
    <x v="0"/>
    <x v="0"/>
    <x v="2"/>
    <x v="3"/>
    <s v="FinA"/>
    <x v="13"/>
    <x v="138"/>
    <x v="0"/>
    <x v="8"/>
    <n v="1103.1664964249201"/>
    <n v="402655.77119509701"/>
    <n v="1449560.77630235"/>
  </r>
  <r>
    <x v="0"/>
    <x v="0"/>
    <x v="0"/>
    <x v="2"/>
    <x v="3"/>
    <s v="FinA"/>
    <x v="13"/>
    <x v="138"/>
    <x v="0"/>
    <x v="9"/>
    <n v="1103.1664964249201"/>
    <n v="402655.77119509701"/>
    <n v="1449560.77630235"/>
  </r>
  <r>
    <x v="0"/>
    <x v="0"/>
    <x v="0"/>
    <x v="2"/>
    <x v="3"/>
    <s v="FinA"/>
    <x v="13"/>
    <x v="138"/>
    <x v="0"/>
    <x v="10"/>
    <n v="1103.1664964249201"/>
    <n v="402655.77119509701"/>
    <n v="1449560.77630235"/>
  </r>
  <r>
    <x v="0"/>
    <x v="0"/>
    <x v="0"/>
    <x v="2"/>
    <x v="3"/>
    <s v="FinA"/>
    <x v="13"/>
    <x v="138"/>
    <x v="0"/>
    <x v="11"/>
    <n v="1103.1664964249201"/>
    <n v="402655.77119509701"/>
    <n v="1449560.77630235"/>
  </r>
  <r>
    <x v="0"/>
    <x v="0"/>
    <x v="0"/>
    <x v="2"/>
    <x v="3"/>
    <s v="FinA"/>
    <x v="13"/>
    <x v="138"/>
    <x v="0"/>
    <x v="12"/>
    <n v="1103.1664964249201"/>
    <n v="402655.77119509701"/>
    <n v="1449560.77630235"/>
  </r>
  <r>
    <x v="0"/>
    <x v="0"/>
    <x v="0"/>
    <x v="2"/>
    <x v="3"/>
    <s v="FinA"/>
    <x v="13"/>
    <x v="138"/>
    <x v="0"/>
    <x v="13"/>
    <n v="1103.1664964249201"/>
    <n v="402655.77119509701"/>
    <n v="1449560.77630235"/>
  </r>
  <r>
    <x v="0"/>
    <x v="0"/>
    <x v="0"/>
    <x v="2"/>
    <x v="3"/>
    <s v="FinA"/>
    <x v="13"/>
    <x v="138"/>
    <x v="0"/>
    <x v="14"/>
    <n v="1103.1664964249201"/>
    <n v="402655.77119509701"/>
    <n v="1449560.77630235"/>
  </r>
  <r>
    <x v="0"/>
    <x v="0"/>
    <x v="0"/>
    <x v="2"/>
    <x v="3"/>
    <s v="FinA"/>
    <x v="13"/>
    <x v="138"/>
    <x v="0"/>
    <x v="15"/>
    <n v="1103.1664964249201"/>
    <n v="402655.77119509701"/>
    <n v="1449560.77630235"/>
  </r>
  <r>
    <x v="0"/>
    <x v="0"/>
    <x v="0"/>
    <x v="2"/>
    <x v="3"/>
    <s v="FinA"/>
    <x v="13"/>
    <x v="138"/>
    <x v="0"/>
    <x v="16"/>
    <n v="1103.1664964249201"/>
    <n v="402655.77119509701"/>
    <n v="1449560.77630235"/>
  </r>
  <r>
    <x v="0"/>
    <x v="0"/>
    <x v="0"/>
    <x v="2"/>
    <x v="3"/>
    <s v="FinA"/>
    <x v="13"/>
    <x v="138"/>
    <x v="0"/>
    <x v="17"/>
    <n v="1103.1664964249201"/>
    <n v="402655.77119509701"/>
    <n v="1449560.77630235"/>
  </r>
  <r>
    <x v="0"/>
    <x v="0"/>
    <x v="0"/>
    <x v="2"/>
    <x v="3"/>
    <s v="FinA"/>
    <x v="13"/>
    <x v="138"/>
    <x v="0"/>
    <x v="18"/>
    <n v="1103.1664964249201"/>
    <n v="402655.77119509701"/>
    <n v="1449560.77630235"/>
  </r>
  <r>
    <x v="0"/>
    <x v="0"/>
    <x v="0"/>
    <x v="2"/>
    <x v="3"/>
    <s v="FinA"/>
    <x v="13"/>
    <x v="138"/>
    <x v="0"/>
    <x v="19"/>
    <n v="1103.1664964249201"/>
    <n v="402655.77119509701"/>
    <n v="1449560.77630235"/>
  </r>
  <r>
    <x v="0"/>
    <x v="0"/>
    <x v="0"/>
    <x v="2"/>
    <x v="3"/>
    <s v="FinA"/>
    <x v="13"/>
    <x v="138"/>
    <x v="0"/>
    <x v="20"/>
    <n v="1103.1664964249201"/>
    <n v="402655.77119509701"/>
    <n v="1449560.77630235"/>
  </r>
  <r>
    <x v="0"/>
    <x v="0"/>
    <x v="0"/>
    <x v="2"/>
    <x v="3"/>
    <s v="FinA"/>
    <x v="13"/>
    <x v="138"/>
    <x v="0"/>
    <x v="21"/>
    <n v="1103.1664964249201"/>
    <n v="402655.77119509701"/>
    <n v="1449560.77630235"/>
  </r>
  <r>
    <x v="0"/>
    <x v="0"/>
    <x v="0"/>
    <x v="2"/>
    <x v="3"/>
    <s v="FinA"/>
    <x v="13"/>
    <x v="138"/>
    <x v="0"/>
    <x v="22"/>
    <n v="1103.1664964249201"/>
    <n v="402655.77119509701"/>
    <n v="1449560.77630235"/>
  </r>
  <r>
    <x v="0"/>
    <x v="0"/>
    <x v="0"/>
    <x v="2"/>
    <x v="3"/>
    <s v="FinA"/>
    <x v="13"/>
    <x v="138"/>
    <x v="0"/>
    <x v="23"/>
    <n v="1103.1664964249201"/>
    <n v="402655.77119509701"/>
    <n v="1449560.77630235"/>
  </r>
  <r>
    <x v="0"/>
    <x v="0"/>
    <x v="0"/>
    <x v="2"/>
    <x v="3"/>
    <s v="FinA"/>
    <x v="13"/>
    <x v="139"/>
    <x v="0"/>
    <x v="0"/>
    <n v="6681.4553014553003"/>
    <n v="2438731.1850311798"/>
    <n v="8779432.2661122605"/>
  </r>
  <r>
    <x v="0"/>
    <x v="0"/>
    <x v="0"/>
    <x v="2"/>
    <x v="3"/>
    <s v="FinA"/>
    <x v="13"/>
    <x v="139"/>
    <x v="0"/>
    <x v="1"/>
    <n v="6681.4553014553003"/>
    <n v="2438731.1850311798"/>
    <n v="8779432.2661122605"/>
  </r>
  <r>
    <x v="0"/>
    <x v="0"/>
    <x v="0"/>
    <x v="2"/>
    <x v="3"/>
    <s v="FinA"/>
    <x v="13"/>
    <x v="139"/>
    <x v="0"/>
    <x v="2"/>
    <n v="6681.4553014553003"/>
    <n v="2438731.1850311798"/>
    <n v="8779432.2661122605"/>
  </r>
  <r>
    <x v="0"/>
    <x v="0"/>
    <x v="0"/>
    <x v="2"/>
    <x v="3"/>
    <s v="FinA"/>
    <x v="13"/>
    <x v="139"/>
    <x v="0"/>
    <x v="3"/>
    <n v="6681.4553014553003"/>
    <n v="2438731.1850311798"/>
    <n v="8779432.2661122605"/>
  </r>
  <r>
    <x v="0"/>
    <x v="0"/>
    <x v="0"/>
    <x v="2"/>
    <x v="3"/>
    <s v="FinA"/>
    <x v="13"/>
    <x v="139"/>
    <x v="0"/>
    <x v="4"/>
    <n v="6681.4553014553003"/>
    <n v="2438731.1850311798"/>
    <n v="8779432.2661122605"/>
  </r>
  <r>
    <x v="0"/>
    <x v="0"/>
    <x v="0"/>
    <x v="2"/>
    <x v="3"/>
    <s v="FinA"/>
    <x v="13"/>
    <x v="139"/>
    <x v="0"/>
    <x v="5"/>
    <n v="6681.4553014553003"/>
    <n v="2438731.1850311798"/>
    <n v="8779432.2661122605"/>
  </r>
  <r>
    <x v="0"/>
    <x v="0"/>
    <x v="0"/>
    <x v="2"/>
    <x v="3"/>
    <s v="FinA"/>
    <x v="13"/>
    <x v="139"/>
    <x v="0"/>
    <x v="6"/>
    <n v="6681.4553014553003"/>
    <n v="2438731.1850311798"/>
    <n v="8779432.2661122605"/>
  </r>
  <r>
    <x v="0"/>
    <x v="0"/>
    <x v="0"/>
    <x v="2"/>
    <x v="3"/>
    <s v="FinA"/>
    <x v="13"/>
    <x v="139"/>
    <x v="0"/>
    <x v="7"/>
    <n v="6681.4553014553003"/>
    <n v="2438731.1850311798"/>
    <n v="8779432.2661122605"/>
  </r>
  <r>
    <x v="0"/>
    <x v="0"/>
    <x v="0"/>
    <x v="2"/>
    <x v="3"/>
    <s v="FinA"/>
    <x v="13"/>
    <x v="139"/>
    <x v="0"/>
    <x v="8"/>
    <n v="6681.4553014553003"/>
    <n v="2438731.1850311798"/>
    <n v="8779432.2661122605"/>
  </r>
  <r>
    <x v="0"/>
    <x v="0"/>
    <x v="0"/>
    <x v="2"/>
    <x v="3"/>
    <s v="FinA"/>
    <x v="13"/>
    <x v="139"/>
    <x v="0"/>
    <x v="9"/>
    <n v="6681.4553014553003"/>
    <n v="2438731.1850311798"/>
    <n v="8779432.2661122605"/>
  </r>
  <r>
    <x v="0"/>
    <x v="0"/>
    <x v="0"/>
    <x v="2"/>
    <x v="3"/>
    <s v="FinA"/>
    <x v="13"/>
    <x v="139"/>
    <x v="0"/>
    <x v="10"/>
    <n v="6681.4553014553003"/>
    <n v="2438731.1850311798"/>
    <n v="8779432.2661122605"/>
  </r>
  <r>
    <x v="0"/>
    <x v="0"/>
    <x v="0"/>
    <x v="2"/>
    <x v="3"/>
    <s v="FinA"/>
    <x v="13"/>
    <x v="139"/>
    <x v="0"/>
    <x v="11"/>
    <n v="6681.4553014553003"/>
    <n v="2438731.1850311798"/>
    <n v="8779432.2661122605"/>
  </r>
  <r>
    <x v="0"/>
    <x v="0"/>
    <x v="0"/>
    <x v="2"/>
    <x v="3"/>
    <s v="FinA"/>
    <x v="13"/>
    <x v="139"/>
    <x v="0"/>
    <x v="12"/>
    <n v="6681.4553014553003"/>
    <n v="2438731.1850311798"/>
    <n v="8779432.2661122605"/>
  </r>
  <r>
    <x v="0"/>
    <x v="0"/>
    <x v="0"/>
    <x v="2"/>
    <x v="3"/>
    <s v="FinA"/>
    <x v="13"/>
    <x v="139"/>
    <x v="0"/>
    <x v="13"/>
    <n v="6681.4553014553003"/>
    <n v="2438731.1850311798"/>
    <n v="8779432.2661122605"/>
  </r>
  <r>
    <x v="0"/>
    <x v="0"/>
    <x v="0"/>
    <x v="2"/>
    <x v="3"/>
    <s v="FinA"/>
    <x v="13"/>
    <x v="139"/>
    <x v="0"/>
    <x v="14"/>
    <n v="6681.4553014553003"/>
    <n v="2438731.1850311798"/>
    <n v="8779432.2661122605"/>
  </r>
  <r>
    <x v="0"/>
    <x v="0"/>
    <x v="0"/>
    <x v="2"/>
    <x v="3"/>
    <s v="FinA"/>
    <x v="13"/>
    <x v="139"/>
    <x v="0"/>
    <x v="15"/>
    <n v="6681.4553014553003"/>
    <n v="2438731.1850311798"/>
    <n v="8779432.2661122605"/>
  </r>
  <r>
    <x v="0"/>
    <x v="0"/>
    <x v="0"/>
    <x v="2"/>
    <x v="3"/>
    <s v="FinA"/>
    <x v="13"/>
    <x v="139"/>
    <x v="0"/>
    <x v="16"/>
    <n v="6681.4553014553003"/>
    <n v="2438731.1850311798"/>
    <n v="8779432.2661122605"/>
  </r>
  <r>
    <x v="0"/>
    <x v="0"/>
    <x v="0"/>
    <x v="2"/>
    <x v="3"/>
    <s v="FinA"/>
    <x v="13"/>
    <x v="139"/>
    <x v="0"/>
    <x v="17"/>
    <n v="6681.4553014553003"/>
    <n v="2438731.1850311798"/>
    <n v="8779432.2661122605"/>
  </r>
  <r>
    <x v="0"/>
    <x v="0"/>
    <x v="0"/>
    <x v="2"/>
    <x v="3"/>
    <s v="FinA"/>
    <x v="13"/>
    <x v="139"/>
    <x v="0"/>
    <x v="18"/>
    <n v="6681.4553014553003"/>
    <n v="2438731.1850311798"/>
    <n v="8779432.2661122605"/>
  </r>
  <r>
    <x v="0"/>
    <x v="0"/>
    <x v="0"/>
    <x v="2"/>
    <x v="3"/>
    <s v="FinA"/>
    <x v="13"/>
    <x v="139"/>
    <x v="0"/>
    <x v="19"/>
    <n v="6681.4553014553003"/>
    <n v="2438731.1850311798"/>
    <n v="8779432.2661122605"/>
  </r>
  <r>
    <x v="0"/>
    <x v="0"/>
    <x v="0"/>
    <x v="2"/>
    <x v="3"/>
    <s v="FinA"/>
    <x v="13"/>
    <x v="139"/>
    <x v="0"/>
    <x v="20"/>
    <n v="6681.4553014553003"/>
    <n v="2438731.1850311798"/>
    <n v="8779432.2661122605"/>
  </r>
  <r>
    <x v="0"/>
    <x v="0"/>
    <x v="0"/>
    <x v="2"/>
    <x v="3"/>
    <s v="FinA"/>
    <x v="13"/>
    <x v="139"/>
    <x v="0"/>
    <x v="21"/>
    <n v="6681.4553014553003"/>
    <n v="2438731.1850311798"/>
    <n v="8779432.2661122605"/>
  </r>
  <r>
    <x v="0"/>
    <x v="0"/>
    <x v="0"/>
    <x v="2"/>
    <x v="3"/>
    <s v="FinA"/>
    <x v="13"/>
    <x v="139"/>
    <x v="0"/>
    <x v="22"/>
    <n v="6681.4553014553003"/>
    <n v="2438731.1850311798"/>
    <n v="8779432.2661122605"/>
  </r>
  <r>
    <x v="0"/>
    <x v="0"/>
    <x v="0"/>
    <x v="2"/>
    <x v="3"/>
    <s v="FinA"/>
    <x v="13"/>
    <x v="139"/>
    <x v="0"/>
    <x v="23"/>
    <n v="6681.4553014553003"/>
    <n v="2438731.1850311798"/>
    <n v="8779432.2661122605"/>
  </r>
  <r>
    <x v="0"/>
    <x v="0"/>
    <x v="0"/>
    <x v="2"/>
    <x v="3"/>
    <s v="FinA"/>
    <x v="13"/>
    <x v="140"/>
    <x v="0"/>
    <x v="0"/>
    <n v="650.75"/>
    <n v="237523.75"/>
    <n v="855085.5"/>
  </r>
  <r>
    <x v="0"/>
    <x v="0"/>
    <x v="0"/>
    <x v="2"/>
    <x v="3"/>
    <s v="FinA"/>
    <x v="13"/>
    <x v="140"/>
    <x v="0"/>
    <x v="1"/>
    <n v="650.75"/>
    <n v="237523.75"/>
    <n v="855085.5"/>
  </r>
  <r>
    <x v="0"/>
    <x v="0"/>
    <x v="0"/>
    <x v="2"/>
    <x v="3"/>
    <s v="FinA"/>
    <x v="13"/>
    <x v="140"/>
    <x v="0"/>
    <x v="2"/>
    <n v="650.75"/>
    <n v="237523.75"/>
    <n v="855085.5"/>
  </r>
  <r>
    <x v="0"/>
    <x v="0"/>
    <x v="0"/>
    <x v="2"/>
    <x v="3"/>
    <s v="FinA"/>
    <x v="13"/>
    <x v="140"/>
    <x v="0"/>
    <x v="3"/>
    <n v="650.75"/>
    <n v="237523.75"/>
    <n v="855085.5"/>
  </r>
  <r>
    <x v="0"/>
    <x v="0"/>
    <x v="0"/>
    <x v="2"/>
    <x v="3"/>
    <s v="FinA"/>
    <x v="13"/>
    <x v="140"/>
    <x v="0"/>
    <x v="4"/>
    <n v="650.75"/>
    <n v="237523.75"/>
    <n v="855085.5"/>
  </r>
  <r>
    <x v="0"/>
    <x v="0"/>
    <x v="0"/>
    <x v="2"/>
    <x v="3"/>
    <s v="FinA"/>
    <x v="13"/>
    <x v="140"/>
    <x v="0"/>
    <x v="5"/>
    <n v="650.75"/>
    <n v="237523.75"/>
    <n v="855085.5"/>
  </r>
  <r>
    <x v="0"/>
    <x v="0"/>
    <x v="0"/>
    <x v="2"/>
    <x v="3"/>
    <s v="FinA"/>
    <x v="13"/>
    <x v="140"/>
    <x v="0"/>
    <x v="6"/>
    <n v="650.75"/>
    <n v="237523.75"/>
    <n v="855085.5"/>
  </r>
  <r>
    <x v="0"/>
    <x v="0"/>
    <x v="0"/>
    <x v="2"/>
    <x v="3"/>
    <s v="FinA"/>
    <x v="13"/>
    <x v="140"/>
    <x v="0"/>
    <x v="7"/>
    <n v="650.75"/>
    <n v="237523.75"/>
    <n v="855085.5"/>
  </r>
  <r>
    <x v="0"/>
    <x v="0"/>
    <x v="0"/>
    <x v="2"/>
    <x v="3"/>
    <s v="FinA"/>
    <x v="13"/>
    <x v="140"/>
    <x v="0"/>
    <x v="8"/>
    <n v="650.75"/>
    <n v="237523.75"/>
    <n v="855085.5"/>
  </r>
  <r>
    <x v="0"/>
    <x v="0"/>
    <x v="0"/>
    <x v="2"/>
    <x v="3"/>
    <s v="FinA"/>
    <x v="13"/>
    <x v="140"/>
    <x v="0"/>
    <x v="9"/>
    <n v="650.75"/>
    <n v="237523.75"/>
    <n v="855085.5"/>
  </r>
  <r>
    <x v="0"/>
    <x v="0"/>
    <x v="0"/>
    <x v="2"/>
    <x v="3"/>
    <s v="FinA"/>
    <x v="13"/>
    <x v="140"/>
    <x v="0"/>
    <x v="10"/>
    <n v="650.75"/>
    <n v="237523.75"/>
    <n v="855085.5"/>
  </r>
  <r>
    <x v="0"/>
    <x v="0"/>
    <x v="0"/>
    <x v="2"/>
    <x v="3"/>
    <s v="FinA"/>
    <x v="13"/>
    <x v="140"/>
    <x v="0"/>
    <x v="11"/>
    <n v="650.75"/>
    <n v="237523.75"/>
    <n v="855085.5"/>
  </r>
  <r>
    <x v="0"/>
    <x v="0"/>
    <x v="0"/>
    <x v="2"/>
    <x v="3"/>
    <s v="FinA"/>
    <x v="13"/>
    <x v="140"/>
    <x v="0"/>
    <x v="12"/>
    <n v="650.75"/>
    <n v="237523.75"/>
    <n v="855085.5"/>
  </r>
  <r>
    <x v="0"/>
    <x v="0"/>
    <x v="0"/>
    <x v="2"/>
    <x v="3"/>
    <s v="FinA"/>
    <x v="13"/>
    <x v="140"/>
    <x v="0"/>
    <x v="13"/>
    <n v="650.75"/>
    <n v="237523.75"/>
    <n v="855085.5"/>
  </r>
  <r>
    <x v="0"/>
    <x v="0"/>
    <x v="0"/>
    <x v="2"/>
    <x v="3"/>
    <s v="FinA"/>
    <x v="13"/>
    <x v="140"/>
    <x v="0"/>
    <x v="14"/>
    <n v="650.75"/>
    <n v="237523.75"/>
    <n v="855085.5"/>
  </r>
  <r>
    <x v="0"/>
    <x v="0"/>
    <x v="0"/>
    <x v="2"/>
    <x v="3"/>
    <s v="FinA"/>
    <x v="13"/>
    <x v="140"/>
    <x v="0"/>
    <x v="15"/>
    <n v="650.75"/>
    <n v="237523.75"/>
    <n v="855085.5"/>
  </r>
  <r>
    <x v="0"/>
    <x v="0"/>
    <x v="0"/>
    <x v="2"/>
    <x v="3"/>
    <s v="FinA"/>
    <x v="13"/>
    <x v="140"/>
    <x v="0"/>
    <x v="16"/>
    <n v="650.75"/>
    <n v="237523.75"/>
    <n v="855085.5"/>
  </r>
  <r>
    <x v="0"/>
    <x v="0"/>
    <x v="0"/>
    <x v="2"/>
    <x v="3"/>
    <s v="FinA"/>
    <x v="13"/>
    <x v="140"/>
    <x v="0"/>
    <x v="17"/>
    <n v="650.75"/>
    <n v="237523.75"/>
    <n v="855085.5"/>
  </r>
  <r>
    <x v="0"/>
    <x v="0"/>
    <x v="0"/>
    <x v="2"/>
    <x v="3"/>
    <s v="FinA"/>
    <x v="13"/>
    <x v="140"/>
    <x v="0"/>
    <x v="18"/>
    <n v="650.75"/>
    <n v="237523.75"/>
    <n v="855085.5"/>
  </r>
  <r>
    <x v="0"/>
    <x v="0"/>
    <x v="0"/>
    <x v="2"/>
    <x v="3"/>
    <s v="FinA"/>
    <x v="13"/>
    <x v="140"/>
    <x v="0"/>
    <x v="19"/>
    <n v="650.75"/>
    <n v="237523.75"/>
    <n v="855085.5"/>
  </r>
  <r>
    <x v="0"/>
    <x v="0"/>
    <x v="0"/>
    <x v="2"/>
    <x v="3"/>
    <s v="FinA"/>
    <x v="13"/>
    <x v="140"/>
    <x v="0"/>
    <x v="20"/>
    <n v="650.75"/>
    <n v="237523.75"/>
    <n v="855085.5"/>
  </r>
  <r>
    <x v="0"/>
    <x v="0"/>
    <x v="0"/>
    <x v="2"/>
    <x v="3"/>
    <s v="FinA"/>
    <x v="13"/>
    <x v="140"/>
    <x v="0"/>
    <x v="21"/>
    <n v="650.75"/>
    <n v="237523.75"/>
    <n v="855085.5"/>
  </r>
  <r>
    <x v="0"/>
    <x v="0"/>
    <x v="0"/>
    <x v="2"/>
    <x v="3"/>
    <s v="FinA"/>
    <x v="13"/>
    <x v="140"/>
    <x v="0"/>
    <x v="22"/>
    <n v="650.75"/>
    <n v="237523.75"/>
    <n v="855085.5"/>
  </r>
  <r>
    <x v="0"/>
    <x v="0"/>
    <x v="0"/>
    <x v="2"/>
    <x v="3"/>
    <s v="FinA"/>
    <x v="13"/>
    <x v="140"/>
    <x v="0"/>
    <x v="23"/>
    <n v="650.75"/>
    <n v="237523.75"/>
    <n v="855085.5"/>
  </r>
  <r>
    <x v="0"/>
    <x v="0"/>
    <x v="0"/>
    <x v="2"/>
    <x v="3"/>
    <s v="FinA"/>
    <x v="6"/>
    <x v="141"/>
    <x v="0"/>
    <x v="0"/>
    <n v="18.328108672936299"/>
    <n v="6689.7596656217402"/>
    <n v="24083.134796238301"/>
  </r>
  <r>
    <x v="0"/>
    <x v="0"/>
    <x v="0"/>
    <x v="2"/>
    <x v="3"/>
    <s v="FinA"/>
    <x v="6"/>
    <x v="141"/>
    <x v="0"/>
    <x v="1"/>
    <n v="18.328108672936299"/>
    <n v="6689.7596656217402"/>
    <n v="24083.134796238301"/>
  </r>
  <r>
    <x v="0"/>
    <x v="0"/>
    <x v="0"/>
    <x v="2"/>
    <x v="3"/>
    <s v="FinA"/>
    <x v="6"/>
    <x v="141"/>
    <x v="0"/>
    <x v="2"/>
    <n v="18.328108672936299"/>
    <n v="6689.7596656217402"/>
    <n v="24083.134796238301"/>
  </r>
  <r>
    <x v="0"/>
    <x v="0"/>
    <x v="0"/>
    <x v="2"/>
    <x v="3"/>
    <s v="FinA"/>
    <x v="6"/>
    <x v="141"/>
    <x v="0"/>
    <x v="3"/>
    <n v="18.328108672936299"/>
    <n v="6689.7596656217402"/>
    <n v="24083.134796238301"/>
  </r>
  <r>
    <x v="0"/>
    <x v="0"/>
    <x v="0"/>
    <x v="2"/>
    <x v="3"/>
    <s v="FinA"/>
    <x v="6"/>
    <x v="141"/>
    <x v="0"/>
    <x v="4"/>
    <n v="18.328108672936299"/>
    <n v="6689.7596656217402"/>
    <n v="24083.134796238301"/>
  </r>
  <r>
    <x v="0"/>
    <x v="0"/>
    <x v="0"/>
    <x v="2"/>
    <x v="3"/>
    <s v="FinA"/>
    <x v="6"/>
    <x v="141"/>
    <x v="0"/>
    <x v="5"/>
    <n v="18.328108672936299"/>
    <n v="6689.7596656217402"/>
    <n v="24083.134796238301"/>
  </r>
  <r>
    <x v="0"/>
    <x v="0"/>
    <x v="0"/>
    <x v="2"/>
    <x v="3"/>
    <s v="FinA"/>
    <x v="6"/>
    <x v="141"/>
    <x v="0"/>
    <x v="6"/>
    <n v="18.328108672936299"/>
    <n v="6689.7596656217402"/>
    <n v="24083.134796238301"/>
  </r>
  <r>
    <x v="0"/>
    <x v="0"/>
    <x v="0"/>
    <x v="2"/>
    <x v="3"/>
    <s v="FinA"/>
    <x v="6"/>
    <x v="141"/>
    <x v="0"/>
    <x v="7"/>
    <n v="18.328108672936299"/>
    <n v="6689.7596656217402"/>
    <n v="24083.134796238301"/>
  </r>
  <r>
    <x v="0"/>
    <x v="0"/>
    <x v="0"/>
    <x v="2"/>
    <x v="3"/>
    <s v="FinA"/>
    <x v="6"/>
    <x v="141"/>
    <x v="0"/>
    <x v="8"/>
    <n v="18.328108672936299"/>
    <n v="6689.7596656217402"/>
    <n v="24083.134796238301"/>
  </r>
  <r>
    <x v="0"/>
    <x v="0"/>
    <x v="0"/>
    <x v="2"/>
    <x v="3"/>
    <s v="FinA"/>
    <x v="6"/>
    <x v="141"/>
    <x v="0"/>
    <x v="9"/>
    <n v="18.328108672936299"/>
    <n v="6689.7596656217402"/>
    <n v="24083.134796238301"/>
  </r>
  <r>
    <x v="0"/>
    <x v="0"/>
    <x v="0"/>
    <x v="2"/>
    <x v="3"/>
    <s v="FinA"/>
    <x v="6"/>
    <x v="141"/>
    <x v="0"/>
    <x v="10"/>
    <n v="18.328108672936299"/>
    <n v="6689.7596656217402"/>
    <n v="24083.134796238301"/>
  </r>
  <r>
    <x v="0"/>
    <x v="0"/>
    <x v="0"/>
    <x v="2"/>
    <x v="3"/>
    <s v="FinA"/>
    <x v="6"/>
    <x v="141"/>
    <x v="0"/>
    <x v="11"/>
    <n v="18.328108672936299"/>
    <n v="6689.7596656217402"/>
    <n v="24083.134796238301"/>
  </r>
  <r>
    <x v="0"/>
    <x v="0"/>
    <x v="0"/>
    <x v="2"/>
    <x v="3"/>
    <s v="FinA"/>
    <x v="6"/>
    <x v="141"/>
    <x v="0"/>
    <x v="12"/>
    <n v="18.328108672936299"/>
    <n v="6689.7596656217402"/>
    <n v="24083.134796238301"/>
  </r>
  <r>
    <x v="0"/>
    <x v="0"/>
    <x v="0"/>
    <x v="2"/>
    <x v="3"/>
    <s v="FinA"/>
    <x v="6"/>
    <x v="141"/>
    <x v="0"/>
    <x v="13"/>
    <n v="18.328108672936299"/>
    <n v="6689.7596656217402"/>
    <n v="24083.134796238301"/>
  </r>
  <r>
    <x v="0"/>
    <x v="0"/>
    <x v="0"/>
    <x v="2"/>
    <x v="3"/>
    <s v="FinA"/>
    <x v="6"/>
    <x v="141"/>
    <x v="0"/>
    <x v="14"/>
    <n v="18.328108672936299"/>
    <n v="6689.7596656217402"/>
    <n v="24083.134796238301"/>
  </r>
  <r>
    <x v="0"/>
    <x v="0"/>
    <x v="0"/>
    <x v="2"/>
    <x v="3"/>
    <s v="FinA"/>
    <x v="6"/>
    <x v="141"/>
    <x v="0"/>
    <x v="15"/>
    <n v="18.328108672936299"/>
    <n v="6689.7596656217402"/>
    <n v="24083.134796238301"/>
  </r>
  <r>
    <x v="0"/>
    <x v="0"/>
    <x v="0"/>
    <x v="2"/>
    <x v="3"/>
    <s v="FinA"/>
    <x v="6"/>
    <x v="141"/>
    <x v="0"/>
    <x v="16"/>
    <n v="18.328108672936299"/>
    <n v="6689.7596656217402"/>
    <n v="24083.134796238301"/>
  </r>
  <r>
    <x v="0"/>
    <x v="0"/>
    <x v="0"/>
    <x v="2"/>
    <x v="3"/>
    <s v="FinA"/>
    <x v="6"/>
    <x v="141"/>
    <x v="0"/>
    <x v="17"/>
    <n v="18.328108672936299"/>
    <n v="6689.7596656217402"/>
    <n v="24083.134796238301"/>
  </r>
  <r>
    <x v="0"/>
    <x v="0"/>
    <x v="0"/>
    <x v="2"/>
    <x v="3"/>
    <s v="FinA"/>
    <x v="6"/>
    <x v="141"/>
    <x v="0"/>
    <x v="18"/>
    <n v="18.328108672936299"/>
    <n v="6689.7596656217402"/>
    <n v="24083.134796238301"/>
  </r>
  <r>
    <x v="0"/>
    <x v="0"/>
    <x v="0"/>
    <x v="2"/>
    <x v="3"/>
    <s v="FinA"/>
    <x v="6"/>
    <x v="141"/>
    <x v="0"/>
    <x v="19"/>
    <n v="18.328108672936299"/>
    <n v="6689.7596656217402"/>
    <n v="24083.134796238301"/>
  </r>
  <r>
    <x v="0"/>
    <x v="0"/>
    <x v="0"/>
    <x v="2"/>
    <x v="3"/>
    <s v="FinA"/>
    <x v="6"/>
    <x v="141"/>
    <x v="0"/>
    <x v="20"/>
    <n v="18.328108672936299"/>
    <n v="6689.7596656217402"/>
    <n v="24083.134796238301"/>
  </r>
  <r>
    <x v="0"/>
    <x v="0"/>
    <x v="0"/>
    <x v="2"/>
    <x v="3"/>
    <s v="FinA"/>
    <x v="6"/>
    <x v="141"/>
    <x v="0"/>
    <x v="21"/>
    <n v="18.328108672936299"/>
    <n v="6689.7596656217402"/>
    <n v="24083.134796238301"/>
  </r>
  <r>
    <x v="0"/>
    <x v="0"/>
    <x v="0"/>
    <x v="2"/>
    <x v="3"/>
    <s v="FinA"/>
    <x v="6"/>
    <x v="141"/>
    <x v="0"/>
    <x v="22"/>
    <n v="18.328108672936299"/>
    <n v="6689.7596656217402"/>
    <n v="24083.134796238301"/>
  </r>
  <r>
    <x v="0"/>
    <x v="0"/>
    <x v="0"/>
    <x v="2"/>
    <x v="3"/>
    <s v="FinA"/>
    <x v="6"/>
    <x v="141"/>
    <x v="0"/>
    <x v="23"/>
    <n v="18.328108672936299"/>
    <n v="6689.7596656217402"/>
    <n v="24083.134796238301"/>
  </r>
  <r>
    <x v="0"/>
    <x v="0"/>
    <x v="0"/>
    <x v="3"/>
    <x v="4"/>
    <s v="DE4-E_A"/>
    <x v="0"/>
    <x v="142"/>
    <x v="0"/>
    <x v="0"/>
    <n v="5.7111111111111104"/>
    <n v="2084.5555555555602"/>
    <n v="7504.4"/>
  </r>
  <r>
    <x v="0"/>
    <x v="0"/>
    <x v="0"/>
    <x v="3"/>
    <x v="4"/>
    <s v="DE4-E_A"/>
    <x v="0"/>
    <x v="142"/>
    <x v="0"/>
    <x v="1"/>
    <n v="5.7111111111111104"/>
    <n v="2084.5555555555602"/>
    <n v="7504.4"/>
  </r>
  <r>
    <x v="0"/>
    <x v="0"/>
    <x v="0"/>
    <x v="3"/>
    <x v="4"/>
    <s v="DE4-E_A"/>
    <x v="0"/>
    <x v="142"/>
    <x v="0"/>
    <x v="2"/>
    <n v="5.7111111111111104"/>
    <n v="2084.5555555555602"/>
    <n v="7504.4"/>
  </r>
  <r>
    <x v="0"/>
    <x v="0"/>
    <x v="0"/>
    <x v="3"/>
    <x v="4"/>
    <s v="DE4-E_A"/>
    <x v="0"/>
    <x v="142"/>
    <x v="0"/>
    <x v="3"/>
    <n v="5.7111111111111104"/>
    <n v="2084.5555555555602"/>
    <n v="7504.4"/>
  </r>
  <r>
    <x v="0"/>
    <x v="0"/>
    <x v="0"/>
    <x v="3"/>
    <x v="4"/>
    <s v="DE4-E_A"/>
    <x v="0"/>
    <x v="142"/>
    <x v="0"/>
    <x v="4"/>
    <n v="5.7111111111111104"/>
    <n v="2084.5555555555602"/>
    <n v="7504.4"/>
  </r>
  <r>
    <x v="0"/>
    <x v="0"/>
    <x v="0"/>
    <x v="3"/>
    <x v="4"/>
    <s v="DE4-E_A"/>
    <x v="0"/>
    <x v="142"/>
    <x v="0"/>
    <x v="5"/>
    <n v="5.7111111111111104"/>
    <n v="2084.5555555555602"/>
    <n v="7504.4"/>
  </r>
  <r>
    <x v="0"/>
    <x v="0"/>
    <x v="0"/>
    <x v="3"/>
    <x v="4"/>
    <s v="DE4-E_A"/>
    <x v="0"/>
    <x v="142"/>
    <x v="0"/>
    <x v="6"/>
    <n v="5.7111111111111104"/>
    <n v="2084.5555555555602"/>
    <n v="7504.4"/>
  </r>
  <r>
    <x v="0"/>
    <x v="0"/>
    <x v="0"/>
    <x v="3"/>
    <x v="4"/>
    <s v="DE4-E_A"/>
    <x v="0"/>
    <x v="142"/>
    <x v="0"/>
    <x v="7"/>
    <n v="5.7111111111111104"/>
    <n v="2084.5555555555602"/>
    <n v="7504.4"/>
  </r>
  <r>
    <x v="0"/>
    <x v="0"/>
    <x v="0"/>
    <x v="3"/>
    <x v="4"/>
    <s v="DE4-E_A"/>
    <x v="0"/>
    <x v="142"/>
    <x v="0"/>
    <x v="8"/>
    <n v="5.7111111111111104"/>
    <n v="2084.5555555555602"/>
    <n v="7504.4"/>
  </r>
  <r>
    <x v="0"/>
    <x v="0"/>
    <x v="0"/>
    <x v="3"/>
    <x v="4"/>
    <s v="DE4-E_A"/>
    <x v="0"/>
    <x v="142"/>
    <x v="0"/>
    <x v="9"/>
    <n v="5.7111111111111104"/>
    <n v="2084.5555555555602"/>
    <n v="7504.4"/>
  </r>
  <r>
    <x v="0"/>
    <x v="0"/>
    <x v="0"/>
    <x v="3"/>
    <x v="4"/>
    <s v="DE4-E_A"/>
    <x v="0"/>
    <x v="142"/>
    <x v="0"/>
    <x v="10"/>
    <n v="5.7111111111111104"/>
    <n v="2084.5555555555602"/>
    <n v="7504.4"/>
  </r>
  <r>
    <x v="0"/>
    <x v="0"/>
    <x v="0"/>
    <x v="3"/>
    <x v="4"/>
    <s v="DE4-E_A"/>
    <x v="0"/>
    <x v="142"/>
    <x v="0"/>
    <x v="11"/>
    <n v="5.7111111111111104"/>
    <n v="2084.5555555555602"/>
    <n v="7504.4"/>
  </r>
  <r>
    <x v="0"/>
    <x v="0"/>
    <x v="0"/>
    <x v="3"/>
    <x v="4"/>
    <s v="DE4-E_A"/>
    <x v="0"/>
    <x v="142"/>
    <x v="0"/>
    <x v="12"/>
    <n v="5.7111111111111104"/>
    <n v="2084.5555555555602"/>
    <n v="7504.4"/>
  </r>
  <r>
    <x v="0"/>
    <x v="0"/>
    <x v="0"/>
    <x v="3"/>
    <x v="4"/>
    <s v="DE4-E_A"/>
    <x v="0"/>
    <x v="142"/>
    <x v="0"/>
    <x v="13"/>
    <n v="5.7111111111111104"/>
    <n v="2084.5555555555602"/>
    <n v="7504.4"/>
  </r>
  <r>
    <x v="0"/>
    <x v="0"/>
    <x v="0"/>
    <x v="3"/>
    <x v="4"/>
    <s v="DE4-E_A"/>
    <x v="0"/>
    <x v="142"/>
    <x v="0"/>
    <x v="14"/>
    <n v="5.7111111111111104"/>
    <n v="2084.5555555555602"/>
    <n v="7504.4"/>
  </r>
  <r>
    <x v="0"/>
    <x v="0"/>
    <x v="0"/>
    <x v="3"/>
    <x v="4"/>
    <s v="DE4-E_A"/>
    <x v="0"/>
    <x v="142"/>
    <x v="0"/>
    <x v="15"/>
    <n v="5.7111111111111104"/>
    <n v="2084.5555555555602"/>
    <n v="7504.4"/>
  </r>
  <r>
    <x v="0"/>
    <x v="0"/>
    <x v="0"/>
    <x v="3"/>
    <x v="4"/>
    <s v="DE4-E_A"/>
    <x v="0"/>
    <x v="142"/>
    <x v="0"/>
    <x v="16"/>
    <n v="5.7111111111111104"/>
    <n v="2084.5555555555602"/>
    <n v="7504.4"/>
  </r>
  <r>
    <x v="0"/>
    <x v="0"/>
    <x v="0"/>
    <x v="3"/>
    <x v="4"/>
    <s v="DE4-E_A"/>
    <x v="0"/>
    <x v="142"/>
    <x v="0"/>
    <x v="17"/>
    <n v="5.7111111111111104"/>
    <n v="2084.5555555555602"/>
    <n v="7504.4"/>
  </r>
  <r>
    <x v="0"/>
    <x v="0"/>
    <x v="0"/>
    <x v="3"/>
    <x v="4"/>
    <s v="DE4-E_A"/>
    <x v="0"/>
    <x v="142"/>
    <x v="0"/>
    <x v="18"/>
    <n v="5.7111111111111104"/>
    <n v="2084.5555555555602"/>
    <n v="7504.4"/>
  </r>
  <r>
    <x v="0"/>
    <x v="0"/>
    <x v="0"/>
    <x v="3"/>
    <x v="4"/>
    <s v="DE4-E_A"/>
    <x v="0"/>
    <x v="142"/>
    <x v="0"/>
    <x v="19"/>
    <n v="5.7111111111111104"/>
    <n v="2084.5555555555602"/>
    <n v="7504.4"/>
  </r>
  <r>
    <x v="0"/>
    <x v="0"/>
    <x v="0"/>
    <x v="3"/>
    <x v="4"/>
    <s v="DE4-E_A"/>
    <x v="0"/>
    <x v="142"/>
    <x v="0"/>
    <x v="20"/>
    <n v="5.7111111111111104"/>
    <n v="2084.5555555555602"/>
    <n v="7504.4"/>
  </r>
  <r>
    <x v="0"/>
    <x v="0"/>
    <x v="0"/>
    <x v="3"/>
    <x v="4"/>
    <s v="DE4-E_A"/>
    <x v="0"/>
    <x v="142"/>
    <x v="0"/>
    <x v="21"/>
    <n v="5.7111111111111104"/>
    <n v="2084.5555555555602"/>
    <n v="7504.4"/>
  </r>
  <r>
    <x v="0"/>
    <x v="0"/>
    <x v="0"/>
    <x v="3"/>
    <x v="4"/>
    <s v="DE4-E_A"/>
    <x v="0"/>
    <x v="142"/>
    <x v="0"/>
    <x v="22"/>
    <n v="5.7111111111111104"/>
    <n v="2084.5555555555602"/>
    <n v="7504.4"/>
  </r>
  <r>
    <x v="0"/>
    <x v="0"/>
    <x v="0"/>
    <x v="3"/>
    <x v="4"/>
    <s v="DE4-E_A"/>
    <x v="0"/>
    <x v="142"/>
    <x v="0"/>
    <x v="23"/>
    <n v="5.7111111111111104"/>
    <n v="2084.5555555555602"/>
    <n v="7504.4"/>
  </r>
  <r>
    <x v="0"/>
    <x v="0"/>
    <x v="0"/>
    <x v="3"/>
    <x v="4"/>
    <s v="DE4-E_A"/>
    <x v="0"/>
    <x v="143"/>
    <x v="0"/>
    <x v="0"/>
    <n v="4153.6590909090901"/>
    <n v="1516085.56818182"/>
    <n v="5457908.0454545403"/>
  </r>
  <r>
    <x v="0"/>
    <x v="0"/>
    <x v="0"/>
    <x v="3"/>
    <x v="4"/>
    <s v="DE4-E_A"/>
    <x v="0"/>
    <x v="143"/>
    <x v="0"/>
    <x v="1"/>
    <n v="4153.6590909090901"/>
    <n v="1516085.56818182"/>
    <n v="5457908.0454545403"/>
  </r>
  <r>
    <x v="0"/>
    <x v="0"/>
    <x v="0"/>
    <x v="3"/>
    <x v="4"/>
    <s v="DE4-E_A"/>
    <x v="0"/>
    <x v="143"/>
    <x v="0"/>
    <x v="2"/>
    <n v="4153.6590909090901"/>
    <n v="1516085.56818182"/>
    <n v="5457908.0454545403"/>
  </r>
  <r>
    <x v="0"/>
    <x v="0"/>
    <x v="0"/>
    <x v="3"/>
    <x v="4"/>
    <s v="DE4-E_A"/>
    <x v="0"/>
    <x v="143"/>
    <x v="0"/>
    <x v="3"/>
    <n v="4153.6590909090901"/>
    <n v="1516085.56818182"/>
    <n v="5457908.0454545403"/>
  </r>
  <r>
    <x v="0"/>
    <x v="0"/>
    <x v="0"/>
    <x v="3"/>
    <x v="4"/>
    <s v="DE4-E_A"/>
    <x v="0"/>
    <x v="143"/>
    <x v="0"/>
    <x v="4"/>
    <n v="4153.6590909090901"/>
    <n v="1516085.56818182"/>
    <n v="5457908.0454545403"/>
  </r>
  <r>
    <x v="0"/>
    <x v="0"/>
    <x v="0"/>
    <x v="3"/>
    <x v="4"/>
    <s v="DE4-E_A"/>
    <x v="0"/>
    <x v="143"/>
    <x v="0"/>
    <x v="5"/>
    <n v="4153.6590909090901"/>
    <n v="1516085.56818182"/>
    <n v="5457908.0454545403"/>
  </r>
  <r>
    <x v="0"/>
    <x v="0"/>
    <x v="0"/>
    <x v="3"/>
    <x v="4"/>
    <s v="DE4-E_A"/>
    <x v="0"/>
    <x v="143"/>
    <x v="0"/>
    <x v="6"/>
    <n v="4153.6590909090901"/>
    <n v="1516085.56818182"/>
    <n v="5457908.0454545403"/>
  </r>
  <r>
    <x v="0"/>
    <x v="0"/>
    <x v="0"/>
    <x v="3"/>
    <x v="4"/>
    <s v="DE4-E_A"/>
    <x v="0"/>
    <x v="143"/>
    <x v="0"/>
    <x v="7"/>
    <n v="4153.6590909090901"/>
    <n v="1516085.56818182"/>
    <n v="5457908.0454545403"/>
  </r>
  <r>
    <x v="0"/>
    <x v="0"/>
    <x v="0"/>
    <x v="3"/>
    <x v="4"/>
    <s v="DE4-E_A"/>
    <x v="0"/>
    <x v="143"/>
    <x v="0"/>
    <x v="8"/>
    <n v="4153.6590909090901"/>
    <n v="1516085.56818182"/>
    <n v="5457908.0454545403"/>
  </r>
  <r>
    <x v="0"/>
    <x v="0"/>
    <x v="0"/>
    <x v="3"/>
    <x v="4"/>
    <s v="DE4-E_A"/>
    <x v="0"/>
    <x v="143"/>
    <x v="0"/>
    <x v="9"/>
    <n v="4153.6590909090901"/>
    <n v="1516085.56818182"/>
    <n v="5457908.0454545403"/>
  </r>
  <r>
    <x v="0"/>
    <x v="0"/>
    <x v="0"/>
    <x v="3"/>
    <x v="4"/>
    <s v="DE4-E_A"/>
    <x v="0"/>
    <x v="143"/>
    <x v="0"/>
    <x v="10"/>
    <n v="4153.6590909090901"/>
    <n v="1516085.56818182"/>
    <n v="5457908.0454545403"/>
  </r>
  <r>
    <x v="0"/>
    <x v="0"/>
    <x v="0"/>
    <x v="3"/>
    <x v="4"/>
    <s v="DE4-E_A"/>
    <x v="0"/>
    <x v="143"/>
    <x v="0"/>
    <x v="11"/>
    <n v="4153.6590909090901"/>
    <n v="1516085.56818182"/>
    <n v="5457908.0454545403"/>
  </r>
  <r>
    <x v="0"/>
    <x v="0"/>
    <x v="0"/>
    <x v="3"/>
    <x v="4"/>
    <s v="DE4-E_A"/>
    <x v="0"/>
    <x v="143"/>
    <x v="0"/>
    <x v="12"/>
    <n v="4153.6590909090901"/>
    <n v="1516085.56818182"/>
    <n v="5457908.0454545403"/>
  </r>
  <r>
    <x v="0"/>
    <x v="0"/>
    <x v="0"/>
    <x v="3"/>
    <x v="4"/>
    <s v="DE4-E_A"/>
    <x v="0"/>
    <x v="143"/>
    <x v="0"/>
    <x v="13"/>
    <n v="4153.6590909090901"/>
    <n v="1516085.56818182"/>
    <n v="5457908.0454545403"/>
  </r>
  <r>
    <x v="0"/>
    <x v="0"/>
    <x v="0"/>
    <x v="3"/>
    <x v="4"/>
    <s v="DE4-E_A"/>
    <x v="0"/>
    <x v="143"/>
    <x v="0"/>
    <x v="14"/>
    <n v="4153.6590909090901"/>
    <n v="1516085.56818182"/>
    <n v="5457908.0454545403"/>
  </r>
  <r>
    <x v="0"/>
    <x v="0"/>
    <x v="0"/>
    <x v="3"/>
    <x v="4"/>
    <s v="DE4-E_A"/>
    <x v="0"/>
    <x v="143"/>
    <x v="0"/>
    <x v="15"/>
    <n v="4153.6590909090901"/>
    <n v="1516085.56818182"/>
    <n v="5457908.0454545403"/>
  </r>
  <r>
    <x v="0"/>
    <x v="0"/>
    <x v="0"/>
    <x v="3"/>
    <x v="4"/>
    <s v="DE4-E_A"/>
    <x v="0"/>
    <x v="143"/>
    <x v="0"/>
    <x v="16"/>
    <n v="4153.6590909090901"/>
    <n v="1516085.56818182"/>
    <n v="5457908.0454545403"/>
  </r>
  <r>
    <x v="0"/>
    <x v="0"/>
    <x v="0"/>
    <x v="3"/>
    <x v="4"/>
    <s v="DE4-E_A"/>
    <x v="0"/>
    <x v="143"/>
    <x v="0"/>
    <x v="17"/>
    <n v="4153.6590909090901"/>
    <n v="1516085.56818182"/>
    <n v="5457908.0454545403"/>
  </r>
  <r>
    <x v="0"/>
    <x v="0"/>
    <x v="0"/>
    <x v="3"/>
    <x v="4"/>
    <s v="DE4-E_A"/>
    <x v="0"/>
    <x v="143"/>
    <x v="0"/>
    <x v="18"/>
    <n v="4153.6590909090901"/>
    <n v="1516085.56818182"/>
    <n v="5457908.0454545403"/>
  </r>
  <r>
    <x v="0"/>
    <x v="0"/>
    <x v="0"/>
    <x v="3"/>
    <x v="4"/>
    <s v="DE4-E_A"/>
    <x v="0"/>
    <x v="143"/>
    <x v="0"/>
    <x v="19"/>
    <n v="4153.6590909090901"/>
    <n v="1516085.56818182"/>
    <n v="5457908.0454545403"/>
  </r>
  <r>
    <x v="0"/>
    <x v="0"/>
    <x v="0"/>
    <x v="3"/>
    <x v="4"/>
    <s v="DE4-E_A"/>
    <x v="0"/>
    <x v="143"/>
    <x v="0"/>
    <x v="20"/>
    <n v="4153.6590909090901"/>
    <n v="1516085.56818182"/>
    <n v="5457908.0454545403"/>
  </r>
  <r>
    <x v="0"/>
    <x v="0"/>
    <x v="0"/>
    <x v="3"/>
    <x v="4"/>
    <s v="DE4-E_A"/>
    <x v="0"/>
    <x v="143"/>
    <x v="0"/>
    <x v="21"/>
    <n v="4153.6590909090901"/>
    <n v="1516085.56818182"/>
    <n v="5457908.0454545403"/>
  </r>
  <r>
    <x v="0"/>
    <x v="0"/>
    <x v="0"/>
    <x v="3"/>
    <x v="4"/>
    <s v="DE4-E_A"/>
    <x v="0"/>
    <x v="143"/>
    <x v="0"/>
    <x v="22"/>
    <n v="4153.6590909090901"/>
    <n v="1516085.56818182"/>
    <n v="5457908.0454545403"/>
  </r>
  <r>
    <x v="0"/>
    <x v="0"/>
    <x v="0"/>
    <x v="3"/>
    <x v="4"/>
    <s v="DE4-E_A"/>
    <x v="0"/>
    <x v="143"/>
    <x v="0"/>
    <x v="23"/>
    <n v="4153.6590909090901"/>
    <n v="1516085.56818182"/>
    <n v="5457908.0454545403"/>
  </r>
  <r>
    <x v="0"/>
    <x v="0"/>
    <x v="0"/>
    <x v="3"/>
    <x v="4"/>
    <s v="DE4-E_A"/>
    <x v="0"/>
    <x v="144"/>
    <x v="0"/>
    <x v="0"/>
    <n v="606.31578947368405"/>
    <n v="221305.26315789501"/>
    <n v="796698.94736842101"/>
  </r>
  <r>
    <x v="0"/>
    <x v="0"/>
    <x v="0"/>
    <x v="3"/>
    <x v="4"/>
    <s v="DE4-E_A"/>
    <x v="0"/>
    <x v="144"/>
    <x v="0"/>
    <x v="1"/>
    <n v="606.31578947368405"/>
    <n v="221305.26315789501"/>
    <n v="796698.94736842101"/>
  </r>
  <r>
    <x v="0"/>
    <x v="0"/>
    <x v="0"/>
    <x v="3"/>
    <x v="4"/>
    <s v="DE4-E_A"/>
    <x v="0"/>
    <x v="144"/>
    <x v="0"/>
    <x v="2"/>
    <n v="606.31578947368405"/>
    <n v="221305.26315789501"/>
    <n v="796698.94736842101"/>
  </r>
  <r>
    <x v="0"/>
    <x v="0"/>
    <x v="0"/>
    <x v="3"/>
    <x v="4"/>
    <s v="DE4-E_A"/>
    <x v="0"/>
    <x v="144"/>
    <x v="0"/>
    <x v="3"/>
    <n v="606.31578947368405"/>
    <n v="221305.26315789501"/>
    <n v="796698.94736842101"/>
  </r>
  <r>
    <x v="0"/>
    <x v="0"/>
    <x v="0"/>
    <x v="3"/>
    <x v="4"/>
    <s v="DE4-E_A"/>
    <x v="0"/>
    <x v="144"/>
    <x v="0"/>
    <x v="4"/>
    <n v="606.31578947368405"/>
    <n v="221305.26315789501"/>
    <n v="796698.94736842101"/>
  </r>
  <r>
    <x v="0"/>
    <x v="0"/>
    <x v="0"/>
    <x v="3"/>
    <x v="4"/>
    <s v="DE4-E_A"/>
    <x v="0"/>
    <x v="144"/>
    <x v="0"/>
    <x v="5"/>
    <n v="606.31578947368405"/>
    <n v="221305.26315789501"/>
    <n v="796698.94736842101"/>
  </r>
  <r>
    <x v="0"/>
    <x v="0"/>
    <x v="0"/>
    <x v="3"/>
    <x v="4"/>
    <s v="DE4-E_A"/>
    <x v="0"/>
    <x v="144"/>
    <x v="0"/>
    <x v="6"/>
    <n v="606.31578947368405"/>
    <n v="221305.26315789501"/>
    <n v="796698.94736842101"/>
  </r>
  <r>
    <x v="0"/>
    <x v="0"/>
    <x v="0"/>
    <x v="3"/>
    <x v="4"/>
    <s v="DE4-E_A"/>
    <x v="0"/>
    <x v="144"/>
    <x v="0"/>
    <x v="7"/>
    <n v="606.31578947368405"/>
    <n v="221305.26315789501"/>
    <n v="796698.94736842101"/>
  </r>
  <r>
    <x v="0"/>
    <x v="0"/>
    <x v="0"/>
    <x v="3"/>
    <x v="4"/>
    <s v="DE4-E_A"/>
    <x v="0"/>
    <x v="144"/>
    <x v="0"/>
    <x v="8"/>
    <n v="606.31578947368405"/>
    <n v="221305.26315789501"/>
    <n v="796698.94736842101"/>
  </r>
  <r>
    <x v="0"/>
    <x v="0"/>
    <x v="0"/>
    <x v="3"/>
    <x v="4"/>
    <s v="DE4-E_A"/>
    <x v="0"/>
    <x v="144"/>
    <x v="0"/>
    <x v="9"/>
    <n v="606.31578947368405"/>
    <n v="221305.26315789501"/>
    <n v="796698.94736842101"/>
  </r>
  <r>
    <x v="0"/>
    <x v="0"/>
    <x v="0"/>
    <x v="3"/>
    <x v="4"/>
    <s v="DE4-E_A"/>
    <x v="0"/>
    <x v="144"/>
    <x v="0"/>
    <x v="10"/>
    <n v="606.31578947368405"/>
    <n v="221305.26315789501"/>
    <n v="796698.94736842101"/>
  </r>
  <r>
    <x v="0"/>
    <x v="0"/>
    <x v="0"/>
    <x v="3"/>
    <x v="4"/>
    <s v="DE4-E_A"/>
    <x v="0"/>
    <x v="144"/>
    <x v="0"/>
    <x v="11"/>
    <n v="606.31578947368405"/>
    <n v="221305.26315789501"/>
    <n v="796698.94736842101"/>
  </r>
  <r>
    <x v="0"/>
    <x v="0"/>
    <x v="0"/>
    <x v="3"/>
    <x v="4"/>
    <s v="DE4-E_A"/>
    <x v="0"/>
    <x v="144"/>
    <x v="0"/>
    <x v="12"/>
    <n v="606.31578947368405"/>
    <n v="221305.26315789501"/>
    <n v="796698.94736842101"/>
  </r>
  <r>
    <x v="0"/>
    <x v="0"/>
    <x v="0"/>
    <x v="3"/>
    <x v="4"/>
    <s v="DE4-E_A"/>
    <x v="0"/>
    <x v="144"/>
    <x v="0"/>
    <x v="13"/>
    <n v="606.31578947368405"/>
    <n v="221305.26315789501"/>
    <n v="796698.94736842101"/>
  </r>
  <r>
    <x v="0"/>
    <x v="0"/>
    <x v="0"/>
    <x v="3"/>
    <x v="4"/>
    <s v="DE4-E_A"/>
    <x v="0"/>
    <x v="144"/>
    <x v="0"/>
    <x v="14"/>
    <n v="606.31578947368405"/>
    <n v="221305.26315789501"/>
    <n v="796698.94736842101"/>
  </r>
  <r>
    <x v="0"/>
    <x v="0"/>
    <x v="0"/>
    <x v="3"/>
    <x v="4"/>
    <s v="DE4-E_A"/>
    <x v="0"/>
    <x v="144"/>
    <x v="0"/>
    <x v="15"/>
    <n v="606.31578947368405"/>
    <n v="221305.26315789501"/>
    <n v="796698.94736842101"/>
  </r>
  <r>
    <x v="0"/>
    <x v="0"/>
    <x v="0"/>
    <x v="3"/>
    <x v="4"/>
    <s v="DE4-E_A"/>
    <x v="0"/>
    <x v="144"/>
    <x v="0"/>
    <x v="16"/>
    <n v="606.31578947368405"/>
    <n v="221305.26315789501"/>
    <n v="796698.94736842101"/>
  </r>
  <r>
    <x v="0"/>
    <x v="0"/>
    <x v="0"/>
    <x v="3"/>
    <x v="4"/>
    <s v="DE4-E_A"/>
    <x v="0"/>
    <x v="144"/>
    <x v="0"/>
    <x v="17"/>
    <n v="606.31578947368405"/>
    <n v="221305.26315789501"/>
    <n v="796698.94736842101"/>
  </r>
  <r>
    <x v="0"/>
    <x v="0"/>
    <x v="0"/>
    <x v="3"/>
    <x v="4"/>
    <s v="DE4-E_A"/>
    <x v="0"/>
    <x v="144"/>
    <x v="0"/>
    <x v="18"/>
    <n v="606.31578947368405"/>
    <n v="221305.26315789501"/>
    <n v="796698.94736842101"/>
  </r>
  <r>
    <x v="0"/>
    <x v="0"/>
    <x v="0"/>
    <x v="3"/>
    <x v="4"/>
    <s v="DE4-E_A"/>
    <x v="0"/>
    <x v="144"/>
    <x v="0"/>
    <x v="19"/>
    <n v="606.31578947368405"/>
    <n v="221305.26315789501"/>
    <n v="796698.94736842101"/>
  </r>
  <r>
    <x v="0"/>
    <x v="0"/>
    <x v="0"/>
    <x v="3"/>
    <x v="4"/>
    <s v="DE4-E_A"/>
    <x v="0"/>
    <x v="144"/>
    <x v="0"/>
    <x v="20"/>
    <n v="606.31578947368405"/>
    <n v="221305.26315789501"/>
    <n v="796698.94736842101"/>
  </r>
  <r>
    <x v="0"/>
    <x v="0"/>
    <x v="0"/>
    <x v="3"/>
    <x v="4"/>
    <s v="DE4-E_A"/>
    <x v="0"/>
    <x v="144"/>
    <x v="0"/>
    <x v="21"/>
    <n v="606.31578947368405"/>
    <n v="221305.26315789501"/>
    <n v="796698.94736842101"/>
  </r>
  <r>
    <x v="0"/>
    <x v="0"/>
    <x v="0"/>
    <x v="3"/>
    <x v="4"/>
    <s v="DE4-E_A"/>
    <x v="0"/>
    <x v="144"/>
    <x v="0"/>
    <x v="22"/>
    <n v="606.31578947368405"/>
    <n v="221305.26315789501"/>
    <n v="796698.94736842101"/>
  </r>
  <r>
    <x v="0"/>
    <x v="0"/>
    <x v="0"/>
    <x v="3"/>
    <x v="4"/>
    <s v="DE4-E_A"/>
    <x v="0"/>
    <x v="144"/>
    <x v="0"/>
    <x v="23"/>
    <n v="606.31578947368405"/>
    <n v="221305.26315789501"/>
    <n v="796698.94736842101"/>
  </r>
  <r>
    <x v="0"/>
    <x v="0"/>
    <x v="0"/>
    <x v="3"/>
    <x v="4"/>
    <s v="DE4-E_A"/>
    <x v="0"/>
    <x v="145"/>
    <x v="0"/>
    <x v="0"/>
    <n v="194.210526315789"/>
    <n v="70886.842105263204"/>
    <n v="255192.63157894701"/>
  </r>
  <r>
    <x v="0"/>
    <x v="0"/>
    <x v="0"/>
    <x v="3"/>
    <x v="4"/>
    <s v="DE4-E_A"/>
    <x v="0"/>
    <x v="145"/>
    <x v="0"/>
    <x v="1"/>
    <n v="194.210526315789"/>
    <n v="70886.842105263204"/>
    <n v="255192.63157894701"/>
  </r>
  <r>
    <x v="0"/>
    <x v="0"/>
    <x v="0"/>
    <x v="3"/>
    <x v="4"/>
    <s v="DE4-E_A"/>
    <x v="0"/>
    <x v="145"/>
    <x v="0"/>
    <x v="2"/>
    <n v="194.210526315789"/>
    <n v="70886.842105263204"/>
    <n v="255192.63157894701"/>
  </r>
  <r>
    <x v="0"/>
    <x v="0"/>
    <x v="0"/>
    <x v="3"/>
    <x v="4"/>
    <s v="DE4-E_A"/>
    <x v="0"/>
    <x v="145"/>
    <x v="0"/>
    <x v="3"/>
    <n v="194.210526315789"/>
    <n v="70886.842105263204"/>
    <n v="255192.63157894701"/>
  </r>
  <r>
    <x v="0"/>
    <x v="0"/>
    <x v="0"/>
    <x v="3"/>
    <x v="4"/>
    <s v="DE4-E_A"/>
    <x v="0"/>
    <x v="145"/>
    <x v="0"/>
    <x v="4"/>
    <n v="194.210526315789"/>
    <n v="70886.842105263204"/>
    <n v="255192.63157894701"/>
  </r>
  <r>
    <x v="0"/>
    <x v="0"/>
    <x v="0"/>
    <x v="3"/>
    <x v="4"/>
    <s v="DE4-E_A"/>
    <x v="0"/>
    <x v="145"/>
    <x v="0"/>
    <x v="5"/>
    <n v="194.210526315789"/>
    <n v="70886.842105263204"/>
    <n v="255192.63157894701"/>
  </r>
  <r>
    <x v="0"/>
    <x v="0"/>
    <x v="0"/>
    <x v="3"/>
    <x v="4"/>
    <s v="DE4-E_A"/>
    <x v="0"/>
    <x v="145"/>
    <x v="0"/>
    <x v="6"/>
    <n v="194.210526315789"/>
    <n v="70886.842105263204"/>
    <n v="255192.63157894701"/>
  </r>
  <r>
    <x v="0"/>
    <x v="0"/>
    <x v="0"/>
    <x v="3"/>
    <x v="4"/>
    <s v="DE4-E_A"/>
    <x v="0"/>
    <x v="145"/>
    <x v="0"/>
    <x v="7"/>
    <n v="194.210526315789"/>
    <n v="70886.842105263204"/>
    <n v="255192.63157894701"/>
  </r>
  <r>
    <x v="0"/>
    <x v="0"/>
    <x v="0"/>
    <x v="3"/>
    <x v="4"/>
    <s v="DE4-E_A"/>
    <x v="0"/>
    <x v="145"/>
    <x v="0"/>
    <x v="8"/>
    <n v="194.210526315789"/>
    <n v="70886.842105263204"/>
    <n v="255192.63157894701"/>
  </r>
  <r>
    <x v="0"/>
    <x v="0"/>
    <x v="0"/>
    <x v="3"/>
    <x v="4"/>
    <s v="DE4-E_A"/>
    <x v="0"/>
    <x v="145"/>
    <x v="0"/>
    <x v="9"/>
    <n v="194.210526315789"/>
    <n v="70886.842105263204"/>
    <n v="255192.63157894701"/>
  </r>
  <r>
    <x v="0"/>
    <x v="0"/>
    <x v="0"/>
    <x v="3"/>
    <x v="4"/>
    <s v="DE4-E_A"/>
    <x v="0"/>
    <x v="145"/>
    <x v="0"/>
    <x v="10"/>
    <n v="194.210526315789"/>
    <n v="70886.842105263204"/>
    <n v="255192.63157894701"/>
  </r>
  <r>
    <x v="0"/>
    <x v="0"/>
    <x v="0"/>
    <x v="3"/>
    <x v="4"/>
    <s v="DE4-E_A"/>
    <x v="0"/>
    <x v="145"/>
    <x v="0"/>
    <x v="11"/>
    <n v="194.210526315789"/>
    <n v="70886.842105263204"/>
    <n v="255192.63157894701"/>
  </r>
  <r>
    <x v="0"/>
    <x v="0"/>
    <x v="0"/>
    <x v="3"/>
    <x v="4"/>
    <s v="DE4-E_A"/>
    <x v="0"/>
    <x v="145"/>
    <x v="0"/>
    <x v="12"/>
    <n v="194.210526315789"/>
    <n v="70886.842105263204"/>
    <n v="255192.63157894701"/>
  </r>
  <r>
    <x v="0"/>
    <x v="0"/>
    <x v="0"/>
    <x v="3"/>
    <x v="4"/>
    <s v="DE4-E_A"/>
    <x v="0"/>
    <x v="145"/>
    <x v="0"/>
    <x v="13"/>
    <n v="194.210526315789"/>
    <n v="70886.842105263204"/>
    <n v="255192.63157894701"/>
  </r>
  <r>
    <x v="0"/>
    <x v="0"/>
    <x v="0"/>
    <x v="3"/>
    <x v="4"/>
    <s v="DE4-E_A"/>
    <x v="0"/>
    <x v="145"/>
    <x v="0"/>
    <x v="14"/>
    <n v="194.210526315789"/>
    <n v="70886.842105263204"/>
    <n v="255192.63157894701"/>
  </r>
  <r>
    <x v="0"/>
    <x v="0"/>
    <x v="0"/>
    <x v="3"/>
    <x v="4"/>
    <s v="DE4-E_A"/>
    <x v="0"/>
    <x v="145"/>
    <x v="0"/>
    <x v="15"/>
    <n v="194.210526315789"/>
    <n v="70886.842105263204"/>
    <n v="255192.63157894701"/>
  </r>
  <r>
    <x v="0"/>
    <x v="0"/>
    <x v="0"/>
    <x v="3"/>
    <x v="4"/>
    <s v="DE4-E_A"/>
    <x v="0"/>
    <x v="145"/>
    <x v="0"/>
    <x v="16"/>
    <n v="194.210526315789"/>
    <n v="70886.842105263204"/>
    <n v="255192.63157894701"/>
  </r>
  <r>
    <x v="0"/>
    <x v="0"/>
    <x v="0"/>
    <x v="3"/>
    <x v="4"/>
    <s v="DE4-E_A"/>
    <x v="0"/>
    <x v="145"/>
    <x v="0"/>
    <x v="17"/>
    <n v="194.210526315789"/>
    <n v="70886.842105263204"/>
    <n v="255192.63157894701"/>
  </r>
  <r>
    <x v="0"/>
    <x v="0"/>
    <x v="0"/>
    <x v="3"/>
    <x v="4"/>
    <s v="DE4-E_A"/>
    <x v="0"/>
    <x v="145"/>
    <x v="0"/>
    <x v="18"/>
    <n v="194.210526315789"/>
    <n v="70886.842105263204"/>
    <n v="255192.63157894701"/>
  </r>
  <r>
    <x v="0"/>
    <x v="0"/>
    <x v="0"/>
    <x v="3"/>
    <x v="4"/>
    <s v="DE4-E_A"/>
    <x v="0"/>
    <x v="145"/>
    <x v="0"/>
    <x v="19"/>
    <n v="194.210526315789"/>
    <n v="70886.842105263204"/>
    <n v="255192.63157894701"/>
  </r>
  <r>
    <x v="0"/>
    <x v="0"/>
    <x v="0"/>
    <x v="3"/>
    <x v="4"/>
    <s v="DE4-E_A"/>
    <x v="0"/>
    <x v="145"/>
    <x v="0"/>
    <x v="20"/>
    <n v="194.210526315789"/>
    <n v="70886.842105263204"/>
    <n v="255192.63157894701"/>
  </r>
  <r>
    <x v="0"/>
    <x v="0"/>
    <x v="0"/>
    <x v="3"/>
    <x v="4"/>
    <s v="DE4-E_A"/>
    <x v="0"/>
    <x v="145"/>
    <x v="0"/>
    <x v="21"/>
    <n v="194.210526315789"/>
    <n v="70886.842105263204"/>
    <n v="255192.63157894701"/>
  </r>
  <r>
    <x v="0"/>
    <x v="0"/>
    <x v="0"/>
    <x v="3"/>
    <x v="4"/>
    <s v="DE4-E_A"/>
    <x v="0"/>
    <x v="145"/>
    <x v="0"/>
    <x v="22"/>
    <n v="194.210526315789"/>
    <n v="70886.842105263204"/>
    <n v="255192.63157894701"/>
  </r>
  <r>
    <x v="0"/>
    <x v="0"/>
    <x v="0"/>
    <x v="3"/>
    <x v="4"/>
    <s v="DE4-E_A"/>
    <x v="0"/>
    <x v="145"/>
    <x v="0"/>
    <x v="23"/>
    <n v="194.210526315789"/>
    <n v="70886.842105263204"/>
    <n v="255192.63157894701"/>
  </r>
  <r>
    <x v="0"/>
    <x v="0"/>
    <x v="0"/>
    <x v="3"/>
    <x v="4"/>
    <s v="DE4-E_A"/>
    <x v="17"/>
    <x v="146"/>
    <x v="0"/>
    <x v="0"/>
    <n v="776.04453414684303"/>
    <n v="283256.25496359798"/>
    <n v="1019722.51786895"/>
  </r>
  <r>
    <x v="0"/>
    <x v="0"/>
    <x v="0"/>
    <x v="3"/>
    <x v="4"/>
    <s v="DE4-E_A"/>
    <x v="17"/>
    <x v="146"/>
    <x v="0"/>
    <x v="1"/>
    <n v="563.95633531305396"/>
    <n v="205844.06238926499"/>
    <n v="741038.62460135296"/>
  </r>
  <r>
    <x v="0"/>
    <x v="0"/>
    <x v="0"/>
    <x v="3"/>
    <x v="4"/>
    <s v="DE4-E_A"/>
    <x v="17"/>
    <x v="146"/>
    <x v="0"/>
    <x v="2"/>
    <n v="532.49087745827501"/>
    <n v="194359.17027227001"/>
    <n v="699693.01298017404"/>
  </r>
  <r>
    <x v="0"/>
    <x v="0"/>
    <x v="0"/>
    <x v="3"/>
    <x v="4"/>
    <s v="DE4-E_A"/>
    <x v="17"/>
    <x v="146"/>
    <x v="0"/>
    <x v="4"/>
    <n v="1238.2560722431499"/>
    <n v="451963.46636874799"/>
    <n v="1627068.4789274901"/>
  </r>
  <r>
    <x v="0"/>
    <x v="0"/>
    <x v="0"/>
    <x v="3"/>
    <x v="4"/>
    <s v="DE4-E_A"/>
    <x v="17"/>
    <x v="146"/>
    <x v="0"/>
    <x v="5"/>
    <n v="1176.7439277568501"/>
    <n v="429511.53363125201"/>
    <n v="1546241.5210725099"/>
  </r>
  <r>
    <x v="0"/>
    <x v="0"/>
    <x v="0"/>
    <x v="3"/>
    <x v="4"/>
    <s v="DE4-E_A"/>
    <x v="17"/>
    <x v="146"/>
    <x v="0"/>
    <x v="7"/>
    <n v="2415"/>
    <n v="881475"/>
    <n v="3173310"/>
  </r>
  <r>
    <x v="0"/>
    <x v="0"/>
    <x v="0"/>
    <x v="3"/>
    <x v="4"/>
    <s v="DE4-E_A"/>
    <x v="17"/>
    <x v="146"/>
    <x v="0"/>
    <x v="9"/>
    <n v="2415"/>
    <n v="881475"/>
    <n v="3173310"/>
  </r>
  <r>
    <x v="0"/>
    <x v="0"/>
    <x v="0"/>
    <x v="3"/>
    <x v="4"/>
    <s v="DE4-E_A"/>
    <x v="17"/>
    <x v="146"/>
    <x v="0"/>
    <x v="13"/>
    <n v="899.73743695138296"/>
    <n v="328404.16448725498"/>
    <n v="1182254.99215412"/>
  </r>
  <r>
    <x v="0"/>
    <x v="0"/>
    <x v="0"/>
    <x v="3"/>
    <x v="4"/>
    <s v="DE4-E_A"/>
    <x v="17"/>
    <x v="146"/>
    <x v="0"/>
    <x v="15"/>
    <n v="364.77133298230501"/>
    <n v="133141.536538541"/>
    <n v="479309.531538749"/>
  </r>
  <r>
    <x v="0"/>
    <x v="0"/>
    <x v="0"/>
    <x v="3"/>
    <x v="4"/>
    <s v="DE4-E_A"/>
    <x v="17"/>
    <x v="146"/>
    <x v="0"/>
    <x v="16"/>
    <n v="1250.83724470328"/>
    <n v="456555.594316695"/>
    <n v="1643600.1395401"/>
  </r>
  <r>
    <x v="0"/>
    <x v="0"/>
    <x v="0"/>
    <x v="3"/>
    <x v="4"/>
    <s v="DE4-E_A"/>
    <x v="17"/>
    <x v="146"/>
    <x v="0"/>
    <x v="17"/>
    <n v="1052.48075415678"/>
    <n v="384155.47526722599"/>
    <n v="1382959.7109620101"/>
  </r>
  <r>
    <x v="0"/>
    <x v="0"/>
    <x v="0"/>
    <x v="3"/>
    <x v="4"/>
    <s v="DE4-E_A"/>
    <x v="17"/>
    <x v="146"/>
    <x v="0"/>
    <x v="18"/>
    <n v="84.349024322019702"/>
    <n v="30787.393877537201"/>
    <n v="110834.617959134"/>
  </r>
  <r>
    <x v="0"/>
    <x v="0"/>
    <x v="0"/>
    <x v="3"/>
    <x v="4"/>
    <s v="DE4-E_A"/>
    <x v="2"/>
    <x v="147"/>
    <x v="0"/>
    <x v="0"/>
    <n v="966.36363636363899"/>
    <n v="352722.72727272799"/>
    <n v="1269801.81818182"/>
  </r>
  <r>
    <x v="0"/>
    <x v="0"/>
    <x v="0"/>
    <x v="3"/>
    <x v="4"/>
    <s v="DE4-E_A"/>
    <x v="2"/>
    <x v="147"/>
    <x v="0"/>
    <x v="1"/>
    <n v="966.36363636363899"/>
    <n v="352722.72727272799"/>
    <n v="1269801.81818182"/>
  </r>
  <r>
    <x v="0"/>
    <x v="0"/>
    <x v="0"/>
    <x v="3"/>
    <x v="4"/>
    <s v="DE4-E_A"/>
    <x v="2"/>
    <x v="147"/>
    <x v="0"/>
    <x v="2"/>
    <n v="966.36363636363899"/>
    <n v="352722.72727272799"/>
    <n v="1269801.81818182"/>
  </r>
  <r>
    <x v="0"/>
    <x v="0"/>
    <x v="0"/>
    <x v="3"/>
    <x v="4"/>
    <s v="DE4-E_A"/>
    <x v="2"/>
    <x v="147"/>
    <x v="0"/>
    <x v="3"/>
    <n v="966.36363636363899"/>
    <n v="352722.72727272799"/>
    <n v="1269801.81818182"/>
  </r>
  <r>
    <x v="0"/>
    <x v="0"/>
    <x v="0"/>
    <x v="3"/>
    <x v="4"/>
    <s v="DE4-E_A"/>
    <x v="2"/>
    <x v="147"/>
    <x v="0"/>
    <x v="4"/>
    <n v="966.36363636363899"/>
    <n v="352722.72727272799"/>
    <n v="1269801.81818182"/>
  </r>
  <r>
    <x v="0"/>
    <x v="0"/>
    <x v="0"/>
    <x v="3"/>
    <x v="4"/>
    <s v="DE4-E_A"/>
    <x v="2"/>
    <x v="147"/>
    <x v="0"/>
    <x v="5"/>
    <n v="966.36363636363899"/>
    <n v="352722.72727272799"/>
    <n v="1269801.81818182"/>
  </r>
  <r>
    <x v="0"/>
    <x v="0"/>
    <x v="0"/>
    <x v="3"/>
    <x v="4"/>
    <s v="DE4-E_A"/>
    <x v="2"/>
    <x v="147"/>
    <x v="0"/>
    <x v="6"/>
    <n v="966.36363636363899"/>
    <n v="352722.72727272799"/>
    <n v="1269801.81818182"/>
  </r>
  <r>
    <x v="0"/>
    <x v="0"/>
    <x v="0"/>
    <x v="3"/>
    <x v="4"/>
    <s v="DE4-E_A"/>
    <x v="2"/>
    <x v="147"/>
    <x v="0"/>
    <x v="7"/>
    <n v="966.36363636363899"/>
    <n v="352722.72727272799"/>
    <n v="1269801.81818182"/>
  </r>
  <r>
    <x v="0"/>
    <x v="0"/>
    <x v="0"/>
    <x v="3"/>
    <x v="4"/>
    <s v="DE4-E_A"/>
    <x v="2"/>
    <x v="147"/>
    <x v="0"/>
    <x v="8"/>
    <n v="966.36363636363899"/>
    <n v="352722.72727272799"/>
    <n v="1269801.81818182"/>
  </r>
  <r>
    <x v="0"/>
    <x v="0"/>
    <x v="0"/>
    <x v="3"/>
    <x v="4"/>
    <s v="DE4-E_A"/>
    <x v="2"/>
    <x v="147"/>
    <x v="0"/>
    <x v="9"/>
    <n v="966.36363636363899"/>
    <n v="352722.72727272799"/>
    <n v="1269801.81818182"/>
  </r>
  <r>
    <x v="0"/>
    <x v="0"/>
    <x v="0"/>
    <x v="3"/>
    <x v="4"/>
    <s v="DE4-E_A"/>
    <x v="2"/>
    <x v="147"/>
    <x v="0"/>
    <x v="10"/>
    <n v="966.36363636363899"/>
    <n v="352722.72727272799"/>
    <n v="1269801.81818182"/>
  </r>
  <r>
    <x v="0"/>
    <x v="0"/>
    <x v="0"/>
    <x v="3"/>
    <x v="4"/>
    <s v="DE4-E_A"/>
    <x v="2"/>
    <x v="147"/>
    <x v="0"/>
    <x v="11"/>
    <n v="966.36363636363899"/>
    <n v="352722.72727272799"/>
    <n v="1269801.81818182"/>
  </r>
  <r>
    <x v="0"/>
    <x v="0"/>
    <x v="0"/>
    <x v="3"/>
    <x v="4"/>
    <s v="DE4-E_A"/>
    <x v="2"/>
    <x v="147"/>
    <x v="0"/>
    <x v="12"/>
    <n v="966.36363636363899"/>
    <n v="352722.72727272799"/>
    <n v="1269801.81818182"/>
  </r>
  <r>
    <x v="0"/>
    <x v="0"/>
    <x v="0"/>
    <x v="3"/>
    <x v="4"/>
    <s v="DE4-E_A"/>
    <x v="2"/>
    <x v="147"/>
    <x v="0"/>
    <x v="13"/>
    <n v="966.36363636363899"/>
    <n v="352722.72727272799"/>
    <n v="1269801.81818182"/>
  </r>
  <r>
    <x v="0"/>
    <x v="0"/>
    <x v="0"/>
    <x v="3"/>
    <x v="4"/>
    <s v="DE4-E_A"/>
    <x v="2"/>
    <x v="147"/>
    <x v="0"/>
    <x v="14"/>
    <n v="966.36363636363899"/>
    <n v="352722.72727272799"/>
    <n v="1269801.81818182"/>
  </r>
  <r>
    <x v="0"/>
    <x v="0"/>
    <x v="0"/>
    <x v="3"/>
    <x v="4"/>
    <s v="DE4-E_A"/>
    <x v="2"/>
    <x v="147"/>
    <x v="0"/>
    <x v="15"/>
    <n v="966.36363636363899"/>
    <n v="352722.72727272799"/>
    <n v="1269801.81818182"/>
  </r>
  <r>
    <x v="0"/>
    <x v="0"/>
    <x v="0"/>
    <x v="3"/>
    <x v="4"/>
    <s v="DE4-E_A"/>
    <x v="2"/>
    <x v="147"/>
    <x v="0"/>
    <x v="16"/>
    <n v="966.36363636363899"/>
    <n v="352722.72727272799"/>
    <n v="1269801.81818182"/>
  </r>
  <r>
    <x v="0"/>
    <x v="0"/>
    <x v="0"/>
    <x v="3"/>
    <x v="4"/>
    <s v="DE4-E_A"/>
    <x v="2"/>
    <x v="147"/>
    <x v="0"/>
    <x v="17"/>
    <n v="966.36363636363899"/>
    <n v="352722.72727272799"/>
    <n v="1269801.81818182"/>
  </r>
  <r>
    <x v="0"/>
    <x v="0"/>
    <x v="0"/>
    <x v="3"/>
    <x v="4"/>
    <s v="DE4-E_A"/>
    <x v="2"/>
    <x v="147"/>
    <x v="0"/>
    <x v="18"/>
    <n v="966.36363636363899"/>
    <n v="352722.72727272799"/>
    <n v="1269801.81818182"/>
  </r>
  <r>
    <x v="0"/>
    <x v="0"/>
    <x v="0"/>
    <x v="3"/>
    <x v="4"/>
    <s v="DE4-E_A"/>
    <x v="2"/>
    <x v="147"/>
    <x v="0"/>
    <x v="19"/>
    <n v="966.36363636363899"/>
    <n v="352722.72727272799"/>
    <n v="1269801.81818182"/>
  </r>
  <r>
    <x v="0"/>
    <x v="0"/>
    <x v="0"/>
    <x v="3"/>
    <x v="4"/>
    <s v="DE4-E_A"/>
    <x v="2"/>
    <x v="147"/>
    <x v="0"/>
    <x v="20"/>
    <n v="966.36363636363899"/>
    <n v="352722.72727272799"/>
    <n v="1269801.81818182"/>
  </r>
  <r>
    <x v="0"/>
    <x v="0"/>
    <x v="0"/>
    <x v="3"/>
    <x v="4"/>
    <s v="DE4-E_A"/>
    <x v="2"/>
    <x v="147"/>
    <x v="0"/>
    <x v="21"/>
    <n v="966.36363636363899"/>
    <n v="352722.72727272799"/>
    <n v="1269801.81818182"/>
  </r>
  <r>
    <x v="0"/>
    <x v="0"/>
    <x v="0"/>
    <x v="3"/>
    <x v="4"/>
    <s v="DE4-E_A"/>
    <x v="2"/>
    <x v="147"/>
    <x v="0"/>
    <x v="22"/>
    <n v="966.36363636363899"/>
    <n v="352722.72727272799"/>
    <n v="1269801.81818182"/>
  </r>
  <r>
    <x v="0"/>
    <x v="0"/>
    <x v="0"/>
    <x v="3"/>
    <x v="4"/>
    <s v="DE4-E_A"/>
    <x v="2"/>
    <x v="147"/>
    <x v="0"/>
    <x v="23"/>
    <n v="966.36363636363899"/>
    <n v="352722.72727272799"/>
    <n v="1269801.81818182"/>
  </r>
  <r>
    <x v="0"/>
    <x v="0"/>
    <x v="0"/>
    <x v="3"/>
    <x v="4"/>
    <s v="DE4-E_A"/>
    <x v="2"/>
    <x v="148"/>
    <x v="0"/>
    <x v="0"/>
    <n v="197.272727272727"/>
    <n v="72004.545454545398"/>
    <n v="259216.363636364"/>
  </r>
  <r>
    <x v="0"/>
    <x v="0"/>
    <x v="0"/>
    <x v="3"/>
    <x v="4"/>
    <s v="DE4-E_A"/>
    <x v="2"/>
    <x v="148"/>
    <x v="0"/>
    <x v="1"/>
    <n v="197.272727272727"/>
    <n v="72004.545454545398"/>
    <n v="259216.363636364"/>
  </r>
  <r>
    <x v="0"/>
    <x v="0"/>
    <x v="0"/>
    <x v="3"/>
    <x v="4"/>
    <s v="DE4-E_A"/>
    <x v="2"/>
    <x v="148"/>
    <x v="0"/>
    <x v="2"/>
    <n v="197.272727272727"/>
    <n v="72004.545454545398"/>
    <n v="259216.363636364"/>
  </r>
  <r>
    <x v="0"/>
    <x v="0"/>
    <x v="0"/>
    <x v="3"/>
    <x v="4"/>
    <s v="DE4-E_A"/>
    <x v="2"/>
    <x v="148"/>
    <x v="0"/>
    <x v="3"/>
    <n v="197.272727272727"/>
    <n v="72004.545454545398"/>
    <n v="259216.363636364"/>
  </r>
  <r>
    <x v="0"/>
    <x v="0"/>
    <x v="0"/>
    <x v="3"/>
    <x v="4"/>
    <s v="DE4-E_A"/>
    <x v="2"/>
    <x v="148"/>
    <x v="0"/>
    <x v="4"/>
    <n v="197.272727272727"/>
    <n v="72004.545454545398"/>
    <n v="259216.363636364"/>
  </r>
  <r>
    <x v="0"/>
    <x v="0"/>
    <x v="0"/>
    <x v="3"/>
    <x v="4"/>
    <s v="DE4-E_A"/>
    <x v="2"/>
    <x v="148"/>
    <x v="0"/>
    <x v="5"/>
    <n v="197.272727272727"/>
    <n v="72004.545454545398"/>
    <n v="259216.363636364"/>
  </r>
  <r>
    <x v="0"/>
    <x v="0"/>
    <x v="0"/>
    <x v="3"/>
    <x v="4"/>
    <s v="DE4-E_A"/>
    <x v="2"/>
    <x v="148"/>
    <x v="0"/>
    <x v="6"/>
    <n v="197.272727272727"/>
    <n v="72004.545454545398"/>
    <n v="259216.363636364"/>
  </r>
  <r>
    <x v="0"/>
    <x v="0"/>
    <x v="0"/>
    <x v="3"/>
    <x v="4"/>
    <s v="DE4-E_A"/>
    <x v="2"/>
    <x v="148"/>
    <x v="0"/>
    <x v="7"/>
    <n v="197.272727272727"/>
    <n v="72004.545454545398"/>
    <n v="259216.363636364"/>
  </r>
  <r>
    <x v="0"/>
    <x v="0"/>
    <x v="0"/>
    <x v="3"/>
    <x v="4"/>
    <s v="DE4-E_A"/>
    <x v="2"/>
    <x v="148"/>
    <x v="0"/>
    <x v="8"/>
    <n v="197.272727272727"/>
    <n v="72004.545454545398"/>
    <n v="259216.363636364"/>
  </r>
  <r>
    <x v="0"/>
    <x v="0"/>
    <x v="0"/>
    <x v="3"/>
    <x v="4"/>
    <s v="DE4-E_A"/>
    <x v="2"/>
    <x v="148"/>
    <x v="0"/>
    <x v="9"/>
    <n v="197.272727272727"/>
    <n v="72004.545454545398"/>
    <n v="259216.363636364"/>
  </r>
  <r>
    <x v="0"/>
    <x v="0"/>
    <x v="0"/>
    <x v="3"/>
    <x v="4"/>
    <s v="DE4-E_A"/>
    <x v="2"/>
    <x v="148"/>
    <x v="0"/>
    <x v="10"/>
    <n v="197.272727272727"/>
    <n v="72004.545454545398"/>
    <n v="259216.363636364"/>
  </r>
  <r>
    <x v="0"/>
    <x v="0"/>
    <x v="0"/>
    <x v="3"/>
    <x v="4"/>
    <s v="DE4-E_A"/>
    <x v="2"/>
    <x v="148"/>
    <x v="0"/>
    <x v="11"/>
    <n v="197.272727272727"/>
    <n v="72004.545454545398"/>
    <n v="259216.363636364"/>
  </r>
  <r>
    <x v="0"/>
    <x v="0"/>
    <x v="0"/>
    <x v="3"/>
    <x v="4"/>
    <s v="DE4-E_A"/>
    <x v="2"/>
    <x v="148"/>
    <x v="0"/>
    <x v="12"/>
    <n v="197.272727272727"/>
    <n v="72004.545454545398"/>
    <n v="259216.363636364"/>
  </r>
  <r>
    <x v="0"/>
    <x v="0"/>
    <x v="0"/>
    <x v="3"/>
    <x v="4"/>
    <s v="DE4-E_A"/>
    <x v="2"/>
    <x v="148"/>
    <x v="0"/>
    <x v="13"/>
    <n v="197.272727272727"/>
    <n v="72004.545454545398"/>
    <n v="259216.363636364"/>
  </r>
  <r>
    <x v="0"/>
    <x v="0"/>
    <x v="0"/>
    <x v="3"/>
    <x v="4"/>
    <s v="DE4-E_A"/>
    <x v="2"/>
    <x v="148"/>
    <x v="0"/>
    <x v="14"/>
    <n v="197.272727272727"/>
    <n v="72004.545454545398"/>
    <n v="259216.363636364"/>
  </r>
  <r>
    <x v="0"/>
    <x v="0"/>
    <x v="0"/>
    <x v="3"/>
    <x v="4"/>
    <s v="DE4-E_A"/>
    <x v="2"/>
    <x v="148"/>
    <x v="0"/>
    <x v="15"/>
    <n v="197.272727272727"/>
    <n v="72004.545454545398"/>
    <n v="259216.363636364"/>
  </r>
  <r>
    <x v="0"/>
    <x v="0"/>
    <x v="0"/>
    <x v="3"/>
    <x v="4"/>
    <s v="DE4-E_A"/>
    <x v="2"/>
    <x v="148"/>
    <x v="0"/>
    <x v="16"/>
    <n v="197.272727272727"/>
    <n v="72004.545454545398"/>
    <n v="259216.363636364"/>
  </r>
  <r>
    <x v="0"/>
    <x v="0"/>
    <x v="0"/>
    <x v="3"/>
    <x v="4"/>
    <s v="DE4-E_A"/>
    <x v="2"/>
    <x v="148"/>
    <x v="0"/>
    <x v="17"/>
    <n v="197.272727272727"/>
    <n v="72004.545454545398"/>
    <n v="259216.363636364"/>
  </r>
  <r>
    <x v="0"/>
    <x v="0"/>
    <x v="0"/>
    <x v="3"/>
    <x v="4"/>
    <s v="DE4-E_A"/>
    <x v="2"/>
    <x v="148"/>
    <x v="0"/>
    <x v="18"/>
    <n v="197.272727272727"/>
    <n v="72004.545454545398"/>
    <n v="259216.363636364"/>
  </r>
  <r>
    <x v="0"/>
    <x v="0"/>
    <x v="0"/>
    <x v="3"/>
    <x v="4"/>
    <s v="DE4-E_A"/>
    <x v="2"/>
    <x v="148"/>
    <x v="0"/>
    <x v="19"/>
    <n v="197.272727272727"/>
    <n v="72004.545454545398"/>
    <n v="259216.363636364"/>
  </r>
  <r>
    <x v="0"/>
    <x v="0"/>
    <x v="0"/>
    <x v="3"/>
    <x v="4"/>
    <s v="DE4-E_A"/>
    <x v="2"/>
    <x v="148"/>
    <x v="0"/>
    <x v="20"/>
    <n v="197.272727272727"/>
    <n v="72004.545454545398"/>
    <n v="259216.363636364"/>
  </r>
  <r>
    <x v="0"/>
    <x v="0"/>
    <x v="0"/>
    <x v="3"/>
    <x v="4"/>
    <s v="DE4-E_A"/>
    <x v="2"/>
    <x v="148"/>
    <x v="0"/>
    <x v="21"/>
    <n v="197.272727272727"/>
    <n v="72004.545454545398"/>
    <n v="259216.363636364"/>
  </r>
  <r>
    <x v="0"/>
    <x v="0"/>
    <x v="0"/>
    <x v="3"/>
    <x v="4"/>
    <s v="DE4-E_A"/>
    <x v="2"/>
    <x v="148"/>
    <x v="0"/>
    <x v="22"/>
    <n v="197.272727272727"/>
    <n v="72004.545454545398"/>
    <n v="259216.363636364"/>
  </r>
  <r>
    <x v="0"/>
    <x v="0"/>
    <x v="0"/>
    <x v="3"/>
    <x v="4"/>
    <s v="DE4-E_A"/>
    <x v="2"/>
    <x v="148"/>
    <x v="0"/>
    <x v="23"/>
    <n v="197.272727272727"/>
    <n v="72004.545454545398"/>
    <n v="259216.363636364"/>
  </r>
  <r>
    <x v="0"/>
    <x v="0"/>
    <x v="0"/>
    <x v="3"/>
    <x v="4"/>
    <s v="DE4-E_A"/>
    <x v="8"/>
    <x v="56"/>
    <x v="0"/>
    <x v="8"/>
    <n v="231.322785698838"/>
    <n v="84432.816780075897"/>
    <n v="303958.14040827297"/>
  </r>
  <r>
    <x v="0"/>
    <x v="0"/>
    <x v="0"/>
    <x v="3"/>
    <x v="4"/>
    <s v="DE4-E_A"/>
    <x v="8"/>
    <x v="56"/>
    <x v="0"/>
    <x v="9"/>
    <n v="1741.44538156869"/>
    <n v="635627.56427257101"/>
    <n v="2288259.2313812599"/>
  </r>
  <r>
    <x v="0"/>
    <x v="0"/>
    <x v="0"/>
    <x v="3"/>
    <x v="4"/>
    <s v="DE4-E_A"/>
    <x v="8"/>
    <x v="56"/>
    <x v="0"/>
    <x v="10"/>
    <n v="4022.6439297679999"/>
    <n v="1468265.0343653201"/>
    <n v="5285754.1237151502"/>
  </r>
  <r>
    <x v="0"/>
    <x v="0"/>
    <x v="0"/>
    <x v="3"/>
    <x v="4"/>
    <s v="DE4-E_A"/>
    <x v="8"/>
    <x v="56"/>
    <x v="0"/>
    <x v="11"/>
    <n v="6125.9018735835898"/>
    <n v="2235954.18385801"/>
    <n v="8049435.06188884"/>
  </r>
  <r>
    <x v="0"/>
    <x v="0"/>
    <x v="0"/>
    <x v="3"/>
    <x v="4"/>
    <s v="DE4-E_A"/>
    <x v="8"/>
    <x v="56"/>
    <x v="0"/>
    <x v="12"/>
    <n v="6964.5952555788699"/>
    <n v="2542077.2682862901"/>
    <n v="9151478.1658306308"/>
  </r>
  <r>
    <x v="0"/>
    <x v="0"/>
    <x v="0"/>
    <x v="3"/>
    <x v="4"/>
    <s v="DE4-E_A"/>
    <x v="8"/>
    <x v="56"/>
    <x v="0"/>
    <x v="13"/>
    <n v="6055.9119025259897"/>
    <n v="2210407.8444219902"/>
    <n v="7957468.2399191502"/>
  </r>
  <r>
    <x v="0"/>
    <x v="0"/>
    <x v="0"/>
    <x v="3"/>
    <x v="4"/>
    <s v="DE4-E_A"/>
    <x v="8"/>
    <x v="56"/>
    <x v="0"/>
    <x v="14"/>
    <n v="3940.7912517514901"/>
    <n v="1438388.80688929"/>
    <n v="5178199.7048014598"/>
  </r>
  <r>
    <x v="0"/>
    <x v="0"/>
    <x v="0"/>
    <x v="3"/>
    <x v="4"/>
    <s v="DE4-E_A"/>
    <x v="8"/>
    <x v="56"/>
    <x v="0"/>
    <x v="15"/>
    <n v="1995.30731048947"/>
    <n v="728287.16832865495"/>
    <n v="2621833.8059831602"/>
  </r>
  <r>
    <x v="0"/>
    <x v="0"/>
    <x v="0"/>
    <x v="3"/>
    <x v="4"/>
    <s v="DE4-E_A"/>
    <x v="8"/>
    <x v="56"/>
    <x v="0"/>
    <x v="16"/>
    <n v="259.79328240023398"/>
    <n v="94824.548076085295"/>
    <n v="341368.37307390699"/>
  </r>
  <r>
    <x v="0"/>
    <x v="0"/>
    <x v="0"/>
    <x v="3"/>
    <x v="4"/>
    <s v="DE4-E_A"/>
    <x v="5"/>
    <x v="149"/>
    <x v="0"/>
    <x v="0"/>
    <n v="0.22"/>
    <n v="80.3"/>
    <n v="289.08"/>
  </r>
  <r>
    <x v="0"/>
    <x v="0"/>
    <x v="0"/>
    <x v="3"/>
    <x v="4"/>
    <s v="DE4-E_A"/>
    <x v="5"/>
    <x v="149"/>
    <x v="0"/>
    <x v="1"/>
    <n v="0.22"/>
    <n v="80.3"/>
    <n v="289.08"/>
  </r>
  <r>
    <x v="0"/>
    <x v="0"/>
    <x v="0"/>
    <x v="3"/>
    <x v="4"/>
    <s v="DE4-E_A"/>
    <x v="5"/>
    <x v="149"/>
    <x v="0"/>
    <x v="2"/>
    <n v="0.22"/>
    <n v="80.3"/>
    <n v="289.08"/>
  </r>
  <r>
    <x v="0"/>
    <x v="0"/>
    <x v="0"/>
    <x v="3"/>
    <x v="4"/>
    <s v="DE4-E_A"/>
    <x v="5"/>
    <x v="149"/>
    <x v="0"/>
    <x v="3"/>
    <n v="0.22"/>
    <n v="80.3"/>
    <n v="289.08"/>
  </r>
  <r>
    <x v="0"/>
    <x v="0"/>
    <x v="0"/>
    <x v="3"/>
    <x v="4"/>
    <s v="DE4-E_A"/>
    <x v="5"/>
    <x v="149"/>
    <x v="0"/>
    <x v="4"/>
    <n v="0.22"/>
    <n v="80.3"/>
    <n v="289.08"/>
  </r>
  <r>
    <x v="0"/>
    <x v="0"/>
    <x v="0"/>
    <x v="3"/>
    <x v="4"/>
    <s v="DE4-E_A"/>
    <x v="5"/>
    <x v="149"/>
    <x v="0"/>
    <x v="5"/>
    <n v="0.22"/>
    <n v="80.3"/>
    <n v="289.08"/>
  </r>
  <r>
    <x v="0"/>
    <x v="0"/>
    <x v="0"/>
    <x v="3"/>
    <x v="4"/>
    <s v="DE4-E_A"/>
    <x v="5"/>
    <x v="149"/>
    <x v="0"/>
    <x v="6"/>
    <n v="0.22"/>
    <n v="80.3"/>
    <n v="289.08"/>
  </r>
  <r>
    <x v="0"/>
    <x v="0"/>
    <x v="0"/>
    <x v="3"/>
    <x v="4"/>
    <s v="DE4-E_A"/>
    <x v="5"/>
    <x v="149"/>
    <x v="0"/>
    <x v="7"/>
    <n v="0.22"/>
    <n v="80.3"/>
    <n v="289.08"/>
  </r>
  <r>
    <x v="0"/>
    <x v="0"/>
    <x v="0"/>
    <x v="3"/>
    <x v="4"/>
    <s v="DE4-E_A"/>
    <x v="5"/>
    <x v="149"/>
    <x v="0"/>
    <x v="8"/>
    <n v="0.22"/>
    <n v="80.3"/>
    <n v="289.08"/>
  </r>
  <r>
    <x v="0"/>
    <x v="0"/>
    <x v="0"/>
    <x v="3"/>
    <x v="4"/>
    <s v="DE4-E_A"/>
    <x v="5"/>
    <x v="149"/>
    <x v="0"/>
    <x v="9"/>
    <n v="0.22"/>
    <n v="80.3"/>
    <n v="289.08"/>
  </r>
  <r>
    <x v="0"/>
    <x v="0"/>
    <x v="0"/>
    <x v="3"/>
    <x v="4"/>
    <s v="DE4-E_A"/>
    <x v="5"/>
    <x v="149"/>
    <x v="0"/>
    <x v="10"/>
    <n v="0.22"/>
    <n v="80.3"/>
    <n v="289.08"/>
  </r>
  <r>
    <x v="0"/>
    <x v="0"/>
    <x v="0"/>
    <x v="3"/>
    <x v="4"/>
    <s v="DE4-E_A"/>
    <x v="5"/>
    <x v="149"/>
    <x v="0"/>
    <x v="11"/>
    <n v="0.22"/>
    <n v="80.3"/>
    <n v="289.08"/>
  </r>
  <r>
    <x v="0"/>
    <x v="0"/>
    <x v="0"/>
    <x v="3"/>
    <x v="4"/>
    <s v="DE4-E_A"/>
    <x v="5"/>
    <x v="149"/>
    <x v="0"/>
    <x v="12"/>
    <n v="0.22"/>
    <n v="80.3"/>
    <n v="289.08"/>
  </r>
  <r>
    <x v="0"/>
    <x v="0"/>
    <x v="0"/>
    <x v="3"/>
    <x v="4"/>
    <s v="DE4-E_A"/>
    <x v="5"/>
    <x v="149"/>
    <x v="0"/>
    <x v="13"/>
    <n v="0.22"/>
    <n v="80.3"/>
    <n v="289.08"/>
  </r>
  <r>
    <x v="0"/>
    <x v="0"/>
    <x v="0"/>
    <x v="3"/>
    <x v="4"/>
    <s v="DE4-E_A"/>
    <x v="5"/>
    <x v="149"/>
    <x v="0"/>
    <x v="14"/>
    <n v="0.22"/>
    <n v="80.3"/>
    <n v="289.08"/>
  </r>
  <r>
    <x v="0"/>
    <x v="0"/>
    <x v="0"/>
    <x v="3"/>
    <x v="4"/>
    <s v="DE4-E_A"/>
    <x v="5"/>
    <x v="149"/>
    <x v="0"/>
    <x v="15"/>
    <n v="0.22"/>
    <n v="80.3"/>
    <n v="289.08"/>
  </r>
  <r>
    <x v="0"/>
    <x v="0"/>
    <x v="0"/>
    <x v="3"/>
    <x v="4"/>
    <s v="DE4-E_A"/>
    <x v="5"/>
    <x v="149"/>
    <x v="0"/>
    <x v="16"/>
    <n v="0.22"/>
    <n v="80.3"/>
    <n v="289.08"/>
  </r>
  <r>
    <x v="0"/>
    <x v="0"/>
    <x v="0"/>
    <x v="3"/>
    <x v="4"/>
    <s v="DE4-E_A"/>
    <x v="5"/>
    <x v="149"/>
    <x v="0"/>
    <x v="17"/>
    <n v="0.22"/>
    <n v="80.3"/>
    <n v="289.08"/>
  </r>
  <r>
    <x v="0"/>
    <x v="0"/>
    <x v="0"/>
    <x v="3"/>
    <x v="4"/>
    <s v="DE4-E_A"/>
    <x v="5"/>
    <x v="149"/>
    <x v="0"/>
    <x v="18"/>
    <n v="0.22"/>
    <n v="80.3"/>
    <n v="289.08"/>
  </r>
  <r>
    <x v="0"/>
    <x v="0"/>
    <x v="0"/>
    <x v="3"/>
    <x v="4"/>
    <s v="DE4-E_A"/>
    <x v="5"/>
    <x v="149"/>
    <x v="0"/>
    <x v="19"/>
    <n v="0.22"/>
    <n v="80.3"/>
    <n v="289.08"/>
  </r>
  <r>
    <x v="0"/>
    <x v="0"/>
    <x v="0"/>
    <x v="3"/>
    <x v="4"/>
    <s v="DE4-E_A"/>
    <x v="5"/>
    <x v="149"/>
    <x v="0"/>
    <x v="20"/>
    <n v="0.22"/>
    <n v="80.3"/>
    <n v="289.08"/>
  </r>
  <r>
    <x v="0"/>
    <x v="0"/>
    <x v="0"/>
    <x v="3"/>
    <x v="4"/>
    <s v="DE4-E_A"/>
    <x v="5"/>
    <x v="149"/>
    <x v="0"/>
    <x v="21"/>
    <n v="0.22"/>
    <n v="80.3"/>
    <n v="289.08"/>
  </r>
  <r>
    <x v="0"/>
    <x v="0"/>
    <x v="0"/>
    <x v="3"/>
    <x v="4"/>
    <s v="DE4-E_A"/>
    <x v="5"/>
    <x v="149"/>
    <x v="0"/>
    <x v="22"/>
    <n v="0.22"/>
    <n v="80.3"/>
    <n v="289.08"/>
  </r>
  <r>
    <x v="0"/>
    <x v="0"/>
    <x v="0"/>
    <x v="3"/>
    <x v="4"/>
    <s v="DE4-E_A"/>
    <x v="5"/>
    <x v="149"/>
    <x v="0"/>
    <x v="23"/>
    <n v="0.22"/>
    <n v="80.3"/>
    <n v="289.08"/>
  </r>
  <r>
    <x v="0"/>
    <x v="0"/>
    <x v="0"/>
    <x v="3"/>
    <x v="4"/>
    <s v="DE4-E_A"/>
    <x v="9"/>
    <x v="57"/>
    <x v="0"/>
    <x v="0"/>
    <n v="302.85891450546501"/>
    <n v="110543.503794495"/>
    <n v="397956.613660181"/>
  </r>
  <r>
    <x v="0"/>
    <x v="0"/>
    <x v="0"/>
    <x v="3"/>
    <x v="4"/>
    <s v="DE4-E_A"/>
    <x v="9"/>
    <x v="57"/>
    <x v="0"/>
    <x v="1"/>
    <n v="302.85891450546501"/>
    <n v="110543.503794495"/>
    <n v="397956.613660181"/>
  </r>
  <r>
    <x v="0"/>
    <x v="0"/>
    <x v="0"/>
    <x v="3"/>
    <x v="4"/>
    <s v="DE4-E_A"/>
    <x v="9"/>
    <x v="57"/>
    <x v="0"/>
    <x v="2"/>
    <n v="302.85891450546501"/>
    <n v="110543.503794495"/>
    <n v="397956.613660181"/>
  </r>
  <r>
    <x v="0"/>
    <x v="0"/>
    <x v="0"/>
    <x v="3"/>
    <x v="4"/>
    <s v="DE4-E_A"/>
    <x v="9"/>
    <x v="57"/>
    <x v="0"/>
    <x v="3"/>
    <n v="302.85891450546501"/>
    <n v="110543.503794495"/>
    <n v="397956.613660181"/>
  </r>
  <r>
    <x v="0"/>
    <x v="0"/>
    <x v="0"/>
    <x v="3"/>
    <x v="4"/>
    <s v="DE4-E_A"/>
    <x v="9"/>
    <x v="57"/>
    <x v="0"/>
    <x v="4"/>
    <n v="302.85891450546501"/>
    <n v="110543.503794495"/>
    <n v="397956.613660181"/>
  </r>
  <r>
    <x v="0"/>
    <x v="0"/>
    <x v="0"/>
    <x v="3"/>
    <x v="4"/>
    <s v="DE4-E_A"/>
    <x v="9"/>
    <x v="57"/>
    <x v="0"/>
    <x v="5"/>
    <n v="302.85891450546501"/>
    <n v="110543.503794495"/>
    <n v="397956.613660181"/>
  </r>
  <r>
    <x v="0"/>
    <x v="0"/>
    <x v="0"/>
    <x v="3"/>
    <x v="4"/>
    <s v="DE4-E_A"/>
    <x v="9"/>
    <x v="57"/>
    <x v="0"/>
    <x v="6"/>
    <n v="302.85891450546501"/>
    <n v="110543.503794495"/>
    <n v="397956.613660181"/>
  </r>
  <r>
    <x v="0"/>
    <x v="0"/>
    <x v="0"/>
    <x v="3"/>
    <x v="4"/>
    <s v="DE4-E_A"/>
    <x v="9"/>
    <x v="57"/>
    <x v="0"/>
    <x v="7"/>
    <n v="302.85891450546501"/>
    <n v="110543.503794495"/>
    <n v="397956.613660181"/>
  </r>
  <r>
    <x v="0"/>
    <x v="0"/>
    <x v="0"/>
    <x v="3"/>
    <x v="4"/>
    <s v="DE4-E_A"/>
    <x v="9"/>
    <x v="57"/>
    <x v="0"/>
    <x v="8"/>
    <n v="302.85891450546501"/>
    <n v="110543.503794495"/>
    <n v="397956.613660181"/>
  </r>
  <r>
    <x v="0"/>
    <x v="0"/>
    <x v="0"/>
    <x v="3"/>
    <x v="4"/>
    <s v="DE4-E_A"/>
    <x v="9"/>
    <x v="57"/>
    <x v="0"/>
    <x v="9"/>
    <n v="302.85891450546501"/>
    <n v="110543.503794495"/>
    <n v="397956.613660181"/>
  </r>
  <r>
    <x v="0"/>
    <x v="0"/>
    <x v="0"/>
    <x v="3"/>
    <x v="4"/>
    <s v="DE4-E_A"/>
    <x v="9"/>
    <x v="57"/>
    <x v="0"/>
    <x v="10"/>
    <n v="302.85891450546501"/>
    <n v="110543.503794495"/>
    <n v="397956.613660181"/>
  </r>
  <r>
    <x v="0"/>
    <x v="0"/>
    <x v="0"/>
    <x v="3"/>
    <x v="4"/>
    <s v="DE4-E_A"/>
    <x v="9"/>
    <x v="57"/>
    <x v="0"/>
    <x v="11"/>
    <n v="302.85891450546501"/>
    <n v="110543.503794495"/>
    <n v="397956.613660181"/>
  </r>
  <r>
    <x v="0"/>
    <x v="0"/>
    <x v="0"/>
    <x v="3"/>
    <x v="4"/>
    <s v="DE4-E_A"/>
    <x v="9"/>
    <x v="57"/>
    <x v="0"/>
    <x v="12"/>
    <n v="302.85891450546501"/>
    <n v="110543.503794495"/>
    <n v="397956.613660181"/>
  </r>
  <r>
    <x v="0"/>
    <x v="0"/>
    <x v="0"/>
    <x v="3"/>
    <x v="4"/>
    <s v="DE4-E_A"/>
    <x v="9"/>
    <x v="57"/>
    <x v="0"/>
    <x v="13"/>
    <n v="302.85891450546501"/>
    <n v="110543.503794495"/>
    <n v="397956.613660181"/>
  </r>
  <r>
    <x v="0"/>
    <x v="0"/>
    <x v="0"/>
    <x v="3"/>
    <x v="4"/>
    <s v="DE4-E_A"/>
    <x v="9"/>
    <x v="57"/>
    <x v="0"/>
    <x v="14"/>
    <n v="302.85891450546501"/>
    <n v="110543.503794495"/>
    <n v="397956.613660181"/>
  </r>
  <r>
    <x v="0"/>
    <x v="0"/>
    <x v="0"/>
    <x v="3"/>
    <x v="4"/>
    <s v="DE4-E_A"/>
    <x v="9"/>
    <x v="57"/>
    <x v="0"/>
    <x v="15"/>
    <n v="302.85891450546501"/>
    <n v="110543.503794495"/>
    <n v="397956.613660181"/>
  </r>
  <r>
    <x v="0"/>
    <x v="0"/>
    <x v="0"/>
    <x v="3"/>
    <x v="4"/>
    <s v="DE4-E_A"/>
    <x v="9"/>
    <x v="57"/>
    <x v="0"/>
    <x v="16"/>
    <n v="302.85891450546501"/>
    <n v="110543.503794495"/>
    <n v="397956.613660181"/>
  </r>
  <r>
    <x v="0"/>
    <x v="0"/>
    <x v="0"/>
    <x v="3"/>
    <x v="4"/>
    <s v="DE4-E_A"/>
    <x v="9"/>
    <x v="57"/>
    <x v="0"/>
    <x v="17"/>
    <n v="302.85891450546501"/>
    <n v="110543.503794495"/>
    <n v="397956.613660181"/>
  </r>
  <r>
    <x v="0"/>
    <x v="0"/>
    <x v="0"/>
    <x v="3"/>
    <x v="4"/>
    <s v="DE4-E_A"/>
    <x v="9"/>
    <x v="57"/>
    <x v="0"/>
    <x v="18"/>
    <n v="302.85891450546501"/>
    <n v="110543.503794495"/>
    <n v="397956.613660181"/>
  </r>
  <r>
    <x v="0"/>
    <x v="0"/>
    <x v="0"/>
    <x v="3"/>
    <x v="4"/>
    <s v="DE4-E_A"/>
    <x v="9"/>
    <x v="57"/>
    <x v="0"/>
    <x v="19"/>
    <n v="302.85891450546501"/>
    <n v="110543.503794495"/>
    <n v="397956.613660181"/>
  </r>
  <r>
    <x v="0"/>
    <x v="0"/>
    <x v="0"/>
    <x v="3"/>
    <x v="4"/>
    <s v="DE4-E_A"/>
    <x v="9"/>
    <x v="57"/>
    <x v="0"/>
    <x v="20"/>
    <n v="302.85891450546501"/>
    <n v="110543.503794495"/>
    <n v="397956.613660181"/>
  </r>
  <r>
    <x v="0"/>
    <x v="0"/>
    <x v="0"/>
    <x v="3"/>
    <x v="4"/>
    <s v="DE4-E_A"/>
    <x v="9"/>
    <x v="57"/>
    <x v="0"/>
    <x v="21"/>
    <n v="302.85891450546501"/>
    <n v="110543.503794495"/>
    <n v="397956.613660181"/>
  </r>
  <r>
    <x v="0"/>
    <x v="0"/>
    <x v="0"/>
    <x v="3"/>
    <x v="4"/>
    <s v="DE4-E_A"/>
    <x v="9"/>
    <x v="57"/>
    <x v="0"/>
    <x v="22"/>
    <n v="302.85891450546501"/>
    <n v="110543.503794495"/>
    <n v="397956.613660181"/>
  </r>
  <r>
    <x v="0"/>
    <x v="0"/>
    <x v="0"/>
    <x v="3"/>
    <x v="4"/>
    <s v="DE4-E_A"/>
    <x v="9"/>
    <x v="57"/>
    <x v="0"/>
    <x v="23"/>
    <n v="302.85891450546501"/>
    <n v="110543.503794495"/>
    <n v="397956.613660181"/>
  </r>
  <r>
    <x v="0"/>
    <x v="0"/>
    <x v="0"/>
    <x v="3"/>
    <x v="4"/>
    <s v="DE4-E_A"/>
    <x v="10"/>
    <x v="58"/>
    <x v="0"/>
    <x v="0"/>
    <n v="2948.4392652654901"/>
    <n v="1076180.3318219001"/>
    <n v="3874249.1945588598"/>
  </r>
  <r>
    <x v="0"/>
    <x v="0"/>
    <x v="0"/>
    <x v="3"/>
    <x v="4"/>
    <s v="DE4-E_A"/>
    <x v="10"/>
    <x v="58"/>
    <x v="0"/>
    <x v="1"/>
    <n v="2852.88526764892"/>
    <n v="1041303.1226918499"/>
    <n v="3748691.2416906701"/>
  </r>
  <r>
    <x v="0"/>
    <x v="0"/>
    <x v="0"/>
    <x v="3"/>
    <x v="4"/>
    <s v="DE4-E_A"/>
    <x v="10"/>
    <x v="58"/>
    <x v="0"/>
    <x v="2"/>
    <n v="2771.4583497621002"/>
    <n v="1011582.29766317"/>
    <n v="3641696.2715874002"/>
  </r>
  <r>
    <x v="0"/>
    <x v="0"/>
    <x v="0"/>
    <x v="3"/>
    <x v="4"/>
    <s v="DE4-E_A"/>
    <x v="10"/>
    <x v="58"/>
    <x v="0"/>
    <x v="3"/>
    <n v="2631.7572279900201"/>
    <n v="960591.38821635698"/>
    <n v="3458128.9975788901"/>
  </r>
  <r>
    <x v="0"/>
    <x v="0"/>
    <x v="0"/>
    <x v="3"/>
    <x v="4"/>
    <s v="DE4-E_A"/>
    <x v="10"/>
    <x v="58"/>
    <x v="0"/>
    <x v="4"/>
    <n v="2397.28694636413"/>
    <n v="875009.73542290705"/>
    <n v="3150035.0475224699"/>
  </r>
  <r>
    <x v="0"/>
    <x v="0"/>
    <x v="0"/>
    <x v="3"/>
    <x v="4"/>
    <s v="DE4-E_A"/>
    <x v="10"/>
    <x v="58"/>
    <x v="0"/>
    <x v="5"/>
    <n v="2187.5390542653199"/>
    <n v="798451.75480684196"/>
    <n v="2874426.3173046298"/>
  </r>
  <r>
    <x v="0"/>
    <x v="0"/>
    <x v="0"/>
    <x v="3"/>
    <x v="4"/>
    <s v="DE4-E_A"/>
    <x v="10"/>
    <x v="58"/>
    <x v="0"/>
    <x v="6"/>
    <n v="1803.1647599514099"/>
    <n v="658155.13738226495"/>
    <n v="2369358.4945761599"/>
  </r>
  <r>
    <x v="0"/>
    <x v="0"/>
    <x v="0"/>
    <x v="3"/>
    <x v="4"/>
    <s v="DE4-E_A"/>
    <x v="10"/>
    <x v="58"/>
    <x v="0"/>
    <x v="7"/>
    <n v="1743.7132994220001"/>
    <n v="636455.35428903101"/>
    <n v="2291239.2754405099"/>
  </r>
  <r>
    <x v="0"/>
    <x v="0"/>
    <x v="0"/>
    <x v="3"/>
    <x v="4"/>
    <s v="DE4-E_A"/>
    <x v="10"/>
    <x v="58"/>
    <x v="0"/>
    <x v="8"/>
    <n v="1874.5849963629801"/>
    <n v="684223.52367248805"/>
    <n v="2463204.6852209601"/>
  </r>
  <r>
    <x v="0"/>
    <x v="0"/>
    <x v="0"/>
    <x v="3"/>
    <x v="4"/>
    <s v="DE4-E_A"/>
    <x v="10"/>
    <x v="58"/>
    <x v="0"/>
    <x v="9"/>
    <n v="2021.9382863220101"/>
    <n v="738007.47450753499"/>
    <n v="2656826.9082271298"/>
  </r>
  <r>
    <x v="0"/>
    <x v="0"/>
    <x v="0"/>
    <x v="3"/>
    <x v="4"/>
    <s v="DE4-E_A"/>
    <x v="10"/>
    <x v="58"/>
    <x v="0"/>
    <x v="10"/>
    <n v="2332.9302498174402"/>
    <n v="851519.54118336597"/>
    <n v="3065470.34826012"/>
  </r>
  <r>
    <x v="0"/>
    <x v="0"/>
    <x v="0"/>
    <x v="3"/>
    <x v="4"/>
    <s v="DE4-E_A"/>
    <x v="10"/>
    <x v="58"/>
    <x v="0"/>
    <x v="11"/>
    <n v="2569.9512541723202"/>
    <n v="938032.20777289604"/>
    <n v="3376915.9479824202"/>
  </r>
  <r>
    <x v="0"/>
    <x v="0"/>
    <x v="0"/>
    <x v="3"/>
    <x v="4"/>
    <s v="DE4-E_A"/>
    <x v="10"/>
    <x v="58"/>
    <x v="0"/>
    <x v="12"/>
    <n v="3162.50376505951"/>
    <n v="1154313.87424672"/>
    <n v="4155529.94728819"/>
  </r>
  <r>
    <x v="0"/>
    <x v="0"/>
    <x v="0"/>
    <x v="3"/>
    <x v="4"/>
    <s v="DE4-E_A"/>
    <x v="10"/>
    <x v="58"/>
    <x v="0"/>
    <x v="13"/>
    <n v="3695.60481541728"/>
    <n v="1348895.75762731"/>
    <n v="4856024.7274583103"/>
  </r>
  <r>
    <x v="0"/>
    <x v="0"/>
    <x v="0"/>
    <x v="3"/>
    <x v="4"/>
    <s v="DE4-E_A"/>
    <x v="10"/>
    <x v="58"/>
    <x v="0"/>
    <x v="14"/>
    <n v="4303.0692437970001"/>
    <n v="1570620.2739859"/>
    <n v="5654232.9863492604"/>
  </r>
  <r>
    <x v="0"/>
    <x v="0"/>
    <x v="0"/>
    <x v="3"/>
    <x v="4"/>
    <s v="DE4-E_A"/>
    <x v="10"/>
    <x v="58"/>
    <x v="0"/>
    <x v="15"/>
    <n v="4902.68529454907"/>
    <n v="1789480.1325104099"/>
    <n v="6442128.4770374699"/>
  </r>
  <r>
    <x v="0"/>
    <x v="0"/>
    <x v="0"/>
    <x v="3"/>
    <x v="4"/>
    <s v="DE4-E_A"/>
    <x v="10"/>
    <x v="58"/>
    <x v="0"/>
    <x v="16"/>
    <n v="5703.2198125688501"/>
    <n v="2081675.23158763"/>
    <n v="7494030.8337154603"/>
  </r>
  <r>
    <x v="0"/>
    <x v="0"/>
    <x v="0"/>
    <x v="3"/>
    <x v="4"/>
    <s v="DE4-E_A"/>
    <x v="10"/>
    <x v="58"/>
    <x v="0"/>
    <x v="17"/>
    <n v="6434.4923980246604"/>
    <n v="2348589.7252790001"/>
    <n v="8454923.0110043995"/>
  </r>
  <r>
    <x v="0"/>
    <x v="0"/>
    <x v="0"/>
    <x v="3"/>
    <x v="4"/>
    <s v="DE4-E_A"/>
    <x v="10"/>
    <x v="58"/>
    <x v="0"/>
    <x v="18"/>
    <n v="7218.1529041450003"/>
    <n v="2634625.8100129198"/>
    <n v="9484652.91604653"/>
  </r>
  <r>
    <x v="0"/>
    <x v="0"/>
    <x v="0"/>
    <x v="3"/>
    <x v="4"/>
    <s v="DE4-E_A"/>
    <x v="10"/>
    <x v="58"/>
    <x v="0"/>
    <x v="19"/>
    <n v="8005.7375990791597"/>
    <n v="2922094.2236638898"/>
    <n v="10519539.205189999"/>
  </r>
  <r>
    <x v="0"/>
    <x v="0"/>
    <x v="0"/>
    <x v="3"/>
    <x v="4"/>
    <s v="DE4-E_A"/>
    <x v="10"/>
    <x v="58"/>
    <x v="0"/>
    <x v="20"/>
    <n v="8678.3435617683299"/>
    <n v="3167595.4000454401"/>
    <n v="11403343.440163599"/>
  </r>
  <r>
    <x v="0"/>
    <x v="0"/>
    <x v="0"/>
    <x v="3"/>
    <x v="4"/>
    <s v="DE4-E_A"/>
    <x v="10"/>
    <x v="58"/>
    <x v="0"/>
    <x v="21"/>
    <n v="9418.2493626145497"/>
    <n v="3437661.01735431"/>
    <n v="12375579.6624755"/>
  </r>
  <r>
    <x v="0"/>
    <x v="0"/>
    <x v="0"/>
    <x v="3"/>
    <x v="4"/>
    <s v="DE4-E_A"/>
    <x v="10"/>
    <x v="58"/>
    <x v="0"/>
    <x v="22"/>
    <n v="10352.0100908636"/>
    <n v="3778483.6831652098"/>
    <n v="13602541.2593948"/>
  </r>
  <r>
    <x v="0"/>
    <x v="0"/>
    <x v="0"/>
    <x v="3"/>
    <x v="4"/>
    <s v="DE4-E_A"/>
    <x v="10"/>
    <x v="58"/>
    <x v="0"/>
    <x v="23"/>
    <n v="10961.0441947688"/>
    <n v="4000781.1310906298"/>
    <n v="14402812.071926299"/>
  </r>
  <r>
    <x v="0"/>
    <x v="0"/>
    <x v="0"/>
    <x v="3"/>
    <x v="4"/>
    <s v="DE4-E_Offshore_A"/>
    <x v="10"/>
    <x v="59"/>
    <x v="0"/>
    <x v="0"/>
    <n v="107.223932542749"/>
    <n v="39136.735378103302"/>
    <n v="140892.24736117199"/>
  </r>
  <r>
    <x v="0"/>
    <x v="0"/>
    <x v="0"/>
    <x v="3"/>
    <x v="4"/>
    <s v="DE4-E_Offshore_A"/>
    <x v="10"/>
    <x v="59"/>
    <x v="0"/>
    <x v="1"/>
    <n v="103.748983773978"/>
    <n v="37868.379077501901"/>
    <n v="136326.16467900699"/>
  </r>
  <r>
    <x v="0"/>
    <x v="0"/>
    <x v="0"/>
    <x v="3"/>
    <x v="4"/>
    <s v="DE4-E_Offshore_A"/>
    <x v="10"/>
    <x v="59"/>
    <x v="0"/>
    <x v="2"/>
    <n v="100.787785131186"/>
    <n v="36787.541572882699"/>
    <n v="132435.14966237801"/>
  </r>
  <r>
    <x v="0"/>
    <x v="0"/>
    <x v="0"/>
    <x v="3"/>
    <x v="4"/>
    <s v="DE4-E_Offshore_A"/>
    <x v="10"/>
    <x v="59"/>
    <x v="0"/>
    <x v="3"/>
    <n v="95.707367218732202"/>
    <n v="34933.189034837204"/>
    <n v="125759.48052541399"/>
  </r>
  <r>
    <x v="0"/>
    <x v="0"/>
    <x v="0"/>
    <x v="3"/>
    <x v="4"/>
    <s v="DE4-E_Offshore_A"/>
    <x v="10"/>
    <x v="59"/>
    <x v="0"/>
    <x v="4"/>
    <n v="87.180542211173403"/>
    <n v="31820.897907078299"/>
    <n v="114555.232465482"/>
  </r>
  <r>
    <x v="0"/>
    <x v="0"/>
    <x v="0"/>
    <x v="3"/>
    <x v="4"/>
    <s v="DE4-E_Offshore_A"/>
    <x v="10"/>
    <x v="59"/>
    <x v="0"/>
    <x v="5"/>
    <n v="79.552779924077001"/>
    <n v="29036.7646722881"/>
    <n v="104532.35282023701"/>
  </r>
  <r>
    <x v="0"/>
    <x v="0"/>
    <x v="0"/>
    <x v="3"/>
    <x v="4"/>
    <s v="DE4-E_Offshore_A"/>
    <x v="10"/>
    <x v="59"/>
    <x v="0"/>
    <x v="6"/>
    <n v="65.574495246413804"/>
    <n v="23934.690764940999"/>
    <n v="86164.886753787796"/>
  </r>
  <r>
    <x v="0"/>
    <x v="0"/>
    <x v="0"/>
    <x v="3"/>
    <x v="4"/>
    <s v="DE4-E_Offshore_A"/>
    <x v="10"/>
    <x v="59"/>
    <x v="0"/>
    <x v="7"/>
    <n v="63.4124634662546"/>
    <n v="23145.5491651829"/>
    <n v="83323.9769946585"/>
  </r>
  <r>
    <x v="0"/>
    <x v="0"/>
    <x v="0"/>
    <x v="3"/>
    <x v="4"/>
    <s v="DE4-E_Offshore_A"/>
    <x v="10"/>
    <x v="59"/>
    <x v="0"/>
    <x v="8"/>
    <n v="68.171787549971398"/>
    <n v="24882.7024557396"/>
    <n v="89577.728840662501"/>
  </r>
  <r>
    <x v="0"/>
    <x v="0"/>
    <x v="0"/>
    <x v="3"/>
    <x v="4"/>
    <s v="DE4-E_Offshore_A"/>
    <x v="10"/>
    <x v="59"/>
    <x v="0"/>
    <x v="9"/>
    <n v="73.530486780663196"/>
    <n v="26838.627674942101"/>
    <n v="96619.059629791402"/>
  </r>
  <r>
    <x v="0"/>
    <x v="0"/>
    <x v="0"/>
    <x v="3"/>
    <x v="4"/>
    <s v="DE4-E_Offshore_A"/>
    <x v="10"/>
    <x v="59"/>
    <x v="0"/>
    <x v="10"/>
    <n v="84.840124970605004"/>
    <n v="30966.645614270801"/>
    <n v="111479.92421137499"/>
  </r>
  <r>
    <x v="0"/>
    <x v="0"/>
    <x v="0"/>
    <x v="3"/>
    <x v="4"/>
    <s v="DE4-E_Offshore_A"/>
    <x v="10"/>
    <x v="59"/>
    <x v="0"/>
    <x v="11"/>
    <n v="93.459710417576503"/>
    <n v="34112.794302415401"/>
    <n v="122806.059488696"/>
  </r>
  <r>
    <x v="0"/>
    <x v="0"/>
    <x v="0"/>
    <x v="3"/>
    <x v="4"/>
    <s v="DE4-E_Offshore_A"/>
    <x v="10"/>
    <x v="59"/>
    <x v="0"/>
    <x v="12"/>
    <n v="115.008674035005"/>
    <n v="41978.166022776903"/>
    <n v="151121.39768199701"/>
  </r>
  <r>
    <x v="0"/>
    <x v="0"/>
    <x v="0"/>
    <x v="3"/>
    <x v="4"/>
    <s v="DE4-E_Offshore_A"/>
    <x v="10"/>
    <x v="59"/>
    <x v="0"/>
    <x v="13"/>
    <n v="134.39560587227501"/>
    <n v="49054.396143380298"/>
    <n v="176595.82611616899"/>
  </r>
  <r>
    <x v="0"/>
    <x v="0"/>
    <x v="0"/>
    <x v="3"/>
    <x v="4"/>
    <s v="DE4-E_Offshore_A"/>
    <x v="10"/>
    <x v="59"/>
    <x v="0"/>
    <x v="14"/>
    <n v="156.48686128934699"/>
    <n v="57117.704370611798"/>
    <n v="205623.735734202"/>
  </r>
  <r>
    <x v="0"/>
    <x v="0"/>
    <x v="0"/>
    <x v="3"/>
    <x v="4"/>
    <s v="DE4-E_Offshore_A"/>
    <x v="10"/>
    <x v="59"/>
    <x v="0"/>
    <x v="15"/>
    <n v="178.29269996976501"/>
    <n v="65076.835488964301"/>
    <n v="234276.607760271"/>
  </r>
  <r>
    <x v="0"/>
    <x v="0"/>
    <x v="0"/>
    <x v="3"/>
    <x v="4"/>
    <s v="DE4-E_Offshore_A"/>
    <x v="10"/>
    <x v="59"/>
    <x v="0"/>
    <x v="16"/>
    <n v="207.40520710854301"/>
    <n v="75702.900594618201"/>
    <n v="272530.44214062602"/>
  </r>
  <r>
    <x v="0"/>
    <x v="0"/>
    <x v="0"/>
    <x v="3"/>
    <x v="4"/>
    <s v="DE4-E_Offshore_A"/>
    <x v="10"/>
    <x v="59"/>
    <x v="0"/>
    <x v="17"/>
    <n v="233.99891154634301"/>
    <n v="85409.602714415305"/>
    <n v="307474.56977189501"/>
  </r>
  <r>
    <x v="0"/>
    <x v="0"/>
    <x v="0"/>
    <x v="3"/>
    <x v="4"/>
    <s v="DE4-E_Offshore_A"/>
    <x v="10"/>
    <x v="59"/>
    <x v="0"/>
    <x v="18"/>
    <n v="262.49777270131398"/>
    <n v="95811.687035979397"/>
    <n v="344922.073329526"/>
  </r>
  <r>
    <x v="0"/>
    <x v="0"/>
    <x v="0"/>
    <x v="3"/>
    <x v="4"/>
    <s v="DE4-E_Offshore_A"/>
    <x v="10"/>
    <x v="59"/>
    <x v="0"/>
    <x v="19"/>
    <n v="291.13934222461103"/>
    <n v="106265.859911983"/>
    <n v="382557.09568313899"/>
  </r>
  <r>
    <x v="0"/>
    <x v="0"/>
    <x v="0"/>
    <x v="3"/>
    <x v="4"/>
    <s v="DE4-E_Offshore_A"/>
    <x v="10"/>
    <x v="59"/>
    <x v="0"/>
    <x v="20"/>
    <n v="315.59955655591801"/>
    <n v="115193.83814291"/>
    <n v="414697.81731447601"/>
  </r>
  <r>
    <x v="0"/>
    <x v="0"/>
    <x v="0"/>
    <x v="3"/>
    <x v="4"/>
    <s v="DE4-E_Offshore_A"/>
    <x v="10"/>
    <x v="59"/>
    <x v="0"/>
    <x v="21"/>
    <n v="342.50721940403798"/>
    <n v="125015.13508247399"/>
    <n v="450054.48629690602"/>
  </r>
  <r>
    <x v="0"/>
    <x v="0"/>
    <x v="0"/>
    <x v="3"/>
    <x v="4"/>
    <s v="DE4-E_Offshore_A"/>
    <x v="10"/>
    <x v="59"/>
    <x v="0"/>
    <x v="22"/>
    <n v="376.46467564752902"/>
    <n v="137409.60661134799"/>
    <n v="494674.583800853"/>
  </r>
  <r>
    <x v="0"/>
    <x v="0"/>
    <x v="0"/>
    <x v="3"/>
    <x v="4"/>
    <s v="DE4-E_Offshore_A"/>
    <x v="10"/>
    <x v="59"/>
    <x v="0"/>
    <x v="23"/>
    <n v="398.61301441193302"/>
    <n v="145493.75026035501"/>
    <n v="523777.50093727902"/>
  </r>
  <r>
    <x v="0"/>
    <x v="0"/>
    <x v="0"/>
    <x v="3"/>
    <x v="5"/>
    <s v="DE4-N_A"/>
    <x v="0"/>
    <x v="150"/>
    <x v="0"/>
    <x v="0"/>
    <n v="0.25"/>
    <n v="91.25"/>
    <n v="328.5"/>
  </r>
  <r>
    <x v="0"/>
    <x v="0"/>
    <x v="0"/>
    <x v="3"/>
    <x v="5"/>
    <s v="DE4-N_A"/>
    <x v="0"/>
    <x v="150"/>
    <x v="0"/>
    <x v="1"/>
    <n v="0.25"/>
    <n v="91.25"/>
    <n v="328.5"/>
  </r>
  <r>
    <x v="0"/>
    <x v="0"/>
    <x v="0"/>
    <x v="3"/>
    <x v="5"/>
    <s v="DE4-N_A"/>
    <x v="0"/>
    <x v="150"/>
    <x v="0"/>
    <x v="2"/>
    <n v="0.25"/>
    <n v="91.25"/>
    <n v="328.5"/>
  </r>
  <r>
    <x v="0"/>
    <x v="0"/>
    <x v="0"/>
    <x v="3"/>
    <x v="5"/>
    <s v="DE4-N_A"/>
    <x v="0"/>
    <x v="150"/>
    <x v="0"/>
    <x v="3"/>
    <n v="0.25"/>
    <n v="91.25"/>
    <n v="328.5"/>
  </r>
  <r>
    <x v="0"/>
    <x v="0"/>
    <x v="0"/>
    <x v="3"/>
    <x v="5"/>
    <s v="DE4-N_A"/>
    <x v="0"/>
    <x v="150"/>
    <x v="0"/>
    <x v="4"/>
    <n v="0.25"/>
    <n v="91.25"/>
    <n v="328.5"/>
  </r>
  <r>
    <x v="0"/>
    <x v="0"/>
    <x v="0"/>
    <x v="3"/>
    <x v="5"/>
    <s v="DE4-N_A"/>
    <x v="0"/>
    <x v="150"/>
    <x v="0"/>
    <x v="5"/>
    <n v="0.25"/>
    <n v="91.25"/>
    <n v="328.5"/>
  </r>
  <r>
    <x v="0"/>
    <x v="0"/>
    <x v="0"/>
    <x v="3"/>
    <x v="5"/>
    <s v="DE4-N_A"/>
    <x v="0"/>
    <x v="150"/>
    <x v="0"/>
    <x v="6"/>
    <n v="0.25"/>
    <n v="91.25"/>
    <n v="328.5"/>
  </r>
  <r>
    <x v="0"/>
    <x v="0"/>
    <x v="0"/>
    <x v="3"/>
    <x v="5"/>
    <s v="DE4-N_A"/>
    <x v="0"/>
    <x v="150"/>
    <x v="0"/>
    <x v="7"/>
    <n v="0.25"/>
    <n v="91.25"/>
    <n v="328.5"/>
  </r>
  <r>
    <x v="0"/>
    <x v="0"/>
    <x v="0"/>
    <x v="3"/>
    <x v="5"/>
    <s v="DE4-N_A"/>
    <x v="0"/>
    <x v="150"/>
    <x v="0"/>
    <x v="8"/>
    <n v="0.25"/>
    <n v="91.25"/>
    <n v="328.5"/>
  </r>
  <r>
    <x v="0"/>
    <x v="0"/>
    <x v="0"/>
    <x v="3"/>
    <x v="5"/>
    <s v="DE4-N_A"/>
    <x v="0"/>
    <x v="150"/>
    <x v="0"/>
    <x v="9"/>
    <n v="0.25"/>
    <n v="91.25"/>
    <n v="328.5"/>
  </r>
  <r>
    <x v="0"/>
    <x v="0"/>
    <x v="0"/>
    <x v="3"/>
    <x v="5"/>
    <s v="DE4-N_A"/>
    <x v="0"/>
    <x v="150"/>
    <x v="0"/>
    <x v="10"/>
    <n v="0.25"/>
    <n v="91.25"/>
    <n v="328.5"/>
  </r>
  <r>
    <x v="0"/>
    <x v="0"/>
    <x v="0"/>
    <x v="3"/>
    <x v="5"/>
    <s v="DE4-N_A"/>
    <x v="0"/>
    <x v="150"/>
    <x v="0"/>
    <x v="11"/>
    <n v="0.25"/>
    <n v="91.25"/>
    <n v="328.5"/>
  </r>
  <r>
    <x v="0"/>
    <x v="0"/>
    <x v="0"/>
    <x v="3"/>
    <x v="5"/>
    <s v="DE4-N_A"/>
    <x v="0"/>
    <x v="150"/>
    <x v="0"/>
    <x v="12"/>
    <n v="0.25"/>
    <n v="91.25"/>
    <n v="328.5"/>
  </r>
  <r>
    <x v="0"/>
    <x v="0"/>
    <x v="0"/>
    <x v="3"/>
    <x v="5"/>
    <s v="DE4-N_A"/>
    <x v="0"/>
    <x v="150"/>
    <x v="0"/>
    <x v="13"/>
    <n v="0.25"/>
    <n v="91.25"/>
    <n v="328.5"/>
  </r>
  <r>
    <x v="0"/>
    <x v="0"/>
    <x v="0"/>
    <x v="3"/>
    <x v="5"/>
    <s v="DE4-N_A"/>
    <x v="0"/>
    <x v="150"/>
    <x v="0"/>
    <x v="14"/>
    <n v="0.25"/>
    <n v="91.25"/>
    <n v="328.5"/>
  </r>
  <r>
    <x v="0"/>
    <x v="0"/>
    <x v="0"/>
    <x v="3"/>
    <x v="5"/>
    <s v="DE4-N_A"/>
    <x v="0"/>
    <x v="150"/>
    <x v="0"/>
    <x v="15"/>
    <n v="0.25"/>
    <n v="91.25"/>
    <n v="328.5"/>
  </r>
  <r>
    <x v="0"/>
    <x v="0"/>
    <x v="0"/>
    <x v="3"/>
    <x v="5"/>
    <s v="DE4-N_A"/>
    <x v="0"/>
    <x v="150"/>
    <x v="0"/>
    <x v="16"/>
    <n v="0.25"/>
    <n v="91.25"/>
    <n v="328.5"/>
  </r>
  <r>
    <x v="0"/>
    <x v="0"/>
    <x v="0"/>
    <x v="3"/>
    <x v="5"/>
    <s v="DE4-N_A"/>
    <x v="0"/>
    <x v="150"/>
    <x v="0"/>
    <x v="17"/>
    <n v="0.25"/>
    <n v="91.25"/>
    <n v="328.5"/>
  </r>
  <r>
    <x v="0"/>
    <x v="0"/>
    <x v="0"/>
    <x v="3"/>
    <x v="5"/>
    <s v="DE4-N_A"/>
    <x v="0"/>
    <x v="150"/>
    <x v="0"/>
    <x v="18"/>
    <n v="0.25"/>
    <n v="91.25"/>
    <n v="328.5"/>
  </r>
  <r>
    <x v="0"/>
    <x v="0"/>
    <x v="0"/>
    <x v="3"/>
    <x v="5"/>
    <s v="DE4-N_A"/>
    <x v="0"/>
    <x v="150"/>
    <x v="0"/>
    <x v="19"/>
    <n v="0.25"/>
    <n v="91.25"/>
    <n v="328.5"/>
  </r>
  <r>
    <x v="0"/>
    <x v="0"/>
    <x v="0"/>
    <x v="3"/>
    <x v="5"/>
    <s v="DE4-N_A"/>
    <x v="0"/>
    <x v="150"/>
    <x v="0"/>
    <x v="20"/>
    <n v="0.25"/>
    <n v="91.25"/>
    <n v="328.5"/>
  </r>
  <r>
    <x v="0"/>
    <x v="0"/>
    <x v="0"/>
    <x v="3"/>
    <x v="5"/>
    <s v="DE4-N_A"/>
    <x v="0"/>
    <x v="150"/>
    <x v="0"/>
    <x v="21"/>
    <n v="0.25"/>
    <n v="91.25"/>
    <n v="328.5"/>
  </r>
  <r>
    <x v="0"/>
    <x v="0"/>
    <x v="0"/>
    <x v="3"/>
    <x v="5"/>
    <s v="DE4-N_A"/>
    <x v="0"/>
    <x v="150"/>
    <x v="0"/>
    <x v="22"/>
    <n v="0.25"/>
    <n v="91.25"/>
    <n v="328.5"/>
  </r>
  <r>
    <x v="0"/>
    <x v="0"/>
    <x v="0"/>
    <x v="3"/>
    <x v="5"/>
    <s v="DE4-N_A"/>
    <x v="0"/>
    <x v="150"/>
    <x v="0"/>
    <x v="23"/>
    <n v="0.25"/>
    <n v="91.25"/>
    <n v="328.5"/>
  </r>
  <r>
    <x v="0"/>
    <x v="0"/>
    <x v="0"/>
    <x v="3"/>
    <x v="5"/>
    <s v="DE4-N_A"/>
    <x v="0"/>
    <x v="142"/>
    <x v="0"/>
    <x v="0"/>
    <n v="1.06666666666667"/>
    <n v="389.33333333333297"/>
    <n v="1401.6"/>
  </r>
  <r>
    <x v="0"/>
    <x v="0"/>
    <x v="0"/>
    <x v="3"/>
    <x v="5"/>
    <s v="DE4-N_A"/>
    <x v="0"/>
    <x v="142"/>
    <x v="0"/>
    <x v="1"/>
    <n v="1.06666666666667"/>
    <n v="389.33333333333297"/>
    <n v="1401.6"/>
  </r>
  <r>
    <x v="0"/>
    <x v="0"/>
    <x v="0"/>
    <x v="3"/>
    <x v="5"/>
    <s v="DE4-N_A"/>
    <x v="0"/>
    <x v="142"/>
    <x v="0"/>
    <x v="2"/>
    <n v="1.06666666666667"/>
    <n v="389.33333333333297"/>
    <n v="1401.6"/>
  </r>
  <r>
    <x v="0"/>
    <x v="0"/>
    <x v="0"/>
    <x v="3"/>
    <x v="5"/>
    <s v="DE4-N_A"/>
    <x v="0"/>
    <x v="142"/>
    <x v="0"/>
    <x v="3"/>
    <n v="1.06666666666667"/>
    <n v="389.33333333333297"/>
    <n v="1401.6"/>
  </r>
  <r>
    <x v="0"/>
    <x v="0"/>
    <x v="0"/>
    <x v="3"/>
    <x v="5"/>
    <s v="DE4-N_A"/>
    <x v="0"/>
    <x v="142"/>
    <x v="0"/>
    <x v="4"/>
    <n v="1.06666666666667"/>
    <n v="389.33333333333297"/>
    <n v="1401.6"/>
  </r>
  <r>
    <x v="0"/>
    <x v="0"/>
    <x v="0"/>
    <x v="3"/>
    <x v="5"/>
    <s v="DE4-N_A"/>
    <x v="0"/>
    <x v="142"/>
    <x v="0"/>
    <x v="5"/>
    <n v="1.06666666666667"/>
    <n v="389.33333333333297"/>
    <n v="1401.6"/>
  </r>
  <r>
    <x v="0"/>
    <x v="0"/>
    <x v="0"/>
    <x v="3"/>
    <x v="5"/>
    <s v="DE4-N_A"/>
    <x v="0"/>
    <x v="142"/>
    <x v="0"/>
    <x v="6"/>
    <n v="1.06666666666667"/>
    <n v="389.33333333333297"/>
    <n v="1401.6"/>
  </r>
  <r>
    <x v="0"/>
    <x v="0"/>
    <x v="0"/>
    <x v="3"/>
    <x v="5"/>
    <s v="DE4-N_A"/>
    <x v="0"/>
    <x v="142"/>
    <x v="0"/>
    <x v="7"/>
    <n v="1.06666666666667"/>
    <n v="389.33333333333297"/>
    <n v="1401.6"/>
  </r>
  <r>
    <x v="0"/>
    <x v="0"/>
    <x v="0"/>
    <x v="3"/>
    <x v="5"/>
    <s v="DE4-N_A"/>
    <x v="0"/>
    <x v="142"/>
    <x v="0"/>
    <x v="8"/>
    <n v="1.06666666666667"/>
    <n v="389.33333333333297"/>
    <n v="1401.6"/>
  </r>
  <r>
    <x v="0"/>
    <x v="0"/>
    <x v="0"/>
    <x v="3"/>
    <x v="5"/>
    <s v="DE4-N_A"/>
    <x v="0"/>
    <x v="142"/>
    <x v="0"/>
    <x v="9"/>
    <n v="1.06666666666667"/>
    <n v="389.33333333333297"/>
    <n v="1401.6"/>
  </r>
  <r>
    <x v="0"/>
    <x v="0"/>
    <x v="0"/>
    <x v="3"/>
    <x v="5"/>
    <s v="DE4-N_A"/>
    <x v="0"/>
    <x v="142"/>
    <x v="0"/>
    <x v="10"/>
    <n v="1.06666666666667"/>
    <n v="389.33333333333297"/>
    <n v="1401.6"/>
  </r>
  <r>
    <x v="0"/>
    <x v="0"/>
    <x v="0"/>
    <x v="3"/>
    <x v="5"/>
    <s v="DE4-N_A"/>
    <x v="0"/>
    <x v="142"/>
    <x v="0"/>
    <x v="11"/>
    <n v="1.06666666666667"/>
    <n v="389.33333333333297"/>
    <n v="1401.6"/>
  </r>
  <r>
    <x v="0"/>
    <x v="0"/>
    <x v="0"/>
    <x v="3"/>
    <x v="5"/>
    <s v="DE4-N_A"/>
    <x v="0"/>
    <x v="142"/>
    <x v="0"/>
    <x v="12"/>
    <n v="1.06666666666667"/>
    <n v="389.33333333333297"/>
    <n v="1401.6"/>
  </r>
  <r>
    <x v="0"/>
    <x v="0"/>
    <x v="0"/>
    <x v="3"/>
    <x v="5"/>
    <s v="DE4-N_A"/>
    <x v="0"/>
    <x v="142"/>
    <x v="0"/>
    <x v="13"/>
    <n v="1.06666666666667"/>
    <n v="389.33333333333297"/>
    <n v="1401.6"/>
  </r>
  <r>
    <x v="0"/>
    <x v="0"/>
    <x v="0"/>
    <x v="3"/>
    <x v="5"/>
    <s v="DE4-N_A"/>
    <x v="0"/>
    <x v="142"/>
    <x v="0"/>
    <x v="14"/>
    <n v="1.06666666666667"/>
    <n v="389.33333333333297"/>
    <n v="1401.6"/>
  </r>
  <r>
    <x v="0"/>
    <x v="0"/>
    <x v="0"/>
    <x v="3"/>
    <x v="5"/>
    <s v="DE4-N_A"/>
    <x v="0"/>
    <x v="142"/>
    <x v="0"/>
    <x v="15"/>
    <n v="1.06666666666667"/>
    <n v="389.33333333333297"/>
    <n v="1401.6"/>
  </r>
  <r>
    <x v="0"/>
    <x v="0"/>
    <x v="0"/>
    <x v="3"/>
    <x v="5"/>
    <s v="DE4-N_A"/>
    <x v="0"/>
    <x v="142"/>
    <x v="0"/>
    <x v="16"/>
    <n v="1.06666666666667"/>
    <n v="389.33333333333297"/>
    <n v="1401.6"/>
  </r>
  <r>
    <x v="0"/>
    <x v="0"/>
    <x v="0"/>
    <x v="3"/>
    <x v="5"/>
    <s v="DE4-N_A"/>
    <x v="0"/>
    <x v="142"/>
    <x v="0"/>
    <x v="17"/>
    <n v="1.06666666666667"/>
    <n v="389.33333333333297"/>
    <n v="1401.6"/>
  </r>
  <r>
    <x v="0"/>
    <x v="0"/>
    <x v="0"/>
    <x v="3"/>
    <x v="5"/>
    <s v="DE4-N_A"/>
    <x v="0"/>
    <x v="142"/>
    <x v="0"/>
    <x v="18"/>
    <n v="1.06666666666667"/>
    <n v="389.33333333333297"/>
    <n v="1401.6"/>
  </r>
  <r>
    <x v="0"/>
    <x v="0"/>
    <x v="0"/>
    <x v="3"/>
    <x v="5"/>
    <s v="DE4-N_A"/>
    <x v="0"/>
    <x v="142"/>
    <x v="0"/>
    <x v="19"/>
    <n v="1.06666666666667"/>
    <n v="389.33333333333297"/>
    <n v="1401.6"/>
  </r>
  <r>
    <x v="0"/>
    <x v="0"/>
    <x v="0"/>
    <x v="3"/>
    <x v="5"/>
    <s v="DE4-N_A"/>
    <x v="0"/>
    <x v="142"/>
    <x v="0"/>
    <x v="20"/>
    <n v="1.06666666666667"/>
    <n v="389.33333333333297"/>
    <n v="1401.6"/>
  </r>
  <r>
    <x v="0"/>
    <x v="0"/>
    <x v="0"/>
    <x v="3"/>
    <x v="5"/>
    <s v="DE4-N_A"/>
    <x v="0"/>
    <x v="142"/>
    <x v="0"/>
    <x v="21"/>
    <n v="1.06666666666667"/>
    <n v="389.33333333333297"/>
    <n v="1401.6"/>
  </r>
  <r>
    <x v="0"/>
    <x v="0"/>
    <x v="0"/>
    <x v="3"/>
    <x v="5"/>
    <s v="DE4-N_A"/>
    <x v="0"/>
    <x v="142"/>
    <x v="0"/>
    <x v="22"/>
    <n v="1.06666666666667"/>
    <n v="389.33333333333297"/>
    <n v="1401.6"/>
  </r>
  <r>
    <x v="0"/>
    <x v="0"/>
    <x v="0"/>
    <x v="3"/>
    <x v="5"/>
    <s v="DE4-N_A"/>
    <x v="0"/>
    <x v="142"/>
    <x v="0"/>
    <x v="23"/>
    <n v="1.06666666666667"/>
    <n v="389.33333333333297"/>
    <n v="1401.6"/>
  </r>
  <r>
    <x v="0"/>
    <x v="0"/>
    <x v="0"/>
    <x v="3"/>
    <x v="5"/>
    <s v="DE4-N_A"/>
    <x v="0"/>
    <x v="143"/>
    <x v="0"/>
    <x v="0"/>
    <n v="1100.72727272727"/>
    <n v="401765.454545455"/>
    <n v="1446355.63636364"/>
  </r>
  <r>
    <x v="0"/>
    <x v="0"/>
    <x v="0"/>
    <x v="3"/>
    <x v="5"/>
    <s v="DE4-N_A"/>
    <x v="0"/>
    <x v="143"/>
    <x v="0"/>
    <x v="1"/>
    <n v="1100.72727272727"/>
    <n v="401765.454545455"/>
    <n v="1446355.63636364"/>
  </r>
  <r>
    <x v="0"/>
    <x v="0"/>
    <x v="0"/>
    <x v="3"/>
    <x v="5"/>
    <s v="DE4-N_A"/>
    <x v="0"/>
    <x v="143"/>
    <x v="0"/>
    <x v="2"/>
    <n v="1100.72727272727"/>
    <n v="401765.454545455"/>
    <n v="1446355.63636364"/>
  </r>
  <r>
    <x v="0"/>
    <x v="0"/>
    <x v="0"/>
    <x v="3"/>
    <x v="5"/>
    <s v="DE4-N_A"/>
    <x v="0"/>
    <x v="143"/>
    <x v="0"/>
    <x v="3"/>
    <n v="1100.72727272727"/>
    <n v="401765.454545455"/>
    <n v="1446355.63636364"/>
  </r>
  <r>
    <x v="0"/>
    <x v="0"/>
    <x v="0"/>
    <x v="3"/>
    <x v="5"/>
    <s v="DE4-N_A"/>
    <x v="0"/>
    <x v="143"/>
    <x v="0"/>
    <x v="4"/>
    <n v="1100.72727272727"/>
    <n v="401765.454545455"/>
    <n v="1446355.63636364"/>
  </r>
  <r>
    <x v="0"/>
    <x v="0"/>
    <x v="0"/>
    <x v="3"/>
    <x v="5"/>
    <s v="DE4-N_A"/>
    <x v="0"/>
    <x v="143"/>
    <x v="0"/>
    <x v="5"/>
    <n v="1100.72727272727"/>
    <n v="401765.454545455"/>
    <n v="1446355.63636364"/>
  </r>
  <r>
    <x v="0"/>
    <x v="0"/>
    <x v="0"/>
    <x v="3"/>
    <x v="5"/>
    <s v="DE4-N_A"/>
    <x v="0"/>
    <x v="143"/>
    <x v="0"/>
    <x v="6"/>
    <n v="1100.72727272727"/>
    <n v="401765.454545455"/>
    <n v="1446355.63636364"/>
  </r>
  <r>
    <x v="0"/>
    <x v="0"/>
    <x v="0"/>
    <x v="3"/>
    <x v="5"/>
    <s v="DE4-N_A"/>
    <x v="0"/>
    <x v="143"/>
    <x v="0"/>
    <x v="7"/>
    <n v="1100.72727272727"/>
    <n v="401765.454545455"/>
    <n v="1446355.63636364"/>
  </r>
  <r>
    <x v="0"/>
    <x v="0"/>
    <x v="0"/>
    <x v="3"/>
    <x v="5"/>
    <s v="DE4-N_A"/>
    <x v="0"/>
    <x v="143"/>
    <x v="0"/>
    <x v="8"/>
    <n v="1100.72727272727"/>
    <n v="401765.454545455"/>
    <n v="1446355.63636364"/>
  </r>
  <r>
    <x v="0"/>
    <x v="0"/>
    <x v="0"/>
    <x v="3"/>
    <x v="5"/>
    <s v="DE4-N_A"/>
    <x v="0"/>
    <x v="143"/>
    <x v="0"/>
    <x v="9"/>
    <n v="1100.72727272727"/>
    <n v="401765.454545455"/>
    <n v="1446355.63636364"/>
  </r>
  <r>
    <x v="0"/>
    <x v="0"/>
    <x v="0"/>
    <x v="3"/>
    <x v="5"/>
    <s v="DE4-N_A"/>
    <x v="0"/>
    <x v="143"/>
    <x v="0"/>
    <x v="10"/>
    <n v="1100.72727272727"/>
    <n v="401765.454545455"/>
    <n v="1446355.63636364"/>
  </r>
  <r>
    <x v="0"/>
    <x v="0"/>
    <x v="0"/>
    <x v="3"/>
    <x v="5"/>
    <s v="DE4-N_A"/>
    <x v="0"/>
    <x v="143"/>
    <x v="0"/>
    <x v="11"/>
    <n v="1100.72727272727"/>
    <n v="401765.454545455"/>
    <n v="1446355.63636364"/>
  </r>
  <r>
    <x v="0"/>
    <x v="0"/>
    <x v="0"/>
    <x v="3"/>
    <x v="5"/>
    <s v="DE4-N_A"/>
    <x v="0"/>
    <x v="143"/>
    <x v="0"/>
    <x v="12"/>
    <n v="1100.72727272727"/>
    <n v="401765.454545455"/>
    <n v="1446355.63636364"/>
  </r>
  <r>
    <x v="0"/>
    <x v="0"/>
    <x v="0"/>
    <x v="3"/>
    <x v="5"/>
    <s v="DE4-N_A"/>
    <x v="0"/>
    <x v="143"/>
    <x v="0"/>
    <x v="13"/>
    <n v="1100.72727272727"/>
    <n v="401765.454545455"/>
    <n v="1446355.63636364"/>
  </r>
  <r>
    <x v="0"/>
    <x v="0"/>
    <x v="0"/>
    <x v="3"/>
    <x v="5"/>
    <s v="DE4-N_A"/>
    <x v="0"/>
    <x v="143"/>
    <x v="0"/>
    <x v="14"/>
    <n v="1100.72727272727"/>
    <n v="401765.454545455"/>
    <n v="1446355.63636364"/>
  </r>
  <r>
    <x v="0"/>
    <x v="0"/>
    <x v="0"/>
    <x v="3"/>
    <x v="5"/>
    <s v="DE4-N_A"/>
    <x v="0"/>
    <x v="143"/>
    <x v="0"/>
    <x v="15"/>
    <n v="1100.72727272727"/>
    <n v="401765.454545455"/>
    <n v="1446355.63636364"/>
  </r>
  <r>
    <x v="0"/>
    <x v="0"/>
    <x v="0"/>
    <x v="3"/>
    <x v="5"/>
    <s v="DE4-N_A"/>
    <x v="0"/>
    <x v="143"/>
    <x v="0"/>
    <x v="16"/>
    <n v="1100.72727272727"/>
    <n v="401765.454545455"/>
    <n v="1446355.63636364"/>
  </r>
  <r>
    <x v="0"/>
    <x v="0"/>
    <x v="0"/>
    <x v="3"/>
    <x v="5"/>
    <s v="DE4-N_A"/>
    <x v="0"/>
    <x v="143"/>
    <x v="0"/>
    <x v="17"/>
    <n v="1100.72727272727"/>
    <n v="401765.454545455"/>
    <n v="1446355.63636364"/>
  </r>
  <r>
    <x v="0"/>
    <x v="0"/>
    <x v="0"/>
    <x v="3"/>
    <x v="5"/>
    <s v="DE4-N_A"/>
    <x v="0"/>
    <x v="143"/>
    <x v="0"/>
    <x v="18"/>
    <n v="1100.72727272727"/>
    <n v="401765.454545455"/>
    <n v="1446355.63636364"/>
  </r>
  <r>
    <x v="0"/>
    <x v="0"/>
    <x v="0"/>
    <x v="3"/>
    <x v="5"/>
    <s v="DE4-N_A"/>
    <x v="0"/>
    <x v="143"/>
    <x v="0"/>
    <x v="19"/>
    <n v="1100.72727272727"/>
    <n v="401765.454545455"/>
    <n v="1446355.63636364"/>
  </r>
  <r>
    <x v="0"/>
    <x v="0"/>
    <x v="0"/>
    <x v="3"/>
    <x v="5"/>
    <s v="DE4-N_A"/>
    <x v="0"/>
    <x v="143"/>
    <x v="0"/>
    <x v="20"/>
    <n v="1100.72727272727"/>
    <n v="401765.454545455"/>
    <n v="1446355.63636364"/>
  </r>
  <r>
    <x v="0"/>
    <x v="0"/>
    <x v="0"/>
    <x v="3"/>
    <x v="5"/>
    <s v="DE4-N_A"/>
    <x v="0"/>
    <x v="143"/>
    <x v="0"/>
    <x v="21"/>
    <n v="1100.72727272727"/>
    <n v="401765.454545455"/>
    <n v="1446355.63636364"/>
  </r>
  <r>
    <x v="0"/>
    <x v="0"/>
    <x v="0"/>
    <x v="3"/>
    <x v="5"/>
    <s v="DE4-N_A"/>
    <x v="0"/>
    <x v="143"/>
    <x v="0"/>
    <x v="22"/>
    <n v="1100.72727272727"/>
    <n v="401765.454545455"/>
    <n v="1446355.63636364"/>
  </r>
  <r>
    <x v="0"/>
    <x v="0"/>
    <x v="0"/>
    <x v="3"/>
    <x v="5"/>
    <s v="DE4-N_A"/>
    <x v="0"/>
    <x v="143"/>
    <x v="0"/>
    <x v="23"/>
    <n v="1100.72727272727"/>
    <n v="401765.454545455"/>
    <n v="1446355.63636364"/>
  </r>
  <r>
    <x v="0"/>
    <x v="0"/>
    <x v="0"/>
    <x v="3"/>
    <x v="5"/>
    <s v="DE4-N_A"/>
    <x v="0"/>
    <x v="144"/>
    <x v="0"/>
    <x v="0"/>
    <n v="52.631578947368403"/>
    <n v="19210.526315789499"/>
    <n v="69157.894736842107"/>
  </r>
  <r>
    <x v="0"/>
    <x v="0"/>
    <x v="0"/>
    <x v="3"/>
    <x v="5"/>
    <s v="DE4-N_A"/>
    <x v="0"/>
    <x v="144"/>
    <x v="0"/>
    <x v="1"/>
    <n v="52.631578947368403"/>
    <n v="19210.526315789499"/>
    <n v="69157.894736842107"/>
  </r>
  <r>
    <x v="0"/>
    <x v="0"/>
    <x v="0"/>
    <x v="3"/>
    <x v="5"/>
    <s v="DE4-N_A"/>
    <x v="0"/>
    <x v="144"/>
    <x v="0"/>
    <x v="2"/>
    <n v="52.631578947368403"/>
    <n v="19210.526315789499"/>
    <n v="69157.894736842107"/>
  </r>
  <r>
    <x v="0"/>
    <x v="0"/>
    <x v="0"/>
    <x v="3"/>
    <x v="5"/>
    <s v="DE4-N_A"/>
    <x v="0"/>
    <x v="144"/>
    <x v="0"/>
    <x v="3"/>
    <n v="52.631578947368403"/>
    <n v="19210.526315789499"/>
    <n v="69157.894736842107"/>
  </r>
  <r>
    <x v="0"/>
    <x v="0"/>
    <x v="0"/>
    <x v="3"/>
    <x v="5"/>
    <s v="DE4-N_A"/>
    <x v="0"/>
    <x v="144"/>
    <x v="0"/>
    <x v="4"/>
    <n v="52.631578947368403"/>
    <n v="19210.526315789499"/>
    <n v="69157.894736842107"/>
  </r>
  <r>
    <x v="0"/>
    <x v="0"/>
    <x v="0"/>
    <x v="3"/>
    <x v="5"/>
    <s v="DE4-N_A"/>
    <x v="0"/>
    <x v="144"/>
    <x v="0"/>
    <x v="5"/>
    <n v="52.631578947368403"/>
    <n v="19210.526315789499"/>
    <n v="69157.894736842107"/>
  </r>
  <r>
    <x v="0"/>
    <x v="0"/>
    <x v="0"/>
    <x v="3"/>
    <x v="5"/>
    <s v="DE4-N_A"/>
    <x v="0"/>
    <x v="144"/>
    <x v="0"/>
    <x v="6"/>
    <n v="52.631578947368403"/>
    <n v="19210.526315789499"/>
    <n v="69157.894736842107"/>
  </r>
  <r>
    <x v="0"/>
    <x v="0"/>
    <x v="0"/>
    <x v="3"/>
    <x v="5"/>
    <s v="DE4-N_A"/>
    <x v="0"/>
    <x v="144"/>
    <x v="0"/>
    <x v="7"/>
    <n v="52.631578947368403"/>
    <n v="19210.526315789499"/>
    <n v="69157.894736842107"/>
  </r>
  <r>
    <x v="0"/>
    <x v="0"/>
    <x v="0"/>
    <x v="3"/>
    <x v="5"/>
    <s v="DE4-N_A"/>
    <x v="0"/>
    <x v="144"/>
    <x v="0"/>
    <x v="8"/>
    <n v="52.631578947368403"/>
    <n v="19210.526315789499"/>
    <n v="69157.894736842107"/>
  </r>
  <r>
    <x v="0"/>
    <x v="0"/>
    <x v="0"/>
    <x v="3"/>
    <x v="5"/>
    <s v="DE4-N_A"/>
    <x v="0"/>
    <x v="144"/>
    <x v="0"/>
    <x v="9"/>
    <n v="52.631578947368403"/>
    <n v="19210.526315789499"/>
    <n v="69157.894736842107"/>
  </r>
  <r>
    <x v="0"/>
    <x v="0"/>
    <x v="0"/>
    <x v="3"/>
    <x v="5"/>
    <s v="DE4-N_A"/>
    <x v="0"/>
    <x v="144"/>
    <x v="0"/>
    <x v="10"/>
    <n v="52.631578947368403"/>
    <n v="19210.526315789499"/>
    <n v="69157.894736842107"/>
  </r>
  <r>
    <x v="0"/>
    <x v="0"/>
    <x v="0"/>
    <x v="3"/>
    <x v="5"/>
    <s v="DE4-N_A"/>
    <x v="0"/>
    <x v="144"/>
    <x v="0"/>
    <x v="11"/>
    <n v="52.631578947368403"/>
    <n v="19210.526315789499"/>
    <n v="69157.894736842107"/>
  </r>
  <r>
    <x v="0"/>
    <x v="0"/>
    <x v="0"/>
    <x v="3"/>
    <x v="5"/>
    <s v="DE4-N_A"/>
    <x v="0"/>
    <x v="144"/>
    <x v="0"/>
    <x v="12"/>
    <n v="52.631578947368403"/>
    <n v="19210.526315789499"/>
    <n v="69157.894736842107"/>
  </r>
  <r>
    <x v="0"/>
    <x v="0"/>
    <x v="0"/>
    <x v="3"/>
    <x v="5"/>
    <s v="DE4-N_A"/>
    <x v="0"/>
    <x v="144"/>
    <x v="0"/>
    <x v="13"/>
    <n v="52.631578947368403"/>
    <n v="19210.526315789499"/>
    <n v="69157.894736842107"/>
  </r>
  <r>
    <x v="0"/>
    <x v="0"/>
    <x v="0"/>
    <x v="3"/>
    <x v="5"/>
    <s v="DE4-N_A"/>
    <x v="0"/>
    <x v="144"/>
    <x v="0"/>
    <x v="14"/>
    <n v="52.631578947368403"/>
    <n v="19210.526315789499"/>
    <n v="69157.894736842107"/>
  </r>
  <r>
    <x v="0"/>
    <x v="0"/>
    <x v="0"/>
    <x v="3"/>
    <x v="5"/>
    <s v="DE4-N_A"/>
    <x v="0"/>
    <x v="144"/>
    <x v="0"/>
    <x v="15"/>
    <n v="52.631578947368403"/>
    <n v="19210.526315789499"/>
    <n v="69157.894736842107"/>
  </r>
  <r>
    <x v="0"/>
    <x v="0"/>
    <x v="0"/>
    <x v="3"/>
    <x v="5"/>
    <s v="DE4-N_A"/>
    <x v="0"/>
    <x v="144"/>
    <x v="0"/>
    <x v="16"/>
    <n v="52.631578947368403"/>
    <n v="19210.526315789499"/>
    <n v="69157.894736842107"/>
  </r>
  <r>
    <x v="0"/>
    <x v="0"/>
    <x v="0"/>
    <x v="3"/>
    <x v="5"/>
    <s v="DE4-N_A"/>
    <x v="0"/>
    <x v="144"/>
    <x v="0"/>
    <x v="17"/>
    <n v="52.631578947368403"/>
    <n v="19210.526315789499"/>
    <n v="69157.894736842107"/>
  </r>
  <r>
    <x v="0"/>
    <x v="0"/>
    <x v="0"/>
    <x v="3"/>
    <x v="5"/>
    <s v="DE4-N_A"/>
    <x v="0"/>
    <x v="144"/>
    <x v="0"/>
    <x v="18"/>
    <n v="52.631578947368403"/>
    <n v="19210.526315789499"/>
    <n v="69157.894736842107"/>
  </r>
  <r>
    <x v="0"/>
    <x v="0"/>
    <x v="0"/>
    <x v="3"/>
    <x v="5"/>
    <s v="DE4-N_A"/>
    <x v="0"/>
    <x v="144"/>
    <x v="0"/>
    <x v="19"/>
    <n v="52.631578947368403"/>
    <n v="19210.526315789499"/>
    <n v="69157.894736842107"/>
  </r>
  <r>
    <x v="0"/>
    <x v="0"/>
    <x v="0"/>
    <x v="3"/>
    <x v="5"/>
    <s v="DE4-N_A"/>
    <x v="0"/>
    <x v="144"/>
    <x v="0"/>
    <x v="20"/>
    <n v="52.631578947368403"/>
    <n v="19210.526315789499"/>
    <n v="69157.894736842107"/>
  </r>
  <r>
    <x v="0"/>
    <x v="0"/>
    <x v="0"/>
    <x v="3"/>
    <x v="5"/>
    <s v="DE4-N_A"/>
    <x v="0"/>
    <x v="144"/>
    <x v="0"/>
    <x v="21"/>
    <n v="52.631578947368403"/>
    <n v="19210.526315789499"/>
    <n v="69157.894736842107"/>
  </r>
  <r>
    <x v="0"/>
    <x v="0"/>
    <x v="0"/>
    <x v="3"/>
    <x v="5"/>
    <s v="DE4-N_A"/>
    <x v="0"/>
    <x v="144"/>
    <x v="0"/>
    <x v="22"/>
    <n v="52.631578947368403"/>
    <n v="19210.526315789499"/>
    <n v="69157.894736842107"/>
  </r>
  <r>
    <x v="0"/>
    <x v="0"/>
    <x v="0"/>
    <x v="3"/>
    <x v="5"/>
    <s v="DE4-N_A"/>
    <x v="0"/>
    <x v="144"/>
    <x v="0"/>
    <x v="23"/>
    <n v="52.631578947368403"/>
    <n v="19210.526315789499"/>
    <n v="69157.894736842107"/>
  </r>
  <r>
    <x v="0"/>
    <x v="0"/>
    <x v="0"/>
    <x v="3"/>
    <x v="5"/>
    <s v="DE4-N_A"/>
    <x v="17"/>
    <x v="151"/>
    <x v="0"/>
    <x v="1"/>
    <n v="119.1"/>
    <n v="43471.5"/>
    <n v="156497.4"/>
  </r>
  <r>
    <x v="0"/>
    <x v="0"/>
    <x v="0"/>
    <x v="3"/>
    <x v="5"/>
    <s v="DE4-N_A"/>
    <x v="17"/>
    <x v="151"/>
    <x v="0"/>
    <x v="3"/>
    <n v="119.1"/>
    <n v="43471.5"/>
    <n v="156497.4"/>
  </r>
  <r>
    <x v="0"/>
    <x v="0"/>
    <x v="0"/>
    <x v="3"/>
    <x v="5"/>
    <s v="DE4-N_A"/>
    <x v="17"/>
    <x v="151"/>
    <x v="0"/>
    <x v="4"/>
    <n v="16.641369863013701"/>
    <n v="6074.1"/>
    <n v="21866.76"/>
  </r>
  <r>
    <x v="0"/>
    <x v="0"/>
    <x v="0"/>
    <x v="3"/>
    <x v="5"/>
    <s v="DE4-N_A"/>
    <x v="17"/>
    <x v="151"/>
    <x v="0"/>
    <x v="8"/>
    <n v="119.1"/>
    <n v="43471.5"/>
    <n v="156497.4"/>
  </r>
  <r>
    <x v="0"/>
    <x v="0"/>
    <x v="0"/>
    <x v="3"/>
    <x v="5"/>
    <s v="DE4-N_A"/>
    <x v="17"/>
    <x v="151"/>
    <x v="0"/>
    <x v="10"/>
    <n v="16.641369863013701"/>
    <n v="6074.0999999999904"/>
    <n v="21866.76"/>
  </r>
  <r>
    <x v="0"/>
    <x v="0"/>
    <x v="0"/>
    <x v="3"/>
    <x v="5"/>
    <s v="DE4-N_A"/>
    <x v="17"/>
    <x v="151"/>
    <x v="0"/>
    <x v="11"/>
    <n v="119.1"/>
    <n v="43471.5"/>
    <n v="156497.4"/>
  </r>
  <r>
    <x v="0"/>
    <x v="0"/>
    <x v="0"/>
    <x v="3"/>
    <x v="5"/>
    <s v="DE4-N_A"/>
    <x v="17"/>
    <x v="151"/>
    <x v="0"/>
    <x v="13"/>
    <n v="119.1"/>
    <n v="43471.5"/>
    <n v="156497.4"/>
  </r>
  <r>
    <x v="0"/>
    <x v="0"/>
    <x v="0"/>
    <x v="3"/>
    <x v="5"/>
    <s v="DE4-N_A"/>
    <x v="17"/>
    <x v="151"/>
    <x v="0"/>
    <x v="17"/>
    <n v="119.1"/>
    <n v="43471.5"/>
    <n v="156497.4"/>
  </r>
  <r>
    <x v="0"/>
    <x v="0"/>
    <x v="0"/>
    <x v="3"/>
    <x v="5"/>
    <s v="DE4-N_A"/>
    <x v="17"/>
    <x v="151"/>
    <x v="0"/>
    <x v="18"/>
    <n v="16.641369863013701"/>
    <n v="6074.1"/>
    <n v="21866.76"/>
  </r>
  <r>
    <x v="0"/>
    <x v="0"/>
    <x v="0"/>
    <x v="3"/>
    <x v="5"/>
    <s v="DE4-N_A"/>
    <x v="17"/>
    <x v="151"/>
    <x v="0"/>
    <x v="20"/>
    <n v="119.1"/>
    <n v="43471.5"/>
    <n v="156497.4"/>
  </r>
  <r>
    <x v="0"/>
    <x v="0"/>
    <x v="0"/>
    <x v="3"/>
    <x v="5"/>
    <s v="DE4-N_A"/>
    <x v="2"/>
    <x v="152"/>
    <x v="0"/>
    <x v="0"/>
    <n v="0.38750000000000001"/>
    <n v="141.4375"/>
    <n v="509.17500000000001"/>
  </r>
  <r>
    <x v="0"/>
    <x v="0"/>
    <x v="0"/>
    <x v="3"/>
    <x v="5"/>
    <s v="DE4-N_A"/>
    <x v="2"/>
    <x v="152"/>
    <x v="0"/>
    <x v="1"/>
    <n v="0.38750000000000001"/>
    <n v="141.4375"/>
    <n v="509.17500000000001"/>
  </r>
  <r>
    <x v="0"/>
    <x v="0"/>
    <x v="0"/>
    <x v="3"/>
    <x v="5"/>
    <s v="DE4-N_A"/>
    <x v="2"/>
    <x v="152"/>
    <x v="0"/>
    <x v="2"/>
    <n v="0.38750000000000001"/>
    <n v="141.4375"/>
    <n v="509.17500000000001"/>
  </r>
  <r>
    <x v="0"/>
    <x v="0"/>
    <x v="0"/>
    <x v="3"/>
    <x v="5"/>
    <s v="DE4-N_A"/>
    <x v="2"/>
    <x v="152"/>
    <x v="0"/>
    <x v="3"/>
    <n v="0.38750000000000001"/>
    <n v="141.4375"/>
    <n v="509.17500000000001"/>
  </r>
  <r>
    <x v="0"/>
    <x v="0"/>
    <x v="0"/>
    <x v="3"/>
    <x v="5"/>
    <s v="DE4-N_A"/>
    <x v="2"/>
    <x v="152"/>
    <x v="0"/>
    <x v="4"/>
    <n v="0.38750000000000001"/>
    <n v="141.4375"/>
    <n v="509.17500000000001"/>
  </r>
  <r>
    <x v="0"/>
    <x v="0"/>
    <x v="0"/>
    <x v="3"/>
    <x v="5"/>
    <s v="DE4-N_A"/>
    <x v="2"/>
    <x v="152"/>
    <x v="0"/>
    <x v="5"/>
    <n v="0.38750000000000001"/>
    <n v="141.4375"/>
    <n v="509.17500000000001"/>
  </r>
  <r>
    <x v="0"/>
    <x v="0"/>
    <x v="0"/>
    <x v="3"/>
    <x v="5"/>
    <s v="DE4-N_A"/>
    <x v="2"/>
    <x v="152"/>
    <x v="0"/>
    <x v="6"/>
    <n v="0.38750000000000001"/>
    <n v="141.4375"/>
    <n v="509.17500000000001"/>
  </r>
  <r>
    <x v="0"/>
    <x v="0"/>
    <x v="0"/>
    <x v="3"/>
    <x v="5"/>
    <s v="DE4-N_A"/>
    <x v="2"/>
    <x v="152"/>
    <x v="0"/>
    <x v="7"/>
    <n v="0.38750000000000001"/>
    <n v="141.4375"/>
    <n v="509.17500000000001"/>
  </r>
  <r>
    <x v="0"/>
    <x v="0"/>
    <x v="0"/>
    <x v="3"/>
    <x v="5"/>
    <s v="DE4-N_A"/>
    <x v="2"/>
    <x v="152"/>
    <x v="0"/>
    <x v="8"/>
    <n v="0.38750000000000001"/>
    <n v="141.4375"/>
    <n v="509.17500000000001"/>
  </r>
  <r>
    <x v="0"/>
    <x v="0"/>
    <x v="0"/>
    <x v="3"/>
    <x v="5"/>
    <s v="DE4-N_A"/>
    <x v="2"/>
    <x v="152"/>
    <x v="0"/>
    <x v="9"/>
    <n v="0.38750000000000001"/>
    <n v="141.4375"/>
    <n v="509.17500000000001"/>
  </r>
  <r>
    <x v="0"/>
    <x v="0"/>
    <x v="0"/>
    <x v="3"/>
    <x v="5"/>
    <s v="DE4-N_A"/>
    <x v="2"/>
    <x v="152"/>
    <x v="0"/>
    <x v="10"/>
    <n v="0.38750000000000001"/>
    <n v="141.4375"/>
    <n v="509.17500000000001"/>
  </r>
  <r>
    <x v="0"/>
    <x v="0"/>
    <x v="0"/>
    <x v="3"/>
    <x v="5"/>
    <s v="DE4-N_A"/>
    <x v="2"/>
    <x v="152"/>
    <x v="0"/>
    <x v="11"/>
    <n v="0.38750000000000001"/>
    <n v="141.4375"/>
    <n v="509.17500000000001"/>
  </r>
  <r>
    <x v="0"/>
    <x v="0"/>
    <x v="0"/>
    <x v="3"/>
    <x v="5"/>
    <s v="DE4-N_A"/>
    <x v="2"/>
    <x v="152"/>
    <x v="0"/>
    <x v="12"/>
    <n v="0.38750000000000001"/>
    <n v="141.4375"/>
    <n v="509.17500000000001"/>
  </r>
  <r>
    <x v="0"/>
    <x v="0"/>
    <x v="0"/>
    <x v="3"/>
    <x v="5"/>
    <s v="DE4-N_A"/>
    <x v="2"/>
    <x v="152"/>
    <x v="0"/>
    <x v="13"/>
    <n v="0.38750000000000001"/>
    <n v="141.4375"/>
    <n v="509.17500000000001"/>
  </r>
  <r>
    <x v="0"/>
    <x v="0"/>
    <x v="0"/>
    <x v="3"/>
    <x v="5"/>
    <s v="DE4-N_A"/>
    <x v="2"/>
    <x v="152"/>
    <x v="0"/>
    <x v="14"/>
    <n v="0.38750000000000001"/>
    <n v="141.4375"/>
    <n v="509.17500000000001"/>
  </r>
  <r>
    <x v="0"/>
    <x v="0"/>
    <x v="0"/>
    <x v="3"/>
    <x v="5"/>
    <s v="DE4-N_A"/>
    <x v="2"/>
    <x v="152"/>
    <x v="0"/>
    <x v="15"/>
    <n v="0.38750000000000001"/>
    <n v="141.4375"/>
    <n v="509.17500000000001"/>
  </r>
  <r>
    <x v="0"/>
    <x v="0"/>
    <x v="0"/>
    <x v="3"/>
    <x v="5"/>
    <s v="DE4-N_A"/>
    <x v="2"/>
    <x v="152"/>
    <x v="0"/>
    <x v="16"/>
    <n v="0.38750000000000001"/>
    <n v="141.4375"/>
    <n v="509.17500000000001"/>
  </r>
  <r>
    <x v="0"/>
    <x v="0"/>
    <x v="0"/>
    <x v="3"/>
    <x v="5"/>
    <s v="DE4-N_A"/>
    <x v="2"/>
    <x v="152"/>
    <x v="0"/>
    <x v="17"/>
    <n v="0.38750000000000001"/>
    <n v="141.4375"/>
    <n v="509.17500000000001"/>
  </r>
  <r>
    <x v="0"/>
    <x v="0"/>
    <x v="0"/>
    <x v="3"/>
    <x v="5"/>
    <s v="DE4-N_A"/>
    <x v="2"/>
    <x v="152"/>
    <x v="0"/>
    <x v="18"/>
    <n v="0.38750000000000001"/>
    <n v="141.4375"/>
    <n v="509.17500000000001"/>
  </r>
  <r>
    <x v="0"/>
    <x v="0"/>
    <x v="0"/>
    <x v="3"/>
    <x v="5"/>
    <s v="DE4-N_A"/>
    <x v="2"/>
    <x v="152"/>
    <x v="0"/>
    <x v="19"/>
    <n v="0.38750000000000001"/>
    <n v="141.4375"/>
    <n v="509.17500000000001"/>
  </r>
  <r>
    <x v="0"/>
    <x v="0"/>
    <x v="0"/>
    <x v="3"/>
    <x v="5"/>
    <s v="DE4-N_A"/>
    <x v="2"/>
    <x v="152"/>
    <x v="0"/>
    <x v="20"/>
    <n v="0.38750000000000001"/>
    <n v="141.4375"/>
    <n v="509.17500000000001"/>
  </r>
  <r>
    <x v="0"/>
    <x v="0"/>
    <x v="0"/>
    <x v="3"/>
    <x v="5"/>
    <s v="DE4-N_A"/>
    <x v="2"/>
    <x v="152"/>
    <x v="0"/>
    <x v="21"/>
    <n v="0.38750000000000001"/>
    <n v="141.4375"/>
    <n v="509.17500000000001"/>
  </r>
  <r>
    <x v="0"/>
    <x v="0"/>
    <x v="0"/>
    <x v="3"/>
    <x v="5"/>
    <s v="DE4-N_A"/>
    <x v="2"/>
    <x v="152"/>
    <x v="0"/>
    <x v="22"/>
    <n v="0.38750000000000001"/>
    <n v="141.4375"/>
    <n v="509.17500000000001"/>
  </r>
  <r>
    <x v="0"/>
    <x v="0"/>
    <x v="0"/>
    <x v="3"/>
    <x v="5"/>
    <s v="DE4-N_A"/>
    <x v="2"/>
    <x v="152"/>
    <x v="0"/>
    <x v="23"/>
    <n v="0.38750000000000001"/>
    <n v="141.4375"/>
    <n v="509.17500000000001"/>
  </r>
  <r>
    <x v="0"/>
    <x v="0"/>
    <x v="0"/>
    <x v="3"/>
    <x v="5"/>
    <s v="DE4-N_A"/>
    <x v="2"/>
    <x v="147"/>
    <x v="0"/>
    <x v="0"/>
    <n v="124.242424242425"/>
    <n v="45348.484848485001"/>
    <n v="163254.54545454599"/>
  </r>
  <r>
    <x v="0"/>
    <x v="0"/>
    <x v="0"/>
    <x v="3"/>
    <x v="5"/>
    <s v="DE4-N_A"/>
    <x v="2"/>
    <x v="147"/>
    <x v="0"/>
    <x v="1"/>
    <n v="124.242424242425"/>
    <n v="45348.484848485001"/>
    <n v="163254.54545454599"/>
  </r>
  <r>
    <x v="0"/>
    <x v="0"/>
    <x v="0"/>
    <x v="3"/>
    <x v="5"/>
    <s v="DE4-N_A"/>
    <x v="2"/>
    <x v="147"/>
    <x v="0"/>
    <x v="2"/>
    <n v="124.242424242425"/>
    <n v="45348.484848485001"/>
    <n v="163254.54545454599"/>
  </r>
  <r>
    <x v="0"/>
    <x v="0"/>
    <x v="0"/>
    <x v="3"/>
    <x v="5"/>
    <s v="DE4-N_A"/>
    <x v="2"/>
    <x v="147"/>
    <x v="0"/>
    <x v="3"/>
    <n v="124.242424242425"/>
    <n v="45348.484848485001"/>
    <n v="163254.54545454599"/>
  </r>
  <r>
    <x v="0"/>
    <x v="0"/>
    <x v="0"/>
    <x v="3"/>
    <x v="5"/>
    <s v="DE4-N_A"/>
    <x v="2"/>
    <x v="147"/>
    <x v="0"/>
    <x v="4"/>
    <n v="124.242424242425"/>
    <n v="45348.484848485001"/>
    <n v="163254.54545454599"/>
  </r>
  <r>
    <x v="0"/>
    <x v="0"/>
    <x v="0"/>
    <x v="3"/>
    <x v="5"/>
    <s v="DE4-N_A"/>
    <x v="2"/>
    <x v="147"/>
    <x v="0"/>
    <x v="5"/>
    <n v="124.242424242425"/>
    <n v="45348.484848485001"/>
    <n v="163254.54545454599"/>
  </r>
  <r>
    <x v="0"/>
    <x v="0"/>
    <x v="0"/>
    <x v="3"/>
    <x v="5"/>
    <s v="DE4-N_A"/>
    <x v="2"/>
    <x v="147"/>
    <x v="0"/>
    <x v="6"/>
    <n v="124.242424242425"/>
    <n v="45348.484848485001"/>
    <n v="163254.54545454599"/>
  </r>
  <r>
    <x v="0"/>
    <x v="0"/>
    <x v="0"/>
    <x v="3"/>
    <x v="5"/>
    <s v="DE4-N_A"/>
    <x v="2"/>
    <x v="147"/>
    <x v="0"/>
    <x v="7"/>
    <n v="124.242424242425"/>
    <n v="45348.484848485001"/>
    <n v="163254.54545454599"/>
  </r>
  <r>
    <x v="0"/>
    <x v="0"/>
    <x v="0"/>
    <x v="3"/>
    <x v="5"/>
    <s v="DE4-N_A"/>
    <x v="2"/>
    <x v="147"/>
    <x v="0"/>
    <x v="8"/>
    <n v="124.242424242425"/>
    <n v="45348.484848485001"/>
    <n v="163254.54545454599"/>
  </r>
  <r>
    <x v="0"/>
    <x v="0"/>
    <x v="0"/>
    <x v="3"/>
    <x v="5"/>
    <s v="DE4-N_A"/>
    <x v="2"/>
    <x v="147"/>
    <x v="0"/>
    <x v="9"/>
    <n v="124.242424242425"/>
    <n v="45348.484848485001"/>
    <n v="163254.54545454599"/>
  </r>
  <r>
    <x v="0"/>
    <x v="0"/>
    <x v="0"/>
    <x v="3"/>
    <x v="5"/>
    <s v="DE4-N_A"/>
    <x v="2"/>
    <x v="147"/>
    <x v="0"/>
    <x v="10"/>
    <n v="124.242424242425"/>
    <n v="45348.484848485001"/>
    <n v="163254.54545454599"/>
  </r>
  <r>
    <x v="0"/>
    <x v="0"/>
    <x v="0"/>
    <x v="3"/>
    <x v="5"/>
    <s v="DE4-N_A"/>
    <x v="2"/>
    <x v="147"/>
    <x v="0"/>
    <x v="11"/>
    <n v="124.242424242425"/>
    <n v="45348.484848485001"/>
    <n v="163254.54545454599"/>
  </r>
  <r>
    <x v="0"/>
    <x v="0"/>
    <x v="0"/>
    <x v="3"/>
    <x v="5"/>
    <s v="DE4-N_A"/>
    <x v="2"/>
    <x v="147"/>
    <x v="0"/>
    <x v="12"/>
    <n v="124.242424242425"/>
    <n v="45348.484848485001"/>
    <n v="163254.54545454599"/>
  </r>
  <r>
    <x v="0"/>
    <x v="0"/>
    <x v="0"/>
    <x v="3"/>
    <x v="5"/>
    <s v="DE4-N_A"/>
    <x v="2"/>
    <x v="147"/>
    <x v="0"/>
    <x v="13"/>
    <n v="124.242424242425"/>
    <n v="45348.484848485001"/>
    <n v="163254.54545454599"/>
  </r>
  <r>
    <x v="0"/>
    <x v="0"/>
    <x v="0"/>
    <x v="3"/>
    <x v="5"/>
    <s v="DE4-N_A"/>
    <x v="2"/>
    <x v="147"/>
    <x v="0"/>
    <x v="14"/>
    <n v="124.242424242425"/>
    <n v="45348.484848485001"/>
    <n v="163254.54545454599"/>
  </r>
  <r>
    <x v="0"/>
    <x v="0"/>
    <x v="0"/>
    <x v="3"/>
    <x v="5"/>
    <s v="DE4-N_A"/>
    <x v="2"/>
    <x v="147"/>
    <x v="0"/>
    <x v="15"/>
    <n v="124.242424242425"/>
    <n v="45348.484848485001"/>
    <n v="163254.54545454599"/>
  </r>
  <r>
    <x v="0"/>
    <x v="0"/>
    <x v="0"/>
    <x v="3"/>
    <x v="5"/>
    <s v="DE4-N_A"/>
    <x v="2"/>
    <x v="147"/>
    <x v="0"/>
    <x v="16"/>
    <n v="124.242424242425"/>
    <n v="45348.484848485001"/>
    <n v="163254.54545454599"/>
  </r>
  <r>
    <x v="0"/>
    <x v="0"/>
    <x v="0"/>
    <x v="3"/>
    <x v="5"/>
    <s v="DE4-N_A"/>
    <x v="2"/>
    <x v="147"/>
    <x v="0"/>
    <x v="17"/>
    <n v="124.242424242425"/>
    <n v="45348.484848485001"/>
    <n v="163254.54545454599"/>
  </r>
  <r>
    <x v="0"/>
    <x v="0"/>
    <x v="0"/>
    <x v="3"/>
    <x v="5"/>
    <s v="DE4-N_A"/>
    <x v="2"/>
    <x v="147"/>
    <x v="0"/>
    <x v="18"/>
    <n v="124.242424242425"/>
    <n v="45348.484848485001"/>
    <n v="163254.54545454599"/>
  </r>
  <r>
    <x v="0"/>
    <x v="0"/>
    <x v="0"/>
    <x v="3"/>
    <x v="5"/>
    <s v="DE4-N_A"/>
    <x v="2"/>
    <x v="147"/>
    <x v="0"/>
    <x v="19"/>
    <n v="124.242424242425"/>
    <n v="45348.484848485001"/>
    <n v="163254.54545454599"/>
  </r>
  <r>
    <x v="0"/>
    <x v="0"/>
    <x v="0"/>
    <x v="3"/>
    <x v="5"/>
    <s v="DE4-N_A"/>
    <x v="2"/>
    <x v="147"/>
    <x v="0"/>
    <x v="20"/>
    <n v="124.242424242425"/>
    <n v="45348.484848485001"/>
    <n v="163254.54545454599"/>
  </r>
  <r>
    <x v="0"/>
    <x v="0"/>
    <x v="0"/>
    <x v="3"/>
    <x v="5"/>
    <s v="DE4-N_A"/>
    <x v="2"/>
    <x v="147"/>
    <x v="0"/>
    <x v="21"/>
    <n v="124.242424242425"/>
    <n v="45348.484848485001"/>
    <n v="163254.54545454599"/>
  </r>
  <r>
    <x v="0"/>
    <x v="0"/>
    <x v="0"/>
    <x v="3"/>
    <x v="5"/>
    <s v="DE4-N_A"/>
    <x v="2"/>
    <x v="147"/>
    <x v="0"/>
    <x v="22"/>
    <n v="124.242424242425"/>
    <n v="45348.484848485001"/>
    <n v="163254.54545454599"/>
  </r>
  <r>
    <x v="0"/>
    <x v="0"/>
    <x v="0"/>
    <x v="3"/>
    <x v="5"/>
    <s v="DE4-N_A"/>
    <x v="2"/>
    <x v="147"/>
    <x v="0"/>
    <x v="23"/>
    <n v="124.242424242425"/>
    <n v="45348.484848485001"/>
    <n v="163254.54545454599"/>
  </r>
  <r>
    <x v="0"/>
    <x v="0"/>
    <x v="0"/>
    <x v="3"/>
    <x v="5"/>
    <s v="DE4-N_A"/>
    <x v="3"/>
    <x v="153"/>
    <x v="0"/>
    <x v="0"/>
    <n v="222.80701754386001"/>
    <n v="81324.561403508793"/>
    <n v="292768.42105263198"/>
  </r>
  <r>
    <x v="0"/>
    <x v="0"/>
    <x v="0"/>
    <x v="3"/>
    <x v="5"/>
    <s v="DE4-N_A"/>
    <x v="3"/>
    <x v="153"/>
    <x v="0"/>
    <x v="1"/>
    <n v="222.80701754386001"/>
    <n v="81324.561403508793"/>
    <n v="292768.42105263198"/>
  </r>
  <r>
    <x v="0"/>
    <x v="0"/>
    <x v="0"/>
    <x v="3"/>
    <x v="5"/>
    <s v="DE4-N_A"/>
    <x v="3"/>
    <x v="153"/>
    <x v="0"/>
    <x v="2"/>
    <n v="222.80701754386001"/>
    <n v="81324.561403508793"/>
    <n v="292768.42105263198"/>
  </r>
  <r>
    <x v="0"/>
    <x v="0"/>
    <x v="0"/>
    <x v="3"/>
    <x v="5"/>
    <s v="DE4-N_A"/>
    <x v="3"/>
    <x v="153"/>
    <x v="0"/>
    <x v="3"/>
    <n v="222.80701754386001"/>
    <n v="81324.561403508793"/>
    <n v="292768.42105263198"/>
  </r>
  <r>
    <x v="0"/>
    <x v="0"/>
    <x v="0"/>
    <x v="3"/>
    <x v="5"/>
    <s v="DE4-N_A"/>
    <x v="3"/>
    <x v="153"/>
    <x v="0"/>
    <x v="4"/>
    <n v="222.80701754386001"/>
    <n v="81324.561403508793"/>
    <n v="292768.42105263198"/>
  </r>
  <r>
    <x v="0"/>
    <x v="0"/>
    <x v="0"/>
    <x v="3"/>
    <x v="5"/>
    <s v="DE4-N_A"/>
    <x v="3"/>
    <x v="153"/>
    <x v="0"/>
    <x v="5"/>
    <n v="222.80701754386001"/>
    <n v="81324.561403508793"/>
    <n v="292768.42105263198"/>
  </r>
  <r>
    <x v="0"/>
    <x v="0"/>
    <x v="0"/>
    <x v="3"/>
    <x v="5"/>
    <s v="DE4-N_A"/>
    <x v="3"/>
    <x v="153"/>
    <x v="0"/>
    <x v="6"/>
    <n v="222.80701754386001"/>
    <n v="81324.561403508793"/>
    <n v="292768.42105263198"/>
  </r>
  <r>
    <x v="0"/>
    <x v="0"/>
    <x v="0"/>
    <x v="3"/>
    <x v="5"/>
    <s v="DE4-N_A"/>
    <x v="3"/>
    <x v="153"/>
    <x v="0"/>
    <x v="7"/>
    <n v="222.80701754386001"/>
    <n v="81324.561403508793"/>
    <n v="292768.42105263198"/>
  </r>
  <r>
    <x v="0"/>
    <x v="0"/>
    <x v="0"/>
    <x v="3"/>
    <x v="5"/>
    <s v="DE4-N_A"/>
    <x v="3"/>
    <x v="153"/>
    <x v="0"/>
    <x v="8"/>
    <n v="222.80701754386001"/>
    <n v="81324.561403508793"/>
    <n v="292768.42105263198"/>
  </r>
  <r>
    <x v="0"/>
    <x v="0"/>
    <x v="0"/>
    <x v="3"/>
    <x v="5"/>
    <s v="DE4-N_A"/>
    <x v="3"/>
    <x v="153"/>
    <x v="0"/>
    <x v="9"/>
    <n v="222.80701754386001"/>
    <n v="81324.561403508793"/>
    <n v="292768.42105263198"/>
  </r>
  <r>
    <x v="0"/>
    <x v="0"/>
    <x v="0"/>
    <x v="3"/>
    <x v="5"/>
    <s v="DE4-N_A"/>
    <x v="3"/>
    <x v="153"/>
    <x v="0"/>
    <x v="10"/>
    <n v="222.80701754386001"/>
    <n v="81324.561403508793"/>
    <n v="292768.42105263198"/>
  </r>
  <r>
    <x v="0"/>
    <x v="0"/>
    <x v="0"/>
    <x v="3"/>
    <x v="5"/>
    <s v="DE4-N_A"/>
    <x v="3"/>
    <x v="153"/>
    <x v="0"/>
    <x v="11"/>
    <n v="222.80701754386001"/>
    <n v="81324.561403508793"/>
    <n v="292768.42105263198"/>
  </r>
  <r>
    <x v="0"/>
    <x v="0"/>
    <x v="0"/>
    <x v="3"/>
    <x v="5"/>
    <s v="DE4-N_A"/>
    <x v="3"/>
    <x v="153"/>
    <x v="0"/>
    <x v="12"/>
    <n v="222.80701754386001"/>
    <n v="81324.561403508793"/>
    <n v="292768.42105263198"/>
  </r>
  <r>
    <x v="0"/>
    <x v="0"/>
    <x v="0"/>
    <x v="3"/>
    <x v="5"/>
    <s v="DE4-N_A"/>
    <x v="3"/>
    <x v="153"/>
    <x v="0"/>
    <x v="13"/>
    <n v="222.80701754386001"/>
    <n v="81324.561403508793"/>
    <n v="292768.42105263198"/>
  </r>
  <r>
    <x v="0"/>
    <x v="0"/>
    <x v="0"/>
    <x v="3"/>
    <x v="5"/>
    <s v="DE4-N_A"/>
    <x v="3"/>
    <x v="153"/>
    <x v="0"/>
    <x v="14"/>
    <n v="222.80701754386001"/>
    <n v="81324.561403508793"/>
    <n v="292768.42105263198"/>
  </r>
  <r>
    <x v="0"/>
    <x v="0"/>
    <x v="0"/>
    <x v="3"/>
    <x v="5"/>
    <s v="DE4-N_A"/>
    <x v="3"/>
    <x v="153"/>
    <x v="0"/>
    <x v="15"/>
    <n v="222.80701754386001"/>
    <n v="81324.561403508793"/>
    <n v="292768.42105263198"/>
  </r>
  <r>
    <x v="0"/>
    <x v="0"/>
    <x v="0"/>
    <x v="3"/>
    <x v="5"/>
    <s v="DE4-N_A"/>
    <x v="3"/>
    <x v="153"/>
    <x v="0"/>
    <x v="16"/>
    <n v="222.80701754386001"/>
    <n v="81324.561403508793"/>
    <n v="292768.42105263198"/>
  </r>
  <r>
    <x v="0"/>
    <x v="0"/>
    <x v="0"/>
    <x v="3"/>
    <x v="5"/>
    <s v="DE4-N_A"/>
    <x v="3"/>
    <x v="153"/>
    <x v="0"/>
    <x v="17"/>
    <n v="222.80701754386001"/>
    <n v="81324.561403508793"/>
    <n v="292768.42105263198"/>
  </r>
  <r>
    <x v="0"/>
    <x v="0"/>
    <x v="0"/>
    <x v="3"/>
    <x v="5"/>
    <s v="DE4-N_A"/>
    <x v="3"/>
    <x v="153"/>
    <x v="0"/>
    <x v="18"/>
    <n v="222.80701754386001"/>
    <n v="81324.561403508793"/>
    <n v="292768.42105263198"/>
  </r>
  <r>
    <x v="0"/>
    <x v="0"/>
    <x v="0"/>
    <x v="3"/>
    <x v="5"/>
    <s v="DE4-N_A"/>
    <x v="3"/>
    <x v="153"/>
    <x v="0"/>
    <x v="19"/>
    <n v="222.80701754386001"/>
    <n v="81324.561403508793"/>
    <n v="292768.42105263198"/>
  </r>
  <r>
    <x v="0"/>
    <x v="0"/>
    <x v="0"/>
    <x v="3"/>
    <x v="5"/>
    <s v="DE4-N_A"/>
    <x v="3"/>
    <x v="153"/>
    <x v="0"/>
    <x v="20"/>
    <n v="222.80701754386001"/>
    <n v="81324.561403508793"/>
    <n v="292768.42105263198"/>
  </r>
  <r>
    <x v="0"/>
    <x v="0"/>
    <x v="0"/>
    <x v="3"/>
    <x v="5"/>
    <s v="DE4-N_A"/>
    <x v="3"/>
    <x v="153"/>
    <x v="0"/>
    <x v="21"/>
    <n v="222.80701754386001"/>
    <n v="81324.561403508793"/>
    <n v="292768.42105263198"/>
  </r>
  <r>
    <x v="0"/>
    <x v="0"/>
    <x v="0"/>
    <x v="3"/>
    <x v="5"/>
    <s v="DE4-N_A"/>
    <x v="3"/>
    <x v="153"/>
    <x v="0"/>
    <x v="22"/>
    <n v="222.80701754386001"/>
    <n v="81324.561403508793"/>
    <n v="292768.42105263198"/>
  </r>
  <r>
    <x v="0"/>
    <x v="0"/>
    <x v="0"/>
    <x v="3"/>
    <x v="5"/>
    <s v="DE4-N_A"/>
    <x v="3"/>
    <x v="153"/>
    <x v="0"/>
    <x v="23"/>
    <n v="222.80701754386001"/>
    <n v="81324.561403508793"/>
    <n v="292768.42105263198"/>
  </r>
  <r>
    <x v="0"/>
    <x v="0"/>
    <x v="0"/>
    <x v="3"/>
    <x v="5"/>
    <s v="DE4-N_A"/>
    <x v="16"/>
    <x v="154"/>
    <x v="0"/>
    <x v="0"/>
    <n v="4272.7272727272702"/>
    <n v="1559545.4545454499"/>
    <n v="5614363.6363636404"/>
  </r>
  <r>
    <x v="0"/>
    <x v="0"/>
    <x v="0"/>
    <x v="3"/>
    <x v="5"/>
    <s v="DE4-N_A"/>
    <x v="16"/>
    <x v="154"/>
    <x v="0"/>
    <x v="1"/>
    <n v="4272.7272727272702"/>
    <n v="1559545.4545454499"/>
    <n v="5614363.6363636404"/>
  </r>
  <r>
    <x v="0"/>
    <x v="0"/>
    <x v="0"/>
    <x v="3"/>
    <x v="5"/>
    <s v="DE4-N_A"/>
    <x v="16"/>
    <x v="154"/>
    <x v="0"/>
    <x v="2"/>
    <n v="4272.7272727272702"/>
    <n v="1559545.4545454499"/>
    <n v="5614363.6363636404"/>
  </r>
  <r>
    <x v="0"/>
    <x v="0"/>
    <x v="0"/>
    <x v="3"/>
    <x v="5"/>
    <s v="DE4-N_A"/>
    <x v="16"/>
    <x v="154"/>
    <x v="0"/>
    <x v="3"/>
    <n v="4272.7272727272702"/>
    <n v="1559545.4545454499"/>
    <n v="5614363.6363636404"/>
  </r>
  <r>
    <x v="0"/>
    <x v="0"/>
    <x v="0"/>
    <x v="3"/>
    <x v="5"/>
    <s v="DE4-N_A"/>
    <x v="16"/>
    <x v="154"/>
    <x v="0"/>
    <x v="4"/>
    <n v="4272.7272727272702"/>
    <n v="1559545.4545454499"/>
    <n v="5614363.6363636404"/>
  </r>
  <r>
    <x v="0"/>
    <x v="0"/>
    <x v="0"/>
    <x v="3"/>
    <x v="5"/>
    <s v="DE4-N_A"/>
    <x v="16"/>
    <x v="154"/>
    <x v="0"/>
    <x v="5"/>
    <n v="4272.7272727272702"/>
    <n v="1559545.4545454499"/>
    <n v="5614363.6363636404"/>
  </r>
  <r>
    <x v="0"/>
    <x v="0"/>
    <x v="0"/>
    <x v="3"/>
    <x v="5"/>
    <s v="DE4-N_A"/>
    <x v="16"/>
    <x v="154"/>
    <x v="0"/>
    <x v="6"/>
    <n v="4272.7272727272702"/>
    <n v="1559545.4545454499"/>
    <n v="5614363.6363636404"/>
  </r>
  <r>
    <x v="0"/>
    <x v="0"/>
    <x v="0"/>
    <x v="3"/>
    <x v="5"/>
    <s v="DE4-N_A"/>
    <x v="16"/>
    <x v="154"/>
    <x v="0"/>
    <x v="7"/>
    <n v="4272.7272727272702"/>
    <n v="1559545.4545454499"/>
    <n v="5614363.6363636404"/>
  </r>
  <r>
    <x v="0"/>
    <x v="0"/>
    <x v="0"/>
    <x v="3"/>
    <x v="5"/>
    <s v="DE4-N_A"/>
    <x v="16"/>
    <x v="154"/>
    <x v="0"/>
    <x v="8"/>
    <n v="4272.7272727272702"/>
    <n v="1559545.4545454499"/>
    <n v="5614363.6363636404"/>
  </r>
  <r>
    <x v="0"/>
    <x v="0"/>
    <x v="0"/>
    <x v="3"/>
    <x v="5"/>
    <s v="DE4-N_A"/>
    <x v="16"/>
    <x v="154"/>
    <x v="0"/>
    <x v="9"/>
    <n v="4272.7272727272702"/>
    <n v="1559545.4545454499"/>
    <n v="5614363.6363636404"/>
  </r>
  <r>
    <x v="0"/>
    <x v="0"/>
    <x v="0"/>
    <x v="3"/>
    <x v="5"/>
    <s v="DE4-N_A"/>
    <x v="16"/>
    <x v="154"/>
    <x v="0"/>
    <x v="10"/>
    <n v="4272.7272727272702"/>
    <n v="1559545.4545454499"/>
    <n v="5614363.6363636404"/>
  </r>
  <r>
    <x v="0"/>
    <x v="0"/>
    <x v="0"/>
    <x v="3"/>
    <x v="5"/>
    <s v="DE4-N_A"/>
    <x v="16"/>
    <x v="154"/>
    <x v="0"/>
    <x v="11"/>
    <n v="4272.7272727272702"/>
    <n v="1559545.4545454499"/>
    <n v="5614363.6363636404"/>
  </r>
  <r>
    <x v="0"/>
    <x v="0"/>
    <x v="0"/>
    <x v="3"/>
    <x v="5"/>
    <s v="DE4-N_A"/>
    <x v="16"/>
    <x v="154"/>
    <x v="0"/>
    <x v="12"/>
    <n v="4272.7272727272702"/>
    <n v="1559545.4545454499"/>
    <n v="5614363.6363636404"/>
  </r>
  <r>
    <x v="0"/>
    <x v="0"/>
    <x v="0"/>
    <x v="3"/>
    <x v="5"/>
    <s v="DE4-N_A"/>
    <x v="16"/>
    <x v="154"/>
    <x v="0"/>
    <x v="13"/>
    <n v="4272.7272727272702"/>
    <n v="1559545.4545454499"/>
    <n v="5614363.6363636404"/>
  </r>
  <r>
    <x v="0"/>
    <x v="0"/>
    <x v="0"/>
    <x v="3"/>
    <x v="5"/>
    <s v="DE4-N_A"/>
    <x v="16"/>
    <x v="154"/>
    <x v="0"/>
    <x v="14"/>
    <n v="4272.7272727272702"/>
    <n v="1559545.4545454499"/>
    <n v="5614363.6363636404"/>
  </r>
  <r>
    <x v="0"/>
    <x v="0"/>
    <x v="0"/>
    <x v="3"/>
    <x v="5"/>
    <s v="DE4-N_A"/>
    <x v="16"/>
    <x v="154"/>
    <x v="0"/>
    <x v="15"/>
    <n v="4272.7272727272702"/>
    <n v="1559545.4545454499"/>
    <n v="5614363.6363636404"/>
  </r>
  <r>
    <x v="0"/>
    <x v="0"/>
    <x v="0"/>
    <x v="3"/>
    <x v="5"/>
    <s v="DE4-N_A"/>
    <x v="16"/>
    <x v="154"/>
    <x v="0"/>
    <x v="16"/>
    <n v="4272.7272727272702"/>
    <n v="1559545.4545454499"/>
    <n v="5614363.6363636404"/>
  </r>
  <r>
    <x v="0"/>
    <x v="0"/>
    <x v="0"/>
    <x v="3"/>
    <x v="5"/>
    <s v="DE4-N_A"/>
    <x v="16"/>
    <x v="154"/>
    <x v="0"/>
    <x v="17"/>
    <n v="4272.7272727272702"/>
    <n v="1559545.4545454499"/>
    <n v="5614363.6363636404"/>
  </r>
  <r>
    <x v="0"/>
    <x v="0"/>
    <x v="0"/>
    <x v="3"/>
    <x v="5"/>
    <s v="DE4-N_A"/>
    <x v="16"/>
    <x v="154"/>
    <x v="0"/>
    <x v="18"/>
    <n v="4272.7272727272702"/>
    <n v="1559545.4545454499"/>
    <n v="5614363.6363636404"/>
  </r>
  <r>
    <x v="0"/>
    <x v="0"/>
    <x v="0"/>
    <x v="3"/>
    <x v="5"/>
    <s v="DE4-N_A"/>
    <x v="16"/>
    <x v="154"/>
    <x v="0"/>
    <x v="19"/>
    <n v="4272.7272727272702"/>
    <n v="1559545.4545454499"/>
    <n v="5614363.6363636404"/>
  </r>
  <r>
    <x v="0"/>
    <x v="0"/>
    <x v="0"/>
    <x v="3"/>
    <x v="5"/>
    <s v="DE4-N_A"/>
    <x v="16"/>
    <x v="154"/>
    <x v="0"/>
    <x v="20"/>
    <n v="4272.7272727272702"/>
    <n v="1559545.4545454499"/>
    <n v="5614363.6363636404"/>
  </r>
  <r>
    <x v="0"/>
    <x v="0"/>
    <x v="0"/>
    <x v="3"/>
    <x v="5"/>
    <s v="DE4-N_A"/>
    <x v="16"/>
    <x v="154"/>
    <x v="0"/>
    <x v="21"/>
    <n v="4272.7272727272702"/>
    <n v="1559545.4545454499"/>
    <n v="5614363.6363636404"/>
  </r>
  <r>
    <x v="0"/>
    <x v="0"/>
    <x v="0"/>
    <x v="3"/>
    <x v="5"/>
    <s v="DE4-N_A"/>
    <x v="16"/>
    <x v="154"/>
    <x v="0"/>
    <x v="22"/>
    <n v="4272.7272727272702"/>
    <n v="1559545.4545454499"/>
    <n v="5614363.6363636404"/>
  </r>
  <r>
    <x v="0"/>
    <x v="0"/>
    <x v="0"/>
    <x v="3"/>
    <x v="5"/>
    <s v="DE4-N_A"/>
    <x v="16"/>
    <x v="154"/>
    <x v="0"/>
    <x v="23"/>
    <n v="4272.7272727272702"/>
    <n v="1559545.4545454499"/>
    <n v="5614363.6363636404"/>
  </r>
  <r>
    <x v="0"/>
    <x v="0"/>
    <x v="0"/>
    <x v="3"/>
    <x v="5"/>
    <s v="DE4-N_A"/>
    <x v="8"/>
    <x v="56"/>
    <x v="0"/>
    <x v="8"/>
    <n v="33.982254946418202"/>
    <n v="12403.5230554426"/>
    <n v="44652.682999593497"/>
  </r>
  <r>
    <x v="0"/>
    <x v="0"/>
    <x v="0"/>
    <x v="3"/>
    <x v="5"/>
    <s v="DE4-N_A"/>
    <x v="8"/>
    <x v="56"/>
    <x v="0"/>
    <x v="9"/>
    <n v="255.82538595560001"/>
    <n v="93376.265873793804"/>
    <n v="336154.55714565801"/>
  </r>
  <r>
    <x v="0"/>
    <x v="0"/>
    <x v="0"/>
    <x v="3"/>
    <x v="5"/>
    <s v="DE4-N_A"/>
    <x v="8"/>
    <x v="56"/>
    <x v="0"/>
    <x v="10"/>
    <n v="590.942700119508"/>
    <n v="215694.08554361999"/>
    <n v="776498.707957034"/>
  </r>
  <r>
    <x v="0"/>
    <x v="0"/>
    <x v="0"/>
    <x v="3"/>
    <x v="5"/>
    <s v="DE4-N_A"/>
    <x v="8"/>
    <x v="56"/>
    <x v="0"/>
    <x v="11"/>
    <n v="899.91981817078704"/>
    <n v="328470.73363233701"/>
    <n v="1182494.64107641"/>
  </r>
  <r>
    <x v="0"/>
    <x v="0"/>
    <x v="0"/>
    <x v="3"/>
    <x v="5"/>
    <s v="DE4-N_A"/>
    <x v="8"/>
    <x v="56"/>
    <x v="0"/>
    <x v="12"/>
    <n v="1023.12727584831"/>
    <n v="373441.45568463497"/>
    <n v="1344389.2404646799"/>
  </r>
  <r>
    <x v="0"/>
    <x v="0"/>
    <x v="0"/>
    <x v="3"/>
    <x v="5"/>
    <s v="DE4-N_A"/>
    <x v="8"/>
    <x v="56"/>
    <x v="0"/>
    <x v="13"/>
    <n v="889.63800769982004"/>
    <n v="324717.87281043403"/>
    <n v="1168984.3421175601"/>
  </r>
  <r>
    <x v="0"/>
    <x v="0"/>
    <x v="0"/>
    <x v="3"/>
    <x v="5"/>
    <s v="DE4-N_A"/>
    <x v="8"/>
    <x v="56"/>
    <x v="0"/>
    <x v="14"/>
    <n v="578.91820990769895"/>
    <n v="211305.14661631"/>
    <n v="760698.52781871601"/>
  </r>
  <r>
    <x v="0"/>
    <x v="0"/>
    <x v="0"/>
    <x v="3"/>
    <x v="5"/>
    <s v="DE4-N_A"/>
    <x v="8"/>
    <x v="56"/>
    <x v="0"/>
    <x v="15"/>
    <n v="293.118732409617"/>
    <n v="106988.33732951"/>
    <n v="385158.01438623702"/>
  </r>
  <r>
    <x v="0"/>
    <x v="0"/>
    <x v="0"/>
    <x v="3"/>
    <x v="5"/>
    <s v="DE4-N_A"/>
    <x v="8"/>
    <x v="56"/>
    <x v="0"/>
    <x v="16"/>
    <n v="38.164686324438897"/>
    <n v="13930.110508420201"/>
    <n v="50148.397830312701"/>
  </r>
  <r>
    <x v="0"/>
    <x v="0"/>
    <x v="0"/>
    <x v="3"/>
    <x v="5"/>
    <s v="DE4-N_A"/>
    <x v="9"/>
    <x v="57"/>
    <x v="0"/>
    <x v="0"/>
    <n v="2.66860730593607"/>
    <n v="974.04166666666595"/>
    <n v="3506.55"/>
  </r>
  <r>
    <x v="0"/>
    <x v="0"/>
    <x v="0"/>
    <x v="3"/>
    <x v="5"/>
    <s v="DE4-N_A"/>
    <x v="9"/>
    <x v="57"/>
    <x v="0"/>
    <x v="1"/>
    <n v="2.66860730593607"/>
    <n v="974.04166666666595"/>
    <n v="3506.55"/>
  </r>
  <r>
    <x v="0"/>
    <x v="0"/>
    <x v="0"/>
    <x v="3"/>
    <x v="5"/>
    <s v="DE4-N_A"/>
    <x v="9"/>
    <x v="57"/>
    <x v="0"/>
    <x v="2"/>
    <n v="2.66860730593607"/>
    <n v="974.04166666666595"/>
    <n v="3506.55"/>
  </r>
  <r>
    <x v="0"/>
    <x v="0"/>
    <x v="0"/>
    <x v="3"/>
    <x v="5"/>
    <s v="DE4-N_A"/>
    <x v="9"/>
    <x v="57"/>
    <x v="0"/>
    <x v="3"/>
    <n v="2.66860730593607"/>
    <n v="974.04166666666595"/>
    <n v="3506.55"/>
  </r>
  <r>
    <x v="0"/>
    <x v="0"/>
    <x v="0"/>
    <x v="3"/>
    <x v="5"/>
    <s v="DE4-N_A"/>
    <x v="9"/>
    <x v="57"/>
    <x v="0"/>
    <x v="4"/>
    <n v="2.66860730593607"/>
    <n v="974.04166666666595"/>
    <n v="3506.55"/>
  </r>
  <r>
    <x v="0"/>
    <x v="0"/>
    <x v="0"/>
    <x v="3"/>
    <x v="5"/>
    <s v="DE4-N_A"/>
    <x v="9"/>
    <x v="57"/>
    <x v="0"/>
    <x v="5"/>
    <n v="2.66860730593607"/>
    <n v="974.04166666666595"/>
    <n v="3506.55"/>
  </r>
  <r>
    <x v="0"/>
    <x v="0"/>
    <x v="0"/>
    <x v="3"/>
    <x v="5"/>
    <s v="DE4-N_A"/>
    <x v="9"/>
    <x v="57"/>
    <x v="0"/>
    <x v="6"/>
    <n v="2.66860730593607"/>
    <n v="974.04166666666595"/>
    <n v="3506.55"/>
  </r>
  <r>
    <x v="0"/>
    <x v="0"/>
    <x v="0"/>
    <x v="3"/>
    <x v="5"/>
    <s v="DE4-N_A"/>
    <x v="9"/>
    <x v="57"/>
    <x v="0"/>
    <x v="7"/>
    <n v="2.66860730593607"/>
    <n v="974.04166666666595"/>
    <n v="3506.55"/>
  </r>
  <r>
    <x v="0"/>
    <x v="0"/>
    <x v="0"/>
    <x v="3"/>
    <x v="5"/>
    <s v="DE4-N_A"/>
    <x v="9"/>
    <x v="57"/>
    <x v="0"/>
    <x v="8"/>
    <n v="2.66860730593607"/>
    <n v="974.04166666666595"/>
    <n v="3506.55"/>
  </r>
  <r>
    <x v="0"/>
    <x v="0"/>
    <x v="0"/>
    <x v="3"/>
    <x v="5"/>
    <s v="DE4-N_A"/>
    <x v="9"/>
    <x v="57"/>
    <x v="0"/>
    <x v="9"/>
    <n v="2.66860730593607"/>
    <n v="974.04166666666595"/>
    <n v="3506.55"/>
  </r>
  <r>
    <x v="0"/>
    <x v="0"/>
    <x v="0"/>
    <x v="3"/>
    <x v="5"/>
    <s v="DE4-N_A"/>
    <x v="9"/>
    <x v="57"/>
    <x v="0"/>
    <x v="10"/>
    <n v="2.66860730593607"/>
    <n v="974.04166666666595"/>
    <n v="3506.55"/>
  </r>
  <r>
    <x v="0"/>
    <x v="0"/>
    <x v="0"/>
    <x v="3"/>
    <x v="5"/>
    <s v="DE4-N_A"/>
    <x v="9"/>
    <x v="57"/>
    <x v="0"/>
    <x v="11"/>
    <n v="2.66860730593607"/>
    <n v="974.04166666666595"/>
    <n v="3506.55"/>
  </r>
  <r>
    <x v="0"/>
    <x v="0"/>
    <x v="0"/>
    <x v="3"/>
    <x v="5"/>
    <s v="DE4-N_A"/>
    <x v="9"/>
    <x v="57"/>
    <x v="0"/>
    <x v="12"/>
    <n v="2.66860730593607"/>
    <n v="974.04166666666595"/>
    <n v="3506.55"/>
  </r>
  <r>
    <x v="0"/>
    <x v="0"/>
    <x v="0"/>
    <x v="3"/>
    <x v="5"/>
    <s v="DE4-N_A"/>
    <x v="9"/>
    <x v="57"/>
    <x v="0"/>
    <x v="13"/>
    <n v="2.66860730593607"/>
    <n v="974.04166666666595"/>
    <n v="3506.55"/>
  </r>
  <r>
    <x v="0"/>
    <x v="0"/>
    <x v="0"/>
    <x v="3"/>
    <x v="5"/>
    <s v="DE4-N_A"/>
    <x v="9"/>
    <x v="57"/>
    <x v="0"/>
    <x v="14"/>
    <n v="2.66860730593607"/>
    <n v="974.04166666666595"/>
    <n v="3506.55"/>
  </r>
  <r>
    <x v="0"/>
    <x v="0"/>
    <x v="0"/>
    <x v="3"/>
    <x v="5"/>
    <s v="DE4-N_A"/>
    <x v="9"/>
    <x v="57"/>
    <x v="0"/>
    <x v="15"/>
    <n v="2.66860730593607"/>
    <n v="974.04166666666595"/>
    <n v="3506.55"/>
  </r>
  <r>
    <x v="0"/>
    <x v="0"/>
    <x v="0"/>
    <x v="3"/>
    <x v="5"/>
    <s v="DE4-N_A"/>
    <x v="9"/>
    <x v="57"/>
    <x v="0"/>
    <x v="16"/>
    <n v="2.66860730593607"/>
    <n v="974.04166666666595"/>
    <n v="3506.55"/>
  </r>
  <r>
    <x v="0"/>
    <x v="0"/>
    <x v="0"/>
    <x v="3"/>
    <x v="5"/>
    <s v="DE4-N_A"/>
    <x v="9"/>
    <x v="57"/>
    <x v="0"/>
    <x v="17"/>
    <n v="2.66860730593607"/>
    <n v="974.04166666666595"/>
    <n v="3506.55"/>
  </r>
  <r>
    <x v="0"/>
    <x v="0"/>
    <x v="0"/>
    <x v="3"/>
    <x v="5"/>
    <s v="DE4-N_A"/>
    <x v="9"/>
    <x v="57"/>
    <x v="0"/>
    <x v="18"/>
    <n v="2.66860730593607"/>
    <n v="974.04166666666595"/>
    <n v="3506.55"/>
  </r>
  <r>
    <x v="0"/>
    <x v="0"/>
    <x v="0"/>
    <x v="3"/>
    <x v="5"/>
    <s v="DE4-N_A"/>
    <x v="9"/>
    <x v="57"/>
    <x v="0"/>
    <x v="19"/>
    <n v="2.66860730593607"/>
    <n v="974.04166666666595"/>
    <n v="3506.55"/>
  </r>
  <r>
    <x v="0"/>
    <x v="0"/>
    <x v="0"/>
    <x v="3"/>
    <x v="5"/>
    <s v="DE4-N_A"/>
    <x v="9"/>
    <x v="57"/>
    <x v="0"/>
    <x v="20"/>
    <n v="2.66860730593607"/>
    <n v="974.04166666666595"/>
    <n v="3506.55"/>
  </r>
  <r>
    <x v="0"/>
    <x v="0"/>
    <x v="0"/>
    <x v="3"/>
    <x v="5"/>
    <s v="DE4-N_A"/>
    <x v="9"/>
    <x v="57"/>
    <x v="0"/>
    <x v="21"/>
    <n v="2.66860730593607"/>
    <n v="974.04166666666595"/>
    <n v="3506.55"/>
  </r>
  <r>
    <x v="0"/>
    <x v="0"/>
    <x v="0"/>
    <x v="3"/>
    <x v="5"/>
    <s v="DE4-N_A"/>
    <x v="9"/>
    <x v="57"/>
    <x v="0"/>
    <x v="22"/>
    <n v="2.66860730593607"/>
    <n v="974.04166666666595"/>
    <n v="3506.55"/>
  </r>
  <r>
    <x v="0"/>
    <x v="0"/>
    <x v="0"/>
    <x v="3"/>
    <x v="5"/>
    <s v="DE4-N_A"/>
    <x v="9"/>
    <x v="57"/>
    <x v="0"/>
    <x v="23"/>
    <n v="2.66860730593607"/>
    <n v="974.04166666666595"/>
    <n v="3506.55"/>
  </r>
  <r>
    <x v="0"/>
    <x v="0"/>
    <x v="0"/>
    <x v="3"/>
    <x v="5"/>
    <s v="DE4-N_A"/>
    <x v="10"/>
    <x v="58"/>
    <x v="0"/>
    <x v="0"/>
    <n v="1247.1653136443599"/>
    <n v="455215.339480191"/>
    <n v="1638775.22212869"/>
  </r>
  <r>
    <x v="0"/>
    <x v="0"/>
    <x v="0"/>
    <x v="3"/>
    <x v="5"/>
    <s v="DE4-N_A"/>
    <x v="10"/>
    <x v="58"/>
    <x v="0"/>
    <x v="1"/>
    <n v="1206.74676651287"/>
    <n v="440462.56977719901"/>
    <n v="1585665.2511979199"/>
  </r>
  <r>
    <x v="0"/>
    <x v="0"/>
    <x v="0"/>
    <x v="3"/>
    <x v="5"/>
    <s v="DE4-N_A"/>
    <x v="10"/>
    <x v="58"/>
    <x v="0"/>
    <x v="2"/>
    <n v="1172.30385673964"/>
    <n v="427890.90770996897"/>
    <n v="1540407.26775589"/>
  </r>
  <r>
    <x v="0"/>
    <x v="0"/>
    <x v="0"/>
    <x v="3"/>
    <x v="5"/>
    <s v="DE4-N_A"/>
    <x v="10"/>
    <x v="58"/>
    <x v="0"/>
    <x v="3"/>
    <n v="1113.2114428636301"/>
    <n v="406322.17664522497"/>
    <n v="1462759.83592281"/>
  </r>
  <r>
    <x v="0"/>
    <x v="0"/>
    <x v="0"/>
    <x v="3"/>
    <x v="5"/>
    <s v="DE4-N_A"/>
    <x v="10"/>
    <x v="58"/>
    <x v="0"/>
    <x v="4"/>
    <n v="1014.03246170937"/>
    <n v="370121.84852392197"/>
    <n v="1332438.6546861201"/>
  </r>
  <r>
    <x v="0"/>
    <x v="0"/>
    <x v="0"/>
    <x v="3"/>
    <x v="5"/>
    <s v="DE4-N_A"/>
    <x v="10"/>
    <x v="58"/>
    <x v="0"/>
    <x v="5"/>
    <n v="925.31084593205298"/>
    <n v="337738.458765199"/>
    <n v="1215858.4515547201"/>
  </r>
  <r>
    <x v="0"/>
    <x v="0"/>
    <x v="0"/>
    <x v="3"/>
    <x v="5"/>
    <s v="DE4-N_A"/>
    <x v="10"/>
    <x v="58"/>
    <x v="0"/>
    <x v="6"/>
    <n v="762.72371280972004"/>
    <n v="278394.15517554799"/>
    <n v="1002218.95863197"/>
  </r>
  <r>
    <x v="0"/>
    <x v="0"/>
    <x v="0"/>
    <x v="3"/>
    <x v="5"/>
    <s v="DE4-N_A"/>
    <x v="10"/>
    <x v="58"/>
    <x v="0"/>
    <x v="7"/>
    <n v="737.57623892709205"/>
    <n v="269215.327208389"/>
    <n v="969175.17795019899"/>
  </r>
  <r>
    <x v="0"/>
    <x v="0"/>
    <x v="0"/>
    <x v="3"/>
    <x v="5"/>
    <s v="DE4-N_A"/>
    <x v="10"/>
    <x v="58"/>
    <x v="0"/>
    <x v="8"/>
    <n v="792.93387945419602"/>
    <n v="289420.86600078101"/>
    <n v="1041915.11760281"/>
  </r>
  <r>
    <x v="0"/>
    <x v="0"/>
    <x v="0"/>
    <x v="3"/>
    <x v="5"/>
    <s v="DE4-N_A"/>
    <x v="10"/>
    <x v="58"/>
    <x v="0"/>
    <x v="9"/>
    <n v="855.26309689925597"/>
    <n v="312171.03036822798"/>
    <n v="1123815.70932562"/>
  </r>
  <r>
    <x v="0"/>
    <x v="0"/>
    <x v="0"/>
    <x v="3"/>
    <x v="5"/>
    <s v="DE4-N_A"/>
    <x v="10"/>
    <x v="58"/>
    <x v="0"/>
    <x v="10"/>
    <n v="986.81011374402203"/>
    <n v="360185.69151656801"/>
    <n v="1296668.4894596499"/>
  </r>
  <r>
    <x v="0"/>
    <x v="0"/>
    <x v="0"/>
    <x v="3"/>
    <x v="5"/>
    <s v="DE4-N_A"/>
    <x v="10"/>
    <x v="58"/>
    <x v="0"/>
    <x v="11"/>
    <n v="1087.0680294213"/>
    <n v="396779.83073877299"/>
    <n v="1428407.39065958"/>
  </r>
  <r>
    <x v="0"/>
    <x v="0"/>
    <x v="0"/>
    <x v="3"/>
    <x v="5"/>
    <s v="DE4-N_A"/>
    <x v="10"/>
    <x v="58"/>
    <x v="0"/>
    <x v="12"/>
    <n v="1337.7128186144801"/>
    <n v="488265.17879428499"/>
    <n v="1757754.6436594201"/>
  </r>
  <r>
    <x v="0"/>
    <x v="0"/>
    <x v="0"/>
    <x v="3"/>
    <x v="5"/>
    <s v="DE4-N_A"/>
    <x v="10"/>
    <x v="58"/>
    <x v="0"/>
    <x v="13"/>
    <n v="1563.21013392503"/>
    <n v="570571.69888263801"/>
    <n v="2054058.1159775001"/>
  </r>
  <r>
    <x v="0"/>
    <x v="0"/>
    <x v="0"/>
    <x v="3"/>
    <x v="5"/>
    <s v="DE4-N_A"/>
    <x v="10"/>
    <x v="58"/>
    <x v="0"/>
    <x v="14"/>
    <n v="1820.1625403297001"/>
    <n v="664359.32722034096"/>
    <n v="2391693.57799323"/>
  </r>
  <r>
    <x v="0"/>
    <x v="0"/>
    <x v="0"/>
    <x v="3"/>
    <x v="5"/>
    <s v="DE4-N_A"/>
    <x v="10"/>
    <x v="58"/>
    <x v="0"/>
    <x v="15"/>
    <n v="2073.7951482020098"/>
    <n v="756935.22909373301"/>
    <n v="2724966.8247374399"/>
  </r>
  <r>
    <x v="0"/>
    <x v="0"/>
    <x v="0"/>
    <x v="3"/>
    <x v="5"/>
    <s v="DE4-N_A"/>
    <x v="10"/>
    <x v="58"/>
    <x v="0"/>
    <x v="16"/>
    <n v="2412.4145985027299"/>
    <n v="880531.32845349796"/>
    <n v="3169912.7824325901"/>
  </r>
  <r>
    <x v="0"/>
    <x v="0"/>
    <x v="0"/>
    <x v="3"/>
    <x v="5"/>
    <s v="DE4-N_A"/>
    <x v="10"/>
    <x v="58"/>
    <x v="0"/>
    <x v="17"/>
    <n v="2721.7368267553802"/>
    <n v="993433.94176571397"/>
    <n v="3576362.1903565698"/>
  </r>
  <r>
    <x v="0"/>
    <x v="0"/>
    <x v="0"/>
    <x v="3"/>
    <x v="5"/>
    <s v="DE4-N_A"/>
    <x v="10"/>
    <x v="58"/>
    <x v="0"/>
    <x v="18"/>
    <n v="3053.2187102115299"/>
    <n v="1114424.82922721"/>
    <n v="4011929.3852179502"/>
  </r>
  <r>
    <x v="0"/>
    <x v="0"/>
    <x v="0"/>
    <x v="3"/>
    <x v="5"/>
    <s v="DE4-N_A"/>
    <x v="10"/>
    <x v="58"/>
    <x v="0"/>
    <x v="19"/>
    <n v="3386.3604929338599"/>
    <n v="1236021.57992086"/>
    <n v="4449677.6877150899"/>
  </r>
  <r>
    <x v="0"/>
    <x v="0"/>
    <x v="0"/>
    <x v="3"/>
    <x v="5"/>
    <s v="DE4-N_A"/>
    <x v="10"/>
    <x v="58"/>
    <x v="0"/>
    <x v="20"/>
    <n v="3670.8672271571199"/>
    <n v="1339866.5379123499"/>
    <n v="4823519.5364844501"/>
  </r>
  <r>
    <x v="0"/>
    <x v="0"/>
    <x v="0"/>
    <x v="3"/>
    <x v="5"/>
    <s v="DE4-N_A"/>
    <x v="10"/>
    <x v="58"/>
    <x v="0"/>
    <x v="21"/>
    <n v="3983.84123379536"/>
    <n v="1454102.0503353099"/>
    <n v="5234767.3812071001"/>
  </r>
  <r>
    <x v="0"/>
    <x v="0"/>
    <x v="0"/>
    <x v="3"/>
    <x v="5"/>
    <s v="DE4-N_A"/>
    <x v="10"/>
    <x v="58"/>
    <x v="0"/>
    <x v="22"/>
    <n v="4378.8142641828899"/>
    <n v="1598267.2064267599"/>
    <n v="5753761.9431363204"/>
  </r>
  <r>
    <x v="0"/>
    <x v="0"/>
    <x v="0"/>
    <x v="3"/>
    <x v="5"/>
    <s v="DE4-N_A"/>
    <x v="10"/>
    <x v="58"/>
    <x v="0"/>
    <x v="23"/>
    <n v="4636.4306302940304"/>
    <n v="1692297.18005732"/>
    <n v="6092269.8482063599"/>
  </r>
  <r>
    <x v="0"/>
    <x v="0"/>
    <x v="0"/>
    <x v="3"/>
    <x v="5"/>
    <s v="DE4-N_Offshore_A"/>
    <x v="10"/>
    <x v="59"/>
    <x v="0"/>
    <x v="0"/>
    <n v="293.30560164840898"/>
    <n v="107056.544601669"/>
    <n v="385403.56056601001"/>
  </r>
  <r>
    <x v="0"/>
    <x v="0"/>
    <x v="0"/>
    <x v="3"/>
    <x v="5"/>
    <s v="DE4-N_Offshore_A"/>
    <x v="10"/>
    <x v="59"/>
    <x v="0"/>
    <x v="1"/>
    <n v="283.800056429618"/>
    <n v="103587.02059681099"/>
    <n v="372913.27414851799"/>
  </r>
  <r>
    <x v="0"/>
    <x v="0"/>
    <x v="0"/>
    <x v="3"/>
    <x v="5"/>
    <s v="DE4-N_Offshore_A"/>
    <x v="10"/>
    <x v="59"/>
    <x v="0"/>
    <x v="2"/>
    <n v="275.69984849163399"/>
    <n v="100630.444699446"/>
    <n v="362269.60091800703"/>
  </r>
  <r>
    <x v="0"/>
    <x v="0"/>
    <x v="0"/>
    <x v="3"/>
    <x v="5"/>
    <s v="DE4-N_Offshore_A"/>
    <x v="10"/>
    <x v="59"/>
    <x v="0"/>
    <x v="3"/>
    <n v="261.80262427032102"/>
    <n v="95557.9578586672"/>
    <n v="344008.64829120197"/>
  </r>
  <r>
    <x v="0"/>
    <x v="0"/>
    <x v="0"/>
    <x v="3"/>
    <x v="5"/>
    <s v="DE4-N_Offshore_A"/>
    <x v="10"/>
    <x v="59"/>
    <x v="0"/>
    <x v="4"/>
    <n v="238.477929123595"/>
    <n v="87044.444130112301"/>
    <n v="313359.99886840401"/>
  </r>
  <r>
    <x v="0"/>
    <x v="0"/>
    <x v="0"/>
    <x v="3"/>
    <x v="5"/>
    <s v="DE4-N_Offshore_A"/>
    <x v="10"/>
    <x v="59"/>
    <x v="0"/>
    <x v="5"/>
    <n v="217.61257421828199"/>
    <n v="79428.589589672803"/>
    <n v="285942.92252282199"/>
  </r>
  <r>
    <x v="0"/>
    <x v="0"/>
    <x v="0"/>
    <x v="3"/>
    <x v="5"/>
    <s v="DE4-N_Offshore_A"/>
    <x v="10"/>
    <x v="59"/>
    <x v="0"/>
    <x v="6"/>
    <n v="179.375689036327"/>
    <n v="65472.126498259298"/>
    <n v="235699.655393733"/>
  </r>
  <r>
    <x v="0"/>
    <x v="0"/>
    <x v="0"/>
    <x v="3"/>
    <x v="5"/>
    <s v="DE4-N_Offshore_A"/>
    <x v="10"/>
    <x v="59"/>
    <x v="0"/>
    <x v="7"/>
    <n v="173.461561312931"/>
    <n v="63313.469879219803"/>
    <n v="227928.49156519101"/>
  </r>
  <r>
    <x v="0"/>
    <x v="0"/>
    <x v="0"/>
    <x v="3"/>
    <x v="5"/>
    <s v="DE4-N_Offshore_A"/>
    <x v="10"/>
    <x v="59"/>
    <x v="0"/>
    <x v="8"/>
    <n v="186.48044973373999"/>
    <n v="68065.364152814902"/>
    <n v="245035.31095013401"/>
  </r>
  <r>
    <x v="0"/>
    <x v="0"/>
    <x v="0"/>
    <x v="3"/>
    <x v="5"/>
    <s v="DE4-N_Offshore_A"/>
    <x v="10"/>
    <x v="59"/>
    <x v="0"/>
    <x v="9"/>
    <n v="201.138898315489"/>
    <n v="73415.697885153597"/>
    <n v="264296.51238655299"/>
  </r>
  <r>
    <x v="0"/>
    <x v="0"/>
    <x v="0"/>
    <x v="3"/>
    <x v="5"/>
    <s v="DE4-N_Offshore_A"/>
    <x v="10"/>
    <x v="59"/>
    <x v="0"/>
    <x v="10"/>
    <n v="232.07583706658599"/>
    <n v="84707.680529303907"/>
    <n v="304947.64990549401"/>
  </r>
  <r>
    <x v="0"/>
    <x v="0"/>
    <x v="0"/>
    <x v="3"/>
    <x v="5"/>
    <s v="DE4-N_Offshore_A"/>
    <x v="10"/>
    <x v="59"/>
    <x v="0"/>
    <x v="11"/>
    <n v="255.654273666791"/>
    <n v="93313.809888378702"/>
    <n v="335929.71559816302"/>
  </r>
  <r>
    <x v="0"/>
    <x v="0"/>
    <x v="0"/>
    <x v="3"/>
    <x v="5"/>
    <s v="DE4-N_Offshore_A"/>
    <x v="10"/>
    <x v="59"/>
    <x v="0"/>
    <x v="12"/>
    <n v="314.60036516730298"/>
    <n v="114829.133286066"/>
    <n v="413384.87982983602"/>
  </r>
  <r>
    <x v="0"/>
    <x v="0"/>
    <x v="0"/>
    <x v="3"/>
    <x v="5"/>
    <s v="DE4-N_Offshore_A"/>
    <x v="10"/>
    <x v="59"/>
    <x v="0"/>
    <x v="13"/>
    <n v="367.63232894442001"/>
    <n v="134185.800064713"/>
    <n v="483068.88023296703"/>
  </r>
  <r>
    <x v="0"/>
    <x v="0"/>
    <x v="0"/>
    <x v="3"/>
    <x v="5"/>
    <s v="DE4-N_Offshore_A"/>
    <x v="10"/>
    <x v="59"/>
    <x v="0"/>
    <x v="14"/>
    <n v="428.06183201911699"/>
    <n v="156242.56868697799"/>
    <n v="562473.24727311998"/>
  </r>
  <r>
    <x v="0"/>
    <x v="0"/>
    <x v="0"/>
    <x v="3"/>
    <x v="5"/>
    <s v="DE4-N_Offshore_A"/>
    <x v="10"/>
    <x v="59"/>
    <x v="0"/>
    <x v="15"/>
    <n v="487.71059216003198"/>
    <n v="178014.36613841201"/>
    <n v="640851.71809828305"/>
  </r>
  <r>
    <x v="0"/>
    <x v="0"/>
    <x v="0"/>
    <x v="3"/>
    <x v="5"/>
    <s v="DE4-N_Offshore_A"/>
    <x v="10"/>
    <x v="59"/>
    <x v="0"/>
    <x v="16"/>
    <n v="567.34637140575796"/>
    <n v="207081.42556310099"/>
    <n v="745493.13202716503"/>
  </r>
  <r>
    <x v="0"/>
    <x v="0"/>
    <x v="0"/>
    <x v="3"/>
    <x v="5"/>
    <s v="DE4-N_Offshore_A"/>
    <x v="10"/>
    <x v="59"/>
    <x v="0"/>
    <x v="17"/>
    <n v="640.09209426085999"/>
    <n v="233633.614405214"/>
    <n v="841081.01185877004"/>
  </r>
  <r>
    <x v="0"/>
    <x v="0"/>
    <x v="0"/>
    <x v="3"/>
    <x v="5"/>
    <s v="DE4-N_Offshore_A"/>
    <x v="10"/>
    <x v="59"/>
    <x v="0"/>
    <x v="18"/>
    <n v="718.04927619895398"/>
    <n v="262087.98581261799"/>
    <n v="943516.74892542604"/>
  </r>
  <r>
    <x v="0"/>
    <x v="0"/>
    <x v="0"/>
    <x v="3"/>
    <x v="5"/>
    <s v="DE4-N_Offshore_A"/>
    <x v="10"/>
    <x v="59"/>
    <x v="0"/>
    <x v="19"/>
    <n v="796.39682960393998"/>
    <n v="290684.84280543798"/>
    <n v="1046465.43409958"/>
  </r>
  <r>
    <x v="0"/>
    <x v="0"/>
    <x v="0"/>
    <x v="3"/>
    <x v="5"/>
    <s v="DE4-N_Offshore_A"/>
    <x v="10"/>
    <x v="59"/>
    <x v="0"/>
    <x v="20"/>
    <n v="863.30649902902496"/>
    <n v="315106.87214559398"/>
    <n v="1134384.7397241399"/>
  </r>
  <r>
    <x v="0"/>
    <x v="0"/>
    <x v="0"/>
    <x v="3"/>
    <x v="5"/>
    <s v="DE4-N_Offshore_A"/>
    <x v="10"/>
    <x v="59"/>
    <x v="0"/>
    <x v="21"/>
    <n v="936.91103911128698"/>
    <n v="341972.52927562001"/>
    <n v="1231101.10539223"/>
  </r>
  <r>
    <x v="0"/>
    <x v="0"/>
    <x v="0"/>
    <x v="3"/>
    <x v="5"/>
    <s v="DE4-N_Offshore_A"/>
    <x v="10"/>
    <x v="59"/>
    <x v="0"/>
    <x v="22"/>
    <n v="1029.7999296579501"/>
    <n v="375876.97432515299"/>
    <n v="1353157.1075705499"/>
  </r>
  <r>
    <x v="0"/>
    <x v="0"/>
    <x v="0"/>
    <x v="3"/>
    <x v="5"/>
    <s v="DE4-N_Offshore_A"/>
    <x v="10"/>
    <x v="59"/>
    <x v="0"/>
    <x v="23"/>
    <n v="1090.38558131941"/>
    <n v="397990.737181584"/>
    <n v="1432766.6538537"/>
  </r>
  <r>
    <x v="0"/>
    <x v="0"/>
    <x v="0"/>
    <x v="3"/>
    <x v="6"/>
    <s v="DE4-S_A"/>
    <x v="0"/>
    <x v="142"/>
    <x v="0"/>
    <x v="0"/>
    <n v="105.244444444444"/>
    <n v="38414.222222222197"/>
    <n v="138291.20000000001"/>
  </r>
  <r>
    <x v="0"/>
    <x v="0"/>
    <x v="0"/>
    <x v="3"/>
    <x v="6"/>
    <s v="DE4-S_A"/>
    <x v="0"/>
    <x v="142"/>
    <x v="0"/>
    <x v="1"/>
    <n v="105.244444444444"/>
    <n v="38414.222222222197"/>
    <n v="138291.20000000001"/>
  </r>
  <r>
    <x v="0"/>
    <x v="0"/>
    <x v="0"/>
    <x v="3"/>
    <x v="6"/>
    <s v="DE4-S_A"/>
    <x v="0"/>
    <x v="142"/>
    <x v="0"/>
    <x v="2"/>
    <n v="105.244444444444"/>
    <n v="38414.222222222197"/>
    <n v="138291.20000000001"/>
  </r>
  <r>
    <x v="0"/>
    <x v="0"/>
    <x v="0"/>
    <x v="3"/>
    <x v="6"/>
    <s v="DE4-S_A"/>
    <x v="0"/>
    <x v="142"/>
    <x v="0"/>
    <x v="3"/>
    <n v="105.244444444444"/>
    <n v="38414.222222222197"/>
    <n v="138291.20000000001"/>
  </r>
  <r>
    <x v="0"/>
    <x v="0"/>
    <x v="0"/>
    <x v="3"/>
    <x v="6"/>
    <s v="DE4-S_A"/>
    <x v="0"/>
    <x v="142"/>
    <x v="0"/>
    <x v="4"/>
    <n v="105.244444444444"/>
    <n v="38414.222222222197"/>
    <n v="138291.20000000001"/>
  </r>
  <r>
    <x v="0"/>
    <x v="0"/>
    <x v="0"/>
    <x v="3"/>
    <x v="6"/>
    <s v="DE4-S_A"/>
    <x v="0"/>
    <x v="142"/>
    <x v="0"/>
    <x v="5"/>
    <n v="105.244444444444"/>
    <n v="38414.222222222197"/>
    <n v="138291.20000000001"/>
  </r>
  <r>
    <x v="0"/>
    <x v="0"/>
    <x v="0"/>
    <x v="3"/>
    <x v="6"/>
    <s v="DE4-S_A"/>
    <x v="0"/>
    <x v="142"/>
    <x v="0"/>
    <x v="6"/>
    <n v="105.244444444444"/>
    <n v="38414.222222222197"/>
    <n v="138291.20000000001"/>
  </r>
  <r>
    <x v="0"/>
    <x v="0"/>
    <x v="0"/>
    <x v="3"/>
    <x v="6"/>
    <s v="DE4-S_A"/>
    <x v="0"/>
    <x v="142"/>
    <x v="0"/>
    <x v="7"/>
    <n v="105.244444444444"/>
    <n v="38414.222222222197"/>
    <n v="138291.20000000001"/>
  </r>
  <r>
    <x v="0"/>
    <x v="0"/>
    <x v="0"/>
    <x v="3"/>
    <x v="6"/>
    <s v="DE4-S_A"/>
    <x v="0"/>
    <x v="142"/>
    <x v="0"/>
    <x v="8"/>
    <n v="105.244444444444"/>
    <n v="38414.222222222197"/>
    <n v="138291.20000000001"/>
  </r>
  <r>
    <x v="0"/>
    <x v="0"/>
    <x v="0"/>
    <x v="3"/>
    <x v="6"/>
    <s v="DE4-S_A"/>
    <x v="0"/>
    <x v="142"/>
    <x v="0"/>
    <x v="9"/>
    <n v="105.244444444444"/>
    <n v="38414.222222222197"/>
    <n v="138291.20000000001"/>
  </r>
  <r>
    <x v="0"/>
    <x v="0"/>
    <x v="0"/>
    <x v="3"/>
    <x v="6"/>
    <s v="DE4-S_A"/>
    <x v="0"/>
    <x v="142"/>
    <x v="0"/>
    <x v="10"/>
    <n v="105.244444444444"/>
    <n v="38414.222222222197"/>
    <n v="138291.20000000001"/>
  </r>
  <r>
    <x v="0"/>
    <x v="0"/>
    <x v="0"/>
    <x v="3"/>
    <x v="6"/>
    <s v="DE4-S_A"/>
    <x v="0"/>
    <x v="142"/>
    <x v="0"/>
    <x v="11"/>
    <n v="105.244444444444"/>
    <n v="38414.222222222197"/>
    <n v="138291.20000000001"/>
  </r>
  <r>
    <x v="0"/>
    <x v="0"/>
    <x v="0"/>
    <x v="3"/>
    <x v="6"/>
    <s v="DE4-S_A"/>
    <x v="0"/>
    <x v="142"/>
    <x v="0"/>
    <x v="12"/>
    <n v="105.244444444444"/>
    <n v="38414.222222222197"/>
    <n v="138291.20000000001"/>
  </r>
  <r>
    <x v="0"/>
    <x v="0"/>
    <x v="0"/>
    <x v="3"/>
    <x v="6"/>
    <s v="DE4-S_A"/>
    <x v="0"/>
    <x v="142"/>
    <x v="0"/>
    <x v="13"/>
    <n v="105.244444444444"/>
    <n v="38414.222222222197"/>
    <n v="138291.20000000001"/>
  </r>
  <r>
    <x v="0"/>
    <x v="0"/>
    <x v="0"/>
    <x v="3"/>
    <x v="6"/>
    <s v="DE4-S_A"/>
    <x v="0"/>
    <x v="142"/>
    <x v="0"/>
    <x v="14"/>
    <n v="105.244444444444"/>
    <n v="38414.222222222197"/>
    <n v="138291.20000000001"/>
  </r>
  <r>
    <x v="0"/>
    <x v="0"/>
    <x v="0"/>
    <x v="3"/>
    <x v="6"/>
    <s v="DE4-S_A"/>
    <x v="0"/>
    <x v="142"/>
    <x v="0"/>
    <x v="15"/>
    <n v="105.244444444444"/>
    <n v="38414.222222222197"/>
    <n v="138291.20000000001"/>
  </r>
  <r>
    <x v="0"/>
    <x v="0"/>
    <x v="0"/>
    <x v="3"/>
    <x v="6"/>
    <s v="DE4-S_A"/>
    <x v="0"/>
    <x v="142"/>
    <x v="0"/>
    <x v="16"/>
    <n v="105.244444444444"/>
    <n v="38414.222222222197"/>
    <n v="138291.20000000001"/>
  </r>
  <r>
    <x v="0"/>
    <x v="0"/>
    <x v="0"/>
    <x v="3"/>
    <x v="6"/>
    <s v="DE4-S_A"/>
    <x v="0"/>
    <x v="142"/>
    <x v="0"/>
    <x v="17"/>
    <n v="105.244444444444"/>
    <n v="38414.222222222197"/>
    <n v="138291.20000000001"/>
  </r>
  <r>
    <x v="0"/>
    <x v="0"/>
    <x v="0"/>
    <x v="3"/>
    <x v="6"/>
    <s v="DE4-S_A"/>
    <x v="0"/>
    <x v="142"/>
    <x v="0"/>
    <x v="18"/>
    <n v="105.244444444444"/>
    <n v="38414.222222222197"/>
    <n v="138291.20000000001"/>
  </r>
  <r>
    <x v="0"/>
    <x v="0"/>
    <x v="0"/>
    <x v="3"/>
    <x v="6"/>
    <s v="DE4-S_A"/>
    <x v="0"/>
    <x v="142"/>
    <x v="0"/>
    <x v="19"/>
    <n v="105.244444444444"/>
    <n v="38414.222222222197"/>
    <n v="138291.20000000001"/>
  </r>
  <r>
    <x v="0"/>
    <x v="0"/>
    <x v="0"/>
    <x v="3"/>
    <x v="6"/>
    <s v="DE4-S_A"/>
    <x v="0"/>
    <x v="142"/>
    <x v="0"/>
    <x v="20"/>
    <n v="105.244444444444"/>
    <n v="38414.222222222197"/>
    <n v="138291.20000000001"/>
  </r>
  <r>
    <x v="0"/>
    <x v="0"/>
    <x v="0"/>
    <x v="3"/>
    <x v="6"/>
    <s v="DE4-S_A"/>
    <x v="0"/>
    <x v="142"/>
    <x v="0"/>
    <x v="21"/>
    <n v="105.244444444444"/>
    <n v="38414.222222222197"/>
    <n v="138291.20000000001"/>
  </r>
  <r>
    <x v="0"/>
    <x v="0"/>
    <x v="0"/>
    <x v="3"/>
    <x v="6"/>
    <s v="DE4-S_A"/>
    <x v="0"/>
    <x v="142"/>
    <x v="0"/>
    <x v="22"/>
    <n v="105.244444444444"/>
    <n v="38414.222222222197"/>
    <n v="138291.20000000001"/>
  </r>
  <r>
    <x v="0"/>
    <x v="0"/>
    <x v="0"/>
    <x v="3"/>
    <x v="6"/>
    <s v="DE4-S_A"/>
    <x v="0"/>
    <x v="142"/>
    <x v="0"/>
    <x v="23"/>
    <n v="105.244444444444"/>
    <n v="38414.222222222197"/>
    <n v="138291.20000000001"/>
  </r>
  <r>
    <x v="0"/>
    <x v="0"/>
    <x v="0"/>
    <x v="3"/>
    <x v="6"/>
    <s v="DE4-S_A"/>
    <x v="0"/>
    <x v="143"/>
    <x v="0"/>
    <x v="0"/>
    <n v="5742.5227272727298"/>
    <n v="2096020.7954545501"/>
    <n v="7545674.8636363596"/>
  </r>
  <r>
    <x v="0"/>
    <x v="0"/>
    <x v="0"/>
    <x v="3"/>
    <x v="6"/>
    <s v="DE4-S_A"/>
    <x v="0"/>
    <x v="143"/>
    <x v="0"/>
    <x v="1"/>
    <n v="5742.5227272727298"/>
    <n v="2096020.7954545501"/>
    <n v="7545674.8636363596"/>
  </r>
  <r>
    <x v="0"/>
    <x v="0"/>
    <x v="0"/>
    <x v="3"/>
    <x v="6"/>
    <s v="DE4-S_A"/>
    <x v="0"/>
    <x v="143"/>
    <x v="0"/>
    <x v="2"/>
    <n v="5742.5227272727298"/>
    <n v="2096020.7954545501"/>
    <n v="7545674.8636363596"/>
  </r>
  <r>
    <x v="0"/>
    <x v="0"/>
    <x v="0"/>
    <x v="3"/>
    <x v="6"/>
    <s v="DE4-S_A"/>
    <x v="0"/>
    <x v="143"/>
    <x v="0"/>
    <x v="3"/>
    <n v="5742.5227272727298"/>
    <n v="2096020.7954545501"/>
    <n v="7545674.8636363596"/>
  </r>
  <r>
    <x v="0"/>
    <x v="0"/>
    <x v="0"/>
    <x v="3"/>
    <x v="6"/>
    <s v="DE4-S_A"/>
    <x v="0"/>
    <x v="143"/>
    <x v="0"/>
    <x v="4"/>
    <n v="5742.5227272727298"/>
    <n v="2096020.7954545501"/>
    <n v="7545674.8636363596"/>
  </r>
  <r>
    <x v="0"/>
    <x v="0"/>
    <x v="0"/>
    <x v="3"/>
    <x v="6"/>
    <s v="DE4-S_A"/>
    <x v="0"/>
    <x v="143"/>
    <x v="0"/>
    <x v="5"/>
    <n v="5742.5227272727298"/>
    <n v="2096020.7954545501"/>
    <n v="7545674.8636363596"/>
  </r>
  <r>
    <x v="0"/>
    <x v="0"/>
    <x v="0"/>
    <x v="3"/>
    <x v="6"/>
    <s v="DE4-S_A"/>
    <x v="0"/>
    <x v="143"/>
    <x v="0"/>
    <x v="6"/>
    <n v="5742.5227272727298"/>
    <n v="2096020.7954545501"/>
    <n v="7545674.8636363596"/>
  </r>
  <r>
    <x v="0"/>
    <x v="0"/>
    <x v="0"/>
    <x v="3"/>
    <x v="6"/>
    <s v="DE4-S_A"/>
    <x v="0"/>
    <x v="143"/>
    <x v="0"/>
    <x v="7"/>
    <n v="5742.5227272727298"/>
    <n v="2096020.7954545501"/>
    <n v="7545674.8636363596"/>
  </r>
  <r>
    <x v="0"/>
    <x v="0"/>
    <x v="0"/>
    <x v="3"/>
    <x v="6"/>
    <s v="DE4-S_A"/>
    <x v="0"/>
    <x v="143"/>
    <x v="0"/>
    <x v="8"/>
    <n v="5742.5227272727298"/>
    <n v="2096020.7954545501"/>
    <n v="7545674.8636363596"/>
  </r>
  <r>
    <x v="0"/>
    <x v="0"/>
    <x v="0"/>
    <x v="3"/>
    <x v="6"/>
    <s v="DE4-S_A"/>
    <x v="0"/>
    <x v="143"/>
    <x v="0"/>
    <x v="9"/>
    <n v="5742.5227272727298"/>
    <n v="2096020.7954545501"/>
    <n v="7545674.8636363596"/>
  </r>
  <r>
    <x v="0"/>
    <x v="0"/>
    <x v="0"/>
    <x v="3"/>
    <x v="6"/>
    <s v="DE4-S_A"/>
    <x v="0"/>
    <x v="143"/>
    <x v="0"/>
    <x v="10"/>
    <n v="5742.5227272727298"/>
    <n v="2096020.7954545501"/>
    <n v="7545674.8636363596"/>
  </r>
  <r>
    <x v="0"/>
    <x v="0"/>
    <x v="0"/>
    <x v="3"/>
    <x v="6"/>
    <s v="DE4-S_A"/>
    <x v="0"/>
    <x v="143"/>
    <x v="0"/>
    <x v="11"/>
    <n v="5742.5227272727298"/>
    <n v="2096020.7954545501"/>
    <n v="7545674.8636363596"/>
  </r>
  <r>
    <x v="0"/>
    <x v="0"/>
    <x v="0"/>
    <x v="3"/>
    <x v="6"/>
    <s v="DE4-S_A"/>
    <x v="0"/>
    <x v="143"/>
    <x v="0"/>
    <x v="12"/>
    <n v="5742.5227272727298"/>
    <n v="2096020.7954545501"/>
    <n v="7545674.8636363596"/>
  </r>
  <r>
    <x v="0"/>
    <x v="0"/>
    <x v="0"/>
    <x v="3"/>
    <x v="6"/>
    <s v="DE4-S_A"/>
    <x v="0"/>
    <x v="143"/>
    <x v="0"/>
    <x v="13"/>
    <n v="5742.5227272727298"/>
    <n v="2096020.7954545501"/>
    <n v="7545674.8636363596"/>
  </r>
  <r>
    <x v="0"/>
    <x v="0"/>
    <x v="0"/>
    <x v="3"/>
    <x v="6"/>
    <s v="DE4-S_A"/>
    <x v="0"/>
    <x v="143"/>
    <x v="0"/>
    <x v="14"/>
    <n v="5742.5227272727298"/>
    <n v="2096020.7954545501"/>
    <n v="7545674.8636363596"/>
  </r>
  <r>
    <x v="0"/>
    <x v="0"/>
    <x v="0"/>
    <x v="3"/>
    <x v="6"/>
    <s v="DE4-S_A"/>
    <x v="0"/>
    <x v="143"/>
    <x v="0"/>
    <x v="15"/>
    <n v="5742.5227272727298"/>
    <n v="2096020.7954545501"/>
    <n v="7545674.8636363596"/>
  </r>
  <r>
    <x v="0"/>
    <x v="0"/>
    <x v="0"/>
    <x v="3"/>
    <x v="6"/>
    <s v="DE4-S_A"/>
    <x v="0"/>
    <x v="143"/>
    <x v="0"/>
    <x v="16"/>
    <n v="5742.5227272727298"/>
    <n v="2096020.7954545501"/>
    <n v="7545674.8636363596"/>
  </r>
  <r>
    <x v="0"/>
    <x v="0"/>
    <x v="0"/>
    <x v="3"/>
    <x v="6"/>
    <s v="DE4-S_A"/>
    <x v="0"/>
    <x v="143"/>
    <x v="0"/>
    <x v="17"/>
    <n v="5742.5227272727298"/>
    <n v="2096020.7954545501"/>
    <n v="7545674.8636363596"/>
  </r>
  <r>
    <x v="0"/>
    <x v="0"/>
    <x v="0"/>
    <x v="3"/>
    <x v="6"/>
    <s v="DE4-S_A"/>
    <x v="0"/>
    <x v="143"/>
    <x v="0"/>
    <x v="18"/>
    <n v="5742.5227272727298"/>
    <n v="2096020.7954545501"/>
    <n v="7545674.8636363596"/>
  </r>
  <r>
    <x v="0"/>
    <x v="0"/>
    <x v="0"/>
    <x v="3"/>
    <x v="6"/>
    <s v="DE4-S_A"/>
    <x v="0"/>
    <x v="143"/>
    <x v="0"/>
    <x v="19"/>
    <n v="5742.5227272727298"/>
    <n v="2096020.7954545501"/>
    <n v="7545674.8636363596"/>
  </r>
  <r>
    <x v="0"/>
    <x v="0"/>
    <x v="0"/>
    <x v="3"/>
    <x v="6"/>
    <s v="DE4-S_A"/>
    <x v="0"/>
    <x v="143"/>
    <x v="0"/>
    <x v="20"/>
    <n v="5742.5227272727298"/>
    <n v="2096020.7954545501"/>
    <n v="7545674.8636363596"/>
  </r>
  <r>
    <x v="0"/>
    <x v="0"/>
    <x v="0"/>
    <x v="3"/>
    <x v="6"/>
    <s v="DE4-S_A"/>
    <x v="0"/>
    <x v="143"/>
    <x v="0"/>
    <x v="21"/>
    <n v="5742.5227272727298"/>
    <n v="2096020.7954545501"/>
    <n v="7545674.8636363596"/>
  </r>
  <r>
    <x v="0"/>
    <x v="0"/>
    <x v="0"/>
    <x v="3"/>
    <x v="6"/>
    <s v="DE4-S_A"/>
    <x v="0"/>
    <x v="143"/>
    <x v="0"/>
    <x v="22"/>
    <n v="5742.5227272727298"/>
    <n v="2096020.7954545501"/>
    <n v="7545674.8636363596"/>
  </r>
  <r>
    <x v="0"/>
    <x v="0"/>
    <x v="0"/>
    <x v="3"/>
    <x v="6"/>
    <s v="DE4-S_A"/>
    <x v="0"/>
    <x v="143"/>
    <x v="0"/>
    <x v="23"/>
    <n v="5742.5227272727298"/>
    <n v="2096020.7954545501"/>
    <n v="7545674.8636363596"/>
  </r>
  <r>
    <x v="0"/>
    <x v="0"/>
    <x v="0"/>
    <x v="3"/>
    <x v="6"/>
    <s v="DE4-S_A"/>
    <x v="0"/>
    <x v="144"/>
    <x v="0"/>
    <x v="0"/>
    <n v="687.36842105263099"/>
    <n v="250889.47368421001"/>
    <n v="903202.10526315798"/>
  </r>
  <r>
    <x v="0"/>
    <x v="0"/>
    <x v="0"/>
    <x v="3"/>
    <x v="6"/>
    <s v="DE4-S_A"/>
    <x v="0"/>
    <x v="144"/>
    <x v="0"/>
    <x v="1"/>
    <n v="687.36842105263099"/>
    <n v="250889.47368421001"/>
    <n v="903202.10526315798"/>
  </r>
  <r>
    <x v="0"/>
    <x v="0"/>
    <x v="0"/>
    <x v="3"/>
    <x v="6"/>
    <s v="DE4-S_A"/>
    <x v="0"/>
    <x v="144"/>
    <x v="0"/>
    <x v="2"/>
    <n v="687.36842105263099"/>
    <n v="250889.47368421001"/>
    <n v="903202.10526315798"/>
  </r>
  <r>
    <x v="0"/>
    <x v="0"/>
    <x v="0"/>
    <x v="3"/>
    <x v="6"/>
    <s v="DE4-S_A"/>
    <x v="0"/>
    <x v="144"/>
    <x v="0"/>
    <x v="3"/>
    <n v="687.36842105263099"/>
    <n v="250889.47368421001"/>
    <n v="903202.10526315798"/>
  </r>
  <r>
    <x v="0"/>
    <x v="0"/>
    <x v="0"/>
    <x v="3"/>
    <x v="6"/>
    <s v="DE4-S_A"/>
    <x v="0"/>
    <x v="144"/>
    <x v="0"/>
    <x v="4"/>
    <n v="687.36842105263099"/>
    <n v="250889.47368421001"/>
    <n v="903202.10526315798"/>
  </r>
  <r>
    <x v="0"/>
    <x v="0"/>
    <x v="0"/>
    <x v="3"/>
    <x v="6"/>
    <s v="DE4-S_A"/>
    <x v="0"/>
    <x v="144"/>
    <x v="0"/>
    <x v="5"/>
    <n v="687.36842105263099"/>
    <n v="250889.47368421001"/>
    <n v="903202.10526315798"/>
  </r>
  <r>
    <x v="0"/>
    <x v="0"/>
    <x v="0"/>
    <x v="3"/>
    <x v="6"/>
    <s v="DE4-S_A"/>
    <x v="0"/>
    <x v="144"/>
    <x v="0"/>
    <x v="6"/>
    <n v="687.36842105263099"/>
    <n v="250889.47368421001"/>
    <n v="903202.10526315798"/>
  </r>
  <r>
    <x v="0"/>
    <x v="0"/>
    <x v="0"/>
    <x v="3"/>
    <x v="6"/>
    <s v="DE4-S_A"/>
    <x v="0"/>
    <x v="144"/>
    <x v="0"/>
    <x v="7"/>
    <n v="687.36842105263099"/>
    <n v="250889.47368421001"/>
    <n v="903202.10526315798"/>
  </r>
  <r>
    <x v="0"/>
    <x v="0"/>
    <x v="0"/>
    <x v="3"/>
    <x v="6"/>
    <s v="DE4-S_A"/>
    <x v="0"/>
    <x v="144"/>
    <x v="0"/>
    <x v="8"/>
    <n v="687.36842105263099"/>
    <n v="250889.47368421001"/>
    <n v="903202.10526315798"/>
  </r>
  <r>
    <x v="0"/>
    <x v="0"/>
    <x v="0"/>
    <x v="3"/>
    <x v="6"/>
    <s v="DE4-S_A"/>
    <x v="0"/>
    <x v="144"/>
    <x v="0"/>
    <x v="9"/>
    <n v="687.36842105263099"/>
    <n v="250889.47368421001"/>
    <n v="903202.10526315798"/>
  </r>
  <r>
    <x v="0"/>
    <x v="0"/>
    <x v="0"/>
    <x v="3"/>
    <x v="6"/>
    <s v="DE4-S_A"/>
    <x v="0"/>
    <x v="144"/>
    <x v="0"/>
    <x v="10"/>
    <n v="687.36842105263099"/>
    <n v="250889.47368421001"/>
    <n v="903202.10526315798"/>
  </r>
  <r>
    <x v="0"/>
    <x v="0"/>
    <x v="0"/>
    <x v="3"/>
    <x v="6"/>
    <s v="DE4-S_A"/>
    <x v="0"/>
    <x v="144"/>
    <x v="0"/>
    <x v="11"/>
    <n v="687.36842105263099"/>
    <n v="250889.47368421001"/>
    <n v="903202.10526315798"/>
  </r>
  <r>
    <x v="0"/>
    <x v="0"/>
    <x v="0"/>
    <x v="3"/>
    <x v="6"/>
    <s v="DE4-S_A"/>
    <x v="0"/>
    <x v="144"/>
    <x v="0"/>
    <x v="12"/>
    <n v="687.36842105263099"/>
    <n v="250889.47368421001"/>
    <n v="903202.10526315798"/>
  </r>
  <r>
    <x v="0"/>
    <x v="0"/>
    <x v="0"/>
    <x v="3"/>
    <x v="6"/>
    <s v="DE4-S_A"/>
    <x v="0"/>
    <x v="144"/>
    <x v="0"/>
    <x v="13"/>
    <n v="687.36842105263099"/>
    <n v="250889.47368421001"/>
    <n v="903202.10526315798"/>
  </r>
  <r>
    <x v="0"/>
    <x v="0"/>
    <x v="0"/>
    <x v="3"/>
    <x v="6"/>
    <s v="DE4-S_A"/>
    <x v="0"/>
    <x v="144"/>
    <x v="0"/>
    <x v="14"/>
    <n v="687.36842105263099"/>
    <n v="250889.47368421001"/>
    <n v="903202.10526315798"/>
  </r>
  <r>
    <x v="0"/>
    <x v="0"/>
    <x v="0"/>
    <x v="3"/>
    <x v="6"/>
    <s v="DE4-S_A"/>
    <x v="0"/>
    <x v="144"/>
    <x v="0"/>
    <x v="15"/>
    <n v="687.36842105263099"/>
    <n v="250889.47368421001"/>
    <n v="903202.10526315798"/>
  </r>
  <r>
    <x v="0"/>
    <x v="0"/>
    <x v="0"/>
    <x v="3"/>
    <x v="6"/>
    <s v="DE4-S_A"/>
    <x v="0"/>
    <x v="144"/>
    <x v="0"/>
    <x v="16"/>
    <n v="687.36842105263099"/>
    <n v="250889.47368421001"/>
    <n v="903202.10526315798"/>
  </r>
  <r>
    <x v="0"/>
    <x v="0"/>
    <x v="0"/>
    <x v="3"/>
    <x v="6"/>
    <s v="DE4-S_A"/>
    <x v="0"/>
    <x v="144"/>
    <x v="0"/>
    <x v="17"/>
    <n v="687.36842105263099"/>
    <n v="250889.47368421001"/>
    <n v="903202.10526315798"/>
  </r>
  <r>
    <x v="0"/>
    <x v="0"/>
    <x v="0"/>
    <x v="3"/>
    <x v="6"/>
    <s v="DE4-S_A"/>
    <x v="0"/>
    <x v="144"/>
    <x v="0"/>
    <x v="18"/>
    <n v="687.36842105263099"/>
    <n v="250889.47368421001"/>
    <n v="903202.10526315798"/>
  </r>
  <r>
    <x v="0"/>
    <x v="0"/>
    <x v="0"/>
    <x v="3"/>
    <x v="6"/>
    <s v="DE4-S_A"/>
    <x v="0"/>
    <x v="144"/>
    <x v="0"/>
    <x v="19"/>
    <n v="687.36842105263099"/>
    <n v="250889.47368421001"/>
    <n v="903202.10526315798"/>
  </r>
  <r>
    <x v="0"/>
    <x v="0"/>
    <x v="0"/>
    <x v="3"/>
    <x v="6"/>
    <s v="DE4-S_A"/>
    <x v="0"/>
    <x v="144"/>
    <x v="0"/>
    <x v="20"/>
    <n v="687.36842105263099"/>
    <n v="250889.47368421001"/>
    <n v="903202.10526315798"/>
  </r>
  <r>
    <x v="0"/>
    <x v="0"/>
    <x v="0"/>
    <x v="3"/>
    <x v="6"/>
    <s v="DE4-S_A"/>
    <x v="0"/>
    <x v="144"/>
    <x v="0"/>
    <x v="21"/>
    <n v="687.36842105263099"/>
    <n v="250889.47368421001"/>
    <n v="903202.10526315798"/>
  </r>
  <r>
    <x v="0"/>
    <x v="0"/>
    <x v="0"/>
    <x v="3"/>
    <x v="6"/>
    <s v="DE4-S_A"/>
    <x v="0"/>
    <x v="144"/>
    <x v="0"/>
    <x v="22"/>
    <n v="687.36842105263099"/>
    <n v="250889.47368421001"/>
    <n v="903202.10526315798"/>
  </r>
  <r>
    <x v="0"/>
    <x v="0"/>
    <x v="0"/>
    <x v="3"/>
    <x v="6"/>
    <s v="DE4-S_A"/>
    <x v="0"/>
    <x v="144"/>
    <x v="0"/>
    <x v="23"/>
    <n v="687.36842105263099"/>
    <n v="250889.47368421001"/>
    <n v="903202.10526315798"/>
  </r>
  <r>
    <x v="0"/>
    <x v="0"/>
    <x v="0"/>
    <x v="3"/>
    <x v="6"/>
    <s v="DE4-S_A"/>
    <x v="0"/>
    <x v="145"/>
    <x v="0"/>
    <x v="0"/>
    <n v="106.052631578947"/>
    <n v="38709.210526315801"/>
    <n v="139353.157894737"/>
  </r>
  <r>
    <x v="0"/>
    <x v="0"/>
    <x v="0"/>
    <x v="3"/>
    <x v="6"/>
    <s v="DE4-S_A"/>
    <x v="0"/>
    <x v="145"/>
    <x v="0"/>
    <x v="1"/>
    <n v="106.052631578947"/>
    <n v="38709.210526315801"/>
    <n v="139353.157894737"/>
  </r>
  <r>
    <x v="0"/>
    <x v="0"/>
    <x v="0"/>
    <x v="3"/>
    <x v="6"/>
    <s v="DE4-S_A"/>
    <x v="0"/>
    <x v="145"/>
    <x v="0"/>
    <x v="2"/>
    <n v="106.052631578947"/>
    <n v="38709.210526315801"/>
    <n v="139353.157894737"/>
  </r>
  <r>
    <x v="0"/>
    <x v="0"/>
    <x v="0"/>
    <x v="3"/>
    <x v="6"/>
    <s v="DE4-S_A"/>
    <x v="0"/>
    <x v="145"/>
    <x v="0"/>
    <x v="3"/>
    <n v="106.052631578947"/>
    <n v="38709.210526315801"/>
    <n v="139353.157894737"/>
  </r>
  <r>
    <x v="0"/>
    <x v="0"/>
    <x v="0"/>
    <x v="3"/>
    <x v="6"/>
    <s v="DE4-S_A"/>
    <x v="0"/>
    <x v="145"/>
    <x v="0"/>
    <x v="4"/>
    <n v="106.052631578947"/>
    <n v="38709.210526315801"/>
    <n v="139353.157894737"/>
  </r>
  <r>
    <x v="0"/>
    <x v="0"/>
    <x v="0"/>
    <x v="3"/>
    <x v="6"/>
    <s v="DE4-S_A"/>
    <x v="0"/>
    <x v="145"/>
    <x v="0"/>
    <x v="5"/>
    <n v="106.052631578947"/>
    <n v="38709.210526315801"/>
    <n v="139353.157894737"/>
  </r>
  <r>
    <x v="0"/>
    <x v="0"/>
    <x v="0"/>
    <x v="3"/>
    <x v="6"/>
    <s v="DE4-S_A"/>
    <x v="0"/>
    <x v="145"/>
    <x v="0"/>
    <x v="6"/>
    <n v="106.052631578947"/>
    <n v="38709.210526315801"/>
    <n v="139353.157894737"/>
  </r>
  <r>
    <x v="0"/>
    <x v="0"/>
    <x v="0"/>
    <x v="3"/>
    <x v="6"/>
    <s v="DE4-S_A"/>
    <x v="0"/>
    <x v="145"/>
    <x v="0"/>
    <x v="7"/>
    <n v="106.052631578947"/>
    <n v="38709.210526315801"/>
    <n v="139353.157894737"/>
  </r>
  <r>
    <x v="0"/>
    <x v="0"/>
    <x v="0"/>
    <x v="3"/>
    <x v="6"/>
    <s v="DE4-S_A"/>
    <x v="0"/>
    <x v="145"/>
    <x v="0"/>
    <x v="8"/>
    <n v="106.052631578947"/>
    <n v="38709.210526315801"/>
    <n v="139353.157894737"/>
  </r>
  <r>
    <x v="0"/>
    <x v="0"/>
    <x v="0"/>
    <x v="3"/>
    <x v="6"/>
    <s v="DE4-S_A"/>
    <x v="0"/>
    <x v="145"/>
    <x v="0"/>
    <x v="9"/>
    <n v="106.052631578947"/>
    <n v="38709.210526315801"/>
    <n v="139353.157894737"/>
  </r>
  <r>
    <x v="0"/>
    <x v="0"/>
    <x v="0"/>
    <x v="3"/>
    <x v="6"/>
    <s v="DE4-S_A"/>
    <x v="0"/>
    <x v="145"/>
    <x v="0"/>
    <x v="10"/>
    <n v="106.052631578947"/>
    <n v="38709.210526315801"/>
    <n v="139353.157894737"/>
  </r>
  <r>
    <x v="0"/>
    <x v="0"/>
    <x v="0"/>
    <x v="3"/>
    <x v="6"/>
    <s v="DE4-S_A"/>
    <x v="0"/>
    <x v="145"/>
    <x v="0"/>
    <x v="11"/>
    <n v="106.052631578947"/>
    <n v="38709.210526315801"/>
    <n v="139353.157894737"/>
  </r>
  <r>
    <x v="0"/>
    <x v="0"/>
    <x v="0"/>
    <x v="3"/>
    <x v="6"/>
    <s v="DE4-S_A"/>
    <x v="0"/>
    <x v="145"/>
    <x v="0"/>
    <x v="12"/>
    <n v="106.052631578947"/>
    <n v="38709.210526315801"/>
    <n v="139353.157894737"/>
  </r>
  <r>
    <x v="0"/>
    <x v="0"/>
    <x v="0"/>
    <x v="3"/>
    <x v="6"/>
    <s v="DE4-S_A"/>
    <x v="0"/>
    <x v="145"/>
    <x v="0"/>
    <x v="13"/>
    <n v="106.052631578947"/>
    <n v="38709.210526315801"/>
    <n v="139353.157894737"/>
  </r>
  <r>
    <x v="0"/>
    <x v="0"/>
    <x v="0"/>
    <x v="3"/>
    <x v="6"/>
    <s v="DE4-S_A"/>
    <x v="0"/>
    <x v="145"/>
    <x v="0"/>
    <x v="14"/>
    <n v="106.052631578947"/>
    <n v="38709.210526315801"/>
    <n v="139353.157894737"/>
  </r>
  <r>
    <x v="0"/>
    <x v="0"/>
    <x v="0"/>
    <x v="3"/>
    <x v="6"/>
    <s v="DE4-S_A"/>
    <x v="0"/>
    <x v="145"/>
    <x v="0"/>
    <x v="15"/>
    <n v="106.052631578947"/>
    <n v="38709.210526315801"/>
    <n v="139353.157894737"/>
  </r>
  <r>
    <x v="0"/>
    <x v="0"/>
    <x v="0"/>
    <x v="3"/>
    <x v="6"/>
    <s v="DE4-S_A"/>
    <x v="0"/>
    <x v="145"/>
    <x v="0"/>
    <x v="16"/>
    <n v="106.052631578947"/>
    <n v="38709.210526315801"/>
    <n v="139353.157894737"/>
  </r>
  <r>
    <x v="0"/>
    <x v="0"/>
    <x v="0"/>
    <x v="3"/>
    <x v="6"/>
    <s v="DE4-S_A"/>
    <x v="0"/>
    <x v="145"/>
    <x v="0"/>
    <x v="17"/>
    <n v="106.052631578947"/>
    <n v="38709.210526315801"/>
    <n v="139353.157894737"/>
  </r>
  <r>
    <x v="0"/>
    <x v="0"/>
    <x v="0"/>
    <x v="3"/>
    <x v="6"/>
    <s v="DE4-S_A"/>
    <x v="0"/>
    <x v="145"/>
    <x v="0"/>
    <x v="18"/>
    <n v="106.052631578947"/>
    <n v="38709.210526315801"/>
    <n v="139353.157894737"/>
  </r>
  <r>
    <x v="0"/>
    <x v="0"/>
    <x v="0"/>
    <x v="3"/>
    <x v="6"/>
    <s v="DE4-S_A"/>
    <x v="0"/>
    <x v="145"/>
    <x v="0"/>
    <x v="19"/>
    <n v="106.052631578947"/>
    <n v="38709.210526315801"/>
    <n v="139353.157894737"/>
  </r>
  <r>
    <x v="0"/>
    <x v="0"/>
    <x v="0"/>
    <x v="3"/>
    <x v="6"/>
    <s v="DE4-S_A"/>
    <x v="0"/>
    <x v="145"/>
    <x v="0"/>
    <x v="20"/>
    <n v="106.052631578947"/>
    <n v="38709.210526315801"/>
    <n v="139353.157894737"/>
  </r>
  <r>
    <x v="0"/>
    <x v="0"/>
    <x v="0"/>
    <x v="3"/>
    <x v="6"/>
    <s v="DE4-S_A"/>
    <x v="0"/>
    <x v="145"/>
    <x v="0"/>
    <x v="21"/>
    <n v="106.052631578947"/>
    <n v="38709.210526315801"/>
    <n v="139353.157894737"/>
  </r>
  <r>
    <x v="0"/>
    <x v="0"/>
    <x v="0"/>
    <x v="3"/>
    <x v="6"/>
    <s v="DE4-S_A"/>
    <x v="0"/>
    <x v="145"/>
    <x v="0"/>
    <x v="22"/>
    <n v="106.052631578947"/>
    <n v="38709.210526315801"/>
    <n v="139353.157894737"/>
  </r>
  <r>
    <x v="0"/>
    <x v="0"/>
    <x v="0"/>
    <x v="3"/>
    <x v="6"/>
    <s v="DE4-S_A"/>
    <x v="0"/>
    <x v="145"/>
    <x v="0"/>
    <x v="23"/>
    <n v="106.052631578947"/>
    <n v="38709.210526315801"/>
    <n v="139353.157894737"/>
  </r>
  <r>
    <x v="0"/>
    <x v="0"/>
    <x v="0"/>
    <x v="3"/>
    <x v="6"/>
    <s v="DE4-S_A"/>
    <x v="17"/>
    <x v="155"/>
    <x v="0"/>
    <x v="2"/>
    <n v="1355.50502363753"/>
    <n v="494759.333627699"/>
    <n v="1781133.6010597199"/>
  </r>
  <r>
    <x v="0"/>
    <x v="0"/>
    <x v="0"/>
    <x v="3"/>
    <x v="6"/>
    <s v="DE4-S_A"/>
    <x v="17"/>
    <x v="155"/>
    <x v="0"/>
    <x v="8"/>
    <n v="302.22739726027299"/>
    <n v="110313"/>
    <n v="397126.799999999"/>
  </r>
  <r>
    <x v="0"/>
    <x v="0"/>
    <x v="0"/>
    <x v="3"/>
    <x v="6"/>
    <s v="DE4-S_A"/>
    <x v="17"/>
    <x v="155"/>
    <x v="0"/>
    <x v="9"/>
    <n v="2163"/>
    <n v="789495"/>
    <n v="2842182"/>
  </r>
  <r>
    <x v="0"/>
    <x v="0"/>
    <x v="0"/>
    <x v="3"/>
    <x v="6"/>
    <s v="DE4-S_A"/>
    <x v="17"/>
    <x v="155"/>
    <x v="0"/>
    <x v="11"/>
    <n v="1542.7317488185399"/>
    <n v="563097.08831876703"/>
    <n v="2027149.5179475599"/>
  </r>
  <r>
    <x v="0"/>
    <x v="0"/>
    <x v="0"/>
    <x v="3"/>
    <x v="6"/>
    <s v="DE4-S_A"/>
    <x v="17"/>
    <x v="155"/>
    <x v="0"/>
    <x v="13"/>
    <n v="472.25694079500897"/>
    <n v="172373.783390178"/>
    <n v="620545.620204643"/>
  </r>
  <r>
    <x v="0"/>
    <x v="0"/>
    <x v="0"/>
    <x v="3"/>
    <x v="6"/>
    <s v="DE4-S_A"/>
    <x v="17"/>
    <x v="155"/>
    <x v="0"/>
    <x v="18"/>
    <n v="2163"/>
    <n v="789495"/>
    <n v="2842182"/>
  </r>
  <r>
    <x v="0"/>
    <x v="0"/>
    <x v="0"/>
    <x v="3"/>
    <x v="6"/>
    <s v="DE4-S_A"/>
    <x v="17"/>
    <x v="155"/>
    <x v="0"/>
    <x v="21"/>
    <n v="2163"/>
    <n v="789495"/>
    <n v="2842182"/>
  </r>
  <r>
    <x v="0"/>
    <x v="0"/>
    <x v="0"/>
    <x v="3"/>
    <x v="6"/>
    <s v="DE4-S_A"/>
    <x v="17"/>
    <x v="155"/>
    <x v="0"/>
    <x v="22"/>
    <n v="302.22739726027402"/>
    <n v="110313"/>
    <n v="397126.799999999"/>
  </r>
  <r>
    <x v="0"/>
    <x v="0"/>
    <x v="0"/>
    <x v="3"/>
    <x v="6"/>
    <s v="DE4-S_A"/>
    <x v="2"/>
    <x v="147"/>
    <x v="0"/>
    <x v="0"/>
    <n v="1211.8181818181899"/>
    <n v="442313.63636363798"/>
    <n v="1592329.0909090999"/>
  </r>
  <r>
    <x v="0"/>
    <x v="0"/>
    <x v="0"/>
    <x v="3"/>
    <x v="6"/>
    <s v="DE4-S_A"/>
    <x v="2"/>
    <x v="147"/>
    <x v="0"/>
    <x v="1"/>
    <n v="1211.8181818181899"/>
    <n v="442313.63636363798"/>
    <n v="1592329.0909090999"/>
  </r>
  <r>
    <x v="0"/>
    <x v="0"/>
    <x v="0"/>
    <x v="3"/>
    <x v="6"/>
    <s v="DE4-S_A"/>
    <x v="2"/>
    <x v="147"/>
    <x v="0"/>
    <x v="2"/>
    <n v="1211.8181818181899"/>
    <n v="442313.63636363798"/>
    <n v="1592329.0909090999"/>
  </r>
  <r>
    <x v="0"/>
    <x v="0"/>
    <x v="0"/>
    <x v="3"/>
    <x v="6"/>
    <s v="DE4-S_A"/>
    <x v="2"/>
    <x v="147"/>
    <x v="0"/>
    <x v="3"/>
    <n v="1211.8181818181899"/>
    <n v="442313.63636363798"/>
    <n v="1592329.0909090999"/>
  </r>
  <r>
    <x v="0"/>
    <x v="0"/>
    <x v="0"/>
    <x v="3"/>
    <x v="6"/>
    <s v="DE4-S_A"/>
    <x v="2"/>
    <x v="147"/>
    <x v="0"/>
    <x v="4"/>
    <n v="1211.8181818181899"/>
    <n v="442313.63636363798"/>
    <n v="1592329.0909090999"/>
  </r>
  <r>
    <x v="0"/>
    <x v="0"/>
    <x v="0"/>
    <x v="3"/>
    <x v="6"/>
    <s v="DE4-S_A"/>
    <x v="2"/>
    <x v="147"/>
    <x v="0"/>
    <x v="5"/>
    <n v="1211.8181818181899"/>
    <n v="442313.63636363798"/>
    <n v="1592329.0909090999"/>
  </r>
  <r>
    <x v="0"/>
    <x v="0"/>
    <x v="0"/>
    <x v="3"/>
    <x v="6"/>
    <s v="DE4-S_A"/>
    <x v="2"/>
    <x v="147"/>
    <x v="0"/>
    <x v="6"/>
    <n v="1211.8181818181899"/>
    <n v="442313.63636363798"/>
    <n v="1592329.0909090999"/>
  </r>
  <r>
    <x v="0"/>
    <x v="0"/>
    <x v="0"/>
    <x v="3"/>
    <x v="6"/>
    <s v="DE4-S_A"/>
    <x v="2"/>
    <x v="147"/>
    <x v="0"/>
    <x v="7"/>
    <n v="1211.8181818181899"/>
    <n v="442313.63636363798"/>
    <n v="1592329.0909090999"/>
  </r>
  <r>
    <x v="0"/>
    <x v="0"/>
    <x v="0"/>
    <x v="3"/>
    <x v="6"/>
    <s v="DE4-S_A"/>
    <x v="2"/>
    <x v="147"/>
    <x v="0"/>
    <x v="8"/>
    <n v="1211.8181818181899"/>
    <n v="442313.63636363798"/>
    <n v="1592329.0909090999"/>
  </r>
  <r>
    <x v="0"/>
    <x v="0"/>
    <x v="0"/>
    <x v="3"/>
    <x v="6"/>
    <s v="DE4-S_A"/>
    <x v="2"/>
    <x v="147"/>
    <x v="0"/>
    <x v="9"/>
    <n v="1211.8181818181899"/>
    <n v="442313.63636363798"/>
    <n v="1592329.0909090999"/>
  </r>
  <r>
    <x v="0"/>
    <x v="0"/>
    <x v="0"/>
    <x v="3"/>
    <x v="6"/>
    <s v="DE4-S_A"/>
    <x v="2"/>
    <x v="147"/>
    <x v="0"/>
    <x v="10"/>
    <n v="1211.8181818181899"/>
    <n v="442313.63636363798"/>
    <n v="1592329.0909090999"/>
  </r>
  <r>
    <x v="0"/>
    <x v="0"/>
    <x v="0"/>
    <x v="3"/>
    <x v="6"/>
    <s v="DE4-S_A"/>
    <x v="2"/>
    <x v="147"/>
    <x v="0"/>
    <x v="11"/>
    <n v="1211.8181818181899"/>
    <n v="442313.63636363798"/>
    <n v="1592329.0909090999"/>
  </r>
  <r>
    <x v="0"/>
    <x v="0"/>
    <x v="0"/>
    <x v="3"/>
    <x v="6"/>
    <s v="DE4-S_A"/>
    <x v="2"/>
    <x v="147"/>
    <x v="0"/>
    <x v="12"/>
    <n v="1211.8181818181899"/>
    <n v="442313.63636363798"/>
    <n v="1592329.0909090999"/>
  </r>
  <r>
    <x v="0"/>
    <x v="0"/>
    <x v="0"/>
    <x v="3"/>
    <x v="6"/>
    <s v="DE4-S_A"/>
    <x v="2"/>
    <x v="147"/>
    <x v="0"/>
    <x v="13"/>
    <n v="1211.8181818181899"/>
    <n v="442313.63636363798"/>
    <n v="1592329.0909090999"/>
  </r>
  <r>
    <x v="0"/>
    <x v="0"/>
    <x v="0"/>
    <x v="3"/>
    <x v="6"/>
    <s v="DE4-S_A"/>
    <x v="2"/>
    <x v="147"/>
    <x v="0"/>
    <x v="14"/>
    <n v="1211.8181818181899"/>
    <n v="442313.63636363798"/>
    <n v="1592329.0909090999"/>
  </r>
  <r>
    <x v="0"/>
    <x v="0"/>
    <x v="0"/>
    <x v="3"/>
    <x v="6"/>
    <s v="DE4-S_A"/>
    <x v="2"/>
    <x v="147"/>
    <x v="0"/>
    <x v="15"/>
    <n v="1211.8181818181899"/>
    <n v="442313.63636363798"/>
    <n v="1592329.0909090999"/>
  </r>
  <r>
    <x v="0"/>
    <x v="0"/>
    <x v="0"/>
    <x v="3"/>
    <x v="6"/>
    <s v="DE4-S_A"/>
    <x v="2"/>
    <x v="147"/>
    <x v="0"/>
    <x v="16"/>
    <n v="1211.8181818181899"/>
    <n v="442313.63636363798"/>
    <n v="1592329.0909090999"/>
  </r>
  <r>
    <x v="0"/>
    <x v="0"/>
    <x v="0"/>
    <x v="3"/>
    <x v="6"/>
    <s v="DE4-S_A"/>
    <x v="2"/>
    <x v="147"/>
    <x v="0"/>
    <x v="17"/>
    <n v="1211.8181818181899"/>
    <n v="442313.63636363798"/>
    <n v="1592329.0909090999"/>
  </r>
  <r>
    <x v="0"/>
    <x v="0"/>
    <x v="0"/>
    <x v="3"/>
    <x v="6"/>
    <s v="DE4-S_A"/>
    <x v="2"/>
    <x v="147"/>
    <x v="0"/>
    <x v="18"/>
    <n v="1211.8181818181899"/>
    <n v="442313.63636363798"/>
    <n v="1592329.0909090999"/>
  </r>
  <r>
    <x v="0"/>
    <x v="0"/>
    <x v="0"/>
    <x v="3"/>
    <x v="6"/>
    <s v="DE4-S_A"/>
    <x v="2"/>
    <x v="147"/>
    <x v="0"/>
    <x v="19"/>
    <n v="1211.8181818181899"/>
    <n v="442313.63636363798"/>
    <n v="1592329.0909090999"/>
  </r>
  <r>
    <x v="0"/>
    <x v="0"/>
    <x v="0"/>
    <x v="3"/>
    <x v="6"/>
    <s v="DE4-S_A"/>
    <x v="2"/>
    <x v="147"/>
    <x v="0"/>
    <x v="20"/>
    <n v="1211.8181818181899"/>
    <n v="442313.63636363798"/>
    <n v="1592329.0909090999"/>
  </r>
  <r>
    <x v="0"/>
    <x v="0"/>
    <x v="0"/>
    <x v="3"/>
    <x v="6"/>
    <s v="DE4-S_A"/>
    <x v="2"/>
    <x v="147"/>
    <x v="0"/>
    <x v="21"/>
    <n v="1211.8181818181899"/>
    <n v="442313.63636363798"/>
    <n v="1592329.0909090999"/>
  </r>
  <r>
    <x v="0"/>
    <x v="0"/>
    <x v="0"/>
    <x v="3"/>
    <x v="6"/>
    <s v="DE4-S_A"/>
    <x v="2"/>
    <x v="147"/>
    <x v="0"/>
    <x v="22"/>
    <n v="1211.8181818181899"/>
    <n v="442313.63636363798"/>
    <n v="1592329.0909090999"/>
  </r>
  <r>
    <x v="0"/>
    <x v="0"/>
    <x v="0"/>
    <x v="3"/>
    <x v="6"/>
    <s v="DE4-S_A"/>
    <x v="2"/>
    <x v="147"/>
    <x v="0"/>
    <x v="23"/>
    <n v="1211.8181818181899"/>
    <n v="442313.63636363798"/>
    <n v="1592329.0909090999"/>
  </r>
  <r>
    <x v="0"/>
    <x v="0"/>
    <x v="0"/>
    <x v="3"/>
    <x v="6"/>
    <s v="DE4-S_A"/>
    <x v="2"/>
    <x v="148"/>
    <x v="0"/>
    <x v="0"/>
    <n v="121.212121212121"/>
    <n v="44242.424242424197"/>
    <n v="159272.727272727"/>
  </r>
  <r>
    <x v="0"/>
    <x v="0"/>
    <x v="0"/>
    <x v="3"/>
    <x v="6"/>
    <s v="DE4-S_A"/>
    <x v="2"/>
    <x v="148"/>
    <x v="0"/>
    <x v="1"/>
    <n v="121.212121212121"/>
    <n v="44242.424242424197"/>
    <n v="159272.727272727"/>
  </r>
  <r>
    <x v="0"/>
    <x v="0"/>
    <x v="0"/>
    <x v="3"/>
    <x v="6"/>
    <s v="DE4-S_A"/>
    <x v="2"/>
    <x v="148"/>
    <x v="0"/>
    <x v="2"/>
    <n v="121.212121212121"/>
    <n v="44242.424242424197"/>
    <n v="159272.727272727"/>
  </r>
  <r>
    <x v="0"/>
    <x v="0"/>
    <x v="0"/>
    <x v="3"/>
    <x v="6"/>
    <s v="DE4-S_A"/>
    <x v="2"/>
    <x v="148"/>
    <x v="0"/>
    <x v="3"/>
    <n v="121.212121212121"/>
    <n v="44242.424242424197"/>
    <n v="159272.727272727"/>
  </r>
  <r>
    <x v="0"/>
    <x v="0"/>
    <x v="0"/>
    <x v="3"/>
    <x v="6"/>
    <s v="DE4-S_A"/>
    <x v="2"/>
    <x v="148"/>
    <x v="0"/>
    <x v="4"/>
    <n v="121.212121212121"/>
    <n v="44242.424242424197"/>
    <n v="159272.727272727"/>
  </r>
  <r>
    <x v="0"/>
    <x v="0"/>
    <x v="0"/>
    <x v="3"/>
    <x v="6"/>
    <s v="DE4-S_A"/>
    <x v="2"/>
    <x v="148"/>
    <x v="0"/>
    <x v="5"/>
    <n v="121.212121212121"/>
    <n v="44242.424242424197"/>
    <n v="159272.727272727"/>
  </r>
  <r>
    <x v="0"/>
    <x v="0"/>
    <x v="0"/>
    <x v="3"/>
    <x v="6"/>
    <s v="DE4-S_A"/>
    <x v="2"/>
    <x v="148"/>
    <x v="0"/>
    <x v="6"/>
    <n v="121.212121212121"/>
    <n v="44242.424242424197"/>
    <n v="159272.727272727"/>
  </r>
  <r>
    <x v="0"/>
    <x v="0"/>
    <x v="0"/>
    <x v="3"/>
    <x v="6"/>
    <s v="DE4-S_A"/>
    <x v="2"/>
    <x v="148"/>
    <x v="0"/>
    <x v="7"/>
    <n v="121.212121212121"/>
    <n v="44242.424242424197"/>
    <n v="159272.727272727"/>
  </r>
  <r>
    <x v="0"/>
    <x v="0"/>
    <x v="0"/>
    <x v="3"/>
    <x v="6"/>
    <s v="DE4-S_A"/>
    <x v="2"/>
    <x v="148"/>
    <x v="0"/>
    <x v="8"/>
    <n v="121.212121212121"/>
    <n v="44242.424242424197"/>
    <n v="159272.727272727"/>
  </r>
  <r>
    <x v="0"/>
    <x v="0"/>
    <x v="0"/>
    <x v="3"/>
    <x v="6"/>
    <s v="DE4-S_A"/>
    <x v="2"/>
    <x v="148"/>
    <x v="0"/>
    <x v="9"/>
    <n v="121.212121212121"/>
    <n v="44242.424242424197"/>
    <n v="159272.727272727"/>
  </r>
  <r>
    <x v="0"/>
    <x v="0"/>
    <x v="0"/>
    <x v="3"/>
    <x v="6"/>
    <s v="DE4-S_A"/>
    <x v="2"/>
    <x v="148"/>
    <x v="0"/>
    <x v="10"/>
    <n v="121.212121212121"/>
    <n v="44242.424242424197"/>
    <n v="159272.727272727"/>
  </r>
  <r>
    <x v="0"/>
    <x v="0"/>
    <x v="0"/>
    <x v="3"/>
    <x v="6"/>
    <s v="DE4-S_A"/>
    <x v="2"/>
    <x v="148"/>
    <x v="0"/>
    <x v="11"/>
    <n v="121.212121212121"/>
    <n v="44242.424242424197"/>
    <n v="159272.727272727"/>
  </r>
  <r>
    <x v="0"/>
    <x v="0"/>
    <x v="0"/>
    <x v="3"/>
    <x v="6"/>
    <s v="DE4-S_A"/>
    <x v="2"/>
    <x v="148"/>
    <x v="0"/>
    <x v="12"/>
    <n v="121.212121212121"/>
    <n v="44242.424242424197"/>
    <n v="159272.727272727"/>
  </r>
  <r>
    <x v="0"/>
    <x v="0"/>
    <x v="0"/>
    <x v="3"/>
    <x v="6"/>
    <s v="DE4-S_A"/>
    <x v="2"/>
    <x v="148"/>
    <x v="0"/>
    <x v="13"/>
    <n v="121.212121212121"/>
    <n v="44242.424242424197"/>
    <n v="159272.727272727"/>
  </r>
  <r>
    <x v="0"/>
    <x v="0"/>
    <x v="0"/>
    <x v="3"/>
    <x v="6"/>
    <s v="DE4-S_A"/>
    <x v="2"/>
    <x v="148"/>
    <x v="0"/>
    <x v="14"/>
    <n v="121.212121212121"/>
    <n v="44242.424242424197"/>
    <n v="159272.727272727"/>
  </r>
  <r>
    <x v="0"/>
    <x v="0"/>
    <x v="0"/>
    <x v="3"/>
    <x v="6"/>
    <s v="DE4-S_A"/>
    <x v="2"/>
    <x v="148"/>
    <x v="0"/>
    <x v="15"/>
    <n v="121.212121212121"/>
    <n v="44242.424242424197"/>
    <n v="159272.727272727"/>
  </r>
  <r>
    <x v="0"/>
    <x v="0"/>
    <x v="0"/>
    <x v="3"/>
    <x v="6"/>
    <s v="DE4-S_A"/>
    <x v="2"/>
    <x v="148"/>
    <x v="0"/>
    <x v="16"/>
    <n v="121.212121212121"/>
    <n v="44242.424242424197"/>
    <n v="159272.727272727"/>
  </r>
  <r>
    <x v="0"/>
    <x v="0"/>
    <x v="0"/>
    <x v="3"/>
    <x v="6"/>
    <s v="DE4-S_A"/>
    <x v="2"/>
    <x v="148"/>
    <x v="0"/>
    <x v="17"/>
    <n v="121.212121212121"/>
    <n v="44242.424242424197"/>
    <n v="159272.727272727"/>
  </r>
  <r>
    <x v="0"/>
    <x v="0"/>
    <x v="0"/>
    <x v="3"/>
    <x v="6"/>
    <s v="DE4-S_A"/>
    <x v="2"/>
    <x v="148"/>
    <x v="0"/>
    <x v="18"/>
    <n v="121.212121212121"/>
    <n v="44242.424242424197"/>
    <n v="159272.727272727"/>
  </r>
  <r>
    <x v="0"/>
    <x v="0"/>
    <x v="0"/>
    <x v="3"/>
    <x v="6"/>
    <s v="DE4-S_A"/>
    <x v="2"/>
    <x v="148"/>
    <x v="0"/>
    <x v="19"/>
    <n v="121.212121212121"/>
    <n v="44242.424242424197"/>
    <n v="159272.727272727"/>
  </r>
  <r>
    <x v="0"/>
    <x v="0"/>
    <x v="0"/>
    <x v="3"/>
    <x v="6"/>
    <s v="DE4-S_A"/>
    <x v="2"/>
    <x v="148"/>
    <x v="0"/>
    <x v="20"/>
    <n v="121.212121212121"/>
    <n v="44242.424242424197"/>
    <n v="159272.727272727"/>
  </r>
  <r>
    <x v="0"/>
    <x v="0"/>
    <x v="0"/>
    <x v="3"/>
    <x v="6"/>
    <s v="DE4-S_A"/>
    <x v="2"/>
    <x v="148"/>
    <x v="0"/>
    <x v="21"/>
    <n v="121.212121212121"/>
    <n v="44242.424242424197"/>
    <n v="159272.727272727"/>
  </r>
  <r>
    <x v="0"/>
    <x v="0"/>
    <x v="0"/>
    <x v="3"/>
    <x v="6"/>
    <s v="DE4-S_A"/>
    <x v="2"/>
    <x v="148"/>
    <x v="0"/>
    <x v="22"/>
    <n v="121.212121212121"/>
    <n v="44242.424242424197"/>
    <n v="159272.727272727"/>
  </r>
  <r>
    <x v="0"/>
    <x v="0"/>
    <x v="0"/>
    <x v="3"/>
    <x v="6"/>
    <s v="DE4-S_A"/>
    <x v="2"/>
    <x v="148"/>
    <x v="0"/>
    <x v="23"/>
    <n v="121.212121212121"/>
    <n v="44242.424242424197"/>
    <n v="159272.727272727"/>
  </r>
  <r>
    <x v="0"/>
    <x v="0"/>
    <x v="0"/>
    <x v="3"/>
    <x v="6"/>
    <s v="DE4-S_A"/>
    <x v="16"/>
    <x v="154"/>
    <x v="0"/>
    <x v="0"/>
    <n v="20284.848484848499"/>
    <n v="7403969.6969697"/>
    <n v="26654290.909090899"/>
  </r>
  <r>
    <x v="0"/>
    <x v="0"/>
    <x v="0"/>
    <x v="3"/>
    <x v="6"/>
    <s v="DE4-S_A"/>
    <x v="16"/>
    <x v="154"/>
    <x v="0"/>
    <x v="1"/>
    <n v="20284.848484848499"/>
    <n v="7403969.6969697"/>
    <n v="26654290.909090899"/>
  </r>
  <r>
    <x v="0"/>
    <x v="0"/>
    <x v="0"/>
    <x v="3"/>
    <x v="6"/>
    <s v="DE4-S_A"/>
    <x v="16"/>
    <x v="154"/>
    <x v="0"/>
    <x v="2"/>
    <n v="20284.848484848499"/>
    <n v="7403969.6969697"/>
    <n v="26654290.909090899"/>
  </r>
  <r>
    <x v="0"/>
    <x v="0"/>
    <x v="0"/>
    <x v="3"/>
    <x v="6"/>
    <s v="DE4-S_A"/>
    <x v="16"/>
    <x v="154"/>
    <x v="0"/>
    <x v="3"/>
    <n v="20284.848484848499"/>
    <n v="7403969.6969697"/>
    <n v="26654290.909090899"/>
  </r>
  <r>
    <x v="0"/>
    <x v="0"/>
    <x v="0"/>
    <x v="3"/>
    <x v="6"/>
    <s v="DE4-S_A"/>
    <x v="16"/>
    <x v="154"/>
    <x v="0"/>
    <x v="4"/>
    <n v="20284.848484848499"/>
    <n v="7403969.6969697"/>
    <n v="26654290.909090899"/>
  </r>
  <r>
    <x v="0"/>
    <x v="0"/>
    <x v="0"/>
    <x v="3"/>
    <x v="6"/>
    <s v="DE4-S_A"/>
    <x v="16"/>
    <x v="154"/>
    <x v="0"/>
    <x v="5"/>
    <n v="20284.848484848499"/>
    <n v="7403969.6969697"/>
    <n v="26654290.909090899"/>
  </r>
  <r>
    <x v="0"/>
    <x v="0"/>
    <x v="0"/>
    <x v="3"/>
    <x v="6"/>
    <s v="DE4-S_A"/>
    <x v="16"/>
    <x v="154"/>
    <x v="0"/>
    <x v="6"/>
    <n v="20284.848484848499"/>
    <n v="7403969.6969697"/>
    <n v="26654290.909090899"/>
  </r>
  <r>
    <x v="0"/>
    <x v="0"/>
    <x v="0"/>
    <x v="3"/>
    <x v="6"/>
    <s v="DE4-S_A"/>
    <x v="16"/>
    <x v="154"/>
    <x v="0"/>
    <x v="7"/>
    <n v="20284.848484848499"/>
    <n v="7403969.6969697"/>
    <n v="26654290.909090899"/>
  </r>
  <r>
    <x v="0"/>
    <x v="0"/>
    <x v="0"/>
    <x v="3"/>
    <x v="6"/>
    <s v="DE4-S_A"/>
    <x v="16"/>
    <x v="154"/>
    <x v="0"/>
    <x v="8"/>
    <n v="20284.848484848499"/>
    <n v="7403969.6969697"/>
    <n v="26654290.909090899"/>
  </r>
  <r>
    <x v="0"/>
    <x v="0"/>
    <x v="0"/>
    <x v="3"/>
    <x v="6"/>
    <s v="DE4-S_A"/>
    <x v="16"/>
    <x v="154"/>
    <x v="0"/>
    <x v="9"/>
    <n v="20284.848484848499"/>
    <n v="7403969.6969697"/>
    <n v="26654290.909090899"/>
  </r>
  <r>
    <x v="0"/>
    <x v="0"/>
    <x v="0"/>
    <x v="3"/>
    <x v="6"/>
    <s v="DE4-S_A"/>
    <x v="16"/>
    <x v="154"/>
    <x v="0"/>
    <x v="10"/>
    <n v="20284.848484848499"/>
    <n v="7403969.6969697"/>
    <n v="26654290.909090899"/>
  </r>
  <r>
    <x v="0"/>
    <x v="0"/>
    <x v="0"/>
    <x v="3"/>
    <x v="6"/>
    <s v="DE4-S_A"/>
    <x v="16"/>
    <x v="154"/>
    <x v="0"/>
    <x v="11"/>
    <n v="20284.848484848499"/>
    <n v="7403969.6969697"/>
    <n v="26654290.909090899"/>
  </r>
  <r>
    <x v="0"/>
    <x v="0"/>
    <x v="0"/>
    <x v="3"/>
    <x v="6"/>
    <s v="DE4-S_A"/>
    <x v="16"/>
    <x v="154"/>
    <x v="0"/>
    <x v="12"/>
    <n v="20284.848484848499"/>
    <n v="7403969.6969697"/>
    <n v="26654290.909090899"/>
  </r>
  <r>
    <x v="0"/>
    <x v="0"/>
    <x v="0"/>
    <x v="3"/>
    <x v="6"/>
    <s v="DE4-S_A"/>
    <x v="16"/>
    <x v="154"/>
    <x v="0"/>
    <x v="13"/>
    <n v="20284.848484848499"/>
    <n v="7403969.6969697"/>
    <n v="26654290.909090899"/>
  </r>
  <r>
    <x v="0"/>
    <x v="0"/>
    <x v="0"/>
    <x v="3"/>
    <x v="6"/>
    <s v="DE4-S_A"/>
    <x v="16"/>
    <x v="154"/>
    <x v="0"/>
    <x v="14"/>
    <n v="20284.848484848499"/>
    <n v="7403969.6969697"/>
    <n v="26654290.909090899"/>
  </r>
  <r>
    <x v="0"/>
    <x v="0"/>
    <x v="0"/>
    <x v="3"/>
    <x v="6"/>
    <s v="DE4-S_A"/>
    <x v="16"/>
    <x v="154"/>
    <x v="0"/>
    <x v="15"/>
    <n v="20284.848484848499"/>
    <n v="7403969.6969697"/>
    <n v="26654290.909090899"/>
  </r>
  <r>
    <x v="0"/>
    <x v="0"/>
    <x v="0"/>
    <x v="3"/>
    <x v="6"/>
    <s v="DE4-S_A"/>
    <x v="16"/>
    <x v="154"/>
    <x v="0"/>
    <x v="16"/>
    <n v="20284.848484848499"/>
    <n v="7403969.6969697"/>
    <n v="26654290.909090899"/>
  </r>
  <r>
    <x v="0"/>
    <x v="0"/>
    <x v="0"/>
    <x v="3"/>
    <x v="6"/>
    <s v="DE4-S_A"/>
    <x v="16"/>
    <x v="154"/>
    <x v="0"/>
    <x v="17"/>
    <n v="20284.848484848499"/>
    <n v="7403969.6969697"/>
    <n v="26654290.909090899"/>
  </r>
  <r>
    <x v="0"/>
    <x v="0"/>
    <x v="0"/>
    <x v="3"/>
    <x v="6"/>
    <s v="DE4-S_A"/>
    <x v="16"/>
    <x v="154"/>
    <x v="0"/>
    <x v="18"/>
    <n v="20284.848484848499"/>
    <n v="7403969.6969697"/>
    <n v="26654290.909090899"/>
  </r>
  <r>
    <x v="0"/>
    <x v="0"/>
    <x v="0"/>
    <x v="3"/>
    <x v="6"/>
    <s v="DE4-S_A"/>
    <x v="16"/>
    <x v="154"/>
    <x v="0"/>
    <x v="19"/>
    <n v="20284.848484848499"/>
    <n v="7403969.6969697"/>
    <n v="26654290.909090899"/>
  </r>
  <r>
    <x v="0"/>
    <x v="0"/>
    <x v="0"/>
    <x v="3"/>
    <x v="6"/>
    <s v="DE4-S_A"/>
    <x v="16"/>
    <x v="154"/>
    <x v="0"/>
    <x v="20"/>
    <n v="20284.848484848499"/>
    <n v="7403969.6969697"/>
    <n v="26654290.909090899"/>
  </r>
  <r>
    <x v="0"/>
    <x v="0"/>
    <x v="0"/>
    <x v="3"/>
    <x v="6"/>
    <s v="DE4-S_A"/>
    <x v="16"/>
    <x v="154"/>
    <x v="0"/>
    <x v="21"/>
    <n v="20284.848484848499"/>
    <n v="7403969.6969697"/>
    <n v="26654290.909090899"/>
  </r>
  <r>
    <x v="0"/>
    <x v="0"/>
    <x v="0"/>
    <x v="3"/>
    <x v="6"/>
    <s v="DE4-S_A"/>
    <x v="16"/>
    <x v="154"/>
    <x v="0"/>
    <x v="22"/>
    <n v="20284.848484848499"/>
    <n v="7403969.6969697"/>
    <n v="26654290.909090899"/>
  </r>
  <r>
    <x v="0"/>
    <x v="0"/>
    <x v="0"/>
    <x v="3"/>
    <x v="6"/>
    <s v="DE4-S_A"/>
    <x v="16"/>
    <x v="154"/>
    <x v="0"/>
    <x v="23"/>
    <n v="20284.848484848499"/>
    <n v="7403969.6969697"/>
    <n v="26654290.909090899"/>
  </r>
  <r>
    <x v="0"/>
    <x v="0"/>
    <x v="0"/>
    <x v="3"/>
    <x v="6"/>
    <s v="DE4-S_A"/>
    <x v="8"/>
    <x v="56"/>
    <x v="0"/>
    <x v="8"/>
    <n v="439.20802308583097"/>
    <n v="160310.928426328"/>
    <n v="577119.34233478201"/>
  </r>
  <r>
    <x v="0"/>
    <x v="0"/>
    <x v="0"/>
    <x v="3"/>
    <x v="6"/>
    <s v="DE4-S_A"/>
    <x v="8"/>
    <x v="56"/>
    <x v="0"/>
    <x v="9"/>
    <n v="3306.4480917435899"/>
    <n v="1206853.5534864101"/>
    <n v="4344672.7925510705"/>
  </r>
  <r>
    <x v="0"/>
    <x v="0"/>
    <x v="0"/>
    <x v="3"/>
    <x v="6"/>
    <s v="DE4-S_A"/>
    <x v="8"/>
    <x v="56"/>
    <x v="0"/>
    <x v="10"/>
    <n v="7637.7149040207796"/>
    <n v="2787765.9399675801"/>
    <n v="10035957.383883299"/>
  </r>
  <r>
    <x v="0"/>
    <x v="0"/>
    <x v="0"/>
    <x v="3"/>
    <x v="6"/>
    <s v="DE4-S_A"/>
    <x v="8"/>
    <x v="56"/>
    <x v="0"/>
    <x v="11"/>
    <n v="11631.1293908473"/>
    <n v="4245362.2276592804"/>
    <n v="15283304.0195734"/>
  </r>
  <r>
    <x v="0"/>
    <x v="0"/>
    <x v="0"/>
    <x v="3"/>
    <x v="6"/>
    <s v="DE4-S_A"/>
    <x v="8"/>
    <x v="56"/>
    <x v="0"/>
    <x v="12"/>
    <n v="13223.540018137999"/>
    <n v="4826592.1066203704"/>
    <n v="17375731.5838333"/>
  </r>
  <r>
    <x v="0"/>
    <x v="0"/>
    <x v="0"/>
    <x v="3"/>
    <x v="6"/>
    <s v="DE4-S_A"/>
    <x v="8"/>
    <x v="56"/>
    <x v="0"/>
    <x v="13"/>
    <n v="11498.240809503401"/>
    <n v="4196857.89546875"/>
    <n v="15108688.423687501"/>
  </r>
  <r>
    <x v="0"/>
    <x v="0"/>
    <x v="0"/>
    <x v="3"/>
    <x v="6"/>
    <s v="DE4-S_A"/>
    <x v="8"/>
    <x v="56"/>
    <x v="0"/>
    <x v="14"/>
    <n v="7482.3028343134902"/>
    <n v="2731040.5345244198"/>
    <n v="9831745.9242879208"/>
  </r>
  <r>
    <x v="0"/>
    <x v="0"/>
    <x v="0"/>
    <x v="3"/>
    <x v="6"/>
    <s v="DE4-S_A"/>
    <x v="8"/>
    <x v="56"/>
    <x v="0"/>
    <x v="15"/>
    <n v="3788.45074271983"/>
    <n v="1382784.5210927399"/>
    <n v="4978024.2759338599"/>
  </r>
  <r>
    <x v="0"/>
    <x v="0"/>
    <x v="0"/>
    <x v="3"/>
    <x v="6"/>
    <s v="DE4-S_A"/>
    <x v="8"/>
    <x v="56"/>
    <x v="0"/>
    <x v="16"/>
    <n v="493.264395157933"/>
    <n v="180041.504232646"/>
    <n v="648149.41523752396"/>
  </r>
  <r>
    <x v="0"/>
    <x v="0"/>
    <x v="0"/>
    <x v="3"/>
    <x v="6"/>
    <s v="DE4-S_A"/>
    <x v="5"/>
    <x v="149"/>
    <x v="0"/>
    <x v="0"/>
    <n v="44.76"/>
    <n v="16337.4"/>
    <n v="58814.64"/>
  </r>
  <r>
    <x v="0"/>
    <x v="0"/>
    <x v="0"/>
    <x v="3"/>
    <x v="6"/>
    <s v="DE4-S_A"/>
    <x v="5"/>
    <x v="149"/>
    <x v="0"/>
    <x v="1"/>
    <n v="44.76"/>
    <n v="16337.4"/>
    <n v="58814.64"/>
  </r>
  <r>
    <x v="0"/>
    <x v="0"/>
    <x v="0"/>
    <x v="3"/>
    <x v="6"/>
    <s v="DE4-S_A"/>
    <x v="5"/>
    <x v="149"/>
    <x v="0"/>
    <x v="2"/>
    <n v="44.76"/>
    <n v="16337.4"/>
    <n v="58814.64"/>
  </r>
  <r>
    <x v="0"/>
    <x v="0"/>
    <x v="0"/>
    <x v="3"/>
    <x v="6"/>
    <s v="DE4-S_A"/>
    <x v="5"/>
    <x v="149"/>
    <x v="0"/>
    <x v="3"/>
    <n v="44.76"/>
    <n v="16337.4"/>
    <n v="58814.64"/>
  </r>
  <r>
    <x v="0"/>
    <x v="0"/>
    <x v="0"/>
    <x v="3"/>
    <x v="6"/>
    <s v="DE4-S_A"/>
    <x v="5"/>
    <x v="149"/>
    <x v="0"/>
    <x v="4"/>
    <n v="44.76"/>
    <n v="16337.4"/>
    <n v="58814.64"/>
  </r>
  <r>
    <x v="0"/>
    <x v="0"/>
    <x v="0"/>
    <x v="3"/>
    <x v="6"/>
    <s v="DE4-S_A"/>
    <x v="5"/>
    <x v="149"/>
    <x v="0"/>
    <x v="5"/>
    <n v="44.76"/>
    <n v="16337.4"/>
    <n v="58814.64"/>
  </r>
  <r>
    <x v="0"/>
    <x v="0"/>
    <x v="0"/>
    <x v="3"/>
    <x v="6"/>
    <s v="DE4-S_A"/>
    <x v="5"/>
    <x v="149"/>
    <x v="0"/>
    <x v="6"/>
    <n v="44.76"/>
    <n v="16337.4"/>
    <n v="58814.64"/>
  </r>
  <r>
    <x v="0"/>
    <x v="0"/>
    <x v="0"/>
    <x v="3"/>
    <x v="6"/>
    <s v="DE4-S_A"/>
    <x v="5"/>
    <x v="149"/>
    <x v="0"/>
    <x v="7"/>
    <n v="44.76"/>
    <n v="16337.4"/>
    <n v="58814.64"/>
  </r>
  <r>
    <x v="0"/>
    <x v="0"/>
    <x v="0"/>
    <x v="3"/>
    <x v="6"/>
    <s v="DE4-S_A"/>
    <x v="5"/>
    <x v="149"/>
    <x v="0"/>
    <x v="8"/>
    <n v="44.76"/>
    <n v="16337.4"/>
    <n v="58814.64"/>
  </r>
  <r>
    <x v="0"/>
    <x v="0"/>
    <x v="0"/>
    <x v="3"/>
    <x v="6"/>
    <s v="DE4-S_A"/>
    <x v="5"/>
    <x v="149"/>
    <x v="0"/>
    <x v="9"/>
    <n v="44.76"/>
    <n v="16337.4"/>
    <n v="58814.64"/>
  </r>
  <r>
    <x v="0"/>
    <x v="0"/>
    <x v="0"/>
    <x v="3"/>
    <x v="6"/>
    <s v="DE4-S_A"/>
    <x v="5"/>
    <x v="149"/>
    <x v="0"/>
    <x v="10"/>
    <n v="44.76"/>
    <n v="16337.4"/>
    <n v="58814.64"/>
  </r>
  <r>
    <x v="0"/>
    <x v="0"/>
    <x v="0"/>
    <x v="3"/>
    <x v="6"/>
    <s v="DE4-S_A"/>
    <x v="5"/>
    <x v="149"/>
    <x v="0"/>
    <x v="11"/>
    <n v="44.76"/>
    <n v="16337.4"/>
    <n v="58814.64"/>
  </r>
  <r>
    <x v="0"/>
    <x v="0"/>
    <x v="0"/>
    <x v="3"/>
    <x v="6"/>
    <s v="DE4-S_A"/>
    <x v="5"/>
    <x v="149"/>
    <x v="0"/>
    <x v="12"/>
    <n v="44.76"/>
    <n v="16337.4"/>
    <n v="58814.64"/>
  </r>
  <r>
    <x v="0"/>
    <x v="0"/>
    <x v="0"/>
    <x v="3"/>
    <x v="6"/>
    <s v="DE4-S_A"/>
    <x v="5"/>
    <x v="149"/>
    <x v="0"/>
    <x v="13"/>
    <n v="44.76"/>
    <n v="16337.4"/>
    <n v="58814.64"/>
  </r>
  <r>
    <x v="0"/>
    <x v="0"/>
    <x v="0"/>
    <x v="3"/>
    <x v="6"/>
    <s v="DE4-S_A"/>
    <x v="5"/>
    <x v="149"/>
    <x v="0"/>
    <x v="14"/>
    <n v="44.76"/>
    <n v="16337.4"/>
    <n v="58814.64"/>
  </r>
  <r>
    <x v="0"/>
    <x v="0"/>
    <x v="0"/>
    <x v="3"/>
    <x v="6"/>
    <s v="DE4-S_A"/>
    <x v="5"/>
    <x v="149"/>
    <x v="0"/>
    <x v="15"/>
    <n v="44.76"/>
    <n v="16337.4"/>
    <n v="58814.64"/>
  </r>
  <r>
    <x v="0"/>
    <x v="0"/>
    <x v="0"/>
    <x v="3"/>
    <x v="6"/>
    <s v="DE4-S_A"/>
    <x v="5"/>
    <x v="149"/>
    <x v="0"/>
    <x v="16"/>
    <n v="44.76"/>
    <n v="16337.4"/>
    <n v="58814.64"/>
  </r>
  <r>
    <x v="0"/>
    <x v="0"/>
    <x v="0"/>
    <x v="3"/>
    <x v="6"/>
    <s v="DE4-S_A"/>
    <x v="5"/>
    <x v="149"/>
    <x v="0"/>
    <x v="17"/>
    <n v="44.76"/>
    <n v="16337.4"/>
    <n v="58814.64"/>
  </r>
  <r>
    <x v="0"/>
    <x v="0"/>
    <x v="0"/>
    <x v="3"/>
    <x v="6"/>
    <s v="DE4-S_A"/>
    <x v="5"/>
    <x v="149"/>
    <x v="0"/>
    <x v="18"/>
    <n v="44.76"/>
    <n v="16337.4"/>
    <n v="58814.64"/>
  </r>
  <r>
    <x v="0"/>
    <x v="0"/>
    <x v="0"/>
    <x v="3"/>
    <x v="6"/>
    <s v="DE4-S_A"/>
    <x v="5"/>
    <x v="149"/>
    <x v="0"/>
    <x v="19"/>
    <n v="44.76"/>
    <n v="16337.4"/>
    <n v="58814.64"/>
  </r>
  <r>
    <x v="0"/>
    <x v="0"/>
    <x v="0"/>
    <x v="3"/>
    <x v="6"/>
    <s v="DE4-S_A"/>
    <x v="5"/>
    <x v="149"/>
    <x v="0"/>
    <x v="20"/>
    <n v="44.76"/>
    <n v="16337.4"/>
    <n v="58814.64"/>
  </r>
  <r>
    <x v="0"/>
    <x v="0"/>
    <x v="0"/>
    <x v="3"/>
    <x v="6"/>
    <s v="DE4-S_A"/>
    <x v="5"/>
    <x v="149"/>
    <x v="0"/>
    <x v="21"/>
    <n v="44.76"/>
    <n v="16337.4"/>
    <n v="58814.64"/>
  </r>
  <r>
    <x v="0"/>
    <x v="0"/>
    <x v="0"/>
    <x v="3"/>
    <x v="6"/>
    <s v="DE4-S_A"/>
    <x v="5"/>
    <x v="149"/>
    <x v="0"/>
    <x v="22"/>
    <n v="44.76"/>
    <n v="16337.4"/>
    <n v="58814.64"/>
  </r>
  <r>
    <x v="0"/>
    <x v="0"/>
    <x v="0"/>
    <x v="3"/>
    <x v="6"/>
    <s v="DE4-S_A"/>
    <x v="5"/>
    <x v="149"/>
    <x v="0"/>
    <x v="23"/>
    <n v="44.76"/>
    <n v="16337.4"/>
    <n v="58814.64"/>
  </r>
  <r>
    <x v="0"/>
    <x v="0"/>
    <x v="0"/>
    <x v="3"/>
    <x v="6"/>
    <s v="DE4-S_A"/>
    <x v="9"/>
    <x v="156"/>
    <x v="0"/>
    <x v="0"/>
    <n v="124"/>
    <n v="45260"/>
    <n v="162936"/>
  </r>
  <r>
    <x v="0"/>
    <x v="0"/>
    <x v="0"/>
    <x v="3"/>
    <x v="6"/>
    <s v="DE4-S_A"/>
    <x v="9"/>
    <x v="156"/>
    <x v="0"/>
    <x v="1"/>
    <n v="124"/>
    <n v="45260"/>
    <n v="162936"/>
  </r>
  <r>
    <x v="0"/>
    <x v="0"/>
    <x v="0"/>
    <x v="3"/>
    <x v="6"/>
    <s v="DE4-S_A"/>
    <x v="9"/>
    <x v="156"/>
    <x v="0"/>
    <x v="2"/>
    <n v="124"/>
    <n v="45260"/>
    <n v="162936"/>
  </r>
  <r>
    <x v="0"/>
    <x v="0"/>
    <x v="0"/>
    <x v="3"/>
    <x v="6"/>
    <s v="DE4-S_A"/>
    <x v="9"/>
    <x v="156"/>
    <x v="0"/>
    <x v="4"/>
    <n v="124"/>
    <n v="45260"/>
    <n v="162936"/>
  </r>
  <r>
    <x v="0"/>
    <x v="0"/>
    <x v="0"/>
    <x v="3"/>
    <x v="6"/>
    <s v="DE4-S_A"/>
    <x v="9"/>
    <x v="156"/>
    <x v="0"/>
    <x v="6"/>
    <n v="25.432108074022501"/>
    <n v="9282.7194470182294"/>
    <n v="33417.790009265598"/>
  </r>
  <r>
    <x v="0"/>
    <x v="0"/>
    <x v="0"/>
    <x v="3"/>
    <x v="6"/>
    <s v="DE4-S_A"/>
    <x v="9"/>
    <x v="156"/>
    <x v="0"/>
    <x v="10"/>
    <n v="124"/>
    <n v="45260"/>
    <n v="162936"/>
  </r>
  <r>
    <x v="0"/>
    <x v="0"/>
    <x v="0"/>
    <x v="3"/>
    <x v="6"/>
    <s v="DE4-S_A"/>
    <x v="9"/>
    <x v="156"/>
    <x v="0"/>
    <x v="12"/>
    <n v="124"/>
    <n v="45260"/>
    <n v="162936"/>
  </r>
  <r>
    <x v="0"/>
    <x v="0"/>
    <x v="0"/>
    <x v="3"/>
    <x v="6"/>
    <s v="DE4-S_A"/>
    <x v="9"/>
    <x v="156"/>
    <x v="0"/>
    <x v="16"/>
    <n v="124"/>
    <n v="45260"/>
    <n v="162936"/>
  </r>
  <r>
    <x v="0"/>
    <x v="0"/>
    <x v="0"/>
    <x v="3"/>
    <x v="6"/>
    <s v="DE4-S_A"/>
    <x v="9"/>
    <x v="156"/>
    <x v="0"/>
    <x v="17"/>
    <n v="124"/>
    <n v="45260"/>
    <n v="162936"/>
  </r>
  <r>
    <x v="0"/>
    <x v="0"/>
    <x v="0"/>
    <x v="3"/>
    <x v="6"/>
    <s v="DE4-S_A"/>
    <x v="9"/>
    <x v="156"/>
    <x v="0"/>
    <x v="18"/>
    <n v="124"/>
    <n v="45260"/>
    <n v="162936"/>
  </r>
  <r>
    <x v="0"/>
    <x v="0"/>
    <x v="0"/>
    <x v="3"/>
    <x v="6"/>
    <s v="DE4-S_A"/>
    <x v="9"/>
    <x v="156"/>
    <x v="0"/>
    <x v="20"/>
    <n v="124"/>
    <n v="45260"/>
    <n v="162936"/>
  </r>
  <r>
    <x v="0"/>
    <x v="0"/>
    <x v="0"/>
    <x v="3"/>
    <x v="6"/>
    <s v="DE4-S_A"/>
    <x v="9"/>
    <x v="156"/>
    <x v="0"/>
    <x v="21"/>
    <n v="124"/>
    <n v="45260"/>
    <n v="162936"/>
  </r>
  <r>
    <x v="0"/>
    <x v="0"/>
    <x v="0"/>
    <x v="3"/>
    <x v="6"/>
    <s v="DE4-S_A"/>
    <x v="9"/>
    <x v="156"/>
    <x v="0"/>
    <x v="22"/>
    <n v="124"/>
    <n v="45260"/>
    <n v="162936"/>
  </r>
  <r>
    <x v="0"/>
    <x v="0"/>
    <x v="0"/>
    <x v="3"/>
    <x v="6"/>
    <s v="DE4-S_A"/>
    <x v="9"/>
    <x v="156"/>
    <x v="0"/>
    <x v="23"/>
    <n v="124"/>
    <n v="45260"/>
    <n v="162936"/>
  </r>
  <r>
    <x v="0"/>
    <x v="0"/>
    <x v="0"/>
    <x v="3"/>
    <x v="6"/>
    <s v="DE4-S_A"/>
    <x v="9"/>
    <x v="57"/>
    <x v="0"/>
    <x v="0"/>
    <n v="4361.5442694063904"/>
    <n v="1591963.6583333299"/>
    <n v="5731069.1699999999"/>
  </r>
  <r>
    <x v="0"/>
    <x v="0"/>
    <x v="0"/>
    <x v="3"/>
    <x v="6"/>
    <s v="DE4-S_A"/>
    <x v="9"/>
    <x v="57"/>
    <x v="0"/>
    <x v="1"/>
    <n v="4361.5442694063904"/>
    <n v="1591963.6583333299"/>
    <n v="5731069.1699999999"/>
  </r>
  <r>
    <x v="0"/>
    <x v="0"/>
    <x v="0"/>
    <x v="3"/>
    <x v="6"/>
    <s v="DE4-S_A"/>
    <x v="9"/>
    <x v="57"/>
    <x v="0"/>
    <x v="2"/>
    <n v="4361.5442694063904"/>
    <n v="1591963.6583333299"/>
    <n v="5731069.1699999999"/>
  </r>
  <r>
    <x v="0"/>
    <x v="0"/>
    <x v="0"/>
    <x v="3"/>
    <x v="6"/>
    <s v="DE4-S_A"/>
    <x v="9"/>
    <x v="57"/>
    <x v="0"/>
    <x v="3"/>
    <n v="4361.5442694063904"/>
    <n v="1591963.6583333299"/>
    <n v="5731069.1699999999"/>
  </r>
  <r>
    <x v="0"/>
    <x v="0"/>
    <x v="0"/>
    <x v="3"/>
    <x v="6"/>
    <s v="DE4-S_A"/>
    <x v="9"/>
    <x v="57"/>
    <x v="0"/>
    <x v="4"/>
    <n v="4361.5442694063904"/>
    <n v="1591963.6583333299"/>
    <n v="5731069.1699999999"/>
  </r>
  <r>
    <x v="0"/>
    <x v="0"/>
    <x v="0"/>
    <x v="3"/>
    <x v="6"/>
    <s v="DE4-S_A"/>
    <x v="9"/>
    <x v="57"/>
    <x v="0"/>
    <x v="5"/>
    <n v="4361.5442694063904"/>
    <n v="1591963.6583333299"/>
    <n v="5731069.1699999999"/>
  </r>
  <r>
    <x v="0"/>
    <x v="0"/>
    <x v="0"/>
    <x v="3"/>
    <x v="6"/>
    <s v="DE4-S_A"/>
    <x v="9"/>
    <x v="57"/>
    <x v="0"/>
    <x v="6"/>
    <n v="4361.5442694063904"/>
    <n v="1591963.6583333299"/>
    <n v="5731069.1699999999"/>
  </r>
  <r>
    <x v="0"/>
    <x v="0"/>
    <x v="0"/>
    <x v="3"/>
    <x v="6"/>
    <s v="DE4-S_A"/>
    <x v="9"/>
    <x v="57"/>
    <x v="0"/>
    <x v="7"/>
    <n v="4361.5442694063904"/>
    <n v="1591963.6583333299"/>
    <n v="5731069.1699999999"/>
  </r>
  <r>
    <x v="0"/>
    <x v="0"/>
    <x v="0"/>
    <x v="3"/>
    <x v="6"/>
    <s v="DE4-S_A"/>
    <x v="9"/>
    <x v="57"/>
    <x v="0"/>
    <x v="8"/>
    <n v="4361.5442694063904"/>
    <n v="1591963.6583333299"/>
    <n v="5731069.1699999999"/>
  </r>
  <r>
    <x v="0"/>
    <x v="0"/>
    <x v="0"/>
    <x v="3"/>
    <x v="6"/>
    <s v="DE4-S_A"/>
    <x v="9"/>
    <x v="57"/>
    <x v="0"/>
    <x v="9"/>
    <n v="4361.5442694063904"/>
    <n v="1591963.6583333299"/>
    <n v="5731069.1699999999"/>
  </r>
  <r>
    <x v="0"/>
    <x v="0"/>
    <x v="0"/>
    <x v="3"/>
    <x v="6"/>
    <s v="DE4-S_A"/>
    <x v="9"/>
    <x v="57"/>
    <x v="0"/>
    <x v="10"/>
    <n v="4361.5442694063904"/>
    <n v="1591963.6583333299"/>
    <n v="5731069.1699999999"/>
  </r>
  <r>
    <x v="0"/>
    <x v="0"/>
    <x v="0"/>
    <x v="3"/>
    <x v="6"/>
    <s v="DE4-S_A"/>
    <x v="9"/>
    <x v="57"/>
    <x v="0"/>
    <x v="11"/>
    <n v="4361.5442694063904"/>
    <n v="1591963.6583333299"/>
    <n v="5731069.1699999999"/>
  </r>
  <r>
    <x v="0"/>
    <x v="0"/>
    <x v="0"/>
    <x v="3"/>
    <x v="6"/>
    <s v="DE4-S_A"/>
    <x v="9"/>
    <x v="57"/>
    <x v="0"/>
    <x v="12"/>
    <n v="4361.5442694063904"/>
    <n v="1591963.6583333299"/>
    <n v="5731069.1699999999"/>
  </r>
  <r>
    <x v="0"/>
    <x v="0"/>
    <x v="0"/>
    <x v="3"/>
    <x v="6"/>
    <s v="DE4-S_A"/>
    <x v="9"/>
    <x v="57"/>
    <x v="0"/>
    <x v="13"/>
    <n v="4361.5442694063904"/>
    <n v="1591963.6583333299"/>
    <n v="5731069.1699999999"/>
  </r>
  <r>
    <x v="0"/>
    <x v="0"/>
    <x v="0"/>
    <x v="3"/>
    <x v="6"/>
    <s v="DE4-S_A"/>
    <x v="9"/>
    <x v="57"/>
    <x v="0"/>
    <x v="14"/>
    <n v="4361.5442694063904"/>
    <n v="1591963.6583333299"/>
    <n v="5731069.1699999999"/>
  </r>
  <r>
    <x v="0"/>
    <x v="0"/>
    <x v="0"/>
    <x v="3"/>
    <x v="6"/>
    <s v="DE4-S_A"/>
    <x v="9"/>
    <x v="57"/>
    <x v="0"/>
    <x v="15"/>
    <n v="4361.5442694063904"/>
    <n v="1591963.6583333299"/>
    <n v="5731069.1699999999"/>
  </r>
  <r>
    <x v="0"/>
    <x v="0"/>
    <x v="0"/>
    <x v="3"/>
    <x v="6"/>
    <s v="DE4-S_A"/>
    <x v="9"/>
    <x v="57"/>
    <x v="0"/>
    <x v="16"/>
    <n v="4361.5442694063904"/>
    <n v="1591963.6583333299"/>
    <n v="5731069.1699999999"/>
  </r>
  <r>
    <x v="0"/>
    <x v="0"/>
    <x v="0"/>
    <x v="3"/>
    <x v="6"/>
    <s v="DE4-S_A"/>
    <x v="9"/>
    <x v="57"/>
    <x v="0"/>
    <x v="17"/>
    <n v="4361.5442694063904"/>
    <n v="1591963.6583333299"/>
    <n v="5731069.1699999999"/>
  </r>
  <r>
    <x v="0"/>
    <x v="0"/>
    <x v="0"/>
    <x v="3"/>
    <x v="6"/>
    <s v="DE4-S_A"/>
    <x v="9"/>
    <x v="57"/>
    <x v="0"/>
    <x v="18"/>
    <n v="4361.5442694063904"/>
    <n v="1591963.6583333299"/>
    <n v="5731069.1699999999"/>
  </r>
  <r>
    <x v="0"/>
    <x v="0"/>
    <x v="0"/>
    <x v="3"/>
    <x v="6"/>
    <s v="DE4-S_A"/>
    <x v="9"/>
    <x v="57"/>
    <x v="0"/>
    <x v="19"/>
    <n v="4361.5442694063904"/>
    <n v="1591963.6583333299"/>
    <n v="5731069.1699999999"/>
  </r>
  <r>
    <x v="0"/>
    <x v="0"/>
    <x v="0"/>
    <x v="3"/>
    <x v="6"/>
    <s v="DE4-S_A"/>
    <x v="9"/>
    <x v="57"/>
    <x v="0"/>
    <x v="20"/>
    <n v="4361.5442694063904"/>
    <n v="1591963.6583333299"/>
    <n v="5731069.1699999999"/>
  </r>
  <r>
    <x v="0"/>
    <x v="0"/>
    <x v="0"/>
    <x v="3"/>
    <x v="6"/>
    <s v="DE4-S_A"/>
    <x v="9"/>
    <x v="57"/>
    <x v="0"/>
    <x v="21"/>
    <n v="4361.5442694063904"/>
    <n v="1591963.6583333299"/>
    <n v="5731069.1699999999"/>
  </r>
  <r>
    <x v="0"/>
    <x v="0"/>
    <x v="0"/>
    <x v="3"/>
    <x v="6"/>
    <s v="DE4-S_A"/>
    <x v="9"/>
    <x v="57"/>
    <x v="0"/>
    <x v="22"/>
    <n v="4361.5442694063904"/>
    <n v="1591963.6583333299"/>
    <n v="5731069.1699999999"/>
  </r>
  <r>
    <x v="0"/>
    <x v="0"/>
    <x v="0"/>
    <x v="3"/>
    <x v="6"/>
    <s v="DE4-S_A"/>
    <x v="9"/>
    <x v="57"/>
    <x v="0"/>
    <x v="23"/>
    <n v="4361.5442694063904"/>
    <n v="1591963.6583333299"/>
    <n v="5731069.1699999999"/>
  </r>
  <r>
    <x v="0"/>
    <x v="0"/>
    <x v="0"/>
    <x v="3"/>
    <x v="6"/>
    <s v="DE4-S_A"/>
    <x v="10"/>
    <x v="58"/>
    <x v="0"/>
    <x v="0"/>
    <n v="1017.02860886909"/>
    <n v="371215.44223721803"/>
    <n v="1336375.5920539801"/>
  </r>
  <r>
    <x v="0"/>
    <x v="0"/>
    <x v="0"/>
    <x v="3"/>
    <x v="6"/>
    <s v="DE4-S_A"/>
    <x v="10"/>
    <x v="58"/>
    <x v="0"/>
    <x v="1"/>
    <n v="984.06840839532595"/>
    <n v="359184.96906429401"/>
    <n v="1293065.88863146"/>
  </r>
  <r>
    <x v="0"/>
    <x v="0"/>
    <x v="0"/>
    <x v="3"/>
    <x v="6"/>
    <s v="DE4-S_A"/>
    <x v="10"/>
    <x v="58"/>
    <x v="0"/>
    <x v="2"/>
    <n v="955.98117390536299"/>
    <n v="348933.12847545801"/>
    <n v="1256159.2625116501"/>
  </r>
  <r>
    <x v="0"/>
    <x v="0"/>
    <x v="0"/>
    <x v="3"/>
    <x v="6"/>
    <s v="DE4-S_A"/>
    <x v="10"/>
    <x v="58"/>
    <x v="0"/>
    <x v="3"/>
    <n v="907.79295473222203"/>
    <n v="331344.42847726098"/>
    <n v="1192839.94251814"/>
  </r>
  <r>
    <x v="0"/>
    <x v="0"/>
    <x v="0"/>
    <x v="3"/>
    <x v="6"/>
    <s v="DE4-S_A"/>
    <x v="10"/>
    <x v="58"/>
    <x v="0"/>
    <x v="4"/>
    <n v="826.91525541775104"/>
    <n v="301824.068227479"/>
    <n v="1086566.64561892"/>
  </r>
  <r>
    <x v="0"/>
    <x v="0"/>
    <x v="0"/>
    <x v="3"/>
    <x v="6"/>
    <s v="DE4-S_A"/>
    <x v="10"/>
    <x v="58"/>
    <x v="0"/>
    <x v="5"/>
    <n v="754.56524657493105"/>
    <n v="275416.31499985"/>
    <n v="991498.73399945896"/>
  </r>
  <r>
    <x v="0"/>
    <x v="0"/>
    <x v="0"/>
    <x v="3"/>
    <x v="6"/>
    <s v="DE4-S_A"/>
    <x v="10"/>
    <x v="58"/>
    <x v="0"/>
    <x v="6"/>
    <n v="621.97996376568403"/>
    <n v="227022.68677447501"/>
    <n v="817281.67238810903"/>
  </r>
  <r>
    <x v="0"/>
    <x v="0"/>
    <x v="0"/>
    <x v="3"/>
    <x v="6"/>
    <s v="DE4-S_A"/>
    <x v="10"/>
    <x v="58"/>
    <x v="0"/>
    <x v="7"/>
    <n v="601.47289858385602"/>
    <n v="219537.60798310701"/>
    <n v="790335.38873918704"/>
  </r>
  <r>
    <x v="0"/>
    <x v="0"/>
    <x v="0"/>
    <x v="3"/>
    <x v="6"/>
    <s v="DE4-S_A"/>
    <x v="10"/>
    <x v="58"/>
    <x v="0"/>
    <x v="8"/>
    <n v="646.615514017122"/>
    <n v="236014.662616249"/>
    <n v="849652.78541849798"/>
  </r>
  <r>
    <x v="0"/>
    <x v="0"/>
    <x v="0"/>
    <x v="3"/>
    <x v="6"/>
    <s v="DE4-S_A"/>
    <x v="10"/>
    <x v="58"/>
    <x v="0"/>
    <x v="9"/>
    <n v="697.44325643148795"/>
    <n v="254566.788597493"/>
    <n v="916440.43895097601"/>
  </r>
  <r>
    <x v="0"/>
    <x v="0"/>
    <x v="0"/>
    <x v="3"/>
    <x v="6"/>
    <s v="DE4-S_A"/>
    <x v="10"/>
    <x v="58"/>
    <x v="0"/>
    <x v="10"/>
    <n v="804.71618815821398"/>
    <n v="293721.408677748"/>
    <n v="1057397.0712398901"/>
  </r>
  <r>
    <x v="0"/>
    <x v="0"/>
    <x v="0"/>
    <x v="3"/>
    <x v="6"/>
    <s v="DE4-S_A"/>
    <x v="10"/>
    <x v="58"/>
    <x v="0"/>
    <x v="11"/>
    <n v="886.47372855309402"/>
    <n v="323562.910921879"/>
    <n v="1164826.4793187701"/>
  </r>
  <r>
    <x v="0"/>
    <x v="0"/>
    <x v="0"/>
    <x v="3"/>
    <x v="6"/>
    <s v="DE4-S_A"/>
    <x v="10"/>
    <x v="58"/>
    <x v="0"/>
    <x v="12"/>
    <n v="1090.8675795402901"/>
    <n v="398166.66653220699"/>
    <n v="1433399.99951595"/>
  </r>
  <r>
    <x v="0"/>
    <x v="0"/>
    <x v="0"/>
    <x v="3"/>
    <x v="6"/>
    <s v="DE4-S_A"/>
    <x v="10"/>
    <x v="58"/>
    <x v="0"/>
    <x v="13"/>
    <n v="1274.7543653456701"/>
    <n v="465285.34335116798"/>
    <n v="1675027.2360642001"/>
  </r>
  <r>
    <x v="0"/>
    <x v="0"/>
    <x v="0"/>
    <x v="3"/>
    <x v="6"/>
    <s v="DE4-S_A"/>
    <x v="10"/>
    <x v="58"/>
    <x v="0"/>
    <x v="14"/>
    <n v="1484.2919026490999"/>
    <n v="541766.54446692101"/>
    <n v="1950359.5600809201"/>
  </r>
  <r>
    <x v="0"/>
    <x v="0"/>
    <x v="0"/>
    <x v="3"/>
    <x v="6"/>
    <s v="DE4-S_A"/>
    <x v="10"/>
    <x v="58"/>
    <x v="0"/>
    <x v="15"/>
    <n v="1691.1222366282"/>
    <n v="617259.61636929295"/>
    <n v="2222134.6189294499"/>
  </r>
  <r>
    <x v="0"/>
    <x v="0"/>
    <x v="0"/>
    <x v="3"/>
    <x v="6"/>
    <s v="DE4-S_A"/>
    <x v="10"/>
    <x v="58"/>
    <x v="0"/>
    <x v="16"/>
    <n v="1967.2569757102401"/>
    <n v="718048.79613423895"/>
    <n v="2584975.66608326"/>
  </r>
  <r>
    <x v="0"/>
    <x v="0"/>
    <x v="0"/>
    <x v="3"/>
    <x v="6"/>
    <s v="DE4-S_A"/>
    <x v="10"/>
    <x v="58"/>
    <x v="0"/>
    <x v="17"/>
    <n v="2219.5006454550398"/>
    <n v="810117.73559109098"/>
    <n v="2916423.84812793"/>
  </r>
  <r>
    <x v="0"/>
    <x v="0"/>
    <x v="0"/>
    <x v="3"/>
    <x v="6"/>
    <s v="DE4-S_A"/>
    <x v="10"/>
    <x v="58"/>
    <x v="0"/>
    <x v="18"/>
    <n v="2489.8148973897701"/>
    <n v="908782.43754726602"/>
    <n v="3271616.77517016"/>
  </r>
  <r>
    <x v="0"/>
    <x v="0"/>
    <x v="0"/>
    <x v="3"/>
    <x v="6"/>
    <s v="DE4-S_A"/>
    <x v="10"/>
    <x v="58"/>
    <x v="0"/>
    <x v="19"/>
    <n v="2761.48275098666"/>
    <n v="1007941.20411013"/>
    <n v="3628588.3347964799"/>
  </r>
  <r>
    <x v="0"/>
    <x v="0"/>
    <x v="0"/>
    <x v="3"/>
    <x v="6"/>
    <s v="DE4-S_A"/>
    <x v="10"/>
    <x v="58"/>
    <x v="0"/>
    <x v="20"/>
    <n v="2993.49007588207"/>
    <n v="1092623.87769696"/>
    <n v="3933445.9597090399"/>
  </r>
  <r>
    <x v="0"/>
    <x v="0"/>
    <x v="0"/>
    <x v="3"/>
    <x v="6"/>
    <s v="DE4-S_A"/>
    <x v="10"/>
    <x v="58"/>
    <x v="0"/>
    <x v="21"/>
    <n v="3248.7116692836398"/>
    <n v="1185779.7592885301"/>
    <n v="4268807.1334386999"/>
  </r>
  <r>
    <x v="0"/>
    <x v="0"/>
    <x v="0"/>
    <x v="3"/>
    <x v="6"/>
    <s v="DE4-S_A"/>
    <x v="10"/>
    <x v="58"/>
    <x v="0"/>
    <x v="22"/>
    <n v="3570.8011847962498"/>
    <n v="1303342.43245063"/>
    <n v="4692032.7568222703"/>
  </r>
  <r>
    <x v="0"/>
    <x v="0"/>
    <x v="0"/>
    <x v="3"/>
    <x v="6"/>
    <s v="DE4-S_A"/>
    <x v="10"/>
    <x v="58"/>
    <x v="0"/>
    <x v="23"/>
    <n v="3780.8801627645498"/>
    <n v="1380021.25940906"/>
    <n v="4968076.53387261"/>
  </r>
  <r>
    <x v="0"/>
    <x v="0"/>
    <x v="0"/>
    <x v="3"/>
    <x v="7"/>
    <s v="DE4-W_A"/>
    <x v="0"/>
    <x v="150"/>
    <x v="0"/>
    <x v="0"/>
    <n v="1.625"/>
    <n v="593.125"/>
    <n v="2135.25"/>
  </r>
  <r>
    <x v="0"/>
    <x v="0"/>
    <x v="0"/>
    <x v="3"/>
    <x v="7"/>
    <s v="DE4-W_A"/>
    <x v="0"/>
    <x v="150"/>
    <x v="0"/>
    <x v="1"/>
    <n v="1.625"/>
    <n v="593.125"/>
    <n v="2135.25"/>
  </r>
  <r>
    <x v="0"/>
    <x v="0"/>
    <x v="0"/>
    <x v="3"/>
    <x v="7"/>
    <s v="DE4-W_A"/>
    <x v="0"/>
    <x v="150"/>
    <x v="0"/>
    <x v="2"/>
    <n v="1.625"/>
    <n v="593.125"/>
    <n v="2135.25"/>
  </r>
  <r>
    <x v="0"/>
    <x v="0"/>
    <x v="0"/>
    <x v="3"/>
    <x v="7"/>
    <s v="DE4-W_A"/>
    <x v="0"/>
    <x v="150"/>
    <x v="0"/>
    <x v="3"/>
    <n v="1.625"/>
    <n v="593.125"/>
    <n v="2135.25"/>
  </r>
  <r>
    <x v="0"/>
    <x v="0"/>
    <x v="0"/>
    <x v="3"/>
    <x v="7"/>
    <s v="DE4-W_A"/>
    <x v="0"/>
    <x v="150"/>
    <x v="0"/>
    <x v="4"/>
    <n v="1.625"/>
    <n v="593.125"/>
    <n v="2135.25"/>
  </r>
  <r>
    <x v="0"/>
    <x v="0"/>
    <x v="0"/>
    <x v="3"/>
    <x v="7"/>
    <s v="DE4-W_A"/>
    <x v="0"/>
    <x v="150"/>
    <x v="0"/>
    <x v="5"/>
    <n v="1.625"/>
    <n v="593.125"/>
    <n v="2135.25"/>
  </r>
  <r>
    <x v="0"/>
    <x v="0"/>
    <x v="0"/>
    <x v="3"/>
    <x v="7"/>
    <s v="DE4-W_A"/>
    <x v="0"/>
    <x v="150"/>
    <x v="0"/>
    <x v="6"/>
    <n v="1.625"/>
    <n v="593.125"/>
    <n v="2135.25"/>
  </r>
  <r>
    <x v="0"/>
    <x v="0"/>
    <x v="0"/>
    <x v="3"/>
    <x v="7"/>
    <s v="DE4-W_A"/>
    <x v="0"/>
    <x v="150"/>
    <x v="0"/>
    <x v="7"/>
    <n v="1.625"/>
    <n v="593.125"/>
    <n v="2135.25"/>
  </r>
  <r>
    <x v="0"/>
    <x v="0"/>
    <x v="0"/>
    <x v="3"/>
    <x v="7"/>
    <s v="DE4-W_A"/>
    <x v="0"/>
    <x v="150"/>
    <x v="0"/>
    <x v="8"/>
    <n v="1.625"/>
    <n v="593.125"/>
    <n v="2135.25"/>
  </r>
  <r>
    <x v="0"/>
    <x v="0"/>
    <x v="0"/>
    <x v="3"/>
    <x v="7"/>
    <s v="DE4-W_A"/>
    <x v="0"/>
    <x v="150"/>
    <x v="0"/>
    <x v="9"/>
    <n v="1.625"/>
    <n v="593.125"/>
    <n v="2135.25"/>
  </r>
  <r>
    <x v="0"/>
    <x v="0"/>
    <x v="0"/>
    <x v="3"/>
    <x v="7"/>
    <s v="DE4-W_A"/>
    <x v="0"/>
    <x v="150"/>
    <x v="0"/>
    <x v="10"/>
    <n v="1.625"/>
    <n v="593.125"/>
    <n v="2135.25"/>
  </r>
  <r>
    <x v="0"/>
    <x v="0"/>
    <x v="0"/>
    <x v="3"/>
    <x v="7"/>
    <s v="DE4-W_A"/>
    <x v="0"/>
    <x v="150"/>
    <x v="0"/>
    <x v="11"/>
    <n v="1.625"/>
    <n v="593.125"/>
    <n v="2135.25"/>
  </r>
  <r>
    <x v="0"/>
    <x v="0"/>
    <x v="0"/>
    <x v="3"/>
    <x v="7"/>
    <s v="DE4-W_A"/>
    <x v="0"/>
    <x v="150"/>
    <x v="0"/>
    <x v="12"/>
    <n v="1.625"/>
    <n v="593.125"/>
    <n v="2135.25"/>
  </r>
  <r>
    <x v="0"/>
    <x v="0"/>
    <x v="0"/>
    <x v="3"/>
    <x v="7"/>
    <s v="DE4-W_A"/>
    <x v="0"/>
    <x v="150"/>
    <x v="0"/>
    <x v="13"/>
    <n v="1.625"/>
    <n v="593.125"/>
    <n v="2135.25"/>
  </r>
  <r>
    <x v="0"/>
    <x v="0"/>
    <x v="0"/>
    <x v="3"/>
    <x v="7"/>
    <s v="DE4-W_A"/>
    <x v="0"/>
    <x v="150"/>
    <x v="0"/>
    <x v="14"/>
    <n v="1.625"/>
    <n v="593.125"/>
    <n v="2135.25"/>
  </r>
  <r>
    <x v="0"/>
    <x v="0"/>
    <x v="0"/>
    <x v="3"/>
    <x v="7"/>
    <s v="DE4-W_A"/>
    <x v="0"/>
    <x v="150"/>
    <x v="0"/>
    <x v="15"/>
    <n v="1.625"/>
    <n v="593.125"/>
    <n v="2135.25"/>
  </r>
  <r>
    <x v="0"/>
    <x v="0"/>
    <x v="0"/>
    <x v="3"/>
    <x v="7"/>
    <s v="DE4-W_A"/>
    <x v="0"/>
    <x v="150"/>
    <x v="0"/>
    <x v="16"/>
    <n v="1.625"/>
    <n v="593.125"/>
    <n v="2135.25"/>
  </r>
  <r>
    <x v="0"/>
    <x v="0"/>
    <x v="0"/>
    <x v="3"/>
    <x v="7"/>
    <s v="DE4-W_A"/>
    <x v="0"/>
    <x v="150"/>
    <x v="0"/>
    <x v="17"/>
    <n v="1.625"/>
    <n v="593.125"/>
    <n v="2135.25"/>
  </r>
  <r>
    <x v="0"/>
    <x v="0"/>
    <x v="0"/>
    <x v="3"/>
    <x v="7"/>
    <s v="DE4-W_A"/>
    <x v="0"/>
    <x v="150"/>
    <x v="0"/>
    <x v="18"/>
    <n v="1.625"/>
    <n v="593.125"/>
    <n v="2135.25"/>
  </r>
  <r>
    <x v="0"/>
    <x v="0"/>
    <x v="0"/>
    <x v="3"/>
    <x v="7"/>
    <s v="DE4-W_A"/>
    <x v="0"/>
    <x v="150"/>
    <x v="0"/>
    <x v="19"/>
    <n v="1.625"/>
    <n v="593.125"/>
    <n v="2135.25"/>
  </r>
  <r>
    <x v="0"/>
    <x v="0"/>
    <x v="0"/>
    <x v="3"/>
    <x v="7"/>
    <s v="DE4-W_A"/>
    <x v="0"/>
    <x v="150"/>
    <x v="0"/>
    <x v="20"/>
    <n v="1.625"/>
    <n v="593.125"/>
    <n v="2135.25"/>
  </r>
  <r>
    <x v="0"/>
    <x v="0"/>
    <x v="0"/>
    <x v="3"/>
    <x v="7"/>
    <s v="DE4-W_A"/>
    <x v="0"/>
    <x v="150"/>
    <x v="0"/>
    <x v="21"/>
    <n v="1.625"/>
    <n v="593.125"/>
    <n v="2135.25"/>
  </r>
  <r>
    <x v="0"/>
    <x v="0"/>
    <x v="0"/>
    <x v="3"/>
    <x v="7"/>
    <s v="DE4-W_A"/>
    <x v="0"/>
    <x v="150"/>
    <x v="0"/>
    <x v="22"/>
    <n v="1.625"/>
    <n v="593.125"/>
    <n v="2135.25"/>
  </r>
  <r>
    <x v="0"/>
    <x v="0"/>
    <x v="0"/>
    <x v="3"/>
    <x v="7"/>
    <s v="DE4-W_A"/>
    <x v="0"/>
    <x v="150"/>
    <x v="0"/>
    <x v="23"/>
    <n v="1.625"/>
    <n v="593.125"/>
    <n v="2135.25"/>
  </r>
  <r>
    <x v="0"/>
    <x v="0"/>
    <x v="0"/>
    <x v="3"/>
    <x v="7"/>
    <s v="DE4-W_A"/>
    <x v="0"/>
    <x v="142"/>
    <x v="0"/>
    <x v="0"/>
    <n v="39.088888888888903"/>
    <n v="14267.4444444444"/>
    <n v="51362.8"/>
  </r>
  <r>
    <x v="0"/>
    <x v="0"/>
    <x v="0"/>
    <x v="3"/>
    <x v="7"/>
    <s v="DE4-W_A"/>
    <x v="0"/>
    <x v="142"/>
    <x v="0"/>
    <x v="1"/>
    <n v="39.088888888888903"/>
    <n v="14267.4444444444"/>
    <n v="51362.8"/>
  </r>
  <r>
    <x v="0"/>
    <x v="0"/>
    <x v="0"/>
    <x v="3"/>
    <x v="7"/>
    <s v="DE4-W_A"/>
    <x v="0"/>
    <x v="142"/>
    <x v="0"/>
    <x v="2"/>
    <n v="39.088888888888903"/>
    <n v="14267.4444444444"/>
    <n v="51362.8"/>
  </r>
  <r>
    <x v="0"/>
    <x v="0"/>
    <x v="0"/>
    <x v="3"/>
    <x v="7"/>
    <s v="DE4-W_A"/>
    <x v="0"/>
    <x v="142"/>
    <x v="0"/>
    <x v="3"/>
    <n v="39.088888888888903"/>
    <n v="14267.4444444444"/>
    <n v="51362.8"/>
  </r>
  <r>
    <x v="0"/>
    <x v="0"/>
    <x v="0"/>
    <x v="3"/>
    <x v="7"/>
    <s v="DE4-W_A"/>
    <x v="0"/>
    <x v="142"/>
    <x v="0"/>
    <x v="4"/>
    <n v="39.088888888888903"/>
    <n v="14267.4444444444"/>
    <n v="51362.8"/>
  </r>
  <r>
    <x v="0"/>
    <x v="0"/>
    <x v="0"/>
    <x v="3"/>
    <x v="7"/>
    <s v="DE4-W_A"/>
    <x v="0"/>
    <x v="142"/>
    <x v="0"/>
    <x v="5"/>
    <n v="39.088888888888903"/>
    <n v="14267.4444444444"/>
    <n v="51362.8"/>
  </r>
  <r>
    <x v="0"/>
    <x v="0"/>
    <x v="0"/>
    <x v="3"/>
    <x v="7"/>
    <s v="DE4-W_A"/>
    <x v="0"/>
    <x v="142"/>
    <x v="0"/>
    <x v="6"/>
    <n v="39.088888888888903"/>
    <n v="14267.4444444444"/>
    <n v="51362.8"/>
  </r>
  <r>
    <x v="0"/>
    <x v="0"/>
    <x v="0"/>
    <x v="3"/>
    <x v="7"/>
    <s v="DE4-W_A"/>
    <x v="0"/>
    <x v="142"/>
    <x v="0"/>
    <x v="7"/>
    <n v="39.088888888888903"/>
    <n v="14267.4444444444"/>
    <n v="51362.8"/>
  </r>
  <r>
    <x v="0"/>
    <x v="0"/>
    <x v="0"/>
    <x v="3"/>
    <x v="7"/>
    <s v="DE4-W_A"/>
    <x v="0"/>
    <x v="142"/>
    <x v="0"/>
    <x v="8"/>
    <n v="39.088888888888903"/>
    <n v="14267.4444444444"/>
    <n v="51362.8"/>
  </r>
  <r>
    <x v="0"/>
    <x v="0"/>
    <x v="0"/>
    <x v="3"/>
    <x v="7"/>
    <s v="DE4-W_A"/>
    <x v="0"/>
    <x v="142"/>
    <x v="0"/>
    <x v="9"/>
    <n v="39.088888888888903"/>
    <n v="14267.4444444444"/>
    <n v="51362.8"/>
  </r>
  <r>
    <x v="0"/>
    <x v="0"/>
    <x v="0"/>
    <x v="3"/>
    <x v="7"/>
    <s v="DE4-W_A"/>
    <x v="0"/>
    <x v="142"/>
    <x v="0"/>
    <x v="10"/>
    <n v="39.088888888888903"/>
    <n v="14267.4444444444"/>
    <n v="51362.8"/>
  </r>
  <r>
    <x v="0"/>
    <x v="0"/>
    <x v="0"/>
    <x v="3"/>
    <x v="7"/>
    <s v="DE4-W_A"/>
    <x v="0"/>
    <x v="142"/>
    <x v="0"/>
    <x v="11"/>
    <n v="39.088888888888903"/>
    <n v="14267.4444444444"/>
    <n v="51362.8"/>
  </r>
  <r>
    <x v="0"/>
    <x v="0"/>
    <x v="0"/>
    <x v="3"/>
    <x v="7"/>
    <s v="DE4-W_A"/>
    <x v="0"/>
    <x v="142"/>
    <x v="0"/>
    <x v="12"/>
    <n v="39.088888888888903"/>
    <n v="14267.4444444444"/>
    <n v="51362.8"/>
  </r>
  <r>
    <x v="0"/>
    <x v="0"/>
    <x v="0"/>
    <x v="3"/>
    <x v="7"/>
    <s v="DE4-W_A"/>
    <x v="0"/>
    <x v="142"/>
    <x v="0"/>
    <x v="13"/>
    <n v="39.088888888888903"/>
    <n v="14267.4444444444"/>
    <n v="51362.8"/>
  </r>
  <r>
    <x v="0"/>
    <x v="0"/>
    <x v="0"/>
    <x v="3"/>
    <x v="7"/>
    <s v="DE4-W_A"/>
    <x v="0"/>
    <x v="142"/>
    <x v="0"/>
    <x v="14"/>
    <n v="39.088888888888903"/>
    <n v="14267.4444444444"/>
    <n v="51362.8"/>
  </r>
  <r>
    <x v="0"/>
    <x v="0"/>
    <x v="0"/>
    <x v="3"/>
    <x v="7"/>
    <s v="DE4-W_A"/>
    <x v="0"/>
    <x v="142"/>
    <x v="0"/>
    <x v="15"/>
    <n v="39.088888888888903"/>
    <n v="14267.4444444444"/>
    <n v="51362.8"/>
  </r>
  <r>
    <x v="0"/>
    <x v="0"/>
    <x v="0"/>
    <x v="3"/>
    <x v="7"/>
    <s v="DE4-W_A"/>
    <x v="0"/>
    <x v="142"/>
    <x v="0"/>
    <x v="16"/>
    <n v="39.088888888888903"/>
    <n v="14267.4444444444"/>
    <n v="51362.8"/>
  </r>
  <r>
    <x v="0"/>
    <x v="0"/>
    <x v="0"/>
    <x v="3"/>
    <x v="7"/>
    <s v="DE4-W_A"/>
    <x v="0"/>
    <x v="142"/>
    <x v="0"/>
    <x v="17"/>
    <n v="39.088888888888903"/>
    <n v="14267.4444444444"/>
    <n v="51362.8"/>
  </r>
  <r>
    <x v="0"/>
    <x v="0"/>
    <x v="0"/>
    <x v="3"/>
    <x v="7"/>
    <s v="DE4-W_A"/>
    <x v="0"/>
    <x v="142"/>
    <x v="0"/>
    <x v="18"/>
    <n v="39.088888888888903"/>
    <n v="14267.4444444444"/>
    <n v="51362.8"/>
  </r>
  <r>
    <x v="0"/>
    <x v="0"/>
    <x v="0"/>
    <x v="3"/>
    <x v="7"/>
    <s v="DE4-W_A"/>
    <x v="0"/>
    <x v="142"/>
    <x v="0"/>
    <x v="19"/>
    <n v="39.088888888888903"/>
    <n v="14267.4444444444"/>
    <n v="51362.8"/>
  </r>
  <r>
    <x v="0"/>
    <x v="0"/>
    <x v="0"/>
    <x v="3"/>
    <x v="7"/>
    <s v="DE4-W_A"/>
    <x v="0"/>
    <x v="142"/>
    <x v="0"/>
    <x v="20"/>
    <n v="39.088888888888903"/>
    <n v="14267.4444444444"/>
    <n v="51362.8"/>
  </r>
  <r>
    <x v="0"/>
    <x v="0"/>
    <x v="0"/>
    <x v="3"/>
    <x v="7"/>
    <s v="DE4-W_A"/>
    <x v="0"/>
    <x v="142"/>
    <x v="0"/>
    <x v="21"/>
    <n v="39.088888888888903"/>
    <n v="14267.4444444444"/>
    <n v="51362.8"/>
  </r>
  <r>
    <x v="0"/>
    <x v="0"/>
    <x v="0"/>
    <x v="3"/>
    <x v="7"/>
    <s v="DE4-W_A"/>
    <x v="0"/>
    <x v="142"/>
    <x v="0"/>
    <x v="22"/>
    <n v="39.088888888888903"/>
    <n v="14267.4444444444"/>
    <n v="51362.8"/>
  </r>
  <r>
    <x v="0"/>
    <x v="0"/>
    <x v="0"/>
    <x v="3"/>
    <x v="7"/>
    <s v="DE4-W_A"/>
    <x v="0"/>
    <x v="142"/>
    <x v="0"/>
    <x v="23"/>
    <n v="39.088888888888903"/>
    <n v="14267.4444444444"/>
    <n v="51362.8"/>
  </r>
  <r>
    <x v="0"/>
    <x v="0"/>
    <x v="0"/>
    <x v="3"/>
    <x v="7"/>
    <s v="DE4-W_A"/>
    <x v="0"/>
    <x v="143"/>
    <x v="0"/>
    <x v="0"/>
    <n v="5776.1363636363603"/>
    <n v="2108289.7727272701"/>
    <n v="7589843.1818181798"/>
  </r>
  <r>
    <x v="0"/>
    <x v="0"/>
    <x v="0"/>
    <x v="3"/>
    <x v="7"/>
    <s v="DE4-W_A"/>
    <x v="0"/>
    <x v="143"/>
    <x v="0"/>
    <x v="1"/>
    <n v="5776.1363636363603"/>
    <n v="2108289.7727272701"/>
    <n v="7589843.1818181798"/>
  </r>
  <r>
    <x v="0"/>
    <x v="0"/>
    <x v="0"/>
    <x v="3"/>
    <x v="7"/>
    <s v="DE4-W_A"/>
    <x v="0"/>
    <x v="143"/>
    <x v="0"/>
    <x v="2"/>
    <n v="5776.1363636363603"/>
    <n v="2108289.7727272701"/>
    <n v="7589843.1818181798"/>
  </r>
  <r>
    <x v="0"/>
    <x v="0"/>
    <x v="0"/>
    <x v="3"/>
    <x v="7"/>
    <s v="DE4-W_A"/>
    <x v="0"/>
    <x v="143"/>
    <x v="0"/>
    <x v="3"/>
    <n v="5776.1363636363603"/>
    <n v="2108289.7727272701"/>
    <n v="7589843.1818181798"/>
  </r>
  <r>
    <x v="0"/>
    <x v="0"/>
    <x v="0"/>
    <x v="3"/>
    <x v="7"/>
    <s v="DE4-W_A"/>
    <x v="0"/>
    <x v="143"/>
    <x v="0"/>
    <x v="4"/>
    <n v="5776.1363636363603"/>
    <n v="2108289.7727272701"/>
    <n v="7589843.1818181798"/>
  </r>
  <r>
    <x v="0"/>
    <x v="0"/>
    <x v="0"/>
    <x v="3"/>
    <x v="7"/>
    <s v="DE4-W_A"/>
    <x v="0"/>
    <x v="143"/>
    <x v="0"/>
    <x v="5"/>
    <n v="5776.1363636363603"/>
    <n v="2108289.7727272701"/>
    <n v="7589843.1818181798"/>
  </r>
  <r>
    <x v="0"/>
    <x v="0"/>
    <x v="0"/>
    <x v="3"/>
    <x v="7"/>
    <s v="DE4-W_A"/>
    <x v="0"/>
    <x v="143"/>
    <x v="0"/>
    <x v="6"/>
    <n v="5776.1363636363603"/>
    <n v="2108289.7727272701"/>
    <n v="7589843.1818181798"/>
  </r>
  <r>
    <x v="0"/>
    <x v="0"/>
    <x v="0"/>
    <x v="3"/>
    <x v="7"/>
    <s v="DE4-W_A"/>
    <x v="0"/>
    <x v="143"/>
    <x v="0"/>
    <x v="7"/>
    <n v="5776.1363636363603"/>
    <n v="2108289.7727272701"/>
    <n v="7589843.1818181798"/>
  </r>
  <r>
    <x v="0"/>
    <x v="0"/>
    <x v="0"/>
    <x v="3"/>
    <x v="7"/>
    <s v="DE4-W_A"/>
    <x v="0"/>
    <x v="143"/>
    <x v="0"/>
    <x v="8"/>
    <n v="5776.1363636363603"/>
    <n v="2108289.7727272701"/>
    <n v="7589843.1818181798"/>
  </r>
  <r>
    <x v="0"/>
    <x v="0"/>
    <x v="0"/>
    <x v="3"/>
    <x v="7"/>
    <s v="DE4-W_A"/>
    <x v="0"/>
    <x v="143"/>
    <x v="0"/>
    <x v="9"/>
    <n v="5776.1363636363603"/>
    <n v="2108289.7727272701"/>
    <n v="7589843.1818181798"/>
  </r>
  <r>
    <x v="0"/>
    <x v="0"/>
    <x v="0"/>
    <x v="3"/>
    <x v="7"/>
    <s v="DE4-W_A"/>
    <x v="0"/>
    <x v="143"/>
    <x v="0"/>
    <x v="10"/>
    <n v="5776.1363636363603"/>
    <n v="2108289.7727272701"/>
    <n v="7589843.1818181798"/>
  </r>
  <r>
    <x v="0"/>
    <x v="0"/>
    <x v="0"/>
    <x v="3"/>
    <x v="7"/>
    <s v="DE4-W_A"/>
    <x v="0"/>
    <x v="143"/>
    <x v="0"/>
    <x v="11"/>
    <n v="5776.1363636363603"/>
    <n v="2108289.7727272701"/>
    <n v="7589843.1818181798"/>
  </r>
  <r>
    <x v="0"/>
    <x v="0"/>
    <x v="0"/>
    <x v="3"/>
    <x v="7"/>
    <s v="DE4-W_A"/>
    <x v="0"/>
    <x v="143"/>
    <x v="0"/>
    <x v="12"/>
    <n v="5776.1363636363603"/>
    <n v="2108289.7727272701"/>
    <n v="7589843.1818181798"/>
  </r>
  <r>
    <x v="0"/>
    <x v="0"/>
    <x v="0"/>
    <x v="3"/>
    <x v="7"/>
    <s v="DE4-W_A"/>
    <x v="0"/>
    <x v="143"/>
    <x v="0"/>
    <x v="13"/>
    <n v="5776.1363636363603"/>
    <n v="2108289.7727272701"/>
    <n v="7589843.1818181798"/>
  </r>
  <r>
    <x v="0"/>
    <x v="0"/>
    <x v="0"/>
    <x v="3"/>
    <x v="7"/>
    <s v="DE4-W_A"/>
    <x v="0"/>
    <x v="143"/>
    <x v="0"/>
    <x v="14"/>
    <n v="5776.1363636363603"/>
    <n v="2108289.7727272701"/>
    <n v="7589843.1818181798"/>
  </r>
  <r>
    <x v="0"/>
    <x v="0"/>
    <x v="0"/>
    <x v="3"/>
    <x v="7"/>
    <s v="DE4-W_A"/>
    <x v="0"/>
    <x v="143"/>
    <x v="0"/>
    <x v="15"/>
    <n v="5776.1363636363603"/>
    <n v="2108289.7727272701"/>
    <n v="7589843.1818181798"/>
  </r>
  <r>
    <x v="0"/>
    <x v="0"/>
    <x v="0"/>
    <x v="3"/>
    <x v="7"/>
    <s v="DE4-W_A"/>
    <x v="0"/>
    <x v="143"/>
    <x v="0"/>
    <x v="16"/>
    <n v="5776.1363636363603"/>
    <n v="2108289.7727272701"/>
    <n v="7589843.1818181798"/>
  </r>
  <r>
    <x v="0"/>
    <x v="0"/>
    <x v="0"/>
    <x v="3"/>
    <x v="7"/>
    <s v="DE4-W_A"/>
    <x v="0"/>
    <x v="143"/>
    <x v="0"/>
    <x v="17"/>
    <n v="5776.1363636363603"/>
    <n v="2108289.7727272701"/>
    <n v="7589843.1818181798"/>
  </r>
  <r>
    <x v="0"/>
    <x v="0"/>
    <x v="0"/>
    <x v="3"/>
    <x v="7"/>
    <s v="DE4-W_A"/>
    <x v="0"/>
    <x v="143"/>
    <x v="0"/>
    <x v="18"/>
    <n v="5776.1363636363603"/>
    <n v="2108289.7727272701"/>
    <n v="7589843.1818181798"/>
  </r>
  <r>
    <x v="0"/>
    <x v="0"/>
    <x v="0"/>
    <x v="3"/>
    <x v="7"/>
    <s v="DE4-W_A"/>
    <x v="0"/>
    <x v="143"/>
    <x v="0"/>
    <x v="19"/>
    <n v="5776.1363636363603"/>
    <n v="2108289.7727272701"/>
    <n v="7589843.1818181798"/>
  </r>
  <r>
    <x v="0"/>
    <x v="0"/>
    <x v="0"/>
    <x v="3"/>
    <x v="7"/>
    <s v="DE4-W_A"/>
    <x v="0"/>
    <x v="143"/>
    <x v="0"/>
    <x v="20"/>
    <n v="5776.1363636363603"/>
    <n v="2108289.7727272701"/>
    <n v="7589843.1818181798"/>
  </r>
  <r>
    <x v="0"/>
    <x v="0"/>
    <x v="0"/>
    <x v="3"/>
    <x v="7"/>
    <s v="DE4-W_A"/>
    <x v="0"/>
    <x v="143"/>
    <x v="0"/>
    <x v="21"/>
    <n v="5776.1363636363603"/>
    <n v="2108289.7727272701"/>
    <n v="7589843.1818181798"/>
  </r>
  <r>
    <x v="0"/>
    <x v="0"/>
    <x v="0"/>
    <x v="3"/>
    <x v="7"/>
    <s v="DE4-W_A"/>
    <x v="0"/>
    <x v="143"/>
    <x v="0"/>
    <x v="22"/>
    <n v="5776.1363636363603"/>
    <n v="2108289.7727272701"/>
    <n v="7589843.1818181798"/>
  </r>
  <r>
    <x v="0"/>
    <x v="0"/>
    <x v="0"/>
    <x v="3"/>
    <x v="7"/>
    <s v="DE4-W_A"/>
    <x v="0"/>
    <x v="143"/>
    <x v="0"/>
    <x v="23"/>
    <n v="5776.1363636363603"/>
    <n v="2108289.7727272701"/>
    <n v="7589843.1818181798"/>
  </r>
  <r>
    <x v="0"/>
    <x v="0"/>
    <x v="0"/>
    <x v="3"/>
    <x v="7"/>
    <s v="DE4-W_A"/>
    <x v="0"/>
    <x v="157"/>
    <x v="0"/>
    <x v="0"/>
    <n v="101.212121212121"/>
    <n v="36942.424242424298"/>
    <n v="132992.727272727"/>
  </r>
  <r>
    <x v="0"/>
    <x v="0"/>
    <x v="0"/>
    <x v="3"/>
    <x v="7"/>
    <s v="DE4-W_A"/>
    <x v="0"/>
    <x v="157"/>
    <x v="0"/>
    <x v="1"/>
    <n v="101.212121212121"/>
    <n v="36942.424242424298"/>
    <n v="132992.727272727"/>
  </r>
  <r>
    <x v="0"/>
    <x v="0"/>
    <x v="0"/>
    <x v="3"/>
    <x v="7"/>
    <s v="DE4-W_A"/>
    <x v="0"/>
    <x v="157"/>
    <x v="0"/>
    <x v="2"/>
    <n v="101.212121212121"/>
    <n v="36942.424242424298"/>
    <n v="132992.727272727"/>
  </r>
  <r>
    <x v="0"/>
    <x v="0"/>
    <x v="0"/>
    <x v="3"/>
    <x v="7"/>
    <s v="DE4-W_A"/>
    <x v="0"/>
    <x v="157"/>
    <x v="0"/>
    <x v="3"/>
    <n v="101.212121212121"/>
    <n v="36942.424242424298"/>
    <n v="132992.727272727"/>
  </r>
  <r>
    <x v="0"/>
    <x v="0"/>
    <x v="0"/>
    <x v="3"/>
    <x v="7"/>
    <s v="DE4-W_A"/>
    <x v="0"/>
    <x v="157"/>
    <x v="0"/>
    <x v="4"/>
    <n v="101.212121212121"/>
    <n v="36942.424242424298"/>
    <n v="132992.727272727"/>
  </r>
  <r>
    <x v="0"/>
    <x v="0"/>
    <x v="0"/>
    <x v="3"/>
    <x v="7"/>
    <s v="DE4-W_A"/>
    <x v="0"/>
    <x v="157"/>
    <x v="0"/>
    <x v="5"/>
    <n v="101.212121212121"/>
    <n v="36942.424242424298"/>
    <n v="132992.727272727"/>
  </r>
  <r>
    <x v="0"/>
    <x v="0"/>
    <x v="0"/>
    <x v="3"/>
    <x v="7"/>
    <s v="DE4-W_A"/>
    <x v="0"/>
    <x v="157"/>
    <x v="0"/>
    <x v="6"/>
    <n v="101.212121212121"/>
    <n v="36942.424242424298"/>
    <n v="132992.727272727"/>
  </r>
  <r>
    <x v="0"/>
    <x v="0"/>
    <x v="0"/>
    <x v="3"/>
    <x v="7"/>
    <s v="DE4-W_A"/>
    <x v="0"/>
    <x v="157"/>
    <x v="0"/>
    <x v="7"/>
    <n v="101.212121212121"/>
    <n v="36942.424242424298"/>
    <n v="132992.727272727"/>
  </r>
  <r>
    <x v="0"/>
    <x v="0"/>
    <x v="0"/>
    <x v="3"/>
    <x v="7"/>
    <s v="DE4-W_A"/>
    <x v="0"/>
    <x v="157"/>
    <x v="0"/>
    <x v="8"/>
    <n v="101.212121212121"/>
    <n v="36942.424242424298"/>
    <n v="132992.727272727"/>
  </r>
  <r>
    <x v="0"/>
    <x v="0"/>
    <x v="0"/>
    <x v="3"/>
    <x v="7"/>
    <s v="DE4-W_A"/>
    <x v="0"/>
    <x v="157"/>
    <x v="0"/>
    <x v="9"/>
    <n v="101.212121212121"/>
    <n v="36942.424242424298"/>
    <n v="132992.727272727"/>
  </r>
  <r>
    <x v="0"/>
    <x v="0"/>
    <x v="0"/>
    <x v="3"/>
    <x v="7"/>
    <s v="DE4-W_A"/>
    <x v="0"/>
    <x v="157"/>
    <x v="0"/>
    <x v="10"/>
    <n v="101.212121212121"/>
    <n v="36942.424242424298"/>
    <n v="132992.727272727"/>
  </r>
  <r>
    <x v="0"/>
    <x v="0"/>
    <x v="0"/>
    <x v="3"/>
    <x v="7"/>
    <s v="DE4-W_A"/>
    <x v="0"/>
    <x v="157"/>
    <x v="0"/>
    <x v="11"/>
    <n v="101.212121212121"/>
    <n v="36942.424242424298"/>
    <n v="132992.727272727"/>
  </r>
  <r>
    <x v="0"/>
    <x v="0"/>
    <x v="0"/>
    <x v="3"/>
    <x v="7"/>
    <s v="DE4-W_A"/>
    <x v="0"/>
    <x v="157"/>
    <x v="0"/>
    <x v="12"/>
    <n v="101.212121212121"/>
    <n v="36942.424242424298"/>
    <n v="132992.727272727"/>
  </r>
  <r>
    <x v="0"/>
    <x v="0"/>
    <x v="0"/>
    <x v="3"/>
    <x v="7"/>
    <s v="DE4-W_A"/>
    <x v="0"/>
    <x v="157"/>
    <x v="0"/>
    <x v="13"/>
    <n v="101.212121212121"/>
    <n v="36942.424242424298"/>
    <n v="132992.727272727"/>
  </r>
  <r>
    <x v="0"/>
    <x v="0"/>
    <x v="0"/>
    <x v="3"/>
    <x v="7"/>
    <s v="DE4-W_A"/>
    <x v="0"/>
    <x v="157"/>
    <x v="0"/>
    <x v="14"/>
    <n v="101.212121212121"/>
    <n v="36942.424242424298"/>
    <n v="132992.727272727"/>
  </r>
  <r>
    <x v="0"/>
    <x v="0"/>
    <x v="0"/>
    <x v="3"/>
    <x v="7"/>
    <s v="DE4-W_A"/>
    <x v="0"/>
    <x v="157"/>
    <x v="0"/>
    <x v="15"/>
    <n v="101.212121212121"/>
    <n v="36942.424242424298"/>
    <n v="132992.727272727"/>
  </r>
  <r>
    <x v="0"/>
    <x v="0"/>
    <x v="0"/>
    <x v="3"/>
    <x v="7"/>
    <s v="DE4-W_A"/>
    <x v="0"/>
    <x v="157"/>
    <x v="0"/>
    <x v="16"/>
    <n v="101.212121212121"/>
    <n v="36942.424242424298"/>
    <n v="132992.727272727"/>
  </r>
  <r>
    <x v="0"/>
    <x v="0"/>
    <x v="0"/>
    <x v="3"/>
    <x v="7"/>
    <s v="DE4-W_A"/>
    <x v="0"/>
    <x v="157"/>
    <x v="0"/>
    <x v="17"/>
    <n v="101.212121212121"/>
    <n v="36942.424242424298"/>
    <n v="132992.727272727"/>
  </r>
  <r>
    <x v="0"/>
    <x v="0"/>
    <x v="0"/>
    <x v="3"/>
    <x v="7"/>
    <s v="DE4-W_A"/>
    <x v="0"/>
    <x v="157"/>
    <x v="0"/>
    <x v="18"/>
    <n v="101.212121212121"/>
    <n v="36942.424242424298"/>
    <n v="132992.727272727"/>
  </r>
  <r>
    <x v="0"/>
    <x v="0"/>
    <x v="0"/>
    <x v="3"/>
    <x v="7"/>
    <s v="DE4-W_A"/>
    <x v="0"/>
    <x v="157"/>
    <x v="0"/>
    <x v="19"/>
    <n v="101.212121212121"/>
    <n v="36942.424242424298"/>
    <n v="132992.727272727"/>
  </r>
  <r>
    <x v="0"/>
    <x v="0"/>
    <x v="0"/>
    <x v="3"/>
    <x v="7"/>
    <s v="DE4-W_A"/>
    <x v="0"/>
    <x v="157"/>
    <x v="0"/>
    <x v="20"/>
    <n v="101.212121212121"/>
    <n v="36942.424242424298"/>
    <n v="132992.727272727"/>
  </r>
  <r>
    <x v="0"/>
    <x v="0"/>
    <x v="0"/>
    <x v="3"/>
    <x v="7"/>
    <s v="DE4-W_A"/>
    <x v="0"/>
    <x v="157"/>
    <x v="0"/>
    <x v="21"/>
    <n v="101.212121212121"/>
    <n v="36942.424242424298"/>
    <n v="132992.727272727"/>
  </r>
  <r>
    <x v="0"/>
    <x v="0"/>
    <x v="0"/>
    <x v="3"/>
    <x v="7"/>
    <s v="DE4-W_A"/>
    <x v="0"/>
    <x v="157"/>
    <x v="0"/>
    <x v="22"/>
    <n v="101.212121212121"/>
    <n v="36942.424242424298"/>
    <n v="132992.727272727"/>
  </r>
  <r>
    <x v="0"/>
    <x v="0"/>
    <x v="0"/>
    <x v="3"/>
    <x v="7"/>
    <s v="DE4-W_A"/>
    <x v="0"/>
    <x v="157"/>
    <x v="0"/>
    <x v="23"/>
    <n v="101.212121212121"/>
    <n v="36942.424242424298"/>
    <n v="132992.727272727"/>
  </r>
  <r>
    <x v="0"/>
    <x v="0"/>
    <x v="0"/>
    <x v="3"/>
    <x v="7"/>
    <s v="DE4-W_A"/>
    <x v="0"/>
    <x v="144"/>
    <x v="0"/>
    <x v="0"/>
    <n v="353.42105263157902"/>
    <n v="128998.684210526"/>
    <n v="464395.26315789501"/>
  </r>
  <r>
    <x v="0"/>
    <x v="0"/>
    <x v="0"/>
    <x v="3"/>
    <x v="7"/>
    <s v="DE4-W_A"/>
    <x v="0"/>
    <x v="144"/>
    <x v="0"/>
    <x v="1"/>
    <n v="353.42105263157902"/>
    <n v="128998.684210526"/>
    <n v="464395.26315789501"/>
  </r>
  <r>
    <x v="0"/>
    <x v="0"/>
    <x v="0"/>
    <x v="3"/>
    <x v="7"/>
    <s v="DE4-W_A"/>
    <x v="0"/>
    <x v="144"/>
    <x v="0"/>
    <x v="2"/>
    <n v="353.42105263157902"/>
    <n v="128998.684210526"/>
    <n v="464395.26315789501"/>
  </r>
  <r>
    <x v="0"/>
    <x v="0"/>
    <x v="0"/>
    <x v="3"/>
    <x v="7"/>
    <s v="DE4-W_A"/>
    <x v="0"/>
    <x v="144"/>
    <x v="0"/>
    <x v="3"/>
    <n v="353.42105263157902"/>
    <n v="128998.684210526"/>
    <n v="464395.26315789501"/>
  </r>
  <r>
    <x v="0"/>
    <x v="0"/>
    <x v="0"/>
    <x v="3"/>
    <x v="7"/>
    <s v="DE4-W_A"/>
    <x v="0"/>
    <x v="144"/>
    <x v="0"/>
    <x v="4"/>
    <n v="353.42105263157902"/>
    <n v="128998.684210526"/>
    <n v="464395.26315789501"/>
  </r>
  <r>
    <x v="0"/>
    <x v="0"/>
    <x v="0"/>
    <x v="3"/>
    <x v="7"/>
    <s v="DE4-W_A"/>
    <x v="0"/>
    <x v="144"/>
    <x v="0"/>
    <x v="5"/>
    <n v="353.42105263157902"/>
    <n v="128998.684210526"/>
    <n v="464395.26315789501"/>
  </r>
  <r>
    <x v="0"/>
    <x v="0"/>
    <x v="0"/>
    <x v="3"/>
    <x v="7"/>
    <s v="DE4-W_A"/>
    <x v="0"/>
    <x v="144"/>
    <x v="0"/>
    <x v="6"/>
    <n v="353.42105263157902"/>
    <n v="128998.684210526"/>
    <n v="464395.26315789501"/>
  </r>
  <r>
    <x v="0"/>
    <x v="0"/>
    <x v="0"/>
    <x v="3"/>
    <x v="7"/>
    <s v="DE4-W_A"/>
    <x v="0"/>
    <x v="144"/>
    <x v="0"/>
    <x v="7"/>
    <n v="353.42105263157902"/>
    <n v="128998.684210526"/>
    <n v="464395.26315789501"/>
  </r>
  <r>
    <x v="0"/>
    <x v="0"/>
    <x v="0"/>
    <x v="3"/>
    <x v="7"/>
    <s v="DE4-W_A"/>
    <x v="0"/>
    <x v="144"/>
    <x v="0"/>
    <x v="8"/>
    <n v="353.42105263157902"/>
    <n v="128998.684210526"/>
    <n v="464395.26315789501"/>
  </r>
  <r>
    <x v="0"/>
    <x v="0"/>
    <x v="0"/>
    <x v="3"/>
    <x v="7"/>
    <s v="DE4-W_A"/>
    <x v="0"/>
    <x v="144"/>
    <x v="0"/>
    <x v="9"/>
    <n v="353.42105263157902"/>
    <n v="128998.684210526"/>
    <n v="464395.26315789501"/>
  </r>
  <r>
    <x v="0"/>
    <x v="0"/>
    <x v="0"/>
    <x v="3"/>
    <x v="7"/>
    <s v="DE4-W_A"/>
    <x v="0"/>
    <x v="144"/>
    <x v="0"/>
    <x v="10"/>
    <n v="353.42105263157902"/>
    <n v="128998.684210526"/>
    <n v="464395.26315789501"/>
  </r>
  <r>
    <x v="0"/>
    <x v="0"/>
    <x v="0"/>
    <x v="3"/>
    <x v="7"/>
    <s v="DE4-W_A"/>
    <x v="0"/>
    <x v="144"/>
    <x v="0"/>
    <x v="11"/>
    <n v="353.42105263157902"/>
    <n v="128998.684210526"/>
    <n v="464395.26315789501"/>
  </r>
  <r>
    <x v="0"/>
    <x v="0"/>
    <x v="0"/>
    <x v="3"/>
    <x v="7"/>
    <s v="DE4-W_A"/>
    <x v="0"/>
    <x v="144"/>
    <x v="0"/>
    <x v="12"/>
    <n v="353.42105263157902"/>
    <n v="128998.684210526"/>
    <n v="464395.26315789501"/>
  </r>
  <r>
    <x v="0"/>
    <x v="0"/>
    <x v="0"/>
    <x v="3"/>
    <x v="7"/>
    <s v="DE4-W_A"/>
    <x v="0"/>
    <x v="144"/>
    <x v="0"/>
    <x v="13"/>
    <n v="353.42105263157902"/>
    <n v="128998.684210526"/>
    <n v="464395.26315789501"/>
  </r>
  <r>
    <x v="0"/>
    <x v="0"/>
    <x v="0"/>
    <x v="3"/>
    <x v="7"/>
    <s v="DE4-W_A"/>
    <x v="0"/>
    <x v="144"/>
    <x v="0"/>
    <x v="14"/>
    <n v="353.42105263157902"/>
    <n v="128998.684210526"/>
    <n v="464395.26315789501"/>
  </r>
  <r>
    <x v="0"/>
    <x v="0"/>
    <x v="0"/>
    <x v="3"/>
    <x v="7"/>
    <s v="DE4-W_A"/>
    <x v="0"/>
    <x v="144"/>
    <x v="0"/>
    <x v="15"/>
    <n v="353.42105263157902"/>
    <n v="128998.684210526"/>
    <n v="464395.26315789501"/>
  </r>
  <r>
    <x v="0"/>
    <x v="0"/>
    <x v="0"/>
    <x v="3"/>
    <x v="7"/>
    <s v="DE4-W_A"/>
    <x v="0"/>
    <x v="144"/>
    <x v="0"/>
    <x v="16"/>
    <n v="353.42105263157902"/>
    <n v="128998.684210526"/>
    <n v="464395.26315789501"/>
  </r>
  <r>
    <x v="0"/>
    <x v="0"/>
    <x v="0"/>
    <x v="3"/>
    <x v="7"/>
    <s v="DE4-W_A"/>
    <x v="0"/>
    <x v="144"/>
    <x v="0"/>
    <x v="17"/>
    <n v="353.42105263157902"/>
    <n v="128998.684210526"/>
    <n v="464395.26315789501"/>
  </r>
  <r>
    <x v="0"/>
    <x v="0"/>
    <x v="0"/>
    <x v="3"/>
    <x v="7"/>
    <s v="DE4-W_A"/>
    <x v="0"/>
    <x v="144"/>
    <x v="0"/>
    <x v="18"/>
    <n v="353.42105263157902"/>
    <n v="128998.684210526"/>
    <n v="464395.26315789501"/>
  </r>
  <r>
    <x v="0"/>
    <x v="0"/>
    <x v="0"/>
    <x v="3"/>
    <x v="7"/>
    <s v="DE4-W_A"/>
    <x v="0"/>
    <x v="144"/>
    <x v="0"/>
    <x v="19"/>
    <n v="353.42105263157902"/>
    <n v="128998.684210526"/>
    <n v="464395.26315789501"/>
  </r>
  <r>
    <x v="0"/>
    <x v="0"/>
    <x v="0"/>
    <x v="3"/>
    <x v="7"/>
    <s v="DE4-W_A"/>
    <x v="0"/>
    <x v="144"/>
    <x v="0"/>
    <x v="20"/>
    <n v="353.42105263157902"/>
    <n v="128998.684210526"/>
    <n v="464395.26315789501"/>
  </r>
  <r>
    <x v="0"/>
    <x v="0"/>
    <x v="0"/>
    <x v="3"/>
    <x v="7"/>
    <s v="DE4-W_A"/>
    <x v="0"/>
    <x v="144"/>
    <x v="0"/>
    <x v="21"/>
    <n v="353.42105263157902"/>
    <n v="128998.684210526"/>
    <n v="464395.26315789501"/>
  </r>
  <r>
    <x v="0"/>
    <x v="0"/>
    <x v="0"/>
    <x v="3"/>
    <x v="7"/>
    <s v="DE4-W_A"/>
    <x v="0"/>
    <x v="144"/>
    <x v="0"/>
    <x v="22"/>
    <n v="353.42105263157902"/>
    <n v="128998.684210526"/>
    <n v="464395.26315789501"/>
  </r>
  <r>
    <x v="0"/>
    <x v="0"/>
    <x v="0"/>
    <x v="3"/>
    <x v="7"/>
    <s v="DE4-W_A"/>
    <x v="0"/>
    <x v="144"/>
    <x v="0"/>
    <x v="23"/>
    <n v="353.42105263157902"/>
    <n v="128998.684210526"/>
    <n v="464395.26315789501"/>
  </r>
  <r>
    <x v="0"/>
    <x v="0"/>
    <x v="0"/>
    <x v="3"/>
    <x v="7"/>
    <s v="DE4-W_A"/>
    <x v="0"/>
    <x v="145"/>
    <x v="0"/>
    <x v="0"/>
    <n v="248.68421052631601"/>
    <n v="90769.736842105296"/>
    <n v="326771.05263157899"/>
  </r>
  <r>
    <x v="0"/>
    <x v="0"/>
    <x v="0"/>
    <x v="3"/>
    <x v="7"/>
    <s v="DE4-W_A"/>
    <x v="0"/>
    <x v="145"/>
    <x v="0"/>
    <x v="1"/>
    <n v="248.68421052631601"/>
    <n v="90769.736842105296"/>
    <n v="326771.05263157899"/>
  </r>
  <r>
    <x v="0"/>
    <x v="0"/>
    <x v="0"/>
    <x v="3"/>
    <x v="7"/>
    <s v="DE4-W_A"/>
    <x v="0"/>
    <x v="145"/>
    <x v="0"/>
    <x v="2"/>
    <n v="248.68421052631601"/>
    <n v="90769.736842105296"/>
    <n v="326771.05263157899"/>
  </r>
  <r>
    <x v="0"/>
    <x v="0"/>
    <x v="0"/>
    <x v="3"/>
    <x v="7"/>
    <s v="DE4-W_A"/>
    <x v="0"/>
    <x v="145"/>
    <x v="0"/>
    <x v="3"/>
    <n v="248.68421052631601"/>
    <n v="90769.736842105296"/>
    <n v="326771.05263157899"/>
  </r>
  <r>
    <x v="0"/>
    <x v="0"/>
    <x v="0"/>
    <x v="3"/>
    <x v="7"/>
    <s v="DE4-W_A"/>
    <x v="0"/>
    <x v="145"/>
    <x v="0"/>
    <x v="4"/>
    <n v="248.68421052631601"/>
    <n v="90769.736842105296"/>
    <n v="326771.05263157899"/>
  </r>
  <r>
    <x v="0"/>
    <x v="0"/>
    <x v="0"/>
    <x v="3"/>
    <x v="7"/>
    <s v="DE4-W_A"/>
    <x v="0"/>
    <x v="145"/>
    <x v="0"/>
    <x v="5"/>
    <n v="248.68421052631601"/>
    <n v="90769.736842105296"/>
    <n v="326771.05263157899"/>
  </r>
  <r>
    <x v="0"/>
    <x v="0"/>
    <x v="0"/>
    <x v="3"/>
    <x v="7"/>
    <s v="DE4-W_A"/>
    <x v="0"/>
    <x v="145"/>
    <x v="0"/>
    <x v="6"/>
    <n v="248.68421052631601"/>
    <n v="90769.736842105296"/>
    <n v="326771.05263157899"/>
  </r>
  <r>
    <x v="0"/>
    <x v="0"/>
    <x v="0"/>
    <x v="3"/>
    <x v="7"/>
    <s v="DE4-W_A"/>
    <x v="0"/>
    <x v="145"/>
    <x v="0"/>
    <x v="7"/>
    <n v="248.68421052631601"/>
    <n v="90769.736842105296"/>
    <n v="326771.05263157899"/>
  </r>
  <r>
    <x v="0"/>
    <x v="0"/>
    <x v="0"/>
    <x v="3"/>
    <x v="7"/>
    <s v="DE4-W_A"/>
    <x v="0"/>
    <x v="145"/>
    <x v="0"/>
    <x v="8"/>
    <n v="248.68421052631601"/>
    <n v="90769.736842105296"/>
    <n v="326771.05263157899"/>
  </r>
  <r>
    <x v="0"/>
    <x v="0"/>
    <x v="0"/>
    <x v="3"/>
    <x v="7"/>
    <s v="DE4-W_A"/>
    <x v="0"/>
    <x v="145"/>
    <x v="0"/>
    <x v="9"/>
    <n v="248.68421052631601"/>
    <n v="90769.736842105296"/>
    <n v="326771.05263157899"/>
  </r>
  <r>
    <x v="0"/>
    <x v="0"/>
    <x v="0"/>
    <x v="3"/>
    <x v="7"/>
    <s v="DE4-W_A"/>
    <x v="0"/>
    <x v="145"/>
    <x v="0"/>
    <x v="10"/>
    <n v="248.68421052631601"/>
    <n v="90769.736842105296"/>
    <n v="326771.05263157899"/>
  </r>
  <r>
    <x v="0"/>
    <x v="0"/>
    <x v="0"/>
    <x v="3"/>
    <x v="7"/>
    <s v="DE4-W_A"/>
    <x v="0"/>
    <x v="145"/>
    <x v="0"/>
    <x v="11"/>
    <n v="248.68421052631601"/>
    <n v="90769.736842105296"/>
    <n v="326771.05263157899"/>
  </r>
  <r>
    <x v="0"/>
    <x v="0"/>
    <x v="0"/>
    <x v="3"/>
    <x v="7"/>
    <s v="DE4-W_A"/>
    <x v="0"/>
    <x v="145"/>
    <x v="0"/>
    <x v="12"/>
    <n v="248.68421052631601"/>
    <n v="90769.736842105296"/>
    <n v="326771.05263157899"/>
  </r>
  <r>
    <x v="0"/>
    <x v="0"/>
    <x v="0"/>
    <x v="3"/>
    <x v="7"/>
    <s v="DE4-W_A"/>
    <x v="0"/>
    <x v="145"/>
    <x v="0"/>
    <x v="13"/>
    <n v="248.68421052631601"/>
    <n v="90769.736842105296"/>
    <n v="326771.05263157899"/>
  </r>
  <r>
    <x v="0"/>
    <x v="0"/>
    <x v="0"/>
    <x v="3"/>
    <x v="7"/>
    <s v="DE4-W_A"/>
    <x v="0"/>
    <x v="145"/>
    <x v="0"/>
    <x v="14"/>
    <n v="248.68421052631601"/>
    <n v="90769.736842105296"/>
    <n v="326771.05263157899"/>
  </r>
  <r>
    <x v="0"/>
    <x v="0"/>
    <x v="0"/>
    <x v="3"/>
    <x v="7"/>
    <s v="DE4-W_A"/>
    <x v="0"/>
    <x v="145"/>
    <x v="0"/>
    <x v="15"/>
    <n v="248.68421052631601"/>
    <n v="90769.736842105296"/>
    <n v="326771.05263157899"/>
  </r>
  <r>
    <x v="0"/>
    <x v="0"/>
    <x v="0"/>
    <x v="3"/>
    <x v="7"/>
    <s v="DE4-W_A"/>
    <x v="0"/>
    <x v="145"/>
    <x v="0"/>
    <x v="16"/>
    <n v="248.68421052631601"/>
    <n v="90769.736842105296"/>
    <n v="326771.05263157899"/>
  </r>
  <r>
    <x v="0"/>
    <x v="0"/>
    <x v="0"/>
    <x v="3"/>
    <x v="7"/>
    <s v="DE4-W_A"/>
    <x v="0"/>
    <x v="145"/>
    <x v="0"/>
    <x v="17"/>
    <n v="248.68421052631601"/>
    <n v="90769.736842105296"/>
    <n v="326771.05263157899"/>
  </r>
  <r>
    <x v="0"/>
    <x v="0"/>
    <x v="0"/>
    <x v="3"/>
    <x v="7"/>
    <s v="DE4-W_A"/>
    <x v="0"/>
    <x v="145"/>
    <x v="0"/>
    <x v="18"/>
    <n v="248.68421052631601"/>
    <n v="90769.736842105296"/>
    <n v="326771.05263157899"/>
  </r>
  <r>
    <x v="0"/>
    <x v="0"/>
    <x v="0"/>
    <x v="3"/>
    <x v="7"/>
    <s v="DE4-W_A"/>
    <x v="0"/>
    <x v="145"/>
    <x v="0"/>
    <x v="19"/>
    <n v="248.68421052631601"/>
    <n v="90769.736842105296"/>
    <n v="326771.05263157899"/>
  </r>
  <r>
    <x v="0"/>
    <x v="0"/>
    <x v="0"/>
    <x v="3"/>
    <x v="7"/>
    <s v="DE4-W_A"/>
    <x v="0"/>
    <x v="145"/>
    <x v="0"/>
    <x v="20"/>
    <n v="248.68421052631601"/>
    <n v="90769.736842105296"/>
    <n v="326771.05263157899"/>
  </r>
  <r>
    <x v="0"/>
    <x v="0"/>
    <x v="0"/>
    <x v="3"/>
    <x v="7"/>
    <s v="DE4-W_A"/>
    <x v="0"/>
    <x v="145"/>
    <x v="0"/>
    <x v="21"/>
    <n v="248.68421052631601"/>
    <n v="90769.736842105296"/>
    <n v="326771.05263157899"/>
  </r>
  <r>
    <x v="0"/>
    <x v="0"/>
    <x v="0"/>
    <x v="3"/>
    <x v="7"/>
    <s v="DE4-W_A"/>
    <x v="0"/>
    <x v="145"/>
    <x v="0"/>
    <x v="22"/>
    <n v="248.68421052631601"/>
    <n v="90769.736842105296"/>
    <n v="326771.05263157899"/>
  </r>
  <r>
    <x v="0"/>
    <x v="0"/>
    <x v="0"/>
    <x v="3"/>
    <x v="7"/>
    <s v="DE4-W_A"/>
    <x v="0"/>
    <x v="145"/>
    <x v="0"/>
    <x v="23"/>
    <n v="248.68421052631601"/>
    <n v="90769.736842105296"/>
    <n v="326771.05263157899"/>
  </r>
  <r>
    <x v="0"/>
    <x v="0"/>
    <x v="0"/>
    <x v="3"/>
    <x v="7"/>
    <s v="DE4-W_A"/>
    <x v="17"/>
    <x v="158"/>
    <x v="0"/>
    <x v="0"/>
    <n v="1146"/>
    <n v="418290"/>
    <n v="1505844"/>
  </r>
  <r>
    <x v="0"/>
    <x v="0"/>
    <x v="0"/>
    <x v="3"/>
    <x v="7"/>
    <s v="DE4-W_A"/>
    <x v="17"/>
    <x v="158"/>
    <x v="0"/>
    <x v="6"/>
    <n v="1146"/>
    <n v="418290"/>
    <n v="1505844"/>
  </r>
  <r>
    <x v="0"/>
    <x v="0"/>
    <x v="0"/>
    <x v="3"/>
    <x v="7"/>
    <s v="DE4-W_A"/>
    <x v="17"/>
    <x v="158"/>
    <x v="0"/>
    <x v="8"/>
    <n v="1146"/>
    <n v="418290"/>
    <n v="1505844"/>
  </r>
  <r>
    <x v="0"/>
    <x v="0"/>
    <x v="0"/>
    <x v="3"/>
    <x v="7"/>
    <s v="DE4-W_A"/>
    <x v="17"/>
    <x v="158"/>
    <x v="0"/>
    <x v="12"/>
    <n v="1146"/>
    <n v="418290"/>
    <n v="1505844"/>
  </r>
  <r>
    <x v="0"/>
    <x v="0"/>
    <x v="0"/>
    <x v="3"/>
    <x v="7"/>
    <s v="DE4-W_A"/>
    <x v="17"/>
    <x v="158"/>
    <x v="0"/>
    <x v="13"/>
    <n v="160.12602739726"/>
    <n v="58445.999999999898"/>
    <n v="210405.6"/>
  </r>
  <r>
    <x v="0"/>
    <x v="0"/>
    <x v="0"/>
    <x v="3"/>
    <x v="7"/>
    <s v="DE4-W_A"/>
    <x v="17"/>
    <x v="158"/>
    <x v="0"/>
    <x v="17"/>
    <n v="1146"/>
    <n v="418290"/>
    <n v="1505844"/>
  </r>
  <r>
    <x v="0"/>
    <x v="0"/>
    <x v="0"/>
    <x v="3"/>
    <x v="7"/>
    <s v="DE4-W_A"/>
    <x v="17"/>
    <x v="158"/>
    <x v="0"/>
    <x v="22"/>
    <n v="1146"/>
    <n v="418290"/>
    <n v="1505844"/>
  </r>
  <r>
    <x v="0"/>
    <x v="0"/>
    <x v="0"/>
    <x v="3"/>
    <x v="7"/>
    <s v="DE4-W_A"/>
    <x v="2"/>
    <x v="152"/>
    <x v="0"/>
    <x v="0"/>
    <n v="5.45"/>
    <n v="1989.25"/>
    <n v="7161.3"/>
  </r>
  <r>
    <x v="0"/>
    <x v="0"/>
    <x v="0"/>
    <x v="3"/>
    <x v="7"/>
    <s v="DE4-W_A"/>
    <x v="2"/>
    <x v="152"/>
    <x v="0"/>
    <x v="1"/>
    <n v="5.45"/>
    <n v="1989.25"/>
    <n v="7161.3"/>
  </r>
  <r>
    <x v="0"/>
    <x v="0"/>
    <x v="0"/>
    <x v="3"/>
    <x v="7"/>
    <s v="DE4-W_A"/>
    <x v="2"/>
    <x v="152"/>
    <x v="0"/>
    <x v="2"/>
    <n v="5.45"/>
    <n v="1989.25"/>
    <n v="7161.3"/>
  </r>
  <r>
    <x v="0"/>
    <x v="0"/>
    <x v="0"/>
    <x v="3"/>
    <x v="7"/>
    <s v="DE4-W_A"/>
    <x v="2"/>
    <x v="152"/>
    <x v="0"/>
    <x v="3"/>
    <n v="5.45"/>
    <n v="1989.25"/>
    <n v="7161.3"/>
  </r>
  <r>
    <x v="0"/>
    <x v="0"/>
    <x v="0"/>
    <x v="3"/>
    <x v="7"/>
    <s v="DE4-W_A"/>
    <x v="2"/>
    <x v="152"/>
    <x v="0"/>
    <x v="4"/>
    <n v="5.45"/>
    <n v="1989.25"/>
    <n v="7161.3"/>
  </r>
  <r>
    <x v="0"/>
    <x v="0"/>
    <x v="0"/>
    <x v="3"/>
    <x v="7"/>
    <s v="DE4-W_A"/>
    <x v="2"/>
    <x v="152"/>
    <x v="0"/>
    <x v="5"/>
    <n v="5.45"/>
    <n v="1989.25"/>
    <n v="7161.3"/>
  </r>
  <r>
    <x v="0"/>
    <x v="0"/>
    <x v="0"/>
    <x v="3"/>
    <x v="7"/>
    <s v="DE4-W_A"/>
    <x v="2"/>
    <x v="152"/>
    <x v="0"/>
    <x v="6"/>
    <n v="5.45"/>
    <n v="1989.25"/>
    <n v="7161.3"/>
  </r>
  <r>
    <x v="0"/>
    <x v="0"/>
    <x v="0"/>
    <x v="3"/>
    <x v="7"/>
    <s v="DE4-W_A"/>
    <x v="2"/>
    <x v="152"/>
    <x v="0"/>
    <x v="7"/>
    <n v="5.45"/>
    <n v="1989.25"/>
    <n v="7161.3"/>
  </r>
  <r>
    <x v="0"/>
    <x v="0"/>
    <x v="0"/>
    <x v="3"/>
    <x v="7"/>
    <s v="DE4-W_A"/>
    <x v="2"/>
    <x v="152"/>
    <x v="0"/>
    <x v="8"/>
    <n v="5.45"/>
    <n v="1989.25"/>
    <n v="7161.3"/>
  </r>
  <r>
    <x v="0"/>
    <x v="0"/>
    <x v="0"/>
    <x v="3"/>
    <x v="7"/>
    <s v="DE4-W_A"/>
    <x v="2"/>
    <x v="152"/>
    <x v="0"/>
    <x v="9"/>
    <n v="5.45"/>
    <n v="1989.25"/>
    <n v="7161.3"/>
  </r>
  <r>
    <x v="0"/>
    <x v="0"/>
    <x v="0"/>
    <x v="3"/>
    <x v="7"/>
    <s v="DE4-W_A"/>
    <x v="2"/>
    <x v="152"/>
    <x v="0"/>
    <x v="10"/>
    <n v="5.45"/>
    <n v="1989.25"/>
    <n v="7161.3"/>
  </r>
  <r>
    <x v="0"/>
    <x v="0"/>
    <x v="0"/>
    <x v="3"/>
    <x v="7"/>
    <s v="DE4-W_A"/>
    <x v="2"/>
    <x v="152"/>
    <x v="0"/>
    <x v="11"/>
    <n v="5.45"/>
    <n v="1989.25"/>
    <n v="7161.3"/>
  </r>
  <r>
    <x v="0"/>
    <x v="0"/>
    <x v="0"/>
    <x v="3"/>
    <x v="7"/>
    <s v="DE4-W_A"/>
    <x v="2"/>
    <x v="152"/>
    <x v="0"/>
    <x v="12"/>
    <n v="5.45"/>
    <n v="1989.25"/>
    <n v="7161.3"/>
  </r>
  <r>
    <x v="0"/>
    <x v="0"/>
    <x v="0"/>
    <x v="3"/>
    <x v="7"/>
    <s v="DE4-W_A"/>
    <x v="2"/>
    <x v="152"/>
    <x v="0"/>
    <x v="13"/>
    <n v="5.45"/>
    <n v="1989.25"/>
    <n v="7161.3"/>
  </r>
  <r>
    <x v="0"/>
    <x v="0"/>
    <x v="0"/>
    <x v="3"/>
    <x v="7"/>
    <s v="DE4-W_A"/>
    <x v="2"/>
    <x v="152"/>
    <x v="0"/>
    <x v="14"/>
    <n v="5.45"/>
    <n v="1989.25"/>
    <n v="7161.3"/>
  </r>
  <r>
    <x v="0"/>
    <x v="0"/>
    <x v="0"/>
    <x v="3"/>
    <x v="7"/>
    <s v="DE4-W_A"/>
    <x v="2"/>
    <x v="152"/>
    <x v="0"/>
    <x v="15"/>
    <n v="5.45"/>
    <n v="1989.25"/>
    <n v="7161.3"/>
  </r>
  <r>
    <x v="0"/>
    <x v="0"/>
    <x v="0"/>
    <x v="3"/>
    <x v="7"/>
    <s v="DE4-W_A"/>
    <x v="2"/>
    <x v="152"/>
    <x v="0"/>
    <x v="16"/>
    <n v="5.45"/>
    <n v="1989.25"/>
    <n v="7161.3"/>
  </r>
  <r>
    <x v="0"/>
    <x v="0"/>
    <x v="0"/>
    <x v="3"/>
    <x v="7"/>
    <s v="DE4-W_A"/>
    <x v="2"/>
    <x v="152"/>
    <x v="0"/>
    <x v="17"/>
    <n v="5.45"/>
    <n v="1989.25"/>
    <n v="7161.3"/>
  </r>
  <r>
    <x v="0"/>
    <x v="0"/>
    <x v="0"/>
    <x v="3"/>
    <x v="7"/>
    <s v="DE4-W_A"/>
    <x v="2"/>
    <x v="152"/>
    <x v="0"/>
    <x v="18"/>
    <n v="5.45"/>
    <n v="1989.25"/>
    <n v="7161.3"/>
  </r>
  <r>
    <x v="0"/>
    <x v="0"/>
    <x v="0"/>
    <x v="3"/>
    <x v="7"/>
    <s v="DE4-W_A"/>
    <x v="2"/>
    <x v="152"/>
    <x v="0"/>
    <x v="19"/>
    <n v="5.45"/>
    <n v="1989.25"/>
    <n v="7161.3"/>
  </r>
  <r>
    <x v="0"/>
    <x v="0"/>
    <x v="0"/>
    <x v="3"/>
    <x v="7"/>
    <s v="DE4-W_A"/>
    <x v="2"/>
    <x v="152"/>
    <x v="0"/>
    <x v="20"/>
    <n v="5.45"/>
    <n v="1989.25"/>
    <n v="7161.3"/>
  </r>
  <r>
    <x v="0"/>
    <x v="0"/>
    <x v="0"/>
    <x v="3"/>
    <x v="7"/>
    <s v="DE4-W_A"/>
    <x v="2"/>
    <x v="152"/>
    <x v="0"/>
    <x v="21"/>
    <n v="5.45"/>
    <n v="1989.25"/>
    <n v="7161.3"/>
  </r>
  <r>
    <x v="0"/>
    <x v="0"/>
    <x v="0"/>
    <x v="3"/>
    <x v="7"/>
    <s v="DE4-W_A"/>
    <x v="2"/>
    <x v="152"/>
    <x v="0"/>
    <x v="22"/>
    <n v="5.45"/>
    <n v="1989.25"/>
    <n v="7161.3"/>
  </r>
  <r>
    <x v="0"/>
    <x v="0"/>
    <x v="0"/>
    <x v="3"/>
    <x v="7"/>
    <s v="DE4-W_A"/>
    <x v="2"/>
    <x v="152"/>
    <x v="0"/>
    <x v="23"/>
    <n v="5.45"/>
    <n v="1989.25"/>
    <n v="7161.3"/>
  </r>
  <r>
    <x v="0"/>
    <x v="0"/>
    <x v="0"/>
    <x v="3"/>
    <x v="7"/>
    <s v="DE4-W_A"/>
    <x v="2"/>
    <x v="147"/>
    <x v="0"/>
    <x v="0"/>
    <n v="1754.84848484849"/>
    <n v="640519.696969699"/>
    <n v="2305870.9090909199"/>
  </r>
  <r>
    <x v="0"/>
    <x v="0"/>
    <x v="0"/>
    <x v="3"/>
    <x v="7"/>
    <s v="DE4-W_A"/>
    <x v="2"/>
    <x v="147"/>
    <x v="0"/>
    <x v="1"/>
    <n v="1754.84848484849"/>
    <n v="640519.696969699"/>
    <n v="2305870.9090909199"/>
  </r>
  <r>
    <x v="0"/>
    <x v="0"/>
    <x v="0"/>
    <x v="3"/>
    <x v="7"/>
    <s v="DE4-W_A"/>
    <x v="2"/>
    <x v="147"/>
    <x v="0"/>
    <x v="2"/>
    <n v="1754.84848484849"/>
    <n v="640519.696969699"/>
    <n v="2305870.9090909199"/>
  </r>
  <r>
    <x v="0"/>
    <x v="0"/>
    <x v="0"/>
    <x v="3"/>
    <x v="7"/>
    <s v="DE4-W_A"/>
    <x v="2"/>
    <x v="147"/>
    <x v="0"/>
    <x v="3"/>
    <n v="1754.84848484849"/>
    <n v="640519.696969699"/>
    <n v="2305870.9090909199"/>
  </r>
  <r>
    <x v="0"/>
    <x v="0"/>
    <x v="0"/>
    <x v="3"/>
    <x v="7"/>
    <s v="DE4-W_A"/>
    <x v="2"/>
    <x v="147"/>
    <x v="0"/>
    <x v="4"/>
    <n v="1754.84848484849"/>
    <n v="640519.696969699"/>
    <n v="2305870.9090909199"/>
  </r>
  <r>
    <x v="0"/>
    <x v="0"/>
    <x v="0"/>
    <x v="3"/>
    <x v="7"/>
    <s v="DE4-W_A"/>
    <x v="2"/>
    <x v="147"/>
    <x v="0"/>
    <x v="5"/>
    <n v="1754.84848484849"/>
    <n v="640519.696969699"/>
    <n v="2305870.9090909199"/>
  </r>
  <r>
    <x v="0"/>
    <x v="0"/>
    <x v="0"/>
    <x v="3"/>
    <x v="7"/>
    <s v="DE4-W_A"/>
    <x v="2"/>
    <x v="147"/>
    <x v="0"/>
    <x v="6"/>
    <n v="1754.84848484849"/>
    <n v="640519.696969699"/>
    <n v="2305870.9090909199"/>
  </r>
  <r>
    <x v="0"/>
    <x v="0"/>
    <x v="0"/>
    <x v="3"/>
    <x v="7"/>
    <s v="DE4-W_A"/>
    <x v="2"/>
    <x v="147"/>
    <x v="0"/>
    <x v="7"/>
    <n v="1754.84848484849"/>
    <n v="640519.696969699"/>
    <n v="2305870.9090909199"/>
  </r>
  <r>
    <x v="0"/>
    <x v="0"/>
    <x v="0"/>
    <x v="3"/>
    <x v="7"/>
    <s v="DE4-W_A"/>
    <x v="2"/>
    <x v="147"/>
    <x v="0"/>
    <x v="8"/>
    <n v="1754.84848484849"/>
    <n v="640519.696969699"/>
    <n v="2305870.9090909199"/>
  </r>
  <r>
    <x v="0"/>
    <x v="0"/>
    <x v="0"/>
    <x v="3"/>
    <x v="7"/>
    <s v="DE4-W_A"/>
    <x v="2"/>
    <x v="147"/>
    <x v="0"/>
    <x v="9"/>
    <n v="1754.84848484849"/>
    <n v="640519.696969699"/>
    <n v="2305870.9090909199"/>
  </r>
  <r>
    <x v="0"/>
    <x v="0"/>
    <x v="0"/>
    <x v="3"/>
    <x v="7"/>
    <s v="DE4-W_A"/>
    <x v="2"/>
    <x v="147"/>
    <x v="0"/>
    <x v="10"/>
    <n v="1754.84848484849"/>
    <n v="640519.696969699"/>
    <n v="2305870.9090909199"/>
  </r>
  <r>
    <x v="0"/>
    <x v="0"/>
    <x v="0"/>
    <x v="3"/>
    <x v="7"/>
    <s v="DE4-W_A"/>
    <x v="2"/>
    <x v="147"/>
    <x v="0"/>
    <x v="11"/>
    <n v="1754.84848484849"/>
    <n v="640519.696969699"/>
    <n v="2305870.9090909199"/>
  </r>
  <r>
    <x v="0"/>
    <x v="0"/>
    <x v="0"/>
    <x v="3"/>
    <x v="7"/>
    <s v="DE4-W_A"/>
    <x v="2"/>
    <x v="147"/>
    <x v="0"/>
    <x v="12"/>
    <n v="1754.84848484849"/>
    <n v="640519.696969699"/>
    <n v="2305870.9090909199"/>
  </r>
  <r>
    <x v="0"/>
    <x v="0"/>
    <x v="0"/>
    <x v="3"/>
    <x v="7"/>
    <s v="DE4-W_A"/>
    <x v="2"/>
    <x v="147"/>
    <x v="0"/>
    <x v="13"/>
    <n v="1754.84848484849"/>
    <n v="640519.696969699"/>
    <n v="2305870.9090909199"/>
  </r>
  <r>
    <x v="0"/>
    <x v="0"/>
    <x v="0"/>
    <x v="3"/>
    <x v="7"/>
    <s v="DE4-W_A"/>
    <x v="2"/>
    <x v="147"/>
    <x v="0"/>
    <x v="14"/>
    <n v="1754.84848484849"/>
    <n v="640519.696969699"/>
    <n v="2305870.9090909199"/>
  </r>
  <r>
    <x v="0"/>
    <x v="0"/>
    <x v="0"/>
    <x v="3"/>
    <x v="7"/>
    <s v="DE4-W_A"/>
    <x v="2"/>
    <x v="147"/>
    <x v="0"/>
    <x v="15"/>
    <n v="1754.84848484849"/>
    <n v="640519.696969699"/>
    <n v="2305870.9090909199"/>
  </r>
  <r>
    <x v="0"/>
    <x v="0"/>
    <x v="0"/>
    <x v="3"/>
    <x v="7"/>
    <s v="DE4-W_A"/>
    <x v="2"/>
    <x v="147"/>
    <x v="0"/>
    <x v="16"/>
    <n v="1754.84848484849"/>
    <n v="640519.696969699"/>
    <n v="2305870.9090909199"/>
  </r>
  <r>
    <x v="0"/>
    <x v="0"/>
    <x v="0"/>
    <x v="3"/>
    <x v="7"/>
    <s v="DE4-W_A"/>
    <x v="2"/>
    <x v="147"/>
    <x v="0"/>
    <x v="17"/>
    <n v="1754.84848484849"/>
    <n v="640519.696969699"/>
    <n v="2305870.9090909199"/>
  </r>
  <r>
    <x v="0"/>
    <x v="0"/>
    <x v="0"/>
    <x v="3"/>
    <x v="7"/>
    <s v="DE4-W_A"/>
    <x v="2"/>
    <x v="147"/>
    <x v="0"/>
    <x v="18"/>
    <n v="1754.84848484849"/>
    <n v="640519.696969699"/>
    <n v="2305870.9090909199"/>
  </r>
  <r>
    <x v="0"/>
    <x v="0"/>
    <x v="0"/>
    <x v="3"/>
    <x v="7"/>
    <s v="DE4-W_A"/>
    <x v="2"/>
    <x v="147"/>
    <x v="0"/>
    <x v="19"/>
    <n v="1754.84848484849"/>
    <n v="640519.696969699"/>
    <n v="2305870.9090909199"/>
  </r>
  <r>
    <x v="0"/>
    <x v="0"/>
    <x v="0"/>
    <x v="3"/>
    <x v="7"/>
    <s v="DE4-W_A"/>
    <x v="2"/>
    <x v="147"/>
    <x v="0"/>
    <x v="20"/>
    <n v="1754.84848484849"/>
    <n v="640519.696969699"/>
    <n v="2305870.9090909199"/>
  </r>
  <r>
    <x v="0"/>
    <x v="0"/>
    <x v="0"/>
    <x v="3"/>
    <x v="7"/>
    <s v="DE4-W_A"/>
    <x v="2"/>
    <x v="147"/>
    <x v="0"/>
    <x v="21"/>
    <n v="1754.84848484849"/>
    <n v="640519.696969699"/>
    <n v="2305870.9090909199"/>
  </r>
  <r>
    <x v="0"/>
    <x v="0"/>
    <x v="0"/>
    <x v="3"/>
    <x v="7"/>
    <s v="DE4-W_A"/>
    <x v="2"/>
    <x v="147"/>
    <x v="0"/>
    <x v="22"/>
    <n v="1754.84848484849"/>
    <n v="640519.696969699"/>
    <n v="2305870.9090909199"/>
  </r>
  <r>
    <x v="0"/>
    <x v="0"/>
    <x v="0"/>
    <x v="3"/>
    <x v="7"/>
    <s v="DE4-W_A"/>
    <x v="2"/>
    <x v="147"/>
    <x v="0"/>
    <x v="23"/>
    <n v="1754.84848484849"/>
    <n v="640519.696969699"/>
    <n v="2305870.9090909199"/>
  </r>
  <r>
    <x v="0"/>
    <x v="0"/>
    <x v="0"/>
    <x v="3"/>
    <x v="7"/>
    <s v="DE4-W_A"/>
    <x v="2"/>
    <x v="148"/>
    <x v="0"/>
    <x v="0"/>
    <n v="523.63636363636397"/>
    <n v="191127.272727273"/>
    <n v="688058.181818182"/>
  </r>
  <r>
    <x v="0"/>
    <x v="0"/>
    <x v="0"/>
    <x v="3"/>
    <x v="7"/>
    <s v="DE4-W_A"/>
    <x v="2"/>
    <x v="148"/>
    <x v="0"/>
    <x v="1"/>
    <n v="523.63636363636397"/>
    <n v="191127.272727273"/>
    <n v="688058.181818182"/>
  </r>
  <r>
    <x v="0"/>
    <x v="0"/>
    <x v="0"/>
    <x v="3"/>
    <x v="7"/>
    <s v="DE4-W_A"/>
    <x v="2"/>
    <x v="148"/>
    <x v="0"/>
    <x v="2"/>
    <n v="523.63636363636397"/>
    <n v="191127.272727273"/>
    <n v="688058.181818182"/>
  </r>
  <r>
    <x v="0"/>
    <x v="0"/>
    <x v="0"/>
    <x v="3"/>
    <x v="7"/>
    <s v="DE4-W_A"/>
    <x v="2"/>
    <x v="148"/>
    <x v="0"/>
    <x v="3"/>
    <n v="523.63636363636397"/>
    <n v="191127.272727273"/>
    <n v="688058.181818182"/>
  </r>
  <r>
    <x v="0"/>
    <x v="0"/>
    <x v="0"/>
    <x v="3"/>
    <x v="7"/>
    <s v="DE4-W_A"/>
    <x v="2"/>
    <x v="148"/>
    <x v="0"/>
    <x v="4"/>
    <n v="523.63636363636397"/>
    <n v="191127.272727273"/>
    <n v="688058.181818182"/>
  </r>
  <r>
    <x v="0"/>
    <x v="0"/>
    <x v="0"/>
    <x v="3"/>
    <x v="7"/>
    <s v="DE4-W_A"/>
    <x v="2"/>
    <x v="148"/>
    <x v="0"/>
    <x v="5"/>
    <n v="523.63636363636397"/>
    <n v="191127.272727273"/>
    <n v="688058.181818182"/>
  </r>
  <r>
    <x v="0"/>
    <x v="0"/>
    <x v="0"/>
    <x v="3"/>
    <x v="7"/>
    <s v="DE4-W_A"/>
    <x v="2"/>
    <x v="148"/>
    <x v="0"/>
    <x v="6"/>
    <n v="523.63636363636397"/>
    <n v="191127.272727273"/>
    <n v="688058.181818182"/>
  </r>
  <r>
    <x v="0"/>
    <x v="0"/>
    <x v="0"/>
    <x v="3"/>
    <x v="7"/>
    <s v="DE4-W_A"/>
    <x v="2"/>
    <x v="148"/>
    <x v="0"/>
    <x v="7"/>
    <n v="523.63636363636397"/>
    <n v="191127.272727273"/>
    <n v="688058.181818182"/>
  </r>
  <r>
    <x v="0"/>
    <x v="0"/>
    <x v="0"/>
    <x v="3"/>
    <x v="7"/>
    <s v="DE4-W_A"/>
    <x v="2"/>
    <x v="148"/>
    <x v="0"/>
    <x v="8"/>
    <n v="523.63636363636397"/>
    <n v="191127.272727273"/>
    <n v="688058.181818182"/>
  </r>
  <r>
    <x v="0"/>
    <x v="0"/>
    <x v="0"/>
    <x v="3"/>
    <x v="7"/>
    <s v="DE4-W_A"/>
    <x v="2"/>
    <x v="148"/>
    <x v="0"/>
    <x v="9"/>
    <n v="523.63636363636397"/>
    <n v="191127.272727273"/>
    <n v="688058.181818182"/>
  </r>
  <r>
    <x v="0"/>
    <x v="0"/>
    <x v="0"/>
    <x v="3"/>
    <x v="7"/>
    <s v="DE4-W_A"/>
    <x v="2"/>
    <x v="148"/>
    <x v="0"/>
    <x v="10"/>
    <n v="523.63636363636397"/>
    <n v="191127.272727273"/>
    <n v="688058.181818182"/>
  </r>
  <r>
    <x v="0"/>
    <x v="0"/>
    <x v="0"/>
    <x v="3"/>
    <x v="7"/>
    <s v="DE4-W_A"/>
    <x v="2"/>
    <x v="148"/>
    <x v="0"/>
    <x v="11"/>
    <n v="523.63636363636397"/>
    <n v="191127.272727273"/>
    <n v="688058.181818182"/>
  </r>
  <r>
    <x v="0"/>
    <x v="0"/>
    <x v="0"/>
    <x v="3"/>
    <x v="7"/>
    <s v="DE4-W_A"/>
    <x v="2"/>
    <x v="148"/>
    <x v="0"/>
    <x v="12"/>
    <n v="523.63636363636397"/>
    <n v="191127.272727273"/>
    <n v="688058.181818182"/>
  </r>
  <r>
    <x v="0"/>
    <x v="0"/>
    <x v="0"/>
    <x v="3"/>
    <x v="7"/>
    <s v="DE4-W_A"/>
    <x v="2"/>
    <x v="148"/>
    <x v="0"/>
    <x v="13"/>
    <n v="523.63636363636397"/>
    <n v="191127.272727273"/>
    <n v="688058.181818182"/>
  </r>
  <r>
    <x v="0"/>
    <x v="0"/>
    <x v="0"/>
    <x v="3"/>
    <x v="7"/>
    <s v="DE4-W_A"/>
    <x v="2"/>
    <x v="148"/>
    <x v="0"/>
    <x v="14"/>
    <n v="523.63636363636397"/>
    <n v="191127.272727273"/>
    <n v="688058.181818182"/>
  </r>
  <r>
    <x v="0"/>
    <x v="0"/>
    <x v="0"/>
    <x v="3"/>
    <x v="7"/>
    <s v="DE4-W_A"/>
    <x v="2"/>
    <x v="148"/>
    <x v="0"/>
    <x v="15"/>
    <n v="523.63636363636397"/>
    <n v="191127.272727273"/>
    <n v="688058.181818182"/>
  </r>
  <r>
    <x v="0"/>
    <x v="0"/>
    <x v="0"/>
    <x v="3"/>
    <x v="7"/>
    <s v="DE4-W_A"/>
    <x v="2"/>
    <x v="148"/>
    <x v="0"/>
    <x v="16"/>
    <n v="523.63636363636397"/>
    <n v="191127.272727273"/>
    <n v="688058.181818182"/>
  </r>
  <r>
    <x v="0"/>
    <x v="0"/>
    <x v="0"/>
    <x v="3"/>
    <x v="7"/>
    <s v="DE4-W_A"/>
    <x v="2"/>
    <x v="148"/>
    <x v="0"/>
    <x v="17"/>
    <n v="523.63636363636397"/>
    <n v="191127.272727273"/>
    <n v="688058.181818182"/>
  </r>
  <r>
    <x v="0"/>
    <x v="0"/>
    <x v="0"/>
    <x v="3"/>
    <x v="7"/>
    <s v="DE4-W_A"/>
    <x v="2"/>
    <x v="148"/>
    <x v="0"/>
    <x v="18"/>
    <n v="523.63636363636397"/>
    <n v="191127.272727273"/>
    <n v="688058.181818182"/>
  </r>
  <r>
    <x v="0"/>
    <x v="0"/>
    <x v="0"/>
    <x v="3"/>
    <x v="7"/>
    <s v="DE4-W_A"/>
    <x v="2"/>
    <x v="148"/>
    <x v="0"/>
    <x v="19"/>
    <n v="523.63636363636397"/>
    <n v="191127.272727273"/>
    <n v="688058.181818182"/>
  </r>
  <r>
    <x v="0"/>
    <x v="0"/>
    <x v="0"/>
    <x v="3"/>
    <x v="7"/>
    <s v="DE4-W_A"/>
    <x v="2"/>
    <x v="148"/>
    <x v="0"/>
    <x v="20"/>
    <n v="523.63636363636397"/>
    <n v="191127.272727273"/>
    <n v="688058.181818182"/>
  </r>
  <r>
    <x v="0"/>
    <x v="0"/>
    <x v="0"/>
    <x v="3"/>
    <x v="7"/>
    <s v="DE4-W_A"/>
    <x v="2"/>
    <x v="148"/>
    <x v="0"/>
    <x v="21"/>
    <n v="523.63636363636397"/>
    <n v="191127.272727273"/>
    <n v="688058.181818182"/>
  </r>
  <r>
    <x v="0"/>
    <x v="0"/>
    <x v="0"/>
    <x v="3"/>
    <x v="7"/>
    <s v="DE4-W_A"/>
    <x v="2"/>
    <x v="148"/>
    <x v="0"/>
    <x v="22"/>
    <n v="523.63636363636397"/>
    <n v="191127.272727273"/>
    <n v="688058.181818182"/>
  </r>
  <r>
    <x v="0"/>
    <x v="0"/>
    <x v="0"/>
    <x v="3"/>
    <x v="7"/>
    <s v="DE4-W_A"/>
    <x v="2"/>
    <x v="148"/>
    <x v="0"/>
    <x v="23"/>
    <n v="523.63636363636397"/>
    <n v="191127.272727273"/>
    <n v="688058.181818182"/>
  </r>
  <r>
    <x v="0"/>
    <x v="0"/>
    <x v="0"/>
    <x v="3"/>
    <x v="7"/>
    <s v="DE4-W_A"/>
    <x v="3"/>
    <x v="159"/>
    <x v="0"/>
    <x v="4"/>
    <n v="1029.19656399869"/>
    <n v="375656.74585952202"/>
    <n v="1352364.28509428"/>
  </r>
  <r>
    <x v="0"/>
    <x v="0"/>
    <x v="0"/>
    <x v="3"/>
    <x v="7"/>
    <s v="DE4-W_A"/>
    <x v="3"/>
    <x v="159"/>
    <x v="0"/>
    <x v="13"/>
    <n v="5741.43551155164"/>
    <n v="2095623.9617163499"/>
    <n v="7544246.2621788504"/>
  </r>
  <r>
    <x v="0"/>
    <x v="0"/>
    <x v="0"/>
    <x v="3"/>
    <x v="7"/>
    <s v="DE4-W_A"/>
    <x v="3"/>
    <x v="159"/>
    <x v="0"/>
    <x v="19"/>
    <n v="1447.6859135637001"/>
    <n v="528405.35845075198"/>
    <n v="1902259.2904227099"/>
  </r>
  <r>
    <x v="0"/>
    <x v="0"/>
    <x v="0"/>
    <x v="3"/>
    <x v="7"/>
    <s v="DE4-W_A"/>
    <x v="16"/>
    <x v="154"/>
    <x v="0"/>
    <x v="0"/>
    <n v="8169.69696969697"/>
    <n v="2981939.3939393898"/>
    <n v="10734981.8181818"/>
  </r>
  <r>
    <x v="0"/>
    <x v="0"/>
    <x v="0"/>
    <x v="3"/>
    <x v="7"/>
    <s v="DE4-W_A"/>
    <x v="16"/>
    <x v="154"/>
    <x v="0"/>
    <x v="1"/>
    <n v="8169.69696969697"/>
    <n v="2981939.3939393898"/>
    <n v="10734981.8181818"/>
  </r>
  <r>
    <x v="0"/>
    <x v="0"/>
    <x v="0"/>
    <x v="3"/>
    <x v="7"/>
    <s v="DE4-W_A"/>
    <x v="16"/>
    <x v="154"/>
    <x v="0"/>
    <x v="2"/>
    <n v="8169.69696969697"/>
    <n v="2981939.3939393898"/>
    <n v="10734981.8181818"/>
  </r>
  <r>
    <x v="0"/>
    <x v="0"/>
    <x v="0"/>
    <x v="3"/>
    <x v="7"/>
    <s v="DE4-W_A"/>
    <x v="16"/>
    <x v="154"/>
    <x v="0"/>
    <x v="3"/>
    <n v="8169.69696969697"/>
    <n v="2981939.3939393898"/>
    <n v="10734981.8181818"/>
  </r>
  <r>
    <x v="0"/>
    <x v="0"/>
    <x v="0"/>
    <x v="3"/>
    <x v="7"/>
    <s v="DE4-W_A"/>
    <x v="16"/>
    <x v="154"/>
    <x v="0"/>
    <x v="4"/>
    <n v="8169.69696969697"/>
    <n v="2981939.3939393898"/>
    <n v="10734981.8181818"/>
  </r>
  <r>
    <x v="0"/>
    <x v="0"/>
    <x v="0"/>
    <x v="3"/>
    <x v="7"/>
    <s v="DE4-W_A"/>
    <x v="16"/>
    <x v="154"/>
    <x v="0"/>
    <x v="5"/>
    <n v="8169.69696969697"/>
    <n v="2981939.3939393898"/>
    <n v="10734981.8181818"/>
  </r>
  <r>
    <x v="0"/>
    <x v="0"/>
    <x v="0"/>
    <x v="3"/>
    <x v="7"/>
    <s v="DE4-W_A"/>
    <x v="16"/>
    <x v="154"/>
    <x v="0"/>
    <x v="6"/>
    <n v="8169.69696969697"/>
    <n v="2981939.3939393898"/>
    <n v="10734981.8181818"/>
  </r>
  <r>
    <x v="0"/>
    <x v="0"/>
    <x v="0"/>
    <x v="3"/>
    <x v="7"/>
    <s v="DE4-W_A"/>
    <x v="16"/>
    <x v="154"/>
    <x v="0"/>
    <x v="7"/>
    <n v="8169.69696969697"/>
    <n v="2981939.3939393898"/>
    <n v="10734981.8181818"/>
  </r>
  <r>
    <x v="0"/>
    <x v="0"/>
    <x v="0"/>
    <x v="3"/>
    <x v="7"/>
    <s v="DE4-W_A"/>
    <x v="16"/>
    <x v="154"/>
    <x v="0"/>
    <x v="8"/>
    <n v="8169.69696969697"/>
    <n v="2981939.3939393898"/>
    <n v="10734981.8181818"/>
  </r>
  <r>
    <x v="0"/>
    <x v="0"/>
    <x v="0"/>
    <x v="3"/>
    <x v="7"/>
    <s v="DE4-W_A"/>
    <x v="16"/>
    <x v="154"/>
    <x v="0"/>
    <x v="9"/>
    <n v="8169.69696969697"/>
    <n v="2981939.3939393898"/>
    <n v="10734981.8181818"/>
  </r>
  <r>
    <x v="0"/>
    <x v="0"/>
    <x v="0"/>
    <x v="3"/>
    <x v="7"/>
    <s v="DE4-W_A"/>
    <x v="16"/>
    <x v="154"/>
    <x v="0"/>
    <x v="10"/>
    <n v="8169.69696969697"/>
    <n v="2981939.3939393898"/>
    <n v="10734981.8181818"/>
  </r>
  <r>
    <x v="0"/>
    <x v="0"/>
    <x v="0"/>
    <x v="3"/>
    <x v="7"/>
    <s v="DE4-W_A"/>
    <x v="16"/>
    <x v="154"/>
    <x v="0"/>
    <x v="11"/>
    <n v="8169.69696969697"/>
    <n v="2981939.3939393898"/>
    <n v="10734981.8181818"/>
  </r>
  <r>
    <x v="0"/>
    <x v="0"/>
    <x v="0"/>
    <x v="3"/>
    <x v="7"/>
    <s v="DE4-W_A"/>
    <x v="16"/>
    <x v="154"/>
    <x v="0"/>
    <x v="12"/>
    <n v="8169.69696969697"/>
    <n v="2981939.3939393898"/>
    <n v="10734981.8181818"/>
  </r>
  <r>
    <x v="0"/>
    <x v="0"/>
    <x v="0"/>
    <x v="3"/>
    <x v="7"/>
    <s v="DE4-W_A"/>
    <x v="16"/>
    <x v="154"/>
    <x v="0"/>
    <x v="13"/>
    <n v="8169.69696969697"/>
    <n v="2981939.3939393898"/>
    <n v="10734981.8181818"/>
  </r>
  <r>
    <x v="0"/>
    <x v="0"/>
    <x v="0"/>
    <x v="3"/>
    <x v="7"/>
    <s v="DE4-W_A"/>
    <x v="16"/>
    <x v="154"/>
    <x v="0"/>
    <x v="14"/>
    <n v="8169.69696969697"/>
    <n v="2981939.3939393898"/>
    <n v="10734981.8181818"/>
  </r>
  <r>
    <x v="0"/>
    <x v="0"/>
    <x v="0"/>
    <x v="3"/>
    <x v="7"/>
    <s v="DE4-W_A"/>
    <x v="16"/>
    <x v="154"/>
    <x v="0"/>
    <x v="15"/>
    <n v="8169.69696969697"/>
    <n v="2981939.3939393898"/>
    <n v="10734981.8181818"/>
  </r>
  <r>
    <x v="0"/>
    <x v="0"/>
    <x v="0"/>
    <x v="3"/>
    <x v="7"/>
    <s v="DE4-W_A"/>
    <x v="16"/>
    <x v="154"/>
    <x v="0"/>
    <x v="16"/>
    <n v="8169.69696969697"/>
    <n v="2981939.3939393898"/>
    <n v="10734981.8181818"/>
  </r>
  <r>
    <x v="0"/>
    <x v="0"/>
    <x v="0"/>
    <x v="3"/>
    <x v="7"/>
    <s v="DE4-W_A"/>
    <x v="16"/>
    <x v="154"/>
    <x v="0"/>
    <x v="17"/>
    <n v="8169.69696969697"/>
    <n v="2981939.3939393898"/>
    <n v="10734981.8181818"/>
  </r>
  <r>
    <x v="0"/>
    <x v="0"/>
    <x v="0"/>
    <x v="3"/>
    <x v="7"/>
    <s v="DE4-W_A"/>
    <x v="16"/>
    <x v="154"/>
    <x v="0"/>
    <x v="18"/>
    <n v="8169.69696969697"/>
    <n v="2981939.3939393898"/>
    <n v="10734981.8181818"/>
  </r>
  <r>
    <x v="0"/>
    <x v="0"/>
    <x v="0"/>
    <x v="3"/>
    <x v="7"/>
    <s v="DE4-W_A"/>
    <x v="16"/>
    <x v="154"/>
    <x v="0"/>
    <x v="19"/>
    <n v="8169.69696969697"/>
    <n v="2981939.3939393898"/>
    <n v="10734981.8181818"/>
  </r>
  <r>
    <x v="0"/>
    <x v="0"/>
    <x v="0"/>
    <x v="3"/>
    <x v="7"/>
    <s v="DE4-W_A"/>
    <x v="16"/>
    <x v="154"/>
    <x v="0"/>
    <x v="20"/>
    <n v="8169.69696969697"/>
    <n v="2981939.3939393898"/>
    <n v="10734981.8181818"/>
  </r>
  <r>
    <x v="0"/>
    <x v="0"/>
    <x v="0"/>
    <x v="3"/>
    <x v="7"/>
    <s v="DE4-W_A"/>
    <x v="16"/>
    <x v="154"/>
    <x v="0"/>
    <x v="21"/>
    <n v="8169.69696969697"/>
    <n v="2981939.3939393898"/>
    <n v="10734981.8181818"/>
  </r>
  <r>
    <x v="0"/>
    <x v="0"/>
    <x v="0"/>
    <x v="3"/>
    <x v="7"/>
    <s v="DE4-W_A"/>
    <x v="16"/>
    <x v="154"/>
    <x v="0"/>
    <x v="22"/>
    <n v="8169.69696969697"/>
    <n v="2981939.3939393898"/>
    <n v="10734981.8181818"/>
  </r>
  <r>
    <x v="0"/>
    <x v="0"/>
    <x v="0"/>
    <x v="3"/>
    <x v="7"/>
    <s v="DE4-W_A"/>
    <x v="16"/>
    <x v="154"/>
    <x v="0"/>
    <x v="23"/>
    <n v="8169.69696969697"/>
    <n v="2981939.3939393898"/>
    <n v="10734981.8181818"/>
  </r>
  <r>
    <x v="0"/>
    <x v="0"/>
    <x v="0"/>
    <x v="3"/>
    <x v="7"/>
    <s v="DE4-W_A"/>
    <x v="8"/>
    <x v="56"/>
    <x v="0"/>
    <x v="8"/>
    <n v="214.82182741120599"/>
    <n v="78409.967005090104"/>
    <n v="282275.88121832401"/>
  </r>
  <r>
    <x v="0"/>
    <x v="0"/>
    <x v="0"/>
    <x v="3"/>
    <x v="7"/>
    <s v="DE4-W_A"/>
    <x v="8"/>
    <x v="56"/>
    <x v="0"/>
    <x v="9"/>
    <n v="1617.2227827674401"/>
    <n v="590286.31571011397"/>
    <n v="2125030.7365564099"/>
  </r>
  <r>
    <x v="0"/>
    <x v="0"/>
    <x v="0"/>
    <x v="3"/>
    <x v="7"/>
    <s v="DE4-W_A"/>
    <x v="8"/>
    <x v="56"/>
    <x v="0"/>
    <x v="10"/>
    <n v="3735.6964961610201"/>
    <n v="1363529.2210987699"/>
    <n v="4908705.1959555801"/>
  </r>
  <r>
    <x v="0"/>
    <x v="0"/>
    <x v="0"/>
    <x v="3"/>
    <x v="7"/>
    <s v="DE4-W_A"/>
    <x v="8"/>
    <x v="56"/>
    <x v="0"/>
    <x v="11"/>
    <n v="5688.9226500075201"/>
    <n v="2076456.76725274"/>
    <n v="7475244.36210988"/>
  </r>
  <r>
    <x v="0"/>
    <x v="0"/>
    <x v="0"/>
    <x v="3"/>
    <x v="7"/>
    <s v="DE4-W_A"/>
    <x v="8"/>
    <x v="56"/>
    <x v="0"/>
    <x v="12"/>
    <n v="6467.78948067276"/>
    <n v="2360743.1604455598"/>
    <n v="8498675.3776040096"/>
  </r>
  <r>
    <x v="0"/>
    <x v="0"/>
    <x v="0"/>
    <x v="3"/>
    <x v="7"/>
    <s v="DE4-W_A"/>
    <x v="8"/>
    <x v="56"/>
    <x v="0"/>
    <x v="13"/>
    <n v="5623.92527658567"/>
    <n v="2052732.7259537701"/>
    <n v="7389837.8134335699"/>
  </r>
  <r>
    <x v="0"/>
    <x v="0"/>
    <x v="0"/>
    <x v="3"/>
    <x v="7"/>
    <s v="DE4-W_A"/>
    <x v="8"/>
    <x v="56"/>
    <x v="0"/>
    <x v="14"/>
    <n v="3659.68261876936"/>
    <n v="1335784.15585082"/>
    <n v="4808822.9610629398"/>
  </r>
  <r>
    <x v="0"/>
    <x v="0"/>
    <x v="0"/>
    <x v="3"/>
    <x v="7"/>
    <s v="DE4-W_A"/>
    <x v="8"/>
    <x v="56"/>
    <x v="0"/>
    <x v="15"/>
    <n v="1852.9759677212701"/>
    <n v="676336.22821826395"/>
    <n v="2434810.4215857498"/>
  </r>
  <r>
    <x v="0"/>
    <x v="0"/>
    <x v="0"/>
    <x v="3"/>
    <x v="7"/>
    <s v="DE4-W_A"/>
    <x v="8"/>
    <x v="56"/>
    <x v="0"/>
    <x v="16"/>
    <n v="241.261436938739"/>
    <n v="88060.424482639603"/>
    <n v="317017.52813750302"/>
  </r>
  <r>
    <x v="0"/>
    <x v="0"/>
    <x v="0"/>
    <x v="3"/>
    <x v="7"/>
    <s v="DE4-W_A"/>
    <x v="9"/>
    <x v="57"/>
    <x v="0"/>
    <x v="0"/>
    <n v="198.90753424657501"/>
    <n v="72601.25"/>
    <n v="261364.5"/>
  </r>
  <r>
    <x v="0"/>
    <x v="0"/>
    <x v="0"/>
    <x v="3"/>
    <x v="7"/>
    <s v="DE4-W_A"/>
    <x v="9"/>
    <x v="57"/>
    <x v="0"/>
    <x v="1"/>
    <n v="198.90753424657501"/>
    <n v="72601.25"/>
    <n v="261364.5"/>
  </r>
  <r>
    <x v="0"/>
    <x v="0"/>
    <x v="0"/>
    <x v="3"/>
    <x v="7"/>
    <s v="DE4-W_A"/>
    <x v="9"/>
    <x v="57"/>
    <x v="0"/>
    <x v="2"/>
    <n v="198.90753424657501"/>
    <n v="72601.25"/>
    <n v="261364.5"/>
  </r>
  <r>
    <x v="0"/>
    <x v="0"/>
    <x v="0"/>
    <x v="3"/>
    <x v="7"/>
    <s v="DE4-W_A"/>
    <x v="9"/>
    <x v="57"/>
    <x v="0"/>
    <x v="3"/>
    <n v="198.90753424657501"/>
    <n v="72601.25"/>
    <n v="261364.5"/>
  </r>
  <r>
    <x v="0"/>
    <x v="0"/>
    <x v="0"/>
    <x v="3"/>
    <x v="7"/>
    <s v="DE4-W_A"/>
    <x v="9"/>
    <x v="57"/>
    <x v="0"/>
    <x v="4"/>
    <n v="198.90753424657501"/>
    <n v="72601.25"/>
    <n v="261364.5"/>
  </r>
  <r>
    <x v="0"/>
    <x v="0"/>
    <x v="0"/>
    <x v="3"/>
    <x v="7"/>
    <s v="DE4-W_A"/>
    <x v="9"/>
    <x v="57"/>
    <x v="0"/>
    <x v="5"/>
    <n v="198.90753424657501"/>
    <n v="72601.25"/>
    <n v="261364.5"/>
  </r>
  <r>
    <x v="0"/>
    <x v="0"/>
    <x v="0"/>
    <x v="3"/>
    <x v="7"/>
    <s v="DE4-W_A"/>
    <x v="9"/>
    <x v="57"/>
    <x v="0"/>
    <x v="6"/>
    <n v="198.90753424657501"/>
    <n v="72601.25"/>
    <n v="261364.5"/>
  </r>
  <r>
    <x v="0"/>
    <x v="0"/>
    <x v="0"/>
    <x v="3"/>
    <x v="7"/>
    <s v="DE4-W_A"/>
    <x v="9"/>
    <x v="57"/>
    <x v="0"/>
    <x v="7"/>
    <n v="198.90753424657501"/>
    <n v="72601.25"/>
    <n v="261364.5"/>
  </r>
  <r>
    <x v="0"/>
    <x v="0"/>
    <x v="0"/>
    <x v="3"/>
    <x v="7"/>
    <s v="DE4-W_A"/>
    <x v="9"/>
    <x v="57"/>
    <x v="0"/>
    <x v="8"/>
    <n v="198.90753424657501"/>
    <n v="72601.25"/>
    <n v="261364.5"/>
  </r>
  <r>
    <x v="0"/>
    <x v="0"/>
    <x v="0"/>
    <x v="3"/>
    <x v="7"/>
    <s v="DE4-W_A"/>
    <x v="9"/>
    <x v="57"/>
    <x v="0"/>
    <x v="9"/>
    <n v="198.90753424657501"/>
    <n v="72601.25"/>
    <n v="261364.5"/>
  </r>
  <r>
    <x v="0"/>
    <x v="0"/>
    <x v="0"/>
    <x v="3"/>
    <x v="7"/>
    <s v="DE4-W_A"/>
    <x v="9"/>
    <x v="57"/>
    <x v="0"/>
    <x v="10"/>
    <n v="198.90753424657501"/>
    <n v="72601.25"/>
    <n v="261364.5"/>
  </r>
  <r>
    <x v="0"/>
    <x v="0"/>
    <x v="0"/>
    <x v="3"/>
    <x v="7"/>
    <s v="DE4-W_A"/>
    <x v="9"/>
    <x v="57"/>
    <x v="0"/>
    <x v="11"/>
    <n v="198.90753424657501"/>
    <n v="72601.25"/>
    <n v="261364.5"/>
  </r>
  <r>
    <x v="0"/>
    <x v="0"/>
    <x v="0"/>
    <x v="3"/>
    <x v="7"/>
    <s v="DE4-W_A"/>
    <x v="9"/>
    <x v="57"/>
    <x v="0"/>
    <x v="12"/>
    <n v="198.90753424657501"/>
    <n v="72601.25"/>
    <n v="261364.5"/>
  </r>
  <r>
    <x v="0"/>
    <x v="0"/>
    <x v="0"/>
    <x v="3"/>
    <x v="7"/>
    <s v="DE4-W_A"/>
    <x v="9"/>
    <x v="57"/>
    <x v="0"/>
    <x v="13"/>
    <n v="198.90753424657501"/>
    <n v="72601.25"/>
    <n v="261364.5"/>
  </r>
  <r>
    <x v="0"/>
    <x v="0"/>
    <x v="0"/>
    <x v="3"/>
    <x v="7"/>
    <s v="DE4-W_A"/>
    <x v="9"/>
    <x v="57"/>
    <x v="0"/>
    <x v="14"/>
    <n v="198.90753424657501"/>
    <n v="72601.25"/>
    <n v="261364.5"/>
  </r>
  <r>
    <x v="0"/>
    <x v="0"/>
    <x v="0"/>
    <x v="3"/>
    <x v="7"/>
    <s v="DE4-W_A"/>
    <x v="9"/>
    <x v="57"/>
    <x v="0"/>
    <x v="15"/>
    <n v="198.90753424657501"/>
    <n v="72601.25"/>
    <n v="261364.5"/>
  </r>
  <r>
    <x v="0"/>
    <x v="0"/>
    <x v="0"/>
    <x v="3"/>
    <x v="7"/>
    <s v="DE4-W_A"/>
    <x v="9"/>
    <x v="57"/>
    <x v="0"/>
    <x v="16"/>
    <n v="198.90753424657501"/>
    <n v="72601.25"/>
    <n v="261364.5"/>
  </r>
  <r>
    <x v="0"/>
    <x v="0"/>
    <x v="0"/>
    <x v="3"/>
    <x v="7"/>
    <s v="DE4-W_A"/>
    <x v="9"/>
    <x v="57"/>
    <x v="0"/>
    <x v="17"/>
    <n v="198.90753424657501"/>
    <n v="72601.25"/>
    <n v="261364.5"/>
  </r>
  <r>
    <x v="0"/>
    <x v="0"/>
    <x v="0"/>
    <x v="3"/>
    <x v="7"/>
    <s v="DE4-W_A"/>
    <x v="9"/>
    <x v="57"/>
    <x v="0"/>
    <x v="18"/>
    <n v="198.90753424657501"/>
    <n v="72601.25"/>
    <n v="261364.5"/>
  </r>
  <r>
    <x v="0"/>
    <x v="0"/>
    <x v="0"/>
    <x v="3"/>
    <x v="7"/>
    <s v="DE4-W_A"/>
    <x v="9"/>
    <x v="57"/>
    <x v="0"/>
    <x v="19"/>
    <n v="198.90753424657501"/>
    <n v="72601.25"/>
    <n v="261364.5"/>
  </r>
  <r>
    <x v="0"/>
    <x v="0"/>
    <x v="0"/>
    <x v="3"/>
    <x v="7"/>
    <s v="DE4-W_A"/>
    <x v="9"/>
    <x v="57"/>
    <x v="0"/>
    <x v="20"/>
    <n v="198.90753424657501"/>
    <n v="72601.25"/>
    <n v="261364.5"/>
  </r>
  <r>
    <x v="0"/>
    <x v="0"/>
    <x v="0"/>
    <x v="3"/>
    <x v="7"/>
    <s v="DE4-W_A"/>
    <x v="9"/>
    <x v="57"/>
    <x v="0"/>
    <x v="21"/>
    <n v="198.90753424657501"/>
    <n v="72601.25"/>
    <n v="261364.5"/>
  </r>
  <r>
    <x v="0"/>
    <x v="0"/>
    <x v="0"/>
    <x v="3"/>
    <x v="7"/>
    <s v="DE4-W_A"/>
    <x v="9"/>
    <x v="57"/>
    <x v="0"/>
    <x v="22"/>
    <n v="198.90753424657501"/>
    <n v="72601.25"/>
    <n v="261364.5"/>
  </r>
  <r>
    <x v="0"/>
    <x v="0"/>
    <x v="0"/>
    <x v="3"/>
    <x v="7"/>
    <s v="DE4-W_A"/>
    <x v="9"/>
    <x v="57"/>
    <x v="0"/>
    <x v="23"/>
    <n v="198.90753424657501"/>
    <n v="72601.25"/>
    <n v="261364.5"/>
  </r>
  <r>
    <x v="0"/>
    <x v="0"/>
    <x v="0"/>
    <x v="3"/>
    <x v="7"/>
    <s v="DE4-W_A"/>
    <x v="10"/>
    <x v="58"/>
    <x v="0"/>
    <x v="0"/>
    <n v="2767.70001359974"/>
    <n v="1010210.5049639"/>
    <n v="3636757.8178700502"/>
  </r>
  <r>
    <x v="0"/>
    <x v="0"/>
    <x v="0"/>
    <x v="3"/>
    <x v="7"/>
    <s v="DE4-W_A"/>
    <x v="10"/>
    <x v="58"/>
    <x v="0"/>
    <x v="1"/>
    <n v="2678.0034735968702"/>
    <n v="977471.26786285802"/>
    <n v="3518896.5643062899"/>
  </r>
  <r>
    <x v="0"/>
    <x v="0"/>
    <x v="0"/>
    <x v="3"/>
    <x v="7"/>
    <s v="DE4-W_A"/>
    <x v="10"/>
    <x v="58"/>
    <x v="0"/>
    <x v="2"/>
    <n v="2601.5680236971002"/>
    <n v="949572.32864943997"/>
    <n v="3418460.3831379898"/>
  </r>
  <r>
    <x v="0"/>
    <x v="0"/>
    <x v="0"/>
    <x v="3"/>
    <x v="7"/>
    <s v="DE4-W_A"/>
    <x v="10"/>
    <x v="58"/>
    <x v="0"/>
    <x v="3"/>
    <n v="2470.4305771220702"/>
    <n v="901707.16064955399"/>
    <n v="3246145.7783383899"/>
  </r>
  <r>
    <x v="0"/>
    <x v="0"/>
    <x v="0"/>
    <x v="3"/>
    <x v="7"/>
    <s v="DE4-W_A"/>
    <x v="10"/>
    <x v="58"/>
    <x v="0"/>
    <x v="4"/>
    <n v="2250.3333177721202"/>
    <n v="821371.66098682198"/>
    <n v="2956937.97955256"/>
  </r>
  <r>
    <x v="0"/>
    <x v="0"/>
    <x v="0"/>
    <x v="3"/>
    <x v="7"/>
    <s v="DE4-W_A"/>
    <x v="10"/>
    <x v="58"/>
    <x v="0"/>
    <x v="5"/>
    <n v="2053.4429661025802"/>
    <n v="749506.68262744194"/>
    <n v="2698224.05745879"/>
  </r>
  <r>
    <x v="0"/>
    <x v="0"/>
    <x v="0"/>
    <x v="3"/>
    <x v="7"/>
    <s v="DE4-W_A"/>
    <x v="10"/>
    <x v="58"/>
    <x v="0"/>
    <x v="6"/>
    <n v="1692.63080621425"/>
    <n v="617810.24426820199"/>
    <n v="2224116.8793655299"/>
  </r>
  <r>
    <x v="0"/>
    <x v="0"/>
    <x v="0"/>
    <x v="3"/>
    <x v="7"/>
    <s v="DE4-W_A"/>
    <x v="10"/>
    <x v="58"/>
    <x v="0"/>
    <x v="7"/>
    <n v="1636.82371869707"/>
    <n v="597440.65732442995"/>
    <n v="2150786.3663679501"/>
  </r>
  <r>
    <x v="0"/>
    <x v="0"/>
    <x v="0"/>
    <x v="3"/>
    <x v="7"/>
    <s v="DE4-W_A"/>
    <x v="10"/>
    <x v="58"/>
    <x v="0"/>
    <x v="8"/>
    <n v="1759.6729839576701"/>
    <n v="642280.63914454903"/>
    <n v="2312210.3009203798"/>
  </r>
  <r>
    <x v="0"/>
    <x v="0"/>
    <x v="0"/>
    <x v="3"/>
    <x v="7"/>
    <s v="DE4-W_A"/>
    <x v="10"/>
    <x v="58"/>
    <x v="0"/>
    <x v="9"/>
    <n v="1897.9935210052099"/>
    <n v="692767.63516690198"/>
    <n v="2493963.4866008498"/>
  </r>
  <r>
    <x v="0"/>
    <x v="0"/>
    <x v="0"/>
    <x v="3"/>
    <x v="7"/>
    <s v="DE4-W_A"/>
    <x v="10"/>
    <x v="58"/>
    <x v="0"/>
    <x v="10"/>
    <n v="2189.92168508025"/>
    <n v="799321.41505428997"/>
    <n v="2877557.0941954399"/>
  </r>
  <r>
    <x v="0"/>
    <x v="0"/>
    <x v="0"/>
    <x v="3"/>
    <x v="7"/>
    <s v="DE4-W_A"/>
    <x v="10"/>
    <x v="58"/>
    <x v="0"/>
    <x v="11"/>
    <n v="2412.4133079210301"/>
    <n v="880530.85739117698"/>
    <n v="3169911.0866082399"/>
  </r>
  <r>
    <x v="0"/>
    <x v="0"/>
    <x v="0"/>
    <x v="3"/>
    <x v="7"/>
    <s v="DE4-W_A"/>
    <x v="10"/>
    <x v="58"/>
    <x v="0"/>
    <x v="12"/>
    <n v="2968.6423650229999"/>
    <n v="1083554.4632333899"/>
    <n v="3900796.0676402198"/>
  </r>
  <r>
    <x v="0"/>
    <x v="0"/>
    <x v="0"/>
    <x v="3"/>
    <x v="7"/>
    <s v="DE4-W_A"/>
    <x v="10"/>
    <x v="58"/>
    <x v="0"/>
    <x v="13"/>
    <n v="3469.06433460778"/>
    <n v="1266208.48213184"/>
    <n v="4558350.5356746204"/>
  </r>
  <r>
    <x v="0"/>
    <x v="0"/>
    <x v="0"/>
    <x v="3"/>
    <x v="7"/>
    <s v="DE4-W_A"/>
    <x v="10"/>
    <x v="58"/>
    <x v="0"/>
    <x v="14"/>
    <n v="4039.2912090407799"/>
    <n v="1474341.29129989"/>
    <n v="5307628.6486795899"/>
  </r>
  <r>
    <x v="0"/>
    <x v="0"/>
    <x v="0"/>
    <x v="3"/>
    <x v="7"/>
    <s v="DE4-W_A"/>
    <x v="10"/>
    <x v="58"/>
    <x v="0"/>
    <x v="15"/>
    <n v="4602.1508111942903"/>
    <n v="1679785.04608592"/>
    <n v="6047226.1659092996"/>
  </r>
  <r>
    <x v="0"/>
    <x v="0"/>
    <x v="0"/>
    <x v="3"/>
    <x v="7"/>
    <s v="DE4-W_A"/>
    <x v="10"/>
    <x v="58"/>
    <x v="0"/>
    <x v="16"/>
    <n v="5353.6125837029003"/>
    <n v="1954068.59305156"/>
    <n v="7034646.93498562"/>
  </r>
  <r>
    <x v="0"/>
    <x v="0"/>
    <x v="0"/>
    <x v="3"/>
    <x v="7"/>
    <s v="DE4-W_A"/>
    <x v="10"/>
    <x v="58"/>
    <x v="0"/>
    <x v="17"/>
    <n v="6040.0581783449597"/>
    <n v="2204621.2350959098"/>
    <n v="7936636.4463452799"/>
  </r>
  <r>
    <x v="0"/>
    <x v="0"/>
    <x v="0"/>
    <x v="3"/>
    <x v="7"/>
    <s v="DE4-W_A"/>
    <x v="10"/>
    <x v="58"/>
    <x v="0"/>
    <x v="18"/>
    <n v="6775.6803154526597"/>
    <n v="2473123.3151402199"/>
    <n v="8903243.9345047995"/>
  </r>
  <r>
    <x v="0"/>
    <x v="0"/>
    <x v="0"/>
    <x v="3"/>
    <x v="7"/>
    <s v="DE4-W_A"/>
    <x v="10"/>
    <x v="58"/>
    <x v="0"/>
    <x v="19"/>
    <n v="7514.9860887000996"/>
    <n v="2742969.9223755398"/>
    <n v="9874691.7205519397"/>
  </r>
  <r>
    <x v="0"/>
    <x v="0"/>
    <x v="0"/>
    <x v="3"/>
    <x v="7"/>
    <s v="DE4-W_A"/>
    <x v="10"/>
    <x v="58"/>
    <x v="0"/>
    <x v="20"/>
    <n v="8146.3613230529299"/>
    <n v="2973421.8829143201"/>
    <n v="10704318.778491501"/>
  </r>
  <r>
    <x v="0"/>
    <x v="0"/>
    <x v="0"/>
    <x v="3"/>
    <x v="7"/>
    <s v="DE4-W_A"/>
    <x v="10"/>
    <x v="58"/>
    <x v="0"/>
    <x v="21"/>
    <n v="8840.9109172024291"/>
    <n v="3226932.4847788899"/>
    <n v="11616956.945204001"/>
  </r>
  <r>
    <x v="0"/>
    <x v="0"/>
    <x v="0"/>
    <x v="3"/>
    <x v="7"/>
    <s v="DE4-W_A"/>
    <x v="10"/>
    <x v="58"/>
    <x v="0"/>
    <x v="22"/>
    <n v="9717.4321366554905"/>
    <n v="3546862.7298792601"/>
    <n v="12768705.827565299"/>
  </r>
  <r>
    <x v="0"/>
    <x v="0"/>
    <x v="0"/>
    <x v="3"/>
    <x v="7"/>
    <s v="DE4-W_A"/>
    <x v="10"/>
    <x v="58"/>
    <x v="0"/>
    <x v="23"/>
    <n v="10289.1324655444"/>
    <n v="3755533.3499237099"/>
    <n v="13519920.059725299"/>
  </r>
  <r>
    <x v="0"/>
    <x v="0"/>
    <x v="0"/>
    <x v="3"/>
    <x v="7"/>
    <s v="DE4-W_Offshore_A"/>
    <x v="10"/>
    <x v="59"/>
    <x v="0"/>
    <x v="0"/>
    <n v="36.174357536637203"/>
    <n v="13203.6405008726"/>
    <n v="47533.105803141203"/>
  </r>
  <r>
    <x v="0"/>
    <x v="0"/>
    <x v="0"/>
    <x v="3"/>
    <x v="7"/>
    <s v="DE4-W_Offshore_A"/>
    <x v="10"/>
    <x v="59"/>
    <x v="0"/>
    <x v="1"/>
    <n v="35.002006959652903"/>
    <n v="12775.7325402733"/>
    <n v="45992.637144983899"/>
  </r>
  <r>
    <x v="0"/>
    <x v="0"/>
    <x v="0"/>
    <x v="3"/>
    <x v="7"/>
    <s v="DE4-W_Offshore_A"/>
    <x v="10"/>
    <x v="59"/>
    <x v="0"/>
    <x v="2"/>
    <n v="34.002981313968199"/>
    <n v="12411.088179598401"/>
    <n v="44679.917446554202"/>
  </r>
  <r>
    <x v="0"/>
    <x v="0"/>
    <x v="0"/>
    <x v="3"/>
    <x v="7"/>
    <s v="DE4-W_Offshore_A"/>
    <x v="10"/>
    <x v="59"/>
    <x v="0"/>
    <x v="3"/>
    <n v="32.288990326672902"/>
    <n v="11785.481469235599"/>
    <n v="42427.733289248303"/>
  </r>
  <r>
    <x v="0"/>
    <x v="0"/>
    <x v="0"/>
    <x v="3"/>
    <x v="7"/>
    <s v="DE4-W_Offshore_A"/>
    <x v="10"/>
    <x v="59"/>
    <x v="0"/>
    <x v="4"/>
    <n v="29.412277925243401"/>
    <n v="10735.481442713801"/>
    <n v="38647.733193769898"/>
  </r>
  <r>
    <x v="0"/>
    <x v="0"/>
    <x v="0"/>
    <x v="3"/>
    <x v="7"/>
    <s v="DE4-W_Offshore_A"/>
    <x v="10"/>
    <x v="59"/>
    <x v="0"/>
    <x v="5"/>
    <n v="26.838884153588101"/>
    <n v="9796.1927160596406"/>
    <n v="35266.293777814702"/>
  </r>
  <r>
    <x v="0"/>
    <x v="0"/>
    <x v="0"/>
    <x v="3"/>
    <x v="7"/>
    <s v="DE4-W_Offshore_A"/>
    <x v="10"/>
    <x v="59"/>
    <x v="0"/>
    <x v="6"/>
    <n v="22.123001647813599"/>
    <n v="8074.8956014519799"/>
    <n v="29069.624165227098"/>
  </r>
  <r>
    <x v="0"/>
    <x v="0"/>
    <x v="0"/>
    <x v="3"/>
    <x v="7"/>
    <s v="DE4-W_Offshore_A"/>
    <x v="10"/>
    <x v="59"/>
    <x v="0"/>
    <x v="7"/>
    <n v="21.393592561928202"/>
    <n v="7808.6612851037798"/>
    <n v="28111.1806263736"/>
  </r>
  <r>
    <x v="0"/>
    <x v="0"/>
    <x v="0"/>
    <x v="3"/>
    <x v="7"/>
    <s v="DE4-W_Offshore_A"/>
    <x v="10"/>
    <x v="59"/>
    <x v="0"/>
    <x v="8"/>
    <n v="22.999255467161198"/>
    <n v="8394.7282455138393"/>
    <n v="30221.021683849802"/>
  </r>
  <r>
    <x v="0"/>
    <x v="0"/>
    <x v="0"/>
    <x v="3"/>
    <x v="7"/>
    <s v="DE4-W_Offshore_A"/>
    <x v="10"/>
    <x v="59"/>
    <x v="0"/>
    <x v="9"/>
    <n v="24.807130792243701"/>
    <n v="9054.6027391689495"/>
    <n v="32596.5698610082"/>
  </r>
  <r>
    <x v="0"/>
    <x v="0"/>
    <x v="0"/>
    <x v="3"/>
    <x v="7"/>
    <s v="DE4-W_Offshore_A"/>
    <x v="10"/>
    <x v="59"/>
    <x v="0"/>
    <x v="10"/>
    <n v="28.6226865715456"/>
    <n v="10447.280598614099"/>
    <n v="37610.2101550109"/>
  </r>
  <r>
    <x v="0"/>
    <x v="0"/>
    <x v="0"/>
    <x v="3"/>
    <x v="7"/>
    <s v="DE4-W_Offshore_A"/>
    <x v="10"/>
    <x v="59"/>
    <x v="0"/>
    <x v="11"/>
    <n v="31.5306937522375"/>
    <n v="11508.7032195667"/>
    <n v="41431.331590440102"/>
  </r>
  <r>
    <x v="0"/>
    <x v="0"/>
    <x v="0"/>
    <x v="3"/>
    <x v="7"/>
    <s v="DE4-W_Offshore_A"/>
    <x v="10"/>
    <x v="59"/>
    <x v="0"/>
    <x v="12"/>
    <n v="38.800711703967401"/>
    <n v="14162.2597719481"/>
    <n v="50984.135179013101"/>
  </r>
  <r>
    <x v="0"/>
    <x v="0"/>
    <x v="0"/>
    <x v="3"/>
    <x v="7"/>
    <s v="DE4-W_Offshore_A"/>
    <x v="10"/>
    <x v="59"/>
    <x v="0"/>
    <x v="13"/>
    <n v="45.3413205698117"/>
    <n v="16549.582007981298"/>
    <n v="59578.495228732601"/>
  </r>
  <r>
    <x v="0"/>
    <x v="0"/>
    <x v="0"/>
    <x v="3"/>
    <x v="7"/>
    <s v="DE4-W_Offshore_A"/>
    <x v="10"/>
    <x v="59"/>
    <x v="0"/>
    <x v="14"/>
    <n v="52.794292615691099"/>
    <n v="19269.9168047272"/>
    <n v="69371.700497018101"/>
  </r>
  <r>
    <x v="0"/>
    <x v="0"/>
    <x v="0"/>
    <x v="3"/>
    <x v="7"/>
    <s v="DE4-W_Offshore_A"/>
    <x v="10"/>
    <x v="59"/>
    <x v="0"/>
    <x v="15"/>
    <n v="60.150973033070699"/>
    <n v="21955.1051570708"/>
    <n v="79038.378565454899"/>
  </r>
  <r>
    <x v="0"/>
    <x v="0"/>
    <x v="0"/>
    <x v="3"/>
    <x v="7"/>
    <s v="DE4-W_Offshore_A"/>
    <x v="10"/>
    <x v="59"/>
    <x v="0"/>
    <x v="16"/>
    <n v="69.972719140043395"/>
    <n v="25540.042486115799"/>
    <n v="91944.152950017102"/>
  </r>
  <r>
    <x v="0"/>
    <x v="0"/>
    <x v="0"/>
    <x v="3"/>
    <x v="7"/>
    <s v="DE4-W_Offshore_A"/>
    <x v="10"/>
    <x v="59"/>
    <x v="0"/>
    <x v="17"/>
    <n v="78.944691625505996"/>
    <n v="28814.8124433097"/>
    <n v="103733.324795915"/>
  </r>
  <r>
    <x v="0"/>
    <x v="0"/>
    <x v="0"/>
    <x v="3"/>
    <x v="7"/>
    <s v="DE4-W_Offshore_A"/>
    <x v="10"/>
    <x v="59"/>
    <x v="0"/>
    <x v="18"/>
    <n v="88.559410731204395"/>
    <n v="32324.184916889601"/>
    <n v="116367.065700803"/>
  </r>
  <r>
    <x v="0"/>
    <x v="0"/>
    <x v="0"/>
    <x v="3"/>
    <x v="7"/>
    <s v="DE4-W_Offshore_A"/>
    <x v="10"/>
    <x v="59"/>
    <x v="0"/>
    <x v="19"/>
    <n v="98.2222756511526"/>
    <n v="35851.130612670699"/>
    <n v="129064.070205614"/>
  </r>
  <r>
    <x v="0"/>
    <x v="0"/>
    <x v="0"/>
    <x v="3"/>
    <x v="7"/>
    <s v="DE4-W_Offshore_A"/>
    <x v="10"/>
    <x v="59"/>
    <x v="0"/>
    <x v="20"/>
    <n v="106.47446821358"/>
    <n v="38863.180897956598"/>
    <n v="139907.451232644"/>
  </r>
  <r>
    <x v="0"/>
    <x v="0"/>
    <x v="0"/>
    <x v="3"/>
    <x v="7"/>
    <s v="DE4-W_Offshore_A"/>
    <x v="10"/>
    <x v="59"/>
    <x v="0"/>
    <x v="21"/>
    <n v="115.552361490392"/>
    <n v="42176.611943993099"/>
    <n v="151835.802998375"/>
  </r>
  <r>
    <x v="0"/>
    <x v="0"/>
    <x v="0"/>
    <x v="3"/>
    <x v="7"/>
    <s v="DE4-W_Offshore_A"/>
    <x v="10"/>
    <x v="59"/>
    <x v="0"/>
    <x v="22"/>
    <n v="127.008657991148"/>
    <n v="46358.160166768903"/>
    <n v="166889.37660036801"/>
  </r>
  <r>
    <x v="0"/>
    <x v="0"/>
    <x v="0"/>
    <x v="3"/>
    <x v="7"/>
    <s v="DE4-W_Offshore_A"/>
    <x v="10"/>
    <x v="59"/>
    <x v="0"/>
    <x v="23"/>
    <n v="134.480888362727"/>
    <n v="49085.5242523954"/>
    <n v="176707.887308623"/>
  </r>
  <r>
    <x v="0"/>
    <x v="0"/>
    <x v="0"/>
    <x v="4"/>
    <x v="8"/>
    <s v="LV_Other_DH"/>
    <x v="0"/>
    <x v="160"/>
    <x v="0"/>
    <x v="0"/>
    <n v="203.9651416122"/>
    <n v="74447.276688453203"/>
    <n v="268010.19607843098"/>
  </r>
  <r>
    <x v="0"/>
    <x v="0"/>
    <x v="0"/>
    <x v="4"/>
    <x v="8"/>
    <s v="LV_Other_DH"/>
    <x v="0"/>
    <x v="160"/>
    <x v="0"/>
    <x v="1"/>
    <n v="203.9651416122"/>
    <n v="74447.276688453203"/>
    <n v="268010.19607843098"/>
  </r>
  <r>
    <x v="0"/>
    <x v="0"/>
    <x v="0"/>
    <x v="4"/>
    <x v="8"/>
    <s v="LV_Other_DH"/>
    <x v="0"/>
    <x v="160"/>
    <x v="0"/>
    <x v="2"/>
    <n v="203.9651416122"/>
    <n v="74447.276688453203"/>
    <n v="268010.19607843098"/>
  </r>
  <r>
    <x v="0"/>
    <x v="0"/>
    <x v="0"/>
    <x v="4"/>
    <x v="8"/>
    <s v="LV_Other_DH"/>
    <x v="0"/>
    <x v="160"/>
    <x v="0"/>
    <x v="3"/>
    <n v="203.9651416122"/>
    <n v="74447.276688453203"/>
    <n v="268010.19607843098"/>
  </r>
  <r>
    <x v="0"/>
    <x v="0"/>
    <x v="0"/>
    <x v="4"/>
    <x v="8"/>
    <s v="LV_Other_DH"/>
    <x v="0"/>
    <x v="160"/>
    <x v="0"/>
    <x v="4"/>
    <n v="203.9651416122"/>
    <n v="74447.276688453203"/>
    <n v="268010.19607843098"/>
  </r>
  <r>
    <x v="0"/>
    <x v="0"/>
    <x v="0"/>
    <x v="4"/>
    <x v="8"/>
    <s v="LV_Other_DH"/>
    <x v="0"/>
    <x v="160"/>
    <x v="0"/>
    <x v="5"/>
    <n v="203.9651416122"/>
    <n v="74447.276688453203"/>
    <n v="268010.19607843098"/>
  </r>
  <r>
    <x v="0"/>
    <x v="0"/>
    <x v="0"/>
    <x v="4"/>
    <x v="8"/>
    <s v="LV_Other_DH"/>
    <x v="0"/>
    <x v="160"/>
    <x v="0"/>
    <x v="6"/>
    <n v="203.9651416122"/>
    <n v="74447.276688453203"/>
    <n v="268010.19607843098"/>
  </r>
  <r>
    <x v="0"/>
    <x v="0"/>
    <x v="0"/>
    <x v="4"/>
    <x v="8"/>
    <s v="LV_Other_DH"/>
    <x v="0"/>
    <x v="160"/>
    <x v="0"/>
    <x v="7"/>
    <n v="203.9651416122"/>
    <n v="74447.276688453203"/>
    <n v="268010.19607843098"/>
  </r>
  <r>
    <x v="0"/>
    <x v="0"/>
    <x v="0"/>
    <x v="4"/>
    <x v="8"/>
    <s v="LV_Other_DH"/>
    <x v="0"/>
    <x v="160"/>
    <x v="0"/>
    <x v="8"/>
    <n v="203.9651416122"/>
    <n v="74447.276688453203"/>
    <n v="268010.19607843098"/>
  </r>
  <r>
    <x v="0"/>
    <x v="0"/>
    <x v="0"/>
    <x v="4"/>
    <x v="8"/>
    <s v="LV_Other_DH"/>
    <x v="0"/>
    <x v="160"/>
    <x v="0"/>
    <x v="9"/>
    <n v="203.9651416122"/>
    <n v="74447.276688453203"/>
    <n v="268010.19607843098"/>
  </r>
  <r>
    <x v="0"/>
    <x v="0"/>
    <x v="0"/>
    <x v="4"/>
    <x v="8"/>
    <s v="LV_Other_DH"/>
    <x v="0"/>
    <x v="160"/>
    <x v="0"/>
    <x v="10"/>
    <n v="203.9651416122"/>
    <n v="74447.276688453203"/>
    <n v="268010.19607843098"/>
  </r>
  <r>
    <x v="0"/>
    <x v="0"/>
    <x v="0"/>
    <x v="4"/>
    <x v="8"/>
    <s v="LV_Other_DH"/>
    <x v="0"/>
    <x v="160"/>
    <x v="0"/>
    <x v="11"/>
    <n v="203.9651416122"/>
    <n v="74447.276688453203"/>
    <n v="268010.19607843098"/>
  </r>
  <r>
    <x v="0"/>
    <x v="0"/>
    <x v="0"/>
    <x v="4"/>
    <x v="8"/>
    <s v="LV_Other_DH"/>
    <x v="0"/>
    <x v="160"/>
    <x v="0"/>
    <x v="12"/>
    <n v="203.9651416122"/>
    <n v="74447.276688453203"/>
    <n v="268010.19607843098"/>
  </r>
  <r>
    <x v="0"/>
    <x v="0"/>
    <x v="0"/>
    <x v="4"/>
    <x v="8"/>
    <s v="LV_Other_DH"/>
    <x v="0"/>
    <x v="160"/>
    <x v="0"/>
    <x v="13"/>
    <n v="203.9651416122"/>
    <n v="74447.276688453203"/>
    <n v="268010.19607843098"/>
  </r>
  <r>
    <x v="0"/>
    <x v="0"/>
    <x v="0"/>
    <x v="4"/>
    <x v="8"/>
    <s v="LV_Other_DH"/>
    <x v="0"/>
    <x v="160"/>
    <x v="0"/>
    <x v="14"/>
    <n v="203.9651416122"/>
    <n v="74447.276688453203"/>
    <n v="268010.19607843098"/>
  </r>
  <r>
    <x v="0"/>
    <x v="0"/>
    <x v="0"/>
    <x v="4"/>
    <x v="8"/>
    <s v="LV_Other_DH"/>
    <x v="0"/>
    <x v="160"/>
    <x v="0"/>
    <x v="15"/>
    <n v="203.9651416122"/>
    <n v="74447.276688453203"/>
    <n v="268010.19607843098"/>
  </r>
  <r>
    <x v="0"/>
    <x v="0"/>
    <x v="0"/>
    <x v="4"/>
    <x v="8"/>
    <s v="LV_Other_DH"/>
    <x v="0"/>
    <x v="160"/>
    <x v="0"/>
    <x v="16"/>
    <n v="203.9651416122"/>
    <n v="74447.276688453203"/>
    <n v="268010.19607843098"/>
  </r>
  <r>
    <x v="0"/>
    <x v="0"/>
    <x v="0"/>
    <x v="4"/>
    <x v="8"/>
    <s v="LV_Other_DH"/>
    <x v="0"/>
    <x v="160"/>
    <x v="0"/>
    <x v="17"/>
    <n v="203.9651416122"/>
    <n v="74447.276688453203"/>
    <n v="268010.19607843098"/>
  </r>
  <r>
    <x v="0"/>
    <x v="0"/>
    <x v="0"/>
    <x v="4"/>
    <x v="8"/>
    <s v="LV_Other_DH"/>
    <x v="0"/>
    <x v="160"/>
    <x v="0"/>
    <x v="18"/>
    <n v="203.9651416122"/>
    <n v="74447.276688453203"/>
    <n v="268010.19607843098"/>
  </r>
  <r>
    <x v="0"/>
    <x v="0"/>
    <x v="0"/>
    <x v="4"/>
    <x v="8"/>
    <s v="LV_Other_DH"/>
    <x v="0"/>
    <x v="160"/>
    <x v="0"/>
    <x v="19"/>
    <n v="203.9651416122"/>
    <n v="74447.276688453203"/>
    <n v="268010.19607843098"/>
  </r>
  <r>
    <x v="0"/>
    <x v="0"/>
    <x v="0"/>
    <x v="4"/>
    <x v="8"/>
    <s v="LV_Other_DH"/>
    <x v="0"/>
    <x v="160"/>
    <x v="0"/>
    <x v="20"/>
    <n v="203.9651416122"/>
    <n v="74447.276688453203"/>
    <n v="268010.19607843098"/>
  </r>
  <r>
    <x v="0"/>
    <x v="0"/>
    <x v="0"/>
    <x v="4"/>
    <x v="8"/>
    <s v="LV_Other_DH"/>
    <x v="0"/>
    <x v="160"/>
    <x v="0"/>
    <x v="21"/>
    <n v="203.9651416122"/>
    <n v="74447.276688453203"/>
    <n v="268010.19607843098"/>
  </r>
  <r>
    <x v="0"/>
    <x v="0"/>
    <x v="0"/>
    <x v="4"/>
    <x v="8"/>
    <s v="LV_Other_DH"/>
    <x v="0"/>
    <x v="160"/>
    <x v="0"/>
    <x v="22"/>
    <n v="203.9651416122"/>
    <n v="74447.276688453203"/>
    <n v="268010.19607843098"/>
  </r>
  <r>
    <x v="0"/>
    <x v="0"/>
    <x v="0"/>
    <x v="4"/>
    <x v="8"/>
    <s v="LV_Other_DH"/>
    <x v="0"/>
    <x v="160"/>
    <x v="0"/>
    <x v="23"/>
    <n v="203.9651416122"/>
    <n v="74447.276688453203"/>
    <n v="268010.19607843098"/>
  </r>
  <r>
    <x v="0"/>
    <x v="0"/>
    <x v="0"/>
    <x v="4"/>
    <x v="8"/>
    <s v="LV_Other_DH"/>
    <x v="13"/>
    <x v="161"/>
    <x v="0"/>
    <x v="0"/>
    <n v="177.64705882352899"/>
    <n v="64841.176470588201"/>
    <n v="233428.235294118"/>
  </r>
  <r>
    <x v="0"/>
    <x v="0"/>
    <x v="0"/>
    <x v="4"/>
    <x v="8"/>
    <s v="LV_Other_DH"/>
    <x v="13"/>
    <x v="161"/>
    <x v="0"/>
    <x v="1"/>
    <n v="177.64705882352899"/>
    <n v="64841.176470588201"/>
    <n v="233428.235294118"/>
  </r>
  <r>
    <x v="0"/>
    <x v="0"/>
    <x v="0"/>
    <x v="4"/>
    <x v="8"/>
    <s v="LV_Other_DH"/>
    <x v="13"/>
    <x v="161"/>
    <x v="0"/>
    <x v="2"/>
    <n v="177.64705882352899"/>
    <n v="64841.176470588201"/>
    <n v="233428.235294118"/>
  </r>
  <r>
    <x v="0"/>
    <x v="0"/>
    <x v="0"/>
    <x v="4"/>
    <x v="8"/>
    <s v="LV_Other_DH"/>
    <x v="13"/>
    <x v="161"/>
    <x v="0"/>
    <x v="3"/>
    <n v="177.64705882352899"/>
    <n v="64841.176470588201"/>
    <n v="233428.235294118"/>
  </r>
  <r>
    <x v="0"/>
    <x v="0"/>
    <x v="0"/>
    <x v="4"/>
    <x v="8"/>
    <s v="LV_Other_DH"/>
    <x v="13"/>
    <x v="161"/>
    <x v="0"/>
    <x v="4"/>
    <n v="177.64705882352899"/>
    <n v="64841.176470588201"/>
    <n v="233428.235294118"/>
  </r>
  <r>
    <x v="0"/>
    <x v="0"/>
    <x v="0"/>
    <x v="4"/>
    <x v="8"/>
    <s v="LV_Other_DH"/>
    <x v="13"/>
    <x v="161"/>
    <x v="0"/>
    <x v="5"/>
    <n v="177.64705882352899"/>
    <n v="64841.176470588201"/>
    <n v="233428.235294118"/>
  </r>
  <r>
    <x v="0"/>
    <x v="0"/>
    <x v="0"/>
    <x v="4"/>
    <x v="8"/>
    <s v="LV_Other_DH"/>
    <x v="13"/>
    <x v="161"/>
    <x v="0"/>
    <x v="6"/>
    <n v="177.64705882352899"/>
    <n v="64841.176470588201"/>
    <n v="233428.235294118"/>
  </r>
  <r>
    <x v="0"/>
    <x v="0"/>
    <x v="0"/>
    <x v="4"/>
    <x v="8"/>
    <s v="LV_Other_DH"/>
    <x v="13"/>
    <x v="161"/>
    <x v="0"/>
    <x v="7"/>
    <n v="177.64705882352899"/>
    <n v="64841.176470588201"/>
    <n v="233428.235294118"/>
  </r>
  <r>
    <x v="0"/>
    <x v="0"/>
    <x v="0"/>
    <x v="4"/>
    <x v="8"/>
    <s v="LV_Other_DH"/>
    <x v="13"/>
    <x v="161"/>
    <x v="0"/>
    <x v="8"/>
    <n v="177.64705882352899"/>
    <n v="64841.176470588201"/>
    <n v="233428.235294118"/>
  </r>
  <r>
    <x v="0"/>
    <x v="0"/>
    <x v="0"/>
    <x v="4"/>
    <x v="8"/>
    <s v="LV_Other_DH"/>
    <x v="13"/>
    <x v="161"/>
    <x v="0"/>
    <x v="9"/>
    <n v="177.64705882352899"/>
    <n v="64841.176470588201"/>
    <n v="233428.235294118"/>
  </r>
  <r>
    <x v="0"/>
    <x v="0"/>
    <x v="0"/>
    <x v="4"/>
    <x v="8"/>
    <s v="LV_Other_DH"/>
    <x v="13"/>
    <x v="161"/>
    <x v="0"/>
    <x v="10"/>
    <n v="177.64705882352899"/>
    <n v="64841.176470588201"/>
    <n v="233428.235294118"/>
  </r>
  <r>
    <x v="0"/>
    <x v="0"/>
    <x v="0"/>
    <x v="4"/>
    <x v="8"/>
    <s v="LV_Other_DH"/>
    <x v="13"/>
    <x v="161"/>
    <x v="0"/>
    <x v="11"/>
    <n v="177.64705882352899"/>
    <n v="64841.176470588201"/>
    <n v="233428.235294118"/>
  </r>
  <r>
    <x v="0"/>
    <x v="0"/>
    <x v="0"/>
    <x v="4"/>
    <x v="8"/>
    <s v="LV_Other_DH"/>
    <x v="13"/>
    <x v="161"/>
    <x v="0"/>
    <x v="12"/>
    <n v="177.64705882352899"/>
    <n v="64841.176470588201"/>
    <n v="233428.235294118"/>
  </r>
  <r>
    <x v="0"/>
    <x v="0"/>
    <x v="0"/>
    <x v="4"/>
    <x v="8"/>
    <s v="LV_Other_DH"/>
    <x v="13"/>
    <x v="161"/>
    <x v="0"/>
    <x v="13"/>
    <n v="177.64705882352899"/>
    <n v="64841.176470588201"/>
    <n v="233428.235294118"/>
  </r>
  <r>
    <x v="0"/>
    <x v="0"/>
    <x v="0"/>
    <x v="4"/>
    <x v="8"/>
    <s v="LV_Other_DH"/>
    <x v="13"/>
    <x v="161"/>
    <x v="0"/>
    <x v="14"/>
    <n v="177.64705882352899"/>
    <n v="64841.176470588201"/>
    <n v="233428.235294118"/>
  </r>
  <r>
    <x v="0"/>
    <x v="0"/>
    <x v="0"/>
    <x v="4"/>
    <x v="8"/>
    <s v="LV_Other_DH"/>
    <x v="13"/>
    <x v="161"/>
    <x v="0"/>
    <x v="15"/>
    <n v="177.64705882352899"/>
    <n v="64841.176470588201"/>
    <n v="233428.235294118"/>
  </r>
  <r>
    <x v="0"/>
    <x v="0"/>
    <x v="0"/>
    <x v="4"/>
    <x v="8"/>
    <s v="LV_Other_DH"/>
    <x v="13"/>
    <x v="161"/>
    <x v="0"/>
    <x v="16"/>
    <n v="177.64705882352899"/>
    <n v="64841.176470588201"/>
    <n v="233428.235294118"/>
  </r>
  <r>
    <x v="0"/>
    <x v="0"/>
    <x v="0"/>
    <x v="4"/>
    <x v="8"/>
    <s v="LV_Other_DH"/>
    <x v="13"/>
    <x v="161"/>
    <x v="0"/>
    <x v="17"/>
    <n v="177.64705882352899"/>
    <n v="64841.176470588201"/>
    <n v="233428.235294118"/>
  </r>
  <r>
    <x v="0"/>
    <x v="0"/>
    <x v="0"/>
    <x v="4"/>
    <x v="8"/>
    <s v="LV_Other_DH"/>
    <x v="13"/>
    <x v="161"/>
    <x v="0"/>
    <x v="18"/>
    <n v="177.64705882352899"/>
    <n v="64841.176470588201"/>
    <n v="233428.235294118"/>
  </r>
  <r>
    <x v="0"/>
    <x v="0"/>
    <x v="0"/>
    <x v="4"/>
    <x v="8"/>
    <s v="LV_Other_DH"/>
    <x v="13"/>
    <x v="161"/>
    <x v="0"/>
    <x v="19"/>
    <n v="177.64705882352899"/>
    <n v="64841.176470588201"/>
    <n v="233428.235294118"/>
  </r>
  <r>
    <x v="0"/>
    <x v="0"/>
    <x v="0"/>
    <x v="4"/>
    <x v="8"/>
    <s v="LV_Other_DH"/>
    <x v="13"/>
    <x v="161"/>
    <x v="0"/>
    <x v="20"/>
    <n v="177.64705882352899"/>
    <n v="64841.176470588201"/>
    <n v="233428.235294118"/>
  </r>
  <r>
    <x v="0"/>
    <x v="0"/>
    <x v="0"/>
    <x v="4"/>
    <x v="8"/>
    <s v="LV_Other_DH"/>
    <x v="13"/>
    <x v="161"/>
    <x v="0"/>
    <x v="21"/>
    <n v="177.64705882352899"/>
    <n v="64841.176470588201"/>
    <n v="233428.235294118"/>
  </r>
  <r>
    <x v="0"/>
    <x v="0"/>
    <x v="0"/>
    <x v="4"/>
    <x v="8"/>
    <s v="LV_Other_DH"/>
    <x v="13"/>
    <x v="161"/>
    <x v="0"/>
    <x v="22"/>
    <n v="177.64705882352899"/>
    <n v="64841.176470588201"/>
    <n v="233428.235294118"/>
  </r>
  <r>
    <x v="0"/>
    <x v="0"/>
    <x v="0"/>
    <x v="4"/>
    <x v="8"/>
    <s v="LV_Other_DH"/>
    <x v="13"/>
    <x v="161"/>
    <x v="0"/>
    <x v="23"/>
    <n v="177.64705882352899"/>
    <n v="64841.176470588201"/>
    <n v="233428.235294118"/>
  </r>
  <r>
    <x v="0"/>
    <x v="0"/>
    <x v="0"/>
    <x v="4"/>
    <x v="8"/>
    <s v="LV_RigaR"/>
    <x v="3"/>
    <x v="162"/>
    <x v="0"/>
    <x v="0"/>
    <n v="89.239970152260796"/>
    <n v="32572.5891055752"/>
    <n v="117261.32078007099"/>
  </r>
  <r>
    <x v="0"/>
    <x v="0"/>
    <x v="0"/>
    <x v="4"/>
    <x v="8"/>
    <s v="LV_RigaR"/>
    <x v="3"/>
    <x v="162"/>
    <x v="0"/>
    <x v="5"/>
    <n v="43.606468908365002"/>
    <n v="15916.361151553199"/>
    <n v="57298.9001455916"/>
  </r>
  <r>
    <x v="0"/>
    <x v="0"/>
    <x v="0"/>
    <x v="4"/>
    <x v="8"/>
    <s v="LV_RigaR"/>
    <x v="3"/>
    <x v="162"/>
    <x v="0"/>
    <x v="6"/>
    <n v="276.91360126932398"/>
    <n v="101073.464463303"/>
    <n v="363864.47206789203"/>
  </r>
  <r>
    <x v="0"/>
    <x v="0"/>
    <x v="0"/>
    <x v="4"/>
    <x v="8"/>
    <s v="LV_RigaR"/>
    <x v="3"/>
    <x v="162"/>
    <x v="0"/>
    <x v="7"/>
    <n v="614.333354021422"/>
    <n v="224231.674217819"/>
    <n v="807234.02718414902"/>
  </r>
  <r>
    <x v="0"/>
    <x v="0"/>
    <x v="0"/>
    <x v="4"/>
    <x v="8"/>
    <s v="LV_RigaR"/>
    <x v="3"/>
    <x v="162"/>
    <x v="0"/>
    <x v="8"/>
    <n v="840.10969718529998"/>
    <n v="306640.03947263397"/>
    <n v="1103904.1421014799"/>
  </r>
  <r>
    <x v="0"/>
    <x v="0"/>
    <x v="0"/>
    <x v="4"/>
    <x v="8"/>
    <s v="LV_RigaR"/>
    <x v="3"/>
    <x v="162"/>
    <x v="0"/>
    <x v="9"/>
    <n v="899.95811180076703"/>
    <n v="328484.71080727997"/>
    <n v="1182544.95890621"/>
  </r>
  <r>
    <x v="0"/>
    <x v="0"/>
    <x v="0"/>
    <x v="4"/>
    <x v="8"/>
    <s v="LV_RigaR"/>
    <x v="3"/>
    <x v="162"/>
    <x v="0"/>
    <x v="10"/>
    <n v="921.61256762672997"/>
    <n v="336388.587183756"/>
    <n v="1210998.9138615199"/>
  </r>
  <r>
    <x v="0"/>
    <x v="0"/>
    <x v="0"/>
    <x v="4"/>
    <x v="8"/>
    <s v="LV_RigaR"/>
    <x v="3"/>
    <x v="162"/>
    <x v="0"/>
    <x v="11"/>
    <n v="880.80760635048"/>
    <n v="321494.77631792502"/>
    <n v="1157381.1947445299"/>
  </r>
  <r>
    <x v="0"/>
    <x v="0"/>
    <x v="0"/>
    <x v="4"/>
    <x v="8"/>
    <s v="LV_RigaR"/>
    <x v="3"/>
    <x v="162"/>
    <x v="0"/>
    <x v="12"/>
    <n v="872.38521824953295"/>
    <n v="318420.60466108"/>
    <n v="1146314.17677989"/>
  </r>
  <r>
    <x v="0"/>
    <x v="0"/>
    <x v="0"/>
    <x v="4"/>
    <x v="8"/>
    <s v="LV_RigaR"/>
    <x v="3"/>
    <x v="162"/>
    <x v="0"/>
    <x v="13"/>
    <n v="862.18832352008701"/>
    <n v="314698.73808483197"/>
    <n v="1132915.45710539"/>
  </r>
  <r>
    <x v="0"/>
    <x v="0"/>
    <x v="0"/>
    <x v="4"/>
    <x v="8"/>
    <s v="LV_RigaR"/>
    <x v="3"/>
    <x v="162"/>
    <x v="0"/>
    <x v="14"/>
    <n v="868.93318694422999"/>
    <n v="317160.613234644"/>
    <n v="1141778.2076447201"/>
  </r>
  <r>
    <x v="0"/>
    <x v="0"/>
    <x v="0"/>
    <x v="4"/>
    <x v="8"/>
    <s v="LV_RigaR"/>
    <x v="3"/>
    <x v="162"/>
    <x v="0"/>
    <x v="15"/>
    <n v="874.30016272588898"/>
    <n v="319119.559394949"/>
    <n v="1148830.4138218199"/>
  </r>
  <r>
    <x v="0"/>
    <x v="0"/>
    <x v="0"/>
    <x v="4"/>
    <x v="8"/>
    <s v="LV_RigaR"/>
    <x v="3"/>
    <x v="162"/>
    <x v="0"/>
    <x v="16"/>
    <n v="948.793297425785"/>
    <n v="346309.55356041098"/>
    <n v="1246714.39281748"/>
  </r>
  <r>
    <x v="0"/>
    <x v="0"/>
    <x v="0"/>
    <x v="4"/>
    <x v="8"/>
    <s v="LV_RigaR"/>
    <x v="3"/>
    <x v="162"/>
    <x v="0"/>
    <x v="17"/>
    <n v="933.97051781131597"/>
    <n v="340899.23900112999"/>
    <n v="1227237.2604040699"/>
  </r>
  <r>
    <x v="0"/>
    <x v="0"/>
    <x v="0"/>
    <x v="4"/>
    <x v="8"/>
    <s v="LV_RigaR"/>
    <x v="3"/>
    <x v="162"/>
    <x v="0"/>
    <x v="18"/>
    <n v="873.05402175202801"/>
    <n v="318664.71793948999"/>
    <n v="1147192.9845821599"/>
  </r>
  <r>
    <x v="0"/>
    <x v="0"/>
    <x v="0"/>
    <x v="4"/>
    <x v="8"/>
    <s v="LV_RigaR"/>
    <x v="3"/>
    <x v="162"/>
    <x v="0"/>
    <x v="19"/>
    <n v="783.42702126382801"/>
    <n v="285950.86276129697"/>
    <n v="1029423.10594067"/>
  </r>
  <r>
    <x v="0"/>
    <x v="0"/>
    <x v="0"/>
    <x v="4"/>
    <x v="8"/>
    <s v="LV_RigaR"/>
    <x v="3"/>
    <x v="162"/>
    <x v="0"/>
    <x v="20"/>
    <n v="708.57065331470403"/>
    <n v="258628.28845986701"/>
    <n v="931061.83845552104"/>
  </r>
  <r>
    <x v="0"/>
    <x v="0"/>
    <x v="0"/>
    <x v="4"/>
    <x v="8"/>
    <s v="LV_RigaR"/>
    <x v="3"/>
    <x v="162"/>
    <x v="0"/>
    <x v="21"/>
    <n v="608.93340980135804"/>
    <n v="222260.694577496"/>
    <n v="800138.50047898502"/>
  </r>
  <r>
    <x v="0"/>
    <x v="0"/>
    <x v="0"/>
    <x v="4"/>
    <x v="8"/>
    <s v="LV_RigaR"/>
    <x v="3"/>
    <x v="162"/>
    <x v="0"/>
    <x v="22"/>
    <n v="434.10539658764202"/>
    <n v="158448.46975448899"/>
    <n v="570414.49111616099"/>
  </r>
  <r>
    <x v="0"/>
    <x v="0"/>
    <x v="0"/>
    <x v="4"/>
    <x v="8"/>
    <s v="LV_RigaR"/>
    <x v="3"/>
    <x v="162"/>
    <x v="0"/>
    <x v="23"/>
    <n v="230.44382345562099"/>
    <n v="84111.995561301694"/>
    <n v="302803.18402068602"/>
  </r>
  <r>
    <x v="0"/>
    <x v="0"/>
    <x v="0"/>
    <x v="4"/>
    <x v="8"/>
    <s v="LV_RigaR"/>
    <x v="9"/>
    <x v="156"/>
    <x v="0"/>
    <x v="9"/>
    <n v="1.1013698630137001"/>
    <n v="402"/>
    <n v="1447.2"/>
  </r>
  <r>
    <x v="0"/>
    <x v="0"/>
    <x v="0"/>
    <x v="4"/>
    <x v="8"/>
    <s v="LV_Rural"/>
    <x v="10"/>
    <x v="58"/>
    <x v="0"/>
    <x v="0"/>
    <n v="3.5228018212877599"/>
    <n v="1285.8226647700301"/>
    <n v="4628.96159317212"/>
  </r>
  <r>
    <x v="0"/>
    <x v="0"/>
    <x v="0"/>
    <x v="4"/>
    <x v="8"/>
    <s v="LV_Rural"/>
    <x v="10"/>
    <x v="58"/>
    <x v="0"/>
    <x v="1"/>
    <n v="4.2273621855453101"/>
    <n v="1542.98719772404"/>
    <n v="5554.7539118065397"/>
  </r>
  <r>
    <x v="0"/>
    <x v="0"/>
    <x v="0"/>
    <x v="4"/>
    <x v="8"/>
    <s v="LV_Rural"/>
    <x v="10"/>
    <x v="58"/>
    <x v="0"/>
    <x v="2"/>
    <n v="4.1267107049370901"/>
    <n v="1506.24940730204"/>
    <n v="5422.49786628734"/>
  </r>
  <r>
    <x v="0"/>
    <x v="0"/>
    <x v="0"/>
    <x v="4"/>
    <x v="8"/>
    <s v="LV_Rural"/>
    <x v="10"/>
    <x v="58"/>
    <x v="0"/>
    <x v="3"/>
    <n v="3.8750820034165399"/>
    <n v="1414.4049312470399"/>
    <n v="5091.8577524893299"/>
  </r>
  <r>
    <x v="0"/>
    <x v="0"/>
    <x v="0"/>
    <x v="4"/>
    <x v="8"/>
    <s v="LV_Rural"/>
    <x v="10"/>
    <x v="58"/>
    <x v="0"/>
    <x v="4"/>
    <n v="2.8685671973343201"/>
    <n v="1047.02702702703"/>
    <n v="3769.2972972972998"/>
  </r>
  <r>
    <x v="0"/>
    <x v="0"/>
    <x v="0"/>
    <x v="4"/>
    <x v="8"/>
    <s v="LV_Rural"/>
    <x v="10"/>
    <x v="58"/>
    <x v="0"/>
    <x v="5"/>
    <n v="1.66074943003566"/>
    <n v="606.17354196301596"/>
    <n v="2182.2247510668599"/>
  </r>
  <r>
    <x v="0"/>
    <x v="0"/>
    <x v="0"/>
    <x v="4"/>
    <x v="8"/>
    <s v="LV_Rural"/>
    <x v="10"/>
    <x v="58"/>
    <x v="0"/>
    <x v="6"/>
    <n v="0.35228018212877599"/>
    <n v="128.582266477003"/>
    <n v="462.89615931721198"/>
  </r>
  <r>
    <x v="0"/>
    <x v="0"/>
    <x v="0"/>
    <x v="4"/>
    <x v="8"/>
    <s v="LV_Rural"/>
    <x v="10"/>
    <x v="58"/>
    <x v="0"/>
    <x v="7"/>
    <n v="0.251628701520554"/>
    <n v="91.844476055002403"/>
    <n v="330.640113798009"/>
  </r>
  <r>
    <x v="0"/>
    <x v="0"/>
    <x v="0"/>
    <x v="4"/>
    <x v="8"/>
    <s v="LV_Rural"/>
    <x v="10"/>
    <x v="58"/>
    <x v="0"/>
    <x v="8"/>
    <n v="0.35228018212877599"/>
    <n v="128.582266477003"/>
    <n v="462.89615931721198"/>
  </r>
  <r>
    <x v="0"/>
    <x v="0"/>
    <x v="0"/>
    <x v="4"/>
    <x v="8"/>
    <s v="LV_Rural"/>
    <x v="10"/>
    <x v="58"/>
    <x v="0"/>
    <x v="9"/>
    <n v="1.66074943003566"/>
    <n v="606.17354196301596"/>
    <n v="2182.2247510668599"/>
  </r>
  <r>
    <x v="0"/>
    <x v="0"/>
    <x v="0"/>
    <x v="4"/>
    <x v="8"/>
    <s v="LV_Rural"/>
    <x v="10"/>
    <x v="58"/>
    <x v="0"/>
    <x v="10"/>
    <n v="3.8750820034165399"/>
    <n v="1414.4049312470399"/>
    <n v="5091.8577524893299"/>
  </r>
  <r>
    <x v="0"/>
    <x v="0"/>
    <x v="0"/>
    <x v="4"/>
    <x v="8"/>
    <s v="LV_Rural"/>
    <x v="10"/>
    <x v="58"/>
    <x v="0"/>
    <x v="11"/>
    <n v="5.9887630961892002"/>
    <n v="2185.8985301090602"/>
    <n v="7869.2347083925997"/>
  </r>
  <r>
    <x v="0"/>
    <x v="0"/>
    <x v="0"/>
    <x v="4"/>
    <x v="8"/>
    <s v="LV_Rural"/>
    <x v="10"/>
    <x v="58"/>
    <x v="0"/>
    <x v="12"/>
    <n v="6.9449521619672998"/>
    <n v="2534.90753911807"/>
    <n v="9125.6671408250295"/>
  </r>
  <r>
    <x v="0"/>
    <x v="0"/>
    <x v="0"/>
    <x v="4"/>
    <x v="8"/>
    <s v="LV_Rural"/>
    <x v="10"/>
    <x v="58"/>
    <x v="0"/>
    <x v="13"/>
    <n v="7.9514669680495196"/>
    <n v="2902.2854433380699"/>
    <n v="10448.227596017099"/>
  </r>
  <r>
    <x v="0"/>
    <x v="0"/>
    <x v="0"/>
    <x v="4"/>
    <x v="8"/>
    <s v="LV_Rural"/>
    <x v="10"/>
    <x v="58"/>
    <x v="0"/>
    <x v="14"/>
    <n v="7.9514669680495196"/>
    <n v="2902.2854433380699"/>
    <n v="10448.227596017099"/>
  </r>
  <r>
    <x v="0"/>
    <x v="0"/>
    <x v="0"/>
    <x v="4"/>
    <x v="8"/>
    <s v="LV_Rural"/>
    <x v="10"/>
    <x v="58"/>
    <x v="0"/>
    <x v="15"/>
    <n v="12.581435076027701"/>
    <n v="4592.2238027501198"/>
    <n v="16532.005689900401"/>
  </r>
  <r>
    <x v="0"/>
    <x v="0"/>
    <x v="0"/>
    <x v="4"/>
    <x v="8"/>
    <s v="LV_Rural"/>
    <x v="10"/>
    <x v="58"/>
    <x v="0"/>
    <x v="16"/>
    <n v="16.255214118227801"/>
    <n v="5933.15315315315"/>
    <n v="21359.351351351299"/>
  </r>
  <r>
    <x v="0"/>
    <x v="0"/>
    <x v="0"/>
    <x v="4"/>
    <x v="8"/>
    <s v="LV_Rural"/>
    <x v="10"/>
    <x v="58"/>
    <x v="0"/>
    <x v="17"/>
    <n v="16.053911157011399"/>
    <n v="5859.6775723091496"/>
    <n v="21094.8392603129"/>
  </r>
  <r>
    <x v="0"/>
    <x v="0"/>
    <x v="0"/>
    <x v="4"/>
    <x v="8"/>
    <s v="LV_Rural"/>
    <x v="10"/>
    <x v="58"/>
    <x v="0"/>
    <x v="18"/>
    <n v="21.942022772592299"/>
    <n v="8008.83831199621"/>
    <n v="28831.8179231863"/>
  </r>
  <r>
    <x v="0"/>
    <x v="0"/>
    <x v="0"/>
    <x v="4"/>
    <x v="8"/>
    <s v="LV_Rural"/>
    <x v="10"/>
    <x v="58"/>
    <x v="0"/>
    <x v="19"/>
    <n v="32.661405457367998"/>
    <n v="11921.4129919393"/>
    <n v="42917.086770981499"/>
  </r>
  <r>
    <x v="0"/>
    <x v="0"/>
    <x v="0"/>
    <x v="4"/>
    <x v="8"/>
    <s v="LV_Rural"/>
    <x v="10"/>
    <x v="58"/>
    <x v="0"/>
    <x v="20"/>
    <n v="37.844956708691399"/>
    <n v="13813.4091986724"/>
    <n v="49728.273115220501"/>
  </r>
  <r>
    <x v="0"/>
    <x v="0"/>
    <x v="0"/>
    <x v="4"/>
    <x v="8"/>
    <s v="LV_Rural"/>
    <x v="10"/>
    <x v="58"/>
    <x v="0"/>
    <x v="21"/>
    <n v="40.814175386633899"/>
    <n v="14897.1740161214"/>
    <n v="53629.826458037001"/>
  </r>
  <r>
    <x v="0"/>
    <x v="0"/>
    <x v="0"/>
    <x v="4"/>
    <x v="8"/>
    <s v="LV_Rural"/>
    <x v="10"/>
    <x v="58"/>
    <x v="0"/>
    <x v="22"/>
    <n v="41.468410010587398"/>
    <n v="15135.9696538644"/>
    <n v="54489.490753911799"/>
  </r>
  <r>
    <x v="0"/>
    <x v="0"/>
    <x v="0"/>
    <x v="4"/>
    <x v="8"/>
    <s v="LV_Rural"/>
    <x v="10"/>
    <x v="58"/>
    <x v="0"/>
    <x v="23"/>
    <n v="43.179485180927102"/>
    <n v="15760.512091038399"/>
    <n v="56737.843527738303"/>
  </r>
  <r>
    <x v="0"/>
    <x v="0"/>
    <x v="0"/>
    <x v="5"/>
    <x v="9"/>
    <s v="LT_KauU"/>
    <x v="2"/>
    <x v="163"/>
    <x v="0"/>
    <x v="0"/>
    <n v="92.0923189864086"/>
    <n v="33613.696430039199"/>
    <n v="121009.307148141"/>
  </r>
  <r>
    <x v="0"/>
    <x v="0"/>
    <x v="0"/>
    <x v="5"/>
    <x v="9"/>
    <s v="LT_KauU"/>
    <x v="2"/>
    <x v="163"/>
    <x v="0"/>
    <x v="1"/>
    <n v="92.0923189864086"/>
    <n v="33613.696430039199"/>
    <n v="121009.307148141"/>
  </r>
  <r>
    <x v="0"/>
    <x v="0"/>
    <x v="0"/>
    <x v="5"/>
    <x v="9"/>
    <s v="LT_KauU"/>
    <x v="2"/>
    <x v="163"/>
    <x v="0"/>
    <x v="2"/>
    <n v="92.0923189864086"/>
    <n v="33613.696430039199"/>
    <n v="121009.307148141"/>
  </r>
  <r>
    <x v="0"/>
    <x v="0"/>
    <x v="0"/>
    <x v="5"/>
    <x v="9"/>
    <s v="LT_KauU"/>
    <x v="2"/>
    <x v="163"/>
    <x v="0"/>
    <x v="3"/>
    <n v="92.0923189864086"/>
    <n v="33613.696430039199"/>
    <n v="121009.307148141"/>
  </r>
  <r>
    <x v="0"/>
    <x v="0"/>
    <x v="0"/>
    <x v="5"/>
    <x v="9"/>
    <s v="LT_KauU"/>
    <x v="2"/>
    <x v="163"/>
    <x v="0"/>
    <x v="4"/>
    <n v="92.0923189864086"/>
    <n v="33613.696430039199"/>
    <n v="121009.307148141"/>
  </r>
  <r>
    <x v="0"/>
    <x v="0"/>
    <x v="0"/>
    <x v="5"/>
    <x v="9"/>
    <s v="LT_KauU"/>
    <x v="2"/>
    <x v="163"/>
    <x v="0"/>
    <x v="5"/>
    <n v="92.0923189864086"/>
    <n v="33613.696430039199"/>
    <n v="121009.307148141"/>
  </r>
  <r>
    <x v="0"/>
    <x v="0"/>
    <x v="0"/>
    <x v="5"/>
    <x v="9"/>
    <s v="LT_KauU"/>
    <x v="2"/>
    <x v="163"/>
    <x v="0"/>
    <x v="6"/>
    <n v="92.0923189864086"/>
    <n v="33613.696430039199"/>
    <n v="121009.307148141"/>
  </r>
  <r>
    <x v="0"/>
    <x v="0"/>
    <x v="0"/>
    <x v="5"/>
    <x v="9"/>
    <s v="LT_KauU"/>
    <x v="2"/>
    <x v="163"/>
    <x v="0"/>
    <x v="7"/>
    <n v="92.0923189864086"/>
    <n v="33613.696430039199"/>
    <n v="121009.307148141"/>
  </r>
  <r>
    <x v="0"/>
    <x v="0"/>
    <x v="0"/>
    <x v="5"/>
    <x v="9"/>
    <s v="LT_KauU"/>
    <x v="2"/>
    <x v="163"/>
    <x v="0"/>
    <x v="8"/>
    <n v="92.0923189864086"/>
    <n v="33613.696430039199"/>
    <n v="121009.307148141"/>
  </r>
  <r>
    <x v="0"/>
    <x v="0"/>
    <x v="0"/>
    <x v="5"/>
    <x v="9"/>
    <s v="LT_KauU"/>
    <x v="2"/>
    <x v="163"/>
    <x v="0"/>
    <x v="9"/>
    <n v="92.0923189864086"/>
    <n v="33613.696430039199"/>
    <n v="121009.307148141"/>
  </r>
  <r>
    <x v="0"/>
    <x v="0"/>
    <x v="0"/>
    <x v="5"/>
    <x v="9"/>
    <s v="LT_KauU"/>
    <x v="2"/>
    <x v="163"/>
    <x v="0"/>
    <x v="10"/>
    <n v="92.0923189864086"/>
    <n v="33613.696430039199"/>
    <n v="121009.307148141"/>
  </r>
  <r>
    <x v="0"/>
    <x v="0"/>
    <x v="0"/>
    <x v="5"/>
    <x v="9"/>
    <s v="LT_KauU"/>
    <x v="2"/>
    <x v="163"/>
    <x v="0"/>
    <x v="11"/>
    <n v="92.0923189864086"/>
    <n v="33613.696430039199"/>
    <n v="121009.307148141"/>
  </r>
  <r>
    <x v="0"/>
    <x v="0"/>
    <x v="0"/>
    <x v="5"/>
    <x v="9"/>
    <s v="LT_KauU"/>
    <x v="2"/>
    <x v="163"/>
    <x v="0"/>
    <x v="12"/>
    <n v="92.0923189864086"/>
    <n v="33613.696430039199"/>
    <n v="121009.307148141"/>
  </r>
  <r>
    <x v="0"/>
    <x v="0"/>
    <x v="0"/>
    <x v="5"/>
    <x v="9"/>
    <s v="LT_KauU"/>
    <x v="2"/>
    <x v="163"/>
    <x v="0"/>
    <x v="13"/>
    <n v="92.0923189864086"/>
    <n v="33613.696430039199"/>
    <n v="121009.307148141"/>
  </r>
  <r>
    <x v="0"/>
    <x v="0"/>
    <x v="0"/>
    <x v="5"/>
    <x v="9"/>
    <s v="LT_KauU"/>
    <x v="2"/>
    <x v="163"/>
    <x v="0"/>
    <x v="14"/>
    <n v="92.0923189864086"/>
    <n v="33613.696430039199"/>
    <n v="121009.307148141"/>
  </r>
  <r>
    <x v="0"/>
    <x v="0"/>
    <x v="0"/>
    <x v="5"/>
    <x v="9"/>
    <s v="LT_KauU"/>
    <x v="2"/>
    <x v="163"/>
    <x v="0"/>
    <x v="15"/>
    <n v="92.0923189864086"/>
    <n v="33613.696430039199"/>
    <n v="121009.307148141"/>
  </r>
  <r>
    <x v="0"/>
    <x v="0"/>
    <x v="0"/>
    <x v="5"/>
    <x v="9"/>
    <s v="LT_KauU"/>
    <x v="2"/>
    <x v="163"/>
    <x v="0"/>
    <x v="16"/>
    <n v="92.0923189864086"/>
    <n v="33613.696430039199"/>
    <n v="121009.307148141"/>
  </r>
  <r>
    <x v="0"/>
    <x v="0"/>
    <x v="0"/>
    <x v="5"/>
    <x v="9"/>
    <s v="LT_KauU"/>
    <x v="2"/>
    <x v="163"/>
    <x v="0"/>
    <x v="17"/>
    <n v="92.0923189864086"/>
    <n v="33613.696430039199"/>
    <n v="121009.307148141"/>
  </r>
  <r>
    <x v="0"/>
    <x v="0"/>
    <x v="0"/>
    <x v="5"/>
    <x v="9"/>
    <s v="LT_KauU"/>
    <x v="2"/>
    <x v="163"/>
    <x v="0"/>
    <x v="18"/>
    <n v="92.0923189864086"/>
    <n v="33613.696430039199"/>
    <n v="121009.307148141"/>
  </r>
  <r>
    <x v="0"/>
    <x v="0"/>
    <x v="0"/>
    <x v="5"/>
    <x v="9"/>
    <s v="LT_KauU"/>
    <x v="2"/>
    <x v="163"/>
    <x v="0"/>
    <x v="19"/>
    <n v="92.0923189864086"/>
    <n v="33613.696430039199"/>
    <n v="121009.307148141"/>
  </r>
  <r>
    <x v="0"/>
    <x v="0"/>
    <x v="0"/>
    <x v="5"/>
    <x v="9"/>
    <s v="LT_KauU"/>
    <x v="2"/>
    <x v="163"/>
    <x v="0"/>
    <x v="20"/>
    <n v="92.0923189864086"/>
    <n v="33613.696430039199"/>
    <n v="121009.307148141"/>
  </r>
  <r>
    <x v="0"/>
    <x v="0"/>
    <x v="0"/>
    <x v="5"/>
    <x v="9"/>
    <s v="LT_KauU"/>
    <x v="2"/>
    <x v="163"/>
    <x v="0"/>
    <x v="21"/>
    <n v="92.0923189864086"/>
    <n v="33613.696430039199"/>
    <n v="121009.307148141"/>
  </r>
  <r>
    <x v="0"/>
    <x v="0"/>
    <x v="0"/>
    <x v="5"/>
    <x v="9"/>
    <s v="LT_KauU"/>
    <x v="2"/>
    <x v="163"/>
    <x v="0"/>
    <x v="22"/>
    <n v="92.0923189864086"/>
    <n v="33613.696430039199"/>
    <n v="121009.307148141"/>
  </r>
  <r>
    <x v="0"/>
    <x v="0"/>
    <x v="0"/>
    <x v="5"/>
    <x v="9"/>
    <s v="LT_KauU"/>
    <x v="2"/>
    <x v="163"/>
    <x v="0"/>
    <x v="23"/>
    <n v="92.0923189864086"/>
    <n v="33613.696430039199"/>
    <n v="121009.307148141"/>
  </r>
  <r>
    <x v="0"/>
    <x v="0"/>
    <x v="0"/>
    <x v="5"/>
    <x v="9"/>
    <s v="LT_KauU"/>
    <x v="9"/>
    <x v="57"/>
    <x v="0"/>
    <x v="0"/>
    <n v="70.027397260273901"/>
    <n v="25560"/>
    <n v="92016"/>
  </r>
  <r>
    <x v="0"/>
    <x v="0"/>
    <x v="0"/>
    <x v="5"/>
    <x v="9"/>
    <s v="LT_KauU"/>
    <x v="9"/>
    <x v="57"/>
    <x v="0"/>
    <x v="1"/>
    <n v="70.027397260273901"/>
    <n v="25560"/>
    <n v="92016"/>
  </r>
  <r>
    <x v="0"/>
    <x v="0"/>
    <x v="0"/>
    <x v="5"/>
    <x v="9"/>
    <s v="LT_KauU"/>
    <x v="9"/>
    <x v="57"/>
    <x v="0"/>
    <x v="2"/>
    <n v="70.027397260273901"/>
    <n v="25560"/>
    <n v="92016"/>
  </r>
  <r>
    <x v="0"/>
    <x v="0"/>
    <x v="0"/>
    <x v="5"/>
    <x v="9"/>
    <s v="LT_KauU"/>
    <x v="9"/>
    <x v="57"/>
    <x v="0"/>
    <x v="3"/>
    <n v="70.027397260273901"/>
    <n v="25560"/>
    <n v="92016"/>
  </r>
  <r>
    <x v="0"/>
    <x v="0"/>
    <x v="0"/>
    <x v="5"/>
    <x v="9"/>
    <s v="LT_KauU"/>
    <x v="9"/>
    <x v="57"/>
    <x v="0"/>
    <x v="4"/>
    <n v="70.027397260273901"/>
    <n v="25560"/>
    <n v="92016"/>
  </r>
  <r>
    <x v="0"/>
    <x v="0"/>
    <x v="0"/>
    <x v="5"/>
    <x v="9"/>
    <s v="LT_KauU"/>
    <x v="9"/>
    <x v="57"/>
    <x v="0"/>
    <x v="5"/>
    <n v="70.027397260273901"/>
    <n v="25560"/>
    <n v="92016"/>
  </r>
  <r>
    <x v="0"/>
    <x v="0"/>
    <x v="0"/>
    <x v="5"/>
    <x v="9"/>
    <s v="LT_KauU"/>
    <x v="9"/>
    <x v="57"/>
    <x v="0"/>
    <x v="6"/>
    <n v="70.027397260273901"/>
    <n v="25560"/>
    <n v="92016"/>
  </r>
  <r>
    <x v="0"/>
    <x v="0"/>
    <x v="0"/>
    <x v="5"/>
    <x v="9"/>
    <s v="LT_KauU"/>
    <x v="9"/>
    <x v="57"/>
    <x v="0"/>
    <x v="7"/>
    <n v="70.027397260273901"/>
    <n v="25560"/>
    <n v="92016"/>
  </r>
  <r>
    <x v="0"/>
    <x v="0"/>
    <x v="0"/>
    <x v="5"/>
    <x v="9"/>
    <s v="LT_KauU"/>
    <x v="9"/>
    <x v="57"/>
    <x v="0"/>
    <x v="8"/>
    <n v="70.027397260273901"/>
    <n v="25560"/>
    <n v="92016"/>
  </r>
  <r>
    <x v="0"/>
    <x v="0"/>
    <x v="0"/>
    <x v="5"/>
    <x v="9"/>
    <s v="LT_KauU"/>
    <x v="9"/>
    <x v="57"/>
    <x v="0"/>
    <x v="9"/>
    <n v="70.027397260273901"/>
    <n v="25560"/>
    <n v="92016"/>
  </r>
  <r>
    <x v="0"/>
    <x v="0"/>
    <x v="0"/>
    <x v="5"/>
    <x v="9"/>
    <s v="LT_KauU"/>
    <x v="9"/>
    <x v="57"/>
    <x v="0"/>
    <x v="10"/>
    <n v="70.027397260273901"/>
    <n v="25560"/>
    <n v="92016"/>
  </r>
  <r>
    <x v="0"/>
    <x v="0"/>
    <x v="0"/>
    <x v="5"/>
    <x v="9"/>
    <s v="LT_KauU"/>
    <x v="9"/>
    <x v="57"/>
    <x v="0"/>
    <x v="11"/>
    <n v="70.027397260273901"/>
    <n v="25560"/>
    <n v="92016"/>
  </r>
  <r>
    <x v="0"/>
    <x v="0"/>
    <x v="0"/>
    <x v="5"/>
    <x v="9"/>
    <s v="LT_KauU"/>
    <x v="9"/>
    <x v="57"/>
    <x v="0"/>
    <x v="12"/>
    <n v="70.027397260273901"/>
    <n v="25560"/>
    <n v="92016"/>
  </r>
  <r>
    <x v="0"/>
    <x v="0"/>
    <x v="0"/>
    <x v="5"/>
    <x v="9"/>
    <s v="LT_KauU"/>
    <x v="9"/>
    <x v="57"/>
    <x v="0"/>
    <x v="13"/>
    <n v="70.027397260273901"/>
    <n v="25560"/>
    <n v="92016"/>
  </r>
  <r>
    <x v="0"/>
    <x v="0"/>
    <x v="0"/>
    <x v="5"/>
    <x v="9"/>
    <s v="LT_KauU"/>
    <x v="9"/>
    <x v="57"/>
    <x v="0"/>
    <x v="14"/>
    <n v="70.027397260273901"/>
    <n v="25560"/>
    <n v="92016"/>
  </r>
  <r>
    <x v="0"/>
    <x v="0"/>
    <x v="0"/>
    <x v="5"/>
    <x v="9"/>
    <s v="LT_KauU"/>
    <x v="9"/>
    <x v="57"/>
    <x v="0"/>
    <x v="15"/>
    <n v="70.027397260273901"/>
    <n v="25560"/>
    <n v="92016"/>
  </r>
  <r>
    <x v="0"/>
    <x v="0"/>
    <x v="0"/>
    <x v="5"/>
    <x v="9"/>
    <s v="LT_KauU"/>
    <x v="9"/>
    <x v="57"/>
    <x v="0"/>
    <x v="16"/>
    <n v="70.027397260273901"/>
    <n v="25560"/>
    <n v="92016"/>
  </r>
  <r>
    <x v="0"/>
    <x v="0"/>
    <x v="0"/>
    <x v="5"/>
    <x v="9"/>
    <s v="LT_KauU"/>
    <x v="9"/>
    <x v="57"/>
    <x v="0"/>
    <x v="17"/>
    <n v="70.027397260273901"/>
    <n v="25560"/>
    <n v="92016"/>
  </r>
  <r>
    <x v="0"/>
    <x v="0"/>
    <x v="0"/>
    <x v="5"/>
    <x v="9"/>
    <s v="LT_KauU"/>
    <x v="9"/>
    <x v="57"/>
    <x v="0"/>
    <x v="18"/>
    <n v="70.027397260273901"/>
    <n v="25560"/>
    <n v="92016"/>
  </r>
  <r>
    <x v="0"/>
    <x v="0"/>
    <x v="0"/>
    <x v="5"/>
    <x v="9"/>
    <s v="LT_KauU"/>
    <x v="9"/>
    <x v="57"/>
    <x v="0"/>
    <x v="19"/>
    <n v="70.027397260273901"/>
    <n v="25560"/>
    <n v="92016"/>
  </r>
  <r>
    <x v="0"/>
    <x v="0"/>
    <x v="0"/>
    <x v="5"/>
    <x v="9"/>
    <s v="LT_KauU"/>
    <x v="9"/>
    <x v="57"/>
    <x v="0"/>
    <x v="20"/>
    <n v="70.027397260273901"/>
    <n v="25560"/>
    <n v="92016"/>
  </r>
  <r>
    <x v="0"/>
    <x v="0"/>
    <x v="0"/>
    <x v="5"/>
    <x v="9"/>
    <s v="LT_KauU"/>
    <x v="9"/>
    <x v="57"/>
    <x v="0"/>
    <x v="21"/>
    <n v="70.027397260273901"/>
    <n v="25560"/>
    <n v="92016"/>
  </r>
  <r>
    <x v="0"/>
    <x v="0"/>
    <x v="0"/>
    <x v="5"/>
    <x v="9"/>
    <s v="LT_KauU"/>
    <x v="9"/>
    <x v="57"/>
    <x v="0"/>
    <x v="22"/>
    <n v="70.027397260273901"/>
    <n v="25560"/>
    <n v="92016"/>
  </r>
  <r>
    <x v="0"/>
    <x v="0"/>
    <x v="0"/>
    <x v="5"/>
    <x v="9"/>
    <s v="LT_KauU"/>
    <x v="9"/>
    <x v="57"/>
    <x v="0"/>
    <x v="23"/>
    <n v="70.027397260273901"/>
    <n v="25560"/>
    <n v="92016"/>
  </r>
  <r>
    <x v="0"/>
    <x v="0"/>
    <x v="0"/>
    <x v="5"/>
    <x v="9"/>
    <s v="LT_KlaU"/>
    <x v="8"/>
    <x v="56"/>
    <x v="0"/>
    <x v="8"/>
    <n v="1.7762462043374301"/>
    <n v="648.32986458316304"/>
    <n v="2333.98751249939"/>
  </r>
  <r>
    <x v="0"/>
    <x v="0"/>
    <x v="0"/>
    <x v="5"/>
    <x v="9"/>
    <s v="LT_KlaU"/>
    <x v="8"/>
    <x v="56"/>
    <x v="0"/>
    <x v="9"/>
    <n v="13.371945784448"/>
    <n v="4880.7602113234998"/>
    <n v="17570.736760764601"/>
  </r>
  <r>
    <x v="0"/>
    <x v="0"/>
    <x v="0"/>
    <x v="5"/>
    <x v="9"/>
    <s v="LT_KlaU"/>
    <x v="8"/>
    <x v="56"/>
    <x v="0"/>
    <x v="10"/>
    <n v="30.888466045683298"/>
    <n v="11274.2901066744"/>
    <n v="40587.444384027804"/>
  </r>
  <r>
    <x v="0"/>
    <x v="0"/>
    <x v="0"/>
    <x v="5"/>
    <x v="9"/>
    <s v="LT_KlaU"/>
    <x v="8"/>
    <x v="56"/>
    <x v="0"/>
    <x v="11"/>
    <n v="47.038643072812803"/>
    <n v="17169.104721576699"/>
    <n v="61808.776997676097"/>
  </r>
  <r>
    <x v="0"/>
    <x v="0"/>
    <x v="0"/>
    <x v="5"/>
    <x v="9"/>
    <s v="LT_KlaU"/>
    <x v="8"/>
    <x v="56"/>
    <x v="0"/>
    <x v="12"/>
    <n v="53.478674182897798"/>
    <n v="19519.716076757701"/>
    <n v="70270.977876327699"/>
  </r>
  <r>
    <x v="0"/>
    <x v="0"/>
    <x v="0"/>
    <x v="5"/>
    <x v="9"/>
    <s v="LT_KlaU"/>
    <x v="8"/>
    <x v="56"/>
    <x v="0"/>
    <x v="13"/>
    <n v="46.501214734064597"/>
    <n v="16972.9433779336"/>
    <n v="61102.596160560897"/>
  </r>
  <r>
    <x v="0"/>
    <x v="0"/>
    <x v="0"/>
    <x v="5"/>
    <x v="9"/>
    <s v="LT_KlaU"/>
    <x v="8"/>
    <x v="56"/>
    <x v="0"/>
    <x v="14"/>
    <n v="30.2599481579946"/>
    <n v="11044.881077668"/>
    <n v="39761.571879604897"/>
  </r>
  <r>
    <x v="0"/>
    <x v="0"/>
    <x v="0"/>
    <x v="5"/>
    <x v="9"/>
    <s v="LT_KlaU"/>
    <x v="8"/>
    <x v="56"/>
    <x v="0"/>
    <x v="15"/>
    <n v="15.3212621317721"/>
    <n v="5592.2606780968199"/>
    <n v="20132.1384411486"/>
  </r>
  <r>
    <x v="0"/>
    <x v="0"/>
    <x v="0"/>
    <x v="5"/>
    <x v="9"/>
    <s v="LT_KlaU"/>
    <x v="8"/>
    <x v="56"/>
    <x v="0"/>
    <x v="16"/>
    <n v="1.9948611217943499"/>
    <n v="728.12430945493702"/>
    <n v="2621.2475140377701"/>
  </r>
  <r>
    <x v="0"/>
    <x v="0"/>
    <x v="0"/>
    <x v="5"/>
    <x v="9"/>
    <s v="LT_KlaU"/>
    <x v="13"/>
    <x v="164"/>
    <x v="0"/>
    <x v="0"/>
    <n v="149.21517174117201"/>
    <n v="54463.537685527997"/>
    <n v="196068.735667901"/>
  </r>
  <r>
    <x v="0"/>
    <x v="0"/>
    <x v="0"/>
    <x v="5"/>
    <x v="9"/>
    <s v="LT_KlaU"/>
    <x v="13"/>
    <x v="164"/>
    <x v="0"/>
    <x v="1"/>
    <n v="149.21517174117201"/>
    <n v="54463.537685527997"/>
    <n v="196068.735667901"/>
  </r>
  <r>
    <x v="0"/>
    <x v="0"/>
    <x v="0"/>
    <x v="5"/>
    <x v="9"/>
    <s v="LT_KlaU"/>
    <x v="13"/>
    <x v="164"/>
    <x v="0"/>
    <x v="2"/>
    <n v="149.21517174117201"/>
    <n v="54463.537685527997"/>
    <n v="196068.735667901"/>
  </r>
  <r>
    <x v="0"/>
    <x v="0"/>
    <x v="0"/>
    <x v="5"/>
    <x v="9"/>
    <s v="LT_KlaU"/>
    <x v="13"/>
    <x v="164"/>
    <x v="0"/>
    <x v="3"/>
    <n v="149.21517174117201"/>
    <n v="54463.537685527997"/>
    <n v="196068.735667901"/>
  </r>
  <r>
    <x v="0"/>
    <x v="0"/>
    <x v="0"/>
    <x v="5"/>
    <x v="9"/>
    <s v="LT_KlaU"/>
    <x v="13"/>
    <x v="164"/>
    <x v="0"/>
    <x v="4"/>
    <n v="149.21517174117201"/>
    <n v="54463.537685527997"/>
    <n v="196068.735667901"/>
  </r>
  <r>
    <x v="0"/>
    <x v="0"/>
    <x v="0"/>
    <x v="5"/>
    <x v="9"/>
    <s v="LT_KlaU"/>
    <x v="13"/>
    <x v="164"/>
    <x v="0"/>
    <x v="5"/>
    <n v="149.21517174117201"/>
    <n v="54463.537685527997"/>
    <n v="196068.735667901"/>
  </r>
  <r>
    <x v="0"/>
    <x v="0"/>
    <x v="0"/>
    <x v="5"/>
    <x v="9"/>
    <s v="LT_KlaU"/>
    <x v="13"/>
    <x v="164"/>
    <x v="0"/>
    <x v="6"/>
    <n v="149.21517174117201"/>
    <n v="54463.537685527997"/>
    <n v="196068.735667901"/>
  </r>
  <r>
    <x v="0"/>
    <x v="0"/>
    <x v="0"/>
    <x v="5"/>
    <x v="9"/>
    <s v="LT_KlaU"/>
    <x v="13"/>
    <x v="164"/>
    <x v="0"/>
    <x v="7"/>
    <n v="149.21517174117201"/>
    <n v="54463.537685527997"/>
    <n v="196068.735667901"/>
  </r>
  <r>
    <x v="0"/>
    <x v="0"/>
    <x v="0"/>
    <x v="5"/>
    <x v="9"/>
    <s v="LT_KlaU"/>
    <x v="13"/>
    <x v="164"/>
    <x v="0"/>
    <x v="8"/>
    <n v="149.21517174117201"/>
    <n v="54463.537685527997"/>
    <n v="196068.735667901"/>
  </r>
  <r>
    <x v="0"/>
    <x v="0"/>
    <x v="0"/>
    <x v="5"/>
    <x v="9"/>
    <s v="LT_KlaU"/>
    <x v="13"/>
    <x v="164"/>
    <x v="0"/>
    <x v="9"/>
    <n v="149.21517174117201"/>
    <n v="54463.537685527997"/>
    <n v="196068.735667901"/>
  </r>
  <r>
    <x v="0"/>
    <x v="0"/>
    <x v="0"/>
    <x v="5"/>
    <x v="9"/>
    <s v="LT_KlaU"/>
    <x v="13"/>
    <x v="164"/>
    <x v="0"/>
    <x v="10"/>
    <n v="149.21517174117201"/>
    <n v="54463.537685527997"/>
    <n v="196068.735667901"/>
  </r>
  <r>
    <x v="0"/>
    <x v="0"/>
    <x v="0"/>
    <x v="5"/>
    <x v="9"/>
    <s v="LT_KlaU"/>
    <x v="13"/>
    <x v="164"/>
    <x v="0"/>
    <x v="11"/>
    <n v="149.21517174117201"/>
    <n v="54463.537685527997"/>
    <n v="196068.735667901"/>
  </r>
  <r>
    <x v="0"/>
    <x v="0"/>
    <x v="0"/>
    <x v="5"/>
    <x v="9"/>
    <s v="LT_KlaU"/>
    <x v="13"/>
    <x v="164"/>
    <x v="0"/>
    <x v="12"/>
    <n v="149.21517174117201"/>
    <n v="54463.537685527997"/>
    <n v="196068.735667901"/>
  </r>
  <r>
    <x v="0"/>
    <x v="0"/>
    <x v="0"/>
    <x v="5"/>
    <x v="9"/>
    <s v="LT_KlaU"/>
    <x v="13"/>
    <x v="164"/>
    <x v="0"/>
    <x v="13"/>
    <n v="149.21517174117201"/>
    <n v="54463.537685527997"/>
    <n v="196068.735667901"/>
  </r>
  <r>
    <x v="0"/>
    <x v="0"/>
    <x v="0"/>
    <x v="5"/>
    <x v="9"/>
    <s v="LT_KlaU"/>
    <x v="13"/>
    <x v="164"/>
    <x v="0"/>
    <x v="14"/>
    <n v="149.21517174117201"/>
    <n v="54463.537685527997"/>
    <n v="196068.735667901"/>
  </r>
  <r>
    <x v="0"/>
    <x v="0"/>
    <x v="0"/>
    <x v="5"/>
    <x v="9"/>
    <s v="LT_KlaU"/>
    <x v="13"/>
    <x v="164"/>
    <x v="0"/>
    <x v="15"/>
    <n v="149.21517174117201"/>
    <n v="54463.537685527997"/>
    <n v="196068.735667901"/>
  </r>
  <r>
    <x v="0"/>
    <x v="0"/>
    <x v="0"/>
    <x v="5"/>
    <x v="9"/>
    <s v="LT_KlaU"/>
    <x v="13"/>
    <x v="164"/>
    <x v="0"/>
    <x v="16"/>
    <n v="149.21517174117201"/>
    <n v="54463.537685527997"/>
    <n v="196068.735667901"/>
  </r>
  <r>
    <x v="0"/>
    <x v="0"/>
    <x v="0"/>
    <x v="5"/>
    <x v="9"/>
    <s v="LT_KlaU"/>
    <x v="13"/>
    <x v="164"/>
    <x v="0"/>
    <x v="17"/>
    <n v="149.21517174117201"/>
    <n v="54463.537685527997"/>
    <n v="196068.735667901"/>
  </r>
  <r>
    <x v="0"/>
    <x v="0"/>
    <x v="0"/>
    <x v="5"/>
    <x v="9"/>
    <s v="LT_KlaU"/>
    <x v="13"/>
    <x v="164"/>
    <x v="0"/>
    <x v="18"/>
    <n v="149.21517174117201"/>
    <n v="54463.537685527997"/>
    <n v="196068.735667901"/>
  </r>
  <r>
    <x v="0"/>
    <x v="0"/>
    <x v="0"/>
    <x v="5"/>
    <x v="9"/>
    <s v="LT_KlaU"/>
    <x v="13"/>
    <x v="164"/>
    <x v="0"/>
    <x v="19"/>
    <n v="149.21517174117201"/>
    <n v="54463.537685527997"/>
    <n v="196068.735667901"/>
  </r>
  <r>
    <x v="0"/>
    <x v="0"/>
    <x v="0"/>
    <x v="5"/>
    <x v="9"/>
    <s v="LT_KlaU"/>
    <x v="13"/>
    <x v="164"/>
    <x v="0"/>
    <x v="20"/>
    <n v="149.21517174117201"/>
    <n v="54463.537685527997"/>
    <n v="196068.735667901"/>
  </r>
  <r>
    <x v="0"/>
    <x v="0"/>
    <x v="0"/>
    <x v="5"/>
    <x v="9"/>
    <s v="LT_KlaU"/>
    <x v="13"/>
    <x v="164"/>
    <x v="0"/>
    <x v="21"/>
    <n v="149.21517174117201"/>
    <n v="54463.537685527997"/>
    <n v="196068.735667901"/>
  </r>
  <r>
    <x v="0"/>
    <x v="0"/>
    <x v="0"/>
    <x v="5"/>
    <x v="9"/>
    <s v="LT_KlaU"/>
    <x v="13"/>
    <x v="164"/>
    <x v="0"/>
    <x v="22"/>
    <n v="149.21517174117201"/>
    <n v="54463.537685527997"/>
    <n v="196068.735667901"/>
  </r>
  <r>
    <x v="0"/>
    <x v="0"/>
    <x v="0"/>
    <x v="5"/>
    <x v="9"/>
    <s v="LT_KlaU"/>
    <x v="13"/>
    <x v="164"/>
    <x v="0"/>
    <x v="23"/>
    <n v="149.21517174117201"/>
    <n v="54463.537685527997"/>
    <n v="196068.735667901"/>
  </r>
  <r>
    <x v="0"/>
    <x v="0"/>
    <x v="0"/>
    <x v="5"/>
    <x v="9"/>
    <s v="LT_Other_DH"/>
    <x v="0"/>
    <x v="165"/>
    <x v="0"/>
    <x v="0"/>
    <n v="118.181818181818"/>
    <n v="43136.363636363603"/>
    <n v="155290.909090909"/>
  </r>
  <r>
    <x v="0"/>
    <x v="0"/>
    <x v="0"/>
    <x v="5"/>
    <x v="9"/>
    <s v="LT_Other_DH"/>
    <x v="0"/>
    <x v="165"/>
    <x v="0"/>
    <x v="1"/>
    <n v="118.181818181818"/>
    <n v="43136.363636363603"/>
    <n v="155290.909090909"/>
  </r>
  <r>
    <x v="0"/>
    <x v="0"/>
    <x v="0"/>
    <x v="5"/>
    <x v="9"/>
    <s v="LT_Other_DH"/>
    <x v="0"/>
    <x v="165"/>
    <x v="0"/>
    <x v="2"/>
    <n v="118.181818181818"/>
    <n v="43136.363636363603"/>
    <n v="155290.909090909"/>
  </r>
  <r>
    <x v="0"/>
    <x v="0"/>
    <x v="0"/>
    <x v="5"/>
    <x v="9"/>
    <s v="LT_Other_DH"/>
    <x v="0"/>
    <x v="165"/>
    <x v="0"/>
    <x v="3"/>
    <n v="118.181818181818"/>
    <n v="43136.363636363603"/>
    <n v="155290.909090909"/>
  </r>
  <r>
    <x v="0"/>
    <x v="0"/>
    <x v="0"/>
    <x v="5"/>
    <x v="9"/>
    <s v="LT_Other_DH"/>
    <x v="0"/>
    <x v="165"/>
    <x v="0"/>
    <x v="4"/>
    <n v="118.181818181818"/>
    <n v="43136.363636363603"/>
    <n v="155290.909090909"/>
  </r>
  <r>
    <x v="0"/>
    <x v="0"/>
    <x v="0"/>
    <x v="5"/>
    <x v="9"/>
    <s v="LT_Other_DH"/>
    <x v="0"/>
    <x v="165"/>
    <x v="0"/>
    <x v="5"/>
    <n v="118.181818181818"/>
    <n v="43136.363636363603"/>
    <n v="155290.909090909"/>
  </r>
  <r>
    <x v="0"/>
    <x v="0"/>
    <x v="0"/>
    <x v="5"/>
    <x v="9"/>
    <s v="LT_Other_DH"/>
    <x v="0"/>
    <x v="165"/>
    <x v="0"/>
    <x v="6"/>
    <n v="118.181818181818"/>
    <n v="43136.363636363603"/>
    <n v="155290.909090909"/>
  </r>
  <r>
    <x v="0"/>
    <x v="0"/>
    <x v="0"/>
    <x v="5"/>
    <x v="9"/>
    <s v="LT_Other_DH"/>
    <x v="0"/>
    <x v="165"/>
    <x v="0"/>
    <x v="7"/>
    <n v="118.181818181818"/>
    <n v="43136.363636363603"/>
    <n v="155290.909090909"/>
  </r>
  <r>
    <x v="0"/>
    <x v="0"/>
    <x v="0"/>
    <x v="5"/>
    <x v="9"/>
    <s v="LT_Other_DH"/>
    <x v="0"/>
    <x v="165"/>
    <x v="0"/>
    <x v="8"/>
    <n v="118.181818181818"/>
    <n v="43136.363636363603"/>
    <n v="155290.909090909"/>
  </r>
  <r>
    <x v="0"/>
    <x v="0"/>
    <x v="0"/>
    <x v="5"/>
    <x v="9"/>
    <s v="LT_Other_DH"/>
    <x v="0"/>
    <x v="165"/>
    <x v="0"/>
    <x v="9"/>
    <n v="118.181818181818"/>
    <n v="43136.363636363603"/>
    <n v="155290.909090909"/>
  </r>
  <r>
    <x v="0"/>
    <x v="0"/>
    <x v="0"/>
    <x v="5"/>
    <x v="9"/>
    <s v="LT_Other_DH"/>
    <x v="0"/>
    <x v="165"/>
    <x v="0"/>
    <x v="10"/>
    <n v="118.181818181818"/>
    <n v="43136.363636363603"/>
    <n v="155290.909090909"/>
  </r>
  <r>
    <x v="0"/>
    <x v="0"/>
    <x v="0"/>
    <x v="5"/>
    <x v="9"/>
    <s v="LT_Other_DH"/>
    <x v="0"/>
    <x v="165"/>
    <x v="0"/>
    <x v="11"/>
    <n v="118.181818181818"/>
    <n v="43136.363636363603"/>
    <n v="155290.909090909"/>
  </r>
  <r>
    <x v="0"/>
    <x v="0"/>
    <x v="0"/>
    <x v="5"/>
    <x v="9"/>
    <s v="LT_Other_DH"/>
    <x v="0"/>
    <x v="165"/>
    <x v="0"/>
    <x v="12"/>
    <n v="118.181818181818"/>
    <n v="43136.363636363603"/>
    <n v="155290.909090909"/>
  </r>
  <r>
    <x v="0"/>
    <x v="0"/>
    <x v="0"/>
    <x v="5"/>
    <x v="9"/>
    <s v="LT_Other_DH"/>
    <x v="0"/>
    <x v="165"/>
    <x v="0"/>
    <x v="13"/>
    <n v="118.181818181818"/>
    <n v="43136.363636363603"/>
    <n v="155290.909090909"/>
  </r>
  <r>
    <x v="0"/>
    <x v="0"/>
    <x v="0"/>
    <x v="5"/>
    <x v="9"/>
    <s v="LT_Other_DH"/>
    <x v="0"/>
    <x v="165"/>
    <x v="0"/>
    <x v="14"/>
    <n v="118.181818181818"/>
    <n v="43136.363636363603"/>
    <n v="155290.909090909"/>
  </r>
  <r>
    <x v="0"/>
    <x v="0"/>
    <x v="0"/>
    <x v="5"/>
    <x v="9"/>
    <s v="LT_Other_DH"/>
    <x v="0"/>
    <x v="165"/>
    <x v="0"/>
    <x v="15"/>
    <n v="118.181818181818"/>
    <n v="43136.363636363603"/>
    <n v="155290.909090909"/>
  </r>
  <r>
    <x v="0"/>
    <x v="0"/>
    <x v="0"/>
    <x v="5"/>
    <x v="9"/>
    <s v="LT_Other_DH"/>
    <x v="0"/>
    <x v="165"/>
    <x v="0"/>
    <x v="16"/>
    <n v="118.181818181818"/>
    <n v="43136.363636363603"/>
    <n v="155290.909090909"/>
  </r>
  <r>
    <x v="0"/>
    <x v="0"/>
    <x v="0"/>
    <x v="5"/>
    <x v="9"/>
    <s v="LT_Other_DH"/>
    <x v="0"/>
    <x v="165"/>
    <x v="0"/>
    <x v="17"/>
    <n v="118.181818181818"/>
    <n v="43136.363636363603"/>
    <n v="155290.909090909"/>
  </r>
  <r>
    <x v="0"/>
    <x v="0"/>
    <x v="0"/>
    <x v="5"/>
    <x v="9"/>
    <s v="LT_Other_DH"/>
    <x v="0"/>
    <x v="165"/>
    <x v="0"/>
    <x v="18"/>
    <n v="118.181818181818"/>
    <n v="43136.363636363603"/>
    <n v="155290.909090909"/>
  </r>
  <r>
    <x v="0"/>
    <x v="0"/>
    <x v="0"/>
    <x v="5"/>
    <x v="9"/>
    <s v="LT_Other_DH"/>
    <x v="0"/>
    <x v="165"/>
    <x v="0"/>
    <x v="19"/>
    <n v="118.181818181818"/>
    <n v="43136.363636363603"/>
    <n v="155290.909090909"/>
  </r>
  <r>
    <x v="0"/>
    <x v="0"/>
    <x v="0"/>
    <x v="5"/>
    <x v="9"/>
    <s v="LT_Other_DH"/>
    <x v="0"/>
    <x v="165"/>
    <x v="0"/>
    <x v="20"/>
    <n v="118.181818181818"/>
    <n v="43136.363636363603"/>
    <n v="155290.909090909"/>
  </r>
  <r>
    <x v="0"/>
    <x v="0"/>
    <x v="0"/>
    <x v="5"/>
    <x v="9"/>
    <s v="LT_Other_DH"/>
    <x v="0"/>
    <x v="165"/>
    <x v="0"/>
    <x v="21"/>
    <n v="118.181818181818"/>
    <n v="43136.363636363603"/>
    <n v="155290.909090909"/>
  </r>
  <r>
    <x v="0"/>
    <x v="0"/>
    <x v="0"/>
    <x v="5"/>
    <x v="9"/>
    <s v="LT_Other_DH"/>
    <x v="0"/>
    <x v="165"/>
    <x v="0"/>
    <x v="22"/>
    <n v="118.181818181818"/>
    <n v="43136.363636363603"/>
    <n v="155290.909090909"/>
  </r>
  <r>
    <x v="0"/>
    <x v="0"/>
    <x v="0"/>
    <x v="5"/>
    <x v="9"/>
    <s v="LT_Other_DH"/>
    <x v="0"/>
    <x v="165"/>
    <x v="0"/>
    <x v="23"/>
    <n v="118.181818181818"/>
    <n v="43136.363636363603"/>
    <n v="155290.909090909"/>
  </r>
  <r>
    <x v="0"/>
    <x v="0"/>
    <x v="0"/>
    <x v="5"/>
    <x v="9"/>
    <s v="LT_Other_DH"/>
    <x v="18"/>
    <x v="166"/>
    <x v="0"/>
    <x v="0"/>
    <n v="85.294117647058798"/>
    <n v="31132.352941176501"/>
    <n v="112076.470588235"/>
  </r>
  <r>
    <x v="0"/>
    <x v="0"/>
    <x v="0"/>
    <x v="5"/>
    <x v="9"/>
    <s v="LT_Other_DH"/>
    <x v="18"/>
    <x v="166"/>
    <x v="0"/>
    <x v="1"/>
    <n v="85.294117647058798"/>
    <n v="31132.352941176501"/>
    <n v="112076.470588235"/>
  </r>
  <r>
    <x v="0"/>
    <x v="0"/>
    <x v="0"/>
    <x v="5"/>
    <x v="9"/>
    <s v="LT_Other_DH"/>
    <x v="18"/>
    <x v="166"/>
    <x v="0"/>
    <x v="2"/>
    <n v="85.294117647058798"/>
    <n v="31132.352941176501"/>
    <n v="112076.470588235"/>
  </r>
  <r>
    <x v="0"/>
    <x v="0"/>
    <x v="0"/>
    <x v="5"/>
    <x v="9"/>
    <s v="LT_Other_DH"/>
    <x v="18"/>
    <x v="166"/>
    <x v="0"/>
    <x v="3"/>
    <n v="85.294117647058798"/>
    <n v="31132.352941176501"/>
    <n v="112076.470588235"/>
  </r>
  <r>
    <x v="0"/>
    <x v="0"/>
    <x v="0"/>
    <x v="5"/>
    <x v="9"/>
    <s v="LT_Other_DH"/>
    <x v="18"/>
    <x v="166"/>
    <x v="0"/>
    <x v="4"/>
    <n v="85.294117647058798"/>
    <n v="31132.352941176501"/>
    <n v="112076.470588235"/>
  </r>
  <r>
    <x v="0"/>
    <x v="0"/>
    <x v="0"/>
    <x v="5"/>
    <x v="9"/>
    <s v="LT_Other_DH"/>
    <x v="18"/>
    <x v="166"/>
    <x v="0"/>
    <x v="5"/>
    <n v="85.294117647058798"/>
    <n v="31132.352941176501"/>
    <n v="112076.470588235"/>
  </r>
  <r>
    <x v="0"/>
    <x v="0"/>
    <x v="0"/>
    <x v="5"/>
    <x v="9"/>
    <s v="LT_Other_DH"/>
    <x v="18"/>
    <x v="166"/>
    <x v="0"/>
    <x v="6"/>
    <n v="85.294117647058798"/>
    <n v="31132.352941176501"/>
    <n v="112076.470588235"/>
  </r>
  <r>
    <x v="0"/>
    <x v="0"/>
    <x v="0"/>
    <x v="5"/>
    <x v="9"/>
    <s v="LT_Other_DH"/>
    <x v="18"/>
    <x v="166"/>
    <x v="0"/>
    <x v="7"/>
    <n v="85.294117647058798"/>
    <n v="31132.352941176501"/>
    <n v="112076.470588235"/>
  </r>
  <r>
    <x v="0"/>
    <x v="0"/>
    <x v="0"/>
    <x v="5"/>
    <x v="9"/>
    <s v="LT_Other_DH"/>
    <x v="18"/>
    <x v="166"/>
    <x v="0"/>
    <x v="8"/>
    <n v="85.294117647058798"/>
    <n v="31132.352941176501"/>
    <n v="112076.470588235"/>
  </r>
  <r>
    <x v="0"/>
    <x v="0"/>
    <x v="0"/>
    <x v="5"/>
    <x v="9"/>
    <s v="LT_Other_DH"/>
    <x v="18"/>
    <x v="166"/>
    <x v="0"/>
    <x v="9"/>
    <n v="85.294117647058798"/>
    <n v="31132.352941176501"/>
    <n v="112076.470588235"/>
  </r>
  <r>
    <x v="0"/>
    <x v="0"/>
    <x v="0"/>
    <x v="5"/>
    <x v="9"/>
    <s v="LT_Other_DH"/>
    <x v="18"/>
    <x v="166"/>
    <x v="0"/>
    <x v="10"/>
    <n v="85.294117647058798"/>
    <n v="31132.352941176501"/>
    <n v="112076.470588235"/>
  </r>
  <r>
    <x v="0"/>
    <x v="0"/>
    <x v="0"/>
    <x v="5"/>
    <x v="9"/>
    <s v="LT_Other_DH"/>
    <x v="18"/>
    <x v="166"/>
    <x v="0"/>
    <x v="11"/>
    <n v="85.294117647058798"/>
    <n v="31132.352941176501"/>
    <n v="112076.470588235"/>
  </r>
  <r>
    <x v="0"/>
    <x v="0"/>
    <x v="0"/>
    <x v="5"/>
    <x v="9"/>
    <s v="LT_Other_DH"/>
    <x v="18"/>
    <x v="166"/>
    <x v="0"/>
    <x v="12"/>
    <n v="85.294117647058798"/>
    <n v="31132.352941176501"/>
    <n v="112076.470588235"/>
  </r>
  <r>
    <x v="0"/>
    <x v="0"/>
    <x v="0"/>
    <x v="5"/>
    <x v="9"/>
    <s v="LT_Other_DH"/>
    <x v="18"/>
    <x v="166"/>
    <x v="0"/>
    <x v="13"/>
    <n v="85.294117647058798"/>
    <n v="31132.352941176501"/>
    <n v="112076.470588235"/>
  </r>
  <r>
    <x v="0"/>
    <x v="0"/>
    <x v="0"/>
    <x v="5"/>
    <x v="9"/>
    <s v="LT_Other_DH"/>
    <x v="18"/>
    <x v="166"/>
    <x v="0"/>
    <x v="14"/>
    <n v="85.294117647058798"/>
    <n v="31132.352941176501"/>
    <n v="112076.470588235"/>
  </r>
  <r>
    <x v="0"/>
    <x v="0"/>
    <x v="0"/>
    <x v="5"/>
    <x v="9"/>
    <s v="LT_Other_DH"/>
    <x v="18"/>
    <x v="166"/>
    <x v="0"/>
    <x v="15"/>
    <n v="85.294117647058798"/>
    <n v="31132.352941176501"/>
    <n v="112076.470588235"/>
  </r>
  <r>
    <x v="0"/>
    <x v="0"/>
    <x v="0"/>
    <x v="5"/>
    <x v="9"/>
    <s v="LT_Other_DH"/>
    <x v="18"/>
    <x v="166"/>
    <x v="0"/>
    <x v="16"/>
    <n v="85.294117647058798"/>
    <n v="31132.352941176501"/>
    <n v="112076.470588235"/>
  </r>
  <r>
    <x v="0"/>
    <x v="0"/>
    <x v="0"/>
    <x v="5"/>
    <x v="9"/>
    <s v="LT_Other_DH"/>
    <x v="18"/>
    <x v="166"/>
    <x v="0"/>
    <x v="17"/>
    <n v="85.294117647058798"/>
    <n v="31132.352941176501"/>
    <n v="112076.470588235"/>
  </r>
  <r>
    <x v="0"/>
    <x v="0"/>
    <x v="0"/>
    <x v="5"/>
    <x v="9"/>
    <s v="LT_Other_DH"/>
    <x v="18"/>
    <x v="166"/>
    <x v="0"/>
    <x v="18"/>
    <n v="85.294117647058798"/>
    <n v="31132.352941176501"/>
    <n v="112076.470588235"/>
  </r>
  <r>
    <x v="0"/>
    <x v="0"/>
    <x v="0"/>
    <x v="5"/>
    <x v="9"/>
    <s v="LT_Other_DH"/>
    <x v="18"/>
    <x v="166"/>
    <x v="0"/>
    <x v="19"/>
    <n v="85.294117647058798"/>
    <n v="31132.352941176501"/>
    <n v="112076.470588235"/>
  </r>
  <r>
    <x v="0"/>
    <x v="0"/>
    <x v="0"/>
    <x v="5"/>
    <x v="9"/>
    <s v="LT_Other_DH"/>
    <x v="18"/>
    <x v="166"/>
    <x v="0"/>
    <x v="20"/>
    <n v="85.294117647058798"/>
    <n v="31132.352941176501"/>
    <n v="112076.470588235"/>
  </r>
  <r>
    <x v="0"/>
    <x v="0"/>
    <x v="0"/>
    <x v="5"/>
    <x v="9"/>
    <s v="LT_Other_DH"/>
    <x v="18"/>
    <x v="166"/>
    <x v="0"/>
    <x v="21"/>
    <n v="85.294117647058798"/>
    <n v="31132.352941176501"/>
    <n v="112076.470588235"/>
  </r>
  <r>
    <x v="0"/>
    <x v="0"/>
    <x v="0"/>
    <x v="5"/>
    <x v="9"/>
    <s v="LT_Other_DH"/>
    <x v="18"/>
    <x v="166"/>
    <x v="0"/>
    <x v="22"/>
    <n v="85.294117647058798"/>
    <n v="31132.352941176501"/>
    <n v="112076.470588235"/>
  </r>
  <r>
    <x v="0"/>
    <x v="0"/>
    <x v="0"/>
    <x v="5"/>
    <x v="9"/>
    <s v="LT_Other_DH"/>
    <x v="18"/>
    <x v="166"/>
    <x v="0"/>
    <x v="23"/>
    <n v="85.294117647058798"/>
    <n v="31132.352941176501"/>
    <n v="112076.470588235"/>
  </r>
  <r>
    <x v="0"/>
    <x v="0"/>
    <x v="0"/>
    <x v="5"/>
    <x v="9"/>
    <s v="LT_Other_DH"/>
    <x v="11"/>
    <x v="105"/>
    <x v="0"/>
    <x v="0"/>
    <n v="41.052631578947398"/>
    <n v="14984.210526315799"/>
    <n v="53943.157894736803"/>
  </r>
  <r>
    <x v="0"/>
    <x v="0"/>
    <x v="0"/>
    <x v="5"/>
    <x v="9"/>
    <s v="LT_Other_DH"/>
    <x v="11"/>
    <x v="105"/>
    <x v="0"/>
    <x v="1"/>
    <n v="41.052631578947398"/>
    <n v="14984.210526315799"/>
    <n v="53943.157894736803"/>
  </r>
  <r>
    <x v="0"/>
    <x v="0"/>
    <x v="0"/>
    <x v="5"/>
    <x v="9"/>
    <s v="LT_Other_DH"/>
    <x v="11"/>
    <x v="105"/>
    <x v="0"/>
    <x v="2"/>
    <n v="41.052631578947398"/>
    <n v="14984.210526315799"/>
    <n v="53943.157894736803"/>
  </r>
  <r>
    <x v="0"/>
    <x v="0"/>
    <x v="0"/>
    <x v="5"/>
    <x v="9"/>
    <s v="LT_Other_DH"/>
    <x v="11"/>
    <x v="105"/>
    <x v="0"/>
    <x v="3"/>
    <n v="41.052631578947398"/>
    <n v="14984.210526315799"/>
    <n v="53943.157894736803"/>
  </r>
  <r>
    <x v="0"/>
    <x v="0"/>
    <x v="0"/>
    <x v="5"/>
    <x v="9"/>
    <s v="LT_Other_DH"/>
    <x v="11"/>
    <x v="105"/>
    <x v="0"/>
    <x v="4"/>
    <n v="41.052631578947398"/>
    <n v="14984.210526315799"/>
    <n v="53943.157894736803"/>
  </r>
  <r>
    <x v="0"/>
    <x v="0"/>
    <x v="0"/>
    <x v="5"/>
    <x v="9"/>
    <s v="LT_Other_DH"/>
    <x v="11"/>
    <x v="105"/>
    <x v="0"/>
    <x v="5"/>
    <n v="41.052631578947398"/>
    <n v="14984.210526315799"/>
    <n v="53943.157894736803"/>
  </r>
  <r>
    <x v="0"/>
    <x v="0"/>
    <x v="0"/>
    <x v="5"/>
    <x v="9"/>
    <s v="LT_Other_DH"/>
    <x v="11"/>
    <x v="105"/>
    <x v="0"/>
    <x v="6"/>
    <n v="41.052631578947398"/>
    <n v="14984.210526315799"/>
    <n v="53943.157894736803"/>
  </r>
  <r>
    <x v="0"/>
    <x v="0"/>
    <x v="0"/>
    <x v="5"/>
    <x v="9"/>
    <s v="LT_Other_DH"/>
    <x v="11"/>
    <x v="105"/>
    <x v="0"/>
    <x v="7"/>
    <n v="41.052631578947398"/>
    <n v="14984.210526315799"/>
    <n v="53943.157894736803"/>
  </r>
  <r>
    <x v="0"/>
    <x v="0"/>
    <x v="0"/>
    <x v="5"/>
    <x v="9"/>
    <s v="LT_Other_DH"/>
    <x v="11"/>
    <x v="105"/>
    <x v="0"/>
    <x v="8"/>
    <n v="41.052631578947398"/>
    <n v="14984.210526315799"/>
    <n v="53943.157894736803"/>
  </r>
  <r>
    <x v="0"/>
    <x v="0"/>
    <x v="0"/>
    <x v="5"/>
    <x v="9"/>
    <s v="LT_Other_DH"/>
    <x v="11"/>
    <x v="105"/>
    <x v="0"/>
    <x v="9"/>
    <n v="41.052631578947398"/>
    <n v="14984.210526315799"/>
    <n v="53943.157894736803"/>
  </r>
  <r>
    <x v="0"/>
    <x v="0"/>
    <x v="0"/>
    <x v="5"/>
    <x v="9"/>
    <s v="LT_Other_DH"/>
    <x v="11"/>
    <x v="105"/>
    <x v="0"/>
    <x v="10"/>
    <n v="41.052631578947398"/>
    <n v="14984.210526315799"/>
    <n v="53943.157894736803"/>
  </r>
  <r>
    <x v="0"/>
    <x v="0"/>
    <x v="0"/>
    <x v="5"/>
    <x v="9"/>
    <s v="LT_Other_DH"/>
    <x v="11"/>
    <x v="105"/>
    <x v="0"/>
    <x v="11"/>
    <n v="41.052631578947398"/>
    <n v="14984.210526315799"/>
    <n v="53943.157894736803"/>
  </r>
  <r>
    <x v="0"/>
    <x v="0"/>
    <x v="0"/>
    <x v="5"/>
    <x v="9"/>
    <s v="LT_Other_DH"/>
    <x v="11"/>
    <x v="105"/>
    <x v="0"/>
    <x v="12"/>
    <n v="41.052631578947398"/>
    <n v="14984.210526315799"/>
    <n v="53943.157894736803"/>
  </r>
  <r>
    <x v="0"/>
    <x v="0"/>
    <x v="0"/>
    <x v="5"/>
    <x v="9"/>
    <s v="LT_Other_DH"/>
    <x v="11"/>
    <x v="105"/>
    <x v="0"/>
    <x v="13"/>
    <n v="41.052631578947398"/>
    <n v="14984.210526315799"/>
    <n v="53943.157894736803"/>
  </r>
  <r>
    <x v="0"/>
    <x v="0"/>
    <x v="0"/>
    <x v="5"/>
    <x v="9"/>
    <s v="LT_Other_DH"/>
    <x v="11"/>
    <x v="105"/>
    <x v="0"/>
    <x v="14"/>
    <n v="41.052631578947398"/>
    <n v="14984.210526315799"/>
    <n v="53943.157894736803"/>
  </r>
  <r>
    <x v="0"/>
    <x v="0"/>
    <x v="0"/>
    <x v="5"/>
    <x v="9"/>
    <s v="LT_Other_DH"/>
    <x v="11"/>
    <x v="105"/>
    <x v="0"/>
    <x v="15"/>
    <n v="41.052631578947398"/>
    <n v="14984.210526315799"/>
    <n v="53943.157894736803"/>
  </r>
  <r>
    <x v="0"/>
    <x v="0"/>
    <x v="0"/>
    <x v="5"/>
    <x v="9"/>
    <s v="LT_Other_DH"/>
    <x v="11"/>
    <x v="105"/>
    <x v="0"/>
    <x v="16"/>
    <n v="41.052631578947398"/>
    <n v="14984.210526315799"/>
    <n v="53943.157894736803"/>
  </r>
  <r>
    <x v="0"/>
    <x v="0"/>
    <x v="0"/>
    <x v="5"/>
    <x v="9"/>
    <s v="LT_Other_DH"/>
    <x v="11"/>
    <x v="105"/>
    <x v="0"/>
    <x v="17"/>
    <n v="41.052631578947398"/>
    <n v="14984.210526315799"/>
    <n v="53943.157894736803"/>
  </r>
  <r>
    <x v="0"/>
    <x v="0"/>
    <x v="0"/>
    <x v="5"/>
    <x v="9"/>
    <s v="LT_Other_DH"/>
    <x v="11"/>
    <x v="105"/>
    <x v="0"/>
    <x v="18"/>
    <n v="41.052631578947398"/>
    <n v="14984.210526315799"/>
    <n v="53943.157894736803"/>
  </r>
  <r>
    <x v="0"/>
    <x v="0"/>
    <x v="0"/>
    <x v="5"/>
    <x v="9"/>
    <s v="LT_Other_DH"/>
    <x v="11"/>
    <x v="105"/>
    <x v="0"/>
    <x v="19"/>
    <n v="41.052631578947398"/>
    <n v="14984.210526315799"/>
    <n v="53943.157894736803"/>
  </r>
  <r>
    <x v="0"/>
    <x v="0"/>
    <x v="0"/>
    <x v="5"/>
    <x v="9"/>
    <s v="LT_Other_DH"/>
    <x v="11"/>
    <x v="105"/>
    <x v="0"/>
    <x v="20"/>
    <n v="41.052631578947398"/>
    <n v="14984.210526315799"/>
    <n v="53943.157894736803"/>
  </r>
  <r>
    <x v="0"/>
    <x v="0"/>
    <x v="0"/>
    <x v="5"/>
    <x v="9"/>
    <s v="LT_Other_DH"/>
    <x v="11"/>
    <x v="105"/>
    <x v="0"/>
    <x v="21"/>
    <n v="41.052631578947398"/>
    <n v="14984.210526315799"/>
    <n v="53943.157894736803"/>
  </r>
  <r>
    <x v="0"/>
    <x v="0"/>
    <x v="0"/>
    <x v="5"/>
    <x v="9"/>
    <s v="LT_Other_DH"/>
    <x v="11"/>
    <x v="105"/>
    <x v="0"/>
    <x v="22"/>
    <n v="41.052631578947398"/>
    <n v="14984.210526315799"/>
    <n v="53943.157894736803"/>
  </r>
  <r>
    <x v="0"/>
    <x v="0"/>
    <x v="0"/>
    <x v="5"/>
    <x v="9"/>
    <s v="LT_Other_DH"/>
    <x v="11"/>
    <x v="105"/>
    <x v="0"/>
    <x v="23"/>
    <n v="41.052631578947398"/>
    <n v="14984.210526315799"/>
    <n v="53943.157894736803"/>
  </r>
  <r>
    <x v="0"/>
    <x v="0"/>
    <x v="0"/>
    <x v="5"/>
    <x v="9"/>
    <s v="LT_Panevezys"/>
    <x v="13"/>
    <x v="167"/>
    <x v="0"/>
    <x v="0"/>
    <n v="18.382352941176499"/>
    <n v="6709.5588235294099"/>
    <n v="24154.411764705899"/>
  </r>
  <r>
    <x v="0"/>
    <x v="0"/>
    <x v="0"/>
    <x v="5"/>
    <x v="9"/>
    <s v="LT_Panevezys"/>
    <x v="13"/>
    <x v="167"/>
    <x v="0"/>
    <x v="1"/>
    <n v="18.382352941176499"/>
    <n v="6709.5588235294099"/>
    <n v="24154.411764705899"/>
  </r>
  <r>
    <x v="0"/>
    <x v="0"/>
    <x v="0"/>
    <x v="5"/>
    <x v="9"/>
    <s v="LT_Panevezys"/>
    <x v="13"/>
    <x v="167"/>
    <x v="0"/>
    <x v="2"/>
    <n v="18.382352941176499"/>
    <n v="6709.5588235294099"/>
    <n v="24154.411764705899"/>
  </r>
  <r>
    <x v="0"/>
    <x v="0"/>
    <x v="0"/>
    <x v="5"/>
    <x v="9"/>
    <s v="LT_Panevezys"/>
    <x v="13"/>
    <x v="167"/>
    <x v="0"/>
    <x v="3"/>
    <n v="18.382352941176499"/>
    <n v="6709.5588235294099"/>
    <n v="24154.411764705899"/>
  </r>
  <r>
    <x v="0"/>
    <x v="0"/>
    <x v="0"/>
    <x v="5"/>
    <x v="9"/>
    <s v="LT_Panevezys"/>
    <x v="13"/>
    <x v="167"/>
    <x v="0"/>
    <x v="4"/>
    <n v="18.382352941176499"/>
    <n v="6709.5588235294099"/>
    <n v="24154.411764705899"/>
  </r>
  <r>
    <x v="0"/>
    <x v="0"/>
    <x v="0"/>
    <x v="5"/>
    <x v="9"/>
    <s v="LT_Panevezys"/>
    <x v="13"/>
    <x v="167"/>
    <x v="0"/>
    <x v="5"/>
    <n v="18.382352941176499"/>
    <n v="6709.5588235294099"/>
    <n v="24154.411764705899"/>
  </r>
  <r>
    <x v="0"/>
    <x v="0"/>
    <x v="0"/>
    <x v="5"/>
    <x v="9"/>
    <s v="LT_Panevezys"/>
    <x v="13"/>
    <x v="167"/>
    <x v="0"/>
    <x v="6"/>
    <n v="18.382352941176499"/>
    <n v="6709.5588235294099"/>
    <n v="24154.411764705899"/>
  </r>
  <r>
    <x v="0"/>
    <x v="0"/>
    <x v="0"/>
    <x v="5"/>
    <x v="9"/>
    <s v="LT_Panevezys"/>
    <x v="13"/>
    <x v="167"/>
    <x v="0"/>
    <x v="7"/>
    <n v="18.382352941176499"/>
    <n v="6709.5588235294099"/>
    <n v="24154.411764705899"/>
  </r>
  <r>
    <x v="0"/>
    <x v="0"/>
    <x v="0"/>
    <x v="5"/>
    <x v="9"/>
    <s v="LT_Panevezys"/>
    <x v="13"/>
    <x v="167"/>
    <x v="0"/>
    <x v="8"/>
    <n v="18.382352941176499"/>
    <n v="6709.5588235294099"/>
    <n v="24154.411764705899"/>
  </r>
  <r>
    <x v="0"/>
    <x v="0"/>
    <x v="0"/>
    <x v="5"/>
    <x v="9"/>
    <s v="LT_Panevezys"/>
    <x v="13"/>
    <x v="167"/>
    <x v="0"/>
    <x v="9"/>
    <n v="18.382352941176499"/>
    <n v="6709.5588235294099"/>
    <n v="24154.411764705899"/>
  </r>
  <r>
    <x v="0"/>
    <x v="0"/>
    <x v="0"/>
    <x v="5"/>
    <x v="9"/>
    <s v="LT_Panevezys"/>
    <x v="13"/>
    <x v="167"/>
    <x v="0"/>
    <x v="10"/>
    <n v="18.382352941176499"/>
    <n v="6709.5588235294099"/>
    <n v="24154.411764705899"/>
  </r>
  <r>
    <x v="0"/>
    <x v="0"/>
    <x v="0"/>
    <x v="5"/>
    <x v="9"/>
    <s v="LT_Panevezys"/>
    <x v="13"/>
    <x v="167"/>
    <x v="0"/>
    <x v="11"/>
    <n v="18.382352941176499"/>
    <n v="6709.5588235294099"/>
    <n v="24154.411764705899"/>
  </r>
  <r>
    <x v="0"/>
    <x v="0"/>
    <x v="0"/>
    <x v="5"/>
    <x v="9"/>
    <s v="LT_Panevezys"/>
    <x v="13"/>
    <x v="167"/>
    <x v="0"/>
    <x v="12"/>
    <n v="18.382352941176499"/>
    <n v="6709.5588235294099"/>
    <n v="24154.411764705899"/>
  </r>
  <r>
    <x v="0"/>
    <x v="0"/>
    <x v="0"/>
    <x v="5"/>
    <x v="9"/>
    <s v="LT_Panevezys"/>
    <x v="13"/>
    <x v="167"/>
    <x v="0"/>
    <x v="13"/>
    <n v="18.382352941176499"/>
    <n v="6709.5588235294099"/>
    <n v="24154.411764705899"/>
  </r>
  <r>
    <x v="0"/>
    <x v="0"/>
    <x v="0"/>
    <x v="5"/>
    <x v="9"/>
    <s v="LT_Panevezys"/>
    <x v="13"/>
    <x v="167"/>
    <x v="0"/>
    <x v="14"/>
    <n v="18.382352941176499"/>
    <n v="6709.5588235294099"/>
    <n v="24154.411764705899"/>
  </r>
  <r>
    <x v="0"/>
    <x v="0"/>
    <x v="0"/>
    <x v="5"/>
    <x v="9"/>
    <s v="LT_Panevezys"/>
    <x v="13"/>
    <x v="167"/>
    <x v="0"/>
    <x v="15"/>
    <n v="18.382352941176499"/>
    <n v="6709.5588235294099"/>
    <n v="24154.411764705899"/>
  </r>
  <r>
    <x v="0"/>
    <x v="0"/>
    <x v="0"/>
    <x v="5"/>
    <x v="9"/>
    <s v="LT_Panevezys"/>
    <x v="13"/>
    <x v="167"/>
    <x v="0"/>
    <x v="16"/>
    <n v="18.382352941176499"/>
    <n v="6709.5588235294099"/>
    <n v="24154.411764705899"/>
  </r>
  <r>
    <x v="0"/>
    <x v="0"/>
    <x v="0"/>
    <x v="5"/>
    <x v="9"/>
    <s v="LT_Panevezys"/>
    <x v="13"/>
    <x v="167"/>
    <x v="0"/>
    <x v="17"/>
    <n v="18.382352941176499"/>
    <n v="6709.5588235294099"/>
    <n v="24154.411764705899"/>
  </r>
  <r>
    <x v="0"/>
    <x v="0"/>
    <x v="0"/>
    <x v="5"/>
    <x v="9"/>
    <s v="LT_Panevezys"/>
    <x v="13"/>
    <x v="167"/>
    <x v="0"/>
    <x v="18"/>
    <n v="18.382352941176499"/>
    <n v="6709.5588235294099"/>
    <n v="24154.411764705899"/>
  </r>
  <r>
    <x v="0"/>
    <x v="0"/>
    <x v="0"/>
    <x v="5"/>
    <x v="9"/>
    <s v="LT_Panevezys"/>
    <x v="13"/>
    <x v="167"/>
    <x v="0"/>
    <x v="19"/>
    <n v="18.382352941176499"/>
    <n v="6709.5588235294099"/>
    <n v="24154.411764705899"/>
  </r>
  <r>
    <x v="0"/>
    <x v="0"/>
    <x v="0"/>
    <x v="5"/>
    <x v="9"/>
    <s v="LT_Panevezys"/>
    <x v="13"/>
    <x v="167"/>
    <x v="0"/>
    <x v="20"/>
    <n v="18.382352941176499"/>
    <n v="6709.5588235294099"/>
    <n v="24154.411764705899"/>
  </r>
  <r>
    <x v="0"/>
    <x v="0"/>
    <x v="0"/>
    <x v="5"/>
    <x v="9"/>
    <s v="LT_Panevezys"/>
    <x v="13"/>
    <x v="167"/>
    <x v="0"/>
    <x v="21"/>
    <n v="18.382352941176499"/>
    <n v="6709.5588235294099"/>
    <n v="24154.411764705899"/>
  </r>
  <r>
    <x v="0"/>
    <x v="0"/>
    <x v="0"/>
    <x v="5"/>
    <x v="9"/>
    <s v="LT_Panevezys"/>
    <x v="13"/>
    <x v="167"/>
    <x v="0"/>
    <x v="22"/>
    <n v="18.382352941176499"/>
    <n v="6709.5588235294099"/>
    <n v="24154.411764705899"/>
  </r>
  <r>
    <x v="0"/>
    <x v="0"/>
    <x v="0"/>
    <x v="5"/>
    <x v="9"/>
    <s v="LT_Panevezys"/>
    <x v="13"/>
    <x v="167"/>
    <x v="0"/>
    <x v="23"/>
    <n v="18.382352941176499"/>
    <n v="6709.5588235294099"/>
    <n v="24154.411764705899"/>
  </r>
  <r>
    <x v="0"/>
    <x v="0"/>
    <x v="0"/>
    <x v="5"/>
    <x v="9"/>
    <s v="LT_Rural"/>
    <x v="10"/>
    <x v="58"/>
    <x v="0"/>
    <x v="0"/>
    <n v="29.885102117257802"/>
    <n v="10908.062272799099"/>
    <n v="39269.024182076799"/>
  </r>
  <r>
    <x v="0"/>
    <x v="0"/>
    <x v="0"/>
    <x v="5"/>
    <x v="9"/>
    <s v="LT_Rural"/>
    <x v="10"/>
    <x v="58"/>
    <x v="0"/>
    <x v="1"/>
    <n v="35.8621225407094"/>
    <n v="13089.674727358901"/>
    <n v="47122.829018492201"/>
  </r>
  <r>
    <x v="0"/>
    <x v="0"/>
    <x v="0"/>
    <x v="5"/>
    <x v="9"/>
    <s v="LT_Rural"/>
    <x v="10"/>
    <x v="58"/>
    <x v="0"/>
    <x v="2"/>
    <n v="35.008262480216302"/>
    <n v="12778.015805278999"/>
    <n v="46000.856899004299"/>
  </r>
  <r>
    <x v="0"/>
    <x v="0"/>
    <x v="0"/>
    <x v="5"/>
    <x v="9"/>
    <s v="LT_Rural"/>
    <x v="10"/>
    <x v="58"/>
    <x v="0"/>
    <x v="3"/>
    <n v="32.873612328983597"/>
    <n v="11998.868500078999"/>
    <n v="43195.926600284503"/>
  </r>
  <r>
    <x v="0"/>
    <x v="0"/>
    <x v="0"/>
    <x v="5"/>
    <x v="9"/>
    <s v="LT_Rural"/>
    <x v="10"/>
    <x v="58"/>
    <x v="0"/>
    <x v="4"/>
    <n v="24.335011724052801"/>
    <n v="8882.2792792792807"/>
    <n v="31976.205405405399"/>
  </r>
  <r>
    <x v="0"/>
    <x v="0"/>
    <x v="0"/>
    <x v="5"/>
    <x v="9"/>
    <s v="LT_Rural"/>
    <x v="10"/>
    <x v="58"/>
    <x v="0"/>
    <x v="5"/>
    <n v="14.0886909981358"/>
    <n v="5142.3722143195801"/>
    <n v="18512.539971550501"/>
  </r>
  <r>
    <x v="0"/>
    <x v="0"/>
    <x v="0"/>
    <x v="5"/>
    <x v="9"/>
    <s v="LT_Rural"/>
    <x v="10"/>
    <x v="58"/>
    <x v="0"/>
    <x v="6"/>
    <n v="2.98851021172579"/>
    <n v="1090.80622727991"/>
    <n v="3926.9024182076801"/>
  </r>
  <r>
    <x v="0"/>
    <x v="0"/>
    <x v="0"/>
    <x v="5"/>
    <x v="9"/>
    <s v="LT_Rural"/>
    <x v="10"/>
    <x v="58"/>
    <x v="0"/>
    <x v="7"/>
    <n v="2.1346501512326999"/>
    <n v="779.14730519993702"/>
    <n v="2804.9302987197698"/>
  </r>
  <r>
    <x v="0"/>
    <x v="0"/>
    <x v="0"/>
    <x v="5"/>
    <x v="9"/>
    <s v="LT_Rural"/>
    <x v="10"/>
    <x v="58"/>
    <x v="0"/>
    <x v="8"/>
    <n v="2.98851021172579"/>
    <n v="1090.80622727991"/>
    <n v="3926.9024182076801"/>
  </r>
  <r>
    <x v="0"/>
    <x v="0"/>
    <x v="0"/>
    <x v="5"/>
    <x v="9"/>
    <s v="LT_Rural"/>
    <x v="10"/>
    <x v="58"/>
    <x v="0"/>
    <x v="9"/>
    <n v="14.0886909981358"/>
    <n v="5142.3722143195801"/>
    <n v="18512.539971550501"/>
  </r>
  <r>
    <x v="0"/>
    <x v="0"/>
    <x v="0"/>
    <x v="5"/>
    <x v="9"/>
    <s v="LT_Rural"/>
    <x v="10"/>
    <x v="58"/>
    <x v="0"/>
    <x v="10"/>
    <n v="32.873612328983597"/>
    <n v="11998.868500078999"/>
    <n v="43195.926600284503"/>
  </r>
  <r>
    <x v="0"/>
    <x v="0"/>
    <x v="0"/>
    <x v="5"/>
    <x v="9"/>
    <s v="LT_Rural"/>
    <x v="10"/>
    <x v="58"/>
    <x v="0"/>
    <x v="11"/>
    <n v="50.804673599338301"/>
    <n v="18543.7058637585"/>
    <n v="66757.341109530593"/>
  </r>
  <r>
    <x v="0"/>
    <x v="0"/>
    <x v="0"/>
    <x v="5"/>
    <x v="9"/>
    <s v="LT_Rural"/>
    <x v="10"/>
    <x v="58"/>
    <x v="0"/>
    <x v="12"/>
    <n v="58.916344174022598"/>
    <n v="21504.465623518299"/>
    <n v="77416.076244665703"/>
  </r>
  <r>
    <x v="0"/>
    <x v="0"/>
    <x v="0"/>
    <x v="5"/>
    <x v="9"/>
    <s v="LT_Rural"/>
    <x v="10"/>
    <x v="58"/>
    <x v="0"/>
    <x v="13"/>
    <n v="67.454944778953404"/>
    <n v="24621.054844318001"/>
    <n v="88635.797439544796"/>
  </r>
  <r>
    <x v="0"/>
    <x v="0"/>
    <x v="0"/>
    <x v="5"/>
    <x v="9"/>
    <s v="LT_Rural"/>
    <x v="10"/>
    <x v="58"/>
    <x v="0"/>
    <x v="14"/>
    <n v="67.454944778953404"/>
    <n v="24621.054844318001"/>
    <n v="88635.797439544796"/>
  </r>
  <r>
    <x v="0"/>
    <x v="0"/>
    <x v="0"/>
    <x v="5"/>
    <x v="9"/>
    <s v="LT_Rural"/>
    <x v="10"/>
    <x v="58"/>
    <x v="0"/>
    <x v="15"/>
    <n v="106.732507561635"/>
    <n v="38957.365259996797"/>
    <n v="140246.51493598899"/>
  </r>
  <r>
    <x v="0"/>
    <x v="0"/>
    <x v="0"/>
    <x v="5"/>
    <x v="9"/>
    <s v="LT_Rural"/>
    <x v="10"/>
    <x v="58"/>
    <x v="0"/>
    <x v="16"/>
    <n v="137.89839976963299"/>
    <n v="50332.915915915903"/>
    <n v="181198.497297297"/>
  </r>
  <r>
    <x v="0"/>
    <x v="0"/>
    <x v="0"/>
    <x v="5"/>
    <x v="9"/>
    <s v="LT_Rural"/>
    <x v="10"/>
    <x v="58"/>
    <x v="0"/>
    <x v="17"/>
    <n v="136.19067964864601"/>
    <n v="49709.598071756001"/>
    <n v="178954.553058322"/>
  </r>
  <r>
    <x v="0"/>
    <x v="0"/>
    <x v="0"/>
    <x v="5"/>
    <x v="9"/>
    <s v="LT_Rural"/>
    <x v="10"/>
    <x v="58"/>
    <x v="0"/>
    <x v="18"/>
    <n v="186.14149318749199"/>
    <n v="67941.645013434507"/>
    <n v="244589.92204836401"/>
  </r>
  <r>
    <x v="0"/>
    <x v="0"/>
    <x v="0"/>
    <x v="5"/>
    <x v="9"/>
    <s v="LT_Rural"/>
    <x v="10"/>
    <x v="58"/>
    <x v="0"/>
    <x v="19"/>
    <n v="277.07758963000498"/>
    <n v="101133.32021495199"/>
    <n v="364079.95277382602"/>
  </r>
  <r>
    <x v="0"/>
    <x v="0"/>
    <x v="0"/>
    <x v="5"/>
    <x v="9"/>
    <s v="LT_Rural"/>
    <x v="10"/>
    <x v="58"/>
    <x v="0"/>
    <x v="20"/>
    <n v="321.051382745399"/>
    <n v="117183.75470207"/>
    <n v="421861.51692745398"/>
  </r>
  <r>
    <x v="0"/>
    <x v="0"/>
    <x v="0"/>
    <x v="5"/>
    <x v="9"/>
    <s v="LT_Rural"/>
    <x v="10"/>
    <x v="58"/>
    <x v="0"/>
    <x v="21"/>
    <n v="346.24025452994499"/>
    <n v="126377.69290343"/>
    <n v="454959.694452347"/>
  </r>
  <r>
    <x v="0"/>
    <x v="0"/>
    <x v="0"/>
    <x v="5"/>
    <x v="9"/>
    <s v="LT_Rural"/>
    <x v="10"/>
    <x v="58"/>
    <x v="0"/>
    <x v="22"/>
    <n v="351.79034492314997"/>
    <n v="128403.47589695"/>
    <n v="462252.51322901802"/>
  </r>
  <r>
    <x v="0"/>
    <x v="0"/>
    <x v="0"/>
    <x v="5"/>
    <x v="9"/>
    <s v="LT_Rural"/>
    <x v="10"/>
    <x v="58"/>
    <x v="0"/>
    <x v="23"/>
    <n v="366.30596595153202"/>
    <n v="133701.67757230901"/>
    <n v="481326.03926031297"/>
  </r>
  <r>
    <x v="0"/>
    <x v="0"/>
    <x v="0"/>
    <x v="5"/>
    <x v="9"/>
    <s v="LT_SiaU"/>
    <x v="13"/>
    <x v="168"/>
    <x v="0"/>
    <x v="0"/>
    <n v="47.099391480730198"/>
    <n v="17191.277890466499"/>
    <n v="61888.600405679499"/>
  </r>
  <r>
    <x v="0"/>
    <x v="0"/>
    <x v="0"/>
    <x v="5"/>
    <x v="9"/>
    <s v="LT_SiaU"/>
    <x v="13"/>
    <x v="168"/>
    <x v="0"/>
    <x v="1"/>
    <n v="47.099391480730198"/>
    <n v="17191.277890466499"/>
    <n v="61888.600405679499"/>
  </r>
  <r>
    <x v="0"/>
    <x v="0"/>
    <x v="0"/>
    <x v="5"/>
    <x v="9"/>
    <s v="LT_SiaU"/>
    <x v="13"/>
    <x v="168"/>
    <x v="0"/>
    <x v="2"/>
    <n v="47.099391480730198"/>
    <n v="17191.277890466499"/>
    <n v="61888.600405679499"/>
  </r>
  <r>
    <x v="0"/>
    <x v="0"/>
    <x v="0"/>
    <x v="5"/>
    <x v="9"/>
    <s v="LT_SiaU"/>
    <x v="13"/>
    <x v="168"/>
    <x v="0"/>
    <x v="3"/>
    <n v="47.099391480730198"/>
    <n v="17191.277890466499"/>
    <n v="61888.600405679499"/>
  </r>
  <r>
    <x v="0"/>
    <x v="0"/>
    <x v="0"/>
    <x v="5"/>
    <x v="9"/>
    <s v="LT_SiaU"/>
    <x v="13"/>
    <x v="168"/>
    <x v="0"/>
    <x v="4"/>
    <n v="47.099391480730198"/>
    <n v="17191.277890466499"/>
    <n v="61888.600405679499"/>
  </r>
  <r>
    <x v="0"/>
    <x v="0"/>
    <x v="0"/>
    <x v="5"/>
    <x v="9"/>
    <s v="LT_SiaU"/>
    <x v="13"/>
    <x v="168"/>
    <x v="0"/>
    <x v="5"/>
    <n v="47.099391480730198"/>
    <n v="17191.277890466499"/>
    <n v="61888.600405679499"/>
  </r>
  <r>
    <x v="0"/>
    <x v="0"/>
    <x v="0"/>
    <x v="5"/>
    <x v="9"/>
    <s v="LT_SiaU"/>
    <x v="13"/>
    <x v="168"/>
    <x v="0"/>
    <x v="6"/>
    <n v="47.099391480730198"/>
    <n v="17191.277890466499"/>
    <n v="61888.600405679499"/>
  </r>
  <r>
    <x v="0"/>
    <x v="0"/>
    <x v="0"/>
    <x v="5"/>
    <x v="9"/>
    <s v="LT_SiaU"/>
    <x v="13"/>
    <x v="168"/>
    <x v="0"/>
    <x v="7"/>
    <n v="47.099391480730198"/>
    <n v="17191.277890466499"/>
    <n v="61888.600405679499"/>
  </r>
  <r>
    <x v="0"/>
    <x v="0"/>
    <x v="0"/>
    <x v="5"/>
    <x v="9"/>
    <s v="LT_SiaU"/>
    <x v="13"/>
    <x v="168"/>
    <x v="0"/>
    <x v="8"/>
    <n v="47.099391480730198"/>
    <n v="17191.277890466499"/>
    <n v="61888.600405679499"/>
  </r>
  <r>
    <x v="0"/>
    <x v="0"/>
    <x v="0"/>
    <x v="5"/>
    <x v="9"/>
    <s v="LT_SiaU"/>
    <x v="13"/>
    <x v="168"/>
    <x v="0"/>
    <x v="9"/>
    <n v="47.099391480730198"/>
    <n v="17191.277890466499"/>
    <n v="61888.600405679499"/>
  </r>
  <r>
    <x v="0"/>
    <x v="0"/>
    <x v="0"/>
    <x v="5"/>
    <x v="9"/>
    <s v="LT_SiaU"/>
    <x v="13"/>
    <x v="168"/>
    <x v="0"/>
    <x v="10"/>
    <n v="47.099391480730198"/>
    <n v="17191.277890466499"/>
    <n v="61888.600405679499"/>
  </r>
  <r>
    <x v="0"/>
    <x v="0"/>
    <x v="0"/>
    <x v="5"/>
    <x v="9"/>
    <s v="LT_SiaU"/>
    <x v="13"/>
    <x v="168"/>
    <x v="0"/>
    <x v="11"/>
    <n v="47.099391480730198"/>
    <n v="17191.277890466499"/>
    <n v="61888.600405679499"/>
  </r>
  <r>
    <x v="0"/>
    <x v="0"/>
    <x v="0"/>
    <x v="5"/>
    <x v="9"/>
    <s v="LT_SiaU"/>
    <x v="13"/>
    <x v="168"/>
    <x v="0"/>
    <x v="12"/>
    <n v="47.099391480730198"/>
    <n v="17191.277890466499"/>
    <n v="61888.600405679499"/>
  </r>
  <r>
    <x v="0"/>
    <x v="0"/>
    <x v="0"/>
    <x v="5"/>
    <x v="9"/>
    <s v="LT_SiaU"/>
    <x v="13"/>
    <x v="168"/>
    <x v="0"/>
    <x v="13"/>
    <n v="47.099391480730198"/>
    <n v="17191.277890466499"/>
    <n v="61888.600405679499"/>
  </r>
  <r>
    <x v="0"/>
    <x v="0"/>
    <x v="0"/>
    <x v="5"/>
    <x v="9"/>
    <s v="LT_SiaU"/>
    <x v="13"/>
    <x v="168"/>
    <x v="0"/>
    <x v="14"/>
    <n v="47.099391480730198"/>
    <n v="17191.277890466499"/>
    <n v="61888.600405679499"/>
  </r>
  <r>
    <x v="0"/>
    <x v="0"/>
    <x v="0"/>
    <x v="5"/>
    <x v="9"/>
    <s v="LT_SiaU"/>
    <x v="13"/>
    <x v="168"/>
    <x v="0"/>
    <x v="15"/>
    <n v="47.099391480730198"/>
    <n v="17191.277890466499"/>
    <n v="61888.600405679499"/>
  </r>
  <r>
    <x v="0"/>
    <x v="0"/>
    <x v="0"/>
    <x v="5"/>
    <x v="9"/>
    <s v="LT_SiaU"/>
    <x v="13"/>
    <x v="168"/>
    <x v="0"/>
    <x v="16"/>
    <n v="47.099391480730198"/>
    <n v="17191.277890466499"/>
    <n v="61888.600405679499"/>
  </r>
  <r>
    <x v="0"/>
    <x v="0"/>
    <x v="0"/>
    <x v="5"/>
    <x v="9"/>
    <s v="LT_SiaU"/>
    <x v="13"/>
    <x v="168"/>
    <x v="0"/>
    <x v="17"/>
    <n v="47.099391480730198"/>
    <n v="17191.277890466499"/>
    <n v="61888.600405679499"/>
  </r>
  <r>
    <x v="0"/>
    <x v="0"/>
    <x v="0"/>
    <x v="5"/>
    <x v="9"/>
    <s v="LT_SiaU"/>
    <x v="13"/>
    <x v="168"/>
    <x v="0"/>
    <x v="18"/>
    <n v="47.099391480730198"/>
    <n v="17191.277890466499"/>
    <n v="61888.600405679499"/>
  </r>
  <r>
    <x v="0"/>
    <x v="0"/>
    <x v="0"/>
    <x v="5"/>
    <x v="9"/>
    <s v="LT_SiaU"/>
    <x v="13"/>
    <x v="168"/>
    <x v="0"/>
    <x v="19"/>
    <n v="47.099391480730198"/>
    <n v="17191.277890466499"/>
    <n v="61888.600405679499"/>
  </r>
  <r>
    <x v="0"/>
    <x v="0"/>
    <x v="0"/>
    <x v="5"/>
    <x v="9"/>
    <s v="LT_SiaU"/>
    <x v="13"/>
    <x v="168"/>
    <x v="0"/>
    <x v="20"/>
    <n v="47.099391480730198"/>
    <n v="17191.277890466499"/>
    <n v="61888.600405679499"/>
  </r>
  <r>
    <x v="0"/>
    <x v="0"/>
    <x v="0"/>
    <x v="5"/>
    <x v="9"/>
    <s v="LT_SiaU"/>
    <x v="13"/>
    <x v="168"/>
    <x v="0"/>
    <x v="21"/>
    <n v="47.099391480730198"/>
    <n v="17191.277890466499"/>
    <n v="61888.600405679499"/>
  </r>
  <r>
    <x v="0"/>
    <x v="0"/>
    <x v="0"/>
    <x v="5"/>
    <x v="9"/>
    <s v="LT_SiaU"/>
    <x v="13"/>
    <x v="168"/>
    <x v="0"/>
    <x v="22"/>
    <n v="47.099391480730198"/>
    <n v="17191.277890466499"/>
    <n v="61888.600405679499"/>
  </r>
  <r>
    <x v="0"/>
    <x v="0"/>
    <x v="0"/>
    <x v="5"/>
    <x v="9"/>
    <s v="LT_SiaU"/>
    <x v="13"/>
    <x v="168"/>
    <x v="0"/>
    <x v="23"/>
    <n v="47.099391480730198"/>
    <n v="17191.277890466499"/>
    <n v="61888.600405679499"/>
  </r>
  <r>
    <x v="0"/>
    <x v="0"/>
    <x v="0"/>
    <x v="5"/>
    <x v="9"/>
    <s v="LT_VilU"/>
    <x v="2"/>
    <x v="169"/>
    <x v="0"/>
    <x v="0"/>
    <n v="315.839556518508"/>
    <n v="115281.438129255"/>
    <n v="415013.17726531997"/>
  </r>
  <r>
    <x v="0"/>
    <x v="0"/>
    <x v="0"/>
    <x v="5"/>
    <x v="9"/>
    <s v="LT_VilU"/>
    <x v="2"/>
    <x v="169"/>
    <x v="0"/>
    <x v="1"/>
    <n v="315.839556518508"/>
    <n v="115281.438129255"/>
    <n v="415013.17726531997"/>
  </r>
  <r>
    <x v="0"/>
    <x v="0"/>
    <x v="0"/>
    <x v="5"/>
    <x v="9"/>
    <s v="LT_VilU"/>
    <x v="2"/>
    <x v="169"/>
    <x v="0"/>
    <x v="2"/>
    <n v="315.839556518508"/>
    <n v="115281.438129255"/>
    <n v="415013.17726531997"/>
  </r>
  <r>
    <x v="0"/>
    <x v="0"/>
    <x v="0"/>
    <x v="5"/>
    <x v="9"/>
    <s v="LT_VilU"/>
    <x v="2"/>
    <x v="169"/>
    <x v="0"/>
    <x v="3"/>
    <n v="315.839556518508"/>
    <n v="115281.438129255"/>
    <n v="415013.17726531997"/>
  </r>
  <r>
    <x v="0"/>
    <x v="0"/>
    <x v="0"/>
    <x v="5"/>
    <x v="9"/>
    <s v="LT_VilU"/>
    <x v="2"/>
    <x v="169"/>
    <x v="0"/>
    <x v="4"/>
    <n v="315.839556518508"/>
    <n v="115281.438129255"/>
    <n v="415013.17726531997"/>
  </r>
  <r>
    <x v="0"/>
    <x v="0"/>
    <x v="0"/>
    <x v="5"/>
    <x v="9"/>
    <s v="LT_VilU"/>
    <x v="2"/>
    <x v="169"/>
    <x v="0"/>
    <x v="5"/>
    <n v="315.839556518508"/>
    <n v="115281.438129255"/>
    <n v="415013.17726531997"/>
  </r>
  <r>
    <x v="0"/>
    <x v="0"/>
    <x v="0"/>
    <x v="5"/>
    <x v="9"/>
    <s v="LT_VilU"/>
    <x v="2"/>
    <x v="169"/>
    <x v="0"/>
    <x v="6"/>
    <n v="315.839556518508"/>
    <n v="115281.438129255"/>
    <n v="415013.17726531997"/>
  </r>
  <r>
    <x v="0"/>
    <x v="0"/>
    <x v="0"/>
    <x v="5"/>
    <x v="9"/>
    <s v="LT_VilU"/>
    <x v="2"/>
    <x v="169"/>
    <x v="0"/>
    <x v="7"/>
    <n v="315.839556518508"/>
    <n v="115281.438129255"/>
    <n v="415013.17726531997"/>
  </r>
  <r>
    <x v="0"/>
    <x v="0"/>
    <x v="0"/>
    <x v="5"/>
    <x v="9"/>
    <s v="LT_VilU"/>
    <x v="2"/>
    <x v="169"/>
    <x v="0"/>
    <x v="8"/>
    <n v="315.839556518508"/>
    <n v="115281.438129255"/>
    <n v="415013.17726531997"/>
  </r>
  <r>
    <x v="0"/>
    <x v="0"/>
    <x v="0"/>
    <x v="5"/>
    <x v="9"/>
    <s v="LT_VilU"/>
    <x v="2"/>
    <x v="169"/>
    <x v="0"/>
    <x v="9"/>
    <n v="315.839556518508"/>
    <n v="115281.438129255"/>
    <n v="415013.17726531997"/>
  </r>
  <r>
    <x v="0"/>
    <x v="0"/>
    <x v="0"/>
    <x v="5"/>
    <x v="9"/>
    <s v="LT_VilU"/>
    <x v="2"/>
    <x v="169"/>
    <x v="0"/>
    <x v="10"/>
    <n v="315.839556518508"/>
    <n v="115281.438129255"/>
    <n v="415013.17726531997"/>
  </r>
  <r>
    <x v="0"/>
    <x v="0"/>
    <x v="0"/>
    <x v="5"/>
    <x v="9"/>
    <s v="LT_VilU"/>
    <x v="2"/>
    <x v="169"/>
    <x v="0"/>
    <x v="11"/>
    <n v="315.839556518508"/>
    <n v="115281.438129255"/>
    <n v="415013.17726531997"/>
  </r>
  <r>
    <x v="0"/>
    <x v="0"/>
    <x v="0"/>
    <x v="5"/>
    <x v="9"/>
    <s v="LT_VilU"/>
    <x v="2"/>
    <x v="169"/>
    <x v="0"/>
    <x v="12"/>
    <n v="315.839556518508"/>
    <n v="115281.438129255"/>
    <n v="415013.17726531997"/>
  </r>
  <r>
    <x v="0"/>
    <x v="0"/>
    <x v="0"/>
    <x v="5"/>
    <x v="9"/>
    <s v="LT_VilU"/>
    <x v="2"/>
    <x v="169"/>
    <x v="0"/>
    <x v="13"/>
    <n v="315.839556518508"/>
    <n v="115281.438129255"/>
    <n v="415013.17726531997"/>
  </r>
  <r>
    <x v="0"/>
    <x v="0"/>
    <x v="0"/>
    <x v="5"/>
    <x v="9"/>
    <s v="LT_VilU"/>
    <x v="2"/>
    <x v="169"/>
    <x v="0"/>
    <x v="14"/>
    <n v="315.839556518508"/>
    <n v="115281.438129255"/>
    <n v="415013.17726531997"/>
  </r>
  <r>
    <x v="0"/>
    <x v="0"/>
    <x v="0"/>
    <x v="5"/>
    <x v="9"/>
    <s v="LT_VilU"/>
    <x v="2"/>
    <x v="169"/>
    <x v="0"/>
    <x v="15"/>
    <n v="315.839556518508"/>
    <n v="115281.438129255"/>
    <n v="415013.17726531997"/>
  </r>
  <r>
    <x v="0"/>
    <x v="0"/>
    <x v="0"/>
    <x v="5"/>
    <x v="9"/>
    <s v="LT_VilU"/>
    <x v="2"/>
    <x v="169"/>
    <x v="0"/>
    <x v="16"/>
    <n v="315.839556518508"/>
    <n v="115281.438129255"/>
    <n v="415013.17726531997"/>
  </r>
  <r>
    <x v="0"/>
    <x v="0"/>
    <x v="0"/>
    <x v="5"/>
    <x v="9"/>
    <s v="LT_VilU"/>
    <x v="2"/>
    <x v="169"/>
    <x v="0"/>
    <x v="17"/>
    <n v="315.839556518508"/>
    <n v="115281.438129255"/>
    <n v="415013.17726531997"/>
  </r>
  <r>
    <x v="0"/>
    <x v="0"/>
    <x v="0"/>
    <x v="5"/>
    <x v="9"/>
    <s v="LT_VilU"/>
    <x v="2"/>
    <x v="169"/>
    <x v="0"/>
    <x v="18"/>
    <n v="315.839556518508"/>
    <n v="115281.438129255"/>
    <n v="415013.17726531997"/>
  </r>
  <r>
    <x v="0"/>
    <x v="0"/>
    <x v="0"/>
    <x v="5"/>
    <x v="9"/>
    <s v="LT_VilU"/>
    <x v="2"/>
    <x v="169"/>
    <x v="0"/>
    <x v="19"/>
    <n v="315.839556518508"/>
    <n v="115281.438129255"/>
    <n v="415013.17726531997"/>
  </r>
  <r>
    <x v="0"/>
    <x v="0"/>
    <x v="0"/>
    <x v="5"/>
    <x v="9"/>
    <s v="LT_VilU"/>
    <x v="2"/>
    <x v="169"/>
    <x v="0"/>
    <x v="20"/>
    <n v="315.839556518508"/>
    <n v="115281.438129255"/>
    <n v="415013.17726531997"/>
  </r>
  <r>
    <x v="0"/>
    <x v="0"/>
    <x v="0"/>
    <x v="5"/>
    <x v="9"/>
    <s v="LT_VilU"/>
    <x v="2"/>
    <x v="169"/>
    <x v="0"/>
    <x v="21"/>
    <n v="315.839556518508"/>
    <n v="115281.438129255"/>
    <n v="415013.17726531997"/>
  </r>
  <r>
    <x v="0"/>
    <x v="0"/>
    <x v="0"/>
    <x v="5"/>
    <x v="9"/>
    <s v="LT_VilU"/>
    <x v="2"/>
    <x v="169"/>
    <x v="0"/>
    <x v="22"/>
    <n v="315.839556518508"/>
    <n v="115281.438129255"/>
    <n v="415013.17726531997"/>
  </r>
  <r>
    <x v="0"/>
    <x v="0"/>
    <x v="0"/>
    <x v="5"/>
    <x v="9"/>
    <s v="LT_VilU"/>
    <x v="2"/>
    <x v="169"/>
    <x v="0"/>
    <x v="23"/>
    <n v="315.839556518508"/>
    <n v="115281.438129255"/>
    <n v="415013.17726531997"/>
  </r>
  <r>
    <x v="0"/>
    <x v="0"/>
    <x v="0"/>
    <x v="5"/>
    <x v="9"/>
    <s v="LT_VilU"/>
    <x v="3"/>
    <x v="170"/>
    <x v="0"/>
    <x v="0"/>
    <n v="28.399618545259901"/>
    <n v="10365.860769019901"/>
    <n v="37317.0987684715"/>
  </r>
  <r>
    <x v="0"/>
    <x v="0"/>
    <x v="0"/>
    <x v="5"/>
    <x v="9"/>
    <s v="LT_VilU"/>
    <x v="3"/>
    <x v="170"/>
    <x v="0"/>
    <x v="4"/>
    <n v="201.079895069683"/>
    <n v="73394.161700434299"/>
    <n v="264218.98212156398"/>
  </r>
  <r>
    <x v="0"/>
    <x v="0"/>
    <x v="0"/>
    <x v="5"/>
    <x v="9"/>
    <s v="LT_VilU"/>
    <x v="3"/>
    <x v="170"/>
    <x v="0"/>
    <x v="5"/>
    <n v="784.48275862068999"/>
    <n v="286336.206896552"/>
    <n v="1030810.34482759"/>
  </r>
  <r>
    <x v="0"/>
    <x v="0"/>
    <x v="0"/>
    <x v="5"/>
    <x v="9"/>
    <s v="LT_VilU"/>
    <x v="3"/>
    <x v="170"/>
    <x v="0"/>
    <x v="6"/>
    <n v="784.48275862068999"/>
    <n v="286336.206896552"/>
    <n v="1030810.34482759"/>
  </r>
  <r>
    <x v="0"/>
    <x v="0"/>
    <x v="0"/>
    <x v="5"/>
    <x v="9"/>
    <s v="LT_VilU"/>
    <x v="3"/>
    <x v="170"/>
    <x v="0"/>
    <x v="7"/>
    <n v="784.48275862068999"/>
    <n v="286336.206896552"/>
    <n v="1030810.34482759"/>
  </r>
  <r>
    <x v="0"/>
    <x v="0"/>
    <x v="0"/>
    <x v="5"/>
    <x v="9"/>
    <s v="LT_VilU"/>
    <x v="3"/>
    <x v="170"/>
    <x v="0"/>
    <x v="8"/>
    <n v="784.48275862068999"/>
    <n v="286336.206896552"/>
    <n v="1030810.34482759"/>
  </r>
  <r>
    <x v="0"/>
    <x v="0"/>
    <x v="0"/>
    <x v="5"/>
    <x v="9"/>
    <s v="LT_VilU"/>
    <x v="3"/>
    <x v="170"/>
    <x v="0"/>
    <x v="9"/>
    <n v="784.48275862068999"/>
    <n v="286336.206896552"/>
    <n v="1030810.34482759"/>
  </r>
  <r>
    <x v="0"/>
    <x v="0"/>
    <x v="0"/>
    <x v="5"/>
    <x v="9"/>
    <s v="LT_VilU"/>
    <x v="3"/>
    <x v="170"/>
    <x v="0"/>
    <x v="10"/>
    <n v="784.48275862068999"/>
    <n v="286336.206896552"/>
    <n v="1030810.34482759"/>
  </r>
  <r>
    <x v="0"/>
    <x v="0"/>
    <x v="0"/>
    <x v="5"/>
    <x v="9"/>
    <s v="LT_VilU"/>
    <x v="3"/>
    <x v="170"/>
    <x v="0"/>
    <x v="11"/>
    <n v="784.48275862068999"/>
    <n v="286336.206896552"/>
    <n v="1030810.34482759"/>
  </r>
  <r>
    <x v="0"/>
    <x v="0"/>
    <x v="0"/>
    <x v="5"/>
    <x v="9"/>
    <s v="LT_VilU"/>
    <x v="3"/>
    <x v="170"/>
    <x v="0"/>
    <x v="12"/>
    <n v="784.48275862068999"/>
    <n v="286336.206896552"/>
    <n v="1030810.34482759"/>
  </r>
  <r>
    <x v="0"/>
    <x v="0"/>
    <x v="0"/>
    <x v="5"/>
    <x v="9"/>
    <s v="LT_VilU"/>
    <x v="3"/>
    <x v="170"/>
    <x v="0"/>
    <x v="13"/>
    <n v="784.48275862068999"/>
    <n v="286336.206896552"/>
    <n v="1030810.34482759"/>
  </r>
  <r>
    <x v="0"/>
    <x v="0"/>
    <x v="0"/>
    <x v="5"/>
    <x v="9"/>
    <s v="LT_VilU"/>
    <x v="3"/>
    <x v="170"/>
    <x v="0"/>
    <x v="14"/>
    <n v="784.48275862068999"/>
    <n v="286336.206896552"/>
    <n v="1030810.34482759"/>
  </r>
  <r>
    <x v="0"/>
    <x v="0"/>
    <x v="0"/>
    <x v="5"/>
    <x v="9"/>
    <s v="LT_VilU"/>
    <x v="3"/>
    <x v="170"/>
    <x v="0"/>
    <x v="15"/>
    <n v="784.48275862068999"/>
    <n v="286336.206896552"/>
    <n v="1030810.34482759"/>
  </r>
  <r>
    <x v="0"/>
    <x v="0"/>
    <x v="0"/>
    <x v="5"/>
    <x v="9"/>
    <s v="LT_VilU"/>
    <x v="3"/>
    <x v="170"/>
    <x v="0"/>
    <x v="16"/>
    <n v="784.48275862068999"/>
    <n v="286336.206896552"/>
    <n v="1030810.34482759"/>
  </r>
  <r>
    <x v="0"/>
    <x v="0"/>
    <x v="0"/>
    <x v="5"/>
    <x v="9"/>
    <s v="LT_VilU"/>
    <x v="3"/>
    <x v="170"/>
    <x v="0"/>
    <x v="17"/>
    <n v="784.48275862068999"/>
    <n v="286336.206896552"/>
    <n v="1030810.34482759"/>
  </r>
  <r>
    <x v="0"/>
    <x v="0"/>
    <x v="0"/>
    <x v="5"/>
    <x v="9"/>
    <s v="LT_VilU"/>
    <x v="3"/>
    <x v="170"/>
    <x v="0"/>
    <x v="18"/>
    <n v="784.48275862068999"/>
    <n v="286336.206896552"/>
    <n v="1030810.34482759"/>
  </r>
  <r>
    <x v="0"/>
    <x v="0"/>
    <x v="0"/>
    <x v="5"/>
    <x v="9"/>
    <s v="LT_VilU"/>
    <x v="3"/>
    <x v="170"/>
    <x v="0"/>
    <x v="19"/>
    <n v="784.48275862068999"/>
    <n v="286336.206896552"/>
    <n v="1030810.34482759"/>
  </r>
  <r>
    <x v="0"/>
    <x v="0"/>
    <x v="0"/>
    <x v="5"/>
    <x v="9"/>
    <s v="LT_VilU"/>
    <x v="3"/>
    <x v="170"/>
    <x v="0"/>
    <x v="20"/>
    <n v="784.48275862068999"/>
    <n v="286336.206896552"/>
    <n v="1030810.34482759"/>
  </r>
  <r>
    <x v="0"/>
    <x v="0"/>
    <x v="0"/>
    <x v="5"/>
    <x v="9"/>
    <s v="LT_VilU"/>
    <x v="3"/>
    <x v="170"/>
    <x v="0"/>
    <x v="21"/>
    <n v="784.48275862068999"/>
    <n v="286336.206896552"/>
    <n v="1030810.34482759"/>
  </r>
  <r>
    <x v="0"/>
    <x v="0"/>
    <x v="0"/>
    <x v="5"/>
    <x v="9"/>
    <s v="LT_VilU"/>
    <x v="13"/>
    <x v="171"/>
    <x v="0"/>
    <x v="0"/>
    <n v="87.078651685393297"/>
    <n v="31783.707865168501"/>
    <n v="114421.34831460701"/>
  </r>
  <r>
    <x v="0"/>
    <x v="0"/>
    <x v="0"/>
    <x v="5"/>
    <x v="9"/>
    <s v="LT_VilU"/>
    <x v="13"/>
    <x v="171"/>
    <x v="0"/>
    <x v="1"/>
    <n v="87.078651685393297"/>
    <n v="31783.707865168501"/>
    <n v="114421.34831460701"/>
  </r>
  <r>
    <x v="0"/>
    <x v="0"/>
    <x v="0"/>
    <x v="5"/>
    <x v="9"/>
    <s v="LT_VilU"/>
    <x v="13"/>
    <x v="171"/>
    <x v="0"/>
    <x v="2"/>
    <n v="87.078651685393297"/>
    <n v="31783.707865168501"/>
    <n v="114421.34831460701"/>
  </r>
  <r>
    <x v="0"/>
    <x v="0"/>
    <x v="0"/>
    <x v="5"/>
    <x v="9"/>
    <s v="LT_VilU"/>
    <x v="13"/>
    <x v="171"/>
    <x v="0"/>
    <x v="3"/>
    <n v="87.078651685393297"/>
    <n v="31783.707865168501"/>
    <n v="114421.34831460701"/>
  </r>
  <r>
    <x v="0"/>
    <x v="0"/>
    <x v="0"/>
    <x v="5"/>
    <x v="9"/>
    <s v="LT_VilU"/>
    <x v="13"/>
    <x v="171"/>
    <x v="0"/>
    <x v="4"/>
    <n v="87.078651685393297"/>
    <n v="31783.707865168501"/>
    <n v="114421.34831460701"/>
  </r>
  <r>
    <x v="0"/>
    <x v="0"/>
    <x v="0"/>
    <x v="5"/>
    <x v="9"/>
    <s v="LT_VilU"/>
    <x v="13"/>
    <x v="171"/>
    <x v="0"/>
    <x v="5"/>
    <n v="87.078651685393297"/>
    <n v="31783.707865168501"/>
    <n v="114421.34831460701"/>
  </r>
  <r>
    <x v="0"/>
    <x v="0"/>
    <x v="0"/>
    <x v="5"/>
    <x v="9"/>
    <s v="LT_VilU"/>
    <x v="13"/>
    <x v="171"/>
    <x v="0"/>
    <x v="6"/>
    <n v="87.078651685393297"/>
    <n v="31783.707865168501"/>
    <n v="114421.34831460701"/>
  </r>
  <r>
    <x v="0"/>
    <x v="0"/>
    <x v="0"/>
    <x v="5"/>
    <x v="9"/>
    <s v="LT_VilU"/>
    <x v="13"/>
    <x v="171"/>
    <x v="0"/>
    <x v="7"/>
    <n v="87.078651685393297"/>
    <n v="31783.707865168501"/>
    <n v="114421.34831460701"/>
  </r>
  <r>
    <x v="0"/>
    <x v="0"/>
    <x v="0"/>
    <x v="5"/>
    <x v="9"/>
    <s v="LT_VilU"/>
    <x v="13"/>
    <x v="171"/>
    <x v="0"/>
    <x v="8"/>
    <n v="87.078651685393297"/>
    <n v="31783.707865168501"/>
    <n v="114421.34831460701"/>
  </r>
  <r>
    <x v="0"/>
    <x v="0"/>
    <x v="0"/>
    <x v="5"/>
    <x v="9"/>
    <s v="LT_VilU"/>
    <x v="13"/>
    <x v="171"/>
    <x v="0"/>
    <x v="9"/>
    <n v="87.078651685393297"/>
    <n v="31783.707865168501"/>
    <n v="114421.34831460701"/>
  </r>
  <r>
    <x v="0"/>
    <x v="0"/>
    <x v="0"/>
    <x v="5"/>
    <x v="9"/>
    <s v="LT_VilU"/>
    <x v="13"/>
    <x v="171"/>
    <x v="0"/>
    <x v="10"/>
    <n v="87.078651685393297"/>
    <n v="31783.707865168501"/>
    <n v="114421.34831460701"/>
  </r>
  <r>
    <x v="0"/>
    <x v="0"/>
    <x v="0"/>
    <x v="5"/>
    <x v="9"/>
    <s v="LT_VilU"/>
    <x v="13"/>
    <x v="171"/>
    <x v="0"/>
    <x v="11"/>
    <n v="87.078651685393297"/>
    <n v="31783.707865168501"/>
    <n v="114421.34831460701"/>
  </r>
  <r>
    <x v="0"/>
    <x v="0"/>
    <x v="0"/>
    <x v="5"/>
    <x v="9"/>
    <s v="LT_VilU"/>
    <x v="13"/>
    <x v="171"/>
    <x v="0"/>
    <x v="12"/>
    <n v="87.078651685393297"/>
    <n v="31783.707865168501"/>
    <n v="114421.34831460701"/>
  </r>
  <r>
    <x v="0"/>
    <x v="0"/>
    <x v="0"/>
    <x v="5"/>
    <x v="9"/>
    <s v="LT_VilU"/>
    <x v="13"/>
    <x v="171"/>
    <x v="0"/>
    <x v="13"/>
    <n v="87.078651685393297"/>
    <n v="31783.707865168501"/>
    <n v="114421.34831460701"/>
  </r>
  <r>
    <x v="0"/>
    <x v="0"/>
    <x v="0"/>
    <x v="5"/>
    <x v="9"/>
    <s v="LT_VilU"/>
    <x v="13"/>
    <x v="171"/>
    <x v="0"/>
    <x v="14"/>
    <n v="87.078651685393297"/>
    <n v="31783.707865168501"/>
    <n v="114421.34831460701"/>
  </r>
  <r>
    <x v="0"/>
    <x v="0"/>
    <x v="0"/>
    <x v="5"/>
    <x v="9"/>
    <s v="LT_VilU"/>
    <x v="13"/>
    <x v="171"/>
    <x v="0"/>
    <x v="15"/>
    <n v="87.078651685393297"/>
    <n v="31783.707865168501"/>
    <n v="114421.34831460701"/>
  </r>
  <r>
    <x v="0"/>
    <x v="0"/>
    <x v="0"/>
    <x v="5"/>
    <x v="9"/>
    <s v="LT_VilU"/>
    <x v="13"/>
    <x v="171"/>
    <x v="0"/>
    <x v="16"/>
    <n v="87.078651685393297"/>
    <n v="31783.707865168501"/>
    <n v="114421.34831460701"/>
  </r>
  <r>
    <x v="0"/>
    <x v="0"/>
    <x v="0"/>
    <x v="5"/>
    <x v="9"/>
    <s v="LT_VilU"/>
    <x v="13"/>
    <x v="171"/>
    <x v="0"/>
    <x v="17"/>
    <n v="87.078651685393297"/>
    <n v="31783.707865168501"/>
    <n v="114421.34831460701"/>
  </r>
  <r>
    <x v="0"/>
    <x v="0"/>
    <x v="0"/>
    <x v="5"/>
    <x v="9"/>
    <s v="LT_VilU"/>
    <x v="13"/>
    <x v="171"/>
    <x v="0"/>
    <x v="18"/>
    <n v="87.078651685393297"/>
    <n v="31783.707865168501"/>
    <n v="114421.34831460701"/>
  </r>
  <r>
    <x v="0"/>
    <x v="0"/>
    <x v="0"/>
    <x v="5"/>
    <x v="9"/>
    <s v="LT_VilU"/>
    <x v="13"/>
    <x v="171"/>
    <x v="0"/>
    <x v="19"/>
    <n v="87.078651685393297"/>
    <n v="31783.707865168501"/>
    <n v="114421.34831460701"/>
  </r>
  <r>
    <x v="0"/>
    <x v="0"/>
    <x v="0"/>
    <x v="5"/>
    <x v="9"/>
    <s v="LT_VilU"/>
    <x v="13"/>
    <x v="171"/>
    <x v="0"/>
    <x v="20"/>
    <n v="87.078651685393297"/>
    <n v="31783.707865168501"/>
    <n v="114421.34831460701"/>
  </r>
  <r>
    <x v="0"/>
    <x v="0"/>
    <x v="0"/>
    <x v="5"/>
    <x v="9"/>
    <s v="LT_VilU"/>
    <x v="13"/>
    <x v="171"/>
    <x v="0"/>
    <x v="21"/>
    <n v="87.078651685393297"/>
    <n v="31783.707865168501"/>
    <n v="114421.34831460701"/>
  </r>
  <r>
    <x v="0"/>
    <x v="0"/>
    <x v="0"/>
    <x v="5"/>
    <x v="9"/>
    <s v="LT_VilU"/>
    <x v="13"/>
    <x v="171"/>
    <x v="0"/>
    <x v="22"/>
    <n v="87.078651685393297"/>
    <n v="31783.707865168501"/>
    <n v="114421.34831460701"/>
  </r>
  <r>
    <x v="0"/>
    <x v="0"/>
    <x v="0"/>
    <x v="5"/>
    <x v="9"/>
    <s v="LT_VilU"/>
    <x v="13"/>
    <x v="171"/>
    <x v="0"/>
    <x v="23"/>
    <n v="87.078651685393297"/>
    <n v="31783.707865168501"/>
    <n v="114421.34831460701"/>
  </r>
  <r>
    <x v="0"/>
    <x v="0"/>
    <x v="0"/>
    <x v="6"/>
    <x v="10"/>
    <s v="NL_A"/>
    <x v="2"/>
    <x v="172"/>
    <x v="0"/>
    <x v="0"/>
    <n v="1710"/>
    <n v="624150"/>
    <n v="2246940"/>
  </r>
  <r>
    <x v="0"/>
    <x v="0"/>
    <x v="0"/>
    <x v="6"/>
    <x v="10"/>
    <s v="NL_A"/>
    <x v="2"/>
    <x v="172"/>
    <x v="0"/>
    <x v="1"/>
    <n v="1710"/>
    <n v="624150"/>
    <n v="2246940"/>
  </r>
  <r>
    <x v="0"/>
    <x v="0"/>
    <x v="0"/>
    <x v="6"/>
    <x v="10"/>
    <s v="NL_A"/>
    <x v="2"/>
    <x v="172"/>
    <x v="0"/>
    <x v="2"/>
    <n v="1710"/>
    <n v="624150"/>
    <n v="2246940"/>
  </r>
  <r>
    <x v="0"/>
    <x v="0"/>
    <x v="0"/>
    <x v="6"/>
    <x v="10"/>
    <s v="NL_A"/>
    <x v="2"/>
    <x v="172"/>
    <x v="0"/>
    <x v="3"/>
    <n v="1710"/>
    <n v="624150"/>
    <n v="2246940"/>
  </r>
  <r>
    <x v="0"/>
    <x v="0"/>
    <x v="0"/>
    <x v="6"/>
    <x v="10"/>
    <s v="NL_A"/>
    <x v="2"/>
    <x v="172"/>
    <x v="0"/>
    <x v="4"/>
    <n v="1710"/>
    <n v="624150"/>
    <n v="2246940"/>
  </r>
  <r>
    <x v="0"/>
    <x v="0"/>
    <x v="0"/>
    <x v="6"/>
    <x v="10"/>
    <s v="NL_A"/>
    <x v="2"/>
    <x v="172"/>
    <x v="0"/>
    <x v="5"/>
    <n v="1710"/>
    <n v="624150"/>
    <n v="2246940"/>
  </r>
  <r>
    <x v="0"/>
    <x v="0"/>
    <x v="0"/>
    <x v="6"/>
    <x v="10"/>
    <s v="NL_A"/>
    <x v="2"/>
    <x v="172"/>
    <x v="0"/>
    <x v="6"/>
    <n v="1710"/>
    <n v="624150"/>
    <n v="2246940"/>
  </r>
  <r>
    <x v="0"/>
    <x v="0"/>
    <x v="0"/>
    <x v="6"/>
    <x v="10"/>
    <s v="NL_A"/>
    <x v="2"/>
    <x v="172"/>
    <x v="0"/>
    <x v="7"/>
    <n v="1710"/>
    <n v="624150"/>
    <n v="2246940"/>
  </r>
  <r>
    <x v="0"/>
    <x v="0"/>
    <x v="0"/>
    <x v="6"/>
    <x v="10"/>
    <s v="NL_A"/>
    <x v="2"/>
    <x v="172"/>
    <x v="0"/>
    <x v="8"/>
    <n v="1710"/>
    <n v="624150"/>
    <n v="2246940"/>
  </r>
  <r>
    <x v="0"/>
    <x v="0"/>
    <x v="0"/>
    <x v="6"/>
    <x v="10"/>
    <s v="NL_A"/>
    <x v="2"/>
    <x v="172"/>
    <x v="0"/>
    <x v="9"/>
    <n v="1710"/>
    <n v="624150"/>
    <n v="2246940"/>
  </r>
  <r>
    <x v="0"/>
    <x v="0"/>
    <x v="0"/>
    <x v="6"/>
    <x v="10"/>
    <s v="NL_A"/>
    <x v="2"/>
    <x v="172"/>
    <x v="0"/>
    <x v="10"/>
    <n v="1710"/>
    <n v="624150"/>
    <n v="2246940"/>
  </r>
  <r>
    <x v="0"/>
    <x v="0"/>
    <x v="0"/>
    <x v="6"/>
    <x v="10"/>
    <s v="NL_A"/>
    <x v="2"/>
    <x v="172"/>
    <x v="0"/>
    <x v="11"/>
    <n v="1710"/>
    <n v="624150"/>
    <n v="2246940"/>
  </r>
  <r>
    <x v="0"/>
    <x v="0"/>
    <x v="0"/>
    <x v="6"/>
    <x v="10"/>
    <s v="NL_A"/>
    <x v="2"/>
    <x v="172"/>
    <x v="0"/>
    <x v="12"/>
    <n v="1710"/>
    <n v="624150"/>
    <n v="2246940"/>
  </r>
  <r>
    <x v="0"/>
    <x v="0"/>
    <x v="0"/>
    <x v="6"/>
    <x v="10"/>
    <s v="NL_A"/>
    <x v="2"/>
    <x v="172"/>
    <x v="0"/>
    <x v="13"/>
    <n v="1710"/>
    <n v="624150"/>
    <n v="2246940"/>
  </r>
  <r>
    <x v="0"/>
    <x v="0"/>
    <x v="0"/>
    <x v="6"/>
    <x v="10"/>
    <s v="NL_A"/>
    <x v="2"/>
    <x v="172"/>
    <x v="0"/>
    <x v="14"/>
    <n v="1710"/>
    <n v="624150"/>
    <n v="2246940"/>
  </r>
  <r>
    <x v="0"/>
    <x v="0"/>
    <x v="0"/>
    <x v="6"/>
    <x v="10"/>
    <s v="NL_A"/>
    <x v="2"/>
    <x v="172"/>
    <x v="0"/>
    <x v="15"/>
    <n v="1710"/>
    <n v="624150"/>
    <n v="2246940"/>
  </r>
  <r>
    <x v="0"/>
    <x v="0"/>
    <x v="0"/>
    <x v="6"/>
    <x v="10"/>
    <s v="NL_A"/>
    <x v="2"/>
    <x v="172"/>
    <x v="0"/>
    <x v="16"/>
    <n v="1710"/>
    <n v="624150"/>
    <n v="2246940"/>
  </r>
  <r>
    <x v="0"/>
    <x v="0"/>
    <x v="0"/>
    <x v="6"/>
    <x v="10"/>
    <s v="NL_A"/>
    <x v="2"/>
    <x v="172"/>
    <x v="0"/>
    <x v="17"/>
    <n v="1710"/>
    <n v="624150"/>
    <n v="2246940"/>
  </r>
  <r>
    <x v="0"/>
    <x v="0"/>
    <x v="0"/>
    <x v="6"/>
    <x v="10"/>
    <s v="NL_A"/>
    <x v="2"/>
    <x v="172"/>
    <x v="0"/>
    <x v="18"/>
    <n v="1710"/>
    <n v="624150"/>
    <n v="2246940"/>
  </r>
  <r>
    <x v="0"/>
    <x v="0"/>
    <x v="0"/>
    <x v="6"/>
    <x v="10"/>
    <s v="NL_A"/>
    <x v="2"/>
    <x v="172"/>
    <x v="0"/>
    <x v="19"/>
    <n v="1710"/>
    <n v="624150"/>
    <n v="2246940"/>
  </r>
  <r>
    <x v="0"/>
    <x v="0"/>
    <x v="0"/>
    <x v="6"/>
    <x v="10"/>
    <s v="NL_A"/>
    <x v="2"/>
    <x v="172"/>
    <x v="0"/>
    <x v="20"/>
    <n v="1710"/>
    <n v="624150"/>
    <n v="2246940"/>
  </r>
  <r>
    <x v="0"/>
    <x v="0"/>
    <x v="0"/>
    <x v="6"/>
    <x v="10"/>
    <s v="NL_A"/>
    <x v="2"/>
    <x v="172"/>
    <x v="0"/>
    <x v="21"/>
    <n v="1710"/>
    <n v="624150"/>
    <n v="2246940"/>
  </r>
  <r>
    <x v="0"/>
    <x v="0"/>
    <x v="0"/>
    <x v="6"/>
    <x v="10"/>
    <s v="NL_A"/>
    <x v="2"/>
    <x v="172"/>
    <x v="0"/>
    <x v="22"/>
    <n v="1710"/>
    <n v="624150"/>
    <n v="2246940"/>
  </r>
  <r>
    <x v="0"/>
    <x v="0"/>
    <x v="0"/>
    <x v="6"/>
    <x v="10"/>
    <s v="NL_A"/>
    <x v="2"/>
    <x v="172"/>
    <x v="0"/>
    <x v="23"/>
    <n v="1710"/>
    <n v="624150"/>
    <n v="2246940"/>
  </r>
  <r>
    <x v="0"/>
    <x v="0"/>
    <x v="0"/>
    <x v="6"/>
    <x v="10"/>
    <s v="NL_A"/>
    <x v="3"/>
    <x v="173"/>
    <x v="0"/>
    <x v="15"/>
    <n v="13565.6864101667"/>
    <n v="4951475.53971083"/>
    <n v="17825311.942958999"/>
  </r>
  <r>
    <x v="0"/>
    <x v="0"/>
    <x v="0"/>
    <x v="6"/>
    <x v="10"/>
    <s v="NL_A"/>
    <x v="16"/>
    <x v="154"/>
    <x v="0"/>
    <x v="0"/>
    <n v="1560.6060606060601"/>
    <n v="569621.21212121204"/>
    <n v="2050636.36363636"/>
  </r>
  <r>
    <x v="0"/>
    <x v="0"/>
    <x v="0"/>
    <x v="6"/>
    <x v="10"/>
    <s v="NL_A"/>
    <x v="16"/>
    <x v="154"/>
    <x v="0"/>
    <x v="1"/>
    <n v="1560.6060606060601"/>
    <n v="569621.21212121204"/>
    <n v="2050636.36363636"/>
  </r>
  <r>
    <x v="0"/>
    <x v="0"/>
    <x v="0"/>
    <x v="6"/>
    <x v="10"/>
    <s v="NL_A"/>
    <x v="16"/>
    <x v="154"/>
    <x v="0"/>
    <x v="2"/>
    <n v="1560.6060606060601"/>
    <n v="569621.21212121204"/>
    <n v="2050636.36363636"/>
  </r>
  <r>
    <x v="0"/>
    <x v="0"/>
    <x v="0"/>
    <x v="6"/>
    <x v="10"/>
    <s v="NL_A"/>
    <x v="16"/>
    <x v="154"/>
    <x v="0"/>
    <x v="3"/>
    <n v="1560.6060606060601"/>
    <n v="569621.21212121204"/>
    <n v="2050636.36363636"/>
  </r>
  <r>
    <x v="0"/>
    <x v="0"/>
    <x v="0"/>
    <x v="6"/>
    <x v="10"/>
    <s v="NL_A"/>
    <x v="16"/>
    <x v="154"/>
    <x v="0"/>
    <x v="4"/>
    <n v="1560.6060606060601"/>
    <n v="569621.21212121204"/>
    <n v="2050636.36363636"/>
  </r>
  <r>
    <x v="0"/>
    <x v="0"/>
    <x v="0"/>
    <x v="6"/>
    <x v="10"/>
    <s v="NL_A"/>
    <x v="16"/>
    <x v="154"/>
    <x v="0"/>
    <x v="5"/>
    <n v="1560.6060606060601"/>
    <n v="569621.21212121204"/>
    <n v="2050636.36363636"/>
  </r>
  <r>
    <x v="0"/>
    <x v="0"/>
    <x v="0"/>
    <x v="6"/>
    <x v="10"/>
    <s v="NL_A"/>
    <x v="16"/>
    <x v="154"/>
    <x v="0"/>
    <x v="6"/>
    <n v="1560.6060606060601"/>
    <n v="569621.21212121204"/>
    <n v="2050636.36363636"/>
  </r>
  <r>
    <x v="0"/>
    <x v="0"/>
    <x v="0"/>
    <x v="6"/>
    <x v="10"/>
    <s v="NL_A"/>
    <x v="16"/>
    <x v="154"/>
    <x v="0"/>
    <x v="7"/>
    <n v="1560.6060606060601"/>
    <n v="569621.21212121204"/>
    <n v="2050636.36363636"/>
  </r>
  <r>
    <x v="0"/>
    <x v="0"/>
    <x v="0"/>
    <x v="6"/>
    <x v="10"/>
    <s v="NL_A"/>
    <x v="16"/>
    <x v="154"/>
    <x v="0"/>
    <x v="8"/>
    <n v="1560.6060606060601"/>
    <n v="569621.21212121204"/>
    <n v="2050636.36363636"/>
  </r>
  <r>
    <x v="0"/>
    <x v="0"/>
    <x v="0"/>
    <x v="6"/>
    <x v="10"/>
    <s v="NL_A"/>
    <x v="16"/>
    <x v="154"/>
    <x v="0"/>
    <x v="9"/>
    <n v="1560.6060606060601"/>
    <n v="569621.21212121204"/>
    <n v="2050636.36363636"/>
  </r>
  <r>
    <x v="0"/>
    <x v="0"/>
    <x v="0"/>
    <x v="6"/>
    <x v="10"/>
    <s v="NL_A"/>
    <x v="16"/>
    <x v="154"/>
    <x v="0"/>
    <x v="10"/>
    <n v="1560.6060606060601"/>
    <n v="569621.21212121204"/>
    <n v="2050636.36363636"/>
  </r>
  <r>
    <x v="0"/>
    <x v="0"/>
    <x v="0"/>
    <x v="6"/>
    <x v="10"/>
    <s v="NL_A"/>
    <x v="16"/>
    <x v="154"/>
    <x v="0"/>
    <x v="11"/>
    <n v="1560.6060606060601"/>
    <n v="569621.21212121204"/>
    <n v="2050636.36363636"/>
  </r>
  <r>
    <x v="0"/>
    <x v="0"/>
    <x v="0"/>
    <x v="6"/>
    <x v="10"/>
    <s v="NL_A"/>
    <x v="16"/>
    <x v="154"/>
    <x v="0"/>
    <x v="12"/>
    <n v="1560.6060606060601"/>
    <n v="569621.21212121204"/>
    <n v="2050636.36363636"/>
  </r>
  <r>
    <x v="0"/>
    <x v="0"/>
    <x v="0"/>
    <x v="6"/>
    <x v="10"/>
    <s v="NL_A"/>
    <x v="16"/>
    <x v="154"/>
    <x v="0"/>
    <x v="13"/>
    <n v="1560.6060606060601"/>
    <n v="569621.21212121204"/>
    <n v="2050636.36363636"/>
  </r>
  <r>
    <x v="0"/>
    <x v="0"/>
    <x v="0"/>
    <x v="6"/>
    <x v="10"/>
    <s v="NL_A"/>
    <x v="16"/>
    <x v="154"/>
    <x v="0"/>
    <x v="14"/>
    <n v="1560.6060606060601"/>
    <n v="569621.21212121204"/>
    <n v="2050636.36363636"/>
  </r>
  <r>
    <x v="0"/>
    <x v="0"/>
    <x v="0"/>
    <x v="6"/>
    <x v="10"/>
    <s v="NL_A"/>
    <x v="16"/>
    <x v="154"/>
    <x v="0"/>
    <x v="15"/>
    <n v="1560.6060606060601"/>
    <n v="569621.21212121204"/>
    <n v="2050636.36363636"/>
  </r>
  <r>
    <x v="0"/>
    <x v="0"/>
    <x v="0"/>
    <x v="6"/>
    <x v="10"/>
    <s v="NL_A"/>
    <x v="16"/>
    <x v="154"/>
    <x v="0"/>
    <x v="16"/>
    <n v="1560.6060606060601"/>
    <n v="569621.21212121204"/>
    <n v="2050636.36363636"/>
  </r>
  <r>
    <x v="0"/>
    <x v="0"/>
    <x v="0"/>
    <x v="6"/>
    <x v="10"/>
    <s v="NL_A"/>
    <x v="16"/>
    <x v="154"/>
    <x v="0"/>
    <x v="17"/>
    <n v="1560.6060606060601"/>
    <n v="569621.21212121204"/>
    <n v="2050636.36363636"/>
  </r>
  <r>
    <x v="0"/>
    <x v="0"/>
    <x v="0"/>
    <x v="6"/>
    <x v="10"/>
    <s v="NL_A"/>
    <x v="16"/>
    <x v="154"/>
    <x v="0"/>
    <x v="18"/>
    <n v="1560.6060606060601"/>
    <n v="569621.21212121204"/>
    <n v="2050636.36363636"/>
  </r>
  <r>
    <x v="0"/>
    <x v="0"/>
    <x v="0"/>
    <x v="6"/>
    <x v="10"/>
    <s v="NL_A"/>
    <x v="16"/>
    <x v="154"/>
    <x v="0"/>
    <x v="19"/>
    <n v="1560.6060606060601"/>
    <n v="569621.21212121204"/>
    <n v="2050636.36363636"/>
  </r>
  <r>
    <x v="0"/>
    <x v="0"/>
    <x v="0"/>
    <x v="6"/>
    <x v="10"/>
    <s v="NL_A"/>
    <x v="16"/>
    <x v="154"/>
    <x v="0"/>
    <x v="20"/>
    <n v="1560.6060606060601"/>
    <n v="569621.21212121204"/>
    <n v="2050636.36363636"/>
  </r>
  <r>
    <x v="0"/>
    <x v="0"/>
    <x v="0"/>
    <x v="6"/>
    <x v="10"/>
    <s v="NL_A"/>
    <x v="16"/>
    <x v="154"/>
    <x v="0"/>
    <x v="21"/>
    <n v="1560.6060606060601"/>
    <n v="569621.21212121204"/>
    <n v="2050636.36363636"/>
  </r>
  <r>
    <x v="0"/>
    <x v="0"/>
    <x v="0"/>
    <x v="6"/>
    <x v="10"/>
    <s v="NL_A"/>
    <x v="16"/>
    <x v="154"/>
    <x v="0"/>
    <x v="22"/>
    <n v="1560.6060606060601"/>
    <n v="569621.21212121204"/>
    <n v="2050636.36363636"/>
  </r>
  <r>
    <x v="0"/>
    <x v="0"/>
    <x v="0"/>
    <x v="6"/>
    <x v="10"/>
    <s v="NL_A"/>
    <x v="16"/>
    <x v="154"/>
    <x v="0"/>
    <x v="23"/>
    <n v="1560.6060606060601"/>
    <n v="569621.21212121204"/>
    <n v="2050636.36363636"/>
  </r>
  <r>
    <x v="0"/>
    <x v="0"/>
    <x v="0"/>
    <x v="6"/>
    <x v="10"/>
    <s v="NL_A"/>
    <x v="8"/>
    <x v="56"/>
    <x v="0"/>
    <x v="8"/>
    <n v="16.883927773781998"/>
    <n v="6162.6336374304401"/>
    <n v="22185.481094749601"/>
  </r>
  <r>
    <x v="0"/>
    <x v="0"/>
    <x v="0"/>
    <x v="6"/>
    <x v="10"/>
    <s v="NL_A"/>
    <x v="8"/>
    <x v="56"/>
    <x v="0"/>
    <x v="9"/>
    <n v="127.105671650831"/>
    <n v="46393.5701525533"/>
    <n v="167016.852549192"/>
  </r>
  <r>
    <x v="0"/>
    <x v="0"/>
    <x v="0"/>
    <x v="6"/>
    <x v="10"/>
    <s v="NL_A"/>
    <x v="8"/>
    <x v="56"/>
    <x v="0"/>
    <x v="10"/>
    <n v="293.60717477382002"/>
    <n v="107166.618792444"/>
    <n v="385799.82765279902"/>
  </r>
  <r>
    <x v="0"/>
    <x v="0"/>
    <x v="0"/>
    <x v="6"/>
    <x v="10"/>
    <s v="NL_A"/>
    <x v="8"/>
    <x v="56"/>
    <x v="0"/>
    <x v="11"/>
    <n v="447.12104114774598"/>
    <n v="163199.180018927"/>
    <n v="587517.04806813796"/>
  </r>
  <r>
    <x v="0"/>
    <x v="0"/>
    <x v="0"/>
    <x v="6"/>
    <x v="10"/>
    <s v="NL_A"/>
    <x v="8"/>
    <x v="56"/>
    <x v="0"/>
    <x v="12"/>
    <n v="508.33610235832998"/>
    <n v="185542.67736079"/>
    <n v="667953.63849884504"/>
  </r>
  <r>
    <x v="0"/>
    <x v="0"/>
    <x v="0"/>
    <x v="6"/>
    <x v="10"/>
    <s v="NL_A"/>
    <x v="8"/>
    <x v="56"/>
    <x v="0"/>
    <x v="13"/>
    <n v="442.01257069311401"/>
    <n v="161334.58830298699"/>
    <n v="580804.51789075194"/>
  </r>
  <r>
    <x v="0"/>
    <x v="0"/>
    <x v="0"/>
    <x v="6"/>
    <x v="10"/>
    <s v="NL_A"/>
    <x v="8"/>
    <x v="56"/>
    <x v="0"/>
    <x v="14"/>
    <n v="287.63286186925097"/>
    <n v="104985.994582277"/>
    <n v="377949.58049619599"/>
  </r>
  <r>
    <x v="0"/>
    <x v="0"/>
    <x v="0"/>
    <x v="6"/>
    <x v="10"/>
    <s v="NL_A"/>
    <x v="8"/>
    <x v="56"/>
    <x v="0"/>
    <x v="15"/>
    <n v="145.634700079494"/>
    <n v="53156.665529015401"/>
    <n v="191363.99590445499"/>
  </r>
  <r>
    <x v="0"/>
    <x v="0"/>
    <x v="0"/>
    <x v="6"/>
    <x v="10"/>
    <s v="NL_A"/>
    <x v="8"/>
    <x v="56"/>
    <x v="0"/>
    <x v="16"/>
    <n v="18.9619496536321"/>
    <n v="6921.1116235757299"/>
    <n v="24916.0018448726"/>
  </r>
  <r>
    <x v="0"/>
    <x v="0"/>
    <x v="0"/>
    <x v="6"/>
    <x v="10"/>
    <s v="NL_A"/>
    <x v="9"/>
    <x v="57"/>
    <x v="0"/>
    <x v="0"/>
    <n v="18.219178082191799"/>
    <n v="6650"/>
    <n v="23940"/>
  </r>
  <r>
    <x v="0"/>
    <x v="0"/>
    <x v="0"/>
    <x v="6"/>
    <x v="10"/>
    <s v="NL_A"/>
    <x v="9"/>
    <x v="57"/>
    <x v="0"/>
    <x v="1"/>
    <n v="18.219178082191799"/>
    <n v="6650"/>
    <n v="23940"/>
  </r>
  <r>
    <x v="0"/>
    <x v="0"/>
    <x v="0"/>
    <x v="6"/>
    <x v="10"/>
    <s v="NL_A"/>
    <x v="9"/>
    <x v="57"/>
    <x v="0"/>
    <x v="2"/>
    <n v="18.219178082191799"/>
    <n v="6650"/>
    <n v="23940"/>
  </r>
  <r>
    <x v="0"/>
    <x v="0"/>
    <x v="0"/>
    <x v="6"/>
    <x v="10"/>
    <s v="NL_A"/>
    <x v="9"/>
    <x v="57"/>
    <x v="0"/>
    <x v="3"/>
    <n v="18.219178082191799"/>
    <n v="6650"/>
    <n v="23940"/>
  </r>
  <r>
    <x v="0"/>
    <x v="0"/>
    <x v="0"/>
    <x v="6"/>
    <x v="10"/>
    <s v="NL_A"/>
    <x v="9"/>
    <x v="57"/>
    <x v="0"/>
    <x v="4"/>
    <n v="18.219178082191799"/>
    <n v="6650"/>
    <n v="23940"/>
  </r>
  <r>
    <x v="0"/>
    <x v="0"/>
    <x v="0"/>
    <x v="6"/>
    <x v="10"/>
    <s v="NL_A"/>
    <x v="9"/>
    <x v="57"/>
    <x v="0"/>
    <x v="5"/>
    <n v="18.219178082191799"/>
    <n v="6650"/>
    <n v="23940"/>
  </r>
  <r>
    <x v="0"/>
    <x v="0"/>
    <x v="0"/>
    <x v="6"/>
    <x v="10"/>
    <s v="NL_A"/>
    <x v="9"/>
    <x v="57"/>
    <x v="0"/>
    <x v="6"/>
    <n v="18.219178082191799"/>
    <n v="6650"/>
    <n v="23940"/>
  </r>
  <r>
    <x v="0"/>
    <x v="0"/>
    <x v="0"/>
    <x v="6"/>
    <x v="10"/>
    <s v="NL_A"/>
    <x v="9"/>
    <x v="57"/>
    <x v="0"/>
    <x v="7"/>
    <n v="18.219178082191799"/>
    <n v="6650"/>
    <n v="23940"/>
  </r>
  <r>
    <x v="0"/>
    <x v="0"/>
    <x v="0"/>
    <x v="6"/>
    <x v="10"/>
    <s v="NL_A"/>
    <x v="9"/>
    <x v="57"/>
    <x v="0"/>
    <x v="8"/>
    <n v="18.219178082191799"/>
    <n v="6650"/>
    <n v="23940"/>
  </r>
  <r>
    <x v="0"/>
    <x v="0"/>
    <x v="0"/>
    <x v="6"/>
    <x v="10"/>
    <s v="NL_A"/>
    <x v="9"/>
    <x v="57"/>
    <x v="0"/>
    <x v="9"/>
    <n v="18.219178082191799"/>
    <n v="6650"/>
    <n v="23940"/>
  </r>
  <r>
    <x v="0"/>
    <x v="0"/>
    <x v="0"/>
    <x v="6"/>
    <x v="10"/>
    <s v="NL_A"/>
    <x v="9"/>
    <x v="57"/>
    <x v="0"/>
    <x v="10"/>
    <n v="18.219178082191799"/>
    <n v="6650"/>
    <n v="23940"/>
  </r>
  <r>
    <x v="0"/>
    <x v="0"/>
    <x v="0"/>
    <x v="6"/>
    <x v="10"/>
    <s v="NL_A"/>
    <x v="9"/>
    <x v="57"/>
    <x v="0"/>
    <x v="11"/>
    <n v="18.219178082191799"/>
    <n v="6650"/>
    <n v="23940"/>
  </r>
  <r>
    <x v="0"/>
    <x v="0"/>
    <x v="0"/>
    <x v="6"/>
    <x v="10"/>
    <s v="NL_A"/>
    <x v="9"/>
    <x v="57"/>
    <x v="0"/>
    <x v="12"/>
    <n v="18.219178082191799"/>
    <n v="6650"/>
    <n v="23940"/>
  </r>
  <r>
    <x v="0"/>
    <x v="0"/>
    <x v="0"/>
    <x v="6"/>
    <x v="10"/>
    <s v="NL_A"/>
    <x v="9"/>
    <x v="57"/>
    <x v="0"/>
    <x v="13"/>
    <n v="18.219178082191799"/>
    <n v="6650"/>
    <n v="23940"/>
  </r>
  <r>
    <x v="0"/>
    <x v="0"/>
    <x v="0"/>
    <x v="6"/>
    <x v="10"/>
    <s v="NL_A"/>
    <x v="9"/>
    <x v="57"/>
    <x v="0"/>
    <x v="14"/>
    <n v="18.219178082191799"/>
    <n v="6650"/>
    <n v="23940"/>
  </r>
  <r>
    <x v="0"/>
    <x v="0"/>
    <x v="0"/>
    <x v="6"/>
    <x v="10"/>
    <s v="NL_A"/>
    <x v="9"/>
    <x v="57"/>
    <x v="0"/>
    <x v="15"/>
    <n v="18.219178082191799"/>
    <n v="6650"/>
    <n v="23940"/>
  </r>
  <r>
    <x v="0"/>
    <x v="0"/>
    <x v="0"/>
    <x v="6"/>
    <x v="10"/>
    <s v="NL_A"/>
    <x v="9"/>
    <x v="57"/>
    <x v="0"/>
    <x v="16"/>
    <n v="18.219178082191799"/>
    <n v="6650"/>
    <n v="23940"/>
  </r>
  <r>
    <x v="0"/>
    <x v="0"/>
    <x v="0"/>
    <x v="6"/>
    <x v="10"/>
    <s v="NL_A"/>
    <x v="9"/>
    <x v="57"/>
    <x v="0"/>
    <x v="17"/>
    <n v="18.219178082191799"/>
    <n v="6650"/>
    <n v="23940"/>
  </r>
  <r>
    <x v="0"/>
    <x v="0"/>
    <x v="0"/>
    <x v="6"/>
    <x v="10"/>
    <s v="NL_A"/>
    <x v="9"/>
    <x v="57"/>
    <x v="0"/>
    <x v="18"/>
    <n v="18.219178082191799"/>
    <n v="6650"/>
    <n v="23940"/>
  </r>
  <r>
    <x v="0"/>
    <x v="0"/>
    <x v="0"/>
    <x v="6"/>
    <x v="10"/>
    <s v="NL_A"/>
    <x v="9"/>
    <x v="57"/>
    <x v="0"/>
    <x v="19"/>
    <n v="18.219178082191799"/>
    <n v="6650"/>
    <n v="23940"/>
  </r>
  <r>
    <x v="0"/>
    <x v="0"/>
    <x v="0"/>
    <x v="6"/>
    <x v="10"/>
    <s v="NL_A"/>
    <x v="9"/>
    <x v="57"/>
    <x v="0"/>
    <x v="20"/>
    <n v="18.219178082191799"/>
    <n v="6650"/>
    <n v="23940"/>
  </r>
  <r>
    <x v="0"/>
    <x v="0"/>
    <x v="0"/>
    <x v="6"/>
    <x v="10"/>
    <s v="NL_A"/>
    <x v="9"/>
    <x v="57"/>
    <x v="0"/>
    <x v="21"/>
    <n v="18.219178082191799"/>
    <n v="6650"/>
    <n v="23940"/>
  </r>
  <r>
    <x v="0"/>
    <x v="0"/>
    <x v="0"/>
    <x v="6"/>
    <x v="10"/>
    <s v="NL_A"/>
    <x v="9"/>
    <x v="57"/>
    <x v="0"/>
    <x v="22"/>
    <n v="18.219178082191799"/>
    <n v="6650"/>
    <n v="23940"/>
  </r>
  <r>
    <x v="0"/>
    <x v="0"/>
    <x v="0"/>
    <x v="6"/>
    <x v="10"/>
    <s v="NL_A"/>
    <x v="9"/>
    <x v="57"/>
    <x v="0"/>
    <x v="23"/>
    <n v="18.219178082191799"/>
    <n v="6650"/>
    <n v="23940"/>
  </r>
  <r>
    <x v="0"/>
    <x v="0"/>
    <x v="0"/>
    <x v="6"/>
    <x v="10"/>
    <s v="NL_A"/>
    <x v="10"/>
    <x v="59"/>
    <x v="0"/>
    <x v="0"/>
    <n v="55.210607732886402"/>
    <n v="20151.871822503501"/>
    <n v="72546.738561012695"/>
  </r>
  <r>
    <x v="0"/>
    <x v="0"/>
    <x v="0"/>
    <x v="6"/>
    <x v="10"/>
    <s v="NL_A"/>
    <x v="10"/>
    <x v="59"/>
    <x v="0"/>
    <x v="1"/>
    <n v="65.846739402838594"/>
    <n v="24034.059882036101"/>
    <n v="86522.615575329895"/>
  </r>
  <r>
    <x v="0"/>
    <x v="0"/>
    <x v="0"/>
    <x v="6"/>
    <x v="10"/>
    <s v="NL_A"/>
    <x v="10"/>
    <x v="59"/>
    <x v="0"/>
    <x v="2"/>
    <n v="62.482647804815798"/>
    <n v="22806.166448757798"/>
    <n v="82102.1992155279"/>
  </r>
  <r>
    <x v="0"/>
    <x v="0"/>
    <x v="0"/>
    <x v="6"/>
    <x v="10"/>
    <s v="NL_A"/>
    <x v="10"/>
    <x v="59"/>
    <x v="0"/>
    <x v="3"/>
    <n v="65.283828522886694"/>
    <n v="23828.597410853701"/>
    <n v="85782.950679073198"/>
  </r>
  <r>
    <x v="0"/>
    <x v="0"/>
    <x v="0"/>
    <x v="6"/>
    <x v="10"/>
    <s v="NL_A"/>
    <x v="10"/>
    <x v="59"/>
    <x v="0"/>
    <x v="4"/>
    <n v="66.024935285789894"/>
    <n v="24099.101379313299"/>
    <n v="86756.764965527997"/>
  </r>
  <r>
    <x v="0"/>
    <x v="0"/>
    <x v="0"/>
    <x v="6"/>
    <x v="10"/>
    <s v="NL_A"/>
    <x v="10"/>
    <x v="59"/>
    <x v="0"/>
    <x v="5"/>
    <n v="72.629332161629904"/>
    <n v="26509.706238994899"/>
    <n v="95434.942460381702"/>
  </r>
  <r>
    <x v="0"/>
    <x v="0"/>
    <x v="0"/>
    <x v="6"/>
    <x v="10"/>
    <s v="NL_A"/>
    <x v="10"/>
    <x v="59"/>
    <x v="0"/>
    <x v="6"/>
    <n v="73.046463281610897"/>
    <n v="26661.959097788"/>
    <n v="95983.052752036703"/>
  </r>
  <r>
    <x v="0"/>
    <x v="0"/>
    <x v="0"/>
    <x v="6"/>
    <x v="10"/>
    <s v="NL_A"/>
    <x v="10"/>
    <x v="59"/>
    <x v="0"/>
    <x v="7"/>
    <n v="69.881411624717998"/>
    <n v="25506.715243022099"/>
    <n v="91824.174874879405"/>
  </r>
  <r>
    <x v="0"/>
    <x v="0"/>
    <x v="0"/>
    <x v="6"/>
    <x v="10"/>
    <s v="NL_A"/>
    <x v="10"/>
    <x v="59"/>
    <x v="0"/>
    <x v="8"/>
    <n v="67.221960515529702"/>
    <n v="24536.015588168299"/>
    <n v="88329.656117406004"/>
  </r>
  <r>
    <x v="0"/>
    <x v="0"/>
    <x v="0"/>
    <x v="6"/>
    <x v="10"/>
    <s v="NL_A"/>
    <x v="10"/>
    <x v="59"/>
    <x v="0"/>
    <x v="9"/>
    <n v="69.778271541859795"/>
    <n v="25469.069112778801"/>
    <n v="91688.648806003694"/>
  </r>
  <r>
    <x v="0"/>
    <x v="0"/>
    <x v="0"/>
    <x v="6"/>
    <x v="10"/>
    <s v="NL_A"/>
    <x v="10"/>
    <x v="59"/>
    <x v="0"/>
    <x v="10"/>
    <n v="77.2823203335453"/>
    <n v="28208.046921744"/>
    <n v="101548.968918278"/>
  </r>
  <r>
    <x v="0"/>
    <x v="0"/>
    <x v="0"/>
    <x v="6"/>
    <x v="10"/>
    <s v="NL_A"/>
    <x v="10"/>
    <x v="59"/>
    <x v="0"/>
    <x v="11"/>
    <n v="83.1641453175679"/>
    <n v="30354.913040912299"/>
    <n v="109277.686947284"/>
  </r>
  <r>
    <x v="0"/>
    <x v="0"/>
    <x v="0"/>
    <x v="6"/>
    <x v="10"/>
    <s v="NL_A"/>
    <x v="10"/>
    <x v="59"/>
    <x v="0"/>
    <x v="12"/>
    <n v="96.015989647794797"/>
    <n v="35045.836221445097"/>
    <n v="126165.010397202"/>
  </r>
  <r>
    <x v="0"/>
    <x v="0"/>
    <x v="0"/>
    <x v="6"/>
    <x v="10"/>
    <s v="NL_A"/>
    <x v="10"/>
    <x v="59"/>
    <x v="0"/>
    <x v="13"/>
    <n v="107.03100511983401"/>
    <n v="39066.316868739297"/>
    <n v="140638.74072746199"/>
  </r>
  <r>
    <x v="0"/>
    <x v="0"/>
    <x v="0"/>
    <x v="6"/>
    <x v="10"/>
    <s v="NL_A"/>
    <x v="10"/>
    <x v="59"/>
    <x v="0"/>
    <x v="14"/>
    <n v="125.81943584469499"/>
    <n v="45924.094083313801"/>
    <n v="165326.73869992999"/>
  </r>
  <r>
    <x v="0"/>
    <x v="0"/>
    <x v="0"/>
    <x v="6"/>
    <x v="10"/>
    <s v="NL_A"/>
    <x v="10"/>
    <x v="59"/>
    <x v="0"/>
    <x v="15"/>
    <n v="124.939008092262"/>
    <n v="45602.737953675503"/>
    <n v="164169.856633232"/>
  </r>
  <r>
    <x v="0"/>
    <x v="0"/>
    <x v="0"/>
    <x v="6"/>
    <x v="10"/>
    <s v="NL_A"/>
    <x v="10"/>
    <x v="59"/>
    <x v="0"/>
    <x v="16"/>
    <n v="114.15703361553901"/>
    <n v="41667.317269671701"/>
    <n v="150002.34217081801"/>
  </r>
  <r>
    <x v="0"/>
    <x v="0"/>
    <x v="0"/>
    <x v="6"/>
    <x v="10"/>
    <s v="NL_A"/>
    <x v="10"/>
    <x v="59"/>
    <x v="0"/>
    <x v="17"/>
    <n v="104.019552043614"/>
    <n v="37967.136495919302"/>
    <n v="136681.69138530901"/>
  </r>
  <r>
    <x v="0"/>
    <x v="0"/>
    <x v="0"/>
    <x v="6"/>
    <x v="10"/>
    <s v="NL_A"/>
    <x v="10"/>
    <x v="59"/>
    <x v="0"/>
    <x v="18"/>
    <n v="101.145821755729"/>
    <n v="36918.224940841101"/>
    <n v="132905.60978702799"/>
  </r>
  <r>
    <x v="0"/>
    <x v="0"/>
    <x v="0"/>
    <x v="6"/>
    <x v="10"/>
    <s v="NL_A"/>
    <x v="10"/>
    <x v="59"/>
    <x v="0"/>
    <x v="19"/>
    <n v="91.281462727270196"/>
    <n v="33317.733895453603"/>
    <n v="119943.842023633"/>
  </r>
  <r>
    <x v="0"/>
    <x v="0"/>
    <x v="0"/>
    <x v="6"/>
    <x v="10"/>
    <s v="NL_A"/>
    <x v="10"/>
    <x v="59"/>
    <x v="0"/>
    <x v="20"/>
    <n v="68.345742304648397"/>
    <n v="24946.1959411967"/>
    <n v="89806.305388307999"/>
  </r>
  <r>
    <x v="0"/>
    <x v="0"/>
    <x v="0"/>
    <x v="6"/>
    <x v="10"/>
    <s v="NL_A"/>
    <x v="10"/>
    <x v="59"/>
    <x v="0"/>
    <x v="21"/>
    <n v="67.417655454694994"/>
    <n v="24607.444240963701"/>
    <n v="88586.799267469207"/>
  </r>
  <r>
    <x v="0"/>
    <x v="0"/>
    <x v="0"/>
    <x v="6"/>
    <x v="10"/>
    <s v="NL_A"/>
    <x v="10"/>
    <x v="59"/>
    <x v="0"/>
    <x v="22"/>
    <n v="55.770778636800898"/>
    <n v="20356.334202432299"/>
    <n v="73282.803128756394"/>
  </r>
  <r>
    <x v="0"/>
    <x v="0"/>
    <x v="0"/>
    <x v="6"/>
    <x v="10"/>
    <s v="NL_A"/>
    <x v="10"/>
    <x v="59"/>
    <x v="0"/>
    <x v="23"/>
    <n v="51.601111505412099"/>
    <n v="18834.405699475399"/>
    <n v="67803.860518111498"/>
  </r>
  <r>
    <x v="0"/>
    <x v="0"/>
    <x v="0"/>
    <x v="6"/>
    <x v="10"/>
    <s v="NL_A"/>
    <x v="10"/>
    <x v="58"/>
    <x v="0"/>
    <x v="0"/>
    <n v="551.21197841821004"/>
    <n v="201192.37212264701"/>
    <n v="724292.53964152804"/>
  </r>
  <r>
    <x v="0"/>
    <x v="0"/>
    <x v="0"/>
    <x v="6"/>
    <x v="10"/>
    <s v="NL_A"/>
    <x v="10"/>
    <x v="58"/>
    <x v="0"/>
    <x v="1"/>
    <n v="657.40105007044497"/>
    <n v="239951.383275712"/>
    <n v="863824.97979256499"/>
  </r>
  <r>
    <x v="0"/>
    <x v="0"/>
    <x v="0"/>
    <x v="6"/>
    <x v="10"/>
    <s v="NL_A"/>
    <x v="10"/>
    <x v="58"/>
    <x v="0"/>
    <x v="2"/>
    <n v="623.81461330637899"/>
    <n v="227692.33385682901"/>
    <n v="819692.40188458306"/>
  </r>
  <r>
    <x v="0"/>
    <x v="0"/>
    <x v="0"/>
    <x v="6"/>
    <x v="10"/>
    <s v="NL_A"/>
    <x v="10"/>
    <x v="58"/>
    <x v="0"/>
    <x v="3"/>
    <n v="651.78105723659405"/>
    <n v="237900.08589135701"/>
    <n v="856440.30920888402"/>
  </r>
  <r>
    <x v="0"/>
    <x v="0"/>
    <x v="0"/>
    <x v="6"/>
    <x v="10"/>
    <s v="NL_A"/>
    <x v="10"/>
    <x v="58"/>
    <x v="0"/>
    <x v="4"/>
    <n v="659.18012313667202"/>
    <n v="240600.74494488499"/>
    <n v="866162.68180158699"/>
  </r>
  <r>
    <x v="0"/>
    <x v="0"/>
    <x v="0"/>
    <x v="6"/>
    <x v="10"/>
    <s v="NL_A"/>
    <x v="10"/>
    <x v="58"/>
    <x v="0"/>
    <x v="5"/>
    <n v="725.11713809951095"/>
    <n v="264667.75540632202"/>
    <n v="952803.919462758"/>
  </r>
  <r>
    <x v="0"/>
    <x v="0"/>
    <x v="0"/>
    <x v="6"/>
    <x v="10"/>
    <s v="NL_A"/>
    <x v="10"/>
    <x v="58"/>
    <x v="0"/>
    <x v="6"/>
    <n v="729.28169413948297"/>
    <n v="266187.81836091098"/>
    <n v="958276.14609928103"/>
  </r>
  <r>
    <x v="0"/>
    <x v="0"/>
    <x v="0"/>
    <x v="6"/>
    <x v="10"/>
    <s v="NL_A"/>
    <x v="10"/>
    <x v="58"/>
    <x v="0"/>
    <x v="7"/>
    <n v="697.68243346783197"/>
    <n v="254654.08821575899"/>
    <n v="916754.71757673204"/>
  </r>
  <r>
    <x v="0"/>
    <x v="0"/>
    <x v="0"/>
    <x v="6"/>
    <x v="10"/>
    <s v="NL_A"/>
    <x v="10"/>
    <x v="58"/>
    <x v="0"/>
    <x v="8"/>
    <n v="671.13099041010605"/>
    <n v="244962.81149968901"/>
    <n v="881866.12139887898"/>
  </r>
  <r>
    <x v="0"/>
    <x v="0"/>
    <x v="0"/>
    <x v="6"/>
    <x v="10"/>
    <s v="NL_A"/>
    <x v="10"/>
    <x v="58"/>
    <x v="0"/>
    <x v="9"/>
    <n v="696.65270292399202"/>
    <n v="254278.236567257"/>
    <n v="915401.65164212603"/>
  </r>
  <r>
    <x v="0"/>
    <x v="0"/>
    <x v="0"/>
    <x v="6"/>
    <x v="10"/>
    <s v="NL_A"/>
    <x v="10"/>
    <x v="58"/>
    <x v="0"/>
    <x v="10"/>
    <n v="771.57166778349199"/>
    <n v="281623.65874097502"/>
    <n v="1013845.1714675101"/>
  </r>
  <r>
    <x v="0"/>
    <x v="0"/>
    <x v="0"/>
    <x v="6"/>
    <x v="10"/>
    <s v="NL_A"/>
    <x v="10"/>
    <x v="58"/>
    <x v="0"/>
    <x v="11"/>
    <n v="830.29466539725695"/>
    <n v="303057.55286999902"/>
    <n v="1091007.1903319999"/>
  </r>
  <r>
    <x v="0"/>
    <x v="0"/>
    <x v="0"/>
    <x v="6"/>
    <x v="10"/>
    <s v="NL_A"/>
    <x v="10"/>
    <x v="58"/>
    <x v="0"/>
    <x v="12"/>
    <n v="958.60498166583704"/>
    <n v="349890.81830803101"/>
    <n v="1259606.9459089099"/>
  </r>
  <r>
    <x v="0"/>
    <x v="0"/>
    <x v="0"/>
    <x v="6"/>
    <x v="10"/>
    <s v="NL_A"/>
    <x v="10"/>
    <x v="58"/>
    <x v="0"/>
    <x v="13"/>
    <n v="1068.5767555688701"/>
    <n v="390030.51578263601"/>
    <n v="1404109.85681749"/>
  </r>
  <r>
    <x v="0"/>
    <x v="0"/>
    <x v="0"/>
    <x v="6"/>
    <x v="10"/>
    <s v="NL_A"/>
    <x v="10"/>
    <x v="58"/>
    <x v="0"/>
    <x v="14"/>
    <n v="1256.1567967328699"/>
    <n v="458497.23080749699"/>
    <n v="1650590.0309069899"/>
  </r>
  <r>
    <x v="0"/>
    <x v="0"/>
    <x v="0"/>
    <x v="6"/>
    <x v="10"/>
    <s v="NL_A"/>
    <x v="10"/>
    <x v="58"/>
    <x v="0"/>
    <x v="15"/>
    <n v="1247.3667771478399"/>
    <n v="455288.87365896202"/>
    <n v="1639039.94517226"/>
  </r>
  <r>
    <x v="0"/>
    <x v="0"/>
    <x v="0"/>
    <x v="6"/>
    <x v="10"/>
    <s v="NL_A"/>
    <x v="10"/>
    <x v="58"/>
    <x v="0"/>
    <x v="16"/>
    <n v="1139.72163925473"/>
    <n v="415998.39832797699"/>
    <n v="1497594.2339807199"/>
  </r>
  <r>
    <x v="0"/>
    <x v="0"/>
    <x v="0"/>
    <x v="6"/>
    <x v="10"/>
    <s v="NL_A"/>
    <x v="10"/>
    <x v="58"/>
    <x v="0"/>
    <x v="17"/>
    <n v="1038.5109932775399"/>
    <n v="379056.51254630298"/>
    <n v="1364603.44516669"/>
  </r>
  <r>
    <x v="0"/>
    <x v="0"/>
    <x v="0"/>
    <x v="6"/>
    <x v="10"/>
    <s v="NL_A"/>
    <x v="10"/>
    <x v="58"/>
    <x v="0"/>
    <x v="18"/>
    <n v="1009.820228541"/>
    <n v="368584.38341746602"/>
    <n v="1326903.7803028801"/>
  </r>
  <r>
    <x v="0"/>
    <x v="0"/>
    <x v="0"/>
    <x v="6"/>
    <x v="10"/>
    <s v="NL_A"/>
    <x v="10"/>
    <x v="58"/>
    <x v="0"/>
    <x v="19"/>
    <n v="911.33638496132903"/>
    <n v="332637.780510885"/>
    <n v="1197496.0098391899"/>
  </r>
  <r>
    <x v="0"/>
    <x v="0"/>
    <x v="0"/>
    <x v="6"/>
    <x v="10"/>
    <s v="NL_A"/>
    <x v="10"/>
    <x v="58"/>
    <x v="0"/>
    <x v="20"/>
    <n v="682.35060940592302"/>
    <n v="249057.97243316201"/>
    <n v="896608.70075938199"/>
  </r>
  <r>
    <x v="0"/>
    <x v="0"/>
    <x v="0"/>
    <x v="6"/>
    <x v="10"/>
    <s v="NL_A"/>
    <x v="10"/>
    <x v="58"/>
    <x v="0"/>
    <x v="21"/>
    <n v="673.08477065294699"/>
    <n v="245675.94128832599"/>
    <n v="884433.38863797195"/>
  </r>
  <r>
    <x v="0"/>
    <x v="0"/>
    <x v="0"/>
    <x v="6"/>
    <x v="10"/>
    <s v="NL_A"/>
    <x v="10"/>
    <x v="58"/>
    <x v="0"/>
    <x v="22"/>
    <n v="556.80461586376896"/>
    <n v="203233.68479027599"/>
    <n v="731641.26524499303"/>
  </r>
  <r>
    <x v="0"/>
    <x v="0"/>
    <x v="0"/>
    <x v="6"/>
    <x v="10"/>
    <s v="NL_A"/>
    <x v="10"/>
    <x v="58"/>
    <x v="0"/>
    <x v="23"/>
    <n v="515.17546952366899"/>
    <n v="188039.04637613901"/>
    <n v="676940.56695410097"/>
  </r>
  <r>
    <x v="0"/>
    <x v="0"/>
    <x v="0"/>
    <x v="6"/>
    <x v="10"/>
    <s v="NL_A"/>
    <x v="13"/>
    <x v="174"/>
    <x v="0"/>
    <x v="0"/>
    <n v="800"/>
    <n v="292000"/>
    <n v="1051200"/>
  </r>
  <r>
    <x v="0"/>
    <x v="0"/>
    <x v="0"/>
    <x v="6"/>
    <x v="10"/>
    <s v="NL_A"/>
    <x v="13"/>
    <x v="174"/>
    <x v="0"/>
    <x v="1"/>
    <n v="800"/>
    <n v="292000"/>
    <n v="1051200"/>
  </r>
  <r>
    <x v="0"/>
    <x v="0"/>
    <x v="0"/>
    <x v="6"/>
    <x v="10"/>
    <s v="NL_A"/>
    <x v="13"/>
    <x v="174"/>
    <x v="0"/>
    <x v="2"/>
    <n v="800"/>
    <n v="292000"/>
    <n v="1051200"/>
  </r>
  <r>
    <x v="0"/>
    <x v="0"/>
    <x v="0"/>
    <x v="6"/>
    <x v="10"/>
    <s v="NL_A"/>
    <x v="13"/>
    <x v="174"/>
    <x v="0"/>
    <x v="3"/>
    <n v="800"/>
    <n v="292000"/>
    <n v="1051200"/>
  </r>
  <r>
    <x v="0"/>
    <x v="0"/>
    <x v="0"/>
    <x v="6"/>
    <x v="10"/>
    <s v="NL_A"/>
    <x v="13"/>
    <x v="174"/>
    <x v="0"/>
    <x v="4"/>
    <n v="800"/>
    <n v="292000"/>
    <n v="1051200"/>
  </r>
  <r>
    <x v="0"/>
    <x v="0"/>
    <x v="0"/>
    <x v="6"/>
    <x v="10"/>
    <s v="NL_A"/>
    <x v="13"/>
    <x v="174"/>
    <x v="0"/>
    <x v="5"/>
    <n v="800"/>
    <n v="292000"/>
    <n v="1051200"/>
  </r>
  <r>
    <x v="0"/>
    <x v="0"/>
    <x v="0"/>
    <x v="6"/>
    <x v="10"/>
    <s v="NL_A"/>
    <x v="13"/>
    <x v="174"/>
    <x v="0"/>
    <x v="6"/>
    <n v="800"/>
    <n v="292000"/>
    <n v="1051200"/>
  </r>
  <r>
    <x v="0"/>
    <x v="0"/>
    <x v="0"/>
    <x v="6"/>
    <x v="10"/>
    <s v="NL_A"/>
    <x v="13"/>
    <x v="174"/>
    <x v="0"/>
    <x v="7"/>
    <n v="800"/>
    <n v="292000"/>
    <n v="1051200"/>
  </r>
  <r>
    <x v="0"/>
    <x v="0"/>
    <x v="0"/>
    <x v="6"/>
    <x v="10"/>
    <s v="NL_A"/>
    <x v="13"/>
    <x v="174"/>
    <x v="0"/>
    <x v="8"/>
    <n v="800"/>
    <n v="292000"/>
    <n v="1051200"/>
  </r>
  <r>
    <x v="0"/>
    <x v="0"/>
    <x v="0"/>
    <x v="6"/>
    <x v="10"/>
    <s v="NL_A"/>
    <x v="13"/>
    <x v="174"/>
    <x v="0"/>
    <x v="9"/>
    <n v="800"/>
    <n v="292000"/>
    <n v="1051200"/>
  </r>
  <r>
    <x v="0"/>
    <x v="0"/>
    <x v="0"/>
    <x v="6"/>
    <x v="10"/>
    <s v="NL_A"/>
    <x v="13"/>
    <x v="174"/>
    <x v="0"/>
    <x v="10"/>
    <n v="800"/>
    <n v="292000"/>
    <n v="1051200"/>
  </r>
  <r>
    <x v="0"/>
    <x v="0"/>
    <x v="0"/>
    <x v="6"/>
    <x v="10"/>
    <s v="NL_A"/>
    <x v="13"/>
    <x v="174"/>
    <x v="0"/>
    <x v="11"/>
    <n v="800"/>
    <n v="292000"/>
    <n v="1051200"/>
  </r>
  <r>
    <x v="0"/>
    <x v="0"/>
    <x v="0"/>
    <x v="6"/>
    <x v="10"/>
    <s v="NL_A"/>
    <x v="13"/>
    <x v="174"/>
    <x v="0"/>
    <x v="12"/>
    <n v="800"/>
    <n v="292000"/>
    <n v="1051200"/>
  </r>
  <r>
    <x v="0"/>
    <x v="0"/>
    <x v="0"/>
    <x v="6"/>
    <x v="10"/>
    <s v="NL_A"/>
    <x v="13"/>
    <x v="174"/>
    <x v="0"/>
    <x v="13"/>
    <n v="800"/>
    <n v="292000"/>
    <n v="1051200"/>
  </r>
  <r>
    <x v="0"/>
    <x v="0"/>
    <x v="0"/>
    <x v="6"/>
    <x v="10"/>
    <s v="NL_A"/>
    <x v="13"/>
    <x v="174"/>
    <x v="0"/>
    <x v="14"/>
    <n v="800"/>
    <n v="292000"/>
    <n v="1051200"/>
  </r>
  <r>
    <x v="0"/>
    <x v="0"/>
    <x v="0"/>
    <x v="6"/>
    <x v="10"/>
    <s v="NL_A"/>
    <x v="13"/>
    <x v="174"/>
    <x v="0"/>
    <x v="15"/>
    <n v="800"/>
    <n v="292000"/>
    <n v="1051200"/>
  </r>
  <r>
    <x v="0"/>
    <x v="0"/>
    <x v="0"/>
    <x v="6"/>
    <x v="10"/>
    <s v="NL_A"/>
    <x v="13"/>
    <x v="174"/>
    <x v="0"/>
    <x v="16"/>
    <n v="800"/>
    <n v="292000"/>
    <n v="1051200"/>
  </r>
  <r>
    <x v="0"/>
    <x v="0"/>
    <x v="0"/>
    <x v="6"/>
    <x v="10"/>
    <s v="NL_A"/>
    <x v="13"/>
    <x v="174"/>
    <x v="0"/>
    <x v="17"/>
    <n v="800"/>
    <n v="292000"/>
    <n v="1051200"/>
  </r>
  <r>
    <x v="0"/>
    <x v="0"/>
    <x v="0"/>
    <x v="6"/>
    <x v="10"/>
    <s v="NL_A"/>
    <x v="13"/>
    <x v="174"/>
    <x v="0"/>
    <x v="18"/>
    <n v="800"/>
    <n v="292000"/>
    <n v="1051200"/>
  </r>
  <r>
    <x v="0"/>
    <x v="0"/>
    <x v="0"/>
    <x v="6"/>
    <x v="10"/>
    <s v="NL_A"/>
    <x v="13"/>
    <x v="174"/>
    <x v="0"/>
    <x v="19"/>
    <n v="800"/>
    <n v="292000"/>
    <n v="1051200"/>
  </r>
  <r>
    <x v="0"/>
    <x v="0"/>
    <x v="0"/>
    <x v="6"/>
    <x v="10"/>
    <s v="NL_A"/>
    <x v="13"/>
    <x v="174"/>
    <x v="0"/>
    <x v="20"/>
    <n v="800"/>
    <n v="292000"/>
    <n v="1051200"/>
  </r>
  <r>
    <x v="0"/>
    <x v="0"/>
    <x v="0"/>
    <x v="6"/>
    <x v="10"/>
    <s v="NL_A"/>
    <x v="13"/>
    <x v="174"/>
    <x v="0"/>
    <x v="21"/>
    <n v="800"/>
    <n v="292000"/>
    <n v="1051200"/>
  </r>
  <r>
    <x v="0"/>
    <x v="0"/>
    <x v="0"/>
    <x v="6"/>
    <x v="10"/>
    <s v="NL_A"/>
    <x v="13"/>
    <x v="174"/>
    <x v="0"/>
    <x v="22"/>
    <n v="800"/>
    <n v="292000"/>
    <n v="1051200"/>
  </r>
  <r>
    <x v="0"/>
    <x v="0"/>
    <x v="0"/>
    <x v="6"/>
    <x v="10"/>
    <s v="NL_A"/>
    <x v="13"/>
    <x v="174"/>
    <x v="0"/>
    <x v="23"/>
    <n v="800"/>
    <n v="292000"/>
    <n v="1051200"/>
  </r>
  <r>
    <x v="0"/>
    <x v="0"/>
    <x v="0"/>
    <x v="7"/>
    <x v="11"/>
    <s v="NO1_A1"/>
    <x v="2"/>
    <x v="175"/>
    <x v="0"/>
    <x v="0"/>
    <n v="38.501792114695299"/>
    <n v="14053.154121863799"/>
    <n v="50591.354838709703"/>
  </r>
  <r>
    <x v="0"/>
    <x v="0"/>
    <x v="0"/>
    <x v="7"/>
    <x v="11"/>
    <s v="NO1_A1"/>
    <x v="2"/>
    <x v="175"/>
    <x v="0"/>
    <x v="1"/>
    <n v="38.501792114695299"/>
    <n v="14053.154121863799"/>
    <n v="50591.354838709703"/>
  </r>
  <r>
    <x v="0"/>
    <x v="0"/>
    <x v="0"/>
    <x v="7"/>
    <x v="11"/>
    <s v="NO1_A1"/>
    <x v="2"/>
    <x v="175"/>
    <x v="0"/>
    <x v="2"/>
    <n v="38.501792114695299"/>
    <n v="14053.154121863799"/>
    <n v="50591.354838709703"/>
  </r>
  <r>
    <x v="0"/>
    <x v="0"/>
    <x v="0"/>
    <x v="7"/>
    <x v="11"/>
    <s v="NO1_A1"/>
    <x v="2"/>
    <x v="175"/>
    <x v="0"/>
    <x v="3"/>
    <n v="38.501792114695299"/>
    <n v="14053.154121863799"/>
    <n v="50591.354838709703"/>
  </r>
  <r>
    <x v="0"/>
    <x v="0"/>
    <x v="0"/>
    <x v="7"/>
    <x v="11"/>
    <s v="NO1_A1"/>
    <x v="2"/>
    <x v="175"/>
    <x v="0"/>
    <x v="4"/>
    <n v="38.501792114695299"/>
    <n v="14053.154121863799"/>
    <n v="50591.354838709703"/>
  </r>
  <r>
    <x v="0"/>
    <x v="0"/>
    <x v="0"/>
    <x v="7"/>
    <x v="11"/>
    <s v="NO1_A1"/>
    <x v="2"/>
    <x v="175"/>
    <x v="0"/>
    <x v="5"/>
    <n v="38.501792114695299"/>
    <n v="14053.154121863799"/>
    <n v="50591.354838709703"/>
  </r>
  <r>
    <x v="0"/>
    <x v="0"/>
    <x v="0"/>
    <x v="7"/>
    <x v="11"/>
    <s v="NO1_A1"/>
    <x v="2"/>
    <x v="175"/>
    <x v="0"/>
    <x v="6"/>
    <n v="38.501792114695299"/>
    <n v="14053.154121863799"/>
    <n v="50591.354838709703"/>
  </r>
  <r>
    <x v="0"/>
    <x v="0"/>
    <x v="0"/>
    <x v="7"/>
    <x v="11"/>
    <s v="NO1_A1"/>
    <x v="2"/>
    <x v="175"/>
    <x v="0"/>
    <x v="7"/>
    <n v="38.501792114695299"/>
    <n v="14053.154121863799"/>
    <n v="50591.354838709703"/>
  </r>
  <r>
    <x v="0"/>
    <x v="0"/>
    <x v="0"/>
    <x v="7"/>
    <x v="11"/>
    <s v="NO1_A1"/>
    <x v="2"/>
    <x v="175"/>
    <x v="0"/>
    <x v="8"/>
    <n v="38.501792114695299"/>
    <n v="14053.154121863799"/>
    <n v="50591.354838709703"/>
  </r>
  <r>
    <x v="0"/>
    <x v="0"/>
    <x v="0"/>
    <x v="7"/>
    <x v="11"/>
    <s v="NO1_A1"/>
    <x v="2"/>
    <x v="175"/>
    <x v="0"/>
    <x v="9"/>
    <n v="38.501792114695299"/>
    <n v="14053.154121863799"/>
    <n v="50591.354838709703"/>
  </r>
  <r>
    <x v="0"/>
    <x v="0"/>
    <x v="0"/>
    <x v="7"/>
    <x v="11"/>
    <s v="NO1_A1"/>
    <x v="2"/>
    <x v="175"/>
    <x v="0"/>
    <x v="10"/>
    <n v="38.501792114695299"/>
    <n v="14053.154121863799"/>
    <n v="50591.354838709703"/>
  </r>
  <r>
    <x v="0"/>
    <x v="0"/>
    <x v="0"/>
    <x v="7"/>
    <x v="11"/>
    <s v="NO1_A1"/>
    <x v="2"/>
    <x v="175"/>
    <x v="0"/>
    <x v="11"/>
    <n v="38.501792114695299"/>
    <n v="14053.154121863799"/>
    <n v="50591.354838709703"/>
  </r>
  <r>
    <x v="0"/>
    <x v="0"/>
    <x v="0"/>
    <x v="7"/>
    <x v="11"/>
    <s v="NO1_A1"/>
    <x v="2"/>
    <x v="175"/>
    <x v="0"/>
    <x v="12"/>
    <n v="38.501792114695299"/>
    <n v="14053.154121863799"/>
    <n v="50591.354838709703"/>
  </r>
  <r>
    <x v="0"/>
    <x v="0"/>
    <x v="0"/>
    <x v="7"/>
    <x v="11"/>
    <s v="NO1_A1"/>
    <x v="2"/>
    <x v="175"/>
    <x v="0"/>
    <x v="13"/>
    <n v="38.501792114695299"/>
    <n v="14053.154121863799"/>
    <n v="50591.354838709703"/>
  </r>
  <r>
    <x v="0"/>
    <x v="0"/>
    <x v="0"/>
    <x v="7"/>
    <x v="11"/>
    <s v="NO1_A1"/>
    <x v="2"/>
    <x v="175"/>
    <x v="0"/>
    <x v="14"/>
    <n v="38.501792114695299"/>
    <n v="14053.154121863799"/>
    <n v="50591.354838709703"/>
  </r>
  <r>
    <x v="0"/>
    <x v="0"/>
    <x v="0"/>
    <x v="7"/>
    <x v="11"/>
    <s v="NO1_A1"/>
    <x v="2"/>
    <x v="175"/>
    <x v="0"/>
    <x v="15"/>
    <n v="38.501792114695299"/>
    <n v="14053.154121863799"/>
    <n v="50591.354838709703"/>
  </r>
  <r>
    <x v="0"/>
    <x v="0"/>
    <x v="0"/>
    <x v="7"/>
    <x v="11"/>
    <s v="NO1_A1"/>
    <x v="2"/>
    <x v="175"/>
    <x v="0"/>
    <x v="16"/>
    <n v="38.501792114695299"/>
    <n v="14053.154121863799"/>
    <n v="50591.354838709703"/>
  </r>
  <r>
    <x v="0"/>
    <x v="0"/>
    <x v="0"/>
    <x v="7"/>
    <x v="11"/>
    <s v="NO1_A1"/>
    <x v="2"/>
    <x v="175"/>
    <x v="0"/>
    <x v="17"/>
    <n v="38.501792114695299"/>
    <n v="14053.154121863799"/>
    <n v="50591.354838709703"/>
  </r>
  <r>
    <x v="0"/>
    <x v="0"/>
    <x v="0"/>
    <x v="7"/>
    <x v="11"/>
    <s v="NO1_A1"/>
    <x v="2"/>
    <x v="175"/>
    <x v="0"/>
    <x v="18"/>
    <n v="38.501792114695299"/>
    <n v="14053.154121863799"/>
    <n v="50591.354838709703"/>
  </r>
  <r>
    <x v="0"/>
    <x v="0"/>
    <x v="0"/>
    <x v="7"/>
    <x v="11"/>
    <s v="NO1_A1"/>
    <x v="2"/>
    <x v="175"/>
    <x v="0"/>
    <x v="19"/>
    <n v="38.501792114695299"/>
    <n v="14053.154121863799"/>
    <n v="50591.354838709703"/>
  </r>
  <r>
    <x v="0"/>
    <x v="0"/>
    <x v="0"/>
    <x v="7"/>
    <x v="11"/>
    <s v="NO1_A1"/>
    <x v="2"/>
    <x v="175"/>
    <x v="0"/>
    <x v="20"/>
    <n v="38.501792114695299"/>
    <n v="14053.154121863799"/>
    <n v="50591.354838709703"/>
  </r>
  <r>
    <x v="0"/>
    <x v="0"/>
    <x v="0"/>
    <x v="7"/>
    <x v="11"/>
    <s v="NO1_A1"/>
    <x v="2"/>
    <x v="175"/>
    <x v="0"/>
    <x v="21"/>
    <n v="38.501792114695299"/>
    <n v="14053.154121863799"/>
    <n v="50591.354838709703"/>
  </r>
  <r>
    <x v="0"/>
    <x v="0"/>
    <x v="0"/>
    <x v="7"/>
    <x v="11"/>
    <s v="NO1_A1"/>
    <x v="2"/>
    <x v="175"/>
    <x v="0"/>
    <x v="22"/>
    <n v="38.501792114695299"/>
    <n v="14053.154121863799"/>
    <n v="50591.354838709703"/>
  </r>
  <r>
    <x v="0"/>
    <x v="0"/>
    <x v="0"/>
    <x v="7"/>
    <x v="11"/>
    <s v="NO1_A1"/>
    <x v="2"/>
    <x v="175"/>
    <x v="0"/>
    <x v="23"/>
    <n v="38.501792114695299"/>
    <n v="14053.154121863799"/>
    <n v="50591.354838709703"/>
  </r>
  <r>
    <x v="0"/>
    <x v="0"/>
    <x v="0"/>
    <x v="7"/>
    <x v="11"/>
    <s v="NO1_A1"/>
    <x v="2"/>
    <x v="176"/>
    <x v="0"/>
    <x v="0"/>
    <n v="8.7576470588235296"/>
    <n v="3196.54117647059"/>
    <n v="11507.5482352941"/>
  </r>
  <r>
    <x v="0"/>
    <x v="0"/>
    <x v="0"/>
    <x v="7"/>
    <x v="11"/>
    <s v="NO1_A1"/>
    <x v="2"/>
    <x v="176"/>
    <x v="0"/>
    <x v="1"/>
    <n v="8.7576470588235296"/>
    <n v="3196.54117647059"/>
    <n v="11507.5482352941"/>
  </r>
  <r>
    <x v="0"/>
    <x v="0"/>
    <x v="0"/>
    <x v="7"/>
    <x v="11"/>
    <s v="NO1_A1"/>
    <x v="2"/>
    <x v="176"/>
    <x v="0"/>
    <x v="2"/>
    <n v="8.7576470588235296"/>
    <n v="3196.54117647059"/>
    <n v="11507.5482352941"/>
  </r>
  <r>
    <x v="0"/>
    <x v="0"/>
    <x v="0"/>
    <x v="7"/>
    <x v="11"/>
    <s v="NO1_A1"/>
    <x v="2"/>
    <x v="176"/>
    <x v="0"/>
    <x v="3"/>
    <n v="8.7576470588235296"/>
    <n v="3196.54117647059"/>
    <n v="11507.5482352941"/>
  </r>
  <r>
    <x v="0"/>
    <x v="0"/>
    <x v="0"/>
    <x v="7"/>
    <x v="11"/>
    <s v="NO1_A1"/>
    <x v="2"/>
    <x v="176"/>
    <x v="0"/>
    <x v="4"/>
    <n v="8.7576470588235296"/>
    <n v="3196.54117647059"/>
    <n v="11507.5482352941"/>
  </r>
  <r>
    <x v="0"/>
    <x v="0"/>
    <x v="0"/>
    <x v="7"/>
    <x v="11"/>
    <s v="NO1_A1"/>
    <x v="2"/>
    <x v="176"/>
    <x v="0"/>
    <x v="5"/>
    <n v="8.7576470588235296"/>
    <n v="3196.54117647059"/>
    <n v="11507.5482352941"/>
  </r>
  <r>
    <x v="0"/>
    <x v="0"/>
    <x v="0"/>
    <x v="7"/>
    <x v="11"/>
    <s v="NO1_A1"/>
    <x v="2"/>
    <x v="176"/>
    <x v="0"/>
    <x v="6"/>
    <n v="8.7576470588235296"/>
    <n v="3196.54117647059"/>
    <n v="11507.5482352941"/>
  </r>
  <r>
    <x v="0"/>
    <x v="0"/>
    <x v="0"/>
    <x v="7"/>
    <x v="11"/>
    <s v="NO1_A1"/>
    <x v="2"/>
    <x v="176"/>
    <x v="0"/>
    <x v="7"/>
    <n v="8.7576470588235296"/>
    <n v="3196.54117647059"/>
    <n v="11507.5482352941"/>
  </r>
  <r>
    <x v="0"/>
    <x v="0"/>
    <x v="0"/>
    <x v="7"/>
    <x v="11"/>
    <s v="NO1_A1"/>
    <x v="2"/>
    <x v="176"/>
    <x v="0"/>
    <x v="8"/>
    <n v="8.7576470588235296"/>
    <n v="3196.54117647059"/>
    <n v="11507.5482352941"/>
  </r>
  <r>
    <x v="0"/>
    <x v="0"/>
    <x v="0"/>
    <x v="7"/>
    <x v="11"/>
    <s v="NO1_A1"/>
    <x v="2"/>
    <x v="176"/>
    <x v="0"/>
    <x v="9"/>
    <n v="8.7576470588235296"/>
    <n v="3196.54117647059"/>
    <n v="11507.5482352941"/>
  </r>
  <r>
    <x v="0"/>
    <x v="0"/>
    <x v="0"/>
    <x v="7"/>
    <x v="11"/>
    <s v="NO1_A1"/>
    <x v="2"/>
    <x v="176"/>
    <x v="0"/>
    <x v="10"/>
    <n v="8.7576470588235296"/>
    <n v="3196.54117647059"/>
    <n v="11507.5482352941"/>
  </r>
  <r>
    <x v="0"/>
    <x v="0"/>
    <x v="0"/>
    <x v="7"/>
    <x v="11"/>
    <s v="NO1_A1"/>
    <x v="2"/>
    <x v="176"/>
    <x v="0"/>
    <x v="11"/>
    <n v="8.7576470588235296"/>
    <n v="3196.54117647059"/>
    <n v="11507.5482352941"/>
  </r>
  <r>
    <x v="0"/>
    <x v="0"/>
    <x v="0"/>
    <x v="7"/>
    <x v="11"/>
    <s v="NO1_A1"/>
    <x v="2"/>
    <x v="176"/>
    <x v="0"/>
    <x v="12"/>
    <n v="8.7576470588235296"/>
    <n v="3196.54117647059"/>
    <n v="11507.5482352941"/>
  </r>
  <r>
    <x v="0"/>
    <x v="0"/>
    <x v="0"/>
    <x v="7"/>
    <x v="11"/>
    <s v="NO1_A1"/>
    <x v="2"/>
    <x v="176"/>
    <x v="0"/>
    <x v="13"/>
    <n v="8.7576470588235296"/>
    <n v="3196.54117647059"/>
    <n v="11507.5482352941"/>
  </r>
  <r>
    <x v="0"/>
    <x v="0"/>
    <x v="0"/>
    <x v="7"/>
    <x v="11"/>
    <s v="NO1_A1"/>
    <x v="2"/>
    <x v="176"/>
    <x v="0"/>
    <x v="14"/>
    <n v="8.7576470588235296"/>
    <n v="3196.54117647059"/>
    <n v="11507.5482352941"/>
  </r>
  <r>
    <x v="0"/>
    <x v="0"/>
    <x v="0"/>
    <x v="7"/>
    <x v="11"/>
    <s v="NO1_A1"/>
    <x v="2"/>
    <x v="176"/>
    <x v="0"/>
    <x v="15"/>
    <n v="8.7576470588235296"/>
    <n v="3196.54117647059"/>
    <n v="11507.5482352941"/>
  </r>
  <r>
    <x v="0"/>
    <x v="0"/>
    <x v="0"/>
    <x v="7"/>
    <x v="11"/>
    <s v="NO1_A1"/>
    <x v="2"/>
    <x v="176"/>
    <x v="0"/>
    <x v="16"/>
    <n v="8.7576470588235296"/>
    <n v="3196.54117647059"/>
    <n v="11507.5482352941"/>
  </r>
  <r>
    <x v="0"/>
    <x v="0"/>
    <x v="0"/>
    <x v="7"/>
    <x v="11"/>
    <s v="NO1_A1"/>
    <x v="2"/>
    <x v="176"/>
    <x v="0"/>
    <x v="17"/>
    <n v="8.7576470588235296"/>
    <n v="3196.54117647059"/>
    <n v="11507.5482352941"/>
  </r>
  <r>
    <x v="0"/>
    <x v="0"/>
    <x v="0"/>
    <x v="7"/>
    <x v="11"/>
    <s v="NO1_A1"/>
    <x v="2"/>
    <x v="176"/>
    <x v="0"/>
    <x v="18"/>
    <n v="8.7576470588235296"/>
    <n v="3196.54117647059"/>
    <n v="11507.5482352941"/>
  </r>
  <r>
    <x v="0"/>
    <x v="0"/>
    <x v="0"/>
    <x v="7"/>
    <x v="11"/>
    <s v="NO1_A1"/>
    <x v="2"/>
    <x v="176"/>
    <x v="0"/>
    <x v="19"/>
    <n v="8.7576470588235296"/>
    <n v="3196.54117647059"/>
    <n v="11507.5482352941"/>
  </r>
  <r>
    <x v="0"/>
    <x v="0"/>
    <x v="0"/>
    <x v="7"/>
    <x v="11"/>
    <s v="NO1_A1"/>
    <x v="2"/>
    <x v="176"/>
    <x v="0"/>
    <x v="20"/>
    <n v="8.7576470588235296"/>
    <n v="3196.54117647059"/>
    <n v="11507.5482352941"/>
  </r>
  <r>
    <x v="0"/>
    <x v="0"/>
    <x v="0"/>
    <x v="7"/>
    <x v="11"/>
    <s v="NO1_A1"/>
    <x v="2"/>
    <x v="176"/>
    <x v="0"/>
    <x v="21"/>
    <n v="8.7576470588235296"/>
    <n v="3196.54117647059"/>
    <n v="11507.5482352941"/>
  </r>
  <r>
    <x v="0"/>
    <x v="0"/>
    <x v="0"/>
    <x v="7"/>
    <x v="11"/>
    <s v="NO1_A1"/>
    <x v="2"/>
    <x v="176"/>
    <x v="0"/>
    <x v="22"/>
    <n v="8.7576470588235296"/>
    <n v="3196.54117647059"/>
    <n v="11507.5482352941"/>
  </r>
  <r>
    <x v="0"/>
    <x v="0"/>
    <x v="0"/>
    <x v="7"/>
    <x v="11"/>
    <s v="NO1_A1"/>
    <x v="2"/>
    <x v="176"/>
    <x v="0"/>
    <x v="23"/>
    <n v="8.7576470588235296"/>
    <n v="3196.54117647059"/>
    <n v="11507.5482352941"/>
  </r>
  <r>
    <x v="0"/>
    <x v="0"/>
    <x v="0"/>
    <x v="7"/>
    <x v="11"/>
    <s v="NO1_A1"/>
    <x v="5"/>
    <x v="120"/>
    <x v="0"/>
    <x v="0"/>
    <n v="2.9650869963369799"/>
    <n v="1082.2567536629999"/>
    <n v="3896.1243131868"/>
  </r>
  <r>
    <x v="0"/>
    <x v="0"/>
    <x v="0"/>
    <x v="7"/>
    <x v="11"/>
    <s v="NO1_A1"/>
    <x v="5"/>
    <x v="120"/>
    <x v="0"/>
    <x v="1"/>
    <n v="2.9650869963369799"/>
    <n v="1082.2567536629999"/>
    <n v="3896.1243131868"/>
  </r>
  <r>
    <x v="0"/>
    <x v="0"/>
    <x v="0"/>
    <x v="7"/>
    <x v="11"/>
    <s v="NO1_A1"/>
    <x v="5"/>
    <x v="120"/>
    <x v="0"/>
    <x v="2"/>
    <n v="2.9650869963369799"/>
    <n v="1082.2567536629999"/>
    <n v="3896.1243131868"/>
  </r>
  <r>
    <x v="0"/>
    <x v="0"/>
    <x v="0"/>
    <x v="7"/>
    <x v="11"/>
    <s v="NO1_A1"/>
    <x v="5"/>
    <x v="120"/>
    <x v="0"/>
    <x v="3"/>
    <n v="2.9650869963369799"/>
    <n v="1082.2567536629999"/>
    <n v="3896.1243131868"/>
  </r>
  <r>
    <x v="0"/>
    <x v="0"/>
    <x v="0"/>
    <x v="7"/>
    <x v="11"/>
    <s v="NO1_A1"/>
    <x v="5"/>
    <x v="120"/>
    <x v="0"/>
    <x v="4"/>
    <n v="2.9650869963369799"/>
    <n v="1082.2567536629999"/>
    <n v="3896.1243131868"/>
  </r>
  <r>
    <x v="0"/>
    <x v="0"/>
    <x v="0"/>
    <x v="7"/>
    <x v="11"/>
    <s v="NO1_A1"/>
    <x v="5"/>
    <x v="120"/>
    <x v="0"/>
    <x v="5"/>
    <n v="2.9650869963369799"/>
    <n v="1082.2567536629999"/>
    <n v="3896.1243131868"/>
  </r>
  <r>
    <x v="0"/>
    <x v="0"/>
    <x v="0"/>
    <x v="7"/>
    <x v="11"/>
    <s v="NO1_A1"/>
    <x v="5"/>
    <x v="120"/>
    <x v="0"/>
    <x v="6"/>
    <n v="2.9650869963369799"/>
    <n v="1082.2567536629999"/>
    <n v="3896.1243131868"/>
  </r>
  <r>
    <x v="0"/>
    <x v="0"/>
    <x v="0"/>
    <x v="7"/>
    <x v="11"/>
    <s v="NO1_A1"/>
    <x v="5"/>
    <x v="120"/>
    <x v="0"/>
    <x v="7"/>
    <n v="2.9650869963369799"/>
    <n v="1082.2567536629999"/>
    <n v="3896.1243131868"/>
  </r>
  <r>
    <x v="0"/>
    <x v="0"/>
    <x v="0"/>
    <x v="7"/>
    <x v="11"/>
    <s v="NO1_A1"/>
    <x v="5"/>
    <x v="120"/>
    <x v="0"/>
    <x v="8"/>
    <n v="2.9650869963369799"/>
    <n v="1082.2567536629999"/>
    <n v="3896.1243131868"/>
  </r>
  <r>
    <x v="0"/>
    <x v="0"/>
    <x v="0"/>
    <x v="7"/>
    <x v="11"/>
    <s v="NO1_A1"/>
    <x v="5"/>
    <x v="120"/>
    <x v="0"/>
    <x v="9"/>
    <n v="2.9650869963369799"/>
    <n v="1082.2567536629999"/>
    <n v="3896.1243131868"/>
  </r>
  <r>
    <x v="0"/>
    <x v="0"/>
    <x v="0"/>
    <x v="7"/>
    <x v="11"/>
    <s v="NO1_A1"/>
    <x v="5"/>
    <x v="120"/>
    <x v="0"/>
    <x v="10"/>
    <n v="2.9650869963369799"/>
    <n v="1082.2567536629999"/>
    <n v="3896.1243131868"/>
  </r>
  <r>
    <x v="0"/>
    <x v="0"/>
    <x v="0"/>
    <x v="7"/>
    <x v="11"/>
    <s v="NO1_A1"/>
    <x v="5"/>
    <x v="120"/>
    <x v="0"/>
    <x v="11"/>
    <n v="2.9650869963369799"/>
    <n v="1082.2567536629999"/>
    <n v="3896.1243131868"/>
  </r>
  <r>
    <x v="0"/>
    <x v="0"/>
    <x v="0"/>
    <x v="7"/>
    <x v="11"/>
    <s v="NO1_A1"/>
    <x v="5"/>
    <x v="120"/>
    <x v="0"/>
    <x v="12"/>
    <n v="2.9650869963369799"/>
    <n v="1082.2567536629999"/>
    <n v="3896.1243131868"/>
  </r>
  <r>
    <x v="0"/>
    <x v="0"/>
    <x v="0"/>
    <x v="7"/>
    <x v="11"/>
    <s v="NO1_A1"/>
    <x v="5"/>
    <x v="120"/>
    <x v="0"/>
    <x v="13"/>
    <n v="2.9650869963369799"/>
    <n v="1082.2567536629999"/>
    <n v="3896.1243131868"/>
  </r>
  <r>
    <x v="0"/>
    <x v="0"/>
    <x v="0"/>
    <x v="7"/>
    <x v="11"/>
    <s v="NO1_A1"/>
    <x v="5"/>
    <x v="120"/>
    <x v="0"/>
    <x v="14"/>
    <n v="2.9650869963369799"/>
    <n v="1082.2567536629999"/>
    <n v="3896.1243131868"/>
  </r>
  <r>
    <x v="0"/>
    <x v="0"/>
    <x v="0"/>
    <x v="7"/>
    <x v="11"/>
    <s v="NO1_A1"/>
    <x v="5"/>
    <x v="120"/>
    <x v="0"/>
    <x v="15"/>
    <n v="2.9650869963369799"/>
    <n v="1082.2567536629999"/>
    <n v="3896.1243131868"/>
  </r>
  <r>
    <x v="0"/>
    <x v="0"/>
    <x v="0"/>
    <x v="7"/>
    <x v="11"/>
    <s v="NO1_A1"/>
    <x v="5"/>
    <x v="120"/>
    <x v="0"/>
    <x v="16"/>
    <n v="2.9650869963369799"/>
    <n v="1082.2567536629999"/>
    <n v="3896.1243131868"/>
  </r>
  <r>
    <x v="0"/>
    <x v="0"/>
    <x v="0"/>
    <x v="7"/>
    <x v="11"/>
    <s v="NO1_A1"/>
    <x v="5"/>
    <x v="120"/>
    <x v="0"/>
    <x v="17"/>
    <n v="2.9650869963369799"/>
    <n v="1082.2567536629999"/>
    <n v="3896.1243131868"/>
  </r>
  <r>
    <x v="0"/>
    <x v="0"/>
    <x v="0"/>
    <x v="7"/>
    <x v="11"/>
    <s v="NO1_A1"/>
    <x v="5"/>
    <x v="120"/>
    <x v="0"/>
    <x v="18"/>
    <n v="2.9650869963369799"/>
    <n v="1082.2567536629999"/>
    <n v="3896.1243131868"/>
  </r>
  <r>
    <x v="0"/>
    <x v="0"/>
    <x v="0"/>
    <x v="7"/>
    <x v="11"/>
    <s v="NO1_A1"/>
    <x v="5"/>
    <x v="120"/>
    <x v="0"/>
    <x v="19"/>
    <n v="2.9650869963369799"/>
    <n v="1082.2567536629999"/>
    <n v="3896.1243131868"/>
  </r>
  <r>
    <x v="0"/>
    <x v="0"/>
    <x v="0"/>
    <x v="7"/>
    <x v="11"/>
    <s v="NO1_A1"/>
    <x v="5"/>
    <x v="120"/>
    <x v="0"/>
    <x v="20"/>
    <n v="2.9650869963369799"/>
    <n v="1082.2567536629999"/>
    <n v="3896.1243131868"/>
  </r>
  <r>
    <x v="0"/>
    <x v="0"/>
    <x v="0"/>
    <x v="7"/>
    <x v="11"/>
    <s v="NO1_A1"/>
    <x v="5"/>
    <x v="120"/>
    <x v="0"/>
    <x v="21"/>
    <n v="2.9650869963369799"/>
    <n v="1082.2567536629999"/>
    <n v="3896.1243131868"/>
  </r>
  <r>
    <x v="0"/>
    <x v="0"/>
    <x v="0"/>
    <x v="7"/>
    <x v="11"/>
    <s v="NO1_A1"/>
    <x v="5"/>
    <x v="120"/>
    <x v="0"/>
    <x v="22"/>
    <n v="2.9650869963369799"/>
    <n v="1082.2567536629999"/>
    <n v="3896.1243131868"/>
  </r>
  <r>
    <x v="0"/>
    <x v="0"/>
    <x v="0"/>
    <x v="7"/>
    <x v="11"/>
    <s v="NO1_A1"/>
    <x v="5"/>
    <x v="120"/>
    <x v="0"/>
    <x v="23"/>
    <n v="2.9650869963369799"/>
    <n v="1082.2567536629999"/>
    <n v="3896.1243131868"/>
  </r>
  <r>
    <x v="0"/>
    <x v="0"/>
    <x v="0"/>
    <x v="7"/>
    <x v="11"/>
    <s v="NO1_A1"/>
    <x v="9"/>
    <x v="128"/>
    <x v="0"/>
    <x v="0"/>
    <n v="160"/>
    <n v="58400"/>
    <n v="210240"/>
  </r>
  <r>
    <x v="0"/>
    <x v="0"/>
    <x v="0"/>
    <x v="7"/>
    <x v="11"/>
    <s v="NO1_A1"/>
    <x v="9"/>
    <x v="128"/>
    <x v="0"/>
    <x v="1"/>
    <n v="160"/>
    <n v="58400"/>
    <n v="210240"/>
  </r>
  <r>
    <x v="0"/>
    <x v="0"/>
    <x v="0"/>
    <x v="7"/>
    <x v="11"/>
    <s v="NO1_A1"/>
    <x v="9"/>
    <x v="128"/>
    <x v="0"/>
    <x v="2"/>
    <n v="160"/>
    <n v="58400"/>
    <n v="210240"/>
  </r>
  <r>
    <x v="0"/>
    <x v="0"/>
    <x v="0"/>
    <x v="7"/>
    <x v="11"/>
    <s v="NO1_A1"/>
    <x v="9"/>
    <x v="128"/>
    <x v="0"/>
    <x v="3"/>
    <n v="160"/>
    <n v="58400"/>
    <n v="210240"/>
  </r>
  <r>
    <x v="0"/>
    <x v="0"/>
    <x v="0"/>
    <x v="7"/>
    <x v="11"/>
    <s v="NO1_A1"/>
    <x v="9"/>
    <x v="128"/>
    <x v="0"/>
    <x v="4"/>
    <n v="160"/>
    <n v="58400"/>
    <n v="210240"/>
  </r>
  <r>
    <x v="0"/>
    <x v="0"/>
    <x v="0"/>
    <x v="7"/>
    <x v="11"/>
    <s v="NO1_A1"/>
    <x v="9"/>
    <x v="128"/>
    <x v="0"/>
    <x v="5"/>
    <n v="160"/>
    <n v="58400"/>
    <n v="210240"/>
  </r>
  <r>
    <x v="0"/>
    <x v="0"/>
    <x v="0"/>
    <x v="7"/>
    <x v="11"/>
    <s v="NO1_A1"/>
    <x v="9"/>
    <x v="128"/>
    <x v="0"/>
    <x v="6"/>
    <n v="160"/>
    <n v="58400"/>
    <n v="210240"/>
  </r>
  <r>
    <x v="0"/>
    <x v="0"/>
    <x v="0"/>
    <x v="7"/>
    <x v="11"/>
    <s v="NO1_A1"/>
    <x v="9"/>
    <x v="128"/>
    <x v="0"/>
    <x v="7"/>
    <n v="160"/>
    <n v="58400"/>
    <n v="210240"/>
  </r>
  <r>
    <x v="0"/>
    <x v="0"/>
    <x v="0"/>
    <x v="7"/>
    <x v="11"/>
    <s v="NO1_A1"/>
    <x v="9"/>
    <x v="128"/>
    <x v="0"/>
    <x v="8"/>
    <n v="160"/>
    <n v="58400"/>
    <n v="210240"/>
  </r>
  <r>
    <x v="0"/>
    <x v="0"/>
    <x v="0"/>
    <x v="7"/>
    <x v="11"/>
    <s v="NO1_A1"/>
    <x v="9"/>
    <x v="128"/>
    <x v="0"/>
    <x v="9"/>
    <n v="160"/>
    <n v="58400"/>
    <n v="210240"/>
  </r>
  <r>
    <x v="0"/>
    <x v="0"/>
    <x v="0"/>
    <x v="7"/>
    <x v="11"/>
    <s v="NO1_A1"/>
    <x v="9"/>
    <x v="128"/>
    <x v="0"/>
    <x v="10"/>
    <n v="160"/>
    <n v="58400"/>
    <n v="210240"/>
  </r>
  <r>
    <x v="0"/>
    <x v="0"/>
    <x v="0"/>
    <x v="7"/>
    <x v="11"/>
    <s v="NO1_A1"/>
    <x v="9"/>
    <x v="128"/>
    <x v="0"/>
    <x v="11"/>
    <n v="160"/>
    <n v="58400"/>
    <n v="210240"/>
  </r>
  <r>
    <x v="0"/>
    <x v="0"/>
    <x v="0"/>
    <x v="7"/>
    <x v="11"/>
    <s v="NO1_A1"/>
    <x v="9"/>
    <x v="128"/>
    <x v="0"/>
    <x v="12"/>
    <n v="160"/>
    <n v="58400"/>
    <n v="210240"/>
  </r>
  <r>
    <x v="0"/>
    <x v="0"/>
    <x v="0"/>
    <x v="7"/>
    <x v="11"/>
    <s v="NO1_A1"/>
    <x v="9"/>
    <x v="128"/>
    <x v="0"/>
    <x v="13"/>
    <n v="160"/>
    <n v="58400"/>
    <n v="210240"/>
  </r>
  <r>
    <x v="0"/>
    <x v="0"/>
    <x v="0"/>
    <x v="7"/>
    <x v="11"/>
    <s v="NO1_A1"/>
    <x v="9"/>
    <x v="128"/>
    <x v="0"/>
    <x v="14"/>
    <n v="160"/>
    <n v="58400"/>
    <n v="210240"/>
  </r>
  <r>
    <x v="0"/>
    <x v="0"/>
    <x v="0"/>
    <x v="7"/>
    <x v="11"/>
    <s v="NO1_A1"/>
    <x v="9"/>
    <x v="128"/>
    <x v="0"/>
    <x v="15"/>
    <n v="160"/>
    <n v="58400"/>
    <n v="210240"/>
  </r>
  <r>
    <x v="0"/>
    <x v="0"/>
    <x v="0"/>
    <x v="7"/>
    <x v="11"/>
    <s v="NO1_A1"/>
    <x v="9"/>
    <x v="128"/>
    <x v="0"/>
    <x v="16"/>
    <n v="160"/>
    <n v="58400"/>
    <n v="210240"/>
  </r>
  <r>
    <x v="0"/>
    <x v="0"/>
    <x v="0"/>
    <x v="7"/>
    <x v="11"/>
    <s v="NO1_A1"/>
    <x v="9"/>
    <x v="128"/>
    <x v="0"/>
    <x v="17"/>
    <n v="160"/>
    <n v="58400"/>
    <n v="210240"/>
  </r>
  <r>
    <x v="0"/>
    <x v="0"/>
    <x v="0"/>
    <x v="7"/>
    <x v="11"/>
    <s v="NO1_A1"/>
    <x v="9"/>
    <x v="128"/>
    <x v="0"/>
    <x v="18"/>
    <n v="160"/>
    <n v="58400"/>
    <n v="210240"/>
  </r>
  <r>
    <x v="0"/>
    <x v="0"/>
    <x v="0"/>
    <x v="7"/>
    <x v="11"/>
    <s v="NO1_A1"/>
    <x v="9"/>
    <x v="128"/>
    <x v="0"/>
    <x v="19"/>
    <n v="160"/>
    <n v="58400"/>
    <n v="210240"/>
  </r>
  <r>
    <x v="0"/>
    <x v="0"/>
    <x v="0"/>
    <x v="7"/>
    <x v="11"/>
    <s v="NO1_A1"/>
    <x v="9"/>
    <x v="128"/>
    <x v="0"/>
    <x v="20"/>
    <n v="160"/>
    <n v="58400"/>
    <n v="210240"/>
  </r>
  <r>
    <x v="0"/>
    <x v="0"/>
    <x v="0"/>
    <x v="7"/>
    <x v="11"/>
    <s v="NO1_A1"/>
    <x v="9"/>
    <x v="128"/>
    <x v="0"/>
    <x v="21"/>
    <n v="160"/>
    <n v="58400"/>
    <n v="210240"/>
  </r>
  <r>
    <x v="0"/>
    <x v="0"/>
    <x v="0"/>
    <x v="7"/>
    <x v="11"/>
    <s v="NO1_A1"/>
    <x v="9"/>
    <x v="128"/>
    <x v="0"/>
    <x v="22"/>
    <n v="160"/>
    <n v="58400"/>
    <n v="210240"/>
  </r>
  <r>
    <x v="0"/>
    <x v="0"/>
    <x v="0"/>
    <x v="7"/>
    <x v="11"/>
    <s v="NO1_A1"/>
    <x v="9"/>
    <x v="129"/>
    <x v="0"/>
    <x v="0"/>
    <n v="160"/>
    <n v="58400"/>
    <n v="210240"/>
  </r>
  <r>
    <x v="0"/>
    <x v="0"/>
    <x v="0"/>
    <x v="7"/>
    <x v="11"/>
    <s v="NO1_A1"/>
    <x v="9"/>
    <x v="129"/>
    <x v="0"/>
    <x v="1"/>
    <n v="160"/>
    <n v="58400"/>
    <n v="210240"/>
  </r>
  <r>
    <x v="0"/>
    <x v="0"/>
    <x v="0"/>
    <x v="7"/>
    <x v="11"/>
    <s v="NO1_A1"/>
    <x v="9"/>
    <x v="129"/>
    <x v="0"/>
    <x v="3"/>
    <n v="31.397871155640001"/>
    <n v="11460.2229718086"/>
    <n v="41256.802698510997"/>
  </r>
  <r>
    <x v="0"/>
    <x v="0"/>
    <x v="0"/>
    <x v="7"/>
    <x v="11"/>
    <s v="NO1_A1"/>
    <x v="9"/>
    <x v="129"/>
    <x v="0"/>
    <x v="4"/>
    <n v="160"/>
    <n v="58400"/>
    <n v="210240"/>
  </r>
  <r>
    <x v="0"/>
    <x v="0"/>
    <x v="0"/>
    <x v="7"/>
    <x v="11"/>
    <s v="NO1_A1"/>
    <x v="9"/>
    <x v="129"/>
    <x v="0"/>
    <x v="5"/>
    <n v="160"/>
    <n v="58400"/>
    <n v="210240"/>
  </r>
  <r>
    <x v="0"/>
    <x v="0"/>
    <x v="0"/>
    <x v="7"/>
    <x v="11"/>
    <s v="NO1_A1"/>
    <x v="9"/>
    <x v="129"/>
    <x v="0"/>
    <x v="6"/>
    <n v="160"/>
    <n v="58400"/>
    <n v="210240"/>
  </r>
  <r>
    <x v="0"/>
    <x v="0"/>
    <x v="0"/>
    <x v="7"/>
    <x v="11"/>
    <s v="NO1_A1"/>
    <x v="9"/>
    <x v="129"/>
    <x v="0"/>
    <x v="7"/>
    <n v="160"/>
    <n v="58400"/>
    <n v="210240"/>
  </r>
  <r>
    <x v="0"/>
    <x v="0"/>
    <x v="0"/>
    <x v="7"/>
    <x v="11"/>
    <s v="NO1_A1"/>
    <x v="9"/>
    <x v="129"/>
    <x v="0"/>
    <x v="8"/>
    <n v="160"/>
    <n v="58400"/>
    <n v="210240"/>
  </r>
  <r>
    <x v="0"/>
    <x v="0"/>
    <x v="0"/>
    <x v="7"/>
    <x v="11"/>
    <s v="NO1_A1"/>
    <x v="9"/>
    <x v="129"/>
    <x v="0"/>
    <x v="9"/>
    <n v="160"/>
    <n v="58400"/>
    <n v="210240"/>
  </r>
  <r>
    <x v="0"/>
    <x v="0"/>
    <x v="0"/>
    <x v="7"/>
    <x v="11"/>
    <s v="NO1_A1"/>
    <x v="9"/>
    <x v="129"/>
    <x v="0"/>
    <x v="10"/>
    <n v="160"/>
    <n v="58400"/>
    <n v="210240"/>
  </r>
  <r>
    <x v="0"/>
    <x v="0"/>
    <x v="0"/>
    <x v="7"/>
    <x v="11"/>
    <s v="NO1_A1"/>
    <x v="9"/>
    <x v="129"/>
    <x v="0"/>
    <x v="11"/>
    <n v="160"/>
    <n v="58400"/>
    <n v="210240"/>
  </r>
  <r>
    <x v="0"/>
    <x v="0"/>
    <x v="0"/>
    <x v="7"/>
    <x v="11"/>
    <s v="NO1_A1"/>
    <x v="9"/>
    <x v="129"/>
    <x v="0"/>
    <x v="12"/>
    <n v="160"/>
    <n v="58400"/>
    <n v="210240"/>
  </r>
  <r>
    <x v="0"/>
    <x v="0"/>
    <x v="0"/>
    <x v="7"/>
    <x v="11"/>
    <s v="NO1_A1"/>
    <x v="9"/>
    <x v="129"/>
    <x v="0"/>
    <x v="13"/>
    <n v="160"/>
    <n v="58400"/>
    <n v="210240"/>
  </r>
  <r>
    <x v="0"/>
    <x v="0"/>
    <x v="0"/>
    <x v="7"/>
    <x v="11"/>
    <s v="NO1_A1"/>
    <x v="9"/>
    <x v="129"/>
    <x v="0"/>
    <x v="14"/>
    <n v="160"/>
    <n v="58400"/>
    <n v="210240"/>
  </r>
  <r>
    <x v="0"/>
    <x v="0"/>
    <x v="0"/>
    <x v="7"/>
    <x v="11"/>
    <s v="NO1_A1"/>
    <x v="9"/>
    <x v="129"/>
    <x v="0"/>
    <x v="15"/>
    <n v="160"/>
    <n v="58400"/>
    <n v="210240"/>
  </r>
  <r>
    <x v="0"/>
    <x v="0"/>
    <x v="0"/>
    <x v="7"/>
    <x v="11"/>
    <s v="NO1_A1"/>
    <x v="9"/>
    <x v="129"/>
    <x v="0"/>
    <x v="16"/>
    <n v="160"/>
    <n v="58400"/>
    <n v="210240"/>
  </r>
  <r>
    <x v="0"/>
    <x v="0"/>
    <x v="0"/>
    <x v="7"/>
    <x v="11"/>
    <s v="NO1_A1"/>
    <x v="9"/>
    <x v="129"/>
    <x v="0"/>
    <x v="17"/>
    <n v="160"/>
    <n v="58400"/>
    <n v="210240"/>
  </r>
  <r>
    <x v="0"/>
    <x v="0"/>
    <x v="0"/>
    <x v="7"/>
    <x v="11"/>
    <s v="NO1_A1"/>
    <x v="9"/>
    <x v="129"/>
    <x v="0"/>
    <x v="18"/>
    <n v="160"/>
    <n v="58400"/>
    <n v="210240"/>
  </r>
  <r>
    <x v="0"/>
    <x v="0"/>
    <x v="0"/>
    <x v="7"/>
    <x v="11"/>
    <s v="NO1_A1"/>
    <x v="9"/>
    <x v="129"/>
    <x v="0"/>
    <x v="19"/>
    <n v="160"/>
    <n v="58400"/>
    <n v="210240"/>
  </r>
  <r>
    <x v="0"/>
    <x v="0"/>
    <x v="0"/>
    <x v="7"/>
    <x v="11"/>
    <s v="NO1_A1"/>
    <x v="9"/>
    <x v="129"/>
    <x v="0"/>
    <x v="20"/>
    <n v="160"/>
    <n v="58400"/>
    <n v="210240"/>
  </r>
  <r>
    <x v="0"/>
    <x v="0"/>
    <x v="0"/>
    <x v="7"/>
    <x v="11"/>
    <s v="NO1_A1"/>
    <x v="9"/>
    <x v="129"/>
    <x v="0"/>
    <x v="21"/>
    <n v="160"/>
    <n v="58400"/>
    <n v="210240"/>
  </r>
  <r>
    <x v="0"/>
    <x v="0"/>
    <x v="0"/>
    <x v="7"/>
    <x v="11"/>
    <s v="NO1_A1"/>
    <x v="9"/>
    <x v="129"/>
    <x v="0"/>
    <x v="22"/>
    <n v="20.3987205509898"/>
    <n v="7445.5330011112801"/>
    <n v="26803.918804000601"/>
  </r>
  <r>
    <x v="0"/>
    <x v="0"/>
    <x v="0"/>
    <x v="7"/>
    <x v="11"/>
    <s v="NO1_A1"/>
    <x v="9"/>
    <x v="130"/>
    <x v="0"/>
    <x v="5"/>
    <n v="63.547445073629298"/>
    <n v="23194.8174518747"/>
    <n v="83501.342826748994"/>
  </r>
  <r>
    <x v="0"/>
    <x v="0"/>
    <x v="0"/>
    <x v="7"/>
    <x v="11"/>
    <s v="NO1_A1"/>
    <x v="9"/>
    <x v="130"/>
    <x v="0"/>
    <x v="6"/>
    <n v="160"/>
    <n v="58400"/>
    <n v="210240"/>
  </r>
  <r>
    <x v="0"/>
    <x v="0"/>
    <x v="0"/>
    <x v="7"/>
    <x v="11"/>
    <s v="NO1_A1"/>
    <x v="9"/>
    <x v="130"/>
    <x v="0"/>
    <x v="7"/>
    <n v="160"/>
    <n v="58400"/>
    <n v="210240"/>
  </r>
  <r>
    <x v="0"/>
    <x v="0"/>
    <x v="0"/>
    <x v="7"/>
    <x v="11"/>
    <s v="NO1_A1"/>
    <x v="9"/>
    <x v="130"/>
    <x v="0"/>
    <x v="8"/>
    <n v="160"/>
    <n v="58400"/>
    <n v="210240"/>
  </r>
  <r>
    <x v="0"/>
    <x v="0"/>
    <x v="0"/>
    <x v="7"/>
    <x v="11"/>
    <s v="NO1_A1"/>
    <x v="9"/>
    <x v="130"/>
    <x v="0"/>
    <x v="9"/>
    <n v="160"/>
    <n v="58400"/>
    <n v="210240"/>
  </r>
  <r>
    <x v="0"/>
    <x v="0"/>
    <x v="0"/>
    <x v="7"/>
    <x v="11"/>
    <s v="NO1_A1"/>
    <x v="9"/>
    <x v="130"/>
    <x v="0"/>
    <x v="10"/>
    <n v="160"/>
    <n v="58400"/>
    <n v="210240"/>
  </r>
  <r>
    <x v="0"/>
    <x v="0"/>
    <x v="0"/>
    <x v="7"/>
    <x v="11"/>
    <s v="NO1_A1"/>
    <x v="9"/>
    <x v="130"/>
    <x v="0"/>
    <x v="11"/>
    <n v="160"/>
    <n v="58400"/>
    <n v="210240"/>
  </r>
  <r>
    <x v="0"/>
    <x v="0"/>
    <x v="0"/>
    <x v="7"/>
    <x v="11"/>
    <s v="NO1_A1"/>
    <x v="9"/>
    <x v="130"/>
    <x v="0"/>
    <x v="12"/>
    <n v="160"/>
    <n v="58400"/>
    <n v="210240"/>
  </r>
  <r>
    <x v="0"/>
    <x v="0"/>
    <x v="0"/>
    <x v="7"/>
    <x v="11"/>
    <s v="NO1_A1"/>
    <x v="9"/>
    <x v="130"/>
    <x v="0"/>
    <x v="13"/>
    <n v="160"/>
    <n v="58400"/>
    <n v="210240"/>
  </r>
  <r>
    <x v="0"/>
    <x v="0"/>
    <x v="0"/>
    <x v="7"/>
    <x v="11"/>
    <s v="NO1_A1"/>
    <x v="9"/>
    <x v="130"/>
    <x v="0"/>
    <x v="14"/>
    <n v="160"/>
    <n v="58400"/>
    <n v="210240"/>
  </r>
  <r>
    <x v="0"/>
    <x v="0"/>
    <x v="0"/>
    <x v="7"/>
    <x v="11"/>
    <s v="NO1_A1"/>
    <x v="9"/>
    <x v="130"/>
    <x v="0"/>
    <x v="15"/>
    <n v="160"/>
    <n v="58400"/>
    <n v="210240"/>
  </r>
  <r>
    <x v="0"/>
    <x v="0"/>
    <x v="0"/>
    <x v="7"/>
    <x v="11"/>
    <s v="NO1_A1"/>
    <x v="9"/>
    <x v="130"/>
    <x v="0"/>
    <x v="16"/>
    <n v="160"/>
    <n v="58400"/>
    <n v="210240"/>
  </r>
  <r>
    <x v="0"/>
    <x v="0"/>
    <x v="0"/>
    <x v="7"/>
    <x v="11"/>
    <s v="NO1_A1"/>
    <x v="9"/>
    <x v="130"/>
    <x v="0"/>
    <x v="17"/>
    <n v="160"/>
    <n v="58400"/>
    <n v="210240"/>
  </r>
  <r>
    <x v="0"/>
    <x v="0"/>
    <x v="0"/>
    <x v="7"/>
    <x v="11"/>
    <s v="NO1_A1"/>
    <x v="9"/>
    <x v="130"/>
    <x v="0"/>
    <x v="18"/>
    <n v="160"/>
    <n v="58400"/>
    <n v="210240"/>
  </r>
  <r>
    <x v="0"/>
    <x v="0"/>
    <x v="0"/>
    <x v="7"/>
    <x v="11"/>
    <s v="NO1_A1"/>
    <x v="9"/>
    <x v="130"/>
    <x v="0"/>
    <x v="19"/>
    <n v="160"/>
    <n v="58400"/>
    <n v="210240"/>
  </r>
  <r>
    <x v="0"/>
    <x v="0"/>
    <x v="0"/>
    <x v="7"/>
    <x v="11"/>
    <s v="NO1_A1"/>
    <x v="9"/>
    <x v="130"/>
    <x v="0"/>
    <x v="20"/>
    <n v="160"/>
    <n v="58400"/>
    <n v="210240"/>
  </r>
  <r>
    <x v="0"/>
    <x v="0"/>
    <x v="0"/>
    <x v="7"/>
    <x v="11"/>
    <s v="NO1_A1"/>
    <x v="9"/>
    <x v="130"/>
    <x v="0"/>
    <x v="21"/>
    <n v="53.600474042951099"/>
    <n v="19564.173025677101"/>
    <n v="70431.022892437701"/>
  </r>
  <r>
    <x v="0"/>
    <x v="0"/>
    <x v="0"/>
    <x v="7"/>
    <x v="11"/>
    <s v="NO1_A1"/>
    <x v="9"/>
    <x v="131"/>
    <x v="0"/>
    <x v="6"/>
    <n v="160"/>
    <n v="58400"/>
    <n v="210240"/>
  </r>
  <r>
    <x v="0"/>
    <x v="0"/>
    <x v="0"/>
    <x v="7"/>
    <x v="11"/>
    <s v="NO1_A1"/>
    <x v="9"/>
    <x v="131"/>
    <x v="0"/>
    <x v="7"/>
    <n v="160"/>
    <n v="58400"/>
    <n v="210240"/>
  </r>
  <r>
    <x v="0"/>
    <x v="0"/>
    <x v="0"/>
    <x v="7"/>
    <x v="11"/>
    <s v="NO1_A1"/>
    <x v="9"/>
    <x v="131"/>
    <x v="0"/>
    <x v="8"/>
    <n v="160"/>
    <n v="58400"/>
    <n v="210240"/>
  </r>
  <r>
    <x v="0"/>
    <x v="0"/>
    <x v="0"/>
    <x v="7"/>
    <x v="11"/>
    <s v="NO1_A1"/>
    <x v="9"/>
    <x v="131"/>
    <x v="0"/>
    <x v="9"/>
    <n v="160"/>
    <n v="58400"/>
    <n v="210240"/>
  </r>
  <r>
    <x v="0"/>
    <x v="0"/>
    <x v="0"/>
    <x v="7"/>
    <x v="11"/>
    <s v="NO1_A1"/>
    <x v="9"/>
    <x v="131"/>
    <x v="0"/>
    <x v="10"/>
    <n v="160"/>
    <n v="58400"/>
    <n v="210240"/>
  </r>
  <r>
    <x v="0"/>
    <x v="0"/>
    <x v="0"/>
    <x v="7"/>
    <x v="11"/>
    <s v="NO1_A1"/>
    <x v="9"/>
    <x v="131"/>
    <x v="0"/>
    <x v="11"/>
    <n v="160"/>
    <n v="58400"/>
    <n v="210240"/>
  </r>
  <r>
    <x v="0"/>
    <x v="0"/>
    <x v="0"/>
    <x v="7"/>
    <x v="11"/>
    <s v="NO1_A1"/>
    <x v="9"/>
    <x v="131"/>
    <x v="0"/>
    <x v="12"/>
    <n v="160"/>
    <n v="58400"/>
    <n v="210240"/>
  </r>
  <r>
    <x v="0"/>
    <x v="0"/>
    <x v="0"/>
    <x v="7"/>
    <x v="11"/>
    <s v="NO1_A1"/>
    <x v="9"/>
    <x v="131"/>
    <x v="0"/>
    <x v="13"/>
    <n v="160"/>
    <n v="58400"/>
    <n v="210240"/>
  </r>
  <r>
    <x v="0"/>
    <x v="0"/>
    <x v="0"/>
    <x v="7"/>
    <x v="11"/>
    <s v="NO1_A1"/>
    <x v="9"/>
    <x v="131"/>
    <x v="0"/>
    <x v="14"/>
    <n v="160"/>
    <n v="58400"/>
    <n v="210240"/>
  </r>
  <r>
    <x v="0"/>
    <x v="0"/>
    <x v="0"/>
    <x v="7"/>
    <x v="11"/>
    <s v="NO1_A1"/>
    <x v="9"/>
    <x v="131"/>
    <x v="0"/>
    <x v="15"/>
    <n v="160"/>
    <n v="58400"/>
    <n v="210240"/>
  </r>
  <r>
    <x v="0"/>
    <x v="0"/>
    <x v="0"/>
    <x v="7"/>
    <x v="11"/>
    <s v="NO1_A1"/>
    <x v="9"/>
    <x v="131"/>
    <x v="0"/>
    <x v="16"/>
    <n v="160"/>
    <n v="58400"/>
    <n v="210240"/>
  </r>
  <r>
    <x v="0"/>
    <x v="0"/>
    <x v="0"/>
    <x v="7"/>
    <x v="11"/>
    <s v="NO1_A1"/>
    <x v="9"/>
    <x v="131"/>
    <x v="0"/>
    <x v="17"/>
    <n v="160"/>
    <n v="58400"/>
    <n v="210240"/>
  </r>
  <r>
    <x v="0"/>
    <x v="0"/>
    <x v="0"/>
    <x v="7"/>
    <x v="11"/>
    <s v="NO1_A1"/>
    <x v="9"/>
    <x v="131"/>
    <x v="0"/>
    <x v="18"/>
    <n v="160"/>
    <n v="58400"/>
    <n v="210240"/>
  </r>
  <r>
    <x v="0"/>
    <x v="0"/>
    <x v="0"/>
    <x v="7"/>
    <x v="11"/>
    <s v="NO1_A1"/>
    <x v="9"/>
    <x v="131"/>
    <x v="0"/>
    <x v="19"/>
    <n v="160"/>
    <n v="58400"/>
    <n v="210240"/>
  </r>
  <r>
    <x v="0"/>
    <x v="0"/>
    <x v="0"/>
    <x v="7"/>
    <x v="11"/>
    <s v="NO1_A1"/>
    <x v="9"/>
    <x v="132"/>
    <x v="0"/>
    <x v="7"/>
    <n v="160"/>
    <n v="58400"/>
    <n v="210240"/>
  </r>
  <r>
    <x v="0"/>
    <x v="0"/>
    <x v="0"/>
    <x v="7"/>
    <x v="11"/>
    <s v="NO1_A1"/>
    <x v="9"/>
    <x v="132"/>
    <x v="0"/>
    <x v="8"/>
    <n v="160"/>
    <n v="58400"/>
    <n v="210240"/>
  </r>
  <r>
    <x v="0"/>
    <x v="0"/>
    <x v="0"/>
    <x v="7"/>
    <x v="11"/>
    <s v="NO1_A1"/>
    <x v="9"/>
    <x v="132"/>
    <x v="0"/>
    <x v="9"/>
    <n v="160"/>
    <n v="58400"/>
    <n v="210240"/>
  </r>
  <r>
    <x v="0"/>
    <x v="0"/>
    <x v="0"/>
    <x v="7"/>
    <x v="11"/>
    <s v="NO1_A1"/>
    <x v="9"/>
    <x v="132"/>
    <x v="0"/>
    <x v="10"/>
    <n v="160"/>
    <n v="58400"/>
    <n v="210240"/>
  </r>
  <r>
    <x v="0"/>
    <x v="0"/>
    <x v="0"/>
    <x v="7"/>
    <x v="11"/>
    <s v="NO1_A1"/>
    <x v="9"/>
    <x v="132"/>
    <x v="0"/>
    <x v="11"/>
    <n v="160"/>
    <n v="58400"/>
    <n v="210240"/>
  </r>
  <r>
    <x v="0"/>
    <x v="0"/>
    <x v="0"/>
    <x v="7"/>
    <x v="11"/>
    <s v="NO1_A1"/>
    <x v="9"/>
    <x v="132"/>
    <x v="0"/>
    <x v="12"/>
    <n v="47.797163463561297"/>
    <n v="17445.964664199899"/>
    <n v="62805.4727911195"/>
  </r>
  <r>
    <x v="0"/>
    <x v="0"/>
    <x v="0"/>
    <x v="7"/>
    <x v="11"/>
    <s v="NO1_A1"/>
    <x v="9"/>
    <x v="133"/>
    <x v="0"/>
    <x v="7"/>
    <n v="160"/>
    <n v="58400"/>
    <n v="210240"/>
  </r>
  <r>
    <x v="0"/>
    <x v="0"/>
    <x v="0"/>
    <x v="7"/>
    <x v="11"/>
    <s v="NO1_A1"/>
    <x v="9"/>
    <x v="133"/>
    <x v="0"/>
    <x v="8"/>
    <n v="160"/>
    <n v="58400"/>
    <n v="210240"/>
  </r>
  <r>
    <x v="0"/>
    <x v="0"/>
    <x v="0"/>
    <x v="7"/>
    <x v="11"/>
    <s v="NO1_A1"/>
    <x v="9"/>
    <x v="133"/>
    <x v="0"/>
    <x v="9"/>
    <n v="160"/>
    <n v="58400"/>
    <n v="210240"/>
  </r>
  <r>
    <x v="0"/>
    <x v="0"/>
    <x v="0"/>
    <x v="7"/>
    <x v="11"/>
    <s v="NO1_A1"/>
    <x v="9"/>
    <x v="133"/>
    <x v="0"/>
    <x v="10"/>
    <n v="158.28766945400099"/>
    <n v="57774.999350710299"/>
    <n v="207989.997662557"/>
  </r>
  <r>
    <x v="0"/>
    <x v="0"/>
    <x v="0"/>
    <x v="7"/>
    <x v="11"/>
    <s v="NO1_A1"/>
    <x v="9"/>
    <x v="134"/>
    <x v="0"/>
    <x v="8"/>
    <n v="53.6217126474344"/>
    <n v="19571.925116313501"/>
    <n v="70458.930418728807"/>
  </r>
  <r>
    <x v="0"/>
    <x v="0"/>
    <x v="0"/>
    <x v="7"/>
    <x v="11"/>
    <s v="NO1_A1"/>
    <x v="9"/>
    <x v="57"/>
    <x v="0"/>
    <x v="0"/>
    <n v="938.44564324685803"/>
    <n v="342532.65978510299"/>
    <n v="1233117.57522637"/>
  </r>
  <r>
    <x v="0"/>
    <x v="0"/>
    <x v="0"/>
    <x v="7"/>
    <x v="11"/>
    <s v="NO1_A1"/>
    <x v="9"/>
    <x v="57"/>
    <x v="0"/>
    <x v="1"/>
    <n v="938.44564324685803"/>
    <n v="342532.65978510299"/>
    <n v="1233117.57522637"/>
  </r>
  <r>
    <x v="0"/>
    <x v="0"/>
    <x v="0"/>
    <x v="7"/>
    <x v="11"/>
    <s v="NO1_A1"/>
    <x v="9"/>
    <x v="57"/>
    <x v="0"/>
    <x v="2"/>
    <n v="938.44564324685803"/>
    <n v="342532.65978510299"/>
    <n v="1233117.57522637"/>
  </r>
  <r>
    <x v="0"/>
    <x v="0"/>
    <x v="0"/>
    <x v="7"/>
    <x v="11"/>
    <s v="NO1_A1"/>
    <x v="9"/>
    <x v="57"/>
    <x v="0"/>
    <x v="3"/>
    <n v="938.44564324685803"/>
    <n v="342532.65978510299"/>
    <n v="1233117.57522637"/>
  </r>
  <r>
    <x v="0"/>
    <x v="0"/>
    <x v="0"/>
    <x v="7"/>
    <x v="11"/>
    <s v="NO1_A1"/>
    <x v="9"/>
    <x v="57"/>
    <x v="0"/>
    <x v="4"/>
    <n v="938.44564324685803"/>
    <n v="342532.65978510299"/>
    <n v="1233117.57522637"/>
  </r>
  <r>
    <x v="0"/>
    <x v="0"/>
    <x v="0"/>
    <x v="7"/>
    <x v="11"/>
    <s v="NO1_A1"/>
    <x v="9"/>
    <x v="57"/>
    <x v="0"/>
    <x v="5"/>
    <n v="938.44564324685803"/>
    <n v="342532.65978510299"/>
    <n v="1233117.57522637"/>
  </r>
  <r>
    <x v="0"/>
    <x v="0"/>
    <x v="0"/>
    <x v="7"/>
    <x v="11"/>
    <s v="NO1_A1"/>
    <x v="9"/>
    <x v="57"/>
    <x v="0"/>
    <x v="6"/>
    <n v="938.44564324685803"/>
    <n v="342532.65978510299"/>
    <n v="1233117.57522637"/>
  </r>
  <r>
    <x v="0"/>
    <x v="0"/>
    <x v="0"/>
    <x v="7"/>
    <x v="11"/>
    <s v="NO1_A1"/>
    <x v="9"/>
    <x v="57"/>
    <x v="0"/>
    <x v="7"/>
    <n v="938.44564324685803"/>
    <n v="342532.65978510299"/>
    <n v="1233117.57522637"/>
  </r>
  <r>
    <x v="0"/>
    <x v="0"/>
    <x v="0"/>
    <x v="7"/>
    <x v="11"/>
    <s v="NO1_A1"/>
    <x v="9"/>
    <x v="57"/>
    <x v="0"/>
    <x v="8"/>
    <n v="938.44564324685803"/>
    <n v="342532.65978510299"/>
    <n v="1233117.57522637"/>
  </r>
  <r>
    <x v="0"/>
    <x v="0"/>
    <x v="0"/>
    <x v="7"/>
    <x v="11"/>
    <s v="NO1_A1"/>
    <x v="9"/>
    <x v="57"/>
    <x v="0"/>
    <x v="9"/>
    <n v="938.44564324685803"/>
    <n v="342532.65978510299"/>
    <n v="1233117.57522637"/>
  </r>
  <r>
    <x v="0"/>
    <x v="0"/>
    <x v="0"/>
    <x v="7"/>
    <x v="11"/>
    <s v="NO1_A1"/>
    <x v="9"/>
    <x v="57"/>
    <x v="0"/>
    <x v="10"/>
    <n v="938.44564324685803"/>
    <n v="342532.65978510299"/>
    <n v="1233117.57522637"/>
  </r>
  <r>
    <x v="0"/>
    <x v="0"/>
    <x v="0"/>
    <x v="7"/>
    <x v="11"/>
    <s v="NO1_A1"/>
    <x v="9"/>
    <x v="57"/>
    <x v="0"/>
    <x v="11"/>
    <n v="938.44564324685803"/>
    <n v="342532.65978510299"/>
    <n v="1233117.57522637"/>
  </r>
  <r>
    <x v="0"/>
    <x v="0"/>
    <x v="0"/>
    <x v="7"/>
    <x v="11"/>
    <s v="NO1_A1"/>
    <x v="9"/>
    <x v="57"/>
    <x v="0"/>
    <x v="12"/>
    <n v="938.44564324685803"/>
    <n v="342532.65978510299"/>
    <n v="1233117.57522637"/>
  </r>
  <r>
    <x v="0"/>
    <x v="0"/>
    <x v="0"/>
    <x v="7"/>
    <x v="11"/>
    <s v="NO1_A1"/>
    <x v="9"/>
    <x v="57"/>
    <x v="0"/>
    <x v="13"/>
    <n v="938.44564324685803"/>
    <n v="342532.65978510299"/>
    <n v="1233117.57522637"/>
  </r>
  <r>
    <x v="0"/>
    <x v="0"/>
    <x v="0"/>
    <x v="7"/>
    <x v="11"/>
    <s v="NO1_A1"/>
    <x v="9"/>
    <x v="57"/>
    <x v="0"/>
    <x v="14"/>
    <n v="938.44564324685803"/>
    <n v="342532.65978510299"/>
    <n v="1233117.57522637"/>
  </r>
  <r>
    <x v="0"/>
    <x v="0"/>
    <x v="0"/>
    <x v="7"/>
    <x v="11"/>
    <s v="NO1_A1"/>
    <x v="9"/>
    <x v="57"/>
    <x v="0"/>
    <x v="15"/>
    <n v="938.44564324685803"/>
    <n v="342532.65978510299"/>
    <n v="1233117.57522637"/>
  </r>
  <r>
    <x v="0"/>
    <x v="0"/>
    <x v="0"/>
    <x v="7"/>
    <x v="11"/>
    <s v="NO1_A1"/>
    <x v="9"/>
    <x v="57"/>
    <x v="0"/>
    <x v="16"/>
    <n v="938.44564324685803"/>
    <n v="342532.65978510299"/>
    <n v="1233117.57522637"/>
  </r>
  <r>
    <x v="0"/>
    <x v="0"/>
    <x v="0"/>
    <x v="7"/>
    <x v="11"/>
    <s v="NO1_A1"/>
    <x v="9"/>
    <x v="57"/>
    <x v="0"/>
    <x v="17"/>
    <n v="938.44564324685803"/>
    <n v="342532.65978510299"/>
    <n v="1233117.57522637"/>
  </r>
  <r>
    <x v="0"/>
    <x v="0"/>
    <x v="0"/>
    <x v="7"/>
    <x v="11"/>
    <s v="NO1_A1"/>
    <x v="9"/>
    <x v="57"/>
    <x v="0"/>
    <x v="18"/>
    <n v="938.44564324685803"/>
    <n v="342532.65978510299"/>
    <n v="1233117.57522637"/>
  </r>
  <r>
    <x v="0"/>
    <x v="0"/>
    <x v="0"/>
    <x v="7"/>
    <x v="11"/>
    <s v="NO1_A1"/>
    <x v="9"/>
    <x v="57"/>
    <x v="0"/>
    <x v="19"/>
    <n v="938.44564324685803"/>
    <n v="342532.65978510299"/>
    <n v="1233117.57522637"/>
  </r>
  <r>
    <x v="0"/>
    <x v="0"/>
    <x v="0"/>
    <x v="7"/>
    <x v="11"/>
    <s v="NO1_A1"/>
    <x v="9"/>
    <x v="57"/>
    <x v="0"/>
    <x v="20"/>
    <n v="938.44564324685803"/>
    <n v="342532.65978510299"/>
    <n v="1233117.57522637"/>
  </r>
  <r>
    <x v="0"/>
    <x v="0"/>
    <x v="0"/>
    <x v="7"/>
    <x v="11"/>
    <s v="NO1_A1"/>
    <x v="9"/>
    <x v="57"/>
    <x v="0"/>
    <x v="21"/>
    <n v="938.44564324685803"/>
    <n v="342532.65978510299"/>
    <n v="1233117.57522637"/>
  </r>
  <r>
    <x v="0"/>
    <x v="0"/>
    <x v="0"/>
    <x v="7"/>
    <x v="11"/>
    <s v="NO1_A1"/>
    <x v="9"/>
    <x v="57"/>
    <x v="0"/>
    <x v="22"/>
    <n v="938.44564324685803"/>
    <n v="342532.65978510299"/>
    <n v="1233117.57522637"/>
  </r>
  <r>
    <x v="0"/>
    <x v="0"/>
    <x v="0"/>
    <x v="7"/>
    <x v="11"/>
    <s v="NO1_A1"/>
    <x v="9"/>
    <x v="57"/>
    <x v="0"/>
    <x v="23"/>
    <n v="938.44564324685803"/>
    <n v="342532.65978510299"/>
    <n v="1233117.57522637"/>
  </r>
  <r>
    <x v="0"/>
    <x v="0"/>
    <x v="0"/>
    <x v="7"/>
    <x v="11"/>
    <s v="NO1_A1"/>
    <x v="6"/>
    <x v="115"/>
    <x v="0"/>
    <x v="0"/>
    <n v="45.611620572093599"/>
    <n v="16648.241508814099"/>
    <n v="59933.669431730901"/>
  </r>
  <r>
    <x v="0"/>
    <x v="0"/>
    <x v="0"/>
    <x v="7"/>
    <x v="11"/>
    <s v="NO1_A1"/>
    <x v="6"/>
    <x v="115"/>
    <x v="0"/>
    <x v="1"/>
    <n v="87.958827927536305"/>
    <n v="32104.9721935507"/>
    <n v="115577.899896783"/>
  </r>
  <r>
    <x v="0"/>
    <x v="0"/>
    <x v="0"/>
    <x v="7"/>
    <x v="11"/>
    <s v="NO1_A1"/>
    <x v="6"/>
    <x v="115"/>
    <x v="0"/>
    <x v="2"/>
    <n v="47.791352557889297"/>
    <n v="17443.843683629599"/>
    <n v="62797.837261066597"/>
  </r>
  <r>
    <x v="0"/>
    <x v="0"/>
    <x v="0"/>
    <x v="7"/>
    <x v="11"/>
    <s v="NO1_A1"/>
    <x v="6"/>
    <x v="115"/>
    <x v="0"/>
    <x v="3"/>
    <n v="50.848100914782698"/>
    <n v="18559.556833895698"/>
    <n v="66814.4046020245"/>
  </r>
  <r>
    <x v="0"/>
    <x v="0"/>
    <x v="0"/>
    <x v="7"/>
    <x v="11"/>
    <s v="NO1_A1"/>
    <x v="6"/>
    <x v="115"/>
    <x v="0"/>
    <x v="4"/>
    <n v="64.351076236717105"/>
    <n v="23488.142826401701"/>
    <n v="84557.314175046195"/>
  </r>
  <r>
    <x v="0"/>
    <x v="0"/>
    <x v="0"/>
    <x v="7"/>
    <x v="11"/>
    <s v="NO1_A1"/>
    <x v="6"/>
    <x v="115"/>
    <x v="0"/>
    <x v="5"/>
    <n v="70.8850583826151"/>
    <n v="25873.046309654499"/>
    <n v="93142.9667147562"/>
  </r>
  <r>
    <x v="0"/>
    <x v="0"/>
    <x v="0"/>
    <x v="7"/>
    <x v="11"/>
    <s v="NO1_A1"/>
    <x v="6"/>
    <x v="115"/>
    <x v="0"/>
    <x v="6"/>
    <n v="96.769177154889803"/>
    <n v="35320.749661534799"/>
    <n v="127154.698781525"/>
  </r>
  <r>
    <x v="0"/>
    <x v="0"/>
    <x v="0"/>
    <x v="7"/>
    <x v="11"/>
    <s v="NO1_A1"/>
    <x v="6"/>
    <x v="115"/>
    <x v="0"/>
    <x v="7"/>
    <n v="97.053333333333299"/>
    <n v="35424.466666666704"/>
    <n v="127528.08"/>
  </r>
  <r>
    <x v="0"/>
    <x v="0"/>
    <x v="0"/>
    <x v="7"/>
    <x v="11"/>
    <s v="NO1_A1"/>
    <x v="6"/>
    <x v="115"/>
    <x v="0"/>
    <x v="8"/>
    <n v="97.053333333333299"/>
    <n v="35424.466666666704"/>
    <n v="127528.08"/>
  </r>
  <r>
    <x v="0"/>
    <x v="0"/>
    <x v="0"/>
    <x v="7"/>
    <x v="11"/>
    <s v="NO1_A1"/>
    <x v="6"/>
    <x v="115"/>
    <x v="0"/>
    <x v="9"/>
    <n v="97.053333333333299"/>
    <n v="35424.466666666704"/>
    <n v="127528.08"/>
  </r>
  <r>
    <x v="0"/>
    <x v="0"/>
    <x v="0"/>
    <x v="7"/>
    <x v="11"/>
    <s v="NO1_A1"/>
    <x v="6"/>
    <x v="115"/>
    <x v="0"/>
    <x v="10"/>
    <n v="97.053333333333299"/>
    <n v="35424.466666666704"/>
    <n v="127528.08"/>
  </r>
  <r>
    <x v="0"/>
    <x v="0"/>
    <x v="0"/>
    <x v="7"/>
    <x v="11"/>
    <s v="NO1_A1"/>
    <x v="6"/>
    <x v="115"/>
    <x v="0"/>
    <x v="11"/>
    <n v="89.837872867805601"/>
    <n v="32790.823596749098"/>
    <n v="118046.964948297"/>
  </r>
  <r>
    <x v="0"/>
    <x v="0"/>
    <x v="0"/>
    <x v="7"/>
    <x v="11"/>
    <s v="NO1_A1"/>
    <x v="6"/>
    <x v="115"/>
    <x v="0"/>
    <x v="12"/>
    <n v="83.057066941316904"/>
    <n v="30315.8294335807"/>
    <n v="109136.98596089"/>
  </r>
  <r>
    <x v="0"/>
    <x v="0"/>
    <x v="0"/>
    <x v="7"/>
    <x v="11"/>
    <s v="NO1_A1"/>
    <x v="6"/>
    <x v="115"/>
    <x v="0"/>
    <x v="13"/>
    <n v="76.4181797199372"/>
    <n v="27892.635597777102"/>
    <n v="100413.48815199699"/>
  </r>
  <r>
    <x v="0"/>
    <x v="0"/>
    <x v="0"/>
    <x v="7"/>
    <x v="11"/>
    <s v="NO1_A1"/>
    <x v="6"/>
    <x v="115"/>
    <x v="0"/>
    <x v="14"/>
    <n v="72.325229328999299"/>
    <n v="26398.7087050847"/>
    <n v="95035.351338305103"/>
  </r>
  <r>
    <x v="0"/>
    <x v="0"/>
    <x v="0"/>
    <x v="7"/>
    <x v="11"/>
    <s v="NO1_A1"/>
    <x v="6"/>
    <x v="115"/>
    <x v="0"/>
    <x v="15"/>
    <n v="66.830627333038905"/>
    <n v="24393.1789765592"/>
    <n v="87815.444315613204"/>
  </r>
  <r>
    <x v="0"/>
    <x v="0"/>
    <x v="0"/>
    <x v="7"/>
    <x v="11"/>
    <s v="NO1_A1"/>
    <x v="6"/>
    <x v="115"/>
    <x v="0"/>
    <x v="16"/>
    <n v="59.268937768879397"/>
    <n v="21633.162285640999"/>
    <n v="77879.384228307506"/>
  </r>
  <r>
    <x v="0"/>
    <x v="0"/>
    <x v="0"/>
    <x v="7"/>
    <x v="11"/>
    <s v="NO1_A1"/>
    <x v="6"/>
    <x v="115"/>
    <x v="0"/>
    <x v="17"/>
    <n v="53.627459725309897"/>
    <n v="19574.022799738101"/>
    <n v="70466.482079057198"/>
  </r>
  <r>
    <x v="0"/>
    <x v="0"/>
    <x v="0"/>
    <x v="7"/>
    <x v="11"/>
    <s v="NO1_A1"/>
    <x v="6"/>
    <x v="115"/>
    <x v="0"/>
    <x v="18"/>
    <n v="49.729862697936902"/>
    <n v="18151.399884746999"/>
    <n v="65345.0395850891"/>
  </r>
  <r>
    <x v="0"/>
    <x v="0"/>
    <x v="0"/>
    <x v="7"/>
    <x v="11"/>
    <s v="NO1_A1"/>
    <x v="6"/>
    <x v="115"/>
    <x v="0"/>
    <x v="19"/>
    <n v="45.337530350697001"/>
    <n v="16548.198578004401"/>
    <n v="59573.514880815899"/>
  </r>
  <r>
    <x v="0"/>
    <x v="0"/>
    <x v="0"/>
    <x v="7"/>
    <x v="11"/>
    <s v="NO1_A1"/>
    <x v="6"/>
    <x v="115"/>
    <x v="0"/>
    <x v="20"/>
    <n v="39.069484253630101"/>
    <n v="14260.361752575"/>
    <n v="51337.302309270002"/>
  </r>
  <r>
    <x v="0"/>
    <x v="0"/>
    <x v="0"/>
    <x v="7"/>
    <x v="11"/>
    <s v="NO1_A1"/>
    <x v="6"/>
    <x v="115"/>
    <x v="0"/>
    <x v="21"/>
    <n v="34.583547316499399"/>
    <n v="12622.9947705223"/>
    <n v="45442.781173880197"/>
  </r>
  <r>
    <x v="0"/>
    <x v="0"/>
    <x v="0"/>
    <x v="7"/>
    <x v="11"/>
    <s v="NO1_A1"/>
    <x v="6"/>
    <x v="115"/>
    <x v="0"/>
    <x v="22"/>
    <n v="29.217409598593399"/>
    <n v="10664.3545034866"/>
    <n v="38391.6762125518"/>
  </r>
  <r>
    <x v="0"/>
    <x v="0"/>
    <x v="0"/>
    <x v="7"/>
    <x v="11"/>
    <s v="NO1_A1"/>
    <x v="6"/>
    <x v="115"/>
    <x v="0"/>
    <x v="23"/>
    <n v="29.736777003998899"/>
    <n v="10853.923606459601"/>
    <n v="39074.124983254602"/>
  </r>
  <r>
    <x v="0"/>
    <x v="0"/>
    <x v="0"/>
    <x v="7"/>
    <x v="11"/>
    <s v="NO1_A1"/>
    <x v="11"/>
    <x v="122"/>
    <x v="0"/>
    <x v="0"/>
    <n v="62.352941176470601"/>
    <n v="22758.823529411799"/>
    <n v="81931.764705882393"/>
  </r>
  <r>
    <x v="0"/>
    <x v="0"/>
    <x v="0"/>
    <x v="7"/>
    <x v="11"/>
    <s v="NO1_A1"/>
    <x v="11"/>
    <x v="122"/>
    <x v="0"/>
    <x v="1"/>
    <n v="62.352941176470601"/>
    <n v="22758.823529411799"/>
    <n v="81931.764705882393"/>
  </r>
  <r>
    <x v="0"/>
    <x v="0"/>
    <x v="0"/>
    <x v="7"/>
    <x v="11"/>
    <s v="NO1_A1"/>
    <x v="11"/>
    <x v="122"/>
    <x v="0"/>
    <x v="2"/>
    <n v="62.352941176470601"/>
    <n v="22758.823529411799"/>
    <n v="81931.764705882393"/>
  </r>
  <r>
    <x v="0"/>
    <x v="0"/>
    <x v="0"/>
    <x v="7"/>
    <x v="11"/>
    <s v="NO1_A1"/>
    <x v="11"/>
    <x v="122"/>
    <x v="0"/>
    <x v="3"/>
    <n v="62.352941176470601"/>
    <n v="22758.823529411799"/>
    <n v="81931.764705882393"/>
  </r>
  <r>
    <x v="0"/>
    <x v="0"/>
    <x v="0"/>
    <x v="7"/>
    <x v="11"/>
    <s v="NO1_A1"/>
    <x v="11"/>
    <x v="122"/>
    <x v="0"/>
    <x v="4"/>
    <n v="62.352941176470601"/>
    <n v="22758.823529411799"/>
    <n v="81931.764705882393"/>
  </r>
  <r>
    <x v="0"/>
    <x v="0"/>
    <x v="0"/>
    <x v="7"/>
    <x v="11"/>
    <s v="NO1_A1"/>
    <x v="11"/>
    <x v="122"/>
    <x v="0"/>
    <x v="5"/>
    <n v="62.352941176470601"/>
    <n v="22758.823529411799"/>
    <n v="81931.764705882393"/>
  </r>
  <r>
    <x v="0"/>
    <x v="0"/>
    <x v="0"/>
    <x v="7"/>
    <x v="11"/>
    <s v="NO1_A1"/>
    <x v="11"/>
    <x v="122"/>
    <x v="0"/>
    <x v="6"/>
    <n v="62.352941176470601"/>
    <n v="22758.823529411799"/>
    <n v="81931.764705882393"/>
  </r>
  <r>
    <x v="0"/>
    <x v="0"/>
    <x v="0"/>
    <x v="7"/>
    <x v="11"/>
    <s v="NO1_A1"/>
    <x v="11"/>
    <x v="122"/>
    <x v="0"/>
    <x v="7"/>
    <n v="62.352941176470601"/>
    <n v="22758.823529411799"/>
    <n v="81931.764705882393"/>
  </r>
  <r>
    <x v="0"/>
    <x v="0"/>
    <x v="0"/>
    <x v="7"/>
    <x v="11"/>
    <s v="NO1_A1"/>
    <x v="11"/>
    <x v="122"/>
    <x v="0"/>
    <x v="8"/>
    <n v="62.352941176470601"/>
    <n v="22758.823529411799"/>
    <n v="81931.764705882393"/>
  </r>
  <r>
    <x v="0"/>
    <x v="0"/>
    <x v="0"/>
    <x v="7"/>
    <x v="11"/>
    <s v="NO1_A1"/>
    <x v="11"/>
    <x v="122"/>
    <x v="0"/>
    <x v="9"/>
    <n v="62.352941176470601"/>
    <n v="22758.823529411799"/>
    <n v="81931.764705882393"/>
  </r>
  <r>
    <x v="0"/>
    <x v="0"/>
    <x v="0"/>
    <x v="7"/>
    <x v="11"/>
    <s v="NO1_A1"/>
    <x v="11"/>
    <x v="122"/>
    <x v="0"/>
    <x v="10"/>
    <n v="62.352941176470601"/>
    <n v="22758.823529411799"/>
    <n v="81931.764705882393"/>
  </r>
  <r>
    <x v="0"/>
    <x v="0"/>
    <x v="0"/>
    <x v="7"/>
    <x v="11"/>
    <s v="NO1_A1"/>
    <x v="11"/>
    <x v="122"/>
    <x v="0"/>
    <x v="11"/>
    <n v="62.352941176470601"/>
    <n v="22758.823529411799"/>
    <n v="81931.764705882393"/>
  </r>
  <r>
    <x v="0"/>
    <x v="0"/>
    <x v="0"/>
    <x v="7"/>
    <x v="11"/>
    <s v="NO1_A1"/>
    <x v="11"/>
    <x v="122"/>
    <x v="0"/>
    <x v="12"/>
    <n v="62.352941176470601"/>
    <n v="22758.823529411799"/>
    <n v="81931.764705882393"/>
  </r>
  <r>
    <x v="0"/>
    <x v="0"/>
    <x v="0"/>
    <x v="7"/>
    <x v="11"/>
    <s v="NO1_A1"/>
    <x v="11"/>
    <x v="122"/>
    <x v="0"/>
    <x v="13"/>
    <n v="62.352941176470601"/>
    <n v="22758.823529411799"/>
    <n v="81931.764705882393"/>
  </r>
  <r>
    <x v="0"/>
    <x v="0"/>
    <x v="0"/>
    <x v="7"/>
    <x v="11"/>
    <s v="NO1_A1"/>
    <x v="11"/>
    <x v="122"/>
    <x v="0"/>
    <x v="14"/>
    <n v="62.352941176470601"/>
    <n v="22758.823529411799"/>
    <n v="81931.764705882393"/>
  </r>
  <r>
    <x v="0"/>
    <x v="0"/>
    <x v="0"/>
    <x v="7"/>
    <x v="11"/>
    <s v="NO1_A1"/>
    <x v="11"/>
    <x v="122"/>
    <x v="0"/>
    <x v="15"/>
    <n v="62.352941176470601"/>
    <n v="22758.823529411799"/>
    <n v="81931.764705882393"/>
  </r>
  <r>
    <x v="0"/>
    <x v="0"/>
    <x v="0"/>
    <x v="7"/>
    <x v="11"/>
    <s v="NO1_A1"/>
    <x v="11"/>
    <x v="122"/>
    <x v="0"/>
    <x v="16"/>
    <n v="62.352941176470601"/>
    <n v="22758.823529411799"/>
    <n v="81931.764705882393"/>
  </r>
  <r>
    <x v="0"/>
    <x v="0"/>
    <x v="0"/>
    <x v="7"/>
    <x v="11"/>
    <s v="NO1_A1"/>
    <x v="11"/>
    <x v="122"/>
    <x v="0"/>
    <x v="17"/>
    <n v="62.352941176470601"/>
    <n v="22758.823529411799"/>
    <n v="81931.764705882393"/>
  </r>
  <r>
    <x v="0"/>
    <x v="0"/>
    <x v="0"/>
    <x v="7"/>
    <x v="11"/>
    <s v="NO1_A1"/>
    <x v="11"/>
    <x v="122"/>
    <x v="0"/>
    <x v="18"/>
    <n v="62.352941176470601"/>
    <n v="22758.823529411799"/>
    <n v="81931.764705882393"/>
  </r>
  <r>
    <x v="0"/>
    <x v="0"/>
    <x v="0"/>
    <x v="7"/>
    <x v="11"/>
    <s v="NO1_A1"/>
    <x v="11"/>
    <x v="122"/>
    <x v="0"/>
    <x v="19"/>
    <n v="62.352941176470601"/>
    <n v="22758.823529411799"/>
    <n v="81931.764705882393"/>
  </r>
  <r>
    <x v="0"/>
    <x v="0"/>
    <x v="0"/>
    <x v="7"/>
    <x v="11"/>
    <s v="NO1_A1"/>
    <x v="11"/>
    <x v="122"/>
    <x v="0"/>
    <x v="20"/>
    <n v="62.352941176470601"/>
    <n v="22758.823529411799"/>
    <n v="81931.764705882393"/>
  </r>
  <r>
    <x v="0"/>
    <x v="0"/>
    <x v="0"/>
    <x v="7"/>
    <x v="11"/>
    <s v="NO1_A1"/>
    <x v="11"/>
    <x v="122"/>
    <x v="0"/>
    <x v="21"/>
    <n v="62.352941176470601"/>
    <n v="22758.823529411799"/>
    <n v="81931.764705882393"/>
  </r>
  <r>
    <x v="0"/>
    <x v="0"/>
    <x v="0"/>
    <x v="7"/>
    <x v="11"/>
    <s v="NO1_A1"/>
    <x v="11"/>
    <x v="122"/>
    <x v="0"/>
    <x v="22"/>
    <n v="62.352941176470601"/>
    <n v="22758.823529411799"/>
    <n v="81931.764705882393"/>
  </r>
  <r>
    <x v="0"/>
    <x v="0"/>
    <x v="0"/>
    <x v="7"/>
    <x v="11"/>
    <s v="NO1_A1"/>
    <x v="11"/>
    <x v="122"/>
    <x v="0"/>
    <x v="23"/>
    <n v="62.352941176470601"/>
    <n v="22758.823529411799"/>
    <n v="81931.764705882393"/>
  </r>
  <r>
    <x v="0"/>
    <x v="0"/>
    <x v="0"/>
    <x v="7"/>
    <x v="11"/>
    <s v="NO1_A2"/>
    <x v="1"/>
    <x v="177"/>
    <x v="0"/>
    <x v="0"/>
    <n v="19.393183662803601"/>
    <n v="7078.5120369233"/>
    <n v="25482.643332923901"/>
  </r>
  <r>
    <x v="0"/>
    <x v="0"/>
    <x v="0"/>
    <x v="7"/>
    <x v="11"/>
    <s v="NO1_A2"/>
    <x v="1"/>
    <x v="177"/>
    <x v="0"/>
    <x v="1"/>
    <n v="20.722677485001999"/>
    <n v="7563.7772820257196"/>
    <n v="27229.598215292601"/>
  </r>
  <r>
    <x v="0"/>
    <x v="0"/>
    <x v="0"/>
    <x v="7"/>
    <x v="11"/>
    <s v="NO1_A2"/>
    <x v="1"/>
    <x v="177"/>
    <x v="0"/>
    <x v="2"/>
    <n v="23.082569866129099"/>
    <n v="8425.1380011371293"/>
    <n v="30330.496804093698"/>
  </r>
  <r>
    <x v="0"/>
    <x v="0"/>
    <x v="0"/>
    <x v="7"/>
    <x v="11"/>
    <s v="NO1_A2"/>
    <x v="1"/>
    <x v="177"/>
    <x v="0"/>
    <x v="3"/>
    <n v="32.701270284697898"/>
    <n v="11935.9636539147"/>
    <n v="42969.469154093"/>
  </r>
  <r>
    <x v="0"/>
    <x v="0"/>
    <x v="0"/>
    <x v="7"/>
    <x v="11"/>
    <s v="NO1_A2"/>
    <x v="1"/>
    <x v="177"/>
    <x v="0"/>
    <x v="4"/>
    <n v="47.994321519964501"/>
    <n v="17517.927354787"/>
    <n v="63064.538477233298"/>
  </r>
  <r>
    <x v="0"/>
    <x v="0"/>
    <x v="0"/>
    <x v="7"/>
    <x v="11"/>
    <s v="NO1_A2"/>
    <x v="1"/>
    <x v="177"/>
    <x v="0"/>
    <x v="5"/>
    <n v="62.920157104308103"/>
    <n v="22965.857343072399"/>
    <n v="82677.086435060803"/>
  </r>
  <r>
    <x v="0"/>
    <x v="0"/>
    <x v="0"/>
    <x v="7"/>
    <x v="11"/>
    <s v="NO1_A2"/>
    <x v="1"/>
    <x v="177"/>
    <x v="0"/>
    <x v="6"/>
    <n v="100.72989577356699"/>
    <n v="36766.411957352"/>
    <n v="132359.08304646701"/>
  </r>
  <r>
    <x v="0"/>
    <x v="0"/>
    <x v="0"/>
    <x v="7"/>
    <x v="11"/>
    <s v="NO1_A2"/>
    <x v="1"/>
    <x v="177"/>
    <x v="0"/>
    <x v="7"/>
    <n v="127.01566479143"/>
    <n v="46360.717648872102"/>
    <n v="166898.58353593899"/>
  </r>
  <r>
    <x v="0"/>
    <x v="0"/>
    <x v="0"/>
    <x v="7"/>
    <x v="11"/>
    <s v="NO1_A2"/>
    <x v="1"/>
    <x v="177"/>
    <x v="0"/>
    <x v="8"/>
    <n v="127.751720366291"/>
    <n v="46629.377933696203"/>
    <n v="167865.760561306"/>
  </r>
  <r>
    <x v="0"/>
    <x v="0"/>
    <x v="0"/>
    <x v="7"/>
    <x v="11"/>
    <s v="NO1_A2"/>
    <x v="1"/>
    <x v="177"/>
    <x v="0"/>
    <x v="9"/>
    <n v="120.67695958769799"/>
    <n v="44047.090249509703"/>
    <n v="158569.52489823499"/>
  </r>
  <r>
    <x v="0"/>
    <x v="0"/>
    <x v="0"/>
    <x v="7"/>
    <x v="11"/>
    <s v="NO1_A2"/>
    <x v="1"/>
    <x v="177"/>
    <x v="0"/>
    <x v="10"/>
    <n v="109.637394640594"/>
    <n v="40017.649043816898"/>
    <n v="144063.536557741"/>
  </r>
  <r>
    <x v="0"/>
    <x v="0"/>
    <x v="0"/>
    <x v="7"/>
    <x v="11"/>
    <s v="NO1_A2"/>
    <x v="1"/>
    <x v="177"/>
    <x v="0"/>
    <x v="11"/>
    <n v="101.827653503946"/>
    <n v="37167.093528940299"/>
    <n v="133801.53670418501"/>
  </r>
  <r>
    <x v="0"/>
    <x v="0"/>
    <x v="0"/>
    <x v="7"/>
    <x v="11"/>
    <s v="NO1_A2"/>
    <x v="1"/>
    <x v="177"/>
    <x v="0"/>
    <x v="12"/>
    <n v="94.629758153880701"/>
    <n v="34539.861726166499"/>
    <n v="124343.502214199"/>
  </r>
  <r>
    <x v="0"/>
    <x v="0"/>
    <x v="0"/>
    <x v="7"/>
    <x v="11"/>
    <s v="NO1_A2"/>
    <x v="1"/>
    <x v="177"/>
    <x v="0"/>
    <x v="13"/>
    <n v="89.6672263984251"/>
    <n v="32728.5376354252"/>
    <n v="117822.735487531"/>
  </r>
  <r>
    <x v="0"/>
    <x v="0"/>
    <x v="0"/>
    <x v="7"/>
    <x v="11"/>
    <s v="NO1_A2"/>
    <x v="1"/>
    <x v="177"/>
    <x v="0"/>
    <x v="14"/>
    <n v="83.277335119516195"/>
    <n v="30396.227318623402"/>
    <n v="109426.418347044"/>
  </r>
  <r>
    <x v="0"/>
    <x v="0"/>
    <x v="0"/>
    <x v="7"/>
    <x v="11"/>
    <s v="NO1_A2"/>
    <x v="1"/>
    <x v="177"/>
    <x v="0"/>
    <x v="15"/>
    <n v="77.371413126572904"/>
    <n v="28240.5657911991"/>
    <n v="101666.036848317"/>
  </r>
  <r>
    <x v="0"/>
    <x v="0"/>
    <x v="0"/>
    <x v="7"/>
    <x v="11"/>
    <s v="NO1_A2"/>
    <x v="1"/>
    <x v="177"/>
    <x v="0"/>
    <x v="16"/>
    <n v="58.8931265531143"/>
    <n v="21495.9911918867"/>
    <n v="77385.568290792202"/>
  </r>
  <r>
    <x v="0"/>
    <x v="0"/>
    <x v="0"/>
    <x v="7"/>
    <x v="11"/>
    <s v="NO1_A2"/>
    <x v="1"/>
    <x v="177"/>
    <x v="0"/>
    <x v="17"/>
    <n v="44.558846467353"/>
    <n v="16263.9789605839"/>
    <n v="58550.3242581019"/>
  </r>
  <r>
    <x v="0"/>
    <x v="0"/>
    <x v="0"/>
    <x v="7"/>
    <x v="11"/>
    <s v="NO1_A2"/>
    <x v="1"/>
    <x v="177"/>
    <x v="0"/>
    <x v="18"/>
    <n v="35.446953803082799"/>
    <n v="12938.138138125199"/>
    <n v="46577.2972972508"/>
  </r>
  <r>
    <x v="0"/>
    <x v="0"/>
    <x v="0"/>
    <x v="7"/>
    <x v="11"/>
    <s v="NO1_A2"/>
    <x v="1"/>
    <x v="177"/>
    <x v="0"/>
    <x v="19"/>
    <n v="26.4874645181925"/>
    <n v="9667.9245491402598"/>
    <n v="34804.528376904898"/>
  </r>
  <r>
    <x v="0"/>
    <x v="0"/>
    <x v="0"/>
    <x v="7"/>
    <x v="11"/>
    <s v="NO1_A2"/>
    <x v="1"/>
    <x v="177"/>
    <x v="0"/>
    <x v="20"/>
    <n v="19.717715272446299"/>
    <n v="7196.9660744429102"/>
    <n v="25909.0778679945"/>
  </r>
  <r>
    <x v="0"/>
    <x v="0"/>
    <x v="0"/>
    <x v="7"/>
    <x v="11"/>
    <s v="NO1_A2"/>
    <x v="1"/>
    <x v="177"/>
    <x v="0"/>
    <x v="21"/>
    <n v="12.645368662669799"/>
    <n v="4615.5595618744901"/>
    <n v="16616.014422748201"/>
  </r>
  <r>
    <x v="0"/>
    <x v="0"/>
    <x v="0"/>
    <x v="7"/>
    <x v="11"/>
    <s v="NO1_A2"/>
    <x v="1"/>
    <x v="177"/>
    <x v="0"/>
    <x v="22"/>
    <n v="5.1550237995497898"/>
    <n v="1881.5836868356701"/>
    <n v="6773.7012726084304"/>
  </r>
  <r>
    <x v="0"/>
    <x v="0"/>
    <x v="0"/>
    <x v="7"/>
    <x v="11"/>
    <s v="NO1_A2"/>
    <x v="1"/>
    <x v="177"/>
    <x v="0"/>
    <x v="23"/>
    <n v="1.1962865419739599"/>
    <n v="436.644587820494"/>
    <n v="1571.92051615378"/>
  </r>
  <r>
    <x v="0"/>
    <x v="0"/>
    <x v="0"/>
    <x v="7"/>
    <x v="11"/>
    <s v="NO1_A2"/>
    <x v="2"/>
    <x v="175"/>
    <x v="0"/>
    <x v="0"/>
    <n v="52.086977299879898"/>
    <n v="19011.7467144562"/>
    <n v="68442.288172042201"/>
  </r>
  <r>
    <x v="0"/>
    <x v="0"/>
    <x v="0"/>
    <x v="7"/>
    <x v="11"/>
    <s v="NO1_A2"/>
    <x v="2"/>
    <x v="175"/>
    <x v="0"/>
    <x v="1"/>
    <n v="52.086977299879898"/>
    <n v="19011.7467144562"/>
    <n v="68442.288172042201"/>
  </r>
  <r>
    <x v="0"/>
    <x v="0"/>
    <x v="0"/>
    <x v="7"/>
    <x v="11"/>
    <s v="NO1_A2"/>
    <x v="2"/>
    <x v="175"/>
    <x v="0"/>
    <x v="2"/>
    <n v="52.086977299879898"/>
    <n v="19011.7467144562"/>
    <n v="68442.288172042201"/>
  </r>
  <r>
    <x v="0"/>
    <x v="0"/>
    <x v="0"/>
    <x v="7"/>
    <x v="11"/>
    <s v="NO1_A2"/>
    <x v="2"/>
    <x v="175"/>
    <x v="0"/>
    <x v="3"/>
    <n v="52.086977299879898"/>
    <n v="19011.7467144562"/>
    <n v="68442.288172042201"/>
  </r>
  <r>
    <x v="0"/>
    <x v="0"/>
    <x v="0"/>
    <x v="7"/>
    <x v="11"/>
    <s v="NO1_A2"/>
    <x v="2"/>
    <x v="175"/>
    <x v="0"/>
    <x v="4"/>
    <n v="52.086977299879898"/>
    <n v="19011.7467144562"/>
    <n v="68442.288172042201"/>
  </r>
  <r>
    <x v="0"/>
    <x v="0"/>
    <x v="0"/>
    <x v="7"/>
    <x v="11"/>
    <s v="NO1_A2"/>
    <x v="2"/>
    <x v="175"/>
    <x v="0"/>
    <x v="5"/>
    <n v="52.086977299879898"/>
    <n v="19011.7467144562"/>
    <n v="68442.288172042201"/>
  </r>
  <r>
    <x v="0"/>
    <x v="0"/>
    <x v="0"/>
    <x v="7"/>
    <x v="11"/>
    <s v="NO1_A2"/>
    <x v="2"/>
    <x v="175"/>
    <x v="0"/>
    <x v="6"/>
    <n v="52.086977299879898"/>
    <n v="19011.7467144562"/>
    <n v="68442.288172042201"/>
  </r>
  <r>
    <x v="0"/>
    <x v="0"/>
    <x v="0"/>
    <x v="7"/>
    <x v="11"/>
    <s v="NO1_A2"/>
    <x v="2"/>
    <x v="175"/>
    <x v="0"/>
    <x v="7"/>
    <n v="52.086977299879898"/>
    <n v="19011.7467144562"/>
    <n v="68442.288172042201"/>
  </r>
  <r>
    <x v="0"/>
    <x v="0"/>
    <x v="0"/>
    <x v="7"/>
    <x v="11"/>
    <s v="NO1_A2"/>
    <x v="2"/>
    <x v="175"/>
    <x v="0"/>
    <x v="8"/>
    <n v="52.086977299879898"/>
    <n v="19011.7467144562"/>
    <n v="68442.288172042201"/>
  </r>
  <r>
    <x v="0"/>
    <x v="0"/>
    <x v="0"/>
    <x v="7"/>
    <x v="11"/>
    <s v="NO1_A2"/>
    <x v="2"/>
    <x v="175"/>
    <x v="0"/>
    <x v="9"/>
    <n v="52.086977299879898"/>
    <n v="19011.7467144562"/>
    <n v="68442.288172042201"/>
  </r>
  <r>
    <x v="0"/>
    <x v="0"/>
    <x v="0"/>
    <x v="7"/>
    <x v="11"/>
    <s v="NO1_A2"/>
    <x v="2"/>
    <x v="175"/>
    <x v="0"/>
    <x v="10"/>
    <n v="52.086977299879898"/>
    <n v="19011.7467144562"/>
    <n v="68442.288172042201"/>
  </r>
  <r>
    <x v="0"/>
    <x v="0"/>
    <x v="0"/>
    <x v="7"/>
    <x v="11"/>
    <s v="NO1_A2"/>
    <x v="2"/>
    <x v="175"/>
    <x v="0"/>
    <x v="11"/>
    <n v="52.086977299879898"/>
    <n v="19011.7467144562"/>
    <n v="68442.288172042201"/>
  </r>
  <r>
    <x v="0"/>
    <x v="0"/>
    <x v="0"/>
    <x v="7"/>
    <x v="11"/>
    <s v="NO1_A2"/>
    <x v="2"/>
    <x v="175"/>
    <x v="0"/>
    <x v="12"/>
    <n v="52.086977299879898"/>
    <n v="19011.7467144562"/>
    <n v="68442.288172042201"/>
  </r>
  <r>
    <x v="0"/>
    <x v="0"/>
    <x v="0"/>
    <x v="7"/>
    <x v="11"/>
    <s v="NO1_A2"/>
    <x v="2"/>
    <x v="175"/>
    <x v="0"/>
    <x v="13"/>
    <n v="52.086977299879898"/>
    <n v="19011.7467144562"/>
    <n v="68442.288172042201"/>
  </r>
  <r>
    <x v="0"/>
    <x v="0"/>
    <x v="0"/>
    <x v="7"/>
    <x v="11"/>
    <s v="NO1_A2"/>
    <x v="2"/>
    <x v="175"/>
    <x v="0"/>
    <x v="14"/>
    <n v="52.086977299879898"/>
    <n v="19011.7467144562"/>
    <n v="68442.288172042201"/>
  </r>
  <r>
    <x v="0"/>
    <x v="0"/>
    <x v="0"/>
    <x v="7"/>
    <x v="11"/>
    <s v="NO1_A2"/>
    <x v="2"/>
    <x v="175"/>
    <x v="0"/>
    <x v="15"/>
    <n v="52.086977299879898"/>
    <n v="19011.7467144562"/>
    <n v="68442.288172042201"/>
  </r>
  <r>
    <x v="0"/>
    <x v="0"/>
    <x v="0"/>
    <x v="7"/>
    <x v="11"/>
    <s v="NO1_A2"/>
    <x v="2"/>
    <x v="175"/>
    <x v="0"/>
    <x v="16"/>
    <n v="52.086977299879898"/>
    <n v="19011.7467144562"/>
    <n v="68442.288172042201"/>
  </r>
  <r>
    <x v="0"/>
    <x v="0"/>
    <x v="0"/>
    <x v="7"/>
    <x v="11"/>
    <s v="NO1_A2"/>
    <x v="2"/>
    <x v="175"/>
    <x v="0"/>
    <x v="17"/>
    <n v="52.086977299879898"/>
    <n v="19011.7467144562"/>
    <n v="68442.288172042201"/>
  </r>
  <r>
    <x v="0"/>
    <x v="0"/>
    <x v="0"/>
    <x v="7"/>
    <x v="11"/>
    <s v="NO1_A2"/>
    <x v="2"/>
    <x v="175"/>
    <x v="0"/>
    <x v="18"/>
    <n v="52.086977299879898"/>
    <n v="19011.7467144562"/>
    <n v="68442.288172042201"/>
  </r>
  <r>
    <x v="0"/>
    <x v="0"/>
    <x v="0"/>
    <x v="7"/>
    <x v="11"/>
    <s v="NO1_A2"/>
    <x v="2"/>
    <x v="175"/>
    <x v="0"/>
    <x v="19"/>
    <n v="52.086977299879898"/>
    <n v="19011.7467144562"/>
    <n v="68442.288172042201"/>
  </r>
  <r>
    <x v="0"/>
    <x v="0"/>
    <x v="0"/>
    <x v="7"/>
    <x v="11"/>
    <s v="NO1_A2"/>
    <x v="2"/>
    <x v="175"/>
    <x v="0"/>
    <x v="20"/>
    <n v="52.086977299879898"/>
    <n v="19011.7467144562"/>
    <n v="68442.288172042201"/>
  </r>
  <r>
    <x v="0"/>
    <x v="0"/>
    <x v="0"/>
    <x v="7"/>
    <x v="11"/>
    <s v="NO1_A2"/>
    <x v="2"/>
    <x v="175"/>
    <x v="0"/>
    <x v="21"/>
    <n v="52.086977299879898"/>
    <n v="19011.7467144562"/>
    <n v="68442.288172042201"/>
  </r>
  <r>
    <x v="0"/>
    <x v="0"/>
    <x v="0"/>
    <x v="7"/>
    <x v="11"/>
    <s v="NO1_A2"/>
    <x v="2"/>
    <x v="175"/>
    <x v="0"/>
    <x v="22"/>
    <n v="52.086977299879898"/>
    <n v="19011.7467144562"/>
    <n v="68442.288172042201"/>
  </r>
  <r>
    <x v="0"/>
    <x v="0"/>
    <x v="0"/>
    <x v="7"/>
    <x v="11"/>
    <s v="NO1_A2"/>
    <x v="2"/>
    <x v="175"/>
    <x v="0"/>
    <x v="23"/>
    <n v="52.086977299879898"/>
    <n v="19011.7467144562"/>
    <n v="68442.288172042201"/>
  </r>
  <r>
    <x v="0"/>
    <x v="0"/>
    <x v="0"/>
    <x v="7"/>
    <x v="11"/>
    <s v="NO1_A2"/>
    <x v="2"/>
    <x v="176"/>
    <x v="0"/>
    <x v="0"/>
    <n v="37.647058823529399"/>
    <n v="13741.1764705882"/>
    <n v="49468.235294117701"/>
  </r>
  <r>
    <x v="0"/>
    <x v="0"/>
    <x v="0"/>
    <x v="7"/>
    <x v="11"/>
    <s v="NO1_A2"/>
    <x v="2"/>
    <x v="176"/>
    <x v="0"/>
    <x v="1"/>
    <n v="37.647058823529399"/>
    <n v="13741.1764705882"/>
    <n v="49468.235294117701"/>
  </r>
  <r>
    <x v="0"/>
    <x v="0"/>
    <x v="0"/>
    <x v="7"/>
    <x v="11"/>
    <s v="NO1_A2"/>
    <x v="2"/>
    <x v="176"/>
    <x v="0"/>
    <x v="2"/>
    <n v="37.647058823529399"/>
    <n v="13741.1764705882"/>
    <n v="49468.235294117701"/>
  </r>
  <r>
    <x v="0"/>
    <x v="0"/>
    <x v="0"/>
    <x v="7"/>
    <x v="11"/>
    <s v="NO1_A2"/>
    <x v="2"/>
    <x v="176"/>
    <x v="0"/>
    <x v="3"/>
    <n v="37.647058823529399"/>
    <n v="13741.1764705882"/>
    <n v="49468.235294117701"/>
  </r>
  <r>
    <x v="0"/>
    <x v="0"/>
    <x v="0"/>
    <x v="7"/>
    <x v="11"/>
    <s v="NO1_A2"/>
    <x v="2"/>
    <x v="176"/>
    <x v="0"/>
    <x v="4"/>
    <n v="37.647058823529399"/>
    <n v="13741.1764705882"/>
    <n v="49468.235294117701"/>
  </r>
  <r>
    <x v="0"/>
    <x v="0"/>
    <x v="0"/>
    <x v="7"/>
    <x v="11"/>
    <s v="NO1_A2"/>
    <x v="2"/>
    <x v="176"/>
    <x v="0"/>
    <x v="5"/>
    <n v="37.647058823529399"/>
    <n v="13741.1764705882"/>
    <n v="49468.235294117701"/>
  </r>
  <r>
    <x v="0"/>
    <x v="0"/>
    <x v="0"/>
    <x v="7"/>
    <x v="11"/>
    <s v="NO1_A2"/>
    <x v="2"/>
    <x v="176"/>
    <x v="0"/>
    <x v="6"/>
    <n v="37.647058823529399"/>
    <n v="13741.1764705882"/>
    <n v="49468.235294117701"/>
  </r>
  <r>
    <x v="0"/>
    <x v="0"/>
    <x v="0"/>
    <x v="7"/>
    <x v="11"/>
    <s v="NO1_A2"/>
    <x v="2"/>
    <x v="176"/>
    <x v="0"/>
    <x v="7"/>
    <n v="37.647058823529399"/>
    <n v="13741.1764705882"/>
    <n v="49468.235294117701"/>
  </r>
  <r>
    <x v="0"/>
    <x v="0"/>
    <x v="0"/>
    <x v="7"/>
    <x v="11"/>
    <s v="NO1_A2"/>
    <x v="2"/>
    <x v="176"/>
    <x v="0"/>
    <x v="8"/>
    <n v="37.647058823529399"/>
    <n v="13741.1764705882"/>
    <n v="49468.235294117701"/>
  </r>
  <r>
    <x v="0"/>
    <x v="0"/>
    <x v="0"/>
    <x v="7"/>
    <x v="11"/>
    <s v="NO1_A2"/>
    <x v="2"/>
    <x v="176"/>
    <x v="0"/>
    <x v="9"/>
    <n v="37.647058823529399"/>
    <n v="13741.1764705882"/>
    <n v="49468.235294117701"/>
  </r>
  <r>
    <x v="0"/>
    <x v="0"/>
    <x v="0"/>
    <x v="7"/>
    <x v="11"/>
    <s v="NO1_A2"/>
    <x v="2"/>
    <x v="176"/>
    <x v="0"/>
    <x v="10"/>
    <n v="37.647058823529399"/>
    <n v="13741.1764705882"/>
    <n v="49468.235294117701"/>
  </r>
  <r>
    <x v="0"/>
    <x v="0"/>
    <x v="0"/>
    <x v="7"/>
    <x v="11"/>
    <s v="NO1_A2"/>
    <x v="2"/>
    <x v="176"/>
    <x v="0"/>
    <x v="11"/>
    <n v="37.647058823529399"/>
    <n v="13741.1764705882"/>
    <n v="49468.235294117701"/>
  </r>
  <r>
    <x v="0"/>
    <x v="0"/>
    <x v="0"/>
    <x v="7"/>
    <x v="11"/>
    <s v="NO1_A2"/>
    <x v="2"/>
    <x v="176"/>
    <x v="0"/>
    <x v="12"/>
    <n v="37.647058823529399"/>
    <n v="13741.1764705882"/>
    <n v="49468.235294117701"/>
  </r>
  <r>
    <x v="0"/>
    <x v="0"/>
    <x v="0"/>
    <x v="7"/>
    <x v="11"/>
    <s v="NO1_A2"/>
    <x v="2"/>
    <x v="176"/>
    <x v="0"/>
    <x v="13"/>
    <n v="37.647058823529399"/>
    <n v="13741.1764705882"/>
    <n v="49468.235294117701"/>
  </r>
  <r>
    <x v="0"/>
    <x v="0"/>
    <x v="0"/>
    <x v="7"/>
    <x v="11"/>
    <s v="NO1_A2"/>
    <x v="2"/>
    <x v="176"/>
    <x v="0"/>
    <x v="14"/>
    <n v="37.647058823529399"/>
    <n v="13741.1764705882"/>
    <n v="49468.235294117701"/>
  </r>
  <r>
    <x v="0"/>
    <x v="0"/>
    <x v="0"/>
    <x v="7"/>
    <x v="11"/>
    <s v="NO1_A2"/>
    <x v="2"/>
    <x v="176"/>
    <x v="0"/>
    <x v="15"/>
    <n v="37.647058823529399"/>
    <n v="13741.1764705882"/>
    <n v="49468.235294117701"/>
  </r>
  <r>
    <x v="0"/>
    <x v="0"/>
    <x v="0"/>
    <x v="7"/>
    <x v="11"/>
    <s v="NO1_A2"/>
    <x v="2"/>
    <x v="176"/>
    <x v="0"/>
    <x v="16"/>
    <n v="37.647058823529399"/>
    <n v="13741.1764705882"/>
    <n v="49468.235294117701"/>
  </r>
  <r>
    <x v="0"/>
    <x v="0"/>
    <x v="0"/>
    <x v="7"/>
    <x v="11"/>
    <s v="NO1_A2"/>
    <x v="2"/>
    <x v="176"/>
    <x v="0"/>
    <x v="17"/>
    <n v="37.647058823529399"/>
    <n v="13741.1764705882"/>
    <n v="49468.235294117701"/>
  </r>
  <r>
    <x v="0"/>
    <x v="0"/>
    <x v="0"/>
    <x v="7"/>
    <x v="11"/>
    <s v="NO1_A2"/>
    <x v="2"/>
    <x v="176"/>
    <x v="0"/>
    <x v="18"/>
    <n v="37.647058823529399"/>
    <n v="13741.1764705882"/>
    <n v="49468.235294117701"/>
  </r>
  <r>
    <x v="0"/>
    <x v="0"/>
    <x v="0"/>
    <x v="7"/>
    <x v="11"/>
    <s v="NO1_A2"/>
    <x v="2"/>
    <x v="176"/>
    <x v="0"/>
    <x v="19"/>
    <n v="37.647058823529399"/>
    <n v="13741.1764705882"/>
    <n v="49468.235294117701"/>
  </r>
  <r>
    <x v="0"/>
    <x v="0"/>
    <x v="0"/>
    <x v="7"/>
    <x v="11"/>
    <s v="NO1_A2"/>
    <x v="2"/>
    <x v="176"/>
    <x v="0"/>
    <x v="20"/>
    <n v="37.647058823529399"/>
    <n v="13741.1764705882"/>
    <n v="49468.235294117701"/>
  </r>
  <r>
    <x v="0"/>
    <x v="0"/>
    <x v="0"/>
    <x v="7"/>
    <x v="11"/>
    <s v="NO1_A2"/>
    <x v="2"/>
    <x v="176"/>
    <x v="0"/>
    <x v="21"/>
    <n v="37.647058823529399"/>
    <n v="13741.1764705882"/>
    <n v="49468.235294117701"/>
  </r>
  <r>
    <x v="0"/>
    <x v="0"/>
    <x v="0"/>
    <x v="7"/>
    <x v="11"/>
    <s v="NO1_A2"/>
    <x v="2"/>
    <x v="176"/>
    <x v="0"/>
    <x v="22"/>
    <n v="37.647058823529399"/>
    <n v="13741.1764705882"/>
    <n v="49468.235294117701"/>
  </r>
  <r>
    <x v="0"/>
    <x v="0"/>
    <x v="0"/>
    <x v="7"/>
    <x v="11"/>
    <s v="NO1_A2"/>
    <x v="2"/>
    <x v="176"/>
    <x v="0"/>
    <x v="23"/>
    <n v="37.647058823529399"/>
    <n v="13741.1764705882"/>
    <n v="49468.235294117701"/>
  </r>
  <r>
    <x v="0"/>
    <x v="0"/>
    <x v="0"/>
    <x v="7"/>
    <x v="11"/>
    <s v="NO1_A2"/>
    <x v="7"/>
    <x v="121"/>
    <x v="0"/>
    <x v="0"/>
    <n v="62.2222222222222"/>
    <n v="22711.111111111099"/>
    <n v="81760"/>
  </r>
  <r>
    <x v="0"/>
    <x v="0"/>
    <x v="0"/>
    <x v="7"/>
    <x v="11"/>
    <s v="NO1_A2"/>
    <x v="7"/>
    <x v="121"/>
    <x v="0"/>
    <x v="1"/>
    <n v="62.2222222222222"/>
    <n v="22711.111111111099"/>
    <n v="81760"/>
  </r>
  <r>
    <x v="0"/>
    <x v="0"/>
    <x v="0"/>
    <x v="7"/>
    <x v="11"/>
    <s v="NO1_A2"/>
    <x v="7"/>
    <x v="121"/>
    <x v="0"/>
    <x v="2"/>
    <n v="62.2222222222222"/>
    <n v="22711.111111111099"/>
    <n v="81760"/>
  </r>
  <r>
    <x v="0"/>
    <x v="0"/>
    <x v="0"/>
    <x v="7"/>
    <x v="11"/>
    <s v="NO1_A2"/>
    <x v="7"/>
    <x v="121"/>
    <x v="0"/>
    <x v="3"/>
    <n v="62.2222222222222"/>
    <n v="22711.111111111099"/>
    <n v="81760"/>
  </r>
  <r>
    <x v="0"/>
    <x v="0"/>
    <x v="0"/>
    <x v="7"/>
    <x v="11"/>
    <s v="NO1_A2"/>
    <x v="7"/>
    <x v="121"/>
    <x v="0"/>
    <x v="4"/>
    <n v="62.2222222222222"/>
    <n v="22711.111111111099"/>
    <n v="81760"/>
  </r>
  <r>
    <x v="0"/>
    <x v="0"/>
    <x v="0"/>
    <x v="7"/>
    <x v="11"/>
    <s v="NO1_A2"/>
    <x v="7"/>
    <x v="121"/>
    <x v="0"/>
    <x v="5"/>
    <n v="62.2222222222222"/>
    <n v="22711.111111111099"/>
    <n v="81760"/>
  </r>
  <r>
    <x v="0"/>
    <x v="0"/>
    <x v="0"/>
    <x v="7"/>
    <x v="11"/>
    <s v="NO1_A2"/>
    <x v="7"/>
    <x v="121"/>
    <x v="0"/>
    <x v="6"/>
    <n v="62.2222222222222"/>
    <n v="22711.111111111099"/>
    <n v="81760"/>
  </r>
  <r>
    <x v="0"/>
    <x v="0"/>
    <x v="0"/>
    <x v="7"/>
    <x v="11"/>
    <s v="NO1_A2"/>
    <x v="7"/>
    <x v="121"/>
    <x v="0"/>
    <x v="7"/>
    <n v="62.2222222222222"/>
    <n v="22711.111111111099"/>
    <n v="81760"/>
  </r>
  <r>
    <x v="0"/>
    <x v="0"/>
    <x v="0"/>
    <x v="7"/>
    <x v="11"/>
    <s v="NO1_A2"/>
    <x v="7"/>
    <x v="121"/>
    <x v="0"/>
    <x v="8"/>
    <n v="62.2222222222222"/>
    <n v="22711.111111111099"/>
    <n v="81760"/>
  </r>
  <r>
    <x v="0"/>
    <x v="0"/>
    <x v="0"/>
    <x v="7"/>
    <x v="11"/>
    <s v="NO1_A2"/>
    <x v="7"/>
    <x v="121"/>
    <x v="0"/>
    <x v="9"/>
    <n v="62.2222222222222"/>
    <n v="22711.111111111099"/>
    <n v="81760"/>
  </r>
  <r>
    <x v="0"/>
    <x v="0"/>
    <x v="0"/>
    <x v="7"/>
    <x v="11"/>
    <s v="NO1_A2"/>
    <x v="7"/>
    <x v="121"/>
    <x v="0"/>
    <x v="10"/>
    <n v="62.2222222222222"/>
    <n v="22711.111111111099"/>
    <n v="81760"/>
  </r>
  <r>
    <x v="0"/>
    <x v="0"/>
    <x v="0"/>
    <x v="7"/>
    <x v="11"/>
    <s v="NO1_A2"/>
    <x v="7"/>
    <x v="121"/>
    <x v="0"/>
    <x v="11"/>
    <n v="62.2222222222222"/>
    <n v="22711.111111111099"/>
    <n v="81760"/>
  </r>
  <r>
    <x v="0"/>
    <x v="0"/>
    <x v="0"/>
    <x v="7"/>
    <x v="11"/>
    <s v="NO1_A2"/>
    <x v="7"/>
    <x v="121"/>
    <x v="0"/>
    <x v="12"/>
    <n v="62.2222222222222"/>
    <n v="22711.111111111099"/>
    <n v="81760"/>
  </r>
  <r>
    <x v="0"/>
    <x v="0"/>
    <x v="0"/>
    <x v="7"/>
    <x v="11"/>
    <s v="NO1_A2"/>
    <x v="7"/>
    <x v="121"/>
    <x v="0"/>
    <x v="13"/>
    <n v="62.2222222222222"/>
    <n v="22711.111111111099"/>
    <n v="81760"/>
  </r>
  <r>
    <x v="0"/>
    <x v="0"/>
    <x v="0"/>
    <x v="7"/>
    <x v="11"/>
    <s v="NO1_A2"/>
    <x v="7"/>
    <x v="121"/>
    <x v="0"/>
    <x v="14"/>
    <n v="62.2222222222222"/>
    <n v="22711.111111111099"/>
    <n v="81760"/>
  </r>
  <r>
    <x v="0"/>
    <x v="0"/>
    <x v="0"/>
    <x v="7"/>
    <x v="11"/>
    <s v="NO1_A2"/>
    <x v="7"/>
    <x v="121"/>
    <x v="0"/>
    <x v="15"/>
    <n v="62.2222222222222"/>
    <n v="22711.111111111099"/>
    <n v="81760"/>
  </r>
  <r>
    <x v="0"/>
    <x v="0"/>
    <x v="0"/>
    <x v="7"/>
    <x v="11"/>
    <s v="NO1_A2"/>
    <x v="7"/>
    <x v="121"/>
    <x v="0"/>
    <x v="16"/>
    <n v="62.2222222222222"/>
    <n v="22711.111111111099"/>
    <n v="81760"/>
  </r>
  <r>
    <x v="0"/>
    <x v="0"/>
    <x v="0"/>
    <x v="7"/>
    <x v="11"/>
    <s v="NO1_A2"/>
    <x v="7"/>
    <x v="121"/>
    <x v="0"/>
    <x v="17"/>
    <n v="62.2222222222222"/>
    <n v="22711.111111111099"/>
    <n v="81760"/>
  </r>
  <r>
    <x v="0"/>
    <x v="0"/>
    <x v="0"/>
    <x v="7"/>
    <x v="11"/>
    <s v="NO1_A2"/>
    <x v="7"/>
    <x v="121"/>
    <x v="0"/>
    <x v="18"/>
    <n v="62.2222222222222"/>
    <n v="22711.111111111099"/>
    <n v="81760"/>
  </r>
  <r>
    <x v="0"/>
    <x v="0"/>
    <x v="0"/>
    <x v="7"/>
    <x v="11"/>
    <s v="NO1_A2"/>
    <x v="7"/>
    <x v="121"/>
    <x v="0"/>
    <x v="19"/>
    <n v="62.2222222222222"/>
    <n v="22711.111111111099"/>
    <n v="81760"/>
  </r>
  <r>
    <x v="0"/>
    <x v="0"/>
    <x v="0"/>
    <x v="7"/>
    <x v="11"/>
    <s v="NO1_A2"/>
    <x v="7"/>
    <x v="121"/>
    <x v="0"/>
    <x v="20"/>
    <n v="62.2222222222222"/>
    <n v="22711.111111111099"/>
    <n v="81760"/>
  </r>
  <r>
    <x v="0"/>
    <x v="0"/>
    <x v="0"/>
    <x v="7"/>
    <x v="11"/>
    <s v="NO1_A2"/>
    <x v="7"/>
    <x v="121"/>
    <x v="0"/>
    <x v="21"/>
    <n v="62.2222222222222"/>
    <n v="22711.111111111099"/>
    <n v="81760"/>
  </r>
  <r>
    <x v="0"/>
    <x v="0"/>
    <x v="0"/>
    <x v="7"/>
    <x v="11"/>
    <s v="NO1_A2"/>
    <x v="7"/>
    <x v="121"/>
    <x v="0"/>
    <x v="22"/>
    <n v="62.2222222222222"/>
    <n v="22711.111111111099"/>
    <n v="81760"/>
  </r>
  <r>
    <x v="0"/>
    <x v="0"/>
    <x v="0"/>
    <x v="7"/>
    <x v="11"/>
    <s v="NO1_A2"/>
    <x v="7"/>
    <x v="121"/>
    <x v="0"/>
    <x v="23"/>
    <n v="62.2222222222222"/>
    <n v="22711.111111111099"/>
    <n v="81760"/>
  </r>
  <r>
    <x v="0"/>
    <x v="0"/>
    <x v="0"/>
    <x v="7"/>
    <x v="11"/>
    <s v="NO1_A2"/>
    <x v="11"/>
    <x v="122"/>
    <x v="0"/>
    <x v="0"/>
    <n v="18.823529411764699"/>
    <n v="6870.5882352941198"/>
    <n v="24734.1176470588"/>
  </r>
  <r>
    <x v="0"/>
    <x v="0"/>
    <x v="0"/>
    <x v="7"/>
    <x v="11"/>
    <s v="NO1_A2"/>
    <x v="11"/>
    <x v="122"/>
    <x v="0"/>
    <x v="1"/>
    <n v="18.823529411764699"/>
    <n v="6870.5882352941198"/>
    <n v="24734.1176470588"/>
  </r>
  <r>
    <x v="0"/>
    <x v="0"/>
    <x v="0"/>
    <x v="7"/>
    <x v="11"/>
    <s v="NO1_A2"/>
    <x v="11"/>
    <x v="122"/>
    <x v="0"/>
    <x v="2"/>
    <n v="18.823529411764699"/>
    <n v="6870.5882352941198"/>
    <n v="24734.1176470588"/>
  </r>
  <r>
    <x v="0"/>
    <x v="0"/>
    <x v="0"/>
    <x v="7"/>
    <x v="11"/>
    <s v="NO1_A2"/>
    <x v="11"/>
    <x v="122"/>
    <x v="0"/>
    <x v="3"/>
    <n v="18.823529411764699"/>
    <n v="6870.5882352941198"/>
    <n v="24734.1176470588"/>
  </r>
  <r>
    <x v="0"/>
    <x v="0"/>
    <x v="0"/>
    <x v="7"/>
    <x v="11"/>
    <s v="NO1_A2"/>
    <x v="11"/>
    <x v="122"/>
    <x v="0"/>
    <x v="4"/>
    <n v="18.823529411764699"/>
    <n v="6870.5882352941198"/>
    <n v="24734.1176470588"/>
  </r>
  <r>
    <x v="0"/>
    <x v="0"/>
    <x v="0"/>
    <x v="7"/>
    <x v="11"/>
    <s v="NO1_A2"/>
    <x v="11"/>
    <x v="122"/>
    <x v="0"/>
    <x v="5"/>
    <n v="18.823529411764699"/>
    <n v="6870.5882352941198"/>
    <n v="24734.1176470588"/>
  </r>
  <r>
    <x v="0"/>
    <x v="0"/>
    <x v="0"/>
    <x v="7"/>
    <x v="11"/>
    <s v="NO1_A2"/>
    <x v="11"/>
    <x v="122"/>
    <x v="0"/>
    <x v="6"/>
    <n v="18.823529411764699"/>
    <n v="6870.5882352941198"/>
    <n v="24734.1176470588"/>
  </r>
  <r>
    <x v="0"/>
    <x v="0"/>
    <x v="0"/>
    <x v="7"/>
    <x v="11"/>
    <s v="NO1_A2"/>
    <x v="11"/>
    <x v="122"/>
    <x v="0"/>
    <x v="7"/>
    <n v="18.823529411764699"/>
    <n v="6870.5882352941198"/>
    <n v="24734.1176470588"/>
  </r>
  <r>
    <x v="0"/>
    <x v="0"/>
    <x v="0"/>
    <x v="7"/>
    <x v="11"/>
    <s v="NO1_A2"/>
    <x v="11"/>
    <x v="122"/>
    <x v="0"/>
    <x v="8"/>
    <n v="18.823529411764699"/>
    <n v="6870.5882352941198"/>
    <n v="24734.1176470588"/>
  </r>
  <r>
    <x v="0"/>
    <x v="0"/>
    <x v="0"/>
    <x v="7"/>
    <x v="11"/>
    <s v="NO1_A2"/>
    <x v="11"/>
    <x v="122"/>
    <x v="0"/>
    <x v="9"/>
    <n v="18.823529411764699"/>
    <n v="6870.5882352941198"/>
    <n v="24734.1176470588"/>
  </r>
  <r>
    <x v="0"/>
    <x v="0"/>
    <x v="0"/>
    <x v="7"/>
    <x v="11"/>
    <s v="NO1_A2"/>
    <x v="11"/>
    <x v="122"/>
    <x v="0"/>
    <x v="10"/>
    <n v="18.823529411764699"/>
    <n v="6870.5882352941198"/>
    <n v="24734.1176470588"/>
  </r>
  <r>
    <x v="0"/>
    <x v="0"/>
    <x v="0"/>
    <x v="7"/>
    <x v="11"/>
    <s v="NO1_A2"/>
    <x v="11"/>
    <x v="122"/>
    <x v="0"/>
    <x v="11"/>
    <n v="18.823529411764699"/>
    <n v="6870.5882352941198"/>
    <n v="24734.1176470588"/>
  </r>
  <r>
    <x v="0"/>
    <x v="0"/>
    <x v="0"/>
    <x v="7"/>
    <x v="11"/>
    <s v="NO1_A2"/>
    <x v="11"/>
    <x v="122"/>
    <x v="0"/>
    <x v="12"/>
    <n v="18.823529411764699"/>
    <n v="6870.5882352941198"/>
    <n v="24734.1176470588"/>
  </r>
  <r>
    <x v="0"/>
    <x v="0"/>
    <x v="0"/>
    <x v="7"/>
    <x v="11"/>
    <s v="NO1_A2"/>
    <x v="11"/>
    <x v="122"/>
    <x v="0"/>
    <x v="13"/>
    <n v="18.823529411764699"/>
    <n v="6870.5882352941198"/>
    <n v="24734.1176470588"/>
  </r>
  <r>
    <x v="0"/>
    <x v="0"/>
    <x v="0"/>
    <x v="7"/>
    <x v="11"/>
    <s v="NO1_A2"/>
    <x v="11"/>
    <x v="122"/>
    <x v="0"/>
    <x v="14"/>
    <n v="18.823529411764699"/>
    <n v="6870.5882352941198"/>
    <n v="24734.1176470588"/>
  </r>
  <r>
    <x v="0"/>
    <x v="0"/>
    <x v="0"/>
    <x v="7"/>
    <x v="11"/>
    <s v="NO1_A2"/>
    <x v="11"/>
    <x v="122"/>
    <x v="0"/>
    <x v="15"/>
    <n v="18.823529411764699"/>
    <n v="6870.5882352941198"/>
    <n v="24734.1176470588"/>
  </r>
  <r>
    <x v="0"/>
    <x v="0"/>
    <x v="0"/>
    <x v="7"/>
    <x v="11"/>
    <s v="NO1_A2"/>
    <x v="11"/>
    <x v="122"/>
    <x v="0"/>
    <x v="16"/>
    <n v="18.823529411764699"/>
    <n v="6870.5882352941198"/>
    <n v="24734.1176470588"/>
  </r>
  <r>
    <x v="0"/>
    <x v="0"/>
    <x v="0"/>
    <x v="7"/>
    <x v="11"/>
    <s v="NO1_A2"/>
    <x v="11"/>
    <x v="122"/>
    <x v="0"/>
    <x v="17"/>
    <n v="18.823529411764699"/>
    <n v="6870.5882352941198"/>
    <n v="24734.1176470588"/>
  </r>
  <r>
    <x v="0"/>
    <x v="0"/>
    <x v="0"/>
    <x v="7"/>
    <x v="11"/>
    <s v="NO1_A2"/>
    <x v="11"/>
    <x v="122"/>
    <x v="0"/>
    <x v="18"/>
    <n v="18.823529411764699"/>
    <n v="6870.5882352941198"/>
    <n v="24734.1176470588"/>
  </r>
  <r>
    <x v="0"/>
    <x v="0"/>
    <x v="0"/>
    <x v="7"/>
    <x v="11"/>
    <s v="NO1_A2"/>
    <x v="11"/>
    <x v="122"/>
    <x v="0"/>
    <x v="19"/>
    <n v="18.823529411764699"/>
    <n v="6870.5882352941198"/>
    <n v="24734.1176470588"/>
  </r>
  <r>
    <x v="0"/>
    <x v="0"/>
    <x v="0"/>
    <x v="7"/>
    <x v="11"/>
    <s v="NO1_A2"/>
    <x v="11"/>
    <x v="122"/>
    <x v="0"/>
    <x v="20"/>
    <n v="18.823529411764699"/>
    <n v="6870.5882352941198"/>
    <n v="24734.1176470588"/>
  </r>
  <r>
    <x v="0"/>
    <x v="0"/>
    <x v="0"/>
    <x v="7"/>
    <x v="11"/>
    <s v="NO1_A2"/>
    <x v="11"/>
    <x v="122"/>
    <x v="0"/>
    <x v="21"/>
    <n v="18.823529411764699"/>
    <n v="6870.5882352941198"/>
    <n v="24734.1176470588"/>
  </r>
  <r>
    <x v="0"/>
    <x v="0"/>
    <x v="0"/>
    <x v="7"/>
    <x v="11"/>
    <s v="NO1_A2"/>
    <x v="11"/>
    <x v="122"/>
    <x v="0"/>
    <x v="22"/>
    <n v="18.823529411764699"/>
    <n v="6870.5882352941198"/>
    <n v="24734.1176470588"/>
  </r>
  <r>
    <x v="0"/>
    <x v="0"/>
    <x v="0"/>
    <x v="7"/>
    <x v="11"/>
    <s v="NO1_A2"/>
    <x v="11"/>
    <x v="122"/>
    <x v="0"/>
    <x v="23"/>
    <n v="18.823529411764699"/>
    <n v="6870.5882352941198"/>
    <n v="24734.1176470588"/>
  </r>
  <r>
    <x v="0"/>
    <x v="0"/>
    <x v="0"/>
    <x v="7"/>
    <x v="12"/>
    <s v="NO2_A1"/>
    <x v="2"/>
    <x v="175"/>
    <x v="0"/>
    <x v="0"/>
    <n v="50.709677419354797"/>
    <n v="18509.032258064501"/>
    <n v="66632.516129032301"/>
  </r>
  <r>
    <x v="0"/>
    <x v="0"/>
    <x v="0"/>
    <x v="7"/>
    <x v="12"/>
    <s v="NO2_A1"/>
    <x v="2"/>
    <x v="175"/>
    <x v="0"/>
    <x v="1"/>
    <n v="50.709677419354797"/>
    <n v="18509.032258064501"/>
    <n v="66632.516129032301"/>
  </r>
  <r>
    <x v="0"/>
    <x v="0"/>
    <x v="0"/>
    <x v="7"/>
    <x v="12"/>
    <s v="NO2_A1"/>
    <x v="2"/>
    <x v="175"/>
    <x v="0"/>
    <x v="2"/>
    <n v="50.709677419354797"/>
    <n v="18509.032258064501"/>
    <n v="66632.516129032301"/>
  </r>
  <r>
    <x v="0"/>
    <x v="0"/>
    <x v="0"/>
    <x v="7"/>
    <x v="12"/>
    <s v="NO2_A1"/>
    <x v="2"/>
    <x v="175"/>
    <x v="0"/>
    <x v="3"/>
    <n v="50.709677419354797"/>
    <n v="18509.032258064501"/>
    <n v="66632.516129032301"/>
  </r>
  <r>
    <x v="0"/>
    <x v="0"/>
    <x v="0"/>
    <x v="7"/>
    <x v="12"/>
    <s v="NO2_A1"/>
    <x v="2"/>
    <x v="175"/>
    <x v="0"/>
    <x v="4"/>
    <n v="50.709677419354797"/>
    <n v="18509.032258064501"/>
    <n v="66632.516129032301"/>
  </r>
  <r>
    <x v="0"/>
    <x v="0"/>
    <x v="0"/>
    <x v="7"/>
    <x v="12"/>
    <s v="NO2_A1"/>
    <x v="2"/>
    <x v="175"/>
    <x v="0"/>
    <x v="5"/>
    <n v="50.709677419354797"/>
    <n v="18509.032258064501"/>
    <n v="66632.516129032301"/>
  </r>
  <r>
    <x v="0"/>
    <x v="0"/>
    <x v="0"/>
    <x v="7"/>
    <x v="12"/>
    <s v="NO2_A1"/>
    <x v="2"/>
    <x v="175"/>
    <x v="0"/>
    <x v="6"/>
    <n v="50.709677419354797"/>
    <n v="18509.032258064501"/>
    <n v="66632.516129032301"/>
  </r>
  <r>
    <x v="0"/>
    <x v="0"/>
    <x v="0"/>
    <x v="7"/>
    <x v="12"/>
    <s v="NO2_A1"/>
    <x v="2"/>
    <x v="175"/>
    <x v="0"/>
    <x v="7"/>
    <n v="50.709677419354797"/>
    <n v="18509.032258064501"/>
    <n v="66632.516129032301"/>
  </r>
  <r>
    <x v="0"/>
    <x v="0"/>
    <x v="0"/>
    <x v="7"/>
    <x v="12"/>
    <s v="NO2_A1"/>
    <x v="2"/>
    <x v="175"/>
    <x v="0"/>
    <x v="8"/>
    <n v="50.709677419354797"/>
    <n v="18509.032258064501"/>
    <n v="66632.516129032301"/>
  </r>
  <r>
    <x v="0"/>
    <x v="0"/>
    <x v="0"/>
    <x v="7"/>
    <x v="12"/>
    <s v="NO2_A1"/>
    <x v="2"/>
    <x v="175"/>
    <x v="0"/>
    <x v="9"/>
    <n v="50.709677419354797"/>
    <n v="18509.032258064501"/>
    <n v="66632.516129032301"/>
  </r>
  <r>
    <x v="0"/>
    <x v="0"/>
    <x v="0"/>
    <x v="7"/>
    <x v="12"/>
    <s v="NO2_A1"/>
    <x v="2"/>
    <x v="175"/>
    <x v="0"/>
    <x v="10"/>
    <n v="50.709677419354797"/>
    <n v="18509.032258064501"/>
    <n v="66632.516129032301"/>
  </r>
  <r>
    <x v="0"/>
    <x v="0"/>
    <x v="0"/>
    <x v="7"/>
    <x v="12"/>
    <s v="NO2_A1"/>
    <x v="2"/>
    <x v="175"/>
    <x v="0"/>
    <x v="11"/>
    <n v="50.709677419354797"/>
    <n v="18509.032258064501"/>
    <n v="66632.516129032301"/>
  </r>
  <r>
    <x v="0"/>
    <x v="0"/>
    <x v="0"/>
    <x v="7"/>
    <x v="12"/>
    <s v="NO2_A1"/>
    <x v="2"/>
    <x v="175"/>
    <x v="0"/>
    <x v="12"/>
    <n v="50.709677419354797"/>
    <n v="18509.032258064501"/>
    <n v="66632.516129032301"/>
  </r>
  <r>
    <x v="0"/>
    <x v="0"/>
    <x v="0"/>
    <x v="7"/>
    <x v="12"/>
    <s v="NO2_A1"/>
    <x v="2"/>
    <x v="175"/>
    <x v="0"/>
    <x v="13"/>
    <n v="50.709677419354797"/>
    <n v="18509.032258064501"/>
    <n v="66632.516129032301"/>
  </r>
  <r>
    <x v="0"/>
    <x v="0"/>
    <x v="0"/>
    <x v="7"/>
    <x v="12"/>
    <s v="NO2_A1"/>
    <x v="2"/>
    <x v="175"/>
    <x v="0"/>
    <x v="14"/>
    <n v="50.709677419354797"/>
    <n v="18509.032258064501"/>
    <n v="66632.516129032301"/>
  </r>
  <r>
    <x v="0"/>
    <x v="0"/>
    <x v="0"/>
    <x v="7"/>
    <x v="12"/>
    <s v="NO2_A1"/>
    <x v="2"/>
    <x v="175"/>
    <x v="0"/>
    <x v="15"/>
    <n v="50.709677419354797"/>
    <n v="18509.032258064501"/>
    <n v="66632.516129032301"/>
  </r>
  <r>
    <x v="0"/>
    <x v="0"/>
    <x v="0"/>
    <x v="7"/>
    <x v="12"/>
    <s v="NO2_A1"/>
    <x v="2"/>
    <x v="175"/>
    <x v="0"/>
    <x v="16"/>
    <n v="50.709677419354797"/>
    <n v="18509.032258064501"/>
    <n v="66632.516129032301"/>
  </r>
  <r>
    <x v="0"/>
    <x v="0"/>
    <x v="0"/>
    <x v="7"/>
    <x v="12"/>
    <s v="NO2_A1"/>
    <x v="2"/>
    <x v="175"/>
    <x v="0"/>
    <x v="17"/>
    <n v="50.709677419354797"/>
    <n v="18509.032258064501"/>
    <n v="66632.516129032301"/>
  </r>
  <r>
    <x v="0"/>
    <x v="0"/>
    <x v="0"/>
    <x v="7"/>
    <x v="12"/>
    <s v="NO2_A1"/>
    <x v="2"/>
    <x v="175"/>
    <x v="0"/>
    <x v="18"/>
    <n v="50.709677419354797"/>
    <n v="18509.032258064501"/>
    <n v="66632.516129032301"/>
  </r>
  <r>
    <x v="0"/>
    <x v="0"/>
    <x v="0"/>
    <x v="7"/>
    <x v="12"/>
    <s v="NO2_A1"/>
    <x v="2"/>
    <x v="175"/>
    <x v="0"/>
    <x v="19"/>
    <n v="50.709677419354797"/>
    <n v="18509.032258064501"/>
    <n v="66632.516129032301"/>
  </r>
  <r>
    <x v="0"/>
    <x v="0"/>
    <x v="0"/>
    <x v="7"/>
    <x v="12"/>
    <s v="NO2_A1"/>
    <x v="2"/>
    <x v="175"/>
    <x v="0"/>
    <x v="20"/>
    <n v="50.709677419354797"/>
    <n v="18509.032258064501"/>
    <n v="66632.516129032301"/>
  </r>
  <r>
    <x v="0"/>
    <x v="0"/>
    <x v="0"/>
    <x v="7"/>
    <x v="12"/>
    <s v="NO2_A1"/>
    <x v="2"/>
    <x v="175"/>
    <x v="0"/>
    <x v="21"/>
    <n v="50.709677419354797"/>
    <n v="18509.032258064501"/>
    <n v="66632.516129032301"/>
  </r>
  <r>
    <x v="0"/>
    <x v="0"/>
    <x v="0"/>
    <x v="7"/>
    <x v="12"/>
    <s v="NO2_A1"/>
    <x v="2"/>
    <x v="175"/>
    <x v="0"/>
    <x v="22"/>
    <n v="50.709677419354797"/>
    <n v="18509.032258064501"/>
    <n v="66632.516129032301"/>
  </r>
  <r>
    <x v="0"/>
    <x v="0"/>
    <x v="0"/>
    <x v="7"/>
    <x v="12"/>
    <s v="NO2_A1"/>
    <x v="2"/>
    <x v="175"/>
    <x v="0"/>
    <x v="23"/>
    <n v="50.709677419354797"/>
    <n v="18509.032258064501"/>
    <n v="66632.516129032301"/>
  </r>
  <r>
    <x v="0"/>
    <x v="0"/>
    <x v="0"/>
    <x v="7"/>
    <x v="12"/>
    <s v="NO2_A1"/>
    <x v="5"/>
    <x v="120"/>
    <x v="0"/>
    <x v="0"/>
    <n v="2.1038652032386098"/>
    <n v="767.91079918209095"/>
    <n v="2764.4788770555301"/>
  </r>
  <r>
    <x v="0"/>
    <x v="0"/>
    <x v="0"/>
    <x v="7"/>
    <x v="12"/>
    <s v="NO2_A1"/>
    <x v="5"/>
    <x v="120"/>
    <x v="0"/>
    <x v="1"/>
    <n v="1.9994299829472599"/>
    <n v="729.791943775748"/>
    <n v="2627.2509975926901"/>
  </r>
  <r>
    <x v="0"/>
    <x v="0"/>
    <x v="0"/>
    <x v="7"/>
    <x v="12"/>
    <s v="NO2_A1"/>
    <x v="5"/>
    <x v="120"/>
    <x v="0"/>
    <x v="2"/>
    <n v="2.3278840909490399"/>
    <n v="849.67769319640001"/>
    <n v="3058.8396955070398"/>
  </r>
  <r>
    <x v="0"/>
    <x v="0"/>
    <x v="0"/>
    <x v="7"/>
    <x v="12"/>
    <s v="NO2_A1"/>
    <x v="5"/>
    <x v="120"/>
    <x v="0"/>
    <x v="3"/>
    <n v="3.2303621339266502"/>
    <n v="1179.08217888323"/>
    <n v="4244.6958439796099"/>
  </r>
  <r>
    <x v="0"/>
    <x v="0"/>
    <x v="0"/>
    <x v="7"/>
    <x v="12"/>
    <s v="NO2_A1"/>
    <x v="5"/>
    <x v="120"/>
    <x v="0"/>
    <x v="4"/>
    <n v="5.31347482832411"/>
    <n v="1939.4183123383"/>
    <n v="6981.9059244178798"/>
  </r>
  <r>
    <x v="0"/>
    <x v="0"/>
    <x v="0"/>
    <x v="7"/>
    <x v="12"/>
    <s v="NO2_A1"/>
    <x v="5"/>
    <x v="120"/>
    <x v="0"/>
    <x v="5"/>
    <n v="5.8693910256409998"/>
    <n v="2142.32772435897"/>
    <n v="7712.3798076922803"/>
  </r>
  <r>
    <x v="0"/>
    <x v="0"/>
    <x v="0"/>
    <x v="7"/>
    <x v="12"/>
    <s v="NO2_A1"/>
    <x v="5"/>
    <x v="120"/>
    <x v="0"/>
    <x v="6"/>
    <n v="5.8693910256409998"/>
    <n v="2142.32772435897"/>
    <n v="7712.3798076922803"/>
  </r>
  <r>
    <x v="0"/>
    <x v="0"/>
    <x v="0"/>
    <x v="7"/>
    <x v="12"/>
    <s v="NO2_A1"/>
    <x v="5"/>
    <x v="120"/>
    <x v="0"/>
    <x v="7"/>
    <n v="5.8693910256409998"/>
    <n v="2142.32772435897"/>
    <n v="7712.3798076922803"/>
  </r>
  <r>
    <x v="0"/>
    <x v="0"/>
    <x v="0"/>
    <x v="7"/>
    <x v="12"/>
    <s v="NO2_A1"/>
    <x v="5"/>
    <x v="120"/>
    <x v="0"/>
    <x v="8"/>
    <n v="5.8693910256409998"/>
    <n v="2142.32772435897"/>
    <n v="7712.3798076922803"/>
  </r>
  <r>
    <x v="0"/>
    <x v="0"/>
    <x v="0"/>
    <x v="7"/>
    <x v="12"/>
    <s v="NO2_A1"/>
    <x v="5"/>
    <x v="120"/>
    <x v="0"/>
    <x v="9"/>
    <n v="5.8693910256409998"/>
    <n v="2142.32772435897"/>
    <n v="7712.3798076922803"/>
  </r>
  <r>
    <x v="0"/>
    <x v="0"/>
    <x v="0"/>
    <x v="7"/>
    <x v="12"/>
    <s v="NO2_A1"/>
    <x v="5"/>
    <x v="120"/>
    <x v="0"/>
    <x v="10"/>
    <n v="5.8693910256409998"/>
    <n v="2142.32772435897"/>
    <n v="7712.3798076922803"/>
  </r>
  <r>
    <x v="0"/>
    <x v="0"/>
    <x v="0"/>
    <x v="7"/>
    <x v="12"/>
    <s v="NO2_A1"/>
    <x v="5"/>
    <x v="120"/>
    <x v="0"/>
    <x v="11"/>
    <n v="5.8693910256409998"/>
    <n v="2142.32772435897"/>
    <n v="7712.3798076922803"/>
  </r>
  <r>
    <x v="0"/>
    <x v="0"/>
    <x v="0"/>
    <x v="7"/>
    <x v="12"/>
    <s v="NO2_A1"/>
    <x v="5"/>
    <x v="120"/>
    <x v="0"/>
    <x v="12"/>
    <n v="5.8693910256409998"/>
    <n v="2142.32772435897"/>
    <n v="7712.3798076922803"/>
  </r>
  <r>
    <x v="0"/>
    <x v="0"/>
    <x v="0"/>
    <x v="7"/>
    <x v="12"/>
    <s v="NO2_A1"/>
    <x v="5"/>
    <x v="120"/>
    <x v="0"/>
    <x v="13"/>
    <n v="5.8693910256409998"/>
    <n v="2142.32772435897"/>
    <n v="7712.3798076922803"/>
  </r>
  <r>
    <x v="0"/>
    <x v="0"/>
    <x v="0"/>
    <x v="7"/>
    <x v="12"/>
    <s v="NO2_A1"/>
    <x v="5"/>
    <x v="120"/>
    <x v="0"/>
    <x v="14"/>
    <n v="5.8693910256409998"/>
    <n v="2142.32772435897"/>
    <n v="7712.3798076922803"/>
  </r>
  <r>
    <x v="0"/>
    <x v="0"/>
    <x v="0"/>
    <x v="7"/>
    <x v="12"/>
    <s v="NO2_A1"/>
    <x v="5"/>
    <x v="120"/>
    <x v="0"/>
    <x v="15"/>
    <n v="5.8693910256409998"/>
    <n v="2142.32772435897"/>
    <n v="7712.3798076922803"/>
  </r>
  <r>
    <x v="0"/>
    <x v="0"/>
    <x v="0"/>
    <x v="7"/>
    <x v="12"/>
    <s v="NO2_A1"/>
    <x v="5"/>
    <x v="120"/>
    <x v="0"/>
    <x v="16"/>
    <n v="5.8693910256409998"/>
    <n v="2142.32772435897"/>
    <n v="7712.3798076922803"/>
  </r>
  <r>
    <x v="0"/>
    <x v="0"/>
    <x v="0"/>
    <x v="7"/>
    <x v="12"/>
    <s v="NO2_A1"/>
    <x v="5"/>
    <x v="120"/>
    <x v="0"/>
    <x v="17"/>
    <n v="5.8693910256409998"/>
    <n v="2142.32772435897"/>
    <n v="7712.3798076922803"/>
  </r>
  <r>
    <x v="0"/>
    <x v="0"/>
    <x v="0"/>
    <x v="7"/>
    <x v="12"/>
    <s v="NO2_A1"/>
    <x v="5"/>
    <x v="120"/>
    <x v="0"/>
    <x v="18"/>
    <n v="5.3334396681759202"/>
    <n v="1946.7054788842099"/>
    <n v="7008.1397239831604"/>
  </r>
  <r>
    <x v="0"/>
    <x v="0"/>
    <x v="0"/>
    <x v="7"/>
    <x v="12"/>
    <s v="NO2_A1"/>
    <x v="5"/>
    <x v="120"/>
    <x v="0"/>
    <x v="19"/>
    <n v="3.9801805055357802"/>
    <n v="1452.7658845205599"/>
    <n v="5229.9571842740097"/>
  </r>
  <r>
    <x v="0"/>
    <x v="0"/>
    <x v="0"/>
    <x v="7"/>
    <x v="12"/>
    <s v="NO2_A1"/>
    <x v="5"/>
    <x v="120"/>
    <x v="0"/>
    <x v="20"/>
    <n v="2.5887560158767"/>
    <n v="944.89594579499703"/>
    <n v="3401.6254048619899"/>
  </r>
  <r>
    <x v="0"/>
    <x v="0"/>
    <x v="0"/>
    <x v="7"/>
    <x v="12"/>
    <s v="NO2_A1"/>
    <x v="5"/>
    <x v="120"/>
    <x v="0"/>
    <x v="21"/>
    <n v="0.184639769344912"/>
    <n v="67.393515810892893"/>
    <n v="242.61665691921399"/>
  </r>
  <r>
    <x v="0"/>
    <x v="0"/>
    <x v="0"/>
    <x v="7"/>
    <x v="12"/>
    <s v="NO2_A1"/>
    <x v="9"/>
    <x v="128"/>
    <x v="0"/>
    <x v="0"/>
    <n v="367.19205575436598"/>
    <n v="134025.100350344"/>
    <n v="482490.36126123701"/>
  </r>
  <r>
    <x v="0"/>
    <x v="0"/>
    <x v="0"/>
    <x v="7"/>
    <x v="12"/>
    <s v="NO2_A1"/>
    <x v="9"/>
    <x v="128"/>
    <x v="0"/>
    <x v="1"/>
    <n v="367.19205575436598"/>
    <n v="134025.100350344"/>
    <n v="482490.36126123701"/>
  </r>
  <r>
    <x v="0"/>
    <x v="0"/>
    <x v="0"/>
    <x v="7"/>
    <x v="12"/>
    <s v="NO2_A1"/>
    <x v="9"/>
    <x v="128"/>
    <x v="0"/>
    <x v="2"/>
    <n v="367.19205575436598"/>
    <n v="134025.100350344"/>
    <n v="482490.36126123701"/>
  </r>
  <r>
    <x v="0"/>
    <x v="0"/>
    <x v="0"/>
    <x v="7"/>
    <x v="12"/>
    <s v="NO2_A1"/>
    <x v="9"/>
    <x v="128"/>
    <x v="0"/>
    <x v="3"/>
    <n v="367.19205575436598"/>
    <n v="134025.100350344"/>
    <n v="482490.36126123701"/>
  </r>
  <r>
    <x v="0"/>
    <x v="0"/>
    <x v="0"/>
    <x v="7"/>
    <x v="12"/>
    <s v="NO2_A1"/>
    <x v="9"/>
    <x v="128"/>
    <x v="0"/>
    <x v="4"/>
    <n v="367.19205575436598"/>
    <n v="134025.100350344"/>
    <n v="482490.36126123701"/>
  </r>
  <r>
    <x v="0"/>
    <x v="0"/>
    <x v="0"/>
    <x v="7"/>
    <x v="12"/>
    <s v="NO2_A1"/>
    <x v="9"/>
    <x v="128"/>
    <x v="0"/>
    <x v="5"/>
    <n v="367.19205575436598"/>
    <n v="134025.100350344"/>
    <n v="482490.36126123701"/>
  </r>
  <r>
    <x v="0"/>
    <x v="0"/>
    <x v="0"/>
    <x v="7"/>
    <x v="12"/>
    <s v="NO2_A1"/>
    <x v="9"/>
    <x v="128"/>
    <x v="0"/>
    <x v="6"/>
    <n v="367.19205575436598"/>
    <n v="134025.100350344"/>
    <n v="482490.36126123701"/>
  </r>
  <r>
    <x v="0"/>
    <x v="0"/>
    <x v="0"/>
    <x v="7"/>
    <x v="12"/>
    <s v="NO2_A1"/>
    <x v="9"/>
    <x v="128"/>
    <x v="0"/>
    <x v="7"/>
    <n v="367.19205575436598"/>
    <n v="134025.100350344"/>
    <n v="482490.36126123701"/>
  </r>
  <r>
    <x v="0"/>
    <x v="0"/>
    <x v="0"/>
    <x v="7"/>
    <x v="12"/>
    <s v="NO2_A1"/>
    <x v="9"/>
    <x v="128"/>
    <x v="0"/>
    <x v="8"/>
    <n v="367.19205575436598"/>
    <n v="134025.100350344"/>
    <n v="482490.36126123701"/>
  </r>
  <r>
    <x v="0"/>
    <x v="0"/>
    <x v="0"/>
    <x v="7"/>
    <x v="12"/>
    <s v="NO2_A1"/>
    <x v="9"/>
    <x v="128"/>
    <x v="0"/>
    <x v="9"/>
    <n v="367.19205575436598"/>
    <n v="134025.100350344"/>
    <n v="482490.36126123701"/>
  </r>
  <r>
    <x v="0"/>
    <x v="0"/>
    <x v="0"/>
    <x v="7"/>
    <x v="12"/>
    <s v="NO2_A1"/>
    <x v="9"/>
    <x v="128"/>
    <x v="0"/>
    <x v="10"/>
    <n v="367.19205575436598"/>
    <n v="134025.100350344"/>
    <n v="482490.36126123701"/>
  </r>
  <r>
    <x v="0"/>
    <x v="0"/>
    <x v="0"/>
    <x v="7"/>
    <x v="12"/>
    <s v="NO2_A1"/>
    <x v="9"/>
    <x v="128"/>
    <x v="0"/>
    <x v="11"/>
    <n v="367.19205575436598"/>
    <n v="134025.100350344"/>
    <n v="482490.36126123701"/>
  </r>
  <r>
    <x v="0"/>
    <x v="0"/>
    <x v="0"/>
    <x v="7"/>
    <x v="12"/>
    <s v="NO2_A1"/>
    <x v="9"/>
    <x v="128"/>
    <x v="0"/>
    <x v="12"/>
    <n v="367.19205575436598"/>
    <n v="134025.100350344"/>
    <n v="482490.36126123701"/>
  </r>
  <r>
    <x v="0"/>
    <x v="0"/>
    <x v="0"/>
    <x v="7"/>
    <x v="12"/>
    <s v="NO2_A1"/>
    <x v="9"/>
    <x v="128"/>
    <x v="0"/>
    <x v="13"/>
    <n v="367.19205575436598"/>
    <n v="134025.100350344"/>
    <n v="482490.36126123701"/>
  </r>
  <r>
    <x v="0"/>
    <x v="0"/>
    <x v="0"/>
    <x v="7"/>
    <x v="12"/>
    <s v="NO2_A1"/>
    <x v="9"/>
    <x v="128"/>
    <x v="0"/>
    <x v="14"/>
    <n v="367.19205575436598"/>
    <n v="134025.100350344"/>
    <n v="482490.36126123701"/>
  </r>
  <r>
    <x v="0"/>
    <x v="0"/>
    <x v="0"/>
    <x v="7"/>
    <x v="12"/>
    <s v="NO2_A1"/>
    <x v="9"/>
    <x v="128"/>
    <x v="0"/>
    <x v="15"/>
    <n v="367.19205575436598"/>
    <n v="134025.100350344"/>
    <n v="482490.36126123701"/>
  </r>
  <r>
    <x v="0"/>
    <x v="0"/>
    <x v="0"/>
    <x v="7"/>
    <x v="12"/>
    <s v="NO2_A1"/>
    <x v="9"/>
    <x v="128"/>
    <x v="0"/>
    <x v="16"/>
    <n v="367.19205575436598"/>
    <n v="134025.100350344"/>
    <n v="482490.36126123701"/>
  </r>
  <r>
    <x v="0"/>
    <x v="0"/>
    <x v="0"/>
    <x v="7"/>
    <x v="12"/>
    <s v="NO2_A1"/>
    <x v="9"/>
    <x v="128"/>
    <x v="0"/>
    <x v="17"/>
    <n v="367.19205575436598"/>
    <n v="134025.100350344"/>
    <n v="482490.36126123701"/>
  </r>
  <r>
    <x v="0"/>
    <x v="0"/>
    <x v="0"/>
    <x v="7"/>
    <x v="12"/>
    <s v="NO2_A1"/>
    <x v="9"/>
    <x v="128"/>
    <x v="0"/>
    <x v="18"/>
    <n v="367.19205575436598"/>
    <n v="134025.100350344"/>
    <n v="482490.36126123701"/>
  </r>
  <r>
    <x v="0"/>
    <x v="0"/>
    <x v="0"/>
    <x v="7"/>
    <x v="12"/>
    <s v="NO2_A1"/>
    <x v="9"/>
    <x v="128"/>
    <x v="0"/>
    <x v="19"/>
    <n v="367.19205575436598"/>
    <n v="134025.100350344"/>
    <n v="482490.36126123701"/>
  </r>
  <r>
    <x v="0"/>
    <x v="0"/>
    <x v="0"/>
    <x v="7"/>
    <x v="12"/>
    <s v="NO2_A1"/>
    <x v="9"/>
    <x v="128"/>
    <x v="0"/>
    <x v="20"/>
    <n v="367.19205575436598"/>
    <n v="134025.100350344"/>
    <n v="482490.36126123701"/>
  </r>
  <r>
    <x v="0"/>
    <x v="0"/>
    <x v="0"/>
    <x v="7"/>
    <x v="12"/>
    <s v="NO2_A1"/>
    <x v="9"/>
    <x v="128"/>
    <x v="0"/>
    <x v="21"/>
    <n v="367.19205575436598"/>
    <n v="134025.100350344"/>
    <n v="482490.36126123701"/>
  </r>
  <r>
    <x v="0"/>
    <x v="0"/>
    <x v="0"/>
    <x v="7"/>
    <x v="12"/>
    <s v="NO2_A1"/>
    <x v="9"/>
    <x v="128"/>
    <x v="0"/>
    <x v="22"/>
    <n v="367.19205575436598"/>
    <n v="134025.100350344"/>
    <n v="482490.36126123701"/>
  </r>
  <r>
    <x v="0"/>
    <x v="0"/>
    <x v="0"/>
    <x v="7"/>
    <x v="12"/>
    <s v="NO2_A1"/>
    <x v="9"/>
    <x v="128"/>
    <x v="0"/>
    <x v="23"/>
    <n v="367.19205575436598"/>
    <n v="134025.100350344"/>
    <n v="482490.36126123701"/>
  </r>
  <r>
    <x v="0"/>
    <x v="0"/>
    <x v="0"/>
    <x v="7"/>
    <x v="12"/>
    <s v="NO2_A1"/>
    <x v="9"/>
    <x v="129"/>
    <x v="0"/>
    <x v="0"/>
    <n v="887.19205575436604"/>
    <n v="323825.10035034397"/>
    <n v="1165770.36126124"/>
  </r>
  <r>
    <x v="0"/>
    <x v="0"/>
    <x v="0"/>
    <x v="7"/>
    <x v="12"/>
    <s v="NO2_A1"/>
    <x v="9"/>
    <x v="129"/>
    <x v="0"/>
    <x v="1"/>
    <n v="887.19205575436604"/>
    <n v="323825.10035034397"/>
    <n v="1165770.36126124"/>
  </r>
  <r>
    <x v="0"/>
    <x v="0"/>
    <x v="0"/>
    <x v="7"/>
    <x v="12"/>
    <s v="NO2_A1"/>
    <x v="9"/>
    <x v="129"/>
    <x v="0"/>
    <x v="2"/>
    <n v="887.19205575436604"/>
    <n v="323825.10035034397"/>
    <n v="1165770.36126124"/>
  </r>
  <r>
    <x v="0"/>
    <x v="0"/>
    <x v="0"/>
    <x v="7"/>
    <x v="12"/>
    <s v="NO2_A1"/>
    <x v="9"/>
    <x v="129"/>
    <x v="0"/>
    <x v="3"/>
    <n v="887.19205575436604"/>
    <n v="323825.10035034397"/>
    <n v="1165770.36126124"/>
  </r>
  <r>
    <x v="0"/>
    <x v="0"/>
    <x v="0"/>
    <x v="7"/>
    <x v="12"/>
    <s v="NO2_A1"/>
    <x v="9"/>
    <x v="129"/>
    <x v="0"/>
    <x v="4"/>
    <n v="887.19205575436604"/>
    <n v="323825.10035034397"/>
    <n v="1165770.36126124"/>
  </r>
  <r>
    <x v="0"/>
    <x v="0"/>
    <x v="0"/>
    <x v="7"/>
    <x v="12"/>
    <s v="NO2_A1"/>
    <x v="9"/>
    <x v="129"/>
    <x v="0"/>
    <x v="5"/>
    <n v="887.19205575436604"/>
    <n v="323825.10035034397"/>
    <n v="1165770.36126124"/>
  </r>
  <r>
    <x v="0"/>
    <x v="0"/>
    <x v="0"/>
    <x v="7"/>
    <x v="12"/>
    <s v="NO2_A1"/>
    <x v="9"/>
    <x v="129"/>
    <x v="0"/>
    <x v="6"/>
    <n v="887.19205575436604"/>
    <n v="323825.10035034397"/>
    <n v="1165770.36126124"/>
  </r>
  <r>
    <x v="0"/>
    <x v="0"/>
    <x v="0"/>
    <x v="7"/>
    <x v="12"/>
    <s v="NO2_A1"/>
    <x v="9"/>
    <x v="129"/>
    <x v="0"/>
    <x v="7"/>
    <n v="887.19205575436604"/>
    <n v="323825.10035034397"/>
    <n v="1165770.36126124"/>
  </r>
  <r>
    <x v="0"/>
    <x v="0"/>
    <x v="0"/>
    <x v="7"/>
    <x v="12"/>
    <s v="NO2_A1"/>
    <x v="9"/>
    <x v="129"/>
    <x v="0"/>
    <x v="8"/>
    <n v="887.19205575436604"/>
    <n v="323825.10035034397"/>
    <n v="1165770.36126124"/>
  </r>
  <r>
    <x v="0"/>
    <x v="0"/>
    <x v="0"/>
    <x v="7"/>
    <x v="12"/>
    <s v="NO2_A1"/>
    <x v="9"/>
    <x v="129"/>
    <x v="0"/>
    <x v="9"/>
    <n v="887.19205575436604"/>
    <n v="323825.10035034397"/>
    <n v="1165770.36126124"/>
  </r>
  <r>
    <x v="0"/>
    <x v="0"/>
    <x v="0"/>
    <x v="7"/>
    <x v="12"/>
    <s v="NO2_A1"/>
    <x v="9"/>
    <x v="129"/>
    <x v="0"/>
    <x v="10"/>
    <n v="887.19205575436604"/>
    <n v="323825.10035034397"/>
    <n v="1165770.36126124"/>
  </r>
  <r>
    <x v="0"/>
    <x v="0"/>
    <x v="0"/>
    <x v="7"/>
    <x v="12"/>
    <s v="NO2_A1"/>
    <x v="9"/>
    <x v="129"/>
    <x v="0"/>
    <x v="11"/>
    <n v="887.19205575436604"/>
    <n v="323825.10035034397"/>
    <n v="1165770.36126124"/>
  </r>
  <r>
    <x v="0"/>
    <x v="0"/>
    <x v="0"/>
    <x v="7"/>
    <x v="12"/>
    <s v="NO2_A1"/>
    <x v="9"/>
    <x v="129"/>
    <x v="0"/>
    <x v="12"/>
    <n v="887.19205575436604"/>
    <n v="323825.10035034397"/>
    <n v="1165770.36126124"/>
  </r>
  <r>
    <x v="0"/>
    <x v="0"/>
    <x v="0"/>
    <x v="7"/>
    <x v="12"/>
    <s v="NO2_A1"/>
    <x v="9"/>
    <x v="129"/>
    <x v="0"/>
    <x v="13"/>
    <n v="887.19205575436604"/>
    <n v="323825.10035034397"/>
    <n v="1165770.36126124"/>
  </r>
  <r>
    <x v="0"/>
    <x v="0"/>
    <x v="0"/>
    <x v="7"/>
    <x v="12"/>
    <s v="NO2_A1"/>
    <x v="9"/>
    <x v="129"/>
    <x v="0"/>
    <x v="14"/>
    <n v="887.19205575436604"/>
    <n v="323825.10035034397"/>
    <n v="1165770.36126124"/>
  </r>
  <r>
    <x v="0"/>
    <x v="0"/>
    <x v="0"/>
    <x v="7"/>
    <x v="12"/>
    <s v="NO2_A1"/>
    <x v="9"/>
    <x v="129"/>
    <x v="0"/>
    <x v="15"/>
    <n v="887.19205575436604"/>
    <n v="323825.10035034397"/>
    <n v="1165770.36126124"/>
  </r>
  <r>
    <x v="0"/>
    <x v="0"/>
    <x v="0"/>
    <x v="7"/>
    <x v="12"/>
    <s v="NO2_A1"/>
    <x v="9"/>
    <x v="129"/>
    <x v="0"/>
    <x v="16"/>
    <n v="887.19205575436604"/>
    <n v="323825.10035034397"/>
    <n v="1165770.36126124"/>
  </r>
  <r>
    <x v="0"/>
    <x v="0"/>
    <x v="0"/>
    <x v="7"/>
    <x v="12"/>
    <s v="NO2_A1"/>
    <x v="9"/>
    <x v="129"/>
    <x v="0"/>
    <x v="17"/>
    <n v="887.19205575436604"/>
    <n v="323825.10035034397"/>
    <n v="1165770.36126124"/>
  </r>
  <r>
    <x v="0"/>
    <x v="0"/>
    <x v="0"/>
    <x v="7"/>
    <x v="12"/>
    <s v="NO2_A1"/>
    <x v="9"/>
    <x v="129"/>
    <x v="0"/>
    <x v="18"/>
    <n v="887.19205575436604"/>
    <n v="323825.10035034397"/>
    <n v="1165770.36126124"/>
  </r>
  <r>
    <x v="0"/>
    <x v="0"/>
    <x v="0"/>
    <x v="7"/>
    <x v="12"/>
    <s v="NO2_A1"/>
    <x v="9"/>
    <x v="129"/>
    <x v="0"/>
    <x v="19"/>
    <n v="887.19205575436604"/>
    <n v="323825.10035034397"/>
    <n v="1165770.36126124"/>
  </r>
  <r>
    <x v="0"/>
    <x v="0"/>
    <x v="0"/>
    <x v="7"/>
    <x v="12"/>
    <s v="NO2_A1"/>
    <x v="9"/>
    <x v="129"/>
    <x v="0"/>
    <x v="20"/>
    <n v="887.19205575436604"/>
    <n v="323825.10035034397"/>
    <n v="1165770.36126124"/>
  </r>
  <r>
    <x v="0"/>
    <x v="0"/>
    <x v="0"/>
    <x v="7"/>
    <x v="12"/>
    <s v="NO2_A1"/>
    <x v="9"/>
    <x v="129"/>
    <x v="0"/>
    <x v="21"/>
    <n v="887.19205575436604"/>
    <n v="323825.10035034397"/>
    <n v="1165770.36126124"/>
  </r>
  <r>
    <x v="0"/>
    <x v="0"/>
    <x v="0"/>
    <x v="7"/>
    <x v="12"/>
    <s v="NO2_A1"/>
    <x v="9"/>
    <x v="129"/>
    <x v="0"/>
    <x v="22"/>
    <n v="887.19205575436604"/>
    <n v="323825.10035034397"/>
    <n v="1165770.36126124"/>
  </r>
  <r>
    <x v="0"/>
    <x v="0"/>
    <x v="0"/>
    <x v="7"/>
    <x v="12"/>
    <s v="NO2_A1"/>
    <x v="9"/>
    <x v="129"/>
    <x v="0"/>
    <x v="23"/>
    <n v="887.19205575436604"/>
    <n v="323825.10035034397"/>
    <n v="1165770.36126124"/>
  </r>
  <r>
    <x v="0"/>
    <x v="0"/>
    <x v="0"/>
    <x v="7"/>
    <x v="12"/>
    <s v="NO2_A1"/>
    <x v="9"/>
    <x v="130"/>
    <x v="0"/>
    <x v="0"/>
    <n v="887.19205575436604"/>
    <n v="323825.10035034397"/>
    <n v="1165770.36126124"/>
  </r>
  <r>
    <x v="0"/>
    <x v="0"/>
    <x v="0"/>
    <x v="7"/>
    <x v="12"/>
    <s v="NO2_A1"/>
    <x v="9"/>
    <x v="130"/>
    <x v="0"/>
    <x v="1"/>
    <n v="887.19205575436604"/>
    <n v="323825.10035034397"/>
    <n v="1165770.36126124"/>
  </r>
  <r>
    <x v="0"/>
    <x v="0"/>
    <x v="0"/>
    <x v="7"/>
    <x v="12"/>
    <s v="NO2_A1"/>
    <x v="9"/>
    <x v="130"/>
    <x v="0"/>
    <x v="2"/>
    <n v="887.19205575436604"/>
    <n v="323825.10035034397"/>
    <n v="1165770.36126124"/>
  </r>
  <r>
    <x v="0"/>
    <x v="0"/>
    <x v="0"/>
    <x v="7"/>
    <x v="12"/>
    <s v="NO2_A1"/>
    <x v="9"/>
    <x v="130"/>
    <x v="0"/>
    <x v="3"/>
    <n v="887.19205575436604"/>
    <n v="323825.10035034397"/>
    <n v="1165770.36126124"/>
  </r>
  <r>
    <x v="0"/>
    <x v="0"/>
    <x v="0"/>
    <x v="7"/>
    <x v="12"/>
    <s v="NO2_A1"/>
    <x v="9"/>
    <x v="130"/>
    <x v="0"/>
    <x v="4"/>
    <n v="887.19205575436604"/>
    <n v="323825.10035034397"/>
    <n v="1165770.36126124"/>
  </r>
  <r>
    <x v="0"/>
    <x v="0"/>
    <x v="0"/>
    <x v="7"/>
    <x v="12"/>
    <s v="NO2_A1"/>
    <x v="9"/>
    <x v="130"/>
    <x v="0"/>
    <x v="5"/>
    <n v="887.19205575436604"/>
    <n v="323825.10035034397"/>
    <n v="1165770.36126124"/>
  </r>
  <r>
    <x v="0"/>
    <x v="0"/>
    <x v="0"/>
    <x v="7"/>
    <x v="12"/>
    <s v="NO2_A1"/>
    <x v="9"/>
    <x v="130"/>
    <x v="0"/>
    <x v="6"/>
    <n v="887.19205575436604"/>
    <n v="323825.10035034397"/>
    <n v="1165770.36126124"/>
  </r>
  <r>
    <x v="0"/>
    <x v="0"/>
    <x v="0"/>
    <x v="7"/>
    <x v="12"/>
    <s v="NO2_A1"/>
    <x v="9"/>
    <x v="130"/>
    <x v="0"/>
    <x v="7"/>
    <n v="887.19205575436604"/>
    <n v="323825.10035034397"/>
    <n v="1165770.36126124"/>
  </r>
  <r>
    <x v="0"/>
    <x v="0"/>
    <x v="0"/>
    <x v="7"/>
    <x v="12"/>
    <s v="NO2_A1"/>
    <x v="9"/>
    <x v="130"/>
    <x v="0"/>
    <x v="8"/>
    <n v="887.19205575436604"/>
    <n v="323825.10035034397"/>
    <n v="1165770.36126124"/>
  </r>
  <r>
    <x v="0"/>
    <x v="0"/>
    <x v="0"/>
    <x v="7"/>
    <x v="12"/>
    <s v="NO2_A1"/>
    <x v="9"/>
    <x v="130"/>
    <x v="0"/>
    <x v="9"/>
    <n v="887.19205575436604"/>
    <n v="323825.10035034397"/>
    <n v="1165770.36126124"/>
  </r>
  <r>
    <x v="0"/>
    <x v="0"/>
    <x v="0"/>
    <x v="7"/>
    <x v="12"/>
    <s v="NO2_A1"/>
    <x v="9"/>
    <x v="130"/>
    <x v="0"/>
    <x v="10"/>
    <n v="887.19205575436604"/>
    <n v="323825.10035034397"/>
    <n v="1165770.36126124"/>
  </r>
  <r>
    <x v="0"/>
    <x v="0"/>
    <x v="0"/>
    <x v="7"/>
    <x v="12"/>
    <s v="NO2_A1"/>
    <x v="9"/>
    <x v="130"/>
    <x v="0"/>
    <x v="11"/>
    <n v="887.19205575436604"/>
    <n v="323825.10035034397"/>
    <n v="1165770.36126124"/>
  </r>
  <r>
    <x v="0"/>
    <x v="0"/>
    <x v="0"/>
    <x v="7"/>
    <x v="12"/>
    <s v="NO2_A1"/>
    <x v="9"/>
    <x v="130"/>
    <x v="0"/>
    <x v="12"/>
    <n v="887.19205575436604"/>
    <n v="323825.10035034397"/>
    <n v="1165770.36126124"/>
  </r>
  <r>
    <x v="0"/>
    <x v="0"/>
    <x v="0"/>
    <x v="7"/>
    <x v="12"/>
    <s v="NO2_A1"/>
    <x v="9"/>
    <x v="130"/>
    <x v="0"/>
    <x v="13"/>
    <n v="887.19205575436604"/>
    <n v="323825.10035034397"/>
    <n v="1165770.36126124"/>
  </r>
  <r>
    <x v="0"/>
    <x v="0"/>
    <x v="0"/>
    <x v="7"/>
    <x v="12"/>
    <s v="NO2_A1"/>
    <x v="9"/>
    <x v="130"/>
    <x v="0"/>
    <x v="14"/>
    <n v="887.19205575436604"/>
    <n v="323825.10035034397"/>
    <n v="1165770.36126124"/>
  </r>
  <r>
    <x v="0"/>
    <x v="0"/>
    <x v="0"/>
    <x v="7"/>
    <x v="12"/>
    <s v="NO2_A1"/>
    <x v="9"/>
    <x v="130"/>
    <x v="0"/>
    <x v="15"/>
    <n v="887.19205575436604"/>
    <n v="323825.10035034397"/>
    <n v="1165770.36126124"/>
  </r>
  <r>
    <x v="0"/>
    <x v="0"/>
    <x v="0"/>
    <x v="7"/>
    <x v="12"/>
    <s v="NO2_A1"/>
    <x v="9"/>
    <x v="130"/>
    <x v="0"/>
    <x v="16"/>
    <n v="887.19205575436604"/>
    <n v="323825.10035034397"/>
    <n v="1165770.36126124"/>
  </r>
  <r>
    <x v="0"/>
    <x v="0"/>
    <x v="0"/>
    <x v="7"/>
    <x v="12"/>
    <s v="NO2_A1"/>
    <x v="9"/>
    <x v="130"/>
    <x v="0"/>
    <x v="17"/>
    <n v="887.19205575436604"/>
    <n v="323825.10035034397"/>
    <n v="1165770.36126124"/>
  </r>
  <r>
    <x v="0"/>
    <x v="0"/>
    <x v="0"/>
    <x v="7"/>
    <x v="12"/>
    <s v="NO2_A1"/>
    <x v="9"/>
    <x v="130"/>
    <x v="0"/>
    <x v="18"/>
    <n v="887.19205575436604"/>
    <n v="323825.10035034397"/>
    <n v="1165770.36126124"/>
  </r>
  <r>
    <x v="0"/>
    <x v="0"/>
    <x v="0"/>
    <x v="7"/>
    <x v="12"/>
    <s v="NO2_A1"/>
    <x v="9"/>
    <x v="130"/>
    <x v="0"/>
    <x v="19"/>
    <n v="887.19205575436604"/>
    <n v="323825.10035034397"/>
    <n v="1165770.36126124"/>
  </r>
  <r>
    <x v="0"/>
    <x v="0"/>
    <x v="0"/>
    <x v="7"/>
    <x v="12"/>
    <s v="NO2_A1"/>
    <x v="9"/>
    <x v="130"/>
    <x v="0"/>
    <x v="20"/>
    <n v="887.19205575436604"/>
    <n v="323825.10035034397"/>
    <n v="1165770.36126124"/>
  </r>
  <r>
    <x v="0"/>
    <x v="0"/>
    <x v="0"/>
    <x v="7"/>
    <x v="12"/>
    <s v="NO2_A1"/>
    <x v="9"/>
    <x v="130"/>
    <x v="0"/>
    <x v="21"/>
    <n v="887.19205575436604"/>
    <n v="323825.10035034397"/>
    <n v="1165770.36126124"/>
  </r>
  <r>
    <x v="0"/>
    <x v="0"/>
    <x v="0"/>
    <x v="7"/>
    <x v="12"/>
    <s v="NO2_A1"/>
    <x v="9"/>
    <x v="130"/>
    <x v="0"/>
    <x v="22"/>
    <n v="887.19205575436604"/>
    <n v="323825.10035034397"/>
    <n v="1165770.36126124"/>
  </r>
  <r>
    <x v="0"/>
    <x v="0"/>
    <x v="0"/>
    <x v="7"/>
    <x v="12"/>
    <s v="NO2_A1"/>
    <x v="9"/>
    <x v="130"/>
    <x v="0"/>
    <x v="23"/>
    <n v="887.19205575436604"/>
    <n v="323825.10035034397"/>
    <n v="1165770.36126124"/>
  </r>
  <r>
    <x v="0"/>
    <x v="0"/>
    <x v="0"/>
    <x v="7"/>
    <x v="12"/>
    <s v="NO2_A1"/>
    <x v="9"/>
    <x v="131"/>
    <x v="0"/>
    <x v="0"/>
    <n v="887.19205575436604"/>
    <n v="323825.10035034397"/>
    <n v="1165770.36126124"/>
  </r>
  <r>
    <x v="0"/>
    <x v="0"/>
    <x v="0"/>
    <x v="7"/>
    <x v="12"/>
    <s v="NO2_A1"/>
    <x v="9"/>
    <x v="131"/>
    <x v="0"/>
    <x v="1"/>
    <n v="887.19205575436604"/>
    <n v="323825.10035034397"/>
    <n v="1165770.36126124"/>
  </r>
  <r>
    <x v="0"/>
    <x v="0"/>
    <x v="0"/>
    <x v="7"/>
    <x v="12"/>
    <s v="NO2_A1"/>
    <x v="9"/>
    <x v="131"/>
    <x v="0"/>
    <x v="2"/>
    <n v="887.19205575436604"/>
    <n v="323825.10035034397"/>
    <n v="1165770.36126124"/>
  </r>
  <r>
    <x v="0"/>
    <x v="0"/>
    <x v="0"/>
    <x v="7"/>
    <x v="12"/>
    <s v="NO2_A1"/>
    <x v="9"/>
    <x v="131"/>
    <x v="0"/>
    <x v="3"/>
    <n v="887.19205575436604"/>
    <n v="323825.10035034397"/>
    <n v="1165770.36126124"/>
  </r>
  <r>
    <x v="0"/>
    <x v="0"/>
    <x v="0"/>
    <x v="7"/>
    <x v="12"/>
    <s v="NO2_A1"/>
    <x v="9"/>
    <x v="131"/>
    <x v="0"/>
    <x v="4"/>
    <n v="887.19205575436604"/>
    <n v="323825.10035034397"/>
    <n v="1165770.36126124"/>
  </r>
  <r>
    <x v="0"/>
    <x v="0"/>
    <x v="0"/>
    <x v="7"/>
    <x v="12"/>
    <s v="NO2_A1"/>
    <x v="9"/>
    <x v="131"/>
    <x v="0"/>
    <x v="5"/>
    <n v="887.19205575436604"/>
    <n v="323825.10035034397"/>
    <n v="1165770.36126124"/>
  </r>
  <r>
    <x v="0"/>
    <x v="0"/>
    <x v="0"/>
    <x v="7"/>
    <x v="12"/>
    <s v="NO2_A1"/>
    <x v="9"/>
    <x v="131"/>
    <x v="0"/>
    <x v="6"/>
    <n v="887.19205575436604"/>
    <n v="323825.10035034397"/>
    <n v="1165770.36126124"/>
  </r>
  <r>
    <x v="0"/>
    <x v="0"/>
    <x v="0"/>
    <x v="7"/>
    <x v="12"/>
    <s v="NO2_A1"/>
    <x v="9"/>
    <x v="131"/>
    <x v="0"/>
    <x v="7"/>
    <n v="887.19205575436604"/>
    <n v="323825.10035034397"/>
    <n v="1165770.36126124"/>
  </r>
  <r>
    <x v="0"/>
    <x v="0"/>
    <x v="0"/>
    <x v="7"/>
    <x v="12"/>
    <s v="NO2_A1"/>
    <x v="9"/>
    <x v="131"/>
    <x v="0"/>
    <x v="8"/>
    <n v="887.19205575436604"/>
    <n v="323825.10035034397"/>
    <n v="1165770.36126124"/>
  </r>
  <r>
    <x v="0"/>
    <x v="0"/>
    <x v="0"/>
    <x v="7"/>
    <x v="12"/>
    <s v="NO2_A1"/>
    <x v="9"/>
    <x v="131"/>
    <x v="0"/>
    <x v="9"/>
    <n v="887.19205575436604"/>
    <n v="323825.10035034397"/>
    <n v="1165770.36126124"/>
  </r>
  <r>
    <x v="0"/>
    <x v="0"/>
    <x v="0"/>
    <x v="7"/>
    <x v="12"/>
    <s v="NO2_A1"/>
    <x v="9"/>
    <x v="131"/>
    <x v="0"/>
    <x v="10"/>
    <n v="887.19205575436604"/>
    <n v="323825.10035034397"/>
    <n v="1165770.36126124"/>
  </r>
  <r>
    <x v="0"/>
    <x v="0"/>
    <x v="0"/>
    <x v="7"/>
    <x v="12"/>
    <s v="NO2_A1"/>
    <x v="9"/>
    <x v="131"/>
    <x v="0"/>
    <x v="11"/>
    <n v="887.19205575436604"/>
    <n v="323825.10035034397"/>
    <n v="1165770.36126124"/>
  </r>
  <r>
    <x v="0"/>
    <x v="0"/>
    <x v="0"/>
    <x v="7"/>
    <x v="12"/>
    <s v="NO2_A1"/>
    <x v="9"/>
    <x v="131"/>
    <x v="0"/>
    <x v="12"/>
    <n v="887.19205575436604"/>
    <n v="323825.10035034397"/>
    <n v="1165770.36126124"/>
  </r>
  <r>
    <x v="0"/>
    <x v="0"/>
    <x v="0"/>
    <x v="7"/>
    <x v="12"/>
    <s v="NO2_A1"/>
    <x v="9"/>
    <x v="131"/>
    <x v="0"/>
    <x v="13"/>
    <n v="887.19205575436604"/>
    <n v="323825.10035034397"/>
    <n v="1165770.36126124"/>
  </r>
  <r>
    <x v="0"/>
    <x v="0"/>
    <x v="0"/>
    <x v="7"/>
    <x v="12"/>
    <s v="NO2_A1"/>
    <x v="9"/>
    <x v="131"/>
    <x v="0"/>
    <x v="14"/>
    <n v="887.19205575436604"/>
    <n v="323825.10035034397"/>
    <n v="1165770.36126124"/>
  </r>
  <r>
    <x v="0"/>
    <x v="0"/>
    <x v="0"/>
    <x v="7"/>
    <x v="12"/>
    <s v="NO2_A1"/>
    <x v="9"/>
    <x v="131"/>
    <x v="0"/>
    <x v="15"/>
    <n v="887.19205575436604"/>
    <n v="323825.10035034397"/>
    <n v="1165770.36126124"/>
  </r>
  <r>
    <x v="0"/>
    <x v="0"/>
    <x v="0"/>
    <x v="7"/>
    <x v="12"/>
    <s v="NO2_A1"/>
    <x v="9"/>
    <x v="131"/>
    <x v="0"/>
    <x v="16"/>
    <n v="887.19205575436604"/>
    <n v="323825.10035034397"/>
    <n v="1165770.36126124"/>
  </r>
  <r>
    <x v="0"/>
    <x v="0"/>
    <x v="0"/>
    <x v="7"/>
    <x v="12"/>
    <s v="NO2_A1"/>
    <x v="9"/>
    <x v="131"/>
    <x v="0"/>
    <x v="17"/>
    <n v="887.19205575436604"/>
    <n v="323825.10035034397"/>
    <n v="1165770.36126124"/>
  </r>
  <r>
    <x v="0"/>
    <x v="0"/>
    <x v="0"/>
    <x v="7"/>
    <x v="12"/>
    <s v="NO2_A1"/>
    <x v="9"/>
    <x v="131"/>
    <x v="0"/>
    <x v="18"/>
    <n v="887.19205575436604"/>
    <n v="323825.10035034397"/>
    <n v="1165770.36126124"/>
  </r>
  <r>
    <x v="0"/>
    <x v="0"/>
    <x v="0"/>
    <x v="7"/>
    <x v="12"/>
    <s v="NO2_A1"/>
    <x v="9"/>
    <x v="131"/>
    <x v="0"/>
    <x v="19"/>
    <n v="887.19205575436604"/>
    <n v="323825.10035034397"/>
    <n v="1165770.36126124"/>
  </r>
  <r>
    <x v="0"/>
    <x v="0"/>
    <x v="0"/>
    <x v="7"/>
    <x v="12"/>
    <s v="NO2_A1"/>
    <x v="9"/>
    <x v="131"/>
    <x v="0"/>
    <x v="20"/>
    <n v="887.19205575436604"/>
    <n v="323825.10035034397"/>
    <n v="1165770.36126124"/>
  </r>
  <r>
    <x v="0"/>
    <x v="0"/>
    <x v="0"/>
    <x v="7"/>
    <x v="12"/>
    <s v="NO2_A1"/>
    <x v="9"/>
    <x v="131"/>
    <x v="0"/>
    <x v="21"/>
    <n v="887.19205575436604"/>
    <n v="323825.10035034397"/>
    <n v="1165770.36126124"/>
  </r>
  <r>
    <x v="0"/>
    <x v="0"/>
    <x v="0"/>
    <x v="7"/>
    <x v="12"/>
    <s v="NO2_A1"/>
    <x v="9"/>
    <x v="131"/>
    <x v="0"/>
    <x v="22"/>
    <n v="887.19205575436604"/>
    <n v="323825.10035034397"/>
    <n v="1165770.36126124"/>
  </r>
  <r>
    <x v="0"/>
    <x v="0"/>
    <x v="0"/>
    <x v="7"/>
    <x v="12"/>
    <s v="NO2_A1"/>
    <x v="9"/>
    <x v="131"/>
    <x v="0"/>
    <x v="23"/>
    <n v="887.19205575436604"/>
    <n v="323825.10035034397"/>
    <n v="1165770.36126124"/>
  </r>
  <r>
    <x v="0"/>
    <x v="0"/>
    <x v="0"/>
    <x v="7"/>
    <x v="12"/>
    <s v="NO2_A1"/>
    <x v="9"/>
    <x v="132"/>
    <x v="0"/>
    <x v="0"/>
    <n v="209.28438697334701"/>
    <n v="76388.801245271796"/>
    <n v="274999.68448297901"/>
  </r>
  <r>
    <x v="0"/>
    <x v="0"/>
    <x v="0"/>
    <x v="7"/>
    <x v="12"/>
    <s v="NO2_A1"/>
    <x v="9"/>
    <x v="132"/>
    <x v="0"/>
    <x v="1"/>
    <n v="118.46916183328401"/>
    <n v="43241.244069148503"/>
    <n v="155668.47864893501"/>
  </r>
  <r>
    <x v="0"/>
    <x v="0"/>
    <x v="0"/>
    <x v="7"/>
    <x v="12"/>
    <s v="NO2_A1"/>
    <x v="9"/>
    <x v="132"/>
    <x v="0"/>
    <x v="2"/>
    <n v="86.960873278324001"/>
    <n v="31740.7187465883"/>
    <n v="114266.587487718"/>
  </r>
  <r>
    <x v="0"/>
    <x v="0"/>
    <x v="0"/>
    <x v="7"/>
    <x v="12"/>
    <s v="NO2_A1"/>
    <x v="9"/>
    <x v="132"/>
    <x v="0"/>
    <x v="3"/>
    <n v="160.289822313146"/>
    <n v="58505.785144298497"/>
    <n v="210620.826519475"/>
  </r>
  <r>
    <x v="0"/>
    <x v="0"/>
    <x v="0"/>
    <x v="7"/>
    <x v="12"/>
    <s v="NO2_A1"/>
    <x v="9"/>
    <x v="132"/>
    <x v="0"/>
    <x v="4"/>
    <n v="228.05751172851399"/>
    <n v="83240.991780907701"/>
    <n v="299667.57041126798"/>
  </r>
  <r>
    <x v="0"/>
    <x v="0"/>
    <x v="0"/>
    <x v="7"/>
    <x v="12"/>
    <s v="NO2_A1"/>
    <x v="9"/>
    <x v="132"/>
    <x v="0"/>
    <x v="5"/>
    <n v="379.20909916432697"/>
    <n v="138411.32119497901"/>
    <n v="498280.75630192499"/>
  </r>
  <r>
    <x v="0"/>
    <x v="0"/>
    <x v="0"/>
    <x v="7"/>
    <x v="12"/>
    <s v="NO2_A1"/>
    <x v="9"/>
    <x v="132"/>
    <x v="0"/>
    <x v="6"/>
    <n v="688.92841251380298"/>
    <n v="251458.87056753799"/>
    <n v="905251.93404313701"/>
  </r>
  <r>
    <x v="0"/>
    <x v="0"/>
    <x v="0"/>
    <x v="7"/>
    <x v="12"/>
    <s v="NO2_A1"/>
    <x v="9"/>
    <x v="132"/>
    <x v="0"/>
    <x v="7"/>
    <n v="887.19205575436604"/>
    <n v="323825.10035034397"/>
    <n v="1165770.36126124"/>
  </r>
  <r>
    <x v="0"/>
    <x v="0"/>
    <x v="0"/>
    <x v="7"/>
    <x v="12"/>
    <s v="NO2_A1"/>
    <x v="9"/>
    <x v="132"/>
    <x v="0"/>
    <x v="8"/>
    <n v="887.19205575436604"/>
    <n v="323825.10035034397"/>
    <n v="1165770.36126124"/>
  </r>
  <r>
    <x v="0"/>
    <x v="0"/>
    <x v="0"/>
    <x v="7"/>
    <x v="12"/>
    <s v="NO2_A1"/>
    <x v="9"/>
    <x v="132"/>
    <x v="0"/>
    <x v="9"/>
    <n v="887.19205575436604"/>
    <n v="323825.10035034397"/>
    <n v="1165770.36126124"/>
  </r>
  <r>
    <x v="0"/>
    <x v="0"/>
    <x v="0"/>
    <x v="7"/>
    <x v="12"/>
    <s v="NO2_A1"/>
    <x v="9"/>
    <x v="132"/>
    <x v="0"/>
    <x v="10"/>
    <n v="887.19205575436604"/>
    <n v="323825.10035034397"/>
    <n v="1165770.36126124"/>
  </r>
  <r>
    <x v="0"/>
    <x v="0"/>
    <x v="0"/>
    <x v="7"/>
    <x v="12"/>
    <s v="NO2_A1"/>
    <x v="9"/>
    <x v="132"/>
    <x v="0"/>
    <x v="11"/>
    <n v="887.19205575436604"/>
    <n v="323825.10035034397"/>
    <n v="1165770.36126124"/>
  </r>
  <r>
    <x v="0"/>
    <x v="0"/>
    <x v="0"/>
    <x v="7"/>
    <x v="12"/>
    <s v="NO2_A1"/>
    <x v="9"/>
    <x v="132"/>
    <x v="0"/>
    <x v="12"/>
    <n v="887.19205575436604"/>
    <n v="323825.10035034397"/>
    <n v="1165770.36126124"/>
  </r>
  <r>
    <x v="0"/>
    <x v="0"/>
    <x v="0"/>
    <x v="7"/>
    <x v="12"/>
    <s v="NO2_A1"/>
    <x v="9"/>
    <x v="132"/>
    <x v="0"/>
    <x v="13"/>
    <n v="887.19205575436604"/>
    <n v="323825.10035034397"/>
    <n v="1165770.36126124"/>
  </r>
  <r>
    <x v="0"/>
    <x v="0"/>
    <x v="0"/>
    <x v="7"/>
    <x v="12"/>
    <s v="NO2_A1"/>
    <x v="9"/>
    <x v="132"/>
    <x v="0"/>
    <x v="14"/>
    <n v="887.19205575436604"/>
    <n v="323825.10035034397"/>
    <n v="1165770.36126124"/>
  </r>
  <r>
    <x v="0"/>
    <x v="0"/>
    <x v="0"/>
    <x v="7"/>
    <x v="12"/>
    <s v="NO2_A1"/>
    <x v="9"/>
    <x v="132"/>
    <x v="0"/>
    <x v="15"/>
    <n v="887.19205575436604"/>
    <n v="323825.10035034397"/>
    <n v="1165770.36126124"/>
  </r>
  <r>
    <x v="0"/>
    <x v="0"/>
    <x v="0"/>
    <x v="7"/>
    <x v="12"/>
    <s v="NO2_A1"/>
    <x v="9"/>
    <x v="132"/>
    <x v="0"/>
    <x v="16"/>
    <n v="887.19205575436604"/>
    <n v="323825.10035034397"/>
    <n v="1165770.36126124"/>
  </r>
  <r>
    <x v="0"/>
    <x v="0"/>
    <x v="0"/>
    <x v="7"/>
    <x v="12"/>
    <s v="NO2_A1"/>
    <x v="9"/>
    <x v="132"/>
    <x v="0"/>
    <x v="17"/>
    <n v="887.19205575436604"/>
    <n v="323825.10035034397"/>
    <n v="1165770.36126124"/>
  </r>
  <r>
    <x v="0"/>
    <x v="0"/>
    <x v="0"/>
    <x v="7"/>
    <x v="12"/>
    <s v="NO2_A1"/>
    <x v="9"/>
    <x v="132"/>
    <x v="0"/>
    <x v="18"/>
    <n v="887.19205575436604"/>
    <n v="323825.10035034397"/>
    <n v="1165770.36126124"/>
  </r>
  <r>
    <x v="0"/>
    <x v="0"/>
    <x v="0"/>
    <x v="7"/>
    <x v="12"/>
    <s v="NO2_A1"/>
    <x v="9"/>
    <x v="132"/>
    <x v="0"/>
    <x v="19"/>
    <n v="869.09267002966999"/>
    <n v="317218.82456083002"/>
    <n v="1141987.7684189901"/>
  </r>
  <r>
    <x v="0"/>
    <x v="0"/>
    <x v="0"/>
    <x v="7"/>
    <x v="12"/>
    <s v="NO2_A1"/>
    <x v="9"/>
    <x v="132"/>
    <x v="0"/>
    <x v="20"/>
    <n v="783.31862714508304"/>
    <n v="285911.298907955"/>
    <n v="1029280.67606864"/>
  </r>
  <r>
    <x v="0"/>
    <x v="0"/>
    <x v="0"/>
    <x v="7"/>
    <x v="12"/>
    <s v="NO2_A1"/>
    <x v="9"/>
    <x v="132"/>
    <x v="0"/>
    <x v="21"/>
    <n v="661.05027648694499"/>
    <n v="241283.35091773499"/>
    <n v="868620.06330384605"/>
  </r>
  <r>
    <x v="0"/>
    <x v="0"/>
    <x v="0"/>
    <x v="7"/>
    <x v="12"/>
    <s v="NO2_A1"/>
    <x v="9"/>
    <x v="132"/>
    <x v="0"/>
    <x v="22"/>
    <n v="518.18536269529295"/>
    <n v="189137.657383782"/>
    <n v="680895.56658161501"/>
  </r>
  <r>
    <x v="0"/>
    <x v="0"/>
    <x v="0"/>
    <x v="7"/>
    <x v="12"/>
    <s v="NO2_A1"/>
    <x v="9"/>
    <x v="132"/>
    <x v="0"/>
    <x v="23"/>
    <n v="383.20170078901702"/>
    <n v="139868.62078799101"/>
    <n v="503527.034836768"/>
  </r>
  <r>
    <x v="0"/>
    <x v="0"/>
    <x v="0"/>
    <x v="7"/>
    <x v="12"/>
    <s v="NO2_A1"/>
    <x v="9"/>
    <x v="133"/>
    <x v="0"/>
    <x v="7"/>
    <n v="164.383667182111"/>
    <n v="60000.038521470502"/>
    <n v="216000.13867729399"/>
  </r>
  <r>
    <x v="0"/>
    <x v="0"/>
    <x v="0"/>
    <x v="7"/>
    <x v="12"/>
    <s v="NO2_A1"/>
    <x v="9"/>
    <x v="133"/>
    <x v="0"/>
    <x v="8"/>
    <n v="269.40618765896699"/>
    <n v="98333.258495522998"/>
    <n v="353999.73058388301"/>
  </r>
  <r>
    <x v="0"/>
    <x v="0"/>
    <x v="0"/>
    <x v="7"/>
    <x v="12"/>
    <s v="NO2_A1"/>
    <x v="9"/>
    <x v="133"/>
    <x v="0"/>
    <x v="9"/>
    <n v="263.52413896617202"/>
    <n v="96186.310722652895"/>
    <n v="346270.71860154998"/>
  </r>
  <r>
    <x v="0"/>
    <x v="0"/>
    <x v="0"/>
    <x v="7"/>
    <x v="12"/>
    <s v="NO2_A1"/>
    <x v="9"/>
    <x v="133"/>
    <x v="0"/>
    <x v="10"/>
    <n v="189.710180496525"/>
    <n v="69244.215881231794"/>
    <n v="249279.17717243399"/>
  </r>
  <r>
    <x v="0"/>
    <x v="0"/>
    <x v="0"/>
    <x v="7"/>
    <x v="12"/>
    <s v="NO2_A1"/>
    <x v="9"/>
    <x v="133"/>
    <x v="0"/>
    <x v="11"/>
    <n v="283.65476362070802"/>
    <n v="103533.98872155799"/>
    <n v="372722.35939761001"/>
  </r>
  <r>
    <x v="0"/>
    <x v="0"/>
    <x v="0"/>
    <x v="7"/>
    <x v="12"/>
    <s v="NO2_A1"/>
    <x v="9"/>
    <x v="133"/>
    <x v="0"/>
    <x v="12"/>
    <n v="208.56347772402299"/>
    <n v="76125.669369268406"/>
    <n v="274052.40972936602"/>
  </r>
  <r>
    <x v="0"/>
    <x v="0"/>
    <x v="0"/>
    <x v="7"/>
    <x v="12"/>
    <s v="NO2_A1"/>
    <x v="9"/>
    <x v="133"/>
    <x v="0"/>
    <x v="13"/>
    <n v="108.673215503292"/>
    <n v="39665.723658701703"/>
    <n v="142796.60517132599"/>
  </r>
  <r>
    <x v="0"/>
    <x v="0"/>
    <x v="0"/>
    <x v="7"/>
    <x v="12"/>
    <s v="NO2_A1"/>
    <x v="9"/>
    <x v="133"/>
    <x v="0"/>
    <x v="14"/>
    <n v="96.028708097714102"/>
    <n v="35050.478455665703"/>
    <n v="126181.722440396"/>
  </r>
  <r>
    <x v="0"/>
    <x v="0"/>
    <x v="0"/>
    <x v="7"/>
    <x v="12"/>
    <s v="NO2_A1"/>
    <x v="9"/>
    <x v="133"/>
    <x v="0"/>
    <x v="15"/>
    <n v="65.948395989108604"/>
    <n v="24071.1645360246"/>
    <n v="86656.192329688696"/>
  </r>
  <r>
    <x v="0"/>
    <x v="0"/>
    <x v="0"/>
    <x v="7"/>
    <x v="12"/>
    <s v="NO2_A1"/>
    <x v="9"/>
    <x v="133"/>
    <x v="0"/>
    <x v="16"/>
    <n v="124.52751232147"/>
    <n v="45452.541997336601"/>
    <n v="163629.151190412"/>
  </r>
  <r>
    <x v="0"/>
    <x v="0"/>
    <x v="0"/>
    <x v="7"/>
    <x v="12"/>
    <s v="NO2_A1"/>
    <x v="9"/>
    <x v="133"/>
    <x v="0"/>
    <x v="17"/>
    <n v="9.1010314915074595"/>
    <n v="3321.8764944002201"/>
    <n v="11958.755379840801"/>
  </r>
  <r>
    <x v="0"/>
    <x v="0"/>
    <x v="0"/>
    <x v="7"/>
    <x v="12"/>
    <s v="NO2_A1"/>
    <x v="9"/>
    <x v="133"/>
    <x v="0"/>
    <x v="18"/>
    <n v="4.70031621649923"/>
    <n v="1715.6154190222201"/>
    <n v="6176.2155084799897"/>
  </r>
  <r>
    <x v="0"/>
    <x v="0"/>
    <x v="0"/>
    <x v="7"/>
    <x v="12"/>
    <s v="NO2_A1"/>
    <x v="9"/>
    <x v="178"/>
    <x v="0"/>
    <x v="0"/>
    <n v="520"/>
    <n v="189800"/>
    <n v="683280"/>
  </r>
  <r>
    <x v="0"/>
    <x v="0"/>
    <x v="0"/>
    <x v="7"/>
    <x v="12"/>
    <s v="NO2_A1"/>
    <x v="9"/>
    <x v="178"/>
    <x v="0"/>
    <x v="1"/>
    <n v="520"/>
    <n v="189800"/>
    <n v="683280"/>
  </r>
  <r>
    <x v="0"/>
    <x v="0"/>
    <x v="0"/>
    <x v="7"/>
    <x v="12"/>
    <s v="NO2_A1"/>
    <x v="9"/>
    <x v="178"/>
    <x v="0"/>
    <x v="2"/>
    <n v="520"/>
    <n v="189800"/>
    <n v="683280"/>
  </r>
  <r>
    <x v="0"/>
    <x v="0"/>
    <x v="0"/>
    <x v="7"/>
    <x v="12"/>
    <s v="NO2_A1"/>
    <x v="9"/>
    <x v="178"/>
    <x v="0"/>
    <x v="3"/>
    <n v="520"/>
    <n v="189800"/>
    <n v="683280"/>
  </r>
  <r>
    <x v="0"/>
    <x v="0"/>
    <x v="0"/>
    <x v="7"/>
    <x v="12"/>
    <s v="NO2_A1"/>
    <x v="9"/>
    <x v="178"/>
    <x v="0"/>
    <x v="4"/>
    <n v="520"/>
    <n v="189800"/>
    <n v="683280"/>
  </r>
  <r>
    <x v="0"/>
    <x v="0"/>
    <x v="0"/>
    <x v="7"/>
    <x v="12"/>
    <s v="NO2_A1"/>
    <x v="9"/>
    <x v="178"/>
    <x v="0"/>
    <x v="5"/>
    <n v="520"/>
    <n v="189800"/>
    <n v="683280"/>
  </r>
  <r>
    <x v="0"/>
    <x v="0"/>
    <x v="0"/>
    <x v="7"/>
    <x v="12"/>
    <s v="NO2_A1"/>
    <x v="9"/>
    <x v="178"/>
    <x v="0"/>
    <x v="6"/>
    <n v="520"/>
    <n v="189800"/>
    <n v="683280"/>
  </r>
  <r>
    <x v="0"/>
    <x v="0"/>
    <x v="0"/>
    <x v="7"/>
    <x v="12"/>
    <s v="NO2_A1"/>
    <x v="9"/>
    <x v="178"/>
    <x v="0"/>
    <x v="7"/>
    <n v="520"/>
    <n v="189800"/>
    <n v="683280"/>
  </r>
  <r>
    <x v="0"/>
    <x v="0"/>
    <x v="0"/>
    <x v="7"/>
    <x v="12"/>
    <s v="NO2_A1"/>
    <x v="9"/>
    <x v="178"/>
    <x v="0"/>
    <x v="8"/>
    <n v="520"/>
    <n v="189800"/>
    <n v="683280"/>
  </r>
  <r>
    <x v="0"/>
    <x v="0"/>
    <x v="0"/>
    <x v="7"/>
    <x v="12"/>
    <s v="NO2_A1"/>
    <x v="9"/>
    <x v="178"/>
    <x v="0"/>
    <x v="9"/>
    <n v="520"/>
    <n v="189800"/>
    <n v="683280"/>
  </r>
  <r>
    <x v="0"/>
    <x v="0"/>
    <x v="0"/>
    <x v="7"/>
    <x v="12"/>
    <s v="NO2_A1"/>
    <x v="9"/>
    <x v="178"/>
    <x v="0"/>
    <x v="10"/>
    <n v="520"/>
    <n v="189800"/>
    <n v="683280"/>
  </r>
  <r>
    <x v="0"/>
    <x v="0"/>
    <x v="0"/>
    <x v="7"/>
    <x v="12"/>
    <s v="NO2_A1"/>
    <x v="9"/>
    <x v="178"/>
    <x v="0"/>
    <x v="11"/>
    <n v="520"/>
    <n v="189800"/>
    <n v="683280"/>
  </r>
  <r>
    <x v="0"/>
    <x v="0"/>
    <x v="0"/>
    <x v="7"/>
    <x v="12"/>
    <s v="NO2_A1"/>
    <x v="9"/>
    <x v="178"/>
    <x v="0"/>
    <x v="12"/>
    <n v="520"/>
    <n v="189800"/>
    <n v="683280"/>
  </r>
  <r>
    <x v="0"/>
    <x v="0"/>
    <x v="0"/>
    <x v="7"/>
    <x v="12"/>
    <s v="NO2_A1"/>
    <x v="9"/>
    <x v="178"/>
    <x v="0"/>
    <x v="13"/>
    <n v="520"/>
    <n v="189800"/>
    <n v="683280"/>
  </r>
  <r>
    <x v="0"/>
    <x v="0"/>
    <x v="0"/>
    <x v="7"/>
    <x v="12"/>
    <s v="NO2_A1"/>
    <x v="9"/>
    <x v="178"/>
    <x v="0"/>
    <x v="14"/>
    <n v="520"/>
    <n v="189800"/>
    <n v="683280"/>
  </r>
  <r>
    <x v="0"/>
    <x v="0"/>
    <x v="0"/>
    <x v="7"/>
    <x v="12"/>
    <s v="NO2_A1"/>
    <x v="9"/>
    <x v="178"/>
    <x v="0"/>
    <x v="15"/>
    <n v="520"/>
    <n v="189800"/>
    <n v="683280"/>
  </r>
  <r>
    <x v="0"/>
    <x v="0"/>
    <x v="0"/>
    <x v="7"/>
    <x v="12"/>
    <s v="NO2_A1"/>
    <x v="9"/>
    <x v="178"/>
    <x v="0"/>
    <x v="16"/>
    <n v="520"/>
    <n v="189800"/>
    <n v="683280"/>
  </r>
  <r>
    <x v="0"/>
    <x v="0"/>
    <x v="0"/>
    <x v="7"/>
    <x v="12"/>
    <s v="NO2_A1"/>
    <x v="9"/>
    <x v="178"/>
    <x v="0"/>
    <x v="17"/>
    <n v="520"/>
    <n v="189800"/>
    <n v="683280"/>
  </r>
  <r>
    <x v="0"/>
    <x v="0"/>
    <x v="0"/>
    <x v="7"/>
    <x v="12"/>
    <s v="NO2_A1"/>
    <x v="9"/>
    <x v="178"/>
    <x v="0"/>
    <x v="18"/>
    <n v="520"/>
    <n v="189800"/>
    <n v="683280"/>
  </r>
  <r>
    <x v="0"/>
    <x v="0"/>
    <x v="0"/>
    <x v="7"/>
    <x v="12"/>
    <s v="NO2_A1"/>
    <x v="9"/>
    <x v="178"/>
    <x v="0"/>
    <x v="19"/>
    <n v="520"/>
    <n v="189800"/>
    <n v="683280"/>
  </r>
  <r>
    <x v="0"/>
    <x v="0"/>
    <x v="0"/>
    <x v="7"/>
    <x v="12"/>
    <s v="NO2_A1"/>
    <x v="9"/>
    <x v="178"/>
    <x v="0"/>
    <x v="20"/>
    <n v="520"/>
    <n v="189800"/>
    <n v="683280"/>
  </r>
  <r>
    <x v="0"/>
    <x v="0"/>
    <x v="0"/>
    <x v="7"/>
    <x v="12"/>
    <s v="NO2_A1"/>
    <x v="9"/>
    <x v="178"/>
    <x v="0"/>
    <x v="21"/>
    <n v="520"/>
    <n v="189800"/>
    <n v="683280"/>
  </r>
  <r>
    <x v="0"/>
    <x v="0"/>
    <x v="0"/>
    <x v="7"/>
    <x v="12"/>
    <s v="NO2_A1"/>
    <x v="9"/>
    <x v="178"/>
    <x v="0"/>
    <x v="22"/>
    <n v="520"/>
    <n v="189800"/>
    <n v="683280"/>
  </r>
  <r>
    <x v="0"/>
    <x v="0"/>
    <x v="0"/>
    <x v="7"/>
    <x v="12"/>
    <s v="NO2_A1"/>
    <x v="9"/>
    <x v="178"/>
    <x v="0"/>
    <x v="23"/>
    <n v="520"/>
    <n v="189800"/>
    <n v="683280"/>
  </r>
  <r>
    <x v="0"/>
    <x v="0"/>
    <x v="0"/>
    <x v="7"/>
    <x v="12"/>
    <s v="NO2_A1"/>
    <x v="9"/>
    <x v="57"/>
    <x v="0"/>
    <x v="0"/>
    <n v="1058.7105432231699"/>
    <n v="386429.34827645897"/>
    <n v="1391145.65379525"/>
  </r>
  <r>
    <x v="0"/>
    <x v="0"/>
    <x v="0"/>
    <x v="7"/>
    <x v="12"/>
    <s v="NO2_A1"/>
    <x v="9"/>
    <x v="57"/>
    <x v="0"/>
    <x v="1"/>
    <n v="1058.7105432231699"/>
    <n v="386429.34827645897"/>
    <n v="1391145.65379525"/>
  </r>
  <r>
    <x v="0"/>
    <x v="0"/>
    <x v="0"/>
    <x v="7"/>
    <x v="12"/>
    <s v="NO2_A1"/>
    <x v="9"/>
    <x v="57"/>
    <x v="0"/>
    <x v="2"/>
    <n v="1058.7105432231699"/>
    <n v="386429.34827645897"/>
    <n v="1391145.65379525"/>
  </r>
  <r>
    <x v="0"/>
    <x v="0"/>
    <x v="0"/>
    <x v="7"/>
    <x v="12"/>
    <s v="NO2_A1"/>
    <x v="9"/>
    <x v="57"/>
    <x v="0"/>
    <x v="3"/>
    <n v="1058.7105432231699"/>
    <n v="386429.34827645897"/>
    <n v="1391145.65379525"/>
  </r>
  <r>
    <x v="0"/>
    <x v="0"/>
    <x v="0"/>
    <x v="7"/>
    <x v="12"/>
    <s v="NO2_A1"/>
    <x v="9"/>
    <x v="57"/>
    <x v="0"/>
    <x v="4"/>
    <n v="1058.7105432231699"/>
    <n v="386429.34827645897"/>
    <n v="1391145.65379525"/>
  </r>
  <r>
    <x v="0"/>
    <x v="0"/>
    <x v="0"/>
    <x v="7"/>
    <x v="12"/>
    <s v="NO2_A1"/>
    <x v="9"/>
    <x v="57"/>
    <x v="0"/>
    <x v="5"/>
    <n v="1058.7105432231699"/>
    <n v="386429.34827645897"/>
    <n v="1391145.65379525"/>
  </r>
  <r>
    <x v="0"/>
    <x v="0"/>
    <x v="0"/>
    <x v="7"/>
    <x v="12"/>
    <s v="NO2_A1"/>
    <x v="9"/>
    <x v="57"/>
    <x v="0"/>
    <x v="6"/>
    <n v="1058.7105432231699"/>
    <n v="386429.34827645897"/>
    <n v="1391145.65379525"/>
  </r>
  <r>
    <x v="0"/>
    <x v="0"/>
    <x v="0"/>
    <x v="7"/>
    <x v="12"/>
    <s v="NO2_A1"/>
    <x v="9"/>
    <x v="57"/>
    <x v="0"/>
    <x v="7"/>
    <n v="1058.7105432231699"/>
    <n v="386429.34827645897"/>
    <n v="1391145.65379525"/>
  </r>
  <r>
    <x v="0"/>
    <x v="0"/>
    <x v="0"/>
    <x v="7"/>
    <x v="12"/>
    <s v="NO2_A1"/>
    <x v="9"/>
    <x v="57"/>
    <x v="0"/>
    <x v="8"/>
    <n v="1058.7105432231699"/>
    <n v="386429.34827645897"/>
    <n v="1391145.65379525"/>
  </r>
  <r>
    <x v="0"/>
    <x v="0"/>
    <x v="0"/>
    <x v="7"/>
    <x v="12"/>
    <s v="NO2_A1"/>
    <x v="9"/>
    <x v="57"/>
    <x v="0"/>
    <x v="9"/>
    <n v="1058.7105432231699"/>
    <n v="386429.34827645897"/>
    <n v="1391145.65379525"/>
  </r>
  <r>
    <x v="0"/>
    <x v="0"/>
    <x v="0"/>
    <x v="7"/>
    <x v="12"/>
    <s v="NO2_A1"/>
    <x v="9"/>
    <x v="57"/>
    <x v="0"/>
    <x v="10"/>
    <n v="1058.7105432231699"/>
    <n v="386429.34827645897"/>
    <n v="1391145.65379525"/>
  </r>
  <r>
    <x v="0"/>
    <x v="0"/>
    <x v="0"/>
    <x v="7"/>
    <x v="12"/>
    <s v="NO2_A1"/>
    <x v="9"/>
    <x v="57"/>
    <x v="0"/>
    <x v="11"/>
    <n v="1058.7105432231699"/>
    <n v="386429.34827645897"/>
    <n v="1391145.65379525"/>
  </r>
  <r>
    <x v="0"/>
    <x v="0"/>
    <x v="0"/>
    <x v="7"/>
    <x v="12"/>
    <s v="NO2_A1"/>
    <x v="9"/>
    <x v="57"/>
    <x v="0"/>
    <x v="12"/>
    <n v="1058.7105432231699"/>
    <n v="386429.34827645897"/>
    <n v="1391145.65379525"/>
  </r>
  <r>
    <x v="0"/>
    <x v="0"/>
    <x v="0"/>
    <x v="7"/>
    <x v="12"/>
    <s v="NO2_A1"/>
    <x v="9"/>
    <x v="57"/>
    <x v="0"/>
    <x v="13"/>
    <n v="1058.7105432231699"/>
    <n v="386429.34827645897"/>
    <n v="1391145.65379525"/>
  </r>
  <r>
    <x v="0"/>
    <x v="0"/>
    <x v="0"/>
    <x v="7"/>
    <x v="12"/>
    <s v="NO2_A1"/>
    <x v="9"/>
    <x v="57"/>
    <x v="0"/>
    <x v="14"/>
    <n v="1058.7105432231699"/>
    <n v="386429.34827645897"/>
    <n v="1391145.65379525"/>
  </r>
  <r>
    <x v="0"/>
    <x v="0"/>
    <x v="0"/>
    <x v="7"/>
    <x v="12"/>
    <s v="NO2_A1"/>
    <x v="9"/>
    <x v="57"/>
    <x v="0"/>
    <x v="15"/>
    <n v="1058.7105432231699"/>
    <n v="386429.34827645897"/>
    <n v="1391145.65379525"/>
  </r>
  <r>
    <x v="0"/>
    <x v="0"/>
    <x v="0"/>
    <x v="7"/>
    <x v="12"/>
    <s v="NO2_A1"/>
    <x v="9"/>
    <x v="57"/>
    <x v="0"/>
    <x v="16"/>
    <n v="1058.7105432231699"/>
    <n v="386429.34827645897"/>
    <n v="1391145.65379525"/>
  </r>
  <r>
    <x v="0"/>
    <x v="0"/>
    <x v="0"/>
    <x v="7"/>
    <x v="12"/>
    <s v="NO2_A1"/>
    <x v="9"/>
    <x v="57"/>
    <x v="0"/>
    <x v="17"/>
    <n v="1058.7105432231699"/>
    <n v="386429.34827645897"/>
    <n v="1391145.65379525"/>
  </r>
  <r>
    <x v="0"/>
    <x v="0"/>
    <x v="0"/>
    <x v="7"/>
    <x v="12"/>
    <s v="NO2_A1"/>
    <x v="9"/>
    <x v="57"/>
    <x v="0"/>
    <x v="18"/>
    <n v="1058.7105432231699"/>
    <n v="386429.34827645897"/>
    <n v="1391145.65379525"/>
  </r>
  <r>
    <x v="0"/>
    <x v="0"/>
    <x v="0"/>
    <x v="7"/>
    <x v="12"/>
    <s v="NO2_A1"/>
    <x v="9"/>
    <x v="57"/>
    <x v="0"/>
    <x v="19"/>
    <n v="1058.7105432231699"/>
    <n v="386429.34827645897"/>
    <n v="1391145.65379525"/>
  </r>
  <r>
    <x v="0"/>
    <x v="0"/>
    <x v="0"/>
    <x v="7"/>
    <x v="12"/>
    <s v="NO2_A1"/>
    <x v="9"/>
    <x v="57"/>
    <x v="0"/>
    <x v="20"/>
    <n v="1058.7105432231699"/>
    <n v="386429.34827645897"/>
    <n v="1391145.65379525"/>
  </r>
  <r>
    <x v="0"/>
    <x v="0"/>
    <x v="0"/>
    <x v="7"/>
    <x v="12"/>
    <s v="NO2_A1"/>
    <x v="9"/>
    <x v="57"/>
    <x v="0"/>
    <x v="21"/>
    <n v="1058.7105432231699"/>
    <n v="386429.34827645897"/>
    <n v="1391145.65379525"/>
  </r>
  <r>
    <x v="0"/>
    <x v="0"/>
    <x v="0"/>
    <x v="7"/>
    <x v="12"/>
    <s v="NO2_A1"/>
    <x v="9"/>
    <x v="57"/>
    <x v="0"/>
    <x v="22"/>
    <n v="1058.7105432231699"/>
    <n v="386429.34827645897"/>
    <n v="1391145.65379525"/>
  </r>
  <r>
    <x v="0"/>
    <x v="0"/>
    <x v="0"/>
    <x v="7"/>
    <x v="12"/>
    <s v="NO2_A1"/>
    <x v="9"/>
    <x v="57"/>
    <x v="0"/>
    <x v="23"/>
    <n v="1058.7105432231699"/>
    <n v="386429.34827645897"/>
    <n v="1391145.65379525"/>
  </r>
  <r>
    <x v="0"/>
    <x v="0"/>
    <x v="0"/>
    <x v="7"/>
    <x v="12"/>
    <s v="NO2_A1"/>
    <x v="10"/>
    <x v="58"/>
    <x v="0"/>
    <x v="0"/>
    <n v="188.37834895824599"/>
    <n v="68758.097369759693"/>
    <n v="247529.150531135"/>
  </r>
  <r>
    <x v="0"/>
    <x v="0"/>
    <x v="0"/>
    <x v="7"/>
    <x v="12"/>
    <s v="NO2_A1"/>
    <x v="10"/>
    <x v="58"/>
    <x v="0"/>
    <x v="1"/>
    <n v="189.76088581393799"/>
    <n v="69262.723322087404"/>
    <n v="249345.803959515"/>
  </r>
  <r>
    <x v="0"/>
    <x v="0"/>
    <x v="0"/>
    <x v="7"/>
    <x v="12"/>
    <s v="NO2_A1"/>
    <x v="10"/>
    <x v="58"/>
    <x v="0"/>
    <x v="2"/>
    <n v="191.45827827411401"/>
    <n v="69882.2715700517"/>
    <n v="251576.17765218599"/>
  </r>
  <r>
    <x v="0"/>
    <x v="0"/>
    <x v="0"/>
    <x v="7"/>
    <x v="12"/>
    <s v="NO2_A1"/>
    <x v="10"/>
    <x v="58"/>
    <x v="0"/>
    <x v="3"/>
    <n v="193.48464992334701"/>
    <n v="70621.897222021493"/>
    <n v="254238.82999927699"/>
  </r>
  <r>
    <x v="0"/>
    <x v="0"/>
    <x v="0"/>
    <x v="7"/>
    <x v="12"/>
    <s v="NO2_A1"/>
    <x v="10"/>
    <x v="58"/>
    <x v="0"/>
    <x v="4"/>
    <n v="193.619557168331"/>
    <n v="70671.138366440704"/>
    <n v="254416.09811918699"/>
  </r>
  <r>
    <x v="0"/>
    <x v="0"/>
    <x v="0"/>
    <x v="7"/>
    <x v="12"/>
    <s v="NO2_A1"/>
    <x v="10"/>
    <x v="58"/>
    <x v="0"/>
    <x v="5"/>
    <n v="194.834771994775"/>
    <n v="71114.691778092805"/>
    <n v="256012.89040113401"/>
  </r>
  <r>
    <x v="0"/>
    <x v="0"/>
    <x v="0"/>
    <x v="7"/>
    <x v="12"/>
    <s v="NO2_A1"/>
    <x v="10"/>
    <x v="58"/>
    <x v="0"/>
    <x v="6"/>
    <n v="194.81754585228001"/>
    <n v="71108.404236082293"/>
    <n v="255990.255249896"/>
  </r>
  <r>
    <x v="0"/>
    <x v="0"/>
    <x v="0"/>
    <x v="7"/>
    <x v="12"/>
    <s v="NO2_A1"/>
    <x v="10"/>
    <x v="58"/>
    <x v="0"/>
    <x v="7"/>
    <n v="194.86947124954901"/>
    <n v="71127.357006085396"/>
    <n v="256058.485221907"/>
  </r>
  <r>
    <x v="0"/>
    <x v="0"/>
    <x v="0"/>
    <x v="7"/>
    <x v="12"/>
    <s v="NO2_A1"/>
    <x v="10"/>
    <x v="58"/>
    <x v="0"/>
    <x v="8"/>
    <n v="194.18508710445599"/>
    <n v="70877.556793126394"/>
    <n v="255159.20445525501"/>
  </r>
  <r>
    <x v="0"/>
    <x v="0"/>
    <x v="0"/>
    <x v="7"/>
    <x v="12"/>
    <s v="NO2_A1"/>
    <x v="10"/>
    <x v="58"/>
    <x v="0"/>
    <x v="9"/>
    <n v="191.78633132647701"/>
    <n v="70002.010934164093"/>
    <n v="252007.23936299101"/>
  </r>
  <r>
    <x v="0"/>
    <x v="0"/>
    <x v="0"/>
    <x v="7"/>
    <x v="12"/>
    <s v="NO2_A1"/>
    <x v="10"/>
    <x v="58"/>
    <x v="0"/>
    <x v="10"/>
    <n v="152.153268546509"/>
    <n v="55535.943019475897"/>
    <n v="199929.394870113"/>
  </r>
  <r>
    <x v="0"/>
    <x v="0"/>
    <x v="0"/>
    <x v="7"/>
    <x v="12"/>
    <s v="NO2_A1"/>
    <x v="10"/>
    <x v="58"/>
    <x v="0"/>
    <x v="11"/>
    <n v="49.927880951551899"/>
    <n v="18223.676547316401"/>
    <n v="65605.235570339195"/>
  </r>
  <r>
    <x v="0"/>
    <x v="0"/>
    <x v="0"/>
    <x v="7"/>
    <x v="12"/>
    <s v="NO2_A1"/>
    <x v="10"/>
    <x v="58"/>
    <x v="0"/>
    <x v="12"/>
    <n v="62.913133317425697"/>
    <n v="22963.2936608604"/>
    <n v="82667.857179097293"/>
  </r>
  <r>
    <x v="0"/>
    <x v="0"/>
    <x v="0"/>
    <x v="7"/>
    <x v="12"/>
    <s v="NO2_A1"/>
    <x v="10"/>
    <x v="58"/>
    <x v="0"/>
    <x v="13"/>
    <n v="181.02116537385601"/>
    <n v="66072.7253614574"/>
    <n v="237861.81130124701"/>
  </r>
  <r>
    <x v="0"/>
    <x v="0"/>
    <x v="0"/>
    <x v="7"/>
    <x v="12"/>
    <s v="NO2_A1"/>
    <x v="10"/>
    <x v="58"/>
    <x v="0"/>
    <x v="14"/>
    <n v="186.21294875574401"/>
    <n v="67967.726295846602"/>
    <n v="244683.814665048"/>
  </r>
  <r>
    <x v="0"/>
    <x v="0"/>
    <x v="0"/>
    <x v="7"/>
    <x v="12"/>
    <s v="NO2_A1"/>
    <x v="10"/>
    <x v="58"/>
    <x v="0"/>
    <x v="15"/>
    <n v="196.419330134489"/>
    <n v="71693.055499088601"/>
    <n v="258094.999796719"/>
  </r>
  <r>
    <x v="0"/>
    <x v="0"/>
    <x v="0"/>
    <x v="7"/>
    <x v="12"/>
    <s v="NO2_A1"/>
    <x v="10"/>
    <x v="58"/>
    <x v="0"/>
    <x v="16"/>
    <n v="185.04079928553699"/>
    <n v="67539.891739220795"/>
    <n v="243143.61026119499"/>
  </r>
  <r>
    <x v="0"/>
    <x v="0"/>
    <x v="0"/>
    <x v="7"/>
    <x v="12"/>
    <s v="NO2_A1"/>
    <x v="10"/>
    <x v="58"/>
    <x v="0"/>
    <x v="17"/>
    <n v="193.644902442503"/>
    <n v="70680.3893915136"/>
    <n v="254449.40180944899"/>
  </r>
  <r>
    <x v="0"/>
    <x v="0"/>
    <x v="0"/>
    <x v="7"/>
    <x v="12"/>
    <s v="NO2_A1"/>
    <x v="10"/>
    <x v="58"/>
    <x v="0"/>
    <x v="18"/>
    <n v="164.094319387334"/>
    <n v="59894.426576377002"/>
    <n v="215619.935674957"/>
  </r>
  <r>
    <x v="0"/>
    <x v="0"/>
    <x v="0"/>
    <x v="7"/>
    <x v="12"/>
    <s v="NO2_A1"/>
    <x v="10"/>
    <x v="58"/>
    <x v="0"/>
    <x v="19"/>
    <n v="148.80232076297099"/>
    <n v="54312.847078484403"/>
    <n v="195526.24948254399"/>
  </r>
  <r>
    <x v="0"/>
    <x v="0"/>
    <x v="0"/>
    <x v="7"/>
    <x v="12"/>
    <s v="NO2_A1"/>
    <x v="10"/>
    <x v="58"/>
    <x v="0"/>
    <x v="20"/>
    <n v="189.031939058288"/>
    <n v="68996.657756275104"/>
    <n v="248387.96792259"/>
  </r>
  <r>
    <x v="0"/>
    <x v="0"/>
    <x v="0"/>
    <x v="7"/>
    <x v="12"/>
    <s v="NO2_A1"/>
    <x v="10"/>
    <x v="58"/>
    <x v="0"/>
    <x v="21"/>
    <n v="160.58964834832699"/>
    <n v="58615.221647139399"/>
    <n v="211014.79792970201"/>
  </r>
  <r>
    <x v="0"/>
    <x v="0"/>
    <x v="0"/>
    <x v="7"/>
    <x v="12"/>
    <s v="NO2_A1"/>
    <x v="10"/>
    <x v="58"/>
    <x v="0"/>
    <x v="22"/>
    <n v="182.55481686666499"/>
    <n v="66632.508156332595"/>
    <n v="239877.02936279701"/>
  </r>
  <r>
    <x v="0"/>
    <x v="0"/>
    <x v="0"/>
    <x v="7"/>
    <x v="12"/>
    <s v="NO2_A1"/>
    <x v="10"/>
    <x v="58"/>
    <x v="0"/>
    <x v="23"/>
    <n v="130.39229773342299"/>
    <n v="47593.1886726995"/>
    <n v="171335.47922171801"/>
  </r>
  <r>
    <x v="0"/>
    <x v="0"/>
    <x v="0"/>
    <x v="7"/>
    <x v="12"/>
    <s v="NO2_A1"/>
    <x v="11"/>
    <x v="122"/>
    <x v="0"/>
    <x v="5"/>
    <n v="3.1662113679099302"/>
    <n v="1155.6671492871201"/>
    <n v="4160.4017374336499"/>
  </r>
  <r>
    <x v="0"/>
    <x v="0"/>
    <x v="0"/>
    <x v="7"/>
    <x v="12"/>
    <s v="NO2_A1"/>
    <x v="11"/>
    <x v="122"/>
    <x v="0"/>
    <x v="6"/>
    <n v="11.196461355844299"/>
    <n v="4086.7083948831601"/>
    <n v="14712.150221579401"/>
  </r>
  <r>
    <x v="0"/>
    <x v="0"/>
    <x v="0"/>
    <x v="7"/>
    <x v="12"/>
    <s v="NO2_A1"/>
    <x v="11"/>
    <x v="122"/>
    <x v="0"/>
    <x v="7"/>
    <n v="18.4834515780766"/>
    <n v="6746.4598259979402"/>
    <n v="24287.255373592601"/>
  </r>
  <r>
    <x v="0"/>
    <x v="0"/>
    <x v="0"/>
    <x v="7"/>
    <x v="12"/>
    <s v="NO2_A1"/>
    <x v="11"/>
    <x v="122"/>
    <x v="0"/>
    <x v="8"/>
    <n v="19.646011087192701"/>
    <n v="7170.79404682534"/>
    <n v="25814.858568571199"/>
  </r>
  <r>
    <x v="0"/>
    <x v="0"/>
    <x v="0"/>
    <x v="7"/>
    <x v="12"/>
    <s v="NO2_A1"/>
    <x v="11"/>
    <x v="122"/>
    <x v="0"/>
    <x v="9"/>
    <n v="18.037861411372599"/>
    <n v="6583.8194151510097"/>
    <n v="23701.749894543598"/>
  </r>
  <r>
    <x v="0"/>
    <x v="0"/>
    <x v="0"/>
    <x v="7"/>
    <x v="12"/>
    <s v="NO2_A1"/>
    <x v="11"/>
    <x v="122"/>
    <x v="0"/>
    <x v="10"/>
    <n v="15.822776445183401"/>
    <n v="5775.31340249195"/>
    <n v="20791.128248970999"/>
  </r>
  <r>
    <x v="0"/>
    <x v="0"/>
    <x v="0"/>
    <x v="7"/>
    <x v="12"/>
    <s v="NO2_A1"/>
    <x v="11"/>
    <x v="122"/>
    <x v="0"/>
    <x v="11"/>
    <n v="13.8558045781541"/>
    <n v="5057.36867102625"/>
    <n v="18206.527215694499"/>
  </r>
  <r>
    <x v="0"/>
    <x v="0"/>
    <x v="0"/>
    <x v="7"/>
    <x v="12"/>
    <s v="NO2_A1"/>
    <x v="11"/>
    <x v="122"/>
    <x v="0"/>
    <x v="12"/>
    <n v="12.1916083872883"/>
    <n v="4449.9370613602196"/>
    <n v="16019.7734208968"/>
  </r>
  <r>
    <x v="0"/>
    <x v="0"/>
    <x v="0"/>
    <x v="7"/>
    <x v="12"/>
    <s v="NO2_A1"/>
    <x v="11"/>
    <x v="122"/>
    <x v="0"/>
    <x v="13"/>
    <n v="7.2488361670082"/>
    <n v="2645.8252009579901"/>
    <n v="9524.9707234487796"/>
  </r>
  <r>
    <x v="0"/>
    <x v="0"/>
    <x v="0"/>
    <x v="7"/>
    <x v="12"/>
    <s v="NO2_A1"/>
    <x v="11"/>
    <x v="122"/>
    <x v="0"/>
    <x v="14"/>
    <n v="9.7672419834437392"/>
    <n v="3565.0433239569702"/>
    <n v="12834.1559662451"/>
  </r>
  <r>
    <x v="0"/>
    <x v="0"/>
    <x v="0"/>
    <x v="7"/>
    <x v="12"/>
    <s v="NO2_A1"/>
    <x v="11"/>
    <x v="122"/>
    <x v="0"/>
    <x v="15"/>
    <n v="7.4406577960603597"/>
    <n v="2715.84009556203"/>
    <n v="9777.0243440233207"/>
  </r>
  <r>
    <x v="0"/>
    <x v="0"/>
    <x v="0"/>
    <x v="7"/>
    <x v="12"/>
    <s v="NO2_A1"/>
    <x v="11"/>
    <x v="122"/>
    <x v="0"/>
    <x v="16"/>
    <n v="3.4992193280581501"/>
    <n v="1277.21505474122"/>
    <n v="4597.9741970684099"/>
  </r>
  <r>
    <x v="0"/>
    <x v="0"/>
    <x v="0"/>
    <x v="7"/>
    <x v="12"/>
    <s v="NO2_A1"/>
    <x v="11"/>
    <x v="122"/>
    <x v="0"/>
    <x v="17"/>
    <n v="0.66654661452891895"/>
    <n v="243.289514303055"/>
    <n v="875.84225149099996"/>
  </r>
  <r>
    <x v="0"/>
    <x v="0"/>
    <x v="0"/>
    <x v="7"/>
    <x v="13"/>
    <s v="NO3_A1"/>
    <x v="2"/>
    <x v="175"/>
    <x v="0"/>
    <x v="0"/>
    <n v="20.143010752688198"/>
    <n v="7352.1989247311803"/>
    <n v="26467.916129032299"/>
  </r>
  <r>
    <x v="0"/>
    <x v="0"/>
    <x v="0"/>
    <x v="7"/>
    <x v="13"/>
    <s v="NO3_A1"/>
    <x v="2"/>
    <x v="175"/>
    <x v="0"/>
    <x v="1"/>
    <n v="20.143010752688198"/>
    <n v="7352.1989247311803"/>
    <n v="26467.916129032299"/>
  </r>
  <r>
    <x v="0"/>
    <x v="0"/>
    <x v="0"/>
    <x v="7"/>
    <x v="13"/>
    <s v="NO3_A1"/>
    <x v="2"/>
    <x v="175"/>
    <x v="0"/>
    <x v="2"/>
    <n v="20.143010752688198"/>
    <n v="7352.1989247311803"/>
    <n v="26467.916129032299"/>
  </r>
  <r>
    <x v="0"/>
    <x v="0"/>
    <x v="0"/>
    <x v="7"/>
    <x v="13"/>
    <s v="NO3_A1"/>
    <x v="2"/>
    <x v="175"/>
    <x v="0"/>
    <x v="3"/>
    <n v="20.143010752688198"/>
    <n v="7352.1989247311803"/>
    <n v="26467.916129032299"/>
  </r>
  <r>
    <x v="0"/>
    <x v="0"/>
    <x v="0"/>
    <x v="7"/>
    <x v="13"/>
    <s v="NO3_A1"/>
    <x v="2"/>
    <x v="175"/>
    <x v="0"/>
    <x v="4"/>
    <n v="20.143010752688198"/>
    <n v="7352.1989247311803"/>
    <n v="26467.916129032299"/>
  </r>
  <r>
    <x v="0"/>
    <x v="0"/>
    <x v="0"/>
    <x v="7"/>
    <x v="13"/>
    <s v="NO3_A1"/>
    <x v="2"/>
    <x v="175"/>
    <x v="0"/>
    <x v="5"/>
    <n v="20.143010752688198"/>
    <n v="7352.1989247311803"/>
    <n v="26467.916129032299"/>
  </r>
  <r>
    <x v="0"/>
    <x v="0"/>
    <x v="0"/>
    <x v="7"/>
    <x v="13"/>
    <s v="NO3_A1"/>
    <x v="2"/>
    <x v="175"/>
    <x v="0"/>
    <x v="6"/>
    <n v="20.143010752688198"/>
    <n v="7352.1989247311803"/>
    <n v="26467.916129032299"/>
  </r>
  <r>
    <x v="0"/>
    <x v="0"/>
    <x v="0"/>
    <x v="7"/>
    <x v="13"/>
    <s v="NO3_A1"/>
    <x v="2"/>
    <x v="175"/>
    <x v="0"/>
    <x v="7"/>
    <n v="20.143010752688198"/>
    <n v="7352.1989247311803"/>
    <n v="26467.916129032299"/>
  </r>
  <r>
    <x v="0"/>
    <x v="0"/>
    <x v="0"/>
    <x v="7"/>
    <x v="13"/>
    <s v="NO3_A1"/>
    <x v="2"/>
    <x v="175"/>
    <x v="0"/>
    <x v="8"/>
    <n v="20.143010752688198"/>
    <n v="7352.1989247311803"/>
    <n v="26467.916129032299"/>
  </r>
  <r>
    <x v="0"/>
    <x v="0"/>
    <x v="0"/>
    <x v="7"/>
    <x v="13"/>
    <s v="NO3_A1"/>
    <x v="2"/>
    <x v="175"/>
    <x v="0"/>
    <x v="9"/>
    <n v="20.143010752688198"/>
    <n v="7352.1989247311803"/>
    <n v="26467.916129032299"/>
  </r>
  <r>
    <x v="0"/>
    <x v="0"/>
    <x v="0"/>
    <x v="7"/>
    <x v="13"/>
    <s v="NO3_A1"/>
    <x v="2"/>
    <x v="175"/>
    <x v="0"/>
    <x v="10"/>
    <n v="20.143010752688198"/>
    <n v="7352.1989247311803"/>
    <n v="26467.916129032299"/>
  </r>
  <r>
    <x v="0"/>
    <x v="0"/>
    <x v="0"/>
    <x v="7"/>
    <x v="13"/>
    <s v="NO3_A1"/>
    <x v="2"/>
    <x v="175"/>
    <x v="0"/>
    <x v="11"/>
    <n v="20.143010752688198"/>
    <n v="7352.1989247311803"/>
    <n v="26467.916129032299"/>
  </r>
  <r>
    <x v="0"/>
    <x v="0"/>
    <x v="0"/>
    <x v="7"/>
    <x v="13"/>
    <s v="NO3_A1"/>
    <x v="2"/>
    <x v="175"/>
    <x v="0"/>
    <x v="12"/>
    <n v="20.143010752688198"/>
    <n v="7352.1989247311803"/>
    <n v="26467.916129032299"/>
  </r>
  <r>
    <x v="0"/>
    <x v="0"/>
    <x v="0"/>
    <x v="7"/>
    <x v="13"/>
    <s v="NO3_A1"/>
    <x v="2"/>
    <x v="175"/>
    <x v="0"/>
    <x v="13"/>
    <n v="20.143010752688198"/>
    <n v="7352.1989247311803"/>
    <n v="26467.916129032299"/>
  </r>
  <r>
    <x v="0"/>
    <x v="0"/>
    <x v="0"/>
    <x v="7"/>
    <x v="13"/>
    <s v="NO3_A1"/>
    <x v="2"/>
    <x v="175"/>
    <x v="0"/>
    <x v="14"/>
    <n v="20.143010752688198"/>
    <n v="7352.1989247311803"/>
    <n v="26467.916129032299"/>
  </r>
  <r>
    <x v="0"/>
    <x v="0"/>
    <x v="0"/>
    <x v="7"/>
    <x v="13"/>
    <s v="NO3_A1"/>
    <x v="2"/>
    <x v="175"/>
    <x v="0"/>
    <x v="15"/>
    <n v="20.143010752688198"/>
    <n v="7352.1989247311803"/>
    <n v="26467.916129032299"/>
  </r>
  <r>
    <x v="0"/>
    <x v="0"/>
    <x v="0"/>
    <x v="7"/>
    <x v="13"/>
    <s v="NO3_A1"/>
    <x v="2"/>
    <x v="175"/>
    <x v="0"/>
    <x v="16"/>
    <n v="20.143010752688198"/>
    <n v="7352.1989247311803"/>
    <n v="26467.916129032299"/>
  </r>
  <r>
    <x v="0"/>
    <x v="0"/>
    <x v="0"/>
    <x v="7"/>
    <x v="13"/>
    <s v="NO3_A1"/>
    <x v="2"/>
    <x v="175"/>
    <x v="0"/>
    <x v="17"/>
    <n v="20.143010752688198"/>
    <n v="7352.1989247311803"/>
    <n v="26467.916129032299"/>
  </r>
  <r>
    <x v="0"/>
    <x v="0"/>
    <x v="0"/>
    <x v="7"/>
    <x v="13"/>
    <s v="NO3_A1"/>
    <x v="2"/>
    <x v="175"/>
    <x v="0"/>
    <x v="18"/>
    <n v="20.143010752688198"/>
    <n v="7352.1989247311803"/>
    <n v="26467.916129032299"/>
  </r>
  <r>
    <x v="0"/>
    <x v="0"/>
    <x v="0"/>
    <x v="7"/>
    <x v="13"/>
    <s v="NO3_A1"/>
    <x v="2"/>
    <x v="175"/>
    <x v="0"/>
    <x v="19"/>
    <n v="20.143010752688198"/>
    <n v="7352.1989247311803"/>
    <n v="26467.916129032299"/>
  </r>
  <r>
    <x v="0"/>
    <x v="0"/>
    <x v="0"/>
    <x v="7"/>
    <x v="13"/>
    <s v="NO3_A1"/>
    <x v="2"/>
    <x v="175"/>
    <x v="0"/>
    <x v="20"/>
    <n v="20.143010752688198"/>
    <n v="7352.1989247311803"/>
    <n v="26467.916129032299"/>
  </r>
  <r>
    <x v="0"/>
    <x v="0"/>
    <x v="0"/>
    <x v="7"/>
    <x v="13"/>
    <s v="NO3_A1"/>
    <x v="2"/>
    <x v="175"/>
    <x v="0"/>
    <x v="21"/>
    <n v="20.143010752688198"/>
    <n v="7352.1989247311803"/>
    <n v="26467.916129032299"/>
  </r>
  <r>
    <x v="0"/>
    <x v="0"/>
    <x v="0"/>
    <x v="7"/>
    <x v="13"/>
    <s v="NO3_A1"/>
    <x v="2"/>
    <x v="175"/>
    <x v="0"/>
    <x v="22"/>
    <n v="20.143010752688198"/>
    <n v="7352.1989247311803"/>
    <n v="26467.916129032299"/>
  </r>
  <r>
    <x v="0"/>
    <x v="0"/>
    <x v="0"/>
    <x v="7"/>
    <x v="13"/>
    <s v="NO3_A1"/>
    <x v="2"/>
    <x v="175"/>
    <x v="0"/>
    <x v="23"/>
    <n v="20.143010752688198"/>
    <n v="7352.1989247311803"/>
    <n v="26467.916129032299"/>
  </r>
  <r>
    <x v="0"/>
    <x v="0"/>
    <x v="0"/>
    <x v="7"/>
    <x v="13"/>
    <s v="NO3_A1"/>
    <x v="3"/>
    <x v="179"/>
    <x v="0"/>
    <x v="6"/>
    <n v="1034.48275862069"/>
    <n v="377586.206896552"/>
    <n v="1359310.34482759"/>
  </r>
  <r>
    <x v="0"/>
    <x v="0"/>
    <x v="0"/>
    <x v="7"/>
    <x v="13"/>
    <s v="NO3_A1"/>
    <x v="3"/>
    <x v="179"/>
    <x v="0"/>
    <x v="7"/>
    <n v="1034.48275862069"/>
    <n v="377586.206896552"/>
    <n v="1359310.34482759"/>
  </r>
  <r>
    <x v="0"/>
    <x v="0"/>
    <x v="0"/>
    <x v="7"/>
    <x v="13"/>
    <s v="NO3_A1"/>
    <x v="3"/>
    <x v="179"/>
    <x v="0"/>
    <x v="8"/>
    <n v="1034.48275862069"/>
    <n v="377586.206896552"/>
    <n v="1359310.34482759"/>
  </r>
  <r>
    <x v="0"/>
    <x v="0"/>
    <x v="0"/>
    <x v="7"/>
    <x v="13"/>
    <s v="NO3_A1"/>
    <x v="3"/>
    <x v="179"/>
    <x v="0"/>
    <x v="9"/>
    <n v="1034.48275862069"/>
    <n v="377586.206896552"/>
    <n v="1359310.34482759"/>
  </r>
  <r>
    <x v="0"/>
    <x v="0"/>
    <x v="0"/>
    <x v="7"/>
    <x v="13"/>
    <s v="NO3_A1"/>
    <x v="3"/>
    <x v="179"/>
    <x v="0"/>
    <x v="10"/>
    <n v="1034.48275862069"/>
    <n v="377586.206896552"/>
    <n v="1359310.34482759"/>
  </r>
  <r>
    <x v="0"/>
    <x v="0"/>
    <x v="0"/>
    <x v="7"/>
    <x v="13"/>
    <s v="NO3_A1"/>
    <x v="3"/>
    <x v="179"/>
    <x v="0"/>
    <x v="11"/>
    <n v="1034.48275862069"/>
    <n v="377586.206896552"/>
    <n v="1359310.34482759"/>
  </r>
  <r>
    <x v="0"/>
    <x v="0"/>
    <x v="0"/>
    <x v="7"/>
    <x v="13"/>
    <s v="NO3_A1"/>
    <x v="3"/>
    <x v="179"/>
    <x v="0"/>
    <x v="12"/>
    <n v="1034.48275862069"/>
    <n v="377586.206896552"/>
    <n v="1359310.34482759"/>
  </r>
  <r>
    <x v="0"/>
    <x v="0"/>
    <x v="0"/>
    <x v="7"/>
    <x v="13"/>
    <s v="NO3_A1"/>
    <x v="3"/>
    <x v="179"/>
    <x v="0"/>
    <x v="13"/>
    <n v="1034.48275862069"/>
    <n v="377586.206896552"/>
    <n v="1359310.34482759"/>
  </r>
  <r>
    <x v="0"/>
    <x v="0"/>
    <x v="0"/>
    <x v="7"/>
    <x v="13"/>
    <s v="NO3_A1"/>
    <x v="3"/>
    <x v="179"/>
    <x v="0"/>
    <x v="14"/>
    <n v="1034.48275862069"/>
    <n v="377586.206896552"/>
    <n v="1359310.34482759"/>
  </r>
  <r>
    <x v="0"/>
    <x v="0"/>
    <x v="0"/>
    <x v="7"/>
    <x v="13"/>
    <s v="NO3_A1"/>
    <x v="3"/>
    <x v="179"/>
    <x v="0"/>
    <x v="15"/>
    <n v="1034.48275862069"/>
    <n v="377586.206896552"/>
    <n v="1359310.34482759"/>
  </r>
  <r>
    <x v="0"/>
    <x v="0"/>
    <x v="0"/>
    <x v="7"/>
    <x v="13"/>
    <s v="NO3_A1"/>
    <x v="3"/>
    <x v="179"/>
    <x v="0"/>
    <x v="16"/>
    <n v="1034.48275862069"/>
    <n v="377586.206896552"/>
    <n v="1359310.34482759"/>
  </r>
  <r>
    <x v="0"/>
    <x v="0"/>
    <x v="0"/>
    <x v="7"/>
    <x v="13"/>
    <s v="NO3_A1"/>
    <x v="3"/>
    <x v="179"/>
    <x v="0"/>
    <x v="17"/>
    <n v="1034.48275862069"/>
    <n v="377586.206896552"/>
    <n v="1359310.34482759"/>
  </r>
  <r>
    <x v="0"/>
    <x v="0"/>
    <x v="0"/>
    <x v="7"/>
    <x v="13"/>
    <s v="NO3_A1"/>
    <x v="3"/>
    <x v="179"/>
    <x v="0"/>
    <x v="18"/>
    <n v="908.41762470942399"/>
    <n v="331572.43301893998"/>
    <n v="1193660.75886818"/>
  </r>
  <r>
    <x v="0"/>
    <x v="0"/>
    <x v="0"/>
    <x v="7"/>
    <x v="13"/>
    <s v="NO3_A1"/>
    <x v="5"/>
    <x v="120"/>
    <x v="0"/>
    <x v="0"/>
    <n v="4.3039148351648198"/>
    <n v="1570.92891483516"/>
    <n v="5655.3440934065702"/>
  </r>
  <r>
    <x v="0"/>
    <x v="0"/>
    <x v="0"/>
    <x v="7"/>
    <x v="13"/>
    <s v="NO3_A1"/>
    <x v="5"/>
    <x v="120"/>
    <x v="0"/>
    <x v="1"/>
    <n v="4.3039148351648198"/>
    <n v="1570.92891483516"/>
    <n v="5655.3440934065702"/>
  </r>
  <r>
    <x v="0"/>
    <x v="0"/>
    <x v="0"/>
    <x v="7"/>
    <x v="13"/>
    <s v="NO3_A1"/>
    <x v="5"/>
    <x v="120"/>
    <x v="0"/>
    <x v="2"/>
    <n v="4.3039148351648198"/>
    <n v="1570.92891483516"/>
    <n v="5655.3440934065702"/>
  </r>
  <r>
    <x v="0"/>
    <x v="0"/>
    <x v="0"/>
    <x v="7"/>
    <x v="13"/>
    <s v="NO3_A1"/>
    <x v="5"/>
    <x v="120"/>
    <x v="0"/>
    <x v="3"/>
    <n v="4.3039148351648198"/>
    <n v="1570.92891483516"/>
    <n v="5655.3440934065702"/>
  </r>
  <r>
    <x v="0"/>
    <x v="0"/>
    <x v="0"/>
    <x v="7"/>
    <x v="13"/>
    <s v="NO3_A1"/>
    <x v="5"/>
    <x v="120"/>
    <x v="0"/>
    <x v="4"/>
    <n v="4.3039148351648198"/>
    <n v="1570.92891483516"/>
    <n v="5655.3440934065702"/>
  </r>
  <r>
    <x v="0"/>
    <x v="0"/>
    <x v="0"/>
    <x v="7"/>
    <x v="13"/>
    <s v="NO3_A1"/>
    <x v="5"/>
    <x v="120"/>
    <x v="0"/>
    <x v="5"/>
    <n v="4.3039148351648198"/>
    <n v="1570.92891483516"/>
    <n v="5655.3440934065702"/>
  </r>
  <r>
    <x v="0"/>
    <x v="0"/>
    <x v="0"/>
    <x v="7"/>
    <x v="13"/>
    <s v="NO3_A1"/>
    <x v="5"/>
    <x v="120"/>
    <x v="0"/>
    <x v="6"/>
    <n v="4.3039148351648198"/>
    <n v="1570.92891483516"/>
    <n v="5655.3440934065702"/>
  </r>
  <r>
    <x v="0"/>
    <x v="0"/>
    <x v="0"/>
    <x v="7"/>
    <x v="13"/>
    <s v="NO3_A1"/>
    <x v="5"/>
    <x v="120"/>
    <x v="0"/>
    <x v="7"/>
    <n v="4.3039148351648198"/>
    <n v="1570.92891483516"/>
    <n v="5655.3440934065702"/>
  </r>
  <r>
    <x v="0"/>
    <x v="0"/>
    <x v="0"/>
    <x v="7"/>
    <x v="13"/>
    <s v="NO3_A1"/>
    <x v="5"/>
    <x v="120"/>
    <x v="0"/>
    <x v="8"/>
    <n v="4.3039148351648198"/>
    <n v="1570.92891483516"/>
    <n v="5655.3440934065702"/>
  </r>
  <r>
    <x v="0"/>
    <x v="0"/>
    <x v="0"/>
    <x v="7"/>
    <x v="13"/>
    <s v="NO3_A1"/>
    <x v="5"/>
    <x v="120"/>
    <x v="0"/>
    <x v="9"/>
    <n v="4.3039148351648198"/>
    <n v="1570.92891483516"/>
    <n v="5655.3440934065702"/>
  </r>
  <r>
    <x v="0"/>
    <x v="0"/>
    <x v="0"/>
    <x v="7"/>
    <x v="13"/>
    <s v="NO3_A1"/>
    <x v="5"/>
    <x v="120"/>
    <x v="0"/>
    <x v="10"/>
    <n v="4.3039148351648198"/>
    <n v="1570.92891483516"/>
    <n v="5655.3440934065702"/>
  </r>
  <r>
    <x v="0"/>
    <x v="0"/>
    <x v="0"/>
    <x v="7"/>
    <x v="13"/>
    <s v="NO3_A1"/>
    <x v="5"/>
    <x v="120"/>
    <x v="0"/>
    <x v="11"/>
    <n v="4.3039148351648198"/>
    <n v="1570.92891483516"/>
    <n v="5655.3440934065702"/>
  </r>
  <r>
    <x v="0"/>
    <x v="0"/>
    <x v="0"/>
    <x v="7"/>
    <x v="13"/>
    <s v="NO3_A1"/>
    <x v="5"/>
    <x v="120"/>
    <x v="0"/>
    <x v="12"/>
    <n v="4.3039148351648198"/>
    <n v="1570.92891483516"/>
    <n v="5655.3440934065702"/>
  </r>
  <r>
    <x v="0"/>
    <x v="0"/>
    <x v="0"/>
    <x v="7"/>
    <x v="13"/>
    <s v="NO3_A1"/>
    <x v="5"/>
    <x v="120"/>
    <x v="0"/>
    <x v="13"/>
    <n v="4.3039148351648198"/>
    <n v="1570.92891483516"/>
    <n v="5655.3440934065702"/>
  </r>
  <r>
    <x v="0"/>
    <x v="0"/>
    <x v="0"/>
    <x v="7"/>
    <x v="13"/>
    <s v="NO3_A1"/>
    <x v="5"/>
    <x v="120"/>
    <x v="0"/>
    <x v="14"/>
    <n v="4.3039148351648198"/>
    <n v="1570.92891483516"/>
    <n v="5655.3440934065702"/>
  </r>
  <r>
    <x v="0"/>
    <x v="0"/>
    <x v="0"/>
    <x v="7"/>
    <x v="13"/>
    <s v="NO3_A1"/>
    <x v="5"/>
    <x v="120"/>
    <x v="0"/>
    <x v="15"/>
    <n v="4.3039148351648198"/>
    <n v="1570.92891483516"/>
    <n v="5655.3440934065702"/>
  </r>
  <r>
    <x v="0"/>
    <x v="0"/>
    <x v="0"/>
    <x v="7"/>
    <x v="13"/>
    <s v="NO3_A1"/>
    <x v="5"/>
    <x v="120"/>
    <x v="0"/>
    <x v="16"/>
    <n v="4.3039148351648198"/>
    <n v="1570.92891483516"/>
    <n v="5655.3440934065702"/>
  </r>
  <r>
    <x v="0"/>
    <x v="0"/>
    <x v="0"/>
    <x v="7"/>
    <x v="13"/>
    <s v="NO3_A1"/>
    <x v="5"/>
    <x v="120"/>
    <x v="0"/>
    <x v="17"/>
    <n v="4.3039148351648198"/>
    <n v="1570.92891483516"/>
    <n v="5655.3440934065702"/>
  </r>
  <r>
    <x v="0"/>
    <x v="0"/>
    <x v="0"/>
    <x v="7"/>
    <x v="13"/>
    <s v="NO3_A1"/>
    <x v="5"/>
    <x v="120"/>
    <x v="0"/>
    <x v="18"/>
    <n v="4.3039148351648198"/>
    <n v="1570.92891483516"/>
    <n v="5655.3440934065702"/>
  </r>
  <r>
    <x v="0"/>
    <x v="0"/>
    <x v="0"/>
    <x v="7"/>
    <x v="13"/>
    <s v="NO3_A1"/>
    <x v="5"/>
    <x v="120"/>
    <x v="0"/>
    <x v="19"/>
    <n v="4.3039148351648198"/>
    <n v="1570.92891483516"/>
    <n v="5655.3440934065702"/>
  </r>
  <r>
    <x v="0"/>
    <x v="0"/>
    <x v="0"/>
    <x v="7"/>
    <x v="13"/>
    <s v="NO3_A1"/>
    <x v="5"/>
    <x v="120"/>
    <x v="0"/>
    <x v="20"/>
    <n v="4.3039148351648198"/>
    <n v="1570.92891483516"/>
    <n v="5655.3440934065702"/>
  </r>
  <r>
    <x v="0"/>
    <x v="0"/>
    <x v="0"/>
    <x v="7"/>
    <x v="13"/>
    <s v="NO3_A1"/>
    <x v="5"/>
    <x v="120"/>
    <x v="0"/>
    <x v="21"/>
    <n v="4.3039148351648198"/>
    <n v="1570.92891483516"/>
    <n v="5655.3440934065702"/>
  </r>
  <r>
    <x v="0"/>
    <x v="0"/>
    <x v="0"/>
    <x v="7"/>
    <x v="13"/>
    <s v="NO3_A1"/>
    <x v="5"/>
    <x v="120"/>
    <x v="0"/>
    <x v="22"/>
    <n v="4.3039148351648198"/>
    <n v="1570.92891483516"/>
    <n v="5655.3440934065702"/>
  </r>
  <r>
    <x v="0"/>
    <x v="0"/>
    <x v="0"/>
    <x v="7"/>
    <x v="13"/>
    <s v="NO3_A1"/>
    <x v="5"/>
    <x v="120"/>
    <x v="0"/>
    <x v="23"/>
    <n v="4.3039148351648198"/>
    <n v="1570.92891483516"/>
    <n v="5655.3440934065702"/>
  </r>
  <r>
    <x v="0"/>
    <x v="0"/>
    <x v="0"/>
    <x v="7"/>
    <x v="13"/>
    <s v="NO3_A1"/>
    <x v="9"/>
    <x v="128"/>
    <x v="0"/>
    <x v="0"/>
    <n v="221.84651366034899"/>
    <n v="80973.977486027405"/>
    <n v="291506.31894969899"/>
  </r>
  <r>
    <x v="0"/>
    <x v="0"/>
    <x v="0"/>
    <x v="7"/>
    <x v="13"/>
    <s v="NO3_A1"/>
    <x v="9"/>
    <x v="128"/>
    <x v="0"/>
    <x v="1"/>
    <n v="221.84651366034899"/>
    <n v="80973.977486027405"/>
    <n v="291506.31894969899"/>
  </r>
  <r>
    <x v="0"/>
    <x v="0"/>
    <x v="0"/>
    <x v="7"/>
    <x v="13"/>
    <s v="NO3_A1"/>
    <x v="9"/>
    <x v="128"/>
    <x v="0"/>
    <x v="2"/>
    <n v="221.84651366034899"/>
    <n v="80973.977486027405"/>
    <n v="291506.31894969899"/>
  </r>
  <r>
    <x v="0"/>
    <x v="0"/>
    <x v="0"/>
    <x v="7"/>
    <x v="13"/>
    <s v="NO3_A1"/>
    <x v="9"/>
    <x v="128"/>
    <x v="0"/>
    <x v="3"/>
    <n v="221.84651366034899"/>
    <n v="80973.977486027405"/>
    <n v="291506.31894969899"/>
  </r>
  <r>
    <x v="0"/>
    <x v="0"/>
    <x v="0"/>
    <x v="7"/>
    <x v="13"/>
    <s v="NO3_A1"/>
    <x v="9"/>
    <x v="128"/>
    <x v="0"/>
    <x v="4"/>
    <n v="221.84651366034899"/>
    <n v="80973.977486027405"/>
    <n v="291506.31894969899"/>
  </r>
  <r>
    <x v="0"/>
    <x v="0"/>
    <x v="0"/>
    <x v="7"/>
    <x v="13"/>
    <s v="NO3_A1"/>
    <x v="9"/>
    <x v="128"/>
    <x v="0"/>
    <x v="5"/>
    <n v="221.84651366034899"/>
    <n v="80973.977486027405"/>
    <n v="291506.31894969899"/>
  </r>
  <r>
    <x v="0"/>
    <x v="0"/>
    <x v="0"/>
    <x v="7"/>
    <x v="13"/>
    <s v="NO3_A1"/>
    <x v="9"/>
    <x v="128"/>
    <x v="0"/>
    <x v="6"/>
    <n v="221.84651366034899"/>
    <n v="80973.977486027405"/>
    <n v="291506.31894969899"/>
  </r>
  <r>
    <x v="0"/>
    <x v="0"/>
    <x v="0"/>
    <x v="7"/>
    <x v="13"/>
    <s v="NO3_A1"/>
    <x v="9"/>
    <x v="128"/>
    <x v="0"/>
    <x v="7"/>
    <n v="221.84651366034899"/>
    <n v="80973.977486027405"/>
    <n v="291506.31894969899"/>
  </r>
  <r>
    <x v="0"/>
    <x v="0"/>
    <x v="0"/>
    <x v="7"/>
    <x v="13"/>
    <s v="NO3_A1"/>
    <x v="9"/>
    <x v="128"/>
    <x v="0"/>
    <x v="8"/>
    <n v="221.84651366034899"/>
    <n v="80973.977486027405"/>
    <n v="291506.31894969899"/>
  </r>
  <r>
    <x v="0"/>
    <x v="0"/>
    <x v="0"/>
    <x v="7"/>
    <x v="13"/>
    <s v="NO3_A1"/>
    <x v="9"/>
    <x v="128"/>
    <x v="0"/>
    <x v="9"/>
    <n v="221.84651366034899"/>
    <n v="80973.977486027405"/>
    <n v="291506.31894969899"/>
  </r>
  <r>
    <x v="0"/>
    <x v="0"/>
    <x v="0"/>
    <x v="7"/>
    <x v="13"/>
    <s v="NO3_A1"/>
    <x v="9"/>
    <x v="128"/>
    <x v="0"/>
    <x v="10"/>
    <n v="221.84651366034899"/>
    <n v="80973.977486027405"/>
    <n v="291506.31894969899"/>
  </r>
  <r>
    <x v="0"/>
    <x v="0"/>
    <x v="0"/>
    <x v="7"/>
    <x v="13"/>
    <s v="NO3_A1"/>
    <x v="9"/>
    <x v="128"/>
    <x v="0"/>
    <x v="11"/>
    <n v="221.84651366034899"/>
    <n v="80973.977486027405"/>
    <n v="291506.31894969899"/>
  </r>
  <r>
    <x v="0"/>
    <x v="0"/>
    <x v="0"/>
    <x v="7"/>
    <x v="13"/>
    <s v="NO3_A1"/>
    <x v="9"/>
    <x v="128"/>
    <x v="0"/>
    <x v="12"/>
    <n v="221.84651366034899"/>
    <n v="80973.977486027405"/>
    <n v="291506.31894969899"/>
  </r>
  <r>
    <x v="0"/>
    <x v="0"/>
    <x v="0"/>
    <x v="7"/>
    <x v="13"/>
    <s v="NO3_A1"/>
    <x v="9"/>
    <x v="128"/>
    <x v="0"/>
    <x v="13"/>
    <n v="221.84651366034899"/>
    <n v="80973.977486027405"/>
    <n v="291506.31894969899"/>
  </r>
  <r>
    <x v="0"/>
    <x v="0"/>
    <x v="0"/>
    <x v="7"/>
    <x v="13"/>
    <s v="NO3_A1"/>
    <x v="9"/>
    <x v="128"/>
    <x v="0"/>
    <x v="14"/>
    <n v="221.84651366034899"/>
    <n v="80973.977486027405"/>
    <n v="291506.31894969899"/>
  </r>
  <r>
    <x v="0"/>
    <x v="0"/>
    <x v="0"/>
    <x v="7"/>
    <x v="13"/>
    <s v="NO3_A1"/>
    <x v="9"/>
    <x v="128"/>
    <x v="0"/>
    <x v="15"/>
    <n v="221.84651366034899"/>
    <n v="80973.977486027405"/>
    <n v="291506.31894969899"/>
  </r>
  <r>
    <x v="0"/>
    <x v="0"/>
    <x v="0"/>
    <x v="7"/>
    <x v="13"/>
    <s v="NO3_A1"/>
    <x v="9"/>
    <x v="128"/>
    <x v="0"/>
    <x v="16"/>
    <n v="221.84651366034899"/>
    <n v="80973.977486027405"/>
    <n v="291506.31894969899"/>
  </r>
  <r>
    <x v="0"/>
    <x v="0"/>
    <x v="0"/>
    <x v="7"/>
    <x v="13"/>
    <s v="NO3_A1"/>
    <x v="9"/>
    <x v="128"/>
    <x v="0"/>
    <x v="17"/>
    <n v="221.84651366034899"/>
    <n v="80973.977486027405"/>
    <n v="291506.31894969899"/>
  </r>
  <r>
    <x v="0"/>
    <x v="0"/>
    <x v="0"/>
    <x v="7"/>
    <x v="13"/>
    <s v="NO3_A1"/>
    <x v="9"/>
    <x v="128"/>
    <x v="0"/>
    <x v="18"/>
    <n v="221.84651366034899"/>
    <n v="80973.977486027405"/>
    <n v="291506.31894969899"/>
  </r>
  <r>
    <x v="0"/>
    <x v="0"/>
    <x v="0"/>
    <x v="7"/>
    <x v="13"/>
    <s v="NO3_A1"/>
    <x v="9"/>
    <x v="128"/>
    <x v="0"/>
    <x v="19"/>
    <n v="221.84651366034899"/>
    <n v="80973.977486027405"/>
    <n v="291506.31894969899"/>
  </r>
  <r>
    <x v="0"/>
    <x v="0"/>
    <x v="0"/>
    <x v="7"/>
    <x v="13"/>
    <s v="NO3_A1"/>
    <x v="9"/>
    <x v="128"/>
    <x v="0"/>
    <x v="20"/>
    <n v="221.84651366034899"/>
    <n v="80973.977486027405"/>
    <n v="291506.31894969899"/>
  </r>
  <r>
    <x v="0"/>
    <x v="0"/>
    <x v="0"/>
    <x v="7"/>
    <x v="13"/>
    <s v="NO3_A1"/>
    <x v="9"/>
    <x v="128"/>
    <x v="0"/>
    <x v="21"/>
    <n v="221.84651366034899"/>
    <n v="80973.977486027405"/>
    <n v="291506.31894969899"/>
  </r>
  <r>
    <x v="0"/>
    <x v="0"/>
    <x v="0"/>
    <x v="7"/>
    <x v="13"/>
    <s v="NO3_A1"/>
    <x v="9"/>
    <x v="128"/>
    <x v="0"/>
    <x v="22"/>
    <n v="221.84651366034899"/>
    <n v="80973.977486027405"/>
    <n v="291506.31894969899"/>
  </r>
  <r>
    <x v="0"/>
    <x v="0"/>
    <x v="0"/>
    <x v="7"/>
    <x v="13"/>
    <s v="NO3_A1"/>
    <x v="9"/>
    <x v="128"/>
    <x v="0"/>
    <x v="23"/>
    <n v="221.84651366034899"/>
    <n v="80973.977486027405"/>
    <n v="291506.31894969899"/>
  </r>
  <r>
    <x v="0"/>
    <x v="0"/>
    <x v="0"/>
    <x v="7"/>
    <x v="13"/>
    <s v="NO3_A1"/>
    <x v="9"/>
    <x v="129"/>
    <x v="0"/>
    <x v="0"/>
    <n v="282.146513660349"/>
    <n v="102983.477486027"/>
    <n v="370740.51894969901"/>
  </r>
  <r>
    <x v="0"/>
    <x v="0"/>
    <x v="0"/>
    <x v="7"/>
    <x v="13"/>
    <s v="NO3_A1"/>
    <x v="9"/>
    <x v="129"/>
    <x v="0"/>
    <x v="1"/>
    <n v="282.146513660349"/>
    <n v="102983.477486027"/>
    <n v="370740.51894969901"/>
  </r>
  <r>
    <x v="0"/>
    <x v="0"/>
    <x v="0"/>
    <x v="7"/>
    <x v="13"/>
    <s v="NO3_A1"/>
    <x v="9"/>
    <x v="129"/>
    <x v="0"/>
    <x v="2"/>
    <n v="282.146513660349"/>
    <n v="102983.477486027"/>
    <n v="370740.51894969901"/>
  </r>
  <r>
    <x v="0"/>
    <x v="0"/>
    <x v="0"/>
    <x v="7"/>
    <x v="13"/>
    <s v="NO3_A1"/>
    <x v="9"/>
    <x v="129"/>
    <x v="0"/>
    <x v="3"/>
    <n v="282.146513660349"/>
    <n v="102983.477486027"/>
    <n v="370740.51894969901"/>
  </r>
  <r>
    <x v="0"/>
    <x v="0"/>
    <x v="0"/>
    <x v="7"/>
    <x v="13"/>
    <s v="NO3_A1"/>
    <x v="9"/>
    <x v="129"/>
    <x v="0"/>
    <x v="4"/>
    <n v="282.146513660349"/>
    <n v="102983.477486027"/>
    <n v="370740.51894969901"/>
  </r>
  <r>
    <x v="0"/>
    <x v="0"/>
    <x v="0"/>
    <x v="7"/>
    <x v="13"/>
    <s v="NO3_A1"/>
    <x v="9"/>
    <x v="129"/>
    <x v="0"/>
    <x v="5"/>
    <n v="282.146513660349"/>
    <n v="102983.477486027"/>
    <n v="370740.51894969901"/>
  </r>
  <r>
    <x v="0"/>
    <x v="0"/>
    <x v="0"/>
    <x v="7"/>
    <x v="13"/>
    <s v="NO3_A1"/>
    <x v="9"/>
    <x v="129"/>
    <x v="0"/>
    <x v="6"/>
    <n v="282.146513660349"/>
    <n v="102983.477486027"/>
    <n v="370740.51894969901"/>
  </r>
  <r>
    <x v="0"/>
    <x v="0"/>
    <x v="0"/>
    <x v="7"/>
    <x v="13"/>
    <s v="NO3_A1"/>
    <x v="9"/>
    <x v="129"/>
    <x v="0"/>
    <x v="7"/>
    <n v="282.146513660349"/>
    <n v="102983.477486027"/>
    <n v="370740.51894969901"/>
  </r>
  <r>
    <x v="0"/>
    <x v="0"/>
    <x v="0"/>
    <x v="7"/>
    <x v="13"/>
    <s v="NO3_A1"/>
    <x v="9"/>
    <x v="129"/>
    <x v="0"/>
    <x v="8"/>
    <n v="282.146513660349"/>
    <n v="102983.477486027"/>
    <n v="370740.51894969901"/>
  </r>
  <r>
    <x v="0"/>
    <x v="0"/>
    <x v="0"/>
    <x v="7"/>
    <x v="13"/>
    <s v="NO3_A1"/>
    <x v="9"/>
    <x v="129"/>
    <x v="0"/>
    <x v="9"/>
    <n v="282.146513660349"/>
    <n v="102983.477486027"/>
    <n v="370740.51894969901"/>
  </r>
  <r>
    <x v="0"/>
    <x v="0"/>
    <x v="0"/>
    <x v="7"/>
    <x v="13"/>
    <s v="NO3_A1"/>
    <x v="9"/>
    <x v="129"/>
    <x v="0"/>
    <x v="10"/>
    <n v="282.146513660349"/>
    <n v="102983.477486027"/>
    <n v="370740.51894969901"/>
  </r>
  <r>
    <x v="0"/>
    <x v="0"/>
    <x v="0"/>
    <x v="7"/>
    <x v="13"/>
    <s v="NO3_A1"/>
    <x v="9"/>
    <x v="129"/>
    <x v="0"/>
    <x v="11"/>
    <n v="282.146513660349"/>
    <n v="102983.477486027"/>
    <n v="370740.51894969901"/>
  </r>
  <r>
    <x v="0"/>
    <x v="0"/>
    <x v="0"/>
    <x v="7"/>
    <x v="13"/>
    <s v="NO3_A1"/>
    <x v="9"/>
    <x v="129"/>
    <x v="0"/>
    <x v="12"/>
    <n v="282.146513660349"/>
    <n v="102983.477486027"/>
    <n v="370740.51894969901"/>
  </r>
  <r>
    <x v="0"/>
    <x v="0"/>
    <x v="0"/>
    <x v="7"/>
    <x v="13"/>
    <s v="NO3_A1"/>
    <x v="9"/>
    <x v="129"/>
    <x v="0"/>
    <x v="13"/>
    <n v="282.146513660349"/>
    <n v="102983.477486027"/>
    <n v="370740.51894969901"/>
  </r>
  <r>
    <x v="0"/>
    <x v="0"/>
    <x v="0"/>
    <x v="7"/>
    <x v="13"/>
    <s v="NO3_A1"/>
    <x v="9"/>
    <x v="129"/>
    <x v="0"/>
    <x v="14"/>
    <n v="282.146513660349"/>
    <n v="102983.477486027"/>
    <n v="370740.51894969901"/>
  </r>
  <r>
    <x v="0"/>
    <x v="0"/>
    <x v="0"/>
    <x v="7"/>
    <x v="13"/>
    <s v="NO3_A1"/>
    <x v="9"/>
    <x v="129"/>
    <x v="0"/>
    <x v="15"/>
    <n v="282.146513660349"/>
    <n v="102983.477486027"/>
    <n v="370740.51894969901"/>
  </r>
  <r>
    <x v="0"/>
    <x v="0"/>
    <x v="0"/>
    <x v="7"/>
    <x v="13"/>
    <s v="NO3_A1"/>
    <x v="9"/>
    <x v="129"/>
    <x v="0"/>
    <x v="16"/>
    <n v="282.146513660349"/>
    <n v="102983.477486027"/>
    <n v="370740.51894969901"/>
  </r>
  <r>
    <x v="0"/>
    <x v="0"/>
    <x v="0"/>
    <x v="7"/>
    <x v="13"/>
    <s v="NO3_A1"/>
    <x v="9"/>
    <x v="129"/>
    <x v="0"/>
    <x v="17"/>
    <n v="282.146513660349"/>
    <n v="102983.477486027"/>
    <n v="370740.51894969901"/>
  </r>
  <r>
    <x v="0"/>
    <x v="0"/>
    <x v="0"/>
    <x v="7"/>
    <x v="13"/>
    <s v="NO3_A1"/>
    <x v="9"/>
    <x v="129"/>
    <x v="0"/>
    <x v="18"/>
    <n v="282.146513660349"/>
    <n v="102983.477486027"/>
    <n v="370740.51894969901"/>
  </r>
  <r>
    <x v="0"/>
    <x v="0"/>
    <x v="0"/>
    <x v="7"/>
    <x v="13"/>
    <s v="NO3_A1"/>
    <x v="9"/>
    <x v="129"/>
    <x v="0"/>
    <x v="19"/>
    <n v="282.146513660349"/>
    <n v="102983.477486027"/>
    <n v="370740.51894969901"/>
  </r>
  <r>
    <x v="0"/>
    <x v="0"/>
    <x v="0"/>
    <x v="7"/>
    <x v="13"/>
    <s v="NO3_A1"/>
    <x v="9"/>
    <x v="129"/>
    <x v="0"/>
    <x v="20"/>
    <n v="282.146513660349"/>
    <n v="102983.477486027"/>
    <n v="370740.51894969901"/>
  </r>
  <r>
    <x v="0"/>
    <x v="0"/>
    <x v="0"/>
    <x v="7"/>
    <x v="13"/>
    <s v="NO3_A1"/>
    <x v="9"/>
    <x v="129"/>
    <x v="0"/>
    <x v="21"/>
    <n v="282.146513660349"/>
    <n v="102983.477486027"/>
    <n v="370740.51894969901"/>
  </r>
  <r>
    <x v="0"/>
    <x v="0"/>
    <x v="0"/>
    <x v="7"/>
    <x v="13"/>
    <s v="NO3_A1"/>
    <x v="9"/>
    <x v="129"/>
    <x v="0"/>
    <x v="22"/>
    <n v="282.146513660349"/>
    <n v="102983.477486027"/>
    <n v="370740.51894969901"/>
  </r>
  <r>
    <x v="0"/>
    <x v="0"/>
    <x v="0"/>
    <x v="7"/>
    <x v="13"/>
    <s v="NO3_A1"/>
    <x v="9"/>
    <x v="129"/>
    <x v="0"/>
    <x v="23"/>
    <n v="282.146513660349"/>
    <n v="102983.477486027"/>
    <n v="370740.51894969901"/>
  </r>
  <r>
    <x v="0"/>
    <x v="0"/>
    <x v="0"/>
    <x v="7"/>
    <x v="13"/>
    <s v="NO3_A1"/>
    <x v="9"/>
    <x v="130"/>
    <x v="0"/>
    <x v="0"/>
    <n v="282.146513660349"/>
    <n v="102983.477486027"/>
    <n v="370740.51894969901"/>
  </r>
  <r>
    <x v="0"/>
    <x v="0"/>
    <x v="0"/>
    <x v="7"/>
    <x v="13"/>
    <s v="NO3_A1"/>
    <x v="9"/>
    <x v="130"/>
    <x v="0"/>
    <x v="1"/>
    <n v="282.146513660349"/>
    <n v="102983.477486027"/>
    <n v="370740.51894969901"/>
  </r>
  <r>
    <x v="0"/>
    <x v="0"/>
    <x v="0"/>
    <x v="7"/>
    <x v="13"/>
    <s v="NO3_A1"/>
    <x v="9"/>
    <x v="130"/>
    <x v="0"/>
    <x v="2"/>
    <n v="282.146513660349"/>
    <n v="102983.477486027"/>
    <n v="370740.51894969901"/>
  </r>
  <r>
    <x v="0"/>
    <x v="0"/>
    <x v="0"/>
    <x v="7"/>
    <x v="13"/>
    <s v="NO3_A1"/>
    <x v="9"/>
    <x v="130"/>
    <x v="0"/>
    <x v="3"/>
    <n v="282.146513660349"/>
    <n v="102983.477486027"/>
    <n v="370740.51894969901"/>
  </r>
  <r>
    <x v="0"/>
    <x v="0"/>
    <x v="0"/>
    <x v="7"/>
    <x v="13"/>
    <s v="NO3_A1"/>
    <x v="9"/>
    <x v="130"/>
    <x v="0"/>
    <x v="4"/>
    <n v="282.146513660349"/>
    <n v="102983.477486027"/>
    <n v="370740.51894969901"/>
  </r>
  <r>
    <x v="0"/>
    <x v="0"/>
    <x v="0"/>
    <x v="7"/>
    <x v="13"/>
    <s v="NO3_A1"/>
    <x v="9"/>
    <x v="130"/>
    <x v="0"/>
    <x v="5"/>
    <n v="282.146513660349"/>
    <n v="102983.477486027"/>
    <n v="370740.51894969901"/>
  </r>
  <r>
    <x v="0"/>
    <x v="0"/>
    <x v="0"/>
    <x v="7"/>
    <x v="13"/>
    <s v="NO3_A1"/>
    <x v="9"/>
    <x v="130"/>
    <x v="0"/>
    <x v="6"/>
    <n v="282.146513660349"/>
    <n v="102983.477486027"/>
    <n v="370740.51894969901"/>
  </r>
  <r>
    <x v="0"/>
    <x v="0"/>
    <x v="0"/>
    <x v="7"/>
    <x v="13"/>
    <s v="NO3_A1"/>
    <x v="9"/>
    <x v="130"/>
    <x v="0"/>
    <x v="7"/>
    <n v="282.146513660349"/>
    <n v="102983.477486027"/>
    <n v="370740.51894969901"/>
  </r>
  <r>
    <x v="0"/>
    <x v="0"/>
    <x v="0"/>
    <x v="7"/>
    <x v="13"/>
    <s v="NO3_A1"/>
    <x v="9"/>
    <x v="130"/>
    <x v="0"/>
    <x v="8"/>
    <n v="282.146513660349"/>
    <n v="102983.477486027"/>
    <n v="370740.51894969901"/>
  </r>
  <r>
    <x v="0"/>
    <x v="0"/>
    <x v="0"/>
    <x v="7"/>
    <x v="13"/>
    <s v="NO3_A1"/>
    <x v="9"/>
    <x v="130"/>
    <x v="0"/>
    <x v="9"/>
    <n v="282.146513660349"/>
    <n v="102983.477486027"/>
    <n v="370740.51894969901"/>
  </r>
  <r>
    <x v="0"/>
    <x v="0"/>
    <x v="0"/>
    <x v="7"/>
    <x v="13"/>
    <s v="NO3_A1"/>
    <x v="9"/>
    <x v="130"/>
    <x v="0"/>
    <x v="10"/>
    <n v="282.146513660349"/>
    <n v="102983.477486027"/>
    <n v="370740.51894969901"/>
  </r>
  <r>
    <x v="0"/>
    <x v="0"/>
    <x v="0"/>
    <x v="7"/>
    <x v="13"/>
    <s v="NO3_A1"/>
    <x v="9"/>
    <x v="130"/>
    <x v="0"/>
    <x v="11"/>
    <n v="282.146513660349"/>
    <n v="102983.477486027"/>
    <n v="370740.51894969901"/>
  </r>
  <r>
    <x v="0"/>
    <x v="0"/>
    <x v="0"/>
    <x v="7"/>
    <x v="13"/>
    <s v="NO3_A1"/>
    <x v="9"/>
    <x v="130"/>
    <x v="0"/>
    <x v="12"/>
    <n v="282.146513660349"/>
    <n v="102983.477486027"/>
    <n v="370740.51894969901"/>
  </r>
  <r>
    <x v="0"/>
    <x v="0"/>
    <x v="0"/>
    <x v="7"/>
    <x v="13"/>
    <s v="NO3_A1"/>
    <x v="9"/>
    <x v="130"/>
    <x v="0"/>
    <x v="13"/>
    <n v="282.146513660349"/>
    <n v="102983.477486027"/>
    <n v="370740.51894969901"/>
  </r>
  <r>
    <x v="0"/>
    <x v="0"/>
    <x v="0"/>
    <x v="7"/>
    <x v="13"/>
    <s v="NO3_A1"/>
    <x v="9"/>
    <x v="130"/>
    <x v="0"/>
    <x v="14"/>
    <n v="282.146513660349"/>
    <n v="102983.477486027"/>
    <n v="370740.51894969901"/>
  </r>
  <r>
    <x v="0"/>
    <x v="0"/>
    <x v="0"/>
    <x v="7"/>
    <x v="13"/>
    <s v="NO3_A1"/>
    <x v="9"/>
    <x v="130"/>
    <x v="0"/>
    <x v="15"/>
    <n v="282.146513660349"/>
    <n v="102983.477486027"/>
    <n v="370740.51894969901"/>
  </r>
  <r>
    <x v="0"/>
    <x v="0"/>
    <x v="0"/>
    <x v="7"/>
    <x v="13"/>
    <s v="NO3_A1"/>
    <x v="9"/>
    <x v="130"/>
    <x v="0"/>
    <x v="16"/>
    <n v="282.146513660349"/>
    <n v="102983.477486027"/>
    <n v="370740.51894969901"/>
  </r>
  <r>
    <x v="0"/>
    <x v="0"/>
    <x v="0"/>
    <x v="7"/>
    <x v="13"/>
    <s v="NO3_A1"/>
    <x v="9"/>
    <x v="130"/>
    <x v="0"/>
    <x v="17"/>
    <n v="282.146513660349"/>
    <n v="102983.477486027"/>
    <n v="370740.51894969901"/>
  </r>
  <r>
    <x v="0"/>
    <x v="0"/>
    <x v="0"/>
    <x v="7"/>
    <x v="13"/>
    <s v="NO3_A1"/>
    <x v="9"/>
    <x v="130"/>
    <x v="0"/>
    <x v="18"/>
    <n v="282.146513660349"/>
    <n v="102983.477486027"/>
    <n v="370740.51894969901"/>
  </r>
  <r>
    <x v="0"/>
    <x v="0"/>
    <x v="0"/>
    <x v="7"/>
    <x v="13"/>
    <s v="NO3_A1"/>
    <x v="9"/>
    <x v="130"/>
    <x v="0"/>
    <x v="19"/>
    <n v="282.146513660349"/>
    <n v="102983.477486027"/>
    <n v="370740.51894969901"/>
  </r>
  <r>
    <x v="0"/>
    <x v="0"/>
    <x v="0"/>
    <x v="7"/>
    <x v="13"/>
    <s v="NO3_A1"/>
    <x v="9"/>
    <x v="130"/>
    <x v="0"/>
    <x v="20"/>
    <n v="282.146513660349"/>
    <n v="102983.477486027"/>
    <n v="370740.51894969901"/>
  </r>
  <r>
    <x v="0"/>
    <x v="0"/>
    <x v="0"/>
    <x v="7"/>
    <x v="13"/>
    <s v="NO3_A1"/>
    <x v="9"/>
    <x v="130"/>
    <x v="0"/>
    <x v="21"/>
    <n v="282.146513660349"/>
    <n v="102983.477486027"/>
    <n v="370740.51894969901"/>
  </r>
  <r>
    <x v="0"/>
    <x v="0"/>
    <x v="0"/>
    <x v="7"/>
    <x v="13"/>
    <s v="NO3_A1"/>
    <x v="9"/>
    <x v="130"/>
    <x v="0"/>
    <x v="22"/>
    <n v="282.146513660349"/>
    <n v="102983.477486027"/>
    <n v="370740.51894969901"/>
  </r>
  <r>
    <x v="0"/>
    <x v="0"/>
    <x v="0"/>
    <x v="7"/>
    <x v="13"/>
    <s v="NO3_A1"/>
    <x v="9"/>
    <x v="130"/>
    <x v="0"/>
    <x v="23"/>
    <n v="282.146513660349"/>
    <n v="102983.477486027"/>
    <n v="370740.51894969901"/>
  </r>
  <r>
    <x v="0"/>
    <x v="0"/>
    <x v="0"/>
    <x v="7"/>
    <x v="13"/>
    <s v="NO3_A1"/>
    <x v="9"/>
    <x v="131"/>
    <x v="0"/>
    <x v="0"/>
    <n v="176.88208655094701"/>
    <n v="64561.961591095504"/>
    <n v="232423.061727944"/>
  </r>
  <r>
    <x v="0"/>
    <x v="0"/>
    <x v="0"/>
    <x v="7"/>
    <x v="13"/>
    <s v="NO3_A1"/>
    <x v="9"/>
    <x v="131"/>
    <x v="0"/>
    <x v="1"/>
    <n v="119.34683800467"/>
    <n v="43561.595871704601"/>
    <n v="156821.745138136"/>
  </r>
  <r>
    <x v="0"/>
    <x v="0"/>
    <x v="0"/>
    <x v="7"/>
    <x v="13"/>
    <s v="NO3_A1"/>
    <x v="9"/>
    <x v="131"/>
    <x v="0"/>
    <x v="2"/>
    <n v="87.536740316088597"/>
    <n v="31950.910215372402"/>
    <n v="115023.27677534"/>
  </r>
  <r>
    <x v="0"/>
    <x v="0"/>
    <x v="0"/>
    <x v="7"/>
    <x v="13"/>
    <s v="NO3_A1"/>
    <x v="9"/>
    <x v="131"/>
    <x v="0"/>
    <x v="3"/>
    <n v="56.214229440622702"/>
    <n v="20518.193745827299"/>
    <n v="73865.497484978201"/>
  </r>
  <r>
    <x v="0"/>
    <x v="0"/>
    <x v="0"/>
    <x v="7"/>
    <x v="13"/>
    <s v="NO3_A1"/>
    <x v="9"/>
    <x v="131"/>
    <x v="0"/>
    <x v="4"/>
    <n v="221.88442859013301"/>
    <n v="80987.816435398505"/>
    <n v="291556.139167435"/>
  </r>
  <r>
    <x v="0"/>
    <x v="0"/>
    <x v="0"/>
    <x v="7"/>
    <x v="13"/>
    <s v="NO3_A1"/>
    <x v="9"/>
    <x v="131"/>
    <x v="0"/>
    <x v="5"/>
    <n v="282.146513660349"/>
    <n v="102983.477486027"/>
    <n v="370740.51894969901"/>
  </r>
  <r>
    <x v="0"/>
    <x v="0"/>
    <x v="0"/>
    <x v="7"/>
    <x v="13"/>
    <s v="NO3_A1"/>
    <x v="9"/>
    <x v="131"/>
    <x v="0"/>
    <x v="6"/>
    <n v="282.146513660349"/>
    <n v="102983.477486027"/>
    <n v="370740.51894969901"/>
  </r>
  <r>
    <x v="0"/>
    <x v="0"/>
    <x v="0"/>
    <x v="7"/>
    <x v="13"/>
    <s v="NO3_A1"/>
    <x v="9"/>
    <x v="131"/>
    <x v="0"/>
    <x v="7"/>
    <n v="282.146513660349"/>
    <n v="102983.477486027"/>
    <n v="370740.51894969901"/>
  </r>
  <r>
    <x v="0"/>
    <x v="0"/>
    <x v="0"/>
    <x v="7"/>
    <x v="13"/>
    <s v="NO3_A1"/>
    <x v="9"/>
    <x v="131"/>
    <x v="0"/>
    <x v="8"/>
    <n v="282.146513660349"/>
    <n v="102983.477486027"/>
    <n v="370740.51894969901"/>
  </r>
  <r>
    <x v="0"/>
    <x v="0"/>
    <x v="0"/>
    <x v="7"/>
    <x v="13"/>
    <s v="NO3_A1"/>
    <x v="9"/>
    <x v="131"/>
    <x v="0"/>
    <x v="9"/>
    <n v="282.146513660349"/>
    <n v="102983.477486027"/>
    <n v="370740.51894969901"/>
  </r>
  <r>
    <x v="0"/>
    <x v="0"/>
    <x v="0"/>
    <x v="7"/>
    <x v="13"/>
    <s v="NO3_A1"/>
    <x v="9"/>
    <x v="131"/>
    <x v="0"/>
    <x v="10"/>
    <n v="282.146513660349"/>
    <n v="102983.477486027"/>
    <n v="370740.51894969901"/>
  </r>
  <r>
    <x v="0"/>
    <x v="0"/>
    <x v="0"/>
    <x v="7"/>
    <x v="13"/>
    <s v="NO3_A1"/>
    <x v="9"/>
    <x v="131"/>
    <x v="0"/>
    <x v="11"/>
    <n v="282.146513660349"/>
    <n v="102983.477486027"/>
    <n v="370740.51894969901"/>
  </r>
  <r>
    <x v="0"/>
    <x v="0"/>
    <x v="0"/>
    <x v="7"/>
    <x v="13"/>
    <s v="NO3_A1"/>
    <x v="9"/>
    <x v="131"/>
    <x v="0"/>
    <x v="12"/>
    <n v="282.146513660349"/>
    <n v="102983.477486027"/>
    <n v="370740.51894969901"/>
  </r>
  <r>
    <x v="0"/>
    <x v="0"/>
    <x v="0"/>
    <x v="7"/>
    <x v="13"/>
    <s v="NO3_A1"/>
    <x v="9"/>
    <x v="131"/>
    <x v="0"/>
    <x v="13"/>
    <n v="282.146513660349"/>
    <n v="102983.477486027"/>
    <n v="370740.51894969901"/>
  </r>
  <r>
    <x v="0"/>
    <x v="0"/>
    <x v="0"/>
    <x v="7"/>
    <x v="13"/>
    <s v="NO3_A1"/>
    <x v="9"/>
    <x v="131"/>
    <x v="0"/>
    <x v="14"/>
    <n v="282.146513660349"/>
    <n v="102983.477486027"/>
    <n v="370740.51894969901"/>
  </r>
  <r>
    <x v="0"/>
    <x v="0"/>
    <x v="0"/>
    <x v="7"/>
    <x v="13"/>
    <s v="NO3_A1"/>
    <x v="9"/>
    <x v="131"/>
    <x v="0"/>
    <x v="15"/>
    <n v="282.146513660349"/>
    <n v="102983.477486027"/>
    <n v="370740.51894969901"/>
  </r>
  <r>
    <x v="0"/>
    <x v="0"/>
    <x v="0"/>
    <x v="7"/>
    <x v="13"/>
    <s v="NO3_A1"/>
    <x v="9"/>
    <x v="131"/>
    <x v="0"/>
    <x v="16"/>
    <n v="282.146513660349"/>
    <n v="102983.477486027"/>
    <n v="370740.51894969901"/>
  </r>
  <r>
    <x v="0"/>
    <x v="0"/>
    <x v="0"/>
    <x v="7"/>
    <x v="13"/>
    <s v="NO3_A1"/>
    <x v="9"/>
    <x v="131"/>
    <x v="0"/>
    <x v="17"/>
    <n v="282.146513660349"/>
    <n v="102983.477486027"/>
    <n v="370740.51894969901"/>
  </r>
  <r>
    <x v="0"/>
    <x v="0"/>
    <x v="0"/>
    <x v="7"/>
    <x v="13"/>
    <s v="NO3_A1"/>
    <x v="9"/>
    <x v="131"/>
    <x v="0"/>
    <x v="18"/>
    <n v="282.146513660349"/>
    <n v="102983.477486027"/>
    <n v="370740.51894969901"/>
  </r>
  <r>
    <x v="0"/>
    <x v="0"/>
    <x v="0"/>
    <x v="7"/>
    <x v="13"/>
    <s v="NO3_A1"/>
    <x v="9"/>
    <x v="131"/>
    <x v="0"/>
    <x v="19"/>
    <n v="282.146513660349"/>
    <n v="102983.477486027"/>
    <n v="370740.51894969901"/>
  </r>
  <r>
    <x v="0"/>
    <x v="0"/>
    <x v="0"/>
    <x v="7"/>
    <x v="13"/>
    <s v="NO3_A1"/>
    <x v="9"/>
    <x v="131"/>
    <x v="0"/>
    <x v="20"/>
    <n v="282.146513660349"/>
    <n v="102983.477486027"/>
    <n v="370740.51894969901"/>
  </r>
  <r>
    <x v="0"/>
    <x v="0"/>
    <x v="0"/>
    <x v="7"/>
    <x v="13"/>
    <s v="NO3_A1"/>
    <x v="9"/>
    <x v="131"/>
    <x v="0"/>
    <x v="21"/>
    <n v="282.146513660349"/>
    <n v="102983.477486027"/>
    <n v="370740.51894969901"/>
  </r>
  <r>
    <x v="0"/>
    <x v="0"/>
    <x v="0"/>
    <x v="7"/>
    <x v="13"/>
    <s v="NO3_A1"/>
    <x v="9"/>
    <x v="131"/>
    <x v="0"/>
    <x v="22"/>
    <n v="231.50691741267801"/>
    <n v="84500.0248556273"/>
    <n v="304200.089480258"/>
  </r>
  <r>
    <x v="0"/>
    <x v="0"/>
    <x v="0"/>
    <x v="7"/>
    <x v="13"/>
    <s v="NO3_A1"/>
    <x v="9"/>
    <x v="131"/>
    <x v="0"/>
    <x v="23"/>
    <n v="108.959187293971"/>
    <n v="39770.103362299298"/>
    <n v="143172.37210427699"/>
  </r>
  <r>
    <x v="0"/>
    <x v="0"/>
    <x v="0"/>
    <x v="7"/>
    <x v="13"/>
    <s v="NO3_A1"/>
    <x v="9"/>
    <x v="132"/>
    <x v="0"/>
    <x v="6"/>
    <n v="282.146513660349"/>
    <n v="102983.477486027"/>
    <n v="370740.51894969901"/>
  </r>
  <r>
    <x v="0"/>
    <x v="0"/>
    <x v="0"/>
    <x v="7"/>
    <x v="13"/>
    <s v="NO3_A1"/>
    <x v="9"/>
    <x v="132"/>
    <x v="0"/>
    <x v="7"/>
    <n v="282.146513660349"/>
    <n v="102983.477486027"/>
    <n v="370740.51894969901"/>
  </r>
  <r>
    <x v="0"/>
    <x v="0"/>
    <x v="0"/>
    <x v="7"/>
    <x v="13"/>
    <s v="NO3_A1"/>
    <x v="9"/>
    <x v="132"/>
    <x v="0"/>
    <x v="8"/>
    <n v="282.146513660349"/>
    <n v="102983.477486027"/>
    <n v="370740.51894969901"/>
  </r>
  <r>
    <x v="0"/>
    <x v="0"/>
    <x v="0"/>
    <x v="7"/>
    <x v="13"/>
    <s v="NO3_A1"/>
    <x v="9"/>
    <x v="132"/>
    <x v="0"/>
    <x v="9"/>
    <n v="282.146513660349"/>
    <n v="102983.477486027"/>
    <n v="370740.51894969901"/>
  </r>
  <r>
    <x v="0"/>
    <x v="0"/>
    <x v="0"/>
    <x v="7"/>
    <x v="13"/>
    <s v="NO3_A1"/>
    <x v="9"/>
    <x v="132"/>
    <x v="0"/>
    <x v="10"/>
    <n v="282.146513660349"/>
    <n v="102983.477486027"/>
    <n v="370740.51894969901"/>
  </r>
  <r>
    <x v="0"/>
    <x v="0"/>
    <x v="0"/>
    <x v="7"/>
    <x v="13"/>
    <s v="NO3_A1"/>
    <x v="9"/>
    <x v="132"/>
    <x v="0"/>
    <x v="11"/>
    <n v="282.146513660349"/>
    <n v="102983.477486027"/>
    <n v="370740.51894969901"/>
  </r>
  <r>
    <x v="0"/>
    <x v="0"/>
    <x v="0"/>
    <x v="7"/>
    <x v="13"/>
    <s v="NO3_A1"/>
    <x v="9"/>
    <x v="132"/>
    <x v="0"/>
    <x v="12"/>
    <n v="282.146513660349"/>
    <n v="102983.477486027"/>
    <n v="370740.51894969901"/>
  </r>
  <r>
    <x v="0"/>
    <x v="0"/>
    <x v="0"/>
    <x v="7"/>
    <x v="13"/>
    <s v="NO3_A1"/>
    <x v="9"/>
    <x v="132"/>
    <x v="0"/>
    <x v="13"/>
    <n v="282.146513660349"/>
    <n v="102983.477486027"/>
    <n v="370740.51894969901"/>
  </r>
  <r>
    <x v="0"/>
    <x v="0"/>
    <x v="0"/>
    <x v="7"/>
    <x v="13"/>
    <s v="NO3_A1"/>
    <x v="9"/>
    <x v="132"/>
    <x v="0"/>
    <x v="14"/>
    <n v="282.146513660349"/>
    <n v="102983.477486027"/>
    <n v="370740.51894969901"/>
  </r>
  <r>
    <x v="0"/>
    <x v="0"/>
    <x v="0"/>
    <x v="7"/>
    <x v="13"/>
    <s v="NO3_A1"/>
    <x v="9"/>
    <x v="132"/>
    <x v="0"/>
    <x v="15"/>
    <n v="282.146513660349"/>
    <n v="102983.477486027"/>
    <n v="370740.51894969901"/>
  </r>
  <r>
    <x v="0"/>
    <x v="0"/>
    <x v="0"/>
    <x v="7"/>
    <x v="13"/>
    <s v="NO3_A1"/>
    <x v="9"/>
    <x v="132"/>
    <x v="0"/>
    <x v="16"/>
    <n v="282.146513660349"/>
    <n v="102983.477486027"/>
    <n v="370740.51894969901"/>
  </r>
  <r>
    <x v="0"/>
    <x v="0"/>
    <x v="0"/>
    <x v="7"/>
    <x v="13"/>
    <s v="NO3_A1"/>
    <x v="9"/>
    <x v="132"/>
    <x v="0"/>
    <x v="17"/>
    <n v="282.146513660349"/>
    <n v="102983.477486027"/>
    <n v="370740.51894969901"/>
  </r>
  <r>
    <x v="0"/>
    <x v="0"/>
    <x v="0"/>
    <x v="7"/>
    <x v="13"/>
    <s v="NO3_A1"/>
    <x v="9"/>
    <x v="132"/>
    <x v="0"/>
    <x v="18"/>
    <n v="282.146513660349"/>
    <n v="102983.477486027"/>
    <n v="370740.51894969901"/>
  </r>
  <r>
    <x v="0"/>
    <x v="0"/>
    <x v="0"/>
    <x v="7"/>
    <x v="13"/>
    <s v="NO3_A1"/>
    <x v="9"/>
    <x v="132"/>
    <x v="0"/>
    <x v="19"/>
    <n v="282.146513660349"/>
    <n v="102983.477486027"/>
    <n v="370740.51894969901"/>
  </r>
  <r>
    <x v="0"/>
    <x v="0"/>
    <x v="0"/>
    <x v="7"/>
    <x v="13"/>
    <s v="NO3_A1"/>
    <x v="9"/>
    <x v="132"/>
    <x v="0"/>
    <x v="20"/>
    <n v="282.146513660349"/>
    <n v="102983.477486027"/>
    <n v="370740.51894969901"/>
  </r>
  <r>
    <x v="0"/>
    <x v="0"/>
    <x v="0"/>
    <x v="7"/>
    <x v="13"/>
    <s v="NO3_A1"/>
    <x v="9"/>
    <x v="132"/>
    <x v="0"/>
    <x v="21"/>
    <n v="35.257596925361803"/>
    <n v="12869.022877757099"/>
    <n v="46328.482359925401"/>
  </r>
  <r>
    <x v="0"/>
    <x v="0"/>
    <x v="0"/>
    <x v="7"/>
    <x v="13"/>
    <s v="NO3_A1"/>
    <x v="9"/>
    <x v="133"/>
    <x v="0"/>
    <x v="6"/>
    <n v="163.44941037701099"/>
    <n v="59659.034787609198"/>
    <n v="214772.525235393"/>
  </r>
  <r>
    <x v="0"/>
    <x v="0"/>
    <x v="0"/>
    <x v="7"/>
    <x v="13"/>
    <s v="NO3_A1"/>
    <x v="9"/>
    <x v="133"/>
    <x v="0"/>
    <x v="7"/>
    <n v="282.146513660349"/>
    <n v="102983.477486027"/>
    <n v="370740.51894969901"/>
  </r>
  <r>
    <x v="0"/>
    <x v="0"/>
    <x v="0"/>
    <x v="7"/>
    <x v="13"/>
    <s v="NO3_A1"/>
    <x v="9"/>
    <x v="133"/>
    <x v="0"/>
    <x v="8"/>
    <n v="282.146513660349"/>
    <n v="102983.477486027"/>
    <n v="370740.51894969901"/>
  </r>
  <r>
    <x v="0"/>
    <x v="0"/>
    <x v="0"/>
    <x v="7"/>
    <x v="13"/>
    <s v="NO3_A1"/>
    <x v="9"/>
    <x v="133"/>
    <x v="0"/>
    <x v="9"/>
    <n v="282.146513660349"/>
    <n v="102983.477486027"/>
    <n v="370740.51894969901"/>
  </r>
  <r>
    <x v="0"/>
    <x v="0"/>
    <x v="0"/>
    <x v="7"/>
    <x v="13"/>
    <s v="NO3_A1"/>
    <x v="9"/>
    <x v="133"/>
    <x v="0"/>
    <x v="10"/>
    <n v="282.146513660349"/>
    <n v="102983.477486027"/>
    <n v="370740.51894969901"/>
  </r>
  <r>
    <x v="0"/>
    <x v="0"/>
    <x v="0"/>
    <x v="7"/>
    <x v="13"/>
    <s v="NO3_A1"/>
    <x v="9"/>
    <x v="133"/>
    <x v="0"/>
    <x v="11"/>
    <n v="282.146513660349"/>
    <n v="102983.477486027"/>
    <n v="370740.51894969901"/>
  </r>
  <r>
    <x v="0"/>
    <x v="0"/>
    <x v="0"/>
    <x v="7"/>
    <x v="13"/>
    <s v="NO3_A1"/>
    <x v="9"/>
    <x v="133"/>
    <x v="0"/>
    <x v="12"/>
    <n v="282.146513660349"/>
    <n v="102983.477486027"/>
    <n v="370740.51894969901"/>
  </r>
  <r>
    <x v="0"/>
    <x v="0"/>
    <x v="0"/>
    <x v="7"/>
    <x v="13"/>
    <s v="NO3_A1"/>
    <x v="9"/>
    <x v="134"/>
    <x v="0"/>
    <x v="7"/>
    <n v="282.146513660349"/>
    <n v="102983.477486027"/>
    <n v="370740.51894969901"/>
  </r>
  <r>
    <x v="0"/>
    <x v="0"/>
    <x v="0"/>
    <x v="7"/>
    <x v="13"/>
    <s v="NO3_A1"/>
    <x v="9"/>
    <x v="134"/>
    <x v="0"/>
    <x v="8"/>
    <n v="282.146513660349"/>
    <n v="102983.477486027"/>
    <n v="370740.51894969901"/>
  </r>
  <r>
    <x v="0"/>
    <x v="0"/>
    <x v="0"/>
    <x v="7"/>
    <x v="13"/>
    <s v="NO3_A1"/>
    <x v="9"/>
    <x v="134"/>
    <x v="0"/>
    <x v="9"/>
    <n v="282.146513660349"/>
    <n v="102983.477486027"/>
    <n v="370740.51894969901"/>
  </r>
  <r>
    <x v="0"/>
    <x v="0"/>
    <x v="0"/>
    <x v="7"/>
    <x v="13"/>
    <s v="NO3_A1"/>
    <x v="9"/>
    <x v="134"/>
    <x v="0"/>
    <x v="10"/>
    <n v="282.146513660349"/>
    <n v="102983.477486027"/>
    <n v="370740.51894969901"/>
  </r>
  <r>
    <x v="0"/>
    <x v="0"/>
    <x v="0"/>
    <x v="7"/>
    <x v="13"/>
    <s v="NO3_A1"/>
    <x v="9"/>
    <x v="134"/>
    <x v="0"/>
    <x v="11"/>
    <n v="119.913342147485"/>
    <n v="43768.369883831903"/>
    <n v="157566.13158179499"/>
  </r>
  <r>
    <x v="0"/>
    <x v="0"/>
    <x v="0"/>
    <x v="7"/>
    <x v="13"/>
    <s v="NO3_A1"/>
    <x v="9"/>
    <x v="135"/>
    <x v="0"/>
    <x v="7"/>
    <n v="282.146513660349"/>
    <n v="102983.477486027"/>
    <n v="370740.51894969901"/>
  </r>
  <r>
    <x v="0"/>
    <x v="0"/>
    <x v="0"/>
    <x v="7"/>
    <x v="13"/>
    <s v="NO3_A1"/>
    <x v="9"/>
    <x v="135"/>
    <x v="0"/>
    <x v="8"/>
    <n v="282.146513660349"/>
    <n v="102983.477486027"/>
    <n v="370740.51894969901"/>
  </r>
  <r>
    <x v="0"/>
    <x v="0"/>
    <x v="0"/>
    <x v="7"/>
    <x v="13"/>
    <s v="NO3_A1"/>
    <x v="9"/>
    <x v="135"/>
    <x v="0"/>
    <x v="9"/>
    <n v="282.146513660349"/>
    <n v="102983.477486027"/>
    <n v="370740.51894969901"/>
  </r>
  <r>
    <x v="0"/>
    <x v="0"/>
    <x v="0"/>
    <x v="7"/>
    <x v="13"/>
    <s v="NO3_A1"/>
    <x v="9"/>
    <x v="178"/>
    <x v="0"/>
    <x v="0"/>
    <n v="60.3"/>
    <n v="22009.5"/>
    <n v="79234.2"/>
  </r>
  <r>
    <x v="0"/>
    <x v="0"/>
    <x v="0"/>
    <x v="7"/>
    <x v="13"/>
    <s v="NO3_A1"/>
    <x v="9"/>
    <x v="178"/>
    <x v="0"/>
    <x v="1"/>
    <n v="60.3"/>
    <n v="22009.5"/>
    <n v="79234.2"/>
  </r>
  <r>
    <x v="0"/>
    <x v="0"/>
    <x v="0"/>
    <x v="7"/>
    <x v="13"/>
    <s v="NO3_A1"/>
    <x v="9"/>
    <x v="178"/>
    <x v="0"/>
    <x v="2"/>
    <n v="60.3"/>
    <n v="22009.5"/>
    <n v="79234.2"/>
  </r>
  <r>
    <x v="0"/>
    <x v="0"/>
    <x v="0"/>
    <x v="7"/>
    <x v="13"/>
    <s v="NO3_A1"/>
    <x v="9"/>
    <x v="178"/>
    <x v="0"/>
    <x v="3"/>
    <n v="60.3"/>
    <n v="22009.5"/>
    <n v="79234.2"/>
  </r>
  <r>
    <x v="0"/>
    <x v="0"/>
    <x v="0"/>
    <x v="7"/>
    <x v="13"/>
    <s v="NO3_A1"/>
    <x v="9"/>
    <x v="178"/>
    <x v="0"/>
    <x v="4"/>
    <n v="60.3"/>
    <n v="22009.5"/>
    <n v="79234.2"/>
  </r>
  <r>
    <x v="0"/>
    <x v="0"/>
    <x v="0"/>
    <x v="7"/>
    <x v="13"/>
    <s v="NO3_A1"/>
    <x v="9"/>
    <x v="178"/>
    <x v="0"/>
    <x v="5"/>
    <n v="60.3"/>
    <n v="22009.5"/>
    <n v="79234.2"/>
  </r>
  <r>
    <x v="0"/>
    <x v="0"/>
    <x v="0"/>
    <x v="7"/>
    <x v="13"/>
    <s v="NO3_A1"/>
    <x v="9"/>
    <x v="178"/>
    <x v="0"/>
    <x v="6"/>
    <n v="60.3"/>
    <n v="22009.5"/>
    <n v="79234.2"/>
  </r>
  <r>
    <x v="0"/>
    <x v="0"/>
    <x v="0"/>
    <x v="7"/>
    <x v="13"/>
    <s v="NO3_A1"/>
    <x v="9"/>
    <x v="178"/>
    <x v="0"/>
    <x v="7"/>
    <n v="60.3"/>
    <n v="22009.5"/>
    <n v="79234.2"/>
  </r>
  <r>
    <x v="0"/>
    <x v="0"/>
    <x v="0"/>
    <x v="7"/>
    <x v="13"/>
    <s v="NO3_A1"/>
    <x v="9"/>
    <x v="178"/>
    <x v="0"/>
    <x v="8"/>
    <n v="60.3"/>
    <n v="22009.5"/>
    <n v="79234.2"/>
  </r>
  <r>
    <x v="0"/>
    <x v="0"/>
    <x v="0"/>
    <x v="7"/>
    <x v="13"/>
    <s v="NO3_A1"/>
    <x v="9"/>
    <x v="178"/>
    <x v="0"/>
    <x v="9"/>
    <n v="60.3"/>
    <n v="22009.5"/>
    <n v="79234.2"/>
  </r>
  <r>
    <x v="0"/>
    <x v="0"/>
    <x v="0"/>
    <x v="7"/>
    <x v="13"/>
    <s v="NO3_A1"/>
    <x v="9"/>
    <x v="178"/>
    <x v="0"/>
    <x v="10"/>
    <n v="60.3"/>
    <n v="22009.5"/>
    <n v="79234.2"/>
  </r>
  <r>
    <x v="0"/>
    <x v="0"/>
    <x v="0"/>
    <x v="7"/>
    <x v="13"/>
    <s v="NO3_A1"/>
    <x v="9"/>
    <x v="178"/>
    <x v="0"/>
    <x v="11"/>
    <n v="60.3"/>
    <n v="22009.5"/>
    <n v="79234.2"/>
  </r>
  <r>
    <x v="0"/>
    <x v="0"/>
    <x v="0"/>
    <x v="7"/>
    <x v="13"/>
    <s v="NO3_A1"/>
    <x v="9"/>
    <x v="178"/>
    <x v="0"/>
    <x v="12"/>
    <n v="60.3"/>
    <n v="22009.5"/>
    <n v="79234.2"/>
  </r>
  <r>
    <x v="0"/>
    <x v="0"/>
    <x v="0"/>
    <x v="7"/>
    <x v="13"/>
    <s v="NO3_A1"/>
    <x v="9"/>
    <x v="178"/>
    <x v="0"/>
    <x v="13"/>
    <n v="60.3"/>
    <n v="22009.5"/>
    <n v="79234.2"/>
  </r>
  <r>
    <x v="0"/>
    <x v="0"/>
    <x v="0"/>
    <x v="7"/>
    <x v="13"/>
    <s v="NO3_A1"/>
    <x v="9"/>
    <x v="178"/>
    <x v="0"/>
    <x v="14"/>
    <n v="60.3"/>
    <n v="22009.5"/>
    <n v="79234.2"/>
  </r>
  <r>
    <x v="0"/>
    <x v="0"/>
    <x v="0"/>
    <x v="7"/>
    <x v="13"/>
    <s v="NO3_A1"/>
    <x v="9"/>
    <x v="178"/>
    <x v="0"/>
    <x v="15"/>
    <n v="60.3"/>
    <n v="22009.5"/>
    <n v="79234.2"/>
  </r>
  <r>
    <x v="0"/>
    <x v="0"/>
    <x v="0"/>
    <x v="7"/>
    <x v="13"/>
    <s v="NO3_A1"/>
    <x v="9"/>
    <x v="178"/>
    <x v="0"/>
    <x v="16"/>
    <n v="60.3"/>
    <n v="22009.5"/>
    <n v="79234.2"/>
  </r>
  <r>
    <x v="0"/>
    <x v="0"/>
    <x v="0"/>
    <x v="7"/>
    <x v="13"/>
    <s v="NO3_A1"/>
    <x v="9"/>
    <x v="178"/>
    <x v="0"/>
    <x v="17"/>
    <n v="60.3"/>
    <n v="22009.5"/>
    <n v="79234.2"/>
  </r>
  <r>
    <x v="0"/>
    <x v="0"/>
    <x v="0"/>
    <x v="7"/>
    <x v="13"/>
    <s v="NO3_A1"/>
    <x v="9"/>
    <x v="178"/>
    <x v="0"/>
    <x v="18"/>
    <n v="60.3"/>
    <n v="22009.5"/>
    <n v="79234.2"/>
  </r>
  <r>
    <x v="0"/>
    <x v="0"/>
    <x v="0"/>
    <x v="7"/>
    <x v="13"/>
    <s v="NO3_A1"/>
    <x v="9"/>
    <x v="178"/>
    <x v="0"/>
    <x v="19"/>
    <n v="60.3"/>
    <n v="22009.5"/>
    <n v="79234.2"/>
  </r>
  <r>
    <x v="0"/>
    <x v="0"/>
    <x v="0"/>
    <x v="7"/>
    <x v="13"/>
    <s v="NO3_A1"/>
    <x v="9"/>
    <x v="178"/>
    <x v="0"/>
    <x v="20"/>
    <n v="60.3"/>
    <n v="22009.5"/>
    <n v="79234.2"/>
  </r>
  <r>
    <x v="0"/>
    <x v="0"/>
    <x v="0"/>
    <x v="7"/>
    <x v="13"/>
    <s v="NO3_A1"/>
    <x v="9"/>
    <x v="178"/>
    <x v="0"/>
    <x v="21"/>
    <n v="60.3"/>
    <n v="22009.5"/>
    <n v="79234.2"/>
  </r>
  <r>
    <x v="0"/>
    <x v="0"/>
    <x v="0"/>
    <x v="7"/>
    <x v="13"/>
    <s v="NO3_A1"/>
    <x v="9"/>
    <x v="178"/>
    <x v="0"/>
    <x v="22"/>
    <n v="60.3"/>
    <n v="22009.5"/>
    <n v="79234.2"/>
  </r>
  <r>
    <x v="0"/>
    <x v="0"/>
    <x v="0"/>
    <x v="7"/>
    <x v="13"/>
    <s v="NO3_A1"/>
    <x v="9"/>
    <x v="178"/>
    <x v="0"/>
    <x v="23"/>
    <n v="60.3"/>
    <n v="22009.5"/>
    <n v="79234.2"/>
  </r>
  <r>
    <x v="0"/>
    <x v="0"/>
    <x v="0"/>
    <x v="7"/>
    <x v="13"/>
    <s v="NO3_A1"/>
    <x v="9"/>
    <x v="57"/>
    <x v="0"/>
    <x v="0"/>
    <n v="688.97059999822602"/>
    <n v="251474.268999352"/>
    <n v="905307.36839766905"/>
  </r>
  <r>
    <x v="0"/>
    <x v="0"/>
    <x v="0"/>
    <x v="7"/>
    <x v="13"/>
    <s v="NO3_A1"/>
    <x v="9"/>
    <x v="57"/>
    <x v="0"/>
    <x v="1"/>
    <n v="688.97059999822602"/>
    <n v="251474.268999352"/>
    <n v="905307.36839766905"/>
  </r>
  <r>
    <x v="0"/>
    <x v="0"/>
    <x v="0"/>
    <x v="7"/>
    <x v="13"/>
    <s v="NO3_A1"/>
    <x v="9"/>
    <x v="57"/>
    <x v="0"/>
    <x v="2"/>
    <n v="688.97059999822602"/>
    <n v="251474.268999352"/>
    <n v="905307.36839766905"/>
  </r>
  <r>
    <x v="0"/>
    <x v="0"/>
    <x v="0"/>
    <x v="7"/>
    <x v="13"/>
    <s v="NO3_A1"/>
    <x v="9"/>
    <x v="57"/>
    <x v="0"/>
    <x v="3"/>
    <n v="688.97059999822602"/>
    <n v="251474.268999352"/>
    <n v="905307.36839766905"/>
  </r>
  <r>
    <x v="0"/>
    <x v="0"/>
    <x v="0"/>
    <x v="7"/>
    <x v="13"/>
    <s v="NO3_A1"/>
    <x v="9"/>
    <x v="57"/>
    <x v="0"/>
    <x v="4"/>
    <n v="688.97059999822602"/>
    <n v="251474.268999352"/>
    <n v="905307.36839766905"/>
  </r>
  <r>
    <x v="0"/>
    <x v="0"/>
    <x v="0"/>
    <x v="7"/>
    <x v="13"/>
    <s v="NO3_A1"/>
    <x v="9"/>
    <x v="57"/>
    <x v="0"/>
    <x v="5"/>
    <n v="688.97059999822602"/>
    <n v="251474.268999352"/>
    <n v="905307.36839766905"/>
  </r>
  <r>
    <x v="0"/>
    <x v="0"/>
    <x v="0"/>
    <x v="7"/>
    <x v="13"/>
    <s v="NO3_A1"/>
    <x v="9"/>
    <x v="57"/>
    <x v="0"/>
    <x v="6"/>
    <n v="688.97059999822602"/>
    <n v="251474.268999352"/>
    <n v="905307.36839766905"/>
  </r>
  <r>
    <x v="0"/>
    <x v="0"/>
    <x v="0"/>
    <x v="7"/>
    <x v="13"/>
    <s v="NO3_A1"/>
    <x v="9"/>
    <x v="57"/>
    <x v="0"/>
    <x v="7"/>
    <n v="688.97059999822602"/>
    <n v="251474.268999352"/>
    <n v="905307.36839766905"/>
  </r>
  <r>
    <x v="0"/>
    <x v="0"/>
    <x v="0"/>
    <x v="7"/>
    <x v="13"/>
    <s v="NO3_A1"/>
    <x v="9"/>
    <x v="57"/>
    <x v="0"/>
    <x v="8"/>
    <n v="688.97059999822602"/>
    <n v="251474.268999352"/>
    <n v="905307.36839766905"/>
  </r>
  <r>
    <x v="0"/>
    <x v="0"/>
    <x v="0"/>
    <x v="7"/>
    <x v="13"/>
    <s v="NO3_A1"/>
    <x v="9"/>
    <x v="57"/>
    <x v="0"/>
    <x v="9"/>
    <n v="688.97059999822602"/>
    <n v="251474.268999352"/>
    <n v="905307.36839766905"/>
  </r>
  <r>
    <x v="0"/>
    <x v="0"/>
    <x v="0"/>
    <x v="7"/>
    <x v="13"/>
    <s v="NO3_A1"/>
    <x v="9"/>
    <x v="57"/>
    <x v="0"/>
    <x v="10"/>
    <n v="688.97059999822602"/>
    <n v="251474.268999352"/>
    <n v="905307.36839766905"/>
  </r>
  <r>
    <x v="0"/>
    <x v="0"/>
    <x v="0"/>
    <x v="7"/>
    <x v="13"/>
    <s v="NO3_A1"/>
    <x v="9"/>
    <x v="57"/>
    <x v="0"/>
    <x v="11"/>
    <n v="688.97059999822602"/>
    <n v="251474.268999352"/>
    <n v="905307.36839766905"/>
  </r>
  <r>
    <x v="0"/>
    <x v="0"/>
    <x v="0"/>
    <x v="7"/>
    <x v="13"/>
    <s v="NO3_A1"/>
    <x v="9"/>
    <x v="57"/>
    <x v="0"/>
    <x v="12"/>
    <n v="688.97059999822602"/>
    <n v="251474.268999352"/>
    <n v="905307.36839766905"/>
  </r>
  <r>
    <x v="0"/>
    <x v="0"/>
    <x v="0"/>
    <x v="7"/>
    <x v="13"/>
    <s v="NO3_A1"/>
    <x v="9"/>
    <x v="57"/>
    <x v="0"/>
    <x v="13"/>
    <n v="688.97059999822602"/>
    <n v="251474.268999352"/>
    <n v="905307.36839766905"/>
  </r>
  <r>
    <x v="0"/>
    <x v="0"/>
    <x v="0"/>
    <x v="7"/>
    <x v="13"/>
    <s v="NO3_A1"/>
    <x v="9"/>
    <x v="57"/>
    <x v="0"/>
    <x v="14"/>
    <n v="688.97059999822602"/>
    <n v="251474.268999352"/>
    <n v="905307.36839766905"/>
  </r>
  <r>
    <x v="0"/>
    <x v="0"/>
    <x v="0"/>
    <x v="7"/>
    <x v="13"/>
    <s v="NO3_A1"/>
    <x v="9"/>
    <x v="57"/>
    <x v="0"/>
    <x v="15"/>
    <n v="688.97059999822602"/>
    <n v="251474.268999352"/>
    <n v="905307.36839766905"/>
  </r>
  <r>
    <x v="0"/>
    <x v="0"/>
    <x v="0"/>
    <x v="7"/>
    <x v="13"/>
    <s v="NO3_A1"/>
    <x v="9"/>
    <x v="57"/>
    <x v="0"/>
    <x v="16"/>
    <n v="688.97059999822602"/>
    <n v="251474.268999352"/>
    <n v="905307.36839766905"/>
  </r>
  <r>
    <x v="0"/>
    <x v="0"/>
    <x v="0"/>
    <x v="7"/>
    <x v="13"/>
    <s v="NO3_A1"/>
    <x v="9"/>
    <x v="57"/>
    <x v="0"/>
    <x v="17"/>
    <n v="688.97059999822602"/>
    <n v="251474.268999352"/>
    <n v="905307.36839766905"/>
  </r>
  <r>
    <x v="0"/>
    <x v="0"/>
    <x v="0"/>
    <x v="7"/>
    <x v="13"/>
    <s v="NO3_A1"/>
    <x v="9"/>
    <x v="57"/>
    <x v="0"/>
    <x v="18"/>
    <n v="688.97059999822602"/>
    <n v="251474.268999352"/>
    <n v="905307.36839766905"/>
  </r>
  <r>
    <x v="0"/>
    <x v="0"/>
    <x v="0"/>
    <x v="7"/>
    <x v="13"/>
    <s v="NO3_A1"/>
    <x v="9"/>
    <x v="57"/>
    <x v="0"/>
    <x v="19"/>
    <n v="688.97059999822602"/>
    <n v="251474.268999352"/>
    <n v="905307.36839766905"/>
  </r>
  <r>
    <x v="0"/>
    <x v="0"/>
    <x v="0"/>
    <x v="7"/>
    <x v="13"/>
    <s v="NO3_A1"/>
    <x v="9"/>
    <x v="57"/>
    <x v="0"/>
    <x v="20"/>
    <n v="688.97059999822602"/>
    <n v="251474.268999352"/>
    <n v="905307.36839766905"/>
  </r>
  <r>
    <x v="0"/>
    <x v="0"/>
    <x v="0"/>
    <x v="7"/>
    <x v="13"/>
    <s v="NO3_A1"/>
    <x v="9"/>
    <x v="57"/>
    <x v="0"/>
    <x v="21"/>
    <n v="688.97059999822602"/>
    <n v="251474.268999352"/>
    <n v="905307.36839766905"/>
  </r>
  <r>
    <x v="0"/>
    <x v="0"/>
    <x v="0"/>
    <x v="7"/>
    <x v="13"/>
    <s v="NO3_A1"/>
    <x v="9"/>
    <x v="57"/>
    <x v="0"/>
    <x v="22"/>
    <n v="688.97059999822602"/>
    <n v="251474.268999352"/>
    <n v="905307.36839766905"/>
  </r>
  <r>
    <x v="0"/>
    <x v="0"/>
    <x v="0"/>
    <x v="7"/>
    <x v="13"/>
    <s v="NO3_A1"/>
    <x v="9"/>
    <x v="57"/>
    <x v="0"/>
    <x v="23"/>
    <n v="688.97059999822602"/>
    <n v="251474.268999352"/>
    <n v="905307.36839766905"/>
  </r>
  <r>
    <x v="0"/>
    <x v="0"/>
    <x v="0"/>
    <x v="7"/>
    <x v="13"/>
    <s v="NO3_A1"/>
    <x v="10"/>
    <x v="58"/>
    <x v="0"/>
    <x v="0"/>
    <n v="42.407408621679998"/>
    <n v="15478.7041469132"/>
    <n v="55723.334928887503"/>
  </r>
  <r>
    <x v="0"/>
    <x v="0"/>
    <x v="0"/>
    <x v="7"/>
    <x v="13"/>
    <s v="NO3_A1"/>
    <x v="10"/>
    <x v="58"/>
    <x v="0"/>
    <x v="1"/>
    <n v="55.434883861048"/>
    <n v="20233.732609282499"/>
    <n v="72841.437393417"/>
  </r>
  <r>
    <x v="0"/>
    <x v="0"/>
    <x v="0"/>
    <x v="7"/>
    <x v="13"/>
    <s v="NO3_A1"/>
    <x v="10"/>
    <x v="58"/>
    <x v="0"/>
    <x v="2"/>
    <n v="59.087856686394701"/>
    <n v="21567.067690534099"/>
    <n v="77641.443685922597"/>
  </r>
  <r>
    <x v="0"/>
    <x v="0"/>
    <x v="0"/>
    <x v="7"/>
    <x v="13"/>
    <s v="NO3_A1"/>
    <x v="10"/>
    <x v="58"/>
    <x v="0"/>
    <x v="3"/>
    <n v="67.831811775635103"/>
    <n v="24758.6112981068"/>
    <n v="89131.000673184593"/>
  </r>
  <r>
    <x v="0"/>
    <x v="0"/>
    <x v="0"/>
    <x v="7"/>
    <x v="13"/>
    <s v="NO3_A1"/>
    <x v="10"/>
    <x v="58"/>
    <x v="0"/>
    <x v="4"/>
    <n v="77.100974162646196"/>
    <n v="28141.8555693659"/>
    <n v="101310.680049717"/>
  </r>
  <r>
    <x v="0"/>
    <x v="0"/>
    <x v="0"/>
    <x v="7"/>
    <x v="13"/>
    <s v="NO3_A1"/>
    <x v="10"/>
    <x v="58"/>
    <x v="0"/>
    <x v="5"/>
    <n v="79.251338408944804"/>
    <n v="28926.7385192648"/>
    <n v="104136.258669353"/>
  </r>
  <r>
    <x v="0"/>
    <x v="0"/>
    <x v="0"/>
    <x v="7"/>
    <x v="13"/>
    <s v="NO3_A1"/>
    <x v="10"/>
    <x v="58"/>
    <x v="0"/>
    <x v="6"/>
    <n v="55.665187939682802"/>
    <n v="20317.7935979842"/>
    <n v="73144.056952743194"/>
  </r>
  <r>
    <x v="0"/>
    <x v="0"/>
    <x v="0"/>
    <x v="7"/>
    <x v="13"/>
    <s v="NO3_A1"/>
    <x v="10"/>
    <x v="58"/>
    <x v="0"/>
    <x v="7"/>
    <n v="63.054053915683099"/>
    <n v="23014.7296792243"/>
    <n v="82853.026845207598"/>
  </r>
  <r>
    <x v="0"/>
    <x v="0"/>
    <x v="0"/>
    <x v="7"/>
    <x v="13"/>
    <s v="NO3_A1"/>
    <x v="10"/>
    <x v="58"/>
    <x v="0"/>
    <x v="8"/>
    <n v="93.745431277653196"/>
    <n v="34217.082416343401"/>
    <n v="123181.496698836"/>
  </r>
  <r>
    <x v="0"/>
    <x v="0"/>
    <x v="0"/>
    <x v="7"/>
    <x v="13"/>
    <s v="NO3_A1"/>
    <x v="10"/>
    <x v="58"/>
    <x v="0"/>
    <x v="9"/>
    <n v="96.890038724002693"/>
    <n v="35364.864134260999"/>
    <n v="127313.510883339"/>
  </r>
  <r>
    <x v="0"/>
    <x v="0"/>
    <x v="0"/>
    <x v="7"/>
    <x v="13"/>
    <s v="NO3_A1"/>
    <x v="10"/>
    <x v="58"/>
    <x v="0"/>
    <x v="10"/>
    <n v="100.156923114872"/>
    <n v="36557.276936928298"/>
    <n v="131606.19697294201"/>
  </r>
  <r>
    <x v="0"/>
    <x v="0"/>
    <x v="0"/>
    <x v="7"/>
    <x v="13"/>
    <s v="NO3_A1"/>
    <x v="10"/>
    <x v="58"/>
    <x v="0"/>
    <x v="11"/>
    <n v="108.674170506199"/>
    <n v="39666.072234762498"/>
    <n v="142797.860045145"/>
  </r>
  <r>
    <x v="0"/>
    <x v="0"/>
    <x v="0"/>
    <x v="7"/>
    <x v="13"/>
    <s v="NO3_A1"/>
    <x v="10"/>
    <x v="58"/>
    <x v="0"/>
    <x v="12"/>
    <n v="108.618718386853"/>
    <n v="39645.832211201203"/>
    <n v="142724.99596032401"/>
  </r>
  <r>
    <x v="0"/>
    <x v="0"/>
    <x v="0"/>
    <x v="7"/>
    <x v="13"/>
    <s v="NO3_A1"/>
    <x v="10"/>
    <x v="58"/>
    <x v="0"/>
    <x v="13"/>
    <n v="161.41765874800399"/>
    <n v="58917.445443021599"/>
    <n v="212102.803594878"/>
  </r>
  <r>
    <x v="0"/>
    <x v="0"/>
    <x v="0"/>
    <x v="7"/>
    <x v="13"/>
    <s v="NO3_A1"/>
    <x v="10"/>
    <x v="58"/>
    <x v="0"/>
    <x v="14"/>
    <n v="181.42893892418499"/>
    <n v="66221.562707327597"/>
    <n v="238397.625746379"/>
  </r>
  <r>
    <x v="0"/>
    <x v="0"/>
    <x v="0"/>
    <x v="7"/>
    <x v="13"/>
    <s v="NO3_A1"/>
    <x v="10"/>
    <x v="58"/>
    <x v="0"/>
    <x v="15"/>
    <n v="174.38951901305001"/>
    <n v="63652.174439763403"/>
    <n v="229147.82798314799"/>
  </r>
  <r>
    <x v="0"/>
    <x v="0"/>
    <x v="0"/>
    <x v="7"/>
    <x v="13"/>
    <s v="NO3_A1"/>
    <x v="10"/>
    <x v="58"/>
    <x v="0"/>
    <x v="16"/>
    <n v="162.25391905003599"/>
    <n v="59222.680453263201"/>
    <n v="213201.64963174699"/>
  </r>
  <r>
    <x v="0"/>
    <x v="0"/>
    <x v="0"/>
    <x v="7"/>
    <x v="13"/>
    <s v="NO3_A1"/>
    <x v="10"/>
    <x v="58"/>
    <x v="0"/>
    <x v="17"/>
    <n v="174.71358684414801"/>
    <n v="63770.459198113902"/>
    <n v="229573.65311320999"/>
  </r>
  <r>
    <x v="0"/>
    <x v="0"/>
    <x v="0"/>
    <x v="7"/>
    <x v="13"/>
    <s v="NO3_A1"/>
    <x v="10"/>
    <x v="58"/>
    <x v="0"/>
    <x v="18"/>
    <n v="168.76562098251901"/>
    <n v="61599.451658619597"/>
    <n v="221758.02597103"/>
  </r>
  <r>
    <x v="0"/>
    <x v="0"/>
    <x v="0"/>
    <x v="7"/>
    <x v="13"/>
    <s v="NO3_A1"/>
    <x v="10"/>
    <x v="58"/>
    <x v="0"/>
    <x v="19"/>
    <n v="147.54588902778599"/>
    <n v="53854.249495142001"/>
    <n v="193875.298182511"/>
  </r>
  <r>
    <x v="0"/>
    <x v="0"/>
    <x v="0"/>
    <x v="7"/>
    <x v="13"/>
    <s v="NO3_A1"/>
    <x v="10"/>
    <x v="58"/>
    <x v="0"/>
    <x v="20"/>
    <n v="161.69797287553499"/>
    <n v="59019.7600995705"/>
    <n v="212471.13635845401"/>
  </r>
  <r>
    <x v="0"/>
    <x v="0"/>
    <x v="0"/>
    <x v="7"/>
    <x v="13"/>
    <s v="NO3_A1"/>
    <x v="10"/>
    <x v="58"/>
    <x v="0"/>
    <x v="21"/>
    <n v="138.93570573012499"/>
    <n v="50711.532591495699"/>
    <n v="182561.51732938399"/>
  </r>
  <r>
    <x v="0"/>
    <x v="0"/>
    <x v="0"/>
    <x v="7"/>
    <x v="13"/>
    <s v="NO3_A1"/>
    <x v="10"/>
    <x v="58"/>
    <x v="0"/>
    <x v="22"/>
    <n v="140.497849474194"/>
    <n v="51281.715058080801"/>
    <n v="184614.174209091"/>
  </r>
  <r>
    <x v="0"/>
    <x v="0"/>
    <x v="0"/>
    <x v="7"/>
    <x v="13"/>
    <s v="NO3_A1"/>
    <x v="10"/>
    <x v="58"/>
    <x v="0"/>
    <x v="23"/>
    <n v="127.754815921725"/>
    <n v="46630.507811429699"/>
    <n v="167869.828121147"/>
  </r>
  <r>
    <x v="0"/>
    <x v="0"/>
    <x v="0"/>
    <x v="7"/>
    <x v="13"/>
    <s v="NO3_A1"/>
    <x v="6"/>
    <x v="115"/>
    <x v="0"/>
    <x v="0"/>
    <n v="5.4520843197160804"/>
    <n v="1990.0107766963699"/>
    <n v="7164.03879610694"/>
  </r>
  <r>
    <x v="0"/>
    <x v="0"/>
    <x v="0"/>
    <x v="7"/>
    <x v="13"/>
    <s v="NO3_A1"/>
    <x v="6"/>
    <x v="115"/>
    <x v="0"/>
    <x v="1"/>
    <n v="11.6111111111111"/>
    <n v="4238.0555555555602"/>
    <n v="15257"/>
  </r>
  <r>
    <x v="0"/>
    <x v="0"/>
    <x v="0"/>
    <x v="7"/>
    <x v="13"/>
    <s v="NO3_A1"/>
    <x v="6"/>
    <x v="115"/>
    <x v="0"/>
    <x v="2"/>
    <n v="11.6111111111111"/>
    <n v="4238.0555555555602"/>
    <n v="15257"/>
  </r>
  <r>
    <x v="0"/>
    <x v="0"/>
    <x v="0"/>
    <x v="7"/>
    <x v="13"/>
    <s v="NO3_A1"/>
    <x v="6"/>
    <x v="115"/>
    <x v="0"/>
    <x v="3"/>
    <n v="11.6111111111111"/>
    <n v="4238.0555555555602"/>
    <n v="15257"/>
  </r>
  <r>
    <x v="0"/>
    <x v="0"/>
    <x v="0"/>
    <x v="7"/>
    <x v="13"/>
    <s v="NO3_A1"/>
    <x v="6"/>
    <x v="115"/>
    <x v="0"/>
    <x v="4"/>
    <n v="11.6111111111111"/>
    <n v="4238.0555555555602"/>
    <n v="15257"/>
  </r>
  <r>
    <x v="0"/>
    <x v="0"/>
    <x v="0"/>
    <x v="7"/>
    <x v="13"/>
    <s v="NO3_A1"/>
    <x v="6"/>
    <x v="115"/>
    <x v="0"/>
    <x v="5"/>
    <n v="11.6111111111111"/>
    <n v="4238.0555555555602"/>
    <n v="15257"/>
  </r>
  <r>
    <x v="0"/>
    <x v="0"/>
    <x v="0"/>
    <x v="7"/>
    <x v="13"/>
    <s v="NO3_A1"/>
    <x v="6"/>
    <x v="115"/>
    <x v="0"/>
    <x v="6"/>
    <n v="11.6111111111111"/>
    <n v="4238.0555555555602"/>
    <n v="15257"/>
  </r>
  <r>
    <x v="0"/>
    <x v="0"/>
    <x v="0"/>
    <x v="7"/>
    <x v="13"/>
    <s v="NO3_A1"/>
    <x v="6"/>
    <x v="115"/>
    <x v="0"/>
    <x v="7"/>
    <n v="11.6111111111111"/>
    <n v="4238.0555555555602"/>
    <n v="15257"/>
  </r>
  <r>
    <x v="0"/>
    <x v="0"/>
    <x v="0"/>
    <x v="7"/>
    <x v="13"/>
    <s v="NO3_A1"/>
    <x v="6"/>
    <x v="115"/>
    <x v="0"/>
    <x v="8"/>
    <n v="11.6111111111111"/>
    <n v="4238.0555555555602"/>
    <n v="15257"/>
  </r>
  <r>
    <x v="0"/>
    <x v="0"/>
    <x v="0"/>
    <x v="7"/>
    <x v="13"/>
    <s v="NO3_A1"/>
    <x v="6"/>
    <x v="115"/>
    <x v="0"/>
    <x v="9"/>
    <n v="11.6111111111111"/>
    <n v="4238.0555555555602"/>
    <n v="15257"/>
  </r>
  <r>
    <x v="0"/>
    <x v="0"/>
    <x v="0"/>
    <x v="7"/>
    <x v="13"/>
    <s v="NO3_A1"/>
    <x v="6"/>
    <x v="115"/>
    <x v="0"/>
    <x v="10"/>
    <n v="11.6111111111111"/>
    <n v="4238.0555555555602"/>
    <n v="15257"/>
  </r>
  <r>
    <x v="0"/>
    <x v="0"/>
    <x v="0"/>
    <x v="7"/>
    <x v="13"/>
    <s v="NO3_A1"/>
    <x v="6"/>
    <x v="115"/>
    <x v="0"/>
    <x v="11"/>
    <n v="11.6111111111111"/>
    <n v="4238.0555555555602"/>
    <n v="15257"/>
  </r>
  <r>
    <x v="0"/>
    <x v="0"/>
    <x v="0"/>
    <x v="7"/>
    <x v="13"/>
    <s v="NO3_A1"/>
    <x v="6"/>
    <x v="115"/>
    <x v="0"/>
    <x v="12"/>
    <n v="11.6111111111111"/>
    <n v="4238.0555555555602"/>
    <n v="15257"/>
  </r>
  <r>
    <x v="0"/>
    <x v="0"/>
    <x v="0"/>
    <x v="7"/>
    <x v="13"/>
    <s v="NO3_A1"/>
    <x v="6"/>
    <x v="115"/>
    <x v="0"/>
    <x v="13"/>
    <n v="10.8957273308397"/>
    <n v="3976.9404757564898"/>
    <n v="14316.985712723401"/>
  </r>
  <r>
    <x v="0"/>
    <x v="0"/>
    <x v="0"/>
    <x v="7"/>
    <x v="13"/>
    <s v="NO3_A1"/>
    <x v="6"/>
    <x v="115"/>
    <x v="0"/>
    <x v="14"/>
    <n v="9.9123830038611107"/>
    <n v="3618.0197964093099"/>
    <n v="13024.8712670735"/>
  </r>
  <r>
    <x v="0"/>
    <x v="0"/>
    <x v="0"/>
    <x v="7"/>
    <x v="13"/>
    <s v="NO3_A1"/>
    <x v="6"/>
    <x v="115"/>
    <x v="0"/>
    <x v="15"/>
    <n v="7.8256915315911897"/>
    <n v="2856.3774090307902"/>
    <n v="10282.9586725108"/>
  </r>
  <r>
    <x v="0"/>
    <x v="0"/>
    <x v="0"/>
    <x v="7"/>
    <x v="13"/>
    <s v="NO3_A1"/>
    <x v="6"/>
    <x v="115"/>
    <x v="0"/>
    <x v="16"/>
    <n v="5.2834385221774403"/>
    <n v="1928.45506059476"/>
    <n v="6942.4382181411502"/>
  </r>
  <r>
    <x v="0"/>
    <x v="0"/>
    <x v="0"/>
    <x v="7"/>
    <x v="13"/>
    <s v="NO3_A1"/>
    <x v="6"/>
    <x v="115"/>
    <x v="0"/>
    <x v="17"/>
    <n v="3.5531226611759501"/>
    <n v="1296.8897713292199"/>
    <n v="4668.8031767851899"/>
  </r>
  <r>
    <x v="0"/>
    <x v="0"/>
    <x v="0"/>
    <x v="7"/>
    <x v="13"/>
    <s v="NO3_A1"/>
    <x v="6"/>
    <x v="115"/>
    <x v="0"/>
    <x v="18"/>
    <n v="2.69450293935133"/>
    <n v="983.49357286323402"/>
    <n v="3540.5768623076401"/>
  </r>
  <r>
    <x v="0"/>
    <x v="0"/>
    <x v="0"/>
    <x v="7"/>
    <x v="13"/>
    <s v="NO3_A1"/>
    <x v="6"/>
    <x v="115"/>
    <x v="0"/>
    <x v="19"/>
    <n v="2.2214516531458899"/>
    <n v="810.82985339825098"/>
    <n v="2918.9874722337099"/>
  </r>
  <r>
    <x v="0"/>
    <x v="0"/>
    <x v="0"/>
    <x v="7"/>
    <x v="13"/>
    <s v="NO3_A1"/>
    <x v="6"/>
    <x v="115"/>
    <x v="0"/>
    <x v="20"/>
    <n v="1.2641613889843899"/>
    <n v="461.41890697930302"/>
    <n v="1661.1080651254899"/>
  </r>
  <r>
    <x v="0"/>
    <x v="0"/>
    <x v="0"/>
    <x v="7"/>
    <x v="13"/>
    <s v="NO3_A1"/>
    <x v="6"/>
    <x v="115"/>
    <x v="0"/>
    <x v="21"/>
    <n v="2.3589165022329399"/>
    <n v="861.00452331502197"/>
    <n v="3099.61628393408"/>
  </r>
  <r>
    <x v="0"/>
    <x v="0"/>
    <x v="0"/>
    <x v="7"/>
    <x v="13"/>
    <s v="NO3_A2"/>
    <x v="2"/>
    <x v="176"/>
    <x v="0"/>
    <x v="0"/>
    <n v="82.352941176470594"/>
    <n v="30058.823529411799"/>
    <n v="108211.764705882"/>
  </r>
  <r>
    <x v="0"/>
    <x v="0"/>
    <x v="0"/>
    <x v="7"/>
    <x v="13"/>
    <s v="NO3_A2"/>
    <x v="2"/>
    <x v="176"/>
    <x v="0"/>
    <x v="1"/>
    <n v="82.352941176470594"/>
    <n v="30058.823529411799"/>
    <n v="108211.764705882"/>
  </r>
  <r>
    <x v="0"/>
    <x v="0"/>
    <x v="0"/>
    <x v="7"/>
    <x v="13"/>
    <s v="NO3_A2"/>
    <x v="2"/>
    <x v="176"/>
    <x v="0"/>
    <x v="2"/>
    <n v="82.352941176470594"/>
    <n v="30058.823529411799"/>
    <n v="108211.764705882"/>
  </r>
  <r>
    <x v="0"/>
    <x v="0"/>
    <x v="0"/>
    <x v="7"/>
    <x v="13"/>
    <s v="NO3_A2"/>
    <x v="2"/>
    <x v="176"/>
    <x v="0"/>
    <x v="3"/>
    <n v="82.352941176470594"/>
    <n v="30058.823529411799"/>
    <n v="108211.764705882"/>
  </r>
  <r>
    <x v="0"/>
    <x v="0"/>
    <x v="0"/>
    <x v="7"/>
    <x v="13"/>
    <s v="NO3_A2"/>
    <x v="2"/>
    <x v="176"/>
    <x v="0"/>
    <x v="4"/>
    <n v="82.352941176470594"/>
    <n v="30058.823529411799"/>
    <n v="108211.764705882"/>
  </r>
  <r>
    <x v="0"/>
    <x v="0"/>
    <x v="0"/>
    <x v="7"/>
    <x v="13"/>
    <s v="NO3_A2"/>
    <x v="2"/>
    <x v="176"/>
    <x v="0"/>
    <x v="5"/>
    <n v="82.352941176470594"/>
    <n v="30058.823529411799"/>
    <n v="108211.764705882"/>
  </r>
  <r>
    <x v="0"/>
    <x v="0"/>
    <x v="0"/>
    <x v="7"/>
    <x v="13"/>
    <s v="NO3_A2"/>
    <x v="2"/>
    <x v="176"/>
    <x v="0"/>
    <x v="6"/>
    <n v="82.352941176470594"/>
    <n v="30058.823529411799"/>
    <n v="108211.764705882"/>
  </r>
  <r>
    <x v="0"/>
    <x v="0"/>
    <x v="0"/>
    <x v="7"/>
    <x v="13"/>
    <s v="NO3_A2"/>
    <x v="2"/>
    <x v="176"/>
    <x v="0"/>
    <x v="7"/>
    <n v="82.352941176470594"/>
    <n v="30058.823529411799"/>
    <n v="108211.764705882"/>
  </r>
  <r>
    <x v="0"/>
    <x v="0"/>
    <x v="0"/>
    <x v="7"/>
    <x v="13"/>
    <s v="NO3_A2"/>
    <x v="2"/>
    <x v="176"/>
    <x v="0"/>
    <x v="8"/>
    <n v="82.352941176470594"/>
    <n v="30058.823529411799"/>
    <n v="108211.764705882"/>
  </r>
  <r>
    <x v="0"/>
    <x v="0"/>
    <x v="0"/>
    <x v="7"/>
    <x v="13"/>
    <s v="NO3_A2"/>
    <x v="2"/>
    <x v="176"/>
    <x v="0"/>
    <x v="9"/>
    <n v="82.352941176470594"/>
    <n v="30058.823529411799"/>
    <n v="108211.764705882"/>
  </r>
  <r>
    <x v="0"/>
    <x v="0"/>
    <x v="0"/>
    <x v="7"/>
    <x v="13"/>
    <s v="NO3_A2"/>
    <x v="2"/>
    <x v="176"/>
    <x v="0"/>
    <x v="10"/>
    <n v="82.352941176470594"/>
    <n v="30058.823529411799"/>
    <n v="108211.764705882"/>
  </r>
  <r>
    <x v="0"/>
    <x v="0"/>
    <x v="0"/>
    <x v="7"/>
    <x v="13"/>
    <s v="NO3_A2"/>
    <x v="2"/>
    <x v="176"/>
    <x v="0"/>
    <x v="11"/>
    <n v="82.352941176470594"/>
    <n v="30058.823529411799"/>
    <n v="108211.764705882"/>
  </r>
  <r>
    <x v="0"/>
    <x v="0"/>
    <x v="0"/>
    <x v="7"/>
    <x v="13"/>
    <s v="NO3_A2"/>
    <x v="2"/>
    <x v="176"/>
    <x v="0"/>
    <x v="12"/>
    <n v="82.352941176470594"/>
    <n v="30058.823529411799"/>
    <n v="108211.764705882"/>
  </r>
  <r>
    <x v="0"/>
    <x v="0"/>
    <x v="0"/>
    <x v="7"/>
    <x v="13"/>
    <s v="NO3_A2"/>
    <x v="2"/>
    <x v="176"/>
    <x v="0"/>
    <x v="13"/>
    <n v="82.352941176470594"/>
    <n v="30058.823529411799"/>
    <n v="108211.764705882"/>
  </r>
  <r>
    <x v="0"/>
    <x v="0"/>
    <x v="0"/>
    <x v="7"/>
    <x v="13"/>
    <s v="NO3_A2"/>
    <x v="2"/>
    <x v="176"/>
    <x v="0"/>
    <x v="14"/>
    <n v="82.352941176470594"/>
    <n v="30058.823529411799"/>
    <n v="108211.764705882"/>
  </r>
  <r>
    <x v="0"/>
    <x v="0"/>
    <x v="0"/>
    <x v="7"/>
    <x v="13"/>
    <s v="NO3_A2"/>
    <x v="2"/>
    <x v="176"/>
    <x v="0"/>
    <x v="15"/>
    <n v="82.352941176470594"/>
    <n v="30058.823529411799"/>
    <n v="108211.764705882"/>
  </r>
  <r>
    <x v="0"/>
    <x v="0"/>
    <x v="0"/>
    <x v="7"/>
    <x v="13"/>
    <s v="NO3_A2"/>
    <x v="2"/>
    <x v="176"/>
    <x v="0"/>
    <x v="16"/>
    <n v="82.352941176470594"/>
    <n v="30058.823529411799"/>
    <n v="108211.764705882"/>
  </r>
  <r>
    <x v="0"/>
    <x v="0"/>
    <x v="0"/>
    <x v="7"/>
    <x v="13"/>
    <s v="NO3_A2"/>
    <x v="2"/>
    <x v="176"/>
    <x v="0"/>
    <x v="17"/>
    <n v="82.352941176470594"/>
    <n v="30058.823529411799"/>
    <n v="108211.764705882"/>
  </r>
  <r>
    <x v="0"/>
    <x v="0"/>
    <x v="0"/>
    <x v="7"/>
    <x v="13"/>
    <s v="NO3_A2"/>
    <x v="2"/>
    <x v="176"/>
    <x v="0"/>
    <x v="18"/>
    <n v="82.352941176470594"/>
    <n v="30058.823529411799"/>
    <n v="108211.764705882"/>
  </r>
  <r>
    <x v="0"/>
    <x v="0"/>
    <x v="0"/>
    <x v="7"/>
    <x v="13"/>
    <s v="NO3_A2"/>
    <x v="2"/>
    <x v="176"/>
    <x v="0"/>
    <x v="19"/>
    <n v="82.352941176470594"/>
    <n v="30058.823529411799"/>
    <n v="108211.764705882"/>
  </r>
  <r>
    <x v="0"/>
    <x v="0"/>
    <x v="0"/>
    <x v="7"/>
    <x v="13"/>
    <s v="NO3_A2"/>
    <x v="2"/>
    <x v="176"/>
    <x v="0"/>
    <x v="20"/>
    <n v="82.352941176470594"/>
    <n v="30058.823529411799"/>
    <n v="108211.764705882"/>
  </r>
  <r>
    <x v="0"/>
    <x v="0"/>
    <x v="0"/>
    <x v="7"/>
    <x v="13"/>
    <s v="NO3_A2"/>
    <x v="2"/>
    <x v="176"/>
    <x v="0"/>
    <x v="21"/>
    <n v="82.352941176470594"/>
    <n v="30058.823529411799"/>
    <n v="108211.764705882"/>
  </r>
  <r>
    <x v="0"/>
    <x v="0"/>
    <x v="0"/>
    <x v="7"/>
    <x v="13"/>
    <s v="NO3_A2"/>
    <x v="2"/>
    <x v="176"/>
    <x v="0"/>
    <x v="22"/>
    <n v="82.352941176470594"/>
    <n v="30058.823529411799"/>
    <n v="108211.764705882"/>
  </r>
  <r>
    <x v="0"/>
    <x v="0"/>
    <x v="0"/>
    <x v="7"/>
    <x v="13"/>
    <s v="NO3_A2"/>
    <x v="2"/>
    <x v="176"/>
    <x v="0"/>
    <x v="23"/>
    <n v="82.352941176470594"/>
    <n v="30058.823529411799"/>
    <n v="108211.764705882"/>
  </r>
  <r>
    <x v="0"/>
    <x v="0"/>
    <x v="0"/>
    <x v="7"/>
    <x v="13"/>
    <s v="NO3_A2"/>
    <x v="6"/>
    <x v="115"/>
    <x v="0"/>
    <x v="5"/>
    <n v="4.6865880877359203"/>
    <n v="1710.60465202361"/>
    <n v="6158.1767472849997"/>
  </r>
  <r>
    <x v="0"/>
    <x v="0"/>
    <x v="0"/>
    <x v="7"/>
    <x v="13"/>
    <s v="NO3_A2"/>
    <x v="6"/>
    <x v="115"/>
    <x v="0"/>
    <x v="9"/>
    <n v="10.9288041025938"/>
    <n v="3989.0134974467201"/>
    <n v="14360.448590808201"/>
  </r>
  <r>
    <x v="0"/>
    <x v="0"/>
    <x v="0"/>
    <x v="7"/>
    <x v="13"/>
    <s v="NO3_A2"/>
    <x v="6"/>
    <x v="115"/>
    <x v="0"/>
    <x v="12"/>
    <n v="13.083733476747"/>
    <n v="4775.5627190126497"/>
    <n v="17192.0257884456"/>
  </r>
  <r>
    <x v="0"/>
    <x v="0"/>
    <x v="0"/>
    <x v="7"/>
    <x v="13"/>
    <s v="NO3_A2"/>
    <x v="6"/>
    <x v="115"/>
    <x v="0"/>
    <x v="15"/>
    <n v="6.18724033078799"/>
    <n v="2258.3427207376199"/>
    <n v="8130.03379465543"/>
  </r>
  <r>
    <x v="0"/>
    <x v="0"/>
    <x v="0"/>
    <x v="7"/>
    <x v="14"/>
    <s v="NO4_A1"/>
    <x v="2"/>
    <x v="175"/>
    <x v="0"/>
    <x v="0"/>
    <n v="0.78092903225806498"/>
    <n v="285.03909677419398"/>
    <n v="1026.1407483871001"/>
  </r>
  <r>
    <x v="0"/>
    <x v="0"/>
    <x v="0"/>
    <x v="7"/>
    <x v="14"/>
    <s v="NO4_A1"/>
    <x v="2"/>
    <x v="175"/>
    <x v="0"/>
    <x v="1"/>
    <n v="0.78092903225806498"/>
    <n v="285.03909677419398"/>
    <n v="1026.1407483871001"/>
  </r>
  <r>
    <x v="0"/>
    <x v="0"/>
    <x v="0"/>
    <x v="7"/>
    <x v="14"/>
    <s v="NO4_A1"/>
    <x v="2"/>
    <x v="175"/>
    <x v="0"/>
    <x v="2"/>
    <n v="0.78092903225806498"/>
    <n v="285.03909677419398"/>
    <n v="1026.1407483871001"/>
  </r>
  <r>
    <x v="0"/>
    <x v="0"/>
    <x v="0"/>
    <x v="7"/>
    <x v="14"/>
    <s v="NO4_A1"/>
    <x v="2"/>
    <x v="175"/>
    <x v="0"/>
    <x v="3"/>
    <n v="0.78092903225806498"/>
    <n v="285.03909677419398"/>
    <n v="1026.1407483871001"/>
  </r>
  <r>
    <x v="0"/>
    <x v="0"/>
    <x v="0"/>
    <x v="7"/>
    <x v="14"/>
    <s v="NO4_A1"/>
    <x v="2"/>
    <x v="175"/>
    <x v="0"/>
    <x v="4"/>
    <n v="0.78092903225806498"/>
    <n v="285.03909677419398"/>
    <n v="1026.1407483871001"/>
  </r>
  <r>
    <x v="0"/>
    <x v="0"/>
    <x v="0"/>
    <x v="7"/>
    <x v="14"/>
    <s v="NO4_A1"/>
    <x v="2"/>
    <x v="175"/>
    <x v="0"/>
    <x v="5"/>
    <n v="0.78092903225806498"/>
    <n v="285.03909677419398"/>
    <n v="1026.1407483871001"/>
  </r>
  <r>
    <x v="0"/>
    <x v="0"/>
    <x v="0"/>
    <x v="7"/>
    <x v="14"/>
    <s v="NO4_A1"/>
    <x v="2"/>
    <x v="175"/>
    <x v="0"/>
    <x v="6"/>
    <n v="0.78092903225806498"/>
    <n v="285.03909677419398"/>
    <n v="1026.1407483871001"/>
  </r>
  <r>
    <x v="0"/>
    <x v="0"/>
    <x v="0"/>
    <x v="7"/>
    <x v="14"/>
    <s v="NO4_A1"/>
    <x v="2"/>
    <x v="175"/>
    <x v="0"/>
    <x v="7"/>
    <n v="0.78092903225806498"/>
    <n v="285.03909677419398"/>
    <n v="1026.1407483871001"/>
  </r>
  <r>
    <x v="0"/>
    <x v="0"/>
    <x v="0"/>
    <x v="7"/>
    <x v="14"/>
    <s v="NO4_A1"/>
    <x v="2"/>
    <x v="175"/>
    <x v="0"/>
    <x v="8"/>
    <n v="0.78092903225806498"/>
    <n v="285.03909677419398"/>
    <n v="1026.1407483871001"/>
  </r>
  <r>
    <x v="0"/>
    <x v="0"/>
    <x v="0"/>
    <x v="7"/>
    <x v="14"/>
    <s v="NO4_A1"/>
    <x v="2"/>
    <x v="175"/>
    <x v="0"/>
    <x v="9"/>
    <n v="0.78092903225806498"/>
    <n v="285.03909677419398"/>
    <n v="1026.1407483871001"/>
  </r>
  <r>
    <x v="0"/>
    <x v="0"/>
    <x v="0"/>
    <x v="7"/>
    <x v="14"/>
    <s v="NO4_A1"/>
    <x v="2"/>
    <x v="175"/>
    <x v="0"/>
    <x v="10"/>
    <n v="0.78092903225806498"/>
    <n v="285.03909677419398"/>
    <n v="1026.1407483871001"/>
  </r>
  <r>
    <x v="0"/>
    <x v="0"/>
    <x v="0"/>
    <x v="7"/>
    <x v="14"/>
    <s v="NO4_A1"/>
    <x v="2"/>
    <x v="175"/>
    <x v="0"/>
    <x v="11"/>
    <n v="0.78092903225806498"/>
    <n v="285.03909677419398"/>
    <n v="1026.1407483871001"/>
  </r>
  <r>
    <x v="0"/>
    <x v="0"/>
    <x v="0"/>
    <x v="7"/>
    <x v="14"/>
    <s v="NO4_A1"/>
    <x v="2"/>
    <x v="175"/>
    <x v="0"/>
    <x v="12"/>
    <n v="0.78092903225806498"/>
    <n v="285.03909677419398"/>
    <n v="1026.1407483871001"/>
  </r>
  <r>
    <x v="0"/>
    <x v="0"/>
    <x v="0"/>
    <x v="7"/>
    <x v="14"/>
    <s v="NO4_A1"/>
    <x v="2"/>
    <x v="175"/>
    <x v="0"/>
    <x v="13"/>
    <n v="0.78092903225806498"/>
    <n v="285.03909677419398"/>
    <n v="1026.1407483871001"/>
  </r>
  <r>
    <x v="0"/>
    <x v="0"/>
    <x v="0"/>
    <x v="7"/>
    <x v="14"/>
    <s v="NO4_A1"/>
    <x v="2"/>
    <x v="175"/>
    <x v="0"/>
    <x v="14"/>
    <n v="0.78092903225806498"/>
    <n v="285.03909677419398"/>
    <n v="1026.1407483871001"/>
  </r>
  <r>
    <x v="0"/>
    <x v="0"/>
    <x v="0"/>
    <x v="7"/>
    <x v="14"/>
    <s v="NO4_A1"/>
    <x v="2"/>
    <x v="175"/>
    <x v="0"/>
    <x v="15"/>
    <n v="0.78092903225806498"/>
    <n v="285.03909677419398"/>
    <n v="1026.1407483871001"/>
  </r>
  <r>
    <x v="0"/>
    <x v="0"/>
    <x v="0"/>
    <x v="7"/>
    <x v="14"/>
    <s v="NO4_A1"/>
    <x v="2"/>
    <x v="175"/>
    <x v="0"/>
    <x v="16"/>
    <n v="0.78092903225806498"/>
    <n v="285.03909677419398"/>
    <n v="1026.1407483871001"/>
  </r>
  <r>
    <x v="0"/>
    <x v="0"/>
    <x v="0"/>
    <x v="7"/>
    <x v="14"/>
    <s v="NO4_A1"/>
    <x v="2"/>
    <x v="175"/>
    <x v="0"/>
    <x v="17"/>
    <n v="0.78092903225806498"/>
    <n v="285.03909677419398"/>
    <n v="1026.1407483871001"/>
  </r>
  <r>
    <x v="0"/>
    <x v="0"/>
    <x v="0"/>
    <x v="7"/>
    <x v="14"/>
    <s v="NO4_A1"/>
    <x v="2"/>
    <x v="175"/>
    <x v="0"/>
    <x v="18"/>
    <n v="0.78092903225806498"/>
    <n v="285.03909677419398"/>
    <n v="1026.1407483871001"/>
  </r>
  <r>
    <x v="0"/>
    <x v="0"/>
    <x v="0"/>
    <x v="7"/>
    <x v="14"/>
    <s v="NO4_A1"/>
    <x v="2"/>
    <x v="175"/>
    <x v="0"/>
    <x v="19"/>
    <n v="0.78092903225806498"/>
    <n v="285.03909677419398"/>
    <n v="1026.1407483871001"/>
  </r>
  <r>
    <x v="0"/>
    <x v="0"/>
    <x v="0"/>
    <x v="7"/>
    <x v="14"/>
    <s v="NO4_A1"/>
    <x v="2"/>
    <x v="175"/>
    <x v="0"/>
    <x v="20"/>
    <n v="0.78092903225806498"/>
    <n v="285.03909677419398"/>
    <n v="1026.1407483871001"/>
  </r>
  <r>
    <x v="0"/>
    <x v="0"/>
    <x v="0"/>
    <x v="7"/>
    <x v="14"/>
    <s v="NO4_A1"/>
    <x v="2"/>
    <x v="175"/>
    <x v="0"/>
    <x v="21"/>
    <n v="0.78092903225806498"/>
    <n v="285.03909677419398"/>
    <n v="1026.1407483871001"/>
  </r>
  <r>
    <x v="0"/>
    <x v="0"/>
    <x v="0"/>
    <x v="7"/>
    <x v="14"/>
    <s v="NO4_A1"/>
    <x v="2"/>
    <x v="175"/>
    <x v="0"/>
    <x v="22"/>
    <n v="0.78092903225806498"/>
    <n v="285.03909677419398"/>
    <n v="1026.1407483871001"/>
  </r>
  <r>
    <x v="0"/>
    <x v="0"/>
    <x v="0"/>
    <x v="7"/>
    <x v="14"/>
    <s v="NO4_A1"/>
    <x v="2"/>
    <x v="175"/>
    <x v="0"/>
    <x v="23"/>
    <n v="0.78092903225806498"/>
    <n v="285.03909677419398"/>
    <n v="1026.1407483871001"/>
  </r>
  <r>
    <x v="0"/>
    <x v="0"/>
    <x v="0"/>
    <x v="7"/>
    <x v="14"/>
    <s v="NO4_A1"/>
    <x v="2"/>
    <x v="176"/>
    <x v="0"/>
    <x v="0"/>
    <n v="18.823529411764699"/>
    <n v="6870.5882352941198"/>
    <n v="24734.1176470588"/>
  </r>
  <r>
    <x v="0"/>
    <x v="0"/>
    <x v="0"/>
    <x v="7"/>
    <x v="14"/>
    <s v="NO4_A1"/>
    <x v="2"/>
    <x v="176"/>
    <x v="0"/>
    <x v="1"/>
    <n v="18.823529411764699"/>
    <n v="6870.5882352941198"/>
    <n v="24734.1176470588"/>
  </r>
  <r>
    <x v="0"/>
    <x v="0"/>
    <x v="0"/>
    <x v="7"/>
    <x v="14"/>
    <s v="NO4_A1"/>
    <x v="2"/>
    <x v="176"/>
    <x v="0"/>
    <x v="2"/>
    <n v="18.823529411764699"/>
    <n v="6870.5882352941198"/>
    <n v="24734.1176470588"/>
  </r>
  <r>
    <x v="0"/>
    <x v="0"/>
    <x v="0"/>
    <x v="7"/>
    <x v="14"/>
    <s v="NO4_A1"/>
    <x v="2"/>
    <x v="176"/>
    <x v="0"/>
    <x v="3"/>
    <n v="18.823529411764699"/>
    <n v="6870.5882352941198"/>
    <n v="24734.1176470588"/>
  </r>
  <r>
    <x v="0"/>
    <x v="0"/>
    <x v="0"/>
    <x v="7"/>
    <x v="14"/>
    <s v="NO4_A1"/>
    <x v="2"/>
    <x v="176"/>
    <x v="0"/>
    <x v="4"/>
    <n v="18.823529411764699"/>
    <n v="6870.5882352941198"/>
    <n v="24734.1176470588"/>
  </r>
  <r>
    <x v="0"/>
    <x v="0"/>
    <x v="0"/>
    <x v="7"/>
    <x v="14"/>
    <s v="NO4_A1"/>
    <x v="2"/>
    <x v="176"/>
    <x v="0"/>
    <x v="5"/>
    <n v="18.823529411764699"/>
    <n v="6870.5882352941198"/>
    <n v="24734.1176470588"/>
  </r>
  <r>
    <x v="0"/>
    <x v="0"/>
    <x v="0"/>
    <x v="7"/>
    <x v="14"/>
    <s v="NO4_A1"/>
    <x v="2"/>
    <x v="176"/>
    <x v="0"/>
    <x v="6"/>
    <n v="18.823529411764699"/>
    <n v="6870.5882352941198"/>
    <n v="24734.1176470588"/>
  </r>
  <r>
    <x v="0"/>
    <x v="0"/>
    <x v="0"/>
    <x v="7"/>
    <x v="14"/>
    <s v="NO4_A1"/>
    <x v="2"/>
    <x v="176"/>
    <x v="0"/>
    <x v="7"/>
    <n v="18.823529411764699"/>
    <n v="6870.5882352941198"/>
    <n v="24734.1176470588"/>
  </r>
  <r>
    <x v="0"/>
    <x v="0"/>
    <x v="0"/>
    <x v="7"/>
    <x v="14"/>
    <s v="NO4_A1"/>
    <x v="2"/>
    <x v="176"/>
    <x v="0"/>
    <x v="8"/>
    <n v="18.823529411764699"/>
    <n v="6870.5882352941198"/>
    <n v="24734.1176470588"/>
  </r>
  <r>
    <x v="0"/>
    <x v="0"/>
    <x v="0"/>
    <x v="7"/>
    <x v="14"/>
    <s v="NO4_A1"/>
    <x v="2"/>
    <x v="176"/>
    <x v="0"/>
    <x v="9"/>
    <n v="18.823529411764699"/>
    <n v="6870.5882352941198"/>
    <n v="24734.1176470588"/>
  </r>
  <r>
    <x v="0"/>
    <x v="0"/>
    <x v="0"/>
    <x v="7"/>
    <x v="14"/>
    <s v="NO4_A1"/>
    <x v="2"/>
    <x v="176"/>
    <x v="0"/>
    <x v="10"/>
    <n v="18.823529411764699"/>
    <n v="6870.5882352941198"/>
    <n v="24734.1176470588"/>
  </r>
  <r>
    <x v="0"/>
    <x v="0"/>
    <x v="0"/>
    <x v="7"/>
    <x v="14"/>
    <s v="NO4_A1"/>
    <x v="2"/>
    <x v="176"/>
    <x v="0"/>
    <x v="11"/>
    <n v="18.823529411764699"/>
    <n v="6870.5882352941198"/>
    <n v="24734.1176470588"/>
  </r>
  <r>
    <x v="0"/>
    <x v="0"/>
    <x v="0"/>
    <x v="7"/>
    <x v="14"/>
    <s v="NO4_A1"/>
    <x v="2"/>
    <x v="176"/>
    <x v="0"/>
    <x v="12"/>
    <n v="18.823529411764699"/>
    <n v="6870.5882352941198"/>
    <n v="24734.1176470588"/>
  </r>
  <r>
    <x v="0"/>
    <x v="0"/>
    <x v="0"/>
    <x v="7"/>
    <x v="14"/>
    <s v="NO4_A1"/>
    <x v="2"/>
    <x v="176"/>
    <x v="0"/>
    <x v="13"/>
    <n v="18.823529411764699"/>
    <n v="6870.5882352941198"/>
    <n v="24734.1176470588"/>
  </r>
  <r>
    <x v="0"/>
    <x v="0"/>
    <x v="0"/>
    <x v="7"/>
    <x v="14"/>
    <s v="NO4_A1"/>
    <x v="2"/>
    <x v="176"/>
    <x v="0"/>
    <x v="14"/>
    <n v="18.823529411764699"/>
    <n v="6870.5882352941198"/>
    <n v="24734.1176470588"/>
  </r>
  <r>
    <x v="0"/>
    <x v="0"/>
    <x v="0"/>
    <x v="7"/>
    <x v="14"/>
    <s v="NO4_A1"/>
    <x v="2"/>
    <x v="176"/>
    <x v="0"/>
    <x v="15"/>
    <n v="18.823529411764699"/>
    <n v="6870.5882352941198"/>
    <n v="24734.1176470588"/>
  </r>
  <r>
    <x v="0"/>
    <x v="0"/>
    <x v="0"/>
    <x v="7"/>
    <x v="14"/>
    <s v="NO4_A1"/>
    <x v="2"/>
    <x v="176"/>
    <x v="0"/>
    <x v="16"/>
    <n v="18.823529411764699"/>
    <n v="6870.5882352941198"/>
    <n v="24734.1176470588"/>
  </r>
  <r>
    <x v="0"/>
    <x v="0"/>
    <x v="0"/>
    <x v="7"/>
    <x v="14"/>
    <s v="NO4_A1"/>
    <x v="2"/>
    <x v="176"/>
    <x v="0"/>
    <x v="17"/>
    <n v="18.823529411764699"/>
    <n v="6870.5882352941198"/>
    <n v="24734.1176470588"/>
  </r>
  <r>
    <x v="0"/>
    <x v="0"/>
    <x v="0"/>
    <x v="7"/>
    <x v="14"/>
    <s v="NO4_A1"/>
    <x v="2"/>
    <x v="176"/>
    <x v="0"/>
    <x v="18"/>
    <n v="18.823529411764699"/>
    <n v="6870.5882352941198"/>
    <n v="24734.1176470588"/>
  </r>
  <r>
    <x v="0"/>
    <x v="0"/>
    <x v="0"/>
    <x v="7"/>
    <x v="14"/>
    <s v="NO4_A1"/>
    <x v="2"/>
    <x v="176"/>
    <x v="0"/>
    <x v="19"/>
    <n v="18.823529411764699"/>
    <n v="6870.5882352941198"/>
    <n v="24734.1176470588"/>
  </r>
  <r>
    <x v="0"/>
    <x v="0"/>
    <x v="0"/>
    <x v="7"/>
    <x v="14"/>
    <s v="NO4_A1"/>
    <x v="2"/>
    <x v="176"/>
    <x v="0"/>
    <x v="20"/>
    <n v="18.823529411764699"/>
    <n v="6870.5882352941198"/>
    <n v="24734.1176470588"/>
  </r>
  <r>
    <x v="0"/>
    <x v="0"/>
    <x v="0"/>
    <x v="7"/>
    <x v="14"/>
    <s v="NO4_A1"/>
    <x v="2"/>
    <x v="176"/>
    <x v="0"/>
    <x v="21"/>
    <n v="18.823529411764699"/>
    <n v="6870.5882352941198"/>
    <n v="24734.1176470588"/>
  </r>
  <r>
    <x v="0"/>
    <x v="0"/>
    <x v="0"/>
    <x v="7"/>
    <x v="14"/>
    <s v="NO4_A1"/>
    <x v="2"/>
    <x v="176"/>
    <x v="0"/>
    <x v="22"/>
    <n v="18.823529411764699"/>
    <n v="6870.5882352941198"/>
    <n v="24734.1176470588"/>
  </r>
  <r>
    <x v="0"/>
    <x v="0"/>
    <x v="0"/>
    <x v="7"/>
    <x v="14"/>
    <s v="NO4_A1"/>
    <x v="2"/>
    <x v="176"/>
    <x v="0"/>
    <x v="23"/>
    <n v="18.823529411764699"/>
    <n v="6870.5882352941198"/>
    <n v="24734.1176470588"/>
  </r>
  <r>
    <x v="0"/>
    <x v="0"/>
    <x v="0"/>
    <x v="7"/>
    <x v="14"/>
    <s v="NO4_A1"/>
    <x v="5"/>
    <x v="120"/>
    <x v="0"/>
    <x v="0"/>
    <n v="10.0441849816849"/>
    <n v="3666.1275183150001"/>
    <n v="13198.059065934"/>
  </r>
  <r>
    <x v="0"/>
    <x v="0"/>
    <x v="0"/>
    <x v="7"/>
    <x v="14"/>
    <s v="NO4_A1"/>
    <x v="5"/>
    <x v="120"/>
    <x v="0"/>
    <x v="1"/>
    <n v="10.0441849816849"/>
    <n v="3666.1275183150001"/>
    <n v="13198.059065934"/>
  </r>
  <r>
    <x v="0"/>
    <x v="0"/>
    <x v="0"/>
    <x v="7"/>
    <x v="14"/>
    <s v="NO4_A1"/>
    <x v="5"/>
    <x v="120"/>
    <x v="0"/>
    <x v="2"/>
    <n v="10.0441849816849"/>
    <n v="3666.1275183150001"/>
    <n v="13198.059065934"/>
  </r>
  <r>
    <x v="0"/>
    <x v="0"/>
    <x v="0"/>
    <x v="7"/>
    <x v="14"/>
    <s v="NO4_A1"/>
    <x v="5"/>
    <x v="120"/>
    <x v="0"/>
    <x v="3"/>
    <n v="10.0441849816849"/>
    <n v="3666.1275183150001"/>
    <n v="13198.059065934"/>
  </r>
  <r>
    <x v="0"/>
    <x v="0"/>
    <x v="0"/>
    <x v="7"/>
    <x v="14"/>
    <s v="NO4_A1"/>
    <x v="5"/>
    <x v="120"/>
    <x v="0"/>
    <x v="4"/>
    <n v="10.0441849816849"/>
    <n v="3666.1275183150001"/>
    <n v="13198.059065934"/>
  </r>
  <r>
    <x v="0"/>
    <x v="0"/>
    <x v="0"/>
    <x v="7"/>
    <x v="14"/>
    <s v="NO4_A1"/>
    <x v="5"/>
    <x v="120"/>
    <x v="0"/>
    <x v="5"/>
    <n v="10.0441849816849"/>
    <n v="3666.1275183150001"/>
    <n v="13198.059065934"/>
  </r>
  <r>
    <x v="0"/>
    <x v="0"/>
    <x v="0"/>
    <x v="7"/>
    <x v="14"/>
    <s v="NO4_A1"/>
    <x v="5"/>
    <x v="120"/>
    <x v="0"/>
    <x v="6"/>
    <n v="10.0441849816849"/>
    <n v="3666.1275183150001"/>
    <n v="13198.059065934"/>
  </r>
  <r>
    <x v="0"/>
    <x v="0"/>
    <x v="0"/>
    <x v="7"/>
    <x v="14"/>
    <s v="NO4_A1"/>
    <x v="5"/>
    <x v="120"/>
    <x v="0"/>
    <x v="7"/>
    <n v="10.0441849816849"/>
    <n v="3666.1275183150001"/>
    <n v="13198.059065934"/>
  </r>
  <r>
    <x v="0"/>
    <x v="0"/>
    <x v="0"/>
    <x v="7"/>
    <x v="14"/>
    <s v="NO4_A1"/>
    <x v="5"/>
    <x v="120"/>
    <x v="0"/>
    <x v="8"/>
    <n v="10.0441849816849"/>
    <n v="3666.1275183150001"/>
    <n v="13198.059065934"/>
  </r>
  <r>
    <x v="0"/>
    <x v="0"/>
    <x v="0"/>
    <x v="7"/>
    <x v="14"/>
    <s v="NO4_A1"/>
    <x v="5"/>
    <x v="120"/>
    <x v="0"/>
    <x v="9"/>
    <n v="10.0441849816849"/>
    <n v="3666.1275183150001"/>
    <n v="13198.059065934"/>
  </r>
  <r>
    <x v="0"/>
    <x v="0"/>
    <x v="0"/>
    <x v="7"/>
    <x v="14"/>
    <s v="NO4_A1"/>
    <x v="5"/>
    <x v="120"/>
    <x v="0"/>
    <x v="10"/>
    <n v="10.0441849816849"/>
    <n v="3666.1275183150001"/>
    <n v="13198.059065934"/>
  </r>
  <r>
    <x v="0"/>
    <x v="0"/>
    <x v="0"/>
    <x v="7"/>
    <x v="14"/>
    <s v="NO4_A1"/>
    <x v="5"/>
    <x v="120"/>
    <x v="0"/>
    <x v="11"/>
    <n v="10.0441849816849"/>
    <n v="3666.1275183150001"/>
    <n v="13198.059065934"/>
  </r>
  <r>
    <x v="0"/>
    <x v="0"/>
    <x v="0"/>
    <x v="7"/>
    <x v="14"/>
    <s v="NO4_A1"/>
    <x v="5"/>
    <x v="120"/>
    <x v="0"/>
    <x v="12"/>
    <n v="10.0441849816849"/>
    <n v="3666.1275183150001"/>
    <n v="13198.059065934"/>
  </r>
  <r>
    <x v="0"/>
    <x v="0"/>
    <x v="0"/>
    <x v="7"/>
    <x v="14"/>
    <s v="NO4_A1"/>
    <x v="5"/>
    <x v="120"/>
    <x v="0"/>
    <x v="13"/>
    <n v="10.0441849816849"/>
    <n v="3666.1275183150001"/>
    <n v="13198.059065934"/>
  </r>
  <r>
    <x v="0"/>
    <x v="0"/>
    <x v="0"/>
    <x v="7"/>
    <x v="14"/>
    <s v="NO4_A1"/>
    <x v="5"/>
    <x v="120"/>
    <x v="0"/>
    <x v="14"/>
    <n v="10.0441849816849"/>
    <n v="3666.1275183150001"/>
    <n v="13198.059065934"/>
  </r>
  <r>
    <x v="0"/>
    <x v="0"/>
    <x v="0"/>
    <x v="7"/>
    <x v="14"/>
    <s v="NO4_A1"/>
    <x v="5"/>
    <x v="120"/>
    <x v="0"/>
    <x v="15"/>
    <n v="10.0441849816849"/>
    <n v="3666.1275183150001"/>
    <n v="13198.059065934"/>
  </r>
  <r>
    <x v="0"/>
    <x v="0"/>
    <x v="0"/>
    <x v="7"/>
    <x v="14"/>
    <s v="NO4_A1"/>
    <x v="5"/>
    <x v="120"/>
    <x v="0"/>
    <x v="16"/>
    <n v="10.0441849816849"/>
    <n v="3666.1275183150001"/>
    <n v="13198.059065934"/>
  </r>
  <r>
    <x v="0"/>
    <x v="0"/>
    <x v="0"/>
    <x v="7"/>
    <x v="14"/>
    <s v="NO4_A1"/>
    <x v="5"/>
    <x v="120"/>
    <x v="0"/>
    <x v="17"/>
    <n v="10.0441849816849"/>
    <n v="3666.1275183150001"/>
    <n v="13198.059065934"/>
  </r>
  <r>
    <x v="0"/>
    <x v="0"/>
    <x v="0"/>
    <x v="7"/>
    <x v="14"/>
    <s v="NO4_A1"/>
    <x v="5"/>
    <x v="120"/>
    <x v="0"/>
    <x v="18"/>
    <n v="10.0441849816849"/>
    <n v="3666.1275183150001"/>
    <n v="13198.059065934"/>
  </r>
  <r>
    <x v="0"/>
    <x v="0"/>
    <x v="0"/>
    <x v="7"/>
    <x v="14"/>
    <s v="NO4_A1"/>
    <x v="5"/>
    <x v="120"/>
    <x v="0"/>
    <x v="19"/>
    <n v="10.0441849816849"/>
    <n v="3666.1275183150001"/>
    <n v="13198.059065934"/>
  </r>
  <r>
    <x v="0"/>
    <x v="0"/>
    <x v="0"/>
    <x v="7"/>
    <x v="14"/>
    <s v="NO4_A1"/>
    <x v="5"/>
    <x v="120"/>
    <x v="0"/>
    <x v="20"/>
    <n v="10.0441849816849"/>
    <n v="3666.1275183150001"/>
    <n v="13198.059065934"/>
  </r>
  <r>
    <x v="0"/>
    <x v="0"/>
    <x v="0"/>
    <x v="7"/>
    <x v="14"/>
    <s v="NO4_A1"/>
    <x v="5"/>
    <x v="120"/>
    <x v="0"/>
    <x v="21"/>
    <n v="10.0441849816849"/>
    <n v="3666.1275183150001"/>
    <n v="13198.059065934"/>
  </r>
  <r>
    <x v="0"/>
    <x v="0"/>
    <x v="0"/>
    <x v="7"/>
    <x v="14"/>
    <s v="NO4_A1"/>
    <x v="5"/>
    <x v="120"/>
    <x v="0"/>
    <x v="22"/>
    <n v="10.0441849816849"/>
    <n v="3666.1275183150001"/>
    <n v="13198.059065934"/>
  </r>
  <r>
    <x v="0"/>
    <x v="0"/>
    <x v="0"/>
    <x v="7"/>
    <x v="14"/>
    <s v="NO4_A1"/>
    <x v="5"/>
    <x v="120"/>
    <x v="0"/>
    <x v="23"/>
    <n v="10.0441849816849"/>
    <n v="3666.1275183150001"/>
    <n v="13198.059065934"/>
  </r>
  <r>
    <x v="0"/>
    <x v="0"/>
    <x v="0"/>
    <x v="7"/>
    <x v="14"/>
    <s v="NO4_A1"/>
    <x v="9"/>
    <x v="128"/>
    <x v="0"/>
    <x v="0"/>
    <n v="419.56363678000798"/>
    <n v="153140.72742470301"/>
    <n v="551306.61872893095"/>
  </r>
  <r>
    <x v="0"/>
    <x v="0"/>
    <x v="0"/>
    <x v="7"/>
    <x v="14"/>
    <s v="NO4_A1"/>
    <x v="9"/>
    <x v="128"/>
    <x v="0"/>
    <x v="1"/>
    <n v="419.56363678000798"/>
    <n v="153140.72742470301"/>
    <n v="551306.61872893095"/>
  </r>
  <r>
    <x v="0"/>
    <x v="0"/>
    <x v="0"/>
    <x v="7"/>
    <x v="14"/>
    <s v="NO4_A1"/>
    <x v="9"/>
    <x v="128"/>
    <x v="0"/>
    <x v="2"/>
    <n v="419.56363678000798"/>
    <n v="153140.72742470301"/>
    <n v="551306.61872893095"/>
  </r>
  <r>
    <x v="0"/>
    <x v="0"/>
    <x v="0"/>
    <x v="7"/>
    <x v="14"/>
    <s v="NO4_A1"/>
    <x v="9"/>
    <x v="128"/>
    <x v="0"/>
    <x v="3"/>
    <n v="419.56363678000798"/>
    <n v="153140.72742470301"/>
    <n v="551306.61872893095"/>
  </r>
  <r>
    <x v="0"/>
    <x v="0"/>
    <x v="0"/>
    <x v="7"/>
    <x v="14"/>
    <s v="NO4_A1"/>
    <x v="9"/>
    <x v="128"/>
    <x v="0"/>
    <x v="4"/>
    <n v="419.56363678000798"/>
    <n v="153140.72742470301"/>
    <n v="551306.61872893095"/>
  </r>
  <r>
    <x v="0"/>
    <x v="0"/>
    <x v="0"/>
    <x v="7"/>
    <x v="14"/>
    <s v="NO4_A1"/>
    <x v="9"/>
    <x v="128"/>
    <x v="0"/>
    <x v="5"/>
    <n v="419.56363678000798"/>
    <n v="153140.72742470301"/>
    <n v="551306.61872893095"/>
  </r>
  <r>
    <x v="0"/>
    <x v="0"/>
    <x v="0"/>
    <x v="7"/>
    <x v="14"/>
    <s v="NO4_A1"/>
    <x v="9"/>
    <x v="128"/>
    <x v="0"/>
    <x v="6"/>
    <n v="419.56363678000798"/>
    <n v="153140.72742470301"/>
    <n v="551306.61872893095"/>
  </r>
  <r>
    <x v="0"/>
    <x v="0"/>
    <x v="0"/>
    <x v="7"/>
    <x v="14"/>
    <s v="NO4_A1"/>
    <x v="9"/>
    <x v="128"/>
    <x v="0"/>
    <x v="7"/>
    <n v="419.56363678000798"/>
    <n v="153140.72742470301"/>
    <n v="551306.61872893095"/>
  </r>
  <r>
    <x v="0"/>
    <x v="0"/>
    <x v="0"/>
    <x v="7"/>
    <x v="14"/>
    <s v="NO4_A1"/>
    <x v="9"/>
    <x v="128"/>
    <x v="0"/>
    <x v="8"/>
    <n v="419.56363678000798"/>
    <n v="153140.72742470301"/>
    <n v="551306.61872893095"/>
  </r>
  <r>
    <x v="0"/>
    <x v="0"/>
    <x v="0"/>
    <x v="7"/>
    <x v="14"/>
    <s v="NO4_A1"/>
    <x v="9"/>
    <x v="128"/>
    <x v="0"/>
    <x v="9"/>
    <n v="419.56363678000798"/>
    <n v="153140.72742470301"/>
    <n v="551306.61872893095"/>
  </r>
  <r>
    <x v="0"/>
    <x v="0"/>
    <x v="0"/>
    <x v="7"/>
    <x v="14"/>
    <s v="NO4_A1"/>
    <x v="9"/>
    <x v="128"/>
    <x v="0"/>
    <x v="10"/>
    <n v="419.56363678000798"/>
    <n v="153140.72742470301"/>
    <n v="551306.61872893095"/>
  </r>
  <r>
    <x v="0"/>
    <x v="0"/>
    <x v="0"/>
    <x v="7"/>
    <x v="14"/>
    <s v="NO4_A1"/>
    <x v="9"/>
    <x v="128"/>
    <x v="0"/>
    <x v="11"/>
    <n v="419.56363678000798"/>
    <n v="153140.72742470301"/>
    <n v="551306.61872893095"/>
  </r>
  <r>
    <x v="0"/>
    <x v="0"/>
    <x v="0"/>
    <x v="7"/>
    <x v="14"/>
    <s v="NO4_A1"/>
    <x v="9"/>
    <x v="128"/>
    <x v="0"/>
    <x v="12"/>
    <n v="419.56363678000798"/>
    <n v="153140.72742470301"/>
    <n v="551306.61872893095"/>
  </r>
  <r>
    <x v="0"/>
    <x v="0"/>
    <x v="0"/>
    <x v="7"/>
    <x v="14"/>
    <s v="NO4_A1"/>
    <x v="9"/>
    <x v="128"/>
    <x v="0"/>
    <x v="13"/>
    <n v="419.56363678000798"/>
    <n v="153140.72742470301"/>
    <n v="551306.61872893095"/>
  </r>
  <r>
    <x v="0"/>
    <x v="0"/>
    <x v="0"/>
    <x v="7"/>
    <x v="14"/>
    <s v="NO4_A1"/>
    <x v="9"/>
    <x v="128"/>
    <x v="0"/>
    <x v="14"/>
    <n v="419.56363678000798"/>
    <n v="153140.72742470301"/>
    <n v="551306.61872893095"/>
  </r>
  <r>
    <x v="0"/>
    <x v="0"/>
    <x v="0"/>
    <x v="7"/>
    <x v="14"/>
    <s v="NO4_A1"/>
    <x v="9"/>
    <x v="128"/>
    <x v="0"/>
    <x v="15"/>
    <n v="419.56363678000798"/>
    <n v="153140.72742470301"/>
    <n v="551306.61872893095"/>
  </r>
  <r>
    <x v="0"/>
    <x v="0"/>
    <x v="0"/>
    <x v="7"/>
    <x v="14"/>
    <s v="NO4_A1"/>
    <x v="9"/>
    <x v="128"/>
    <x v="0"/>
    <x v="16"/>
    <n v="419.56363678000798"/>
    <n v="153140.72742470301"/>
    <n v="551306.61872893095"/>
  </r>
  <r>
    <x v="0"/>
    <x v="0"/>
    <x v="0"/>
    <x v="7"/>
    <x v="14"/>
    <s v="NO4_A1"/>
    <x v="9"/>
    <x v="128"/>
    <x v="0"/>
    <x v="17"/>
    <n v="419.56363678000798"/>
    <n v="153140.72742470301"/>
    <n v="551306.61872893095"/>
  </r>
  <r>
    <x v="0"/>
    <x v="0"/>
    <x v="0"/>
    <x v="7"/>
    <x v="14"/>
    <s v="NO4_A1"/>
    <x v="9"/>
    <x v="128"/>
    <x v="0"/>
    <x v="18"/>
    <n v="419.56363678000798"/>
    <n v="153140.72742470301"/>
    <n v="551306.61872893095"/>
  </r>
  <r>
    <x v="0"/>
    <x v="0"/>
    <x v="0"/>
    <x v="7"/>
    <x v="14"/>
    <s v="NO4_A1"/>
    <x v="9"/>
    <x v="128"/>
    <x v="0"/>
    <x v="19"/>
    <n v="419.56363678000798"/>
    <n v="153140.72742470301"/>
    <n v="551306.61872893095"/>
  </r>
  <r>
    <x v="0"/>
    <x v="0"/>
    <x v="0"/>
    <x v="7"/>
    <x v="14"/>
    <s v="NO4_A1"/>
    <x v="9"/>
    <x v="128"/>
    <x v="0"/>
    <x v="20"/>
    <n v="419.56363678000798"/>
    <n v="153140.72742470301"/>
    <n v="551306.61872893095"/>
  </r>
  <r>
    <x v="0"/>
    <x v="0"/>
    <x v="0"/>
    <x v="7"/>
    <x v="14"/>
    <s v="NO4_A1"/>
    <x v="9"/>
    <x v="128"/>
    <x v="0"/>
    <x v="21"/>
    <n v="419.56363678000798"/>
    <n v="153140.72742470301"/>
    <n v="551306.61872893095"/>
  </r>
  <r>
    <x v="0"/>
    <x v="0"/>
    <x v="0"/>
    <x v="7"/>
    <x v="14"/>
    <s v="NO4_A1"/>
    <x v="9"/>
    <x v="128"/>
    <x v="0"/>
    <x v="22"/>
    <n v="419.56363678000798"/>
    <n v="153140.72742470301"/>
    <n v="551306.61872893095"/>
  </r>
  <r>
    <x v="0"/>
    <x v="0"/>
    <x v="0"/>
    <x v="7"/>
    <x v="14"/>
    <s v="NO4_A1"/>
    <x v="9"/>
    <x v="128"/>
    <x v="0"/>
    <x v="23"/>
    <n v="419.56363678000798"/>
    <n v="153140.72742470301"/>
    <n v="551306.61872893095"/>
  </r>
  <r>
    <x v="0"/>
    <x v="0"/>
    <x v="0"/>
    <x v="7"/>
    <x v="14"/>
    <s v="NO4_A1"/>
    <x v="9"/>
    <x v="129"/>
    <x v="0"/>
    <x v="0"/>
    <n v="419.56363678000798"/>
    <n v="153140.72742470301"/>
    <n v="551306.61872893095"/>
  </r>
  <r>
    <x v="0"/>
    <x v="0"/>
    <x v="0"/>
    <x v="7"/>
    <x v="14"/>
    <s v="NO4_A1"/>
    <x v="9"/>
    <x v="129"/>
    <x v="0"/>
    <x v="1"/>
    <n v="419.56363678000798"/>
    <n v="153140.72742470301"/>
    <n v="551306.61872893095"/>
  </r>
  <r>
    <x v="0"/>
    <x v="0"/>
    <x v="0"/>
    <x v="7"/>
    <x v="14"/>
    <s v="NO4_A1"/>
    <x v="9"/>
    <x v="129"/>
    <x v="0"/>
    <x v="2"/>
    <n v="419.56363678000798"/>
    <n v="153140.72742470301"/>
    <n v="551306.61872893095"/>
  </r>
  <r>
    <x v="0"/>
    <x v="0"/>
    <x v="0"/>
    <x v="7"/>
    <x v="14"/>
    <s v="NO4_A1"/>
    <x v="9"/>
    <x v="129"/>
    <x v="0"/>
    <x v="3"/>
    <n v="419.56363678000798"/>
    <n v="153140.72742470301"/>
    <n v="551306.61872893095"/>
  </r>
  <r>
    <x v="0"/>
    <x v="0"/>
    <x v="0"/>
    <x v="7"/>
    <x v="14"/>
    <s v="NO4_A1"/>
    <x v="9"/>
    <x v="129"/>
    <x v="0"/>
    <x v="4"/>
    <n v="419.56363678000798"/>
    <n v="153140.72742470301"/>
    <n v="551306.61872893095"/>
  </r>
  <r>
    <x v="0"/>
    <x v="0"/>
    <x v="0"/>
    <x v="7"/>
    <x v="14"/>
    <s v="NO4_A1"/>
    <x v="9"/>
    <x v="129"/>
    <x v="0"/>
    <x v="5"/>
    <n v="419.56363678000798"/>
    <n v="153140.72742470301"/>
    <n v="551306.61872893095"/>
  </r>
  <r>
    <x v="0"/>
    <x v="0"/>
    <x v="0"/>
    <x v="7"/>
    <x v="14"/>
    <s v="NO4_A1"/>
    <x v="9"/>
    <x v="129"/>
    <x v="0"/>
    <x v="6"/>
    <n v="419.56363678000798"/>
    <n v="153140.72742470301"/>
    <n v="551306.61872893095"/>
  </r>
  <r>
    <x v="0"/>
    <x v="0"/>
    <x v="0"/>
    <x v="7"/>
    <x v="14"/>
    <s v="NO4_A1"/>
    <x v="9"/>
    <x v="129"/>
    <x v="0"/>
    <x v="7"/>
    <n v="419.56363678000798"/>
    <n v="153140.72742470301"/>
    <n v="551306.61872893095"/>
  </r>
  <r>
    <x v="0"/>
    <x v="0"/>
    <x v="0"/>
    <x v="7"/>
    <x v="14"/>
    <s v="NO4_A1"/>
    <x v="9"/>
    <x v="129"/>
    <x v="0"/>
    <x v="8"/>
    <n v="419.56363678000798"/>
    <n v="153140.72742470301"/>
    <n v="551306.61872893095"/>
  </r>
  <r>
    <x v="0"/>
    <x v="0"/>
    <x v="0"/>
    <x v="7"/>
    <x v="14"/>
    <s v="NO4_A1"/>
    <x v="9"/>
    <x v="129"/>
    <x v="0"/>
    <x v="9"/>
    <n v="419.56363678000798"/>
    <n v="153140.72742470301"/>
    <n v="551306.61872893095"/>
  </r>
  <r>
    <x v="0"/>
    <x v="0"/>
    <x v="0"/>
    <x v="7"/>
    <x v="14"/>
    <s v="NO4_A1"/>
    <x v="9"/>
    <x v="129"/>
    <x v="0"/>
    <x v="10"/>
    <n v="419.56363678000798"/>
    <n v="153140.72742470301"/>
    <n v="551306.61872893095"/>
  </r>
  <r>
    <x v="0"/>
    <x v="0"/>
    <x v="0"/>
    <x v="7"/>
    <x v="14"/>
    <s v="NO4_A1"/>
    <x v="9"/>
    <x v="129"/>
    <x v="0"/>
    <x v="11"/>
    <n v="419.56363678000798"/>
    <n v="153140.72742470301"/>
    <n v="551306.61872893095"/>
  </r>
  <r>
    <x v="0"/>
    <x v="0"/>
    <x v="0"/>
    <x v="7"/>
    <x v="14"/>
    <s v="NO4_A1"/>
    <x v="9"/>
    <x v="129"/>
    <x v="0"/>
    <x v="12"/>
    <n v="419.56363678000798"/>
    <n v="153140.72742470301"/>
    <n v="551306.61872893095"/>
  </r>
  <r>
    <x v="0"/>
    <x v="0"/>
    <x v="0"/>
    <x v="7"/>
    <x v="14"/>
    <s v="NO4_A1"/>
    <x v="9"/>
    <x v="129"/>
    <x v="0"/>
    <x v="13"/>
    <n v="419.56363678000798"/>
    <n v="153140.72742470301"/>
    <n v="551306.61872893095"/>
  </r>
  <r>
    <x v="0"/>
    <x v="0"/>
    <x v="0"/>
    <x v="7"/>
    <x v="14"/>
    <s v="NO4_A1"/>
    <x v="9"/>
    <x v="129"/>
    <x v="0"/>
    <x v="14"/>
    <n v="419.56363678000798"/>
    <n v="153140.72742470301"/>
    <n v="551306.61872893095"/>
  </r>
  <r>
    <x v="0"/>
    <x v="0"/>
    <x v="0"/>
    <x v="7"/>
    <x v="14"/>
    <s v="NO4_A1"/>
    <x v="9"/>
    <x v="129"/>
    <x v="0"/>
    <x v="15"/>
    <n v="419.56363678000798"/>
    <n v="153140.72742470301"/>
    <n v="551306.61872893095"/>
  </r>
  <r>
    <x v="0"/>
    <x v="0"/>
    <x v="0"/>
    <x v="7"/>
    <x v="14"/>
    <s v="NO4_A1"/>
    <x v="9"/>
    <x v="129"/>
    <x v="0"/>
    <x v="16"/>
    <n v="419.56363678000798"/>
    <n v="153140.72742470301"/>
    <n v="551306.61872893095"/>
  </r>
  <r>
    <x v="0"/>
    <x v="0"/>
    <x v="0"/>
    <x v="7"/>
    <x v="14"/>
    <s v="NO4_A1"/>
    <x v="9"/>
    <x v="129"/>
    <x v="0"/>
    <x v="17"/>
    <n v="419.56363678000798"/>
    <n v="153140.72742470301"/>
    <n v="551306.61872893095"/>
  </r>
  <r>
    <x v="0"/>
    <x v="0"/>
    <x v="0"/>
    <x v="7"/>
    <x v="14"/>
    <s v="NO4_A1"/>
    <x v="9"/>
    <x v="129"/>
    <x v="0"/>
    <x v="18"/>
    <n v="419.56363678000798"/>
    <n v="153140.72742470301"/>
    <n v="551306.61872893095"/>
  </r>
  <r>
    <x v="0"/>
    <x v="0"/>
    <x v="0"/>
    <x v="7"/>
    <x v="14"/>
    <s v="NO4_A1"/>
    <x v="9"/>
    <x v="129"/>
    <x v="0"/>
    <x v="19"/>
    <n v="419.56363678000798"/>
    <n v="153140.72742470301"/>
    <n v="551306.61872893095"/>
  </r>
  <r>
    <x v="0"/>
    <x v="0"/>
    <x v="0"/>
    <x v="7"/>
    <x v="14"/>
    <s v="NO4_A1"/>
    <x v="9"/>
    <x v="129"/>
    <x v="0"/>
    <x v="20"/>
    <n v="419.56363678000798"/>
    <n v="153140.72742470301"/>
    <n v="551306.61872893095"/>
  </r>
  <r>
    <x v="0"/>
    <x v="0"/>
    <x v="0"/>
    <x v="7"/>
    <x v="14"/>
    <s v="NO4_A1"/>
    <x v="9"/>
    <x v="129"/>
    <x v="0"/>
    <x v="21"/>
    <n v="419.56363678000798"/>
    <n v="153140.72742470301"/>
    <n v="551306.61872893095"/>
  </r>
  <r>
    <x v="0"/>
    <x v="0"/>
    <x v="0"/>
    <x v="7"/>
    <x v="14"/>
    <s v="NO4_A1"/>
    <x v="9"/>
    <x v="129"/>
    <x v="0"/>
    <x v="22"/>
    <n v="419.56363678000798"/>
    <n v="153140.72742470301"/>
    <n v="551306.61872893095"/>
  </r>
  <r>
    <x v="0"/>
    <x v="0"/>
    <x v="0"/>
    <x v="7"/>
    <x v="14"/>
    <s v="NO4_A1"/>
    <x v="9"/>
    <x v="129"/>
    <x v="0"/>
    <x v="23"/>
    <n v="419.56363678000798"/>
    <n v="153140.72742470301"/>
    <n v="551306.61872893095"/>
  </r>
  <r>
    <x v="0"/>
    <x v="0"/>
    <x v="0"/>
    <x v="7"/>
    <x v="14"/>
    <s v="NO4_A1"/>
    <x v="9"/>
    <x v="130"/>
    <x v="0"/>
    <x v="0"/>
    <n v="419.56363678000798"/>
    <n v="153140.72742470301"/>
    <n v="551306.61872893095"/>
  </r>
  <r>
    <x v="0"/>
    <x v="0"/>
    <x v="0"/>
    <x v="7"/>
    <x v="14"/>
    <s v="NO4_A1"/>
    <x v="9"/>
    <x v="130"/>
    <x v="0"/>
    <x v="1"/>
    <n v="419.56363678000798"/>
    <n v="153140.72742470301"/>
    <n v="551306.61872893095"/>
  </r>
  <r>
    <x v="0"/>
    <x v="0"/>
    <x v="0"/>
    <x v="7"/>
    <x v="14"/>
    <s v="NO4_A1"/>
    <x v="9"/>
    <x v="130"/>
    <x v="0"/>
    <x v="2"/>
    <n v="419.56363678000798"/>
    <n v="153140.72742470301"/>
    <n v="551306.61872893095"/>
  </r>
  <r>
    <x v="0"/>
    <x v="0"/>
    <x v="0"/>
    <x v="7"/>
    <x v="14"/>
    <s v="NO4_A1"/>
    <x v="9"/>
    <x v="130"/>
    <x v="0"/>
    <x v="3"/>
    <n v="419.56363678000798"/>
    <n v="153140.72742470301"/>
    <n v="551306.61872893095"/>
  </r>
  <r>
    <x v="0"/>
    <x v="0"/>
    <x v="0"/>
    <x v="7"/>
    <x v="14"/>
    <s v="NO4_A1"/>
    <x v="9"/>
    <x v="130"/>
    <x v="0"/>
    <x v="4"/>
    <n v="419.56363678000798"/>
    <n v="153140.72742470301"/>
    <n v="551306.61872893095"/>
  </r>
  <r>
    <x v="0"/>
    <x v="0"/>
    <x v="0"/>
    <x v="7"/>
    <x v="14"/>
    <s v="NO4_A1"/>
    <x v="9"/>
    <x v="130"/>
    <x v="0"/>
    <x v="5"/>
    <n v="419.56363678000798"/>
    <n v="153140.72742470301"/>
    <n v="551306.61872893095"/>
  </r>
  <r>
    <x v="0"/>
    <x v="0"/>
    <x v="0"/>
    <x v="7"/>
    <x v="14"/>
    <s v="NO4_A1"/>
    <x v="9"/>
    <x v="130"/>
    <x v="0"/>
    <x v="6"/>
    <n v="419.56363678000798"/>
    <n v="153140.72742470301"/>
    <n v="551306.61872893095"/>
  </r>
  <r>
    <x v="0"/>
    <x v="0"/>
    <x v="0"/>
    <x v="7"/>
    <x v="14"/>
    <s v="NO4_A1"/>
    <x v="9"/>
    <x v="130"/>
    <x v="0"/>
    <x v="7"/>
    <n v="419.56363678000798"/>
    <n v="153140.72742470301"/>
    <n v="551306.61872893095"/>
  </r>
  <r>
    <x v="0"/>
    <x v="0"/>
    <x v="0"/>
    <x v="7"/>
    <x v="14"/>
    <s v="NO4_A1"/>
    <x v="9"/>
    <x v="130"/>
    <x v="0"/>
    <x v="8"/>
    <n v="419.56363678000798"/>
    <n v="153140.72742470301"/>
    <n v="551306.61872893095"/>
  </r>
  <r>
    <x v="0"/>
    <x v="0"/>
    <x v="0"/>
    <x v="7"/>
    <x v="14"/>
    <s v="NO4_A1"/>
    <x v="9"/>
    <x v="130"/>
    <x v="0"/>
    <x v="9"/>
    <n v="419.56363678000798"/>
    <n v="153140.72742470301"/>
    <n v="551306.61872893095"/>
  </r>
  <r>
    <x v="0"/>
    <x v="0"/>
    <x v="0"/>
    <x v="7"/>
    <x v="14"/>
    <s v="NO4_A1"/>
    <x v="9"/>
    <x v="130"/>
    <x v="0"/>
    <x v="10"/>
    <n v="419.56363678000798"/>
    <n v="153140.72742470301"/>
    <n v="551306.61872893095"/>
  </r>
  <r>
    <x v="0"/>
    <x v="0"/>
    <x v="0"/>
    <x v="7"/>
    <x v="14"/>
    <s v="NO4_A1"/>
    <x v="9"/>
    <x v="130"/>
    <x v="0"/>
    <x v="11"/>
    <n v="419.56363678000798"/>
    <n v="153140.72742470301"/>
    <n v="551306.61872893095"/>
  </r>
  <r>
    <x v="0"/>
    <x v="0"/>
    <x v="0"/>
    <x v="7"/>
    <x v="14"/>
    <s v="NO4_A1"/>
    <x v="9"/>
    <x v="130"/>
    <x v="0"/>
    <x v="12"/>
    <n v="419.56363678000798"/>
    <n v="153140.72742470301"/>
    <n v="551306.61872893095"/>
  </r>
  <r>
    <x v="0"/>
    <x v="0"/>
    <x v="0"/>
    <x v="7"/>
    <x v="14"/>
    <s v="NO4_A1"/>
    <x v="9"/>
    <x v="130"/>
    <x v="0"/>
    <x v="13"/>
    <n v="419.56363678000798"/>
    <n v="153140.72742470301"/>
    <n v="551306.61872893095"/>
  </r>
  <r>
    <x v="0"/>
    <x v="0"/>
    <x v="0"/>
    <x v="7"/>
    <x v="14"/>
    <s v="NO4_A1"/>
    <x v="9"/>
    <x v="130"/>
    <x v="0"/>
    <x v="14"/>
    <n v="419.56363678000798"/>
    <n v="153140.72742470301"/>
    <n v="551306.61872893095"/>
  </r>
  <r>
    <x v="0"/>
    <x v="0"/>
    <x v="0"/>
    <x v="7"/>
    <x v="14"/>
    <s v="NO4_A1"/>
    <x v="9"/>
    <x v="130"/>
    <x v="0"/>
    <x v="15"/>
    <n v="419.56363678000798"/>
    <n v="153140.72742470301"/>
    <n v="551306.61872893095"/>
  </r>
  <r>
    <x v="0"/>
    <x v="0"/>
    <x v="0"/>
    <x v="7"/>
    <x v="14"/>
    <s v="NO4_A1"/>
    <x v="9"/>
    <x v="130"/>
    <x v="0"/>
    <x v="16"/>
    <n v="419.56363678000798"/>
    <n v="153140.72742470301"/>
    <n v="551306.61872893095"/>
  </r>
  <r>
    <x v="0"/>
    <x v="0"/>
    <x v="0"/>
    <x v="7"/>
    <x v="14"/>
    <s v="NO4_A1"/>
    <x v="9"/>
    <x v="130"/>
    <x v="0"/>
    <x v="17"/>
    <n v="419.56363678000798"/>
    <n v="153140.72742470301"/>
    <n v="551306.61872893095"/>
  </r>
  <r>
    <x v="0"/>
    <x v="0"/>
    <x v="0"/>
    <x v="7"/>
    <x v="14"/>
    <s v="NO4_A1"/>
    <x v="9"/>
    <x v="130"/>
    <x v="0"/>
    <x v="18"/>
    <n v="419.56363678000798"/>
    <n v="153140.72742470301"/>
    <n v="551306.61872893095"/>
  </r>
  <r>
    <x v="0"/>
    <x v="0"/>
    <x v="0"/>
    <x v="7"/>
    <x v="14"/>
    <s v="NO4_A1"/>
    <x v="9"/>
    <x v="130"/>
    <x v="0"/>
    <x v="19"/>
    <n v="419.56363678000798"/>
    <n v="153140.72742470301"/>
    <n v="551306.61872893095"/>
  </r>
  <r>
    <x v="0"/>
    <x v="0"/>
    <x v="0"/>
    <x v="7"/>
    <x v="14"/>
    <s v="NO4_A1"/>
    <x v="9"/>
    <x v="130"/>
    <x v="0"/>
    <x v="20"/>
    <n v="419.56363678000798"/>
    <n v="153140.72742470301"/>
    <n v="551306.61872893095"/>
  </r>
  <r>
    <x v="0"/>
    <x v="0"/>
    <x v="0"/>
    <x v="7"/>
    <x v="14"/>
    <s v="NO4_A1"/>
    <x v="9"/>
    <x v="130"/>
    <x v="0"/>
    <x v="21"/>
    <n v="419.56363678000798"/>
    <n v="153140.72742470301"/>
    <n v="551306.61872893095"/>
  </r>
  <r>
    <x v="0"/>
    <x v="0"/>
    <x v="0"/>
    <x v="7"/>
    <x v="14"/>
    <s v="NO4_A1"/>
    <x v="9"/>
    <x v="130"/>
    <x v="0"/>
    <x v="22"/>
    <n v="419.56363678000798"/>
    <n v="153140.72742470301"/>
    <n v="551306.61872893095"/>
  </r>
  <r>
    <x v="0"/>
    <x v="0"/>
    <x v="0"/>
    <x v="7"/>
    <x v="14"/>
    <s v="NO4_A1"/>
    <x v="9"/>
    <x v="130"/>
    <x v="0"/>
    <x v="23"/>
    <n v="419.56363678000798"/>
    <n v="153140.72742470301"/>
    <n v="551306.61872893095"/>
  </r>
  <r>
    <x v="0"/>
    <x v="0"/>
    <x v="0"/>
    <x v="7"/>
    <x v="14"/>
    <s v="NO4_A1"/>
    <x v="9"/>
    <x v="131"/>
    <x v="0"/>
    <x v="0"/>
    <n v="419.56363678000798"/>
    <n v="153140.72742470301"/>
    <n v="551306.61872893095"/>
  </r>
  <r>
    <x v="0"/>
    <x v="0"/>
    <x v="0"/>
    <x v="7"/>
    <x v="14"/>
    <s v="NO4_A1"/>
    <x v="9"/>
    <x v="131"/>
    <x v="0"/>
    <x v="1"/>
    <n v="419.56363678000798"/>
    <n v="153140.72742470301"/>
    <n v="551306.61872893095"/>
  </r>
  <r>
    <x v="0"/>
    <x v="0"/>
    <x v="0"/>
    <x v="7"/>
    <x v="14"/>
    <s v="NO4_A1"/>
    <x v="9"/>
    <x v="131"/>
    <x v="0"/>
    <x v="2"/>
    <n v="419.56363678000798"/>
    <n v="153140.72742470301"/>
    <n v="551306.61872893095"/>
  </r>
  <r>
    <x v="0"/>
    <x v="0"/>
    <x v="0"/>
    <x v="7"/>
    <x v="14"/>
    <s v="NO4_A1"/>
    <x v="9"/>
    <x v="131"/>
    <x v="0"/>
    <x v="3"/>
    <n v="419.56363678000798"/>
    <n v="153140.72742470301"/>
    <n v="551306.61872893095"/>
  </r>
  <r>
    <x v="0"/>
    <x v="0"/>
    <x v="0"/>
    <x v="7"/>
    <x v="14"/>
    <s v="NO4_A1"/>
    <x v="9"/>
    <x v="131"/>
    <x v="0"/>
    <x v="4"/>
    <n v="419.56363678000798"/>
    <n v="153140.72742470301"/>
    <n v="551306.61872893095"/>
  </r>
  <r>
    <x v="0"/>
    <x v="0"/>
    <x v="0"/>
    <x v="7"/>
    <x v="14"/>
    <s v="NO4_A1"/>
    <x v="9"/>
    <x v="131"/>
    <x v="0"/>
    <x v="5"/>
    <n v="419.56363678000798"/>
    <n v="153140.72742470301"/>
    <n v="551306.61872893095"/>
  </r>
  <r>
    <x v="0"/>
    <x v="0"/>
    <x v="0"/>
    <x v="7"/>
    <x v="14"/>
    <s v="NO4_A1"/>
    <x v="9"/>
    <x v="131"/>
    <x v="0"/>
    <x v="6"/>
    <n v="419.56363678000798"/>
    <n v="153140.72742470301"/>
    <n v="551306.61872893095"/>
  </r>
  <r>
    <x v="0"/>
    <x v="0"/>
    <x v="0"/>
    <x v="7"/>
    <x v="14"/>
    <s v="NO4_A1"/>
    <x v="9"/>
    <x v="131"/>
    <x v="0"/>
    <x v="7"/>
    <n v="419.56363678000798"/>
    <n v="153140.72742470301"/>
    <n v="551306.61872893095"/>
  </r>
  <r>
    <x v="0"/>
    <x v="0"/>
    <x v="0"/>
    <x v="7"/>
    <x v="14"/>
    <s v="NO4_A1"/>
    <x v="9"/>
    <x v="131"/>
    <x v="0"/>
    <x v="8"/>
    <n v="419.56363678000798"/>
    <n v="153140.72742470301"/>
    <n v="551306.61872893095"/>
  </r>
  <r>
    <x v="0"/>
    <x v="0"/>
    <x v="0"/>
    <x v="7"/>
    <x v="14"/>
    <s v="NO4_A1"/>
    <x v="9"/>
    <x v="131"/>
    <x v="0"/>
    <x v="9"/>
    <n v="419.56363678000798"/>
    <n v="153140.72742470301"/>
    <n v="551306.61872893095"/>
  </r>
  <r>
    <x v="0"/>
    <x v="0"/>
    <x v="0"/>
    <x v="7"/>
    <x v="14"/>
    <s v="NO4_A1"/>
    <x v="9"/>
    <x v="131"/>
    <x v="0"/>
    <x v="10"/>
    <n v="419.56363678000798"/>
    <n v="153140.72742470301"/>
    <n v="551306.61872893095"/>
  </r>
  <r>
    <x v="0"/>
    <x v="0"/>
    <x v="0"/>
    <x v="7"/>
    <x v="14"/>
    <s v="NO4_A1"/>
    <x v="9"/>
    <x v="131"/>
    <x v="0"/>
    <x v="11"/>
    <n v="419.56363678000798"/>
    <n v="153140.72742470301"/>
    <n v="551306.61872893095"/>
  </r>
  <r>
    <x v="0"/>
    <x v="0"/>
    <x v="0"/>
    <x v="7"/>
    <x v="14"/>
    <s v="NO4_A1"/>
    <x v="9"/>
    <x v="131"/>
    <x v="0"/>
    <x v="12"/>
    <n v="419.56363678000798"/>
    <n v="153140.72742470301"/>
    <n v="551306.61872893095"/>
  </r>
  <r>
    <x v="0"/>
    <x v="0"/>
    <x v="0"/>
    <x v="7"/>
    <x v="14"/>
    <s v="NO4_A1"/>
    <x v="9"/>
    <x v="131"/>
    <x v="0"/>
    <x v="13"/>
    <n v="419.56363678000798"/>
    <n v="153140.72742470301"/>
    <n v="551306.61872893095"/>
  </r>
  <r>
    <x v="0"/>
    <x v="0"/>
    <x v="0"/>
    <x v="7"/>
    <x v="14"/>
    <s v="NO4_A1"/>
    <x v="9"/>
    <x v="131"/>
    <x v="0"/>
    <x v="14"/>
    <n v="419.56363678000798"/>
    <n v="153140.72742470301"/>
    <n v="551306.61872893095"/>
  </r>
  <r>
    <x v="0"/>
    <x v="0"/>
    <x v="0"/>
    <x v="7"/>
    <x v="14"/>
    <s v="NO4_A1"/>
    <x v="9"/>
    <x v="131"/>
    <x v="0"/>
    <x v="15"/>
    <n v="419.56363678000798"/>
    <n v="153140.72742470301"/>
    <n v="551306.61872893095"/>
  </r>
  <r>
    <x v="0"/>
    <x v="0"/>
    <x v="0"/>
    <x v="7"/>
    <x v="14"/>
    <s v="NO4_A1"/>
    <x v="9"/>
    <x v="131"/>
    <x v="0"/>
    <x v="16"/>
    <n v="419.56363678000798"/>
    <n v="153140.72742470301"/>
    <n v="551306.61872893095"/>
  </r>
  <r>
    <x v="0"/>
    <x v="0"/>
    <x v="0"/>
    <x v="7"/>
    <x v="14"/>
    <s v="NO4_A1"/>
    <x v="9"/>
    <x v="131"/>
    <x v="0"/>
    <x v="17"/>
    <n v="419.56363678000798"/>
    <n v="153140.72742470301"/>
    <n v="551306.61872893095"/>
  </r>
  <r>
    <x v="0"/>
    <x v="0"/>
    <x v="0"/>
    <x v="7"/>
    <x v="14"/>
    <s v="NO4_A1"/>
    <x v="9"/>
    <x v="131"/>
    <x v="0"/>
    <x v="18"/>
    <n v="419.56363678000798"/>
    <n v="153140.72742470301"/>
    <n v="551306.61872893095"/>
  </r>
  <r>
    <x v="0"/>
    <x v="0"/>
    <x v="0"/>
    <x v="7"/>
    <x v="14"/>
    <s v="NO4_A1"/>
    <x v="9"/>
    <x v="131"/>
    <x v="0"/>
    <x v="19"/>
    <n v="419.56363678000798"/>
    <n v="153140.72742470301"/>
    <n v="551306.61872893095"/>
  </r>
  <r>
    <x v="0"/>
    <x v="0"/>
    <x v="0"/>
    <x v="7"/>
    <x v="14"/>
    <s v="NO4_A1"/>
    <x v="9"/>
    <x v="131"/>
    <x v="0"/>
    <x v="20"/>
    <n v="419.56363678000798"/>
    <n v="153140.72742470301"/>
    <n v="551306.61872893095"/>
  </r>
  <r>
    <x v="0"/>
    <x v="0"/>
    <x v="0"/>
    <x v="7"/>
    <x v="14"/>
    <s v="NO4_A1"/>
    <x v="9"/>
    <x v="131"/>
    <x v="0"/>
    <x v="21"/>
    <n v="419.56363678000798"/>
    <n v="153140.72742470301"/>
    <n v="551306.61872893095"/>
  </r>
  <r>
    <x v="0"/>
    <x v="0"/>
    <x v="0"/>
    <x v="7"/>
    <x v="14"/>
    <s v="NO4_A1"/>
    <x v="9"/>
    <x v="131"/>
    <x v="0"/>
    <x v="22"/>
    <n v="419.56363678000798"/>
    <n v="153140.72742470301"/>
    <n v="551306.61872893095"/>
  </r>
  <r>
    <x v="0"/>
    <x v="0"/>
    <x v="0"/>
    <x v="7"/>
    <x v="14"/>
    <s v="NO4_A1"/>
    <x v="9"/>
    <x v="131"/>
    <x v="0"/>
    <x v="23"/>
    <n v="419.56363678000798"/>
    <n v="153140.72742470301"/>
    <n v="551306.61872893095"/>
  </r>
  <r>
    <x v="0"/>
    <x v="0"/>
    <x v="0"/>
    <x v="7"/>
    <x v="14"/>
    <s v="NO4_A1"/>
    <x v="9"/>
    <x v="132"/>
    <x v="0"/>
    <x v="0"/>
    <n v="419.56363678000798"/>
    <n v="153140.72742470301"/>
    <n v="551306.61872893095"/>
  </r>
  <r>
    <x v="0"/>
    <x v="0"/>
    <x v="0"/>
    <x v="7"/>
    <x v="14"/>
    <s v="NO4_A1"/>
    <x v="9"/>
    <x v="132"/>
    <x v="0"/>
    <x v="1"/>
    <n v="181.95053308983799"/>
    <n v="66411.944577790797"/>
    <n v="239083.00048004699"/>
  </r>
  <r>
    <x v="0"/>
    <x v="0"/>
    <x v="0"/>
    <x v="7"/>
    <x v="14"/>
    <s v="NO4_A1"/>
    <x v="9"/>
    <x v="132"/>
    <x v="0"/>
    <x v="2"/>
    <n v="109.63377708717201"/>
    <n v="40016.328636817801"/>
    <n v="144058.78309254401"/>
  </r>
  <r>
    <x v="0"/>
    <x v="0"/>
    <x v="0"/>
    <x v="7"/>
    <x v="14"/>
    <s v="NO4_A1"/>
    <x v="9"/>
    <x v="132"/>
    <x v="0"/>
    <x v="3"/>
    <n v="248.60659734063299"/>
    <n v="90741.408029331098"/>
    <n v="326669.06890559202"/>
  </r>
  <r>
    <x v="0"/>
    <x v="0"/>
    <x v="0"/>
    <x v="7"/>
    <x v="14"/>
    <s v="NO4_A1"/>
    <x v="9"/>
    <x v="132"/>
    <x v="0"/>
    <x v="4"/>
    <n v="419.56363678000798"/>
    <n v="153140.72742470301"/>
    <n v="551306.61872893095"/>
  </r>
  <r>
    <x v="0"/>
    <x v="0"/>
    <x v="0"/>
    <x v="7"/>
    <x v="14"/>
    <s v="NO4_A1"/>
    <x v="9"/>
    <x v="132"/>
    <x v="0"/>
    <x v="5"/>
    <n v="419.56363678000798"/>
    <n v="153140.72742470301"/>
    <n v="551306.61872893095"/>
  </r>
  <r>
    <x v="0"/>
    <x v="0"/>
    <x v="0"/>
    <x v="7"/>
    <x v="14"/>
    <s v="NO4_A1"/>
    <x v="9"/>
    <x v="132"/>
    <x v="0"/>
    <x v="6"/>
    <n v="419.56363678000798"/>
    <n v="153140.72742470301"/>
    <n v="551306.61872893095"/>
  </r>
  <r>
    <x v="0"/>
    <x v="0"/>
    <x v="0"/>
    <x v="7"/>
    <x v="14"/>
    <s v="NO4_A1"/>
    <x v="9"/>
    <x v="132"/>
    <x v="0"/>
    <x v="7"/>
    <n v="419.56363678000798"/>
    <n v="153140.72742470301"/>
    <n v="551306.61872893095"/>
  </r>
  <r>
    <x v="0"/>
    <x v="0"/>
    <x v="0"/>
    <x v="7"/>
    <x v="14"/>
    <s v="NO4_A1"/>
    <x v="9"/>
    <x v="132"/>
    <x v="0"/>
    <x v="8"/>
    <n v="419.56363678000798"/>
    <n v="153140.72742470301"/>
    <n v="551306.61872893095"/>
  </r>
  <r>
    <x v="0"/>
    <x v="0"/>
    <x v="0"/>
    <x v="7"/>
    <x v="14"/>
    <s v="NO4_A1"/>
    <x v="9"/>
    <x v="132"/>
    <x v="0"/>
    <x v="9"/>
    <n v="419.56363678000798"/>
    <n v="153140.72742470301"/>
    <n v="551306.61872893095"/>
  </r>
  <r>
    <x v="0"/>
    <x v="0"/>
    <x v="0"/>
    <x v="7"/>
    <x v="14"/>
    <s v="NO4_A1"/>
    <x v="9"/>
    <x v="132"/>
    <x v="0"/>
    <x v="10"/>
    <n v="419.56363678000798"/>
    <n v="153140.72742470301"/>
    <n v="551306.61872893095"/>
  </r>
  <r>
    <x v="0"/>
    <x v="0"/>
    <x v="0"/>
    <x v="7"/>
    <x v="14"/>
    <s v="NO4_A1"/>
    <x v="9"/>
    <x v="132"/>
    <x v="0"/>
    <x v="11"/>
    <n v="419.56363678000798"/>
    <n v="153140.72742470301"/>
    <n v="551306.61872893095"/>
  </r>
  <r>
    <x v="0"/>
    <x v="0"/>
    <x v="0"/>
    <x v="7"/>
    <x v="14"/>
    <s v="NO4_A1"/>
    <x v="9"/>
    <x v="132"/>
    <x v="0"/>
    <x v="12"/>
    <n v="419.56363678000798"/>
    <n v="153140.72742470301"/>
    <n v="551306.61872893095"/>
  </r>
  <r>
    <x v="0"/>
    <x v="0"/>
    <x v="0"/>
    <x v="7"/>
    <x v="14"/>
    <s v="NO4_A1"/>
    <x v="9"/>
    <x v="132"/>
    <x v="0"/>
    <x v="13"/>
    <n v="419.56363678000798"/>
    <n v="153140.72742470301"/>
    <n v="551306.61872893095"/>
  </r>
  <r>
    <x v="0"/>
    <x v="0"/>
    <x v="0"/>
    <x v="7"/>
    <x v="14"/>
    <s v="NO4_A1"/>
    <x v="9"/>
    <x v="132"/>
    <x v="0"/>
    <x v="14"/>
    <n v="419.56363678000798"/>
    <n v="153140.72742470301"/>
    <n v="551306.61872893095"/>
  </r>
  <r>
    <x v="0"/>
    <x v="0"/>
    <x v="0"/>
    <x v="7"/>
    <x v="14"/>
    <s v="NO4_A1"/>
    <x v="9"/>
    <x v="132"/>
    <x v="0"/>
    <x v="15"/>
    <n v="419.56363678000798"/>
    <n v="153140.72742470301"/>
    <n v="551306.61872893095"/>
  </r>
  <r>
    <x v="0"/>
    <x v="0"/>
    <x v="0"/>
    <x v="7"/>
    <x v="14"/>
    <s v="NO4_A1"/>
    <x v="9"/>
    <x v="132"/>
    <x v="0"/>
    <x v="16"/>
    <n v="419.56363678000798"/>
    <n v="153140.72742470301"/>
    <n v="551306.61872893095"/>
  </r>
  <r>
    <x v="0"/>
    <x v="0"/>
    <x v="0"/>
    <x v="7"/>
    <x v="14"/>
    <s v="NO4_A1"/>
    <x v="9"/>
    <x v="132"/>
    <x v="0"/>
    <x v="17"/>
    <n v="419.56363678000798"/>
    <n v="153140.72742470301"/>
    <n v="551306.61872893095"/>
  </r>
  <r>
    <x v="0"/>
    <x v="0"/>
    <x v="0"/>
    <x v="7"/>
    <x v="14"/>
    <s v="NO4_A1"/>
    <x v="9"/>
    <x v="132"/>
    <x v="0"/>
    <x v="18"/>
    <n v="419.56363678000798"/>
    <n v="153140.72742470301"/>
    <n v="551306.61872893095"/>
  </r>
  <r>
    <x v="0"/>
    <x v="0"/>
    <x v="0"/>
    <x v="7"/>
    <x v="14"/>
    <s v="NO4_A1"/>
    <x v="9"/>
    <x v="132"/>
    <x v="0"/>
    <x v="19"/>
    <n v="419.56363678000798"/>
    <n v="153140.72742470301"/>
    <n v="551306.61872893095"/>
  </r>
  <r>
    <x v="0"/>
    <x v="0"/>
    <x v="0"/>
    <x v="7"/>
    <x v="14"/>
    <s v="NO4_A1"/>
    <x v="9"/>
    <x v="132"/>
    <x v="0"/>
    <x v="20"/>
    <n v="419.56363678000798"/>
    <n v="153140.72742470301"/>
    <n v="551306.61872893095"/>
  </r>
  <r>
    <x v="0"/>
    <x v="0"/>
    <x v="0"/>
    <x v="7"/>
    <x v="14"/>
    <s v="NO4_A1"/>
    <x v="9"/>
    <x v="132"/>
    <x v="0"/>
    <x v="21"/>
    <n v="419.56363678000798"/>
    <n v="153140.72742470301"/>
    <n v="551306.61872893095"/>
  </r>
  <r>
    <x v="0"/>
    <x v="0"/>
    <x v="0"/>
    <x v="7"/>
    <x v="14"/>
    <s v="NO4_A1"/>
    <x v="9"/>
    <x v="132"/>
    <x v="0"/>
    <x v="22"/>
    <n v="419.56363678000798"/>
    <n v="153140.72742470301"/>
    <n v="551306.61872893095"/>
  </r>
  <r>
    <x v="0"/>
    <x v="0"/>
    <x v="0"/>
    <x v="7"/>
    <x v="14"/>
    <s v="NO4_A1"/>
    <x v="9"/>
    <x v="132"/>
    <x v="0"/>
    <x v="23"/>
    <n v="419.56363678000798"/>
    <n v="153140.72742470301"/>
    <n v="551306.61872893095"/>
  </r>
  <r>
    <x v="0"/>
    <x v="0"/>
    <x v="0"/>
    <x v="7"/>
    <x v="14"/>
    <s v="NO4_A1"/>
    <x v="9"/>
    <x v="133"/>
    <x v="0"/>
    <x v="0"/>
    <n v="66.337560287060001"/>
    <n v="24213.2095047769"/>
    <n v="87167.554217196797"/>
  </r>
  <r>
    <x v="0"/>
    <x v="0"/>
    <x v="0"/>
    <x v="7"/>
    <x v="14"/>
    <s v="NO4_A1"/>
    <x v="9"/>
    <x v="133"/>
    <x v="0"/>
    <x v="4"/>
    <n v="144.50033824733799"/>
    <n v="52742.623460278199"/>
    <n v="189873.44445700201"/>
  </r>
  <r>
    <x v="0"/>
    <x v="0"/>
    <x v="0"/>
    <x v="7"/>
    <x v="14"/>
    <s v="NO4_A1"/>
    <x v="9"/>
    <x v="133"/>
    <x v="0"/>
    <x v="5"/>
    <n v="202.11556943965499"/>
    <n v="73772.182845474206"/>
    <n v="265579.85824370699"/>
  </r>
  <r>
    <x v="0"/>
    <x v="0"/>
    <x v="0"/>
    <x v="7"/>
    <x v="14"/>
    <s v="NO4_A1"/>
    <x v="9"/>
    <x v="133"/>
    <x v="0"/>
    <x v="6"/>
    <n v="286.86455408034999"/>
    <n v="104705.56223932801"/>
    <n v="376940.02406157902"/>
  </r>
  <r>
    <x v="0"/>
    <x v="0"/>
    <x v="0"/>
    <x v="7"/>
    <x v="14"/>
    <s v="NO4_A1"/>
    <x v="9"/>
    <x v="133"/>
    <x v="0"/>
    <x v="7"/>
    <n v="414.64758852495601"/>
    <n v="151346.36981160901"/>
    <n v="544846.93132179196"/>
  </r>
  <r>
    <x v="0"/>
    <x v="0"/>
    <x v="0"/>
    <x v="7"/>
    <x v="14"/>
    <s v="NO4_A1"/>
    <x v="9"/>
    <x v="133"/>
    <x v="0"/>
    <x v="8"/>
    <n v="419.56363678000798"/>
    <n v="153140.72742470301"/>
    <n v="551306.61872893095"/>
  </r>
  <r>
    <x v="0"/>
    <x v="0"/>
    <x v="0"/>
    <x v="7"/>
    <x v="14"/>
    <s v="NO4_A1"/>
    <x v="9"/>
    <x v="133"/>
    <x v="0"/>
    <x v="9"/>
    <n v="419.56363678000798"/>
    <n v="153140.72742470301"/>
    <n v="551306.61872893095"/>
  </r>
  <r>
    <x v="0"/>
    <x v="0"/>
    <x v="0"/>
    <x v="7"/>
    <x v="14"/>
    <s v="NO4_A1"/>
    <x v="9"/>
    <x v="133"/>
    <x v="0"/>
    <x v="10"/>
    <n v="419.56363678000798"/>
    <n v="153140.72742470301"/>
    <n v="551306.61872893095"/>
  </r>
  <r>
    <x v="0"/>
    <x v="0"/>
    <x v="0"/>
    <x v="7"/>
    <x v="14"/>
    <s v="NO4_A1"/>
    <x v="9"/>
    <x v="133"/>
    <x v="0"/>
    <x v="11"/>
    <n v="419.56363678000798"/>
    <n v="153140.72742470301"/>
    <n v="551306.61872893095"/>
  </r>
  <r>
    <x v="0"/>
    <x v="0"/>
    <x v="0"/>
    <x v="7"/>
    <x v="14"/>
    <s v="NO4_A1"/>
    <x v="9"/>
    <x v="133"/>
    <x v="0"/>
    <x v="12"/>
    <n v="419.56363678000798"/>
    <n v="153140.72742470301"/>
    <n v="551306.61872893095"/>
  </r>
  <r>
    <x v="0"/>
    <x v="0"/>
    <x v="0"/>
    <x v="7"/>
    <x v="14"/>
    <s v="NO4_A1"/>
    <x v="9"/>
    <x v="133"/>
    <x v="0"/>
    <x v="13"/>
    <n v="419.56363678000798"/>
    <n v="153140.72742470301"/>
    <n v="551306.61872893095"/>
  </r>
  <r>
    <x v="0"/>
    <x v="0"/>
    <x v="0"/>
    <x v="7"/>
    <x v="14"/>
    <s v="NO4_A1"/>
    <x v="9"/>
    <x v="133"/>
    <x v="0"/>
    <x v="14"/>
    <n v="419.56363678000798"/>
    <n v="153140.72742470301"/>
    <n v="551306.61872893095"/>
  </r>
  <r>
    <x v="0"/>
    <x v="0"/>
    <x v="0"/>
    <x v="7"/>
    <x v="14"/>
    <s v="NO4_A1"/>
    <x v="9"/>
    <x v="133"/>
    <x v="0"/>
    <x v="15"/>
    <n v="419.56363678000798"/>
    <n v="153140.72742470301"/>
    <n v="551306.61872893095"/>
  </r>
  <r>
    <x v="0"/>
    <x v="0"/>
    <x v="0"/>
    <x v="7"/>
    <x v="14"/>
    <s v="NO4_A1"/>
    <x v="9"/>
    <x v="133"/>
    <x v="0"/>
    <x v="16"/>
    <n v="419.56363678000798"/>
    <n v="153140.72742470301"/>
    <n v="551306.61872893095"/>
  </r>
  <r>
    <x v="0"/>
    <x v="0"/>
    <x v="0"/>
    <x v="7"/>
    <x v="14"/>
    <s v="NO4_A1"/>
    <x v="9"/>
    <x v="133"/>
    <x v="0"/>
    <x v="17"/>
    <n v="419.56363678000798"/>
    <n v="153140.72742470301"/>
    <n v="551306.61872893095"/>
  </r>
  <r>
    <x v="0"/>
    <x v="0"/>
    <x v="0"/>
    <x v="7"/>
    <x v="14"/>
    <s v="NO4_A1"/>
    <x v="9"/>
    <x v="133"/>
    <x v="0"/>
    <x v="18"/>
    <n v="397.74515777773797"/>
    <n v="145176.982588874"/>
    <n v="522637.137319948"/>
  </r>
  <r>
    <x v="0"/>
    <x v="0"/>
    <x v="0"/>
    <x v="7"/>
    <x v="14"/>
    <s v="NO4_A1"/>
    <x v="9"/>
    <x v="133"/>
    <x v="0"/>
    <x v="19"/>
    <n v="402.74981604643699"/>
    <n v="147003.68285695001"/>
    <n v="529213.25828501803"/>
  </r>
  <r>
    <x v="0"/>
    <x v="0"/>
    <x v="0"/>
    <x v="7"/>
    <x v="14"/>
    <s v="NO4_A1"/>
    <x v="9"/>
    <x v="133"/>
    <x v="0"/>
    <x v="20"/>
    <n v="419.56363678000798"/>
    <n v="153140.72742470301"/>
    <n v="551306.61872893095"/>
  </r>
  <r>
    <x v="0"/>
    <x v="0"/>
    <x v="0"/>
    <x v="7"/>
    <x v="14"/>
    <s v="NO4_A1"/>
    <x v="9"/>
    <x v="133"/>
    <x v="0"/>
    <x v="21"/>
    <n v="390.50907823282103"/>
    <n v="142535.81355498001"/>
    <n v="513128.928797926"/>
  </r>
  <r>
    <x v="0"/>
    <x v="0"/>
    <x v="0"/>
    <x v="7"/>
    <x v="14"/>
    <s v="NO4_A1"/>
    <x v="9"/>
    <x v="133"/>
    <x v="0"/>
    <x v="22"/>
    <n v="251.77680990505101"/>
    <n v="91898.535615343499"/>
    <n v="330834.72821523697"/>
  </r>
  <r>
    <x v="0"/>
    <x v="0"/>
    <x v="0"/>
    <x v="7"/>
    <x v="14"/>
    <s v="NO4_A1"/>
    <x v="9"/>
    <x v="133"/>
    <x v="0"/>
    <x v="23"/>
    <n v="242.60312249071899"/>
    <n v="88550.139709112496"/>
    <n v="318780.50295280502"/>
  </r>
  <r>
    <x v="0"/>
    <x v="0"/>
    <x v="0"/>
    <x v="7"/>
    <x v="14"/>
    <s v="NO4_A1"/>
    <x v="9"/>
    <x v="134"/>
    <x v="0"/>
    <x v="8"/>
    <n v="120.496616660344"/>
    <n v="43981.265081025696"/>
    <n v="158332.554291693"/>
  </r>
  <r>
    <x v="0"/>
    <x v="0"/>
    <x v="0"/>
    <x v="7"/>
    <x v="14"/>
    <s v="NO4_A1"/>
    <x v="9"/>
    <x v="134"/>
    <x v="0"/>
    <x v="9"/>
    <n v="122.28072132459"/>
    <n v="44632.463283475401"/>
    <n v="160676.86782051099"/>
  </r>
  <r>
    <x v="0"/>
    <x v="0"/>
    <x v="0"/>
    <x v="7"/>
    <x v="14"/>
    <s v="NO4_A1"/>
    <x v="9"/>
    <x v="134"/>
    <x v="0"/>
    <x v="10"/>
    <n v="69.237550967969597"/>
    <n v="25271.706103308901"/>
    <n v="90978.141971912002"/>
  </r>
  <r>
    <x v="0"/>
    <x v="0"/>
    <x v="0"/>
    <x v="7"/>
    <x v="14"/>
    <s v="NO4_A1"/>
    <x v="9"/>
    <x v="134"/>
    <x v="0"/>
    <x v="11"/>
    <n v="42.429555415594201"/>
    <n v="15486.7877266919"/>
    <n v="55752.435816090801"/>
  </r>
  <r>
    <x v="0"/>
    <x v="0"/>
    <x v="0"/>
    <x v="7"/>
    <x v="14"/>
    <s v="NO4_A1"/>
    <x v="9"/>
    <x v="134"/>
    <x v="0"/>
    <x v="12"/>
    <n v="34.557638083605298"/>
    <n v="12613.537900515899"/>
    <n v="45408.7364418574"/>
  </r>
  <r>
    <x v="0"/>
    <x v="0"/>
    <x v="0"/>
    <x v="7"/>
    <x v="14"/>
    <s v="NO4_A1"/>
    <x v="9"/>
    <x v="134"/>
    <x v="0"/>
    <x v="13"/>
    <n v="53.541939471896498"/>
    <n v="19542.807907242201"/>
    <n v="70354.108466071993"/>
  </r>
  <r>
    <x v="0"/>
    <x v="0"/>
    <x v="0"/>
    <x v="7"/>
    <x v="14"/>
    <s v="NO4_A1"/>
    <x v="9"/>
    <x v="134"/>
    <x v="0"/>
    <x v="14"/>
    <n v="50.452043080412103"/>
    <n v="18414.9957243504"/>
    <n v="66293.984607661405"/>
  </r>
  <r>
    <x v="0"/>
    <x v="0"/>
    <x v="0"/>
    <x v="7"/>
    <x v="14"/>
    <s v="NO4_A1"/>
    <x v="9"/>
    <x v="134"/>
    <x v="0"/>
    <x v="15"/>
    <n v="90.043643833558207"/>
    <n v="32865.929999248801"/>
    <n v="118317.347997296"/>
  </r>
  <r>
    <x v="0"/>
    <x v="0"/>
    <x v="0"/>
    <x v="7"/>
    <x v="14"/>
    <s v="NO4_A1"/>
    <x v="9"/>
    <x v="134"/>
    <x v="0"/>
    <x v="16"/>
    <n v="70.221441641948999"/>
    <n v="25630.826199311399"/>
    <n v="92270.974317521002"/>
  </r>
  <r>
    <x v="0"/>
    <x v="0"/>
    <x v="0"/>
    <x v="7"/>
    <x v="14"/>
    <s v="NO4_A1"/>
    <x v="9"/>
    <x v="134"/>
    <x v="0"/>
    <x v="17"/>
    <n v="29.943492712398701"/>
    <n v="10929.374840025501"/>
    <n v="39345.749424091897"/>
  </r>
  <r>
    <x v="0"/>
    <x v="0"/>
    <x v="0"/>
    <x v="7"/>
    <x v="14"/>
    <s v="NO4_A1"/>
    <x v="9"/>
    <x v="134"/>
    <x v="0"/>
    <x v="20"/>
    <n v="2.98857550575485"/>
    <n v="1090.8300596005199"/>
    <n v="3926.9882145618799"/>
  </r>
  <r>
    <x v="0"/>
    <x v="0"/>
    <x v="0"/>
    <x v="7"/>
    <x v="14"/>
    <s v="NO4_A1"/>
    <x v="9"/>
    <x v="57"/>
    <x v="0"/>
    <x v="0"/>
    <n v="366.70762376241902"/>
    <n v="133848.28267328301"/>
    <n v="481853.81762381899"/>
  </r>
  <r>
    <x v="0"/>
    <x v="0"/>
    <x v="0"/>
    <x v="7"/>
    <x v="14"/>
    <s v="NO4_A1"/>
    <x v="9"/>
    <x v="57"/>
    <x v="0"/>
    <x v="1"/>
    <n v="366.70762376241902"/>
    <n v="133848.28267328301"/>
    <n v="481853.81762381899"/>
  </r>
  <r>
    <x v="0"/>
    <x v="0"/>
    <x v="0"/>
    <x v="7"/>
    <x v="14"/>
    <s v="NO4_A1"/>
    <x v="9"/>
    <x v="57"/>
    <x v="0"/>
    <x v="2"/>
    <n v="366.70762376241902"/>
    <n v="133848.28267328301"/>
    <n v="481853.81762381899"/>
  </r>
  <r>
    <x v="0"/>
    <x v="0"/>
    <x v="0"/>
    <x v="7"/>
    <x v="14"/>
    <s v="NO4_A1"/>
    <x v="9"/>
    <x v="57"/>
    <x v="0"/>
    <x v="3"/>
    <n v="366.70762376241902"/>
    <n v="133848.28267328301"/>
    <n v="481853.81762381899"/>
  </r>
  <r>
    <x v="0"/>
    <x v="0"/>
    <x v="0"/>
    <x v="7"/>
    <x v="14"/>
    <s v="NO4_A1"/>
    <x v="9"/>
    <x v="57"/>
    <x v="0"/>
    <x v="4"/>
    <n v="366.70762376241902"/>
    <n v="133848.28267328301"/>
    <n v="481853.81762381899"/>
  </r>
  <r>
    <x v="0"/>
    <x v="0"/>
    <x v="0"/>
    <x v="7"/>
    <x v="14"/>
    <s v="NO4_A1"/>
    <x v="9"/>
    <x v="57"/>
    <x v="0"/>
    <x v="5"/>
    <n v="366.70762376241902"/>
    <n v="133848.28267328301"/>
    <n v="481853.81762381899"/>
  </r>
  <r>
    <x v="0"/>
    <x v="0"/>
    <x v="0"/>
    <x v="7"/>
    <x v="14"/>
    <s v="NO4_A1"/>
    <x v="9"/>
    <x v="57"/>
    <x v="0"/>
    <x v="6"/>
    <n v="366.70762376241902"/>
    <n v="133848.28267328301"/>
    <n v="481853.81762381899"/>
  </r>
  <r>
    <x v="0"/>
    <x v="0"/>
    <x v="0"/>
    <x v="7"/>
    <x v="14"/>
    <s v="NO4_A1"/>
    <x v="9"/>
    <x v="57"/>
    <x v="0"/>
    <x v="7"/>
    <n v="366.70762376241902"/>
    <n v="133848.28267328301"/>
    <n v="481853.81762381899"/>
  </r>
  <r>
    <x v="0"/>
    <x v="0"/>
    <x v="0"/>
    <x v="7"/>
    <x v="14"/>
    <s v="NO4_A1"/>
    <x v="9"/>
    <x v="57"/>
    <x v="0"/>
    <x v="8"/>
    <n v="366.70762376241902"/>
    <n v="133848.28267328301"/>
    <n v="481853.81762381899"/>
  </r>
  <r>
    <x v="0"/>
    <x v="0"/>
    <x v="0"/>
    <x v="7"/>
    <x v="14"/>
    <s v="NO4_A1"/>
    <x v="9"/>
    <x v="57"/>
    <x v="0"/>
    <x v="9"/>
    <n v="366.70762376241902"/>
    <n v="133848.28267328301"/>
    <n v="481853.81762381899"/>
  </r>
  <r>
    <x v="0"/>
    <x v="0"/>
    <x v="0"/>
    <x v="7"/>
    <x v="14"/>
    <s v="NO4_A1"/>
    <x v="9"/>
    <x v="57"/>
    <x v="0"/>
    <x v="10"/>
    <n v="366.70762376241902"/>
    <n v="133848.28267328301"/>
    <n v="481853.81762381899"/>
  </r>
  <r>
    <x v="0"/>
    <x v="0"/>
    <x v="0"/>
    <x v="7"/>
    <x v="14"/>
    <s v="NO4_A1"/>
    <x v="9"/>
    <x v="57"/>
    <x v="0"/>
    <x v="11"/>
    <n v="366.70762376241902"/>
    <n v="133848.28267328301"/>
    <n v="481853.81762381899"/>
  </r>
  <r>
    <x v="0"/>
    <x v="0"/>
    <x v="0"/>
    <x v="7"/>
    <x v="14"/>
    <s v="NO4_A1"/>
    <x v="9"/>
    <x v="57"/>
    <x v="0"/>
    <x v="12"/>
    <n v="366.70762376241902"/>
    <n v="133848.28267328301"/>
    <n v="481853.81762381899"/>
  </r>
  <r>
    <x v="0"/>
    <x v="0"/>
    <x v="0"/>
    <x v="7"/>
    <x v="14"/>
    <s v="NO4_A1"/>
    <x v="9"/>
    <x v="57"/>
    <x v="0"/>
    <x v="13"/>
    <n v="366.70762376241902"/>
    <n v="133848.28267328301"/>
    <n v="481853.81762381899"/>
  </r>
  <r>
    <x v="0"/>
    <x v="0"/>
    <x v="0"/>
    <x v="7"/>
    <x v="14"/>
    <s v="NO4_A1"/>
    <x v="9"/>
    <x v="57"/>
    <x v="0"/>
    <x v="14"/>
    <n v="366.70762376241902"/>
    <n v="133848.28267328301"/>
    <n v="481853.81762381899"/>
  </r>
  <r>
    <x v="0"/>
    <x v="0"/>
    <x v="0"/>
    <x v="7"/>
    <x v="14"/>
    <s v="NO4_A1"/>
    <x v="9"/>
    <x v="57"/>
    <x v="0"/>
    <x v="15"/>
    <n v="366.70762376241902"/>
    <n v="133848.28267328301"/>
    <n v="481853.81762381899"/>
  </r>
  <r>
    <x v="0"/>
    <x v="0"/>
    <x v="0"/>
    <x v="7"/>
    <x v="14"/>
    <s v="NO4_A1"/>
    <x v="9"/>
    <x v="57"/>
    <x v="0"/>
    <x v="16"/>
    <n v="366.70762376241902"/>
    <n v="133848.28267328301"/>
    <n v="481853.81762381899"/>
  </r>
  <r>
    <x v="0"/>
    <x v="0"/>
    <x v="0"/>
    <x v="7"/>
    <x v="14"/>
    <s v="NO4_A1"/>
    <x v="9"/>
    <x v="57"/>
    <x v="0"/>
    <x v="17"/>
    <n v="366.70762376241902"/>
    <n v="133848.28267328301"/>
    <n v="481853.81762381899"/>
  </r>
  <r>
    <x v="0"/>
    <x v="0"/>
    <x v="0"/>
    <x v="7"/>
    <x v="14"/>
    <s v="NO4_A1"/>
    <x v="9"/>
    <x v="57"/>
    <x v="0"/>
    <x v="18"/>
    <n v="366.70762376241902"/>
    <n v="133848.28267328301"/>
    <n v="481853.81762381899"/>
  </r>
  <r>
    <x v="0"/>
    <x v="0"/>
    <x v="0"/>
    <x v="7"/>
    <x v="14"/>
    <s v="NO4_A1"/>
    <x v="9"/>
    <x v="57"/>
    <x v="0"/>
    <x v="19"/>
    <n v="366.70762376241902"/>
    <n v="133848.28267328301"/>
    <n v="481853.81762381899"/>
  </r>
  <r>
    <x v="0"/>
    <x v="0"/>
    <x v="0"/>
    <x v="7"/>
    <x v="14"/>
    <s v="NO4_A1"/>
    <x v="9"/>
    <x v="57"/>
    <x v="0"/>
    <x v="20"/>
    <n v="366.70762376241902"/>
    <n v="133848.28267328301"/>
    <n v="481853.81762381899"/>
  </r>
  <r>
    <x v="0"/>
    <x v="0"/>
    <x v="0"/>
    <x v="7"/>
    <x v="14"/>
    <s v="NO4_A1"/>
    <x v="9"/>
    <x v="57"/>
    <x v="0"/>
    <x v="21"/>
    <n v="366.70762376241902"/>
    <n v="133848.28267328301"/>
    <n v="481853.81762381899"/>
  </r>
  <r>
    <x v="0"/>
    <x v="0"/>
    <x v="0"/>
    <x v="7"/>
    <x v="14"/>
    <s v="NO4_A1"/>
    <x v="9"/>
    <x v="57"/>
    <x v="0"/>
    <x v="22"/>
    <n v="366.70762376241902"/>
    <n v="133848.28267328301"/>
    <n v="481853.81762381899"/>
  </r>
  <r>
    <x v="0"/>
    <x v="0"/>
    <x v="0"/>
    <x v="7"/>
    <x v="14"/>
    <s v="NO4_A1"/>
    <x v="9"/>
    <x v="57"/>
    <x v="0"/>
    <x v="23"/>
    <n v="366.70762376241902"/>
    <n v="133848.28267328301"/>
    <n v="481853.81762381899"/>
  </r>
  <r>
    <x v="0"/>
    <x v="0"/>
    <x v="0"/>
    <x v="7"/>
    <x v="14"/>
    <s v="NO4_A1"/>
    <x v="10"/>
    <x v="58"/>
    <x v="0"/>
    <x v="0"/>
    <n v="24.637221848266801"/>
    <n v="8992.5859746173701"/>
    <n v="32373.3095086225"/>
  </r>
  <r>
    <x v="0"/>
    <x v="0"/>
    <x v="0"/>
    <x v="7"/>
    <x v="14"/>
    <s v="NO4_A1"/>
    <x v="10"/>
    <x v="58"/>
    <x v="0"/>
    <x v="1"/>
    <n v="44.268222672135103"/>
    <n v="16157.901275329299"/>
    <n v="58168.4445911855"/>
  </r>
  <r>
    <x v="0"/>
    <x v="0"/>
    <x v="0"/>
    <x v="7"/>
    <x v="14"/>
    <s v="NO4_A1"/>
    <x v="10"/>
    <x v="58"/>
    <x v="0"/>
    <x v="2"/>
    <n v="47.737199532540401"/>
    <n v="17424.077829377198"/>
    <n v="62726.680185758101"/>
  </r>
  <r>
    <x v="0"/>
    <x v="0"/>
    <x v="0"/>
    <x v="7"/>
    <x v="14"/>
    <s v="NO4_A1"/>
    <x v="10"/>
    <x v="58"/>
    <x v="0"/>
    <x v="3"/>
    <n v="56.439331088370103"/>
    <n v="20600.355847255101"/>
    <n v="74161.281050118399"/>
  </r>
  <r>
    <x v="0"/>
    <x v="0"/>
    <x v="0"/>
    <x v="7"/>
    <x v="14"/>
    <s v="NO4_A1"/>
    <x v="10"/>
    <x v="58"/>
    <x v="0"/>
    <x v="4"/>
    <n v="54.715549196856799"/>
    <n v="19971.175456852699"/>
    <n v="71896.231644669897"/>
  </r>
  <r>
    <x v="0"/>
    <x v="0"/>
    <x v="0"/>
    <x v="7"/>
    <x v="14"/>
    <s v="NO4_A1"/>
    <x v="10"/>
    <x v="58"/>
    <x v="0"/>
    <x v="5"/>
    <n v="70.370703727425095"/>
    <n v="25685.306860510202"/>
    <n v="92467.104697836505"/>
  </r>
  <r>
    <x v="0"/>
    <x v="0"/>
    <x v="0"/>
    <x v="7"/>
    <x v="14"/>
    <s v="NO4_A1"/>
    <x v="10"/>
    <x v="58"/>
    <x v="0"/>
    <x v="6"/>
    <n v="84.703263416542299"/>
    <n v="30916.691147037898"/>
    <n v="111300.088129337"/>
  </r>
  <r>
    <x v="0"/>
    <x v="0"/>
    <x v="0"/>
    <x v="7"/>
    <x v="14"/>
    <s v="NO4_A1"/>
    <x v="10"/>
    <x v="58"/>
    <x v="0"/>
    <x v="7"/>
    <n v="107.62409051559899"/>
    <n v="39282.793038193697"/>
    <n v="141418.05493749701"/>
  </r>
  <r>
    <x v="0"/>
    <x v="0"/>
    <x v="0"/>
    <x v="7"/>
    <x v="14"/>
    <s v="NO4_A1"/>
    <x v="10"/>
    <x v="58"/>
    <x v="0"/>
    <x v="8"/>
    <n v="102.941038439049"/>
    <n v="37573.479030252798"/>
    <n v="135264.52450890999"/>
  </r>
  <r>
    <x v="0"/>
    <x v="0"/>
    <x v="0"/>
    <x v="7"/>
    <x v="14"/>
    <s v="NO4_A1"/>
    <x v="10"/>
    <x v="58"/>
    <x v="0"/>
    <x v="9"/>
    <n v="106.985259911851"/>
    <n v="39049.619867825597"/>
    <n v="140578.631524172"/>
  </r>
  <r>
    <x v="0"/>
    <x v="0"/>
    <x v="0"/>
    <x v="7"/>
    <x v="14"/>
    <s v="NO4_A1"/>
    <x v="10"/>
    <x v="58"/>
    <x v="0"/>
    <x v="10"/>
    <n v="108.40611305461999"/>
    <n v="39568.231264936199"/>
    <n v="142445.63255377"/>
  </r>
  <r>
    <x v="0"/>
    <x v="0"/>
    <x v="0"/>
    <x v="7"/>
    <x v="14"/>
    <s v="NO4_A1"/>
    <x v="10"/>
    <x v="58"/>
    <x v="0"/>
    <x v="11"/>
    <n v="99.411533765130798"/>
    <n v="36285.209824272803"/>
    <n v="130626.75536738199"/>
  </r>
  <r>
    <x v="0"/>
    <x v="0"/>
    <x v="0"/>
    <x v="7"/>
    <x v="14"/>
    <s v="NO4_A1"/>
    <x v="10"/>
    <x v="58"/>
    <x v="0"/>
    <x v="12"/>
    <n v="98.957270901337296"/>
    <n v="36119.403878988101"/>
    <n v="130029.853964357"/>
  </r>
  <r>
    <x v="0"/>
    <x v="0"/>
    <x v="0"/>
    <x v="7"/>
    <x v="14"/>
    <s v="NO4_A1"/>
    <x v="10"/>
    <x v="58"/>
    <x v="0"/>
    <x v="13"/>
    <n v="107.449364159128"/>
    <n v="39219.017918081801"/>
    <n v="141188.46450509501"/>
  </r>
  <r>
    <x v="0"/>
    <x v="0"/>
    <x v="0"/>
    <x v="7"/>
    <x v="14"/>
    <s v="NO4_A1"/>
    <x v="10"/>
    <x v="58"/>
    <x v="0"/>
    <x v="14"/>
    <n v="123.028530844287"/>
    <n v="44905.413758164701"/>
    <n v="161659.489529393"/>
  </r>
  <r>
    <x v="0"/>
    <x v="0"/>
    <x v="0"/>
    <x v="7"/>
    <x v="14"/>
    <s v="NO4_A1"/>
    <x v="10"/>
    <x v="58"/>
    <x v="0"/>
    <x v="15"/>
    <n v="126.733067109209"/>
    <n v="46257.5694948612"/>
    <n v="166527.25018150001"/>
  </r>
  <r>
    <x v="0"/>
    <x v="0"/>
    <x v="0"/>
    <x v="7"/>
    <x v="14"/>
    <s v="NO4_A1"/>
    <x v="10"/>
    <x v="58"/>
    <x v="0"/>
    <x v="16"/>
    <n v="124.907200791783"/>
    <n v="45591.128289000902"/>
    <n v="164128.06184040301"/>
  </r>
  <r>
    <x v="0"/>
    <x v="0"/>
    <x v="0"/>
    <x v="7"/>
    <x v="14"/>
    <s v="NO4_A1"/>
    <x v="10"/>
    <x v="58"/>
    <x v="0"/>
    <x v="17"/>
    <n v="110.23236042917"/>
    <n v="40234.811556646899"/>
    <n v="144845.32160392901"/>
  </r>
  <r>
    <x v="0"/>
    <x v="0"/>
    <x v="0"/>
    <x v="7"/>
    <x v="14"/>
    <s v="NO4_A1"/>
    <x v="10"/>
    <x v="58"/>
    <x v="0"/>
    <x v="18"/>
    <n v="123.69390324323901"/>
    <n v="45148.274683782103"/>
    <n v="162533.78886161599"/>
  </r>
  <r>
    <x v="0"/>
    <x v="0"/>
    <x v="0"/>
    <x v="7"/>
    <x v="14"/>
    <s v="NO4_A1"/>
    <x v="10"/>
    <x v="58"/>
    <x v="0"/>
    <x v="19"/>
    <n v="114.526154876649"/>
    <n v="41802.046529976797"/>
    <n v="150487.367507916"/>
  </r>
  <r>
    <x v="0"/>
    <x v="0"/>
    <x v="0"/>
    <x v="7"/>
    <x v="14"/>
    <s v="NO4_A1"/>
    <x v="10"/>
    <x v="58"/>
    <x v="0"/>
    <x v="20"/>
    <n v="92.225904578588299"/>
    <n v="33662.455171184702"/>
    <n v="121184.838616265"/>
  </r>
  <r>
    <x v="0"/>
    <x v="0"/>
    <x v="0"/>
    <x v="7"/>
    <x v="14"/>
    <s v="NO4_A1"/>
    <x v="10"/>
    <x v="58"/>
    <x v="0"/>
    <x v="21"/>
    <n v="71.814103398100301"/>
    <n v="26212.147740306598"/>
    <n v="94363.731865103706"/>
  </r>
  <r>
    <x v="0"/>
    <x v="0"/>
    <x v="0"/>
    <x v="7"/>
    <x v="14"/>
    <s v="NO4_A1"/>
    <x v="10"/>
    <x v="58"/>
    <x v="0"/>
    <x v="22"/>
    <n v="130.615041846358"/>
    <n v="47674.490273920797"/>
    <n v="171628.16498611501"/>
  </r>
  <r>
    <x v="0"/>
    <x v="0"/>
    <x v="0"/>
    <x v="7"/>
    <x v="14"/>
    <s v="NO4_A1"/>
    <x v="10"/>
    <x v="58"/>
    <x v="0"/>
    <x v="23"/>
    <n v="113.977570653765"/>
    <n v="41601.8132886241"/>
    <n v="149766.52783904699"/>
  </r>
  <r>
    <x v="0"/>
    <x v="0"/>
    <x v="0"/>
    <x v="7"/>
    <x v="14"/>
    <s v="NO4_A1"/>
    <x v="6"/>
    <x v="115"/>
    <x v="0"/>
    <x v="6"/>
    <n v="4.2226658395621701"/>
    <n v="1541.2730314401899"/>
    <n v="5548.5829131846904"/>
  </r>
  <r>
    <x v="0"/>
    <x v="0"/>
    <x v="0"/>
    <x v="7"/>
    <x v="14"/>
    <s v="NO4_A1"/>
    <x v="6"/>
    <x v="115"/>
    <x v="0"/>
    <x v="7"/>
    <n v="9.2130271508684096"/>
    <n v="3362.7549100669698"/>
    <n v="12105.917676241101"/>
  </r>
  <r>
    <x v="0"/>
    <x v="0"/>
    <x v="0"/>
    <x v="7"/>
    <x v="14"/>
    <s v="NO4_A1"/>
    <x v="6"/>
    <x v="115"/>
    <x v="0"/>
    <x v="8"/>
    <n v="6.24759031452672"/>
    <n v="2280.3704648022499"/>
    <n v="8209.3336732881107"/>
  </r>
  <r>
    <x v="0"/>
    <x v="0"/>
    <x v="0"/>
    <x v="7"/>
    <x v="14"/>
    <s v="NO4_A1"/>
    <x v="6"/>
    <x v="115"/>
    <x v="0"/>
    <x v="12"/>
    <n v="7.8083071817371197"/>
    <n v="2850.0321213340499"/>
    <n v="10260.1156368026"/>
  </r>
  <r>
    <x v="0"/>
    <x v="0"/>
    <x v="0"/>
    <x v="7"/>
    <x v="14"/>
    <s v="NO4_A1"/>
    <x v="6"/>
    <x v="115"/>
    <x v="0"/>
    <x v="13"/>
    <n v="7.19095870744456"/>
    <n v="2624.6999282172701"/>
    <n v="9448.9197415821509"/>
  </r>
  <r>
    <x v="0"/>
    <x v="0"/>
    <x v="0"/>
    <x v="7"/>
    <x v="14"/>
    <s v="NO4_A1"/>
    <x v="6"/>
    <x v="115"/>
    <x v="0"/>
    <x v="15"/>
    <n v="4.9386580997257497"/>
    <n v="1802.6102063999001"/>
    <n v="6489.3967430396397"/>
  </r>
  <r>
    <x v="0"/>
    <x v="0"/>
    <x v="0"/>
    <x v="7"/>
    <x v="14"/>
    <s v="NO4_A1"/>
    <x v="6"/>
    <x v="115"/>
    <x v="0"/>
    <x v="16"/>
    <n v="2.2293476781411501"/>
    <n v="813.71190252152098"/>
    <n v="2929.3628490774699"/>
  </r>
  <r>
    <x v="0"/>
    <x v="0"/>
    <x v="0"/>
    <x v="7"/>
    <x v="14"/>
    <s v="NO4_A1"/>
    <x v="6"/>
    <x v="115"/>
    <x v="0"/>
    <x v="17"/>
    <n v="0.36570318103618799"/>
    <n v="133.48166107820799"/>
    <n v="480.53397988155098"/>
  </r>
  <r>
    <x v="0"/>
    <x v="0"/>
    <x v="0"/>
    <x v="7"/>
    <x v="15"/>
    <s v="NO5_A1"/>
    <x v="19"/>
    <x v="180"/>
    <x v="0"/>
    <x v="0"/>
    <n v="2.8444830280046798"/>
    <n v="1038.2363052217099"/>
    <n v="3737.6506987981502"/>
  </r>
  <r>
    <x v="0"/>
    <x v="0"/>
    <x v="0"/>
    <x v="7"/>
    <x v="15"/>
    <s v="NO5_A1"/>
    <x v="19"/>
    <x v="180"/>
    <x v="0"/>
    <x v="1"/>
    <n v="2.74704163209966"/>
    <n v="1002.67019571637"/>
    <n v="3609.6127045789499"/>
  </r>
  <r>
    <x v="0"/>
    <x v="0"/>
    <x v="0"/>
    <x v="7"/>
    <x v="15"/>
    <s v="NO5_A1"/>
    <x v="19"/>
    <x v="180"/>
    <x v="0"/>
    <x v="2"/>
    <n v="3.0023770716447302"/>
    <n v="1095.86763115033"/>
    <n v="3945.1234721411702"/>
  </r>
  <r>
    <x v="0"/>
    <x v="0"/>
    <x v="0"/>
    <x v="7"/>
    <x v="15"/>
    <s v="NO5_A1"/>
    <x v="19"/>
    <x v="180"/>
    <x v="0"/>
    <x v="3"/>
    <n v="3.4533437301890202"/>
    <n v="1260.4704615189901"/>
    <n v="4537.69366146837"/>
  </r>
  <r>
    <x v="0"/>
    <x v="0"/>
    <x v="0"/>
    <x v="7"/>
    <x v="15"/>
    <s v="NO5_A1"/>
    <x v="19"/>
    <x v="180"/>
    <x v="0"/>
    <x v="4"/>
    <n v="5.6021889109112903"/>
    <n v="2044.7989524826201"/>
    <n v="7361.2762289374396"/>
  </r>
  <r>
    <x v="0"/>
    <x v="0"/>
    <x v="0"/>
    <x v="7"/>
    <x v="15"/>
    <s v="NO5_A1"/>
    <x v="19"/>
    <x v="180"/>
    <x v="0"/>
    <x v="5"/>
    <n v="9.9891521462181707"/>
    <n v="3646.0405333696299"/>
    <n v="13125.745920130699"/>
  </r>
  <r>
    <x v="0"/>
    <x v="0"/>
    <x v="0"/>
    <x v="7"/>
    <x v="15"/>
    <s v="NO5_A1"/>
    <x v="19"/>
    <x v="180"/>
    <x v="0"/>
    <x v="6"/>
    <n v="15.8029376951489"/>
    <n v="5768.0722587293403"/>
    <n v="20765.060131425598"/>
  </r>
  <r>
    <x v="0"/>
    <x v="0"/>
    <x v="0"/>
    <x v="7"/>
    <x v="15"/>
    <s v="NO5_A1"/>
    <x v="19"/>
    <x v="180"/>
    <x v="0"/>
    <x v="7"/>
    <n v="21.4156908218126"/>
    <n v="7816.7271499615999"/>
    <n v="28140.217739861801"/>
  </r>
  <r>
    <x v="0"/>
    <x v="0"/>
    <x v="0"/>
    <x v="7"/>
    <x v="15"/>
    <s v="NO5_A1"/>
    <x v="19"/>
    <x v="180"/>
    <x v="0"/>
    <x v="8"/>
    <n v="21.663153660496398"/>
    <n v="7907.0510860811901"/>
    <n v="28465.383909892302"/>
  </r>
  <r>
    <x v="0"/>
    <x v="0"/>
    <x v="0"/>
    <x v="7"/>
    <x v="15"/>
    <s v="NO5_A1"/>
    <x v="19"/>
    <x v="180"/>
    <x v="0"/>
    <x v="9"/>
    <n v="20.129891466483301"/>
    <n v="7347.4103852664102"/>
    <n v="26450.677386959102"/>
  </r>
  <r>
    <x v="0"/>
    <x v="0"/>
    <x v="0"/>
    <x v="7"/>
    <x v="15"/>
    <s v="NO5_A1"/>
    <x v="19"/>
    <x v="180"/>
    <x v="0"/>
    <x v="10"/>
    <n v="18.366590819213702"/>
    <n v="6703.8056490129902"/>
    <n v="24133.7003364468"/>
  </r>
  <r>
    <x v="0"/>
    <x v="0"/>
    <x v="0"/>
    <x v="7"/>
    <x v="15"/>
    <s v="NO5_A1"/>
    <x v="19"/>
    <x v="180"/>
    <x v="0"/>
    <x v="11"/>
    <n v="16.196925227506402"/>
    <n v="5911.8777080398204"/>
    <n v="21282.759748943401"/>
  </r>
  <r>
    <x v="0"/>
    <x v="0"/>
    <x v="0"/>
    <x v="7"/>
    <x v="15"/>
    <s v="NO5_A1"/>
    <x v="19"/>
    <x v="180"/>
    <x v="0"/>
    <x v="12"/>
    <n v="14.348317396831201"/>
    <n v="5237.1358498433701"/>
    <n v="18853.689059436099"/>
  </r>
  <r>
    <x v="0"/>
    <x v="0"/>
    <x v="0"/>
    <x v="7"/>
    <x v="15"/>
    <s v="NO5_A1"/>
    <x v="19"/>
    <x v="180"/>
    <x v="0"/>
    <x v="13"/>
    <n v="12.627195188935"/>
    <n v="4608.9262439612603"/>
    <n v="16592.134478260599"/>
  </r>
  <r>
    <x v="0"/>
    <x v="0"/>
    <x v="0"/>
    <x v="7"/>
    <x v="15"/>
    <s v="NO5_A1"/>
    <x v="19"/>
    <x v="180"/>
    <x v="0"/>
    <x v="14"/>
    <n v="11.4004809378822"/>
    <n v="4161.1755423270197"/>
    <n v="14980.2319523773"/>
  </r>
  <r>
    <x v="0"/>
    <x v="0"/>
    <x v="0"/>
    <x v="7"/>
    <x v="15"/>
    <s v="NO5_A1"/>
    <x v="19"/>
    <x v="180"/>
    <x v="0"/>
    <x v="15"/>
    <n v="8.7993574390931801"/>
    <n v="3211.7654652690098"/>
    <n v="11562.355674968399"/>
  </r>
  <r>
    <x v="0"/>
    <x v="0"/>
    <x v="0"/>
    <x v="7"/>
    <x v="15"/>
    <s v="NO5_A1"/>
    <x v="19"/>
    <x v="180"/>
    <x v="0"/>
    <x v="16"/>
    <n v="7.0972463771225804"/>
    <n v="2590.49492764974"/>
    <n v="9325.7817395390703"/>
  </r>
  <r>
    <x v="0"/>
    <x v="0"/>
    <x v="0"/>
    <x v="7"/>
    <x v="15"/>
    <s v="NO5_A1"/>
    <x v="19"/>
    <x v="180"/>
    <x v="0"/>
    <x v="17"/>
    <n v="5.5541046711532598"/>
    <n v="2027.2482049709399"/>
    <n v="7298.09353789539"/>
  </r>
  <r>
    <x v="0"/>
    <x v="0"/>
    <x v="0"/>
    <x v="7"/>
    <x v="15"/>
    <s v="NO5_A1"/>
    <x v="19"/>
    <x v="180"/>
    <x v="0"/>
    <x v="18"/>
    <n v="4.4611925571949502"/>
    <n v="1628.3352833761601"/>
    <n v="5862.0070201541603"/>
  </r>
  <r>
    <x v="0"/>
    <x v="0"/>
    <x v="0"/>
    <x v="7"/>
    <x v="15"/>
    <s v="NO5_A1"/>
    <x v="19"/>
    <x v="180"/>
    <x v="0"/>
    <x v="19"/>
    <n v="4.3117642774874296"/>
    <n v="1573.79396128291"/>
    <n v="5665.6582606184802"/>
  </r>
  <r>
    <x v="0"/>
    <x v="0"/>
    <x v="0"/>
    <x v="7"/>
    <x v="15"/>
    <s v="NO5_A1"/>
    <x v="19"/>
    <x v="180"/>
    <x v="0"/>
    <x v="20"/>
    <n v="3.7041673283686798"/>
    <n v="1352.0210748545701"/>
    <n v="4867.2758694764398"/>
  </r>
  <r>
    <x v="0"/>
    <x v="0"/>
    <x v="0"/>
    <x v="7"/>
    <x v="15"/>
    <s v="NO5_A1"/>
    <x v="19"/>
    <x v="180"/>
    <x v="0"/>
    <x v="21"/>
    <n v="1.9306832847653199"/>
    <n v="704.69939893934099"/>
    <n v="2536.9178361816298"/>
  </r>
  <r>
    <x v="0"/>
    <x v="0"/>
    <x v="0"/>
    <x v="7"/>
    <x v="15"/>
    <s v="NO5_A1"/>
    <x v="19"/>
    <x v="180"/>
    <x v="0"/>
    <x v="22"/>
    <n v="0.76752295106079305"/>
    <n v="280.14587713718902"/>
    <n v="1008.52515769388"/>
  </r>
  <r>
    <x v="0"/>
    <x v="0"/>
    <x v="0"/>
    <x v="7"/>
    <x v="15"/>
    <s v="NO5_A1"/>
    <x v="19"/>
    <x v="180"/>
    <x v="0"/>
    <x v="23"/>
    <n v="0.24989281782292999"/>
    <n v="91.210878505369394"/>
    <n v="328.35916261932999"/>
  </r>
  <r>
    <x v="0"/>
    <x v="0"/>
    <x v="0"/>
    <x v="7"/>
    <x v="15"/>
    <s v="NO5_A1"/>
    <x v="2"/>
    <x v="175"/>
    <x v="0"/>
    <x v="0"/>
    <n v="37.562724014336901"/>
    <n v="13710.394265233001"/>
    <n v="49357.419354838697"/>
  </r>
  <r>
    <x v="0"/>
    <x v="0"/>
    <x v="0"/>
    <x v="7"/>
    <x v="15"/>
    <s v="NO5_A1"/>
    <x v="2"/>
    <x v="175"/>
    <x v="0"/>
    <x v="1"/>
    <n v="37.562724014336901"/>
    <n v="13710.394265233001"/>
    <n v="49357.419354838697"/>
  </r>
  <r>
    <x v="0"/>
    <x v="0"/>
    <x v="0"/>
    <x v="7"/>
    <x v="15"/>
    <s v="NO5_A1"/>
    <x v="2"/>
    <x v="175"/>
    <x v="0"/>
    <x v="2"/>
    <n v="37.562724014336901"/>
    <n v="13710.394265233001"/>
    <n v="49357.419354838697"/>
  </r>
  <r>
    <x v="0"/>
    <x v="0"/>
    <x v="0"/>
    <x v="7"/>
    <x v="15"/>
    <s v="NO5_A1"/>
    <x v="2"/>
    <x v="175"/>
    <x v="0"/>
    <x v="3"/>
    <n v="37.562724014336901"/>
    <n v="13710.394265233001"/>
    <n v="49357.419354838697"/>
  </r>
  <r>
    <x v="0"/>
    <x v="0"/>
    <x v="0"/>
    <x v="7"/>
    <x v="15"/>
    <s v="NO5_A1"/>
    <x v="2"/>
    <x v="175"/>
    <x v="0"/>
    <x v="4"/>
    <n v="37.562724014336901"/>
    <n v="13710.394265233001"/>
    <n v="49357.419354838697"/>
  </r>
  <r>
    <x v="0"/>
    <x v="0"/>
    <x v="0"/>
    <x v="7"/>
    <x v="15"/>
    <s v="NO5_A1"/>
    <x v="2"/>
    <x v="175"/>
    <x v="0"/>
    <x v="5"/>
    <n v="37.562724014336901"/>
    <n v="13710.394265233001"/>
    <n v="49357.419354838697"/>
  </r>
  <r>
    <x v="0"/>
    <x v="0"/>
    <x v="0"/>
    <x v="7"/>
    <x v="15"/>
    <s v="NO5_A1"/>
    <x v="2"/>
    <x v="175"/>
    <x v="0"/>
    <x v="6"/>
    <n v="37.562724014336901"/>
    <n v="13710.394265233001"/>
    <n v="49357.419354838697"/>
  </r>
  <r>
    <x v="0"/>
    <x v="0"/>
    <x v="0"/>
    <x v="7"/>
    <x v="15"/>
    <s v="NO5_A1"/>
    <x v="2"/>
    <x v="175"/>
    <x v="0"/>
    <x v="7"/>
    <n v="37.562724014336901"/>
    <n v="13710.394265233001"/>
    <n v="49357.419354838697"/>
  </r>
  <r>
    <x v="0"/>
    <x v="0"/>
    <x v="0"/>
    <x v="7"/>
    <x v="15"/>
    <s v="NO5_A1"/>
    <x v="2"/>
    <x v="175"/>
    <x v="0"/>
    <x v="8"/>
    <n v="37.562724014336901"/>
    <n v="13710.394265233001"/>
    <n v="49357.419354838697"/>
  </r>
  <r>
    <x v="0"/>
    <x v="0"/>
    <x v="0"/>
    <x v="7"/>
    <x v="15"/>
    <s v="NO5_A1"/>
    <x v="2"/>
    <x v="175"/>
    <x v="0"/>
    <x v="9"/>
    <n v="37.562724014336901"/>
    <n v="13710.394265233001"/>
    <n v="49357.419354838697"/>
  </r>
  <r>
    <x v="0"/>
    <x v="0"/>
    <x v="0"/>
    <x v="7"/>
    <x v="15"/>
    <s v="NO5_A1"/>
    <x v="2"/>
    <x v="175"/>
    <x v="0"/>
    <x v="10"/>
    <n v="37.562724014336901"/>
    <n v="13710.394265233001"/>
    <n v="49357.419354838697"/>
  </r>
  <r>
    <x v="0"/>
    <x v="0"/>
    <x v="0"/>
    <x v="7"/>
    <x v="15"/>
    <s v="NO5_A1"/>
    <x v="2"/>
    <x v="175"/>
    <x v="0"/>
    <x v="11"/>
    <n v="37.562724014336901"/>
    <n v="13710.394265233001"/>
    <n v="49357.419354838697"/>
  </r>
  <r>
    <x v="0"/>
    <x v="0"/>
    <x v="0"/>
    <x v="7"/>
    <x v="15"/>
    <s v="NO5_A1"/>
    <x v="2"/>
    <x v="175"/>
    <x v="0"/>
    <x v="12"/>
    <n v="37.562724014336901"/>
    <n v="13710.394265233001"/>
    <n v="49357.419354838697"/>
  </r>
  <r>
    <x v="0"/>
    <x v="0"/>
    <x v="0"/>
    <x v="7"/>
    <x v="15"/>
    <s v="NO5_A1"/>
    <x v="2"/>
    <x v="175"/>
    <x v="0"/>
    <x v="13"/>
    <n v="37.562724014336901"/>
    <n v="13710.394265233001"/>
    <n v="49357.419354838697"/>
  </r>
  <r>
    <x v="0"/>
    <x v="0"/>
    <x v="0"/>
    <x v="7"/>
    <x v="15"/>
    <s v="NO5_A1"/>
    <x v="2"/>
    <x v="175"/>
    <x v="0"/>
    <x v="14"/>
    <n v="37.562724014336901"/>
    <n v="13710.394265233001"/>
    <n v="49357.419354838697"/>
  </r>
  <r>
    <x v="0"/>
    <x v="0"/>
    <x v="0"/>
    <x v="7"/>
    <x v="15"/>
    <s v="NO5_A1"/>
    <x v="2"/>
    <x v="175"/>
    <x v="0"/>
    <x v="15"/>
    <n v="37.562724014336901"/>
    <n v="13710.394265233001"/>
    <n v="49357.419354838697"/>
  </r>
  <r>
    <x v="0"/>
    <x v="0"/>
    <x v="0"/>
    <x v="7"/>
    <x v="15"/>
    <s v="NO5_A1"/>
    <x v="2"/>
    <x v="175"/>
    <x v="0"/>
    <x v="16"/>
    <n v="37.562724014336901"/>
    <n v="13710.394265233001"/>
    <n v="49357.419354838697"/>
  </r>
  <r>
    <x v="0"/>
    <x v="0"/>
    <x v="0"/>
    <x v="7"/>
    <x v="15"/>
    <s v="NO5_A1"/>
    <x v="2"/>
    <x v="175"/>
    <x v="0"/>
    <x v="17"/>
    <n v="37.562724014336901"/>
    <n v="13710.394265233001"/>
    <n v="49357.419354838697"/>
  </r>
  <r>
    <x v="0"/>
    <x v="0"/>
    <x v="0"/>
    <x v="7"/>
    <x v="15"/>
    <s v="NO5_A1"/>
    <x v="2"/>
    <x v="175"/>
    <x v="0"/>
    <x v="18"/>
    <n v="37.562724014336901"/>
    <n v="13710.394265233001"/>
    <n v="49357.419354838697"/>
  </r>
  <r>
    <x v="0"/>
    <x v="0"/>
    <x v="0"/>
    <x v="7"/>
    <x v="15"/>
    <s v="NO5_A1"/>
    <x v="2"/>
    <x v="175"/>
    <x v="0"/>
    <x v="19"/>
    <n v="37.562724014336901"/>
    <n v="13710.394265233001"/>
    <n v="49357.419354838697"/>
  </r>
  <r>
    <x v="0"/>
    <x v="0"/>
    <x v="0"/>
    <x v="7"/>
    <x v="15"/>
    <s v="NO5_A1"/>
    <x v="2"/>
    <x v="175"/>
    <x v="0"/>
    <x v="20"/>
    <n v="37.562724014336901"/>
    <n v="13710.394265233001"/>
    <n v="49357.419354838697"/>
  </r>
  <r>
    <x v="0"/>
    <x v="0"/>
    <x v="0"/>
    <x v="7"/>
    <x v="15"/>
    <s v="NO5_A1"/>
    <x v="2"/>
    <x v="175"/>
    <x v="0"/>
    <x v="21"/>
    <n v="37.562724014336901"/>
    <n v="13710.394265233001"/>
    <n v="49357.419354838697"/>
  </r>
  <r>
    <x v="0"/>
    <x v="0"/>
    <x v="0"/>
    <x v="7"/>
    <x v="15"/>
    <s v="NO5_A1"/>
    <x v="2"/>
    <x v="175"/>
    <x v="0"/>
    <x v="22"/>
    <n v="37.562724014336901"/>
    <n v="13710.394265233001"/>
    <n v="49357.419354838697"/>
  </r>
  <r>
    <x v="0"/>
    <x v="0"/>
    <x v="0"/>
    <x v="7"/>
    <x v="15"/>
    <s v="NO5_A1"/>
    <x v="2"/>
    <x v="175"/>
    <x v="0"/>
    <x v="23"/>
    <n v="37.562724014336901"/>
    <n v="13710.394265233001"/>
    <n v="49357.419354838697"/>
  </r>
  <r>
    <x v="0"/>
    <x v="0"/>
    <x v="0"/>
    <x v="7"/>
    <x v="15"/>
    <s v="NO5_A1"/>
    <x v="9"/>
    <x v="128"/>
    <x v="0"/>
    <x v="0"/>
    <n v="154.193241885916"/>
    <n v="56280.5332883593"/>
    <n v="202609.91983809401"/>
  </r>
  <r>
    <x v="0"/>
    <x v="0"/>
    <x v="0"/>
    <x v="7"/>
    <x v="15"/>
    <s v="NO5_A1"/>
    <x v="9"/>
    <x v="128"/>
    <x v="0"/>
    <x v="1"/>
    <n v="154.193241885916"/>
    <n v="56280.5332883593"/>
    <n v="202609.91983809401"/>
  </r>
  <r>
    <x v="0"/>
    <x v="0"/>
    <x v="0"/>
    <x v="7"/>
    <x v="15"/>
    <s v="NO5_A1"/>
    <x v="9"/>
    <x v="128"/>
    <x v="0"/>
    <x v="2"/>
    <n v="154.193241885916"/>
    <n v="56280.5332883593"/>
    <n v="202609.91983809401"/>
  </r>
  <r>
    <x v="0"/>
    <x v="0"/>
    <x v="0"/>
    <x v="7"/>
    <x v="15"/>
    <s v="NO5_A1"/>
    <x v="9"/>
    <x v="128"/>
    <x v="0"/>
    <x v="3"/>
    <n v="154.193241885916"/>
    <n v="56280.5332883593"/>
    <n v="202609.91983809401"/>
  </r>
  <r>
    <x v="0"/>
    <x v="0"/>
    <x v="0"/>
    <x v="7"/>
    <x v="15"/>
    <s v="NO5_A1"/>
    <x v="9"/>
    <x v="128"/>
    <x v="0"/>
    <x v="4"/>
    <n v="154.193241885916"/>
    <n v="56280.5332883593"/>
    <n v="202609.91983809401"/>
  </r>
  <r>
    <x v="0"/>
    <x v="0"/>
    <x v="0"/>
    <x v="7"/>
    <x v="15"/>
    <s v="NO5_A1"/>
    <x v="9"/>
    <x v="128"/>
    <x v="0"/>
    <x v="5"/>
    <n v="154.193241885916"/>
    <n v="56280.5332883593"/>
    <n v="202609.91983809401"/>
  </r>
  <r>
    <x v="0"/>
    <x v="0"/>
    <x v="0"/>
    <x v="7"/>
    <x v="15"/>
    <s v="NO5_A1"/>
    <x v="9"/>
    <x v="128"/>
    <x v="0"/>
    <x v="6"/>
    <n v="154.193241885916"/>
    <n v="56280.5332883593"/>
    <n v="202609.91983809401"/>
  </r>
  <r>
    <x v="0"/>
    <x v="0"/>
    <x v="0"/>
    <x v="7"/>
    <x v="15"/>
    <s v="NO5_A1"/>
    <x v="9"/>
    <x v="128"/>
    <x v="0"/>
    <x v="7"/>
    <n v="154.193241885916"/>
    <n v="56280.5332883593"/>
    <n v="202609.91983809401"/>
  </r>
  <r>
    <x v="0"/>
    <x v="0"/>
    <x v="0"/>
    <x v="7"/>
    <x v="15"/>
    <s v="NO5_A1"/>
    <x v="9"/>
    <x v="128"/>
    <x v="0"/>
    <x v="8"/>
    <n v="154.193241885916"/>
    <n v="56280.5332883593"/>
    <n v="202609.91983809401"/>
  </r>
  <r>
    <x v="0"/>
    <x v="0"/>
    <x v="0"/>
    <x v="7"/>
    <x v="15"/>
    <s v="NO5_A1"/>
    <x v="9"/>
    <x v="128"/>
    <x v="0"/>
    <x v="9"/>
    <n v="154.193241885916"/>
    <n v="56280.5332883593"/>
    <n v="202609.91983809401"/>
  </r>
  <r>
    <x v="0"/>
    <x v="0"/>
    <x v="0"/>
    <x v="7"/>
    <x v="15"/>
    <s v="NO5_A1"/>
    <x v="9"/>
    <x v="128"/>
    <x v="0"/>
    <x v="10"/>
    <n v="154.193241885916"/>
    <n v="56280.5332883593"/>
    <n v="202609.91983809401"/>
  </r>
  <r>
    <x v="0"/>
    <x v="0"/>
    <x v="0"/>
    <x v="7"/>
    <x v="15"/>
    <s v="NO5_A1"/>
    <x v="9"/>
    <x v="128"/>
    <x v="0"/>
    <x v="11"/>
    <n v="154.193241885916"/>
    <n v="56280.5332883593"/>
    <n v="202609.91983809401"/>
  </r>
  <r>
    <x v="0"/>
    <x v="0"/>
    <x v="0"/>
    <x v="7"/>
    <x v="15"/>
    <s v="NO5_A1"/>
    <x v="9"/>
    <x v="128"/>
    <x v="0"/>
    <x v="12"/>
    <n v="154.193241885916"/>
    <n v="56280.5332883593"/>
    <n v="202609.91983809401"/>
  </r>
  <r>
    <x v="0"/>
    <x v="0"/>
    <x v="0"/>
    <x v="7"/>
    <x v="15"/>
    <s v="NO5_A1"/>
    <x v="9"/>
    <x v="128"/>
    <x v="0"/>
    <x v="13"/>
    <n v="154.193241885916"/>
    <n v="56280.5332883593"/>
    <n v="202609.91983809401"/>
  </r>
  <r>
    <x v="0"/>
    <x v="0"/>
    <x v="0"/>
    <x v="7"/>
    <x v="15"/>
    <s v="NO5_A1"/>
    <x v="9"/>
    <x v="128"/>
    <x v="0"/>
    <x v="14"/>
    <n v="154.193241885916"/>
    <n v="56280.5332883593"/>
    <n v="202609.91983809401"/>
  </r>
  <r>
    <x v="0"/>
    <x v="0"/>
    <x v="0"/>
    <x v="7"/>
    <x v="15"/>
    <s v="NO5_A1"/>
    <x v="9"/>
    <x v="128"/>
    <x v="0"/>
    <x v="15"/>
    <n v="154.193241885916"/>
    <n v="56280.5332883593"/>
    <n v="202609.91983809401"/>
  </r>
  <r>
    <x v="0"/>
    <x v="0"/>
    <x v="0"/>
    <x v="7"/>
    <x v="15"/>
    <s v="NO5_A1"/>
    <x v="9"/>
    <x v="128"/>
    <x v="0"/>
    <x v="16"/>
    <n v="154.193241885916"/>
    <n v="56280.5332883593"/>
    <n v="202609.91983809401"/>
  </r>
  <r>
    <x v="0"/>
    <x v="0"/>
    <x v="0"/>
    <x v="7"/>
    <x v="15"/>
    <s v="NO5_A1"/>
    <x v="9"/>
    <x v="128"/>
    <x v="0"/>
    <x v="17"/>
    <n v="154.193241885916"/>
    <n v="56280.5332883593"/>
    <n v="202609.91983809401"/>
  </r>
  <r>
    <x v="0"/>
    <x v="0"/>
    <x v="0"/>
    <x v="7"/>
    <x v="15"/>
    <s v="NO5_A1"/>
    <x v="9"/>
    <x v="128"/>
    <x v="0"/>
    <x v="18"/>
    <n v="154.193241885916"/>
    <n v="56280.5332883593"/>
    <n v="202609.91983809401"/>
  </r>
  <r>
    <x v="0"/>
    <x v="0"/>
    <x v="0"/>
    <x v="7"/>
    <x v="15"/>
    <s v="NO5_A1"/>
    <x v="9"/>
    <x v="128"/>
    <x v="0"/>
    <x v="19"/>
    <n v="154.193241885916"/>
    <n v="56280.5332883593"/>
    <n v="202609.91983809401"/>
  </r>
  <r>
    <x v="0"/>
    <x v="0"/>
    <x v="0"/>
    <x v="7"/>
    <x v="15"/>
    <s v="NO5_A1"/>
    <x v="9"/>
    <x v="128"/>
    <x v="0"/>
    <x v="20"/>
    <n v="154.193241885916"/>
    <n v="56280.5332883593"/>
    <n v="202609.91983809401"/>
  </r>
  <r>
    <x v="0"/>
    <x v="0"/>
    <x v="0"/>
    <x v="7"/>
    <x v="15"/>
    <s v="NO5_A1"/>
    <x v="9"/>
    <x v="128"/>
    <x v="0"/>
    <x v="21"/>
    <n v="154.193241885916"/>
    <n v="56280.5332883593"/>
    <n v="202609.91983809401"/>
  </r>
  <r>
    <x v="0"/>
    <x v="0"/>
    <x v="0"/>
    <x v="7"/>
    <x v="15"/>
    <s v="NO5_A1"/>
    <x v="9"/>
    <x v="128"/>
    <x v="0"/>
    <x v="22"/>
    <n v="154.193241885916"/>
    <n v="56280.5332883593"/>
    <n v="202609.91983809401"/>
  </r>
  <r>
    <x v="0"/>
    <x v="0"/>
    <x v="0"/>
    <x v="7"/>
    <x v="15"/>
    <s v="NO5_A1"/>
    <x v="9"/>
    <x v="128"/>
    <x v="0"/>
    <x v="23"/>
    <n v="154.193241885916"/>
    <n v="56280.5332883593"/>
    <n v="202609.91983809401"/>
  </r>
  <r>
    <x v="0"/>
    <x v="0"/>
    <x v="0"/>
    <x v="7"/>
    <x v="15"/>
    <s v="NO5_A1"/>
    <x v="9"/>
    <x v="129"/>
    <x v="0"/>
    <x v="0"/>
    <n v="598.193241885916"/>
    <n v="218340.533288359"/>
    <n v="786025.91983809404"/>
  </r>
  <r>
    <x v="0"/>
    <x v="0"/>
    <x v="0"/>
    <x v="7"/>
    <x v="15"/>
    <s v="NO5_A1"/>
    <x v="9"/>
    <x v="129"/>
    <x v="0"/>
    <x v="1"/>
    <n v="598.193241885916"/>
    <n v="218340.533288359"/>
    <n v="786025.91983809404"/>
  </r>
  <r>
    <x v="0"/>
    <x v="0"/>
    <x v="0"/>
    <x v="7"/>
    <x v="15"/>
    <s v="NO5_A1"/>
    <x v="9"/>
    <x v="129"/>
    <x v="0"/>
    <x v="2"/>
    <n v="598.193241885916"/>
    <n v="218340.533288359"/>
    <n v="786025.91983809404"/>
  </r>
  <r>
    <x v="0"/>
    <x v="0"/>
    <x v="0"/>
    <x v="7"/>
    <x v="15"/>
    <s v="NO5_A1"/>
    <x v="9"/>
    <x v="129"/>
    <x v="0"/>
    <x v="3"/>
    <n v="598.193241885916"/>
    <n v="218340.533288359"/>
    <n v="786025.91983809404"/>
  </r>
  <r>
    <x v="0"/>
    <x v="0"/>
    <x v="0"/>
    <x v="7"/>
    <x v="15"/>
    <s v="NO5_A1"/>
    <x v="9"/>
    <x v="129"/>
    <x v="0"/>
    <x v="4"/>
    <n v="598.193241885916"/>
    <n v="218340.533288359"/>
    <n v="786025.91983809404"/>
  </r>
  <r>
    <x v="0"/>
    <x v="0"/>
    <x v="0"/>
    <x v="7"/>
    <x v="15"/>
    <s v="NO5_A1"/>
    <x v="9"/>
    <x v="129"/>
    <x v="0"/>
    <x v="5"/>
    <n v="598.193241885916"/>
    <n v="218340.533288359"/>
    <n v="786025.91983809404"/>
  </r>
  <r>
    <x v="0"/>
    <x v="0"/>
    <x v="0"/>
    <x v="7"/>
    <x v="15"/>
    <s v="NO5_A1"/>
    <x v="9"/>
    <x v="129"/>
    <x v="0"/>
    <x v="6"/>
    <n v="598.193241885916"/>
    <n v="218340.533288359"/>
    <n v="786025.91983809404"/>
  </r>
  <r>
    <x v="0"/>
    <x v="0"/>
    <x v="0"/>
    <x v="7"/>
    <x v="15"/>
    <s v="NO5_A1"/>
    <x v="9"/>
    <x v="129"/>
    <x v="0"/>
    <x v="7"/>
    <n v="598.193241885916"/>
    <n v="218340.533288359"/>
    <n v="786025.91983809404"/>
  </r>
  <r>
    <x v="0"/>
    <x v="0"/>
    <x v="0"/>
    <x v="7"/>
    <x v="15"/>
    <s v="NO5_A1"/>
    <x v="9"/>
    <x v="129"/>
    <x v="0"/>
    <x v="8"/>
    <n v="598.193241885916"/>
    <n v="218340.533288359"/>
    <n v="786025.91983809404"/>
  </r>
  <r>
    <x v="0"/>
    <x v="0"/>
    <x v="0"/>
    <x v="7"/>
    <x v="15"/>
    <s v="NO5_A1"/>
    <x v="9"/>
    <x v="129"/>
    <x v="0"/>
    <x v="9"/>
    <n v="598.193241885916"/>
    <n v="218340.533288359"/>
    <n v="786025.91983809404"/>
  </r>
  <r>
    <x v="0"/>
    <x v="0"/>
    <x v="0"/>
    <x v="7"/>
    <x v="15"/>
    <s v="NO5_A1"/>
    <x v="9"/>
    <x v="129"/>
    <x v="0"/>
    <x v="10"/>
    <n v="598.193241885916"/>
    <n v="218340.533288359"/>
    <n v="786025.91983809404"/>
  </r>
  <r>
    <x v="0"/>
    <x v="0"/>
    <x v="0"/>
    <x v="7"/>
    <x v="15"/>
    <s v="NO5_A1"/>
    <x v="9"/>
    <x v="129"/>
    <x v="0"/>
    <x v="11"/>
    <n v="598.193241885916"/>
    <n v="218340.533288359"/>
    <n v="786025.91983809404"/>
  </r>
  <r>
    <x v="0"/>
    <x v="0"/>
    <x v="0"/>
    <x v="7"/>
    <x v="15"/>
    <s v="NO5_A1"/>
    <x v="9"/>
    <x v="129"/>
    <x v="0"/>
    <x v="12"/>
    <n v="598.193241885916"/>
    <n v="218340.533288359"/>
    <n v="786025.91983809404"/>
  </r>
  <r>
    <x v="0"/>
    <x v="0"/>
    <x v="0"/>
    <x v="7"/>
    <x v="15"/>
    <s v="NO5_A1"/>
    <x v="9"/>
    <x v="129"/>
    <x v="0"/>
    <x v="13"/>
    <n v="598.193241885916"/>
    <n v="218340.533288359"/>
    <n v="786025.91983809404"/>
  </r>
  <r>
    <x v="0"/>
    <x v="0"/>
    <x v="0"/>
    <x v="7"/>
    <x v="15"/>
    <s v="NO5_A1"/>
    <x v="9"/>
    <x v="129"/>
    <x v="0"/>
    <x v="14"/>
    <n v="598.193241885916"/>
    <n v="218340.533288359"/>
    <n v="786025.91983809404"/>
  </r>
  <r>
    <x v="0"/>
    <x v="0"/>
    <x v="0"/>
    <x v="7"/>
    <x v="15"/>
    <s v="NO5_A1"/>
    <x v="9"/>
    <x v="129"/>
    <x v="0"/>
    <x v="15"/>
    <n v="598.193241885916"/>
    <n v="218340.533288359"/>
    <n v="786025.91983809404"/>
  </r>
  <r>
    <x v="0"/>
    <x v="0"/>
    <x v="0"/>
    <x v="7"/>
    <x v="15"/>
    <s v="NO5_A1"/>
    <x v="9"/>
    <x v="129"/>
    <x v="0"/>
    <x v="16"/>
    <n v="598.193241885916"/>
    <n v="218340.533288359"/>
    <n v="786025.91983809404"/>
  </r>
  <r>
    <x v="0"/>
    <x v="0"/>
    <x v="0"/>
    <x v="7"/>
    <x v="15"/>
    <s v="NO5_A1"/>
    <x v="9"/>
    <x v="129"/>
    <x v="0"/>
    <x v="17"/>
    <n v="598.193241885916"/>
    <n v="218340.533288359"/>
    <n v="786025.91983809404"/>
  </r>
  <r>
    <x v="0"/>
    <x v="0"/>
    <x v="0"/>
    <x v="7"/>
    <x v="15"/>
    <s v="NO5_A1"/>
    <x v="9"/>
    <x v="129"/>
    <x v="0"/>
    <x v="18"/>
    <n v="598.193241885916"/>
    <n v="218340.533288359"/>
    <n v="786025.91983809404"/>
  </r>
  <r>
    <x v="0"/>
    <x v="0"/>
    <x v="0"/>
    <x v="7"/>
    <x v="15"/>
    <s v="NO5_A1"/>
    <x v="9"/>
    <x v="129"/>
    <x v="0"/>
    <x v="19"/>
    <n v="598.193241885916"/>
    <n v="218340.533288359"/>
    <n v="786025.91983809404"/>
  </r>
  <r>
    <x v="0"/>
    <x v="0"/>
    <x v="0"/>
    <x v="7"/>
    <x v="15"/>
    <s v="NO5_A1"/>
    <x v="9"/>
    <x v="129"/>
    <x v="0"/>
    <x v="20"/>
    <n v="598.193241885916"/>
    <n v="218340.533288359"/>
    <n v="786025.91983809404"/>
  </r>
  <r>
    <x v="0"/>
    <x v="0"/>
    <x v="0"/>
    <x v="7"/>
    <x v="15"/>
    <s v="NO5_A1"/>
    <x v="9"/>
    <x v="129"/>
    <x v="0"/>
    <x v="21"/>
    <n v="598.193241885916"/>
    <n v="218340.533288359"/>
    <n v="786025.91983809404"/>
  </r>
  <r>
    <x v="0"/>
    <x v="0"/>
    <x v="0"/>
    <x v="7"/>
    <x v="15"/>
    <s v="NO5_A1"/>
    <x v="9"/>
    <x v="129"/>
    <x v="0"/>
    <x v="22"/>
    <n v="598.193241885916"/>
    <n v="218340.533288359"/>
    <n v="786025.91983809404"/>
  </r>
  <r>
    <x v="0"/>
    <x v="0"/>
    <x v="0"/>
    <x v="7"/>
    <x v="15"/>
    <s v="NO5_A1"/>
    <x v="9"/>
    <x v="129"/>
    <x v="0"/>
    <x v="23"/>
    <n v="598.193241885916"/>
    <n v="218340.533288359"/>
    <n v="786025.91983809404"/>
  </r>
  <r>
    <x v="0"/>
    <x v="0"/>
    <x v="0"/>
    <x v="7"/>
    <x v="15"/>
    <s v="NO5_A1"/>
    <x v="9"/>
    <x v="130"/>
    <x v="0"/>
    <x v="0"/>
    <n v="598.193241885916"/>
    <n v="218340.533288359"/>
    <n v="786025.91983809404"/>
  </r>
  <r>
    <x v="0"/>
    <x v="0"/>
    <x v="0"/>
    <x v="7"/>
    <x v="15"/>
    <s v="NO5_A1"/>
    <x v="9"/>
    <x v="130"/>
    <x v="0"/>
    <x v="1"/>
    <n v="598.193241885916"/>
    <n v="218340.533288359"/>
    <n v="786025.91983809404"/>
  </r>
  <r>
    <x v="0"/>
    <x v="0"/>
    <x v="0"/>
    <x v="7"/>
    <x v="15"/>
    <s v="NO5_A1"/>
    <x v="9"/>
    <x v="130"/>
    <x v="0"/>
    <x v="2"/>
    <n v="598.193241885916"/>
    <n v="218340.533288359"/>
    <n v="786025.91983809404"/>
  </r>
  <r>
    <x v="0"/>
    <x v="0"/>
    <x v="0"/>
    <x v="7"/>
    <x v="15"/>
    <s v="NO5_A1"/>
    <x v="9"/>
    <x v="130"/>
    <x v="0"/>
    <x v="3"/>
    <n v="598.193241885916"/>
    <n v="218340.533288359"/>
    <n v="786025.91983809404"/>
  </r>
  <r>
    <x v="0"/>
    <x v="0"/>
    <x v="0"/>
    <x v="7"/>
    <x v="15"/>
    <s v="NO5_A1"/>
    <x v="9"/>
    <x v="130"/>
    <x v="0"/>
    <x v="4"/>
    <n v="598.193241885916"/>
    <n v="218340.533288359"/>
    <n v="786025.91983809404"/>
  </r>
  <r>
    <x v="0"/>
    <x v="0"/>
    <x v="0"/>
    <x v="7"/>
    <x v="15"/>
    <s v="NO5_A1"/>
    <x v="9"/>
    <x v="130"/>
    <x v="0"/>
    <x v="5"/>
    <n v="598.193241885916"/>
    <n v="218340.533288359"/>
    <n v="786025.91983809404"/>
  </r>
  <r>
    <x v="0"/>
    <x v="0"/>
    <x v="0"/>
    <x v="7"/>
    <x v="15"/>
    <s v="NO5_A1"/>
    <x v="9"/>
    <x v="130"/>
    <x v="0"/>
    <x v="6"/>
    <n v="598.193241885916"/>
    <n v="218340.533288359"/>
    <n v="786025.91983809404"/>
  </r>
  <r>
    <x v="0"/>
    <x v="0"/>
    <x v="0"/>
    <x v="7"/>
    <x v="15"/>
    <s v="NO5_A1"/>
    <x v="9"/>
    <x v="130"/>
    <x v="0"/>
    <x v="7"/>
    <n v="598.193241885916"/>
    <n v="218340.533288359"/>
    <n v="786025.91983809404"/>
  </r>
  <r>
    <x v="0"/>
    <x v="0"/>
    <x v="0"/>
    <x v="7"/>
    <x v="15"/>
    <s v="NO5_A1"/>
    <x v="9"/>
    <x v="130"/>
    <x v="0"/>
    <x v="8"/>
    <n v="598.193241885916"/>
    <n v="218340.533288359"/>
    <n v="786025.91983809404"/>
  </r>
  <r>
    <x v="0"/>
    <x v="0"/>
    <x v="0"/>
    <x v="7"/>
    <x v="15"/>
    <s v="NO5_A1"/>
    <x v="9"/>
    <x v="130"/>
    <x v="0"/>
    <x v="9"/>
    <n v="598.193241885916"/>
    <n v="218340.533288359"/>
    <n v="786025.91983809404"/>
  </r>
  <r>
    <x v="0"/>
    <x v="0"/>
    <x v="0"/>
    <x v="7"/>
    <x v="15"/>
    <s v="NO5_A1"/>
    <x v="9"/>
    <x v="130"/>
    <x v="0"/>
    <x v="10"/>
    <n v="598.193241885916"/>
    <n v="218340.533288359"/>
    <n v="786025.91983809404"/>
  </r>
  <r>
    <x v="0"/>
    <x v="0"/>
    <x v="0"/>
    <x v="7"/>
    <x v="15"/>
    <s v="NO5_A1"/>
    <x v="9"/>
    <x v="130"/>
    <x v="0"/>
    <x v="11"/>
    <n v="598.193241885916"/>
    <n v="218340.533288359"/>
    <n v="786025.91983809404"/>
  </r>
  <r>
    <x v="0"/>
    <x v="0"/>
    <x v="0"/>
    <x v="7"/>
    <x v="15"/>
    <s v="NO5_A1"/>
    <x v="9"/>
    <x v="130"/>
    <x v="0"/>
    <x v="12"/>
    <n v="598.193241885916"/>
    <n v="218340.533288359"/>
    <n v="786025.91983809404"/>
  </r>
  <r>
    <x v="0"/>
    <x v="0"/>
    <x v="0"/>
    <x v="7"/>
    <x v="15"/>
    <s v="NO5_A1"/>
    <x v="9"/>
    <x v="130"/>
    <x v="0"/>
    <x v="13"/>
    <n v="598.193241885916"/>
    <n v="218340.533288359"/>
    <n v="786025.91983809404"/>
  </r>
  <r>
    <x v="0"/>
    <x v="0"/>
    <x v="0"/>
    <x v="7"/>
    <x v="15"/>
    <s v="NO5_A1"/>
    <x v="9"/>
    <x v="130"/>
    <x v="0"/>
    <x v="14"/>
    <n v="598.193241885916"/>
    <n v="218340.533288359"/>
    <n v="786025.91983809404"/>
  </r>
  <r>
    <x v="0"/>
    <x v="0"/>
    <x v="0"/>
    <x v="7"/>
    <x v="15"/>
    <s v="NO5_A1"/>
    <x v="9"/>
    <x v="130"/>
    <x v="0"/>
    <x v="15"/>
    <n v="598.193241885916"/>
    <n v="218340.533288359"/>
    <n v="786025.91983809404"/>
  </r>
  <r>
    <x v="0"/>
    <x v="0"/>
    <x v="0"/>
    <x v="7"/>
    <x v="15"/>
    <s v="NO5_A1"/>
    <x v="9"/>
    <x v="130"/>
    <x v="0"/>
    <x v="16"/>
    <n v="598.193241885916"/>
    <n v="218340.533288359"/>
    <n v="786025.91983809404"/>
  </r>
  <r>
    <x v="0"/>
    <x v="0"/>
    <x v="0"/>
    <x v="7"/>
    <x v="15"/>
    <s v="NO5_A1"/>
    <x v="9"/>
    <x v="130"/>
    <x v="0"/>
    <x v="17"/>
    <n v="598.193241885916"/>
    <n v="218340.533288359"/>
    <n v="786025.91983809404"/>
  </r>
  <r>
    <x v="0"/>
    <x v="0"/>
    <x v="0"/>
    <x v="7"/>
    <x v="15"/>
    <s v="NO5_A1"/>
    <x v="9"/>
    <x v="130"/>
    <x v="0"/>
    <x v="18"/>
    <n v="598.193241885916"/>
    <n v="218340.533288359"/>
    <n v="786025.91983809404"/>
  </r>
  <r>
    <x v="0"/>
    <x v="0"/>
    <x v="0"/>
    <x v="7"/>
    <x v="15"/>
    <s v="NO5_A1"/>
    <x v="9"/>
    <x v="130"/>
    <x v="0"/>
    <x v="19"/>
    <n v="598.193241885916"/>
    <n v="218340.533288359"/>
    <n v="786025.91983809404"/>
  </r>
  <r>
    <x v="0"/>
    <x v="0"/>
    <x v="0"/>
    <x v="7"/>
    <x v="15"/>
    <s v="NO5_A1"/>
    <x v="9"/>
    <x v="130"/>
    <x v="0"/>
    <x v="20"/>
    <n v="598.193241885916"/>
    <n v="218340.533288359"/>
    <n v="786025.91983809404"/>
  </r>
  <r>
    <x v="0"/>
    <x v="0"/>
    <x v="0"/>
    <x v="7"/>
    <x v="15"/>
    <s v="NO5_A1"/>
    <x v="9"/>
    <x v="130"/>
    <x v="0"/>
    <x v="21"/>
    <n v="598.193241885916"/>
    <n v="218340.533288359"/>
    <n v="786025.91983809404"/>
  </r>
  <r>
    <x v="0"/>
    <x v="0"/>
    <x v="0"/>
    <x v="7"/>
    <x v="15"/>
    <s v="NO5_A1"/>
    <x v="9"/>
    <x v="130"/>
    <x v="0"/>
    <x v="22"/>
    <n v="598.193241885916"/>
    <n v="218340.533288359"/>
    <n v="786025.91983809404"/>
  </r>
  <r>
    <x v="0"/>
    <x v="0"/>
    <x v="0"/>
    <x v="7"/>
    <x v="15"/>
    <s v="NO5_A1"/>
    <x v="9"/>
    <x v="130"/>
    <x v="0"/>
    <x v="23"/>
    <n v="598.193241885916"/>
    <n v="218340.533288359"/>
    <n v="786025.91983809404"/>
  </r>
  <r>
    <x v="0"/>
    <x v="0"/>
    <x v="0"/>
    <x v="7"/>
    <x v="15"/>
    <s v="NO5_A1"/>
    <x v="9"/>
    <x v="131"/>
    <x v="0"/>
    <x v="0"/>
    <n v="598.193241885916"/>
    <n v="218340.533288359"/>
    <n v="786025.91983809404"/>
  </r>
  <r>
    <x v="0"/>
    <x v="0"/>
    <x v="0"/>
    <x v="7"/>
    <x v="15"/>
    <s v="NO5_A1"/>
    <x v="9"/>
    <x v="131"/>
    <x v="0"/>
    <x v="1"/>
    <n v="598.193241885916"/>
    <n v="218340.533288359"/>
    <n v="786025.91983809404"/>
  </r>
  <r>
    <x v="0"/>
    <x v="0"/>
    <x v="0"/>
    <x v="7"/>
    <x v="15"/>
    <s v="NO5_A1"/>
    <x v="9"/>
    <x v="131"/>
    <x v="0"/>
    <x v="2"/>
    <n v="598.193241885916"/>
    <n v="218340.533288359"/>
    <n v="786025.91983809404"/>
  </r>
  <r>
    <x v="0"/>
    <x v="0"/>
    <x v="0"/>
    <x v="7"/>
    <x v="15"/>
    <s v="NO5_A1"/>
    <x v="9"/>
    <x v="131"/>
    <x v="0"/>
    <x v="3"/>
    <n v="598.193241885916"/>
    <n v="218340.533288359"/>
    <n v="786025.91983809404"/>
  </r>
  <r>
    <x v="0"/>
    <x v="0"/>
    <x v="0"/>
    <x v="7"/>
    <x v="15"/>
    <s v="NO5_A1"/>
    <x v="9"/>
    <x v="131"/>
    <x v="0"/>
    <x v="4"/>
    <n v="598.193241885916"/>
    <n v="218340.533288359"/>
    <n v="786025.91983809404"/>
  </r>
  <r>
    <x v="0"/>
    <x v="0"/>
    <x v="0"/>
    <x v="7"/>
    <x v="15"/>
    <s v="NO5_A1"/>
    <x v="9"/>
    <x v="131"/>
    <x v="0"/>
    <x v="5"/>
    <n v="598.193241885916"/>
    <n v="218340.533288359"/>
    <n v="786025.91983809404"/>
  </r>
  <r>
    <x v="0"/>
    <x v="0"/>
    <x v="0"/>
    <x v="7"/>
    <x v="15"/>
    <s v="NO5_A1"/>
    <x v="9"/>
    <x v="131"/>
    <x v="0"/>
    <x v="6"/>
    <n v="598.193241885916"/>
    <n v="218340.533288359"/>
    <n v="786025.91983809404"/>
  </r>
  <r>
    <x v="0"/>
    <x v="0"/>
    <x v="0"/>
    <x v="7"/>
    <x v="15"/>
    <s v="NO5_A1"/>
    <x v="9"/>
    <x v="131"/>
    <x v="0"/>
    <x v="7"/>
    <n v="598.193241885916"/>
    <n v="218340.533288359"/>
    <n v="786025.91983809404"/>
  </r>
  <r>
    <x v="0"/>
    <x v="0"/>
    <x v="0"/>
    <x v="7"/>
    <x v="15"/>
    <s v="NO5_A1"/>
    <x v="9"/>
    <x v="131"/>
    <x v="0"/>
    <x v="8"/>
    <n v="598.193241885916"/>
    <n v="218340.533288359"/>
    <n v="786025.91983809404"/>
  </r>
  <r>
    <x v="0"/>
    <x v="0"/>
    <x v="0"/>
    <x v="7"/>
    <x v="15"/>
    <s v="NO5_A1"/>
    <x v="9"/>
    <x v="131"/>
    <x v="0"/>
    <x v="9"/>
    <n v="598.193241885916"/>
    <n v="218340.533288359"/>
    <n v="786025.91983809404"/>
  </r>
  <r>
    <x v="0"/>
    <x v="0"/>
    <x v="0"/>
    <x v="7"/>
    <x v="15"/>
    <s v="NO5_A1"/>
    <x v="9"/>
    <x v="131"/>
    <x v="0"/>
    <x v="10"/>
    <n v="598.193241885916"/>
    <n v="218340.533288359"/>
    <n v="786025.91983809404"/>
  </r>
  <r>
    <x v="0"/>
    <x v="0"/>
    <x v="0"/>
    <x v="7"/>
    <x v="15"/>
    <s v="NO5_A1"/>
    <x v="9"/>
    <x v="131"/>
    <x v="0"/>
    <x v="11"/>
    <n v="598.193241885916"/>
    <n v="218340.533288359"/>
    <n v="786025.91983809404"/>
  </r>
  <r>
    <x v="0"/>
    <x v="0"/>
    <x v="0"/>
    <x v="7"/>
    <x v="15"/>
    <s v="NO5_A1"/>
    <x v="9"/>
    <x v="131"/>
    <x v="0"/>
    <x v="12"/>
    <n v="598.193241885916"/>
    <n v="218340.533288359"/>
    <n v="786025.91983809404"/>
  </r>
  <r>
    <x v="0"/>
    <x v="0"/>
    <x v="0"/>
    <x v="7"/>
    <x v="15"/>
    <s v="NO5_A1"/>
    <x v="9"/>
    <x v="131"/>
    <x v="0"/>
    <x v="13"/>
    <n v="598.193241885916"/>
    <n v="218340.533288359"/>
    <n v="786025.91983809404"/>
  </r>
  <r>
    <x v="0"/>
    <x v="0"/>
    <x v="0"/>
    <x v="7"/>
    <x v="15"/>
    <s v="NO5_A1"/>
    <x v="9"/>
    <x v="131"/>
    <x v="0"/>
    <x v="14"/>
    <n v="598.193241885916"/>
    <n v="218340.533288359"/>
    <n v="786025.91983809404"/>
  </r>
  <r>
    <x v="0"/>
    <x v="0"/>
    <x v="0"/>
    <x v="7"/>
    <x v="15"/>
    <s v="NO5_A1"/>
    <x v="9"/>
    <x v="131"/>
    <x v="0"/>
    <x v="15"/>
    <n v="598.193241885916"/>
    <n v="218340.533288359"/>
    <n v="786025.91983809404"/>
  </r>
  <r>
    <x v="0"/>
    <x v="0"/>
    <x v="0"/>
    <x v="7"/>
    <x v="15"/>
    <s v="NO5_A1"/>
    <x v="9"/>
    <x v="131"/>
    <x v="0"/>
    <x v="16"/>
    <n v="598.193241885916"/>
    <n v="218340.533288359"/>
    <n v="786025.91983809404"/>
  </r>
  <r>
    <x v="0"/>
    <x v="0"/>
    <x v="0"/>
    <x v="7"/>
    <x v="15"/>
    <s v="NO5_A1"/>
    <x v="9"/>
    <x v="131"/>
    <x v="0"/>
    <x v="17"/>
    <n v="598.193241885916"/>
    <n v="218340.533288359"/>
    <n v="786025.91983809404"/>
  </r>
  <r>
    <x v="0"/>
    <x v="0"/>
    <x v="0"/>
    <x v="7"/>
    <x v="15"/>
    <s v="NO5_A1"/>
    <x v="9"/>
    <x v="131"/>
    <x v="0"/>
    <x v="18"/>
    <n v="598.193241885916"/>
    <n v="218340.533288359"/>
    <n v="786025.91983809404"/>
  </r>
  <r>
    <x v="0"/>
    <x v="0"/>
    <x v="0"/>
    <x v="7"/>
    <x v="15"/>
    <s v="NO5_A1"/>
    <x v="9"/>
    <x v="131"/>
    <x v="0"/>
    <x v="19"/>
    <n v="598.193241885916"/>
    <n v="218340.533288359"/>
    <n v="786025.91983809404"/>
  </r>
  <r>
    <x v="0"/>
    <x v="0"/>
    <x v="0"/>
    <x v="7"/>
    <x v="15"/>
    <s v="NO5_A1"/>
    <x v="9"/>
    <x v="131"/>
    <x v="0"/>
    <x v="20"/>
    <n v="598.193241885916"/>
    <n v="218340.533288359"/>
    <n v="786025.91983809404"/>
  </r>
  <r>
    <x v="0"/>
    <x v="0"/>
    <x v="0"/>
    <x v="7"/>
    <x v="15"/>
    <s v="NO5_A1"/>
    <x v="9"/>
    <x v="131"/>
    <x v="0"/>
    <x v="21"/>
    <n v="598.193241885916"/>
    <n v="218340.533288359"/>
    <n v="786025.91983809404"/>
  </r>
  <r>
    <x v="0"/>
    <x v="0"/>
    <x v="0"/>
    <x v="7"/>
    <x v="15"/>
    <s v="NO5_A1"/>
    <x v="9"/>
    <x v="131"/>
    <x v="0"/>
    <x v="22"/>
    <n v="598.193241885916"/>
    <n v="218340.533288359"/>
    <n v="786025.91983809404"/>
  </r>
  <r>
    <x v="0"/>
    <x v="0"/>
    <x v="0"/>
    <x v="7"/>
    <x v="15"/>
    <s v="NO5_A1"/>
    <x v="9"/>
    <x v="131"/>
    <x v="0"/>
    <x v="23"/>
    <n v="598.193241885916"/>
    <n v="218340.533288359"/>
    <n v="786025.91983809404"/>
  </r>
  <r>
    <x v="0"/>
    <x v="0"/>
    <x v="0"/>
    <x v="7"/>
    <x v="15"/>
    <s v="NO5_A1"/>
    <x v="9"/>
    <x v="132"/>
    <x v="0"/>
    <x v="0"/>
    <n v="317.036705651104"/>
    <n v="115718.397562653"/>
    <n v="416586.23122555099"/>
  </r>
  <r>
    <x v="0"/>
    <x v="0"/>
    <x v="0"/>
    <x v="7"/>
    <x v="15"/>
    <s v="NO5_A1"/>
    <x v="9"/>
    <x v="132"/>
    <x v="0"/>
    <x v="1"/>
    <n v="274.29378355475399"/>
    <n v="100117.23099748501"/>
    <n v="360422.03159094602"/>
  </r>
  <r>
    <x v="0"/>
    <x v="0"/>
    <x v="0"/>
    <x v="7"/>
    <x v="15"/>
    <s v="NO5_A1"/>
    <x v="9"/>
    <x v="132"/>
    <x v="0"/>
    <x v="2"/>
    <n v="258.21711652673798"/>
    <n v="94249.247532259396"/>
    <n v="339297.29111613397"/>
  </r>
  <r>
    <x v="0"/>
    <x v="0"/>
    <x v="0"/>
    <x v="7"/>
    <x v="15"/>
    <s v="NO5_A1"/>
    <x v="9"/>
    <x v="132"/>
    <x v="0"/>
    <x v="3"/>
    <n v="272.42827262900602"/>
    <n v="99436.319509587105"/>
    <n v="357970.75023451401"/>
  </r>
  <r>
    <x v="0"/>
    <x v="0"/>
    <x v="0"/>
    <x v="7"/>
    <x v="15"/>
    <s v="NO5_A1"/>
    <x v="9"/>
    <x v="132"/>
    <x v="0"/>
    <x v="4"/>
    <n v="302.66920442933502"/>
    <n v="110474.259616707"/>
    <n v="397707.33462014602"/>
  </r>
  <r>
    <x v="0"/>
    <x v="0"/>
    <x v="0"/>
    <x v="7"/>
    <x v="15"/>
    <s v="NO5_A1"/>
    <x v="9"/>
    <x v="132"/>
    <x v="0"/>
    <x v="5"/>
    <n v="364.81334250630402"/>
    <n v="133156.87001480101"/>
    <n v="479364.73205328302"/>
  </r>
  <r>
    <x v="0"/>
    <x v="0"/>
    <x v="0"/>
    <x v="7"/>
    <x v="15"/>
    <s v="NO5_A1"/>
    <x v="9"/>
    <x v="132"/>
    <x v="0"/>
    <x v="6"/>
    <n v="475.88260353387199"/>
    <n v="173697.150289863"/>
    <n v="625309.74104350805"/>
  </r>
  <r>
    <x v="0"/>
    <x v="0"/>
    <x v="0"/>
    <x v="7"/>
    <x v="15"/>
    <s v="NO5_A1"/>
    <x v="9"/>
    <x v="132"/>
    <x v="0"/>
    <x v="7"/>
    <n v="598.193241885916"/>
    <n v="218340.533288359"/>
    <n v="786025.91983809404"/>
  </r>
  <r>
    <x v="0"/>
    <x v="0"/>
    <x v="0"/>
    <x v="7"/>
    <x v="15"/>
    <s v="NO5_A1"/>
    <x v="9"/>
    <x v="132"/>
    <x v="0"/>
    <x v="8"/>
    <n v="598.193241885916"/>
    <n v="218340.533288359"/>
    <n v="786025.91983809404"/>
  </r>
  <r>
    <x v="0"/>
    <x v="0"/>
    <x v="0"/>
    <x v="7"/>
    <x v="15"/>
    <s v="NO5_A1"/>
    <x v="9"/>
    <x v="132"/>
    <x v="0"/>
    <x v="9"/>
    <n v="598.193241885916"/>
    <n v="218340.533288359"/>
    <n v="786025.91983809404"/>
  </r>
  <r>
    <x v="0"/>
    <x v="0"/>
    <x v="0"/>
    <x v="7"/>
    <x v="15"/>
    <s v="NO5_A1"/>
    <x v="9"/>
    <x v="132"/>
    <x v="0"/>
    <x v="10"/>
    <n v="598.193241885916"/>
    <n v="218340.533288359"/>
    <n v="786025.91983809404"/>
  </r>
  <r>
    <x v="0"/>
    <x v="0"/>
    <x v="0"/>
    <x v="7"/>
    <x v="15"/>
    <s v="NO5_A1"/>
    <x v="9"/>
    <x v="132"/>
    <x v="0"/>
    <x v="11"/>
    <n v="598.193241885916"/>
    <n v="218340.533288359"/>
    <n v="786025.91983809404"/>
  </r>
  <r>
    <x v="0"/>
    <x v="0"/>
    <x v="0"/>
    <x v="7"/>
    <x v="15"/>
    <s v="NO5_A1"/>
    <x v="9"/>
    <x v="132"/>
    <x v="0"/>
    <x v="12"/>
    <n v="598.193241885916"/>
    <n v="218340.533288359"/>
    <n v="786025.91983809404"/>
  </r>
  <r>
    <x v="0"/>
    <x v="0"/>
    <x v="0"/>
    <x v="7"/>
    <x v="15"/>
    <s v="NO5_A1"/>
    <x v="9"/>
    <x v="132"/>
    <x v="0"/>
    <x v="13"/>
    <n v="598.193241885916"/>
    <n v="218340.533288359"/>
    <n v="786025.91983809404"/>
  </r>
  <r>
    <x v="0"/>
    <x v="0"/>
    <x v="0"/>
    <x v="7"/>
    <x v="15"/>
    <s v="NO5_A1"/>
    <x v="9"/>
    <x v="132"/>
    <x v="0"/>
    <x v="14"/>
    <n v="598.193241885916"/>
    <n v="218340.533288359"/>
    <n v="786025.91983809404"/>
  </r>
  <r>
    <x v="0"/>
    <x v="0"/>
    <x v="0"/>
    <x v="7"/>
    <x v="15"/>
    <s v="NO5_A1"/>
    <x v="9"/>
    <x v="132"/>
    <x v="0"/>
    <x v="15"/>
    <n v="598.193241885916"/>
    <n v="218340.533288359"/>
    <n v="786025.91983809404"/>
  </r>
  <r>
    <x v="0"/>
    <x v="0"/>
    <x v="0"/>
    <x v="7"/>
    <x v="15"/>
    <s v="NO5_A1"/>
    <x v="9"/>
    <x v="132"/>
    <x v="0"/>
    <x v="16"/>
    <n v="598.193241885916"/>
    <n v="218340.533288359"/>
    <n v="786025.91983809404"/>
  </r>
  <r>
    <x v="0"/>
    <x v="0"/>
    <x v="0"/>
    <x v="7"/>
    <x v="15"/>
    <s v="NO5_A1"/>
    <x v="9"/>
    <x v="132"/>
    <x v="0"/>
    <x v="17"/>
    <n v="585.74295431398696"/>
    <n v="213796.17832460499"/>
    <n v="769666.24196857901"/>
  </r>
  <r>
    <x v="0"/>
    <x v="0"/>
    <x v="0"/>
    <x v="7"/>
    <x v="15"/>
    <s v="NO5_A1"/>
    <x v="9"/>
    <x v="132"/>
    <x v="0"/>
    <x v="18"/>
    <n v="567.87894891996598"/>
    <n v="207275.81635578701"/>
    <n v="746192.93888083496"/>
  </r>
  <r>
    <x v="0"/>
    <x v="0"/>
    <x v="0"/>
    <x v="7"/>
    <x v="15"/>
    <s v="NO5_A1"/>
    <x v="9"/>
    <x v="132"/>
    <x v="0"/>
    <x v="19"/>
    <n v="560.46801213251604"/>
    <n v="204570.82442836801"/>
    <n v="736454.96794212598"/>
  </r>
  <r>
    <x v="0"/>
    <x v="0"/>
    <x v="0"/>
    <x v="7"/>
    <x v="15"/>
    <s v="NO5_A1"/>
    <x v="9"/>
    <x v="132"/>
    <x v="0"/>
    <x v="20"/>
    <n v="537.852709113125"/>
    <n v="196316.238826291"/>
    <n v="706738.45977464702"/>
  </r>
  <r>
    <x v="0"/>
    <x v="0"/>
    <x v="0"/>
    <x v="7"/>
    <x v="15"/>
    <s v="NO5_A1"/>
    <x v="9"/>
    <x v="132"/>
    <x v="0"/>
    <x v="21"/>
    <n v="478.61833797763802"/>
    <n v="174695.693361838"/>
    <n v="628904.49610261596"/>
  </r>
  <r>
    <x v="0"/>
    <x v="0"/>
    <x v="0"/>
    <x v="7"/>
    <x v="15"/>
    <s v="NO5_A1"/>
    <x v="9"/>
    <x v="132"/>
    <x v="0"/>
    <x v="22"/>
    <n v="435.882716869224"/>
    <n v="159097.19165726699"/>
    <n v="572749.88996616099"/>
  </r>
  <r>
    <x v="0"/>
    <x v="0"/>
    <x v="0"/>
    <x v="7"/>
    <x v="15"/>
    <s v="NO5_A1"/>
    <x v="9"/>
    <x v="132"/>
    <x v="0"/>
    <x v="23"/>
    <n v="362.43926690953498"/>
    <n v="132290.33242198001"/>
    <n v="476245.19671912899"/>
  </r>
  <r>
    <x v="0"/>
    <x v="0"/>
    <x v="0"/>
    <x v="7"/>
    <x v="15"/>
    <s v="NO5_A1"/>
    <x v="9"/>
    <x v="133"/>
    <x v="0"/>
    <x v="7"/>
    <n v="33.753702910762499"/>
    <n v="12320.101562428301"/>
    <n v="44352.365624741899"/>
  </r>
  <r>
    <x v="0"/>
    <x v="0"/>
    <x v="0"/>
    <x v="7"/>
    <x v="15"/>
    <s v="NO5_A1"/>
    <x v="9"/>
    <x v="133"/>
    <x v="0"/>
    <x v="8"/>
    <n v="98.463697489904007"/>
    <n v="35939.249583814999"/>
    <n v="129381.298501734"/>
  </r>
  <r>
    <x v="0"/>
    <x v="0"/>
    <x v="0"/>
    <x v="7"/>
    <x v="15"/>
    <s v="NO5_A1"/>
    <x v="9"/>
    <x v="133"/>
    <x v="0"/>
    <x v="9"/>
    <n v="76.317368799525894"/>
    <n v="27855.839611826901"/>
    <n v="100281.022602577"/>
  </r>
  <r>
    <x v="0"/>
    <x v="0"/>
    <x v="0"/>
    <x v="7"/>
    <x v="15"/>
    <s v="NO5_A1"/>
    <x v="9"/>
    <x v="133"/>
    <x v="0"/>
    <x v="10"/>
    <n v="56.805690905077398"/>
    <n v="20734.077180353299"/>
    <n v="74642.677849271699"/>
  </r>
  <r>
    <x v="0"/>
    <x v="0"/>
    <x v="0"/>
    <x v="7"/>
    <x v="15"/>
    <s v="NO5_A1"/>
    <x v="9"/>
    <x v="133"/>
    <x v="0"/>
    <x v="11"/>
    <n v="45.211437191042002"/>
    <n v="16502.174574730299"/>
    <n v="59407.828469029198"/>
  </r>
  <r>
    <x v="0"/>
    <x v="0"/>
    <x v="0"/>
    <x v="7"/>
    <x v="15"/>
    <s v="NO5_A1"/>
    <x v="9"/>
    <x v="133"/>
    <x v="0"/>
    <x v="12"/>
    <n v="19.667610698190401"/>
    <n v="7178.6779048395001"/>
    <n v="25843.240457422198"/>
  </r>
  <r>
    <x v="0"/>
    <x v="0"/>
    <x v="0"/>
    <x v="7"/>
    <x v="15"/>
    <s v="NO5_A1"/>
    <x v="9"/>
    <x v="133"/>
    <x v="0"/>
    <x v="13"/>
    <n v="20.018822125435701"/>
    <n v="7306.8700757840297"/>
    <n v="26304.732272822501"/>
  </r>
  <r>
    <x v="0"/>
    <x v="0"/>
    <x v="0"/>
    <x v="7"/>
    <x v="15"/>
    <s v="NO5_A1"/>
    <x v="9"/>
    <x v="133"/>
    <x v="0"/>
    <x v="14"/>
    <n v="12.834032875527599"/>
    <n v="4684.4219995675603"/>
    <n v="16863.9191984432"/>
  </r>
  <r>
    <x v="0"/>
    <x v="0"/>
    <x v="0"/>
    <x v="7"/>
    <x v="15"/>
    <s v="NO5_A1"/>
    <x v="9"/>
    <x v="133"/>
    <x v="0"/>
    <x v="15"/>
    <n v="6.6184735134238499"/>
    <n v="2415.7428323997101"/>
    <n v="8696.67419663894"/>
  </r>
  <r>
    <x v="0"/>
    <x v="0"/>
    <x v="0"/>
    <x v="7"/>
    <x v="15"/>
    <s v="NO5_A1"/>
    <x v="9"/>
    <x v="133"/>
    <x v="0"/>
    <x v="16"/>
    <n v="23.279800494162401"/>
    <n v="8497.1271803692707"/>
    <n v="30589.6578493294"/>
  </r>
  <r>
    <x v="0"/>
    <x v="0"/>
    <x v="0"/>
    <x v="7"/>
    <x v="15"/>
    <s v="NO5_A1"/>
    <x v="9"/>
    <x v="178"/>
    <x v="0"/>
    <x v="0"/>
    <n v="444"/>
    <n v="162060"/>
    <n v="583416"/>
  </r>
  <r>
    <x v="0"/>
    <x v="0"/>
    <x v="0"/>
    <x v="7"/>
    <x v="15"/>
    <s v="NO5_A1"/>
    <x v="9"/>
    <x v="178"/>
    <x v="0"/>
    <x v="1"/>
    <n v="444"/>
    <n v="162060"/>
    <n v="583416"/>
  </r>
  <r>
    <x v="0"/>
    <x v="0"/>
    <x v="0"/>
    <x v="7"/>
    <x v="15"/>
    <s v="NO5_A1"/>
    <x v="9"/>
    <x v="178"/>
    <x v="0"/>
    <x v="2"/>
    <n v="444"/>
    <n v="162060"/>
    <n v="583416"/>
  </r>
  <r>
    <x v="0"/>
    <x v="0"/>
    <x v="0"/>
    <x v="7"/>
    <x v="15"/>
    <s v="NO5_A1"/>
    <x v="9"/>
    <x v="178"/>
    <x v="0"/>
    <x v="3"/>
    <n v="444"/>
    <n v="162060"/>
    <n v="583416"/>
  </r>
  <r>
    <x v="0"/>
    <x v="0"/>
    <x v="0"/>
    <x v="7"/>
    <x v="15"/>
    <s v="NO5_A1"/>
    <x v="9"/>
    <x v="178"/>
    <x v="0"/>
    <x v="4"/>
    <n v="444"/>
    <n v="162060"/>
    <n v="583416"/>
  </r>
  <r>
    <x v="0"/>
    <x v="0"/>
    <x v="0"/>
    <x v="7"/>
    <x v="15"/>
    <s v="NO5_A1"/>
    <x v="9"/>
    <x v="178"/>
    <x v="0"/>
    <x v="5"/>
    <n v="444"/>
    <n v="162060"/>
    <n v="583416"/>
  </r>
  <r>
    <x v="0"/>
    <x v="0"/>
    <x v="0"/>
    <x v="7"/>
    <x v="15"/>
    <s v="NO5_A1"/>
    <x v="9"/>
    <x v="178"/>
    <x v="0"/>
    <x v="6"/>
    <n v="444"/>
    <n v="162060"/>
    <n v="583416"/>
  </r>
  <r>
    <x v="0"/>
    <x v="0"/>
    <x v="0"/>
    <x v="7"/>
    <x v="15"/>
    <s v="NO5_A1"/>
    <x v="9"/>
    <x v="178"/>
    <x v="0"/>
    <x v="7"/>
    <n v="444"/>
    <n v="162060"/>
    <n v="583416"/>
  </r>
  <r>
    <x v="0"/>
    <x v="0"/>
    <x v="0"/>
    <x v="7"/>
    <x v="15"/>
    <s v="NO5_A1"/>
    <x v="9"/>
    <x v="178"/>
    <x v="0"/>
    <x v="8"/>
    <n v="444"/>
    <n v="162060"/>
    <n v="583416"/>
  </r>
  <r>
    <x v="0"/>
    <x v="0"/>
    <x v="0"/>
    <x v="7"/>
    <x v="15"/>
    <s v="NO5_A1"/>
    <x v="9"/>
    <x v="178"/>
    <x v="0"/>
    <x v="9"/>
    <n v="444"/>
    <n v="162060"/>
    <n v="583416"/>
  </r>
  <r>
    <x v="0"/>
    <x v="0"/>
    <x v="0"/>
    <x v="7"/>
    <x v="15"/>
    <s v="NO5_A1"/>
    <x v="9"/>
    <x v="178"/>
    <x v="0"/>
    <x v="10"/>
    <n v="444"/>
    <n v="162060"/>
    <n v="583416"/>
  </r>
  <r>
    <x v="0"/>
    <x v="0"/>
    <x v="0"/>
    <x v="7"/>
    <x v="15"/>
    <s v="NO5_A1"/>
    <x v="9"/>
    <x v="178"/>
    <x v="0"/>
    <x v="11"/>
    <n v="444"/>
    <n v="162060"/>
    <n v="583416"/>
  </r>
  <r>
    <x v="0"/>
    <x v="0"/>
    <x v="0"/>
    <x v="7"/>
    <x v="15"/>
    <s v="NO5_A1"/>
    <x v="9"/>
    <x v="178"/>
    <x v="0"/>
    <x v="12"/>
    <n v="444"/>
    <n v="162060"/>
    <n v="583416"/>
  </r>
  <r>
    <x v="0"/>
    <x v="0"/>
    <x v="0"/>
    <x v="7"/>
    <x v="15"/>
    <s v="NO5_A1"/>
    <x v="9"/>
    <x v="178"/>
    <x v="0"/>
    <x v="13"/>
    <n v="444"/>
    <n v="162060"/>
    <n v="583416"/>
  </r>
  <r>
    <x v="0"/>
    <x v="0"/>
    <x v="0"/>
    <x v="7"/>
    <x v="15"/>
    <s v="NO5_A1"/>
    <x v="9"/>
    <x v="178"/>
    <x v="0"/>
    <x v="14"/>
    <n v="444"/>
    <n v="162060"/>
    <n v="583416"/>
  </r>
  <r>
    <x v="0"/>
    <x v="0"/>
    <x v="0"/>
    <x v="7"/>
    <x v="15"/>
    <s v="NO5_A1"/>
    <x v="9"/>
    <x v="178"/>
    <x v="0"/>
    <x v="15"/>
    <n v="444"/>
    <n v="162060"/>
    <n v="583416"/>
  </r>
  <r>
    <x v="0"/>
    <x v="0"/>
    <x v="0"/>
    <x v="7"/>
    <x v="15"/>
    <s v="NO5_A1"/>
    <x v="9"/>
    <x v="178"/>
    <x v="0"/>
    <x v="16"/>
    <n v="444"/>
    <n v="162060"/>
    <n v="583416"/>
  </r>
  <r>
    <x v="0"/>
    <x v="0"/>
    <x v="0"/>
    <x v="7"/>
    <x v="15"/>
    <s v="NO5_A1"/>
    <x v="9"/>
    <x v="178"/>
    <x v="0"/>
    <x v="17"/>
    <n v="444"/>
    <n v="162060"/>
    <n v="583416"/>
  </r>
  <r>
    <x v="0"/>
    <x v="0"/>
    <x v="0"/>
    <x v="7"/>
    <x v="15"/>
    <s v="NO5_A1"/>
    <x v="9"/>
    <x v="178"/>
    <x v="0"/>
    <x v="18"/>
    <n v="444"/>
    <n v="162060"/>
    <n v="583416"/>
  </r>
  <r>
    <x v="0"/>
    <x v="0"/>
    <x v="0"/>
    <x v="7"/>
    <x v="15"/>
    <s v="NO5_A1"/>
    <x v="9"/>
    <x v="178"/>
    <x v="0"/>
    <x v="19"/>
    <n v="444"/>
    <n v="162060"/>
    <n v="583416"/>
  </r>
  <r>
    <x v="0"/>
    <x v="0"/>
    <x v="0"/>
    <x v="7"/>
    <x v="15"/>
    <s v="NO5_A1"/>
    <x v="9"/>
    <x v="178"/>
    <x v="0"/>
    <x v="20"/>
    <n v="444"/>
    <n v="162060"/>
    <n v="583416"/>
  </r>
  <r>
    <x v="0"/>
    <x v="0"/>
    <x v="0"/>
    <x v="7"/>
    <x v="15"/>
    <s v="NO5_A1"/>
    <x v="9"/>
    <x v="178"/>
    <x v="0"/>
    <x v="21"/>
    <n v="444"/>
    <n v="162060"/>
    <n v="583416"/>
  </r>
  <r>
    <x v="0"/>
    <x v="0"/>
    <x v="0"/>
    <x v="7"/>
    <x v="15"/>
    <s v="NO5_A1"/>
    <x v="9"/>
    <x v="178"/>
    <x v="0"/>
    <x v="22"/>
    <n v="444"/>
    <n v="162060"/>
    <n v="583416"/>
  </r>
  <r>
    <x v="0"/>
    <x v="0"/>
    <x v="0"/>
    <x v="7"/>
    <x v="15"/>
    <s v="NO5_A1"/>
    <x v="9"/>
    <x v="178"/>
    <x v="0"/>
    <x v="23"/>
    <n v="444"/>
    <n v="162060"/>
    <n v="583416"/>
  </r>
  <r>
    <x v="0"/>
    <x v="0"/>
    <x v="0"/>
    <x v="7"/>
    <x v="15"/>
    <s v="NO5_A1"/>
    <x v="9"/>
    <x v="57"/>
    <x v="0"/>
    <x v="0"/>
    <n v="1077.1597801871801"/>
    <n v="393163.31976832001"/>
    <n v="1415387.9511659499"/>
  </r>
  <r>
    <x v="0"/>
    <x v="0"/>
    <x v="0"/>
    <x v="7"/>
    <x v="15"/>
    <s v="NO5_A1"/>
    <x v="9"/>
    <x v="57"/>
    <x v="0"/>
    <x v="1"/>
    <n v="1077.1597801871801"/>
    <n v="393163.31976832001"/>
    <n v="1415387.9511659499"/>
  </r>
  <r>
    <x v="0"/>
    <x v="0"/>
    <x v="0"/>
    <x v="7"/>
    <x v="15"/>
    <s v="NO5_A1"/>
    <x v="9"/>
    <x v="57"/>
    <x v="0"/>
    <x v="2"/>
    <n v="1077.1597801871801"/>
    <n v="393163.31976832001"/>
    <n v="1415387.9511659499"/>
  </r>
  <r>
    <x v="0"/>
    <x v="0"/>
    <x v="0"/>
    <x v="7"/>
    <x v="15"/>
    <s v="NO5_A1"/>
    <x v="9"/>
    <x v="57"/>
    <x v="0"/>
    <x v="3"/>
    <n v="1077.1597801871801"/>
    <n v="393163.31976832001"/>
    <n v="1415387.9511659499"/>
  </r>
  <r>
    <x v="0"/>
    <x v="0"/>
    <x v="0"/>
    <x v="7"/>
    <x v="15"/>
    <s v="NO5_A1"/>
    <x v="9"/>
    <x v="57"/>
    <x v="0"/>
    <x v="4"/>
    <n v="1077.1597801871801"/>
    <n v="393163.31976832001"/>
    <n v="1415387.9511659499"/>
  </r>
  <r>
    <x v="0"/>
    <x v="0"/>
    <x v="0"/>
    <x v="7"/>
    <x v="15"/>
    <s v="NO5_A1"/>
    <x v="9"/>
    <x v="57"/>
    <x v="0"/>
    <x v="5"/>
    <n v="1077.1597801871801"/>
    <n v="393163.31976832001"/>
    <n v="1415387.9511659499"/>
  </r>
  <r>
    <x v="0"/>
    <x v="0"/>
    <x v="0"/>
    <x v="7"/>
    <x v="15"/>
    <s v="NO5_A1"/>
    <x v="9"/>
    <x v="57"/>
    <x v="0"/>
    <x v="6"/>
    <n v="1077.1597801871801"/>
    <n v="393163.31976832001"/>
    <n v="1415387.9511659499"/>
  </r>
  <r>
    <x v="0"/>
    <x v="0"/>
    <x v="0"/>
    <x v="7"/>
    <x v="15"/>
    <s v="NO5_A1"/>
    <x v="9"/>
    <x v="57"/>
    <x v="0"/>
    <x v="7"/>
    <n v="1077.1597801871801"/>
    <n v="393163.31976832001"/>
    <n v="1415387.9511659499"/>
  </r>
  <r>
    <x v="0"/>
    <x v="0"/>
    <x v="0"/>
    <x v="7"/>
    <x v="15"/>
    <s v="NO5_A1"/>
    <x v="9"/>
    <x v="57"/>
    <x v="0"/>
    <x v="8"/>
    <n v="1077.1597801871801"/>
    <n v="393163.31976832001"/>
    <n v="1415387.9511659499"/>
  </r>
  <r>
    <x v="0"/>
    <x v="0"/>
    <x v="0"/>
    <x v="7"/>
    <x v="15"/>
    <s v="NO5_A1"/>
    <x v="9"/>
    <x v="57"/>
    <x v="0"/>
    <x v="9"/>
    <n v="1077.1597801871801"/>
    <n v="393163.31976832001"/>
    <n v="1415387.9511659499"/>
  </r>
  <r>
    <x v="0"/>
    <x v="0"/>
    <x v="0"/>
    <x v="7"/>
    <x v="15"/>
    <s v="NO5_A1"/>
    <x v="9"/>
    <x v="57"/>
    <x v="0"/>
    <x v="10"/>
    <n v="1077.1597801871801"/>
    <n v="393163.31976832001"/>
    <n v="1415387.9511659499"/>
  </r>
  <r>
    <x v="0"/>
    <x v="0"/>
    <x v="0"/>
    <x v="7"/>
    <x v="15"/>
    <s v="NO5_A1"/>
    <x v="9"/>
    <x v="57"/>
    <x v="0"/>
    <x v="11"/>
    <n v="1077.1597801871801"/>
    <n v="393163.31976832001"/>
    <n v="1415387.9511659499"/>
  </r>
  <r>
    <x v="0"/>
    <x v="0"/>
    <x v="0"/>
    <x v="7"/>
    <x v="15"/>
    <s v="NO5_A1"/>
    <x v="9"/>
    <x v="57"/>
    <x v="0"/>
    <x v="12"/>
    <n v="1077.1597801871801"/>
    <n v="393163.31976832001"/>
    <n v="1415387.9511659499"/>
  </r>
  <r>
    <x v="0"/>
    <x v="0"/>
    <x v="0"/>
    <x v="7"/>
    <x v="15"/>
    <s v="NO5_A1"/>
    <x v="9"/>
    <x v="57"/>
    <x v="0"/>
    <x v="13"/>
    <n v="1077.1597801871801"/>
    <n v="393163.31976832001"/>
    <n v="1415387.9511659499"/>
  </r>
  <r>
    <x v="0"/>
    <x v="0"/>
    <x v="0"/>
    <x v="7"/>
    <x v="15"/>
    <s v="NO5_A1"/>
    <x v="9"/>
    <x v="57"/>
    <x v="0"/>
    <x v="14"/>
    <n v="1077.1597801871801"/>
    <n v="393163.31976832001"/>
    <n v="1415387.9511659499"/>
  </r>
  <r>
    <x v="0"/>
    <x v="0"/>
    <x v="0"/>
    <x v="7"/>
    <x v="15"/>
    <s v="NO5_A1"/>
    <x v="9"/>
    <x v="57"/>
    <x v="0"/>
    <x v="15"/>
    <n v="1077.1597801871801"/>
    <n v="393163.31976832001"/>
    <n v="1415387.9511659499"/>
  </r>
  <r>
    <x v="0"/>
    <x v="0"/>
    <x v="0"/>
    <x v="7"/>
    <x v="15"/>
    <s v="NO5_A1"/>
    <x v="9"/>
    <x v="57"/>
    <x v="0"/>
    <x v="16"/>
    <n v="1077.1597801871801"/>
    <n v="393163.31976832001"/>
    <n v="1415387.9511659499"/>
  </r>
  <r>
    <x v="0"/>
    <x v="0"/>
    <x v="0"/>
    <x v="7"/>
    <x v="15"/>
    <s v="NO5_A1"/>
    <x v="9"/>
    <x v="57"/>
    <x v="0"/>
    <x v="17"/>
    <n v="1077.1597801871801"/>
    <n v="393163.31976832001"/>
    <n v="1415387.9511659499"/>
  </r>
  <r>
    <x v="0"/>
    <x v="0"/>
    <x v="0"/>
    <x v="7"/>
    <x v="15"/>
    <s v="NO5_A1"/>
    <x v="9"/>
    <x v="57"/>
    <x v="0"/>
    <x v="18"/>
    <n v="1077.1597801871801"/>
    <n v="393163.31976832001"/>
    <n v="1415387.9511659499"/>
  </r>
  <r>
    <x v="0"/>
    <x v="0"/>
    <x v="0"/>
    <x v="7"/>
    <x v="15"/>
    <s v="NO5_A1"/>
    <x v="9"/>
    <x v="57"/>
    <x v="0"/>
    <x v="19"/>
    <n v="1077.1597801871801"/>
    <n v="393163.31976832001"/>
    <n v="1415387.9511659499"/>
  </r>
  <r>
    <x v="0"/>
    <x v="0"/>
    <x v="0"/>
    <x v="7"/>
    <x v="15"/>
    <s v="NO5_A1"/>
    <x v="9"/>
    <x v="57"/>
    <x v="0"/>
    <x v="20"/>
    <n v="1077.1597801871801"/>
    <n v="393163.31976832001"/>
    <n v="1415387.9511659499"/>
  </r>
  <r>
    <x v="0"/>
    <x v="0"/>
    <x v="0"/>
    <x v="7"/>
    <x v="15"/>
    <s v="NO5_A1"/>
    <x v="9"/>
    <x v="57"/>
    <x v="0"/>
    <x v="21"/>
    <n v="1077.1597801871801"/>
    <n v="393163.31976832001"/>
    <n v="1415387.9511659499"/>
  </r>
  <r>
    <x v="0"/>
    <x v="0"/>
    <x v="0"/>
    <x v="7"/>
    <x v="15"/>
    <s v="NO5_A1"/>
    <x v="9"/>
    <x v="57"/>
    <x v="0"/>
    <x v="22"/>
    <n v="1077.1597801871801"/>
    <n v="393163.31976832001"/>
    <n v="1415387.9511659499"/>
  </r>
  <r>
    <x v="0"/>
    <x v="0"/>
    <x v="0"/>
    <x v="7"/>
    <x v="15"/>
    <s v="NO5_A1"/>
    <x v="9"/>
    <x v="57"/>
    <x v="0"/>
    <x v="23"/>
    <n v="1077.1597801871801"/>
    <n v="393163.31976832001"/>
    <n v="1415387.9511659499"/>
  </r>
  <r>
    <x v="0"/>
    <x v="0"/>
    <x v="0"/>
    <x v="8"/>
    <x v="16"/>
    <s v="PL_A"/>
    <x v="0"/>
    <x v="181"/>
    <x v="0"/>
    <x v="0"/>
    <n v="983.78378378378397"/>
    <n v="359081.08108108101"/>
    <n v="1292691.89189189"/>
  </r>
  <r>
    <x v="0"/>
    <x v="0"/>
    <x v="0"/>
    <x v="8"/>
    <x v="16"/>
    <s v="PL_A"/>
    <x v="0"/>
    <x v="181"/>
    <x v="0"/>
    <x v="1"/>
    <n v="983.78378378378397"/>
    <n v="359081.08108108101"/>
    <n v="1292691.89189189"/>
  </r>
  <r>
    <x v="0"/>
    <x v="0"/>
    <x v="0"/>
    <x v="8"/>
    <x v="16"/>
    <s v="PL_A"/>
    <x v="0"/>
    <x v="181"/>
    <x v="0"/>
    <x v="2"/>
    <n v="983.78378378378397"/>
    <n v="359081.08108108101"/>
    <n v="1292691.89189189"/>
  </r>
  <r>
    <x v="0"/>
    <x v="0"/>
    <x v="0"/>
    <x v="8"/>
    <x v="16"/>
    <s v="PL_A"/>
    <x v="0"/>
    <x v="181"/>
    <x v="0"/>
    <x v="3"/>
    <n v="983.78378378378397"/>
    <n v="359081.08108108101"/>
    <n v="1292691.89189189"/>
  </r>
  <r>
    <x v="0"/>
    <x v="0"/>
    <x v="0"/>
    <x v="8"/>
    <x v="16"/>
    <s v="PL_A"/>
    <x v="0"/>
    <x v="181"/>
    <x v="0"/>
    <x v="4"/>
    <n v="983.78378378378397"/>
    <n v="359081.08108108101"/>
    <n v="1292691.89189189"/>
  </r>
  <r>
    <x v="0"/>
    <x v="0"/>
    <x v="0"/>
    <x v="8"/>
    <x v="16"/>
    <s v="PL_A"/>
    <x v="0"/>
    <x v="181"/>
    <x v="0"/>
    <x v="5"/>
    <n v="983.78378378378397"/>
    <n v="359081.08108108101"/>
    <n v="1292691.89189189"/>
  </r>
  <r>
    <x v="0"/>
    <x v="0"/>
    <x v="0"/>
    <x v="8"/>
    <x v="16"/>
    <s v="PL_A"/>
    <x v="0"/>
    <x v="181"/>
    <x v="0"/>
    <x v="6"/>
    <n v="983.78378378378397"/>
    <n v="359081.08108108101"/>
    <n v="1292691.89189189"/>
  </r>
  <r>
    <x v="0"/>
    <x v="0"/>
    <x v="0"/>
    <x v="8"/>
    <x v="16"/>
    <s v="PL_A"/>
    <x v="0"/>
    <x v="181"/>
    <x v="0"/>
    <x v="7"/>
    <n v="983.78378378378397"/>
    <n v="359081.08108108101"/>
    <n v="1292691.89189189"/>
  </r>
  <r>
    <x v="0"/>
    <x v="0"/>
    <x v="0"/>
    <x v="8"/>
    <x v="16"/>
    <s v="PL_A"/>
    <x v="0"/>
    <x v="181"/>
    <x v="0"/>
    <x v="8"/>
    <n v="983.78378378378397"/>
    <n v="359081.08108108101"/>
    <n v="1292691.89189189"/>
  </r>
  <r>
    <x v="0"/>
    <x v="0"/>
    <x v="0"/>
    <x v="8"/>
    <x v="16"/>
    <s v="PL_A"/>
    <x v="0"/>
    <x v="181"/>
    <x v="0"/>
    <x v="9"/>
    <n v="983.78378378378397"/>
    <n v="359081.08108108101"/>
    <n v="1292691.89189189"/>
  </r>
  <r>
    <x v="0"/>
    <x v="0"/>
    <x v="0"/>
    <x v="8"/>
    <x v="16"/>
    <s v="PL_A"/>
    <x v="0"/>
    <x v="181"/>
    <x v="0"/>
    <x v="10"/>
    <n v="983.78378378378397"/>
    <n v="359081.08108108101"/>
    <n v="1292691.89189189"/>
  </r>
  <r>
    <x v="0"/>
    <x v="0"/>
    <x v="0"/>
    <x v="8"/>
    <x v="16"/>
    <s v="PL_A"/>
    <x v="0"/>
    <x v="181"/>
    <x v="0"/>
    <x v="11"/>
    <n v="983.78378378378397"/>
    <n v="359081.08108108101"/>
    <n v="1292691.89189189"/>
  </r>
  <r>
    <x v="0"/>
    <x v="0"/>
    <x v="0"/>
    <x v="8"/>
    <x v="16"/>
    <s v="PL_A"/>
    <x v="0"/>
    <x v="181"/>
    <x v="0"/>
    <x v="12"/>
    <n v="983.78378378378397"/>
    <n v="359081.08108108101"/>
    <n v="1292691.89189189"/>
  </r>
  <r>
    <x v="0"/>
    <x v="0"/>
    <x v="0"/>
    <x v="8"/>
    <x v="16"/>
    <s v="PL_A"/>
    <x v="0"/>
    <x v="181"/>
    <x v="0"/>
    <x v="13"/>
    <n v="983.78378378378397"/>
    <n v="359081.08108108101"/>
    <n v="1292691.89189189"/>
  </r>
  <r>
    <x v="0"/>
    <x v="0"/>
    <x v="0"/>
    <x v="8"/>
    <x v="16"/>
    <s v="PL_A"/>
    <x v="0"/>
    <x v="181"/>
    <x v="0"/>
    <x v="14"/>
    <n v="983.78378378378397"/>
    <n v="359081.08108108101"/>
    <n v="1292691.89189189"/>
  </r>
  <r>
    <x v="0"/>
    <x v="0"/>
    <x v="0"/>
    <x v="8"/>
    <x v="16"/>
    <s v="PL_A"/>
    <x v="0"/>
    <x v="181"/>
    <x v="0"/>
    <x v="15"/>
    <n v="983.78378378378397"/>
    <n v="359081.08108108101"/>
    <n v="1292691.89189189"/>
  </r>
  <r>
    <x v="0"/>
    <x v="0"/>
    <x v="0"/>
    <x v="8"/>
    <x v="16"/>
    <s v="PL_A"/>
    <x v="0"/>
    <x v="181"/>
    <x v="0"/>
    <x v="16"/>
    <n v="983.78378378378397"/>
    <n v="359081.08108108101"/>
    <n v="1292691.89189189"/>
  </r>
  <r>
    <x v="0"/>
    <x v="0"/>
    <x v="0"/>
    <x v="8"/>
    <x v="16"/>
    <s v="PL_A"/>
    <x v="0"/>
    <x v="181"/>
    <x v="0"/>
    <x v="17"/>
    <n v="983.78378378378397"/>
    <n v="359081.08108108101"/>
    <n v="1292691.89189189"/>
  </r>
  <r>
    <x v="0"/>
    <x v="0"/>
    <x v="0"/>
    <x v="8"/>
    <x v="16"/>
    <s v="PL_A"/>
    <x v="0"/>
    <x v="181"/>
    <x v="0"/>
    <x v="18"/>
    <n v="983.78378378378397"/>
    <n v="359081.08108108101"/>
    <n v="1292691.89189189"/>
  </r>
  <r>
    <x v="0"/>
    <x v="0"/>
    <x v="0"/>
    <x v="8"/>
    <x v="16"/>
    <s v="PL_A"/>
    <x v="0"/>
    <x v="181"/>
    <x v="0"/>
    <x v="19"/>
    <n v="983.78378378378397"/>
    <n v="359081.08108108101"/>
    <n v="1292691.89189189"/>
  </r>
  <r>
    <x v="0"/>
    <x v="0"/>
    <x v="0"/>
    <x v="8"/>
    <x v="16"/>
    <s v="PL_A"/>
    <x v="0"/>
    <x v="181"/>
    <x v="0"/>
    <x v="20"/>
    <n v="983.78378378378397"/>
    <n v="359081.08108108101"/>
    <n v="1292691.89189189"/>
  </r>
  <r>
    <x v="0"/>
    <x v="0"/>
    <x v="0"/>
    <x v="8"/>
    <x v="16"/>
    <s v="PL_A"/>
    <x v="0"/>
    <x v="181"/>
    <x v="0"/>
    <x v="21"/>
    <n v="983.78378378378397"/>
    <n v="359081.08108108101"/>
    <n v="1292691.89189189"/>
  </r>
  <r>
    <x v="0"/>
    <x v="0"/>
    <x v="0"/>
    <x v="8"/>
    <x v="16"/>
    <s v="PL_A"/>
    <x v="0"/>
    <x v="181"/>
    <x v="0"/>
    <x v="22"/>
    <n v="983.78378378378397"/>
    <n v="359081.08108108101"/>
    <n v="1292691.89189189"/>
  </r>
  <r>
    <x v="0"/>
    <x v="0"/>
    <x v="0"/>
    <x v="8"/>
    <x v="16"/>
    <s v="PL_A"/>
    <x v="0"/>
    <x v="181"/>
    <x v="0"/>
    <x v="23"/>
    <n v="983.78378378378397"/>
    <n v="359081.08108108101"/>
    <n v="1292691.89189189"/>
  </r>
  <r>
    <x v="0"/>
    <x v="0"/>
    <x v="0"/>
    <x v="8"/>
    <x v="16"/>
    <s v="PL_A"/>
    <x v="2"/>
    <x v="182"/>
    <x v="0"/>
    <x v="0"/>
    <n v="226.666666666667"/>
    <n v="82733.333333333299"/>
    <n v="297840"/>
  </r>
  <r>
    <x v="0"/>
    <x v="0"/>
    <x v="0"/>
    <x v="8"/>
    <x v="16"/>
    <s v="PL_A"/>
    <x v="2"/>
    <x v="182"/>
    <x v="0"/>
    <x v="1"/>
    <n v="226.666666666667"/>
    <n v="82733.333333333299"/>
    <n v="297840"/>
  </r>
  <r>
    <x v="0"/>
    <x v="0"/>
    <x v="0"/>
    <x v="8"/>
    <x v="16"/>
    <s v="PL_A"/>
    <x v="2"/>
    <x v="182"/>
    <x v="0"/>
    <x v="2"/>
    <n v="226.666666666667"/>
    <n v="82733.333333333299"/>
    <n v="297840"/>
  </r>
  <r>
    <x v="0"/>
    <x v="0"/>
    <x v="0"/>
    <x v="8"/>
    <x v="16"/>
    <s v="PL_A"/>
    <x v="2"/>
    <x v="182"/>
    <x v="0"/>
    <x v="3"/>
    <n v="226.666666666667"/>
    <n v="82733.333333333299"/>
    <n v="297840"/>
  </r>
  <r>
    <x v="0"/>
    <x v="0"/>
    <x v="0"/>
    <x v="8"/>
    <x v="16"/>
    <s v="PL_A"/>
    <x v="2"/>
    <x v="182"/>
    <x v="0"/>
    <x v="4"/>
    <n v="226.666666666667"/>
    <n v="82733.333333333299"/>
    <n v="297840"/>
  </r>
  <r>
    <x v="0"/>
    <x v="0"/>
    <x v="0"/>
    <x v="8"/>
    <x v="16"/>
    <s v="PL_A"/>
    <x v="2"/>
    <x v="182"/>
    <x v="0"/>
    <x v="5"/>
    <n v="226.666666666667"/>
    <n v="82733.333333333299"/>
    <n v="297840"/>
  </r>
  <r>
    <x v="0"/>
    <x v="0"/>
    <x v="0"/>
    <x v="8"/>
    <x v="16"/>
    <s v="PL_A"/>
    <x v="2"/>
    <x v="182"/>
    <x v="0"/>
    <x v="6"/>
    <n v="226.666666666667"/>
    <n v="82733.333333333299"/>
    <n v="297840"/>
  </r>
  <r>
    <x v="0"/>
    <x v="0"/>
    <x v="0"/>
    <x v="8"/>
    <x v="16"/>
    <s v="PL_A"/>
    <x v="2"/>
    <x v="182"/>
    <x v="0"/>
    <x v="7"/>
    <n v="226.666666666667"/>
    <n v="82733.333333333299"/>
    <n v="297840"/>
  </r>
  <r>
    <x v="0"/>
    <x v="0"/>
    <x v="0"/>
    <x v="8"/>
    <x v="16"/>
    <s v="PL_A"/>
    <x v="2"/>
    <x v="182"/>
    <x v="0"/>
    <x v="8"/>
    <n v="226.666666666667"/>
    <n v="82733.333333333299"/>
    <n v="297840"/>
  </r>
  <r>
    <x v="0"/>
    <x v="0"/>
    <x v="0"/>
    <x v="8"/>
    <x v="16"/>
    <s v="PL_A"/>
    <x v="2"/>
    <x v="182"/>
    <x v="0"/>
    <x v="9"/>
    <n v="226.666666666667"/>
    <n v="82733.333333333299"/>
    <n v="297840"/>
  </r>
  <r>
    <x v="0"/>
    <x v="0"/>
    <x v="0"/>
    <x v="8"/>
    <x v="16"/>
    <s v="PL_A"/>
    <x v="2"/>
    <x v="182"/>
    <x v="0"/>
    <x v="10"/>
    <n v="226.666666666667"/>
    <n v="82733.333333333299"/>
    <n v="297840"/>
  </r>
  <r>
    <x v="0"/>
    <x v="0"/>
    <x v="0"/>
    <x v="8"/>
    <x v="16"/>
    <s v="PL_A"/>
    <x v="2"/>
    <x v="182"/>
    <x v="0"/>
    <x v="11"/>
    <n v="226.666666666667"/>
    <n v="82733.333333333299"/>
    <n v="297840"/>
  </r>
  <r>
    <x v="0"/>
    <x v="0"/>
    <x v="0"/>
    <x v="8"/>
    <x v="16"/>
    <s v="PL_A"/>
    <x v="2"/>
    <x v="182"/>
    <x v="0"/>
    <x v="12"/>
    <n v="226.666666666667"/>
    <n v="82733.333333333299"/>
    <n v="297840"/>
  </r>
  <r>
    <x v="0"/>
    <x v="0"/>
    <x v="0"/>
    <x v="8"/>
    <x v="16"/>
    <s v="PL_A"/>
    <x v="2"/>
    <x v="182"/>
    <x v="0"/>
    <x v="13"/>
    <n v="226.666666666667"/>
    <n v="82733.333333333299"/>
    <n v="297840"/>
  </r>
  <r>
    <x v="0"/>
    <x v="0"/>
    <x v="0"/>
    <x v="8"/>
    <x v="16"/>
    <s v="PL_A"/>
    <x v="2"/>
    <x v="182"/>
    <x v="0"/>
    <x v="14"/>
    <n v="226.666666666667"/>
    <n v="82733.333333333299"/>
    <n v="297840"/>
  </r>
  <r>
    <x v="0"/>
    <x v="0"/>
    <x v="0"/>
    <x v="8"/>
    <x v="16"/>
    <s v="PL_A"/>
    <x v="2"/>
    <x v="182"/>
    <x v="0"/>
    <x v="15"/>
    <n v="226.666666666667"/>
    <n v="82733.333333333299"/>
    <n v="297840"/>
  </r>
  <r>
    <x v="0"/>
    <x v="0"/>
    <x v="0"/>
    <x v="8"/>
    <x v="16"/>
    <s v="PL_A"/>
    <x v="2"/>
    <x v="182"/>
    <x v="0"/>
    <x v="16"/>
    <n v="226.666666666667"/>
    <n v="82733.333333333299"/>
    <n v="297840"/>
  </r>
  <r>
    <x v="0"/>
    <x v="0"/>
    <x v="0"/>
    <x v="8"/>
    <x v="16"/>
    <s v="PL_A"/>
    <x v="2"/>
    <x v="182"/>
    <x v="0"/>
    <x v="17"/>
    <n v="226.666666666667"/>
    <n v="82733.333333333299"/>
    <n v="297840"/>
  </r>
  <r>
    <x v="0"/>
    <x v="0"/>
    <x v="0"/>
    <x v="8"/>
    <x v="16"/>
    <s v="PL_A"/>
    <x v="2"/>
    <x v="182"/>
    <x v="0"/>
    <x v="18"/>
    <n v="226.666666666667"/>
    <n v="82733.333333333299"/>
    <n v="297840"/>
  </r>
  <r>
    <x v="0"/>
    <x v="0"/>
    <x v="0"/>
    <x v="8"/>
    <x v="16"/>
    <s v="PL_A"/>
    <x v="2"/>
    <x v="182"/>
    <x v="0"/>
    <x v="19"/>
    <n v="226.666666666667"/>
    <n v="82733.333333333299"/>
    <n v="297840"/>
  </r>
  <r>
    <x v="0"/>
    <x v="0"/>
    <x v="0"/>
    <x v="8"/>
    <x v="16"/>
    <s v="PL_A"/>
    <x v="2"/>
    <x v="182"/>
    <x v="0"/>
    <x v="20"/>
    <n v="226.666666666667"/>
    <n v="82733.333333333299"/>
    <n v="297840"/>
  </r>
  <r>
    <x v="0"/>
    <x v="0"/>
    <x v="0"/>
    <x v="8"/>
    <x v="16"/>
    <s v="PL_A"/>
    <x v="2"/>
    <x v="182"/>
    <x v="0"/>
    <x v="21"/>
    <n v="226.666666666667"/>
    <n v="82733.333333333299"/>
    <n v="297840"/>
  </r>
  <r>
    <x v="0"/>
    <x v="0"/>
    <x v="0"/>
    <x v="8"/>
    <x v="16"/>
    <s v="PL_A"/>
    <x v="2"/>
    <x v="182"/>
    <x v="0"/>
    <x v="22"/>
    <n v="226.666666666667"/>
    <n v="82733.333333333299"/>
    <n v="297840"/>
  </r>
  <r>
    <x v="0"/>
    <x v="0"/>
    <x v="0"/>
    <x v="8"/>
    <x v="16"/>
    <s v="PL_A"/>
    <x v="2"/>
    <x v="182"/>
    <x v="0"/>
    <x v="23"/>
    <n v="226.666666666667"/>
    <n v="82733.333333333299"/>
    <n v="297840"/>
  </r>
  <r>
    <x v="0"/>
    <x v="0"/>
    <x v="0"/>
    <x v="8"/>
    <x v="16"/>
    <s v="PL_A"/>
    <x v="3"/>
    <x v="183"/>
    <x v="0"/>
    <x v="0"/>
    <n v="282.222222222222"/>
    <n v="103011.11111111099"/>
    <n v="370840"/>
  </r>
  <r>
    <x v="0"/>
    <x v="0"/>
    <x v="0"/>
    <x v="8"/>
    <x v="16"/>
    <s v="PL_A"/>
    <x v="3"/>
    <x v="183"/>
    <x v="0"/>
    <x v="1"/>
    <n v="282.222222222222"/>
    <n v="103011.11111111099"/>
    <n v="370840"/>
  </r>
  <r>
    <x v="0"/>
    <x v="0"/>
    <x v="0"/>
    <x v="8"/>
    <x v="16"/>
    <s v="PL_A"/>
    <x v="3"/>
    <x v="183"/>
    <x v="0"/>
    <x v="2"/>
    <n v="282.222222222222"/>
    <n v="103011.11111111099"/>
    <n v="370840"/>
  </r>
  <r>
    <x v="0"/>
    <x v="0"/>
    <x v="0"/>
    <x v="8"/>
    <x v="16"/>
    <s v="PL_A"/>
    <x v="3"/>
    <x v="183"/>
    <x v="0"/>
    <x v="3"/>
    <n v="282.222222222222"/>
    <n v="103011.11111111099"/>
    <n v="370840"/>
  </r>
  <r>
    <x v="0"/>
    <x v="0"/>
    <x v="0"/>
    <x v="8"/>
    <x v="16"/>
    <s v="PL_A"/>
    <x v="3"/>
    <x v="183"/>
    <x v="0"/>
    <x v="4"/>
    <n v="282.222222222222"/>
    <n v="103011.11111111099"/>
    <n v="370840"/>
  </r>
  <r>
    <x v="0"/>
    <x v="0"/>
    <x v="0"/>
    <x v="8"/>
    <x v="16"/>
    <s v="PL_A"/>
    <x v="3"/>
    <x v="183"/>
    <x v="0"/>
    <x v="5"/>
    <n v="282.222222222222"/>
    <n v="103011.11111111099"/>
    <n v="370840"/>
  </r>
  <r>
    <x v="0"/>
    <x v="0"/>
    <x v="0"/>
    <x v="8"/>
    <x v="16"/>
    <s v="PL_A"/>
    <x v="3"/>
    <x v="183"/>
    <x v="0"/>
    <x v="6"/>
    <n v="282.222222222222"/>
    <n v="103011.11111111099"/>
    <n v="370840"/>
  </r>
  <r>
    <x v="0"/>
    <x v="0"/>
    <x v="0"/>
    <x v="8"/>
    <x v="16"/>
    <s v="PL_A"/>
    <x v="3"/>
    <x v="183"/>
    <x v="0"/>
    <x v="7"/>
    <n v="282.222222222222"/>
    <n v="103011.11111111099"/>
    <n v="370840"/>
  </r>
  <r>
    <x v="0"/>
    <x v="0"/>
    <x v="0"/>
    <x v="8"/>
    <x v="16"/>
    <s v="PL_A"/>
    <x v="3"/>
    <x v="183"/>
    <x v="0"/>
    <x v="8"/>
    <n v="282.222222222222"/>
    <n v="103011.11111111099"/>
    <n v="370840"/>
  </r>
  <r>
    <x v="0"/>
    <x v="0"/>
    <x v="0"/>
    <x v="8"/>
    <x v="16"/>
    <s v="PL_A"/>
    <x v="3"/>
    <x v="183"/>
    <x v="0"/>
    <x v="9"/>
    <n v="282.222222222222"/>
    <n v="103011.11111111099"/>
    <n v="370840"/>
  </r>
  <r>
    <x v="0"/>
    <x v="0"/>
    <x v="0"/>
    <x v="8"/>
    <x v="16"/>
    <s v="PL_A"/>
    <x v="3"/>
    <x v="183"/>
    <x v="0"/>
    <x v="11"/>
    <n v="282.222222222222"/>
    <n v="103011.11111111099"/>
    <n v="370840"/>
  </r>
  <r>
    <x v="0"/>
    <x v="0"/>
    <x v="0"/>
    <x v="8"/>
    <x v="16"/>
    <s v="PL_A"/>
    <x v="3"/>
    <x v="183"/>
    <x v="0"/>
    <x v="12"/>
    <n v="282.222222222222"/>
    <n v="103011.11111111099"/>
    <n v="370840"/>
  </r>
  <r>
    <x v="0"/>
    <x v="0"/>
    <x v="0"/>
    <x v="8"/>
    <x v="16"/>
    <s v="PL_A"/>
    <x v="3"/>
    <x v="183"/>
    <x v="0"/>
    <x v="13"/>
    <n v="282.222222222222"/>
    <n v="103011.11111111099"/>
    <n v="370840"/>
  </r>
  <r>
    <x v="0"/>
    <x v="0"/>
    <x v="0"/>
    <x v="8"/>
    <x v="16"/>
    <s v="PL_A"/>
    <x v="3"/>
    <x v="183"/>
    <x v="0"/>
    <x v="14"/>
    <n v="282.222222222222"/>
    <n v="103011.11111111099"/>
    <n v="370840"/>
  </r>
  <r>
    <x v="0"/>
    <x v="0"/>
    <x v="0"/>
    <x v="8"/>
    <x v="16"/>
    <s v="PL_A"/>
    <x v="3"/>
    <x v="183"/>
    <x v="0"/>
    <x v="15"/>
    <n v="282.222222222222"/>
    <n v="103011.11111111099"/>
    <n v="370840"/>
  </r>
  <r>
    <x v="0"/>
    <x v="0"/>
    <x v="0"/>
    <x v="8"/>
    <x v="16"/>
    <s v="PL_A"/>
    <x v="3"/>
    <x v="183"/>
    <x v="0"/>
    <x v="18"/>
    <n v="282.222222222222"/>
    <n v="103011.11111111099"/>
    <n v="370840"/>
  </r>
  <r>
    <x v="0"/>
    <x v="0"/>
    <x v="0"/>
    <x v="8"/>
    <x v="16"/>
    <s v="PL_A"/>
    <x v="3"/>
    <x v="183"/>
    <x v="0"/>
    <x v="19"/>
    <n v="282.222222222222"/>
    <n v="103011.11111111099"/>
    <n v="370840"/>
  </r>
  <r>
    <x v="0"/>
    <x v="0"/>
    <x v="0"/>
    <x v="8"/>
    <x v="16"/>
    <s v="PL_A"/>
    <x v="3"/>
    <x v="183"/>
    <x v="0"/>
    <x v="20"/>
    <n v="282.222222222222"/>
    <n v="103011.11111111099"/>
    <n v="370840"/>
  </r>
  <r>
    <x v="0"/>
    <x v="0"/>
    <x v="0"/>
    <x v="8"/>
    <x v="16"/>
    <s v="PL_A"/>
    <x v="3"/>
    <x v="183"/>
    <x v="0"/>
    <x v="21"/>
    <n v="282.222222222222"/>
    <n v="103011.11111111099"/>
    <n v="370840"/>
  </r>
  <r>
    <x v="0"/>
    <x v="0"/>
    <x v="0"/>
    <x v="8"/>
    <x v="16"/>
    <s v="PL_A"/>
    <x v="3"/>
    <x v="183"/>
    <x v="0"/>
    <x v="22"/>
    <n v="282.222222222222"/>
    <n v="103011.11111111099"/>
    <n v="370840"/>
  </r>
  <r>
    <x v="0"/>
    <x v="0"/>
    <x v="0"/>
    <x v="8"/>
    <x v="16"/>
    <s v="PL_A"/>
    <x v="3"/>
    <x v="183"/>
    <x v="0"/>
    <x v="23"/>
    <n v="282.222222222222"/>
    <n v="103011.11111111099"/>
    <n v="370840"/>
  </r>
  <r>
    <x v="0"/>
    <x v="0"/>
    <x v="0"/>
    <x v="8"/>
    <x v="16"/>
    <s v="PL_A"/>
    <x v="3"/>
    <x v="184"/>
    <x v="0"/>
    <x v="0"/>
    <n v="71.1111111111111"/>
    <n v="25955.555555555598"/>
    <n v="93440"/>
  </r>
  <r>
    <x v="0"/>
    <x v="0"/>
    <x v="0"/>
    <x v="8"/>
    <x v="16"/>
    <s v="PL_A"/>
    <x v="3"/>
    <x v="184"/>
    <x v="0"/>
    <x v="1"/>
    <n v="71.1111111111111"/>
    <n v="25955.555555555598"/>
    <n v="93440"/>
  </r>
  <r>
    <x v="0"/>
    <x v="0"/>
    <x v="0"/>
    <x v="8"/>
    <x v="16"/>
    <s v="PL_A"/>
    <x v="3"/>
    <x v="184"/>
    <x v="0"/>
    <x v="2"/>
    <n v="71.1111111111111"/>
    <n v="25955.555555555598"/>
    <n v="93440"/>
  </r>
  <r>
    <x v="0"/>
    <x v="0"/>
    <x v="0"/>
    <x v="8"/>
    <x v="16"/>
    <s v="PL_A"/>
    <x v="3"/>
    <x v="184"/>
    <x v="0"/>
    <x v="3"/>
    <n v="71.1111111111111"/>
    <n v="25955.555555555598"/>
    <n v="93440"/>
  </r>
  <r>
    <x v="0"/>
    <x v="0"/>
    <x v="0"/>
    <x v="8"/>
    <x v="16"/>
    <s v="PL_A"/>
    <x v="3"/>
    <x v="184"/>
    <x v="0"/>
    <x v="4"/>
    <n v="71.1111111111111"/>
    <n v="25955.555555555598"/>
    <n v="93440"/>
  </r>
  <r>
    <x v="0"/>
    <x v="0"/>
    <x v="0"/>
    <x v="8"/>
    <x v="16"/>
    <s v="PL_A"/>
    <x v="3"/>
    <x v="184"/>
    <x v="0"/>
    <x v="5"/>
    <n v="71.1111111111111"/>
    <n v="25955.555555555598"/>
    <n v="93440"/>
  </r>
  <r>
    <x v="0"/>
    <x v="0"/>
    <x v="0"/>
    <x v="8"/>
    <x v="16"/>
    <s v="PL_A"/>
    <x v="3"/>
    <x v="184"/>
    <x v="0"/>
    <x v="6"/>
    <n v="71.1111111111111"/>
    <n v="25955.555555555598"/>
    <n v="93440"/>
  </r>
  <r>
    <x v="0"/>
    <x v="0"/>
    <x v="0"/>
    <x v="8"/>
    <x v="16"/>
    <s v="PL_A"/>
    <x v="3"/>
    <x v="184"/>
    <x v="0"/>
    <x v="7"/>
    <n v="71.1111111111111"/>
    <n v="25955.555555555598"/>
    <n v="93440"/>
  </r>
  <r>
    <x v="0"/>
    <x v="0"/>
    <x v="0"/>
    <x v="8"/>
    <x v="16"/>
    <s v="PL_A"/>
    <x v="3"/>
    <x v="184"/>
    <x v="0"/>
    <x v="8"/>
    <n v="71.1111111111111"/>
    <n v="25955.555555555598"/>
    <n v="93440"/>
  </r>
  <r>
    <x v="0"/>
    <x v="0"/>
    <x v="0"/>
    <x v="8"/>
    <x v="16"/>
    <s v="PL_A"/>
    <x v="3"/>
    <x v="184"/>
    <x v="0"/>
    <x v="9"/>
    <n v="71.1111111111111"/>
    <n v="25955.555555555598"/>
    <n v="93440"/>
  </r>
  <r>
    <x v="0"/>
    <x v="0"/>
    <x v="0"/>
    <x v="8"/>
    <x v="16"/>
    <s v="PL_A"/>
    <x v="3"/>
    <x v="184"/>
    <x v="0"/>
    <x v="11"/>
    <n v="71.1111111111111"/>
    <n v="25955.555555555598"/>
    <n v="93440"/>
  </r>
  <r>
    <x v="0"/>
    <x v="0"/>
    <x v="0"/>
    <x v="8"/>
    <x v="16"/>
    <s v="PL_A"/>
    <x v="3"/>
    <x v="184"/>
    <x v="0"/>
    <x v="12"/>
    <n v="71.1111111111111"/>
    <n v="25955.555555555598"/>
    <n v="93440"/>
  </r>
  <r>
    <x v="0"/>
    <x v="0"/>
    <x v="0"/>
    <x v="8"/>
    <x v="16"/>
    <s v="PL_A"/>
    <x v="3"/>
    <x v="184"/>
    <x v="0"/>
    <x v="13"/>
    <n v="71.1111111111111"/>
    <n v="25955.555555555598"/>
    <n v="93440"/>
  </r>
  <r>
    <x v="0"/>
    <x v="0"/>
    <x v="0"/>
    <x v="8"/>
    <x v="16"/>
    <s v="PL_A"/>
    <x v="3"/>
    <x v="184"/>
    <x v="0"/>
    <x v="14"/>
    <n v="71.1111111111111"/>
    <n v="25955.555555555598"/>
    <n v="93440"/>
  </r>
  <r>
    <x v="0"/>
    <x v="0"/>
    <x v="0"/>
    <x v="8"/>
    <x v="16"/>
    <s v="PL_A"/>
    <x v="3"/>
    <x v="184"/>
    <x v="0"/>
    <x v="15"/>
    <n v="71.1111111111111"/>
    <n v="25955.555555555598"/>
    <n v="93440"/>
  </r>
  <r>
    <x v="0"/>
    <x v="0"/>
    <x v="0"/>
    <x v="8"/>
    <x v="16"/>
    <s v="PL_A"/>
    <x v="3"/>
    <x v="184"/>
    <x v="0"/>
    <x v="18"/>
    <n v="71.1111111111111"/>
    <n v="25955.555555555598"/>
    <n v="93440"/>
  </r>
  <r>
    <x v="0"/>
    <x v="0"/>
    <x v="0"/>
    <x v="8"/>
    <x v="16"/>
    <s v="PL_A"/>
    <x v="3"/>
    <x v="184"/>
    <x v="0"/>
    <x v="19"/>
    <n v="71.1111111111111"/>
    <n v="25955.555555555598"/>
    <n v="93440"/>
  </r>
  <r>
    <x v="0"/>
    <x v="0"/>
    <x v="0"/>
    <x v="8"/>
    <x v="16"/>
    <s v="PL_A"/>
    <x v="3"/>
    <x v="184"/>
    <x v="0"/>
    <x v="20"/>
    <n v="71.1111111111111"/>
    <n v="25955.555555555598"/>
    <n v="93440"/>
  </r>
  <r>
    <x v="0"/>
    <x v="0"/>
    <x v="0"/>
    <x v="8"/>
    <x v="16"/>
    <s v="PL_A"/>
    <x v="3"/>
    <x v="184"/>
    <x v="0"/>
    <x v="21"/>
    <n v="71.1111111111111"/>
    <n v="25955.555555555598"/>
    <n v="93440"/>
  </r>
  <r>
    <x v="0"/>
    <x v="0"/>
    <x v="0"/>
    <x v="8"/>
    <x v="16"/>
    <s v="PL_A"/>
    <x v="3"/>
    <x v="184"/>
    <x v="0"/>
    <x v="22"/>
    <n v="71.1111111111111"/>
    <n v="25955.555555555598"/>
    <n v="93440"/>
  </r>
  <r>
    <x v="0"/>
    <x v="0"/>
    <x v="0"/>
    <x v="8"/>
    <x v="16"/>
    <s v="PL_A"/>
    <x v="3"/>
    <x v="184"/>
    <x v="0"/>
    <x v="23"/>
    <n v="71.1111111111111"/>
    <n v="25955.555555555598"/>
    <n v="93440"/>
  </r>
  <r>
    <x v="0"/>
    <x v="0"/>
    <x v="0"/>
    <x v="8"/>
    <x v="16"/>
    <s v="PL_A"/>
    <x v="3"/>
    <x v="185"/>
    <x v="0"/>
    <x v="0"/>
    <n v="22.2222222222222"/>
    <n v="8111.1111111111104"/>
    <n v="29200"/>
  </r>
  <r>
    <x v="0"/>
    <x v="0"/>
    <x v="0"/>
    <x v="8"/>
    <x v="16"/>
    <s v="PL_A"/>
    <x v="3"/>
    <x v="185"/>
    <x v="0"/>
    <x v="1"/>
    <n v="22.2222222222222"/>
    <n v="8111.1111111111104"/>
    <n v="29200"/>
  </r>
  <r>
    <x v="0"/>
    <x v="0"/>
    <x v="0"/>
    <x v="8"/>
    <x v="16"/>
    <s v="PL_A"/>
    <x v="3"/>
    <x v="185"/>
    <x v="0"/>
    <x v="2"/>
    <n v="22.2222222222222"/>
    <n v="8111.1111111111104"/>
    <n v="29200"/>
  </r>
  <r>
    <x v="0"/>
    <x v="0"/>
    <x v="0"/>
    <x v="8"/>
    <x v="16"/>
    <s v="PL_A"/>
    <x v="3"/>
    <x v="185"/>
    <x v="0"/>
    <x v="3"/>
    <n v="22.2222222222222"/>
    <n v="8111.1111111111104"/>
    <n v="29200"/>
  </r>
  <r>
    <x v="0"/>
    <x v="0"/>
    <x v="0"/>
    <x v="8"/>
    <x v="16"/>
    <s v="PL_A"/>
    <x v="3"/>
    <x v="185"/>
    <x v="0"/>
    <x v="4"/>
    <n v="22.2222222222222"/>
    <n v="8111.1111111111104"/>
    <n v="29200"/>
  </r>
  <r>
    <x v="0"/>
    <x v="0"/>
    <x v="0"/>
    <x v="8"/>
    <x v="16"/>
    <s v="PL_A"/>
    <x v="3"/>
    <x v="185"/>
    <x v="0"/>
    <x v="5"/>
    <n v="22.2222222222222"/>
    <n v="8111.1111111111104"/>
    <n v="29200"/>
  </r>
  <r>
    <x v="0"/>
    <x v="0"/>
    <x v="0"/>
    <x v="8"/>
    <x v="16"/>
    <s v="PL_A"/>
    <x v="3"/>
    <x v="185"/>
    <x v="0"/>
    <x v="6"/>
    <n v="22.2222222222222"/>
    <n v="8111.1111111111104"/>
    <n v="29200"/>
  </r>
  <r>
    <x v="0"/>
    <x v="0"/>
    <x v="0"/>
    <x v="8"/>
    <x v="16"/>
    <s v="PL_A"/>
    <x v="3"/>
    <x v="185"/>
    <x v="0"/>
    <x v="7"/>
    <n v="22.2222222222222"/>
    <n v="8111.1111111111104"/>
    <n v="29200"/>
  </r>
  <r>
    <x v="0"/>
    <x v="0"/>
    <x v="0"/>
    <x v="8"/>
    <x v="16"/>
    <s v="PL_A"/>
    <x v="3"/>
    <x v="185"/>
    <x v="0"/>
    <x v="8"/>
    <n v="22.2222222222222"/>
    <n v="8111.1111111111104"/>
    <n v="29200"/>
  </r>
  <r>
    <x v="0"/>
    <x v="0"/>
    <x v="0"/>
    <x v="8"/>
    <x v="16"/>
    <s v="PL_A"/>
    <x v="3"/>
    <x v="185"/>
    <x v="0"/>
    <x v="9"/>
    <n v="22.2222222222222"/>
    <n v="8111.1111111111104"/>
    <n v="29200"/>
  </r>
  <r>
    <x v="0"/>
    <x v="0"/>
    <x v="0"/>
    <x v="8"/>
    <x v="16"/>
    <s v="PL_A"/>
    <x v="3"/>
    <x v="185"/>
    <x v="0"/>
    <x v="11"/>
    <n v="22.2222222222222"/>
    <n v="8111.1111111111104"/>
    <n v="29200"/>
  </r>
  <r>
    <x v="0"/>
    <x v="0"/>
    <x v="0"/>
    <x v="8"/>
    <x v="16"/>
    <s v="PL_A"/>
    <x v="3"/>
    <x v="185"/>
    <x v="0"/>
    <x v="12"/>
    <n v="22.2222222222222"/>
    <n v="8111.1111111111104"/>
    <n v="29200"/>
  </r>
  <r>
    <x v="0"/>
    <x v="0"/>
    <x v="0"/>
    <x v="8"/>
    <x v="16"/>
    <s v="PL_A"/>
    <x v="3"/>
    <x v="185"/>
    <x v="0"/>
    <x v="13"/>
    <n v="22.2222222222222"/>
    <n v="8111.1111111111104"/>
    <n v="29200"/>
  </r>
  <r>
    <x v="0"/>
    <x v="0"/>
    <x v="0"/>
    <x v="8"/>
    <x v="16"/>
    <s v="PL_A"/>
    <x v="3"/>
    <x v="185"/>
    <x v="0"/>
    <x v="14"/>
    <n v="22.2222222222222"/>
    <n v="8111.1111111111104"/>
    <n v="29200"/>
  </r>
  <r>
    <x v="0"/>
    <x v="0"/>
    <x v="0"/>
    <x v="8"/>
    <x v="16"/>
    <s v="PL_A"/>
    <x v="3"/>
    <x v="185"/>
    <x v="0"/>
    <x v="15"/>
    <n v="22.2222222222222"/>
    <n v="8111.1111111111104"/>
    <n v="29200"/>
  </r>
  <r>
    <x v="0"/>
    <x v="0"/>
    <x v="0"/>
    <x v="8"/>
    <x v="16"/>
    <s v="PL_A"/>
    <x v="3"/>
    <x v="185"/>
    <x v="0"/>
    <x v="16"/>
    <n v="22.2222222222222"/>
    <n v="8111.1111111111104"/>
    <n v="29200"/>
  </r>
  <r>
    <x v="0"/>
    <x v="0"/>
    <x v="0"/>
    <x v="8"/>
    <x v="16"/>
    <s v="PL_A"/>
    <x v="3"/>
    <x v="185"/>
    <x v="0"/>
    <x v="18"/>
    <n v="22.2222222222222"/>
    <n v="8111.1111111111104"/>
    <n v="29200"/>
  </r>
  <r>
    <x v="0"/>
    <x v="0"/>
    <x v="0"/>
    <x v="8"/>
    <x v="16"/>
    <s v="PL_A"/>
    <x v="3"/>
    <x v="185"/>
    <x v="0"/>
    <x v="19"/>
    <n v="22.2222222222222"/>
    <n v="8111.1111111111104"/>
    <n v="29200"/>
  </r>
  <r>
    <x v="0"/>
    <x v="0"/>
    <x v="0"/>
    <x v="8"/>
    <x v="16"/>
    <s v="PL_A"/>
    <x v="3"/>
    <x v="185"/>
    <x v="0"/>
    <x v="20"/>
    <n v="22.2222222222222"/>
    <n v="8111.1111111111104"/>
    <n v="29200"/>
  </r>
  <r>
    <x v="0"/>
    <x v="0"/>
    <x v="0"/>
    <x v="8"/>
    <x v="16"/>
    <s v="PL_A"/>
    <x v="3"/>
    <x v="185"/>
    <x v="0"/>
    <x v="21"/>
    <n v="22.2222222222222"/>
    <n v="8111.1111111111104"/>
    <n v="29200"/>
  </r>
  <r>
    <x v="0"/>
    <x v="0"/>
    <x v="0"/>
    <x v="8"/>
    <x v="16"/>
    <s v="PL_A"/>
    <x v="3"/>
    <x v="185"/>
    <x v="0"/>
    <x v="22"/>
    <n v="22.2222222222222"/>
    <n v="8111.1111111111104"/>
    <n v="29200"/>
  </r>
  <r>
    <x v="0"/>
    <x v="0"/>
    <x v="0"/>
    <x v="8"/>
    <x v="16"/>
    <s v="PL_A"/>
    <x v="3"/>
    <x v="185"/>
    <x v="0"/>
    <x v="23"/>
    <n v="22.2222222222222"/>
    <n v="8111.1111111111104"/>
    <n v="29200"/>
  </r>
  <r>
    <x v="0"/>
    <x v="0"/>
    <x v="0"/>
    <x v="8"/>
    <x v="16"/>
    <s v="PL_A"/>
    <x v="3"/>
    <x v="186"/>
    <x v="0"/>
    <x v="0"/>
    <n v="266.66666666666703"/>
    <n v="97333.333333333299"/>
    <n v="350400"/>
  </r>
  <r>
    <x v="0"/>
    <x v="0"/>
    <x v="0"/>
    <x v="8"/>
    <x v="16"/>
    <s v="PL_A"/>
    <x v="3"/>
    <x v="186"/>
    <x v="0"/>
    <x v="1"/>
    <n v="266.66666666666703"/>
    <n v="97333.333333333299"/>
    <n v="350400"/>
  </r>
  <r>
    <x v="0"/>
    <x v="0"/>
    <x v="0"/>
    <x v="8"/>
    <x v="16"/>
    <s v="PL_A"/>
    <x v="3"/>
    <x v="186"/>
    <x v="0"/>
    <x v="2"/>
    <n v="266.66666666666703"/>
    <n v="97333.333333333299"/>
    <n v="350400"/>
  </r>
  <r>
    <x v="0"/>
    <x v="0"/>
    <x v="0"/>
    <x v="8"/>
    <x v="16"/>
    <s v="PL_A"/>
    <x v="3"/>
    <x v="186"/>
    <x v="0"/>
    <x v="3"/>
    <n v="266.66666666666703"/>
    <n v="97333.333333333299"/>
    <n v="350400"/>
  </r>
  <r>
    <x v="0"/>
    <x v="0"/>
    <x v="0"/>
    <x v="8"/>
    <x v="16"/>
    <s v="PL_A"/>
    <x v="3"/>
    <x v="186"/>
    <x v="0"/>
    <x v="4"/>
    <n v="266.66666666666703"/>
    <n v="97333.333333333299"/>
    <n v="350400"/>
  </r>
  <r>
    <x v="0"/>
    <x v="0"/>
    <x v="0"/>
    <x v="8"/>
    <x v="16"/>
    <s v="PL_A"/>
    <x v="3"/>
    <x v="186"/>
    <x v="0"/>
    <x v="5"/>
    <n v="266.66666666666703"/>
    <n v="97333.333333333299"/>
    <n v="350400"/>
  </r>
  <r>
    <x v="0"/>
    <x v="0"/>
    <x v="0"/>
    <x v="8"/>
    <x v="16"/>
    <s v="PL_A"/>
    <x v="3"/>
    <x v="186"/>
    <x v="0"/>
    <x v="6"/>
    <n v="266.66666666666703"/>
    <n v="97333.333333333299"/>
    <n v="350400"/>
  </r>
  <r>
    <x v="0"/>
    <x v="0"/>
    <x v="0"/>
    <x v="8"/>
    <x v="16"/>
    <s v="PL_A"/>
    <x v="3"/>
    <x v="186"/>
    <x v="0"/>
    <x v="7"/>
    <n v="266.66666666666703"/>
    <n v="97333.333333333299"/>
    <n v="350400"/>
  </r>
  <r>
    <x v="0"/>
    <x v="0"/>
    <x v="0"/>
    <x v="8"/>
    <x v="16"/>
    <s v="PL_A"/>
    <x v="3"/>
    <x v="186"/>
    <x v="0"/>
    <x v="8"/>
    <n v="266.66666666666703"/>
    <n v="97333.333333333299"/>
    <n v="350400"/>
  </r>
  <r>
    <x v="0"/>
    <x v="0"/>
    <x v="0"/>
    <x v="8"/>
    <x v="16"/>
    <s v="PL_A"/>
    <x v="3"/>
    <x v="186"/>
    <x v="0"/>
    <x v="9"/>
    <n v="266.66666666666703"/>
    <n v="97333.333333333299"/>
    <n v="350400"/>
  </r>
  <r>
    <x v="0"/>
    <x v="0"/>
    <x v="0"/>
    <x v="8"/>
    <x v="16"/>
    <s v="PL_A"/>
    <x v="3"/>
    <x v="186"/>
    <x v="0"/>
    <x v="11"/>
    <n v="266.66666666666703"/>
    <n v="97333.333333333299"/>
    <n v="350400"/>
  </r>
  <r>
    <x v="0"/>
    <x v="0"/>
    <x v="0"/>
    <x v="8"/>
    <x v="16"/>
    <s v="PL_A"/>
    <x v="3"/>
    <x v="186"/>
    <x v="0"/>
    <x v="12"/>
    <n v="266.66666666666703"/>
    <n v="97333.333333333299"/>
    <n v="350400"/>
  </r>
  <r>
    <x v="0"/>
    <x v="0"/>
    <x v="0"/>
    <x v="8"/>
    <x v="16"/>
    <s v="PL_A"/>
    <x v="3"/>
    <x v="186"/>
    <x v="0"/>
    <x v="13"/>
    <n v="266.66666666666703"/>
    <n v="97333.333333333299"/>
    <n v="350400"/>
  </r>
  <r>
    <x v="0"/>
    <x v="0"/>
    <x v="0"/>
    <x v="8"/>
    <x v="16"/>
    <s v="PL_A"/>
    <x v="3"/>
    <x v="186"/>
    <x v="0"/>
    <x v="14"/>
    <n v="266.66666666666703"/>
    <n v="97333.333333333299"/>
    <n v="350400"/>
  </r>
  <r>
    <x v="0"/>
    <x v="0"/>
    <x v="0"/>
    <x v="8"/>
    <x v="16"/>
    <s v="PL_A"/>
    <x v="3"/>
    <x v="186"/>
    <x v="0"/>
    <x v="15"/>
    <n v="266.66666666666703"/>
    <n v="97333.333333333299"/>
    <n v="350400"/>
  </r>
  <r>
    <x v="0"/>
    <x v="0"/>
    <x v="0"/>
    <x v="8"/>
    <x v="16"/>
    <s v="PL_A"/>
    <x v="3"/>
    <x v="186"/>
    <x v="0"/>
    <x v="16"/>
    <n v="56.797521277788803"/>
    <n v="20731.095266392898"/>
    <n v="74631.942959014501"/>
  </r>
  <r>
    <x v="0"/>
    <x v="0"/>
    <x v="0"/>
    <x v="8"/>
    <x v="16"/>
    <s v="PL_A"/>
    <x v="3"/>
    <x v="186"/>
    <x v="0"/>
    <x v="18"/>
    <n v="266.66666666666703"/>
    <n v="97333.333333333299"/>
    <n v="350400"/>
  </r>
  <r>
    <x v="0"/>
    <x v="0"/>
    <x v="0"/>
    <x v="8"/>
    <x v="16"/>
    <s v="PL_A"/>
    <x v="3"/>
    <x v="186"/>
    <x v="0"/>
    <x v="19"/>
    <n v="266.66666666666703"/>
    <n v="97333.333333333299"/>
    <n v="350400"/>
  </r>
  <r>
    <x v="0"/>
    <x v="0"/>
    <x v="0"/>
    <x v="8"/>
    <x v="16"/>
    <s v="PL_A"/>
    <x v="3"/>
    <x v="186"/>
    <x v="0"/>
    <x v="20"/>
    <n v="266.66666666666703"/>
    <n v="97333.333333333299"/>
    <n v="350400"/>
  </r>
  <r>
    <x v="0"/>
    <x v="0"/>
    <x v="0"/>
    <x v="8"/>
    <x v="16"/>
    <s v="PL_A"/>
    <x v="3"/>
    <x v="186"/>
    <x v="0"/>
    <x v="21"/>
    <n v="266.66666666666703"/>
    <n v="97333.333333333299"/>
    <n v="350400"/>
  </r>
  <r>
    <x v="0"/>
    <x v="0"/>
    <x v="0"/>
    <x v="8"/>
    <x v="16"/>
    <s v="PL_A"/>
    <x v="3"/>
    <x v="186"/>
    <x v="0"/>
    <x v="22"/>
    <n v="266.66666666666703"/>
    <n v="97333.333333333299"/>
    <n v="350400"/>
  </r>
  <r>
    <x v="0"/>
    <x v="0"/>
    <x v="0"/>
    <x v="8"/>
    <x v="16"/>
    <s v="PL_A"/>
    <x v="3"/>
    <x v="186"/>
    <x v="0"/>
    <x v="23"/>
    <n v="266.66666666666703"/>
    <n v="97333.333333333299"/>
    <n v="350400"/>
  </r>
  <r>
    <x v="0"/>
    <x v="0"/>
    <x v="0"/>
    <x v="8"/>
    <x v="16"/>
    <s v="PL_A"/>
    <x v="4"/>
    <x v="187"/>
    <x v="0"/>
    <x v="0"/>
    <n v="492.30769230769198"/>
    <n v="179692.30769230801"/>
    <n v="646892.30769230798"/>
  </r>
  <r>
    <x v="0"/>
    <x v="0"/>
    <x v="0"/>
    <x v="8"/>
    <x v="16"/>
    <s v="PL_A"/>
    <x v="4"/>
    <x v="187"/>
    <x v="0"/>
    <x v="1"/>
    <n v="492.30769230769198"/>
    <n v="179692.30769230801"/>
    <n v="646892.30769230798"/>
  </r>
  <r>
    <x v="0"/>
    <x v="0"/>
    <x v="0"/>
    <x v="8"/>
    <x v="16"/>
    <s v="PL_A"/>
    <x v="4"/>
    <x v="187"/>
    <x v="0"/>
    <x v="2"/>
    <n v="492.30769230769198"/>
    <n v="179692.30769230801"/>
    <n v="646892.30769230798"/>
  </r>
  <r>
    <x v="0"/>
    <x v="0"/>
    <x v="0"/>
    <x v="8"/>
    <x v="16"/>
    <s v="PL_A"/>
    <x v="4"/>
    <x v="187"/>
    <x v="0"/>
    <x v="3"/>
    <n v="492.30769230769198"/>
    <n v="179692.30769230801"/>
    <n v="646892.30769230798"/>
  </r>
  <r>
    <x v="0"/>
    <x v="0"/>
    <x v="0"/>
    <x v="8"/>
    <x v="16"/>
    <s v="PL_A"/>
    <x v="4"/>
    <x v="187"/>
    <x v="0"/>
    <x v="4"/>
    <n v="492.30769230769198"/>
    <n v="179692.30769230801"/>
    <n v="646892.30769230798"/>
  </r>
  <r>
    <x v="0"/>
    <x v="0"/>
    <x v="0"/>
    <x v="8"/>
    <x v="16"/>
    <s v="PL_A"/>
    <x v="4"/>
    <x v="187"/>
    <x v="0"/>
    <x v="5"/>
    <n v="492.30769230769198"/>
    <n v="179692.30769230801"/>
    <n v="646892.30769230798"/>
  </r>
  <r>
    <x v="0"/>
    <x v="0"/>
    <x v="0"/>
    <x v="8"/>
    <x v="16"/>
    <s v="PL_A"/>
    <x v="4"/>
    <x v="187"/>
    <x v="0"/>
    <x v="6"/>
    <n v="492.30769230769198"/>
    <n v="179692.30769230801"/>
    <n v="646892.30769230798"/>
  </r>
  <r>
    <x v="0"/>
    <x v="0"/>
    <x v="0"/>
    <x v="8"/>
    <x v="16"/>
    <s v="PL_A"/>
    <x v="4"/>
    <x v="187"/>
    <x v="0"/>
    <x v="7"/>
    <n v="492.30769230769198"/>
    <n v="179692.30769230801"/>
    <n v="646892.30769230798"/>
  </r>
  <r>
    <x v="0"/>
    <x v="0"/>
    <x v="0"/>
    <x v="8"/>
    <x v="16"/>
    <s v="PL_A"/>
    <x v="4"/>
    <x v="187"/>
    <x v="0"/>
    <x v="8"/>
    <n v="492.30769230769198"/>
    <n v="179692.30769230801"/>
    <n v="646892.30769230798"/>
  </r>
  <r>
    <x v="0"/>
    <x v="0"/>
    <x v="0"/>
    <x v="8"/>
    <x v="16"/>
    <s v="PL_A"/>
    <x v="4"/>
    <x v="187"/>
    <x v="0"/>
    <x v="9"/>
    <n v="492.30769230769198"/>
    <n v="179692.30769230801"/>
    <n v="646892.30769230798"/>
  </r>
  <r>
    <x v="0"/>
    <x v="0"/>
    <x v="0"/>
    <x v="8"/>
    <x v="16"/>
    <s v="PL_A"/>
    <x v="4"/>
    <x v="187"/>
    <x v="0"/>
    <x v="10"/>
    <n v="492.30769230769198"/>
    <n v="179692.30769230801"/>
    <n v="646892.30769230798"/>
  </r>
  <r>
    <x v="0"/>
    <x v="0"/>
    <x v="0"/>
    <x v="8"/>
    <x v="16"/>
    <s v="PL_A"/>
    <x v="4"/>
    <x v="187"/>
    <x v="0"/>
    <x v="11"/>
    <n v="492.30769230769198"/>
    <n v="179692.30769230801"/>
    <n v="646892.30769230798"/>
  </r>
  <r>
    <x v="0"/>
    <x v="0"/>
    <x v="0"/>
    <x v="8"/>
    <x v="16"/>
    <s v="PL_A"/>
    <x v="4"/>
    <x v="187"/>
    <x v="0"/>
    <x v="12"/>
    <n v="492.30769230769198"/>
    <n v="179692.30769230801"/>
    <n v="646892.30769230798"/>
  </r>
  <r>
    <x v="0"/>
    <x v="0"/>
    <x v="0"/>
    <x v="8"/>
    <x v="16"/>
    <s v="PL_A"/>
    <x v="4"/>
    <x v="187"/>
    <x v="0"/>
    <x v="13"/>
    <n v="492.30769230769198"/>
    <n v="179692.30769230801"/>
    <n v="646892.30769230798"/>
  </r>
  <r>
    <x v="0"/>
    <x v="0"/>
    <x v="0"/>
    <x v="8"/>
    <x v="16"/>
    <s v="PL_A"/>
    <x v="4"/>
    <x v="187"/>
    <x v="0"/>
    <x v="14"/>
    <n v="492.30769230769198"/>
    <n v="179692.30769230801"/>
    <n v="646892.30769230798"/>
  </r>
  <r>
    <x v="0"/>
    <x v="0"/>
    <x v="0"/>
    <x v="8"/>
    <x v="16"/>
    <s v="PL_A"/>
    <x v="4"/>
    <x v="187"/>
    <x v="0"/>
    <x v="15"/>
    <n v="492.30769230769198"/>
    <n v="179692.30769230801"/>
    <n v="646892.30769230798"/>
  </r>
  <r>
    <x v="0"/>
    <x v="0"/>
    <x v="0"/>
    <x v="8"/>
    <x v="16"/>
    <s v="PL_A"/>
    <x v="4"/>
    <x v="187"/>
    <x v="0"/>
    <x v="16"/>
    <n v="492.30769230769198"/>
    <n v="179692.30769230801"/>
    <n v="646892.30769230798"/>
  </r>
  <r>
    <x v="0"/>
    <x v="0"/>
    <x v="0"/>
    <x v="8"/>
    <x v="16"/>
    <s v="PL_A"/>
    <x v="4"/>
    <x v="187"/>
    <x v="0"/>
    <x v="17"/>
    <n v="492.30769230769198"/>
    <n v="179692.30769230801"/>
    <n v="646892.30769230798"/>
  </r>
  <r>
    <x v="0"/>
    <x v="0"/>
    <x v="0"/>
    <x v="8"/>
    <x v="16"/>
    <s v="PL_A"/>
    <x v="4"/>
    <x v="187"/>
    <x v="0"/>
    <x v="18"/>
    <n v="492.30769230769198"/>
    <n v="179692.30769230801"/>
    <n v="646892.30769230798"/>
  </r>
  <r>
    <x v="0"/>
    <x v="0"/>
    <x v="0"/>
    <x v="8"/>
    <x v="16"/>
    <s v="PL_A"/>
    <x v="4"/>
    <x v="187"/>
    <x v="0"/>
    <x v="19"/>
    <n v="492.30769230769198"/>
    <n v="179692.30769230801"/>
    <n v="646892.30769230798"/>
  </r>
  <r>
    <x v="0"/>
    <x v="0"/>
    <x v="0"/>
    <x v="8"/>
    <x v="16"/>
    <s v="PL_A"/>
    <x v="4"/>
    <x v="187"/>
    <x v="0"/>
    <x v="20"/>
    <n v="492.30769230769198"/>
    <n v="179692.30769230801"/>
    <n v="646892.30769230798"/>
  </r>
  <r>
    <x v="0"/>
    <x v="0"/>
    <x v="0"/>
    <x v="8"/>
    <x v="16"/>
    <s v="PL_A"/>
    <x v="4"/>
    <x v="187"/>
    <x v="0"/>
    <x v="21"/>
    <n v="492.30769230769198"/>
    <n v="179692.30769230801"/>
    <n v="646892.30769230798"/>
  </r>
  <r>
    <x v="0"/>
    <x v="0"/>
    <x v="0"/>
    <x v="8"/>
    <x v="16"/>
    <s v="PL_A"/>
    <x v="4"/>
    <x v="187"/>
    <x v="0"/>
    <x v="22"/>
    <n v="492.30769230769198"/>
    <n v="179692.30769230801"/>
    <n v="646892.30769230798"/>
  </r>
  <r>
    <x v="0"/>
    <x v="0"/>
    <x v="0"/>
    <x v="8"/>
    <x v="16"/>
    <s v="PL_A"/>
    <x v="4"/>
    <x v="187"/>
    <x v="0"/>
    <x v="23"/>
    <n v="492.30769230769198"/>
    <n v="179692.30769230801"/>
    <n v="646892.30769230798"/>
  </r>
  <r>
    <x v="0"/>
    <x v="0"/>
    <x v="0"/>
    <x v="8"/>
    <x v="16"/>
    <s v="PL_A"/>
    <x v="4"/>
    <x v="188"/>
    <x v="0"/>
    <x v="0"/>
    <n v="6500"/>
    <n v="2372500"/>
    <n v="8541000"/>
  </r>
  <r>
    <x v="0"/>
    <x v="0"/>
    <x v="0"/>
    <x v="8"/>
    <x v="16"/>
    <s v="PL_A"/>
    <x v="4"/>
    <x v="188"/>
    <x v="0"/>
    <x v="1"/>
    <n v="6500"/>
    <n v="2372500"/>
    <n v="8541000"/>
  </r>
  <r>
    <x v="0"/>
    <x v="0"/>
    <x v="0"/>
    <x v="8"/>
    <x v="16"/>
    <s v="PL_A"/>
    <x v="4"/>
    <x v="188"/>
    <x v="0"/>
    <x v="2"/>
    <n v="6500"/>
    <n v="2372500"/>
    <n v="8541000"/>
  </r>
  <r>
    <x v="0"/>
    <x v="0"/>
    <x v="0"/>
    <x v="8"/>
    <x v="16"/>
    <s v="PL_A"/>
    <x v="4"/>
    <x v="188"/>
    <x v="0"/>
    <x v="3"/>
    <n v="6500"/>
    <n v="2372500"/>
    <n v="8541000"/>
  </r>
  <r>
    <x v="0"/>
    <x v="0"/>
    <x v="0"/>
    <x v="8"/>
    <x v="16"/>
    <s v="PL_A"/>
    <x v="4"/>
    <x v="188"/>
    <x v="0"/>
    <x v="4"/>
    <n v="6500"/>
    <n v="2372500"/>
    <n v="8541000"/>
  </r>
  <r>
    <x v="0"/>
    <x v="0"/>
    <x v="0"/>
    <x v="8"/>
    <x v="16"/>
    <s v="PL_A"/>
    <x v="4"/>
    <x v="188"/>
    <x v="0"/>
    <x v="5"/>
    <n v="6500"/>
    <n v="2372500"/>
    <n v="8541000"/>
  </r>
  <r>
    <x v="0"/>
    <x v="0"/>
    <x v="0"/>
    <x v="8"/>
    <x v="16"/>
    <s v="PL_A"/>
    <x v="4"/>
    <x v="188"/>
    <x v="0"/>
    <x v="6"/>
    <n v="6500"/>
    <n v="2372500"/>
    <n v="8541000"/>
  </r>
  <r>
    <x v="0"/>
    <x v="0"/>
    <x v="0"/>
    <x v="8"/>
    <x v="16"/>
    <s v="PL_A"/>
    <x v="4"/>
    <x v="188"/>
    <x v="0"/>
    <x v="7"/>
    <n v="6268.8142448641502"/>
    <n v="2288117.1993754101"/>
    <n v="8237221.9177514901"/>
  </r>
  <r>
    <x v="0"/>
    <x v="0"/>
    <x v="0"/>
    <x v="8"/>
    <x v="16"/>
    <s v="PL_A"/>
    <x v="4"/>
    <x v="188"/>
    <x v="0"/>
    <x v="8"/>
    <n v="6058.8714445539899"/>
    <n v="2211488.0772622102"/>
    <n v="7961357.0781439403"/>
  </r>
  <r>
    <x v="0"/>
    <x v="0"/>
    <x v="0"/>
    <x v="8"/>
    <x v="16"/>
    <s v="PL_A"/>
    <x v="4"/>
    <x v="188"/>
    <x v="0"/>
    <x v="9"/>
    <n v="5868.3079796570601"/>
    <n v="2141932.41257483"/>
    <n v="7710956.68526938"/>
  </r>
  <r>
    <x v="0"/>
    <x v="0"/>
    <x v="0"/>
    <x v="8"/>
    <x v="16"/>
    <s v="PL_A"/>
    <x v="4"/>
    <x v="188"/>
    <x v="0"/>
    <x v="10"/>
    <n v="5986.1238501733897"/>
    <n v="2184935.20531329"/>
    <n v="7865766.7391278297"/>
  </r>
  <r>
    <x v="0"/>
    <x v="0"/>
    <x v="0"/>
    <x v="8"/>
    <x v="16"/>
    <s v="PL_A"/>
    <x v="4"/>
    <x v="188"/>
    <x v="0"/>
    <x v="11"/>
    <n v="5555.0087238095903"/>
    <n v="2027578.1841905001"/>
    <n v="7299281.4630858004"/>
  </r>
  <r>
    <x v="0"/>
    <x v="0"/>
    <x v="0"/>
    <x v="8"/>
    <x v="16"/>
    <s v="PL_A"/>
    <x v="4"/>
    <x v="188"/>
    <x v="0"/>
    <x v="12"/>
    <n v="5432.2729328590403"/>
    <n v="1982779.6204935501"/>
    <n v="7138006.6337767802"/>
  </r>
  <r>
    <x v="0"/>
    <x v="0"/>
    <x v="0"/>
    <x v="8"/>
    <x v="16"/>
    <s v="PL_A"/>
    <x v="4"/>
    <x v="188"/>
    <x v="0"/>
    <x v="13"/>
    <n v="5332.1463665572601"/>
    <n v="1946233.4237933999"/>
    <n v="7006440.3256562399"/>
  </r>
  <r>
    <x v="0"/>
    <x v="0"/>
    <x v="0"/>
    <x v="8"/>
    <x v="16"/>
    <s v="PL_A"/>
    <x v="4"/>
    <x v="188"/>
    <x v="0"/>
    <x v="14"/>
    <n v="5270.7784710819897"/>
    <n v="1923834.14194493"/>
    <n v="6925802.91100174"/>
  </r>
  <r>
    <x v="0"/>
    <x v="0"/>
    <x v="0"/>
    <x v="8"/>
    <x v="16"/>
    <s v="PL_A"/>
    <x v="4"/>
    <x v="188"/>
    <x v="0"/>
    <x v="15"/>
    <n v="5225.5600217844103"/>
    <n v="1907329.40795131"/>
    <n v="6866385.8686247198"/>
  </r>
  <r>
    <x v="0"/>
    <x v="0"/>
    <x v="0"/>
    <x v="8"/>
    <x v="16"/>
    <s v="PL_A"/>
    <x v="4"/>
    <x v="188"/>
    <x v="0"/>
    <x v="16"/>
    <n v="5440.2424663829097"/>
    <n v="1985688.5002297601"/>
    <n v="7148478.6008271398"/>
  </r>
  <r>
    <x v="0"/>
    <x v="0"/>
    <x v="0"/>
    <x v="8"/>
    <x v="16"/>
    <s v="PL_A"/>
    <x v="4"/>
    <x v="188"/>
    <x v="0"/>
    <x v="17"/>
    <n v="5440.27256936698"/>
    <n v="1985699.4878189501"/>
    <n v="7148518.1561482102"/>
  </r>
  <r>
    <x v="0"/>
    <x v="0"/>
    <x v="0"/>
    <x v="8"/>
    <x v="16"/>
    <s v="PL_A"/>
    <x v="4"/>
    <x v="188"/>
    <x v="0"/>
    <x v="18"/>
    <n v="5112.5138985404701"/>
    <n v="1866067.5729672699"/>
    <n v="6717843.2626821799"/>
  </r>
  <r>
    <x v="0"/>
    <x v="0"/>
    <x v="0"/>
    <x v="8"/>
    <x v="16"/>
    <s v="PL_A"/>
    <x v="4"/>
    <x v="188"/>
    <x v="0"/>
    <x v="19"/>
    <n v="5067.2954492429099"/>
    <n v="1849562.83897366"/>
    <n v="6658426.2203051904"/>
  </r>
  <r>
    <x v="0"/>
    <x v="0"/>
    <x v="0"/>
    <x v="8"/>
    <x v="16"/>
    <s v="PL_A"/>
    <x v="4"/>
    <x v="188"/>
    <x v="0"/>
    <x v="20"/>
    <n v="5028.53677841641"/>
    <n v="1835415.9241219901"/>
    <n v="6607497.3268391602"/>
  </r>
  <r>
    <x v="0"/>
    <x v="0"/>
    <x v="0"/>
    <x v="8"/>
    <x v="16"/>
    <s v="PL_A"/>
    <x v="4"/>
    <x v="188"/>
    <x v="0"/>
    <x v="21"/>
    <n v="4989.7781075899302"/>
    <n v="1821269.0092703199"/>
    <n v="6556568.4333731597"/>
  </r>
  <r>
    <x v="0"/>
    <x v="0"/>
    <x v="0"/>
    <x v="8"/>
    <x v="16"/>
    <s v="PL_A"/>
    <x v="4"/>
    <x v="188"/>
    <x v="0"/>
    <x v="22"/>
    <n v="4960.7091044700501"/>
    <n v="1810658.8231315699"/>
    <n v="6518371.7632736396"/>
  </r>
  <r>
    <x v="0"/>
    <x v="0"/>
    <x v="0"/>
    <x v="8"/>
    <x v="16"/>
    <s v="PL_A"/>
    <x v="4"/>
    <x v="188"/>
    <x v="0"/>
    <x v="23"/>
    <n v="4951.0194367634203"/>
    <n v="1807122.09441865"/>
    <n v="6505639.5399071397"/>
  </r>
  <r>
    <x v="0"/>
    <x v="0"/>
    <x v="0"/>
    <x v="8"/>
    <x v="16"/>
    <s v="PL_A"/>
    <x v="4"/>
    <x v="189"/>
    <x v="0"/>
    <x v="0"/>
    <n v="546.66666666666697"/>
    <n v="199533.33333333299"/>
    <n v="718320"/>
  </r>
  <r>
    <x v="0"/>
    <x v="0"/>
    <x v="0"/>
    <x v="8"/>
    <x v="16"/>
    <s v="PL_A"/>
    <x v="4"/>
    <x v="189"/>
    <x v="0"/>
    <x v="1"/>
    <n v="546.66666666666697"/>
    <n v="199533.33333333299"/>
    <n v="718320"/>
  </r>
  <r>
    <x v="0"/>
    <x v="0"/>
    <x v="0"/>
    <x v="8"/>
    <x v="16"/>
    <s v="PL_A"/>
    <x v="4"/>
    <x v="189"/>
    <x v="0"/>
    <x v="2"/>
    <n v="546.66666666666697"/>
    <n v="199533.33333333299"/>
    <n v="718320"/>
  </r>
  <r>
    <x v="0"/>
    <x v="0"/>
    <x v="0"/>
    <x v="8"/>
    <x v="16"/>
    <s v="PL_A"/>
    <x v="4"/>
    <x v="189"/>
    <x v="0"/>
    <x v="3"/>
    <n v="546.66666666666697"/>
    <n v="199533.33333333299"/>
    <n v="718320"/>
  </r>
  <r>
    <x v="0"/>
    <x v="0"/>
    <x v="0"/>
    <x v="8"/>
    <x v="16"/>
    <s v="PL_A"/>
    <x v="4"/>
    <x v="189"/>
    <x v="0"/>
    <x v="4"/>
    <n v="546.66666666666697"/>
    <n v="199533.33333333299"/>
    <n v="718320"/>
  </r>
  <r>
    <x v="0"/>
    <x v="0"/>
    <x v="0"/>
    <x v="8"/>
    <x v="16"/>
    <s v="PL_A"/>
    <x v="4"/>
    <x v="189"/>
    <x v="0"/>
    <x v="5"/>
    <n v="546.66666666666697"/>
    <n v="199533.33333333299"/>
    <n v="718320"/>
  </r>
  <r>
    <x v="0"/>
    <x v="0"/>
    <x v="0"/>
    <x v="8"/>
    <x v="16"/>
    <s v="PL_A"/>
    <x v="4"/>
    <x v="189"/>
    <x v="0"/>
    <x v="6"/>
    <n v="546.66666666666697"/>
    <n v="199533.33333333299"/>
    <n v="718320"/>
  </r>
  <r>
    <x v="0"/>
    <x v="0"/>
    <x v="0"/>
    <x v="8"/>
    <x v="16"/>
    <s v="PL_A"/>
    <x v="4"/>
    <x v="189"/>
    <x v="0"/>
    <x v="7"/>
    <n v="546.66666666666697"/>
    <n v="199533.33333333299"/>
    <n v="718320"/>
  </r>
  <r>
    <x v="0"/>
    <x v="0"/>
    <x v="0"/>
    <x v="8"/>
    <x v="16"/>
    <s v="PL_A"/>
    <x v="4"/>
    <x v="189"/>
    <x v="0"/>
    <x v="8"/>
    <n v="546.66666666666697"/>
    <n v="199533.33333333299"/>
    <n v="718320"/>
  </r>
  <r>
    <x v="0"/>
    <x v="0"/>
    <x v="0"/>
    <x v="8"/>
    <x v="16"/>
    <s v="PL_A"/>
    <x v="4"/>
    <x v="189"/>
    <x v="0"/>
    <x v="9"/>
    <n v="546.66666666666697"/>
    <n v="199533.33333333299"/>
    <n v="718320"/>
  </r>
  <r>
    <x v="0"/>
    <x v="0"/>
    <x v="0"/>
    <x v="8"/>
    <x v="16"/>
    <s v="PL_A"/>
    <x v="4"/>
    <x v="189"/>
    <x v="0"/>
    <x v="10"/>
    <n v="546.66666666666697"/>
    <n v="199533.33333333299"/>
    <n v="718320"/>
  </r>
  <r>
    <x v="0"/>
    <x v="0"/>
    <x v="0"/>
    <x v="8"/>
    <x v="16"/>
    <s v="PL_A"/>
    <x v="4"/>
    <x v="189"/>
    <x v="0"/>
    <x v="11"/>
    <n v="546.66666666666697"/>
    <n v="199533.33333333299"/>
    <n v="718320"/>
  </r>
  <r>
    <x v="0"/>
    <x v="0"/>
    <x v="0"/>
    <x v="8"/>
    <x v="16"/>
    <s v="PL_A"/>
    <x v="4"/>
    <x v="189"/>
    <x v="0"/>
    <x v="12"/>
    <n v="546.66666666666697"/>
    <n v="199533.33333333299"/>
    <n v="718320"/>
  </r>
  <r>
    <x v="0"/>
    <x v="0"/>
    <x v="0"/>
    <x v="8"/>
    <x v="16"/>
    <s v="PL_A"/>
    <x v="4"/>
    <x v="189"/>
    <x v="0"/>
    <x v="13"/>
    <n v="546.66666666666697"/>
    <n v="199533.33333333299"/>
    <n v="718320"/>
  </r>
  <r>
    <x v="0"/>
    <x v="0"/>
    <x v="0"/>
    <x v="8"/>
    <x v="16"/>
    <s v="PL_A"/>
    <x v="4"/>
    <x v="189"/>
    <x v="0"/>
    <x v="14"/>
    <n v="546.66666666666697"/>
    <n v="199533.33333333299"/>
    <n v="718320"/>
  </r>
  <r>
    <x v="0"/>
    <x v="0"/>
    <x v="0"/>
    <x v="8"/>
    <x v="16"/>
    <s v="PL_A"/>
    <x v="4"/>
    <x v="189"/>
    <x v="0"/>
    <x v="15"/>
    <n v="546.66666666666697"/>
    <n v="199533.33333333299"/>
    <n v="718320"/>
  </r>
  <r>
    <x v="0"/>
    <x v="0"/>
    <x v="0"/>
    <x v="8"/>
    <x v="16"/>
    <s v="PL_A"/>
    <x v="4"/>
    <x v="189"/>
    <x v="0"/>
    <x v="16"/>
    <n v="546.66666666666697"/>
    <n v="199533.33333333299"/>
    <n v="718320"/>
  </r>
  <r>
    <x v="0"/>
    <x v="0"/>
    <x v="0"/>
    <x v="8"/>
    <x v="16"/>
    <s v="PL_A"/>
    <x v="4"/>
    <x v="189"/>
    <x v="0"/>
    <x v="17"/>
    <n v="546.66666666666697"/>
    <n v="199533.33333333299"/>
    <n v="718320"/>
  </r>
  <r>
    <x v="0"/>
    <x v="0"/>
    <x v="0"/>
    <x v="8"/>
    <x v="16"/>
    <s v="PL_A"/>
    <x v="4"/>
    <x v="189"/>
    <x v="0"/>
    <x v="18"/>
    <n v="546.66666666666697"/>
    <n v="199533.33333333299"/>
    <n v="718320"/>
  </r>
  <r>
    <x v="0"/>
    <x v="0"/>
    <x v="0"/>
    <x v="8"/>
    <x v="16"/>
    <s v="PL_A"/>
    <x v="4"/>
    <x v="189"/>
    <x v="0"/>
    <x v="19"/>
    <n v="546.66666666666697"/>
    <n v="199533.33333333299"/>
    <n v="718320"/>
  </r>
  <r>
    <x v="0"/>
    <x v="0"/>
    <x v="0"/>
    <x v="8"/>
    <x v="16"/>
    <s v="PL_A"/>
    <x v="4"/>
    <x v="189"/>
    <x v="0"/>
    <x v="20"/>
    <n v="546.66666666666697"/>
    <n v="199533.33333333299"/>
    <n v="718320"/>
  </r>
  <r>
    <x v="0"/>
    <x v="0"/>
    <x v="0"/>
    <x v="8"/>
    <x v="16"/>
    <s v="PL_A"/>
    <x v="4"/>
    <x v="189"/>
    <x v="0"/>
    <x v="21"/>
    <n v="546.66666666666697"/>
    <n v="199533.33333333299"/>
    <n v="718320"/>
  </r>
  <r>
    <x v="0"/>
    <x v="0"/>
    <x v="0"/>
    <x v="8"/>
    <x v="16"/>
    <s v="PL_A"/>
    <x v="4"/>
    <x v="189"/>
    <x v="0"/>
    <x v="22"/>
    <n v="546.66666666666697"/>
    <n v="199533.33333333299"/>
    <n v="718320"/>
  </r>
  <r>
    <x v="0"/>
    <x v="0"/>
    <x v="0"/>
    <x v="8"/>
    <x v="16"/>
    <s v="PL_A"/>
    <x v="4"/>
    <x v="189"/>
    <x v="0"/>
    <x v="23"/>
    <n v="546.66666666666697"/>
    <n v="199533.33333333299"/>
    <n v="718320"/>
  </r>
  <r>
    <x v="0"/>
    <x v="0"/>
    <x v="0"/>
    <x v="8"/>
    <x v="16"/>
    <s v="PL_A"/>
    <x v="4"/>
    <x v="190"/>
    <x v="0"/>
    <x v="0"/>
    <n v="303.44827586206901"/>
    <n v="110758.620689655"/>
    <n v="398731.03448275902"/>
  </r>
  <r>
    <x v="0"/>
    <x v="0"/>
    <x v="0"/>
    <x v="8"/>
    <x v="16"/>
    <s v="PL_A"/>
    <x v="4"/>
    <x v="190"/>
    <x v="0"/>
    <x v="1"/>
    <n v="303.44827586206901"/>
    <n v="110758.620689655"/>
    <n v="398731.03448275902"/>
  </r>
  <r>
    <x v="0"/>
    <x v="0"/>
    <x v="0"/>
    <x v="8"/>
    <x v="16"/>
    <s v="PL_A"/>
    <x v="4"/>
    <x v="190"/>
    <x v="0"/>
    <x v="2"/>
    <n v="303.44827586206901"/>
    <n v="110758.620689655"/>
    <n v="398731.03448275902"/>
  </r>
  <r>
    <x v="0"/>
    <x v="0"/>
    <x v="0"/>
    <x v="8"/>
    <x v="16"/>
    <s v="PL_A"/>
    <x v="4"/>
    <x v="190"/>
    <x v="0"/>
    <x v="3"/>
    <n v="303.44827586206901"/>
    <n v="110758.620689655"/>
    <n v="398731.03448275902"/>
  </r>
  <r>
    <x v="0"/>
    <x v="0"/>
    <x v="0"/>
    <x v="8"/>
    <x v="16"/>
    <s v="PL_A"/>
    <x v="4"/>
    <x v="190"/>
    <x v="0"/>
    <x v="4"/>
    <n v="303.44827586206901"/>
    <n v="110758.620689655"/>
    <n v="398731.03448275902"/>
  </r>
  <r>
    <x v="0"/>
    <x v="0"/>
    <x v="0"/>
    <x v="8"/>
    <x v="16"/>
    <s v="PL_A"/>
    <x v="4"/>
    <x v="190"/>
    <x v="0"/>
    <x v="5"/>
    <n v="303.44827586206901"/>
    <n v="110758.620689655"/>
    <n v="398731.03448275902"/>
  </r>
  <r>
    <x v="0"/>
    <x v="0"/>
    <x v="0"/>
    <x v="8"/>
    <x v="16"/>
    <s v="PL_A"/>
    <x v="4"/>
    <x v="190"/>
    <x v="0"/>
    <x v="6"/>
    <n v="303.44827586206901"/>
    <n v="110758.620689655"/>
    <n v="398731.03448275902"/>
  </r>
  <r>
    <x v="0"/>
    <x v="0"/>
    <x v="0"/>
    <x v="8"/>
    <x v="16"/>
    <s v="PL_A"/>
    <x v="4"/>
    <x v="190"/>
    <x v="0"/>
    <x v="7"/>
    <n v="303.44827586206901"/>
    <n v="110758.620689655"/>
    <n v="398731.03448275902"/>
  </r>
  <r>
    <x v="0"/>
    <x v="0"/>
    <x v="0"/>
    <x v="8"/>
    <x v="16"/>
    <s v="PL_A"/>
    <x v="4"/>
    <x v="190"/>
    <x v="0"/>
    <x v="8"/>
    <n v="303.44827586206901"/>
    <n v="110758.620689655"/>
    <n v="398731.03448275902"/>
  </r>
  <r>
    <x v="0"/>
    <x v="0"/>
    <x v="0"/>
    <x v="8"/>
    <x v="16"/>
    <s v="PL_A"/>
    <x v="4"/>
    <x v="190"/>
    <x v="0"/>
    <x v="9"/>
    <n v="303.44827586206901"/>
    <n v="110758.620689655"/>
    <n v="398731.03448275902"/>
  </r>
  <r>
    <x v="0"/>
    <x v="0"/>
    <x v="0"/>
    <x v="8"/>
    <x v="16"/>
    <s v="PL_A"/>
    <x v="4"/>
    <x v="190"/>
    <x v="0"/>
    <x v="10"/>
    <n v="303.44827586206901"/>
    <n v="110758.620689655"/>
    <n v="398731.03448275902"/>
  </r>
  <r>
    <x v="0"/>
    <x v="0"/>
    <x v="0"/>
    <x v="8"/>
    <x v="16"/>
    <s v="PL_A"/>
    <x v="4"/>
    <x v="190"/>
    <x v="0"/>
    <x v="11"/>
    <n v="303.44827586206901"/>
    <n v="110758.620689655"/>
    <n v="398731.03448275902"/>
  </r>
  <r>
    <x v="0"/>
    <x v="0"/>
    <x v="0"/>
    <x v="8"/>
    <x v="16"/>
    <s v="PL_A"/>
    <x v="4"/>
    <x v="190"/>
    <x v="0"/>
    <x v="12"/>
    <n v="303.44827586206901"/>
    <n v="110758.620689655"/>
    <n v="398731.03448275902"/>
  </r>
  <r>
    <x v="0"/>
    <x v="0"/>
    <x v="0"/>
    <x v="8"/>
    <x v="16"/>
    <s v="PL_A"/>
    <x v="4"/>
    <x v="190"/>
    <x v="0"/>
    <x v="13"/>
    <n v="303.44827586206901"/>
    <n v="110758.620689655"/>
    <n v="398731.03448275902"/>
  </r>
  <r>
    <x v="0"/>
    <x v="0"/>
    <x v="0"/>
    <x v="8"/>
    <x v="16"/>
    <s v="PL_A"/>
    <x v="4"/>
    <x v="190"/>
    <x v="0"/>
    <x v="14"/>
    <n v="303.44827586206901"/>
    <n v="110758.620689655"/>
    <n v="398731.03448275902"/>
  </r>
  <r>
    <x v="0"/>
    <x v="0"/>
    <x v="0"/>
    <x v="8"/>
    <x v="16"/>
    <s v="PL_A"/>
    <x v="4"/>
    <x v="190"/>
    <x v="0"/>
    <x v="15"/>
    <n v="303.44827586206901"/>
    <n v="110758.620689655"/>
    <n v="398731.03448275902"/>
  </r>
  <r>
    <x v="0"/>
    <x v="0"/>
    <x v="0"/>
    <x v="8"/>
    <x v="16"/>
    <s v="PL_A"/>
    <x v="4"/>
    <x v="190"/>
    <x v="0"/>
    <x v="16"/>
    <n v="303.44827586206901"/>
    <n v="110758.620689655"/>
    <n v="398731.03448275902"/>
  </r>
  <r>
    <x v="0"/>
    <x v="0"/>
    <x v="0"/>
    <x v="8"/>
    <x v="16"/>
    <s v="PL_A"/>
    <x v="4"/>
    <x v="190"/>
    <x v="0"/>
    <x v="17"/>
    <n v="303.44827586206901"/>
    <n v="110758.620689655"/>
    <n v="398731.03448275902"/>
  </r>
  <r>
    <x v="0"/>
    <x v="0"/>
    <x v="0"/>
    <x v="8"/>
    <x v="16"/>
    <s v="PL_A"/>
    <x v="4"/>
    <x v="190"/>
    <x v="0"/>
    <x v="18"/>
    <n v="303.44827586206901"/>
    <n v="110758.620689655"/>
    <n v="398731.03448275902"/>
  </r>
  <r>
    <x v="0"/>
    <x v="0"/>
    <x v="0"/>
    <x v="8"/>
    <x v="16"/>
    <s v="PL_A"/>
    <x v="4"/>
    <x v="190"/>
    <x v="0"/>
    <x v="19"/>
    <n v="303.44827586206901"/>
    <n v="110758.620689655"/>
    <n v="398731.03448275902"/>
  </r>
  <r>
    <x v="0"/>
    <x v="0"/>
    <x v="0"/>
    <x v="8"/>
    <x v="16"/>
    <s v="PL_A"/>
    <x v="4"/>
    <x v="190"/>
    <x v="0"/>
    <x v="20"/>
    <n v="303.44827586206901"/>
    <n v="110758.620689655"/>
    <n v="398731.03448275902"/>
  </r>
  <r>
    <x v="0"/>
    <x v="0"/>
    <x v="0"/>
    <x v="8"/>
    <x v="16"/>
    <s v="PL_A"/>
    <x v="4"/>
    <x v="190"/>
    <x v="0"/>
    <x v="21"/>
    <n v="303.44827586206901"/>
    <n v="110758.620689655"/>
    <n v="398731.03448275902"/>
  </r>
  <r>
    <x v="0"/>
    <x v="0"/>
    <x v="0"/>
    <x v="8"/>
    <x v="16"/>
    <s v="PL_A"/>
    <x v="4"/>
    <x v="190"/>
    <x v="0"/>
    <x v="22"/>
    <n v="303.44827586206901"/>
    <n v="110758.620689655"/>
    <n v="398731.03448275902"/>
  </r>
  <r>
    <x v="0"/>
    <x v="0"/>
    <x v="0"/>
    <x v="8"/>
    <x v="16"/>
    <s v="PL_A"/>
    <x v="4"/>
    <x v="190"/>
    <x v="0"/>
    <x v="23"/>
    <n v="303.44827586206901"/>
    <n v="110758.620689655"/>
    <n v="398731.03448275902"/>
  </r>
  <r>
    <x v="0"/>
    <x v="0"/>
    <x v="0"/>
    <x v="8"/>
    <x v="16"/>
    <s v="PL_A"/>
    <x v="8"/>
    <x v="56"/>
    <x v="0"/>
    <x v="8"/>
    <n v="2.2203077554217899E-2"/>
    <n v="8.1041233072895391"/>
    <n v="29.174843906242302"/>
  </r>
  <r>
    <x v="0"/>
    <x v="0"/>
    <x v="0"/>
    <x v="8"/>
    <x v="16"/>
    <s v="PL_A"/>
    <x v="8"/>
    <x v="56"/>
    <x v="0"/>
    <x v="9"/>
    <n v="0.16714932230559901"/>
    <n v="61.009502641543797"/>
    <n v="219.63420950955799"/>
  </r>
  <r>
    <x v="0"/>
    <x v="0"/>
    <x v="0"/>
    <x v="8"/>
    <x v="16"/>
    <s v="PL_A"/>
    <x v="8"/>
    <x v="56"/>
    <x v="0"/>
    <x v="10"/>
    <n v="0.38610582557104101"/>
    <n v="140.92862633343"/>
    <n v="507.34305480034698"/>
  </r>
  <r>
    <x v="0"/>
    <x v="0"/>
    <x v="0"/>
    <x v="8"/>
    <x v="16"/>
    <s v="PL_A"/>
    <x v="8"/>
    <x v="56"/>
    <x v="0"/>
    <x v="11"/>
    <n v="0.58798303841015997"/>
    <n v="214.61380901970901"/>
    <n v="772.60971247095097"/>
  </r>
  <r>
    <x v="0"/>
    <x v="0"/>
    <x v="0"/>
    <x v="8"/>
    <x v="16"/>
    <s v="PL_A"/>
    <x v="8"/>
    <x v="56"/>
    <x v="0"/>
    <x v="12"/>
    <n v="0.66848342728622201"/>
    <n v="243.99645095947099"/>
    <n v="878.38722345409599"/>
  </r>
  <r>
    <x v="0"/>
    <x v="0"/>
    <x v="0"/>
    <x v="8"/>
    <x v="16"/>
    <s v="PL_A"/>
    <x v="8"/>
    <x v="56"/>
    <x v="0"/>
    <x v="13"/>
    <n v="0.58126518417580697"/>
    <n v="212.16179222417"/>
    <n v="763.78245200701099"/>
  </r>
  <r>
    <x v="0"/>
    <x v="0"/>
    <x v="0"/>
    <x v="8"/>
    <x v="16"/>
    <s v="PL_A"/>
    <x v="8"/>
    <x v="56"/>
    <x v="0"/>
    <x v="14"/>
    <n v="0.37824935197493298"/>
    <n v="138.06101347085001"/>
    <n v="497.01964849506197"/>
  </r>
  <r>
    <x v="0"/>
    <x v="0"/>
    <x v="0"/>
    <x v="8"/>
    <x v="16"/>
    <s v="PL_A"/>
    <x v="8"/>
    <x v="56"/>
    <x v="0"/>
    <x v="15"/>
    <n v="0.191515776647151"/>
    <n v="69.903258476210297"/>
    <n v="251.65173051435701"/>
  </r>
  <r>
    <x v="0"/>
    <x v="0"/>
    <x v="0"/>
    <x v="8"/>
    <x v="16"/>
    <s v="PL_A"/>
    <x v="8"/>
    <x v="56"/>
    <x v="0"/>
    <x v="16"/>
    <n v="2.4935764022429301E-2"/>
    <n v="9.1015538681867092"/>
    <n v="32.765593925472203"/>
  </r>
  <r>
    <x v="0"/>
    <x v="0"/>
    <x v="0"/>
    <x v="8"/>
    <x v="16"/>
    <s v="PL_A"/>
    <x v="10"/>
    <x v="58"/>
    <x v="0"/>
    <x v="0"/>
    <n v="209.95498743155599"/>
    <n v="76633.570412517802"/>
    <n v="275880.853485064"/>
  </r>
  <r>
    <x v="0"/>
    <x v="0"/>
    <x v="0"/>
    <x v="8"/>
    <x v="16"/>
    <s v="PL_A"/>
    <x v="10"/>
    <x v="58"/>
    <x v="0"/>
    <x v="1"/>
    <n v="251.94598491786701"/>
    <n v="91960.284495021304"/>
    <n v="331057.02418207697"/>
  </r>
  <r>
    <x v="0"/>
    <x v="0"/>
    <x v="0"/>
    <x v="8"/>
    <x v="16"/>
    <s v="PL_A"/>
    <x v="10"/>
    <x v="58"/>
    <x v="0"/>
    <x v="2"/>
    <n v="245.947270991251"/>
    <n v="89770.753911806503"/>
    <n v="323174.71408250398"/>
  </r>
  <r>
    <x v="0"/>
    <x v="0"/>
    <x v="0"/>
    <x v="8"/>
    <x v="16"/>
    <s v="PL_A"/>
    <x v="10"/>
    <x v="58"/>
    <x v="0"/>
    <x v="3"/>
    <n v="230.95048617471099"/>
    <n v="84296.927453769604"/>
    <n v="303468.93883356999"/>
  </r>
  <r>
    <x v="0"/>
    <x v="0"/>
    <x v="0"/>
    <x v="8"/>
    <x v="16"/>
    <s v="PL_A"/>
    <x v="10"/>
    <x v="58"/>
    <x v="0"/>
    <x v="4"/>
    <n v="170.96334690855201"/>
    <n v="62401.621621621598"/>
    <n v="224645.83783783799"/>
  </r>
  <r>
    <x v="0"/>
    <x v="0"/>
    <x v="0"/>
    <x v="8"/>
    <x v="16"/>
    <s v="PL_A"/>
    <x v="10"/>
    <x v="58"/>
    <x v="0"/>
    <x v="5"/>
    <n v="98.978779789161905"/>
    <n v="36127.2546230441"/>
    <n v="130058.11664295899"/>
  </r>
  <r>
    <x v="0"/>
    <x v="0"/>
    <x v="0"/>
    <x v="8"/>
    <x v="16"/>
    <s v="PL_A"/>
    <x v="10"/>
    <x v="58"/>
    <x v="0"/>
    <x v="6"/>
    <n v="20.995498743155601"/>
    <n v="7663.3570412517802"/>
    <n v="27588.0853485064"/>
  </r>
  <r>
    <x v="0"/>
    <x v="0"/>
    <x v="0"/>
    <x v="8"/>
    <x v="16"/>
    <s v="PL_A"/>
    <x v="10"/>
    <x v="58"/>
    <x v="0"/>
    <x v="7"/>
    <n v="14.9967848165397"/>
    <n v="5473.8264580369796"/>
    <n v="19705.7752489331"/>
  </r>
  <r>
    <x v="0"/>
    <x v="0"/>
    <x v="0"/>
    <x v="8"/>
    <x v="16"/>
    <s v="PL_A"/>
    <x v="10"/>
    <x v="58"/>
    <x v="0"/>
    <x v="8"/>
    <n v="20.995498743155601"/>
    <n v="7663.3570412517802"/>
    <n v="27588.0853485064"/>
  </r>
  <r>
    <x v="0"/>
    <x v="0"/>
    <x v="0"/>
    <x v="8"/>
    <x v="16"/>
    <s v="PL_A"/>
    <x v="10"/>
    <x v="58"/>
    <x v="0"/>
    <x v="9"/>
    <n v="98.978779789161905"/>
    <n v="36127.2546230441"/>
    <n v="130058.11664295899"/>
  </r>
  <r>
    <x v="0"/>
    <x v="0"/>
    <x v="0"/>
    <x v="8"/>
    <x v="16"/>
    <s v="PL_A"/>
    <x v="10"/>
    <x v="58"/>
    <x v="0"/>
    <x v="10"/>
    <n v="230.95048617471099"/>
    <n v="84296.927453769604"/>
    <n v="303468.93883356999"/>
  </r>
  <r>
    <x v="0"/>
    <x v="0"/>
    <x v="0"/>
    <x v="8"/>
    <x v="16"/>
    <s v="PL_A"/>
    <x v="10"/>
    <x v="58"/>
    <x v="0"/>
    <x v="11"/>
    <n v="356.92347863364398"/>
    <n v="130277.06970127999"/>
    <n v="468997.45092460897"/>
  </r>
  <r>
    <x v="0"/>
    <x v="0"/>
    <x v="0"/>
    <x v="8"/>
    <x v="16"/>
    <s v="PL_A"/>
    <x v="10"/>
    <x v="58"/>
    <x v="0"/>
    <x v="12"/>
    <n v="413.91126093649501"/>
    <n v="151077.61024182101"/>
    <n v="543879.39687055501"/>
  </r>
  <r>
    <x v="0"/>
    <x v="0"/>
    <x v="0"/>
    <x v="8"/>
    <x v="16"/>
    <s v="PL_A"/>
    <x v="10"/>
    <x v="58"/>
    <x v="0"/>
    <x v="13"/>
    <n v="473.89840020265399"/>
    <n v="172972.91607396901"/>
    <n v="622702.49786628701"/>
  </r>
  <r>
    <x v="0"/>
    <x v="0"/>
    <x v="0"/>
    <x v="8"/>
    <x v="16"/>
    <s v="PL_A"/>
    <x v="10"/>
    <x v="58"/>
    <x v="0"/>
    <x v="14"/>
    <n v="473.89840020265399"/>
    <n v="172972.91607396901"/>
    <n v="622702.49786628701"/>
  </r>
  <r>
    <x v="0"/>
    <x v="0"/>
    <x v="0"/>
    <x v="8"/>
    <x v="16"/>
    <s v="PL_A"/>
    <x v="10"/>
    <x v="58"/>
    <x v="0"/>
    <x v="15"/>
    <n v="749.839240826984"/>
    <n v="273691.32290184899"/>
    <n v="985288.76244665706"/>
  </r>
  <r>
    <x v="0"/>
    <x v="0"/>
    <x v="0"/>
    <x v="8"/>
    <x v="16"/>
    <s v="PL_A"/>
    <x v="10"/>
    <x v="58"/>
    <x v="0"/>
    <x v="16"/>
    <n v="968.79229914846303"/>
    <n v="353609.189189189"/>
    <n v="1272993.08108108"/>
  </r>
  <r>
    <x v="0"/>
    <x v="0"/>
    <x v="0"/>
    <x v="8"/>
    <x v="16"/>
    <s v="PL_A"/>
    <x v="10"/>
    <x v="58"/>
    <x v="0"/>
    <x v="17"/>
    <n v="956.79487129523204"/>
    <n v="349230.12802275998"/>
    <n v="1257228.4608819301"/>
  </r>
  <r>
    <x v="0"/>
    <x v="0"/>
    <x v="0"/>
    <x v="8"/>
    <x v="16"/>
    <s v="PL_A"/>
    <x v="10"/>
    <x v="58"/>
    <x v="0"/>
    <x v="18"/>
    <n v="1307.7196360022599"/>
    <n v="477317.66714082501"/>
    <n v="1718343.60170697"/>
  </r>
  <r>
    <x v="0"/>
    <x v="0"/>
    <x v="0"/>
    <x v="8"/>
    <x v="16"/>
    <s v="PL_A"/>
    <x v="10"/>
    <x v="58"/>
    <x v="0"/>
    <x v="19"/>
    <n v="1946.5826691868499"/>
    <n v="710502.674253201"/>
    <n v="2557809.6273115198"/>
  </r>
  <r>
    <x v="0"/>
    <x v="0"/>
    <x v="0"/>
    <x v="8"/>
    <x v="16"/>
    <s v="PL_A"/>
    <x v="10"/>
    <x v="58"/>
    <x v="0"/>
    <x v="20"/>
    <n v="2255.5164364075699"/>
    <n v="823263.49928876304"/>
    <n v="2963748.5974395499"/>
  </r>
  <r>
    <x v="0"/>
    <x v="0"/>
    <x v="0"/>
    <x v="8"/>
    <x v="16"/>
    <s v="PL_A"/>
    <x v="10"/>
    <x v="58"/>
    <x v="0"/>
    <x v="21"/>
    <n v="2432.4784972427401"/>
    <n v="887854.65149359906"/>
    <n v="3196276.7453769599"/>
  </r>
  <r>
    <x v="0"/>
    <x v="0"/>
    <x v="0"/>
    <x v="8"/>
    <x v="16"/>
    <s v="PL_A"/>
    <x v="10"/>
    <x v="58"/>
    <x v="0"/>
    <x v="22"/>
    <n v="2471.4701377657402"/>
    <n v="902086.60028449504"/>
    <n v="3247511.7610241799"/>
  </r>
  <r>
    <x v="0"/>
    <x v="0"/>
    <x v="0"/>
    <x v="8"/>
    <x v="16"/>
    <s v="PL_A"/>
    <x v="10"/>
    <x v="58"/>
    <x v="0"/>
    <x v="23"/>
    <n v="2573.4482745182099"/>
    <n v="939308.62019914598"/>
    <n v="3381511.0327169299"/>
  </r>
  <r>
    <x v="0"/>
    <x v="0"/>
    <x v="0"/>
    <x v="8"/>
    <x v="16"/>
    <s v="PL_A"/>
    <x v="13"/>
    <x v="191"/>
    <x v="0"/>
    <x v="0"/>
    <n v="450.32087356330402"/>
    <n v="164367.118850606"/>
    <n v="591721.62786218198"/>
  </r>
  <r>
    <x v="0"/>
    <x v="0"/>
    <x v="0"/>
    <x v="8"/>
    <x v="16"/>
    <s v="PL_A"/>
    <x v="13"/>
    <x v="191"/>
    <x v="0"/>
    <x v="1"/>
    <n v="501.999101331963"/>
    <n v="183229.671986167"/>
    <n v="659626.8191502"/>
  </r>
  <r>
    <x v="0"/>
    <x v="0"/>
    <x v="0"/>
    <x v="8"/>
    <x v="16"/>
    <s v="PL_A"/>
    <x v="13"/>
    <x v="191"/>
    <x v="0"/>
    <x v="2"/>
    <n v="518.14854750966504"/>
    <n v="189124.21984102801"/>
    <n v="680847.19142769999"/>
  </r>
  <r>
    <x v="0"/>
    <x v="0"/>
    <x v="0"/>
    <x v="8"/>
    <x v="16"/>
    <s v="PL_A"/>
    <x v="13"/>
    <x v="191"/>
    <x v="0"/>
    <x v="3"/>
    <n v="469.70020897655598"/>
    <n v="171440.576276443"/>
    <n v="617186.07459519396"/>
  </r>
  <r>
    <x v="0"/>
    <x v="0"/>
    <x v="0"/>
    <x v="8"/>
    <x v="16"/>
    <s v="PL_A"/>
    <x v="13"/>
    <x v="191"/>
    <x v="0"/>
    <x v="4"/>
    <n v="363.113864203692"/>
    <n v="132536.56043434801"/>
    <n v="477131.617563651"/>
  </r>
  <r>
    <x v="0"/>
    <x v="0"/>
    <x v="0"/>
    <x v="8"/>
    <x v="16"/>
    <s v="PL_A"/>
    <x v="13"/>
    <x v="191"/>
    <x v="0"/>
    <x v="5"/>
    <n v="208.079180897719"/>
    <n v="75948.901027667496"/>
    <n v="273416.043699603"/>
  </r>
  <r>
    <x v="0"/>
    <x v="0"/>
    <x v="0"/>
    <x v="8"/>
    <x v="16"/>
    <s v="PL_A"/>
    <x v="13"/>
    <x v="191"/>
    <x v="0"/>
    <x v="6"/>
    <n v="11.055937529735299"/>
    <n v="4035.4171983533802"/>
    <n v="14527.5019140722"/>
  </r>
  <r>
    <x v="0"/>
    <x v="0"/>
    <x v="0"/>
    <x v="8"/>
    <x v="16"/>
    <s v="PL_A"/>
    <x v="13"/>
    <x v="192"/>
    <x v="0"/>
    <x v="0"/>
    <n v="2622.2222222222199"/>
    <n v="957111.11111111101"/>
    <n v="3445600"/>
  </r>
  <r>
    <x v="0"/>
    <x v="0"/>
    <x v="0"/>
    <x v="8"/>
    <x v="16"/>
    <s v="PL_A"/>
    <x v="13"/>
    <x v="192"/>
    <x v="0"/>
    <x v="1"/>
    <n v="2622.2222222222199"/>
    <n v="957111.11111111101"/>
    <n v="3445600"/>
  </r>
  <r>
    <x v="0"/>
    <x v="0"/>
    <x v="0"/>
    <x v="8"/>
    <x v="16"/>
    <s v="PL_A"/>
    <x v="13"/>
    <x v="192"/>
    <x v="0"/>
    <x v="2"/>
    <n v="2622.2222222222199"/>
    <n v="957111.11111111101"/>
    <n v="3445600"/>
  </r>
  <r>
    <x v="0"/>
    <x v="0"/>
    <x v="0"/>
    <x v="8"/>
    <x v="16"/>
    <s v="PL_A"/>
    <x v="13"/>
    <x v="192"/>
    <x v="0"/>
    <x v="3"/>
    <n v="2622.2222222222199"/>
    <n v="957111.11111111101"/>
    <n v="3445600"/>
  </r>
  <r>
    <x v="0"/>
    <x v="0"/>
    <x v="0"/>
    <x v="8"/>
    <x v="16"/>
    <s v="PL_A"/>
    <x v="13"/>
    <x v="192"/>
    <x v="0"/>
    <x v="4"/>
    <n v="2622.2222222222199"/>
    <n v="957111.11111111101"/>
    <n v="3445600"/>
  </r>
  <r>
    <x v="0"/>
    <x v="0"/>
    <x v="0"/>
    <x v="8"/>
    <x v="16"/>
    <s v="PL_A"/>
    <x v="13"/>
    <x v="192"/>
    <x v="0"/>
    <x v="5"/>
    <n v="2622.2222222222199"/>
    <n v="957111.11111111101"/>
    <n v="3445600"/>
  </r>
  <r>
    <x v="0"/>
    <x v="0"/>
    <x v="0"/>
    <x v="8"/>
    <x v="16"/>
    <s v="PL_A"/>
    <x v="13"/>
    <x v="192"/>
    <x v="0"/>
    <x v="6"/>
    <n v="2622.2222222222199"/>
    <n v="957111.11111111101"/>
    <n v="3445600"/>
  </r>
  <r>
    <x v="0"/>
    <x v="0"/>
    <x v="0"/>
    <x v="8"/>
    <x v="16"/>
    <s v="PL_A"/>
    <x v="13"/>
    <x v="192"/>
    <x v="0"/>
    <x v="7"/>
    <n v="2622.2222222222199"/>
    <n v="957111.11111111101"/>
    <n v="3445600"/>
  </r>
  <r>
    <x v="0"/>
    <x v="0"/>
    <x v="0"/>
    <x v="8"/>
    <x v="16"/>
    <s v="PL_A"/>
    <x v="13"/>
    <x v="192"/>
    <x v="0"/>
    <x v="8"/>
    <n v="2622.2222222222199"/>
    <n v="957111.11111111101"/>
    <n v="3445600"/>
  </r>
  <r>
    <x v="0"/>
    <x v="0"/>
    <x v="0"/>
    <x v="8"/>
    <x v="16"/>
    <s v="PL_A"/>
    <x v="13"/>
    <x v="192"/>
    <x v="0"/>
    <x v="9"/>
    <n v="2622.2222222222199"/>
    <n v="957111.11111111101"/>
    <n v="3445600"/>
  </r>
  <r>
    <x v="0"/>
    <x v="0"/>
    <x v="0"/>
    <x v="8"/>
    <x v="16"/>
    <s v="PL_A"/>
    <x v="13"/>
    <x v="192"/>
    <x v="0"/>
    <x v="10"/>
    <n v="2622.2222222222199"/>
    <n v="957111.11111111101"/>
    <n v="3445600"/>
  </r>
  <r>
    <x v="0"/>
    <x v="0"/>
    <x v="0"/>
    <x v="8"/>
    <x v="16"/>
    <s v="PL_A"/>
    <x v="13"/>
    <x v="192"/>
    <x v="0"/>
    <x v="11"/>
    <n v="2622.2222222222199"/>
    <n v="957111.11111111101"/>
    <n v="3445600"/>
  </r>
  <r>
    <x v="0"/>
    <x v="0"/>
    <x v="0"/>
    <x v="8"/>
    <x v="16"/>
    <s v="PL_A"/>
    <x v="13"/>
    <x v="192"/>
    <x v="0"/>
    <x v="12"/>
    <n v="2622.2222222222199"/>
    <n v="957111.11111111101"/>
    <n v="3445600"/>
  </r>
  <r>
    <x v="0"/>
    <x v="0"/>
    <x v="0"/>
    <x v="8"/>
    <x v="16"/>
    <s v="PL_A"/>
    <x v="13"/>
    <x v="192"/>
    <x v="0"/>
    <x v="13"/>
    <n v="2622.2222222222199"/>
    <n v="957111.11111111101"/>
    <n v="3445600"/>
  </r>
  <r>
    <x v="0"/>
    <x v="0"/>
    <x v="0"/>
    <x v="8"/>
    <x v="16"/>
    <s v="PL_A"/>
    <x v="13"/>
    <x v="192"/>
    <x v="0"/>
    <x v="14"/>
    <n v="2622.2222222222199"/>
    <n v="957111.11111111101"/>
    <n v="3445600"/>
  </r>
  <r>
    <x v="0"/>
    <x v="0"/>
    <x v="0"/>
    <x v="8"/>
    <x v="16"/>
    <s v="PL_A"/>
    <x v="13"/>
    <x v="192"/>
    <x v="0"/>
    <x v="15"/>
    <n v="2622.2222222222199"/>
    <n v="957111.11111111101"/>
    <n v="3445600"/>
  </r>
  <r>
    <x v="0"/>
    <x v="0"/>
    <x v="0"/>
    <x v="8"/>
    <x v="16"/>
    <s v="PL_A"/>
    <x v="13"/>
    <x v="192"/>
    <x v="0"/>
    <x v="16"/>
    <n v="2622.2222222222199"/>
    <n v="957111.11111111101"/>
    <n v="3445600"/>
  </r>
  <r>
    <x v="0"/>
    <x v="0"/>
    <x v="0"/>
    <x v="8"/>
    <x v="16"/>
    <s v="PL_A"/>
    <x v="13"/>
    <x v="192"/>
    <x v="0"/>
    <x v="17"/>
    <n v="2622.2222222222199"/>
    <n v="957111.11111111101"/>
    <n v="3445600"/>
  </r>
  <r>
    <x v="0"/>
    <x v="0"/>
    <x v="0"/>
    <x v="8"/>
    <x v="16"/>
    <s v="PL_A"/>
    <x v="13"/>
    <x v="192"/>
    <x v="0"/>
    <x v="18"/>
    <n v="2622.2222222222199"/>
    <n v="957111.11111111101"/>
    <n v="3445600"/>
  </r>
  <r>
    <x v="0"/>
    <x v="0"/>
    <x v="0"/>
    <x v="8"/>
    <x v="16"/>
    <s v="PL_A"/>
    <x v="13"/>
    <x v="192"/>
    <x v="0"/>
    <x v="19"/>
    <n v="2622.2222222222199"/>
    <n v="957111.11111111101"/>
    <n v="3445600"/>
  </r>
  <r>
    <x v="0"/>
    <x v="0"/>
    <x v="0"/>
    <x v="8"/>
    <x v="16"/>
    <s v="PL_A"/>
    <x v="13"/>
    <x v="192"/>
    <x v="0"/>
    <x v="20"/>
    <n v="2622.2222222222199"/>
    <n v="957111.11111111101"/>
    <n v="3445600"/>
  </r>
  <r>
    <x v="0"/>
    <x v="0"/>
    <x v="0"/>
    <x v="8"/>
    <x v="16"/>
    <s v="PL_A"/>
    <x v="13"/>
    <x v="192"/>
    <x v="0"/>
    <x v="21"/>
    <n v="2622.2222222222199"/>
    <n v="957111.11111111101"/>
    <n v="3445600"/>
  </r>
  <r>
    <x v="0"/>
    <x v="0"/>
    <x v="0"/>
    <x v="8"/>
    <x v="16"/>
    <s v="PL_A"/>
    <x v="13"/>
    <x v="192"/>
    <x v="0"/>
    <x v="22"/>
    <n v="2622.2222222222199"/>
    <n v="957111.11111111101"/>
    <n v="3445600"/>
  </r>
  <r>
    <x v="0"/>
    <x v="0"/>
    <x v="0"/>
    <x v="8"/>
    <x v="16"/>
    <s v="PL_A"/>
    <x v="13"/>
    <x v="192"/>
    <x v="0"/>
    <x v="23"/>
    <n v="2622.2222222222199"/>
    <n v="957111.11111111101"/>
    <n v="3445600"/>
  </r>
  <r>
    <x v="0"/>
    <x v="0"/>
    <x v="0"/>
    <x v="8"/>
    <x v="16"/>
    <s v="PL_Rural"/>
    <x v="9"/>
    <x v="57"/>
    <x v="0"/>
    <x v="0"/>
    <n v="263.81563926940601"/>
    <n v="96292.708333333299"/>
    <n v="346653.75"/>
  </r>
  <r>
    <x v="0"/>
    <x v="0"/>
    <x v="0"/>
    <x v="8"/>
    <x v="16"/>
    <s v="PL_Rural"/>
    <x v="9"/>
    <x v="57"/>
    <x v="0"/>
    <x v="1"/>
    <n v="263.81563926940601"/>
    <n v="96292.708333333299"/>
    <n v="346653.75"/>
  </r>
  <r>
    <x v="0"/>
    <x v="0"/>
    <x v="0"/>
    <x v="8"/>
    <x v="16"/>
    <s v="PL_Rural"/>
    <x v="9"/>
    <x v="57"/>
    <x v="0"/>
    <x v="2"/>
    <n v="263.81563926940601"/>
    <n v="96292.708333333299"/>
    <n v="346653.75"/>
  </r>
  <r>
    <x v="0"/>
    <x v="0"/>
    <x v="0"/>
    <x v="8"/>
    <x v="16"/>
    <s v="PL_Rural"/>
    <x v="9"/>
    <x v="57"/>
    <x v="0"/>
    <x v="3"/>
    <n v="263.81563926940601"/>
    <n v="96292.708333333299"/>
    <n v="346653.75"/>
  </r>
  <r>
    <x v="0"/>
    <x v="0"/>
    <x v="0"/>
    <x v="8"/>
    <x v="16"/>
    <s v="PL_Rural"/>
    <x v="9"/>
    <x v="57"/>
    <x v="0"/>
    <x v="4"/>
    <n v="263.81563926940601"/>
    <n v="96292.708333333299"/>
    <n v="346653.75"/>
  </r>
  <r>
    <x v="0"/>
    <x v="0"/>
    <x v="0"/>
    <x v="8"/>
    <x v="16"/>
    <s v="PL_Rural"/>
    <x v="9"/>
    <x v="57"/>
    <x v="0"/>
    <x v="5"/>
    <n v="263.81563926940601"/>
    <n v="96292.708333333299"/>
    <n v="346653.75"/>
  </r>
  <r>
    <x v="0"/>
    <x v="0"/>
    <x v="0"/>
    <x v="8"/>
    <x v="16"/>
    <s v="PL_Rural"/>
    <x v="9"/>
    <x v="57"/>
    <x v="0"/>
    <x v="6"/>
    <n v="263.81563926940601"/>
    <n v="96292.708333333299"/>
    <n v="346653.75"/>
  </r>
  <r>
    <x v="0"/>
    <x v="0"/>
    <x v="0"/>
    <x v="8"/>
    <x v="16"/>
    <s v="PL_Rural"/>
    <x v="9"/>
    <x v="57"/>
    <x v="0"/>
    <x v="7"/>
    <n v="263.81563926940601"/>
    <n v="96292.708333333299"/>
    <n v="346653.75"/>
  </r>
  <r>
    <x v="0"/>
    <x v="0"/>
    <x v="0"/>
    <x v="8"/>
    <x v="16"/>
    <s v="PL_Rural"/>
    <x v="9"/>
    <x v="57"/>
    <x v="0"/>
    <x v="8"/>
    <n v="263.81563926940601"/>
    <n v="96292.708333333299"/>
    <n v="346653.75"/>
  </r>
  <r>
    <x v="0"/>
    <x v="0"/>
    <x v="0"/>
    <x v="8"/>
    <x v="16"/>
    <s v="PL_Rural"/>
    <x v="9"/>
    <x v="57"/>
    <x v="0"/>
    <x v="9"/>
    <n v="263.81563926940601"/>
    <n v="96292.708333333299"/>
    <n v="346653.75"/>
  </r>
  <r>
    <x v="0"/>
    <x v="0"/>
    <x v="0"/>
    <x v="8"/>
    <x v="16"/>
    <s v="PL_Rural"/>
    <x v="9"/>
    <x v="57"/>
    <x v="0"/>
    <x v="10"/>
    <n v="263.81563926940601"/>
    <n v="96292.708333333299"/>
    <n v="346653.75"/>
  </r>
  <r>
    <x v="0"/>
    <x v="0"/>
    <x v="0"/>
    <x v="8"/>
    <x v="16"/>
    <s v="PL_Rural"/>
    <x v="9"/>
    <x v="57"/>
    <x v="0"/>
    <x v="11"/>
    <n v="263.81563926940601"/>
    <n v="96292.708333333299"/>
    <n v="346653.75"/>
  </r>
  <r>
    <x v="0"/>
    <x v="0"/>
    <x v="0"/>
    <x v="8"/>
    <x v="16"/>
    <s v="PL_Rural"/>
    <x v="9"/>
    <x v="57"/>
    <x v="0"/>
    <x v="12"/>
    <n v="263.81563926940601"/>
    <n v="96292.708333333299"/>
    <n v="346653.75"/>
  </r>
  <r>
    <x v="0"/>
    <x v="0"/>
    <x v="0"/>
    <x v="8"/>
    <x v="16"/>
    <s v="PL_Rural"/>
    <x v="9"/>
    <x v="57"/>
    <x v="0"/>
    <x v="13"/>
    <n v="263.81563926940601"/>
    <n v="96292.708333333299"/>
    <n v="346653.75"/>
  </r>
  <r>
    <x v="0"/>
    <x v="0"/>
    <x v="0"/>
    <x v="8"/>
    <x v="16"/>
    <s v="PL_Rural"/>
    <x v="9"/>
    <x v="57"/>
    <x v="0"/>
    <x v="14"/>
    <n v="263.81563926940601"/>
    <n v="96292.708333333299"/>
    <n v="346653.75"/>
  </r>
  <r>
    <x v="0"/>
    <x v="0"/>
    <x v="0"/>
    <x v="8"/>
    <x v="16"/>
    <s v="PL_Rural"/>
    <x v="9"/>
    <x v="57"/>
    <x v="0"/>
    <x v="15"/>
    <n v="263.81563926940601"/>
    <n v="96292.708333333299"/>
    <n v="346653.75"/>
  </r>
  <r>
    <x v="0"/>
    <x v="0"/>
    <x v="0"/>
    <x v="8"/>
    <x v="16"/>
    <s v="PL_Rural"/>
    <x v="9"/>
    <x v="57"/>
    <x v="0"/>
    <x v="16"/>
    <n v="263.81563926940601"/>
    <n v="96292.708333333299"/>
    <n v="346653.75"/>
  </r>
  <r>
    <x v="0"/>
    <x v="0"/>
    <x v="0"/>
    <x v="8"/>
    <x v="16"/>
    <s v="PL_Rural"/>
    <x v="9"/>
    <x v="57"/>
    <x v="0"/>
    <x v="17"/>
    <n v="263.81563926940601"/>
    <n v="96292.708333333299"/>
    <n v="346653.75"/>
  </r>
  <r>
    <x v="0"/>
    <x v="0"/>
    <x v="0"/>
    <x v="8"/>
    <x v="16"/>
    <s v="PL_Rural"/>
    <x v="9"/>
    <x v="57"/>
    <x v="0"/>
    <x v="18"/>
    <n v="263.81563926940601"/>
    <n v="96292.708333333299"/>
    <n v="346653.75"/>
  </r>
  <r>
    <x v="0"/>
    <x v="0"/>
    <x v="0"/>
    <x v="8"/>
    <x v="16"/>
    <s v="PL_Rural"/>
    <x v="9"/>
    <x v="57"/>
    <x v="0"/>
    <x v="19"/>
    <n v="263.81563926940601"/>
    <n v="96292.708333333299"/>
    <n v="346653.75"/>
  </r>
  <r>
    <x v="0"/>
    <x v="0"/>
    <x v="0"/>
    <x v="8"/>
    <x v="16"/>
    <s v="PL_Rural"/>
    <x v="9"/>
    <x v="57"/>
    <x v="0"/>
    <x v="20"/>
    <n v="263.81563926940601"/>
    <n v="96292.708333333299"/>
    <n v="346653.75"/>
  </r>
  <r>
    <x v="0"/>
    <x v="0"/>
    <x v="0"/>
    <x v="8"/>
    <x v="16"/>
    <s v="PL_Rural"/>
    <x v="9"/>
    <x v="57"/>
    <x v="0"/>
    <x v="21"/>
    <n v="263.81563926940601"/>
    <n v="96292.708333333299"/>
    <n v="346653.75"/>
  </r>
  <r>
    <x v="0"/>
    <x v="0"/>
    <x v="0"/>
    <x v="8"/>
    <x v="16"/>
    <s v="PL_Rural"/>
    <x v="9"/>
    <x v="57"/>
    <x v="0"/>
    <x v="22"/>
    <n v="263.81563926940601"/>
    <n v="96292.708333333299"/>
    <n v="346653.75"/>
  </r>
  <r>
    <x v="0"/>
    <x v="0"/>
    <x v="0"/>
    <x v="8"/>
    <x v="16"/>
    <s v="PL_Rural"/>
    <x v="9"/>
    <x v="57"/>
    <x v="0"/>
    <x v="23"/>
    <n v="263.81563926940601"/>
    <n v="96292.708333333299"/>
    <n v="346653.75"/>
  </r>
  <r>
    <x v="0"/>
    <x v="0"/>
    <x v="0"/>
    <x v="9"/>
    <x v="17"/>
    <s v="SE1A"/>
    <x v="9"/>
    <x v="128"/>
    <x v="0"/>
    <x v="0"/>
    <n v="405.5"/>
    <n v="148007.5"/>
    <n v="532827"/>
  </r>
  <r>
    <x v="0"/>
    <x v="0"/>
    <x v="0"/>
    <x v="9"/>
    <x v="17"/>
    <s v="SE1A"/>
    <x v="9"/>
    <x v="128"/>
    <x v="0"/>
    <x v="1"/>
    <n v="405.5"/>
    <n v="148007.5"/>
    <n v="532827"/>
  </r>
  <r>
    <x v="0"/>
    <x v="0"/>
    <x v="0"/>
    <x v="9"/>
    <x v="17"/>
    <s v="SE1A"/>
    <x v="9"/>
    <x v="128"/>
    <x v="0"/>
    <x v="2"/>
    <n v="405.5"/>
    <n v="148007.5"/>
    <n v="532827"/>
  </r>
  <r>
    <x v="0"/>
    <x v="0"/>
    <x v="0"/>
    <x v="9"/>
    <x v="17"/>
    <s v="SE1A"/>
    <x v="9"/>
    <x v="128"/>
    <x v="0"/>
    <x v="3"/>
    <n v="405.5"/>
    <n v="148007.5"/>
    <n v="532827"/>
  </r>
  <r>
    <x v="0"/>
    <x v="0"/>
    <x v="0"/>
    <x v="9"/>
    <x v="17"/>
    <s v="SE1A"/>
    <x v="9"/>
    <x v="128"/>
    <x v="0"/>
    <x v="4"/>
    <n v="405.5"/>
    <n v="148007.5"/>
    <n v="532827"/>
  </r>
  <r>
    <x v="0"/>
    <x v="0"/>
    <x v="0"/>
    <x v="9"/>
    <x v="17"/>
    <s v="SE1A"/>
    <x v="9"/>
    <x v="128"/>
    <x v="0"/>
    <x v="5"/>
    <n v="405.5"/>
    <n v="148007.5"/>
    <n v="532827"/>
  </r>
  <r>
    <x v="0"/>
    <x v="0"/>
    <x v="0"/>
    <x v="9"/>
    <x v="17"/>
    <s v="SE1A"/>
    <x v="9"/>
    <x v="128"/>
    <x v="0"/>
    <x v="6"/>
    <n v="405.5"/>
    <n v="148007.5"/>
    <n v="532827"/>
  </r>
  <r>
    <x v="0"/>
    <x v="0"/>
    <x v="0"/>
    <x v="9"/>
    <x v="17"/>
    <s v="SE1A"/>
    <x v="9"/>
    <x v="128"/>
    <x v="0"/>
    <x v="7"/>
    <n v="405.5"/>
    <n v="148007.5"/>
    <n v="532827"/>
  </r>
  <r>
    <x v="0"/>
    <x v="0"/>
    <x v="0"/>
    <x v="9"/>
    <x v="17"/>
    <s v="SE1A"/>
    <x v="9"/>
    <x v="128"/>
    <x v="0"/>
    <x v="8"/>
    <n v="405.5"/>
    <n v="148007.5"/>
    <n v="532827"/>
  </r>
  <r>
    <x v="0"/>
    <x v="0"/>
    <x v="0"/>
    <x v="9"/>
    <x v="17"/>
    <s v="SE1A"/>
    <x v="9"/>
    <x v="128"/>
    <x v="0"/>
    <x v="9"/>
    <n v="405.5"/>
    <n v="148007.5"/>
    <n v="532827"/>
  </r>
  <r>
    <x v="0"/>
    <x v="0"/>
    <x v="0"/>
    <x v="9"/>
    <x v="17"/>
    <s v="SE1A"/>
    <x v="9"/>
    <x v="128"/>
    <x v="0"/>
    <x v="10"/>
    <n v="405.5"/>
    <n v="148007.5"/>
    <n v="532827"/>
  </r>
  <r>
    <x v="0"/>
    <x v="0"/>
    <x v="0"/>
    <x v="9"/>
    <x v="17"/>
    <s v="SE1A"/>
    <x v="9"/>
    <x v="128"/>
    <x v="0"/>
    <x v="11"/>
    <n v="405.5"/>
    <n v="148007.5"/>
    <n v="532827"/>
  </r>
  <r>
    <x v="0"/>
    <x v="0"/>
    <x v="0"/>
    <x v="9"/>
    <x v="17"/>
    <s v="SE1A"/>
    <x v="9"/>
    <x v="128"/>
    <x v="0"/>
    <x v="12"/>
    <n v="405.5"/>
    <n v="148007.5"/>
    <n v="532827"/>
  </r>
  <r>
    <x v="0"/>
    <x v="0"/>
    <x v="0"/>
    <x v="9"/>
    <x v="17"/>
    <s v="SE1A"/>
    <x v="9"/>
    <x v="128"/>
    <x v="0"/>
    <x v="13"/>
    <n v="405.5"/>
    <n v="148007.5"/>
    <n v="532827"/>
  </r>
  <r>
    <x v="0"/>
    <x v="0"/>
    <x v="0"/>
    <x v="9"/>
    <x v="17"/>
    <s v="SE1A"/>
    <x v="9"/>
    <x v="128"/>
    <x v="0"/>
    <x v="14"/>
    <n v="405.5"/>
    <n v="148007.5"/>
    <n v="532827"/>
  </r>
  <r>
    <x v="0"/>
    <x v="0"/>
    <x v="0"/>
    <x v="9"/>
    <x v="17"/>
    <s v="SE1A"/>
    <x v="9"/>
    <x v="128"/>
    <x v="0"/>
    <x v="15"/>
    <n v="405.5"/>
    <n v="148007.5"/>
    <n v="532827"/>
  </r>
  <r>
    <x v="0"/>
    <x v="0"/>
    <x v="0"/>
    <x v="9"/>
    <x v="17"/>
    <s v="SE1A"/>
    <x v="9"/>
    <x v="128"/>
    <x v="0"/>
    <x v="16"/>
    <n v="405.5"/>
    <n v="148007.5"/>
    <n v="532827"/>
  </r>
  <r>
    <x v="0"/>
    <x v="0"/>
    <x v="0"/>
    <x v="9"/>
    <x v="17"/>
    <s v="SE1A"/>
    <x v="9"/>
    <x v="128"/>
    <x v="0"/>
    <x v="17"/>
    <n v="405.5"/>
    <n v="148007.5"/>
    <n v="532827"/>
  </r>
  <r>
    <x v="0"/>
    <x v="0"/>
    <x v="0"/>
    <x v="9"/>
    <x v="17"/>
    <s v="SE1A"/>
    <x v="9"/>
    <x v="128"/>
    <x v="0"/>
    <x v="18"/>
    <n v="405.5"/>
    <n v="148007.5"/>
    <n v="532827"/>
  </r>
  <r>
    <x v="0"/>
    <x v="0"/>
    <x v="0"/>
    <x v="9"/>
    <x v="17"/>
    <s v="SE1A"/>
    <x v="9"/>
    <x v="128"/>
    <x v="0"/>
    <x v="19"/>
    <n v="405.5"/>
    <n v="148007.5"/>
    <n v="532827"/>
  </r>
  <r>
    <x v="0"/>
    <x v="0"/>
    <x v="0"/>
    <x v="9"/>
    <x v="17"/>
    <s v="SE1A"/>
    <x v="9"/>
    <x v="128"/>
    <x v="0"/>
    <x v="20"/>
    <n v="405.5"/>
    <n v="148007.5"/>
    <n v="532827"/>
  </r>
  <r>
    <x v="0"/>
    <x v="0"/>
    <x v="0"/>
    <x v="9"/>
    <x v="17"/>
    <s v="SE1A"/>
    <x v="9"/>
    <x v="128"/>
    <x v="0"/>
    <x v="21"/>
    <n v="405.5"/>
    <n v="148007.5"/>
    <n v="532827"/>
  </r>
  <r>
    <x v="0"/>
    <x v="0"/>
    <x v="0"/>
    <x v="9"/>
    <x v="17"/>
    <s v="SE1A"/>
    <x v="9"/>
    <x v="128"/>
    <x v="0"/>
    <x v="22"/>
    <n v="405.5"/>
    <n v="148007.5"/>
    <n v="532827"/>
  </r>
  <r>
    <x v="0"/>
    <x v="0"/>
    <x v="0"/>
    <x v="9"/>
    <x v="17"/>
    <s v="SE1A"/>
    <x v="9"/>
    <x v="128"/>
    <x v="0"/>
    <x v="23"/>
    <n v="405.5"/>
    <n v="148007.5"/>
    <n v="532827"/>
  </r>
  <r>
    <x v="0"/>
    <x v="0"/>
    <x v="0"/>
    <x v="9"/>
    <x v="17"/>
    <s v="SE1A"/>
    <x v="9"/>
    <x v="129"/>
    <x v="0"/>
    <x v="0"/>
    <n v="405.5"/>
    <n v="148007.5"/>
    <n v="532827"/>
  </r>
  <r>
    <x v="0"/>
    <x v="0"/>
    <x v="0"/>
    <x v="9"/>
    <x v="17"/>
    <s v="SE1A"/>
    <x v="9"/>
    <x v="129"/>
    <x v="0"/>
    <x v="1"/>
    <n v="405.5"/>
    <n v="148007.5"/>
    <n v="532827"/>
  </r>
  <r>
    <x v="0"/>
    <x v="0"/>
    <x v="0"/>
    <x v="9"/>
    <x v="17"/>
    <s v="SE1A"/>
    <x v="9"/>
    <x v="129"/>
    <x v="0"/>
    <x v="2"/>
    <n v="405.5"/>
    <n v="148007.5"/>
    <n v="532827"/>
  </r>
  <r>
    <x v="0"/>
    <x v="0"/>
    <x v="0"/>
    <x v="9"/>
    <x v="17"/>
    <s v="SE1A"/>
    <x v="9"/>
    <x v="129"/>
    <x v="0"/>
    <x v="3"/>
    <n v="405.5"/>
    <n v="148007.5"/>
    <n v="532827"/>
  </r>
  <r>
    <x v="0"/>
    <x v="0"/>
    <x v="0"/>
    <x v="9"/>
    <x v="17"/>
    <s v="SE1A"/>
    <x v="9"/>
    <x v="129"/>
    <x v="0"/>
    <x v="4"/>
    <n v="405.5"/>
    <n v="148007.5"/>
    <n v="532827"/>
  </r>
  <r>
    <x v="0"/>
    <x v="0"/>
    <x v="0"/>
    <x v="9"/>
    <x v="17"/>
    <s v="SE1A"/>
    <x v="9"/>
    <x v="129"/>
    <x v="0"/>
    <x v="5"/>
    <n v="405.5"/>
    <n v="148007.5"/>
    <n v="532827"/>
  </r>
  <r>
    <x v="0"/>
    <x v="0"/>
    <x v="0"/>
    <x v="9"/>
    <x v="17"/>
    <s v="SE1A"/>
    <x v="9"/>
    <x v="129"/>
    <x v="0"/>
    <x v="6"/>
    <n v="405.5"/>
    <n v="148007.5"/>
    <n v="532827"/>
  </r>
  <r>
    <x v="0"/>
    <x v="0"/>
    <x v="0"/>
    <x v="9"/>
    <x v="17"/>
    <s v="SE1A"/>
    <x v="9"/>
    <x v="129"/>
    <x v="0"/>
    <x v="7"/>
    <n v="405.5"/>
    <n v="148007.5"/>
    <n v="532827"/>
  </r>
  <r>
    <x v="0"/>
    <x v="0"/>
    <x v="0"/>
    <x v="9"/>
    <x v="17"/>
    <s v="SE1A"/>
    <x v="9"/>
    <x v="129"/>
    <x v="0"/>
    <x v="8"/>
    <n v="405.5"/>
    <n v="148007.5"/>
    <n v="532827"/>
  </r>
  <r>
    <x v="0"/>
    <x v="0"/>
    <x v="0"/>
    <x v="9"/>
    <x v="17"/>
    <s v="SE1A"/>
    <x v="9"/>
    <x v="129"/>
    <x v="0"/>
    <x v="9"/>
    <n v="405.5"/>
    <n v="148007.5"/>
    <n v="532827"/>
  </r>
  <r>
    <x v="0"/>
    <x v="0"/>
    <x v="0"/>
    <x v="9"/>
    <x v="17"/>
    <s v="SE1A"/>
    <x v="9"/>
    <x v="129"/>
    <x v="0"/>
    <x v="10"/>
    <n v="405.5"/>
    <n v="148007.5"/>
    <n v="532827"/>
  </r>
  <r>
    <x v="0"/>
    <x v="0"/>
    <x v="0"/>
    <x v="9"/>
    <x v="17"/>
    <s v="SE1A"/>
    <x v="9"/>
    <x v="129"/>
    <x v="0"/>
    <x v="11"/>
    <n v="405.5"/>
    <n v="148007.5"/>
    <n v="532827"/>
  </r>
  <r>
    <x v="0"/>
    <x v="0"/>
    <x v="0"/>
    <x v="9"/>
    <x v="17"/>
    <s v="SE1A"/>
    <x v="9"/>
    <x v="129"/>
    <x v="0"/>
    <x v="12"/>
    <n v="405.5"/>
    <n v="148007.5"/>
    <n v="532827"/>
  </r>
  <r>
    <x v="0"/>
    <x v="0"/>
    <x v="0"/>
    <x v="9"/>
    <x v="17"/>
    <s v="SE1A"/>
    <x v="9"/>
    <x v="129"/>
    <x v="0"/>
    <x v="13"/>
    <n v="405.5"/>
    <n v="148007.5"/>
    <n v="532827"/>
  </r>
  <r>
    <x v="0"/>
    <x v="0"/>
    <x v="0"/>
    <x v="9"/>
    <x v="17"/>
    <s v="SE1A"/>
    <x v="9"/>
    <x v="129"/>
    <x v="0"/>
    <x v="14"/>
    <n v="405.5"/>
    <n v="148007.5"/>
    <n v="532827"/>
  </r>
  <r>
    <x v="0"/>
    <x v="0"/>
    <x v="0"/>
    <x v="9"/>
    <x v="17"/>
    <s v="SE1A"/>
    <x v="9"/>
    <x v="129"/>
    <x v="0"/>
    <x v="15"/>
    <n v="405.5"/>
    <n v="148007.5"/>
    <n v="532827"/>
  </r>
  <r>
    <x v="0"/>
    <x v="0"/>
    <x v="0"/>
    <x v="9"/>
    <x v="17"/>
    <s v="SE1A"/>
    <x v="9"/>
    <x v="129"/>
    <x v="0"/>
    <x v="16"/>
    <n v="405.5"/>
    <n v="148007.5"/>
    <n v="532827"/>
  </r>
  <r>
    <x v="0"/>
    <x v="0"/>
    <x v="0"/>
    <x v="9"/>
    <x v="17"/>
    <s v="SE1A"/>
    <x v="9"/>
    <x v="129"/>
    <x v="0"/>
    <x v="17"/>
    <n v="405.5"/>
    <n v="148007.5"/>
    <n v="532827"/>
  </r>
  <r>
    <x v="0"/>
    <x v="0"/>
    <x v="0"/>
    <x v="9"/>
    <x v="17"/>
    <s v="SE1A"/>
    <x v="9"/>
    <x v="129"/>
    <x v="0"/>
    <x v="18"/>
    <n v="405.5"/>
    <n v="148007.5"/>
    <n v="532827"/>
  </r>
  <r>
    <x v="0"/>
    <x v="0"/>
    <x v="0"/>
    <x v="9"/>
    <x v="17"/>
    <s v="SE1A"/>
    <x v="9"/>
    <x v="129"/>
    <x v="0"/>
    <x v="19"/>
    <n v="405.5"/>
    <n v="148007.5"/>
    <n v="532827"/>
  </r>
  <r>
    <x v="0"/>
    <x v="0"/>
    <x v="0"/>
    <x v="9"/>
    <x v="17"/>
    <s v="SE1A"/>
    <x v="9"/>
    <x v="129"/>
    <x v="0"/>
    <x v="20"/>
    <n v="405.5"/>
    <n v="148007.5"/>
    <n v="532827"/>
  </r>
  <r>
    <x v="0"/>
    <x v="0"/>
    <x v="0"/>
    <x v="9"/>
    <x v="17"/>
    <s v="SE1A"/>
    <x v="9"/>
    <x v="129"/>
    <x v="0"/>
    <x v="21"/>
    <n v="405.5"/>
    <n v="148007.5"/>
    <n v="532827"/>
  </r>
  <r>
    <x v="0"/>
    <x v="0"/>
    <x v="0"/>
    <x v="9"/>
    <x v="17"/>
    <s v="SE1A"/>
    <x v="9"/>
    <x v="129"/>
    <x v="0"/>
    <x v="22"/>
    <n v="405.5"/>
    <n v="148007.5"/>
    <n v="532827"/>
  </r>
  <r>
    <x v="0"/>
    <x v="0"/>
    <x v="0"/>
    <x v="9"/>
    <x v="17"/>
    <s v="SE1A"/>
    <x v="9"/>
    <x v="129"/>
    <x v="0"/>
    <x v="23"/>
    <n v="405.5"/>
    <n v="148007.5"/>
    <n v="532827"/>
  </r>
  <r>
    <x v="0"/>
    <x v="0"/>
    <x v="0"/>
    <x v="9"/>
    <x v="17"/>
    <s v="SE1A"/>
    <x v="9"/>
    <x v="130"/>
    <x v="0"/>
    <x v="0"/>
    <n v="405.5"/>
    <n v="148007.5"/>
    <n v="532827"/>
  </r>
  <r>
    <x v="0"/>
    <x v="0"/>
    <x v="0"/>
    <x v="9"/>
    <x v="17"/>
    <s v="SE1A"/>
    <x v="9"/>
    <x v="130"/>
    <x v="0"/>
    <x v="1"/>
    <n v="405.5"/>
    <n v="148007.5"/>
    <n v="532827"/>
  </r>
  <r>
    <x v="0"/>
    <x v="0"/>
    <x v="0"/>
    <x v="9"/>
    <x v="17"/>
    <s v="SE1A"/>
    <x v="9"/>
    <x v="130"/>
    <x v="0"/>
    <x v="2"/>
    <n v="405.5"/>
    <n v="148007.5"/>
    <n v="532827"/>
  </r>
  <r>
    <x v="0"/>
    <x v="0"/>
    <x v="0"/>
    <x v="9"/>
    <x v="17"/>
    <s v="SE1A"/>
    <x v="9"/>
    <x v="130"/>
    <x v="0"/>
    <x v="3"/>
    <n v="405.5"/>
    <n v="148007.5"/>
    <n v="532827"/>
  </r>
  <r>
    <x v="0"/>
    <x v="0"/>
    <x v="0"/>
    <x v="9"/>
    <x v="17"/>
    <s v="SE1A"/>
    <x v="9"/>
    <x v="130"/>
    <x v="0"/>
    <x v="4"/>
    <n v="405.5"/>
    <n v="148007.5"/>
    <n v="532827"/>
  </r>
  <r>
    <x v="0"/>
    <x v="0"/>
    <x v="0"/>
    <x v="9"/>
    <x v="17"/>
    <s v="SE1A"/>
    <x v="9"/>
    <x v="130"/>
    <x v="0"/>
    <x v="5"/>
    <n v="405.5"/>
    <n v="148007.5"/>
    <n v="532827"/>
  </r>
  <r>
    <x v="0"/>
    <x v="0"/>
    <x v="0"/>
    <x v="9"/>
    <x v="17"/>
    <s v="SE1A"/>
    <x v="9"/>
    <x v="130"/>
    <x v="0"/>
    <x v="6"/>
    <n v="405.5"/>
    <n v="148007.5"/>
    <n v="532827"/>
  </r>
  <r>
    <x v="0"/>
    <x v="0"/>
    <x v="0"/>
    <x v="9"/>
    <x v="17"/>
    <s v="SE1A"/>
    <x v="9"/>
    <x v="130"/>
    <x v="0"/>
    <x v="7"/>
    <n v="405.5"/>
    <n v="148007.5"/>
    <n v="532827"/>
  </r>
  <r>
    <x v="0"/>
    <x v="0"/>
    <x v="0"/>
    <x v="9"/>
    <x v="17"/>
    <s v="SE1A"/>
    <x v="9"/>
    <x v="130"/>
    <x v="0"/>
    <x v="8"/>
    <n v="405.5"/>
    <n v="148007.5"/>
    <n v="532827"/>
  </r>
  <r>
    <x v="0"/>
    <x v="0"/>
    <x v="0"/>
    <x v="9"/>
    <x v="17"/>
    <s v="SE1A"/>
    <x v="9"/>
    <x v="130"/>
    <x v="0"/>
    <x v="9"/>
    <n v="405.5"/>
    <n v="148007.5"/>
    <n v="532827"/>
  </r>
  <r>
    <x v="0"/>
    <x v="0"/>
    <x v="0"/>
    <x v="9"/>
    <x v="17"/>
    <s v="SE1A"/>
    <x v="9"/>
    <x v="130"/>
    <x v="0"/>
    <x v="10"/>
    <n v="405.5"/>
    <n v="148007.5"/>
    <n v="532827"/>
  </r>
  <r>
    <x v="0"/>
    <x v="0"/>
    <x v="0"/>
    <x v="9"/>
    <x v="17"/>
    <s v="SE1A"/>
    <x v="9"/>
    <x v="130"/>
    <x v="0"/>
    <x v="11"/>
    <n v="405.5"/>
    <n v="148007.5"/>
    <n v="532827"/>
  </r>
  <r>
    <x v="0"/>
    <x v="0"/>
    <x v="0"/>
    <x v="9"/>
    <x v="17"/>
    <s v="SE1A"/>
    <x v="9"/>
    <x v="130"/>
    <x v="0"/>
    <x v="12"/>
    <n v="405.5"/>
    <n v="148007.5"/>
    <n v="532827"/>
  </r>
  <r>
    <x v="0"/>
    <x v="0"/>
    <x v="0"/>
    <x v="9"/>
    <x v="17"/>
    <s v="SE1A"/>
    <x v="9"/>
    <x v="130"/>
    <x v="0"/>
    <x v="13"/>
    <n v="405.5"/>
    <n v="148007.5"/>
    <n v="532827"/>
  </r>
  <r>
    <x v="0"/>
    <x v="0"/>
    <x v="0"/>
    <x v="9"/>
    <x v="17"/>
    <s v="SE1A"/>
    <x v="9"/>
    <x v="130"/>
    <x v="0"/>
    <x v="14"/>
    <n v="405.5"/>
    <n v="148007.5"/>
    <n v="532827"/>
  </r>
  <r>
    <x v="0"/>
    <x v="0"/>
    <x v="0"/>
    <x v="9"/>
    <x v="17"/>
    <s v="SE1A"/>
    <x v="9"/>
    <x v="130"/>
    <x v="0"/>
    <x v="15"/>
    <n v="405.5"/>
    <n v="148007.5"/>
    <n v="532827"/>
  </r>
  <r>
    <x v="0"/>
    <x v="0"/>
    <x v="0"/>
    <x v="9"/>
    <x v="17"/>
    <s v="SE1A"/>
    <x v="9"/>
    <x v="130"/>
    <x v="0"/>
    <x v="16"/>
    <n v="405.5"/>
    <n v="148007.5"/>
    <n v="532827"/>
  </r>
  <r>
    <x v="0"/>
    <x v="0"/>
    <x v="0"/>
    <x v="9"/>
    <x v="17"/>
    <s v="SE1A"/>
    <x v="9"/>
    <x v="130"/>
    <x v="0"/>
    <x v="17"/>
    <n v="405.5"/>
    <n v="148007.5"/>
    <n v="532827"/>
  </r>
  <r>
    <x v="0"/>
    <x v="0"/>
    <x v="0"/>
    <x v="9"/>
    <x v="17"/>
    <s v="SE1A"/>
    <x v="9"/>
    <x v="130"/>
    <x v="0"/>
    <x v="18"/>
    <n v="405.5"/>
    <n v="148007.5"/>
    <n v="532827"/>
  </r>
  <r>
    <x v="0"/>
    <x v="0"/>
    <x v="0"/>
    <x v="9"/>
    <x v="17"/>
    <s v="SE1A"/>
    <x v="9"/>
    <x v="130"/>
    <x v="0"/>
    <x v="19"/>
    <n v="405.5"/>
    <n v="148007.5"/>
    <n v="532827"/>
  </r>
  <r>
    <x v="0"/>
    <x v="0"/>
    <x v="0"/>
    <x v="9"/>
    <x v="17"/>
    <s v="SE1A"/>
    <x v="9"/>
    <x v="130"/>
    <x v="0"/>
    <x v="20"/>
    <n v="405.5"/>
    <n v="148007.5"/>
    <n v="532827"/>
  </r>
  <r>
    <x v="0"/>
    <x v="0"/>
    <x v="0"/>
    <x v="9"/>
    <x v="17"/>
    <s v="SE1A"/>
    <x v="9"/>
    <x v="130"/>
    <x v="0"/>
    <x v="21"/>
    <n v="405.5"/>
    <n v="148007.5"/>
    <n v="532827"/>
  </r>
  <r>
    <x v="0"/>
    <x v="0"/>
    <x v="0"/>
    <x v="9"/>
    <x v="17"/>
    <s v="SE1A"/>
    <x v="9"/>
    <x v="130"/>
    <x v="0"/>
    <x v="22"/>
    <n v="405.5"/>
    <n v="148007.5"/>
    <n v="532827"/>
  </r>
  <r>
    <x v="0"/>
    <x v="0"/>
    <x v="0"/>
    <x v="9"/>
    <x v="17"/>
    <s v="SE1A"/>
    <x v="9"/>
    <x v="130"/>
    <x v="0"/>
    <x v="23"/>
    <n v="405.5"/>
    <n v="148007.5"/>
    <n v="532827"/>
  </r>
  <r>
    <x v="0"/>
    <x v="0"/>
    <x v="0"/>
    <x v="9"/>
    <x v="17"/>
    <s v="SE1A"/>
    <x v="9"/>
    <x v="131"/>
    <x v="0"/>
    <x v="0"/>
    <n v="263.82486905367398"/>
    <n v="96296.077204590896"/>
    <n v="346665.87793652702"/>
  </r>
  <r>
    <x v="0"/>
    <x v="0"/>
    <x v="0"/>
    <x v="9"/>
    <x v="17"/>
    <s v="SE1A"/>
    <x v="9"/>
    <x v="131"/>
    <x v="0"/>
    <x v="1"/>
    <n v="230.96955559912601"/>
    <n v="84303.887793681104"/>
    <n v="303493.99605725199"/>
  </r>
  <r>
    <x v="0"/>
    <x v="0"/>
    <x v="0"/>
    <x v="9"/>
    <x v="17"/>
    <s v="SE1A"/>
    <x v="9"/>
    <x v="131"/>
    <x v="0"/>
    <x v="2"/>
    <n v="221.36153853863701"/>
    <n v="80796.961566602506"/>
    <n v="290869.061639769"/>
  </r>
  <r>
    <x v="0"/>
    <x v="0"/>
    <x v="0"/>
    <x v="9"/>
    <x v="17"/>
    <s v="SE1A"/>
    <x v="9"/>
    <x v="131"/>
    <x v="0"/>
    <x v="3"/>
    <n v="214.729149641075"/>
    <n v="78376.139618992296"/>
    <n v="282154.10262837203"/>
  </r>
  <r>
    <x v="0"/>
    <x v="0"/>
    <x v="0"/>
    <x v="9"/>
    <x v="17"/>
    <s v="SE1A"/>
    <x v="9"/>
    <x v="131"/>
    <x v="0"/>
    <x v="4"/>
    <n v="235.70462162333899"/>
    <n v="86032.186892518905"/>
    <n v="309715.87281306798"/>
  </r>
  <r>
    <x v="0"/>
    <x v="0"/>
    <x v="0"/>
    <x v="9"/>
    <x v="17"/>
    <s v="SE1A"/>
    <x v="9"/>
    <x v="131"/>
    <x v="0"/>
    <x v="5"/>
    <n v="220.74726130114499"/>
    <n v="80572.750374918105"/>
    <n v="290061.901349705"/>
  </r>
  <r>
    <x v="0"/>
    <x v="0"/>
    <x v="0"/>
    <x v="9"/>
    <x v="17"/>
    <s v="SE1A"/>
    <x v="9"/>
    <x v="131"/>
    <x v="0"/>
    <x v="6"/>
    <n v="405.5"/>
    <n v="148007.5"/>
    <n v="532827"/>
  </r>
  <r>
    <x v="0"/>
    <x v="0"/>
    <x v="0"/>
    <x v="9"/>
    <x v="17"/>
    <s v="SE1A"/>
    <x v="9"/>
    <x v="131"/>
    <x v="0"/>
    <x v="7"/>
    <n v="373.85229425896"/>
    <n v="136456.08740452101"/>
    <n v="491241.91465627402"/>
  </r>
  <r>
    <x v="0"/>
    <x v="0"/>
    <x v="0"/>
    <x v="9"/>
    <x v="17"/>
    <s v="SE1A"/>
    <x v="9"/>
    <x v="131"/>
    <x v="0"/>
    <x v="8"/>
    <n v="405.5"/>
    <n v="148007.5"/>
    <n v="532827"/>
  </r>
  <r>
    <x v="0"/>
    <x v="0"/>
    <x v="0"/>
    <x v="9"/>
    <x v="17"/>
    <s v="SE1A"/>
    <x v="9"/>
    <x v="131"/>
    <x v="0"/>
    <x v="9"/>
    <n v="405.5"/>
    <n v="148007.5"/>
    <n v="532827"/>
  </r>
  <r>
    <x v="0"/>
    <x v="0"/>
    <x v="0"/>
    <x v="9"/>
    <x v="17"/>
    <s v="SE1A"/>
    <x v="9"/>
    <x v="131"/>
    <x v="0"/>
    <x v="10"/>
    <n v="405.5"/>
    <n v="148007.5"/>
    <n v="532827"/>
  </r>
  <r>
    <x v="0"/>
    <x v="0"/>
    <x v="0"/>
    <x v="9"/>
    <x v="17"/>
    <s v="SE1A"/>
    <x v="9"/>
    <x v="131"/>
    <x v="0"/>
    <x v="11"/>
    <n v="405.5"/>
    <n v="148007.5"/>
    <n v="532827"/>
  </r>
  <r>
    <x v="0"/>
    <x v="0"/>
    <x v="0"/>
    <x v="9"/>
    <x v="17"/>
    <s v="SE1A"/>
    <x v="9"/>
    <x v="131"/>
    <x v="0"/>
    <x v="12"/>
    <n v="405.5"/>
    <n v="148007.5"/>
    <n v="532827"/>
  </r>
  <r>
    <x v="0"/>
    <x v="0"/>
    <x v="0"/>
    <x v="9"/>
    <x v="17"/>
    <s v="SE1A"/>
    <x v="9"/>
    <x v="131"/>
    <x v="0"/>
    <x v="13"/>
    <n v="405.5"/>
    <n v="148007.5"/>
    <n v="532827"/>
  </r>
  <r>
    <x v="0"/>
    <x v="0"/>
    <x v="0"/>
    <x v="9"/>
    <x v="17"/>
    <s v="SE1A"/>
    <x v="9"/>
    <x v="131"/>
    <x v="0"/>
    <x v="14"/>
    <n v="405.5"/>
    <n v="148007.5"/>
    <n v="532827"/>
  </r>
  <r>
    <x v="0"/>
    <x v="0"/>
    <x v="0"/>
    <x v="9"/>
    <x v="17"/>
    <s v="SE1A"/>
    <x v="9"/>
    <x v="131"/>
    <x v="0"/>
    <x v="15"/>
    <n v="405.5"/>
    <n v="148007.5"/>
    <n v="532827"/>
  </r>
  <r>
    <x v="0"/>
    <x v="0"/>
    <x v="0"/>
    <x v="9"/>
    <x v="17"/>
    <s v="SE1A"/>
    <x v="9"/>
    <x v="131"/>
    <x v="0"/>
    <x v="16"/>
    <n v="361.23776138291203"/>
    <n v="131851.78290476301"/>
    <n v="474666.41845714703"/>
  </r>
  <r>
    <x v="0"/>
    <x v="0"/>
    <x v="0"/>
    <x v="9"/>
    <x v="17"/>
    <s v="SE1A"/>
    <x v="9"/>
    <x v="131"/>
    <x v="0"/>
    <x v="17"/>
    <n v="147.925545431138"/>
    <n v="53992.824082365303"/>
    <n v="194374.16669651499"/>
  </r>
  <r>
    <x v="0"/>
    <x v="0"/>
    <x v="0"/>
    <x v="9"/>
    <x v="17"/>
    <s v="SE1A"/>
    <x v="9"/>
    <x v="131"/>
    <x v="0"/>
    <x v="18"/>
    <n v="29.0545336885884"/>
    <n v="10604.9047963348"/>
    <n v="38177.657266805203"/>
  </r>
  <r>
    <x v="0"/>
    <x v="0"/>
    <x v="0"/>
    <x v="9"/>
    <x v="17"/>
    <s v="SE1A"/>
    <x v="9"/>
    <x v="131"/>
    <x v="0"/>
    <x v="19"/>
    <n v="195.80876106652201"/>
    <n v="71470.197789280399"/>
    <n v="257292.71204140899"/>
  </r>
  <r>
    <x v="0"/>
    <x v="0"/>
    <x v="0"/>
    <x v="9"/>
    <x v="17"/>
    <s v="SE1A"/>
    <x v="9"/>
    <x v="131"/>
    <x v="0"/>
    <x v="20"/>
    <n v="184.088171411286"/>
    <n v="67192.182565119394"/>
    <n v="241891.85723443"/>
  </r>
  <r>
    <x v="0"/>
    <x v="0"/>
    <x v="0"/>
    <x v="9"/>
    <x v="17"/>
    <s v="SE1A"/>
    <x v="9"/>
    <x v="131"/>
    <x v="0"/>
    <x v="21"/>
    <n v="91.455747945524806"/>
    <n v="33381.348000116501"/>
    <n v="120172.85280042001"/>
  </r>
  <r>
    <x v="0"/>
    <x v="0"/>
    <x v="0"/>
    <x v="9"/>
    <x v="17"/>
    <s v="SE1A"/>
    <x v="9"/>
    <x v="131"/>
    <x v="0"/>
    <x v="22"/>
    <n v="8.8540137433315103"/>
    <n v="3231.7150163159999"/>
    <n v="11634.174058737601"/>
  </r>
  <r>
    <x v="0"/>
    <x v="0"/>
    <x v="0"/>
    <x v="9"/>
    <x v="17"/>
    <s v="SE1A"/>
    <x v="9"/>
    <x v="131"/>
    <x v="0"/>
    <x v="23"/>
    <n v="43.006180711784097"/>
    <n v="15697.255959801199"/>
    <n v="56510.121455284301"/>
  </r>
  <r>
    <x v="0"/>
    <x v="0"/>
    <x v="0"/>
    <x v="9"/>
    <x v="17"/>
    <s v="SE1A"/>
    <x v="9"/>
    <x v="132"/>
    <x v="0"/>
    <x v="6"/>
    <n v="26.0002857965728"/>
    <n v="9490.1043157490803"/>
    <n v="34164.375536696702"/>
  </r>
  <r>
    <x v="0"/>
    <x v="0"/>
    <x v="0"/>
    <x v="9"/>
    <x v="17"/>
    <s v="SE1A"/>
    <x v="9"/>
    <x v="132"/>
    <x v="0"/>
    <x v="8"/>
    <n v="125.78814219823499"/>
    <n v="45912.671902355702"/>
    <n v="165285.61884847999"/>
  </r>
  <r>
    <x v="0"/>
    <x v="0"/>
    <x v="0"/>
    <x v="9"/>
    <x v="17"/>
    <s v="SE1A"/>
    <x v="9"/>
    <x v="132"/>
    <x v="0"/>
    <x v="9"/>
    <n v="63.038390238153902"/>
    <n v="23009.012436926201"/>
    <n v="82832.444772934206"/>
  </r>
  <r>
    <x v="0"/>
    <x v="0"/>
    <x v="0"/>
    <x v="9"/>
    <x v="17"/>
    <s v="SE1A"/>
    <x v="9"/>
    <x v="132"/>
    <x v="0"/>
    <x v="10"/>
    <n v="102.871016539472"/>
    <n v="37547.921036907399"/>
    <n v="135172.515732867"/>
  </r>
  <r>
    <x v="0"/>
    <x v="0"/>
    <x v="0"/>
    <x v="9"/>
    <x v="17"/>
    <s v="SE1A"/>
    <x v="9"/>
    <x v="132"/>
    <x v="0"/>
    <x v="11"/>
    <n v="56.195039642654102"/>
    <n v="20511.189469568799"/>
    <n v="73840.282090447494"/>
  </r>
  <r>
    <x v="0"/>
    <x v="0"/>
    <x v="0"/>
    <x v="9"/>
    <x v="17"/>
    <s v="SE1A"/>
    <x v="9"/>
    <x v="132"/>
    <x v="0"/>
    <x v="12"/>
    <n v="136.35258719382"/>
    <n v="49768.694325744298"/>
    <n v="179167.29957267901"/>
  </r>
  <r>
    <x v="0"/>
    <x v="0"/>
    <x v="0"/>
    <x v="9"/>
    <x v="17"/>
    <s v="SE1A"/>
    <x v="9"/>
    <x v="132"/>
    <x v="0"/>
    <x v="13"/>
    <n v="75.546383857041505"/>
    <n v="27574.430107820201"/>
    <n v="99267.948388152596"/>
  </r>
  <r>
    <x v="0"/>
    <x v="0"/>
    <x v="0"/>
    <x v="9"/>
    <x v="17"/>
    <s v="SE1A"/>
    <x v="9"/>
    <x v="132"/>
    <x v="0"/>
    <x v="14"/>
    <n v="146.477332795135"/>
    <n v="53464.226470224203"/>
    <n v="192471.215292807"/>
  </r>
  <r>
    <x v="0"/>
    <x v="0"/>
    <x v="0"/>
    <x v="9"/>
    <x v="17"/>
    <s v="SE1A"/>
    <x v="9"/>
    <x v="132"/>
    <x v="0"/>
    <x v="15"/>
    <n v="44.468935749141998"/>
    <n v="16231.161548436799"/>
    <n v="58432.181574372597"/>
  </r>
  <r>
    <x v="0"/>
    <x v="0"/>
    <x v="0"/>
    <x v="9"/>
    <x v="17"/>
    <s v="SE1A"/>
    <x v="9"/>
    <x v="57"/>
    <x v="0"/>
    <x v="0"/>
    <n v="564.07145309684904"/>
    <n v="205886.08038035"/>
    <n v="741189.88936926005"/>
  </r>
  <r>
    <x v="0"/>
    <x v="0"/>
    <x v="0"/>
    <x v="9"/>
    <x v="17"/>
    <s v="SE1A"/>
    <x v="9"/>
    <x v="57"/>
    <x v="0"/>
    <x v="1"/>
    <n v="564.07145309684904"/>
    <n v="205886.08038035"/>
    <n v="741189.88936926005"/>
  </r>
  <r>
    <x v="0"/>
    <x v="0"/>
    <x v="0"/>
    <x v="9"/>
    <x v="17"/>
    <s v="SE1A"/>
    <x v="9"/>
    <x v="57"/>
    <x v="0"/>
    <x v="2"/>
    <n v="564.07145309684904"/>
    <n v="205886.08038035"/>
    <n v="741189.88936926005"/>
  </r>
  <r>
    <x v="0"/>
    <x v="0"/>
    <x v="0"/>
    <x v="9"/>
    <x v="17"/>
    <s v="SE1A"/>
    <x v="9"/>
    <x v="57"/>
    <x v="0"/>
    <x v="3"/>
    <n v="564.07145309684904"/>
    <n v="205886.08038035"/>
    <n v="741189.88936926005"/>
  </r>
  <r>
    <x v="0"/>
    <x v="0"/>
    <x v="0"/>
    <x v="9"/>
    <x v="17"/>
    <s v="SE1A"/>
    <x v="9"/>
    <x v="57"/>
    <x v="0"/>
    <x v="4"/>
    <n v="564.07145309684904"/>
    <n v="205886.08038035"/>
    <n v="741189.88936926005"/>
  </r>
  <r>
    <x v="0"/>
    <x v="0"/>
    <x v="0"/>
    <x v="9"/>
    <x v="17"/>
    <s v="SE1A"/>
    <x v="9"/>
    <x v="57"/>
    <x v="0"/>
    <x v="5"/>
    <n v="564.07145309684904"/>
    <n v="205886.08038035"/>
    <n v="741189.88936926005"/>
  </r>
  <r>
    <x v="0"/>
    <x v="0"/>
    <x v="0"/>
    <x v="9"/>
    <x v="17"/>
    <s v="SE1A"/>
    <x v="9"/>
    <x v="57"/>
    <x v="0"/>
    <x v="6"/>
    <n v="564.07145309684904"/>
    <n v="205886.08038035"/>
    <n v="741189.88936926005"/>
  </r>
  <r>
    <x v="0"/>
    <x v="0"/>
    <x v="0"/>
    <x v="9"/>
    <x v="17"/>
    <s v="SE1A"/>
    <x v="9"/>
    <x v="57"/>
    <x v="0"/>
    <x v="7"/>
    <n v="564.07145309684904"/>
    <n v="205886.08038035"/>
    <n v="741189.88936926005"/>
  </r>
  <r>
    <x v="0"/>
    <x v="0"/>
    <x v="0"/>
    <x v="9"/>
    <x v="17"/>
    <s v="SE1A"/>
    <x v="9"/>
    <x v="57"/>
    <x v="0"/>
    <x v="8"/>
    <n v="564.07145309684904"/>
    <n v="205886.08038035"/>
    <n v="741189.88936926005"/>
  </r>
  <r>
    <x v="0"/>
    <x v="0"/>
    <x v="0"/>
    <x v="9"/>
    <x v="17"/>
    <s v="SE1A"/>
    <x v="9"/>
    <x v="57"/>
    <x v="0"/>
    <x v="9"/>
    <n v="564.07145309684904"/>
    <n v="205886.08038035"/>
    <n v="741189.88936926005"/>
  </r>
  <r>
    <x v="0"/>
    <x v="0"/>
    <x v="0"/>
    <x v="9"/>
    <x v="17"/>
    <s v="SE1A"/>
    <x v="9"/>
    <x v="57"/>
    <x v="0"/>
    <x v="10"/>
    <n v="564.07145309684904"/>
    <n v="205886.08038035"/>
    <n v="741189.88936926005"/>
  </r>
  <r>
    <x v="0"/>
    <x v="0"/>
    <x v="0"/>
    <x v="9"/>
    <x v="17"/>
    <s v="SE1A"/>
    <x v="9"/>
    <x v="57"/>
    <x v="0"/>
    <x v="11"/>
    <n v="564.07145309684904"/>
    <n v="205886.08038035"/>
    <n v="741189.88936926005"/>
  </r>
  <r>
    <x v="0"/>
    <x v="0"/>
    <x v="0"/>
    <x v="9"/>
    <x v="17"/>
    <s v="SE1A"/>
    <x v="9"/>
    <x v="57"/>
    <x v="0"/>
    <x v="12"/>
    <n v="564.07145309684904"/>
    <n v="205886.08038035"/>
    <n v="741189.88936926005"/>
  </r>
  <r>
    <x v="0"/>
    <x v="0"/>
    <x v="0"/>
    <x v="9"/>
    <x v="17"/>
    <s v="SE1A"/>
    <x v="9"/>
    <x v="57"/>
    <x v="0"/>
    <x v="13"/>
    <n v="564.07145309684904"/>
    <n v="205886.08038035"/>
    <n v="741189.88936926005"/>
  </r>
  <r>
    <x v="0"/>
    <x v="0"/>
    <x v="0"/>
    <x v="9"/>
    <x v="17"/>
    <s v="SE1A"/>
    <x v="9"/>
    <x v="57"/>
    <x v="0"/>
    <x v="14"/>
    <n v="564.07145309684904"/>
    <n v="205886.08038035"/>
    <n v="741189.88936926005"/>
  </r>
  <r>
    <x v="0"/>
    <x v="0"/>
    <x v="0"/>
    <x v="9"/>
    <x v="17"/>
    <s v="SE1A"/>
    <x v="9"/>
    <x v="57"/>
    <x v="0"/>
    <x v="15"/>
    <n v="564.07145309684904"/>
    <n v="205886.08038035"/>
    <n v="741189.88936926005"/>
  </r>
  <r>
    <x v="0"/>
    <x v="0"/>
    <x v="0"/>
    <x v="9"/>
    <x v="17"/>
    <s v="SE1A"/>
    <x v="9"/>
    <x v="57"/>
    <x v="0"/>
    <x v="16"/>
    <n v="564.07145309684904"/>
    <n v="205886.08038035"/>
    <n v="741189.88936926005"/>
  </r>
  <r>
    <x v="0"/>
    <x v="0"/>
    <x v="0"/>
    <x v="9"/>
    <x v="17"/>
    <s v="SE1A"/>
    <x v="9"/>
    <x v="57"/>
    <x v="0"/>
    <x v="17"/>
    <n v="564.07145309684904"/>
    <n v="205886.08038035"/>
    <n v="741189.88936926005"/>
  </r>
  <r>
    <x v="0"/>
    <x v="0"/>
    <x v="0"/>
    <x v="9"/>
    <x v="17"/>
    <s v="SE1A"/>
    <x v="9"/>
    <x v="57"/>
    <x v="0"/>
    <x v="18"/>
    <n v="564.07145309684904"/>
    <n v="205886.08038035"/>
    <n v="741189.88936926005"/>
  </r>
  <r>
    <x v="0"/>
    <x v="0"/>
    <x v="0"/>
    <x v="9"/>
    <x v="17"/>
    <s v="SE1A"/>
    <x v="9"/>
    <x v="57"/>
    <x v="0"/>
    <x v="19"/>
    <n v="564.07145309684904"/>
    <n v="205886.08038035"/>
    <n v="741189.88936926005"/>
  </r>
  <r>
    <x v="0"/>
    <x v="0"/>
    <x v="0"/>
    <x v="9"/>
    <x v="17"/>
    <s v="SE1A"/>
    <x v="9"/>
    <x v="57"/>
    <x v="0"/>
    <x v="20"/>
    <n v="564.07145309684904"/>
    <n v="205886.08038035"/>
    <n v="741189.88936926005"/>
  </r>
  <r>
    <x v="0"/>
    <x v="0"/>
    <x v="0"/>
    <x v="9"/>
    <x v="17"/>
    <s v="SE1A"/>
    <x v="9"/>
    <x v="57"/>
    <x v="0"/>
    <x v="21"/>
    <n v="564.07145309684904"/>
    <n v="205886.08038035"/>
    <n v="741189.88936926005"/>
  </r>
  <r>
    <x v="0"/>
    <x v="0"/>
    <x v="0"/>
    <x v="9"/>
    <x v="17"/>
    <s v="SE1A"/>
    <x v="9"/>
    <x v="57"/>
    <x v="0"/>
    <x v="22"/>
    <n v="564.07145309684904"/>
    <n v="205886.08038035"/>
    <n v="741189.88936926005"/>
  </r>
  <r>
    <x v="0"/>
    <x v="0"/>
    <x v="0"/>
    <x v="9"/>
    <x v="17"/>
    <s v="SE1A"/>
    <x v="9"/>
    <x v="57"/>
    <x v="0"/>
    <x v="23"/>
    <n v="564.07145309684904"/>
    <n v="205886.08038035"/>
    <n v="741189.88936926005"/>
  </r>
  <r>
    <x v="0"/>
    <x v="0"/>
    <x v="0"/>
    <x v="9"/>
    <x v="17"/>
    <s v="SE1A"/>
    <x v="10"/>
    <x v="58"/>
    <x v="0"/>
    <x v="0"/>
    <n v="12.6986819604206"/>
    <n v="4635.0189155535099"/>
    <n v="16686.068095992599"/>
  </r>
  <r>
    <x v="0"/>
    <x v="0"/>
    <x v="0"/>
    <x v="9"/>
    <x v="17"/>
    <s v="SE1A"/>
    <x v="10"/>
    <x v="58"/>
    <x v="0"/>
    <x v="1"/>
    <n v="13.0260041018901"/>
    <n v="4754.4914971898697"/>
    <n v="17116.1693898835"/>
  </r>
  <r>
    <x v="0"/>
    <x v="0"/>
    <x v="0"/>
    <x v="9"/>
    <x v="17"/>
    <s v="SE1A"/>
    <x v="10"/>
    <x v="58"/>
    <x v="0"/>
    <x v="2"/>
    <n v="17.789426711495501"/>
    <n v="6493.14074969585"/>
    <n v="23375.3066989051"/>
  </r>
  <r>
    <x v="0"/>
    <x v="0"/>
    <x v="0"/>
    <x v="9"/>
    <x v="17"/>
    <s v="SE1A"/>
    <x v="10"/>
    <x v="58"/>
    <x v="0"/>
    <x v="3"/>
    <n v="29.958494981496301"/>
    <n v="10934.850668246099"/>
    <n v="39365.462405686099"/>
  </r>
  <r>
    <x v="0"/>
    <x v="0"/>
    <x v="0"/>
    <x v="9"/>
    <x v="17"/>
    <s v="SE1A"/>
    <x v="10"/>
    <x v="58"/>
    <x v="0"/>
    <x v="4"/>
    <n v="14.519702371670601"/>
    <n v="5299.6913656597799"/>
    <n v="19078.888916375199"/>
  </r>
  <r>
    <x v="0"/>
    <x v="0"/>
    <x v="0"/>
    <x v="9"/>
    <x v="17"/>
    <s v="SE1A"/>
    <x v="10"/>
    <x v="58"/>
    <x v="0"/>
    <x v="5"/>
    <n v="37.7820817525226"/>
    <n v="13790.459839670701"/>
    <n v="49645.655422814598"/>
  </r>
  <r>
    <x v="0"/>
    <x v="0"/>
    <x v="0"/>
    <x v="9"/>
    <x v="17"/>
    <s v="SE1A"/>
    <x v="10"/>
    <x v="58"/>
    <x v="0"/>
    <x v="6"/>
    <n v="44.3437226253156"/>
    <n v="16185.4587582402"/>
    <n v="58267.651529664603"/>
  </r>
  <r>
    <x v="0"/>
    <x v="0"/>
    <x v="0"/>
    <x v="9"/>
    <x v="17"/>
    <s v="SE1A"/>
    <x v="10"/>
    <x v="58"/>
    <x v="0"/>
    <x v="7"/>
    <n v="25.170287870340999"/>
    <n v="9187.1550726744608"/>
    <n v="33073.7582616281"/>
  </r>
  <r>
    <x v="0"/>
    <x v="0"/>
    <x v="0"/>
    <x v="9"/>
    <x v="17"/>
    <s v="SE1A"/>
    <x v="10"/>
    <x v="58"/>
    <x v="0"/>
    <x v="8"/>
    <n v="19.993122673131801"/>
    <n v="7297.4897756930995"/>
    <n v="26270.963192495201"/>
  </r>
  <r>
    <x v="0"/>
    <x v="0"/>
    <x v="0"/>
    <x v="9"/>
    <x v="17"/>
    <s v="SE1A"/>
    <x v="10"/>
    <x v="58"/>
    <x v="0"/>
    <x v="9"/>
    <n v="15.610637242392899"/>
    <n v="5697.8825934734105"/>
    <n v="20512.377336504302"/>
  </r>
  <r>
    <x v="0"/>
    <x v="0"/>
    <x v="0"/>
    <x v="9"/>
    <x v="17"/>
    <s v="SE1A"/>
    <x v="10"/>
    <x v="58"/>
    <x v="0"/>
    <x v="10"/>
    <n v="11.7664268619263"/>
    <n v="4294.7458046031097"/>
    <n v="15461.084896571199"/>
  </r>
  <r>
    <x v="0"/>
    <x v="0"/>
    <x v="0"/>
    <x v="9"/>
    <x v="17"/>
    <s v="SE1A"/>
    <x v="10"/>
    <x v="58"/>
    <x v="0"/>
    <x v="11"/>
    <n v="9.3043743283505993"/>
    <n v="3396.0966298479698"/>
    <n v="12225.9478674527"/>
  </r>
  <r>
    <x v="0"/>
    <x v="0"/>
    <x v="0"/>
    <x v="9"/>
    <x v="17"/>
    <s v="SE1A"/>
    <x v="10"/>
    <x v="58"/>
    <x v="0"/>
    <x v="12"/>
    <n v="17.041611814649801"/>
    <n v="6220.1883123471798"/>
    <n v="22392.677924449799"/>
  </r>
  <r>
    <x v="0"/>
    <x v="0"/>
    <x v="0"/>
    <x v="9"/>
    <x v="17"/>
    <s v="SE1A"/>
    <x v="10"/>
    <x v="58"/>
    <x v="0"/>
    <x v="13"/>
    <n v="62.621946877221497"/>
    <n v="22857.0106101858"/>
    <n v="82285.238196669001"/>
  </r>
  <r>
    <x v="0"/>
    <x v="0"/>
    <x v="0"/>
    <x v="9"/>
    <x v="17"/>
    <s v="SE1A"/>
    <x v="10"/>
    <x v="58"/>
    <x v="0"/>
    <x v="14"/>
    <n v="134.95257670098101"/>
    <n v="49257.690495857903"/>
    <n v="177327.68578508799"/>
  </r>
  <r>
    <x v="0"/>
    <x v="0"/>
    <x v="0"/>
    <x v="9"/>
    <x v="17"/>
    <s v="SE1A"/>
    <x v="10"/>
    <x v="58"/>
    <x v="0"/>
    <x v="15"/>
    <n v="194.051708610573"/>
    <n v="70828.873642859297"/>
    <n v="254983.94511429299"/>
  </r>
  <r>
    <x v="0"/>
    <x v="0"/>
    <x v="0"/>
    <x v="9"/>
    <x v="17"/>
    <s v="SE1A"/>
    <x v="10"/>
    <x v="58"/>
    <x v="0"/>
    <x v="16"/>
    <n v="209.42188129198999"/>
    <n v="76438.986671576306"/>
    <n v="275180.352017675"/>
  </r>
  <r>
    <x v="0"/>
    <x v="0"/>
    <x v="0"/>
    <x v="9"/>
    <x v="17"/>
    <s v="SE1A"/>
    <x v="10"/>
    <x v="58"/>
    <x v="0"/>
    <x v="17"/>
    <n v="392.28236069535097"/>
    <n v="143183.06165380299"/>
    <n v="515459.02195369097"/>
  </r>
  <r>
    <x v="0"/>
    <x v="0"/>
    <x v="0"/>
    <x v="9"/>
    <x v="17"/>
    <s v="SE1A"/>
    <x v="10"/>
    <x v="58"/>
    <x v="0"/>
    <x v="18"/>
    <n v="557.52306218207502"/>
    <n v="203495.91769645701"/>
    <n v="732585.30370724702"/>
  </r>
  <r>
    <x v="0"/>
    <x v="0"/>
    <x v="0"/>
    <x v="9"/>
    <x v="17"/>
    <s v="SE1A"/>
    <x v="10"/>
    <x v="58"/>
    <x v="0"/>
    <x v="19"/>
    <n v="417.068061823226"/>
    <n v="152229.84256547701"/>
    <n v="548027.43323571899"/>
  </r>
  <r>
    <x v="0"/>
    <x v="0"/>
    <x v="0"/>
    <x v="9"/>
    <x v="17"/>
    <s v="SE1A"/>
    <x v="10"/>
    <x v="58"/>
    <x v="0"/>
    <x v="20"/>
    <n v="364.42475377386103"/>
    <n v="133015.03512745901"/>
    <n v="478854.12645885401"/>
  </r>
  <r>
    <x v="0"/>
    <x v="0"/>
    <x v="0"/>
    <x v="9"/>
    <x v="17"/>
    <s v="SE1A"/>
    <x v="10"/>
    <x v="58"/>
    <x v="0"/>
    <x v="21"/>
    <n v="363.62571282971902"/>
    <n v="132723.38518284701"/>
    <n v="477804.18665824999"/>
  </r>
  <r>
    <x v="0"/>
    <x v="0"/>
    <x v="0"/>
    <x v="9"/>
    <x v="17"/>
    <s v="SE1A"/>
    <x v="10"/>
    <x v="58"/>
    <x v="0"/>
    <x v="22"/>
    <n v="334.80177466158199"/>
    <n v="122202.647751478"/>
    <n v="439929.53190531902"/>
  </r>
  <r>
    <x v="0"/>
    <x v="0"/>
    <x v="0"/>
    <x v="9"/>
    <x v="17"/>
    <s v="SE1A"/>
    <x v="10"/>
    <x v="58"/>
    <x v="0"/>
    <x v="23"/>
    <n v="336.63802361398098"/>
    <n v="122872.87861910299"/>
    <n v="442342.363028772"/>
  </r>
  <r>
    <x v="0"/>
    <x v="0"/>
    <x v="0"/>
    <x v="9"/>
    <x v="17"/>
    <s v="SE1A"/>
    <x v="13"/>
    <x v="138"/>
    <x v="0"/>
    <x v="0"/>
    <n v="474.361593462717"/>
    <n v="173141.98161389201"/>
    <n v="623311.13381001004"/>
  </r>
  <r>
    <x v="0"/>
    <x v="0"/>
    <x v="0"/>
    <x v="9"/>
    <x v="17"/>
    <s v="SE1A"/>
    <x v="13"/>
    <x v="138"/>
    <x v="0"/>
    <x v="1"/>
    <n v="474.361593462717"/>
    <n v="173141.98161389201"/>
    <n v="623311.13381001004"/>
  </r>
  <r>
    <x v="0"/>
    <x v="0"/>
    <x v="0"/>
    <x v="9"/>
    <x v="17"/>
    <s v="SE1A"/>
    <x v="13"/>
    <x v="138"/>
    <x v="0"/>
    <x v="2"/>
    <n v="474.361593462717"/>
    <n v="173141.98161389201"/>
    <n v="623311.13381001004"/>
  </r>
  <r>
    <x v="0"/>
    <x v="0"/>
    <x v="0"/>
    <x v="9"/>
    <x v="17"/>
    <s v="SE1A"/>
    <x v="13"/>
    <x v="138"/>
    <x v="0"/>
    <x v="3"/>
    <n v="474.361593462717"/>
    <n v="173141.98161389201"/>
    <n v="623311.13381001004"/>
  </r>
  <r>
    <x v="0"/>
    <x v="0"/>
    <x v="0"/>
    <x v="9"/>
    <x v="17"/>
    <s v="SE1A"/>
    <x v="13"/>
    <x v="138"/>
    <x v="0"/>
    <x v="4"/>
    <n v="474.361593462717"/>
    <n v="173141.98161389201"/>
    <n v="623311.13381001004"/>
  </r>
  <r>
    <x v="0"/>
    <x v="0"/>
    <x v="0"/>
    <x v="9"/>
    <x v="17"/>
    <s v="SE1A"/>
    <x v="13"/>
    <x v="138"/>
    <x v="0"/>
    <x v="5"/>
    <n v="474.361593462717"/>
    <n v="173141.98161389201"/>
    <n v="623311.13381001004"/>
  </r>
  <r>
    <x v="0"/>
    <x v="0"/>
    <x v="0"/>
    <x v="9"/>
    <x v="17"/>
    <s v="SE1A"/>
    <x v="13"/>
    <x v="138"/>
    <x v="0"/>
    <x v="6"/>
    <n v="474.361593462717"/>
    <n v="173141.98161389201"/>
    <n v="623311.13381001004"/>
  </r>
  <r>
    <x v="0"/>
    <x v="0"/>
    <x v="0"/>
    <x v="9"/>
    <x v="17"/>
    <s v="SE1A"/>
    <x v="13"/>
    <x v="138"/>
    <x v="0"/>
    <x v="7"/>
    <n v="474.361593462717"/>
    <n v="173141.98161389201"/>
    <n v="623311.13381001004"/>
  </r>
  <r>
    <x v="0"/>
    <x v="0"/>
    <x v="0"/>
    <x v="9"/>
    <x v="17"/>
    <s v="SE1A"/>
    <x v="13"/>
    <x v="138"/>
    <x v="0"/>
    <x v="8"/>
    <n v="474.361593462717"/>
    <n v="173141.98161389201"/>
    <n v="623311.13381001004"/>
  </r>
  <r>
    <x v="0"/>
    <x v="0"/>
    <x v="0"/>
    <x v="9"/>
    <x v="17"/>
    <s v="SE1A"/>
    <x v="13"/>
    <x v="138"/>
    <x v="0"/>
    <x v="9"/>
    <n v="474.361593462717"/>
    <n v="173141.98161389201"/>
    <n v="623311.13381001004"/>
  </r>
  <r>
    <x v="0"/>
    <x v="0"/>
    <x v="0"/>
    <x v="9"/>
    <x v="17"/>
    <s v="SE1A"/>
    <x v="13"/>
    <x v="138"/>
    <x v="0"/>
    <x v="10"/>
    <n v="474.361593462717"/>
    <n v="173141.98161389201"/>
    <n v="623311.13381001004"/>
  </r>
  <r>
    <x v="0"/>
    <x v="0"/>
    <x v="0"/>
    <x v="9"/>
    <x v="17"/>
    <s v="SE1A"/>
    <x v="13"/>
    <x v="138"/>
    <x v="0"/>
    <x v="11"/>
    <n v="474.361593462717"/>
    <n v="173141.98161389201"/>
    <n v="623311.13381001004"/>
  </r>
  <r>
    <x v="0"/>
    <x v="0"/>
    <x v="0"/>
    <x v="9"/>
    <x v="17"/>
    <s v="SE1A"/>
    <x v="13"/>
    <x v="138"/>
    <x v="0"/>
    <x v="12"/>
    <n v="474.361593462717"/>
    <n v="173141.98161389201"/>
    <n v="623311.13381001004"/>
  </r>
  <r>
    <x v="0"/>
    <x v="0"/>
    <x v="0"/>
    <x v="9"/>
    <x v="17"/>
    <s v="SE1A"/>
    <x v="13"/>
    <x v="138"/>
    <x v="0"/>
    <x v="13"/>
    <n v="474.361593462717"/>
    <n v="173141.98161389201"/>
    <n v="623311.13381001004"/>
  </r>
  <r>
    <x v="0"/>
    <x v="0"/>
    <x v="0"/>
    <x v="9"/>
    <x v="17"/>
    <s v="SE1A"/>
    <x v="13"/>
    <x v="138"/>
    <x v="0"/>
    <x v="14"/>
    <n v="474.361593462717"/>
    <n v="173141.98161389201"/>
    <n v="623311.13381001004"/>
  </r>
  <r>
    <x v="0"/>
    <x v="0"/>
    <x v="0"/>
    <x v="9"/>
    <x v="17"/>
    <s v="SE1A"/>
    <x v="13"/>
    <x v="138"/>
    <x v="0"/>
    <x v="15"/>
    <n v="474.361593462717"/>
    <n v="173141.98161389201"/>
    <n v="623311.13381001004"/>
  </r>
  <r>
    <x v="0"/>
    <x v="0"/>
    <x v="0"/>
    <x v="9"/>
    <x v="17"/>
    <s v="SE1A"/>
    <x v="13"/>
    <x v="138"/>
    <x v="0"/>
    <x v="16"/>
    <n v="474.361593462717"/>
    <n v="173141.98161389201"/>
    <n v="623311.13381001004"/>
  </r>
  <r>
    <x v="0"/>
    <x v="0"/>
    <x v="0"/>
    <x v="9"/>
    <x v="17"/>
    <s v="SE1A"/>
    <x v="13"/>
    <x v="138"/>
    <x v="0"/>
    <x v="17"/>
    <n v="474.361593462717"/>
    <n v="173141.98161389201"/>
    <n v="623311.13381001004"/>
  </r>
  <r>
    <x v="0"/>
    <x v="0"/>
    <x v="0"/>
    <x v="9"/>
    <x v="17"/>
    <s v="SE1A"/>
    <x v="13"/>
    <x v="138"/>
    <x v="0"/>
    <x v="18"/>
    <n v="474.361593462717"/>
    <n v="173141.98161389201"/>
    <n v="623311.13381001004"/>
  </r>
  <r>
    <x v="0"/>
    <x v="0"/>
    <x v="0"/>
    <x v="9"/>
    <x v="17"/>
    <s v="SE1A"/>
    <x v="13"/>
    <x v="138"/>
    <x v="0"/>
    <x v="19"/>
    <n v="474.361593462717"/>
    <n v="173141.98161389201"/>
    <n v="623311.13381001004"/>
  </r>
  <r>
    <x v="0"/>
    <x v="0"/>
    <x v="0"/>
    <x v="9"/>
    <x v="17"/>
    <s v="SE1A"/>
    <x v="13"/>
    <x v="138"/>
    <x v="0"/>
    <x v="20"/>
    <n v="474.361593462717"/>
    <n v="173141.98161389201"/>
    <n v="623311.13381001004"/>
  </r>
  <r>
    <x v="0"/>
    <x v="0"/>
    <x v="0"/>
    <x v="9"/>
    <x v="17"/>
    <s v="SE1A"/>
    <x v="13"/>
    <x v="138"/>
    <x v="0"/>
    <x v="21"/>
    <n v="474.361593462717"/>
    <n v="173141.98161389201"/>
    <n v="623311.13381001004"/>
  </r>
  <r>
    <x v="0"/>
    <x v="0"/>
    <x v="0"/>
    <x v="9"/>
    <x v="17"/>
    <s v="SE1A"/>
    <x v="13"/>
    <x v="138"/>
    <x v="0"/>
    <x v="22"/>
    <n v="474.361593462717"/>
    <n v="173141.98161389201"/>
    <n v="623311.13381001004"/>
  </r>
  <r>
    <x v="0"/>
    <x v="0"/>
    <x v="0"/>
    <x v="9"/>
    <x v="17"/>
    <s v="SE1A"/>
    <x v="13"/>
    <x v="138"/>
    <x v="0"/>
    <x v="23"/>
    <n v="474.361593462717"/>
    <n v="173141.98161389201"/>
    <n v="623311.13381001004"/>
  </r>
  <r>
    <x v="0"/>
    <x v="0"/>
    <x v="0"/>
    <x v="9"/>
    <x v="17"/>
    <s v="SE1_EL"/>
    <x v="2"/>
    <x v="175"/>
    <x v="0"/>
    <x v="0"/>
    <n v="18.474998401355499"/>
    <n v="6743.3744164947502"/>
    <n v="24276.1478993811"/>
  </r>
  <r>
    <x v="0"/>
    <x v="0"/>
    <x v="0"/>
    <x v="9"/>
    <x v="17"/>
    <s v="SE1_EL"/>
    <x v="2"/>
    <x v="175"/>
    <x v="0"/>
    <x v="1"/>
    <n v="18.474998401355499"/>
    <n v="6743.3744164947502"/>
    <n v="24276.1478993811"/>
  </r>
  <r>
    <x v="0"/>
    <x v="0"/>
    <x v="0"/>
    <x v="9"/>
    <x v="17"/>
    <s v="SE1_EL"/>
    <x v="2"/>
    <x v="175"/>
    <x v="0"/>
    <x v="2"/>
    <n v="18.474998401355499"/>
    <n v="6743.3744164947502"/>
    <n v="24276.1478993811"/>
  </r>
  <r>
    <x v="0"/>
    <x v="0"/>
    <x v="0"/>
    <x v="9"/>
    <x v="17"/>
    <s v="SE1_EL"/>
    <x v="2"/>
    <x v="175"/>
    <x v="0"/>
    <x v="3"/>
    <n v="18.474998401355499"/>
    <n v="6743.3744164947502"/>
    <n v="24276.1478993811"/>
  </r>
  <r>
    <x v="0"/>
    <x v="0"/>
    <x v="0"/>
    <x v="9"/>
    <x v="17"/>
    <s v="SE1_EL"/>
    <x v="2"/>
    <x v="175"/>
    <x v="0"/>
    <x v="4"/>
    <n v="18.474998401355499"/>
    <n v="6743.3744164947502"/>
    <n v="24276.1478993811"/>
  </r>
  <r>
    <x v="0"/>
    <x v="0"/>
    <x v="0"/>
    <x v="9"/>
    <x v="17"/>
    <s v="SE1_EL"/>
    <x v="2"/>
    <x v="175"/>
    <x v="0"/>
    <x v="5"/>
    <n v="18.474998401355499"/>
    <n v="6743.3744164947502"/>
    <n v="24276.1478993811"/>
  </r>
  <r>
    <x v="0"/>
    <x v="0"/>
    <x v="0"/>
    <x v="9"/>
    <x v="17"/>
    <s v="SE1_EL"/>
    <x v="2"/>
    <x v="175"/>
    <x v="0"/>
    <x v="6"/>
    <n v="18.474998401355499"/>
    <n v="6743.3744164947502"/>
    <n v="24276.1478993811"/>
  </r>
  <r>
    <x v="0"/>
    <x v="0"/>
    <x v="0"/>
    <x v="9"/>
    <x v="17"/>
    <s v="SE1_EL"/>
    <x v="2"/>
    <x v="175"/>
    <x v="0"/>
    <x v="7"/>
    <n v="18.474998401355499"/>
    <n v="6743.3744164947502"/>
    <n v="24276.1478993811"/>
  </r>
  <r>
    <x v="0"/>
    <x v="0"/>
    <x v="0"/>
    <x v="9"/>
    <x v="17"/>
    <s v="SE1_EL"/>
    <x v="2"/>
    <x v="175"/>
    <x v="0"/>
    <x v="8"/>
    <n v="18.474998401355499"/>
    <n v="6743.3744164947502"/>
    <n v="24276.1478993811"/>
  </r>
  <r>
    <x v="0"/>
    <x v="0"/>
    <x v="0"/>
    <x v="9"/>
    <x v="17"/>
    <s v="SE1_EL"/>
    <x v="2"/>
    <x v="175"/>
    <x v="0"/>
    <x v="9"/>
    <n v="18.474998401355499"/>
    <n v="6743.3744164947502"/>
    <n v="24276.1478993811"/>
  </r>
  <r>
    <x v="0"/>
    <x v="0"/>
    <x v="0"/>
    <x v="9"/>
    <x v="17"/>
    <s v="SE1_EL"/>
    <x v="2"/>
    <x v="175"/>
    <x v="0"/>
    <x v="10"/>
    <n v="18.474998401355499"/>
    <n v="6743.3744164947502"/>
    <n v="24276.1478993811"/>
  </r>
  <r>
    <x v="0"/>
    <x v="0"/>
    <x v="0"/>
    <x v="9"/>
    <x v="17"/>
    <s v="SE1_EL"/>
    <x v="2"/>
    <x v="175"/>
    <x v="0"/>
    <x v="11"/>
    <n v="18.474998401355499"/>
    <n v="6743.3744164947502"/>
    <n v="24276.1478993811"/>
  </r>
  <r>
    <x v="0"/>
    <x v="0"/>
    <x v="0"/>
    <x v="9"/>
    <x v="17"/>
    <s v="SE1_EL"/>
    <x v="2"/>
    <x v="175"/>
    <x v="0"/>
    <x v="12"/>
    <n v="18.474998401355499"/>
    <n v="6743.3744164947502"/>
    <n v="24276.1478993811"/>
  </r>
  <r>
    <x v="0"/>
    <x v="0"/>
    <x v="0"/>
    <x v="9"/>
    <x v="17"/>
    <s v="SE1_EL"/>
    <x v="2"/>
    <x v="175"/>
    <x v="0"/>
    <x v="13"/>
    <n v="18.474998401355499"/>
    <n v="6743.3744164947502"/>
    <n v="24276.1478993811"/>
  </r>
  <r>
    <x v="0"/>
    <x v="0"/>
    <x v="0"/>
    <x v="9"/>
    <x v="17"/>
    <s v="SE1_EL"/>
    <x v="2"/>
    <x v="175"/>
    <x v="0"/>
    <x v="14"/>
    <n v="18.474998401355499"/>
    <n v="6743.3744164947502"/>
    <n v="24276.1478993811"/>
  </r>
  <r>
    <x v="0"/>
    <x v="0"/>
    <x v="0"/>
    <x v="9"/>
    <x v="17"/>
    <s v="SE1_EL"/>
    <x v="2"/>
    <x v="175"/>
    <x v="0"/>
    <x v="15"/>
    <n v="18.474998401355499"/>
    <n v="6743.3744164947502"/>
    <n v="24276.1478993811"/>
  </r>
  <r>
    <x v="0"/>
    <x v="0"/>
    <x v="0"/>
    <x v="9"/>
    <x v="17"/>
    <s v="SE1_EL"/>
    <x v="2"/>
    <x v="175"/>
    <x v="0"/>
    <x v="16"/>
    <n v="18.474998401355499"/>
    <n v="6743.3744164947502"/>
    <n v="24276.1478993811"/>
  </r>
  <r>
    <x v="0"/>
    <x v="0"/>
    <x v="0"/>
    <x v="9"/>
    <x v="17"/>
    <s v="SE1_EL"/>
    <x v="2"/>
    <x v="175"/>
    <x v="0"/>
    <x v="17"/>
    <n v="18.474998401355499"/>
    <n v="6743.3744164947502"/>
    <n v="24276.1478993811"/>
  </r>
  <r>
    <x v="0"/>
    <x v="0"/>
    <x v="0"/>
    <x v="9"/>
    <x v="17"/>
    <s v="SE1_EL"/>
    <x v="2"/>
    <x v="175"/>
    <x v="0"/>
    <x v="18"/>
    <n v="18.474998401355499"/>
    <n v="6743.3744164947502"/>
    <n v="24276.1478993811"/>
  </r>
  <r>
    <x v="0"/>
    <x v="0"/>
    <x v="0"/>
    <x v="9"/>
    <x v="17"/>
    <s v="SE1_EL"/>
    <x v="2"/>
    <x v="175"/>
    <x v="0"/>
    <x v="19"/>
    <n v="18.474998401355499"/>
    <n v="6743.3744164947502"/>
    <n v="24276.1478993811"/>
  </r>
  <r>
    <x v="0"/>
    <x v="0"/>
    <x v="0"/>
    <x v="9"/>
    <x v="17"/>
    <s v="SE1_EL"/>
    <x v="2"/>
    <x v="175"/>
    <x v="0"/>
    <x v="20"/>
    <n v="18.474998401355499"/>
    <n v="6743.3744164947502"/>
    <n v="24276.1478993811"/>
  </r>
  <r>
    <x v="0"/>
    <x v="0"/>
    <x v="0"/>
    <x v="9"/>
    <x v="17"/>
    <s v="SE1_EL"/>
    <x v="2"/>
    <x v="175"/>
    <x v="0"/>
    <x v="21"/>
    <n v="18.474998401355499"/>
    <n v="6743.3744164947502"/>
    <n v="24276.1478993811"/>
  </r>
  <r>
    <x v="0"/>
    <x v="0"/>
    <x v="0"/>
    <x v="9"/>
    <x v="17"/>
    <s v="SE1_EL"/>
    <x v="2"/>
    <x v="175"/>
    <x v="0"/>
    <x v="22"/>
    <n v="18.474998401355499"/>
    <n v="6743.3744164947502"/>
    <n v="24276.1478993811"/>
  </r>
  <r>
    <x v="0"/>
    <x v="0"/>
    <x v="0"/>
    <x v="9"/>
    <x v="17"/>
    <s v="SE1_EL"/>
    <x v="2"/>
    <x v="175"/>
    <x v="0"/>
    <x v="23"/>
    <n v="18.474998401355499"/>
    <n v="6743.3744164947502"/>
    <n v="24276.1478993811"/>
  </r>
  <r>
    <x v="0"/>
    <x v="0"/>
    <x v="0"/>
    <x v="9"/>
    <x v="17"/>
    <s v="SE1_EL"/>
    <x v="5"/>
    <x v="120"/>
    <x v="0"/>
    <x v="0"/>
    <n v="77.398301831615001"/>
    <n v="28250.380168539501"/>
    <n v="101701.36860674201"/>
  </r>
  <r>
    <x v="0"/>
    <x v="0"/>
    <x v="0"/>
    <x v="9"/>
    <x v="17"/>
    <s v="SE1_EL"/>
    <x v="5"/>
    <x v="120"/>
    <x v="0"/>
    <x v="1"/>
    <n v="77.259988549216601"/>
    <n v="28199.895820464099"/>
    <n v="101519.62495367099"/>
  </r>
  <r>
    <x v="0"/>
    <x v="0"/>
    <x v="0"/>
    <x v="9"/>
    <x v="17"/>
    <s v="SE1_EL"/>
    <x v="5"/>
    <x v="120"/>
    <x v="0"/>
    <x v="2"/>
    <n v="79.035769759004594"/>
    <n v="28848.055962036698"/>
    <n v="103853.001463332"/>
  </r>
  <r>
    <x v="0"/>
    <x v="0"/>
    <x v="0"/>
    <x v="9"/>
    <x v="17"/>
    <s v="SE1_EL"/>
    <x v="5"/>
    <x v="120"/>
    <x v="0"/>
    <x v="3"/>
    <n v="83.196854170364006"/>
    <n v="30366.851772182901"/>
    <n v="109320.666379858"/>
  </r>
  <r>
    <x v="0"/>
    <x v="0"/>
    <x v="0"/>
    <x v="9"/>
    <x v="17"/>
    <s v="SE1_EL"/>
    <x v="5"/>
    <x v="120"/>
    <x v="0"/>
    <x v="4"/>
    <n v="90.7925536274427"/>
    <n v="33139.282074016599"/>
    <n v="119301.41546646001"/>
  </r>
  <r>
    <x v="0"/>
    <x v="0"/>
    <x v="0"/>
    <x v="9"/>
    <x v="17"/>
    <s v="SE1_EL"/>
    <x v="5"/>
    <x v="120"/>
    <x v="0"/>
    <x v="5"/>
    <n v="99.805817228440802"/>
    <n v="36429.123288380899"/>
    <n v="131144.84383817099"/>
  </r>
  <r>
    <x v="0"/>
    <x v="0"/>
    <x v="0"/>
    <x v="9"/>
    <x v="17"/>
    <s v="SE1_EL"/>
    <x v="5"/>
    <x v="120"/>
    <x v="0"/>
    <x v="6"/>
    <n v="120.990725464489"/>
    <n v="44161.614794538596"/>
    <n v="158981.813260339"/>
  </r>
  <r>
    <x v="0"/>
    <x v="0"/>
    <x v="0"/>
    <x v="9"/>
    <x v="17"/>
    <s v="SE1_EL"/>
    <x v="5"/>
    <x v="120"/>
    <x v="0"/>
    <x v="7"/>
    <n v="134.71813085565299"/>
    <n v="49172.117762313297"/>
    <n v="177019.62394432799"/>
  </r>
  <r>
    <x v="0"/>
    <x v="0"/>
    <x v="0"/>
    <x v="9"/>
    <x v="17"/>
    <s v="SE1_EL"/>
    <x v="5"/>
    <x v="120"/>
    <x v="0"/>
    <x v="8"/>
    <n v="137.127380595369"/>
    <n v="50051.493917309497"/>
    <n v="180185.37810231399"/>
  </r>
  <r>
    <x v="0"/>
    <x v="0"/>
    <x v="0"/>
    <x v="9"/>
    <x v="17"/>
    <s v="SE1_EL"/>
    <x v="5"/>
    <x v="120"/>
    <x v="0"/>
    <x v="9"/>
    <n v="140.90771666967501"/>
    <n v="51431.316584431501"/>
    <n v="185152.739703953"/>
  </r>
  <r>
    <x v="0"/>
    <x v="0"/>
    <x v="0"/>
    <x v="9"/>
    <x v="17"/>
    <s v="SE1_EL"/>
    <x v="5"/>
    <x v="120"/>
    <x v="0"/>
    <x v="10"/>
    <n v="135.633515841861"/>
    <n v="49506.2332822791"/>
    <n v="178222.43981620501"/>
  </r>
  <r>
    <x v="0"/>
    <x v="0"/>
    <x v="0"/>
    <x v="9"/>
    <x v="17"/>
    <s v="SE1_EL"/>
    <x v="5"/>
    <x v="120"/>
    <x v="0"/>
    <x v="11"/>
    <n v="133.51655856039699"/>
    <n v="48733.543874545001"/>
    <n v="175440.75794836201"/>
  </r>
  <r>
    <x v="0"/>
    <x v="0"/>
    <x v="0"/>
    <x v="9"/>
    <x v="17"/>
    <s v="SE1_EL"/>
    <x v="5"/>
    <x v="120"/>
    <x v="0"/>
    <x v="12"/>
    <n v="133.73051420897201"/>
    <n v="48811.637686274997"/>
    <n v="175721.89567058999"/>
  </r>
  <r>
    <x v="0"/>
    <x v="0"/>
    <x v="0"/>
    <x v="9"/>
    <x v="17"/>
    <s v="SE1_EL"/>
    <x v="5"/>
    <x v="120"/>
    <x v="0"/>
    <x v="13"/>
    <n v="132.68058468359399"/>
    <n v="48428.413409511799"/>
    <n v="174342.28827424199"/>
  </r>
  <r>
    <x v="0"/>
    <x v="0"/>
    <x v="0"/>
    <x v="9"/>
    <x v="17"/>
    <s v="SE1_EL"/>
    <x v="5"/>
    <x v="120"/>
    <x v="0"/>
    <x v="14"/>
    <n v="132.03808783372301"/>
    <n v="48193.902059309003"/>
    <n v="173498.04741351301"/>
  </r>
  <r>
    <x v="0"/>
    <x v="0"/>
    <x v="0"/>
    <x v="9"/>
    <x v="17"/>
    <s v="SE1_EL"/>
    <x v="5"/>
    <x v="120"/>
    <x v="0"/>
    <x v="15"/>
    <n v="138.344738961074"/>
    <n v="50495.829720792201"/>
    <n v="181784.98699485199"/>
  </r>
  <r>
    <x v="0"/>
    <x v="0"/>
    <x v="0"/>
    <x v="9"/>
    <x v="17"/>
    <s v="SE1_EL"/>
    <x v="5"/>
    <x v="120"/>
    <x v="0"/>
    <x v="16"/>
    <n v="127.682416985424"/>
    <n v="46604.0821996796"/>
    <n v="167774.69591884699"/>
  </r>
  <r>
    <x v="0"/>
    <x v="0"/>
    <x v="0"/>
    <x v="9"/>
    <x v="17"/>
    <s v="SE1_EL"/>
    <x v="5"/>
    <x v="120"/>
    <x v="0"/>
    <x v="17"/>
    <n v="122.50268433641099"/>
    <n v="44713.479782790098"/>
    <n v="160968.52721804401"/>
  </r>
  <r>
    <x v="0"/>
    <x v="0"/>
    <x v="0"/>
    <x v="9"/>
    <x v="17"/>
    <s v="SE1_EL"/>
    <x v="5"/>
    <x v="120"/>
    <x v="0"/>
    <x v="18"/>
    <n v="119.944734437256"/>
    <n v="43779.828069598603"/>
    <n v="157607.38105055501"/>
  </r>
  <r>
    <x v="0"/>
    <x v="0"/>
    <x v="0"/>
    <x v="9"/>
    <x v="17"/>
    <s v="SE1_EL"/>
    <x v="5"/>
    <x v="120"/>
    <x v="0"/>
    <x v="19"/>
    <n v="115.335355395484"/>
    <n v="42097.404719351602"/>
    <n v="151550.65698966599"/>
  </r>
  <r>
    <x v="0"/>
    <x v="0"/>
    <x v="0"/>
    <x v="9"/>
    <x v="17"/>
    <s v="SE1_EL"/>
    <x v="5"/>
    <x v="120"/>
    <x v="0"/>
    <x v="20"/>
    <n v="110.592959140782"/>
    <n v="40366.430086385597"/>
    <n v="145319.14831098801"/>
  </r>
  <r>
    <x v="0"/>
    <x v="0"/>
    <x v="0"/>
    <x v="9"/>
    <x v="17"/>
    <s v="SE1_EL"/>
    <x v="5"/>
    <x v="120"/>
    <x v="0"/>
    <x v="21"/>
    <n v="108.50833114762401"/>
    <n v="39605.540868882701"/>
    <n v="142579.947127978"/>
  </r>
  <r>
    <x v="0"/>
    <x v="0"/>
    <x v="0"/>
    <x v="9"/>
    <x v="17"/>
    <s v="SE1_EL"/>
    <x v="5"/>
    <x v="120"/>
    <x v="0"/>
    <x v="22"/>
    <n v="100.875935029841"/>
    <n v="36819.716285891998"/>
    <n v="132550.97862921099"/>
  </r>
  <r>
    <x v="0"/>
    <x v="0"/>
    <x v="0"/>
    <x v="9"/>
    <x v="17"/>
    <s v="SE1_EL"/>
    <x v="5"/>
    <x v="120"/>
    <x v="0"/>
    <x v="23"/>
    <n v="92.651105293109595"/>
    <n v="33817.653431985003"/>
    <n v="121743.55235514601"/>
  </r>
  <r>
    <x v="0"/>
    <x v="0"/>
    <x v="0"/>
    <x v="9"/>
    <x v="17"/>
    <s v="SE1_EL"/>
    <x v="11"/>
    <x v="193"/>
    <x v="0"/>
    <x v="0"/>
    <n v="12.7971780168803"/>
    <n v="4670.9699761613201"/>
    <n v="16815.491914180799"/>
  </r>
  <r>
    <x v="0"/>
    <x v="0"/>
    <x v="0"/>
    <x v="9"/>
    <x v="17"/>
    <s v="SE1_EL"/>
    <x v="11"/>
    <x v="193"/>
    <x v="0"/>
    <x v="1"/>
    <n v="12.7971780168803"/>
    <n v="4670.9699761613201"/>
    <n v="16815.491914180799"/>
  </r>
  <r>
    <x v="0"/>
    <x v="0"/>
    <x v="0"/>
    <x v="9"/>
    <x v="17"/>
    <s v="SE1_EL"/>
    <x v="11"/>
    <x v="193"/>
    <x v="0"/>
    <x v="2"/>
    <n v="12.7971780168803"/>
    <n v="4670.9699761613201"/>
    <n v="16815.491914180799"/>
  </r>
  <r>
    <x v="0"/>
    <x v="0"/>
    <x v="0"/>
    <x v="9"/>
    <x v="17"/>
    <s v="SE1_EL"/>
    <x v="11"/>
    <x v="193"/>
    <x v="0"/>
    <x v="3"/>
    <n v="12.7971780168803"/>
    <n v="4670.9699761613201"/>
    <n v="16815.491914180799"/>
  </r>
  <r>
    <x v="0"/>
    <x v="0"/>
    <x v="0"/>
    <x v="9"/>
    <x v="17"/>
    <s v="SE1_EL"/>
    <x v="11"/>
    <x v="193"/>
    <x v="0"/>
    <x v="4"/>
    <n v="12.7971780168803"/>
    <n v="4670.9699761613201"/>
    <n v="16815.491914180799"/>
  </r>
  <r>
    <x v="0"/>
    <x v="0"/>
    <x v="0"/>
    <x v="9"/>
    <x v="17"/>
    <s v="SE1_EL"/>
    <x v="11"/>
    <x v="193"/>
    <x v="0"/>
    <x v="5"/>
    <n v="12.7971780168803"/>
    <n v="4670.9699761613201"/>
    <n v="16815.491914180799"/>
  </r>
  <r>
    <x v="0"/>
    <x v="0"/>
    <x v="0"/>
    <x v="9"/>
    <x v="17"/>
    <s v="SE1_EL"/>
    <x v="11"/>
    <x v="193"/>
    <x v="0"/>
    <x v="6"/>
    <n v="12.7971780168803"/>
    <n v="4670.9699761613201"/>
    <n v="16815.491914180799"/>
  </r>
  <r>
    <x v="0"/>
    <x v="0"/>
    <x v="0"/>
    <x v="9"/>
    <x v="17"/>
    <s v="SE1_EL"/>
    <x v="11"/>
    <x v="193"/>
    <x v="0"/>
    <x v="7"/>
    <n v="12.7971780168803"/>
    <n v="4670.9699761613201"/>
    <n v="16815.491914180799"/>
  </r>
  <r>
    <x v="0"/>
    <x v="0"/>
    <x v="0"/>
    <x v="9"/>
    <x v="17"/>
    <s v="SE1_EL"/>
    <x v="11"/>
    <x v="193"/>
    <x v="0"/>
    <x v="8"/>
    <n v="12.7971780168803"/>
    <n v="4670.9699761613201"/>
    <n v="16815.491914180799"/>
  </r>
  <r>
    <x v="0"/>
    <x v="0"/>
    <x v="0"/>
    <x v="9"/>
    <x v="17"/>
    <s v="SE1_EL"/>
    <x v="11"/>
    <x v="193"/>
    <x v="0"/>
    <x v="9"/>
    <n v="12.7971780168803"/>
    <n v="4670.9699761613201"/>
    <n v="16815.491914180799"/>
  </r>
  <r>
    <x v="0"/>
    <x v="0"/>
    <x v="0"/>
    <x v="9"/>
    <x v="17"/>
    <s v="SE1_EL"/>
    <x v="11"/>
    <x v="193"/>
    <x v="0"/>
    <x v="10"/>
    <n v="12.7971780168803"/>
    <n v="4670.9699761613201"/>
    <n v="16815.491914180799"/>
  </r>
  <r>
    <x v="0"/>
    <x v="0"/>
    <x v="0"/>
    <x v="9"/>
    <x v="17"/>
    <s v="SE1_EL"/>
    <x v="11"/>
    <x v="193"/>
    <x v="0"/>
    <x v="11"/>
    <n v="12.7971780168803"/>
    <n v="4670.9699761613201"/>
    <n v="16815.491914180799"/>
  </r>
  <r>
    <x v="0"/>
    <x v="0"/>
    <x v="0"/>
    <x v="9"/>
    <x v="17"/>
    <s v="SE1_EL"/>
    <x v="11"/>
    <x v="193"/>
    <x v="0"/>
    <x v="12"/>
    <n v="12.7971780168803"/>
    <n v="4670.9699761613201"/>
    <n v="16815.491914180799"/>
  </r>
  <r>
    <x v="0"/>
    <x v="0"/>
    <x v="0"/>
    <x v="9"/>
    <x v="17"/>
    <s v="SE1_EL"/>
    <x v="11"/>
    <x v="193"/>
    <x v="0"/>
    <x v="13"/>
    <n v="12.7971780168803"/>
    <n v="4670.9699761613201"/>
    <n v="16815.491914180799"/>
  </r>
  <r>
    <x v="0"/>
    <x v="0"/>
    <x v="0"/>
    <x v="9"/>
    <x v="17"/>
    <s v="SE1_EL"/>
    <x v="11"/>
    <x v="193"/>
    <x v="0"/>
    <x v="14"/>
    <n v="12.7971780168803"/>
    <n v="4670.9699761613201"/>
    <n v="16815.491914180799"/>
  </r>
  <r>
    <x v="0"/>
    <x v="0"/>
    <x v="0"/>
    <x v="9"/>
    <x v="17"/>
    <s v="SE1_EL"/>
    <x v="11"/>
    <x v="193"/>
    <x v="0"/>
    <x v="15"/>
    <n v="12.7971780168803"/>
    <n v="4670.9699761613201"/>
    <n v="16815.491914180799"/>
  </r>
  <r>
    <x v="0"/>
    <x v="0"/>
    <x v="0"/>
    <x v="9"/>
    <x v="17"/>
    <s v="SE1_EL"/>
    <x v="11"/>
    <x v="193"/>
    <x v="0"/>
    <x v="16"/>
    <n v="12.7971780168803"/>
    <n v="4670.9699761613201"/>
    <n v="16815.491914180799"/>
  </r>
  <r>
    <x v="0"/>
    <x v="0"/>
    <x v="0"/>
    <x v="9"/>
    <x v="17"/>
    <s v="SE1_EL"/>
    <x v="11"/>
    <x v="193"/>
    <x v="0"/>
    <x v="17"/>
    <n v="12.7971780168803"/>
    <n v="4670.9699761613201"/>
    <n v="16815.491914180799"/>
  </r>
  <r>
    <x v="0"/>
    <x v="0"/>
    <x v="0"/>
    <x v="9"/>
    <x v="17"/>
    <s v="SE1_EL"/>
    <x v="11"/>
    <x v="193"/>
    <x v="0"/>
    <x v="18"/>
    <n v="12.7971780168803"/>
    <n v="4670.9699761613201"/>
    <n v="16815.491914180799"/>
  </r>
  <r>
    <x v="0"/>
    <x v="0"/>
    <x v="0"/>
    <x v="9"/>
    <x v="17"/>
    <s v="SE1_EL"/>
    <x v="11"/>
    <x v="193"/>
    <x v="0"/>
    <x v="19"/>
    <n v="12.7971780168803"/>
    <n v="4670.9699761613201"/>
    <n v="16815.491914180799"/>
  </r>
  <r>
    <x v="0"/>
    <x v="0"/>
    <x v="0"/>
    <x v="9"/>
    <x v="17"/>
    <s v="SE1_EL"/>
    <x v="11"/>
    <x v="193"/>
    <x v="0"/>
    <x v="20"/>
    <n v="12.7971780168803"/>
    <n v="4670.9699761613201"/>
    <n v="16815.491914180799"/>
  </r>
  <r>
    <x v="0"/>
    <x v="0"/>
    <x v="0"/>
    <x v="9"/>
    <x v="17"/>
    <s v="SE1_EL"/>
    <x v="11"/>
    <x v="193"/>
    <x v="0"/>
    <x v="21"/>
    <n v="12.7971780168803"/>
    <n v="4670.9699761613201"/>
    <n v="16815.491914180799"/>
  </r>
  <r>
    <x v="0"/>
    <x v="0"/>
    <x v="0"/>
    <x v="9"/>
    <x v="17"/>
    <s v="SE1_EL"/>
    <x v="11"/>
    <x v="193"/>
    <x v="0"/>
    <x v="22"/>
    <n v="12.7971780168803"/>
    <n v="4670.9699761613201"/>
    <n v="16815.491914180799"/>
  </r>
  <r>
    <x v="0"/>
    <x v="0"/>
    <x v="0"/>
    <x v="9"/>
    <x v="17"/>
    <s v="SE1_EL"/>
    <x v="11"/>
    <x v="193"/>
    <x v="0"/>
    <x v="23"/>
    <n v="12.7971780168803"/>
    <n v="4670.9699761613201"/>
    <n v="16815.491914180799"/>
  </r>
  <r>
    <x v="0"/>
    <x v="0"/>
    <x v="0"/>
    <x v="9"/>
    <x v="17"/>
    <s v="SE1_OTHER"/>
    <x v="5"/>
    <x v="120"/>
    <x v="0"/>
    <x v="0"/>
    <n v="35.828754578754399"/>
    <n v="13077.495421245399"/>
    <n v="47078.983516483298"/>
  </r>
  <r>
    <x v="0"/>
    <x v="0"/>
    <x v="0"/>
    <x v="9"/>
    <x v="17"/>
    <s v="SE1_OTHER"/>
    <x v="5"/>
    <x v="120"/>
    <x v="0"/>
    <x v="1"/>
    <n v="35.828754578754399"/>
    <n v="13077.495421245399"/>
    <n v="47078.983516483298"/>
  </r>
  <r>
    <x v="0"/>
    <x v="0"/>
    <x v="0"/>
    <x v="9"/>
    <x v="17"/>
    <s v="SE1_OTHER"/>
    <x v="5"/>
    <x v="120"/>
    <x v="0"/>
    <x v="2"/>
    <n v="35.828754578754399"/>
    <n v="13077.495421245399"/>
    <n v="47078.983516483298"/>
  </r>
  <r>
    <x v="0"/>
    <x v="0"/>
    <x v="0"/>
    <x v="9"/>
    <x v="17"/>
    <s v="SE1_OTHER"/>
    <x v="5"/>
    <x v="120"/>
    <x v="0"/>
    <x v="3"/>
    <n v="35.828754578754399"/>
    <n v="13077.495421245399"/>
    <n v="47078.983516483298"/>
  </r>
  <r>
    <x v="0"/>
    <x v="0"/>
    <x v="0"/>
    <x v="9"/>
    <x v="17"/>
    <s v="SE1_OTHER"/>
    <x v="5"/>
    <x v="120"/>
    <x v="0"/>
    <x v="4"/>
    <n v="35.828754578754399"/>
    <n v="13077.495421245399"/>
    <n v="47078.983516483298"/>
  </r>
  <r>
    <x v="0"/>
    <x v="0"/>
    <x v="0"/>
    <x v="9"/>
    <x v="17"/>
    <s v="SE1_OTHER"/>
    <x v="5"/>
    <x v="120"/>
    <x v="0"/>
    <x v="5"/>
    <n v="35.828754578754399"/>
    <n v="13077.495421245399"/>
    <n v="47078.983516483298"/>
  </r>
  <r>
    <x v="0"/>
    <x v="0"/>
    <x v="0"/>
    <x v="9"/>
    <x v="17"/>
    <s v="SE1_OTHER"/>
    <x v="5"/>
    <x v="120"/>
    <x v="0"/>
    <x v="6"/>
    <n v="35.828754578754399"/>
    <n v="13077.495421245399"/>
    <n v="47078.983516483298"/>
  </r>
  <r>
    <x v="0"/>
    <x v="0"/>
    <x v="0"/>
    <x v="9"/>
    <x v="17"/>
    <s v="SE1_OTHER"/>
    <x v="5"/>
    <x v="120"/>
    <x v="0"/>
    <x v="7"/>
    <n v="35.828754578754399"/>
    <n v="13077.495421245399"/>
    <n v="47078.983516483298"/>
  </r>
  <r>
    <x v="0"/>
    <x v="0"/>
    <x v="0"/>
    <x v="9"/>
    <x v="17"/>
    <s v="SE1_OTHER"/>
    <x v="5"/>
    <x v="120"/>
    <x v="0"/>
    <x v="8"/>
    <n v="35.828754578754399"/>
    <n v="13077.495421245399"/>
    <n v="47078.983516483298"/>
  </r>
  <r>
    <x v="0"/>
    <x v="0"/>
    <x v="0"/>
    <x v="9"/>
    <x v="17"/>
    <s v="SE1_OTHER"/>
    <x v="5"/>
    <x v="120"/>
    <x v="0"/>
    <x v="9"/>
    <n v="35.828754578754399"/>
    <n v="13077.495421245399"/>
    <n v="47078.983516483298"/>
  </r>
  <r>
    <x v="0"/>
    <x v="0"/>
    <x v="0"/>
    <x v="9"/>
    <x v="17"/>
    <s v="SE1_OTHER"/>
    <x v="5"/>
    <x v="120"/>
    <x v="0"/>
    <x v="10"/>
    <n v="35.828754578754399"/>
    <n v="13077.495421245399"/>
    <n v="47078.983516483298"/>
  </r>
  <r>
    <x v="0"/>
    <x v="0"/>
    <x v="0"/>
    <x v="9"/>
    <x v="17"/>
    <s v="SE1_OTHER"/>
    <x v="5"/>
    <x v="120"/>
    <x v="0"/>
    <x v="11"/>
    <n v="35.828754578754399"/>
    <n v="13077.495421245399"/>
    <n v="47078.983516483298"/>
  </r>
  <r>
    <x v="0"/>
    <x v="0"/>
    <x v="0"/>
    <x v="9"/>
    <x v="17"/>
    <s v="SE1_OTHER"/>
    <x v="5"/>
    <x v="120"/>
    <x v="0"/>
    <x v="12"/>
    <n v="35.828754578754399"/>
    <n v="13077.495421245399"/>
    <n v="47078.983516483298"/>
  </r>
  <r>
    <x v="0"/>
    <x v="0"/>
    <x v="0"/>
    <x v="9"/>
    <x v="17"/>
    <s v="SE1_OTHER"/>
    <x v="5"/>
    <x v="120"/>
    <x v="0"/>
    <x v="13"/>
    <n v="35.828754578754399"/>
    <n v="13077.495421245399"/>
    <n v="47078.983516483298"/>
  </r>
  <r>
    <x v="0"/>
    <x v="0"/>
    <x v="0"/>
    <x v="9"/>
    <x v="17"/>
    <s v="SE1_OTHER"/>
    <x v="5"/>
    <x v="120"/>
    <x v="0"/>
    <x v="14"/>
    <n v="35.828754578754399"/>
    <n v="13077.495421245399"/>
    <n v="47078.983516483298"/>
  </r>
  <r>
    <x v="0"/>
    <x v="0"/>
    <x v="0"/>
    <x v="9"/>
    <x v="17"/>
    <s v="SE1_OTHER"/>
    <x v="5"/>
    <x v="120"/>
    <x v="0"/>
    <x v="15"/>
    <n v="35.828754578754399"/>
    <n v="13077.495421245399"/>
    <n v="47078.983516483298"/>
  </r>
  <r>
    <x v="0"/>
    <x v="0"/>
    <x v="0"/>
    <x v="9"/>
    <x v="17"/>
    <s v="SE1_OTHER"/>
    <x v="5"/>
    <x v="120"/>
    <x v="0"/>
    <x v="16"/>
    <n v="35.828754578754399"/>
    <n v="13077.495421245399"/>
    <n v="47078.983516483298"/>
  </r>
  <r>
    <x v="0"/>
    <x v="0"/>
    <x v="0"/>
    <x v="9"/>
    <x v="17"/>
    <s v="SE1_OTHER"/>
    <x v="5"/>
    <x v="120"/>
    <x v="0"/>
    <x v="17"/>
    <n v="35.828754578754399"/>
    <n v="13077.495421245399"/>
    <n v="47078.983516483298"/>
  </r>
  <r>
    <x v="0"/>
    <x v="0"/>
    <x v="0"/>
    <x v="9"/>
    <x v="17"/>
    <s v="SE1_OTHER"/>
    <x v="5"/>
    <x v="120"/>
    <x v="0"/>
    <x v="18"/>
    <n v="35.828754578754399"/>
    <n v="13077.495421245399"/>
    <n v="47078.983516483298"/>
  </r>
  <r>
    <x v="0"/>
    <x v="0"/>
    <x v="0"/>
    <x v="9"/>
    <x v="17"/>
    <s v="SE1_OTHER"/>
    <x v="5"/>
    <x v="120"/>
    <x v="0"/>
    <x v="19"/>
    <n v="35.828754578754399"/>
    <n v="13077.495421245399"/>
    <n v="47078.983516483298"/>
  </r>
  <r>
    <x v="0"/>
    <x v="0"/>
    <x v="0"/>
    <x v="9"/>
    <x v="17"/>
    <s v="SE1_OTHER"/>
    <x v="5"/>
    <x v="120"/>
    <x v="0"/>
    <x v="20"/>
    <n v="35.828754578754399"/>
    <n v="13077.495421245399"/>
    <n v="47078.983516483298"/>
  </r>
  <r>
    <x v="0"/>
    <x v="0"/>
    <x v="0"/>
    <x v="9"/>
    <x v="17"/>
    <s v="SE1_OTHER"/>
    <x v="5"/>
    <x v="120"/>
    <x v="0"/>
    <x v="21"/>
    <n v="35.828754578754399"/>
    <n v="13077.495421245399"/>
    <n v="47078.983516483298"/>
  </r>
  <r>
    <x v="0"/>
    <x v="0"/>
    <x v="0"/>
    <x v="9"/>
    <x v="17"/>
    <s v="SE1_OTHER"/>
    <x v="5"/>
    <x v="120"/>
    <x v="0"/>
    <x v="22"/>
    <n v="35.828754578754399"/>
    <n v="13077.495421245399"/>
    <n v="47078.983516483298"/>
  </r>
  <r>
    <x v="0"/>
    <x v="0"/>
    <x v="0"/>
    <x v="9"/>
    <x v="17"/>
    <s v="SE1_OTHER"/>
    <x v="5"/>
    <x v="120"/>
    <x v="0"/>
    <x v="23"/>
    <n v="35.828754578754399"/>
    <n v="13077.495421245399"/>
    <n v="47078.983516483298"/>
  </r>
  <r>
    <x v="0"/>
    <x v="0"/>
    <x v="0"/>
    <x v="9"/>
    <x v="17"/>
    <s v="SE1_OTHER"/>
    <x v="6"/>
    <x v="194"/>
    <x v="0"/>
    <x v="0"/>
    <n v="16.392294220665502"/>
    <n v="5983.1873905429102"/>
    <n v="21539.4746059545"/>
  </r>
  <r>
    <x v="0"/>
    <x v="0"/>
    <x v="0"/>
    <x v="9"/>
    <x v="17"/>
    <s v="SE1_OTHER"/>
    <x v="6"/>
    <x v="194"/>
    <x v="0"/>
    <x v="1"/>
    <n v="16.392294220665502"/>
    <n v="5983.1873905429102"/>
    <n v="21539.4746059545"/>
  </r>
  <r>
    <x v="0"/>
    <x v="0"/>
    <x v="0"/>
    <x v="9"/>
    <x v="17"/>
    <s v="SE1_OTHER"/>
    <x v="6"/>
    <x v="194"/>
    <x v="0"/>
    <x v="2"/>
    <n v="16.392294220665502"/>
    <n v="5983.1873905429102"/>
    <n v="21539.4746059545"/>
  </r>
  <r>
    <x v="0"/>
    <x v="0"/>
    <x v="0"/>
    <x v="9"/>
    <x v="17"/>
    <s v="SE1_OTHER"/>
    <x v="6"/>
    <x v="194"/>
    <x v="0"/>
    <x v="3"/>
    <n v="16.392294220665502"/>
    <n v="5983.1873905429102"/>
    <n v="21539.4746059545"/>
  </r>
  <r>
    <x v="0"/>
    <x v="0"/>
    <x v="0"/>
    <x v="9"/>
    <x v="17"/>
    <s v="SE1_OTHER"/>
    <x v="6"/>
    <x v="194"/>
    <x v="0"/>
    <x v="4"/>
    <n v="16.392294220665502"/>
    <n v="5983.1873905429102"/>
    <n v="21539.4746059545"/>
  </r>
  <r>
    <x v="0"/>
    <x v="0"/>
    <x v="0"/>
    <x v="9"/>
    <x v="17"/>
    <s v="SE1_OTHER"/>
    <x v="6"/>
    <x v="194"/>
    <x v="0"/>
    <x v="5"/>
    <n v="16.392294220665502"/>
    <n v="5983.1873905429102"/>
    <n v="21539.4746059545"/>
  </r>
  <r>
    <x v="0"/>
    <x v="0"/>
    <x v="0"/>
    <x v="9"/>
    <x v="17"/>
    <s v="SE1_OTHER"/>
    <x v="6"/>
    <x v="194"/>
    <x v="0"/>
    <x v="6"/>
    <n v="16.392294220665502"/>
    <n v="5983.1873905429102"/>
    <n v="21539.4746059545"/>
  </r>
  <r>
    <x v="0"/>
    <x v="0"/>
    <x v="0"/>
    <x v="9"/>
    <x v="17"/>
    <s v="SE1_OTHER"/>
    <x v="6"/>
    <x v="194"/>
    <x v="0"/>
    <x v="7"/>
    <n v="16.392294220665502"/>
    <n v="5983.1873905429102"/>
    <n v="21539.4746059545"/>
  </r>
  <r>
    <x v="0"/>
    <x v="0"/>
    <x v="0"/>
    <x v="9"/>
    <x v="17"/>
    <s v="SE1_OTHER"/>
    <x v="6"/>
    <x v="194"/>
    <x v="0"/>
    <x v="8"/>
    <n v="16.392294220665502"/>
    <n v="5983.1873905429102"/>
    <n v="21539.4746059545"/>
  </r>
  <r>
    <x v="0"/>
    <x v="0"/>
    <x v="0"/>
    <x v="9"/>
    <x v="17"/>
    <s v="SE1_OTHER"/>
    <x v="6"/>
    <x v="194"/>
    <x v="0"/>
    <x v="9"/>
    <n v="16.392294220665502"/>
    <n v="5983.1873905429102"/>
    <n v="21539.4746059545"/>
  </r>
  <r>
    <x v="0"/>
    <x v="0"/>
    <x v="0"/>
    <x v="9"/>
    <x v="17"/>
    <s v="SE1_OTHER"/>
    <x v="6"/>
    <x v="194"/>
    <x v="0"/>
    <x v="10"/>
    <n v="16.392294220665502"/>
    <n v="5983.1873905429102"/>
    <n v="21539.4746059545"/>
  </r>
  <r>
    <x v="0"/>
    <x v="0"/>
    <x v="0"/>
    <x v="9"/>
    <x v="17"/>
    <s v="SE1_OTHER"/>
    <x v="6"/>
    <x v="194"/>
    <x v="0"/>
    <x v="11"/>
    <n v="16.392294220665502"/>
    <n v="5983.1873905429102"/>
    <n v="21539.4746059545"/>
  </r>
  <r>
    <x v="0"/>
    <x v="0"/>
    <x v="0"/>
    <x v="9"/>
    <x v="17"/>
    <s v="SE1_OTHER"/>
    <x v="6"/>
    <x v="194"/>
    <x v="0"/>
    <x v="12"/>
    <n v="16.392294220665502"/>
    <n v="5983.1873905429102"/>
    <n v="21539.4746059545"/>
  </r>
  <r>
    <x v="0"/>
    <x v="0"/>
    <x v="0"/>
    <x v="9"/>
    <x v="17"/>
    <s v="SE1_OTHER"/>
    <x v="6"/>
    <x v="194"/>
    <x v="0"/>
    <x v="13"/>
    <n v="16.392294220665502"/>
    <n v="5983.1873905429102"/>
    <n v="21539.4746059545"/>
  </r>
  <r>
    <x v="0"/>
    <x v="0"/>
    <x v="0"/>
    <x v="9"/>
    <x v="17"/>
    <s v="SE1_OTHER"/>
    <x v="6"/>
    <x v="194"/>
    <x v="0"/>
    <x v="14"/>
    <n v="16.392294220665502"/>
    <n v="5983.1873905429102"/>
    <n v="21539.4746059545"/>
  </r>
  <r>
    <x v="0"/>
    <x v="0"/>
    <x v="0"/>
    <x v="9"/>
    <x v="17"/>
    <s v="SE1_OTHER"/>
    <x v="6"/>
    <x v="194"/>
    <x v="0"/>
    <x v="15"/>
    <n v="16.392294220665502"/>
    <n v="5983.1873905429102"/>
    <n v="21539.4746059545"/>
  </r>
  <r>
    <x v="0"/>
    <x v="0"/>
    <x v="0"/>
    <x v="9"/>
    <x v="17"/>
    <s v="SE1_OTHER"/>
    <x v="6"/>
    <x v="194"/>
    <x v="0"/>
    <x v="16"/>
    <n v="16.392294220665502"/>
    <n v="5983.1873905429102"/>
    <n v="21539.4746059545"/>
  </r>
  <r>
    <x v="0"/>
    <x v="0"/>
    <x v="0"/>
    <x v="9"/>
    <x v="17"/>
    <s v="SE1_OTHER"/>
    <x v="6"/>
    <x v="194"/>
    <x v="0"/>
    <x v="17"/>
    <n v="16.392294220665502"/>
    <n v="5983.1873905429102"/>
    <n v="21539.4746059545"/>
  </r>
  <r>
    <x v="0"/>
    <x v="0"/>
    <x v="0"/>
    <x v="9"/>
    <x v="17"/>
    <s v="SE1_OTHER"/>
    <x v="6"/>
    <x v="194"/>
    <x v="0"/>
    <x v="18"/>
    <n v="16.392294220665502"/>
    <n v="5983.1873905429102"/>
    <n v="21539.4746059545"/>
  </r>
  <r>
    <x v="0"/>
    <x v="0"/>
    <x v="0"/>
    <x v="9"/>
    <x v="17"/>
    <s v="SE1_OTHER"/>
    <x v="6"/>
    <x v="194"/>
    <x v="0"/>
    <x v="19"/>
    <n v="16.392294220665502"/>
    <n v="5983.1873905429102"/>
    <n v="21539.4746059545"/>
  </r>
  <r>
    <x v="0"/>
    <x v="0"/>
    <x v="0"/>
    <x v="9"/>
    <x v="17"/>
    <s v="SE1_OTHER"/>
    <x v="6"/>
    <x v="194"/>
    <x v="0"/>
    <x v="20"/>
    <n v="16.392294220665502"/>
    <n v="5983.1873905429102"/>
    <n v="21539.4746059545"/>
  </r>
  <r>
    <x v="0"/>
    <x v="0"/>
    <x v="0"/>
    <x v="9"/>
    <x v="17"/>
    <s v="SE1_OTHER"/>
    <x v="6"/>
    <x v="194"/>
    <x v="0"/>
    <x v="21"/>
    <n v="16.392294220665502"/>
    <n v="5983.1873905429102"/>
    <n v="21539.4746059545"/>
  </r>
  <r>
    <x v="0"/>
    <x v="0"/>
    <x v="0"/>
    <x v="9"/>
    <x v="17"/>
    <s v="SE1_OTHER"/>
    <x v="6"/>
    <x v="194"/>
    <x v="0"/>
    <x v="22"/>
    <n v="16.392294220665502"/>
    <n v="5983.1873905429102"/>
    <n v="21539.4746059545"/>
  </r>
  <r>
    <x v="0"/>
    <x v="0"/>
    <x v="0"/>
    <x v="9"/>
    <x v="17"/>
    <s v="SE1_OTHER"/>
    <x v="6"/>
    <x v="194"/>
    <x v="0"/>
    <x v="23"/>
    <n v="16.392294220665502"/>
    <n v="5983.1873905429102"/>
    <n v="21539.4746059545"/>
  </r>
  <r>
    <x v="0"/>
    <x v="0"/>
    <x v="0"/>
    <x v="9"/>
    <x v="17"/>
    <s v="SE1_OTHER"/>
    <x v="11"/>
    <x v="195"/>
    <x v="0"/>
    <x v="0"/>
    <n v="97.4736031601836"/>
    <n v="35577.865153466999"/>
    <n v="128080.314552481"/>
  </r>
  <r>
    <x v="0"/>
    <x v="0"/>
    <x v="0"/>
    <x v="9"/>
    <x v="17"/>
    <s v="SE1_OTHER"/>
    <x v="11"/>
    <x v="195"/>
    <x v="0"/>
    <x v="1"/>
    <n v="97.4736031601836"/>
    <n v="35577.865153466999"/>
    <n v="128080.314552481"/>
  </r>
  <r>
    <x v="0"/>
    <x v="0"/>
    <x v="0"/>
    <x v="9"/>
    <x v="17"/>
    <s v="SE1_OTHER"/>
    <x v="11"/>
    <x v="195"/>
    <x v="0"/>
    <x v="2"/>
    <n v="97.4736031601836"/>
    <n v="35577.865153466999"/>
    <n v="128080.314552481"/>
  </r>
  <r>
    <x v="0"/>
    <x v="0"/>
    <x v="0"/>
    <x v="9"/>
    <x v="17"/>
    <s v="SE1_OTHER"/>
    <x v="11"/>
    <x v="195"/>
    <x v="0"/>
    <x v="3"/>
    <n v="97.4736031601836"/>
    <n v="35577.865153466999"/>
    <n v="128080.314552481"/>
  </r>
  <r>
    <x v="0"/>
    <x v="0"/>
    <x v="0"/>
    <x v="9"/>
    <x v="17"/>
    <s v="SE1_OTHER"/>
    <x v="11"/>
    <x v="195"/>
    <x v="0"/>
    <x v="4"/>
    <n v="97.4736031601836"/>
    <n v="35577.865153466999"/>
    <n v="128080.314552481"/>
  </r>
  <r>
    <x v="0"/>
    <x v="0"/>
    <x v="0"/>
    <x v="9"/>
    <x v="17"/>
    <s v="SE1_OTHER"/>
    <x v="11"/>
    <x v="195"/>
    <x v="0"/>
    <x v="5"/>
    <n v="97.4736031601836"/>
    <n v="35577.865153466999"/>
    <n v="128080.314552481"/>
  </r>
  <r>
    <x v="0"/>
    <x v="0"/>
    <x v="0"/>
    <x v="9"/>
    <x v="17"/>
    <s v="SE1_OTHER"/>
    <x v="11"/>
    <x v="195"/>
    <x v="0"/>
    <x v="6"/>
    <n v="97.4736031601836"/>
    <n v="35577.865153466999"/>
    <n v="128080.314552481"/>
  </r>
  <r>
    <x v="0"/>
    <x v="0"/>
    <x v="0"/>
    <x v="9"/>
    <x v="17"/>
    <s v="SE1_OTHER"/>
    <x v="11"/>
    <x v="195"/>
    <x v="0"/>
    <x v="7"/>
    <n v="97.4736031601836"/>
    <n v="35577.865153466999"/>
    <n v="128080.314552481"/>
  </r>
  <r>
    <x v="0"/>
    <x v="0"/>
    <x v="0"/>
    <x v="9"/>
    <x v="17"/>
    <s v="SE1_OTHER"/>
    <x v="11"/>
    <x v="195"/>
    <x v="0"/>
    <x v="8"/>
    <n v="97.4736031601836"/>
    <n v="35577.865153466999"/>
    <n v="128080.314552481"/>
  </r>
  <r>
    <x v="0"/>
    <x v="0"/>
    <x v="0"/>
    <x v="9"/>
    <x v="17"/>
    <s v="SE1_OTHER"/>
    <x v="11"/>
    <x v="195"/>
    <x v="0"/>
    <x v="9"/>
    <n v="97.4736031601836"/>
    <n v="35577.865153466999"/>
    <n v="128080.314552481"/>
  </r>
  <r>
    <x v="0"/>
    <x v="0"/>
    <x v="0"/>
    <x v="9"/>
    <x v="17"/>
    <s v="SE1_OTHER"/>
    <x v="11"/>
    <x v="195"/>
    <x v="0"/>
    <x v="10"/>
    <n v="97.4736031601836"/>
    <n v="35577.865153466999"/>
    <n v="128080.314552481"/>
  </r>
  <r>
    <x v="0"/>
    <x v="0"/>
    <x v="0"/>
    <x v="9"/>
    <x v="17"/>
    <s v="SE1_OTHER"/>
    <x v="11"/>
    <x v="195"/>
    <x v="0"/>
    <x v="11"/>
    <n v="97.4736031601836"/>
    <n v="35577.865153466999"/>
    <n v="128080.314552481"/>
  </r>
  <r>
    <x v="0"/>
    <x v="0"/>
    <x v="0"/>
    <x v="9"/>
    <x v="17"/>
    <s v="SE1_OTHER"/>
    <x v="11"/>
    <x v="195"/>
    <x v="0"/>
    <x v="12"/>
    <n v="97.4736031601836"/>
    <n v="35577.865153466999"/>
    <n v="128080.314552481"/>
  </r>
  <r>
    <x v="0"/>
    <x v="0"/>
    <x v="0"/>
    <x v="9"/>
    <x v="17"/>
    <s v="SE1_OTHER"/>
    <x v="11"/>
    <x v="195"/>
    <x v="0"/>
    <x v="13"/>
    <n v="97.4736031601836"/>
    <n v="35577.865153466999"/>
    <n v="128080.314552481"/>
  </r>
  <r>
    <x v="0"/>
    <x v="0"/>
    <x v="0"/>
    <x v="9"/>
    <x v="17"/>
    <s v="SE1_OTHER"/>
    <x v="11"/>
    <x v="195"/>
    <x v="0"/>
    <x v="14"/>
    <n v="97.4736031601836"/>
    <n v="35577.865153466999"/>
    <n v="128080.314552481"/>
  </r>
  <r>
    <x v="0"/>
    <x v="0"/>
    <x v="0"/>
    <x v="9"/>
    <x v="17"/>
    <s v="SE1_OTHER"/>
    <x v="11"/>
    <x v="195"/>
    <x v="0"/>
    <x v="15"/>
    <n v="97.4736031601836"/>
    <n v="35577.865153466999"/>
    <n v="128080.314552481"/>
  </r>
  <r>
    <x v="0"/>
    <x v="0"/>
    <x v="0"/>
    <x v="9"/>
    <x v="17"/>
    <s v="SE1_OTHER"/>
    <x v="11"/>
    <x v="195"/>
    <x v="0"/>
    <x v="16"/>
    <n v="97.4736031601836"/>
    <n v="35577.865153466999"/>
    <n v="128080.314552481"/>
  </r>
  <r>
    <x v="0"/>
    <x v="0"/>
    <x v="0"/>
    <x v="9"/>
    <x v="17"/>
    <s v="SE1_OTHER"/>
    <x v="11"/>
    <x v="195"/>
    <x v="0"/>
    <x v="17"/>
    <n v="97.4736031601836"/>
    <n v="35577.865153466999"/>
    <n v="128080.314552481"/>
  </r>
  <r>
    <x v="0"/>
    <x v="0"/>
    <x v="0"/>
    <x v="9"/>
    <x v="17"/>
    <s v="SE1_OTHER"/>
    <x v="11"/>
    <x v="195"/>
    <x v="0"/>
    <x v="18"/>
    <n v="97.4736031601836"/>
    <n v="35577.865153466999"/>
    <n v="128080.314552481"/>
  </r>
  <r>
    <x v="0"/>
    <x v="0"/>
    <x v="0"/>
    <x v="9"/>
    <x v="17"/>
    <s v="SE1_OTHER"/>
    <x v="11"/>
    <x v="195"/>
    <x v="0"/>
    <x v="19"/>
    <n v="97.4736031601836"/>
    <n v="35577.865153466999"/>
    <n v="128080.314552481"/>
  </r>
  <r>
    <x v="0"/>
    <x v="0"/>
    <x v="0"/>
    <x v="9"/>
    <x v="17"/>
    <s v="SE1_OTHER"/>
    <x v="11"/>
    <x v="195"/>
    <x v="0"/>
    <x v="20"/>
    <n v="97.4736031601836"/>
    <n v="35577.865153466999"/>
    <n v="128080.314552481"/>
  </r>
  <r>
    <x v="0"/>
    <x v="0"/>
    <x v="0"/>
    <x v="9"/>
    <x v="17"/>
    <s v="SE1_OTHER"/>
    <x v="11"/>
    <x v="195"/>
    <x v="0"/>
    <x v="21"/>
    <n v="97.4736031601836"/>
    <n v="35577.865153466999"/>
    <n v="128080.314552481"/>
  </r>
  <r>
    <x v="0"/>
    <x v="0"/>
    <x v="0"/>
    <x v="9"/>
    <x v="17"/>
    <s v="SE1_OTHER"/>
    <x v="11"/>
    <x v="195"/>
    <x v="0"/>
    <x v="22"/>
    <n v="97.4736031601836"/>
    <n v="35577.865153466999"/>
    <n v="128080.314552481"/>
  </r>
  <r>
    <x v="0"/>
    <x v="0"/>
    <x v="0"/>
    <x v="9"/>
    <x v="17"/>
    <s v="SE1_OTHER"/>
    <x v="11"/>
    <x v="195"/>
    <x v="0"/>
    <x v="23"/>
    <n v="97.4736031601836"/>
    <n v="35577.865153466999"/>
    <n v="128080.314552481"/>
  </r>
  <r>
    <x v="0"/>
    <x v="0"/>
    <x v="0"/>
    <x v="9"/>
    <x v="17"/>
    <s v="SE1_OTHER"/>
    <x v="11"/>
    <x v="122"/>
    <x v="0"/>
    <x v="0"/>
    <n v="31.406671474193899"/>
    <n v="11463.4350880808"/>
    <n v="41268.366317090702"/>
  </r>
  <r>
    <x v="0"/>
    <x v="0"/>
    <x v="0"/>
    <x v="9"/>
    <x v="17"/>
    <s v="SE1_OTHER"/>
    <x v="11"/>
    <x v="122"/>
    <x v="0"/>
    <x v="1"/>
    <n v="31.406671474193899"/>
    <n v="11463.4350880808"/>
    <n v="41268.366317090702"/>
  </r>
  <r>
    <x v="0"/>
    <x v="0"/>
    <x v="0"/>
    <x v="9"/>
    <x v="17"/>
    <s v="SE1_OTHER"/>
    <x v="11"/>
    <x v="122"/>
    <x v="0"/>
    <x v="2"/>
    <n v="31.406671474193899"/>
    <n v="11463.4350880808"/>
    <n v="41268.366317090702"/>
  </r>
  <r>
    <x v="0"/>
    <x v="0"/>
    <x v="0"/>
    <x v="9"/>
    <x v="17"/>
    <s v="SE1_OTHER"/>
    <x v="11"/>
    <x v="122"/>
    <x v="0"/>
    <x v="3"/>
    <n v="31.406671474193899"/>
    <n v="11463.4350880808"/>
    <n v="41268.366317090702"/>
  </r>
  <r>
    <x v="0"/>
    <x v="0"/>
    <x v="0"/>
    <x v="9"/>
    <x v="17"/>
    <s v="SE1_OTHER"/>
    <x v="11"/>
    <x v="122"/>
    <x v="0"/>
    <x v="4"/>
    <n v="6.7464413015037801"/>
    <n v="2462.4510750488798"/>
    <n v="8864.8238701759601"/>
  </r>
  <r>
    <x v="0"/>
    <x v="0"/>
    <x v="0"/>
    <x v="9"/>
    <x v="17"/>
    <s v="SE1_OTHER"/>
    <x v="11"/>
    <x v="122"/>
    <x v="0"/>
    <x v="5"/>
    <n v="16.539092531351201"/>
    <n v="6036.7687739431904"/>
    <n v="21732.367586195502"/>
  </r>
  <r>
    <x v="0"/>
    <x v="0"/>
    <x v="0"/>
    <x v="9"/>
    <x v="17"/>
    <s v="SE1_OTHER"/>
    <x v="11"/>
    <x v="122"/>
    <x v="0"/>
    <x v="6"/>
    <n v="31.406671474193899"/>
    <n v="11463.4350880808"/>
    <n v="41268.366317090702"/>
  </r>
  <r>
    <x v="0"/>
    <x v="0"/>
    <x v="0"/>
    <x v="9"/>
    <x v="17"/>
    <s v="SE1_OTHER"/>
    <x v="11"/>
    <x v="122"/>
    <x v="0"/>
    <x v="7"/>
    <n v="31.406671474193899"/>
    <n v="11463.4350880808"/>
    <n v="41268.366317090702"/>
  </r>
  <r>
    <x v="0"/>
    <x v="0"/>
    <x v="0"/>
    <x v="9"/>
    <x v="17"/>
    <s v="SE1_OTHER"/>
    <x v="11"/>
    <x v="122"/>
    <x v="0"/>
    <x v="8"/>
    <n v="31.406671474193899"/>
    <n v="11463.4350880808"/>
    <n v="41268.366317090702"/>
  </r>
  <r>
    <x v="0"/>
    <x v="0"/>
    <x v="0"/>
    <x v="9"/>
    <x v="17"/>
    <s v="SE1_OTHER"/>
    <x v="11"/>
    <x v="122"/>
    <x v="0"/>
    <x v="9"/>
    <n v="31.406671474193899"/>
    <n v="11463.4350880808"/>
    <n v="41268.366317090702"/>
  </r>
  <r>
    <x v="0"/>
    <x v="0"/>
    <x v="0"/>
    <x v="9"/>
    <x v="17"/>
    <s v="SE1_OTHER"/>
    <x v="11"/>
    <x v="122"/>
    <x v="0"/>
    <x v="10"/>
    <n v="31.406671474193899"/>
    <n v="11463.4350880808"/>
    <n v="41268.366317090702"/>
  </r>
  <r>
    <x v="0"/>
    <x v="0"/>
    <x v="0"/>
    <x v="9"/>
    <x v="17"/>
    <s v="SE1_OTHER"/>
    <x v="11"/>
    <x v="122"/>
    <x v="0"/>
    <x v="11"/>
    <n v="31.406671474193899"/>
    <n v="11463.4350880808"/>
    <n v="41268.366317090702"/>
  </r>
  <r>
    <x v="0"/>
    <x v="0"/>
    <x v="0"/>
    <x v="9"/>
    <x v="17"/>
    <s v="SE1_OTHER"/>
    <x v="11"/>
    <x v="122"/>
    <x v="0"/>
    <x v="12"/>
    <n v="31.406671474193899"/>
    <n v="11463.4350880808"/>
    <n v="41268.366317090702"/>
  </r>
  <r>
    <x v="0"/>
    <x v="0"/>
    <x v="0"/>
    <x v="9"/>
    <x v="17"/>
    <s v="SE1_OTHER"/>
    <x v="11"/>
    <x v="122"/>
    <x v="0"/>
    <x v="13"/>
    <n v="31.406671474193899"/>
    <n v="11463.4350880808"/>
    <n v="41268.366317090702"/>
  </r>
  <r>
    <x v="0"/>
    <x v="0"/>
    <x v="0"/>
    <x v="9"/>
    <x v="17"/>
    <s v="SE1_OTHER"/>
    <x v="11"/>
    <x v="122"/>
    <x v="0"/>
    <x v="14"/>
    <n v="31.406671474193899"/>
    <n v="11463.4350880808"/>
    <n v="41268.366317090702"/>
  </r>
  <r>
    <x v="0"/>
    <x v="0"/>
    <x v="0"/>
    <x v="9"/>
    <x v="17"/>
    <s v="SE1_OTHER"/>
    <x v="11"/>
    <x v="122"/>
    <x v="0"/>
    <x v="15"/>
    <n v="31.406671474193899"/>
    <n v="11463.4350880808"/>
    <n v="41268.366317090702"/>
  </r>
  <r>
    <x v="0"/>
    <x v="0"/>
    <x v="0"/>
    <x v="9"/>
    <x v="17"/>
    <s v="SE1_OTHER"/>
    <x v="11"/>
    <x v="122"/>
    <x v="0"/>
    <x v="16"/>
    <n v="26.205281621331402"/>
    <n v="9564.9277917859708"/>
    <n v="34433.7400504295"/>
  </r>
  <r>
    <x v="0"/>
    <x v="0"/>
    <x v="0"/>
    <x v="9"/>
    <x v="17"/>
    <s v="SE1_OTHER"/>
    <x v="11"/>
    <x v="122"/>
    <x v="0"/>
    <x v="17"/>
    <n v="19.774400146899001"/>
    <n v="7217.6560536181196"/>
    <n v="25983.561793025201"/>
  </r>
  <r>
    <x v="0"/>
    <x v="0"/>
    <x v="0"/>
    <x v="9"/>
    <x v="17"/>
    <s v="SE1_OTHER"/>
    <x v="11"/>
    <x v="122"/>
    <x v="0"/>
    <x v="18"/>
    <n v="16.717254887644401"/>
    <n v="6101.7980339902197"/>
    <n v="21966.472922364799"/>
  </r>
  <r>
    <x v="0"/>
    <x v="0"/>
    <x v="0"/>
    <x v="9"/>
    <x v="17"/>
    <s v="SE1_OTHER"/>
    <x v="11"/>
    <x v="122"/>
    <x v="0"/>
    <x v="19"/>
    <n v="13.178396783775501"/>
    <n v="4810.1148260780601"/>
    <n v="17316.413373881001"/>
  </r>
  <r>
    <x v="0"/>
    <x v="0"/>
    <x v="0"/>
    <x v="9"/>
    <x v="17"/>
    <s v="SE1_OTHER"/>
    <x v="11"/>
    <x v="122"/>
    <x v="0"/>
    <x v="20"/>
    <n v="9.4079016823115396"/>
    <n v="3433.8841140437098"/>
    <n v="12361.9828105574"/>
  </r>
  <r>
    <x v="0"/>
    <x v="0"/>
    <x v="0"/>
    <x v="9"/>
    <x v="17"/>
    <s v="SE1_OTHER"/>
    <x v="11"/>
    <x v="122"/>
    <x v="0"/>
    <x v="21"/>
    <n v="6.1867167320167198"/>
    <n v="2258.1516071861001"/>
    <n v="8129.3457858699603"/>
  </r>
  <r>
    <x v="0"/>
    <x v="0"/>
    <x v="0"/>
    <x v="9"/>
    <x v="17"/>
    <s v="SE1_OTHER"/>
    <x v="11"/>
    <x v="122"/>
    <x v="0"/>
    <x v="22"/>
    <n v="12.4982216411792"/>
    <n v="4561.8508990304099"/>
    <n v="16422.663236509499"/>
  </r>
  <r>
    <x v="0"/>
    <x v="0"/>
    <x v="0"/>
    <x v="9"/>
    <x v="18"/>
    <s v="SE2A"/>
    <x v="9"/>
    <x v="128"/>
    <x v="0"/>
    <x v="0"/>
    <n v="407.485221835787"/>
    <n v="148732.105970062"/>
    <n v="535435.58149222401"/>
  </r>
  <r>
    <x v="0"/>
    <x v="0"/>
    <x v="0"/>
    <x v="9"/>
    <x v="18"/>
    <s v="SE2A"/>
    <x v="9"/>
    <x v="128"/>
    <x v="0"/>
    <x v="1"/>
    <n v="407.485221835787"/>
    <n v="148732.105970062"/>
    <n v="535435.58149222401"/>
  </r>
  <r>
    <x v="0"/>
    <x v="0"/>
    <x v="0"/>
    <x v="9"/>
    <x v="18"/>
    <s v="SE2A"/>
    <x v="9"/>
    <x v="128"/>
    <x v="0"/>
    <x v="2"/>
    <n v="407.485221835787"/>
    <n v="148732.105970062"/>
    <n v="535435.58149222401"/>
  </r>
  <r>
    <x v="0"/>
    <x v="0"/>
    <x v="0"/>
    <x v="9"/>
    <x v="18"/>
    <s v="SE2A"/>
    <x v="9"/>
    <x v="128"/>
    <x v="0"/>
    <x v="3"/>
    <n v="407.485221835787"/>
    <n v="148732.105970062"/>
    <n v="535435.58149222401"/>
  </r>
  <r>
    <x v="0"/>
    <x v="0"/>
    <x v="0"/>
    <x v="9"/>
    <x v="18"/>
    <s v="SE2A"/>
    <x v="9"/>
    <x v="128"/>
    <x v="0"/>
    <x v="4"/>
    <n v="407.485221835787"/>
    <n v="148732.105970062"/>
    <n v="535435.58149222401"/>
  </r>
  <r>
    <x v="0"/>
    <x v="0"/>
    <x v="0"/>
    <x v="9"/>
    <x v="18"/>
    <s v="SE2A"/>
    <x v="9"/>
    <x v="128"/>
    <x v="0"/>
    <x v="5"/>
    <n v="407.485221835787"/>
    <n v="148732.105970062"/>
    <n v="535435.58149222401"/>
  </r>
  <r>
    <x v="0"/>
    <x v="0"/>
    <x v="0"/>
    <x v="9"/>
    <x v="18"/>
    <s v="SE2A"/>
    <x v="9"/>
    <x v="128"/>
    <x v="0"/>
    <x v="6"/>
    <n v="407.485221835787"/>
    <n v="148732.105970062"/>
    <n v="535435.58149222401"/>
  </r>
  <r>
    <x v="0"/>
    <x v="0"/>
    <x v="0"/>
    <x v="9"/>
    <x v="18"/>
    <s v="SE2A"/>
    <x v="9"/>
    <x v="128"/>
    <x v="0"/>
    <x v="7"/>
    <n v="407.485221835787"/>
    <n v="148732.105970062"/>
    <n v="535435.58149222401"/>
  </r>
  <r>
    <x v="0"/>
    <x v="0"/>
    <x v="0"/>
    <x v="9"/>
    <x v="18"/>
    <s v="SE2A"/>
    <x v="9"/>
    <x v="128"/>
    <x v="0"/>
    <x v="8"/>
    <n v="407.485221835787"/>
    <n v="148732.105970062"/>
    <n v="535435.58149222401"/>
  </r>
  <r>
    <x v="0"/>
    <x v="0"/>
    <x v="0"/>
    <x v="9"/>
    <x v="18"/>
    <s v="SE2A"/>
    <x v="9"/>
    <x v="128"/>
    <x v="0"/>
    <x v="9"/>
    <n v="407.485221835787"/>
    <n v="148732.105970062"/>
    <n v="535435.58149222401"/>
  </r>
  <r>
    <x v="0"/>
    <x v="0"/>
    <x v="0"/>
    <x v="9"/>
    <x v="18"/>
    <s v="SE2A"/>
    <x v="9"/>
    <x v="128"/>
    <x v="0"/>
    <x v="10"/>
    <n v="407.485221835787"/>
    <n v="148732.105970062"/>
    <n v="535435.58149222401"/>
  </r>
  <r>
    <x v="0"/>
    <x v="0"/>
    <x v="0"/>
    <x v="9"/>
    <x v="18"/>
    <s v="SE2A"/>
    <x v="9"/>
    <x v="128"/>
    <x v="0"/>
    <x v="11"/>
    <n v="407.485221835787"/>
    <n v="148732.105970062"/>
    <n v="535435.58149222401"/>
  </r>
  <r>
    <x v="0"/>
    <x v="0"/>
    <x v="0"/>
    <x v="9"/>
    <x v="18"/>
    <s v="SE2A"/>
    <x v="9"/>
    <x v="128"/>
    <x v="0"/>
    <x v="12"/>
    <n v="407.485221835787"/>
    <n v="148732.105970062"/>
    <n v="535435.58149222401"/>
  </r>
  <r>
    <x v="0"/>
    <x v="0"/>
    <x v="0"/>
    <x v="9"/>
    <x v="18"/>
    <s v="SE2A"/>
    <x v="9"/>
    <x v="128"/>
    <x v="0"/>
    <x v="13"/>
    <n v="407.485221835787"/>
    <n v="148732.105970062"/>
    <n v="535435.58149222401"/>
  </r>
  <r>
    <x v="0"/>
    <x v="0"/>
    <x v="0"/>
    <x v="9"/>
    <x v="18"/>
    <s v="SE2A"/>
    <x v="9"/>
    <x v="128"/>
    <x v="0"/>
    <x v="14"/>
    <n v="407.485221835787"/>
    <n v="148732.105970062"/>
    <n v="535435.58149222401"/>
  </r>
  <r>
    <x v="0"/>
    <x v="0"/>
    <x v="0"/>
    <x v="9"/>
    <x v="18"/>
    <s v="SE2A"/>
    <x v="9"/>
    <x v="128"/>
    <x v="0"/>
    <x v="15"/>
    <n v="407.485221835787"/>
    <n v="148732.105970062"/>
    <n v="535435.58149222401"/>
  </r>
  <r>
    <x v="0"/>
    <x v="0"/>
    <x v="0"/>
    <x v="9"/>
    <x v="18"/>
    <s v="SE2A"/>
    <x v="9"/>
    <x v="128"/>
    <x v="0"/>
    <x v="16"/>
    <n v="407.485221835787"/>
    <n v="148732.105970062"/>
    <n v="535435.58149222401"/>
  </r>
  <r>
    <x v="0"/>
    <x v="0"/>
    <x v="0"/>
    <x v="9"/>
    <x v="18"/>
    <s v="SE2A"/>
    <x v="9"/>
    <x v="128"/>
    <x v="0"/>
    <x v="17"/>
    <n v="407.485221835787"/>
    <n v="148732.105970062"/>
    <n v="535435.58149222401"/>
  </r>
  <r>
    <x v="0"/>
    <x v="0"/>
    <x v="0"/>
    <x v="9"/>
    <x v="18"/>
    <s v="SE2A"/>
    <x v="9"/>
    <x v="128"/>
    <x v="0"/>
    <x v="18"/>
    <n v="407.485221835787"/>
    <n v="148732.105970062"/>
    <n v="535435.58149222401"/>
  </r>
  <r>
    <x v="0"/>
    <x v="0"/>
    <x v="0"/>
    <x v="9"/>
    <x v="18"/>
    <s v="SE2A"/>
    <x v="9"/>
    <x v="128"/>
    <x v="0"/>
    <x v="19"/>
    <n v="407.485221835787"/>
    <n v="148732.105970062"/>
    <n v="535435.58149222401"/>
  </r>
  <r>
    <x v="0"/>
    <x v="0"/>
    <x v="0"/>
    <x v="9"/>
    <x v="18"/>
    <s v="SE2A"/>
    <x v="9"/>
    <x v="128"/>
    <x v="0"/>
    <x v="20"/>
    <n v="407.485221835787"/>
    <n v="148732.105970062"/>
    <n v="535435.58149222401"/>
  </r>
  <r>
    <x v="0"/>
    <x v="0"/>
    <x v="0"/>
    <x v="9"/>
    <x v="18"/>
    <s v="SE2A"/>
    <x v="9"/>
    <x v="128"/>
    <x v="0"/>
    <x v="21"/>
    <n v="407.485221835787"/>
    <n v="148732.105970062"/>
    <n v="535435.58149222401"/>
  </r>
  <r>
    <x v="0"/>
    <x v="0"/>
    <x v="0"/>
    <x v="9"/>
    <x v="18"/>
    <s v="SE2A"/>
    <x v="9"/>
    <x v="128"/>
    <x v="0"/>
    <x v="22"/>
    <n v="407.485221835787"/>
    <n v="148732.105970062"/>
    <n v="535435.58149222401"/>
  </r>
  <r>
    <x v="0"/>
    <x v="0"/>
    <x v="0"/>
    <x v="9"/>
    <x v="18"/>
    <s v="SE2A"/>
    <x v="9"/>
    <x v="128"/>
    <x v="0"/>
    <x v="23"/>
    <n v="407.485221835787"/>
    <n v="148732.105970062"/>
    <n v="535435.58149222401"/>
  </r>
  <r>
    <x v="0"/>
    <x v="0"/>
    <x v="0"/>
    <x v="9"/>
    <x v="18"/>
    <s v="SE2A"/>
    <x v="9"/>
    <x v="129"/>
    <x v="0"/>
    <x v="0"/>
    <n v="515.485221835787"/>
    <n v="188152.105970062"/>
    <n v="677347.58149222401"/>
  </r>
  <r>
    <x v="0"/>
    <x v="0"/>
    <x v="0"/>
    <x v="9"/>
    <x v="18"/>
    <s v="SE2A"/>
    <x v="9"/>
    <x v="129"/>
    <x v="0"/>
    <x v="1"/>
    <n v="515.485221835787"/>
    <n v="188152.105970062"/>
    <n v="677347.58149222401"/>
  </r>
  <r>
    <x v="0"/>
    <x v="0"/>
    <x v="0"/>
    <x v="9"/>
    <x v="18"/>
    <s v="SE2A"/>
    <x v="9"/>
    <x v="129"/>
    <x v="0"/>
    <x v="2"/>
    <n v="515.485221835787"/>
    <n v="188152.105970062"/>
    <n v="677347.58149222401"/>
  </r>
  <r>
    <x v="0"/>
    <x v="0"/>
    <x v="0"/>
    <x v="9"/>
    <x v="18"/>
    <s v="SE2A"/>
    <x v="9"/>
    <x v="129"/>
    <x v="0"/>
    <x v="3"/>
    <n v="515.485221835787"/>
    <n v="188152.105970062"/>
    <n v="677347.58149222401"/>
  </r>
  <r>
    <x v="0"/>
    <x v="0"/>
    <x v="0"/>
    <x v="9"/>
    <x v="18"/>
    <s v="SE2A"/>
    <x v="9"/>
    <x v="129"/>
    <x v="0"/>
    <x v="4"/>
    <n v="515.485221835787"/>
    <n v="188152.105970062"/>
    <n v="677347.58149222401"/>
  </r>
  <r>
    <x v="0"/>
    <x v="0"/>
    <x v="0"/>
    <x v="9"/>
    <x v="18"/>
    <s v="SE2A"/>
    <x v="9"/>
    <x v="129"/>
    <x v="0"/>
    <x v="5"/>
    <n v="515.485221835787"/>
    <n v="188152.105970062"/>
    <n v="677347.58149222401"/>
  </r>
  <r>
    <x v="0"/>
    <x v="0"/>
    <x v="0"/>
    <x v="9"/>
    <x v="18"/>
    <s v="SE2A"/>
    <x v="9"/>
    <x v="129"/>
    <x v="0"/>
    <x v="6"/>
    <n v="515.485221835787"/>
    <n v="188152.105970062"/>
    <n v="677347.58149222401"/>
  </r>
  <r>
    <x v="0"/>
    <x v="0"/>
    <x v="0"/>
    <x v="9"/>
    <x v="18"/>
    <s v="SE2A"/>
    <x v="9"/>
    <x v="129"/>
    <x v="0"/>
    <x v="7"/>
    <n v="515.485221835787"/>
    <n v="188152.105970062"/>
    <n v="677347.58149222401"/>
  </r>
  <r>
    <x v="0"/>
    <x v="0"/>
    <x v="0"/>
    <x v="9"/>
    <x v="18"/>
    <s v="SE2A"/>
    <x v="9"/>
    <x v="129"/>
    <x v="0"/>
    <x v="8"/>
    <n v="515.485221835787"/>
    <n v="188152.105970062"/>
    <n v="677347.58149222401"/>
  </r>
  <r>
    <x v="0"/>
    <x v="0"/>
    <x v="0"/>
    <x v="9"/>
    <x v="18"/>
    <s v="SE2A"/>
    <x v="9"/>
    <x v="129"/>
    <x v="0"/>
    <x v="9"/>
    <n v="515.485221835787"/>
    <n v="188152.105970062"/>
    <n v="677347.58149222401"/>
  </r>
  <r>
    <x v="0"/>
    <x v="0"/>
    <x v="0"/>
    <x v="9"/>
    <x v="18"/>
    <s v="SE2A"/>
    <x v="9"/>
    <x v="129"/>
    <x v="0"/>
    <x v="10"/>
    <n v="515.485221835787"/>
    <n v="188152.105970062"/>
    <n v="677347.58149222401"/>
  </r>
  <r>
    <x v="0"/>
    <x v="0"/>
    <x v="0"/>
    <x v="9"/>
    <x v="18"/>
    <s v="SE2A"/>
    <x v="9"/>
    <x v="129"/>
    <x v="0"/>
    <x v="11"/>
    <n v="515.485221835787"/>
    <n v="188152.105970062"/>
    <n v="677347.58149222401"/>
  </r>
  <r>
    <x v="0"/>
    <x v="0"/>
    <x v="0"/>
    <x v="9"/>
    <x v="18"/>
    <s v="SE2A"/>
    <x v="9"/>
    <x v="129"/>
    <x v="0"/>
    <x v="12"/>
    <n v="515.485221835787"/>
    <n v="188152.105970062"/>
    <n v="677347.58149222401"/>
  </r>
  <r>
    <x v="0"/>
    <x v="0"/>
    <x v="0"/>
    <x v="9"/>
    <x v="18"/>
    <s v="SE2A"/>
    <x v="9"/>
    <x v="129"/>
    <x v="0"/>
    <x v="13"/>
    <n v="515.485221835787"/>
    <n v="188152.105970062"/>
    <n v="677347.58149222401"/>
  </r>
  <r>
    <x v="0"/>
    <x v="0"/>
    <x v="0"/>
    <x v="9"/>
    <x v="18"/>
    <s v="SE2A"/>
    <x v="9"/>
    <x v="129"/>
    <x v="0"/>
    <x v="14"/>
    <n v="515.485221835787"/>
    <n v="188152.105970062"/>
    <n v="677347.58149222401"/>
  </r>
  <r>
    <x v="0"/>
    <x v="0"/>
    <x v="0"/>
    <x v="9"/>
    <x v="18"/>
    <s v="SE2A"/>
    <x v="9"/>
    <x v="129"/>
    <x v="0"/>
    <x v="15"/>
    <n v="515.485221835787"/>
    <n v="188152.105970062"/>
    <n v="677347.58149222401"/>
  </r>
  <r>
    <x v="0"/>
    <x v="0"/>
    <x v="0"/>
    <x v="9"/>
    <x v="18"/>
    <s v="SE2A"/>
    <x v="9"/>
    <x v="129"/>
    <x v="0"/>
    <x v="16"/>
    <n v="515.485221835787"/>
    <n v="188152.105970062"/>
    <n v="677347.58149222401"/>
  </r>
  <r>
    <x v="0"/>
    <x v="0"/>
    <x v="0"/>
    <x v="9"/>
    <x v="18"/>
    <s v="SE2A"/>
    <x v="9"/>
    <x v="129"/>
    <x v="0"/>
    <x v="17"/>
    <n v="515.485221835787"/>
    <n v="188152.105970062"/>
    <n v="677347.58149222401"/>
  </r>
  <r>
    <x v="0"/>
    <x v="0"/>
    <x v="0"/>
    <x v="9"/>
    <x v="18"/>
    <s v="SE2A"/>
    <x v="9"/>
    <x v="129"/>
    <x v="0"/>
    <x v="18"/>
    <n v="515.485221835787"/>
    <n v="188152.105970062"/>
    <n v="677347.58149222401"/>
  </r>
  <r>
    <x v="0"/>
    <x v="0"/>
    <x v="0"/>
    <x v="9"/>
    <x v="18"/>
    <s v="SE2A"/>
    <x v="9"/>
    <x v="129"/>
    <x v="0"/>
    <x v="19"/>
    <n v="515.485221835787"/>
    <n v="188152.105970062"/>
    <n v="677347.58149222401"/>
  </r>
  <r>
    <x v="0"/>
    <x v="0"/>
    <x v="0"/>
    <x v="9"/>
    <x v="18"/>
    <s v="SE2A"/>
    <x v="9"/>
    <x v="129"/>
    <x v="0"/>
    <x v="20"/>
    <n v="515.485221835787"/>
    <n v="188152.105970062"/>
    <n v="677347.58149222401"/>
  </r>
  <r>
    <x v="0"/>
    <x v="0"/>
    <x v="0"/>
    <x v="9"/>
    <x v="18"/>
    <s v="SE2A"/>
    <x v="9"/>
    <x v="129"/>
    <x v="0"/>
    <x v="21"/>
    <n v="515.485221835787"/>
    <n v="188152.105970062"/>
    <n v="677347.58149222401"/>
  </r>
  <r>
    <x v="0"/>
    <x v="0"/>
    <x v="0"/>
    <x v="9"/>
    <x v="18"/>
    <s v="SE2A"/>
    <x v="9"/>
    <x v="129"/>
    <x v="0"/>
    <x v="22"/>
    <n v="515.485221835787"/>
    <n v="188152.105970062"/>
    <n v="677347.58149222401"/>
  </r>
  <r>
    <x v="0"/>
    <x v="0"/>
    <x v="0"/>
    <x v="9"/>
    <x v="18"/>
    <s v="SE2A"/>
    <x v="9"/>
    <x v="130"/>
    <x v="0"/>
    <x v="0"/>
    <n v="515.485221835787"/>
    <n v="188152.105970062"/>
    <n v="677347.58149222401"/>
  </r>
  <r>
    <x v="0"/>
    <x v="0"/>
    <x v="0"/>
    <x v="9"/>
    <x v="18"/>
    <s v="SE2A"/>
    <x v="9"/>
    <x v="130"/>
    <x v="0"/>
    <x v="1"/>
    <n v="515.485221835787"/>
    <n v="188152.105970062"/>
    <n v="677347.58149222401"/>
  </r>
  <r>
    <x v="0"/>
    <x v="0"/>
    <x v="0"/>
    <x v="9"/>
    <x v="18"/>
    <s v="SE2A"/>
    <x v="9"/>
    <x v="130"/>
    <x v="0"/>
    <x v="2"/>
    <n v="515.485221835787"/>
    <n v="188152.105970062"/>
    <n v="677347.58149222401"/>
  </r>
  <r>
    <x v="0"/>
    <x v="0"/>
    <x v="0"/>
    <x v="9"/>
    <x v="18"/>
    <s v="SE2A"/>
    <x v="9"/>
    <x v="130"/>
    <x v="0"/>
    <x v="3"/>
    <n v="515.485221835787"/>
    <n v="188152.105970062"/>
    <n v="677347.58149222401"/>
  </r>
  <r>
    <x v="0"/>
    <x v="0"/>
    <x v="0"/>
    <x v="9"/>
    <x v="18"/>
    <s v="SE2A"/>
    <x v="9"/>
    <x v="130"/>
    <x v="0"/>
    <x v="4"/>
    <n v="515.485221835787"/>
    <n v="188152.105970062"/>
    <n v="677347.58149222401"/>
  </r>
  <r>
    <x v="0"/>
    <x v="0"/>
    <x v="0"/>
    <x v="9"/>
    <x v="18"/>
    <s v="SE2A"/>
    <x v="9"/>
    <x v="130"/>
    <x v="0"/>
    <x v="5"/>
    <n v="515.485221835787"/>
    <n v="188152.105970062"/>
    <n v="677347.58149222401"/>
  </r>
  <r>
    <x v="0"/>
    <x v="0"/>
    <x v="0"/>
    <x v="9"/>
    <x v="18"/>
    <s v="SE2A"/>
    <x v="9"/>
    <x v="130"/>
    <x v="0"/>
    <x v="6"/>
    <n v="515.485221835787"/>
    <n v="188152.105970062"/>
    <n v="677347.58149222401"/>
  </r>
  <r>
    <x v="0"/>
    <x v="0"/>
    <x v="0"/>
    <x v="9"/>
    <x v="18"/>
    <s v="SE2A"/>
    <x v="9"/>
    <x v="130"/>
    <x v="0"/>
    <x v="7"/>
    <n v="515.485221835787"/>
    <n v="188152.105970062"/>
    <n v="677347.58149222401"/>
  </r>
  <r>
    <x v="0"/>
    <x v="0"/>
    <x v="0"/>
    <x v="9"/>
    <x v="18"/>
    <s v="SE2A"/>
    <x v="9"/>
    <x v="130"/>
    <x v="0"/>
    <x v="8"/>
    <n v="515.485221835787"/>
    <n v="188152.105970062"/>
    <n v="677347.58149222401"/>
  </r>
  <r>
    <x v="0"/>
    <x v="0"/>
    <x v="0"/>
    <x v="9"/>
    <x v="18"/>
    <s v="SE2A"/>
    <x v="9"/>
    <x v="130"/>
    <x v="0"/>
    <x v="9"/>
    <n v="515.485221835787"/>
    <n v="188152.105970062"/>
    <n v="677347.58149222401"/>
  </r>
  <r>
    <x v="0"/>
    <x v="0"/>
    <x v="0"/>
    <x v="9"/>
    <x v="18"/>
    <s v="SE2A"/>
    <x v="9"/>
    <x v="130"/>
    <x v="0"/>
    <x v="10"/>
    <n v="515.485221835787"/>
    <n v="188152.105970062"/>
    <n v="677347.58149222401"/>
  </r>
  <r>
    <x v="0"/>
    <x v="0"/>
    <x v="0"/>
    <x v="9"/>
    <x v="18"/>
    <s v="SE2A"/>
    <x v="9"/>
    <x v="130"/>
    <x v="0"/>
    <x v="11"/>
    <n v="515.485221835787"/>
    <n v="188152.105970062"/>
    <n v="677347.58149222401"/>
  </r>
  <r>
    <x v="0"/>
    <x v="0"/>
    <x v="0"/>
    <x v="9"/>
    <x v="18"/>
    <s v="SE2A"/>
    <x v="9"/>
    <x v="130"/>
    <x v="0"/>
    <x v="12"/>
    <n v="515.485221835787"/>
    <n v="188152.105970062"/>
    <n v="677347.58149222401"/>
  </r>
  <r>
    <x v="0"/>
    <x v="0"/>
    <x v="0"/>
    <x v="9"/>
    <x v="18"/>
    <s v="SE2A"/>
    <x v="9"/>
    <x v="130"/>
    <x v="0"/>
    <x v="13"/>
    <n v="515.485221835787"/>
    <n v="188152.105970062"/>
    <n v="677347.58149222401"/>
  </r>
  <r>
    <x v="0"/>
    <x v="0"/>
    <x v="0"/>
    <x v="9"/>
    <x v="18"/>
    <s v="SE2A"/>
    <x v="9"/>
    <x v="130"/>
    <x v="0"/>
    <x v="14"/>
    <n v="515.485221835787"/>
    <n v="188152.105970062"/>
    <n v="677347.58149222401"/>
  </r>
  <r>
    <x v="0"/>
    <x v="0"/>
    <x v="0"/>
    <x v="9"/>
    <x v="18"/>
    <s v="SE2A"/>
    <x v="9"/>
    <x v="130"/>
    <x v="0"/>
    <x v="15"/>
    <n v="515.485221835787"/>
    <n v="188152.105970062"/>
    <n v="677347.58149222401"/>
  </r>
  <r>
    <x v="0"/>
    <x v="0"/>
    <x v="0"/>
    <x v="9"/>
    <x v="18"/>
    <s v="SE2A"/>
    <x v="9"/>
    <x v="130"/>
    <x v="0"/>
    <x v="16"/>
    <n v="515.485221835787"/>
    <n v="188152.105970062"/>
    <n v="677347.58149222401"/>
  </r>
  <r>
    <x v="0"/>
    <x v="0"/>
    <x v="0"/>
    <x v="9"/>
    <x v="18"/>
    <s v="SE2A"/>
    <x v="9"/>
    <x v="130"/>
    <x v="0"/>
    <x v="17"/>
    <n v="515.485221835787"/>
    <n v="188152.105970062"/>
    <n v="677347.58149222401"/>
  </r>
  <r>
    <x v="0"/>
    <x v="0"/>
    <x v="0"/>
    <x v="9"/>
    <x v="18"/>
    <s v="SE2A"/>
    <x v="9"/>
    <x v="130"/>
    <x v="0"/>
    <x v="18"/>
    <n v="515.485221835787"/>
    <n v="188152.105970062"/>
    <n v="677347.58149222401"/>
  </r>
  <r>
    <x v="0"/>
    <x v="0"/>
    <x v="0"/>
    <x v="9"/>
    <x v="18"/>
    <s v="SE2A"/>
    <x v="9"/>
    <x v="130"/>
    <x v="0"/>
    <x v="19"/>
    <n v="515.485221835787"/>
    <n v="188152.105970062"/>
    <n v="677347.58149222401"/>
  </r>
  <r>
    <x v="0"/>
    <x v="0"/>
    <x v="0"/>
    <x v="9"/>
    <x v="18"/>
    <s v="SE2A"/>
    <x v="9"/>
    <x v="130"/>
    <x v="0"/>
    <x v="20"/>
    <n v="515.485221835787"/>
    <n v="188152.105970062"/>
    <n v="677347.58149222401"/>
  </r>
  <r>
    <x v="0"/>
    <x v="0"/>
    <x v="0"/>
    <x v="9"/>
    <x v="18"/>
    <s v="SE2A"/>
    <x v="9"/>
    <x v="130"/>
    <x v="0"/>
    <x v="21"/>
    <n v="515.485221835787"/>
    <n v="188152.105970062"/>
    <n v="677347.58149222401"/>
  </r>
  <r>
    <x v="0"/>
    <x v="0"/>
    <x v="0"/>
    <x v="9"/>
    <x v="18"/>
    <s v="SE2A"/>
    <x v="9"/>
    <x v="130"/>
    <x v="0"/>
    <x v="22"/>
    <n v="515.485221835787"/>
    <n v="188152.105970062"/>
    <n v="677347.58149222401"/>
  </r>
  <r>
    <x v="0"/>
    <x v="0"/>
    <x v="0"/>
    <x v="9"/>
    <x v="18"/>
    <s v="SE2A"/>
    <x v="9"/>
    <x v="131"/>
    <x v="0"/>
    <x v="0"/>
    <n v="139.32513733674901"/>
    <n v="50853.675127913302"/>
    <n v="183073.230460488"/>
  </r>
  <r>
    <x v="0"/>
    <x v="0"/>
    <x v="0"/>
    <x v="9"/>
    <x v="18"/>
    <s v="SE2A"/>
    <x v="9"/>
    <x v="131"/>
    <x v="0"/>
    <x v="1"/>
    <n v="15.516289238959899"/>
    <n v="5663.4455722203502"/>
    <n v="20388.4040599933"/>
  </r>
  <r>
    <x v="0"/>
    <x v="0"/>
    <x v="0"/>
    <x v="9"/>
    <x v="18"/>
    <s v="SE2A"/>
    <x v="9"/>
    <x v="131"/>
    <x v="0"/>
    <x v="2"/>
    <n v="270.49609686057101"/>
    <n v="98731.075354108398"/>
    <n v="355431.87127479003"/>
  </r>
  <r>
    <x v="0"/>
    <x v="0"/>
    <x v="0"/>
    <x v="9"/>
    <x v="18"/>
    <s v="SE2A"/>
    <x v="9"/>
    <x v="131"/>
    <x v="0"/>
    <x v="3"/>
    <n v="515.485221835787"/>
    <n v="188152.105970062"/>
    <n v="677347.58149222401"/>
  </r>
  <r>
    <x v="0"/>
    <x v="0"/>
    <x v="0"/>
    <x v="9"/>
    <x v="18"/>
    <s v="SE2A"/>
    <x v="9"/>
    <x v="131"/>
    <x v="0"/>
    <x v="4"/>
    <n v="515.485221835787"/>
    <n v="188152.105970062"/>
    <n v="677347.58149222401"/>
  </r>
  <r>
    <x v="0"/>
    <x v="0"/>
    <x v="0"/>
    <x v="9"/>
    <x v="18"/>
    <s v="SE2A"/>
    <x v="9"/>
    <x v="131"/>
    <x v="0"/>
    <x v="5"/>
    <n v="515.485221835787"/>
    <n v="188152.105970062"/>
    <n v="677347.58149222401"/>
  </r>
  <r>
    <x v="0"/>
    <x v="0"/>
    <x v="0"/>
    <x v="9"/>
    <x v="18"/>
    <s v="SE2A"/>
    <x v="9"/>
    <x v="131"/>
    <x v="0"/>
    <x v="6"/>
    <n v="515.485221835787"/>
    <n v="188152.105970062"/>
    <n v="677347.58149222401"/>
  </r>
  <r>
    <x v="0"/>
    <x v="0"/>
    <x v="0"/>
    <x v="9"/>
    <x v="18"/>
    <s v="SE2A"/>
    <x v="9"/>
    <x v="131"/>
    <x v="0"/>
    <x v="7"/>
    <n v="515.485221835787"/>
    <n v="188152.105970062"/>
    <n v="677347.58149222401"/>
  </r>
  <r>
    <x v="0"/>
    <x v="0"/>
    <x v="0"/>
    <x v="9"/>
    <x v="18"/>
    <s v="SE2A"/>
    <x v="9"/>
    <x v="131"/>
    <x v="0"/>
    <x v="8"/>
    <n v="515.485221835787"/>
    <n v="188152.105970062"/>
    <n v="677347.58149222401"/>
  </r>
  <r>
    <x v="0"/>
    <x v="0"/>
    <x v="0"/>
    <x v="9"/>
    <x v="18"/>
    <s v="SE2A"/>
    <x v="9"/>
    <x v="131"/>
    <x v="0"/>
    <x v="9"/>
    <n v="515.485221835787"/>
    <n v="188152.105970062"/>
    <n v="677347.58149222401"/>
  </r>
  <r>
    <x v="0"/>
    <x v="0"/>
    <x v="0"/>
    <x v="9"/>
    <x v="18"/>
    <s v="SE2A"/>
    <x v="9"/>
    <x v="131"/>
    <x v="0"/>
    <x v="10"/>
    <n v="515.485221835787"/>
    <n v="188152.105970062"/>
    <n v="677347.58149222401"/>
  </r>
  <r>
    <x v="0"/>
    <x v="0"/>
    <x v="0"/>
    <x v="9"/>
    <x v="18"/>
    <s v="SE2A"/>
    <x v="9"/>
    <x v="131"/>
    <x v="0"/>
    <x v="11"/>
    <n v="515.485221835787"/>
    <n v="188152.105970062"/>
    <n v="677347.58149222401"/>
  </r>
  <r>
    <x v="0"/>
    <x v="0"/>
    <x v="0"/>
    <x v="9"/>
    <x v="18"/>
    <s v="SE2A"/>
    <x v="9"/>
    <x v="131"/>
    <x v="0"/>
    <x v="12"/>
    <n v="515.485221835787"/>
    <n v="188152.105970062"/>
    <n v="677347.58149222401"/>
  </r>
  <r>
    <x v="0"/>
    <x v="0"/>
    <x v="0"/>
    <x v="9"/>
    <x v="18"/>
    <s v="SE2A"/>
    <x v="9"/>
    <x v="131"/>
    <x v="0"/>
    <x v="13"/>
    <n v="515.485221835787"/>
    <n v="188152.105970062"/>
    <n v="677347.58149222401"/>
  </r>
  <r>
    <x v="0"/>
    <x v="0"/>
    <x v="0"/>
    <x v="9"/>
    <x v="18"/>
    <s v="SE2A"/>
    <x v="9"/>
    <x v="131"/>
    <x v="0"/>
    <x v="14"/>
    <n v="515.485221835787"/>
    <n v="188152.105970062"/>
    <n v="677347.58149222401"/>
  </r>
  <r>
    <x v="0"/>
    <x v="0"/>
    <x v="0"/>
    <x v="9"/>
    <x v="18"/>
    <s v="SE2A"/>
    <x v="9"/>
    <x v="131"/>
    <x v="0"/>
    <x v="15"/>
    <n v="515.485221835787"/>
    <n v="188152.105970062"/>
    <n v="677347.58149222401"/>
  </r>
  <r>
    <x v="0"/>
    <x v="0"/>
    <x v="0"/>
    <x v="9"/>
    <x v="18"/>
    <s v="SE2A"/>
    <x v="9"/>
    <x v="131"/>
    <x v="0"/>
    <x v="16"/>
    <n v="515.485221835787"/>
    <n v="188152.105970062"/>
    <n v="677347.58149222401"/>
  </r>
  <r>
    <x v="0"/>
    <x v="0"/>
    <x v="0"/>
    <x v="9"/>
    <x v="18"/>
    <s v="SE2A"/>
    <x v="9"/>
    <x v="131"/>
    <x v="0"/>
    <x v="17"/>
    <n v="515.485221835787"/>
    <n v="188152.105970062"/>
    <n v="677347.58149222401"/>
  </r>
  <r>
    <x v="0"/>
    <x v="0"/>
    <x v="0"/>
    <x v="9"/>
    <x v="18"/>
    <s v="SE2A"/>
    <x v="9"/>
    <x v="131"/>
    <x v="0"/>
    <x v="18"/>
    <n v="515.485221835787"/>
    <n v="188152.105970062"/>
    <n v="677347.58149222401"/>
  </r>
  <r>
    <x v="0"/>
    <x v="0"/>
    <x v="0"/>
    <x v="9"/>
    <x v="18"/>
    <s v="SE2A"/>
    <x v="9"/>
    <x v="131"/>
    <x v="0"/>
    <x v="19"/>
    <n v="515.485221835787"/>
    <n v="188152.105970062"/>
    <n v="677347.58149222401"/>
  </r>
  <r>
    <x v="0"/>
    <x v="0"/>
    <x v="0"/>
    <x v="9"/>
    <x v="18"/>
    <s v="SE2A"/>
    <x v="9"/>
    <x v="131"/>
    <x v="0"/>
    <x v="20"/>
    <n v="515.485221835787"/>
    <n v="188152.105970062"/>
    <n v="677347.58149222401"/>
  </r>
  <r>
    <x v="0"/>
    <x v="0"/>
    <x v="0"/>
    <x v="9"/>
    <x v="18"/>
    <s v="SE2A"/>
    <x v="9"/>
    <x v="131"/>
    <x v="0"/>
    <x v="21"/>
    <n v="515.485221835787"/>
    <n v="188152.105970062"/>
    <n v="677347.58149222401"/>
  </r>
  <r>
    <x v="0"/>
    <x v="0"/>
    <x v="0"/>
    <x v="9"/>
    <x v="18"/>
    <s v="SE2A"/>
    <x v="9"/>
    <x v="131"/>
    <x v="0"/>
    <x v="22"/>
    <n v="175.181825404297"/>
    <n v="63941.366272568397"/>
    <n v="230188.91858124599"/>
  </r>
  <r>
    <x v="0"/>
    <x v="0"/>
    <x v="0"/>
    <x v="9"/>
    <x v="18"/>
    <s v="SE2A"/>
    <x v="9"/>
    <x v="132"/>
    <x v="0"/>
    <x v="6"/>
    <n v="515.485221835787"/>
    <n v="188152.105970062"/>
    <n v="677347.58149222401"/>
  </r>
  <r>
    <x v="0"/>
    <x v="0"/>
    <x v="0"/>
    <x v="9"/>
    <x v="18"/>
    <s v="SE2A"/>
    <x v="9"/>
    <x v="132"/>
    <x v="0"/>
    <x v="7"/>
    <n v="515.485221835787"/>
    <n v="188152.105970062"/>
    <n v="677347.58149222401"/>
  </r>
  <r>
    <x v="0"/>
    <x v="0"/>
    <x v="0"/>
    <x v="9"/>
    <x v="18"/>
    <s v="SE2A"/>
    <x v="9"/>
    <x v="132"/>
    <x v="0"/>
    <x v="8"/>
    <n v="515.485221835787"/>
    <n v="188152.105970062"/>
    <n v="677347.58149222401"/>
  </r>
  <r>
    <x v="0"/>
    <x v="0"/>
    <x v="0"/>
    <x v="9"/>
    <x v="18"/>
    <s v="SE2A"/>
    <x v="9"/>
    <x v="132"/>
    <x v="0"/>
    <x v="9"/>
    <n v="515.485221835787"/>
    <n v="188152.105970062"/>
    <n v="677347.58149222401"/>
  </r>
  <r>
    <x v="0"/>
    <x v="0"/>
    <x v="0"/>
    <x v="9"/>
    <x v="18"/>
    <s v="SE2A"/>
    <x v="9"/>
    <x v="132"/>
    <x v="0"/>
    <x v="10"/>
    <n v="515.485221835787"/>
    <n v="188152.105970062"/>
    <n v="677347.58149222401"/>
  </r>
  <r>
    <x v="0"/>
    <x v="0"/>
    <x v="0"/>
    <x v="9"/>
    <x v="18"/>
    <s v="SE2A"/>
    <x v="9"/>
    <x v="132"/>
    <x v="0"/>
    <x v="11"/>
    <n v="515.485221835787"/>
    <n v="188152.105970062"/>
    <n v="677347.58149222401"/>
  </r>
  <r>
    <x v="0"/>
    <x v="0"/>
    <x v="0"/>
    <x v="9"/>
    <x v="18"/>
    <s v="SE2A"/>
    <x v="9"/>
    <x v="132"/>
    <x v="0"/>
    <x v="12"/>
    <n v="515.485221835787"/>
    <n v="188152.105970062"/>
    <n v="677347.58149222401"/>
  </r>
  <r>
    <x v="0"/>
    <x v="0"/>
    <x v="0"/>
    <x v="9"/>
    <x v="18"/>
    <s v="SE2A"/>
    <x v="9"/>
    <x v="132"/>
    <x v="0"/>
    <x v="13"/>
    <n v="515.485221835787"/>
    <n v="188152.105970062"/>
    <n v="677347.58149222401"/>
  </r>
  <r>
    <x v="0"/>
    <x v="0"/>
    <x v="0"/>
    <x v="9"/>
    <x v="18"/>
    <s v="SE2A"/>
    <x v="9"/>
    <x v="132"/>
    <x v="0"/>
    <x v="14"/>
    <n v="515.485221835787"/>
    <n v="188152.105970062"/>
    <n v="677347.58149222401"/>
  </r>
  <r>
    <x v="0"/>
    <x v="0"/>
    <x v="0"/>
    <x v="9"/>
    <x v="18"/>
    <s v="SE2A"/>
    <x v="9"/>
    <x v="132"/>
    <x v="0"/>
    <x v="15"/>
    <n v="515.485221835787"/>
    <n v="188152.105970062"/>
    <n v="677347.58149222401"/>
  </r>
  <r>
    <x v="0"/>
    <x v="0"/>
    <x v="0"/>
    <x v="9"/>
    <x v="18"/>
    <s v="SE2A"/>
    <x v="9"/>
    <x v="132"/>
    <x v="0"/>
    <x v="16"/>
    <n v="515.485221835787"/>
    <n v="188152.105970062"/>
    <n v="677347.58149222401"/>
  </r>
  <r>
    <x v="0"/>
    <x v="0"/>
    <x v="0"/>
    <x v="9"/>
    <x v="18"/>
    <s v="SE2A"/>
    <x v="9"/>
    <x v="132"/>
    <x v="0"/>
    <x v="17"/>
    <n v="515.485221835787"/>
    <n v="188152.105970062"/>
    <n v="677347.58149222401"/>
  </r>
  <r>
    <x v="0"/>
    <x v="0"/>
    <x v="0"/>
    <x v="9"/>
    <x v="18"/>
    <s v="SE2A"/>
    <x v="9"/>
    <x v="132"/>
    <x v="0"/>
    <x v="18"/>
    <n v="515.485221835787"/>
    <n v="188152.105970062"/>
    <n v="677347.58149222401"/>
  </r>
  <r>
    <x v="0"/>
    <x v="0"/>
    <x v="0"/>
    <x v="9"/>
    <x v="18"/>
    <s v="SE2A"/>
    <x v="9"/>
    <x v="132"/>
    <x v="0"/>
    <x v="19"/>
    <n v="515.485221835787"/>
    <n v="188152.105970062"/>
    <n v="677347.58149222401"/>
  </r>
  <r>
    <x v="0"/>
    <x v="0"/>
    <x v="0"/>
    <x v="9"/>
    <x v="18"/>
    <s v="SE2A"/>
    <x v="9"/>
    <x v="132"/>
    <x v="0"/>
    <x v="20"/>
    <n v="515.485221835787"/>
    <n v="188152.105970062"/>
    <n v="677347.58149222401"/>
  </r>
  <r>
    <x v="0"/>
    <x v="0"/>
    <x v="0"/>
    <x v="9"/>
    <x v="18"/>
    <s v="SE2A"/>
    <x v="9"/>
    <x v="133"/>
    <x v="0"/>
    <x v="6"/>
    <n v="515.485221835787"/>
    <n v="188152.105970062"/>
    <n v="677347.58149222401"/>
  </r>
  <r>
    <x v="0"/>
    <x v="0"/>
    <x v="0"/>
    <x v="9"/>
    <x v="18"/>
    <s v="SE2A"/>
    <x v="9"/>
    <x v="133"/>
    <x v="0"/>
    <x v="7"/>
    <n v="515.485221835787"/>
    <n v="188152.105970062"/>
    <n v="677347.58149222401"/>
  </r>
  <r>
    <x v="0"/>
    <x v="0"/>
    <x v="0"/>
    <x v="9"/>
    <x v="18"/>
    <s v="SE2A"/>
    <x v="9"/>
    <x v="133"/>
    <x v="0"/>
    <x v="8"/>
    <n v="515.485221835787"/>
    <n v="188152.105970062"/>
    <n v="677347.58149222401"/>
  </r>
  <r>
    <x v="0"/>
    <x v="0"/>
    <x v="0"/>
    <x v="9"/>
    <x v="18"/>
    <s v="SE2A"/>
    <x v="9"/>
    <x v="133"/>
    <x v="0"/>
    <x v="9"/>
    <n v="515.485221835787"/>
    <n v="188152.105970062"/>
    <n v="677347.58149222401"/>
  </r>
  <r>
    <x v="0"/>
    <x v="0"/>
    <x v="0"/>
    <x v="9"/>
    <x v="18"/>
    <s v="SE2A"/>
    <x v="9"/>
    <x v="133"/>
    <x v="0"/>
    <x v="10"/>
    <n v="515.485221835787"/>
    <n v="188152.105970062"/>
    <n v="677347.58149222401"/>
  </r>
  <r>
    <x v="0"/>
    <x v="0"/>
    <x v="0"/>
    <x v="9"/>
    <x v="18"/>
    <s v="SE2A"/>
    <x v="9"/>
    <x v="133"/>
    <x v="0"/>
    <x v="11"/>
    <n v="515.485221835787"/>
    <n v="188152.105970062"/>
    <n v="677347.58149222401"/>
  </r>
  <r>
    <x v="0"/>
    <x v="0"/>
    <x v="0"/>
    <x v="9"/>
    <x v="18"/>
    <s v="SE2A"/>
    <x v="9"/>
    <x v="133"/>
    <x v="0"/>
    <x v="12"/>
    <n v="515.485221835787"/>
    <n v="188152.105970062"/>
    <n v="677347.58149222401"/>
  </r>
  <r>
    <x v="0"/>
    <x v="0"/>
    <x v="0"/>
    <x v="9"/>
    <x v="18"/>
    <s v="SE2A"/>
    <x v="9"/>
    <x v="133"/>
    <x v="0"/>
    <x v="13"/>
    <n v="515.485221835787"/>
    <n v="188152.105970062"/>
    <n v="677347.58149222401"/>
  </r>
  <r>
    <x v="0"/>
    <x v="0"/>
    <x v="0"/>
    <x v="9"/>
    <x v="18"/>
    <s v="SE2A"/>
    <x v="9"/>
    <x v="133"/>
    <x v="0"/>
    <x v="14"/>
    <n v="267.46224130052002"/>
    <n v="97623.718074689998"/>
    <n v="351445.385068884"/>
  </r>
  <r>
    <x v="0"/>
    <x v="0"/>
    <x v="0"/>
    <x v="9"/>
    <x v="18"/>
    <s v="SE2A"/>
    <x v="9"/>
    <x v="133"/>
    <x v="0"/>
    <x v="15"/>
    <n v="515.485221835787"/>
    <n v="188152.105970062"/>
    <n v="677347.58149222401"/>
  </r>
  <r>
    <x v="0"/>
    <x v="0"/>
    <x v="0"/>
    <x v="9"/>
    <x v="18"/>
    <s v="SE2A"/>
    <x v="9"/>
    <x v="133"/>
    <x v="0"/>
    <x v="16"/>
    <n v="515.485221835787"/>
    <n v="188152.105970062"/>
    <n v="677347.58149222401"/>
  </r>
  <r>
    <x v="0"/>
    <x v="0"/>
    <x v="0"/>
    <x v="9"/>
    <x v="18"/>
    <s v="SE2A"/>
    <x v="9"/>
    <x v="134"/>
    <x v="0"/>
    <x v="7"/>
    <n v="515.485221835787"/>
    <n v="188152.105970062"/>
    <n v="677347.58149222401"/>
  </r>
  <r>
    <x v="0"/>
    <x v="0"/>
    <x v="0"/>
    <x v="9"/>
    <x v="18"/>
    <s v="SE2A"/>
    <x v="9"/>
    <x v="134"/>
    <x v="0"/>
    <x v="8"/>
    <n v="515.485221835787"/>
    <n v="188152.105970062"/>
    <n v="677347.58149222401"/>
  </r>
  <r>
    <x v="0"/>
    <x v="0"/>
    <x v="0"/>
    <x v="9"/>
    <x v="18"/>
    <s v="SE2A"/>
    <x v="9"/>
    <x v="134"/>
    <x v="0"/>
    <x v="9"/>
    <n v="515.485221835787"/>
    <n v="188152.105970062"/>
    <n v="677347.58149222401"/>
  </r>
  <r>
    <x v="0"/>
    <x v="0"/>
    <x v="0"/>
    <x v="9"/>
    <x v="18"/>
    <s v="SE2A"/>
    <x v="9"/>
    <x v="134"/>
    <x v="0"/>
    <x v="10"/>
    <n v="515.485221835787"/>
    <n v="188152.105970062"/>
    <n v="677347.58149222401"/>
  </r>
  <r>
    <x v="0"/>
    <x v="0"/>
    <x v="0"/>
    <x v="9"/>
    <x v="18"/>
    <s v="SE2A"/>
    <x v="9"/>
    <x v="134"/>
    <x v="0"/>
    <x v="11"/>
    <n v="300.50398476030801"/>
    <n v="109683.954437512"/>
    <n v="394862.23597504402"/>
  </r>
  <r>
    <x v="0"/>
    <x v="0"/>
    <x v="0"/>
    <x v="9"/>
    <x v="18"/>
    <s v="SE2A"/>
    <x v="9"/>
    <x v="135"/>
    <x v="0"/>
    <x v="7"/>
    <n v="126.489762473879"/>
    <n v="46168.763302965897"/>
    <n v="166207.547890677"/>
  </r>
  <r>
    <x v="0"/>
    <x v="0"/>
    <x v="0"/>
    <x v="9"/>
    <x v="18"/>
    <s v="SE2A"/>
    <x v="9"/>
    <x v="135"/>
    <x v="0"/>
    <x v="8"/>
    <n v="515.485221835787"/>
    <n v="188152.105970062"/>
    <n v="677347.58149222401"/>
  </r>
  <r>
    <x v="0"/>
    <x v="0"/>
    <x v="0"/>
    <x v="9"/>
    <x v="18"/>
    <s v="SE2A"/>
    <x v="9"/>
    <x v="135"/>
    <x v="0"/>
    <x v="9"/>
    <n v="87.447868630145393"/>
    <n v="31918.4720500031"/>
    <n v="114906.499380011"/>
  </r>
  <r>
    <x v="0"/>
    <x v="0"/>
    <x v="0"/>
    <x v="9"/>
    <x v="18"/>
    <s v="SE2A"/>
    <x v="9"/>
    <x v="178"/>
    <x v="0"/>
    <x v="0"/>
    <n v="108"/>
    <n v="39420"/>
    <n v="141912"/>
  </r>
  <r>
    <x v="0"/>
    <x v="0"/>
    <x v="0"/>
    <x v="9"/>
    <x v="18"/>
    <s v="SE2A"/>
    <x v="9"/>
    <x v="178"/>
    <x v="0"/>
    <x v="1"/>
    <n v="108"/>
    <n v="39420"/>
    <n v="141912"/>
  </r>
  <r>
    <x v="0"/>
    <x v="0"/>
    <x v="0"/>
    <x v="9"/>
    <x v="18"/>
    <s v="SE2A"/>
    <x v="9"/>
    <x v="178"/>
    <x v="0"/>
    <x v="2"/>
    <n v="108"/>
    <n v="39420"/>
    <n v="141912"/>
  </r>
  <r>
    <x v="0"/>
    <x v="0"/>
    <x v="0"/>
    <x v="9"/>
    <x v="18"/>
    <s v="SE2A"/>
    <x v="9"/>
    <x v="178"/>
    <x v="0"/>
    <x v="3"/>
    <n v="108"/>
    <n v="39420"/>
    <n v="141912"/>
  </r>
  <r>
    <x v="0"/>
    <x v="0"/>
    <x v="0"/>
    <x v="9"/>
    <x v="18"/>
    <s v="SE2A"/>
    <x v="9"/>
    <x v="178"/>
    <x v="0"/>
    <x v="4"/>
    <n v="108"/>
    <n v="39420"/>
    <n v="141912"/>
  </r>
  <r>
    <x v="0"/>
    <x v="0"/>
    <x v="0"/>
    <x v="9"/>
    <x v="18"/>
    <s v="SE2A"/>
    <x v="9"/>
    <x v="178"/>
    <x v="0"/>
    <x v="5"/>
    <n v="108"/>
    <n v="39420"/>
    <n v="141912"/>
  </r>
  <r>
    <x v="0"/>
    <x v="0"/>
    <x v="0"/>
    <x v="9"/>
    <x v="18"/>
    <s v="SE2A"/>
    <x v="9"/>
    <x v="178"/>
    <x v="0"/>
    <x v="6"/>
    <n v="108"/>
    <n v="39420"/>
    <n v="141912"/>
  </r>
  <r>
    <x v="0"/>
    <x v="0"/>
    <x v="0"/>
    <x v="9"/>
    <x v="18"/>
    <s v="SE2A"/>
    <x v="9"/>
    <x v="178"/>
    <x v="0"/>
    <x v="7"/>
    <n v="108"/>
    <n v="39420"/>
    <n v="141912"/>
  </r>
  <r>
    <x v="0"/>
    <x v="0"/>
    <x v="0"/>
    <x v="9"/>
    <x v="18"/>
    <s v="SE2A"/>
    <x v="9"/>
    <x v="178"/>
    <x v="0"/>
    <x v="8"/>
    <n v="108"/>
    <n v="39420"/>
    <n v="141912"/>
  </r>
  <r>
    <x v="0"/>
    <x v="0"/>
    <x v="0"/>
    <x v="9"/>
    <x v="18"/>
    <s v="SE2A"/>
    <x v="9"/>
    <x v="178"/>
    <x v="0"/>
    <x v="9"/>
    <n v="108"/>
    <n v="39420"/>
    <n v="141912"/>
  </r>
  <r>
    <x v="0"/>
    <x v="0"/>
    <x v="0"/>
    <x v="9"/>
    <x v="18"/>
    <s v="SE2A"/>
    <x v="9"/>
    <x v="178"/>
    <x v="0"/>
    <x v="10"/>
    <n v="108"/>
    <n v="39420"/>
    <n v="141912"/>
  </r>
  <r>
    <x v="0"/>
    <x v="0"/>
    <x v="0"/>
    <x v="9"/>
    <x v="18"/>
    <s v="SE2A"/>
    <x v="9"/>
    <x v="178"/>
    <x v="0"/>
    <x v="11"/>
    <n v="108"/>
    <n v="39420"/>
    <n v="141912"/>
  </r>
  <r>
    <x v="0"/>
    <x v="0"/>
    <x v="0"/>
    <x v="9"/>
    <x v="18"/>
    <s v="SE2A"/>
    <x v="9"/>
    <x v="178"/>
    <x v="0"/>
    <x v="12"/>
    <n v="108"/>
    <n v="39420"/>
    <n v="141912"/>
  </r>
  <r>
    <x v="0"/>
    <x v="0"/>
    <x v="0"/>
    <x v="9"/>
    <x v="18"/>
    <s v="SE2A"/>
    <x v="9"/>
    <x v="178"/>
    <x v="0"/>
    <x v="13"/>
    <n v="108"/>
    <n v="39420"/>
    <n v="141912"/>
  </r>
  <r>
    <x v="0"/>
    <x v="0"/>
    <x v="0"/>
    <x v="9"/>
    <x v="18"/>
    <s v="SE2A"/>
    <x v="9"/>
    <x v="178"/>
    <x v="0"/>
    <x v="14"/>
    <n v="108"/>
    <n v="39420"/>
    <n v="141912"/>
  </r>
  <r>
    <x v="0"/>
    <x v="0"/>
    <x v="0"/>
    <x v="9"/>
    <x v="18"/>
    <s v="SE2A"/>
    <x v="9"/>
    <x v="178"/>
    <x v="0"/>
    <x v="15"/>
    <n v="108"/>
    <n v="39420"/>
    <n v="141912"/>
  </r>
  <r>
    <x v="0"/>
    <x v="0"/>
    <x v="0"/>
    <x v="9"/>
    <x v="18"/>
    <s v="SE2A"/>
    <x v="9"/>
    <x v="178"/>
    <x v="0"/>
    <x v="16"/>
    <n v="108"/>
    <n v="39420"/>
    <n v="141912"/>
  </r>
  <r>
    <x v="0"/>
    <x v="0"/>
    <x v="0"/>
    <x v="9"/>
    <x v="18"/>
    <s v="SE2A"/>
    <x v="9"/>
    <x v="178"/>
    <x v="0"/>
    <x v="17"/>
    <n v="108"/>
    <n v="39420"/>
    <n v="141912"/>
  </r>
  <r>
    <x v="0"/>
    <x v="0"/>
    <x v="0"/>
    <x v="9"/>
    <x v="18"/>
    <s v="SE2A"/>
    <x v="9"/>
    <x v="178"/>
    <x v="0"/>
    <x v="18"/>
    <n v="108"/>
    <n v="39420"/>
    <n v="141912"/>
  </r>
  <r>
    <x v="0"/>
    <x v="0"/>
    <x v="0"/>
    <x v="9"/>
    <x v="18"/>
    <s v="SE2A"/>
    <x v="9"/>
    <x v="178"/>
    <x v="0"/>
    <x v="19"/>
    <n v="108"/>
    <n v="39420"/>
    <n v="141912"/>
  </r>
  <r>
    <x v="0"/>
    <x v="0"/>
    <x v="0"/>
    <x v="9"/>
    <x v="18"/>
    <s v="SE2A"/>
    <x v="9"/>
    <x v="178"/>
    <x v="0"/>
    <x v="20"/>
    <n v="108"/>
    <n v="39420"/>
    <n v="141912"/>
  </r>
  <r>
    <x v="0"/>
    <x v="0"/>
    <x v="0"/>
    <x v="9"/>
    <x v="18"/>
    <s v="SE2A"/>
    <x v="9"/>
    <x v="178"/>
    <x v="0"/>
    <x v="21"/>
    <n v="108"/>
    <n v="39420"/>
    <n v="141912"/>
  </r>
  <r>
    <x v="0"/>
    <x v="0"/>
    <x v="0"/>
    <x v="9"/>
    <x v="18"/>
    <s v="SE2A"/>
    <x v="9"/>
    <x v="178"/>
    <x v="0"/>
    <x v="22"/>
    <n v="108"/>
    <n v="39420"/>
    <n v="141912"/>
  </r>
  <r>
    <x v="0"/>
    <x v="0"/>
    <x v="0"/>
    <x v="9"/>
    <x v="18"/>
    <s v="SE2A"/>
    <x v="9"/>
    <x v="178"/>
    <x v="0"/>
    <x v="23"/>
    <n v="108"/>
    <n v="39420"/>
    <n v="141912"/>
  </r>
  <r>
    <x v="0"/>
    <x v="0"/>
    <x v="0"/>
    <x v="9"/>
    <x v="18"/>
    <s v="SE2A"/>
    <x v="9"/>
    <x v="57"/>
    <x v="0"/>
    <x v="0"/>
    <n v="1671.24697052902"/>
    <n v="610005.14424309297"/>
    <n v="2196018.5192751298"/>
  </r>
  <r>
    <x v="0"/>
    <x v="0"/>
    <x v="0"/>
    <x v="9"/>
    <x v="18"/>
    <s v="SE2A"/>
    <x v="9"/>
    <x v="57"/>
    <x v="0"/>
    <x v="1"/>
    <n v="1671.24697052902"/>
    <n v="610005.14424309297"/>
    <n v="2196018.5192751298"/>
  </r>
  <r>
    <x v="0"/>
    <x v="0"/>
    <x v="0"/>
    <x v="9"/>
    <x v="18"/>
    <s v="SE2A"/>
    <x v="9"/>
    <x v="57"/>
    <x v="0"/>
    <x v="2"/>
    <n v="1671.24697052902"/>
    <n v="610005.14424309297"/>
    <n v="2196018.5192751298"/>
  </r>
  <r>
    <x v="0"/>
    <x v="0"/>
    <x v="0"/>
    <x v="9"/>
    <x v="18"/>
    <s v="SE2A"/>
    <x v="9"/>
    <x v="57"/>
    <x v="0"/>
    <x v="3"/>
    <n v="1671.24697052902"/>
    <n v="610005.14424309297"/>
    <n v="2196018.5192751298"/>
  </r>
  <r>
    <x v="0"/>
    <x v="0"/>
    <x v="0"/>
    <x v="9"/>
    <x v="18"/>
    <s v="SE2A"/>
    <x v="9"/>
    <x v="57"/>
    <x v="0"/>
    <x v="4"/>
    <n v="1671.24697052902"/>
    <n v="610005.14424309297"/>
    <n v="2196018.5192751298"/>
  </r>
  <r>
    <x v="0"/>
    <x v="0"/>
    <x v="0"/>
    <x v="9"/>
    <x v="18"/>
    <s v="SE2A"/>
    <x v="9"/>
    <x v="57"/>
    <x v="0"/>
    <x v="5"/>
    <n v="1671.24697052902"/>
    <n v="610005.14424309297"/>
    <n v="2196018.5192751298"/>
  </r>
  <r>
    <x v="0"/>
    <x v="0"/>
    <x v="0"/>
    <x v="9"/>
    <x v="18"/>
    <s v="SE2A"/>
    <x v="9"/>
    <x v="57"/>
    <x v="0"/>
    <x v="6"/>
    <n v="1671.24697052902"/>
    <n v="610005.14424309297"/>
    <n v="2196018.5192751298"/>
  </r>
  <r>
    <x v="0"/>
    <x v="0"/>
    <x v="0"/>
    <x v="9"/>
    <x v="18"/>
    <s v="SE2A"/>
    <x v="9"/>
    <x v="57"/>
    <x v="0"/>
    <x v="7"/>
    <n v="1671.24697052902"/>
    <n v="610005.14424309297"/>
    <n v="2196018.5192751298"/>
  </r>
  <r>
    <x v="0"/>
    <x v="0"/>
    <x v="0"/>
    <x v="9"/>
    <x v="18"/>
    <s v="SE2A"/>
    <x v="9"/>
    <x v="57"/>
    <x v="0"/>
    <x v="8"/>
    <n v="1671.24697052902"/>
    <n v="610005.14424309297"/>
    <n v="2196018.5192751298"/>
  </r>
  <r>
    <x v="0"/>
    <x v="0"/>
    <x v="0"/>
    <x v="9"/>
    <x v="18"/>
    <s v="SE2A"/>
    <x v="9"/>
    <x v="57"/>
    <x v="0"/>
    <x v="9"/>
    <n v="1671.24697052902"/>
    <n v="610005.14424309297"/>
    <n v="2196018.5192751298"/>
  </r>
  <r>
    <x v="0"/>
    <x v="0"/>
    <x v="0"/>
    <x v="9"/>
    <x v="18"/>
    <s v="SE2A"/>
    <x v="9"/>
    <x v="57"/>
    <x v="0"/>
    <x v="10"/>
    <n v="1671.24697052902"/>
    <n v="610005.14424309297"/>
    <n v="2196018.5192751298"/>
  </r>
  <r>
    <x v="0"/>
    <x v="0"/>
    <x v="0"/>
    <x v="9"/>
    <x v="18"/>
    <s v="SE2A"/>
    <x v="9"/>
    <x v="57"/>
    <x v="0"/>
    <x v="11"/>
    <n v="1671.24697052902"/>
    <n v="610005.14424309297"/>
    <n v="2196018.5192751298"/>
  </r>
  <r>
    <x v="0"/>
    <x v="0"/>
    <x v="0"/>
    <x v="9"/>
    <x v="18"/>
    <s v="SE2A"/>
    <x v="9"/>
    <x v="57"/>
    <x v="0"/>
    <x v="12"/>
    <n v="1671.24697052902"/>
    <n v="610005.14424309297"/>
    <n v="2196018.5192751298"/>
  </r>
  <r>
    <x v="0"/>
    <x v="0"/>
    <x v="0"/>
    <x v="9"/>
    <x v="18"/>
    <s v="SE2A"/>
    <x v="9"/>
    <x v="57"/>
    <x v="0"/>
    <x v="13"/>
    <n v="1671.24697052902"/>
    <n v="610005.14424309297"/>
    <n v="2196018.5192751298"/>
  </r>
  <r>
    <x v="0"/>
    <x v="0"/>
    <x v="0"/>
    <x v="9"/>
    <x v="18"/>
    <s v="SE2A"/>
    <x v="9"/>
    <x v="57"/>
    <x v="0"/>
    <x v="14"/>
    <n v="1671.24697052902"/>
    <n v="610005.14424309297"/>
    <n v="2196018.5192751298"/>
  </r>
  <r>
    <x v="0"/>
    <x v="0"/>
    <x v="0"/>
    <x v="9"/>
    <x v="18"/>
    <s v="SE2A"/>
    <x v="9"/>
    <x v="57"/>
    <x v="0"/>
    <x v="15"/>
    <n v="1671.24697052902"/>
    <n v="610005.14424309297"/>
    <n v="2196018.5192751298"/>
  </r>
  <r>
    <x v="0"/>
    <x v="0"/>
    <x v="0"/>
    <x v="9"/>
    <x v="18"/>
    <s v="SE2A"/>
    <x v="9"/>
    <x v="57"/>
    <x v="0"/>
    <x v="16"/>
    <n v="1671.24697052902"/>
    <n v="610005.14424309297"/>
    <n v="2196018.5192751298"/>
  </r>
  <r>
    <x v="0"/>
    <x v="0"/>
    <x v="0"/>
    <x v="9"/>
    <x v="18"/>
    <s v="SE2A"/>
    <x v="9"/>
    <x v="57"/>
    <x v="0"/>
    <x v="17"/>
    <n v="1671.24697052902"/>
    <n v="610005.14424309297"/>
    <n v="2196018.5192751298"/>
  </r>
  <r>
    <x v="0"/>
    <x v="0"/>
    <x v="0"/>
    <x v="9"/>
    <x v="18"/>
    <s v="SE2A"/>
    <x v="9"/>
    <x v="57"/>
    <x v="0"/>
    <x v="18"/>
    <n v="1671.24697052902"/>
    <n v="610005.14424309297"/>
    <n v="2196018.5192751298"/>
  </r>
  <r>
    <x v="0"/>
    <x v="0"/>
    <x v="0"/>
    <x v="9"/>
    <x v="18"/>
    <s v="SE2A"/>
    <x v="9"/>
    <x v="57"/>
    <x v="0"/>
    <x v="19"/>
    <n v="1671.24697052902"/>
    <n v="610005.14424309297"/>
    <n v="2196018.5192751298"/>
  </r>
  <r>
    <x v="0"/>
    <x v="0"/>
    <x v="0"/>
    <x v="9"/>
    <x v="18"/>
    <s v="SE2A"/>
    <x v="9"/>
    <x v="57"/>
    <x v="0"/>
    <x v="20"/>
    <n v="1671.24697052902"/>
    <n v="610005.14424309297"/>
    <n v="2196018.5192751298"/>
  </r>
  <r>
    <x v="0"/>
    <x v="0"/>
    <x v="0"/>
    <x v="9"/>
    <x v="18"/>
    <s v="SE2A"/>
    <x v="9"/>
    <x v="57"/>
    <x v="0"/>
    <x v="21"/>
    <n v="1671.24697052902"/>
    <n v="610005.14424309297"/>
    <n v="2196018.5192751298"/>
  </r>
  <r>
    <x v="0"/>
    <x v="0"/>
    <x v="0"/>
    <x v="9"/>
    <x v="18"/>
    <s v="SE2A"/>
    <x v="9"/>
    <x v="57"/>
    <x v="0"/>
    <x v="22"/>
    <n v="1671.24697052902"/>
    <n v="610005.14424309297"/>
    <n v="2196018.5192751298"/>
  </r>
  <r>
    <x v="0"/>
    <x v="0"/>
    <x v="0"/>
    <x v="9"/>
    <x v="18"/>
    <s v="SE2A"/>
    <x v="9"/>
    <x v="57"/>
    <x v="0"/>
    <x v="23"/>
    <n v="1671.24697052902"/>
    <n v="610005.14424309297"/>
    <n v="2196018.5192751298"/>
  </r>
  <r>
    <x v="0"/>
    <x v="0"/>
    <x v="0"/>
    <x v="9"/>
    <x v="18"/>
    <s v="SE2A"/>
    <x v="10"/>
    <x v="58"/>
    <x v="0"/>
    <x v="0"/>
    <n v="323.22607996570002"/>
    <n v="117977.519187481"/>
    <n v="424719.06907492998"/>
  </r>
  <r>
    <x v="0"/>
    <x v="0"/>
    <x v="0"/>
    <x v="9"/>
    <x v="18"/>
    <s v="SE2A"/>
    <x v="10"/>
    <x v="58"/>
    <x v="0"/>
    <x v="1"/>
    <n v="212.283689093021"/>
    <n v="77483.546518952702"/>
    <n v="278940.76746822998"/>
  </r>
  <r>
    <x v="0"/>
    <x v="0"/>
    <x v="0"/>
    <x v="9"/>
    <x v="18"/>
    <s v="SE2A"/>
    <x v="10"/>
    <x v="58"/>
    <x v="0"/>
    <x v="2"/>
    <n v="208.699441105483"/>
    <n v="76175.296003501193"/>
    <n v="274231.06561260403"/>
  </r>
  <r>
    <x v="0"/>
    <x v="0"/>
    <x v="0"/>
    <x v="9"/>
    <x v="18"/>
    <s v="SE2A"/>
    <x v="10"/>
    <x v="58"/>
    <x v="0"/>
    <x v="3"/>
    <n v="157.28210947579001"/>
    <n v="57407.969958663198"/>
    <n v="206668.69185118799"/>
  </r>
  <r>
    <x v="0"/>
    <x v="0"/>
    <x v="0"/>
    <x v="9"/>
    <x v="18"/>
    <s v="SE2A"/>
    <x v="10"/>
    <x v="58"/>
    <x v="0"/>
    <x v="4"/>
    <n v="148.10720142365801"/>
    <n v="54059.128519635102"/>
    <n v="194612.86267068601"/>
  </r>
  <r>
    <x v="0"/>
    <x v="0"/>
    <x v="0"/>
    <x v="9"/>
    <x v="18"/>
    <s v="SE2A"/>
    <x v="10"/>
    <x v="58"/>
    <x v="0"/>
    <x v="5"/>
    <n v="127.512722785104"/>
    <n v="46542.143816563097"/>
    <n v="167551.717739627"/>
  </r>
  <r>
    <x v="0"/>
    <x v="0"/>
    <x v="0"/>
    <x v="9"/>
    <x v="18"/>
    <s v="SE2A"/>
    <x v="10"/>
    <x v="58"/>
    <x v="0"/>
    <x v="6"/>
    <n v="128.02462075021299"/>
    <n v="46728.986573827598"/>
    <n v="168224.35166577899"/>
  </r>
  <r>
    <x v="0"/>
    <x v="0"/>
    <x v="0"/>
    <x v="9"/>
    <x v="18"/>
    <s v="SE2A"/>
    <x v="10"/>
    <x v="58"/>
    <x v="0"/>
    <x v="7"/>
    <n v="200.083841953269"/>
    <n v="73030.602312943302"/>
    <n v="262910.16832659597"/>
  </r>
  <r>
    <x v="0"/>
    <x v="0"/>
    <x v="0"/>
    <x v="9"/>
    <x v="18"/>
    <s v="SE2A"/>
    <x v="10"/>
    <x v="58"/>
    <x v="0"/>
    <x v="8"/>
    <n v="309.96910443949503"/>
    <n v="113138.72312041601"/>
    <n v="407299.40323349601"/>
  </r>
  <r>
    <x v="0"/>
    <x v="0"/>
    <x v="0"/>
    <x v="9"/>
    <x v="18"/>
    <s v="SE2A"/>
    <x v="10"/>
    <x v="58"/>
    <x v="0"/>
    <x v="9"/>
    <n v="416.58278821446999"/>
    <n v="152052.71769828201"/>
    <n v="547389.78371381399"/>
  </r>
  <r>
    <x v="0"/>
    <x v="0"/>
    <x v="0"/>
    <x v="9"/>
    <x v="18"/>
    <s v="SE2A"/>
    <x v="10"/>
    <x v="58"/>
    <x v="0"/>
    <x v="10"/>
    <n v="596.65293781612502"/>
    <n v="217778.32230288599"/>
    <n v="784001.96029038797"/>
  </r>
  <r>
    <x v="0"/>
    <x v="0"/>
    <x v="0"/>
    <x v="9"/>
    <x v="18"/>
    <s v="SE2A"/>
    <x v="10"/>
    <x v="58"/>
    <x v="0"/>
    <x v="11"/>
    <n v="865.62731566730895"/>
    <n v="315953.97021856799"/>
    <n v="1137434.2927868399"/>
  </r>
  <r>
    <x v="0"/>
    <x v="0"/>
    <x v="0"/>
    <x v="9"/>
    <x v="18"/>
    <s v="SE2A"/>
    <x v="10"/>
    <x v="58"/>
    <x v="0"/>
    <x v="12"/>
    <n v="1025.00206439814"/>
    <n v="374125.75350532198"/>
    <n v="1346852.7126191601"/>
  </r>
  <r>
    <x v="0"/>
    <x v="0"/>
    <x v="0"/>
    <x v="9"/>
    <x v="18"/>
    <s v="SE2A"/>
    <x v="10"/>
    <x v="58"/>
    <x v="0"/>
    <x v="13"/>
    <n v="1075.28886710645"/>
    <n v="392480.43649385299"/>
    <n v="1412929.5713778699"/>
  </r>
  <r>
    <x v="0"/>
    <x v="0"/>
    <x v="0"/>
    <x v="9"/>
    <x v="18"/>
    <s v="SE2A"/>
    <x v="10"/>
    <x v="58"/>
    <x v="0"/>
    <x v="14"/>
    <n v="1142.3571975898799"/>
    <n v="416960.377120308"/>
    <n v="1501057.3576331099"/>
  </r>
  <r>
    <x v="0"/>
    <x v="0"/>
    <x v="0"/>
    <x v="9"/>
    <x v="18"/>
    <s v="SE2A"/>
    <x v="10"/>
    <x v="58"/>
    <x v="0"/>
    <x v="15"/>
    <n v="1252.24679479015"/>
    <n v="457070.08009840501"/>
    <n v="1645452.2883542599"/>
  </r>
  <r>
    <x v="0"/>
    <x v="0"/>
    <x v="0"/>
    <x v="9"/>
    <x v="18"/>
    <s v="SE2A"/>
    <x v="10"/>
    <x v="58"/>
    <x v="0"/>
    <x v="16"/>
    <n v="1284.8997659173001"/>
    <n v="468988.41455981397"/>
    <n v="1688358.29241533"/>
  </r>
  <r>
    <x v="0"/>
    <x v="0"/>
    <x v="0"/>
    <x v="9"/>
    <x v="18"/>
    <s v="SE2A"/>
    <x v="10"/>
    <x v="58"/>
    <x v="0"/>
    <x v="17"/>
    <n v="1073.6338564703501"/>
    <n v="391876.35761167901"/>
    <n v="1410754.88740204"/>
  </r>
  <r>
    <x v="0"/>
    <x v="0"/>
    <x v="0"/>
    <x v="9"/>
    <x v="18"/>
    <s v="SE2A"/>
    <x v="10"/>
    <x v="58"/>
    <x v="0"/>
    <x v="18"/>
    <n v="1043.26696121227"/>
    <n v="380792.44084247999"/>
    <n v="1370852.7870329299"/>
  </r>
  <r>
    <x v="0"/>
    <x v="0"/>
    <x v="0"/>
    <x v="9"/>
    <x v="18"/>
    <s v="SE2A"/>
    <x v="10"/>
    <x v="58"/>
    <x v="0"/>
    <x v="19"/>
    <n v="989.72014525819804"/>
    <n v="361247.853019242"/>
    <n v="1300492.27086927"/>
  </r>
  <r>
    <x v="0"/>
    <x v="0"/>
    <x v="0"/>
    <x v="9"/>
    <x v="18"/>
    <s v="SE2A"/>
    <x v="10"/>
    <x v="58"/>
    <x v="0"/>
    <x v="20"/>
    <n v="966.27444306558095"/>
    <n v="352690.171718937"/>
    <n v="1269684.61818817"/>
  </r>
  <r>
    <x v="0"/>
    <x v="0"/>
    <x v="0"/>
    <x v="9"/>
    <x v="18"/>
    <s v="SE2A"/>
    <x v="10"/>
    <x v="58"/>
    <x v="0"/>
    <x v="21"/>
    <n v="871.23493156376003"/>
    <n v="318000.75002077298"/>
    <n v="1144802.70007478"/>
  </r>
  <r>
    <x v="0"/>
    <x v="0"/>
    <x v="0"/>
    <x v="9"/>
    <x v="18"/>
    <s v="SE2A"/>
    <x v="10"/>
    <x v="58"/>
    <x v="0"/>
    <x v="22"/>
    <n v="808.84275792924996"/>
    <n v="295227.606644176"/>
    <n v="1062819.38391903"/>
  </r>
  <r>
    <x v="0"/>
    <x v="0"/>
    <x v="0"/>
    <x v="9"/>
    <x v="18"/>
    <s v="SE2A"/>
    <x v="10"/>
    <x v="58"/>
    <x v="0"/>
    <x v="23"/>
    <n v="658.21323872135304"/>
    <n v="240247.832133294"/>
    <n v="864892.19567985798"/>
  </r>
  <r>
    <x v="0"/>
    <x v="0"/>
    <x v="0"/>
    <x v="9"/>
    <x v="18"/>
    <s v="SE2A"/>
    <x v="13"/>
    <x v="138"/>
    <x v="0"/>
    <x v="0"/>
    <n v="1341.0827374872299"/>
    <n v="489495.19918284001"/>
    <n v="1762182.7170582199"/>
  </r>
  <r>
    <x v="0"/>
    <x v="0"/>
    <x v="0"/>
    <x v="9"/>
    <x v="18"/>
    <s v="SE2A"/>
    <x v="13"/>
    <x v="138"/>
    <x v="0"/>
    <x v="1"/>
    <n v="1341.0827374872299"/>
    <n v="489495.19918284001"/>
    <n v="1762182.7170582199"/>
  </r>
  <r>
    <x v="0"/>
    <x v="0"/>
    <x v="0"/>
    <x v="9"/>
    <x v="18"/>
    <s v="SE2A"/>
    <x v="13"/>
    <x v="138"/>
    <x v="0"/>
    <x v="2"/>
    <n v="1341.0827374872299"/>
    <n v="489495.19918284001"/>
    <n v="1762182.7170582199"/>
  </r>
  <r>
    <x v="0"/>
    <x v="0"/>
    <x v="0"/>
    <x v="9"/>
    <x v="18"/>
    <s v="SE2A"/>
    <x v="13"/>
    <x v="138"/>
    <x v="0"/>
    <x v="3"/>
    <n v="1341.0827374872299"/>
    <n v="489495.19918284001"/>
    <n v="1762182.7170582199"/>
  </r>
  <r>
    <x v="0"/>
    <x v="0"/>
    <x v="0"/>
    <x v="9"/>
    <x v="18"/>
    <s v="SE2A"/>
    <x v="13"/>
    <x v="138"/>
    <x v="0"/>
    <x v="4"/>
    <n v="1341.0827374872299"/>
    <n v="489495.19918284001"/>
    <n v="1762182.7170582199"/>
  </r>
  <r>
    <x v="0"/>
    <x v="0"/>
    <x v="0"/>
    <x v="9"/>
    <x v="18"/>
    <s v="SE2A"/>
    <x v="13"/>
    <x v="138"/>
    <x v="0"/>
    <x v="5"/>
    <n v="1341.0827374872299"/>
    <n v="489495.19918284001"/>
    <n v="1762182.7170582199"/>
  </r>
  <r>
    <x v="0"/>
    <x v="0"/>
    <x v="0"/>
    <x v="9"/>
    <x v="18"/>
    <s v="SE2A"/>
    <x v="13"/>
    <x v="138"/>
    <x v="0"/>
    <x v="6"/>
    <n v="1341.0827374872299"/>
    <n v="489495.19918284001"/>
    <n v="1762182.7170582199"/>
  </r>
  <r>
    <x v="0"/>
    <x v="0"/>
    <x v="0"/>
    <x v="9"/>
    <x v="18"/>
    <s v="SE2A"/>
    <x v="13"/>
    <x v="138"/>
    <x v="0"/>
    <x v="7"/>
    <n v="1341.0827374872299"/>
    <n v="489495.19918284001"/>
    <n v="1762182.7170582199"/>
  </r>
  <r>
    <x v="0"/>
    <x v="0"/>
    <x v="0"/>
    <x v="9"/>
    <x v="18"/>
    <s v="SE2A"/>
    <x v="13"/>
    <x v="138"/>
    <x v="0"/>
    <x v="8"/>
    <n v="1341.0827374872299"/>
    <n v="489495.19918284001"/>
    <n v="1762182.7170582199"/>
  </r>
  <r>
    <x v="0"/>
    <x v="0"/>
    <x v="0"/>
    <x v="9"/>
    <x v="18"/>
    <s v="SE2A"/>
    <x v="13"/>
    <x v="138"/>
    <x v="0"/>
    <x v="9"/>
    <n v="1341.0827374872299"/>
    <n v="489495.19918284001"/>
    <n v="1762182.7170582199"/>
  </r>
  <r>
    <x v="0"/>
    <x v="0"/>
    <x v="0"/>
    <x v="9"/>
    <x v="18"/>
    <s v="SE2A"/>
    <x v="13"/>
    <x v="138"/>
    <x v="0"/>
    <x v="10"/>
    <n v="1341.0827374872299"/>
    <n v="489495.19918284001"/>
    <n v="1762182.7170582199"/>
  </r>
  <r>
    <x v="0"/>
    <x v="0"/>
    <x v="0"/>
    <x v="9"/>
    <x v="18"/>
    <s v="SE2A"/>
    <x v="13"/>
    <x v="138"/>
    <x v="0"/>
    <x v="11"/>
    <n v="1341.0827374872299"/>
    <n v="489495.19918284001"/>
    <n v="1762182.7170582199"/>
  </r>
  <r>
    <x v="0"/>
    <x v="0"/>
    <x v="0"/>
    <x v="9"/>
    <x v="18"/>
    <s v="SE2A"/>
    <x v="13"/>
    <x v="138"/>
    <x v="0"/>
    <x v="12"/>
    <n v="1341.0827374872299"/>
    <n v="489495.19918284001"/>
    <n v="1762182.7170582199"/>
  </r>
  <r>
    <x v="0"/>
    <x v="0"/>
    <x v="0"/>
    <x v="9"/>
    <x v="18"/>
    <s v="SE2A"/>
    <x v="13"/>
    <x v="138"/>
    <x v="0"/>
    <x v="13"/>
    <n v="1341.0827374872299"/>
    <n v="489495.19918284001"/>
    <n v="1762182.7170582199"/>
  </r>
  <r>
    <x v="0"/>
    <x v="0"/>
    <x v="0"/>
    <x v="9"/>
    <x v="18"/>
    <s v="SE2A"/>
    <x v="13"/>
    <x v="138"/>
    <x v="0"/>
    <x v="14"/>
    <n v="1341.0827374872299"/>
    <n v="489495.19918284001"/>
    <n v="1762182.7170582199"/>
  </r>
  <r>
    <x v="0"/>
    <x v="0"/>
    <x v="0"/>
    <x v="9"/>
    <x v="18"/>
    <s v="SE2A"/>
    <x v="13"/>
    <x v="138"/>
    <x v="0"/>
    <x v="15"/>
    <n v="1341.0827374872299"/>
    <n v="489495.19918284001"/>
    <n v="1762182.7170582199"/>
  </r>
  <r>
    <x v="0"/>
    <x v="0"/>
    <x v="0"/>
    <x v="9"/>
    <x v="18"/>
    <s v="SE2A"/>
    <x v="13"/>
    <x v="138"/>
    <x v="0"/>
    <x v="16"/>
    <n v="1341.0827374872299"/>
    <n v="489495.19918284001"/>
    <n v="1762182.7170582199"/>
  </r>
  <r>
    <x v="0"/>
    <x v="0"/>
    <x v="0"/>
    <x v="9"/>
    <x v="18"/>
    <s v="SE2A"/>
    <x v="13"/>
    <x v="138"/>
    <x v="0"/>
    <x v="17"/>
    <n v="1341.0827374872299"/>
    <n v="489495.19918284001"/>
    <n v="1762182.7170582199"/>
  </r>
  <r>
    <x v="0"/>
    <x v="0"/>
    <x v="0"/>
    <x v="9"/>
    <x v="18"/>
    <s v="SE2A"/>
    <x v="13"/>
    <x v="138"/>
    <x v="0"/>
    <x v="18"/>
    <n v="1341.0827374872299"/>
    <n v="489495.19918284001"/>
    <n v="1762182.7170582199"/>
  </r>
  <r>
    <x v="0"/>
    <x v="0"/>
    <x v="0"/>
    <x v="9"/>
    <x v="18"/>
    <s v="SE2A"/>
    <x v="13"/>
    <x v="138"/>
    <x v="0"/>
    <x v="19"/>
    <n v="1341.0827374872299"/>
    <n v="489495.19918284001"/>
    <n v="1762182.7170582199"/>
  </r>
  <r>
    <x v="0"/>
    <x v="0"/>
    <x v="0"/>
    <x v="9"/>
    <x v="18"/>
    <s v="SE2A"/>
    <x v="13"/>
    <x v="138"/>
    <x v="0"/>
    <x v="20"/>
    <n v="1341.0827374872299"/>
    <n v="489495.19918284001"/>
    <n v="1762182.7170582199"/>
  </r>
  <r>
    <x v="0"/>
    <x v="0"/>
    <x v="0"/>
    <x v="9"/>
    <x v="18"/>
    <s v="SE2A"/>
    <x v="13"/>
    <x v="138"/>
    <x v="0"/>
    <x v="21"/>
    <n v="1341.0827374872299"/>
    <n v="489495.19918284001"/>
    <n v="1762182.7170582199"/>
  </r>
  <r>
    <x v="0"/>
    <x v="0"/>
    <x v="0"/>
    <x v="9"/>
    <x v="18"/>
    <s v="SE2A"/>
    <x v="13"/>
    <x v="138"/>
    <x v="0"/>
    <x v="22"/>
    <n v="1341.0827374872299"/>
    <n v="489495.19918284001"/>
    <n v="1762182.7170582199"/>
  </r>
  <r>
    <x v="0"/>
    <x v="0"/>
    <x v="0"/>
    <x v="9"/>
    <x v="18"/>
    <s v="SE2A"/>
    <x v="13"/>
    <x v="138"/>
    <x v="0"/>
    <x v="23"/>
    <n v="1341.0827374872299"/>
    <n v="489495.19918284001"/>
    <n v="1762182.7170582199"/>
  </r>
  <r>
    <x v="0"/>
    <x v="0"/>
    <x v="0"/>
    <x v="9"/>
    <x v="18"/>
    <s v="SE2_EL"/>
    <x v="2"/>
    <x v="196"/>
    <x v="0"/>
    <x v="0"/>
    <n v="239.53745646244201"/>
    <n v="87431.171608791396"/>
    <n v="314752.21779164899"/>
  </r>
  <r>
    <x v="0"/>
    <x v="0"/>
    <x v="0"/>
    <x v="9"/>
    <x v="18"/>
    <s v="SE2_EL"/>
    <x v="2"/>
    <x v="196"/>
    <x v="0"/>
    <x v="1"/>
    <n v="239.53745646244201"/>
    <n v="87431.171608791396"/>
    <n v="314752.21779164899"/>
  </r>
  <r>
    <x v="0"/>
    <x v="0"/>
    <x v="0"/>
    <x v="9"/>
    <x v="18"/>
    <s v="SE2_EL"/>
    <x v="2"/>
    <x v="196"/>
    <x v="0"/>
    <x v="2"/>
    <n v="239.53745646244201"/>
    <n v="87431.171608791396"/>
    <n v="314752.21779164899"/>
  </r>
  <r>
    <x v="0"/>
    <x v="0"/>
    <x v="0"/>
    <x v="9"/>
    <x v="18"/>
    <s v="SE2_EL"/>
    <x v="2"/>
    <x v="196"/>
    <x v="0"/>
    <x v="3"/>
    <n v="239.53745646244201"/>
    <n v="87431.171608791396"/>
    <n v="314752.21779164899"/>
  </r>
  <r>
    <x v="0"/>
    <x v="0"/>
    <x v="0"/>
    <x v="9"/>
    <x v="18"/>
    <s v="SE2_EL"/>
    <x v="2"/>
    <x v="196"/>
    <x v="0"/>
    <x v="4"/>
    <n v="239.53745646244201"/>
    <n v="87431.171608791396"/>
    <n v="314752.21779164899"/>
  </r>
  <r>
    <x v="0"/>
    <x v="0"/>
    <x v="0"/>
    <x v="9"/>
    <x v="18"/>
    <s v="SE2_EL"/>
    <x v="2"/>
    <x v="196"/>
    <x v="0"/>
    <x v="5"/>
    <n v="239.53745646244201"/>
    <n v="87431.171608791396"/>
    <n v="314752.21779164899"/>
  </r>
  <r>
    <x v="0"/>
    <x v="0"/>
    <x v="0"/>
    <x v="9"/>
    <x v="18"/>
    <s v="SE2_EL"/>
    <x v="2"/>
    <x v="196"/>
    <x v="0"/>
    <x v="6"/>
    <n v="239.53745646244201"/>
    <n v="87431.171608791396"/>
    <n v="314752.21779164899"/>
  </r>
  <r>
    <x v="0"/>
    <x v="0"/>
    <x v="0"/>
    <x v="9"/>
    <x v="18"/>
    <s v="SE2_EL"/>
    <x v="2"/>
    <x v="196"/>
    <x v="0"/>
    <x v="7"/>
    <n v="239.53745646244201"/>
    <n v="87431.171608791396"/>
    <n v="314752.21779164899"/>
  </r>
  <r>
    <x v="0"/>
    <x v="0"/>
    <x v="0"/>
    <x v="9"/>
    <x v="18"/>
    <s v="SE2_EL"/>
    <x v="2"/>
    <x v="196"/>
    <x v="0"/>
    <x v="8"/>
    <n v="239.53745646244201"/>
    <n v="87431.171608791396"/>
    <n v="314752.21779164899"/>
  </r>
  <r>
    <x v="0"/>
    <x v="0"/>
    <x v="0"/>
    <x v="9"/>
    <x v="18"/>
    <s v="SE2_EL"/>
    <x v="2"/>
    <x v="196"/>
    <x v="0"/>
    <x v="9"/>
    <n v="239.53745646244201"/>
    <n v="87431.171608791396"/>
    <n v="314752.21779164899"/>
  </r>
  <r>
    <x v="0"/>
    <x v="0"/>
    <x v="0"/>
    <x v="9"/>
    <x v="18"/>
    <s v="SE2_EL"/>
    <x v="2"/>
    <x v="196"/>
    <x v="0"/>
    <x v="10"/>
    <n v="239.53745646244201"/>
    <n v="87431.171608791396"/>
    <n v="314752.21779164899"/>
  </r>
  <r>
    <x v="0"/>
    <x v="0"/>
    <x v="0"/>
    <x v="9"/>
    <x v="18"/>
    <s v="SE2_EL"/>
    <x v="2"/>
    <x v="196"/>
    <x v="0"/>
    <x v="11"/>
    <n v="239.53745646244201"/>
    <n v="87431.171608791396"/>
    <n v="314752.21779164899"/>
  </r>
  <r>
    <x v="0"/>
    <x v="0"/>
    <x v="0"/>
    <x v="9"/>
    <x v="18"/>
    <s v="SE2_EL"/>
    <x v="2"/>
    <x v="196"/>
    <x v="0"/>
    <x v="12"/>
    <n v="239.53745646244201"/>
    <n v="87431.171608791396"/>
    <n v="314752.21779164899"/>
  </r>
  <r>
    <x v="0"/>
    <x v="0"/>
    <x v="0"/>
    <x v="9"/>
    <x v="18"/>
    <s v="SE2_EL"/>
    <x v="2"/>
    <x v="196"/>
    <x v="0"/>
    <x v="13"/>
    <n v="239.53745646244201"/>
    <n v="87431.171608791396"/>
    <n v="314752.21779164899"/>
  </r>
  <r>
    <x v="0"/>
    <x v="0"/>
    <x v="0"/>
    <x v="9"/>
    <x v="18"/>
    <s v="SE2_EL"/>
    <x v="2"/>
    <x v="196"/>
    <x v="0"/>
    <x v="14"/>
    <n v="239.53745646244201"/>
    <n v="87431.171608791396"/>
    <n v="314752.21779164899"/>
  </r>
  <r>
    <x v="0"/>
    <x v="0"/>
    <x v="0"/>
    <x v="9"/>
    <x v="18"/>
    <s v="SE2_EL"/>
    <x v="2"/>
    <x v="196"/>
    <x v="0"/>
    <x v="15"/>
    <n v="239.53745646244201"/>
    <n v="87431.171608791396"/>
    <n v="314752.21779164899"/>
  </r>
  <r>
    <x v="0"/>
    <x v="0"/>
    <x v="0"/>
    <x v="9"/>
    <x v="18"/>
    <s v="SE2_EL"/>
    <x v="2"/>
    <x v="196"/>
    <x v="0"/>
    <x v="16"/>
    <n v="239.53745646244201"/>
    <n v="87431.171608791396"/>
    <n v="314752.21779164899"/>
  </r>
  <r>
    <x v="0"/>
    <x v="0"/>
    <x v="0"/>
    <x v="9"/>
    <x v="18"/>
    <s v="SE2_EL"/>
    <x v="2"/>
    <x v="196"/>
    <x v="0"/>
    <x v="17"/>
    <n v="239.53745646244201"/>
    <n v="87431.171608791396"/>
    <n v="314752.21779164899"/>
  </r>
  <r>
    <x v="0"/>
    <x v="0"/>
    <x v="0"/>
    <x v="9"/>
    <x v="18"/>
    <s v="SE2_EL"/>
    <x v="2"/>
    <x v="196"/>
    <x v="0"/>
    <x v="18"/>
    <n v="239.53745646244201"/>
    <n v="87431.171608791396"/>
    <n v="314752.21779164899"/>
  </r>
  <r>
    <x v="0"/>
    <x v="0"/>
    <x v="0"/>
    <x v="9"/>
    <x v="18"/>
    <s v="SE2_EL"/>
    <x v="2"/>
    <x v="196"/>
    <x v="0"/>
    <x v="19"/>
    <n v="239.53745646244201"/>
    <n v="87431.171608791396"/>
    <n v="314752.21779164899"/>
  </r>
  <r>
    <x v="0"/>
    <x v="0"/>
    <x v="0"/>
    <x v="9"/>
    <x v="18"/>
    <s v="SE2_EL"/>
    <x v="2"/>
    <x v="196"/>
    <x v="0"/>
    <x v="20"/>
    <n v="239.53745646244201"/>
    <n v="87431.171608791396"/>
    <n v="314752.21779164899"/>
  </r>
  <r>
    <x v="0"/>
    <x v="0"/>
    <x v="0"/>
    <x v="9"/>
    <x v="18"/>
    <s v="SE2_EL"/>
    <x v="2"/>
    <x v="196"/>
    <x v="0"/>
    <x v="21"/>
    <n v="239.53745646244201"/>
    <n v="87431.171608791396"/>
    <n v="314752.21779164899"/>
  </r>
  <r>
    <x v="0"/>
    <x v="0"/>
    <x v="0"/>
    <x v="9"/>
    <x v="18"/>
    <s v="SE2_EL"/>
    <x v="2"/>
    <x v="196"/>
    <x v="0"/>
    <x v="22"/>
    <n v="239.53745646244201"/>
    <n v="87431.171608791396"/>
    <n v="314752.21779164899"/>
  </r>
  <r>
    <x v="0"/>
    <x v="0"/>
    <x v="0"/>
    <x v="9"/>
    <x v="18"/>
    <s v="SE2_EL"/>
    <x v="2"/>
    <x v="196"/>
    <x v="0"/>
    <x v="23"/>
    <n v="239.53745646244201"/>
    <n v="87431.171608791396"/>
    <n v="314752.21779164899"/>
  </r>
  <r>
    <x v="0"/>
    <x v="0"/>
    <x v="0"/>
    <x v="9"/>
    <x v="18"/>
    <s v="SE2_EL"/>
    <x v="6"/>
    <x v="197"/>
    <x v="0"/>
    <x v="0"/>
    <n v="41.110708217183898"/>
    <n v="15005.4084992721"/>
    <n v="54019.470597379601"/>
  </r>
  <r>
    <x v="0"/>
    <x v="0"/>
    <x v="0"/>
    <x v="9"/>
    <x v="18"/>
    <s v="SE2_EL"/>
    <x v="6"/>
    <x v="197"/>
    <x v="0"/>
    <x v="1"/>
    <n v="41.110708217183898"/>
    <n v="15005.4084992721"/>
    <n v="54019.470597379601"/>
  </r>
  <r>
    <x v="0"/>
    <x v="0"/>
    <x v="0"/>
    <x v="9"/>
    <x v="18"/>
    <s v="SE2_EL"/>
    <x v="6"/>
    <x v="197"/>
    <x v="0"/>
    <x v="2"/>
    <n v="41.110708217183898"/>
    <n v="15005.4084992721"/>
    <n v="54019.470597379601"/>
  </r>
  <r>
    <x v="0"/>
    <x v="0"/>
    <x v="0"/>
    <x v="9"/>
    <x v="18"/>
    <s v="SE2_EL"/>
    <x v="6"/>
    <x v="197"/>
    <x v="0"/>
    <x v="3"/>
    <n v="41.110708217183898"/>
    <n v="15005.4084992721"/>
    <n v="54019.470597379601"/>
  </r>
  <r>
    <x v="0"/>
    <x v="0"/>
    <x v="0"/>
    <x v="9"/>
    <x v="18"/>
    <s v="SE2_EL"/>
    <x v="6"/>
    <x v="197"/>
    <x v="0"/>
    <x v="4"/>
    <n v="41.110708217183898"/>
    <n v="15005.4084992721"/>
    <n v="54019.470597379601"/>
  </r>
  <r>
    <x v="0"/>
    <x v="0"/>
    <x v="0"/>
    <x v="9"/>
    <x v="18"/>
    <s v="SE2_EL"/>
    <x v="6"/>
    <x v="197"/>
    <x v="0"/>
    <x v="5"/>
    <n v="41.110708217183898"/>
    <n v="15005.4084992721"/>
    <n v="54019.470597379601"/>
  </r>
  <r>
    <x v="0"/>
    <x v="0"/>
    <x v="0"/>
    <x v="9"/>
    <x v="18"/>
    <s v="SE2_EL"/>
    <x v="6"/>
    <x v="197"/>
    <x v="0"/>
    <x v="6"/>
    <n v="41.110708217183898"/>
    <n v="15005.4084992721"/>
    <n v="54019.470597379601"/>
  </r>
  <r>
    <x v="0"/>
    <x v="0"/>
    <x v="0"/>
    <x v="9"/>
    <x v="18"/>
    <s v="SE2_EL"/>
    <x v="6"/>
    <x v="197"/>
    <x v="0"/>
    <x v="7"/>
    <n v="41.110708217183898"/>
    <n v="15005.4084992721"/>
    <n v="54019.470597379601"/>
  </r>
  <r>
    <x v="0"/>
    <x v="0"/>
    <x v="0"/>
    <x v="9"/>
    <x v="18"/>
    <s v="SE2_EL"/>
    <x v="6"/>
    <x v="197"/>
    <x v="0"/>
    <x v="8"/>
    <n v="41.110708217183898"/>
    <n v="15005.4084992721"/>
    <n v="54019.470597379601"/>
  </r>
  <r>
    <x v="0"/>
    <x v="0"/>
    <x v="0"/>
    <x v="9"/>
    <x v="18"/>
    <s v="SE2_EL"/>
    <x v="6"/>
    <x v="197"/>
    <x v="0"/>
    <x v="9"/>
    <n v="41.110708217183898"/>
    <n v="15005.4084992721"/>
    <n v="54019.470597379601"/>
  </r>
  <r>
    <x v="0"/>
    <x v="0"/>
    <x v="0"/>
    <x v="9"/>
    <x v="18"/>
    <s v="SE2_EL"/>
    <x v="6"/>
    <x v="197"/>
    <x v="0"/>
    <x v="10"/>
    <n v="41.110708217183898"/>
    <n v="15005.4084992721"/>
    <n v="54019.470597379601"/>
  </r>
  <r>
    <x v="0"/>
    <x v="0"/>
    <x v="0"/>
    <x v="9"/>
    <x v="18"/>
    <s v="SE2_EL"/>
    <x v="6"/>
    <x v="197"/>
    <x v="0"/>
    <x v="11"/>
    <n v="41.110708217183898"/>
    <n v="15005.4084992721"/>
    <n v="54019.470597379601"/>
  </r>
  <r>
    <x v="0"/>
    <x v="0"/>
    <x v="0"/>
    <x v="9"/>
    <x v="18"/>
    <s v="SE2_EL"/>
    <x v="6"/>
    <x v="197"/>
    <x v="0"/>
    <x v="12"/>
    <n v="41.110708217183898"/>
    <n v="15005.4084992721"/>
    <n v="54019.470597379601"/>
  </r>
  <r>
    <x v="0"/>
    <x v="0"/>
    <x v="0"/>
    <x v="9"/>
    <x v="18"/>
    <s v="SE2_EL"/>
    <x v="6"/>
    <x v="197"/>
    <x v="0"/>
    <x v="13"/>
    <n v="41.110708217183898"/>
    <n v="15005.4084992721"/>
    <n v="54019.470597379601"/>
  </r>
  <r>
    <x v="0"/>
    <x v="0"/>
    <x v="0"/>
    <x v="9"/>
    <x v="18"/>
    <s v="SE2_EL"/>
    <x v="6"/>
    <x v="197"/>
    <x v="0"/>
    <x v="14"/>
    <n v="41.110708217183898"/>
    <n v="15005.4084992721"/>
    <n v="54019.470597379601"/>
  </r>
  <r>
    <x v="0"/>
    <x v="0"/>
    <x v="0"/>
    <x v="9"/>
    <x v="18"/>
    <s v="SE2_EL"/>
    <x v="6"/>
    <x v="197"/>
    <x v="0"/>
    <x v="15"/>
    <n v="41.110708217183898"/>
    <n v="15005.4084992721"/>
    <n v="54019.470597379601"/>
  </r>
  <r>
    <x v="0"/>
    <x v="0"/>
    <x v="0"/>
    <x v="9"/>
    <x v="18"/>
    <s v="SE2_EL"/>
    <x v="6"/>
    <x v="197"/>
    <x v="0"/>
    <x v="16"/>
    <n v="41.110708217183898"/>
    <n v="15005.4084992721"/>
    <n v="54019.470597379601"/>
  </r>
  <r>
    <x v="0"/>
    <x v="0"/>
    <x v="0"/>
    <x v="9"/>
    <x v="18"/>
    <s v="SE2_EL"/>
    <x v="6"/>
    <x v="197"/>
    <x v="0"/>
    <x v="17"/>
    <n v="41.110708217183898"/>
    <n v="15005.4084992721"/>
    <n v="54019.470597379601"/>
  </r>
  <r>
    <x v="0"/>
    <x v="0"/>
    <x v="0"/>
    <x v="9"/>
    <x v="18"/>
    <s v="SE2_EL"/>
    <x v="6"/>
    <x v="197"/>
    <x v="0"/>
    <x v="18"/>
    <n v="41.110708217183898"/>
    <n v="15005.4084992721"/>
    <n v="54019.470597379601"/>
  </r>
  <r>
    <x v="0"/>
    <x v="0"/>
    <x v="0"/>
    <x v="9"/>
    <x v="18"/>
    <s v="SE2_EL"/>
    <x v="6"/>
    <x v="197"/>
    <x v="0"/>
    <x v="19"/>
    <n v="41.110708217183898"/>
    <n v="15005.4084992721"/>
    <n v="54019.470597379601"/>
  </r>
  <r>
    <x v="0"/>
    <x v="0"/>
    <x v="0"/>
    <x v="9"/>
    <x v="18"/>
    <s v="SE2_EL"/>
    <x v="6"/>
    <x v="197"/>
    <x v="0"/>
    <x v="20"/>
    <n v="41.110708217183898"/>
    <n v="15005.4084992721"/>
    <n v="54019.470597379601"/>
  </r>
  <r>
    <x v="0"/>
    <x v="0"/>
    <x v="0"/>
    <x v="9"/>
    <x v="18"/>
    <s v="SE2_EL"/>
    <x v="6"/>
    <x v="197"/>
    <x v="0"/>
    <x v="21"/>
    <n v="41.110708217183898"/>
    <n v="15005.4084992721"/>
    <n v="54019.470597379601"/>
  </r>
  <r>
    <x v="0"/>
    <x v="0"/>
    <x v="0"/>
    <x v="9"/>
    <x v="18"/>
    <s v="SE2_EL"/>
    <x v="6"/>
    <x v="197"/>
    <x v="0"/>
    <x v="22"/>
    <n v="41.110708217183898"/>
    <n v="15005.4084992721"/>
    <n v="54019.470597379601"/>
  </r>
  <r>
    <x v="0"/>
    <x v="0"/>
    <x v="0"/>
    <x v="9"/>
    <x v="18"/>
    <s v="SE2_EL"/>
    <x v="6"/>
    <x v="197"/>
    <x v="0"/>
    <x v="23"/>
    <n v="41.110708217183898"/>
    <n v="15005.4084992721"/>
    <n v="54019.470597379601"/>
  </r>
  <r>
    <x v="0"/>
    <x v="0"/>
    <x v="0"/>
    <x v="9"/>
    <x v="18"/>
    <s v="SE2_EL"/>
    <x v="11"/>
    <x v="193"/>
    <x v="0"/>
    <x v="0"/>
    <n v="262.81306374517698"/>
    <n v="95926.768266989704"/>
    <n v="345336.365761163"/>
  </r>
  <r>
    <x v="0"/>
    <x v="0"/>
    <x v="0"/>
    <x v="9"/>
    <x v="18"/>
    <s v="SE2_EL"/>
    <x v="11"/>
    <x v="193"/>
    <x v="0"/>
    <x v="1"/>
    <n v="262.81306374517698"/>
    <n v="95926.768266989704"/>
    <n v="345336.365761163"/>
  </r>
  <r>
    <x v="0"/>
    <x v="0"/>
    <x v="0"/>
    <x v="9"/>
    <x v="18"/>
    <s v="SE2_EL"/>
    <x v="11"/>
    <x v="193"/>
    <x v="0"/>
    <x v="2"/>
    <n v="262.81306374517698"/>
    <n v="95926.768266989704"/>
    <n v="345336.365761163"/>
  </r>
  <r>
    <x v="0"/>
    <x v="0"/>
    <x v="0"/>
    <x v="9"/>
    <x v="18"/>
    <s v="SE2_EL"/>
    <x v="11"/>
    <x v="193"/>
    <x v="0"/>
    <x v="3"/>
    <n v="262.81306374517698"/>
    <n v="95926.768266989704"/>
    <n v="345336.365761163"/>
  </r>
  <r>
    <x v="0"/>
    <x v="0"/>
    <x v="0"/>
    <x v="9"/>
    <x v="18"/>
    <s v="SE2_EL"/>
    <x v="11"/>
    <x v="193"/>
    <x v="0"/>
    <x v="4"/>
    <n v="262.81306374517698"/>
    <n v="95926.768266989704"/>
    <n v="345336.365761163"/>
  </r>
  <r>
    <x v="0"/>
    <x v="0"/>
    <x v="0"/>
    <x v="9"/>
    <x v="18"/>
    <s v="SE2_EL"/>
    <x v="11"/>
    <x v="193"/>
    <x v="0"/>
    <x v="5"/>
    <n v="262.81306374517698"/>
    <n v="95926.768266989704"/>
    <n v="345336.365761163"/>
  </r>
  <r>
    <x v="0"/>
    <x v="0"/>
    <x v="0"/>
    <x v="9"/>
    <x v="18"/>
    <s v="SE2_EL"/>
    <x v="11"/>
    <x v="193"/>
    <x v="0"/>
    <x v="6"/>
    <n v="262.81306374517698"/>
    <n v="95926.768266989704"/>
    <n v="345336.365761163"/>
  </r>
  <r>
    <x v="0"/>
    <x v="0"/>
    <x v="0"/>
    <x v="9"/>
    <x v="18"/>
    <s v="SE2_EL"/>
    <x v="11"/>
    <x v="193"/>
    <x v="0"/>
    <x v="7"/>
    <n v="262.81306374517698"/>
    <n v="95926.768266989704"/>
    <n v="345336.365761163"/>
  </r>
  <r>
    <x v="0"/>
    <x v="0"/>
    <x v="0"/>
    <x v="9"/>
    <x v="18"/>
    <s v="SE2_EL"/>
    <x v="11"/>
    <x v="193"/>
    <x v="0"/>
    <x v="8"/>
    <n v="262.81306374517698"/>
    <n v="95926.768266989704"/>
    <n v="345336.365761163"/>
  </r>
  <r>
    <x v="0"/>
    <x v="0"/>
    <x v="0"/>
    <x v="9"/>
    <x v="18"/>
    <s v="SE2_EL"/>
    <x v="11"/>
    <x v="193"/>
    <x v="0"/>
    <x v="9"/>
    <n v="262.81306374517698"/>
    <n v="95926.768266989704"/>
    <n v="345336.365761163"/>
  </r>
  <r>
    <x v="0"/>
    <x v="0"/>
    <x v="0"/>
    <x v="9"/>
    <x v="18"/>
    <s v="SE2_EL"/>
    <x v="11"/>
    <x v="193"/>
    <x v="0"/>
    <x v="10"/>
    <n v="262.81306374517698"/>
    <n v="95926.768266989704"/>
    <n v="345336.365761163"/>
  </r>
  <r>
    <x v="0"/>
    <x v="0"/>
    <x v="0"/>
    <x v="9"/>
    <x v="18"/>
    <s v="SE2_EL"/>
    <x v="11"/>
    <x v="193"/>
    <x v="0"/>
    <x v="11"/>
    <n v="262.81306374517698"/>
    <n v="95926.768266989704"/>
    <n v="345336.365761163"/>
  </r>
  <r>
    <x v="0"/>
    <x v="0"/>
    <x v="0"/>
    <x v="9"/>
    <x v="18"/>
    <s v="SE2_EL"/>
    <x v="11"/>
    <x v="193"/>
    <x v="0"/>
    <x v="12"/>
    <n v="262.81306374517698"/>
    <n v="95926.768266989704"/>
    <n v="345336.365761163"/>
  </r>
  <r>
    <x v="0"/>
    <x v="0"/>
    <x v="0"/>
    <x v="9"/>
    <x v="18"/>
    <s v="SE2_EL"/>
    <x v="11"/>
    <x v="193"/>
    <x v="0"/>
    <x v="13"/>
    <n v="262.81306374517698"/>
    <n v="95926.768266989704"/>
    <n v="345336.365761163"/>
  </r>
  <r>
    <x v="0"/>
    <x v="0"/>
    <x v="0"/>
    <x v="9"/>
    <x v="18"/>
    <s v="SE2_EL"/>
    <x v="11"/>
    <x v="193"/>
    <x v="0"/>
    <x v="14"/>
    <n v="262.81306374517698"/>
    <n v="95926.768266989704"/>
    <n v="345336.365761163"/>
  </r>
  <r>
    <x v="0"/>
    <x v="0"/>
    <x v="0"/>
    <x v="9"/>
    <x v="18"/>
    <s v="SE2_EL"/>
    <x v="11"/>
    <x v="193"/>
    <x v="0"/>
    <x v="15"/>
    <n v="262.81306374517698"/>
    <n v="95926.768266989704"/>
    <n v="345336.365761163"/>
  </r>
  <r>
    <x v="0"/>
    <x v="0"/>
    <x v="0"/>
    <x v="9"/>
    <x v="18"/>
    <s v="SE2_EL"/>
    <x v="11"/>
    <x v="193"/>
    <x v="0"/>
    <x v="16"/>
    <n v="262.81306374517698"/>
    <n v="95926.768266989704"/>
    <n v="345336.365761163"/>
  </r>
  <r>
    <x v="0"/>
    <x v="0"/>
    <x v="0"/>
    <x v="9"/>
    <x v="18"/>
    <s v="SE2_EL"/>
    <x v="11"/>
    <x v="193"/>
    <x v="0"/>
    <x v="17"/>
    <n v="262.81306374517698"/>
    <n v="95926.768266989704"/>
    <n v="345336.365761163"/>
  </r>
  <r>
    <x v="0"/>
    <x v="0"/>
    <x v="0"/>
    <x v="9"/>
    <x v="18"/>
    <s v="SE2_EL"/>
    <x v="11"/>
    <x v="193"/>
    <x v="0"/>
    <x v="18"/>
    <n v="262.81306374517698"/>
    <n v="95926.768266989704"/>
    <n v="345336.365761163"/>
  </r>
  <r>
    <x v="0"/>
    <x v="0"/>
    <x v="0"/>
    <x v="9"/>
    <x v="18"/>
    <s v="SE2_EL"/>
    <x v="11"/>
    <x v="193"/>
    <x v="0"/>
    <x v="19"/>
    <n v="262.81306374517698"/>
    <n v="95926.768266989704"/>
    <n v="345336.365761163"/>
  </r>
  <r>
    <x v="0"/>
    <x v="0"/>
    <x v="0"/>
    <x v="9"/>
    <x v="18"/>
    <s v="SE2_EL"/>
    <x v="11"/>
    <x v="193"/>
    <x v="0"/>
    <x v="20"/>
    <n v="262.81306374517698"/>
    <n v="95926.768266989704"/>
    <n v="345336.365761163"/>
  </r>
  <r>
    <x v="0"/>
    <x v="0"/>
    <x v="0"/>
    <x v="9"/>
    <x v="18"/>
    <s v="SE2_EL"/>
    <x v="11"/>
    <x v="193"/>
    <x v="0"/>
    <x v="21"/>
    <n v="262.81306374517698"/>
    <n v="95926.768266989704"/>
    <n v="345336.365761163"/>
  </r>
  <r>
    <x v="0"/>
    <x v="0"/>
    <x v="0"/>
    <x v="9"/>
    <x v="18"/>
    <s v="SE2_EL"/>
    <x v="11"/>
    <x v="193"/>
    <x v="0"/>
    <x v="22"/>
    <n v="262.81306374517698"/>
    <n v="95926.768266989704"/>
    <n v="345336.365761163"/>
  </r>
  <r>
    <x v="0"/>
    <x v="0"/>
    <x v="0"/>
    <x v="9"/>
    <x v="18"/>
    <s v="SE2_EL"/>
    <x v="11"/>
    <x v="193"/>
    <x v="0"/>
    <x v="23"/>
    <n v="262.81306374517698"/>
    <n v="95926.768266989704"/>
    <n v="345336.365761163"/>
  </r>
  <r>
    <x v="0"/>
    <x v="0"/>
    <x v="0"/>
    <x v="9"/>
    <x v="18"/>
    <s v="SE2_EL"/>
    <x v="11"/>
    <x v="198"/>
    <x v="0"/>
    <x v="0"/>
    <n v="102.679509632224"/>
    <n v="37478.021015761798"/>
    <n v="134920.87565674301"/>
  </r>
  <r>
    <x v="0"/>
    <x v="0"/>
    <x v="0"/>
    <x v="9"/>
    <x v="18"/>
    <s v="SE2_EL"/>
    <x v="11"/>
    <x v="198"/>
    <x v="0"/>
    <x v="1"/>
    <n v="102.679509632224"/>
    <n v="37478.021015761798"/>
    <n v="134920.87565674301"/>
  </r>
  <r>
    <x v="0"/>
    <x v="0"/>
    <x v="0"/>
    <x v="9"/>
    <x v="18"/>
    <s v="SE2_EL"/>
    <x v="11"/>
    <x v="198"/>
    <x v="0"/>
    <x v="2"/>
    <n v="102.679509632224"/>
    <n v="37478.021015761798"/>
    <n v="134920.87565674301"/>
  </r>
  <r>
    <x v="0"/>
    <x v="0"/>
    <x v="0"/>
    <x v="9"/>
    <x v="18"/>
    <s v="SE2_EL"/>
    <x v="11"/>
    <x v="198"/>
    <x v="0"/>
    <x v="3"/>
    <n v="102.679509632224"/>
    <n v="37478.021015761798"/>
    <n v="134920.87565674301"/>
  </r>
  <r>
    <x v="0"/>
    <x v="0"/>
    <x v="0"/>
    <x v="9"/>
    <x v="18"/>
    <s v="SE2_EL"/>
    <x v="11"/>
    <x v="198"/>
    <x v="0"/>
    <x v="4"/>
    <n v="102.679509632224"/>
    <n v="37478.021015761798"/>
    <n v="134920.87565674301"/>
  </r>
  <r>
    <x v="0"/>
    <x v="0"/>
    <x v="0"/>
    <x v="9"/>
    <x v="18"/>
    <s v="SE2_EL"/>
    <x v="11"/>
    <x v="198"/>
    <x v="0"/>
    <x v="5"/>
    <n v="102.679509632224"/>
    <n v="37478.021015761798"/>
    <n v="134920.87565674301"/>
  </r>
  <r>
    <x v="0"/>
    <x v="0"/>
    <x v="0"/>
    <x v="9"/>
    <x v="18"/>
    <s v="SE2_EL"/>
    <x v="11"/>
    <x v="198"/>
    <x v="0"/>
    <x v="6"/>
    <n v="102.679509632224"/>
    <n v="37478.021015761798"/>
    <n v="134920.87565674301"/>
  </r>
  <r>
    <x v="0"/>
    <x v="0"/>
    <x v="0"/>
    <x v="9"/>
    <x v="18"/>
    <s v="SE2_EL"/>
    <x v="11"/>
    <x v="198"/>
    <x v="0"/>
    <x v="7"/>
    <n v="102.679509632224"/>
    <n v="37478.021015761798"/>
    <n v="134920.87565674301"/>
  </r>
  <r>
    <x v="0"/>
    <x v="0"/>
    <x v="0"/>
    <x v="9"/>
    <x v="18"/>
    <s v="SE2_EL"/>
    <x v="11"/>
    <x v="198"/>
    <x v="0"/>
    <x v="8"/>
    <n v="102.679509632224"/>
    <n v="37478.021015761798"/>
    <n v="134920.87565674301"/>
  </r>
  <r>
    <x v="0"/>
    <x v="0"/>
    <x v="0"/>
    <x v="9"/>
    <x v="18"/>
    <s v="SE2_EL"/>
    <x v="11"/>
    <x v="198"/>
    <x v="0"/>
    <x v="9"/>
    <n v="102.679509632224"/>
    <n v="37478.021015761798"/>
    <n v="134920.87565674301"/>
  </r>
  <r>
    <x v="0"/>
    <x v="0"/>
    <x v="0"/>
    <x v="9"/>
    <x v="18"/>
    <s v="SE2_EL"/>
    <x v="11"/>
    <x v="198"/>
    <x v="0"/>
    <x v="10"/>
    <n v="102.679509632224"/>
    <n v="37478.021015761798"/>
    <n v="134920.87565674301"/>
  </r>
  <r>
    <x v="0"/>
    <x v="0"/>
    <x v="0"/>
    <x v="9"/>
    <x v="18"/>
    <s v="SE2_EL"/>
    <x v="11"/>
    <x v="198"/>
    <x v="0"/>
    <x v="11"/>
    <n v="102.679509632224"/>
    <n v="37478.021015761798"/>
    <n v="134920.87565674301"/>
  </r>
  <r>
    <x v="0"/>
    <x v="0"/>
    <x v="0"/>
    <x v="9"/>
    <x v="18"/>
    <s v="SE2_EL"/>
    <x v="11"/>
    <x v="198"/>
    <x v="0"/>
    <x v="12"/>
    <n v="102.679509632224"/>
    <n v="37478.021015761798"/>
    <n v="134920.87565674301"/>
  </r>
  <r>
    <x v="0"/>
    <x v="0"/>
    <x v="0"/>
    <x v="9"/>
    <x v="18"/>
    <s v="SE2_EL"/>
    <x v="11"/>
    <x v="198"/>
    <x v="0"/>
    <x v="13"/>
    <n v="102.679509632224"/>
    <n v="37478.021015761798"/>
    <n v="134920.87565674301"/>
  </r>
  <r>
    <x v="0"/>
    <x v="0"/>
    <x v="0"/>
    <x v="9"/>
    <x v="18"/>
    <s v="SE2_EL"/>
    <x v="11"/>
    <x v="198"/>
    <x v="0"/>
    <x v="14"/>
    <n v="102.679509632224"/>
    <n v="37478.021015761798"/>
    <n v="134920.87565674301"/>
  </r>
  <r>
    <x v="0"/>
    <x v="0"/>
    <x v="0"/>
    <x v="9"/>
    <x v="18"/>
    <s v="SE2_EL"/>
    <x v="11"/>
    <x v="198"/>
    <x v="0"/>
    <x v="15"/>
    <n v="102.679509632224"/>
    <n v="37478.021015761798"/>
    <n v="134920.87565674301"/>
  </r>
  <r>
    <x v="0"/>
    <x v="0"/>
    <x v="0"/>
    <x v="9"/>
    <x v="18"/>
    <s v="SE2_EL"/>
    <x v="11"/>
    <x v="198"/>
    <x v="0"/>
    <x v="16"/>
    <n v="102.679509632224"/>
    <n v="37478.021015761798"/>
    <n v="134920.87565674301"/>
  </r>
  <r>
    <x v="0"/>
    <x v="0"/>
    <x v="0"/>
    <x v="9"/>
    <x v="18"/>
    <s v="SE2_EL"/>
    <x v="11"/>
    <x v="198"/>
    <x v="0"/>
    <x v="17"/>
    <n v="102.679509632224"/>
    <n v="37478.021015761798"/>
    <n v="134920.87565674301"/>
  </r>
  <r>
    <x v="0"/>
    <x v="0"/>
    <x v="0"/>
    <x v="9"/>
    <x v="18"/>
    <s v="SE2_EL"/>
    <x v="11"/>
    <x v="198"/>
    <x v="0"/>
    <x v="18"/>
    <n v="102.679509632224"/>
    <n v="37478.021015761798"/>
    <n v="134920.87565674301"/>
  </r>
  <r>
    <x v="0"/>
    <x v="0"/>
    <x v="0"/>
    <x v="9"/>
    <x v="18"/>
    <s v="SE2_EL"/>
    <x v="11"/>
    <x v="198"/>
    <x v="0"/>
    <x v="19"/>
    <n v="102.679509632224"/>
    <n v="37478.021015761798"/>
    <n v="134920.87565674301"/>
  </r>
  <r>
    <x v="0"/>
    <x v="0"/>
    <x v="0"/>
    <x v="9"/>
    <x v="18"/>
    <s v="SE2_EL"/>
    <x v="11"/>
    <x v="198"/>
    <x v="0"/>
    <x v="20"/>
    <n v="102.679509632224"/>
    <n v="37478.021015761798"/>
    <n v="134920.87565674301"/>
  </r>
  <r>
    <x v="0"/>
    <x v="0"/>
    <x v="0"/>
    <x v="9"/>
    <x v="18"/>
    <s v="SE2_EL"/>
    <x v="11"/>
    <x v="198"/>
    <x v="0"/>
    <x v="21"/>
    <n v="102.679509632224"/>
    <n v="37478.021015761798"/>
    <n v="134920.87565674301"/>
  </r>
  <r>
    <x v="0"/>
    <x v="0"/>
    <x v="0"/>
    <x v="9"/>
    <x v="18"/>
    <s v="SE2_EL"/>
    <x v="11"/>
    <x v="198"/>
    <x v="0"/>
    <x v="22"/>
    <n v="102.679509632224"/>
    <n v="37478.021015761798"/>
    <n v="134920.87565674301"/>
  </r>
  <r>
    <x v="0"/>
    <x v="0"/>
    <x v="0"/>
    <x v="9"/>
    <x v="18"/>
    <s v="SE2_EL"/>
    <x v="11"/>
    <x v="198"/>
    <x v="0"/>
    <x v="23"/>
    <n v="102.679509632224"/>
    <n v="37478.021015761798"/>
    <n v="134920.87565674301"/>
  </r>
  <r>
    <x v="0"/>
    <x v="0"/>
    <x v="0"/>
    <x v="9"/>
    <x v="18"/>
    <s v="SE2_OTHER"/>
    <x v="2"/>
    <x v="196"/>
    <x v="0"/>
    <x v="0"/>
    <n v="18.156787526881601"/>
    <n v="6627.2274473117704"/>
    <n v="23858.018810322399"/>
  </r>
  <r>
    <x v="0"/>
    <x v="0"/>
    <x v="0"/>
    <x v="9"/>
    <x v="18"/>
    <s v="SE2_OTHER"/>
    <x v="2"/>
    <x v="196"/>
    <x v="0"/>
    <x v="1"/>
    <n v="18.156787526881601"/>
    <n v="6627.2274473117704"/>
    <n v="23858.018810322399"/>
  </r>
  <r>
    <x v="0"/>
    <x v="0"/>
    <x v="0"/>
    <x v="9"/>
    <x v="18"/>
    <s v="SE2_OTHER"/>
    <x v="2"/>
    <x v="196"/>
    <x v="0"/>
    <x v="2"/>
    <n v="18.156787526881601"/>
    <n v="6627.2274473117704"/>
    <n v="23858.018810322399"/>
  </r>
  <r>
    <x v="0"/>
    <x v="0"/>
    <x v="0"/>
    <x v="9"/>
    <x v="18"/>
    <s v="SE2_OTHER"/>
    <x v="2"/>
    <x v="196"/>
    <x v="0"/>
    <x v="3"/>
    <n v="18.156787526881601"/>
    <n v="6627.2274473117704"/>
    <n v="23858.018810322399"/>
  </r>
  <r>
    <x v="0"/>
    <x v="0"/>
    <x v="0"/>
    <x v="9"/>
    <x v="18"/>
    <s v="SE2_OTHER"/>
    <x v="2"/>
    <x v="196"/>
    <x v="0"/>
    <x v="4"/>
    <n v="18.156787526881601"/>
    <n v="6627.2274473117704"/>
    <n v="23858.018810322399"/>
  </r>
  <r>
    <x v="0"/>
    <x v="0"/>
    <x v="0"/>
    <x v="9"/>
    <x v="18"/>
    <s v="SE2_OTHER"/>
    <x v="2"/>
    <x v="196"/>
    <x v="0"/>
    <x v="5"/>
    <n v="18.156787526881601"/>
    <n v="6627.2274473117704"/>
    <n v="23858.018810322399"/>
  </r>
  <r>
    <x v="0"/>
    <x v="0"/>
    <x v="0"/>
    <x v="9"/>
    <x v="18"/>
    <s v="SE2_OTHER"/>
    <x v="2"/>
    <x v="196"/>
    <x v="0"/>
    <x v="6"/>
    <n v="18.156787526881601"/>
    <n v="6627.2274473117704"/>
    <n v="23858.018810322399"/>
  </r>
  <r>
    <x v="0"/>
    <x v="0"/>
    <x v="0"/>
    <x v="9"/>
    <x v="18"/>
    <s v="SE2_OTHER"/>
    <x v="2"/>
    <x v="196"/>
    <x v="0"/>
    <x v="7"/>
    <n v="18.156787526881601"/>
    <n v="6627.2274473117704"/>
    <n v="23858.018810322399"/>
  </r>
  <r>
    <x v="0"/>
    <x v="0"/>
    <x v="0"/>
    <x v="9"/>
    <x v="18"/>
    <s v="SE2_OTHER"/>
    <x v="2"/>
    <x v="196"/>
    <x v="0"/>
    <x v="8"/>
    <n v="18.156787526881601"/>
    <n v="6627.2274473117704"/>
    <n v="23858.018810322399"/>
  </r>
  <r>
    <x v="0"/>
    <x v="0"/>
    <x v="0"/>
    <x v="9"/>
    <x v="18"/>
    <s v="SE2_OTHER"/>
    <x v="2"/>
    <x v="196"/>
    <x v="0"/>
    <x v="9"/>
    <n v="18.156787526881601"/>
    <n v="6627.2274473117704"/>
    <n v="23858.018810322399"/>
  </r>
  <r>
    <x v="0"/>
    <x v="0"/>
    <x v="0"/>
    <x v="9"/>
    <x v="18"/>
    <s v="SE2_OTHER"/>
    <x v="2"/>
    <x v="196"/>
    <x v="0"/>
    <x v="10"/>
    <n v="18.156787526881601"/>
    <n v="6627.2274473117704"/>
    <n v="23858.018810322399"/>
  </r>
  <r>
    <x v="0"/>
    <x v="0"/>
    <x v="0"/>
    <x v="9"/>
    <x v="18"/>
    <s v="SE2_OTHER"/>
    <x v="2"/>
    <x v="196"/>
    <x v="0"/>
    <x v="11"/>
    <n v="18.156787526881601"/>
    <n v="6627.2274473117704"/>
    <n v="23858.018810322399"/>
  </r>
  <r>
    <x v="0"/>
    <x v="0"/>
    <x v="0"/>
    <x v="9"/>
    <x v="18"/>
    <s v="SE2_OTHER"/>
    <x v="2"/>
    <x v="196"/>
    <x v="0"/>
    <x v="12"/>
    <n v="18.156787526881601"/>
    <n v="6627.2274473117704"/>
    <n v="23858.018810322399"/>
  </r>
  <r>
    <x v="0"/>
    <x v="0"/>
    <x v="0"/>
    <x v="9"/>
    <x v="18"/>
    <s v="SE2_OTHER"/>
    <x v="2"/>
    <x v="196"/>
    <x v="0"/>
    <x v="13"/>
    <n v="18.156787526881601"/>
    <n v="6627.2274473117704"/>
    <n v="23858.018810322399"/>
  </r>
  <r>
    <x v="0"/>
    <x v="0"/>
    <x v="0"/>
    <x v="9"/>
    <x v="18"/>
    <s v="SE2_OTHER"/>
    <x v="2"/>
    <x v="196"/>
    <x v="0"/>
    <x v="14"/>
    <n v="18.156787526881601"/>
    <n v="6627.2274473117704"/>
    <n v="23858.018810322399"/>
  </r>
  <r>
    <x v="0"/>
    <x v="0"/>
    <x v="0"/>
    <x v="9"/>
    <x v="18"/>
    <s v="SE2_OTHER"/>
    <x v="2"/>
    <x v="196"/>
    <x v="0"/>
    <x v="15"/>
    <n v="18.156787526881601"/>
    <n v="6627.2274473117704"/>
    <n v="23858.018810322399"/>
  </r>
  <r>
    <x v="0"/>
    <x v="0"/>
    <x v="0"/>
    <x v="9"/>
    <x v="18"/>
    <s v="SE2_OTHER"/>
    <x v="2"/>
    <x v="196"/>
    <x v="0"/>
    <x v="16"/>
    <n v="18.156787526881601"/>
    <n v="6627.2274473117704"/>
    <n v="23858.018810322399"/>
  </r>
  <r>
    <x v="0"/>
    <x v="0"/>
    <x v="0"/>
    <x v="9"/>
    <x v="18"/>
    <s v="SE2_OTHER"/>
    <x v="2"/>
    <x v="196"/>
    <x v="0"/>
    <x v="17"/>
    <n v="18.156787526881601"/>
    <n v="6627.2274473117704"/>
    <n v="23858.018810322399"/>
  </r>
  <r>
    <x v="0"/>
    <x v="0"/>
    <x v="0"/>
    <x v="9"/>
    <x v="18"/>
    <s v="SE2_OTHER"/>
    <x v="2"/>
    <x v="196"/>
    <x v="0"/>
    <x v="18"/>
    <n v="18.156787526881601"/>
    <n v="6627.2274473117704"/>
    <n v="23858.018810322399"/>
  </r>
  <r>
    <x v="0"/>
    <x v="0"/>
    <x v="0"/>
    <x v="9"/>
    <x v="18"/>
    <s v="SE2_OTHER"/>
    <x v="2"/>
    <x v="196"/>
    <x v="0"/>
    <x v="19"/>
    <n v="18.156787526881601"/>
    <n v="6627.2274473117704"/>
    <n v="23858.018810322399"/>
  </r>
  <r>
    <x v="0"/>
    <x v="0"/>
    <x v="0"/>
    <x v="9"/>
    <x v="18"/>
    <s v="SE2_OTHER"/>
    <x v="2"/>
    <x v="196"/>
    <x v="0"/>
    <x v="20"/>
    <n v="18.156787526881601"/>
    <n v="6627.2274473117704"/>
    <n v="23858.018810322399"/>
  </r>
  <r>
    <x v="0"/>
    <x v="0"/>
    <x v="0"/>
    <x v="9"/>
    <x v="18"/>
    <s v="SE2_OTHER"/>
    <x v="2"/>
    <x v="196"/>
    <x v="0"/>
    <x v="21"/>
    <n v="18.156787526881601"/>
    <n v="6627.2274473117704"/>
    <n v="23858.018810322399"/>
  </r>
  <r>
    <x v="0"/>
    <x v="0"/>
    <x v="0"/>
    <x v="9"/>
    <x v="18"/>
    <s v="SE2_OTHER"/>
    <x v="2"/>
    <x v="196"/>
    <x v="0"/>
    <x v="22"/>
    <n v="18.156787526881601"/>
    <n v="6627.2274473117704"/>
    <n v="23858.018810322399"/>
  </r>
  <r>
    <x v="0"/>
    <x v="0"/>
    <x v="0"/>
    <x v="9"/>
    <x v="18"/>
    <s v="SE2_OTHER"/>
    <x v="2"/>
    <x v="196"/>
    <x v="0"/>
    <x v="23"/>
    <n v="18.156787526881601"/>
    <n v="6627.2274473117704"/>
    <n v="23858.018810322399"/>
  </r>
  <r>
    <x v="0"/>
    <x v="0"/>
    <x v="0"/>
    <x v="9"/>
    <x v="18"/>
    <s v="SE2_OTHER"/>
    <x v="5"/>
    <x v="120"/>
    <x v="0"/>
    <x v="0"/>
    <n v="8.5772506280862402"/>
    <n v="3130.69647925148"/>
    <n v="11270.5073253053"/>
  </r>
  <r>
    <x v="0"/>
    <x v="0"/>
    <x v="0"/>
    <x v="9"/>
    <x v="18"/>
    <s v="SE2_OTHER"/>
    <x v="5"/>
    <x v="120"/>
    <x v="0"/>
    <x v="1"/>
    <n v="7.1014492362885804"/>
    <n v="2592.02897124533"/>
    <n v="9331.3042964831893"/>
  </r>
  <r>
    <x v="0"/>
    <x v="0"/>
    <x v="0"/>
    <x v="9"/>
    <x v="18"/>
    <s v="SE2_OTHER"/>
    <x v="5"/>
    <x v="120"/>
    <x v="0"/>
    <x v="2"/>
    <n v="9.2424820635046707"/>
    <n v="3373.5059531791999"/>
    <n v="12144.621431445101"/>
  </r>
  <r>
    <x v="0"/>
    <x v="0"/>
    <x v="0"/>
    <x v="9"/>
    <x v="18"/>
    <s v="SE2_OTHER"/>
    <x v="5"/>
    <x v="120"/>
    <x v="0"/>
    <x v="3"/>
    <n v="14.1462768624859"/>
    <n v="5163.39105480735"/>
    <n v="18588.207797306401"/>
  </r>
  <r>
    <x v="0"/>
    <x v="0"/>
    <x v="0"/>
    <x v="9"/>
    <x v="18"/>
    <s v="SE2_OTHER"/>
    <x v="5"/>
    <x v="120"/>
    <x v="0"/>
    <x v="4"/>
    <n v="16.031295787545702"/>
    <n v="5851.4229624541904"/>
    <n v="21065.1226648351"/>
  </r>
  <r>
    <x v="0"/>
    <x v="0"/>
    <x v="0"/>
    <x v="9"/>
    <x v="18"/>
    <s v="SE2_OTHER"/>
    <x v="5"/>
    <x v="120"/>
    <x v="0"/>
    <x v="5"/>
    <n v="16.031295787545702"/>
    <n v="5851.4229624541904"/>
    <n v="21065.1226648351"/>
  </r>
  <r>
    <x v="0"/>
    <x v="0"/>
    <x v="0"/>
    <x v="9"/>
    <x v="18"/>
    <s v="SE2_OTHER"/>
    <x v="5"/>
    <x v="120"/>
    <x v="0"/>
    <x v="6"/>
    <n v="16.031295787545702"/>
    <n v="5851.4229624541904"/>
    <n v="21065.1226648351"/>
  </r>
  <r>
    <x v="0"/>
    <x v="0"/>
    <x v="0"/>
    <x v="9"/>
    <x v="18"/>
    <s v="SE2_OTHER"/>
    <x v="5"/>
    <x v="120"/>
    <x v="0"/>
    <x v="7"/>
    <n v="16.031295787545702"/>
    <n v="5851.4229624541904"/>
    <n v="21065.1226648351"/>
  </r>
  <r>
    <x v="0"/>
    <x v="0"/>
    <x v="0"/>
    <x v="9"/>
    <x v="18"/>
    <s v="SE2_OTHER"/>
    <x v="5"/>
    <x v="120"/>
    <x v="0"/>
    <x v="8"/>
    <n v="16.031295787545702"/>
    <n v="5851.4229624541904"/>
    <n v="21065.1226648351"/>
  </r>
  <r>
    <x v="0"/>
    <x v="0"/>
    <x v="0"/>
    <x v="9"/>
    <x v="18"/>
    <s v="SE2_OTHER"/>
    <x v="5"/>
    <x v="120"/>
    <x v="0"/>
    <x v="9"/>
    <n v="16.031295787545702"/>
    <n v="5851.4229624541904"/>
    <n v="21065.1226648351"/>
  </r>
  <r>
    <x v="0"/>
    <x v="0"/>
    <x v="0"/>
    <x v="9"/>
    <x v="18"/>
    <s v="SE2_OTHER"/>
    <x v="5"/>
    <x v="120"/>
    <x v="0"/>
    <x v="10"/>
    <n v="16.031295787545702"/>
    <n v="5851.4229624541904"/>
    <n v="21065.1226648351"/>
  </r>
  <r>
    <x v="0"/>
    <x v="0"/>
    <x v="0"/>
    <x v="9"/>
    <x v="18"/>
    <s v="SE2_OTHER"/>
    <x v="5"/>
    <x v="120"/>
    <x v="0"/>
    <x v="11"/>
    <n v="16.031295787545702"/>
    <n v="5851.4229624541904"/>
    <n v="21065.1226648351"/>
  </r>
  <r>
    <x v="0"/>
    <x v="0"/>
    <x v="0"/>
    <x v="9"/>
    <x v="18"/>
    <s v="SE2_OTHER"/>
    <x v="5"/>
    <x v="120"/>
    <x v="0"/>
    <x v="12"/>
    <n v="16.031295787545702"/>
    <n v="5851.4229624541904"/>
    <n v="21065.1226648351"/>
  </r>
  <r>
    <x v="0"/>
    <x v="0"/>
    <x v="0"/>
    <x v="9"/>
    <x v="18"/>
    <s v="SE2_OTHER"/>
    <x v="5"/>
    <x v="120"/>
    <x v="0"/>
    <x v="13"/>
    <n v="16.031295787545702"/>
    <n v="5851.4229624541904"/>
    <n v="21065.1226648351"/>
  </r>
  <r>
    <x v="0"/>
    <x v="0"/>
    <x v="0"/>
    <x v="9"/>
    <x v="18"/>
    <s v="SE2_OTHER"/>
    <x v="5"/>
    <x v="120"/>
    <x v="0"/>
    <x v="14"/>
    <n v="16.031295787545702"/>
    <n v="5851.4229624541904"/>
    <n v="21065.1226648351"/>
  </r>
  <r>
    <x v="0"/>
    <x v="0"/>
    <x v="0"/>
    <x v="9"/>
    <x v="18"/>
    <s v="SE2_OTHER"/>
    <x v="5"/>
    <x v="120"/>
    <x v="0"/>
    <x v="15"/>
    <n v="16.031295787545702"/>
    <n v="5851.4229624541904"/>
    <n v="21065.1226648351"/>
  </r>
  <r>
    <x v="0"/>
    <x v="0"/>
    <x v="0"/>
    <x v="9"/>
    <x v="18"/>
    <s v="SE2_OTHER"/>
    <x v="5"/>
    <x v="120"/>
    <x v="0"/>
    <x v="16"/>
    <n v="16.031295787545702"/>
    <n v="5851.4229624541904"/>
    <n v="21065.1226648351"/>
  </r>
  <r>
    <x v="0"/>
    <x v="0"/>
    <x v="0"/>
    <x v="9"/>
    <x v="18"/>
    <s v="SE2_OTHER"/>
    <x v="5"/>
    <x v="120"/>
    <x v="0"/>
    <x v="17"/>
    <n v="16.031295787545702"/>
    <n v="5851.4229624541904"/>
    <n v="21065.1226648351"/>
  </r>
  <r>
    <x v="0"/>
    <x v="0"/>
    <x v="0"/>
    <x v="9"/>
    <x v="18"/>
    <s v="SE2_OTHER"/>
    <x v="5"/>
    <x v="120"/>
    <x v="0"/>
    <x v="18"/>
    <n v="16.031295787545702"/>
    <n v="5851.4229624541904"/>
    <n v="21065.1226648351"/>
  </r>
  <r>
    <x v="0"/>
    <x v="0"/>
    <x v="0"/>
    <x v="9"/>
    <x v="18"/>
    <s v="SE2_OTHER"/>
    <x v="5"/>
    <x v="120"/>
    <x v="0"/>
    <x v="19"/>
    <n v="16.031295787545702"/>
    <n v="5851.4229624541904"/>
    <n v="21065.1226648351"/>
  </r>
  <r>
    <x v="0"/>
    <x v="0"/>
    <x v="0"/>
    <x v="9"/>
    <x v="18"/>
    <s v="SE2_OTHER"/>
    <x v="5"/>
    <x v="120"/>
    <x v="0"/>
    <x v="20"/>
    <n v="16.031295787545702"/>
    <n v="5851.4229624541904"/>
    <n v="21065.1226648351"/>
  </r>
  <r>
    <x v="0"/>
    <x v="0"/>
    <x v="0"/>
    <x v="9"/>
    <x v="18"/>
    <s v="SE2_OTHER"/>
    <x v="5"/>
    <x v="120"/>
    <x v="0"/>
    <x v="21"/>
    <n v="16.031295787545702"/>
    <n v="5851.4229624541904"/>
    <n v="21065.1226648351"/>
  </r>
  <r>
    <x v="0"/>
    <x v="0"/>
    <x v="0"/>
    <x v="9"/>
    <x v="18"/>
    <s v="SE2_OTHER"/>
    <x v="5"/>
    <x v="120"/>
    <x v="0"/>
    <x v="22"/>
    <n v="16.031295787545702"/>
    <n v="5851.4229624541904"/>
    <n v="21065.1226648351"/>
  </r>
  <r>
    <x v="0"/>
    <x v="0"/>
    <x v="0"/>
    <x v="9"/>
    <x v="18"/>
    <s v="SE2_OTHER"/>
    <x v="5"/>
    <x v="120"/>
    <x v="0"/>
    <x v="23"/>
    <n v="16.031295787545702"/>
    <n v="5851.4229624541904"/>
    <n v="21065.1226648351"/>
  </r>
  <r>
    <x v="0"/>
    <x v="0"/>
    <x v="0"/>
    <x v="9"/>
    <x v="18"/>
    <s v="SE2_OTHER"/>
    <x v="6"/>
    <x v="197"/>
    <x v="0"/>
    <x v="0"/>
    <n v="32.371089127656496"/>
    <n v="11815.4475315946"/>
    <n v="42535.611113740699"/>
  </r>
  <r>
    <x v="0"/>
    <x v="0"/>
    <x v="0"/>
    <x v="9"/>
    <x v="18"/>
    <s v="SE2_OTHER"/>
    <x v="6"/>
    <x v="197"/>
    <x v="0"/>
    <x v="1"/>
    <n v="32.371089127656496"/>
    <n v="11815.4475315946"/>
    <n v="42535.611113740699"/>
  </r>
  <r>
    <x v="0"/>
    <x v="0"/>
    <x v="0"/>
    <x v="9"/>
    <x v="18"/>
    <s v="SE2_OTHER"/>
    <x v="6"/>
    <x v="197"/>
    <x v="0"/>
    <x v="2"/>
    <n v="32.371089127656496"/>
    <n v="11815.4475315946"/>
    <n v="42535.611113740699"/>
  </r>
  <r>
    <x v="0"/>
    <x v="0"/>
    <x v="0"/>
    <x v="9"/>
    <x v="18"/>
    <s v="SE2_OTHER"/>
    <x v="6"/>
    <x v="197"/>
    <x v="0"/>
    <x v="3"/>
    <n v="32.371089127656496"/>
    <n v="11815.4475315946"/>
    <n v="42535.611113740699"/>
  </r>
  <r>
    <x v="0"/>
    <x v="0"/>
    <x v="0"/>
    <x v="9"/>
    <x v="18"/>
    <s v="SE2_OTHER"/>
    <x v="6"/>
    <x v="197"/>
    <x v="0"/>
    <x v="4"/>
    <n v="32.371089127656496"/>
    <n v="11815.4475315946"/>
    <n v="42535.611113740699"/>
  </r>
  <r>
    <x v="0"/>
    <x v="0"/>
    <x v="0"/>
    <x v="9"/>
    <x v="18"/>
    <s v="SE2_OTHER"/>
    <x v="6"/>
    <x v="197"/>
    <x v="0"/>
    <x v="5"/>
    <n v="32.371089127656496"/>
    <n v="11815.4475315946"/>
    <n v="42535.611113740699"/>
  </r>
  <r>
    <x v="0"/>
    <x v="0"/>
    <x v="0"/>
    <x v="9"/>
    <x v="18"/>
    <s v="SE2_OTHER"/>
    <x v="6"/>
    <x v="197"/>
    <x v="0"/>
    <x v="6"/>
    <n v="32.371089127656496"/>
    <n v="11815.4475315946"/>
    <n v="42535.611113740699"/>
  </r>
  <r>
    <x v="0"/>
    <x v="0"/>
    <x v="0"/>
    <x v="9"/>
    <x v="18"/>
    <s v="SE2_OTHER"/>
    <x v="6"/>
    <x v="197"/>
    <x v="0"/>
    <x v="7"/>
    <n v="32.371089127656496"/>
    <n v="11815.4475315946"/>
    <n v="42535.611113740699"/>
  </r>
  <r>
    <x v="0"/>
    <x v="0"/>
    <x v="0"/>
    <x v="9"/>
    <x v="18"/>
    <s v="SE2_OTHER"/>
    <x v="6"/>
    <x v="197"/>
    <x v="0"/>
    <x v="8"/>
    <n v="32.371089127656496"/>
    <n v="11815.4475315946"/>
    <n v="42535.611113740699"/>
  </r>
  <r>
    <x v="0"/>
    <x v="0"/>
    <x v="0"/>
    <x v="9"/>
    <x v="18"/>
    <s v="SE2_OTHER"/>
    <x v="6"/>
    <x v="197"/>
    <x v="0"/>
    <x v="9"/>
    <n v="32.371089127656496"/>
    <n v="11815.4475315946"/>
    <n v="42535.611113740699"/>
  </r>
  <r>
    <x v="0"/>
    <x v="0"/>
    <x v="0"/>
    <x v="9"/>
    <x v="18"/>
    <s v="SE2_OTHER"/>
    <x v="6"/>
    <x v="197"/>
    <x v="0"/>
    <x v="10"/>
    <n v="32.371089127656496"/>
    <n v="11815.4475315946"/>
    <n v="42535.611113740699"/>
  </r>
  <r>
    <x v="0"/>
    <x v="0"/>
    <x v="0"/>
    <x v="9"/>
    <x v="18"/>
    <s v="SE2_OTHER"/>
    <x v="6"/>
    <x v="197"/>
    <x v="0"/>
    <x v="11"/>
    <n v="32.371089127656496"/>
    <n v="11815.4475315946"/>
    <n v="42535.611113740699"/>
  </r>
  <r>
    <x v="0"/>
    <x v="0"/>
    <x v="0"/>
    <x v="9"/>
    <x v="18"/>
    <s v="SE2_OTHER"/>
    <x v="6"/>
    <x v="197"/>
    <x v="0"/>
    <x v="12"/>
    <n v="32.371089127656496"/>
    <n v="11815.4475315946"/>
    <n v="42535.611113740699"/>
  </r>
  <r>
    <x v="0"/>
    <x v="0"/>
    <x v="0"/>
    <x v="9"/>
    <x v="18"/>
    <s v="SE2_OTHER"/>
    <x v="6"/>
    <x v="197"/>
    <x v="0"/>
    <x v="13"/>
    <n v="32.371089127656496"/>
    <n v="11815.4475315946"/>
    <n v="42535.611113740699"/>
  </r>
  <r>
    <x v="0"/>
    <x v="0"/>
    <x v="0"/>
    <x v="9"/>
    <x v="18"/>
    <s v="SE2_OTHER"/>
    <x v="6"/>
    <x v="197"/>
    <x v="0"/>
    <x v="14"/>
    <n v="32.371089127656496"/>
    <n v="11815.4475315946"/>
    <n v="42535.611113740699"/>
  </r>
  <r>
    <x v="0"/>
    <x v="0"/>
    <x v="0"/>
    <x v="9"/>
    <x v="18"/>
    <s v="SE2_OTHER"/>
    <x v="6"/>
    <x v="197"/>
    <x v="0"/>
    <x v="15"/>
    <n v="32.371089127656496"/>
    <n v="11815.4475315946"/>
    <n v="42535.611113740699"/>
  </r>
  <r>
    <x v="0"/>
    <x v="0"/>
    <x v="0"/>
    <x v="9"/>
    <x v="18"/>
    <s v="SE2_OTHER"/>
    <x v="6"/>
    <x v="197"/>
    <x v="0"/>
    <x v="16"/>
    <n v="32.371089127656496"/>
    <n v="11815.4475315946"/>
    <n v="42535.611113740699"/>
  </r>
  <r>
    <x v="0"/>
    <x v="0"/>
    <x v="0"/>
    <x v="9"/>
    <x v="18"/>
    <s v="SE2_OTHER"/>
    <x v="6"/>
    <x v="197"/>
    <x v="0"/>
    <x v="17"/>
    <n v="32.371089127656496"/>
    <n v="11815.4475315946"/>
    <n v="42535.611113740699"/>
  </r>
  <r>
    <x v="0"/>
    <x v="0"/>
    <x v="0"/>
    <x v="9"/>
    <x v="18"/>
    <s v="SE2_OTHER"/>
    <x v="6"/>
    <x v="197"/>
    <x v="0"/>
    <x v="18"/>
    <n v="32.371089127656496"/>
    <n v="11815.4475315946"/>
    <n v="42535.611113740699"/>
  </r>
  <r>
    <x v="0"/>
    <x v="0"/>
    <x v="0"/>
    <x v="9"/>
    <x v="18"/>
    <s v="SE2_OTHER"/>
    <x v="6"/>
    <x v="197"/>
    <x v="0"/>
    <x v="19"/>
    <n v="32.371089127656496"/>
    <n v="11815.4475315946"/>
    <n v="42535.611113740699"/>
  </r>
  <r>
    <x v="0"/>
    <x v="0"/>
    <x v="0"/>
    <x v="9"/>
    <x v="18"/>
    <s v="SE2_OTHER"/>
    <x v="6"/>
    <x v="197"/>
    <x v="0"/>
    <x v="20"/>
    <n v="32.371089127656496"/>
    <n v="11815.4475315946"/>
    <n v="42535.611113740699"/>
  </r>
  <r>
    <x v="0"/>
    <x v="0"/>
    <x v="0"/>
    <x v="9"/>
    <x v="18"/>
    <s v="SE2_OTHER"/>
    <x v="6"/>
    <x v="197"/>
    <x v="0"/>
    <x v="21"/>
    <n v="32.371089127656496"/>
    <n v="11815.4475315946"/>
    <n v="42535.611113740699"/>
  </r>
  <r>
    <x v="0"/>
    <x v="0"/>
    <x v="0"/>
    <x v="9"/>
    <x v="18"/>
    <s v="SE2_OTHER"/>
    <x v="6"/>
    <x v="197"/>
    <x v="0"/>
    <x v="22"/>
    <n v="32.371089127656496"/>
    <n v="11815.4475315946"/>
    <n v="42535.611113740699"/>
  </r>
  <r>
    <x v="0"/>
    <x v="0"/>
    <x v="0"/>
    <x v="9"/>
    <x v="18"/>
    <s v="SE2_OTHER"/>
    <x v="6"/>
    <x v="197"/>
    <x v="0"/>
    <x v="23"/>
    <n v="32.371089127656496"/>
    <n v="11815.4475315946"/>
    <n v="42535.611113740699"/>
  </r>
  <r>
    <x v="0"/>
    <x v="0"/>
    <x v="0"/>
    <x v="9"/>
    <x v="18"/>
    <s v="SE2_OTHER"/>
    <x v="11"/>
    <x v="199"/>
    <x v="0"/>
    <x v="0"/>
    <n v="187.07263396517001"/>
    <n v="68281.511397287002"/>
    <n v="245813.44103023299"/>
  </r>
  <r>
    <x v="0"/>
    <x v="0"/>
    <x v="0"/>
    <x v="9"/>
    <x v="18"/>
    <s v="SE2_OTHER"/>
    <x v="11"/>
    <x v="199"/>
    <x v="0"/>
    <x v="1"/>
    <n v="187.07263396517001"/>
    <n v="68281.511397287002"/>
    <n v="245813.44103023299"/>
  </r>
  <r>
    <x v="0"/>
    <x v="0"/>
    <x v="0"/>
    <x v="9"/>
    <x v="18"/>
    <s v="SE2_OTHER"/>
    <x v="11"/>
    <x v="199"/>
    <x v="0"/>
    <x v="2"/>
    <n v="187.07263396517001"/>
    <n v="68281.511397287002"/>
    <n v="245813.44103023299"/>
  </r>
  <r>
    <x v="0"/>
    <x v="0"/>
    <x v="0"/>
    <x v="9"/>
    <x v="18"/>
    <s v="SE2_OTHER"/>
    <x v="11"/>
    <x v="199"/>
    <x v="0"/>
    <x v="3"/>
    <n v="187.07263396517001"/>
    <n v="68281.511397287002"/>
    <n v="245813.44103023299"/>
  </r>
  <r>
    <x v="0"/>
    <x v="0"/>
    <x v="0"/>
    <x v="9"/>
    <x v="18"/>
    <s v="SE2_OTHER"/>
    <x v="11"/>
    <x v="199"/>
    <x v="0"/>
    <x v="4"/>
    <n v="187.07263396517001"/>
    <n v="68281.511397287002"/>
    <n v="245813.44103023299"/>
  </r>
  <r>
    <x v="0"/>
    <x v="0"/>
    <x v="0"/>
    <x v="9"/>
    <x v="18"/>
    <s v="SE2_OTHER"/>
    <x v="11"/>
    <x v="199"/>
    <x v="0"/>
    <x v="5"/>
    <n v="187.07263396517001"/>
    <n v="68281.511397287002"/>
    <n v="245813.44103023299"/>
  </r>
  <r>
    <x v="0"/>
    <x v="0"/>
    <x v="0"/>
    <x v="9"/>
    <x v="18"/>
    <s v="SE2_OTHER"/>
    <x v="11"/>
    <x v="199"/>
    <x v="0"/>
    <x v="6"/>
    <n v="187.07263396517001"/>
    <n v="68281.511397287002"/>
    <n v="245813.44103023299"/>
  </r>
  <r>
    <x v="0"/>
    <x v="0"/>
    <x v="0"/>
    <x v="9"/>
    <x v="18"/>
    <s v="SE2_OTHER"/>
    <x v="11"/>
    <x v="199"/>
    <x v="0"/>
    <x v="7"/>
    <n v="187.07263396517001"/>
    <n v="68281.511397287002"/>
    <n v="245813.44103023299"/>
  </r>
  <r>
    <x v="0"/>
    <x v="0"/>
    <x v="0"/>
    <x v="9"/>
    <x v="18"/>
    <s v="SE2_OTHER"/>
    <x v="11"/>
    <x v="199"/>
    <x v="0"/>
    <x v="8"/>
    <n v="187.07263396517001"/>
    <n v="68281.511397287002"/>
    <n v="245813.44103023299"/>
  </r>
  <r>
    <x v="0"/>
    <x v="0"/>
    <x v="0"/>
    <x v="9"/>
    <x v="18"/>
    <s v="SE2_OTHER"/>
    <x v="11"/>
    <x v="199"/>
    <x v="0"/>
    <x v="9"/>
    <n v="187.07263396517001"/>
    <n v="68281.511397287002"/>
    <n v="245813.44103023299"/>
  </r>
  <r>
    <x v="0"/>
    <x v="0"/>
    <x v="0"/>
    <x v="9"/>
    <x v="18"/>
    <s v="SE2_OTHER"/>
    <x v="11"/>
    <x v="199"/>
    <x v="0"/>
    <x v="10"/>
    <n v="187.07263396517001"/>
    <n v="68281.511397287002"/>
    <n v="245813.44103023299"/>
  </r>
  <r>
    <x v="0"/>
    <x v="0"/>
    <x v="0"/>
    <x v="9"/>
    <x v="18"/>
    <s v="SE2_OTHER"/>
    <x v="11"/>
    <x v="199"/>
    <x v="0"/>
    <x v="11"/>
    <n v="187.07263396517001"/>
    <n v="68281.511397287002"/>
    <n v="245813.44103023299"/>
  </r>
  <r>
    <x v="0"/>
    <x v="0"/>
    <x v="0"/>
    <x v="9"/>
    <x v="18"/>
    <s v="SE2_OTHER"/>
    <x v="11"/>
    <x v="199"/>
    <x v="0"/>
    <x v="12"/>
    <n v="187.07263396517001"/>
    <n v="68281.511397287002"/>
    <n v="245813.44103023299"/>
  </r>
  <r>
    <x v="0"/>
    <x v="0"/>
    <x v="0"/>
    <x v="9"/>
    <x v="18"/>
    <s v="SE2_OTHER"/>
    <x v="11"/>
    <x v="199"/>
    <x v="0"/>
    <x v="13"/>
    <n v="187.07263396517001"/>
    <n v="68281.511397287002"/>
    <n v="245813.44103023299"/>
  </r>
  <r>
    <x v="0"/>
    <x v="0"/>
    <x v="0"/>
    <x v="9"/>
    <x v="18"/>
    <s v="SE2_OTHER"/>
    <x v="11"/>
    <x v="199"/>
    <x v="0"/>
    <x v="14"/>
    <n v="187.07263396517001"/>
    <n v="68281.511397287002"/>
    <n v="245813.44103023299"/>
  </r>
  <r>
    <x v="0"/>
    <x v="0"/>
    <x v="0"/>
    <x v="9"/>
    <x v="18"/>
    <s v="SE2_OTHER"/>
    <x v="11"/>
    <x v="199"/>
    <x v="0"/>
    <x v="15"/>
    <n v="187.07263396517001"/>
    <n v="68281.511397287002"/>
    <n v="245813.44103023299"/>
  </r>
  <r>
    <x v="0"/>
    <x v="0"/>
    <x v="0"/>
    <x v="9"/>
    <x v="18"/>
    <s v="SE2_OTHER"/>
    <x v="11"/>
    <x v="199"/>
    <x v="0"/>
    <x v="16"/>
    <n v="187.07263396517001"/>
    <n v="68281.511397287002"/>
    <n v="245813.44103023299"/>
  </r>
  <r>
    <x v="0"/>
    <x v="0"/>
    <x v="0"/>
    <x v="9"/>
    <x v="18"/>
    <s v="SE2_OTHER"/>
    <x v="11"/>
    <x v="199"/>
    <x v="0"/>
    <x v="17"/>
    <n v="187.07263396517001"/>
    <n v="68281.511397287002"/>
    <n v="245813.44103023299"/>
  </r>
  <r>
    <x v="0"/>
    <x v="0"/>
    <x v="0"/>
    <x v="9"/>
    <x v="18"/>
    <s v="SE2_OTHER"/>
    <x v="11"/>
    <x v="199"/>
    <x v="0"/>
    <x v="18"/>
    <n v="187.07263396517001"/>
    <n v="68281.511397287002"/>
    <n v="245813.44103023299"/>
  </r>
  <r>
    <x v="0"/>
    <x v="0"/>
    <x v="0"/>
    <x v="9"/>
    <x v="18"/>
    <s v="SE2_OTHER"/>
    <x v="11"/>
    <x v="199"/>
    <x v="0"/>
    <x v="19"/>
    <n v="187.07263396517001"/>
    <n v="68281.511397287002"/>
    <n v="245813.44103023299"/>
  </r>
  <r>
    <x v="0"/>
    <x v="0"/>
    <x v="0"/>
    <x v="9"/>
    <x v="18"/>
    <s v="SE2_OTHER"/>
    <x v="11"/>
    <x v="199"/>
    <x v="0"/>
    <x v="20"/>
    <n v="187.07263396517001"/>
    <n v="68281.511397287002"/>
    <n v="245813.44103023299"/>
  </r>
  <r>
    <x v="0"/>
    <x v="0"/>
    <x v="0"/>
    <x v="9"/>
    <x v="18"/>
    <s v="SE2_OTHER"/>
    <x v="11"/>
    <x v="199"/>
    <x v="0"/>
    <x v="21"/>
    <n v="187.07263396517001"/>
    <n v="68281.511397287002"/>
    <n v="245813.44103023299"/>
  </r>
  <r>
    <x v="0"/>
    <x v="0"/>
    <x v="0"/>
    <x v="9"/>
    <x v="18"/>
    <s v="SE2_OTHER"/>
    <x v="11"/>
    <x v="199"/>
    <x v="0"/>
    <x v="22"/>
    <n v="187.07263396517001"/>
    <n v="68281.511397287002"/>
    <n v="245813.44103023299"/>
  </r>
  <r>
    <x v="0"/>
    <x v="0"/>
    <x v="0"/>
    <x v="9"/>
    <x v="18"/>
    <s v="SE2_OTHER"/>
    <x v="11"/>
    <x v="199"/>
    <x v="0"/>
    <x v="23"/>
    <n v="187.07263396517001"/>
    <n v="68281.511397287002"/>
    <n v="245813.44103023299"/>
  </r>
  <r>
    <x v="0"/>
    <x v="0"/>
    <x v="0"/>
    <x v="9"/>
    <x v="18"/>
    <s v="SE2_OTHER"/>
    <x v="11"/>
    <x v="122"/>
    <x v="0"/>
    <x v="4"/>
    <n v="5.0768937460269203"/>
    <n v="1853.06621729983"/>
    <n v="6671.0383822793801"/>
  </r>
  <r>
    <x v="0"/>
    <x v="0"/>
    <x v="0"/>
    <x v="9"/>
    <x v="18"/>
    <s v="SE2_OTHER"/>
    <x v="11"/>
    <x v="122"/>
    <x v="0"/>
    <x v="5"/>
    <n v="18.7036533519762"/>
    <n v="6826.8334734713198"/>
    <n v="24576.600504496801"/>
  </r>
  <r>
    <x v="0"/>
    <x v="0"/>
    <x v="0"/>
    <x v="9"/>
    <x v="18"/>
    <s v="SE2_OTHER"/>
    <x v="11"/>
    <x v="122"/>
    <x v="0"/>
    <x v="6"/>
    <n v="54.579319530589999"/>
    <n v="19921.4516286654"/>
    <n v="71717.225863195301"/>
  </r>
  <r>
    <x v="0"/>
    <x v="0"/>
    <x v="0"/>
    <x v="9"/>
    <x v="18"/>
    <s v="SE2_OTHER"/>
    <x v="11"/>
    <x v="122"/>
    <x v="0"/>
    <x v="7"/>
    <n v="73.170183319974896"/>
    <n v="26707.116911790799"/>
    <n v="96145.620882446994"/>
  </r>
  <r>
    <x v="0"/>
    <x v="0"/>
    <x v="0"/>
    <x v="9"/>
    <x v="18"/>
    <s v="SE2_OTHER"/>
    <x v="11"/>
    <x v="122"/>
    <x v="0"/>
    <x v="8"/>
    <n v="74.370235643738994"/>
    <n v="27145.136009964699"/>
    <n v="97722.489635873106"/>
  </r>
  <r>
    <x v="0"/>
    <x v="0"/>
    <x v="0"/>
    <x v="9"/>
    <x v="18"/>
    <s v="SE2_OTHER"/>
    <x v="11"/>
    <x v="122"/>
    <x v="0"/>
    <x v="9"/>
    <n v="78.038061975232097"/>
    <n v="28483.892620959701"/>
    <n v="102542.013435455"/>
  </r>
  <r>
    <x v="0"/>
    <x v="0"/>
    <x v="0"/>
    <x v="9"/>
    <x v="18"/>
    <s v="SE2_OTHER"/>
    <x v="11"/>
    <x v="122"/>
    <x v="0"/>
    <x v="10"/>
    <n v="74.063843846430103"/>
    <n v="27033.303003947"/>
    <n v="97319.890814209197"/>
  </r>
  <r>
    <x v="0"/>
    <x v="0"/>
    <x v="0"/>
    <x v="9"/>
    <x v="18"/>
    <s v="SE2_OTHER"/>
    <x v="11"/>
    <x v="122"/>
    <x v="0"/>
    <x v="11"/>
    <n v="73.494440111998003"/>
    <n v="26825.470640879299"/>
    <n v="96571.694307165293"/>
  </r>
  <r>
    <x v="0"/>
    <x v="0"/>
    <x v="0"/>
    <x v="9"/>
    <x v="18"/>
    <s v="SE2_OTHER"/>
    <x v="11"/>
    <x v="122"/>
    <x v="0"/>
    <x v="12"/>
    <n v="72.533940246623899"/>
    <n v="26474.8881900177"/>
    <n v="95309.597484063896"/>
  </r>
  <r>
    <x v="0"/>
    <x v="0"/>
    <x v="0"/>
    <x v="9"/>
    <x v="18"/>
    <s v="SE2_OTHER"/>
    <x v="11"/>
    <x v="122"/>
    <x v="0"/>
    <x v="13"/>
    <n v="71.605699073288307"/>
    <n v="26136.0801617502"/>
    <n v="94089.888582300802"/>
  </r>
  <r>
    <x v="0"/>
    <x v="0"/>
    <x v="0"/>
    <x v="9"/>
    <x v="18"/>
    <s v="SE2_OTHER"/>
    <x v="11"/>
    <x v="122"/>
    <x v="0"/>
    <x v="14"/>
    <n v="68.843561841512098"/>
    <n v="25127.900072151901"/>
    <n v="90460.440259746902"/>
  </r>
  <r>
    <x v="0"/>
    <x v="0"/>
    <x v="0"/>
    <x v="9"/>
    <x v="18"/>
    <s v="SE2_OTHER"/>
    <x v="11"/>
    <x v="122"/>
    <x v="0"/>
    <x v="15"/>
    <n v="68.380107007644099"/>
    <n v="24958.739057790099"/>
    <n v="89851.460608044305"/>
  </r>
  <r>
    <x v="0"/>
    <x v="0"/>
    <x v="0"/>
    <x v="9"/>
    <x v="18"/>
    <s v="SE2_OTHER"/>
    <x v="11"/>
    <x v="122"/>
    <x v="0"/>
    <x v="16"/>
    <n v="56.062533708557503"/>
    <n v="20462.824803623502"/>
    <n v="73666.169293044601"/>
  </r>
  <r>
    <x v="0"/>
    <x v="0"/>
    <x v="0"/>
    <x v="9"/>
    <x v="18"/>
    <s v="SE2_OTHER"/>
    <x v="11"/>
    <x v="122"/>
    <x v="0"/>
    <x v="17"/>
    <n v="46.625054343051502"/>
    <n v="17018.1448352138"/>
    <n v="61265.321406769603"/>
  </r>
  <r>
    <x v="0"/>
    <x v="0"/>
    <x v="0"/>
    <x v="9"/>
    <x v="18"/>
    <s v="SE2_OTHER"/>
    <x v="11"/>
    <x v="122"/>
    <x v="0"/>
    <x v="18"/>
    <n v="38.425983381306402"/>
    <n v="14025.4839341768"/>
    <n v="50491.742163036601"/>
  </r>
  <r>
    <x v="0"/>
    <x v="0"/>
    <x v="0"/>
    <x v="9"/>
    <x v="18"/>
    <s v="SE2_OTHER"/>
    <x v="11"/>
    <x v="122"/>
    <x v="0"/>
    <x v="19"/>
    <n v="30.826350540029399"/>
    <n v="11251.617947110701"/>
    <n v="40505.824609598603"/>
  </r>
  <r>
    <x v="0"/>
    <x v="0"/>
    <x v="0"/>
    <x v="9"/>
    <x v="18"/>
    <s v="SE2_OTHER"/>
    <x v="11"/>
    <x v="122"/>
    <x v="0"/>
    <x v="20"/>
    <n v="22.666743753636698"/>
    <n v="8273.3614700773905"/>
    <n v="29784.101292278599"/>
  </r>
  <r>
    <x v="0"/>
    <x v="0"/>
    <x v="0"/>
    <x v="9"/>
    <x v="18"/>
    <s v="SE2_OTHER"/>
    <x v="11"/>
    <x v="122"/>
    <x v="0"/>
    <x v="21"/>
    <n v="16.865806876992298"/>
    <n v="6156.0195101022"/>
    <n v="22161.6702363679"/>
  </r>
  <r>
    <x v="0"/>
    <x v="0"/>
    <x v="0"/>
    <x v="9"/>
    <x v="18"/>
    <s v="SE2_OTHER"/>
    <x v="11"/>
    <x v="122"/>
    <x v="0"/>
    <x v="22"/>
    <n v="7.4744172726532501"/>
    <n v="2728.1623045184401"/>
    <n v="9821.3842962663693"/>
  </r>
  <r>
    <x v="0"/>
    <x v="0"/>
    <x v="0"/>
    <x v="9"/>
    <x v="18"/>
    <s v="SE2_OTHER"/>
    <x v="11"/>
    <x v="122"/>
    <x v="0"/>
    <x v="23"/>
    <n v="0.117606482701099"/>
    <n v="42.926366185901301"/>
    <n v="154.534918269245"/>
  </r>
  <r>
    <x v="0"/>
    <x v="0"/>
    <x v="0"/>
    <x v="9"/>
    <x v="19"/>
    <s v="SE3A"/>
    <x v="16"/>
    <x v="127"/>
    <x v="0"/>
    <x v="0"/>
    <n v="20784.242750329999"/>
    <n v="7586248.6038704496"/>
    <n v="27310494.9739336"/>
  </r>
  <r>
    <x v="0"/>
    <x v="0"/>
    <x v="0"/>
    <x v="9"/>
    <x v="19"/>
    <s v="SE3A"/>
    <x v="16"/>
    <x v="127"/>
    <x v="0"/>
    <x v="1"/>
    <n v="20784.242750329999"/>
    <n v="7586248.6038704496"/>
    <n v="27310494.9739336"/>
  </r>
  <r>
    <x v="0"/>
    <x v="0"/>
    <x v="0"/>
    <x v="9"/>
    <x v="19"/>
    <s v="SE3A"/>
    <x v="16"/>
    <x v="127"/>
    <x v="0"/>
    <x v="2"/>
    <n v="20784.242750329999"/>
    <n v="7586248.6038704496"/>
    <n v="27310494.9739336"/>
  </r>
  <r>
    <x v="0"/>
    <x v="0"/>
    <x v="0"/>
    <x v="9"/>
    <x v="19"/>
    <s v="SE3A"/>
    <x v="16"/>
    <x v="127"/>
    <x v="0"/>
    <x v="3"/>
    <n v="20784.242750329999"/>
    <n v="7586248.6038704496"/>
    <n v="27310494.9739336"/>
  </r>
  <r>
    <x v="0"/>
    <x v="0"/>
    <x v="0"/>
    <x v="9"/>
    <x v="19"/>
    <s v="SE3A"/>
    <x v="16"/>
    <x v="127"/>
    <x v="0"/>
    <x v="4"/>
    <n v="20784.242750329999"/>
    <n v="7586248.6038704496"/>
    <n v="27310494.9739336"/>
  </r>
  <r>
    <x v="0"/>
    <x v="0"/>
    <x v="0"/>
    <x v="9"/>
    <x v="19"/>
    <s v="SE3A"/>
    <x v="16"/>
    <x v="127"/>
    <x v="0"/>
    <x v="5"/>
    <n v="20784.242750329999"/>
    <n v="7586248.6038704496"/>
    <n v="27310494.9739336"/>
  </r>
  <r>
    <x v="0"/>
    <x v="0"/>
    <x v="0"/>
    <x v="9"/>
    <x v="19"/>
    <s v="SE3A"/>
    <x v="16"/>
    <x v="127"/>
    <x v="0"/>
    <x v="6"/>
    <n v="20784.242750329999"/>
    <n v="7586248.6038704496"/>
    <n v="27310494.9739336"/>
  </r>
  <r>
    <x v="0"/>
    <x v="0"/>
    <x v="0"/>
    <x v="9"/>
    <x v="19"/>
    <s v="SE3A"/>
    <x v="16"/>
    <x v="127"/>
    <x v="0"/>
    <x v="7"/>
    <n v="20784.242750329999"/>
    <n v="7586248.6038704496"/>
    <n v="27310494.9739336"/>
  </r>
  <r>
    <x v="0"/>
    <x v="0"/>
    <x v="0"/>
    <x v="9"/>
    <x v="19"/>
    <s v="SE3A"/>
    <x v="16"/>
    <x v="127"/>
    <x v="0"/>
    <x v="8"/>
    <n v="20784.242750329999"/>
    <n v="7586248.6038704496"/>
    <n v="27310494.9739336"/>
  </r>
  <r>
    <x v="0"/>
    <x v="0"/>
    <x v="0"/>
    <x v="9"/>
    <x v="19"/>
    <s v="SE3A"/>
    <x v="16"/>
    <x v="127"/>
    <x v="0"/>
    <x v="9"/>
    <n v="20784.242750329999"/>
    <n v="7586248.6038704496"/>
    <n v="27310494.9739336"/>
  </r>
  <r>
    <x v="0"/>
    <x v="0"/>
    <x v="0"/>
    <x v="9"/>
    <x v="19"/>
    <s v="SE3A"/>
    <x v="16"/>
    <x v="127"/>
    <x v="0"/>
    <x v="10"/>
    <n v="20784.242750329999"/>
    <n v="7586248.6038704496"/>
    <n v="27310494.9739336"/>
  </r>
  <r>
    <x v="0"/>
    <x v="0"/>
    <x v="0"/>
    <x v="9"/>
    <x v="19"/>
    <s v="SE3A"/>
    <x v="16"/>
    <x v="127"/>
    <x v="0"/>
    <x v="11"/>
    <n v="20784.242750329999"/>
    <n v="7586248.6038704496"/>
    <n v="27310494.9739336"/>
  </r>
  <r>
    <x v="0"/>
    <x v="0"/>
    <x v="0"/>
    <x v="9"/>
    <x v="19"/>
    <s v="SE3A"/>
    <x v="16"/>
    <x v="127"/>
    <x v="0"/>
    <x v="12"/>
    <n v="20784.242750329999"/>
    <n v="7586248.6038704496"/>
    <n v="27310494.9739336"/>
  </r>
  <r>
    <x v="0"/>
    <x v="0"/>
    <x v="0"/>
    <x v="9"/>
    <x v="19"/>
    <s v="SE3A"/>
    <x v="16"/>
    <x v="127"/>
    <x v="0"/>
    <x v="13"/>
    <n v="20784.242750329999"/>
    <n v="7586248.6038704496"/>
    <n v="27310494.9739336"/>
  </r>
  <r>
    <x v="0"/>
    <x v="0"/>
    <x v="0"/>
    <x v="9"/>
    <x v="19"/>
    <s v="SE3A"/>
    <x v="16"/>
    <x v="127"/>
    <x v="0"/>
    <x v="14"/>
    <n v="20784.242750329999"/>
    <n v="7586248.6038704496"/>
    <n v="27310494.9739336"/>
  </r>
  <r>
    <x v="0"/>
    <x v="0"/>
    <x v="0"/>
    <x v="9"/>
    <x v="19"/>
    <s v="SE3A"/>
    <x v="16"/>
    <x v="127"/>
    <x v="0"/>
    <x v="15"/>
    <n v="20784.242750329999"/>
    <n v="7586248.6038704496"/>
    <n v="27310494.9739336"/>
  </r>
  <r>
    <x v="0"/>
    <x v="0"/>
    <x v="0"/>
    <x v="9"/>
    <x v="19"/>
    <s v="SE3A"/>
    <x v="16"/>
    <x v="127"/>
    <x v="0"/>
    <x v="16"/>
    <n v="20784.242750329999"/>
    <n v="7586248.6038704496"/>
    <n v="27310494.9739336"/>
  </r>
  <r>
    <x v="0"/>
    <x v="0"/>
    <x v="0"/>
    <x v="9"/>
    <x v="19"/>
    <s v="SE3A"/>
    <x v="16"/>
    <x v="127"/>
    <x v="0"/>
    <x v="17"/>
    <n v="20784.242750329999"/>
    <n v="7586248.6038704496"/>
    <n v="27310494.9739336"/>
  </r>
  <r>
    <x v="0"/>
    <x v="0"/>
    <x v="0"/>
    <x v="9"/>
    <x v="19"/>
    <s v="SE3A"/>
    <x v="16"/>
    <x v="127"/>
    <x v="0"/>
    <x v="18"/>
    <n v="20784.242750329999"/>
    <n v="7586248.6038704496"/>
    <n v="27310494.9739336"/>
  </r>
  <r>
    <x v="0"/>
    <x v="0"/>
    <x v="0"/>
    <x v="9"/>
    <x v="19"/>
    <s v="SE3A"/>
    <x v="16"/>
    <x v="127"/>
    <x v="0"/>
    <x v="19"/>
    <n v="20784.242750329999"/>
    <n v="7586248.6038704496"/>
    <n v="27310494.9739336"/>
  </r>
  <r>
    <x v="0"/>
    <x v="0"/>
    <x v="0"/>
    <x v="9"/>
    <x v="19"/>
    <s v="SE3A"/>
    <x v="16"/>
    <x v="127"/>
    <x v="0"/>
    <x v="20"/>
    <n v="20784.242750329999"/>
    <n v="7586248.6038704496"/>
    <n v="27310494.9739336"/>
  </r>
  <r>
    <x v="0"/>
    <x v="0"/>
    <x v="0"/>
    <x v="9"/>
    <x v="19"/>
    <s v="SE3A"/>
    <x v="16"/>
    <x v="127"/>
    <x v="0"/>
    <x v="21"/>
    <n v="20784.242750329999"/>
    <n v="7586248.6038704496"/>
    <n v="27310494.9739336"/>
  </r>
  <r>
    <x v="0"/>
    <x v="0"/>
    <x v="0"/>
    <x v="9"/>
    <x v="19"/>
    <s v="SE3A"/>
    <x v="16"/>
    <x v="127"/>
    <x v="0"/>
    <x v="22"/>
    <n v="20784.242750329999"/>
    <n v="7586248.6038704496"/>
    <n v="27310494.9739336"/>
  </r>
  <r>
    <x v="0"/>
    <x v="0"/>
    <x v="0"/>
    <x v="9"/>
    <x v="19"/>
    <s v="SE3A"/>
    <x v="16"/>
    <x v="127"/>
    <x v="0"/>
    <x v="23"/>
    <n v="20784.242750329999"/>
    <n v="7586248.6038704496"/>
    <n v="27310494.9739336"/>
  </r>
  <r>
    <x v="0"/>
    <x v="0"/>
    <x v="0"/>
    <x v="9"/>
    <x v="19"/>
    <s v="SE3A"/>
    <x v="9"/>
    <x v="128"/>
    <x v="0"/>
    <x v="0"/>
    <n v="131.6"/>
    <n v="48034"/>
    <n v="172922.4"/>
  </r>
  <r>
    <x v="0"/>
    <x v="0"/>
    <x v="0"/>
    <x v="9"/>
    <x v="19"/>
    <s v="SE3A"/>
    <x v="9"/>
    <x v="128"/>
    <x v="0"/>
    <x v="1"/>
    <n v="131.6"/>
    <n v="48034"/>
    <n v="172922.4"/>
  </r>
  <r>
    <x v="0"/>
    <x v="0"/>
    <x v="0"/>
    <x v="9"/>
    <x v="19"/>
    <s v="SE3A"/>
    <x v="9"/>
    <x v="128"/>
    <x v="0"/>
    <x v="2"/>
    <n v="131.6"/>
    <n v="48034"/>
    <n v="172922.4"/>
  </r>
  <r>
    <x v="0"/>
    <x v="0"/>
    <x v="0"/>
    <x v="9"/>
    <x v="19"/>
    <s v="SE3A"/>
    <x v="9"/>
    <x v="128"/>
    <x v="0"/>
    <x v="3"/>
    <n v="131.6"/>
    <n v="48034"/>
    <n v="172922.4"/>
  </r>
  <r>
    <x v="0"/>
    <x v="0"/>
    <x v="0"/>
    <x v="9"/>
    <x v="19"/>
    <s v="SE3A"/>
    <x v="9"/>
    <x v="128"/>
    <x v="0"/>
    <x v="4"/>
    <n v="131.6"/>
    <n v="48034"/>
    <n v="172922.4"/>
  </r>
  <r>
    <x v="0"/>
    <x v="0"/>
    <x v="0"/>
    <x v="9"/>
    <x v="19"/>
    <s v="SE3A"/>
    <x v="9"/>
    <x v="128"/>
    <x v="0"/>
    <x v="5"/>
    <n v="131.6"/>
    <n v="48034"/>
    <n v="172922.4"/>
  </r>
  <r>
    <x v="0"/>
    <x v="0"/>
    <x v="0"/>
    <x v="9"/>
    <x v="19"/>
    <s v="SE3A"/>
    <x v="9"/>
    <x v="128"/>
    <x v="0"/>
    <x v="6"/>
    <n v="131.6"/>
    <n v="48034"/>
    <n v="172922.4"/>
  </r>
  <r>
    <x v="0"/>
    <x v="0"/>
    <x v="0"/>
    <x v="9"/>
    <x v="19"/>
    <s v="SE3A"/>
    <x v="9"/>
    <x v="128"/>
    <x v="0"/>
    <x v="7"/>
    <n v="131.6"/>
    <n v="48034"/>
    <n v="172922.4"/>
  </r>
  <r>
    <x v="0"/>
    <x v="0"/>
    <x v="0"/>
    <x v="9"/>
    <x v="19"/>
    <s v="SE3A"/>
    <x v="9"/>
    <x v="128"/>
    <x v="0"/>
    <x v="8"/>
    <n v="131.6"/>
    <n v="48034"/>
    <n v="172922.4"/>
  </r>
  <r>
    <x v="0"/>
    <x v="0"/>
    <x v="0"/>
    <x v="9"/>
    <x v="19"/>
    <s v="SE3A"/>
    <x v="9"/>
    <x v="128"/>
    <x v="0"/>
    <x v="9"/>
    <n v="131.6"/>
    <n v="48034"/>
    <n v="172922.4"/>
  </r>
  <r>
    <x v="0"/>
    <x v="0"/>
    <x v="0"/>
    <x v="9"/>
    <x v="19"/>
    <s v="SE3A"/>
    <x v="9"/>
    <x v="128"/>
    <x v="0"/>
    <x v="10"/>
    <n v="131.6"/>
    <n v="48034"/>
    <n v="172922.4"/>
  </r>
  <r>
    <x v="0"/>
    <x v="0"/>
    <x v="0"/>
    <x v="9"/>
    <x v="19"/>
    <s v="SE3A"/>
    <x v="9"/>
    <x v="128"/>
    <x v="0"/>
    <x v="11"/>
    <n v="131.6"/>
    <n v="48034"/>
    <n v="172922.4"/>
  </r>
  <r>
    <x v="0"/>
    <x v="0"/>
    <x v="0"/>
    <x v="9"/>
    <x v="19"/>
    <s v="SE3A"/>
    <x v="9"/>
    <x v="128"/>
    <x v="0"/>
    <x v="12"/>
    <n v="131.6"/>
    <n v="48034"/>
    <n v="172922.4"/>
  </r>
  <r>
    <x v="0"/>
    <x v="0"/>
    <x v="0"/>
    <x v="9"/>
    <x v="19"/>
    <s v="SE3A"/>
    <x v="9"/>
    <x v="128"/>
    <x v="0"/>
    <x v="13"/>
    <n v="131.6"/>
    <n v="48034"/>
    <n v="172922.4"/>
  </r>
  <r>
    <x v="0"/>
    <x v="0"/>
    <x v="0"/>
    <x v="9"/>
    <x v="19"/>
    <s v="SE3A"/>
    <x v="9"/>
    <x v="128"/>
    <x v="0"/>
    <x v="14"/>
    <n v="131.6"/>
    <n v="48034"/>
    <n v="172922.4"/>
  </r>
  <r>
    <x v="0"/>
    <x v="0"/>
    <x v="0"/>
    <x v="9"/>
    <x v="19"/>
    <s v="SE3A"/>
    <x v="9"/>
    <x v="128"/>
    <x v="0"/>
    <x v="15"/>
    <n v="131.6"/>
    <n v="48034"/>
    <n v="172922.4"/>
  </r>
  <r>
    <x v="0"/>
    <x v="0"/>
    <x v="0"/>
    <x v="9"/>
    <x v="19"/>
    <s v="SE3A"/>
    <x v="9"/>
    <x v="128"/>
    <x v="0"/>
    <x v="16"/>
    <n v="131.6"/>
    <n v="48034"/>
    <n v="172922.4"/>
  </r>
  <r>
    <x v="0"/>
    <x v="0"/>
    <x v="0"/>
    <x v="9"/>
    <x v="19"/>
    <s v="SE3A"/>
    <x v="9"/>
    <x v="128"/>
    <x v="0"/>
    <x v="17"/>
    <n v="131.6"/>
    <n v="48034"/>
    <n v="172922.4"/>
  </r>
  <r>
    <x v="0"/>
    <x v="0"/>
    <x v="0"/>
    <x v="9"/>
    <x v="19"/>
    <s v="SE3A"/>
    <x v="9"/>
    <x v="128"/>
    <x v="0"/>
    <x v="18"/>
    <n v="131.6"/>
    <n v="48034"/>
    <n v="172922.4"/>
  </r>
  <r>
    <x v="0"/>
    <x v="0"/>
    <x v="0"/>
    <x v="9"/>
    <x v="19"/>
    <s v="SE3A"/>
    <x v="9"/>
    <x v="128"/>
    <x v="0"/>
    <x v="19"/>
    <n v="131.6"/>
    <n v="48034"/>
    <n v="172922.4"/>
  </r>
  <r>
    <x v="0"/>
    <x v="0"/>
    <x v="0"/>
    <x v="9"/>
    <x v="19"/>
    <s v="SE3A"/>
    <x v="9"/>
    <x v="128"/>
    <x v="0"/>
    <x v="20"/>
    <n v="131.6"/>
    <n v="48034"/>
    <n v="172922.4"/>
  </r>
  <r>
    <x v="0"/>
    <x v="0"/>
    <x v="0"/>
    <x v="9"/>
    <x v="19"/>
    <s v="SE3A"/>
    <x v="9"/>
    <x v="128"/>
    <x v="0"/>
    <x v="21"/>
    <n v="131.6"/>
    <n v="48034"/>
    <n v="172922.4"/>
  </r>
  <r>
    <x v="0"/>
    <x v="0"/>
    <x v="0"/>
    <x v="9"/>
    <x v="19"/>
    <s v="SE3A"/>
    <x v="9"/>
    <x v="128"/>
    <x v="0"/>
    <x v="22"/>
    <n v="131.6"/>
    <n v="48034"/>
    <n v="172922.4"/>
  </r>
  <r>
    <x v="0"/>
    <x v="0"/>
    <x v="0"/>
    <x v="9"/>
    <x v="19"/>
    <s v="SE3A"/>
    <x v="9"/>
    <x v="128"/>
    <x v="0"/>
    <x v="23"/>
    <n v="129.972681005309"/>
    <n v="47440.028566937697"/>
    <n v="170784.102840976"/>
  </r>
  <r>
    <x v="0"/>
    <x v="0"/>
    <x v="0"/>
    <x v="9"/>
    <x v="19"/>
    <s v="SE3A"/>
    <x v="9"/>
    <x v="129"/>
    <x v="0"/>
    <x v="0"/>
    <n v="131.6"/>
    <n v="48034"/>
    <n v="172922.4"/>
  </r>
  <r>
    <x v="0"/>
    <x v="0"/>
    <x v="0"/>
    <x v="9"/>
    <x v="19"/>
    <s v="SE3A"/>
    <x v="9"/>
    <x v="129"/>
    <x v="0"/>
    <x v="1"/>
    <n v="131.6"/>
    <n v="48034"/>
    <n v="172922.4"/>
  </r>
  <r>
    <x v="0"/>
    <x v="0"/>
    <x v="0"/>
    <x v="9"/>
    <x v="19"/>
    <s v="SE3A"/>
    <x v="9"/>
    <x v="129"/>
    <x v="0"/>
    <x v="2"/>
    <n v="131.6"/>
    <n v="48034"/>
    <n v="172922.4"/>
  </r>
  <r>
    <x v="0"/>
    <x v="0"/>
    <x v="0"/>
    <x v="9"/>
    <x v="19"/>
    <s v="SE3A"/>
    <x v="9"/>
    <x v="129"/>
    <x v="0"/>
    <x v="3"/>
    <n v="131.6"/>
    <n v="48034"/>
    <n v="172922.4"/>
  </r>
  <r>
    <x v="0"/>
    <x v="0"/>
    <x v="0"/>
    <x v="9"/>
    <x v="19"/>
    <s v="SE3A"/>
    <x v="9"/>
    <x v="129"/>
    <x v="0"/>
    <x v="4"/>
    <n v="131.6"/>
    <n v="48034"/>
    <n v="172922.4"/>
  </r>
  <r>
    <x v="0"/>
    <x v="0"/>
    <x v="0"/>
    <x v="9"/>
    <x v="19"/>
    <s v="SE3A"/>
    <x v="9"/>
    <x v="129"/>
    <x v="0"/>
    <x v="5"/>
    <n v="131.6"/>
    <n v="48034"/>
    <n v="172922.4"/>
  </r>
  <r>
    <x v="0"/>
    <x v="0"/>
    <x v="0"/>
    <x v="9"/>
    <x v="19"/>
    <s v="SE3A"/>
    <x v="9"/>
    <x v="129"/>
    <x v="0"/>
    <x v="6"/>
    <n v="131.6"/>
    <n v="48034"/>
    <n v="172922.4"/>
  </r>
  <r>
    <x v="0"/>
    <x v="0"/>
    <x v="0"/>
    <x v="9"/>
    <x v="19"/>
    <s v="SE3A"/>
    <x v="9"/>
    <x v="129"/>
    <x v="0"/>
    <x v="7"/>
    <n v="131.6"/>
    <n v="48034"/>
    <n v="172922.4"/>
  </r>
  <r>
    <x v="0"/>
    <x v="0"/>
    <x v="0"/>
    <x v="9"/>
    <x v="19"/>
    <s v="SE3A"/>
    <x v="9"/>
    <x v="129"/>
    <x v="0"/>
    <x v="8"/>
    <n v="131.6"/>
    <n v="48034"/>
    <n v="172922.4"/>
  </r>
  <r>
    <x v="0"/>
    <x v="0"/>
    <x v="0"/>
    <x v="9"/>
    <x v="19"/>
    <s v="SE3A"/>
    <x v="9"/>
    <x v="129"/>
    <x v="0"/>
    <x v="9"/>
    <n v="131.6"/>
    <n v="48034"/>
    <n v="172922.4"/>
  </r>
  <r>
    <x v="0"/>
    <x v="0"/>
    <x v="0"/>
    <x v="9"/>
    <x v="19"/>
    <s v="SE3A"/>
    <x v="9"/>
    <x v="129"/>
    <x v="0"/>
    <x v="10"/>
    <n v="131.6"/>
    <n v="48034"/>
    <n v="172922.4"/>
  </r>
  <r>
    <x v="0"/>
    <x v="0"/>
    <x v="0"/>
    <x v="9"/>
    <x v="19"/>
    <s v="SE3A"/>
    <x v="9"/>
    <x v="129"/>
    <x v="0"/>
    <x v="11"/>
    <n v="131.6"/>
    <n v="48034"/>
    <n v="172922.4"/>
  </r>
  <r>
    <x v="0"/>
    <x v="0"/>
    <x v="0"/>
    <x v="9"/>
    <x v="19"/>
    <s v="SE3A"/>
    <x v="9"/>
    <x v="129"/>
    <x v="0"/>
    <x v="12"/>
    <n v="131.6"/>
    <n v="48034"/>
    <n v="172922.4"/>
  </r>
  <r>
    <x v="0"/>
    <x v="0"/>
    <x v="0"/>
    <x v="9"/>
    <x v="19"/>
    <s v="SE3A"/>
    <x v="9"/>
    <x v="129"/>
    <x v="0"/>
    <x v="13"/>
    <n v="131.6"/>
    <n v="48034"/>
    <n v="172922.4"/>
  </r>
  <r>
    <x v="0"/>
    <x v="0"/>
    <x v="0"/>
    <x v="9"/>
    <x v="19"/>
    <s v="SE3A"/>
    <x v="9"/>
    <x v="129"/>
    <x v="0"/>
    <x v="14"/>
    <n v="131.6"/>
    <n v="48034"/>
    <n v="172922.4"/>
  </r>
  <r>
    <x v="0"/>
    <x v="0"/>
    <x v="0"/>
    <x v="9"/>
    <x v="19"/>
    <s v="SE3A"/>
    <x v="9"/>
    <x v="129"/>
    <x v="0"/>
    <x v="15"/>
    <n v="131.6"/>
    <n v="48034"/>
    <n v="172922.4"/>
  </r>
  <r>
    <x v="0"/>
    <x v="0"/>
    <x v="0"/>
    <x v="9"/>
    <x v="19"/>
    <s v="SE3A"/>
    <x v="9"/>
    <x v="129"/>
    <x v="0"/>
    <x v="16"/>
    <n v="131.6"/>
    <n v="48034"/>
    <n v="172922.4"/>
  </r>
  <r>
    <x v="0"/>
    <x v="0"/>
    <x v="0"/>
    <x v="9"/>
    <x v="19"/>
    <s v="SE3A"/>
    <x v="9"/>
    <x v="129"/>
    <x v="0"/>
    <x v="17"/>
    <n v="131.6"/>
    <n v="48034"/>
    <n v="172922.4"/>
  </r>
  <r>
    <x v="0"/>
    <x v="0"/>
    <x v="0"/>
    <x v="9"/>
    <x v="19"/>
    <s v="SE3A"/>
    <x v="9"/>
    <x v="129"/>
    <x v="0"/>
    <x v="18"/>
    <n v="131.6"/>
    <n v="48034"/>
    <n v="172922.4"/>
  </r>
  <r>
    <x v="0"/>
    <x v="0"/>
    <x v="0"/>
    <x v="9"/>
    <x v="19"/>
    <s v="SE3A"/>
    <x v="9"/>
    <x v="129"/>
    <x v="0"/>
    <x v="19"/>
    <n v="131.6"/>
    <n v="48034"/>
    <n v="172922.4"/>
  </r>
  <r>
    <x v="0"/>
    <x v="0"/>
    <x v="0"/>
    <x v="9"/>
    <x v="19"/>
    <s v="SE3A"/>
    <x v="9"/>
    <x v="129"/>
    <x v="0"/>
    <x v="20"/>
    <n v="131.6"/>
    <n v="48034"/>
    <n v="172922.4"/>
  </r>
  <r>
    <x v="0"/>
    <x v="0"/>
    <x v="0"/>
    <x v="9"/>
    <x v="19"/>
    <s v="SE3A"/>
    <x v="9"/>
    <x v="129"/>
    <x v="0"/>
    <x v="21"/>
    <n v="131.6"/>
    <n v="48034"/>
    <n v="172922.4"/>
  </r>
  <r>
    <x v="0"/>
    <x v="0"/>
    <x v="0"/>
    <x v="9"/>
    <x v="19"/>
    <s v="SE3A"/>
    <x v="9"/>
    <x v="129"/>
    <x v="0"/>
    <x v="22"/>
    <n v="131.6"/>
    <n v="48034"/>
    <n v="172922.4"/>
  </r>
  <r>
    <x v="0"/>
    <x v="0"/>
    <x v="0"/>
    <x v="9"/>
    <x v="19"/>
    <s v="SE3A"/>
    <x v="9"/>
    <x v="130"/>
    <x v="0"/>
    <x v="0"/>
    <n v="131.6"/>
    <n v="48034"/>
    <n v="172922.4"/>
  </r>
  <r>
    <x v="0"/>
    <x v="0"/>
    <x v="0"/>
    <x v="9"/>
    <x v="19"/>
    <s v="SE3A"/>
    <x v="9"/>
    <x v="130"/>
    <x v="0"/>
    <x v="1"/>
    <n v="131.6"/>
    <n v="48034"/>
    <n v="172922.4"/>
  </r>
  <r>
    <x v="0"/>
    <x v="0"/>
    <x v="0"/>
    <x v="9"/>
    <x v="19"/>
    <s v="SE3A"/>
    <x v="9"/>
    <x v="130"/>
    <x v="0"/>
    <x v="2"/>
    <n v="131.6"/>
    <n v="48034"/>
    <n v="172922.4"/>
  </r>
  <r>
    <x v="0"/>
    <x v="0"/>
    <x v="0"/>
    <x v="9"/>
    <x v="19"/>
    <s v="SE3A"/>
    <x v="9"/>
    <x v="130"/>
    <x v="0"/>
    <x v="3"/>
    <n v="131.6"/>
    <n v="48034"/>
    <n v="172922.4"/>
  </r>
  <r>
    <x v="0"/>
    <x v="0"/>
    <x v="0"/>
    <x v="9"/>
    <x v="19"/>
    <s v="SE3A"/>
    <x v="9"/>
    <x v="130"/>
    <x v="0"/>
    <x v="4"/>
    <n v="131.6"/>
    <n v="48034"/>
    <n v="172922.4"/>
  </r>
  <r>
    <x v="0"/>
    <x v="0"/>
    <x v="0"/>
    <x v="9"/>
    <x v="19"/>
    <s v="SE3A"/>
    <x v="9"/>
    <x v="130"/>
    <x v="0"/>
    <x v="5"/>
    <n v="131.6"/>
    <n v="48034"/>
    <n v="172922.4"/>
  </r>
  <r>
    <x v="0"/>
    <x v="0"/>
    <x v="0"/>
    <x v="9"/>
    <x v="19"/>
    <s v="SE3A"/>
    <x v="9"/>
    <x v="130"/>
    <x v="0"/>
    <x v="6"/>
    <n v="131.6"/>
    <n v="48034"/>
    <n v="172922.4"/>
  </r>
  <r>
    <x v="0"/>
    <x v="0"/>
    <x v="0"/>
    <x v="9"/>
    <x v="19"/>
    <s v="SE3A"/>
    <x v="9"/>
    <x v="130"/>
    <x v="0"/>
    <x v="7"/>
    <n v="131.6"/>
    <n v="48034"/>
    <n v="172922.4"/>
  </r>
  <r>
    <x v="0"/>
    <x v="0"/>
    <x v="0"/>
    <x v="9"/>
    <x v="19"/>
    <s v="SE3A"/>
    <x v="9"/>
    <x v="130"/>
    <x v="0"/>
    <x v="8"/>
    <n v="131.6"/>
    <n v="48034"/>
    <n v="172922.4"/>
  </r>
  <r>
    <x v="0"/>
    <x v="0"/>
    <x v="0"/>
    <x v="9"/>
    <x v="19"/>
    <s v="SE3A"/>
    <x v="9"/>
    <x v="130"/>
    <x v="0"/>
    <x v="9"/>
    <n v="131.6"/>
    <n v="48034"/>
    <n v="172922.4"/>
  </r>
  <r>
    <x v="0"/>
    <x v="0"/>
    <x v="0"/>
    <x v="9"/>
    <x v="19"/>
    <s v="SE3A"/>
    <x v="9"/>
    <x v="130"/>
    <x v="0"/>
    <x v="10"/>
    <n v="131.6"/>
    <n v="48034"/>
    <n v="172922.4"/>
  </r>
  <r>
    <x v="0"/>
    <x v="0"/>
    <x v="0"/>
    <x v="9"/>
    <x v="19"/>
    <s v="SE3A"/>
    <x v="9"/>
    <x v="130"/>
    <x v="0"/>
    <x v="11"/>
    <n v="131.6"/>
    <n v="48034"/>
    <n v="172922.4"/>
  </r>
  <r>
    <x v="0"/>
    <x v="0"/>
    <x v="0"/>
    <x v="9"/>
    <x v="19"/>
    <s v="SE3A"/>
    <x v="9"/>
    <x v="130"/>
    <x v="0"/>
    <x v="12"/>
    <n v="131.6"/>
    <n v="48034"/>
    <n v="172922.4"/>
  </r>
  <r>
    <x v="0"/>
    <x v="0"/>
    <x v="0"/>
    <x v="9"/>
    <x v="19"/>
    <s v="SE3A"/>
    <x v="9"/>
    <x v="130"/>
    <x v="0"/>
    <x v="13"/>
    <n v="131.6"/>
    <n v="48034"/>
    <n v="172922.4"/>
  </r>
  <r>
    <x v="0"/>
    <x v="0"/>
    <x v="0"/>
    <x v="9"/>
    <x v="19"/>
    <s v="SE3A"/>
    <x v="9"/>
    <x v="130"/>
    <x v="0"/>
    <x v="14"/>
    <n v="131.6"/>
    <n v="48034"/>
    <n v="172922.4"/>
  </r>
  <r>
    <x v="0"/>
    <x v="0"/>
    <x v="0"/>
    <x v="9"/>
    <x v="19"/>
    <s v="SE3A"/>
    <x v="9"/>
    <x v="130"/>
    <x v="0"/>
    <x v="15"/>
    <n v="131.6"/>
    <n v="48034"/>
    <n v="172922.4"/>
  </r>
  <r>
    <x v="0"/>
    <x v="0"/>
    <x v="0"/>
    <x v="9"/>
    <x v="19"/>
    <s v="SE3A"/>
    <x v="9"/>
    <x v="130"/>
    <x v="0"/>
    <x v="16"/>
    <n v="131.6"/>
    <n v="48034"/>
    <n v="172922.4"/>
  </r>
  <r>
    <x v="0"/>
    <x v="0"/>
    <x v="0"/>
    <x v="9"/>
    <x v="19"/>
    <s v="SE3A"/>
    <x v="9"/>
    <x v="130"/>
    <x v="0"/>
    <x v="17"/>
    <n v="131.6"/>
    <n v="48034"/>
    <n v="172922.4"/>
  </r>
  <r>
    <x v="0"/>
    <x v="0"/>
    <x v="0"/>
    <x v="9"/>
    <x v="19"/>
    <s v="SE3A"/>
    <x v="9"/>
    <x v="130"/>
    <x v="0"/>
    <x v="18"/>
    <n v="131.6"/>
    <n v="48034"/>
    <n v="172922.4"/>
  </r>
  <r>
    <x v="0"/>
    <x v="0"/>
    <x v="0"/>
    <x v="9"/>
    <x v="19"/>
    <s v="SE3A"/>
    <x v="9"/>
    <x v="130"/>
    <x v="0"/>
    <x v="19"/>
    <n v="131.6"/>
    <n v="48034"/>
    <n v="172922.4"/>
  </r>
  <r>
    <x v="0"/>
    <x v="0"/>
    <x v="0"/>
    <x v="9"/>
    <x v="19"/>
    <s v="SE3A"/>
    <x v="9"/>
    <x v="130"/>
    <x v="0"/>
    <x v="20"/>
    <n v="131.6"/>
    <n v="48034"/>
    <n v="172922.4"/>
  </r>
  <r>
    <x v="0"/>
    <x v="0"/>
    <x v="0"/>
    <x v="9"/>
    <x v="19"/>
    <s v="SE3A"/>
    <x v="9"/>
    <x v="130"/>
    <x v="0"/>
    <x v="21"/>
    <n v="131.6"/>
    <n v="48034"/>
    <n v="172922.4"/>
  </r>
  <r>
    <x v="0"/>
    <x v="0"/>
    <x v="0"/>
    <x v="9"/>
    <x v="19"/>
    <s v="SE3A"/>
    <x v="9"/>
    <x v="130"/>
    <x v="0"/>
    <x v="22"/>
    <n v="131.6"/>
    <n v="48034"/>
    <n v="172922.4"/>
  </r>
  <r>
    <x v="0"/>
    <x v="0"/>
    <x v="0"/>
    <x v="9"/>
    <x v="19"/>
    <s v="SE3A"/>
    <x v="9"/>
    <x v="131"/>
    <x v="0"/>
    <x v="5"/>
    <n v="131.6"/>
    <n v="48034"/>
    <n v="172922.4"/>
  </r>
  <r>
    <x v="0"/>
    <x v="0"/>
    <x v="0"/>
    <x v="9"/>
    <x v="19"/>
    <s v="SE3A"/>
    <x v="9"/>
    <x v="131"/>
    <x v="0"/>
    <x v="6"/>
    <n v="131.6"/>
    <n v="48034"/>
    <n v="172922.4"/>
  </r>
  <r>
    <x v="0"/>
    <x v="0"/>
    <x v="0"/>
    <x v="9"/>
    <x v="19"/>
    <s v="SE3A"/>
    <x v="9"/>
    <x v="131"/>
    <x v="0"/>
    <x v="7"/>
    <n v="131.6"/>
    <n v="48034"/>
    <n v="172922.4"/>
  </r>
  <r>
    <x v="0"/>
    <x v="0"/>
    <x v="0"/>
    <x v="9"/>
    <x v="19"/>
    <s v="SE3A"/>
    <x v="9"/>
    <x v="131"/>
    <x v="0"/>
    <x v="8"/>
    <n v="131.6"/>
    <n v="48034"/>
    <n v="172922.4"/>
  </r>
  <r>
    <x v="0"/>
    <x v="0"/>
    <x v="0"/>
    <x v="9"/>
    <x v="19"/>
    <s v="SE3A"/>
    <x v="9"/>
    <x v="131"/>
    <x v="0"/>
    <x v="9"/>
    <n v="131.6"/>
    <n v="48034"/>
    <n v="172922.4"/>
  </r>
  <r>
    <x v="0"/>
    <x v="0"/>
    <x v="0"/>
    <x v="9"/>
    <x v="19"/>
    <s v="SE3A"/>
    <x v="9"/>
    <x v="131"/>
    <x v="0"/>
    <x v="10"/>
    <n v="131.6"/>
    <n v="48034"/>
    <n v="172922.4"/>
  </r>
  <r>
    <x v="0"/>
    <x v="0"/>
    <x v="0"/>
    <x v="9"/>
    <x v="19"/>
    <s v="SE3A"/>
    <x v="9"/>
    <x v="131"/>
    <x v="0"/>
    <x v="11"/>
    <n v="131.6"/>
    <n v="48034"/>
    <n v="172922.4"/>
  </r>
  <r>
    <x v="0"/>
    <x v="0"/>
    <x v="0"/>
    <x v="9"/>
    <x v="19"/>
    <s v="SE3A"/>
    <x v="9"/>
    <x v="131"/>
    <x v="0"/>
    <x v="12"/>
    <n v="131.6"/>
    <n v="48034"/>
    <n v="172922.4"/>
  </r>
  <r>
    <x v="0"/>
    <x v="0"/>
    <x v="0"/>
    <x v="9"/>
    <x v="19"/>
    <s v="SE3A"/>
    <x v="9"/>
    <x v="131"/>
    <x v="0"/>
    <x v="13"/>
    <n v="131.6"/>
    <n v="48034"/>
    <n v="172922.4"/>
  </r>
  <r>
    <x v="0"/>
    <x v="0"/>
    <x v="0"/>
    <x v="9"/>
    <x v="19"/>
    <s v="SE3A"/>
    <x v="9"/>
    <x v="131"/>
    <x v="0"/>
    <x v="14"/>
    <n v="131.6"/>
    <n v="48034"/>
    <n v="172922.4"/>
  </r>
  <r>
    <x v="0"/>
    <x v="0"/>
    <x v="0"/>
    <x v="9"/>
    <x v="19"/>
    <s v="SE3A"/>
    <x v="9"/>
    <x v="131"/>
    <x v="0"/>
    <x v="15"/>
    <n v="131.6"/>
    <n v="48034"/>
    <n v="172922.4"/>
  </r>
  <r>
    <x v="0"/>
    <x v="0"/>
    <x v="0"/>
    <x v="9"/>
    <x v="19"/>
    <s v="SE3A"/>
    <x v="9"/>
    <x v="131"/>
    <x v="0"/>
    <x v="16"/>
    <n v="131.6"/>
    <n v="48034"/>
    <n v="172922.4"/>
  </r>
  <r>
    <x v="0"/>
    <x v="0"/>
    <x v="0"/>
    <x v="9"/>
    <x v="19"/>
    <s v="SE3A"/>
    <x v="9"/>
    <x v="131"/>
    <x v="0"/>
    <x v="17"/>
    <n v="131.6"/>
    <n v="48034"/>
    <n v="172922.4"/>
  </r>
  <r>
    <x v="0"/>
    <x v="0"/>
    <x v="0"/>
    <x v="9"/>
    <x v="19"/>
    <s v="SE3A"/>
    <x v="9"/>
    <x v="131"/>
    <x v="0"/>
    <x v="18"/>
    <n v="131.6"/>
    <n v="48034"/>
    <n v="172922.4"/>
  </r>
  <r>
    <x v="0"/>
    <x v="0"/>
    <x v="0"/>
    <x v="9"/>
    <x v="19"/>
    <s v="SE3A"/>
    <x v="9"/>
    <x v="131"/>
    <x v="0"/>
    <x v="19"/>
    <n v="131.6"/>
    <n v="48034"/>
    <n v="172922.4"/>
  </r>
  <r>
    <x v="0"/>
    <x v="0"/>
    <x v="0"/>
    <x v="9"/>
    <x v="19"/>
    <s v="SE3A"/>
    <x v="9"/>
    <x v="131"/>
    <x v="0"/>
    <x v="20"/>
    <n v="131.6"/>
    <n v="48034"/>
    <n v="172922.4"/>
  </r>
  <r>
    <x v="0"/>
    <x v="0"/>
    <x v="0"/>
    <x v="9"/>
    <x v="19"/>
    <s v="SE3A"/>
    <x v="9"/>
    <x v="131"/>
    <x v="0"/>
    <x v="21"/>
    <n v="131.6"/>
    <n v="48034"/>
    <n v="172922.4"/>
  </r>
  <r>
    <x v="0"/>
    <x v="0"/>
    <x v="0"/>
    <x v="9"/>
    <x v="19"/>
    <s v="SE3A"/>
    <x v="9"/>
    <x v="132"/>
    <x v="0"/>
    <x v="6"/>
    <n v="131.6"/>
    <n v="48034"/>
    <n v="172922.4"/>
  </r>
  <r>
    <x v="0"/>
    <x v="0"/>
    <x v="0"/>
    <x v="9"/>
    <x v="19"/>
    <s v="SE3A"/>
    <x v="9"/>
    <x v="132"/>
    <x v="0"/>
    <x v="7"/>
    <n v="131.6"/>
    <n v="48034"/>
    <n v="172922.4"/>
  </r>
  <r>
    <x v="0"/>
    <x v="0"/>
    <x v="0"/>
    <x v="9"/>
    <x v="19"/>
    <s v="SE3A"/>
    <x v="9"/>
    <x v="132"/>
    <x v="0"/>
    <x v="8"/>
    <n v="131.6"/>
    <n v="48034"/>
    <n v="172922.4"/>
  </r>
  <r>
    <x v="0"/>
    <x v="0"/>
    <x v="0"/>
    <x v="9"/>
    <x v="19"/>
    <s v="SE3A"/>
    <x v="9"/>
    <x v="132"/>
    <x v="0"/>
    <x v="9"/>
    <n v="131.6"/>
    <n v="48034"/>
    <n v="172922.4"/>
  </r>
  <r>
    <x v="0"/>
    <x v="0"/>
    <x v="0"/>
    <x v="9"/>
    <x v="19"/>
    <s v="SE3A"/>
    <x v="9"/>
    <x v="132"/>
    <x v="0"/>
    <x v="10"/>
    <n v="131.6"/>
    <n v="48034"/>
    <n v="172922.4"/>
  </r>
  <r>
    <x v="0"/>
    <x v="0"/>
    <x v="0"/>
    <x v="9"/>
    <x v="19"/>
    <s v="SE3A"/>
    <x v="9"/>
    <x v="132"/>
    <x v="0"/>
    <x v="11"/>
    <n v="131.6"/>
    <n v="48034"/>
    <n v="172922.4"/>
  </r>
  <r>
    <x v="0"/>
    <x v="0"/>
    <x v="0"/>
    <x v="9"/>
    <x v="19"/>
    <s v="SE3A"/>
    <x v="9"/>
    <x v="132"/>
    <x v="0"/>
    <x v="12"/>
    <n v="131.6"/>
    <n v="48034"/>
    <n v="172922.4"/>
  </r>
  <r>
    <x v="0"/>
    <x v="0"/>
    <x v="0"/>
    <x v="9"/>
    <x v="19"/>
    <s v="SE3A"/>
    <x v="9"/>
    <x v="132"/>
    <x v="0"/>
    <x v="13"/>
    <n v="131.6"/>
    <n v="48034"/>
    <n v="172922.4"/>
  </r>
  <r>
    <x v="0"/>
    <x v="0"/>
    <x v="0"/>
    <x v="9"/>
    <x v="19"/>
    <s v="SE3A"/>
    <x v="9"/>
    <x v="132"/>
    <x v="0"/>
    <x v="14"/>
    <n v="131.6"/>
    <n v="48034"/>
    <n v="172922.4"/>
  </r>
  <r>
    <x v="0"/>
    <x v="0"/>
    <x v="0"/>
    <x v="9"/>
    <x v="19"/>
    <s v="SE3A"/>
    <x v="9"/>
    <x v="132"/>
    <x v="0"/>
    <x v="15"/>
    <n v="131.6"/>
    <n v="48034"/>
    <n v="172922.4"/>
  </r>
  <r>
    <x v="0"/>
    <x v="0"/>
    <x v="0"/>
    <x v="9"/>
    <x v="19"/>
    <s v="SE3A"/>
    <x v="9"/>
    <x v="132"/>
    <x v="0"/>
    <x v="16"/>
    <n v="131.6"/>
    <n v="48034"/>
    <n v="172922.4"/>
  </r>
  <r>
    <x v="0"/>
    <x v="0"/>
    <x v="0"/>
    <x v="9"/>
    <x v="19"/>
    <s v="SE3A"/>
    <x v="9"/>
    <x v="132"/>
    <x v="0"/>
    <x v="17"/>
    <n v="131.6"/>
    <n v="48034"/>
    <n v="172922.4"/>
  </r>
  <r>
    <x v="0"/>
    <x v="0"/>
    <x v="0"/>
    <x v="9"/>
    <x v="19"/>
    <s v="SE3A"/>
    <x v="9"/>
    <x v="132"/>
    <x v="0"/>
    <x v="18"/>
    <n v="131.6"/>
    <n v="48034"/>
    <n v="172922.4"/>
  </r>
  <r>
    <x v="0"/>
    <x v="0"/>
    <x v="0"/>
    <x v="9"/>
    <x v="19"/>
    <s v="SE3A"/>
    <x v="9"/>
    <x v="132"/>
    <x v="0"/>
    <x v="19"/>
    <n v="131.6"/>
    <n v="48034"/>
    <n v="172922.4"/>
  </r>
  <r>
    <x v="0"/>
    <x v="0"/>
    <x v="0"/>
    <x v="9"/>
    <x v="19"/>
    <s v="SE3A"/>
    <x v="9"/>
    <x v="132"/>
    <x v="0"/>
    <x v="20"/>
    <n v="107.06643282224"/>
    <n v="39079.2479801175"/>
    <n v="140685.292728423"/>
  </r>
  <r>
    <x v="0"/>
    <x v="0"/>
    <x v="0"/>
    <x v="9"/>
    <x v="19"/>
    <s v="SE3A"/>
    <x v="9"/>
    <x v="133"/>
    <x v="0"/>
    <x v="7"/>
    <n v="131.6"/>
    <n v="48034"/>
    <n v="172922.4"/>
  </r>
  <r>
    <x v="0"/>
    <x v="0"/>
    <x v="0"/>
    <x v="9"/>
    <x v="19"/>
    <s v="SE3A"/>
    <x v="9"/>
    <x v="133"/>
    <x v="0"/>
    <x v="8"/>
    <n v="131.6"/>
    <n v="48034"/>
    <n v="172922.4"/>
  </r>
  <r>
    <x v="0"/>
    <x v="0"/>
    <x v="0"/>
    <x v="9"/>
    <x v="19"/>
    <s v="SE3A"/>
    <x v="9"/>
    <x v="133"/>
    <x v="0"/>
    <x v="9"/>
    <n v="131.6"/>
    <n v="48034"/>
    <n v="172922.4"/>
  </r>
  <r>
    <x v="0"/>
    <x v="0"/>
    <x v="0"/>
    <x v="9"/>
    <x v="19"/>
    <s v="SE3A"/>
    <x v="9"/>
    <x v="133"/>
    <x v="0"/>
    <x v="10"/>
    <n v="131.6"/>
    <n v="48034"/>
    <n v="172922.4"/>
  </r>
  <r>
    <x v="0"/>
    <x v="0"/>
    <x v="0"/>
    <x v="9"/>
    <x v="19"/>
    <s v="SE3A"/>
    <x v="9"/>
    <x v="133"/>
    <x v="0"/>
    <x v="11"/>
    <n v="131.6"/>
    <n v="48034"/>
    <n v="172922.4"/>
  </r>
  <r>
    <x v="0"/>
    <x v="0"/>
    <x v="0"/>
    <x v="9"/>
    <x v="19"/>
    <s v="SE3A"/>
    <x v="9"/>
    <x v="133"/>
    <x v="0"/>
    <x v="12"/>
    <n v="131.6"/>
    <n v="48034"/>
    <n v="172922.4"/>
  </r>
  <r>
    <x v="0"/>
    <x v="0"/>
    <x v="0"/>
    <x v="9"/>
    <x v="19"/>
    <s v="SE3A"/>
    <x v="9"/>
    <x v="134"/>
    <x v="0"/>
    <x v="7"/>
    <n v="131.6"/>
    <n v="48034"/>
    <n v="172922.4"/>
  </r>
  <r>
    <x v="0"/>
    <x v="0"/>
    <x v="0"/>
    <x v="9"/>
    <x v="19"/>
    <s v="SE3A"/>
    <x v="9"/>
    <x v="134"/>
    <x v="0"/>
    <x v="8"/>
    <n v="131.6"/>
    <n v="48034"/>
    <n v="172922.4"/>
  </r>
  <r>
    <x v="0"/>
    <x v="0"/>
    <x v="0"/>
    <x v="9"/>
    <x v="19"/>
    <s v="SE3A"/>
    <x v="9"/>
    <x v="134"/>
    <x v="0"/>
    <x v="9"/>
    <n v="131.6"/>
    <n v="48034"/>
    <n v="172922.4"/>
  </r>
  <r>
    <x v="0"/>
    <x v="0"/>
    <x v="0"/>
    <x v="9"/>
    <x v="19"/>
    <s v="SE3A"/>
    <x v="9"/>
    <x v="134"/>
    <x v="0"/>
    <x v="10"/>
    <n v="121.7325978045"/>
    <n v="44432.398198642302"/>
    <n v="159956.63351511199"/>
  </r>
  <r>
    <x v="0"/>
    <x v="0"/>
    <x v="0"/>
    <x v="9"/>
    <x v="19"/>
    <s v="SE3A"/>
    <x v="9"/>
    <x v="57"/>
    <x v="0"/>
    <x v="0"/>
    <n v="612.63215465133601"/>
    <n v="223610.73644773799"/>
    <n v="804998.651211855"/>
  </r>
  <r>
    <x v="0"/>
    <x v="0"/>
    <x v="0"/>
    <x v="9"/>
    <x v="19"/>
    <s v="SE3A"/>
    <x v="9"/>
    <x v="57"/>
    <x v="0"/>
    <x v="1"/>
    <n v="612.63215465133601"/>
    <n v="223610.73644773799"/>
    <n v="804998.651211855"/>
  </r>
  <r>
    <x v="0"/>
    <x v="0"/>
    <x v="0"/>
    <x v="9"/>
    <x v="19"/>
    <s v="SE3A"/>
    <x v="9"/>
    <x v="57"/>
    <x v="0"/>
    <x v="2"/>
    <n v="612.63215465133601"/>
    <n v="223610.73644773799"/>
    <n v="804998.651211855"/>
  </r>
  <r>
    <x v="0"/>
    <x v="0"/>
    <x v="0"/>
    <x v="9"/>
    <x v="19"/>
    <s v="SE3A"/>
    <x v="9"/>
    <x v="57"/>
    <x v="0"/>
    <x v="3"/>
    <n v="612.63215465133601"/>
    <n v="223610.73644773799"/>
    <n v="804998.651211855"/>
  </r>
  <r>
    <x v="0"/>
    <x v="0"/>
    <x v="0"/>
    <x v="9"/>
    <x v="19"/>
    <s v="SE3A"/>
    <x v="9"/>
    <x v="57"/>
    <x v="0"/>
    <x v="4"/>
    <n v="612.63215465133601"/>
    <n v="223610.73644773799"/>
    <n v="804998.651211855"/>
  </r>
  <r>
    <x v="0"/>
    <x v="0"/>
    <x v="0"/>
    <x v="9"/>
    <x v="19"/>
    <s v="SE3A"/>
    <x v="9"/>
    <x v="57"/>
    <x v="0"/>
    <x v="5"/>
    <n v="612.63215465133601"/>
    <n v="223610.73644773799"/>
    <n v="804998.651211855"/>
  </r>
  <r>
    <x v="0"/>
    <x v="0"/>
    <x v="0"/>
    <x v="9"/>
    <x v="19"/>
    <s v="SE3A"/>
    <x v="9"/>
    <x v="57"/>
    <x v="0"/>
    <x v="6"/>
    <n v="612.63215465133601"/>
    <n v="223610.73644773799"/>
    <n v="804998.651211855"/>
  </r>
  <r>
    <x v="0"/>
    <x v="0"/>
    <x v="0"/>
    <x v="9"/>
    <x v="19"/>
    <s v="SE3A"/>
    <x v="9"/>
    <x v="57"/>
    <x v="0"/>
    <x v="7"/>
    <n v="612.63215465133601"/>
    <n v="223610.73644773799"/>
    <n v="804998.651211855"/>
  </r>
  <r>
    <x v="0"/>
    <x v="0"/>
    <x v="0"/>
    <x v="9"/>
    <x v="19"/>
    <s v="SE3A"/>
    <x v="9"/>
    <x v="57"/>
    <x v="0"/>
    <x v="8"/>
    <n v="612.63215465133601"/>
    <n v="223610.73644773799"/>
    <n v="804998.651211855"/>
  </r>
  <r>
    <x v="0"/>
    <x v="0"/>
    <x v="0"/>
    <x v="9"/>
    <x v="19"/>
    <s v="SE3A"/>
    <x v="9"/>
    <x v="57"/>
    <x v="0"/>
    <x v="9"/>
    <n v="612.63215465133601"/>
    <n v="223610.73644773799"/>
    <n v="804998.651211855"/>
  </r>
  <r>
    <x v="0"/>
    <x v="0"/>
    <x v="0"/>
    <x v="9"/>
    <x v="19"/>
    <s v="SE3A"/>
    <x v="9"/>
    <x v="57"/>
    <x v="0"/>
    <x v="10"/>
    <n v="612.63215465133601"/>
    <n v="223610.73644773799"/>
    <n v="804998.651211855"/>
  </r>
  <r>
    <x v="0"/>
    <x v="0"/>
    <x v="0"/>
    <x v="9"/>
    <x v="19"/>
    <s v="SE3A"/>
    <x v="9"/>
    <x v="57"/>
    <x v="0"/>
    <x v="11"/>
    <n v="612.63215465133601"/>
    <n v="223610.73644773799"/>
    <n v="804998.651211855"/>
  </r>
  <r>
    <x v="0"/>
    <x v="0"/>
    <x v="0"/>
    <x v="9"/>
    <x v="19"/>
    <s v="SE3A"/>
    <x v="9"/>
    <x v="57"/>
    <x v="0"/>
    <x v="12"/>
    <n v="612.63215465133601"/>
    <n v="223610.73644773799"/>
    <n v="804998.651211855"/>
  </r>
  <r>
    <x v="0"/>
    <x v="0"/>
    <x v="0"/>
    <x v="9"/>
    <x v="19"/>
    <s v="SE3A"/>
    <x v="9"/>
    <x v="57"/>
    <x v="0"/>
    <x v="13"/>
    <n v="612.63215465133601"/>
    <n v="223610.73644773799"/>
    <n v="804998.651211855"/>
  </r>
  <r>
    <x v="0"/>
    <x v="0"/>
    <x v="0"/>
    <x v="9"/>
    <x v="19"/>
    <s v="SE3A"/>
    <x v="9"/>
    <x v="57"/>
    <x v="0"/>
    <x v="14"/>
    <n v="612.63215465133601"/>
    <n v="223610.73644773799"/>
    <n v="804998.651211855"/>
  </r>
  <r>
    <x v="0"/>
    <x v="0"/>
    <x v="0"/>
    <x v="9"/>
    <x v="19"/>
    <s v="SE3A"/>
    <x v="9"/>
    <x v="57"/>
    <x v="0"/>
    <x v="15"/>
    <n v="612.63215465133601"/>
    <n v="223610.73644773799"/>
    <n v="804998.651211855"/>
  </r>
  <r>
    <x v="0"/>
    <x v="0"/>
    <x v="0"/>
    <x v="9"/>
    <x v="19"/>
    <s v="SE3A"/>
    <x v="9"/>
    <x v="57"/>
    <x v="0"/>
    <x v="16"/>
    <n v="612.63215465133601"/>
    <n v="223610.73644773799"/>
    <n v="804998.651211855"/>
  </r>
  <r>
    <x v="0"/>
    <x v="0"/>
    <x v="0"/>
    <x v="9"/>
    <x v="19"/>
    <s v="SE3A"/>
    <x v="9"/>
    <x v="57"/>
    <x v="0"/>
    <x v="17"/>
    <n v="612.63215465133601"/>
    <n v="223610.73644773799"/>
    <n v="804998.651211855"/>
  </r>
  <r>
    <x v="0"/>
    <x v="0"/>
    <x v="0"/>
    <x v="9"/>
    <x v="19"/>
    <s v="SE3A"/>
    <x v="9"/>
    <x v="57"/>
    <x v="0"/>
    <x v="18"/>
    <n v="612.63215465133601"/>
    <n v="223610.73644773799"/>
    <n v="804998.651211855"/>
  </r>
  <r>
    <x v="0"/>
    <x v="0"/>
    <x v="0"/>
    <x v="9"/>
    <x v="19"/>
    <s v="SE3A"/>
    <x v="9"/>
    <x v="57"/>
    <x v="0"/>
    <x v="19"/>
    <n v="612.63215465133601"/>
    <n v="223610.73644773799"/>
    <n v="804998.651211855"/>
  </r>
  <r>
    <x v="0"/>
    <x v="0"/>
    <x v="0"/>
    <x v="9"/>
    <x v="19"/>
    <s v="SE3A"/>
    <x v="9"/>
    <x v="57"/>
    <x v="0"/>
    <x v="20"/>
    <n v="612.63215465133601"/>
    <n v="223610.73644773799"/>
    <n v="804998.651211855"/>
  </r>
  <r>
    <x v="0"/>
    <x v="0"/>
    <x v="0"/>
    <x v="9"/>
    <x v="19"/>
    <s v="SE3A"/>
    <x v="9"/>
    <x v="57"/>
    <x v="0"/>
    <x v="21"/>
    <n v="612.63215465133601"/>
    <n v="223610.73644773799"/>
    <n v="804998.651211855"/>
  </r>
  <r>
    <x v="0"/>
    <x v="0"/>
    <x v="0"/>
    <x v="9"/>
    <x v="19"/>
    <s v="SE3A"/>
    <x v="9"/>
    <x v="57"/>
    <x v="0"/>
    <x v="22"/>
    <n v="612.63215465133601"/>
    <n v="223610.73644773799"/>
    <n v="804998.651211855"/>
  </r>
  <r>
    <x v="0"/>
    <x v="0"/>
    <x v="0"/>
    <x v="9"/>
    <x v="19"/>
    <s v="SE3A"/>
    <x v="9"/>
    <x v="57"/>
    <x v="0"/>
    <x v="23"/>
    <n v="612.63215465133601"/>
    <n v="223610.73644773799"/>
    <n v="804998.651211855"/>
  </r>
  <r>
    <x v="0"/>
    <x v="0"/>
    <x v="0"/>
    <x v="9"/>
    <x v="19"/>
    <s v="SE3A"/>
    <x v="10"/>
    <x v="58"/>
    <x v="0"/>
    <x v="0"/>
    <n v="630.20853809515404"/>
    <n v="230026.116404731"/>
    <n v="828094.019057033"/>
  </r>
  <r>
    <x v="0"/>
    <x v="0"/>
    <x v="0"/>
    <x v="9"/>
    <x v="19"/>
    <s v="SE3A"/>
    <x v="10"/>
    <x v="58"/>
    <x v="0"/>
    <x v="1"/>
    <n v="579.90689185148904"/>
    <n v="211666.01552579299"/>
    <n v="761997.65589285595"/>
  </r>
  <r>
    <x v="0"/>
    <x v="0"/>
    <x v="0"/>
    <x v="9"/>
    <x v="19"/>
    <s v="SE3A"/>
    <x v="10"/>
    <x v="58"/>
    <x v="0"/>
    <x v="2"/>
    <n v="484.39772577407001"/>
    <n v="176805.16990753499"/>
    <n v="636498.611667127"/>
  </r>
  <r>
    <x v="0"/>
    <x v="0"/>
    <x v="0"/>
    <x v="9"/>
    <x v="19"/>
    <s v="SE3A"/>
    <x v="10"/>
    <x v="58"/>
    <x v="0"/>
    <x v="3"/>
    <n v="326.61875594709801"/>
    <n v="119215.845920691"/>
    <n v="429177.04531448701"/>
  </r>
  <r>
    <x v="0"/>
    <x v="0"/>
    <x v="0"/>
    <x v="9"/>
    <x v="19"/>
    <s v="SE3A"/>
    <x v="10"/>
    <x v="58"/>
    <x v="0"/>
    <x v="4"/>
    <n v="314.45614213319999"/>
    <n v="114776.49187861801"/>
    <n v="413195.37076302402"/>
  </r>
  <r>
    <x v="0"/>
    <x v="0"/>
    <x v="0"/>
    <x v="9"/>
    <x v="19"/>
    <s v="SE3A"/>
    <x v="10"/>
    <x v="58"/>
    <x v="0"/>
    <x v="5"/>
    <n v="253.32181962193101"/>
    <n v="92462.464162004995"/>
    <n v="332864.87098321802"/>
  </r>
  <r>
    <x v="0"/>
    <x v="0"/>
    <x v="0"/>
    <x v="9"/>
    <x v="19"/>
    <s v="SE3A"/>
    <x v="10"/>
    <x v="58"/>
    <x v="0"/>
    <x v="6"/>
    <n v="229.02111023963499"/>
    <n v="83592.705237466696"/>
    <n v="300933.73885487998"/>
  </r>
  <r>
    <x v="0"/>
    <x v="0"/>
    <x v="0"/>
    <x v="9"/>
    <x v="19"/>
    <s v="SE3A"/>
    <x v="10"/>
    <x v="58"/>
    <x v="0"/>
    <x v="7"/>
    <n v="290.23404835149501"/>
    <n v="105935.427648296"/>
    <n v="381367.539533865"/>
  </r>
  <r>
    <x v="0"/>
    <x v="0"/>
    <x v="0"/>
    <x v="9"/>
    <x v="19"/>
    <s v="SE3A"/>
    <x v="10"/>
    <x v="58"/>
    <x v="0"/>
    <x v="8"/>
    <n v="341.828714981524"/>
    <n v="124767.480968256"/>
    <n v="449162.93148572301"/>
  </r>
  <r>
    <x v="0"/>
    <x v="0"/>
    <x v="0"/>
    <x v="9"/>
    <x v="19"/>
    <s v="SE3A"/>
    <x v="10"/>
    <x v="58"/>
    <x v="0"/>
    <x v="9"/>
    <n v="366.085104322625"/>
    <n v="133621.06307775801"/>
    <n v="481035.82707992999"/>
  </r>
  <r>
    <x v="0"/>
    <x v="0"/>
    <x v="0"/>
    <x v="9"/>
    <x v="19"/>
    <s v="SE3A"/>
    <x v="10"/>
    <x v="58"/>
    <x v="0"/>
    <x v="10"/>
    <n v="466.50690668697302"/>
    <n v="170275.02094074499"/>
    <n v="612990.07538668194"/>
  </r>
  <r>
    <x v="0"/>
    <x v="0"/>
    <x v="0"/>
    <x v="9"/>
    <x v="19"/>
    <s v="SE3A"/>
    <x v="10"/>
    <x v="58"/>
    <x v="0"/>
    <x v="11"/>
    <n v="484.76302372561099"/>
    <n v="176938.50365984801"/>
    <n v="636978.61317545304"/>
  </r>
  <r>
    <x v="0"/>
    <x v="0"/>
    <x v="0"/>
    <x v="9"/>
    <x v="19"/>
    <s v="SE3A"/>
    <x v="10"/>
    <x v="58"/>
    <x v="0"/>
    <x v="12"/>
    <n v="538.46831379855098"/>
    <n v="196540.934536471"/>
    <n v="707547.36433129502"/>
  </r>
  <r>
    <x v="0"/>
    <x v="0"/>
    <x v="0"/>
    <x v="9"/>
    <x v="19"/>
    <s v="SE3A"/>
    <x v="10"/>
    <x v="58"/>
    <x v="0"/>
    <x v="13"/>
    <n v="656.69087293918301"/>
    <n v="239692.16862280201"/>
    <n v="862891.80704208696"/>
  </r>
  <r>
    <x v="0"/>
    <x v="0"/>
    <x v="0"/>
    <x v="9"/>
    <x v="19"/>
    <s v="SE3A"/>
    <x v="10"/>
    <x v="58"/>
    <x v="0"/>
    <x v="14"/>
    <n v="735.71913857775405"/>
    <n v="268537.48558088002"/>
    <n v="966734.94809116796"/>
  </r>
  <r>
    <x v="0"/>
    <x v="0"/>
    <x v="0"/>
    <x v="9"/>
    <x v="19"/>
    <s v="SE3A"/>
    <x v="10"/>
    <x v="58"/>
    <x v="0"/>
    <x v="15"/>
    <n v="790.35722815734005"/>
    <n v="288480.38827742898"/>
    <n v="1038529.39779875"/>
  </r>
  <r>
    <x v="0"/>
    <x v="0"/>
    <x v="0"/>
    <x v="9"/>
    <x v="19"/>
    <s v="SE3A"/>
    <x v="10"/>
    <x v="58"/>
    <x v="0"/>
    <x v="16"/>
    <n v="802.40127836496401"/>
    <n v="292876.466603212"/>
    <n v="1054355.2797715601"/>
  </r>
  <r>
    <x v="0"/>
    <x v="0"/>
    <x v="0"/>
    <x v="9"/>
    <x v="19"/>
    <s v="SE3A"/>
    <x v="10"/>
    <x v="58"/>
    <x v="0"/>
    <x v="17"/>
    <n v="849.83711408234603"/>
    <n v="310190.54664005601"/>
    <n v="1116685.9679042001"/>
  </r>
  <r>
    <x v="0"/>
    <x v="0"/>
    <x v="0"/>
    <x v="9"/>
    <x v="19"/>
    <s v="SE3A"/>
    <x v="10"/>
    <x v="58"/>
    <x v="0"/>
    <x v="18"/>
    <n v="808.02531654920199"/>
    <n v="294929.240540459"/>
    <n v="1061745.2659456499"/>
  </r>
  <r>
    <x v="0"/>
    <x v="0"/>
    <x v="0"/>
    <x v="9"/>
    <x v="19"/>
    <s v="SE3A"/>
    <x v="10"/>
    <x v="58"/>
    <x v="0"/>
    <x v="19"/>
    <n v="720.59362992718195"/>
    <n v="263016.674923421"/>
    <n v="946860.02972431702"/>
  </r>
  <r>
    <x v="0"/>
    <x v="0"/>
    <x v="0"/>
    <x v="9"/>
    <x v="19"/>
    <s v="SE3A"/>
    <x v="10"/>
    <x v="58"/>
    <x v="0"/>
    <x v="20"/>
    <n v="606.34139768049897"/>
    <n v="221314.610153382"/>
    <n v="796732.59655217605"/>
  </r>
  <r>
    <x v="0"/>
    <x v="0"/>
    <x v="0"/>
    <x v="9"/>
    <x v="19"/>
    <s v="SE3A"/>
    <x v="10"/>
    <x v="58"/>
    <x v="0"/>
    <x v="21"/>
    <n v="491.218348343532"/>
    <n v="179294.69714538899"/>
    <n v="645460.90972340095"/>
  </r>
  <r>
    <x v="0"/>
    <x v="0"/>
    <x v="0"/>
    <x v="9"/>
    <x v="19"/>
    <s v="SE3A"/>
    <x v="10"/>
    <x v="58"/>
    <x v="0"/>
    <x v="22"/>
    <n v="460.57818341426201"/>
    <n v="168111.036946206"/>
    <n v="605199.73300634103"/>
  </r>
  <r>
    <x v="0"/>
    <x v="0"/>
    <x v="0"/>
    <x v="9"/>
    <x v="19"/>
    <s v="SE3A"/>
    <x v="10"/>
    <x v="58"/>
    <x v="0"/>
    <x v="23"/>
    <n v="486.87519095492598"/>
    <n v="177709.444698548"/>
    <n v="639754.00091477297"/>
  </r>
  <r>
    <x v="0"/>
    <x v="0"/>
    <x v="0"/>
    <x v="9"/>
    <x v="19"/>
    <s v="SE3A"/>
    <x v="13"/>
    <x v="138"/>
    <x v="0"/>
    <x v="0"/>
    <n v="2087.9264555669101"/>
    <n v="762093.15628192003"/>
    <n v="2743535.3626149101"/>
  </r>
  <r>
    <x v="0"/>
    <x v="0"/>
    <x v="0"/>
    <x v="9"/>
    <x v="19"/>
    <s v="SE3A"/>
    <x v="13"/>
    <x v="138"/>
    <x v="0"/>
    <x v="1"/>
    <n v="2087.9264555669101"/>
    <n v="762093.15628192003"/>
    <n v="2743535.3626149101"/>
  </r>
  <r>
    <x v="0"/>
    <x v="0"/>
    <x v="0"/>
    <x v="9"/>
    <x v="19"/>
    <s v="SE3A"/>
    <x v="13"/>
    <x v="138"/>
    <x v="0"/>
    <x v="2"/>
    <n v="2087.9264555669101"/>
    <n v="762093.15628192003"/>
    <n v="2743535.3626149101"/>
  </r>
  <r>
    <x v="0"/>
    <x v="0"/>
    <x v="0"/>
    <x v="9"/>
    <x v="19"/>
    <s v="SE3A"/>
    <x v="13"/>
    <x v="138"/>
    <x v="0"/>
    <x v="3"/>
    <n v="2087.9264555669101"/>
    <n v="762093.15628192003"/>
    <n v="2743535.3626149101"/>
  </r>
  <r>
    <x v="0"/>
    <x v="0"/>
    <x v="0"/>
    <x v="9"/>
    <x v="19"/>
    <s v="SE3A"/>
    <x v="13"/>
    <x v="138"/>
    <x v="0"/>
    <x v="4"/>
    <n v="2087.9264555669101"/>
    <n v="762093.15628192003"/>
    <n v="2743535.3626149101"/>
  </r>
  <r>
    <x v="0"/>
    <x v="0"/>
    <x v="0"/>
    <x v="9"/>
    <x v="19"/>
    <s v="SE3A"/>
    <x v="13"/>
    <x v="138"/>
    <x v="0"/>
    <x v="5"/>
    <n v="2087.9264555669101"/>
    <n v="762093.15628192003"/>
    <n v="2743535.3626149101"/>
  </r>
  <r>
    <x v="0"/>
    <x v="0"/>
    <x v="0"/>
    <x v="9"/>
    <x v="19"/>
    <s v="SE3A"/>
    <x v="13"/>
    <x v="138"/>
    <x v="0"/>
    <x v="6"/>
    <n v="2087.9264555669101"/>
    <n v="762093.15628192003"/>
    <n v="2743535.3626149101"/>
  </r>
  <r>
    <x v="0"/>
    <x v="0"/>
    <x v="0"/>
    <x v="9"/>
    <x v="19"/>
    <s v="SE3A"/>
    <x v="13"/>
    <x v="138"/>
    <x v="0"/>
    <x v="7"/>
    <n v="2087.9264555669101"/>
    <n v="762093.15628192003"/>
    <n v="2743535.3626149101"/>
  </r>
  <r>
    <x v="0"/>
    <x v="0"/>
    <x v="0"/>
    <x v="9"/>
    <x v="19"/>
    <s v="SE3A"/>
    <x v="13"/>
    <x v="138"/>
    <x v="0"/>
    <x v="8"/>
    <n v="2087.9264555669101"/>
    <n v="762093.15628192003"/>
    <n v="2743535.3626149101"/>
  </r>
  <r>
    <x v="0"/>
    <x v="0"/>
    <x v="0"/>
    <x v="9"/>
    <x v="19"/>
    <s v="SE3A"/>
    <x v="13"/>
    <x v="138"/>
    <x v="0"/>
    <x v="9"/>
    <n v="2087.9264555669101"/>
    <n v="762093.15628192003"/>
    <n v="2743535.3626149101"/>
  </r>
  <r>
    <x v="0"/>
    <x v="0"/>
    <x v="0"/>
    <x v="9"/>
    <x v="19"/>
    <s v="SE3A"/>
    <x v="13"/>
    <x v="138"/>
    <x v="0"/>
    <x v="10"/>
    <n v="2087.9264555669101"/>
    <n v="762093.15628192003"/>
    <n v="2743535.3626149101"/>
  </r>
  <r>
    <x v="0"/>
    <x v="0"/>
    <x v="0"/>
    <x v="9"/>
    <x v="19"/>
    <s v="SE3A"/>
    <x v="13"/>
    <x v="138"/>
    <x v="0"/>
    <x v="11"/>
    <n v="2087.9264555669101"/>
    <n v="762093.15628192003"/>
    <n v="2743535.3626149101"/>
  </r>
  <r>
    <x v="0"/>
    <x v="0"/>
    <x v="0"/>
    <x v="9"/>
    <x v="19"/>
    <s v="SE3A"/>
    <x v="13"/>
    <x v="138"/>
    <x v="0"/>
    <x v="12"/>
    <n v="2087.9264555669101"/>
    <n v="762093.15628192003"/>
    <n v="2743535.3626149101"/>
  </r>
  <r>
    <x v="0"/>
    <x v="0"/>
    <x v="0"/>
    <x v="9"/>
    <x v="19"/>
    <s v="SE3A"/>
    <x v="13"/>
    <x v="138"/>
    <x v="0"/>
    <x v="13"/>
    <n v="2087.9264555669101"/>
    <n v="762093.15628192003"/>
    <n v="2743535.3626149101"/>
  </r>
  <r>
    <x v="0"/>
    <x v="0"/>
    <x v="0"/>
    <x v="9"/>
    <x v="19"/>
    <s v="SE3A"/>
    <x v="13"/>
    <x v="138"/>
    <x v="0"/>
    <x v="14"/>
    <n v="2087.9264555669101"/>
    <n v="762093.15628192003"/>
    <n v="2743535.3626149101"/>
  </r>
  <r>
    <x v="0"/>
    <x v="0"/>
    <x v="0"/>
    <x v="9"/>
    <x v="19"/>
    <s v="SE3A"/>
    <x v="13"/>
    <x v="138"/>
    <x v="0"/>
    <x v="15"/>
    <n v="2087.9264555669101"/>
    <n v="762093.15628192003"/>
    <n v="2743535.3626149101"/>
  </r>
  <r>
    <x v="0"/>
    <x v="0"/>
    <x v="0"/>
    <x v="9"/>
    <x v="19"/>
    <s v="SE3A"/>
    <x v="13"/>
    <x v="138"/>
    <x v="0"/>
    <x v="16"/>
    <n v="2087.9264555669101"/>
    <n v="762093.15628192003"/>
    <n v="2743535.3626149101"/>
  </r>
  <r>
    <x v="0"/>
    <x v="0"/>
    <x v="0"/>
    <x v="9"/>
    <x v="19"/>
    <s v="SE3A"/>
    <x v="13"/>
    <x v="138"/>
    <x v="0"/>
    <x v="17"/>
    <n v="2087.9264555669101"/>
    <n v="762093.15628192003"/>
    <n v="2743535.3626149101"/>
  </r>
  <r>
    <x v="0"/>
    <x v="0"/>
    <x v="0"/>
    <x v="9"/>
    <x v="19"/>
    <s v="SE3A"/>
    <x v="13"/>
    <x v="138"/>
    <x v="0"/>
    <x v="18"/>
    <n v="2087.9264555669101"/>
    <n v="762093.15628192003"/>
    <n v="2743535.3626149101"/>
  </r>
  <r>
    <x v="0"/>
    <x v="0"/>
    <x v="0"/>
    <x v="9"/>
    <x v="19"/>
    <s v="SE3A"/>
    <x v="13"/>
    <x v="138"/>
    <x v="0"/>
    <x v="19"/>
    <n v="2087.9264555669101"/>
    <n v="762093.15628192003"/>
    <n v="2743535.3626149101"/>
  </r>
  <r>
    <x v="0"/>
    <x v="0"/>
    <x v="0"/>
    <x v="9"/>
    <x v="19"/>
    <s v="SE3A"/>
    <x v="13"/>
    <x v="138"/>
    <x v="0"/>
    <x v="20"/>
    <n v="2087.9264555669101"/>
    <n v="762093.15628192003"/>
    <n v="2743535.3626149101"/>
  </r>
  <r>
    <x v="0"/>
    <x v="0"/>
    <x v="0"/>
    <x v="9"/>
    <x v="19"/>
    <s v="SE3A"/>
    <x v="13"/>
    <x v="138"/>
    <x v="0"/>
    <x v="21"/>
    <n v="2087.9264555669101"/>
    <n v="762093.15628192003"/>
    <n v="2743535.3626149101"/>
  </r>
  <r>
    <x v="0"/>
    <x v="0"/>
    <x v="0"/>
    <x v="9"/>
    <x v="19"/>
    <s v="SE3A"/>
    <x v="13"/>
    <x v="138"/>
    <x v="0"/>
    <x v="22"/>
    <n v="2087.9264555669101"/>
    <n v="762093.15628192003"/>
    <n v="2743535.3626149101"/>
  </r>
  <r>
    <x v="0"/>
    <x v="0"/>
    <x v="0"/>
    <x v="9"/>
    <x v="19"/>
    <s v="SE3A"/>
    <x v="13"/>
    <x v="138"/>
    <x v="0"/>
    <x v="23"/>
    <n v="2087.9264555669101"/>
    <n v="762093.15628192003"/>
    <n v="2743535.3626149101"/>
  </r>
  <r>
    <x v="0"/>
    <x v="0"/>
    <x v="0"/>
    <x v="9"/>
    <x v="19"/>
    <s v="SE3_EL"/>
    <x v="2"/>
    <x v="196"/>
    <x v="0"/>
    <x v="0"/>
    <n v="265.34879853165199"/>
    <n v="96852.311464052895"/>
    <n v="348668.321270591"/>
  </r>
  <r>
    <x v="0"/>
    <x v="0"/>
    <x v="0"/>
    <x v="9"/>
    <x v="19"/>
    <s v="SE3_EL"/>
    <x v="2"/>
    <x v="196"/>
    <x v="0"/>
    <x v="1"/>
    <n v="265.34879853165199"/>
    <n v="96852.311464052895"/>
    <n v="348668.321270591"/>
  </r>
  <r>
    <x v="0"/>
    <x v="0"/>
    <x v="0"/>
    <x v="9"/>
    <x v="19"/>
    <s v="SE3_EL"/>
    <x v="2"/>
    <x v="196"/>
    <x v="0"/>
    <x v="2"/>
    <n v="265.34879853165199"/>
    <n v="96852.311464052895"/>
    <n v="348668.321270591"/>
  </r>
  <r>
    <x v="0"/>
    <x v="0"/>
    <x v="0"/>
    <x v="9"/>
    <x v="19"/>
    <s v="SE3_EL"/>
    <x v="2"/>
    <x v="196"/>
    <x v="0"/>
    <x v="3"/>
    <n v="265.34879853165199"/>
    <n v="96852.311464052895"/>
    <n v="348668.321270591"/>
  </r>
  <r>
    <x v="0"/>
    <x v="0"/>
    <x v="0"/>
    <x v="9"/>
    <x v="19"/>
    <s v="SE3_EL"/>
    <x v="2"/>
    <x v="196"/>
    <x v="0"/>
    <x v="4"/>
    <n v="265.34879853165199"/>
    <n v="96852.311464052895"/>
    <n v="348668.321270591"/>
  </r>
  <r>
    <x v="0"/>
    <x v="0"/>
    <x v="0"/>
    <x v="9"/>
    <x v="19"/>
    <s v="SE3_EL"/>
    <x v="2"/>
    <x v="196"/>
    <x v="0"/>
    <x v="5"/>
    <n v="265.34879853165199"/>
    <n v="96852.311464052895"/>
    <n v="348668.321270591"/>
  </r>
  <r>
    <x v="0"/>
    <x v="0"/>
    <x v="0"/>
    <x v="9"/>
    <x v="19"/>
    <s v="SE3_EL"/>
    <x v="2"/>
    <x v="196"/>
    <x v="0"/>
    <x v="6"/>
    <n v="265.34879853165199"/>
    <n v="96852.311464052895"/>
    <n v="348668.321270591"/>
  </r>
  <r>
    <x v="0"/>
    <x v="0"/>
    <x v="0"/>
    <x v="9"/>
    <x v="19"/>
    <s v="SE3_EL"/>
    <x v="2"/>
    <x v="196"/>
    <x v="0"/>
    <x v="7"/>
    <n v="265.34879853165199"/>
    <n v="96852.311464052895"/>
    <n v="348668.321270591"/>
  </r>
  <r>
    <x v="0"/>
    <x v="0"/>
    <x v="0"/>
    <x v="9"/>
    <x v="19"/>
    <s v="SE3_EL"/>
    <x v="2"/>
    <x v="196"/>
    <x v="0"/>
    <x v="8"/>
    <n v="265.34879853165199"/>
    <n v="96852.311464052895"/>
    <n v="348668.321270591"/>
  </r>
  <r>
    <x v="0"/>
    <x v="0"/>
    <x v="0"/>
    <x v="9"/>
    <x v="19"/>
    <s v="SE3_EL"/>
    <x v="2"/>
    <x v="196"/>
    <x v="0"/>
    <x v="9"/>
    <n v="265.34879853165199"/>
    <n v="96852.311464052895"/>
    <n v="348668.321270591"/>
  </r>
  <r>
    <x v="0"/>
    <x v="0"/>
    <x v="0"/>
    <x v="9"/>
    <x v="19"/>
    <s v="SE3_EL"/>
    <x v="2"/>
    <x v="196"/>
    <x v="0"/>
    <x v="10"/>
    <n v="265.34879853165199"/>
    <n v="96852.311464052895"/>
    <n v="348668.321270591"/>
  </r>
  <r>
    <x v="0"/>
    <x v="0"/>
    <x v="0"/>
    <x v="9"/>
    <x v="19"/>
    <s v="SE3_EL"/>
    <x v="2"/>
    <x v="196"/>
    <x v="0"/>
    <x v="11"/>
    <n v="265.34879853165199"/>
    <n v="96852.311464052895"/>
    <n v="348668.321270591"/>
  </r>
  <r>
    <x v="0"/>
    <x v="0"/>
    <x v="0"/>
    <x v="9"/>
    <x v="19"/>
    <s v="SE3_EL"/>
    <x v="2"/>
    <x v="196"/>
    <x v="0"/>
    <x v="12"/>
    <n v="265.34879853165199"/>
    <n v="96852.311464052895"/>
    <n v="348668.321270591"/>
  </r>
  <r>
    <x v="0"/>
    <x v="0"/>
    <x v="0"/>
    <x v="9"/>
    <x v="19"/>
    <s v="SE3_EL"/>
    <x v="2"/>
    <x v="196"/>
    <x v="0"/>
    <x v="13"/>
    <n v="265.34879853165199"/>
    <n v="96852.311464052895"/>
    <n v="348668.321270591"/>
  </r>
  <r>
    <x v="0"/>
    <x v="0"/>
    <x v="0"/>
    <x v="9"/>
    <x v="19"/>
    <s v="SE3_EL"/>
    <x v="2"/>
    <x v="196"/>
    <x v="0"/>
    <x v="14"/>
    <n v="265.34879853165199"/>
    <n v="96852.311464052895"/>
    <n v="348668.321270591"/>
  </r>
  <r>
    <x v="0"/>
    <x v="0"/>
    <x v="0"/>
    <x v="9"/>
    <x v="19"/>
    <s v="SE3_EL"/>
    <x v="2"/>
    <x v="196"/>
    <x v="0"/>
    <x v="15"/>
    <n v="265.34879853165199"/>
    <n v="96852.311464052895"/>
    <n v="348668.321270591"/>
  </r>
  <r>
    <x v="0"/>
    <x v="0"/>
    <x v="0"/>
    <x v="9"/>
    <x v="19"/>
    <s v="SE3_EL"/>
    <x v="2"/>
    <x v="196"/>
    <x v="0"/>
    <x v="16"/>
    <n v="265.34879853165199"/>
    <n v="96852.311464052895"/>
    <n v="348668.321270591"/>
  </r>
  <r>
    <x v="0"/>
    <x v="0"/>
    <x v="0"/>
    <x v="9"/>
    <x v="19"/>
    <s v="SE3_EL"/>
    <x v="2"/>
    <x v="196"/>
    <x v="0"/>
    <x v="17"/>
    <n v="265.34879853165199"/>
    <n v="96852.311464052895"/>
    <n v="348668.321270591"/>
  </r>
  <r>
    <x v="0"/>
    <x v="0"/>
    <x v="0"/>
    <x v="9"/>
    <x v="19"/>
    <s v="SE3_EL"/>
    <x v="2"/>
    <x v="196"/>
    <x v="0"/>
    <x v="18"/>
    <n v="265.34879853165199"/>
    <n v="96852.311464052895"/>
    <n v="348668.321270591"/>
  </r>
  <r>
    <x v="0"/>
    <x v="0"/>
    <x v="0"/>
    <x v="9"/>
    <x v="19"/>
    <s v="SE3_EL"/>
    <x v="2"/>
    <x v="196"/>
    <x v="0"/>
    <x v="19"/>
    <n v="265.34879853165199"/>
    <n v="96852.311464052895"/>
    <n v="348668.321270591"/>
  </r>
  <r>
    <x v="0"/>
    <x v="0"/>
    <x v="0"/>
    <x v="9"/>
    <x v="19"/>
    <s v="SE3_EL"/>
    <x v="2"/>
    <x v="196"/>
    <x v="0"/>
    <x v="20"/>
    <n v="265.34879853165199"/>
    <n v="96852.311464052895"/>
    <n v="348668.321270591"/>
  </r>
  <r>
    <x v="0"/>
    <x v="0"/>
    <x v="0"/>
    <x v="9"/>
    <x v="19"/>
    <s v="SE3_EL"/>
    <x v="2"/>
    <x v="196"/>
    <x v="0"/>
    <x v="21"/>
    <n v="265.34879853165199"/>
    <n v="96852.311464052895"/>
    <n v="348668.321270591"/>
  </r>
  <r>
    <x v="0"/>
    <x v="0"/>
    <x v="0"/>
    <x v="9"/>
    <x v="19"/>
    <s v="SE3_EL"/>
    <x v="2"/>
    <x v="196"/>
    <x v="0"/>
    <x v="22"/>
    <n v="265.34879853165199"/>
    <n v="96852.311464052895"/>
    <n v="348668.321270591"/>
  </r>
  <r>
    <x v="0"/>
    <x v="0"/>
    <x v="0"/>
    <x v="9"/>
    <x v="19"/>
    <s v="SE3_EL"/>
    <x v="2"/>
    <x v="196"/>
    <x v="0"/>
    <x v="23"/>
    <n v="265.34879853165199"/>
    <n v="96852.311464052895"/>
    <n v="348668.321270591"/>
  </r>
  <r>
    <x v="0"/>
    <x v="0"/>
    <x v="0"/>
    <x v="9"/>
    <x v="19"/>
    <s v="SE3_EL"/>
    <x v="2"/>
    <x v="200"/>
    <x v="0"/>
    <x v="0"/>
    <n v="240.586579408186"/>
    <n v="87814.101483987906"/>
    <n v="316130.765342356"/>
  </r>
  <r>
    <x v="0"/>
    <x v="0"/>
    <x v="0"/>
    <x v="9"/>
    <x v="19"/>
    <s v="SE3_EL"/>
    <x v="2"/>
    <x v="200"/>
    <x v="0"/>
    <x v="1"/>
    <n v="240.586579408186"/>
    <n v="87814.101483987906"/>
    <n v="316130.765342356"/>
  </r>
  <r>
    <x v="0"/>
    <x v="0"/>
    <x v="0"/>
    <x v="9"/>
    <x v="19"/>
    <s v="SE3_EL"/>
    <x v="2"/>
    <x v="200"/>
    <x v="0"/>
    <x v="2"/>
    <n v="240.586579408186"/>
    <n v="87814.101483987906"/>
    <n v="316130.765342356"/>
  </r>
  <r>
    <x v="0"/>
    <x v="0"/>
    <x v="0"/>
    <x v="9"/>
    <x v="19"/>
    <s v="SE3_EL"/>
    <x v="2"/>
    <x v="200"/>
    <x v="0"/>
    <x v="3"/>
    <n v="240.586579408186"/>
    <n v="87814.101483987906"/>
    <n v="316130.765342356"/>
  </r>
  <r>
    <x v="0"/>
    <x v="0"/>
    <x v="0"/>
    <x v="9"/>
    <x v="19"/>
    <s v="SE3_EL"/>
    <x v="2"/>
    <x v="200"/>
    <x v="0"/>
    <x v="4"/>
    <n v="240.586579408186"/>
    <n v="87814.101483987906"/>
    <n v="316130.765342356"/>
  </r>
  <r>
    <x v="0"/>
    <x v="0"/>
    <x v="0"/>
    <x v="9"/>
    <x v="19"/>
    <s v="SE3_EL"/>
    <x v="2"/>
    <x v="200"/>
    <x v="0"/>
    <x v="5"/>
    <n v="240.586579408186"/>
    <n v="87814.101483987906"/>
    <n v="316130.765342356"/>
  </r>
  <r>
    <x v="0"/>
    <x v="0"/>
    <x v="0"/>
    <x v="9"/>
    <x v="19"/>
    <s v="SE3_EL"/>
    <x v="2"/>
    <x v="200"/>
    <x v="0"/>
    <x v="6"/>
    <n v="240.586579408186"/>
    <n v="87814.101483987906"/>
    <n v="316130.765342356"/>
  </r>
  <r>
    <x v="0"/>
    <x v="0"/>
    <x v="0"/>
    <x v="9"/>
    <x v="19"/>
    <s v="SE3_EL"/>
    <x v="2"/>
    <x v="200"/>
    <x v="0"/>
    <x v="7"/>
    <n v="240.586579408186"/>
    <n v="87814.101483987906"/>
    <n v="316130.765342356"/>
  </r>
  <r>
    <x v="0"/>
    <x v="0"/>
    <x v="0"/>
    <x v="9"/>
    <x v="19"/>
    <s v="SE3_EL"/>
    <x v="2"/>
    <x v="200"/>
    <x v="0"/>
    <x v="8"/>
    <n v="240.586579408186"/>
    <n v="87814.101483987906"/>
    <n v="316130.765342356"/>
  </r>
  <r>
    <x v="0"/>
    <x v="0"/>
    <x v="0"/>
    <x v="9"/>
    <x v="19"/>
    <s v="SE3_EL"/>
    <x v="2"/>
    <x v="200"/>
    <x v="0"/>
    <x v="9"/>
    <n v="240.586579408186"/>
    <n v="87814.101483987906"/>
    <n v="316130.765342356"/>
  </r>
  <r>
    <x v="0"/>
    <x v="0"/>
    <x v="0"/>
    <x v="9"/>
    <x v="19"/>
    <s v="SE3_EL"/>
    <x v="2"/>
    <x v="200"/>
    <x v="0"/>
    <x v="10"/>
    <n v="240.586579408186"/>
    <n v="87814.101483987906"/>
    <n v="316130.765342356"/>
  </r>
  <r>
    <x v="0"/>
    <x v="0"/>
    <x v="0"/>
    <x v="9"/>
    <x v="19"/>
    <s v="SE3_EL"/>
    <x v="2"/>
    <x v="200"/>
    <x v="0"/>
    <x v="11"/>
    <n v="240.586579408186"/>
    <n v="87814.101483987906"/>
    <n v="316130.765342356"/>
  </r>
  <r>
    <x v="0"/>
    <x v="0"/>
    <x v="0"/>
    <x v="9"/>
    <x v="19"/>
    <s v="SE3_EL"/>
    <x v="2"/>
    <x v="200"/>
    <x v="0"/>
    <x v="12"/>
    <n v="240.586579408186"/>
    <n v="87814.101483987906"/>
    <n v="316130.765342356"/>
  </r>
  <r>
    <x v="0"/>
    <x v="0"/>
    <x v="0"/>
    <x v="9"/>
    <x v="19"/>
    <s v="SE3_EL"/>
    <x v="2"/>
    <x v="200"/>
    <x v="0"/>
    <x v="13"/>
    <n v="240.586579408186"/>
    <n v="87814.101483987906"/>
    <n v="316130.765342356"/>
  </r>
  <r>
    <x v="0"/>
    <x v="0"/>
    <x v="0"/>
    <x v="9"/>
    <x v="19"/>
    <s v="SE3_EL"/>
    <x v="2"/>
    <x v="200"/>
    <x v="0"/>
    <x v="14"/>
    <n v="240.586579408186"/>
    <n v="87814.101483987906"/>
    <n v="316130.765342356"/>
  </r>
  <r>
    <x v="0"/>
    <x v="0"/>
    <x v="0"/>
    <x v="9"/>
    <x v="19"/>
    <s v="SE3_EL"/>
    <x v="2"/>
    <x v="200"/>
    <x v="0"/>
    <x v="15"/>
    <n v="240.586579408186"/>
    <n v="87814.101483987906"/>
    <n v="316130.765342356"/>
  </r>
  <r>
    <x v="0"/>
    <x v="0"/>
    <x v="0"/>
    <x v="9"/>
    <x v="19"/>
    <s v="SE3_EL"/>
    <x v="2"/>
    <x v="200"/>
    <x v="0"/>
    <x v="16"/>
    <n v="240.586579408186"/>
    <n v="87814.101483987906"/>
    <n v="316130.765342356"/>
  </r>
  <r>
    <x v="0"/>
    <x v="0"/>
    <x v="0"/>
    <x v="9"/>
    <x v="19"/>
    <s v="SE3_EL"/>
    <x v="2"/>
    <x v="200"/>
    <x v="0"/>
    <x v="17"/>
    <n v="240.586579408186"/>
    <n v="87814.101483987906"/>
    <n v="316130.765342356"/>
  </r>
  <r>
    <x v="0"/>
    <x v="0"/>
    <x v="0"/>
    <x v="9"/>
    <x v="19"/>
    <s v="SE3_EL"/>
    <x v="2"/>
    <x v="200"/>
    <x v="0"/>
    <x v="18"/>
    <n v="240.586579408186"/>
    <n v="87814.101483987906"/>
    <n v="316130.765342356"/>
  </r>
  <r>
    <x v="0"/>
    <x v="0"/>
    <x v="0"/>
    <x v="9"/>
    <x v="19"/>
    <s v="SE3_EL"/>
    <x v="2"/>
    <x v="200"/>
    <x v="0"/>
    <x v="19"/>
    <n v="240.586579408186"/>
    <n v="87814.101483987906"/>
    <n v="316130.765342356"/>
  </r>
  <r>
    <x v="0"/>
    <x v="0"/>
    <x v="0"/>
    <x v="9"/>
    <x v="19"/>
    <s v="SE3_EL"/>
    <x v="2"/>
    <x v="200"/>
    <x v="0"/>
    <x v="20"/>
    <n v="240.586579408186"/>
    <n v="87814.101483987906"/>
    <n v="316130.765342356"/>
  </r>
  <r>
    <x v="0"/>
    <x v="0"/>
    <x v="0"/>
    <x v="9"/>
    <x v="19"/>
    <s v="SE3_EL"/>
    <x v="2"/>
    <x v="200"/>
    <x v="0"/>
    <x v="21"/>
    <n v="240.586579408186"/>
    <n v="87814.101483987906"/>
    <n v="316130.765342356"/>
  </r>
  <r>
    <x v="0"/>
    <x v="0"/>
    <x v="0"/>
    <x v="9"/>
    <x v="19"/>
    <s v="SE3_EL"/>
    <x v="2"/>
    <x v="200"/>
    <x v="0"/>
    <x v="22"/>
    <n v="240.586579408186"/>
    <n v="87814.101483987906"/>
    <n v="316130.765342356"/>
  </r>
  <r>
    <x v="0"/>
    <x v="0"/>
    <x v="0"/>
    <x v="9"/>
    <x v="19"/>
    <s v="SE3_EL"/>
    <x v="2"/>
    <x v="200"/>
    <x v="0"/>
    <x v="23"/>
    <n v="240.586579408186"/>
    <n v="87814.101483987906"/>
    <n v="316130.765342356"/>
  </r>
  <r>
    <x v="0"/>
    <x v="0"/>
    <x v="0"/>
    <x v="9"/>
    <x v="19"/>
    <s v="SE3_EL"/>
    <x v="2"/>
    <x v="176"/>
    <x v="0"/>
    <x v="0"/>
    <n v="209.18256201999799"/>
    <n v="76351.635137299294"/>
    <n v="274865.88649427699"/>
  </r>
  <r>
    <x v="0"/>
    <x v="0"/>
    <x v="0"/>
    <x v="9"/>
    <x v="19"/>
    <s v="SE3_EL"/>
    <x v="2"/>
    <x v="176"/>
    <x v="0"/>
    <x v="1"/>
    <n v="209.18256201999799"/>
    <n v="76351.635137299294"/>
    <n v="274865.88649427699"/>
  </r>
  <r>
    <x v="0"/>
    <x v="0"/>
    <x v="0"/>
    <x v="9"/>
    <x v="19"/>
    <s v="SE3_EL"/>
    <x v="2"/>
    <x v="176"/>
    <x v="0"/>
    <x v="2"/>
    <n v="209.18256201999799"/>
    <n v="76351.635137299294"/>
    <n v="274865.88649427699"/>
  </r>
  <r>
    <x v="0"/>
    <x v="0"/>
    <x v="0"/>
    <x v="9"/>
    <x v="19"/>
    <s v="SE3_EL"/>
    <x v="2"/>
    <x v="176"/>
    <x v="0"/>
    <x v="3"/>
    <n v="209.18256201999799"/>
    <n v="76351.635137299294"/>
    <n v="274865.88649427699"/>
  </r>
  <r>
    <x v="0"/>
    <x v="0"/>
    <x v="0"/>
    <x v="9"/>
    <x v="19"/>
    <s v="SE3_EL"/>
    <x v="2"/>
    <x v="176"/>
    <x v="0"/>
    <x v="4"/>
    <n v="209.18256201999799"/>
    <n v="76351.635137299294"/>
    <n v="274865.88649427699"/>
  </r>
  <r>
    <x v="0"/>
    <x v="0"/>
    <x v="0"/>
    <x v="9"/>
    <x v="19"/>
    <s v="SE3_EL"/>
    <x v="2"/>
    <x v="176"/>
    <x v="0"/>
    <x v="5"/>
    <n v="209.18256201999799"/>
    <n v="76351.635137299294"/>
    <n v="274865.88649427699"/>
  </r>
  <r>
    <x v="0"/>
    <x v="0"/>
    <x v="0"/>
    <x v="9"/>
    <x v="19"/>
    <s v="SE3_EL"/>
    <x v="2"/>
    <x v="176"/>
    <x v="0"/>
    <x v="6"/>
    <n v="209.18256201999799"/>
    <n v="76351.635137299294"/>
    <n v="274865.88649427699"/>
  </r>
  <r>
    <x v="0"/>
    <x v="0"/>
    <x v="0"/>
    <x v="9"/>
    <x v="19"/>
    <s v="SE3_EL"/>
    <x v="2"/>
    <x v="176"/>
    <x v="0"/>
    <x v="7"/>
    <n v="209.18256201999799"/>
    <n v="76351.635137299294"/>
    <n v="274865.88649427699"/>
  </r>
  <r>
    <x v="0"/>
    <x v="0"/>
    <x v="0"/>
    <x v="9"/>
    <x v="19"/>
    <s v="SE3_EL"/>
    <x v="2"/>
    <x v="176"/>
    <x v="0"/>
    <x v="8"/>
    <n v="209.18256201999799"/>
    <n v="76351.635137299294"/>
    <n v="274865.88649427699"/>
  </r>
  <r>
    <x v="0"/>
    <x v="0"/>
    <x v="0"/>
    <x v="9"/>
    <x v="19"/>
    <s v="SE3_EL"/>
    <x v="2"/>
    <x v="176"/>
    <x v="0"/>
    <x v="9"/>
    <n v="209.18256201999799"/>
    <n v="76351.635137299294"/>
    <n v="274865.88649427699"/>
  </r>
  <r>
    <x v="0"/>
    <x v="0"/>
    <x v="0"/>
    <x v="9"/>
    <x v="19"/>
    <s v="SE3_EL"/>
    <x v="2"/>
    <x v="176"/>
    <x v="0"/>
    <x v="10"/>
    <n v="209.18256201999799"/>
    <n v="76351.635137299294"/>
    <n v="274865.88649427699"/>
  </r>
  <r>
    <x v="0"/>
    <x v="0"/>
    <x v="0"/>
    <x v="9"/>
    <x v="19"/>
    <s v="SE3_EL"/>
    <x v="2"/>
    <x v="176"/>
    <x v="0"/>
    <x v="11"/>
    <n v="209.18256201999799"/>
    <n v="76351.635137299294"/>
    <n v="274865.88649427699"/>
  </r>
  <r>
    <x v="0"/>
    <x v="0"/>
    <x v="0"/>
    <x v="9"/>
    <x v="19"/>
    <s v="SE3_EL"/>
    <x v="2"/>
    <x v="176"/>
    <x v="0"/>
    <x v="12"/>
    <n v="209.18256201999799"/>
    <n v="76351.635137299294"/>
    <n v="274865.88649427699"/>
  </r>
  <r>
    <x v="0"/>
    <x v="0"/>
    <x v="0"/>
    <x v="9"/>
    <x v="19"/>
    <s v="SE3_EL"/>
    <x v="2"/>
    <x v="176"/>
    <x v="0"/>
    <x v="13"/>
    <n v="209.18256201999799"/>
    <n v="76351.635137299294"/>
    <n v="274865.88649427699"/>
  </r>
  <r>
    <x v="0"/>
    <x v="0"/>
    <x v="0"/>
    <x v="9"/>
    <x v="19"/>
    <s v="SE3_EL"/>
    <x v="2"/>
    <x v="176"/>
    <x v="0"/>
    <x v="14"/>
    <n v="209.18256201999799"/>
    <n v="76351.635137299294"/>
    <n v="274865.88649427699"/>
  </r>
  <r>
    <x v="0"/>
    <x v="0"/>
    <x v="0"/>
    <x v="9"/>
    <x v="19"/>
    <s v="SE3_EL"/>
    <x v="2"/>
    <x v="176"/>
    <x v="0"/>
    <x v="15"/>
    <n v="209.18256201999799"/>
    <n v="76351.635137299294"/>
    <n v="274865.88649427699"/>
  </r>
  <r>
    <x v="0"/>
    <x v="0"/>
    <x v="0"/>
    <x v="9"/>
    <x v="19"/>
    <s v="SE3_EL"/>
    <x v="2"/>
    <x v="176"/>
    <x v="0"/>
    <x v="16"/>
    <n v="209.18256201999799"/>
    <n v="76351.635137299294"/>
    <n v="274865.88649427699"/>
  </r>
  <r>
    <x v="0"/>
    <x v="0"/>
    <x v="0"/>
    <x v="9"/>
    <x v="19"/>
    <s v="SE3_EL"/>
    <x v="2"/>
    <x v="176"/>
    <x v="0"/>
    <x v="17"/>
    <n v="209.18256201999799"/>
    <n v="76351.635137299294"/>
    <n v="274865.88649427699"/>
  </r>
  <r>
    <x v="0"/>
    <x v="0"/>
    <x v="0"/>
    <x v="9"/>
    <x v="19"/>
    <s v="SE3_EL"/>
    <x v="2"/>
    <x v="176"/>
    <x v="0"/>
    <x v="18"/>
    <n v="209.18256201999799"/>
    <n v="76351.635137299294"/>
    <n v="274865.88649427699"/>
  </r>
  <r>
    <x v="0"/>
    <x v="0"/>
    <x v="0"/>
    <x v="9"/>
    <x v="19"/>
    <s v="SE3_EL"/>
    <x v="2"/>
    <x v="176"/>
    <x v="0"/>
    <x v="19"/>
    <n v="209.18256201999799"/>
    <n v="76351.635137299294"/>
    <n v="274865.88649427699"/>
  </r>
  <r>
    <x v="0"/>
    <x v="0"/>
    <x v="0"/>
    <x v="9"/>
    <x v="19"/>
    <s v="SE3_EL"/>
    <x v="2"/>
    <x v="176"/>
    <x v="0"/>
    <x v="20"/>
    <n v="209.18256201999799"/>
    <n v="76351.635137299294"/>
    <n v="274865.88649427699"/>
  </r>
  <r>
    <x v="0"/>
    <x v="0"/>
    <x v="0"/>
    <x v="9"/>
    <x v="19"/>
    <s v="SE3_EL"/>
    <x v="2"/>
    <x v="176"/>
    <x v="0"/>
    <x v="21"/>
    <n v="209.18256201999799"/>
    <n v="76351.635137299294"/>
    <n v="274865.88649427699"/>
  </r>
  <r>
    <x v="0"/>
    <x v="0"/>
    <x v="0"/>
    <x v="9"/>
    <x v="19"/>
    <s v="SE3_EL"/>
    <x v="2"/>
    <x v="176"/>
    <x v="0"/>
    <x v="22"/>
    <n v="209.18256201999799"/>
    <n v="76351.635137299294"/>
    <n v="274865.88649427699"/>
  </r>
  <r>
    <x v="0"/>
    <x v="0"/>
    <x v="0"/>
    <x v="9"/>
    <x v="19"/>
    <s v="SE3_EL"/>
    <x v="2"/>
    <x v="176"/>
    <x v="0"/>
    <x v="23"/>
    <n v="209.18256201999799"/>
    <n v="76351.635137299294"/>
    <n v="274865.88649427699"/>
  </r>
  <r>
    <x v="0"/>
    <x v="0"/>
    <x v="0"/>
    <x v="9"/>
    <x v="19"/>
    <s v="SE3_EL"/>
    <x v="20"/>
    <x v="201"/>
    <x v="0"/>
    <x v="0"/>
    <n v="227.92132826563599"/>
    <n v="83191.284816957006"/>
    <n v="299488.62534104497"/>
  </r>
  <r>
    <x v="0"/>
    <x v="0"/>
    <x v="0"/>
    <x v="9"/>
    <x v="19"/>
    <s v="SE3_EL"/>
    <x v="20"/>
    <x v="201"/>
    <x v="0"/>
    <x v="1"/>
    <n v="227.92132826563599"/>
    <n v="83191.284816957006"/>
    <n v="299488.62534104497"/>
  </r>
  <r>
    <x v="0"/>
    <x v="0"/>
    <x v="0"/>
    <x v="9"/>
    <x v="19"/>
    <s v="SE3_EL"/>
    <x v="20"/>
    <x v="201"/>
    <x v="0"/>
    <x v="2"/>
    <n v="227.92132826563599"/>
    <n v="83191.284816957006"/>
    <n v="299488.62534104497"/>
  </r>
  <r>
    <x v="0"/>
    <x v="0"/>
    <x v="0"/>
    <x v="9"/>
    <x v="19"/>
    <s v="SE3_EL"/>
    <x v="20"/>
    <x v="201"/>
    <x v="0"/>
    <x v="3"/>
    <n v="227.92132826563599"/>
    <n v="83191.284816957006"/>
    <n v="299488.62534104497"/>
  </r>
  <r>
    <x v="0"/>
    <x v="0"/>
    <x v="0"/>
    <x v="9"/>
    <x v="19"/>
    <s v="SE3_EL"/>
    <x v="20"/>
    <x v="201"/>
    <x v="0"/>
    <x v="4"/>
    <n v="227.92132826563599"/>
    <n v="83191.284816957006"/>
    <n v="299488.62534104497"/>
  </r>
  <r>
    <x v="0"/>
    <x v="0"/>
    <x v="0"/>
    <x v="9"/>
    <x v="19"/>
    <s v="SE3_EL"/>
    <x v="20"/>
    <x v="201"/>
    <x v="0"/>
    <x v="5"/>
    <n v="227.92132826563599"/>
    <n v="83191.284816957006"/>
    <n v="299488.62534104497"/>
  </r>
  <r>
    <x v="0"/>
    <x v="0"/>
    <x v="0"/>
    <x v="9"/>
    <x v="19"/>
    <s v="SE3_EL"/>
    <x v="20"/>
    <x v="201"/>
    <x v="0"/>
    <x v="6"/>
    <n v="227.92132826563599"/>
    <n v="83191.284816957006"/>
    <n v="299488.62534104497"/>
  </r>
  <r>
    <x v="0"/>
    <x v="0"/>
    <x v="0"/>
    <x v="9"/>
    <x v="19"/>
    <s v="SE3_EL"/>
    <x v="20"/>
    <x v="201"/>
    <x v="0"/>
    <x v="7"/>
    <n v="227.92132826563599"/>
    <n v="83191.284816957006"/>
    <n v="299488.62534104497"/>
  </r>
  <r>
    <x v="0"/>
    <x v="0"/>
    <x v="0"/>
    <x v="9"/>
    <x v="19"/>
    <s v="SE3_EL"/>
    <x v="20"/>
    <x v="201"/>
    <x v="0"/>
    <x v="8"/>
    <n v="227.92132826563599"/>
    <n v="83191.284816957006"/>
    <n v="299488.62534104497"/>
  </r>
  <r>
    <x v="0"/>
    <x v="0"/>
    <x v="0"/>
    <x v="9"/>
    <x v="19"/>
    <s v="SE3_EL"/>
    <x v="20"/>
    <x v="201"/>
    <x v="0"/>
    <x v="9"/>
    <n v="227.92132826563599"/>
    <n v="83191.284816957006"/>
    <n v="299488.62534104497"/>
  </r>
  <r>
    <x v="0"/>
    <x v="0"/>
    <x v="0"/>
    <x v="9"/>
    <x v="19"/>
    <s v="SE3_EL"/>
    <x v="20"/>
    <x v="201"/>
    <x v="0"/>
    <x v="10"/>
    <n v="227.92132826563599"/>
    <n v="83191.284816957006"/>
    <n v="299488.62534104497"/>
  </r>
  <r>
    <x v="0"/>
    <x v="0"/>
    <x v="0"/>
    <x v="9"/>
    <x v="19"/>
    <s v="SE3_EL"/>
    <x v="20"/>
    <x v="201"/>
    <x v="0"/>
    <x v="11"/>
    <n v="227.92132826563599"/>
    <n v="83191.284816957006"/>
    <n v="299488.62534104497"/>
  </r>
  <r>
    <x v="0"/>
    <x v="0"/>
    <x v="0"/>
    <x v="9"/>
    <x v="19"/>
    <s v="SE3_EL"/>
    <x v="20"/>
    <x v="201"/>
    <x v="0"/>
    <x v="12"/>
    <n v="227.92132826563599"/>
    <n v="83191.284816957006"/>
    <n v="299488.62534104497"/>
  </r>
  <r>
    <x v="0"/>
    <x v="0"/>
    <x v="0"/>
    <x v="9"/>
    <x v="19"/>
    <s v="SE3_EL"/>
    <x v="20"/>
    <x v="201"/>
    <x v="0"/>
    <x v="13"/>
    <n v="227.92132826563599"/>
    <n v="83191.284816957006"/>
    <n v="299488.62534104497"/>
  </r>
  <r>
    <x v="0"/>
    <x v="0"/>
    <x v="0"/>
    <x v="9"/>
    <x v="19"/>
    <s v="SE3_EL"/>
    <x v="20"/>
    <x v="201"/>
    <x v="0"/>
    <x v="14"/>
    <n v="227.92132826563599"/>
    <n v="83191.284816957006"/>
    <n v="299488.62534104497"/>
  </r>
  <r>
    <x v="0"/>
    <x v="0"/>
    <x v="0"/>
    <x v="9"/>
    <x v="19"/>
    <s v="SE3_EL"/>
    <x v="20"/>
    <x v="201"/>
    <x v="0"/>
    <x v="15"/>
    <n v="227.92132826563599"/>
    <n v="83191.284816957006"/>
    <n v="299488.62534104497"/>
  </r>
  <r>
    <x v="0"/>
    <x v="0"/>
    <x v="0"/>
    <x v="9"/>
    <x v="19"/>
    <s v="SE3_EL"/>
    <x v="20"/>
    <x v="201"/>
    <x v="0"/>
    <x v="16"/>
    <n v="227.92132826563599"/>
    <n v="83191.284816957006"/>
    <n v="299488.62534104497"/>
  </r>
  <r>
    <x v="0"/>
    <x v="0"/>
    <x v="0"/>
    <x v="9"/>
    <x v="19"/>
    <s v="SE3_EL"/>
    <x v="20"/>
    <x v="201"/>
    <x v="0"/>
    <x v="17"/>
    <n v="227.92132826563599"/>
    <n v="83191.284816957006"/>
    <n v="299488.62534104497"/>
  </r>
  <r>
    <x v="0"/>
    <x v="0"/>
    <x v="0"/>
    <x v="9"/>
    <x v="19"/>
    <s v="SE3_EL"/>
    <x v="20"/>
    <x v="201"/>
    <x v="0"/>
    <x v="18"/>
    <n v="227.92132826563599"/>
    <n v="83191.284816957006"/>
    <n v="299488.62534104497"/>
  </r>
  <r>
    <x v="0"/>
    <x v="0"/>
    <x v="0"/>
    <x v="9"/>
    <x v="19"/>
    <s v="SE3_EL"/>
    <x v="20"/>
    <x v="201"/>
    <x v="0"/>
    <x v="19"/>
    <n v="227.92132826563599"/>
    <n v="83191.284816957006"/>
    <n v="299488.62534104497"/>
  </r>
  <r>
    <x v="0"/>
    <x v="0"/>
    <x v="0"/>
    <x v="9"/>
    <x v="19"/>
    <s v="SE3_EL"/>
    <x v="20"/>
    <x v="201"/>
    <x v="0"/>
    <x v="20"/>
    <n v="227.92132826563599"/>
    <n v="83191.284816957006"/>
    <n v="299488.62534104497"/>
  </r>
  <r>
    <x v="0"/>
    <x v="0"/>
    <x v="0"/>
    <x v="9"/>
    <x v="19"/>
    <s v="SE3_EL"/>
    <x v="20"/>
    <x v="201"/>
    <x v="0"/>
    <x v="21"/>
    <n v="227.92132826563599"/>
    <n v="83191.284816957006"/>
    <n v="299488.62534104497"/>
  </r>
  <r>
    <x v="0"/>
    <x v="0"/>
    <x v="0"/>
    <x v="9"/>
    <x v="19"/>
    <s v="SE3_EL"/>
    <x v="20"/>
    <x v="201"/>
    <x v="0"/>
    <x v="22"/>
    <n v="227.92132826563599"/>
    <n v="83191.284816957006"/>
    <n v="299488.62534104497"/>
  </r>
  <r>
    <x v="0"/>
    <x v="0"/>
    <x v="0"/>
    <x v="9"/>
    <x v="19"/>
    <s v="SE3_EL"/>
    <x v="20"/>
    <x v="201"/>
    <x v="0"/>
    <x v="23"/>
    <n v="227.92132826563599"/>
    <n v="83191.284816957006"/>
    <n v="299488.62534104497"/>
  </r>
  <r>
    <x v="0"/>
    <x v="0"/>
    <x v="0"/>
    <x v="9"/>
    <x v="19"/>
    <s v="SE3_EL"/>
    <x v="20"/>
    <x v="202"/>
    <x v="0"/>
    <x v="6"/>
    <n v="125.626685896775"/>
    <n v="45853.740352323097"/>
    <n v="165073.46526836301"/>
  </r>
  <r>
    <x v="0"/>
    <x v="0"/>
    <x v="0"/>
    <x v="9"/>
    <x v="19"/>
    <s v="SE3_EL"/>
    <x v="20"/>
    <x v="202"/>
    <x v="0"/>
    <x v="15"/>
    <n v="76.1513932140344"/>
    <n v="27795.2585231226"/>
    <n v="100062.93068324099"/>
  </r>
  <r>
    <x v="0"/>
    <x v="0"/>
    <x v="0"/>
    <x v="9"/>
    <x v="19"/>
    <s v="SE3_EL"/>
    <x v="20"/>
    <x v="202"/>
    <x v="0"/>
    <x v="16"/>
    <n v="33.961486371937397"/>
    <n v="12395.9425257571"/>
    <n v="44625.393092725702"/>
  </r>
  <r>
    <x v="0"/>
    <x v="0"/>
    <x v="0"/>
    <x v="9"/>
    <x v="19"/>
    <s v="SE3_EL"/>
    <x v="5"/>
    <x v="120"/>
    <x v="0"/>
    <x v="0"/>
    <n v="27.2206959706959"/>
    <n v="9935.5540293039903"/>
    <n v="35767.994505494396"/>
  </r>
  <r>
    <x v="0"/>
    <x v="0"/>
    <x v="0"/>
    <x v="9"/>
    <x v="19"/>
    <s v="SE3_EL"/>
    <x v="5"/>
    <x v="120"/>
    <x v="0"/>
    <x v="1"/>
    <n v="27.2206959706959"/>
    <n v="9935.5540293039903"/>
    <n v="35767.994505494396"/>
  </r>
  <r>
    <x v="0"/>
    <x v="0"/>
    <x v="0"/>
    <x v="9"/>
    <x v="19"/>
    <s v="SE3_EL"/>
    <x v="5"/>
    <x v="120"/>
    <x v="0"/>
    <x v="2"/>
    <n v="27.2206959706959"/>
    <n v="9935.5540293039903"/>
    <n v="35767.994505494396"/>
  </r>
  <r>
    <x v="0"/>
    <x v="0"/>
    <x v="0"/>
    <x v="9"/>
    <x v="19"/>
    <s v="SE3_EL"/>
    <x v="5"/>
    <x v="120"/>
    <x v="0"/>
    <x v="3"/>
    <n v="27.2206959706959"/>
    <n v="9935.5540293039903"/>
    <n v="35767.994505494396"/>
  </r>
  <r>
    <x v="0"/>
    <x v="0"/>
    <x v="0"/>
    <x v="9"/>
    <x v="19"/>
    <s v="SE3_EL"/>
    <x v="5"/>
    <x v="120"/>
    <x v="0"/>
    <x v="4"/>
    <n v="27.2206959706959"/>
    <n v="9935.5540293039903"/>
    <n v="35767.994505494396"/>
  </r>
  <r>
    <x v="0"/>
    <x v="0"/>
    <x v="0"/>
    <x v="9"/>
    <x v="19"/>
    <s v="SE3_EL"/>
    <x v="5"/>
    <x v="120"/>
    <x v="0"/>
    <x v="5"/>
    <n v="27.2206959706959"/>
    <n v="9935.5540293039903"/>
    <n v="35767.994505494396"/>
  </r>
  <r>
    <x v="0"/>
    <x v="0"/>
    <x v="0"/>
    <x v="9"/>
    <x v="19"/>
    <s v="SE3_EL"/>
    <x v="5"/>
    <x v="120"/>
    <x v="0"/>
    <x v="6"/>
    <n v="27.2206959706959"/>
    <n v="9935.5540293039903"/>
    <n v="35767.994505494396"/>
  </r>
  <r>
    <x v="0"/>
    <x v="0"/>
    <x v="0"/>
    <x v="9"/>
    <x v="19"/>
    <s v="SE3_EL"/>
    <x v="5"/>
    <x v="120"/>
    <x v="0"/>
    <x v="7"/>
    <n v="27.2206959706959"/>
    <n v="9935.5540293039903"/>
    <n v="35767.994505494396"/>
  </r>
  <r>
    <x v="0"/>
    <x v="0"/>
    <x v="0"/>
    <x v="9"/>
    <x v="19"/>
    <s v="SE3_EL"/>
    <x v="5"/>
    <x v="120"/>
    <x v="0"/>
    <x v="8"/>
    <n v="27.2206959706959"/>
    <n v="9935.5540293039903"/>
    <n v="35767.994505494396"/>
  </r>
  <r>
    <x v="0"/>
    <x v="0"/>
    <x v="0"/>
    <x v="9"/>
    <x v="19"/>
    <s v="SE3_EL"/>
    <x v="5"/>
    <x v="120"/>
    <x v="0"/>
    <x v="9"/>
    <n v="27.2206959706959"/>
    <n v="9935.5540293039903"/>
    <n v="35767.994505494396"/>
  </r>
  <r>
    <x v="0"/>
    <x v="0"/>
    <x v="0"/>
    <x v="9"/>
    <x v="19"/>
    <s v="SE3_EL"/>
    <x v="5"/>
    <x v="120"/>
    <x v="0"/>
    <x v="10"/>
    <n v="27.2206959706959"/>
    <n v="9935.5540293039903"/>
    <n v="35767.994505494396"/>
  </r>
  <r>
    <x v="0"/>
    <x v="0"/>
    <x v="0"/>
    <x v="9"/>
    <x v="19"/>
    <s v="SE3_EL"/>
    <x v="5"/>
    <x v="120"/>
    <x v="0"/>
    <x v="11"/>
    <n v="27.2206959706959"/>
    <n v="9935.5540293039903"/>
    <n v="35767.994505494396"/>
  </r>
  <r>
    <x v="0"/>
    <x v="0"/>
    <x v="0"/>
    <x v="9"/>
    <x v="19"/>
    <s v="SE3_EL"/>
    <x v="5"/>
    <x v="120"/>
    <x v="0"/>
    <x v="12"/>
    <n v="27.2206959706959"/>
    <n v="9935.5540293039903"/>
    <n v="35767.994505494396"/>
  </r>
  <r>
    <x v="0"/>
    <x v="0"/>
    <x v="0"/>
    <x v="9"/>
    <x v="19"/>
    <s v="SE3_EL"/>
    <x v="5"/>
    <x v="120"/>
    <x v="0"/>
    <x v="13"/>
    <n v="27.2206959706959"/>
    <n v="9935.5540293039903"/>
    <n v="35767.994505494396"/>
  </r>
  <r>
    <x v="0"/>
    <x v="0"/>
    <x v="0"/>
    <x v="9"/>
    <x v="19"/>
    <s v="SE3_EL"/>
    <x v="5"/>
    <x v="120"/>
    <x v="0"/>
    <x v="14"/>
    <n v="27.2206959706959"/>
    <n v="9935.5540293039903"/>
    <n v="35767.994505494396"/>
  </r>
  <r>
    <x v="0"/>
    <x v="0"/>
    <x v="0"/>
    <x v="9"/>
    <x v="19"/>
    <s v="SE3_EL"/>
    <x v="5"/>
    <x v="120"/>
    <x v="0"/>
    <x v="15"/>
    <n v="27.2206959706959"/>
    <n v="9935.5540293039903"/>
    <n v="35767.994505494396"/>
  </r>
  <r>
    <x v="0"/>
    <x v="0"/>
    <x v="0"/>
    <x v="9"/>
    <x v="19"/>
    <s v="SE3_EL"/>
    <x v="5"/>
    <x v="120"/>
    <x v="0"/>
    <x v="16"/>
    <n v="27.2206959706959"/>
    <n v="9935.5540293039903"/>
    <n v="35767.994505494396"/>
  </r>
  <r>
    <x v="0"/>
    <x v="0"/>
    <x v="0"/>
    <x v="9"/>
    <x v="19"/>
    <s v="SE3_EL"/>
    <x v="5"/>
    <x v="120"/>
    <x v="0"/>
    <x v="17"/>
    <n v="27.2206959706959"/>
    <n v="9935.5540293039903"/>
    <n v="35767.994505494396"/>
  </r>
  <r>
    <x v="0"/>
    <x v="0"/>
    <x v="0"/>
    <x v="9"/>
    <x v="19"/>
    <s v="SE3_EL"/>
    <x v="5"/>
    <x v="120"/>
    <x v="0"/>
    <x v="18"/>
    <n v="27.2206959706959"/>
    <n v="9935.5540293039903"/>
    <n v="35767.994505494396"/>
  </r>
  <r>
    <x v="0"/>
    <x v="0"/>
    <x v="0"/>
    <x v="9"/>
    <x v="19"/>
    <s v="SE3_EL"/>
    <x v="5"/>
    <x v="120"/>
    <x v="0"/>
    <x v="19"/>
    <n v="27.2206959706959"/>
    <n v="9935.5540293039903"/>
    <n v="35767.994505494396"/>
  </r>
  <r>
    <x v="0"/>
    <x v="0"/>
    <x v="0"/>
    <x v="9"/>
    <x v="19"/>
    <s v="SE3_EL"/>
    <x v="5"/>
    <x v="120"/>
    <x v="0"/>
    <x v="20"/>
    <n v="27.2206959706959"/>
    <n v="9935.5540293039903"/>
    <n v="35767.994505494396"/>
  </r>
  <r>
    <x v="0"/>
    <x v="0"/>
    <x v="0"/>
    <x v="9"/>
    <x v="19"/>
    <s v="SE3_EL"/>
    <x v="5"/>
    <x v="120"/>
    <x v="0"/>
    <x v="21"/>
    <n v="27.2206959706959"/>
    <n v="9935.5540293039903"/>
    <n v="35767.994505494396"/>
  </r>
  <r>
    <x v="0"/>
    <x v="0"/>
    <x v="0"/>
    <x v="9"/>
    <x v="19"/>
    <s v="SE3_EL"/>
    <x v="5"/>
    <x v="120"/>
    <x v="0"/>
    <x v="22"/>
    <n v="27.2206959706959"/>
    <n v="9935.5540293039903"/>
    <n v="35767.994505494396"/>
  </r>
  <r>
    <x v="0"/>
    <x v="0"/>
    <x v="0"/>
    <x v="9"/>
    <x v="19"/>
    <s v="SE3_EL"/>
    <x v="5"/>
    <x v="120"/>
    <x v="0"/>
    <x v="23"/>
    <n v="27.2206959706959"/>
    <n v="9935.5540293039903"/>
    <n v="35767.994505494396"/>
  </r>
  <r>
    <x v="0"/>
    <x v="0"/>
    <x v="0"/>
    <x v="9"/>
    <x v="19"/>
    <s v="SE3_EL"/>
    <x v="6"/>
    <x v="194"/>
    <x v="0"/>
    <x v="0"/>
    <n v="86.834079317373494"/>
    <n v="31694.438950841301"/>
    <n v="114099.98022302899"/>
  </r>
  <r>
    <x v="0"/>
    <x v="0"/>
    <x v="0"/>
    <x v="9"/>
    <x v="19"/>
    <s v="SE3_EL"/>
    <x v="6"/>
    <x v="194"/>
    <x v="0"/>
    <x v="1"/>
    <n v="86.834079317373494"/>
    <n v="31694.438950841301"/>
    <n v="114099.98022302899"/>
  </r>
  <r>
    <x v="0"/>
    <x v="0"/>
    <x v="0"/>
    <x v="9"/>
    <x v="19"/>
    <s v="SE3_EL"/>
    <x v="6"/>
    <x v="194"/>
    <x v="0"/>
    <x v="2"/>
    <n v="86.834079317373494"/>
    <n v="31694.438950841301"/>
    <n v="114099.98022302899"/>
  </r>
  <r>
    <x v="0"/>
    <x v="0"/>
    <x v="0"/>
    <x v="9"/>
    <x v="19"/>
    <s v="SE3_EL"/>
    <x v="6"/>
    <x v="194"/>
    <x v="0"/>
    <x v="3"/>
    <n v="86.834079317373494"/>
    <n v="31694.438950841301"/>
    <n v="114099.98022302899"/>
  </r>
  <r>
    <x v="0"/>
    <x v="0"/>
    <x v="0"/>
    <x v="9"/>
    <x v="19"/>
    <s v="SE3_EL"/>
    <x v="6"/>
    <x v="194"/>
    <x v="0"/>
    <x v="4"/>
    <n v="86.834079317373494"/>
    <n v="31694.438950841301"/>
    <n v="114099.98022302899"/>
  </r>
  <r>
    <x v="0"/>
    <x v="0"/>
    <x v="0"/>
    <x v="9"/>
    <x v="19"/>
    <s v="SE3_EL"/>
    <x v="6"/>
    <x v="194"/>
    <x v="0"/>
    <x v="5"/>
    <n v="86.834079317373494"/>
    <n v="31694.438950841301"/>
    <n v="114099.98022302899"/>
  </r>
  <r>
    <x v="0"/>
    <x v="0"/>
    <x v="0"/>
    <x v="9"/>
    <x v="19"/>
    <s v="SE3_EL"/>
    <x v="6"/>
    <x v="194"/>
    <x v="0"/>
    <x v="6"/>
    <n v="86.834079317373494"/>
    <n v="31694.438950841301"/>
    <n v="114099.98022302899"/>
  </r>
  <r>
    <x v="0"/>
    <x v="0"/>
    <x v="0"/>
    <x v="9"/>
    <x v="19"/>
    <s v="SE3_EL"/>
    <x v="6"/>
    <x v="194"/>
    <x v="0"/>
    <x v="7"/>
    <n v="86.834079317373494"/>
    <n v="31694.438950841301"/>
    <n v="114099.98022302899"/>
  </r>
  <r>
    <x v="0"/>
    <x v="0"/>
    <x v="0"/>
    <x v="9"/>
    <x v="19"/>
    <s v="SE3_EL"/>
    <x v="6"/>
    <x v="194"/>
    <x v="0"/>
    <x v="8"/>
    <n v="86.834079317373494"/>
    <n v="31694.438950841301"/>
    <n v="114099.98022302899"/>
  </r>
  <r>
    <x v="0"/>
    <x v="0"/>
    <x v="0"/>
    <x v="9"/>
    <x v="19"/>
    <s v="SE3_EL"/>
    <x v="6"/>
    <x v="194"/>
    <x v="0"/>
    <x v="9"/>
    <n v="86.834079317373494"/>
    <n v="31694.438950841301"/>
    <n v="114099.98022302899"/>
  </r>
  <r>
    <x v="0"/>
    <x v="0"/>
    <x v="0"/>
    <x v="9"/>
    <x v="19"/>
    <s v="SE3_EL"/>
    <x v="6"/>
    <x v="194"/>
    <x v="0"/>
    <x v="10"/>
    <n v="86.834079317373494"/>
    <n v="31694.438950841301"/>
    <n v="114099.98022302899"/>
  </r>
  <r>
    <x v="0"/>
    <x v="0"/>
    <x v="0"/>
    <x v="9"/>
    <x v="19"/>
    <s v="SE3_EL"/>
    <x v="6"/>
    <x v="194"/>
    <x v="0"/>
    <x v="11"/>
    <n v="86.834079317373494"/>
    <n v="31694.438950841301"/>
    <n v="114099.98022302899"/>
  </r>
  <r>
    <x v="0"/>
    <x v="0"/>
    <x v="0"/>
    <x v="9"/>
    <x v="19"/>
    <s v="SE3_EL"/>
    <x v="6"/>
    <x v="194"/>
    <x v="0"/>
    <x v="12"/>
    <n v="86.834079317373494"/>
    <n v="31694.438950841301"/>
    <n v="114099.98022302899"/>
  </r>
  <r>
    <x v="0"/>
    <x v="0"/>
    <x v="0"/>
    <x v="9"/>
    <x v="19"/>
    <s v="SE3_EL"/>
    <x v="6"/>
    <x v="194"/>
    <x v="0"/>
    <x v="13"/>
    <n v="86.834079317373494"/>
    <n v="31694.438950841301"/>
    <n v="114099.98022302899"/>
  </r>
  <r>
    <x v="0"/>
    <x v="0"/>
    <x v="0"/>
    <x v="9"/>
    <x v="19"/>
    <s v="SE3_EL"/>
    <x v="6"/>
    <x v="194"/>
    <x v="0"/>
    <x v="14"/>
    <n v="86.834079317373494"/>
    <n v="31694.438950841301"/>
    <n v="114099.98022302899"/>
  </r>
  <r>
    <x v="0"/>
    <x v="0"/>
    <x v="0"/>
    <x v="9"/>
    <x v="19"/>
    <s v="SE3_EL"/>
    <x v="6"/>
    <x v="194"/>
    <x v="0"/>
    <x v="15"/>
    <n v="86.834079317373494"/>
    <n v="31694.438950841301"/>
    <n v="114099.98022302899"/>
  </r>
  <r>
    <x v="0"/>
    <x v="0"/>
    <x v="0"/>
    <x v="9"/>
    <x v="19"/>
    <s v="SE3_EL"/>
    <x v="6"/>
    <x v="194"/>
    <x v="0"/>
    <x v="16"/>
    <n v="86.834079317373494"/>
    <n v="31694.438950841301"/>
    <n v="114099.98022302899"/>
  </r>
  <r>
    <x v="0"/>
    <x v="0"/>
    <x v="0"/>
    <x v="9"/>
    <x v="19"/>
    <s v="SE3_EL"/>
    <x v="6"/>
    <x v="194"/>
    <x v="0"/>
    <x v="17"/>
    <n v="86.834079317373494"/>
    <n v="31694.438950841301"/>
    <n v="114099.98022302899"/>
  </r>
  <r>
    <x v="0"/>
    <x v="0"/>
    <x v="0"/>
    <x v="9"/>
    <x v="19"/>
    <s v="SE3_EL"/>
    <x v="6"/>
    <x v="194"/>
    <x v="0"/>
    <x v="18"/>
    <n v="86.834079317373494"/>
    <n v="31694.438950841301"/>
    <n v="114099.98022302899"/>
  </r>
  <r>
    <x v="0"/>
    <x v="0"/>
    <x v="0"/>
    <x v="9"/>
    <x v="19"/>
    <s v="SE3_EL"/>
    <x v="6"/>
    <x v="194"/>
    <x v="0"/>
    <x v="19"/>
    <n v="86.834079317373494"/>
    <n v="31694.438950841301"/>
    <n v="114099.98022302899"/>
  </r>
  <r>
    <x v="0"/>
    <x v="0"/>
    <x v="0"/>
    <x v="9"/>
    <x v="19"/>
    <s v="SE3_EL"/>
    <x v="6"/>
    <x v="194"/>
    <x v="0"/>
    <x v="20"/>
    <n v="86.834079317373494"/>
    <n v="31694.438950841301"/>
    <n v="114099.98022302899"/>
  </r>
  <r>
    <x v="0"/>
    <x v="0"/>
    <x v="0"/>
    <x v="9"/>
    <x v="19"/>
    <s v="SE3_EL"/>
    <x v="6"/>
    <x v="194"/>
    <x v="0"/>
    <x v="21"/>
    <n v="86.834079317373494"/>
    <n v="31694.438950841301"/>
    <n v="114099.98022302899"/>
  </r>
  <r>
    <x v="0"/>
    <x v="0"/>
    <x v="0"/>
    <x v="9"/>
    <x v="19"/>
    <s v="SE3_EL"/>
    <x v="6"/>
    <x v="194"/>
    <x v="0"/>
    <x v="22"/>
    <n v="86.834079317373494"/>
    <n v="31694.438950841301"/>
    <n v="114099.98022302899"/>
  </r>
  <r>
    <x v="0"/>
    <x v="0"/>
    <x v="0"/>
    <x v="9"/>
    <x v="19"/>
    <s v="SE3_EL"/>
    <x v="6"/>
    <x v="194"/>
    <x v="0"/>
    <x v="23"/>
    <n v="86.834079317373494"/>
    <n v="31694.438950841301"/>
    <n v="114099.98022302899"/>
  </r>
  <r>
    <x v="0"/>
    <x v="0"/>
    <x v="0"/>
    <x v="9"/>
    <x v="19"/>
    <s v="SE3_EL"/>
    <x v="11"/>
    <x v="193"/>
    <x v="0"/>
    <x v="0"/>
    <n v="307.28721541155898"/>
    <n v="112159.83362521901"/>
    <n v="403775.401050788"/>
  </r>
  <r>
    <x v="0"/>
    <x v="0"/>
    <x v="0"/>
    <x v="9"/>
    <x v="19"/>
    <s v="SE3_EL"/>
    <x v="11"/>
    <x v="193"/>
    <x v="0"/>
    <x v="1"/>
    <n v="307.28721541155898"/>
    <n v="112159.83362521901"/>
    <n v="403775.401050788"/>
  </r>
  <r>
    <x v="0"/>
    <x v="0"/>
    <x v="0"/>
    <x v="9"/>
    <x v="19"/>
    <s v="SE3_EL"/>
    <x v="11"/>
    <x v="193"/>
    <x v="0"/>
    <x v="2"/>
    <n v="307.28721541155898"/>
    <n v="112159.83362521901"/>
    <n v="403775.401050788"/>
  </r>
  <r>
    <x v="0"/>
    <x v="0"/>
    <x v="0"/>
    <x v="9"/>
    <x v="19"/>
    <s v="SE3_EL"/>
    <x v="11"/>
    <x v="193"/>
    <x v="0"/>
    <x v="3"/>
    <n v="307.28721541155898"/>
    <n v="112159.83362521901"/>
    <n v="403775.401050788"/>
  </r>
  <r>
    <x v="0"/>
    <x v="0"/>
    <x v="0"/>
    <x v="9"/>
    <x v="19"/>
    <s v="SE3_EL"/>
    <x v="11"/>
    <x v="193"/>
    <x v="0"/>
    <x v="4"/>
    <n v="307.28721541155898"/>
    <n v="112159.83362521901"/>
    <n v="403775.401050788"/>
  </r>
  <r>
    <x v="0"/>
    <x v="0"/>
    <x v="0"/>
    <x v="9"/>
    <x v="19"/>
    <s v="SE3_EL"/>
    <x v="11"/>
    <x v="193"/>
    <x v="0"/>
    <x v="5"/>
    <n v="307.28721541155898"/>
    <n v="112159.83362521901"/>
    <n v="403775.401050788"/>
  </r>
  <r>
    <x v="0"/>
    <x v="0"/>
    <x v="0"/>
    <x v="9"/>
    <x v="19"/>
    <s v="SE3_EL"/>
    <x v="11"/>
    <x v="193"/>
    <x v="0"/>
    <x v="6"/>
    <n v="307.28721541155898"/>
    <n v="112159.83362521901"/>
    <n v="403775.401050788"/>
  </r>
  <r>
    <x v="0"/>
    <x v="0"/>
    <x v="0"/>
    <x v="9"/>
    <x v="19"/>
    <s v="SE3_EL"/>
    <x v="11"/>
    <x v="193"/>
    <x v="0"/>
    <x v="7"/>
    <n v="307.28721541155898"/>
    <n v="112159.83362521901"/>
    <n v="403775.401050788"/>
  </r>
  <r>
    <x v="0"/>
    <x v="0"/>
    <x v="0"/>
    <x v="9"/>
    <x v="19"/>
    <s v="SE3_EL"/>
    <x v="11"/>
    <x v="193"/>
    <x v="0"/>
    <x v="8"/>
    <n v="307.28721541155898"/>
    <n v="112159.83362521901"/>
    <n v="403775.401050788"/>
  </r>
  <r>
    <x v="0"/>
    <x v="0"/>
    <x v="0"/>
    <x v="9"/>
    <x v="19"/>
    <s v="SE3_EL"/>
    <x v="11"/>
    <x v="193"/>
    <x v="0"/>
    <x v="9"/>
    <n v="307.28721541155898"/>
    <n v="112159.83362521901"/>
    <n v="403775.401050788"/>
  </r>
  <r>
    <x v="0"/>
    <x v="0"/>
    <x v="0"/>
    <x v="9"/>
    <x v="19"/>
    <s v="SE3_EL"/>
    <x v="11"/>
    <x v="193"/>
    <x v="0"/>
    <x v="10"/>
    <n v="307.28721541155898"/>
    <n v="112159.83362521901"/>
    <n v="403775.401050788"/>
  </r>
  <r>
    <x v="0"/>
    <x v="0"/>
    <x v="0"/>
    <x v="9"/>
    <x v="19"/>
    <s v="SE3_EL"/>
    <x v="11"/>
    <x v="193"/>
    <x v="0"/>
    <x v="11"/>
    <n v="307.28721541155898"/>
    <n v="112159.83362521901"/>
    <n v="403775.401050788"/>
  </r>
  <r>
    <x v="0"/>
    <x v="0"/>
    <x v="0"/>
    <x v="9"/>
    <x v="19"/>
    <s v="SE3_EL"/>
    <x v="11"/>
    <x v="193"/>
    <x v="0"/>
    <x v="12"/>
    <n v="307.28721541155898"/>
    <n v="112159.83362521901"/>
    <n v="403775.401050788"/>
  </r>
  <r>
    <x v="0"/>
    <x v="0"/>
    <x v="0"/>
    <x v="9"/>
    <x v="19"/>
    <s v="SE3_EL"/>
    <x v="11"/>
    <x v="193"/>
    <x v="0"/>
    <x v="13"/>
    <n v="307.28721541155898"/>
    <n v="112159.83362521901"/>
    <n v="403775.401050788"/>
  </r>
  <r>
    <x v="0"/>
    <x v="0"/>
    <x v="0"/>
    <x v="9"/>
    <x v="19"/>
    <s v="SE3_EL"/>
    <x v="11"/>
    <x v="193"/>
    <x v="0"/>
    <x v="14"/>
    <n v="307.28721541155898"/>
    <n v="112159.83362521901"/>
    <n v="403775.401050788"/>
  </r>
  <r>
    <x v="0"/>
    <x v="0"/>
    <x v="0"/>
    <x v="9"/>
    <x v="19"/>
    <s v="SE3_EL"/>
    <x v="11"/>
    <x v="193"/>
    <x v="0"/>
    <x v="15"/>
    <n v="307.28721541155898"/>
    <n v="112159.83362521901"/>
    <n v="403775.401050788"/>
  </r>
  <r>
    <x v="0"/>
    <x v="0"/>
    <x v="0"/>
    <x v="9"/>
    <x v="19"/>
    <s v="SE3_EL"/>
    <x v="11"/>
    <x v="193"/>
    <x v="0"/>
    <x v="16"/>
    <n v="307.28721541155898"/>
    <n v="112159.83362521901"/>
    <n v="403775.401050788"/>
  </r>
  <r>
    <x v="0"/>
    <x v="0"/>
    <x v="0"/>
    <x v="9"/>
    <x v="19"/>
    <s v="SE3_EL"/>
    <x v="11"/>
    <x v="193"/>
    <x v="0"/>
    <x v="17"/>
    <n v="307.28721541155898"/>
    <n v="112159.83362521901"/>
    <n v="403775.401050788"/>
  </r>
  <r>
    <x v="0"/>
    <x v="0"/>
    <x v="0"/>
    <x v="9"/>
    <x v="19"/>
    <s v="SE3_EL"/>
    <x v="11"/>
    <x v="193"/>
    <x v="0"/>
    <x v="18"/>
    <n v="307.28721541155898"/>
    <n v="112159.83362521901"/>
    <n v="403775.401050788"/>
  </r>
  <r>
    <x v="0"/>
    <x v="0"/>
    <x v="0"/>
    <x v="9"/>
    <x v="19"/>
    <s v="SE3_EL"/>
    <x v="11"/>
    <x v="193"/>
    <x v="0"/>
    <x v="19"/>
    <n v="307.28721541155898"/>
    <n v="112159.83362521901"/>
    <n v="403775.401050788"/>
  </r>
  <r>
    <x v="0"/>
    <x v="0"/>
    <x v="0"/>
    <x v="9"/>
    <x v="19"/>
    <s v="SE3_EL"/>
    <x v="11"/>
    <x v="193"/>
    <x v="0"/>
    <x v="20"/>
    <n v="307.28721541155898"/>
    <n v="112159.83362521901"/>
    <n v="403775.401050788"/>
  </r>
  <r>
    <x v="0"/>
    <x v="0"/>
    <x v="0"/>
    <x v="9"/>
    <x v="19"/>
    <s v="SE3_EL"/>
    <x v="11"/>
    <x v="193"/>
    <x v="0"/>
    <x v="21"/>
    <n v="307.28721541155898"/>
    <n v="112159.83362521901"/>
    <n v="403775.401050788"/>
  </r>
  <r>
    <x v="0"/>
    <x v="0"/>
    <x v="0"/>
    <x v="9"/>
    <x v="19"/>
    <s v="SE3_EL"/>
    <x v="11"/>
    <x v="193"/>
    <x v="0"/>
    <x v="22"/>
    <n v="307.28721541155898"/>
    <n v="112159.83362521901"/>
    <n v="403775.401050788"/>
  </r>
  <r>
    <x v="0"/>
    <x v="0"/>
    <x v="0"/>
    <x v="9"/>
    <x v="19"/>
    <s v="SE3_EL"/>
    <x v="11"/>
    <x v="193"/>
    <x v="0"/>
    <x v="23"/>
    <n v="307.28721541155898"/>
    <n v="112159.83362521901"/>
    <n v="403775.401050788"/>
  </r>
  <r>
    <x v="0"/>
    <x v="0"/>
    <x v="0"/>
    <x v="9"/>
    <x v="19"/>
    <s v="SE3_EL"/>
    <x v="11"/>
    <x v="203"/>
    <x v="0"/>
    <x v="0"/>
    <n v="211.35851888916599"/>
    <n v="77145.859394545696"/>
    <n v="277725.09382036497"/>
  </r>
  <r>
    <x v="0"/>
    <x v="0"/>
    <x v="0"/>
    <x v="9"/>
    <x v="19"/>
    <s v="SE3_EL"/>
    <x v="11"/>
    <x v="203"/>
    <x v="0"/>
    <x v="1"/>
    <n v="211.35851888916599"/>
    <n v="77145.859394545696"/>
    <n v="277725.09382036497"/>
  </r>
  <r>
    <x v="0"/>
    <x v="0"/>
    <x v="0"/>
    <x v="9"/>
    <x v="19"/>
    <s v="SE3_EL"/>
    <x v="11"/>
    <x v="203"/>
    <x v="0"/>
    <x v="2"/>
    <n v="211.35851888916599"/>
    <n v="77145.859394545696"/>
    <n v="277725.09382036497"/>
  </r>
  <r>
    <x v="0"/>
    <x v="0"/>
    <x v="0"/>
    <x v="9"/>
    <x v="19"/>
    <s v="SE3_EL"/>
    <x v="11"/>
    <x v="203"/>
    <x v="0"/>
    <x v="3"/>
    <n v="211.35851888916599"/>
    <n v="77145.859394545696"/>
    <n v="277725.09382036497"/>
  </r>
  <r>
    <x v="0"/>
    <x v="0"/>
    <x v="0"/>
    <x v="9"/>
    <x v="19"/>
    <s v="SE3_EL"/>
    <x v="11"/>
    <x v="203"/>
    <x v="0"/>
    <x v="4"/>
    <n v="211.35851888916599"/>
    <n v="77145.859394545696"/>
    <n v="277725.09382036497"/>
  </r>
  <r>
    <x v="0"/>
    <x v="0"/>
    <x v="0"/>
    <x v="9"/>
    <x v="19"/>
    <s v="SE3_EL"/>
    <x v="11"/>
    <x v="203"/>
    <x v="0"/>
    <x v="5"/>
    <n v="211.35851888916599"/>
    <n v="77145.859394545696"/>
    <n v="277725.09382036497"/>
  </r>
  <r>
    <x v="0"/>
    <x v="0"/>
    <x v="0"/>
    <x v="9"/>
    <x v="19"/>
    <s v="SE3_EL"/>
    <x v="11"/>
    <x v="203"/>
    <x v="0"/>
    <x v="6"/>
    <n v="211.35851888916599"/>
    <n v="77145.859394545696"/>
    <n v="277725.09382036497"/>
  </r>
  <r>
    <x v="0"/>
    <x v="0"/>
    <x v="0"/>
    <x v="9"/>
    <x v="19"/>
    <s v="SE3_EL"/>
    <x v="11"/>
    <x v="203"/>
    <x v="0"/>
    <x v="7"/>
    <n v="211.35851888916599"/>
    <n v="77145.859394545696"/>
    <n v="277725.09382036497"/>
  </r>
  <r>
    <x v="0"/>
    <x v="0"/>
    <x v="0"/>
    <x v="9"/>
    <x v="19"/>
    <s v="SE3_EL"/>
    <x v="11"/>
    <x v="203"/>
    <x v="0"/>
    <x v="8"/>
    <n v="211.35851888916599"/>
    <n v="77145.859394545696"/>
    <n v="277725.09382036497"/>
  </r>
  <r>
    <x v="0"/>
    <x v="0"/>
    <x v="0"/>
    <x v="9"/>
    <x v="19"/>
    <s v="SE3_EL"/>
    <x v="11"/>
    <x v="203"/>
    <x v="0"/>
    <x v="9"/>
    <n v="211.35851888916599"/>
    <n v="77145.859394545696"/>
    <n v="277725.09382036497"/>
  </r>
  <r>
    <x v="0"/>
    <x v="0"/>
    <x v="0"/>
    <x v="9"/>
    <x v="19"/>
    <s v="SE3_EL"/>
    <x v="11"/>
    <x v="203"/>
    <x v="0"/>
    <x v="10"/>
    <n v="211.35851888916599"/>
    <n v="77145.859394545696"/>
    <n v="277725.09382036497"/>
  </r>
  <r>
    <x v="0"/>
    <x v="0"/>
    <x v="0"/>
    <x v="9"/>
    <x v="19"/>
    <s v="SE3_EL"/>
    <x v="11"/>
    <x v="203"/>
    <x v="0"/>
    <x v="11"/>
    <n v="211.35851888916599"/>
    <n v="77145.859394545696"/>
    <n v="277725.09382036497"/>
  </r>
  <r>
    <x v="0"/>
    <x v="0"/>
    <x v="0"/>
    <x v="9"/>
    <x v="19"/>
    <s v="SE3_EL"/>
    <x v="11"/>
    <x v="203"/>
    <x v="0"/>
    <x v="12"/>
    <n v="211.35851888916599"/>
    <n v="77145.859394545696"/>
    <n v="277725.09382036497"/>
  </r>
  <r>
    <x v="0"/>
    <x v="0"/>
    <x v="0"/>
    <x v="9"/>
    <x v="19"/>
    <s v="SE3_EL"/>
    <x v="11"/>
    <x v="203"/>
    <x v="0"/>
    <x v="13"/>
    <n v="211.35851888916599"/>
    <n v="77145.859394545696"/>
    <n v="277725.09382036497"/>
  </r>
  <r>
    <x v="0"/>
    <x v="0"/>
    <x v="0"/>
    <x v="9"/>
    <x v="19"/>
    <s v="SE3_EL"/>
    <x v="11"/>
    <x v="203"/>
    <x v="0"/>
    <x v="14"/>
    <n v="211.35851888916599"/>
    <n v="77145.859394545696"/>
    <n v="277725.09382036497"/>
  </r>
  <r>
    <x v="0"/>
    <x v="0"/>
    <x v="0"/>
    <x v="9"/>
    <x v="19"/>
    <s v="SE3_EL"/>
    <x v="11"/>
    <x v="203"/>
    <x v="0"/>
    <x v="15"/>
    <n v="211.35851888916599"/>
    <n v="77145.859394545696"/>
    <n v="277725.09382036497"/>
  </r>
  <r>
    <x v="0"/>
    <x v="0"/>
    <x v="0"/>
    <x v="9"/>
    <x v="19"/>
    <s v="SE3_EL"/>
    <x v="11"/>
    <x v="203"/>
    <x v="0"/>
    <x v="16"/>
    <n v="211.35851888916599"/>
    <n v="77145.859394545696"/>
    <n v="277725.09382036497"/>
  </r>
  <r>
    <x v="0"/>
    <x v="0"/>
    <x v="0"/>
    <x v="9"/>
    <x v="19"/>
    <s v="SE3_EL"/>
    <x v="11"/>
    <x v="203"/>
    <x v="0"/>
    <x v="17"/>
    <n v="211.35851888916599"/>
    <n v="77145.859394545696"/>
    <n v="277725.09382036497"/>
  </r>
  <r>
    <x v="0"/>
    <x v="0"/>
    <x v="0"/>
    <x v="9"/>
    <x v="19"/>
    <s v="SE3_EL"/>
    <x v="11"/>
    <x v="203"/>
    <x v="0"/>
    <x v="18"/>
    <n v="211.35851888916599"/>
    <n v="77145.859394545696"/>
    <n v="277725.09382036497"/>
  </r>
  <r>
    <x v="0"/>
    <x v="0"/>
    <x v="0"/>
    <x v="9"/>
    <x v="19"/>
    <s v="SE3_EL"/>
    <x v="11"/>
    <x v="203"/>
    <x v="0"/>
    <x v="19"/>
    <n v="211.35851888916599"/>
    <n v="77145.859394545696"/>
    <n v="277725.09382036497"/>
  </r>
  <r>
    <x v="0"/>
    <x v="0"/>
    <x v="0"/>
    <x v="9"/>
    <x v="19"/>
    <s v="SE3_EL"/>
    <x v="11"/>
    <x v="203"/>
    <x v="0"/>
    <x v="20"/>
    <n v="211.35851888916599"/>
    <n v="77145.859394545696"/>
    <n v="277725.09382036497"/>
  </r>
  <r>
    <x v="0"/>
    <x v="0"/>
    <x v="0"/>
    <x v="9"/>
    <x v="19"/>
    <s v="SE3_EL"/>
    <x v="11"/>
    <x v="203"/>
    <x v="0"/>
    <x v="21"/>
    <n v="211.35851888916599"/>
    <n v="77145.859394545696"/>
    <n v="277725.09382036497"/>
  </r>
  <r>
    <x v="0"/>
    <x v="0"/>
    <x v="0"/>
    <x v="9"/>
    <x v="19"/>
    <s v="SE3_EL"/>
    <x v="11"/>
    <x v="203"/>
    <x v="0"/>
    <x v="22"/>
    <n v="211.35851888916599"/>
    <n v="77145.859394545696"/>
    <n v="277725.09382036497"/>
  </r>
  <r>
    <x v="0"/>
    <x v="0"/>
    <x v="0"/>
    <x v="9"/>
    <x v="19"/>
    <s v="SE3_EL"/>
    <x v="11"/>
    <x v="203"/>
    <x v="0"/>
    <x v="23"/>
    <n v="211.35851888916599"/>
    <n v="77145.859394545696"/>
    <n v="277725.09382036497"/>
  </r>
  <r>
    <x v="0"/>
    <x v="0"/>
    <x v="0"/>
    <x v="9"/>
    <x v="19"/>
    <s v="SE3_EL"/>
    <x v="11"/>
    <x v="122"/>
    <x v="0"/>
    <x v="0"/>
    <n v="67.175380653136898"/>
    <n v="24519.013938395001"/>
    <n v="88268.450178221901"/>
  </r>
  <r>
    <x v="0"/>
    <x v="0"/>
    <x v="0"/>
    <x v="9"/>
    <x v="19"/>
    <s v="SE3_EL"/>
    <x v="11"/>
    <x v="122"/>
    <x v="0"/>
    <x v="1"/>
    <n v="67.175380653136898"/>
    <n v="24519.013938395001"/>
    <n v="88268.450178221901"/>
  </r>
  <r>
    <x v="0"/>
    <x v="0"/>
    <x v="0"/>
    <x v="9"/>
    <x v="19"/>
    <s v="SE3_EL"/>
    <x v="11"/>
    <x v="122"/>
    <x v="0"/>
    <x v="2"/>
    <n v="67.175380653136898"/>
    <n v="24519.013938395001"/>
    <n v="88268.450178221901"/>
  </r>
  <r>
    <x v="0"/>
    <x v="0"/>
    <x v="0"/>
    <x v="9"/>
    <x v="19"/>
    <s v="SE3_EL"/>
    <x v="11"/>
    <x v="122"/>
    <x v="0"/>
    <x v="3"/>
    <n v="67.175380653136898"/>
    <n v="24519.013938395001"/>
    <n v="88268.450178221901"/>
  </r>
  <r>
    <x v="0"/>
    <x v="0"/>
    <x v="0"/>
    <x v="9"/>
    <x v="19"/>
    <s v="SE3_EL"/>
    <x v="11"/>
    <x v="122"/>
    <x v="0"/>
    <x v="4"/>
    <n v="67.175380653136898"/>
    <n v="24519.013938395001"/>
    <n v="88268.450178221901"/>
  </r>
  <r>
    <x v="0"/>
    <x v="0"/>
    <x v="0"/>
    <x v="9"/>
    <x v="19"/>
    <s v="SE3_EL"/>
    <x v="11"/>
    <x v="122"/>
    <x v="0"/>
    <x v="5"/>
    <n v="67.175380653136898"/>
    <n v="24519.013938395001"/>
    <n v="88268.450178221901"/>
  </r>
  <r>
    <x v="0"/>
    <x v="0"/>
    <x v="0"/>
    <x v="9"/>
    <x v="19"/>
    <s v="SE3_EL"/>
    <x v="11"/>
    <x v="122"/>
    <x v="0"/>
    <x v="6"/>
    <n v="67.175380653136898"/>
    <n v="24519.013938395001"/>
    <n v="88268.450178221901"/>
  </r>
  <r>
    <x v="0"/>
    <x v="0"/>
    <x v="0"/>
    <x v="9"/>
    <x v="19"/>
    <s v="SE3_EL"/>
    <x v="11"/>
    <x v="122"/>
    <x v="0"/>
    <x v="7"/>
    <n v="67.175380653136898"/>
    <n v="24519.013938395001"/>
    <n v="88268.450178221901"/>
  </r>
  <r>
    <x v="0"/>
    <x v="0"/>
    <x v="0"/>
    <x v="9"/>
    <x v="19"/>
    <s v="SE3_EL"/>
    <x v="11"/>
    <x v="122"/>
    <x v="0"/>
    <x v="8"/>
    <n v="67.175380653136898"/>
    <n v="24519.013938395001"/>
    <n v="88268.450178221901"/>
  </r>
  <r>
    <x v="0"/>
    <x v="0"/>
    <x v="0"/>
    <x v="9"/>
    <x v="19"/>
    <s v="SE3_EL"/>
    <x v="11"/>
    <x v="122"/>
    <x v="0"/>
    <x v="9"/>
    <n v="67.175380653136898"/>
    <n v="24519.013938395001"/>
    <n v="88268.450178221901"/>
  </r>
  <r>
    <x v="0"/>
    <x v="0"/>
    <x v="0"/>
    <x v="9"/>
    <x v="19"/>
    <s v="SE3_EL"/>
    <x v="11"/>
    <x v="122"/>
    <x v="0"/>
    <x v="10"/>
    <n v="67.175380653136898"/>
    <n v="24519.013938395001"/>
    <n v="88268.450178221901"/>
  </r>
  <r>
    <x v="0"/>
    <x v="0"/>
    <x v="0"/>
    <x v="9"/>
    <x v="19"/>
    <s v="SE3_EL"/>
    <x v="11"/>
    <x v="122"/>
    <x v="0"/>
    <x v="11"/>
    <n v="67.175380653136898"/>
    <n v="24519.013938395001"/>
    <n v="88268.450178221901"/>
  </r>
  <r>
    <x v="0"/>
    <x v="0"/>
    <x v="0"/>
    <x v="9"/>
    <x v="19"/>
    <s v="SE3_EL"/>
    <x v="11"/>
    <x v="122"/>
    <x v="0"/>
    <x v="12"/>
    <n v="67.175380653136898"/>
    <n v="24519.013938395001"/>
    <n v="88268.450178221901"/>
  </r>
  <r>
    <x v="0"/>
    <x v="0"/>
    <x v="0"/>
    <x v="9"/>
    <x v="19"/>
    <s v="SE3_EL"/>
    <x v="11"/>
    <x v="122"/>
    <x v="0"/>
    <x v="13"/>
    <n v="67.175380653136898"/>
    <n v="24519.013938395001"/>
    <n v="88268.450178221901"/>
  </r>
  <r>
    <x v="0"/>
    <x v="0"/>
    <x v="0"/>
    <x v="9"/>
    <x v="19"/>
    <s v="SE3_EL"/>
    <x v="11"/>
    <x v="122"/>
    <x v="0"/>
    <x v="14"/>
    <n v="67.175380653136898"/>
    <n v="24519.013938395001"/>
    <n v="88268.450178221901"/>
  </r>
  <r>
    <x v="0"/>
    <x v="0"/>
    <x v="0"/>
    <x v="9"/>
    <x v="19"/>
    <s v="SE3_EL"/>
    <x v="11"/>
    <x v="122"/>
    <x v="0"/>
    <x v="15"/>
    <n v="67.175380653136898"/>
    <n v="24519.013938395001"/>
    <n v="88268.450178221901"/>
  </r>
  <r>
    <x v="0"/>
    <x v="0"/>
    <x v="0"/>
    <x v="9"/>
    <x v="19"/>
    <s v="SE3_EL"/>
    <x v="11"/>
    <x v="122"/>
    <x v="0"/>
    <x v="16"/>
    <n v="67.175380653136898"/>
    <n v="24519.013938395001"/>
    <n v="88268.450178221901"/>
  </r>
  <r>
    <x v="0"/>
    <x v="0"/>
    <x v="0"/>
    <x v="9"/>
    <x v="19"/>
    <s v="SE3_EL"/>
    <x v="11"/>
    <x v="122"/>
    <x v="0"/>
    <x v="17"/>
    <n v="67.175380653136898"/>
    <n v="24519.013938395001"/>
    <n v="88268.450178221901"/>
  </r>
  <r>
    <x v="0"/>
    <x v="0"/>
    <x v="0"/>
    <x v="9"/>
    <x v="19"/>
    <s v="SE3_EL"/>
    <x v="11"/>
    <x v="122"/>
    <x v="0"/>
    <x v="18"/>
    <n v="67.175380653136898"/>
    <n v="24519.013938395001"/>
    <n v="88268.450178221901"/>
  </r>
  <r>
    <x v="0"/>
    <x v="0"/>
    <x v="0"/>
    <x v="9"/>
    <x v="19"/>
    <s v="SE3_EL"/>
    <x v="11"/>
    <x v="122"/>
    <x v="0"/>
    <x v="19"/>
    <n v="67.175380653136898"/>
    <n v="24519.013938395001"/>
    <n v="88268.450178221901"/>
  </r>
  <r>
    <x v="0"/>
    <x v="0"/>
    <x v="0"/>
    <x v="9"/>
    <x v="19"/>
    <s v="SE3_EL"/>
    <x v="11"/>
    <x v="122"/>
    <x v="0"/>
    <x v="20"/>
    <n v="67.175380653136898"/>
    <n v="24519.013938395001"/>
    <n v="88268.450178221901"/>
  </r>
  <r>
    <x v="0"/>
    <x v="0"/>
    <x v="0"/>
    <x v="9"/>
    <x v="19"/>
    <s v="SE3_EL"/>
    <x v="11"/>
    <x v="122"/>
    <x v="0"/>
    <x v="21"/>
    <n v="67.175380653136898"/>
    <n v="24519.013938395001"/>
    <n v="88268.450178221901"/>
  </r>
  <r>
    <x v="0"/>
    <x v="0"/>
    <x v="0"/>
    <x v="9"/>
    <x v="19"/>
    <s v="SE3_EL"/>
    <x v="11"/>
    <x v="122"/>
    <x v="0"/>
    <x v="22"/>
    <n v="67.175380653136898"/>
    <n v="24519.013938395001"/>
    <n v="88268.450178221901"/>
  </r>
  <r>
    <x v="0"/>
    <x v="0"/>
    <x v="0"/>
    <x v="9"/>
    <x v="19"/>
    <s v="SE3_EL"/>
    <x v="11"/>
    <x v="122"/>
    <x v="0"/>
    <x v="23"/>
    <n v="67.175380653136898"/>
    <n v="24519.013938395001"/>
    <n v="88268.450178221901"/>
  </r>
  <r>
    <x v="0"/>
    <x v="0"/>
    <x v="0"/>
    <x v="9"/>
    <x v="19"/>
    <s v="SE3_GOT"/>
    <x v="2"/>
    <x v="196"/>
    <x v="0"/>
    <x v="0"/>
    <n v="233.07407407407399"/>
    <n v="85072.037037037095"/>
    <n v="306259.33333333302"/>
  </r>
  <r>
    <x v="0"/>
    <x v="0"/>
    <x v="0"/>
    <x v="9"/>
    <x v="19"/>
    <s v="SE3_GOT"/>
    <x v="2"/>
    <x v="196"/>
    <x v="0"/>
    <x v="1"/>
    <n v="233.07407407407399"/>
    <n v="85072.037037037095"/>
    <n v="306259.33333333302"/>
  </r>
  <r>
    <x v="0"/>
    <x v="0"/>
    <x v="0"/>
    <x v="9"/>
    <x v="19"/>
    <s v="SE3_GOT"/>
    <x v="2"/>
    <x v="196"/>
    <x v="0"/>
    <x v="2"/>
    <n v="233.07407407407399"/>
    <n v="85072.037037037095"/>
    <n v="306259.33333333302"/>
  </r>
  <r>
    <x v="0"/>
    <x v="0"/>
    <x v="0"/>
    <x v="9"/>
    <x v="19"/>
    <s v="SE3_GOT"/>
    <x v="2"/>
    <x v="196"/>
    <x v="0"/>
    <x v="3"/>
    <n v="233.07407407407399"/>
    <n v="85072.037037037095"/>
    <n v="306259.33333333302"/>
  </r>
  <r>
    <x v="0"/>
    <x v="0"/>
    <x v="0"/>
    <x v="9"/>
    <x v="19"/>
    <s v="SE3_GOT"/>
    <x v="2"/>
    <x v="196"/>
    <x v="0"/>
    <x v="4"/>
    <n v="233.07407407407399"/>
    <n v="85072.037037037095"/>
    <n v="306259.33333333302"/>
  </r>
  <r>
    <x v="0"/>
    <x v="0"/>
    <x v="0"/>
    <x v="9"/>
    <x v="19"/>
    <s v="SE3_GOT"/>
    <x v="2"/>
    <x v="196"/>
    <x v="0"/>
    <x v="5"/>
    <n v="233.07407407407399"/>
    <n v="85072.037037037095"/>
    <n v="306259.33333333302"/>
  </r>
  <r>
    <x v="0"/>
    <x v="0"/>
    <x v="0"/>
    <x v="9"/>
    <x v="19"/>
    <s v="SE3_GOT"/>
    <x v="2"/>
    <x v="196"/>
    <x v="0"/>
    <x v="6"/>
    <n v="233.07407407407399"/>
    <n v="85072.037037037095"/>
    <n v="306259.33333333302"/>
  </r>
  <r>
    <x v="0"/>
    <x v="0"/>
    <x v="0"/>
    <x v="9"/>
    <x v="19"/>
    <s v="SE3_GOT"/>
    <x v="2"/>
    <x v="196"/>
    <x v="0"/>
    <x v="7"/>
    <n v="233.07407407407399"/>
    <n v="85072.037037037095"/>
    <n v="306259.33333333302"/>
  </r>
  <r>
    <x v="0"/>
    <x v="0"/>
    <x v="0"/>
    <x v="9"/>
    <x v="19"/>
    <s v="SE3_GOT"/>
    <x v="2"/>
    <x v="196"/>
    <x v="0"/>
    <x v="8"/>
    <n v="233.07407407407399"/>
    <n v="85072.037037037095"/>
    <n v="306259.33333333302"/>
  </r>
  <r>
    <x v="0"/>
    <x v="0"/>
    <x v="0"/>
    <x v="9"/>
    <x v="19"/>
    <s v="SE3_GOT"/>
    <x v="2"/>
    <x v="196"/>
    <x v="0"/>
    <x v="9"/>
    <n v="233.07407407407399"/>
    <n v="85072.037037037095"/>
    <n v="306259.33333333302"/>
  </r>
  <r>
    <x v="0"/>
    <x v="0"/>
    <x v="0"/>
    <x v="9"/>
    <x v="19"/>
    <s v="SE3_GOT"/>
    <x v="2"/>
    <x v="196"/>
    <x v="0"/>
    <x v="10"/>
    <n v="233.07407407407399"/>
    <n v="85072.037037037095"/>
    <n v="306259.33333333302"/>
  </r>
  <r>
    <x v="0"/>
    <x v="0"/>
    <x v="0"/>
    <x v="9"/>
    <x v="19"/>
    <s v="SE3_GOT"/>
    <x v="2"/>
    <x v="196"/>
    <x v="0"/>
    <x v="11"/>
    <n v="233.07407407407399"/>
    <n v="85072.037037037095"/>
    <n v="306259.33333333302"/>
  </r>
  <r>
    <x v="0"/>
    <x v="0"/>
    <x v="0"/>
    <x v="9"/>
    <x v="19"/>
    <s v="SE3_GOT"/>
    <x v="2"/>
    <x v="196"/>
    <x v="0"/>
    <x v="12"/>
    <n v="233.07407407407399"/>
    <n v="85072.037037037095"/>
    <n v="306259.33333333302"/>
  </r>
  <r>
    <x v="0"/>
    <x v="0"/>
    <x v="0"/>
    <x v="9"/>
    <x v="19"/>
    <s v="SE3_GOT"/>
    <x v="2"/>
    <x v="196"/>
    <x v="0"/>
    <x v="13"/>
    <n v="233.07407407407399"/>
    <n v="85072.037037037095"/>
    <n v="306259.33333333302"/>
  </r>
  <r>
    <x v="0"/>
    <x v="0"/>
    <x v="0"/>
    <x v="9"/>
    <x v="19"/>
    <s v="SE3_GOT"/>
    <x v="2"/>
    <x v="196"/>
    <x v="0"/>
    <x v="14"/>
    <n v="233.07407407407399"/>
    <n v="85072.037037037095"/>
    <n v="306259.33333333302"/>
  </r>
  <r>
    <x v="0"/>
    <x v="0"/>
    <x v="0"/>
    <x v="9"/>
    <x v="19"/>
    <s v="SE3_GOT"/>
    <x v="2"/>
    <x v="196"/>
    <x v="0"/>
    <x v="15"/>
    <n v="233.07407407407399"/>
    <n v="85072.037037037095"/>
    <n v="306259.33333333302"/>
  </r>
  <r>
    <x v="0"/>
    <x v="0"/>
    <x v="0"/>
    <x v="9"/>
    <x v="19"/>
    <s v="SE3_GOT"/>
    <x v="2"/>
    <x v="196"/>
    <x v="0"/>
    <x v="16"/>
    <n v="233.07407407407399"/>
    <n v="85072.037037037095"/>
    <n v="306259.33333333302"/>
  </r>
  <r>
    <x v="0"/>
    <x v="0"/>
    <x v="0"/>
    <x v="9"/>
    <x v="19"/>
    <s v="SE3_GOT"/>
    <x v="2"/>
    <x v="196"/>
    <x v="0"/>
    <x v="17"/>
    <n v="233.07407407407399"/>
    <n v="85072.037037037095"/>
    <n v="306259.33333333302"/>
  </r>
  <r>
    <x v="0"/>
    <x v="0"/>
    <x v="0"/>
    <x v="9"/>
    <x v="19"/>
    <s v="SE3_GOT"/>
    <x v="2"/>
    <x v="196"/>
    <x v="0"/>
    <x v="18"/>
    <n v="233.07407407407399"/>
    <n v="85072.037037037095"/>
    <n v="306259.33333333302"/>
  </r>
  <r>
    <x v="0"/>
    <x v="0"/>
    <x v="0"/>
    <x v="9"/>
    <x v="19"/>
    <s v="SE3_GOT"/>
    <x v="2"/>
    <x v="196"/>
    <x v="0"/>
    <x v="19"/>
    <n v="233.07407407407399"/>
    <n v="85072.037037037095"/>
    <n v="306259.33333333302"/>
  </r>
  <r>
    <x v="0"/>
    <x v="0"/>
    <x v="0"/>
    <x v="9"/>
    <x v="19"/>
    <s v="SE3_GOT"/>
    <x v="2"/>
    <x v="196"/>
    <x v="0"/>
    <x v="20"/>
    <n v="233.07407407407399"/>
    <n v="85072.037037037095"/>
    <n v="306259.33333333302"/>
  </r>
  <r>
    <x v="0"/>
    <x v="0"/>
    <x v="0"/>
    <x v="9"/>
    <x v="19"/>
    <s v="SE3_GOT"/>
    <x v="2"/>
    <x v="196"/>
    <x v="0"/>
    <x v="21"/>
    <n v="233.07407407407399"/>
    <n v="85072.037037037095"/>
    <n v="306259.33333333302"/>
  </r>
  <r>
    <x v="0"/>
    <x v="0"/>
    <x v="0"/>
    <x v="9"/>
    <x v="19"/>
    <s v="SE3_GOT"/>
    <x v="2"/>
    <x v="196"/>
    <x v="0"/>
    <x v="22"/>
    <n v="233.07407407407399"/>
    <n v="85072.037037037095"/>
    <n v="306259.33333333302"/>
  </r>
  <r>
    <x v="0"/>
    <x v="0"/>
    <x v="0"/>
    <x v="9"/>
    <x v="19"/>
    <s v="SE3_GOT"/>
    <x v="2"/>
    <x v="196"/>
    <x v="0"/>
    <x v="23"/>
    <n v="233.07407407407399"/>
    <n v="85072.037037037095"/>
    <n v="306259.33333333302"/>
  </r>
  <r>
    <x v="0"/>
    <x v="0"/>
    <x v="0"/>
    <x v="9"/>
    <x v="19"/>
    <s v="SE3_GOT"/>
    <x v="5"/>
    <x v="120"/>
    <x v="0"/>
    <x v="0"/>
    <n v="118.24633699633701"/>
    <n v="43159.913003662798"/>
    <n v="155375.68681318601"/>
  </r>
  <r>
    <x v="0"/>
    <x v="0"/>
    <x v="0"/>
    <x v="9"/>
    <x v="19"/>
    <s v="SE3_GOT"/>
    <x v="5"/>
    <x v="120"/>
    <x v="0"/>
    <x v="1"/>
    <n v="118.24633699633701"/>
    <n v="43159.913003662798"/>
    <n v="155375.68681318601"/>
  </r>
  <r>
    <x v="0"/>
    <x v="0"/>
    <x v="0"/>
    <x v="9"/>
    <x v="19"/>
    <s v="SE3_GOT"/>
    <x v="5"/>
    <x v="120"/>
    <x v="0"/>
    <x v="2"/>
    <n v="118.24633699633701"/>
    <n v="43159.913003662798"/>
    <n v="155375.68681318601"/>
  </r>
  <r>
    <x v="0"/>
    <x v="0"/>
    <x v="0"/>
    <x v="9"/>
    <x v="19"/>
    <s v="SE3_GOT"/>
    <x v="5"/>
    <x v="120"/>
    <x v="0"/>
    <x v="3"/>
    <n v="118.24633699633701"/>
    <n v="43159.913003662798"/>
    <n v="155375.68681318601"/>
  </r>
  <r>
    <x v="0"/>
    <x v="0"/>
    <x v="0"/>
    <x v="9"/>
    <x v="19"/>
    <s v="SE3_GOT"/>
    <x v="5"/>
    <x v="120"/>
    <x v="0"/>
    <x v="4"/>
    <n v="118.24633699633701"/>
    <n v="43159.913003662798"/>
    <n v="155375.68681318601"/>
  </r>
  <r>
    <x v="0"/>
    <x v="0"/>
    <x v="0"/>
    <x v="9"/>
    <x v="19"/>
    <s v="SE3_GOT"/>
    <x v="5"/>
    <x v="120"/>
    <x v="0"/>
    <x v="5"/>
    <n v="118.24633699633701"/>
    <n v="43159.913003662798"/>
    <n v="155375.68681318601"/>
  </r>
  <r>
    <x v="0"/>
    <x v="0"/>
    <x v="0"/>
    <x v="9"/>
    <x v="19"/>
    <s v="SE3_GOT"/>
    <x v="5"/>
    <x v="120"/>
    <x v="0"/>
    <x v="6"/>
    <n v="118.24633699633701"/>
    <n v="43159.913003662798"/>
    <n v="155375.68681318601"/>
  </r>
  <r>
    <x v="0"/>
    <x v="0"/>
    <x v="0"/>
    <x v="9"/>
    <x v="19"/>
    <s v="SE3_GOT"/>
    <x v="5"/>
    <x v="120"/>
    <x v="0"/>
    <x v="7"/>
    <n v="118.24633699633701"/>
    <n v="43159.913003662798"/>
    <n v="155375.68681318601"/>
  </r>
  <r>
    <x v="0"/>
    <x v="0"/>
    <x v="0"/>
    <x v="9"/>
    <x v="19"/>
    <s v="SE3_GOT"/>
    <x v="5"/>
    <x v="120"/>
    <x v="0"/>
    <x v="8"/>
    <n v="118.24633699633701"/>
    <n v="43159.913003662798"/>
    <n v="155375.68681318601"/>
  </r>
  <r>
    <x v="0"/>
    <x v="0"/>
    <x v="0"/>
    <x v="9"/>
    <x v="19"/>
    <s v="SE3_GOT"/>
    <x v="5"/>
    <x v="120"/>
    <x v="0"/>
    <x v="9"/>
    <n v="118.24633699633701"/>
    <n v="43159.913003662798"/>
    <n v="155375.68681318601"/>
  </r>
  <r>
    <x v="0"/>
    <x v="0"/>
    <x v="0"/>
    <x v="9"/>
    <x v="19"/>
    <s v="SE3_GOT"/>
    <x v="5"/>
    <x v="120"/>
    <x v="0"/>
    <x v="10"/>
    <n v="118.24633699633701"/>
    <n v="43159.913003662798"/>
    <n v="155375.68681318601"/>
  </r>
  <r>
    <x v="0"/>
    <x v="0"/>
    <x v="0"/>
    <x v="9"/>
    <x v="19"/>
    <s v="SE3_GOT"/>
    <x v="5"/>
    <x v="120"/>
    <x v="0"/>
    <x v="11"/>
    <n v="118.24633699633701"/>
    <n v="43159.913003662798"/>
    <n v="155375.68681318601"/>
  </r>
  <r>
    <x v="0"/>
    <x v="0"/>
    <x v="0"/>
    <x v="9"/>
    <x v="19"/>
    <s v="SE3_GOT"/>
    <x v="5"/>
    <x v="120"/>
    <x v="0"/>
    <x v="12"/>
    <n v="118.24633699633701"/>
    <n v="43159.913003662798"/>
    <n v="155375.68681318601"/>
  </r>
  <r>
    <x v="0"/>
    <x v="0"/>
    <x v="0"/>
    <x v="9"/>
    <x v="19"/>
    <s v="SE3_GOT"/>
    <x v="5"/>
    <x v="120"/>
    <x v="0"/>
    <x v="13"/>
    <n v="118.24633699633701"/>
    <n v="43159.913003662798"/>
    <n v="155375.68681318601"/>
  </r>
  <r>
    <x v="0"/>
    <x v="0"/>
    <x v="0"/>
    <x v="9"/>
    <x v="19"/>
    <s v="SE3_GOT"/>
    <x v="5"/>
    <x v="120"/>
    <x v="0"/>
    <x v="14"/>
    <n v="118.24633699633701"/>
    <n v="43159.913003662798"/>
    <n v="155375.68681318601"/>
  </r>
  <r>
    <x v="0"/>
    <x v="0"/>
    <x v="0"/>
    <x v="9"/>
    <x v="19"/>
    <s v="SE3_GOT"/>
    <x v="5"/>
    <x v="120"/>
    <x v="0"/>
    <x v="15"/>
    <n v="118.24633699633701"/>
    <n v="43159.913003662798"/>
    <n v="155375.68681318601"/>
  </r>
  <r>
    <x v="0"/>
    <x v="0"/>
    <x v="0"/>
    <x v="9"/>
    <x v="19"/>
    <s v="SE3_GOT"/>
    <x v="5"/>
    <x v="120"/>
    <x v="0"/>
    <x v="16"/>
    <n v="118.24633699633701"/>
    <n v="43159.913003662798"/>
    <n v="155375.68681318601"/>
  </r>
  <r>
    <x v="0"/>
    <x v="0"/>
    <x v="0"/>
    <x v="9"/>
    <x v="19"/>
    <s v="SE3_GOT"/>
    <x v="5"/>
    <x v="120"/>
    <x v="0"/>
    <x v="17"/>
    <n v="118.24633699633701"/>
    <n v="43159.913003662798"/>
    <n v="155375.68681318601"/>
  </r>
  <r>
    <x v="0"/>
    <x v="0"/>
    <x v="0"/>
    <x v="9"/>
    <x v="19"/>
    <s v="SE3_GOT"/>
    <x v="5"/>
    <x v="120"/>
    <x v="0"/>
    <x v="18"/>
    <n v="118.24633699633701"/>
    <n v="43159.913003662798"/>
    <n v="155375.68681318601"/>
  </r>
  <r>
    <x v="0"/>
    <x v="0"/>
    <x v="0"/>
    <x v="9"/>
    <x v="19"/>
    <s v="SE3_GOT"/>
    <x v="5"/>
    <x v="120"/>
    <x v="0"/>
    <x v="19"/>
    <n v="118.24633699633701"/>
    <n v="43159.913003662798"/>
    <n v="155375.68681318601"/>
  </r>
  <r>
    <x v="0"/>
    <x v="0"/>
    <x v="0"/>
    <x v="9"/>
    <x v="19"/>
    <s v="SE3_GOT"/>
    <x v="5"/>
    <x v="120"/>
    <x v="0"/>
    <x v="20"/>
    <n v="118.24633699633701"/>
    <n v="43159.913003662798"/>
    <n v="155375.68681318601"/>
  </r>
  <r>
    <x v="0"/>
    <x v="0"/>
    <x v="0"/>
    <x v="9"/>
    <x v="19"/>
    <s v="SE3_GOT"/>
    <x v="5"/>
    <x v="120"/>
    <x v="0"/>
    <x v="21"/>
    <n v="118.24633699633701"/>
    <n v="43159.913003662798"/>
    <n v="155375.68681318601"/>
  </r>
  <r>
    <x v="0"/>
    <x v="0"/>
    <x v="0"/>
    <x v="9"/>
    <x v="19"/>
    <s v="SE3_GOT"/>
    <x v="5"/>
    <x v="120"/>
    <x v="0"/>
    <x v="22"/>
    <n v="118.24633699633701"/>
    <n v="43159.913003662798"/>
    <n v="155375.68681318601"/>
  </r>
  <r>
    <x v="0"/>
    <x v="0"/>
    <x v="0"/>
    <x v="9"/>
    <x v="19"/>
    <s v="SE3_GOT"/>
    <x v="5"/>
    <x v="120"/>
    <x v="0"/>
    <x v="23"/>
    <n v="118.24633699633701"/>
    <n v="43159.913003662798"/>
    <n v="155375.68681318601"/>
  </r>
  <r>
    <x v="0"/>
    <x v="0"/>
    <x v="0"/>
    <x v="9"/>
    <x v="19"/>
    <s v="SE3_GOT"/>
    <x v="7"/>
    <x v="121"/>
    <x v="0"/>
    <x v="0"/>
    <n v="122.222222222222"/>
    <n v="44611.111111111102"/>
    <n v="160600"/>
  </r>
  <r>
    <x v="0"/>
    <x v="0"/>
    <x v="0"/>
    <x v="9"/>
    <x v="19"/>
    <s v="SE3_GOT"/>
    <x v="7"/>
    <x v="121"/>
    <x v="0"/>
    <x v="1"/>
    <n v="122.222222222222"/>
    <n v="44611.111111111102"/>
    <n v="160600"/>
  </r>
  <r>
    <x v="0"/>
    <x v="0"/>
    <x v="0"/>
    <x v="9"/>
    <x v="19"/>
    <s v="SE3_GOT"/>
    <x v="7"/>
    <x v="121"/>
    <x v="0"/>
    <x v="2"/>
    <n v="122.222222222222"/>
    <n v="44611.111111111102"/>
    <n v="160600"/>
  </r>
  <r>
    <x v="0"/>
    <x v="0"/>
    <x v="0"/>
    <x v="9"/>
    <x v="19"/>
    <s v="SE3_GOT"/>
    <x v="7"/>
    <x v="121"/>
    <x v="0"/>
    <x v="3"/>
    <n v="122.222222222222"/>
    <n v="44611.111111111102"/>
    <n v="160600"/>
  </r>
  <r>
    <x v="0"/>
    <x v="0"/>
    <x v="0"/>
    <x v="9"/>
    <x v="19"/>
    <s v="SE3_GOT"/>
    <x v="7"/>
    <x v="121"/>
    <x v="0"/>
    <x v="4"/>
    <n v="122.222222222222"/>
    <n v="44611.111111111102"/>
    <n v="160600"/>
  </r>
  <r>
    <x v="0"/>
    <x v="0"/>
    <x v="0"/>
    <x v="9"/>
    <x v="19"/>
    <s v="SE3_GOT"/>
    <x v="7"/>
    <x v="121"/>
    <x v="0"/>
    <x v="5"/>
    <n v="122.222222222222"/>
    <n v="44611.111111111102"/>
    <n v="160600"/>
  </r>
  <r>
    <x v="0"/>
    <x v="0"/>
    <x v="0"/>
    <x v="9"/>
    <x v="19"/>
    <s v="SE3_GOT"/>
    <x v="7"/>
    <x v="121"/>
    <x v="0"/>
    <x v="6"/>
    <n v="122.222222222222"/>
    <n v="44611.111111111102"/>
    <n v="160600"/>
  </r>
  <r>
    <x v="0"/>
    <x v="0"/>
    <x v="0"/>
    <x v="9"/>
    <x v="19"/>
    <s v="SE3_GOT"/>
    <x v="7"/>
    <x v="121"/>
    <x v="0"/>
    <x v="7"/>
    <n v="122.222222222222"/>
    <n v="44611.111111111102"/>
    <n v="160600"/>
  </r>
  <r>
    <x v="0"/>
    <x v="0"/>
    <x v="0"/>
    <x v="9"/>
    <x v="19"/>
    <s v="SE3_GOT"/>
    <x v="7"/>
    <x v="121"/>
    <x v="0"/>
    <x v="8"/>
    <n v="122.222222222222"/>
    <n v="44611.111111111102"/>
    <n v="160600"/>
  </r>
  <r>
    <x v="0"/>
    <x v="0"/>
    <x v="0"/>
    <x v="9"/>
    <x v="19"/>
    <s v="SE3_GOT"/>
    <x v="7"/>
    <x v="121"/>
    <x v="0"/>
    <x v="9"/>
    <n v="122.222222222222"/>
    <n v="44611.111111111102"/>
    <n v="160600"/>
  </r>
  <r>
    <x v="0"/>
    <x v="0"/>
    <x v="0"/>
    <x v="9"/>
    <x v="19"/>
    <s v="SE3_GOT"/>
    <x v="7"/>
    <x v="121"/>
    <x v="0"/>
    <x v="10"/>
    <n v="122.222222222222"/>
    <n v="44611.111111111102"/>
    <n v="160600"/>
  </r>
  <r>
    <x v="0"/>
    <x v="0"/>
    <x v="0"/>
    <x v="9"/>
    <x v="19"/>
    <s v="SE3_GOT"/>
    <x v="7"/>
    <x v="121"/>
    <x v="0"/>
    <x v="11"/>
    <n v="122.222222222222"/>
    <n v="44611.111111111102"/>
    <n v="160600"/>
  </r>
  <r>
    <x v="0"/>
    <x v="0"/>
    <x v="0"/>
    <x v="9"/>
    <x v="19"/>
    <s v="SE3_GOT"/>
    <x v="7"/>
    <x v="121"/>
    <x v="0"/>
    <x v="12"/>
    <n v="122.222222222222"/>
    <n v="44611.111111111102"/>
    <n v="160600"/>
  </r>
  <r>
    <x v="0"/>
    <x v="0"/>
    <x v="0"/>
    <x v="9"/>
    <x v="19"/>
    <s v="SE3_GOT"/>
    <x v="7"/>
    <x v="121"/>
    <x v="0"/>
    <x v="13"/>
    <n v="122.222222222222"/>
    <n v="44611.111111111102"/>
    <n v="160600"/>
  </r>
  <r>
    <x v="0"/>
    <x v="0"/>
    <x v="0"/>
    <x v="9"/>
    <x v="19"/>
    <s v="SE3_GOT"/>
    <x v="7"/>
    <x v="121"/>
    <x v="0"/>
    <x v="14"/>
    <n v="122.222222222222"/>
    <n v="44611.111111111102"/>
    <n v="160600"/>
  </r>
  <r>
    <x v="0"/>
    <x v="0"/>
    <x v="0"/>
    <x v="9"/>
    <x v="19"/>
    <s v="SE3_GOT"/>
    <x v="7"/>
    <x v="121"/>
    <x v="0"/>
    <x v="15"/>
    <n v="122.222222222222"/>
    <n v="44611.111111111102"/>
    <n v="160600"/>
  </r>
  <r>
    <x v="0"/>
    <x v="0"/>
    <x v="0"/>
    <x v="9"/>
    <x v="19"/>
    <s v="SE3_GOT"/>
    <x v="7"/>
    <x v="121"/>
    <x v="0"/>
    <x v="16"/>
    <n v="122.222222222222"/>
    <n v="44611.111111111102"/>
    <n v="160600"/>
  </r>
  <r>
    <x v="0"/>
    <x v="0"/>
    <x v="0"/>
    <x v="9"/>
    <x v="19"/>
    <s v="SE3_GOT"/>
    <x v="7"/>
    <x v="121"/>
    <x v="0"/>
    <x v="17"/>
    <n v="122.222222222222"/>
    <n v="44611.111111111102"/>
    <n v="160600"/>
  </r>
  <r>
    <x v="0"/>
    <x v="0"/>
    <x v="0"/>
    <x v="9"/>
    <x v="19"/>
    <s v="SE3_GOT"/>
    <x v="7"/>
    <x v="121"/>
    <x v="0"/>
    <x v="18"/>
    <n v="122.222222222222"/>
    <n v="44611.111111111102"/>
    <n v="160600"/>
  </r>
  <r>
    <x v="0"/>
    <x v="0"/>
    <x v="0"/>
    <x v="9"/>
    <x v="19"/>
    <s v="SE3_GOT"/>
    <x v="7"/>
    <x v="121"/>
    <x v="0"/>
    <x v="19"/>
    <n v="122.222222222222"/>
    <n v="44611.111111111102"/>
    <n v="160600"/>
  </r>
  <r>
    <x v="0"/>
    <x v="0"/>
    <x v="0"/>
    <x v="9"/>
    <x v="19"/>
    <s v="SE3_GOT"/>
    <x v="7"/>
    <x v="121"/>
    <x v="0"/>
    <x v="20"/>
    <n v="64.709192674878196"/>
    <n v="23618.855326330598"/>
    <n v="85027.879174789996"/>
  </r>
  <r>
    <x v="0"/>
    <x v="0"/>
    <x v="0"/>
    <x v="9"/>
    <x v="19"/>
    <s v="SE3_GOT"/>
    <x v="7"/>
    <x v="121"/>
    <x v="0"/>
    <x v="21"/>
    <n v="45.263350468388701"/>
    <n v="16521.122920961901"/>
    <n v="59476.042515462803"/>
  </r>
  <r>
    <x v="0"/>
    <x v="0"/>
    <x v="0"/>
    <x v="9"/>
    <x v="19"/>
    <s v="SE3_GOT"/>
    <x v="7"/>
    <x v="121"/>
    <x v="0"/>
    <x v="22"/>
    <n v="69.386534523583194"/>
    <n v="25326.085101107899"/>
    <n v="91173.906363988397"/>
  </r>
  <r>
    <x v="0"/>
    <x v="0"/>
    <x v="0"/>
    <x v="9"/>
    <x v="19"/>
    <s v="SE3_GOT"/>
    <x v="7"/>
    <x v="121"/>
    <x v="0"/>
    <x v="23"/>
    <n v="122.222222222222"/>
    <n v="44611.111111111102"/>
    <n v="160600"/>
  </r>
  <r>
    <x v="0"/>
    <x v="0"/>
    <x v="0"/>
    <x v="9"/>
    <x v="19"/>
    <s v="SE3_GOT"/>
    <x v="11"/>
    <x v="204"/>
    <x v="0"/>
    <x v="0"/>
    <n v="101.42738912001801"/>
    <n v="37020.997028806501"/>
    <n v="133275.58930370299"/>
  </r>
  <r>
    <x v="0"/>
    <x v="0"/>
    <x v="0"/>
    <x v="9"/>
    <x v="19"/>
    <s v="SE3_GOT"/>
    <x v="11"/>
    <x v="204"/>
    <x v="0"/>
    <x v="1"/>
    <n v="101.42738912001801"/>
    <n v="37020.997028806501"/>
    <n v="133275.58930370299"/>
  </r>
  <r>
    <x v="0"/>
    <x v="0"/>
    <x v="0"/>
    <x v="9"/>
    <x v="19"/>
    <s v="SE3_GOT"/>
    <x v="11"/>
    <x v="204"/>
    <x v="0"/>
    <x v="2"/>
    <n v="101.42738912001801"/>
    <n v="37020.997028806501"/>
    <n v="133275.58930370299"/>
  </r>
  <r>
    <x v="0"/>
    <x v="0"/>
    <x v="0"/>
    <x v="9"/>
    <x v="19"/>
    <s v="SE3_GOT"/>
    <x v="11"/>
    <x v="204"/>
    <x v="0"/>
    <x v="3"/>
    <n v="101.42738912001801"/>
    <n v="37020.997028806501"/>
    <n v="133275.58930370299"/>
  </r>
  <r>
    <x v="0"/>
    <x v="0"/>
    <x v="0"/>
    <x v="9"/>
    <x v="19"/>
    <s v="SE3_GOT"/>
    <x v="11"/>
    <x v="204"/>
    <x v="0"/>
    <x v="4"/>
    <n v="101.42738912001801"/>
    <n v="37020.997028806501"/>
    <n v="133275.58930370299"/>
  </r>
  <r>
    <x v="0"/>
    <x v="0"/>
    <x v="0"/>
    <x v="9"/>
    <x v="19"/>
    <s v="SE3_GOT"/>
    <x v="11"/>
    <x v="204"/>
    <x v="0"/>
    <x v="5"/>
    <n v="101.42738912001801"/>
    <n v="37020.997028806501"/>
    <n v="133275.58930370299"/>
  </r>
  <r>
    <x v="0"/>
    <x v="0"/>
    <x v="0"/>
    <x v="9"/>
    <x v="19"/>
    <s v="SE3_GOT"/>
    <x v="11"/>
    <x v="204"/>
    <x v="0"/>
    <x v="6"/>
    <n v="101.42738912001801"/>
    <n v="37020.997028806501"/>
    <n v="133275.58930370299"/>
  </r>
  <r>
    <x v="0"/>
    <x v="0"/>
    <x v="0"/>
    <x v="9"/>
    <x v="19"/>
    <s v="SE3_GOT"/>
    <x v="11"/>
    <x v="204"/>
    <x v="0"/>
    <x v="7"/>
    <n v="101.42738912001801"/>
    <n v="37020.997028806501"/>
    <n v="133275.58930370299"/>
  </r>
  <r>
    <x v="0"/>
    <x v="0"/>
    <x v="0"/>
    <x v="9"/>
    <x v="19"/>
    <s v="SE3_GOT"/>
    <x v="11"/>
    <x v="204"/>
    <x v="0"/>
    <x v="8"/>
    <n v="101.42738912001801"/>
    <n v="37020.997028806501"/>
    <n v="133275.58930370299"/>
  </r>
  <r>
    <x v="0"/>
    <x v="0"/>
    <x v="0"/>
    <x v="9"/>
    <x v="19"/>
    <s v="SE3_GOT"/>
    <x v="11"/>
    <x v="204"/>
    <x v="0"/>
    <x v="9"/>
    <n v="101.42738912001801"/>
    <n v="37020.997028806501"/>
    <n v="133275.58930370299"/>
  </r>
  <r>
    <x v="0"/>
    <x v="0"/>
    <x v="0"/>
    <x v="9"/>
    <x v="19"/>
    <s v="SE3_GOT"/>
    <x v="11"/>
    <x v="204"/>
    <x v="0"/>
    <x v="10"/>
    <n v="101.42738912001801"/>
    <n v="37020.997028806501"/>
    <n v="133275.58930370299"/>
  </r>
  <r>
    <x v="0"/>
    <x v="0"/>
    <x v="0"/>
    <x v="9"/>
    <x v="19"/>
    <s v="SE3_GOT"/>
    <x v="11"/>
    <x v="204"/>
    <x v="0"/>
    <x v="11"/>
    <n v="101.42738912001801"/>
    <n v="37020.997028806501"/>
    <n v="133275.58930370299"/>
  </r>
  <r>
    <x v="0"/>
    <x v="0"/>
    <x v="0"/>
    <x v="9"/>
    <x v="19"/>
    <s v="SE3_GOT"/>
    <x v="11"/>
    <x v="204"/>
    <x v="0"/>
    <x v="12"/>
    <n v="101.42738912001801"/>
    <n v="37020.997028806501"/>
    <n v="133275.58930370299"/>
  </r>
  <r>
    <x v="0"/>
    <x v="0"/>
    <x v="0"/>
    <x v="9"/>
    <x v="19"/>
    <s v="SE3_GOT"/>
    <x v="11"/>
    <x v="204"/>
    <x v="0"/>
    <x v="13"/>
    <n v="101.42738912001801"/>
    <n v="37020.997028806501"/>
    <n v="133275.58930370299"/>
  </r>
  <r>
    <x v="0"/>
    <x v="0"/>
    <x v="0"/>
    <x v="9"/>
    <x v="19"/>
    <s v="SE3_GOT"/>
    <x v="11"/>
    <x v="204"/>
    <x v="0"/>
    <x v="14"/>
    <n v="101.42738912001801"/>
    <n v="37020.997028806501"/>
    <n v="133275.58930370299"/>
  </r>
  <r>
    <x v="0"/>
    <x v="0"/>
    <x v="0"/>
    <x v="9"/>
    <x v="19"/>
    <s v="SE3_GOT"/>
    <x v="11"/>
    <x v="204"/>
    <x v="0"/>
    <x v="15"/>
    <n v="101.42738912001801"/>
    <n v="37020.997028806501"/>
    <n v="133275.58930370299"/>
  </r>
  <r>
    <x v="0"/>
    <x v="0"/>
    <x v="0"/>
    <x v="9"/>
    <x v="19"/>
    <s v="SE3_GOT"/>
    <x v="11"/>
    <x v="204"/>
    <x v="0"/>
    <x v="16"/>
    <n v="101.42738912001801"/>
    <n v="37020.997028806501"/>
    <n v="133275.58930370299"/>
  </r>
  <r>
    <x v="0"/>
    <x v="0"/>
    <x v="0"/>
    <x v="9"/>
    <x v="19"/>
    <s v="SE3_GOT"/>
    <x v="11"/>
    <x v="204"/>
    <x v="0"/>
    <x v="17"/>
    <n v="101.42738912001801"/>
    <n v="37020.997028806501"/>
    <n v="133275.58930370299"/>
  </r>
  <r>
    <x v="0"/>
    <x v="0"/>
    <x v="0"/>
    <x v="9"/>
    <x v="19"/>
    <s v="SE3_GOT"/>
    <x v="11"/>
    <x v="204"/>
    <x v="0"/>
    <x v="18"/>
    <n v="101.42738912001801"/>
    <n v="37020.997028806501"/>
    <n v="133275.58930370299"/>
  </r>
  <r>
    <x v="0"/>
    <x v="0"/>
    <x v="0"/>
    <x v="9"/>
    <x v="19"/>
    <s v="SE3_GOT"/>
    <x v="11"/>
    <x v="204"/>
    <x v="0"/>
    <x v="19"/>
    <n v="101.42738912001801"/>
    <n v="37020.997028806501"/>
    <n v="133275.58930370299"/>
  </r>
  <r>
    <x v="0"/>
    <x v="0"/>
    <x v="0"/>
    <x v="9"/>
    <x v="19"/>
    <s v="SE3_GOT"/>
    <x v="11"/>
    <x v="204"/>
    <x v="0"/>
    <x v="20"/>
    <n v="101.42738912001801"/>
    <n v="37020.997028806501"/>
    <n v="133275.58930370299"/>
  </r>
  <r>
    <x v="0"/>
    <x v="0"/>
    <x v="0"/>
    <x v="9"/>
    <x v="19"/>
    <s v="SE3_GOT"/>
    <x v="11"/>
    <x v="204"/>
    <x v="0"/>
    <x v="21"/>
    <n v="101.42738912001801"/>
    <n v="37020.997028806501"/>
    <n v="133275.58930370299"/>
  </r>
  <r>
    <x v="0"/>
    <x v="0"/>
    <x v="0"/>
    <x v="9"/>
    <x v="19"/>
    <s v="SE3_GOT"/>
    <x v="11"/>
    <x v="204"/>
    <x v="0"/>
    <x v="22"/>
    <n v="101.42738912001801"/>
    <n v="37020.997028806501"/>
    <n v="133275.58930370299"/>
  </r>
  <r>
    <x v="0"/>
    <x v="0"/>
    <x v="0"/>
    <x v="9"/>
    <x v="19"/>
    <s v="SE3_GOT"/>
    <x v="11"/>
    <x v="204"/>
    <x v="0"/>
    <x v="23"/>
    <n v="101.42738912001801"/>
    <n v="37020.997028806501"/>
    <n v="133275.58930370299"/>
  </r>
  <r>
    <x v="0"/>
    <x v="0"/>
    <x v="0"/>
    <x v="9"/>
    <x v="19"/>
    <s v="SE3_HP"/>
    <x v="1"/>
    <x v="177"/>
    <x v="0"/>
    <x v="12"/>
    <n v="16.130706044130399"/>
    <n v="5887.7077061075997"/>
    <n v="21195.747741987401"/>
  </r>
  <r>
    <x v="0"/>
    <x v="0"/>
    <x v="0"/>
    <x v="9"/>
    <x v="19"/>
    <s v="SE3_HP"/>
    <x v="1"/>
    <x v="177"/>
    <x v="0"/>
    <x v="16"/>
    <n v="53.136996332790901"/>
    <n v="19395.003661468701"/>
    <n v="69822.013181287199"/>
  </r>
  <r>
    <x v="0"/>
    <x v="0"/>
    <x v="0"/>
    <x v="9"/>
    <x v="19"/>
    <s v="SE3_HP"/>
    <x v="1"/>
    <x v="177"/>
    <x v="0"/>
    <x v="17"/>
    <n v="34.223123192183998"/>
    <n v="12491.439965147199"/>
    <n v="44969.183874529801"/>
  </r>
  <r>
    <x v="0"/>
    <x v="0"/>
    <x v="0"/>
    <x v="9"/>
    <x v="19"/>
    <s v="SE3_HP"/>
    <x v="1"/>
    <x v="177"/>
    <x v="0"/>
    <x v="18"/>
    <n v="23.171001149810099"/>
    <n v="8457.4154196806794"/>
    <n v="30446.695510850401"/>
  </r>
  <r>
    <x v="0"/>
    <x v="0"/>
    <x v="0"/>
    <x v="9"/>
    <x v="19"/>
    <s v="SE3_HP"/>
    <x v="1"/>
    <x v="177"/>
    <x v="0"/>
    <x v="19"/>
    <n v="5.2852804658596497"/>
    <n v="1929.1273700387701"/>
    <n v="6944.8585321395803"/>
  </r>
  <r>
    <x v="0"/>
    <x v="0"/>
    <x v="0"/>
    <x v="9"/>
    <x v="19"/>
    <s v="SE3_HP"/>
    <x v="2"/>
    <x v="196"/>
    <x v="0"/>
    <x v="0"/>
    <n v="190.414515729572"/>
    <n v="69501.298241293698"/>
    <n v="250204.67366865699"/>
  </r>
  <r>
    <x v="0"/>
    <x v="0"/>
    <x v="0"/>
    <x v="9"/>
    <x v="19"/>
    <s v="SE3_HP"/>
    <x v="2"/>
    <x v="196"/>
    <x v="0"/>
    <x v="1"/>
    <n v="190.414515729572"/>
    <n v="69501.298241293698"/>
    <n v="250204.67366865699"/>
  </r>
  <r>
    <x v="0"/>
    <x v="0"/>
    <x v="0"/>
    <x v="9"/>
    <x v="19"/>
    <s v="SE3_HP"/>
    <x v="2"/>
    <x v="196"/>
    <x v="0"/>
    <x v="2"/>
    <n v="190.414515729572"/>
    <n v="69501.298241293698"/>
    <n v="250204.67366865699"/>
  </r>
  <r>
    <x v="0"/>
    <x v="0"/>
    <x v="0"/>
    <x v="9"/>
    <x v="19"/>
    <s v="SE3_HP"/>
    <x v="2"/>
    <x v="196"/>
    <x v="0"/>
    <x v="3"/>
    <n v="190.414515729572"/>
    <n v="69501.298241293698"/>
    <n v="250204.67366865699"/>
  </r>
  <r>
    <x v="0"/>
    <x v="0"/>
    <x v="0"/>
    <x v="9"/>
    <x v="19"/>
    <s v="SE3_HP"/>
    <x v="2"/>
    <x v="196"/>
    <x v="0"/>
    <x v="4"/>
    <n v="190.414515729572"/>
    <n v="69501.298241293698"/>
    <n v="250204.67366865699"/>
  </r>
  <r>
    <x v="0"/>
    <x v="0"/>
    <x v="0"/>
    <x v="9"/>
    <x v="19"/>
    <s v="SE3_HP"/>
    <x v="2"/>
    <x v="196"/>
    <x v="0"/>
    <x v="5"/>
    <n v="190.414515729572"/>
    <n v="69501.298241293698"/>
    <n v="250204.67366865699"/>
  </r>
  <r>
    <x v="0"/>
    <x v="0"/>
    <x v="0"/>
    <x v="9"/>
    <x v="19"/>
    <s v="SE3_HP"/>
    <x v="2"/>
    <x v="196"/>
    <x v="0"/>
    <x v="6"/>
    <n v="190.414515729572"/>
    <n v="69501.298241293698"/>
    <n v="250204.67366865699"/>
  </r>
  <r>
    <x v="0"/>
    <x v="0"/>
    <x v="0"/>
    <x v="9"/>
    <x v="19"/>
    <s v="SE3_HP"/>
    <x v="2"/>
    <x v="196"/>
    <x v="0"/>
    <x v="7"/>
    <n v="190.414515729572"/>
    <n v="69501.298241293698"/>
    <n v="250204.67366865699"/>
  </r>
  <r>
    <x v="0"/>
    <x v="0"/>
    <x v="0"/>
    <x v="9"/>
    <x v="19"/>
    <s v="SE3_HP"/>
    <x v="2"/>
    <x v="196"/>
    <x v="0"/>
    <x v="8"/>
    <n v="190.414515729572"/>
    <n v="69501.298241293698"/>
    <n v="250204.67366865699"/>
  </r>
  <r>
    <x v="0"/>
    <x v="0"/>
    <x v="0"/>
    <x v="9"/>
    <x v="19"/>
    <s v="SE3_HP"/>
    <x v="2"/>
    <x v="196"/>
    <x v="0"/>
    <x v="9"/>
    <n v="190.414515729572"/>
    <n v="69501.298241293698"/>
    <n v="250204.67366865699"/>
  </r>
  <r>
    <x v="0"/>
    <x v="0"/>
    <x v="0"/>
    <x v="9"/>
    <x v="19"/>
    <s v="SE3_HP"/>
    <x v="2"/>
    <x v="196"/>
    <x v="0"/>
    <x v="10"/>
    <n v="190.414515729572"/>
    <n v="69501.298241293698"/>
    <n v="250204.67366865699"/>
  </r>
  <r>
    <x v="0"/>
    <x v="0"/>
    <x v="0"/>
    <x v="9"/>
    <x v="19"/>
    <s v="SE3_HP"/>
    <x v="2"/>
    <x v="196"/>
    <x v="0"/>
    <x v="11"/>
    <n v="190.414515729572"/>
    <n v="69501.298241293698"/>
    <n v="250204.67366865699"/>
  </r>
  <r>
    <x v="0"/>
    <x v="0"/>
    <x v="0"/>
    <x v="9"/>
    <x v="19"/>
    <s v="SE3_HP"/>
    <x v="2"/>
    <x v="196"/>
    <x v="0"/>
    <x v="12"/>
    <n v="190.414515729572"/>
    <n v="69501.298241293698"/>
    <n v="250204.67366865699"/>
  </r>
  <r>
    <x v="0"/>
    <x v="0"/>
    <x v="0"/>
    <x v="9"/>
    <x v="19"/>
    <s v="SE3_HP"/>
    <x v="2"/>
    <x v="196"/>
    <x v="0"/>
    <x v="13"/>
    <n v="190.414515729572"/>
    <n v="69501.298241293698"/>
    <n v="250204.67366865699"/>
  </r>
  <r>
    <x v="0"/>
    <x v="0"/>
    <x v="0"/>
    <x v="9"/>
    <x v="19"/>
    <s v="SE3_HP"/>
    <x v="2"/>
    <x v="196"/>
    <x v="0"/>
    <x v="14"/>
    <n v="190.414515729572"/>
    <n v="69501.298241293698"/>
    <n v="250204.67366865699"/>
  </r>
  <r>
    <x v="0"/>
    <x v="0"/>
    <x v="0"/>
    <x v="9"/>
    <x v="19"/>
    <s v="SE3_HP"/>
    <x v="2"/>
    <x v="196"/>
    <x v="0"/>
    <x v="15"/>
    <n v="190.414515729572"/>
    <n v="69501.298241293698"/>
    <n v="250204.67366865699"/>
  </r>
  <r>
    <x v="0"/>
    <x v="0"/>
    <x v="0"/>
    <x v="9"/>
    <x v="19"/>
    <s v="SE3_HP"/>
    <x v="2"/>
    <x v="196"/>
    <x v="0"/>
    <x v="16"/>
    <n v="190.414515729572"/>
    <n v="69501.298241293698"/>
    <n v="250204.67366865699"/>
  </r>
  <r>
    <x v="0"/>
    <x v="0"/>
    <x v="0"/>
    <x v="9"/>
    <x v="19"/>
    <s v="SE3_HP"/>
    <x v="2"/>
    <x v="196"/>
    <x v="0"/>
    <x v="17"/>
    <n v="190.414515729572"/>
    <n v="69501.298241293698"/>
    <n v="250204.67366865699"/>
  </r>
  <r>
    <x v="0"/>
    <x v="0"/>
    <x v="0"/>
    <x v="9"/>
    <x v="19"/>
    <s v="SE3_HP"/>
    <x v="2"/>
    <x v="196"/>
    <x v="0"/>
    <x v="18"/>
    <n v="190.414515729572"/>
    <n v="69501.298241293698"/>
    <n v="250204.67366865699"/>
  </r>
  <r>
    <x v="0"/>
    <x v="0"/>
    <x v="0"/>
    <x v="9"/>
    <x v="19"/>
    <s v="SE3_HP"/>
    <x v="2"/>
    <x v="196"/>
    <x v="0"/>
    <x v="19"/>
    <n v="190.414515729572"/>
    <n v="69501.298241293698"/>
    <n v="250204.67366865699"/>
  </r>
  <r>
    <x v="0"/>
    <x v="0"/>
    <x v="0"/>
    <x v="9"/>
    <x v="19"/>
    <s v="SE3_HP"/>
    <x v="2"/>
    <x v="196"/>
    <x v="0"/>
    <x v="20"/>
    <n v="190.414515729572"/>
    <n v="69501.298241293698"/>
    <n v="250204.67366865699"/>
  </r>
  <r>
    <x v="0"/>
    <x v="0"/>
    <x v="0"/>
    <x v="9"/>
    <x v="19"/>
    <s v="SE3_HP"/>
    <x v="2"/>
    <x v="196"/>
    <x v="0"/>
    <x v="21"/>
    <n v="190.414515729572"/>
    <n v="69501.298241293698"/>
    <n v="250204.67366865699"/>
  </r>
  <r>
    <x v="0"/>
    <x v="0"/>
    <x v="0"/>
    <x v="9"/>
    <x v="19"/>
    <s v="SE3_HP"/>
    <x v="2"/>
    <x v="196"/>
    <x v="0"/>
    <x v="22"/>
    <n v="190.414515729572"/>
    <n v="69501.298241293698"/>
    <n v="250204.67366865699"/>
  </r>
  <r>
    <x v="0"/>
    <x v="0"/>
    <x v="0"/>
    <x v="9"/>
    <x v="19"/>
    <s v="SE3_HP"/>
    <x v="2"/>
    <x v="196"/>
    <x v="0"/>
    <x v="23"/>
    <n v="190.414515729572"/>
    <n v="69501.298241293698"/>
    <n v="250204.67366865699"/>
  </r>
  <r>
    <x v="0"/>
    <x v="0"/>
    <x v="0"/>
    <x v="9"/>
    <x v="19"/>
    <s v="SE3_HP"/>
    <x v="5"/>
    <x v="120"/>
    <x v="0"/>
    <x v="0"/>
    <n v="3.4340659340659201E-3"/>
    <n v="1.2534340659340599"/>
    <n v="4.51236263736262"/>
  </r>
  <r>
    <x v="0"/>
    <x v="0"/>
    <x v="0"/>
    <x v="9"/>
    <x v="19"/>
    <s v="SE3_HP"/>
    <x v="5"/>
    <x v="120"/>
    <x v="0"/>
    <x v="1"/>
    <n v="3.4340659340659201E-3"/>
    <n v="1.2534340659340599"/>
    <n v="4.51236263736262"/>
  </r>
  <r>
    <x v="0"/>
    <x v="0"/>
    <x v="0"/>
    <x v="9"/>
    <x v="19"/>
    <s v="SE3_HP"/>
    <x v="5"/>
    <x v="120"/>
    <x v="0"/>
    <x v="2"/>
    <n v="3.4340659340659201E-3"/>
    <n v="1.2534340659340599"/>
    <n v="4.51236263736262"/>
  </r>
  <r>
    <x v="0"/>
    <x v="0"/>
    <x v="0"/>
    <x v="9"/>
    <x v="19"/>
    <s v="SE3_HP"/>
    <x v="5"/>
    <x v="120"/>
    <x v="0"/>
    <x v="3"/>
    <n v="3.4340659340659201E-3"/>
    <n v="1.2534340659340599"/>
    <n v="4.51236263736262"/>
  </r>
  <r>
    <x v="0"/>
    <x v="0"/>
    <x v="0"/>
    <x v="9"/>
    <x v="19"/>
    <s v="SE3_HP"/>
    <x v="5"/>
    <x v="120"/>
    <x v="0"/>
    <x v="4"/>
    <n v="3.4340659340659201E-3"/>
    <n v="1.2534340659340599"/>
    <n v="4.51236263736262"/>
  </r>
  <r>
    <x v="0"/>
    <x v="0"/>
    <x v="0"/>
    <x v="9"/>
    <x v="19"/>
    <s v="SE3_HP"/>
    <x v="5"/>
    <x v="120"/>
    <x v="0"/>
    <x v="5"/>
    <n v="3.4340659340659201E-3"/>
    <n v="1.2534340659340599"/>
    <n v="4.51236263736262"/>
  </r>
  <r>
    <x v="0"/>
    <x v="0"/>
    <x v="0"/>
    <x v="9"/>
    <x v="19"/>
    <s v="SE3_HP"/>
    <x v="5"/>
    <x v="120"/>
    <x v="0"/>
    <x v="6"/>
    <n v="3.4340659340659201E-3"/>
    <n v="1.2534340659340599"/>
    <n v="4.51236263736262"/>
  </r>
  <r>
    <x v="0"/>
    <x v="0"/>
    <x v="0"/>
    <x v="9"/>
    <x v="19"/>
    <s v="SE3_HP"/>
    <x v="5"/>
    <x v="120"/>
    <x v="0"/>
    <x v="7"/>
    <n v="3.4340659340659201E-3"/>
    <n v="1.2534340659340599"/>
    <n v="4.51236263736262"/>
  </r>
  <r>
    <x v="0"/>
    <x v="0"/>
    <x v="0"/>
    <x v="9"/>
    <x v="19"/>
    <s v="SE3_HP"/>
    <x v="5"/>
    <x v="120"/>
    <x v="0"/>
    <x v="8"/>
    <n v="3.4340659340659201E-3"/>
    <n v="1.2534340659340599"/>
    <n v="4.51236263736262"/>
  </r>
  <r>
    <x v="0"/>
    <x v="0"/>
    <x v="0"/>
    <x v="9"/>
    <x v="19"/>
    <s v="SE3_HP"/>
    <x v="5"/>
    <x v="120"/>
    <x v="0"/>
    <x v="9"/>
    <n v="3.4340659340659201E-3"/>
    <n v="1.2534340659340599"/>
    <n v="4.51236263736262"/>
  </r>
  <r>
    <x v="0"/>
    <x v="0"/>
    <x v="0"/>
    <x v="9"/>
    <x v="19"/>
    <s v="SE3_HP"/>
    <x v="5"/>
    <x v="120"/>
    <x v="0"/>
    <x v="10"/>
    <n v="3.4340659340659201E-3"/>
    <n v="1.2534340659340599"/>
    <n v="4.51236263736262"/>
  </r>
  <r>
    <x v="0"/>
    <x v="0"/>
    <x v="0"/>
    <x v="9"/>
    <x v="19"/>
    <s v="SE3_HP"/>
    <x v="5"/>
    <x v="120"/>
    <x v="0"/>
    <x v="11"/>
    <n v="3.4340659340659201E-3"/>
    <n v="1.2534340659340599"/>
    <n v="4.51236263736262"/>
  </r>
  <r>
    <x v="0"/>
    <x v="0"/>
    <x v="0"/>
    <x v="9"/>
    <x v="19"/>
    <s v="SE3_HP"/>
    <x v="5"/>
    <x v="120"/>
    <x v="0"/>
    <x v="12"/>
    <n v="3.4340659340659201E-3"/>
    <n v="1.2534340659340599"/>
    <n v="4.51236263736262"/>
  </r>
  <r>
    <x v="0"/>
    <x v="0"/>
    <x v="0"/>
    <x v="9"/>
    <x v="19"/>
    <s v="SE3_HP"/>
    <x v="5"/>
    <x v="120"/>
    <x v="0"/>
    <x v="13"/>
    <n v="3.4340659340659201E-3"/>
    <n v="1.2534340659340599"/>
    <n v="4.51236263736262"/>
  </r>
  <r>
    <x v="0"/>
    <x v="0"/>
    <x v="0"/>
    <x v="9"/>
    <x v="19"/>
    <s v="SE3_HP"/>
    <x v="5"/>
    <x v="120"/>
    <x v="0"/>
    <x v="14"/>
    <n v="3.4340659340659201E-3"/>
    <n v="1.2534340659340599"/>
    <n v="4.51236263736262"/>
  </r>
  <r>
    <x v="0"/>
    <x v="0"/>
    <x v="0"/>
    <x v="9"/>
    <x v="19"/>
    <s v="SE3_HP"/>
    <x v="5"/>
    <x v="120"/>
    <x v="0"/>
    <x v="15"/>
    <n v="3.4340659340659201E-3"/>
    <n v="1.2534340659340599"/>
    <n v="4.51236263736262"/>
  </r>
  <r>
    <x v="0"/>
    <x v="0"/>
    <x v="0"/>
    <x v="9"/>
    <x v="19"/>
    <s v="SE3_HP"/>
    <x v="5"/>
    <x v="120"/>
    <x v="0"/>
    <x v="16"/>
    <n v="3.4340659340659201E-3"/>
    <n v="1.2534340659340599"/>
    <n v="4.51236263736262"/>
  </r>
  <r>
    <x v="0"/>
    <x v="0"/>
    <x v="0"/>
    <x v="9"/>
    <x v="19"/>
    <s v="SE3_HP"/>
    <x v="5"/>
    <x v="120"/>
    <x v="0"/>
    <x v="17"/>
    <n v="3.4340659340659201E-3"/>
    <n v="1.2534340659340599"/>
    <n v="4.51236263736262"/>
  </r>
  <r>
    <x v="0"/>
    <x v="0"/>
    <x v="0"/>
    <x v="9"/>
    <x v="19"/>
    <s v="SE3_HP"/>
    <x v="5"/>
    <x v="120"/>
    <x v="0"/>
    <x v="18"/>
    <n v="3.4340659340659201E-3"/>
    <n v="1.2534340659340599"/>
    <n v="4.51236263736262"/>
  </r>
  <r>
    <x v="0"/>
    <x v="0"/>
    <x v="0"/>
    <x v="9"/>
    <x v="19"/>
    <s v="SE3_HP"/>
    <x v="5"/>
    <x v="120"/>
    <x v="0"/>
    <x v="19"/>
    <n v="3.4340659340659201E-3"/>
    <n v="1.2534340659340599"/>
    <n v="4.51236263736262"/>
  </r>
  <r>
    <x v="0"/>
    <x v="0"/>
    <x v="0"/>
    <x v="9"/>
    <x v="19"/>
    <s v="SE3_HP"/>
    <x v="5"/>
    <x v="120"/>
    <x v="0"/>
    <x v="20"/>
    <n v="3.4340659340659201E-3"/>
    <n v="1.2534340659340599"/>
    <n v="4.51236263736262"/>
  </r>
  <r>
    <x v="0"/>
    <x v="0"/>
    <x v="0"/>
    <x v="9"/>
    <x v="19"/>
    <s v="SE3_HP"/>
    <x v="5"/>
    <x v="120"/>
    <x v="0"/>
    <x v="21"/>
    <n v="3.4340659340659201E-3"/>
    <n v="1.2534340659340599"/>
    <n v="4.51236263736262"/>
  </r>
  <r>
    <x v="0"/>
    <x v="0"/>
    <x v="0"/>
    <x v="9"/>
    <x v="19"/>
    <s v="SE3_HP"/>
    <x v="5"/>
    <x v="120"/>
    <x v="0"/>
    <x v="22"/>
    <n v="3.4340659340659201E-3"/>
    <n v="1.2534340659340599"/>
    <n v="4.51236263736262"/>
  </r>
  <r>
    <x v="0"/>
    <x v="0"/>
    <x v="0"/>
    <x v="9"/>
    <x v="19"/>
    <s v="SE3_HP"/>
    <x v="5"/>
    <x v="120"/>
    <x v="0"/>
    <x v="23"/>
    <n v="3.4340659340659201E-3"/>
    <n v="1.2534340659340599"/>
    <n v="4.51236263736262"/>
  </r>
  <r>
    <x v="0"/>
    <x v="0"/>
    <x v="0"/>
    <x v="9"/>
    <x v="19"/>
    <s v="SE3_HP"/>
    <x v="6"/>
    <x v="205"/>
    <x v="0"/>
    <x v="0"/>
    <n v="7.9020707590779002"/>
    <n v="2884.2558270634299"/>
    <n v="10383.320977428401"/>
  </r>
  <r>
    <x v="0"/>
    <x v="0"/>
    <x v="0"/>
    <x v="9"/>
    <x v="19"/>
    <s v="SE3_HP"/>
    <x v="6"/>
    <x v="205"/>
    <x v="0"/>
    <x v="1"/>
    <n v="7.9020707590779002"/>
    <n v="2884.2558270634299"/>
    <n v="10383.320977428401"/>
  </r>
  <r>
    <x v="0"/>
    <x v="0"/>
    <x v="0"/>
    <x v="9"/>
    <x v="19"/>
    <s v="SE3_HP"/>
    <x v="6"/>
    <x v="205"/>
    <x v="0"/>
    <x v="2"/>
    <n v="7.9020707590779002"/>
    <n v="2884.2558270634299"/>
    <n v="10383.320977428401"/>
  </r>
  <r>
    <x v="0"/>
    <x v="0"/>
    <x v="0"/>
    <x v="9"/>
    <x v="19"/>
    <s v="SE3_HP"/>
    <x v="6"/>
    <x v="205"/>
    <x v="0"/>
    <x v="3"/>
    <n v="7.9020707590779002"/>
    <n v="2884.2558270634299"/>
    <n v="10383.320977428401"/>
  </r>
  <r>
    <x v="0"/>
    <x v="0"/>
    <x v="0"/>
    <x v="9"/>
    <x v="19"/>
    <s v="SE3_HP"/>
    <x v="6"/>
    <x v="205"/>
    <x v="0"/>
    <x v="4"/>
    <n v="7.9020707590779002"/>
    <n v="2884.2558270634299"/>
    <n v="10383.320977428401"/>
  </r>
  <r>
    <x v="0"/>
    <x v="0"/>
    <x v="0"/>
    <x v="9"/>
    <x v="19"/>
    <s v="SE3_HP"/>
    <x v="6"/>
    <x v="205"/>
    <x v="0"/>
    <x v="5"/>
    <n v="7.9020707590779002"/>
    <n v="2884.2558270634299"/>
    <n v="10383.320977428401"/>
  </r>
  <r>
    <x v="0"/>
    <x v="0"/>
    <x v="0"/>
    <x v="9"/>
    <x v="19"/>
    <s v="SE3_HP"/>
    <x v="6"/>
    <x v="205"/>
    <x v="0"/>
    <x v="6"/>
    <n v="7.9020707590779002"/>
    <n v="2884.2558270634299"/>
    <n v="10383.320977428401"/>
  </r>
  <r>
    <x v="0"/>
    <x v="0"/>
    <x v="0"/>
    <x v="9"/>
    <x v="19"/>
    <s v="SE3_HP"/>
    <x v="6"/>
    <x v="205"/>
    <x v="0"/>
    <x v="7"/>
    <n v="7.9020707590779002"/>
    <n v="2884.2558270634299"/>
    <n v="10383.320977428401"/>
  </r>
  <r>
    <x v="0"/>
    <x v="0"/>
    <x v="0"/>
    <x v="9"/>
    <x v="19"/>
    <s v="SE3_HP"/>
    <x v="6"/>
    <x v="205"/>
    <x v="0"/>
    <x v="8"/>
    <n v="7.9020707590779002"/>
    <n v="2884.2558270634299"/>
    <n v="10383.320977428401"/>
  </r>
  <r>
    <x v="0"/>
    <x v="0"/>
    <x v="0"/>
    <x v="9"/>
    <x v="19"/>
    <s v="SE3_HP"/>
    <x v="6"/>
    <x v="205"/>
    <x v="0"/>
    <x v="9"/>
    <n v="7.9020707590779002"/>
    <n v="2884.2558270634299"/>
    <n v="10383.320977428401"/>
  </r>
  <r>
    <x v="0"/>
    <x v="0"/>
    <x v="0"/>
    <x v="9"/>
    <x v="19"/>
    <s v="SE3_HP"/>
    <x v="6"/>
    <x v="205"/>
    <x v="0"/>
    <x v="10"/>
    <n v="7.9020707590779002"/>
    <n v="2884.2558270634299"/>
    <n v="10383.320977428401"/>
  </r>
  <r>
    <x v="0"/>
    <x v="0"/>
    <x v="0"/>
    <x v="9"/>
    <x v="19"/>
    <s v="SE3_HP"/>
    <x v="6"/>
    <x v="205"/>
    <x v="0"/>
    <x v="11"/>
    <n v="7.9020707590779002"/>
    <n v="2884.2558270634299"/>
    <n v="10383.320977428401"/>
  </r>
  <r>
    <x v="0"/>
    <x v="0"/>
    <x v="0"/>
    <x v="9"/>
    <x v="19"/>
    <s v="SE3_HP"/>
    <x v="6"/>
    <x v="205"/>
    <x v="0"/>
    <x v="12"/>
    <n v="7.9020707590779002"/>
    <n v="2884.2558270634299"/>
    <n v="10383.320977428401"/>
  </r>
  <r>
    <x v="0"/>
    <x v="0"/>
    <x v="0"/>
    <x v="9"/>
    <x v="19"/>
    <s v="SE3_HP"/>
    <x v="6"/>
    <x v="205"/>
    <x v="0"/>
    <x v="13"/>
    <n v="7.9020707590779002"/>
    <n v="2884.2558270634299"/>
    <n v="10383.320977428401"/>
  </r>
  <r>
    <x v="0"/>
    <x v="0"/>
    <x v="0"/>
    <x v="9"/>
    <x v="19"/>
    <s v="SE3_HP"/>
    <x v="6"/>
    <x v="205"/>
    <x v="0"/>
    <x v="14"/>
    <n v="7.9020707590779002"/>
    <n v="2884.2558270634299"/>
    <n v="10383.320977428401"/>
  </r>
  <r>
    <x v="0"/>
    <x v="0"/>
    <x v="0"/>
    <x v="9"/>
    <x v="19"/>
    <s v="SE3_HP"/>
    <x v="6"/>
    <x v="205"/>
    <x v="0"/>
    <x v="15"/>
    <n v="7.9020707590779002"/>
    <n v="2884.2558270634299"/>
    <n v="10383.320977428401"/>
  </r>
  <r>
    <x v="0"/>
    <x v="0"/>
    <x v="0"/>
    <x v="9"/>
    <x v="19"/>
    <s v="SE3_HP"/>
    <x v="6"/>
    <x v="205"/>
    <x v="0"/>
    <x v="16"/>
    <n v="7.9020707590779002"/>
    <n v="2884.2558270634299"/>
    <n v="10383.320977428401"/>
  </r>
  <r>
    <x v="0"/>
    <x v="0"/>
    <x v="0"/>
    <x v="9"/>
    <x v="19"/>
    <s v="SE3_HP"/>
    <x v="6"/>
    <x v="205"/>
    <x v="0"/>
    <x v="17"/>
    <n v="7.9020707590779002"/>
    <n v="2884.2558270634299"/>
    <n v="10383.320977428401"/>
  </r>
  <r>
    <x v="0"/>
    <x v="0"/>
    <x v="0"/>
    <x v="9"/>
    <x v="19"/>
    <s v="SE3_HP"/>
    <x v="6"/>
    <x v="205"/>
    <x v="0"/>
    <x v="18"/>
    <n v="7.9020707590779002"/>
    <n v="2884.2558270634299"/>
    <n v="10383.320977428401"/>
  </r>
  <r>
    <x v="0"/>
    <x v="0"/>
    <x v="0"/>
    <x v="9"/>
    <x v="19"/>
    <s v="SE3_HP"/>
    <x v="6"/>
    <x v="205"/>
    <x v="0"/>
    <x v="19"/>
    <n v="7.9020707590779002"/>
    <n v="2884.2558270634299"/>
    <n v="10383.320977428401"/>
  </r>
  <r>
    <x v="0"/>
    <x v="0"/>
    <x v="0"/>
    <x v="9"/>
    <x v="19"/>
    <s v="SE3_HP"/>
    <x v="6"/>
    <x v="205"/>
    <x v="0"/>
    <x v="20"/>
    <n v="7.9020707590779002"/>
    <n v="2884.2558270634299"/>
    <n v="10383.320977428401"/>
  </r>
  <r>
    <x v="0"/>
    <x v="0"/>
    <x v="0"/>
    <x v="9"/>
    <x v="19"/>
    <s v="SE3_HP"/>
    <x v="6"/>
    <x v="205"/>
    <x v="0"/>
    <x v="21"/>
    <n v="7.9020707590779002"/>
    <n v="2884.2558270634299"/>
    <n v="10383.320977428401"/>
  </r>
  <r>
    <x v="0"/>
    <x v="0"/>
    <x v="0"/>
    <x v="9"/>
    <x v="19"/>
    <s v="SE3_HP"/>
    <x v="6"/>
    <x v="205"/>
    <x v="0"/>
    <x v="22"/>
    <n v="7.9020707590779002"/>
    <n v="2884.2558270634299"/>
    <n v="10383.320977428401"/>
  </r>
  <r>
    <x v="0"/>
    <x v="0"/>
    <x v="0"/>
    <x v="9"/>
    <x v="19"/>
    <s v="SE3_HP"/>
    <x v="6"/>
    <x v="205"/>
    <x v="0"/>
    <x v="23"/>
    <n v="7.9020707590779002"/>
    <n v="2884.2558270634299"/>
    <n v="10383.320977428401"/>
  </r>
  <r>
    <x v="0"/>
    <x v="0"/>
    <x v="0"/>
    <x v="9"/>
    <x v="19"/>
    <s v="SE3_HP"/>
    <x v="6"/>
    <x v="115"/>
    <x v="0"/>
    <x v="0"/>
    <n v="14.4444444444444"/>
    <n v="5272.2222222222199"/>
    <n v="18980"/>
  </r>
  <r>
    <x v="0"/>
    <x v="0"/>
    <x v="0"/>
    <x v="9"/>
    <x v="19"/>
    <s v="SE3_HP"/>
    <x v="6"/>
    <x v="115"/>
    <x v="0"/>
    <x v="1"/>
    <n v="14.4444444444444"/>
    <n v="5272.2222222222199"/>
    <n v="18980"/>
  </r>
  <r>
    <x v="0"/>
    <x v="0"/>
    <x v="0"/>
    <x v="9"/>
    <x v="19"/>
    <s v="SE3_HP"/>
    <x v="6"/>
    <x v="115"/>
    <x v="0"/>
    <x v="2"/>
    <n v="14.4444444444444"/>
    <n v="5272.2222222222199"/>
    <n v="18980"/>
  </r>
  <r>
    <x v="0"/>
    <x v="0"/>
    <x v="0"/>
    <x v="9"/>
    <x v="19"/>
    <s v="SE3_HP"/>
    <x v="6"/>
    <x v="115"/>
    <x v="0"/>
    <x v="3"/>
    <n v="14.4444444444444"/>
    <n v="5272.2222222222199"/>
    <n v="18980"/>
  </r>
  <r>
    <x v="0"/>
    <x v="0"/>
    <x v="0"/>
    <x v="9"/>
    <x v="19"/>
    <s v="SE3_HP"/>
    <x v="6"/>
    <x v="115"/>
    <x v="0"/>
    <x v="4"/>
    <n v="14.4444444444444"/>
    <n v="5272.2222222222199"/>
    <n v="18980"/>
  </r>
  <r>
    <x v="0"/>
    <x v="0"/>
    <x v="0"/>
    <x v="9"/>
    <x v="19"/>
    <s v="SE3_HP"/>
    <x v="6"/>
    <x v="115"/>
    <x v="0"/>
    <x v="5"/>
    <n v="14.4444444444444"/>
    <n v="5272.2222222222199"/>
    <n v="18980"/>
  </r>
  <r>
    <x v="0"/>
    <x v="0"/>
    <x v="0"/>
    <x v="9"/>
    <x v="19"/>
    <s v="SE3_HP"/>
    <x v="6"/>
    <x v="115"/>
    <x v="0"/>
    <x v="6"/>
    <n v="14.4444444444444"/>
    <n v="5272.2222222222199"/>
    <n v="18980"/>
  </r>
  <r>
    <x v="0"/>
    <x v="0"/>
    <x v="0"/>
    <x v="9"/>
    <x v="19"/>
    <s v="SE3_HP"/>
    <x v="6"/>
    <x v="115"/>
    <x v="0"/>
    <x v="7"/>
    <n v="14.4444444444444"/>
    <n v="5272.2222222222199"/>
    <n v="18980"/>
  </r>
  <r>
    <x v="0"/>
    <x v="0"/>
    <x v="0"/>
    <x v="9"/>
    <x v="19"/>
    <s v="SE3_HP"/>
    <x v="6"/>
    <x v="115"/>
    <x v="0"/>
    <x v="8"/>
    <n v="14.4444444444444"/>
    <n v="5272.2222222222199"/>
    <n v="18980"/>
  </r>
  <r>
    <x v="0"/>
    <x v="0"/>
    <x v="0"/>
    <x v="9"/>
    <x v="19"/>
    <s v="SE3_HP"/>
    <x v="6"/>
    <x v="115"/>
    <x v="0"/>
    <x v="9"/>
    <n v="14.4444444444444"/>
    <n v="5272.2222222222199"/>
    <n v="18980"/>
  </r>
  <r>
    <x v="0"/>
    <x v="0"/>
    <x v="0"/>
    <x v="9"/>
    <x v="19"/>
    <s v="SE3_HP"/>
    <x v="6"/>
    <x v="115"/>
    <x v="0"/>
    <x v="10"/>
    <n v="14.4444444444444"/>
    <n v="5272.2222222222199"/>
    <n v="18980"/>
  </r>
  <r>
    <x v="0"/>
    <x v="0"/>
    <x v="0"/>
    <x v="9"/>
    <x v="19"/>
    <s v="SE3_HP"/>
    <x v="6"/>
    <x v="115"/>
    <x v="0"/>
    <x v="11"/>
    <n v="14.4444444444444"/>
    <n v="5272.2222222222199"/>
    <n v="18980"/>
  </r>
  <r>
    <x v="0"/>
    <x v="0"/>
    <x v="0"/>
    <x v="9"/>
    <x v="19"/>
    <s v="SE3_HP"/>
    <x v="6"/>
    <x v="115"/>
    <x v="0"/>
    <x v="12"/>
    <n v="14.4444444444444"/>
    <n v="5272.2222222222199"/>
    <n v="18980"/>
  </r>
  <r>
    <x v="0"/>
    <x v="0"/>
    <x v="0"/>
    <x v="9"/>
    <x v="19"/>
    <s v="SE3_HP"/>
    <x v="6"/>
    <x v="115"/>
    <x v="0"/>
    <x v="13"/>
    <n v="14.4444444444444"/>
    <n v="5272.2222222222199"/>
    <n v="18980"/>
  </r>
  <r>
    <x v="0"/>
    <x v="0"/>
    <x v="0"/>
    <x v="9"/>
    <x v="19"/>
    <s v="SE3_HP"/>
    <x v="6"/>
    <x v="115"/>
    <x v="0"/>
    <x v="14"/>
    <n v="14.4444444444444"/>
    <n v="5272.2222222222199"/>
    <n v="18980"/>
  </r>
  <r>
    <x v="0"/>
    <x v="0"/>
    <x v="0"/>
    <x v="9"/>
    <x v="19"/>
    <s v="SE3_HP"/>
    <x v="6"/>
    <x v="115"/>
    <x v="0"/>
    <x v="15"/>
    <n v="14.4444444444444"/>
    <n v="5272.2222222222199"/>
    <n v="18980"/>
  </r>
  <r>
    <x v="0"/>
    <x v="0"/>
    <x v="0"/>
    <x v="9"/>
    <x v="19"/>
    <s v="SE3_HP"/>
    <x v="6"/>
    <x v="115"/>
    <x v="0"/>
    <x v="16"/>
    <n v="14.4444444444444"/>
    <n v="5272.2222222222199"/>
    <n v="18980"/>
  </r>
  <r>
    <x v="0"/>
    <x v="0"/>
    <x v="0"/>
    <x v="9"/>
    <x v="19"/>
    <s v="SE3_HP"/>
    <x v="6"/>
    <x v="115"/>
    <x v="0"/>
    <x v="17"/>
    <n v="14.4444444444444"/>
    <n v="5272.2222222222199"/>
    <n v="18980"/>
  </r>
  <r>
    <x v="0"/>
    <x v="0"/>
    <x v="0"/>
    <x v="9"/>
    <x v="19"/>
    <s v="SE3_HP"/>
    <x v="6"/>
    <x v="115"/>
    <x v="0"/>
    <x v="18"/>
    <n v="14.4444444444444"/>
    <n v="5272.2222222222199"/>
    <n v="18980"/>
  </r>
  <r>
    <x v="0"/>
    <x v="0"/>
    <x v="0"/>
    <x v="9"/>
    <x v="19"/>
    <s v="SE3_HP"/>
    <x v="6"/>
    <x v="115"/>
    <x v="0"/>
    <x v="19"/>
    <n v="14.4444444444444"/>
    <n v="5272.2222222222199"/>
    <n v="18980"/>
  </r>
  <r>
    <x v="0"/>
    <x v="0"/>
    <x v="0"/>
    <x v="9"/>
    <x v="19"/>
    <s v="SE3_HP"/>
    <x v="6"/>
    <x v="115"/>
    <x v="0"/>
    <x v="20"/>
    <n v="14.4444444444444"/>
    <n v="5272.2222222222199"/>
    <n v="18980"/>
  </r>
  <r>
    <x v="0"/>
    <x v="0"/>
    <x v="0"/>
    <x v="9"/>
    <x v="19"/>
    <s v="SE3_HP"/>
    <x v="6"/>
    <x v="115"/>
    <x v="0"/>
    <x v="21"/>
    <n v="14.4444444444444"/>
    <n v="5272.2222222222199"/>
    <n v="18980"/>
  </r>
  <r>
    <x v="0"/>
    <x v="0"/>
    <x v="0"/>
    <x v="9"/>
    <x v="19"/>
    <s v="SE3_HP"/>
    <x v="6"/>
    <x v="115"/>
    <x v="0"/>
    <x v="22"/>
    <n v="14.4444444444444"/>
    <n v="5272.2222222222199"/>
    <n v="18980"/>
  </r>
  <r>
    <x v="0"/>
    <x v="0"/>
    <x v="0"/>
    <x v="9"/>
    <x v="19"/>
    <s v="SE3_HP"/>
    <x v="6"/>
    <x v="115"/>
    <x v="0"/>
    <x v="23"/>
    <n v="14.4444444444444"/>
    <n v="5272.2222222222199"/>
    <n v="18980"/>
  </r>
  <r>
    <x v="0"/>
    <x v="0"/>
    <x v="0"/>
    <x v="9"/>
    <x v="19"/>
    <s v="SE3_HP"/>
    <x v="7"/>
    <x v="121"/>
    <x v="0"/>
    <x v="0"/>
    <n v="222.455555555556"/>
    <n v="81196.277777777796"/>
    <n v="292306.59999999998"/>
  </r>
  <r>
    <x v="0"/>
    <x v="0"/>
    <x v="0"/>
    <x v="9"/>
    <x v="19"/>
    <s v="SE3_HP"/>
    <x v="7"/>
    <x v="121"/>
    <x v="0"/>
    <x v="1"/>
    <n v="222.455555555556"/>
    <n v="81196.277777777796"/>
    <n v="292306.59999999998"/>
  </r>
  <r>
    <x v="0"/>
    <x v="0"/>
    <x v="0"/>
    <x v="9"/>
    <x v="19"/>
    <s v="SE3_HP"/>
    <x v="7"/>
    <x v="121"/>
    <x v="0"/>
    <x v="2"/>
    <n v="222.455555555556"/>
    <n v="81196.277777777796"/>
    <n v="292306.59999999998"/>
  </r>
  <r>
    <x v="0"/>
    <x v="0"/>
    <x v="0"/>
    <x v="9"/>
    <x v="19"/>
    <s v="SE3_HP"/>
    <x v="7"/>
    <x v="121"/>
    <x v="0"/>
    <x v="3"/>
    <n v="222.455555555556"/>
    <n v="81196.277777777796"/>
    <n v="292306.59999999998"/>
  </r>
  <r>
    <x v="0"/>
    <x v="0"/>
    <x v="0"/>
    <x v="9"/>
    <x v="19"/>
    <s v="SE3_HP"/>
    <x v="7"/>
    <x v="121"/>
    <x v="0"/>
    <x v="4"/>
    <n v="222.455555555556"/>
    <n v="81196.277777777796"/>
    <n v="292306.59999999998"/>
  </r>
  <r>
    <x v="0"/>
    <x v="0"/>
    <x v="0"/>
    <x v="9"/>
    <x v="19"/>
    <s v="SE3_HP"/>
    <x v="7"/>
    <x v="121"/>
    <x v="0"/>
    <x v="5"/>
    <n v="222.455555555556"/>
    <n v="81196.277777777796"/>
    <n v="292306.59999999998"/>
  </r>
  <r>
    <x v="0"/>
    <x v="0"/>
    <x v="0"/>
    <x v="9"/>
    <x v="19"/>
    <s v="SE3_HP"/>
    <x v="7"/>
    <x v="121"/>
    <x v="0"/>
    <x v="6"/>
    <n v="222.455555555556"/>
    <n v="81196.277777777796"/>
    <n v="292306.59999999998"/>
  </r>
  <r>
    <x v="0"/>
    <x v="0"/>
    <x v="0"/>
    <x v="9"/>
    <x v="19"/>
    <s v="SE3_HP"/>
    <x v="7"/>
    <x v="121"/>
    <x v="0"/>
    <x v="7"/>
    <n v="222.455555555556"/>
    <n v="81196.277777777796"/>
    <n v="292306.59999999998"/>
  </r>
  <r>
    <x v="0"/>
    <x v="0"/>
    <x v="0"/>
    <x v="9"/>
    <x v="19"/>
    <s v="SE3_HP"/>
    <x v="7"/>
    <x v="121"/>
    <x v="0"/>
    <x v="8"/>
    <n v="222.455555555556"/>
    <n v="81196.277777777796"/>
    <n v="292306.59999999998"/>
  </r>
  <r>
    <x v="0"/>
    <x v="0"/>
    <x v="0"/>
    <x v="9"/>
    <x v="19"/>
    <s v="SE3_HP"/>
    <x v="7"/>
    <x v="121"/>
    <x v="0"/>
    <x v="9"/>
    <n v="222.455555555556"/>
    <n v="81196.277777777796"/>
    <n v="292306.59999999998"/>
  </r>
  <r>
    <x v="0"/>
    <x v="0"/>
    <x v="0"/>
    <x v="9"/>
    <x v="19"/>
    <s v="SE3_HP"/>
    <x v="7"/>
    <x v="121"/>
    <x v="0"/>
    <x v="10"/>
    <n v="222.455555555556"/>
    <n v="81196.277777777796"/>
    <n v="292306.59999999998"/>
  </r>
  <r>
    <x v="0"/>
    <x v="0"/>
    <x v="0"/>
    <x v="9"/>
    <x v="19"/>
    <s v="SE3_HP"/>
    <x v="7"/>
    <x v="121"/>
    <x v="0"/>
    <x v="11"/>
    <n v="222.455555555556"/>
    <n v="81196.277777777796"/>
    <n v="292306.59999999998"/>
  </r>
  <r>
    <x v="0"/>
    <x v="0"/>
    <x v="0"/>
    <x v="9"/>
    <x v="19"/>
    <s v="SE3_HP"/>
    <x v="7"/>
    <x v="121"/>
    <x v="0"/>
    <x v="12"/>
    <n v="222.455555555556"/>
    <n v="81196.277777777796"/>
    <n v="292306.59999999998"/>
  </r>
  <r>
    <x v="0"/>
    <x v="0"/>
    <x v="0"/>
    <x v="9"/>
    <x v="19"/>
    <s v="SE3_HP"/>
    <x v="7"/>
    <x v="121"/>
    <x v="0"/>
    <x v="13"/>
    <n v="222.455555555556"/>
    <n v="81196.277777777796"/>
    <n v="292306.59999999998"/>
  </r>
  <r>
    <x v="0"/>
    <x v="0"/>
    <x v="0"/>
    <x v="9"/>
    <x v="19"/>
    <s v="SE3_HP"/>
    <x v="7"/>
    <x v="121"/>
    <x v="0"/>
    <x v="14"/>
    <n v="222.455555555556"/>
    <n v="81196.277777777796"/>
    <n v="292306.59999999998"/>
  </r>
  <r>
    <x v="0"/>
    <x v="0"/>
    <x v="0"/>
    <x v="9"/>
    <x v="19"/>
    <s v="SE3_HP"/>
    <x v="7"/>
    <x v="121"/>
    <x v="0"/>
    <x v="15"/>
    <n v="222.455555555556"/>
    <n v="81196.277777777796"/>
    <n v="292306.59999999998"/>
  </r>
  <r>
    <x v="0"/>
    <x v="0"/>
    <x v="0"/>
    <x v="9"/>
    <x v="19"/>
    <s v="SE3_HP"/>
    <x v="7"/>
    <x v="121"/>
    <x v="0"/>
    <x v="16"/>
    <n v="222.455555555556"/>
    <n v="81196.277777777796"/>
    <n v="292306.59999999998"/>
  </r>
  <r>
    <x v="0"/>
    <x v="0"/>
    <x v="0"/>
    <x v="9"/>
    <x v="19"/>
    <s v="SE3_HP"/>
    <x v="7"/>
    <x v="121"/>
    <x v="0"/>
    <x v="17"/>
    <n v="222.455555555556"/>
    <n v="81196.277777777796"/>
    <n v="292306.59999999998"/>
  </r>
  <r>
    <x v="0"/>
    <x v="0"/>
    <x v="0"/>
    <x v="9"/>
    <x v="19"/>
    <s v="SE3_HP"/>
    <x v="7"/>
    <x v="121"/>
    <x v="0"/>
    <x v="18"/>
    <n v="222.455555555556"/>
    <n v="81196.277777777796"/>
    <n v="292306.59999999998"/>
  </r>
  <r>
    <x v="0"/>
    <x v="0"/>
    <x v="0"/>
    <x v="9"/>
    <x v="19"/>
    <s v="SE3_HP"/>
    <x v="7"/>
    <x v="121"/>
    <x v="0"/>
    <x v="19"/>
    <n v="222.455555555556"/>
    <n v="81196.277777777796"/>
    <n v="292306.59999999998"/>
  </r>
  <r>
    <x v="0"/>
    <x v="0"/>
    <x v="0"/>
    <x v="9"/>
    <x v="19"/>
    <s v="SE3_HP"/>
    <x v="7"/>
    <x v="121"/>
    <x v="0"/>
    <x v="20"/>
    <n v="222.455555555556"/>
    <n v="81196.277777777796"/>
    <n v="292306.59999999998"/>
  </r>
  <r>
    <x v="0"/>
    <x v="0"/>
    <x v="0"/>
    <x v="9"/>
    <x v="19"/>
    <s v="SE3_HP"/>
    <x v="7"/>
    <x v="121"/>
    <x v="0"/>
    <x v="21"/>
    <n v="222.455555555556"/>
    <n v="81196.277777777796"/>
    <n v="292306.59999999998"/>
  </r>
  <r>
    <x v="0"/>
    <x v="0"/>
    <x v="0"/>
    <x v="9"/>
    <x v="19"/>
    <s v="SE3_HP"/>
    <x v="7"/>
    <x v="121"/>
    <x v="0"/>
    <x v="22"/>
    <n v="222.455555555556"/>
    <n v="81196.277777777796"/>
    <n v="292306.59999999998"/>
  </r>
  <r>
    <x v="0"/>
    <x v="0"/>
    <x v="0"/>
    <x v="9"/>
    <x v="19"/>
    <s v="SE3_HP"/>
    <x v="7"/>
    <x v="121"/>
    <x v="0"/>
    <x v="23"/>
    <n v="222.455555555556"/>
    <n v="81196.277777777796"/>
    <n v="292306.59999999998"/>
  </r>
  <r>
    <x v="0"/>
    <x v="0"/>
    <x v="0"/>
    <x v="9"/>
    <x v="19"/>
    <s v="SE3_HP"/>
    <x v="11"/>
    <x v="199"/>
    <x v="0"/>
    <x v="0"/>
    <n v="106.436077057793"/>
    <n v="38849.168126094599"/>
    <n v="139857.00525394001"/>
  </r>
  <r>
    <x v="0"/>
    <x v="0"/>
    <x v="0"/>
    <x v="9"/>
    <x v="19"/>
    <s v="SE3_HP"/>
    <x v="11"/>
    <x v="199"/>
    <x v="0"/>
    <x v="1"/>
    <n v="106.436077057793"/>
    <n v="38849.168126094599"/>
    <n v="139857.00525394001"/>
  </r>
  <r>
    <x v="0"/>
    <x v="0"/>
    <x v="0"/>
    <x v="9"/>
    <x v="19"/>
    <s v="SE3_HP"/>
    <x v="11"/>
    <x v="199"/>
    <x v="0"/>
    <x v="2"/>
    <n v="106.436077057793"/>
    <n v="38849.168126094599"/>
    <n v="139857.00525394001"/>
  </r>
  <r>
    <x v="0"/>
    <x v="0"/>
    <x v="0"/>
    <x v="9"/>
    <x v="19"/>
    <s v="SE3_HP"/>
    <x v="11"/>
    <x v="199"/>
    <x v="0"/>
    <x v="3"/>
    <n v="106.436077057793"/>
    <n v="38849.168126094599"/>
    <n v="139857.00525394001"/>
  </r>
  <r>
    <x v="0"/>
    <x v="0"/>
    <x v="0"/>
    <x v="9"/>
    <x v="19"/>
    <s v="SE3_HP"/>
    <x v="11"/>
    <x v="199"/>
    <x v="0"/>
    <x v="4"/>
    <n v="106.436077057793"/>
    <n v="38849.168126094599"/>
    <n v="139857.00525394001"/>
  </r>
  <r>
    <x v="0"/>
    <x v="0"/>
    <x v="0"/>
    <x v="9"/>
    <x v="19"/>
    <s v="SE3_HP"/>
    <x v="11"/>
    <x v="199"/>
    <x v="0"/>
    <x v="5"/>
    <n v="106.436077057793"/>
    <n v="38849.168126094599"/>
    <n v="139857.00525394001"/>
  </r>
  <r>
    <x v="0"/>
    <x v="0"/>
    <x v="0"/>
    <x v="9"/>
    <x v="19"/>
    <s v="SE3_HP"/>
    <x v="11"/>
    <x v="199"/>
    <x v="0"/>
    <x v="6"/>
    <n v="106.436077057793"/>
    <n v="38849.168126094599"/>
    <n v="139857.00525394001"/>
  </r>
  <r>
    <x v="0"/>
    <x v="0"/>
    <x v="0"/>
    <x v="9"/>
    <x v="19"/>
    <s v="SE3_HP"/>
    <x v="11"/>
    <x v="199"/>
    <x v="0"/>
    <x v="7"/>
    <n v="106.436077057793"/>
    <n v="38849.168126094599"/>
    <n v="139857.00525394001"/>
  </r>
  <r>
    <x v="0"/>
    <x v="0"/>
    <x v="0"/>
    <x v="9"/>
    <x v="19"/>
    <s v="SE3_HP"/>
    <x v="11"/>
    <x v="199"/>
    <x v="0"/>
    <x v="8"/>
    <n v="106.436077057793"/>
    <n v="38849.168126094599"/>
    <n v="139857.00525394001"/>
  </r>
  <r>
    <x v="0"/>
    <x v="0"/>
    <x v="0"/>
    <x v="9"/>
    <x v="19"/>
    <s v="SE3_HP"/>
    <x v="11"/>
    <x v="199"/>
    <x v="0"/>
    <x v="9"/>
    <n v="106.436077057793"/>
    <n v="38849.168126094599"/>
    <n v="139857.00525394001"/>
  </r>
  <r>
    <x v="0"/>
    <x v="0"/>
    <x v="0"/>
    <x v="9"/>
    <x v="19"/>
    <s v="SE3_HP"/>
    <x v="11"/>
    <x v="199"/>
    <x v="0"/>
    <x v="10"/>
    <n v="106.436077057793"/>
    <n v="38849.168126094599"/>
    <n v="139857.00525394001"/>
  </r>
  <r>
    <x v="0"/>
    <x v="0"/>
    <x v="0"/>
    <x v="9"/>
    <x v="19"/>
    <s v="SE3_HP"/>
    <x v="11"/>
    <x v="199"/>
    <x v="0"/>
    <x v="11"/>
    <n v="106.436077057793"/>
    <n v="38849.168126094599"/>
    <n v="139857.00525394001"/>
  </r>
  <r>
    <x v="0"/>
    <x v="0"/>
    <x v="0"/>
    <x v="9"/>
    <x v="19"/>
    <s v="SE3_HP"/>
    <x v="11"/>
    <x v="199"/>
    <x v="0"/>
    <x v="12"/>
    <n v="106.436077057793"/>
    <n v="38849.168126094599"/>
    <n v="139857.00525394001"/>
  </r>
  <r>
    <x v="0"/>
    <x v="0"/>
    <x v="0"/>
    <x v="9"/>
    <x v="19"/>
    <s v="SE3_HP"/>
    <x v="11"/>
    <x v="199"/>
    <x v="0"/>
    <x v="13"/>
    <n v="106.436077057793"/>
    <n v="38849.168126094599"/>
    <n v="139857.00525394001"/>
  </r>
  <r>
    <x v="0"/>
    <x v="0"/>
    <x v="0"/>
    <x v="9"/>
    <x v="19"/>
    <s v="SE3_HP"/>
    <x v="11"/>
    <x v="199"/>
    <x v="0"/>
    <x v="14"/>
    <n v="106.436077057793"/>
    <n v="38849.168126094599"/>
    <n v="139857.00525394001"/>
  </r>
  <r>
    <x v="0"/>
    <x v="0"/>
    <x v="0"/>
    <x v="9"/>
    <x v="19"/>
    <s v="SE3_HP"/>
    <x v="11"/>
    <x v="199"/>
    <x v="0"/>
    <x v="15"/>
    <n v="106.436077057793"/>
    <n v="38849.168126094599"/>
    <n v="139857.00525394001"/>
  </r>
  <r>
    <x v="0"/>
    <x v="0"/>
    <x v="0"/>
    <x v="9"/>
    <x v="19"/>
    <s v="SE3_HP"/>
    <x v="11"/>
    <x v="199"/>
    <x v="0"/>
    <x v="16"/>
    <n v="106.436077057793"/>
    <n v="38849.168126094599"/>
    <n v="139857.00525394001"/>
  </r>
  <r>
    <x v="0"/>
    <x v="0"/>
    <x v="0"/>
    <x v="9"/>
    <x v="19"/>
    <s v="SE3_HP"/>
    <x v="11"/>
    <x v="199"/>
    <x v="0"/>
    <x v="17"/>
    <n v="106.436077057793"/>
    <n v="38849.168126094599"/>
    <n v="139857.00525394001"/>
  </r>
  <r>
    <x v="0"/>
    <x v="0"/>
    <x v="0"/>
    <x v="9"/>
    <x v="19"/>
    <s v="SE3_HP"/>
    <x v="11"/>
    <x v="199"/>
    <x v="0"/>
    <x v="18"/>
    <n v="106.436077057793"/>
    <n v="38849.168126094599"/>
    <n v="139857.00525394001"/>
  </r>
  <r>
    <x v="0"/>
    <x v="0"/>
    <x v="0"/>
    <x v="9"/>
    <x v="19"/>
    <s v="SE3_HP"/>
    <x v="11"/>
    <x v="199"/>
    <x v="0"/>
    <x v="19"/>
    <n v="106.436077057793"/>
    <n v="38849.168126094599"/>
    <n v="139857.00525394001"/>
  </r>
  <r>
    <x v="0"/>
    <x v="0"/>
    <x v="0"/>
    <x v="9"/>
    <x v="19"/>
    <s v="SE3_HP"/>
    <x v="11"/>
    <x v="199"/>
    <x v="0"/>
    <x v="20"/>
    <n v="106.436077057793"/>
    <n v="38849.168126094599"/>
    <n v="139857.00525394001"/>
  </r>
  <r>
    <x v="0"/>
    <x v="0"/>
    <x v="0"/>
    <x v="9"/>
    <x v="19"/>
    <s v="SE3_HP"/>
    <x v="11"/>
    <x v="199"/>
    <x v="0"/>
    <x v="21"/>
    <n v="106.436077057793"/>
    <n v="38849.168126094599"/>
    <n v="139857.00525394001"/>
  </r>
  <r>
    <x v="0"/>
    <x v="0"/>
    <x v="0"/>
    <x v="9"/>
    <x v="19"/>
    <s v="SE3_HP"/>
    <x v="11"/>
    <x v="199"/>
    <x v="0"/>
    <x v="22"/>
    <n v="106.436077057793"/>
    <n v="38849.168126094599"/>
    <n v="139857.00525394001"/>
  </r>
  <r>
    <x v="0"/>
    <x v="0"/>
    <x v="0"/>
    <x v="9"/>
    <x v="19"/>
    <s v="SE3_HP"/>
    <x v="11"/>
    <x v="199"/>
    <x v="0"/>
    <x v="23"/>
    <n v="106.436077057793"/>
    <n v="38849.168126094599"/>
    <n v="139857.00525394001"/>
  </r>
  <r>
    <x v="0"/>
    <x v="0"/>
    <x v="0"/>
    <x v="9"/>
    <x v="19"/>
    <s v="SE3_HP"/>
    <x v="11"/>
    <x v="206"/>
    <x v="0"/>
    <x v="0"/>
    <n v="491.99822391726002"/>
    <n v="179579.35172979999"/>
    <n v="646485.666227279"/>
  </r>
  <r>
    <x v="0"/>
    <x v="0"/>
    <x v="0"/>
    <x v="9"/>
    <x v="19"/>
    <s v="SE3_HP"/>
    <x v="11"/>
    <x v="206"/>
    <x v="0"/>
    <x v="1"/>
    <n v="491.99822391726002"/>
    <n v="179579.35172979999"/>
    <n v="646485.666227279"/>
  </r>
  <r>
    <x v="0"/>
    <x v="0"/>
    <x v="0"/>
    <x v="9"/>
    <x v="19"/>
    <s v="SE3_HP"/>
    <x v="11"/>
    <x v="206"/>
    <x v="0"/>
    <x v="2"/>
    <n v="491.99822391726002"/>
    <n v="179579.35172979999"/>
    <n v="646485.666227279"/>
  </r>
  <r>
    <x v="0"/>
    <x v="0"/>
    <x v="0"/>
    <x v="9"/>
    <x v="19"/>
    <s v="SE3_HP"/>
    <x v="11"/>
    <x v="206"/>
    <x v="0"/>
    <x v="3"/>
    <n v="491.99822391726002"/>
    <n v="179579.35172979999"/>
    <n v="646485.666227279"/>
  </r>
  <r>
    <x v="0"/>
    <x v="0"/>
    <x v="0"/>
    <x v="9"/>
    <x v="19"/>
    <s v="SE3_HP"/>
    <x v="11"/>
    <x v="206"/>
    <x v="0"/>
    <x v="4"/>
    <n v="491.99822391726002"/>
    <n v="179579.35172979999"/>
    <n v="646485.666227279"/>
  </r>
  <r>
    <x v="0"/>
    <x v="0"/>
    <x v="0"/>
    <x v="9"/>
    <x v="19"/>
    <s v="SE3_HP"/>
    <x v="11"/>
    <x v="206"/>
    <x v="0"/>
    <x v="5"/>
    <n v="491.99822391726002"/>
    <n v="179579.35172979999"/>
    <n v="646485.666227279"/>
  </r>
  <r>
    <x v="0"/>
    <x v="0"/>
    <x v="0"/>
    <x v="9"/>
    <x v="19"/>
    <s v="SE3_HP"/>
    <x v="11"/>
    <x v="206"/>
    <x v="0"/>
    <x v="6"/>
    <n v="491.99822391726002"/>
    <n v="179579.35172979999"/>
    <n v="646485.666227279"/>
  </r>
  <r>
    <x v="0"/>
    <x v="0"/>
    <x v="0"/>
    <x v="9"/>
    <x v="19"/>
    <s v="SE3_HP"/>
    <x v="11"/>
    <x v="206"/>
    <x v="0"/>
    <x v="7"/>
    <n v="491.99822391726002"/>
    <n v="179579.35172979999"/>
    <n v="646485.666227279"/>
  </r>
  <r>
    <x v="0"/>
    <x v="0"/>
    <x v="0"/>
    <x v="9"/>
    <x v="19"/>
    <s v="SE3_HP"/>
    <x v="11"/>
    <x v="206"/>
    <x v="0"/>
    <x v="8"/>
    <n v="491.99822391726002"/>
    <n v="179579.35172979999"/>
    <n v="646485.666227279"/>
  </r>
  <r>
    <x v="0"/>
    <x v="0"/>
    <x v="0"/>
    <x v="9"/>
    <x v="19"/>
    <s v="SE3_HP"/>
    <x v="11"/>
    <x v="206"/>
    <x v="0"/>
    <x v="9"/>
    <n v="491.99822391726002"/>
    <n v="179579.35172979999"/>
    <n v="646485.666227279"/>
  </r>
  <r>
    <x v="0"/>
    <x v="0"/>
    <x v="0"/>
    <x v="9"/>
    <x v="19"/>
    <s v="SE3_HP"/>
    <x v="11"/>
    <x v="206"/>
    <x v="0"/>
    <x v="10"/>
    <n v="491.99822391726002"/>
    <n v="179579.35172979999"/>
    <n v="646485.666227279"/>
  </r>
  <r>
    <x v="0"/>
    <x v="0"/>
    <x v="0"/>
    <x v="9"/>
    <x v="19"/>
    <s v="SE3_HP"/>
    <x v="11"/>
    <x v="206"/>
    <x v="0"/>
    <x v="11"/>
    <n v="491.99822391726002"/>
    <n v="179579.35172979999"/>
    <n v="646485.666227279"/>
  </r>
  <r>
    <x v="0"/>
    <x v="0"/>
    <x v="0"/>
    <x v="9"/>
    <x v="19"/>
    <s v="SE3_HP"/>
    <x v="11"/>
    <x v="206"/>
    <x v="0"/>
    <x v="12"/>
    <n v="491.99822391726002"/>
    <n v="179579.35172979999"/>
    <n v="646485.666227279"/>
  </r>
  <r>
    <x v="0"/>
    <x v="0"/>
    <x v="0"/>
    <x v="9"/>
    <x v="19"/>
    <s v="SE3_HP"/>
    <x v="11"/>
    <x v="206"/>
    <x v="0"/>
    <x v="13"/>
    <n v="491.99822391726002"/>
    <n v="179579.35172979999"/>
    <n v="646485.666227279"/>
  </r>
  <r>
    <x v="0"/>
    <x v="0"/>
    <x v="0"/>
    <x v="9"/>
    <x v="19"/>
    <s v="SE3_HP"/>
    <x v="11"/>
    <x v="206"/>
    <x v="0"/>
    <x v="14"/>
    <n v="491.99822391726002"/>
    <n v="179579.35172979999"/>
    <n v="646485.666227279"/>
  </r>
  <r>
    <x v="0"/>
    <x v="0"/>
    <x v="0"/>
    <x v="9"/>
    <x v="19"/>
    <s v="SE3_HP"/>
    <x v="11"/>
    <x v="206"/>
    <x v="0"/>
    <x v="15"/>
    <n v="491.99822391726002"/>
    <n v="179579.35172979999"/>
    <n v="646485.666227279"/>
  </r>
  <r>
    <x v="0"/>
    <x v="0"/>
    <x v="0"/>
    <x v="9"/>
    <x v="19"/>
    <s v="SE3_HP"/>
    <x v="11"/>
    <x v="206"/>
    <x v="0"/>
    <x v="16"/>
    <n v="491.99822391726002"/>
    <n v="179579.35172979999"/>
    <n v="646485.666227279"/>
  </r>
  <r>
    <x v="0"/>
    <x v="0"/>
    <x v="0"/>
    <x v="9"/>
    <x v="19"/>
    <s v="SE3_HP"/>
    <x v="11"/>
    <x v="206"/>
    <x v="0"/>
    <x v="17"/>
    <n v="491.99822391726002"/>
    <n v="179579.35172979999"/>
    <n v="646485.666227279"/>
  </r>
  <r>
    <x v="0"/>
    <x v="0"/>
    <x v="0"/>
    <x v="9"/>
    <x v="19"/>
    <s v="SE3_HP"/>
    <x v="11"/>
    <x v="206"/>
    <x v="0"/>
    <x v="18"/>
    <n v="491.99822391726002"/>
    <n v="179579.35172979999"/>
    <n v="646485.666227279"/>
  </r>
  <r>
    <x v="0"/>
    <x v="0"/>
    <x v="0"/>
    <x v="9"/>
    <x v="19"/>
    <s v="SE3_HP"/>
    <x v="11"/>
    <x v="206"/>
    <x v="0"/>
    <x v="19"/>
    <n v="491.99822391726002"/>
    <n v="179579.35172979999"/>
    <n v="646485.666227279"/>
  </r>
  <r>
    <x v="0"/>
    <x v="0"/>
    <x v="0"/>
    <x v="9"/>
    <x v="19"/>
    <s v="SE3_HP"/>
    <x v="11"/>
    <x v="206"/>
    <x v="0"/>
    <x v="20"/>
    <n v="491.99822391726002"/>
    <n v="179579.35172979999"/>
    <n v="646485.666227279"/>
  </r>
  <r>
    <x v="0"/>
    <x v="0"/>
    <x v="0"/>
    <x v="9"/>
    <x v="19"/>
    <s v="SE3_HP"/>
    <x v="11"/>
    <x v="206"/>
    <x v="0"/>
    <x v="21"/>
    <n v="491.99822391726002"/>
    <n v="179579.35172979999"/>
    <n v="646485.666227279"/>
  </r>
  <r>
    <x v="0"/>
    <x v="0"/>
    <x v="0"/>
    <x v="9"/>
    <x v="19"/>
    <s v="SE3_HP"/>
    <x v="11"/>
    <x v="206"/>
    <x v="0"/>
    <x v="22"/>
    <n v="491.99822391726002"/>
    <n v="179579.35172979999"/>
    <n v="646485.666227279"/>
  </r>
  <r>
    <x v="0"/>
    <x v="0"/>
    <x v="0"/>
    <x v="9"/>
    <x v="19"/>
    <s v="SE3_HP"/>
    <x v="11"/>
    <x v="206"/>
    <x v="0"/>
    <x v="23"/>
    <n v="491.99822391726002"/>
    <n v="179579.35172979999"/>
    <n v="646485.666227279"/>
  </r>
  <r>
    <x v="0"/>
    <x v="0"/>
    <x v="0"/>
    <x v="9"/>
    <x v="19"/>
    <s v="SE3_HP"/>
    <x v="11"/>
    <x v="122"/>
    <x v="0"/>
    <x v="0"/>
    <n v="20.472496960956001"/>
    <n v="7472.4613907489402"/>
    <n v="26900.861006696199"/>
  </r>
  <r>
    <x v="0"/>
    <x v="0"/>
    <x v="0"/>
    <x v="9"/>
    <x v="19"/>
    <s v="SE3_HP"/>
    <x v="11"/>
    <x v="122"/>
    <x v="0"/>
    <x v="1"/>
    <n v="20.472496960956001"/>
    <n v="7472.4613907489402"/>
    <n v="26900.861006696199"/>
  </r>
  <r>
    <x v="0"/>
    <x v="0"/>
    <x v="0"/>
    <x v="9"/>
    <x v="19"/>
    <s v="SE3_HP"/>
    <x v="11"/>
    <x v="122"/>
    <x v="0"/>
    <x v="2"/>
    <n v="20.472496960956001"/>
    <n v="7472.4613907489402"/>
    <n v="26900.861006696199"/>
  </r>
  <r>
    <x v="0"/>
    <x v="0"/>
    <x v="0"/>
    <x v="9"/>
    <x v="19"/>
    <s v="SE3_HP"/>
    <x v="11"/>
    <x v="122"/>
    <x v="0"/>
    <x v="3"/>
    <n v="20.472496960956001"/>
    <n v="7472.4613907489402"/>
    <n v="26900.861006696199"/>
  </r>
  <r>
    <x v="0"/>
    <x v="0"/>
    <x v="0"/>
    <x v="9"/>
    <x v="19"/>
    <s v="SE3_HP"/>
    <x v="11"/>
    <x v="122"/>
    <x v="0"/>
    <x v="4"/>
    <n v="20.472496960956001"/>
    <n v="7472.4613907489402"/>
    <n v="26900.861006696199"/>
  </r>
  <r>
    <x v="0"/>
    <x v="0"/>
    <x v="0"/>
    <x v="9"/>
    <x v="19"/>
    <s v="SE3_HP"/>
    <x v="11"/>
    <x v="122"/>
    <x v="0"/>
    <x v="5"/>
    <n v="20.472496960956001"/>
    <n v="7472.4613907489402"/>
    <n v="26900.861006696199"/>
  </r>
  <r>
    <x v="0"/>
    <x v="0"/>
    <x v="0"/>
    <x v="9"/>
    <x v="19"/>
    <s v="SE3_HP"/>
    <x v="11"/>
    <x v="122"/>
    <x v="0"/>
    <x v="6"/>
    <n v="20.472496960956001"/>
    <n v="7472.4613907489402"/>
    <n v="26900.861006696199"/>
  </r>
  <r>
    <x v="0"/>
    <x v="0"/>
    <x v="0"/>
    <x v="9"/>
    <x v="19"/>
    <s v="SE3_HP"/>
    <x v="11"/>
    <x v="122"/>
    <x v="0"/>
    <x v="7"/>
    <n v="20.472496960956001"/>
    <n v="7472.4613907489402"/>
    <n v="26900.861006696199"/>
  </r>
  <r>
    <x v="0"/>
    <x v="0"/>
    <x v="0"/>
    <x v="9"/>
    <x v="19"/>
    <s v="SE3_HP"/>
    <x v="11"/>
    <x v="122"/>
    <x v="0"/>
    <x v="8"/>
    <n v="20.472496960956001"/>
    <n v="7472.4613907489402"/>
    <n v="26900.861006696199"/>
  </r>
  <r>
    <x v="0"/>
    <x v="0"/>
    <x v="0"/>
    <x v="9"/>
    <x v="19"/>
    <s v="SE3_HP"/>
    <x v="11"/>
    <x v="122"/>
    <x v="0"/>
    <x v="9"/>
    <n v="20.472496960956001"/>
    <n v="7472.4613907489402"/>
    <n v="26900.861006696199"/>
  </r>
  <r>
    <x v="0"/>
    <x v="0"/>
    <x v="0"/>
    <x v="9"/>
    <x v="19"/>
    <s v="SE3_HP"/>
    <x v="11"/>
    <x v="122"/>
    <x v="0"/>
    <x v="10"/>
    <n v="20.472496960956001"/>
    <n v="7472.4613907489402"/>
    <n v="26900.861006696199"/>
  </r>
  <r>
    <x v="0"/>
    <x v="0"/>
    <x v="0"/>
    <x v="9"/>
    <x v="19"/>
    <s v="SE3_HP"/>
    <x v="11"/>
    <x v="122"/>
    <x v="0"/>
    <x v="11"/>
    <n v="20.472496960956001"/>
    <n v="7472.4613907489402"/>
    <n v="26900.861006696199"/>
  </r>
  <r>
    <x v="0"/>
    <x v="0"/>
    <x v="0"/>
    <x v="9"/>
    <x v="19"/>
    <s v="SE3_HP"/>
    <x v="11"/>
    <x v="122"/>
    <x v="0"/>
    <x v="12"/>
    <n v="20.472496960956001"/>
    <n v="7472.4613907489402"/>
    <n v="26900.861006696199"/>
  </r>
  <r>
    <x v="0"/>
    <x v="0"/>
    <x v="0"/>
    <x v="9"/>
    <x v="19"/>
    <s v="SE3_HP"/>
    <x v="11"/>
    <x v="122"/>
    <x v="0"/>
    <x v="13"/>
    <n v="20.472496960956001"/>
    <n v="7472.4613907489402"/>
    <n v="26900.861006696199"/>
  </r>
  <r>
    <x v="0"/>
    <x v="0"/>
    <x v="0"/>
    <x v="9"/>
    <x v="19"/>
    <s v="SE3_HP"/>
    <x v="11"/>
    <x v="122"/>
    <x v="0"/>
    <x v="14"/>
    <n v="20.472496960956001"/>
    <n v="7472.4613907489402"/>
    <n v="26900.861006696199"/>
  </r>
  <r>
    <x v="0"/>
    <x v="0"/>
    <x v="0"/>
    <x v="9"/>
    <x v="19"/>
    <s v="SE3_HP"/>
    <x v="11"/>
    <x v="122"/>
    <x v="0"/>
    <x v="15"/>
    <n v="20.472496960956001"/>
    <n v="7472.4613907489402"/>
    <n v="26900.861006696199"/>
  </r>
  <r>
    <x v="0"/>
    <x v="0"/>
    <x v="0"/>
    <x v="9"/>
    <x v="19"/>
    <s v="SE3_HP"/>
    <x v="11"/>
    <x v="122"/>
    <x v="0"/>
    <x v="16"/>
    <n v="20.472496960956001"/>
    <n v="7472.4613907489402"/>
    <n v="26900.861006696199"/>
  </r>
  <r>
    <x v="0"/>
    <x v="0"/>
    <x v="0"/>
    <x v="9"/>
    <x v="19"/>
    <s v="SE3_HP"/>
    <x v="11"/>
    <x v="122"/>
    <x v="0"/>
    <x v="17"/>
    <n v="20.472496960956001"/>
    <n v="7472.4613907489402"/>
    <n v="26900.861006696199"/>
  </r>
  <r>
    <x v="0"/>
    <x v="0"/>
    <x v="0"/>
    <x v="9"/>
    <x v="19"/>
    <s v="SE3_HP"/>
    <x v="11"/>
    <x v="122"/>
    <x v="0"/>
    <x v="18"/>
    <n v="20.472496960956001"/>
    <n v="7472.4613907489402"/>
    <n v="26900.861006696199"/>
  </r>
  <r>
    <x v="0"/>
    <x v="0"/>
    <x v="0"/>
    <x v="9"/>
    <x v="19"/>
    <s v="SE3_HP"/>
    <x v="11"/>
    <x v="122"/>
    <x v="0"/>
    <x v="19"/>
    <n v="20.472496960956001"/>
    <n v="7472.4613907489402"/>
    <n v="26900.861006696199"/>
  </r>
  <r>
    <x v="0"/>
    <x v="0"/>
    <x v="0"/>
    <x v="9"/>
    <x v="19"/>
    <s v="SE3_HP"/>
    <x v="11"/>
    <x v="122"/>
    <x v="0"/>
    <x v="20"/>
    <n v="20.472496960956001"/>
    <n v="7472.4613907489402"/>
    <n v="26900.861006696199"/>
  </r>
  <r>
    <x v="0"/>
    <x v="0"/>
    <x v="0"/>
    <x v="9"/>
    <x v="19"/>
    <s v="SE3_HP"/>
    <x v="11"/>
    <x v="122"/>
    <x v="0"/>
    <x v="21"/>
    <n v="20.472496960956001"/>
    <n v="7472.4613907489402"/>
    <n v="26900.861006696199"/>
  </r>
  <r>
    <x v="0"/>
    <x v="0"/>
    <x v="0"/>
    <x v="9"/>
    <x v="19"/>
    <s v="SE3_HP"/>
    <x v="11"/>
    <x v="122"/>
    <x v="0"/>
    <x v="22"/>
    <n v="20.472496960956001"/>
    <n v="7472.4613907489402"/>
    <n v="26900.861006696199"/>
  </r>
  <r>
    <x v="0"/>
    <x v="0"/>
    <x v="0"/>
    <x v="9"/>
    <x v="19"/>
    <s v="SE3_HP"/>
    <x v="11"/>
    <x v="122"/>
    <x v="0"/>
    <x v="23"/>
    <n v="20.472496960956001"/>
    <n v="7472.4613907489402"/>
    <n v="26900.861006696199"/>
  </r>
  <r>
    <x v="0"/>
    <x v="0"/>
    <x v="0"/>
    <x v="9"/>
    <x v="19"/>
    <s v="SE3_OTHER"/>
    <x v="2"/>
    <x v="196"/>
    <x v="0"/>
    <x v="0"/>
    <n v="166.00790611149199"/>
    <n v="60592.885730694703"/>
    <n v="218134.38863050099"/>
  </r>
  <r>
    <x v="0"/>
    <x v="0"/>
    <x v="0"/>
    <x v="9"/>
    <x v="19"/>
    <s v="SE3_OTHER"/>
    <x v="2"/>
    <x v="196"/>
    <x v="0"/>
    <x v="1"/>
    <n v="166.00790611149199"/>
    <n v="60592.885730694703"/>
    <n v="218134.38863050099"/>
  </r>
  <r>
    <x v="0"/>
    <x v="0"/>
    <x v="0"/>
    <x v="9"/>
    <x v="19"/>
    <s v="SE3_OTHER"/>
    <x v="2"/>
    <x v="196"/>
    <x v="0"/>
    <x v="2"/>
    <n v="166.00790611149199"/>
    <n v="60592.885730694703"/>
    <n v="218134.38863050099"/>
  </r>
  <r>
    <x v="0"/>
    <x v="0"/>
    <x v="0"/>
    <x v="9"/>
    <x v="19"/>
    <s v="SE3_OTHER"/>
    <x v="2"/>
    <x v="196"/>
    <x v="0"/>
    <x v="3"/>
    <n v="166.00790611149199"/>
    <n v="60592.885730694703"/>
    <n v="218134.38863050099"/>
  </r>
  <r>
    <x v="0"/>
    <x v="0"/>
    <x v="0"/>
    <x v="9"/>
    <x v="19"/>
    <s v="SE3_OTHER"/>
    <x v="2"/>
    <x v="196"/>
    <x v="0"/>
    <x v="4"/>
    <n v="166.00790611149199"/>
    <n v="60592.885730694703"/>
    <n v="218134.38863050099"/>
  </r>
  <r>
    <x v="0"/>
    <x v="0"/>
    <x v="0"/>
    <x v="9"/>
    <x v="19"/>
    <s v="SE3_OTHER"/>
    <x v="2"/>
    <x v="196"/>
    <x v="0"/>
    <x v="5"/>
    <n v="166.00790611149199"/>
    <n v="60592.885730694703"/>
    <n v="218134.38863050099"/>
  </r>
  <r>
    <x v="0"/>
    <x v="0"/>
    <x v="0"/>
    <x v="9"/>
    <x v="19"/>
    <s v="SE3_OTHER"/>
    <x v="2"/>
    <x v="196"/>
    <x v="0"/>
    <x v="6"/>
    <n v="166.00790611149199"/>
    <n v="60592.885730694703"/>
    <n v="218134.38863050099"/>
  </r>
  <r>
    <x v="0"/>
    <x v="0"/>
    <x v="0"/>
    <x v="9"/>
    <x v="19"/>
    <s v="SE3_OTHER"/>
    <x v="2"/>
    <x v="196"/>
    <x v="0"/>
    <x v="7"/>
    <n v="166.00790611149199"/>
    <n v="60592.885730694703"/>
    <n v="218134.38863050099"/>
  </r>
  <r>
    <x v="0"/>
    <x v="0"/>
    <x v="0"/>
    <x v="9"/>
    <x v="19"/>
    <s v="SE3_OTHER"/>
    <x v="2"/>
    <x v="196"/>
    <x v="0"/>
    <x v="8"/>
    <n v="166.00790611149199"/>
    <n v="60592.885730694703"/>
    <n v="218134.38863050099"/>
  </r>
  <r>
    <x v="0"/>
    <x v="0"/>
    <x v="0"/>
    <x v="9"/>
    <x v="19"/>
    <s v="SE3_OTHER"/>
    <x v="2"/>
    <x v="196"/>
    <x v="0"/>
    <x v="9"/>
    <n v="166.00790611149199"/>
    <n v="60592.885730694703"/>
    <n v="218134.38863050099"/>
  </r>
  <r>
    <x v="0"/>
    <x v="0"/>
    <x v="0"/>
    <x v="9"/>
    <x v="19"/>
    <s v="SE3_OTHER"/>
    <x v="2"/>
    <x v="196"/>
    <x v="0"/>
    <x v="10"/>
    <n v="166.00790611149199"/>
    <n v="60592.885730694703"/>
    <n v="218134.38863050099"/>
  </r>
  <r>
    <x v="0"/>
    <x v="0"/>
    <x v="0"/>
    <x v="9"/>
    <x v="19"/>
    <s v="SE3_OTHER"/>
    <x v="2"/>
    <x v="196"/>
    <x v="0"/>
    <x v="11"/>
    <n v="166.00790611149199"/>
    <n v="60592.885730694703"/>
    <n v="218134.38863050099"/>
  </r>
  <r>
    <x v="0"/>
    <x v="0"/>
    <x v="0"/>
    <x v="9"/>
    <x v="19"/>
    <s v="SE3_OTHER"/>
    <x v="2"/>
    <x v="196"/>
    <x v="0"/>
    <x v="12"/>
    <n v="166.00790611149199"/>
    <n v="60592.885730694703"/>
    <n v="218134.38863050099"/>
  </r>
  <r>
    <x v="0"/>
    <x v="0"/>
    <x v="0"/>
    <x v="9"/>
    <x v="19"/>
    <s v="SE3_OTHER"/>
    <x v="2"/>
    <x v="196"/>
    <x v="0"/>
    <x v="13"/>
    <n v="166.00790611149199"/>
    <n v="60592.885730694703"/>
    <n v="218134.38863050099"/>
  </r>
  <r>
    <x v="0"/>
    <x v="0"/>
    <x v="0"/>
    <x v="9"/>
    <x v="19"/>
    <s v="SE3_OTHER"/>
    <x v="2"/>
    <x v="196"/>
    <x v="0"/>
    <x v="14"/>
    <n v="166.00790611149199"/>
    <n v="60592.885730694703"/>
    <n v="218134.38863050099"/>
  </r>
  <r>
    <x v="0"/>
    <x v="0"/>
    <x v="0"/>
    <x v="9"/>
    <x v="19"/>
    <s v="SE3_OTHER"/>
    <x v="2"/>
    <x v="196"/>
    <x v="0"/>
    <x v="15"/>
    <n v="166.00790611149199"/>
    <n v="60592.885730694703"/>
    <n v="218134.38863050099"/>
  </r>
  <r>
    <x v="0"/>
    <x v="0"/>
    <x v="0"/>
    <x v="9"/>
    <x v="19"/>
    <s v="SE3_OTHER"/>
    <x v="2"/>
    <x v="196"/>
    <x v="0"/>
    <x v="16"/>
    <n v="166.00790611149199"/>
    <n v="60592.885730694703"/>
    <n v="218134.38863050099"/>
  </r>
  <r>
    <x v="0"/>
    <x v="0"/>
    <x v="0"/>
    <x v="9"/>
    <x v="19"/>
    <s v="SE3_OTHER"/>
    <x v="2"/>
    <x v="196"/>
    <x v="0"/>
    <x v="17"/>
    <n v="166.00790611149199"/>
    <n v="60592.885730694703"/>
    <n v="218134.38863050099"/>
  </r>
  <r>
    <x v="0"/>
    <x v="0"/>
    <x v="0"/>
    <x v="9"/>
    <x v="19"/>
    <s v="SE3_OTHER"/>
    <x v="2"/>
    <x v="196"/>
    <x v="0"/>
    <x v="18"/>
    <n v="166.00790611149199"/>
    <n v="60592.885730694703"/>
    <n v="218134.38863050099"/>
  </r>
  <r>
    <x v="0"/>
    <x v="0"/>
    <x v="0"/>
    <x v="9"/>
    <x v="19"/>
    <s v="SE3_OTHER"/>
    <x v="2"/>
    <x v="196"/>
    <x v="0"/>
    <x v="19"/>
    <n v="166.00790611149199"/>
    <n v="60592.885730694703"/>
    <n v="218134.38863050099"/>
  </r>
  <r>
    <x v="0"/>
    <x v="0"/>
    <x v="0"/>
    <x v="9"/>
    <x v="19"/>
    <s v="SE3_OTHER"/>
    <x v="2"/>
    <x v="196"/>
    <x v="0"/>
    <x v="20"/>
    <n v="166.00790611149199"/>
    <n v="60592.885730694703"/>
    <n v="218134.38863050099"/>
  </r>
  <r>
    <x v="0"/>
    <x v="0"/>
    <x v="0"/>
    <x v="9"/>
    <x v="19"/>
    <s v="SE3_OTHER"/>
    <x v="2"/>
    <x v="196"/>
    <x v="0"/>
    <x v="21"/>
    <n v="166.00790611149199"/>
    <n v="60592.885730694703"/>
    <n v="218134.38863050099"/>
  </r>
  <r>
    <x v="0"/>
    <x v="0"/>
    <x v="0"/>
    <x v="9"/>
    <x v="19"/>
    <s v="SE3_OTHER"/>
    <x v="2"/>
    <x v="196"/>
    <x v="0"/>
    <x v="22"/>
    <n v="166.00790611149199"/>
    <n v="60592.885730694703"/>
    <n v="218134.38863050099"/>
  </r>
  <r>
    <x v="0"/>
    <x v="0"/>
    <x v="0"/>
    <x v="9"/>
    <x v="19"/>
    <s v="SE3_OTHER"/>
    <x v="2"/>
    <x v="196"/>
    <x v="0"/>
    <x v="23"/>
    <n v="166.00790611149199"/>
    <n v="60592.885730694703"/>
    <n v="218134.38863050099"/>
  </r>
  <r>
    <x v="0"/>
    <x v="0"/>
    <x v="0"/>
    <x v="9"/>
    <x v="19"/>
    <s v="SE3_OTHER"/>
    <x v="2"/>
    <x v="176"/>
    <x v="0"/>
    <x v="4"/>
    <n v="95.736487685013103"/>
    <n v="34943.818005029803"/>
    <n v="125797.74481810701"/>
  </r>
  <r>
    <x v="0"/>
    <x v="0"/>
    <x v="0"/>
    <x v="9"/>
    <x v="19"/>
    <s v="SE3_OTHER"/>
    <x v="2"/>
    <x v="176"/>
    <x v="0"/>
    <x v="5"/>
    <n v="139.88294494934999"/>
    <n v="51057.274906512903"/>
    <n v="183806.18966344601"/>
  </r>
  <r>
    <x v="0"/>
    <x v="0"/>
    <x v="0"/>
    <x v="9"/>
    <x v="19"/>
    <s v="SE3_OTHER"/>
    <x v="2"/>
    <x v="176"/>
    <x v="0"/>
    <x v="6"/>
    <n v="139.88294494934999"/>
    <n v="51057.274906512903"/>
    <n v="183806.18966344601"/>
  </r>
  <r>
    <x v="0"/>
    <x v="0"/>
    <x v="0"/>
    <x v="9"/>
    <x v="19"/>
    <s v="SE3_OTHER"/>
    <x v="2"/>
    <x v="176"/>
    <x v="0"/>
    <x v="7"/>
    <n v="139.88294494934999"/>
    <n v="51057.274906512903"/>
    <n v="183806.18966344601"/>
  </r>
  <r>
    <x v="0"/>
    <x v="0"/>
    <x v="0"/>
    <x v="9"/>
    <x v="19"/>
    <s v="SE3_OTHER"/>
    <x v="2"/>
    <x v="176"/>
    <x v="0"/>
    <x v="8"/>
    <n v="139.88294494934999"/>
    <n v="51057.274906512903"/>
    <n v="183806.18966344601"/>
  </r>
  <r>
    <x v="0"/>
    <x v="0"/>
    <x v="0"/>
    <x v="9"/>
    <x v="19"/>
    <s v="SE3_OTHER"/>
    <x v="2"/>
    <x v="176"/>
    <x v="0"/>
    <x v="9"/>
    <n v="139.88294494934999"/>
    <n v="51057.274906512903"/>
    <n v="183806.18966344601"/>
  </r>
  <r>
    <x v="0"/>
    <x v="0"/>
    <x v="0"/>
    <x v="9"/>
    <x v="19"/>
    <s v="SE3_OTHER"/>
    <x v="2"/>
    <x v="176"/>
    <x v="0"/>
    <x v="10"/>
    <n v="139.88294494934999"/>
    <n v="51057.274906512903"/>
    <n v="183806.18966344601"/>
  </r>
  <r>
    <x v="0"/>
    <x v="0"/>
    <x v="0"/>
    <x v="9"/>
    <x v="19"/>
    <s v="SE3_OTHER"/>
    <x v="2"/>
    <x v="176"/>
    <x v="0"/>
    <x v="11"/>
    <n v="139.88294494934999"/>
    <n v="51057.274906512903"/>
    <n v="183806.18966344601"/>
  </r>
  <r>
    <x v="0"/>
    <x v="0"/>
    <x v="0"/>
    <x v="9"/>
    <x v="19"/>
    <s v="SE3_OTHER"/>
    <x v="2"/>
    <x v="176"/>
    <x v="0"/>
    <x v="12"/>
    <n v="139.88294494934999"/>
    <n v="51057.274906512903"/>
    <n v="183806.18966344601"/>
  </r>
  <r>
    <x v="0"/>
    <x v="0"/>
    <x v="0"/>
    <x v="9"/>
    <x v="19"/>
    <s v="SE3_OTHER"/>
    <x v="2"/>
    <x v="176"/>
    <x v="0"/>
    <x v="13"/>
    <n v="139.88294494934999"/>
    <n v="51057.274906512903"/>
    <n v="183806.18966344601"/>
  </r>
  <r>
    <x v="0"/>
    <x v="0"/>
    <x v="0"/>
    <x v="9"/>
    <x v="19"/>
    <s v="SE3_OTHER"/>
    <x v="2"/>
    <x v="176"/>
    <x v="0"/>
    <x v="14"/>
    <n v="139.88294494934999"/>
    <n v="51057.274906512903"/>
    <n v="183806.18966344601"/>
  </r>
  <r>
    <x v="0"/>
    <x v="0"/>
    <x v="0"/>
    <x v="9"/>
    <x v="19"/>
    <s v="SE3_OTHER"/>
    <x v="2"/>
    <x v="176"/>
    <x v="0"/>
    <x v="15"/>
    <n v="139.88294494934999"/>
    <n v="51057.274906512903"/>
    <n v="183806.18966344601"/>
  </r>
  <r>
    <x v="0"/>
    <x v="0"/>
    <x v="0"/>
    <x v="9"/>
    <x v="19"/>
    <s v="SE3_OTHER"/>
    <x v="2"/>
    <x v="176"/>
    <x v="0"/>
    <x v="16"/>
    <n v="139.88294494934999"/>
    <n v="51057.274906512903"/>
    <n v="183806.18966344601"/>
  </r>
  <r>
    <x v="0"/>
    <x v="0"/>
    <x v="0"/>
    <x v="9"/>
    <x v="19"/>
    <s v="SE3_OTHER"/>
    <x v="2"/>
    <x v="176"/>
    <x v="0"/>
    <x v="17"/>
    <n v="139.88294494934999"/>
    <n v="51057.274906512903"/>
    <n v="183806.18966344601"/>
  </r>
  <r>
    <x v="0"/>
    <x v="0"/>
    <x v="0"/>
    <x v="9"/>
    <x v="19"/>
    <s v="SE3_OTHER"/>
    <x v="2"/>
    <x v="176"/>
    <x v="0"/>
    <x v="18"/>
    <n v="139.88294494934999"/>
    <n v="51057.274906512903"/>
    <n v="183806.18966344601"/>
  </r>
  <r>
    <x v="0"/>
    <x v="0"/>
    <x v="0"/>
    <x v="9"/>
    <x v="19"/>
    <s v="SE3_OTHER"/>
    <x v="2"/>
    <x v="176"/>
    <x v="0"/>
    <x v="19"/>
    <n v="89.127024622960903"/>
    <n v="32531.363987380701"/>
    <n v="117112.91035457099"/>
  </r>
  <r>
    <x v="0"/>
    <x v="0"/>
    <x v="0"/>
    <x v="9"/>
    <x v="19"/>
    <s v="SE3_OTHER"/>
    <x v="2"/>
    <x v="176"/>
    <x v="0"/>
    <x v="20"/>
    <n v="47.917562595282298"/>
    <n v="17489.910347278001"/>
    <n v="62963.677250200999"/>
  </r>
  <r>
    <x v="0"/>
    <x v="0"/>
    <x v="0"/>
    <x v="9"/>
    <x v="19"/>
    <s v="SE3_OTHER"/>
    <x v="2"/>
    <x v="176"/>
    <x v="0"/>
    <x v="21"/>
    <n v="5.45894336153611"/>
    <n v="1992.5143269606799"/>
    <n v="7173.0515770584498"/>
  </r>
  <r>
    <x v="0"/>
    <x v="0"/>
    <x v="0"/>
    <x v="9"/>
    <x v="19"/>
    <s v="SE3_OTHER"/>
    <x v="20"/>
    <x v="207"/>
    <x v="0"/>
    <x v="0"/>
    <n v="185.235570263478"/>
    <n v="67610.983146169601"/>
    <n v="243399.539326211"/>
  </r>
  <r>
    <x v="0"/>
    <x v="0"/>
    <x v="0"/>
    <x v="9"/>
    <x v="19"/>
    <s v="SE3_OTHER"/>
    <x v="20"/>
    <x v="207"/>
    <x v="0"/>
    <x v="1"/>
    <n v="185.235570263478"/>
    <n v="67610.983146169601"/>
    <n v="243399.539326211"/>
  </r>
  <r>
    <x v="0"/>
    <x v="0"/>
    <x v="0"/>
    <x v="9"/>
    <x v="19"/>
    <s v="SE3_OTHER"/>
    <x v="20"/>
    <x v="207"/>
    <x v="0"/>
    <x v="2"/>
    <n v="185.235570263478"/>
    <n v="67610.983146169601"/>
    <n v="243399.539326211"/>
  </r>
  <r>
    <x v="0"/>
    <x v="0"/>
    <x v="0"/>
    <x v="9"/>
    <x v="19"/>
    <s v="SE3_OTHER"/>
    <x v="20"/>
    <x v="207"/>
    <x v="0"/>
    <x v="3"/>
    <n v="185.235570263478"/>
    <n v="67610.983146169601"/>
    <n v="243399.539326211"/>
  </r>
  <r>
    <x v="0"/>
    <x v="0"/>
    <x v="0"/>
    <x v="9"/>
    <x v="19"/>
    <s v="SE3_OTHER"/>
    <x v="20"/>
    <x v="207"/>
    <x v="0"/>
    <x v="4"/>
    <n v="185.235570263478"/>
    <n v="67610.983146169601"/>
    <n v="243399.539326211"/>
  </r>
  <r>
    <x v="0"/>
    <x v="0"/>
    <x v="0"/>
    <x v="9"/>
    <x v="19"/>
    <s v="SE3_OTHER"/>
    <x v="20"/>
    <x v="207"/>
    <x v="0"/>
    <x v="5"/>
    <n v="185.235570263478"/>
    <n v="67610.983146169601"/>
    <n v="243399.539326211"/>
  </r>
  <r>
    <x v="0"/>
    <x v="0"/>
    <x v="0"/>
    <x v="9"/>
    <x v="19"/>
    <s v="SE3_OTHER"/>
    <x v="20"/>
    <x v="207"/>
    <x v="0"/>
    <x v="6"/>
    <n v="185.235570263478"/>
    <n v="67610.983146169601"/>
    <n v="243399.539326211"/>
  </r>
  <r>
    <x v="0"/>
    <x v="0"/>
    <x v="0"/>
    <x v="9"/>
    <x v="19"/>
    <s v="SE3_OTHER"/>
    <x v="20"/>
    <x v="207"/>
    <x v="0"/>
    <x v="7"/>
    <n v="185.235570263478"/>
    <n v="67610.983146169601"/>
    <n v="243399.539326211"/>
  </r>
  <r>
    <x v="0"/>
    <x v="0"/>
    <x v="0"/>
    <x v="9"/>
    <x v="19"/>
    <s v="SE3_OTHER"/>
    <x v="20"/>
    <x v="207"/>
    <x v="0"/>
    <x v="8"/>
    <n v="185.235570263478"/>
    <n v="67610.983146169601"/>
    <n v="243399.539326211"/>
  </r>
  <r>
    <x v="0"/>
    <x v="0"/>
    <x v="0"/>
    <x v="9"/>
    <x v="19"/>
    <s v="SE3_OTHER"/>
    <x v="20"/>
    <x v="207"/>
    <x v="0"/>
    <x v="9"/>
    <n v="185.235570263478"/>
    <n v="67610.983146169601"/>
    <n v="243399.539326211"/>
  </r>
  <r>
    <x v="0"/>
    <x v="0"/>
    <x v="0"/>
    <x v="9"/>
    <x v="19"/>
    <s v="SE3_OTHER"/>
    <x v="20"/>
    <x v="207"/>
    <x v="0"/>
    <x v="10"/>
    <n v="185.235570263478"/>
    <n v="67610.983146169601"/>
    <n v="243399.539326211"/>
  </r>
  <r>
    <x v="0"/>
    <x v="0"/>
    <x v="0"/>
    <x v="9"/>
    <x v="19"/>
    <s v="SE3_OTHER"/>
    <x v="20"/>
    <x v="207"/>
    <x v="0"/>
    <x v="11"/>
    <n v="185.235570263478"/>
    <n v="67610.983146169601"/>
    <n v="243399.539326211"/>
  </r>
  <r>
    <x v="0"/>
    <x v="0"/>
    <x v="0"/>
    <x v="9"/>
    <x v="19"/>
    <s v="SE3_OTHER"/>
    <x v="20"/>
    <x v="207"/>
    <x v="0"/>
    <x v="12"/>
    <n v="185.235570263478"/>
    <n v="67610.983146169601"/>
    <n v="243399.539326211"/>
  </r>
  <r>
    <x v="0"/>
    <x v="0"/>
    <x v="0"/>
    <x v="9"/>
    <x v="19"/>
    <s v="SE3_OTHER"/>
    <x v="20"/>
    <x v="207"/>
    <x v="0"/>
    <x v="13"/>
    <n v="185.235570263478"/>
    <n v="67610.983146169601"/>
    <n v="243399.539326211"/>
  </r>
  <r>
    <x v="0"/>
    <x v="0"/>
    <x v="0"/>
    <x v="9"/>
    <x v="19"/>
    <s v="SE3_OTHER"/>
    <x v="20"/>
    <x v="207"/>
    <x v="0"/>
    <x v="14"/>
    <n v="185.235570263478"/>
    <n v="67610.983146169601"/>
    <n v="243399.539326211"/>
  </r>
  <r>
    <x v="0"/>
    <x v="0"/>
    <x v="0"/>
    <x v="9"/>
    <x v="19"/>
    <s v="SE3_OTHER"/>
    <x v="20"/>
    <x v="207"/>
    <x v="0"/>
    <x v="15"/>
    <n v="185.235570263478"/>
    <n v="67610.983146169601"/>
    <n v="243399.539326211"/>
  </r>
  <r>
    <x v="0"/>
    <x v="0"/>
    <x v="0"/>
    <x v="9"/>
    <x v="19"/>
    <s v="SE3_OTHER"/>
    <x v="20"/>
    <x v="207"/>
    <x v="0"/>
    <x v="16"/>
    <n v="185.235570263478"/>
    <n v="67610.983146169601"/>
    <n v="243399.539326211"/>
  </r>
  <r>
    <x v="0"/>
    <x v="0"/>
    <x v="0"/>
    <x v="9"/>
    <x v="19"/>
    <s v="SE3_OTHER"/>
    <x v="20"/>
    <x v="207"/>
    <x v="0"/>
    <x v="17"/>
    <n v="185.235570263478"/>
    <n v="67610.983146169601"/>
    <n v="243399.539326211"/>
  </r>
  <r>
    <x v="0"/>
    <x v="0"/>
    <x v="0"/>
    <x v="9"/>
    <x v="19"/>
    <s v="SE3_OTHER"/>
    <x v="20"/>
    <x v="207"/>
    <x v="0"/>
    <x v="18"/>
    <n v="185.235570263478"/>
    <n v="67610.983146169601"/>
    <n v="243399.539326211"/>
  </r>
  <r>
    <x v="0"/>
    <x v="0"/>
    <x v="0"/>
    <x v="9"/>
    <x v="19"/>
    <s v="SE3_OTHER"/>
    <x v="20"/>
    <x v="207"/>
    <x v="0"/>
    <x v="19"/>
    <n v="185.235570263478"/>
    <n v="67610.983146169601"/>
    <n v="243399.539326211"/>
  </r>
  <r>
    <x v="0"/>
    <x v="0"/>
    <x v="0"/>
    <x v="9"/>
    <x v="19"/>
    <s v="SE3_OTHER"/>
    <x v="20"/>
    <x v="207"/>
    <x v="0"/>
    <x v="20"/>
    <n v="185.235570263478"/>
    <n v="67610.983146169601"/>
    <n v="243399.539326211"/>
  </r>
  <r>
    <x v="0"/>
    <x v="0"/>
    <x v="0"/>
    <x v="9"/>
    <x v="19"/>
    <s v="SE3_OTHER"/>
    <x v="20"/>
    <x v="207"/>
    <x v="0"/>
    <x v="21"/>
    <n v="185.235570263478"/>
    <n v="67610.983146169601"/>
    <n v="243399.539326211"/>
  </r>
  <r>
    <x v="0"/>
    <x v="0"/>
    <x v="0"/>
    <x v="9"/>
    <x v="19"/>
    <s v="SE3_OTHER"/>
    <x v="20"/>
    <x v="207"/>
    <x v="0"/>
    <x v="22"/>
    <n v="185.235570263478"/>
    <n v="67610.983146169601"/>
    <n v="243399.539326211"/>
  </r>
  <r>
    <x v="0"/>
    <x v="0"/>
    <x v="0"/>
    <x v="9"/>
    <x v="19"/>
    <s v="SE3_OTHER"/>
    <x v="20"/>
    <x v="207"/>
    <x v="0"/>
    <x v="23"/>
    <n v="185.235570263478"/>
    <n v="67610.983146169601"/>
    <n v="243399.539326211"/>
  </r>
  <r>
    <x v="0"/>
    <x v="0"/>
    <x v="0"/>
    <x v="9"/>
    <x v="19"/>
    <s v="SE3_OTHER"/>
    <x v="5"/>
    <x v="120"/>
    <x v="0"/>
    <x v="0"/>
    <n v="75.8938022832928"/>
    <n v="27701.237833401901"/>
    <n v="99724.456200246699"/>
  </r>
  <r>
    <x v="0"/>
    <x v="0"/>
    <x v="0"/>
    <x v="9"/>
    <x v="19"/>
    <s v="SE3_OTHER"/>
    <x v="5"/>
    <x v="120"/>
    <x v="0"/>
    <x v="1"/>
    <n v="135.051739926739"/>
    <n v="49293.885073259902"/>
    <n v="177457.98626373601"/>
  </r>
  <r>
    <x v="0"/>
    <x v="0"/>
    <x v="0"/>
    <x v="9"/>
    <x v="19"/>
    <s v="SE3_OTHER"/>
    <x v="5"/>
    <x v="120"/>
    <x v="0"/>
    <x v="2"/>
    <n v="75.480810558738199"/>
    <n v="27550.495853939399"/>
    <n v="99181.785074182"/>
  </r>
  <r>
    <x v="0"/>
    <x v="0"/>
    <x v="0"/>
    <x v="9"/>
    <x v="19"/>
    <s v="SE3_OTHER"/>
    <x v="5"/>
    <x v="120"/>
    <x v="0"/>
    <x v="3"/>
    <n v="124.88212022398601"/>
    <n v="45581.973881755002"/>
    <n v="164095.10597431799"/>
  </r>
  <r>
    <x v="0"/>
    <x v="0"/>
    <x v="0"/>
    <x v="9"/>
    <x v="19"/>
    <s v="SE3_OTHER"/>
    <x v="5"/>
    <x v="120"/>
    <x v="0"/>
    <x v="4"/>
    <n v="135.051739926739"/>
    <n v="49293.885073259902"/>
    <n v="177457.98626373601"/>
  </r>
  <r>
    <x v="0"/>
    <x v="0"/>
    <x v="0"/>
    <x v="9"/>
    <x v="19"/>
    <s v="SE3_OTHER"/>
    <x v="5"/>
    <x v="120"/>
    <x v="0"/>
    <x v="5"/>
    <n v="135.051739926739"/>
    <n v="49293.885073259902"/>
    <n v="177457.98626373601"/>
  </r>
  <r>
    <x v="0"/>
    <x v="0"/>
    <x v="0"/>
    <x v="9"/>
    <x v="19"/>
    <s v="SE3_OTHER"/>
    <x v="5"/>
    <x v="120"/>
    <x v="0"/>
    <x v="6"/>
    <n v="135.051739926739"/>
    <n v="49293.885073259902"/>
    <n v="177457.98626373601"/>
  </r>
  <r>
    <x v="0"/>
    <x v="0"/>
    <x v="0"/>
    <x v="9"/>
    <x v="19"/>
    <s v="SE3_OTHER"/>
    <x v="5"/>
    <x v="120"/>
    <x v="0"/>
    <x v="7"/>
    <n v="135.051739926739"/>
    <n v="49293.885073259902"/>
    <n v="177457.98626373601"/>
  </r>
  <r>
    <x v="0"/>
    <x v="0"/>
    <x v="0"/>
    <x v="9"/>
    <x v="19"/>
    <s v="SE3_OTHER"/>
    <x v="5"/>
    <x v="120"/>
    <x v="0"/>
    <x v="8"/>
    <n v="135.051739926739"/>
    <n v="49293.885073259902"/>
    <n v="177457.98626373601"/>
  </r>
  <r>
    <x v="0"/>
    <x v="0"/>
    <x v="0"/>
    <x v="9"/>
    <x v="19"/>
    <s v="SE3_OTHER"/>
    <x v="5"/>
    <x v="120"/>
    <x v="0"/>
    <x v="9"/>
    <n v="135.051739926739"/>
    <n v="49293.885073259902"/>
    <n v="177457.98626373601"/>
  </r>
  <r>
    <x v="0"/>
    <x v="0"/>
    <x v="0"/>
    <x v="9"/>
    <x v="19"/>
    <s v="SE3_OTHER"/>
    <x v="5"/>
    <x v="120"/>
    <x v="0"/>
    <x v="10"/>
    <n v="135.051739926739"/>
    <n v="49293.885073259902"/>
    <n v="177457.98626373601"/>
  </r>
  <r>
    <x v="0"/>
    <x v="0"/>
    <x v="0"/>
    <x v="9"/>
    <x v="19"/>
    <s v="SE3_OTHER"/>
    <x v="5"/>
    <x v="120"/>
    <x v="0"/>
    <x v="11"/>
    <n v="135.051739926739"/>
    <n v="49293.885073259902"/>
    <n v="177457.98626373601"/>
  </r>
  <r>
    <x v="0"/>
    <x v="0"/>
    <x v="0"/>
    <x v="9"/>
    <x v="19"/>
    <s v="SE3_OTHER"/>
    <x v="5"/>
    <x v="120"/>
    <x v="0"/>
    <x v="12"/>
    <n v="135.051739926739"/>
    <n v="49293.885073259902"/>
    <n v="177457.98626373601"/>
  </r>
  <r>
    <x v="0"/>
    <x v="0"/>
    <x v="0"/>
    <x v="9"/>
    <x v="19"/>
    <s v="SE3_OTHER"/>
    <x v="5"/>
    <x v="120"/>
    <x v="0"/>
    <x v="13"/>
    <n v="135.051739926739"/>
    <n v="49293.885073259902"/>
    <n v="177457.98626373601"/>
  </r>
  <r>
    <x v="0"/>
    <x v="0"/>
    <x v="0"/>
    <x v="9"/>
    <x v="19"/>
    <s v="SE3_OTHER"/>
    <x v="5"/>
    <x v="120"/>
    <x v="0"/>
    <x v="14"/>
    <n v="135.051739926739"/>
    <n v="49293.885073259902"/>
    <n v="177457.98626373601"/>
  </r>
  <r>
    <x v="0"/>
    <x v="0"/>
    <x v="0"/>
    <x v="9"/>
    <x v="19"/>
    <s v="SE3_OTHER"/>
    <x v="5"/>
    <x v="120"/>
    <x v="0"/>
    <x v="15"/>
    <n v="135.051739926739"/>
    <n v="49293.885073259902"/>
    <n v="177457.98626373601"/>
  </r>
  <r>
    <x v="0"/>
    <x v="0"/>
    <x v="0"/>
    <x v="9"/>
    <x v="19"/>
    <s v="SE3_OTHER"/>
    <x v="5"/>
    <x v="120"/>
    <x v="0"/>
    <x v="16"/>
    <n v="135.051739926739"/>
    <n v="49293.885073259902"/>
    <n v="177457.98626373601"/>
  </r>
  <r>
    <x v="0"/>
    <x v="0"/>
    <x v="0"/>
    <x v="9"/>
    <x v="19"/>
    <s v="SE3_OTHER"/>
    <x v="5"/>
    <x v="120"/>
    <x v="0"/>
    <x v="17"/>
    <n v="135.051739926739"/>
    <n v="49293.885073259902"/>
    <n v="177457.98626373601"/>
  </r>
  <r>
    <x v="0"/>
    <x v="0"/>
    <x v="0"/>
    <x v="9"/>
    <x v="19"/>
    <s v="SE3_OTHER"/>
    <x v="5"/>
    <x v="120"/>
    <x v="0"/>
    <x v="18"/>
    <n v="135.051739926739"/>
    <n v="49293.885073259902"/>
    <n v="177457.98626373601"/>
  </r>
  <r>
    <x v="0"/>
    <x v="0"/>
    <x v="0"/>
    <x v="9"/>
    <x v="19"/>
    <s v="SE3_OTHER"/>
    <x v="5"/>
    <x v="120"/>
    <x v="0"/>
    <x v="19"/>
    <n v="135.051739926739"/>
    <n v="49293.885073259902"/>
    <n v="177457.98626373601"/>
  </r>
  <r>
    <x v="0"/>
    <x v="0"/>
    <x v="0"/>
    <x v="9"/>
    <x v="19"/>
    <s v="SE3_OTHER"/>
    <x v="5"/>
    <x v="120"/>
    <x v="0"/>
    <x v="20"/>
    <n v="135.051739926739"/>
    <n v="49293.885073259902"/>
    <n v="177457.98626373601"/>
  </r>
  <r>
    <x v="0"/>
    <x v="0"/>
    <x v="0"/>
    <x v="9"/>
    <x v="19"/>
    <s v="SE3_OTHER"/>
    <x v="5"/>
    <x v="120"/>
    <x v="0"/>
    <x v="21"/>
    <n v="135.051739926739"/>
    <n v="49293.885073259902"/>
    <n v="177457.98626373601"/>
  </r>
  <r>
    <x v="0"/>
    <x v="0"/>
    <x v="0"/>
    <x v="9"/>
    <x v="19"/>
    <s v="SE3_OTHER"/>
    <x v="5"/>
    <x v="120"/>
    <x v="0"/>
    <x v="22"/>
    <n v="85.339412844058501"/>
    <n v="31148.885688081398"/>
    <n v="112135.98847709299"/>
  </r>
  <r>
    <x v="0"/>
    <x v="0"/>
    <x v="0"/>
    <x v="9"/>
    <x v="19"/>
    <s v="SE3_OTHER"/>
    <x v="5"/>
    <x v="120"/>
    <x v="0"/>
    <x v="23"/>
    <n v="135.051739926739"/>
    <n v="49293.885073259902"/>
    <n v="177457.98626373601"/>
  </r>
  <r>
    <x v="0"/>
    <x v="0"/>
    <x v="0"/>
    <x v="9"/>
    <x v="19"/>
    <s v="SE3_OTHER"/>
    <x v="6"/>
    <x v="194"/>
    <x v="0"/>
    <x v="0"/>
    <n v="80.6882832026931"/>
    <n v="29451.223368982999"/>
    <n v="106024.404128339"/>
  </r>
  <r>
    <x v="0"/>
    <x v="0"/>
    <x v="0"/>
    <x v="9"/>
    <x v="19"/>
    <s v="SE3_OTHER"/>
    <x v="6"/>
    <x v="194"/>
    <x v="0"/>
    <x v="1"/>
    <n v="80.6882832026931"/>
    <n v="29451.223368982999"/>
    <n v="106024.404128339"/>
  </r>
  <r>
    <x v="0"/>
    <x v="0"/>
    <x v="0"/>
    <x v="9"/>
    <x v="19"/>
    <s v="SE3_OTHER"/>
    <x v="6"/>
    <x v="194"/>
    <x v="0"/>
    <x v="2"/>
    <n v="80.6882832026931"/>
    <n v="29451.223368982999"/>
    <n v="106024.404128339"/>
  </r>
  <r>
    <x v="0"/>
    <x v="0"/>
    <x v="0"/>
    <x v="9"/>
    <x v="19"/>
    <s v="SE3_OTHER"/>
    <x v="6"/>
    <x v="194"/>
    <x v="0"/>
    <x v="3"/>
    <n v="80.6882832026931"/>
    <n v="29451.223368982999"/>
    <n v="106024.404128339"/>
  </r>
  <r>
    <x v="0"/>
    <x v="0"/>
    <x v="0"/>
    <x v="9"/>
    <x v="19"/>
    <s v="SE3_OTHER"/>
    <x v="6"/>
    <x v="194"/>
    <x v="0"/>
    <x v="4"/>
    <n v="80.6882832026931"/>
    <n v="29451.223368982999"/>
    <n v="106024.404128339"/>
  </r>
  <r>
    <x v="0"/>
    <x v="0"/>
    <x v="0"/>
    <x v="9"/>
    <x v="19"/>
    <s v="SE3_OTHER"/>
    <x v="6"/>
    <x v="194"/>
    <x v="0"/>
    <x v="5"/>
    <n v="80.6882832026931"/>
    <n v="29451.223368982999"/>
    <n v="106024.404128339"/>
  </r>
  <r>
    <x v="0"/>
    <x v="0"/>
    <x v="0"/>
    <x v="9"/>
    <x v="19"/>
    <s v="SE3_OTHER"/>
    <x v="6"/>
    <x v="194"/>
    <x v="0"/>
    <x v="6"/>
    <n v="80.6882832026931"/>
    <n v="29451.223368982999"/>
    <n v="106024.404128339"/>
  </r>
  <r>
    <x v="0"/>
    <x v="0"/>
    <x v="0"/>
    <x v="9"/>
    <x v="19"/>
    <s v="SE3_OTHER"/>
    <x v="6"/>
    <x v="194"/>
    <x v="0"/>
    <x v="7"/>
    <n v="80.6882832026931"/>
    <n v="29451.223368982999"/>
    <n v="106024.404128339"/>
  </r>
  <r>
    <x v="0"/>
    <x v="0"/>
    <x v="0"/>
    <x v="9"/>
    <x v="19"/>
    <s v="SE3_OTHER"/>
    <x v="6"/>
    <x v="194"/>
    <x v="0"/>
    <x v="8"/>
    <n v="80.6882832026931"/>
    <n v="29451.223368982999"/>
    <n v="106024.404128339"/>
  </r>
  <r>
    <x v="0"/>
    <x v="0"/>
    <x v="0"/>
    <x v="9"/>
    <x v="19"/>
    <s v="SE3_OTHER"/>
    <x v="6"/>
    <x v="194"/>
    <x v="0"/>
    <x v="9"/>
    <n v="80.6882832026931"/>
    <n v="29451.223368982999"/>
    <n v="106024.404128339"/>
  </r>
  <r>
    <x v="0"/>
    <x v="0"/>
    <x v="0"/>
    <x v="9"/>
    <x v="19"/>
    <s v="SE3_OTHER"/>
    <x v="6"/>
    <x v="194"/>
    <x v="0"/>
    <x v="10"/>
    <n v="80.6882832026931"/>
    <n v="29451.223368982999"/>
    <n v="106024.404128339"/>
  </r>
  <r>
    <x v="0"/>
    <x v="0"/>
    <x v="0"/>
    <x v="9"/>
    <x v="19"/>
    <s v="SE3_OTHER"/>
    <x v="6"/>
    <x v="194"/>
    <x v="0"/>
    <x v="11"/>
    <n v="80.6882832026931"/>
    <n v="29451.223368982999"/>
    <n v="106024.404128339"/>
  </r>
  <r>
    <x v="0"/>
    <x v="0"/>
    <x v="0"/>
    <x v="9"/>
    <x v="19"/>
    <s v="SE3_OTHER"/>
    <x v="6"/>
    <x v="194"/>
    <x v="0"/>
    <x v="12"/>
    <n v="80.6882832026931"/>
    <n v="29451.223368982999"/>
    <n v="106024.404128339"/>
  </r>
  <r>
    <x v="0"/>
    <x v="0"/>
    <x v="0"/>
    <x v="9"/>
    <x v="19"/>
    <s v="SE3_OTHER"/>
    <x v="6"/>
    <x v="194"/>
    <x v="0"/>
    <x v="13"/>
    <n v="80.6882832026931"/>
    <n v="29451.223368982999"/>
    <n v="106024.404128339"/>
  </r>
  <r>
    <x v="0"/>
    <x v="0"/>
    <x v="0"/>
    <x v="9"/>
    <x v="19"/>
    <s v="SE3_OTHER"/>
    <x v="6"/>
    <x v="194"/>
    <x v="0"/>
    <x v="14"/>
    <n v="80.6882832026931"/>
    <n v="29451.223368982999"/>
    <n v="106024.404128339"/>
  </r>
  <r>
    <x v="0"/>
    <x v="0"/>
    <x v="0"/>
    <x v="9"/>
    <x v="19"/>
    <s v="SE3_OTHER"/>
    <x v="6"/>
    <x v="194"/>
    <x v="0"/>
    <x v="15"/>
    <n v="80.6882832026931"/>
    <n v="29451.223368982999"/>
    <n v="106024.404128339"/>
  </r>
  <r>
    <x v="0"/>
    <x v="0"/>
    <x v="0"/>
    <x v="9"/>
    <x v="19"/>
    <s v="SE3_OTHER"/>
    <x v="6"/>
    <x v="194"/>
    <x v="0"/>
    <x v="16"/>
    <n v="80.6882832026931"/>
    <n v="29451.223368982999"/>
    <n v="106024.404128339"/>
  </r>
  <r>
    <x v="0"/>
    <x v="0"/>
    <x v="0"/>
    <x v="9"/>
    <x v="19"/>
    <s v="SE3_OTHER"/>
    <x v="6"/>
    <x v="194"/>
    <x v="0"/>
    <x v="17"/>
    <n v="80.6882832026931"/>
    <n v="29451.223368982999"/>
    <n v="106024.404128339"/>
  </r>
  <r>
    <x v="0"/>
    <x v="0"/>
    <x v="0"/>
    <x v="9"/>
    <x v="19"/>
    <s v="SE3_OTHER"/>
    <x v="6"/>
    <x v="194"/>
    <x v="0"/>
    <x v="18"/>
    <n v="80.6882832026931"/>
    <n v="29451.223368982999"/>
    <n v="106024.404128339"/>
  </r>
  <r>
    <x v="0"/>
    <x v="0"/>
    <x v="0"/>
    <x v="9"/>
    <x v="19"/>
    <s v="SE3_OTHER"/>
    <x v="6"/>
    <x v="194"/>
    <x v="0"/>
    <x v="19"/>
    <n v="80.6882832026931"/>
    <n v="29451.223368982999"/>
    <n v="106024.404128339"/>
  </r>
  <r>
    <x v="0"/>
    <x v="0"/>
    <x v="0"/>
    <x v="9"/>
    <x v="19"/>
    <s v="SE3_OTHER"/>
    <x v="6"/>
    <x v="194"/>
    <x v="0"/>
    <x v="20"/>
    <n v="80.6882832026931"/>
    <n v="29451.223368982999"/>
    <n v="106024.404128339"/>
  </r>
  <r>
    <x v="0"/>
    <x v="0"/>
    <x v="0"/>
    <x v="9"/>
    <x v="19"/>
    <s v="SE3_OTHER"/>
    <x v="6"/>
    <x v="194"/>
    <x v="0"/>
    <x v="21"/>
    <n v="80.6882832026931"/>
    <n v="29451.223368982999"/>
    <n v="106024.404128339"/>
  </r>
  <r>
    <x v="0"/>
    <x v="0"/>
    <x v="0"/>
    <x v="9"/>
    <x v="19"/>
    <s v="SE3_OTHER"/>
    <x v="6"/>
    <x v="194"/>
    <x v="0"/>
    <x v="22"/>
    <n v="80.6882832026931"/>
    <n v="29451.223368982999"/>
    <n v="106024.404128339"/>
  </r>
  <r>
    <x v="0"/>
    <x v="0"/>
    <x v="0"/>
    <x v="9"/>
    <x v="19"/>
    <s v="SE3_OTHER"/>
    <x v="6"/>
    <x v="194"/>
    <x v="0"/>
    <x v="23"/>
    <n v="80.6882832026931"/>
    <n v="29451.223368982999"/>
    <n v="106024.404128339"/>
  </r>
  <r>
    <x v="0"/>
    <x v="0"/>
    <x v="0"/>
    <x v="9"/>
    <x v="19"/>
    <s v="SE3_OTHER"/>
    <x v="6"/>
    <x v="197"/>
    <x v="0"/>
    <x v="0"/>
    <n v="159.022975339613"/>
    <n v="58043.3859989587"/>
    <n v="208956.189596251"/>
  </r>
  <r>
    <x v="0"/>
    <x v="0"/>
    <x v="0"/>
    <x v="9"/>
    <x v="19"/>
    <s v="SE3_OTHER"/>
    <x v="6"/>
    <x v="197"/>
    <x v="0"/>
    <x v="1"/>
    <n v="159.022975339613"/>
    <n v="58043.3859989587"/>
    <n v="208956.189596251"/>
  </r>
  <r>
    <x v="0"/>
    <x v="0"/>
    <x v="0"/>
    <x v="9"/>
    <x v="19"/>
    <s v="SE3_OTHER"/>
    <x v="6"/>
    <x v="197"/>
    <x v="0"/>
    <x v="2"/>
    <n v="159.022975339613"/>
    <n v="58043.3859989587"/>
    <n v="208956.189596251"/>
  </r>
  <r>
    <x v="0"/>
    <x v="0"/>
    <x v="0"/>
    <x v="9"/>
    <x v="19"/>
    <s v="SE3_OTHER"/>
    <x v="6"/>
    <x v="197"/>
    <x v="0"/>
    <x v="3"/>
    <n v="159.022975339613"/>
    <n v="58043.3859989587"/>
    <n v="208956.189596251"/>
  </r>
  <r>
    <x v="0"/>
    <x v="0"/>
    <x v="0"/>
    <x v="9"/>
    <x v="19"/>
    <s v="SE3_OTHER"/>
    <x v="6"/>
    <x v="197"/>
    <x v="0"/>
    <x v="4"/>
    <n v="159.022975339613"/>
    <n v="58043.3859989587"/>
    <n v="208956.189596251"/>
  </r>
  <r>
    <x v="0"/>
    <x v="0"/>
    <x v="0"/>
    <x v="9"/>
    <x v="19"/>
    <s v="SE3_OTHER"/>
    <x v="6"/>
    <x v="197"/>
    <x v="0"/>
    <x v="5"/>
    <n v="159.022975339613"/>
    <n v="58043.3859989587"/>
    <n v="208956.189596251"/>
  </r>
  <r>
    <x v="0"/>
    <x v="0"/>
    <x v="0"/>
    <x v="9"/>
    <x v="19"/>
    <s v="SE3_OTHER"/>
    <x v="6"/>
    <x v="197"/>
    <x v="0"/>
    <x v="6"/>
    <n v="159.022975339613"/>
    <n v="58043.3859989587"/>
    <n v="208956.189596251"/>
  </r>
  <r>
    <x v="0"/>
    <x v="0"/>
    <x v="0"/>
    <x v="9"/>
    <x v="19"/>
    <s v="SE3_OTHER"/>
    <x v="6"/>
    <x v="197"/>
    <x v="0"/>
    <x v="7"/>
    <n v="159.022975339613"/>
    <n v="58043.3859989587"/>
    <n v="208956.189596251"/>
  </r>
  <r>
    <x v="0"/>
    <x v="0"/>
    <x v="0"/>
    <x v="9"/>
    <x v="19"/>
    <s v="SE3_OTHER"/>
    <x v="6"/>
    <x v="197"/>
    <x v="0"/>
    <x v="8"/>
    <n v="159.022975339613"/>
    <n v="58043.3859989587"/>
    <n v="208956.189596251"/>
  </r>
  <r>
    <x v="0"/>
    <x v="0"/>
    <x v="0"/>
    <x v="9"/>
    <x v="19"/>
    <s v="SE3_OTHER"/>
    <x v="6"/>
    <x v="197"/>
    <x v="0"/>
    <x v="9"/>
    <n v="159.022975339613"/>
    <n v="58043.3859989587"/>
    <n v="208956.189596251"/>
  </r>
  <r>
    <x v="0"/>
    <x v="0"/>
    <x v="0"/>
    <x v="9"/>
    <x v="19"/>
    <s v="SE3_OTHER"/>
    <x v="6"/>
    <x v="197"/>
    <x v="0"/>
    <x v="10"/>
    <n v="159.022975339613"/>
    <n v="58043.3859989587"/>
    <n v="208956.189596251"/>
  </r>
  <r>
    <x v="0"/>
    <x v="0"/>
    <x v="0"/>
    <x v="9"/>
    <x v="19"/>
    <s v="SE3_OTHER"/>
    <x v="6"/>
    <x v="197"/>
    <x v="0"/>
    <x v="11"/>
    <n v="159.022975339613"/>
    <n v="58043.3859989587"/>
    <n v="208956.189596251"/>
  </r>
  <r>
    <x v="0"/>
    <x v="0"/>
    <x v="0"/>
    <x v="9"/>
    <x v="19"/>
    <s v="SE3_OTHER"/>
    <x v="6"/>
    <x v="197"/>
    <x v="0"/>
    <x v="12"/>
    <n v="159.022975339613"/>
    <n v="58043.3859989587"/>
    <n v="208956.189596251"/>
  </r>
  <r>
    <x v="0"/>
    <x v="0"/>
    <x v="0"/>
    <x v="9"/>
    <x v="19"/>
    <s v="SE3_OTHER"/>
    <x v="6"/>
    <x v="197"/>
    <x v="0"/>
    <x v="13"/>
    <n v="159.022975339613"/>
    <n v="58043.3859989587"/>
    <n v="208956.189596251"/>
  </r>
  <r>
    <x v="0"/>
    <x v="0"/>
    <x v="0"/>
    <x v="9"/>
    <x v="19"/>
    <s v="SE3_OTHER"/>
    <x v="6"/>
    <x v="197"/>
    <x v="0"/>
    <x v="14"/>
    <n v="159.022975339613"/>
    <n v="58043.3859989587"/>
    <n v="208956.189596251"/>
  </r>
  <r>
    <x v="0"/>
    <x v="0"/>
    <x v="0"/>
    <x v="9"/>
    <x v="19"/>
    <s v="SE3_OTHER"/>
    <x v="6"/>
    <x v="197"/>
    <x v="0"/>
    <x v="15"/>
    <n v="159.022975339613"/>
    <n v="58043.3859989587"/>
    <n v="208956.189596251"/>
  </r>
  <r>
    <x v="0"/>
    <x v="0"/>
    <x v="0"/>
    <x v="9"/>
    <x v="19"/>
    <s v="SE3_OTHER"/>
    <x v="6"/>
    <x v="197"/>
    <x v="0"/>
    <x v="16"/>
    <n v="159.022975339613"/>
    <n v="58043.3859989587"/>
    <n v="208956.189596251"/>
  </r>
  <r>
    <x v="0"/>
    <x v="0"/>
    <x v="0"/>
    <x v="9"/>
    <x v="19"/>
    <s v="SE3_OTHER"/>
    <x v="6"/>
    <x v="197"/>
    <x v="0"/>
    <x v="17"/>
    <n v="159.022975339613"/>
    <n v="58043.3859989587"/>
    <n v="208956.189596251"/>
  </r>
  <r>
    <x v="0"/>
    <x v="0"/>
    <x v="0"/>
    <x v="9"/>
    <x v="19"/>
    <s v="SE3_OTHER"/>
    <x v="6"/>
    <x v="197"/>
    <x v="0"/>
    <x v="18"/>
    <n v="159.022975339613"/>
    <n v="58043.3859989587"/>
    <n v="208956.189596251"/>
  </r>
  <r>
    <x v="0"/>
    <x v="0"/>
    <x v="0"/>
    <x v="9"/>
    <x v="19"/>
    <s v="SE3_OTHER"/>
    <x v="6"/>
    <x v="197"/>
    <x v="0"/>
    <x v="19"/>
    <n v="159.022975339613"/>
    <n v="58043.3859989587"/>
    <n v="208956.189596251"/>
  </r>
  <r>
    <x v="0"/>
    <x v="0"/>
    <x v="0"/>
    <x v="9"/>
    <x v="19"/>
    <s v="SE3_OTHER"/>
    <x v="6"/>
    <x v="197"/>
    <x v="0"/>
    <x v="20"/>
    <n v="159.022975339613"/>
    <n v="58043.3859989587"/>
    <n v="208956.189596251"/>
  </r>
  <r>
    <x v="0"/>
    <x v="0"/>
    <x v="0"/>
    <x v="9"/>
    <x v="19"/>
    <s v="SE3_OTHER"/>
    <x v="6"/>
    <x v="197"/>
    <x v="0"/>
    <x v="21"/>
    <n v="159.022975339613"/>
    <n v="58043.3859989587"/>
    <n v="208956.189596251"/>
  </r>
  <r>
    <x v="0"/>
    <x v="0"/>
    <x v="0"/>
    <x v="9"/>
    <x v="19"/>
    <s v="SE3_OTHER"/>
    <x v="6"/>
    <x v="197"/>
    <x v="0"/>
    <x v="22"/>
    <n v="159.022975339613"/>
    <n v="58043.3859989587"/>
    <n v="208956.189596251"/>
  </r>
  <r>
    <x v="0"/>
    <x v="0"/>
    <x v="0"/>
    <x v="9"/>
    <x v="19"/>
    <s v="SE3_OTHER"/>
    <x v="6"/>
    <x v="197"/>
    <x v="0"/>
    <x v="23"/>
    <n v="159.022975339613"/>
    <n v="58043.3859989587"/>
    <n v="208956.189596251"/>
  </r>
  <r>
    <x v="0"/>
    <x v="0"/>
    <x v="0"/>
    <x v="9"/>
    <x v="19"/>
    <s v="SE3_OTHER"/>
    <x v="11"/>
    <x v="193"/>
    <x v="0"/>
    <x v="0"/>
    <n v="848.640981830123"/>
    <n v="309753.95836799499"/>
    <n v="1115114.25012478"/>
  </r>
  <r>
    <x v="0"/>
    <x v="0"/>
    <x v="0"/>
    <x v="9"/>
    <x v="19"/>
    <s v="SE3_OTHER"/>
    <x v="11"/>
    <x v="193"/>
    <x v="0"/>
    <x v="1"/>
    <n v="848.640981830123"/>
    <n v="309753.95836799499"/>
    <n v="1115114.25012478"/>
  </r>
  <r>
    <x v="0"/>
    <x v="0"/>
    <x v="0"/>
    <x v="9"/>
    <x v="19"/>
    <s v="SE3_OTHER"/>
    <x v="11"/>
    <x v="193"/>
    <x v="0"/>
    <x v="2"/>
    <n v="848.640981830123"/>
    <n v="309753.95836799499"/>
    <n v="1115114.25012478"/>
  </r>
  <r>
    <x v="0"/>
    <x v="0"/>
    <x v="0"/>
    <x v="9"/>
    <x v="19"/>
    <s v="SE3_OTHER"/>
    <x v="11"/>
    <x v="193"/>
    <x v="0"/>
    <x v="3"/>
    <n v="848.640981830123"/>
    <n v="309753.95836799499"/>
    <n v="1115114.25012478"/>
  </r>
  <r>
    <x v="0"/>
    <x v="0"/>
    <x v="0"/>
    <x v="9"/>
    <x v="19"/>
    <s v="SE3_OTHER"/>
    <x v="11"/>
    <x v="193"/>
    <x v="0"/>
    <x v="4"/>
    <n v="848.640981830123"/>
    <n v="309753.95836799499"/>
    <n v="1115114.25012478"/>
  </r>
  <r>
    <x v="0"/>
    <x v="0"/>
    <x v="0"/>
    <x v="9"/>
    <x v="19"/>
    <s v="SE3_OTHER"/>
    <x v="11"/>
    <x v="193"/>
    <x v="0"/>
    <x v="5"/>
    <n v="848.640981830123"/>
    <n v="309753.95836799499"/>
    <n v="1115114.25012478"/>
  </r>
  <r>
    <x v="0"/>
    <x v="0"/>
    <x v="0"/>
    <x v="9"/>
    <x v="19"/>
    <s v="SE3_OTHER"/>
    <x v="11"/>
    <x v="193"/>
    <x v="0"/>
    <x v="6"/>
    <n v="848.640981830123"/>
    <n v="309753.95836799499"/>
    <n v="1115114.25012478"/>
  </r>
  <r>
    <x v="0"/>
    <x v="0"/>
    <x v="0"/>
    <x v="9"/>
    <x v="19"/>
    <s v="SE3_OTHER"/>
    <x v="11"/>
    <x v="193"/>
    <x v="0"/>
    <x v="7"/>
    <n v="848.640981830123"/>
    <n v="309753.95836799499"/>
    <n v="1115114.25012478"/>
  </r>
  <r>
    <x v="0"/>
    <x v="0"/>
    <x v="0"/>
    <x v="9"/>
    <x v="19"/>
    <s v="SE3_OTHER"/>
    <x v="11"/>
    <x v="193"/>
    <x v="0"/>
    <x v="8"/>
    <n v="848.640981830123"/>
    <n v="309753.95836799499"/>
    <n v="1115114.25012478"/>
  </r>
  <r>
    <x v="0"/>
    <x v="0"/>
    <x v="0"/>
    <x v="9"/>
    <x v="19"/>
    <s v="SE3_OTHER"/>
    <x v="11"/>
    <x v="193"/>
    <x v="0"/>
    <x v="9"/>
    <n v="848.640981830123"/>
    <n v="309753.95836799499"/>
    <n v="1115114.25012478"/>
  </r>
  <r>
    <x v="0"/>
    <x v="0"/>
    <x v="0"/>
    <x v="9"/>
    <x v="19"/>
    <s v="SE3_OTHER"/>
    <x v="11"/>
    <x v="193"/>
    <x v="0"/>
    <x v="10"/>
    <n v="848.640981830123"/>
    <n v="309753.95836799499"/>
    <n v="1115114.25012478"/>
  </r>
  <r>
    <x v="0"/>
    <x v="0"/>
    <x v="0"/>
    <x v="9"/>
    <x v="19"/>
    <s v="SE3_OTHER"/>
    <x v="11"/>
    <x v="193"/>
    <x v="0"/>
    <x v="11"/>
    <n v="848.640981830123"/>
    <n v="309753.95836799499"/>
    <n v="1115114.25012478"/>
  </r>
  <r>
    <x v="0"/>
    <x v="0"/>
    <x v="0"/>
    <x v="9"/>
    <x v="19"/>
    <s v="SE3_OTHER"/>
    <x v="11"/>
    <x v="193"/>
    <x v="0"/>
    <x v="12"/>
    <n v="848.640981830123"/>
    <n v="309753.95836799499"/>
    <n v="1115114.25012478"/>
  </r>
  <r>
    <x v="0"/>
    <x v="0"/>
    <x v="0"/>
    <x v="9"/>
    <x v="19"/>
    <s v="SE3_OTHER"/>
    <x v="11"/>
    <x v="193"/>
    <x v="0"/>
    <x v="13"/>
    <n v="848.640981830123"/>
    <n v="309753.95836799499"/>
    <n v="1115114.25012478"/>
  </r>
  <r>
    <x v="0"/>
    <x v="0"/>
    <x v="0"/>
    <x v="9"/>
    <x v="19"/>
    <s v="SE3_OTHER"/>
    <x v="11"/>
    <x v="193"/>
    <x v="0"/>
    <x v="14"/>
    <n v="848.640981830123"/>
    <n v="309753.95836799499"/>
    <n v="1115114.25012478"/>
  </r>
  <r>
    <x v="0"/>
    <x v="0"/>
    <x v="0"/>
    <x v="9"/>
    <x v="19"/>
    <s v="SE3_OTHER"/>
    <x v="11"/>
    <x v="193"/>
    <x v="0"/>
    <x v="15"/>
    <n v="848.640981830123"/>
    <n v="309753.95836799499"/>
    <n v="1115114.25012478"/>
  </r>
  <r>
    <x v="0"/>
    <x v="0"/>
    <x v="0"/>
    <x v="9"/>
    <x v="19"/>
    <s v="SE3_OTHER"/>
    <x v="11"/>
    <x v="193"/>
    <x v="0"/>
    <x v="16"/>
    <n v="848.640981830123"/>
    <n v="309753.95836799499"/>
    <n v="1115114.25012478"/>
  </r>
  <r>
    <x v="0"/>
    <x v="0"/>
    <x v="0"/>
    <x v="9"/>
    <x v="19"/>
    <s v="SE3_OTHER"/>
    <x v="11"/>
    <x v="193"/>
    <x v="0"/>
    <x v="17"/>
    <n v="848.640981830123"/>
    <n v="309753.95836799499"/>
    <n v="1115114.25012478"/>
  </r>
  <r>
    <x v="0"/>
    <x v="0"/>
    <x v="0"/>
    <x v="9"/>
    <x v="19"/>
    <s v="SE3_OTHER"/>
    <x v="11"/>
    <x v="193"/>
    <x v="0"/>
    <x v="18"/>
    <n v="848.640981830123"/>
    <n v="309753.95836799499"/>
    <n v="1115114.25012478"/>
  </r>
  <r>
    <x v="0"/>
    <x v="0"/>
    <x v="0"/>
    <x v="9"/>
    <x v="19"/>
    <s v="SE3_OTHER"/>
    <x v="11"/>
    <x v="193"/>
    <x v="0"/>
    <x v="19"/>
    <n v="848.640981830123"/>
    <n v="309753.95836799499"/>
    <n v="1115114.25012478"/>
  </r>
  <r>
    <x v="0"/>
    <x v="0"/>
    <x v="0"/>
    <x v="9"/>
    <x v="19"/>
    <s v="SE3_OTHER"/>
    <x v="11"/>
    <x v="193"/>
    <x v="0"/>
    <x v="20"/>
    <n v="848.640981830123"/>
    <n v="309753.95836799499"/>
    <n v="1115114.25012478"/>
  </r>
  <r>
    <x v="0"/>
    <x v="0"/>
    <x v="0"/>
    <x v="9"/>
    <x v="19"/>
    <s v="SE3_OTHER"/>
    <x v="11"/>
    <x v="193"/>
    <x v="0"/>
    <x v="21"/>
    <n v="848.640981830123"/>
    <n v="309753.95836799499"/>
    <n v="1115114.25012478"/>
  </r>
  <r>
    <x v="0"/>
    <x v="0"/>
    <x v="0"/>
    <x v="9"/>
    <x v="19"/>
    <s v="SE3_OTHER"/>
    <x v="11"/>
    <x v="193"/>
    <x v="0"/>
    <x v="22"/>
    <n v="848.640981830123"/>
    <n v="309753.95836799499"/>
    <n v="1115114.25012478"/>
  </r>
  <r>
    <x v="0"/>
    <x v="0"/>
    <x v="0"/>
    <x v="9"/>
    <x v="19"/>
    <s v="SE3_OTHER"/>
    <x v="11"/>
    <x v="193"/>
    <x v="0"/>
    <x v="23"/>
    <n v="848.640981830123"/>
    <n v="309753.95836799499"/>
    <n v="1115114.25012478"/>
  </r>
  <r>
    <x v="0"/>
    <x v="0"/>
    <x v="0"/>
    <x v="9"/>
    <x v="19"/>
    <s v="SE3_OTHER"/>
    <x v="11"/>
    <x v="122"/>
    <x v="0"/>
    <x v="5"/>
    <n v="104.703393248726"/>
    <n v="38216.738535784803"/>
    <n v="137580.25872882499"/>
  </r>
  <r>
    <x v="0"/>
    <x v="0"/>
    <x v="0"/>
    <x v="9"/>
    <x v="19"/>
    <s v="SE3_OTHER"/>
    <x v="11"/>
    <x v="122"/>
    <x v="0"/>
    <x v="6"/>
    <n v="382.12596298654699"/>
    <n v="139475.97649008999"/>
    <n v="502113.51536432299"/>
  </r>
  <r>
    <x v="0"/>
    <x v="0"/>
    <x v="0"/>
    <x v="9"/>
    <x v="19"/>
    <s v="SE3_OTHER"/>
    <x v="11"/>
    <x v="122"/>
    <x v="0"/>
    <x v="7"/>
    <n v="468.75038780261701"/>
    <n v="171093.89154795499"/>
    <n v="615938.00957263797"/>
  </r>
  <r>
    <x v="0"/>
    <x v="0"/>
    <x v="0"/>
    <x v="9"/>
    <x v="19"/>
    <s v="SE3_OTHER"/>
    <x v="11"/>
    <x v="122"/>
    <x v="0"/>
    <x v="8"/>
    <n v="468.75038780261701"/>
    <n v="171093.89154795499"/>
    <n v="615938.00957263797"/>
  </r>
  <r>
    <x v="0"/>
    <x v="0"/>
    <x v="0"/>
    <x v="9"/>
    <x v="19"/>
    <s v="SE3_OTHER"/>
    <x v="11"/>
    <x v="122"/>
    <x v="0"/>
    <x v="9"/>
    <n v="468.75038780261701"/>
    <n v="171093.89154795499"/>
    <n v="615938.00957263797"/>
  </r>
  <r>
    <x v="0"/>
    <x v="0"/>
    <x v="0"/>
    <x v="9"/>
    <x v="19"/>
    <s v="SE3_OTHER"/>
    <x v="11"/>
    <x v="122"/>
    <x v="0"/>
    <x v="10"/>
    <n v="453.57280386069698"/>
    <n v="165554.07340915501"/>
    <n v="595994.66427295597"/>
  </r>
  <r>
    <x v="0"/>
    <x v="0"/>
    <x v="0"/>
    <x v="9"/>
    <x v="19"/>
    <s v="SE3_OTHER"/>
    <x v="11"/>
    <x v="122"/>
    <x v="0"/>
    <x v="11"/>
    <n v="385.41941361710099"/>
    <n v="140678.08597024201"/>
    <n v="506441.10949286999"/>
  </r>
  <r>
    <x v="0"/>
    <x v="0"/>
    <x v="0"/>
    <x v="9"/>
    <x v="19"/>
    <s v="SE3_OTHER"/>
    <x v="11"/>
    <x v="122"/>
    <x v="0"/>
    <x v="12"/>
    <n v="330.875991277249"/>
    <n v="120769.736816196"/>
    <n v="434771.052538305"/>
  </r>
  <r>
    <x v="0"/>
    <x v="0"/>
    <x v="0"/>
    <x v="9"/>
    <x v="19"/>
    <s v="SE3_OTHER"/>
    <x v="11"/>
    <x v="122"/>
    <x v="0"/>
    <x v="13"/>
    <n v="286.75559186471497"/>
    <n v="104665.791030621"/>
    <n v="376796.84771023598"/>
  </r>
  <r>
    <x v="0"/>
    <x v="0"/>
    <x v="0"/>
    <x v="9"/>
    <x v="19"/>
    <s v="SE3_OTHER"/>
    <x v="11"/>
    <x v="122"/>
    <x v="0"/>
    <x v="14"/>
    <n v="244.79531968147899"/>
    <n v="89350.291683739793"/>
    <n v="321661.05006146297"/>
  </r>
  <r>
    <x v="0"/>
    <x v="0"/>
    <x v="0"/>
    <x v="9"/>
    <x v="19"/>
    <s v="SE3_OTHER"/>
    <x v="11"/>
    <x v="122"/>
    <x v="0"/>
    <x v="15"/>
    <n v="228.19316221879299"/>
    <n v="83290.5042098595"/>
    <n v="299845.81515549403"/>
  </r>
  <r>
    <x v="0"/>
    <x v="0"/>
    <x v="0"/>
    <x v="9"/>
    <x v="19"/>
    <s v="SE3_OTHER"/>
    <x v="11"/>
    <x v="122"/>
    <x v="0"/>
    <x v="16"/>
    <n v="140.294483738726"/>
    <n v="51207.486564635103"/>
    <n v="184346.95163268599"/>
  </r>
  <r>
    <x v="0"/>
    <x v="0"/>
    <x v="0"/>
    <x v="9"/>
    <x v="19"/>
    <s v="SE3_OTHER"/>
    <x v="11"/>
    <x v="122"/>
    <x v="0"/>
    <x v="17"/>
    <n v="60.287702162532199"/>
    <n v="22005.011289324299"/>
    <n v="79218.040641567306"/>
  </r>
  <r>
    <x v="0"/>
    <x v="0"/>
    <x v="0"/>
    <x v="9"/>
    <x v="19"/>
    <s v="SE3_OTHER"/>
    <x v="11"/>
    <x v="122"/>
    <x v="0"/>
    <x v="18"/>
    <n v="1.4523242651551"/>
    <n v="530.09835678161096"/>
    <n v="1908.3540844137999"/>
  </r>
  <r>
    <x v="0"/>
    <x v="0"/>
    <x v="0"/>
    <x v="9"/>
    <x v="19"/>
    <s v="SE3_STO"/>
    <x v="1"/>
    <x v="208"/>
    <x v="0"/>
    <x v="0"/>
    <n v="463.41463414634097"/>
    <n v="169146.34146341501"/>
    <n v="608926.82926829299"/>
  </r>
  <r>
    <x v="0"/>
    <x v="0"/>
    <x v="0"/>
    <x v="9"/>
    <x v="19"/>
    <s v="SE3_STO"/>
    <x v="1"/>
    <x v="208"/>
    <x v="0"/>
    <x v="1"/>
    <n v="463.41463414634097"/>
    <n v="169146.34146341501"/>
    <n v="608926.82926829299"/>
  </r>
  <r>
    <x v="0"/>
    <x v="0"/>
    <x v="0"/>
    <x v="9"/>
    <x v="19"/>
    <s v="SE3_STO"/>
    <x v="1"/>
    <x v="208"/>
    <x v="0"/>
    <x v="2"/>
    <n v="463.41463414634097"/>
    <n v="169146.34146341501"/>
    <n v="608926.82926829299"/>
  </r>
  <r>
    <x v="0"/>
    <x v="0"/>
    <x v="0"/>
    <x v="9"/>
    <x v="19"/>
    <s v="SE3_STO"/>
    <x v="1"/>
    <x v="208"/>
    <x v="0"/>
    <x v="3"/>
    <n v="463.41463414634097"/>
    <n v="169146.34146341501"/>
    <n v="608926.82926829299"/>
  </r>
  <r>
    <x v="0"/>
    <x v="0"/>
    <x v="0"/>
    <x v="9"/>
    <x v="19"/>
    <s v="SE3_STO"/>
    <x v="1"/>
    <x v="208"/>
    <x v="0"/>
    <x v="4"/>
    <n v="463.41463414634097"/>
    <n v="169146.34146341501"/>
    <n v="608926.82926829299"/>
  </r>
  <r>
    <x v="0"/>
    <x v="0"/>
    <x v="0"/>
    <x v="9"/>
    <x v="19"/>
    <s v="SE3_STO"/>
    <x v="1"/>
    <x v="208"/>
    <x v="0"/>
    <x v="5"/>
    <n v="463.41463414634097"/>
    <n v="169146.34146341501"/>
    <n v="608926.82926829299"/>
  </r>
  <r>
    <x v="0"/>
    <x v="0"/>
    <x v="0"/>
    <x v="9"/>
    <x v="19"/>
    <s v="SE3_STO"/>
    <x v="1"/>
    <x v="208"/>
    <x v="0"/>
    <x v="6"/>
    <n v="463.41463414634097"/>
    <n v="169146.34146341501"/>
    <n v="608926.82926829299"/>
  </r>
  <r>
    <x v="0"/>
    <x v="0"/>
    <x v="0"/>
    <x v="9"/>
    <x v="19"/>
    <s v="SE3_STO"/>
    <x v="1"/>
    <x v="208"/>
    <x v="0"/>
    <x v="7"/>
    <n v="463.41463414634097"/>
    <n v="169146.34146341501"/>
    <n v="608926.82926829299"/>
  </r>
  <r>
    <x v="0"/>
    <x v="0"/>
    <x v="0"/>
    <x v="9"/>
    <x v="19"/>
    <s v="SE3_STO"/>
    <x v="1"/>
    <x v="208"/>
    <x v="0"/>
    <x v="8"/>
    <n v="463.41463414634097"/>
    <n v="169146.34146341501"/>
    <n v="608926.82926829299"/>
  </r>
  <r>
    <x v="0"/>
    <x v="0"/>
    <x v="0"/>
    <x v="9"/>
    <x v="19"/>
    <s v="SE3_STO"/>
    <x v="1"/>
    <x v="208"/>
    <x v="0"/>
    <x v="9"/>
    <n v="463.41463414634097"/>
    <n v="169146.34146341501"/>
    <n v="608926.82926829299"/>
  </r>
  <r>
    <x v="0"/>
    <x v="0"/>
    <x v="0"/>
    <x v="9"/>
    <x v="19"/>
    <s v="SE3_STO"/>
    <x v="1"/>
    <x v="208"/>
    <x v="0"/>
    <x v="10"/>
    <n v="463.41463414634097"/>
    <n v="169146.34146341501"/>
    <n v="608926.82926829299"/>
  </r>
  <r>
    <x v="0"/>
    <x v="0"/>
    <x v="0"/>
    <x v="9"/>
    <x v="19"/>
    <s v="SE3_STO"/>
    <x v="1"/>
    <x v="208"/>
    <x v="0"/>
    <x v="11"/>
    <n v="463.41463414634097"/>
    <n v="169146.34146341501"/>
    <n v="608926.82926829299"/>
  </r>
  <r>
    <x v="0"/>
    <x v="0"/>
    <x v="0"/>
    <x v="9"/>
    <x v="19"/>
    <s v="SE3_STO"/>
    <x v="1"/>
    <x v="208"/>
    <x v="0"/>
    <x v="12"/>
    <n v="463.41463414634097"/>
    <n v="169146.34146341501"/>
    <n v="608926.82926829299"/>
  </r>
  <r>
    <x v="0"/>
    <x v="0"/>
    <x v="0"/>
    <x v="9"/>
    <x v="19"/>
    <s v="SE3_STO"/>
    <x v="1"/>
    <x v="208"/>
    <x v="0"/>
    <x v="13"/>
    <n v="463.41463414634097"/>
    <n v="169146.34146341501"/>
    <n v="608926.82926829299"/>
  </r>
  <r>
    <x v="0"/>
    <x v="0"/>
    <x v="0"/>
    <x v="9"/>
    <x v="19"/>
    <s v="SE3_STO"/>
    <x v="1"/>
    <x v="208"/>
    <x v="0"/>
    <x v="14"/>
    <n v="463.41463414634097"/>
    <n v="169146.34146341501"/>
    <n v="608926.82926829299"/>
  </r>
  <r>
    <x v="0"/>
    <x v="0"/>
    <x v="0"/>
    <x v="9"/>
    <x v="19"/>
    <s v="SE3_STO"/>
    <x v="1"/>
    <x v="208"/>
    <x v="0"/>
    <x v="15"/>
    <n v="463.41463414634097"/>
    <n v="169146.34146341501"/>
    <n v="608926.82926829299"/>
  </r>
  <r>
    <x v="0"/>
    <x v="0"/>
    <x v="0"/>
    <x v="9"/>
    <x v="19"/>
    <s v="SE3_STO"/>
    <x v="1"/>
    <x v="208"/>
    <x v="0"/>
    <x v="16"/>
    <n v="463.41463414634097"/>
    <n v="169146.34146341501"/>
    <n v="608926.82926829299"/>
  </r>
  <r>
    <x v="0"/>
    <x v="0"/>
    <x v="0"/>
    <x v="9"/>
    <x v="19"/>
    <s v="SE3_STO"/>
    <x v="1"/>
    <x v="208"/>
    <x v="0"/>
    <x v="17"/>
    <n v="463.41463414634097"/>
    <n v="169146.34146341501"/>
    <n v="608926.82926829299"/>
  </r>
  <r>
    <x v="0"/>
    <x v="0"/>
    <x v="0"/>
    <x v="9"/>
    <x v="19"/>
    <s v="SE3_STO"/>
    <x v="1"/>
    <x v="208"/>
    <x v="0"/>
    <x v="18"/>
    <n v="463.41463414634097"/>
    <n v="169146.34146341501"/>
    <n v="608926.82926829299"/>
  </r>
  <r>
    <x v="0"/>
    <x v="0"/>
    <x v="0"/>
    <x v="9"/>
    <x v="19"/>
    <s v="SE3_STO"/>
    <x v="1"/>
    <x v="208"/>
    <x v="0"/>
    <x v="19"/>
    <n v="463.41463414634097"/>
    <n v="169146.34146341501"/>
    <n v="608926.82926829299"/>
  </r>
  <r>
    <x v="0"/>
    <x v="0"/>
    <x v="0"/>
    <x v="9"/>
    <x v="19"/>
    <s v="SE3_STO"/>
    <x v="1"/>
    <x v="208"/>
    <x v="0"/>
    <x v="20"/>
    <n v="463.41463414634097"/>
    <n v="169146.34146341501"/>
    <n v="608926.82926829299"/>
  </r>
  <r>
    <x v="0"/>
    <x v="0"/>
    <x v="0"/>
    <x v="9"/>
    <x v="19"/>
    <s v="SE3_STO"/>
    <x v="1"/>
    <x v="208"/>
    <x v="0"/>
    <x v="21"/>
    <n v="463.41463414634097"/>
    <n v="169146.34146341501"/>
    <n v="608926.82926829299"/>
  </r>
  <r>
    <x v="0"/>
    <x v="0"/>
    <x v="0"/>
    <x v="9"/>
    <x v="19"/>
    <s v="SE3_STO"/>
    <x v="1"/>
    <x v="208"/>
    <x v="0"/>
    <x v="22"/>
    <n v="463.41463414634097"/>
    <n v="169146.34146341501"/>
    <n v="608926.82926829299"/>
  </r>
  <r>
    <x v="0"/>
    <x v="0"/>
    <x v="0"/>
    <x v="9"/>
    <x v="19"/>
    <s v="SE3_STO"/>
    <x v="1"/>
    <x v="208"/>
    <x v="0"/>
    <x v="23"/>
    <n v="463.41463414634097"/>
    <n v="169146.34146341501"/>
    <n v="608926.82926829299"/>
  </r>
  <r>
    <x v="0"/>
    <x v="0"/>
    <x v="0"/>
    <x v="9"/>
    <x v="19"/>
    <s v="SE3_STO"/>
    <x v="1"/>
    <x v="177"/>
    <x v="0"/>
    <x v="5"/>
    <n v="63.115757776810803"/>
    <n v="23037.251588535899"/>
    <n v="82934.105718729304"/>
  </r>
  <r>
    <x v="0"/>
    <x v="0"/>
    <x v="0"/>
    <x v="9"/>
    <x v="19"/>
    <s v="SE3_STO"/>
    <x v="1"/>
    <x v="177"/>
    <x v="0"/>
    <x v="6"/>
    <n v="235.56595638281399"/>
    <n v="85981.574079726997"/>
    <n v="309533.66668701702"/>
  </r>
  <r>
    <x v="0"/>
    <x v="0"/>
    <x v="0"/>
    <x v="9"/>
    <x v="19"/>
    <s v="SE3_STO"/>
    <x v="1"/>
    <x v="177"/>
    <x v="0"/>
    <x v="7"/>
    <n v="59.349519475415903"/>
    <n v="21662.5746085268"/>
    <n v="77985.268590696505"/>
  </r>
  <r>
    <x v="0"/>
    <x v="0"/>
    <x v="0"/>
    <x v="9"/>
    <x v="19"/>
    <s v="SE3_STO"/>
    <x v="1"/>
    <x v="177"/>
    <x v="0"/>
    <x v="8"/>
    <n v="317.46968525553501"/>
    <n v="115876.43511827"/>
    <n v="417155.16642577201"/>
  </r>
  <r>
    <x v="0"/>
    <x v="0"/>
    <x v="0"/>
    <x v="9"/>
    <x v="19"/>
    <s v="SE3_STO"/>
    <x v="1"/>
    <x v="177"/>
    <x v="0"/>
    <x v="9"/>
    <n v="304.35345430272702"/>
    <n v="111089.010820496"/>
    <n v="399920.438953784"/>
  </r>
  <r>
    <x v="0"/>
    <x v="0"/>
    <x v="0"/>
    <x v="9"/>
    <x v="19"/>
    <s v="SE3_STO"/>
    <x v="1"/>
    <x v="177"/>
    <x v="0"/>
    <x v="10"/>
    <n v="276.64493691631799"/>
    <n v="100975.40197445601"/>
    <n v="363511.44710804202"/>
  </r>
  <r>
    <x v="0"/>
    <x v="0"/>
    <x v="0"/>
    <x v="9"/>
    <x v="19"/>
    <s v="SE3_STO"/>
    <x v="1"/>
    <x v="177"/>
    <x v="0"/>
    <x v="11"/>
    <n v="232.18181632338101"/>
    <n v="84746.362958034006"/>
    <n v="305086.906648923"/>
  </r>
  <r>
    <x v="0"/>
    <x v="0"/>
    <x v="0"/>
    <x v="9"/>
    <x v="19"/>
    <s v="SE3_STO"/>
    <x v="1"/>
    <x v="177"/>
    <x v="0"/>
    <x v="12"/>
    <n v="248.32923271292699"/>
    <n v="90640.169940218504"/>
    <n v="326304.61178478698"/>
  </r>
  <r>
    <x v="0"/>
    <x v="0"/>
    <x v="0"/>
    <x v="9"/>
    <x v="19"/>
    <s v="SE3_STO"/>
    <x v="1"/>
    <x v="177"/>
    <x v="0"/>
    <x v="13"/>
    <n v="252.014874955941"/>
    <n v="91985.429358918307"/>
    <n v="331147.54569210601"/>
  </r>
  <r>
    <x v="0"/>
    <x v="0"/>
    <x v="0"/>
    <x v="9"/>
    <x v="19"/>
    <s v="SE3_STO"/>
    <x v="1"/>
    <x v="177"/>
    <x v="0"/>
    <x v="14"/>
    <n v="252.48569388315099"/>
    <n v="92157.278267350295"/>
    <n v="331766.20176246099"/>
  </r>
  <r>
    <x v="0"/>
    <x v="0"/>
    <x v="0"/>
    <x v="9"/>
    <x v="19"/>
    <s v="SE3_STO"/>
    <x v="1"/>
    <x v="177"/>
    <x v="0"/>
    <x v="15"/>
    <n v="265.70913136683799"/>
    <n v="96983.832948896001"/>
    <n v="349141.798616026"/>
  </r>
  <r>
    <x v="0"/>
    <x v="0"/>
    <x v="0"/>
    <x v="9"/>
    <x v="19"/>
    <s v="SE3_STO"/>
    <x v="1"/>
    <x v="177"/>
    <x v="0"/>
    <x v="16"/>
    <n v="258.57381890221598"/>
    <n v="94379.443899309001"/>
    <n v="339765.99803751201"/>
  </r>
  <r>
    <x v="0"/>
    <x v="0"/>
    <x v="0"/>
    <x v="9"/>
    <x v="19"/>
    <s v="SE3_STO"/>
    <x v="1"/>
    <x v="177"/>
    <x v="0"/>
    <x v="17"/>
    <n v="235.56010910423799"/>
    <n v="85979.439823046996"/>
    <n v="309525.98336296901"/>
  </r>
  <r>
    <x v="0"/>
    <x v="0"/>
    <x v="0"/>
    <x v="9"/>
    <x v="19"/>
    <s v="SE3_STO"/>
    <x v="1"/>
    <x v="177"/>
    <x v="0"/>
    <x v="18"/>
    <n v="217.35600345924101"/>
    <n v="79334.941262622902"/>
    <n v="285605.78854544298"/>
  </r>
  <r>
    <x v="0"/>
    <x v="0"/>
    <x v="0"/>
    <x v="9"/>
    <x v="19"/>
    <s v="SE3_STO"/>
    <x v="1"/>
    <x v="177"/>
    <x v="0"/>
    <x v="19"/>
    <n v="189.201571248829"/>
    <n v="69058.5735058227"/>
    <n v="248610.86462096201"/>
  </r>
  <r>
    <x v="0"/>
    <x v="0"/>
    <x v="0"/>
    <x v="9"/>
    <x v="19"/>
    <s v="SE3_STO"/>
    <x v="1"/>
    <x v="177"/>
    <x v="0"/>
    <x v="20"/>
    <n v="149.98343941921499"/>
    <n v="54743.955388013601"/>
    <n v="197078.23939684901"/>
  </r>
  <r>
    <x v="0"/>
    <x v="0"/>
    <x v="0"/>
    <x v="9"/>
    <x v="19"/>
    <s v="SE3_STO"/>
    <x v="1"/>
    <x v="177"/>
    <x v="0"/>
    <x v="21"/>
    <n v="117.07768106769301"/>
    <n v="42733.353589707898"/>
    <n v="153840.07292294799"/>
  </r>
  <r>
    <x v="0"/>
    <x v="0"/>
    <x v="0"/>
    <x v="9"/>
    <x v="19"/>
    <s v="SE3_STO"/>
    <x v="1"/>
    <x v="177"/>
    <x v="0"/>
    <x v="22"/>
    <n v="64.132351812635903"/>
    <n v="23408.308411612099"/>
    <n v="84269.910281803604"/>
  </r>
  <r>
    <x v="0"/>
    <x v="0"/>
    <x v="0"/>
    <x v="9"/>
    <x v="19"/>
    <s v="SE3_STO"/>
    <x v="2"/>
    <x v="209"/>
    <x v="0"/>
    <x v="0"/>
    <n v="188.54422739459699"/>
    <n v="68818.642999027696"/>
    <n v="247747.11479650001"/>
  </r>
  <r>
    <x v="0"/>
    <x v="0"/>
    <x v="0"/>
    <x v="9"/>
    <x v="19"/>
    <s v="SE3_STO"/>
    <x v="2"/>
    <x v="209"/>
    <x v="0"/>
    <x v="1"/>
    <n v="188.54422739459699"/>
    <n v="68818.642999027696"/>
    <n v="247747.11479650001"/>
  </r>
  <r>
    <x v="0"/>
    <x v="0"/>
    <x v="0"/>
    <x v="9"/>
    <x v="19"/>
    <s v="SE3_STO"/>
    <x v="2"/>
    <x v="209"/>
    <x v="0"/>
    <x v="2"/>
    <n v="188.54422739459699"/>
    <n v="68818.642999027696"/>
    <n v="247747.11479650001"/>
  </r>
  <r>
    <x v="0"/>
    <x v="0"/>
    <x v="0"/>
    <x v="9"/>
    <x v="19"/>
    <s v="SE3_STO"/>
    <x v="2"/>
    <x v="209"/>
    <x v="0"/>
    <x v="3"/>
    <n v="188.54422739459699"/>
    <n v="68818.642999027696"/>
    <n v="247747.11479650001"/>
  </r>
  <r>
    <x v="0"/>
    <x v="0"/>
    <x v="0"/>
    <x v="9"/>
    <x v="19"/>
    <s v="SE3_STO"/>
    <x v="2"/>
    <x v="209"/>
    <x v="0"/>
    <x v="4"/>
    <n v="188.54422739459699"/>
    <n v="68818.642999027696"/>
    <n v="247747.11479650001"/>
  </r>
  <r>
    <x v="0"/>
    <x v="0"/>
    <x v="0"/>
    <x v="9"/>
    <x v="19"/>
    <s v="SE3_STO"/>
    <x v="2"/>
    <x v="209"/>
    <x v="0"/>
    <x v="5"/>
    <n v="188.54422739459699"/>
    <n v="68818.642999027696"/>
    <n v="247747.11479650001"/>
  </r>
  <r>
    <x v="0"/>
    <x v="0"/>
    <x v="0"/>
    <x v="9"/>
    <x v="19"/>
    <s v="SE3_STO"/>
    <x v="2"/>
    <x v="209"/>
    <x v="0"/>
    <x v="6"/>
    <n v="188.54422739459699"/>
    <n v="68818.642999027696"/>
    <n v="247747.11479650001"/>
  </r>
  <r>
    <x v="0"/>
    <x v="0"/>
    <x v="0"/>
    <x v="9"/>
    <x v="19"/>
    <s v="SE3_STO"/>
    <x v="2"/>
    <x v="209"/>
    <x v="0"/>
    <x v="7"/>
    <n v="188.54422739459699"/>
    <n v="68818.642999027696"/>
    <n v="247747.11479650001"/>
  </r>
  <r>
    <x v="0"/>
    <x v="0"/>
    <x v="0"/>
    <x v="9"/>
    <x v="19"/>
    <s v="SE3_STO"/>
    <x v="2"/>
    <x v="209"/>
    <x v="0"/>
    <x v="8"/>
    <n v="188.54422739459699"/>
    <n v="68818.642999027696"/>
    <n v="247747.11479650001"/>
  </r>
  <r>
    <x v="0"/>
    <x v="0"/>
    <x v="0"/>
    <x v="9"/>
    <x v="19"/>
    <s v="SE3_STO"/>
    <x v="2"/>
    <x v="209"/>
    <x v="0"/>
    <x v="9"/>
    <n v="188.54422739459699"/>
    <n v="68818.642999027696"/>
    <n v="247747.11479650001"/>
  </r>
  <r>
    <x v="0"/>
    <x v="0"/>
    <x v="0"/>
    <x v="9"/>
    <x v="19"/>
    <s v="SE3_STO"/>
    <x v="2"/>
    <x v="209"/>
    <x v="0"/>
    <x v="10"/>
    <n v="188.54422739459699"/>
    <n v="68818.642999027696"/>
    <n v="247747.11479650001"/>
  </r>
  <r>
    <x v="0"/>
    <x v="0"/>
    <x v="0"/>
    <x v="9"/>
    <x v="19"/>
    <s v="SE3_STO"/>
    <x v="2"/>
    <x v="209"/>
    <x v="0"/>
    <x v="11"/>
    <n v="188.54422739459699"/>
    <n v="68818.642999027696"/>
    <n v="247747.11479650001"/>
  </r>
  <r>
    <x v="0"/>
    <x v="0"/>
    <x v="0"/>
    <x v="9"/>
    <x v="19"/>
    <s v="SE3_STO"/>
    <x v="2"/>
    <x v="209"/>
    <x v="0"/>
    <x v="12"/>
    <n v="188.54422739459699"/>
    <n v="68818.642999027696"/>
    <n v="247747.11479650001"/>
  </r>
  <r>
    <x v="0"/>
    <x v="0"/>
    <x v="0"/>
    <x v="9"/>
    <x v="19"/>
    <s v="SE3_STO"/>
    <x v="2"/>
    <x v="209"/>
    <x v="0"/>
    <x v="13"/>
    <n v="188.54422739459699"/>
    <n v="68818.642999027696"/>
    <n v="247747.11479650001"/>
  </r>
  <r>
    <x v="0"/>
    <x v="0"/>
    <x v="0"/>
    <x v="9"/>
    <x v="19"/>
    <s v="SE3_STO"/>
    <x v="2"/>
    <x v="209"/>
    <x v="0"/>
    <x v="14"/>
    <n v="188.54422739459699"/>
    <n v="68818.642999027696"/>
    <n v="247747.11479650001"/>
  </r>
  <r>
    <x v="0"/>
    <x v="0"/>
    <x v="0"/>
    <x v="9"/>
    <x v="19"/>
    <s v="SE3_STO"/>
    <x v="2"/>
    <x v="209"/>
    <x v="0"/>
    <x v="15"/>
    <n v="188.54422739459699"/>
    <n v="68818.642999027696"/>
    <n v="247747.11479650001"/>
  </r>
  <r>
    <x v="0"/>
    <x v="0"/>
    <x v="0"/>
    <x v="9"/>
    <x v="19"/>
    <s v="SE3_STO"/>
    <x v="2"/>
    <x v="209"/>
    <x v="0"/>
    <x v="16"/>
    <n v="188.54422739459699"/>
    <n v="68818.642999027696"/>
    <n v="247747.11479650001"/>
  </r>
  <r>
    <x v="0"/>
    <x v="0"/>
    <x v="0"/>
    <x v="9"/>
    <x v="19"/>
    <s v="SE3_STO"/>
    <x v="2"/>
    <x v="209"/>
    <x v="0"/>
    <x v="17"/>
    <n v="188.54422739459699"/>
    <n v="68818.642999027696"/>
    <n v="247747.11479650001"/>
  </r>
  <r>
    <x v="0"/>
    <x v="0"/>
    <x v="0"/>
    <x v="9"/>
    <x v="19"/>
    <s v="SE3_STO"/>
    <x v="2"/>
    <x v="209"/>
    <x v="0"/>
    <x v="18"/>
    <n v="188.54422739459699"/>
    <n v="68818.642999027696"/>
    <n v="247747.11479650001"/>
  </r>
  <r>
    <x v="0"/>
    <x v="0"/>
    <x v="0"/>
    <x v="9"/>
    <x v="19"/>
    <s v="SE3_STO"/>
    <x v="2"/>
    <x v="209"/>
    <x v="0"/>
    <x v="19"/>
    <n v="188.54422739459699"/>
    <n v="68818.642999027696"/>
    <n v="247747.11479650001"/>
  </r>
  <r>
    <x v="0"/>
    <x v="0"/>
    <x v="0"/>
    <x v="9"/>
    <x v="19"/>
    <s v="SE3_STO"/>
    <x v="2"/>
    <x v="209"/>
    <x v="0"/>
    <x v="20"/>
    <n v="188.54422739459699"/>
    <n v="68818.642999027696"/>
    <n v="247747.11479650001"/>
  </r>
  <r>
    <x v="0"/>
    <x v="0"/>
    <x v="0"/>
    <x v="9"/>
    <x v="19"/>
    <s v="SE3_STO"/>
    <x v="2"/>
    <x v="209"/>
    <x v="0"/>
    <x v="21"/>
    <n v="188.54422739459699"/>
    <n v="68818.642999027696"/>
    <n v="247747.11479650001"/>
  </r>
  <r>
    <x v="0"/>
    <x v="0"/>
    <x v="0"/>
    <x v="9"/>
    <x v="19"/>
    <s v="SE3_STO"/>
    <x v="2"/>
    <x v="209"/>
    <x v="0"/>
    <x v="22"/>
    <n v="188.54422739459699"/>
    <n v="68818.642999027696"/>
    <n v="247747.11479650001"/>
  </r>
  <r>
    <x v="0"/>
    <x v="0"/>
    <x v="0"/>
    <x v="9"/>
    <x v="19"/>
    <s v="SE3_STO"/>
    <x v="2"/>
    <x v="209"/>
    <x v="0"/>
    <x v="23"/>
    <n v="188.54422739459699"/>
    <n v="68818.642999027696"/>
    <n v="247747.11479650001"/>
  </r>
  <r>
    <x v="0"/>
    <x v="0"/>
    <x v="0"/>
    <x v="9"/>
    <x v="19"/>
    <s v="SE3_STO"/>
    <x v="2"/>
    <x v="176"/>
    <x v="0"/>
    <x v="0"/>
    <n v="133.73011864833899"/>
    <n v="48811.493306643599"/>
    <n v="175721.37590391701"/>
  </r>
  <r>
    <x v="0"/>
    <x v="0"/>
    <x v="0"/>
    <x v="9"/>
    <x v="19"/>
    <s v="SE3_STO"/>
    <x v="2"/>
    <x v="176"/>
    <x v="0"/>
    <x v="1"/>
    <n v="133.73011864833899"/>
    <n v="48811.493306643599"/>
    <n v="175721.37590391701"/>
  </r>
  <r>
    <x v="0"/>
    <x v="0"/>
    <x v="0"/>
    <x v="9"/>
    <x v="19"/>
    <s v="SE3_STO"/>
    <x v="2"/>
    <x v="176"/>
    <x v="0"/>
    <x v="2"/>
    <n v="133.73011864833899"/>
    <n v="48811.493306643599"/>
    <n v="175721.37590391701"/>
  </r>
  <r>
    <x v="0"/>
    <x v="0"/>
    <x v="0"/>
    <x v="9"/>
    <x v="19"/>
    <s v="SE3_STO"/>
    <x v="2"/>
    <x v="176"/>
    <x v="0"/>
    <x v="3"/>
    <n v="133.73011864833899"/>
    <n v="48811.493306643599"/>
    <n v="175721.37590391701"/>
  </r>
  <r>
    <x v="0"/>
    <x v="0"/>
    <x v="0"/>
    <x v="9"/>
    <x v="19"/>
    <s v="SE3_STO"/>
    <x v="2"/>
    <x v="176"/>
    <x v="0"/>
    <x v="4"/>
    <n v="133.73011864833899"/>
    <n v="48811.493306643599"/>
    <n v="175721.37590391701"/>
  </r>
  <r>
    <x v="0"/>
    <x v="0"/>
    <x v="0"/>
    <x v="9"/>
    <x v="19"/>
    <s v="SE3_STO"/>
    <x v="2"/>
    <x v="176"/>
    <x v="0"/>
    <x v="5"/>
    <n v="133.73011864833899"/>
    <n v="48811.493306643599"/>
    <n v="175721.37590391701"/>
  </r>
  <r>
    <x v="0"/>
    <x v="0"/>
    <x v="0"/>
    <x v="9"/>
    <x v="19"/>
    <s v="SE3_STO"/>
    <x v="2"/>
    <x v="176"/>
    <x v="0"/>
    <x v="6"/>
    <n v="133.73011864833899"/>
    <n v="48811.493306643599"/>
    <n v="175721.37590391701"/>
  </r>
  <r>
    <x v="0"/>
    <x v="0"/>
    <x v="0"/>
    <x v="9"/>
    <x v="19"/>
    <s v="SE3_STO"/>
    <x v="2"/>
    <x v="176"/>
    <x v="0"/>
    <x v="7"/>
    <n v="133.73011864833899"/>
    <n v="48811.493306643599"/>
    <n v="175721.37590391701"/>
  </r>
  <r>
    <x v="0"/>
    <x v="0"/>
    <x v="0"/>
    <x v="9"/>
    <x v="19"/>
    <s v="SE3_STO"/>
    <x v="2"/>
    <x v="176"/>
    <x v="0"/>
    <x v="8"/>
    <n v="133.73011864833899"/>
    <n v="48811.493306643599"/>
    <n v="175721.37590391701"/>
  </r>
  <r>
    <x v="0"/>
    <x v="0"/>
    <x v="0"/>
    <x v="9"/>
    <x v="19"/>
    <s v="SE3_STO"/>
    <x v="2"/>
    <x v="176"/>
    <x v="0"/>
    <x v="9"/>
    <n v="133.73011864833899"/>
    <n v="48811.493306643599"/>
    <n v="175721.37590391701"/>
  </r>
  <r>
    <x v="0"/>
    <x v="0"/>
    <x v="0"/>
    <x v="9"/>
    <x v="19"/>
    <s v="SE3_STO"/>
    <x v="2"/>
    <x v="176"/>
    <x v="0"/>
    <x v="10"/>
    <n v="133.73011864833899"/>
    <n v="48811.493306643599"/>
    <n v="175721.37590391701"/>
  </r>
  <r>
    <x v="0"/>
    <x v="0"/>
    <x v="0"/>
    <x v="9"/>
    <x v="19"/>
    <s v="SE3_STO"/>
    <x v="2"/>
    <x v="176"/>
    <x v="0"/>
    <x v="11"/>
    <n v="133.73011864833899"/>
    <n v="48811.493306643599"/>
    <n v="175721.37590391701"/>
  </r>
  <r>
    <x v="0"/>
    <x v="0"/>
    <x v="0"/>
    <x v="9"/>
    <x v="19"/>
    <s v="SE3_STO"/>
    <x v="2"/>
    <x v="176"/>
    <x v="0"/>
    <x v="12"/>
    <n v="133.73011864833899"/>
    <n v="48811.493306643599"/>
    <n v="175721.37590391701"/>
  </r>
  <r>
    <x v="0"/>
    <x v="0"/>
    <x v="0"/>
    <x v="9"/>
    <x v="19"/>
    <s v="SE3_STO"/>
    <x v="2"/>
    <x v="176"/>
    <x v="0"/>
    <x v="13"/>
    <n v="133.73011864833899"/>
    <n v="48811.493306643599"/>
    <n v="175721.37590391701"/>
  </r>
  <r>
    <x v="0"/>
    <x v="0"/>
    <x v="0"/>
    <x v="9"/>
    <x v="19"/>
    <s v="SE3_STO"/>
    <x v="2"/>
    <x v="176"/>
    <x v="0"/>
    <x v="14"/>
    <n v="133.73011864833899"/>
    <n v="48811.493306643599"/>
    <n v="175721.37590391701"/>
  </r>
  <r>
    <x v="0"/>
    <x v="0"/>
    <x v="0"/>
    <x v="9"/>
    <x v="19"/>
    <s v="SE3_STO"/>
    <x v="2"/>
    <x v="176"/>
    <x v="0"/>
    <x v="15"/>
    <n v="133.73011864833899"/>
    <n v="48811.493306643599"/>
    <n v="175721.37590391701"/>
  </r>
  <r>
    <x v="0"/>
    <x v="0"/>
    <x v="0"/>
    <x v="9"/>
    <x v="19"/>
    <s v="SE3_STO"/>
    <x v="2"/>
    <x v="176"/>
    <x v="0"/>
    <x v="16"/>
    <n v="133.73011864833899"/>
    <n v="48811.493306643599"/>
    <n v="175721.37590391701"/>
  </r>
  <r>
    <x v="0"/>
    <x v="0"/>
    <x v="0"/>
    <x v="9"/>
    <x v="19"/>
    <s v="SE3_STO"/>
    <x v="2"/>
    <x v="176"/>
    <x v="0"/>
    <x v="17"/>
    <n v="133.73011864833899"/>
    <n v="48811.493306643599"/>
    <n v="175721.37590391701"/>
  </r>
  <r>
    <x v="0"/>
    <x v="0"/>
    <x v="0"/>
    <x v="9"/>
    <x v="19"/>
    <s v="SE3_STO"/>
    <x v="2"/>
    <x v="176"/>
    <x v="0"/>
    <x v="18"/>
    <n v="133.73011864833899"/>
    <n v="48811.493306643599"/>
    <n v="175721.37590391701"/>
  </r>
  <r>
    <x v="0"/>
    <x v="0"/>
    <x v="0"/>
    <x v="9"/>
    <x v="19"/>
    <s v="SE3_STO"/>
    <x v="2"/>
    <x v="176"/>
    <x v="0"/>
    <x v="19"/>
    <n v="133.73011864833899"/>
    <n v="48811.493306643599"/>
    <n v="175721.37590391701"/>
  </r>
  <r>
    <x v="0"/>
    <x v="0"/>
    <x v="0"/>
    <x v="9"/>
    <x v="19"/>
    <s v="SE3_STO"/>
    <x v="2"/>
    <x v="176"/>
    <x v="0"/>
    <x v="20"/>
    <n v="133.73011864833899"/>
    <n v="48811.493306643599"/>
    <n v="175721.37590391701"/>
  </r>
  <r>
    <x v="0"/>
    <x v="0"/>
    <x v="0"/>
    <x v="9"/>
    <x v="19"/>
    <s v="SE3_STO"/>
    <x v="2"/>
    <x v="176"/>
    <x v="0"/>
    <x v="21"/>
    <n v="133.73011864833899"/>
    <n v="48811.493306643599"/>
    <n v="175721.37590391701"/>
  </r>
  <r>
    <x v="0"/>
    <x v="0"/>
    <x v="0"/>
    <x v="9"/>
    <x v="19"/>
    <s v="SE3_STO"/>
    <x v="2"/>
    <x v="176"/>
    <x v="0"/>
    <x v="22"/>
    <n v="133.73011864833899"/>
    <n v="48811.493306643599"/>
    <n v="175721.37590391701"/>
  </r>
  <r>
    <x v="0"/>
    <x v="0"/>
    <x v="0"/>
    <x v="9"/>
    <x v="19"/>
    <s v="SE3_STO"/>
    <x v="2"/>
    <x v="176"/>
    <x v="0"/>
    <x v="23"/>
    <n v="133.73011864833899"/>
    <n v="48811.493306643599"/>
    <n v="175721.37590391701"/>
  </r>
  <r>
    <x v="0"/>
    <x v="0"/>
    <x v="0"/>
    <x v="9"/>
    <x v="19"/>
    <s v="SE3_STO"/>
    <x v="7"/>
    <x v="210"/>
    <x v="0"/>
    <x v="0"/>
    <n v="358.37950138504198"/>
    <n v="130808.51800554"/>
    <n v="470910.664819945"/>
  </r>
  <r>
    <x v="0"/>
    <x v="0"/>
    <x v="0"/>
    <x v="9"/>
    <x v="19"/>
    <s v="SE3_STO"/>
    <x v="7"/>
    <x v="210"/>
    <x v="0"/>
    <x v="1"/>
    <n v="358.37950138504198"/>
    <n v="130808.51800554"/>
    <n v="470910.664819945"/>
  </r>
  <r>
    <x v="0"/>
    <x v="0"/>
    <x v="0"/>
    <x v="9"/>
    <x v="19"/>
    <s v="SE3_STO"/>
    <x v="7"/>
    <x v="210"/>
    <x v="0"/>
    <x v="2"/>
    <n v="358.37950138504198"/>
    <n v="130808.51800554"/>
    <n v="470910.664819945"/>
  </r>
  <r>
    <x v="0"/>
    <x v="0"/>
    <x v="0"/>
    <x v="9"/>
    <x v="19"/>
    <s v="SE3_STO"/>
    <x v="7"/>
    <x v="210"/>
    <x v="0"/>
    <x v="3"/>
    <n v="358.37950138504198"/>
    <n v="130808.51800554"/>
    <n v="470910.664819945"/>
  </r>
  <r>
    <x v="0"/>
    <x v="0"/>
    <x v="0"/>
    <x v="9"/>
    <x v="19"/>
    <s v="SE3_STO"/>
    <x v="7"/>
    <x v="210"/>
    <x v="0"/>
    <x v="4"/>
    <n v="358.37950138504198"/>
    <n v="130808.51800554"/>
    <n v="470910.664819945"/>
  </r>
  <r>
    <x v="0"/>
    <x v="0"/>
    <x v="0"/>
    <x v="9"/>
    <x v="19"/>
    <s v="SE3_STO"/>
    <x v="7"/>
    <x v="210"/>
    <x v="0"/>
    <x v="5"/>
    <n v="358.37950138504198"/>
    <n v="130808.51800554"/>
    <n v="470910.664819945"/>
  </r>
  <r>
    <x v="0"/>
    <x v="0"/>
    <x v="0"/>
    <x v="9"/>
    <x v="19"/>
    <s v="SE3_STO"/>
    <x v="7"/>
    <x v="210"/>
    <x v="0"/>
    <x v="6"/>
    <n v="358.37950138504198"/>
    <n v="130808.51800554"/>
    <n v="470910.664819945"/>
  </r>
  <r>
    <x v="0"/>
    <x v="0"/>
    <x v="0"/>
    <x v="9"/>
    <x v="19"/>
    <s v="SE3_STO"/>
    <x v="7"/>
    <x v="210"/>
    <x v="0"/>
    <x v="7"/>
    <n v="358.37950138504198"/>
    <n v="130808.51800554"/>
    <n v="470910.664819945"/>
  </r>
  <r>
    <x v="0"/>
    <x v="0"/>
    <x v="0"/>
    <x v="9"/>
    <x v="19"/>
    <s v="SE3_STO"/>
    <x v="7"/>
    <x v="210"/>
    <x v="0"/>
    <x v="8"/>
    <n v="358.37950138504198"/>
    <n v="130808.51800554"/>
    <n v="470910.664819945"/>
  </r>
  <r>
    <x v="0"/>
    <x v="0"/>
    <x v="0"/>
    <x v="9"/>
    <x v="19"/>
    <s v="SE3_STO"/>
    <x v="7"/>
    <x v="210"/>
    <x v="0"/>
    <x v="9"/>
    <n v="358.37950138504198"/>
    <n v="130808.51800554"/>
    <n v="470910.664819945"/>
  </r>
  <r>
    <x v="0"/>
    <x v="0"/>
    <x v="0"/>
    <x v="9"/>
    <x v="19"/>
    <s v="SE3_STO"/>
    <x v="7"/>
    <x v="210"/>
    <x v="0"/>
    <x v="10"/>
    <n v="358.37950138504198"/>
    <n v="130808.51800554"/>
    <n v="470910.664819945"/>
  </r>
  <r>
    <x v="0"/>
    <x v="0"/>
    <x v="0"/>
    <x v="9"/>
    <x v="19"/>
    <s v="SE3_STO"/>
    <x v="7"/>
    <x v="210"/>
    <x v="0"/>
    <x v="11"/>
    <n v="358.37950138504198"/>
    <n v="130808.51800554"/>
    <n v="470910.664819945"/>
  </r>
  <r>
    <x v="0"/>
    <x v="0"/>
    <x v="0"/>
    <x v="9"/>
    <x v="19"/>
    <s v="SE3_STO"/>
    <x v="7"/>
    <x v="210"/>
    <x v="0"/>
    <x v="12"/>
    <n v="358.37950138504198"/>
    <n v="130808.51800554"/>
    <n v="470910.664819945"/>
  </r>
  <r>
    <x v="0"/>
    <x v="0"/>
    <x v="0"/>
    <x v="9"/>
    <x v="19"/>
    <s v="SE3_STO"/>
    <x v="7"/>
    <x v="210"/>
    <x v="0"/>
    <x v="13"/>
    <n v="358.37950138504198"/>
    <n v="130808.51800554"/>
    <n v="470910.664819945"/>
  </r>
  <r>
    <x v="0"/>
    <x v="0"/>
    <x v="0"/>
    <x v="9"/>
    <x v="19"/>
    <s v="SE3_STO"/>
    <x v="7"/>
    <x v="210"/>
    <x v="0"/>
    <x v="14"/>
    <n v="358.37950138504198"/>
    <n v="130808.51800554"/>
    <n v="470910.664819945"/>
  </r>
  <r>
    <x v="0"/>
    <x v="0"/>
    <x v="0"/>
    <x v="9"/>
    <x v="19"/>
    <s v="SE3_STO"/>
    <x v="7"/>
    <x v="210"/>
    <x v="0"/>
    <x v="15"/>
    <n v="358.37950138504198"/>
    <n v="130808.51800554"/>
    <n v="470910.664819945"/>
  </r>
  <r>
    <x v="0"/>
    <x v="0"/>
    <x v="0"/>
    <x v="9"/>
    <x v="19"/>
    <s v="SE3_STO"/>
    <x v="7"/>
    <x v="210"/>
    <x v="0"/>
    <x v="16"/>
    <n v="358.37950138504198"/>
    <n v="130808.51800554"/>
    <n v="470910.664819945"/>
  </r>
  <r>
    <x v="0"/>
    <x v="0"/>
    <x v="0"/>
    <x v="9"/>
    <x v="19"/>
    <s v="SE3_STO"/>
    <x v="7"/>
    <x v="210"/>
    <x v="0"/>
    <x v="17"/>
    <n v="358.37950138504198"/>
    <n v="130808.51800554"/>
    <n v="470910.664819945"/>
  </r>
  <r>
    <x v="0"/>
    <x v="0"/>
    <x v="0"/>
    <x v="9"/>
    <x v="19"/>
    <s v="SE3_STO"/>
    <x v="7"/>
    <x v="210"/>
    <x v="0"/>
    <x v="18"/>
    <n v="358.37950138504198"/>
    <n v="130808.51800554"/>
    <n v="470910.664819945"/>
  </r>
  <r>
    <x v="0"/>
    <x v="0"/>
    <x v="0"/>
    <x v="9"/>
    <x v="19"/>
    <s v="SE3_STO"/>
    <x v="7"/>
    <x v="210"/>
    <x v="0"/>
    <x v="19"/>
    <n v="358.37950138504198"/>
    <n v="130808.51800554"/>
    <n v="470910.664819945"/>
  </r>
  <r>
    <x v="0"/>
    <x v="0"/>
    <x v="0"/>
    <x v="9"/>
    <x v="19"/>
    <s v="SE3_STO"/>
    <x v="7"/>
    <x v="210"/>
    <x v="0"/>
    <x v="20"/>
    <n v="358.37950138504198"/>
    <n v="130808.51800554"/>
    <n v="470910.664819945"/>
  </r>
  <r>
    <x v="0"/>
    <x v="0"/>
    <x v="0"/>
    <x v="9"/>
    <x v="19"/>
    <s v="SE3_STO"/>
    <x v="7"/>
    <x v="210"/>
    <x v="0"/>
    <x v="21"/>
    <n v="358.37950138504198"/>
    <n v="130808.51800554"/>
    <n v="470910.664819945"/>
  </r>
  <r>
    <x v="0"/>
    <x v="0"/>
    <x v="0"/>
    <x v="9"/>
    <x v="19"/>
    <s v="SE3_STO"/>
    <x v="7"/>
    <x v="210"/>
    <x v="0"/>
    <x v="22"/>
    <n v="358.37950138504198"/>
    <n v="130808.51800554"/>
    <n v="470910.664819945"/>
  </r>
  <r>
    <x v="0"/>
    <x v="0"/>
    <x v="0"/>
    <x v="9"/>
    <x v="19"/>
    <s v="SE3_STO"/>
    <x v="7"/>
    <x v="210"/>
    <x v="0"/>
    <x v="23"/>
    <n v="358.37950138504198"/>
    <n v="130808.51800554"/>
    <n v="470910.664819945"/>
  </r>
  <r>
    <x v="0"/>
    <x v="0"/>
    <x v="0"/>
    <x v="9"/>
    <x v="19"/>
    <s v="SE3_STO"/>
    <x v="11"/>
    <x v="195"/>
    <x v="0"/>
    <x v="0"/>
    <n v="335.42386969827902"/>
    <n v="122429.712439872"/>
    <n v="440746.96478353802"/>
  </r>
  <r>
    <x v="0"/>
    <x v="0"/>
    <x v="0"/>
    <x v="9"/>
    <x v="19"/>
    <s v="SE3_STO"/>
    <x v="11"/>
    <x v="195"/>
    <x v="0"/>
    <x v="1"/>
    <n v="335.42386969827902"/>
    <n v="122429.712439872"/>
    <n v="440746.96478353802"/>
  </r>
  <r>
    <x v="0"/>
    <x v="0"/>
    <x v="0"/>
    <x v="9"/>
    <x v="19"/>
    <s v="SE3_STO"/>
    <x v="11"/>
    <x v="195"/>
    <x v="0"/>
    <x v="2"/>
    <n v="335.42386969827902"/>
    <n v="122429.712439872"/>
    <n v="440746.96478353802"/>
  </r>
  <r>
    <x v="0"/>
    <x v="0"/>
    <x v="0"/>
    <x v="9"/>
    <x v="19"/>
    <s v="SE3_STO"/>
    <x v="11"/>
    <x v="195"/>
    <x v="0"/>
    <x v="3"/>
    <n v="335.42386969827902"/>
    <n v="122429.712439872"/>
    <n v="440746.96478353802"/>
  </r>
  <r>
    <x v="0"/>
    <x v="0"/>
    <x v="0"/>
    <x v="9"/>
    <x v="19"/>
    <s v="SE3_STO"/>
    <x v="11"/>
    <x v="195"/>
    <x v="0"/>
    <x v="4"/>
    <n v="335.42386969827902"/>
    <n v="122429.712439872"/>
    <n v="440746.96478353802"/>
  </r>
  <r>
    <x v="0"/>
    <x v="0"/>
    <x v="0"/>
    <x v="9"/>
    <x v="19"/>
    <s v="SE3_STO"/>
    <x v="11"/>
    <x v="195"/>
    <x v="0"/>
    <x v="5"/>
    <n v="335.42386969827902"/>
    <n v="122429.712439872"/>
    <n v="440746.96478353802"/>
  </r>
  <r>
    <x v="0"/>
    <x v="0"/>
    <x v="0"/>
    <x v="9"/>
    <x v="19"/>
    <s v="SE3_STO"/>
    <x v="11"/>
    <x v="195"/>
    <x v="0"/>
    <x v="6"/>
    <n v="335.42386969827902"/>
    <n v="122429.712439872"/>
    <n v="440746.96478353802"/>
  </r>
  <r>
    <x v="0"/>
    <x v="0"/>
    <x v="0"/>
    <x v="9"/>
    <x v="19"/>
    <s v="SE3_STO"/>
    <x v="11"/>
    <x v="195"/>
    <x v="0"/>
    <x v="7"/>
    <n v="335.42386969827902"/>
    <n v="122429.712439872"/>
    <n v="440746.96478353802"/>
  </r>
  <r>
    <x v="0"/>
    <x v="0"/>
    <x v="0"/>
    <x v="9"/>
    <x v="19"/>
    <s v="SE3_STO"/>
    <x v="11"/>
    <x v="195"/>
    <x v="0"/>
    <x v="8"/>
    <n v="335.42386969827902"/>
    <n v="122429.712439872"/>
    <n v="440746.96478353802"/>
  </r>
  <r>
    <x v="0"/>
    <x v="0"/>
    <x v="0"/>
    <x v="9"/>
    <x v="19"/>
    <s v="SE3_STO"/>
    <x v="11"/>
    <x v="195"/>
    <x v="0"/>
    <x v="9"/>
    <n v="335.42386969827902"/>
    <n v="122429.712439872"/>
    <n v="440746.96478353802"/>
  </r>
  <r>
    <x v="0"/>
    <x v="0"/>
    <x v="0"/>
    <x v="9"/>
    <x v="19"/>
    <s v="SE3_STO"/>
    <x v="11"/>
    <x v="195"/>
    <x v="0"/>
    <x v="10"/>
    <n v="335.42386969827902"/>
    <n v="122429.712439872"/>
    <n v="440746.96478353802"/>
  </r>
  <r>
    <x v="0"/>
    <x v="0"/>
    <x v="0"/>
    <x v="9"/>
    <x v="19"/>
    <s v="SE3_STO"/>
    <x v="11"/>
    <x v="195"/>
    <x v="0"/>
    <x v="11"/>
    <n v="335.42386969827902"/>
    <n v="122429.712439872"/>
    <n v="440746.96478353802"/>
  </r>
  <r>
    <x v="0"/>
    <x v="0"/>
    <x v="0"/>
    <x v="9"/>
    <x v="19"/>
    <s v="SE3_STO"/>
    <x v="11"/>
    <x v="195"/>
    <x v="0"/>
    <x v="12"/>
    <n v="335.42386969827902"/>
    <n v="122429.712439872"/>
    <n v="440746.96478353802"/>
  </r>
  <r>
    <x v="0"/>
    <x v="0"/>
    <x v="0"/>
    <x v="9"/>
    <x v="19"/>
    <s v="SE3_STO"/>
    <x v="11"/>
    <x v="195"/>
    <x v="0"/>
    <x v="13"/>
    <n v="335.42386969827902"/>
    <n v="122429.712439872"/>
    <n v="440746.96478353802"/>
  </r>
  <r>
    <x v="0"/>
    <x v="0"/>
    <x v="0"/>
    <x v="9"/>
    <x v="19"/>
    <s v="SE3_STO"/>
    <x v="11"/>
    <x v="195"/>
    <x v="0"/>
    <x v="14"/>
    <n v="335.42386969827902"/>
    <n v="122429.712439872"/>
    <n v="440746.96478353802"/>
  </r>
  <r>
    <x v="0"/>
    <x v="0"/>
    <x v="0"/>
    <x v="9"/>
    <x v="19"/>
    <s v="SE3_STO"/>
    <x v="11"/>
    <x v="195"/>
    <x v="0"/>
    <x v="15"/>
    <n v="335.42386969827902"/>
    <n v="122429.712439872"/>
    <n v="440746.96478353802"/>
  </r>
  <r>
    <x v="0"/>
    <x v="0"/>
    <x v="0"/>
    <x v="9"/>
    <x v="19"/>
    <s v="SE3_STO"/>
    <x v="11"/>
    <x v="195"/>
    <x v="0"/>
    <x v="16"/>
    <n v="335.42386969827902"/>
    <n v="122429.712439872"/>
    <n v="440746.96478353802"/>
  </r>
  <r>
    <x v="0"/>
    <x v="0"/>
    <x v="0"/>
    <x v="9"/>
    <x v="19"/>
    <s v="SE3_STO"/>
    <x v="11"/>
    <x v="195"/>
    <x v="0"/>
    <x v="17"/>
    <n v="335.42386969827902"/>
    <n v="122429.712439872"/>
    <n v="440746.96478353802"/>
  </r>
  <r>
    <x v="0"/>
    <x v="0"/>
    <x v="0"/>
    <x v="9"/>
    <x v="19"/>
    <s v="SE3_STO"/>
    <x v="11"/>
    <x v="195"/>
    <x v="0"/>
    <x v="18"/>
    <n v="335.42386969827902"/>
    <n v="122429.712439872"/>
    <n v="440746.96478353802"/>
  </r>
  <r>
    <x v="0"/>
    <x v="0"/>
    <x v="0"/>
    <x v="9"/>
    <x v="19"/>
    <s v="SE3_STO"/>
    <x v="11"/>
    <x v="195"/>
    <x v="0"/>
    <x v="19"/>
    <n v="335.42386969827902"/>
    <n v="122429.712439872"/>
    <n v="440746.96478353802"/>
  </r>
  <r>
    <x v="0"/>
    <x v="0"/>
    <x v="0"/>
    <x v="9"/>
    <x v="19"/>
    <s v="SE3_STO"/>
    <x v="11"/>
    <x v="195"/>
    <x v="0"/>
    <x v="20"/>
    <n v="335.42386969827902"/>
    <n v="122429.712439872"/>
    <n v="440746.96478353802"/>
  </r>
  <r>
    <x v="0"/>
    <x v="0"/>
    <x v="0"/>
    <x v="9"/>
    <x v="19"/>
    <s v="SE3_STO"/>
    <x v="11"/>
    <x v="195"/>
    <x v="0"/>
    <x v="21"/>
    <n v="335.42386969827902"/>
    <n v="122429.712439872"/>
    <n v="440746.96478353802"/>
  </r>
  <r>
    <x v="0"/>
    <x v="0"/>
    <x v="0"/>
    <x v="9"/>
    <x v="19"/>
    <s v="SE3_STO"/>
    <x v="11"/>
    <x v="195"/>
    <x v="0"/>
    <x v="22"/>
    <n v="335.42386969827902"/>
    <n v="122429.712439872"/>
    <n v="440746.96478353802"/>
  </r>
  <r>
    <x v="0"/>
    <x v="0"/>
    <x v="0"/>
    <x v="9"/>
    <x v="19"/>
    <s v="SE3_STO"/>
    <x v="11"/>
    <x v="195"/>
    <x v="0"/>
    <x v="23"/>
    <n v="335.42386969827902"/>
    <n v="122429.712439872"/>
    <n v="440746.96478353802"/>
  </r>
  <r>
    <x v="0"/>
    <x v="0"/>
    <x v="0"/>
    <x v="9"/>
    <x v="19"/>
    <s v="SE3_STO"/>
    <x v="11"/>
    <x v="211"/>
    <x v="0"/>
    <x v="0"/>
    <n v="184.97261787542399"/>
    <n v="67515.005524529697"/>
    <n v="243054.019888307"/>
  </r>
  <r>
    <x v="0"/>
    <x v="0"/>
    <x v="0"/>
    <x v="9"/>
    <x v="19"/>
    <s v="SE3_STO"/>
    <x v="11"/>
    <x v="211"/>
    <x v="0"/>
    <x v="1"/>
    <n v="184.97261787542399"/>
    <n v="67515.005524529697"/>
    <n v="243054.019888307"/>
  </r>
  <r>
    <x v="0"/>
    <x v="0"/>
    <x v="0"/>
    <x v="9"/>
    <x v="19"/>
    <s v="SE3_STO"/>
    <x v="11"/>
    <x v="211"/>
    <x v="0"/>
    <x v="2"/>
    <n v="184.97261787542399"/>
    <n v="67515.005524529697"/>
    <n v="243054.019888307"/>
  </r>
  <r>
    <x v="0"/>
    <x v="0"/>
    <x v="0"/>
    <x v="9"/>
    <x v="19"/>
    <s v="SE3_STO"/>
    <x v="11"/>
    <x v="211"/>
    <x v="0"/>
    <x v="3"/>
    <n v="184.97261787542399"/>
    <n v="67515.005524529697"/>
    <n v="243054.019888307"/>
  </r>
  <r>
    <x v="0"/>
    <x v="0"/>
    <x v="0"/>
    <x v="9"/>
    <x v="19"/>
    <s v="SE3_STO"/>
    <x v="11"/>
    <x v="211"/>
    <x v="0"/>
    <x v="4"/>
    <n v="184.97261787542399"/>
    <n v="67515.005524529697"/>
    <n v="243054.019888307"/>
  </r>
  <r>
    <x v="0"/>
    <x v="0"/>
    <x v="0"/>
    <x v="9"/>
    <x v="19"/>
    <s v="SE3_STO"/>
    <x v="11"/>
    <x v="211"/>
    <x v="0"/>
    <x v="5"/>
    <n v="184.97261787542399"/>
    <n v="67515.005524529697"/>
    <n v="243054.019888307"/>
  </r>
  <r>
    <x v="0"/>
    <x v="0"/>
    <x v="0"/>
    <x v="9"/>
    <x v="19"/>
    <s v="SE3_STO"/>
    <x v="11"/>
    <x v="211"/>
    <x v="0"/>
    <x v="6"/>
    <n v="184.97261787542399"/>
    <n v="67515.005524529697"/>
    <n v="243054.019888307"/>
  </r>
  <r>
    <x v="0"/>
    <x v="0"/>
    <x v="0"/>
    <x v="9"/>
    <x v="19"/>
    <s v="SE3_STO"/>
    <x v="11"/>
    <x v="211"/>
    <x v="0"/>
    <x v="7"/>
    <n v="184.97261787542399"/>
    <n v="67515.005524529697"/>
    <n v="243054.019888307"/>
  </r>
  <r>
    <x v="0"/>
    <x v="0"/>
    <x v="0"/>
    <x v="9"/>
    <x v="19"/>
    <s v="SE3_STO"/>
    <x v="11"/>
    <x v="211"/>
    <x v="0"/>
    <x v="8"/>
    <n v="184.97261787542399"/>
    <n v="67515.005524529697"/>
    <n v="243054.019888307"/>
  </r>
  <r>
    <x v="0"/>
    <x v="0"/>
    <x v="0"/>
    <x v="9"/>
    <x v="19"/>
    <s v="SE3_STO"/>
    <x v="11"/>
    <x v="211"/>
    <x v="0"/>
    <x v="9"/>
    <n v="184.97261787542399"/>
    <n v="67515.005524529697"/>
    <n v="243054.019888307"/>
  </r>
  <r>
    <x v="0"/>
    <x v="0"/>
    <x v="0"/>
    <x v="9"/>
    <x v="19"/>
    <s v="SE3_STO"/>
    <x v="11"/>
    <x v="211"/>
    <x v="0"/>
    <x v="10"/>
    <n v="184.97261787542399"/>
    <n v="67515.005524529697"/>
    <n v="243054.019888307"/>
  </r>
  <r>
    <x v="0"/>
    <x v="0"/>
    <x v="0"/>
    <x v="9"/>
    <x v="19"/>
    <s v="SE3_STO"/>
    <x v="11"/>
    <x v="211"/>
    <x v="0"/>
    <x v="11"/>
    <n v="184.97261787542399"/>
    <n v="67515.005524529697"/>
    <n v="243054.019888307"/>
  </r>
  <r>
    <x v="0"/>
    <x v="0"/>
    <x v="0"/>
    <x v="9"/>
    <x v="19"/>
    <s v="SE3_STO"/>
    <x v="11"/>
    <x v="211"/>
    <x v="0"/>
    <x v="12"/>
    <n v="184.97261787542399"/>
    <n v="67515.005524529697"/>
    <n v="243054.019888307"/>
  </r>
  <r>
    <x v="0"/>
    <x v="0"/>
    <x v="0"/>
    <x v="9"/>
    <x v="19"/>
    <s v="SE3_STO"/>
    <x v="11"/>
    <x v="211"/>
    <x v="0"/>
    <x v="13"/>
    <n v="184.97261787542399"/>
    <n v="67515.005524529697"/>
    <n v="243054.019888307"/>
  </r>
  <r>
    <x v="0"/>
    <x v="0"/>
    <x v="0"/>
    <x v="9"/>
    <x v="19"/>
    <s v="SE3_STO"/>
    <x v="11"/>
    <x v="211"/>
    <x v="0"/>
    <x v="14"/>
    <n v="184.97261787542399"/>
    <n v="67515.005524529697"/>
    <n v="243054.019888307"/>
  </r>
  <r>
    <x v="0"/>
    <x v="0"/>
    <x v="0"/>
    <x v="9"/>
    <x v="19"/>
    <s v="SE3_STO"/>
    <x v="11"/>
    <x v="211"/>
    <x v="0"/>
    <x v="15"/>
    <n v="184.97261787542399"/>
    <n v="67515.005524529697"/>
    <n v="243054.019888307"/>
  </r>
  <r>
    <x v="0"/>
    <x v="0"/>
    <x v="0"/>
    <x v="9"/>
    <x v="19"/>
    <s v="SE3_STO"/>
    <x v="11"/>
    <x v="211"/>
    <x v="0"/>
    <x v="16"/>
    <n v="184.97261787542399"/>
    <n v="67515.005524529697"/>
    <n v="243054.019888307"/>
  </r>
  <r>
    <x v="0"/>
    <x v="0"/>
    <x v="0"/>
    <x v="9"/>
    <x v="19"/>
    <s v="SE3_STO"/>
    <x v="11"/>
    <x v="211"/>
    <x v="0"/>
    <x v="17"/>
    <n v="184.97261787542399"/>
    <n v="67515.005524529697"/>
    <n v="243054.019888307"/>
  </r>
  <r>
    <x v="0"/>
    <x v="0"/>
    <x v="0"/>
    <x v="9"/>
    <x v="19"/>
    <s v="SE3_STO"/>
    <x v="11"/>
    <x v="211"/>
    <x v="0"/>
    <x v="18"/>
    <n v="184.97261787542399"/>
    <n v="67515.005524529697"/>
    <n v="243054.019888307"/>
  </r>
  <r>
    <x v="0"/>
    <x v="0"/>
    <x v="0"/>
    <x v="9"/>
    <x v="19"/>
    <s v="SE3_STO"/>
    <x v="11"/>
    <x v="211"/>
    <x v="0"/>
    <x v="19"/>
    <n v="184.97261787542399"/>
    <n v="67515.005524529697"/>
    <n v="243054.019888307"/>
  </r>
  <r>
    <x v="0"/>
    <x v="0"/>
    <x v="0"/>
    <x v="9"/>
    <x v="19"/>
    <s v="SE3_STO"/>
    <x v="11"/>
    <x v="211"/>
    <x v="0"/>
    <x v="20"/>
    <n v="184.97261787542399"/>
    <n v="67515.005524529697"/>
    <n v="243054.019888307"/>
  </r>
  <r>
    <x v="0"/>
    <x v="0"/>
    <x v="0"/>
    <x v="9"/>
    <x v="19"/>
    <s v="SE3_STO"/>
    <x v="11"/>
    <x v="211"/>
    <x v="0"/>
    <x v="21"/>
    <n v="184.97261787542399"/>
    <n v="67515.005524529697"/>
    <n v="243054.019888307"/>
  </r>
  <r>
    <x v="0"/>
    <x v="0"/>
    <x v="0"/>
    <x v="9"/>
    <x v="19"/>
    <s v="SE3_STO"/>
    <x v="11"/>
    <x v="211"/>
    <x v="0"/>
    <x v="22"/>
    <n v="184.97261787542399"/>
    <n v="67515.005524529697"/>
    <n v="243054.019888307"/>
  </r>
  <r>
    <x v="0"/>
    <x v="0"/>
    <x v="0"/>
    <x v="9"/>
    <x v="19"/>
    <s v="SE3_STO"/>
    <x v="11"/>
    <x v="211"/>
    <x v="0"/>
    <x v="23"/>
    <n v="184.97261787542399"/>
    <n v="67515.005524529697"/>
    <n v="243054.019888307"/>
  </r>
  <r>
    <x v="0"/>
    <x v="0"/>
    <x v="0"/>
    <x v="9"/>
    <x v="20"/>
    <s v="SE4A"/>
    <x v="9"/>
    <x v="128"/>
    <x v="0"/>
    <x v="0"/>
    <n v="15.287300663378099"/>
    <n v="5579.8647421330097"/>
    <n v="20087.513071678801"/>
  </r>
  <r>
    <x v="0"/>
    <x v="0"/>
    <x v="0"/>
    <x v="9"/>
    <x v="20"/>
    <s v="SE4A"/>
    <x v="9"/>
    <x v="128"/>
    <x v="0"/>
    <x v="1"/>
    <n v="15.287300663378099"/>
    <n v="5579.8647421330097"/>
    <n v="20087.513071678801"/>
  </r>
  <r>
    <x v="0"/>
    <x v="0"/>
    <x v="0"/>
    <x v="9"/>
    <x v="20"/>
    <s v="SE4A"/>
    <x v="9"/>
    <x v="128"/>
    <x v="0"/>
    <x v="2"/>
    <n v="15.287300663378099"/>
    <n v="5579.8647421330097"/>
    <n v="20087.513071678801"/>
  </r>
  <r>
    <x v="0"/>
    <x v="0"/>
    <x v="0"/>
    <x v="9"/>
    <x v="20"/>
    <s v="SE4A"/>
    <x v="9"/>
    <x v="128"/>
    <x v="0"/>
    <x v="3"/>
    <n v="15.287300663378099"/>
    <n v="5579.8647421330097"/>
    <n v="20087.513071678801"/>
  </r>
  <r>
    <x v="0"/>
    <x v="0"/>
    <x v="0"/>
    <x v="9"/>
    <x v="20"/>
    <s v="SE4A"/>
    <x v="9"/>
    <x v="128"/>
    <x v="0"/>
    <x v="4"/>
    <n v="15.287300663378099"/>
    <n v="5579.8647421330097"/>
    <n v="20087.513071678801"/>
  </r>
  <r>
    <x v="0"/>
    <x v="0"/>
    <x v="0"/>
    <x v="9"/>
    <x v="20"/>
    <s v="SE4A"/>
    <x v="9"/>
    <x v="128"/>
    <x v="0"/>
    <x v="5"/>
    <n v="15.287300663378099"/>
    <n v="5579.8647421330097"/>
    <n v="20087.513071678801"/>
  </r>
  <r>
    <x v="0"/>
    <x v="0"/>
    <x v="0"/>
    <x v="9"/>
    <x v="20"/>
    <s v="SE4A"/>
    <x v="9"/>
    <x v="128"/>
    <x v="0"/>
    <x v="6"/>
    <n v="15.287300663378099"/>
    <n v="5579.8647421330097"/>
    <n v="20087.513071678801"/>
  </r>
  <r>
    <x v="0"/>
    <x v="0"/>
    <x v="0"/>
    <x v="9"/>
    <x v="20"/>
    <s v="SE4A"/>
    <x v="9"/>
    <x v="128"/>
    <x v="0"/>
    <x v="7"/>
    <n v="15.287300663378099"/>
    <n v="5579.8647421330097"/>
    <n v="20087.513071678801"/>
  </r>
  <r>
    <x v="0"/>
    <x v="0"/>
    <x v="0"/>
    <x v="9"/>
    <x v="20"/>
    <s v="SE4A"/>
    <x v="9"/>
    <x v="128"/>
    <x v="0"/>
    <x v="8"/>
    <n v="15.287300663378099"/>
    <n v="5579.8647421330097"/>
    <n v="20087.513071678801"/>
  </r>
  <r>
    <x v="0"/>
    <x v="0"/>
    <x v="0"/>
    <x v="9"/>
    <x v="20"/>
    <s v="SE4A"/>
    <x v="9"/>
    <x v="128"/>
    <x v="0"/>
    <x v="9"/>
    <n v="15.287300663378099"/>
    <n v="5579.8647421330097"/>
    <n v="20087.513071678801"/>
  </r>
  <r>
    <x v="0"/>
    <x v="0"/>
    <x v="0"/>
    <x v="9"/>
    <x v="20"/>
    <s v="SE4A"/>
    <x v="9"/>
    <x v="128"/>
    <x v="0"/>
    <x v="10"/>
    <n v="15.287300663378099"/>
    <n v="5579.8647421330097"/>
    <n v="20087.513071678801"/>
  </r>
  <r>
    <x v="0"/>
    <x v="0"/>
    <x v="0"/>
    <x v="9"/>
    <x v="20"/>
    <s v="SE4A"/>
    <x v="9"/>
    <x v="128"/>
    <x v="0"/>
    <x v="11"/>
    <n v="15.287300663378099"/>
    <n v="5579.8647421330097"/>
    <n v="20087.513071678801"/>
  </r>
  <r>
    <x v="0"/>
    <x v="0"/>
    <x v="0"/>
    <x v="9"/>
    <x v="20"/>
    <s v="SE4A"/>
    <x v="9"/>
    <x v="128"/>
    <x v="0"/>
    <x v="12"/>
    <n v="15.287300663378099"/>
    <n v="5579.8647421330097"/>
    <n v="20087.513071678801"/>
  </r>
  <r>
    <x v="0"/>
    <x v="0"/>
    <x v="0"/>
    <x v="9"/>
    <x v="20"/>
    <s v="SE4A"/>
    <x v="9"/>
    <x v="128"/>
    <x v="0"/>
    <x v="13"/>
    <n v="15.287300663378099"/>
    <n v="5579.8647421330097"/>
    <n v="20087.513071678801"/>
  </r>
  <r>
    <x v="0"/>
    <x v="0"/>
    <x v="0"/>
    <x v="9"/>
    <x v="20"/>
    <s v="SE4A"/>
    <x v="9"/>
    <x v="128"/>
    <x v="0"/>
    <x v="14"/>
    <n v="15.287300663378099"/>
    <n v="5579.8647421330097"/>
    <n v="20087.513071678801"/>
  </r>
  <r>
    <x v="0"/>
    <x v="0"/>
    <x v="0"/>
    <x v="9"/>
    <x v="20"/>
    <s v="SE4A"/>
    <x v="9"/>
    <x v="128"/>
    <x v="0"/>
    <x v="15"/>
    <n v="15.287300663378099"/>
    <n v="5579.8647421330097"/>
    <n v="20087.513071678801"/>
  </r>
  <r>
    <x v="0"/>
    <x v="0"/>
    <x v="0"/>
    <x v="9"/>
    <x v="20"/>
    <s v="SE4A"/>
    <x v="9"/>
    <x v="128"/>
    <x v="0"/>
    <x v="16"/>
    <n v="15.287300663378099"/>
    <n v="5579.8647421330097"/>
    <n v="20087.513071678801"/>
  </r>
  <r>
    <x v="0"/>
    <x v="0"/>
    <x v="0"/>
    <x v="9"/>
    <x v="20"/>
    <s v="SE4A"/>
    <x v="9"/>
    <x v="128"/>
    <x v="0"/>
    <x v="17"/>
    <n v="15.287300663378099"/>
    <n v="5579.8647421330097"/>
    <n v="20087.513071678801"/>
  </r>
  <r>
    <x v="0"/>
    <x v="0"/>
    <x v="0"/>
    <x v="9"/>
    <x v="20"/>
    <s v="SE4A"/>
    <x v="9"/>
    <x v="128"/>
    <x v="0"/>
    <x v="18"/>
    <n v="15.287300663378099"/>
    <n v="5579.8647421330097"/>
    <n v="20087.513071678801"/>
  </r>
  <r>
    <x v="0"/>
    <x v="0"/>
    <x v="0"/>
    <x v="9"/>
    <x v="20"/>
    <s v="SE4A"/>
    <x v="9"/>
    <x v="128"/>
    <x v="0"/>
    <x v="19"/>
    <n v="15.287300663378099"/>
    <n v="5579.8647421330097"/>
    <n v="20087.513071678801"/>
  </r>
  <r>
    <x v="0"/>
    <x v="0"/>
    <x v="0"/>
    <x v="9"/>
    <x v="20"/>
    <s v="SE4A"/>
    <x v="9"/>
    <x v="128"/>
    <x v="0"/>
    <x v="20"/>
    <n v="15.287300663378099"/>
    <n v="5579.8647421330097"/>
    <n v="20087.513071678801"/>
  </r>
  <r>
    <x v="0"/>
    <x v="0"/>
    <x v="0"/>
    <x v="9"/>
    <x v="20"/>
    <s v="SE4A"/>
    <x v="9"/>
    <x v="128"/>
    <x v="0"/>
    <x v="21"/>
    <n v="15.287300663378099"/>
    <n v="5579.8647421330097"/>
    <n v="20087.513071678801"/>
  </r>
  <r>
    <x v="0"/>
    <x v="0"/>
    <x v="0"/>
    <x v="9"/>
    <x v="20"/>
    <s v="SE4A"/>
    <x v="9"/>
    <x v="128"/>
    <x v="0"/>
    <x v="22"/>
    <n v="15.287300663378099"/>
    <n v="5579.8647421330097"/>
    <n v="20087.513071678801"/>
  </r>
  <r>
    <x v="0"/>
    <x v="0"/>
    <x v="0"/>
    <x v="9"/>
    <x v="20"/>
    <s v="SE4A"/>
    <x v="9"/>
    <x v="128"/>
    <x v="0"/>
    <x v="23"/>
    <n v="15.287300663378099"/>
    <n v="5579.8647421330097"/>
    <n v="20087.513071678801"/>
  </r>
  <r>
    <x v="0"/>
    <x v="0"/>
    <x v="0"/>
    <x v="9"/>
    <x v="20"/>
    <s v="SE4A"/>
    <x v="9"/>
    <x v="129"/>
    <x v="0"/>
    <x v="0"/>
    <n v="15.287300663378099"/>
    <n v="5579.8647421330097"/>
    <n v="20087.513071678801"/>
  </r>
  <r>
    <x v="0"/>
    <x v="0"/>
    <x v="0"/>
    <x v="9"/>
    <x v="20"/>
    <s v="SE4A"/>
    <x v="9"/>
    <x v="129"/>
    <x v="0"/>
    <x v="1"/>
    <n v="15.287300663378099"/>
    <n v="5579.8647421330097"/>
    <n v="20087.513071678801"/>
  </r>
  <r>
    <x v="0"/>
    <x v="0"/>
    <x v="0"/>
    <x v="9"/>
    <x v="20"/>
    <s v="SE4A"/>
    <x v="9"/>
    <x v="129"/>
    <x v="0"/>
    <x v="2"/>
    <n v="15.287300663378099"/>
    <n v="5579.8647421330097"/>
    <n v="20087.513071678801"/>
  </r>
  <r>
    <x v="0"/>
    <x v="0"/>
    <x v="0"/>
    <x v="9"/>
    <x v="20"/>
    <s v="SE4A"/>
    <x v="9"/>
    <x v="129"/>
    <x v="0"/>
    <x v="3"/>
    <n v="15.287300663378099"/>
    <n v="5579.8647421330097"/>
    <n v="20087.513071678801"/>
  </r>
  <r>
    <x v="0"/>
    <x v="0"/>
    <x v="0"/>
    <x v="9"/>
    <x v="20"/>
    <s v="SE4A"/>
    <x v="9"/>
    <x v="129"/>
    <x v="0"/>
    <x v="4"/>
    <n v="15.287300663378099"/>
    <n v="5579.8647421330097"/>
    <n v="20087.513071678801"/>
  </r>
  <r>
    <x v="0"/>
    <x v="0"/>
    <x v="0"/>
    <x v="9"/>
    <x v="20"/>
    <s v="SE4A"/>
    <x v="9"/>
    <x v="129"/>
    <x v="0"/>
    <x v="5"/>
    <n v="15.287300663378099"/>
    <n v="5579.8647421330097"/>
    <n v="20087.513071678801"/>
  </r>
  <r>
    <x v="0"/>
    <x v="0"/>
    <x v="0"/>
    <x v="9"/>
    <x v="20"/>
    <s v="SE4A"/>
    <x v="9"/>
    <x v="129"/>
    <x v="0"/>
    <x v="6"/>
    <n v="15.287300663378099"/>
    <n v="5579.8647421330097"/>
    <n v="20087.513071678801"/>
  </r>
  <r>
    <x v="0"/>
    <x v="0"/>
    <x v="0"/>
    <x v="9"/>
    <x v="20"/>
    <s v="SE4A"/>
    <x v="9"/>
    <x v="129"/>
    <x v="0"/>
    <x v="7"/>
    <n v="15.287300663378099"/>
    <n v="5579.8647421330097"/>
    <n v="20087.513071678801"/>
  </r>
  <r>
    <x v="0"/>
    <x v="0"/>
    <x v="0"/>
    <x v="9"/>
    <x v="20"/>
    <s v="SE4A"/>
    <x v="9"/>
    <x v="129"/>
    <x v="0"/>
    <x v="8"/>
    <n v="15.287300663378099"/>
    <n v="5579.8647421330097"/>
    <n v="20087.513071678801"/>
  </r>
  <r>
    <x v="0"/>
    <x v="0"/>
    <x v="0"/>
    <x v="9"/>
    <x v="20"/>
    <s v="SE4A"/>
    <x v="9"/>
    <x v="129"/>
    <x v="0"/>
    <x v="9"/>
    <n v="15.287300663378099"/>
    <n v="5579.8647421330097"/>
    <n v="20087.513071678801"/>
  </r>
  <r>
    <x v="0"/>
    <x v="0"/>
    <x v="0"/>
    <x v="9"/>
    <x v="20"/>
    <s v="SE4A"/>
    <x v="9"/>
    <x v="129"/>
    <x v="0"/>
    <x v="10"/>
    <n v="15.287300663378099"/>
    <n v="5579.8647421330097"/>
    <n v="20087.513071678801"/>
  </r>
  <r>
    <x v="0"/>
    <x v="0"/>
    <x v="0"/>
    <x v="9"/>
    <x v="20"/>
    <s v="SE4A"/>
    <x v="9"/>
    <x v="129"/>
    <x v="0"/>
    <x v="11"/>
    <n v="15.287300663378099"/>
    <n v="5579.8647421330097"/>
    <n v="20087.513071678801"/>
  </r>
  <r>
    <x v="0"/>
    <x v="0"/>
    <x v="0"/>
    <x v="9"/>
    <x v="20"/>
    <s v="SE4A"/>
    <x v="9"/>
    <x v="129"/>
    <x v="0"/>
    <x v="12"/>
    <n v="15.287300663378099"/>
    <n v="5579.8647421330097"/>
    <n v="20087.513071678801"/>
  </r>
  <r>
    <x v="0"/>
    <x v="0"/>
    <x v="0"/>
    <x v="9"/>
    <x v="20"/>
    <s v="SE4A"/>
    <x v="9"/>
    <x v="129"/>
    <x v="0"/>
    <x v="13"/>
    <n v="15.287300663378099"/>
    <n v="5579.8647421330097"/>
    <n v="20087.513071678801"/>
  </r>
  <r>
    <x v="0"/>
    <x v="0"/>
    <x v="0"/>
    <x v="9"/>
    <x v="20"/>
    <s v="SE4A"/>
    <x v="9"/>
    <x v="129"/>
    <x v="0"/>
    <x v="14"/>
    <n v="15.287300663378099"/>
    <n v="5579.8647421330097"/>
    <n v="20087.513071678801"/>
  </r>
  <r>
    <x v="0"/>
    <x v="0"/>
    <x v="0"/>
    <x v="9"/>
    <x v="20"/>
    <s v="SE4A"/>
    <x v="9"/>
    <x v="129"/>
    <x v="0"/>
    <x v="15"/>
    <n v="15.287300663378099"/>
    <n v="5579.8647421330097"/>
    <n v="20087.513071678801"/>
  </r>
  <r>
    <x v="0"/>
    <x v="0"/>
    <x v="0"/>
    <x v="9"/>
    <x v="20"/>
    <s v="SE4A"/>
    <x v="9"/>
    <x v="129"/>
    <x v="0"/>
    <x v="16"/>
    <n v="15.287300663378099"/>
    <n v="5579.8647421330097"/>
    <n v="20087.513071678801"/>
  </r>
  <r>
    <x v="0"/>
    <x v="0"/>
    <x v="0"/>
    <x v="9"/>
    <x v="20"/>
    <s v="SE4A"/>
    <x v="9"/>
    <x v="129"/>
    <x v="0"/>
    <x v="17"/>
    <n v="15.287300663378099"/>
    <n v="5579.8647421330097"/>
    <n v="20087.513071678801"/>
  </r>
  <r>
    <x v="0"/>
    <x v="0"/>
    <x v="0"/>
    <x v="9"/>
    <x v="20"/>
    <s v="SE4A"/>
    <x v="9"/>
    <x v="129"/>
    <x v="0"/>
    <x v="18"/>
    <n v="15.287300663378099"/>
    <n v="5579.8647421330097"/>
    <n v="20087.513071678801"/>
  </r>
  <r>
    <x v="0"/>
    <x v="0"/>
    <x v="0"/>
    <x v="9"/>
    <x v="20"/>
    <s v="SE4A"/>
    <x v="9"/>
    <x v="129"/>
    <x v="0"/>
    <x v="19"/>
    <n v="15.287300663378099"/>
    <n v="5579.8647421330097"/>
    <n v="20087.513071678801"/>
  </r>
  <r>
    <x v="0"/>
    <x v="0"/>
    <x v="0"/>
    <x v="9"/>
    <x v="20"/>
    <s v="SE4A"/>
    <x v="9"/>
    <x v="129"/>
    <x v="0"/>
    <x v="20"/>
    <n v="15.287300663378099"/>
    <n v="5579.8647421330097"/>
    <n v="20087.513071678801"/>
  </r>
  <r>
    <x v="0"/>
    <x v="0"/>
    <x v="0"/>
    <x v="9"/>
    <x v="20"/>
    <s v="SE4A"/>
    <x v="9"/>
    <x v="129"/>
    <x v="0"/>
    <x v="21"/>
    <n v="15.287300663378099"/>
    <n v="5579.8647421330097"/>
    <n v="20087.513071678801"/>
  </r>
  <r>
    <x v="0"/>
    <x v="0"/>
    <x v="0"/>
    <x v="9"/>
    <x v="20"/>
    <s v="SE4A"/>
    <x v="9"/>
    <x v="129"/>
    <x v="0"/>
    <x v="22"/>
    <n v="15.287300663378099"/>
    <n v="5579.8647421330097"/>
    <n v="20087.513071678801"/>
  </r>
  <r>
    <x v="0"/>
    <x v="0"/>
    <x v="0"/>
    <x v="9"/>
    <x v="20"/>
    <s v="SE4A"/>
    <x v="9"/>
    <x v="130"/>
    <x v="0"/>
    <x v="0"/>
    <n v="15.287300663378099"/>
    <n v="5579.8647421330097"/>
    <n v="20087.513071678801"/>
  </r>
  <r>
    <x v="0"/>
    <x v="0"/>
    <x v="0"/>
    <x v="9"/>
    <x v="20"/>
    <s v="SE4A"/>
    <x v="9"/>
    <x v="130"/>
    <x v="0"/>
    <x v="1"/>
    <n v="15.287300663378099"/>
    <n v="5579.8647421330097"/>
    <n v="20087.513071678801"/>
  </r>
  <r>
    <x v="0"/>
    <x v="0"/>
    <x v="0"/>
    <x v="9"/>
    <x v="20"/>
    <s v="SE4A"/>
    <x v="9"/>
    <x v="130"/>
    <x v="0"/>
    <x v="2"/>
    <n v="15.287300663378099"/>
    <n v="5579.8647421330097"/>
    <n v="20087.513071678801"/>
  </r>
  <r>
    <x v="0"/>
    <x v="0"/>
    <x v="0"/>
    <x v="9"/>
    <x v="20"/>
    <s v="SE4A"/>
    <x v="9"/>
    <x v="130"/>
    <x v="0"/>
    <x v="3"/>
    <n v="15.287300663378099"/>
    <n v="5579.8647421330097"/>
    <n v="20087.513071678801"/>
  </r>
  <r>
    <x v="0"/>
    <x v="0"/>
    <x v="0"/>
    <x v="9"/>
    <x v="20"/>
    <s v="SE4A"/>
    <x v="9"/>
    <x v="130"/>
    <x v="0"/>
    <x v="4"/>
    <n v="15.287300663378099"/>
    <n v="5579.8647421330097"/>
    <n v="20087.513071678801"/>
  </r>
  <r>
    <x v="0"/>
    <x v="0"/>
    <x v="0"/>
    <x v="9"/>
    <x v="20"/>
    <s v="SE4A"/>
    <x v="9"/>
    <x v="130"/>
    <x v="0"/>
    <x v="5"/>
    <n v="15.287300663378099"/>
    <n v="5579.8647421330097"/>
    <n v="20087.513071678801"/>
  </r>
  <r>
    <x v="0"/>
    <x v="0"/>
    <x v="0"/>
    <x v="9"/>
    <x v="20"/>
    <s v="SE4A"/>
    <x v="9"/>
    <x v="130"/>
    <x v="0"/>
    <x v="6"/>
    <n v="15.287300663378099"/>
    <n v="5579.8647421330097"/>
    <n v="20087.513071678801"/>
  </r>
  <r>
    <x v="0"/>
    <x v="0"/>
    <x v="0"/>
    <x v="9"/>
    <x v="20"/>
    <s v="SE4A"/>
    <x v="9"/>
    <x v="130"/>
    <x v="0"/>
    <x v="7"/>
    <n v="15.287300663378099"/>
    <n v="5579.8647421330097"/>
    <n v="20087.513071678801"/>
  </r>
  <r>
    <x v="0"/>
    <x v="0"/>
    <x v="0"/>
    <x v="9"/>
    <x v="20"/>
    <s v="SE4A"/>
    <x v="9"/>
    <x v="130"/>
    <x v="0"/>
    <x v="8"/>
    <n v="15.287300663378099"/>
    <n v="5579.8647421330097"/>
    <n v="20087.513071678801"/>
  </r>
  <r>
    <x v="0"/>
    <x v="0"/>
    <x v="0"/>
    <x v="9"/>
    <x v="20"/>
    <s v="SE4A"/>
    <x v="9"/>
    <x v="130"/>
    <x v="0"/>
    <x v="9"/>
    <n v="15.287300663378099"/>
    <n v="5579.8647421330097"/>
    <n v="20087.513071678801"/>
  </r>
  <r>
    <x v="0"/>
    <x v="0"/>
    <x v="0"/>
    <x v="9"/>
    <x v="20"/>
    <s v="SE4A"/>
    <x v="9"/>
    <x v="130"/>
    <x v="0"/>
    <x v="10"/>
    <n v="15.287300663378099"/>
    <n v="5579.8647421330097"/>
    <n v="20087.513071678801"/>
  </r>
  <r>
    <x v="0"/>
    <x v="0"/>
    <x v="0"/>
    <x v="9"/>
    <x v="20"/>
    <s v="SE4A"/>
    <x v="9"/>
    <x v="130"/>
    <x v="0"/>
    <x v="11"/>
    <n v="15.287300663378099"/>
    <n v="5579.8647421330097"/>
    <n v="20087.513071678801"/>
  </r>
  <r>
    <x v="0"/>
    <x v="0"/>
    <x v="0"/>
    <x v="9"/>
    <x v="20"/>
    <s v="SE4A"/>
    <x v="9"/>
    <x v="130"/>
    <x v="0"/>
    <x v="12"/>
    <n v="15.287300663378099"/>
    <n v="5579.8647421330097"/>
    <n v="20087.513071678801"/>
  </r>
  <r>
    <x v="0"/>
    <x v="0"/>
    <x v="0"/>
    <x v="9"/>
    <x v="20"/>
    <s v="SE4A"/>
    <x v="9"/>
    <x v="130"/>
    <x v="0"/>
    <x v="13"/>
    <n v="15.287300663378099"/>
    <n v="5579.8647421330097"/>
    <n v="20087.513071678801"/>
  </r>
  <r>
    <x v="0"/>
    <x v="0"/>
    <x v="0"/>
    <x v="9"/>
    <x v="20"/>
    <s v="SE4A"/>
    <x v="9"/>
    <x v="130"/>
    <x v="0"/>
    <x v="14"/>
    <n v="15.287300663378099"/>
    <n v="5579.8647421330097"/>
    <n v="20087.513071678801"/>
  </r>
  <r>
    <x v="0"/>
    <x v="0"/>
    <x v="0"/>
    <x v="9"/>
    <x v="20"/>
    <s v="SE4A"/>
    <x v="9"/>
    <x v="130"/>
    <x v="0"/>
    <x v="15"/>
    <n v="15.287300663378099"/>
    <n v="5579.8647421330097"/>
    <n v="20087.513071678801"/>
  </r>
  <r>
    <x v="0"/>
    <x v="0"/>
    <x v="0"/>
    <x v="9"/>
    <x v="20"/>
    <s v="SE4A"/>
    <x v="9"/>
    <x v="130"/>
    <x v="0"/>
    <x v="16"/>
    <n v="15.287300663378099"/>
    <n v="5579.8647421330097"/>
    <n v="20087.513071678801"/>
  </r>
  <r>
    <x v="0"/>
    <x v="0"/>
    <x v="0"/>
    <x v="9"/>
    <x v="20"/>
    <s v="SE4A"/>
    <x v="9"/>
    <x v="130"/>
    <x v="0"/>
    <x v="17"/>
    <n v="15.287300663378099"/>
    <n v="5579.8647421330097"/>
    <n v="20087.513071678801"/>
  </r>
  <r>
    <x v="0"/>
    <x v="0"/>
    <x v="0"/>
    <x v="9"/>
    <x v="20"/>
    <s v="SE4A"/>
    <x v="9"/>
    <x v="130"/>
    <x v="0"/>
    <x v="18"/>
    <n v="15.287300663378099"/>
    <n v="5579.8647421330097"/>
    <n v="20087.513071678801"/>
  </r>
  <r>
    <x v="0"/>
    <x v="0"/>
    <x v="0"/>
    <x v="9"/>
    <x v="20"/>
    <s v="SE4A"/>
    <x v="9"/>
    <x v="130"/>
    <x v="0"/>
    <x v="19"/>
    <n v="15.287300663378099"/>
    <n v="5579.8647421330097"/>
    <n v="20087.513071678801"/>
  </r>
  <r>
    <x v="0"/>
    <x v="0"/>
    <x v="0"/>
    <x v="9"/>
    <x v="20"/>
    <s v="SE4A"/>
    <x v="9"/>
    <x v="130"/>
    <x v="0"/>
    <x v="20"/>
    <n v="15.287300663378099"/>
    <n v="5579.8647421330097"/>
    <n v="20087.513071678801"/>
  </r>
  <r>
    <x v="0"/>
    <x v="0"/>
    <x v="0"/>
    <x v="9"/>
    <x v="20"/>
    <s v="SE4A"/>
    <x v="9"/>
    <x v="130"/>
    <x v="0"/>
    <x v="21"/>
    <n v="15.287300663378099"/>
    <n v="5579.8647421330097"/>
    <n v="20087.513071678801"/>
  </r>
  <r>
    <x v="0"/>
    <x v="0"/>
    <x v="0"/>
    <x v="9"/>
    <x v="20"/>
    <s v="SE4A"/>
    <x v="9"/>
    <x v="130"/>
    <x v="0"/>
    <x v="22"/>
    <n v="15.287300663378099"/>
    <n v="5579.8647421330097"/>
    <n v="20087.513071678801"/>
  </r>
  <r>
    <x v="0"/>
    <x v="0"/>
    <x v="0"/>
    <x v="9"/>
    <x v="20"/>
    <s v="SE4A"/>
    <x v="9"/>
    <x v="131"/>
    <x v="0"/>
    <x v="5"/>
    <n v="15.287300663378099"/>
    <n v="5579.8647421330097"/>
    <n v="20087.513071678801"/>
  </r>
  <r>
    <x v="0"/>
    <x v="0"/>
    <x v="0"/>
    <x v="9"/>
    <x v="20"/>
    <s v="SE4A"/>
    <x v="9"/>
    <x v="131"/>
    <x v="0"/>
    <x v="6"/>
    <n v="15.287300663378099"/>
    <n v="5579.8647421330097"/>
    <n v="20087.513071678801"/>
  </r>
  <r>
    <x v="0"/>
    <x v="0"/>
    <x v="0"/>
    <x v="9"/>
    <x v="20"/>
    <s v="SE4A"/>
    <x v="9"/>
    <x v="131"/>
    <x v="0"/>
    <x v="7"/>
    <n v="15.287300663378099"/>
    <n v="5579.8647421330097"/>
    <n v="20087.513071678801"/>
  </r>
  <r>
    <x v="0"/>
    <x v="0"/>
    <x v="0"/>
    <x v="9"/>
    <x v="20"/>
    <s v="SE4A"/>
    <x v="9"/>
    <x v="131"/>
    <x v="0"/>
    <x v="8"/>
    <n v="15.287300663378099"/>
    <n v="5579.8647421330097"/>
    <n v="20087.513071678801"/>
  </r>
  <r>
    <x v="0"/>
    <x v="0"/>
    <x v="0"/>
    <x v="9"/>
    <x v="20"/>
    <s v="SE4A"/>
    <x v="9"/>
    <x v="131"/>
    <x v="0"/>
    <x v="9"/>
    <n v="15.287300663378099"/>
    <n v="5579.8647421330097"/>
    <n v="20087.513071678801"/>
  </r>
  <r>
    <x v="0"/>
    <x v="0"/>
    <x v="0"/>
    <x v="9"/>
    <x v="20"/>
    <s v="SE4A"/>
    <x v="9"/>
    <x v="131"/>
    <x v="0"/>
    <x v="10"/>
    <n v="15.287300663378099"/>
    <n v="5579.8647421330097"/>
    <n v="20087.513071678801"/>
  </r>
  <r>
    <x v="0"/>
    <x v="0"/>
    <x v="0"/>
    <x v="9"/>
    <x v="20"/>
    <s v="SE4A"/>
    <x v="9"/>
    <x v="131"/>
    <x v="0"/>
    <x v="11"/>
    <n v="15.287300663378099"/>
    <n v="5579.8647421330097"/>
    <n v="20087.513071678801"/>
  </r>
  <r>
    <x v="0"/>
    <x v="0"/>
    <x v="0"/>
    <x v="9"/>
    <x v="20"/>
    <s v="SE4A"/>
    <x v="9"/>
    <x v="131"/>
    <x v="0"/>
    <x v="12"/>
    <n v="15.287300663378099"/>
    <n v="5579.8647421330097"/>
    <n v="20087.513071678801"/>
  </r>
  <r>
    <x v="0"/>
    <x v="0"/>
    <x v="0"/>
    <x v="9"/>
    <x v="20"/>
    <s v="SE4A"/>
    <x v="9"/>
    <x v="131"/>
    <x v="0"/>
    <x v="13"/>
    <n v="15.287300663378099"/>
    <n v="5579.8647421330097"/>
    <n v="20087.513071678801"/>
  </r>
  <r>
    <x v="0"/>
    <x v="0"/>
    <x v="0"/>
    <x v="9"/>
    <x v="20"/>
    <s v="SE4A"/>
    <x v="9"/>
    <x v="131"/>
    <x v="0"/>
    <x v="14"/>
    <n v="15.287300663378099"/>
    <n v="5579.8647421330097"/>
    <n v="20087.513071678801"/>
  </r>
  <r>
    <x v="0"/>
    <x v="0"/>
    <x v="0"/>
    <x v="9"/>
    <x v="20"/>
    <s v="SE4A"/>
    <x v="9"/>
    <x v="131"/>
    <x v="0"/>
    <x v="15"/>
    <n v="15.287300663378099"/>
    <n v="5579.8647421330097"/>
    <n v="20087.513071678801"/>
  </r>
  <r>
    <x v="0"/>
    <x v="0"/>
    <x v="0"/>
    <x v="9"/>
    <x v="20"/>
    <s v="SE4A"/>
    <x v="9"/>
    <x v="131"/>
    <x v="0"/>
    <x v="16"/>
    <n v="15.287300663378099"/>
    <n v="5579.8647421330097"/>
    <n v="20087.513071678801"/>
  </r>
  <r>
    <x v="0"/>
    <x v="0"/>
    <x v="0"/>
    <x v="9"/>
    <x v="20"/>
    <s v="SE4A"/>
    <x v="9"/>
    <x v="131"/>
    <x v="0"/>
    <x v="17"/>
    <n v="15.287300663378099"/>
    <n v="5579.8647421330097"/>
    <n v="20087.513071678801"/>
  </r>
  <r>
    <x v="0"/>
    <x v="0"/>
    <x v="0"/>
    <x v="9"/>
    <x v="20"/>
    <s v="SE4A"/>
    <x v="9"/>
    <x v="131"/>
    <x v="0"/>
    <x v="18"/>
    <n v="15.287300663378099"/>
    <n v="5579.8647421330097"/>
    <n v="20087.513071678801"/>
  </r>
  <r>
    <x v="0"/>
    <x v="0"/>
    <x v="0"/>
    <x v="9"/>
    <x v="20"/>
    <s v="SE4A"/>
    <x v="9"/>
    <x v="131"/>
    <x v="0"/>
    <x v="19"/>
    <n v="15.287300663378099"/>
    <n v="5579.8647421330097"/>
    <n v="20087.513071678801"/>
  </r>
  <r>
    <x v="0"/>
    <x v="0"/>
    <x v="0"/>
    <x v="9"/>
    <x v="20"/>
    <s v="SE4A"/>
    <x v="9"/>
    <x v="131"/>
    <x v="0"/>
    <x v="20"/>
    <n v="15.287300663378099"/>
    <n v="5579.8647421330097"/>
    <n v="20087.513071678801"/>
  </r>
  <r>
    <x v="0"/>
    <x v="0"/>
    <x v="0"/>
    <x v="9"/>
    <x v="20"/>
    <s v="SE4A"/>
    <x v="9"/>
    <x v="131"/>
    <x v="0"/>
    <x v="21"/>
    <n v="15.287300663378099"/>
    <n v="5579.8647421330097"/>
    <n v="20087.513071678801"/>
  </r>
  <r>
    <x v="0"/>
    <x v="0"/>
    <x v="0"/>
    <x v="9"/>
    <x v="20"/>
    <s v="SE4A"/>
    <x v="9"/>
    <x v="132"/>
    <x v="0"/>
    <x v="6"/>
    <n v="15.287300663378099"/>
    <n v="5579.8647421330097"/>
    <n v="20087.513071678801"/>
  </r>
  <r>
    <x v="0"/>
    <x v="0"/>
    <x v="0"/>
    <x v="9"/>
    <x v="20"/>
    <s v="SE4A"/>
    <x v="9"/>
    <x v="132"/>
    <x v="0"/>
    <x v="7"/>
    <n v="15.287300663378099"/>
    <n v="5579.8647421330097"/>
    <n v="20087.513071678801"/>
  </r>
  <r>
    <x v="0"/>
    <x v="0"/>
    <x v="0"/>
    <x v="9"/>
    <x v="20"/>
    <s v="SE4A"/>
    <x v="9"/>
    <x v="132"/>
    <x v="0"/>
    <x v="8"/>
    <n v="15.287300663378099"/>
    <n v="5579.8647421330097"/>
    <n v="20087.513071678801"/>
  </r>
  <r>
    <x v="0"/>
    <x v="0"/>
    <x v="0"/>
    <x v="9"/>
    <x v="20"/>
    <s v="SE4A"/>
    <x v="9"/>
    <x v="132"/>
    <x v="0"/>
    <x v="9"/>
    <n v="15.287300663378099"/>
    <n v="5579.8647421330097"/>
    <n v="20087.513071678801"/>
  </r>
  <r>
    <x v="0"/>
    <x v="0"/>
    <x v="0"/>
    <x v="9"/>
    <x v="20"/>
    <s v="SE4A"/>
    <x v="9"/>
    <x v="132"/>
    <x v="0"/>
    <x v="10"/>
    <n v="15.287300663378099"/>
    <n v="5579.8647421330097"/>
    <n v="20087.513071678801"/>
  </r>
  <r>
    <x v="0"/>
    <x v="0"/>
    <x v="0"/>
    <x v="9"/>
    <x v="20"/>
    <s v="SE4A"/>
    <x v="9"/>
    <x v="132"/>
    <x v="0"/>
    <x v="11"/>
    <n v="15.287300663378099"/>
    <n v="5579.8647421330097"/>
    <n v="20087.513071678801"/>
  </r>
  <r>
    <x v="0"/>
    <x v="0"/>
    <x v="0"/>
    <x v="9"/>
    <x v="20"/>
    <s v="SE4A"/>
    <x v="9"/>
    <x v="132"/>
    <x v="0"/>
    <x v="12"/>
    <n v="15.287300663378099"/>
    <n v="5579.8647421330097"/>
    <n v="20087.513071678801"/>
  </r>
  <r>
    <x v="0"/>
    <x v="0"/>
    <x v="0"/>
    <x v="9"/>
    <x v="20"/>
    <s v="SE4A"/>
    <x v="9"/>
    <x v="132"/>
    <x v="0"/>
    <x v="13"/>
    <n v="15.287300663378099"/>
    <n v="5579.8647421330097"/>
    <n v="20087.513071678801"/>
  </r>
  <r>
    <x v="0"/>
    <x v="0"/>
    <x v="0"/>
    <x v="9"/>
    <x v="20"/>
    <s v="SE4A"/>
    <x v="9"/>
    <x v="132"/>
    <x v="0"/>
    <x v="14"/>
    <n v="15.287300663378099"/>
    <n v="5579.8647421330097"/>
    <n v="20087.513071678801"/>
  </r>
  <r>
    <x v="0"/>
    <x v="0"/>
    <x v="0"/>
    <x v="9"/>
    <x v="20"/>
    <s v="SE4A"/>
    <x v="9"/>
    <x v="132"/>
    <x v="0"/>
    <x v="15"/>
    <n v="15.287300663378099"/>
    <n v="5579.8647421330097"/>
    <n v="20087.513071678801"/>
  </r>
  <r>
    <x v="0"/>
    <x v="0"/>
    <x v="0"/>
    <x v="9"/>
    <x v="20"/>
    <s v="SE4A"/>
    <x v="9"/>
    <x v="132"/>
    <x v="0"/>
    <x v="16"/>
    <n v="15.287300663378099"/>
    <n v="5579.8647421330097"/>
    <n v="20087.513071678801"/>
  </r>
  <r>
    <x v="0"/>
    <x v="0"/>
    <x v="0"/>
    <x v="9"/>
    <x v="20"/>
    <s v="SE4A"/>
    <x v="9"/>
    <x v="132"/>
    <x v="0"/>
    <x v="17"/>
    <n v="15.287300663378099"/>
    <n v="5579.8647421330097"/>
    <n v="20087.513071678801"/>
  </r>
  <r>
    <x v="0"/>
    <x v="0"/>
    <x v="0"/>
    <x v="9"/>
    <x v="20"/>
    <s v="SE4A"/>
    <x v="9"/>
    <x v="132"/>
    <x v="0"/>
    <x v="18"/>
    <n v="15.287300663378099"/>
    <n v="5579.8647421330097"/>
    <n v="20087.513071678801"/>
  </r>
  <r>
    <x v="0"/>
    <x v="0"/>
    <x v="0"/>
    <x v="9"/>
    <x v="20"/>
    <s v="SE4A"/>
    <x v="9"/>
    <x v="132"/>
    <x v="0"/>
    <x v="19"/>
    <n v="15.287300663378099"/>
    <n v="5579.8647421330097"/>
    <n v="20087.513071678801"/>
  </r>
  <r>
    <x v="0"/>
    <x v="0"/>
    <x v="0"/>
    <x v="9"/>
    <x v="20"/>
    <s v="SE4A"/>
    <x v="9"/>
    <x v="132"/>
    <x v="0"/>
    <x v="20"/>
    <n v="15.287300663378099"/>
    <n v="5579.8647421330097"/>
    <n v="20087.513071678801"/>
  </r>
  <r>
    <x v="0"/>
    <x v="0"/>
    <x v="0"/>
    <x v="9"/>
    <x v="20"/>
    <s v="SE4A"/>
    <x v="9"/>
    <x v="133"/>
    <x v="0"/>
    <x v="6"/>
    <n v="15.287300663378099"/>
    <n v="5579.8647421330097"/>
    <n v="20087.513071678801"/>
  </r>
  <r>
    <x v="0"/>
    <x v="0"/>
    <x v="0"/>
    <x v="9"/>
    <x v="20"/>
    <s v="SE4A"/>
    <x v="9"/>
    <x v="133"/>
    <x v="0"/>
    <x v="7"/>
    <n v="15.287300663378099"/>
    <n v="5579.8647421330097"/>
    <n v="20087.513071678801"/>
  </r>
  <r>
    <x v="0"/>
    <x v="0"/>
    <x v="0"/>
    <x v="9"/>
    <x v="20"/>
    <s v="SE4A"/>
    <x v="9"/>
    <x v="133"/>
    <x v="0"/>
    <x v="8"/>
    <n v="15.287300663378099"/>
    <n v="5579.8647421330097"/>
    <n v="20087.513071678801"/>
  </r>
  <r>
    <x v="0"/>
    <x v="0"/>
    <x v="0"/>
    <x v="9"/>
    <x v="20"/>
    <s v="SE4A"/>
    <x v="9"/>
    <x v="133"/>
    <x v="0"/>
    <x v="9"/>
    <n v="15.287300663378099"/>
    <n v="5579.8647421330097"/>
    <n v="20087.513071678801"/>
  </r>
  <r>
    <x v="0"/>
    <x v="0"/>
    <x v="0"/>
    <x v="9"/>
    <x v="20"/>
    <s v="SE4A"/>
    <x v="9"/>
    <x v="133"/>
    <x v="0"/>
    <x v="10"/>
    <n v="15.287300663378099"/>
    <n v="5579.8647421330097"/>
    <n v="20087.513071678801"/>
  </r>
  <r>
    <x v="0"/>
    <x v="0"/>
    <x v="0"/>
    <x v="9"/>
    <x v="20"/>
    <s v="SE4A"/>
    <x v="9"/>
    <x v="133"/>
    <x v="0"/>
    <x v="11"/>
    <n v="15.287300663378099"/>
    <n v="5579.8647421330097"/>
    <n v="20087.513071678801"/>
  </r>
  <r>
    <x v="0"/>
    <x v="0"/>
    <x v="0"/>
    <x v="9"/>
    <x v="20"/>
    <s v="SE4A"/>
    <x v="9"/>
    <x v="133"/>
    <x v="0"/>
    <x v="12"/>
    <n v="15.287300663378099"/>
    <n v="5579.8647421330097"/>
    <n v="20087.513071678801"/>
  </r>
  <r>
    <x v="0"/>
    <x v="0"/>
    <x v="0"/>
    <x v="9"/>
    <x v="20"/>
    <s v="SE4A"/>
    <x v="9"/>
    <x v="133"/>
    <x v="0"/>
    <x v="13"/>
    <n v="15.287300663378099"/>
    <n v="5579.8647421330097"/>
    <n v="20087.513071678801"/>
  </r>
  <r>
    <x v="0"/>
    <x v="0"/>
    <x v="0"/>
    <x v="9"/>
    <x v="20"/>
    <s v="SE4A"/>
    <x v="9"/>
    <x v="133"/>
    <x v="0"/>
    <x v="14"/>
    <n v="15.287300663378099"/>
    <n v="5579.8647421330097"/>
    <n v="20087.513071678801"/>
  </r>
  <r>
    <x v="0"/>
    <x v="0"/>
    <x v="0"/>
    <x v="9"/>
    <x v="20"/>
    <s v="SE4A"/>
    <x v="9"/>
    <x v="133"/>
    <x v="0"/>
    <x v="15"/>
    <n v="15.287300663378099"/>
    <n v="5579.8647421330097"/>
    <n v="20087.513071678801"/>
  </r>
  <r>
    <x v="0"/>
    <x v="0"/>
    <x v="0"/>
    <x v="9"/>
    <x v="20"/>
    <s v="SE4A"/>
    <x v="9"/>
    <x v="133"/>
    <x v="0"/>
    <x v="16"/>
    <n v="15.287300663378099"/>
    <n v="5579.8647421330097"/>
    <n v="20087.513071678801"/>
  </r>
  <r>
    <x v="0"/>
    <x v="0"/>
    <x v="0"/>
    <x v="9"/>
    <x v="20"/>
    <s v="SE4A"/>
    <x v="9"/>
    <x v="133"/>
    <x v="0"/>
    <x v="17"/>
    <n v="4.3977166291945604"/>
    <n v="1605.1665696560201"/>
    <n v="5778.5996507616601"/>
  </r>
  <r>
    <x v="0"/>
    <x v="0"/>
    <x v="0"/>
    <x v="9"/>
    <x v="20"/>
    <s v="SE4A"/>
    <x v="9"/>
    <x v="133"/>
    <x v="0"/>
    <x v="18"/>
    <n v="15.287300663378099"/>
    <n v="5579.8647421330097"/>
    <n v="20087.513071678801"/>
  </r>
  <r>
    <x v="0"/>
    <x v="0"/>
    <x v="0"/>
    <x v="9"/>
    <x v="20"/>
    <s v="SE4A"/>
    <x v="9"/>
    <x v="133"/>
    <x v="0"/>
    <x v="19"/>
    <n v="15.287300663378099"/>
    <n v="5579.8647421330097"/>
    <n v="20087.513071678801"/>
  </r>
  <r>
    <x v="0"/>
    <x v="0"/>
    <x v="0"/>
    <x v="9"/>
    <x v="20"/>
    <s v="SE4A"/>
    <x v="9"/>
    <x v="134"/>
    <x v="0"/>
    <x v="7"/>
    <n v="15.287300663378099"/>
    <n v="5579.8647421330097"/>
    <n v="20087.513071678801"/>
  </r>
  <r>
    <x v="0"/>
    <x v="0"/>
    <x v="0"/>
    <x v="9"/>
    <x v="20"/>
    <s v="SE4A"/>
    <x v="9"/>
    <x v="134"/>
    <x v="0"/>
    <x v="8"/>
    <n v="15.287300663378099"/>
    <n v="5579.8647421330097"/>
    <n v="20087.513071678801"/>
  </r>
  <r>
    <x v="0"/>
    <x v="0"/>
    <x v="0"/>
    <x v="9"/>
    <x v="20"/>
    <s v="SE4A"/>
    <x v="9"/>
    <x v="134"/>
    <x v="0"/>
    <x v="9"/>
    <n v="15.287300663378099"/>
    <n v="5579.8647421330097"/>
    <n v="20087.513071678801"/>
  </r>
  <r>
    <x v="0"/>
    <x v="0"/>
    <x v="0"/>
    <x v="9"/>
    <x v="20"/>
    <s v="SE4A"/>
    <x v="9"/>
    <x v="134"/>
    <x v="0"/>
    <x v="10"/>
    <n v="15.287300663378099"/>
    <n v="5579.8647421330097"/>
    <n v="20087.513071678801"/>
  </r>
  <r>
    <x v="0"/>
    <x v="0"/>
    <x v="0"/>
    <x v="9"/>
    <x v="20"/>
    <s v="SE4A"/>
    <x v="9"/>
    <x v="134"/>
    <x v="0"/>
    <x v="11"/>
    <n v="15.287300663378099"/>
    <n v="5579.8647421330097"/>
    <n v="20087.513071678801"/>
  </r>
  <r>
    <x v="0"/>
    <x v="0"/>
    <x v="0"/>
    <x v="9"/>
    <x v="20"/>
    <s v="SE4A"/>
    <x v="9"/>
    <x v="135"/>
    <x v="0"/>
    <x v="7"/>
    <n v="15.287300663378099"/>
    <n v="5579.8647421330097"/>
    <n v="20087.513071678801"/>
  </r>
  <r>
    <x v="0"/>
    <x v="0"/>
    <x v="0"/>
    <x v="9"/>
    <x v="20"/>
    <s v="SE4A"/>
    <x v="9"/>
    <x v="135"/>
    <x v="0"/>
    <x v="8"/>
    <n v="15.287300663378099"/>
    <n v="5579.8647421330097"/>
    <n v="20087.513071678801"/>
  </r>
  <r>
    <x v="0"/>
    <x v="0"/>
    <x v="0"/>
    <x v="9"/>
    <x v="20"/>
    <s v="SE4A"/>
    <x v="9"/>
    <x v="135"/>
    <x v="0"/>
    <x v="9"/>
    <n v="15.287300663378099"/>
    <n v="5579.8647421330097"/>
    <n v="20087.513071678801"/>
  </r>
  <r>
    <x v="0"/>
    <x v="0"/>
    <x v="0"/>
    <x v="9"/>
    <x v="20"/>
    <s v="SE4A"/>
    <x v="9"/>
    <x v="57"/>
    <x v="0"/>
    <x v="0"/>
    <n v="102.50081849851099"/>
    <n v="37412.798751956601"/>
    <n v="134686.07550704401"/>
  </r>
  <r>
    <x v="0"/>
    <x v="0"/>
    <x v="0"/>
    <x v="9"/>
    <x v="20"/>
    <s v="SE4A"/>
    <x v="9"/>
    <x v="57"/>
    <x v="0"/>
    <x v="1"/>
    <n v="102.50081849851099"/>
    <n v="37412.798751956601"/>
    <n v="134686.07550704401"/>
  </r>
  <r>
    <x v="0"/>
    <x v="0"/>
    <x v="0"/>
    <x v="9"/>
    <x v="20"/>
    <s v="SE4A"/>
    <x v="9"/>
    <x v="57"/>
    <x v="0"/>
    <x v="2"/>
    <n v="102.50081849851099"/>
    <n v="37412.798751956601"/>
    <n v="134686.07550704401"/>
  </r>
  <r>
    <x v="0"/>
    <x v="0"/>
    <x v="0"/>
    <x v="9"/>
    <x v="20"/>
    <s v="SE4A"/>
    <x v="9"/>
    <x v="57"/>
    <x v="0"/>
    <x v="3"/>
    <n v="102.50081849851099"/>
    <n v="37412.798751956601"/>
    <n v="134686.07550704401"/>
  </r>
  <r>
    <x v="0"/>
    <x v="0"/>
    <x v="0"/>
    <x v="9"/>
    <x v="20"/>
    <s v="SE4A"/>
    <x v="9"/>
    <x v="57"/>
    <x v="0"/>
    <x v="4"/>
    <n v="102.50081849851099"/>
    <n v="37412.798751956601"/>
    <n v="134686.07550704401"/>
  </r>
  <r>
    <x v="0"/>
    <x v="0"/>
    <x v="0"/>
    <x v="9"/>
    <x v="20"/>
    <s v="SE4A"/>
    <x v="9"/>
    <x v="57"/>
    <x v="0"/>
    <x v="5"/>
    <n v="102.50081849851099"/>
    <n v="37412.798751956601"/>
    <n v="134686.07550704401"/>
  </r>
  <r>
    <x v="0"/>
    <x v="0"/>
    <x v="0"/>
    <x v="9"/>
    <x v="20"/>
    <s v="SE4A"/>
    <x v="9"/>
    <x v="57"/>
    <x v="0"/>
    <x v="6"/>
    <n v="102.50081849851099"/>
    <n v="37412.798751956601"/>
    <n v="134686.07550704401"/>
  </r>
  <r>
    <x v="0"/>
    <x v="0"/>
    <x v="0"/>
    <x v="9"/>
    <x v="20"/>
    <s v="SE4A"/>
    <x v="9"/>
    <x v="57"/>
    <x v="0"/>
    <x v="7"/>
    <n v="102.50081849851099"/>
    <n v="37412.798751956601"/>
    <n v="134686.07550704401"/>
  </r>
  <r>
    <x v="0"/>
    <x v="0"/>
    <x v="0"/>
    <x v="9"/>
    <x v="20"/>
    <s v="SE4A"/>
    <x v="9"/>
    <x v="57"/>
    <x v="0"/>
    <x v="8"/>
    <n v="102.50081849851099"/>
    <n v="37412.798751956601"/>
    <n v="134686.07550704401"/>
  </r>
  <r>
    <x v="0"/>
    <x v="0"/>
    <x v="0"/>
    <x v="9"/>
    <x v="20"/>
    <s v="SE4A"/>
    <x v="9"/>
    <x v="57"/>
    <x v="0"/>
    <x v="9"/>
    <n v="102.50081849851099"/>
    <n v="37412.798751956601"/>
    <n v="134686.07550704401"/>
  </r>
  <r>
    <x v="0"/>
    <x v="0"/>
    <x v="0"/>
    <x v="9"/>
    <x v="20"/>
    <s v="SE4A"/>
    <x v="9"/>
    <x v="57"/>
    <x v="0"/>
    <x v="10"/>
    <n v="102.50081849851099"/>
    <n v="37412.798751956601"/>
    <n v="134686.07550704401"/>
  </r>
  <r>
    <x v="0"/>
    <x v="0"/>
    <x v="0"/>
    <x v="9"/>
    <x v="20"/>
    <s v="SE4A"/>
    <x v="9"/>
    <x v="57"/>
    <x v="0"/>
    <x v="11"/>
    <n v="102.50081849851099"/>
    <n v="37412.798751956601"/>
    <n v="134686.07550704401"/>
  </r>
  <r>
    <x v="0"/>
    <x v="0"/>
    <x v="0"/>
    <x v="9"/>
    <x v="20"/>
    <s v="SE4A"/>
    <x v="9"/>
    <x v="57"/>
    <x v="0"/>
    <x v="12"/>
    <n v="102.50081849851099"/>
    <n v="37412.798751956601"/>
    <n v="134686.07550704401"/>
  </r>
  <r>
    <x v="0"/>
    <x v="0"/>
    <x v="0"/>
    <x v="9"/>
    <x v="20"/>
    <s v="SE4A"/>
    <x v="9"/>
    <x v="57"/>
    <x v="0"/>
    <x v="13"/>
    <n v="102.50081849851099"/>
    <n v="37412.798751956601"/>
    <n v="134686.07550704401"/>
  </r>
  <r>
    <x v="0"/>
    <x v="0"/>
    <x v="0"/>
    <x v="9"/>
    <x v="20"/>
    <s v="SE4A"/>
    <x v="9"/>
    <x v="57"/>
    <x v="0"/>
    <x v="14"/>
    <n v="102.50081849851099"/>
    <n v="37412.798751956601"/>
    <n v="134686.07550704401"/>
  </r>
  <r>
    <x v="0"/>
    <x v="0"/>
    <x v="0"/>
    <x v="9"/>
    <x v="20"/>
    <s v="SE4A"/>
    <x v="9"/>
    <x v="57"/>
    <x v="0"/>
    <x v="15"/>
    <n v="102.50081849851099"/>
    <n v="37412.798751956601"/>
    <n v="134686.07550704401"/>
  </r>
  <r>
    <x v="0"/>
    <x v="0"/>
    <x v="0"/>
    <x v="9"/>
    <x v="20"/>
    <s v="SE4A"/>
    <x v="9"/>
    <x v="57"/>
    <x v="0"/>
    <x v="16"/>
    <n v="102.50081849851099"/>
    <n v="37412.798751956601"/>
    <n v="134686.07550704401"/>
  </r>
  <r>
    <x v="0"/>
    <x v="0"/>
    <x v="0"/>
    <x v="9"/>
    <x v="20"/>
    <s v="SE4A"/>
    <x v="9"/>
    <x v="57"/>
    <x v="0"/>
    <x v="17"/>
    <n v="102.50081849851099"/>
    <n v="37412.798751956601"/>
    <n v="134686.07550704401"/>
  </r>
  <r>
    <x v="0"/>
    <x v="0"/>
    <x v="0"/>
    <x v="9"/>
    <x v="20"/>
    <s v="SE4A"/>
    <x v="9"/>
    <x v="57"/>
    <x v="0"/>
    <x v="18"/>
    <n v="102.50081849851099"/>
    <n v="37412.798751956601"/>
    <n v="134686.07550704401"/>
  </r>
  <r>
    <x v="0"/>
    <x v="0"/>
    <x v="0"/>
    <x v="9"/>
    <x v="20"/>
    <s v="SE4A"/>
    <x v="9"/>
    <x v="57"/>
    <x v="0"/>
    <x v="19"/>
    <n v="102.50081849851099"/>
    <n v="37412.798751956601"/>
    <n v="134686.07550704401"/>
  </r>
  <r>
    <x v="0"/>
    <x v="0"/>
    <x v="0"/>
    <x v="9"/>
    <x v="20"/>
    <s v="SE4A"/>
    <x v="9"/>
    <x v="57"/>
    <x v="0"/>
    <x v="20"/>
    <n v="102.50081849851099"/>
    <n v="37412.798751956601"/>
    <n v="134686.07550704401"/>
  </r>
  <r>
    <x v="0"/>
    <x v="0"/>
    <x v="0"/>
    <x v="9"/>
    <x v="20"/>
    <s v="SE4A"/>
    <x v="9"/>
    <x v="57"/>
    <x v="0"/>
    <x v="21"/>
    <n v="102.50081849851099"/>
    <n v="37412.798751956601"/>
    <n v="134686.07550704401"/>
  </r>
  <r>
    <x v="0"/>
    <x v="0"/>
    <x v="0"/>
    <x v="9"/>
    <x v="20"/>
    <s v="SE4A"/>
    <x v="9"/>
    <x v="57"/>
    <x v="0"/>
    <x v="22"/>
    <n v="102.50081849851099"/>
    <n v="37412.798751956601"/>
    <n v="134686.07550704401"/>
  </r>
  <r>
    <x v="0"/>
    <x v="0"/>
    <x v="0"/>
    <x v="9"/>
    <x v="20"/>
    <s v="SE4A"/>
    <x v="9"/>
    <x v="57"/>
    <x v="0"/>
    <x v="23"/>
    <n v="102.50081849851099"/>
    <n v="37412.798751956601"/>
    <n v="134686.07550704401"/>
  </r>
  <r>
    <x v="0"/>
    <x v="0"/>
    <x v="0"/>
    <x v="9"/>
    <x v="20"/>
    <s v="SE4A"/>
    <x v="10"/>
    <x v="58"/>
    <x v="0"/>
    <x v="0"/>
    <n v="210.00501244287699"/>
    <n v="76651.829541650193"/>
    <n v="275946.58634994098"/>
  </r>
  <r>
    <x v="0"/>
    <x v="0"/>
    <x v="0"/>
    <x v="9"/>
    <x v="20"/>
    <s v="SE4A"/>
    <x v="10"/>
    <x v="58"/>
    <x v="0"/>
    <x v="1"/>
    <n v="199.311168280972"/>
    <n v="72748.576422554805"/>
    <n v="261894.87512119699"/>
  </r>
  <r>
    <x v="0"/>
    <x v="0"/>
    <x v="0"/>
    <x v="9"/>
    <x v="20"/>
    <s v="SE4A"/>
    <x v="10"/>
    <x v="58"/>
    <x v="0"/>
    <x v="2"/>
    <n v="189.13801045626099"/>
    <n v="69035.373816535197"/>
    <n v="248527.34573952699"/>
  </r>
  <r>
    <x v="0"/>
    <x v="0"/>
    <x v="0"/>
    <x v="9"/>
    <x v="20"/>
    <s v="SE4A"/>
    <x v="10"/>
    <x v="58"/>
    <x v="0"/>
    <x v="3"/>
    <n v="179.12441692860301"/>
    <n v="65380.412178940198"/>
    <n v="235369.48384418499"/>
  </r>
  <r>
    <x v="0"/>
    <x v="0"/>
    <x v="0"/>
    <x v="9"/>
    <x v="20"/>
    <s v="SE4A"/>
    <x v="10"/>
    <x v="58"/>
    <x v="0"/>
    <x v="4"/>
    <n v="147.713738355864"/>
    <n v="53915.514499890203"/>
    <n v="194095.852199605"/>
  </r>
  <r>
    <x v="0"/>
    <x v="0"/>
    <x v="0"/>
    <x v="9"/>
    <x v="20"/>
    <s v="SE4A"/>
    <x v="10"/>
    <x v="58"/>
    <x v="0"/>
    <x v="5"/>
    <n v="136.203412954111"/>
    <n v="49714.245728250498"/>
    <n v="178971.28462170201"/>
  </r>
  <r>
    <x v="0"/>
    <x v="0"/>
    <x v="0"/>
    <x v="9"/>
    <x v="20"/>
    <s v="SE4A"/>
    <x v="10"/>
    <x v="58"/>
    <x v="0"/>
    <x v="6"/>
    <n v="112.8691610396"/>
    <n v="41197.2437794539"/>
    <n v="148310.077606034"/>
  </r>
  <r>
    <x v="0"/>
    <x v="0"/>
    <x v="0"/>
    <x v="9"/>
    <x v="20"/>
    <s v="SE4A"/>
    <x v="10"/>
    <x v="58"/>
    <x v="0"/>
    <x v="7"/>
    <n v="80.358898968112399"/>
    <n v="29330.998123361001"/>
    <n v="105591.5932441"/>
  </r>
  <r>
    <x v="0"/>
    <x v="0"/>
    <x v="0"/>
    <x v="9"/>
    <x v="20"/>
    <s v="SE4A"/>
    <x v="10"/>
    <x v="58"/>
    <x v="0"/>
    <x v="8"/>
    <n v="64.708133936406199"/>
    <n v="23618.468886788301"/>
    <n v="85026.487992437804"/>
  </r>
  <r>
    <x v="0"/>
    <x v="0"/>
    <x v="0"/>
    <x v="9"/>
    <x v="20"/>
    <s v="SE4A"/>
    <x v="10"/>
    <x v="58"/>
    <x v="0"/>
    <x v="9"/>
    <n v="68.032344276904695"/>
    <n v="24831.805661070201"/>
    <n v="89394.500379852805"/>
  </r>
  <r>
    <x v="0"/>
    <x v="0"/>
    <x v="0"/>
    <x v="9"/>
    <x v="20"/>
    <s v="SE4A"/>
    <x v="10"/>
    <x v="58"/>
    <x v="0"/>
    <x v="10"/>
    <n v="63.623292106542898"/>
    <n v="23222.501618888102"/>
    <n v="83601.005827997302"/>
  </r>
  <r>
    <x v="0"/>
    <x v="0"/>
    <x v="0"/>
    <x v="9"/>
    <x v="20"/>
    <s v="SE4A"/>
    <x v="10"/>
    <x v="58"/>
    <x v="0"/>
    <x v="11"/>
    <n v="66.379611404164706"/>
    <n v="24228.558162520101"/>
    <n v="87222.809385072396"/>
  </r>
  <r>
    <x v="0"/>
    <x v="0"/>
    <x v="0"/>
    <x v="9"/>
    <x v="20"/>
    <s v="SE4A"/>
    <x v="10"/>
    <x v="58"/>
    <x v="0"/>
    <x v="12"/>
    <n v="74.687189692910806"/>
    <n v="27260.824237912399"/>
    <n v="98138.967256484801"/>
  </r>
  <r>
    <x v="0"/>
    <x v="0"/>
    <x v="0"/>
    <x v="9"/>
    <x v="20"/>
    <s v="SE4A"/>
    <x v="10"/>
    <x v="58"/>
    <x v="0"/>
    <x v="13"/>
    <n v="87.505343305589193"/>
    <n v="31939.450306539999"/>
    <n v="114982.021103544"/>
  </r>
  <r>
    <x v="0"/>
    <x v="0"/>
    <x v="0"/>
    <x v="9"/>
    <x v="20"/>
    <s v="SE4A"/>
    <x v="10"/>
    <x v="58"/>
    <x v="0"/>
    <x v="14"/>
    <n v="135.468231992451"/>
    <n v="49445.904677244704"/>
    <n v="178005.256838081"/>
  </r>
  <r>
    <x v="0"/>
    <x v="0"/>
    <x v="0"/>
    <x v="9"/>
    <x v="20"/>
    <s v="SE4A"/>
    <x v="10"/>
    <x v="58"/>
    <x v="0"/>
    <x v="15"/>
    <n v="209.91291686164701"/>
    <n v="76618.214654501193"/>
    <n v="275825.572756204"/>
  </r>
  <r>
    <x v="0"/>
    <x v="0"/>
    <x v="0"/>
    <x v="9"/>
    <x v="20"/>
    <s v="SE4A"/>
    <x v="10"/>
    <x v="58"/>
    <x v="0"/>
    <x v="16"/>
    <n v="322.23606026591602"/>
    <n v="117616.161997059"/>
    <n v="423418.18318941299"/>
  </r>
  <r>
    <x v="0"/>
    <x v="0"/>
    <x v="0"/>
    <x v="9"/>
    <x v="20"/>
    <s v="SE4A"/>
    <x v="10"/>
    <x v="58"/>
    <x v="0"/>
    <x v="17"/>
    <n v="519.72459112731201"/>
    <n v="189699.47576146899"/>
    <n v="682918.11274128803"/>
  </r>
  <r>
    <x v="0"/>
    <x v="0"/>
    <x v="0"/>
    <x v="9"/>
    <x v="20"/>
    <s v="SE4A"/>
    <x v="10"/>
    <x v="58"/>
    <x v="0"/>
    <x v="18"/>
    <n v="759.10603981563395"/>
    <n v="277073.704532706"/>
    <n v="997465.33631774294"/>
  </r>
  <r>
    <x v="0"/>
    <x v="0"/>
    <x v="0"/>
    <x v="9"/>
    <x v="20"/>
    <s v="SE4A"/>
    <x v="10"/>
    <x v="58"/>
    <x v="0"/>
    <x v="19"/>
    <n v="845.481321337748"/>
    <n v="308600.68228827801"/>
    <n v="1110962.4562378"/>
  </r>
  <r>
    <x v="0"/>
    <x v="0"/>
    <x v="0"/>
    <x v="9"/>
    <x v="20"/>
    <s v="SE4A"/>
    <x v="10"/>
    <x v="58"/>
    <x v="0"/>
    <x v="20"/>
    <n v="785.97916637598598"/>
    <n v="286882.39572723501"/>
    <n v="1032776.6246180499"/>
  </r>
  <r>
    <x v="0"/>
    <x v="0"/>
    <x v="0"/>
    <x v="9"/>
    <x v="20"/>
    <s v="SE4A"/>
    <x v="10"/>
    <x v="58"/>
    <x v="0"/>
    <x v="21"/>
    <n v="745.56027660768302"/>
    <n v="272129.50096180401"/>
    <n v="979666.203462495"/>
  </r>
  <r>
    <x v="0"/>
    <x v="0"/>
    <x v="0"/>
    <x v="9"/>
    <x v="20"/>
    <s v="SE4A"/>
    <x v="10"/>
    <x v="58"/>
    <x v="0"/>
    <x v="22"/>
    <n v="866.13156628821105"/>
    <n v="316138.02169519698"/>
    <n v="1138096.87810271"/>
  </r>
  <r>
    <x v="0"/>
    <x v="0"/>
    <x v="0"/>
    <x v="9"/>
    <x v="20"/>
    <s v="SE4A"/>
    <x v="10"/>
    <x v="58"/>
    <x v="0"/>
    <x v="23"/>
    <n v="1053.33461572644"/>
    <n v="384467.13474015001"/>
    <n v="1384081.68506454"/>
  </r>
  <r>
    <x v="0"/>
    <x v="0"/>
    <x v="0"/>
    <x v="9"/>
    <x v="20"/>
    <s v="SE4A"/>
    <x v="13"/>
    <x v="138"/>
    <x v="0"/>
    <x v="0"/>
    <n v="952.03268641470902"/>
    <n v="347491.93054136902"/>
    <n v="1250970.9499489299"/>
  </r>
  <r>
    <x v="0"/>
    <x v="0"/>
    <x v="0"/>
    <x v="9"/>
    <x v="20"/>
    <s v="SE4A"/>
    <x v="13"/>
    <x v="138"/>
    <x v="0"/>
    <x v="1"/>
    <n v="952.03268641470902"/>
    <n v="347491.93054136902"/>
    <n v="1250970.9499489299"/>
  </r>
  <r>
    <x v="0"/>
    <x v="0"/>
    <x v="0"/>
    <x v="9"/>
    <x v="20"/>
    <s v="SE4A"/>
    <x v="13"/>
    <x v="138"/>
    <x v="0"/>
    <x v="2"/>
    <n v="952.03268641470902"/>
    <n v="347491.93054136902"/>
    <n v="1250970.9499489299"/>
  </r>
  <r>
    <x v="0"/>
    <x v="0"/>
    <x v="0"/>
    <x v="9"/>
    <x v="20"/>
    <s v="SE4A"/>
    <x v="13"/>
    <x v="138"/>
    <x v="0"/>
    <x v="3"/>
    <n v="952.03268641470902"/>
    <n v="347491.93054136902"/>
    <n v="1250970.9499489299"/>
  </r>
  <r>
    <x v="0"/>
    <x v="0"/>
    <x v="0"/>
    <x v="9"/>
    <x v="20"/>
    <s v="SE4A"/>
    <x v="13"/>
    <x v="138"/>
    <x v="0"/>
    <x v="4"/>
    <n v="952.03268641470902"/>
    <n v="347491.93054136902"/>
    <n v="1250970.9499489299"/>
  </r>
  <r>
    <x v="0"/>
    <x v="0"/>
    <x v="0"/>
    <x v="9"/>
    <x v="20"/>
    <s v="SE4A"/>
    <x v="13"/>
    <x v="138"/>
    <x v="0"/>
    <x v="5"/>
    <n v="952.03268641470902"/>
    <n v="347491.93054136902"/>
    <n v="1250970.9499489299"/>
  </r>
  <r>
    <x v="0"/>
    <x v="0"/>
    <x v="0"/>
    <x v="9"/>
    <x v="20"/>
    <s v="SE4A"/>
    <x v="13"/>
    <x v="138"/>
    <x v="0"/>
    <x v="6"/>
    <n v="952.03268641470902"/>
    <n v="347491.93054136902"/>
    <n v="1250970.9499489299"/>
  </r>
  <r>
    <x v="0"/>
    <x v="0"/>
    <x v="0"/>
    <x v="9"/>
    <x v="20"/>
    <s v="SE4A"/>
    <x v="13"/>
    <x v="138"/>
    <x v="0"/>
    <x v="7"/>
    <n v="952.03268641470902"/>
    <n v="347491.93054136902"/>
    <n v="1250970.9499489299"/>
  </r>
  <r>
    <x v="0"/>
    <x v="0"/>
    <x v="0"/>
    <x v="9"/>
    <x v="20"/>
    <s v="SE4A"/>
    <x v="13"/>
    <x v="138"/>
    <x v="0"/>
    <x v="8"/>
    <n v="952.03268641470902"/>
    <n v="347491.93054136902"/>
    <n v="1250970.9499489299"/>
  </r>
  <r>
    <x v="0"/>
    <x v="0"/>
    <x v="0"/>
    <x v="9"/>
    <x v="20"/>
    <s v="SE4A"/>
    <x v="13"/>
    <x v="138"/>
    <x v="0"/>
    <x v="9"/>
    <n v="952.03268641470902"/>
    <n v="347491.93054136902"/>
    <n v="1250970.9499489299"/>
  </r>
  <r>
    <x v="0"/>
    <x v="0"/>
    <x v="0"/>
    <x v="9"/>
    <x v="20"/>
    <s v="SE4A"/>
    <x v="13"/>
    <x v="138"/>
    <x v="0"/>
    <x v="10"/>
    <n v="952.03268641470902"/>
    <n v="347491.93054136902"/>
    <n v="1250970.9499489299"/>
  </r>
  <r>
    <x v="0"/>
    <x v="0"/>
    <x v="0"/>
    <x v="9"/>
    <x v="20"/>
    <s v="SE4A"/>
    <x v="13"/>
    <x v="138"/>
    <x v="0"/>
    <x v="11"/>
    <n v="952.03268641470902"/>
    <n v="347491.93054136902"/>
    <n v="1250970.9499489299"/>
  </r>
  <r>
    <x v="0"/>
    <x v="0"/>
    <x v="0"/>
    <x v="9"/>
    <x v="20"/>
    <s v="SE4A"/>
    <x v="13"/>
    <x v="138"/>
    <x v="0"/>
    <x v="12"/>
    <n v="952.03268641470902"/>
    <n v="347491.93054136902"/>
    <n v="1250970.9499489299"/>
  </r>
  <r>
    <x v="0"/>
    <x v="0"/>
    <x v="0"/>
    <x v="9"/>
    <x v="20"/>
    <s v="SE4A"/>
    <x v="13"/>
    <x v="138"/>
    <x v="0"/>
    <x v="13"/>
    <n v="952.03268641470902"/>
    <n v="347491.93054136902"/>
    <n v="1250970.9499489299"/>
  </r>
  <r>
    <x v="0"/>
    <x v="0"/>
    <x v="0"/>
    <x v="9"/>
    <x v="20"/>
    <s v="SE4A"/>
    <x v="13"/>
    <x v="138"/>
    <x v="0"/>
    <x v="14"/>
    <n v="952.03268641470902"/>
    <n v="347491.93054136902"/>
    <n v="1250970.9499489299"/>
  </r>
  <r>
    <x v="0"/>
    <x v="0"/>
    <x v="0"/>
    <x v="9"/>
    <x v="20"/>
    <s v="SE4A"/>
    <x v="13"/>
    <x v="138"/>
    <x v="0"/>
    <x v="15"/>
    <n v="952.03268641470902"/>
    <n v="347491.93054136902"/>
    <n v="1250970.9499489299"/>
  </r>
  <r>
    <x v="0"/>
    <x v="0"/>
    <x v="0"/>
    <x v="9"/>
    <x v="20"/>
    <s v="SE4A"/>
    <x v="13"/>
    <x v="138"/>
    <x v="0"/>
    <x v="16"/>
    <n v="952.03268641470902"/>
    <n v="347491.93054136902"/>
    <n v="1250970.9499489299"/>
  </r>
  <r>
    <x v="0"/>
    <x v="0"/>
    <x v="0"/>
    <x v="9"/>
    <x v="20"/>
    <s v="SE4A"/>
    <x v="13"/>
    <x v="138"/>
    <x v="0"/>
    <x v="17"/>
    <n v="952.03268641470902"/>
    <n v="347491.93054136902"/>
    <n v="1250970.9499489299"/>
  </r>
  <r>
    <x v="0"/>
    <x v="0"/>
    <x v="0"/>
    <x v="9"/>
    <x v="20"/>
    <s v="SE4A"/>
    <x v="13"/>
    <x v="138"/>
    <x v="0"/>
    <x v="18"/>
    <n v="952.03268641470902"/>
    <n v="347491.93054136902"/>
    <n v="1250970.9499489299"/>
  </r>
  <r>
    <x v="0"/>
    <x v="0"/>
    <x v="0"/>
    <x v="9"/>
    <x v="20"/>
    <s v="SE4A"/>
    <x v="13"/>
    <x v="138"/>
    <x v="0"/>
    <x v="19"/>
    <n v="952.03268641470902"/>
    <n v="347491.93054136902"/>
    <n v="1250970.9499489299"/>
  </r>
  <r>
    <x v="0"/>
    <x v="0"/>
    <x v="0"/>
    <x v="9"/>
    <x v="20"/>
    <s v="SE4A"/>
    <x v="13"/>
    <x v="138"/>
    <x v="0"/>
    <x v="20"/>
    <n v="952.03268641470902"/>
    <n v="347491.93054136902"/>
    <n v="1250970.9499489299"/>
  </r>
  <r>
    <x v="0"/>
    <x v="0"/>
    <x v="0"/>
    <x v="9"/>
    <x v="20"/>
    <s v="SE4A"/>
    <x v="13"/>
    <x v="138"/>
    <x v="0"/>
    <x v="21"/>
    <n v="952.03268641470902"/>
    <n v="347491.93054136902"/>
    <n v="1250970.9499489299"/>
  </r>
  <r>
    <x v="0"/>
    <x v="0"/>
    <x v="0"/>
    <x v="9"/>
    <x v="20"/>
    <s v="SE4A"/>
    <x v="13"/>
    <x v="138"/>
    <x v="0"/>
    <x v="22"/>
    <n v="952.03268641470902"/>
    <n v="347491.93054136902"/>
    <n v="1250970.9499489299"/>
  </r>
  <r>
    <x v="0"/>
    <x v="0"/>
    <x v="0"/>
    <x v="9"/>
    <x v="20"/>
    <s v="SE4A"/>
    <x v="13"/>
    <x v="138"/>
    <x v="0"/>
    <x v="23"/>
    <n v="952.03268641470902"/>
    <n v="347491.93054136902"/>
    <n v="1250970.9499489299"/>
  </r>
  <r>
    <x v="0"/>
    <x v="0"/>
    <x v="0"/>
    <x v="9"/>
    <x v="20"/>
    <s v="SE4_EL"/>
    <x v="20"/>
    <x v="212"/>
    <x v="0"/>
    <x v="0"/>
    <n v="83.4126139777253"/>
    <n v="30445.6041018697"/>
    <n v="109604.174766731"/>
  </r>
  <r>
    <x v="0"/>
    <x v="0"/>
    <x v="0"/>
    <x v="9"/>
    <x v="20"/>
    <s v="SE4_EL"/>
    <x v="20"/>
    <x v="212"/>
    <x v="0"/>
    <x v="1"/>
    <n v="83.4126139777253"/>
    <n v="30445.6041018697"/>
    <n v="109604.174766731"/>
  </r>
  <r>
    <x v="0"/>
    <x v="0"/>
    <x v="0"/>
    <x v="9"/>
    <x v="20"/>
    <s v="SE4_EL"/>
    <x v="20"/>
    <x v="212"/>
    <x v="0"/>
    <x v="2"/>
    <n v="83.4126139777253"/>
    <n v="30445.6041018697"/>
    <n v="109604.174766731"/>
  </r>
  <r>
    <x v="0"/>
    <x v="0"/>
    <x v="0"/>
    <x v="9"/>
    <x v="20"/>
    <s v="SE4_EL"/>
    <x v="20"/>
    <x v="212"/>
    <x v="0"/>
    <x v="3"/>
    <n v="83.4126139777253"/>
    <n v="30445.6041018697"/>
    <n v="109604.174766731"/>
  </r>
  <r>
    <x v="0"/>
    <x v="0"/>
    <x v="0"/>
    <x v="9"/>
    <x v="20"/>
    <s v="SE4_EL"/>
    <x v="20"/>
    <x v="212"/>
    <x v="0"/>
    <x v="4"/>
    <n v="83.4126139777253"/>
    <n v="30445.6041018697"/>
    <n v="109604.174766731"/>
  </r>
  <r>
    <x v="0"/>
    <x v="0"/>
    <x v="0"/>
    <x v="9"/>
    <x v="20"/>
    <s v="SE4_EL"/>
    <x v="20"/>
    <x v="212"/>
    <x v="0"/>
    <x v="5"/>
    <n v="83.4126139777253"/>
    <n v="30445.6041018697"/>
    <n v="109604.174766731"/>
  </r>
  <r>
    <x v="0"/>
    <x v="0"/>
    <x v="0"/>
    <x v="9"/>
    <x v="20"/>
    <s v="SE4_EL"/>
    <x v="20"/>
    <x v="212"/>
    <x v="0"/>
    <x v="6"/>
    <n v="83.4126139777253"/>
    <n v="30445.6041018697"/>
    <n v="109604.174766731"/>
  </r>
  <r>
    <x v="0"/>
    <x v="0"/>
    <x v="0"/>
    <x v="9"/>
    <x v="20"/>
    <s v="SE4_EL"/>
    <x v="20"/>
    <x v="212"/>
    <x v="0"/>
    <x v="7"/>
    <n v="83.4126139777253"/>
    <n v="30445.6041018697"/>
    <n v="109604.174766731"/>
  </r>
  <r>
    <x v="0"/>
    <x v="0"/>
    <x v="0"/>
    <x v="9"/>
    <x v="20"/>
    <s v="SE4_EL"/>
    <x v="20"/>
    <x v="212"/>
    <x v="0"/>
    <x v="8"/>
    <n v="83.4126139777253"/>
    <n v="30445.6041018697"/>
    <n v="109604.174766731"/>
  </r>
  <r>
    <x v="0"/>
    <x v="0"/>
    <x v="0"/>
    <x v="9"/>
    <x v="20"/>
    <s v="SE4_EL"/>
    <x v="20"/>
    <x v="212"/>
    <x v="0"/>
    <x v="9"/>
    <n v="83.4126139777253"/>
    <n v="30445.6041018697"/>
    <n v="109604.174766731"/>
  </r>
  <r>
    <x v="0"/>
    <x v="0"/>
    <x v="0"/>
    <x v="9"/>
    <x v="20"/>
    <s v="SE4_EL"/>
    <x v="20"/>
    <x v="212"/>
    <x v="0"/>
    <x v="10"/>
    <n v="83.4126139777253"/>
    <n v="30445.6041018697"/>
    <n v="109604.174766731"/>
  </r>
  <r>
    <x v="0"/>
    <x v="0"/>
    <x v="0"/>
    <x v="9"/>
    <x v="20"/>
    <s v="SE4_EL"/>
    <x v="20"/>
    <x v="212"/>
    <x v="0"/>
    <x v="11"/>
    <n v="83.4126139777253"/>
    <n v="30445.6041018697"/>
    <n v="109604.174766731"/>
  </r>
  <r>
    <x v="0"/>
    <x v="0"/>
    <x v="0"/>
    <x v="9"/>
    <x v="20"/>
    <s v="SE4_EL"/>
    <x v="20"/>
    <x v="212"/>
    <x v="0"/>
    <x v="12"/>
    <n v="83.4126139777253"/>
    <n v="30445.6041018697"/>
    <n v="109604.174766731"/>
  </r>
  <r>
    <x v="0"/>
    <x v="0"/>
    <x v="0"/>
    <x v="9"/>
    <x v="20"/>
    <s v="SE4_EL"/>
    <x v="20"/>
    <x v="212"/>
    <x v="0"/>
    <x v="13"/>
    <n v="83.4126139777253"/>
    <n v="30445.6041018697"/>
    <n v="109604.174766731"/>
  </r>
  <r>
    <x v="0"/>
    <x v="0"/>
    <x v="0"/>
    <x v="9"/>
    <x v="20"/>
    <s v="SE4_EL"/>
    <x v="20"/>
    <x v="212"/>
    <x v="0"/>
    <x v="14"/>
    <n v="83.4126139777253"/>
    <n v="30445.6041018697"/>
    <n v="109604.174766731"/>
  </r>
  <r>
    <x v="0"/>
    <x v="0"/>
    <x v="0"/>
    <x v="9"/>
    <x v="20"/>
    <s v="SE4_EL"/>
    <x v="20"/>
    <x v="212"/>
    <x v="0"/>
    <x v="15"/>
    <n v="83.4126139777253"/>
    <n v="30445.6041018697"/>
    <n v="109604.174766731"/>
  </r>
  <r>
    <x v="0"/>
    <x v="0"/>
    <x v="0"/>
    <x v="9"/>
    <x v="20"/>
    <s v="SE4_EL"/>
    <x v="20"/>
    <x v="212"/>
    <x v="0"/>
    <x v="16"/>
    <n v="83.4126139777253"/>
    <n v="30445.6041018697"/>
    <n v="109604.174766731"/>
  </r>
  <r>
    <x v="0"/>
    <x v="0"/>
    <x v="0"/>
    <x v="9"/>
    <x v="20"/>
    <s v="SE4_EL"/>
    <x v="20"/>
    <x v="212"/>
    <x v="0"/>
    <x v="17"/>
    <n v="83.4126139777253"/>
    <n v="30445.6041018697"/>
    <n v="109604.174766731"/>
  </r>
  <r>
    <x v="0"/>
    <x v="0"/>
    <x v="0"/>
    <x v="9"/>
    <x v="20"/>
    <s v="SE4_EL"/>
    <x v="20"/>
    <x v="212"/>
    <x v="0"/>
    <x v="18"/>
    <n v="83.4126139777253"/>
    <n v="30445.6041018697"/>
    <n v="109604.174766731"/>
  </r>
  <r>
    <x v="0"/>
    <x v="0"/>
    <x v="0"/>
    <x v="9"/>
    <x v="20"/>
    <s v="SE4_EL"/>
    <x v="20"/>
    <x v="212"/>
    <x v="0"/>
    <x v="19"/>
    <n v="83.4126139777253"/>
    <n v="30445.6041018697"/>
    <n v="109604.174766731"/>
  </r>
  <r>
    <x v="0"/>
    <x v="0"/>
    <x v="0"/>
    <x v="9"/>
    <x v="20"/>
    <s v="SE4_EL"/>
    <x v="20"/>
    <x v="212"/>
    <x v="0"/>
    <x v="20"/>
    <n v="83.4126139777253"/>
    <n v="30445.6041018697"/>
    <n v="109604.174766731"/>
  </r>
  <r>
    <x v="0"/>
    <x v="0"/>
    <x v="0"/>
    <x v="9"/>
    <x v="20"/>
    <s v="SE4_EL"/>
    <x v="20"/>
    <x v="212"/>
    <x v="0"/>
    <x v="21"/>
    <n v="83.4126139777253"/>
    <n v="30445.6041018697"/>
    <n v="109604.174766731"/>
  </r>
  <r>
    <x v="0"/>
    <x v="0"/>
    <x v="0"/>
    <x v="9"/>
    <x v="20"/>
    <s v="SE4_EL"/>
    <x v="20"/>
    <x v="212"/>
    <x v="0"/>
    <x v="22"/>
    <n v="83.4126139777253"/>
    <n v="30445.6041018697"/>
    <n v="109604.174766731"/>
  </r>
  <r>
    <x v="0"/>
    <x v="0"/>
    <x v="0"/>
    <x v="9"/>
    <x v="20"/>
    <s v="SE4_EL"/>
    <x v="20"/>
    <x v="212"/>
    <x v="0"/>
    <x v="23"/>
    <n v="83.4126139777253"/>
    <n v="30445.6041018697"/>
    <n v="109604.174766731"/>
  </r>
  <r>
    <x v="0"/>
    <x v="0"/>
    <x v="0"/>
    <x v="9"/>
    <x v="20"/>
    <s v="SE4_EL"/>
    <x v="20"/>
    <x v="213"/>
    <x v="0"/>
    <x v="0"/>
    <n v="11.356556143732901"/>
    <n v="4145.1429924625199"/>
    <n v="14922.514772865101"/>
  </r>
  <r>
    <x v="0"/>
    <x v="0"/>
    <x v="0"/>
    <x v="9"/>
    <x v="20"/>
    <s v="SE4_EL"/>
    <x v="20"/>
    <x v="213"/>
    <x v="0"/>
    <x v="1"/>
    <n v="11.356556143732901"/>
    <n v="4145.1429924625199"/>
    <n v="14922.514772865101"/>
  </r>
  <r>
    <x v="0"/>
    <x v="0"/>
    <x v="0"/>
    <x v="9"/>
    <x v="20"/>
    <s v="SE4_EL"/>
    <x v="20"/>
    <x v="213"/>
    <x v="0"/>
    <x v="2"/>
    <n v="11.356556143732901"/>
    <n v="4145.1429924625199"/>
    <n v="14922.514772865101"/>
  </r>
  <r>
    <x v="0"/>
    <x v="0"/>
    <x v="0"/>
    <x v="9"/>
    <x v="20"/>
    <s v="SE4_EL"/>
    <x v="20"/>
    <x v="213"/>
    <x v="0"/>
    <x v="3"/>
    <n v="11.356556143732901"/>
    <n v="4145.1429924625199"/>
    <n v="14922.514772865101"/>
  </r>
  <r>
    <x v="0"/>
    <x v="0"/>
    <x v="0"/>
    <x v="9"/>
    <x v="20"/>
    <s v="SE4_EL"/>
    <x v="20"/>
    <x v="213"/>
    <x v="0"/>
    <x v="4"/>
    <n v="11.356556143732901"/>
    <n v="4145.1429924625199"/>
    <n v="14922.514772865101"/>
  </r>
  <r>
    <x v="0"/>
    <x v="0"/>
    <x v="0"/>
    <x v="9"/>
    <x v="20"/>
    <s v="SE4_EL"/>
    <x v="20"/>
    <x v="213"/>
    <x v="0"/>
    <x v="5"/>
    <n v="11.356556143732901"/>
    <n v="4145.1429924625199"/>
    <n v="14922.514772865101"/>
  </r>
  <r>
    <x v="0"/>
    <x v="0"/>
    <x v="0"/>
    <x v="9"/>
    <x v="20"/>
    <s v="SE4_EL"/>
    <x v="20"/>
    <x v="213"/>
    <x v="0"/>
    <x v="6"/>
    <n v="11.356556143732901"/>
    <n v="4145.1429924625199"/>
    <n v="14922.514772865101"/>
  </r>
  <r>
    <x v="0"/>
    <x v="0"/>
    <x v="0"/>
    <x v="9"/>
    <x v="20"/>
    <s v="SE4_EL"/>
    <x v="20"/>
    <x v="213"/>
    <x v="0"/>
    <x v="7"/>
    <n v="11.356556143732901"/>
    <n v="4145.1429924625199"/>
    <n v="14922.514772865101"/>
  </r>
  <r>
    <x v="0"/>
    <x v="0"/>
    <x v="0"/>
    <x v="9"/>
    <x v="20"/>
    <s v="SE4_EL"/>
    <x v="20"/>
    <x v="213"/>
    <x v="0"/>
    <x v="8"/>
    <n v="11.356556143732901"/>
    <n v="4145.1429924625199"/>
    <n v="14922.514772865101"/>
  </r>
  <r>
    <x v="0"/>
    <x v="0"/>
    <x v="0"/>
    <x v="9"/>
    <x v="20"/>
    <s v="SE4_EL"/>
    <x v="20"/>
    <x v="213"/>
    <x v="0"/>
    <x v="9"/>
    <n v="11.356556143732901"/>
    <n v="4145.1429924625199"/>
    <n v="14922.514772865101"/>
  </r>
  <r>
    <x v="0"/>
    <x v="0"/>
    <x v="0"/>
    <x v="9"/>
    <x v="20"/>
    <s v="SE4_EL"/>
    <x v="20"/>
    <x v="213"/>
    <x v="0"/>
    <x v="10"/>
    <n v="11.356556143732901"/>
    <n v="4145.1429924625199"/>
    <n v="14922.514772865101"/>
  </r>
  <r>
    <x v="0"/>
    <x v="0"/>
    <x v="0"/>
    <x v="9"/>
    <x v="20"/>
    <s v="SE4_EL"/>
    <x v="20"/>
    <x v="213"/>
    <x v="0"/>
    <x v="11"/>
    <n v="11.356556143732901"/>
    <n v="4145.1429924625199"/>
    <n v="14922.514772865101"/>
  </r>
  <r>
    <x v="0"/>
    <x v="0"/>
    <x v="0"/>
    <x v="9"/>
    <x v="20"/>
    <s v="SE4_EL"/>
    <x v="20"/>
    <x v="213"/>
    <x v="0"/>
    <x v="12"/>
    <n v="11.356556143732901"/>
    <n v="4145.1429924625199"/>
    <n v="14922.514772865101"/>
  </r>
  <r>
    <x v="0"/>
    <x v="0"/>
    <x v="0"/>
    <x v="9"/>
    <x v="20"/>
    <s v="SE4_EL"/>
    <x v="20"/>
    <x v="213"/>
    <x v="0"/>
    <x v="13"/>
    <n v="11.356556143732901"/>
    <n v="4145.1429924625199"/>
    <n v="14922.514772865101"/>
  </r>
  <r>
    <x v="0"/>
    <x v="0"/>
    <x v="0"/>
    <x v="9"/>
    <x v="20"/>
    <s v="SE4_EL"/>
    <x v="20"/>
    <x v="213"/>
    <x v="0"/>
    <x v="14"/>
    <n v="11.356556143732901"/>
    <n v="4145.1429924625199"/>
    <n v="14922.514772865101"/>
  </r>
  <r>
    <x v="0"/>
    <x v="0"/>
    <x v="0"/>
    <x v="9"/>
    <x v="20"/>
    <s v="SE4_EL"/>
    <x v="20"/>
    <x v="213"/>
    <x v="0"/>
    <x v="15"/>
    <n v="11.356556143732901"/>
    <n v="4145.1429924625199"/>
    <n v="14922.514772865101"/>
  </r>
  <r>
    <x v="0"/>
    <x v="0"/>
    <x v="0"/>
    <x v="9"/>
    <x v="20"/>
    <s v="SE4_EL"/>
    <x v="20"/>
    <x v="213"/>
    <x v="0"/>
    <x v="16"/>
    <n v="11.356556143732901"/>
    <n v="4145.1429924625199"/>
    <n v="14922.514772865101"/>
  </r>
  <r>
    <x v="0"/>
    <x v="0"/>
    <x v="0"/>
    <x v="9"/>
    <x v="20"/>
    <s v="SE4_EL"/>
    <x v="20"/>
    <x v="213"/>
    <x v="0"/>
    <x v="17"/>
    <n v="11.356556143732901"/>
    <n v="4145.1429924625199"/>
    <n v="14922.514772865101"/>
  </r>
  <r>
    <x v="0"/>
    <x v="0"/>
    <x v="0"/>
    <x v="9"/>
    <x v="20"/>
    <s v="SE4_EL"/>
    <x v="20"/>
    <x v="213"/>
    <x v="0"/>
    <x v="18"/>
    <n v="11.356556143732901"/>
    <n v="4145.1429924625199"/>
    <n v="14922.514772865101"/>
  </r>
  <r>
    <x v="0"/>
    <x v="0"/>
    <x v="0"/>
    <x v="9"/>
    <x v="20"/>
    <s v="SE4_EL"/>
    <x v="20"/>
    <x v="213"/>
    <x v="0"/>
    <x v="19"/>
    <n v="11.356556143732901"/>
    <n v="4145.1429924625199"/>
    <n v="14922.514772865101"/>
  </r>
  <r>
    <x v="0"/>
    <x v="0"/>
    <x v="0"/>
    <x v="9"/>
    <x v="20"/>
    <s v="SE4_EL"/>
    <x v="20"/>
    <x v="213"/>
    <x v="0"/>
    <x v="20"/>
    <n v="11.356556143732901"/>
    <n v="4145.1429924625199"/>
    <n v="14922.514772865101"/>
  </r>
  <r>
    <x v="0"/>
    <x v="0"/>
    <x v="0"/>
    <x v="9"/>
    <x v="20"/>
    <s v="SE4_EL"/>
    <x v="20"/>
    <x v="213"/>
    <x v="0"/>
    <x v="21"/>
    <n v="11.356556143732901"/>
    <n v="4145.1429924625199"/>
    <n v="14922.514772865101"/>
  </r>
  <r>
    <x v="0"/>
    <x v="0"/>
    <x v="0"/>
    <x v="9"/>
    <x v="20"/>
    <s v="SE4_EL"/>
    <x v="20"/>
    <x v="213"/>
    <x v="0"/>
    <x v="22"/>
    <n v="11.356556143732901"/>
    <n v="4145.1429924625199"/>
    <n v="14922.514772865101"/>
  </r>
  <r>
    <x v="0"/>
    <x v="0"/>
    <x v="0"/>
    <x v="9"/>
    <x v="20"/>
    <s v="SE4_EL"/>
    <x v="20"/>
    <x v="213"/>
    <x v="0"/>
    <x v="23"/>
    <n v="11.356556143732901"/>
    <n v="4145.1429924625199"/>
    <n v="14922.514772865101"/>
  </r>
  <r>
    <x v="0"/>
    <x v="0"/>
    <x v="0"/>
    <x v="9"/>
    <x v="20"/>
    <s v="SE4_EL"/>
    <x v="20"/>
    <x v="202"/>
    <x v="0"/>
    <x v="0"/>
    <n v="4.6528402183990902"/>
    <n v="1698.2866797156701"/>
    <n v="6113.8320469764103"/>
  </r>
  <r>
    <x v="0"/>
    <x v="0"/>
    <x v="0"/>
    <x v="9"/>
    <x v="20"/>
    <s v="SE4_EL"/>
    <x v="20"/>
    <x v="202"/>
    <x v="0"/>
    <x v="1"/>
    <n v="4.6528402183990902"/>
    <n v="1698.2866797156701"/>
    <n v="6113.8320469764103"/>
  </r>
  <r>
    <x v="0"/>
    <x v="0"/>
    <x v="0"/>
    <x v="9"/>
    <x v="20"/>
    <s v="SE4_EL"/>
    <x v="20"/>
    <x v="202"/>
    <x v="0"/>
    <x v="2"/>
    <n v="4.6528402183990902"/>
    <n v="1698.2866797156701"/>
    <n v="6113.8320469764103"/>
  </r>
  <r>
    <x v="0"/>
    <x v="0"/>
    <x v="0"/>
    <x v="9"/>
    <x v="20"/>
    <s v="SE4_EL"/>
    <x v="20"/>
    <x v="202"/>
    <x v="0"/>
    <x v="3"/>
    <n v="4.6528402183990902"/>
    <n v="1698.2866797156701"/>
    <n v="6113.8320469764103"/>
  </r>
  <r>
    <x v="0"/>
    <x v="0"/>
    <x v="0"/>
    <x v="9"/>
    <x v="20"/>
    <s v="SE4_EL"/>
    <x v="20"/>
    <x v="202"/>
    <x v="0"/>
    <x v="4"/>
    <n v="4.6528402183990902"/>
    <n v="1698.2866797156701"/>
    <n v="6113.8320469764103"/>
  </r>
  <r>
    <x v="0"/>
    <x v="0"/>
    <x v="0"/>
    <x v="9"/>
    <x v="20"/>
    <s v="SE4_EL"/>
    <x v="20"/>
    <x v="202"/>
    <x v="0"/>
    <x v="5"/>
    <n v="4.6528402183990902"/>
    <n v="1698.2866797156701"/>
    <n v="6113.8320469764103"/>
  </r>
  <r>
    <x v="0"/>
    <x v="0"/>
    <x v="0"/>
    <x v="9"/>
    <x v="20"/>
    <s v="SE4_EL"/>
    <x v="20"/>
    <x v="202"/>
    <x v="0"/>
    <x v="6"/>
    <n v="4.6528402183990902"/>
    <n v="1698.2866797156701"/>
    <n v="6113.8320469764103"/>
  </r>
  <r>
    <x v="0"/>
    <x v="0"/>
    <x v="0"/>
    <x v="9"/>
    <x v="20"/>
    <s v="SE4_EL"/>
    <x v="20"/>
    <x v="202"/>
    <x v="0"/>
    <x v="7"/>
    <n v="4.6528402183990902"/>
    <n v="1698.2866797156701"/>
    <n v="6113.8320469764103"/>
  </r>
  <r>
    <x v="0"/>
    <x v="0"/>
    <x v="0"/>
    <x v="9"/>
    <x v="20"/>
    <s v="SE4_EL"/>
    <x v="20"/>
    <x v="202"/>
    <x v="0"/>
    <x v="8"/>
    <n v="4.6528402183990902"/>
    <n v="1698.2866797156701"/>
    <n v="6113.8320469764103"/>
  </r>
  <r>
    <x v="0"/>
    <x v="0"/>
    <x v="0"/>
    <x v="9"/>
    <x v="20"/>
    <s v="SE4_EL"/>
    <x v="20"/>
    <x v="202"/>
    <x v="0"/>
    <x v="9"/>
    <n v="4.6528402183990902"/>
    <n v="1698.2866797156701"/>
    <n v="6113.8320469764103"/>
  </r>
  <r>
    <x v="0"/>
    <x v="0"/>
    <x v="0"/>
    <x v="9"/>
    <x v="20"/>
    <s v="SE4_EL"/>
    <x v="20"/>
    <x v="202"/>
    <x v="0"/>
    <x v="10"/>
    <n v="4.6528402183990902"/>
    <n v="1698.2866797156701"/>
    <n v="6113.8320469764103"/>
  </r>
  <r>
    <x v="0"/>
    <x v="0"/>
    <x v="0"/>
    <x v="9"/>
    <x v="20"/>
    <s v="SE4_EL"/>
    <x v="20"/>
    <x v="202"/>
    <x v="0"/>
    <x v="11"/>
    <n v="4.6528402183990902"/>
    <n v="1698.2866797156701"/>
    <n v="6113.8320469764103"/>
  </r>
  <r>
    <x v="0"/>
    <x v="0"/>
    <x v="0"/>
    <x v="9"/>
    <x v="20"/>
    <s v="SE4_EL"/>
    <x v="20"/>
    <x v="202"/>
    <x v="0"/>
    <x v="12"/>
    <n v="4.6528402183990902"/>
    <n v="1698.2866797156701"/>
    <n v="6113.8320469764103"/>
  </r>
  <r>
    <x v="0"/>
    <x v="0"/>
    <x v="0"/>
    <x v="9"/>
    <x v="20"/>
    <s v="SE4_EL"/>
    <x v="20"/>
    <x v="202"/>
    <x v="0"/>
    <x v="13"/>
    <n v="4.6528402183990902"/>
    <n v="1698.2866797156701"/>
    <n v="6113.8320469764103"/>
  </r>
  <r>
    <x v="0"/>
    <x v="0"/>
    <x v="0"/>
    <x v="9"/>
    <x v="20"/>
    <s v="SE4_EL"/>
    <x v="20"/>
    <x v="202"/>
    <x v="0"/>
    <x v="14"/>
    <n v="4.6528402183990902"/>
    <n v="1698.2866797156701"/>
    <n v="6113.8320469764103"/>
  </r>
  <r>
    <x v="0"/>
    <x v="0"/>
    <x v="0"/>
    <x v="9"/>
    <x v="20"/>
    <s v="SE4_EL"/>
    <x v="20"/>
    <x v="202"/>
    <x v="0"/>
    <x v="15"/>
    <n v="4.6528402183990902"/>
    <n v="1698.2866797156701"/>
    <n v="6113.8320469764103"/>
  </r>
  <r>
    <x v="0"/>
    <x v="0"/>
    <x v="0"/>
    <x v="9"/>
    <x v="20"/>
    <s v="SE4_EL"/>
    <x v="20"/>
    <x v="202"/>
    <x v="0"/>
    <x v="16"/>
    <n v="4.6528402183990902"/>
    <n v="1698.2866797156701"/>
    <n v="6113.8320469764103"/>
  </r>
  <r>
    <x v="0"/>
    <x v="0"/>
    <x v="0"/>
    <x v="9"/>
    <x v="20"/>
    <s v="SE4_EL"/>
    <x v="20"/>
    <x v="202"/>
    <x v="0"/>
    <x v="17"/>
    <n v="4.6528402183990902"/>
    <n v="1698.2866797156701"/>
    <n v="6113.8320469764103"/>
  </r>
  <r>
    <x v="0"/>
    <x v="0"/>
    <x v="0"/>
    <x v="9"/>
    <x v="20"/>
    <s v="SE4_EL"/>
    <x v="20"/>
    <x v="202"/>
    <x v="0"/>
    <x v="18"/>
    <n v="4.6528402183990902"/>
    <n v="1698.2866797156701"/>
    <n v="6113.8320469764103"/>
  </r>
  <r>
    <x v="0"/>
    <x v="0"/>
    <x v="0"/>
    <x v="9"/>
    <x v="20"/>
    <s v="SE4_EL"/>
    <x v="20"/>
    <x v="202"/>
    <x v="0"/>
    <x v="19"/>
    <n v="4.6528402183990902"/>
    <n v="1698.2866797156701"/>
    <n v="6113.8320469764103"/>
  </r>
  <r>
    <x v="0"/>
    <x v="0"/>
    <x v="0"/>
    <x v="9"/>
    <x v="20"/>
    <s v="SE4_EL"/>
    <x v="20"/>
    <x v="202"/>
    <x v="0"/>
    <x v="20"/>
    <n v="4.6528402183990902"/>
    <n v="1698.2866797156701"/>
    <n v="6113.8320469764103"/>
  </r>
  <r>
    <x v="0"/>
    <x v="0"/>
    <x v="0"/>
    <x v="9"/>
    <x v="20"/>
    <s v="SE4_EL"/>
    <x v="20"/>
    <x v="202"/>
    <x v="0"/>
    <x v="21"/>
    <n v="4.6528402183990902"/>
    <n v="1698.2866797156701"/>
    <n v="6113.8320469764103"/>
  </r>
  <r>
    <x v="0"/>
    <x v="0"/>
    <x v="0"/>
    <x v="9"/>
    <x v="20"/>
    <s v="SE4_EL"/>
    <x v="20"/>
    <x v="202"/>
    <x v="0"/>
    <x v="22"/>
    <n v="4.6528402183990902"/>
    <n v="1698.2866797156701"/>
    <n v="6113.8320469764103"/>
  </r>
  <r>
    <x v="0"/>
    <x v="0"/>
    <x v="0"/>
    <x v="9"/>
    <x v="20"/>
    <s v="SE4_EL"/>
    <x v="20"/>
    <x v="202"/>
    <x v="0"/>
    <x v="23"/>
    <n v="4.6528402183990902"/>
    <n v="1698.2866797156701"/>
    <n v="6113.8320469764103"/>
  </r>
  <r>
    <x v="0"/>
    <x v="0"/>
    <x v="0"/>
    <x v="9"/>
    <x v="20"/>
    <s v="SE4_EL"/>
    <x v="4"/>
    <x v="214"/>
    <x v="0"/>
    <x v="0"/>
    <n v="2.9411764705882399"/>
    <n v="1073.5294117647099"/>
    <n v="3864.7058823529401"/>
  </r>
  <r>
    <x v="0"/>
    <x v="0"/>
    <x v="0"/>
    <x v="9"/>
    <x v="20"/>
    <s v="SE4_EL"/>
    <x v="4"/>
    <x v="214"/>
    <x v="0"/>
    <x v="1"/>
    <n v="2.9411764705882399"/>
    <n v="1073.5294117647099"/>
    <n v="3864.7058823529401"/>
  </r>
  <r>
    <x v="0"/>
    <x v="0"/>
    <x v="0"/>
    <x v="9"/>
    <x v="20"/>
    <s v="SE4_EL"/>
    <x v="4"/>
    <x v="214"/>
    <x v="0"/>
    <x v="2"/>
    <n v="2.9411764705882399"/>
    <n v="1073.5294117647099"/>
    <n v="3864.7058823529401"/>
  </r>
  <r>
    <x v="0"/>
    <x v="0"/>
    <x v="0"/>
    <x v="9"/>
    <x v="20"/>
    <s v="SE4_EL"/>
    <x v="4"/>
    <x v="214"/>
    <x v="0"/>
    <x v="3"/>
    <n v="2.9411764705882399"/>
    <n v="1073.5294117647099"/>
    <n v="3864.7058823529401"/>
  </r>
  <r>
    <x v="0"/>
    <x v="0"/>
    <x v="0"/>
    <x v="9"/>
    <x v="20"/>
    <s v="SE4_EL"/>
    <x v="4"/>
    <x v="214"/>
    <x v="0"/>
    <x v="4"/>
    <n v="2.9411764705882399"/>
    <n v="1073.5294117647099"/>
    <n v="3864.7058823529401"/>
  </r>
  <r>
    <x v="0"/>
    <x v="0"/>
    <x v="0"/>
    <x v="9"/>
    <x v="20"/>
    <s v="SE4_EL"/>
    <x v="4"/>
    <x v="214"/>
    <x v="0"/>
    <x v="5"/>
    <n v="2.9411764705882399"/>
    <n v="1073.5294117647099"/>
    <n v="3864.7058823529401"/>
  </r>
  <r>
    <x v="0"/>
    <x v="0"/>
    <x v="0"/>
    <x v="9"/>
    <x v="20"/>
    <s v="SE4_EL"/>
    <x v="4"/>
    <x v="214"/>
    <x v="0"/>
    <x v="6"/>
    <n v="2.9411764705882399"/>
    <n v="1073.5294117647099"/>
    <n v="3864.7058823529401"/>
  </r>
  <r>
    <x v="0"/>
    <x v="0"/>
    <x v="0"/>
    <x v="9"/>
    <x v="20"/>
    <s v="SE4_EL"/>
    <x v="4"/>
    <x v="214"/>
    <x v="0"/>
    <x v="7"/>
    <n v="2.9411764705882399"/>
    <n v="1073.5294117647099"/>
    <n v="3864.7058823529401"/>
  </r>
  <r>
    <x v="0"/>
    <x v="0"/>
    <x v="0"/>
    <x v="9"/>
    <x v="20"/>
    <s v="SE4_EL"/>
    <x v="4"/>
    <x v="214"/>
    <x v="0"/>
    <x v="8"/>
    <n v="2.9411764705882399"/>
    <n v="1073.5294117647099"/>
    <n v="3864.7058823529401"/>
  </r>
  <r>
    <x v="0"/>
    <x v="0"/>
    <x v="0"/>
    <x v="9"/>
    <x v="20"/>
    <s v="SE4_EL"/>
    <x v="4"/>
    <x v="214"/>
    <x v="0"/>
    <x v="9"/>
    <n v="2.9411764705882399"/>
    <n v="1073.5294117647099"/>
    <n v="3864.7058823529401"/>
  </r>
  <r>
    <x v="0"/>
    <x v="0"/>
    <x v="0"/>
    <x v="9"/>
    <x v="20"/>
    <s v="SE4_EL"/>
    <x v="4"/>
    <x v="214"/>
    <x v="0"/>
    <x v="10"/>
    <n v="2.9411764705882399"/>
    <n v="1073.5294117647099"/>
    <n v="3864.7058823529401"/>
  </r>
  <r>
    <x v="0"/>
    <x v="0"/>
    <x v="0"/>
    <x v="9"/>
    <x v="20"/>
    <s v="SE4_EL"/>
    <x v="4"/>
    <x v="214"/>
    <x v="0"/>
    <x v="11"/>
    <n v="2.9411764705882399"/>
    <n v="1073.5294117647099"/>
    <n v="3864.7058823529401"/>
  </r>
  <r>
    <x v="0"/>
    <x v="0"/>
    <x v="0"/>
    <x v="9"/>
    <x v="20"/>
    <s v="SE4_EL"/>
    <x v="4"/>
    <x v="214"/>
    <x v="0"/>
    <x v="12"/>
    <n v="2.9411764705882399"/>
    <n v="1073.5294117647099"/>
    <n v="3864.7058823529401"/>
  </r>
  <r>
    <x v="0"/>
    <x v="0"/>
    <x v="0"/>
    <x v="9"/>
    <x v="20"/>
    <s v="SE4_EL"/>
    <x v="4"/>
    <x v="214"/>
    <x v="0"/>
    <x v="13"/>
    <n v="2.9411764705882399"/>
    <n v="1073.5294117647099"/>
    <n v="3864.7058823529401"/>
  </r>
  <r>
    <x v="0"/>
    <x v="0"/>
    <x v="0"/>
    <x v="9"/>
    <x v="20"/>
    <s v="SE4_EL"/>
    <x v="4"/>
    <x v="214"/>
    <x v="0"/>
    <x v="14"/>
    <n v="2.9411764705882399"/>
    <n v="1073.5294117647099"/>
    <n v="3864.7058823529401"/>
  </r>
  <r>
    <x v="0"/>
    <x v="0"/>
    <x v="0"/>
    <x v="9"/>
    <x v="20"/>
    <s v="SE4_EL"/>
    <x v="4"/>
    <x v="214"/>
    <x v="0"/>
    <x v="15"/>
    <n v="2.9411764705882399"/>
    <n v="1073.5294117647099"/>
    <n v="3864.7058823529401"/>
  </r>
  <r>
    <x v="0"/>
    <x v="0"/>
    <x v="0"/>
    <x v="9"/>
    <x v="20"/>
    <s v="SE4_EL"/>
    <x v="4"/>
    <x v="214"/>
    <x v="0"/>
    <x v="16"/>
    <n v="2.9411764705882399"/>
    <n v="1073.5294117647099"/>
    <n v="3864.7058823529401"/>
  </r>
  <r>
    <x v="0"/>
    <x v="0"/>
    <x v="0"/>
    <x v="9"/>
    <x v="20"/>
    <s v="SE4_EL"/>
    <x v="4"/>
    <x v="214"/>
    <x v="0"/>
    <x v="17"/>
    <n v="2.9411764705882399"/>
    <n v="1073.5294117647099"/>
    <n v="3864.7058823529401"/>
  </r>
  <r>
    <x v="0"/>
    <x v="0"/>
    <x v="0"/>
    <x v="9"/>
    <x v="20"/>
    <s v="SE4_EL"/>
    <x v="4"/>
    <x v="214"/>
    <x v="0"/>
    <x v="18"/>
    <n v="2.9411764705882399"/>
    <n v="1073.5294117647099"/>
    <n v="3864.7058823529401"/>
  </r>
  <r>
    <x v="0"/>
    <x v="0"/>
    <x v="0"/>
    <x v="9"/>
    <x v="20"/>
    <s v="SE4_EL"/>
    <x v="4"/>
    <x v="214"/>
    <x v="0"/>
    <x v="19"/>
    <n v="2.9411764705882399"/>
    <n v="1073.5294117647099"/>
    <n v="3864.7058823529401"/>
  </r>
  <r>
    <x v="0"/>
    <x v="0"/>
    <x v="0"/>
    <x v="9"/>
    <x v="20"/>
    <s v="SE4_EL"/>
    <x v="4"/>
    <x v="214"/>
    <x v="0"/>
    <x v="20"/>
    <n v="2.9411764705882399"/>
    <n v="1073.5294117647099"/>
    <n v="3864.7058823529401"/>
  </r>
  <r>
    <x v="0"/>
    <x v="0"/>
    <x v="0"/>
    <x v="9"/>
    <x v="20"/>
    <s v="SE4_EL"/>
    <x v="4"/>
    <x v="214"/>
    <x v="0"/>
    <x v="21"/>
    <n v="2.9411764705882399"/>
    <n v="1073.5294117647099"/>
    <n v="3864.7058823529401"/>
  </r>
  <r>
    <x v="0"/>
    <x v="0"/>
    <x v="0"/>
    <x v="9"/>
    <x v="20"/>
    <s v="SE4_EL"/>
    <x v="4"/>
    <x v="214"/>
    <x v="0"/>
    <x v="22"/>
    <n v="2.9411764705882399"/>
    <n v="1073.5294117647099"/>
    <n v="3864.7058823529401"/>
  </r>
  <r>
    <x v="0"/>
    <x v="0"/>
    <x v="0"/>
    <x v="9"/>
    <x v="20"/>
    <s v="SE4_EL"/>
    <x v="4"/>
    <x v="214"/>
    <x v="0"/>
    <x v="23"/>
    <n v="2.9411764705882399"/>
    <n v="1073.5294117647099"/>
    <n v="3864.7058823529401"/>
  </r>
  <r>
    <x v="0"/>
    <x v="0"/>
    <x v="0"/>
    <x v="9"/>
    <x v="20"/>
    <s v="SE4_EL"/>
    <x v="5"/>
    <x v="120"/>
    <x v="0"/>
    <x v="0"/>
    <n v="10.4166666666666"/>
    <n v="3802.0833333333198"/>
    <n v="13687.4999999999"/>
  </r>
  <r>
    <x v="0"/>
    <x v="0"/>
    <x v="0"/>
    <x v="9"/>
    <x v="20"/>
    <s v="SE4_EL"/>
    <x v="5"/>
    <x v="120"/>
    <x v="0"/>
    <x v="1"/>
    <n v="10.4166666666666"/>
    <n v="3802.0833333333198"/>
    <n v="13687.4999999999"/>
  </r>
  <r>
    <x v="0"/>
    <x v="0"/>
    <x v="0"/>
    <x v="9"/>
    <x v="20"/>
    <s v="SE4_EL"/>
    <x v="5"/>
    <x v="120"/>
    <x v="0"/>
    <x v="2"/>
    <n v="10.4166666666666"/>
    <n v="3802.0833333333198"/>
    <n v="13687.4999999999"/>
  </r>
  <r>
    <x v="0"/>
    <x v="0"/>
    <x v="0"/>
    <x v="9"/>
    <x v="20"/>
    <s v="SE4_EL"/>
    <x v="5"/>
    <x v="120"/>
    <x v="0"/>
    <x v="3"/>
    <n v="10.4166666666666"/>
    <n v="3802.0833333333198"/>
    <n v="13687.4999999999"/>
  </r>
  <r>
    <x v="0"/>
    <x v="0"/>
    <x v="0"/>
    <x v="9"/>
    <x v="20"/>
    <s v="SE4_EL"/>
    <x v="5"/>
    <x v="120"/>
    <x v="0"/>
    <x v="4"/>
    <n v="10.4166666666666"/>
    <n v="3802.0833333333198"/>
    <n v="13687.4999999999"/>
  </r>
  <r>
    <x v="0"/>
    <x v="0"/>
    <x v="0"/>
    <x v="9"/>
    <x v="20"/>
    <s v="SE4_EL"/>
    <x v="5"/>
    <x v="120"/>
    <x v="0"/>
    <x v="5"/>
    <n v="10.4166666666666"/>
    <n v="3802.0833333333198"/>
    <n v="13687.4999999999"/>
  </r>
  <r>
    <x v="0"/>
    <x v="0"/>
    <x v="0"/>
    <x v="9"/>
    <x v="20"/>
    <s v="SE4_EL"/>
    <x v="5"/>
    <x v="120"/>
    <x v="0"/>
    <x v="6"/>
    <n v="10.4166666666666"/>
    <n v="3802.0833333333198"/>
    <n v="13687.4999999999"/>
  </r>
  <r>
    <x v="0"/>
    <x v="0"/>
    <x v="0"/>
    <x v="9"/>
    <x v="20"/>
    <s v="SE4_EL"/>
    <x v="5"/>
    <x v="120"/>
    <x v="0"/>
    <x v="7"/>
    <n v="10.4166666666666"/>
    <n v="3802.0833333333198"/>
    <n v="13687.4999999999"/>
  </r>
  <r>
    <x v="0"/>
    <x v="0"/>
    <x v="0"/>
    <x v="9"/>
    <x v="20"/>
    <s v="SE4_EL"/>
    <x v="5"/>
    <x v="120"/>
    <x v="0"/>
    <x v="8"/>
    <n v="10.4166666666666"/>
    <n v="3802.0833333333198"/>
    <n v="13687.4999999999"/>
  </r>
  <r>
    <x v="0"/>
    <x v="0"/>
    <x v="0"/>
    <x v="9"/>
    <x v="20"/>
    <s v="SE4_EL"/>
    <x v="5"/>
    <x v="120"/>
    <x v="0"/>
    <x v="9"/>
    <n v="10.4166666666666"/>
    <n v="3802.0833333333198"/>
    <n v="13687.4999999999"/>
  </r>
  <r>
    <x v="0"/>
    <x v="0"/>
    <x v="0"/>
    <x v="9"/>
    <x v="20"/>
    <s v="SE4_EL"/>
    <x v="5"/>
    <x v="120"/>
    <x v="0"/>
    <x v="10"/>
    <n v="10.4166666666666"/>
    <n v="3802.0833333333198"/>
    <n v="13687.4999999999"/>
  </r>
  <r>
    <x v="0"/>
    <x v="0"/>
    <x v="0"/>
    <x v="9"/>
    <x v="20"/>
    <s v="SE4_EL"/>
    <x v="5"/>
    <x v="120"/>
    <x v="0"/>
    <x v="11"/>
    <n v="10.4166666666666"/>
    <n v="3802.0833333333198"/>
    <n v="13687.4999999999"/>
  </r>
  <r>
    <x v="0"/>
    <x v="0"/>
    <x v="0"/>
    <x v="9"/>
    <x v="20"/>
    <s v="SE4_EL"/>
    <x v="5"/>
    <x v="120"/>
    <x v="0"/>
    <x v="12"/>
    <n v="10.4166666666666"/>
    <n v="3802.0833333333198"/>
    <n v="13687.4999999999"/>
  </r>
  <r>
    <x v="0"/>
    <x v="0"/>
    <x v="0"/>
    <x v="9"/>
    <x v="20"/>
    <s v="SE4_EL"/>
    <x v="5"/>
    <x v="120"/>
    <x v="0"/>
    <x v="13"/>
    <n v="10.4166666666666"/>
    <n v="3802.0833333333198"/>
    <n v="13687.4999999999"/>
  </r>
  <r>
    <x v="0"/>
    <x v="0"/>
    <x v="0"/>
    <x v="9"/>
    <x v="20"/>
    <s v="SE4_EL"/>
    <x v="5"/>
    <x v="120"/>
    <x v="0"/>
    <x v="14"/>
    <n v="10.4166666666666"/>
    <n v="3802.0833333333198"/>
    <n v="13687.4999999999"/>
  </r>
  <r>
    <x v="0"/>
    <x v="0"/>
    <x v="0"/>
    <x v="9"/>
    <x v="20"/>
    <s v="SE4_EL"/>
    <x v="5"/>
    <x v="120"/>
    <x v="0"/>
    <x v="15"/>
    <n v="10.4166666666666"/>
    <n v="3802.0833333333198"/>
    <n v="13687.4999999999"/>
  </r>
  <r>
    <x v="0"/>
    <x v="0"/>
    <x v="0"/>
    <x v="9"/>
    <x v="20"/>
    <s v="SE4_EL"/>
    <x v="5"/>
    <x v="120"/>
    <x v="0"/>
    <x v="16"/>
    <n v="10.4166666666666"/>
    <n v="3802.0833333333198"/>
    <n v="13687.4999999999"/>
  </r>
  <r>
    <x v="0"/>
    <x v="0"/>
    <x v="0"/>
    <x v="9"/>
    <x v="20"/>
    <s v="SE4_EL"/>
    <x v="5"/>
    <x v="120"/>
    <x v="0"/>
    <x v="17"/>
    <n v="10.4166666666666"/>
    <n v="3802.0833333333198"/>
    <n v="13687.4999999999"/>
  </r>
  <r>
    <x v="0"/>
    <x v="0"/>
    <x v="0"/>
    <x v="9"/>
    <x v="20"/>
    <s v="SE4_EL"/>
    <x v="5"/>
    <x v="120"/>
    <x v="0"/>
    <x v="18"/>
    <n v="10.4166666666666"/>
    <n v="3802.0833333333198"/>
    <n v="13687.4999999999"/>
  </r>
  <r>
    <x v="0"/>
    <x v="0"/>
    <x v="0"/>
    <x v="9"/>
    <x v="20"/>
    <s v="SE4_EL"/>
    <x v="5"/>
    <x v="120"/>
    <x v="0"/>
    <x v="19"/>
    <n v="10.4166666666666"/>
    <n v="3802.0833333333198"/>
    <n v="13687.4999999999"/>
  </r>
  <r>
    <x v="0"/>
    <x v="0"/>
    <x v="0"/>
    <x v="9"/>
    <x v="20"/>
    <s v="SE4_EL"/>
    <x v="5"/>
    <x v="120"/>
    <x v="0"/>
    <x v="20"/>
    <n v="10.4166666666666"/>
    <n v="3802.0833333333198"/>
    <n v="13687.4999999999"/>
  </r>
  <r>
    <x v="0"/>
    <x v="0"/>
    <x v="0"/>
    <x v="9"/>
    <x v="20"/>
    <s v="SE4_EL"/>
    <x v="5"/>
    <x v="120"/>
    <x v="0"/>
    <x v="21"/>
    <n v="10.4166666666666"/>
    <n v="3802.0833333333198"/>
    <n v="13687.4999999999"/>
  </r>
  <r>
    <x v="0"/>
    <x v="0"/>
    <x v="0"/>
    <x v="9"/>
    <x v="20"/>
    <s v="SE4_EL"/>
    <x v="5"/>
    <x v="120"/>
    <x v="0"/>
    <x v="22"/>
    <n v="10.4166666666666"/>
    <n v="3802.0833333333198"/>
    <n v="13687.4999999999"/>
  </r>
  <r>
    <x v="0"/>
    <x v="0"/>
    <x v="0"/>
    <x v="9"/>
    <x v="20"/>
    <s v="SE4_EL"/>
    <x v="5"/>
    <x v="120"/>
    <x v="0"/>
    <x v="23"/>
    <n v="10.4166666666666"/>
    <n v="3802.0833333333198"/>
    <n v="13687.4999999999"/>
  </r>
  <r>
    <x v="0"/>
    <x v="0"/>
    <x v="0"/>
    <x v="9"/>
    <x v="20"/>
    <s v="SE4_EL"/>
    <x v="7"/>
    <x v="121"/>
    <x v="0"/>
    <x v="6"/>
    <n v="15.5555555555556"/>
    <n v="5677.7777777777801"/>
    <n v="20440"/>
  </r>
  <r>
    <x v="0"/>
    <x v="0"/>
    <x v="0"/>
    <x v="9"/>
    <x v="20"/>
    <s v="SE4_EL"/>
    <x v="7"/>
    <x v="121"/>
    <x v="0"/>
    <x v="10"/>
    <n v="1.0398054609641001"/>
    <n v="379.52899325189702"/>
    <n v="1366.3043757068299"/>
  </r>
  <r>
    <x v="0"/>
    <x v="0"/>
    <x v="0"/>
    <x v="9"/>
    <x v="20"/>
    <s v="SE4_EL"/>
    <x v="7"/>
    <x v="121"/>
    <x v="0"/>
    <x v="13"/>
    <n v="10.771523958024501"/>
    <n v="3931.6062446789401"/>
    <n v="14153.7824808442"/>
  </r>
  <r>
    <x v="0"/>
    <x v="0"/>
    <x v="0"/>
    <x v="9"/>
    <x v="20"/>
    <s v="SE4_EL"/>
    <x v="11"/>
    <x v="122"/>
    <x v="0"/>
    <x v="0"/>
    <n v="64.848960543937395"/>
    <n v="23669.870598537102"/>
    <n v="85211.534154733701"/>
  </r>
  <r>
    <x v="0"/>
    <x v="0"/>
    <x v="0"/>
    <x v="9"/>
    <x v="20"/>
    <s v="SE4_EL"/>
    <x v="11"/>
    <x v="122"/>
    <x v="0"/>
    <x v="1"/>
    <n v="64.848960543937395"/>
    <n v="23669.870598537102"/>
    <n v="85211.534154733701"/>
  </r>
  <r>
    <x v="0"/>
    <x v="0"/>
    <x v="0"/>
    <x v="9"/>
    <x v="20"/>
    <s v="SE4_EL"/>
    <x v="11"/>
    <x v="122"/>
    <x v="0"/>
    <x v="2"/>
    <n v="64.848960543937395"/>
    <n v="23669.870598537102"/>
    <n v="85211.534154733701"/>
  </r>
  <r>
    <x v="0"/>
    <x v="0"/>
    <x v="0"/>
    <x v="9"/>
    <x v="20"/>
    <s v="SE4_EL"/>
    <x v="11"/>
    <x v="122"/>
    <x v="0"/>
    <x v="3"/>
    <n v="64.848960543937395"/>
    <n v="23669.870598537102"/>
    <n v="85211.534154733701"/>
  </r>
  <r>
    <x v="0"/>
    <x v="0"/>
    <x v="0"/>
    <x v="9"/>
    <x v="20"/>
    <s v="SE4_EL"/>
    <x v="11"/>
    <x v="122"/>
    <x v="0"/>
    <x v="4"/>
    <n v="64.848960543937395"/>
    <n v="23669.870598537102"/>
    <n v="85211.534154733701"/>
  </r>
  <r>
    <x v="0"/>
    <x v="0"/>
    <x v="0"/>
    <x v="9"/>
    <x v="20"/>
    <s v="SE4_EL"/>
    <x v="11"/>
    <x v="122"/>
    <x v="0"/>
    <x v="5"/>
    <n v="64.848960543937395"/>
    <n v="23669.870598537102"/>
    <n v="85211.534154733701"/>
  </r>
  <r>
    <x v="0"/>
    <x v="0"/>
    <x v="0"/>
    <x v="9"/>
    <x v="20"/>
    <s v="SE4_EL"/>
    <x v="11"/>
    <x v="122"/>
    <x v="0"/>
    <x v="6"/>
    <n v="64.848960543937395"/>
    <n v="23669.870598537102"/>
    <n v="85211.534154733701"/>
  </r>
  <r>
    <x v="0"/>
    <x v="0"/>
    <x v="0"/>
    <x v="9"/>
    <x v="20"/>
    <s v="SE4_EL"/>
    <x v="11"/>
    <x v="122"/>
    <x v="0"/>
    <x v="7"/>
    <n v="64.848960543937395"/>
    <n v="23669.870598537102"/>
    <n v="85211.534154733701"/>
  </r>
  <r>
    <x v="0"/>
    <x v="0"/>
    <x v="0"/>
    <x v="9"/>
    <x v="20"/>
    <s v="SE4_EL"/>
    <x v="11"/>
    <x v="122"/>
    <x v="0"/>
    <x v="8"/>
    <n v="64.848960543937395"/>
    <n v="23669.870598537102"/>
    <n v="85211.534154733701"/>
  </r>
  <r>
    <x v="0"/>
    <x v="0"/>
    <x v="0"/>
    <x v="9"/>
    <x v="20"/>
    <s v="SE4_EL"/>
    <x v="11"/>
    <x v="122"/>
    <x v="0"/>
    <x v="9"/>
    <n v="64.848960543937395"/>
    <n v="23669.870598537102"/>
    <n v="85211.534154733701"/>
  </r>
  <r>
    <x v="0"/>
    <x v="0"/>
    <x v="0"/>
    <x v="9"/>
    <x v="20"/>
    <s v="SE4_EL"/>
    <x v="11"/>
    <x v="122"/>
    <x v="0"/>
    <x v="10"/>
    <n v="64.848960543937395"/>
    <n v="23669.870598537102"/>
    <n v="85211.534154733701"/>
  </r>
  <r>
    <x v="0"/>
    <x v="0"/>
    <x v="0"/>
    <x v="9"/>
    <x v="20"/>
    <s v="SE4_EL"/>
    <x v="11"/>
    <x v="122"/>
    <x v="0"/>
    <x v="11"/>
    <n v="64.848960543937395"/>
    <n v="23669.870598537102"/>
    <n v="85211.534154733701"/>
  </r>
  <r>
    <x v="0"/>
    <x v="0"/>
    <x v="0"/>
    <x v="9"/>
    <x v="20"/>
    <s v="SE4_EL"/>
    <x v="11"/>
    <x v="122"/>
    <x v="0"/>
    <x v="12"/>
    <n v="64.848960543937395"/>
    <n v="23669.870598537102"/>
    <n v="85211.534154733701"/>
  </r>
  <r>
    <x v="0"/>
    <x v="0"/>
    <x v="0"/>
    <x v="9"/>
    <x v="20"/>
    <s v="SE4_EL"/>
    <x v="11"/>
    <x v="122"/>
    <x v="0"/>
    <x v="13"/>
    <n v="64.848960543937395"/>
    <n v="23669.870598537102"/>
    <n v="85211.534154733701"/>
  </r>
  <r>
    <x v="0"/>
    <x v="0"/>
    <x v="0"/>
    <x v="9"/>
    <x v="20"/>
    <s v="SE4_EL"/>
    <x v="11"/>
    <x v="122"/>
    <x v="0"/>
    <x v="14"/>
    <n v="64.848960543937395"/>
    <n v="23669.870598537102"/>
    <n v="85211.534154733701"/>
  </r>
  <r>
    <x v="0"/>
    <x v="0"/>
    <x v="0"/>
    <x v="9"/>
    <x v="20"/>
    <s v="SE4_EL"/>
    <x v="11"/>
    <x v="122"/>
    <x v="0"/>
    <x v="15"/>
    <n v="64.848960543937395"/>
    <n v="23669.870598537102"/>
    <n v="85211.534154733701"/>
  </r>
  <r>
    <x v="0"/>
    <x v="0"/>
    <x v="0"/>
    <x v="9"/>
    <x v="20"/>
    <s v="SE4_EL"/>
    <x v="11"/>
    <x v="122"/>
    <x v="0"/>
    <x v="16"/>
    <n v="64.848960543937395"/>
    <n v="23669.870598537102"/>
    <n v="85211.534154733701"/>
  </r>
  <r>
    <x v="0"/>
    <x v="0"/>
    <x v="0"/>
    <x v="9"/>
    <x v="20"/>
    <s v="SE4_EL"/>
    <x v="11"/>
    <x v="122"/>
    <x v="0"/>
    <x v="17"/>
    <n v="64.848960543937395"/>
    <n v="23669.870598537102"/>
    <n v="85211.534154733701"/>
  </r>
  <r>
    <x v="0"/>
    <x v="0"/>
    <x v="0"/>
    <x v="9"/>
    <x v="20"/>
    <s v="SE4_EL"/>
    <x v="11"/>
    <x v="122"/>
    <x v="0"/>
    <x v="18"/>
    <n v="64.848960543937395"/>
    <n v="23669.870598537102"/>
    <n v="85211.534154733701"/>
  </r>
  <r>
    <x v="0"/>
    <x v="0"/>
    <x v="0"/>
    <x v="9"/>
    <x v="20"/>
    <s v="SE4_EL"/>
    <x v="11"/>
    <x v="122"/>
    <x v="0"/>
    <x v="19"/>
    <n v="64.848960543937395"/>
    <n v="23669.870598537102"/>
    <n v="85211.534154733701"/>
  </r>
  <r>
    <x v="0"/>
    <x v="0"/>
    <x v="0"/>
    <x v="9"/>
    <x v="20"/>
    <s v="SE4_EL"/>
    <x v="11"/>
    <x v="122"/>
    <x v="0"/>
    <x v="20"/>
    <n v="64.848960543937395"/>
    <n v="23669.870598537102"/>
    <n v="85211.534154733701"/>
  </r>
  <r>
    <x v="0"/>
    <x v="0"/>
    <x v="0"/>
    <x v="9"/>
    <x v="20"/>
    <s v="SE4_EL"/>
    <x v="11"/>
    <x v="122"/>
    <x v="0"/>
    <x v="21"/>
    <n v="64.848960543937395"/>
    <n v="23669.870598537102"/>
    <n v="85211.534154733701"/>
  </r>
  <r>
    <x v="0"/>
    <x v="0"/>
    <x v="0"/>
    <x v="9"/>
    <x v="20"/>
    <s v="SE4_EL"/>
    <x v="11"/>
    <x v="122"/>
    <x v="0"/>
    <x v="22"/>
    <n v="64.848960543937395"/>
    <n v="23669.870598537102"/>
    <n v="85211.534154733701"/>
  </r>
  <r>
    <x v="0"/>
    <x v="0"/>
    <x v="0"/>
    <x v="9"/>
    <x v="20"/>
    <s v="SE4_EL"/>
    <x v="11"/>
    <x v="122"/>
    <x v="0"/>
    <x v="23"/>
    <n v="64.848960543937395"/>
    <n v="23669.870598537102"/>
    <n v="85211.534154733701"/>
  </r>
  <r>
    <x v="0"/>
    <x v="0"/>
    <x v="0"/>
    <x v="9"/>
    <x v="20"/>
    <s v="SE4_HP"/>
    <x v="2"/>
    <x v="215"/>
    <x v="0"/>
    <x v="0"/>
    <n v="51.746031746031697"/>
    <n v="18887.301587301601"/>
    <n v="67994.285714285696"/>
  </r>
  <r>
    <x v="0"/>
    <x v="0"/>
    <x v="0"/>
    <x v="9"/>
    <x v="20"/>
    <s v="SE4_HP"/>
    <x v="2"/>
    <x v="215"/>
    <x v="0"/>
    <x v="1"/>
    <n v="51.746031746031697"/>
    <n v="18887.301587301601"/>
    <n v="67994.285714285696"/>
  </r>
  <r>
    <x v="0"/>
    <x v="0"/>
    <x v="0"/>
    <x v="9"/>
    <x v="20"/>
    <s v="SE4_HP"/>
    <x v="2"/>
    <x v="215"/>
    <x v="0"/>
    <x v="2"/>
    <n v="51.746031746031697"/>
    <n v="18887.301587301601"/>
    <n v="67994.285714285696"/>
  </r>
  <r>
    <x v="0"/>
    <x v="0"/>
    <x v="0"/>
    <x v="9"/>
    <x v="20"/>
    <s v="SE4_HP"/>
    <x v="2"/>
    <x v="215"/>
    <x v="0"/>
    <x v="3"/>
    <n v="51.746031746031697"/>
    <n v="18887.301587301601"/>
    <n v="67994.285714285696"/>
  </r>
  <r>
    <x v="0"/>
    <x v="0"/>
    <x v="0"/>
    <x v="9"/>
    <x v="20"/>
    <s v="SE4_HP"/>
    <x v="2"/>
    <x v="215"/>
    <x v="0"/>
    <x v="4"/>
    <n v="51.746031746031697"/>
    <n v="18887.301587301601"/>
    <n v="67994.285714285696"/>
  </r>
  <r>
    <x v="0"/>
    <x v="0"/>
    <x v="0"/>
    <x v="9"/>
    <x v="20"/>
    <s v="SE4_HP"/>
    <x v="2"/>
    <x v="215"/>
    <x v="0"/>
    <x v="5"/>
    <n v="51.746031746031697"/>
    <n v="18887.301587301601"/>
    <n v="67994.285714285696"/>
  </r>
  <r>
    <x v="0"/>
    <x v="0"/>
    <x v="0"/>
    <x v="9"/>
    <x v="20"/>
    <s v="SE4_HP"/>
    <x v="2"/>
    <x v="215"/>
    <x v="0"/>
    <x v="6"/>
    <n v="51.746031746031697"/>
    <n v="18887.301587301601"/>
    <n v="67994.285714285696"/>
  </r>
  <r>
    <x v="0"/>
    <x v="0"/>
    <x v="0"/>
    <x v="9"/>
    <x v="20"/>
    <s v="SE4_HP"/>
    <x v="2"/>
    <x v="215"/>
    <x v="0"/>
    <x v="7"/>
    <n v="51.746031746031697"/>
    <n v="18887.301587301601"/>
    <n v="67994.285714285696"/>
  </r>
  <r>
    <x v="0"/>
    <x v="0"/>
    <x v="0"/>
    <x v="9"/>
    <x v="20"/>
    <s v="SE4_HP"/>
    <x v="2"/>
    <x v="215"/>
    <x v="0"/>
    <x v="8"/>
    <n v="51.746031746031697"/>
    <n v="18887.301587301601"/>
    <n v="67994.285714285696"/>
  </r>
  <r>
    <x v="0"/>
    <x v="0"/>
    <x v="0"/>
    <x v="9"/>
    <x v="20"/>
    <s v="SE4_HP"/>
    <x v="2"/>
    <x v="215"/>
    <x v="0"/>
    <x v="9"/>
    <n v="51.746031746031697"/>
    <n v="18887.301587301601"/>
    <n v="67994.285714285696"/>
  </r>
  <r>
    <x v="0"/>
    <x v="0"/>
    <x v="0"/>
    <x v="9"/>
    <x v="20"/>
    <s v="SE4_HP"/>
    <x v="2"/>
    <x v="215"/>
    <x v="0"/>
    <x v="10"/>
    <n v="51.746031746031697"/>
    <n v="18887.301587301601"/>
    <n v="67994.285714285696"/>
  </r>
  <r>
    <x v="0"/>
    <x v="0"/>
    <x v="0"/>
    <x v="9"/>
    <x v="20"/>
    <s v="SE4_HP"/>
    <x v="2"/>
    <x v="215"/>
    <x v="0"/>
    <x v="11"/>
    <n v="51.746031746031697"/>
    <n v="18887.301587301601"/>
    <n v="67994.285714285696"/>
  </r>
  <r>
    <x v="0"/>
    <x v="0"/>
    <x v="0"/>
    <x v="9"/>
    <x v="20"/>
    <s v="SE4_HP"/>
    <x v="2"/>
    <x v="215"/>
    <x v="0"/>
    <x v="12"/>
    <n v="51.746031746031697"/>
    <n v="18887.301587301601"/>
    <n v="67994.285714285696"/>
  </r>
  <r>
    <x v="0"/>
    <x v="0"/>
    <x v="0"/>
    <x v="9"/>
    <x v="20"/>
    <s v="SE4_HP"/>
    <x v="2"/>
    <x v="215"/>
    <x v="0"/>
    <x v="13"/>
    <n v="51.746031746031697"/>
    <n v="18887.301587301601"/>
    <n v="67994.285714285696"/>
  </r>
  <r>
    <x v="0"/>
    <x v="0"/>
    <x v="0"/>
    <x v="9"/>
    <x v="20"/>
    <s v="SE4_HP"/>
    <x v="2"/>
    <x v="215"/>
    <x v="0"/>
    <x v="14"/>
    <n v="51.746031746031697"/>
    <n v="18887.301587301601"/>
    <n v="67994.285714285696"/>
  </r>
  <r>
    <x v="0"/>
    <x v="0"/>
    <x v="0"/>
    <x v="9"/>
    <x v="20"/>
    <s v="SE4_HP"/>
    <x v="2"/>
    <x v="215"/>
    <x v="0"/>
    <x v="15"/>
    <n v="51.746031746031697"/>
    <n v="18887.301587301601"/>
    <n v="67994.285714285696"/>
  </r>
  <r>
    <x v="0"/>
    <x v="0"/>
    <x v="0"/>
    <x v="9"/>
    <x v="20"/>
    <s v="SE4_HP"/>
    <x v="2"/>
    <x v="215"/>
    <x v="0"/>
    <x v="16"/>
    <n v="51.746031746031697"/>
    <n v="18887.301587301601"/>
    <n v="67994.285714285696"/>
  </r>
  <r>
    <x v="0"/>
    <x v="0"/>
    <x v="0"/>
    <x v="9"/>
    <x v="20"/>
    <s v="SE4_HP"/>
    <x v="2"/>
    <x v="215"/>
    <x v="0"/>
    <x v="17"/>
    <n v="51.746031746031697"/>
    <n v="18887.301587301601"/>
    <n v="67994.285714285696"/>
  </r>
  <r>
    <x v="0"/>
    <x v="0"/>
    <x v="0"/>
    <x v="9"/>
    <x v="20"/>
    <s v="SE4_HP"/>
    <x v="2"/>
    <x v="215"/>
    <x v="0"/>
    <x v="18"/>
    <n v="51.746031746031697"/>
    <n v="18887.301587301601"/>
    <n v="67994.285714285696"/>
  </r>
  <r>
    <x v="0"/>
    <x v="0"/>
    <x v="0"/>
    <x v="9"/>
    <x v="20"/>
    <s v="SE4_HP"/>
    <x v="2"/>
    <x v="215"/>
    <x v="0"/>
    <x v="19"/>
    <n v="51.746031746031697"/>
    <n v="18887.301587301601"/>
    <n v="67994.285714285696"/>
  </r>
  <r>
    <x v="0"/>
    <x v="0"/>
    <x v="0"/>
    <x v="9"/>
    <x v="20"/>
    <s v="SE4_HP"/>
    <x v="2"/>
    <x v="215"/>
    <x v="0"/>
    <x v="20"/>
    <n v="51.746031746031697"/>
    <n v="18887.301587301601"/>
    <n v="67994.285714285696"/>
  </r>
  <r>
    <x v="0"/>
    <x v="0"/>
    <x v="0"/>
    <x v="9"/>
    <x v="20"/>
    <s v="SE4_HP"/>
    <x v="2"/>
    <x v="215"/>
    <x v="0"/>
    <x v="21"/>
    <n v="51.746031746031697"/>
    <n v="18887.301587301601"/>
    <n v="67994.285714285696"/>
  </r>
  <r>
    <x v="0"/>
    <x v="0"/>
    <x v="0"/>
    <x v="9"/>
    <x v="20"/>
    <s v="SE4_HP"/>
    <x v="2"/>
    <x v="215"/>
    <x v="0"/>
    <x v="22"/>
    <n v="51.746031746031697"/>
    <n v="18887.301587301601"/>
    <n v="67994.285714285696"/>
  </r>
  <r>
    <x v="0"/>
    <x v="0"/>
    <x v="0"/>
    <x v="9"/>
    <x v="20"/>
    <s v="SE4_HP"/>
    <x v="2"/>
    <x v="215"/>
    <x v="0"/>
    <x v="23"/>
    <n v="51.746031746031697"/>
    <n v="18887.301587301601"/>
    <n v="67994.285714285696"/>
  </r>
  <r>
    <x v="0"/>
    <x v="0"/>
    <x v="0"/>
    <x v="9"/>
    <x v="20"/>
    <s v="SE4_HP"/>
    <x v="7"/>
    <x v="124"/>
    <x v="0"/>
    <x v="0"/>
    <n v="239.355452358306"/>
    <n v="87364.740110781597"/>
    <n v="314513.06439881399"/>
  </r>
  <r>
    <x v="0"/>
    <x v="0"/>
    <x v="0"/>
    <x v="9"/>
    <x v="20"/>
    <s v="SE4_HP"/>
    <x v="7"/>
    <x v="124"/>
    <x v="0"/>
    <x v="1"/>
    <n v="239.355452358306"/>
    <n v="87364.740110781597"/>
    <n v="314513.06439881399"/>
  </r>
  <r>
    <x v="0"/>
    <x v="0"/>
    <x v="0"/>
    <x v="9"/>
    <x v="20"/>
    <s v="SE4_HP"/>
    <x v="7"/>
    <x v="124"/>
    <x v="0"/>
    <x v="2"/>
    <n v="239.355452358306"/>
    <n v="87364.740110781597"/>
    <n v="314513.06439881399"/>
  </r>
  <r>
    <x v="0"/>
    <x v="0"/>
    <x v="0"/>
    <x v="9"/>
    <x v="20"/>
    <s v="SE4_HP"/>
    <x v="7"/>
    <x v="124"/>
    <x v="0"/>
    <x v="3"/>
    <n v="239.355452358306"/>
    <n v="87364.740110781597"/>
    <n v="314513.06439881399"/>
  </r>
  <r>
    <x v="0"/>
    <x v="0"/>
    <x v="0"/>
    <x v="9"/>
    <x v="20"/>
    <s v="SE4_HP"/>
    <x v="7"/>
    <x v="124"/>
    <x v="0"/>
    <x v="4"/>
    <n v="239.355452358306"/>
    <n v="87364.740110781597"/>
    <n v="314513.06439881399"/>
  </r>
  <r>
    <x v="0"/>
    <x v="0"/>
    <x v="0"/>
    <x v="9"/>
    <x v="20"/>
    <s v="SE4_HP"/>
    <x v="7"/>
    <x v="124"/>
    <x v="0"/>
    <x v="5"/>
    <n v="239.355452358306"/>
    <n v="87364.740110781597"/>
    <n v="314513.06439881399"/>
  </r>
  <r>
    <x v="0"/>
    <x v="0"/>
    <x v="0"/>
    <x v="9"/>
    <x v="20"/>
    <s v="SE4_HP"/>
    <x v="7"/>
    <x v="124"/>
    <x v="0"/>
    <x v="6"/>
    <n v="239.355452358306"/>
    <n v="87364.740110781597"/>
    <n v="314513.06439881399"/>
  </r>
  <r>
    <x v="0"/>
    <x v="0"/>
    <x v="0"/>
    <x v="9"/>
    <x v="20"/>
    <s v="SE4_HP"/>
    <x v="7"/>
    <x v="124"/>
    <x v="0"/>
    <x v="7"/>
    <n v="239.355452358306"/>
    <n v="87364.740110781597"/>
    <n v="314513.06439881399"/>
  </r>
  <r>
    <x v="0"/>
    <x v="0"/>
    <x v="0"/>
    <x v="9"/>
    <x v="20"/>
    <s v="SE4_HP"/>
    <x v="7"/>
    <x v="124"/>
    <x v="0"/>
    <x v="8"/>
    <n v="239.355452358306"/>
    <n v="87364.740110781597"/>
    <n v="314513.06439881399"/>
  </r>
  <r>
    <x v="0"/>
    <x v="0"/>
    <x v="0"/>
    <x v="9"/>
    <x v="20"/>
    <s v="SE4_HP"/>
    <x v="7"/>
    <x v="124"/>
    <x v="0"/>
    <x v="9"/>
    <n v="239.355452358306"/>
    <n v="87364.740110781597"/>
    <n v="314513.06439881399"/>
  </r>
  <r>
    <x v="0"/>
    <x v="0"/>
    <x v="0"/>
    <x v="9"/>
    <x v="20"/>
    <s v="SE4_HP"/>
    <x v="7"/>
    <x v="124"/>
    <x v="0"/>
    <x v="10"/>
    <n v="239.355452358306"/>
    <n v="87364.740110781597"/>
    <n v="314513.06439881399"/>
  </r>
  <r>
    <x v="0"/>
    <x v="0"/>
    <x v="0"/>
    <x v="9"/>
    <x v="20"/>
    <s v="SE4_HP"/>
    <x v="7"/>
    <x v="124"/>
    <x v="0"/>
    <x v="11"/>
    <n v="239.355452358306"/>
    <n v="87364.740110781597"/>
    <n v="314513.06439881399"/>
  </r>
  <r>
    <x v="0"/>
    <x v="0"/>
    <x v="0"/>
    <x v="9"/>
    <x v="20"/>
    <s v="SE4_HP"/>
    <x v="7"/>
    <x v="124"/>
    <x v="0"/>
    <x v="12"/>
    <n v="239.355452358306"/>
    <n v="87364.740110781597"/>
    <n v="314513.06439881399"/>
  </r>
  <r>
    <x v="0"/>
    <x v="0"/>
    <x v="0"/>
    <x v="9"/>
    <x v="20"/>
    <s v="SE4_HP"/>
    <x v="7"/>
    <x v="124"/>
    <x v="0"/>
    <x v="13"/>
    <n v="239.355452358306"/>
    <n v="87364.740110781597"/>
    <n v="314513.06439881399"/>
  </r>
  <r>
    <x v="0"/>
    <x v="0"/>
    <x v="0"/>
    <x v="9"/>
    <x v="20"/>
    <s v="SE4_HP"/>
    <x v="7"/>
    <x v="124"/>
    <x v="0"/>
    <x v="14"/>
    <n v="239.355452358306"/>
    <n v="87364.740110781597"/>
    <n v="314513.06439881399"/>
  </r>
  <r>
    <x v="0"/>
    <x v="0"/>
    <x v="0"/>
    <x v="9"/>
    <x v="20"/>
    <s v="SE4_HP"/>
    <x v="7"/>
    <x v="124"/>
    <x v="0"/>
    <x v="15"/>
    <n v="239.355452358306"/>
    <n v="87364.740110781597"/>
    <n v="314513.06439881399"/>
  </r>
  <r>
    <x v="0"/>
    <x v="0"/>
    <x v="0"/>
    <x v="9"/>
    <x v="20"/>
    <s v="SE4_HP"/>
    <x v="7"/>
    <x v="124"/>
    <x v="0"/>
    <x v="16"/>
    <n v="239.355452358306"/>
    <n v="87364.740110781597"/>
    <n v="314513.06439881399"/>
  </r>
  <r>
    <x v="0"/>
    <x v="0"/>
    <x v="0"/>
    <x v="9"/>
    <x v="20"/>
    <s v="SE4_HP"/>
    <x v="7"/>
    <x v="124"/>
    <x v="0"/>
    <x v="17"/>
    <n v="239.355452358306"/>
    <n v="87364.740110781597"/>
    <n v="314513.06439881399"/>
  </r>
  <r>
    <x v="0"/>
    <x v="0"/>
    <x v="0"/>
    <x v="9"/>
    <x v="20"/>
    <s v="SE4_HP"/>
    <x v="7"/>
    <x v="124"/>
    <x v="0"/>
    <x v="18"/>
    <n v="239.355452358306"/>
    <n v="87364.740110781597"/>
    <n v="314513.06439881399"/>
  </r>
  <r>
    <x v="0"/>
    <x v="0"/>
    <x v="0"/>
    <x v="9"/>
    <x v="20"/>
    <s v="SE4_HP"/>
    <x v="7"/>
    <x v="124"/>
    <x v="0"/>
    <x v="19"/>
    <n v="239.355452358306"/>
    <n v="87364.740110781597"/>
    <n v="314513.06439881399"/>
  </r>
  <r>
    <x v="0"/>
    <x v="0"/>
    <x v="0"/>
    <x v="9"/>
    <x v="20"/>
    <s v="SE4_HP"/>
    <x v="7"/>
    <x v="124"/>
    <x v="0"/>
    <x v="20"/>
    <n v="239.355452358306"/>
    <n v="87364.740110781597"/>
    <n v="314513.06439881399"/>
  </r>
  <r>
    <x v="0"/>
    <x v="0"/>
    <x v="0"/>
    <x v="9"/>
    <x v="20"/>
    <s v="SE4_HP"/>
    <x v="7"/>
    <x v="124"/>
    <x v="0"/>
    <x v="21"/>
    <n v="239.355452358306"/>
    <n v="87364.740110781597"/>
    <n v="314513.06439881399"/>
  </r>
  <r>
    <x v="0"/>
    <x v="0"/>
    <x v="0"/>
    <x v="9"/>
    <x v="20"/>
    <s v="SE4_HP"/>
    <x v="7"/>
    <x v="124"/>
    <x v="0"/>
    <x v="22"/>
    <n v="239.355452358306"/>
    <n v="87364.740110781597"/>
    <n v="314513.06439881399"/>
  </r>
  <r>
    <x v="0"/>
    <x v="0"/>
    <x v="0"/>
    <x v="9"/>
    <x v="20"/>
    <s v="SE4_HP"/>
    <x v="7"/>
    <x v="124"/>
    <x v="0"/>
    <x v="23"/>
    <n v="239.355452358306"/>
    <n v="87364.740110781597"/>
    <n v="314513.06439881399"/>
  </r>
  <r>
    <x v="0"/>
    <x v="0"/>
    <x v="0"/>
    <x v="9"/>
    <x v="20"/>
    <s v="SE4_MAL"/>
    <x v="2"/>
    <x v="196"/>
    <x v="0"/>
    <x v="0"/>
    <n v="145.419526658839"/>
    <n v="53078.127230476399"/>
    <n v="191081.25802971501"/>
  </r>
  <r>
    <x v="0"/>
    <x v="0"/>
    <x v="0"/>
    <x v="9"/>
    <x v="20"/>
    <s v="SE4_MAL"/>
    <x v="2"/>
    <x v="196"/>
    <x v="0"/>
    <x v="1"/>
    <n v="145.419526658839"/>
    <n v="53078.127230476399"/>
    <n v="191081.25802971501"/>
  </r>
  <r>
    <x v="0"/>
    <x v="0"/>
    <x v="0"/>
    <x v="9"/>
    <x v="20"/>
    <s v="SE4_MAL"/>
    <x v="2"/>
    <x v="196"/>
    <x v="0"/>
    <x v="2"/>
    <n v="145.419526658839"/>
    <n v="53078.127230476399"/>
    <n v="191081.25802971501"/>
  </r>
  <r>
    <x v="0"/>
    <x v="0"/>
    <x v="0"/>
    <x v="9"/>
    <x v="20"/>
    <s v="SE4_MAL"/>
    <x v="2"/>
    <x v="196"/>
    <x v="0"/>
    <x v="3"/>
    <n v="145.419526658839"/>
    <n v="53078.127230476399"/>
    <n v="191081.25802971501"/>
  </r>
  <r>
    <x v="0"/>
    <x v="0"/>
    <x v="0"/>
    <x v="9"/>
    <x v="20"/>
    <s v="SE4_MAL"/>
    <x v="2"/>
    <x v="196"/>
    <x v="0"/>
    <x v="4"/>
    <n v="145.419526658839"/>
    <n v="53078.127230476399"/>
    <n v="191081.25802971501"/>
  </r>
  <r>
    <x v="0"/>
    <x v="0"/>
    <x v="0"/>
    <x v="9"/>
    <x v="20"/>
    <s v="SE4_MAL"/>
    <x v="2"/>
    <x v="196"/>
    <x v="0"/>
    <x v="5"/>
    <n v="145.419526658839"/>
    <n v="53078.127230476399"/>
    <n v="191081.25802971501"/>
  </r>
  <r>
    <x v="0"/>
    <x v="0"/>
    <x v="0"/>
    <x v="9"/>
    <x v="20"/>
    <s v="SE4_MAL"/>
    <x v="2"/>
    <x v="196"/>
    <x v="0"/>
    <x v="6"/>
    <n v="145.419526658839"/>
    <n v="53078.127230476399"/>
    <n v="191081.25802971501"/>
  </r>
  <r>
    <x v="0"/>
    <x v="0"/>
    <x v="0"/>
    <x v="9"/>
    <x v="20"/>
    <s v="SE4_MAL"/>
    <x v="2"/>
    <x v="196"/>
    <x v="0"/>
    <x v="7"/>
    <n v="145.419526658839"/>
    <n v="53078.127230476399"/>
    <n v="191081.25802971501"/>
  </r>
  <r>
    <x v="0"/>
    <x v="0"/>
    <x v="0"/>
    <x v="9"/>
    <x v="20"/>
    <s v="SE4_MAL"/>
    <x v="2"/>
    <x v="196"/>
    <x v="0"/>
    <x v="8"/>
    <n v="145.419526658839"/>
    <n v="53078.127230476399"/>
    <n v="191081.25802971501"/>
  </r>
  <r>
    <x v="0"/>
    <x v="0"/>
    <x v="0"/>
    <x v="9"/>
    <x v="20"/>
    <s v="SE4_MAL"/>
    <x v="2"/>
    <x v="196"/>
    <x v="0"/>
    <x v="9"/>
    <n v="145.419526658839"/>
    <n v="53078.127230476399"/>
    <n v="191081.25802971501"/>
  </r>
  <r>
    <x v="0"/>
    <x v="0"/>
    <x v="0"/>
    <x v="9"/>
    <x v="20"/>
    <s v="SE4_MAL"/>
    <x v="2"/>
    <x v="196"/>
    <x v="0"/>
    <x v="10"/>
    <n v="145.419526658839"/>
    <n v="53078.127230476399"/>
    <n v="191081.25802971501"/>
  </r>
  <r>
    <x v="0"/>
    <x v="0"/>
    <x v="0"/>
    <x v="9"/>
    <x v="20"/>
    <s v="SE4_MAL"/>
    <x v="2"/>
    <x v="196"/>
    <x v="0"/>
    <x v="11"/>
    <n v="145.419526658839"/>
    <n v="53078.127230476399"/>
    <n v="191081.25802971501"/>
  </r>
  <r>
    <x v="0"/>
    <x v="0"/>
    <x v="0"/>
    <x v="9"/>
    <x v="20"/>
    <s v="SE4_MAL"/>
    <x v="2"/>
    <x v="196"/>
    <x v="0"/>
    <x v="12"/>
    <n v="145.419526658839"/>
    <n v="53078.127230476399"/>
    <n v="191081.25802971501"/>
  </r>
  <r>
    <x v="0"/>
    <x v="0"/>
    <x v="0"/>
    <x v="9"/>
    <x v="20"/>
    <s v="SE4_MAL"/>
    <x v="2"/>
    <x v="196"/>
    <x v="0"/>
    <x v="13"/>
    <n v="145.419526658839"/>
    <n v="53078.127230476399"/>
    <n v="191081.25802971501"/>
  </r>
  <r>
    <x v="0"/>
    <x v="0"/>
    <x v="0"/>
    <x v="9"/>
    <x v="20"/>
    <s v="SE4_MAL"/>
    <x v="2"/>
    <x v="196"/>
    <x v="0"/>
    <x v="14"/>
    <n v="145.419526658839"/>
    <n v="53078.127230476399"/>
    <n v="191081.25802971501"/>
  </r>
  <r>
    <x v="0"/>
    <x v="0"/>
    <x v="0"/>
    <x v="9"/>
    <x v="20"/>
    <s v="SE4_MAL"/>
    <x v="2"/>
    <x v="196"/>
    <x v="0"/>
    <x v="15"/>
    <n v="145.419526658839"/>
    <n v="53078.127230476399"/>
    <n v="191081.25802971501"/>
  </r>
  <r>
    <x v="0"/>
    <x v="0"/>
    <x v="0"/>
    <x v="9"/>
    <x v="20"/>
    <s v="SE4_MAL"/>
    <x v="2"/>
    <x v="196"/>
    <x v="0"/>
    <x v="16"/>
    <n v="145.419526658839"/>
    <n v="53078.127230476399"/>
    <n v="191081.25802971501"/>
  </r>
  <r>
    <x v="0"/>
    <x v="0"/>
    <x v="0"/>
    <x v="9"/>
    <x v="20"/>
    <s v="SE4_MAL"/>
    <x v="2"/>
    <x v="196"/>
    <x v="0"/>
    <x v="17"/>
    <n v="145.419526658839"/>
    <n v="53078.127230476399"/>
    <n v="191081.25802971501"/>
  </r>
  <r>
    <x v="0"/>
    <x v="0"/>
    <x v="0"/>
    <x v="9"/>
    <x v="20"/>
    <s v="SE4_MAL"/>
    <x v="2"/>
    <x v="196"/>
    <x v="0"/>
    <x v="18"/>
    <n v="145.419526658839"/>
    <n v="53078.127230476399"/>
    <n v="191081.25802971501"/>
  </r>
  <r>
    <x v="0"/>
    <x v="0"/>
    <x v="0"/>
    <x v="9"/>
    <x v="20"/>
    <s v="SE4_MAL"/>
    <x v="2"/>
    <x v="196"/>
    <x v="0"/>
    <x v="19"/>
    <n v="145.419526658839"/>
    <n v="53078.127230476399"/>
    <n v="191081.25802971501"/>
  </r>
  <r>
    <x v="0"/>
    <x v="0"/>
    <x v="0"/>
    <x v="9"/>
    <x v="20"/>
    <s v="SE4_MAL"/>
    <x v="2"/>
    <x v="196"/>
    <x v="0"/>
    <x v="20"/>
    <n v="145.419526658839"/>
    <n v="53078.127230476399"/>
    <n v="191081.25802971501"/>
  </r>
  <r>
    <x v="0"/>
    <x v="0"/>
    <x v="0"/>
    <x v="9"/>
    <x v="20"/>
    <s v="SE4_MAL"/>
    <x v="2"/>
    <x v="196"/>
    <x v="0"/>
    <x v="21"/>
    <n v="145.419526658839"/>
    <n v="53078.127230476399"/>
    <n v="191081.25802971501"/>
  </r>
  <r>
    <x v="0"/>
    <x v="0"/>
    <x v="0"/>
    <x v="9"/>
    <x v="20"/>
    <s v="SE4_MAL"/>
    <x v="2"/>
    <x v="196"/>
    <x v="0"/>
    <x v="22"/>
    <n v="145.419526658839"/>
    <n v="53078.127230476399"/>
    <n v="191081.25802971501"/>
  </r>
  <r>
    <x v="0"/>
    <x v="0"/>
    <x v="0"/>
    <x v="9"/>
    <x v="20"/>
    <s v="SE4_MAL"/>
    <x v="2"/>
    <x v="196"/>
    <x v="0"/>
    <x v="23"/>
    <n v="145.419526658839"/>
    <n v="53078.127230476399"/>
    <n v="191081.25802971501"/>
  </r>
  <r>
    <x v="0"/>
    <x v="0"/>
    <x v="0"/>
    <x v="9"/>
    <x v="20"/>
    <s v="SE4_MAL"/>
    <x v="2"/>
    <x v="176"/>
    <x v="0"/>
    <x v="0"/>
    <n v="57.312907992145199"/>
    <n v="20919.211417132999"/>
    <n v="75309.161101678794"/>
  </r>
  <r>
    <x v="0"/>
    <x v="0"/>
    <x v="0"/>
    <x v="9"/>
    <x v="20"/>
    <s v="SE4_MAL"/>
    <x v="2"/>
    <x v="176"/>
    <x v="0"/>
    <x v="1"/>
    <n v="57.312907992145199"/>
    <n v="20919.211417132999"/>
    <n v="75309.161101678794"/>
  </r>
  <r>
    <x v="0"/>
    <x v="0"/>
    <x v="0"/>
    <x v="9"/>
    <x v="20"/>
    <s v="SE4_MAL"/>
    <x v="2"/>
    <x v="176"/>
    <x v="0"/>
    <x v="2"/>
    <n v="57.312907992145199"/>
    <n v="20919.211417132999"/>
    <n v="75309.161101678794"/>
  </r>
  <r>
    <x v="0"/>
    <x v="0"/>
    <x v="0"/>
    <x v="9"/>
    <x v="20"/>
    <s v="SE4_MAL"/>
    <x v="2"/>
    <x v="176"/>
    <x v="0"/>
    <x v="3"/>
    <n v="57.312907992145199"/>
    <n v="20919.211417132999"/>
    <n v="75309.161101678794"/>
  </r>
  <r>
    <x v="0"/>
    <x v="0"/>
    <x v="0"/>
    <x v="9"/>
    <x v="20"/>
    <s v="SE4_MAL"/>
    <x v="2"/>
    <x v="176"/>
    <x v="0"/>
    <x v="4"/>
    <n v="57.312907992145199"/>
    <n v="20919.211417132999"/>
    <n v="75309.161101678794"/>
  </r>
  <r>
    <x v="0"/>
    <x v="0"/>
    <x v="0"/>
    <x v="9"/>
    <x v="20"/>
    <s v="SE4_MAL"/>
    <x v="2"/>
    <x v="176"/>
    <x v="0"/>
    <x v="5"/>
    <n v="57.312907992145199"/>
    <n v="20919.211417132999"/>
    <n v="75309.161101678794"/>
  </r>
  <r>
    <x v="0"/>
    <x v="0"/>
    <x v="0"/>
    <x v="9"/>
    <x v="20"/>
    <s v="SE4_MAL"/>
    <x v="2"/>
    <x v="176"/>
    <x v="0"/>
    <x v="6"/>
    <n v="57.312907992145199"/>
    <n v="20919.211417132999"/>
    <n v="75309.161101678794"/>
  </r>
  <r>
    <x v="0"/>
    <x v="0"/>
    <x v="0"/>
    <x v="9"/>
    <x v="20"/>
    <s v="SE4_MAL"/>
    <x v="2"/>
    <x v="176"/>
    <x v="0"/>
    <x v="7"/>
    <n v="57.312907992145199"/>
    <n v="20919.211417132999"/>
    <n v="75309.161101678794"/>
  </r>
  <r>
    <x v="0"/>
    <x v="0"/>
    <x v="0"/>
    <x v="9"/>
    <x v="20"/>
    <s v="SE4_MAL"/>
    <x v="2"/>
    <x v="176"/>
    <x v="0"/>
    <x v="8"/>
    <n v="57.312907992145199"/>
    <n v="20919.211417132999"/>
    <n v="75309.161101678794"/>
  </r>
  <r>
    <x v="0"/>
    <x v="0"/>
    <x v="0"/>
    <x v="9"/>
    <x v="20"/>
    <s v="SE4_MAL"/>
    <x v="2"/>
    <x v="176"/>
    <x v="0"/>
    <x v="9"/>
    <n v="57.312907992145199"/>
    <n v="20919.211417132999"/>
    <n v="75309.161101678794"/>
  </r>
  <r>
    <x v="0"/>
    <x v="0"/>
    <x v="0"/>
    <x v="9"/>
    <x v="20"/>
    <s v="SE4_MAL"/>
    <x v="2"/>
    <x v="176"/>
    <x v="0"/>
    <x v="10"/>
    <n v="57.312907992145199"/>
    <n v="20919.211417132999"/>
    <n v="75309.161101678794"/>
  </r>
  <r>
    <x v="0"/>
    <x v="0"/>
    <x v="0"/>
    <x v="9"/>
    <x v="20"/>
    <s v="SE4_MAL"/>
    <x v="2"/>
    <x v="176"/>
    <x v="0"/>
    <x v="11"/>
    <n v="57.312907992145199"/>
    <n v="20919.211417132999"/>
    <n v="75309.161101678794"/>
  </r>
  <r>
    <x v="0"/>
    <x v="0"/>
    <x v="0"/>
    <x v="9"/>
    <x v="20"/>
    <s v="SE4_MAL"/>
    <x v="2"/>
    <x v="176"/>
    <x v="0"/>
    <x v="12"/>
    <n v="57.312907992145199"/>
    <n v="20919.211417132999"/>
    <n v="75309.161101678794"/>
  </r>
  <r>
    <x v="0"/>
    <x v="0"/>
    <x v="0"/>
    <x v="9"/>
    <x v="20"/>
    <s v="SE4_MAL"/>
    <x v="2"/>
    <x v="176"/>
    <x v="0"/>
    <x v="13"/>
    <n v="57.312907992145199"/>
    <n v="20919.211417132999"/>
    <n v="75309.161101678794"/>
  </r>
  <r>
    <x v="0"/>
    <x v="0"/>
    <x v="0"/>
    <x v="9"/>
    <x v="20"/>
    <s v="SE4_MAL"/>
    <x v="2"/>
    <x v="176"/>
    <x v="0"/>
    <x v="14"/>
    <n v="57.312907992145199"/>
    <n v="20919.211417132999"/>
    <n v="75309.161101678794"/>
  </r>
  <r>
    <x v="0"/>
    <x v="0"/>
    <x v="0"/>
    <x v="9"/>
    <x v="20"/>
    <s v="SE4_MAL"/>
    <x v="2"/>
    <x v="176"/>
    <x v="0"/>
    <x v="15"/>
    <n v="57.312907992145199"/>
    <n v="20919.211417132999"/>
    <n v="75309.161101678794"/>
  </r>
  <r>
    <x v="0"/>
    <x v="0"/>
    <x v="0"/>
    <x v="9"/>
    <x v="20"/>
    <s v="SE4_MAL"/>
    <x v="2"/>
    <x v="176"/>
    <x v="0"/>
    <x v="16"/>
    <n v="57.312907992145199"/>
    <n v="20919.211417132999"/>
    <n v="75309.161101678794"/>
  </r>
  <r>
    <x v="0"/>
    <x v="0"/>
    <x v="0"/>
    <x v="9"/>
    <x v="20"/>
    <s v="SE4_MAL"/>
    <x v="2"/>
    <x v="176"/>
    <x v="0"/>
    <x v="17"/>
    <n v="57.312907992145199"/>
    <n v="20919.211417132999"/>
    <n v="75309.161101678794"/>
  </r>
  <r>
    <x v="0"/>
    <x v="0"/>
    <x v="0"/>
    <x v="9"/>
    <x v="20"/>
    <s v="SE4_MAL"/>
    <x v="2"/>
    <x v="176"/>
    <x v="0"/>
    <x v="18"/>
    <n v="57.312907992145199"/>
    <n v="20919.211417132999"/>
    <n v="75309.161101678794"/>
  </r>
  <r>
    <x v="0"/>
    <x v="0"/>
    <x v="0"/>
    <x v="9"/>
    <x v="20"/>
    <s v="SE4_MAL"/>
    <x v="2"/>
    <x v="176"/>
    <x v="0"/>
    <x v="19"/>
    <n v="57.312907992145199"/>
    <n v="20919.211417132999"/>
    <n v="75309.161101678794"/>
  </r>
  <r>
    <x v="0"/>
    <x v="0"/>
    <x v="0"/>
    <x v="9"/>
    <x v="20"/>
    <s v="SE4_MAL"/>
    <x v="2"/>
    <x v="176"/>
    <x v="0"/>
    <x v="20"/>
    <n v="57.312907992145199"/>
    <n v="20919.211417132999"/>
    <n v="75309.161101678794"/>
  </r>
  <r>
    <x v="0"/>
    <x v="0"/>
    <x v="0"/>
    <x v="9"/>
    <x v="20"/>
    <s v="SE4_MAL"/>
    <x v="2"/>
    <x v="176"/>
    <x v="0"/>
    <x v="21"/>
    <n v="57.312907992145199"/>
    <n v="20919.211417132999"/>
    <n v="75309.161101678794"/>
  </r>
  <r>
    <x v="0"/>
    <x v="0"/>
    <x v="0"/>
    <x v="9"/>
    <x v="20"/>
    <s v="SE4_MAL"/>
    <x v="2"/>
    <x v="176"/>
    <x v="0"/>
    <x v="22"/>
    <n v="57.312907992145199"/>
    <n v="20919.211417132999"/>
    <n v="75309.161101678794"/>
  </r>
  <r>
    <x v="0"/>
    <x v="0"/>
    <x v="0"/>
    <x v="9"/>
    <x v="20"/>
    <s v="SE4_MAL"/>
    <x v="2"/>
    <x v="176"/>
    <x v="0"/>
    <x v="23"/>
    <n v="57.312907992145199"/>
    <n v="20919.211417132999"/>
    <n v="75309.161101678794"/>
  </r>
  <r>
    <x v="0"/>
    <x v="0"/>
    <x v="0"/>
    <x v="9"/>
    <x v="20"/>
    <s v="SE4_MAL"/>
    <x v="3"/>
    <x v="216"/>
    <x v="0"/>
    <x v="5"/>
    <n v="765.68641016666902"/>
    <n v="279475.53971083398"/>
    <n v="1006111.942959"/>
  </r>
  <r>
    <x v="0"/>
    <x v="0"/>
    <x v="0"/>
    <x v="9"/>
    <x v="20"/>
    <s v="SE4_MAL"/>
    <x v="3"/>
    <x v="216"/>
    <x v="0"/>
    <x v="6"/>
    <n v="800"/>
    <n v="292000"/>
    <n v="1051200"/>
  </r>
  <r>
    <x v="0"/>
    <x v="0"/>
    <x v="0"/>
    <x v="9"/>
    <x v="20"/>
    <s v="SE4_MAL"/>
    <x v="3"/>
    <x v="216"/>
    <x v="0"/>
    <x v="7"/>
    <n v="800"/>
    <n v="292000"/>
    <n v="1051200"/>
  </r>
  <r>
    <x v="0"/>
    <x v="0"/>
    <x v="0"/>
    <x v="9"/>
    <x v="20"/>
    <s v="SE4_MAL"/>
    <x v="3"/>
    <x v="216"/>
    <x v="0"/>
    <x v="8"/>
    <n v="800"/>
    <n v="292000"/>
    <n v="1051200"/>
  </r>
  <r>
    <x v="0"/>
    <x v="0"/>
    <x v="0"/>
    <x v="9"/>
    <x v="20"/>
    <s v="SE4_MAL"/>
    <x v="3"/>
    <x v="216"/>
    <x v="0"/>
    <x v="9"/>
    <n v="800"/>
    <n v="292000"/>
    <n v="1051200"/>
  </r>
  <r>
    <x v="0"/>
    <x v="0"/>
    <x v="0"/>
    <x v="9"/>
    <x v="20"/>
    <s v="SE4_MAL"/>
    <x v="3"/>
    <x v="216"/>
    <x v="0"/>
    <x v="10"/>
    <n v="800"/>
    <n v="292000"/>
    <n v="1051200"/>
  </r>
  <r>
    <x v="0"/>
    <x v="0"/>
    <x v="0"/>
    <x v="9"/>
    <x v="20"/>
    <s v="SE4_MAL"/>
    <x v="3"/>
    <x v="216"/>
    <x v="0"/>
    <x v="11"/>
    <n v="800"/>
    <n v="292000"/>
    <n v="1051200"/>
  </r>
  <r>
    <x v="0"/>
    <x v="0"/>
    <x v="0"/>
    <x v="9"/>
    <x v="20"/>
    <s v="SE4_MAL"/>
    <x v="3"/>
    <x v="216"/>
    <x v="0"/>
    <x v="12"/>
    <n v="800"/>
    <n v="292000"/>
    <n v="1051200"/>
  </r>
  <r>
    <x v="0"/>
    <x v="0"/>
    <x v="0"/>
    <x v="9"/>
    <x v="20"/>
    <s v="SE4_MAL"/>
    <x v="3"/>
    <x v="216"/>
    <x v="0"/>
    <x v="13"/>
    <n v="800"/>
    <n v="292000"/>
    <n v="1051200"/>
  </r>
  <r>
    <x v="0"/>
    <x v="0"/>
    <x v="0"/>
    <x v="9"/>
    <x v="20"/>
    <s v="SE4_MAL"/>
    <x v="3"/>
    <x v="216"/>
    <x v="0"/>
    <x v="14"/>
    <n v="800"/>
    <n v="292000"/>
    <n v="1051200"/>
  </r>
  <r>
    <x v="0"/>
    <x v="0"/>
    <x v="0"/>
    <x v="9"/>
    <x v="20"/>
    <s v="SE4_MAL"/>
    <x v="3"/>
    <x v="216"/>
    <x v="0"/>
    <x v="15"/>
    <n v="800"/>
    <n v="292000"/>
    <n v="1051200"/>
  </r>
  <r>
    <x v="0"/>
    <x v="0"/>
    <x v="0"/>
    <x v="9"/>
    <x v="20"/>
    <s v="SE4_MAL"/>
    <x v="3"/>
    <x v="216"/>
    <x v="0"/>
    <x v="16"/>
    <n v="800"/>
    <n v="292000"/>
    <n v="1051200"/>
  </r>
  <r>
    <x v="0"/>
    <x v="0"/>
    <x v="0"/>
    <x v="9"/>
    <x v="20"/>
    <s v="SE4_MAL"/>
    <x v="3"/>
    <x v="216"/>
    <x v="0"/>
    <x v="17"/>
    <n v="800"/>
    <n v="292000"/>
    <n v="1051200"/>
  </r>
  <r>
    <x v="0"/>
    <x v="0"/>
    <x v="0"/>
    <x v="9"/>
    <x v="20"/>
    <s v="SE4_MAL"/>
    <x v="3"/>
    <x v="216"/>
    <x v="0"/>
    <x v="18"/>
    <n v="800"/>
    <n v="292000"/>
    <n v="1051200"/>
  </r>
  <r>
    <x v="0"/>
    <x v="0"/>
    <x v="0"/>
    <x v="9"/>
    <x v="20"/>
    <s v="SE4_MAL"/>
    <x v="3"/>
    <x v="216"/>
    <x v="0"/>
    <x v="19"/>
    <n v="800"/>
    <n v="292000"/>
    <n v="1051200"/>
  </r>
  <r>
    <x v="0"/>
    <x v="0"/>
    <x v="0"/>
    <x v="9"/>
    <x v="20"/>
    <s v="SE4_MAL"/>
    <x v="3"/>
    <x v="216"/>
    <x v="0"/>
    <x v="20"/>
    <n v="800"/>
    <n v="292000"/>
    <n v="1051200"/>
  </r>
  <r>
    <x v="0"/>
    <x v="0"/>
    <x v="0"/>
    <x v="9"/>
    <x v="20"/>
    <s v="SE4_MAL"/>
    <x v="3"/>
    <x v="216"/>
    <x v="0"/>
    <x v="21"/>
    <n v="800"/>
    <n v="292000"/>
    <n v="1051200"/>
  </r>
  <r>
    <x v="0"/>
    <x v="0"/>
    <x v="0"/>
    <x v="9"/>
    <x v="20"/>
    <s v="SE4_MAL"/>
    <x v="5"/>
    <x v="120"/>
    <x v="0"/>
    <x v="0"/>
    <n v="12.362637362637299"/>
    <n v="4512.3626373626203"/>
    <n v="16244.5054945054"/>
  </r>
  <r>
    <x v="0"/>
    <x v="0"/>
    <x v="0"/>
    <x v="9"/>
    <x v="20"/>
    <s v="SE4_MAL"/>
    <x v="5"/>
    <x v="120"/>
    <x v="0"/>
    <x v="1"/>
    <n v="12.362637362637299"/>
    <n v="4512.3626373626203"/>
    <n v="16244.5054945054"/>
  </r>
  <r>
    <x v="0"/>
    <x v="0"/>
    <x v="0"/>
    <x v="9"/>
    <x v="20"/>
    <s v="SE4_MAL"/>
    <x v="5"/>
    <x v="120"/>
    <x v="0"/>
    <x v="2"/>
    <n v="12.362637362637299"/>
    <n v="4512.3626373626203"/>
    <n v="16244.5054945054"/>
  </r>
  <r>
    <x v="0"/>
    <x v="0"/>
    <x v="0"/>
    <x v="9"/>
    <x v="20"/>
    <s v="SE4_MAL"/>
    <x v="5"/>
    <x v="120"/>
    <x v="0"/>
    <x v="3"/>
    <n v="12.362637362637299"/>
    <n v="4512.3626373626203"/>
    <n v="16244.5054945054"/>
  </r>
  <r>
    <x v="0"/>
    <x v="0"/>
    <x v="0"/>
    <x v="9"/>
    <x v="20"/>
    <s v="SE4_MAL"/>
    <x v="5"/>
    <x v="120"/>
    <x v="0"/>
    <x v="4"/>
    <n v="12.362637362637299"/>
    <n v="4512.3626373626203"/>
    <n v="16244.5054945054"/>
  </r>
  <r>
    <x v="0"/>
    <x v="0"/>
    <x v="0"/>
    <x v="9"/>
    <x v="20"/>
    <s v="SE4_MAL"/>
    <x v="5"/>
    <x v="120"/>
    <x v="0"/>
    <x v="5"/>
    <n v="12.362637362637299"/>
    <n v="4512.3626373626203"/>
    <n v="16244.5054945054"/>
  </r>
  <r>
    <x v="0"/>
    <x v="0"/>
    <x v="0"/>
    <x v="9"/>
    <x v="20"/>
    <s v="SE4_MAL"/>
    <x v="5"/>
    <x v="120"/>
    <x v="0"/>
    <x v="6"/>
    <n v="12.362637362637299"/>
    <n v="4512.3626373626203"/>
    <n v="16244.5054945054"/>
  </r>
  <r>
    <x v="0"/>
    <x v="0"/>
    <x v="0"/>
    <x v="9"/>
    <x v="20"/>
    <s v="SE4_MAL"/>
    <x v="5"/>
    <x v="120"/>
    <x v="0"/>
    <x v="7"/>
    <n v="12.362637362637299"/>
    <n v="4512.3626373626203"/>
    <n v="16244.5054945054"/>
  </r>
  <r>
    <x v="0"/>
    <x v="0"/>
    <x v="0"/>
    <x v="9"/>
    <x v="20"/>
    <s v="SE4_MAL"/>
    <x v="5"/>
    <x v="120"/>
    <x v="0"/>
    <x v="8"/>
    <n v="12.362637362637299"/>
    <n v="4512.3626373626203"/>
    <n v="16244.5054945054"/>
  </r>
  <r>
    <x v="0"/>
    <x v="0"/>
    <x v="0"/>
    <x v="9"/>
    <x v="20"/>
    <s v="SE4_MAL"/>
    <x v="5"/>
    <x v="120"/>
    <x v="0"/>
    <x v="9"/>
    <n v="12.362637362637299"/>
    <n v="4512.3626373626203"/>
    <n v="16244.5054945054"/>
  </r>
  <r>
    <x v="0"/>
    <x v="0"/>
    <x v="0"/>
    <x v="9"/>
    <x v="20"/>
    <s v="SE4_MAL"/>
    <x v="5"/>
    <x v="120"/>
    <x v="0"/>
    <x v="10"/>
    <n v="12.362637362637299"/>
    <n v="4512.3626373626203"/>
    <n v="16244.5054945054"/>
  </r>
  <r>
    <x v="0"/>
    <x v="0"/>
    <x v="0"/>
    <x v="9"/>
    <x v="20"/>
    <s v="SE4_MAL"/>
    <x v="5"/>
    <x v="120"/>
    <x v="0"/>
    <x v="11"/>
    <n v="12.362637362637299"/>
    <n v="4512.3626373626203"/>
    <n v="16244.5054945054"/>
  </r>
  <r>
    <x v="0"/>
    <x v="0"/>
    <x v="0"/>
    <x v="9"/>
    <x v="20"/>
    <s v="SE4_MAL"/>
    <x v="5"/>
    <x v="120"/>
    <x v="0"/>
    <x v="12"/>
    <n v="12.362637362637299"/>
    <n v="4512.3626373626203"/>
    <n v="16244.5054945054"/>
  </r>
  <r>
    <x v="0"/>
    <x v="0"/>
    <x v="0"/>
    <x v="9"/>
    <x v="20"/>
    <s v="SE4_MAL"/>
    <x v="5"/>
    <x v="120"/>
    <x v="0"/>
    <x v="13"/>
    <n v="12.362637362637299"/>
    <n v="4512.3626373626203"/>
    <n v="16244.5054945054"/>
  </r>
  <r>
    <x v="0"/>
    <x v="0"/>
    <x v="0"/>
    <x v="9"/>
    <x v="20"/>
    <s v="SE4_MAL"/>
    <x v="5"/>
    <x v="120"/>
    <x v="0"/>
    <x v="14"/>
    <n v="12.362637362637299"/>
    <n v="4512.3626373626203"/>
    <n v="16244.5054945054"/>
  </r>
  <r>
    <x v="0"/>
    <x v="0"/>
    <x v="0"/>
    <x v="9"/>
    <x v="20"/>
    <s v="SE4_MAL"/>
    <x v="5"/>
    <x v="120"/>
    <x v="0"/>
    <x v="15"/>
    <n v="12.362637362637299"/>
    <n v="4512.3626373626203"/>
    <n v="16244.5054945054"/>
  </r>
  <r>
    <x v="0"/>
    <x v="0"/>
    <x v="0"/>
    <x v="9"/>
    <x v="20"/>
    <s v="SE4_MAL"/>
    <x v="5"/>
    <x v="120"/>
    <x v="0"/>
    <x v="16"/>
    <n v="12.362637362637299"/>
    <n v="4512.3626373626203"/>
    <n v="16244.5054945054"/>
  </r>
  <r>
    <x v="0"/>
    <x v="0"/>
    <x v="0"/>
    <x v="9"/>
    <x v="20"/>
    <s v="SE4_MAL"/>
    <x v="5"/>
    <x v="120"/>
    <x v="0"/>
    <x v="17"/>
    <n v="12.362637362637299"/>
    <n v="4512.3626373626203"/>
    <n v="16244.5054945054"/>
  </r>
  <r>
    <x v="0"/>
    <x v="0"/>
    <x v="0"/>
    <x v="9"/>
    <x v="20"/>
    <s v="SE4_MAL"/>
    <x v="5"/>
    <x v="120"/>
    <x v="0"/>
    <x v="18"/>
    <n v="12.362637362637299"/>
    <n v="4512.3626373626203"/>
    <n v="16244.5054945054"/>
  </r>
  <r>
    <x v="0"/>
    <x v="0"/>
    <x v="0"/>
    <x v="9"/>
    <x v="20"/>
    <s v="SE4_MAL"/>
    <x v="5"/>
    <x v="120"/>
    <x v="0"/>
    <x v="19"/>
    <n v="12.362637362637299"/>
    <n v="4512.3626373626203"/>
    <n v="16244.5054945054"/>
  </r>
  <r>
    <x v="0"/>
    <x v="0"/>
    <x v="0"/>
    <x v="9"/>
    <x v="20"/>
    <s v="SE4_MAL"/>
    <x v="5"/>
    <x v="120"/>
    <x v="0"/>
    <x v="20"/>
    <n v="12.362637362637299"/>
    <n v="4512.3626373626203"/>
    <n v="16244.5054945054"/>
  </r>
  <r>
    <x v="0"/>
    <x v="0"/>
    <x v="0"/>
    <x v="9"/>
    <x v="20"/>
    <s v="SE4_MAL"/>
    <x v="5"/>
    <x v="120"/>
    <x v="0"/>
    <x v="21"/>
    <n v="12.362637362637299"/>
    <n v="4512.3626373626203"/>
    <n v="16244.5054945054"/>
  </r>
  <r>
    <x v="0"/>
    <x v="0"/>
    <x v="0"/>
    <x v="9"/>
    <x v="20"/>
    <s v="SE4_MAL"/>
    <x v="5"/>
    <x v="120"/>
    <x v="0"/>
    <x v="22"/>
    <n v="12.362637362637299"/>
    <n v="4512.3626373626203"/>
    <n v="16244.5054945054"/>
  </r>
  <r>
    <x v="0"/>
    <x v="0"/>
    <x v="0"/>
    <x v="9"/>
    <x v="20"/>
    <s v="SE4_MAL"/>
    <x v="5"/>
    <x v="120"/>
    <x v="0"/>
    <x v="23"/>
    <n v="12.362637362637299"/>
    <n v="4512.3626373626203"/>
    <n v="16244.5054945054"/>
  </r>
  <r>
    <x v="0"/>
    <x v="0"/>
    <x v="0"/>
    <x v="9"/>
    <x v="20"/>
    <s v="SE4_MAL"/>
    <x v="6"/>
    <x v="115"/>
    <x v="0"/>
    <x v="0"/>
    <n v="77.7777777777778"/>
    <n v="28388.888888888901"/>
    <n v="102200"/>
  </r>
  <r>
    <x v="0"/>
    <x v="0"/>
    <x v="0"/>
    <x v="9"/>
    <x v="20"/>
    <s v="SE4_MAL"/>
    <x v="6"/>
    <x v="115"/>
    <x v="0"/>
    <x v="1"/>
    <n v="77.7777777777778"/>
    <n v="28388.888888888901"/>
    <n v="102200"/>
  </r>
  <r>
    <x v="0"/>
    <x v="0"/>
    <x v="0"/>
    <x v="9"/>
    <x v="20"/>
    <s v="SE4_MAL"/>
    <x v="6"/>
    <x v="115"/>
    <x v="0"/>
    <x v="2"/>
    <n v="77.7777777777778"/>
    <n v="28388.888888888901"/>
    <n v="102200"/>
  </r>
  <r>
    <x v="0"/>
    <x v="0"/>
    <x v="0"/>
    <x v="9"/>
    <x v="20"/>
    <s v="SE4_MAL"/>
    <x v="6"/>
    <x v="115"/>
    <x v="0"/>
    <x v="3"/>
    <n v="77.7777777777778"/>
    <n v="28388.888888888901"/>
    <n v="102200"/>
  </r>
  <r>
    <x v="0"/>
    <x v="0"/>
    <x v="0"/>
    <x v="9"/>
    <x v="20"/>
    <s v="SE4_MAL"/>
    <x v="6"/>
    <x v="115"/>
    <x v="0"/>
    <x v="4"/>
    <n v="77.7777777777778"/>
    <n v="28388.888888888901"/>
    <n v="102200"/>
  </r>
  <r>
    <x v="0"/>
    <x v="0"/>
    <x v="0"/>
    <x v="9"/>
    <x v="20"/>
    <s v="SE4_MAL"/>
    <x v="6"/>
    <x v="115"/>
    <x v="0"/>
    <x v="5"/>
    <n v="77.7777777777778"/>
    <n v="28388.888888888901"/>
    <n v="102200"/>
  </r>
  <r>
    <x v="0"/>
    <x v="0"/>
    <x v="0"/>
    <x v="9"/>
    <x v="20"/>
    <s v="SE4_MAL"/>
    <x v="6"/>
    <x v="115"/>
    <x v="0"/>
    <x v="6"/>
    <n v="77.7777777777778"/>
    <n v="28388.888888888901"/>
    <n v="102200"/>
  </r>
  <r>
    <x v="0"/>
    <x v="0"/>
    <x v="0"/>
    <x v="9"/>
    <x v="20"/>
    <s v="SE4_MAL"/>
    <x v="6"/>
    <x v="115"/>
    <x v="0"/>
    <x v="7"/>
    <n v="77.7777777777778"/>
    <n v="28388.888888888901"/>
    <n v="102200"/>
  </r>
  <r>
    <x v="0"/>
    <x v="0"/>
    <x v="0"/>
    <x v="9"/>
    <x v="20"/>
    <s v="SE4_MAL"/>
    <x v="6"/>
    <x v="115"/>
    <x v="0"/>
    <x v="8"/>
    <n v="77.7777777777778"/>
    <n v="28388.888888888901"/>
    <n v="102200"/>
  </r>
  <r>
    <x v="0"/>
    <x v="0"/>
    <x v="0"/>
    <x v="9"/>
    <x v="20"/>
    <s v="SE4_MAL"/>
    <x v="6"/>
    <x v="115"/>
    <x v="0"/>
    <x v="9"/>
    <n v="77.7777777777778"/>
    <n v="28388.888888888901"/>
    <n v="102200"/>
  </r>
  <r>
    <x v="0"/>
    <x v="0"/>
    <x v="0"/>
    <x v="9"/>
    <x v="20"/>
    <s v="SE4_MAL"/>
    <x v="6"/>
    <x v="115"/>
    <x v="0"/>
    <x v="10"/>
    <n v="77.7777777777778"/>
    <n v="28388.888888888901"/>
    <n v="102200"/>
  </r>
  <r>
    <x v="0"/>
    <x v="0"/>
    <x v="0"/>
    <x v="9"/>
    <x v="20"/>
    <s v="SE4_MAL"/>
    <x v="6"/>
    <x v="115"/>
    <x v="0"/>
    <x v="11"/>
    <n v="77.7777777777778"/>
    <n v="28388.888888888901"/>
    <n v="102200"/>
  </r>
  <r>
    <x v="0"/>
    <x v="0"/>
    <x v="0"/>
    <x v="9"/>
    <x v="20"/>
    <s v="SE4_MAL"/>
    <x v="6"/>
    <x v="115"/>
    <x v="0"/>
    <x v="12"/>
    <n v="77.7777777777778"/>
    <n v="28388.888888888901"/>
    <n v="102200"/>
  </r>
  <r>
    <x v="0"/>
    <x v="0"/>
    <x v="0"/>
    <x v="9"/>
    <x v="20"/>
    <s v="SE4_MAL"/>
    <x v="6"/>
    <x v="115"/>
    <x v="0"/>
    <x v="13"/>
    <n v="77.7777777777778"/>
    <n v="28388.888888888901"/>
    <n v="102200"/>
  </r>
  <r>
    <x v="0"/>
    <x v="0"/>
    <x v="0"/>
    <x v="9"/>
    <x v="20"/>
    <s v="SE4_MAL"/>
    <x v="6"/>
    <x v="115"/>
    <x v="0"/>
    <x v="14"/>
    <n v="77.7777777777778"/>
    <n v="28388.888888888901"/>
    <n v="102200"/>
  </r>
  <r>
    <x v="0"/>
    <x v="0"/>
    <x v="0"/>
    <x v="9"/>
    <x v="20"/>
    <s v="SE4_MAL"/>
    <x v="6"/>
    <x v="115"/>
    <x v="0"/>
    <x v="15"/>
    <n v="77.7777777777778"/>
    <n v="28388.888888888901"/>
    <n v="102200"/>
  </r>
  <r>
    <x v="0"/>
    <x v="0"/>
    <x v="0"/>
    <x v="9"/>
    <x v="20"/>
    <s v="SE4_MAL"/>
    <x v="6"/>
    <x v="115"/>
    <x v="0"/>
    <x v="16"/>
    <n v="77.7777777777778"/>
    <n v="28388.888888888901"/>
    <n v="102200"/>
  </r>
  <r>
    <x v="0"/>
    <x v="0"/>
    <x v="0"/>
    <x v="9"/>
    <x v="20"/>
    <s v="SE4_MAL"/>
    <x v="6"/>
    <x v="115"/>
    <x v="0"/>
    <x v="17"/>
    <n v="77.7777777777778"/>
    <n v="28388.888888888901"/>
    <n v="102200"/>
  </r>
  <r>
    <x v="0"/>
    <x v="0"/>
    <x v="0"/>
    <x v="9"/>
    <x v="20"/>
    <s v="SE4_MAL"/>
    <x v="6"/>
    <x v="115"/>
    <x v="0"/>
    <x v="18"/>
    <n v="77.7777777777778"/>
    <n v="28388.888888888901"/>
    <n v="102200"/>
  </r>
  <r>
    <x v="0"/>
    <x v="0"/>
    <x v="0"/>
    <x v="9"/>
    <x v="20"/>
    <s v="SE4_MAL"/>
    <x v="6"/>
    <x v="115"/>
    <x v="0"/>
    <x v="19"/>
    <n v="77.7777777777778"/>
    <n v="28388.888888888901"/>
    <n v="102200"/>
  </r>
  <r>
    <x v="0"/>
    <x v="0"/>
    <x v="0"/>
    <x v="9"/>
    <x v="20"/>
    <s v="SE4_MAL"/>
    <x v="6"/>
    <x v="115"/>
    <x v="0"/>
    <x v="20"/>
    <n v="77.7777777777778"/>
    <n v="28388.888888888901"/>
    <n v="102200"/>
  </r>
  <r>
    <x v="0"/>
    <x v="0"/>
    <x v="0"/>
    <x v="9"/>
    <x v="20"/>
    <s v="SE4_MAL"/>
    <x v="6"/>
    <x v="115"/>
    <x v="0"/>
    <x v="21"/>
    <n v="77.7777777777778"/>
    <n v="28388.888888888901"/>
    <n v="102200"/>
  </r>
  <r>
    <x v="0"/>
    <x v="0"/>
    <x v="0"/>
    <x v="9"/>
    <x v="20"/>
    <s v="SE4_MAL"/>
    <x v="6"/>
    <x v="115"/>
    <x v="0"/>
    <x v="22"/>
    <n v="77.7777777777778"/>
    <n v="28388.888888888901"/>
    <n v="102200"/>
  </r>
  <r>
    <x v="0"/>
    <x v="0"/>
    <x v="0"/>
    <x v="9"/>
    <x v="20"/>
    <s v="SE4_MAL"/>
    <x v="6"/>
    <x v="115"/>
    <x v="0"/>
    <x v="23"/>
    <n v="77.7777777777778"/>
    <n v="28388.888888888901"/>
    <n v="102200"/>
  </r>
  <r>
    <x v="0"/>
    <x v="0"/>
    <x v="0"/>
    <x v="9"/>
    <x v="20"/>
    <s v="SE4_OTHER"/>
    <x v="2"/>
    <x v="217"/>
    <x v="0"/>
    <x v="0"/>
    <n v="80.310012821149201"/>
    <n v="29313.154679719501"/>
    <n v="105527.35684699001"/>
  </r>
  <r>
    <x v="0"/>
    <x v="0"/>
    <x v="0"/>
    <x v="9"/>
    <x v="20"/>
    <s v="SE4_OTHER"/>
    <x v="2"/>
    <x v="217"/>
    <x v="0"/>
    <x v="1"/>
    <n v="80.310012821149201"/>
    <n v="29313.154679719501"/>
    <n v="105527.35684699001"/>
  </r>
  <r>
    <x v="0"/>
    <x v="0"/>
    <x v="0"/>
    <x v="9"/>
    <x v="20"/>
    <s v="SE4_OTHER"/>
    <x v="2"/>
    <x v="217"/>
    <x v="0"/>
    <x v="2"/>
    <n v="80.310012821149201"/>
    <n v="29313.154679719501"/>
    <n v="105527.35684699001"/>
  </r>
  <r>
    <x v="0"/>
    <x v="0"/>
    <x v="0"/>
    <x v="9"/>
    <x v="20"/>
    <s v="SE4_OTHER"/>
    <x v="2"/>
    <x v="217"/>
    <x v="0"/>
    <x v="3"/>
    <n v="80.310012821149201"/>
    <n v="29313.154679719501"/>
    <n v="105527.35684699001"/>
  </r>
  <r>
    <x v="0"/>
    <x v="0"/>
    <x v="0"/>
    <x v="9"/>
    <x v="20"/>
    <s v="SE4_OTHER"/>
    <x v="2"/>
    <x v="217"/>
    <x v="0"/>
    <x v="4"/>
    <n v="80.310012821149201"/>
    <n v="29313.154679719501"/>
    <n v="105527.35684699001"/>
  </r>
  <r>
    <x v="0"/>
    <x v="0"/>
    <x v="0"/>
    <x v="9"/>
    <x v="20"/>
    <s v="SE4_OTHER"/>
    <x v="2"/>
    <x v="217"/>
    <x v="0"/>
    <x v="5"/>
    <n v="80.310012821149201"/>
    <n v="29313.154679719501"/>
    <n v="105527.35684699001"/>
  </r>
  <r>
    <x v="0"/>
    <x v="0"/>
    <x v="0"/>
    <x v="9"/>
    <x v="20"/>
    <s v="SE4_OTHER"/>
    <x v="2"/>
    <x v="217"/>
    <x v="0"/>
    <x v="6"/>
    <n v="80.310012821149201"/>
    <n v="29313.154679719501"/>
    <n v="105527.35684699001"/>
  </r>
  <r>
    <x v="0"/>
    <x v="0"/>
    <x v="0"/>
    <x v="9"/>
    <x v="20"/>
    <s v="SE4_OTHER"/>
    <x v="2"/>
    <x v="217"/>
    <x v="0"/>
    <x v="7"/>
    <n v="80.310012821149201"/>
    <n v="29313.154679719501"/>
    <n v="105527.35684699001"/>
  </r>
  <r>
    <x v="0"/>
    <x v="0"/>
    <x v="0"/>
    <x v="9"/>
    <x v="20"/>
    <s v="SE4_OTHER"/>
    <x v="2"/>
    <x v="217"/>
    <x v="0"/>
    <x v="8"/>
    <n v="80.310012821149201"/>
    <n v="29313.154679719501"/>
    <n v="105527.35684699001"/>
  </r>
  <r>
    <x v="0"/>
    <x v="0"/>
    <x v="0"/>
    <x v="9"/>
    <x v="20"/>
    <s v="SE4_OTHER"/>
    <x v="2"/>
    <x v="217"/>
    <x v="0"/>
    <x v="9"/>
    <n v="80.310012821149201"/>
    <n v="29313.154679719501"/>
    <n v="105527.35684699001"/>
  </r>
  <r>
    <x v="0"/>
    <x v="0"/>
    <x v="0"/>
    <x v="9"/>
    <x v="20"/>
    <s v="SE4_OTHER"/>
    <x v="2"/>
    <x v="217"/>
    <x v="0"/>
    <x v="10"/>
    <n v="80.310012821149201"/>
    <n v="29313.154679719501"/>
    <n v="105527.35684699001"/>
  </r>
  <r>
    <x v="0"/>
    <x v="0"/>
    <x v="0"/>
    <x v="9"/>
    <x v="20"/>
    <s v="SE4_OTHER"/>
    <x v="2"/>
    <x v="217"/>
    <x v="0"/>
    <x v="11"/>
    <n v="80.310012821149201"/>
    <n v="29313.154679719501"/>
    <n v="105527.35684699001"/>
  </r>
  <r>
    <x v="0"/>
    <x v="0"/>
    <x v="0"/>
    <x v="9"/>
    <x v="20"/>
    <s v="SE4_OTHER"/>
    <x v="2"/>
    <x v="217"/>
    <x v="0"/>
    <x v="12"/>
    <n v="80.310012821149201"/>
    <n v="29313.154679719501"/>
    <n v="105527.35684699001"/>
  </r>
  <r>
    <x v="0"/>
    <x v="0"/>
    <x v="0"/>
    <x v="9"/>
    <x v="20"/>
    <s v="SE4_OTHER"/>
    <x v="2"/>
    <x v="217"/>
    <x v="0"/>
    <x v="13"/>
    <n v="80.310012821149201"/>
    <n v="29313.154679719501"/>
    <n v="105527.35684699001"/>
  </r>
  <r>
    <x v="0"/>
    <x v="0"/>
    <x v="0"/>
    <x v="9"/>
    <x v="20"/>
    <s v="SE4_OTHER"/>
    <x v="2"/>
    <x v="217"/>
    <x v="0"/>
    <x v="14"/>
    <n v="80.310012821149201"/>
    <n v="29313.154679719501"/>
    <n v="105527.35684699001"/>
  </r>
  <r>
    <x v="0"/>
    <x v="0"/>
    <x v="0"/>
    <x v="9"/>
    <x v="20"/>
    <s v="SE4_OTHER"/>
    <x v="2"/>
    <x v="217"/>
    <x v="0"/>
    <x v="15"/>
    <n v="80.310012821149201"/>
    <n v="29313.154679719501"/>
    <n v="105527.35684699001"/>
  </r>
  <r>
    <x v="0"/>
    <x v="0"/>
    <x v="0"/>
    <x v="9"/>
    <x v="20"/>
    <s v="SE4_OTHER"/>
    <x v="2"/>
    <x v="217"/>
    <x v="0"/>
    <x v="16"/>
    <n v="80.310012821149201"/>
    <n v="29313.154679719501"/>
    <n v="105527.35684699001"/>
  </r>
  <r>
    <x v="0"/>
    <x v="0"/>
    <x v="0"/>
    <x v="9"/>
    <x v="20"/>
    <s v="SE4_OTHER"/>
    <x v="2"/>
    <x v="217"/>
    <x v="0"/>
    <x v="17"/>
    <n v="80.310012821149201"/>
    <n v="29313.154679719501"/>
    <n v="105527.35684699001"/>
  </r>
  <r>
    <x v="0"/>
    <x v="0"/>
    <x v="0"/>
    <x v="9"/>
    <x v="20"/>
    <s v="SE4_OTHER"/>
    <x v="2"/>
    <x v="217"/>
    <x v="0"/>
    <x v="18"/>
    <n v="80.310012821149201"/>
    <n v="29313.154679719501"/>
    <n v="105527.35684699001"/>
  </r>
  <r>
    <x v="0"/>
    <x v="0"/>
    <x v="0"/>
    <x v="9"/>
    <x v="20"/>
    <s v="SE4_OTHER"/>
    <x v="2"/>
    <x v="217"/>
    <x v="0"/>
    <x v="19"/>
    <n v="80.310012821149201"/>
    <n v="29313.154679719501"/>
    <n v="105527.35684699001"/>
  </r>
  <r>
    <x v="0"/>
    <x v="0"/>
    <x v="0"/>
    <x v="9"/>
    <x v="20"/>
    <s v="SE4_OTHER"/>
    <x v="2"/>
    <x v="217"/>
    <x v="0"/>
    <x v="20"/>
    <n v="80.310012821149201"/>
    <n v="29313.154679719501"/>
    <n v="105527.35684699001"/>
  </r>
  <r>
    <x v="0"/>
    <x v="0"/>
    <x v="0"/>
    <x v="9"/>
    <x v="20"/>
    <s v="SE4_OTHER"/>
    <x v="2"/>
    <x v="217"/>
    <x v="0"/>
    <x v="21"/>
    <n v="80.310012821149201"/>
    <n v="29313.154679719501"/>
    <n v="105527.35684699001"/>
  </r>
  <r>
    <x v="0"/>
    <x v="0"/>
    <x v="0"/>
    <x v="9"/>
    <x v="20"/>
    <s v="SE4_OTHER"/>
    <x v="2"/>
    <x v="217"/>
    <x v="0"/>
    <x v="22"/>
    <n v="80.310012821149201"/>
    <n v="29313.154679719501"/>
    <n v="105527.35684699001"/>
  </r>
  <r>
    <x v="0"/>
    <x v="0"/>
    <x v="0"/>
    <x v="9"/>
    <x v="20"/>
    <s v="SE4_OTHER"/>
    <x v="2"/>
    <x v="217"/>
    <x v="0"/>
    <x v="23"/>
    <n v="80.310012821149201"/>
    <n v="29313.154679719501"/>
    <n v="105527.35684699001"/>
  </r>
  <r>
    <x v="0"/>
    <x v="0"/>
    <x v="0"/>
    <x v="9"/>
    <x v="20"/>
    <s v="SE4_OTHER"/>
    <x v="2"/>
    <x v="176"/>
    <x v="0"/>
    <x v="3"/>
    <n v="9.5253555264221994"/>
    <n v="3476.7547671440998"/>
    <n v="12516.3171617188"/>
  </r>
  <r>
    <x v="0"/>
    <x v="0"/>
    <x v="0"/>
    <x v="9"/>
    <x v="20"/>
    <s v="SE4_OTHER"/>
    <x v="2"/>
    <x v="176"/>
    <x v="0"/>
    <x v="4"/>
    <n v="15.4792612335452"/>
    <n v="5649.9303502439998"/>
    <n v="20339.749260878401"/>
  </r>
  <r>
    <x v="0"/>
    <x v="0"/>
    <x v="0"/>
    <x v="9"/>
    <x v="20"/>
    <s v="SE4_OTHER"/>
    <x v="2"/>
    <x v="176"/>
    <x v="0"/>
    <x v="5"/>
    <n v="15.4792612335452"/>
    <n v="5649.9303502439998"/>
    <n v="20339.749260878401"/>
  </r>
  <r>
    <x v="0"/>
    <x v="0"/>
    <x v="0"/>
    <x v="9"/>
    <x v="20"/>
    <s v="SE4_OTHER"/>
    <x v="2"/>
    <x v="176"/>
    <x v="0"/>
    <x v="6"/>
    <n v="15.4792612335452"/>
    <n v="5649.9303502439998"/>
    <n v="20339.749260878401"/>
  </r>
  <r>
    <x v="0"/>
    <x v="0"/>
    <x v="0"/>
    <x v="9"/>
    <x v="20"/>
    <s v="SE4_OTHER"/>
    <x v="2"/>
    <x v="176"/>
    <x v="0"/>
    <x v="7"/>
    <n v="15.4792612335452"/>
    <n v="5649.9303502439998"/>
    <n v="20339.749260878401"/>
  </r>
  <r>
    <x v="0"/>
    <x v="0"/>
    <x v="0"/>
    <x v="9"/>
    <x v="20"/>
    <s v="SE4_OTHER"/>
    <x v="2"/>
    <x v="176"/>
    <x v="0"/>
    <x v="8"/>
    <n v="15.4792612335452"/>
    <n v="5649.9303502439998"/>
    <n v="20339.749260878401"/>
  </r>
  <r>
    <x v="0"/>
    <x v="0"/>
    <x v="0"/>
    <x v="9"/>
    <x v="20"/>
    <s v="SE4_OTHER"/>
    <x v="2"/>
    <x v="176"/>
    <x v="0"/>
    <x v="9"/>
    <n v="15.4792612335452"/>
    <n v="5649.9303502439998"/>
    <n v="20339.749260878401"/>
  </r>
  <r>
    <x v="0"/>
    <x v="0"/>
    <x v="0"/>
    <x v="9"/>
    <x v="20"/>
    <s v="SE4_OTHER"/>
    <x v="2"/>
    <x v="176"/>
    <x v="0"/>
    <x v="10"/>
    <n v="15.4792612335452"/>
    <n v="5649.9303502439998"/>
    <n v="20339.749260878401"/>
  </r>
  <r>
    <x v="0"/>
    <x v="0"/>
    <x v="0"/>
    <x v="9"/>
    <x v="20"/>
    <s v="SE4_OTHER"/>
    <x v="2"/>
    <x v="176"/>
    <x v="0"/>
    <x v="11"/>
    <n v="15.4792612335452"/>
    <n v="5649.9303502439998"/>
    <n v="20339.749260878401"/>
  </r>
  <r>
    <x v="0"/>
    <x v="0"/>
    <x v="0"/>
    <x v="9"/>
    <x v="20"/>
    <s v="SE4_OTHER"/>
    <x v="2"/>
    <x v="176"/>
    <x v="0"/>
    <x v="12"/>
    <n v="15.4792612335452"/>
    <n v="5649.9303502439998"/>
    <n v="20339.749260878401"/>
  </r>
  <r>
    <x v="0"/>
    <x v="0"/>
    <x v="0"/>
    <x v="9"/>
    <x v="20"/>
    <s v="SE4_OTHER"/>
    <x v="2"/>
    <x v="176"/>
    <x v="0"/>
    <x v="13"/>
    <n v="15.4792612335452"/>
    <n v="5649.9303502439998"/>
    <n v="20339.749260878401"/>
  </r>
  <r>
    <x v="0"/>
    <x v="0"/>
    <x v="0"/>
    <x v="9"/>
    <x v="20"/>
    <s v="SE4_OTHER"/>
    <x v="2"/>
    <x v="176"/>
    <x v="0"/>
    <x v="14"/>
    <n v="15.4792612335452"/>
    <n v="5649.9303502439998"/>
    <n v="20339.749260878401"/>
  </r>
  <r>
    <x v="0"/>
    <x v="0"/>
    <x v="0"/>
    <x v="9"/>
    <x v="20"/>
    <s v="SE4_OTHER"/>
    <x v="2"/>
    <x v="176"/>
    <x v="0"/>
    <x v="15"/>
    <n v="15.4792612335452"/>
    <n v="5649.9303502439998"/>
    <n v="20339.749260878401"/>
  </r>
  <r>
    <x v="0"/>
    <x v="0"/>
    <x v="0"/>
    <x v="9"/>
    <x v="20"/>
    <s v="SE4_OTHER"/>
    <x v="2"/>
    <x v="176"/>
    <x v="0"/>
    <x v="16"/>
    <n v="15.4792612335452"/>
    <n v="5649.9303502439998"/>
    <n v="20339.749260878401"/>
  </r>
  <r>
    <x v="0"/>
    <x v="0"/>
    <x v="0"/>
    <x v="9"/>
    <x v="20"/>
    <s v="SE4_OTHER"/>
    <x v="2"/>
    <x v="176"/>
    <x v="0"/>
    <x v="17"/>
    <n v="15.4792612335452"/>
    <n v="5649.9303502439998"/>
    <n v="20339.749260878401"/>
  </r>
  <r>
    <x v="0"/>
    <x v="0"/>
    <x v="0"/>
    <x v="9"/>
    <x v="20"/>
    <s v="SE4_OTHER"/>
    <x v="2"/>
    <x v="176"/>
    <x v="0"/>
    <x v="18"/>
    <n v="15.4792612335452"/>
    <n v="5649.9303502439998"/>
    <n v="20339.749260878401"/>
  </r>
  <r>
    <x v="0"/>
    <x v="0"/>
    <x v="0"/>
    <x v="9"/>
    <x v="20"/>
    <s v="SE4_OTHER"/>
    <x v="2"/>
    <x v="176"/>
    <x v="0"/>
    <x v="19"/>
    <n v="15.4792612335452"/>
    <n v="5649.9303502439998"/>
    <n v="20339.749260878401"/>
  </r>
  <r>
    <x v="0"/>
    <x v="0"/>
    <x v="0"/>
    <x v="9"/>
    <x v="20"/>
    <s v="SE4_OTHER"/>
    <x v="2"/>
    <x v="176"/>
    <x v="0"/>
    <x v="20"/>
    <n v="15.4792612335452"/>
    <n v="5649.9303502439998"/>
    <n v="20339.749260878401"/>
  </r>
  <r>
    <x v="0"/>
    <x v="0"/>
    <x v="0"/>
    <x v="9"/>
    <x v="20"/>
    <s v="SE4_OTHER"/>
    <x v="5"/>
    <x v="120"/>
    <x v="0"/>
    <x v="0"/>
    <n v="53.979194178067701"/>
    <n v="19702.4058749947"/>
    <n v="70928.661149980995"/>
  </r>
  <r>
    <x v="0"/>
    <x v="0"/>
    <x v="0"/>
    <x v="9"/>
    <x v="20"/>
    <s v="SE4_OTHER"/>
    <x v="5"/>
    <x v="120"/>
    <x v="0"/>
    <x v="1"/>
    <n v="54.953067765567503"/>
    <n v="20057.869734432199"/>
    <n v="72208.331043955797"/>
  </r>
  <r>
    <x v="0"/>
    <x v="0"/>
    <x v="0"/>
    <x v="9"/>
    <x v="20"/>
    <s v="SE4_OTHER"/>
    <x v="5"/>
    <x v="120"/>
    <x v="0"/>
    <x v="2"/>
    <n v="51.614183484862799"/>
    <n v="18839.176971974899"/>
    <n v="67821.037099109701"/>
  </r>
  <r>
    <x v="0"/>
    <x v="0"/>
    <x v="0"/>
    <x v="9"/>
    <x v="20"/>
    <s v="SE4_OTHER"/>
    <x v="5"/>
    <x v="120"/>
    <x v="0"/>
    <x v="3"/>
    <n v="54.953067765567503"/>
    <n v="20057.869734432199"/>
    <n v="72208.331043955797"/>
  </r>
  <r>
    <x v="0"/>
    <x v="0"/>
    <x v="0"/>
    <x v="9"/>
    <x v="20"/>
    <s v="SE4_OTHER"/>
    <x v="5"/>
    <x v="120"/>
    <x v="0"/>
    <x v="4"/>
    <n v="54.953067765567503"/>
    <n v="20057.869734432199"/>
    <n v="72208.331043955797"/>
  </r>
  <r>
    <x v="0"/>
    <x v="0"/>
    <x v="0"/>
    <x v="9"/>
    <x v="20"/>
    <s v="SE4_OTHER"/>
    <x v="5"/>
    <x v="120"/>
    <x v="0"/>
    <x v="5"/>
    <n v="54.953067765567503"/>
    <n v="20057.869734432199"/>
    <n v="72208.331043955797"/>
  </r>
  <r>
    <x v="0"/>
    <x v="0"/>
    <x v="0"/>
    <x v="9"/>
    <x v="20"/>
    <s v="SE4_OTHER"/>
    <x v="5"/>
    <x v="120"/>
    <x v="0"/>
    <x v="6"/>
    <n v="54.953067765567503"/>
    <n v="20057.869734432199"/>
    <n v="72208.331043955797"/>
  </r>
  <r>
    <x v="0"/>
    <x v="0"/>
    <x v="0"/>
    <x v="9"/>
    <x v="20"/>
    <s v="SE4_OTHER"/>
    <x v="5"/>
    <x v="120"/>
    <x v="0"/>
    <x v="7"/>
    <n v="54.953067765567503"/>
    <n v="20057.869734432199"/>
    <n v="72208.331043955797"/>
  </r>
  <r>
    <x v="0"/>
    <x v="0"/>
    <x v="0"/>
    <x v="9"/>
    <x v="20"/>
    <s v="SE4_OTHER"/>
    <x v="5"/>
    <x v="120"/>
    <x v="0"/>
    <x v="8"/>
    <n v="54.953067765567503"/>
    <n v="20057.869734432199"/>
    <n v="72208.331043955797"/>
  </r>
  <r>
    <x v="0"/>
    <x v="0"/>
    <x v="0"/>
    <x v="9"/>
    <x v="20"/>
    <s v="SE4_OTHER"/>
    <x v="5"/>
    <x v="120"/>
    <x v="0"/>
    <x v="9"/>
    <n v="54.953067765567503"/>
    <n v="20057.869734432199"/>
    <n v="72208.331043955797"/>
  </r>
  <r>
    <x v="0"/>
    <x v="0"/>
    <x v="0"/>
    <x v="9"/>
    <x v="20"/>
    <s v="SE4_OTHER"/>
    <x v="5"/>
    <x v="120"/>
    <x v="0"/>
    <x v="10"/>
    <n v="54.953067765567503"/>
    <n v="20057.869734432199"/>
    <n v="72208.331043955797"/>
  </r>
  <r>
    <x v="0"/>
    <x v="0"/>
    <x v="0"/>
    <x v="9"/>
    <x v="20"/>
    <s v="SE4_OTHER"/>
    <x v="5"/>
    <x v="120"/>
    <x v="0"/>
    <x v="11"/>
    <n v="54.953067765567503"/>
    <n v="20057.869734432199"/>
    <n v="72208.331043955797"/>
  </r>
  <r>
    <x v="0"/>
    <x v="0"/>
    <x v="0"/>
    <x v="9"/>
    <x v="20"/>
    <s v="SE4_OTHER"/>
    <x v="5"/>
    <x v="120"/>
    <x v="0"/>
    <x v="12"/>
    <n v="54.953067765567503"/>
    <n v="20057.869734432199"/>
    <n v="72208.331043955797"/>
  </r>
  <r>
    <x v="0"/>
    <x v="0"/>
    <x v="0"/>
    <x v="9"/>
    <x v="20"/>
    <s v="SE4_OTHER"/>
    <x v="5"/>
    <x v="120"/>
    <x v="0"/>
    <x v="13"/>
    <n v="54.953067765567503"/>
    <n v="20057.869734432199"/>
    <n v="72208.331043955797"/>
  </r>
  <r>
    <x v="0"/>
    <x v="0"/>
    <x v="0"/>
    <x v="9"/>
    <x v="20"/>
    <s v="SE4_OTHER"/>
    <x v="5"/>
    <x v="120"/>
    <x v="0"/>
    <x v="14"/>
    <n v="54.953067765567503"/>
    <n v="20057.869734432199"/>
    <n v="72208.331043955797"/>
  </r>
  <r>
    <x v="0"/>
    <x v="0"/>
    <x v="0"/>
    <x v="9"/>
    <x v="20"/>
    <s v="SE4_OTHER"/>
    <x v="5"/>
    <x v="120"/>
    <x v="0"/>
    <x v="15"/>
    <n v="54.953067765567503"/>
    <n v="20057.869734432199"/>
    <n v="72208.331043955797"/>
  </r>
  <r>
    <x v="0"/>
    <x v="0"/>
    <x v="0"/>
    <x v="9"/>
    <x v="20"/>
    <s v="SE4_OTHER"/>
    <x v="5"/>
    <x v="120"/>
    <x v="0"/>
    <x v="16"/>
    <n v="54.953067765567503"/>
    <n v="20057.869734432199"/>
    <n v="72208.331043955797"/>
  </r>
  <r>
    <x v="0"/>
    <x v="0"/>
    <x v="0"/>
    <x v="9"/>
    <x v="20"/>
    <s v="SE4_OTHER"/>
    <x v="5"/>
    <x v="120"/>
    <x v="0"/>
    <x v="17"/>
    <n v="54.953067765567503"/>
    <n v="20057.869734432199"/>
    <n v="72208.331043955797"/>
  </r>
  <r>
    <x v="0"/>
    <x v="0"/>
    <x v="0"/>
    <x v="9"/>
    <x v="20"/>
    <s v="SE4_OTHER"/>
    <x v="5"/>
    <x v="120"/>
    <x v="0"/>
    <x v="18"/>
    <n v="54.953067765567503"/>
    <n v="20057.869734432199"/>
    <n v="72208.331043955797"/>
  </r>
  <r>
    <x v="0"/>
    <x v="0"/>
    <x v="0"/>
    <x v="9"/>
    <x v="20"/>
    <s v="SE4_OTHER"/>
    <x v="5"/>
    <x v="120"/>
    <x v="0"/>
    <x v="19"/>
    <n v="54.953067765567503"/>
    <n v="20057.869734432199"/>
    <n v="72208.331043955797"/>
  </r>
  <r>
    <x v="0"/>
    <x v="0"/>
    <x v="0"/>
    <x v="9"/>
    <x v="20"/>
    <s v="SE4_OTHER"/>
    <x v="5"/>
    <x v="120"/>
    <x v="0"/>
    <x v="20"/>
    <n v="54.953067765567503"/>
    <n v="20057.869734432199"/>
    <n v="72208.331043955797"/>
  </r>
  <r>
    <x v="0"/>
    <x v="0"/>
    <x v="0"/>
    <x v="9"/>
    <x v="20"/>
    <s v="SE4_OTHER"/>
    <x v="5"/>
    <x v="120"/>
    <x v="0"/>
    <x v="21"/>
    <n v="41.659048763066998"/>
    <n v="15205.5527985195"/>
    <n v="54739.990074670102"/>
  </r>
  <r>
    <x v="0"/>
    <x v="0"/>
    <x v="0"/>
    <x v="9"/>
    <x v="20"/>
    <s v="SE4_OTHER"/>
    <x v="5"/>
    <x v="120"/>
    <x v="0"/>
    <x v="22"/>
    <n v="17.896981677009101"/>
    <n v="6532.3983121083302"/>
    <n v="23516.633923590001"/>
  </r>
  <r>
    <x v="0"/>
    <x v="0"/>
    <x v="0"/>
    <x v="9"/>
    <x v="20"/>
    <s v="SE4_OTHER"/>
    <x v="6"/>
    <x v="114"/>
    <x v="0"/>
    <x v="0"/>
    <n v="103.41584420845101"/>
    <n v="37746.783136084799"/>
    <n v="135888.419289905"/>
  </r>
  <r>
    <x v="0"/>
    <x v="0"/>
    <x v="0"/>
    <x v="9"/>
    <x v="20"/>
    <s v="SE4_OTHER"/>
    <x v="6"/>
    <x v="114"/>
    <x v="0"/>
    <x v="1"/>
    <n v="103.41584420845101"/>
    <n v="37746.783136084799"/>
    <n v="135888.419289905"/>
  </r>
  <r>
    <x v="0"/>
    <x v="0"/>
    <x v="0"/>
    <x v="9"/>
    <x v="20"/>
    <s v="SE4_OTHER"/>
    <x v="6"/>
    <x v="114"/>
    <x v="0"/>
    <x v="2"/>
    <n v="103.41584420845101"/>
    <n v="37746.783136084799"/>
    <n v="135888.419289905"/>
  </r>
  <r>
    <x v="0"/>
    <x v="0"/>
    <x v="0"/>
    <x v="9"/>
    <x v="20"/>
    <s v="SE4_OTHER"/>
    <x v="6"/>
    <x v="114"/>
    <x v="0"/>
    <x v="3"/>
    <n v="103.41584420845101"/>
    <n v="37746.783136084799"/>
    <n v="135888.419289905"/>
  </r>
  <r>
    <x v="0"/>
    <x v="0"/>
    <x v="0"/>
    <x v="9"/>
    <x v="20"/>
    <s v="SE4_OTHER"/>
    <x v="6"/>
    <x v="114"/>
    <x v="0"/>
    <x v="4"/>
    <n v="103.41584420845101"/>
    <n v="37746.783136084799"/>
    <n v="135888.419289905"/>
  </r>
  <r>
    <x v="0"/>
    <x v="0"/>
    <x v="0"/>
    <x v="9"/>
    <x v="20"/>
    <s v="SE4_OTHER"/>
    <x v="6"/>
    <x v="114"/>
    <x v="0"/>
    <x v="5"/>
    <n v="103.41584420845101"/>
    <n v="37746.783136084799"/>
    <n v="135888.419289905"/>
  </r>
  <r>
    <x v="0"/>
    <x v="0"/>
    <x v="0"/>
    <x v="9"/>
    <x v="20"/>
    <s v="SE4_OTHER"/>
    <x v="6"/>
    <x v="114"/>
    <x v="0"/>
    <x v="6"/>
    <n v="103.41584420845101"/>
    <n v="37746.783136084799"/>
    <n v="135888.419289905"/>
  </r>
  <r>
    <x v="0"/>
    <x v="0"/>
    <x v="0"/>
    <x v="9"/>
    <x v="20"/>
    <s v="SE4_OTHER"/>
    <x v="6"/>
    <x v="114"/>
    <x v="0"/>
    <x v="7"/>
    <n v="103.41584420845101"/>
    <n v="37746.783136084799"/>
    <n v="135888.419289905"/>
  </r>
  <r>
    <x v="0"/>
    <x v="0"/>
    <x v="0"/>
    <x v="9"/>
    <x v="20"/>
    <s v="SE4_OTHER"/>
    <x v="6"/>
    <x v="114"/>
    <x v="0"/>
    <x v="8"/>
    <n v="103.41584420845101"/>
    <n v="37746.783136084799"/>
    <n v="135888.419289905"/>
  </r>
  <r>
    <x v="0"/>
    <x v="0"/>
    <x v="0"/>
    <x v="9"/>
    <x v="20"/>
    <s v="SE4_OTHER"/>
    <x v="6"/>
    <x v="114"/>
    <x v="0"/>
    <x v="9"/>
    <n v="103.41584420845101"/>
    <n v="37746.783136084799"/>
    <n v="135888.419289905"/>
  </r>
  <r>
    <x v="0"/>
    <x v="0"/>
    <x v="0"/>
    <x v="9"/>
    <x v="20"/>
    <s v="SE4_OTHER"/>
    <x v="6"/>
    <x v="114"/>
    <x v="0"/>
    <x v="10"/>
    <n v="103.41584420845101"/>
    <n v="37746.783136084799"/>
    <n v="135888.419289905"/>
  </r>
  <r>
    <x v="0"/>
    <x v="0"/>
    <x v="0"/>
    <x v="9"/>
    <x v="20"/>
    <s v="SE4_OTHER"/>
    <x v="6"/>
    <x v="114"/>
    <x v="0"/>
    <x v="11"/>
    <n v="103.41584420845101"/>
    <n v="37746.783136084799"/>
    <n v="135888.419289905"/>
  </r>
  <r>
    <x v="0"/>
    <x v="0"/>
    <x v="0"/>
    <x v="9"/>
    <x v="20"/>
    <s v="SE4_OTHER"/>
    <x v="6"/>
    <x v="114"/>
    <x v="0"/>
    <x v="12"/>
    <n v="103.41584420845101"/>
    <n v="37746.783136084799"/>
    <n v="135888.419289905"/>
  </r>
  <r>
    <x v="0"/>
    <x v="0"/>
    <x v="0"/>
    <x v="9"/>
    <x v="20"/>
    <s v="SE4_OTHER"/>
    <x v="6"/>
    <x v="114"/>
    <x v="0"/>
    <x v="13"/>
    <n v="103.41584420845101"/>
    <n v="37746.783136084799"/>
    <n v="135888.419289905"/>
  </r>
  <r>
    <x v="0"/>
    <x v="0"/>
    <x v="0"/>
    <x v="9"/>
    <x v="20"/>
    <s v="SE4_OTHER"/>
    <x v="6"/>
    <x v="114"/>
    <x v="0"/>
    <x v="14"/>
    <n v="103.41584420845101"/>
    <n v="37746.783136084799"/>
    <n v="135888.419289905"/>
  </r>
  <r>
    <x v="0"/>
    <x v="0"/>
    <x v="0"/>
    <x v="9"/>
    <x v="20"/>
    <s v="SE4_OTHER"/>
    <x v="6"/>
    <x v="114"/>
    <x v="0"/>
    <x v="15"/>
    <n v="103.41584420845101"/>
    <n v="37746.783136084799"/>
    <n v="135888.419289905"/>
  </r>
  <r>
    <x v="0"/>
    <x v="0"/>
    <x v="0"/>
    <x v="9"/>
    <x v="20"/>
    <s v="SE4_OTHER"/>
    <x v="6"/>
    <x v="114"/>
    <x v="0"/>
    <x v="16"/>
    <n v="103.41584420845101"/>
    <n v="37746.783136084799"/>
    <n v="135888.419289905"/>
  </r>
  <r>
    <x v="0"/>
    <x v="0"/>
    <x v="0"/>
    <x v="9"/>
    <x v="20"/>
    <s v="SE4_OTHER"/>
    <x v="6"/>
    <x v="114"/>
    <x v="0"/>
    <x v="17"/>
    <n v="103.41584420845101"/>
    <n v="37746.783136084799"/>
    <n v="135888.419289905"/>
  </r>
  <r>
    <x v="0"/>
    <x v="0"/>
    <x v="0"/>
    <x v="9"/>
    <x v="20"/>
    <s v="SE4_OTHER"/>
    <x v="6"/>
    <x v="114"/>
    <x v="0"/>
    <x v="18"/>
    <n v="103.41584420845101"/>
    <n v="37746.783136084799"/>
    <n v="135888.419289905"/>
  </r>
  <r>
    <x v="0"/>
    <x v="0"/>
    <x v="0"/>
    <x v="9"/>
    <x v="20"/>
    <s v="SE4_OTHER"/>
    <x v="6"/>
    <x v="114"/>
    <x v="0"/>
    <x v="19"/>
    <n v="103.41584420845101"/>
    <n v="37746.783136084799"/>
    <n v="135888.419289905"/>
  </r>
  <r>
    <x v="0"/>
    <x v="0"/>
    <x v="0"/>
    <x v="9"/>
    <x v="20"/>
    <s v="SE4_OTHER"/>
    <x v="6"/>
    <x v="114"/>
    <x v="0"/>
    <x v="20"/>
    <n v="103.41584420845101"/>
    <n v="37746.783136084799"/>
    <n v="135888.419289905"/>
  </r>
  <r>
    <x v="0"/>
    <x v="0"/>
    <x v="0"/>
    <x v="9"/>
    <x v="20"/>
    <s v="SE4_OTHER"/>
    <x v="6"/>
    <x v="114"/>
    <x v="0"/>
    <x v="21"/>
    <n v="103.41584420845101"/>
    <n v="37746.783136084799"/>
    <n v="135888.419289905"/>
  </r>
  <r>
    <x v="0"/>
    <x v="0"/>
    <x v="0"/>
    <x v="9"/>
    <x v="20"/>
    <s v="SE4_OTHER"/>
    <x v="6"/>
    <x v="114"/>
    <x v="0"/>
    <x v="22"/>
    <n v="103.41584420845101"/>
    <n v="37746.783136084799"/>
    <n v="135888.419289905"/>
  </r>
  <r>
    <x v="0"/>
    <x v="0"/>
    <x v="0"/>
    <x v="9"/>
    <x v="20"/>
    <s v="SE4_OTHER"/>
    <x v="6"/>
    <x v="114"/>
    <x v="0"/>
    <x v="23"/>
    <n v="103.41584420845101"/>
    <n v="37746.783136084799"/>
    <n v="135888.419289905"/>
  </r>
  <r>
    <x v="0"/>
    <x v="0"/>
    <x v="0"/>
    <x v="9"/>
    <x v="20"/>
    <s v="SE4_OTHER"/>
    <x v="6"/>
    <x v="194"/>
    <x v="0"/>
    <x v="0"/>
    <n v="130.99124343257401"/>
    <n v="47811.8038528896"/>
    <n v="172122.49387040301"/>
  </r>
  <r>
    <x v="0"/>
    <x v="0"/>
    <x v="0"/>
    <x v="9"/>
    <x v="20"/>
    <s v="SE4_OTHER"/>
    <x v="6"/>
    <x v="194"/>
    <x v="0"/>
    <x v="1"/>
    <n v="130.99124343257401"/>
    <n v="47811.8038528896"/>
    <n v="172122.49387040301"/>
  </r>
  <r>
    <x v="0"/>
    <x v="0"/>
    <x v="0"/>
    <x v="9"/>
    <x v="20"/>
    <s v="SE4_OTHER"/>
    <x v="6"/>
    <x v="194"/>
    <x v="0"/>
    <x v="2"/>
    <n v="130.99124343257401"/>
    <n v="47811.8038528896"/>
    <n v="172122.49387040301"/>
  </r>
  <r>
    <x v="0"/>
    <x v="0"/>
    <x v="0"/>
    <x v="9"/>
    <x v="20"/>
    <s v="SE4_OTHER"/>
    <x v="6"/>
    <x v="194"/>
    <x v="0"/>
    <x v="3"/>
    <n v="130.99124343257401"/>
    <n v="47811.8038528896"/>
    <n v="172122.49387040301"/>
  </r>
  <r>
    <x v="0"/>
    <x v="0"/>
    <x v="0"/>
    <x v="9"/>
    <x v="20"/>
    <s v="SE4_OTHER"/>
    <x v="6"/>
    <x v="194"/>
    <x v="0"/>
    <x v="4"/>
    <n v="130.99124343257401"/>
    <n v="47811.8038528896"/>
    <n v="172122.49387040301"/>
  </r>
  <r>
    <x v="0"/>
    <x v="0"/>
    <x v="0"/>
    <x v="9"/>
    <x v="20"/>
    <s v="SE4_OTHER"/>
    <x v="6"/>
    <x v="194"/>
    <x v="0"/>
    <x v="5"/>
    <n v="130.99124343257401"/>
    <n v="47811.8038528896"/>
    <n v="172122.49387040301"/>
  </r>
  <r>
    <x v="0"/>
    <x v="0"/>
    <x v="0"/>
    <x v="9"/>
    <x v="20"/>
    <s v="SE4_OTHER"/>
    <x v="6"/>
    <x v="194"/>
    <x v="0"/>
    <x v="6"/>
    <n v="130.99124343257401"/>
    <n v="47811.8038528896"/>
    <n v="172122.49387040301"/>
  </r>
  <r>
    <x v="0"/>
    <x v="0"/>
    <x v="0"/>
    <x v="9"/>
    <x v="20"/>
    <s v="SE4_OTHER"/>
    <x v="6"/>
    <x v="194"/>
    <x v="0"/>
    <x v="7"/>
    <n v="130.99124343257401"/>
    <n v="47811.8038528896"/>
    <n v="172122.49387040301"/>
  </r>
  <r>
    <x v="0"/>
    <x v="0"/>
    <x v="0"/>
    <x v="9"/>
    <x v="20"/>
    <s v="SE4_OTHER"/>
    <x v="6"/>
    <x v="194"/>
    <x v="0"/>
    <x v="8"/>
    <n v="130.99124343257401"/>
    <n v="47811.8038528896"/>
    <n v="172122.49387040301"/>
  </r>
  <r>
    <x v="0"/>
    <x v="0"/>
    <x v="0"/>
    <x v="9"/>
    <x v="20"/>
    <s v="SE4_OTHER"/>
    <x v="6"/>
    <x v="194"/>
    <x v="0"/>
    <x v="9"/>
    <n v="130.99124343257401"/>
    <n v="47811.8038528896"/>
    <n v="172122.49387040301"/>
  </r>
  <r>
    <x v="0"/>
    <x v="0"/>
    <x v="0"/>
    <x v="9"/>
    <x v="20"/>
    <s v="SE4_OTHER"/>
    <x v="6"/>
    <x v="194"/>
    <x v="0"/>
    <x v="10"/>
    <n v="130.99124343257401"/>
    <n v="47811.8038528896"/>
    <n v="172122.49387040301"/>
  </r>
  <r>
    <x v="0"/>
    <x v="0"/>
    <x v="0"/>
    <x v="9"/>
    <x v="20"/>
    <s v="SE4_OTHER"/>
    <x v="6"/>
    <x v="194"/>
    <x v="0"/>
    <x v="11"/>
    <n v="130.99124343257401"/>
    <n v="47811.8038528896"/>
    <n v="172122.49387040301"/>
  </r>
  <r>
    <x v="0"/>
    <x v="0"/>
    <x v="0"/>
    <x v="9"/>
    <x v="20"/>
    <s v="SE4_OTHER"/>
    <x v="6"/>
    <x v="194"/>
    <x v="0"/>
    <x v="12"/>
    <n v="130.99124343257401"/>
    <n v="47811.8038528896"/>
    <n v="172122.49387040301"/>
  </r>
  <r>
    <x v="0"/>
    <x v="0"/>
    <x v="0"/>
    <x v="9"/>
    <x v="20"/>
    <s v="SE4_OTHER"/>
    <x v="6"/>
    <x v="194"/>
    <x v="0"/>
    <x v="13"/>
    <n v="130.99124343257401"/>
    <n v="47811.8038528896"/>
    <n v="172122.49387040301"/>
  </r>
  <r>
    <x v="0"/>
    <x v="0"/>
    <x v="0"/>
    <x v="9"/>
    <x v="20"/>
    <s v="SE4_OTHER"/>
    <x v="6"/>
    <x v="194"/>
    <x v="0"/>
    <x v="14"/>
    <n v="130.99124343257401"/>
    <n v="47811.8038528896"/>
    <n v="172122.49387040301"/>
  </r>
  <r>
    <x v="0"/>
    <x v="0"/>
    <x v="0"/>
    <x v="9"/>
    <x v="20"/>
    <s v="SE4_OTHER"/>
    <x v="6"/>
    <x v="194"/>
    <x v="0"/>
    <x v="15"/>
    <n v="130.99124343257401"/>
    <n v="47811.8038528896"/>
    <n v="172122.49387040301"/>
  </r>
  <r>
    <x v="0"/>
    <x v="0"/>
    <x v="0"/>
    <x v="9"/>
    <x v="20"/>
    <s v="SE4_OTHER"/>
    <x v="6"/>
    <x v="194"/>
    <x v="0"/>
    <x v="16"/>
    <n v="130.99124343257401"/>
    <n v="47811.8038528896"/>
    <n v="172122.49387040301"/>
  </r>
  <r>
    <x v="0"/>
    <x v="0"/>
    <x v="0"/>
    <x v="9"/>
    <x v="20"/>
    <s v="SE4_OTHER"/>
    <x v="6"/>
    <x v="194"/>
    <x v="0"/>
    <x v="17"/>
    <n v="130.99124343257401"/>
    <n v="47811.8038528896"/>
    <n v="172122.49387040301"/>
  </r>
  <r>
    <x v="0"/>
    <x v="0"/>
    <x v="0"/>
    <x v="9"/>
    <x v="20"/>
    <s v="SE4_OTHER"/>
    <x v="6"/>
    <x v="194"/>
    <x v="0"/>
    <x v="18"/>
    <n v="130.99124343257401"/>
    <n v="47811.8038528896"/>
    <n v="172122.49387040301"/>
  </r>
  <r>
    <x v="0"/>
    <x v="0"/>
    <x v="0"/>
    <x v="9"/>
    <x v="20"/>
    <s v="SE4_OTHER"/>
    <x v="6"/>
    <x v="194"/>
    <x v="0"/>
    <x v="19"/>
    <n v="130.99124343257401"/>
    <n v="47811.8038528896"/>
    <n v="172122.49387040301"/>
  </r>
  <r>
    <x v="0"/>
    <x v="0"/>
    <x v="0"/>
    <x v="9"/>
    <x v="20"/>
    <s v="SE4_OTHER"/>
    <x v="6"/>
    <x v="194"/>
    <x v="0"/>
    <x v="20"/>
    <n v="130.99124343257401"/>
    <n v="47811.8038528896"/>
    <n v="172122.49387040301"/>
  </r>
  <r>
    <x v="0"/>
    <x v="0"/>
    <x v="0"/>
    <x v="9"/>
    <x v="20"/>
    <s v="SE4_OTHER"/>
    <x v="6"/>
    <x v="194"/>
    <x v="0"/>
    <x v="21"/>
    <n v="130.99124343257401"/>
    <n v="47811.8038528896"/>
    <n v="172122.49387040301"/>
  </r>
  <r>
    <x v="0"/>
    <x v="0"/>
    <x v="0"/>
    <x v="9"/>
    <x v="20"/>
    <s v="SE4_OTHER"/>
    <x v="6"/>
    <x v="194"/>
    <x v="0"/>
    <x v="22"/>
    <n v="130.99124343257401"/>
    <n v="47811.8038528896"/>
    <n v="172122.49387040301"/>
  </r>
  <r>
    <x v="0"/>
    <x v="0"/>
    <x v="0"/>
    <x v="9"/>
    <x v="20"/>
    <s v="SE4_OTHER"/>
    <x v="6"/>
    <x v="194"/>
    <x v="0"/>
    <x v="23"/>
    <n v="130.99124343257401"/>
    <n v="47811.8038528896"/>
    <n v="172122.49387040301"/>
  </r>
  <r>
    <x v="0"/>
    <x v="0"/>
    <x v="0"/>
    <x v="9"/>
    <x v="20"/>
    <s v="SE4_OTHER"/>
    <x v="11"/>
    <x v="199"/>
    <x v="0"/>
    <x v="0"/>
    <n v="300.29165207238799"/>
    <n v="109606.453006422"/>
    <n v="394583.23082311702"/>
  </r>
  <r>
    <x v="0"/>
    <x v="0"/>
    <x v="0"/>
    <x v="9"/>
    <x v="20"/>
    <s v="SE4_OTHER"/>
    <x v="11"/>
    <x v="199"/>
    <x v="0"/>
    <x v="1"/>
    <n v="300.29165207238799"/>
    <n v="109606.453006422"/>
    <n v="394583.23082311702"/>
  </r>
  <r>
    <x v="0"/>
    <x v="0"/>
    <x v="0"/>
    <x v="9"/>
    <x v="20"/>
    <s v="SE4_OTHER"/>
    <x v="11"/>
    <x v="199"/>
    <x v="0"/>
    <x v="2"/>
    <n v="300.29165207238799"/>
    <n v="109606.453006422"/>
    <n v="394583.23082311702"/>
  </r>
  <r>
    <x v="0"/>
    <x v="0"/>
    <x v="0"/>
    <x v="9"/>
    <x v="20"/>
    <s v="SE4_OTHER"/>
    <x v="11"/>
    <x v="199"/>
    <x v="0"/>
    <x v="3"/>
    <n v="300.29165207238799"/>
    <n v="109606.453006422"/>
    <n v="394583.23082311702"/>
  </r>
  <r>
    <x v="0"/>
    <x v="0"/>
    <x v="0"/>
    <x v="9"/>
    <x v="20"/>
    <s v="SE4_OTHER"/>
    <x v="11"/>
    <x v="199"/>
    <x v="0"/>
    <x v="4"/>
    <n v="300.29165207238799"/>
    <n v="109606.453006422"/>
    <n v="394583.23082311702"/>
  </r>
  <r>
    <x v="0"/>
    <x v="0"/>
    <x v="0"/>
    <x v="9"/>
    <x v="20"/>
    <s v="SE4_OTHER"/>
    <x v="11"/>
    <x v="199"/>
    <x v="0"/>
    <x v="5"/>
    <n v="300.29165207238799"/>
    <n v="109606.453006422"/>
    <n v="394583.23082311702"/>
  </r>
  <r>
    <x v="0"/>
    <x v="0"/>
    <x v="0"/>
    <x v="9"/>
    <x v="20"/>
    <s v="SE4_OTHER"/>
    <x v="11"/>
    <x v="199"/>
    <x v="0"/>
    <x v="6"/>
    <n v="300.29165207238799"/>
    <n v="109606.453006422"/>
    <n v="394583.23082311702"/>
  </r>
  <r>
    <x v="0"/>
    <x v="0"/>
    <x v="0"/>
    <x v="9"/>
    <x v="20"/>
    <s v="SE4_OTHER"/>
    <x v="11"/>
    <x v="199"/>
    <x v="0"/>
    <x v="7"/>
    <n v="300.29165207238799"/>
    <n v="109606.453006422"/>
    <n v="394583.23082311702"/>
  </r>
  <r>
    <x v="0"/>
    <x v="0"/>
    <x v="0"/>
    <x v="9"/>
    <x v="20"/>
    <s v="SE4_OTHER"/>
    <x v="11"/>
    <x v="199"/>
    <x v="0"/>
    <x v="8"/>
    <n v="300.29165207238799"/>
    <n v="109606.453006422"/>
    <n v="394583.23082311702"/>
  </r>
  <r>
    <x v="0"/>
    <x v="0"/>
    <x v="0"/>
    <x v="9"/>
    <x v="20"/>
    <s v="SE4_OTHER"/>
    <x v="11"/>
    <x v="199"/>
    <x v="0"/>
    <x v="9"/>
    <n v="300.29165207238799"/>
    <n v="109606.453006422"/>
    <n v="394583.23082311702"/>
  </r>
  <r>
    <x v="0"/>
    <x v="0"/>
    <x v="0"/>
    <x v="9"/>
    <x v="20"/>
    <s v="SE4_OTHER"/>
    <x v="11"/>
    <x v="199"/>
    <x v="0"/>
    <x v="10"/>
    <n v="300.29165207238799"/>
    <n v="109606.453006422"/>
    <n v="394583.23082311702"/>
  </r>
  <r>
    <x v="0"/>
    <x v="0"/>
    <x v="0"/>
    <x v="9"/>
    <x v="20"/>
    <s v="SE4_OTHER"/>
    <x v="11"/>
    <x v="199"/>
    <x v="0"/>
    <x v="11"/>
    <n v="300.29165207238799"/>
    <n v="109606.453006422"/>
    <n v="394583.23082311702"/>
  </r>
  <r>
    <x v="0"/>
    <x v="0"/>
    <x v="0"/>
    <x v="9"/>
    <x v="20"/>
    <s v="SE4_OTHER"/>
    <x v="11"/>
    <x v="199"/>
    <x v="0"/>
    <x v="12"/>
    <n v="300.29165207238799"/>
    <n v="109606.453006422"/>
    <n v="394583.23082311702"/>
  </r>
  <r>
    <x v="0"/>
    <x v="0"/>
    <x v="0"/>
    <x v="9"/>
    <x v="20"/>
    <s v="SE4_OTHER"/>
    <x v="11"/>
    <x v="199"/>
    <x v="0"/>
    <x v="13"/>
    <n v="300.29165207238799"/>
    <n v="109606.453006422"/>
    <n v="394583.23082311702"/>
  </r>
  <r>
    <x v="0"/>
    <x v="0"/>
    <x v="0"/>
    <x v="9"/>
    <x v="20"/>
    <s v="SE4_OTHER"/>
    <x v="11"/>
    <x v="199"/>
    <x v="0"/>
    <x v="14"/>
    <n v="300.29165207238799"/>
    <n v="109606.453006422"/>
    <n v="394583.23082311702"/>
  </r>
  <r>
    <x v="0"/>
    <x v="0"/>
    <x v="0"/>
    <x v="9"/>
    <x v="20"/>
    <s v="SE4_OTHER"/>
    <x v="11"/>
    <x v="199"/>
    <x v="0"/>
    <x v="15"/>
    <n v="300.29165207238799"/>
    <n v="109606.453006422"/>
    <n v="394583.23082311702"/>
  </r>
  <r>
    <x v="0"/>
    <x v="0"/>
    <x v="0"/>
    <x v="9"/>
    <x v="20"/>
    <s v="SE4_OTHER"/>
    <x v="11"/>
    <x v="199"/>
    <x v="0"/>
    <x v="16"/>
    <n v="300.29165207238799"/>
    <n v="109606.453006422"/>
    <n v="394583.23082311702"/>
  </r>
  <r>
    <x v="0"/>
    <x v="0"/>
    <x v="0"/>
    <x v="9"/>
    <x v="20"/>
    <s v="SE4_OTHER"/>
    <x v="11"/>
    <x v="199"/>
    <x v="0"/>
    <x v="17"/>
    <n v="300.29165207238799"/>
    <n v="109606.453006422"/>
    <n v="394583.23082311702"/>
  </r>
  <r>
    <x v="0"/>
    <x v="0"/>
    <x v="0"/>
    <x v="9"/>
    <x v="20"/>
    <s v="SE4_OTHER"/>
    <x v="11"/>
    <x v="199"/>
    <x v="0"/>
    <x v="18"/>
    <n v="300.29165207238799"/>
    <n v="109606.453006422"/>
    <n v="394583.23082311702"/>
  </r>
  <r>
    <x v="0"/>
    <x v="0"/>
    <x v="0"/>
    <x v="9"/>
    <x v="20"/>
    <s v="SE4_OTHER"/>
    <x v="11"/>
    <x v="199"/>
    <x v="0"/>
    <x v="19"/>
    <n v="300.29165207238799"/>
    <n v="109606.453006422"/>
    <n v="394583.23082311702"/>
  </r>
  <r>
    <x v="0"/>
    <x v="0"/>
    <x v="0"/>
    <x v="9"/>
    <x v="20"/>
    <s v="SE4_OTHER"/>
    <x v="11"/>
    <x v="199"/>
    <x v="0"/>
    <x v="20"/>
    <n v="300.29165207238799"/>
    <n v="109606.453006422"/>
    <n v="394583.23082311702"/>
  </r>
  <r>
    <x v="0"/>
    <x v="0"/>
    <x v="0"/>
    <x v="9"/>
    <x v="20"/>
    <s v="SE4_OTHER"/>
    <x v="11"/>
    <x v="199"/>
    <x v="0"/>
    <x v="21"/>
    <n v="300.29165207238799"/>
    <n v="109606.453006422"/>
    <n v="394583.23082311702"/>
  </r>
  <r>
    <x v="0"/>
    <x v="0"/>
    <x v="0"/>
    <x v="9"/>
    <x v="20"/>
    <s v="SE4_OTHER"/>
    <x v="11"/>
    <x v="199"/>
    <x v="0"/>
    <x v="22"/>
    <n v="300.29165207238799"/>
    <n v="109606.453006422"/>
    <n v="394583.23082311702"/>
  </r>
  <r>
    <x v="0"/>
    <x v="0"/>
    <x v="0"/>
    <x v="9"/>
    <x v="20"/>
    <s v="SE4_OTHER"/>
    <x v="11"/>
    <x v="199"/>
    <x v="0"/>
    <x v="23"/>
    <n v="300.29165207238799"/>
    <n v="109606.453006422"/>
    <n v="394583.23082311702"/>
  </r>
  <r>
    <x v="0"/>
    <x v="0"/>
    <x v="0"/>
    <x v="9"/>
    <x v="20"/>
    <s v="SE4_OTHER"/>
    <x v="11"/>
    <x v="122"/>
    <x v="0"/>
    <x v="4"/>
    <n v="22.907250105702602"/>
    <n v="8361.1462885814708"/>
    <n v="30100.1266388933"/>
  </r>
  <r>
    <x v="0"/>
    <x v="0"/>
    <x v="0"/>
    <x v="9"/>
    <x v="20"/>
    <s v="SE4_OTHER"/>
    <x v="11"/>
    <x v="122"/>
    <x v="0"/>
    <x v="5"/>
    <n v="79.694562606877795"/>
    <n v="29088.515351510399"/>
    <n v="104718.655265437"/>
  </r>
  <r>
    <x v="0"/>
    <x v="0"/>
    <x v="0"/>
    <x v="9"/>
    <x v="20"/>
    <s v="SE4_OTHER"/>
    <x v="11"/>
    <x v="122"/>
    <x v="0"/>
    <x v="6"/>
    <n v="199.34900040045699"/>
    <n v="72762.385146166795"/>
    <n v="261944.58652620099"/>
  </r>
  <r>
    <x v="0"/>
    <x v="0"/>
    <x v="0"/>
    <x v="9"/>
    <x v="20"/>
    <s v="SE4_OTHER"/>
    <x v="11"/>
    <x v="122"/>
    <x v="0"/>
    <x v="7"/>
    <n v="257.42888928273197"/>
    <n v="93961.544588197095"/>
    <n v="338261.56051750999"/>
  </r>
  <r>
    <x v="0"/>
    <x v="0"/>
    <x v="0"/>
    <x v="9"/>
    <x v="20"/>
    <s v="SE4_OTHER"/>
    <x v="11"/>
    <x v="122"/>
    <x v="0"/>
    <x v="8"/>
    <n v="259.43877982055602"/>
    <n v="94695.154634503095"/>
    <n v="340902.55668421101"/>
  </r>
  <r>
    <x v="0"/>
    <x v="0"/>
    <x v="0"/>
    <x v="9"/>
    <x v="20"/>
    <s v="SE4_OTHER"/>
    <x v="11"/>
    <x v="122"/>
    <x v="0"/>
    <x v="9"/>
    <n v="199.21807608586599"/>
    <n v="72714.597771340996"/>
    <n v="261772.55197682799"/>
  </r>
  <r>
    <x v="0"/>
    <x v="0"/>
    <x v="0"/>
    <x v="9"/>
    <x v="20"/>
    <s v="SE4_OTHER"/>
    <x v="11"/>
    <x v="122"/>
    <x v="0"/>
    <x v="10"/>
    <n v="217.59965154959099"/>
    <n v="79423.872815600596"/>
    <n v="285925.94213616202"/>
  </r>
  <r>
    <x v="0"/>
    <x v="0"/>
    <x v="0"/>
    <x v="9"/>
    <x v="20"/>
    <s v="SE4_OTHER"/>
    <x v="11"/>
    <x v="122"/>
    <x v="0"/>
    <x v="11"/>
    <n v="189.66925738288001"/>
    <n v="69229.278944751306"/>
    <n v="249225.404201105"/>
  </r>
  <r>
    <x v="0"/>
    <x v="0"/>
    <x v="0"/>
    <x v="9"/>
    <x v="20"/>
    <s v="SE4_OTHER"/>
    <x v="11"/>
    <x v="122"/>
    <x v="0"/>
    <x v="12"/>
    <n v="161.58480487846001"/>
    <n v="58978.453780637799"/>
    <n v="212322.43361029599"/>
  </r>
  <r>
    <x v="0"/>
    <x v="0"/>
    <x v="0"/>
    <x v="9"/>
    <x v="20"/>
    <s v="SE4_OTHER"/>
    <x v="11"/>
    <x v="122"/>
    <x v="0"/>
    <x v="13"/>
    <n v="159.50165396981799"/>
    <n v="58218.103698983599"/>
    <n v="209585.17331634101"/>
  </r>
  <r>
    <x v="0"/>
    <x v="0"/>
    <x v="0"/>
    <x v="9"/>
    <x v="20"/>
    <s v="SE4_OTHER"/>
    <x v="11"/>
    <x v="122"/>
    <x v="0"/>
    <x v="14"/>
    <n v="143.493463247151"/>
    <n v="52375.114085210203"/>
    <n v="188550.41070675699"/>
  </r>
  <r>
    <x v="0"/>
    <x v="0"/>
    <x v="0"/>
    <x v="9"/>
    <x v="20"/>
    <s v="SE4_OTHER"/>
    <x v="11"/>
    <x v="122"/>
    <x v="0"/>
    <x v="15"/>
    <n v="137.468712068055"/>
    <n v="50176.079904839899"/>
    <n v="180633.887657424"/>
  </r>
  <r>
    <x v="0"/>
    <x v="0"/>
    <x v="0"/>
    <x v="9"/>
    <x v="20"/>
    <s v="SE4_OTHER"/>
    <x v="11"/>
    <x v="122"/>
    <x v="0"/>
    <x v="16"/>
    <n v="122.92385851924899"/>
    <n v="44867.208359525903"/>
    <n v="161521.95009429299"/>
  </r>
  <r>
    <x v="0"/>
    <x v="0"/>
    <x v="0"/>
    <x v="9"/>
    <x v="20"/>
    <s v="SE4_OTHER"/>
    <x v="11"/>
    <x v="122"/>
    <x v="0"/>
    <x v="17"/>
    <n v="82.388494614195693"/>
    <n v="30071.800534181399"/>
    <n v="108258.481923053"/>
  </r>
  <r>
    <x v="0"/>
    <x v="0"/>
    <x v="0"/>
    <x v="9"/>
    <x v="20"/>
    <s v="SE4_OTHER"/>
    <x v="11"/>
    <x v="122"/>
    <x v="0"/>
    <x v="18"/>
    <n v="56.405658480815802"/>
    <n v="20588.065345497798"/>
    <n v="74117.035243791906"/>
  </r>
  <r>
    <x v="0"/>
    <x v="0"/>
    <x v="0"/>
    <x v="9"/>
    <x v="20"/>
    <s v="SE4_OTHER"/>
    <x v="11"/>
    <x v="122"/>
    <x v="0"/>
    <x v="19"/>
    <n v="34.124824689501501"/>
    <n v="12455.5610116681"/>
    <n v="44840.019642004998"/>
  </r>
  <r>
    <x v="0"/>
    <x v="0"/>
    <x v="0"/>
    <x v="9"/>
    <x v="20"/>
    <s v="SE4_OTHER"/>
    <x v="11"/>
    <x v="122"/>
    <x v="0"/>
    <x v="20"/>
    <n v="9.6588559721319793"/>
    <n v="3525.4824298281701"/>
    <n v="12691.736747381399"/>
  </r>
  <r>
    <x v="0"/>
    <x v="0"/>
    <x v="0"/>
    <x v="10"/>
    <x v="21"/>
    <s v="UK_A"/>
    <x v="0"/>
    <x v="218"/>
    <x v="0"/>
    <x v="0"/>
    <n v="3072.5"/>
    <n v="1121462.5"/>
    <n v="4037265"/>
  </r>
  <r>
    <x v="0"/>
    <x v="0"/>
    <x v="0"/>
    <x v="10"/>
    <x v="21"/>
    <s v="UK_A"/>
    <x v="0"/>
    <x v="218"/>
    <x v="0"/>
    <x v="1"/>
    <n v="3072.5"/>
    <n v="1121462.5"/>
    <n v="4037265"/>
  </r>
  <r>
    <x v="0"/>
    <x v="0"/>
    <x v="0"/>
    <x v="10"/>
    <x v="21"/>
    <s v="UK_A"/>
    <x v="0"/>
    <x v="218"/>
    <x v="0"/>
    <x v="2"/>
    <n v="3072.5"/>
    <n v="1121462.5"/>
    <n v="4037265"/>
  </r>
  <r>
    <x v="0"/>
    <x v="0"/>
    <x v="0"/>
    <x v="10"/>
    <x v="21"/>
    <s v="UK_A"/>
    <x v="0"/>
    <x v="218"/>
    <x v="0"/>
    <x v="3"/>
    <n v="3072.5"/>
    <n v="1121462.5"/>
    <n v="4037265"/>
  </r>
  <r>
    <x v="0"/>
    <x v="0"/>
    <x v="0"/>
    <x v="10"/>
    <x v="21"/>
    <s v="UK_A"/>
    <x v="0"/>
    <x v="218"/>
    <x v="0"/>
    <x v="4"/>
    <n v="3072.5"/>
    <n v="1121462.5"/>
    <n v="4037265"/>
  </r>
  <r>
    <x v="0"/>
    <x v="0"/>
    <x v="0"/>
    <x v="10"/>
    <x v="21"/>
    <s v="UK_A"/>
    <x v="0"/>
    <x v="218"/>
    <x v="0"/>
    <x v="5"/>
    <n v="3072.5"/>
    <n v="1121462.5"/>
    <n v="4037265"/>
  </r>
  <r>
    <x v="0"/>
    <x v="0"/>
    <x v="0"/>
    <x v="10"/>
    <x v="21"/>
    <s v="UK_A"/>
    <x v="0"/>
    <x v="218"/>
    <x v="0"/>
    <x v="6"/>
    <n v="3072.5"/>
    <n v="1121462.5"/>
    <n v="4037265"/>
  </r>
  <r>
    <x v="0"/>
    <x v="0"/>
    <x v="0"/>
    <x v="10"/>
    <x v="21"/>
    <s v="UK_A"/>
    <x v="0"/>
    <x v="218"/>
    <x v="0"/>
    <x v="7"/>
    <n v="3072.5"/>
    <n v="1121462.5"/>
    <n v="4037265"/>
  </r>
  <r>
    <x v="0"/>
    <x v="0"/>
    <x v="0"/>
    <x v="10"/>
    <x v="21"/>
    <s v="UK_A"/>
    <x v="0"/>
    <x v="218"/>
    <x v="0"/>
    <x v="8"/>
    <n v="3072.5"/>
    <n v="1121462.5"/>
    <n v="4037265"/>
  </r>
  <r>
    <x v="0"/>
    <x v="0"/>
    <x v="0"/>
    <x v="10"/>
    <x v="21"/>
    <s v="UK_A"/>
    <x v="0"/>
    <x v="218"/>
    <x v="0"/>
    <x v="9"/>
    <n v="3072.5"/>
    <n v="1121462.5"/>
    <n v="4037265"/>
  </r>
  <r>
    <x v="0"/>
    <x v="0"/>
    <x v="0"/>
    <x v="10"/>
    <x v="21"/>
    <s v="UK_A"/>
    <x v="0"/>
    <x v="218"/>
    <x v="0"/>
    <x v="10"/>
    <n v="3072.5"/>
    <n v="1121462.5"/>
    <n v="4037265"/>
  </r>
  <r>
    <x v="0"/>
    <x v="0"/>
    <x v="0"/>
    <x v="10"/>
    <x v="21"/>
    <s v="UK_A"/>
    <x v="0"/>
    <x v="218"/>
    <x v="0"/>
    <x v="11"/>
    <n v="3072.5"/>
    <n v="1121462.5"/>
    <n v="4037265"/>
  </r>
  <r>
    <x v="0"/>
    <x v="0"/>
    <x v="0"/>
    <x v="10"/>
    <x v="21"/>
    <s v="UK_A"/>
    <x v="0"/>
    <x v="218"/>
    <x v="0"/>
    <x v="12"/>
    <n v="3072.5"/>
    <n v="1121462.5"/>
    <n v="4037265"/>
  </r>
  <r>
    <x v="0"/>
    <x v="0"/>
    <x v="0"/>
    <x v="10"/>
    <x v="21"/>
    <s v="UK_A"/>
    <x v="0"/>
    <x v="218"/>
    <x v="0"/>
    <x v="13"/>
    <n v="3072.5"/>
    <n v="1121462.5"/>
    <n v="4037265"/>
  </r>
  <r>
    <x v="0"/>
    <x v="0"/>
    <x v="0"/>
    <x v="10"/>
    <x v="21"/>
    <s v="UK_A"/>
    <x v="0"/>
    <x v="218"/>
    <x v="0"/>
    <x v="14"/>
    <n v="3072.5"/>
    <n v="1121462.5"/>
    <n v="4037265"/>
  </r>
  <r>
    <x v="0"/>
    <x v="0"/>
    <x v="0"/>
    <x v="10"/>
    <x v="21"/>
    <s v="UK_A"/>
    <x v="0"/>
    <x v="218"/>
    <x v="0"/>
    <x v="15"/>
    <n v="3072.5"/>
    <n v="1121462.5"/>
    <n v="4037265"/>
  </r>
  <r>
    <x v="0"/>
    <x v="0"/>
    <x v="0"/>
    <x v="10"/>
    <x v="21"/>
    <s v="UK_A"/>
    <x v="0"/>
    <x v="218"/>
    <x v="0"/>
    <x v="16"/>
    <n v="3072.5"/>
    <n v="1121462.5"/>
    <n v="4037265"/>
  </r>
  <r>
    <x v="0"/>
    <x v="0"/>
    <x v="0"/>
    <x v="10"/>
    <x v="21"/>
    <s v="UK_A"/>
    <x v="0"/>
    <x v="218"/>
    <x v="0"/>
    <x v="17"/>
    <n v="3072.5"/>
    <n v="1121462.5"/>
    <n v="4037265"/>
  </r>
  <r>
    <x v="0"/>
    <x v="0"/>
    <x v="0"/>
    <x v="10"/>
    <x v="21"/>
    <s v="UK_A"/>
    <x v="0"/>
    <x v="218"/>
    <x v="0"/>
    <x v="18"/>
    <n v="3072.5"/>
    <n v="1121462.5"/>
    <n v="4037265"/>
  </r>
  <r>
    <x v="0"/>
    <x v="0"/>
    <x v="0"/>
    <x v="10"/>
    <x v="21"/>
    <s v="UK_A"/>
    <x v="0"/>
    <x v="218"/>
    <x v="0"/>
    <x v="19"/>
    <n v="3072.5"/>
    <n v="1121462.5"/>
    <n v="4037265"/>
  </r>
  <r>
    <x v="0"/>
    <x v="0"/>
    <x v="0"/>
    <x v="10"/>
    <x v="21"/>
    <s v="UK_A"/>
    <x v="0"/>
    <x v="218"/>
    <x v="0"/>
    <x v="20"/>
    <n v="3072.5"/>
    <n v="1121462.5"/>
    <n v="4037265"/>
  </r>
  <r>
    <x v="0"/>
    <x v="0"/>
    <x v="0"/>
    <x v="10"/>
    <x v="21"/>
    <s v="UK_A"/>
    <x v="0"/>
    <x v="218"/>
    <x v="0"/>
    <x v="21"/>
    <n v="3072.5"/>
    <n v="1121462.5"/>
    <n v="4037265"/>
  </r>
  <r>
    <x v="0"/>
    <x v="0"/>
    <x v="0"/>
    <x v="10"/>
    <x v="21"/>
    <s v="UK_A"/>
    <x v="0"/>
    <x v="218"/>
    <x v="0"/>
    <x v="22"/>
    <n v="3072.5"/>
    <n v="1121462.5"/>
    <n v="4037265"/>
  </r>
  <r>
    <x v="0"/>
    <x v="0"/>
    <x v="0"/>
    <x v="10"/>
    <x v="21"/>
    <s v="UK_A"/>
    <x v="0"/>
    <x v="218"/>
    <x v="0"/>
    <x v="23"/>
    <n v="3072.5"/>
    <n v="1121462.5"/>
    <n v="4037265"/>
  </r>
  <r>
    <x v="0"/>
    <x v="0"/>
    <x v="0"/>
    <x v="10"/>
    <x v="21"/>
    <s v="UK_A"/>
    <x v="0"/>
    <x v="219"/>
    <x v="0"/>
    <x v="0"/>
    <n v="5335.5555555555602"/>
    <n v="1947477.7777777801"/>
    <n v="7010920"/>
  </r>
  <r>
    <x v="0"/>
    <x v="0"/>
    <x v="0"/>
    <x v="10"/>
    <x v="21"/>
    <s v="UK_A"/>
    <x v="0"/>
    <x v="219"/>
    <x v="0"/>
    <x v="1"/>
    <n v="5335.5555555555602"/>
    <n v="1947477.7777777801"/>
    <n v="7010920"/>
  </r>
  <r>
    <x v="0"/>
    <x v="0"/>
    <x v="0"/>
    <x v="10"/>
    <x v="21"/>
    <s v="UK_A"/>
    <x v="0"/>
    <x v="219"/>
    <x v="0"/>
    <x v="2"/>
    <n v="5335.5555555555602"/>
    <n v="1947477.7777777801"/>
    <n v="7010920"/>
  </r>
  <r>
    <x v="0"/>
    <x v="0"/>
    <x v="0"/>
    <x v="10"/>
    <x v="21"/>
    <s v="UK_A"/>
    <x v="0"/>
    <x v="219"/>
    <x v="0"/>
    <x v="3"/>
    <n v="5335.5555555555602"/>
    <n v="1947477.7777777801"/>
    <n v="7010920"/>
  </r>
  <r>
    <x v="0"/>
    <x v="0"/>
    <x v="0"/>
    <x v="10"/>
    <x v="21"/>
    <s v="UK_A"/>
    <x v="0"/>
    <x v="219"/>
    <x v="0"/>
    <x v="4"/>
    <n v="5335.5555555555602"/>
    <n v="1947477.7777777801"/>
    <n v="7010920"/>
  </r>
  <r>
    <x v="0"/>
    <x v="0"/>
    <x v="0"/>
    <x v="10"/>
    <x v="21"/>
    <s v="UK_A"/>
    <x v="0"/>
    <x v="219"/>
    <x v="0"/>
    <x v="5"/>
    <n v="5335.5555555555602"/>
    <n v="1947477.7777777801"/>
    <n v="7010920"/>
  </r>
  <r>
    <x v="0"/>
    <x v="0"/>
    <x v="0"/>
    <x v="10"/>
    <x v="21"/>
    <s v="UK_A"/>
    <x v="0"/>
    <x v="219"/>
    <x v="0"/>
    <x v="6"/>
    <n v="5335.5555555555602"/>
    <n v="1947477.7777777801"/>
    <n v="7010920"/>
  </r>
  <r>
    <x v="0"/>
    <x v="0"/>
    <x v="0"/>
    <x v="10"/>
    <x v="21"/>
    <s v="UK_A"/>
    <x v="0"/>
    <x v="219"/>
    <x v="0"/>
    <x v="7"/>
    <n v="5335.5555555555602"/>
    <n v="1947477.7777777801"/>
    <n v="7010920"/>
  </r>
  <r>
    <x v="0"/>
    <x v="0"/>
    <x v="0"/>
    <x v="10"/>
    <x v="21"/>
    <s v="UK_A"/>
    <x v="0"/>
    <x v="219"/>
    <x v="0"/>
    <x v="8"/>
    <n v="5335.5555555555602"/>
    <n v="1947477.7777777801"/>
    <n v="7010920"/>
  </r>
  <r>
    <x v="0"/>
    <x v="0"/>
    <x v="0"/>
    <x v="10"/>
    <x v="21"/>
    <s v="UK_A"/>
    <x v="0"/>
    <x v="219"/>
    <x v="0"/>
    <x v="9"/>
    <n v="5335.5555555555602"/>
    <n v="1947477.7777777801"/>
    <n v="7010920"/>
  </r>
  <r>
    <x v="0"/>
    <x v="0"/>
    <x v="0"/>
    <x v="10"/>
    <x v="21"/>
    <s v="UK_A"/>
    <x v="0"/>
    <x v="219"/>
    <x v="0"/>
    <x v="10"/>
    <n v="5335.5555555555602"/>
    <n v="1947477.7777777801"/>
    <n v="7010920"/>
  </r>
  <r>
    <x v="0"/>
    <x v="0"/>
    <x v="0"/>
    <x v="10"/>
    <x v="21"/>
    <s v="UK_A"/>
    <x v="0"/>
    <x v="219"/>
    <x v="0"/>
    <x v="11"/>
    <n v="5335.5555555555602"/>
    <n v="1947477.7777777801"/>
    <n v="7010920"/>
  </r>
  <r>
    <x v="0"/>
    <x v="0"/>
    <x v="0"/>
    <x v="10"/>
    <x v="21"/>
    <s v="UK_A"/>
    <x v="0"/>
    <x v="219"/>
    <x v="0"/>
    <x v="12"/>
    <n v="5335.5555555555602"/>
    <n v="1947477.7777777801"/>
    <n v="7010920"/>
  </r>
  <r>
    <x v="0"/>
    <x v="0"/>
    <x v="0"/>
    <x v="10"/>
    <x v="21"/>
    <s v="UK_A"/>
    <x v="0"/>
    <x v="219"/>
    <x v="0"/>
    <x v="13"/>
    <n v="5335.5555555555602"/>
    <n v="1947477.7777777801"/>
    <n v="7010920"/>
  </r>
  <r>
    <x v="0"/>
    <x v="0"/>
    <x v="0"/>
    <x v="10"/>
    <x v="21"/>
    <s v="UK_A"/>
    <x v="0"/>
    <x v="219"/>
    <x v="0"/>
    <x v="14"/>
    <n v="5335.5555555555602"/>
    <n v="1947477.7777777801"/>
    <n v="7010920"/>
  </r>
  <r>
    <x v="0"/>
    <x v="0"/>
    <x v="0"/>
    <x v="10"/>
    <x v="21"/>
    <s v="UK_A"/>
    <x v="0"/>
    <x v="219"/>
    <x v="0"/>
    <x v="15"/>
    <n v="5335.5555555555602"/>
    <n v="1947477.7777777801"/>
    <n v="7010920"/>
  </r>
  <r>
    <x v="0"/>
    <x v="0"/>
    <x v="0"/>
    <x v="10"/>
    <x v="21"/>
    <s v="UK_A"/>
    <x v="0"/>
    <x v="219"/>
    <x v="0"/>
    <x v="16"/>
    <n v="5335.5555555555602"/>
    <n v="1947477.7777777801"/>
    <n v="7010920"/>
  </r>
  <r>
    <x v="0"/>
    <x v="0"/>
    <x v="0"/>
    <x v="10"/>
    <x v="21"/>
    <s v="UK_A"/>
    <x v="0"/>
    <x v="219"/>
    <x v="0"/>
    <x v="17"/>
    <n v="5335.5555555555602"/>
    <n v="1947477.7777777801"/>
    <n v="7010920"/>
  </r>
  <r>
    <x v="0"/>
    <x v="0"/>
    <x v="0"/>
    <x v="10"/>
    <x v="21"/>
    <s v="UK_A"/>
    <x v="0"/>
    <x v="219"/>
    <x v="0"/>
    <x v="18"/>
    <n v="5335.5555555555602"/>
    <n v="1947477.7777777801"/>
    <n v="7010920"/>
  </r>
  <r>
    <x v="0"/>
    <x v="0"/>
    <x v="0"/>
    <x v="10"/>
    <x v="21"/>
    <s v="UK_A"/>
    <x v="0"/>
    <x v="219"/>
    <x v="0"/>
    <x v="19"/>
    <n v="5335.5555555555602"/>
    <n v="1947477.7777777801"/>
    <n v="7010920"/>
  </r>
  <r>
    <x v="0"/>
    <x v="0"/>
    <x v="0"/>
    <x v="10"/>
    <x v="21"/>
    <s v="UK_A"/>
    <x v="0"/>
    <x v="219"/>
    <x v="0"/>
    <x v="20"/>
    <n v="5335.5555555555602"/>
    <n v="1947477.7777777801"/>
    <n v="7010920"/>
  </r>
  <r>
    <x v="0"/>
    <x v="0"/>
    <x v="0"/>
    <x v="10"/>
    <x v="21"/>
    <s v="UK_A"/>
    <x v="0"/>
    <x v="219"/>
    <x v="0"/>
    <x v="21"/>
    <n v="5335.5555555555602"/>
    <n v="1947477.7777777801"/>
    <n v="7010920"/>
  </r>
  <r>
    <x v="0"/>
    <x v="0"/>
    <x v="0"/>
    <x v="10"/>
    <x v="21"/>
    <s v="UK_A"/>
    <x v="0"/>
    <x v="219"/>
    <x v="0"/>
    <x v="22"/>
    <n v="5335.5555555555602"/>
    <n v="1947477.7777777801"/>
    <n v="7010920"/>
  </r>
  <r>
    <x v="0"/>
    <x v="0"/>
    <x v="0"/>
    <x v="10"/>
    <x v="21"/>
    <s v="UK_A"/>
    <x v="0"/>
    <x v="219"/>
    <x v="0"/>
    <x v="23"/>
    <n v="5335.5555555555602"/>
    <n v="1947477.7777777801"/>
    <n v="7010920"/>
  </r>
  <r>
    <x v="0"/>
    <x v="0"/>
    <x v="0"/>
    <x v="10"/>
    <x v="21"/>
    <s v="UK_A"/>
    <x v="2"/>
    <x v="172"/>
    <x v="0"/>
    <x v="0"/>
    <n v="2015"/>
    <n v="735475"/>
    <n v="2647710"/>
  </r>
  <r>
    <x v="0"/>
    <x v="0"/>
    <x v="0"/>
    <x v="10"/>
    <x v="21"/>
    <s v="UK_A"/>
    <x v="2"/>
    <x v="172"/>
    <x v="0"/>
    <x v="1"/>
    <n v="2015"/>
    <n v="735475"/>
    <n v="2647710"/>
  </r>
  <r>
    <x v="0"/>
    <x v="0"/>
    <x v="0"/>
    <x v="10"/>
    <x v="21"/>
    <s v="UK_A"/>
    <x v="2"/>
    <x v="172"/>
    <x v="0"/>
    <x v="2"/>
    <n v="2015"/>
    <n v="735475"/>
    <n v="2647710"/>
  </r>
  <r>
    <x v="0"/>
    <x v="0"/>
    <x v="0"/>
    <x v="10"/>
    <x v="21"/>
    <s v="UK_A"/>
    <x v="2"/>
    <x v="172"/>
    <x v="0"/>
    <x v="3"/>
    <n v="2015"/>
    <n v="735475"/>
    <n v="2647710"/>
  </r>
  <r>
    <x v="0"/>
    <x v="0"/>
    <x v="0"/>
    <x v="10"/>
    <x v="21"/>
    <s v="UK_A"/>
    <x v="2"/>
    <x v="172"/>
    <x v="0"/>
    <x v="4"/>
    <n v="2015"/>
    <n v="735475"/>
    <n v="2647710"/>
  </r>
  <r>
    <x v="0"/>
    <x v="0"/>
    <x v="0"/>
    <x v="10"/>
    <x v="21"/>
    <s v="UK_A"/>
    <x v="2"/>
    <x v="172"/>
    <x v="0"/>
    <x v="5"/>
    <n v="2015"/>
    <n v="735475"/>
    <n v="2647710"/>
  </r>
  <r>
    <x v="0"/>
    <x v="0"/>
    <x v="0"/>
    <x v="10"/>
    <x v="21"/>
    <s v="UK_A"/>
    <x v="2"/>
    <x v="172"/>
    <x v="0"/>
    <x v="6"/>
    <n v="2015"/>
    <n v="735475"/>
    <n v="2647710"/>
  </r>
  <r>
    <x v="0"/>
    <x v="0"/>
    <x v="0"/>
    <x v="10"/>
    <x v="21"/>
    <s v="UK_A"/>
    <x v="2"/>
    <x v="172"/>
    <x v="0"/>
    <x v="7"/>
    <n v="2015"/>
    <n v="735475"/>
    <n v="2647710"/>
  </r>
  <r>
    <x v="0"/>
    <x v="0"/>
    <x v="0"/>
    <x v="10"/>
    <x v="21"/>
    <s v="UK_A"/>
    <x v="2"/>
    <x v="172"/>
    <x v="0"/>
    <x v="8"/>
    <n v="2015"/>
    <n v="735475"/>
    <n v="2647710"/>
  </r>
  <r>
    <x v="0"/>
    <x v="0"/>
    <x v="0"/>
    <x v="10"/>
    <x v="21"/>
    <s v="UK_A"/>
    <x v="2"/>
    <x v="172"/>
    <x v="0"/>
    <x v="9"/>
    <n v="2015"/>
    <n v="735475"/>
    <n v="2647710"/>
  </r>
  <r>
    <x v="0"/>
    <x v="0"/>
    <x v="0"/>
    <x v="10"/>
    <x v="21"/>
    <s v="UK_A"/>
    <x v="2"/>
    <x v="172"/>
    <x v="0"/>
    <x v="10"/>
    <n v="2015"/>
    <n v="735475"/>
    <n v="2647710"/>
  </r>
  <r>
    <x v="0"/>
    <x v="0"/>
    <x v="0"/>
    <x v="10"/>
    <x v="21"/>
    <s v="UK_A"/>
    <x v="2"/>
    <x v="172"/>
    <x v="0"/>
    <x v="11"/>
    <n v="2015"/>
    <n v="735475"/>
    <n v="2647710"/>
  </r>
  <r>
    <x v="0"/>
    <x v="0"/>
    <x v="0"/>
    <x v="10"/>
    <x v="21"/>
    <s v="UK_A"/>
    <x v="2"/>
    <x v="172"/>
    <x v="0"/>
    <x v="12"/>
    <n v="2015"/>
    <n v="735475"/>
    <n v="2647710"/>
  </r>
  <r>
    <x v="0"/>
    <x v="0"/>
    <x v="0"/>
    <x v="10"/>
    <x v="21"/>
    <s v="UK_A"/>
    <x v="2"/>
    <x v="172"/>
    <x v="0"/>
    <x v="13"/>
    <n v="2015"/>
    <n v="735475"/>
    <n v="2647710"/>
  </r>
  <r>
    <x v="0"/>
    <x v="0"/>
    <x v="0"/>
    <x v="10"/>
    <x v="21"/>
    <s v="UK_A"/>
    <x v="2"/>
    <x v="172"/>
    <x v="0"/>
    <x v="14"/>
    <n v="2015"/>
    <n v="735475"/>
    <n v="2647710"/>
  </r>
  <r>
    <x v="0"/>
    <x v="0"/>
    <x v="0"/>
    <x v="10"/>
    <x v="21"/>
    <s v="UK_A"/>
    <x v="2"/>
    <x v="172"/>
    <x v="0"/>
    <x v="15"/>
    <n v="2015"/>
    <n v="735475"/>
    <n v="2647710"/>
  </r>
  <r>
    <x v="0"/>
    <x v="0"/>
    <x v="0"/>
    <x v="10"/>
    <x v="21"/>
    <s v="UK_A"/>
    <x v="2"/>
    <x v="172"/>
    <x v="0"/>
    <x v="16"/>
    <n v="2015"/>
    <n v="735475"/>
    <n v="2647710"/>
  </r>
  <r>
    <x v="0"/>
    <x v="0"/>
    <x v="0"/>
    <x v="10"/>
    <x v="21"/>
    <s v="UK_A"/>
    <x v="2"/>
    <x v="172"/>
    <x v="0"/>
    <x v="17"/>
    <n v="2015"/>
    <n v="735475"/>
    <n v="2647710"/>
  </r>
  <r>
    <x v="0"/>
    <x v="0"/>
    <x v="0"/>
    <x v="10"/>
    <x v="21"/>
    <s v="UK_A"/>
    <x v="2"/>
    <x v="172"/>
    <x v="0"/>
    <x v="18"/>
    <n v="2015"/>
    <n v="735475"/>
    <n v="2647710"/>
  </r>
  <r>
    <x v="0"/>
    <x v="0"/>
    <x v="0"/>
    <x v="10"/>
    <x v="21"/>
    <s v="UK_A"/>
    <x v="2"/>
    <x v="172"/>
    <x v="0"/>
    <x v="19"/>
    <n v="2015"/>
    <n v="735475"/>
    <n v="2647710"/>
  </r>
  <r>
    <x v="0"/>
    <x v="0"/>
    <x v="0"/>
    <x v="10"/>
    <x v="21"/>
    <s v="UK_A"/>
    <x v="2"/>
    <x v="172"/>
    <x v="0"/>
    <x v="20"/>
    <n v="2015"/>
    <n v="735475"/>
    <n v="2647710"/>
  </r>
  <r>
    <x v="0"/>
    <x v="0"/>
    <x v="0"/>
    <x v="10"/>
    <x v="21"/>
    <s v="UK_A"/>
    <x v="2"/>
    <x v="172"/>
    <x v="0"/>
    <x v="21"/>
    <n v="2015"/>
    <n v="735475"/>
    <n v="2647710"/>
  </r>
  <r>
    <x v="0"/>
    <x v="0"/>
    <x v="0"/>
    <x v="10"/>
    <x v="21"/>
    <s v="UK_A"/>
    <x v="2"/>
    <x v="172"/>
    <x v="0"/>
    <x v="22"/>
    <n v="2015"/>
    <n v="735475"/>
    <n v="2647710"/>
  </r>
  <r>
    <x v="0"/>
    <x v="0"/>
    <x v="0"/>
    <x v="10"/>
    <x v="21"/>
    <s v="UK_A"/>
    <x v="2"/>
    <x v="172"/>
    <x v="0"/>
    <x v="23"/>
    <n v="2015"/>
    <n v="735475"/>
    <n v="2647710"/>
  </r>
  <r>
    <x v="0"/>
    <x v="0"/>
    <x v="0"/>
    <x v="10"/>
    <x v="21"/>
    <s v="UK_A"/>
    <x v="3"/>
    <x v="220"/>
    <x v="0"/>
    <x v="19"/>
    <n v="13565.6864101667"/>
    <n v="4951475.53971083"/>
    <n v="17825311.942958999"/>
  </r>
  <r>
    <x v="0"/>
    <x v="0"/>
    <x v="0"/>
    <x v="10"/>
    <x v="21"/>
    <s v="UK_A"/>
    <x v="16"/>
    <x v="154"/>
    <x v="0"/>
    <x v="0"/>
    <n v="28487.878787878799"/>
    <n v="10398075.757575801"/>
    <n v="37433072.727272697"/>
  </r>
  <r>
    <x v="0"/>
    <x v="0"/>
    <x v="0"/>
    <x v="10"/>
    <x v="21"/>
    <s v="UK_A"/>
    <x v="16"/>
    <x v="154"/>
    <x v="0"/>
    <x v="1"/>
    <n v="28487.878787878799"/>
    <n v="10398075.757575801"/>
    <n v="37433072.727272697"/>
  </r>
  <r>
    <x v="0"/>
    <x v="0"/>
    <x v="0"/>
    <x v="10"/>
    <x v="21"/>
    <s v="UK_A"/>
    <x v="16"/>
    <x v="154"/>
    <x v="0"/>
    <x v="2"/>
    <n v="28487.878787878799"/>
    <n v="10398075.757575801"/>
    <n v="37433072.727272697"/>
  </r>
  <r>
    <x v="0"/>
    <x v="0"/>
    <x v="0"/>
    <x v="10"/>
    <x v="21"/>
    <s v="UK_A"/>
    <x v="16"/>
    <x v="154"/>
    <x v="0"/>
    <x v="3"/>
    <n v="28487.878787878799"/>
    <n v="10398075.757575801"/>
    <n v="37433072.727272697"/>
  </r>
  <r>
    <x v="0"/>
    <x v="0"/>
    <x v="0"/>
    <x v="10"/>
    <x v="21"/>
    <s v="UK_A"/>
    <x v="16"/>
    <x v="154"/>
    <x v="0"/>
    <x v="4"/>
    <n v="28487.878787878799"/>
    <n v="10398075.757575801"/>
    <n v="37433072.727272697"/>
  </r>
  <r>
    <x v="0"/>
    <x v="0"/>
    <x v="0"/>
    <x v="10"/>
    <x v="21"/>
    <s v="UK_A"/>
    <x v="16"/>
    <x v="154"/>
    <x v="0"/>
    <x v="5"/>
    <n v="28487.878787878799"/>
    <n v="10398075.757575801"/>
    <n v="37433072.727272697"/>
  </r>
  <r>
    <x v="0"/>
    <x v="0"/>
    <x v="0"/>
    <x v="10"/>
    <x v="21"/>
    <s v="UK_A"/>
    <x v="16"/>
    <x v="154"/>
    <x v="0"/>
    <x v="6"/>
    <n v="28487.878787878799"/>
    <n v="10398075.757575801"/>
    <n v="37433072.727272697"/>
  </r>
  <r>
    <x v="0"/>
    <x v="0"/>
    <x v="0"/>
    <x v="10"/>
    <x v="21"/>
    <s v="UK_A"/>
    <x v="16"/>
    <x v="154"/>
    <x v="0"/>
    <x v="7"/>
    <n v="28487.878787878799"/>
    <n v="10398075.757575801"/>
    <n v="37433072.727272697"/>
  </r>
  <r>
    <x v="0"/>
    <x v="0"/>
    <x v="0"/>
    <x v="10"/>
    <x v="21"/>
    <s v="UK_A"/>
    <x v="16"/>
    <x v="154"/>
    <x v="0"/>
    <x v="8"/>
    <n v="28487.878787878799"/>
    <n v="10398075.757575801"/>
    <n v="37433072.727272697"/>
  </r>
  <r>
    <x v="0"/>
    <x v="0"/>
    <x v="0"/>
    <x v="10"/>
    <x v="21"/>
    <s v="UK_A"/>
    <x v="16"/>
    <x v="154"/>
    <x v="0"/>
    <x v="9"/>
    <n v="28487.878787878799"/>
    <n v="10398075.757575801"/>
    <n v="37433072.727272697"/>
  </r>
  <r>
    <x v="0"/>
    <x v="0"/>
    <x v="0"/>
    <x v="10"/>
    <x v="21"/>
    <s v="UK_A"/>
    <x v="16"/>
    <x v="154"/>
    <x v="0"/>
    <x v="10"/>
    <n v="28487.878787878799"/>
    <n v="10398075.757575801"/>
    <n v="37433072.727272697"/>
  </r>
  <r>
    <x v="0"/>
    <x v="0"/>
    <x v="0"/>
    <x v="10"/>
    <x v="21"/>
    <s v="UK_A"/>
    <x v="16"/>
    <x v="154"/>
    <x v="0"/>
    <x v="11"/>
    <n v="28487.878787878799"/>
    <n v="10398075.757575801"/>
    <n v="37433072.727272697"/>
  </r>
  <r>
    <x v="0"/>
    <x v="0"/>
    <x v="0"/>
    <x v="10"/>
    <x v="21"/>
    <s v="UK_A"/>
    <x v="16"/>
    <x v="154"/>
    <x v="0"/>
    <x v="12"/>
    <n v="28487.878787878799"/>
    <n v="10398075.757575801"/>
    <n v="37433072.727272697"/>
  </r>
  <r>
    <x v="0"/>
    <x v="0"/>
    <x v="0"/>
    <x v="10"/>
    <x v="21"/>
    <s v="UK_A"/>
    <x v="16"/>
    <x v="154"/>
    <x v="0"/>
    <x v="13"/>
    <n v="28487.878787878799"/>
    <n v="10398075.757575801"/>
    <n v="37433072.727272697"/>
  </r>
  <r>
    <x v="0"/>
    <x v="0"/>
    <x v="0"/>
    <x v="10"/>
    <x v="21"/>
    <s v="UK_A"/>
    <x v="16"/>
    <x v="154"/>
    <x v="0"/>
    <x v="14"/>
    <n v="28487.878787878799"/>
    <n v="10398075.757575801"/>
    <n v="37433072.727272697"/>
  </r>
  <r>
    <x v="0"/>
    <x v="0"/>
    <x v="0"/>
    <x v="10"/>
    <x v="21"/>
    <s v="UK_A"/>
    <x v="16"/>
    <x v="154"/>
    <x v="0"/>
    <x v="15"/>
    <n v="28487.878787878799"/>
    <n v="10398075.757575801"/>
    <n v="37433072.727272697"/>
  </r>
  <r>
    <x v="0"/>
    <x v="0"/>
    <x v="0"/>
    <x v="10"/>
    <x v="21"/>
    <s v="UK_A"/>
    <x v="16"/>
    <x v="154"/>
    <x v="0"/>
    <x v="16"/>
    <n v="28487.878787878799"/>
    <n v="10398075.757575801"/>
    <n v="37433072.727272697"/>
  </r>
  <r>
    <x v="0"/>
    <x v="0"/>
    <x v="0"/>
    <x v="10"/>
    <x v="21"/>
    <s v="UK_A"/>
    <x v="16"/>
    <x v="154"/>
    <x v="0"/>
    <x v="17"/>
    <n v="28487.878787878799"/>
    <n v="10398075.757575801"/>
    <n v="37433072.727272697"/>
  </r>
  <r>
    <x v="0"/>
    <x v="0"/>
    <x v="0"/>
    <x v="10"/>
    <x v="21"/>
    <s v="UK_A"/>
    <x v="16"/>
    <x v="154"/>
    <x v="0"/>
    <x v="18"/>
    <n v="28487.878787878799"/>
    <n v="10398075.757575801"/>
    <n v="37433072.727272697"/>
  </r>
  <r>
    <x v="0"/>
    <x v="0"/>
    <x v="0"/>
    <x v="10"/>
    <x v="21"/>
    <s v="UK_A"/>
    <x v="16"/>
    <x v="154"/>
    <x v="0"/>
    <x v="19"/>
    <n v="28487.878787878799"/>
    <n v="10398075.757575801"/>
    <n v="37433072.727272697"/>
  </r>
  <r>
    <x v="0"/>
    <x v="0"/>
    <x v="0"/>
    <x v="10"/>
    <x v="21"/>
    <s v="UK_A"/>
    <x v="16"/>
    <x v="154"/>
    <x v="0"/>
    <x v="20"/>
    <n v="28487.878787878799"/>
    <n v="10398075.757575801"/>
    <n v="37433072.727272697"/>
  </r>
  <r>
    <x v="0"/>
    <x v="0"/>
    <x v="0"/>
    <x v="10"/>
    <x v="21"/>
    <s v="UK_A"/>
    <x v="16"/>
    <x v="154"/>
    <x v="0"/>
    <x v="21"/>
    <n v="28487.878787878799"/>
    <n v="10398075.757575801"/>
    <n v="37433072.727272697"/>
  </r>
  <r>
    <x v="0"/>
    <x v="0"/>
    <x v="0"/>
    <x v="10"/>
    <x v="21"/>
    <s v="UK_A"/>
    <x v="16"/>
    <x v="154"/>
    <x v="0"/>
    <x v="22"/>
    <n v="28487.878787878799"/>
    <n v="10398075.757575801"/>
    <n v="37433072.727272697"/>
  </r>
  <r>
    <x v="0"/>
    <x v="0"/>
    <x v="0"/>
    <x v="10"/>
    <x v="21"/>
    <s v="UK_A"/>
    <x v="16"/>
    <x v="154"/>
    <x v="0"/>
    <x v="23"/>
    <n v="28487.878787878799"/>
    <n v="10398075.757575801"/>
    <n v="37433072.727272697"/>
  </r>
  <r>
    <x v="0"/>
    <x v="0"/>
    <x v="0"/>
    <x v="10"/>
    <x v="21"/>
    <s v="UK_A"/>
    <x v="8"/>
    <x v="56"/>
    <x v="0"/>
    <x v="5"/>
    <n v="91.934696158323504"/>
    <n v="33556.164097788103"/>
    <n v="120802.190752037"/>
  </r>
  <r>
    <x v="0"/>
    <x v="0"/>
    <x v="0"/>
    <x v="10"/>
    <x v="21"/>
    <s v="UK_A"/>
    <x v="8"/>
    <x v="56"/>
    <x v="0"/>
    <x v="6"/>
    <n v="183.86939231664701"/>
    <n v="67112.328195576294"/>
    <n v="241604.38150407499"/>
  </r>
  <r>
    <x v="0"/>
    <x v="0"/>
    <x v="0"/>
    <x v="10"/>
    <x v="21"/>
    <s v="UK_A"/>
    <x v="8"/>
    <x v="56"/>
    <x v="0"/>
    <x v="7"/>
    <n v="220.643270779977"/>
    <n v="80534.793834691605"/>
    <n v="289925.25780488999"/>
  </r>
  <r>
    <x v="0"/>
    <x v="0"/>
    <x v="0"/>
    <x v="10"/>
    <x v="21"/>
    <s v="UK_A"/>
    <x v="8"/>
    <x v="56"/>
    <x v="0"/>
    <x v="8"/>
    <n v="220.643270779977"/>
    <n v="80534.793834691605"/>
    <n v="289925.25780488999"/>
  </r>
  <r>
    <x v="0"/>
    <x v="0"/>
    <x v="0"/>
    <x v="10"/>
    <x v="21"/>
    <s v="UK_A"/>
    <x v="8"/>
    <x v="56"/>
    <x v="0"/>
    <x v="9"/>
    <n v="937.73390081489902"/>
    <n v="342272.87379743799"/>
    <n v="1232182.3456707799"/>
  </r>
  <r>
    <x v="0"/>
    <x v="0"/>
    <x v="0"/>
    <x v="10"/>
    <x v="21"/>
    <s v="UK_A"/>
    <x v="8"/>
    <x v="56"/>
    <x v="0"/>
    <x v="10"/>
    <n v="1949.0155585564601"/>
    <n v="711390.678873108"/>
    <n v="2561006.4439431899"/>
  </r>
  <r>
    <x v="0"/>
    <x v="0"/>
    <x v="0"/>
    <x v="10"/>
    <x v="21"/>
    <s v="UK_A"/>
    <x v="8"/>
    <x v="56"/>
    <x v="0"/>
    <x v="11"/>
    <n v="2813.2017024447"/>
    <n v="1026818.62139232"/>
    <n v="3696547.03701234"/>
  </r>
  <r>
    <x v="0"/>
    <x v="0"/>
    <x v="0"/>
    <x v="10"/>
    <x v="21"/>
    <s v="UK_A"/>
    <x v="8"/>
    <x v="56"/>
    <x v="0"/>
    <x v="12"/>
    <n v="3401.5837578579799"/>
    <n v="1241578.07161816"/>
    <n v="4469681.05782538"/>
  </r>
  <r>
    <x v="0"/>
    <x v="0"/>
    <x v="0"/>
    <x v="10"/>
    <x v="21"/>
    <s v="UK_A"/>
    <x v="8"/>
    <x v="56"/>
    <x v="0"/>
    <x v="13"/>
    <n v="2868.3625201396999"/>
    <n v="1046952.31985099"/>
    <n v="3769028.35146356"/>
  </r>
  <r>
    <x v="0"/>
    <x v="0"/>
    <x v="0"/>
    <x v="10"/>
    <x v="21"/>
    <s v="UK_A"/>
    <x v="8"/>
    <x v="56"/>
    <x v="0"/>
    <x v="14"/>
    <n v="1930.6286193248"/>
    <n v="704679.44605355104"/>
    <n v="2536846.0057927798"/>
  </r>
  <r>
    <x v="0"/>
    <x v="0"/>
    <x v="0"/>
    <x v="10"/>
    <x v="21"/>
    <s v="UK_A"/>
    <x v="8"/>
    <x v="56"/>
    <x v="0"/>
    <x v="15"/>
    <n v="900.96002235157005"/>
    <n v="328850.40815832303"/>
    <n v="1183861.46936996"/>
  </r>
  <r>
    <x v="0"/>
    <x v="0"/>
    <x v="0"/>
    <x v="10"/>
    <x v="21"/>
    <s v="UK_A"/>
    <x v="8"/>
    <x v="56"/>
    <x v="0"/>
    <x v="16"/>
    <n v="183.86939231664701"/>
    <n v="67112.328195576294"/>
    <n v="241604.38150407499"/>
  </r>
  <r>
    <x v="0"/>
    <x v="0"/>
    <x v="0"/>
    <x v="10"/>
    <x v="21"/>
    <s v="UK_A"/>
    <x v="8"/>
    <x v="56"/>
    <x v="0"/>
    <x v="17"/>
    <n v="36.773878463329403"/>
    <n v="13422.4656391152"/>
    <n v="48320.876300814904"/>
  </r>
  <r>
    <x v="0"/>
    <x v="0"/>
    <x v="0"/>
    <x v="10"/>
    <x v="21"/>
    <s v="UK_A"/>
    <x v="8"/>
    <x v="56"/>
    <x v="0"/>
    <x v="18"/>
    <n v="36.773878463329403"/>
    <n v="13422.4656391152"/>
    <n v="48320.876300814904"/>
  </r>
  <r>
    <x v="0"/>
    <x v="0"/>
    <x v="0"/>
    <x v="10"/>
    <x v="21"/>
    <s v="UK_A"/>
    <x v="8"/>
    <x v="56"/>
    <x v="0"/>
    <x v="19"/>
    <n v="18.386939231664702"/>
    <n v="6711.2328195576301"/>
    <n v="24160.438150407499"/>
  </r>
  <r>
    <x v="0"/>
    <x v="0"/>
    <x v="0"/>
    <x v="10"/>
    <x v="21"/>
    <s v="UK_A"/>
    <x v="9"/>
    <x v="57"/>
    <x v="0"/>
    <x v="0"/>
    <n v="602.97643832497397"/>
    <n v="220086.39998861501"/>
    <n v="792311.03995901602"/>
  </r>
  <r>
    <x v="0"/>
    <x v="0"/>
    <x v="0"/>
    <x v="10"/>
    <x v="21"/>
    <s v="UK_A"/>
    <x v="9"/>
    <x v="57"/>
    <x v="0"/>
    <x v="1"/>
    <n v="602.97643832497397"/>
    <n v="220086.39998861501"/>
    <n v="792311.03995901602"/>
  </r>
  <r>
    <x v="0"/>
    <x v="0"/>
    <x v="0"/>
    <x v="10"/>
    <x v="21"/>
    <s v="UK_A"/>
    <x v="9"/>
    <x v="57"/>
    <x v="0"/>
    <x v="2"/>
    <n v="602.97643832497397"/>
    <n v="220086.39998861501"/>
    <n v="792311.03995901602"/>
  </r>
  <r>
    <x v="0"/>
    <x v="0"/>
    <x v="0"/>
    <x v="10"/>
    <x v="21"/>
    <s v="UK_A"/>
    <x v="9"/>
    <x v="57"/>
    <x v="0"/>
    <x v="3"/>
    <n v="602.97643832497397"/>
    <n v="220086.39998861501"/>
    <n v="792311.03995901602"/>
  </r>
  <r>
    <x v="0"/>
    <x v="0"/>
    <x v="0"/>
    <x v="10"/>
    <x v="21"/>
    <s v="UK_A"/>
    <x v="9"/>
    <x v="57"/>
    <x v="0"/>
    <x v="4"/>
    <n v="602.97643832497397"/>
    <n v="220086.39998861501"/>
    <n v="792311.03995901602"/>
  </r>
  <r>
    <x v="0"/>
    <x v="0"/>
    <x v="0"/>
    <x v="10"/>
    <x v="21"/>
    <s v="UK_A"/>
    <x v="9"/>
    <x v="57"/>
    <x v="0"/>
    <x v="5"/>
    <n v="602.97643832497397"/>
    <n v="220086.39998861501"/>
    <n v="792311.03995901602"/>
  </r>
  <r>
    <x v="0"/>
    <x v="0"/>
    <x v="0"/>
    <x v="10"/>
    <x v="21"/>
    <s v="UK_A"/>
    <x v="9"/>
    <x v="57"/>
    <x v="0"/>
    <x v="6"/>
    <n v="602.97643832497397"/>
    <n v="220086.39998861501"/>
    <n v="792311.03995901602"/>
  </r>
  <r>
    <x v="0"/>
    <x v="0"/>
    <x v="0"/>
    <x v="10"/>
    <x v="21"/>
    <s v="UK_A"/>
    <x v="9"/>
    <x v="57"/>
    <x v="0"/>
    <x v="7"/>
    <n v="602.97643832497397"/>
    <n v="220086.39998861501"/>
    <n v="792311.03995901602"/>
  </r>
  <r>
    <x v="0"/>
    <x v="0"/>
    <x v="0"/>
    <x v="10"/>
    <x v="21"/>
    <s v="UK_A"/>
    <x v="9"/>
    <x v="57"/>
    <x v="0"/>
    <x v="8"/>
    <n v="602.97643832497397"/>
    <n v="220086.39998861501"/>
    <n v="792311.03995901602"/>
  </r>
  <r>
    <x v="0"/>
    <x v="0"/>
    <x v="0"/>
    <x v="10"/>
    <x v="21"/>
    <s v="UK_A"/>
    <x v="9"/>
    <x v="57"/>
    <x v="0"/>
    <x v="9"/>
    <n v="602.97643832497397"/>
    <n v="220086.39998861501"/>
    <n v="792311.03995901602"/>
  </r>
  <r>
    <x v="0"/>
    <x v="0"/>
    <x v="0"/>
    <x v="10"/>
    <x v="21"/>
    <s v="UK_A"/>
    <x v="9"/>
    <x v="57"/>
    <x v="0"/>
    <x v="10"/>
    <n v="602.97643832497397"/>
    <n v="220086.39998861501"/>
    <n v="792311.03995901602"/>
  </r>
  <r>
    <x v="0"/>
    <x v="0"/>
    <x v="0"/>
    <x v="10"/>
    <x v="21"/>
    <s v="UK_A"/>
    <x v="9"/>
    <x v="57"/>
    <x v="0"/>
    <x v="11"/>
    <n v="602.97643832497397"/>
    <n v="220086.39998861501"/>
    <n v="792311.03995901602"/>
  </r>
  <r>
    <x v="0"/>
    <x v="0"/>
    <x v="0"/>
    <x v="10"/>
    <x v="21"/>
    <s v="UK_A"/>
    <x v="9"/>
    <x v="57"/>
    <x v="0"/>
    <x v="12"/>
    <n v="602.97643832497397"/>
    <n v="220086.39998861501"/>
    <n v="792311.03995901602"/>
  </r>
  <r>
    <x v="0"/>
    <x v="0"/>
    <x v="0"/>
    <x v="10"/>
    <x v="21"/>
    <s v="UK_A"/>
    <x v="9"/>
    <x v="57"/>
    <x v="0"/>
    <x v="13"/>
    <n v="602.97643832497397"/>
    <n v="220086.39998861501"/>
    <n v="792311.03995901602"/>
  </r>
  <r>
    <x v="0"/>
    <x v="0"/>
    <x v="0"/>
    <x v="10"/>
    <x v="21"/>
    <s v="UK_A"/>
    <x v="9"/>
    <x v="57"/>
    <x v="0"/>
    <x v="14"/>
    <n v="602.97643832497397"/>
    <n v="220086.39998861501"/>
    <n v="792311.03995901602"/>
  </r>
  <r>
    <x v="0"/>
    <x v="0"/>
    <x v="0"/>
    <x v="10"/>
    <x v="21"/>
    <s v="UK_A"/>
    <x v="9"/>
    <x v="57"/>
    <x v="0"/>
    <x v="15"/>
    <n v="602.97643832497397"/>
    <n v="220086.39998861501"/>
    <n v="792311.03995901602"/>
  </r>
  <r>
    <x v="0"/>
    <x v="0"/>
    <x v="0"/>
    <x v="10"/>
    <x v="21"/>
    <s v="UK_A"/>
    <x v="9"/>
    <x v="57"/>
    <x v="0"/>
    <x v="16"/>
    <n v="602.97643832497397"/>
    <n v="220086.39998861501"/>
    <n v="792311.03995901602"/>
  </r>
  <r>
    <x v="0"/>
    <x v="0"/>
    <x v="0"/>
    <x v="10"/>
    <x v="21"/>
    <s v="UK_A"/>
    <x v="9"/>
    <x v="57"/>
    <x v="0"/>
    <x v="17"/>
    <n v="602.97643832497397"/>
    <n v="220086.39998861501"/>
    <n v="792311.03995901602"/>
  </r>
  <r>
    <x v="0"/>
    <x v="0"/>
    <x v="0"/>
    <x v="10"/>
    <x v="21"/>
    <s v="UK_A"/>
    <x v="9"/>
    <x v="57"/>
    <x v="0"/>
    <x v="18"/>
    <n v="602.97643832497397"/>
    <n v="220086.39998861501"/>
    <n v="792311.03995901602"/>
  </r>
  <r>
    <x v="0"/>
    <x v="0"/>
    <x v="0"/>
    <x v="10"/>
    <x v="21"/>
    <s v="UK_A"/>
    <x v="9"/>
    <x v="57"/>
    <x v="0"/>
    <x v="19"/>
    <n v="602.97643832497397"/>
    <n v="220086.39998861501"/>
    <n v="792311.03995901602"/>
  </r>
  <r>
    <x v="0"/>
    <x v="0"/>
    <x v="0"/>
    <x v="10"/>
    <x v="21"/>
    <s v="UK_A"/>
    <x v="9"/>
    <x v="57"/>
    <x v="0"/>
    <x v="20"/>
    <n v="602.97643832497397"/>
    <n v="220086.39998861501"/>
    <n v="792311.03995901602"/>
  </r>
  <r>
    <x v="0"/>
    <x v="0"/>
    <x v="0"/>
    <x v="10"/>
    <x v="21"/>
    <s v="UK_A"/>
    <x v="9"/>
    <x v="57"/>
    <x v="0"/>
    <x v="21"/>
    <n v="602.97643832497397"/>
    <n v="220086.39998861501"/>
    <n v="792311.03995901602"/>
  </r>
  <r>
    <x v="0"/>
    <x v="0"/>
    <x v="0"/>
    <x v="10"/>
    <x v="21"/>
    <s v="UK_A"/>
    <x v="9"/>
    <x v="57"/>
    <x v="0"/>
    <x v="22"/>
    <n v="602.97643832497397"/>
    <n v="220086.39998861501"/>
    <n v="792311.03995901602"/>
  </r>
  <r>
    <x v="0"/>
    <x v="0"/>
    <x v="0"/>
    <x v="10"/>
    <x v="21"/>
    <s v="UK_A"/>
    <x v="9"/>
    <x v="57"/>
    <x v="0"/>
    <x v="23"/>
    <n v="602.97643832497397"/>
    <n v="220086.39998861501"/>
    <n v="792311.03995901602"/>
  </r>
  <r>
    <x v="0"/>
    <x v="0"/>
    <x v="0"/>
    <x v="10"/>
    <x v="21"/>
    <s v="UK_A"/>
    <x v="10"/>
    <x v="58"/>
    <x v="0"/>
    <x v="0"/>
    <n v="3871.3346559148999"/>
    <n v="1413037.14940894"/>
    <n v="5086933.7378721898"/>
  </r>
  <r>
    <x v="0"/>
    <x v="0"/>
    <x v="0"/>
    <x v="10"/>
    <x v="21"/>
    <s v="UK_A"/>
    <x v="10"/>
    <x v="58"/>
    <x v="0"/>
    <x v="1"/>
    <n v="4037.88959422784"/>
    <n v="1473829.7018931599"/>
    <n v="5305786.9268153803"/>
  </r>
  <r>
    <x v="0"/>
    <x v="0"/>
    <x v="0"/>
    <x v="10"/>
    <x v="21"/>
    <s v="UK_A"/>
    <x v="10"/>
    <x v="58"/>
    <x v="0"/>
    <x v="2"/>
    <n v="4217.25645087255"/>
    <n v="1539298.60456848"/>
    <n v="5541474.9764465299"/>
  </r>
  <r>
    <x v="0"/>
    <x v="0"/>
    <x v="0"/>
    <x v="10"/>
    <x v="21"/>
    <s v="UK_A"/>
    <x v="10"/>
    <x v="58"/>
    <x v="0"/>
    <x v="3"/>
    <n v="4407.2999061270702"/>
    <n v="1608664.4657363801"/>
    <n v="5791192.0766509697"/>
  </r>
  <r>
    <x v="0"/>
    <x v="0"/>
    <x v="0"/>
    <x v="10"/>
    <x v="21"/>
    <s v="UK_A"/>
    <x v="10"/>
    <x v="58"/>
    <x v="0"/>
    <x v="4"/>
    <n v="4447.87098084432"/>
    <n v="1623472.9080081801"/>
    <n v="5844502.46882944"/>
  </r>
  <r>
    <x v="0"/>
    <x v="0"/>
    <x v="0"/>
    <x v="10"/>
    <x v="21"/>
    <s v="UK_A"/>
    <x v="10"/>
    <x v="58"/>
    <x v="0"/>
    <x v="5"/>
    <n v="4407.2999061270702"/>
    <n v="1608664.4657363801"/>
    <n v="5791192.0766509697"/>
  </r>
  <r>
    <x v="0"/>
    <x v="0"/>
    <x v="0"/>
    <x v="10"/>
    <x v="21"/>
    <s v="UK_A"/>
    <x v="10"/>
    <x v="58"/>
    <x v="0"/>
    <x v="6"/>
    <n v="4452.1416202882301"/>
    <n v="1625031.6914052099"/>
    <n v="5850114.0890587401"/>
  </r>
  <r>
    <x v="0"/>
    <x v="0"/>
    <x v="0"/>
    <x v="10"/>
    <x v="21"/>
    <s v="UK_A"/>
    <x v="10"/>
    <x v="58"/>
    <x v="0"/>
    <x v="7"/>
    <n v="4573.8548444400003"/>
    <n v="1669457.0182206"/>
    <n v="6010045.2655941704"/>
  </r>
  <r>
    <x v="0"/>
    <x v="0"/>
    <x v="0"/>
    <x v="10"/>
    <x v="21"/>
    <s v="UK_A"/>
    <x v="10"/>
    <x v="58"/>
    <x v="0"/>
    <x v="8"/>
    <n v="4699.8387080356897"/>
    <n v="1715441.1284330301"/>
    <n v="6175588.0623589"/>
  </r>
  <r>
    <x v="0"/>
    <x v="0"/>
    <x v="0"/>
    <x v="10"/>
    <x v="21"/>
    <s v="UK_A"/>
    <x v="10"/>
    <x v="58"/>
    <x v="0"/>
    <x v="9"/>
    <n v="4509.7952527811904"/>
    <n v="1646075.2672651301"/>
    <n v="5925870.9621544797"/>
  </r>
  <r>
    <x v="0"/>
    <x v="0"/>
    <x v="0"/>
    <x v="10"/>
    <x v="21"/>
    <s v="UK_A"/>
    <x v="10"/>
    <x v="58"/>
    <x v="0"/>
    <x v="10"/>
    <n v="4020.80703645216"/>
    <n v="1467594.56830504"/>
    <n v="5283340.4458981398"/>
  </r>
  <r>
    <x v="0"/>
    <x v="0"/>
    <x v="0"/>
    <x v="10"/>
    <x v="21"/>
    <s v="UK_A"/>
    <x v="10"/>
    <x v="58"/>
    <x v="0"/>
    <x v="11"/>
    <n v="3649.2614048309802"/>
    <n v="1331980.4127633099"/>
    <n v="4795129.4859479098"/>
  </r>
  <r>
    <x v="0"/>
    <x v="0"/>
    <x v="0"/>
    <x v="10"/>
    <x v="21"/>
    <s v="UK_A"/>
    <x v="10"/>
    <x v="58"/>
    <x v="0"/>
    <x v="12"/>
    <n v="3604.4196906698198"/>
    <n v="1315613.18709448"/>
    <n v="4736207.4735401403"/>
  </r>
  <r>
    <x v="0"/>
    <x v="0"/>
    <x v="0"/>
    <x v="10"/>
    <x v="21"/>
    <s v="UK_A"/>
    <x v="10"/>
    <x v="58"/>
    <x v="0"/>
    <x v="13"/>
    <n v="3333.2340859808"/>
    <n v="1216630.44138299"/>
    <n v="4379869.5889787599"/>
  </r>
  <r>
    <x v="0"/>
    <x v="0"/>
    <x v="0"/>
    <x v="10"/>
    <x v="21"/>
    <s v="UK_A"/>
    <x v="10"/>
    <x v="58"/>
    <x v="0"/>
    <x v="14"/>
    <n v="2498.3240746941201"/>
    <n v="911888.28726335499"/>
    <n v="3282797.8341480801"/>
  </r>
  <r>
    <x v="0"/>
    <x v="0"/>
    <x v="0"/>
    <x v="10"/>
    <x v="21"/>
    <s v="UK_A"/>
    <x v="10"/>
    <x v="58"/>
    <x v="0"/>
    <x v="15"/>
    <n v="1864.13411727177"/>
    <n v="680408.952804195"/>
    <n v="2449472.2300951001"/>
  </r>
  <r>
    <x v="0"/>
    <x v="0"/>
    <x v="0"/>
    <x v="10"/>
    <x v="21"/>
    <s v="UK_A"/>
    <x v="10"/>
    <x v="58"/>
    <x v="0"/>
    <x v="16"/>
    <n v="1422.1229348258801"/>
    <n v="519074.87121144799"/>
    <n v="1868669.53636121"/>
  </r>
  <r>
    <x v="0"/>
    <x v="0"/>
    <x v="0"/>
    <x v="10"/>
    <x v="21"/>
    <s v="UK_A"/>
    <x v="10"/>
    <x v="58"/>
    <x v="0"/>
    <x v="17"/>
    <n v="1140.26073152706"/>
    <n v="416195.16700737702"/>
    <n v="1498302.6012265601"/>
  </r>
  <r>
    <x v="0"/>
    <x v="0"/>
    <x v="0"/>
    <x v="10"/>
    <x v="21"/>
    <s v="UK_A"/>
    <x v="10"/>
    <x v="58"/>
    <x v="0"/>
    <x v="18"/>
    <n v="1014.27686793137"/>
    <n v="370211.05679495097"/>
    <n v="1332759.8044618201"/>
  </r>
  <r>
    <x v="0"/>
    <x v="0"/>
    <x v="0"/>
    <x v="10"/>
    <x v="21"/>
    <s v="UK_A"/>
    <x v="10"/>
    <x v="58"/>
    <x v="0"/>
    <x v="19"/>
    <n v="943.81131710666898"/>
    <n v="344491.13074393402"/>
    <n v="1240168.0706781601"/>
  </r>
  <r>
    <x v="0"/>
    <x v="0"/>
    <x v="0"/>
    <x v="10"/>
    <x v="21"/>
    <s v="UK_A"/>
    <x v="10"/>
    <x v="58"/>
    <x v="0"/>
    <x v="20"/>
    <n v="999.32962987764802"/>
    <n v="364755.31490534201"/>
    <n v="1313119.1336592301"/>
  </r>
  <r>
    <x v="0"/>
    <x v="0"/>
    <x v="0"/>
    <x v="10"/>
    <x v="21"/>
    <s v="UK_A"/>
    <x v="10"/>
    <x v="58"/>
    <x v="0"/>
    <x v="21"/>
    <n v="1157.34328930275"/>
    <n v="422430.30059550202"/>
    <n v="1520749.0821438101"/>
  </r>
  <r>
    <x v="0"/>
    <x v="0"/>
    <x v="0"/>
    <x v="10"/>
    <x v="21"/>
    <s v="UK_A"/>
    <x v="10"/>
    <x v="58"/>
    <x v="0"/>
    <x v="22"/>
    <n v="1362.33398261098"/>
    <n v="497251.90365300898"/>
    <n v="1790106.8531508299"/>
  </r>
  <r>
    <x v="0"/>
    <x v="0"/>
    <x v="0"/>
    <x v="10"/>
    <x v="21"/>
    <s v="UK_A"/>
    <x v="10"/>
    <x v="58"/>
    <x v="0"/>
    <x v="23"/>
    <n v="1439.2054926015701"/>
    <n v="525310.00479957403"/>
    <n v="1891116.0172784701"/>
  </r>
  <r>
    <x v="0"/>
    <x v="0"/>
    <x v="0"/>
    <x v="10"/>
    <x v="21"/>
    <s v="UK_Offshore"/>
    <x v="10"/>
    <x v="59"/>
    <x v="0"/>
    <x v="0"/>
    <n v="2148.8929378575799"/>
    <n v="784345.92231801595"/>
    <n v="2823645.3203448602"/>
  </r>
  <r>
    <x v="0"/>
    <x v="0"/>
    <x v="0"/>
    <x v="10"/>
    <x v="21"/>
    <s v="UK_Offshore"/>
    <x v="10"/>
    <x v="59"/>
    <x v="0"/>
    <x v="1"/>
    <n v="2241.3439302198999"/>
    <n v="818090.534530262"/>
    <n v="2945125.9243089398"/>
  </r>
  <r>
    <x v="0"/>
    <x v="0"/>
    <x v="0"/>
    <x v="10"/>
    <x v="21"/>
    <s v="UK_Offshore"/>
    <x v="10"/>
    <x v="59"/>
    <x v="0"/>
    <x v="2"/>
    <n v="2340.9065373793201"/>
    <n v="854430.88614345202"/>
    <n v="3075951.1901164302"/>
  </r>
  <r>
    <x v="0"/>
    <x v="0"/>
    <x v="0"/>
    <x v="10"/>
    <x v="21"/>
    <s v="UK_Offshore"/>
    <x v="10"/>
    <x v="59"/>
    <x v="0"/>
    <x v="3"/>
    <n v="2446.395490203"/>
    <n v="892934.35392409598"/>
    <n v="3214563.6741267499"/>
  </r>
  <r>
    <x v="0"/>
    <x v="0"/>
    <x v="0"/>
    <x v="10"/>
    <x v="21"/>
    <s v="UK_Offshore"/>
    <x v="10"/>
    <x v="59"/>
    <x v="0"/>
    <x v="4"/>
    <n v="2468.91560372716"/>
    <n v="901154.19536041201"/>
    <n v="3244155.1032974799"/>
  </r>
  <r>
    <x v="0"/>
    <x v="0"/>
    <x v="0"/>
    <x v="10"/>
    <x v="21"/>
    <s v="UK_Offshore"/>
    <x v="10"/>
    <x v="59"/>
    <x v="0"/>
    <x v="5"/>
    <n v="2446.395490203"/>
    <n v="892934.35392409598"/>
    <n v="3214563.6741267499"/>
  </r>
  <r>
    <x v="0"/>
    <x v="0"/>
    <x v="0"/>
    <x v="10"/>
    <x v="21"/>
    <s v="UK_Offshore"/>
    <x v="10"/>
    <x v="59"/>
    <x v="0"/>
    <x v="6"/>
    <n v="2471.2861419928499"/>
    <n v="902019.44182739197"/>
    <n v="3247269.99057861"/>
  </r>
  <r>
    <x v="0"/>
    <x v="0"/>
    <x v="0"/>
    <x v="10"/>
    <x v="21"/>
    <s v="UK_Offshore"/>
    <x v="10"/>
    <x v="59"/>
    <x v="0"/>
    <x v="7"/>
    <n v="2538.84648256532"/>
    <n v="926678.96613634296"/>
    <n v="3336044.27809083"/>
  </r>
  <r>
    <x v="0"/>
    <x v="0"/>
    <x v="0"/>
    <x v="10"/>
    <x v="21"/>
    <s v="UK_Offshore"/>
    <x v="10"/>
    <x v="59"/>
    <x v="0"/>
    <x v="8"/>
    <n v="2608.77736140349"/>
    <n v="952203.73691227403"/>
    <n v="3427933.4528841898"/>
  </r>
  <r>
    <x v="0"/>
    <x v="0"/>
    <x v="0"/>
    <x v="10"/>
    <x v="21"/>
    <s v="UK_Offshore"/>
    <x v="10"/>
    <x v="59"/>
    <x v="0"/>
    <x v="9"/>
    <n v="2503.28840857982"/>
    <n v="913700.26913163404"/>
    <n v="3289320.9688738799"/>
  </r>
  <r>
    <x v="0"/>
    <x v="0"/>
    <x v="0"/>
    <x v="10"/>
    <x v="21"/>
    <s v="UK_Offshore"/>
    <x v="10"/>
    <x v="59"/>
    <x v="0"/>
    <x v="10"/>
    <n v="2231.8617771570998"/>
    <n v="814629.54866234004"/>
    <n v="2932666.37518442"/>
  </r>
  <r>
    <x v="0"/>
    <x v="0"/>
    <x v="0"/>
    <x v="10"/>
    <x v="21"/>
    <s v="UK_Offshore"/>
    <x v="10"/>
    <x v="59"/>
    <x v="0"/>
    <x v="11"/>
    <n v="2025.62494804115"/>
    <n v="739353.10603501904"/>
    <n v="2661671.1817260701"/>
  </r>
  <r>
    <x v="0"/>
    <x v="0"/>
    <x v="0"/>
    <x v="10"/>
    <x v="21"/>
    <s v="UK_Offshore"/>
    <x v="10"/>
    <x v="59"/>
    <x v="0"/>
    <x v="12"/>
    <n v="2000.7342962513001"/>
    <n v="730268.01813172305"/>
    <n v="2628964.8652742002"/>
  </r>
  <r>
    <x v="0"/>
    <x v="0"/>
    <x v="0"/>
    <x v="10"/>
    <x v="21"/>
    <s v="UK_Offshore"/>
    <x v="10"/>
    <x v="59"/>
    <x v="0"/>
    <x v="13"/>
    <n v="1850.2051163793101"/>
    <n v="675324.86747844703"/>
    <n v="2431169.5229224102"/>
  </r>
  <r>
    <x v="0"/>
    <x v="0"/>
    <x v="0"/>
    <x v="10"/>
    <x v="21"/>
    <s v="UK_Offshore"/>
    <x v="10"/>
    <x v="59"/>
    <x v="0"/>
    <x v="14"/>
    <n v="1386.7648854348399"/>
    <n v="506169.18318371801"/>
    <n v="1822209.0594613799"/>
  </r>
  <r>
    <x v="0"/>
    <x v="0"/>
    <x v="0"/>
    <x v="10"/>
    <x v="21"/>
    <s v="UK_Offshore"/>
    <x v="10"/>
    <x v="59"/>
    <x v="0"/>
    <x v="15"/>
    <n v="1034.7399529782999"/>
    <n v="377680.08283708099"/>
    <n v="1359648.2982134901"/>
  </r>
  <r>
    <x v="0"/>
    <x v="0"/>
    <x v="0"/>
    <x v="10"/>
    <x v="21"/>
    <s v="UK_Offshore"/>
    <x v="10"/>
    <x v="59"/>
    <x v="0"/>
    <x v="16"/>
    <n v="789.38924247829402"/>
    <n v="288127.07350457698"/>
    <n v="1037257.4646164801"/>
  </r>
  <r>
    <x v="0"/>
    <x v="0"/>
    <x v="0"/>
    <x v="10"/>
    <x v="21"/>
    <s v="UK_Offshore"/>
    <x v="10"/>
    <x v="59"/>
    <x v="0"/>
    <x v="17"/>
    <n v="632.93371694205598"/>
    <n v="231020.806683851"/>
    <n v="831674.90406186203"/>
  </r>
  <r>
    <x v="0"/>
    <x v="0"/>
    <x v="0"/>
    <x v="10"/>
    <x v="21"/>
    <s v="UK_Offshore"/>
    <x v="10"/>
    <x v="59"/>
    <x v="0"/>
    <x v="18"/>
    <n v="563.00283810388805"/>
    <n v="205496.03590791899"/>
    <n v="739785.72926850896"/>
  </r>
  <r>
    <x v="0"/>
    <x v="0"/>
    <x v="0"/>
    <x v="10"/>
    <x v="21"/>
    <s v="UK_Offshore"/>
    <x v="10"/>
    <x v="59"/>
    <x v="0"/>
    <x v="19"/>
    <n v="523.88895671982903"/>
    <n v="191219.46920273799"/>
    <n v="688390.08912985597"/>
  </r>
  <r>
    <x v="0"/>
    <x v="0"/>
    <x v="0"/>
    <x v="10"/>
    <x v="21"/>
    <s v="UK_Offshore"/>
    <x v="10"/>
    <x v="59"/>
    <x v="0"/>
    <x v="20"/>
    <n v="554.70595417393599"/>
    <n v="202467.67327348699"/>
    <n v="728883.62378455198"/>
  </r>
  <r>
    <x v="0"/>
    <x v="0"/>
    <x v="0"/>
    <x v="10"/>
    <x v="21"/>
    <s v="UK_Offshore"/>
    <x v="10"/>
    <x v="59"/>
    <x v="0"/>
    <x v="21"/>
    <n v="642.41587000485799"/>
    <n v="234481.79255177299"/>
    <n v="844134.45318638301"/>
  </r>
  <r>
    <x v="0"/>
    <x v="0"/>
    <x v="0"/>
    <x v="10"/>
    <x v="21"/>
    <s v="UK_Offshore"/>
    <x v="10"/>
    <x v="59"/>
    <x v="0"/>
    <x v="22"/>
    <n v="756.20170675848601"/>
    <n v="276013.62296684802"/>
    <n v="993649.04268065095"/>
  </r>
  <r>
    <x v="0"/>
    <x v="0"/>
    <x v="0"/>
    <x v="10"/>
    <x v="21"/>
    <s v="UK_Offshore"/>
    <x v="10"/>
    <x v="59"/>
    <x v="0"/>
    <x v="23"/>
    <n v="798.87139554109694"/>
    <n v="291588.05937249999"/>
    <n v="1049717.0137410001"/>
  </r>
</pivotCacheRecords>
</file>

<file path=xl/pivotCache/pivotCacheRecords2.xml><?xml version="1.0" encoding="utf-8"?>
<pivotCacheRecords xmlns="http://schemas.openxmlformats.org/spreadsheetml/2006/main" xmlns:r="http://schemas.openxmlformats.org/officeDocument/2006/relationships" count="803">
  <r>
    <x v="0"/>
    <x v="0"/>
    <x v="0"/>
    <x v="0"/>
    <x v="0"/>
    <s v="DK1_Large"/>
    <x v="0"/>
    <x v="0"/>
    <x v="0"/>
    <s v="GNR_ENG_BGAS_BP_E-31"/>
    <n v="0.25"/>
    <n v="2.5000000000000001E-4"/>
  </r>
  <r>
    <x v="0"/>
    <x v="0"/>
    <x v="0"/>
    <x v="0"/>
    <x v="0"/>
    <s v="DK1_Large"/>
    <x v="0"/>
    <x v="0"/>
    <x v="0"/>
    <s v="GNR_ENG_BGAS_BP_E-36"/>
    <n v="0.81"/>
    <n v="8.0999999999999996E-4"/>
  </r>
  <r>
    <x v="0"/>
    <x v="0"/>
    <x v="0"/>
    <x v="0"/>
    <x v="0"/>
    <s v="DK1_Large"/>
    <x v="0"/>
    <x v="0"/>
    <x v="0"/>
    <s v="GNR_ENG_BGAS_BP_E-37"/>
    <n v="1.1599999999999999"/>
    <n v="1.16E-3"/>
  </r>
  <r>
    <x v="0"/>
    <x v="0"/>
    <x v="0"/>
    <x v="0"/>
    <x v="0"/>
    <s v="DK1_Large"/>
    <x v="0"/>
    <x v="0"/>
    <x v="0"/>
    <s v="GNR_ENG_BGAS_BP_E-39"/>
    <n v="4.1150000000000002"/>
    <n v="4.1149999999999997E-3"/>
  </r>
  <r>
    <x v="0"/>
    <x v="0"/>
    <x v="0"/>
    <x v="0"/>
    <x v="0"/>
    <s v="DK1_Large"/>
    <x v="0"/>
    <x v="0"/>
    <x v="0"/>
    <s v="GNR_ENG_BGAS_BP_E-40"/>
    <n v="1.2430000000000001"/>
    <n v="1.243E-3"/>
  </r>
  <r>
    <x v="0"/>
    <x v="0"/>
    <x v="0"/>
    <x v="0"/>
    <x v="0"/>
    <s v="DK1_Large"/>
    <x v="0"/>
    <x v="0"/>
    <x v="0"/>
    <s v="GNR_ENG_BGAS_BP_E-41"/>
    <n v="2.677"/>
    <n v="2.6770000000000001E-3"/>
  </r>
  <r>
    <x v="0"/>
    <x v="0"/>
    <x v="0"/>
    <x v="0"/>
    <x v="0"/>
    <s v="DK1_Large"/>
    <x v="0"/>
    <x v="0"/>
    <x v="0"/>
    <s v="GNR_ENG_BGAS_BP_E-42"/>
    <n v="3.0030000000000001"/>
    <n v="3.003E-3"/>
  </r>
  <r>
    <x v="0"/>
    <x v="0"/>
    <x v="0"/>
    <x v="0"/>
    <x v="0"/>
    <s v="DK1_Large"/>
    <x v="0"/>
    <x v="0"/>
    <x v="0"/>
    <s v="GNR_ENG_BGAS_BP_E-43"/>
    <n v="3.0470000000000002"/>
    <n v="3.0469999999999998E-3"/>
  </r>
  <r>
    <x v="0"/>
    <x v="0"/>
    <x v="0"/>
    <x v="0"/>
    <x v="0"/>
    <s v="DK1_Large"/>
    <x v="1"/>
    <x v="1"/>
    <x v="0"/>
    <s v="GNR_ST_COAL_EXT_E-42"/>
    <n v="714"/>
    <n v="0.71399999999999997"/>
  </r>
  <r>
    <x v="0"/>
    <x v="0"/>
    <x v="0"/>
    <x v="0"/>
    <x v="0"/>
    <s v="DK1_Large"/>
    <x v="1"/>
    <x v="1"/>
    <x v="0"/>
    <s v="GNR_ST_COAL_EXT_E-43"/>
    <n v="745"/>
    <n v="0.745"/>
  </r>
  <r>
    <x v="0"/>
    <x v="0"/>
    <x v="0"/>
    <x v="0"/>
    <x v="0"/>
    <s v="DK1_Large"/>
    <x v="1"/>
    <x v="1"/>
    <x v="0"/>
    <s v="GNR_ST_COAL_EXT_E-47"/>
    <n v="385"/>
    <n v="0.38500000000000001"/>
  </r>
  <r>
    <x v="0"/>
    <x v="0"/>
    <x v="0"/>
    <x v="0"/>
    <x v="0"/>
    <s v="DK1_Large"/>
    <x v="2"/>
    <x v="0"/>
    <x v="0"/>
    <s v="GNR_ENG_LIGHTOIL_BP_E-37"/>
    <n v="32"/>
    <n v="3.2000000000000001E-2"/>
  </r>
  <r>
    <x v="0"/>
    <x v="0"/>
    <x v="0"/>
    <x v="0"/>
    <x v="0"/>
    <s v="DK1_Large"/>
    <x v="2"/>
    <x v="2"/>
    <x v="0"/>
    <s v="GNR_GT_LIGHTOIL_CND_E-26"/>
    <n v="14"/>
    <n v="1.4E-2"/>
  </r>
  <r>
    <x v="0"/>
    <x v="0"/>
    <x v="0"/>
    <x v="0"/>
    <x v="0"/>
    <s v="DK1_Large"/>
    <x v="3"/>
    <x v="0"/>
    <x v="0"/>
    <s v="GNR_ST_MSW_BP_E-18"/>
    <n v="2.85"/>
    <n v="2.8500000000000001E-3"/>
  </r>
  <r>
    <x v="0"/>
    <x v="0"/>
    <x v="0"/>
    <x v="0"/>
    <x v="0"/>
    <s v="DK1_Large"/>
    <x v="3"/>
    <x v="0"/>
    <x v="0"/>
    <s v="GNR_ST_MSW_BP_E-19"/>
    <n v="9"/>
    <n v="8.9999999999999993E-3"/>
  </r>
  <r>
    <x v="0"/>
    <x v="0"/>
    <x v="0"/>
    <x v="0"/>
    <x v="0"/>
    <s v="DK1_Large"/>
    <x v="3"/>
    <x v="0"/>
    <x v="0"/>
    <s v="GNR_ST_MSW_BP_E-22"/>
    <n v="31"/>
    <n v="3.1E-2"/>
  </r>
  <r>
    <x v="0"/>
    <x v="0"/>
    <x v="0"/>
    <x v="0"/>
    <x v="0"/>
    <s v="DK1_Large"/>
    <x v="3"/>
    <x v="0"/>
    <x v="0"/>
    <s v="GNR_ST_MSW_BP_E-23"/>
    <n v="36.06"/>
    <n v="3.6060000000000002E-2"/>
  </r>
  <r>
    <x v="0"/>
    <x v="0"/>
    <x v="0"/>
    <x v="0"/>
    <x v="0"/>
    <s v="DK1_Large"/>
    <x v="3"/>
    <x v="0"/>
    <x v="0"/>
    <s v="GNR_ST_MSW_BP_E-27"/>
    <n v="17.899999999999999"/>
    <n v="1.7899999999999999E-2"/>
  </r>
  <r>
    <x v="0"/>
    <x v="0"/>
    <x v="0"/>
    <x v="0"/>
    <x v="0"/>
    <s v="DK1_Large"/>
    <x v="4"/>
    <x v="0"/>
    <x v="0"/>
    <s v="GNR_ENG_NGAS_BP_E-34"/>
    <n v="1.0469999999999999"/>
    <n v="1.047E-3"/>
  </r>
  <r>
    <x v="0"/>
    <x v="0"/>
    <x v="0"/>
    <x v="0"/>
    <x v="0"/>
    <s v="DK1_Large"/>
    <x v="4"/>
    <x v="0"/>
    <x v="0"/>
    <s v="GNR_ENG_NGAS_BP_E-38"/>
    <n v="2.9279999999999999"/>
    <n v="2.928E-3"/>
  </r>
  <r>
    <x v="0"/>
    <x v="0"/>
    <x v="0"/>
    <x v="0"/>
    <x v="0"/>
    <s v="DK1_Large"/>
    <x v="4"/>
    <x v="0"/>
    <x v="0"/>
    <s v="GNR_ENG_NGAS_BP_E-39"/>
    <n v="13.46"/>
    <n v="1.346E-2"/>
  </r>
  <r>
    <x v="0"/>
    <x v="0"/>
    <x v="0"/>
    <x v="0"/>
    <x v="0"/>
    <s v="DK1_Large"/>
    <x v="4"/>
    <x v="0"/>
    <x v="0"/>
    <s v="GNR_ENG_NGAS_BP_E-40"/>
    <n v="5.21"/>
    <n v="5.2100000000000002E-3"/>
  </r>
  <r>
    <x v="0"/>
    <x v="0"/>
    <x v="0"/>
    <x v="0"/>
    <x v="0"/>
    <s v="DK1_Large"/>
    <x v="4"/>
    <x v="0"/>
    <x v="0"/>
    <s v="GNR_ENG_NGAS_BP_E-41"/>
    <n v="3.8"/>
    <n v="3.8E-3"/>
  </r>
  <r>
    <x v="0"/>
    <x v="0"/>
    <x v="0"/>
    <x v="0"/>
    <x v="0"/>
    <s v="DK1_Large"/>
    <x v="4"/>
    <x v="0"/>
    <x v="0"/>
    <s v="GNR_ENG_NGAS_BP_E-42"/>
    <n v="2.2599999999999998"/>
    <n v="2.2599999999999999E-3"/>
  </r>
  <r>
    <x v="0"/>
    <x v="0"/>
    <x v="0"/>
    <x v="0"/>
    <x v="0"/>
    <s v="DK1_Large"/>
    <x v="4"/>
    <x v="0"/>
    <x v="0"/>
    <s v="GNR_ENG_NGAS_BP_E-43"/>
    <n v="8.99"/>
    <n v="8.9899999999999997E-3"/>
  </r>
  <r>
    <x v="0"/>
    <x v="0"/>
    <x v="0"/>
    <x v="0"/>
    <x v="0"/>
    <s v="DK1_Large"/>
    <x v="4"/>
    <x v="0"/>
    <x v="0"/>
    <s v="GNR_ENG_NGAS_BP_E-44"/>
    <n v="3.14"/>
    <n v="3.14E-3"/>
  </r>
  <r>
    <x v="0"/>
    <x v="0"/>
    <x v="0"/>
    <x v="0"/>
    <x v="0"/>
    <s v="DK1_Large"/>
    <x v="4"/>
    <x v="0"/>
    <x v="0"/>
    <s v="GNR_ENG_NGAS_BP_E-46"/>
    <n v="2.92"/>
    <n v="2.9199999999999999E-3"/>
  </r>
  <r>
    <x v="0"/>
    <x v="0"/>
    <x v="0"/>
    <x v="0"/>
    <x v="0"/>
    <s v="DK1_Large"/>
    <x v="4"/>
    <x v="0"/>
    <x v="0"/>
    <s v="GNR_GT_NGAS_BP_E-27"/>
    <n v="26"/>
    <n v="2.5999999999999999E-2"/>
  </r>
  <r>
    <x v="0"/>
    <x v="0"/>
    <x v="0"/>
    <x v="0"/>
    <x v="0"/>
    <s v="DK1_Large"/>
    <x v="4"/>
    <x v="1"/>
    <x v="0"/>
    <s v="GNR_ST_NGAS_EXT_E-47"/>
    <n v="392"/>
    <n v="0.39200000000000002"/>
  </r>
  <r>
    <x v="0"/>
    <x v="0"/>
    <x v="0"/>
    <x v="0"/>
    <x v="0"/>
    <s v="DK1_Large"/>
    <x v="5"/>
    <x v="0"/>
    <x v="0"/>
    <s v="GNR_ST_STRW_BP_E-26"/>
    <n v="31"/>
    <n v="3.1E-2"/>
  </r>
  <r>
    <x v="0"/>
    <x v="0"/>
    <x v="0"/>
    <x v="0"/>
    <x v="0"/>
    <s v="DK1_Large"/>
    <x v="6"/>
    <x v="0"/>
    <x v="0"/>
    <s v="GNR_ST_WOODCHI_BP_E-23"/>
    <n v="7.5"/>
    <n v="7.4999999999999997E-3"/>
  </r>
  <r>
    <x v="0"/>
    <x v="0"/>
    <x v="0"/>
    <x v="0"/>
    <x v="0"/>
    <s v="DK1_MedSmall"/>
    <x v="0"/>
    <x v="0"/>
    <x v="0"/>
    <s v="GNR_ENG_BGAS_BP_E-33"/>
    <n v="0.17"/>
    <n v="1.7000000000000001E-4"/>
  </r>
  <r>
    <x v="0"/>
    <x v="0"/>
    <x v="0"/>
    <x v="0"/>
    <x v="0"/>
    <s v="DK1_MedSmall"/>
    <x v="0"/>
    <x v="0"/>
    <x v="0"/>
    <s v="GNR_ENG_BGAS_BP_E-38"/>
    <n v="0.17"/>
    <n v="1.7000000000000001E-4"/>
  </r>
  <r>
    <x v="0"/>
    <x v="0"/>
    <x v="0"/>
    <x v="0"/>
    <x v="0"/>
    <s v="DK1_MedSmall"/>
    <x v="2"/>
    <x v="2"/>
    <x v="0"/>
    <s v="GNR_ENG_LIGHTOIL_CND_E-39"/>
    <n v="0.3"/>
    <n v="2.9999999999999997E-4"/>
  </r>
  <r>
    <x v="0"/>
    <x v="0"/>
    <x v="0"/>
    <x v="0"/>
    <x v="0"/>
    <s v="DK1_MedSmall"/>
    <x v="3"/>
    <x v="0"/>
    <x v="0"/>
    <s v="GNR_ST_MSW_BP_E-17"/>
    <n v="2.4"/>
    <n v="2.3999999999999998E-3"/>
  </r>
  <r>
    <x v="0"/>
    <x v="0"/>
    <x v="0"/>
    <x v="0"/>
    <x v="0"/>
    <s v="DK1_MedSmall"/>
    <x v="3"/>
    <x v="0"/>
    <x v="0"/>
    <s v="GNR_ST_MSW_BP_E-20"/>
    <n v="3.3"/>
    <n v="3.3E-3"/>
  </r>
  <r>
    <x v="0"/>
    <x v="0"/>
    <x v="0"/>
    <x v="0"/>
    <x v="0"/>
    <s v="DK1_MedSmall"/>
    <x v="3"/>
    <x v="0"/>
    <x v="0"/>
    <s v="GNR_ST_MSW_BP_E-21"/>
    <n v="10"/>
    <n v="0.01"/>
  </r>
  <r>
    <x v="0"/>
    <x v="0"/>
    <x v="0"/>
    <x v="0"/>
    <x v="0"/>
    <s v="DK1_MedSmall"/>
    <x v="3"/>
    <x v="0"/>
    <x v="0"/>
    <s v="GNR_ST_MSW_BP_E-22"/>
    <n v="4.5"/>
    <n v="4.4999999999999997E-3"/>
  </r>
  <r>
    <x v="0"/>
    <x v="0"/>
    <x v="0"/>
    <x v="0"/>
    <x v="0"/>
    <s v="DK1_MedSmall"/>
    <x v="3"/>
    <x v="0"/>
    <x v="0"/>
    <s v="GNR_ST_MSW_BP_E-26"/>
    <n v="7"/>
    <n v="7.0000000000000001E-3"/>
  </r>
  <r>
    <x v="0"/>
    <x v="0"/>
    <x v="0"/>
    <x v="0"/>
    <x v="0"/>
    <s v="DK1_MedSmall"/>
    <x v="4"/>
    <x v="0"/>
    <x v="0"/>
    <s v="GNR_ENG_NGAS_BP_E-35"/>
    <n v="0.63"/>
    <n v="6.3000000000000003E-4"/>
  </r>
  <r>
    <x v="0"/>
    <x v="0"/>
    <x v="0"/>
    <x v="0"/>
    <x v="0"/>
    <s v="DK1_MedSmall"/>
    <x v="4"/>
    <x v="0"/>
    <x v="0"/>
    <s v="GNR_ENG_NGAS_BP_E-37"/>
    <n v="1"/>
    <n v="1E-3"/>
  </r>
  <r>
    <x v="0"/>
    <x v="0"/>
    <x v="0"/>
    <x v="0"/>
    <x v="0"/>
    <s v="DK1_MedSmall"/>
    <x v="4"/>
    <x v="0"/>
    <x v="0"/>
    <s v="GNR_ENG_NGAS_BP_E-40"/>
    <n v="12.472"/>
    <n v="1.2472E-2"/>
  </r>
  <r>
    <x v="0"/>
    <x v="0"/>
    <x v="0"/>
    <x v="0"/>
    <x v="0"/>
    <s v="DK1_MedSmall"/>
    <x v="4"/>
    <x v="0"/>
    <x v="0"/>
    <s v="GNR_ENG_NGAS_BP_E-41"/>
    <n v="8.52"/>
    <n v="8.5199999999999998E-3"/>
  </r>
  <r>
    <x v="0"/>
    <x v="0"/>
    <x v="0"/>
    <x v="0"/>
    <x v="0"/>
    <s v="DK1_MedSmall"/>
    <x v="4"/>
    <x v="0"/>
    <x v="0"/>
    <s v="GNR_ENG_NGAS_BP_E-46"/>
    <n v="2.21"/>
    <n v="2.2100000000000002E-3"/>
  </r>
  <r>
    <x v="0"/>
    <x v="0"/>
    <x v="0"/>
    <x v="0"/>
    <x v="0"/>
    <s v="DK1_MedSmall"/>
    <x v="4"/>
    <x v="0"/>
    <x v="0"/>
    <s v="GNR_GT_NGAS_BP_E-31"/>
    <n v="17"/>
    <n v="1.7000000000000001E-2"/>
  </r>
  <r>
    <x v="0"/>
    <x v="0"/>
    <x v="0"/>
    <x v="0"/>
    <x v="0"/>
    <s v="DK1_MedSmall"/>
    <x v="5"/>
    <x v="0"/>
    <x v="0"/>
    <s v="GNR_ST_STRW_BP_E-21"/>
    <n v="17.5"/>
    <n v="1.7500000000000002E-2"/>
  </r>
  <r>
    <x v="0"/>
    <x v="0"/>
    <x v="0"/>
    <x v="0"/>
    <x v="0"/>
    <s v="DK1_Medium"/>
    <x v="0"/>
    <x v="0"/>
    <x v="0"/>
    <s v="GNR_ENG_BGAS_BP_E-32"/>
    <n v="0.28999999999999998"/>
    <n v="2.9E-4"/>
  </r>
  <r>
    <x v="0"/>
    <x v="0"/>
    <x v="0"/>
    <x v="0"/>
    <x v="0"/>
    <s v="DK1_Medium"/>
    <x v="0"/>
    <x v="0"/>
    <x v="0"/>
    <s v="GNR_ENG_BGAS_BP_E-34"/>
    <n v="0.64"/>
    <n v="6.4000000000000005E-4"/>
  </r>
  <r>
    <x v="0"/>
    <x v="0"/>
    <x v="0"/>
    <x v="0"/>
    <x v="0"/>
    <s v="DK1_Medium"/>
    <x v="0"/>
    <x v="0"/>
    <x v="0"/>
    <s v="GNR_ENG_BGAS_BP_E-35"/>
    <n v="0.38"/>
    <n v="3.8000000000000002E-4"/>
  </r>
  <r>
    <x v="0"/>
    <x v="0"/>
    <x v="0"/>
    <x v="0"/>
    <x v="0"/>
    <s v="DK1_Medium"/>
    <x v="0"/>
    <x v="0"/>
    <x v="0"/>
    <s v="GNR_ENG_BGAS_BP_E-37"/>
    <n v="2.5"/>
    <n v="2.5000000000000001E-3"/>
  </r>
  <r>
    <x v="0"/>
    <x v="0"/>
    <x v="0"/>
    <x v="0"/>
    <x v="0"/>
    <s v="DK1_Medium"/>
    <x v="0"/>
    <x v="0"/>
    <x v="0"/>
    <s v="GNR_ENG_BGAS_BP_E-39"/>
    <n v="0.63"/>
    <n v="6.3000000000000003E-4"/>
  </r>
  <r>
    <x v="0"/>
    <x v="0"/>
    <x v="0"/>
    <x v="0"/>
    <x v="0"/>
    <s v="DK1_Medium"/>
    <x v="0"/>
    <x v="0"/>
    <x v="0"/>
    <s v="GNR_ENG_BGAS_BP_E-41"/>
    <n v="3.3170000000000002"/>
    <n v="3.3170000000000001E-3"/>
  </r>
  <r>
    <x v="0"/>
    <x v="0"/>
    <x v="0"/>
    <x v="0"/>
    <x v="0"/>
    <s v="DK1_Medium"/>
    <x v="0"/>
    <x v="0"/>
    <x v="0"/>
    <s v="GNR_ENG_BGAS_BP_E-42"/>
    <n v="0.61"/>
    <n v="6.0999999999999997E-4"/>
  </r>
  <r>
    <x v="0"/>
    <x v="0"/>
    <x v="0"/>
    <x v="0"/>
    <x v="0"/>
    <s v="DK1_Medium"/>
    <x v="2"/>
    <x v="2"/>
    <x v="0"/>
    <s v="GNR_ENG_LIGHTOIL_CND_E-38"/>
    <n v="1.36"/>
    <n v="1.3600000000000001E-3"/>
  </r>
  <r>
    <x v="0"/>
    <x v="0"/>
    <x v="0"/>
    <x v="0"/>
    <x v="0"/>
    <s v="DK1_Medium"/>
    <x v="2"/>
    <x v="2"/>
    <x v="0"/>
    <s v="GNR_ENG_LIGHTOIL_CND_E-39"/>
    <n v="0.7"/>
    <n v="6.9999999999999999E-4"/>
  </r>
  <r>
    <x v="0"/>
    <x v="0"/>
    <x v="0"/>
    <x v="0"/>
    <x v="0"/>
    <s v="DK1_Medium"/>
    <x v="2"/>
    <x v="2"/>
    <x v="0"/>
    <s v="GNR_ENG_LIGHTOIL_CND_E-41"/>
    <n v="0.56000000000000005"/>
    <n v="5.5999999999999995E-4"/>
  </r>
  <r>
    <x v="0"/>
    <x v="0"/>
    <x v="0"/>
    <x v="0"/>
    <x v="0"/>
    <s v="DK1_Medium"/>
    <x v="3"/>
    <x v="0"/>
    <x v="0"/>
    <s v="GNR_ST_MSW_BP_E-18"/>
    <n v="7"/>
    <n v="7.0000000000000001E-3"/>
  </r>
  <r>
    <x v="0"/>
    <x v="0"/>
    <x v="0"/>
    <x v="0"/>
    <x v="0"/>
    <s v="DK1_Medium"/>
    <x v="3"/>
    <x v="0"/>
    <x v="0"/>
    <s v="GNR_ST_MSW_BP_E-21"/>
    <n v="27"/>
    <n v="2.7E-2"/>
  </r>
  <r>
    <x v="0"/>
    <x v="0"/>
    <x v="0"/>
    <x v="0"/>
    <x v="0"/>
    <s v="DK1_Medium"/>
    <x v="3"/>
    <x v="0"/>
    <x v="0"/>
    <s v="GNR_ST_MSW_BP_E-22"/>
    <n v="62.6"/>
    <n v="6.2600000000000003E-2"/>
  </r>
  <r>
    <x v="0"/>
    <x v="0"/>
    <x v="0"/>
    <x v="0"/>
    <x v="0"/>
    <s v="DK1_Medium"/>
    <x v="4"/>
    <x v="0"/>
    <x v="0"/>
    <s v="GNR_ENG_NGAS_BP_E-34"/>
    <n v="0.66"/>
    <n v="6.6E-4"/>
  </r>
  <r>
    <x v="0"/>
    <x v="0"/>
    <x v="0"/>
    <x v="0"/>
    <x v="0"/>
    <s v="DK1_Medium"/>
    <x v="4"/>
    <x v="0"/>
    <x v="0"/>
    <s v="GNR_ENG_NGAS_BP_E-36"/>
    <n v="2.0699999999999998"/>
    <n v="2.0699999999999998E-3"/>
  </r>
  <r>
    <x v="0"/>
    <x v="0"/>
    <x v="0"/>
    <x v="0"/>
    <x v="0"/>
    <s v="DK1_Medium"/>
    <x v="4"/>
    <x v="0"/>
    <x v="0"/>
    <s v="GNR_ENG_NGAS_BP_E-40"/>
    <n v="1.33"/>
    <n v="1.33E-3"/>
  </r>
  <r>
    <x v="0"/>
    <x v="0"/>
    <x v="0"/>
    <x v="0"/>
    <x v="0"/>
    <s v="DK1_Medium"/>
    <x v="4"/>
    <x v="0"/>
    <x v="0"/>
    <s v="GNR_ENG_NGAS_BP_E-41"/>
    <n v="4.3"/>
    <n v="4.3E-3"/>
  </r>
  <r>
    <x v="0"/>
    <x v="0"/>
    <x v="0"/>
    <x v="0"/>
    <x v="0"/>
    <s v="DK1_Medium"/>
    <x v="4"/>
    <x v="0"/>
    <x v="0"/>
    <s v="GNR_ENG_NGAS_BP_E-42"/>
    <n v="10.029999999999999"/>
    <n v="1.0030000000000001E-2"/>
  </r>
  <r>
    <x v="0"/>
    <x v="0"/>
    <x v="0"/>
    <x v="0"/>
    <x v="0"/>
    <s v="DK1_Medium"/>
    <x v="4"/>
    <x v="0"/>
    <x v="0"/>
    <s v="GNR_ENG_NGAS_BP_E-43"/>
    <n v="1.42"/>
    <n v="1.42E-3"/>
  </r>
  <r>
    <x v="0"/>
    <x v="0"/>
    <x v="0"/>
    <x v="0"/>
    <x v="0"/>
    <s v="DK1_Medium"/>
    <x v="4"/>
    <x v="0"/>
    <x v="0"/>
    <s v="GNR_ENG_NGAS_BP_E-44"/>
    <n v="4.68"/>
    <n v="4.6800000000000001E-3"/>
  </r>
  <r>
    <x v="0"/>
    <x v="0"/>
    <x v="0"/>
    <x v="0"/>
    <x v="0"/>
    <s v="DK1_Medium"/>
    <x v="4"/>
    <x v="0"/>
    <x v="0"/>
    <s v="GNR_GT_NGAS_BP_E-31"/>
    <n v="9"/>
    <n v="8.9999999999999993E-3"/>
  </r>
  <r>
    <x v="0"/>
    <x v="0"/>
    <x v="0"/>
    <x v="0"/>
    <x v="0"/>
    <s v="DK1_Medium"/>
    <x v="4"/>
    <x v="0"/>
    <x v="0"/>
    <s v="GNR_GT_NGAS_BP_E-43"/>
    <n v="82.15"/>
    <n v="8.2150000000000001E-2"/>
  </r>
  <r>
    <x v="0"/>
    <x v="0"/>
    <x v="0"/>
    <x v="0"/>
    <x v="0"/>
    <s v="DK1_Medium"/>
    <x v="4"/>
    <x v="0"/>
    <x v="0"/>
    <s v="GNR_GT_NGAS_BP_E-44"/>
    <n v="57"/>
    <n v="5.7000000000000002E-2"/>
  </r>
  <r>
    <x v="0"/>
    <x v="0"/>
    <x v="0"/>
    <x v="0"/>
    <x v="0"/>
    <s v="DK1_Medium"/>
    <x v="4"/>
    <x v="0"/>
    <x v="0"/>
    <s v="GNR_GT_NGAS_BP_E-47"/>
    <n v="108.55"/>
    <n v="0.10854999999999999"/>
  </r>
  <r>
    <x v="0"/>
    <x v="0"/>
    <x v="0"/>
    <x v="0"/>
    <x v="0"/>
    <s v="DK1_Medium"/>
    <x v="6"/>
    <x v="0"/>
    <x v="0"/>
    <s v="GNR_ST_WOODCHI_BP_E-27"/>
    <n v="52"/>
    <n v="5.1999999999999998E-2"/>
  </r>
  <r>
    <x v="0"/>
    <x v="0"/>
    <x v="0"/>
    <x v="0"/>
    <x v="0"/>
    <s v="DK1_Medium"/>
    <x v="6"/>
    <x v="0"/>
    <x v="0"/>
    <s v="GNR_ST_WOODCHI_BP_E-30"/>
    <n v="90.4"/>
    <n v="9.0399999999999994E-2"/>
  </r>
  <r>
    <x v="0"/>
    <x v="0"/>
    <x v="0"/>
    <x v="0"/>
    <x v="0"/>
    <s v="DK1_NoDH"/>
    <x v="0"/>
    <x v="0"/>
    <x v="0"/>
    <s v="GNR_ENG_BGAS_BP_E-30"/>
    <n v="0.43"/>
    <n v="4.2999999999999999E-4"/>
  </r>
  <r>
    <x v="0"/>
    <x v="0"/>
    <x v="0"/>
    <x v="0"/>
    <x v="0"/>
    <s v="DK1_NoDH"/>
    <x v="0"/>
    <x v="0"/>
    <x v="0"/>
    <s v="GNR_ENG_BGAS_BP_E-31"/>
    <n v="0.47"/>
    <n v="4.6999999999999999E-4"/>
  </r>
  <r>
    <x v="0"/>
    <x v="0"/>
    <x v="0"/>
    <x v="0"/>
    <x v="0"/>
    <s v="DK1_NoDH"/>
    <x v="0"/>
    <x v="0"/>
    <x v="0"/>
    <s v="GNR_ENG_BGAS_BP_E-32"/>
    <n v="1.19"/>
    <n v="1.1900000000000001E-3"/>
  </r>
  <r>
    <x v="0"/>
    <x v="0"/>
    <x v="0"/>
    <x v="0"/>
    <x v="0"/>
    <s v="DK1_NoDH"/>
    <x v="0"/>
    <x v="0"/>
    <x v="0"/>
    <s v="GNR_ENG_BGAS_BP_E-33"/>
    <n v="0.92"/>
    <n v="9.2000000000000003E-4"/>
  </r>
  <r>
    <x v="0"/>
    <x v="0"/>
    <x v="0"/>
    <x v="0"/>
    <x v="0"/>
    <s v="DK1_NoDH"/>
    <x v="0"/>
    <x v="0"/>
    <x v="0"/>
    <s v="GNR_ENG_BGAS_BP_E-34"/>
    <n v="2.8719999999999999"/>
    <n v="2.872E-3"/>
  </r>
  <r>
    <x v="0"/>
    <x v="0"/>
    <x v="0"/>
    <x v="0"/>
    <x v="0"/>
    <s v="DK1_NoDH"/>
    <x v="0"/>
    <x v="0"/>
    <x v="0"/>
    <s v="GNR_ENG_BGAS_BP_E-35"/>
    <n v="2.19"/>
    <n v="2.1900000000000001E-3"/>
  </r>
  <r>
    <x v="0"/>
    <x v="0"/>
    <x v="0"/>
    <x v="0"/>
    <x v="0"/>
    <s v="DK1_NoDH"/>
    <x v="0"/>
    <x v="0"/>
    <x v="0"/>
    <s v="GNR_ENG_BGAS_BP_E-36"/>
    <n v="2.08"/>
    <n v="2.0799999999999998E-3"/>
  </r>
  <r>
    <x v="0"/>
    <x v="0"/>
    <x v="0"/>
    <x v="0"/>
    <x v="0"/>
    <s v="DK1_NoDH"/>
    <x v="0"/>
    <x v="0"/>
    <x v="0"/>
    <s v="GNR_ENG_BGAS_BP_E-37"/>
    <n v="4.351"/>
    <n v="4.3509999999999998E-3"/>
  </r>
  <r>
    <x v="0"/>
    <x v="0"/>
    <x v="0"/>
    <x v="0"/>
    <x v="0"/>
    <s v="DK1_NoDH"/>
    <x v="0"/>
    <x v="0"/>
    <x v="0"/>
    <s v="GNR_ENG_BGAS_BP_E-38"/>
    <n v="0.19"/>
    <n v="1.9000000000000001E-4"/>
  </r>
  <r>
    <x v="0"/>
    <x v="0"/>
    <x v="0"/>
    <x v="0"/>
    <x v="0"/>
    <s v="DK1_NoDH"/>
    <x v="0"/>
    <x v="0"/>
    <x v="0"/>
    <s v="GNR_ENG_BGAS_BP_E-39"/>
    <n v="1.1599999999999999"/>
    <n v="1.16E-3"/>
  </r>
  <r>
    <x v="0"/>
    <x v="0"/>
    <x v="0"/>
    <x v="0"/>
    <x v="0"/>
    <s v="DK1_NoDH"/>
    <x v="0"/>
    <x v="0"/>
    <x v="0"/>
    <s v="GNR_ENG_BGAS_BP_E-40"/>
    <n v="2.6"/>
    <n v="2.5999999999999999E-3"/>
  </r>
  <r>
    <x v="0"/>
    <x v="0"/>
    <x v="0"/>
    <x v="0"/>
    <x v="0"/>
    <s v="DK1_NoDH"/>
    <x v="0"/>
    <x v="0"/>
    <x v="0"/>
    <s v="GNR_ENG_BGAS_BP_E-42"/>
    <n v="1.4"/>
    <n v="1.4E-3"/>
  </r>
  <r>
    <x v="0"/>
    <x v="0"/>
    <x v="0"/>
    <x v="0"/>
    <x v="0"/>
    <s v="DK1_NoDH"/>
    <x v="0"/>
    <x v="0"/>
    <x v="0"/>
    <s v="GNR_ENG_BGAS_BP_E-43"/>
    <n v="6"/>
    <n v="6.0000000000000001E-3"/>
  </r>
  <r>
    <x v="0"/>
    <x v="0"/>
    <x v="0"/>
    <x v="0"/>
    <x v="0"/>
    <s v="DK1_NoDH"/>
    <x v="0"/>
    <x v="2"/>
    <x v="0"/>
    <s v="GNR_ENG_BGAS_CND_E-36"/>
    <n v="1.4"/>
    <n v="1.4E-3"/>
  </r>
  <r>
    <x v="0"/>
    <x v="0"/>
    <x v="0"/>
    <x v="0"/>
    <x v="0"/>
    <s v="DK1_NoDH"/>
    <x v="0"/>
    <x v="2"/>
    <x v="0"/>
    <s v="GNR_ENG_BGAS_CND_E-42"/>
    <n v="0.35"/>
    <n v="3.5E-4"/>
  </r>
  <r>
    <x v="0"/>
    <x v="0"/>
    <x v="0"/>
    <x v="0"/>
    <x v="0"/>
    <s v="DK1_NoDH"/>
    <x v="7"/>
    <x v="0"/>
    <x v="0"/>
    <s v="GNR_ST_FUELOIL_BP_E-34"/>
    <n v="4.28"/>
    <n v="4.28E-3"/>
  </r>
  <r>
    <x v="0"/>
    <x v="0"/>
    <x v="0"/>
    <x v="0"/>
    <x v="0"/>
    <s v="DK1_NoDH"/>
    <x v="2"/>
    <x v="2"/>
    <x v="0"/>
    <s v="GNR_ENG_LIGHTOIL_CND_E-34"/>
    <n v="0.5"/>
    <n v="5.0000000000000001E-4"/>
  </r>
  <r>
    <x v="0"/>
    <x v="0"/>
    <x v="0"/>
    <x v="0"/>
    <x v="0"/>
    <s v="DK1_NoDH"/>
    <x v="2"/>
    <x v="2"/>
    <x v="0"/>
    <s v="GNR_ENG_LIGHTOIL_CND_E-36"/>
    <n v="0.72"/>
    <n v="7.2000000000000005E-4"/>
  </r>
  <r>
    <x v="0"/>
    <x v="0"/>
    <x v="0"/>
    <x v="0"/>
    <x v="0"/>
    <s v="DK1_NoDH"/>
    <x v="2"/>
    <x v="2"/>
    <x v="0"/>
    <s v="GNR_ENG_LIGHTOIL_CND_E-41"/>
    <n v="40.799999999999997"/>
    <n v="4.0800000000000003E-2"/>
  </r>
  <r>
    <x v="0"/>
    <x v="0"/>
    <x v="0"/>
    <x v="0"/>
    <x v="0"/>
    <s v="DK1_NoDH"/>
    <x v="2"/>
    <x v="2"/>
    <x v="0"/>
    <s v="GNR_ENG_LIGHTOIL_CND_E-43"/>
    <n v="0.02"/>
    <n v="2.0000000000000002E-5"/>
  </r>
  <r>
    <x v="0"/>
    <x v="0"/>
    <x v="0"/>
    <x v="0"/>
    <x v="0"/>
    <s v="DK1_NoDH"/>
    <x v="4"/>
    <x v="0"/>
    <x v="0"/>
    <s v="GNR_ENG_NGAS_BP_E-33"/>
    <n v="0.13500000000000001"/>
    <n v="1.35E-4"/>
  </r>
  <r>
    <x v="0"/>
    <x v="0"/>
    <x v="0"/>
    <x v="0"/>
    <x v="0"/>
    <s v="DK1_NoDH"/>
    <x v="4"/>
    <x v="0"/>
    <x v="0"/>
    <s v="GNR_ENG_NGAS_BP_E-35"/>
    <n v="1.84"/>
    <n v="1.8400000000000001E-3"/>
  </r>
  <r>
    <x v="0"/>
    <x v="0"/>
    <x v="0"/>
    <x v="0"/>
    <x v="0"/>
    <s v="DK1_NoDH"/>
    <x v="4"/>
    <x v="0"/>
    <x v="0"/>
    <s v="GNR_ENG_NGAS_BP_E-36"/>
    <n v="3.37"/>
    <n v="3.3700000000000002E-3"/>
  </r>
  <r>
    <x v="0"/>
    <x v="0"/>
    <x v="0"/>
    <x v="0"/>
    <x v="0"/>
    <s v="DK1_NoDH"/>
    <x v="4"/>
    <x v="0"/>
    <x v="0"/>
    <s v="GNR_ENG_NGAS_BP_E-37"/>
    <n v="36.86"/>
    <n v="3.6859999999999997E-2"/>
  </r>
  <r>
    <x v="0"/>
    <x v="0"/>
    <x v="0"/>
    <x v="0"/>
    <x v="0"/>
    <s v="DK1_NoDH"/>
    <x v="4"/>
    <x v="0"/>
    <x v="0"/>
    <s v="GNR_ENG_NGAS_BP_E-38"/>
    <n v="12.36"/>
    <n v="1.2359999999999999E-2"/>
  </r>
  <r>
    <x v="0"/>
    <x v="0"/>
    <x v="0"/>
    <x v="0"/>
    <x v="0"/>
    <s v="DK1_NoDH"/>
    <x v="4"/>
    <x v="0"/>
    <x v="0"/>
    <s v="GNR_ENG_NGAS_BP_E-39"/>
    <n v="11.33"/>
    <n v="1.133E-2"/>
  </r>
  <r>
    <x v="0"/>
    <x v="0"/>
    <x v="0"/>
    <x v="0"/>
    <x v="0"/>
    <s v="DK1_NoDH"/>
    <x v="4"/>
    <x v="0"/>
    <x v="0"/>
    <s v="GNR_ENG_NGAS_BP_E-40"/>
    <n v="2.82"/>
    <n v="2.82E-3"/>
  </r>
  <r>
    <x v="0"/>
    <x v="0"/>
    <x v="0"/>
    <x v="0"/>
    <x v="0"/>
    <s v="DK1_NoDH"/>
    <x v="4"/>
    <x v="0"/>
    <x v="0"/>
    <s v="GNR_ENG_NGAS_BP_E-41"/>
    <n v="7.91"/>
    <n v="7.9100000000000004E-3"/>
  </r>
  <r>
    <x v="0"/>
    <x v="0"/>
    <x v="0"/>
    <x v="0"/>
    <x v="0"/>
    <s v="DK1_NoDH"/>
    <x v="4"/>
    <x v="0"/>
    <x v="0"/>
    <s v="GNR_ENG_NGAS_BP_E-42"/>
    <n v="11.12"/>
    <n v="1.112E-2"/>
  </r>
  <r>
    <x v="0"/>
    <x v="0"/>
    <x v="0"/>
    <x v="0"/>
    <x v="0"/>
    <s v="DK1_NoDH"/>
    <x v="4"/>
    <x v="0"/>
    <x v="0"/>
    <s v="GNR_ENG_NGAS_BP_E-43"/>
    <n v="12.340999999999999"/>
    <n v="1.2341E-2"/>
  </r>
  <r>
    <x v="0"/>
    <x v="0"/>
    <x v="0"/>
    <x v="0"/>
    <x v="0"/>
    <s v="DK1_NoDH"/>
    <x v="4"/>
    <x v="0"/>
    <x v="0"/>
    <s v="GNR_ENG_NGAS_BP_E-46"/>
    <n v="4.8049999999999997"/>
    <n v="4.8050000000000002E-3"/>
  </r>
  <r>
    <x v="0"/>
    <x v="0"/>
    <x v="0"/>
    <x v="0"/>
    <x v="0"/>
    <s v="DK1_NoDH"/>
    <x v="4"/>
    <x v="0"/>
    <x v="0"/>
    <s v="GNR_GT_NGAS_BP_E-28"/>
    <n v="34.9"/>
    <n v="3.49E-2"/>
  </r>
  <r>
    <x v="0"/>
    <x v="0"/>
    <x v="0"/>
    <x v="0"/>
    <x v="0"/>
    <s v="DK1_NoDH"/>
    <x v="4"/>
    <x v="0"/>
    <x v="0"/>
    <s v="GNR_GT_NGAS_BP_E-33"/>
    <n v="5.3"/>
    <n v="5.3E-3"/>
  </r>
  <r>
    <x v="0"/>
    <x v="0"/>
    <x v="0"/>
    <x v="0"/>
    <x v="0"/>
    <s v="DK1_NoDH"/>
    <x v="4"/>
    <x v="0"/>
    <x v="0"/>
    <s v="GNR_GT_NGAS_BP_E-36"/>
    <n v="4"/>
    <n v="4.0000000000000001E-3"/>
  </r>
  <r>
    <x v="0"/>
    <x v="0"/>
    <x v="0"/>
    <x v="0"/>
    <x v="0"/>
    <s v="DK1_NoDH"/>
    <x v="4"/>
    <x v="2"/>
    <x v="0"/>
    <s v="GNR_ENG_NGAS_CND_E-41"/>
    <n v="40.799999999999997"/>
    <n v="4.0800000000000003E-2"/>
  </r>
  <r>
    <x v="0"/>
    <x v="0"/>
    <x v="0"/>
    <x v="0"/>
    <x v="0"/>
    <s v="DK1_NoDH"/>
    <x v="4"/>
    <x v="2"/>
    <x v="0"/>
    <s v="GNR_ENG_NGAS_CND_E-46"/>
    <n v="0.64"/>
    <n v="6.4000000000000005E-4"/>
  </r>
  <r>
    <x v="0"/>
    <x v="0"/>
    <x v="0"/>
    <x v="0"/>
    <x v="0"/>
    <s v="DK1_NoDH"/>
    <x v="8"/>
    <x v="3"/>
    <x v="0"/>
    <s v="GNR_PV_SUN"/>
    <n v="518.50799999974299"/>
    <n v="0.51850799999974295"/>
  </r>
  <r>
    <x v="0"/>
    <x v="0"/>
    <x v="0"/>
    <x v="0"/>
    <x v="0"/>
    <s v="DK1_NoDH"/>
    <x v="9"/>
    <x v="4"/>
    <x v="0"/>
    <s v="GNR_ROR_WTR"/>
    <n v="6.94"/>
    <n v="6.94E-3"/>
  </r>
  <r>
    <x v="0"/>
    <x v="0"/>
    <x v="0"/>
    <x v="0"/>
    <x v="0"/>
    <s v="DK1_NoDH"/>
    <x v="10"/>
    <x v="5"/>
    <x v="0"/>
    <s v="GNR_WT_WIND_ONS"/>
    <n v="3259.3715000000998"/>
    <n v="3.2593715000000998"/>
  </r>
  <r>
    <x v="0"/>
    <x v="0"/>
    <x v="0"/>
    <x v="0"/>
    <x v="0"/>
    <s v="DK1_Offshore"/>
    <x v="10"/>
    <x v="5"/>
    <x v="0"/>
    <s v="GNR_WT_WIND_OFF"/>
    <n v="821.700000000003"/>
    <n v="0.82170000000000298"/>
  </r>
  <r>
    <x v="0"/>
    <x v="0"/>
    <x v="0"/>
    <x v="0"/>
    <x v="0"/>
    <s v="DK1_Rural"/>
    <x v="0"/>
    <x v="0"/>
    <x v="0"/>
    <s v="GNR_ENG_BGAS_BP_E-30"/>
    <n v="6"/>
    <n v="6.0000000000000001E-3"/>
  </r>
  <r>
    <x v="0"/>
    <x v="0"/>
    <x v="0"/>
    <x v="0"/>
    <x v="0"/>
    <s v="DK1_Rural"/>
    <x v="0"/>
    <x v="0"/>
    <x v="0"/>
    <s v="GNR_ENG_BGAS_BP_E-34"/>
    <n v="1.0329999999999999"/>
    <n v="1.0330000000000001E-3"/>
  </r>
  <r>
    <x v="0"/>
    <x v="0"/>
    <x v="0"/>
    <x v="0"/>
    <x v="0"/>
    <s v="DK1_Rural"/>
    <x v="0"/>
    <x v="0"/>
    <x v="0"/>
    <s v="GNR_ENG_BGAS_BP_E-35"/>
    <n v="1.05"/>
    <n v="1.0499999999999999E-3"/>
  </r>
  <r>
    <x v="0"/>
    <x v="0"/>
    <x v="0"/>
    <x v="0"/>
    <x v="0"/>
    <s v="DK1_Rural"/>
    <x v="0"/>
    <x v="0"/>
    <x v="0"/>
    <s v="GNR_ENG_BGAS_BP_E-37"/>
    <n v="4.9950000000000001"/>
    <n v="4.9950000000000003E-3"/>
  </r>
  <r>
    <x v="0"/>
    <x v="0"/>
    <x v="0"/>
    <x v="0"/>
    <x v="0"/>
    <s v="DK1_Rural"/>
    <x v="0"/>
    <x v="0"/>
    <x v="0"/>
    <s v="GNR_ENG_BGAS_BP_E-38"/>
    <n v="0.8"/>
    <n v="8.0000000000000004E-4"/>
  </r>
  <r>
    <x v="0"/>
    <x v="0"/>
    <x v="0"/>
    <x v="0"/>
    <x v="0"/>
    <s v="DK1_Rural"/>
    <x v="0"/>
    <x v="0"/>
    <x v="0"/>
    <s v="GNR_ENG_BGAS_BP_E-39"/>
    <n v="3.62"/>
    <n v="3.62E-3"/>
  </r>
  <r>
    <x v="0"/>
    <x v="0"/>
    <x v="0"/>
    <x v="0"/>
    <x v="0"/>
    <s v="DK1_Rural"/>
    <x v="0"/>
    <x v="0"/>
    <x v="0"/>
    <s v="GNR_ENG_BGAS_BP_E-40"/>
    <n v="6.24"/>
    <n v="6.2399999999999999E-3"/>
  </r>
  <r>
    <x v="0"/>
    <x v="0"/>
    <x v="0"/>
    <x v="0"/>
    <x v="0"/>
    <s v="DK1_Rural"/>
    <x v="0"/>
    <x v="0"/>
    <x v="0"/>
    <s v="GNR_ENG_BGAS_BP_E-41"/>
    <n v="2.081"/>
    <n v="2.081E-3"/>
  </r>
  <r>
    <x v="0"/>
    <x v="0"/>
    <x v="0"/>
    <x v="0"/>
    <x v="0"/>
    <s v="DK1_Rural"/>
    <x v="0"/>
    <x v="0"/>
    <x v="0"/>
    <s v="GNR_ENG_BGAS_BP_E-42"/>
    <n v="8.5299999999999994"/>
    <n v="8.5299999999999994E-3"/>
  </r>
  <r>
    <x v="0"/>
    <x v="0"/>
    <x v="0"/>
    <x v="0"/>
    <x v="0"/>
    <s v="DK1_Rural"/>
    <x v="0"/>
    <x v="0"/>
    <x v="0"/>
    <s v="GNR_ENG_BGAS_BP_E-43"/>
    <n v="5.14"/>
    <n v="5.1399999999999996E-3"/>
  </r>
  <r>
    <x v="0"/>
    <x v="0"/>
    <x v="0"/>
    <x v="0"/>
    <x v="0"/>
    <s v="DK1_Rural"/>
    <x v="2"/>
    <x v="0"/>
    <x v="0"/>
    <s v="GNR_ENG_LIGHTOIL_BP_E-35"/>
    <n v="2.54"/>
    <n v="2.5400000000000002E-3"/>
  </r>
  <r>
    <x v="0"/>
    <x v="0"/>
    <x v="0"/>
    <x v="0"/>
    <x v="0"/>
    <s v="DK1_Rural"/>
    <x v="2"/>
    <x v="0"/>
    <x v="0"/>
    <s v="GNR_ENG_LIGHTOIL_BP_E-37"/>
    <n v="16"/>
    <n v="1.6E-2"/>
  </r>
  <r>
    <x v="0"/>
    <x v="0"/>
    <x v="0"/>
    <x v="0"/>
    <x v="0"/>
    <s v="DK1_Rural"/>
    <x v="2"/>
    <x v="2"/>
    <x v="0"/>
    <s v="GNR_ENG_LIGHTOIL_CND_E-33"/>
    <n v="0.45"/>
    <n v="4.4999999999999999E-4"/>
  </r>
  <r>
    <x v="0"/>
    <x v="0"/>
    <x v="0"/>
    <x v="0"/>
    <x v="0"/>
    <s v="DK1_Rural"/>
    <x v="2"/>
    <x v="2"/>
    <x v="0"/>
    <s v="GNR_ENG_LIGHTOIL_CND_E-42"/>
    <n v="0.19"/>
    <n v="1.9000000000000001E-4"/>
  </r>
  <r>
    <x v="0"/>
    <x v="0"/>
    <x v="0"/>
    <x v="0"/>
    <x v="0"/>
    <s v="DK1_Rural"/>
    <x v="2"/>
    <x v="2"/>
    <x v="0"/>
    <s v="GNR_ENG_LIGHTOIL_CND_E-43"/>
    <n v="1.18"/>
    <n v="1.1800000000000001E-3"/>
  </r>
  <r>
    <x v="0"/>
    <x v="0"/>
    <x v="0"/>
    <x v="0"/>
    <x v="0"/>
    <s v="DK1_Rural"/>
    <x v="4"/>
    <x v="0"/>
    <x v="0"/>
    <s v="GNR_ENG_NGAS_BP_E-33"/>
    <n v="4.5"/>
    <n v="4.4999999999999997E-3"/>
  </r>
  <r>
    <x v="0"/>
    <x v="0"/>
    <x v="0"/>
    <x v="0"/>
    <x v="0"/>
    <s v="DK1_Rural"/>
    <x v="4"/>
    <x v="0"/>
    <x v="0"/>
    <s v="GNR_ENG_NGAS_BP_E-34"/>
    <n v="4.63"/>
    <n v="4.6299999999999996E-3"/>
  </r>
  <r>
    <x v="0"/>
    <x v="0"/>
    <x v="0"/>
    <x v="0"/>
    <x v="0"/>
    <s v="DK1_Rural"/>
    <x v="4"/>
    <x v="0"/>
    <x v="0"/>
    <s v="GNR_ENG_NGAS_BP_E-36"/>
    <n v="22.21"/>
    <n v="2.2210000000000001E-2"/>
  </r>
  <r>
    <x v="0"/>
    <x v="0"/>
    <x v="0"/>
    <x v="0"/>
    <x v="0"/>
    <s v="DK1_Rural"/>
    <x v="4"/>
    <x v="0"/>
    <x v="0"/>
    <s v="GNR_ENG_NGAS_BP_E-37"/>
    <n v="23.21"/>
    <n v="2.3210000000000001E-2"/>
  </r>
  <r>
    <x v="0"/>
    <x v="0"/>
    <x v="0"/>
    <x v="0"/>
    <x v="0"/>
    <s v="DK1_Rural"/>
    <x v="4"/>
    <x v="0"/>
    <x v="0"/>
    <s v="GNR_ENG_NGAS_BP_E-38"/>
    <n v="46.79"/>
    <n v="4.6789999999999998E-2"/>
  </r>
  <r>
    <x v="0"/>
    <x v="0"/>
    <x v="0"/>
    <x v="0"/>
    <x v="0"/>
    <s v="DK1_Rural"/>
    <x v="4"/>
    <x v="0"/>
    <x v="0"/>
    <s v="GNR_ENG_NGAS_BP_E-39"/>
    <n v="56.18"/>
    <n v="5.6180000000000001E-2"/>
  </r>
  <r>
    <x v="0"/>
    <x v="0"/>
    <x v="0"/>
    <x v="0"/>
    <x v="0"/>
    <s v="DK1_Rural"/>
    <x v="4"/>
    <x v="0"/>
    <x v="0"/>
    <s v="GNR_ENG_NGAS_BP_E-40"/>
    <n v="70.569999999999993"/>
    <n v="7.0569999999999994E-2"/>
  </r>
  <r>
    <x v="0"/>
    <x v="0"/>
    <x v="0"/>
    <x v="0"/>
    <x v="0"/>
    <s v="DK1_Rural"/>
    <x v="4"/>
    <x v="0"/>
    <x v="0"/>
    <s v="GNR_ENG_NGAS_BP_E-41"/>
    <n v="105.58"/>
    <n v="0.10557999999999999"/>
  </r>
  <r>
    <x v="0"/>
    <x v="0"/>
    <x v="0"/>
    <x v="0"/>
    <x v="0"/>
    <s v="DK1_Rural"/>
    <x v="4"/>
    <x v="0"/>
    <x v="0"/>
    <s v="GNR_ENG_NGAS_BP_E-42"/>
    <n v="76.742000000000004"/>
    <n v="7.6742000000000005E-2"/>
  </r>
  <r>
    <x v="0"/>
    <x v="0"/>
    <x v="0"/>
    <x v="0"/>
    <x v="0"/>
    <s v="DK1_Rural"/>
    <x v="4"/>
    <x v="0"/>
    <x v="0"/>
    <s v="GNR_ENG_NGAS_BP_E-43"/>
    <n v="48.531999999999996"/>
    <n v="4.8531999999999999E-2"/>
  </r>
  <r>
    <x v="0"/>
    <x v="0"/>
    <x v="0"/>
    <x v="0"/>
    <x v="0"/>
    <s v="DK1_Rural"/>
    <x v="4"/>
    <x v="0"/>
    <x v="0"/>
    <s v="GNR_ENG_NGAS_BP_E-44"/>
    <n v="54.03"/>
    <n v="5.4030000000000002E-2"/>
  </r>
  <r>
    <x v="0"/>
    <x v="0"/>
    <x v="0"/>
    <x v="0"/>
    <x v="0"/>
    <s v="DK1_Rural"/>
    <x v="4"/>
    <x v="0"/>
    <x v="0"/>
    <s v="GNR_ENG_NGAS_BP_E-45"/>
    <n v="10.44"/>
    <n v="1.044E-2"/>
  </r>
  <r>
    <x v="0"/>
    <x v="0"/>
    <x v="0"/>
    <x v="0"/>
    <x v="0"/>
    <s v="DK1_Rural"/>
    <x v="4"/>
    <x v="0"/>
    <x v="0"/>
    <s v="GNR_ENG_NGAS_BP_E-46"/>
    <n v="21.64"/>
    <n v="2.164E-2"/>
  </r>
  <r>
    <x v="0"/>
    <x v="0"/>
    <x v="0"/>
    <x v="0"/>
    <x v="0"/>
    <s v="DK1_Rural"/>
    <x v="4"/>
    <x v="0"/>
    <x v="0"/>
    <s v="GNR_ENG_NGAS_BP_E-47"/>
    <n v="3.7"/>
    <n v="3.7000000000000002E-3"/>
  </r>
  <r>
    <x v="0"/>
    <x v="0"/>
    <x v="0"/>
    <x v="0"/>
    <x v="0"/>
    <s v="DK1_Rural"/>
    <x v="4"/>
    <x v="0"/>
    <x v="0"/>
    <s v="GNR_GT_NGAS_BP_E-28"/>
    <n v="7.4"/>
    <n v="7.4000000000000003E-3"/>
  </r>
  <r>
    <x v="0"/>
    <x v="0"/>
    <x v="0"/>
    <x v="0"/>
    <x v="0"/>
    <s v="DK1_Rural"/>
    <x v="4"/>
    <x v="0"/>
    <x v="0"/>
    <s v="GNR_GT_NGAS_BP_E-30"/>
    <n v="6.3"/>
    <n v="6.3E-3"/>
  </r>
  <r>
    <x v="0"/>
    <x v="0"/>
    <x v="0"/>
    <x v="0"/>
    <x v="0"/>
    <s v="DK1_Rural"/>
    <x v="4"/>
    <x v="0"/>
    <x v="0"/>
    <s v="GNR_GT_NGAS_BP_E-41"/>
    <n v="6"/>
    <n v="6.0000000000000001E-3"/>
  </r>
  <r>
    <x v="0"/>
    <x v="0"/>
    <x v="0"/>
    <x v="0"/>
    <x v="0"/>
    <s v="DK1_Rural"/>
    <x v="5"/>
    <x v="0"/>
    <x v="0"/>
    <s v="GNR_ST_STRW_BP_E-26"/>
    <n v="2.2999999999999998"/>
    <n v="2.3E-3"/>
  </r>
  <r>
    <x v="0"/>
    <x v="0"/>
    <x v="0"/>
    <x v="0"/>
    <x v="0"/>
    <s v="DK1_Rural"/>
    <x v="6"/>
    <x v="0"/>
    <x v="0"/>
    <s v="GNR_ST_WOODCHI_BP_E-17"/>
    <n v="0.75"/>
    <n v="7.5000000000000002E-4"/>
  </r>
  <r>
    <x v="0"/>
    <x v="0"/>
    <x v="0"/>
    <x v="0"/>
    <x v="0"/>
    <s v="DK1_Rural"/>
    <x v="6"/>
    <x v="0"/>
    <x v="0"/>
    <s v="GNR_ST_WOODCHI_BP_E-27"/>
    <n v="4.7"/>
    <n v="4.7000000000000002E-3"/>
  </r>
  <r>
    <x v="0"/>
    <x v="0"/>
    <x v="0"/>
    <x v="0"/>
    <x v="0"/>
    <s v="DK1_Rural"/>
    <x v="11"/>
    <x v="0"/>
    <x v="0"/>
    <s v="GNR_ST_WOODPEL_BP_E-30"/>
    <n v="1.91"/>
    <n v="1.91E-3"/>
  </r>
  <r>
    <x v="0"/>
    <x v="0"/>
    <x v="0"/>
    <x v="0"/>
    <x v="0"/>
    <s v="DK1_Small"/>
    <x v="3"/>
    <x v="0"/>
    <x v="0"/>
    <s v="GNR_ST_MSW_BP_E-20"/>
    <n v="2.89"/>
    <n v="2.8900000000000002E-3"/>
  </r>
  <r>
    <x v="0"/>
    <x v="0"/>
    <x v="0"/>
    <x v="0"/>
    <x v="0"/>
    <s v="DK1_Small"/>
    <x v="4"/>
    <x v="0"/>
    <x v="0"/>
    <s v="GNR_ENG_NGAS_BP_E-38"/>
    <n v="3.89"/>
    <n v="3.8899999999999998E-3"/>
  </r>
  <r>
    <x v="0"/>
    <x v="0"/>
    <x v="0"/>
    <x v="0"/>
    <x v="0"/>
    <s v="DK1_Small"/>
    <x v="4"/>
    <x v="0"/>
    <x v="0"/>
    <s v="GNR_ENG_NGAS_BP_E-39"/>
    <n v="0.74"/>
    <n v="7.3999999999999999E-4"/>
  </r>
  <r>
    <x v="0"/>
    <x v="0"/>
    <x v="0"/>
    <x v="0"/>
    <x v="0"/>
    <s v="DK1_Small"/>
    <x v="4"/>
    <x v="0"/>
    <x v="0"/>
    <s v="GNR_ENG_NGAS_BP_E-41"/>
    <n v="1.48"/>
    <n v="1.48E-3"/>
  </r>
  <r>
    <x v="0"/>
    <x v="0"/>
    <x v="0"/>
    <x v="0"/>
    <x v="0"/>
    <s v="DK1_Small"/>
    <x v="4"/>
    <x v="0"/>
    <x v="0"/>
    <s v="GNR_ENG_NGAS_BP_E-42"/>
    <n v="14.1"/>
    <n v="1.41E-2"/>
  </r>
  <r>
    <x v="0"/>
    <x v="0"/>
    <x v="0"/>
    <x v="0"/>
    <x v="0"/>
    <s v="DK1_Small"/>
    <x v="4"/>
    <x v="0"/>
    <x v="0"/>
    <s v="GNR_GT_NGAS_BP_E-31"/>
    <n v="6.2"/>
    <n v="6.1999999999999998E-3"/>
  </r>
  <r>
    <x v="0"/>
    <x v="0"/>
    <x v="0"/>
    <x v="0"/>
    <x v="0"/>
    <s v="DK1_Small"/>
    <x v="6"/>
    <x v="0"/>
    <x v="0"/>
    <s v="GNR_ST_WOODCHI_BP_E-15"/>
    <n v="0.6"/>
    <n v="5.9999999999999995E-4"/>
  </r>
  <r>
    <x v="0"/>
    <x v="0"/>
    <x v="0"/>
    <x v="0"/>
    <x v="1"/>
    <s v="DK2_Large"/>
    <x v="0"/>
    <x v="0"/>
    <x v="0"/>
    <s v="GNR_ENG_BGAS_BP_E-38"/>
    <n v="0.6"/>
    <n v="5.9999999999999995E-4"/>
  </r>
  <r>
    <x v="0"/>
    <x v="0"/>
    <x v="0"/>
    <x v="0"/>
    <x v="1"/>
    <s v="DK2_Large"/>
    <x v="0"/>
    <x v="0"/>
    <x v="0"/>
    <s v="GNR_ENG_BGAS_BP_E-42"/>
    <n v="3.0470000000000002"/>
    <n v="3.0469999999999998E-3"/>
  </r>
  <r>
    <x v="0"/>
    <x v="0"/>
    <x v="0"/>
    <x v="0"/>
    <x v="1"/>
    <s v="DK2_Large"/>
    <x v="1"/>
    <x v="1"/>
    <x v="0"/>
    <s v="GNR_ST_COAL_EXT_E-42"/>
    <n v="500"/>
    <n v="0.5"/>
  </r>
  <r>
    <x v="0"/>
    <x v="0"/>
    <x v="0"/>
    <x v="0"/>
    <x v="1"/>
    <s v="DK2_Large"/>
    <x v="2"/>
    <x v="2"/>
    <x v="0"/>
    <s v="GNR_ENG_LIGHTOIL_CND_E-40"/>
    <n v="1.25"/>
    <n v="1.25E-3"/>
  </r>
  <r>
    <x v="0"/>
    <x v="0"/>
    <x v="0"/>
    <x v="0"/>
    <x v="1"/>
    <s v="DK2_Large"/>
    <x v="2"/>
    <x v="2"/>
    <x v="0"/>
    <s v="GNR_ENG_LIGHTOIL_CND_E-43"/>
    <n v="1.3"/>
    <n v="1.2999999999999999E-3"/>
  </r>
  <r>
    <x v="0"/>
    <x v="0"/>
    <x v="0"/>
    <x v="0"/>
    <x v="1"/>
    <s v="DK2_Large"/>
    <x v="3"/>
    <x v="0"/>
    <x v="0"/>
    <s v="GNR_ST_MSW_BP_E-16"/>
    <n v="28.5"/>
    <n v="2.8500000000000001E-2"/>
  </r>
  <r>
    <x v="0"/>
    <x v="0"/>
    <x v="0"/>
    <x v="0"/>
    <x v="1"/>
    <s v="DK2_Large"/>
    <x v="3"/>
    <x v="0"/>
    <x v="0"/>
    <s v="GNR_ST_MSW_BP_E-20"/>
    <n v="39"/>
    <n v="3.9E-2"/>
  </r>
  <r>
    <x v="0"/>
    <x v="0"/>
    <x v="0"/>
    <x v="0"/>
    <x v="1"/>
    <s v="DK2_Large"/>
    <x v="3"/>
    <x v="0"/>
    <x v="0"/>
    <s v="GNR_ST_MSW_BP_E-21"/>
    <n v="13.7"/>
    <n v="1.37E-2"/>
  </r>
  <r>
    <x v="0"/>
    <x v="0"/>
    <x v="0"/>
    <x v="0"/>
    <x v="1"/>
    <s v="DK2_Large"/>
    <x v="3"/>
    <x v="0"/>
    <x v="0"/>
    <s v="GNR_ST_MSW_BP_E-27"/>
    <n v="19.399999999999999"/>
    <n v="1.9400000000000001E-2"/>
  </r>
  <r>
    <x v="0"/>
    <x v="0"/>
    <x v="0"/>
    <x v="0"/>
    <x v="1"/>
    <s v="DK2_Large"/>
    <x v="4"/>
    <x v="0"/>
    <x v="0"/>
    <s v="GNR_ENG_NGAS_BP_E-34"/>
    <n v="0.98"/>
    <n v="9.7999999999999997E-4"/>
  </r>
  <r>
    <x v="0"/>
    <x v="0"/>
    <x v="0"/>
    <x v="0"/>
    <x v="1"/>
    <s v="DK2_Large"/>
    <x v="4"/>
    <x v="0"/>
    <x v="0"/>
    <s v="GNR_ENG_NGAS_BP_E-36"/>
    <n v="2.8"/>
    <n v="2.8E-3"/>
  </r>
  <r>
    <x v="0"/>
    <x v="0"/>
    <x v="0"/>
    <x v="0"/>
    <x v="1"/>
    <s v="DK2_Large"/>
    <x v="4"/>
    <x v="0"/>
    <x v="0"/>
    <s v="GNR_ENG_NGAS_BP_E-38"/>
    <n v="4.0199999999999996"/>
    <n v="4.0200000000000001E-3"/>
  </r>
  <r>
    <x v="0"/>
    <x v="0"/>
    <x v="0"/>
    <x v="0"/>
    <x v="1"/>
    <s v="DK2_Large"/>
    <x v="4"/>
    <x v="0"/>
    <x v="0"/>
    <s v="GNR_ENG_NGAS_BP_E-40"/>
    <n v="5.5"/>
    <n v="5.4999999999999997E-3"/>
  </r>
  <r>
    <x v="0"/>
    <x v="0"/>
    <x v="0"/>
    <x v="0"/>
    <x v="1"/>
    <s v="DK2_Large"/>
    <x v="4"/>
    <x v="0"/>
    <x v="0"/>
    <s v="GNR_GT_NGAS_BP_E-36"/>
    <n v="23.2"/>
    <n v="2.3199999999999998E-2"/>
  </r>
  <r>
    <x v="0"/>
    <x v="0"/>
    <x v="0"/>
    <x v="0"/>
    <x v="1"/>
    <s v="DK2_Large"/>
    <x v="4"/>
    <x v="0"/>
    <x v="0"/>
    <s v="GNR_ST_NGAS_BP_E-39"/>
    <n v="82"/>
    <n v="8.2000000000000003E-2"/>
  </r>
  <r>
    <x v="0"/>
    <x v="0"/>
    <x v="0"/>
    <x v="0"/>
    <x v="1"/>
    <s v="DK2_Large"/>
    <x v="6"/>
    <x v="0"/>
    <x v="0"/>
    <s v="GNR_ST_WOODCHI_BP_E-24"/>
    <n v="11"/>
    <n v="1.0999999999999999E-2"/>
  </r>
  <r>
    <x v="0"/>
    <x v="0"/>
    <x v="0"/>
    <x v="0"/>
    <x v="1"/>
    <s v="DK2_Large"/>
    <x v="6"/>
    <x v="0"/>
    <x v="0"/>
    <s v="GNR_ST_WOODCHI_BP_E-27"/>
    <n v="15"/>
    <n v="1.4999999999999999E-2"/>
  </r>
  <r>
    <x v="0"/>
    <x v="0"/>
    <x v="0"/>
    <x v="0"/>
    <x v="1"/>
    <s v="DK2_Large"/>
    <x v="11"/>
    <x v="0"/>
    <x v="0"/>
    <s v="GNR_ST_WOODPEL_BP_E-18"/>
    <n v="64"/>
    <n v="6.4000000000000001E-2"/>
  </r>
  <r>
    <x v="0"/>
    <x v="0"/>
    <x v="0"/>
    <x v="0"/>
    <x v="1"/>
    <s v="DK2_Large"/>
    <x v="11"/>
    <x v="1"/>
    <x v="0"/>
    <s v="GNR_ST_WOODPEL_EXT_E-50"/>
    <n v="568"/>
    <n v="0.56799999999999995"/>
  </r>
  <r>
    <x v="0"/>
    <x v="0"/>
    <x v="0"/>
    <x v="0"/>
    <x v="1"/>
    <s v="DK2_MedSmall"/>
    <x v="0"/>
    <x v="0"/>
    <x v="0"/>
    <s v="GNR_ENG_BGAS_BP_E-38"/>
    <n v="0.25"/>
    <n v="2.5000000000000001E-4"/>
  </r>
  <r>
    <x v="0"/>
    <x v="0"/>
    <x v="0"/>
    <x v="0"/>
    <x v="1"/>
    <s v="DK2_MedSmall"/>
    <x v="7"/>
    <x v="0"/>
    <x v="0"/>
    <s v="GNR_ST_FUELOIL_BP_E-27"/>
    <n v="9"/>
    <n v="8.9999999999999993E-3"/>
  </r>
  <r>
    <x v="0"/>
    <x v="0"/>
    <x v="0"/>
    <x v="0"/>
    <x v="1"/>
    <s v="DK2_MedSmall"/>
    <x v="7"/>
    <x v="0"/>
    <x v="0"/>
    <s v="GNR_ST_FUELOIL_BP_E-34"/>
    <n v="9"/>
    <n v="8.9999999999999993E-3"/>
  </r>
  <r>
    <x v="0"/>
    <x v="0"/>
    <x v="0"/>
    <x v="0"/>
    <x v="1"/>
    <s v="DK2_MedSmall"/>
    <x v="3"/>
    <x v="0"/>
    <x v="0"/>
    <s v="GNR_ST_MSW_BP_E-21"/>
    <n v="6.7"/>
    <n v="6.7000000000000002E-3"/>
  </r>
  <r>
    <x v="0"/>
    <x v="0"/>
    <x v="0"/>
    <x v="0"/>
    <x v="1"/>
    <s v="DK2_MedSmall"/>
    <x v="3"/>
    <x v="0"/>
    <x v="0"/>
    <s v="GNR_ST_MSW_BP_E-25"/>
    <n v="10.9"/>
    <n v="1.09E-2"/>
  </r>
  <r>
    <x v="0"/>
    <x v="0"/>
    <x v="0"/>
    <x v="0"/>
    <x v="1"/>
    <s v="DK2_MedSmall"/>
    <x v="3"/>
    <x v="0"/>
    <x v="0"/>
    <s v="GNR_ST_MSW_BP_E-28"/>
    <n v="12.89"/>
    <n v="1.289E-2"/>
  </r>
  <r>
    <x v="0"/>
    <x v="0"/>
    <x v="0"/>
    <x v="0"/>
    <x v="1"/>
    <s v="DK2_MedSmall"/>
    <x v="4"/>
    <x v="0"/>
    <x v="0"/>
    <s v="GNR_ENG_NGAS_BP_E-40"/>
    <n v="1.48"/>
    <n v="1.48E-3"/>
  </r>
  <r>
    <x v="0"/>
    <x v="0"/>
    <x v="0"/>
    <x v="0"/>
    <x v="1"/>
    <s v="DK2_MedSmall"/>
    <x v="4"/>
    <x v="0"/>
    <x v="0"/>
    <s v="GNR_ENG_NGAS_BP_E-42"/>
    <n v="3.1"/>
    <n v="3.0999999999999999E-3"/>
  </r>
  <r>
    <x v="0"/>
    <x v="0"/>
    <x v="0"/>
    <x v="0"/>
    <x v="1"/>
    <s v="DK2_Medium"/>
    <x v="1"/>
    <x v="0"/>
    <x v="0"/>
    <s v="GNR_ST_COAL_BP_E-38"/>
    <n v="142"/>
    <n v="0.14199999999999999"/>
  </r>
  <r>
    <x v="0"/>
    <x v="0"/>
    <x v="0"/>
    <x v="0"/>
    <x v="1"/>
    <s v="DK2_Medium"/>
    <x v="1"/>
    <x v="1"/>
    <x v="0"/>
    <s v="GNR_ST_COAL_EXT_E-41"/>
    <n v="640"/>
    <n v="0.64"/>
  </r>
  <r>
    <x v="0"/>
    <x v="0"/>
    <x v="0"/>
    <x v="0"/>
    <x v="1"/>
    <s v="DK2_Medium"/>
    <x v="2"/>
    <x v="2"/>
    <x v="0"/>
    <s v="GNR_GT_LIGHTOIL_CND_E-27"/>
    <n v="63"/>
    <n v="6.3E-2"/>
  </r>
  <r>
    <x v="0"/>
    <x v="0"/>
    <x v="0"/>
    <x v="0"/>
    <x v="1"/>
    <s v="DK2_Medium"/>
    <x v="2"/>
    <x v="2"/>
    <x v="0"/>
    <s v="GNR_ST_LIGHTOIL_CND_E-33"/>
    <n v="520"/>
    <n v="0.52"/>
  </r>
  <r>
    <x v="0"/>
    <x v="0"/>
    <x v="0"/>
    <x v="0"/>
    <x v="1"/>
    <s v="DK2_Medium"/>
    <x v="3"/>
    <x v="0"/>
    <x v="0"/>
    <s v="GNR_ST_MSW_BP_E-23"/>
    <n v="8"/>
    <n v="8.0000000000000002E-3"/>
  </r>
  <r>
    <x v="0"/>
    <x v="0"/>
    <x v="0"/>
    <x v="0"/>
    <x v="1"/>
    <s v="DK2_Medium"/>
    <x v="3"/>
    <x v="0"/>
    <x v="0"/>
    <s v="GNR_ST_MSW_BP_E-25"/>
    <n v="7.4"/>
    <n v="7.4000000000000003E-3"/>
  </r>
  <r>
    <x v="0"/>
    <x v="0"/>
    <x v="0"/>
    <x v="0"/>
    <x v="1"/>
    <s v="DK2_Medium"/>
    <x v="4"/>
    <x v="0"/>
    <x v="0"/>
    <s v="GNR_ENG_NGAS_BP_E-33"/>
    <n v="1"/>
    <n v="1E-3"/>
  </r>
  <r>
    <x v="0"/>
    <x v="0"/>
    <x v="0"/>
    <x v="0"/>
    <x v="1"/>
    <s v="DK2_Medium"/>
    <x v="4"/>
    <x v="0"/>
    <x v="0"/>
    <s v="GNR_ENG_NGAS_BP_E-35"/>
    <n v="3"/>
    <n v="3.0000000000000001E-3"/>
  </r>
  <r>
    <x v="0"/>
    <x v="0"/>
    <x v="0"/>
    <x v="0"/>
    <x v="1"/>
    <s v="DK2_Medium"/>
    <x v="4"/>
    <x v="0"/>
    <x v="0"/>
    <s v="GNR_ENG_NGAS_BP_E-38"/>
    <n v="0.97"/>
    <n v="9.7000000000000005E-4"/>
  </r>
  <r>
    <x v="0"/>
    <x v="0"/>
    <x v="0"/>
    <x v="0"/>
    <x v="1"/>
    <s v="DK2_Medium"/>
    <x v="4"/>
    <x v="0"/>
    <x v="0"/>
    <s v="GNR_ENG_NGAS_BP_E-39"/>
    <n v="11.26"/>
    <n v="1.1259999999999999E-2"/>
  </r>
  <r>
    <x v="0"/>
    <x v="0"/>
    <x v="0"/>
    <x v="0"/>
    <x v="1"/>
    <s v="DK2_Medium"/>
    <x v="4"/>
    <x v="0"/>
    <x v="0"/>
    <s v="GNR_ENG_NGAS_BP_E-41"/>
    <n v="3.1"/>
    <n v="3.0999999999999999E-3"/>
  </r>
  <r>
    <x v="0"/>
    <x v="0"/>
    <x v="0"/>
    <x v="0"/>
    <x v="1"/>
    <s v="DK2_Medium"/>
    <x v="4"/>
    <x v="0"/>
    <x v="0"/>
    <s v="GNR_ENG_NGAS_BP_E-42"/>
    <n v="2"/>
    <n v="2E-3"/>
  </r>
  <r>
    <x v="0"/>
    <x v="0"/>
    <x v="0"/>
    <x v="0"/>
    <x v="1"/>
    <s v="DK2_Medium"/>
    <x v="4"/>
    <x v="0"/>
    <x v="0"/>
    <s v="GNR_GT_NGAS_BP_E-42"/>
    <n v="59"/>
    <n v="5.8999999999999997E-2"/>
  </r>
  <r>
    <x v="0"/>
    <x v="0"/>
    <x v="0"/>
    <x v="0"/>
    <x v="1"/>
    <s v="DK2_Medium"/>
    <x v="4"/>
    <x v="0"/>
    <x v="0"/>
    <s v="GNR_GT_NGAS_BP_E-44"/>
    <n v="77"/>
    <n v="7.6999999999999999E-2"/>
  </r>
  <r>
    <x v="0"/>
    <x v="0"/>
    <x v="0"/>
    <x v="0"/>
    <x v="1"/>
    <s v="DK2_Medium"/>
    <x v="6"/>
    <x v="0"/>
    <x v="0"/>
    <s v="GNR_ST_WOODCHI_BP_E-27"/>
    <n v="0.33"/>
    <n v="3.3E-4"/>
  </r>
  <r>
    <x v="0"/>
    <x v="0"/>
    <x v="0"/>
    <x v="0"/>
    <x v="1"/>
    <s v="DK2_NoDH"/>
    <x v="0"/>
    <x v="0"/>
    <x v="0"/>
    <s v="GNR_ENG_BGAS_BP_E-31"/>
    <n v="0.1"/>
    <n v="1E-4"/>
  </r>
  <r>
    <x v="0"/>
    <x v="0"/>
    <x v="0"/>
    <x v="0"/>
    <x v="1"/>
    <s v="DK2_NoDH"/>
    <x v="0"/>
    <x v="0"/>
    <x v="0"/>
    <s v="GNR_ENG_BGAS_BP_E-32"/>
    <n v="0.11"/>
    <n v="1.1E-4"/>
  </r>
  <r>
    <x v="0"/>
    <x v="0"/>
    <x v="0"/>
    <x v="0"/>
    <x v="1"/>
    <s v="DK2_NoDH"/>
    <x v="0"/>
    <x v="0"/>
    <x v="0"/>
    <s v="GNR_ENG_BGAS_BP_E-33"/>
    <n v="0.23"/>
    <n v="2.3000000000000001E-4"/>
  </r>
  <r>
    <x v="0"/>
    <x v="0"/>
    <x v="0"/>
    <x v="0"/>
    <x v="1"/>
    <s v="DK2_NoDH"/>
    <x v="0"/>
    <x v="0"/>
    <x v="0"/>
    <s v="GNR_ENG_BGAS_BP_E-34"/>
    <n v="0.1"/>
    <n v="1E-4"/>
  </r>
  <r>
    <x v="0"/>
    <x v="0"/>
    <x v="0"/>
    <x v="0"/>
    <x v="1"/>
    <s v="DK2_NoDH"/>
    <x v="0"/>
    <x v="0"/>
    <x v="0"/>
    <s v="GNR_ENG_BGAS_BP_E-35"/>
    <n v="0.22"/>
    <n v="2.2000000000000001E-4"/>
  </r>
  <r>
    <x v="0"/>
    <x v="0"/>
    <x v="0"/>
    <x v="0"/>
    <x v="1"/>
    <s v="DK2_NoDH"/>
    <x v="0"/>
    <x v="0"/>
    <x v="0"/>
    <s v="GNR_ENG_BGAS_BP_E-36"/>
    <n v="6.3E-2"/>
    <n v="6.3E-5"/>
  </r>
  <r>
    <x v="0"/>
    <x v="0"/>
    <x v="0"/>
    <x v="0"/>
    <x v="1"/>
    <s v="DK2_NoDH"/>
    <x v="0"/>
    <x v="0"/>
    <x v="0"/>
    <s v="GNR_ENG_BGAS_BP_E-37"/>
    <n v="0.1"/>
    <n v="1E-4"/>
  </r>
  <r>
    <x v="0"/>
    <x v="0"/>
    <x v="0"/>
    <x v="0"/>
    <x v="1"/>
    <s v="DK2_NoDH"/>
    <x v="0"/>
    <x v="0"/>
    <x v="0"/>
    <s v="GNR_ENG_BGAS_BP_E-38"/>
    <n v="0.36299999999999999"/>
    <n v="3.6299999999999999E-4"/>
  </r>
  <r>
    <x v="0"/>
    <x v="0"/>
    <x v="0"/>
    <x v="0"/>
    <x v="1"/>
    <s v="DK2_NoDH"/>
    <x v="0"/>
    <x v="0"/>
    <x v="0"/>
    <s v="GNR_ENG_BGAS_BP_E-39"/>
    <n v="0.82"/>
    <n v="8.1999999999999998E-4"/>
  </r>
  <r>
    <x v="0"/>
    <x v="0"/>
    <x v="0"/>
    <x v="0"/>
    <x v="1"/>
    <s v="DK2_NoDH"/>
    <x v="0"/>
    <x v="0"/>
    <x v="0"/>
    <s v="GNR_ENG_BGAS_BP_E-40"/>
    <n v="0.04"/>
    <n v="4.0000000000000003E-5"/>
  </r>
  <r>
    <x v="0"/>
    <x v="0"/>
    <x v="0"/>
    <x v="0"/>
    <x v="1"/>
    <s v="DK2_NoDH"/>
    <x v="0"/>
    <x v="0"/>
    <x v="0"/>
    <s v="GNR_ENG_BGAS_BP_E-42"/>
    <n v="4.4000000000000004"/>
    <n v="4.4000000000000003E-3"/>
  </r>
  <r>
    <x v="0"/>
    <x v="0"/>
    <x v="0"/>
    <x v="0"/>
    <x v="1"/>
    <s v="DK2_NoDH"/>
    <x v="0"/>
    <x v="2"/>
    <x v="0"/>
    <s v="GNR_ENG_BGAS_CND_E-32"/>
    <n v="0.13"/>
    <n v="1.2999999999999999E-4"/>
  </r>
  <r>
    <x v="0"/>
    <x v="0"/>
    <x v="0"/>
    <x v="0"/>
    <x v="1"/>
    <s v="DK2_NoDH"/>
    <x v="0"/>
    <x v="2"/>
    <x v="0"/>
    <s v="GNR_ENG_BGAS_CND_E-35"/>
    <n v="0.31"/>
    <n v="3.1E-4"/>
  </r>
  <r>
    <x v="0"/>
    <x v="0"/>
    <x v="0"/>
    <x v="0"/>
    <x v="1"/>
    <s v="DK2_NoDH"/>
    <x v="2"/>
    <x v="0"/>
    <x v="0"/>
    <s v="GNR_ENG_LIGHTOIL_BP_E-37"/>
    <n v="16"/>
    <n v="1.6E-2"/>
  </r>
  <r>
    <x v="0"/>
    <x v="0"/>
    <x v="0"/>
    <x v="0"/>
    <x v="1"/>
    <s v="DK2_NoDH"/>
    <x v="2"/>
    <x v="0"/>
    <x v="0"/>
    <s v="GNR_ENG_LIGHTOIL_BP_E-39"/>
    <n v="7.8E-2"/>
    <n v="7.7999999999999999E-5"/>
  </r>
  <r>
    <x v="0"/>
    <x v="0"/>
    <x v="0"/>
    <x v="0"/>
    <x v="1"/>
    <s v="DK2_NoDH"/>
    <x v="2"/>
    <x v="2"/>
    <x v="0"/>
    <s v="GNR_ENG_LIGHTOIL_CND_E-37"/>
    <n v="20"/>
    <n v="0.02"/>
  </r>
  <r>
    <x v="0"/>
    <x v="0"/>
    <x v="0"/>
    <x v="0"/>
    <x v="1"/>
    <s v="DK2_NoDH"/>
    <x v="4"/>
    <x v="0"/>
    <x v="0"/>
    <s v="GNR_ENG_NGAS_BP_E-33"/>
    <n v="1.6"/>
    <n v="1.6000000000000001E-3"/>
  </r>
  <r>
    <x v="0"/>
    <x v="0"/>
    <x v="0"/>
    <x v="0"/>
    <x v="1"/>
    <s v="DK2_NoDH"/>
    <x v="4"/>
    <x v="0"/>
    <x v="0"/>
    <s v="GNR_ENG_NGAS_BP_E-34"/>
    <n v="6.32"/>
    <n v="6.3200000000000001E-3"/>
  </r>
  <r>
    <x v="0"/>
    <x v="0"/>
    <x v="0"/>
    <x v="0"/>
    <x v="1"/>
    <s v="DK2_NoDH"/>
    <x v="4"/>
    <x v="0"/>
    <x v="0"/>
    <s v="GNR_ENG_NGAS_BP_E-35"/>
    <n v="5.22"/>
    <n v="5.2199999999999998E-3"/>
  </r>
  <r>
    <x v="0"/>
    <x v="0"/>
    <x v="0"/>
    <x v="0"/>
    <x v="1"/>
    <s v="DK2_NoDH"/>
    <x v="4"/>
    <x v="0"/>
    <x v="0"/>
    <s v="GNR_ENG_NGAS_BP_E-36"/>
    <n v="3.53"/>
    <n v="3.5300000000000002E-3"/>
  </r>
  <r>
    <x v="0"/>
    <x v="0"/>
    <x v="0"/>
    <x v="0"/>
    <x v="1"/>
    <s v="DK2_NoDH"/>
    <x v="4"/>
    <x v="0"/>
    <x v="0"/>
    <s v="GNR_ENG_NGAS_BP_E-37"/>
    <n v="2.82"/>
    <n v="2.82E-3"/>
  </r>
  <r>
    <x v="0"/>
    <x v="0"/>
    <x v="0"/>
    <x v="0"/>
    <x v="1"/>
    <s v="DK2_NoDH"/>
    <x v="4"/>
    <x v="0"/>
    <x v="0"/>
    <s v="GNR_ENG_NGAS_BP_E-38"/>
    <n v="3.76"/>
    <n v="3.7599999999999999E-3"/>
  </r>
  <r>
    <x v="0"/>
    <x v="0"/>
    <x v="0"/>
    <x v="0"/>
    <x v="1"/>
    <s v="DK2_NoDH"/>
    <x v="4"/>
    <x v="0"/>
    <x v="0"/>
    <s v="GNR_ENG_NGAS_BP_E-39"/>
    <n v="8.15"/>
    <n v="8.1499999999999993E-3"/>
  </r>
  <r>
    <x v="0"/>
    <x v="0"/>
    <x v="0"/>
    <x v="0"/>
    <x v="1"/>
    <s v="DK2_NoDH"/>
    <x v="4"/>
    <x v="0"/>
    <x v="0"/>
    <s v="GNR_ENG_NGAS_BP_E-40"/>
    <n v="8.0299999999999994"/>
    <n v="8.0300000000000007E-3"/>
  </r>
  <r>
    <x v="0"/>
    <x v="0"/>
    <x v="0"/>
    <x v="0"/>
    <x v="1"/>
    <s v="DK2_NoDH"/>
    <x v="4"/>
    <x v="0"/>
    <x v="0"/>
    <s v="GNR_ENG_NGAS_BP_E-41"/>
    <n v="16.46"/>
    <n v="1.6459999999999999E-2"/>
  </r>
  <r>
    <x v="0"/>
    <x v="0"/>
    <x v="0"/>
    <x v="0"/>
    <x v="1"/>
    <s v="DK2_NoDH"/>
    <x v="4"/>
    <x v="0"/>
    <x v="0"/>
    <s v="GNR_ENG_NGAS_BP_E-46"/>
    <n v="9.44"/>
    <n v="9.4400000000000005E-3"/>
  </r>
  <r>
    <x v="0"/>
    <x v="0"/>
    <x v="0"/>
    <x v="0"/>
    <x v="1"/>
    <s v="DK2_NoDH"/>
    <x v="4"/>
    <x v="0"/>
    <x v="0"/>
    <s v="GNR_GT_NGAS_BP_E-28"/>
    <n v="4.9000000000000004"/>
    <n v="4.8999999999999998E-3"/>
  </r>
  <r>
    <x v="0"/>
    <x v="0"/>
    <x v="0"/>
    <x v="0"/>
    <x v="1"/>
    <s v="DK2_NoDH"/>
    <x v="4"/>
    <x v="0"/>
    <x v="0"/>
    <s v="GNR_ST_NGAS_BP_E-39"/>
    <n v="5.89"/>
    <n v="5.8900000000000003E-3"/>
  </r>
  <r>
    <x v="0"/>
    <x v="0"/>
    <x v="0"/>
    <x v="0"/>
    <x v="1"/>
    <s v="DK2_NoDH"/>
    <x v="8"/>
    <x v="3"/>
    <x v="0"/>
    <s v="GNR_PV_SUN"/>
    <n v="265.48035599999599"/>
    <n v="0.26548035599999598"/>
  </r>
  <r>
    <x v="0"/>
    <x v="0"/>
    <x v="0"/>
    <x v="0"/>
    <x v="1"/>
    <s v="DK2_NoDH"/>
    <x v="9"/>
    <x v="4"/>
    <x v="0"/>
    <s v="GNR_ROR_WTR"/>
    <n v="1.4999999999999999E-2"/>
    <n v="1.5E-5"/>
  </r>
  <r>
    <x v="0"/>
    <x v="0"/>
    <x v="0"/>
    <x v="0"/>
    <x v="1"/>
    <s v="DK2_NoDH"/>
    <x v="10"/>
    <x v="5"/>
    <x v="0"/>
    <s v="GNR_WT_WIND_ONS"/>
    <n v="632.47249999999804"/>
    <n v="0.63247249999999799"/>
  </r>
  <r>
    <x v="0"/>
    <x v="0"/>
    <x v="0"/>
    <x v="0"/>
    <x v="1"/>
    <s v="DK2_Offshore"/>
    <x v="10"/>
    <x v="5"/>
    <x v="0"/>
    <s v="GNR_WT_WIND_OFF"/>
    <n v="444.400000000001"/>
    <n v="0.44440000000000102"/>
  </r>
  <r>
    <x v="0"/>
    <x v="0"/>
    <x v="0"/>
    <x v="0"/>
    <x v="1"/>
    <s v="DK2_Rural"/>
    <x v="0"/>
    <x v="0"/>
    <x v="0"/>
    <s v="GNR_ENG_BGAS_BP_E-34"/>
    <n v="0.76"/>
    <n v="7.6000000000000004E-4"/>
  </r>
  <r>
    <x v="0"/>
    <x v="0"/>
    <x v="0"/>
    <x v="0"/>
    <x v="1"/>
    <s v="DK2_Rural"/>
    <x v="0"/>
    <x v="0"/>
    <x v="0"/>
    <s v="GNR_ENG_BGAS_BP_E-39"/>
    <n v="1.01"/>
    <n v="1.01E-3"/>
  </r>
  <r>
    <x v="0"/>
    <x v="0"/>
    <x v="0"/>
    <x v="0"/>
    <x v="1"/>
    <s v="DK2_Rural"/>
    <x v="0"/>
    <x v="0"/>
    <x v="0"/>
    <s v="GNR_ENG_BGAS_BP_E-40"/>
    <n v="0.53"/>
    <n v="5.2999999999999998E-4"/>
  </r>
  <r>
    <x v="0"/>
    <x v="0"/>
    <x v="0"/>
    <x v="0"/>
    <x v="1"/>
    <s v="DK2_Rural"/>
    <x v="0"/>
    <x v="0"/>
    <x v="0"/>
    <s v="GNR_ENG_BGAS_BP_E-41"/>
    <n v="2"/>
    <n v="2E-3"/>
  </r>
  <r>
    <x v="0"/>
    <x v="0"/>
    <x v="0"/>
    <x v="0"/>
    <x v="1"/>
    <s v="DK2_Rural"/>
    <x v="0"/>
    <x v="0"/>
    <x v="0"/>
    <s v="GNR_ENG_BGAS_BP_E-42"/>
    <n v="5.734"/>
    <n v="5.7340000000000004E-3"/>
  </r>
  <r>
    <x v="0"/>
    <x v="0"/>
    <x v="0"/>
    <x v="0"/>
    <x v="1"/>
    <s v="DK2_Rural"/>
    <x v="1"/>
    <x v="0"/>
    <x v="0"/>
    <s v="GNR_ST_COAL_BP_E-35"/>
    <n v="37"/>
    <n v="3.6999999999999998E-2"/>
  </r>
  <r>
    <x v="0"/>
    <x v="0"/>
    <x v="0"/>
    <x v="0"/>
    <x v="1"/>
    <s v="DK2_Rural"/>
    <x v="7"/>
    <x v="2"/>
    <x v="0"/>
    <s v="GNR_ENG_FUELOIL_CND_E-42"/>
    <n v="0.2"/>
    <n v="2.0000000000000001E-4"/>
  </r>
  <r>
    <x v="0"/>
    <x v="0"/>
    <x v="0"/>
    <x v="0"/>
    <x v="1"/>
    <s v="DK2_Rural"/>
    <x v="7"/>
    <x v="2"/>
    <x v="0"/>
    <s v="GNR_ST_FUELOIL_CND_E-32"/>
    <n v="27.5"/>
    <n v="2.75E-2"/>
  </r>
  <r>
    <x v="0"/>
    <x v="0"/>
    <x v="0"/>
    <x v="0"/>
    <x v="1"/>
    <s v="DK2_Rural"/>
    <x v="2"/>
    <x v="0"/>
    <x v="0"/>
    <s v="GNR_ENG_LIGHTOIL_BP_E-43"/>
    <n v="0.50700000000000001"/>
    <n v="5.0699999999999996E-4"/>
  </r>
  <r>
    <x v="0"/>
    <x v="0"/>
    <x v="0"/>
    <x v="0"/>
    <x v="1"/>
    <s v="DK2_Rural"/>
    <x v="2"/>
    <x v="2"/>
    <x v="0"/>
    <s v="GNR_ENG_LIGHTOIL_CND_E-37"/>
    <n v="15"/>
    <n v="1.4999999999999999E-2"/>
  </r>
  <r>
    <x v="0"/>
    <x v="0"/>
    <x v="0"/>
    <x v="0"/>
    <x v="1"/>
    <s v="DK2_Rural"/>
    <x v="2"/>
    <x v="2"/>
    <x v="0"/>
    <s v="GNR_ENG_LIGHTOIL_CND_E-39"/>
    <n v="19.600000000000001"/>
    <n v="1.9599999999999999E-2"/>
  </r>
  <r>
    <x v="0"/>
    <x v="0"/>
    <x v="0"/>
    <x v="0"/>
    <x v="1"/>
    <s v="DK2_Rural"/>
    <x v="2"/>
    <x v="2"/>
    <x v="0"/>
    <s v="GNR_ENG_LIGHTOIL_CND_E-41"/>
    <n v="0.28000000000000003"/>
    <n v="2.7999999999999998E-4"/>
  </r>
  <r>
    <x v="0"/>
    <x v="0"/>
    <x v="0"/>
    <x v="0"/>
    <x v="1"/>
    <s v="DK2_Rural"/>
    <x v="2"/>
    <x v="2"/>
    <x v="0"/>
    <s v="GNR_ENG_LIGHTOIL_CND_E-43"/>
    <n v="0.12"/>
    <n v="1.2E-4"/>
  </r>
  <r>
    <x v="0"/>
    <x v="0"/>
    <x v="0"/>
    <x v="0"/>
    <x v="1"/>
    <s v="DK2_Rural"/>
    <x v="2"/>
    <x v="2"/>
    <x v="0"/>
    <s v="GNR_GT_LIGHTOIL_CND_E-27"/>
    <n v="70"/>
    <n v="7.0000000000000007E-2"/>
  </r>
  <r>
    <x v="0"/>
    <x v="0"/>
    <x v="0"/>
    <x v="0"/>
    <x v="1"/>
    <s v="DK2_Rural"/>
    <x v="4"/>
    <x v="0"/>
    <x v="0"/>
    <s v="GNR_ENG_NGAS_BP_E-33"/>
    <n v="6.87"/>
    <n v="6.8700000000000002E-3"/>
  </r>
  <r>
    <x v="0"/>
    <x v="0"/>
    <x v="0"/>
    <x v="0"/>
    <x v="1"/>
    <s v="DK2_Rural"/>
    <x v="4"/>
    <x v="0"/>
    <x v="0"/>
    <s v="GNR_ENG_NGAS_BP_E-34"/>
    <n v="3.97"/>
    <n v="3.9699999999999996E-3"/>
  </r>
  <r>
    <x v="0"/>
    <x v="0"/>
    <x v="0"/>
    <x v="0"/>
    <x v="1"/>
    <s v="DK2_Rural"/>
    <x v="4"/>
    <x v="0"/>
    <x v="0"/>
    <s v="GNR_ENG_NGAS_BP_E-35"/>
    <n v="7.29"/>
    <n v="7.2899999999999996E-3"/>
  </r>
  <r>
    <x v="0"/>
    <x v="0"/>
    <x v="0"/>
    <x v="0"/>
    <x v="1"/>
    <s v="DK2_Rural"/>
    <x v="4"/>
    <x v="0"/>
    <x v="0"/>
    <s v="GNR_ENG_NGAS_BP_E-36"/>
    <n v="1.3149999999999999"/>
    <n v="1.315E-3"/>
  </r>
  <r>
    <x v="0"/>
    <x v="0"/>
    <x v="0"/>
    <x v="0"/>
    <x v="1"/>
    <s v="DK2_Rural"/>
    <x v="4"/>
    <x v="0"/>
    <x v="0"/>
    <s v="GNR_ENG_NGAS_BP_E-37"/>
    <n v="1.81"/>
    <n v="1.81E-3"/>
  </r>
  <r>
    <x v="0"/>
    <x v="0"/>
    <x v="0"/>
    <x v="0"/>
    <x v="1"/>
    <s v="DK2_Rural"/>
    <x v="4"/>
    <x v="0"/>
    <x v="0"/>
    <s v="GNR_ENG_NGAS_BP_E-38"/>
    <n v="3.1850000000000001"/>
    <n v="3.1849999999999999E-3"/>
  </r>
  <r>
    <x v="0"/>
    <x v="0"/>
    <x v="0"/>
    <x v="0"/>
    <x v="1"/>
    <s v="DK2_Rural"/>
    <x v="4"/>
    <x v="0"/>
    <x v="0"/>
    <s v="GNR_ENG_NGAS_BP_E-39"/>
    <n v="26.1"/>
    <n v="2.6100000000000002E-2"/>
  </r>
  <r>
    <x v="0"/>
    <x v="0"/>
    <x v="0"/>
    <x v="0"/>
    <x v="1"/>
    <s v="DK2_Rural"/>
    <x v="4"/>
    <x v="0"/>
    <x v="0"/>
    <s v="GNR_ENG_NGAS_BP_E-40"/>
    <n v="26.3"/>
    <n v="2.63E-2"/>
  </r>
  <r>
    <x v="0"/>
    <x v="0"/>
    <x v="0"/>
    <x v="0"/>
    <x v="1"/>
    <s v="DK2_Rural"/>
    <x v="4"/>
    <x v="0"/>
    <x v="0"/>
    <s v="GNR_ENG_NGAS_BP_E-41"/>
    <n v="5.4359999999999999"/>
    <n v="5.4359999999999999E-3"/>
  </r>
  <r>
    <x v="0"/>
    <x v="0"/>
    <x v="0"/>
    <x v="0"/>
    <x v="1"/>
    <s v="DK2_Rural"/>
    <x v="4"/>
    <x v="0"/>
    <x v="0"/>
    <s v="GNR_ENG_NGAS_BP_E-42"/>
    <n v="1.52"/>
    <n v="1.5200000000000001E-3"/>
  </r>
  <r>
    <x v="0"/>
    <x v="0"/>
    <x v="0"/>
    <x v="0"/>
    <x v="1"/>
    <s v="DK2_Rural"/>
    <x v="4"/>
    <x v="0"/>
    <x v="0"/>
    <s v="GNR_ENG_NGAS_BP_E-43"/>
    <n v="2.4769999999999999"/>
    <n v="2.477E-3"/>
  </r>
  <r>
    <x v="0"/>
    <x v="0"/>
    <x v="0"/>
    <x v="0"/>
    <x v="1"/>
    <s v="DK2_Rural"/>
    <x v="4"/>
    <x v="0"/>
    <x v="0"/>
    <s v="GNR_ENG_NGAS_BP_E-45"/>
    <n v="0.5"/>
    <n v="5.0000000000000001E-4"/>
  </r>
  <r>
    <x v="0"/>
    <x v="0"/>
    <x v="0"/>
    <x v="0"/>
    <x v="1"/>
    <s v="DK2_Rural"/>
    <x v="4"/>
    <x v="0"/>
    <x v="0"/>
    <s v="GNR_ENG_NGAS_BP_E-46"/>
    <n v="0.55000000000000004"/>
    <n v="5.5000000000000003E-4"/>
  </r>
  <r>
    <x v="0"/>
    <x v="0"/>
    <x v="0"/>
    <x v="0"/>
    <x v="1"/>
    <s v="DK2_Rural"/>
    <x v="5"/>
    <x v="0"/>
    <x v="0"/>
    <s v="GNR_ST_STRW_BP_E-24"/>
    <n v="5"/>
    <n v="5.0000000000000001E-3"/>
  </r>
  <r>
    <x v="0"/>
    <x v="0"/>
    <x v="0"/>
    <x v="0"/>
    <x v="1"/>
    <s v="DK2_Rural"/>
    <x v="5"/>
    <x v="0"/>
    <x v="0"/>
    <s v="GNR_ST_STRW_BP_E-27"/>
    <n v="9.98"/>
    <n v="9.9799999999999993E-3"/>
  </r>
  <r>
    <x v="0"/>
    <x v="0"/>
    <x v="0"/>
    <x v="0"/>
    <x v="1"/>
    <s v="DK2_Rural"/>
    <x v="5"/>
    <x v="0"/>
    <x v="0"/>
    <s v="GNR_ST_STRW_BP_E-28"/>
    <n v="11.5"/>
    <n v="1.15E-2"/>
  </r>
  <r>
    <x v="0"/>
    <x v="0"/>
    <x v="0"/>
    <x v="0"/>
    <x v="1"/>
    <s v="DK2_Small"/>
    <x v="4"/>
    <x v="0"/>
    <x v="0"/>
    <s v="GNR_ENG_NGAS_BP_E-46"/>
    <n v="38.5"/>
    <n v="3.85E-2"/>
  </r>
  <r>
    <x v="0"/>
    <x v="0"/>
    <x v="0"/>
    <x v="1"/>
    <x v="2"/>
    <s v="EE_Enefit"/>
    <x v="12"/>
    <x v="2"/>
    <x v="0"/>
    <s v="ENEFIT_ST_RETORT-GAS_CND"/>
    <n v="35"/>
    <n v="3.5000000000000003E-2"/>
  </r>
  <r>
    <x v="0"/>
    <x v="0"/>
    <x v="0"/>
    <x v="1"/>
    <x v="2"/>
    <s v="EE_Industry"/>
    <x v="0"/>
    <x v="1"/>
    <x v="0"/>
    <s v="GNR_ST_BGAS_EXT_E-38"/>
    <n v="0.1"/>
    <n v="1E-4"/>
  </r>
  <r>
    <x v="0"/>
    <x v="0"/>
    <x v="0"/>
    <x v="1"/>
    <x v="2"/>
    <s v="EE_Industry"/>
    <x v="12"/>
    <x v="1"/>
    <x v="0"/>
    <s v="GNR_ENG_RETORT-GAS_E-44"/>
    <n v="95"/>
    <n v="9.5000000000000001E-2"/>
  </r>
  <r>
    <x v="0"/>
    <x v="0"/>
    <x v="0"/>
    <x v="1"/>
    <x v="2"/>
    <s v="EE_Industry"/>
    <x v="13"/>
    <x v="0"/>
    <x v="0"/>
    <s v="IMAVERE_ST_WOOD_BP"/>
    <n v="10"/>
    <n v="0.01"/>
  </r>
  <r>
    <x v="0"/>
    <x v="0"/>
    <x v="0"/>
    <x v="1"/>
    <x v="2"/>
    <s v="EE_Industry"/>
    <x v="13"/>
    <x v="0"/>
    <x v="0"/>
    <s v="OSULA_ST_WOOD_BP"/>
    <n v="10"/>
    <n v="0.01"/>
  </r>
  <r>
    <x v="0"/>
    <x v="0"/>
    <x v="0"/>
    <x v="1"/>
    <x v="2"/>
    <s v="EE_Industry"/>
    <x v="14"/>
    <x v="0"/>
    <x v="0"/>
    <s v="GNR_ST_WOODWST_BP_E-53"/>
    <n v="13"/>
    <n v="1.2999999999999999E-2"/>
  </r>
  <r>
    <x v="0"/>
    <x v="0"/>
    <x v="0"/>
    <x v="1"/>
    <x v="2"/>
    <s v="EE_Kohtla_Jarve"/>
    <x v="4"/>
    <x v="1"/>
    <x v="0"/>
    <s v="GNR_ENG_NGAS_EXT_E-44"/>
    <n v="16"/>
    <n v="1.6E-2"/>
  </r>
  <r>
    <x v="0"/>
    <x v="0"/>
    <x v="0"/>
    <x v="1"/>
    <x v="2"/>
    <s v="EE_Narva"/>
    <x v="15"/>
    <x v="2"/>
    <x v="0"/>
    <s v="AUVERE_ST_SHALE_CND"/>
    <n v="274"/>
    <n v="0.27400000000000002"/>
  </r>
  <r>
    <x v="0"/>
    <x v="0"/>
    <x v="0"/>
    <x v="1"/>
    <x v="2"/>
    <s v="EE_Narva"/>
    <x v="15"/>
    <x v="2"/>
    <x v="0"/>
    <s v="NARVA-12_ST_SHALE_CND"/>
    <n v="160"/>
    <n v="0.16"/>
  </r>
  <r>
    <x v="0"/>
    <x v="0"/>
    <x v="0"/>
    <x v="1"/>
    <x v="2"/>
    <s v="EE_Narva"/>
    <x v="15"/>
    <x v="2"/>
    <x v="0"/>
    <s v="NARVA-1_ST_SHALE_CND"/>
    <n v="167"/>
    <n v="0.16700000000000001"/>
  </r>
  <r>
    <x v="0"/>
    <x v="0"/>
    <x v="0"/>
    <x v="1"/>
    <x v="2"/>
    <s v="EE_Narva"/>
    <x v="15"/>
    <x v="2"/>
    <x v="0"/>
    <s v="NARVA-2_ST_SHALE_CND"/>
    <n v="167"/>
    <n v="0.16700000000000001"/>
  </r>
  <r>
    <x v="0"/>
    <x v="0"/>
    <x v="0"/>
    <x v="1"/>
    <x v="2"/>
    <s v="EE_Narva"/>
    <x v="15"/>
    <x v="2"/>
    <x v="0"/>
    <s v="NARVA-3_ST_SHALE_CND"/>
    <n v="164"/>
    <n v="0.16400000000000001"/>
  </r>
  <r>
    <x v="0"/>
    <x v="0"/>
    <x v="0"/>
    <x v="1"/>
    <x v="2"/>
    <s v="EE_Narva"/>
    <x v="15"/>
    <x v="2"/>
    <x v="0"/>
    <s v="NARVA-4_ST_SHALE_CND"/>
    <n v="164"/>
    <n v="0.16400000000000001"/>
  </r>
  <r>
    <x v="0"/>
    <x v="0"/>
    <x v="0"/>
    <x v="1"/>
    <x v="2"/>
    <s v="EE_Narva"/>
    <x v="15"/>
    <x v="2"/>
    <x v="0"/>
    <s v="NARVA-5_ST_SHALE_CND"/>
    <n v="173"/>
    <n v="0.17299999999999999"/>
  </r>
  <r>
    <x v="0"/>
    <x v="0"/>
    <x v="0"/>
    <x v="1"/>
    <x v="2"/>
    <s v="EE_Narva"/>
    <x v="15"/>
    <x v="2"/>
    <x v="0"/>
    <s v="NARVA-6_ST_SHALE_CND"/>
    <n v="173"/>
    <n v="0.17299999999999999"/>
  </r>
  <r>
    <x v="0"/>
    <x v="0"/>
    <x v="0"/>
    <x v="1"/>
    <x v="2"/>
    <s v="EE_Narva"/>
    <x v="15"/>
    <x v="2"/>
    <x v="0"/>
    <s v="NARVA-7_ST_SHALE_CND"/>
    <n v="167"/>
    <n v="0.16700000000000001"/>
  </r>
  <r>
    <x v="0"/>
    <x v="0"/>
    <x v="0"/>
    <x v="1"/>
    <x v="2"/>
    <s v="EE_Narva"/>
    <x v="15"/>
    <x v="2"/>
    <x v="0"/>
    <s v="NARVA-8_ST_SHALE_CND"/>
    <n v="194"/>
    <n v="0.19400000000000001"/>
  </r>
  <r>
    <x v="0"/>
    <x v="0"/>
    <x v="0"/>
    <x v="1"/>
    <x v="2"/>
    <s v="EE_Narva"/>
    <x v="15"/>
    <x v="1"/>
    <x v="0"/>
    <s v="NARVA-11_ST_SHALE_EXT"/>
    <n v="192"/>
    <n v="0.192"/>
  </r>
  <r>
    <x v="0"/>
    <x v="0"/>
    <x v="0"/>
    <x v="1"/>
    <x v="2"/>
    <s v="EE_Parnu"/>
    <x v="0"/>
    <x v="1"/>
    <x v="0"/>
    <s v="GNR_ST_BGAS_EXT_E-38"/>
    <n v="0.1"/>
    <n v="1E-4"/>
  </r>
  <r>
    <x v="0"/>
    <x v="0"/>
    <x v="0"/>
    <x v="1"/>
    <x v="2"/>
    <s v="EE_Parnu"/>
    <x v="13"/>
    <x v="0"/>
    <x v="0"/>
    <s v="PARNU-1_ST_WOOD_BP"/>
    <n v="22"/>
    <n v="2.1999999999999999E-2"/>
  </r>
  <r>
    <x v="0"/>
    <x v="0"/>
    <x v="0"/>
    <x v="1"/>
    <x v="2"/>
    <s v="EE_Rural"/>
    <x v="0"/>
    <x v="1"/>
    <x v="0"/>
    <s v="GNR_ST_BGAS_EXT_E-38"/>
    <n v="3.3"/>
    <n v="3.3E-3"/>
  </r>
  <r>
    <x v="0"/>
    <x v="0"/>
    <x v="0"/>
    <x v="1"/>
    <x v="2"/>
    <s v="EE_Rural"/>
    <x v="4"/>
    <x v="1"/>
    <x v="0"/>
    <s v="GNR_ENG_NGAS_EXT_E-44"/>
    <n v="1.2"/>
    <n v="1.1999999999999999E-3"/>
  </r>
  <r>
    <x v="0"/>
    <x v="0"/>
    <x v="0"/>
    <x v="1"/>
    <x v="2"/>
    <s v="EE_Rural"/>
    <x v="9"/>
    <x v="4"/>
    <x v="0"/>
    <s v="GNR_ROR_WTR"/>
    <n v="4"/>
    <n v="4.0000000000000001E-3"/>
  </r>
  <r>
    <x v="0"/>
    <x v="0"/>
    <x v="0"/>
    <x v="1"/>
    <x v="2"/>
    <s v="EE_Rural"/>
    <x v="10"/>
    <x v="5"/>
    <x v="0"/>
    <s v="GNR_WT_WIND_ONS"/>
    <n v="403"/>
    <n v="0.40300000000000002"/>
  </r>
  <r>
    <x v="0"/>
    <x v="0"/>
    <x v="0"/>
    <x v="1"/>
    <x v="2"/>
    <s v="EE_Rural"/>
    <x v="14"/>
    <x v="0"/>
    <x v="0"/>
    <s v="EBAVERE_ST_WOODWST_BP"/>
    <n v="10"/>
    <n v="0.01"/>
  </r>
  <r>
    <x v="0"/>
    <x v="0"/>
    <x v="0"/>
    <x v="1"/>
    <x v="2"/>
    <s v="EE_Sillamae"/>
    <x v="4"/>
    <x v="1"/>
    <x v="0"/>
    <s v="GNR_ENG_NGAS_EXT_E-44"/>
    <n v="10"/>
    <n v="0.01"/>
  </r>
  <r>
    <x v="0"/>
    <x v="0"/>
    <x v="0"/>
    <x v="1"/>
    <x v="2"/>
    <s v="EE_Sillamae"/>
    <x v="13"/>
    <x v="0"/>
    <x v="0"/>
    <s v="SILLAMAE_ST_WOOD_BP"/>
    <n v="5.8"/>
    <n v="5.7999999999999996E-3"/>
  </r>
  <r>
    <x v="0"/>
    <x v="0"/>
    <x v="0"/>
    <x v="1"/>
    <x v="2"/>
    <s v="EE_Tallinn"/>
    <x v="3"/>
    <x v="0"/>
    <x v="0"/>
    <s v="IRU_ST_MSW_BP"/>
    <n v="17"/>
    <n v="1.7000000000000001E-2"/>
  </r>
  <r>
    <x v="0"/>
    <x v="0"/>
    <x v="0"/>
    <x v="1"/>
    <x v="2"/>
    <s v="EE_Tallinn"/>
    <x v="4"/>
    <x v="0"/>
    <x v="0"/>
    <s v="IRU_ST_NGAS_BP"/>
    <n v="94"/>
    <n v="9.4E-2"/>
  </r>
  <r>
    <x v="0"/>
    <x v="0"/>
    <x v="0"/>
    <x v="1"/>
    <x v="2"/>
    <s v="EE_Tallinn"/>
    <x v="4"/>
    <x v="1"/>
    <x v="0"/>
    <s v="GNR_ENG_NGAS_EXT_E-44"/>
    <n v="1.5"/>
    <n v="1.5E-3"/>
  </r>
  <r>
    <x v="0"/>
    <x v="0"/>
    <x v="0"/>
    <x v="1"/>
    <x v="2"/>
    <s v="EE_Tallinn"/>
    <x v="13"/>
    <x v="0"/>
    <x v="0"/>
    <s v="MUSTAMAE_ST_WOOD_BP"/>
    <n v="10"/>
    <n v="0.01"/>
  </r>
  <r>
    <x v="0"/>
    <x v="0"/>
    <x v="0"/>
    <x v="1"/>
    <x v="2"/>
    <s v="EE_Tallinn"/>
    <x v="13"/>
    <x v="0"/>
    <x v="0"/>
    <s v="VAO-1_ST_WOOD_BP"/>
    <n v="25"/>
    <n v="2.5000000000000001E-2"/>
  </r>
  <r>
    <x v="0"/>
    <x v="0"/>
    <x v="0"/>
    <x v="1"/>
    <x v="2"/>
    <s v="EE_Tallinn"/>
    <x v="13"/>
    <x v="0"/>
    <x v="0"/>
    <s v="VAO-2_ST_WOOD_BP"/>
    <n v="21"/>
    <n v="2.1000000000000001E-2"/>
  </r>
  <r>
    <x v="0"/>
    <x v="0"/>
    <x v="0"/>
    <x v="1"/>
    <x v="2"/>
    <s v="EE_Tartu"/>
    <x v="13"/>
    <x v="0"/>
    <x v="0"/>
    <s v="TARTU-1_ST_WOOD_BP"/>
    <n v="22"/>
    <n v="2.1999999999999999E-2"/>
  </r>
  <r>
    <x v="0"/>
    <x v="0"/>
    <x v="0"/>
    <x v="1"/>
    <x v="2"/>
    <s v="EE_Urban"/>
    <x v="0"/>
    <x v="1"/>
    <x v="0"/>
    <s v="GNR_ST_BGAS_EXT_E-38"/>
    <n v="0.1"/>
    <n v="1E-4"/>
  </r>
  <r>
    <x v="0"/>
    <x v="0"/>
    <x v="0"/>
    <x v="1"/>
    <x v="2"/>
    <s v="EE_Urban"/>
    <x v="4"/>
    <x v="1"/>
    <x v="0"/>
    <s v="GNR_ENG_NGAS_EXT_E-44"/>
    <n v="0.9"/>
    <n v="8.9999999999999998E-4"/>
  </r>
  <r>
    <x v="0"/>
    <x v="0"/>
    <x v="0"/>
    <x v="1"/>
    <x v="2"/>
    <s v="EE_Urban"/>
    <x v="13"/>
    <x v="0"/>
    <x v="0"/>
    <s v="GNR_ST_WOOD_BP_E-53"/>
    <n v="12"/>
    <n v="1.2E-2"/>
  </r>
  <r>
    <x v="0"/>
    <x v="0"/>
    <x v="0"/>
    <x v="2"/>
    <x v="3"/>
    <s v="FIN_EL"/>
    <x v="1"/>
    <x v="1"/>
    <x v="0"/>
    <s v="GEXT_COAL_KYMIJARVI"/>
    <n v="148"/>
    <n v="0.14799999999999999"/>
  </r>
  <r>
    <x v="0"/>
    <x v="0"/>
    <x v="0"/>
    <x v="2"/>
    <x v="3"/>
    <s v="FIN_EL"/>
    <x v="4"/>
    <x v="0"/>
    <x v="0"/>
    <s v="GBPR_NATGAS_FINEL"/>
    <n v="81.2"/>
    <n v="8.1199999999999994E-2"/>
  </r>
  <r>
    <x v="0"/>
    <x v="0"/>
    <x v="0"/>
    <x v="2"/>
    <x v="3"/>
    <s v="FIN_EL"/>
    <x v="4"/>
    <x v="1"/>
    <x v="0"/>
    <s v="GEXT_NATGAS_MERTANIEMI"/>
    <n v="103"/>
    <n v="0.10299999999999999"/>
  </r>
  <r>
    <x v="0"/>
    <x v="0"/>
    <x v="0"/>
    <x v="2"/>
    <x v="3"/>
    <s v="FIN_EL"/>
    <x v="6"/>
    <x v="0"/>
    <x v="0"/>
    <s v="GBPR_WOODCHIPS"/>
    <n v="47"/>
    <n v="4.7E-2"/>
  </r>
  <r>
    <x v="0"/>
    <x v="0"/>
    <x v="0"/>
    <x v="2"/>
    <x v="3"/>
    <s v="FIN_EL"/>
    <x v="14"/>
    <x v="0"/>
    <x v="0"/>
    <s v="GBPR_WOODWASTE_FINEL"/>
    <n v="110"/>
    <n v="0.11"/>
  </r>
  <r>
    <x v="0"/>
    <x v="0"/>
    <x v="0"/>
    <x v="2"/>
    <x v="3"/>
    <s v="FIN_ESPOO"/>
    <x v="1"/>
    <x v="0"/>
    <x v="0"/>
    <s v="GBPR_COAL_SUOMENOJA"/>
    <n v="75"/>
    <n v="7.4999999999999997E-2"/>
  </r>
  <r>
    <x v="0"/>
    <x v="0"/>
    <x v="0"/>
    <x v="2"/>
    <x v="3"/>
    <s v="FIN_ESPOO"/>
    <x v="4"/>
    <x v="0"/>
    <x v="0"/>
    <s v="GBPR_NATGAS_SUOMENOJA"/>
    <n v="49"/>
    <n v="4.9000000000000002E-2"/>
  </r>
  <r>
    <x v="0"/>
    <x v="0"/>
    <x v="0"/>
    <x v="2"/>
    <x v="3"/>
    <s v="FIN_ESPOO"/>
    <x v="4"/>
    <x v="0"/>
    <x v="0"/>
    <s v="GBPR_NATGAS_SUOMENOJA2"/>
    <n v="234"/>
    <n v="0.23400000000000001"/>
  </r>
  <r>
    <x v="0"/>
    <x v="0"/>
    <x v="0"/>
    <x v="2"/>
    <x v="3"/>
    <s v="FIN_GAS"/>
    <x v="4"/>
    <x v="0"/>
    <x v="0"/>
    <s v="GBPR_NATGAS_GASAREA"/>
    <n v="59"/>
    <n v="5.8999999999999997E-2"/>
  </r>
  <r>
    <x v="0"/>
    <x v="0"/>
    <x v="0"/>
    <x v="2"/>
    <x v="3"/>
    <s v="FIN_GAS"/>
    <x v="4"/>
    <x v="1"/>
    <x v="0"/>
    <s v="GEXT_NATGAS_NOKIA"/>
    <n v="70"/>
    <n v="7.0000000000000007E-2"/>
  </r>
  <r>
    <x v="0"/>
    <x v="0"/>
    <x v="0"/>
    <x v="2"/>
    <x v="3"/>
    <s v="FIN_HELS"/>
    <x v="1"/>
    <x v="0"/>
    <x v="0"/>
    <s v="GBPR_COAL_MARTINLAAKSO"/>
    <n v="140"/>
    <n v="0.14000000000000001"/>
  </r>
  <r>
    <x v="0"/>
    <x v="0"/>
    <x v="0"/>
    <x v="2"/>
    <x v="3"/>
    <s v="FIN_HELS"/>
    <x v="1"/>
    <x v="0"/>
    <x v="0"/>
    <s v="GBPR_COAL_SALMISAARI"/>
    <n v="160"/>
    <n v="0.16"/>
  </r>
  <r>
    <x v="0"/>
    <x v="0"/>
    <x v="0"/>
    <x v="2"/>
    <x v="3"/>
    <s v="FIN_HELS"/>
    <x v="4"/>
    <x v="0"/>
    <x v="0"/>
    <s v="GBPR_NATGAS_MARTINLAAKSOGT"/>
    <n v="58"/>
    <n v="5.8000000000000003E-2"/>
  </r>
  <r>
    <x v="0"/>
    <x v="0"/>
    <x v="0"/>
    <x v="2"/>
    <x v="3"/>
    <s v="FIN_HELS"/>
    <x v="4"/>
    <x v="0"/>
    <x v="0"/>
    <s v="GBPR_NATGAS_VOUSAARI"/>
    <n v="160"/>
    <n v="0.16"/>
  </r>
  <r>
    <x v="0"/>
    <x v="0"/>
    <x v="0"/>
    <x v="2"/>
    <x v="3"/>
    <s v="FIN_HELS"/>
    <x v="4"/>
    <x v="1"/>
    <x v="0"/>
    <s v="GEXT_NATGAS_VOUSAARI"/>
    <n v="470"/>
    <n v="0.47"/>
  </r>
  <r>
    <x v="0"/>
    <x v="0"/>
    <x v="0"/>
    <x v="2"/>
    <x v="3"/>
    <s v="FIN_HP"/>
    <x v="1"/>
    <x v="0"/>
    <x v="0"/>
    <s v="GBPR_COAL_NAANTALI"/>
    <n v="261"/>
    <n v="0.26100000000000001"/>
  </r>
  <r>
    <x v="0"/>
    <x v="0"/>
    <x v="0"/>
    <x v="2"/>
    <x v="3"/>
    <s v="FIN_OTHER"/>
    <x v="1"/>
    <x v="0"/>
    <x v="0"/>
    <s v="GBPR_COAL"/>
    <n v="2.2999999999999998"/>
    <n v="2.3E-3"/>
  </r>
  <r>
    <x v="0"/>
    <x v="0"/>
    <x v="0"/>
    <x v="2"/>
    <x v="3"/>
    <s v="FIN_OTHER"/>
    <x v="16"/>
    <x v="0"/>
    <x v="0"/>
    <s v="GBPR_HEAVYFUELOIL"/>
    <n v="51.8"/>
    <n v="5.1799999999999999E-2"/>
  </r>
  <r>
    <x v="0"/>
    <x v="0"/>
    <x v="0"/>
    <x v="2"/>
    <x v="3"/>
    <s v="FIN_OTHER"/>
    <x v="4"/>
    <x v="0"/>
    <x v="0"/>
    <s v="GBPR_NATGAS_100"/>
    <n v="198.6"/>
    <n v="0.1986"/>
  </r>
  <r>
    <x v="0"/>
    <x v="0"/>
    <x v="0"/>
    <x v="2"/>
    <x v="3"/>
    <s v="FIN_OTHER"/>
    <x v="17"/>
    <x v="0"/>
    <x v="0"/>
    <s v="GBPR_PEAT"/>
    <n v="521.4"/>
    <n v="0.52139999999999997"/>
  </r>
  <r>
    <x v="0"/>
    <x v="0"/>
    <x v="0"/>
    <x v="2"/>
    <x v="3"/>
    <s v="FIN_OTHER"/>
    <x v="17"/>
    <x v="1"/>
    <x v="0"/>
    <s v="GEXT_PEAT_KELJONLAHTI"/>
    <n v="189.7"/>
    <n v="0.18970000000000001"/>
  </r>
  <r>
    <x v="0"/>
    <x v="0"/>
    <x v="0"/>
    <x v="2"/>
    <x v="3"/>
    <s v="FIN_OTHER"/>
    <x v="17"/>
    <x v="1"/>
    <x v="0"/>
    <s v="GEXT_PEAT_SEVO"/>
    <n v="108"/>
    <n v="0.108"/>
  </r>
  <r>
    <x v="0"/>
    <x v="0"/>
    <x v="0"/>
    <x v="2"/>
    <x v="3"/>
    <s v="FIN_OTHER"/>
    <x v="17"/>
    <x v="1"/>
    <x v="0"/>
    <s v="GEXT_PEAT_TOPPILA"/>
    <n v="112"/>
    <n v="0.112"/>
  </r>
  <r>
    <x v="0"/>
    <x v="0"/>
    <x v="0"/>
    <x v="2"/>
    <x v="3"/>
    <s v="FIN_OTHER"/>
    <x v="6"/>
    <x v="0"/>
    <x v="0"/>
    <s v="GBPR_WOODCHIPS_FINOTHER"/>
    <n v="211.2"/>
    <n v="0.2112"/>
  </r>
  <r>
    <x v="0"/>
    <x v="0"/>
    <x v="0"/>
    <x v="2"/>
    <x v="3"/>
    <s v="FIN_OTHER"/>
    <x v="11"/>
    <x v="0"/>
    <x v="0"/>
    <s v="GBPR_WOODPELLETS"/>
    <n v="1.1000000000000001"/>
    <n v="1.1000000000000001E-3"/>
  </r>
  <r>
    <x v="0"/>
    <x v="0"/>
    <x v="0"/>
    <x v="2"/>
    <x v="3"/>
    <s v="FIN_OTHER"/>
    <x v="14"/>
    <x v="0"/>
    <x v="0"/>
    <s v="GBPR_WOODWASTE_FINOTHER"/>
    <n v="74.099999999999994"/>
    <n v="7.4099999999999999E-2"/>
  </r>
  <r>
    <x v="0"/>
    <x v="0"/>
    <x v="0"/>
    <x v="2"/>
    <x v="3"/>
    <s v="FIN_TAMP"/>
    <x v="4"/>
    <x v="1"/>
    <x v="0"/>
    <s v="GEXT_NATGAS_TAMPERE"/>
    <n v="336"/>
    <n v="0.33600000000000002"/>
  </r>
  <r>
    <x v="0"/>
    <x v="0"/>
    <x v="0"/>
    <x v="2"/>
    <x v="3"/>
    <s v="FinA"/>
    <x v="1"/>
    <x v="0"/>
    <x v="0"/>
    <s v="GBPR_COAL_IND"/>
    <n v="20"/>
    <n v="0.02"/>
  </r>
  <r>
    <x v="0"/>
    <x v="0"/>
    <x v="0"/>
    <x v="2"/>
    <x v="3"/>
    <s v="FinA"/>
    <x v="1"/>
    <x v="2"/>
    <x v="0"/>
    <s v="GCND_COAL3"/>
    <n v="565"/>
    <n v="0.56499999999999995"/>
  </r>
  <r>
    <x v="0"/>
    <x v="0"/>
    <x v="0"/>
    <x v="2"/>
    <x v="3"/>
    <s v="FinA"/>
    <x v="7"/>
    <x v="0"/>
    <x v="0"/>
    <s v="GBPR_FUELOIL_IND"/>
    <n v="60"/>
    <n v="0.06"/>
  </r>
  <r>
    <x v="0"/>
    <x v="0"/>
    <x v="0"/>
    <x v="2"/>
    <x v="3"/>
    <s v="FinA"/>
    <x v="7"/>
    <x v="2"/>
    <x v="0"/>
    <s v="Back-up-power"/>
    <n v="100000"/>
    <n v="100"/>
  </r>
  <r>
    <x v="0"/>
    <x v="0"/>
    <x v="0"/>
    <x v="2"/>
    <x v="3"/>
    <s v="FinA"/>
    <x v="7"/>
    <x v="2"/>
    <x v="0"/>
    <s v="GCND_FUELOIL1"/>
    <n v="446.765294592413"/>
    <n v="0.44676529459241299"/>
  </r>
  <r>
    <x v="0"/>
    <x v="0"/>
    <x v="0"/>
    <x v="2"/>
    <x v="3"/>
    <s v="FinA"/>
    <x v="7"/>
    <x v="2"/>
    <x v="0"/>
    <s v="GCND_FUELOIL2"/>
    <n v="446.765294592413"/>
    <n v="0.44676529459241299"/>
  </r>
  <r>
    <x v="0"/>
    <x v="0"/>
    <x v="0"/>
    <x v="2"/>
    <x v="3"/>
    <s v="FinA"/>
    <x v="7"/>
    <x v="2"/>
    <x v="0"/>
    <s v="GCND_FUELOIL3"/>
    <n v="446.765294592413"/>
    <n v="0.44676529459241299"/>
  </r>
  <r>
    <x v="0"/>
    <x v="0"/>
    <x v="0"/>
    <x v="2"/>
    <x v="3"/>
    <s v="FinA"/>
    <x v="4"/>
    <x v="0"/>
    <x v="0"/>
    <s v="GBPR_NATGAS_IND"/>
    <n v="369"/>
    <n v="0.36899999999999999"/>
  </r>
  <r>
    <x v="0"/>
    <x v="0"/>
    <x v="0"/>
    <x v="2"/>
    <x v="3"/>
    <s v="FinA"/>
    <x v="4"/>
    <x v="2"/>
    <x v="0"/>
    <s v="GCND_NATGAS1"/>
    <n v="4.3"/>
    <n v="4.3E-3"/>
  </r>
  <r>
    <x v="0"/>
    <x v="0"/>
    <x v="0"/>
    <x v="2"/>
    <x v="3"/>
    <s v="FinA"/>
    <x v="4"/>
    <x v="2"/>
    <x v="0"/>
    <s v="GCND_NATGAS2"/>
    <n v="14.3333333333333"/>
    <n v="1.43333333333333E-2"/>
  </r>
  <r>
    <x v="0"/>
    <x v="0"/>
    <x v="0"/>
    <x v="2"/>
    <x v="3"/>
    <s v="FinA"/>
    <x v="4"/>
    <x v="2"/>
    <x v="0"/>
    <s v="GCND_NATGAS3"/>
    <n v="14.3333333333333"/>
    <n v="1.43333333333333E-2"/>
  </r>
  <r>
    <x v="0"/>
    <x v="0"/>
    <x v="0"/>
    <x v="2"/>
    <x v="3"/>
    <s v="FinA"/>
    <x v="4"/>
    <x v="2"/>
    <x v="0"/>
    <s v="GCND_NATGAS4"/>
    <n v="6.6531056520870804"/>
    <n v="6.6531056520870799E-3"/>
  </r>
  <r>
    <x v="0"/>
    <x v="0"/>
    <x v="0"/>
    <x v="2"/>
    <x v="3"/>
    <s v="FinA"/>
    <x v="18"/>
    <x v="2"/>
    <x v="0"/>
    <s v="GCND_NUCLEAR"/>
    <n v="2752"/>
    <n v="2.7519999999999998"/>
  </r>
  <r>
    <x v="0"/>
    <x v="0"/>
    <x v="0"/>
    <x v="2"/>
    <x v="3"/>
    <s v="FinA"/>
    <x v="17"/>
    <x v="0"/>
    <x v="0"/>
    <s v="GBPR_PEAT_IND"/>
    <n v="634"/>
    <n v="0.63400000000000001"/>
  </r>
  <r>
    <x v="0"/>
    <x v="0"/>
    <x v="0"/>
    <x v="2"/>
    <x v="3"/>
    <s v="FinA"/>
    <x v="17"/>
    <x v="2"/>
    <x v="0"/>
    <s v="GCND_PEAT"/>
    <n v="163.49843260188101"/>
    <n v="0.16349843260188099"/>
  </r>
  <r>
    <x v="0"/>
    <x v="0"/>
    <x v="0"/>
    <x v="2"/>
    <x v="3"/>
    <s v="FinA"/>
    <x v="9"/>
    <x v="4"/>
    <x v="0"/>
    <s v="GNR_ROR_WTR"/>
    <n v="1673.1"/>
    <n v="1.6731"/>
  </r>
  <r>
    <x v="0"/>
    <x v="0"/>
    <x v="0"/>
    <x v="2"/>
    <x v="3"/>
    <s v="FinA"/>
    <x v="9"/>
    <x v="6"/>
    <x v="0"/>
    <s v="GNR_RES_WTR_NOPMP_MC-01"/>
    <n v="156.94999999999999"/>
    <n v="0.15695000000000001"/>
  </r>
  <r>
    <x v="0"/>
    <x v="0"/>
    <x v="0"/>
    <x v="2"/>
    <x v="3"/>
    <s v="FinA"/>
    <x v="9"/>
    <x v="6"/>
    <x v="0"/>
    <s v="GNR_RES_WTR_NOPMP_MC-02"/>
    <n v="156.94999999999999"/>
    <n v="0.15695000000000001"/>
  </r>
  <r>
    <x v="0"/>
    <x v="0"/>
    <x v="0"/>
    <x v="2"/>
    <x v="3"/>
    <s v="FinA"/>
    <x v="9"/>
    <x v="6"/>
    <x v="0"/>
    <s v="GNR_RES_WTR_NOPMP_MC-03"/>
    <n v="156.94999999999999"/>
    <n v="0.15695000000000001"/>
  </r>
  <r>
    <x v="0"/>
    <x v="0"/>
    <x v="0"/>
    <x v="2"/>
    <x v="3"/>
    <s v="FinA"/>
    <x v="9"/>
    <x v="6"/>
    <x v="0"/>
    <s v="GNR_RES_WTR_NOPMP_MC-04"/>
    <n v="156.94999999999999"/>
    <n v="0.15695000000000001"/>
  </r>
  <r>
    <x v="0"/>
    <x v="0"/>
    <x v="0"/>
    <x v="2"/>
    <x v="3"/>
    <s v="FinA"/>
    <x v="9"/>
    <x v="6"/>
    <x v="0"/>
    <s v="GNR_RES_WTR_NOPMP_MC-05"/>
    <n v="156.94999999999999"/>
    <n v="0.15695000000000001"/>
  </r>
  <r>
    <x v="0"/>
    <x v="0"/>
    <x v="0"/>
    <x v="2"/>
    <x v="3"/>
    <s v="FinA"/>
    <x v="9"/>
    <x v="6"/>
    <x v="0"/>
    <s v="GNR_RES_WTR_NOPMP_MC-06"/>
    <n v="156.94999999999999"/>
    <n v="0.15695000000000001"/>
  </r>
  <r>
    <x v="0"/>
    <x v="0"/>
    <x v="0"/>
    <x v="2"/>
    <x v="3"/>
    <s v="FinA"/>
    <x v="9"/>
    <x v="6"/>
    <x v="0"/>
    <s v="GNR_RES_WTR_NOPMP_MC-07"/>
    <n v="156.94999999999999"/>
    <n v="0.15695000000000001"/>
  </r>
  <r>
    <x v="0"/>
    <x v="0"/>
    <x v="0"/>
    <x v="2"/>
    <x v="3"/>
    <s v="FinA"/>
    <x v="9"/>
    <x v="6"/>
    <x v="0"/>
    <s v="GNR_RES_WTR_NOPMP_MC-08"/>
    <n v="156.94999999999999"/>
    <n v="0.15695000000000001"/>
  </r>
  <r>
    <x v="0"/>
    <x v="0"/>
    <x v="0"/>
    <x v="2"/>
    <x v="3"/>
    <s v="FinA"/>
    <x v="9"/>
    <x v="6"/>
    <x v="0"/>
    <s v="GNR_RES_WTR_NOPMP_MC-09"/>
    <n v="156.94999999999999"/>
    <n v="0.15695000000000001"/>
  </r>
  <r>
    <x v="0"/>
    <x v="0"/>
    <x v="0"/>
    <x v="2"/>
    <x v="3"/>
    <s v="FinA"/>
    <x v="9"/>
    <x v="6"/>
    <x v="0"/>
    <s v="GNR_RES_WTR_NOPMP_MC-10"/>
    <n v="156.94999999999999"/>
    <n v="0.15695000000000001"/>
  </r>
  <r>
    <x v="0"/>
    <x v="0"/>
    <x v="0"/>
    <x v="2"/>
    <x v="3"/>
    <s v="FinA"/>
    <x v="10"/>
    <x v="5"/>
    <x v="0"/>
    <s v="GNR_WT_WIND_ONS"/>
    <n v="1532.2550000000001"/>
    <n v="1.5322549999999999"/>
  </r>
  <r>
    <x v="0"/>
    <x v="0"/>
    <x v="0"/>
    <x v="2"/>
    <x v="3"/>
    <s v="FinA"/>
    <x v="13"/>
    <x v="0"/>
    <x v="0"/>
    <s v="GBPR_IND_BIO"/>
    <n v="300"/>
    <n v="0.3"/>
  </r>
  <r>
    <x v="0"/>
    <x v="0"/>
    <x v="0"/>
    <x v="2"/>
    <x v="3"/>
    <s v="FinA"/>
    <x v="13"/>
    <x v="0"/>
    <x v="0"/>
    <s v="GBPR_WOOD_IND"/>
    <n v="1847"/>
    <n v="1.847"/>
  </r>
  <r>
    <x v="0"/>
    <x v="0"/>
    <x v="0"/>
    <x v="2"/>
    <x v="3"/>
    <s v="FinA"/>
    <x v="13"/>
    <x v="2"/>
    <x v="0"/>
    <s v="GCND_COFIRING"/>
    <n v="325.375"/>
    <n v="0.32537500000000003"/>
  </r>
  <r>
    <x v="0"/>
    <x v="0"/>
    <x v="0"/>
    <x v="2"/>
    <x v="3"/>
    <s v="FinA"/>
    <x v="6"/>
    <x v="2"/>
    <x v="0"/>
    <s v="GCND_WOODCHIPS"/>
    <n v="5.4984326018808796"/>
    <n v="5.4984326018808804E-3"/>
  </r>
  <r>
    <x v="0"/>
    <x v="0"/>
    <x v="0"/>
    <x v="3"/>
    <x v="4"/>
    <s v="DE4-E_A"/>
    <x v="0"/>
    <x v="0"/>
    <x v="0"/>
    <s v="GNR_ENG_BGAS_BP_E-45"/>
    <n v="2.57"/>
    <n v="2.5699999999999998E-3"/>
  </r>
  <r>
    <x v="0"/>
    <x v="0"/>
    <x v="0"/>
    <x v="3"/>
    <x v="4"/>
    <s v="DE4-E_A"/>
    <x v="0"/>
    <x v="0"/>
    <x v="0"/>
    <s v="GNR_ST_BGAS_BP_E-38"/>
    <n v="230.4"/>
    <n v="0.23039999999999999"/>
  </r>
  <r>
    <x v="0"/>
    <x v="0"/>
    <x v="0"/>
    <x v="3"/>
    <x v="4"/>
    <s v="DE4-E_A"/>
    <x v="0"/>
    <x v="2"/>
    <x v="0"/>
    <s v="GNR_ENG_BGAS_CND_E-44"/>
    <n v="1827.61"/>
    <n v="1.82761"/>
  </r>
  <r>
    <x v="0"/>
    <x v="0"/>
    <x v="0"/>
    <x v="3"/>
    <x v="4"/>
    <s v="DE4-E_A"/>
    <x v="0"/>
    <x v="2"/>
    <x v="0"/>
    <s v="GNR_ST_BGAS_CND_E-38"/>
    <n v="73.8"/>
    <n v="7.3800000000000004E-2"/>
  </r>
  <r>
    <x v="0"/>
    <x v="0"/>
    <x v="0"/>
    <x v="3"/>
    <x v="4"/>
    <s v="DE4-E_A"/>
    <x v="1"/>
    <x v="0"/>
    <x v="0"/>
    <s v="GNR_ST_COAL_BP_E-35"/>
    <n v="124"/>
    <n v="0.124"/>
  </r>
  <r>
    <x v="0"/>
    <x v="0"/>
    <x v="0"/>
    <x v="3"/>
    <x v="4"/>
    <s v="DE4-E_A"/>
    <x v="1"/>
    <x v="0"/>
    <x v="0"/>
    <s v="GNR_ST_COAL_BP_E-40"/>
    <n v="1167"/>
    <n v="1.167"/>
  </r>
  <r>
    <x v="0"/>
    <x v="0"/>
    <x v="0"/>
    <x v="3"/>
    <x v="4"/>
    <s v="DE4-E_A"/>
    <x v="19"/>
    <x v="7"/>
    <x v="0"/>
    <s v="AGG-DE4-E_ES_ELEC"/>
    <n v="0.44"/>
    <n v="4.4000000000000002E-4"/>
  </r>
  <r>
    <x v="0"/>
    <x v="0"/>
    <x v="0"/>
    <x v="3"/>
    <x v="4"/>
    <s v="DE4-E_A"/>
    <x v="19"/>
    <x v="8"/>
    <x v="0"/>
    <s v="AGG-DE4-E_RES_WTR_PMP"/>
    <n v="2415"/>
    <n v="2.415"/>
  </r>
  <r>
    <x v="0"/>
    <x v="0"/>
    <x v="0"/>
    <x v="3"/>
    <x v="4"/>
    <s v="DE4-E_A"/>
    <x v="7"/>
    <x v="0"/>
    <x v="0"/>
    <s v="GNR_CC_FUELOIL_BP_E-38"/>
    <n v="92.5"/>
    <n v="9.2499999999999999E-2"/>
  </r>
  <r>
    <x v="0"/>
    <x v="0"/>
    <x v="0"/>
    <x v="3"/>
    <x v="4"/>
    <s v="DE4-E_A"/>
    <x v="7"/>
    <x v="0"/>
    <x v="0"/>
    <s v="GNR_ST_FUELOIL_BP_E-36"/>
    <n v="304"/>
    <n v="0.30399999999999999"/>
  </r>
  <r>
    <x v="0"/>
    <x v="0"/>
    <x v="0"/>
    <x v="3"/>
    <x v="4"/>
    <s v="DE4-E_A"/>
    <x v="7"/>
    <x v="0"/>
    <x v="0"/>
    <s v="GNR_ST_FUELOIL_BP_E-38"/>
    <n v="230.5"/>
    <n v="0.23050000000000001"/>
  </r>
  <r>
    <x v="0"/>
    <x v="0"/>
    <x v="0"/>
    <x v="3"/>
    <x v="4"/>
    <s v="DE4-E_A"/>
    <x v="7"/>
    <x v="2"/>
    <x v="0"/>
    <s v="GNR_GT_FUELOIL_CND_E-30"/>
    <n v="51"/>
    <n v="5.0999999999999997E-2"/>
  </r>
  <r>
    <x v="0"/>
    <x v="0"/>
    <x v="0"/>
    <x v="3"/>
    <x v="4"/>
    <s v="DE4-E_A"/>
    <x v="7"/>
    <x v="2"/>
    <x v="0"/>
    <s v="GNR_GT_FUELOIL_CND_E-36"/>
    <n v="120"/>
    <n v="0.12"/>
  </r>
  <r>
    <x v="0"/>
    <x v="0"/>
    <x v="0"/>
    <x v="3"/>
    <x v="4"/>
    <s v="DE4-E_A"/>
    <x v="7"/>
    <x v="2"/>
    <x v="0"/>
    <s v="GNR_ST_FUELOIL_CND_E-39"/>
    <n v="110.5"/>
    <n v="0.1105"/>
  </r>
  <r>
    <x v="0"/>
    <x v="0"/>
    <x v="0"/>
    <x v="3"/>
    <x v="4"/>
    <s v="DE4-E_A"/>
    <x v="20"/>
    <x v="0"/>
    <x v="0"/>
    <s v="GNR_ST_LIGN_BP_E-28"/>
    <n v="127"/>
    <n v="0.127"/>
  </r>
  <r>
    <x v="0"/>
    <x v="0"/>
    <x v="0"/>
    <x v="3"/>
    <x v="4"/>
    <s v="DE4-E_A"/>
    <x v="20"/>
    <x v="0"/>
    <x v="0"/>
    <s v="GNR_ST_LIGN_BP_E-39"/>
    <n v="9321.4"/>
    <n v="9.3214000000000006"/>
  </r>
  <r>
    <x v="0"/>
    <x v="0"/>
    <x v="0"/>
    <x v="3"/>
    <x v="4"/>
    <s v="DE4-E_A"/>
    <x v="20"/>
    <x v="2"/>
    <x v="0"/>
    <s v="GNR_ST_LIGN_CND_E-43"/>
    <n v="640"/>
    <n v="0.64"/>
  </r>
  <r>
    <x v="0"/>
    <x v="0"/>
    <x v="0"/>
    <x v="3"/>
    <x v="4"/>
    <s v="DE4-E_A"/>
    <x v="3"/>
    <x v="0"/>
    <x v="0"/>
    <s v="GNR_ST_MSW_BP_E-33"/>
    <n v="318.89999999999998"/>
    <n v="0.31890000000000002"/>
  </r>
  <r>
    <x v="0"/>
    <x v="0"/>
    <x v="0"/>
    <x v="3"/>
    <x v="4"/>
    <s v="DE4-E_A"/>
    <x v="3"/>
    <x v="2"/>
    <x v="0"/>
    <s v="GNR_ST_MSW_CND_E-33"/>
    <n v="65.099999999999994"/>
    <n v="6.5100000000000005E-2"/>
  </r>
  <r>
    <x v="0"/>
    <x v="0"/>
    <x v="0"/>
    <x v="3"/>
    <x v="4"/>
    <s v="DE4-E_A"/>
    <x v="4"/>
    <x v="0"/>
    <x v="0"/>
    <s v="GNR_CC_NGAS_BP_E-53"/>
    <n v="1999.9"/>
    <n v="1.9999"/>
  </r>
  <r>
    <x v="0"/>
    <x v="0"/>
    <x v="0"/>
    <x v="3"/>
    <x v="4"/>
    <s v="DE4-E_A"/>
    <x v="4"/>
    <x v="0"/>
    <x v="0"/>
    <s v="GNR_GT_NGAS_BP_E-38"/>
    <n v="225.7"/>
    <n v="0.22570000000000001"/>
  </r>
  <r>
    <x v="0"/>
    <x v="0"/>
    <x v="0"/>
    <x v="3"/>
    <x v="4"/>
    <s v="DE4-E_A"/>
    <x v="4"/>
    <x v="0"/>
    <x v="0"/>
    <s v="GNR_ST_NGAS_BP_E-31"/>
    <n v="26.5"/>
    <n v="2.6499999999999999E-2"/>
  </r>
  <r>
    <x v="0"/>
    <x v="0"/>
    <x v="0"/>
    <x v="3"/>
    <x v="4"/>
    <s v="DE4-E_A"/>
    <x v="4"/>
    <x v="0"/>
    <x v="0"/>
    <s v="GNR_ST_NGAS_BP_E-38"/>
    <n v="1223"/>
    <n v="1.2230000000000001"/>
  </r>
  <r>
    <x v="0"/>
    <x v="0"/>
    <x v="0"/>
    <x v="3"/>
    <x v="4"/>
    <s v="DE4-E_A"/>
    <x v="4"/>
    <x v="2"/>
    <x v="0"/>
    <s v="GNR_CC_NGAS_CND_E-51"/>
    <n v="160"/>
    <n v="0.16"/>
  </r>
  <r>
    <x v="0"/>
    <x v="0"/>
    <x v="0"/>
    <x v="3"/>
    <x v="4"/>
    <s v="DE4-E_A"/>
    <x v="4"/>
    <x v="2"/>
    <x v="0"/>
    <s v="GNR_CC_NGAS_CND_E-57"/>
    <n v="50"/>
    <n v="0.05"/>
  </r>
  <r>
    <x v="0"/>
    <x v="0"/>
    <x v="0"/>
    <x v="3"/>
    <x v="4"/>
    <s v="DE4-E_A"/>
    <x v="4"/>
    <x v="2"/>
    <x v="0"/>
    <s v="GNR_GT_NGAS_CND_E-35"/>
    <n v="446"/>
    <n v="0.44600000000000001"/>
  </r>
  <r>
    <x v="0"/>
    <x v="0"/>
    <x v="0"/>
    <x v="3"/>
    <x v="4"/>
    <s v="DE4-E_A"/>
    <x v="4"/>
    <x v="2"/>
    <x v="0"/>
    <s v="GNR_ST_NGAS_CND_E-38"/>
    <n v="40"/>
    <n v="0.04"/>
  </r>
  <r>
    <x v="0"/>
    <x v="0"/>
    <x v="0"/>
    <x v="3"/>
    <x v="4"/>
    <s v="DE4-E_A"/>
    <x v="8"/>
    <x v="3"/>
    <x v="0"/>
    <s v="GNR_PV_SUN"/>
    <n v="10550.37"/>
    <n v="10.550369999999999"/>
  </r>
  <r>
    <x v="0"/>
    <x v="0"/>
    <x v="0"/>
    <x v="3"/>
    <x v="4"/>
    <s v="DE4-E_A"/>
    <x v="21"/>
    <x v="2"/>
    <x v="0"/>
    <s v="GNR_GEO_HEAT_EO"/>
    <n v="0.22"/>
    <n v="2.2000000000000001E-4"/>
  </r>
  <r>
    <x v="0"/>
    <x v="0"/>
    <x v="0"/>
    <x v="3"/>
    <x v="4"/>
    <s v="DE4-E_A"/>
    <x v="9"/>
    <x v="4"/>
    <x v="0"/>
    <s v="GNR_ROR_WTR"/>
    <n v="550.44000000000005"/>
    <n v="0.55044000000000004"/>
  </r>
  <r>
    <x v="0"/>
    <x v="0"/>
    <x v="0"/>
    <x v="3"/>
    <x v="4"/>
    <s v="DE4-E_A"/>
    <x v="10"/>
    <x v="5"/>
    <x v="0"/>
    <s v="GNR_WT_WIND_ONS"/>
    <n v="17898.509999999998"/>
    <n v="17.898510000000002"/>
  </r>
  <r>
    <x v="0"/>
    <x v="0"/>
    <x v="0"/>
    <x v="3"/>
    <x v="4"/>
    <s v="DE4-E_Offshore_A"/>
    <x v="10"/>
    <x v="5"/>
    <x v="0"/>
    <s v="GNR_WT_WIND_OFF"/>
    <n v="336.3"/>
    <n v="0.33629999999999999"/>
  </r>
  <r>
    <x v="0"/>
    <x v="0"/>
    <x v="0"/>
    <x v="3"/>
    <x v="5"/>
    <s v="DE4-N_A"/>
    <x v="0"/>
    <x v="0"/>
    <x v="0"/>
    <s v="GNR_ENG_BGAS_BP_E-45"/>
    <n v="0.48"/>
    <n v="4.8000000000000001E-4"/>
  </r>
  <r>
    <x v="0"/>
    <x v="0"/>
    <x v="0"/>
    <x v="3"/>
    <x v="5"/>
    <s v="DE4-N_A"/>
    <x v="0"/>
    <x v="0"/>
    <x v="0"/>
    <s v="GNR_ST_BGAS_BP_E-38"/>
    <n v="20"/>
    <n v="0.02"/>
  </r>
  <r>
    <x v="0"/>
    <x v="0"/>
    <x v="0"/>
    <x v="3"/>
    <x v="5"/>
    <s v="DE4-N_A"/>
    <x v="0"/>
    <x v="2"/>
    <x v="0"/>
    <s v="GNR_ENG_BGAS_CND_E-44"/>
    <n v="484.32"/>
    <n v="0.48431999999999997"/>
  </r>
  <r>
    <x v="0"/>
    <x v="0"/>
    <x v="0"/>
    <x v="3"/>
    <x v="5"/>
    <s v="DE4-N_A"/>
    <x v="1"/>
    <x v="0"/>
    <x v="0"/>
    <s v="GNR_ST_COAL_BP_E-40"/>
    <n v="924"/>
    <n v="0.92400000000000004"/>
  </r>
  <r>
    <x v="0"/>
    <x v="0"/>
    <x v="0"/>
    <x v="3"/>
    <x v="5"/>
    <s v="DE4-N_A"/>
    <x v="1"/>
    <x v="2"/>
    <x v="0"/>
    <s v="GNR_ST_COAL_CND_E-46"/>
    <n v="1600"/>
    <n v="1.6"/>
  </r>
  <r>
    <x v="0"/>
    <x v="0"/>
    <x v="0"/>
    <x v="3"/>
    <x v="5"/>
    <s v="DE4-N_A"/>
    <x v="19"/>
    <x v="7"/>
    <x v="0"/>
    <s v="AGG-DE4-N_ES_ELEC"/>
    <n v="0.14000000000000001"/>
    <n v="1.3999999999999999E-4"/>
  </r>
  <r>
    <x v="0"/>
    <x v="0"/>
    <x v="0"/>
    <x v="3"/>
    <x v="5"/>
    <s v="DE4-N_A"/>
    <x v="19"/>
    <x v="8"/>
    <x v="0"/>
    <s v="AGG-DE4-N_RES_WTR_PMP"/>
    <n v="119.1"/>
    <n v="0.1191"/>
  </r>
  <r>
    <x v="0"/>
    <x v="0"/>
    <x v="0"/>
    <x v="3"/>
    <x v="5"/>
    <s v="DE4-N_A"/>
    <x v="7"/>
    <x v="0"/>
    <x v="0"/>
    <s v="GNR_ST_FUELOIL_BP_E-35"/>
    <n v="74.5"/>
    <n v="7.4499999999999997E-2"/>
  </r>
  <r>
    <x v="0"/>
    <x v="0"/>
    <x v="0"/>
    <x v="3"/>
    <x v="5"/>
    <s v="DE4-N_A"/>
    <x v="7"/>
    <x v="0"/>
    <x v="0"/>
    <s v="GNR_ST_FUELOIL_BP_E-38"/>
    <n v="38"/>
    <n v="3.7999999999999999E-2"/>
  </r>
  <r>
    <x v="0"/>
    <x v="0"/>
    <x v="0"/>
    <x v="3"/>
    <x v="5"/>
    <s v="DE4-N_A"/>
    <x v="7"/>
    <x v="2"/>
    <x v="0"/>
    <s v="GNR_GT_FUELOIL_CND_E-31"/>
    <n v="355"/>
    <n v="0.35499999999999998"/>
  </r>
  <r>
    <x v="0"/>
    <x v="0"/>
    <x v="0"/>
    <x v="3"/>
    <x v="5"/>
    <s v="DE4-N_A"/>
    <x v="7"/>
    <x v="2"/>
    <x v="0"/>
    <s v="GNR_ST_FUELOIL_CND_E-35"/>
    <n v="175"/>
    <n v="0.17499999999999999"/>
  </r>
  <r>
    <x v="0"/>
    <x v="0"/>
    <x v="0"/>
    <x v="3"/>
    <x v="5"/>
    <s v="DE4-N_A"/>
    <x v="3"/>
    <x v="0"/>
    <x v="0"/>
    <s v="GNR_ST_MSW_BP_E-33"/>
    <n v="41"/>
    <n v="4.1000000000000002E-2"/>
  </r>
  <r>
    <x v="0"/>
    <x v="0"/>
    <x v="0"/>
    <x v="3"/>
    <x v="5"/>
    <s v="DE4-N_A"/>
    <x v="4"/>
    <x v="0"/>
    <x v="0"/>
    <s v="GNR_CC_NGAS_BP_E-57"/>
    <n v="127"/>
    <n v="0.127"/>
  </r>
  <r>
    <x v="0"/>
    <x v="0"/>
    <x v="0"/>
    <x v="3"/>
    <x v="5"/>
    <s v="DE4-N_A"/>
    <x v="4"/>
    <x v="0"/>
    <x v="0"/>
    <s v="GNR_ST_NGAS_BP_E-39"/>
    <n v="128.5"/>
    <n v="0.1285"/>
  </r>
  <r>
    <x v="0"/>
    <x v="0"/>
    <x v="0"/>
    <x v="3"/>
    <x v="5"/>
    <s v="DE4-N_A"/>
    <x v="18"/>
    <x v="2"/>
    <x v="0"/>
    <s v="GNR_ST_NUCL_CND_E-33"/>
    <n v="1410"/>
    <n v="1.41"/>
  </r>
  <r>
    <x v="0"/>
    <x v="0"/>
    <x v="0"/>
    <x v="3"/>
    <x v="5"/>
    <s v="DE4-N_A"/>
    <x v="8"/>
    <x v="3"/>
    <x v="0"/>
    <s v="GNR_PV_SUN"/>
    <n v="1605.25"/>
    <n v="1.6052500000000001"/>
  </r>
  <r>
    <x v="0"/>
    <x v="0"/>
    <x v="0"/>
    <x v="3"/>
    <x v="5"/>
    <s v="DE4-N_A"/>
    <x v="9"/>
    <x v="4"/>
    <x v="0"/>
    <s v="GNR_ROR_WTR"/>
    <n v="4.8499999999999996"/>
    <n v="4.8500000000000001E-3"/>
  </r>
  <r>
    <x v="0"/>
    <x v="0"/>
    <x v="0"/>
    <x v="3"/>
    <x v="5"/>
    <s v="DE4-N_A"/>
    <x v="10"/>
    <x v="5"/>
    <x v="0"/>
    <s v="GNR_WT_WIND_ONS"/>
    <n v="6944.87"/>
    <n v="6.9448699999999999"/>
  </r>
  <r>
    <x v="0"/>
    <x v="0"/>
    <x v="0"/>
    <x v="3"/>
    <x v="5"/>
    <s v="DE4-N_Offshore_A"/>
    <x v="10"/>
    <x v="5"/>
    <x v="0"/>
    <s v="GNR_WT_WIND_OFF"/>
    <n v="900"/>
    <n v="0.9"/>
  </r>
  <r>
    <x v="0"/>
    <x v="0"/>
    <x v="0"/>
    <x v="3"/>
    <x v="6"/>
    <s v="DE4-S_A"/>
    <x v="0"/>
    <x v="0"/>
    <x v="0"/>
    <s v="GNR_ENG_BGAS_BP_E-45"/>
    <n v="47.36"/>
    <n v="4.7359999999999999E-2"/>
  </r>
  <r>
    <x v="0"/>
    <x v="0"/>
    <x v="0"/>
    <x v="3"/>
    <x v="6"/>
    <s v="DE4-S_A"/>
    <x v="0"/>
    <x v="0"/>
    <x v="0"/>
    <s v="GNR_ST_BGAS_BP_E-38"/>
    <n v="261.2"/>
    <n v="0.26119999999999999"/>
  </r>
  <r>
    <x v="0"/>
    <x v="0"/>
    <x v="0"/>
    <x v="3"/>
    <x v="6"/>
    <s v="DE4-S_A"/>
    <x v="0"/>
    <x v="2"/>
    <x v="0"/>
    <s v="GNR_ENG_BGAS_CND_E-44"/>
    <n v="2526.71"/>
    <n v="2.52671"/>
  </r>
  <r>
    <x v="0"/>
    <x v="0"/>
    <x v="0"/>
    <x v="3"/>
    <x v="6"/>
    <s v="DE4-S_A"/>
    <x v="0"/>
    <x v="2"/>
    <x v="0"/>
    <s v="GNR_ST_BGAS_CND_E-38"/>
    <n v="40.299999999999997"/>
    <n v="4.0300000000000002E-2"/>
  </r>
  <r>
    <x v="0"/>
    <x v="0"/>
    <x v="0"/>
    <x v="3"/>
    <x v="6"/>
    <s v="DE4-S_A"/>
    <x v="1"/>
    <x v="0"/>
    <x v="0"/>
    <s v="GNR_ST_COAL_BP_E-34"/>
    <n v="227.3"/>
    <n v="0.2273"/>
  </r>
  <r>
    <x v="0"/>
    <x v="0"/>
    <x v="0"/>
    <x v="3"/>
    <x v="6"/>
    <s v="DE4-S_A"/>
    <x v="1"/>
    <x v="0"/>
    <x v="0"/>
    <s v="GNR_ST_COAL_BP_E-43"/>
    <n v="7583.8"/>
    <n v="7.5838000000000001"/>
  </r>
  <r>
    <x v="0"/>
    <x v="0"/>
    <x v="0"/>
    <x v="3"/>
    <x v="6"/>
    <s v="DE4-S_A"/>
    <x v="1"/>
    <x v="2"/>
    <x v="0"/>
    <s v="GNR_ST_COAL_CND_E-38"/>
    <n v="726"/>
    <n v="0.72599999999999998"/>
  </r>
  <r>
    <x v="0"/>
    <x v="0"/>
    <x v="0"/>
    <x v="3"/>
    <x v="6"/>
    <s v="DE4-S_A"/>
    <x v="1"/>
    <x v="2"/>
    <x v="0"/>
    <s v="GNR_ST_COAL_CND_E-44"/>
    <n v="527"/>
    <n v="0.52700000000000002"/>
  </r>
  <r>
    <x v="0"/>
    <x v="0"/>
    <x v="0"/>
    <x v="3"/>
    <x v="6"/>
    <s v="DE4-S_A"/>
    <x v="19"/>
    <x v="7"/>
    <x v="0"/>
    <s v="AGG-DE4-S_ES_ELEC"/>
    <n v="0.71"/>
    <n v="7.1000000000000002E-4"/>
  </r>
  <r>
    <x v="0"/>
    <x v="0"/>
    <x v="0"/>
    <x v="3"/>
    <x v="6"/>
    <s v="DE4-S_A"/>
    <x v="19"/>
    <x v="8"/>
    <x v="0"/>
    <s v="AGG-DE4-S_RES_WTR_PMP"/>
    <n v="2163"/>
    <n v="2.1629999999999998"/>
  </r>
  <r>
    <x v="0"/>
    <x v="0"/>
    <x v="0"/>
    <x v="3"/>
    <x v="6"/>
    <s v="DE4-S_A"/>
    <x v="7"/>
    <x v="0"/>
    <x v="0"/>
    <s v="GNR_ST_FUELOIL_BP_E-36"/>
    <n v="791"/>
    <n v="0.79100000000000004"/>
  </r>
  <r>
    <x v="0"/>
    <x v="0"/>
    <x v="0"/>
    <x v="3"/>
    <x v="6"/>
    <s v="DE4-S_A"/>
    <x v="7"/>
    <x v="0"/>
    <x v="0"/>
    <s v="GNR_ST_FUELOIL_BP_E-38"/>
    <n v="70"/>
    <n v="7.0000000000000007E-2"/>
  </r>
  <r>
    <x v="0"/>
    <x v="0"/>
    <x v="0"/>
    <x v="3"/>
    <x v="6"/>
    <s v="DE4-S_A"/>
    <x v="7"/>
    <x v="2"/>
    <x v="0"/>
    <s v="GNR_CC_FUELOIL_CND_E-38"/>
    <n v="347"/>
    <n v="0.34699999999999998"/>
  </r>
  <r>
    <x v="0"/>
    <x v="0"/>
    <x v="0"/>
    <x v="3"/>
    <x v="6"/>
    <s v="DE4-S_A"/>
    <x v="7"/>
    <x v="2"/>
    <x v="0"/>
    <s v="GNR_GT_FUELOIL_CND_E-32"/>
    <n v="422.1"/>
    <n v="0.42209999999999998"/>
  </r>
  <r>
    <x v="0"/>
    <x v="0"/>
    <x v="0"/>
    <x v="3"/>
    <x v="6"/>
    <s v="DE4-S_A"/>
    <x v="7"/>
    <x v="2"/>
    <x v="0"/>
    <s v="GNR_GT_FUELOIL_CND_E-35"/>
    <n v="24"/>
    <n v="2.4E-2"/>
  </r>
  <r>
    <x v="0"/>
    <x v="0"/>
    <x v="0"/>
    <x v="3"/>
    <x v="6"/>
    <s v="DE4-S_A"/>
    <x v="7"/>
    <x v="2"/>
    <x v="0"/>
    <s v="GNR_ST_FUELOIL_CND_E-37"/>
    <n v="33.799999999999997"/>
    <n v="3.3799999999999997E-2"/>
  </r>
  <r>
    <x v="0"/>
    <x v="0"/>
    <x v="0"/>
    <x v="3"/>
    <x v="6"/>
    <s v="DE4-S_A"/>
    <x v="3"/>
    <x v="0"/>
    <x v="0"/>
    <s v="GNR_ST_MSW_BP_E-33"/>
    <n v="399.9"/>
    <n v="0.39989999999999998"/>
  </r>
  <r>
    <x v="0"/>
    <x v="0"/>
    <x v="0"/>
    <x v="3"/>
    <x v="6"/>
    <s v="DE4-S_A"/>
    <x v="3"/>
    <x v="2"/>
    <x v="0"/>
    <s v="GNR_ST_MSW_CND_E-33"/>
    <n v="40"/>
    <n v="0.04"/>
  </r>
  <r>
    <x v="0"/>
    <x v="0"/>
    <x v="0"/>
    <x v="3"/>
    <x v="6"/>
    <s v="DE4-S_A"/>
    <x v="4"/>
    <x v="0"/>
    <x v="0"/>
    <s v="GNR_CC_NGAS_BP_E-18"/>
    <n v="36"/>
    <n v="3.5999999999999997E-2"/>
  </r>
  <r>
    <x v="0"/>
    <x v="0"/>
    <x v="0"/>
    <x v="3"/>
    <x v="6"/>
    <s v="DE4-S_A"/>
    <x v="4"/>
    <x v="0"/>
    <x v="0"/>
    <s v="GNR_CC_NGAS_BP_E-53"/>
    <n v="3247.9"/>
    <n v="3.2479"/>
  </r>
  <r>
    <x v="0"/>
    <x v="0"/>
    <x v="0"/>
    <x v="3"/>
    <x v="6"/>
    <s v="DE4-S_A"/>
    <x v="4"/>
    <x v="0"/>
    <x v="0"/>
    <s v="GNR_ENG_NGAS_BP_E-46"/>
    <n v="33.1"/>
    <n v="3.3099999999999997E-2"/>
  </r>
  <r>
    <x v="0"/>
    <x v="0"/>
    <x v="0"/>
    <x v="3"/>
    <x v="6"/>
    <s v="DE4-S_A"/>
    <x v="4"/>
    <x v="0"/>
    <x v="0"/>
    <s v="GNR_GT_NGAS_BP_E-32"/>
    <n v="80"/>
    <n v="0.08"/>
  </r>
  <r>
    <x v="0"/>
    <x v="0"/>
    <x v="0"/>
    <x v="3"/>
    <x v="6"/>
    <s v="DE4-S_A"/>
    <x v="4"/>
    <x v="0"/>
    <x v="0"/>
    <s v="GNR_GT_NGAS_BP_E-37"/>
    <n v="178.8"/>
    <n v="0.17879999999999999"/>
  </r>
  <r>
    <x v="0"/>
    <x v="0"/>
    <x v="0"/>
    <x v="3"/>
    <x v="6"/>
    <s v="DE4-S_A"/>
    <x v="4"/>
    <x v="0"/>
    <x v="0"/>
    <s v="GNR_ST_NGAS_BP_E-38"/>
    <n v="986.2"/>
    <n v="0.98619999999999997"/>
  </r>
  <r>
    <x v="0"/>
    <x v="0"/>
    <x v="0"/>
    <x v="3"/>
    <x v="6"/>
    <s v="DE4-S_A"/>
    <x v="4"/>
    <x v="2"/>
    <x v="0"/>
    <s v="GNR_CC_NGAS_CND_E-43"/>
    <n v="823"/>
    <n v="0.82299999999999995"/>
  </r>
  <r>
    <x v="0"/>
    <x v="0"/>
    <x v="0"/>
    <x v="3"/>
    <x v="6"/>
    <s v="DE4-S_A"/>
    <x v="4"/>
    <x v="2"/>
    <x v="0"/>
    <s v="GNR_CC_NGAS_CND_E-57"/>
    <n v="1838.6"/>
    <n v="1.8386"/>
  </r>
  <r>
    <x v="0"/>
    <x v="0"/>
    <x v="0"/>
    <x v="3"/>
    <x v="6"/>
    <s v="DE4-S_A"/>
    <x v="4"/>
    <x v="2"/>
    <x v="0"/>
    <s v="GNR_GT_NGAS_CND_E-31"/>
    <n v="323"/>
    <n v="0.32300000000000001"/>
  </r>
  <r>
    <x v="0"/>
    <x v="0"/>
    <x v="0"/>
    <x v="3"/>
    <x v="6"/>
    <s v="DE4-S_A"/>
    <x v="4"/>
    <x v="2"/>
    <x v="0"/>
    <s v="GNR_ST_NGAS_CND_E-36"/>
    <n v="415"/>
    <n v="0.41499999999999998"/>
  </r>
  <r>
    <x v="0"/>
    <x v="0"/>
    <x v="0"/>
    <x v="3"/>
    <x v="6"/>
    <s v="DE4-S_A"/>
    <x v="18"/>
    <x v="2"/>
    <x v="0"/>
    <s v="GNR_ST_NUCL_CND_E-33"/>
    <n v="6694"/>
    <n v="6.694"/>
  </r>
  <r>
    <x v="0"/>
    <x v="0"/>
    <x v="0"/>
    <x v="3"/>
    <x v="6"/>
    <s v="DE4-S_A"/>
    <x v="8"/>
    <x v="3"/>
    <x v="0"/>
    <s v="GNR_PV_SUN"/>
    <n v="19416.080000000002"/>
    <n v="19.416080000000001"/>
  </r>
  <r>
    <x v="0"/>
    <x v="0"/>
    <x v="0"/>
    <x v="3"/>
    <x v="6"/>
    <s v="DE4-S_A"/>
    <x v="21"/>
    <x v="2"/>
    <x v="0"/>
    <s v="GNR_GEO_HEAT_EO"/>
    <n v="44.76"/>
    <n v="4.4760000000000001E-2"/>
  </r>
  <r>
    <x v="0"/>
    <x v="0"/>
    <x v="0"/>
    <x v="3"/>
    <x v="6"/>
    <s v="DE4-S_A"/>
    <x v="9"/>
    <x v="4"/>
    <x v="0"/>
    <s v="GNR_ROR_WTR"/>
    <n v="7926.79"/>
    <n v="7.9267899999999996"/>
  </r>
  <r>
    <x v="0"/>
    <x v="0"/>
    <x v="0"/>
    <x v="3"/>
    <x v="6"/>
    <s v="DE4-S_A"/>
    <x v="9"/>
    <x v="6"/>
    <x v="0"/>
    <s v="GNR_RES_WTR_NOPMP"/>
    <n v="124"/>
    <n v="0.124"/>
  </r>
  <r>
    <x v="0"/>
    <x v="0"/>
    <x v="0"/>
    <x v="3"/>
    <x v="6"/>
    <s v="DE4-S_A"/>
    <x v="10"/>
    <x v="5"/>
    <x v="0"/>
    <s v="GNR_WT_WIND_ONS"/>
    <n v="7404.07"/>
    <n v="7.4040699999999999"/>
  </r>
  <r>
    <x v="0"/>
    <x v="0"/>
    <x v="0"/>
    <x v="3"/>
    <x v="7"/>
    <s v="DE4-W_A"/>
    <x v="0"/>
    <x v="0"/>
    <x v="0"/>
    <s v="GNR_ENG_BGAS_BP_E-45"/>
    <n v="17.59"/>
    <n v="1.7590000000000001E-2"/>
  </r>
  <r>
    <x v="0"/>
    <x v="0"/>
    <x v="0"/>
    <x v="3"/>
    <x v="7"/>
    <s v="DE4-W_A"/>
    <x v="0"/>
    <x v="0"/>
    <x v="0"/>
    <s v="GNR_ST_BGAS_BP_E-33"/>
    <n v="33.4"/>
    <n v="3.3399999999999999E-2"/>
  </r>
  <r>
    <x v="0"/>
    <x v="0"/>
    <x v="0"/>
    <x v="3"/>
    <x v="7"/>
    <s v="DE4-W_A"/>
    <x v="0"/>
    <x v="0"/>
    <x v="0"/>
    <s v="GNR_ST_BGAS_BP_E-38"/>
    <n v="134.30000000000001"/>
    <n v="0.1343"/>
  </r>
  <r>
    <x v="0"/>
    <x v="0"/>
    <x v="0"/>
    <x v="3"/>
    <x v="7"/>
    <s v="DE4-W_A"/>
    <x v="0"/>
    <x v="2"/>
    <x v="0"/>
    <s v="GNR_ENG_BGAS_CND_E-44"/>
    <n v="2541.5"/>
    <n v="2.5415000000000001"/>
  </r>
  <r>
    <x v="0"/>
    <x v="0"/>
    <x v="0"/>
    <x v="3"/>
    <x v="7"/>
    <s v="DE4-W_A"/>
    <x v="0"/>
    <x v="2"/>
    <x v="0"/>
    <s v="GNR_ST_BGAS_CND_E-38"/>
    <n v="94.5"/>
    <n v="9.4500000000000001E-2"/>
  </r>
  <r>
    <x v="0"/>
    <x v="0"/>
    <x v="0"/>
    <x v="3"/>
    <x v="7"/>
    <s v="DE4-W_A"/>
    <x v="1"/>
    <x v="0"/>
    <x v="0"/>
    <s v="GNR_CC_COAL_BP_E-47"/>
    <n v="43.3"/>
    <n v="4.3299999999999998E-2"/>
  </r>
  <r>
    <x v="0"/>
    <x v="0"/>
    <x v="0"/>
    <x v="3"/>
    <x v="7"/>
    <s v="DE4-W_A"/>
    <x v="1"/>
    <x v="0"/>
    <x v="0"/>
    <s v="GNR_CC_COAL_BP_E-49"/>
    <n v="66"/>
    <n v="6.6000000000000003E-2"/>
  </r>
  <r>
    <x v="0"/>
    <x v="0"/>
    <x v="0"/>
    <x v="3"/>
    <x v="7"/>
    <s v="DE4-W_A"/>
    <x v="1"/>
    <x v="0"/>
    <x v="0"/>
    <s v="GNR_ST_COAL_BP_E-33"/>
    <n v="1849.4"/>
    <n v="1.8493999999999999"/>
  </r>
  <r>
    <x v="0"/>
    <x v="0"/>
    <x v="0"/>
    <x v="3"/>
    <x v="7"/>
    <s v="DE4-W_A"/>
    <x v="1"/>
    <x v="0"/>
    <x v="0"/>
    <s v="GNR_ST_COAL_BP_E-41"/>
    <n v="7679.5"/>
    <n v="7.6795"/>
  </r>
  <r>
    <x v="0"/>
    <x v="0"/>
    <x v="0"/>
    <x v="3"/>
    <x v="7"/>
    <s v="DE4-W_A"/>
    <x v="1"/>
    <x v="2"/>
    <x v="0"/>
    <s v="GNR_ST_COAL_CND_E-37"/>
    <n v="7106"/>
    <n v="7.1059999999999999"/>
  </r>
  <r>
    <x v="0"/>
    <x v="0"/>
    <x v="0"/>
    <x v="3"/>
    <x v="7"/>
    <s v="DE4-W_A"/>
    <x v="1"/>
    <x v="2"/>
    <x v="0"/>
    <s v="GNR_ST_COAL_CND_E-45"/>
    <n v="3449"/>
    <n v="3.4489999999999998"/>
  </r>
  <r>
    <x v="0"/>
    <x v="0"/>
    <x v="0"/>
    <x v="3"/>
    <x v="7"/>
    <s v="DE4-W_A"/>
    <x v="19"/>
    <x v="7"/>
    <x v="0"/>
    <s v="AGG-DE4-W_ES_ELEC"/>
    <n v="0.45"/>
    <n v="4.4999999999999999E-4"/>
  </r>
  <r>
    <x v="0"/>
    <x v="0"/>
    <x v="0"/>
    <x v="3"/>
    <x v="7"/>
    <s v="DE4-W_A"/>
    <x v="19"/>
    <x v="8"/>
    <x v="0"/>
    <s v="AGG-DE4-W_RES_WTR_PMP"/>
    <n v="1146"/>
    <n v="1.1459999999999999"/>
  </r>
  <r>
    <x v="0"/>
    <x v="0"/>
    <x v="0"/>
    <x v="3"/>
    <x v="7"/>
    <s v="DE4-W_A"/>
    <x v="7"/>
    <x v="0"/>
    <x v="0"/>
    <s v="GNR_CC_FUELOIL_BP_E-38"/>
    <n v="146.30000000000001"/>
    <n v="0.14630000000000001"/>
  </r>
  <r>
    <x v="0"/>
    <x v="0"/>
    <x v="0"/>
    <x v="3"/>
    <x v="7"/>
    <s v="DE4-W_A"/>
    <x v="7"/>
    <x v="2"/>
    <x v="0"/>
    <s v="GNR_CC_FUELOIL_CND_E-38"/>
    <n v="266"/>
    <n v="0.26600000000000001"/>
  </r>
  <r>
    <x v="0"/>
    <x v="0"/>
    <x v="0"/>
    <x v="3"/>
    <x v="7"/>
    <s v="DE4-W_A"/>
    <x v="7"/>
    <x v="2"/>
    <x v="0"/>
    <s v="GNR_GT_FUELOIL_CND_E-31"/>
    <n v="230.2"/>
    <n v="0.23019999999999999"/>
  </r>
  <r>
    <x v="0"/>
    <x v="0"/>
    <x v="0"/>
    <x v="3"/>
    <x v="7"/>
    <s v="DE4-W_A"/>
    <x v="7"/>
    <x v="2"/>
    <x v="0"/>
    <s v="GNR_ST_FUELOIL_CND_E-39"/>
    <n v="33.200000000000003"/>
    <n v="3.32E-2"/>
  </r>
  <r>
    <x v="0"/>
    <x v="0"/>
    <x v="0"/>
    <x v="3"/>
    <x v="7"/>
    <s v="DE4-W_A"/>
    <x v="20"/>
    <x v="0"/>
    <x v="0"/>
    <s v="GNR_ST_LIGN_BP_E-33"/>
    <n v="786.5"/>
    <n v="0.78649999999999998"/>
  </r>
  <r>
    <x v="0"/>
    <x v="0"/>
    <x v="0"/>
    <x v="3"/>
    <x v="7"/>
    <s v="DE4-W_A"/>
    <x v="20"/>
    <x v="0"/>
    <x v="0"/>
    <s v="GNR_ST_LIGN_BP_E-37"/>
    <n v="3286.7"/>
    <n v="3.2867000000000002"/>
  </r>
  <r>
    <x v="0"/>
    <x v="0"/>
    <x v="0"/>
    <x v="3"/>
    <x v="7"/>
    <s v="DE4-W_A"/>
    <x v="20"/>
    <x v="2"/>
    <x v="0"/>
    <s v="GNR_ST_LIGN_CND_E-32"/>
    <n v="4539"/>
    <n v="4.5389999999999997"/>
  </r>
  <r>
    <x v="0"/>
    <x v="0"/>
    <x v="0"/>
    <x v="3"/>
    <x v="7"/>
    <s v="DE4-W_A"/>
    <x v="20"/>
    <x v="2"/>
    <x v="0"/>
    <s v="GNR_ST_LIGN_CND_E-41"/>
    <n v="4030"/>
    <n v="4.03"/>
  </r>
  <r>
    <x v="0"/>
    <x v="0"/>
    <x v="0"/>
    <x v="3"/>
    <x v="7"/>
    <s v="DE4-W_A"/>
    <x v="3"/>
    <x v="0"/>
    <x v="0"/>
    <s v="GNR_ST_MSW_BP_E-33"/>
    <n v="579.1"/>
    <n v="0.57909999999999995"/>
  </r>
  <r>
    <x v="0"/>
    <x v="0"/>
    <x v="0"/>
    <x v="3"/>
    <x v="7"/>
    <s v="DE4-W_A"/>
    <x v="3"/>
    <x v="2"/>
    <x v="0"/>
    <s v="GNR_ST_MSW_CND_E-33"/>
    <n v="172.8"/>
    <n v="0.17280000000000001"/>
  </r>
  <r>
    <x v="0"/>
    <x v="0"/>
    <x v="0"/>
    <x v="3"/>
    <x v="7"/>
    <s v="DE4-W_A"/>
    <x v="4"/>
    <x v="0"/>
    <x v="0"/>
    <s v="GNR_CC_NGAS_BP_E-39"/>
    <n v="109.5"/>
    <n v="0.1095"/>
  </r>
  <r>
    <x v="0"/>
    <x v="0"/>
    <x v="0"/>
    <x v="3"/>
    <x v="7"/>
    <s v="DE4-W_A"/>
    <x v="4"/>
    <x v="0"/>
    <x v="0"/>
    <s v="GNR_CC_NGAS_BP_E-55"/>
    <n v="5421.2"/>
    <n v="5.4211999999999998"/>
  </r>
  <r>
    <x v="0"/>
    <x v="0"/>
    <x v="0"/>
    <x v="3"/>
    <x v="7"/>
    <s v="DE4-W_A"/>
    <x v="4"/>
    <x v="0"/>
    <x v="0"/>
    <s v="GNR_GT_NGAS_BP_E-31"/>
    <n v="104"/>
    <n v="0.104"/>
  </r>
  <r>
    <x v="0"/>
    <x v="0"/>
    <x v="0"/>
    <x v="3"/>
    <x v="7"/>
    <s v="DE4-W_A"/>
    <x v="4"/>
    <x v="0"/>
    <x v="0"/>
    <s v="GNR_GT_NGAS_BP_E-39"/>
    <n v="249.9"/>
    <n v="0.24990000000000001"/>
  </r>
  <r>
    <x v="0"/>
    <x v="0"/>
    <x v="0"/>
    <x v="3"/>
    <x v="7"/>
    <s v="DE4-W_A"/>
    <x v="4"/>
    <x v="0"/>
    <x v="0"/>
    <s v="GNR_ST_NGAS_BP_E-33"/>
    <n v="203.9"/>
    <n v="0.2039"/>
  </r>
  <r>
    <x v="0"/>
    <x v="0"/>
    <x v="0"/>
    <x v="3"/>
    <x v="7"/>
    <s v="DE4-W_A"/>
    <x v="4"/>
    <x v="0"/>
    <x v="0"/>
    <s v="GNR_ST_NGAS_BP_E-38"/>
    <n v="2148.3000000000002"/>
    <n v="2.1482999999999999"/>
  </r>
  <r>
    <x v="0"/>
    <x v="0"/>
    <x v="0"/>
    <x v="3"/>
    <x v="7"/>
    <s v="DE4-W_A"/>
    <x v="4"/>
    <x v="2"/>
    <x v="0"/>
    <s v="GNR_CC_NGAS_CND_E-42"/>
    <n v="1021.5"/>
    <n v="1.0215000000000001"/>
  </r>
  <r>
    <x v="0"/>
    <x v="0"/>
    <x v="0"/>
    <x v="3"/>
    <x v="7"/>
    <s v="DE4-W_A"/>
    <x v="4"/>
    <x v="2"/>
    <x v="0"/>
    <s v="GNR_CC_NGAS_CND_E-57"/>
    <n v="2929.5"/>
    <n v="2.9295"/>
  </r>
  <r>
    <x v="0"/>
    <x v="0"/>
    <x v="0"/>
    <x v="3"/>
    <x v="7"/>
    <s v="DE4-W_A"/>
    <x v="4"/>
    <x v="2"/>
    <x v="0"/>
    <s v="GNR_ENG_NGAS_CND_E-44"/>
    <n v="14"/>
    <n v="1.4E-2"/>
  </r>
  <r>
    <x v="0"/>
    <x v="0"/>
    <x v="0"/>
    <x v="3"/>
    <x v="7"/>
    <s v="DE4-W_A"/>
    <x v="4"/>
    <x v="2"/>
    <x v="0"/>
    <s v="GNR_GT_NGAS_CND_E-32"/>
    <n v="581.4"/>
    <n v="0.58140000000000003"/>
  </r>
  <r>
    <x v="0"/>
    <x v="0"/>
    <x v="0"/>
    <x v="3"/>
    <x v="7"/>
    <s v="DE4-W_A"/>
    <x v="4"/>
    <x v="2"/>
    <x v="0"/>
    <s v="GNR_GT_NGAS_CND_E-40"/>
    <n v="865"/>
    <n v="0.86499999999999999"/>
  </r>
  <r>
    <x v="0"/>
    <x v="0"/>
    <x v="0"/>
    <x v="3"/>
    <x v="7"/>
    <s v="DE4-W_A"/>
    <x v="4"/>
    <x v="2"/>
    <x v="0"/>
    <s v="GNR_ST_NGAS_CND_E-36"/>
    <n v="2176"/>
    <n v="2.1760000000000002"/>
  </r>
  <r>
    <x v="0"/>
    <x v="0"/>
    <x v="0"/>
    <x v="3"/>
    <x v="7"/>
    <s v="DE4-W_A"/>
    <x v="4"/>
    <x v="2"/>
    <x v="0"/>
    <s v="GNR_ST_NGAS_CND_E-39"/>
    <n v="39.799999999999997"/>
    <n v="3.9800000000000002E-2"/>
  </r>
  <r>
    <x v="0"/>
    <x v="0"/>
    <x v="0"/>
    <x v="3"/>
    <x v="7"/>
    <s v="DE4-W_A"/>
    <x v="18"/>
    <x v="2"/>
    <x v="0"/>
    <s v="GNR_ST_NUCL_CND_E-33"/>
    <n v="2696"/>
    <n v="2.6960000000000002"/>
  </r>
  <r>
    <x v="0"/>
    <x v="0"/>
    <x v="0"/>
    <x v="3"/>
    <x v="7"/>
    <s v="DE4-W_A"/>
    <x v="8"/>
    <x v="3"/>
    <x v="0"/>
    <s v="GNR_PV_SUN"/>
    <n v="9797.7800000000007"/>
    <n v="9.7977799999999995"/>
  </r>
  <r>
    <x v="0"/>
    <x v="0"/>
    <x v="0"/>
    <x v="3"/>
    <x v="7"/>
    <s v="DE4-W_A"/>
    <x v="9"/>
    <x v="4"/>
    <x v="0"/>
    <s v="GNR_ROR_WTR"/>
    <n v="361.5"/>
    <n v="0.36149999999999999"/>
  </r>
  <r>
    <x v="0"/>
    <x v="0"/>
    <x v="0"/>
    <x v="3"/>
    <x v="7"/>
    <s v="DE4-W_A"/>
    <x v="10"/>
    <x v="5"/>
    <x v="0"/>
    <s v="GNR_WT_WIND_ONS"/>
    <n v="17465.05"/>
    <n v="17.465050000000002"/>
  </r>
  <r>
    <x v="0"/>
    <x v="0"/>
    <x v="0"/>
    <x v="3"/>
    <x v="7"/>
    <s v="DE4-W_Offshore_A"/>
    <x v="10"/>
    <x v="5"/>
    <x v="0"/>
    <s v="GNR_WT_WIND_OFF"/>
    <n v="111"/>
    <n v="0.111"/>
  </r>
  <r>
    <x v="0"/>
    <x v="0"/>
    <x v="0"/>
    <x v="4"/>
    <x v="8"/>
    <s v="LV_Other_DH"/>
    <x v="0"/>
    <x v="0"/>
    <x v="0"/>
    <s v="GNR_GT_BGAS_BP_E-30"/>
    <n v="62"/>
    <n v="6.2E-2"/>
  </r>
  <r>
    <x v="0"/>
    <x v="0"/>
    <x v="0"/>
    <x v="4"/>
    <x v="8"/>
    <s v="LV_Other_DH"/>
    <x v="4"/>
    <x v="0"/>
    <x v="0"/>
    <s v="GNR_ST_NGAS_BP_E-28"/>
    <n v="120.09"/>
    <n v="0.12009"/>
  </r>
  <r>
    <x v="0"/>
    <x v="0"/>
    <x v="0"/>
    <x v="4"/>
    <x v="8"/>
    <s v="LV_Other_DH"/>
    <x v="9"/>
    <x v="6"/>
    <x v="0"/>
    <s v="GNR_RES_WTR_NOPMP"/>
    <n v="1214"/>
    <n v="1.214"/>
  </r>
  <r>
    <x v="0"/>
    <x v="0"/>
    <x v="0"/>
    <x v="4"/>
    <x v="8"/>
    <s v="LV_Other_DH"/>
    <x v="13"/>
    <x v="0"/>
    <x v="0"/>
    <s v="GNR_ST_WOOD_BP_E-30"/>
    <n v="54"/>
    <n v="5.3999999999999999E-2"/>
  </r>
  <r>
    <x v="0"/>
    <x v="0"/>
    <x v="0"/>
    <x v="4"/>
    <x v="8"/>
    <s v="LV_RigaR"/>
    <x v="4"/>
    <x v="0"/>
    <x v="0"/>
    <s v="GNR_ST_NGAS_BP_E-42"/>
    <n v="47.9"/>
    <n v="4.7899999999999998E-2"/>
  </r>
  <r>
    <x v="0"/>
    <x v="0"/>
    <x v="0"/>
    <x v="4"/>
    <x v="8"/>
    <s v="LV_RigaR"/>
    <x v="4"/>
    <x v="0"/>
    <x v="0"/>
    <s v="RIGA-TEC2_CC_NGAS_BP"/>
    <n v="144"/>
    <n v="0.14399999999999999"/>
  </r>
  <r>
    <x v="0"/>
    <x v="0"/>
    <x v="0"/>
    <x v="4"/>
    <x v="8"/>
    <s v="LV_RigaR"/>
    <x v="4"/>
    <x v="1"/>
    <x v="0"/>
    <s v="RIGA-TEC2_CC_NGAS_EXT"/>
    <n v="881"/>
    <n v="0.88100000000000001"/>
  </r>
  <r>
    <x v="0"/>
    <x v="0"/>
    <x v="0"/>
    <x v="4"/>
    <x v="8"/>
    <s v="LV_RigaR"/>
    <x v="9"/>
    <x v="6"/>
    <x v="0"/>
    <s v="GNR_RES_WTR_NOPMP"/>
    <n v="402"/>
    <n v="0.40200000000000002"/>
  </r>
  <r>
    <x v="0"/>
    <x v="0"/>
    <x v="0"/>
    <x v="4"/>
    <x v="8"/>
    <s v="LV_Rural"/>
    <x v="10"/>
    <x v="5"/>
    <x v="0"/>
    <s v="GNR_WT_WIND_ONS"/>
    <n v="60"/>
    <n v="0.06"/>
  </r>
  <r>
    <x v="0"/>
    <x v="0"/>
    <x v="0"/>
    <x v="5"/>
    <x v="9"/>
    <s v="LT_KauU"/>
    <x v="3"/>
    <x v="0"/>
    <x v="0"/>
    <s v="KAUNAS_ST_MSW_BP"/>
    <n v="24"/>
    <n v="2.4E-2"/>
  </r>
  <r>
    <x v="0"/>
    <x v="0"/>
    <x v="0"/>
    <x v="5"/>
    <x v="9"/>
    <s v="LT_KauU"/>
    <x v="4"/>
    <x v="1"/>
    <x v="0"/>
    <s v="GNR_ST_NGAS_EXT_E-24"/>
    <n v="60"/>
    <n v="0.06"/>
  </r>
  <r>
    <x v="0"/>
    <x v="0"/>
    <x v="0"/>
    <x v="5"/>
    <x v="9"/>
    <s v="LT_KauU"/>
    <x v="4"/>
    <x v="1"/>
    <x v="0"/>
    <s v="GNR_ST_NGAS_EXT_E-31"/>
    <n v="110"/>
    <n v="0.11"/>
  </r>
  <r>
    <x v="0"/>
    <x v="0"/>
    <x v="0"/>
    <x v="5"/>
    <x v="9"/>
    <s v="LT_KauU"/>
    <x v="9"/>
    <x v="4"/>
    <x v="0"/>
    <s v="GNR_ROR_WTR"/>
    <n v="127.8"/>
    <n v="0.1278"/>
  </r>
  <r>
    <x v="0"/>
    <x v="0"/>
    <x v="0"/>
    <x v="5"/>
    <x v="9"/>
    <s v="LT_KlaU"/>
    <x v="8"/>
    <x v="3"/>
    <x v="0"/>
    <s v="GNR_PV_SUN"/>
    <n v="80"/>
    <n v="0.08"/>
  </r>
  <r>
    <x v="0"/>
    <x v="0"/>
    <x v="0"/>
    <x v="5"/>
    <x v="9"/>
    <s v="LT_KlaU"/>
    <x v="13"/>
    <x v="0"/>
    <x v="0"/>
    <s v="KLAIPEDA_ST_WOOD_BP"/>
    <n v="20"/>
    <n v="0.02"/>
  </r>
  <r>
    <x v="0"/>
    <x v="0"/>
    <x v="0"/>
    <x v="5"/>
    <x v="9"/>
    <s v="LT_Other_DH"/>
    <x v="0"/>
    <x v="1"/>
    <x v="0"/>
    <s v="GNR_ENG_BGAS_EXT_E-33"/>
    <n v="39"/>
    <n v="3.9E-2"/>
  </r>
  <r>
    <x v="0"/>
    <x v="0"/>
    <x v="0"/>
    <x v="5"/>
    <x v="9"/>
    <s v="LT_Other_DH"/>
    <x v="7"/>
    <x v="1"/>
    <x v="0"/>
    <s v="GNR_ST_FUELOIL_EXT_E-22"/>
    <n v="160"/>
    <n v="0.16"/>
  </r>
  <r>
    <x v="0"/>
    <x v="0"/>
    <x v="0"/>
    <x v="5"/>
    <x v="9"/>
    <s v="LT_Other_DH"/>
    <x v="22"/>
    <x v="0"/>
    <x v="0"/>
    <s v="LIFOSA_ST_HEAT_BP"/>
    <n v="37"/>
    <n v="3.6999999999999998E-2"/>
  </r>
  <r>
    <x v="0"/>
    <x v="0"/>
    <x v="0"/>
    <x v="5"/>
    <x v="9"/>
    <s v="LT_Other_DH"/>
    <x v="4"/>
    <x v="0"/>
    <x v="0"/>
    <s v="ALYTUS_ENG_NGAS_BP"/>
    <n v="9.1999999999999993"/>
    <n v="9.1999999999999998E-3"/>
  </r>
  <r>
    <x v="0"/>
    <x v="0"/>
    <x v="0"/>
    <x v="5"/>
    <x v="9"/>
    <s v="LT_Other_DH"/>
    <x v="4"/>
    <x v="0"/>
    <x v="0"/>
    <s v="GNR_ST_GAS_BP-E15"/>
    <n v="20"/>
    <n v="0.02"/>
  </r>
  <r>
    <x v="0"/>
    <x v="0"/>
    <x v="0"/>
    <x v="5"/>
    <x v="9"/>
    <s v="LT_Other_DH"/>
    <x v="4"/>
    <x v="1"/>
    <x v="0"/>
    <s v="ACHEMA1_ST_NGAS_EXT"/>
    <n v="22"/>
    <n v="2.1999999999999999E-2"/>
  </r>
  <r>
    <x v="0"/>
    <x v="0"/>
    <x v="0"/>
    <x v="5"/>
    <x v="9"/>
    <s v="LT_Other_DH"/>
    <x v="4"/>
    <x v="1"/>
    <x v="0"/>
    <s v="ACHEMA2_ST_NGAS_EXT"/>
    <n v="47"/>
    <n v="4.7E-2"/>
  </r>
  <r>
    <x v="0"/>
    <x v="0"/>
    <x v="0"/>
    <x v="5"/>
    <x v="9"/>
    <s v="LT_Other_DH"/>
    <x v="4"/>
    <x v="1"/>
    <x v="0"/>
    <s v="GNR_ENG_NGAS_EXT_E-43"/>
    <n v="4"/>
    <n v="4.0000000000000001E-3"/>
  </r>
  <r>
    <x v="0"/>
    <x v="0"/>
    <x v="0"/>
    <x v="5"/>
    <x v="9"/>
    <s v="LT_Other_DH"/>
    <x v="14"/>
    <x v="0"/>
    <x v="0"/>
    <s v="EBAVERE_ST_WOODWST_BP"/>
    <n v="10.4"/>
    <n v="1.04E-2"/>
  </r>
  <r>
    <x v="0"/>
    <x v="0"/>
    <x v="0"/>
    <x v="5"/>
    <x v="9"/>
    <s v="LT_Panevezys"/>
    <x v="4"/>
    <x v="0"/>
    <x v="0"/>
    <s v="GNR_CC_NGAS_BP_E-42"/>
    <n v="35"/>
    <n v="3.5000000000000003E-2"/>
  </r>
  <r>
    <x v="0"/>
    <x v="0"/>
    <x v="0"/>
    <x v="5"/>
    <x v="9"/>
    <s v="LT_Panevezys"/>
    <x v="13"/>
    <x v="1"/>
    <x v="0"/>
    <s v="GNR_ST_WOOD_EXT_E-14"/>
    <n v="2.5"/>
    <n v="2.5000000000000001E-3"/>
  </r>
  <r>
    <x v="0"/>
    <x v="0"/>
    <x v="0"/>
    <x v="5"/>
    <x v="9"/>
    <s v="LT_Rural"/>
    <x v="10"/>
    <x v="5"/>
    <x v="0"/>
    <s v="GNR_WT_WIND_ONS"/>
    <n v="509"/>
    <n v="0.50900000000000001"/>
  </r>
  <r>
    <x v="0"/>
    <x v="0"/>
    <x v="0"/>
    <x v="5"/>
    <x v="9"/>
    <s v="LT_SiaU"/>
    <x v="13"/>
    <x v="0"/>
    <x v="0"/>
    <s v="SIAULIAI_ST_WOOD_BP"/>
    <n v="10.8"/>
    <n v="1.0800000000000001E-2"/>
  </r>
  <r>
    <x v="0"/>
    <x v="0"/>
    <x v="0"/>
    <x v="5"/>
    <x v="9"/>
    <s v="LT_VilU"/>
    <x v="3"/>
    <x v="0"/>
    <x v="0"/>
    <s v="VILNIUS_ST_MSW_BP"/>
    <n v="92"/>
    <n v="9.1999999999999998E-2"/>
  </r>
  <r>
    <x v="0"/>
    <x v="0"/>
    <x v="0"/>
    <x v="5"/>
    <x v="9"/>
    <s v="LT_VilU"/>
    <x v="4"/>
    <x v="2"/>
    <x v="0"/>
    <s v="GNR_CC_NGAS_CND_E-58"/>
    <n v="455"/>
    <n v="0.45500000000000002"/>
  </r>
  <r>
    <x v="0"/>
    <x v="0"/>
    <x v="0"/>
    <x v="5"/>
    <x v="9"/>
    <s v="LT_VilU"/>
    <x v="4"/>
    <x v="2"/>
    <x v="0"/>
    <s v="GNR_ST_NGAS_CON_E-38"/>
    <n v="600"/>
    <n v="0.6"/>
  </r>
  <r>
    <x v="0"/>
    <x v="0"/>
    <x v="0"/>
    <x v="5"/>
    <x v="9"/>
    <s v="LT_VilU"/>
    <x v="4"/>
    <x v="1"/>
    <x v="0"/>
    <s v="GNR_ST_NGAS_EXT_E-39"/>
    <n v="360"/>
    <n v="0.36"/>
  </r>
  <r>
    <x v="0"/>
    <x v="0"/>
    <x v="0"/>
    <x v="5"/>
    <x v="9"/>
    <s v="LT_VilU"/>
    <x v="9"/>
    <x v="8"/>
    <x v="0"/>
    <s v="GNR_ES_WTR_PMP"/>
    <n v="95.744680851063805"/>
    <n v="9.5744680851063801E-2"/>
  </r>
  <r>
    <x v="0"/>
    <x v="0"/>
    <x v="0"/>
    <x v="5"/>
    <x v="9"/>
    <s v="LT_VilU"/>
    <x v="13"/>
    <x v="0"/>
    <x v="0"/>
    <s v="VILNIUS_ST_WOOD_BP"/>
    <n v="15"/>
    <n v="1.4999999999999999E-2"/>
  </r>
  <r>
    <x v="0"/>
    <x v="0"/>
    <x v="0"/>
    <x v="6"/>
    <x v="10"/>
    <s v="NL_A"/>
    <x v="1"/>
    <x v="2"/>
    <x v="0"/>
    <s v="GNR_ST_COAL_CND_E-40"/>
    <n v="4875"/>
    <n v="4.875"/>
  </r>
  <r>
    <x v="0"/>
    <x v="0"/>
    <x v="0"/>
    <x v="6"/>
    <x v="10"/>
    <s v="NL_A"/>
    <x v="3"/>
    <x v="2"/>
    <x v="0"/>
    <s v="GNR_ST_MSW_CND_E-40"/>
    <n v="684"/>
    <n v="0.68400000000000005"/>
  </r>
  <r>
    <x v="0"/>
    <x v="0"/>
    <x v="0"/>
    <x v="6"/>
    <x v="10"/>
    <s v="NL_A"/>
    <x v="4"/>
    <x v="2"/>
    <x v="0"/>
    <s v="GNR_CC_NGAS_CND_E-38"/>
    <n v="20969"/>
    <n v="20.969000000000001"/>
  </r>
  <r>
    <x v="0"/>
    <x v="0"/>
    <x v="0"/>
    <x v="6"/>
    <x v="10"/>
    <s v="NL_A"/>
    <x v="18"/>
    <x v="2"/>
    <x v="0"/>
    <s v="GNR_ST_NUCL_CND_E-33"/>
    <n v="515"/>
    <n v="0.51500000000000001"/>
  </r>
  <r>
    <x v="0"/>
    <x v="0"/>
    <x v="0"/>
    <x v="6"/>
    <x v="10"/>
    <s v="NL_A"/>
    <x v="8"/>
    <x v="3"/>
    <x v="0"/>
    <s v="GNR_PV_SUN"/>
    <n v="760"/>
    <n v="0.76"/>
  </r>
  <r>
    <x v="0"/>
    <x v="0"/>
    <x v="0"/>
    <x v="6"/>
    <x v="10"/>
    <s v="NL_A"/>
    <x v="9"/>
    <x v="4"/>
    <x v="0"/>
    <s v="GNR_ROR_WTR"/>
    <n v="38"/>
    <n v="3.7999999999999999E-2"/>
  </r>
  <r>
    <x v="0"/>
    <x v="0"/>
    <x v="0"/>
    <x v="6"/>
    <x v="10"/>
    <s v="NL_A"/>
    <x v="10"/>
    <x v="5"/>
    <x v="0"/>
    <s v="GNR_WT_WIND_OFF"/>
    <n v="247"/>
    <n v="0.247"/>
  </r>
  <r>
    <x v="0"/>
    <x v="0"/>
    <x v="0"/>
    <x v="6"/>
    <x v="10"/>
    <s v="NL_A"/>
    <x v="10"/>
    <x v="5"/>
    <x v="0"/>
    <s v="GNR_WT_WIND_ONS"/>
    <n v="2466"/>
    <n v="2.4660000000000002"/>
  </r>
  <r>
    <x v="0"/>
    <x v="0"/>
    <x v="0"/>
    <x v="6"/>
    <x v="10"/>
    <s v="NL_A"/>
    <x v="13"/>
    <x v="2"/>
    <x v="0"/>
    <s v="GNR_ST_WOOD_CND_E-50"/>
    <n v="400"/>
    <n v="0.4"/>
  </r>
  <r>
    <x v="0"/>
    <x v="0"/>
    <x v="0"/>
    <x v="7"/>
    <x v="11"/>
    <s v="NO1_A1"/>
    <x v="3"/>
    <x v="0"/>
    <x v="0"/>
    <s v="GBPR_MUNIWASTE"/>
    <n v="8.1999999999999993"/>
    <n v="8.2000000000000007E-3"/>
  </r>
  <r>
    <x v="0"/>
    <x v="0"/>
    <x v="0"/>
    <x v="7"/>
    <x v="11"/>
    <s v="NO1_A1"/>
    <x v="9"/>
    <x v="4"/>
    <x v="0"/>
    <s v="GNR_ROR_WTR"/>
    <n v="1968.9754"/>
    <n v="1.9689753999999999"/>
  </r>
  <r>
    <x v="0"/>
    <x v="0"/>
    <x v="0"/>
    <x v="7"/>
    <x v="11"/>
    <s v="NO1_A1"/>
    <x v="9"/>
    <x v="6"/>
    <x v="0"/>
    <s v="GNR_RES_WTR_NOPMP_MC-01"/>
    <n v="160"/>
    <n v="0.16"/>
  </r>
  <r>
    <x v="0"/>
    <x v="0"/>
    <x v="0"/>
    <x v="7"/>
    <x v="11"/>
    <s v="NO1_A1"/>
    <x v="9"/>
    <x v="6"/>
    <x v="0"/>
    <s v="GNR_RES_WTR_NOPMP_MC-02"/>
    <n v="160"/>
    <n v="0.16"/>
  </r>
  <r>
    <x v="0"/>
    <x v="0"/>
    <x v="0"/>
    <x v="7"/>
    <x v="11"/>
    <s v="NO1_A1"/>
    <x v="9"/>
    <x v="6"/>
    <x v="0"/>
    <s v="GNR_RES_WTR_NOPMP_MC-03"/>
    <n v="160"/>
    <n v="0.16"/>
  </r>
  <r>
    <x v="0"/>
    <x v="0"/>
    <x v="0"/>
    <x v="7"/>
    <x v="11"/>
    <s v="NO1_A1"/>
    <x v="9"/>
    <x v="6"/>
    <x v="0"/>
    <s v="GNR_RES_WTR_NOPMP_MC-04"/>
    <n v="160"/>
    <n v="0.16"/>
  </r>
  <r>
    <x v="0"/>
    <x v="0"/>
    <x v="0"/>
    <x v="7"/>
    <x v="11"/>
    <s v="NO1_A1"/>
    <x v="9"/>
    <x v="6"/>
    <x v="0"/>
    <s v="GNR_RES_WTR_NOPMP_MC-05"/>
    <n v="160"/>
    <n v="0.16"/>
  </r>
  <r>
    <x v="0"/>
    <x v="0"/>
    <x v="0"/>
    <x v="7"/>
    <x v="11"/>
    <s v="NO1_A1"/>
    <x v="9"/>
    <x v="6"/>
    <x v="0"/>
    <s v="GNR_RES_WTR_NOPMP_MC-06"/>
    <n v="160"/>
    <n v="0.16"/>
  </r>
  <r>
    <x v="0"/>
    <x v="0"/>
    <x v="0"/>
    <x v="7"/>
    <x v="11"/>
    <s v="NO1_A1"/>
    <x v="9"/>
    <x v="6"/>
    <x v="0"/>
    <s v="GNR_RES_WTR_NOPMP_MC-07"/>
    <n v="160"/>
    <n v="0.16"/>
  </r>
  <r>
    <x v="0"/>
    <x v="0"/>
    <x v="0"/>
    <x v="7"/>
    <x v="11"/>
    <s v="NO1_A1"/>
    <x v="9"/>
    <x v="6"/>
    <x v="0"/>
    <s v="GNR_RES_WTR_NOPMP_MC-08"/>
    <n v="160"/>
    <n v="0.16"/>
  </r>
  <r>
    <x v="0"/>
    <x v="0"/>
    <x v="0"/>
    <x v="7"/>
    <x v="11"/>
    <s v="NO1_A1"/>
    <x v="9"/>
    <x v="6"/>
    <x v="0"/>
    <s v="GNR_RES_WTR_NOPMP_MC-09"/>
    <n v="160"/>
    <n v="0.16"/>
  </r>
  <r>
    <x v="0"/>
    <x v="0"/>
    <x v="0"/>
    <x v="7"/>
    <x v="11"/>
    <s v="NO1_A1"/>
    <x v="9"/>
    <x v="6"/>
    <x v="0"/>
    <s v="GNR_RES_WTR_NOPMP_MC-10"/>
    <n v="160"/>
    <n v="0.16"/>
  </r>
  <r>
    <x v="0"/>
    <x v="0"/>
    <x v="0"/>
    <x v="7"/>
    <x v="11"/>
    <s v="NO1_A2"/>
    <x v="3"/>
    <x v="0"/>
    <x v="0"/>
    <s v="GBPR_MUNIWASTE"/>
    <n v="11.0933333333332"/>
    <n v="1.10933333333332E-2"/>
  </r>
  <r>
    <x v="0"/>
    <x v="0"/>
    <x v="0"/>
    <x v="7"/>
    <x v="12"/>
    <s v="NO2_A1"/>
    <x v="3"/>
    <x v="0"/>
    <x v="0"/>
    <s v="GBPR_MUNIWASTE"/>
    <n v="10.8"/>
    <n v="1.0800000000000001E-2"/>
  </r>
  <r>
    <x v="0"/>
    <x v="0"/>
    <x v="0"/>
    <x v="7"/>
    <x v="12"/>
    <s v="NO2_A1"/>
    <x v="9"/>
    <x v="4"/>
    <x v="0"/>
    <s v="GNR_ROR_WTR"/>
    <n v="1959.0650424563401"/>
    <n v="1.9590650424563401"/>
  </r>
  <r>
    <x v="0"/>
    <x v="0"/>
    <x v="0"/>
    <x v="7"/>
    <x v="12"/>
    <s v="NO2_A1"/>
    <x v="9"/>
    <x v="6"/>
    <x v="0"/>
    <s v="GNR_RES_WTR_NOPMP_MC-01"/>
    <n v="367.19205575436598"/>
    <n v="0.36719205575436598"/>
  </r>
  <r>
    <x v="0"/>
    <x v="0"/>
    <x v="0"/>
    <x v="7"/>
    <x v="12"/>
    <s v="NO2_A1"/>
    <x v="9"/>
    <x v="6"/>
    <x v="0"/>
    <s v="GNR_RES_WTR_NOPMP_MC-02"/>
    <n v="887.19205575436604"/>
    <n v="0.88719205575436599"/>
  </r>
  <r>
    <x v="0"/>
    <x v="0"/>
    <x v="0"/>
    <x v="7"/>
    <x v="12"/>
    <s v="NO2_A1"/>
    <x v="9"/>
    <x v="6"/>
    <x v="0"/>
    <s v="GNR_RES_WTR_NOPMP_MC-03"/>
    <n v="887.19205575436604"/>
    <n v="0.88719205575436599"/>
  </r>
  <r>
    <x v="0"/>
    <x v="0"/>
    <x v="0"/>
    <x v="7"/>
    <x v="12"/>
    <s v="NO2_A1"/>
    <x v="9"/>
    <x v="6"/>
    <x v="0"/>
    <s v="GNR_RES_WTR_NOPMP_MC-04"/>
    <n v="887.19205575436604"/>
    <n v="0.88719205575436599"/>
  </r>
  <r>
    <x v="0"/>
    <x v="0"/>
    <x v="0"/>
    <x v="7"/>
    <x v="12"/>
    <s v="NO2_A1"/>
    <x v="9"/>
    <x v="6"/>
    <x v="0"/>
    <s v="GNR_RES_WTR_NOPMP_MC-05"/>
    <n v="887.19205575436604"/>
    <n v="0.88719205575436599"/>
  </r>
  <r>
    <x v="0"/>
    <x v="0"/>
    <x v="0"/>
    <x v="7"/>
    <x v="12"/>
    <s v="NO2_A1"/>
    <x v="9"/>
    <x v="6"/>
    <x v="0"/>
    <s v="GNR_RES_WTR_NOPMP_MC-06"/>
    <n v="887.19205575436604"/>
    <n v="0.88719205575436599"/>
  </r>
  <r>
    <x v="0"/>
    <x v="0"/>
    <x v="0"/>
    <x v="7"/>
    <x v="12"/>
    <s v="NO2_A1"/>
    <x v="9"/>
    <x v="6"/>
    <x v="0"/>
    <s v="GNR_RES_WTR_NOPMP_MC-07"/>
    <n v="887.19205575436604"/>
    <n v="0.88719205575436599"/>
  </r>
  <r>
    <x v="0"/>
    <x v="0"/>
    <x v="0"/>
    <x v="7"/>
    <x v="12"/>
    <s v="NO2_A1"/>
    <x v="9"/>
    <x v="6"/>
    <x v="0"/>
    <s v="GNR_RES_WTR_NOPMP_MC-08"/>
    <n v="887.19205575436604"/>
    <n v="0.88719205575436599"/>
  </r>
  <r>
    <x v="0"/>
    <x v="0"/>
    <x v="0"/>
    <x v="7"/>
    <x v="12"/>
    <s v="NO2_A1"/>
    <x v="9"/>
    <x v="6"/>
    <x v="0"/>
    <s v="GNR_RES_WTR_NOPMP_MC-09"/>
    <n v="887.19205575436604"/>
    <n v="0.88719205575436599"/>
  </r>
  <r>
    <x v="0"/>
    <x v="0"/>
    <x v="0"/>
    <x v="7"/>
    <x v="12"/>
    <s v="NO2_A1"/>
    <x v="9"/>
    <x v="6"/>
    <x v="0"/>
    <s v="GNR_RES_WTR_NOPMP_MC-10"/>
    <n v="887.19205575436604"/>
    <n v="0.88719205575436599"/>
  </r>
  <r>
    <x v="0"/>
    <x v="0"/>
    <x v="0"/>
    <x v="7"/>
    <x v="12"/>
    <s v="NO2_A1"/>
    <x v="9"/>
    <x v="6"/>
    <x v="0"/>
    <s v="GNR_RES_WTR_PMP_MC-01"/>
    <n v="520"/>
    <n v="0.52"/>
  </r>
  <r>
    <x v="0"/>
    <x v="0"/>
    <x v="0"/>
    <x v="7"/>
    <x v="12"/>
    <s v="NO2_A1"/>
    <x v="10"/>
    <x v="5"/>
    <x v="0"/>
    <s v="GNR_WT_WIND_ONS"/>
    <n v="536.15"/>
    <n v="0.53615000000000002"/>
  </r>
  <r>
    <x v="0"/>
    <x v="0"/>
    <x v="0"/>
    <x v="7"/>
    <x v="13"/>
    <s v="NO3_A1"/>
    <x v="3"/>
    <x v="0"/>
    <x v="0"/>
    <s v="GBPR_MUNIWASTE"/>
    <n v="4.29"/>
    <n v="4.2900000000000004E-3"/>
  </r>
  <r>
    <x v="0"/>
    <x v="0"/>
    <x v="0"/>
    <x v="7"/>
    <x v="13"/>
    <s v="NO3_A1"/>
    <x v="4"/>
    <x v="2"/>
    <x v="0"/>
    <s v="GCND_NATGAS4"/>
    <n v="300"/>
    <n v="0.3"/>
  </r>
  <r>
    <x v="0"/>
    <x v="0"/>
    <x v="0"/>
    <x v="7"/>
    <x v="13"/>
    <s v="NO3_A1"/>
    <x v="9"/>
    <x v="4"/>
    <x v="0"/>
    <s v="GNR_ROR_WTR"/>
    <n v="1564.9305633965"/>
    <n v="1.5649305633965001"/>
  </r>
  <r>
    <x v="0"/>
    <x v="0"/>
    <x v="0"/>
    <x v="7"/>
    <x v="13"/>
    <s v="NO3_A1"/>
    <x v="9"/>
    <x v="6"/>
    <x v="0"/>
    <s v="GNR_RES_WTR_NOPMP_MC-01"/>
    <n v="221.84651366034899"/>
    <n v="0.22184651366034899"/>
  </r>
  <r>
    <x v="0"/>
    <x v="0"/>
    <x v="0"/>
    <x v="7"/>
    <x v="13"/>
    <s v="NO3_A1"/>
    <x v="9"/>
    <x v="6"/>
    <x v="0"/>
    <s v="GNR_RES_WTR_NOPMP_MC-02"/>
    <n v="282.146513660349"/>
    <n v="0.28214651366034899"/>
  </r>
  <r>
    <x v="0"/>
    <x v="0"/>
    <x v="0"/>
    <x v="7"/>
    <x v="13"/>
    <s v="NO3_A1"/>
    <x v="9"/>
    <x v="6"/>
    <x v="0"/>
    <s v="GNR_RES_WTR_NOPMP_MC-03"/>
    <n v="282.146513660349"/>
    <n v="0.28214651366034899"/>
  </r>
  <r>
    <x v="0"/>
    <x v="0"/>
    <x v="0"/>
    <x v="7"/>
    <x v="13"/>
    <s v="NO3_A1"/>
    <x v="9"/>
    <x v="6"/>
    <x v="0"/>
    <s v="GNR_RES_WTR_NOPMP_MC-04"/>
    <n v="282.146513660349"/>
    <n v="0.28214651366034899"/>
  </r>
  <r>
    <x v="0"/>
    <x v="0"/>
    <x v="0"/>
    <x v="7"/>
    <x v="13"/>
    <s v="NO3_A1"/>
    <x v="9"/>
    <x v="6"/>
    <x v="0"/>
    <s v="GNR_RES_WTR_NOPMP_MC-05"/>
    <n v="282.146513660349"/>
    <n v="0.28214651366034899"/>
  </r>
  <r>
    <x v="0"/>
    <x v="0"/>
    <x v="0"/>
    <x v="7"/>
    <x v="13"/>
    <s v="NO3_A1"/>
    <x v="9"/>
    <x v="6"/>
    <x v="0"/>
    <s v="GNR_RES_WTR_NOPMP_MC-06"/>
    <n v="282.146513660349"/>
    <n v="0.28214651366034899"/>
  </r>
  <r>
    <x v="0"/>
    <x v="0"/>
    <x v="0"/>
    <x v="7"/>
    <x v="13"/>
    <s v="NO3_A1"/>
    <x v="9"/>
    <x v="6"/>
    <x v="0"/>
    <s v="GNR_RES_WTR_NOPMP_MC-07"/>
    <n v="282.146513660349"/>
    <n v="0.28214651366034899"/>
  </r>
  <r>
    <x v="0"/>
    <x v="0"/>
    <x v="0"/>
    <x v="7"/>
    <x v="13"/>
    <s v="NO3_A1"/>
    <x v="9"/>
    <x v="6"/>
    <x v="0"/>
    <s v="GNR_RES_WTR_NOPMP_MC-08"/>
    <n v="282.146513660349"/>
    <n v="0.28214651366034899"/>
  </r>
  <r>
    <x v="0"/>
    <x v="0"/>
    <x v="0"/>
    <x v="7"/>
    <x v="13"/>
    <s v="NO3_A1"/>
    <x v="9"/>
    <x v="6"/>
    <x v="0"/>
    <s v="GNR_RES_WTR_NOPMP_MC-09"/>
    <n v="282.146513660349"/>
    <n v="0.28214651366034899"/>
  </r>
  <r>
    <x v="0"/>
    <x v="0"/>
    <x v="0"/>
    <x v="7"/>
    <x v="13"/>
    <s v="NO3_A1"/>
    <x v="9"/>
    <x v="6"/>
    <x v="0"/>
    <s v="GNR_RES_WTR_NOPMP_MC-10"/>
    <n v="282.146513660349"/>
    <n v="0.28214651366034899"/>
  </r>
  <r>
    <x v="0"/>
    <x v="0"/>
    <x v="0"/>
    <x v="7"/>
    <x v="13"/>
    <s v="NO3_A1"/>
    <x v="9"/>
    <x v="6"/>
    <x v="0"/>
    <s v="GNR_RES_WTR_PMP_MC-01"/>
    <n v="60.3"/>
    <n v="6.0299999999999999E-2"/>
  </r>
  <r>
    <x v="0"/>
    <x v="0"/>
    <x v="0"/>
    <x v="7"/>
    <x v="13"/>
    <s v="NO3_A1"/>
    <x v="10"/>
    <x v="5"/>
    <x v="0"/>
    <s v="GNR_WT_WIND_ONS"/>
    <n v="360.45"/>
    <n v="0.36044999999999999"/>
  </r>
  <r>
    <x v="0"/>
    <x v="0"/>
    <x v="0"/>
    <x v="7"/>
    <x v="14"/>
    <s v="NO4_A1"/>
    <x v="3"/>
    <x v="0"/>
    <x v="0"/>
    <s v="GBPR_MUNIWASTE"/>
    <n v="0.16800000000000001"/>
    <n v="1.6799999999999999E-4"/>
  </r>
  <r>
    <x v="0"/>
    <x v="0"/>
    <x v="0"/>
    <x v="7"/>
    <x v="14"/>
    <s v="NO4_A1"/>
    <x v="9"/>
    <x v="4"/>
    <x v="0"/>
    <s v="GNR_ROR_WTR"/>
    <n v="835.590232199924"/>
    <n v="0.83559023219992401"/>
  </r>
  <r>
    <x v="0"/>
    <x v="0"/>
    <x v="0"/>
    <x v="7"/>
    <x v="14"/>
    <s v="NO4_A1"/>
    <x v="9"/>
    <x v="6"/>
    <x v="0"/>
    <s v="GNR_RES_WTR_NOPMP_MC-01"/>
    <n v="419.56363678000798"/>
    <n v="0.41956363678000802"/>
  </r>
  <r>
    <x v="0"/>
    <x v="0"/>
    <x v="0"/>
    <x v="7"/>
    <x v="14"/>
    <s v="NO4_A1"/>
    <x v="9"/>
    <x v="6"/>
    <x v="0"/>
    <s v="GNR_RES_WTR_NOPMP_MC-02"/>
    <n v="419.56363678000798"/>
    <n v="0.41956363678000802"/>
  </r>
  <r>
    <x v="0"/>
    <x v="0"/>
    <x v="0"/>
    <x v="7"/>
    <x v="14"/>
    <s v="NO4_A1"/>
    <x v="9"/>
    <x v="6"/>
    <x v="0"/>
    <s v="GNR_RES_WTR_NOPMP_MC-03"/>
    <n v="419.56363678000798"/>
    <n v="0.41956363678000802"/>
  </r>
  <r>
    <x v="0"/>
    <x v="0"/>
    <x v="0"/>
    <x v="7"/>
    <x v="14"/>
    <s v="NO4_A1"/>
    <x v="9"/>
    <x v="6"/>
    <x v="0"/>
    <s v="GNR_RES_WTR_NOPMP_MC-04"/>
    <n v="419.56363678000798"/>
    <n v="0.41956363678000802"/>
  </r>
  <r>
    <x v="0"/>
    <x v="0"/>
    <x v="0"/>
    <x v="7"/>
    <x v="14"/>
    <s v="NO4_A1"/>
    <x v="9"/>
    <x v="6"/>
    <x v="0"/>
    <s v="GNR_RES_WTR_NOPMP_MC-05"/>
    <n v="419.56363678000798"/>
    <n v="0.41956363678000802"/>
  </r>
  <r>
    <x v="0"/>
    <x v="0"/>
    <x v="0"/>
    <x v="7"/>
    <x v="14"/>
    <s v="NO4_A1"/>
    <x v="9"/>
    <x v="6"/>
    <x v="0"/>
    <s v="GNR_RES_WTR_NOPMP_MC-06"/>
    <n v="419.56363678000798"/>
    <n v="0.41956363678000802"/>
  </r>
  <r>
    <x v="0"/>
    <x v="0"/>
    <x v="0"/>
    <x v="7"/>
    <x v="14"/>
    <s v="NO4_A1"/>
    <x v="9"/>
    <x v="6"/>
    <x v="0"/>
    <s v="GNR_RES_WTR_NOPMP_MC-07"/>
    <n v="419.56363678000798"/>
    <n v="0.41956363678000802"/>
  </r>
  <r>
    <x v="0"/>
    <x v="0"/>
    <x v="0"/>
    <x v="7"/>
    <x v="14"/>
    <s v="NO4_A1"/>
    <x v="9"/>
    <x v="6"/>
    <x v="0"/>
    <s v="GNR_RES_WTR_NOPMP_MC-08"/>
    <n v="419.56363678000798"/>
    <n v="0.41956363678000802"/>
  </r>
  <r>
    <x v="0"/>
    <x v="0"/>
    <x v="0"/>
    <x v="7"/>
    <x v="14"/>
    <s v="NO4_A1"/>
    <x v="9"/>
    <x v="6"/>
    <x v="0"/>
    <s v="GNR_RES_WTR_NOPMP_MC-09"/>
    <n v="419.56363678000798"/>
    <n v="0.41956363678000802"/>
  </r>
  <r>
    <x v="0"/>
    <x v="0"/>
    <x v="0"/>
    <x v="7"/>
    <x v="14"/>
    <s v="NO4_A1"/>
    <x v="9"/>
    <x v="6"/>
    <x v="0"/>
    <s v="GNR_RES_WTR_NOPMP_MC-10"/>
    <n v="419.56363678000798"/>
    <n v="0.41956363678000802"/>
  </r>
  <r>
    <x v="0"/>
    <x v="0"/>
    <x v="0"/>
    <x v="7"/>
    <x v="14"/>
    <s v="NO4_A1"/>
    <x v="10"/>
    <x v="5"/>
    <x v="0"/>
    <s v="GNR_WT_WIND_ONS"/>
    <n v="262.8"/>
    <n v="0.26279999999999998"/>
  </r>
  <r>
    <x v="0"/>
    <x v="0"/>
    <x v="0"/>
    <x v="7"/>
    <x v="15"/>
    <s v="NO5_A1"/>
    <x v="3"/>
    <x v="0"/>
    <x v="0"/>
    <s v="GBPR_MUNIWASTE"/>
    <n v="8"/>
    <n v="8.0000000000000002E-3"/>
  </r>
  <r>
    <x v="0"/>
    <x v="0"/>
    <x v="0"/>
    <x v="7"/>
    <x v="15"/>
    <s v="NO5_A1"/>
    <x v="9"/>
    <x v="4"/>
    <x v="0"/>
    <s v="GNR_ROR_WTR"/>
    <n v="1785.2504811408401"/>
    <n v="1.7852504811408401"/>
  </r>
  <r>
    <x v="0"/>
    <x v="0"/>
    <x v="0"/>
    <x v="7"/>
    <x v="15"/>
    <s v="NO5_A1"/>
    <x v="9"/>
    <x v="6"/>
    <x v="0"/>
    <s v="GNR_RES_WTR_NOPMP_MC-01"/>
    <n v="154.193241885916"/>
    <n v="0.15419324188591599"/>
  </r>
  <r>
    <x v="0"/>
    <x v="0"/>
    <x v="0"/>
    <x v="7"/>
    <x v="15"/>
    <s v="NO5_A1"/>
    <x v="9"/>
    <x v="6"/>
    <x v="0"/>
    <s v="GNR_RES_WTR_NOPMP_MC-02"/>
    <n v="598.193241885916"/>
    <n v="0.59819324188591605"/>
  </r>
  <r>
    <x v="0"/>
    <x v="0"/>
    <x v="0"/>
    <x v="7"/>
    <x v="15"/>
    <s v="NO5_A1"/>
    <x v="9"/>
    <x v="6"/>
    <x v="0"/>
    <s v="GNR_RES_WTR_NOPMP_MC-03"/>
    <n v="598.193241885916"/>
    <n v="0.59819324188591605"/>
  </r>
  <r>
    <x v="0"/>
    <x v="0"/>
    <x v="0"/>
    <x v="7"/>
    <x v="15"/>
    <s v="NO5_A1"/>
    <x v="9"/>
    <x v="6"/>
    <x v="0"/>
    <s v="GNR_RES_WTR_NOPMP_MC-04"/>
    <n v="598.193241885916"/>
    <n v="0.59819324188591605"/>
  </r>
  <r>
    <x v="0"/>
    <x v="0"/>
    <x v="0"/>
    <x v="7"/>
    <x v="15"/>
    <s v="NO5_A1"/>
    <x v="9"/>
    <x v="6"/>
    <x v="0"/>
    <s v="GNR_RES_WTR_NOPMP_MC-05"/>
    <n v="598.193241885916"/>
    <n v="0.59819324188591605"/>
  </r>
  <r>
    <x v="0"/>
    <x v="0"/>
    <x v="0"/>
    <x v="7"/>
    <x v="15"/>
    <s v="NO5_A1"/>
    <x v="9"/>
    <x v="6"/>
    <x v="0"/>
    <s v="GNR_RES_WTR_NOPMP_MC-06"/>
    <n v="598.193241885916"/>
    <n v="0.59819324188591605"/>
  </r>
  <r>
    <x v="0"/>
    <x v="0"/>
    <x v="0"/>
    <x v="7"/>
    <x v="15"/>
    <s v="NO5_A1"/>
    <x v="9"/>
    <x v="6"/>
    <x v="0"/>
    <s v="GNR_RES_WTR_NOPMP_MC-07"/>
    <n v="598.193241885916"/>
    <n v="0.59819324188591605"/>
  </r>
  <r>
    <x v="0"/>
    <x v="0"/>
    <x v="0"/>
    <x v="7"/>
    <x v="15"/>
    <s v="NO5_A1"/>
    <x v="9"/>
    <x v="6"/>
    <x v="0"/>
    <s v="GNR_RES_WTR_NOPMP_MC-08"/>
    <n v="598.193241885916"/>
    <n v="0.59819324188591605"/>
  </r>
  <r>
    <x v="0"/>
    <x v="0"/>
    <x v="0"/>
    <x v="7"/>
    <x v="15"/>
    <s v="NO5_A1"/>
    <x v="9"/>
    <x v="6"/>
    <x v="0"/>
    <s v="GNR_RES_WTR_NOPMP_MC-09"/>
    <n v="598.193241885916"/>
    <n v="0.59819324188591605"/>
  </r>
  <r>
    <x v="0"/>
    <x v="0"/>
    <x v="0"/>
    <x v="7"/>
    <x v="15"/>
    <s v="NO5_A1"/>
    <x v="9"/>
    <x v="6"/>
    <x v="0"/>
    <s v="GNR_RES_WTR_NOPMP_MC-10"/>
    <n v="598.193241885916"/>
    <n v="0.59819324188591605"/>
  </r>
  <r>
    <x v="0"/>
    <x v="0"/>
    <x v="0"/>
    <x v="7"/>
    <x v="15"/>
    <s v="NO5_A1"/>
    <x v="9"/>
    <x v="6"/>
    <x v="0"/>
    <s v="GNR_RES_WTR_PMP_MC-01"/>
    <n v="444"/>
    <n v="0.44400000000000001"/>
  </r>
  <r>
    <x v="0"/>
    <x v="0"/>
    <x v="0"/>
    <x v="8"/>
    <x v="16"/>
    <s v="PL_A"/>
    <x v="0"/>
    <x v="2"/>
    <x v="0"/>
    <s v="GNR_ST_BGAS_CND_E-37"/>
    <n v="364"/>
    <n v="0.36399999999999999"/>
  </r>
  <r>
    <x v="0"/>
    <x v="0"/>
    <x v="0"/>
    <x v="8"/>
    <x v="16"/>
    <s v="PL_A"/>
    <x v="1"/>
    <x v="0"/>
    <x v="0"/>
    <s v="BIEL-4_ST_COAL_BP"/>
    <n v="48"/>
    <n v="4.8000000000000001E-2"/>
  </r>
  <r>
    <x v="0"/>
    <x v="0"/>
    <x v="0"/>
    <x v="8"/>
    <x v="16"/>
    <s v="PL_A"/>
    <x v="1"/>
    <x v="0"/>
    <x v="0"/>
    <s v="CHOR2-1_ST_COAL_BP"/>
    <n v="272"/>
    <n v="0.27200000000000002"/>
  </r>
  <r>
    <x v="0"/>
    <x v="0"/>
    <x v="0"/>
    <x v="8"/>
    <x v="16"/>
    <s v="PL_A"/>
    <x v="1"/>
    <x v="0"/>
    <x v="0"/>
    <s v="GDAN2-1_ST_COAL_BP"/>
    <n v="737"/>
    <n v="0.73699999999999999"/>
  </r>
  <r>
    <x v="0"/>
    <x v="0"/>
    <x v="0"/>
    <x v="8"/>
    <x v="16"/>
    <s v="PL_A"/>
    <x v="1"/>
    <x v="0"/>
    <x v="0"/>
    <s v="GNR_ST_COAL_BP_E-15"/>
    <n v="680"/>
    <n v="0.68"/>
  </r>
  <r>
    <x v="0"/>
    <x v="0"/>
    <x v="0"/>
    <x v="8"/>
    <x v="16"/>
    <s v="PL_A"/>
    <x v="1"/>
    <x v="0"/>
    <x v="0"/>
    <s v="JAWO2-1_ST_COAL_BP"/>
    <n v="2171"/>
    <n v="2.1709999999999998"/>
  </r>
  <r>
    <x v="0"/>
    <x v="0"/>
    <x v="0"/>
    <x v="8"/>
    <x v="16"/>
    <s v="PL_A"/>
    <x v="1"/>
    <x v="0"/>
    <x v="0"/>
    <s v="KARO-2_ST_COAL_BP"/>
    <n v="198"/>
    <n v="0.19800000000000001"/>
  </r>
  <r>
    <x v="0"/>
    <x v="0"/>
    <x v="0"/>
    <x v="8"/>
    <x v="16"/>
    <s v="PL_A"/>
    <x v="1"/>
    <x v="0"/>
    <x v="0"/>
    <s v="KATO_ST_COAL_BP"/>
    <n v="123"/>
    <n v="0.123"/>
  </r>
  <r>
    <x v="0"/>
    <x v="0"/>
    <x v="0"/>
    <x v="8"/>
    <x v="16"/>
    <s v="PL_A"/>
    <x v="1"/>
    <x v="0"/>
    <x v="0"/>
    <s v="KRLEG-1_ST_COAL_BP"/>
    <n v="215"/>
    <n v="0.215"/>
  </r>
  <r>
    <x v="0"/>
    <x v="0"/>
    <x v="0"/>
    <x v="8"/>
    <x v="16"/>
    <s v="PL_A"/>
    <x v="1"/>
    <x v="0"/>
    <x v="0"/>
    <s v="SIEK-1_ST_COAL_BP"/>
    <n v="312"/>
    <n v="0.312"/>
  </r>
  <r>
    <x v="0"/>
    <x v="0"/>
    <x v="0"/>
    <x v="8"/>
    <x v="16"/>
    <s v="PL_A"/>
    <x v="1"/>
    <x v="0"/>
    <x v="0"/>
    <s v="SIER-1_ST_COAL_BP"/>
    <n v="623"/>
    <n v="0.623"/>
  </r>
  <r>
    <x v="0"/>
    <x v="0"/>
    <x v="0"/>
    <x v="8"/>
    <x v="16"/>
    <s v="PL_A"/>
    <x v="1"/>
    <x v="0"/>
    <x v="0"/>
    <s v="SKAW-1_ST_COAL_BP"/>
    <n v="777"/>
    <n v="0.77700000000000002"/>
  </r>
  <r>
    <x v="0"/>
    <x v="0"/>
    <x v="0"/>
    <x v="8"/>
    <x v="16"/>
    <s v="PL_A"/>
    <x v="1"/>
    <x v="0"/>
    <x v="0"/>
    <s v="TYCH_ST_COAL_BP"/>
    <n v="36"/>
    <n v="3.5999999999999997E-2"/>
  </r>
  <r>
    <x v="0"/>
    <x v="0"/>
    <x v="0"/>
    <x v="8"/>
    <x v="16"/>
    <s v="PL_A"/>
    <x v="1"/>
    <x v="0"/>
    <x v="0"/>
    <s v="ZABR-3_ST_COAL_BP"/>
    <n v="10"/>
    <n v="0.01"/>
  </r>
  <r>
    <x v="0"/>
    <x v="0"/>
    <x v="0"/>
    <x v="8"/>
    <x v="16"/>
    <s v="PL_A"/>
    <x v="1"/>
    <x v="0"/>
    <x v="0"/>
    <s v="ZIEL-2_ST_COAL_BP"/>
    <n v="11"/>
    <n v="1.0999999999999999E-2"/>
  </r>
  <r>
    <x v="0"/>
    <x v="0"/>
    <x v="0"/>
    <x v="8"/>
    <x v="16"/>
    <s v="PL_A"/>
    <x v="1"/>
    <x v="0"/>
    <x v="0"/>
    <s v="ZIEL-4_ST_COAL_BP"/>
    <n v="60"/>
    <n v="0.06"/>
  </r>
  <r>
    <x v="0"/>
    <x v="0"/>
    <x v="0"/>
    <x v="8"/>
    <x v="16"/>
    <s v="PL_A"/>
    <x v="1"/>
    <x v="2"/>
    <x v="0"/>
    <s v="BIAL-4_ST_COAL_CND"/>
    <n v="21"/>
    <n v="2.1000000000000001E-2"/>
  </r>
  <r>
    <x v="0"/>
    <x v="0"/>
    <x v="0"/>
    <x v="8"/>
    <x v="16"/>
    <s v="PL_A"/>
    <x v="1"/>
    <x v="1"/>
    <x v="0"/>
    <s v="CORZ-3_ST_COAL_EXT"/>
    <n v="30"/>
    <n v="0.03"/>
  </r>
  <r>
    <x v="0"/>
    <x v="0"/>
    <x v="0"/>
    <x v="8"/>
    <x v="16"/>
    <s v="PL_A"/>
    <x v="1"/>
    <x v="1"/>
    <x v="0"/>
    <s v="CZEC-1_ST_COAL_EXT"/>
    <n v="327"/>
    <n v="0.32700000000000001"/>
  </r>
  <r>
    <x v="0"/>
    <x v="0"/>
    <x v="0"/>
    <x v="8"/>
    <x v="16"/>
    <s v="PL_A"/>
    <x v="1"/>
    <x v="1"/>
    <x v="0"/>
    <s v="DOLN-1_ST_COAL_EXT"/>
    <n v="204"/>
    <n v="0.20399999999999999"/>
  </r>
  <r>
    <x v="0"/>
    <x v="0"/>
    <x v="0"/>
    <x v="8"/>
    <x v="16"/>
    <s v="PL_A"/>
    <x v="1"/>
    <x v="1"/>
    <x v="0"/>
    <s v="KARO-1_ST_COAL_EXT"/>
    <n v="48"/>
    <n v="4.8000000000000001E-2"/>
  </r>
  <r>
    <x v="0"/>
    <x v="0"/>
    <x v="0"/>
    <x v="8"/>
    <x v="16"/>
    <s v="PL_A"/>
    <x v="1"/>
    <x v="1"/>
    <x v="0"/>
    <s v="KOZI-1_ST_COAL_EXT"/>
    <n v="200"/>
    <n v="0.2"/>
  </r>
  <r>
    <x v="0"/>
    <x v="0"/>
    <x v="0"/>
    <x v="8"/>
    <x v="16"/>
    <s v="PL_A"/>
    <x v="1"/>
    <x v="1"/>
    <x v="0"/>
    <s v="KRLEG-3_ST_COAL_EXT"/>
    <n v="191"/>
    <n v="0.191"/>
  </r>
  <r>
    <x v="0"/>
    <x v="0"/>
    <x v="0"/>
    <x v="8"/>
    <x v="16"/>
    <s v="PL_A"/>
    <x v="1"/>
    <x v="1"/>
    <x v="0"/>
    <s v="LAZI-1_ST_COAL_EXT"/>
    <n v="115"/>
    <n v="0.115"/>
  </r>
  <r>
    <x v="0"/>
    <x v="0"/>
    <x v="0"/>
    <x v="8"/>
    <x v="16"/>
    <s v="PL_A"/>
    <x v="1"/>
    <x v="1"/>
    <x v="0"/>
    <s v="MIEC_ST_COAL_EXT"/>
    <n v="48"/>
    <n v="4.8000000000000001E-2"/>
  </r>
  <r>
    <x v="0"/>
    <x v="0"/>
    <x v="0"/>
    <x v="8"/>
    <x v="16"/>
    <s v="PL_A"/>
    <x v="1"/>
    <x v="1"/>
    <x v="0"/>
    <s v="RYBN-1_ST_COAL_EXT"/>
    <n v="206"/>
    <n v="0.20599999999999999"/>
  </r>
  <r>
    <x v="0"/>
    <x v="0"/>
    <x v="0"/>
    <x v="8"/>
    <x v="16"/>
    <s v="PL_A"/>
    <x v="1"/>
    <x v="1"/>
    <x v="0"/>
    <s v="SIEK-1_ST_COAL_EXT"/>
    <n v="45"/>
    <n v="4.4999999999999998E-2"/>
  </r>
  <r>
    <x v="0"/>
    <x v="0"/>
    <x v="0"/>
    <x v="8"/>
    <x v="16"/>
    <s v="PL_A"/>
    <x v="1"/>
    <x v="1"/>
    <x v="0"/>
    <s v="SIEK-8_ST_COAL_EXT"/>
    <n v="191"/>
    <n v="0.191"/>
  </r>
  <r>
    <x v="0"/>
    <x v="0"/>
    <x v="0"/>
    <x v="8"/>
    <x v="16"/>
    <s v="PL_A"/>
    <x v="1"/>
    <x v="1"/>
    <x v="0"/>
    <s v="ZABR-1_ST_COAL_EXT"/>
    <n v="28"/>
    <n v="2.8000000000000001E-2"/>
  </r>
  <r>
    <x v="0"/>
    <x v="0"/>
    <x v="0"/>
    <x v="8"/>
    <x v="16"/>
    <s v="PL_A"/>
    <x v="1"/>
    <x v="1"/>
    <x v="0"/>
    <s v="ZABR-2_ST_COAL_EXT"/>
    <n v="30"/>
    <n v="0.03"/>
  </r>
  <r>
    <x v="0"/>
    <x v="0"/>
    <x v="0"/>
    <x v="8"/>
    <x v="16"/>
    <s v="PL_A"/>
    <x v="1"/>
    <x v="1"/>
    <x v="0"/>
    <s v="ZERA-7_ST_COAL_EXT"/>
    <n v="84"/>
    <n v="8.4000000000000005E-2"/>
  </r>
  <r>
    <x v="0"/>
    <x v="0"/>
    <x v="0"/>
    <x v="8"/>
    <x v="16"/>
    <s v="PL_A"/>
    <x v="1"/>
    <x v="1"/>
    <x v="0"/>
    <s v="ZERA-8_ST_COAL_EXT"/>
    <n v="84"/>
    <n v="8.4000000000000005E-2"/>
  </r>
  <r>
    <x v="0"/>
    <x v="0"/>
    <x v="0"/>
    <x v="8"/>
    <x v="16"/>
    <s v="PL_A"/>
    <x v="7"/>
    <x v="0"/>
    <x v="0"/>
    <s v="GNR_ST_FUELOIL_BP_E-15"/>
    <n v="220"/>
    <n v="0.22"/>
  </r>
  <r>
    <x v="0"/>
    <x v="0"/>
    <x v="0"/>
    <x v="8"/>
    <x v="16"/>
    <s v="PL_A"/>
    <x v="20"/>
    <x v="1"/>
    <x v="0"/>
    <s v="ADAM-1_ST_LIGNITE_EXT"/>
    <n v="109"/>
    <n v="0.109"/>
  </r>
  <r>
    <x v="0"/>
    <x v="0"/>
    <x v="0"/>
    <x v="8"/>
    <x v="16"/>
    <s v="PL_A"/>
    <x v="20"/>
    <x v="1"/>
    <x v="0"/>
    <s v="BELC-1_ST_LIGNITE_EXT"/>
    <n v="342"/>
    <n v="0.34200000000000003"/>
  </r>
  <r>
    <x v="0"/>
    <x v="0"/>
    <x v="0"/>
    <x v="8"/>
    <x v="16"/>
    <s v="PL_A"/>
    <x v="3"/>
    <x v="1"/>
    <x v="0"/>
    <s v="GNR_ST_MSW_BP_E-15"/>
    <n v="34"/>
    <n v="3.4000000000000002E-2"/>
  </r>
  <r>
    <x v="0"/>
    <x v="0"/>
    <x v="0"/>
    <x v="8"/>
    <x v="16"/>
    <s v="PL_A"/>
    <x v="4"/>
    <x v="0"/>
    <x v="0"/>
    <s v="GORZ-4_ST_NGAS_BP"/>
    <n v="52"/>
    <n v="5.1999999999999998E-2"/>
  </r>
  <r>
    <x v="0"/>
    <x v="0"/>
    <x v="0"/>
    <x v="8"/>
    <x v="16"/>
    <s v="PL_A"/>
    <x v="4"/>
    <x v="0"/>
    <x v="0"/>
    <s v="NOWA-1_ST_NGAS_BP"/>
    <n v="127"/>
    <n v="0.127"/>
  </r>
  <r>
    <x v="0"/>
    <x v="0"/>
    <x v="0"/>
    <x v="8"/>
    <x v="16"/>
    <s v="PL_A"/>
    <x v="4"/>
    <x v="0"/>
    <x v="0"/>
    <s v="RZES-2_ST_NGAS_BP"/>
    <n v="32"/>
    <n v="3.2000000000000001E-2"/>
  </r>
  <r>
    <x v="0"/>
    <x v="0"/>
    <x v="0"/>
    <x v="8"/>
    <x v="16"/>
    <s v="PL_A"/>
    <x v="4"/>
    <x v="0"/>
    <x v="0"/>
    <s v="ZIEL-1_ST_NGAS_BP"/>
    <n v="10"/>
    <n v="0.01"/>
  </r>
  <r>
    <x v="0"/>
    <x v="0"/>
    <x v="0"/>
    <x v="8"/>
    <x v="16"/>
    <s v="PL_A"/>
    <x v="4"/>
    <x v="0"/>
    <x v="0"/>
    <s v="ZIEL-3_ST_NGAS_BP"/>
    <n v="120"/>
    <n v="0.12"/>
  </r>
  <r>
    <x v="0"/>
    <x v="0"/>
    <x v="0"/>
    <x v="8"/>
    <x v="16"/>
    <s v="PL_A"/>
    <x v="4"/>
    <x v="1"/>
    <x v="0"/>
    <s v="GNR_ST_NGAS_BP_E-15"/>
    <n v="142"/>
    <n v="0.14199999999999999"/>
  </r>
  <r>
    <x v="0"/>
    <x v="0"/>
    <x v="0"/>
    <x v="8"/>
    <x v="16"/>
    <s v="PL_A"/>
    <x v="5"/>
    <x v="0"/>
    <x v="0"/>
    <s v="BIAL-1_ST_STRAW_BP"/>
    <n v="128"/>
    <n v="0.128"/>
  </r>
  <r>
    <x v="0"/>
    <x v="0"/>
    <x v="0"/>
    <x v="8"/>
    <x v="16"/>
    <s v="PL_A"/>
    <x v="5"/>
    <x v="0"/>
    <x v="0"/>
    <s v="GNR_ST_STRAW_BP_E-15"/>
    <n v="82"/>
    <n v="8.2000000000000003E-2"/>
  </r>
  <r>
    <x v="0"/>
    <x v="0"/>
    <x v="0"/>
    <x v="8"/>
    <x v="16"/>
    <s v="PL_A"/>
    <x v="5"/>
    <x v="1"/>
    <x v="0"/>
    <s v="LODZ-3_ST_STRAW_EXT"/>
    <n v="88"/>
    <n v="8.7999999999999995E-2"/>
  </r>
  <r>
    <x v="0"/>
    <x v="0"/>
    <x v="0"/>
    <x v="8"/>
    <x v="16"/>
    <s v="PL_A"/>
    <x v="8"/>
    <x v="3"/>
    <x v="0"/>
    <s v="GNR_PV_SUN"/>
    <n v="1"/>
    <n v="1E-3"/>
  </r>
  <r>
    <x v="0"/>
    <x v="0"/>
    <x v="0"/>
    <x v="8"/>
    <x v="16"/>
    <s v="PL_A"/>
    <x v="9"/>
    <x v="8"/>
    <x v="0"/>
    <s v="GNR_ES_WTR_PMP"/>
    <n v="17.659574468085101"/>
    <n v="1.7659574468085099E-2"/>
  </r>
  <r>
    <x v="0"/>
    <x v="0"/>
    <x v="0"/>
    <x v="8"/>
    <x v="16"/>
    <s v="PL_A"/>
    <x v="10"/>
    <x v="5"/>
    <x v="0"/>
    <s v="GNR_WT_WIND_ONS"/>
    <n v="3030"/>
    <n v="3.03"/>
  </r>
  <r>
    <x v="0"/>
    <x v="0"/>
    <x v="0"/>
    <x v="8"/>
    <x v="16"/>
    <s v="PL_A"/>
    <x v="13"/>
    <x v="1"/>
    <x v="0"/>
    <s v="GNR_ST_WOOD_EXT_E-45"/>
    <n v="1180"/>
    <n v="1.18"/>
  </r>
  <r>
    <x v="0"/>
    <x v="0"/>
    <x v="0"/>
    <x v="8"/>
    <x v="16"/>
    <s v="PL_Rural"/>
    <x v="1"/>
    <x v="0"/>
    <x v="0"/>
    <s v="SZCZ-1_ST_COAL_BP"/>
    <n v="55"/>
    <n v="5.5E-2"/>
  </r>
  <r>
    <x v="0"/>
    <x v="0"/>
    <x v="0"/>
    <x v="8"/>
    <x v="16"/>
    <s v="PL_Rural"/>
    <x v="1"/>
    <x v="0"/>
    <x v="0"/>
    <s v="TURO-1_ST_COAL_BP"/>
    <n v="1362"/>
    <n v="1.3620000000000001"/>
  </r>
  <r>
    <x v="0"/>
    <x v="0"/>
    <x v="0"/>
    <x v="8"/>
    <x v="16"/>
    <s v="PL_Rural"/>
    <x v="1"/>
    <x v="2"/>
    <x v="0"/>
    <s v="DOLN-2_ST_COAL_CND"/>
    <n v="1425"/>
    <n v="1.425"/>
  </r>
  <r>
    <x v="0"/>
    <x v="0"/>
    <x v="0"/>
    <x v="8"/>
    <x v="16"/>
    <s v="PL_Rural"/>
    <x v="1"/>
    <x v="2"/>
    <x v="0"/>
    <s v="KOZI-2_ST_COAL_CND"/>
    <n v="2475"/>
    <n v="2.4750000000000001"/>
  </r>
  <r>
    <x v="0"/>
    <x v="0"/>
    <x v="0"/>
    <x v="8"/>
    <x v="16"/>
    <s v="PL_Rural"/>
    <x v="1"/>
    <x v="2"/>
    <x v="0"/>
    <s v="LAGI-6_ST_COAL_CND"/>
    <n v="427"/>
    <n v="0.42699999999999999"/>
  </r>
  <r>
    <x v="0"/>
    <x v="0"/>
    <x v="0"/>
    <x v="8"/>
    <x v="16"/>
    <s v="PL_Rural"/>
    <x v="1"/>
    <x v="2"/>
    <x v="0"/>
    <s v="LAZI-2_ST_COAL_CND"/>
    <n v="938"/>
    <n v="0.93799999999999994"/>
  </r>
  <r>
    <x v="0"/>
    <x v="0"/>
    <x v="0"/>
    <x v="8"/>
    <x v="16"/>
    <s v="PL_Rural"/>
    <x v="1"/>
    <x v="2"/>
    <x v="0"/>
    <s v="OPOL-1_ST_COAL_CND"/>
    <n v="1420"/>
    <n v="1.42"/>
  </r>
  <r>
    <x v="0"/>
    <x v="0"/>
    <x v="0"/>
    <x v="8"/>
    <x v="16"/>
    <s v="PL_Rural"/>
    <x v="1"/>
    <x v="2"/>
    <x v="0"/>
    <s v="OSTRB-1_ST_COAL_CND"/>
    <n v="688"/>
    <n v="0.68799999999999994"/>
  </r>
  <r>
    <x v="0"/>
    <x v="0"/>
    <x v="0"/>
    <x v="8"/>
    <x v="16"/>
    <s v="PL_Rural"/>
    <x v="1"/>
    <x v="2"/>
    <x v="0"/>
    <s v="POLA-2_ST_COAL_CND"/>
    <n v="1656"/>
    <n v="1.6559999999999999"/>
  </r>
  <r>
    <x v="0"/>
    <x v="0"/>
    <x v="0"/>
    <x v="8"/>
    <x v="16"/>
    <s v="PL_Rural"/>
    <x v="1"/>
    <x v="2"/>
    <x v="0"/>
    <s v="RYBN-2_ST_COAL_CND"/>
    <n v="2651"/>
    <n v="2.6509999999999998"/>
  </r>
  <r>
    <x v="0"/>
    <x v="0"/>
    <x v="0"/>
    <x v="8"/>
    <x v="16"/>
    <s v="PL_Rural"/>
    <x v="20"/>
    <x v="2"/>
    <x v="0"/>
    <s v="ADAM-2_ST_LIGNITE_CON"/>
    <n v="610"/>
    <n v="0.61"/>
  </r>
  <r>
    <x v="0"/>
    <x v="0"/>
    <x v="0"/>
    <x v="8"/>
    <x v="16"/>
    <s v="PL_Rural"/>
    <x v="20"/>
    <x v="2"/>
    <x v="0"/>
    <s v="BELC-2_ST_LIGNITE_CON"/>
    <n v="3852"/>
    <n v="3.8519999999999999"/>
  </r>
  <r>
    <x v="0"/>
    <x v="0"/>
    <x v="0"/>
    <x v="8"/>
    <x v="16"/>
    <s v="PL_Rural"/>
    <x v="20"/>
    <x v="2"/>
    <x v="0"/>
    <s v="PATN2-1_ST_LIGNITE_CON"/>
    <n v="441"/>
    <n v="0.441"/>
  </r>
  <r>
    <x v="0"/>
    <x v="0"/>
    <x v="0"/>
    <x v="8"/>
    <x v="16"/>
    <s v="PL_Rural"/>
    <x v="9"/>
    <x v="4"/>
    <x v="0"/>
    <s v="GNR_ROR_WTR"/>
    <n v="953"/>
    <n v="0.95299999999999996"/>
  </r>
  <r>
    <x v="0"/>
    <x v="0"/>
    <x v="0"/>
    <x v="9"/>
    <x v="17"/>
    <s v="SE1A"/>
    <x v="7"/>
    <x v="0"/>
    <x v="0"/>
    <s v="GBPR_IND_FOSSILE"/>
    <n v="100"/>
    <n v="0.1"/>
  </r>
  <r>
    <x v="0"/>
    <x v="0"/>
    <x v="0"/>
    <x v="9"/>
    <x v="17"/>
    <s v="SE1A"/>
    <x v="7"/>
    <x v="2"/>
    <x v="0"/>
    <s v="Back-up-power"/>
    <n v="100000"/>
    <n v="100"/>
  </r>
  <r>
    <x v="0"/>
    <x v="0"/>
    <x v="0"/>
    <x v="9"/>
    <x v="17"/>
    <s v="SE1A"/>
    <x v="7"/>
    <x v="2"/>
    <x v="0"/>
    <s v="GCND_FUELOIL1"/>
    <n v="17.682881861104701"/>
    <n v="1.7682881861104699E-2"/>
  </r>
  <r>
    <x v="0"/>
    <x v="0"/>
    <x v="0"/>
    <x v="9"/>
    <x v="17"/>
    <s v="SE1A"/>
    <x v="7"/>
    <x v="2"/>
    <x v="0"/>
    <s v="GCND_FUELOIL2"/>
    <n v="17.682881861104701"/>
    <n v="1.7682881861104699E-2"/>
  </r>
  <r>
    <x v="0"/>
    <x v="0"/>
    <x v="0"/>
    <x v="9"/>
    <x v="17"/>
    <s v="SE1A"/>
    <x v="7"/>
    <x v="2"/>
    <x v="0"/>
    <s v="GCND_FUELOIL3"/>
    <n v="17.682881861104701"/>
    <n v="1.7682881861104699E-2"/>
  </r>
  <r>
    <x v="0"/>
    <x v="0"/>
    <x v="0"/>
    <x v="9"/>
    <x v="17"/>
    <s v="SE1A"/>
    <x v="9"/>
    <x v="4"/>
    <x v="0"/>
    <s v="GNR_ROR_WTR"/>
    <n v="1200"/>
    <n v="1.2"/>
  </r>
  <r>
    <x v="0"/>
    <x v="0"/>
    <x v="0"/>
    <x v="9"/>
    <x v="17"/>
    <s v="SE1A"/>
    <x v="9"/>
    <x v="6"/>
    <x v="0"/>
    <s v="GNR_RES_WTR_NOPMP_MC-01"/>
    <n v="405.5"/>
    <n v="0.40550000000000003"/>
  </r>
  <r>
    <x v="0"/>
    <x v="0"/>
    <x v="0"/>
    <x v="9"/>
    <x v="17"/>
    <s v="SE1A"/>
    <x v="9"/>
    <x v="6"/>
    <x v="0"/>
    <s v="GNR_RES_WTR_NOPMP_MC-02"/>
    <n v="405.5"/>
    <n v="0.40550000000000003"/>
  </r>
  <r>
    <x v="0"/>
    <x v="0"/>
    <x v="0"/>
    <x v="9"/>
    <x v="17"/>
    <s v="SE1A"/>
    <x v="9"/>
    <x v="6"/>
    <x v="0"/>
    <s v="GNR_RES_WTR_NOPMP_MC-03"/>
    <n v="405.5"/>
    <n v="0.40550000000000003"/>
  </r>
  <r>
    <x v="0"/>
    <x v="0"/>
    <x v="0"/>
    <x v="9"/>
    <x v="17"/>
    <s v="SE1A"/>
    <x v="9"/>
    <x v="6"/>
    <x v="0"/>
    <s v="GNR_RES_WTR_NOPMP_MC-04"/>
    <n v="405.5"/>
    <n v="0.40550000000000003"/>
  </r>
  <r>
    <x v="0"/>
    <x v="0"/>
    <x v="0"/>
    <x v="9"/>
    <x v="17"/>
    <s v="SE1A"/>
    <x v="9"/>
    <x v="6"/>
    <x v="0"/>
    <s v="GNR_RES_WTR_NOPMP_MC-05"/>
    <n v="405.5"/>
    <n v="0.40550000000000003"/>
  </r>
  <r>
    <x v="0"/>
    <x v="0"/>
    <x v="0"/>
    <x v="9"/>
    <x v="17"/>
    <s v="SE1A"/>
    <x v="9"/>
    <x v="6"/>
    <x v="0"/>
    <s v="GNR_RES_WTR_NOPMP_MC-06"/>
    <n v="405.5"/>
    <n v="0.40550000000000003"/>
  </r>
  <r>
    <x v="0"/>
    <x v="0"/>
    <x v="0"/>
    <x v="9"/>
    <x v="17"/>
    <s v="SE1A"/>
    <x v="9"/>
    <x v="6"/>
    <x v="0"/>
    <s v="GNR_RES_WTR_NOPMP_MC-07"/>
    <n v="405.5"/>
    <n v="0.40550000000000003"/>
  </r>
  <r>
    <x v="0"/>
    <x v="0"/>
    <x v="0"/>
    <x v="9"/>
    <x v="17"/>
    <s v="SE1A"/>
    <x v="9"/>
    <x v="6"/>
    <x v="0"/>
    <s v="GNR_RES_WTR_NOPMP_MC-08"/>
    <n v="405.5"/>
    <n v="0.40550000000000003"/>
  </r>
  <r>
    <x v="0"/>
    <x v="0"/>
    <x v="0"/>
    <x v="9"/>
    <x v="17"/>
    <s v="SE1A"/>
    <x v="9"/>
    <x v="6"/>
    <x v="0"/>
    <s v="GNR_RES_WTR_NOPMP_MC-09"/>
    <n v="405.5"/>
    <n v="0.40550000000000003"/>
  </r>
  <r>
    <x v="0"/>
    <x v="0"/>
    <x v="0"/>
    <x v="9"/>
    <x v="17"/>
    <s v="SE1A"/>
    <x v="9"/>
    <x v="6"/>
    <x v="0"/>
    <s v="GNR_RES_WTR_NOPMP_MC-10"/>
    <n v="405.5"/>
    <n v="0.40550000000000003"/>
  </r>
  <r>
    <x v="0"/>
    <x v="0"/>
    <x v="0"/>
    <x v="9"/>
    <x v="17"/>
    <s v="SE1A"/>
    <x v="10"/>
    <x v="5"/>
    <x v="0"/>
    <s v="GNR_WT_WIND_ONS"/>
    <n v="524"/>
    <n v="0.52400000000000002"/>
  </r>
  <r>
    <x v="0"/>
    <x v="0"/>
    <x v="0"/>
    <x v="9"/>
    <x v="17"/>
    <s v="SE1A"/>
    <x v="13"/>
    <x v="0"/>
    <x v="0"/>
    <s v="GBPR_IND_BIO"/>
    <n v="129"/>
    <n v="0.129"/>
  </r>
  <r>
    <x v="0"/>
    <x v="0"/>
    <x v="0"/>
    <x v="9"/>
    <x v="17"/>
    <s v="SE1_EL"/>
    <x v="3"/>
    <x v="0"/>
    <x v="0"/>
    <s v="GBPR_MUNIWASTE"/>
    <n v="7"/>
    <n v="7.0000000000000001E-3"/>
  </r>
  <r>
    <x v="0"/>
    <x v="0"/>
    <x v="0"/>
    <x v="9"/>
    <x v="17"/>
    <s v="SE1_EL"/>
    <x v="14"/>
    <x v="0"/>
    <x v="0"/>
    <s v="GBPR_WOODWASTE_25"/>
    <n v="2.2523033309709399"/>
    <n v="2.2523033309709401E-3"/>
  </r>
  <r>
    <x v="0"/>
    <x v="0"/>
    <x v="0"/>
    <x v="9"/>
    <x v="17"/>
    <s v="SE1_OTHER"/>
    <x v="4"/>
    <x v="0"/>
    <x v="0"/>
    <s v="GBPR_NATGAS"/>
    <n v="1.2"/>
    <n v="1.1999999999999999E-3"/>
  </r>
  <r>
    <x v="0"/>
    <x v="0"/>
    <x v="0"/>
    <x v="9"/>
    <x v="17"/>
    <s v="SE1_OTHER"/>
    <x v="17"/>
    <x v="0"/>
    <x v="0"/>
    <s v="GBPR_PEAT_38"/>
    <n v="9.1999999999999993"/>
    <n v="9.1999999999999998E-3"/>
  </r>
  <r>
    <x v="0"/>
    <x v="0"/>
    <x v="0"/>
    <x v="9"/>
    <x v="17"/>
    <s v="SE1_OTHER"/>
    <x v="6"/>
    <x v="0"/>
    <x v="0"/>
    <s v="GBPR_WOODCHIPS_25"/>
    <n v="3"/>
    <n v="3.0000000000000001E-3"/>
  </r>
  <r>
    <x v="0"/>
    <x v="0"/>
    <x v="0"/>
    <x v="9"/>
    <x v="17"/>
    <s v="SE1_OTHER"/>
    <x v="14"/>
    <x v="0"/>
    <x v="0"/>
    <s v="GBPR_WOODWASTE"/>
    <n v="34"/>
    <n v="3.4000000000000002E-2"/>
  </r>
  <r>
    <x v="0"/>
    <x v="0"/>
    <x v="0"/>
    <x v="9"/>
    <x v="18"/>
    <s v="SE2A"/>
    <x v="7"/>
    <x v="2"/>
    <x v="0"/>
    <s v="Back-up-power"/>
    <n v="100000"/>
    <n v="100"/>
  </r>
  <r>
    <x v="0"/>
    <x v="0"/>
    <x v="0"/>
    <x v="9"/>
    <x v="18"/>
    <s v="SE2A"/>
    <x v="7"/>
    <x v="2"/>
    <x v="0"/>
    <s v="GCND_FUELOIL1"/>
    <n v="33.631589165016898"/>
    <n v="3.3631589165016899E-2"/>
  </r>
  <r>
    <x v="0"/>
    <x v="0"/>
    <x v="0"/>
    <x v="9"/>
    <x v="18"/>
    <s v="SE2A"/>
    <x v="7"/>
    <x v="2"/>
    <x v="0"/>
    <s v="GCND_FUELOIL2"/>
    <n v="33.631589165016898"/>
    <n v="3.3631589165016899E-2"/>
  </r>
  <r>
    <x v="0"/>
    <x v="0"/>
    <x v="0"/>
    <x v="9"/>
    <x v="18"/>
    <s v="SE2A"/>
    <x v="7"/>
    <x v="2"/>
    <x v="0"/>
    <s v="GCND_FUELOIL3"/>
    <n v="33.631589165016898"/>
    <n v="3.3631589165016899E-2"/>
  </r>
  <r>
    <x v="0"/>
    <x v="0"/>
    <x v="0"/>
    <x v="9"/>
    <x v="18"/>
    <s v="SE2A"/>
    <x v="9"/>
    <x v="4"/>
    <x v="0"/>
    <s v="GNR_ROR_WTR"/>
    <n v="2859.1477816421302"/>
    <n v="2.8591477816421298"/>
  </r>
  <r>
    <x v="0"/>
    <x v="0"/>
    <x v="0"/>
    <x v="9"/>
    <x v="18"/>
    <s v="SE2A"/>
    <x v="9"/>
    <x v="6"/>
    <x v="0"/>
    <s v="GNR_RES_WTR_NOPMP_MC-01"/>
    <n v="407.485221835787"/>
    <n v="0.407485221835787"/>
  </r>
  <r>
    <x v="0"/>
    <x v="0"/>
    <x v="0"/>
    <x v="9"/>
    <x v="18"/>
    <s v="SE2A"/>
    <x v="9"/>
    <x v="6"/>
    <x v="0"/>
    <s v="GNR_RES_WTR_NOPMP_MC-02"/>
    <n v="515.485221835787"/>
    <n v="0.51548522183578704"/>
  </r>
  <r>
    <x v="0"/>
    <x v="0"/>
    <x v="0"/>
    <x v="9"/>
    <x v="18"/>
    <s v="SE2A"/>
    <x v="9"/>
    <x v="6"/>
    <x v="0"/>
    <s v="GNR_RES_WTR_NOPMP_MC-03"/>
    <n v="515.485221835787"/>
    <n v="0.51548522183578704"/>
  </r>
  <r>
    <x v="0"/>
    <x v="0"/>
    <x v="0"/>
    <x v="9"/>
    <x v="18"/>
    <s v="SE2A"/>
    <x v="9"/>
    <x v="6"/>
    <x v="0"/>
    <s v="GNR_RES_WTR_NOPMP_MC-04"/>
    <n v="515.485221835787"/>
    <n v="0.51548522183578704"/>
  </r>
  <r>
    <x v="0"/>
    <x v="0"/>
    <x v="0"/>
    <x v="9"/>
    <x v="18"/>
    <s v="SE2A"/>
    <x v="9"/>
    <x v="6"/>
    <x v="0"/>
    <s v="GNR_RES_WTR_NOPMP_MC-05"/>
    <n v="515.485221835787"/>
    <n v="0.51548522183578704"/>
  </r>
  <r>
    <x v="0"/>
    <x v="0"/>
    <x v="0"/>
    <x v="9"/>
    <x v="18"/>
    <s v="SE2A"/>
    <x v="9"/>
    <x v="6"/>
    <x v="0"/>
    <s v="GNR_RES_WTR_NOPMP_MC-06"/>
    <n v="515.485221835787"/>
    <n v="0.51548522183578704"/>
  </r>
  <r>
    <x v="0"/>
    <x v="0"/>
    <x v="0"/>
    <x v="9"/>
    <x v="18"/>
    <s v="SE2A"/>
    <x v="9"/>
    <x v="6"/>
    <x v="0"/>
    <s v="GNR_RES_WTR_NOPMP_MC-07"/>
    <n v="515.485221835787"/>
    <n v="0.51548522183578704"/>
  </r>
  <r>
    <x v="0"/>
    <x v="0"/>
    <x v="0"/>
    <x v="9"/>
    <x v="18"/>
    <s v="SE2A"/>
    <x v="9"/>
    <x v="6"/>
    <x v="0"/>
    <s v="GNR_RES_WTR_NOPMP_MC-08"/>
    <n v="515.485221835787"/>
    <n v="0.51548522183578704"/>
  </r>
  <r>
    <x v="0"/>
    <x v="0"/>
    <x v="0"/>
    <x v="9"/>
    <x v="18"/>
    <s v="SE2A"/>
    <x v="9"/>
    <x v="6"/>
    <x v="0"/>
    <s v="GNR_RES_WTR_NOPMP_MC-09"/>
    <n v="515.485221835787"/>
    <n v="0.51548522183578704"/>
  </r>
  <r>
    <x v="0"/>
    <x v="0"/>
    <x v="0"/>
    <x v="9"/>
    <x v="18"/>
    <s v="SE2A"/>
    <x v="9"/>
    <x v="6"/>
    <x v="0"/>
    <s v="GNR_RES_WTR_NOPMP_MC-10"/>
    <n v="515.485221835787"/>
    <n v="0.51548522183578704"/>
  </r>
  <r>
    <x v="0"/>
    <x v="0"/>
    <x v="0"/>
    <x v="9"/>
    <x v="18"/>
    <s v="SE2A"/>
    <x v="9"/>
    <x v="6"/>
    <x v="0"/>
    <s v="GNR_RES_WTR_PMP_MC-01"/>
    <n v="108"/>
    <n v="0.108"/>
  </r>
  <r>
    <x v="0"/>
    <x v="0"/>
    <x v="0"/>
    <x v="9"/>
    <x v="18"/>
    <s v="SE2A"/>
    <x v="10"/>
    <x v="5"/>
    <x v="0"/>
    <s v="GNR_WT_WIND_ONS"/>
    <n v="2289"/>
    <n v="2.2890000000000001"/>
  </r>
  <r>
    <x v="0"/>
    <x v="0"/>
    <x v="0"/>
    <x v="9"/>
    <x v="18"/>
    <s v="SE2A"/>
    <x v="13"/>
    <x v="0"/>
    <x v="0"/>
    <s v="GBPR_IND_BIO"/>
    <n v="364.7"/>
    <n v="0.36470000000000002"/>
  </r>
  <r>
    <x v="0"/>
    <x v="0"/>
    <x v="0"/>
    <x v="9"/>
    <x v="18"/>
    <s v="SE2_EL"/>
    <x v="3"/>
    <x v="0"/>
    <x v="0"/>
    <s v="GBPR_MUNIWASTE_24"/>
    <n v="74.231155778894504"/>
    <n v="7.4231155778894498E-2"/>
  </r>
  <r>
    <x v="0"/>
    <x v="0"/>
    <x v="0"/>
    <x v="9"/>
    <x v="18"/>
    <s v="SE2_EL"/>
    <x v="6"/>
    <x v="0"/>
    <x v="0"/>
    <s v="GBPR_WOODCHIPS_37"/>
    <n v="10.1598579040853"/>
    <n v="1.0159857904085299E-2"/>
  </r>
  <r>
    <x v="0"/>
    <x v="0"/>
    <x v="0"/>
    <x v="9"/>
    <x v="18"/>
    <s v="SE2_EL"/>
    <x v="14"/>
    <x v="0"/>
    <x v="0"/>
    <s v="GBPR_WOODWASTE_25"/>
    <n v="55.968768074031203"/>
    <n v="5.59687680740312E-2"/>
  </r>
  <r>
    <x v="0"/>
    <x v="0"/>
    <x v="0"/>
    <x v="9"/>
    <x v="18"/>
    <s v="SE2_EL"/>
    <x v="14"/>
    <x v="1"/>
    <x v="0"/>
    <s v="GEXT_WOODWASTE_HORNEBORG"/>
    <n v="41"/>
    <n v="4.1000000000000002E-2"/>
  </r>
  <r>
    <x v="0"/>
    <x v="0"/>
    <x v="0"/>
    <x v="9"/>
    <x v="18"/>
    <s v="SE2_OTHER"/>
    <x v="3"/>
    <x v="0"/>
    <x v="0"/>
    <s v="GBPR_MUNIWASTE_24"/>
    <n v="5.6266746055373602"/>
    <n v="5.6266746055373597E-3"/>
  </r>
  <r>
    <x v="0"/>
    <x v="0"/>
    <x v="0"/>
    <x v="9"/>
    <x v="18"/>
    <s v="SE2_OTHER"/>
    <x v="6"/>
    <x v="0"/>
    <x v="0"/>
    <s v="GBPR_WOODCHIPS_37"/>
    <n v="8"/>
    <n v="8.0000000000000002E-3"/>
  </r>
  <r>
    <x v="0"/>
    <x v="0"/>
    <x v="0"/>
    <x v="9"/>
    <x v="18"/>
    <s v="SE2_OTHER"/>
    <x v="14"/>
    <x v="0"/>
    <x v="0"/>
    <s v="GBPR_WOODWASTE_36"/>
    <n v="52.728164867517201"/>
    <n v="5.2728164867517198E-2"/>
  </r>
  <r>
    <x v="0"/>
    <x v="0"/>
    <x v="0"/>
    <x v="9"/>
    <x v="19"/>
    <s v="SE3A"/>
    <x v="7"/>
    <x v="2"/>
    <x v="0"/>
    <s v="Back-up-power"/>
    <n v="100000"/>
    <n v="100"/>
  </r>
  <r>
    <x v="0"/>
    <x v="0"/>
    <x v="0"/>
    <x v="9"/>
    <x v="19"/>
    <s v="SE3A"/>
    <x v="7"/>
    <x v="2"/>
    <x v="0"/>
    <s v="GCND_FUELOIL1"/>
    <n v="359.68155602152098"/>
    <n v="0.35968155602152102"/>
  </r>
  <r>
    <x v="0"/>
    <x v="0"/>
    <x v="0"/>
    <x v="9"/>
    <x v="19"/>
    <s v="SE3A"/>
    <x v="7"/>
    <x v="2"/>
    <x v="0"/>
    <s v="GCND_FUELOIL2"/>
    <n v="359.68155602152098"/>
    <n v="0.35968155602152102"/>
  </r>
  <r>
    <x v="0"/>
    <x v="0"/>
    <x v="0"/>
    <x v="9"/>
    <x v="19"/>
    <s v="SE3A"/>
    <x v="7"/>
    <x v="2"/>
    <x v="0"/>
    <s v="GCND_FUELOIL3"/>
    <n v="359.68155602152098"/>
    <n v="0.35968155602152102"/>
  </r>
  <r>
    <x v="0"/>
    <x v="0"/>
    <x v="0"/>
    <x v="9"/>
    <x v="19"/>
    <s v="SE3A"/>
    <x v="18"/>
    <x v="2"/>
    <x v="0"/>
    <s v="GCND_NUCLEAR"/>
    <n v="8890"/>
    <n v="8.89"/>
  </r>
  <r>
    <x v="0"/>
    <x v="0"/>
    <x v="0"/>
    <x v="9"/>
    <x v="19"/>
    <s v="SE3A"/>
    <x v="9"/>
    <x v="4"/>
    <x v="0"/>
    <s v="GNR_ROR_WTR"/>
    <n v="1277"/>
    <n v="1.2769999999999999"/>
  </r>
  <r>
    <x v="0"/>
    <x v="0"/>
    <x v="0"/>
    <x v="9"/>
    <x v="19"/>
    <s v="SE3A"/>
    <x v="9"/>
    <x v="6"/>
    <x v="0"/>
    <s v="GNR_RES_WTR_NOPMP_MC-01"/>
    <n v="131.6"/>
    <n v="0.13159999999999999"/>
  </r>
  <r>
    <x v="0"/>
    <x v="0"/>
    <x v="0"/>
    <x v="9"/>
    <x v="19"/>
    <s v="SE3A"/>
    <x v="9"/>
    <x v="6"/>
    <x v="0"/>
    <s v="GNR_RES_WTR_NOPMP_MC-02"/>
    <n v="131.6"/>
    <n v="0.13159999999999999"/>
  </r>
  <r>
    <x v="0"/>
    <x v="0"/>
    <x v="0"/>
    <x v="9"/>
    <x v="19"/>
    <s v="SE3A"/>
    <x v="9"/>
    <x v="6"/>
    <x v="0"/>
    <s v="GNR_RES_WTR_NOPMP_MC-03"/>
    <n v="131.6"/>
    <n v="0.13159999999999999"/>
  </r>
  <r>
    <x v="0"/>
    <x v="0"/>
    <x v="0"/>
    <x v="9"/>
    <x v="19"/>
    <s v="SE3A"/>
    <x v="9"/>
    <x v="6"/>
    <x v="0"/>
    <s v="GNR_RES_WTR_NOPMP_MC-04"/>
    <n v="131.6"/>
    <n v="0.13159999999999999"/>
  </r>
  <r>
    <x v="0"/>
    <x v="0"/>
    <x v="0"/>
    <x v="9"/>
    <x v="19"/>
    <s v="SE3A"/>
    <x v="9"/>
    <x v="6"/>
    <x v="0"/>
    <s v="GNR_RES_WTR_NOPMP_MC-05"/>
    <n v="131.6"/>
    <n v="0.13159999999999999"/>
  </r>
  <r>
    <x v="0"/>
    <x v="0"/>
    <x v="0"/>
    <x v="9"/>
    <x v="19"/>
    <s v="SE3A"/>
    <x v="9"/>
    <x v="6"/>
    <x v="0"/>
    <s v="GNR_RES_WTR_NOPMP_MC-06"/>
    <n v="131.6"/>
    <n v="0.13159999999999999"/>
  </r>
  <r>
    <x v="0"/>
    <x v="0"/>
    <x v="0"/>
    <x v="9"/>
    <x v="19"/>
    <s v="SE3A"/>
    <x v="9"/>
    <x v="6"/>
    <x v="0"/>
    <s v="GNR_RES_WTR_NOPMP_MC-07"/>
    <n v="131.6"/>
    <n v="0.13159999999999999"/>
  </r>
  <r>
    <x v="0"/>
    <x v="0"/>
    <x v="0"/>
    <x v="9"/>
    <x v="19"/>
    <s v="SE3A"/>
    <x v="9"/>
    <x v="6"/>
    <x v="0"/>
    <s v="GNR_RES_WTR_NOPMP_MC-08"/>
    <n v="131.6"/>
    <n v="0.13159999999999999"/>
  </r>
  <r>
    <x v="0"/>
    <x v="0"/>
    <x v="0"/>
    <x v="9"/>
    <x v="19"/>
    <s v="SE3A"/>
    <x v="9"/>
    <x v="6"/>
    <x v="0"/>
    <s v="GNR_RES_WTR_NOPMP_MC-09"/>
    <n v="131.6"/>
    <n v="0.13159999999999999"/>
  </r>
  <r>
    <x v="0"/>
    <x v="0"/>
    <x v="0"/>
    <x v="9"/>
    <x v="19"/>
    <s v="SE3A"/>
    <x v="9"/>
    <x v="6"/>
    <x v="0"/>
    <s v="GNR_RES_WTR_NOPMP_MC-10"/>
    <n v="131.6"/>
    <n v="0.13159999999999999"/>
  </r>
  <r>
    <x v="0"/>
    <x v="0"/>
    <x v="0"/>
    <x v="9"/>
    <x v="19"/>
    <s v="SE3A"/>
    <x v="10"/>
    <x v="5"/>
    <x v="0"/>
    <s v="GNR_WT_WIND_ONS"/>
    <n v="2098"/>
    <n v="2.0979999999999999"/>
  </r>
  <r>
    <x v="0"/>
    <x v="0"/>
    <x v="0"/>
    <x v="9"/>
    <x v="19"/>
    <s v="SE3A"/>
    <x v="13"/>
    <x v="0"/>
    <x v="0"/>
    <s v="GBPR_IND_BIO"/>
    <n v="567.79999999999995"/>
    <n v="0.56779999999999997"/>
  </r>
  <r>
    <x v="0"/>
    <x v="0"/>
    <x v="0"/>
    <x v="9"/>
    <x v="19"/>
    <s v="SE3_EL"/>
    <x v="1"/>
    <x v="1"/>
    <x v="0"/>
    <s v="GEXT_COAL_LINK"/>
    <n v="16.579999999999998"/>
    <n v="1.6580000000000001E-2"/>
  </r>
  <r>
    <x v="0"/>
    <x v="0"/>
    <x v="0"/>
    <x v="9"/>
    <x v="19"/>
    <s v="SE3_EL"/>
    <x v="7"/>
    <x v="0"/>
    <x v="0"/>
    <s v="GBPR_FUELOIL"/>
    <n v="22"/>
    <n v="2.1999999999999999E-2"/>
  </r>
  <r>
    <x v="0"/>
    <x v="0"/>
    <x v="0"/>
    <x v="9"/>
    <x v="19"/>
    <s v="SE3_EL"/>
    <x v="7"/>
    <x v="0"/>
    <x v="0"/>
    <s v="GBPR_FUELOIL_LINK"/>
    <n v="61"/>
    <n v="6.0999999999999999E-2"/>
  </r>
  <r>
    <x v="0"/>
    <x v="0"/>
    <x v="0"/>
    <x v="9"/>
    <x v="19"/>
    <s v="SE3_EL"/>
    <x v="3"/>
    <x v="0"/>
    <x v="0"/>
    <s v="GBPR_MUNIWASTE_24"/>
    <n v="82.229928840518994"/>
    <n v="8.2229928840518995E-2"/>
  </r>
  <r>
    <x v="0"/>
    <x v="0"/>
    <x v="0"/>
    <x v="9"/>
    <x v="19"/>
    <s v="SE3_EL"/>
    <x v="3"/>
    <x v="0"/>
    <x v="0"/>
    <s v="GBPR_MUNIWASTE_LINK"/>
    <n v="45.22"/>
    <n v="4.5220000000000003E-2"/>
  </r>
  <r>
    <x v="0"/>
    <x v="0"/>
    <x v="0"/>
    <x v="9"/>
    <x v="19"/>
    <s v="SE3_EL"/>
    <x v="4"/>
    <x v="0"/>
    <x v="0"/>
    <s v="GBPR_NATGAS"/>
    <n v="3.6339130000000002"/>
    <n v="3.6339129999999999E-3"/>
  </r>
  <r>
    <x v="0"/>
    <x v="0"/>
    <x v="0"/>
    <x v="9"/>
    <x v="19"/>
    <s v="SE3_EL"/>
    <x v="17"/>
    <x v="0"/>
    <x v="0"/>
    <s v="GBPR_PEAT_38"/>
    <n v="22"/>
    <n v="2.1999999999999999E-2"/>
  </r>
  <r>
    <x v="0"/>
    <x v="0"/>
    <x v="0"/>
    <x v="9"/>
    <x v="19"/>
    <s v="SE3_EL"/>
    <x v="17"/>
    <x v="1"/>
    <x v="0"/>
    <s v="GEXT_PEAT"/>
    <n v="110.94"/>
    <n v="0.11094"/>
  </r>
  <r>
    <x v="0"/>
    <x v="0"/>
    <x v="0"/>
    <x v="9"/>
    <x v="19"/>
    <s v="SE3_EL"/>
    <x v="23"/>
    <x v="0"/>
    <x v="0"/>
    <s v="GBPR_RECYCLEDWOOD_SE3EL"/>
    <n v="102.020720662019"/>
    <n v="0.102020720662019"/>
  </r>
  <r>
    <x v="0"/>
    <x v="0"/>
    <x v="0"/>
    <x v="9"/>
    <x v="19"/>
    <s v="SE3_EL"/>
    <x v="6"/>
    <x v="0"/>
    <x v="0"/>
    <s v="GBPR_WOODCHIPS_25"/>
    <n v="15.8917497725065"/>
    <n v="1.58917497725065E-2"/>
  </r>
  <r>
    <x v="0"/>
    <x v="0"/>
    <x v="0"/>
    <x v="9"/>
    <x v="19"/>
    <s v="SE3_EL"/>
    <x v="14"/>
    <x v="0"/>
    <x v="0"/>
    <s v="GBPR_WOODWASTE_25"/>
    <n v="65.44"/>
    <n v="6.5439999999999998E-2"/>
  </r>
  <r>
    <x v="0"/>
    <x v="0"/>
    <x v="0"/>
    <x v="9"/>
    <x v="19"/>
    <s v="SE3_EL"/>
    <x v="14"/>
    <x v="0"/>
    <x v="0"/>
    <s v="GBPR_WOODWASTE_ABY"/>
    <n v="106"/>
    <n v="0.106"/>
  </r>
  <r>
    <x v="0"/>
    <x v="0"/>
    <x v="0"/>
    <x v="9"/>
    <x v="19"/>
    <s v="SE3_GOT"/>
    <x v="3"/>
    <x v="0"/>
    <x v="0"/>
    <s v="GBPR_MUNIWASTE_24"/>
    <n v="40.6"/>
    <n v="4.0599999999999997E-2"/>
  </r>
  <r>
    <x v="0"/>
    <x v="0"/>
    <x v="0"/>
    <x v="9"/>
    <x v="19"/>
    <s v="SE3_GOT"/>
    <x v="4"/>
    <x v="0"/>
    <x v="0"/>
    <s v="GBPR_NATGAS_GOT"/>
    <n v="48.9"/>
    <n v="4.8899999999999999E-2"/>
  </r>
  <r>
    <x v="0"/>
    <x v="0"/>
    <x v="0"/>
    <x v="9"/>
    <x v="19"/>
    <s v="SE3_GOT"/>
    <x v="4"/>
    <x v="0"/>
    <x v="0"/>
    <s v="GBPR_NATGAS_RYA"/>
    <n v="261"/>
    <n v="0.26100000000000001"/>
  </r>
  <r>
    <x v="0"/>
    <x v="0"/>
    <x v="0"/>
    <x v="9"/>
    <x v="19"/>
    <s v="SE3_GOT"/>
    <x v="14"/>
    <x v="0"/>
    <x v="0"/>
    <s v="GBPR_WOODWASTE_GOT"/>
    <n v="13"/>
    <n v="1.2999999999999999E-2"/>
  </r>
  <r>
    <x v="0"/>
    <x v="0"/>
    <x v="0"/>
    <x v="9"/>
    <x v="19"/>
    <s v="SE3_HP"/>
    <x v="7"/>
    <x v="1"/>
    <x v="0"/>
    <s v="GEXT_FUELOIL"/>
    <n v="212.5"/>
    <n v="0.21249999999999999"/>
  </r>
  <r>
    <x v="0"/>
    <x v="0"/>
    <x v="0"/>
    <x v="9"/>
    <x v="19"/>
    <s v="SE3_HP"/>
    <x v="3"/>
    <x v="0"/>
    <x v="0"/>
    <s v="GBPR_MUNIWASTE_24"/>
    <n v="59.008264462809898"/>
    <n v="5.9008264462809899E-2"/>
  </r>
  <r>
    <x v="0"/>
    <x v="0"/>
    <x v="0"/>
    <x v="9"/>
    <x v="19"/>
    <s v="SE3_HP"/>
    <x v="6"/>
    <x v="0"/>
    <x v="0"/>
    <s v="GBPR_WOODCHIPS_08"/>
    <n v="0.53562231759656698"/>
    <n v="5.3562231759656702E-4"/>
  </r>
  <r>
    <x v="0"/>
    <x v="0"/>
    <x v="0"/>
    <x v="9"/>
    <x v="19"/>
    <s v="SE3_HP"/>
    <x v="14"/>
    <x v="0"/>
    <x v="0"/>
    <s v="GBPR_WOODWASTE_36"/>
    <n v="30"/>
    <n v="0.03"/>
  </r>
  <r>
    <x v="0"/>
    <x v="0"/>
    <x v="0"/>
    <x v="9"/>
    <x v="19"/>
    <s v="SE3_HP"/>
    <x v="14"/>
    <x v="1"/>
    <x v="0"/>
    <s v="GEXT_WOODWASTE"/>
    <n v="212.5"/>
    <n v="0.21249999999999999"/>
  </r>
  <r>
    <x v="0"/>
    <x v="0"/>
    <x v="0"/>
    <x v="9"/>
    <x v="19"/>
    <s v="SE3_OTHER"/>
    <x v="1"/>
    <x v="0"/>
    <x v="0"/>
    <s v="GBPR_COAL_SE3"/>
    <n v="33.390557939914203"/>
    <n v="3.3390557939914203E-2"/>
  </r>
  <r>
    <x v="0"/>
    <x v="0"/>
    <x v="0"/>
    <x v="9"/>
    <x v="19"/>
    <s v="SE3_OTHER"/>
    <x v="3"/>
    <x v="0"/>
    <x v="0"/>
    <s v="GBPR_MUNIWASTE_24"/>
    <n v="51.444809179655103"/>
    <n v="5.1444809179655097E-2"/>
  </r>
  <r>
    <x v="0"/>
    <x v="0"/>
    <x v="0"/>
    <x v="9"/>
    <x v="19"/>
    <s v="SE3_OTHER"/>
    <x v="23"/>
    <x v="0"/>
    <x v="0"/>
    <s v="GBPR_RECYCLEDWOOD_SE3OTHER"/>
    <n v="61.426755039009898"/>
    <n v="6.1426755039009899E-2"/>
  </r>
  <r>
    <x v="0"/>
    <x v="0"/>
    <x v="0"/>
    <x v="9"/>
    <x v="19"/>
    <s v="SE3_OTHER"/>
    <x v="6"/>
    <x v="0"/>
    <x v="0"/>
    <s v="GBPR_WOODCHIPS_25"/>
    <n v="14.7669902912621"/>
    <n v="1.47669902912621E-2"/>
  </r>
  <r>
    <x v="0"/>
    <x v="0"/>
    <x v="0"/>
    <x v="9"/>
    <x v="19"/>
    <s v="SE3_OTHER"/>
    <x v="6"/>
    <x v="0"/>
    <x v="0"/>
    <s v="GBPR_WOODCHIPS_37"/>
    <n v="39.299999999999997"/>
    <n v="3.9300000000000002E-2"/>
  </r>
  <r>
    <x v="0"/>
    <x v="0"/>
    <x v="0"/>
    <x v="9"/>
    <x v="19"/>
    <s v="SE3_OTHER"/>
    <x v="14"/>
    <x v="0"/>
    <x v="0"/>
    <s v="GBPR_WOODWASTE_25"/>
    <n v="180.7269"/>
    <n v="0.1807269"/>
  </r>
  <r>
    <x v="0"/>
    <x v="0"/>
    <x v="0"/>
    <x v="9"/>
    <x v="19"/>
    <s v="SE3_STO"/>
    <x v="24"/>
    <x v="1"/>
    <x v="0"/>
    <s v="GEXT_BIOOIL_VARTAN"/>
    <n v="190"/>
    <n v="0.19"/>
  </r>
  <r>
    <x v="0"/>
    <x v="0"/>
    <x v="0"/>
    <x v="9"/>
    <x v="19"/>
    <s v="SE3_STO"/>
    <x v="1"/>
    <x v="0"/>
    <x v="0"/>
    <s v="GBPR_COAL_VARTAN"/>
    <n v="117.16"/>
    <n v="0.11716"/>
  </r>
  <r>
    <x v="0"/>
    <x v="0"/>
    <x v="0"/>
    <x v="9"/>
    <x v="19"/>
    <s v="SE3_STO"/>
    <x v="3"/>
    <x v="0"/>
    <x v="0"/>
    <s v="GBPR_MUNIWASTE_HOGDALEN"/>
    <n v="57.4"/>
    <n v="5.74E-2"/>
  </r>
  <r>
    <x v="0"/>
    <x v="0"/>
    <x v="0"/>
    <x v="9"/>
    <x v="19"/>
    <s v="SE3_STO"/>
    <x v="11"/>
    <x v="0"/>
    <x v="0"/>
    <s v="GBPR_WOODPELLETS_HASSELBY"/>
    <n v="75"/>
    <n v="7.4999999999999997E-2"/>
  </r>
  <r>
    <x v="0"/>
    <x v="0"/>
    <x v="0"/>
    <x v="9"/>
    <x v="19"/>
    <s v="SE3_STO"/>
    <x v="14"/>
    <x v="0"/>
    <x v="0"/>
    <s v="GBPR_WOODWASTE"/>
    <n v="117"/>
    <n v="0.11700000000000001"/>
  </r>
  <r>
    <x v="0"/>
    <x v="0"/>
    <x v="0"/>
    <x v="9"/>
    <x v="19"/>
    <s v="SE3_STO"/>
    <x v="14"/>
    <x v="0"/>
    <x v="0"/>
    <s v="GBPR_WOODWASTE_BRISTA"/>
    <n v="42"/>
    <n v="4.2000000000000003E-2"/>
  </r>
  <r>
    <x v="0"/>
    <x v="0"/>
    <x v="0"/>
    <x v="9"/>
    <x v="20"/>
    <s v="SE4A"/>
    <x v="7"/>
    <x v="2"/>
    <x v="0"/>
    <s v="Back-up-power"/>
    <n v="100000"/>
    <n v="100"/>
  </r>
  <r>
    <x v="0"/>
    <x v="0"/>
    <x v="0"/>
    <x v="9"/>
    <x v="20"/>
    <s v="SE4A"/>
    <x v="7"/>
    <x v="2"/>
    <x v="0"/>
    <s v="GCND_FUELOIL1"/>
    <n v="480.612466000084"/>
    <n v="0.480612466000084"/>
  </r>
  <r>
    <x v="0"/>
    <x v="0"/>
    <x v="0"/>
    <x v="9"/>
    <x v="20"/>
    <s v="SE4A"/>
    <x v="7"/>
    <x v="2"/>
    <x v="0"/>
    <s v="GCND_FUELOIL2"/>
    <n v="480.612466000084"/>
    <n v="0.480612466000084"/>
  </r>
  <r>
    <x v="0"/>
    <x v="0"/>
    <x v="0"/>
    <x v="9"/>
    <x v="20"/>
    <s v="SE4A"/>
    <x v="7"/>
    <x v="2"/>
    <x v="0"/>
    <s v="GCND_FUELOIL3"/>
    <n v="480.612466000084"/>
    <n v="0.480612466000084"/>
  </r>
  <r>
    <x v="0"/>
    <x v="0"/>
    <x v="0"/>
    <x v="9"/>
    <x v="20"/>
    <s v="SE4A"/>
    <x v="9"/>
    <x v="4"/>
    <x v="0"/>
    <s v="GNR_ROR_WTR"/>
    <n v="188.12699336621901"/>
    <n v="0.18812699336621899"/>
  </r>
  <r>
    <x v="0"/>
    <x v="0"/>
    <x v="0"/>
    <x v="9"/>
    <x v="20"/>
    <s v="SE4A"/>
    <x v="9"/>
    <x v="6"/>
    <x v="0"/>
    <s v="GNR_RES_WTR_NOPMP_MC-01"/>
    <n v="15.287300663378099"/>
    <n v="1.5287300663378099E-2"/>
  </r>
  <r>
    <x v="0"/>
    <x v="0"/>
    <x v="0"/>
    <x v="9"/>
    <x v="20"/>
    <s v="SE4A"/>
    <x v="9"/>
    <x v="6"/>
    <x v="0"/>
    <s v="GNR_RES_WTR_NOPMP_MC-02"/>
    <n v="15.287300663378099"/>
    <n v="1.5287300663378099E-2"/>
  </r>
  <r>
    <x v="0"/>
    <x v="0"/>
    <x v="0"/>
    <x v="9"/>
    <x v="20"/>
    <s v="SE4A"/>
    <x v="9"/>
    <x v="6"/>
    <x v="0"/>
    <s v="GNR_RES_WTR_NOPMP_MC-03"/>
    <n v="15.287300663378099"/>
    <n v="1.5287300663378099E-2"/>
  </r>
  <r>
    <x v="0"/>
    <x v="0"/>
    <x v="0"/>
    <x v="9"/>
    <x v="20"/>
    <s v="SE4A"/>
    <x v="9"/>
    <x v="6"/>
    <x v="0"/>
    <s v="GNR_RES_WTR_NOPMP_MC-04"/>
    <n v="15.287300663378099"/>
    <n v="1.5287300663378099E-2"/>
  </r>
  <r>
    <x v="0"/>
    <x v="0"/>
    <x v="0"/>
    <x v="9"/>
    <x v="20"/>
    <s v="SE4A"/>
    <x v="9"/>
    <x v="6"/>
    <x v="0"/>
    <s v="GNR_RES_WTR_NOPMP_MC-05"/>
    <n v="15.287300663378099"/>
    <n v="1.5287300663378099E-2"/>
  </r>
  <r>
    <x v="0"/>
    <x v="0"/>
    <x v="0"/>
    <x v="9"/>
    <x v="20"/>
    <s v="SE4A"/>
    <x v="9"/>
    <x v="6"/>
    <x v="0"/>
    <s v="GNR_RES_WTR_NOPMP_MC-06"/>
    <n v="15.287300663378099"/>
    <n v="1.5287300663378099E-2"/>
  </r>
  <r>
    <x v="0"/>
    <x v="0"/>
    <x v="0"/>
    <x v="9"/>
    <x v="20"/>
    <s v="SE4A"/>
    <x v="9"/>
    <x v="6"/>
    <x v="0"/>
    <s v="GNR_RES_WTR_NOPMP_MC-07"/>
    <n v="15.287300663378099"/>
    <n v="1.5287300663378099E-2"/>
  </r>
  <r>
    <x v="0"/>
    <x v="0"/>
    <x v="0"/>
    <x v="9"/>
    <x v="20"/>
    <s v="SE4A"/>
    <x v="9"/>
    <x v="6"/>
    <x v="0"/>
    <s v="GNR_RES_WTR_NOPMP_MC-08"/>
    <n v="15.287300663378099"/>
    <n v="1.5287300663378099E-2"/>
  </r>
  <r>
    <x v="0"/>
    <x v="0"/>
    <x v="0"/>
    <x v="9"/>
    <x v="20"/>
    <s v="SE4A"/>
    <x v="9"/>
    <x v="6"/>
    <x v="0"/>
    <s v="GNR_RES_WTR_NOPMP_MC-09"/>
    <n v="15.287300663378099"/>
    <n v="1.5287300663378099E-2"/>
  </r>
  <r>
    <x v="0"/>
    <x v="0"/>
    <x v="0"/>
    <x v="9"/>
    <x v="20"/>
    <s v="SE4A"/>
    <x v="9"/>
    <x v="6"/>
    <x v="0"/>
    <s v="GNR_RES_WTR_NOPMP_MC-10"/>
    <n v="15.287300663378099"/>
    <n v="1.5287300663378099E-2"/>
  </r>
  <r>
    <x v="0"/>
    <x v="0"/>
    <x v="0"/>
    <x v="9"/>
    <x v="20"/>
    <s v="SE4A"/>
    <x v="10"/>
    <x v="5"/>
    <x v="0"/>
    <s v="GNR_WT_WIND_ONS"/>
    <n v="1437.25"/>
    <n v="1.4372499999999999"/>
  </r>
  <r>
    <x v="0"/>
    <x v="0"/>
    <x v="0"/>
    <x v="9"/>
    <x v="20"/>
    <s v="SE4A"/>
    <x v="13"/>
    <x v="0"/>
    <x v="0"/>
    <s v="GBPR_IND_BIO"/>
    <n v="258.89999999999998"/>
    <n v="0.25890000000000002"/>
  </r>
  <r>
    <x v="0"/>
    <x v="0"/>
    <x v="0"/>
    <x v="9"/>
    <x v="20"/>
    <s v="SE4_EL"/>
    <x v="23"/>
    <x v="0"/>
    <x v="0"/>
    <s v="GBPR_RECYCLEDWOOD"/>
    <n v="38.5"/>
    <n v="3.85E-2"/>
  </r>
  <r>
    <x v="0"/>
    <x v="0"/>
    <x v="0"/>
    <x v="9"/>
    <x v="20"/>
    <s v="SE4_EL"/>
    <x v="23"/>
    <x v="0"/>
    <x v="0"/>
    <s v="GBPR_RECYCLEDWOOD_SE4EL"/>
    <n v="4"/>
    <n v="4.0000000000000001E-3"/>
  </r>
  <r>
    <x v="0"/>
    <x v="0"/>
    <x v="0"/>
    <x v="9"/>
    <x v="20"/>
    <s v="SE4_HP"/>
    <x v="3"/>
    <x v="0"/>
    <x v="0"/>
    <s v="GBPR_MUNIWASTE_65"/>
    <n v="18"/>
    <n v="1.7999999999999999E-2"/>
  </r>
  <r>
    <x v="0"/>
    <x v="0"/>
    <x v="0"/>
    <x v="9"/>
    <x v="20"/>
    <s v="SE4_HP"/>
    <x v="4"/>
    <x v="0"/>
    <x v="0"/>
    <s v="GBPR_NATGAS_100"/>
    <n v="54"/>
    <n v="5.3999999999999999E-2"/>
  </r>
  <r>
    <x v="0"/>
    <x v="0"/>
    <x v="0"/>
    <x v="9"/>
    <x v="20"/>
    <s v="SE4_HP"/>
    <x v="11"/>
    <x v="0"/>
    <x v="0"/>
    <s v="GBPR_WOODPELLETS"/>
    <n v="69"/>
    <n v="6.9000000000000006E-2"/>
  </r>
  <r>
    <x v="0"/>
    <x v="0"/>
    <x v="0"/>
    <x v="9"/>
    <x v="20"/>
    <s v="SE4_MAL"/>
    <x v="3"/>
    <x v="0"/>
    <x v="0"/>
    <s v="GBPR_MUNIWASTE_24"/>
    <n v="33.798449612403097"/>
    <n v="3.3798449612403102E-2"/>
  </r>
  <r>
    <x v="0"/>
    <x v="0"/>
    <x v="0"/>
    <x v="9"/>
    <x v="20"/>
    <s v="SE4_MAL"/>
    <x v="4"/>
    <x v="0"/>
    <x v="0"/>
    <s v="GBPR_NATGAS_MAL"/>
    <n v="130"/>
    <n v="0.13"/>
  </r>
  <r>
    <x v="0"/>
    <x v="0"/>
    <x v="0"/>
    <x v="9"/>
    <x v="20"/>
    <s v="SE4_MAL"/>
    <x v="4"/>
    <x v="1"/>
    <x v="0"/>
    <s v="GEXT_NATGAS_ORESUND"/>
    <n v="440"/>
    <n v="0.44"/>
  </r>
  <r>
    <x v="0"/>
    <x v="0"/>
    <x v="0"/>
    <x v="9"/>
    <x v="20"/>
    <s v="SE4_OTHER"/>
    <x v="3"/>
    <x v="0"/>
    <x v="0"/>
    <s v="GBPR_MUNIWASTE_19"/>
    <n v="20.530501930501899"/>
    <n v="2.0530501930501901E-2"/>
  </r>
  <r>
    <x v="0"/>
    <x v="0"/>
    <x v="0"/>
    <x v="9"/>
    <x v="20"/>
    <s v="SE4_OTHER"/>
    <x v="6"/>
    <x v="0"/>
    <x v="0"/>
    <s v="GBPR_WOODCHIPS"/>
    <n v="31"/>
    <n v="3.1E-2"/>
  </r>
  <r>
    <x v="0"/>
    <x v="0"/>
    <x v="0"/>
    <x v="9"/>
    <x v="20"/>
    <s v="SE4_OTHER"/>
    <x v="6"/>
    <x v="0"/>
    <x v="0"/>
    <s v="GBPR_WOODCHIPS_25"/>
    <n v="23.973076923076899"/>
    <n v="2.3973076923076899E-2"/>
  </r>
  <r>
    <x v="0"/>
    <x v="0"/>
    <x v="0"/>
    <x v="9"/>
    <x v="20"/>
    <s v="SE4_OTHER"/>
    <x v="14"/>
    <x v="0"/>
    <x v="0"/>
    <s v="GBPR_WOODWASTE_36"/>
    <n v="84.64"/>
    <n v="8.4640000000000007E-2"/>
  </r>
  <r>
    <x v="0"/>
    <x v="0"/>
    <x v="0"/>
    <x v="10"/>
    <x v="21"/>
    <s v="UK_A"/>
    <x v="0"/>
    <x v="2"/>
    <x v="0"/>
    <s v="GNR_ST_BGAS_CND_E-40"/>
    <n v="1229"/>
    <n v="1.2290000000000001"/>
  </r>
  <r>
    <x v="0"/>
    <x v="0"/>
    <x v="0"/>
    <x v="10"/>
    <x v="21"/>
    <s v="UK_A"/>
    <x v="0"/>
    <x v="2"/>
    <x v="0"/>
    <s v="GNR_ST_BGAS_CND_E-45"/>
    <n v="2401"/>
    <n v="2.4009999999999998"/>
  </r>
  <r>
    <x v="0"/>
    <x v="0"/>
    <x v="0"/>
    <x v="10"/>
    <x v="21"/>
    <s v="UK_A"/>
    <x v="1"/>
    <x v="2"/>
    <x v="0"/>
    <s v="GNR_ST_COAL_CND_E-33"/>
    <n v="8995"/>
    <n v="8.9949999999999992"/>
  </r>
  <r>
    <x v="0"/>
    <x v="0"/>
    <x v="0"/>
    <x v="10"/>
    <x v="21"/>
    <s v="UK_A"/>
    <x v="1"/>
    <x v="2"/>
    <x v="0"/>
    <s v="GNR_ST_COAL_CND_E-35"/>
    <n v="11623"/>
    <n v="11.622999999999999"/>
  </r>
  <r>
    <x v="0"/>
    <x v="0"/>
    <x v="0"/>
    <x v="10"/>
    <x v="21"/>
    <s v="UK_A"/>
    <x v="7"/>
    <x v="2"/>
    <x v="0"/>
    <s v="GNR_ST_FUELOIL_CND_E-36"/>
    <n v="1525"/>
    <n v="1.5249999999999999"/>
  </r>
  <r>
    <x v="0"/>
    <x v="0"/>
    <x v="0"/>
    <x v="10"/>
    <x v="21"/>
    <s v="UK_A"/>
    <x v="3"/>
    <x v="2"/>
    <x v="0"/>
    <s v="GNR_ST_MSW_CND_E-40"/>
    <n v="806"/>
    <n v="0.80600000000000005"/>
  </r>
  <r>
    <x v="0"/>
    <x v="0"/>
    <x v="0"/>
    <x v="10"/>
    <x v="21"/>
    <s v="UK_A"/>
    <x v="4"/>
    <x v="2"/>
    <x v="0"/>
    <s v="GNR_CC_NGAS_CND_E-47"/>
    <n v="14528"/>
    <n v="14.528"/>
  </r>
  <r>
    <x v="0"/>
    <x v="0"/>
    <x v="0"/>
    <x v="10"/>
    <x v="21"/>
    <s v="UK_A"/>
    <x v="4"/>
    <x v="2"/>
    <x v="0"/>
    <s v="GNR_CC_NGAS_CND_E-52"/>
    <n v="6950"/>
    <n v="6.95"/>
  </r>
  <r>
    <x v="0"/>
    <x v="0"/>
    <x v="0"/>
    <x v="10"/>
    <x v="21"/>
    <s v="UK_A"/>
    <x v="4"/>
    <x v="2"/>
    <x v="0"/>
    <s v="GNR_CC_NGAS_CND_E-56"/>
    <n v="9060"/>
    <n v="9.06"/>
  </r>
  <r>
    <x v="0"/>
    <x v="0"/>
    <x v="0"/>
    <x v="10"/>
    <x v="21"/>
    <s v="UK_A"/>
    <x v="4"/>
    <x v="2"/>
    <x v="0"/>
    <s v="GNR_GT_NGAS_CND_E-33"/>
    <n v="1494"/>
    <n v="1.494"/>
  </r>
  <r>
    <x v="0"/>
    <x v="0"/>
    <x v="0"/>
    <x v="10"/>
    <x v="21"/>
    <s v="UK_A"/>
    <x v="4"/>
    <x v="2"/>
    <x v="0"/>
    <s v="GNR_GT_NGAS_CND_E-35"/>
    <n v="1075"/>
    <n v="1.075"/>
  </r>
  <r>
    <x v="0"/>
    <x v="0"/>
    <x v="0"/>
    <x v="10"/>
    <x v="21"/>
    <s v="UK_A"/>
    <x v="4"/>
    <x v="2"/>
    <x v="0"/>
    <s v="GNR_GT_NGAS_CND_E-38"/>
    <n v="1941"/>
    <n v="1.9410000000000001"/>
  </r>
  <r>
    <x v="0"/>
    <x v="0"/>
    <x v="0"/>
    <x v="10"/>
    <x v="21"/>
    <s v="UK_A"/>
    <x v="4"/>
    <x v="2"/>
    <x v="0"/>
    <s v="GNR_GT_NGAS_CND_E-41"/>
    <n v="590"/>
    <n v="0.59"/>
  </r>
  <r>
    <x v="0"/>
    <x v="0"/>
    <x v="0"/>
    <x v="10"/>
    <x v="21"/>
    <s v="UK_A"/>
    <x v="18"/>
    <x v="2"/>
    <x v="0"/>
    <s v="GNR_ST_NUCL_CND_E-33"/>
    <n v="9401"/>
    <n v="9.4009999999999998"/>
  </r>
  <r>
    <x v="0"/>
    <x v="0"/>
    <x v="0"/>
    <x v="10"/>
    <x v="21"/>
    <s v="UK_A"/>
    <x v="8"/>
    <x v="3"/>
    <x v="0"/>
    <s v="GNR_PV_SUN"/>
    <n v="5248"/>
    <n v="5.2480000000000002"/>
  </r>
  <r>
    <x v="0"/>
    <x v="0"/>
    <x v="0"/>
    <x v="10"/>
    <x v="21"/>
    <s v="UK_A"/>
    <x v="9"/>
    <x v="8"/>
    <x v="0"/>
    <s v="GNR_ES_WTR_PMP"/>
    <n v="26.914893617021299"/>
    <n v="2.6914893617021301E-2"/>
  </r>
  <r>
    <x v="0"/>
    <x v="0"/>
    <x v="0"/>
    <x v="10"/>
    <x v="21"/>
    <s v="UK_A"/>
    <x v="9"/>
    <x v="4"/>
    <x v="0"/>
    <s v="GNR_ROR_WTR"/>
    <n v="1742"/>
    <n v="1.742"/>
  </r>
  <r>
    <x v="0"/>
    <x v="0"/>
    <x v="0"/>
    <x v="10"/>
    <x v="21"/>
    <s v="UK_A"/>
    <x v="10"/>
    <x v="5"/>
    <x v="0"/>
    <s v="GNR_WT_WIND_ONS"/>
    <n v="8283"/>
    <n v="8.2829999999999995"/>
  </r>
  <r>
    <x v="0"/>
    <x v="0"/>
    <x v="0"/>
    <x v="10"/>
    <x v="21"/>
    <s v="UK_Offshore"/>
    <x v="10"/>
    <x v="5"/>
    <x v="0"/>
    <s v="GNR_WT_WIND_OFF"/>
    <n v="4393"/>
    <n v="4.3929999999999998"/>
  </r>
</pivotCacheRecords>
</file>

<file path=xl/pivotCache/pivotCacheRecords3.xml><?xml version="1.0" encoding="utf-8"?>
<pivotCacheRecords xmlns="http://schemas.openxmlformats.org/spreadsheetml/2006/main" xmlns:r="http://schemas.openxmlformats.org/officeDocument/2006/relationships" count="0"/>
</file>

<file path=xl/pivotCache/pivotCacheRecords4.xml><?xml version="1.0" encoding="utf-8"?>
<pivotCacheRecords xmlns="http://schemas.openxmlformats.org/spreadsheetml/2006/main" xmlns:r="http://schemas.openxmlformats.org/officeDocument/2006/relationships" count="0"/>
</file>

<file path=xl/pivotCache/pivotCacheRecords5.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6.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7.xml><?xml version="1.0" encoding="utf-8"?>
<pivotCacheRecords xmlns="http://schemas.openxmlformats.org/spreadsheetml/2006/main" xmlns:r="http://schemas.openxmlformats.org/officeDocument/2006/relationships" count="92">
  <r>
    <x v="0"/>
    <x v="0"/>
    <x v="0"/>
    <x v="0"/>
    <x v="0"/>
    <x v="0"/>
    <x v="0"/>
    <x v="0"/>
  </r>
  <r>
    <x v="0"/>
    <x v="0"/>
    <x v="0"/>
    <x v="0"/>
    <x v="0"/>
    <x v="1"/>
    <x v="1"/>
    <x v="1"/>
  </r>
  <r>
    <x v="0"/>
    <x v="0"/>
    <x v="0"/>
    <x v="0"/>
    <x v="0"/>
    <x v="2"/>
    <x v="2"/>
    <x v="2"/>
  </r>
  <r>
    <x v="0"/>
    <x v="0"/>
    <x v="0"/>
    <x v="0"/>
    <x v="0"/>
    <x v="3"/>
    <x v="3"/>
    <x v="1"/>
  </r>
  <r>
    <x v="0"/>
    <x v="0"/>
    <x v="0"/>
    <x v="0"/>
    <x v="0"/>
    <x v="4"/>
    <x v="4"/>
    <x v="1"/>
  </r>
  <r>
    <x v="0"/>
    <x v="0"/>
    <x v="0"/>
    <x v="0"/>
    <x v="0"/>
    <x v="5"/>
    <x v="5"/>
    <x v="1"/>
  </r>
  <r>
    <x v="0"/>
    <x v="0"/>
    <x v="0"/>
    <x v="0"/>
    <x v="1"/>
    <x v="0"/>
    <x v="6"/>
    <x v="3"/>
  </r>
  <r>
    <x v="0"/>
    <x v="0"/>
    <x v="0"/>
    <x v="0"/>
    <x v="1"/>
    <x v="1"/>
    <x v="7"/>
    <x v="4"/>
  </r>
  <r>
    <x v="0"/>
    <x v="0"/>
    <x v="0"/>
    <x v="0"/>
    <x v="1"/>
    <x v="1"/>
    <x v="1"/>
    <x v="1"/>
  </r>
  <r>
    <x v="0"/>
    <x v="0"/>
    <x v="0"/>
    <x v="0"/>
    <x v="1"/>
    <x v="4"/>
    <x v="8"/>
    <x v="5"/>
  </r>
  <r>
    <x v="0"/>
    <x v="0"/>
    <x v="0"/>
    <x v="1"/>
    <x v="2"/>
    <x v="6"/>
    <x v="9"/>
    <x v="1"/>
  </r>
  <r>
    <x v="0"/>
    <x v="0"/>
    <x v="0"/>
    <x v="1"/>
    <x v="2"/>
    <x v="7"/>
    <x v="10"/>
    <x v="1"/>
  </r>
  <r>
    <x v="0"/>
    <x v="0"/>
    <x v="0"/>
    <x v="1"/>
    <x v="2"/>
    <x v="4"/>
    <x v="4"/>
    <x v="1"/>
  </r>
  <r>
    <x v="0"/>
    <x v="0"/>
    <x v="0"/>
    <x v="2"/>
    <x v="3"/>
    <x v="8"/>
    <x v="11"/>
    <x v="6"/>
  </r>
  <r>
    <x v="0"/>
    <x v="0"/>
    <x v="0"/>
    <x v="2"/>
    <x v="3"/>
    <x v="3"/>
    <x v="12"/>
    <x v="1"/>
  </r>
  <r>
    <x v="0"/>
    <x v="0"/>
    <x v="0"/>
    <x v="2"/>
    <x v="3"/>
    <x v="4"/>
    <x v="13"/>
    <x v="1"/>
  </r>
  <r>
    <x v="0"/>
    <x v="0"/>
    <x v="0"/>
    <x v="2"/>
    <x v="3"/>
    <x v="4"/>
    <x v="4"/>
    <x v="1"/>
  </r>
  <r>
    <x v="0"/>
    <x v="0"/>
    <x v="0"/>
    <x v="3"/>
    <x v="4"/>
    <x v="0"/>
    <x v="0"/>
    <x v="1"/>
  </r>
  <r>
    <x v="0"/>
    <x v="0"/>
    <x v="0"/>
    <x v="3"/>
    <x v="4"/>
    <x v="1"/>
    <x v="1"/>
    <x v="1"/>
  </r>
  <r>
    <x v="0"/>
    <x v="0"/>
    <x v="0"/>
    <x v="3"/>
    <x v="4"/>
    <x v="1"/>
    <x v="14"/>
    <x v="7"/>
  </r>
  <r>
    <x v="0"/>
    <x v="0"/>
    <x v="0"/>
    <x v="3"/>
    <x v="4"/>
    <x v="1"/>
    <x v="15"/>
    <x v="8"/>
  </r>
  <r>
    <x v="0"/>
    <x v="0"/>
    <x v="0"/>
    <x v="3"/>
    <x v="4"/>
    <x v="9"/>
    <x v="16"/>
    <x v="9"/>
  </r>
  <r>
    <x v="0"/>
    <x v="0"/>
    <x v="0"/>
    <x v="3"/>
    <x v="5"/>
    <x v="0"/>
    <x v="6"/>
    <x v="1"/>
  </r>
  <r>
    <x v="0"/>
    <x v="0"/>
    <x v="0"/>
    <x v="3"/>
    <x v="5"/>
    <x v="0"/>
    <x v="0"/>
    <x v="1"/>
  </r>
  <r>
    <x v="0"/>
    <x v="0"/>
    <x v="0"/>
    <x v="3"/>
    <x v="5"/>
    <x v="1"/>
    <x v="7"/>
    <x v="10"/>
  </r>
  <r>
    <x v="0"/>
    <x v="0"/>
    <x v="0"/>
    <x v="3"/>
    <x v="5"/>
    <x v="1"/>
    <x v="15"/>
    <x v="11"/>
  </r>
  <r>
    <x v="0"/>
    <x v="0"/>
    <x v="0"/>
    <x v="3"/>
    <x v="5"/>
    <x v="3"/>
    <x v="3"/>
    <x v="1"/>
  </r>
  <r>
    <x v="0"/>
    <x v="0"/>
    <x v="0"/>
    <x v="3"/>
    <x v="5"/>
    <x v="4"/>
    <x v="8"/>
    <x v="1"/>
  </r>
  <r>
    <x v="0"/>
    <x v="0"/>
    <x v="0"/>
    <x v="3"/>
    <x v="6"/>
    <x v="1"/>
    <x v="7"/>
    <x v="1"/>
  </r>
  <r>
    <x v="0"/>
    <x v="0"/>
    <x v="0"/>
    <x v="3"/>
    <x v="6"/>
    <x v="1"/>
    <x v="15"/>
    <x v="1"/>
  </r>
  <r>
    <x v="0"/>
    <x v="0"/>
    <x v="0"/>
    <x v="3"/>
    <x v="6"/>
    <x v="2"/>
    <x v="2"/>
    <x v="1"/>
  </r>
  <r>
    <x v="0"/>
    <x v="0"/>
    <x v="0"/>
    <x v="3"/>
    <x v="7"/>
    <x v="1"/>
    <x v="7"/>
    <x v="1"/>
  </r>
  <r>
    <x v="0"/>
    <x v="0"/>
    <x v="0"/>
    <x v="3"/>
    <x v="7"/>
    <x v="1"/>
    <x v="1"/>
    <x v="1"/>
  </r>
  <r>
    <x v="0"/>
    <x v="0"/>
    <x v="0"/>
    <x v="3"/>
    <x v="7"/>
    <x v="1"/>
    <x v="14"/>
    <x v="1"/>
  </r>
  <r>
    <x v="0"/>
    <x v="0"/>
    <x v="0"/>
    <x v="3"/>
    <x v="7"/>
    <x v="2"/>
    <x v="2"/>
    <x v="1"/>
  </r>
  <r>
    <x v="0"/>
    <x v="0"/>
    <x v="0"/>
    <x v="4"/>
    <x v="8"/>
    <x v="8"/>
    <x v="11"/>
    <x v="1"/>
  </r>
  <r>
    <x v="0"/>
    <x v="0"/>
    <x v="0"/>
    <x v="4"/>
    <x v="8"/>
    <x v="10"/>
    <x v="17"/>
    <x v="12"/>
  </r>
  <r>
    <x v="0"/>
    <x v="0"/>
    <x v="0"/>
    <x v="4"/>
    <x v="8"/>
    <x v="4"/>
    <x v="4"/>
    <x v="1"/>
  </r>
  <r>
    <x v="0"/>
    <x v="0"/>
    <x v="0"/>
    <x v="5"/>
    <x v="9"/>
    <x v="7"/>
    <x v="10"/>
    <x v="1"/>
  </r>
  <r>
    <x v="0"/>
    <x v="0"/>
    <x v="0"/>
    <x v="5"/>
    <x v="9"/>
    <x v="9"/>
    <x v="16"/>
    <x v="1"/>
  </r>
  <r>
    <x v="0"/>
    <x v="0"/>
    <x v="0"/>
    <x v="5"/>
    <x v="9"/>
    <x v="4"/>
    <x v="8"/>
    <x v="1"/>
  </r>
  <r>
    <x v="0"/>
    <x v="0"/>
    <x v="0"/>
    <x v="6"/>
    <x v="10"/>
    <x v="0"/>
    <x v="6"/>
    <x v="1"/>
  </r>
  <r>
    <x v="0"/>
    <x v="0"/>
    <x v="0"/>
    <x v="6"/>
    <x v="10"/>
    <x v="1"/>
    <x v="14"/>
    <x v="1"/>
  </r>
  <r>
    <x v="0"/>
    <x v="0"/>
    <x v="0"/>
    <x v="6"/>
    <x v="10"/>
    <x v="1"/>
    <x v="15"/>
    <x v="1"/>
  </r>
  <r>
    <x v="0"/>
    <x v="0"/>
    <x v="0"/>
    <x v="6"/>
    <x v="10"/>
    <x v="3"/>
    <x v="3"/>
    <x v="1"/>
  </r>
  <r>
    <x v="0"/>
    <x v="0"/>
    <x v="0"/>
    <x v="6"/>
    <x v="10"/>
    <x v="5"/>
    <x v="5"/>
    <x v="1"/>
  </r>
  <r>
    <x v="0"/>
    <x v="0"/>
    <x v="0"/>
    <x v="7"/>
    <x v="11"/>
    <x v="3"/>
    <x v="3"/>
    <x v="1"/>
  </r>
  <r>
    <x v="0"/>
    <x v="0"/>
    <x v="0"/>
    <x v="7"/>
    <x v="11"/>
    <x v="3"/>
    <x v="18"/>
    <x v="1"/>
  </r>
  <r>
    <x v="0"/>
    <x v="0"/>
    <x v="0"/>
    <x v="7"/>
    <x v="11"/>
    <x v="3"/>
    <x v="19"/>
    <x v="1"/>
  </r>
  <r>
    <x v="0"/>
    <x v="0"/>
    <x v="0"/>
    <x v="7"/>
    <x v="11"/>
    <x v="4"/>
    <x v="4"/>
    <x v="1"/>
  </r>
  <r>
    <x v="0"/>
    <x v="0"/>
    <x v="0"/>
    <x v="7"/>
    <x v="12"/>
    <x v="0"/>
    <x v="6"/>
    <x v="1"/>
  </r>
  <r>
    <x v="0"/>
    <x v="0"/>
    <x v="0"/>
    <x v="7"/>
    <x v="12"/>
    <x v="1"/>
    <x v="1"/>
    <x v="1"/>
  </r>
  <r>
    <x v="0"/>
    <x v="0"/>
    <x v="0"/>
    <x v="7"/>
    <x v="12"/>
    <x v="2"/>
    <x v="2"/>
    <x v="13"/>
  </r>
  <r>
    <x v="0"/>
    <x v="0"/>
    <x v="0"/>
    <x v="7"/>
    <x v="12"/>
    <x v="3"/>
    <x v="20"/>
    <x v="1"/>
  </r>
  <r>
    <x v="0"/>
    <x v="0"/>
    <x v="0"/>
    <x v="7"/>
    <x v="12"/>
    <x v="3"/>
    <x v="19"/>
    <x v="1"/>
  </r>
  <r>
    <x v="0"/>
    <x v="0"/>
    <x v="0"/>
    <x v="7"/>
    <x v="12"/>
    <x v="5"/>
    <x v="5"/>
    <x v="14"/>
  </r>
  <r>
    <x v="0"/>
    <x v="0"/>
    <x v="0"/>
    <x v="7"/>
    <x v="13"/>
    <x v="3"/>
    <x v="20"/>
    <x v="15"/>
  </r>
  <r>
    <x v="0"/>
    <x v="0"/>
    <x v="0"/>
    <x v="7"/>
    <x v="13"/>
    <x v="3"/>
    <x v="12"/>
    <x v="1"/>
  </r>
  <r>
    <x v="0"/>
    <x v="0"/>
    <x v="0"/>
    <x v="7"/>
    <x v="13"/>
    <x v="3"/>
    <x v="19"/>
    <x v="1"/>
  </r>
  <r>
    <x v="0"/>
    <x v="0"/>
    <x v="0"/>
    <x v="7"/>
    <x v="13"/>
    <x v="4"/>
    <x v="21"/>
    <x v="1"/>
  </r>
  <r>
    <x v="0"/>
    <x v="0"/>
    <x v="0"/>
    <x v="7"/>
    <x v="14"/>
    <x v="6"/>
    <x v="9"/>
    <x v="16"/>
  </r>
  <r>
    <x v="0"/>
    <x v="0"/>
    <x v="0"/>
    <x v="7"/>
    <x v="14"/>
    <x v="3"/>
    <x v="18"/>
    <x v="1"/>
  </r>
  <r>
    <x v="0"/>
    <x v="0"/>
    <x v="0"/>
    <x v="7"/>
    <x v="14"/>
    <x v="4"/>
    <x v="13"/>
    <x v="1"/>
  </r>
  <r>
    <x v="0"/>
    <x v="0"/>
    <x v="0"/>
    <x v="7"/>
    <x v="14"/>
    <x v="4"/>
    <x v="21"/>
    <x v="1"/>
  </r>
  <r>
    <x v="0"/>
    <x v="0"/>
    <x v="0"/>
    <x v="7"/>
    <x v="15"/>
    <x v="3"/>
    <x v="20"/>
    <x v="17"/>
  </r>
  <r>
    <x v="0"/>
    <x v="0"/>
    <x v="0"/>
    <x v="7"/>
    <x v="15"/>
    <x v="3"/>
    <x v="3"/>
    <x v="1"/>
  </r>
  <r>
    <x v="0"/>
    <x v="0"/>
    <x v="0"/>
    <x v="7"/>
    <x v="15"/>
    <x v="3"/>
    <x v="18"/>
    <x v="1"/>
  </r>
  <r>
    <x v="0"/>
    <x v="0"/>
    <x v="0"/>
    <x v="8"/>
    <x v="16"/>
    <x v="1"/>
    <x v="7"/>
    <x v="1"/>
  </r>
  <r>
    <x v="0"/>
    <x v="0"/>
    <x v="0"/>
    <x v="8"/>
    <x v="16"/>
    <x v="10"/>
    <x v="17"/>
    <x v="1"/>
  </r>
  <r>
    <x v="0"/>
    <x v="0"/>
    <x v="0"/>
    <x v="8"/>
    <x v="16"/>
    <x v="4"/>
    <x v="8"/>
    <x v="1"/>
  </r>
  <r>
    <x v="0"/>
    <x v="0"/>
    <x v="0"/>
    <x v="9"/>
    <x v="17"/>
    <x v="6"/>
    <x v="9"/>
    <x v="18"/>
  </r>
  <r>
    <x v="0"/>
    <x v="0"/>
    <x v="0"/>
    <x v="9"/>
    <x v="17"/>
    <x v="3"/>
    <x v="12"/>
    <x v="1"/>
  </r>
  <r>
    <x v="0"/>
    <x v="0"/>
    <x v="0"/>
    <x v="9"/>
    <x v="17"/>
    <x v="4"/>
    <x v="21"/>
    <x v="1"/>
  </r>
  <r>
    <x v="0"/>
    <x v="0"/>
    <x v="0"/>
    <x v="9"/>
    <x v="18"/>
    <x v="3"/>
    <x v="18"/>
    <x v="19"/>
  </r>
  <r>
    <x v="0"/>
    <x v="0"/>
    <x v="0"/>
    <x v="9"/>
    <x v="18"/>
    <x v="3"/>
    <x v="12"/>
    <x v="1"/>
  </r>
  <r>
    <x v="0"/>
    <x v="0"/>
    <x v="0"/>
    <x v="9"/>
    <x v="18"/>
    <x v="4"/>
    <x v="13"/>
    <x v="1"/>
  </r>
  <r>
    <x v="0"/>
    <x v="0"/>
    <x v="0"/>
    <x v="9"/>
    <x v="18"/>
    <x v="4"/>
    <x v="4"/>
    <x v="20"/>
  </r>
  <r>
    <x v="0"/>
    <x v="0"/>
    <x v="0"/>
    <x v="9"/>
    <x v="19"/>
    <x v="0"/>
    <x v="6"/>
    <x v="21"/>
  </r>
  <r>
    <x v="0"/>
    <x v="0"/>
    <x v="0"/>
    <x v="9"/>
    <x v="19"/>
    <x v="8"/>
    <x v="11"/>
    <x v="22"/>
  </r>
  <r>
    <x v="0"/>
    <x v="0"/>
    <x v="0"/>
    <x v="9"/>
    <x v="19"/>
    <x v="6"/>
    <x v="9"/>
    <x v="1"/>
  </r>
  <r>
    <x v="0"/>
    <x v="0"/>
    <x v="0"/>
    <x v="9"/>
    <x v="19"/>
    <x v="7"/>
    <x v="10"/>
    <x v="23"/>
  </r>
  <r>
    <x v="0"/>
    <x v="0"/>
    <x v="0"/>
    <x v="9"/>
    <x v="19"/>
    <x v="3"/>
    <x v="20"/>
    <x v="24"/>
  </r>
  <r>
    <x v="0"/>
    <x v="0"/>
    <x v="0"/>
    <x v="9"/>
    <x v="19"/>
    <x v="4"/>
    <x v="21"/>
    <x v="1"/>
  </r>
  <r>
    <x v="0"/>
    <x v="0"/>
    <x v="0"/>
    <x v="9"/>
    <x v="19"/>
    <x v="4"/>
    <x v="8"/>
    <x v="25"/>
  </r>
  <r>
    <x v="0"/>
    <x v="0"/>
    <x v="0"/>
    <x v="9"/>
    <x v="20"/>
    <x v="0"/>
    <x v="0"/>
    <x v="26"/>
  </r>
  <r>
    <x v="0"/>
    <x v="0"/>
    <x v="0"/>
    <x v="9"/>
    <x v="20"/>
    <x v="1"/>
    <x v="1"/>
    <x v="1"/>
  </r>
  <r>
    <x v="0"/>
    <x v="0"/>
    <x v="0"/>
    <x v="9"/>
    <x v="20"/>
    <x v="10"/>
    <x v="17"/>
    <x v="27"/>
  </r>
  <r>
    <x v="0"/>
    <x v="0"/>
    <x v="0"/>
    <x v="9"/>
    <x v="20"/>
    <x v="9"/>
    <x v="16"/>
    <x v="1"/>
  </r>
  <r>
    <x v="0"/>
    <x v="0"/>
    <x v="0"/>
    <x v="9"/>
    <x v="20"/>
    <x v="4"/>
    <x v="4"/>
    <x v="1"/>
  </r>
  <r>
    <x v="0"/>
    <x v="0"/>
    <x v="0"/>
    <x v="10"/>
    <x v="21"/>
    <x v="0"/>
    <x v="6"/>
    <x v="1"/>
  </r>
  <r>
    <x v="0"/>
    <x v="0"/>
    <x v="0"/>
    <x v="10"/>
    <x v="21"/>
    <x v="2"/>
    <x v="2"/>
    <x v="1"/>
  </r>
  <r>
    <x v="0"/>
    <x v="0"/>
    <x v="0"/>
    <x v="10"/>
    <x v="21"/>
    <x v="3"/>
    <x v="3"/>
    <x v="1"/>
  </r>
</pivotCacheRecords>
</file>

<file path=xl/pivotCache/pivotCacheRecords8.xml><?xml version="1.0" encoding="utf-8"?>
<pivotCacheRecords xmlns="http://schemas.openxmlformats.org/spreadsheetml/2006/main" xmlns:r="http://schemas.openxmlformats.org/officeDocument/2006/relationships" count="2208">
  <r>
    <x v="0"/>
    <x v="0"/>
    <x v="0"/>
    <x v="0"/>
    <x v="0"/>
    <x v="0"/>
    <x v="0"/>
    <n v="0"/>
  </r>
  <r>
    <x v="0"/>
    <x v="0"/>
    <x v="0"/>
    <x v="0"/>
    <x v="0"/>
    <x v="0"/>
    <x v="1"/>
    <n v="0"/>
  </r>
  <r>
    <x v="0"/>
    <x v="0"/>
    <x v="0"/>
    <x v="0"/>
    <x v="0"/>
    <x v="0"/>
    <x v="2"/>
    <n v="0"/>
  </r>
  <r>
    <x v="0"/>
    <x v="0"/>
    <x v="0"/>
    <x v="0"/>
    <x v="0"/>
    <x v="0"/>
    <x v="3"/>
    <n v="0"/>
  </r>
  <r>
    <x v="0"/>
    <x v="0"/>
    <x v="0"/>
    <x v="0"/>
    <x v="0"/>
    <x v="0"/>
    <x v="4"/>
    <n v="-1.5583494666535899E-2"/>
  </r>
  <r>
    <x v="0"/>
    <x v="0"/>
    <x v="0"/>
    <x v="0"/>
    <x v="0"/>
    <x v="0"/>
    <x v="5"/>
    <n v="-0.91252481292328003"/>
  </r>
  <r>
    <x v="0"/>
    <x v="0"/>
    <x v="0"/>
    <x v="0"/>
    <x v="0"/>
    <x v="0"/>
    <x v="6"/>
    <n v="-0.40022892133260801"/>
  </r>
  <r>
    <x v="0"/>
    <x v="0"/>
    <x v="0"/>
    <x v="0"/>
    <x v="0"/>
    <x v="0"/>
    <x v="7"/>
    <n v="-2.2050181842098698E-2"/>
  </r>
  <r>
    <x v="0"/>
    <x v="0"/>
    <x v="0"/>
    <x v="0"/>
    <x v="0"/>
    <x v="0"/>
    <x v="8"/>
    <n v="0"/>
  </r>
  <r>
    <x v="0"/>
    <x v="0"/>
    <x v="0"/>
    <x v="0"/>
    <x v="0"/>
    <x v="0"/>
    <x v="9"/>
    <n v="0"/>
  </r>
  <r>
    <x v="0"/>
    <x v="0"/>
    <x v="0"/>
    <x v="0"/>
    <x v="0"/>
    <x v="0"/>
    <x v="10"/>
    <n v="-0.72059352688378597"/>
  </r>
  <r>
    <x v="0"/>
    <x v="0"/>
    <x v="0"/>
    <x v="0"/>
    <x v="0"/>
    <x v="0"/>
    <x v="11"/>
    <n v="0"/>
  </r>
  <r>
    <x v="0"/>
    <x v="0"/>
    <x v="0"/>
    <x v="0"/>
    <x v="0"/>
    <x v="0"/>
    <x v="12"/>
    <n v="0"/>
  </r>
  <r>
    <x v="0"/>
    <x v="0"/>
    <x v="0"/>
    <x v="0"/>
    <x v="0"/>
    <x v="0"/>
    <x v="13"/>
    <n v="0"/>
  </r>
  <r>
    <x v="0"/>
    <x v="0"/>
    <x v="0"/>
    <x v="0"/>
    <x v="0"/>
    <x v="0"/>
    <x v="14"/>
    <n v="0"/>
  </r>
  <r>
    <x v="0"/>
    <x v="0"/>
    <x v="0"/>
    <x v="0"/>
    <x v="0"/>
    <x v="0"/>
    <x v="15"/>
    <n v="0"/>
  </r>
  <r>
    <x v="0"/>
    <x v="0"/>
    <x v="0"/>
    <x v="0"/>
    <x v="0"/>
    <x v="0"/>
    <x v="16"/>
    <n v="0"/>
  </r>
  <r>
    <x v="0"/>
    <x v="0"/>
    <x v="0"/>
    <x v="0"/>
    <x v="0"/>
    <x v="0"/>
    <x v="17"/>
    <n v="0"/>
  </r>
  <r>
    <x v="0"/>
    <x v="0"/>
    <x v="0"/>
    <x v="0"/>
    <x v="0"/>
    <x v="0"/>
    <x v="18"/>
    <n v="0"/>
  </r>
  <r>
    <x v="0"/>
    <x v="0"/>
    <x v="0"/>
    <x v="0"/>
    <x v="0"/>
    <x v="0"/>
    <x v="19"/>
    <n v="0"/>
  </r>
  <r>
    <x v="0"/>
    <x v="0"/>
    <x v="0"/>
    <x v="0"/>
    <x v="0"/>
    <x v="0"/>
    <x v="20"/>
    <n v="0"/>
  </r>
  <r>
    <x v="0"/>
    <x v="0"/>
    <x v="0"/>
    <x v="0"/>
    <x v="0"/>
    <x v="0"/>
    <x v="21"/>
    <n v="0"/>
  </r>
  <r>
    <x v="0"/>
    <x v="0"/>
    <x v="0"/>
    <x v="0"/>
    <x v="0"/>
    <x v="0"/>
    <x v="22"/>
    <n v="0"/>
  </r>
  <r>
    <x v="0"/>
    <x v="0"/>
    <x v="0"/>
    <x v="0"/>
    <x v="0"/>
    <x v="0"/>
    <x v="23"/>
    <n v="0"/>
  </r>
  <r>
    <x v="0"/>
    <x v="0"/>
    <x v="0"/>
    <x v="0"/>
    <x v="1"/>
    <x v="0"/>
    <x v="0"/>
    <n v="0"/>
  </r>
  <r>
    <x v="0"/>
    <x v="0"/>
    <x v="0"/>
    <x v="0"/>
    <x v="1"/>
    <x v="0"/>
    <x v="1"/>
    <n v="0"/>
  </r>
  <r>
    <x v="0"/>
    <x v="0"/>
    <x v="0"/>
    <x v="0"/>
    <x v="1"/>
    <x v="0"/>
    <x v="2"/>
    <n v="0"/>
  </r>
  <r>
    <x v="0"/>
    <x v="0"/>
    <x v="0"/>
    <x v="0"/>
    <x v="1"/>
    <x v="0"/>
    <x v="3"/>
    <n v="0"/>
  </r>
  <r>
    <x v="0"/>
    <x v="0"/>
    <x v="0"/>
    <x v="0"/>
    <x v="1"/>
    <x v="0"/>
    <x v="4"/>
    <n v="0"/>
  </r>
  <r>
    <x v="0"/>
    <x v="0"/>
    <x v="0"/>
    <x v="0"/>
    <x v="1"/>
    <x v="0"/>
    <x v="5"/>
    <n v="0"/>
  </r>
  <r>
    <x v="0"/>
    <x v="0"/>
    <x v="0"/>
    <x v="0"/>
    <x v="1"/>
    <x v="0"/>
    <x v="6"/>
    <n v="0"/>
  </r>
  <r>
    <x v="0"/>
    <x v="0"/>
    <x v="0"/>
    <x v="0"/>
    <x v="1"/>
    <x v="0"/>
    <x v="7"/>
    <n v="0"/>
  </r>
  <r>
    <x v="0"/>
    <x v="0"/>
    <x v="0"/>
    <x v="0"/>
    <x v="1"/>
    <x v="0"/>
    <x v="8"/>
    <n v="0"/>
  </r>
  <r>
    <x v="0"/>
    <x v="0"/>
    <x v="0"/>
    <x v="0"/>
    <x v="1"/>
    <x v="0"/>
    <x v="9"/>
    <n v="0"/>
  </r>
  <r>
    <x v="0"/>
    <x v="0"/>
    <x v="0"/>
    <x v="0"/>
    <x v="1"/>
    <x v="0"/>
    <x v="10"/>
    <n v="0"/>
  </r>
  <r>
    <x v="0"/>
    <x v="0"/>
    <x v="0"/>
    <x v="0"/>
    <x v="1"/>
    <x v="0"/>
    <x v="11"/>
    <n v="0"/>
  </r>
  <r>
    <x v="0"/>
    <x v="0"/>
    <x v="0"/>
    <x v="0"/>
    <x v="1"/>
    <x v="0"/>
    <x v="12"/>
    <n v="0"/>
  </r>
  <r>
    <x v="0"/>
    <x v="0"/>
    <x v="0"/>
    <x v="0"/>
    <x v="1"/>
    <x v="0"/>
    <x v="13"/>
    <n v="0"/>
  </r>
  <r>
    <x v="0"/>
    <x v="0"/>
    <x v="0"/>
    <x v="0"/>
    <x v="1"/>
    <x v="0"/>
    <x v="14"/>
    <n v="0"/>
  </r>
  <r>
    <x v="0"/>
    <x v="0"/>
    <x v="0"/>
    <x v="0"/>
    <x v="1"/>
    <x v="0"/>
    <x v="15"/>
    <n v="0"/>
  </r>
  <r>
    <x v="0"/>
    <x v="0"/>
    <x v="0"/>
    <x v="0"/>
    <x v="1"/>
    <x v="0"/>
    <x v="16"/>
    <n v="0"/>
  </r>
  <r>
    <x v="0"/>
    <x v="0"/>
    <x v="0"/>
    <x v="0"/>
    <x v="1"/>
    <x v="0"/>
    <x v="17"/>
    <n v="0"/>
  </r>
  <r>
    <x v="0"/>
    <x v="0"/>
    <x v="0"/>
    <x v="0"/>
    <x v="1"/>
    <x v="0"/>
    <x v="18"/>
    <n v="0"/>
  </r>
  <r>
    <x v="0"/>
    <x v="0"/>
    <x v="0"/>
    <x v="0"/>
    <x v="1"/>
    <x v="0"/>
    <x v="19"/>
    <n v="0"/>
  </r>
  <r>
    <x v="0"/>
    <x v="0"/>
    <x v="0"/>
    <x v="0"/>
    <x v="1"/>
    <x v="0"/>
    <x v="20"/>
    <n v="0.81706442892270403"/>
  </r>
  <r>
    <x v="0"/>
    <x v="0"/>
    <x v="0"/>
    <x v="0"/>
    <x v="1"/>
    <x v="0"/>
    <x v="21"/>
    <n v="0"/>
  </r>
  <r>
    <x v="0"/>
    <x v="0"/>
    <x v="0"/>
    <x v="0"/>
    <x v="1"/>
    <x v="0"/>
    <x v="22"/>
    <n v="0"/>
  </r>
  <r>
    <x v="0"/>
    <x v="0"/>
    <x v="0"/>
    <x v="0"/>
    <x v="1"/>
    <x v="0"/>
    <x v="23"/>
    <n v="0.98944700608888203"/>
  </r>
  <r>
    <x v="0"/>
    <x v="0"/>
    <x v="0"/>
    <x v="0"/>
    <x v="2"/>
    <x v="0"/>
    <x v="0"/>
    <n v="0"/>
  </r>
  <r>
    <x v="0"/>
    <x v="0"/>
    <x v="0"/>
    <x v="0"/>
    <x v="2"/>
    <x v="0"/>
    <x v="1"/>
    <n v="0"/>
  </r>
  <r>
    <x v="0"/>
    <x v="0"/>
    <x v="0"/>
    <x v="0"/>
    <x v="2"/>
    <x v="0"/>
    <x v="2"/>
    <n v="0"/>
  </r>
  <r>
    <x v="0"/>
    <x v="0"/>
    <x v="0"/>
    <x v="0"/>
    <x v="2"/>
    <x v="0"/>
    <x v="3"/>
    <n v="0"/>
  </r>
  <r>
    <x v="0"/>
    <x v="0"/>
    <x v="0"/>
    <x v="0"/>
    <x v="2"/>
    <x v="0"/>
    <x v="4"/>
    <n v="0"/>
  </r>
  <r>
    <x v="0"/>
    <x v="0"/>
    <x v="0"/>
    <x v="0"/>
    <x v="2"/>
    <x v="0"/>
    <x v="5"/>
    <n v="0"/>
  </r>
  <r>
    <x v="0"/>
    <x v="0"/>
    <x v="0"/>
    <x v="0"/>
    <x v="2"/>
    <x v="0"/>
    <x v="6"/>
    <n v="0"/>
  </r>
  <r>
    <x v="0"/>
    <x v="0"/>
    <x v="0"/>
    <x v="0"/>
    <x v="2"/>
    <x v="0"/>
    <x v="7"/>
    <n v="0"/>
  </r>
  <r>
    <x v="0"/>
    <x v="0"/>
    <x v="0"/>
    <x v="0"/>
    <x v="2"/>
    <x v="0"/>
    <x v="8"/>
    <n v="0"/>
  </r>
  <r>
    <x v="0"/>
    <x v="0"/>
    <x v="0"/>
    <x v="0"/>
    <x v="2"/>
    <x v="0"/>
    <x v="9"/>
    <n v="0"/>
  </r>
  <r>
    <x v="0"/>
    <x v="0"/>
    <x v="0"/>
    <x v="0"/>
    <x v="2"/>
    <x v="0"/>
    <x v="10"/>
    <n v="0"/>
  </r>
  <r>
    <x v="0"/>
    <x v="0"/>
    <x v="0"/>
    <x v="0"/>
    <x v="2"/>
    <x v="0"/>
    <x v="11"/>
    <n v="0"/>
  </r>
  <r>
    <x v="0"/>
    <x v="0"/>
    <x v="0"/>
    <x v="0"/>
    <x v="2"/>
    <x v="0"/>
    <x v="12"/>
    <n v="0"/>
  </r>
  <r>
    <x v="0"/>
    <x v="0"/>
    <x v="0"/>
    <x v="0"/>
    <x v="2"/>
    <x v="0"/>
    <x v="13"/>
    <n v="1.39323478163549"/>
  </r>
  <r>
    <x v="0"/>
    <x v="0"/>
    <x v="0"/>
    <x v="0"/>
    <x v="2"/>
    <x v="0"/>
    <x v="14"/>
    <n v="0"/>
  </r>
  <r>
    <x v="0"/>
    <x v="0"/>
    <x v="0"/>
    <x v="0"/>
    <x v="2"/>
    <x v="0"/>
    <x v="15"/>
    <n v="0"/>
  </r>
  <r>
    <x v="0"/>
    <x v="0"/>
    <x v="0"/>
    <x v="0"/>
    <x v="2"/>
    <x v="0"/>
    <x v="16"/>
    <n v="0"/>
  </r>
  <r>
    <x v="0"/>
    <x v="0"/>
    <x v="0"/>
    <x v="0"/>
    <x v="2"/>
    <x v="0"/>
    <x v="17"/>
    <n v="0"/>
  </r>
  <r>
    <x v="0"/>
    <x v="0"/>
    <x v="0"/>
    <x v="0"/>
    <x v="2"/>
    <x v="0"/>
    <x v="18"/>
    <n v="0"/>
  </r>
  <r>
    <x v="0"/>
    <x v="0"/>
    <x v="0"/>
    <x v="0"/>
    <x v="2"/>
    <x v="0"/>
    <x v="19"/>
    <n v="1.0088495976866401"/>
  </r>
  <r>
    <x v="0"/>
    <x v="0"/>
    <x v="0"/>
    <x v="0"/>
    <x v="2"/>
    <x v="0"/>
    <x v="20"/>
    <n v="0"/>
  </r>
  <r>
    <x v="0"/>
    <x v="0"/>
    <x v="0"/>
    <x v="0"/>
    <x v="2"/>
    <x v="0"/>
    <x v="21"/>
    <n v="4.1395094350726396"/>
  </r>
  <r>
    <x v="0"/>
    <x v="0"/>
    <x v="0"/>
    <x v="0"/>
    <x v="2"/>
    <x v="0"/>
    <x v="22"/>
    <n v="3.1984113215057501"/>
  </r>
  <r>
    <x v="0"/>
    <x v="0"/>
    <x v="0"/>
    <x v="0"/>
    <x v="2"/>
    <x v="0"/>
    <x v="23"/>
    <n v="2.07468850424145"/>
  </r>
  <r>
    <x v="0"/>
    <x v="0"/>
    <x v="0"/>
    <x v="0"/>
    <x v="3"/>
    <x v="0"/>
    <x v="0"/>
    <n v="0"/>
  </r>
  <r>
    <x v="0"/>
    <x v="0"/>
    <x v="0"/>
    <x v="0"/>
    <x v="3"/>
    <x v="0"/>
    <x v="1"/>
    <n v="0"/>
  </r>
  <r>
    <x v="0"/>
    <x v="0"/>
    <x v="0"/>
    <x v="0"/>
    <x v="3"/>
    <x v="0"/>
    <x v="2"/>
    <n v="-5.1901593025655804E-4"/>
  </r>
  <r>
    <x v="0"/>
    <x v="0"/>
    <x v="0"/>
    <x v="0"/>
    <x v="3"/>
    <x v="0"/>
    <x v="3"/>
    <n v="0"/>
  </r>
  <r>
    <x v="0"/>
    <x v="0"/>
    <x v="0"/>
    <x v="0"/>
    <x v="3"/>
    <x v="0"/>
    <x v="4"/>
    <n v="0"/>
  </r>
  <r>
    <x v="0"/>
    <x v="0"/>
    <x v="0"/>
    <x v="0"/>
    <x v="3"/>
    <x v="0"/>
    <x v="5"/>
    <n v="0"/>
  </r>
  <r>
    <x v="0"/>
    <x v="0"/>
    <x v="0"/>
    <x v="0"/>
    <x v="3"/>
    <x v="0"/>
    <x v="6"/>
    <n v="0"/>
  </r>
  <r>
    <x v="0"/>
    <x v="0"/>
    <x v="0"/>
    <x v="0"/>
    <x v="3"/>
    <x v="0"/>
    <x v="7"/>
    <n v="0"/>
  </r>
  <r>
    <x v="0"/>
    <x v="0"/>
    <x v="0"/>
    <x v="0"/>
    <x v="3"/>
    <x v="0"/>
    <x v="8"/>
    <n v="0"/>
  </r>
  <r>
    <x v="0"/>
    <x v="0"/>
    <x v="0"/>
    <x v="0"/>
    <x v="3"/>
    <x v="0"/>
    <x v="9"/>
    <n v="0"/>
  </r>
  <r>
    <x v="0"/>
    <x v="0"/>
    <x v="0"/>
    <x v="0"/>
    <x v="3"/>
    <x v="0"/>
    <x v="10"/>
    <n v="0"/>
  </r>
  <r>
    <x v="0"/>
    <x v="0"/>
    <x v="0"/>
    <x v="0"/>
    <x v="3"/>
    <x v="0"/>
    <x v="11"/>
    <n v="0"/>
  </r>
  <r>
    <x v="0"/>
    <x v="0"/>
    <x v="0"/>
    <x v="0"/>
    <x v="3"/>
    <x v="0"/>
    <x v="12"/>
    <n v="0"/>
  </r>
  <r>
    <x v="0"/>
    <x v="0"/>
    <x v="0"/>
    <x v="0"/>
    <x v="3"/>
    <x v="0"/>
    <x v="13"/>
    <n v="0"/>
  </r>
  <r>
    <x v="0"/>
    <x v="0"/>
    <x v="0"/>
    <x v="0"/>
    <x v="3"/>
    <x v="0"/>
    <x v="14"/>
    <n v="0"/>
  </r>
  <r>
    <x v="0"/>
    <x v="0"/>
    <x v="0"/>
    <x v="0"/>
    <x v="3"/>
    <x v="0"/>
    <x v="15"/>
    <n v="0"/>
  </r>
  <r>
    <x v="0"/>
    <x v="0"/>
    <x v="0"/>
    <x v="0"/>
    <x v="3"/>
    <x v="0"/>
    <x v="16"/>
    <n v="0"/>
  </r>
  <r>
    <x v="0"/>
    <x v="0"/>
    <x v="0"/>
    <x v="0"/>
    <x v="3"/>
    <x v="0"/>
    <x v="17"/>
    <n v="0"/>
  </r>
  <r>
    <x v="0"/>
    <x v="0"/>
    <x v="0"/>
    <x v="0"/>
    <x v="3"/>
    <x v="0"/>
    <x v="18"/>
    <n v="0"/>
  </r>
  <r>
    <x v="0"/>
    <x v="0"/>
    <x v="0"/>
    <x v="0"/>
    <x v="3"/>
    <x v="0"/>
    <x v="19"/>
    <n v="-8.16024731420886E-2"/>
  </r>
  <r>
    <x v="0"/>
    <x v="0"/>
    <x v="0"/>
    <x v="0"/>
    <x v="3"/>
    <x v="0"/>
    <x v="20"/>
    <n v="-0.37347496921664203"/>
  </r>
  <r>
    <x v="0"/>
    <x v="0"/>
    <x v="0"/>
    <x v="0"/>
    <x v="3"/>
    <x v="0"/>
    <x v="21"/>
    <n v="-0.52649999999999997"/>
  </r>
  <r>
    <x v="0"/>
    <x v="0"/>
    <x v="0"/>
    <x v="0"/>
    <x v="3"/>
    <x v="0"/>
    <x v="22"/>
    <n v="-0.52649999999999997"/>
  </r>
  <r>
    <x v="0"/>
    <x v="0"/>
    <x v="0"/>
    <x v="0"/>
    <x v="3"/>
    <x v="0"/>
    <x v="23"/>
    <n v="-0.52649999999999997"/>
  </r>
  <r>
    <x v="0"/>
    <x v="0"/>
    <x v="0"/>
    <x v="0"/>
    <x v="4"/>
    <x v="0"/>
    <x v="0"/>
    <n v="0"/>
  </r>
  <r>
    <x v="0"/>
    <x v="0"/>
    <x v="0"/>
    <x v="0"/>
    <x v="4"/>
    <x v="0"/>
    <x v="1"/>
    <n v="0"/>
  </r>
  <r>
    <x v="0"/>
    <x v="0"/>
    <x v="0"/>
    <x v="0"/>
    <x v="4"/>
    <x v="0"/>
    <x v="2"/>
    <n v="0"/>
  </r>
  <r>
    <x v="0"/>
    <x v="0"/>
    <x v="0"/>
    <x v="0"/>
    <x v="4"/>
    <x v="0"/>
    <x v="3"/>
    <n v="0"/>
  </r>
  <r>
    <x v="0"/>
    <x v="0"/>
    <x v="0"/>
    <x v="0"/>
    <x v="4"/>
    <x v="0"/>
    <x v="4"/>
    <n v="0"/>
  </r>
  <r>
    <x v="0"/>
    <x v="0"/>
    <x v="0"/>
    <x v="0"/>
    <x v="4"/>
    <x v="0"/>
    <x v="5"/>
    <n v="0"/>
  </r>
  <r>
    <x v="0"/>
    <x v="0"/>
    <x v="0"/>
    <x v="0"/>
    <x v="4"/>
    <x v="0"/>
    <x v="6"/>
    <n v="0"/>
  </r>
  <r>
    <x v="0"/>
    <x v="0"/>
    <x v="0"/>
    <x v="0"/>
    <x v="4"/>
    <x v="0"/>
    <x v="7"/>
    <n v="0"/>
  </r>
  <r>
    <x v="0"/>
    <x v="0"/>
    <x v="0"/>
    <x v="0"/>
    <x v="4"/>
    <x v="0"/>
    <x v="8"/>
    <n v="0"/>
  </r>
  <r>
    <x v="0"/>
    <x v="0"/>
    <x v="0"/>
    <x v="0"/>
    <x v="4"/>
    <x v="0"/>
    <x v="9"/>
    <n v="0"/>
  </r>
  <r>
    <x v="0"/>
    <x v="0"/>
    <x v="0"/>
    <x v="0"/>
    <x v="4"/>
    <x v="0"/>
    <x v="10"/>
    <n v="0"/>
  </r>
  <r>
    <x v="0"/>
    <x v="0"/>
    <x v="0"/>
    <x v="0"/>
    <x v="4"/>
    <x v="0"/>
    <x v="11"/>
    <n v="0.75115353429124299"/>
  </r>
  <r>
    <x v="0"/>
    <x v="0"/>
    <x v="0"/>
    <x v="0"/>
    <x v="4"/>
    <x v="0"/>
    <x v="12"/>
    <n v="0.16118866483924199"/>
  </r>
  <r>
    <x v="0"/>
    <x v="0"/>
    <x v="0"/>
    <x v="0"/>
    <x v="4"/>
    <x v="0"/>
    <x v="13"/>
    <n v="1.8"/>
  </r>
  <r>
    <x v="0"/>
    <x v="0"/>
    <x v="0"/>
    <x v="0"/>
    <x v="4"/>
    <x v="0"/>
    <x v="14"/>
    <n v="0"/>
  </r>
  <r>
    <x v="0"/>
    <x v="0"/>
    <x v="0"/>
    <x v="0"/>
    <x v="4"/>
    <x v="0"/>
    <x v="15"/>
    <n v="0"/>
  </r>
  <r>
    <x v="0"/>
    <x v="0"/>
    <x v="0"/>
    <x v="0"/>
    <x v="4"/>
    <x v="0"/>
    <x v="16"/>
    <n v="0"/>
  </r>
  <r>
    <x v="0"/>
    <x v="0"/>
    <x v="0"/>
    <x v="0"/>
    <x v="4"/>
    <x v="0"/>
    <x v="17"/>
    <n v="0"/>
  </r>
  <r>
    <x v="0"/>
    <x v="0"/>
    <x v="0"/>
    <x v="0"/>
    <x v="4"/>
    <x v="0"/>
    <x v="18"/>
    <n v="0"/>
  </r>
  <r>
    <x v="0"/>
    <x v="0"/>
    <x v="0"/>
    <x v="0"/>
    <x v="4"/>
    <x v="0"/>
    <x v="19"/>
    <n v="0"/>
  </r>
  <r>
    <x v="0"/>
    <x v="0"/>
    <x v="0"/>
    <x v="0"/>
    <x v="4"/>
    <x v="0"/>
    <x v="20"/>
    <n v="1.8"/>
  </r>
  <r>
    <x v="0"/>
    <x v="0"/>
    <x v="0"/>
    <x v="0"/>
    <x v="4"/>
    <x v="0"/>
    <x v="21"/>
    <n v="0"/>
  </r>
  <r>
    <x v="0"/>
    <x v="0"/>
    <x v="0"/>
    <x v="0"/>
    <x v="4"/>
    <x v="0"/>
    <x v="22"/>
    <n v="1.8"/>
  </r>
  <r>
    <x v="0"/>
    <x v="0"/>
    <x v="0"/>
    <x v="0"/>
    <x v="4"/>
    <x v="0"/>
    <x v="23"/>
    <n v="1.8"/>
  </r>
  <r>
    <x v="0"/>
    <x v="0"/>
    <x v="0"/>
    <x v="1"/>
    <x v="5"/>
    <x v="0"/>
    <x v="0"/>
    <n v="0"/>
  </r>
  <r>
    <x v="0"/>
    <x v="0"/>
    <x v="0"/>
    <x v="1"/>
    <x v="5"/>
    <x v="0"/>
    <x v="1"/>
    <n v="0"/>
  </r>
  <r>
    <x v="0"/>
    <x v="0"/>
    <x v="0"/>
    <x v="1"/>
    <x v="5"/>
    <x v="0"/>
    <x v="2"/>
    <n v="0"/>
  </r>
  <r>
    <x v="0"/>
    <x v="0"/>
    <x v="0"/>
    <x v="1"/>
    <x v="5"/>
    <x v="0"/>
    <x v="3"/>
    <n v="0"/>
  </r>
  <r>
    <x v="0"/>
    <x v="0"/>
    <x v="0"/>
    <x v="1"/>
    <x v="5"/>
    <x v="0"/>
    <x v="4"/>
    <n v="1.5583494666535899E-2"/>
  </r>
  <r>
    <x v="0"/>
    <x v="0"/>
    <x v="0"/>
    <x v="1"/>
    <x v="5"/>
    <x v="0"/>
    <x v="5"/>
    <n v="0.91252481292328003"/>
  </r>
  <r>
    <x v="0"/>
    <x v="0"/>
    <x v="0"/>
    <x v="1"/>
    <x v="5"/>
    <x v="0"/>
    <x v="6"/>
    <n v="0.40022892133260801"/>
  </r>
  <r>
    <x v="0"/>
    <x v="0"/>
    <x v="0"/>
    <x v="1"/>
    <x v="5"/>
    <x v="0"/>
    <x v="7"/>
    <n v="2.2050181842098698E-2"/>
  </r>
  <r>
    <x v="0"/>
    <x v="0"/>
    <x v="0"/>
    <x v="1"/>
    <x v="5"/>
    <x v="0"/>
    <x v="8"/>
    <n v="0"/>
  </r>
  <r>
    <x v="0"/>
    <x v="0"/>
    <x v="0"/>
    <x v="1"/>
    <x v="5"/>
    <x v="0"/>
    <x v="9"/>
    <n v="0"/>
  </r>
  <r>
    <x v="0"/>
    <x v="0"/>
    <x v="0"/>
    <x v="1"/>
    <x v="5"/>
    <x v="0"/>
    <x v="10"/>
    <n v="0.72059352688378597"/>
  </r>
  <r>
    <x v="0"/>
    <x v="0"/>
    <x v="0"/>
    <x v="1"/>
    <x v="5"/>
    <x v="0"/>
    <x v="11"/>
    <n v="0"/>
  </r>
  <r>
    <x v="0"/>
    <x v="0"/>
    <x v="0"/>
    <x v="1"/>
    <x v="5"/>
    <x v="0"/>
    <x v="12"/>
    <n v="0"/>
  </r>
  <r>
    <x v="0"/>
    <x v="0"/>
    <x v="0"/>
    <x v="1"/>
    <x v="5"/>
    <x v="0"/>
    <x v="13"/>
    <n v="0"/>
  </r>
  <r>
    <x v="0"/>
    <x v="0"/>
    <x v="0"/>
    <x v="1"/>
    <x v="5"/>
    <x v="0"/>
    <x v="14"/>
    <n v="0"/>
  </r>
  <r>
    <x v="0"/>
    <x v="0"/>
    <x v="0"/>
    <x v="1"/>
    <x v="5"/>
    <x v="0"/>
    <x v="15"/>
    <n v="0"/>
  </r>
  <r>
    <x v="0"/>
    <x v="0"/>
    <x v="0"/>
    <x v="1"/>
    <x v="5"/>
    <x v="0"/>
    <x v="16"/>
    <n v="0"/>
  </r>
  <r>
    <x v="0"/>
    <x v="0"/>
    <x v="0"/>
    <x v="1"/>
    <x v="5"/>
    <x v="0"/>
    <x v="17"/>
    <n v="0"/>
  </r>
  <r>
    <x v="0"/>
    <x v="0"/>
    <x v="0"/>
    <x v="1"/>
    <x v="5"/>
    <x v="0"/>
    <x v="18"/>
    <n v="0"/>
  </r>
  <r>
    <x v="0"/>
    <x v="0"/>
    <x v="0"/>
    <x v="1"/>
    <x v="5"/>
    <x v="0"/>
    <x v="19"/>
    <n v="0"/>
  </r>
  <r>
    <x v="0"/>
    <x v="0"/>
    <x v="0"/>
    <x v="1"/>
    <x v="5"/>
    <x v="0"/>
    <x v="20"/>
    <n v="0"/>
  </r>
  <r>
    <x v="0"/>
    <x v="0"/>
    <x v="0"/>
    <x v="1"/>
    <x v="5"/>
    <x v="0"/>
    <x v="21"/>
    <n v="0"/>
  </r>
  <r>
    <x v="0"/>
    <x v="0"/>
    <x v="0"/>
    <x v="1"/>
    <x v="5"/>
    <x v="0"/>
    <x v="22"/>
    <n v="0"/>
  </r>
  <r>
    <x v="0"/>
    <x v="0"/>
    <x v="0"/>
    <x v="1"/>
    <x v="5"/>
    <x v="0"/>
    <x v="23"/>
    <n v="0"/>
  </r>
  <r>
    <x v="0"/>
    <x v="0"/>
    <x v="0"/>
    <x v="1"/>
    <x v="2"/>
    <x v="0"/>
    <x v="0"/>
    <n v="1.5788113236877701"/>
  </r>
  <r>
    <x v="0"/>
    <x v="0"/>
    <x v="0"/>
    <x v="1"/>
    <x v="2"/>
    <x v="0"/>
    <x v="1"/>
    <n v="1.7437155837126099"/>
  </r>
  <r>
    <x v="0"/>
    <x v="0"/>
    <x v="0"/>
    <x v="1"/>
    <x v="2"/>
    <x v="0"/>
    <x v="2"/>
    <n v="1.4984667297316101"/>
  </r>
  <r>
    <x v="0"/>
    <x v="0"/>
    <x v="0"/>
    <x v="1"/>
    <x v="2"/>
    <x v="0"/>
    <x v="3"/>
    <n v="1.6404604275818799"/>
  </r>
  <r>
    <x v="0"/>
    <x v="0"/>
    <x v="0"/>
    <x v="1"/>
    <x v="2"/>
    <x v="0"/>
    <x v="4"/>
    <n v="1.32084873080786"/>
  </r>
  <r>
    <x v="0"/>
    <x v="0"/>
    <x v="0"/>
    <x v="1"/>
    <x v="2"/>
    <x v="0"/>
    <x v="5"/>
    <n v="0"/>
  </r>
  <r>
    <x v="0"/>
    <x v="0"/>
    <x v="0"/>
    <x v="1"/>
    <x v="2"/>
    <x v="0"/>
    <x v="6"/>
    <n v="0"/>
  </r>
  <r>
    <x v="0"/>
    <x v="0"/>
    <x v="0"/>
    <x v="1"/>
    <x v="2"/>
    <x v="0"/>
    <x v="7"/>
    <n v="0"/>
  </r>
  <r>
    <x v="0"/>
    <x v="0"/>
    <x v="0"/>
    <x v="1"/>
    <x v="2"/>
    <x v="0"/>
    <x v="8"/>
    <n v="9.2392945641858501E-2"/>
  </r>
  <r>
    <x v="0"/>
    <x v="0"/>
    <x v="0"/>
    <x v="1"/>
    <x v="2"/>
    <x v="0"/>
    <x v="9"/>
    <n v="0.14425402862226899"/>
  </r>
  <r>
    <x v="0"/>
    <x v="0"/>
    <x v="0"/>
    <x v="1"/>
    <x v="2"/>
    <x v="0"/>
    <x v="10"/>
    <n v="0"/>
  </r>
  <r>
    <x v="0"/>
    <x v="0"/>
    <x v="0"/>
    <x v="1"/>
    <x v="2"/>
    <x v="0"/>
    <x v="11"/>
    <n v="1.20961692480379"/>
  </r>
  <r>
    <x v="0"/>
    <x v="0"/>
    <x v="0"/>
    <x v="1"/>
    <x v="2"/>
    <x v="0"/>
    <x v="12"/>
    <n v="1.41492354560077"/>
  </r>
  <r>
    <x v="0"/>
    <x v="0"/>
    <x v="0"/>
    <x v="1"/>
    <x v="2"/>
    <x v="0"/>
    <x v="13"/>
    <n v="1.8207801875253899"/>
  </r>
  <r>
    <x v="0"/>
    <x v="0"/>
    <x v="0"/>
    <x v="1"/>
    <x v="2"/>
    <x v="0"/>
    <x v="14"/>
    <n v="1.7365900097495499"/>
  </r>
  <r>
    <x v="0"/>
    <x v="0"/>
    <x v="0"/>
    <x v="1"/>
    <x v="2"/>
    <x v="0"/>
    <x v="15"/>
    <n v="1.66329598700188"/>
  </r>
  <r>
    <x v="0"/>
    <x v="0"/>
    <x v="0"/>
    <x v="1"/>
    <x v="2"/>
    <x v="0"/>
    <x v="16"/>
    <n v="1.9351484440492801"/>
  </r>
  <r>
    <x v="0"/>
    <x v="0"/>
    <x v="0"/>
    <x v="1"/>
    <x v="2"/>
    <x v="0"/>
    <x v="17"/>
    <n v="2.3225726119427099"/>
  </r>
  <r>
    <x v="0"/>
    <x v="0"/>
    <x v="0"/>
    <x v="1"/>
    <x v="2"/>
    <x v="0"/>
    <x v="18"/>
    <n v="2.6543390285044302"/>
  </r>
  <r>
    <x v="0"/>
    <x v="0"/>
    <x v="0"/>
    <x v="1"/>
    <x v="2"/>
    <x v="0"/>
    <x v="19"/>
    <n v="3.01446087526136"/>
  </r>
  <r>
    <x v="0"/>
    <x v="0"/>
    <x v="0"/>
    <x v="1"/>
    <x v="2"/>
    <x v="0"/>
    <x v="20"/>
    <n v="3.7983956798254499"/>
  </r>
  <r>
    <x v="0"/>
    <x v="0"/>
    <x v="0"/>
    <x v="1"/>
    <x v="2"/>
    <x v="0"/>
    <x v="21"/>
    <n v="4.2532691689967601"/>
  </r>
  <r>
    <x v="0"/>
    <x v="0"/>
    <x v="0"/>
    <x v="1"/>
    <x v="2"/>
    <x v="0"/>
    <x v="22"/>
    <n v="4.8753288018239296"/>
  </r>
  <r>
    <x v="0"/>
    <x v="0"/>
    <x v="0"/>
    <x v="1"/>
    <x v="2"/>
    <x v="0"/>
    <x v="23"/>
    <n v="5.3338086432400296"/>
  </r>
  <r>
    <x v="0"/>
    <x v="0"/>
    <x v="0"/>
    <x v="1"/>
    <x v="6"/>
    <x v="0"/>
    <x v="0"/>
    <n v="0"/>
  </r>
  <r>
    <x v="0"/>
    <x v="0"/>
    <x v="0"/>
    <x v="1"/>
    <x v="6"/>
    <x v="0"/>
    <x v="1"/>
    <n v="0"/>
  </r>
  <r>
    <x v="0"/>
    <x v="0"/>
    <x v="0"/>
    <x v="1"/>
    <x v="6"/>
    <x v="0"/>
    <x v="2"/>
    <n v="0"/>
  </r>
  <r>
    <x v="0"/>
    <x v="0"/>
    <x v="0"/>
    <x v="1"/>
    <x v="6"/>
    <x v="0"/>
    <x v="3"/>
    <n v="0"/>
  </r>
  <r>
    <x v="0"/>
    <x v="0"/>
    <x v="0"/>
    <x v="1"/>
    <x v="6"/>
    <x v="0"/>
    <x v="4"/>
    <n v="0"/>
  </r>
  <r>
    <x v="0"/>
    <x v="0"/>
    <x v="0"/>
    <x v="1"/>
    <x v="6"/>
    <x v="0"/>
    <x v="5"/>
    <n v="0"/>
  </r>
  <r>
    <x v="0"/>
    <x v="0"/>
    <x v="0"/>
    <x v="1"/>
    <x v="6"/>
    <x v="0"/>
    <x v="6"/>
    <n v="0"/>
  </r>
  <r>
    <x v="0"/>
    <x v="0"/>
    <x v="0"/>
    <x v="1"/>
    <x v="6"/>
    <x v="0"/>
    <x v="7"/>
    <n v="0"/>
  </r>
  <r>
    <x v="0"/>
    <x v="0"/>
    <x v="0"/>
    <x v="1"/>
    <x v="6"/>
    <x v="0"/>
    <x v="8"/>
    <n v="0"/>
  </r>
  <r>
    <x v="0"/>
    <x v="0"/>
    <x v="0"/>
    <x v="1"/>
    <x v="6"/>
    <x v="0"/>
    <x v="9"/>
    <n v="0"/>
  </r>
  <r>
    <x v="0"/>
    <x v="0"/>
    <x v="0"/>
    <x v="1"/>
    <x v="6"/>
    <x v="0"/>
    <x v="10"/>
    <n v="0"/>
  </r>
  <r>
    <x v="0"/>
    <x v="0"/>
    <x v="0"/>
    <x v="1"/>
    <x v="6"/>
    <x v="0"/>
    <x v="11"/>
    <n v="0"/>
  </r>
  <r>
    <x v="0"/>
    <x v="0"/>
    <x v="0"/>
    <x v="1"/>
    <x v="6"/>
    <x v="0"/>
    <x v="12"/>
    <n v="0"/>
  </r>
  <r>
    <x v="0"/>
    <x v="0"/>
    <x v="0"/>
    <x v="1"/>
    <x v="6"/>
    <x v="0"/>
    <x v="13"/>
    <n v="0"/>
  </r>
  <r>
    <x v="0"/>
    <x v="0"/>
    <x v="0"/>
    <x v="1"/>
    <x v="6"/>
    <x v="0"/>
    <x v="14"/>
    <n v="0"/>
  </r>
  <r>
    <x v="0"/>
    <x v="0"/>
    <x v="0"/>
    <x v="1"/>
    <x v="6"/>
    <x v="0"/>
    <x v="15"/>
    <n v="0"/>
  </r>
  <r>
    <x v="0"/>
    <x v="0"/>
    <x v="0"/>
    <x v="1"/>
    <x v="6"/>
    <x v="0"/>
    <x v="16"/>
    <n v="0"/>
  </r>
  <r>
    <x v="0"/>
    <x v="0"/>
    <x v="0"/>
    <x v="1"/>
    <x v="6"/>
    <x v="0"/>
    <x v="17"/>
    <n v="0"/>
  </r>
  <r>
    <x v="0"/>
    <x v="0"/>
    <x v="0"/>
    <x v="1"/>
    <x v="6"/>
    <x v="0"/>
    <x v="18"/>
    <n v="0"/>
  </r>
  <r>
    <x v="0"/>
    <x v="0"/>
    <x v="0"/>
    <x v="1"/>
    <x v="6"/>
    <x v="0"/>
    <x v="19"/>
    <n v="0"/>
  </r>
  <r>
    <x v="0"/>
    <x v="0"/>
    <x v="0"/>
    <x v="1"/>
    <x v="6"/>
    <x v="0"/>
    <x v="20"/>
    <n v="0"/>
  </r>
  <r>
    <x v="0"/>
    <x v="0"/>
    <x v="0"/>
    <x v="1"/>
    <x v="6"/>
    <x v="0"/>
    <x v="21"/>
    <n v="0"/>
  </r>
  <r>
    <x v="0"/>
    <x v="0"/>
    <x v="0"/>
    <x v="1"/>
    <x v="6"/>
    <x v="0"/>
    <x v="22"/>
    <n v="0"/>
  </r>
  <r>
    <x v="0"/>
    <x v="0"/>
    <x v="0"/>
    <x v="1"/>
    <x v="6"/>
    <x v="0"/>
    <x v="23"/>
    <n v="0"/>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
  </r>
  <r>
    <x v="0"/>
    <x v="0"/>
    <x v="0"/>
    <x v="1"/>
    <x v="8"/>
    <x v="0"/>
    <x v="1"/>
    <n v="0"/>
  </r>
  <r>
    <x v="0"/>
    <x v="0"/>
    <x v="0"/>
    <x v="1"/>
    <x v="8"/>
    <x v="0"/>
    <x v="2"/>
    <n v="0"/>
  </r>
  <r>
    <x v="0"/>
    <x v="0"/>
    <x v="0"/>
    <x v="1"/>
    <x v="8"/>
    <x v="0"/>
    <x v="3"/>
    <n v="0"/>
  </r>
  <r>
    <x v="0"/>
    <x v="0"/>
    <x v="0"/>
    <x v="1"/>
    <x v="8"/>
    <x v="0"/>
    <x v="4"/>
    <n v="0"/>
  </r>
  <r>
    <x v="0"/>
    <x v="0"/>
    <x v="0"/>
    <x v="1"/>
    <x v="8"/>
    <x v="0"/>
    <x v="5"/>
    <n v="0"/>
  </r>
  <r>
    <x v="0"/>
    <x v="0"/>
    <x v="0"/>
    <x v="1"/>
    <x v="8"/>
    <x v="0"/>
    <x v="6"/>
    <n v="0"/>
  </r>
  <r>
    <x v="0"/>
    <x v="0"/>
    <x v="0"/>
    <x v="1"/>
    <x v="8"/>
    <x v="0"/>
    <x v="7"/>
    <n v="0"/>
  </r>
  <r>
    <x v="0"/>
    <x v="0"/>
    <x v="0"/>
    <x v="1"/>
    <x v="8"/>
    <x v="0"/>
    <x v="8"/>
    <n v="0"/>
  </r>
  <r>
    <x v="0"/>
    <x v="0"/>
    <x v="0"/>
    <x v="1"/>
    <x v="8"/>
    <x v="0"/>
    <x v="9"/>
    <n v="0"/>
  </r>
  <r>
    <x v="0"/>
    <x v="0"/>
    <x v="0"/>
    <x v="1"/>
    <x v="8"/>
    <x v="0"/>
    <x v="10"/>
    <n v="0"/>
  </r>
  <r>
    <x v="0"/>
    <x v="0"/>
    <x v="0"/>
    <x v="1"/>
    <x v="8"/>
    <x v="0"/>
    <x v="11"/>
    <n v="0"/>
  </r>
  <r>
    <x v="0"/>
    <x v="0"/>
    <x v="0"/>
    <x v="1"/>
    <x v="8"/>
    <x v="0"/>
    <x v="12"/>
    <n v="0"/>
  </r>
  <r>
    <x v="0"/>
    <x v="0"/>
    <x v="0"/>
    <x v="1"/>
    <x v="8"/>
    <x v="0"/>
    <x v="13"/>
    <n v="0"/>
  </r>
  <r>
    <x v="0"/>
    <x v="0"/>
    <x v="0"/>
    <x v="1"/>
    <x v="8"/>
    <x v="0"/>
    <x v="14"/>
    <n v="0"/>
  </r>
  <r>
    <x v="0"/>
    <x v="0"/>
    <x v="0"/>
    <x v="1"/>
    <x v="8"/>
    <x v="0"/>
    <x v="15"/>
    <n v="0"/>
  </r>
  <r>
    <x v="0"/>
    <x v="0"/>
    <x v="0"/>
    <x v="1"/>
    <x v="8"/>
    <x v="0"/>
    <x v="16"/>
    <n v="0"/>
  </r>
  <r>
    <x v="0"/>
    <x v="0"/>
    <x v="0"/>
    <x v="1"/>
    <x v="8"/>
    <x v="0"/>
    <x v="17"/>
    <n v="0"/>
  </r>
  <r>
    <x v="0"/>
    <x v="0"/>
    <x v="0"/>
    <x v="1"/>
    <x v="8"/>
    <x v="0"/>
    <x v="18"/>
    <n v="0"/>
  </r>
  <r>
    <x v="0"/>
    <x v="0"/>
    <x v="0"/>
    <x v="1"/>
    <x v="8"/>
    <x v="0"/>
    <x v="19"/>
    <n v="0"/>
  </r>
  <r>
    <x v="0"/>
    <x v="0"/>
    <x v="0"/>
    <x v="1"/>
    <x v="8"/>
    <x v="0"/>
    <x v="20"/>
    <n v="0"/>
  </r>
  <r>
    <x v="0"/>
    <x v="0"/>
    <x v="0"/>
    <x v="1"/>
    <x v="8"/>
    <x v="0"/>
    <x v="21"/>
    <n v="0"/>
  </r>
  <r>
    <x v="0"/>
    <x v="0"/>
    <x v="0"/>
    <x v="1"/>
    <x v="8"/>
    <x v="0"/>
    <x v="22"/>
    <n v="0"/>
  </r>
  <r>
    <x v="0"/>
    <x v="0"/>
    <x v="0"/>
    <x v="1"/>
    <x v="8"/>
    <x v="0"/>
    <x v="23"/>
    <n v="0"/>
  </r>
  <r>
    <x v="0"/>
    <x v="0"/>
    <x v="0"/>
    <x v="2"/>
    <x v="5"/>
    <x v="0"/>
    <x v="0"/>
    <n v="0"/>
  </r>
  <r>
    <x v="0"/>
    <x v="0"/>
    <x v="0"/>
    <x v="2"/>
    <x v="5"/>
    <x v="0"/>
    <x v="1"/>
    <n v="0"/>
  </r>
  <r>
    <x v="0"/>
    <x v="0"/>
    <x v="0"/>
    <x v="2"/>
    <x v="5"/>
    <x v="0"/>
    <x v="2"/>
    <n v="0"/>
  </r>
  <r>
    <x v="0"/>
    <x v="0"/>
    <x v="0"/>
    <x v="2"/>
    <x v="5"/>
    <x v="0"/>
    <x v="3"/>
    <n v="0"/>
  </r>
  <r>
    <x v="0"/>
    <x v="0"/>
    <x v="0"/>
    <x v="2"/>
    <x v="5"/>
    <x v="0"/>
    <x v="4"/>
    <n v="0"/>
  </r>
  <r>
    <x v="0"/>
    <x v="0"/>
    <x v="0"/>
    <x v="2"/>
    <x v="5"/>
    <x v="0"/>
    <x v="5"/>
    <n v="0"/>
  </r>
  <r>
    <x v="0"/>
    <x v="0"/>
    <x v="0"/>
    <x v="2"/>
    <x v="5"/>
    <x v="0"/>
    <x v="6"/>
    <n v="0"/>
  </r>
  <r>
    <x v="0"/>
    <x v="0"/>
    <x v="0"/>
    <x v="2"/>
    <x v="5"/>
    <x v="0"/>
    <x v="7"/>
    <n v="0"/>
  </r>
  <r>
    <x v="0"/>
    <x v="0"/>
    <x v="0"/>
    <x v="2"/>
    <x v="5"/>
    <x v="0"/>
    <x v="8"/>
    <n v="0"/>
  </r>
  <r>
    <x v="0"/>
    <x v="0"/>
    <x v="0"/>
    <x v="2"/>
    <x v="5"/>
    <x v="0"/>
    <x v="9"/>
    <n v="0"/>
  </r>
  <r>
    <x v="0"/>
    <x v="0"/>
    <x v="0"/>
    <x v="2"/>
    <x v="5"/>
    <x v="0"/>
    <x v="10"/>
    <n v="0"/>
  </r>
  <r>
    <x v="0"/>
    <x v="0"/>
    <x v="0"/>
    <x v="2"/>
    <x v="5"/>
    <x v="0"/>
    <x v="11"/>
    <n v="0"/>
  </r>
  <r>
    <x v="0"/>
    <x v="0"/>
    <x v="0"/>
    <x v="2"/>
    <x v="5"/>
    <x v="0"/>
    <x v="12"/>
    <n v="0"/>
  </r>
  <r>
    <x v="0"/>
    <x v="0"/>
    <x v="0"/>
    <x v="2"/>
    <x v="5"/>
    <x v="0"/>
    <x v="13"/>
    <n v="0"/>
  </r>
  <r>
    <x v="0"/>
    <x v="0"/>
    <x v="0"/>
    <x v="2"/>
    <x v="5"/>
    <x v="0"/>
    <x v="14"/>
    <n v="0"/>
  </r>
  <r>
    <x v="0"/>
    <x v="0"/>
    <x v="0"/>
    <x v="2"/>
    <x v="5"/>
    <x v="0"/>
    <x v="15"/>
    <n v="0"/>
  </r>
  <r>
    <x v="0"/>
    <x v="0"/>
    <x v="0"/>
    <x v="2"/>
    <x v="5"/>
    <x v="0"/>
    <x v="16"/>
    <n v="0"/>
  </r>
  <r>
    <x v="0"/>
    <x v="0"/>
    <x v="0"/>
    <x v="2"/>
    <x v="5"/>
    <x v="0"/>
    <x v="17"/>
    <n v="0"/>
  </r>
  <r>
    <x v="0"/>
    <x v="0"/>
    <x v="0"/>
    <x v="2"/>
    <x v="5"/>
    <x v="0"/>
    <x v="18"/>
    <n v="0"/>
  </r>
  <r>
    <x v="0"/>
    <x v="0"/>
    <x v="0"/>
    <x v="2"/>
    <x v="5"/>
    <x v="0"/>
    <x v="19"/>
    <n v="0"/>
  </r>
  <r>
    <x v="0"/>
    <x v="0"/>
    <x v="0"/>
    <x v="2"/>
    <x v="5"/>
    <x v="0"/>
    <x v="20"/>
    <n v="-0.81706442892270403"/>
  </r>
  <r>
    <x v="0"/>
    <x v="0"/>
    <x v="0"/>
    <x v="2"/>
    <x v="5"/>
    <x v="0"/>
    <x v="21"/>
    <n v="0"/>
  </r>
  <r>
    <x v="0"/>
    <x v="0"/>
    <x v="0"/>
    <x v="2"/>
    <x v="5"/>
    <x v="0"/>
    <x v="22"/>
    <n v="0"/>
  </r>
  <r>
    <x v="0"/>
    <x v="0"/>
    <x v="0"/>
    <x v="2"/>
    <x v="5"/>
    <x v="0"/>
    <x v="23"/>
    <n v="-0.98944700608888203"/>
  </r>
  <r>
    <x v="0"/>
    <x v="0"/>
    <x v="0"/>
    <x v="2"/>
    <x v="2"/>
    <x v="0"/>
    <x v="0"/>
    <n v="0"/>
  </r>
  <r>
    <x v="0"/>
    <x v="0"/>
    <x v="0"/>
    <x v="2"/>
    <x v="2"/>
    <x v="0"/>
    <x v="1"/>
    <n v="0"/>
  </r>
  <r>
    <x v="0"/>
    <x v="0"/>
    <x v="0"/>
    <x v="2"/>
    <x v="2"/>
    <x v="0"/>
    <x v="2"/>
    <n v="0"/>
  </r>
  <r>
    <x v="0"/>
    <x v="0"/>
    <x v="0"/>
    <x v="2"/>
    <x v="2"/>
    <x v="0"/>
    <x v="3"/>
    <n v="0"/>
  </r>
  <r>
    <x v="0"/>
    <x v="0"/>
    <x v="0"/>
    <x v="2"/>
    <x v="2"/>
    <x v="0"/>
    <x v="4"/>
    <n v="0"/>
  </r>
  <r>
    <x v="0"/>
    <x v="0"/>
    <x v="0"/>
    <x v="2"/>
    <x v="2"/>
    <x v="0"/>
    <x v="5"/>
    <n v="0"/>
  </r>
  <r>
    <x v="0"/>
    <x v="0"/>
    <x v="0"/>
    <x v="2"/>
    <x v="2"/>
    <x v="0"/>
    <x v="6"/>
    <n v="0"/>
  </r>
  <r>
    <x v="0"/>
    <x v="0"/>
    <x v="0"/>
    <x v="2"/>
    <x v="2"/>
    <x v="0"/>
    <x v="7"/>
    <n v="0"/>
  </r>
  <r>
    <x v="0"/>
    <x v="0"/>
    <x v="0"/>
    <x v="2"/>
    <x v="2"/>
    <x v="0"/>
    <x v="8"/>
    <n v="0"/>
  </r>
  <r>
    <x v="0"/>
    <x v="0"/>
    <x v="0"/>
    <x v="2"/>
    <x v="2"/>
    <x v="0"/>
    <x v="9"/>
    <n v="0"/>
  </r>
  <r>
    <x v="0"/>
    <x v="0"/>
    <x v="0"/>
    <x v="2"/>
    <x v="2"/>
    <x v="0"/>
    <x v="10"/>
    <n v="0"/>
  </r>
  <r>
    <x v="0"/>
    <x v="0"/>
    <x v="0"/>
    <x v="2"/>
    <x v="2"/>
    <x v="0"/>
    <x v="11"/>
    <n v="0"/>
  </r>
  <r>
    <x v="0"/>
    <x v="0"/>
    <x v="0"/>
    <x v="2"/>
    <x v="2"/>
    <x v="0"/>
    <x v="12"/>
    <n v="0"/>
  </r>
  <r>
    <x v="0"/>
    <x v="0"/>
    <x v="0"/>
    <x v="2"/>
    <x v="2"/>
    <x v="0"/>
    <x v="13"/>
    <n v="0"/>
  </r>
  <r>
    <x v="0"/>
    <x v="0"/>
    <x v="0"/>
    <x v="2"/>
    <x v="2"/>
    <x v="0"/>
    <x v="14"/>
    <n v="0"/>
  </r>
  <r>
    <x v="0"/>
    <x v="0"/>
    <x v="0"/>
    <x v="2"/>
    <x v="2"/>
    <x v="0"/>
    <x v="15"/>
    <n v="0"/>
  </r>
  <r>
    <x v="0"/>
    <x v="0"/>
    <x v="0"/>
    <x v="2"/>
    <x v="2"/>
    <x v="0"/>
    <x v="16"/>
    <n v="0"/>
  </r>
  <r>
    <x v="0"/>
    <x v="0"/>
    <x v="0"/>
    <x v="2"/>
    <x v="2"/>
    <x v="0"/>
    <x v="17"/>
    <n v="0"/>
  </r>
  <r>
    <x v="0"/>
    <x v="0"/>
    <x v="0"/>
    <x v="2"/>
    <x v="2"/>
    <x v="0"/>
    <x v="18"/>
    <n v="0"/>
  </r>
  <r>
    <x v="0"/>
    <x v="0"/>
    <x v="0"/>
    <x v="2"/>
    <x v="2"/>
    <x v="0"/>
    <x v="19"/>
    <n v="0"/>
  </r>
  <r>
    <x v="0"/>
    <x v="0"/>
    <x v="0"/>
    <x v="2"/>
    <x v="2"/>
    <x v="0"/>
    <x v="20"/>
    <n v="0"/>
  </r>
  <r>
    <x v="0"/>
    <x v="0"/>
    <x v="0"/>
    <x v="2"/>
    <x v="2"/>
    <x v="0"/>
    <x v="21"/>
    <n v="0"/>
  </r>
  <r>
    <x v="0"/>
    <x v="0"/>
    <x v="0"/>
    <x v="2"/>
    <x v="2"/>
    <x v="0"/>
    <x v="22"/>
    <n v="0"/>
  </r>
  <r>
    <x v="0"/>
    <x v="0"/>
    <x v="0"/>
    <x v="2"/>
    <x v="2"/>
    <x v="0"/>
    <x v="23"/>
    <n v="0"/>
  </r>
  <r>
    <x v="0"/>
    <x v="0"/>
    <x v="0"/>
    <x v="2"/>
    <x v="9"/>
    <x v="0"/>
    <x v="0"/>
    <n v="0"/>
  </r>
  <r>
    <x v="0"/>
    <x v="0"/>
    <x v="0"/>
    <x v="2"/>
    <x v="9"/>
    <x v="0"/>
    <x v="1"/>
    <n v="0"/>
  </r>
  <r>
    <x v="0"/>
    <x v="0"/>
    <x v="0"/>
    <x v="2"/>
    <x v="9"/>
    <x v="0"/>
    <x v="2"/>
    <n v="0"/>
  </r>
  <r>
    <x v="0"/>
    <x v="0"/>
    <x v="0"/>
    <x v="2"/>
    <x v="9"/>
    <x v="0"/>
    <x v="3"/>
    <n v="0"/>
  </r>
  <r>
    <x v="0"/>
    <x v="0"/>
    <x v="0"/>
    <x v="2"/>
    <x v="9"/>
    <x v="0"/>
    <x v="4"/>
    <n v="0"/>
  </r>
  <r>
    <x v="0"/>
    <x v="0"/>
    <x v="0"/>
    <x v="2"/>
    <x v="9"/>
    <x v="0"/>
    <x v="5"/>
    <n v="0"/>
  </r>
  <r>
    <x v="0"/>
    <x v="0"/>
    <x v="0"/>
    <x v="2"/>
    <x v="9"/>
    <x v="0"/>
    <x v="6"/>
    <n v="0"/>
  </r>
  <r>
    <x v="0"/>
    <x v="0"/>
    <x v="0"/>
    <x v="2"/>
    <x v="9"/>
    <x v="0"/>
    <x v="7"/>
    <n v="0"/>
  </r>
  <r>
    <x v="0"/>
    <x v="0"/>
    <x v="0"/>
    <x v="2"/>
    <x v="9"/>
    <x v="0"/>
    <x v="8"/>
    <n v="0"/>
  </r>
  <r>
    <x v="0"/>
    <x v="0"/>
    <x v="0"/>
    <x v="2"/>
    <x v="9"/>
    <x v="0"/>
    <x v="9"/>
    <n v="0"/>
  </r>
  <r>
    <x v="0"/>
    <x v="0"/>
    <x v="0"/>
    <x v="2"/>
    <x v="9"/>
    <x v="0"/>
    <x v="10"/>
    <n v="0"/>
  </r>
  <r>
    <x v="0"/>
    <x v="0"/>
    <x v="0"/>
    <x v="2"/>
    <x v="9"/>
    <x v="0"/>
    <x v="11"/>
    <n v="0"/>
  </r>
  <r>
    <x v="0"/>
    <x v="0"/>
    <x v="0"/>
    <x v="2"/>
    <x v="9"/>
    <x v="0"/>
    <x v="12"/>
    <n v="0"/>
  </r>
  <r>
    <x v="0"/>
    <x v="0"/>
    <x v="0"/>
    <x v="2"/>
    <x v="9"/>
    <x v="0"/>
    <x v="13"/>
    <n v="0"/>
  </r>
  <r>
    <x v="0"/>
    <x v="0"/>
    <x v="0"/>
    <x v="2"/>
    <x v="9"/>
    <x v="0"/>
    <x v="14"/>
    <n v="0"/>
  </r>
  <r>
    <x v="0"/>
    <x v="0"/>
    <x v="0"/>
    <x v="2"/>
    <x v="9"/>
    <x v="0"/>
    <x v="15"/>
    <n v="0"/>
  </r>
  <r>
    <x v="0"/>
    <x v="0"/>
    <x v="0"/>
    <x v="2"/>
    <x v="9"/>
    <x v="0"/>
    <x v="16"/>
    <n v="0"/>
  </r>
  <r>
    <x v="0"/>
    <x v="0"/>
    <x v="0"/>
    <x v="2"/>
    <x v="9"/>
    <x v="0"/>
    <x v="17"/>
    <n v="0"/>
  </r>
  <r>
    <x v="0"/>
    <x v="0"/>
    <x v="0"/>
    <x v="2"/>
    <x v="9"/>
    <x v="0"/>
    <x v="18"/>
    <n v="0"/>
  </r>
  <r>
    <x v="0"/>
    <x v="0"/>
    <x v="0"/>
    <x v="2"/>
    <x v="9"/>
    <x v="0"/>
    <x v="19"/>
    <n v="0"/>
  </r>
  <r>
    <x v="0"/>
    <x v="0"/>
    <x v="0"/>
    <x v="2"/>
    <x v="9"/>
    <x v="0"/>
    <x v="20"/>
    <n v="0"/>
  </r>
  <r>
    <x v="0"/>
    <x v="0"/>
    <x v="0"/>
    <x v="2"/>
    <x v="9"/>
    <x v="0"/>
    <x v="21"/>
    <n v="0"/>
  </r>
  <r>
    <x v="0"/>
    <x v="0"/>
    <x v="0"/>
    <x v="2"/>
    <x v="9"/>
    <x v="0"/>
    <x v="22"/>
    <n v="0"/>
  </r>
  <r>
    <x v="0"/>
    <x v="0"/>
    <x v="0"/>
    <x v="2"/>
    <x v="9"/>
    <x v="0"/>
    <x v="23"/>
    <n v="0"/>
  </r>
  <r>
    <x v="0"/>
    <x v="0"/>
    <x v="0"/>
    <x v="3"/>
    <x v="5"/>
    <x v="0"/>
    <x v="0"/>
    <n v="0"/>
  </r>
  <r>
    <x v="0"/>
    <x v="0"/>
    <x v="0"/>
    <x v="3"/>
    <x v="5"/>
    <x v="0"/>
    <x v="1"/>
    <n v="0"/>
  </r>
  <r>
    <x v="0"/>
    <x v="0"/>
    <x v="0"/>
    <x v="3"/>
    <x v="5"/>
    <x v="0"/>
    <x v="2"/>
    <n v="0"/>
  </r>
  <r>
    <x v="0"/>
    <x v="0"/>
    <x v="0"/>
    <x v="3"/>
    <x v="5"/>
    <x v="0"/>
    <x v="3"/>
    <n v="0"/>
  </r>
  <r>
    <x v="0"/>
    <x v="0"/>
    <x v="0"/>
    <x v="3"/>
    <x v="5"/>
    <x v="0"/>
    <x v="4"/>
    <n v="0"/>
  </r>
  <r>
    <x v="0"/>
    <x v="0"/>
    <x v="0"/>
    <x v="3"/>
    <x v="5"/>
    <x v="0"/>
    <x v="5"/>
    <n v="0"/>
  </r>
  <r>
    <x v="0"/>
    <x v="0"/>
    <x v="0"/>
    <x v="3"/>
    <x v="5"/>
    <x v="0"/>
    <x v="6"/>
    <n v="0"/>
  </r>
  <r>
    <x v="0"/>
    <x v="0"/>
    <x v="0"/>
    <x v="3"/>
    <x v="5"/>
    <x v="0"/>
    <x v="7"/>
    <n v="0"/>
  </r>
  <r>
    <x v="0"/>
    <x v="0"/>
    <x v="0"/>
    <x v="3"/>
    <x v="5"/>
    <x v="0"/>
    <x v="8"/>
    <n v="0"/>
  </r>
  <r>
    <x v="0"/>
    <x v="0"/>
    <x v="0"/>
    <x v="3"/>
    <x v="5"/>
    <x v="0"/>
    <x v="9"/>
    <n v="0"/>
  </r>
  <r>
    <x v="0"/>
    <x v="0"/>
    <x v="0"/>
    <x v="3"/>
    <x v="5"/>
    <x v="0"/>
    <x v="10"/>
    <n v="0"/>
  </r>
  <r>
    <x v="0"/>
    <x v="0"/>
    <x v="0"/>
    <x v="3"/>
    <x v="5"/>
    <x v="0"/>
    <x v="11"/>
    <n v="0"/>
  </r>
  <r>
    <x v="0"/>
    <x v="0"/>
    <x v="0"/>
    <x v="3"/>
    <x v="5"/>
    <x v="0"/>
    <x v="12"/>
    <n v="0"/>
  </r>
  <r>
    <x v="0"/>
    <x v="0"/>
    <x v="0"/>
    <x v="3"/>
    <x v="5"/>
    <x v="0"/>
    <x v="13"/>
    <n v="-1.39323478163549"/>
  </r>
  <r>
    <x v="0"/>
    <x v="0"/>
    <x v="0"/>
    <x v="3"/>
    <x v="5"/>
    <x v="0"/>
    <x v="14"/>
    <n v="0"/>
  </r>
  <r>
    <x v="0"/>
    <x v="0"/>
    <x v="0"/>
    <x v="3"/>
    <x v="5"/>
    <x v="0"/>
    <x v="15"/>
    <n v="0"/>
  </r>
  <r>
    <x v="0"/>
    <x v="0"/>
    <x v="0"/>
    <x v="3"/>
    <x v="5"/>
    <x v="0"/>
    <x v="16"/>
    <n v="0"/>
  </r>
  <r>
    <x v="0"/>
    <x v="0"/>
    <x v="0"/>
    <x v="3"/>
    <x v="5"/>
    <x v="0"/>
    <x v="17"/>
    <n v="0"/>
  </r>
  <r>
    <x v="0"/>
    <x v="0"/>
    <x v="0"/>
    <x v="3"/>
    <x v="5"/>
    <x v="0"/>
    <x v="18"/>
    <n v="0"/>
  </r>
  <r>
    <x v="0"/>
    <x v="0"/>
    <x v="0"/>
    <x v="3"/>
    <x v="5"/>
    <x v="0"/>
    <x v="19"/>
    <n v="-1.0088495976866401"/>
  </r>
  <r>
    <x v="0"/>
    <x v="0"/>
    <x v="0"/>
    <x v="3"/>
    <x v="5"/>
    <x v="0"/>
    <x v="20"/>
    <n v="0"/>
  </r>
  <r>
    <x v="0"/>
    <x v="0"/>
    <x v="0"/>
    <x v="3"/>
    <x v="5"/>
    <x v="0"/>
    <x v="21"/>
    <n v="-4.1395094350726396"/>
  </r>
  <r>
    <x v="0"/>
    <x v="0"/>
    <x v="0"/>
    <x v="3"/>
    <x v="5"/>
    <x v="0"/>
    <x v="22"/>
    <n v="-3.1984113215057501"/>
  </r>
  <r>
    <x v="0"/>
    <x v="0"/>
    <x v="0"/>
    <x v="3"/>
    <x v="5"/>
    <x v="0"/>
    <x v="23"/>
    <n v="-2.07468850424145"/>
  </r>
  <r>
    <x v="0"/>
    <x v="0"/>
    <x v="0"/>
    <x v="3"/>
    <x v="0"/>
    <x v="0"/>
    <x v="0"/>
    <n v="-1.5788113236877701"/>
  </r>
  <r>
    <x v="0"/>
    <x v="0"/>
    <x v="0"/>
    <x v="3"/>
    <x v="0"/>
    <x v="0"/>
    <x v="1"/>
    <n v="-1.7437155837126099"/>
  </r>
  <r>
    <x v="0"/>
    <x v="0"/>
    <x v="0"/>
    <x v="3"/>
    <x v="0"/>
    <x v="0"/>
    <x v="2"/>
    <n v="-1.4984667297316101"/>
  </r>
  <r>
    <x v="0"/>
    <x v="0"/>
    <x v="0"/>
    <x v="3"/>
    <x v="0"/>
    <x v="0"/>
    <x v="3"/>
    <n v="-1.6404604275818799"/>
  </r>
  <r>
    <x v="0"/>
    <x v="0"/>
    <x v="0"/>
    <x v="3"/>
    <x v="0"/>
    <x v="0"/>
    <x v="4"/>
    <n v="-1.32084873080786"/>
  </r>
  <r>
    <x v="0"/>
    <x v="0"/>
    <x v="0"/>
    <x v="3"/>
    <x v="0"/>
    <x v="0"/>
    <x v="5"/>
    <n v="0"/>
  </r>
  <r>
    <x v="0"/>
    <x v="0"/>
    <x v="0"/>
    <x v="3"/>
    <x v="0"/>
    <x v="0"/>
    <x v="6"/>
    <n v="0"/>
  </r>
  <r>
    <x v="0"/>
    <x v="0"/>
    <x v="0"/>
    <x v="3"/>
    <x v="0"/>
    <x v="0"/>
    <x v="7"/>
    <n v="0"/>
  </r>
  <r>
    <x v="0"/>
    <x v="0"/>
    <x v="0"/>
    <x v="3"/>
    <x v="0"/>
    <x v="0"/>
    <x v="8"/>
    <n v="-9.2392945641858501E-2"/>
  </r>
  <r>
    <x v="0"/>
    <x v="0"/>
    <x v="0"/>
    <x v="3"/>
    <x v="0"/>
    <x v="0"/>
    <x v="9"/>
    <n v="-0.14425402862226899"/>
  </r>
  <r>
    <x v="0"/>
    <x v="0"/>
    <x v="0"/>
    <x v="3"/>
    <x v="0"/>
    <x v="0"/>
    <x v="10"/>
    <n v="0"/>
  </r>
  <r>
    <x v="0"/>
    <x v="0"/>
    <x v="0"/>
    <x v="3"/>
    <x v="0"/>
    <x v="0"/>
    <x v="11"/>
    <n v="-1.20961692480379"/>
  </r>
  <r>
    <x v="0"/>
    <x v="0"/>
    <x v="0"/>
    <x v="3"/>
    <x v="0"/>
    <x v="0"/>
    <x v="12"/>
    <n v="-1.41492354560077"/>
  </r>
  <r>
    <x v="0"/>
    <x v="0"/>
    <x v="0"/>
    <x v="3"/>
    <x v="0"/>
    <x v="0"/>
    <x v="13"/>
    <n v="-1.8207801875253899"/>
  </r>
  <r>
    <x v="0"/>
    <x v="0"/>
    <x v="0"/>
    <x v="3"/>
    <x v="0"/>
    <x v="0"/>
    <x v="14"/>
    <n v="-1.7365900097495499"/>
  </r>
  <r>
    <x v="0"/>
    <x v="0"/>
    <x v="0"/>
    <x v="3"/>
    <x v="0"/>
    <x v="0"/>
    <x v="15"/>
    <n v="-1.66329598700188"/>
  </r>
  <r>
    <x v="0"/>
    <x v="0"/>
    <x v="0"/>
    <x v="3"/>
    <x v="0"/>
    <x v="0"/>
    <x v="16"/>
    <n v="-1.9351484440492801"/>
  </r>
  <r>
    <x v="0"/>
    <x v="0"/>
    <x v="0"/>
    <x v="3"/>
    <x v="0"/>
    <x v="0"/>
    <x v="17"/>
    <n v="-2.3225726119427099"/>
  </r>
  <r>
    <x v="0"/>
    <x v="0"/>
    <x v="0"/>
    <x v="3"/>
    <x v="0"/>
    <x v="0"/>
    <x v="18"/>
    <n v="-2.6543390285044302"/>
  </r>
  <r>
    <x v="0"/>
    <x v="0"/>
    <x v="0"/>
    <x v="3"/>
    <x v="0"/>
    <x v="0"/>
    <x v="19"/>
    <n v="-3.01446087526136"/>
  </r>
  <r>
    <x v="0"/>
    <x v="0"/>
    <x v="0"/>
    <x v="3"/>
    <x v="0"/>
    <x v="0"/>
    <x v="20"/>
    <n v="-3.7983956798254499"/>
  </r>
  <r>
    <x v="0"/>
    <x v="0"/>
    <x v="0"/>
    <x v="3"/>
    <x v="0"/>
    <x v="0"/>
    <x v="21"/>
    <n v="-4.2532691689967601"/>
  </r>
  <r>
    <x v="0"/>
    <x v="0"/>
    <x v="0"/>
    <x v="3"/>
    <x v="0"/>
    <x v="0"/>
    <x v="22"/>
    <n v="-4.8753288018239296"/>
  </r>
  <r>
    <x v="0"/>
    <x v="0"/>
    <x v="0"/>
    <x v="3"/>
    <x v="0"/>
    <x v="0"/>
    <x v="23"/>
    <n v="-5.3338086432400296"/>
  </r>
  <r>
    <x v="0"/>
    <x v="0"/>
    <x v="0"/>
    <x v="3"/>
    <x v="1"/>
    <x v="0"/>
    <x v="0"/>
    <n v="0"/>
  </r>
  <r>
    <x v="0"/>
    <x v="0"/>
    <x v="0"/>
    <x v="3"/>
    <x v="1"/>
    <x v="0"/>
    <x v="1"/>
    <n v="0"/>
  </r>
  <r>
    <x v="0"/>
    <x v="0"/>
    <x v="0"/>
    <x v="3"/>
    <x v="1"/>
    <x v="0"/>
    <x v="2"/>
    <n v="0"/>
  </r>
  <r>
    <x v="0"/>
    <x v="0"/>
    <x v="0"/>
    <x v="3"/>
    <x v="1"/>
    <x v="0"/>
    <x v="3"/>
    <n v="0"/>
  </r>
  <r>
    <x v="0"/>
    <x v="0"/>
    <x v="0"/>
    <x v="3"/>
    <x v="1"/>
    <x v="0"/>
    <x v="4"/>
    <n v="0"/>
  </r>
  <r>
    <x v="0"/>
    <x v="0"/>
    <x v="0"/>
    <x v="3"/>
    <x v="1"/>
    <x v="0"/>
    <x v="5"/>
    <n v="0"/>
  </r>
  <r>
    <x v="0"/>
    <x v="0"/>
    <x v="0"/>
    <x v="3"/>
    <x v="1"/>
    <x v="0"/>
    <x v="6"/>
    <n v="0"/>
  </r>
  <r>
    <x v="0"/>
    <x v="0"/>
    <x v="0"/>
    <x v="3"/>
    <x v="1"/>
    <x v="0"/>
    <x v="7"/>
    <n v="0"/>
  </r>
  <r>
    <x v="0"/>
    <x v="0"/>
    <x v="0"/>
    <x v="3"/>
    <x v="1"/>
    <x v="0"/>
    <x v="8"/>
    <n v="0"/>
  </r>
  <r>
    <x v="0"/>
    <x v="0"/>
    <x v="0"/>
    <x v="3"/>
    <x v="1"/>
    <x v="0"/>
    <x v="9"/>
    <n v="0"/>
  </r>
  <r>
    <x v="0"/>
    <x v="0"/>
    <x v="0"/>
    <x v="3"/>
    <x v="1"/>
    <x v="0"/>
    <x v="10"/>
    <n v="0"/>
  </r>
  <r>
    <x v="0"/>
    <x v="0"/>
    <x v="0"/>
    <x v="3"/>
    <x v="1"/>
    <x v="0"/>
    <x v="11"/>
    <n v="0"/>
  </r>
  <r>
    <x v="0"/>
    <x v="0"/>
    <x v="0"/>
    <x v="3"/>
    <x v="1"/>
    <x v="0"/>
    <x v="12"/>
    <n v="0"/>
  </r>
  <r>
    <x v="0"/>
    <x v="0"/>
    <x v="0"/>
    <x v="3"/>
    <x v="1"/>
    <x v="0"/>
    <x v="13"/>
    <n v="0"/>
  </r>
  <r>
    <x v="0"/>
    <x v="0"/>
    <x v="0"/>
    <x v="3"/>
    <x v="1"/>
    <x v="0"/>
    <x v="14"/>
    <n v="0"/>
  </r>
  <r>
    <x v="0"/>
    <x v="0"/>
    <x v="0"/>
    <x v="3"/>
    <x v="1"/>
    <x v="0"/>
    <x v="15"/>
    <n v="0"/>
  </r>
  <r>
    <x v="0"/>
    <x v="0"/>
    <x v="0"/>
    <x v="3"/>
    <x v="1"/>
    <x v="0"/>
    <x v="16"/>
    <n v="0"/>
  </r>
  <r>
    <x v="0"/>
    <x v="0"/>
    <x v="0"/>
    <x v="3"/>
    <x v="1"/>
    <x v="0"/>
    <x v="17"/>
    <n v="0"/>
  </r>
  <r>
    <x v="0"/>
    <x v="0"/>
    <x v="0"/>
    <x v="3"/>
    <x v="1"/>
    <x v="0"/>
    <x v="18"/>
    <n v="0"/>
  </r>
  <r>
    <x v="0"/>
    <x v="0"/>
    <x v="0"/>
    <x v="3"/>
    <x v="1"/>
    <x v="0"/>
    <x v="19"/>
    <n v="0"/>
  </r>
  <r>
    <x v="0"/>
    <x v="0"/>
    <x v="0"/>
    <x v="3"/>
    <x v="1"/>
    <x v="0"/>
    <x v="20"/>
    <n v="0"/>
  </r>
  <r>
    <x v="0"/>
    <x v="0"/>
    <x v="0"/>
    <x v="3"/>
    <x v="1"/>
    <x v="0"/>
    <x v="21"/>
    <n v="0"/>
  </r>
  <r>
    <x v="0"/>
    <x v="0"/>
    <x v="0"/>
    <x v="3"/>
    <x v="1"/>
    <x v="0"/>
    <x v="22"/>
    <n v="0"/>
  </r>
  <r>
    <x v="0"/>
    <x v="0"/>
    <x v="0"/>
    <x v="3"/>
    <x v="1"/>
    <x v="0"/>
    <x v="23"/>
    <n v="0"/>
  </r>
  <r>
    <x v="0"/>
    <x v="0"/>
    <x v="0"/>
    <x v="3"/>
    <x v="9"/>
    <x v="0"/>
    <x v="0"/>
    <n v="0"/>
  </r>
  <r>
    <x v="0"/>
    <x v="0"/>
    <x v="0"/>
    <x v="3"/>
    <x v="9"/>
    <x v="0"/>
    <x v="1"/>
    <n v="0"/>
  </r>
  <r>
    <x v="0"/>
    <x v="0"/>
    <x v="0"/>
    <x v="3"/>
    <x v="9"/>
    <x v="0"/>
    <x v="2"/>
    <n v="0"/>
  </r>
  <r>
    <x v="0"/>
    <x v="0"/>
    <x v="0"/>
    <x v="3"/>
    <x v="9"/>
    <x v="0"/>
    <x v="3"/>
    <n v="0"/>
  </r>
  <r>
    <x v="0"/>
    <x v="0"/>
    <x v="0"/>
    <x v="3"/>
    <x v="9"/>
    <x v="0"/>
    <x v="4"/>
    <n v="0"/>
  </r>
  <r>
    <x v="0"/>
    <x v="0"/>
    <x v="0"/>
    <x v="3"/>
    <x v="9"/>
    <x v="0"/>
    <x v="5"/>
    <n v="0"/>
  </r>
  <r>
    <x v="0"/>
    <x v="0"/>
    <x v="0"/>
    <x v="3"/>
    <x v="9"/>
    <x v="0"/>
    <x v="6"/>
    <n v="0"/>
  </r>
  <r>
    <x v="0"/>
    <x v="0"/>
    <x v="0"/>
    <x v="3"/>
    <x v="9"/>
    <x v="0"/>
    <x v="7"/>
    <n v="0"/>
  </r>
  <r>
    <x v="0"/>
    <x v="0"/>
    <x v="0"/>
    <x v="3"/>
    <x v="9"/>
    <x v="0"/>
    <x v="8"/>
    <n v="0"/>
  </r>
  <r>
    <x v="0"/>
    <x v="0"/>
    <x v="0"/>
    <x v="3"/>
    <x v="9"/>
    <x v="0"/>
    <x v="9"/>
    <n v="0"/>
  </r>
  <r>
    <x v="0"/>
    <x v="0"/>
    <x v="0"/>
    <x v="3"/>
    <x v="9"/>
    <x v="0"/>
    <x v="10"/>
    <n v="0"/>
  </r>
  <r>
    <x v="0"/>
    <x v="0"/>
    <x v="0"/>
    <x v="3"/>
    <x v="9"/>
    <x v="0"/>
    <x v="11"/>
    <n v="0"/>
  </r>
  <r>
    <x v="0"/>
    <x v="0"/>
    <x v="0"/>
    <x v="3"/>
    <x v="9"/>
    <x v="0"/>
    <x v="12"/>
    <n v="0"/>
  </r>
  <r>
    <x v="0"/>
    <x v="0"/>
    <x v="0"/>
    <x v="3"/>
    <x v="9"/>
    <x v="0"/>
    <x v="13"/>
    <n v="0"/>
  </r>
  <r>
    <x v="0"/>
    <x v="0"/>
    <x v="0"/>
    <x v="3"/>
    <x v="9"/>
    <x v="0"/>
    <x v="14"/>
    <n v="0"/>
  </r>
  <r>
    <x v="0"/>
    <x v="0"/>
    <x v="0"/>
    <x v="3"/>
    <x v="9"/>
    <x v="0"/>
    <x v="15"/>
    <n v="0"/>
  </r>
  <r>
    <x v="0"/>
    <x v="0"/>
    <x v="0"/>
    <x v="3"/>
    <x v="9"/>
    <x v="0"/>
    <x v="16"/>
    <n v="0"/>
  </r>
  <r>
    <x v="0"/>
    <x v="0"/>
    <x v="0"/>
    <x v="3"/>
    <x v="9"/>
    <x v="0"/>
    <x v="17"/>
    <n v="0"/>
  </r>
  <r>
    <x v="0"/>
    <x v="0"/>
    <x v="0"/>
    <x v="3"/>
    <x v="9"/>
    <x v="0"/>
    <x v="18"/>
    <n v="0"/>
  </r>
  <r>
    <x v="0"/>
    <x v="0"/>
    <x v="0"/>
    <x v="3"/>
    <x v="9"/>
    <x v="0"/>
    <x v="19"/>
    <n v="0"/>
  </r>
  <r>
    <x v="0"/>
    <x v="0"/>
    <x v="0"/>
    <x v="3"/>
    <x v="9"/>
    <x v="0"/>
    <x v="20"/>
    <n v="0"/>
  </r>
  <r>
    <x v="0"/>
    <x v="0"/>
    <x v="0"/>
    <x v="3"/>
    <x v="9"/>
    <x v="0"/>
    <x v="21"/>
    <n v="0"/>
  </r>
  <r>
    <x v="0"/>
    <x v="0"/>
    <x v="0"/>
    <x v="3"/>
    <x v="9"/>
    <x v="0"/>
    <x v="22"/>
    <n v="0"/>
  </r>
  <r>
    <x v="0"/>
    <x v="0"/>
    <x v="0"/>
    <x v="3"/>
    <x v="9"/>
    <x v="0"/>
    <x v="23"/>
    <n v="0"/>
  </r>
  <r>
    <x v="0"/>
    <x v="0"/>
    <x v="0"/>
    <x v="4"/>
    <x v="0"/>
    <x v="0"/>
    <x v="0"/>
    <n v="0"/>
  </r>
  <r>
    <x v="0"/>
    <x v="0"/>
    <x v="0"/>
    <x v="4"/>
    <x v="0"/>
    <x v="0"/>
    <x v="1"/>
    <n v="0"/>
  </r>
  <r>
    <x v="0"/>
    <x v="0"/>
    <x v="0"/>
    <x v="4"/>
    <x v="0"/>
    <x v="0"/>
    <x v="2"/>
    <n v="0"/>
  </r>
  <r>
    <x v="0"/>
    <x v="0"/>
    <x v="0"/>
    <x v="4"/>
    <x v="0"/>
    <x v="0"/>
    <x v="3"/>
    <n v="0"/>
  </r>
  <r>
    <x v="0"/>
    <x v="0"/>
    <x v="0"/>
    <x v="4"/>
    <x v="0"/>
    <x v="0"/>
    <x v="4"/>
    <n v="0"/>
  </r>
  <r>
    <x v="0"/>
    <x v="0"/>
    <x v="0"/>
    <x v="4"/>
    <x v="0"/>
    <x v="0"/>
    <x v="5"/>
    <n v="0"/>
  </r>
  <r>
    <x v="0"/>
    <x v="0"/>
    <x v="0"/>
    <x v="4"/>
    <x v="0"/>
    <x v="0"/>
    <x v="6"/>
    <n v="0"/>
  </r>
  <r>
    <x v="0"/>
    <x v="0"/>
    <x v="0"/>
    <x v="4"/>
    <x v="0"/>
    <x v="0"/>
    <x v="7"/>
    <n v="0"/>
  </r>
  <r>
    <x v="0"/>
    <x v="0"/>
    <x v="0"/>
    <x v="4"/>
    <x v="0"/>
    <x v="0"/>
    <x v="8"/>
    <n v="0"/>
  </r>
  <r>
    <x v="0"/>
    <x v="0"/>
    <x v="0"/>
    <x v="4"/>
    <x v="0"/>
    <x v="0"/>
    <x v="9"/>
    <n v="0"/>
  </r>
  <r>
    <x v="0"/>
    <x v="0"/>
    <x v="0"/>
    <x v="4"/>
    <x v="0"/>
    <x v="0"/>
    <x v="10"/>
    <n v="0"/>
  </r>
  <r>
    <x v="0"/>
    <x v="0"/>
    <x v="0"/>
    <x v="4"/>
    <x v="0"/>
    <x v="0"/>
    <x v="11"/>
    <n v="0"/>
  </r>
  <r>
    <x v="0"/>
    <x v="0"/>
    <x v="0"/>
    <x v="4"/>
    <x v="0"/>
    <x v="0"/>
    <x v="12"/>
    <n v="0"/>
  </r>
  <r>
    <x v="0"/>
    <x v="0"/>
    <x v="0"/>
    <x v="4"/>
    <x v="0"/>
    <x v="0"/>
    <x v="13"/>
    <n v="0"/>
  </r>
  <r>
    <x v="0"/>
    <x v="0"/>
    <x v="0"/>
    <x v="4"/>
    <x v="0"/>
    <x v="0"/>
    <x v="14"/>
    <n v="0"/>
  </r>
  <r>
    <x v="0"/>
    <x v="0"/>
    <x v="0"/>
    <x v="4"/>
    <x v="0"/>
    <x v="0"/>
    <x v="15"/>
    <n v="0"/>
  </r>
  <r>
    <x v="0"/>
    <x v="0"/>
    <x v="0"/>
    <x v="4"/>
    <x v="0"/>
    <x v="0"/>
    <x v="16"/>
    <n v="0"/>
  </r>
  <r>
    <x v="0"/>
    <x v="0"/>
    <x v="0"/>
    <x v="4"/>
    <x v="0"/>
    <x v="0"/>
    <x v="17"/>
    <n v="0"/>
  </r>
  <r>
    <x v="0"/>
    <x v="0"/>
    <x v="0"/>
    <x v="4"/>
    <x v="0"/>
    <x v="0"/>
    <x v="18"/>
    <n v="0"/>
  </r>
  <r>
    <x v="0"/>
    <x v="0"/>
    <x v="0"/>
    <x v="4"/>
    <x v="0"/>
    <x v="0"/>
    <x v="19"/>
    <n v="0"/>
  </r>
  <r>
    <x v="0"/>
    <x v="0"/>
    <x v="0"/>
    <x v="4"/>
    <x v="0"/>
    <x v="0"/>
    <x v="20"/>
    <n v="0"/>
  </r>
  <r>
    <x v="0"/>
    <x v="0"/>
    <x v="0"/>
    <x v="4"/>
    <x v="0"/>
    <x v="0"/>
    <x v="21"/>
    <n v="0"/>
  </r>
  <r>
    <x v="0"/>
    <x v="0"/>
    <x v="0"/>
    <x v="4"/>
    <x v="0"/>
    <x v="0"/>
    <x v="22"/>
    <n v="0"/>
  </r>
  <r>
    <x v="0"/>
    <x v="0"/>
    <x v="0"/>
    <x v="4"/>
    <x v="0"/>
    <x v="0"/>
    <x v="23"/>
    <n v="0"/>
  </r>
  <r>
    <x v="0"/>
    <x v="0"/>
    <x v="0"/>
    <x v="4"/>
    <x v="3"/>
    <x v="0"/>
    <x v="0"/>
    <n v="0"/>
  </r>
  <r>
    <x v="0"/>
    <x v="0"/>
    <x v="0"/>
    <x v="4"/>
    <x v="3"/>
    <x v="0"/>
    <x v="1"/>
    <n v="0"/>
  </r>
  <r>
    <x v="0"/>
    <x v="0"/>
    <x v="0"/>
    <x v="4"/>
    <x v="3"/>
    <x v="0"/>
    <x v="2"/>
    <n v="0"/>
  </r>
  <r>
    <x v="0"/>
    <x v="0"/>
    <x v="0"/>
    <x v="4"/>
    <x v="3"/>
    <x v="0"/>
    <x v="3"/>
    <n v="0"/>
  </r>
  <r>
    <x v="0"/>
    <x v="0"/>
    <x v="0"/>
    <x v="4"/>
    <x v="3"/>
    <x v="0"/>
    <x v="4"/>
    <n v="0"/>
  </r>
  <r>
    <x v="0"/>
    <x v="0"/>
    <x v="0"/>
    <x v="4"/>
    <x v="3"/>
    <x v="0"/>
    <x v="5"/>
    <n v="0"/>
  </r>
  <r>
    <x v="0"/>
    <x v="0"/>
    <x v="0"/>
    <x v="4"/>
    <x v="3"/>
    <x v="0"/>
    <x v="6"/>
    <n v="0"/>
  </r>
  <r>
    <x v="0"/>
    <x v="0"/>
    <x v="0"/>
    <x v="4"/>
    <x v="3"/>
    <x v="0"/>
    <x v="7"/>
    <n v="0"/>
  </r>
  <r>
    <x v="0"/>
    <x v="0"/>
    <x v="0"/>
    <x v="4"/>
    <x v="3"/>
    <x v="0"/>
    <x v="8"/>
    <n v="0"/>
  </r>
  <r>
    <x v="0"/>
    <x v="0"/>
    <x v="0"/>
    <x v="4"/>
    <x v="3"/>
    <x v="0"/>
    <x v="9"/>
    <n v="0"/>
  </r>
  <r>
    <x v="0"/>
    <x v="0"/>
    <x v="0"/>
    <x v="4"/>
    <x v="3"/>
    <x v="0"/>
    <x v="10"/>
    <n v="0"/>
  </r>
  <r>
    <x v="0"/>
    <x v="0"/>
    <x v="0"/>
    <x v="4"/>
    <x v="3"/>
    <x v="0"/>
    <x v="11"/>
    <n v="0"/>
  </r>
  <r>
    <x v="0"/>
    <x v="0"/>
    <x v="0"/>
    <x v="4"/>
    <x v="3"/>
    <x v="0"/>
    <x v="12"/>
    <n v="0"/>
  </r>
  <r>
    <x v="0"/>
    <x v="0"/>
    <x v="0"/>
    <x v="4"/>
    <x v="3"/>
    <x v="0"/>
    <x v="13"/>
    <n v="0"/>
  </r>
  <r>
    <x v="0"/>
    <x v="0"/>
    <x v="0"/>
    <x v="4"/>
    <x v="3"/>
    <x v="0"/>
    <x v="14"/>
    <n v="0"/>
  </r>
  <r>
    <x v="0"/>
    <x v="0"/>
    <x v="0"/>
    <x v="4"/>
    <x v="3"/>
    <x v="0"/>
    <x v="15"/>
    <n v="0.12955561046880201"/>
  </r>
  <r>
    <x v="0"/>
    <x v="0"/>
    <x v="0"/>
    <x v="4"/>
    <x v="3"/>
    <x v="0"/>
    <x v="16"/>
    <n v="0"/>
  </r>
  <r>
    <x v="0"/>
    <x v="0"/>
    <x v="0"/>
    <x v="4"/>
    <x v="3"/>
    <x v="0"/>
    <x v="17"/>
    <n v="0"/>
  </r>
  <r>
    <x v="0"/>
    <x v="0"/>
    <x v="0"/>
    <x v="4"/>
    <x v="3"/>
    <x v="0"/>
    <x v="18"/>
    <n v="2.9496349605708499E-2"/>
  </r>
  <r>
    <x v="0"/>
    <x v="0"/>
    <x v="0"/>
    <x v="4"/>
    <x v="3"/>
    <x v="0"/>
    <x v="19"/>
    <n v="0"/>
  </r>
  <r>
    <x v="0"/>
    <x v="0"/>
    <x v="0"/>
    <x v="4"/>
    <x v="3"/>
    <x v="0"/>
    <x v="20"/>
    <n v="0"/>
  </r>
  <r>
    <x v="0"/>
    <x v="0"/>
    <x v="0"/>
    <x v="4"/>
    <x v="3"/>
    <x v="0"/>
    <x v="21"/>
    <n v="-4.2752998303794802E-2"/>
  </r>
  <r>
    <x v="0"/>
    <x v="0"/>
    <x v="0"/>
    <x v="4"/>
    <x v="3"/>
    <x v="0"/>
    <x v="22"/>
    <n v="0"/>
  </r>
  <r>
    <x v="0"/>
    <x v="0"/>
    <x v="0"/>
    <x v="4"/>
    <x v="3"/>
    <x v="0"/>
    <x v="23"/>
    <n v="0"/>
  </r>
  <r>
    <x v="0"/>
    <x v="0"/>
    <x v="0"/>
    <x v="4"/>
    <x v="9"/>
    <x v="0"/>
    <x v="0"/>
    <n v="0.38718370003611202"/>
  </r>
  <r>
    <x v="0"/>
    <x v="0"/>
    <x v="0"/>
    <x v="4"/>
    <x v="9"/>
    <x v="0"/>
    <x v="1"/>
    <n v="0.43652184323939702"/>
  </r>
  <r>
    <x v="0"/>
    <x v="0"/>
    <x v="0"/>
    <x v="4"/>
    <x v="9"/>
    <x v="0"/>
    <x v="2"/>
    <n v="0.45818021612871201"/>
  </r>
  <r>
    <x v="0"/>
    <x v="0"/>
    <x v="0"/>
    <x v="4"/>
    <x v="9"/>
    <x v="0"/>
    <x v="3"/>
    <n v="0.4860584242987"/>
  </r>
  <r>
    <x v="0"/>
    <x v="0"/>
    <x v="0"/>
    <x v="4"/>
    <x v="9"/>
    <x v="0"/>
    <x v="4"/>
    <n v="0.51292350810458398"/>
  </r>
  <r>
    <x v="0"/>
    <x v="0"/>
    <x v="0"/>
    <x v="4"/>
    <x v="9"/>
    <x v="0"/>
    <x v="5"/>
    <n v="0.33148736070215101"/>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7.2518006972799795E-2"/>
  </r>
  <r>
    <x v="0"/>
    <x v="0"/>
    <x v="0"/>
    <x v="4"/>
    <x v="9"/>
    <x v="0"/>
    <x v="14"/>
    <n v="0.22771970339122399"/>
  </r>
  <r>
    <x v="0"/>
    <x v="0"/>
    <x v="0"/>
    <x v="4"/>
    <x v="9"/>
    <x v="0"/>
    <x v="15"/>
    <n v="0.56096095278378699"/>
  </r>
  <r>
    <x v="0"/>
    <x v="0"/>
    <x v="0"/>
    <x v="4"/>
    <x v="9"/>
    <x v="0"/>
    <x v="16"/>
    <n v="0.93234268116233698"/>
  </r>
  <r>
    <x v="0"/>
    <x v="0"/>
    <x v="0"/>
    <x v="4"/>
    <x v="9"/>
    <x v="0"/>
    <x v="17"/>
    <n v="0.75268437531742405"/>
  </r>
  <r>
    <x v="0"/>
    <x v="0"/>
    <x v="0"/>
    <x v="4"/>
    <x v="9"/>
    <x v="0"/>
    <x v="18"/>
    <n v="1.76364270053997"/>
  </r>
  <r>
    <x v="0"/>
    <x v="0"/>
    <x v="0"/>
    <x v="4"/>
    <x v="9"/>
    <x v="0"/>
    <x v="19"/>
    <n v="2.8417790527156201"/>
  </r>
  <r>
    <x v="0"/>
    <x v="0"/>
    <x v="0"/>
    <x v="4"/>
    <x v="9"/>
    <x v="0"/>
    <x v="20"/>
    <n v="2.8417790527156201"/>
  </r>
  <r>
    <x v="0"/>
    <x v="0"/>
    <x v="0"/>
    <x v="4"/>
    <x v="9"/>
    <x v="0"/>
    <x v="21"/>
    <n v="2.8417790527156201"/>
  </r>
  <r>
    <x v="0"/>
    <x v="0"/>
    <x v="0"/>
    <x v="4"/>
    <x v="9"/>
    <x v="0"/>
    <x v="22"/>
    <n v="2.8417790527156201"/>
  </r>
  <r>
    <x v="0"/>
    <x v="0"/>
    <x v="0"/>
    <x v="4"/>
    <x v="9"/>
    <x v="0"/>
    <x v="23"/>
    <n v="2.8417790527156201"/>
  </r>
  <r>
    <x v="0"/>
    <x v="0"/>
    <x v="0"/>
    <x v="4"/>
    <x v="7"/>
    <x v="0"/>
    <x v="0"/>
    <n v="0"/>
  </r>
  <r>
    <x v="0"/>
    <x v="0"/>
    <x v="0"/>
    <x v="4"/>
    <x v="7"/>
    <x v="0"/>
    <x v="1"/>
    <n v="0"/>
  </r>
  <r>
    <x v="0"/>
    <x v="0"/>
    <x v="0"/>
    <x v="4"/>
    <x v="7"/>
    <x v="0"/>
    <x v="2"/>
    <n v="0"/>
  </r>
  <r>
    <x v="0"/>
    <x v="0"/>
    <x v="0"/>
    <x v="4"/>
    <x v="7"/>
    <x v="0"/>
    <x v="3"/>
    <n v="0"/>
  </r>
  <r>
    <x v="0"/>
    <x v="0"/>
    <x v="0"/>
    <x v="4"/>
    <x v="7"/>
    <x v="0"/>
    <x v="4"/>
    <n v="0"/>
  </r>
  <r>
    <x v="0"/>
    <x v="0"/>
    <x v="0"/>
    <x v="4"/>
    <x v="7"/>
    <x v="0"/>
    <x v="5"/>
    <n v="0"/>
  </r>
  <r>
    <x v="0"/>
    <x v="0"/>
    <x v="0"/>
    <x v="4"/>
    <x v="7"/>
    <x v="0"/>
    <x v="6"/>
    <n v="0"/>
  </r>
  <r>
    <x v="0"/>
    <x v="0"/>
    <x v="0"/>
    <x v="4"/>
    <x v="7"/>
    <x v="0"/>
    <x v="7"/>
    <n v="0"/>
  </r>
  <r>
    <x v="0"/>
    <x v="0"/>
    <x v="0"/>
    <x v="4"/>
    <x v="7"/>
    <x v="0"/>
    <x v="8"/>
    <n v="0"/>
  </r>
  <r>
    <x v="0"/>
    <x v="0"/>
    <x v="0"/>
    <x v="4"/>
    <x v="7"/>
    <x v="0"/>
    <x v="9"/>
    <n v="0"/>
  </r>
  <r>
    <x v="0"/>
    <x v="0"/>
    <x v="0"/>
    <x v="4"/>
    <x v="7"/>
    <x v="0"/>
    <x v="10"/>
    <n v="0"/>
  </r>
  <r>
    <x v="0"/>
    <x v="0"/>
    <x v="0"/>
    <x v="4"/>
    <x v="7"/>
    <x v="0"/>
    <x v="11"/>
    <n v="0"/>
  </r>
  <r>
    <x v="0"/>
    <x v="0"/>
    <x v="0"/>
    <x v="4"/>
    <x v="7"/>
    <x v="0"/>
    <x v="12"/>
    <n v="0"/>
  </r>
  <r>
    <x v="0"/>
    <x v="0"/>
    <x v="0"/>
    <x v="4"/>
    <x v="7"/>
    <x v="0"/>
    <x v="13"/>
    <n v="0"/>
  </r>
  <r>
    <x v="0"/>
    <x v="0"/>
    <x v="0"/>
    <x v="4"/>
    <x v="7"/>
    <x v="0"/>
    <x v="14"/>
    <n v="0"/>
  </r>
  <r>
    <x v="0"/>
    <x v="0"/>
    <x v="0"/>
    <x v="4"/>
    <x v="7"/>
    <x v="0"/>
    <x v="15"/>
    <n v="0"/>
  </r>
  <r>
    <x v="0"/>
    <x v="0"/>
    <x v="0"/>
    <x v="4"/>
    <x v="7"/>
    <x v="0"/>
    <x v="16"/>
    <n v="0"/>
  </r>
  <r>
    <x v="0"/>
    <x v="0"/>
    <x v="0"/>
    <x v="4"/>
    <x v="7"/>
    <x v="0"/>
    <x v="17"/>
    <n v="0"/>
  </r>
  <r>
    <x v="0"/>
    <x v="0"/>
    <x v="0"/>
    <x v="4"/>
    <x v="7"/>
    <x v="0"/>
    <x v="18"/>
    <n v="0"/>
  </r>
  <r>
    <x v="0"/>
    <x v="0"/>
    <x v="0"/>
    <x v="4"/>
    <x v="7"/>
    <x v="0"/>
    <x v="19"/>
    <n v="0"/>
  </r>
  <r>
    <x v="0"/>
    <x v="0"/>
    <x v="0"/>
    <x v="4"/>
    <x v="7"/>
    <x v="0"/>
    <x v="20"/>
    <n v="0"/>
  </r>
  <r>
    <x v="0"/>
    <x v="0"/>
    <x v="0"/>
    <x v="4"/>
    <x v="7"/>
    <x v="0"/>
    <x v="21"/>
    <n v="0"/>
  </r>
  <r>
    <x v="0"/>
    <x v="0"/>
    <x v="0"/>
    <x v="4"/>
    <x v="7"/>
    <x v="0"/>
    <x v="22"/>
    <n v="0"/>
  </r>
  <r>
    <x v="0"/>
    <x v="0"/>
    <x v="0"/>
    <x v="4"/>
    <x v="7"/>
    <x v="0"/>
    <x v="23"/>
    <n v="0"/>
  </r>
  <r>
    <x v="0"/>
    <x v="0"/>
    <x v="0"/>
    <x v="4"/>
    <x v="10"/>
    <x v="0"/>
    <x v="0"/>
    <n v="-1.32211792709343"/>
  </r>
  <r>
    <x v="0"/>
    <x v="0"/>
    <x v="0"/>
    <x v="4"/>
    <x v="10"/>
    <x v="0"/>
    <x v="1"/>
    <n v="-1.32211792709343"/>
  </r>
  <r>
    <x v="0"/>
    <x v="0"/>
    <x v="0"/>
    <x v="4"/>
    <x v="10"/>
    <x v="0"/>
    <x v="2"/>
    <n v="-1.32211792709343"/>
  </r>
  <r>
    <x v="0"/>
    <x v="0"/>
    <x v="0"/>
    <x v="4"/>
    <x v="10"/>
    <x v="0"/>
    <x v="3"/>
    <n v="-1.32211792709343"/>
  </r>
  <r>
    <x v="0"/>
    <x v="0"/>
    <x v="0"/>
    <x v="4"/>
    <x v="10"/>
    <x v="0"/>
    <x v="4"/>
    <n v="-1.32211792709343"/>
  </r>
  <r>
    <x v="0"/>
    <x v="0"/>
    <x v="0"/>
    <x v="4"/>
    <x v="10"/>
    <x v="0"/>
    <x v="5"/>
    <n v="-1.32211792709343"/>
  </r>
  <r>
    <x v="0"/>
    <x v="0"/>
    <x v="0"/>
    <x v="4"/>
    <x v="10"/>
    <x v="0"/>
    <x v="6"/>
    <n v="-1.32211792709343"/>
  </r>
  <r>
    <x v="0"/>
    <x v="0"/>
    <x v="0"/>
    <x v="4"/>
    <x v="10"/>
    <x v="0"/>
    <x v="7"/>
    <n v="-1.32211792709343"/>
  </r>
  <r>
    <x v="0"/>
    <x v="0"/>
    <x v="0"/>
    <x v="4"/>
    <x v="10"/>
    <x v="0"/>
    <x v="8"/>
    <n v="-1.32211792709343"/>
  </r>
  <r>
    <x v="0"/>
    <x v="0"/>
    <x v="0"/>
    <x v="4"/>
    <x v="10"/>
    <x v="0"/>
    <x v="9"/>
    <n v="-1.32211792709343"/>
  </r>
  <r>
    <x v="0"/>
    <x v="0"/>
    <x v="0"/>
    <x v="4"/>
    <x v="10"/>
    <x v="0"/>
    <x v="10"/>
    <n v="-1.05438811119827"/>
  </r>
  <r>
    <x v="0"/>
    <x v="0"/>
    <x v="0"/>
    <x v="4"/>
    <x v="10"/>
    <x v="0"/>
    <x v="11"/>
    <n v="-0.77176273651923899"/>
  </r>
  <r>
    <x v="0"/>
    <x v="0"/>
    <x v="0"/>
    <x v="4"/>
    <x v="10"/>
    <x v="0"/>
    <x v="12"/>
    <n v="-0.59902486000125399"/>
  </r>
  <r>
    <x v="0"/>
    <x v="0"/>
    <x v="0"/>
    <x v="4"/>
    <x v="10"/>
    <x v="0"/>
    <x v="13"/>
    <n v="-0.46760333896249401"/>
  </r>
  <r>
    <x v="0"/>
    <x v="0"/>
    <x v="0"/>
    <x v="4"/>
    <x v="10"/>
    <x v="0"/>
    <x v="14"/>
    <n v="-0.47235594724583801"/>
  </r>
  <r>
    <x v="0"/>
    <x v="0"/>
    <x v="0"/>
    <x v="4"/>
    <x v="10"/>
    <x v="0"/>
    <x v="15"/>
    <n v="-0.65354849549652605"/>
  </r>
  <r>
    <x v="0"/>
    <x v="0"/>
    <x v="0"/>
    <x v="4"/>
    <x v="10"/>
    <x v="0"/>
    <x v="16"/>
    <n v="-0.60402802480830098"/>
  </r>
  <r>
    <x v="0"/>
    <x v="0"/>
    <x v="0"/>
    <x v="4"/>
    <x v="10"/>
    <x v="0"/>
    <x v="17"/>
    <n v="0"/>
  </r>
  <r>
    <x v="0"/>
    <x v="0"/>
    <x v="0"/>
    <x v="4"/>
    <x v="10"/>
    <x v="0"/>
    <x v="18"/>
    <n v="-0.23720828567525901"/>
  </r>
  <r>
    <x v="0"/>
    <x v="0"/>
    <x v="0"/>
    <x v="4"/>
    <x v="10"/>
    <x v="0"/>
    <x v="19"/>
    <n v="-0.86861633790103898"/>
  </r>
  <r>
    <x v="0"/>
    <x v="0"/>
    <x v="0"/>
    <x v="4"/>
    <x v="10"/>
    <x v="0"/>
    <x v="20"/>
    <n v="-0.73182680367345598"/>
  </r>
  <r>
    <x v="0"/>
    <x v="0"/>
    <x v="0"/>
    <x v="4"/>
    <x v="10"/>
    <x v="0"/>
    <x v="21"/>
    <n v="-0.40449935503018403"/>
  </r>
  <r>
    <x v="0"/>
    <x v="0"/>
    <x v="0"/>
    <x v="4"/>
    <x v="10"/>
    <x v="0"/>
    <x v="22"/>
    <n v="-0.16419057731405401"/>
  </r>
  <r>
    <x v="0"/>
    <x v="0"/>
    <x v="0"/>
    <x v="4"/>
    <x v="10"/>
    <x v="0"/>
    <x v="23"/>
    <n v="0"/>
  </r>
  <r>
    <x v="0"/>
    <x v="0"/>
    <x v="0"/>
    <x v="4"/>
    <x v="11"/>
    <x v="0"/>
    <x v="0"/>
    <n v="0"/>
  </r>
  <r>
    <x v="0"/>
    <x v="0"/>
    <x v="0"/>
    <x v="4"/>
    <x v="11"/>
    <x v="0"/>
    <x v="1"/>
    <n v="0"/>
  </r>
  <r>
    <x v="0"/>
    <x v="0"/>
    <x v="0"/>
    <x v="4"/>
    <x v="11"/>
    <x v="0"/>
    <x v="2"/>
    <n v="0"/>
  </r>
  <r>
    <x v="0"/>
    <x v="0"/>
    <x v="0"/>
    <x v="4"/>
    <x v="11"/>
    <x v="0"/>
    <x v="3"/>
    <n v="0"/>
  </r>
  <r>
    <x v="0"/>
    <x v="0"/>
    <x v="0"/>
    <x v="4"/>
    <x v="11"/>
    <x v="0"/>
    <x v="4"/>
    <n v="0"/>
  </r>
  <r>
    <x v="0"/>
    <x v="0"/>
    <x v="0"/>
    <x v="4"/>
    <x v="11"/>
    <x v="0"/>
    <x v="5"/>
    <n v="0"/>
  </r>
  <r>
    <x v="0"/>
    <x v="0"/>
    <x v="0"/>
    <x v="4"/>
    <x v="11"/>
    <x v="0"/>
    <x v="6"/>
    <n v="0"/>
  </r>
  <r>
    <x v="0"/>
    <x v="0"/>
    <x v="0"/>
    <x v="4"/>
    <x v="11"/>
    <x v="0"/>
    <x v="7"/>
    <n v="0"/>
  </r>
  <r>
    <x v="0"/>
    <x v="0"/>
    <x v="0"/>
    <x v="4"/>
    <x v="11"/>
    <x v="0"/>
    <x v="8"/>
    <n v="0"/>
  </r>
  <r>
    <x v="0"/>
    <x v="0"/>
    <x v="0"/>
    <x v="4"/>
    <x v="11"/>
    <x v="0"/>
    <x v="9"/>
    <n v="0"/>
  </r>
  <r>
    <x v="0"/>
    <x v="0"/>
    <x v="0"/>
    <x v="4"/>
    <x v="11"/>
    <x v="0"/>
    <x v="10"/>
    <n v="0"/>
  </r>
  <r>
    <x v="0"/>
    <x v="0"/>
    <x v="0"/>
    <x v="4"/>
    <x v="11"/>
    <x v="0"/>
    <x v="11"/>
    <n v="0"/>
  </r>
  <r>
    <x v="0"/>
    <x v="0"/>
    <x v="0"/>
    <x v="4"/>
    <x v="11"/>
    <x v="0"/>
    <x v="12"/>
    <n v="0"/>
  </r>
  <r>
    <x v="0"/>
    <x v="0"/>
    <x v="0"/>
    <x v="4"/>
    <x v="11"/>
    <x v="0"/>
    <x v="13"/>
    <n v="0"/>
  </r>
  <r>
    <x v="0"/>
    <x v="0"/>
    <x v="0"/>
    <x v="4"/>
    <x v="11"/>
    <x v="0"/>
    <x v="14"/>
    <n v="0"/>
  </r>
  <r>
    <x v="0"/>
    <x v="0"/>
    <x v="0"/>
    <x v="4"/>
    <x v="11"/>
    <x v="0"/>
    <x v="15"/>
    <n v="0"/>
  </r>
  <r>
    <x v="0"/>
    <x v="0"/>
    <x v="0"/>
    <x v="4"/>
    <x v="11"/>
    <x v="0"/>
    <x v="16"/>
    <n v="0"/>
  </r>
  <r>
    <x v="0"/>
    <x v="0"/>
    <x v="0"/>
    <x v="4"/>
    <x v="11"/>
    <x v="0"/>
    <x v="17"/>
    <n v="0"/>
  </r>
  <r>
    <x v="0"/>
    <x v="0"/>
    <x v="0"/>
    <x v="4"/>
    <x v="11"/>
    <x v="0"/>
    <x v="18"/>
    <n v="0"/>
  </r>
  <r>
    <x v="0"/>
    <x v="0"/>
    <x v="0"/>
    <x v="4"/>
    <x v="11"/>
    <x v="0"/>
    <x v="19"/>
    <n v="0"/>
  </r>
  <r>
    <x v="0"/>
    <x v="0"/>
    <x v="0"/>
    <x v="4"/>
    <x v="11"/>
    <x v="0"/>
    <x v="20"/>
    <n v="0"/>
  </r>
  <r>
    <x v="0"/>
    <x v="0"/>
    <x v="0"/>
    <x v="4"/>
    <x v="11"/>
    <x v="0"/>
    <x v="21"/>
    <n v="0"/>
  </r>
  <r>
    <x v="0"/>
    <x v="0"/>
    <x v="0"/>
    <x v="4"/>
    <x v="11"/>
    <x v="0"/>
    <x v="22"/>
    <n v="0"/>
  </r>
  <r>
    <x v="0"/>
    <x v="0"/>
    <x v="0"/>
    <x v="4"/>
    <x v="11"/>
    <x v="0"/>
    <x v="23"/>
    <n v="0"/>
  </r>
  <r>
    <x v="0"/>
    <x v="0"/>
    <x v="0"/>
    <x v="5"/>
    <x v="5"/>
    <x v="0"/>
    <x v="0"/>
    <n v="0"/>
  </r>
  <r>
    <x v="0"/>
    <x v="0"/>
    <x v="0"/>
    <x v="5"/>
    <x v="5"/>
    <x v="0"/>
    <x v="1"/>
    <n v="0"/>
  </r>
  <r>
    <x v="0"/>
    <x v="0"/>
    <x v="0"/>
    <x v="5"/>
    <x v="5"/>
    <x v="0"/>
    <x v="2"/>
    <n v="5.1901593025655804E-4"/>
  </r>
  <r>
    <x v="0"/>
    <x v="0"/>
    <x v="0"/>
    <x v="5"/>
    <x v="5"/>
    <x v="0"/>
    <x v="3"/>
    <n v="0"/>
  </r>
  <r>
    <x v="0"/>
    <x v="0"/>
    <x v="0"/>
    <x v="5"/>
    <x v="5"/>
    <x v="0"/>
    <x v="4"/>
    <n v="0"/>
  </r>
  <r>
    <x v="0"/>
    <x v="0"/>
    <x v="0"/>
    <x v="5"/>
    <x v="5"/>
    <x v="0"/>
    <x v="5"/>
    <n v="0"/>
  </r>
  <r>
    <x v="0"/>
    <x v="0"/>
    <x v="0"/>
    <x v="5"/>
    <x v="5"/>
    <x v="0"/>
    <x v="6"/>
    <n v="0"/>
  </r>
  <r>
    <x v="0"/>
    <x v="0"/>
    <x v="0"/>
    <x v="5"/>
    <x v="5"/>
    <x v="0"/>
    <x v="7"/>
    <n v="0"/>
  </r>
  <r>
    <x v="0"/>
    <x v="0"/>
    <x v="0"/>
    <x v="5"/>
    <x v="5"/>
    <x v="0"/>
    <x v="8"/>
    <n v="0"/>
  </r>
  <r>
    <x v="0"/>
    <x v="0"/>
    <x v="0"/>
    <x v="5"/>
    <x v="5"/>
    <x v="0"/>
    <x v="9"/>
    <n v="0"/>
  </r>
  <r>
    <x v="0"/>
    <x v="0"/>
    <x v="0"/>
    <x v="5"/>
    <x v="5"/>
    <x v="0"/>
    <x v="10"/>
    <n v="0"/>
  </r>
  <r>
    <x v="0"/>
    <x v="0"/>
    <x v="0"/>
    <x v="5"/>
    <x v="5"/>
    <x v="0"/>
    <x v="11"/>
    <n v="0"/>
  </r>
  <r>
    <x v="0"/>
    <x v="0"/>
    <x v="0"/>
    <x v="5"/>
    <x v="5"/>
    <x v="0"/>
    <x v="12"/>
    <n v="0"/>
  </r>
  <r>
    <x v="0"/>
    <x v="0"/>
    <x v="0"/>
    <x v="5"/>
    <x v="5"/>
    <x v="0"/>
    <x v="13"/>
    <n v="0"/>
  </r>
  <r>
    <x v="0"/>
    <x v="0"/>
    <x v="0"/>
    <x v="5"/>
    <x v="5"/>
    <x v="0"/>
    <x v="14"/>
    <n v="0"/>
  </r>
  <r>
    <x v="0"/>
    <x v="0"/>
    <x v="0"/>
    <x v="5"/>
    <x v="5"/>
    <x v="0"/>
    <x v="15"/>
    <n v="0"/>
  </r>
  <r>
    <x v="0"/>
    <x v="0"/>
    <x v="0"/>
    <x v="5"/>
    <x v="5"/>
    <x v="0"/>
    <x v="16"/>
    <n v="0"/>
  </r>
  <r>
    <x v="0"/>
    <x v="0"/>
    <x v="0"/>
    <x v="5"/>
    <x v="5"/>
    <x v="0"/>
    <x v="17"/>
    <n v="0"/>
  </r>
  <r>
    <x v="0"/>
    <x v="0"/>
    <x v="0"/>
    <x v="5"/>
    <x v="5"/>
    <x v="0"/>
    <x v="18"/>
    <n v="0"/>
  </r>
  <r>
    <x v="0"/>
    <x v="0"/>
    <x v="0"/>
    <x v="5"/>
    <x v="5"/>
    <x v="0"/>
    <x v="19"/>
    <n v="8.16024731420886E-2"/>
  </r>
  <r>
    <x v="0"/>
    <x v="0"/>
    <x v="0"/>
    <x v="5"/>
    <x v="5"/>
    <x v="0"/>
    <x v="20"/>
    <n v="0.37347496921664203"/>
  </r>
  <r>
    <x v="0"/>
    <x v="0"/>
    <x v="0"/>
    <x v="5"/>
    <x v="5"/>
    <x v="0"/>
    <x v="21"/>
    <n v="0.52649999999999997"/>
  </r>
  <r>
    <x v="0"/>
    <x v="0"/>
    <x v="0"/>
    <x v="5"/>
    <x v="5"/>
    <x v="0"/>
    <x v="22"/>
    <n v="0.52649999999999997"/>
  </r>
  <r>
    <x v="0"/>
    <x v="0"/>
    <x v="0"/>
    <x v="5"/>
    <x v="5"/>
    <x v="0"/>
    <x v="23"/>
    <n v="0.52649999999999997"/>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
  </r>
  <r>
    <x v="0"/>
    <x v="0"/>
    <x v="0"/>
    <x v="5"/>
    <x v="6"/>
    <x v="0"/>
    <x v="2"/>
    <n v="0"/>
  </r>
  <r>
    <x v="0"/>
    <x v="0"/>
    <x v="0"/>
    <x v="5"/>
    <x v="6"/>
    <x v="0"/>
    <x v="3"/>
    <n v="0"/>
  </r>
  <r>
    <x v="0"/>
    <x v="0"/>
    <x v="0"/>
    <x v="5"/>
    <x v="6"/>
    <x v="0"/>
    <x v="4"/>
    <n v="0"/>
  </r>
  <r>
    <x v="0"/>
    <x v="0"/>
    <x v="0"/>
    <x v="5"/>
    <x v="6"/>
    <x v="0"/>
    <x v="5"/>
    <n v="0"/>
  </r>
  <r>
    <x v="0"/>
    <x v="0"/>
    <x v="0"/>
    <x v="5"/>
    <x v="6"/>
    <x v="0"/>
    <x v="6"/>
    <n v="0"/>
  </r>
  <r>
    <x v="0"/>
    <x v="0"/>
    <x v="0"/>
    <x v="5"/>
    <x v="6"/>
    <x v="0"/>
    <x v="7"/>
    <n v="0"/>
  </r>
  <r>
    <x v="0"/>
    <x v="0"/>
    <x v="0"/>
    <x v="5"/>
    <x v="6"/>
    <x v="0"/>
    <x v="8"/>
    <n v="0"/>
  </r>
  <r>
    <x v="0"/>
    <x v="0"/>
    <x v="0"/>
    <x v="5"/>
    <x v="6"/>
    <x v="0"/>
    <x v="9"/>
    <n v="0"/>
  </r>
  <r>
    <x v="0"/>
    <x v="0"/>
    <x v="0"/>
    <x v="5"/>
    <x v="6"/>
    <x v="0"/>
    <x v="10"/>
    <n v="0"/>
  </r>
  <r>
    <x v="0"/>
    <x v="0"/>
    <x v="0"/>
    <x v="5"/>
    <x v="6"/>
    <x v="0"/>
    <x v="11"/>
    <n v="0"/>
  </r>
  <r>
    <x v="0"/>
    <x v="0"/>
    <x v="0"/>
    <x v="5"/>
    <x v="6"/>
    <x v="0"/>
    <x v="12"/>
    <n v="0"/>
  </r>
  <r>
    <x v="0"/>
    <x v="0"/>
    <x v="0"/>
    <x v="5"/>
    <x v="6"/>
    <x v="0"/>
    <x v="13"/>
    <n v="0"/>
  </r>
  <r>
    <x v="0"/>
    <x v="0"/>
    <x v="0"/>
    <x v="5"/>
    <x v="6"/>
    <x v="0"/>
    <x v="14"/>
    <n v="0"/>
  </r>
  <r>
    <x v="0"/>
    <x v="0"/>
    <x v="0"/>
    <x v="5"/>
    <x v="6"/>
    <x v="0"/>
    <x v="15"/>
    <n v="-0.12955561046880201"/>
  </r>
  <r>
    <x v="0"/>
    <x v="0"/>
    <x v="0"/>
    <x v="5"/>
    <x v="6"/>
    <x v="0"/>
    <x v="16"/>
    <n v="0"/>
  </r>
  <r>
    <x v="0"/>
    <x v="0"/>
    <x v="0"/>
    <x v="5"/>
    <x v="6"/>
    <x v="0"/>
    <x v="17"/>
    <n v="0"/>
  </r>
  <r>
    <x v="0"/>
    <x v="0"/>
    <x v="0"/>
    <x v="5"/>
    <x v="6"/>
    <x v="0"/>
    <x v="18"/>
    <n v="-2.9496349605708499E-2"/>
  </r>
  <r>
    <x v="0"/>
    <x v="0"/>
    <x v="0"/>
    <x v="5"/>
    <x v="6"/>
    <x v="0"/>
    <x v="19"/>
    <n v="0"/>
  </r>
  <r>
    <x v="0"/>
    <x v="0"/>
    <x v="0"/>
    <x v="5"/>
    <x v="6"/>
    <x v="0"/>
    <x v="20"/>
    <n v="0"/>
  </r>
  <r>
    <x v="0"/>
    <x v="0"/>
    <x v="0"/>
    <x v="5"/>
    <x v="6"/>
    <x v="0"/>
    <x v="21"/>
    <n v="4.2752998303794802E-2"/>
  </r>
  <r>
    <x v="0"/>
    <x v="0"/>
    <x v="0"/>
    <x v="5"/>
    <x v="6"/>
    <x v="0"/>
    <x v="22"/>
    <n v="0"/>
  </r>
  <r>
    <x v="0"/>
    <x v="0"/>
    <x v="0"/>
    <x v="5"/>
    <x v="6"/>
    <x v="0"/>
    <x v="23"/>
    <n v="0"/>
  </r>
  <r>
    <x v="0"/>
    <x v="0"/>
    <x v="0"/>
    <x v="5"/>
    <x v="8"/>
    <x v="0"/>
    <x v="0"/>
    <n v="0"/>
  </r>
  <r>
    <x v="0"/>
    <x v="0"/>
    <x v="0"/>
    <x v="5"/>
    <x v="8"/>
    <x v="0"/>
    <x v="1"/>
    <n v="0"/>
  </r>
  <r>
    <x v="0"/>
    <x v="0"/>
    <x v="0"/>
    <x v="5"/>
    <x v="8"/>
    <x v="0"/>
    <x v="2"/>
    <n v="0"/>
  </r>
  <r>
    <x v="0"/>
    <x v="0"/>
    <x v="0"/>
    <x v="5"/>
    <x v="8"/>
    <x v="0"/>
    <x v="3"/>
    <n v="0"/>
  </r>
  <r>
    <x v="0"/>
    <x v="0"/>
    <x v="0"/>
    <x v="5"/>
    <x v="8"/>
    <x v="0"/>
    <x v="4"/>
    <n v="0"/>
  </r>
  <r>
    <x v="0"/>
    <x v="0"/>
    <x v="0"/>
    <x v="5"/>
    <x v="8"/>
    <x v="0"/>
    <x v="5"/>
    <n v="-3.4343469809347299E-2"/>
  </r>
  <r>
    <x v="0"/>
    <x v="0"/>
    <x v="0"/>
    <x v="5"/>
    <x v="8"/>
    <x v="0"/>
    <x v="6"/>
    <n v="0"/>
  </r>
  <r>
    <x v="0"/>
    <x v="0"/>
    <x v="0"/>
    <x v="5"/>
    <x v="8"/>
    <x v="0"/>
    <x v="7"/>
    <n v="0"/>
  </r>
  <r>
    <x v="0"/>
    <x v="0"/>
    <x v="0"/>
    <x v="5"/>
    <x v="8"/>
    <x v="0"/>
    <x v="8"/>
    <n v="0"/>
  </r>
  <r>
    <x v="0"/>
    <x v="0"/>
    <x v="0"/>
    <x v="5"/>
    <x v="8"/>
    <x v="0"/>
    <x v="9"/>
    <n v="0"/>
  </r>
  <r>
    <x v="0"/>
    <x v="0"/>
    <x v="0"/>
    <x v="5"/>
    <x v="8"/>
    <x v="0"/>
    <x v="10"/>
    <n v="0"/>
  </r>
  <r>
    <x v="0"/>
    <x v="0"/>
    <x v="0"/>
    <x v="5"/>
    <x v="8"/>
    <x v="0"/>
    <x v="11"/>
    <n v="0"/>
  </r>
  <r>
    <x v="0"/>
    <x v="0"/>
    <x v="0"/>
    <x v="5"/>
    <x v="8"/>
    <x v="0"/>
    <x v="12"/>
    <n v="0"/>
  </r>
  <r>
    <x v="0"/>
    <x v="0"/>
    <x v="0"/>
    <x v="5"/>
    <x v="8"/>
    <x v="0"/>
    <x v="13"/>
    <n v="0"/>
  </r>
  <r>
    <x v="0"/>
    <x v="0"/>
    <x v="0"/>
    <x v="5"/>
    <x v="8"/>
    <x v="0"/>
    <x v="14"/>
    <n v="0"/>
  </r>
  <r>
    <x v="0"/>
    <x v="0"/>
    <x v="0"/>
    <x v="5"/>
    <x v="8"/>
    <x v="0"/>
    <x v="15"/>
    <n v="0"/>
  </r>
  <r>
    <x v="0"/>
    <x v="0"/>
    <x v="0"/>
    <x v="5"/>
    <x v="8"/>
    <x v="0"/>
    <x v="16"/>
    <n v="0"/>
  </r>
  <r>
    <x v="0"/>
    <x v="0"/>
    <x v="0"/>
    <x v="5"/>
    <x v="8"/>
    <x v="0"/>
    <x v="17"/>
    <n v="0"/>
  </r>
  <r>
    <x v="0"/>
    <x v="0"/>
    <x v="0"/>
    <x v="5"/>
    <x v="8"/>
    <x v="0"/>
    <x v="18"/>
    <n v="0"/>
  </r>
  <r>
    <x v="0"/>
    <x v="0"/>
    <x v="0"/>
    <x v="5"/>
    <x v="8"/>
    <x v="0"/>
    <x v="19"/>
    <n v="0"/>
  </r>
  <r>
    <x v="0"/>
    <x v="0"/>
    <x v="0"/>
    <x v="5"/>
    <x v="8"/>
    <x v="0"/>
    <x v="20"/>
    <n v="0"/>
  </r>
  <r>
    <x v="0"/>
    <x v="0"/>
    <x v="0"/>
    <x v="5"/>
    <x v="8"/>
    <x v="0"/>
    <x v="21"/>
    <n v="0"/>
  </r>
  <r>
    <x v="0"/>
    <x v="0"/>
    <x v="0"/>
    <x v="5"/>
    <x v="8"/>
    <x v="0"/>
    <x v="22"/>
    <n v="0.20435220537920001"/>
  </r>
  <r>
    <x v="0"/>
    <x v="0"/>
    <x v="0"/>
    <x v="5"/>
    <x v="8"/>
    <x v="0"/>
    <x v="23"/>
    <n v="0.381344732456182"/>
  </r>
  <r>
    <x v="0"/>
    <x v="0"/>
    <x v="0"/>
    <x v="6"/>
    <x v="12"/>
    <x v="0"/>
    <x v="0"/>
    <n v="-0.358878695685097"/>
  </r>
  <r>
    <x v="0"/>
    <x v="0"/>
    <x v="0"/>
    <x v="6"/>
    <x v="12"/>
    <x v="0"/>
    <x v="1"/>
    <n v="-0.310451003163561"/>
  </r>
  <r>
    <x v="0"/>
    <x v="0"/>
    <x v="0"/>
    <x v="6"/>
    <x v="12"/>
    <x v="0"/>
    <x v="2"/>
    <n v="-0.28808348200249401"/>
  </r>
  <r>
    <x v="0"/>
    <x v="0"/>
    <x v="0"/>
    <x v="6"/>
    <x v="12"/>
    <x v="0"/>
    <x v="3"/>
    <n v="-0.28481565258303398"/>
  </r>
  <r>
    <x v="0"/>
    <x v="0"/>
    <x v="0"/>
    <x v="6"/>
    <x v="12"/>
    <x v="0"/>
    <x v="4"/>
    <n v="-0.24563661419580299"/>
  </r>
  <r>
    <x v="0"/>
    <x v="0"/>
    <x v="0"/>
    <x v="6"/>
    <x v="12"/>
    <x v="0"/>
    <x v="5"/>
    <n v="-0.22608649384194501"/>
  </r>
  <r>
    <x v="0"/>
    <x v="0"/>
    <x v="0"/>
    <x v="6"/>
    <x v="12"/>
    <x v="0"/>
    <x v="6"/>
    <n v="-0.27010884076416602"/>
  </r>
  <r>
    <x v="0"/>
    <x v="0"/>
    <x v="0"/>
    <x v="6"/>
    <x v="12"/>
    <x v="0"/>
    <x v="7"/>
    <n v="-0.32528655380360899"/>
  </r>
  <r>
    <x v="0"/>
    <x v="0"/>
    <x v="0"/>
    <x v="6"/>
    <x v="12"/>
    <x v="0"/>
    <x v="8"/>
    <n v="-0.38671203559460199"/>
  </r>
  <r>
    <x v="0"/>
    <x v="0"/>
    <x v="0"/>
    <x v="6"/>
    <x v="12"/>
    <x v="0"/>
    <x v="9"/>
    <n v="-0.42833838486987602"/>
  </r>
  <r>
    <x v="0"/>
    <x v="0"/>
    <x v="0"/>
    <x v="6"/>
    <x v="12"/>
    <x v="0"/>
    <x v="10"/>
    <n v="-0.46627208394574898"/>
  </r>
  <r>
    <x v="0"/>
    <x v="0"/>
    <x v="0"/>
    <x v="6"/>
    <x v="12"/>
    <x v="0"/>
    <x v="11"/>
    <n v="-0.47715391712149602"/>
  </r>
  <r>
    <x v="0"/>
    <x v="0"/>
    <x v="0"/>
    <x v="6"/>
    <x v="12"/>
    <x v="0"/>
    <x v="12"/>
    <n v="-0.476211236785339"/>
  </r>
  <r>
    <x v="0"/>
    <x v="0"/>
    <x v="0"/>
    <x v="6"/>
    <x v="12"/>
    <x v="0"/>
    <x v="13"/>
    <n v="-0.47640310897982802"/>
  </r>
  <r>
    <x v="0"/>
    <x v="0"/>
    <x v="0"/>
    <x v="6"/>
    <x v="12"/>
    <x v="0"/>
    <x v="14"/>
    <n v="-0.47713153238279998"/>
  </r>
  <r>
    <x v="0"/>
    <x v="0"/>
    <x v="0"/>
    <x v="6"/>
    <x v="12"/>
    <x v="0"/>
    <x v="15"/>
    <n v="-0.46321763213539102"/>
  </r>
  <r>
    <x v="0"/>
    <x v="0"/>
    <x v="0"/>
    <x v="6"/>
    <x v="12"/>
    <x v="0"/>
    <x v="16"/>
    <n v="-0.51500383968860197"/>
  </r>
  <r>
    <x v="0"/>
    <x v="0"/>
    <x v="0"/>
    <x v="6"/>
    <x v="12"/>
    <x v="0"/>
    <x v="17"/>
    <n v="-0.54005825687239495"/>
  </r>
  <r>
    <x v="0"/>
    <x v="0"/>
    <x v="0"/>
    <x v="6"/>
    <x v="12"/>
    <x v="0"/>
    <x v="18"/>
    <n v="-0.49023062492174602"/>
  </r>
  <r>
    <x v="0"/>
    <x v="0"/>
    <x v="0"/>
    <x v="6"/>
    <x v="12"/>
    <x v="0"/>
    <x v="19"/>
    <n v="-0.40026358935513001"/>
  </r>
  <r>
    <x v="0"/>
    <x v="0"/>
    <x v="0"/>
    <x v="6"/>
    <x v="12"/>
    <x v="0"/>
    <x v="20"/>
    <n v="-0.33492962134391402"/>
  </r>
  <r>
    <x v="0"/>
    <x v="0"/>
    <x v="0"/>
    <x v="6"/>
    <x v="12"/>
    <x v="0"/>
    <x v="21"/>
    <n v="-0.25714175806650802"/>
  </r>
  <r>
    <x v="0"/>
    <x v="0"/>
    <x v="0"/>
    <x v="6"/>
    <x v="12"/>
    <x v="0"/>
    <x v="22"/>
    <n v="-0.18238630400884401"/>
  </r>
  <r>
    <x v="0"/>
    <x v="0"/>
    <x v="0"/>
    <x v="6"/>
    <x v="12"/>
    <x v="0"/>
    <x v="23"/>
    <n v="-9.7499124651686295E-2"/>
  </r>
  <r>
    <x v="0"/>
    <x v="0"/>
    <x v="0"/>
    <x v="6"/>
    <x v="13"/>
    <x v="0"/>
    <x v="0"/>
    <n v="0"/>
  </r>
  <r>
    <x v="0"/>
    <x v="0"/>
    <x v="0"/>
    <x v="6"/>
    <x v="13"/>
    <x v="0"/>
    <x v="1"/>
    <n v="0"/>
  </r>
  <r>
    <x v="0"/>
    <x v="0"/>
    <x v="0"/>
    <x v="6"/>
    <x v="13"/>
    <x v="0"/>
    <x v="2"/>
    <n v="0"/>
  </r>
  <r>
    <x v="0"/>
    <x v="0"/>
    <x v="0"/>
    <x v="6"/>
    <x v="13"/>
    <x v="0"/>
    <x v="3"/>
    <n v="0"/>
  </r>
  <r>
    <x v="0"/>
    <x v="0"/>
    <x v="0"/>
    <x v="6"/>
    <x v="13"/>
    <x v="0"/>
    <x v="4"/>
    <n v="0"/>
  </r>
  <r>
    <x v="0"/>
    <x v="0"/>
    <x v="0"/>
    <x v="6"/>
    <x v="13"/>
    <x v="0"/>
    <x v="5"/>
    <n v="0"/>
  </r>
  <r>
    <x v="0"/>
    <x v="0"/>
    <x v="0"/>
    <x v="6"/>
    <x v="13"/>
    <x v="0"/>
    <x v="6"/>
    <n v="0"/>
  </r>
  <r>
    <x v="0"/>
    <x v="0"/>
    <x v="0"/>
    <x v="6"/>
    <x v="13"/>
    <x v="0"/>
    <x v="7"/>
    <n v="0"/>
  </r>
  <r>
    <x v="0"/>
    <x v="0"/>
    <x v="0"/>
    <x v="6"/>
    <x v="13"/>
    <x v="0"/>
    <x v="8"/>
    <n v="0"/>
  </r>
  <r>
    <x v="0"/>
    <x v="0"/>
    <x v="0"/>
    <x v="6"/>
    <x v="13"/>
    <x v="0"/>
    <x v="9"/>
    <n v="0"/>
  </r>
  <r>
    <x v="0"/>
    <x v="0"/>
    <x v="0"/>
    <x v="6"/>
    <x v="13"/>
    <x v="0"/>
    <x v="10"/>
    <n v="0"/>
  </r>
  <r>
    <x v="0"/>
    <x v="0"/>
    <x v="0"/>
    <x v="6"/>
    <x v="13"/>
    <x v="0"/>
    <x v="11"/>
    <n v="0"/>
  </r>
  <r>
    <x v="0"/>
    <x v="0"/>
    <x v="0"/>
    <x v="6"/>
    <x v="13"/>
    <x v="0"/>
    <x v="12"/>
    <n v="0"/>
  </r>
  <r>
    <x v="0"/>
    <x v="0"/>
    <x v="0"/>
    <x v="6"/>
    <x v="13"/>
    <x v="0"/>
    <x v="13"/>
    <n v="0"/>
  </r>
  <r>
    <x v="0"/>
    <x v="0"/>
    <x v="0"/>
    <x v="6"/>
    <x v="13"/>
    <x v="0"/>
    <x v="14"/>
    <n v="0"/>
  </r>
  <r>
    <x v="0"/>
    <x v="0"/>
    <x v="0"/>
    <x v="6"/>
    <x v="13"/>
    <x v="0"/>
    <x v="15"/>
    <n v="0"/>
  </r>
  <r>
    <x v="0"/>
    <x v="0"/>
    <x v="0"/>
    <x v="6"/>
    <x v="13"/>
    <x v="0"/>
    <x v="16"/>
    <n v="0"/>
  </r>
  <r>
    <x v="0"/>
    <x v="0"/>
    <x v="0"/>
    <x v="6"/>
    <x v="13"/>
    <x v="0"/>
    <x v="17"/>
    <n v="0"/>
  </r>
  <r>
    <x v="0"/>
    <x v="0"/>
    <x v="0"/>
    <x v="6"/>
    <x v="13"/>
    <x v="0"/>
    <x v="18"/>
    <n v="0"/>
  </r>
  <r>
    <x v="0"/>
    <x v="0"/>
    <x v="0"/>
    <x v="6"/>
    <x v="13"/>
    <x v="0"/>
    <x v="19"/>
    <n v="0"/>
  </r>
  <r>
    <x v="0"/>
    <x v="0"/>
    <x v="0"/>
    <x v="6"/>
    <x v="13"/>
    <x v="0"/>
    <x v="20"/>
    <n v="0"/>
  </r>
  <r>
    <x v="0"/>
    <x v="0"/>
    <x v="0"/>
    <x v="6"/>
    <x v="13"/>
    <x v="0"/>
    <x v="21"/>
    <n v="0"/>
  </r>
  <r>
    <x v="0"/>
    <x v="0"/>
    <x v="0"/>
    <x v="6"/>
    <x v="13"/>
    <x v="0"/>
    <x v="22"/>
    <n v="0"/>
  </r>
  <r>
    <x v="0"/>
    <x v="0"/>
    <x v="0"/>
    <x v="6"/>
    <x v="13"/>
    <x v="0"/>
    <x v="23"/>
    <n v="0"/>
  </r>
  <r>
    <x v="0"/>
    <x v="0"/>
    <x v="0"/>
    <x v="6"/>
    <x v="10"/>
    <x v="0"/>
    <x v="0"/>
    <n v="-0.25691167157678702"/>
  </r>
  <r>
    <x v="0"/>
    <x v="0"/>
    <x v="0"/>
    <x v="6"/>
    <x v="10"/>
    <x v="0"/>
    <x v="1"/>
    <n v="-0.25691167157678702"/>
  </r>
  <r>
    <x v="0"/>
    <x v="0"/>
    <x v="0"/>
    <x v="6"/>
    <x v="10"/>
    <x v="0"/>
    <x v="2"/>
    <n v="-0.25691167157678702"/>
  </r>
  <r>
    <x v="0"/>
    <x v="0"/>
    <x v="0"/>
    <x v="6"/>
    <x v="10"/>
    <x v="0"/>
    <x v="3"/>
    <n v="-0.25691167157678702"/>
  </r>
  <r>
    <x v="0"/>
    <x v="0"/>
    <x v="0"/>
    <x v="6"/>
    <x v="10"/>
    <x v="0"/>
    <x v="4"/>
    <n v="-0.25691167157678702"/>
  </r>
  <r>
    <x v="0"/>
    <x v="0"/>
    <x v="0"/>
    <x v="6"/>
    <x v="10"/>
    <x v="0"/>
    <x v="5"/>
    <n v="-0.25691167157678702"/>
  </r>
  <r>
    <x v="0"/>
    <x v="0"/>
    <x v="0"/>
    <x v="6"/>
    <x v="10"/>
    <x v="0"/>
    <x v="6"/>
    <n v="-0.25691167157678702"/>
  </r>
  <r>
    <x v="0"/>
    <x v="0"/>
    <x v="0"/>
    <x v="6"/>
    <x v="10"/>
    <x v="0"/>
    <x v="7"/>
    <n v="-0.25691167157678702"/>
  </r>
  <r>
    <x v="0"/>
    <x v="0"/>
    <x v="0"/>
    <x v="6"/>
    <x v="10"/>
    <x v="0"/>
    <x v="8"/>
    <n v="-0.25691167157678702"/>
  </r>
  <r>
    <x v="0"/>
    <x v="0"/>
    <x v="0"/>
    <x v="6"/>
    <x v="10"/>
    <x v="0"/>
    <x v="9"/>
    <n v="-0.25691167157678702"/>
  </r>
  <r>
    <x v="0"/>
    <x v="0"/>
    <x v="0"/>
    <x v="6"/>
    <x v="10"/>
    <x v="0"/>
    <x v="10"/>
    <n v="-0.25691167157678702"/>
  </r>
  <r>
    <x v="0"/>
    <x v="0"/>
    <x v="0"/>
    <x v="6"/>
    <x v="10"/>
    <x v="0"/>
    <x v="11"/>
    <n v="-0.25691167157678702"/>
  </r>
  <r>
    <x v="0"/>
    <x v="0"/>
    <x v="0"/>
    <x v="6"/>
    <x v="10"/>
    <x v="0"/>
    <x v="12"/>
    <n v="-0.25691167157678702"/>
  </r>
  <r>
    <x v="0"/>
    <x v="0"/>
    <x v="0"/>
    <x v="6"/>
    <x v="10"/>
    <x v="0"/>
    <x v="13"/>
    <n v="-0.25691167157678702"/>
  </r>
  <r>
    <x v="0"/>
    <x v="0"/>
    <x v="0"/>
    <x v="6"/>
    <x v="10"/>
    <x v="0"/>
    <x v="14"/>
    <n v="-0.25691167157678702"/>
  </r>
  <r>
    <x v="0"/>
    <x v="0"/>
    <x v="0"/>
    <x v="6"/>
    <x v="10"/>
    <x v="0"/>
    <x v="15"/>
    <n v="-0.25691167157678702"/>
  </r>
  <r>
    <x v="0"/>
    <x v="0"/>
    <x v="0"/>
    <x v="6"/>
    <x v="10"/>
    <x v="0"/>
    <x v="16"/>
    <n v="-0.25691167157678702"/>
  </r>
  <r>
    <x v="0"/>
    <x v="0"/>
    <x v="0"/>
    <x v="6"/>
    <x v="10"/>
    <x v="0"/>
    <x v="17"/>
    <n v="-0.25691167157678702"/>
  </r>
  <r>
    <x v="0"/>
    <x v="0"/>
    <x v="0"/>
    <x v="6"/>
    <x v="10"/>
    <x v="0"/>
    <x v="18"/>
    <n v="-0.25691167157678702"/>
  </r>
  <r>
    <x v="0"/>
    <x v="0"/>
    <x v="0"/>
    <x v="6"/>
    <x v="10"/>
    <x v="0"/>
    <x v="19"/>
    <n v="-0.25691167157678702"/>
  </r>
  <r>
    <x v="0"/>
    <x v="0"/>
    <x v="0"/>
    <x v="6"/>
    <x v="10"/>
    <x v="0"/>
    <x v="20"/>
    <n v="-0.25691167157678702"/>
  </r>
  <r>
    <x v="0"/>
    <x v="0"/>
    <x v="0"/>
    <x v="6"/>
    <x v="10"/>
    <x v="0"/>
    <x v="21"/>
    <n v="-0.25691167157678702"/>
  </r>
  <r>
    <x v="0"/>
    <x v="0"/>
    <x v="0"/>
    <x v="6"/>
    <x v="10"/>
    <x v="0"/>
    <x v="22"/>
    <n v="-0.25691167157678702"/>
  </r>
  <r>
    <x v="0"/>
    <x v="0"/>
    <x v="0"/>
    <x v="6"/>
    <x v="10"/>
    <x v="0"/>
    <x v="23"/>
    <n v="-0.25691167157678702"/>
  </r>
  <r>
    <x v="0"/>
    <x v="0"/>
    <x v="0"/>
    <x v="7"/>
    <x v="14"/>
    <x v="0"/>
    <x v="0"/>
    <n v="0.358878695685097"/>
  </r>
  <r>
    <x v="0"/>
    <x v="0"/>
    <x v="0"/>
    <x v="7"/>
    <x v="14"/>
    <x v="0"/>
    <x v="1"/>
    <n v="0.310451003163561"/>
  </r>
  <r>
    <x v="0"/>
    <x v="0"/>
    <x v="0"/>
    <x v="7"/>
    <x v="14"/>
    <x v="0"/>
    <x v="2"/>
    <n v="0.28808348200249401"/>
  </r>
  <r>
    <x v="0"/>
    <x v="0"/>
    <x v="0"/>
    <x v="7"/>
    <x v="14"/>
    <x v="0"/>
    <x v="3"/>
    <n v="0.28481565258303398"/>
  </r>
  <r>
    <x v="0"/>
    <x v="0"/>
    <x v="0"/>
    <x v="7"/>
    <x v="14"/>
    <x v="0"/>
    <x v="4"/>
    <n v="0.24563661419580299"/>
  </r>
  <r>
    <x v="0"/>
    <x v="0"/>
    <x v="0"/>
    <x v="7"/>
    <x v="14"/>
    <x v="0"/>
    <x v="5"/>
    <n v="0.22608649384194501"/>
  </r>
  <r>
    <x v="0"/>
    <x v="0"/>
    <x v="0"/>
    <x v="7"/>
    <x v="14"/>
    <x v="0"/>
    <x v="6"/>
    <n v="0.27010884076416602"/>
  </r>
  <r>
    <x v="0"/>
    <x v="0"/>
    <x v="0"/>
    <x v="7"/>
    <x v="14"/>
    <x v="0"/>
    <x v="7"/>
    <n v="0.32528655380360899"/>
  </r>
  <r>
    <x v="0"/>
    <x v="0"/>
    <x v="0"/>
    <x v="7"/>
    <x v="14"/>
    <x v="0"/>
    <x v="8"/>
    <n v="0.38671203559460199"/>
  </r>
  <r>
    <x v="0"/>
    <x v="0"/>
    <x v="0"/>
    <x v="7"/>
    <x v="14"/>
    <x v="0"/>
    <x v="9"/>
    <n v="0.42833838486987602"/>
  </r>
  <r>
    <x v="0"/>
    <x v="0"/>
    <x v="0"/>
    <x v="7"/>
    <x v="14"/>
    <x v="0"/>
    <x v="10"/>
    <n v="0.46627208394574898"/>
  </r>
  <r>
    <x v="0"/>
    <x v="0"/>
    <x v="0"/>
    <x v="7"/>
    <x v="14"/>
    <x v="0"/>
    <x v="11"/>
    <n v="0.47715391712149602"/>
  </r>
  <r>
    <x v="0"/>
    <x v="0"/>
    <x v="0"/>
    <x v="7"/>
    <x v="14"/>
    <x v="0"/>
    <x v="12"/>
    <n v="0.476211236785339"/>
  </r>
  <r>
    <x v="0"/>
    <x v="0"/>
    <x v="0"/>
    <x v="7"/>
    <x v="14"/>
    <x v="0"/>
    <x v="13"/>
    <n v="0.47640310897982802"/>
  </r>
  <r>
    <x v="0"/>
    <x v="0"/>
    <x v="0"/>
    <x v="7"/>
    <x v="14"/>
    <x v="0"/>
    <x v="14"/>
    <n v="0.47713153238279998"/>
  </r>
  <r>
    <x v="0"/>
    <x v="0"/>
    <x v="0"/>
    <x v="7"/>
    <x v="14"/>
    <x v="0"/>
    <x v="15"/>
    <n v="0.46321763213539102"/>
  </r>
  <r>
    <x v="0"/>
    <x v="0"/>
    <x v="0"/>
    <x v="7"/>
    <x v="14"/>
    <x v="0"/>
    <x v="16"/>
    <n v="0.51500383968860197"/>
  </r>
  <r>
    <x v="0"/>
    <x v="0"/>
    <x v="0"/>
    <x v="7"/>
    <x v="14"/>
    <x v="0"/>
    <x v="17"/>
    <n v="0.54005825687239495"/>
  </r>
  <r>
    <x v="0"/>
    <x v="0"/>
    <x v="0"/>
    <x v="7"/>
    <x v="14"/>
    <x v="0"/>
    <x v="18"/>
    <n v="0.49023062492174602"/>
  </r>
  <r>
    <x v="0"/>
    <x v="0"/>
    <x v="0"/>
    <x v="7"/>
    <x v="14"/>
    <x v="0"/>
    <x v="19"/>
    <n v="0.40026358935513001"/>
  </r>
  <r>
    <x v="0"/>
    <x v="0"/>
    <x v="0"/>
    <x v="7"/>
    <x v="14"/>
    <x v="0"/>
    <x v="20"/>
    <n v="0.33492962134391402"/>
  </r>
  <r>
    <x v="0"/>
    <x v="0"/>
    <x v="0"/>
    <x v="7"/>
    <x v="14"/>
    <x v="0"/>
    <x v="21"/>
    <n v="0.25714175806650802"/>
  </r>
  <r>
    <x v="0"/>
    <x v="0"/>
    <x v="0"/>
    <x v="7"/>
    <x v="14"/>
    <x v="0"/>
    <x v="22"/>
    <n v="0.18238630400884401"/>
  </r>
  <r>
    <x v="0"/>
    <x v="0"/>
    <x v="0"/>
    <x v="7"/>
    <x v="14"/>
    <x v="0"/>
    <x v="23"/>
    <n v="9.7499124651686295E-2"/>
  </r>
  <r>
    <x v="0"/>
    <x v="0"/>
    <x v="0"/>
    <x v="7"/>
    <x v="15"/>
    <x v="0"/>
    <x v="0"/>
    <n v="-0.595684091710588"/>
  </r>
  <r>
    <x v="0"/>
    <x v="0"/>
    <x v="0"/>
    <x v="7"/>
    <x v="15"/>
    <x v="0"/>
    <x v="1"/>
    <n v="-0.349664857457825"/>
  </r>
  <r>
    <x v="0"/>
    <x v="0"/>
    <x v="0"/>
    <x v="7"/>
    <x v="15"/>
    <x v="0"/>
    <x v="2"/>
    <n v="-0.28248231435472099"/>
  </r>
  <r>
    <x v="0"/>
    <x v="0"/>
    <x v="0"/>
    <x v="7"/>
    <x v="15"/>
    <x v="0"/>
    <x v="3"/>
    <n v="-0.45929889684925101"/>
  </r>
  <r>
    <x v="0"/>
    <x v="0"/>
    <x v="0"/>
    <x v="7"/>
    <x v="15"/>
    <x v="0"/>
    <x v="4"/>
    <n v="-0.76220845838993301"/>
  </r>
  <r>
    <x v="0"/>
    <x v="0"/>
    <x v="0"/>
    <x v="7"/>
    <x v="15"/>
    <x v="0"/>
    <x v="5"/>
    <n v="-0.76220845838993301"/>
  </r>
  <r>
    <x v="0"/>
    <x v="0"/>
    <x v="0"/>
    <x v="7"/>
    <x v="15"/>
    <x v="0"/>
    <x v="6"/>
    <n v="-0.76220845838993301"/>
  </r>
  <r>
    <x v="0"/>
    <x v="0"/>
    <x v="0"/>
    <x v="7"/>
    <x v="15"/>
    <x v="0"/>
    <x v="7"/>
    <n v="-0.76220845838993301"/>
  </r>
  <r>
    <x v="0"/>
    <x v="0"/>
    <x v="0"/>
    <x v="7"/>
    <x v="15"/>
    <x v="0"/>
    <x v="8"/>
    <n v="-0.76220845838993301"/>
  </r>
  <r>
    <x v="0"/>
    <x v="0"/>
    <x v="0"/>
    <x v="7"/>
    <x v="15"/>
    <x v="0"/>
    <x v="9"/>
    <n v="-0.76220845838993301"/>
  </r>
  <r>
    <x v="0"/>
    <x v="0"/>
    <x v="0"/>
    <x v="7"/>
    <x v="15"/>
    <x v="0"/>
    <x v="10"/>
    <n v="-0.76220845838993301"/>
  </r>
  <r>
    <x v="0"/>
    <x v="0"/>
    <x v="0"/>
    <x v="7"/>
    <x v="15"/>
    <x v="0"/>
    <x v="11"/>
    <n v="-0.76220845838993301"/>
  </r>
  <r>
    <x v="0"/>
    <x v="0"/>
    <x v="0"/>
    <x v="7"/>
    <x v="15"/>
    <x v="0"/>
    <x v="12"/>
    <n v="-0.76220845838993301"/>
  </r>
  <r>
    <x v="0"/>
    <x v="0"/>
    <x v="0"/>
    <x v="7"/>
    <x v="15"/>
    <x v="0"/>
    <x v="13"/>
    <n v="-0.76220845838993301"/>
  </r>
  <r>
    <x v="0"/>
    <x v="0"/>
    <x v="0"/>
    <x v="7"/>
    <x v="15"/>
    <x v="0"/>
    <x v="14"/>
    <n v="-0.76220845838993301"/>
  </r>
  <r>
    <x v="0"/>
    <x v="0"/>
    <x v="0"/>
    <x v="7"/>
    <x v="15"/>
    <x v="0"/>
    <x v="15"/>
    <n v="-0.76220845838993301"/>
  </r>
  <r>
    <x v="0"/>
    <x v="0"/>
    <x v="0"/>
    <x v="7"/>
    <x v="15"/>
    <x v="0"/>
    <x v="16"/>
    <n v="-0.76220845838993301"/>
  </r>
  <r>
    <x v="0"/>
    <x v="0"/>
    <x v="0"/>
    <x v="7"/>
    <x v="15"/>
    <x v="0"/>
    <x v="17"/>
    <n v="-0.76220845838993301"/>
  </r>
  <r>
    <x v="0"/>
    <x v="0"/>
    <x v="0"/>
    <x v="7"/>
    <x v="15"/>
    <x v="0"/>
    <x v="18"/>
    <n v="-0.76220845838993301"/>
  </r>
  <r>
    <x v="0"/>
    <x v="0"/>
    <x v="0"/>
    <x v="7"/>
    <x v="15"/>
    <x v="0"/>
    <x v="19"/>
    <n v="-0.76220845838993301"/>
  </r>
  <r>
    <x v="0"/>
    <x v="0"/>
    <x v="0"/>
    <x v="7"/>
    <x v="15"/>
    <x v="0"/>
    <x v="20"/>
    <n v="-0.76220845838993301"/>
  </r>
  <r>
    <x v="0"/>
    <x v="0"/>
    <x v="0"/>
    <x v="7"/>
    <x v="15"/>
    <x v="0"/>
    <x v="21"/>
    <n v="-0.76220845838993301"/>
  </r>
  <r>
    <x v="0"/>
    <x v="0"/>
    <x v="0"/>
    <x v="7"/>
    <x v="15"/>
    <x v="0"/>
    <x v="22"/>
    <n v="-0.76220845838993301"/>
  </r>
  <r>
    <x v="0"/>
    <x v="0"/>
    <x v="0"/>
    <x v="7"/>
    <x v="15"/>
    <x v="0"/>
    <x v="23"/>
    <n v="-0.76220845838993301"/>
  </r>
  <r>
    <x v="0"/>
    <x v="0"/>
    <x v="0"/>
    <x v="7"/>
    <x v="16"/>
    <x v="0"/>
    <x v="0"/>
    <n v="-1.30140911162488"/>
  </r>
  <r>
    <x v="0"/>
    <x v="0"/>
    <x v="0"/>
    <x v="7"/>
    <x v="16"/>
    <x v="0"/>
    <x v="1"/>
    <n v="-1.30140911162488"/>
  </r>
  <r>
    <x v="0"/>
    <x v="0"/>
    <x v="0"/>
    <x v="7"/>
    <x v="16"/>
    <x v="0"/>
    <x v="2"/>
    <n v="-1.30140911162488"/>
  </r>
  <r>
    <x v="0"/>
    <x v="0"/>
    <x v="0"/>
    <x v="7"/>
    <x v="16"/>
    <x v="0"/>
    <x v="3"/>
    <n v="-1.30140911162488"/>
  </r>
  <r>
    <x v="0"/>
    <x v="0"/>
    <x v="0"/>
    <x v="7"/>
    <x v="16"/>
    <x v="0"/>
    <x v="4"/>
    <n v="-1.30140911162488"/>
  </r>
  <r>
    <x v="0"/>
    <x v="0"/>
    <x v="0"/>
    <x v="7"/>
    <x v="16"/>
    <x v="0"/>
    <x v="5"/>
    <n v="-1.30140911162488"/>
  </r>
  <r>
    <x v="0"/>
    <x v="0"/>
    <x v="0"/>
    <x v="7"/>
    <x v="16"/>
    <x v="0"/>
    <x v="6"/>
    <n v="-1.30140911162488"/>
  </r>
  <r>
    <x v="0"/>
    <x v="0"/>
    <x v="0"/>
    <x v="7"/>
    <x v="16"/>
    <x v="0"/>
    <x v="7"/>
    <n v="-1.30140911162488"/>
  </r>
  <r>
    <x v="0"/>
    <x v="0"/>
    <x v="0"/>
    <x v="7"/>
    <x v="16"/>
    <x v="0"/>
    <x v="8"/>
    <n v="-1.30140911162488"/>
  </r>
  <r>
    <x v="0"/>
    <x v="0"/>
    <x v="0"/>
    <x v="7"/>
    <x v="16"/>
    <x v="0"/>
    <x v="9"/>
    <n v="-1.30140911162488"/>
  </r>
  <r>
    <x v="0"/>
    <x v="0"/>
    <x v="0"/>
    <x v="7"/>
    <x v="16"/>
    <x v="0"/>
    <x v="10"/>
    <n v="-1.30140911162488"/>
  </r>
  <r>
    <x v="0"/>
    <x v="0"/>
    <x v="0"/>
    <x v="7"/>
    <x v="16"/>
    <x v="0"/>
    <x v="11"/>
    <n v="-1.30140911162488"/>
  </r>
  <r>
    <x v="0"/>
    <x v="0"/>
    <x v="0"/>
    <x v="7"/>
    <x v="16"/>
    <x v="0"/>
    <x v="12"/>
    <n v="-1.30140911162488"/>
  </r>
  <r>
    <x v="0"/>
    <x v="0"/>
    <x v="0"/>
    <x v="7"/>
    <x v="16"/>
    <x v="0"/>
    <x v="13"/>
    <n v="-1.30140911162488"/>
  </r>
  <r>
    <x v="0"/>
    <x v="0"/>
    <x v="0"/>
    <x v="7"/>
    <x v="16"/>
    <x v="0"/>
    <x v="14"/>
    <n v="-1.30140911162488"/>
  </r>
  <r>
    <x v="0"/>
    <x v="0"/>
    <x v="0"/>
    <x v="7"/>
    <x v="16"/>
    <x v="0"/>
    <x v="15"/>
    <n v="-1.30140911162488"/>
  </r>
  <r>
    <x v="0"/>
    <x v="0"/>
    <x v="0"/>
    <x v="7"/>
    <x v="16"/>
    <x v="0"/>
    <x v="16"/>
    <n v="-1.30140911162488"/>
  </r>
  <r>
    <x v="0"/>
    <x v="0"/>
    <x v="0"/>
    <x v="7"/>
    <x v="16"/>
    <x v="0"/>
    <x v="17"/>
    <n v="-1.30140911162488"/>
  </r>
  <r>
    <x v="0"/>
    <x v="0"/>
    <x v="0"/>
    <x v="7"/>
    <x v="16"/>
    <x v="0"/>
    <x v="18"/>
    <n v="-1.30140911162488"/>
  </r>
  <r>
    <x v="0"/>
    <x v="0"/>
    <x v="0"/>
    <x v="7"/>
    <x v="16"/>
    <x v="0"/>
    <x v="19"/>
    <n v="-1.30140911162488"/>
  </r>
  <r>
    <x v="0"/>
    <x v="0"/>
    <x v="0"/>
    <x v="7"/>
    <x v="16"/>
    <x v="0"/>
    <x v="20"/>
    <n v="-1.30140911162488"/>
  </r>
  <r>
    <x v="0"/>
    <x v="0"/>
    <x v="0"/>
    <x v="7"/>
    <x v="16"/>
    <x v="0"/>
    <x v="21"/>
    <n v="-1.30140911162488"/>
  </r>
  <r>
    <x v="0"/>
    <x v="0"/>
    <x v="0"/>
    <x v="7"/>
    <x v="16"/>
    <x v="0"/>
    <x v="22"/>
    <n v="-1.30140911162488"/>
  </r>
  <r>
    <x v="0"/>
    <x v="0"/>
    <x v="0"/>
    <x v="7"/>
    <x v="16"/>
    <x v="0"/>
    <x v="23"/>
    <n v="-1.30140911162488"/>
  </r>
  <r>
    <x v="0"/>
    <x v="0"/>
    <x v="0"/>
    <x v="7"/>
    <x v="10"/>
    <x v="0"/>
    <x v="0"/>
    <n v="0"/>
  </r>
  <r>
    <x v="0"/>
    <x v="0"/>
    <x v="0"/>
    <x v="7"/>
    <x v="10"/>
    <x v="0"/>
    <x v="1"/>
    <n v="0"/>
  </r>
  <r>
    <x v="0"/>
    <x v="0"/>
    <x v="0"/>
    <x v="7"/>
    <x v="10"/>
    <x v="0"/>
    <x v="2"/>
    <n v="0"/>
  </r>
  <r>
    <x v="0"/>
    <x v="0"/>
    <x v="0"/>
    <x v="7"/>
    <x v="10"/>
    <x v="0"/>
    <x v="3"/>
    <n v="0"/>
  </r>
  <r>
    <x v="0"/>
    <x v="0"/>
    <x v="0"/>
    <x v="7"/>
    <x v="10"/>
    <x v="0"/>
    <x v="4"/>
    <n v="0"/>
  </r>
  <r>
    <x v="0"/>
    <x v="0"/>
    <x v="0"/>
    <x v="7"/>
    <x v="10"/>
    <x v="0"/>
    <x v="5"/>
    <n v="0"/>
  </r>
  <r>
    <x v="0"/>
    <x v="0"/>
    <x v="0"/>
    <x v="7"/>
    <x v="10"/>
    <x v="0"/>
    <x v="6"/>
    <n v="0"/>
  </r>
  <r>
    <x v="0"/>
    <x v="0"/>
    <x v="0"/>
    <x v="7"/>
    <x v="10"/>
    <x v="0"/>
    <x v="7"/>
    <n v="0"/>
  </r>
  <r>
    <x v="0"/>
    <x v="0"/>
    <x v="0"/>
    <x v="7"/>
    <x v="10"/>
    <x v="0"/>
    <x v="8"/>
    <n v="0"/>
  </r>
  <r>
    <x v="0"/>
    <x v="0"/>
    <x v="0"/>
    <x v="7"/>
    <x v="10"/>
    <x v="0"/>
    <x v="9"/>
    <n v="0"/>
  </r>
  <r>
    <x v="0"/>
    <x v="0"/>
    <x v="0"/>
    <x v="7"/>
    <x v="10"/>
    <x v="0"/>
    <x v="10"/>
    <n v="0"/>
  </r>
  <r>
    <x v="0"/>
    <x v="0"/>
    <x v="0"/>
    <x v="7"/>
    <x v="10"/>
    <x v="0"/>
    <x v="11"/>
    <n v="0"/>
  </r>
  <r>
    <x v="0"/>
    <x v="0"/>
    <x v="0"/>
    <x v="7"/>
    <x v="10"/>
    <x v="0"/>
    <x v="12"/>
    <n v="0"/>
  </r>
  <r>
    <x v="0"/>
    <x v="0"/>
    <x v="0"/>
    <x v="7"/>
    <x v="10"/>
    <x v="0"/>
    <x v="13"/>
    <n v="0"/>
  </r>
  <r>
    <x v="0"/>
    <x v="0"/>
    <x v="0"/>
    <x v="7"/>
    <x v="10"/>
    <x v="0"/>
    <x v="14"/>
    <n v="0"/>
  </r>
  <r>
    <x v="0"/>
    <x v="0"/>
    <x v="0"/>
    <x v="7"/>
    <x v="10"/>
    <x v="0"/>
    <x v="15"/>
    <n v="0"/>
  </r>
  <r>
    <x v="0"/>
    <x v="0"/>
    <x v="0"/>
    <x v="7"/>
    <x v="10"/>
    <x v="0"/>
    <x v="16"/>
    <n v="0"/>
  </r>
  <r>
    <x v="0"/>
    <x v="0"/>
    <x v="0"/>
    <x v="7"/>
    <x v="10"/>
    <x v="0"/>
    <x v="17"/>
    <n v="0"/>
  </r>
  <r>
    <x v="0"/>
    <x v="0"/>
    <x v="0"/>
    <x v="7"/>
    <x v="10"/>
    <x v="0"/>
    <x v="18"/>
    <n v="0"/>
  </r>
  <r>
    <x v="0"/>
    <x v="0"/>
    <x v="0"/>
    <x v="7"/>
    <x v="10"/>
    <x v="0"/>
    <x v="19"/>
    <n v="0"/>
  </r>
  <r>
    <x v="0"/>
    <x v="0"/>
    <x v="0"/>
    <x v="7"/>
    <x v="10"/>
    <x v="0"/>
    <x v="20"/>
    <n v="0"/>
  </r>
  <r>
    <x v="0"/>
    <x v="0"/>
    <x v="0"/>
    <x v="7"/>
    <x v="10"/>
    <x v="0"/>
    <x v="21"/>
    <n v="0"/>
  </r>
  <r>
    <x v="0"/>
    <x v="0"/>
    <x v="0"/>
    <x v="7"/>
    <x v="10"/>
    <x v="0"/>
    <x v="22"/>
    <n v="0"/>
  </r>
  <r>
    <x v="0"/>
    <x v="0"/>
    <x v="0"/>
    <x v="7"/>
    <x v="10"/>
    <x v="0"/>
    <x v="23"/>
    <n v="0"/>
  </r>
  <r>
    <x v="0"/>
    <x v="0"/>
    <x v="0"/>
    <x v="8"/>
    <x v="13"/>
    <x v="0"/>
    <x v="0"/>
    <n v="0"/>
  </r>
  <r>
    <x v="0"/>
    <x v="0"/>
    <x v="0"/>
    <x v="8"/>
    <x v="13"/>
    <x v="0"/>
    <x v="1"/>
    <n v="0"/>
  </r>
  <r>
    <x v="0"/>
    <x v="0"/>
    <x v="0"/>
    <x v="8"/>
    <x v="13"/>
    <x v="0"/>
    <x v="2"/>
    <n v="-2.2783996780333798E-2"/>
  </r>
  <r>
    <x v="0"/>
    <x v="0"/>
    <x v="0"/>
    <x v="8"/>
    <x v="13"/>
    <x v="0"/>
    <x v="3"/>
    <n v="0"/>
  </r>
  <r>
    <x v="0"/>
    <x v="0"/>
    <x v="0"/>
    <x v="8"/>
    <x v="13"/>
    <x v="0"/>
    <x v="4"/>
    <n v="0"/>
  </r>
  <r>
    <x v="0"/>
    <x v="0"/>
    <x v="0"/>
    <x v="8"/>
    <x v="13"/>
    <x v="0"/>
    <x v="5"/>
    <n v="0"/>
  </r>
  <r>
    <x v="0"/>
    <x v="0"/>
    <x v="0"/>
    <x v="8"/>
    <x v="13"/>
    <x v="0"/>
    <x v="6"/>
    <n v="0"/>
  </r>
  <r>
    <x v="0"/>
    <x v="0"/>
    <x v="0"/>
    <x v="8"/>
    <x v="13"/>
    <x v="0"/>
    <x v="7"/>
    <n v="0"/>
  </r>
  <r>
    <x v="0"/>
    <x v="0"/>
    <x v="0"/>
    <x v="8"/>
    <x v="13"/>
    <x v="0"/>
    <x v="8"/>
    <n v="0"/>
  </r>
  <r>
    <x v="0"/>
    <x v="0"/>
    <x v="0"/>
    <x v="8"/>
    <x v="13"/>
    <x v="0"/>
    <x v="9"/>
    <n v="0"/>
  </r>
  <r>
    <x v="0"/>
    <x v="0"/>
    <x v="0"/>
    <x v="8"/>
    <x v="13"/>
    <x v="0"/>
    <x v="10"/>
    <n v="0"/>
  </r>
  <r>
    <x v="0"/>
    <x v="0"/>
    <x v="0"/>
    <x v="8"/>
    <x v="13"/>
    <x v="0"/>
    <x v="11"/>
    <n v="0"/>
  </r>
  <r>
    <x v="0"/>
    <x v="0"/>
    <x v="0"/>
    <x v="8"/>
    <x v="13"/>
    <x v="0"/>
    <x v="12"/>
    <n v="0"/>
  </r>
  <r>
    <x v="0"/>
    <x v="0"/>
    <x v="0"/>
    <x v="8"/>
    <x v="13"/>
    <x v="0"/>
    <x v="13"/>
    <n v="0"/>
  </r>
  <r>
    <x v="0"/>
    <x v="0"/>
    <x v="0"/>
    <x v="8"/>
    <x v="13"/>
    <x v="0"/>
    <x v="14"/>
    <n v="0"/>
  </r>
  <r>
    <x v="0"/>
    <x v="0"/>
    <x v="0"/>
    <x v="8"/>
    <x v="13"/>
    <x v="0"/>
    <x v="15"/>
    <n v="0"/>
  </r>
  <r>
    <x v="0"/>
    <x v="0"/>
    <x v="0"/>
    <x v="8"/>
    <x v="13"/>
    <x v="0"/>
    <x v="16"/>
    <n v="0"/>
  </r>
  <r>
    <x v="0"/>
    <x v="0"/>
    <x v="0"/>
    <x v="8"/>
    <x v="13"/>
    <x v="0"/>
    <x v="17"/>
    <n v="0"/>
  </r>
  <r>
    <x v="0"/>
    <x v="0"/>
    <x v="0"/>
    <x v="8"/>
    <x v="13"/>
    <x v="0"/>
    <x v="18"/>
    <n v="0"/>
  </r>
  <r>
    <x v="0"/>
    <x v="0"/>
    <x v="0"/>
    <x v="8"/>
    <x v="13"/>
    <x v="0"/>
    <x v="19"/>
    <n v="0"/>
  </r>
  <r>
    <x v="0"/>
    <x v="0"/>
    <x v="0"/>
    <x v="8"/>
    <x v="13"/>
    <x v="0"/>
    <x v="20"/>
    <n v="0"/>
  </r>
  <r>
    <x v="0"/>
    <x v="0"/>
    <x v="0"/>
    <x v="8"/>
    <x v="13"/>
    <x v="0"/>
    <x v="21"/>
    <n v="0"/>
  </r>
  <r>
    <x v="0"/>
    <x v="0"/>
    <x v="0"/>
    <x v="8"/>
    <x v="13"/>
    <x v="0"/>
    <x v="22"/>
    <n v="0"/>
  </r>
  <r>
    <x v="0"/>
    <x v="0"/>
    <x v="0"/>
    <x v="8"/>
    <x v="13"/>
    <x v="0"/>
    <x v="23"/>
    <n v="0"/>
  </r>
  <r>
    <x v="0"/>
    <x v="0"/>
    <x v="0"/>
    <x v="8"/>
    <x v="4"/>
    <x v="0"/>
    <x v="0"/>
    <n v="0"/>
  </r>
  <r>
    <x v="0"/>
    <x v="0"/>
    <x v="0"/>
    <x v="8"/>
    <x v="4"/>
    <x v="0"/>
    <x v="1"/>
    <n v="0"/>
  </r>
  <r>
    <x v="0"/>
    <x v="0"/>
    <x v="0"/>
    <x v="8"/>
    <x v="4"/>
    <x v="0"/>
    <x v="2"/>
    <n v="0"/>
  </r>
  <r>
    <x v="0"/>
    <x v="0"/>
    <x v="0"/>
    <x v="8"/>
    <x v="4"/>
    <x v="0"/>
    <x v="3"/>
    <n v="0"/>
  </r>
  <r>
    <x v="0"/>
    <x v="0"/>
    <x v="0"/>
    <x v="8"/>
    <x v="4"/>
    <x v="0"/>
    <x v="4"/>
    <n v="0"/>
  </r>
  <r>
    <x v="0"/>
    <x v="0"/>
    <x v="0"/>
    <x v="8"/>
    <x v="4"/>
    <x v="0"/>
    <x v="5"/>
    <n v="0"/>
  </r>
  <r>
    <x v="0"/>
    <x v="0"/>
    <x v="0"/>
    <x v="8"/>
    <x v="4"/>
    <x v="0"/>
    <x v="6"/>
    <n v="0"/>
  </r>
  <r>
    <x v="0"/>
    <x v="0"/>
    <x v="0"/>
    <x v="8"/>
    <x v="4"/>
    <x v="0"/>
    <x v="7"/>
    <n v="0"/>
  </r>
  <r>
    <x v="0"/>
    <x v="0"/>
    <x v="0"/>
    <x v="8"/>
    <x v="4"/>
    <x v="0"/>
    <x v="8"/>
    <n v="0"/>
  </r>
  <r>
    <x v="0"/>
    <x v="0"/>
    <x v="0"/>
    <x v="8"/>
    <x v="4"/>
    <x v="0"/>
    <x v="9"/>
    <n v="0"/>
  </r>
  <r>
    <x v="0"/>
    <x v="0"/>
    <x v="0"/>
    <x v="8"/>
    <x v="4"/>
    <x v="0"/>
    <x v="10"/>
    <n v="0"/>
  </r>
  <r>
    <x v="0"/>
    <x v="0"/>
    <x v="0"/>
    <x v="8"/>
    <x v="4"/>
    <x v="0"/>
    <x v="11"/>
    <n v="0"/>
  </r>
  <r>
    <x v="0"/>
    <x v="0"/>
    <x v="0"/>
    <x v="8"/>
    <x v="4"/>
    <x v="0"/>
    <x v="12"/>
    <n v="0"/>
  </r>
  <r>
    <x v="0"/>
    <x v="0"/>
    <x v="0"/>
    <x v="8"/>
    <x v="4"/>
    <x v="0"/>
    <x v="13"/>
    <n v="0"/>
  </r>
  <r>
    <x v="0"/>
    <x v="0"/>
    <x v="0"/>
    <x v="8"/>
    <x v="4"/>
    <x v="0"/>
    <x v="14"/>
    <n v="0"/>
  </r>
  <r>
    <x v="0"/>
    <x v="0"/>
    <x v="0"/>
    <x v="8"/>
    <x v="4"/>
    <x v="0"/>
    <x v="15"/>
    <n v="0"/>
  </r>
  <r>
    <x v="0"/>
    <x v="0"/>
    <x v="0"/>
    <x v="8"/>
    <x v="4"/>
    <x v="0"/>
    <x v="16"/>
    <n v="0"/>
  </r>
  <r>
    <x v="0"/>
    <x v="0"/>
    <x v="0"/>
    <x v="8"/>
    <x v="4"/>
    <x v="0"/>
    <x v="17"/>
    <n v="0"/>
  </r>
  <r>
    <x v="0"/>
    <x v="0"/>
    <x v="0"/>
    <x v="8"/>
    <x v="4"/>
    <x v="0"/>
    <x v="18"/>
    <n v="0"/>
  </r>
  <r>
    <x v="0"/>
    <x v="0"/>
    <x v="0"/>
    <x v="8"/>
    <x v="4"/>
    <x v="0"/>
    <x v="19"/>
    <n v="0"/>
  </r>
  <r>
    <x v="0"/>
    <x v="0"/>
    <x v="0"/>
    <x v="8"/>
    <x v="4"/>
    <x v="0"/>
    <x v="20"/>
    <n v="0"/>
  </r>
  <r>
    <x v="0"/>
    <x v="0"/>
    <x v="0"/>
    <x v="8"/>
    <x v="4"/>
    <x v="0"/>
    <x v="21"/>
    <n v="0"/>
  </r>
  <r>
    <x v="0"/>
    <x v="0"/>
    <x v="0"/>
    <x v="8"/>
    <x v="4"/>
    <x v="0"/>
    <x v="22"/>
    <n v="0"/>
  </r>
  <r>
    <x v="0"/>
    <x v="0"/>
    <x v="0"/>
    <x v="8"/>
    <x v="4"/>
    <x v="0"/>
    <x v="23"/>
    <n v="0"/>
  </r>
  <r>
    <x v="0"/>
    <x v="0"/>
    <x v="0"/>
    <x v="8"/>
    <x v="8"/>
    <x v="0"/>
    <x v="0"/>
    <n v="-0.63"/>
  </r>
  <r>
    <x v="0"/>
    <x v="0"/>
    <x v="0"/>
    <x v="8"/>
    <x v="8"/>
    <x v="0"/>
    <x v="1"/>
    <n v="-0.56194957151896596"/>
  </r>
  <r>
    <x v="0"/>
    <x v="0"/>
    <x v="0"/>
    <x v="8"/>
    <x v="8"/>
    <x v="0"/>
    <x v="2"/>
    <n v="-0.49317460854708001"/>
  </r>
  <r>
    <x v="0"/>
    <x v="0"/>
    <x v="0"/>
    <x v="8"/>
    <x v="8"/>
    <x v="0"/>
    <x v="3"/>
    <n v="-0.49561390109588499"/>
  </r>
  <r>
    <x v="0"/>
    <x v="0"/>
    <x v="0"/>
    <x v="8"/>
    <x v="8"/>
    <x v="0"/>
    <x v="4"/>
    <n v="-0.37236917154782501"/>
  </r>
  <r>
    <x v="0"/>
    <x v="0"/>
    <x v="0"/>
    <x v="8"/>
    <x v="8"/>
    <x v="0"/>
    <x v="5"/>
    <n v="-3.94063805320903E-2"/>
  </r>
  <r>
    <x v="0"/>
    <x v="0"/>
    <x v="0"/>
    <x v="8"/>
    <x v="8"/>
    <x v="0"/>
    <x v="6"/>
    <n v="0"/>
  </r>
  <r>
    <x v="0"/>
    <x v="0"/>
    <x v="0"/>
    <x v="8"/>
    <x v="8"/>
    <x v="0"/>
    <x v="7"/>
    <n v="0"/>
  </r>
  <r>
    <x v="0"/>
    <x v="0"/>
    <x v="0"/>
    <x v="8"/>
    <x v="8"/>
    <x v="0"/>
    <x v="8"/>
    <n v="0"/>
  </r>
  <r>
    <x v="0"/>
    <x v="0"/>
    <x v="0"/>
    <x v="8"/>
    <x v="8"/>
    <x v="0"/>
    <x v="9"/>
    <n v="0"/>
  </r>
  <r>
    <x v="0"/>
    <x v="0"/>
    <x v="0"/>
    <x v="8"/>
    <x v="8"/>
    <x v="0"/>
    <x v="10"/>
    <n v="0"/>
  </r>
  <r>
    <x v="0"/>
    <x v="0"/>
    <x v="0"/>
    <x v="8"/>
    <x v="8"/>
    <x v="0"/>
    <x v="11"/>
    <n v="0"/>
  </r>
  <r>
    <x v="0"/>
    <x v="0"/>
    <x v="0"/>
    <x v="8"/>
    <x v="8"/>
    <x v="0"/>
    <x v="12"/>
    <n v="0"/>
  </r>
  <r>
    <x v="0"/>
    <x v="0"/>
    <x v="0"/>
    <x v="8"/>
    <x v="8"/>
    <x v="0"/>
    <x v="13"/>
    <n v="0"/>
  </r>
  <r>
    <x v="0"/>
    <x v="0"/>
    <x v="0"/>
    <x v="8"/>
    <x v="8"/>
    <x v="0"/>
    <x v="14"/>
    <n v="0"/>
  </r>
  <r>
    <x v="0"/>
    <x v="0"/>
    <x v="0"/>
    <x v="8"/>
    <x v="8"/>
    <x v="0"/>
    <x v="15"/>
    <n v="0"/>
  </r>
  <r>
    <x v="0"/>
    <x v="0"/>
    <x v="0"/>
    <x v="8"/>
    <x v="8"/>
    <x v="0"/>
    <x v="16"/>
    <n v="0"/>
  </r>
  <r>
    <x v="0"/>
    <x v="0"/>
    <x v="0"/>
    <x v="8"/>
    <x v="8"/>
    <x v="0"/>
    <x v="17"/>
    <n v="-0.21882487929522301"/>
  </r>
  <r>
    <x v="0"/>
    <x v="0"/>
    <x v="0"/>
    <x v="8"/>
    <x v="8"/>
    <x v="0"/>
    <x v="18"/>
    <n v="-0.51182125220623598"/>
  </r>
  <r>
    <x v="0"/>
    <x v="0"/>
    <x v="0"/>
    <x v="8"/>
    <x v="8"/>
    <x v="0"/>
    <x v="19"/>
    <n v="-1.79794415842781E-2"/>
  </r>
  <r>
    <x v="0"/>
    <x v="0"/>
    <x v="0"/>
    <x v="8"/>
    <x v="8"/>
    <x v="0"/>
    <x v="20"/>
    <n v="-0.291123251781915"/>
  </r>
  <r>
    <x v="0"/>
    <x v="0"/>
    <x v="0"/>
    <x v="8"/>
    <x v="8"/>
    <x v="0"/>
    <x v="21"/>
    <n v="-0.21968418560799"/>
  </r>
  <r>
    <x v="0"/>
    <x v="0"/>
    <x v="0"/>
    <x v="8"/>
    <x v="8"/>
    <x v="0"/>
    <x v="22"/>
    <n v="-0.61330604877397898"/>
  </r>
  <r>
    <x v="0"/>
    <x v="0"/>
    <x v="0"/>
    <x v="8"/>
    <x v="8"/>
    <x v="0"/>
    <x v="23"/>
    <n v="-0.45837545168272598"/>
  </r>
  <r>
    <x v="0"/>
    <x v="0"/>
    <x v="0"/>
    <x v="9"/>
    <x v="14"/>
    <x v="0"/>
    <x v="0"/>
    <n v="0"/>
  </r>
  <r>
    <x v="0"/>
    <x v="0"/>
    <x v="0"/>
    <x v="9"/>
    <x v="14"/>
    <x v="0"/>
    <x v="1"/>
    <n v="0"/>
  </r>
  <r>
    <x v="0"/>
    <x v="0"/>
    <x v="0"/>
    <x v="9"/>
    <x v="14"/>
    <x v="0"/>
    <x v="2"/>
    <n v="0"/>
  </r>
  <r>
    <x v="0"/>
    <x v="0"/>
    <x v="0"/>
    <x v="9"/>
    <x v="14"/>
    <x v="0"/>
    <x v="3"/>
    <n v="0"/>
  </r>
  <r>
    <x v="0"/>
    <x v="0"/>
    <x v="0"/>
    <x v="9"/>
    <x v="14"/>
    <x v="0"/>
    <x v="4"/>
    <n v="0"/>
  </r>
  <r>
    <x v="0"/>
    <x v="0"/>
    <x v="0"/>
    <x v="9"/>
    <x v="14"/>
    <x v="0"/>
    <x v="5"/>
    <n v="0"/>
  </r>
  <r>
    <x v="0"/>
    <x v="0"/>
    <x v="0"/>
    <x v="9"/>
    <x v="14"/>
    <x v="0"/>
    <x v="6"/>
    <n v="0"/>
  </r>
  <r>
    <x v="0"/>
    <x v="0"/>
    <x v="0"/>
    <x v="9"/>
    <x v="14"/>
    <x v="0"/>
    <x v="7"/>
    <n v="0"/>
  </r>
  <r>
    <x v="0"/>
    <x v="0"/>
    <x v="0"/>
    <x v="9"/>
    <x v="14"/>
    <x v="0"/>
    <x v="8"/>
    <n v="0"/>
  </r>
  <r>
    <x v="0"/>
    <x v="0"/>
    <x v="0"/>
    <x v="9"/>
    <x v="14"/>
    <x v="0"/>
    <x v="9"/>
    <n v="0"/>
  </r>
  <r>
    <x v="0"/>
    <x v="0"/>
    <x v="0"/>
    <x v="9"/>
    <x v="14"/>
    <x v="0"/>
    <x v="10"/>
    <n v="0"/>
  </r>
  <r>
    <x v="0"/>
    <x v="0"/>
    <x v="0"/>
    <x v="9"/>
    <x v="14"/>
    <x v="0"/>
    <x v="11"/>
    <n v="0"/>
  </r>
  <r>
    <x v="0"/>
    <x v="0"/>
    <x v="0"/>
    <x v="9"/>
    <x v="14"/>
    <x v="0"/>
    <x v="12"/>
    <n v="0"/>
  </r>
  <r>
    <x v="0"/>
    <x v="0"/>
    <x v="0"/>
    <x v="9"/>
    <x v="14"/>
    <x v="0"/>
    <x v="13"/>
    <n v="0"/>
  </r>
  <r>
    <x v="0"/>
    <x v="0"/>
    <x v="0"/>
    <x v="9"/>
    <x v="14"/>
    <x v="0"/>
    <x v="14"/>
    <n v="0"/>
  </r>
  <r>
    <x v="0"/>
    <x v="0"/>
    <x v="0"/>
    <x v="9"/>
    <x v="14"/>
    <x v="0"/>
    <x v="15"/>
    <n v="0"/>
  </r>
  <r>
    <x v="0"/>
    <x v="0"/>
    <x v="0"/>
    <x v="9"/>
    <x v="14"/>
    <x v="0"/>
    <x v="16"/>
    <n v="0"/>
  </r>
  <r>
    <x v="0"/>
    <x v="0"/>
    <x v="0"/>
    <x v="9"/>
    <x v="14"/>
    <x v="0"/>
    <x v="17"/>
    <n v="0"/>
  </r>
  <r>
    <x v="0"/>
    <x v="0"/>
    <x v="0"/>
    <x v="9"/>
    <x v="14"/>
    <x v="0"/>
    <x v="18"/>
    <n v="0"/>
  </r>
  <r>
    <x v="0"/>
    <x v="0"/>
    <x v="0"/>
    <x v="9"/>
    <x v="14"/>
    <x v="0"/>
    <x v="19"/>
    <n v="0"/>
  </r>
  <r>
    <x v="0"/>
    <x v="0"/>
    <x v="0"/>
    <x v="9"/>
    <x v="14"/>
    <x v="0"/>
    <x v="20"/>
    <n v="0"/>
  </r>
  <r>
    <x v="0"/>
    <x v="0"/>
    <x v="0"/>
    <x v="9"/>
    <x v="14"/>
    <x v="0"/>
    <x v="21"/>
    <n v="0"/>
  </r>
  <r>
    <x v="0"/>
    <x v="0"/>
    <x v="0"/>
    <x v="9"/>
    <x v="14"/>
    <x v="0"/>
    <x v="22"/>
    <n v="0"/>
  </r>
  <r>
    <x v="0"/>
    <x v="0"/>
    <x v="0"/>
    <x v="9"/>
    <x v="14"/>
    <x v="0"/>
    <x v="23"/>
    <n v="0"/>
  </r>
  <r>
    <x v="0"/>
    <x v="0"/>
    <x v="0"/>
    <x v="9"/>
    <x v="17"/>
    <x v="0"/>
    <x v="0"/>
    <n v="0"/>
  </r>
  <r>
    <x v="0"/>
    <x v="0"/>
    <x v="0"/>
    <x v="9"/>
    <x v="17"/>
    <x v="0"/>
    <x v="1"/>
    <n v="0"/>
  </r>
  <r>
    <x v="0"/>
    <x v="0"/>
    <x v="0"/>
    <x v="9"/>
    <x v="17"/>
    <x v="0"/>
    <x v="2"/>
    <n v="2.2783996780333798E-2"/>
  </r>
  <r>
    <x v="0"/>
    <x v="0"/>
    <x v="0"/>
    <x v="9"/>
    <x v="17"/>
    <x v="0"/>
    <x v="3"/>
    <n v="0"/>
  </r>
  <r>
    <x v="0"/>
    <x v="0"/>
    <x v="0"/>
    <x v="9"/>
    <x v="17"/>
    <x v="0"/>
    <x v="4"/>
    <n v="0"/>
  </r>
  <r>
    <x v="0"/>
    <x v="0"/>
    <x v="0"/>
    <x v="9"/>
    <x v="17"/>
    <x v="0"/>
    <x v="5"/>
    <n v="0"/>
  </r>
  <r>
    <x v="0"/>
    <x v="0"/>
    <x v="0"/>
    <x v="9"/>
    <x v="17"/>
    <x v="0"/>
    <x v="6"/>
    <n v="0"/>
  </r>
  <r>
    <x v="0"/>
    <x v="0"/>
    <x v="0"/>
    <x v="9"/>
    <x v="17"/>
    <x v="0"/>
    <x v="7"/>
    <n v="0"/>
  </r>
  <r>
    <x v="0"/>
    <x v="0"/>
    <x v="0"/>
    <x v="9"/>
    <x v="17"/>
    <x v="0"/>
    <x v="8"/>
    <n v="0"/>
  </r>
  <r>
    <x v="0"/>
    <x v="0"/>
    <x v="0"/>
    <x v="9"/>
    <x v="17"/>
    <x v="0"/>
    <x v="9"/>
    <n v="0"/>
  </r>
  <r>
    <x v="0"/>
    <x v="0"/>
    <x v="0"/>
    <x v="9"/>
    <x v="17"/>
    <x v="0"/>
    <x v="10"/>
    <n v="0"/>
  </r>
  <r>
    <x v="0"/>
    <x v="0"/>
    <x v="0"/>
    <x v="9"/>
    <x v="17"/>
    <x v="0"/>
    <x v="11"/>
    <n v="0"/>
  </r>
  <r>
    <x v="0"/>
    <x v="0"/>
    <x v="0"/>
    <x v="9"/>
    <x v="17"/>
    <x v="0"/>
    <x v="12"/>
    <n v="0"/>
  </r>
  <r>
    <x v="0"/>
    <x v="0"/>
    <x v="0"/>
    <x v="9"/>
    <x v="17"/>
    <x v="0"/>
    <x v="13"/>
    <n v="0"/>
  </r>
  <r>
    <x v="0"/>
    <x v="0"/>
    <x v="0"/>
    <x v="9"/>
    <x v="17"/>
    <x v="0"/>
    <x v="14"/>
    <n v="0"/>
  </r>
  <r>
    <x v="0"/>
    <x v="0"/>
    <x v="0"/>
    <x v="9"/>
    <x v="17"/>
    <x v="0"/>
    <x v="15"/>
    <n v="0"/>
  </r>
  <r>
    <x v="0"/>
    <x v="0"/>
    <x v="0"/>
    <x v="9"/>
    <x v="17"/>
    <x v="0"/>
    <x v="16"/>
    <n v="0"/>
  </r>
  <r>
    <x v="0"/>
    <x v="0"/>
    <x v="0"/>
    <x v="9"/>
    <x v="17"/>
    <x v="0"/>
    <x v="17"/>
    <n v="0"/>
  </r>
  <r>
    <x v="0"/>
    <x v="0"/>
    <x v="0"/>
    <x v="9"/>
    <x v="17"/>
    <x v="0"/>
    <x v="18"/>
    <n v="0"/>
  </r>
  <r>
    <x v="0"/>
    <x v="0"/>
    <x v="0"/>
    <x v="9"/>
    <x v="17"/>
    <x v="0"/>
    <x v="19"/>
    <n v="0"/>
  </r>
  <r>
    <x v="0"/>
    <x v="0"/>
    <x v="0"/>
    <x v="9"/>
    <x v="17"/>
    <x v="0"/>
    <x v="20"/>
    <n v="0"/>
  </r>
  <r>
    <x v="0"/>
    <x v="0"/>
    <x v="0"/>
    <x v="9"/>
    <x v="17"/>
    <x v="0"/>
    <x v="21"/>
    <n v="0"/>
  </r>
  <r>
    <x v="0"/>
    <x v="0"/>
    <x v="0"/>
    <x v="9"/>
    <x v="17"/>
    <x v="0"/>
    <x v="22"/>
    <n v="0"/>
  </r>
  <r>
    <x v="0"/>
    <x v="0"/>
    <x v="0"/>
    <x v="9"/>
    <x v="17"/>
    <x v="0"/>
    <x v="23"/>
    <n v="0"/>
  </r>
  <r>
    <x v="0"/>
    <x v="0"/>
    <x v="0"/>
    <x v="9"/>
    <x v="10"/>
    <x v="0"/>
    <x v="0"/>
    <n v="-0.51039095951885605"/>
  </r>
  <r>
    <x v="0"/>
    <x v="0"/>
    <x v="0"/>
    <x v="9"/>
    <x v="10"/>
    <x v="0"/>
    <x v="1"/>
    <n v="-0.50757191519297595"/>
  </r>
  <r>
    <x v="0"/>
    <x v="0"/>
    <x v="0"/>
    <x v="9"/>
    <x v="10"/>
    <x v="0"/>
    <x v="2"/>
    <n v="-0.51039095951885605"/>
  </r>
  <r>
    <x v="0"/>
    <x v="0"/>
    <x v="0"/>
    <x v="9"/>
    <x v="10"/>
    <x v="0"/>
    <x v="3"/>
    <n v="-0.475834653155434"/>
  </r>
  <r>
    <x v="0"/>
    <x v="0"/>
    <x v="0"/>
    <x v="9"/>
    <x v="10"/>
    <x v="0"/>
    <x v="4"/>
    <n v="-0.485914822411745"/>
  </r>
  <r>
    <x v="0"/>
    <x v="0"/>
    <x v="0"/>
    <x v="9"/>
    <x v="10"/>
    <x v="0"/>
    <x v="5"/>
    <n v="-0.51039095951885605"/>
  </r>
  <r>
    <x v="0"/>
    <x v="0"/>
    <x v="0"/>
    <x v="9"/>
    <x v="10"/>
    <x v="0"/>
    <x v="6"/>
    <n v="-0.51039095951885605"/>
  </r>
  <r>
    <x v="0"/>
    <x v="0"/>
    <x v="0"/>
    <x v="9"/>
    <x v="10"/>
    <x v="0"/>
    <x v="7"/>
    <n v="-0.51039095951885605"/>
  </r>
  <r>
    <x v="0"/>
    <x v="0"/>
    <x v="0"/>
    <x v="9"/>
    <x v="10"/>
    <x v="0"/>
    <x v="8"/>
    <n v="-0.51039095951885605"/>
  </r>
  <r>
    <x v="0"/>
    <x v="0"/>
    <x v="0"/>
    <x v="9"/>
    <x v="10"/>
    <x v="0"/>
    <x v="9"/>
    <n v="-0.51039095951885605"/>
  </r>
  <r>
    <x v="0"/>
    <x v="0"/>
    <x v="0"/>
    <x v="9"/>
    <x v="10"/>
    <x v="0"/>
    <x v="10"/>
    <n v="-0.51039095951885605"/>
  </r>
  <r>
    <x v="0"/>
    <x v="0"/>
    <x v="0"/>
    <x v="9"/>
    <x v="10"/>
    <x v="0"/>
    <x v="11"/>
    <n v="-0.51039095951885605"/>
  </r>
  <r>
    <x v="0"/>
    <x v="0"/>
    <x v="0"/>
    <x v="9"/>
    <x v="10"/>
    <x v="0"/>
    <x v="12"/>
    <n v="-0.51039095951885605"/>
  </r>
  <r>
    <x v="0"/>
    <x v="0"/>
    <x v="0"/>
    <x v="9"/>
    <x v="10"/>
    <x v="0"/>
    <x v="13"/>
    <n v="-0.51039095951885605"/>
  </r>
  <r>
    <x v="0"/>
    <x v="0"/>
    <x v="0"/>
    <x v="9"/>
    <x v="10"/>
    <x v="0"/>
    <x v="14"/>
    <n v="-0.51039095951885605"/>
  </r>
  <r>
    <x v="0"/>
    <x v="0"/>
    <x v="0"/>
    <x v="9"/>
    <x v="10"/>
    <x v="0"/>
    <x v="15"/>
    <n v="-0.51039095951885605"/>
  </r>
  <r>
    <x v="0"/>
    <x v="0"/>
    <x v="0"/>
    <x v="9"/>
    <x v="10"/>
    <x v="0"/>
    <x v="16"/>
    <n v="-0.51039095951885605"/>
  </r>
  <r>
    <x v="0"/>
    <x v="0"/>
    <x v="0"/>
    <x v="9"/>
    <x v="10"/>
    <x v="0"/>
    <x v="17"/>
    <n v="-0.51039095951885605"/>
  </r>
  <r>
    <x v="0"/>
    <x v="0"/>
    <x v="0"/>
    <x v="9"/>
    <x v="10"/>
    <x v="0"/>
    <x v="18"/>
    <n v="-0.51039095951885605"/>
  </r>
  <r>
    <x v="0"/>
    <x v="0"/>
    <x v="0"/>
    <x v="9"/>
    <x v="10"/>
    <x v="0"/>
    <x v="19"/>
    <n v="-0.51039095951885605"/>
  </r>
  <r>
    <x v="0"/>
    <x v="0"/>
    <x v="0"/>
    <x v="9"/>
    <x v="10"/>
    <x v="0"/>
    <x v="20"/>
    <n v="-0.51039095951885605"/>
  </r>
  <r>
    <x v="0"/>
    <x v="0"/>
    <x v="0"/>
    <x v="9"/>
    <x v="10"/>
    <x v="0"/>
    <x v="21"/>
    <n v="-0.51039095951885605"/>
  </r>
  <r>
    <x v="0"/>
    <x v="0"/>
    <x v="0"/>
    <x v="9"/>
    <x v="10"/>
    <x v="0"/>
    <x v="22"/>
    <n v="-0.51039095951885605"/>
  </r>
  <r>
    <x v="0"/>
    <x v="0"/>
    <x v="0"/>
    <x v="9"/>
    <x v="10"/>
    <x v="0"/>
    <x v="23"/>
    <n v="-0.51039095951885605"/>
  </r>
  <r>
    <x v="0"/>
    <x v="0"/>
    <x v="0"/>
    <x v="10"/>
    <x v="1"/>
    <x v="0"/>
    <x v="0"/>
    <n v="0"/>
  </r>
  <r>
    <x v="0"/>
    <x v="0"/>
    <x v="0"/>
    <x v="10"/>
    <x v="1"/>
    <x v="0"/>
    <x v="1"/>
    <n v="0"/>
  </r>
  <r>
    <x v="0"/>
    <x v="0"/>
    <x v="0"/>
    <x v="10"/>
    <x v="1"/>
    <x v="0"/>
    <x v="2"/>
    <n v="0"/>
  </r>
  <r>
    <x v="0"/>
    <x v="0"/>
    <x v="0"/>
    <x v="10"/>
    <x v="1"/>
    <x v="0"/>
    <x v="3"/>
    <n v="0"/>
  </r>
  <r>
    <x v="0"/>
    <x v="0"/>
    <x v="0"/>
    <x v="10"/>
    <x v="1"/>
    <x v="0"/>
    <x v="4"/>
    <n v="0"/>
  </r>
  <r>
    <x v="0"/>
    <x v="0"/>
    <x v="0"/>
    <x v="10"/>
    <x v="1"/>
    <x v="0"/>
    <x v="5"/>
    <n v="0"/>
  </r>
  <r>
    <x v="0"/>
    <x v="0"/>
    <x v="0"/>
    <x v="10"/>
    <x v="1"/>
    <x v="0"/>
    <x v="6"/>
    <n v="0"/>
  </r>
  <r>
    <x v="0"/>
    <x v="0"/>
    <x v="0"/>
    <x v="10"/>
    <x v="1"/>
    <x v="0"/>
    <x v="7"/>
    <n v="0"/>
  </r>
  <r>
    <x v="0"/>
    <x v="0"/>
    <x v="0"/>
    <x v="10"/>
    <x v="1"/>
    <x v="0"/>
    <x v="8"/>
    <n v="0"/>
  </r>
  <r>
    <x v="0"/>
    <x v="0"/>
    <x v="0"/>
    <x v="10"/>
    <x v="1"/>
    <x v="0"/>
    <x v="9"/>
    <n v="0"/>
  </r>
  <r>
    <x v="0"/>
    <x v="0"/>
    <x v="0"/>
    <x v="10"/>
    <x v="1"/>
    <x v="0"/>
    <x v="10"/>
    <n v="0"/>
  </r>
  <r>
    <x v="0"/>
    <x v="0"/>
    <x v="0"/>
    <x v="10"/>
    <x v="1"/>
    <x v="0"/>
    <x v="11"/>
    <n v="0"/>
  </r>
  <r>
    <x v="0"/>
    <x v="0"/>
    <x v="0"/>
    <x v="10"/>
    <x v="1"/>
    <x v="0"/>
    <x v="12"/>
    <n v="0"/>
  </r>
  <r>
    <x v="0"/>
    <x v="0"/>
    <x v="0"/>
    <x v="10"/>
    <x v="1"/>
    <x v="0"/>
    <x v="13"/>
    <n v="0"/>
  </r>
  <r>
    <x v="0"/>
    <x v="0"/>
    <x v="0"/>
    <x v="10"/>
    <x v="1"/>
    <x v="0"/>
    <x v="14"/>
    <n v="0"/>
  </r>
  <r>
    <x v="0"/>
    <x v="0"/>
    <x v="0"/>
    <x v="10"/>
    <x v="1"/>
    <x v="0"/>
    <x v="15"/>
    <n v="0"/>
  </r>
  <r>
    <x v="0"/>
    <x v="0"/>
    <x v="0"/>
    <x v="10"/>
    <x v="1"/>
    <x v="0"/>
    <x v="16"/>
    <n v="0"/>
  </r>
  <r>
    <x v="0"/>
    <x v="0"/>
    <x v="0"/>
    <x v="10"/>
    <x v="1"/>
    <x v="0"/>
    <x v="17"/>
    <n v="0"/>
  </r>
  <r>
    <x v="0"/>
    <x v="0"/>
    <x v="0"/>
    <x v="10"/>
    <x v="1"/>
    <x v="0"/>
    <x v="18"/>
    <n v="0"/>
  </r>
  <r>
    <x v="0"/>
    <x v="0"/>
    <x v="0"/>
    <x v="10"/>
    <x v="1"/>
    <x v="0"/>
    <x v="19"/>
    <n v="0"/>
  </r>
  <r>
    <x v="0"/>
    <x v="0"/>
    <x v="0"/>
    <x v="10"/>
    <x v="1"/>
    <x v="0"/>
    <x v="20"/>
    <n v="0"/>
  </r>
  <r>
    <x v="0"/>
    <x v="0"/>
    <x v="0"/>
    <x v="10"/>
    <x v="1"/>
    <x v="0"/>
    <x v="21"/>
    <n v="0"/>
  </r>
  <r>
    <x v="0"/>
    <x v="0"/>
    <x v="0"/>
    <x v="10"/>
    <x v="1"/>
    <x v="0"/>
    <x v="22"/>
    <n v="0"/>
  </r>
  <r>
    <x v="0"/>
    <x v="0"/>
    <x v="0"/>
    <x v="10"/>
    <x v="1"/>
    <x v="0"/>
    <x v="23"/>
    <n v="0"/>
  </r>
  <r>
    <x v="0"/>
    <x v="0"/>
    <x v="0"/>
    <x v="10"/>
    <x v="2"/>
    <x v="0"/>
    <x v="0"/>
    <n v="0"/>
  </r>
  <r>
    <x v="0"/>
    <x v="0"/>
    <x v="0"/>
    <x v="10"/>
    <x v="2"/>
    <x v="0"/>
    <x v="1"/>
    <n v="0"/>
  </r>
  <r>
    <x v="0"/>
    <x v="0"/>
    <x v="0"/>
    <x v="10"/>
    <x v="2"/>
    <x v="0"/>
    <x v="2"/>
    <n v="0"/>
  </r>
  <r>
    <x v="0"/>
    <x v="0"/>
    <x v="0"/>
    <x v="10"/>
    <x v="2"/>
    <x v="0"/>
    <x v="3"/>
    <n v="0"/>
  </r>
  <r>
    <x v="0"/>
    <x v="0"/>
    <x v="0"/>
    <x v="10"/>
    <x v="2"/>
    <x v="0"/>
    <x v="4"/>
    <n v="0"/>
  </r>
  <r>
    <x v="0"/>
    <x v="0"/>
    <x v="0"/>
    <x v="10"/>
    <x v="2"/>
    <x v="0"/>
    <x v="5"/>
    <n v="0"/>
  </r>
  <r>
    <x v="0"/>
    <x v="0"/>
    <x v="0"/>
    <x v="10"/>
    <x v="2"/>
    <x v="0"/>
    <x v="6"/>
    <n v="0"/>
  </r>
  <r>
    <x v="0"/>
    <x v="0"/>
    <x v="0"/>
    <x v="10"/>
    <x v="2"/>
    <x v="0"/>
    <x v="7"/>
    <n v="0"/>
  </r>
  <r>
    <x v="0"/>
    <x v="0"/>
    <x v="0"/>
    <x v="10"/>
    <x v="2"/>
    <x v="0"/>
    <x v="8"/>
    <n v="0"/>
  </r>
  <r>
    <x v="0"/>
    <x v="0"/>
    <x v="0"/>
    <x v="10"/>
    <x v="2"/>
    <x v="0"/>
    <x v="9"/>
    <n v="0"/>
  </r>
  <r>
    <x v="0"/>
    <x v="0"/>
    <x v="0"/>
    <x v="10"/>
    <x v="2"/>
    <x v="0"/>
    <x v="10"/>
    <n v="0"/>
  </r>
  <r>
    <x v="0"/>
    <x v="0"/>
    <x v="0"/>
    <x v="10"/>
    <x v="2"/>
    <x v="0"/>
    <x v="11"/>
    <n v="0"/>
  </r>
  <r>
    <x v="0"/>
    <x v="0"/>
    <x v="0"/>
    <x v="10"/>
    <x v="2"/>
    <x v="0"/>
    <x v="12"/>
    <n v="0"/>
  </r>
  <r>
    <x v="0"/>
    <x v="0"/>
    <x v="0"/>
    <x v="10"/>
    <x v="2"/>
    <x v="0"/>
    <x v="13"/>
    <n v="0"/>
  </r>
  <r>
    <x v="0"/>
    <x v="0"/>
    <x v="0"/>
    <x v="10"/>
    <x v="2"/>
    <x v="0"/>
    <x v="14"/>
    <n v="0"/>
  </r>
  <r>
    <x v="0"/>
    <x v="0"/>
    <x v="0"/>
    <x v="10"/>
    <x v="2"/>
    <x v="0"/>
    <x v="15"/>
    <n v="0"/>
  </r>
  <r>
    <x v="0"/>
    <x v="0"/>
    <x v="0"/>
    <x v="10"/>
    <x v="2"/>
    <x v="0"/>
    <x v="16"/>
    <n v="0"/>
  </r>
  <r>
    <x v="0"/>
    <x v="0"/>
    <x v="0"/>
    <x v="10"/>
    <x v="2"/>
    <x v="0"/>
    <x v="17"/>
    <n v="0"/>
  </r>
  <r>
    <x v="0"/>
    <x v="0"/>
    <x v="0"/>
    <x v="10"/>
    <x v="2"/>
    <x v="0"/>
    <x v="18"/>
    <n v="0"/>
  </r>
  <r>
    <x v="0"/>
    <x v="0"/>
    <x v="0"/>
    <x v="10"/>
    <x v="2"/>
    <x v="0"/>
    <x v="19"/>
    <n v="0"/>
  </r>
  <r>
    <x v="0"/>
    <x v="0"/>
    <x v="0"/>
    <x v="10"/>
    <x v="2"/>
    <x v="0"/>
    <x v="20"/>
    <n v="0"/>
  </r>
  <r>
    <x v="0"/>
    <x v="0"/>
    <x v="0"/>
    <x v="10"/>
    <x v="2"/>
    <x v="0"/>
    <x v="21"/>
    <n v="0"/>
  </r>
  <r>
    <x v="0"/>
    <x v="0"/>
    <x v="0"/>
    <x v="10"/>
    <x v="2"/>
    <x v="0"/>
    <x v="22"/>
    <n v="0"/>
  </r>
  <r>
    <x v="0"/>
    <x v="0"/>
    <x v="0"/>
    <x v="10"/>
    <x v="2"/>
    <x v="0"/>
    <x v="23"/>
    <n v="0"/>
  </r>
  <r>
    <x v="0"/>
    <x v="0"/>
    <x v="0"/>
    <x v="10"/>
    <x v="6"/>
    <x v="0"/>
    <x v="0"/>
    <n v="-0.38718370003611202"/>
  </r>
  <r>
    <x v="0"/>
    <x v="0"/>
    <x v="0"/>
    <x v="10"/>
    <x v="6"/>
    <x v="0"/>
    <x v="1"/>
    <n v="-0.43652184323939702"/>
  </r>
  <r>
    <x v="0"/>
    <x v="0"/>
    <x v="0"/>
    <x v="10"/>
    <x v="6"/>
    <x v="0"/>
    <x v="2"/>
    <n v="-0.45818021612871201"/>
  </r>
  <r>
    <x v="0"/>
    <x v="0"/>
    <x v="0"/>
    <x v="10"/>
    <x v="6"/>
    <x v="0"/>
    <x v="3"/>
    <n v="-0.4860584242987"/>
  </r>
  <r>
    <x v="0"/>
    <x v="0"/>
    <x v="0"/>
    <x v="10"/>
    <x v="6"/>
    <x v="0"/>
    <x v="4"/>
    <n v="-0.51292350810458398"/>
  </r>
  <r>
    <x v="0"/>
    <x v="0"/>
    <x v="0"/>
    <x v="10"/>
    <x v="6"/>
    <x v="0"/>
    <x v="5"/>
    <n v="-0.33148736070215101"/>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7.2518006972799795E-2"/>
  </r>
  <r>
    <x v="0"/>
    <x v="0"/>
    <x v="0"/>
    <x v="10"/>
    <x v="6"/>
    <x v="0"/>
    <x v="14"/>
    <n v="-0.22771970339122399"/>
  </r>
  <r>
    <x v="0"/>
    <x v="0"/>
    <x v="0"/>
    <x v="10"/>
    <x v="6"/>
    <x v="0"/>
    <x v="15"/>
    <n v="-0.56096095278378699"/>
  </r>
  <r>
    <x v="0"/>
    <x v="0"/>
    <x v="0"/>
    <x v="10"/>
    <x v="6"/>
    <x v="0"/>
    <x v="16"/>
    <n v="-0.93234268116233698"/>
  </r>
  <r>
    <x v="0"/>
    <x v="0"/>
    <x v="0"/>
    <x v="10"/>
    <x v="6"/>
    <x v="0"/>
    <x v="17"/>
    <n v="-0.75268437531742405"/>
  </r>
  <r>
    <x v="0"/>
    <x v="0"/>
    <x v="0"/>
    <x v="10"/>
    <x v="6"/>
    <x v="0"/>
    <x v="18"/>
    <n v="-1.76364270053997"/>
  </r>
  <r>
    <x v="0"/>
    <x v="0"/>
    <x v="0"/>
    <x v="10"/>
    <x v="6"/>
    <x v="0"/>
    <x v="19"/>
    <n v="-2.8417790527156201"/>
  </r>
  <r>
    <x v="0"/>
    <x v="0"/>
    <x v="0"/>
    <x v="10"/>
    <x v="6"/>
    <x v="0"/>
    <x v="20"/>
    <n v="-2.8417790527156201"/>
  </r>
  <r>
    <x v="0"/>
    <x v="0"/>
    <x v="0"/>
    <x v="10"/>
    <x v="6"/>
    <x v="0"/>
    <x v="21"/>
    <n v="-2.8417790527156201"/>
  </r>
  <r>
    <x v="0"/>
    <x v="0"/>
    <x v="0"/>
    <x v="10"/>
    <x v="6"/>
    <x v="0"/>
    <x v="22"/>
    <n v="-2.8417790527156201"/>
  </r>
  <r>
    <x v="0"/>
    <x v="0"/>
    <x v="0"/>
    <x v="10"/>
    <x v="6"/>
    <x v="0"/>
    <x v="23"/>
    <n v="-2.8417790527156201"/>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63"/>
  </r>
  <r>
    <x v="0"/>
    <x v="0"/>
    <x v="0"/>
    <x v="10"/>
    <x v="7"/>
    <x v="0"/>
    <x v="9"/>
    <n v="-0.63"/>
  </r>
  <r>
    <x v="0"/>
    <x v="0"/>
    <x v="0"/>
    <x v="10"/>
    <x v="7"/>
    <x v="0"/>
    <x v="10"/>
    <n v="-0.63"/>
  </r>
  <r>
    <x v="0"/>
    <x v="0"/>
    <x v="0"/>
    <x v="10"/>
    <x v="7"/>
    <x v="0"/>
    <x v="11"/>
    <n v="-0.63"/>
  </r>
  <r>
    <x v="0"/>
    <x v="0"/>
    <x v="0"/>
    <x v="10"/>
    <x v="7"/>
    <x v="0"/>
    <x v="12"/>
    <n v="-0.63"/>
  </r>
  <r>
    <x v="0"/>
    <x v="0"/>
    <x v="0"/>
    <x v="10"/>
    <x v="7"/>
    <x v="0"/>
    <x v="13"/>
    <n v="-0.63"/>
  </r>
  <r>
    <x v="0"/>
    <x v="0"/>
    <x v="0"/>
    <x v="10"/>
    <x v="7"/>
    <x v="0"/>
    <x v="14"/>
    <n v="-0.63"/>
  </r>
  <r>
    <x v="0"/>
    <x v="0"/>
    <x v="0"/>
    <x v="10"/>
    <x v="7"/>
    <x v="0"/>
    <x v="15"/>
    <n v="-0.63"/>
  </r>
  <r>
    <x v="0"/>
    <x v="0"/>
    <x v="0"/>
    <x v="10"/>
    <x v="7"/>
    <x v="0"/>
    <x v="16"/>
    <n v="-0.63"/>
  </r>
  <r>
    <x v="0"/>
    <x v="0"/>
    <x v="0"/>
    <x v="10"/>
    <x v="7"/>
    <x v="0"/>
    <x v="17"/>
    <n v="-0.63"/>
  </r>
  <r>
    <x v="0"/>
    <x v="0"/>
    <x v="0"/>
    <x v="10"/>
    <x v="7"/>
    <x v="0"/>
    <x v="18"/>
    <n v="-0.63"/>
  </r>
  <r>
    <x v="0"/>
    <x v="0"/>
    <x v="0"/>
    <x v="10"/>
    <x v="7"/>
    <x v="0"/>
    <x v="19"/>
    <n v="-0.63"/>
  </r>
  <r>
    <x v="0"/>
    <x v="0"/>
    <x v="0"/>
    <x v="10"/>
    <x v="7"/>
    <x v="0"/>
    <x v="20"/>
    <n v="-0.63"/>
  </r>
  <r>
    <x v="0"/>
    <x v="0"/>
    <x v="0"/>
    <x v="10"/>
    <x v="7"/>
    <x v="0"/>
    <x v="21"/>
    <n v="-0.63"/>
  </r>
  <r>
    <x v="0"/>
    <x v="0"/>
    <x v="0"/>
    <x v="10"/>
    <x v="7"/>
    <x v="0"/>
    <x v="22"/>
    <n v="-0.63"/>
  </r>
  <r>
    <x v="0"/>
    <x v="0"/>
    <x v="0"/>
    <x v="10"/>
    <x v="7"/>
    <x v="0"/>
    <x v="23"/>
    <n v="-0.63"/>
  </r>
  <r>
    <x v="0"/>
    <x v="0"/>
    <x v="0"/>
    <x v="10"/>
    <x v="11"/>
    <x v="0"/>
    <x v="0"/>
    <n v="0"/>
  </r>
  <r>
    <x v="0"/>
    <x v="0"/>
    <x v="0"/>
    <x v="10"/>
    <x v="11"/>
    <x v="0"/>
    <x v="1"/>
    <n v="0"/>
  </r>
  <r>
    <x v="0"/>
    <x v="0"/>
    <x v="0"/>
    <x v="10"/>
    <x v="11"/>
    <x v="0"/>
    <x v="2"/>
    <n v="0"/>
  </r>
  <r>
    <x v="0"/>
    <x v="0"/>
    <x v="0"/>
    <x v="10"/>
    <x v="11"/>
    <x v="0"/>
    <x v="3"/>
    <n v="0"/>
  </r>
  <r>
    <x v="0"/>
    <x v="0"/>
    <x v="0"/>
    <x v="10"/>
    <x v="11"/>
    <x v="0"/>
    <x v="4"/>
    <n v="0"/>
  </r>
  <r>
    <x v="0"/>
    <x v="0"/>
    <x v="0"/>
    <x v="10"/>
    <x v="11"/>
    <x v="0"/>
    <x v="5"/>
    <n v="0"/>
  </r>
  <r>
    <x v="0"/>
    <x v="0"/>
    <x v="0"/>
    <x v="10"/>
    <x v="11"/>
    <x v="0"/>
    <x v="6"/>
    <n v="0"/>
  </r>
  <r>
    <x v="0"/>
    <x v="0"/>
    <x v="0"/>
    <x v="10"/>
    <x v="11"/>
    <x v="0"/>
    <x v="7"/>
    <n v="0"/>
  </r>
  <r>
    <x v="0"/>
    <x v="0"/>
    <x v="0"/>
    <x v="10"/>
    <x v="11"/>
    <x v="0"/>
    <x v="8"/>
    <n v="0"/>
  </r>
  <r>
    <x v="0"/>
    <x v="0"/>
    <x v="0"/>
    <x v="10"/>
    <x v="11"/>
    <x v="0"/>
    <x v="9"/>
    <n v="0"/>
  </r>
  <r>
    <x v="0"/>
    <x v="0"/>
    <x v="0"/>
    <x v="10"/>
    <x v="11"/>
    <x v="0"/>
    <x v="10"/>
    <n v="0"/>
  </r>
  <r>
    <x v="0"/>
    <x v="0"/>
    <x v="0"/>
    <x v="10"/>
    <x v="11"/>
    <x v="0"/>
    <x v="11"/>
    <n v="0"/>
  </r>
  <r>
    <x v="0"/>
    <x v="0"/>
    <x v="0"/>
    <x v="10"/>
    <x v="11"/>
    <x v="0"/>
    <x v="12"/>
    <n v="0"/>
  </r>
  <r>
    <x v="0"/>
    <x v="0"/>
    <x v="0"/>
    <x v="10"/>
    <x v="11"/>
    <x v="0"/>
    <x v="13"/>
    <n v="0"/>
  </r>
  <r>
    <x v="0"/>
    <x v="0"/>
    <x v="0"/>
    <x v="10"/>
    <x v="11"/>
    <x v="0"/>
    <x v="14"/>
    <n v="0"/>
  </r>
  <r>
    <x v="0"/>
    <x v="0"/>
    <x v="0"/>
    <x v="10"/>
    <x v="11"/>
    <x v="0"/>
    <x v="15"/>
    <n v="0"/>
  </r>
  <r>
    <x v="0"/>
    <x v="0"/>
    <x v="0"/>
    <x v="10"/>
    <x v="11"/>
    <x v="0"/>
    <x v="16"/>
    <n v="0"/>
  </r>
  <r>
    <x v="0"/>
    <x v="0"/>
    <x v="0"/>
    <x v="10"/>
    <x v="11"/>
    <x v="0"/>
    <x v="17"/>
    <n v="0"/>
  </r>
  <r>
    <x v="0"/>
    <x v="0"/>
    <x v="0"/>
    <x v="10"/>
    <x v="11"/>
    <x v="0"/>
    <x v="18"/>
    <n v="0"/>
  </r>
  <r>
    <x v="0"/>
    <x v="0"/>
    <x v="0"/>
    <x v="10"/>
    <x v="11"/>
    <x v="0"/>
    <x v="19"/>
    <n v="0"/>
  </r>
  <r>
    <x v="0"/>
    <x v="0"/>
    <x v="0"/>
    <x v="10"/>
    <x v="11"/>
    <x v="0"/>
    <x v="20"/>
    <n v="0"/>
  </r>
  <r>
    <x v="0"/>
    <x v="0"/>
    <x v="0"/>
    <x v="10"/>
    <x v="11"/>
    <x v="0"/>
    <x v="21"/>
    <n v="0"/>
  </r>
  <r>
    <x v="0"/>
    <x v="0"/>
    <x v="0"/>
    <x v="10"/>
    <x v="11"/>
    <x v="0"/>
    <x v="22"/>
    <n v="0"/>
  </r>
  <r>
    <x v="0"/>
    <x v="0"/>
    <x v="0"/>
    <x v="10"/>
    <x v="11"/>
    <x v="0"/>
    <x v="23"/>
    <n v="0"/>
  </r>
  <r>
    <x v="0"/>
    <x v="0"/>
    <x v="0"/>
    <x v="11"/>
    <x v="7"/>
    <x v="0"/>
    <x v="0"/>
    <n v="0"/>
  </r>
  <r>
    <x v="0"/>
    <x v="0"/>
    <x v="0"/>
    <x v="11"/>
    <x v="7"/>
    <x v="0"/>
    <x v="1"/>
    <n v="0"/>
  </r>
  <r>
    <x v="0"/>
    <x v="0"/>
    <x v="0"/>
    <x v="11"/>
    <x v="7"/>
    <x v="0"/>
    <x v="2"/>
    <n v="0"/>
  </r>
  <r>
    <x v="0"/>
    <x v="0"/>
    <x v="0"/>
    <x v="11"/>
    <x v="7"/>
    <x v="0"/>
    <x v="3"/>
    <n v="0"/>
  </r>
  <r>
    <x v="0"/>
    <x v="0"/>
    <x v="0"/>
    <x v="11"/>
    <x v="7"/>
    <x v="0"/>
    <x v="4"/>
    <n v="0"/>
  </r>
  <r>
    <x v="0"/>
    <x v="0"/>
    <x v="0"/>
    <x v="11"/>
    <x v="7"/>
    <x v="0"/>
    <x v="5"/>
    <n v="0"/>
  </r>
  <r>
    <x v="0"/>
    <x v="0"/>
    <x v="0"/>
    <x v="11"/>
    <x v="7"/>
    <x v="0"/>
    <x v="6"/>
    <n v="0"/>
  </r>
  <r>
    <x v="0"/>
    <x v="0"/>
    <x v="0"/>
    <x v="11"/>
    <x v="7"/>
    <x v="0"/>
    <x v="7"/>
    <n v="0"/>
  </r>
  <r>
    <x v="0"/>
    <x v="0"/>
    <x v="0"/>
    <x v="11"/>
    <x v="7"/>
    <x v="0"/>
    <x v="8"/>
    <n v="0"/>
  </r>
  <r>
    <x v="0"/>
    <x v="0"/>
    <x v="0"/>
    <x v="11"/>
    <x v="7"/>
    <x v="0"/>
    <x v="9"/>
    <n v="0"/>
  </r>
  <r>
    <x v="0"/>
    <x v="0"/>
    <x v="0"/>
    <x v="11"/>
    <x v="7"/>
    <x v="0"/>
    <x v="10"/>
    <n v="0"/>
  </r>
  <r>
    <x v="0"/>
    <x v="0"/>
    <x v="0"/>
    <x v="11"/>
    <x v="7"/>
    <x v="0"/>
    <x v="11"/>
    <n v="0"/>
  </r>
  <r>
    <x v="0"/>
    <x v="0"/>
    <x v="0"/>
    <x v="11"/>
    <x v="7"/>
    <x v="0"/>
    <x v="12"/>
    <n v="0"/>
  </r>
  <r>
    <x v="0"/>
    <x v="0"/>
    <x v="0"/>
    <x v="11"/>
    <x v="7"/>
    <x v="0"/>
    <x v="13"/>
    <n v="0"/>
  </r>
  <r>
    <x v="0"/>
    <x v="0"/>
    <x v="0"/>
    <x v="11"/>
    <x v="7"/>
    <x v="0"/>
    <x v="14"/>
    <n v="0"/>
  </r>
  <r>
    <x v="0"/>
    <x v="0"/>
    <x v="0"/>
    <x v="11"/>
    <x v="7"/>
    <x v="0"/>
    <x v="15"/>
    <n v="0"/>
  </r>
  <r>
    <x v="0"/>
    <x v="0"/>
    <x v="0"/>
    <x v="11"/>
    <x v="7"/>
    <x v="0"/>
    <x v="16"/>
    <n v="0"/>
  </r>
  <r>
    <x v="0"/>
    <x v="0"/>
    <x v="0"/>
    <x v="11"/>
    <x v="7"/>
    <x v="0"/>
    <x v="17"/>
    <n v="0"/>
  </r>
  <r>
    <x v="0"/>
    <x v="0"/>
    <x v="0"/>
    <x v="11"/>
    <x v="7"/>
    <x v="0"/>
    <x v="18"/>
    <n v="0"/>
  </r>
  <r>
    <x v="0"/>
    <x v="0"/>
    <x v="0"/>
    <x v="11"/>
    <x v="7"/>
    <x v="0"/>
    <x v="19"/>
    <n v="0"/>
  </r>
  <r>
    <x v="0"/>
    <x v="0"/>
    <x v="0"/>
    <x v="11"/>
    <x v="7"/>
    <x v="0"/>
    <x v="20"/>
    <n v="0"/>
  </r>
  <r>
    <x v="0"/>
    <x v="0"/>
    <x v="0"/>
    <x v="11"/>
    <x v="7"/>
    <x v="0"/>
    <x v="21"/>
    <n v="0"/>
  </r>
  <r>
    <x v="0"/>
    <x v="0"/>
    <x v="0"/>
    <x v="11"/>
    <x v="7"/>
    <x v="0"/>
    <x v="22"/>
    <n v="0"/>
  </r>
  <r>
    <x v="0"/>
    <x v="0"/>
    <x v="0"/>
    <x v="11"/>
    <x v="7"/>
    <x v="0"/>
    <x v="23"/>
    <n v="0"/>
  </r>
  <r>
    <x v="0"/>
    <x v="0"/>
    <x v="0"/>
    <x v="11"/>
    <x v="18"/>
    <x v="0"/>
    <x v="0"/>
    <n v="0"/>
  </r>
  <r>
    <x v="0"/>
    <x v="0"/>
    <x v="0"/>
    <x v="11"/>
    <x v="18"/>
    <x v="0"/>
    <x v="1"/>
    <n v="0"/>
  </r>
  <r>
    <x v="0"/>
    <x v="0"/>
    <x v="0"/>
    <x v="11"/>
    <x v="18"/>
    <x v="0"/>
    <x v="2"/>
    <n v="0"/>
  </r>
  <r>
    <x v="0"/>
    <x v="0"/>
    <x v="0"/>
    <x v="11"/>
    <x v="18"/>
    <x v="0"/>
    <x v="3"/>
    <n v="0"/>
  </r>
  <r>
    <x v="0"/>
    <x v="0"/>
    <x v="0"/>
    <x v="11"/>
    <x v="18"/>
    <x v="0"/>
    <x v="4"/>
    <n v="-0.124864373267706"/>
  </r>
  <r>
    <x v="0"/>
    <x v="0"/>
    <x v="0"/>
    <x v="11"/>
    <x v="18"/>
    <x v="0"/>
    <x v="5"/>
    <n v="-0.111306045581494"/>
  </r>
  <r>
    <x v="0"/>
    <x v="0"/>
    <x v="0"/>
    <x v="11"/>
    <x v="18"/>
    <x v="0"/>
    <x v="6"/>
    <n v="-0.41116361184044298"/>
  </r>
  <r>
    <x v="0"/>
    <x v="0"/>
    <x v="0"/>
    <x v="11"/>
    <x v="18"/>
    <x v="0"/>
    <x v="7"/>
    <n v="-0.23872179229055901"/>
  </r>
  <r>
    <x v="0"/>
    <x v="0"/>
    <x v="0"/>
    <x v="11"/>
    <x v="18"/>
    <x v="0"/>
    <x v="8"/>
    <n v="-0.62844447601905595"/>
  </r>
  <r>
    <x v="0"/>
    <x v="0"/>
    <x v="0"/>
    <x v="11"/>
    <x v="18"/>
    <x v="0"/>
    <x v="9"/>
    <n v="-0.20336319135348699"/>
  </r>
  <r>
    <x v="0"/>
    <x v="0"/>
    <x v="0"/>
    <x v="11"/>
    <x v="18"/>
    <x v="0"/>
    <x v="10"/>
    <n v="-0.641196378542078"/>
  </r>
  <r>
    <x v="0"/>
    <x v="0"/>
    <x v="0"/>
    <x v="11"/>
    <x v="18"/>
    <x v="0"/>
    <x v="11"/>
    <n v="-0.66969411459542005"/>
  </r>
  <r>
    <x v="0"/>
    <x v="0"/>
    <x v="0"/>
    <x v="11"/>
    <x v="18"/>
    <x v="0"/>
    <x v="12"/>
    <n v="-0.610738004761054"/>
  </r>
  <r>
    <x v="0"/>
    <x v="0"/>
    <x v="0"/>
    <x v="11"/>
    <x v="18"/>
    <x v="0"/>
    <x v="13"/>
    <n v="-0.40264639402211599"/>
  </r>
  <r>
    <x v="0"/>
    <x v="0"/>
    <x v="0"/>
    <x v="11"/>
    <x v="18"/>
    <x v="0"/>
    <x v="14"/>
    <n v="-0.42887003568918503"/>
  </r>
  <r>
    <x v="0"/>
    <x v="0"/>
    <x v="0"/>
    <x v="11"/>
    <x v="18"/>
    <x v="0"/>
    <x v="15"/>
    <n v="0"/>
  </r>
  <r>
    <x v="0"/>
    <x v="0"/>
    <x v="0"/>
    <x v="11"/>
    <x v="18"/>
    <x v="0"/>
    <x v="16"/>
    <n v="0"/>
  </r>
  <r>
    <x v="0"/>
    <x v="0"/>
    <x v="0"/>
    <x v="11"/>
    <x v="18"/>
    <x v="0"/>
    <x v="17"/>
    <n v="-0.45465149275542799"/>
  </r>
  <r>
    <x v="0"/>
    <x v="0"/>
    <x v="0"/>
    <x v="11"/>
    <x v="18"/>
    <x v="0"/>
    <x v="18"/>
    <n v="0"/>
  </r>
  <r>
    <x v="0"/>
    <x v="0"/>
    <x v="0"/>
    <x v="11"/>
    <x v="18"/>
    <x v="0"/>
    <x v="19"/>
    <n v="-0.160779421693794"/>
  </r>
  <r>
    <x v="0"/>
    <x v="0"/>
    <x v="0"/>
    <x v="11"/>
    <x v="18"/>
    <x v="0"/>
    <x v="20"/>
    <n v="-0.20569196264070999"/>
  </r>
  <r>
    <x v="0"/>
    <x v="0"/>
    <x v="0"/>
    <x v="11"/>
    <x v="18"/>
    <x v="0"/>
    <x v="21"/>
    <n v="0"/>
  </r>
  <r>
    <x v="0"/>
    <x v="0"/>
    <x v="0"/>
    <x v="11"/>
    <x v="18"/>
    <x v="0"/>
    <x v="22"/>
    <n v="0"/>
  </r>
  <r>
    <x v="0"/>
    <x v="0"/>
    <x v="0"/>
    <x v="11"/>
    <x v="18"/>
    <x v="0"/>
    <x v="23"/>
    <n v="0"/>
  </r>
  <r>
    <x v="0"/>
    <x v="0"/>
    <x v="0"/>
    <x v="11"/>
    <x v="19"/>
    <x v="0"/>
    <x v="0"/>
    <n v="-2.1472419164388499"/>
  </r>
  <r>
    <x v="0"/>
    <x v="0"/>
    <x v="0"/>
    <x v="11"/>
    <x v="19"/>
    <x v="0"/>
    <x v="1"/>
    <n v="-2.1472419164388499"/>
  </r>
  <r>
    <x v="0"/>
    <x v="0"/>
    <x v="0"/>
    <x v="11"/>
    <x v="19"/>
    <x v="0"/>
    <x v="2"/>
    <n v="-2.1472419164388499"/>
  </r>
  <r>
    <x v="0"/>
    <x v="0"/>
    <x v="0"/>
    <x v="11"/>
    <x v="19"/>
    <x v="0"/>
    <x v="3"/>
    <n v="-2.1472419164388499"/>
  </r>
  <r>
    <x v="0"/>
    <x v="0"/>
    <x v="0"/>
    <x v="11"/>
    <x v="19"/>
    <x v="0"/>
    <x v="4"/>
    <n v="-2.1472419164388499"/>
  </r>
  <r>
    <x v="0"/>
    <x v="0"/>
    <x v="0"/>
    <x v="11"/>
    <x v="19"/>
    <x v="0"/>
    <x v="5"/>
    <n v="-2.1472419164388499"/>
  </r>
  <r>
    <x v="0"/>
    <x v="0"/>
    <x v="0"/>
    <x v="11"/>
    <x v="19"/>
    <x v="0"/>
    <x v="6"/>
    <n v="-2.1472419164388499"/>
  </r>
  <r>
    <x v="0"/>
    <x v="0"/>
    <x v="0"/>
    <x v="11"/>
    <x v="19"/>
    <x v="0"/>
    <x v="7"/>
    <n v="-2.1472419164388499"/>
  </r>
  <r>
    <x v="0"/>
    <x v="0"/>
    <x v="0"/>
    <x v="11"/>
    <x v="19"/>
    <x v="0"/>
    <x v="8"/>
    <n v="-2.1472419164388499"/>
  </r>
  <r>
    <x v="0"/>
    <x v="0"/>
    <x v="0"/>
    <x v="11"/>
    <x v="19"/>
    <x v="0"/>
    <x v="9"/>
    <n v="-2.1472419164388499"/>
  </r>
  <r>
    <x v="0"/>
    <x v="0"/>
    <x v="0"/>
    <x v="11"/>
    <x v="19"/>
    <x v="0"/>
    <x v="10"/>
    <n v="-2.1472419164388499"/>
  </r>
  <r>
    <x v="0"/>
    <x v="0"/>
    <x v="0"/>
    <x v="11"/>
    <x v="19"/>
    <x v="0"/>
    <x v="11"/>
    <n v="-2.1472419164388499"/>
  </r>
  <r>
    <x v="0"/>
    <x v="0"/>
    <x v="0"/>
    <x v="11"/>
    <x v="19"/>
    <x v="0"/>
    <x v="12"/>
    <n v="-2.1472419164388499"/>
  </r>
  <r>
    <x v="0"/>
    <x v="0"/>
    <x v="0"/>
    <x v="11"/>
    <x v="19"/>
    <x v="0"/>
    <x v="13"/>
    <n v="-2.1472419164388499"/>
  </r>
  <r>
    <x v="0"/>
    <x v="0"/>
    <x v="0"/>
    <x v="11"/>
    <x v="19"/>
    <x v="0"/>
    <x v="14"/>
    <n v="-2.1472419164388499"/>
  </r>
  <r>
    <x v="0"/>
    <x v="0"/>
    <x v="0"/>
    <x v="11"/>
    <x v="19"/>
    <x v="0"/>
    <x v="15"/>
    <n v="-2.1472419164388499"/>
  </r>
  <r>
    <x v="0"/>
    <x v="0"/>
    <x v="0"/>
    <x v="11"/>
    <x v="19"/>
    <x v="0"/>
    <x v="16"/>
    <n v="-2.1472419164388499"/>
  </r>
  <r>
    <x v="0"/>
    <x v="0"/>
    <x v="0"/>
    <x v="11"/>
    <x v="19"/>
    <x v="0"/>
    <x v="17"/>
    <n v="-2.1472419164388499"/>
  </r>
  <r>
    <x v="0"/>
    <x v="0"/>
    <x v="0"/>
    <x v="11"/>
    <x v="19"/>
    <x v="0"/>
    <x v="18"/>
    <n v="-2.1472419164388499"/>
  </r>
  <r>
    <x v="0"/>
    <x v="0"/>
    <x v="0"/>
    <x v="11"/>
    <x v="19"/>
    <x v="0"/>
    <x v="19"/>
    <n v="-2.1472419164388499"/>
  </r>
  <r>
    <x v="0"/>
    <x v="0"/>
    <x v="0"/>
    <x v="11"/>
    <x v="19"/>
    <x v="0"/>
    <x v="20"/>
    <n v="-2.1472419164388499"/>
  </r>
  <r>
    <x v="0"/>
    <x v="0"/>
    <x v="0"/>
    <x v="11"/>
    <x v="19"/>
    <x v="0"/>
    <x v="21"/>
    <n v="-2.1472419164388499"/>
  </r>
  <r>
    <x v="0"/>
    <x v="0"/>
    <x v="0"/>
    <x v="11"/>
    <x v="19"/>
    <x v="0"/>
    <x v="22"/>
    <n v="-2.1472419164388499"/>
  </r>
  <r>
    <x v="0"/>
    <x v="0"/>
    <x v="0"/>
    <x v="11"/>
    <x v="19"/>
    <x v="0"/>
    <x v="23"/>
    <n v="-2.1472419164388499"/>
  </r>
  <r>
    <x v="0"/>
    <x v="0"/>
    <x v="0"/>
    <x v="11"/>
    <x v="10"/>
    <x v="0"/>
    <x v="0"/>
    <n v="-0.132691861799316"/>
  </r>
  <r>
    <x v="0"/>
    <x v="0"/>
    <x v="0"/>
    <x v="11"/>
    <x v="10"/>
    <x v="0"/>
    <x v="1"/>
    <n v="-7.3333407101267303E-2"/>
  </r>
  <r>
    <x v="0"/>
    <x v="0"/>
    <x v="0"/>
    <x v="11"/>
    <x v="10"/>
    <x v="0"/>
    <x v="2"/>
    <n v="-0.22730220666062201"/>
  </r>
  <r>
    <x v="0"/>
    <x v="0"/>
    <x v="0"/>
    <x v="11"/>
    <x v="10"/>
    <x v="0"/>
    <x v="3"/>
    <n v="-0.206921334390676"/>
  </r>
  <r>
    <x v="0"/>
    <x v="0"/>
    <x v="0"/>
    <x v="11"/>
    <x v="10"/>
    <x v="0"/>
    <x v="4"/>
    <n v="0"/>
  </r>
  <r>
    <x v="0"/>
    <x v="0"/>
    <x v="0"/>
    <x v="11"/>
    <x v="10"/>
    <x v="0"/>
    <x v="5"/>
    <n v="-0.11747275327627001"/>
  </r>
  <r>
    <x v="0"/>
    <x v="0"/>
    <x v="0"/>
    <x v="11"/>
    <x v="10"/>
    <x v="0"/>
    <x v="6"/>
    <n v="0"/>
  </r>
  <r>
    <x v="0"/>
    <x v="0"/>
    <x v="0"/>
    <x v="11"/>
    <x v="10"/>
    <x v="0"/>
    <x v="7"/>
    <n v="-0.32697833450717601"/>
  </r>
  <r>
    <x v="0"/>
    <x v="0"/>
    <x v="0"/>
    <x v="11"/>
    <x v="10"/>
    <x v="0"/>
    <x v="8"/>
    <n v="0"/>
  </r>
  <r>
    <x v="0"/>
    <x v="0"/>
    <x v="0"/>
    <x v="11"/>
    <x v="10"/>
    <x v="0"/>
    <x v="9"/>
    <n v="-0.40538812236810601"/>
  </r>
  <r>
    <x v="0"/>
    <x v="0"/>
    <x v="0"/>
    <x v="11"/>
    <x v="10"/>
    <x v="0"/>
    <x v="10"/>
    <n v="0"/>
  </r>
  <r>
    <x v="0"/>
    <x v="0"/>
    <x v="0"/>
    <x v="11"/>
    <x v="10"/>
    <x v="0"/>
    <x v="11"/>
    <n v="-8.7155382286820404E-2"/>
  </r>
  <r>
    <x v="0"/>
    <x v="0"/>
    <x v="0"/>
    <x v="11"/>
    <x v="10"/>
    <x v="0"/>
    <x v="12"/>
    <n v="-0.24823076457523499"/>
  </r>
  <r>
    <x v="0"/>
    <x v="0"/>
    <x v="0"/>
    <x v="11"/>
    <x v="10"/>
    <x v="0"/>
    <x v="13"/>
    <n v="-0.490560053223354"/>
  </r>
  <r>
    <x v="0"/>
    <x v="0"/>
    <x v="0"/>
    <x v="11"/>
    <x v="10"/>
    <x v="0"/>
    <x v="14"/>
    <n v="-0.42324209676532898"/>
  </r>
  <r>
    <x v="0"/>
    <x v="0"/>
    <x v="0"/>
    <x v="11"/>
    <x v="10"/>
    <x v="0"/>
    <x v="15"/>
    <n v="-0.86972398165063902"/>
  </r>
  <r>
    <x v="0"/>
    <x v="0"/>
    <x v="0"/>
    <x v="11"/>
    <x v="10"/>
    <x v="0"/>
    <x v="16"/>
    <n v="-0.957783227631259"/>
  </r>
  <r>
    <x v="0"/>
    <x v="0"/>
    <x v="0"/>
    <x v="11"/>
    <x v="10"/>
    <x v="0"/>
    <x v="17"/>
    <n v="-0.437902663779075"/>
  </r>
  <r>
    <x v="0"/>
    <x v="0"/>
    <x v="0"/>
    <x v="11"/>
    <x v="10"/>
    <x v="0"/>
    <x v="18"/>
    <n v="-0.82145446903903896"/>
  </r>
  <r>
    <x v="0"/>
    <x v="0"/>
    <x v="0"/>
    <x v="11"/>
    <x v="10"/>
    <x v="0"/>
    <x v="19"/>
    <n v="-0.52630316088592699"/>
  </r>
  <r>
    <x v="0"/>
    <x v="0"/>
    <x v="0"/>
    <x v="11"/>
    <x v="10"/>
    <x v="0"/>
    <x v="20"/>
    <n v="-0.55904140631516097"/>
  </r>
  <r>
    <x v="0"/>
    <x v="0"/>
    <x v="0"/>
    <x v="11"/>
    <x v="10"/>
    <x v="0"/>
    <x v="21"/>
    <n v="-0.77925856706988395"/>
  </r>
  <r>
    <x v="0"/>
    <x v="0"/>
    <x v="0"/>
    <x v="11"/>
    <x v="10"/>
    <x v="0"/>
    <x v="22"/>
    <n v="-0.72588487558674597"/>
  </r>
  <r>
    <x v="0"/>
    <x v="0"/>
    <x v="0"/>
    <x v="11"/>
    <x v="10"/>
    <x v="0"/>
    <x v="23"/>
    <n v="-0.72176675734504303"/>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0"/>
  </r>
  <r>
    <x v="0"/>
    <x v="0"/>
    <x v="0"/>
    <x v="12"/>
    <x v="6"/>
    <x v="0"/>
    <x v="4"/>
    <n v="0"/>
  </r>
  <r>
    <x v="0"/>
    <x v="0"/>
    <x v="0"/>
    <x v="12"/>
    <x v="6"/>
    <x v="0"/>
    <x v="5"/>
    <n v="0"/>
  </r>
  <r>
    <x v="0"/>
    <x v="0"/>
    <x v="0"/>
    <x v="12"/>
    <x v="6"/>
    <x v="0"/>
    <x v="6"/>
    <n v="0"/>
  </r>
  <r>
    <x v="0"/>
    <x v="0"/>
    <x v="0"/>
    <x v="12"/>
    <x v="6"/>
    <x v="0"/>
    <x v="7"/>
    <n v="0"/>
  </r>
  <r>
    <x v="0"/>
    <x v="0"/>
    <x v="0"/>
    <x v="12"/>
    <x v="6"/>
    <x v="0"/>
    <x v="8"/>
    <n v="0"/>
  </r>
  <r>
    <x v="0"/>
    <x v="0"/>
    <x v="0"/>
    <x v="12"/>
    <x v="6"/>
    <x v="0"/>
    <x v="9"/>
    <n v="0"/>
  </r>
  <r>
    <x v="0"/>
    <x v="0"/>
    <x v="0"/>
    <x v="12"/>
    <x v="6"/>
    <x v="0"/>
    <x v="10"/>
    <n v="0"/>
  </r>
  <r>
    <x v="0"/>
    <x v="0"/>
    <x v="0"/>
    <x v="12"/>
    <x v="6"/>
    <x v="0"/>
    <x v="11"/>
    <n v="0"/>
  </r>
  <r>
    <x v="0"/>
    <x v="0"/>
    <x v="0"/>
    <x v="12"/>
    <x v="6"/>
    <x v="0"/>
    <x v="12"/>
    <n v="0"/>
  </r>
  <r>
    <x v="0"/>
    <x v="0"/>
    <x v="0"/>
    <x v="12"/>
    <x v="6"/>
    <x v="0"/>
    <x v="13"/>
    <n v="0"/>
  </r>
  <r>
    <x v="0"/>
    <x v="0"/>
    <x v="0"/>
    <x v="12"/>
    <x v="6"/>
    <x v="0"/>
    <x v="14"/>
    <n v="0"/>
  </r>
  <r>
    <x v="0"/>
    <x v="0"/>
    <x v="0"/>
    <x v="12"/>
    <x v="6"/>
    <x v="0"/>
    <x v="15"/>
    <n v="0"/>
  </r>
  <r>
    <x v="0"/>
    <x v="0"/>
    <x v="0"/>
    <x v="12"/>
    <x v="6"/>
    <x v="0"/>
    <x v="16"/>
    <n v="0"/>
  </r>
  <r>
    <x v="0"/>
    <x v="0"/>
    <x v="0"/>
    <x v="12"/>
    <x v="6"/>
    <x v="0"/>
    <x v="17"/>
    <n v="0"/>
  </r>
  <r>
    <x v="0"/>
    <x v="0"/>
    <x v="0"/>
    <x v="12"/>
    <x v="6"/>
    <x v="0"/>
    <x v="18"/>
    <n v="0"/>
  </r>
  <r>
    <x v="0"/>
    <x v="0"/>
    <x v="0"/>
    <x v="12"/>
    <x v="6"/>
    <x v="0"/>
    <x v="19"/>
    <n v="0"/>
  </r>
  <r>
    <x v="0"/>
    <x v="0"/>
    <x v="0"/>
    <x v="12"/>
    <x v="6"/>
    <x v="0"/>
    <x v="20"/>
    <n v="0"/>
  </r>
  <r>
    <x v="0"/>
    <x v="0"/>
    <x v="0"/>
    <x v="12"/>
    <x v="6"/>
    <x v="0"/>
    <x v="21"/>
    <n v="0"/>
  </r>
  <r>
    <x v="0"/>
    <x v="0"/>
    <x v="0"/>
    <x v="12"/>
    <x v="6"/>
    <x v="0"/>
    <x v="22"/>
    <n v="0"/>
  </r>
  <r>
    <x v="0"/>
    <x v="0"/>
    <x v="0"/>
    <x v="12"/>
    <x v="6"/>
    <x v="0"/>
    <x v="23"/>
    <n v="0"/>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63"/>
  </r>
  <r>
    <x v="0"/>
    <x v="0"/>
    <x v="0"/>
    <x v="12"/>
    <x v="9"/>
    <x v="0"/>
    <x v="9"/>
    <n v="0.63"/>
  </r>
  <r>
    <x v="0"/>
    <x v="0"/>
    <x v="0"/>
    <x v="12"/>
    <x v="9"/>
    <x v="0"/>
    <x v="10"/>
    <n v="0.63"/>
  </r>
  <r>
    <x v="0"/>
    <x v="0"/>
    <x v="0"/>
    <x v="12"/>
    <x v="9"/>
    <x v="0"/>
    <x v="11"/>
    <n v="0.63"/>
  </r>
  <r>
    <x v="0"/>
    <x v="0"/>
    <x v="0"/>
    <x v="12"/>
    <x v="9"/>
    <x v="0"/>
    <x v="12"/>
    <n v="0.63"/>
  </r>
  <r>
    <x v="0"/>
    <x v="0"/>
    <x v="0"/>
    <x v="12"/>
    <x v="9"/>
    <x v="0"/>
    <x v="13"/>
    <n v="0.63"/>
  </r>
  <r>
    <x v="0"/>
    <x v="0"/>
    <x v="0"/>
    <x v="12"/>
    <x v="9"/>
    <x v="0"/>
    <x v="14"/>
    <n v="0.63"/>
  </r>
  <r>
    <x v="0"/>
    <x v="0"/>
    <x v="0"/>
    <x v="12"/>
    <x v="9"/>
    <x v="0"/>
    <x v="15"/>
    <n v="0.63"/>
  </r>
  <r>
    <x v="0"/>
    <x v="0"/>
    <x v="0"/>
    <x v="12"/>
    <x v="9"/>
    <x v="0"/>
    <x v="16"/>
    <n v="0.63"/>
  </r>
  <r>
    <x v="0"/>
    <x v="0"/>
    <x v="0"/>
    <x v="12"/>
    <x v="9"/>
    <x v="0"/>
    <x v="17"/>
    <n v="0.63"/>
  </r>
  <r>
    <x v="0"/>
    <x v="0"/>
    <x v="0"/>
    <x v="12"/>
    <x v="9"/>
    <x v="0"/>
    <x v="18"/>
    <n v="0.63"/>
  </r>
  <r>
    <x v="0"/>
    <x v="0"/>
    <x v="0"/>
    <x v="12"/>
    <x v="9"/>
    <x v="0"/>
    <x v="19"/>
    <n v="0.63"/>
  </r>
  <r>
    <x v="0"/>
    <x v="0"/>
    <x v="0"/>
    <x v="12"/>
    <x v="9"/>
    <x v="0"/>
    <x v="20"/>
    <n v="0.63"/>
  </r>
  <r>
    <x v="0"/>
    <x v="0"/>
    <x v="0"/>
    <x v="12"/>
    <x v="9"/>
    <x v="0"/>
    <x v="21"/>
    <n v="0.63"/>
  </r>
  <r>
    <x v="0"/>
    <x v="0"/>
    <x v="0"/>
    <x v="12"/>
    <x v="9"/>
    <x v="0"/>
    <x v="22"/>
    <n v="0.63"/>
  </r>
  <r>
    <x v="0"/>
    <x v="0"/>
    <x v="0"/>
    <x v="12"/>
    <x v="9"/>
    <x v="0"/>
    <x v="23"/>
    <n v="0.63"/>
  </r>
  <r>
    <x v="0"/>
    <x v="0"/>
    <x v="0"/>
    <x v="12"/>
    <x v="20"/>
    <x v="0"/>
    <x v="0"/>
    <n v="0"/>
  </r>
  <r>
    <x v="0"/>
    <x v="0"/>
    <x v="0"/>
    <x v="12"/>
    <x v="20"/>
    <x v="0"/>
    <x v="1"/>
    <n v="0"/>
  </r>
  <r>
    <x v="0"/>
    <x v="0"/>
    <x v="0"/>
    <x v="12"/>
    <x v="20"/>
    <x v="0"/>
    <x v="2"/>
    <n v="0"/>
  </r>
  <r>
    <x v="0"/>
    <x v="0"/>
    <x v="0"/>
    <x v="12"/>
    <x v="20"/>
    <x v="0"/>
    <x v="3"/>
    <n v="0"/>
  </r>
  <r>
    <x v="0"/>
    <x v="0"/>
    <x v="0"/>
    <x v="12"/>
    <x v="20"/>
    <x v="0"/>
    <x v="4"/>
    <n v="0"/>
  </r>
  <r>
    <x v="0"/>
    <x v="0"/>
    <x v="0"/>
    <x v="12"/>
    <x v="20"/>
    <x v="0"/>
    <x v="5"/>
    <n v="0"/>
  </r>
  <r>
    <x v="0"/>
    <x v="0"/>
    <x v="0"/>
    <x v="12"/>
    <x v="20"/>
    <x v="0"/>
    <x v="6"/>
    <n v="0"/>
  </r>
  <r>
    <x v="0"/>
    <x v="0"/>
    <x v="0"/>
    <x v="12"/>
    <x v="20"/>
    <x v="0"/>
    <x v="7"/>
    <n v="0"/>
  </r>
  <r>
    <x v="0"/>
    <x v="0"/>
    <x v="0"/>
    <x v="12"/>
    <x v="20"/>
    <x v="0"/>
    <x v="8"/>
    <n v="0"/>
  </r>
  <r>
    <x v="0"/>
    <x v="0"/>
    <x v="0"/>
    <x v="12"/>
    <x v="20"/>
    <x v="0"/>
    <x v="9"/>
    <n v="0"/>
  </r>
  <r>
    <x v="0"/>
    <x v="0"/>
    <x v="0"/>
    <x v="12"/>
    <x v="20"/>
    <x v="0"/>
    <x v="10"/>
    <n v="0"/>
  </r>
  <r>
    <x v="0"/>
    <x v="0"/>
    <x v="0"/>
    <x v="12"/>
    <x v="20"/>
    <x v="0"/>
    <x v="11"/>
    <n v="0"/>
  </r>
  <r>
    <x v="0"/>
    <x v="0"/>
    <x v="0"/>
    <x v="12"/>
    <x v="20"/>
    <x v="0"/>
    <x v="12"/>
    <n v="0"/>
  </r>
  <r>
    <x v="0"/>
    <x v="0"/>
    <x v="0"/>
    <x v="12"/>
    <x v="20"/>
    <x v="0"/>
    <x v="13"/>
    <n v="0"/>
  </r>
  <r>
    <x v="0"/>
    <x v="0"/>
    <x v="0"/>
    <x v="12"/>
    <x v="20"/>
    <x v="0"/>
    <x v="14"/>
    <n v="0"/>
  </r>
  <r>
    <x v="0"/>
    <x v="0"/>
    <x v="0"/>
    <x v="12"/>
    <x v="20"/>
    <x v="0"/>
    <x v="15"/>
    <n v="0"/>
  </r>
  <r>
    <x v="0"/>
    <x v="0"/>
    <x v="0"/>
    <x v="12"/>
    <x v="20"/>
    <x v="0"/>
    <x v="16"/>
    <n v="0"/>
  </r>
  <r>
    <x v="0"/>
    <x v="0"/>
    <x v="0"/>
    <x v="12"/>
    <x v="20"/>
    <x v="0"/>
    <x v="17"/>
    <n v="0"/>
  </r>
  <r>
    <x v="0"/>
    <x v="0"/>
    <x v="0"/>
    <x v="12"/>
    <x v="20"/>
    <x v="0"/>
    <x v="18"/>
    <n v="0"/>
  </r>
  <r>
    <x v="0"/>
    <x v="0"/>
    <x v="0"/>
    <x v="12"/>
    <x v="20"/>
    <x v="0"/>
    <x v="19"/>
    <n v="0"/>
  </r>
  <r>
    <x v="0"/>
    <x v="0"/>
    <x v="0"/>
    <x v="12"/>
    <x v="20"/>
    <x v="0"/>
    <x v="20"/>
    <n v="0"/>
  </r>
  <r>
    <x v="0"/>
    <x v="0"/>
    <x v="0"/>
    <x v="12"/>
    <x v="20"/>
    <x v="0"/>
    <x v="21"/>
    <n v="0"/>
  </r>
  <r>
    <x v="0"/>
    <x v="0"/>
    <x v="0"/>
    <x v="12"/>
    <x v="20"/>
    <x v="0"/>
    <x v="22"/>
    <n v="0"/>
  </r>
  <r>
    <x v="0"/>
    <x v="0"/>
    <x v="0"/>
    <x v="12"/>
    <x v="20"/>
    <x v="0"/>
    <x v="23"/>
    <n v="0"/>
  </r>
  <r>
    <x v="0"/>
    <x v="0"/>
    <x v="0"/>
    <x v="12"/>
    <x v="19"/>
    <x v="0"/>
    <x v="0"/>
    <n v="0"/>
  </r>
  <r>
    <x v="0"/>
    <x v="0"/>
    <x v="0"/>
    <x v="12"/>
    <x v="19"/>
    <x v="0"/>
    <x v="1"/>
    <n v="0"/>
  </r>
  <r>
    <x v="0"/>
    <x v="0"/>
    <x v="0"/>
    <x v="12"/>
    <x v="19"/>
    <x v="0"/>
    <x v="2"/>
    <n v="0"/>
  </r>
  <r>
    <x v="0"/>
    <x v="0"/>
    <x v="0"/>
    <x v="12"/>
    <x v="19"/>
    <x v="0"/>
    <x v="3"/>
    <n v="0"/>
  </r>
  <r>
    <x v="0"/>
    <x v="0"/>
    <x v="0"/>
    <x v="12"/>
    <x v="19"/>
    <x v="0"/>
    <x v="4"/>
    <n v="0"/>
  </r>
  <r>
    <x v="0"/>
    <x v="0"/>
    <x v="0"/>
    <x v="12"/>
    <x v="19"/>
    <x v="0"/>
    <x v="5"/>
    <n v="0"/>
  </r>
  <r>
    <x v="0"/>
    <x v="0"/>
    <x v="0"/>
    <x v="12"/>
    <x v="19"/>
    <x v="0"/>
    <x v="6"/>
    <n v="0"/>
  </r>
  <r>
    <x v="0"/>
    <x v="0"/>
    <x v="0"/>
    <x v="12"/>
    <x v="19"/>
    <x v="0"/>
    <x v="7"/>
    <n v="0"/>
  </r>
  <r>
    <x v="0"/>
    <x v="0"/>
    <x v="0"/>
    <x v="12"/>
    <x v="19"/>
    <x v="0"/>
    <x v="8"/>
    <n v="0"/>
  </r>
  <r>
    <x v="0"/>
    <x v="0"/>
    <x v="0"/>
    <x v="12"/>
    <x v="19"/>
    <x v="0"/>
    <x v="9"/>
    <n v="0"/>
  </r>
  <r>
    <x v="0"/>
    <x v="0"/>
    <x v="0"/>
    <x v="12"/>
    <x v="19"/>
    <x v="0"/>
    <x v="10"/>
    <n v="0"/>
  </r>
  <r>
    <x v="0"/>
    <x v="0"/>
    <x v="0"/>
    <x v="12"/>
    <x v="19"/>
    <x v="0"/>
    <x v="11"/>
    <n v="0"/>
  </r>
  <r>
    <x v="0"/>
    <x v="0"/>
    <x v="0"/>
    <x v="12"/>
    <x v="19"/>
    <x v="0"/>
    <x v="12"/>
    <n v="0"/>
  </r>
  <r>
    <x v="0"/>
    <x v="0"/>
    <x v="0"/>
    <x v="12"/>
    <x v="19"/>
    <x v="0"/>
    <x v="13"/>
    <n v="0"/>
  </r>
  <r>
    <x v="0"/>
    <x v="0"/>
    <x v="0"/>
    <x v="12"/>
    <x v="19"/>
    <x v="0"/>
    <x v="14"/>
    <n v="0"/>
  </r>
  <r>
    <x v="0"/>
    <x v="0"/>
    <x v="0"/>
    <x v="12"/>
    <x v="19"/>
    <x v="0"/>
    <x v="15"/>
    <n v="0"/>
  </r>
  <r>
    <x v="0"/>
    <x v="0"/>
    <x v="0"/>
    <x v="12"/>
    <x v="19"/>
    <x v="0"/>
    <x v="16"/>
    <n v="0"/>
  </r>
  <r>
    <x v="0"/>
    <x v="0"/>
    <x v="0"/>
    <x v="12"/>
    <x v="19"/>
    <x v="0"/>
    <x v="17"/>
    <n v="0"/>
  </r>
  <r>
    <x v="0"/>
    <x v="0"/>
    <x v="0"/>
    <x v="12"/>
    <x v="19"/>
    <x v="0"/>
    <x v="18"/>
    <n v="0"/>
  </r>
  <r>
    <x v="0"/>
    <x v="0"/>
    <x v="0"/>
    <x v="12"/>
    <x v="19"/>
    <x v="0"/>
    <x v="19"/>
    <n v="0"/>
  </r>
  <r>
    <x v="0"/>
    <x v="0"/>
    <x v="0"/>
    <x v="12"/>
    <x v="19"/>
    <x v="0"/>
    <x v="20"/>
    <n v="0"/>
  </r>
  <r>
    <x v="0"/>
    <x v="0"/>
    <x v="0"/>
    <x v="12"/>
    <x v="19"/>
    <x v="0"/>
    <x v="21"/>
    <n v="0"/>
  </r>
  <r>
    <x v="0"/>
    <x v="0"/>
    <x v="0"/>
    <x v="12"/>
    <x v="19"/>
    <x v="0"/>
    <x v="22"/>
    <n v="0"/>
  </r>
  <r>
    <x v="0"/>
    <x v="0"/>
    <x v="0"/>
    <x v="12"/>
    <x v="19"/>
    <x v="0"/>
    <x v="23"/>
    <n v="0"/>
  </r>
  <r>
    <x v="0"/>
    <x v="0"/>
    <x v="0"/>
    <x v="12"/>
    <x v="11"/>
    <x v="0"/>
    <x v="0"/>
    <n v="0.90965978534091396"/>
  </r>
  <r>
    <x v="0"/>
    <x v="0"/>
    <x v="0"/>
    <x v="12"/>
    <x v="11"/>
    <x v="0"/>
    <x v="1"/>
    <n v="0.90965978534091396"/>
  </r>
  <r>
    <x v="0"/>
    <x v="0"/>
    <x v="0"/>
    <x v="12"/>
    <x v="11"/>
    <x v="0"/>
    <x v="2"/>
    <n v="0.90965978534091396"/>
  </r>
  <r>
    <x v="0"/>
    <x v="0"/>
    <x v="0"/>
    <x v="12"/>
    <x v="11"/>
    <x v="0"/>
    <x v="3"/>
    <n v="0.90965978534091396"/>
  </r>
  <r>
    <x v="0"/>
    <x v="0"/>
    <x v="0"/>
    <x v="12"/>
    <x v="11"/>
    <x v="0"/>
    <x v="4"/>
    <n v="0.90965978534091396"/>
  </r>
  <r>
    <x v="0"/>
    <x v="0"/>
    <x v="0"/>
    <x v="12"/>
    <x v="11"/>
    <x v="0"/>
    <x v="5"/>
    <n v="0.90965978534091396"/>
  </r>
  <r>
    <x v="0"/>
    <x v="0"/>
    <x v="0"/>
    <x v="12"/>
    <x v="11"/>
    <x v="0"/>
    <x v="6"/>
    <n v="0.90965978534091396"/>
  </r>
  <r>
    <x v="0"/>
    <x v="0"/>
    <x v="0"/>
    <x v="12"/>
    <x v="11"/>
    <x v="0"/>
    <x v="7"/>
    <n v="0.90965978534091396"/>
  </r>
  <r>
    <x v="0"/>
    <x v="0"/>
    <x v="0"/>
    <x v="12"/>
    <x v="11"/>
    <x v="0"/>
    <x v="8"/>
    <n v="0.90965978534091396"/>
  </r>
  <r>
    <x v="0"/>
    <x v="0"/>
    <x v="0"/>
    <x v="12"/>
    <x v="11"/>
    <x v="0"/>
    <x v="9"/>
    <n v="0.90965978534091396"/>
  </r>
  <r>
    <x v="0"/>
    <x v="0"/>
    <x v="0"/>
    <x v="12"/>
    <x v="11"/>
    <x v="0"/>
    <x v="10"/>
    <n v="0.90965978534091396"/>
  </r>
  <r>
    <x v="0"/>
    <x v="0"/>
    <x v="0"/>
    <x v="12"/>
    <x v="11"/>
    <x v="0"/>
    <x v="11"/>
    <n v="0.90965978534091396"/>
  </r>
  <r>
    <x v="0"/>
    <x v="0"/>
    <x v="0"/>
    <x v="12"/>
    <x v="11"/>
    <x v="0"/>
    <x v="12"/>
    <n v="0.90965978534091396"/>
  </r>
  <r>
    <x v="0"/>
    <x v="0"/>
    <x v="0"/>
    <x v="12"/>
    <x v="11"/>
    <x v="0"/>
    <x v="13"/>
    <n v="0.90965978534091396"/>
  </r>
  <r>
    <x v="0"/>
    <x v="0"/>
    <x v="0"/>
    <x v="12"/>
    <x v="11"/>
    <x v="0"/>
    <x v="14"/>
    <n v="0.90965978534091396"/>
  </r>
  <r>
    <x v="0"/>
    <x v="0"/>
    <x v="0"/>
    <x v="12"/>
    <x v="11"/>
    <x v="0"/>
    <x v="15"/>
    <n v="0.90965978534091396"/>
  </r>
  <r>
    <x v="0"/>
    <x v="0"/>
    <x v="0"/>
    <x v="12"/>
    <x v="11"/>
    <x v="0"/>
    <x v="16"/>
    <n v="0.90965978534091396"/>
  </r>
  <r>
    <x v="0"/>
    <x v="0"/>
    <x v="0"/>
    <x v="12"/>
    <x v="11"/>
    <x v="0"/>
    <x v="17"/>
    <n v="0.90965978534091396"/>
  </r>
  <r>
    <x v="0"/>
    <x v="0"/>
    <x v="0"/>
    <x v="12"/>
    <x v="11"/>
    <x v="0"/>
    <x v="18"/>
    <n v="0.90965978534091396"/>
  </r>
  <r>
    <x v="0"/>
    <x v="0"/>
    <x v="0"/>
    <x v="12"/>
    <x v="11"/>
    <x v="0"/>
    <x v="19"/>
    <n v="0.90965978534091396"/>
  </r>
  <r>
    <x v="0"/>
    <x v="0"/>
    <x v="0"/>
    <x v="12"/>
    <x v="11"/>
    <x v="0"/>
    <x v="20"/>
    <n v="0.90965978534091396"/>
  </r>
  <r>
    <x v="0"/>
    <x v="0"/>
    <x v="0"/>
    <x v="12"/>
    <x v="11"/>
    <x v="0"/>
    <x v="21"/>
    <n v="0.90965978534091396"/>
  </r>
  <r>
    <x v="0"/>
    <x v="0"/>
    <x v="0"/>
    <x v="12"/>
    <x v="11"/>
    <x v="0"/>
    <x v="22"/>
    <n v="0.90965978534091396"/>
  </r>
  <r>
    <x v="0"/>
    <x v="0"/>
    <x v="0"/>
    <x v="12"/>
    <x v="11"/>
    <x v="0"/>
    <x v="23"/>
    <n v="0.90965978534091396"/>
  </r>
  <r>
    <x v="0"/>
    <x v="0"/>
    <x v="0"/>
    <x v="13"/>
    <x v="20"/>
    <x v="0"/>
    <x v="0"/>
    <n v="0"/>
  </r>
  <r>
    <x v="0"/>
    <x v="0"/>
    <x v="0"/>
    <x v="13"/>
    <x v="20"/>
    <x v="0"/>
    <x v="1"/>
    <n v="0"/>
  </r>
  <r>
    <x v="0"/>
    <x v="0"/>
    <x v="0"/>
    <x v="13"/>
    <x v="20"/>
    <x v="0"/>
    <x v="2"/>
    <n v="0"/>
  </r>
  <r>
    <x v="0"/>
    <x v="0"/>
    <x v="0"/>
    <x v="13"/>
    <x v="20"/>
    <x v="0"/>
    <x v="3"/>
    <n v="0"/>
  </r>
  <r>
    <x v="0"/>
    <x v="0"/>
    <x v="0"/>
    <x v="13"/>
    <x v="20"/>
    <x v="0"/>
    <x v="4"/>
    <n v="0.124864373267706"/>
  </r>
  <r>
    <x v="0"/>
    <x v="0"/>
    <x v="0"/>
    <x v="13"/>
    <x v="20"/>
    <x v="0"/>
    <x v="5"/>
    <n v="0.111306045581494"/>
  </r>
  <r>
    <x v="0"/>
    <x v="0"/>
    <x v="0"/>
    <x v="13"/>
    <x v="20"/>
    <x v="0"/>
    <x v="6"/>
    <n v="0.41116361184044298"/>
  </r>
  <r>
    <x v="0"/>
    <x v="0"/>
    <x v="0"/>
    <x v="13"/>
    <x v="20"/>
    <x v="0"/>
    <x v="7"/>
    <n v="0.23872179229055901"/>
  </r>
  <r>
    <x v="0"/>
    <x v="0"/>
    <x v="0"/>
    <x v="13"/>
    <x v="20"/>
    <x v="0"/>
    <x v="8"/>
    <n v="0.62844447601905595"/>
  </r>
  <r>
    <x v="0"/>
    <x v="0"/>
    <x v="0"/>
    <x v="13"/>
    <x v="20"/>
    <x v="0"/>
    <x v="9"/>
    <n v="0.20336319135348699"/>
  </r>
  <r>
    <x v="0"/>
    <x v="0"/>
    <x v="0"/>
    <x v="13"/>
    <x v="20"/>
    <x v="0"/>
    <x v="10"/>
    <n v="0.641196378542078"/>
  </r>
  <r>
    <x v="0"/>
    <x v="0"/>
    <x v="0"/>
    <x v="13"/>
    <x v="20"/>
    <x v="0"/>
    <x v="11"/>
    <n v="0.66969411459542005"/>
  </r>
  <r>
    <x v="0"/>
    <x v="0"/>
    <x v="0"/>
    <x v="13"/>
    <x v="20"/>
    <x v="0"/>
    <x v="12"/>
    <n v="0.610738004761054"/>
  </r>
  <r>
    <x v="0"/>
    <x v="0"/>
    <x v="0"/>
    <x v="13"/>
    <x v="20"/>
    <x v="0"/>
    <x v="13"/>
    <n v="0.40264639402211599"/>
  </r>
  <r>
    <x v="0"/>
    <x v="0"/>
    <x v="0"/>
    <x v="13"/>
    <x v="20"/>
    <x v="0"/>
    <x v="14"/>
    <n v="0.42887003568918503"/>
  </r>
  <r>
    <x v="0"/>
    <x v="0"/>
    <x v="0"/>
    <x v="13"/>
    <x v="20"/>
    <x v="0"/>
    <x v="15"/>
    <n v="0"/>
  </r>
  <r>
    <x v="0"/>
    <x v="0"/>
    <x v="0"/>
    <x v="13"/>
    <x v="20"/>
    <x v="0"/>
    <x v="16"/>
    <n v="0"/>
  </r>
  <r>
    <x v="0"/>
    <x v="0"/>
    <x v="0"/>
    <x v="13"/>
    <x v="20"/>
    <x v="0"/>
    <x v="17"/>
    <n v="0.45465149275542799"/>
  </r>
  <r>
    <x v="0"/>
    <x v="0"/>
    <x v="0"/>
    <x v="13"/>
    <x v="20"/>
    <x v="0"/>
    <x v="18"/>
    <n v="0"/>
  </r>
  <r>
    <x v="0"/>
    <x v="0"/>
    <x v="0"/>
    <x v="13"/>
    <x v="20"/>
    <x v="0"/>
    <x v="19"/>
    <n v="0.160779421693794"/>
  </r>
  <r>
    <x v="0"/>
    <x v="0"/>
    <x v="0"/>
    <x v="13"/>
    <x v="20"/>
    <x v="0"/>
    <x v="20"/>
    <n v="0.20569196264070999"/>
  </r>
  <r>
    <x v="0"/>
    <x v="0"/>
    <x v="0"/>
    <x v="13"/>
    <x v="20"/>
    <x v="0"/>
    <x v="21"/>
    <n v="0"/>
  </r>
  <r>
    <x v="0"/>
    <x v="0"/>
    <x v="0"/>
    <x v="13"/>
    <x v="20"/>
    <x v="0"/>
    <x v="22"/>
    <n v="0"/>
  </r>
  <r>
    <x v="0"/>
    <x v="0"/>
    <x v="0"/>
    <x v="13"/>
    <x v="20"/>
    <x v="0"/>
    <x v="23"/>
    <n v="0"/>
  </r>
  <r>
    <x v="0"/>
    <x v="0"/>
    <x v="0"/>
    <x v="13"/>
    <x v="15"/>
    <x v="0"/>
    <x v="0"/>
    <n v="0"/>
  </r>
  <r>
    <x v="0"/>
    <x v="0"/>
    <x v="0"/>
    <x v="13"/>
    <x v="15"/>
    <x v="0"/>
    <x v="1"/>
    <n v="0"/>
  </r>
  <r>
    <x v="0"/>
    <x v="0"/>
    <x v="0"/>
    <x v="13"/>
    <x v="15"/>
    <x v="0"/>
    <x v="2"/>
    <n v="0"/>
  </r>
  <r>
    <x v="0"/>
    <x v="0"/>
    <x v="0"/>
    <x v="13"/>
    <x v="15"/>
    <x v="0"/>
    <x v="3"/>
    <n v="0"/>
  </r>
  <r>
    <x v="0"/>
    <x v="0"/>
    <x v="0"/>
    <x v="13"/>
    <x v="15"/>
    <x v="0"/>
    <x v="4"/>
    <n v="0"/>
  </r>
  <r>
    <x v="0"/>
    <x v="0"/>
    <x v="0"/>
    <x v="13"/>
    <x v="15"/>
    <x v="0"/>
    <x v="5"/>
    <n v="0"/>
  </r>
  <r>
    <x v="0"/>
    <x v="0"/>
    <x v="0"/>
    <x v="13"/>
    <x v="15"/>
    <x v="0"/>
    <x v="6"/>
    <n v="0"/>
  </r>
  <r>
    <x v="0"/>
    <x v="0"/>
    <x v="0"/>
    <x v="13"/>
    <x v="15"/>
    <x v="0"/>
    <x v="7"/>
    <n v="0"/>
  </r>
  <r>
    <x v="0"/>
    <x v="0"/>
    <x v="0"/>
    <x v="13"/>
    <x v="15"/>
    <x v="0"/>
    <x v="8"/>
    <n v="0"/>
  </r>
  <r>
    <x v="0"/>
    <x v="0"/>
    <x v="0"/>
    <x v="13"/>
    <x v="15"/>
    <x v="0"/>
    <x v="9"/>
    <n v="0"/>
  </r>
  <r>
    <x v="0"/>
    <x v="0"/>
    <x v="0"/>
    <x v="13"/>
    <x v="15"/>
    <x v="0"/>
    <x v="10"/>
    <n v="0"/>
  </r>
  <r>
    <x v="0"/>
    <x v="0"/>
    <x v="0"/>
    <x v="13"/>
    <x v="15"/>
    <x v="0"/>
    <x v="11"/>
    <n v="0"/>
  </r>
  <r>
    <x v="0"/>
    <x v="0"/>
    <x v="0"/>
    <x v="13"/>
    <x v="15"/>
    <x v="0"/>
    <x v="12"/>
    <n v="0"/>
  </r>
  <r>
    <x v="0"/>
    <x v="0"/>
    <x v="0"/>
    <x v="13"/>
    <x v="15"/>
    <x v="0"/>
    <x v="13"/>
    <n v="0"/>
  </r>
  <r>
    <x v="0"/>
    <x v="0"/>
    <x v="0"/>
    <x v="13"/>
    <x v="15"/>
    <x v="0"/>
    <x v="14"/>
    <n v="0"/>
  </r>
  <r>
    <x v="0"/>
    <x v="0"/>
    <x v="0"/>
    <x v="13"/>
    <x v="15"/>
    <x v="0"/>
    <x v="15"/>
    <n v="0"/>
  </r>
  <r>
    <x v="0"/>
    <x v="0"/>
    <x v="0"/>
    <x v="13"/>
    <x v="15"/>
    <x v="0"/>
    <x v="16"/>
    <n v="0"/>
  </r>
  <r>
    <x v="0"/>
    <x v="0"/>
    <x v="0"/>
    <x v="13"/>
    <x v="15"/>
    <x v="0"/>
    <x v="17"/>
    <n v="0"/>
  </r>
  <r>
    <x v="0"/>
    <x v="0"/>
    <x v="0"/>
    <x v="13"/>
    <x v="15"/>
    <x v="0"/>
    <x v="18"/>
    <n v="0"/>
  </r>
  <r>
    <x v="0"/>
    <x v="0"/>
    <x v="0"/>
    <x v="13"/>
    <x v="15"/>
    <x v="0"/>
    <x v="19"/>
    <n v="0"/>
  </r>
  <r>
    <x v="0"/>
    <x v="0"/>
    <x v="0"/>
    <x v="13"/>
    <x v="15"/>
    <x v="0"/>
    <x v="20"/>
    <n v="0"/>
  </r>
  <r>
    <x v="0"/>
    <x v="0"/>
    <x v="0"/>
    <x v="13"/>
    <x v="15"/>
    <x v="0"/>
    <x v="21"/>
    <n v="0"/>
  </r>
  <r>
    <x v="0"/>
    <x v="0"/>
    <x v="0"/>
    <x v="13"/>
    <x v="15"/>
    <x v="0"/>
    <x v="22"/>
    <n v="0"/>
  </r>
  <r>
    <x v="0"/>
    <x v="0"/>
    <x v="0"/>
    <x v="13"/>
    <x v="15"/>
    <x v="0"/>
    <x v="23"/>
    <n v="0"/>
  </r>
  <r>
    <x v="0"/>
    <x v="0"/>
    <x v="0"/>
    <x v="13"/>
    <x v="19"/>
    <x v="0"/>
    <x v="0"/>
    <n v="0"/>
  </r>
  <r>
    <x v="0"/>
    <x v="0"/>
    <x v="0"/>
    <x v="13"/>
    <x v="19"/>
    <x v="0"/>
    <x v="1"/>
    <n v="0"/>
  </r>
  <r>
    <x v="0"/>
    <x v="0"/>
    <x v="0"/>
    <x v="13"/>
    <x v="19"/>
    <x v="0"/>
    <x v="2"/>
    <n v="0"/>
  </r>
  <r>
    <x v="0"/>
    <x v="0"/>
    <x v="0"/>
    <x v="13"/>
    <x v="19"/>
    <x v="0"/>
    <x v="3"/>
    <n v="0"/>
  </r>
  <r>
    <x v="0"/>
    <x v="0"/>
    <x v="0"/>
    <x v="13"/>
    <x v="19"/>
    <x v="0"/>
    <x v="4"/>
    <n v="0"/>
  </r>
  <r>
    <x v="0"/>
    <x v="0"/>
    <x v="0"/>
    <x v="13"/>
    <x v="19"/>
    <x v="0"/>
    <x v="5"/>
    <n v="0"/>
  </r>
  <r>
    <x v="0"/>
    <x v="0"/>
    <x v="0"/>
    <x v="13"/>
    <x v="19"/>
    <x v="0"/>
    <x v="6"/>
    <n v="0"/>
  </r>
  <r>
    <x v="0"/>
    <x v="0"/>
    <x v="0"/>
    <x v="13"/>
    <x v="19"/>
    <x v="0"/>
    <x v="7"/>
    <n v="0"/>
  </r>
  <r>
    <x v="0"/>
    <x v="0"/>
    <x v="0"/>
    <x v="13"/>
    <x v="19"/>
    <x v="0"/>
    <x v="8"/>
    <n v="0"/>
  </r>
  <r>
    <x v="0"/>
    <x v="0"/>
    <x v="0"/>
    <x v="13"/>
    <x v="19"/>
    <x v="0"/>
    <x v="9"/>
    <n v="0"/>
  </r>
  <r>
    <x v="0"/>
    <x v="0"/>
    <x v="0"/>
    <x v="13"/>
    <x v="19"/>
    <x v="0"/>
    <x v="10"/>
    <n v="0"/>
  </r>
  <r>
    <x v="0"/>
    <x v="0"/>
    <x v="0"/>
    <x v="13"/>
    <x v="19"/>
    <x v="0"/>
    <x v="11"/>
    <n v="0"/>
  </r>
  <r>
    <x v="0"/>
    <x v="0"/>
    <x v="0"/>
    <x v="13"/>
    <x v="19"/>
    <x v="0"/>
    <x v="12"/>
    <n v="0"/>
  </r>
  <r>
    <x v="0"/>
    <x v="0"/>
    <x v="0"/>
    <x v="13"/>
    <x v="19"/>
    <x v="0"/>
    <x v="13"/>
    <n v="0"/>
  </r>
  <r>
    <x v="0"/>
    <x v="0"/>
    <x v="0"/>
    <x v="13"/>
    <x v="19"/>
    <x v="0"/>
    <x v="14"/>
    <n v="0"/>
  </r>
  <r>
    <x v="0"/>
    <x v="0"/>
    <x v="0"/>
    <x v="13"/>
    <x v="19"/>
    <x v="0"/>
    <x v="15"/>
    <n v="0"/>
  </r>
  <r>
    <x v="0"/>
    <x v="0"/>
    <x v="0"/>
    <x v="13"/>
    <x v="19"/>
    <x v="0"/>
    <x v="16"/>
    <n v="0"/>
  </r>
  <r>
    <x v="0"/>
    <x v="0"/>
    <x v="0"/>
    <x v="13"/>
    <x v="19"/>
    <x v="0"/>
    <x v="17"/>
    <n v="0"/>
  </r>
  <r>
    <x v="0"/>
    <x v="0"/>
    <x v="0"/>
    <x v="13"/>
    <x v="19"/>
    <x v="0"/>
    <x v="18"/>
    <n v="0"/>
  </r>
  <r>
    <x v="0"/>
    <x v="0"/>
    <x v="0"/>
    <x v="13"/>
    <x v="19"/>
    <x v="0"/>
    <x v="19"/>
    <n v="0"/>
  </r>
  <r>
    <x v="0"/>
    <x v="0"/>
    <x v="0"/>
    <x v="13"/>
    <x v="19"/>
    <x v="0"/>
    <x v="20"/>
    <n v="0"/>
  </r>
  <r>
    <x v="0"/>
    <x v="0"/>
    <x v="0"/>
    <x v="13"/>
    <x v="19"/>
    <x v="0"/>
    <x v="21"/>
    <n v="0"/>
  </r>
  <r>
    <x v="0"/>
    <x v="0"/>
    <x v="0"/>
    <x v="13"/>
    <x v="19"/>
    <x v="0"/>
    <x v="22"/>
    <n v="0"/>
  </r>
  <r>
    <x v="0"/>
    <x v="0"/>
    <x v="0"/>
    <x v="13"/>
    <x v="19"/>
    <x v="0"/>
    <x v="23"/>
    <n v="0"/>
  </r>
  <r>
    <x v="0"/>
    <x v="0"/>
    <x v="0"/>
    <x v="13"/>
    <x v="21"/>
    <x v="0"/>
    <x v="0"/>
    <n v="-0.9"/>
  </r>
  <r>
    <x v="0"/>
    <x v="0"/>
    <x v="0"/>
    <x v="13"/>
    <x v="21"/>
    <x v="0"/>
    <x v="1"/>
    <n v="-0.9"/>
  </r>
  <r>
    <x v="0"/>
    <x v="0"/>
    <x v="0"/>
    <x v="13"/>
    <x v="21"/>
    <x v="0"/>
    <x v="2"/>
    <n v="-0.9"/>
  </r>
  <r>
    <x v="0"/>
    <x v="0"/>
    <x v="0"/>
    <x v="13"/>
    <x v="21"/>
    <x v="0"/>
    <x v="3"/>
    <n v="-0.9"/>
  </r>
  <r>
    <x v="0"/>
    <x v="0"/>
    <x v="0"/>
    <x v="13"/>
    <x v="21"/>
    <x v="0"/>
    <x v="4"/>
    <n v="-0.88144895161697401"/>
  </r>
  <r>
    <x v="0"/>
    <x v="0"/>
    <x v="0"/>
    <x v="13"/>
    <x v="21"/>
    <x v="0"/>
    <x v="5"/>
    <n v="-0.9"/>
  </r>
  <r>
    <x v="0"/>
    <x v="0"/>
    <x v="0"/>
    <x v="13"/>
    <x v="21"/>
    <x v="0"/>
    <x v="6"/>
    <n v="-0.61883796747089004"/>
  </r>
  <r>
    <x v="0"/>
    <x v="0"/>
    <x v="0"/>
    <x v="13"/>
    <x v="21"/>
    <x v="0"/>
    <x v="7"/>
    <n v="0"/>
  </r>
  <r>
    <x v="0"/>
    <x v="0"/>
    <x v="0"/>
    <x v="13"/>
    <x v="21"/>
    <x v="0"/>
    <x v="8"/>
    <n v="-0.52099684309855798"/>
  </r>
  <r>
    <x v="0"/>
    <x v="0"/>
    <x v="0"/>
    <x v="13"/>
    <x v="21"/>
    <x v="0"/>
    <x v="9"/>
    <n v="0"/>
  </r>
  <r>
    <x v="0"/>
    <x v="0"/>
    <x v="0"/>
    <x v="13"/>
    <x v="21"/>
    <x v="0"/>
    <x v="10"/>
    <n v="-0.71656966942269995"/>
  </r>
  <r>
    <x v="0"/>
    <x v="0"/>
    <x v="0"/>
    <x v="13"/>
    <x v="21"/>
    <x v="0"/>
    <x v="11"/>
    <n v="-0.9"/>
  </r>
  <r>
    <x v="0"/>
    <x v="0"/>
    <x v="0"/>
    <x v="13"/>
    <x v="21"/>
    <x v="0"/>
    <x v="12"/>
    <n v="-0.9"/>
  </r>
  <r>
    <x v="0"/>
    <x v="0"/>
    <x v="0"/>
    <x v="13"/>
    <x v="21"/>
    <x v="0"/>
    <x v="13"/>
    <n v="-0.9"/>
  </r>
  <r>
    <x v="0"/>
    <x v="0"/>
    <x v="0"/>
    <x v="13"/>
    <x v="21"/>
    <x v="0"/>
    <x v="14"/>
    <n v="-0.9"/>
  </r>
  <r>
    <x v="0"/>
    <x v="0"/>
    <x v="0"/>
    <x v="13"/>
    <x v="21"/>
    <x v="0"/>
    <x v="15"/>
    <n v="-0.47465990029147898"/>
  </r>
  <r>
    <x v="0"/>
    <x v="0"/>
    <x v="0"/>
    <x v="13"/>
    <x v="21"/>
    <x v="0"/>
    <x v="16"/>
    <n v="-0.46256452485050498"/>
  </r>
  <r>
    <x v="0"/>
    <x v="0"/>
    <x v="0"/>
    <x v="13"/>
    <x v="21"/>
    <x v="0"/>
    <x v="17"/>
    <n v="-0.9"/>
  </r>
  <r>
    <x v="0"/>
    <x v="0"/>
    <x v="0"/>
    <x v="13"/>
    <x v="21"/>
    <x v="0"/>
    <x v="18"/>
    <n v="-0.45184137961620202"/>
  </r>
  <r>
    <x v="0"/>
    <x v="0"/>
    <x v="0"/>
    <x v="13"/>
    <x v="21"/>
    <x v="0"/>
    <x v="19"/>
    <n v="-0.9"/>
  </r>
  <r>
    <x v="0"/>
    <x v="0"/>
    <x v="0"/>
    <x v="13"/>
    <x v="21"/>
    <x v="0"/>
    <x v="20"/>
    <n v="-0.9"/>
  </r>
  <r>
    <x v="0"/>
    <x v="0"/>
    <x v="0"/>
    <x v="13"/>
    <x v="21"/>
    <x v="0"/>
    <x v="21"/>
    <n v="-0.9"/>
  </r>
  <r>
    <x v="0"/>
    <x v="0"/>
    <x v="0"/>
    <x v="13"/>
    <x v="21"/>
    <x v="0"/>
    <x v="22"/>
    <n v="-0.9"/>
  </r>
  <r>
    <x v="0"/>
    <x v="0"/>
    <x v="0"/>
    <x v="13"/>
    <x v="21"/>
    <x v="0"/>
    <x v="23"/>
    <n v="-0.9"/>
  </r>
  <r>
    <x v="0"/>
    <x v="0"/>
    <x v="0"/>
    <x v="14"/>
    <x v="12"/>
    <x v="0"/>
    <x v="0"/>
    <n v="0.595684091710588"/>
  </r>
  <r>
    <x v="0"/>
    <x v="0"/>
    <x v="0"/>
    <x v="14"/>
    <x v="12"/>
    <x v="0"/>
    <x v="1"/>
    <n v="0.349664857457825"/>
  </r>
  <r>
    <x v="0"/>
    <x v="0"/>
    <x v="0"/>
    <x v="14"/>
    <x v="12"/>
    <x v="0"/>
    <x v="2"/>
    <n v="0.28248231435472099"/>
  </r>
  <r>
    <x v="0"/>
    <x v="0"/>
    <x v="0"/>
    <x v="14"/>
    <x v="12"/>
    <x v="0"/>
    <x v="3"/>
    <n v="0.45929889684925101"/>
  </r>
  <r>
    <x v="0"/>
    <x v="0"/>
    <x v="0"/>
    <x v="14"/>
    <x v="12"/>
    <x v="0"/>
    <x v="4"/>
    <n v="0.76220845838993301"/>
  </r>
  <r>
    <x v="0"/>
    <x v="0"/>
    <x v="0"/>
    <x v="14"/>
    <x v="12"/>
    <x v="0"/>
    <x v="5"/>
    <n v="0.76220845838993301"/>
  </r>
  <r>
    <x v="0"/>
    <x v="0"/>
    <x v="0"/>
    <x v="14"/>
    <x v="12"/>
    <x v="0"/>
    <x v="6"/>
    <n v="0.76220845838993301"/>
  </r>
  <r>
    <x v="0"/>
    <x v="0"/>
    <x v="0"/>
    <x v="14"/>
    <x v="12"/>
    <x v="0"/>
    <x v="7"/>
    <n v="0.76220845838993301"/>
  </r>
  <r>
    <x v="0"/>
    <x v="0"/>
    <x v="0"/>
    <x v="14"/>
    <x v="12"/>
    <x v="0"/>
    <x v="8"/>
    <n v="0.76220845838993301"/>
  </r>
  <r>
    <x v="0"/>
    <x v="0"/>
    <x v="0"/>
    <x v="14"/>
    <x v="12"/>
    <x v="0"/>
    <x v="9"/>
    <n v="0.76220845838993301"/>
  </r>
  <r>
    <x v="0"/>
    <x v="0"/>
    <x v="0"/>
    <x v="14"/>
    <x v="12"/>
    <x v="0"/>
    <x v="10"/>
    <n v="0.76220845838993301"/>
  </r>
  <r>
    <x v="0"/>
    <x v="0"/>
    <x v="0"/>
    <x v="14"/>
    <x v="12"/>
    <x v="0"/>
    <x v="11"/>
    <n v="0.76220845838993301"/>
  </r>
  <r>
    <x v="0"/>
    <x v="0"/>
    <x v="0"/>
    <x v="14"/>
    <x v="12"/>
    <x v="0"/>
    <x v="12"/>
    <n v="0.76220845838993301"/>
  </r>
  <r>
    <x v="0"/>
    <x v="0"/>
    <x v="0"/>
    <x v="14"/>
    <x v="12"/>
    <x v="0"/>
    <x v="13"/>
    <n v="0.76220845838993301"/>
  </r>
  <r>
    <x v="0"/>
    <x v="0"/>
    <x v="0"/>
    <x v="14"/>
    <x v="12"/>
    <x v="0"/>
    <x v="14"/>
    <n v="0.76220845838993301"/>
  </r>
  <r>
    <x v="0"/>
    <x v="0"/>
    <x v="0"/>
    <x v="14"/>
    <x v="12"/>
    <x v="0"/>
    <x v="15"/>
    <n v="0.76220845838993301"/>
  </r>
  <r>
    <x v="0"/>
    <x v="0"/>
    <x v="0"/>
    <x v="14"/>
    <x v="12"/>
    <x v="0"/>
    <x v="16"/>
    <n v="0.76220845838993301"/>
  </r>
  <r>
    <x v="0"/>
    <x v="0"/>
    <x v="0"/>
    <x v="14"/>
    <x v="12"/>
    <x v="0"/>
    <x v="17"/>
    <n v="0.76220845838993301"/>
  </r>
  <r>
    <x v="0"/>
    <x v="0"/>
    <x v="0"/>
    <x v="14"/>
    <x v="12"/>
    <x v="0"/>
    <x v="18"/>
    <n v="0.76220845838993301"/>
  </r>
  <r>
    <x v="0"/>
    <x v="0"/>
    <x v="0"/>
    <x v="14"/>
    <x v="12"/>
    <x v="0"/>
    <x v="19"/>
    <n v="0.76220845838993301"/>
  </r>
  <r>
    <x v="0"/>
    <x v="0"/>
    <x v="0"/>
    <x v="14"/>
    <x v="12"/>
    <x v="0"/>
    <x v="20"/>
    <n v="0.76220845838993301"/>
  </r>
  <r>
    <x v="0"/>
    <x v="0"/>
    <x v="0"/>
    <x v="14"/>
    <x v="12"/>
    <x v="0"/>
    <x v="21"/>
    <n v="0.76220845838993301"/>
  </r>
  <r>
    <x v="0"/>
    <x v="0"/>
    <x v="0"/>
    <x v="14"/>
    <x v="12"/>
    <x v="0"/>
    <x v="22"/>
    <n v="0.76220845838993301"/>
  </r>
  <r>
    <x v="0"/>
    <x v="0"/>
    <x v="0"/>
    <x v="14"/>
    <x v="12"/>
    <x v="0"/>
    <x v="23"/>
    <n v="0.76220845838993301"/>
  </r>
  <r>
    <x v="0"/>
    <x v="0"/>
    <x v="0"/>
    <x v="14"/>
    <x v="18"/>
    <x v="0"/>
    <x v="0"/>
    <n v="0"/>
  </r>
  <r>
    <x v="0"/>
    <x v="0"/>
    <x v="0"/>
    <x v="14"/>
    <x v="18"/>
    <x v="0"/>
    <x v="1"/>
    <n v="0"/>
  </r>
  <r>
    <x v="0"/>
    <x v="0"/>
    <x v="0"/>
    <x v="14"/>
    <x v="18"/>
    <x v="0"/>
    <x v="2"/>
    <n v="0"/>
  </r>
  <r>
    <x v="0"/>
    <x v="0"/>
    <x v="0"/>
    <x v="14"/>
    <x v="18"/>
    <x v="0"/>
    <x v="3"/>
    <n v="0"/>
  </r>
  <r>
    <x v="0"/>
    <x v="0"/>
    <x v="0"/>
    <x v="14"/>
    <x v="18"/>
    <x v="0"/>
    <x v="4"/>
    <n v="0"/>
  </r>
  <r>
    <x v="0"/>
    <x v="0"/>
    <x v="0"/>
    <x v="14"/>
    <x v="18"/>
    <x v="0"/>
    <x v="5"/>
    <n v="0"/>
  </r>
  <r>
    <x v="0"/>
    <x v="0"/>
    <x v="0"/>
    <x v="14"/>
    <x v="18"/>
    <x v="0"/>
    <x v="6"/>
    <n v="0"/>
  </r>
  <r>
    <x v="0"/>
    <x v="0"/>
    <x v="0"/>
    <x v="14"/>
    <x v="18"/>
    <x v="0"/>
    <x v="7"/>
    <n v="0"/>
  </r>
  <r>
    <x v="0"/>
    <x v="0"/>
    <x v="0"/>
    <x v="14"/>
    <x v="18"/>
    <x v="0"/>
    <x v="8"/>
    <n v="0"/>
  </r>
  <r>
    <x v="0"/>
    <x v="0"/>
    <x v="0"/>
    <x v="14"/>
    <x v="18"/>
    <x v="0"/>
    <x v="9"/>
    <n v="0"/>
  </r>
  <r>
    <x v="0"/>
    <x v="0"/>
    <x v="0"/>
    <x v="14"/>
    <x v="18"/>
    <x v="0"/>
    <x v="10"/>
    <n v="0"/>
  </r>
  <r>
    <x v="0"/>
    <x v="0"/>
    <x v="0"/>
    <x v="14"/>
    <x v="18"/>
    <x v="0"/>
    <x v="11"/>
    <n v="0"/>
  </r>
  <r>
    <x v="0"/>
    <x v="0"/>
    <x v="0"/>
    <x v="14"/>
    <x v="18"/>
    <x v="0"/>
    <x v="12"/>
    <n v="0"/>
  </r>
  <r>
    <x v="0"/>
    <x v="0"/>
    <x v="0"/>
    <x v="14"/>
    <x v="18"/>
    <x v="0"/>
    <x v="13"/>
    <n v="0"/>
  </r>
  <r>
    <x v="0"/>
    <x v="0"/>
    <x v="0"/>
    <x v="14"/>
    <x v="18"/>
    <x v="0"/>
    <x v="14"/>
    <n v="0"/>
  </r>
  <r>
    <x v="0"/>
    <x v="0"/>
    <x v="0"/>
    <x v="14"/>
    <x v="18"/>
    <x v="0"/>
    <x v="15"/>
    <n v="0"/>
  </r>
  <r>
    <x v="0"/>
    <x v="0"/>
    <x v="0"/>
    <x v="14"/>
    <x v="18"/>
    <x v="0"/>
    <x v="16"/>
    <n v="0"/>
  </r>
  <r>
    <x v="0"/>
    <x v="0"/>
    <x v="0"/>
    <x v="14"/>
    <x v="18"/>
    <x v="0"/>
    <x v="17"/>
    <n v="0"/>
  </r>
  <r>
    <x v="0"/>
    <x v="0"/>
    <x v="0"/>
    <x v="14"/>
    <x v="18"/>
    <x v="0"/>
    <x v="18"/>
    <n v="0"/>
  </r>
  <r>
    <x v="0"/>
    <x v="0"/>
    <x v="0"/>
    <x v="14"/>
    <x v="18"/>
    <x v="0"/>
    <x v="19"/>
    <n v="0"/>
  </r>
  <r>
    <x v="0"/>
    <x v="0"/>
    <x v="0"/>
    <x v="14"/>
    <x v="18"/>
    <x v="0"/>
    <x v="20"/>
    <n v="0"/>
  </r>
  <r>
    <x v="0"/>
    <x v="0"/>
    <x v="0"/>
    <x v="14"/>
    <x v="18"/>
    <x v="0"/>
    <x v="21"/>
    <n v="0"/>
  </r>
  <r>
    <x v="0"/>
    <x v="0"/>
    <x v="0"/>
    <x v="14"/>
    <x v="18"/>
    <x v="0"/>
    <x v="22"/>
    <n v="0"/>
  </r>
  <r>
    <x v="0"/>
    <x v="0"/>
    <x v="0"/>
    <x v="14"/>
    <x v="18"/>
    <x v="0"/>
    <x v="23"/>
    <n v="0"/>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
  </r>
  <r>
    <x v="0"/>
    <x v="0"/>
    <x v="0"/>
    <x v="14"/>
    <x v="21"/>
    <x v="0"/>
    <x v="5"/>
    <n v="0"/>
  </r>
  <r>
    <x v="0"/>
    <x v="0"/>
    <x v="0"/>
    <x v="14"/>
    <x v="21"/>
    <x v="0"/>
    <x v="6"/>
    <n v="0"/>
  </r>
  <r>
    <x v="0"/>
    <x v="0"/>
    <x v="0"/>
    <x v="14"/>
    <x v="21"/>
    <x v="0"/>
    <x v="7"/>
    <n v="0"/>
  </r>
  <r>
    <x v="0"/>
    <x v="0"/>
    <x v="0"/>
    <x v="14"/>
    <x v="21"/>
    <x v="0"/>
    <x v="8"/>
    <n v="0"/>
  </r>
  <r>
    <x v="0"/>
    <x v="0"/>
    <x v="0"/>
    <x v="14"/>
    <x v="21"/>
    <x v="0"/>
    <x v="9"/>
    <n v="0"/>
  </r>
  <r>
    <x v="0"/>
    <x v="0"/>
    <x v="0"/>
    <x v="14"/>
    <x v="21"/>
    <x v="0"/>
    <x v="10"/>
    <n v="0"/>
  </r>
  <r>
    <x v="0"/>
    <x v="0"/>
    <x v="0"/>
    <x v="14"/>
    <x v="21"/>
    <x v="0"/>
    <x v="11"/>
    <n v="0"/>
  </r>
  <r>
    <x v="0"/>
    <x v="0"/>
    <x v="0"/>
    <x v="14"/>
    <x v="21"/>
    <x v="0"/>
    <x v="12"/>
    <n v="0"/>
  </r>
  <r>
    <x v="0"/>
    <x v="0"/>
    <x v="0"/>
    <x v="14"/>
    <x v="21"/>
    <x v="0"/>
    <x v="13"/>
    <n v="0"/>
  </r>
  <r>
    <x v="0"/>
    <x v="0"/>
    <x v="0"/>
    <x v="14"/>
    <x v="21"/>
    <x v="0"/>
    <x v="14"/>
    <n v="0"/>
  </r>
  <r>
    <x v="0"/>
    <x v="0"/>
    <x v="0"/>
    <x v="14"/>
    <x v="21"/>
    <x v="0"/>
    <x v="15"/>
    <n v="0"/>
  </r>
  <r>
    <x v="0"/>
    <x v="0"/>
    <x v="0"/>
    <x v="14"/>
    <x v="21"/>
    <x v="0"/>
    <x v="16"/>
    <n v="0"/>
  </r>
  <r>
    <x v="0"/>
    <x v="0"/>
    <x v="0"/>
    <x v="14"/>
    <x v="21"/>
    <x v="0"/>
    <x v="17"/>
    <n v="0"/>
  </r>
  <r>
    <x v="0"/>
    <x v="0"/>
    <x v="0"/>
    <x v="14"/>
    <x v="21"/>
    <x v="0"/>
    <x v="18"/>
    <n v="0"/>
  </r>
  <r>
    <x v="0"/>
    <x v="0"/>
    <x v="0"/>
    <x v="14"/>
    <x v="21"/>
    <x v="0"/>
    <x v="19"/>
    <n v="0"/>
  </r>
  <r>
    <x v="0"/>
    <x v="0"/>
    <x v="0"/>
    <x v="14"/>
    <x v="21"/>
    <x v="0"/>
    <x v="20"/>
    <n v="0"/>
  </r>
  <r>
    <x v="0"/>
    <x v="0"/>
    <x v="0"/>
    <x v="14"/>
    <x v="21"/>
    <x v="0"/>
    <x v="21"/>
    <n v="0"/>
  </r>
  <r>
    <x v="0"/>
    <x v="0"/>
    <x v="0"/>
    <x v="14"/>
    <x v="21"/>
    <x v="0"/>
    <x v="22"/>
    <n v="0"/>
  </r>
  <r>
    <x v="0"/>
    <x v="0"/>
    <x v="0"/>
    <x v="14"/>
    <x v="21"/>
    <x v="0"/>
    <x v="23"/>
    <n v="0"/>
  </r>
  <r>
    <x v="0"/>
    <x v="0"/>
    <x v="0"/>
    <x v="15"/>
    <x v="20"/>
    <x v="0"/>
    <x v="0"/>
    <n v="2.1472419164388499"/>
  </r>
  <r>
    <x v="0"/>
    <x v="0"/>
    <x v="0"/>
    <x v="15"/>
    <x v="20"/>
    <x v="0"/>
    <x v="1"/>
    <n v="2.1472419164388499"/>
  </r>
  <r>
    <x v="0"/>
    <x v="0"/>
    <x v="0"/>
    <x v="15"/>
    <x v="20"/>
    <x v="0"/>
    <x v="2"/>
    <n v="2.1472419164388499"/>
  </r>
  <r>
    <x v="0"/>
    <x v="0"/>
    <x v="0"/>
    <x v="15"/>
    <x v="20"/>
    <x v="0"/>
    <x v="3"/>
    <n v="2.1472419164388499"/>
  </r>
  <r>
    <x v="0"/>
    <x v="0"/>
    <x v="0"/>
    <x v="15"/>
    <x v="20"/>
    <x v="0"/>
    <x v="4"/>
    <n v="2.1472419164388499"/>
  </r>
  <r>
    <x v="0"/>
    <x v="0"/>
    <x v="0"/>
    <x v="15"/>
    <x v="20"/>
    <x v="0"/>
    <x v="5"/>
    <n v="2.1472419164388499"/>
  </r>
  <r>
    <x v="0"/>
    <x v="0"/>
    <x v="0"/>
    <x v="15"/>
    <x v="20"/>
    <x v="0"/>
    <x v="6"/>
    <n v="2.1472419164388499"/>
  </r>
  <r>
    <x v="0"/>
    <x v="0"/>
    <x v="0"/>
    <x v="15"/>
    <x v="20"/>
    <x v="0"/>
    <x v="7"/>
    <n v="2.1472419164388499"/>
  </r>
  <r>
    <x v="0"/>
    <x v="0"/>
    <x v="0"/>
    <x v="15"/>
    <x v="20"/>
    <x v="0"/>
    <x v="8"/>
    <n v="2.1472419164388499"/>
  </r>
  <r>
    <x v="0"/>
    <x v="0"/>
    <x v="0"/>
    <x v="15"/>
    <x v="20"/>
    <x v="0"/>
    <x v="9"/>
    <n v="2.1472419164388499"/>
  </r>
  <r>
    <x v="0"/>
    <x v="0"/>
    <x v="0"/>
    <x v="15"/>
    <x v="20"/>
    <x v="0"/>
    <x v="10"/>
    <n v="2.1472419164388499"/>
  </r>
  <r>
    <x v="0"/>
    <x v="0"/>
    <x v="0"/>
    <x v="15"/>
    <x v="20"/>
    <x v="0"/>
    <x v="11"/>
    <n v="2.1472419164388499"/>
  </r>
  <r>
    <x v="0"/>
    <x v="0"/>
    <x v="0"/>
    <x v="15"/>
    <x v="20"/>
    <x v="0"/>
    <x v="12"/>
    <n v="2.1472419164388499"/>
  </r>
  <r>
    <x v="0"/>
    <x v="0"/>
    <x v="0"/>
    <x v="15"/>
    <x v="20"/>
    <x v="0"/>
    <x v="13"/>
    <n v="2.1472419164388499"/>
  </r>
  <r>
    <x v="0"/>
    <x v="0"/>
    <x v="0"/>
    <x v="15"/>
    <x v="20"/>
    <x v="0"/>
    <x v="14"/>
    <n v="2.1472419164388499"/>
  </r>
  <r>
    <x v="0"/>
    <x v="0"/>
    <x v="0"/>
    <x v="15"/>
    <x v="20"/>
    <x v="0"/>
    <x v="15"/>
    <n v="2.1472419164388499"/>
  </r>
  <r>
    <x v="0"/>
    <x v="0"/>
    <x v="0"/>
    <x v="15"/>
    <x v="20"/>
    <x v="0"/>
    <x v="16"/>
    <n v="2.1472419164388499"/>
  </r>
  <r>
    <x v="0"/>
    <x v="0"/>
    <x v="0"/>
    <x v="15"/>
    <x v="20"/>
    <x v="0"/>
    <x v="17"/>
    <n v="2.1472419164388499"/>
  </r>
  <r>
    <x v="0"/>
    <x v="0"/>
    <x v="0"/>
    <x v="15"/>
    <x v="20"/>
    <x v="0"/>
    <x v="18"/>
    <n v="2.1472419164388499"/>
  </r>
  <r>
    <x v="0"/>
    <x v="0"/>
    <x v="0"/>
    <x v="15"/>
    <x v="20"/>
    <x v="0"/>
    <x v="19"/>
    <n v="2.1472419164388499"/>
  </r>
  <r>
    <x v="0"/>
    <x v="0"/>
    <x v="0"/>
    <x v="15"/>
    <x v="20"/>
    <x v="0"/>
    <x v="20"/>
    <n v="2.1472419164388499"/>
  </r>
  <r>
    <x v="0"/>
    <x v="0"/>
    <x v="0"/>
    <x v="15"/>
    <x v="20"/>
    <x v="0"/>
    <x v="21"/>
    <n v="2.1472419164388499"/>
  </r>
  <r>
    <x v="0"/>
    <x v="0"/>
    <x v="0"/>
    <x v="15"/>
    <x v="20"/>
    <x v="0"/>
    <x v="22"/>
    <n v="2.1472419164388499"/>
  </r>
  <r>
    <x v="0"/>
    <x v="0"/>
    <x v="0"/>
    <x v="15"/>
    <x v="20"/>
    <x v="0"/>
    <x v="23"/>
    <n v="2.1472419164388499"/>
  </r>
  <r>
    <x v="0"/>
    <x v="0"/>
    <x v="0"/>
    <x v="15"/>
    <x v="7"/>
    <x v="0"/>
    <x v="0"/>
    <n v="0"/>
  </r>
  <r>
    <x v="0"/>
    <x v="0"/>
    <x v="0"/>
    <x v="15"/>
    <x v="7"/>
    <x v="0"/>
    <x v="1"/>
    <n v="0"/>
  </r>
  <r>
    <x v="0"/>
    <x v="0"/>
    <x v="0"/>
    <x v="15"/>
    <x v="7"/>
    <x v="0"/>
    <x v="2"/>
    <n v="0"/>
  </r>
  <r>
    <x v="0"/>
    <x v="0"/>
    <x v="0"/>
    <x v="15"/>
    <x v="7"/>
    <x v="0"/>
    <x v="3"/>
    <n v="0"/>
  </r>
  <r>
    <x v="0"/>
    <x v="0"/>
    <x v="0"/>
    <x v="15"/>
    <x v="7"/>
    <x v="0"/>
    <x v="4"/>
    <n v="0"/>
  </r>
  <r>
    <x v="0"/>
    <x v="0"/>
    <x v="0"/>
    <x v="15"/>
    <x v="7"/>
    <x v="0"/>
    <x v="5"/>
    <n v="0"/>
  </r>
  <r>
    <x v="0"/>
    <x v="0"/>
    <x v="0"/>
    <x v="15"/>
    <x v="7"/>
    <x v="0"/>
    <x v="6"/>
    <n v="0"/>
  </r>
  <r>
    <x v="0"/>
    <x v="0"/>
    <x v="0"/>
    <x v="15"/>
    <x v="7"/>
    <x v="0"/>
    <x v="7"/>
    <n v="0"/>
  </r>
  <r>
    <x v="0"/>
    <x v="0"/>
    <x v="0"/>
    <x v="15"/>
    <x v="7"/>
    <x v="0"/>
    <x v="8"/>
    <n v="0"/>
  </r>
  <r>
    <x v="0"/>
    <x v="0"/>
    <x v="0"/>
    <x v="15"/>
    <x v="7"/>
    <x v="0"/>
    <x v="9"/>
    <n v="0"/>
  </r>
  <r>
    <x v="0"/>
    <x v="0"/>
    <x v="0"/>
    <x v="15"/>
    <x v="7"/>
    <x v="0"/>
    <x v="10"/>
    <n v="0"/>
  </r>
  <r>
    <x v="0"/>
    <x v="0"/>
    <x v="0"/>
    <x v="15"/>
    <x v="7"/>
    <x v="0"/>
    <x v="11"/>
    <n v="0"/>
  </r>
  <r>
    <x v="0"/>
    <x v="0"/>
    <x v="0"/>
    <x v="15"/>
    <x v="7"/>
    <x v="0"/>
    <x v="12"/>
    <n v="0"/>
  </r>
  <r>
    <x v="0"/>
    <x v="0"/>
    <x v="0"/>
    <x v="15"/>
    <x v="7"/>
    <x v="0"/>
    <x v="13"/>
    <n v="0"/>
  </r>
  <r>
    <x v="0"/>
    <x v="0"/>
    <x v="0"/>
    <x v="15"/>
    <x v="7"/>
    <x v="0"/>
    <x v="14"/>
    <n v="0"/>
  </r>
  <r>
    <x v="0"/>
    <x v="0"/>
    <x v="0"/>
    <x v="15"/>
    <x v="7"/>
    <x v="0"/>
    <x v="15"/>
    <n v="0"/>
  </r>
  <r>
    <x v="0"/>
    <x v="0"/>
    <x v="0"/>
    <x v="15"/>
    <x v="7"/>
    <x v="0"/>
    <x v="16"/>
    <n v="0"/>
  </r>
  <r>
    <x v="0"/>
    <x v="0"/>
    <x v="0"/>
    <x v="15"/>
    <x v="7"/>
    <x v="0"/>
    <x v="17"/>
    <n v="0"/>
  </r>
  <r>
    <x v="0"/>
    <x v="0"/>
    <x v="0"/>
    <x v="15"/>
    <x v="7"/>
    <x v="0"/>
    <x v="18"/>
    <n v="0"/>
  </r>
  <r>
    <x v="0"/>
    <x v="0"/>
    <x v="0"/>
    <x v="15"/>
    <x v="7"/>
    <x v="0"/>
    <x v="19"/>
    <n v="0"/>
  </r>
  <r>
    <x v="0"/>
    <x v="0"/>
    <x v="0"/>
    <x v="15"/>
    <x v="7"/>
    <x v="0"/>
    <x v="20"/>
    <n v="0"/>
  </r>
  <r>
    <x v="0"/>
    <x v="0"/>
    <x v="0"/>
    <x v="15"/>
    <x v="7"/>
    <x v="0"/>
    <x v="21"/>
    <n v="0"/>
  </r>
  <r>
    <x v="0"/>
    <x v="0"/>
    <x v="0"/>
    <x v="15"/>
    <x v="7"/>
    <x v="0"/>
    <x v="22"/>
    <n v="0"/>
  </r>
  <r>
    <x v="0"/>
    <x v="0"/>
    <x v="0"/>
    <x v="15"/>
    <x v="7"/>
    <x v="0"/>
    <x v="23"/>
    <n v="0"/>
  </r>
  <r>
    <x v="0"/>
    <x v="0"/>
    <x v="0"/>
    <x v="15"/>
    <x v="18"/>
    <x v="0"/>
    <x v="0"/>
    <n v="0"/>
  </r>
  <r>
    <x v="0"/>
    <x v="0"/>
    <x v="0"/>
    <x v="15"/>
    <x v="18"/>
    <x v="0"/>
    <x v="1"/>
    <n v="0"/>
  </r>
  <r>
    <x v="0"/>
    <x v="0"/>
    <x v="0"/>
    <x v="15"/>
    <x v="18"/>
    <x v="0"/>
    <x v="2"/>
    <n v="0"/>
  </r>
  <r>
    <x v="0"/>
    <x v="0"/>
    <x v="0"/>
    <x v="15"/>
    <x v="18"/>
    <x v="0"/>
    <x v="3"/>
    <n v="0"/>
  </r>
  <r>
    <x v="0"/>
    <x v="0"/>
    <x v="0"/>
    <x v="15"/>
    <x v="18"/>
    <x v="0"/>
    <x v="4"/>
    <n v="0"/>
  </r>
  <r>
    <x v="0"/>
    <x v="0"/>
    <x v="0"/>
    <x v="15"/>
    <x v="18"/>
    <x v="0"/>
    <x v="5"/>
    <n v="0"/>
  </r>
  <r>
    <x v="0"/>
    <x v="0"/>
    <x v="0"/>
    <x v="15"/>
    <x v="18"/>
    <x v="0"/>
    <x v="6"/>
    <n v="0"/>
  </r>
  <r>
    <x v="0"/>
    <x v="0"/>
    <x v="0"/>
    <x v="15"/>
    <x v="18"/>
    <x v="0"/>
    <x v="7"/>
    <n v="0"/>
  </r>
  <r>
    <x v="0"/>
    <x v="0"/>
    <x v="0"/>
    <x v="15"/>
    <x v="18"/>
    <x v="0"/>
    <x v="8"/>
    <n v="0"/>
  </r>
  <r>
    <x v="0"/>
    <x v="0"/>
    <x v="0"/>
    <x v="15"/>
    <x v="18"/>
    <x v="0"/>
    <x v="9"/>
    <n v="0"/>
  </r>
  <r>
    <x v="0"/>
    <x v="0"/>
    <x v="0"/>
    <x v="15"/>
    <x v="18"/>
    <x v="0"/>
    <x v="10"/>
    <n v="0"/>
  </r>
  <r>
    <x v="0"/>
    <x v="0"/>
    <x v="0"/>
    <x v="15"/>
    <x v="18"/>
    <x v="0"/>
    <x v="11"/>
    <n v="0"/>
  </r>
  <r>
    <x v="0"/>
    <x v="0"/>
    <x v="0"/>
    <x v="15"/>
    <x v="18"/>
    <x v="0"/>
    <x v="12"/>
    <n v="0"/>
  </r>
  <r>
    <x v="0"/>
    <x v="0"/>
    <x v="0"/>
    <x v="15"/>
    <x v="18"/>
    <x v="0"/>
    <x v="13"/>
    <n v="0"/>
  </r>
  <r>
    <x v="0"/>
    <x v="0"/>
    <x v="0"/>
    <x v="15"/>
    <x v="18"/>
    <x v="0"/>
    <x v="14"/>
    <n v="0"/>
  </r>
  <r>
    <x v="0"/>
    <x v="0"/>
    <x v="0"/>
    <x v="15"/>
    <x v="18"/>
    <x v="0"/>
    <x v="15"/>
    <n v="0"/>
  </r>
  <r>
    <x v="0"/>
    <x v="0"/>
    <x v="0"/>
    <x v="15"/>
    <x v="18"/>
    <x v="0"/>
    <x v="16"/>
    <n v="0"/>
  </r>
  <r>
    <x v="0"/>
    <x v="0"/>
    <x v="0"/>
    <x v="15"/>
    <x v="18"/>
    <x v="0"/>
    <x v="17"/>
    <n v="0"/>
  </r>
  <r>
    <x v="0"/>
    <x v="0"/>
    <x v="0"/>
    <x v="15"/>
    <x v="18"/>
    <x v="0"/>
    <x v="18"/>
    <n v="0"/>
  </r>
  <r>
    <x v="0"/>
    <x v="0"/>
    <x v="0"/>
    <x v="15"/>
    <x v="18"/>
    <x v="0"/>
    <x v="19"/>
    <n v="0"/>
  </r>
  <r>
    <x v="0"/>
    <x v="0"/>
    <x v="0"/>
    <x v="15"/>
    <x v="18"/>
    <x v="0"/>
    <x v="20"/>
    <n v="0"/>
  </r>
  <r>
    <x v="0"/>
    <x v="0"/>
    <x v="0"/>
    <x v="15"/>
    <x v="18"/>
    <x v="0"/>
    <x v="21"/>
    <n v="0"/>
  </r>
  <r>
    <x v="0"/>
    <x v="0"/>
    <x v="0"/>
    <x v="15"/>
    <x v="18"/>
    <x v="0"/>
    <x v="22"/>
    <n v="0"/>
  </r>
  <r>
    <x v="0"/>
    <x v="0"/>
    <x v="0"/>
    <x v="15"/>
    <x v="18"/>
    <x v="0"/>
    <x v="23"/>
    <n v="0"/>
  </r>
  <r>
    <x v="0"/>
    <x v="0"/>
    <x v="0"/>
    <x v="16"/>
    <x v="5"/>
    <x v="0"/>
    <x v="0"/>
    <n v="0"/>
  </r>
  <r>
    <x v="0"/>
    <x v="0"/>
    <x v="0"/>
    <x v="16"/>
    <x v="5"/>
    <x v="0"/>
    <x v="1"/>
    <n v="0"/>
  </r>
  <r>
    <x v="0"/>
    <x v="0"/>
    <x v="0"/>
    <x v="16"/>
    <x v="5"/>
    <x v="0"/>
    <x v="2"/>
    <n v="0"/>
  </r>
  <r>
    <x v="0"/>
    <x v="0"/>
    <x v="0"/>
    <x v="16"/>
    <x v="5"/>
    <x v="0"/>
    <x v="3"/>
    <n v="0"/>
  </r>
  <r>
    <x v="0"/>
    <x v="0"/>
    <x v="0"/>
    <x v="16"/>
    <x v="5"/>
    <x v="0"/>
    <x v="4"/>
    <n v="0"/>
  </r>
  <r>
    <x v="0"/>
    <x v="0"/>
    <x v="0"/>
    <x v="16"/>
    <x v="5"/>
    <x v="0"/>
    <x v="5"/>
    <n v="0"/>
  </r>
  <r>
    <x v="0"/>
    <x v="0"/>
    <x v="0"/>
    <x v="16"/>
    <x v="5"/>
    <x v="0"/>
    <x v="6"/>
    <n v="0"/>
  </r>
  <r>
    <x v="0"/>
    <x v="0"/>
    <x v="0"/>
    <x v="16"/>
    <x v="5"/>
    <x v="0"/>
    <x v="7"/>
    <n v="0"/>
  </r>
  <r>
    <x v="0"/>
    <x v="0"/>
    <x v="0"/>
    <x v="16"/>
    <x v="5"/>
    <x v="0"/>
    <x v="8"/>
    <n v="0"/>
  </r>
  <r>
    <x v="0"/>
    <x v="0"/>
    <x v="0"/>
    <x v="16"/>
    <x v="5"/>
    <x v="0"/>
    <x v="9"/>
    <n v="0"/>
  </r>
  <r>
    <x v="0"/>
    <x v="0"/>
    <x v="0"/>
    <x v="16"/>
    <x v="5"/>
    <x v="0"/>
    <x v="10"/>
    <n v="0"/>
  </r>
  <r>
    <x v="0"/>
    <x v="0"/>
    <x v="0"/>
    <x v="16"/>
    <x v="5"/>
    <x v="0"/>
    <x v="11"/>
    <n v="-0.75115353429124299"/>
  </r>
  <r>
    <x v="0"/>
    <x v="0"/>
    <x v="0"/>
    <x v="16"/>
    <x v="5"/>
    <x v="0"/>
    <x v="12"/>
    <n v="-0.16118866483924199"/>
  </r>
  <r>
    <x v="0"/>
    <x v="0"/>
    <x v="0"/>
    <x v="16"/>
    <x v="5"/>
    <x v="0"/>
    <x v="13"/>
    <n v="-1.8"/>
  </r>
  <r>
    <x v="0"/>
    <x v="0"/>
    <x v="0"/>
    <x v="16"/>
    <x v="5"/>
    <x v="0"/>
    <x v="14"/>
    <n v="0"/>
  </r>
  <r>
    <x v="0"/>
    <x v="0"/>
    <x v="0"/>
    <x v="16"/>
    <x v="5"/>
    <x v="0"/>
    <x v="15"/>
    <n v="0"/>
  </r>
  <r>
    <x v="0"/>
    <x v="0"/>
    <x v="0"/>
    <x v="16"/>
    <x v="5"/>
    <x v="0"/>
    <x v="16"/>
    <n v="0"/>
  </r>
  <r>
    <x v="0"/>
    <x v="0"/>
    <x v="0"/>
    <x v="16"/>
    <x v="5"/>
    <x v="0"/>
    <x v="17"/>
    <n v="0"/>
  </r>
  <r>
    <x v="0"/>
    <x v="0"/>
    <x v="0"/>
    <x v="16"/>
    <x v="5"/>
    <x v="0"/>
    <x v="18"/>
    <n v="0"/>
  </r>
  <r>
    <x v="0"/>
    <x v="0"/>
    <x v="0"/>
    <x v="16"/>
    <x v="5"/>
    <x v="0"/>
    <x v="19"/>
    <n v="0"/>
  </r>
  <r>
    <x v="0"/>
    <x v="0"/>
    <x v="0"/>
    <x v="16"/>
    <x v="5"/>
    <x v="0"/>
    <x v="20"/>
    <n v="-1.8"/>
  </r>
  <r>
    <x v="0"/>
    <x v="0"/>
    <x v="0"/>
    <x v="16"/>
    <x v="5"/>
    <x v="0"/>
    <x v="21"/>
    <n v="0"/>
  </r>
  <r>
    <x v="0"/>
    <x v="0"/>
    <x v="0"/>
    <x v="16"/>
    <x v="5"/>
    <x v="0"/>
    <x v="22"/>
    <n v="-1.8"/>
  </r>
  <r>
    <x v="0"/>
    <x v="0"/>
    <x v="0"/>
    <x v="16"/>
    <x v="5"/>
    <x v="0"/>
    <x v="23"/>
    <n v="-1.8"/>
  </r>
  <r>
    <x v="0"/>
    <x v="0"/>
    <x v="0"/>
    <x v="16"/>
    <x v="17"/>
    <x v="0"/>
    <x v="0"/>
    <n v="0"/>
  </r>
  <r>
    <x v="0"/>
    <x v="0"/>
    <x v="0"/>
    <x v="16"/>
    <x v="17"/>
    <x v="0"/>
    <x v="1"/>
    <n v="0"/>
  </r>
  <r>
    <x v="0"/>
    <x v="0"/>
    <x v="0"/>
    <x v="16"/>
    <x v="17"/>
    <x v="0"/>
    <x v="2"/>
    <n v="0"/>
  </r>
  <r>
    <x v="0"/>
    <x v="0"/>
    <x v="0"/>
    <x v="16"/>
    <x v="17"/>
    <x v="0"/>
    <x v="3"/>
    <n v="0"/>
  </r>
  <r>
    <x v="0"/>
    <x v="0"/>
    <x v="0"/>
    <x v="16"/>
    <x v="17"/>
    <x v="0"/>
    <x v="4"/>
    <n v="0"/>
  </r>
  <r>
    <x v="0"/>
    <x v="0"/>
    <x v="0"/>
    <x v="16"/>
    <x v="17"/>
    <x v="0"/>
    <x v="5"/>
    <n v="0"/>
  </r>
  <r>
    <x v="0"/>
    <x v="0"/>
    <x v="0"/>
    <x v="16"/>
    <x v="17"/>
    <x v="0"/>
    <x v="6"/>
    <n v="0"/>
  </r>
  <r>
    <x v="0"/>
    <x v="0"/>
    <x v="0"/>
    <x v="16"/>
    <x v="17"/>
    <x v="0"/>
    <x v="7"/>
    <n v="0"/>
  </r>
  <r>
    <x v="0"/>
    <x v="0"/>
    <x v="0"/>
    <x v="16"/>
    <x v="17"/>
    <x v="0"/>
    <x v="8"/>
    <n v="0"/>
  </r>
  <r>
    <x v="0"/>
    <x v="0"/>
    <x v="0"/>
    <x v="16"/>
    <x v="17"/>
    <x v="0"/>
    <x v="9"/>
    <n v="0"/>
  </r>
  <r>
    <x v="0"/>
    <x v="0"/>
    <x v="0"/>
    <x v="16"/>
    <x v="17"/>
    <x v="0"/>
    <x v="10"/>
    <n v="0"/>
  </r>
  <r>
    <x v="0"/>
    <x v="0"/>
    <x v="0"/>
    <x v="16"/>
    <x v="17"/>
    <x v="0"/>
    <x v="11"/>
    <n v="0"/>
  </r>
  <r>
    <x v="0"/>
    <x v="0"/>
    <x v="0"/>
    <x v="16"/>
    <x v="17"/>
    <x v="0"/>
    <x v="12"/>
    <n v="0"/>
  </r>
  <r>
    <x v="0"/>
    <x v="0"/>
    <x v="0"/>
    <x v="16"/>
    <x v="17"/>
    <x v="0"/>
    <x v="13"/>
    <n v="0"/>
  </r>
  <r>
    <x v="0"/>
    <x v="0"/>
    <x v="0"/>
    <x v="16"/>
    <x v="17"/>
    <x v="0"/>
    <x v="14"/>
    <n v="0"/>
  </r>
  <r>
    <x v="0"/>
    <x v="0"/>
    <x v="0"/>
    <x v="16"/>
    <x v="17"/>
    <x v="0"/>
    <x v="15"/>
    <n v="0"/>
  </r>
  <r>
    <x v="0"/>
    <x v="0"/>
    <x v="0"/>
    <x v="16"/>
    <x v="17"/>
    <x v="0"/>
    <x v="16"/>
    <n v="0"/>
  </r>
  <r>
    <x v="0"/>
    <x v="0"/>
    <x v="0"/>
    <x v="16"/>
    <x v="17"/>
    <x v="0"/>
    <x v="17"/>
    <n v="0"/>
  </r>
  <r>
    <x v="0"/>
    <x v="0"/>
    <x v="0"/>
    <x v="16"/>
    <x v="17"/>
    <x v="0"/>
    <x v="18"/>
    <n v="0"/>
  </r>
  <r>
    <x v="0"/>
    <x v="0"/>
    <x v="0"/>
    <x v="16"/>
    <x v="17"/>
    <x v="0"/>
    <x v="19"/>
    <n v="0"/>
  </r>
  <r>
    <x v="0"/>
    <x v="0"/>
    <x v="0"/>
    <x v="16"/>
    <x v="17"/>
    <x v="0"/>
    <x v="20"/>
    <n v="0"/>
  </r>
  <r>
    <x v="0"/>
    <x v="0"/>
    <x v="0"/>
    <x v="16"/>
    <x v="17"/>
    <x v="0"/>
    <x v="21"/>
    <n v="0"/>
  </r>
  <r>
    <x v="0"/>
    <x v="0"/>
    <x v="0"/>
    <x v="16"/>
    <x v="17"/>
    <x v="0"/>
    <x v="22"/>
    <n v="0"/>
  </r>
  <r>
    <x v="0"/>
    <x v="0"/>
    <x v="0"/>
    <x v="16"/>
    <x v="17"/>
    <x v="0"/>
    <x v="23"/>
    <n v="0"/>
  </r>
  <r>
    <x v="0"/>
    <x v="0"/>
    <x v="0"/>
    <x v="16"/>
    <x v="8"/>
    <x v="0"/>
    <x v="0"/>
    <n v="0"/>
  </r>
  <r>
    <x v="0"/>
    <x v="0"/>
    <x v="0"/>
    <x v="16"/>
    <x v="8"/>
    <x v="0"/>
    <x v="1"/>
    <n v="0"/>
  </r>
  <r>
    <x v="0"/>
    <x v="0"/>
    <x v="0"/>
    <x v="16"/>
    <x v="8"/>
    <x v="0"/>
    <x v="2"/>
    <n v="0"/>
  </r>
  <r>
    <x v="0"/>
    <x v="0"/>
    <x v="0"/>
    <x v="16"/>
    <x v="8"/>
    <x v="0"/>
    <x v="3"/>
    <n v="0"/>
  </r>
  <r>
    <x v="0"/>
    <x v="0"/>
    <x v="0"/>
    <x v="16"/>
    <x v="8"/>
    <x v="0"/>
    <x v="4"/>
    <n v="0"/>
  </r>
  <r>
    <x v="0"/>
    <x v="0"/>
    <x v="0"/>
    <x v="16"/>
    <x v="8"/>
    <x v="0"/>
    <x v="5"/>
    <n v="0"/>
  </r>
  <r>
    <x v="0"/>
    <x v="0"/>
    <x v="0"/>
    <x v="16"/>
    <x v="8"/>
    <x v="0"/>
    <x v="6"/>
    <n v="0"/>
  </r>
  <r>
    <x v="0"/>
    <x v="0"/>
    <x v="0"/>
    <x v="16"/>
    <x v="8"/>
    <x v="0"/>
    <x v="7"/>
    <n v="0"/>
  </r>
  <r>
    <x v="0"/>
    <x v="0"/>
    <x v="0"/>
    <x v="16"/>
    <x v="8"/>
    <x v="0"/>
    <x v="8"/>
    <n v="0"/>
  </r>
  <r>
    <x v="0"/>
    <x v="0"/>
    <x v="0"/>
    <x v="16"/>
    <x v="8"/>
    <x v="0"/>
    <x v="9"/>
    <n v="0"/>
  </r>
  <r>
    <x v="0"/>
    <x v="0"/>
    <x v="0"/>
    <x v="16"/>
    <x v="8"/>
    <x v="0"/>
    <x v="10"/>
    <n v="0"/>
  </r>
  <r>
    <x v="0"/>
    <x v="0"/>
    <x v="0"/>
    <x v="16"/>
    <x v="8"/>
    <x v="0"/>
    <x v="11"/>
    <n v="0"/>
  </r>
  <r>
    <x v="0"/>
    <x v="0"/>
    <x v="0"/>
    <x v="16"/>
    <x v="8"/>
    <x v="0"/>
    <x v="12"/>
    <n v="0"/>
  </r>
  <r>
    <x v="0"/>
    <x v="0"/>
    <x v="0"/>
    <x v="16"/>
    <x v="8"/>
    <x v="0"/>
    <x v="13"/>
    <n v="0"/>
  </r>
  <r>
    <x v="0"/>
    <x v="0"/>
    <x v="0"/>
    <x v="16"/>
    <x v="8"/>
    <x v="0"/>
    <x v="14"/>
    <n v="0"/>
  </r>
  <r>
    <x v="0"/>
    <x v="0"/>
    <x v="0"/>
    <x v="16"/>
    <x v="8"/>
    <x v="0"/>
    <x v="15"/>
    <n v="0"/>
  </r>
  <r>
    <x v="0"/>
    <x v="0"/>
    <x v="0"/>
    <x v="16"/>
    <x v="8"/>
    <x v="0"/>
    <x v="16"/>
    <n v="0"/>
  </r>
  <r>
    <x v="0"/>
    <x v="0"/>
    <x v="0"/>
    <x v="16"/>
    <x v="8"/>
    <x v="0"/>
    <x v="17"/>
    <n v="0"/>
  </r>
  <r>
    <x v="0"/>
    <x v="0"/>
    <x v="0"/>
    <x v="16"/>
    <x v="8"/>
    <x v="0"/>
    <x v="18"/>
    <n v="0"/>
  </r>
  <r>
    <x v="0"/>
    <x v="0"/>
    <x v="0"/>
    <x v="16"/>
    <x v="8"/>
    <x v="0"/>
    <x v="19"/>
    <n v="0"/>
  </r>
  <r>
    <x v="0"/>
    <x v="0"/>
    <x v="0"/>
    <x v="16"/>
    <x v="8"/>
    <x v="0"/>
    <x v="20"/>
    <n v="0"/>
  </r>
  <r>
    <x v="0"/>
    <x v="0"/>
    <x v="0"/>
    <x v="16"/>
    <x v="8"/>
    <x v="0"/>
    <x v="21"/>
    <n v="0"/>
  </r>
  <r>
    <x v="0"/>
    <x v="0"/>
    <x v="0"/>
    <x v="16"/>
    <x v="8"/>
    <x v="0"/>
    <x v="22"/>
    <n v="0"/>
  </r>
  <r>
    <x v="0"/>
    <x v="0"/>
    <x v="0"/>
    <x v="16"/>
    <x v="8"/>
    <x v="0"/>
    <x v="23"/>
    <n v="0"/>
  </r>
  <r>
    <x v="0"/>
    <x v="0"/>
    <x v="0"/>
    <x v="17"/>
    <x v="12"/>
    <x v="0"/>
    <x v="0"/>
    <n v="1.30140911162488"/>
  </r>
  <r>
    <x v="0"/>
    <x v="0"/>
    <x v="0"/>
    <x v="17"/>
    <x v="12"/>
    <x v="0"/>
    <x v="1"/>
    <n v="1.30140911162488"/>
  </r>
  <r>
    <x v="0"/>
    <x v="0"/>
    <x v="0"/>
    <x v="17"/>
    <x v="12"/>
    <x v="0"/>
    <x v="2"/>
    <n v="1.30140911162488"/>
  </r>
  <r>
    <x v="0"/>
    <x v="0"/>
    <x v="0"/>
    <x v="17"/>
    <x v="12"/>
    <x v="0"/>
    <x v="3"/>
    <n v="1.30140911162488"/>
  </r>
  <r>
    <x v="0"/>
    <x v="0"/>
    <x v="0"/>
    <x v="17"/>
    <x v="12"/>
    <x v="0"/>
    <x v="4"/>
    <n v="1.30140911162488"/>
  </r>
  <r>
    <x v="0"/>
    <x v="0"/>
    <x v="0"/>
    <x v="17"/>
    <x v="12"/>
    <x v="0"/>
    <x v="5"/>
    <n v="1.30140911162488"/>
  </r>
  <r>
    <x v="0"/>
    <x v="0"/>
    <x v="0"/>
    <x v="17"/>
    <x v="12"/>
    <x v="0"/>
    <x v="6"/>
    <n v="1.30140911162488"/>
  </r>
  <r>
    <x v="0"/>
    <x v="0"/>
    <x v="0"/>
    <x v="17"/>
    <x v="12"/>
    <x v="0"/>
    <x v="7"/>
    <n v="1.30140911162488"/>
  </r>
  <r>
    <x v="0"/>
    <x v="0"/>
    <x v="0"/>
    <x v="17"/>
    <x v="12"/>
    <x v="0"/>
    <x v="8"/>
    <n v="1.30140911162488"/>
  </r>
  <r>
    <x v="0"/>
    <x v="0"/>
    <x v="0"/>
    <x v="17"/>
    <x v="12"/>
    <x v="0"/>
    <x v="9"/>
    <n v="1.30140911162488"/>
  </r>
  <r>
    <x v="0"/>
    <x v="0"/>
    <x v="0"/>
    <x v="17"/>
    <x v="12"/>
    <x v="0"/>
    <x v="10"/>
    <n v="1.30140911162488"/>
  </r>
  <r>
    <x v="0"/>
    <x v="0"/>
    <x v="0"/>
    <x v="17"/>
    <x v="12"/>
    <x v="0"/>
    <x v="11"/>
    <n v="1.30140911162488"/>
  </r>
  <r>
    <x v="0"/>
    <x v="0"/>
    <x v="0"/>
    <x v="17"/>
    <x v="12"/>
    <x v="0"/>
    <x v="12"/>
    <n v="1.30140911162488"/>
  </r>
  <r>
    <x v="0"/>
    <x v="0"/>
    <x v="0"/>
    <x v="17"/>
    <x v="12"/>
    <x v="0"/>
    <x v="13"/>
    <n v="1.30140911162488"/>
  </r>
  <r>
    <x v="0"/>
    <x v="0"/>
    <x v="0"/>
    <x v="17"/>
    <x v="12"/>
    <x v="0"/>
    <x v="14"/>
    <n v="1.30140911162488"/>
  </r>
  <r>
    <x v="0"/>
    <x v="0"/>
    <x v="0"/>
    <x v="17"/>
    <x v="12"/>
    <x v="0"/>
    <x v="15"/>
    <n v="1.30140911162488"/>
  </r>
  <r>
    <x v="0"/>
    <x v="0"/>
    <x v="0"/>
    <x v="17"/>
    <x v="12"/>
    <x v="0"/>
    <x v="16"/>
    <n v="1.30140911162488"/>
  </r>
  <r>
    <x v="0"/>
    <x v="0"/>
    <x v="0"/>
    <x v="17"/>
    <x v="12"/>
    <x v="0"/>
    <x v="17"/>
    <n v="1.30140911162488"/>
  </r>
  <r>
    <x v="0"/>
    <x v="0"/>
    <x v="0"/>
    <x v="17"/>
    <x v="12"/>
    <x v="0"/>
    <x v="18"/>
    <n v="1.30140911162488"/>
  </r>
  <r>
    <x v="0"/>
    <x v="0"/>
    <x v="0"/>
    <x v="17"/>
    <x v="12"/>
    <x v="0"/>
    <x v="19"/>
    <n v="1.30140911162488"/>
  </r>
  <r>
    <x v="0"/>
    <x v="0"/>
    <x v="0"/>
    <x v="17"/>
    <x v="12"/>
    <x v="0"/>
    <x v="20"/>
    <n v="1.30140911162488"/>
  </r>
  <r>
    <x v="0"/>
    <x v="0"/>
    <x v="0"/>
    <x v="17"/>
    <x v="12"/>
    <x v="0"/>
    <x v="21"/>
    <n v="1.30140911162488"/>
  </r>
  <r>
    <x v="0"/>
    <x v="0"/>
    <x v="0"/>
    <x v="17"/>
    <x v="12"/>
    <x v="0"/>
    <x v="22"/>
    <n v="1.30140911162488"/>
  </r>
  <r>
    <x v="0"/>
    <x v="0"/>
    <x v="0"/>
    <x v="17"/>
    <x v="12"/>
    <x v="0"/>
    <x v="23"/>
    <n v="1.30140911162488"/>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
  </r>
  <r>
    <x v="0"/>
    <x v="0"/>
    <x v="0"/>
    <x v="17"/>
    <x v="21"/>
    <x v="0"/>
    <x v="1"/>
    <n v="0"/>
  </r>
  <r>
    <x v="0"/>
    <x v="0"/>
    <x v="0"/>
    <x v="17"/>
    <x v="21"/>
    <x v="0"/>
    <x v="2"/>
    <n v="0"/>
  </r>
  <r>
    <x v="0"/>
    <x v="0"/>
    <x v="0"/>
    <x v="17"/>
    <x v="21"/>
    <x v="0"/>
    <x v="3"/>
    <n v="0"/>
  </r>
  <r>
    <x v="0"/>
    <x v="0"/>
    <x v="0"/>
    <x v="17"/>
    <x v="21"/>
    <x v="0"/>
    <x v="4"/>
    <n v="0"/>
  </r>
  <r>
    <x v="0"/>
    <x v="0"/>
    <x v="0"/>
    <x v="17"/>
    <x v="21"/>
    <x v="0"/>
    <x v="5"/>
    <n v="0"/>
  </r>
  <r>
    <x v="0"/>
    <x v="0"/>
    <x v="0"/>
    <x v="17"/>
    <x v="21"/>
    <x v="0"/>
    <x v="6"/>
    <n v="0"/>
  </r>
  <r>
    <x v="0"/>
    <x v="0"/>
    <x v="0"/>
    <x v="17"/>
    <x v="21"/>
    <x v="0"/>
    <x v="7"/>
    <n v="0"/>
  </r>
  <r>
    <x v="0"/>
    <x v="0"/>
    <x v="0"/>
    <x v="17"/>
    <x v="21"/>
    <x v="0"/>
    <x v="8"/>
    <n v="0"/>
  </r>
  <r>
    <x v="0"/>
    <x v="0"/>
    <x v="0"/>
    <x v="17"/>
    <x v="21"/>
    <x v="0"/>
    <x v="9"/>
    <n v="0"/>
  </r>
  <r>
    <x v="0"/>
    <x v="0"/>
    <x v="0"/>
    <x v="17"/>
    <x v="21"/>
    <x v="0"/>
    <x v="10"/>
    <n v="0"/>
  </r>
  <r>
    <x v="0"/>
    <x v="0"/>
    <x v="0"/>
    <x v="17"/>
    <x v="21"/>
    <x v="0"/>
    <x v="11"/>
    <n v="0"/>
  </r>
  <r>
    <x v="0"/>
    <x v="0"/>
    <x v="0"/>
    <x v="17"/>
    <x v="21"/>
    <x v="0"/>
    <x v="12"/>
    <n v="0"/>
  </r>
  <r>
    <x v="0"/>
    <x v="0"/>
    <x v="0"/>
    <x v="17"/>
    <x v="21"/>
    <x v="0"/>
    <x v="13"/>
    <n v="0"/>
  </r>
  <r>
    <x v="0"/>
    <x v="0"/>
    <x v="0"/>
    <x v="17"/>
    <x v="21"/>
    <x v="0"/>
    <x v="14"/>
    <n v="0"/>
  </r>
  <r>
    <x v="0"/>
    <x v="0"/>
    <x v="0"/>
    <x v="17"/>
    <x v="21"/>
    <x v="0"/>
    <x v="15"/>
    <n v="0"/>
  </r>
  <r>
    <x v="0"/>
    <x v="0"/>
    <x v="0"/>
    <x v="17"/>
    <x v="21"/>
    <x v="0"/>
    <x v="16"/>
    <n v="0"/>
  </r>
  <r>
    <x v="0"/>
    <x v="0"/>
    <x v="0"/>
    <x v="17"/>
    <x v="21"/>
    <x v="0"/>
    <x v="17"/>
    <n v="0"/>
  </r>
  <r>
    <x v="0"/>
    <x v="0"/>
    <x v="0"/>
    <x v="17"/>
    <x v="21"/>
    <x v="0"/>
    <x v="18"/>
    <n v="0"/>
  </r>
  <r>
    <x v="0"/>
    <x v="0"/>
    <x v="0"/>
    <x v="17"/>
    <x v="21"/>
    <x v="0"/>
    <x v="19"/>
    <n v="0"/>
  </r>
  <r>
    <x v="0"/>
    <x v="0"/>
    <x v="0"/>
    <x v="17"/>
    <x v="21"/>
    <x v="0"/>
    <x v="20"/>
    <n v="0"/>
  </r>
  <r>
    <x v="0"/>
    <x v="0"/>
    <x v="0"/>
    <x v="17"/>
    <x v="21"/>
    <x v="0"/>
    <x v="21"/>
    <n v="0"/>
  </r>
  <r>
    <x v="0"/>
    <x v="0"/>
    <x v="0"/>
    <x v="17"/>
    <x v="21"/>
    <x v="0"/>
    <x v="22"/>
    <n v="0"/>
  </r>
  <r>
    <x v="0"/>
    <x v="0"/>
    <x v="0"/>
    <x v="17"/>
    <x v="21"/>
    <x v="0"/>
    <x v="23"/>
    <n v="0"/>
  </r>
  <r>
    <x v="0"/>
    <x v="0"/>
    <x v="0"/>
    <x v="18"/>
    <x v="18"/>
    <x v="0"/>
    <x v="0"/>
    <n v="0.9"/>
  </r>
  <r>
    <x v="0"/>
    <x v="0"/>
    <x v="0"/>
    <x v="18"/>
    <x v="18"/>
    <x v="0"/>
    <x v="1"/>
    <n v="0.9"/>
  </r>
  <r>
    <x v="0"/>
    <x v="0"/>
    <x v="0"/>
    <x v="18"/>
    <x v="18"/>
    <x v="0"/>
    <x v="2"/>
    <n v="0.9"/>
  </r>
  <r>
    <x v="0"/>
    <x v="0"/>
    <x v="0"/>
    <x v="18"/>
    <x v="18"/>
    <x v="0"/>
    <x v="3"/>
    <n v="0.9"/>
  </r>
  <r>
    <x v="0"/>
    <x v="0"/>
    <x v="0"/>
    <x v="18"/>
    <x v="18"/>
    <x v="0"/>
    <x v="4"/>
    <n v="0.88144895161697401"/>
  </r>
  <r>
    <x v="0"/>
    <x v="0"/>
    <x v="0"/>
    <x v="18"/>
    <x v="18"/>
    <x v="0"/>
    <x v="5"/>
    <n v="0.9"/>
  </r>
  <r>
    <x v="0"/>
    <x v="0"/>
    <x v="0"/>
    <x v="18"/>
    <x v="18"/>
    <x v="0"/>
    <x v="6"/>
    <n v="0.61883796747089004"/>
  </r>
  <r>
    <x v="0"/>
    <x v="0"/>
    <x v="0"/>
    <x v="18"/>
    <x v="18"/>
    <x v="0"/>
    <x v="7"/>
    <n v="0"/>
  </r>
  <r>
    <x v="0"/>
    <x v="0"/>
    <x v="0"/>
    <x v="18"/>
    <x v="18"/>
    <x v="0"/>
    <x v="8"/>
    <n v="0.52099684309855798"/>
  </r>
  <r>
    <x v="0"/>
    <x v="0"/>
    <x v="0"/>
    <x v="18"/>
    <x v="18"/>
    <x v="0"/>
    <x v="9"/>
    <n v="0"/>
  </r>
  <r>
    <x v="0"/>
    <x v="0"/>
    <x v="0"/>
    <x v="18"/>
    <x v="18"/>
    <x v="0"/>
    <x v="10"/>
    <n v="0.71656966942269995"/>
  </r>
  <r>
    <x v="0"/>
    <x v="0"/>
    <x v="0"/>
    <x v="18"/>
    <x v="18"/>
    <x v="0"/>
    <x v="11"/>
    <n v="0.9"/>
  </r>
  <r>
    <x v="0"/>
    <x v="0"/>
    <x v="0"/>
    <x v="18"/>
    <x v="18"/>
    <x v="0"/>
    <x v="12"/>
    <n v="0.9"/>
  </r>
  <r>
    <x v="0"/>
    <x v="0"/>
    <x v="0"/>
    <x v="18"/>
    <x v="18"/>
    <x v="0"/>
    <x v="13"/>
    <n v="0.9"/>
  </r>
  <r>
    <x v="0"/>
    <x v="0"/>
    <x v="0"/>
    <x v="18"/>
    <x v="18"/>
    <x v="0"/>
    <x v="14"/>
    <n v="0.9"/>
  </r>
  <r>
    <x v="0"/>
    <x v="0"/>
    <x v="0"/>
    <x v="18"/>
    <x v="18"/>
    <x v="0"/>
    <x v="15"/>
    <n v="0.47465990029147898"/>
  </r>
  <r>
    <x v="0"/>
    <x v="0"/>
    <x v="0"/>
    <x v="18"/>
    <x v="18"/>
    <x v="0"/>
    <x v="16"/>
    <n v="0.46256452485050498"/>
  </r>
  <r>
    <x v="0"/>
    <x v="0"/>
    <x v="0"/>
    <x v="18"/>
    <x v="18"/>
    <x v="0"/>
    <x v="17"/>
    <n v="0.9"/>
  </r>
  <r>
    <x v="0"/>
    <x v="0"/>
    <x v="0"/>
    <x v="18"/>
    <x v="18"/>
    <x v="0"/>
    <x v="18"/>
    <n v="0.45184137961620202"/>
  </r>
  <r>
    <x v="0"/>
    <x v="0"/>
    <x v="0"/>
    <x v="18"/>
    <x v="18"/>
    <x v="0"/>
    <x v="19"/>
    <n v="0.9"/>
  </r>
  <r>
    <x v="0"/>
    <x v="0"/>
    <x v="0"/>
    <x v="18"/>
    <x v="18"/>
    <x v="0"/>
    <x v="20"/>
    <n v="0.9"/>
  </r>
  <r>
    <x v="0"/>
    <x v="0"/>
    <x v="0"/>
    <x v="18"/>
    <x v="18"/>
    <x v="0"/>
    <x v="21"/>
    <n v="0.9"/>
  </r>
  <r>
    <x v="0"/>
    <x v="0"/>
    <x v="0"/>
    <x v="18"/>
    <x v="18"/>
    <x v="0"/>
    <x v="22"/>
    <n v="0.9"/>
  </r>
  <r>
    <x v="0"/>
    <x v="0"/>
    <x v="0"/>
    <x v="18"/>
    <x v="18"/>
    <x v="0"/>
    <x v="23"/>
    <n v="0.9"/>
  </r>
  <r>
    <x v="0"/>
    <x v="0"/>
    <x v="0"/>
    <x v="18"/>
    <x v="15"/>
    <x v="0"/>
    <x v="0"/>
    <n v="0"/>
  </r>
  <r>
    <x v="0"/>
    <x v="0"/>
    <x v="0"/>
    <x v="18"/>
    <x v="15"/>
    <x v="0"/>
    <x v="1"/>
    <n v="0"/>
  </r>
  <r>
    <x v="0"/>
    <x v="0"/>
    <x v="0"/>
    <x v="18"/>
    <x v="15"/>
    <x v="0"/>
    <x v="2"/>
    <n v="0"/>
  </r>
  <r>
    <x v="0"/>
    <x v="0"/>
    <x v="0"/>
    <x v="18"/>
    <x v="15"/>
    <x v="0"/>
    <x v="3"/>
    <n v="0"/>
  </r>
  <r>
    <x v="0"/>
    <x v="0"/>
    <x v="0"/>
    <x v="18"/>
    <x v="15"/>
    <x v="0"/>
    <x v="4"/>
    <n v="0"/>
  </r>
  <r>
    <x v="0"/>
    <x v="0"/>
    <x v="0"/>
    <x v="18"/>
    <x v="15"/>
    <x v="0"/>
    <x v="5"/>
    <n v="0"/>
  </r>
  <r>
    <x v="0"/>
    <x v="0"/>
    <x v="0"/>
    <x v="18"/>
    <x v="15"/>
    <x v="0"/>
    <x v="6"/>
    <n v="0"/>
  </r>
  <r>
    <x v="0"/>
    <x v="0"/>
    <x v="0"/>
    <x v="18"/>
    <x v="15"/>
    <x v="0"/>
    <x v="7"/>
    <n v="0"/>
  </r>
  <r>
    <x v="0"/>
    <x v="0"/>
    <x v="0"/>
    <x v="18"/>
    <x v="15"/>
    <x v="0"/>
    <x v="8"/>
    <n v="0"/>
  </r>
  <r>
    <x v="0"/>
    <x v="0"/>
    <x v="0"/>
    <x v="18"/>
    <x v="15"/>
    <x v="0"/>
    <x v="9"/>
    <n v="0"/>
  </r>
  <r>
    <x v="0"/>
    <x v="0"/>
    <x v="0"/>
    <x v="18"/>
    <x v="15"/>
    <x v="0"/>
    <x v="10"/>
    <n v="0"/>
  </r>
  <r>
    <x v="0"/>
    <x v="0"/>
    <x v="0"/>
    <x v="18"/>
    <x v="15"/>
    <x v="0"/>
    <x v="11"/>
    <n v="0"/>
  </r>
  <r>
    <x v="0"/>
    <x v="0"/>
    <x v="0"/>
    <x v="18"/>
    <x v="15"/>
    <x v="0"/>
    <x v="12"/>
    <n v="0"/>
  </r>
  <r>
    <x v="0"/>
    <x v="0"/>
    <x v="0"/>
    <x v="18"/>
    <x v="15"/>
    <x v="0"/>
    <x v="13"/>
    <n v="0"/>
  </r>
  <r>
    <x v="0"/>
    <x v="0"/>
    <x v="0"/>
    <x v="18"/>
    <x v="15"/>
    <x v="0"/>
    <x v="14"/>
    <n v="0"/>
  </r>
  <r>
    <x v="0"/>
    <x v="0"/>
    <x v="0"/>
    <x v="18"/>
    <x v="15"/>
    <x v="0"/>
    <x v="15"/>
    <n v="0"/>
  </r>
  <r>
    <x v="0"/>
    <x v="0"/>
    <x v="0"/>
    <x v="18"/>
    <x v="15"/>
    <x v="0"/>
    <x v="16"/>
    <n v="0"/>
  </r>
  <r>
    <x v="0"/>
    <x v="0"/>
    <x v="0"/>
    <x v="18"/>
    <x v="15"/>
    <x v="0"/>
    <x v="17"/>
    <n v="0"/>
  </r>
  <r>
    <x v="0"/>
    <x v="0"/>
    <x v="0"/>
    <x v="18"/>
    <x v="15"/>
    <x v="0"/>
    <x v="18"/>
    <n v="0"/>
  </r>
  <r>
    <x v="0"/>
    <x v="0"/>
    <x v="0"/>
    <x v="18"/>
    <x v="15"/>
    <x v="0"/>
    <x v="19"/>
    <n v="0"/>
  </r>
  <r>
    <x v="0"/>
    <x v="0"/>
    <x v="0"/>
    <x v="18"/>
    <x v="15"/>
    <x v="0"/>
    <x v="20"/>
    <n v="0"/>
  </r>
  <r>
    <x v="0"/>
    <x v="0"/>
    <x v="0"/>
    <x v="18"/>
    <x v="15"/>
    <x v="0"/>
    <x v="21"/>
    <n v="0"/>
  </r>
  <r>
    <x v="0"/>
    <x v="0"/>
    <x v="0"/>
    <x v="18"/>
    <x v="15"/>
    <x v="0"/>
    <x v="22"/>
    <n v="0"/>
  </r>
  <r>
    <x v="0"/>
    <x v="0"/>
    <x v="0"/>
    <x v="18"/>
    <x v="15"/>
    <x v="0"/>
    <x v="23"/>
    <n v="0"/>
  </r>
  <r>
    <x v="0"/>
    <x v="0"/>
    <x v="0"/>
    <x v="18"/>
    <x v="16"/>
    <x v="0"/>
    <x v="0"/>
    <n v="0"/>
  </r>
  <r>
    <x v="0"/>
    <x v="0"/>
    <x v="0"/>
    <x v="18"/>
    <x v="16"/>
    <x v="0"/>
    <x v="1"/>
    <n v="0"/>
  </r>
  <r>
    <x v="0"/>
    <x v="0"/>
    <x v="0"/>
    <x v="18"/>
    <x v="16"/>
    <x v="0"/>
    <x v="2"/>
    <n v="0"/>
  </r>
  <r>
    <x v="0"/>
    <x v="0"/>
    <x v="0"/>
    <x v="18"/>
    <x v="16"/>
    <x v="0"/>
    <x v="3"/>
    <n v="0"/>
  </r>
  <r>
    <x v="0"/>
    <x v="0"/>
    <x v="0"/>
    <x v="18"/>
    <x v="16"/>
    <x v="0"/>
    <x v="4"/>
    <n v="0"/>
  </r>
  <r>
    <x v="0"/>
    <x v="0"/>
    <x v="0"/>
    <x v="18"/>
    <x v="16"/>
    <x v="0"/>
    <x v="5"/>
    <n v="0"/>
  </r>
  <r>
    <x v="0"/>
    <x v="0"/>
    <x v="0"/>
    <x v="18"/>
    <x v="16"/>
    <x v="0"/>
    <x v="6"/>
    <n v="0"/>
  </r>
  <r>
    <x v="0"/>
    <x v="0"/>
    <x v="0"/>
    <x v="18"/>
    <x v="16"/>
    <x v="0"/>
    <x v="7"/>
    <n v="0"/>
  </r>
  <r>
    <x v="0"/>
    <x v="0"/>
    <x v="0"/>
    <x v="18"/>
    <x v="16"/>
    <x v="0"/>
    <x v="8"/>
    <n v="0"/>
  </r>
  <r>
    <x v="0"/>
    <x v="0"/>
    <x v="0"/>
    <x v="18"/>
    <x v="16"/>
    <x v="0"/>
    <x v="9"/>
    <n v="0"/>
  </r>
  <r>
    <x v="0"/>
    <x v="0"/>
    <x v="0"/>
    <x v="18"/>
    <x v="16"/>
    <x v="0"/>
    <x v="10"/>
    <n v="0"/>
  </r>
  <r>
    <x v="0"/>
    <x v="0"/>
    <x v="0"/>
    <x v="18"/>
    <x v="16"/>
    <x v="0"/>
    <x v="11"/>
    <n v="0"/>
  </r>
  <r>
    <x v="0"/>
    <x v="0"/>
    <x v="0"/>
    <x v="18"/>
    <x v="16"/>
    <x v="0"/>
    <x v="12"/>
    <n v="0"/>
  </r>
  <r>
    <x v="0"/>
    <x v="0"/>
    <x v="0"/>
    <x v="18"/>
    <x v="16"/>
    <x v="0"/>
    <x v="13"/>
    <n v="0"/>
  </r>
  <r>
    <x v="0"/>
    <x v="0"/>
    <x v="0"/>
    <x v="18"/>
    <x v="16"/>
    <x v="0"/>
    <x v="14"/>
    <n v="0"/>
  </r>
  <r>
    <x v="0"/>
    <x v="0"/>
    <x v="0"/>
    <x v="18"/>
    <x v="16"/>
    <x v="0"/>
    <x v="15"/>
    <n v="0"/>
  </r>
  <r>
    <x v="0"/>
    <x v="0"/>
    <x v="0"/>
    <x v="18"/>
    <x v="16"/>
    <x v="0"/>
    <x v="16"/>
    <n v="0"/>
  </r>
  <r>
    <x v="0"/>
    <x v="0"/>
    <x v="0"/>
    <x v="18"/>
    <x v="16"/>
    <x v="0"/>
    <x v="17"/>
    <n v="0"/>
  </r>
  <r>
    <x v="0"/>
    <x v="0"/>
    <x v="0"/>
    <x v="18"/>
    <x v="16"/>
    <x v="0"/>
    <x v="18"/>
    <n v="0"/>
  </r>
  <r>
    <x v="0"/>
    <x v="0"/>
    <x v="0"/>
    <x v="18"/>
    <x v="16"/>
    <x v="0"/>
    <x v="19"/>
    <n v="0"/>
  </r>
  <r>
    <x v="0"/>
    <x v="0"/>
    <x v="0"/>
    <x v="18"/>
    <x v="16"/>
    <x v="0"/>
    <x v="20"/>
    <n v="0"/>
  </r>
  <r>
    <x v="0"/>
    <x v="0"/>
    <x v="0"/>
    <x v="18"/>
    <x v="16"/>
    <x v="0"/>
    <x v="21"/>
    <n v="0"/>
  </r>
  <r>
    <x v="0"/>
    <x v="0"/>
    <x v="0"/>
    <x v="18"/>
    <x v="16"/>
    <x v="0"/>
    <x v="22"/>
    <n v="0"/>
  </r>
  <r>
    <x v="0"/>
    <x v="0"/>
    <x v="0"/>
    <x v="18"/>
    <x v="16"/>
    <x v="0"/>
    <x v="23"/>
    <n v="0"/>
  </r>
  <r>
    <x v="0"/>
    <x v="0"/>
    <x v="0"/>
    <x v="18"/>
    <x v="10"/>
    <x v="0"/>
    <x v="0"/>
    <n v="1.64737045641534"/>
  </r>
  <r>
    <x v="0"/>
    <x v="0"/>
    <x v="0"/>
    <x v="18"/>
    <x v="10"/>
    <x v="0"/>
    <x v="1"/>
    <n v="1.4377369962323101"/>
  </r>
  <r>
    <x v="0"/>
    <x v="0"/>
    <x v="0"/>
    <x v="18"/>
    <x v="10"/>
    <x v="0"/>
    <x v="2"/>
    <n v="1.6921771351133399"/>
  </r>
  <r>
    <x v="0"/>
    <x v="0"/>
    <x v="0"/>
    <x v="18"/>
    <x v="10"/>
    <x v="0"/>
    <x v="3"/>
    <n v="1.8431248190014"/>
  </r>
  <r>
    <x v="0"/>
    <x v="0"/>
    <x v="0"/>
    <x v="18"/>
    <x v="10"/>
    <x v="0"/>
    <x v="4"/>
    <n v="1.8486952352735999"/>
  </r>
  <r>
    <x v="0"/>
    <x v="0"/>
    <x v="0"/>
    <x v="18"/>
    <x v="10"/>
    <x v="0"/>
    <x v="5"/>
    <n v="1.7813873502176201"/>
  </r>
  <r>
    <x v="0"/>
    <x v="0"/>
    <x v="0"/>
    <x v="18"/>
    <x v="10"/>
    <x v="0"/>
    <x v="6"/>
    <n v="2.8694940049199902"/>
  </r>
  <r>
    <x v="0"/>
    <x v="0"/>
    <x v="0"/>
    <x v="18"/>
    <x v="10"/>
    <x v="0"/>
    <x v="7"/>
    <n v="4.1780095439279101"/>
  </r>
  <r>
    <x v="0"/>
    <x v="0"/>
    <x v="0"/>
    <x v="18"/>
    <x v="10"/>
    <x v="0"/>
    <x v="8"/>
    <n v="4.1330590783252701"/>
  </r>
  <r>
    <x v="0"/>
    <x v="0"/>
    <x v="0"/>
    <x v="18"/>
    <x v="10"/>
    <x v="0"/>
    <x v="9"/>
    <n v="4.3303488175579403"/>
  </r>
  <r>
    <x v="0"/>
    <x v="0"/>
    <x v="0"/>
    <x v="18"/>
    <x v="10"/>
    <x v="0"/>
    <x v="10"/>
    <n v="3.6812836503193198"/>
  </r>
  <r>
    <x v="0"/>
    <x v="0"/>
    <x v="0"/>
    <x v="18"/>
    <x v="10"/>
    <x v="0"/>
    <x v="11"/>
    <n v="3.55184646051773"/>
  </r>
  <r>
    <x v="0"/>
    <x v="0"/>
    <x v="0"/>
    <x v="18"/>
    <x v="10"/>
    <x v="0"/>
    <x v="12"/>
    <n v="3.4297458447817601"/>
  </r>
  <r>
    <x v="0"/>
    <x v="0"/>
    <x v="0"/>
    <x v="18"/>
    <x v="10"/>
    <x v="0"/>
    <x v="13"/>
    <n v="3.4549148687026299"/>
  </r>
  <r>
    <x v="0"/>
    <x v="0"/>
    <x v="0"/>
    <x v="18"/>
    <x v="10"/>
    <x v="0"/>
    <x v="14"/>
    <n v="3.25721503279251"/>
  </r>
  <r>
    <x v="0"/>
    <x v="0"/>
    <x v="0"/>
    <x v="18"/>
    <x v="10"/>
    <x v="0"/>
    <x v="15"/>
    <n v="4.0275282484369797"/>
  </r>
  <r>
    <x v="0"/>
    <x v="0"/>
    <x v="0"/>
    <x v="18"/>
    <x v="10"/>
    <x v="0"/>
    <x v="16"/>
    <n v="4.1141395596508303"/>
  </r>
  <r>
    <x v="0"/>
    <x v="0"/>
    <x v="0"/>
    <x v="18"/>
    <x v="10"/>
    <x v="0"/>
    <x v="17"/>
    <n v="2.9743095871942899"/>
  </r>
  <r>
    <x v="0"/>
    <x v="0"/>
    <x v="0"/>
    <x v="18"/>
    <x v="10"/>
    <x v="0"/>
    <x v="18"/>
    <n v="3.4484260283888002"/>
  </r>
  <r>
    <x v="0"/>
    <x v="0"/>
    <x v="0"/>
    <x v="18"/>
    <x v="10"/>
    <x v="0"/>
    <x v="19"/>
    <n v="3.0007618736845001"/>
  </r>
  <r>
    <x v="0"/>
    <x v="0"/>
    <x v="0"/>
    <x v="18"/>
    <x v="10"/>
    <x v="0"/>
    <x v="20"/>
    <n v="2.9948225021619099"/>
  </r>
  <r>
    <x v="0"/>
    <x v="0"/>
    <x v="0"/>
    <x v="18"/>
    <x v="10"/>
    <x v="0"/>
    <x v="21"/>
    <n v="2.37135830702471"/>
  </r>
  <r>
    <x v="0"/>
    <x v="0"/>
    <x v="0"/>
    <x v="18"/>
    <x v="10"/>
    <x v="0"/>
    <x v="22"/>
    <n v="2.0204205841570602"/>
  </r>
  <r>
    <x v="0"/>
    <x v="0"/>
    <x v="0"/>
    <x v="18"/>
    <x v="10"/>
    <x v="0"/>
    <x v="23"/>
    <n v="0.69941260202509303"/>
  </r>
  <r>
    <x v="0"/>
    <x v="0"/>
    <x v="0"/>
    <x v="19"/>
    <x v="6"/>
    <x v="0"/>
    <x v="0"/>
    <n v="1.32211792709343"/>
  </r>
  <r>
    <x v="0"/>
    <x v="0"/>
    <x v="0"/>
    <x v="19"/>
    <x v="6"/>
    <x v="0"/>
    <x v="1"/>
    <n v="1.32211792709343"/>
  </r>
  <r>
    <x v="0"/>
    <x v="0"/>
    <x v="0"/>
    <x v="19"/>
    <x v="6"/>
    <x v="0"/>
    <x v="2"/>
    <n v="1.32211792709343"/>
  </r>
  <r>
    <x v="0"/>
    <x v="0"/>
    <x v="0"/>
    <x v="19"/>
    <x v="6"/>
    <x v="0"/>
    <x v="3"/>
    <n v="1.32211792709343"/>
  </r>
  <r>
    <x v="0"/>
    <x v="0"/>
    <x v="0"/>
    <x v="19"/>
    <x v="6"/>
    <x v="0"/>
    <x v="4"/>
    <n v="1.32211792709343"/>
  </r>
  <r>
    <x v="0"/>
    <x v="0"/>
    <x v="0"/>
    <x v="19"/>
    <x v="6"/>
    <x v="0"/>
    <x v="5"/>
    <n v="1.32211792709343"/>
  </r>
  <r>
    <x v="0"/>
    <x v="0"/>
    <x v="0"/>
    <x v="19"/>
    <x v="6"/>
    <x v="0"/>
    <x v="6"/>
    <n v="1.32211792709343"/>
  </r>
  <r>
    <x v="0"/>
    <x v="0"/>
    <x v="0"/>
    <x v="19"/>
    <x v="6"/>
    <x v="0"/>
    <x v="7"/>
    <n v="1.32211792709343"/>
  </r>
  <r>
    <x v="0"/>
    <x v="0"/>
    <x v="0"/>
    <x v="19"/>
    <x v="6"/>
    <x v="0"/>
    <x v="8"/>
    <n v="1.32211792709343"/>
  </r>
  <r>
    <x v="0"/>
    <x v="0"/>
    <x v="0"/>
    <x v="19"/>
    <x v="6"/>
    <x v="0"/>
    <x v="9"/>
    <n v="1.32211792709343"/>
  </r>
  <r>
    <x v="0"/>
    <x v="0"/>
    <x v="0"/>
    <x v="19"/>
    <x v="6"/>
    <x v="0"/>
    <x v="10"/>
    <n v="1.05438811119827"/>
  </r>
  <r>
    <x v="0"/>
    <x v="0"/>
    <x v="0"/>
    <x v="19"/>
    <x v="6"/>
    <x v="0"/>
    <x v="11"/>
    <n v="0.77176273651923899"/>
  </r>
  <r>
    <x v="0"/>
    <x v="0"/>
    <x v="0"/>
    <x v="19"/>
    <x v="6"/>
    <x v="0"/>
    <x v="12"/>
    <n v="0.59902486000125399"/>
  </r>
  <r>
    <x v="0"/>
    <x v="0"/>
    <x v="0"/>
    <x v="19"/>
    <x v="6"/>
    <x v="0"/>
    <x v="13"/>
    <n v="0.46760333896249401"/>
  </r>
  <r>
    <x v="0"/>
    <x v="0"/>
    <x v="0"/>
    <x v="19"/>
    <x v="6"/>
    <x v="0"/>
    <x v="14"/>
    <n v="0.47235594724583801"/>
  </r>
  <r>
    <x v="0"/>
    <x v="0"/>
    <x v="0"/>
    <x v="19"/>
    <x v="6"/>
    <x v="0"/>
    <x v="15"/>
    <n v="0.65354849549652605"/>
  </r>
  <r>
    <x v="0"/>
    <x v="0"/>
    <x v="0"/>
    <x v="19"/>
    <x v="6"/>
    <x v="0"/>
    <x v="16"/>
    <n v="0.60402802480830098"/>
  </r>
  <r>
    <x v="0"/>
    <x v="0"/>
    <x v="0"/>
    <x v="19"/>
    <x v="6"/>
    <x v="0"/>
    <x v="17"/>
    <n v="0"/>
  </r>
  <r>
    <x v="0"/>
    <x v="0"/>
    <x v="0"/>
    <x v="19"/>
    <x v="6"/>
    <x v="0"/>
    <x v="18"/>
    <n v="0.23720828567525901"/>
  </r>
  <r>
    <x v="0"/>
    <x v="0"/>
    <x v="0"/>
    <x v="19"/>
    <x v="6"/>
    <x v="0"/>
    <x v="19"/>
    <n v="0.86861633790103898"/>
  </r>
  <r>
    <x v="0"/>
    <x v="0"/>
    <x v="0"/>
    <x v="19"/>
    <x v="6"/>
    <x v="0"/>
    <x v="20"/>
    <n v="0.73182680367345598"/>
  </r>
  <r>
    <x v="0"/>
    <x v="0"/>
    <x v="0"/>
    <x v="19"/>
    <x v="6"/>
    <x v="0"/>
    <x v="21"/>
    <n v="0.40449935503018403"/>
  </r>
  <r>
    <x v="0"/>
    <x v="0"/>
    <x v="0"/>
    <x v="19"/>
    <x v="6"/>
    <x v="0"/>
    <x v="22"/>
    <n v="0.16419057731405401"/>
  </r>
  <r>
    <x v="0"/>
    <x v="0"/>
    <x v="0"/>
    <x v="19"/>
    <x v="6"/>
    <x v="0"/>
    <x v="23"/>
    <n v="0"/>
  </r>
  <r>
    <x v="0"/>
    <x v="0"/>
    <x v="0"/>
    <x v="19"/>
    <x v="14"/>
    <x v="0"/>
    <x v="0"/>
    <n v="0.25691167157678702"/>
  </r>
  <r>
    <x v="0"/>
    <x v="0"/>
    <x v="0"/>
    <x v="19"/>
    <x v="14"/>
    <x v="0"/>
    <x v="1"/>
    <n v="0.25691167157678702"/>
  </r>
  <r>
    <x v="0"/>
    <x v="0"/>
    <x v="0"/>
    <x v="19"/>
    <x v="14"/>
    <x v="0"/>
    <x v="2"/>
    <n v="0.25691167157678702"/>
  </r>
  <r>
    <x v="0"/>
    <x v="0"/>
    <x v="0"/>
    <x v="19"/>
    <x v="14"/>
    <x v="0"/>
    <x v="3"/>
    <n v="0.25691167157678702"/>
  </r>
  <r>
    <x v="0"/>
    <x v="0"/>
    <x v="0"/>
    <x v="19"/>
    <x v="14"/>
    <x v="0"/>
    <x v="4"/>
    <n v="0.25691167157678702"/>
  </r>
  <r>
    <x v="0"/>
    <x v="0"/>
    <x v="0"/>
    <x v="19"/>
    <x v="14"/>
    <x v="0"/>
    <x v="5"/>
    <n v="0.25691167157678702"/>
  </r>
  <r>
    <x v="0"/>
    <x v="0"/>
    <x v="0"/>
    <x v="19"/>
    <x v="14"/>
    <x v="0"/>
    <x v="6"/>
    <n v="0.25691167157678702"/>
  </r>
  <r>
    <x v="0"/>
    <x v="0"/>
    <x v="0"/>
    <x v="19"/>
    <x v="14"/>
    <x v="0"/>
    <x v="7"/>
    <n v="0.25691167157678702"/>
  </r>
  <r>
    <x v="0"/>
    <x v="0"/>
    <x v="0"/>
    <x v="19"/>
    <x v="14"/>
    <x v="0"/>
    <x v="8"/>
    <n v="0.25691167157678702"/>
  </r>
  <r>
    <x v="0"/>
    <x v="0"/>
    <x v="0"/>
    <x v="19"/>
    <x v="14"/>
    <x v="0"/>
    <x v="9"/>
    <n v="0.25691167157678702"/>
  </r>
  <r>
    <x v="0"/>
    <x v="0"/>
    <x v="0"/>
    <x v="19"/>
    <x v="14"/>
    <x v="0"/>
    <x v="10"/>
    <n v="0.25691167157678702"/>
  </r>
  <r>
    <x v="0"/>
    <x v="0"/>
    <x v="0"/>
    <x v="19"/>
    <x v="14"/>
    <x v="0"/>
    <x v="11"/>
    <n v="0.25691167157678702"/>
  </r>
  <r>
    <x v="0"/>
    <x v="0"/>
    <x v="0"/>
    <x v="19"/>
    <x v="14"/>
    <x v="0"/>
    <x v="12"/>
    <n v="0.25691167157678702"/>
  </r>
  <r>
    <x v="0"/>
    <x v="0"/>
    <x v="0"/>
    <x v="19"/>
    <x v="14"/>
    <x v="0"/>
    <x v="13"/>
    <n v="0.25691167157678702"/>
  </r>
  <r>
    <x v="0"/>
    <x v="0"/>
    <x v="0"/>
    <x v="19"/>
    <x v="14"/>
    <x v="0"/>
    <x v="14"/>
    <n v="0.25691167157678702"/>
  </r>
  <r>
    <x v="0"/>
    <x v="0"/>
    <x v="0"/>
    <x v="19"/>
    <x v="14"/>
    <x v="0"/>
    <x v="15"/>
    <n v="0.25691167157678702"/>
  </r>
  <r>
    <x v="0"/>
    <x v="0"/>
    <x v="0"/>
    <x v="19"/>
    <x v="14"/>
    <x v="0"/>
    <x v="16"/>
    <n v="0.25691167157678702"/>
  </r>
  <r>
    <x v="0"/>
    <x v="0"/>
    <x v="0"/>
    <x v="19"/>
    <x v="14"/>
    <x v="0"/>
    <x v="17"/>
    <n v="0.25691167157678702"/>
  </r>
  <r>
    <x v="0"/>
    <x v="0"/>
    <x v="0"/>
    <x v="19"/>
    <x v="14"/>
    <x v="0"/>
    <x v="18"/>
    <n v="0.25691167157678702"/>
  </r>
  <r>
    <x v="0"/>
    <x v="0"/>
    <x v="0"/>
    <x v="19"/>
    <x v="14"/>
    <x v="0"/>
    <x v="19"/>
    <n v="0.25691167157678702"/>
  </r>
  <r>
    <x v="0"/>
    <x v="0"/>
    <x v="0"/>
    <x v="19"/>
    <x v="14"/>
    <x v="0"/>
    <x v="20"/>
    <n v="0.25691167157678702"/>
  </r>
  <r>
    <x v="0"/>
    <x v="0"/>
    <x v="0"/>
    <x v="19"/>
    <x v="14"/>
    <x v="0"/>
    <x v="21"/>
    <n v="0.25691167157678702"/>
  </r>
  <r>
    <x v="0"/>
    <x v="0"/>
    <x v="0"/>
    <x v="19"/>
    <x v="14"/>
    <x v="0"/>
    <x v="22"/>
    <n v="0.25691167157678702"/>
  </r>
  <r>
    <x v="0"/>
    <x v="0"/>
    <x v="0"/>
    <x v="19"/>
    <x v="14"/>
    <x v="0"/>
    <x v="23"/>
    <n v="0.25691167157678702"/>
  </r>
  <r>
    <x v="0"/>
    <x v="0"/>
    <x v="0"/>
    <x v="19"/>
    <x v="12"/>
    <x v="0"/>
    <x v="0"/>
    <n v="0"/>
  </r>
  <r>
    <x v="0"/>
    <x v="0"/>
    <x v="0"/>
    <x v="19"/>
    <x v="12"/>
    <x v="0"/>
    <x v="1"/>
    <n v="0"/>
  </r>
  <r>
    <x v="0"/>
    <x v="0"/>
    <x v="0"/>
    <x v="19"/>
    <x v="12"/>
    <x v="0"/>
    <x v="2"/>
    <n v="0"/>
  </r>
  <r>
    <x v="0"/>
    <x v="0"/>
    <x v="0"/>
    <x v="19"/>
    <x v="12"/>
    <x v="0"/>
    <x v="3"/>
    <n v="0"/>
  </r>
  <r>
    <x v="0"/>
    <x v="0"/>
    <x v="0"/>
    <x v="19"/>
    <x v="12"/>
    <x v="0"/>
    <x v="4"/>
    <n v="0"/>
  </r>
  <r>
    <x v="0"/>
    <x v="0"/>
    <x v="0"/>
    <x v="19"/>
    <x v="12"/>
    <x v="0"/>
    <x v="5"/>
    <n v="0"/>
  </r>
  <r>
    <x v="0"/>
    <x v="0"/>
    <x v="0"/>
    <x v="19"/>
    <x v="12"/>
    <x v="0"/>
    <x v="6"/>
    <n v="0"/>
  </r>
  <r>
    <x v="0"/>
    <x v="0"/>
    <x v="0"/>
    <x v="19"/>
    <x v="12"/>
    <x v="0"/>
    <x v="7"/>
    <n v="0"/>
  </r>
  <r>
    <x v="0"/>
    <x v="0"/>
    <x v="0"/>
    <x v="19"/>
    <x v="12"/>
    <x v="0"/>
    <x v="8"/>
    <n v="0"/>
  </r>
  <r>
    <x v="0"/>
    <x v="0"/>
    <x v="0"/>
    <x v="19"/>
    <x v="12"/>
    <x v="0"/>
    <x v="9"/>
    <n v="0"/>
  </r>
  <r>
    <x v="0"/>
    <x v="0"/>
    <x v="0"/>
    <x v="19"/>
    <x v="12"/>
    <x v="0"/>
    <x v="10"/>
    <n v="0"/>
  </r>
  <r>
    <x v="0"/>
    <x v="0"/>
    <x v="0"/>
    <x v="19"/>
    <x v="12"/>
    <x v="0"/>
    <x v="11"/>
    <n v="0"/>
  </r>
  <r>
    <x v="0"/>
    <x v="0"/>
    <x v="0"/>
    <x v="19"/>
    <x v="12"/>
    <x v="0"/>
    <x v="12"/>
    <n v="0"/>
  </r>
  <r>
    <x v="0"/>
    <x v="0"/>
    <x v="0"/>
    <x v="19"/>
    <x v="12"/>
    <x v="0"/>
    <x v="13"/>
    <n v="0"/>
  </r>
  <r>
    <x v="0"/>
    <x v="0"/>
    <x v="0"/>
    <x v="19"/>
    <x v="12"/>
    <x v="0"/>
    <x v="14"/>
    <n v="0"/>
  </r>
  <r>
    <x v="0"/>
    <x v="0"/>
    <x v="0"/>
    <x v="19"/>
    <x v="12"/>
    <x v="0"/>
    <x v="15"/>
    <n v="0"/>
  </r>
  <r>
    <x v="0"/>
    <x v="0"/>
    <x v="0"/>
    <x v="19"/>
    <x v="12"/>
    <x v="0"/>
    <x v="16"/>
    <n v="0"/>
  </r>
  <r>
    <x v="0"/>
    <x v="0"/>
    <x v="0"/>
    <x v="19"/>
    <x v="12"/>
    <x v="0"/>
    <x v="17"/>
    <n v="0"/>
  </r>
  <r>
    <x v="0"/>
    <x v="0"/>
    <x v="0"/>
    <x v="19"/>
    <x v="12"/>
    <x v="0"/>
    <x v="18"/>
    <n v="0"/>
  </r>
  <r>
    <x v="0"/>
    <x v="0"/>
    <x v="0"/>
    <x v="19"/>
    <x v="12"/>
    <x v="0"/>
    <x v="19"/>
    <n v="0"/>
  </r>
  <r>
    <x v="0"/>
    <x v="0"/>
    <x v="0"/>
    <x v="19"/>
    <x v="12"/>
    <x v="0"/>
    <x v="20"/>
    <n v="0"/>
  </r>
  <r>
    <x v="0"/>
    <x v="0"/>
    <x v="0"/>
    <x v="19"/>
    <x v="12"/>
    <x v="0"/>
    <x v="21"/>
    <n v="0"/>
  </r>
  <r>
    <x v="0"/>
    <x v="0"/>
    <x v="0"/>
    <x v="19"/>
    <x v="12"/>
    <x v="0"/>
    <x v="22"/>
    <n v="0"/>
  </r>
  <r>
    <x v="0"/>
    <x v="0"/>
    <x v="0"/>
    <x v="19"/>
    <x v="12"/>
    <x v="0"/>
    <x v="23"/>
    <n v="0"/>
  </r>
  <r>
    <x v="0"/>
    <x v="0"/>
    <x v="0"/>
    <x v="19"/>
    <x v="13"/>
    <x v="0"/>
    <x v="0"/>
    <n v="0.51039095951885605"/>
  </r>
  <r>
    <x v="0"/>
    <x v="0"/>
    <x v="0"/>
    <x v="19"/>
    <x v="13"/>
    <x v="0"/>
    <x v="1"/>
    <n v="0.50757191519297595"/>
  </r>
  <r>
    <x v="0"/>
    <x v="0"/>
    <x v="0"/>
    <x v="19"/>
    <x v="13"/>
    <x v="0"/>
    <x v="2"/>
    <n v="0.51039095951885605"/>
  </r>
  <r>
    <x v="0"/>
    <x v="0"/>
    <x v="0"/>
    <x v="19"/>
    <x v="13"/>
    <x v="0"/>
    <x v="3"/>
    <n v="0.475834653155434"/>
  </r>
  <r>
    <x v="0"/>
    <x v="0"/>
    <x v="0"/>
    <x v="19"/>
    <x v="13"/>
    <x v="0"/>
    <x v="4"/>
    <n v="0.485914822411745"/>
  </r>
  <r>
    <x v="0"/>
    <x v="0"/>
    <x v="0"/>
    <x v="19"/>
    <x v="13"/>
    <x v="0"/>
    <x v="5"/>
    <n v="0.51039095951885605"/>
  </r>
  <r>
    <x v="0"/>
    <x v="0"/>
    <x v="0"/>
    <x v="19"/>
    <x v="13"/>
    <x v="0"/>
    <x v="6"/>
    <n v="0.51039095951885605"/>
  </r>
  <r>
    <x v="0"/>
    <x v="0"/>
    <x v="0"/>
    <x v="19"/>
    <x v="13"/>
    <x v="0"/>
    <x v="7"/>
    <n v="0.51039095951885605"/>
  </r>
  <r>
    <x v="0"/>
    <x v="0"/>
    <x v="0"/>
    <x v="19"/>
    <x v="13"/>
    <x v="0"/>
    <x v="8"/>
    <n v="0.51039095951885605"/>
  </r>
  <r>
    <x v="0"/>
    <x v="0"/>
    <x v="0"/>
    <x v="19"/>
    <x v="13"/>
    <x v="0"/>
    <x v="9"/>
    <n v="0.51039095951885605"/>
  </r>
  <r>
    <x v="0"/>
    <x v="0"/>
    <x v="0"/>
    <x v="19"/>
    <x v="13"/>
    <x v="0"/>
    <x v="10"/>
    <n v="0.51039095951885605"/>
  </r>
  <r>
    <x v="0"/>
    <x v="0"/>
    <x v="0"/>
    <x v="19"/>
    <x v="13"/>
    <x v="0"/>
    <x v="11"/>
    <n v="0.51039095951885605"/>
  </r>
  <r>
    <x v="0"/>
    <x v="0"/>
    <x v="0"/>
    <x v="19"/>
    <x v="13"/>
    <x v="0"/>
    <x v="12"/>
    <n v="0.51039095951885605"/>
  </r>
  <r>
    <x v="0"/>
    <x v="0"/>
    <x v="0"/>
    <x v="19"/>
    <x v="13"/>
    <x v="0"/>
    <x v="13"/>
    <n v="0.51039095951885605"/>
  </r>
  <r>
    <x v="0"/>
    <x v="0"/>
    <x v="0"/>
    <x v="19"/>
    <x v="13"/>
    <x v="0"/>
    <x v="14"/>
    <n v="0.51039095951885605"/>
  </r>
  <r>
    <x v="0"/>
    <x v="0"/>
    <x v="0"/>
    <x v="19"/>
    <x v="13"/>
    <x v="0"/>
    <x v="15"/>
    <n v="0.51039095951885605"/>
  </r>
  <r>
    <x v="0"/>
    <x v="0"/>
    <x v="0"/>
    <x v="19"/>
    <x v="13"/>
    <x v="0"/>
    <x v="16"/>
    <n v="0.51039095951885605"/>
  </r>
  <r>
    <x v="0"/>
    <x v="0"/>
    <x v="0"/>
    <x v="19"/>
    <x v="13"/>
    <x v="0"/>
    <x v="17"/>
    <n v="0.51039095951885605"/>
  </r>
  <r>
    <x v="0"/>
    <x v="0"/>
    <x v="0"/>
    <x v="19"/>
    <x v="13"/>
    <x v="0"/>
    <x v="18"/>
    <n v="0.51039095951885605"/>
  </r>
  <r>
    <x v="0"/>
    <x v="0"/>
    <x v="0"/>
    <x v="19"/>
    <x v="13"/>
    <x v="0"/>
    <x v="19"/>
    <n v="0.51039095951885605"/>
  </r>
  <r>
    <x v="0"/>
    <x v="0"/>
    <x v="0"/>
    <x v="19"/>
    <x v="13"/>
    <x v="0"/>
    <x v="20"/>
    <n v="0.51039095951885605"/>
  </r>
  <r>
    <x v="0"/>
    <x v="0"/>
    <x v="0"/>
    <x v="19"/>
    <x v="13"/>
    <x v="0"/>
    <x v="21"/>
    <n v="0.51039095951885605"/>
  </r>
  <r>
    <x v="0"/>
    <x v="0"/>
    <x v="0"/>
    <x v="19"/>
    <x v="13"/>
    <x v="0"/>
    <x v="22"/>
    <n v="0.51039095951885605"/>
  </r>
  <r>
    <x v="0"/>
    <x v="0"/>
    <x v="0"/>
    <x v="19"/>
    <x v="13"/>
    <x v="0"/>
    <x v="23"/>
    <n v="0.51039095951885605"/>
  </r>
  <r>
    <x v="0"/>
    <x v="0"/>
    <x v="0"/>
    <x v="19"/>
    <x v="20"/>
    <x v="0"/>
    <x v="0"/>
    <n v="0.132691861799316"/>
  </r>
  <r>
    <x v="0"/>
    <x v="0"/>
    <x v="0"/>
    <x v="19"/>
    <x v="20"/>
    <x v="0"/>
    <x v="1"/>
    <n v="7.3333407101267303E-2"/>
  </r>
  <r>
    <x v="0"/>
    <x v="0"/>
    <x v="0"/>
    <x v="19"/>
    <x v="20"/>
    <x v="0"/>
    <x v="2"/>
    <n v="0.22730220666062201"/>
  </r>
  <r>
    <x v="0"/>
    <x v="0"/>
    <x v="0"/>
    <x v="19"/>
    <x v="20"/>
    <x v="0"/>
    <x v="3"/>
    <n v="0.206921334390676"/>
  </r>
  <r>
    <x v="0"/>
    <x v="0"/>
    <x v="0"/>
    <x v="19"/>
    <x v="20"/>
    <x v="0"/>
    <x v="4"/>
    <n v="0"/>
  </r>
  <r>
    <x v="0"/>
    <x v="0"/>
    <x v="0"/>
    <x v="19"/>
    <x v="20"/>
    <x v="0"/>
    <x v="5"/>
    <n v="0.11747275327627001"/>
  </r>
  <r>
    <x v="0"/>
    <x v="0"/>
    <x v="0"/>
    <x v="19"/>
    <x v="20"/>
    <x v="0"/>
    <x v="6"/>
    <n v="0"/>
  </r>
  <r>
    <x v="0"/>
    <x v="0"/>
    <x v="0"/>
    <x v="19"/>
    <x v="20"/>
    <x v="0"/>
    <x v="7"/>
    <n v="0.32697833450717601"/>
  </r>
  <r>
    <x v="0"/>
    <x v="0"/>
    <x v="0"/>
    <x v="19"/>
    <x v="20"/>
    <x v="0"/>
    <x v="8"/>
    <n v="0"/>
  </r>
  <r>
    <x v="0"/>
    <x v="0"/>
    <x v="0"/>
    <x v="19"/>
    <x v="20"/>
    <x v="0"/>
    <x v="9"/>
    <n v="0.40538812236810601"/>
  </r>
  <r>
    <x v="0"/>
    <x v="0"/>
    <x v="0"/>
    <x v="19"/>
    <x v="20"/>
    <x v="0"/>
    <x v="10"/>
    <n v="0"/>
  </r>
  <r>
    <x v="0"/>
    <x v="0"/>
    <x v="0"/>
    <x v="19"/>
    <x v="20"/>
    <x v="0"/>
    <x v="11"/>
    <n v="8.7155382286820404E-2"/>
  </r>
  <r>
    <x v="0"/>
    <x v="0"/>
    <x v="0"/>
    <x v="19"/>
    <x v="20"/>
    <x v="0"/>
    <x v="12"/>
    <n v="0.24823076457523499"/>
  </r>
  <r>
    <x v="0"/>
    <x v="0"/>
    <x v="0"/>
    <x v="19"/>
    <x v="20"/>
    <x v="0"/>
    <x v="13"/>
    <n v="0.490560053223354"/>
  </r>
  <r>
    <x v="0"/>
    <x v="0"/>
    <x v="0"/>
    <x v="19"/>
    <x v="20"/>
    <x v="0"/>
    <x v="14"/>
    <n v="0.42324209676532898"/>
  </r>
  <r>
    <x v="0"/>
    <x v="0"/>
    <x v="0"/>
    <x v="19"/>
    <x v="20"/>
    <x v="0"/>
    <x v="15"/>
    <n v="0.86972398165063902"/>
  </r>
  <r>
    <x v="0"/>
    <x v="0"/>
    <x v="0"/>
    <x v="19"/>
    <x v="20"/>
    <x v="0"/>
    <x v="16"/>
    <n v="0.957783227631259"/>
  </r>
  <r>
    <x v="0"/>
    <x v="0"/>
    <x v="0"/>
    <x v="19"/>
    <x v="20"/>
    <x v="0"/>
    <x v="17"/>
    <n v="0.437902663779075"/>
  </r>
  <r>
    <x v="0"/>
    <x v="0"/>
    <x v="0"/>
    <x v="19"/>
    <x v="20"/>
    <x v="0"/>
    <x v="18"/>
    <n v="0.82145446903903896"/>
  </r>
  <r>
    <x v="0"/>
    <x v="0"/>
    <x v="0"/>
    <x v="19"/>
    <x v="20"/>
    <x v="0"/>
    <x v="19"/>
    <n v="0.52630316088592699"/>
  </r>
  <r>
    <x v="0"/>
    <x v="0"/>
    <x v="0"/>
    <x v="19"/>
    <x v="20"/>
    <x v="0"/>
    <x v="20"/>
    <n v="0.55904140631516097"/>
  </r>
  <r>
    <x v="0"/>
    <x v="0"/>
    <x v="0"/>
    <x v="19"/>
    <x v="20"/>
    <x v="0"/>
    <x v="21"/>
    <n v="0.77925856706988395"/>
  </r>
  <r>
    <x v="0"/>
    <x v="0"/>
    <x v="0"/>
    <x v="19"/>
    <x v="20"/>
    <x v="0"/>
    <x v="22"/>
    <n v="0.72588487558674597"/>
  </r>
  <r>
    <x v="0"/>
    <x v="0"/>
    <x v="0"/>
    <x v="19"/>
    <x v="20"/>
    <x v="0"/>
    <x v="23"/>
    <n v="0.72176675734504303"/>
  </r>
  <r>
    <x v="0"/>
    <x v="0"/>
    <x v="0"/>
    <x v="19"/>
    <x v="21"/>
    <x v="0"/>
    <x v="0"/>
    <n v="-1.64737045641534"/>
  </r>
  <r>
    <x v="0"/>
    <x v="0"/>
    <x v="0"/>
    <x v="19"/>
    <x v="21"/>
    <x v="0"/>
    <x v="1"/>
    <n v="-1.4377369962323101"/>
  </r>
  <r>
    <x v="0"/>
    <x v="0"/>
    <x v="0"/>
    <x v="19"/>
    <x v="21"/>
    <x v="0"/>
    <x v="2"/>
    <n v="-1.6921771351133399"/>
  </r>
  <r>
    <x v="0"/>
    <x v="0"/>
    <x v="0"/>
    <x v="19"/>
    <x v="21"/>
    <x v="0"/>
    <x v="3"/>
    <n v="-1.8431248190014"/>
  </r>
  <r>
    <x v="0"/>
    <x v="0"/>
    <x v="0"/>
    <x v="19"/>
    <x v="21"/>
    <x v="0"/>
    <x v="4"/>
    <n v="-1.8486952352735999"/>
  </r>
  <r>
    <x v="0"/>
    <x v="0"/>
    <x v="0"/>
    <x v="19"/>
    <x v="21"/>
    <x v="0"/>
    <x v="5"/>
    <n v="-1.7813873502176201"/>
  </r>
  <r>
    <x v="0"/>
    <x v="0"/>
    <x v="0"/>
    <x v="19"/>
    <x v="21"/>
    <x v="0"/>
    <x v="6"/>
    <n v="-2.8694940049199902"/>
  </r>
  <r>
    <x v="0"/>
    <x v="0"/>
    <x v="0"/>
    <x v="19"/>
    <x v="21"/>
    <x v="0"/>
    <x v="7"/>
    <n v="-4.1780095439279101"/>
  </r>
  <r>
    <x v="0"/>
    <x v="0"/>
    <x v="0"/>
    <x v="19"/>
    <x v="21"/>
    <x v="0"/>
    <x v="8"/>
    <n v="-4.1330590783252701"/>
  </r>
  <r>
    <x v="0"/>
    <x v="0"/>
    <x v="0"/>
    <x v="19"/>
    <x v="21"/>
    <x v="0"/>
    <x v="9"/>
    <n v="-4.3303488175579403"/>
  </r>
  <r>
    <x v="0"/>
    <x v="0"/>
    <x v="0"/>
    <x v="19"/>
    <x v="21"/>
    <x v="0"/>
    <x v="10"/>
    <n v="-3.6812836503193198"/>
  </r>
  <r>
    <x v="0"/>
    <x v="0"/>
    <x v="0"/>
    <x v="19"/>
    <x v="21"/>
    <x v="0"/>
    <x v="11"/>
    <n v="-3.55184646051773"/>
  </r>
  <r>
    <x v="0"/>
    <x v="0"/>
    <x v="0"/>
    <x v="19"/>
    <x v="21"/>
    <x v="0"/>
    <x v="12"/>
    <n v="-3.4297458447817601"/>
  </r>
  <r>
    <x v="0"/>
    <x v="0"/>
    <x v="0"/>
    <x v="19"/>
    <x v="21"/>
    <x v="0"/>
    <x v="13"/>
    <n v="-3.4549148687026299"/>
  </r>
  <r>
    <x v="0"/>
    <x v="0"/>
    <x v="0"/>
    <x v="19"/>
    <x v="21"/>
    <x v="0"/>
    <x v="14"/>
    <n v="-3.25721503279251"/>
  </r>
  <r>
    <x v="0"/>
    <x v="0"/>
    <x v="0"/>
    <x v="19"/>
    <x v="21"/>
    <x v="0"/>
    <x v="15"/>
    <n v="-4.0275282484369797"/>
  </r>
  <r>
    <x v="0"/>
    <x v="0"/>
    <x v="0"/>
    <x v="19"/>
    <x v="21"/>
    <x v="0"/>
    <x v="16"/>
    <n v="-4.1141395596508303"/>
  </r>
  <r>
    <x v="0"/>
    <x v="0"/>
    <x v="0"/>
    <x v="19"/>
    <x v="21"/>
    <x v="0"/>
    <x v="17"/>
    <n v="-2.9743095871942899"/>
  </r>
  <r>
    <x v="0"/>
    <x v="0"/>
    <x v="0"/>
    <x v="19"/>
    <x v="21"/>
    <x v="0"/>
    <x v="18"/>
    <n v="-3.4484260283888002"/>
  </r>
  <r>
    <x v="0"/>
    <x v="0"/>
    <x v="0"/>
    <x v="19"/>
    <x v="21"/>
    <x v="0"/>
    <x v="19"/>
    <n v="-3.0007618736845001"/>
  </r>
  <r>
    <x v="0"/>
    <x v="0"/>
    <x v="0"/>
    <x v="19"/>
    <x v="21"/>
    <x v="0"/>
    <x v="20"/>
    <n v="-2.9948225021619099"/>
  </r>
  <r>
    <x v="0"/>
    <x v="0"/>
    <x v="0"/>
    <x v="19"/>
    <x v="21"/>
    <x v="0"/>
    <x v="21"/>
    <n v="-2.37135830702471"/>
  </r>
  <r>
    <x v="0"/>
    <x v="0"/>
    <x v="0"/>
    <x v="19"/>
    <x v="21"/>
    <x v="0"/>
    <x v="22"/>
    <n v="-2.0204205841570602"/>
  </r>
  <r>
    <x v="0"/>
    <x v="0"/>
    <x v="0"/>
    <x v="19"/>
    <x v="21"/>
    <x v="0"/>
    <x v="23"/>
    <n v="-0.69941260202509303"/>
  </r>
  <r>
    <x v="0"/>
    <x v="0"/>
    <x v="0"/>
    <x v="19"/>
    <x v="8"/>
    <x v="0"/>
    <x v="0"/>
    <n v="2.0830092504887201"/>
  </r>
  <r>
    <x v="0"/>
    <x v="0"/>
    <x v="0"/>
    <x v="19"/>
    <x v="8"/>
    <x v="0"/>
    <x v="1"/>
    <n v="1.96634319117256"/>
  </r>
  <r>
    <x v="0"/>
    <x v="0"/>
    <x v="0"/>
    <x v="19"/>
    <x v="8"/>
    <x v="0"/>
    <x v="2"/>
    <n v="1.9076415474456301"/>
  </r>
  <r>
    <x v="0"/>
    <x v="0"/>
    <x v="0"/>
    <x v="19"/>
    <x v="8"/>
    <x v="0"/>
    <x v="3"/>
    <n v="1.9206403846861999"/>
  </r>
  <r>
    <x v="0"/>
    <x v="0"/>
    <x v="0"/>
    <x v="19"/>
    <x v="8"/>
    <x v="0"/>
    <x v="4"/>
    <n v="1.8642896919231799"/>
  </r>
  <r>
    <x v="0"/>
    <x v="0"/>
    <x v="0"/>
    <x v="19"/>
    <x v="8"/>
    <x v="0"/>
    <x v="5"/>
    <n v="1.2540346660226001"/>
  </r>
  <r>
    <x v="0"/>
    <x v="0"/>
    <x v="0"/>
    <x v="19"/>
    <x v="8"/>
    <x v="0"/>
    <x v="6"/>
    <n v="1.45682453408957"/>
  </r>
  <r>
    <x v="0"/>
    <x v="0"/>
    <x v="0"/>
    <x v="19"/>
    <x v="8"/>
    <x v="0"/>
    <x v="7"/>
    <n v="1.81676981128041"/>
  </r>
  <r>
    <x v="0"/>
    <x v="0"/>
    <x v="0"/>
    <x v="19"/>
    <x v="8"/>
    <x v="0"/>
    <x v="8"/>
    <n v="1.9162412696064599"/>
  </r>
  <r>
    <x v="0"/>
    <x v="0"/>
    <x v="0"/>
    <x v="19"/>
    <x v="8"/>
    <x v="0"/>
    <x v="9"/>
    <n v="1.85762266430889"/>
  </r>
  <r>
    <x v="0"/>
    <x v="0"/>
    <x v="0"/>
    <x v="19"/>
    <x v="8"/>
    <x v="0"/>
    <x v="10"/>
    <n v="1.9331046046865801"/>
  </r>
  <r>
    <x v="0"/>
    <x v="0"/>
    <x v="0"/>
    <x v="19"/>
    <x v="8"/>
    <x v="0"/>
    <x v="11"/>
    <n v="1.9254388100242701"/>
  </r>
  <r>
    <x v="0"/>
    <x v="0"/>
    <x v="0"/>
    <x v="19"/>
    <x v="8"/>
    <x v="0"/>
    <x v="12"/>
    <n v="1.8981757259929899"/>
  </r>
  <r>
    <x v="0"/>
    <x v="0"/>
    <x v="0"/>
    <x v="19"/>
    <x v="8"/>
    <x v="0"/>
    <x v="13"/>
    <n v="1.9108585877681601"/>
  </r>
  <r>
    <x v="0"/>
    <x v="0"/>
    <x v="0"/>
    <x v="19"/>
    <x v="8"/>
    <x v="0"/>
    <x v="14"/>
    <n v="1.85494191826577"/>
  </r>
  <r>
    <x v="0"/>
    <x v="0"/>
    <x v="0"/>
    <x v="19"/>
    <x v="8"/>
    <x v="0"/>
    <x v="15"/>
    <n v="1.8155443787230701"/>
  </r>
  <r>
    <x v="0"/>
    <x v="0"/>
    <x v="0"/>
    <x v="19"/>
    <x v="8"/>
    <x v="0"/>
    <x v="16"/>
    <n v="1.7510533039397"/>
  </r>
  <r>
    <x v="0"/>
    <x v="0"/>
    <x v="0"/>
    <x v="19"/>
    <x v="8"/>
    <x v="0"/>
    <x v="17"/>
    <n v="1.8215891523255601"/>
  </r>
  <r>
    <x v="0"/>
    <x v="0"/>
    <x v="0"/>
    <x v="19"/>
    <x v="8"/>
    <x v="0"/>
    <x v="18"/>
    <n v="1.75410659071495"/>
  </r>
  <r>
    <x v="0"/>
    <x v="0"/>
    <x v="0"/>
    <x v="19"/>
    <x v="8"/>
    <x v="0"/>
    <x v="19"/>
    <n v="1.0807980129810599"/>
  </r>
  <r>
    <x v="0"/>
    <x v="0"/>
    <x v="0"/>
    <x v="19"/>
    <x v="8"/>
    <x v="0"/>
    <x v="20"/>
    <n v="1.3546004988781699"/>
  </r>
  <r>
    <x v="0"/>
    <x v="0"/>
    <x v="0"/>
    <x v="19"/>
    <x v="8"/>
    <x v="0"/>
    <x v="21"/>
    <n v="1.1784937014388901"/>
  </r>
  <r>
    <x v="0"/>
    <x v="0"/>
    <x v="0"/>
    <x v="19"/>
    <x v="8"/>
    <x v="0"/>
    <x v="22"/>
    <n v="1.5195778472180199"/>
  </r>
  <r>
    <x v="0"/>
    <x v="0"/>
    <x v="0"/>
    <x v="19"/>
    <x v="8"/>
    <x v="0"/>
    <x v="23"/>
    <n v="0.78277953872553396"/>
  </r>
  <r>
    <x v="0"/>
    <x v="0"/>
    <x v="0"/>
    <x v="20"/>
    <x v="0"/>
    <x v="0"/>
    <x v="0"/>
    <n v="0"/>
  </r>
  <r>
    <x v="0"/>
    <x v="0"/>
    <x v="0"/>
    <x v="20"/>
    <x v="0"/>
    <x v="0"/>
    <x v="1"/>
    <n v="0"/>
  </r>
  <r>
    <x v="0"/>
    <x v="0"/>
    <x v="0"/>
    <x v="20"/>
    <x v="0"/>
    <x v="0"/>
    <x v="2"/>
    <n v="0"/>
  </r>
  <r>
    <x v="0"/>
    <x v="0"/>
    <x v="0"/>
    <x v="20"/>
    <x v="0"/>
    <x v="0"/>
    <x v="3"/>
    <n v="0"/>
  </r>
  <r>
    <x v="0"/>
    <x v="0"/>
    <x v="0"/>
    <x v="20"/>
    <x v="0"/>
    <x v="0"/>
    <x v="4"/>
    <n v="0"/>
  </r>
  <r>
    <x v="0"/>
    <x v="0"/>
    <x v="0"/>
    <x v="20"/>
    <x v="0"/>
    <x v="0"/>
    <x v="5"/>
    <n v="0"/>
  </r>
  <r>
    <x v="0"/>
    <x v="0"/>
    <x v="0"/>
    <x v="20"/>
    <x v="0"/>
    <x v="0"/>
    <x v="6"/>
    <n v="0"/>
  </r>
  <r>
    <x v="0"/>
    <x v="0"/>
    <x v="0"/>
    <x v="20"/>
    <x v="0"/>
    <x v="0"/>
    <x v="7"/>
    <n v="0"/>
  </r>
  <r>
    <x v="0"/>
    <x v="0"/>
    <x v="0"/>
    <x v="20"/>
    <x v="0"/>
    <x v="0"/>
    <x v="8"/>
    <n v="0"/>
  </r>
  <r>
    <x v="0"/>
    <x v="0"/>
    <x v="0"/>
    <x v="20"/>
    <x v="0"/>
    <x v="0"/>
    <x v="9"/>
    <n v="0"/>
  </r>
  <r>
    <x v="0"/>
    <x v="0"/>
    <x v="0"/>
    <x v="20"/>
    <x v="0"/>
    <x v="0"/>
    <x v="10"/>
    <n v="0"/>
  </r>
  <r>
    <x v="0"/>
    <x v="0"/>
    <x v="0"/>
    <x v="20"/>
    <x v="0"/>
    <x v="0"/>
    <x v="11"/>
    <n v="0"/>
  </r>
  <r>
    <x v="0"/>
    <x v="0"/>
    <x v="0"/>
    <x v="20"/>
    <x v="0"/>
    <x v="0"/>
    <x v="12"/>
    <n v="0"/>
  </r>
  <r>
    <x v="0"/>
    <x v="0"/>
    <x v="0"/>
    <x v="20"/>
    <x v="0"/>
    <x v="0"/>
    <x v="13"/>
    <n v="0"/>
  </r>
  <r>
    <x v="0"/>
    <x v="0"/>
    <x v="0"/>
    <x v="20"/>
    <x v="0"/>
    <x v="0"/>
    <x v="14"/>
    <n v="0"/>
  </r>
  <r>
    <x v="0"/>
    <x v="0"/>
    <x v="0"/>
    <x v="20"/>
    <x v="0"/>
    <x v="0"/>
    <x v="15"/>
    <n v="0"/>
  </r>
  <r>
    <x v="0"/>
    <x v="0"/>
    <x v="0"/>
    <x v="20"/>
    <x v="0"/>
    <x v="0"/>
    <x v="16"/>
    <n v="0"/>
  </r>
  <r>
    <x v="0"/>
    <x v="0"/>
    <x v="0"/>
    <x v="20"/>
    <x v="0"/>
    <x v="0"/>
    <x v="17"/>
    <n v="0"/>
  </r>
  <r>
    <x v="0"/>
    <x v="0"/>
    <x v="0"/>
    <x v="20"/>
    <x v="0"/>
    <x v="0"/>
    <x v="18"/>
    <n v="0"/>
  </r>
  <r>
    <x v="0"/>
    <x v="0"/>
    <x v="0"/>
    <x v="20"/>
    <x v="0"/>
    <x v="0"/>
    <x v="19"/>
    <n v="0"/>
  </r>
  <r>
    <x v="0"/>
    <x v="0"/>
    <x v="0"/>
    <x v="20"/>
    <x v="0"/>
    <x v="0"/>
    <x v="20"/>
    <n v="0"/>
  </r>
  <r>
    <x v="0"/>
    <x v="0"/>
    <x v="0"/>
    <x v="20"/>
    <x v="0"/>
    <x v="0"/>
    <x v="21"/>
    <n v="0"/>
  </r>
  <r>
    <x v="0"/>
    <x v="0"/>
    <x v="0"/>
    <x v="20"/>
    <x v="0"/>
    <x v="0"/>
    <x v="22"/>
    <n v="0"/>
  </r>
  <r>
    <x v="0"/>
    <x v="0"/>
    <x v="0"/>
    <x v="20"/>
    <x v="0"/>
    <x v="0"/>
    <x v="23"/>
    <n v="0"/>
  </r>
  <r>
    <x v="0"/>
    <x v="0"/>
    <x v="0"/>
    <x v="20"/>
    <x v="3"/>
    <x v="0"/>
    <x v="0"/>
    <n v="0"/>
  </r>
  <r>
    <x v="0"/>
    <x v="0"/>
    <x v="0"/>
    <x v="20"/>
    <x v="3"/>
    <x v="0"/>
    <x v="1"/>
    <n v="0"/>
  </r>
  <r>
    <x v="0"/>
    <x v="0"/>
    <x v="0"/>
    <x v="20"/>
    <x v="3"/>
    <x v="0"/>
    <x v="2"/>
    <n v="0"/>
  </r>
  <r>
    <x v="0"/>
    <x v="0"/>
    <x v="0"/>
    <x v="20"/>
    <x v="3"/>
    <x v="0"/>
    <x v="3"/>
    <n v="0"/>
  </r>
  <r>
    <x v="0"/>
    <x v="0"/>
    <x v="0"/>
    <x v="20"/>
    <x v="3"/>
    <x v="0"/>
    <x v="4"/>
    <n v="0"/>
  </r>
  <r>
    <x v="0"/>
    <x v="0"/>
    <x v="0"/>
    <x v="20"/>
    <x v="3"/>
    <x v="0"/>
    <x v="5"/>
    <n v="3.4343469809347299E-2"/>
  </r>
  <r>
    <x v="0"/>
    <x v="0"/>
    <x v="0"/>
    <x v="20"/>
    <x v="3"/>
    <x v="0"/>
    <x v="6"/>
    <n v="0"/>
  </r>
  <r>
    <x v="0"/>
    <x v="0"/>
    <x v="0"/>
    <x v="20"/>
    <x v="3"/>
    <x v="0"/>
    <x v="7"/>
    <n v="0"/>
  </r>
  <r>
    <x v="0"/>
    <x v="0"/>
    <x v="0"/>
    <x v="20"/>
    <x v="3"/>
    <x v="0"/>
    <x v="8"/>
    <n v="0"/>
  </r>
  <r>
    <x v="0"/>
    <x v="0"/>
    <x v="0"/>
    <x v="20"/>
    <x v="3"/>
    <x v="0"/>
    <x v="9"/>
    <n v="0"/>
  </r>
  <r>
    <x v="0"/>
    <x v="0"/>
    <x v="0"/>
    <x v="20"/>
    <x v="3"/>
    <x v="0"/>
    <x v="10"/>
    <n v="0"/>
  </r>
  <r>
    <x v="0"/>
    <x v="0"/>
    <x v="0"/>
    <x v="20"/>
    <x v="3"/>
    <x v="0"/>
    <x v="11"/>
    <n v="0"/>
  </r>
  <r>
    <x v="0"/>
    <x v="0"/>
    <x v="0"/>
    <x v="20"/>
    <x v="3"/>
    <x v="0"/>
    <x v="12"/>
    <n v="0"/>
  </r>
  <r>
    <x v="0"/>
    <x v="0"/>
    <x v="0"/>
    <x v="20"/>
    <x v="3"/>
    <x v="0"/>
    <x v="13"/>
    <n v="0"/>
  </r>
  <r>
    <x v="0"/>
    <x v="0"/>
    <x v="0"/>
    <x v="20"/>
    <x v="3"/>
    <x v="0"/>
    <x v="14"/>
    <n v="0"/>
  </r>
  <r>
    <x v="0"/>
    <x v="0"/>
    <x v="0"/>
    <x v="20"/>
    <x v="3"/>
    <x v="0"/>
    <x v="15"/>
    <n v="0"/>
  </r>
  <r>
    <x v="0"/>
    <x v="0"/>
    <x v="0"/>
    <x v="20"/>
    <x v="3"/>
    <x v="0"/>
    <x v="16"/>
    <n v="0"/>
  </r>
  <r>
    <x v="0"/>
    <x v="0"/>
    <x v="0"/>
    <x v="20"/>
    <x v="3"/>
    <x v="0"/>
    <x v="17"/>
    <n v="0"/>
  </r>
  <r>
    <x v="0"/>
    <x v="0"/>
    <x v="0"/>
    <x v="20"/>
    <x v="3"/>
    <x v="0"/>
    <x v="18"/>
    <n v="0"/>
  </r>
  <r>
    <x v="0"/>
    <x v="0"/>
    <x v="0"/>
    <x v="20"/>
    <x v="3"/>
    <x v="0"/>
    <x v="19"/>
    <n v="0"/>
  </r>
  <r>
    <x v="0"/>
    <x v="0"/>
    <x v="0"/>
    <x v="20"/>
    <x v="3"/>
    <x v="0"/>
    <x v="20"/>
    <n v="0"/>
  </r>
  <r>
    <x v="0"/>
    <x v="0"/>
    <x v="0"/>
    <x v="20"/>
    <x v="3"/>
    <x v="0"/>
    <x v="21"/>
    <n v="0"/>
  </r>
  <r>
    <x v="0"/>
    <x v="0"/>
    <x v="0"/>
    <x v="20"/>
    <x v="3"/>
    <x v="0"/>
    <x v="22"/>
    <n v="-0.20435220537920001"/>
  </r>
  <r>
    <x v="0"/>
    <x v="0"/>
    <x v="0"/>
    <x v="20"/>
    <x v="3"/>
    <x v="0"/>
    <x v="23"/>
    <n v="-0.381344732456182"/>
  </r>
  <r>
    <x v="0"/>
    <x v="0"/>
    <x v="0"/>
    <x v="20"/>
    <x v="17"/>
    <x v="0"/>
    <x v="0"/>
    <n v="0.63"/>
  </r>
  <r>
    <x v="0"/>
    <x v="0"/>
    <x v="0"/>
    <x v="20"/>
    <x v="17"/>
    <x v="0"/>
    <x v="1"/>
    <n v="0.56194957151896596"/>
  </r>
  <r>
    <x v="0"/>
    <x v="0"/>
    <x v="0"/>
    <x v="20"/>
    <x v="17"/>
    <x v="0"/>
    <x v="2"/>
    <n v="0.49317460854708001"/>
  </r>
  <r>
    <x v="0"/>
    <x v="0"/>
    <x v="0"/>
    <x v="20"/>
    <x v="17"/>
    <x v="0"/>
    <x v="3"/>
    <n v="0.49561390109588499"/>
  </r>
  <r>
    <x v="0"/>
    <x v="0"/>
    <x v="0"/>
    <x v="20"/>
    <x v="17"/>
    <x v="0"/>
    <x v="4"/>
    <n v="0.37236917154782501"/>
  </r>
  <r>
    <x v="0"/>
    <x v="0"/>
    <x v="0"/>
    <x v="20"/>
    <x v="17"/>
    <x v="0"/>
    <x v="5"/>
    <n v="3.94063805320903E-2"/>
  </r>
  <r>
    <x v="0"/>
    <x v="0"/>
    <x v="0"/>
    <x v="20"/>
    <x v="17"/>
    <x v="0"/>
    <x v="6"/>
    <n v="0"/>
  </r>
  <r>
    <x v="0"/>
    <x v="0"/>
    <x v="0"/>
    <x v="20"/>
    <x v="17"/>
    <x v="0"/>
    <x v="7"/>
    <n v="0"/>
  </r>
  <r>
    <x v="0"/>
    <x v="0"/>
    <x v="0"/>
    <x v="20"/>
    <x v="17"/>
    <x v="0"/>
    <x v="8"/>
    <n v="0"/>
  </r>
  <r>
    <x v="0"/>
    <x v="0"/>
    <x v="0"/>
    <x v="20"/>
    <x v="17"/>
    <x v="0"/>
    <x v="9"/>
    <n v="0"/>
  </r>
  <r>
    <x v="0"/>
    <x v="0"/>
    <x v="0"/>
    <x v="20"/>
    <x v="17"/>
    <x v="0"/>
    <x v="10"/>
    <n v="0"/>
  </r>
  <r>
    <x v="0"/>
    <x v="0"/>
    <x v="0"/>
    <x v="20"/>
    <x v="17"/>
    <x v="0"/>
    <x v="11"/>
    <n v="0"/>
  </r>
  <r>
    <x v="0"/>
    <x v="0"/>
    <x v="0"/>
    <x v="20"/>
    <x v="17"/>
    <x v="0"/>
    <x v="12"/>
    <n v="0"/>
  </r>
  <r>
    <x v="0"/>
    <x v="0"/>
    <x v="0"/>
    <x v="20"/>
    <x v="17"/>
    <x v="0"/>
    <x v="13"/>
    <n v="0"/>
  </r>
  <r>
    <x v="0"/>
    <x v="0"/>
    <x v="0"/>
    <x v="20"/>
    <x v="17"/>
    <x v="0"/>
    <x v="14"/>
    <n v="0"/>
  </r>
  <r>
    <x v="0"/>
    <x v="0"/>
    <x v="0"/>
    <x v="20"/>
    <x v="17"/>
    <x v="0"/>
    <x v="15"/>
    <n v="0"/>
  </r>
  <r>
    <x v="0"/>
    <x v="0"/>
    <x v="0"/>
    <x v="20"/>
    <x v="17"/>
    <x v="0"/>
    <x v="16"/>
    <n v="0"/>
  </r>
  <r>
    <x v="0"/>
    <x v="0"/>
    <x v="0"/>
    <x v="20"/>
    <x v="17"/>
    <x v="0"/>
    <x v="17"/>
    <n v="0.21882487929522301"/>
  </r>
  <r>
    <x v="0"/>
    <x v="0"/>
    <x v="0"/>
    <x v="20"/>
    <x v="17"/>
    <x v="0"/>
    <x v="18"/>
    <n v="0.51182125220623598"/>
  </r>
  <r>
    <x v="0"/>
    <x v="0"/>
    <x v="0"/>
    <x v="20"/>
    <x v="17"/>
    <x v="0"/>
    <x v="19"/>
    <n v="1.79794415842781E-2"/>
  </r>
  <r>
    <x v="0"/>
    <x v="0"/>
    <x v="0"/>
    <x v="20"/>
    <x v="17"/>
    <x v="0"/>
    <x v="20"/>
    <n v="0.291123251781915"/>
  </r>
  <r>
    <x v="0"/>
    <x v="0"/>
    <x v="0"/>
    <x v="20"/>
    <x v="17"/>
    <x v="0"/>
    <x v="21"/>
    <n v="0.21968418560799"/>
  </r>
  <r>
    <x v="0"/>
    <x v="0"/>
    <x v="0"/>
    <x v="20"/>
    <x v="17"/>
    <x v="0"/>
    <x v="22"/>
    <n v="0.61330604877397898"/>
  </r>
  <r>
    <x v="0"/>
    <x v="0"/>
    <x v="0"/>
    <x v="20"/>
    <x v="17"/>
    <x v="0"/>
    <x v="23"/>
    <n v="0.45837545168272598"/>
  </r>
  <r>
    <x v="0"/>
    <x v="0"/>
    <x v="0"/>
    <x v="20"/>
    <x v="4"/>
    <x v="0"/>
    <x v="0"/>
    <n v="0"/>
  </r>
  <r>
    <x v="0"/>
    <x v="0"/>
    <x v="0"/>
    <x v="20"/>
    <x v="4"/>
    <x v="0"/>
    <x v="1"/>
    <n v="0"/>
  </r>
  <r>
    <x v="0"/>
    <x v="0"/>
    <x v="0"/>
    <x v="20"/>
    <x v="4"/>
    <x v="0"/>
    <x v="2"/>
    <n v="0"/>
  </r>
  <r>
    <x v="0"/>
    <x v="0"/>
    <x v="0"/>
    <x v="20"/>
    <x v="4"/>
    <x v="0"/>
    <x v="3"/>
    <n v="0"/>
  </r>
  <r>
    <x v="0"/>
    <x v="0"/>
    <x v="0"/>
    <x v="20"/>
    <x v="4"/>
    <x v="0"/>
    <x v="4"/>
    <n v="0"/>
  </r>
  <r>
    <x v="0"/>
    <x v="0"/>
    <x v="0"/>
    <x v="20"/>
    <x v="4"/>
    <x v="0"/>
    <x v="5"/>
    <n v="0"/>
  </r>
  <r>
    <x v="0"/>
    <x v="0"/>
    <x v="0"/>
    <x v="20"/>
    <x v="4"/>
    <x v="0"/>
    <x v="6"/>
    <n v="0"/>
  </r>
  <r>
    <x v="0"/>
    <x v="0"/>
    <x v="0"/>
    <x v="20"/>
    <x v="4"/>
    <x v="0"/>
    <x v="7"/>
    <n v="0"/>
  </r>
  <r>
    <x v="0"/>
    <x v="0"/>
    <x v="0"/>
    <x v="20"/>
    <x v="4"/>
    <x v="0"/>
    <x v="8"/>
    <n v="0"/>
  </r>
  <r>
    <x v="0"/>
    <x v="0"/>
    <x v="0"/>
    <x v="20"/>
    <x v="4"/>
    <x v="0"/>
    <x v="9"/>
    <n v="0"/>
  </r>
  <r>
    <x v="0"/>
    <x v="0"/>
    <x v="0"/>
    <x v="20"/>
    <x v="4"/>
    <x v="0"/>
    <x v="10"/>
    <n v="0"/>
  </r>
  <r>
    <x v="0"/>
    <x v="0"/>
    <x v="0"/>
    <x v="20"/>
    <x v="4"/>
    <x v="0"/>
    <x v="11"/>
    <n v="0"/>
  </r>
  <r>
    <x v="0"/>
    <x v="0"/>
    <x v="0"/>
    <x v="20"/>
    <x v="4"/>
    <x v="0"/>
    <x v="12"/>
    <n v="0"/>
  </r>
  <r>
    <x v="0"/>
    <x v="0"/>
    <x v="0"/>
    <x v="20"/>
    <x v="4"/>
    <x v="0"/>
    <x v="13"/>
    <n v="0"/>
  </r>
  <r>
    <x v="0"/>
    <x v="0"/>
    <x v="0"/>
    <x v="20"/>
    <x v="4"/>
    <x v="0"/>
    <x v="14"/>
    <n v="0"/>
  </r>
  <r>
    <x v="0"/>
    <x v="0"/>
    <x v="0"/>
    <x v="20"/>
    <x v="4"/>
    <x v="0"/>
    <x v="15"/>
    <n v="0"/>
  </r>
  <r>
    <x v="0"/>
    <x v="0"/>
    <x v="0"/>
    <x v="20"/>
    <x v="4"/>
    <x v="0"/>
    <x v="16"/>
    <n v="0"/>
  </r>
  <r>
    <x v="0"/>
    <x v="0"/>
    <x v="0"/>
    <x v="20"/>
    <x v="4"/>
    <x v="0"/>
    <x v="17"/>
    <n v="0"/>
  </r>
  <r>
    <x v="0"/>
    <x v="0"/>
    <x v="0"/>
    <x v="20"/>
    <x v="4"/>
    <x v="0"/>
    <x v="18"/>
    <n v="0"/>
  </r>
  <r>
    <x v="0"/>
    <x v="0"/>
    <x v="0"/>
    <x v="20"/>
    <x v="4"/>
    <x v="0"/>
    <x v="19"/>
    <n v="0"/>
  </r>
  <r>
    <x v="0"/>
    <x v="0"/>
    <x v="0"/>
    <x v="20"/>
    <x v="4"/>
    <x v="0"/>
    <x v="20"/>
    <n v="0"/>
  </r>
  <r>
    <x v="0"/>
    <x v="0"/>
    <x v="0"/>
    <x v="20"/>
    <x v="4"/>
    <x v="0"/>
    <x v="21"/>
    <n v="0"/>
  </r>
  <r>
    <x v="0"/>
    <x v="0"/>
    <x v="0"/>
    <x v="20"/>
    <x v="4"/>
    <x v="0"/>
    <x v="22"/>
    <n v="0"/>
  </r>
  <r>
    <x v="0"/>
    <x v="0"/>
    <x v="0"/>
    <x v="20"/>
    <x v="4"/>
    <x v="0"/>
    <x v="23"/>
    <n v="0"/>
  </r>
  <r>
    <x v="0"/>
    <x v="0"/>
    <x v="0"/>
    <x v="20"/>
    <x v="10"/>
    <x v="0"/>
    <x v="0"/>
    <n v="-2.0830092504887201"/>
  </r>
  <r>
    <x v="0"/>
    <x v="0"/>
    <x v="0"/>
    <x v="20"/>
    <x v="10"/>
    <x v="0"/>
    <x v="1"/>
    <n v="-1.96634319117256"/>
  </r>
  <r>
    <x v="0"/>
    <x v="0"/>
    <x v="0"/>
    <x v="20"/>
    <x v="10"/>
    <x v="0"/>
    <x v="2"/>
    <n v="-1.9076415474456301"/>
  </r>
  <r>
    <x v="0"/>
    <x v="0"/>
    <x v="0"/>
    <x v="20"/>
    <x v="10"/>
    <x v="0"/>
    <x v="3"/>
    <n v="-1.9206403846861999"/>
  </r>
  <r>
    <x v="0"/>
    <x v="0"/>
    <x v="0"/>
    <x v="20"/>
    <x v="10"/>
    <x v="0"/>
    <x v="4"/>
    <n v="-1.8642896919231799"/>
  </r>
  <r>
    <x v="0"/>
    <x v="0"/>
    <x v="0"/>
    <x v="20"/>
    <x v="10"/>
    <x v="0"/>
    <x v="5"/>
    <n v="-1.2540346660226001"/>
  </r>
  <r>
    <x v="0"/>
    <x v="0"/>
    <x v="0"/>
    <x v="20"/>
    <x v="10"/>
    <x v="0"/>
    <x v="6"/>
    <n v="-1.45682453408957"/>
  </r>
  <r>
    <x v="0"/>
    <x v="0"/>
    <x v="0"/>
    <x v="20"/>
    <x v="10"/>
    <x v="0"/>
    <x v="7"/>
    <n v="-1.81676981128041"/>
  </r>
  <r>
    <x v="0"/>
    <x v="0"/>
    <x v="0"/>
    <x v="20"/>
    <x v="10"/>
    <x v="0"/>
    <x v="8"/>
    <n v="-1.9162412696064599"/>
  </r>
  <r>
    <x v="0"/>
    <x v="0"/>
    <x v="0"/>
    <x v="20"/>
    <x v="10"/>
    <x v="0"/>
    <x v="9"/>
    <n v="-1.85762266430889"/>
  </r>
  <r>
    <x v="0"/>
    <x v="0"/>
    <x v="0"/>
    <x v="20"/>
    <x v="10"/>
    <x v="0"/>
    <x v="10"/>
    <n v="-1.9331046046865801"/>
  </r>
  <r>
    <x v="0"/>
    <x v="0"/>
    <x v="0"/>
    <x v="20"/>
    <x v="10"/>
    <x v="0"/>
    <x v="11"/>
    <n v="-1.9254388100242701"/>
  </r>
  <r>
    <x v="0"/>
    <x v="0"/>
    <x v="0"/>
    <x v="20"/>
    <x v="10"/>
    <x v="0"/>
    <x v="12"/>
    <n v="-1.8981757259929899"/>
  </r>
  <r>
    <x v="0"/>
    <x v="0"/>
    <x v="0"/>
    <x v="20"/>
    <x v="10"/>
    <x v="0"/>
    <x v="13"/>
    <n v="-1.9108585877681601"/>
  </r>
  <r>
    <x v="0"/>
    <x v="0"/>
    <x v="0"/>
    <x v="20"/>
    <x v="10"/>
    <x v="0"/>
    <x v="14"/>
    <n v="-1.85494191826577"/>
  </r>
  <r>
    <x v="0"/>
    <x v="0"/>
    <x v="0"/>
    <x v="20"/>
    <x v="10"/>
    <x v="0"/>
    <x v="15"/>
    <n v="-1.8155443787230701"/>
  </r>
  <r>
    <x v="0"/>
    <x v="0"/>
    <x v="0"/>
    <x v="20"/>
    <x v="10"/>
    <x v="0"/>
    <x v="16"/>
    <n v="-1.7510533039397"/>
  </r>
  <r>
    <x v="0"/>
    <x v="0"/>
    <x v="0"/>
    <x v="20"/>
    <x v="10"/>
    <x v="0"/>
    <x v="17"/>
    <n v="-1.8215891523255601"/>
  </r>
  <r>
    <x v="0"/>
    <x v="0"/>
    <x v="0"/>
    <x v="20"/>
    <x v="10"/>
    <x v="0"/>
    <x v="18"/>
    <n v="-1.75410659071495"/>
  </r>
  <r>
    <x v="0"/>
    <x v="0"/>
    <x v="0"/>
    <x v="20"/>
    <x v="10"/>
    <x v="0"/>
    <x v="19"/>
    <n v="-1.0807980129810599"/>
  </r>
  <r>
    <x v="0"/>
    <x v="0"/>
    <x v="0"/>
    <x v="20"/>
    <x v="10"/>
    <x v="0"/>
    <x v="20"/>
    <n v="-1.3546004988781699"/>
  </r>
  <r>
    <x v="0"/>
    <x v="0"/>
    <x v="0"/>
    <x v="20"/>
    <x v="10"/>
    <x v="0"/>
    <x v="21"/>
    <n v="-1.1784937014388901"/>
  </r>
  <r>
    <x v="0"/>
    <x v="0"/>
    <x v="0"/>
    <x v="20"/>
    <x v="10"/>
    <x v="0"/>
    <x v="22"/>
    <n v="-1.5195778472180199"/>
  </r>
  <r>
    <x v="0"/>
    <x v="0"/>
    <x v="0"/>
    <x v="20"/>
    <x v="10"/>
    <x v="0"/>
    <x v="23"/>
    <n v="-0.78277953872553396"/>
  </r>
  <r>
    <x v="0"/>
    <x v="0"/>
    <x v="0"/>
    <x v="21"/>
    <x v="6"/>
    <x v="0"/>
    <x v="0"/>
    <n v="0"/>
  </r>
  <r>
    <x v="0"/>
    <x v="0"/>
    <x v="0"/>
    <x v="21"/>
    <x v="6"/>
    <x v="0"/>
    <x v="1"/>
    <n v="0"/>
  </r>
  <r>
    <x v="0"/>
    <x v="0"/>
    <x v="0"/>
    <x v="21"/>
    <x v="6"/>
    <x v="0"/>
    <x v="2"/>
    <n v="0"/>
  </r>
  <r>
    <x v="0"/>
    <x v="0"/>
    <x v="0"/>
    <x v="21"/>
    <x v="6"/>
    <x v="0"/>
    <x v="3"/>
    <n v="0"/>
  </r>
  <r>
    <x v="0"/>
    <x v="0"/>
    <x v="0"/>
    <x v="21"/>
    <x v="6"/>
    <x v="0"/>
    <x v="4"/>
    <n v="0"/>
  </r>
  <r>
    <x v="0"/>
    <x v="0"/>
    <x v="0"/>
    <x v="21"/>
    <x v="6"/>
    <x v="0"/>
    <x v="5"/>
    <n v="0"/>
  </r>
  <r>
    <x v="0"/>
    <x v="0"/>
    <x v="0"/>
    <x v="21"/>
    <x v="6"/>
    <x v="0"/>
    <x v="6"/>
    <n v="0"/>
  </r>
  <r>
    <x v="0"/>
    <x v="0"/>
    <x v="0"/>
    <x v="21"/>
    <x v="6"/>
    <x v="0"/>
    <x v="7"/>
    <n v="0"/>
  </r>
  <r>
    <x v="0"/>
    <x v="0"/>
    <x v="0"/>
    <x v="21"/>
    <x v="6"/>
    <x v="0"/>
    <x v="8"/>
    <n v="0"/>
  </r>
  <r>
    <x v="0"/>
    <x v="0"/>
    <x v="0"/>
    <x v="21"/>
    <x v="6"/>
    <x v="0"/>
    <x v="9"/>
    <n v="0"/>
  </r>
  <r>
    <x v="0"/>
    <x v="0"/>
    <x v="0"/>
    <x v="21"/>
    <x v="6"/>
    <x v="0"/>
    <x v="10"/>
    <n v="0"/>
  </r>
  <r>
    <x v="0"/>
    <x v="0"/>
    <x v="0"/>
    <x v="21"/>
    <x v="6"/>
    <x v="0"/>
    <x v="11"/>
    <n v="0"/>
  </r>
  <r>
    <x v="0"/>
    <x v="0"/>
    <x v="0"/>
    <x v="21"/>
    <x v="6"/>
    <x v="0"/>
    <x v="12"/>
    <n v="0"/>
  </r>
  <r>
    <x v="0"/>
    <x v="0"/>
    <x v="0"/>
    <x v="21"/>
    <x v="6"/>
    <x v="0"/>
    <x v="13"/>
    <n v="0"/>
  </r>
  <r>
    <x v="0"/>
    <x v="0"/>
    <x v="0"/>
    <x v="21"/>
    <x v="6"/>
    <x v="0"/>
    <x v="14"/>
    <n v="0"/>
  </r>
  <r>
    <x v="0"/>
    <x v="0"/>
    <x v="0"/>
    <x v="21"/>
    <x v="6"/>
    <x v="0"/>
    <x v="15"/>
    <n v="0"/>
  </r>
  <r>
    <x v="0"/>
    <x v="0"/>
    <x v="0"/>
    <x v="21"/>
    <x v="6"/>
    <x v="0"/>
    <x v="16"/>
    <n v="0"/>
  </r>
  <r>
    <x v="0"/>
    <x v="0"/>
    <x v="0"/>
    <x v="21"/>
    <x v="6"/>
    <x v="0"/>
    <x v="17"/>
    <n v="0"/>
  </r>
  <r>
    <x v="0"/>
    <x v="0"/>
    <x v="0"/>
    <x v="21"/>
    <x v="6"/>
    <x v="0"/>
    <x v="18"/>
    <n v="0"/>
  </r>
  <r>
    <x v="0"/>
    <x v="0"/>
    <x v="0"/>
    <x v="21"/>
    <x v="6"/>
    <x v="0"/>
    <x v="19"/>
    <n v="0"/>
  </r>
  <r>
    <x v="0"/>
    <x v="0"/>
    <x v="0"/>
    <x v="21"/>
    <x v="6"/>
    <x v="0"/>
    <x v="20"/>
    <n v="0"/>
  </r>
  <r>
    <x v="0"/>
    <x v="0"/>
    <x v="0"/>
    <x v="21"/>
    <x v="6"/>
    <x v="0"/>
    <x v="21"/>
    <n v="0"/>
  </r>
  <r>
    <x v="0"/>
    <x v="0"/>
    <x v="0"/>
    <x v="21"/>
    <x v="6"/>
    <x v="0"/>
    <x v="22"/>
    <n v="0"/>
  </r>
  <r>
    <x v="0"/>
    <x v="0"/>
    <x v="0"/>
    <x v="21"/>
    <x v="6"/>
    <x v="0"/>
    <x v="23"/>
    <n v="0"/>
  </r>
  <r>
    <x v="0"/>
    <x v="0"/>
    <x v="0"/>
    <x v="21"/>
    <x v="9"/>
    <x v="0"/>
    <x v="0"/>
    <n v="0"/>
  </r>
  <r>
    <x v="0"/>
    <x v="0"/>
    <x v="0"/>
    <x v="21"/>
    <x v="9"/>
    <x v="0"/>
    <x v="1"/>
    <n v="0"/>
  </r>
  <r>
    <x v="0"/>
    <x v="0"/>
    <x v="0"/>
    <x v="21"/>
    <x v="9"/>
    <x v="0"/>
    <x v="2"/>
    <n v="0"/>
  </r>
  <r>
    <x v="0"/>
    <x v="0"/>
    <x v="0"/>
    <x v="21"/>
    <x v="9"/>
    <x v="0"/>
    <x v="3"/>
    <n v="0"/>
  </r>
  <r>
    <x v="0"/>
    <x v="0"/>
    <x v="0"/>
    <x v="21"/>
    <x v="9"/>
    <x v="0"/>
    <x v="4"/>
    <n v="0"/>
  </r>
  <r>
    <x v="0"/>
    <x v="0"/>
    <x v="0"/>
    <x v="21"/>
    <x v="9"/>
    <x v="0"/>
    <x v="5"/>
    <n v="0"/>
  </r>
  <r>
    <x v="0"/>
    <x v="0"/>
    <x v="0"/>
    <x v="21"/>
    <x v="9"/>
    <x v="0"/>
    <x v="6"/>
    <n v="0"/>
  </r>
  <r>
    <x v="0"/>
    <x v="0"/>
    <x v="0"/>
    <x v="21"/>
    <x v="9"/>
    <x v="0"/>
    <x v="7"/>
    <n v="0"/>
  </r>
  <r>
    <x v="0"/>
    <x v="0"/>
    <x v="0"/>
    <x v="21"/>
    <x v="9"/>
    <x v="0"/>
    <x v="8"/>
    <n v="0"/>
  </r>
  <r>
    <x v="0"/>
    <x v="0"/>
    <x v="0"/>
    <x v="21"/>
    <x v="9"/>
    <x v="0"/>
    <x v="9"/>
    <n v="0"/>
  </r>
  <r>
    <x v="0"/>
    <x v="0"/>
    <x v="0"/>
    <x v="21"/>
    <x v="9"/>
    <x v="0"/>
    <x v="10"/>
    <n v="0"/>
  </r>
  <r>
    <x v="0"/>
    <x v="0"/>
    <x v="0"/>
    <x v="21"/>
    <x v="9"/>
    <x v="0"/>
    <x v="11"/>
    <n v="0"/>
  </r>
  <r>
    <x v="0"/>
    <x v="0"/>
    <x v="0"/>
    <x v="21"/>
    <x v="9"/>
    <x v="0"/>
    <x v="12"/>
    <n v="0"/>
  </r>
  <r>
    <x v="0"/>
    <x v="0"/>
    <x v="0"/>
    <x v="21"/>
    <x v="9"/>
    <x v="0"/>
    <x v="13"/>
    <n v="0"/>
  </r>
  <r>
    <x v="0"/>
    <x v="0"/>
    <x v="0"/>
    <x v="21"/>
    <x v="9"/>
    <x v="0"/>
    <x v="14"/>
    <n v="0"/>
  </r>
  <r>
    <x v="0"/>
    <x v="0"/>
    <x v="0"/>
    <x v="21"/>
    <x v="9"/>
    <x v="0"/>
    <x v="15"/>
    <n v="0"/>
  </r>
  <r>
    <x v="0"/>
    <x v="0"/>
    <x v="0"/>
    <x v="21"/>
    <x v="9"/>
    <x v="0"/>
    <x v="16"/>
    <n v="0"/>
  </r>
  <r>
    <x v="0"/>
    <x v="0"/>
    <x v="0"/>
    <x v="21"/>
    <x v="9"/>
    <x v="0"/>
    <x v="17"/>
    <n v="0"/>
  </r>
  <r>
    <x v="0"/>
    <x v="0"/>
    <x v="0"/>
    <x v="21"/>
    <x v="9"/>
    <x v="0"/>
    <x v="18"/>
    <n v="0"/>
  </r>
  <r>
    <x v="0"/>
    <x v="0"/>
    <x v="0"/>
    <x v="21"/>
    <x v="9"/>
    <x v="0"/>
    <x v="19"/>
    <n v="0"/>
  </r>
  <r>
    <x v="0"/>
    <x v="0"/>
    <x v="0"/>
    <x v="21"/>
    <x v="9"/>
    <x v="0"/>
    <x v="20"/>
    <n v="0"/>
  </r>
  <r>
    <x v="0"/>
    <x v="0"/>
    <x v="0"/>
    <x v="21"/>
    <x v="9"/>
    <x v="0"/>
    <x v="21"/>
    <n v="0"/>
  </r>
  <r>
    <x v="0"/>
    <x v="0"/>
    <x v="0"/>
    <x v="21"/>
    <x v="9"/>
    <x v="0"/>
    <x v="22"/>
    <n v="0"/>
  </r>
  <r>
    <x v="0"/>
    <x v="0"/>
    <x v="0"/>
    <x v="21"/>
    <x v="9"/>
    <x v="0"/>
    <x v="23"/>
    <n v="0"/>
  </r>
  <r>
    <x v="0"/>
    <x v="0"/>
    <x v="0"/>
    <x v="21"/>
    <x v="7"/>
    <x v="0"/>
    <x v="0"/>
    <n v="-0.90965978534091396"/>
  </r>
  <r>
    <x v="0"/>
    <x v="0"/>
    <x v="0"/>
    <x v="21"/>
    <x v="7"/>
    <x v="0"/>
    <x v="1"/>
    <n v="-0.90965978534091396"/>
  </r>
  <r>
    <x v="0"/>
    <x v="0"/>
    <x v="0"/>
    <x v="21"/>
    <x v="7"/>
    <x v="0"/>
    <x v="2"/>
    <n v="-0.90965978534091396"/>
  </r>
  <r>
    <x v="0"/>
    <x v="0"/>
    <x v="0"/>
    <x v="21"/>
    <x v="7"/>
    <x v="0"/>
    <x v="3"/>
    <n v="-0.90965978534091396"/>
  </r>
  <r>
    <x v="0"/>
    <x v="0"/>
    <x v="0"/>
    <x v="21"/>
    <x v="7"/>
    <x v="0"/>
    <x v="4"/>
    <n v="-0.90965978534091396"/>
  </r>
  <r>
    <x v="0"/>
    <x v="0"/>
    <x v="0"/>
    <x v="21"/>
    <x v="7"/>
    <x v="0"/>
    <x v="5"/>
    <n v="-0.90965978534091396"/>
  </r>
  <r>
    <x v="0"/>
    <x v="0"/>
    <x v="0"/>
    <x v="21"/>
    <x v="7"/>
    <x v="0"/>
    <x v="6"/>
    <n v="-0.90965978534091396"/>
  </r>
  <r>
    <x v="0"/>
    <x v="0"/>
    <x v="0"/>
    <x v="21"/>
    <x v="7"/>
    <x v="0"/>
    <x v="7"/>
    <n v="-0.90965978534091396"/>
  </r>
  <r>
    <x v="0"/>
    <x v="0"/>
    <x v="0"/>
    <x v="21"/>
    <x v="7"/>
    <x v="0"/>
    <x v="8"/>
    <n v="-0.90965978534091396"/>
  </r>
  <r>
    <x v="0"/>
    <x v="0"/>
    <x v="0"/>
    <x v="21"/>
    <x v="7"/>
    <x v="0"/>
    <x v="9"/>
    <n v="-0.90965978534091396"/>
  </r>
  <r>
    <x v="0"/>
    <x v="0"/>
    <x v="0"/>
    <x v="21"/>
    <x v="7"/>
    <x v="0"/>
    <x v="10"/>
    <n v="-0.90965978534091396"/>
  </r>
  <r>
    <x v="0"/>
    <x v="0"/>
    <x v="0"/>
    <x v="21"/>
    <x v="7"/>
    <x v="0"/>
    <x v="11"/>
    <n v="-0.90965978534091396"/>
  </r>
  <r>
    <x v="0"/>
    <x v="0"/>
    <x v="0"/>
    <x v="21"/>
    <x v="7"/>
    <x v="0"/>
    <x v="12"/>
    <n v="-0.90965978534091396"/>
  </r>
  <r>
    <x v="0"/>
    <x v="0"/>
    <x v="0"/>
    <x v="21"/>
    <x v="7"/>
    <x v="0"/>
    <x v="13"/>
    <n v="-0.90965978534091396"/>
  </r>
  <r>
    <x v="0"/>
    <x v="0"/>
    <x v="0"/>
    <x v="21"/>
    <x v="7"/>
    <x v="0"/>
    <x v="14"/>
    <n v="-0.90965978534091396"/>
  </r>
  <r>
    <x v="0"/>
    <x v="0"/>
    <x v="0"/>
    <x v="21"/>
    <x v="7"/>
    <x v="0"/>
    <x v="15"/>
    <n v="-0.90965978534091396"/>
  </r>
  <r>
    <x v="0"/>
    <x v="0"/>
    <x v="0"/>
    <x v="21"/>
    <x v="7"/>
    <x v="0"/>
    <x v="16"/>
    <n v="-0.90965978534091396"/>
  </r>
  <r>
    <x v="0"/>
    <x v="0"/>
    <x v="0"/>
    <x v="21"/>
    <x v="7"/>
    <x v="0"/>
    <x v="17"/>
    <n v="-0.90965978534091396"/>
  </r>
  <r>
    <x v="0"/>
    <x v="0"/>
    <x v="0"/>
    <x v="21"/>
    <x v="7"/>
    <x v="0"/>
    <x v="18"/>
    <n v="-0.90965978534091396"/>
  </r>
  <r>
    <x v="0"/>
    <x v="0"/>
    <x v="0"/>
    <x v="21"/>
    <x v="7"/>
    <x v="0"/>
    <x v="19"/>
    <n v="-0.90965978534091396"/>
  </r>
  <r>
    <x v="0"/>
    <x v="0"/>
    <x v="0"/>
    <x v="21"/>
    <x v="7"/>
    <x v="0"/>
    <x v="20"/>
    <n v="-0.90965978534091396"/>
  </r>
  <r>
    <x v="0"/>
    <x v="0"/>
    <x v="0"/>
    <x v="21"/>
    <x v="7"/>
    <x v="0"/>
    <x v="21"/>
    <n v="-0.90965978534091396"/>
  </r>
  <r>
    <x v="0"/>
    <x v="0"/>
    <x v="0"/>
    <x v="21"/>
    <x v="7"/>
    <x v="0"/>
    <x v="22"/>
    <n v="-0.90965978534091396"/>
  </r>
  <r>
    <x v="0"/>
    <x v="0"/>
    <x v="0"/>
    <x v="21"/>
    <x v="7"/>
    <x v="0"/>
    <x v="23"/>
    <n v="-0.90965978534091396"/>
  </r>
</pivotCacheRecords>
</file>

<file path=xl/pivotCache/pivotCacheRecords9.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10.xml><?xml version="1.0" encoding="utf-8"?>
<pivotCacheRecords xmlns="http://schemas.openxmlformats.org/spreadsheetml/2006/main" xmlns:r="http://schemas.openxmlformats.org/officeDocument/2006/relationships" count="1224">
  <r>
    <x v="0"/>
    <x v="0"/>
    <x v="0"/>
    <x v="0"/>
    <x v="0"/>
    <s v="DK1_Large"/>
    <x v="0"/>
    <x v="0"/>
    <n v="809.39665085719605"/>
    <n v="2913.8279430859102"/>
  </r>
  <r>
    <x v="0"/>
    <x v="0"/>
    <x v="0"/>
    <x v="0"/>
    <x v="0"/>
    <s v="DK1_Large"/>
    <x v="0"/>
    <x v="1"/>
    <n v="1426.4005766892601"/>
    <n v="5135.0420760813204"/>
  </r>
  <r>
    <x v="0"/>
    <x v="0"/>
    <x v="0"/>
    <x v="0"/>
    <x v="0"/>
    <s v="DK1_Large"/>
    <x v="0"/>
    <x v="2"/>
    <n v="1973.4685400354699"/>
    <n v="7104.4867441276901"/>
  </r>
  <r>
    <x v="0"/>
    <x v="0"/>
    <x v="0"/>
    <x v="0"/>
    <x v="0"/>
    <s v="DK1_Large"/>
    <x v="0"/>
    <x v="3"/>
    <n v="2450.6005408958399"/>
    <n v="8822.1619472250095"/>
  </r>
  <r>
    <x v="0"/>
    <x v="0"/>
    <x v="0"/>
    <x v="0"/>
    <x v="0"/>
    <s v="DK1_Large"/>
    <x v="0"/>
    <x v="4"/>
    <n v="2857.7965792703599"/>
    <n v="10288.0676853733"/>
  </r>
  <r>
    <x v="0"/>
    <x v="0"/>
    <x v="0"/>
    <x v="0"/>
    <x v="0"/>
    <s v="DK1_Large"/>
    <x v="0"/>
    <x v="5"/>
    <n v="3050.1893042954998"/>
    <n v="10980.681495463799"/>
  </r>
  <r>
    <x v="0"/>
    <x v="0"/>
    <x v="0"/>
    <x v="0"/>
    <x v="0"/>
    <s v="DK1_Large"/>
    <x v="0"/>
    <x v="6"/>
    <n v="2822.96625440556"/>
    <n v="10162.67851586"/>
  </r>
  <r>
    <x v="0"/>
    <x v="0"/>
    <x v="0"/>
    <x v="0"/>
    <x v="0"/>
    <s v="DK1_Large"/>
    <x v="0"/>
    <x v="7"/>
    <n v="2712.1475495377799"/>
    <n v="9763.7311783360201"/>
  </r>
  <r>
    <x v="0"/>
    <x v="0"/>
    <x v="0"/>
    <x v="0"/>
    <x v="0"/>
    <s v="DK1_Large"/>
    <x v="0"/>
    <x v="8"/>
    <n v="4168.7430774655604"/>
    <n v="15007.475078875999"/>
  </r>
  <r>
    <x v="0"/>
    <x v="0"/>
    <x v="0"/>
    <x v="0"/>
    <x v="0"/>
    <s v="DK1_Large"/>
    <x v="0"/>
    <x v="9"/>
    <n v="5625.33860539333"/>
    <n v="20251.218979416"/>
  </r>
  <r>
    <x v="0"/>
    <x v="0"/>
    <x v="0"/>
    <x v="0"/>
    <x v="0"/>
    <s v="DK1_Large"/>
    <x v="0"/>
    <x v="10"/>
    <n v="5224.3895446023498"/>
    <n v="18807.802360568501"/>
  </r>
  <r>
    <x v="0"/>
    <x v="0"/>
    <x v="0"/>
    <x v="0"/>
    <x v="0"/>
    <s v="DK1_Large"/>
    <x v="0"/>
    <x v="11"/>
    <n v="4712.4272188771802"/>
    <n v="16964.7379879578"/>
  </r>
  <r>
    <x v="0"/>
    <x v="0"/>
    <x v="0"/>
    <x v="0"/>
    <x v="0"/>
    <s v="DK1_Large"/>
    <x v="0"/>
    <x v="12"/>
    <n v="4340.3368181237001"/>
    <n v="15625.2125452453"/>
  </r>
  <r>
    <x v="0"/>
    <x v="0"/>
    <x v="0"/>
    <x v="0"/>
    <x v="0"/>
    <s v="DK1_Large"/>
    <x v="0"/>
    <x v="13"/>
    <n v="4113.1137682337603"/>
    <n v="14807.2095656415"/>
  </r>
  <r>
    <x v="0"/>
    <x v="0"/>
    <x v="0"/>
    <x v="0"/>
    <x v="0"/>
    <s v="DK1_Large"/>
    <x v="0"/>
    <x v="14"/>
    <n v="3810.9593299661301"/>
    <n v="13719.453587878101"/>
  </r>
  <r>
    <x v="0"/>
    <x v="0"/>
    <x v="0"/>
    <x v="0"/>
    <x v="0"/>
    <s v="DK1_Large"/>
    <x v="0"/>
    <x v="15"/>
    <n v="3438.8689292126501"/>
    <n v="12379.928145165601"/>
  </r>
  <r>
    <x v="0"/>
    <x v="0"/>
    <x v="0"/>
    <x v="0"/>
    <x v="0"/>
    <s v="DK1_Large"/>
    <x v="0"/>
    <x v="16"/>
    <n v="2996.8425659733298"/>
    <n v="10788.633237504"/>
  </r>
  <r>
    <x v="0"/>
    <x v="0"/>
    <x v="0"/>
    <x v="0"/>
    <x v="0"/>
    <s v="DK1_Large"/>
    <x v="0"/>
    <x v="17"/>
    <n v="2414.9442777623099"/>
    <n v="8693.7993999443206"/>
  </r>
  <r>
    <x v="0"/>
    <x v="0"/>
    <x v="0"/>
    <x v="0"/>
    <x v="0"/>
    <s v="DK1_Large"/>
    <x v="0"/>
    <x v="18"/>
    <n v="1763.1100270654499"/>
    <n v="6347.1960974356198"/>
  </r>
  <r>
    <x v="0"/>
    <x v="0"/>
    <x v="0"/>
    <x v="0"/>
    <x v="0"/>
    <s v="DK1_Large"/>
    <x v="0"/>
    <x v="19"/>
    <n v="1041.3398138827399"/>
    <n v="3748.8233299778699"/>
  </r>
  <r>
    <x v="0"/>
    <x v="0"/>
    <x v="0"/>
    <x v="0"/>
    <x v="0"/>
    <s v="DK1_Large"/>
    <x v="0"/>
    <x v="20"/>
    <n v="459.441525671725"/>
    <n v="1653.9894924182099"/>
  </r>
  <r>
    <x v="0"/>
    <x v="0"/>
    <x v="0"/>
    <x v="0"/>
    <x v="0"/>
    <s v="DK1_Large"/>
    <x v="0"/>
    <x v="21"/>
    <n v="87.351124918246697"/>
    <n v="314.46404970568801"/>
  </r>
  <r>
    <x v="0"/>
    <x v="0"/>
    <x v="0"/>
    <x v="0"/>
    <x v="0"/>
    <s v="DK1_Large"/>
    <x v="0"/>
    <x v="22"/>
    <n v="0"/>
    <n v="0"/>
  </r>
  <r>
    <x v="0"/>
    <x v="0"/>
    <x v="0"/>
    <x v="0"/>
    <x v="0"/>
    <s v="DK1_Large"/>
    <x v="0"/>
    <x v="23"/>
    <n v="262.328687510983"/>
    <n v="944.38327503953997"/>
  </r>
  <r>
    <x v="0"/>
    <x v="0"/>
    <x v="0"/>
    <x v="0"/>
    <x v="0"/>
    <s v="DK1_MedSmall"/>
    <x v="0"/>
    <x v="0"/>
    <n v="388.344252249487"/>
    <n v="1398.0393080981501"/>
  </r>
  <r>
    <x v="0"/>
    <x v="0"/>
    <x v="0"/>
    <x v="0"/>
    <x v="0"/>
    <s v="DK1_MedSmall"/>
    <x v="0"/>
    <x v="1"/>
    <n v="801.52570033142297"/>
    <n v="2885.49252119312"/>
  </r>
  <r>
    <x v="0"/>
    <x v="0"/>
    <x v="0"/>
    <x v="0"/>
    <x v="0"/>
    <s v="DK1_MedSmall"/>
    <x v="0"/>
    <x v="2"/>
    <n v="1400.4771495253999"/>
    <n v="5041.7177382914497"/>
  </r>
  <r>
    <x v="0"/>
    <x v="0"/>
    <x v="0"/>
    <x v="0"/>
    <x v="0"/>
    <s v="DK1_MedSmall"/>
    <x v="0"/>
    <x v="3"/>
    <n v="1833.3016766534099"/>
    <n v="6599.8860359522696"/>
  </r>
  <r>
    <x v="0"/>
    <x v="0"/>
    <x v="0"/>
    <x v="0"/>
    <x v="0"/>
    <s v="DK1_MedSmall"/>
    <x v="0"/>
    <x v="4"/>
    <n v="2252.0954330342202"/>
    <n v="8107.5435589231902"/>
  </r>
  <r>
    <x v="0"/>
    <x v="0"/>
    <x v="0"/>
    <x v="0"/>
    <x v="0"/>
    <s v="DK1_MedSmall"/>
    <x v="0"/>
    <x v="5"/>
    <n v="2810.99875401789"/>
    <n v="10119.595514464399"/>
  </r>
  <r>
    <x v="0"/>
    <x v="0"/>
    <x v="0"/>
    <x v="0"/>
    <x v="0"/>
    <s v="DK1_MedSmall"/>
    <x v="0"/>
    <x v="6"/>
    <n v="3055.8109531335199"/>
    <n v="11000.919431280699"/>
  </r>
  <r>
    <x v="0"/>
    <x v="0"/>
    <x v="0"/>
    <x v="0"/>
    <x v="0"/>
    <s v="DK1_MedSmall"/>
    <x v="0"/>
    <x v="7"/>
    <n v="3055.8109531335199"/>
    <n v="11000.919431280699"/>
  </r>
  <r>
    <x v="0"/>
    <x v="0"/>
    <x v="0"/>
    <x v="0"/>
    <x v="0"/>
    <s v="DK1_MedSmall"/>
    <x v="0"/>
    <x v="8"/>
    <n v="2825.7796200453799"/>
    <n v="10172.8066321634"/>
  </r>
  <r>
    <x v="0"/>
    <x v="0"/>
    <x v="0"/>
    <x v="0"/>
    <x v="0"/>
    <s v="DK1_MedSmall"/>
    <x v="0"/>
    <x v="9"/>
    <n v="2559.26828301455"/>
    <n v="9213.3658188523805"/>
  </r>
  <r>
    <x v="0"/>
    <x v="0"/>
    <x v="0"/>
    <x v="0"/>
    <x v="0"/>
    <s v="DK1_MedSmall"/>
    <x v="0"/>
    <x v="10"/>
    <n v="2297.4338695661099"/>
    <n v="8270.7619304380005"/>
  </r>
  <r>
    <x v="0"/>
    <x v="0"/>
    <x v="0"/>
    <x v="0"/>
    <x v="0"/>
    <s v="DK1_MedSmall"/>
    <x v="0"/>
    <x v="11"/>
    <n v="2027.1809936693601"/>
    <n v="7297.8515772096798"/>
  </r>
  <r>
    <x v="0"/>
    <x v="0"/>
    <x v="0"/>
    <x v="0"/>
    <x v="0"/>
    <s v="DK1_MedSmall"/>
    <x v="0"/>
    <x v="12"/>
    <n v="1765.34658022092"/>
    <n v="6355.2476887953098"/>
  </r>
  <r>
    <x v="0"/>
    <x v="0"/>
    <x v="0"/>
    <x v="0"/>
    <x v="0"/>
    <s v="DK1_MedSmall"/>
    <x v="0"/>
    <x v="13"/>
    <n v="1555.8937108953301"/>
    <n v="5601.2173592231902"/>
  </r>
  <r>
    <x v="0"/>
    <x v="0"/>
    <x v="0"/>
    <x v="0"/>
    <x v="0"/>
    <s v="DK1_MedSmall"/>
    <x v="0"/>
    <x v="14"/>
    <n v="1382.9208455124401"/>
    <n v="4978.5150438447899"/>
  </r>
  <r>
    <x v="0"/>
    <x v="0"/>
    <x v="0"/>
    <x v="0"/>
    <x v="0"/>
    <s v="DK1_MedSmall"/>
    <x v="0"/>
    <x v="15"/>
    <n v="1194.9818246658799"/>
    <n v="4301.93456879718"/>
  </r>
  <r>
    <x v="0"/>
    <x v="0"/>
    <x v="0"/>
    <x v="0"/>
    <x v="0"/>
    <s v="DK1_MedSmall"/>
    <x v="0"/>
    <x v="16"/>
    <n v="993.01203307212995"/>
    <n v="3574.8433190596702"/>
  </r>
  <r>
    <x v="0"/>
    <x v="0"/>
    <x v="0"/>
    <x v="0"/>
    <x v="0"/>
    <s v="DK1_MedSmall"/>
    <x v="0"/>
    <x v="17"/>
    <n v="782.623779030062"/>
    <n v="2817.4456045082202"/>
  </r>
  <r>
    <x v="0"/>
    <x v="0"/>
    <x v="0"/>
    <x v="0"/>
    <x v="0"/>
    <s v="DK1_MedSmall"/>
    <x v="0"/>
    <x v="18"/>
    <n v="546.98013764304903"/>
    <n v="1969.1284955149799"/>
  </r>
  <r>
    <x v="0"/>
    <x v="0"/>
    <x v="0"/>
    <x v="0"/>
    <x v="0"/>
    <s v="DK1_MedSmall"/>
    <x v="0"/>
    <x v="19"/>
    <n v="315.07803512195397"/>
    <n v="1134.2809264390401"/>
  </r>
  <r>
    <x v="0"/>
    <x v="0"/>
    <x v="0"/>
    <x v="0"/>
    <x v="0"/>
    <s v="DK1_MedSmall"/>
    <x v="0"/>
    <x v="20"/>
    <n v="121.52670597651699"/>
    <n v="437.49614151546302"/>
  </r>
  <r>
    <x v="0"/>
    <x v="0"/>
    <x v="0"/>
    <x v="0"/>
    <x v="0"/>
    <s v="DK1_MedSmall"/>
    <x v="0"/>
    <x v="21"/>
    <n v="0"/>
    <n v="0"/>
  </r>
  <r>
    <x v="0"/>
    <x v="0"/>
    <x v="0"/>
    <x v="0"/>
    <x v="0"/>
    <s v="DK1_MedSmall"/>
    <x v="0"/>
    <x v="22"/>
    <n v="45.575254505502997"/>
    <n v="164.07091621981101"/>
  </r>
  <r>
    <x v="0"/>
    <x v="0"/>
    <x v="0"/>
    <x v="0"/>
    <x v="0"/>
    <s v="DK1_MedSmall"/>
    <x v="0"/>
    <x v="23"/>
    <n v="188.43051952487099"/>
    <n v="678.34987028953606"/>
  </r>
  <r>
    <x v="0"/>
    <x v="0"/>
    <x v="0"/>
    <x v="0"/>
    <x v="0"/>
    <s v="DK1_Medium"/>
    <x v="0"/>
    <x v="0"/>
    <n v="1622.9682924568799"/>
    <n v="5842.6858528447601"/>
  </r>
  <r>
    <x v="0"/>
    <x v="0"/>
    <x v="0"/>
    <x v="0"/>
    <x v="0"/>
    <s v="DK1_Medium"/>
    <x v="0"/>
    <x v="1"/>
    <n v="2793.7459703424402"/>
    <n v="10057.4854932328"/>
  </r>
  <r>
    <x v="0"/>
    <x v="0"/>
    <x v="0"/>
    <x v="0"/>
    <x v="0"/>
    <s v="DK1_Medium"/>
    <x v="0"/>
    <x v="2"/>
    <n v="3987.3621231216298"/>
    <n v="14354.5036432379"/>
  </r>
  <r>
    <x v="0"/>
    <x v="0"/>
    <x v="0"/>
    <x v="0"/>
    <x v="0"/>
    <s v="DK1_Medium"/>
    <x v="0"/>
    <x v="3"/>
    <n v="5201.7405258041199"/>
    <n v="18726.2658928948"/>
  </r>
  <r>
    <x v="0"/>
    <x v="0"/>
    <x v="0"/>
    <x v="0"/>
    <x v="0"/>
    <s v="DK1_Medium"/>
    <x v="0"/>
    <x v="4"/>
    <n v="6384.9755536316597"/>
    <n v="22985.911993074002"/>
  </r>
  <r>
    <x v="0"/>
    <x v="0"/>
    <x v="0"/>
    <x v="0"/>
    <x v="0"/>
    <s v="DK1_Medium"/>
    <x v="0"/>
    <x v="5"/>
    <n v="7545.37210656558"/>
    <n v="27163.339583636101"/>
  </r>
  <r>
    <x v="0"/>
    <x v="0"/>
    <x v="0"/>
    <x v="0"/>
    <x v="0"/>
    <s v="DK1_Medium"/>
    <x v="0"/>
    <x v="6"/>
    <n v="8342.4292861918402"/>
    <n v="30032.745430290601"/>
  </r>
  <r>
    <x v="0"/>
    <x v="0"/>
    <x v="0"/>
    <x v="0"/>
    <x v="0"/>
    <s v="DK1_Medium"/>
    <x v="0"/>
    <x v="7"/>
    <n v="8230.0999200537808"/>
    <n v="29628.3597121936"/>
  </r>
  <r>
    <x v="0"/>
    <x v="0"/>
    <x v="0"/>
    <x v="0"/>
    <x v="0"/>
    <s v="DK1_Medium"/>
    <x v="0"/>
    <x v="8"/>
    <n v="8067.9389394751297"/>
    <n v="29044.580182110501"/>
  </r>
  <r>
    <x v="0"/>
    <x v="0"/>
    <x v="0"/>
    <x v="0"/>
    <x v="0"/>
    <s v="DK1_Medium"/>
    <x v="0"/>
    <x v="9"/>
    <n v="7404.3006904476697"/>
    <n v="26655.482485611599"/>
  </r>
  <r>
    <x v="0"/>
    <x v="0"/>
    <x v="0"/>
    <x v="0"/>
    <x v="0"/>
    <s v="DK1_Medium"/>
    <x v="0"/>
    <x v="10"/>
    <n v="6679.4849521624301"/>
    <n v="24046.145827784701"/>
  </r>
  <r>
    <x v="0"/>
    <x v="0"/>
    <x v="0"/>
    <x v="0"/>
    <x v="0"/>
    <s v="DK1_Medium"/>
    <x v="0"/>
    <x v="11"/>
    <n v="5935.9831889642101"/>
    <n v="21369.539480271102"/>
  </r>
  <r>
    <x v="0"/>
    <x v="0"/>
    <x v="0"/>
    <x v="0"/>
    <x v="0"/>
    <s v="DK1_Medium"/>
    <x v="0"/>
    <x v="12"/>
    <n v="5211.1674506789604"/>
    <n v="18760.202822444298"/>
  </r>
  <r>
    <x v="0"/>
    <x v="0"/>
    <x v="0"/>
    <x v="0"/>
    <x v="0"/>
    <s v="DK1_Medium"/>
    <x v="0"/>
    <x v="13"/>
    <n v="4602.6203118521698"/>
    <n v="16569.4331226678"/>
  </r>
  <r>
    <x v="0"/>
    <x v="0"/>
    <x v="0"/>
    <x v="0"/>
    <x v="0"/>
    <s v="DK1_Medium"/>
    <x v="0"/>
    <x v="14"/>
    <n v="4075.0459476482201"/>
    <n v="14670.1654115336"/>
  </r>
  <r>
    <x v="0"/>
    <x v="0"/>
    <x v="0"/>
    <x v="0"/>
    <x v="0"/>
    <s v="DK1_Medium"/>
    <x v="0"/>
    <x v="15"/>
    <n v="3514.2519835990001"/>
    <n v="12651.3071409564"/>
  </r>
  <r>
    <x v="0"/>
    <x v="0"/>
    <x v="0"/>
    <x v="0"/>
    <x v="0"/>
    <s v="DK1_Medium"/>
    <x v="0"/>
    <x v="16"/>
    <n v="2922.3146446948399"/>
    <n v="10520.332720901401"/>
  </r>
  <r>
    <x v="0"/>
    <x v="0"/>
    <x v="0"/>
    <x v="0"/>
    <x v="0"/>
    <s v="DK1_Medium"/>
    <x v="0"/>
    <x v="17"/>
    <n v="2311.6912808777101"/>
    <n v="8322.0886111597592"/>
  </r>
  <r>
    <x v="0"/>
    <x v="0"/>
    <x v="0"/>
    <x v="0"/>
    <x v="0"/>
    <s v="DK1_Medium"/>
    <x v="0"/>
    <x v="18"/>
    <n v="1645.00984232168"/>
    <n v="5922.0354323580596"/>
  </r>
  <r>
    <x v="0"/>
    <x v="0"/>
    <x v="0"/>
    <x v="0"/>
    <x v="0"/>
    <s v="DK1_Medium"/>
    <x v="0"/>
    <x v="19"/>
    <n v="986.63330372697999"/>
    <n v="3551.87989341713"/>
  </r>
  <r>
    <x v="0"/>
    <x v="0"/>
    <x v="0"/>
    <x v="0"/>
    <x v="0"/>
    <s v="DK1_Medium"/>
    <x v="0"/>
    <x v="20"/>
    <n v="413.38198973582598"/>
    <n v="1488.17516304897"/>
  </r>
  <r>
    <x v="0"/>
    <x v="0"/>
    <x v="0"/>
    <x v="0"/>
    <x v="0"/>
    <s v="DK1_Medium"/>
    <x v="0"/>
    <x v="21"/>
    <n v="0"/>
    <n v="0"/>
  </r>
  <r>
    <x v="0"/>
    <x v="0"/>
    <x v="0"/>
    <x v="0"/>
    <x v="0"/>
    <s v="DK1_Medium"/>
    <x v="0"/>
    <x v="22"/>
    <n v="354.821256686075"/>
    <n v="1277.3565240698699"/>
  </r>
  <r>
    <x v="0"/>
    <x v="0"/>
    <x v="0"/>
    <x v="0"/>
    <x v="0"/>
    <s v="DK1_Medium"/>
    <x v="0"/>
    <x v="23"/>
    <n v="925.56991236641602"/>
    <n v="3332.0516845191"/>
  </r>
  <r>
    <x v="0"/>
    <x v="0"/>
    <x v="0"/>
    <x v="0"/>
    <x v="0"/>
    <s v="DK1_Rural"/>
    <x v="0"/>
    <x v="0"/>
    <n v="2218.0200398737102"/>
    <n v="7984.8721435453699"/>
  </r>
  <r>
    <x v="0"/>
    <x v="0"/>
    <x v="0"/>
    <x v="0"/>
    <x v="0"/>
    <s v="DK1_Rural"/>
    <x v="0"/>
    <x v="1"/>
    <n v="2977.3247378390301"/>
    <n v="10718.369056220499"/>
  </r>
  <r>
    <x v="0"/>
    <x v="0"/>
    <x v="0"/>
    <x v="0"/>
    <x v="0"/>
    <s v="DK1_Rural"/>
    <x v="0"/>
    <x v="2"/>
    <n v="3736.6294358043401"/>
    <n v="13451.8659688956"/>
  </r>
  <r>
    <x v="0"/>
    <x v="0"/>
    <x v="0"/>
    <x v="0"/>
    <x v="0"/>
    <s v="DK1_Rural"/>
    <x v="0"/>
    <x v="3"/>
    <n v="4495.9341337696596"/>
    <n v="16185.3628815708"/>
  </r>
  <r>
    <x v="0"/>
    <x v="0"/>
    <x v="0"/>
    <x v="0"/>
    <x v="0"/>
    <s v="DK1_Rural"/>
    <x v="0"/>
    <x v="4"/>
    <n v="5255.2388317349696"/>
    <n v="18918.859794245898"/>
  </r>
  <r>
    <x v="0"/>
    <x v="0"/>
    <x v="0"/>
    <x v="0"/>
    <x v="0"/>
    <s v="DK1_Rural"/>
    <x v="0"/>
    <x v="5"/>
    <n v="6014.5435297002896"/>
    <n v="21652.356706921"/>
  </r>
  <r>
    <x v="0"/>
    <x v="0"/>
    <x v="0"/>
    <x v="0"/>
    <x v="0"/>
    <s v="DK1_Rural"/>
    <x v="0"/>
    <x v="6"/>
    <n v="6773.8482276655996"/>
    <n v="24385.853619596201"/>
  </r>
  <r>
    <x v="0"/>
    <x v="0"/>
    <x v="0"/>
    <x v="0"/>
    <x v="0"/>
    <s v="DK1_Rural"/>
    <x v="0"/>
    <x v="7"/>
    <n v="6903.5393269960796"/>
    <n v="24852.741577185901"/>
  </r>
  <r>
    <x v="0"/>
    <x v="0"/>
    <x v="0"/>
    <x v="0"/>
    <x v="0"/>
    <s v="DK1_Rural"/>
    <x v="0"/>
    <x v="8"/>
    <n v="6363.4491306443297"/>
    <n v="22908.416870319601"/>
  </r>
  <r>
    <x v="0"/>
    <x v="0"/>
    <x v="0"/>
    <x v="0"/>
    <x v="0"/>
    <s v="DK1_Rural"/>
    <x v="0"/>
    <x v="9"/>
    <n v="5719.6056947078796"/>
    <n v="20590.580500948399"/>
  </r>
  <r>
    <x v="0"/>
    <x v="0"/>
    <x v="0"/>
    <x v="0"/>
    <x v="0"/>
    <s v="DK1_Rural"/>
    <x v="0"/>
    <x v="10"/>
    <n v="5176.6639561540796"/>
    <n v="18635.990242154701"/>
  </r>
  <r>
    <x v="0"/>
    <x v="0"/>
    <x v="0"/>
    <x v="0"/>
    <x v="0"/>
    <s v="DK1_Rural"/>
    <x v="0"/>
    <x v="11"/>
    <n v="4580.9223247046602"/>
    <n v="16491.320368936798"/>
  </r>
  <r>
    <x v="0"/>
    <x v="0"/>
    <x v="0"/>
    <x v="0"/>
    <x v="0"/>
    <s v="DK1_Rural"/>
    <x v="0"/>
    <x v="12"/>
    <n v="4009.1237485440201"/>
    <n v="14432.8454947585"/>
  </r>
  <r>
    <x v="0"/>
    <x v="0"/>
    <x v="0"/>
    <x v="0"/>
    <x v="0"/>
    <s v="DK1_Rural"/>
    <x v="0"/>
    <x v="13"/>
    <n v="3498.7041830691101"/>
    <n v="12595.335059048801"/>
  </r>
  <r>
    <x v="0"/>
    <x v="0"/>
    <x v="0"/>
    <x v="0"/>
    <x v="0"/>
    <s v="DK1_Rural"/>
    <x v="0"/>
    <x v="14"/>
    <n v="3092.0378571789001"/>
    <n v="11131.336285844"/>
  </r>
  <r>
    <x v="0"/>
    <x v="0"/>
    <x v="0"/>
    <x v="0"/>
    <x v="0"/>
    <s v="DK1_Rural"/>
    <x v="0"/>
    <x v="15"/>
    <n v="2730.4060996641902"/>
    <n v="9829.4619587911002"/>
  </r>
  <r>
    <x v="0"/>
    <x v="0"/>
    <x v="0"/>
    <x v="0"/>
    <x v="0"/>
    <s v="DK1_Rural"/>
    <x v="0"/>
    <x v="16"/>
    <n v="2241.2692500015301"/>
    <n v="8068.5693000054998"/>
  </r>
  <r>
    <x v="0"/>
    <x v="0"/>
    <x v="0"/>
    <x v="0"/>
    <x v="0"/>
    <s v="DK1_Rural"/>
    <x v="0"/>
    <x v="17"/>
    <n v="1728.18934505009"/>
    <n v="6221.4816421803098"/>
  </r>
  <r>
    <x v="0"/>
    <x v="0"/>
    <x v="0"/>
    <x v="0"/>
    <x v="0"/>
    <s v="DK1_Rural"/>
    <x v="0"/>
    <x v="18"/>
    <n v="1230.8802742323101"/>
    <n v="4431.1689872363204"/>
  </r>
  <r>
    <x v="0"/>
    <x v="0"/>
    <x v="0"/>
    <x v="0"/>
    <x v="0"/>
    <s v="DK1_Rural"/>
    <x v="0"/>
    <x v="19"/>
    <n v="656.61256132065796"/>
    <n v="2363.8052207543701"/>
  </r>
  <r>
    <x v="0"/>
    <x v="0"/>
    <x v="0"/>
    <x v="0"/>
    <x v="0"/>
    <s v="DK1_Rural"/>
    <x v="0"/>
    <x v="20"/>
    <n v="191.41876694676901"/>
    <n v="689.10756100836898"/>
  </r>
  <r>
    <x v="0"/>
    <x v="0"/>
    <x v="0"/>
    <x v="0"/>
    <x v="0"/>
    <s v="DK1_Rural"/>
    <x v="0"/>
    <x v="21"/>
    <n v="0"/>
    <n v="0"/>
  </r>
  <r>
    <x v="0"/>
    <x v="0"/>
    <x v="0"/>
    <x v="0"/>
    <x v="0"/>
    <s v="DK1_Rural"/>
    <x v="0"/>
    <x v="22"/>
    <n v="699.41064394308398"/>
    <n v="2517.8783181950998"/>
  </r>
  <r>
    <x v="0"/>
    <x v="0"/>
    <x v="0"/>
    <x v="0"/>
    <x v="0"/>
    <s v="DK1_Rural"/>
    <x v="0"/>
    <x v="23"/>
    <n v="1458.7153419084"/>
    <n v="5251.3752308702396"/>
  </r>
  <r>
    <x v="0"/>
    <x v="0"/>
    <x v="0"/>
    <x v="0"/>
    <x v="0"/>
    <s v="DK1_Small"/>
    <x v="0"/>
    <x v="0"/>
    <n v="0"/>
    <n v="0"/>
  </r>
  <r>
    <x v="0"/>
    <x v="0"/>
    <x v="0"/>
    <x v="0"/>
    <x v="0"/>
    <s v="DK1_Small"/>
    <x v="0"/>
    <x v="1"/>
    <n v="0"/>
    <n v="0"/>
  </r>
  <r>
    <x v="0"/>
    <x v="0"/>
    <x v="0"/>
    <x v="0"/>
    <x v="0"/>
    <s v="DK1_Small"/>
    <x v="0"/>
    <x v="2"/>
    <n v="0"/>
    <n v="0"/>
  </r>
  <r>
    <x v="0"/>
    <x v="0"/>
    <x v="0"/>
    <x v="0"/>
    <x v="0"/>
    <s v="DK1_Small"/>
    <x v="0"/>
    <x v="3"/>
    <n v="0"/>
    <n v="0"/>
  </r>
  <r>
    <x v="0"/>
    <x v="0"/>
    <x v="0"/>
    <x v="0"/>
    <x v="0"/>
    <s v="DK1_Small"/>
    <x v="0"/>
    <x v="4"/>
    <n v="0"/>
    <n v="0"/>
  </r>
  <r>
    <x v="0"/>
    <x v="0"/>
    <x v="0"/>
    <x v="0"/>
    <x v="0"/>
    <s v="DK1_Small"/>
    <x v="0"/>
    <x v="5"/>
    <n v="0"/>
    <n v="0"/>
  </r>
  <r>
    <x v="0"/>
    <x v="0"/>
    <x v="0"/>
    <x v="0"/>
    <x v="0"/>
    <s v="DK1_Small"/>
    <x v="0"/>
    <x v="6"/>
    <n v="0"/>
    <n v="0"/>
  </r>
  <r>
    <x v="0"/>
    <x v="0"/>
    <x v="0"/>
    <x v="0"/>
    <x v="0"/>
    <s v="DK1_Small"/>
    <x v="0"/>
    <x v="7"/>
    <n v="0"/>
    <n v="0"/>
  </r>
  <r>
    <x v="0"/>
    <x v="0"/>
    <x v="0"/>
    <x v="0"/>
    <x v="0"/>
    <s v="DK1_Small"/>
    <x v="0"/>
    <x v="8"/>
    <n v="0"/>
    <n v="0"/>
  </r>
  <r>
    <x v="0"/>
    <x v="0"/>
    <x v="0"/>
    <x v="0"/>
    <x v="0"/>
    <s v="DK1_Small"/>
    <x v="0"/>
    <x v="9"/>
    <n v="0"/>
    <n v="0"/>
  </r>
  <r>
    <x v="0"/>
    <x v="0"/>
    <x v="0"/>
    <x v="0"/>
    <x v="0"/>
    <s v="DK1_Small"/>
    <x v="0"/>
    <x v="10"/>
    <n v="0"/>
    <n v="0"/>
  </r>
  <r>
    <x v="0"/>
    <x v="0"/>
    <x v="0"/>
    <x v="0"/>
    <x v="0"/>
    <s v="DK1_Small"/>
    <x v="0"/>
    <x v="11"/>
    <n v="0"/>
    <n v="0"/>
  </r>
  <r>
    <x v="0"/>
    <x v="0"/>
    <x v="0"/>
    <x v="0"/>
    <x v="0"/>
    <s v="DK1_Small"/>
    <x v="0"/>
    <x v="12"/>
    <n v="0"/>
    <n v="0"/>
  </r>
  <r>
    <x v="0"/>
    <x v="0"/>
    <x v="0"/>
    <x v="0"/>
    <x v="0"/>
    <s v="DK1_Small"/>
    <x v="0"/>
    <x v="13"/>
    <n v="0"/>
    <n v="0"/>
  </r>
  <r>
    <x v="0"/>
    <x v="0"/>
    <x v="0"/>
    <x v="0"/>
    <x v="0"/>
    <s v="DK1_Small"/>
    <x v="0"/>
    <x v="14"/>
    <n v="0"/>
    <n v="0"/>
  </r>
  <r>
    <x v="0"/>
    <x v="0"/>
    <x v="0"/>
    <x v="0"/>
    <x v="0"/>
    <s v="DK1_Small"/>
    <x v="0"/>
    <x v="15"/>
    <n v="0"/>
    <n v="0"/>
  </r>
  <r>
    <x v="0"/>
    <x v="0"/>
    <x v="0"/>
    <x v="0"/>
    <x v="0"/>
    <s v="DK1_Small"/>
    <x v="0"/>
    <x v="16"/>
    <n v="0"/>
    <n v="0"/>
  </r>
  <r>
    <x v="0"/>
    <x v="0"/>
    <x v="0"/>
    <x v="0"/>
    <x v="0"/>
    <s v="DK1_Small"/>
    <x v="0"/>
    <x v="17"/>
    <n v="0"/>
    <n v="0"/>
  </r>
  <r>
    <x v="0"/>
    <x v="0"/>
    <x v="0"/>
    <x v="0"/>
    <x v="0"/>
    <s v="DK1_Small"/>
    <x v="0"/>
    <x v="18"/>
    <n v="0"/>
    <n v="0"/>
  </r>
  <r>
    <x v="0"/>
    <x v="0"/>
    <x v="0"/>
    <x v="0"/>
    <x v="0"/>
    <s v="DK1_Small"/>
    <x v="0"/>
    <x v="19"/>
    <n v="0"/>
    <n v="0"/>
  </r>
  <r>
    <x v="0"/>
    <x v="0"/>
    <x v="0"/>
    <x v="0"/>
    <x v="0"/>
    <s v="DK1_Small"/>
    <x v="0"/>
    <x v="20"/>
    <n v="0"/>
    <n v="0"/>
  </r>
  <r>
    <x v="0"/>
    <x v="0"/>
    <x v="0"/>
    <x v="0"/>
    <x v="0"/>
    <s v="DK1_Small"/>
    <x v="0"/>
    <x v="21"/>
    <n v="0"/>
    <n v="0"/>
  </r>
  <r>
    <x v="0"/>
    <x v="0"/>
    <x v="0"/>
    <x v="0"/>
    <x v="0"/>
    <s v="DK1_Small"/>
    <x v="0"/>
    <x v="22"/>
    <n v="0"/>
    <n v="0"/>
  </r>
  <r>
    <x v="0"/>
    <x v="0"/>
    <x v="0"/>
    <x v="0"/>
    <x v="0"/>
    <s v="DK1_Small"/>
    <x v="0"/>
    <x v="23"/>
    <n v="0"/>
    <n v="0"/>
  </r>
  <r>
    <x v="0"/>
    <x v="0"/>
    <x v="0"/>
    <x v="0"/>
    <x v="1"/>
    <s v="DK2_Large"/>
    <x v="0"/>
    <x v="0"/>
    <n v="11079.298211528299"/>
    <n v="39885.4735615018"/>
  </r>
  <r>
    <x v="0"/>
    <x v="0"/>
    <x v="0"/>
    <x v="0"/>
    <x v="1"/>
    <s v="DK2_Large"/>
    <x v="0"/>
    <x v="1"/>
    <n v="12077.3078931814"/>
    <n v="43478.308415453102"/>
  </r>
  <r>
    <x v="0"/>
    <x v="0"/>
    <x v="0"/>
    <x v="0"/>
    <x v="1"/>
    <s v="DK2_Large"/>
    <x v="0"/>
    <x v="2"/>
    <n v="15721.115235711401"/>
    <n v="56596.014848561099"/>
  </r>
  <r>
    <x v="0"/>
    <x v="0"/>
    <x v="0"/>
    <x v="0"/>
    <x v="1"/>
    <s v="DK2_Large"/>
    <x v="0"/>
    <x v="3"/>
    <n v="19255.5548790379"/>
    <n v="69319.997564536505"/>
  </r>
  <r>
    <x v="0"/>
    <x v="0"/>
    <x v="0"/>
    <x v="0"/>
    <x v="1"/>
    <s v="DK2_Large"/>
    <x v="0"/>
    <x v="4"/>
    <n v="22766.417421451501"/>
    <n v="81959.102717225294"/>
  </r>
  <r>
    <x v="0"/>
    <x v="0"/>
    <x v="0"/>
    <x v="0"/>
    <x v="1"/>
    <s v="DK2_Large"/>
    <x v="0"/>
    <x v="5"/>
    <n v="25413.393336003599"/>
    <n v="91488.216009612996"/>
  </r>
  <r>
    <x v="0"/>
    <x v="0"/>
    <x v="0"/>
    <x v="0"/>
    <x v="1"/>
    <s v="DK2_Large"/>
    <x v="0"/>
    <x v="6"/>
    <n v="23890.550381307101"/>
    <n v="86005.981372705501"/>
  </r>
  <r>
    <x v="0"/>
    <x v="0"/>
    <x v="0"/>
    <x v="0"/>
    <x v="1"/>
    <s v="DK2_Large"/>
    <x v="0"/>
    <x v="7"/>
    <n v="22029.806059647901"/>
    <n v="79307.301814732506"/>
  </r>
  <r>
    <x v="0"/>
    <x v="0"/>
    <x v="0"/>
    <x v="0"/>
    <x v="1"/>
    <s v="DK2_Large"/>
    <x v="0"/>
    <x v="8"/>
    <n v="19903.172137755901"/>
    <n v="71651.419695921097"/>
  </r>
  <r>
    <x v="0"/>
    <x v="0"/>
    <x v="0"/>
    <x v="0"/>
    <x v="1"/>
    <s v="DK2_Large"/>
    <x v="0"/>
    <x v="9"/>
    <n v="17710.065815805599"/>
    <n v="63756.236936900103"/>
  </r>
  <r>
    <x v="0"/>
    <x v="0"/>
    <x v="0"/>
    <x v="0"/>
    <x v="1"/>
    <s v="DK2_Large"/>
    <x v="0"/>
    <x v="10"/>
    <n v="15716.376694029999"/>
    <n v="56578.956098507901"/>
  </r>
  <r>
    <x v="0"/>
    <x v="0"/>
    <x v="0"/>
    <x v="0"/>
    <x v="1"/>
    <s v="DK2_Large"/>
    <x v="0"/>
    <x v="11"/>
    <n v="13927.644139100499"/>
    <n v="50139.518900761999"/>
  </r>
  <r>
    <x v="0"/>
    <x v="0"/>
    <x v="0"/>
    <x v="0"/>
    <x v="1"/>
    <s v="DK2_Large"/>
    <x v="0"/>
    <x v="12"/>
    <n v="12271.856384287599"/>
    <n v="44178.682983435298"/>
  </r>
  <r>
    <x v="0"/>
    <x v="0"/>
    <x v="0"/>
    <x v="0"/>
    <x v="1"/>
    <s v="DK2_Large"/>
    <x v="0"/>
    <x v="13"/>
    <n v="10749.013429591099"/>
    <n v="38696.448346527803"/>
  </r>
  <r>
    <x v="0"/>
    <x v="0"/>
    <x v="0"/>
    <x v="0"/>
    <x v="1"/>
    <s v="DK2_Large"/>
    <x v="0"/>
    <x v="14"/>
    <n v="9159.6980748363203"/>
    <n v="32974.913069410701"/>
  </r>
  <r>
    <x v="0"/>
    <x v="0"/>
    <x v="0"/>
    <x v="0"/>
    <x v="1"/>
    <s v="DK2_Large"/>
    <x v="0"/>
    <x v="15"/>
    <n v="7503.9103200233503"/>
    <n v="27014.077152084101"/>
  </r>
  <r>
    <x v="0"/>
    <x v="0"/>
    <x v="0"/>
    <x v="0"/>
    <x v="1"/>
    <s v="DK2_Large"/>
    <x v="0"/>
    <x v="16"/>
    <n v="5781.6501651521603"/>
    <n v="20813.940594547799"/>
  </r>
  <r>
    <x v="0"/>
    <x v="0"/>
    <x v="0"/>
    <x v="0"/>
    <x v="1"/>
    <s v="DK2_Large"/>
    <x v="0"/>
    <x v="17"/>
    <n v="3920.9058434929998"/>
    <n v="14115.261036574801"/>
  </r>
  <r>
    <x v="0"/>
    <x v="0"/>
    <x v="0"/>
    <x v="0"/>
    <x v="1"/>
    <s v="DK2_Large"/>
    <x v="0"/>
    <x v="18"/>
    <n v="1993.6891217756099"/>
    <n v="7177.2808383922002"/>
  </r>
  <r>
    <x v="0"/>
    <x v="0"/>
    <x v="0"/>
    <x v="0"/>
    <x v="1"/>
    <s v="DK2_Large"/>
    <x v="0"/>
    <x v="19"/>
    <n v="0"/>
    <n v="0"/>
  </r>
  <r>
    <x v="0"/>
    <x v="0"/>
    <x v="0"/>
    <x v="0"/>
    <x v="1"/>
    <s v="DK2_Large"/>
    <x v="0"/>
    <x v="20"/>
    <n v="1704.02216185732"/>
    <n v="6134.4797826863696"/>
  </r>
  <r>
    <x v="0"/>
    <x v="0"/>
    <x v="0"/>
    <x v="0"/>
    <x v="1"/>
    <s v="DK2_Large"/>
    <x v="0"/>
    <x v="21"/>
    <n v="3613.0008905608402"/>
    <n v="13006.803206019"/>
  </r>
  <r>
    <x v="0"/>
    <x v="0"/>
    <x v="0"/>
    <x v="0"/>
    <x v="1"/>
    <s v="DK2_Large"/>
    <x v="0"/>
    <x v="22"/>
    <n v="5787.86921949726"/>
    <n v="20836.329190190099"/>
  </r>
  <r>
    <x v="0"/>
    <x v="0"/>
    <x v="0"/>
    <x v="0"/>
    <x v="1"/>
    <s v="DK2_Large"/>
    <x v="0"/>
    <x v="23"/>
    <n v="8300.6389153963191"/>
    <n v="29882.300095426701"/>
  </r>
  <r>
    <x v="0"/>
    <x v="0"/>
    <x v="0"/>
    <x v="0"/>
    <x v="1"/>
    <s v="DK2_MedSmall"/>
    <x v="0"/>
    <x v="0"/>
    <n v="283.09401010310103"/>
    <n v="1019.13843637116"/>
  </r>
  <r>
    <x v="0"/>
    <x v="0"/>
    <x v="0"/>
    <x v="0"/>
    <x v="1"/>
    <s v="DK2_MedSmall"/>
    <x v="0"/>
    <x v="1"/>
    <n v="482.74217406086899"/>
    <n v="1737.8718266191299"/>
  </r>
  <r>
    <x v="0"/>
    <x v="0"/>
    <x v="0"/>
    <x v="0"/>
    <x v="1"/>
    <s v="DK2_MedSmall"/>
    <x v="0"/>
    <x v="2"/>
    <n v="686.208310875199"/>
    <n v="2470.3499191507199"/>
  </r>
  <r>
    <x v="0"/>
    <x v="0"/>
    <x v="0"/>
    <x v="0"/>
    <x v="1"/>
    <s v="DK2_MedSmall"/>
    <x v="0"/>
    <x v="3"/>
    <n v="893.14533210458706"/>
    <n v="3215.32319557651"/>
  </r>
  <r>
    <x v="0"/>
    <x v="0"/>
    <x v="0"/>
    <x v="0"/>
    <x v="1"/>
    <s v="DK2_MedSmall"/>
    <x v="0"/>
    <x v="4"/>
    <n v="1094.8760267113901"/>
    <n v="3941.5536961610001"/>
  </r>
  <r>
    <x v="0"/>
    <x v="0"/>
    <x v="0"/>
    <x v="0"/>
    <x v="1"/>
    <s v="DK2_MedSmall"/>
    <x v="0"/>
    <x v="5"/>
    <n v="1292.7887484616299"/>
    <n v="4654.0394944618602"/>
  </r>
  <r>
    <x v="0"/>
    <x v="0"/>
    <x v="0"/>
    <x v="0"/>
    <x v="1"/>
    <s v="DK2_MedSmall"/>
    <x v="0"/>
    <x v="6"/>
    <n v="1429.9609929483699"/>
    <n v="5147.85957461412"/>
  </r>
  <r>
    <x v="0"/>
    <x v="0"/>
    <x v="0"/>
    <x v="0"/>
    <x v="1"/>
    <s v="DK2_MedSmall"/>
    <x v="0"/>
    <x v="7"/>
    <n v="1415.1085000556"/>
    <n v="5094.3906002001604"/>
  </r>
  <r>
    <x v="0"/>
    <x v="0"/>
    <x v="0"/>
    <x v="0"/>
    <x v="1"/>
    <s v="DK2_MedSmall"/>
    <x v="0"/>
    <x v="8"/>
    <n v="1309.6659239298399"/>
    <n v="4714.7973261474299"/>
  </r>
  <r>
    <x v="0"/>
    <x v="0"/>
    <x v="0"/>
    <x v="0"/>
    <x v="1"/>
    <s v="DK2_MedSmall"/>
    <x v="0"/>
    <x v="9"/>
    <n v="1190.68689858536"/>
    <n v="4286.4728349073002"/>
  </r>
  <r>
    <x v="0"/>
    <x v="0"/>
    <x v="0"/>
    <x v="0"/>
    <x v="1"/>
    <s v="DK2_MedSmall"/>
    <x v="0"/>
    <x v="10"/>
    <n v="1073.44331544841"/>
    <n v="3864.39593561427"/>
  </r>
  <r>
    <x v="0"/>
    <x v="0"/>
    <x v="0"/>
    <x v="0"/>
    <x v="1"/>
    <s v="DK2_MedSmall"/>
    <x v="0"/>
    <x v="11"/>
    <n v="953.07593633790498"/>
    <n v="3431.0733708164598"/>
  </r>
  <r>
    <x v="0"/>
    <x v="0"/>
    <x v="0"/>
    <x v="0"/>
    <x v="1"/>
    <s v="DK2_MedSmall"/>
    <x v="0"/>
    <x v="12"/>
    <n v="835.83235320095298"/>
    <n v="3008.99647152343"/>
  </r>
  <r>
    <x v="0"/>
    <x v="0"/>
    <x v="0"/>
    <x v="0"/>
    <x v="1"/>
    <s v="DK2_MedSmall"/>
    <x v="0"/>
    <x v="13"/>
    <n v="738.02572278832099"/>
    <n v="2656.8926020379599"/>
  </r>
  <r>
    <x v="0"/>
    <x v="0"/>
    <x v="0"/>
    <x v="0"/>
    <x v="1"/>
    <s v="DK2_MedSmall"/>
    <x v="0"/>
    <x v="14"/>
    <n v="653.75554159441299"/>
    <n v="2353.5199497398899"/>
  </r>
  <r>
    <x v="0"/>
    <x v="0"/>
    <x v="0"/>
    <x v="0"/>
    <x v="1"/>
    <s v="DK2_MedSmall"/>
    <x v="0"/>
    <x v="15"/>
    <n v="563.93194533641201"/>
    <n v="2030.1550032110799"/>
  </r>
  <r>
    <x v="0"/>
    <x v="0"/>
    <x v="0"/>
    <x v="0"/>
    <x v="1"/>
    <s v="DK2_MedSmall"/>
    <x v="0"/>
    <x v="16"/>
    <n v="468.90202245582498"/>
    <n v="1688.04728084097"/>
  </r>
  <r>
    <x v="0"/>
    <x v="0"/>
    <x v="0"/>
    <x v="0"/>
    <x v="1"/>
    <s v="DK2_MedSmall"/>
    <x v="0"/>
    <x v="17"/>
    <n v="370.74830360168698"/>
    <n v="1334.6938929660701"/>
  </r>
  <r>
    <x v="0"/>
    <x v="0"/>
    <x v="0"/>
    <x v="0"/>
    <x v="1"/>
    <s v="DK2_MedSmall"/>
    <x v="0"/>
    <x v="18"/>
    <n v="263.22319682689499"/>
    <n v="947.60350857682295"/>
  </r>
  <r>
    <x v="0"/>
    <x v="0"/>
    <x v="0"/>
    <x v="0"/>
    <x v="1"/>
    <s v="DK2_MedSmall"/>
    <x v="0"/>
    <x v="19"/>
    <n v="157.08644381812601"/>
    <n v="565.51119774525398"/>
  </r>
  <r>
    <x v="0"/>
    <x v="0"/>
    <x v="0"/>
    <x v="0"/>
    <x v="1"/>
    <s v="DK2_MedSmall"/>
    <x v="0"/>
    <x v="20"/>
    <n v="65.180316911095403"/>
    <n v="234.64914087994299"/>
  </r>
  <r>
    <x v="0"/>
    <x v="0"/>
    <x v="0"/>
    <x v="0"/>
    <x v="1"/>
    <s v="DK2_MedSmall"/>
    <x v="0"/>
    <x v="21"/>
    <n v="0"/>
    <n v="0"/>
  </r>
  <r>
    <x v="0"/>
    <x v="0"/>
    <x v="0"/>
    <x v="0"/>
    <x v="1"/>
    <s v="DK2_MedSmall"/>
    <x v="0"/>
    <x v="22"/>
    <n v="63.242406446020603"/>
    <n v="227.67266320567401"/>
  </r>
  <r>
    <x v="0"/>
    <x v="0"/>
    <x v="0"/>
    <x v="0"/>
    <x v="1"/>
    <s v="DK2_MedSmall"/>
    <x v="0"/>
    <x v="23"/>
    <n v="162.582010808636"/>
    <n v="585.29523891109102"/>
  </r>
  <r>
    <x v="0"/>
    <x v="0"/>
    <x v="0"/>
    <x v="0"/>
    <x v="1"/>
    <s v="DK2_Medium"/>
    <x v="0"/>
    <x v="0"/>
    <n v="0"/>
    <n v="0"/>
  </r>
  <r>
    <x v="0"/>
    <x v="0"/>
    <x v="0"/>
    <x v="0"/>
    <x v="1"/>
    <s v="DK2_Medium"/>
    <x v="0"/>
    <x v="1"/>
    <n v="292.87149444602301"/>
    <n v="1054.33738000568"/>
  </r>
  <r>
    <x v="0"/>
    <x v="0"/>
    <x v="0"/>
    <x v="0"/>
    <x v="1"/>
    <s v="DK2_Medium"/>
    <x v="0"/>
    <x v="2"/>
    <n v="616.36556316432802"/>
    <n v="2218.91602739158"/>
  </r>
  <r>
    <x v="0"/>
    <x v="0"/>
    <x v="0"/>
    <x v="0"/>
    <x v="1"/>
    <s v="DK2_Medium"/>
    <x v="0"/>
    <x v="3"/>
    <n v="943.942641785604"/>
    <n v="3398.1935104281702"/>
  </r>
  <r>
    <x v="0"/>
    <x v="0"/>
    <x v="0"/>
    <x v="0"/>
    <x v="1"/>
    <s v="DK2_Medium"/>
    <x v="0"/>
    <x v="4"/>
    <n v="1283.76875011579"/>
    <n v="4621.5675004168497"/>
  </r>
  <r>
    <x v="0"/>
    <x v="0"/>
    <x v="0"/>
    <x v="0"/>
    <x v="1"/>
    <s v="DK2_Medium"/>
    <x v="0"/>
    <x v="5"/>
    <n v="1603.1798089311301"/>
    <n v="5771.4473121520596"/>
  </r>
  <r>
    <x v="0"/>
    <x v="0"/>
    <x v="0"/>
    <x v="0"/>
    <x v="1"/>
    <s v="DK2_Medium"/>
    <x v="0"/>
    <x v="6"/>
    <n v="1770.78575232294"/>
    <n v="6374.8287083626001"/>
  </r>
  <r>
    <x v="0"/>
    <x v="0"/>
    <x v="0"/>
    <x v="0"/>
    <x v="1"/>
    <s v="DK2_Medium"/>
    <x v="0"/>
    <x v="7"/>
    <n v="1764.8637748384999"/>
    <n v="6353.5095894185997"/>
  </r>
  <r>
    <x v="0"/>
    <x v="0"/>
    <x v="0"/>
    <x v="0"/>
    <x v="1"/>
    <s v="DK2_Medium"/>
    <x v="0"/>
    <x v="8"/>
    <n v="1679.32310424612"/>
    <n v="6045.56317528604"/>
  </r>
  <r>
    <x v="0"/>
    <x v="0"/>
    <x v="0"/>
    <x v="0"/>
    <x v="1"/>
    <s v="DK2_Medium"/>
    <x v="0"/>
    <x v="9"/>
    <n v="1997.04952851905"/>
    <n v="7189.3783026685696"/>
  </r>
  <r>
    <x v="0"/>
    <x v="0"/>
    <x v="0"/>
    <x v="0"/>
    <x v="1"/>
    <s v="DK2_Medium"/>
    <x v="0"/>
    <x v="10"/>
    <n v="1997.04952851905"/>
    <n v="7189.3783026685696"/>
  </r>
  <r>
    <x v="0"/>
    <x v="0"/>
    <x v="0"/>
    <x v="0"/>
    <x v="1"/>
    <s v="DK2_Medium"/>
    <x v="0"/>
    <x v="11"/>
    <n v="2000.1483145479399"/>
    <n v="7200.5339323725702"/>
  </r>
  <r>
    <x v="0"/>
    <x v="0"/>
    <x v="0"/>
    <x v="0"/>
    <x v="1"/>
    <s v="DK2_Medium"/>
    <x v="0"/>
    <x v="12"/>
    <n v="1853.3624954110001"/>
    <n v="6672.1049834795904"/>
  </r>
  <r>
    <x v="0"/>
    <x v="0"/>
    <x v="0"/>
    <x v="0"/>
    <x v="1"/>
    <s v="DK2_Medium"/>
    <x v="0"/>
    <x v="13"/>
    <n v="1853.3624954110001"/>
    <n v="6672.1049834795904"/>
  </r>
  <r>
    <x v="0"/>
    <x v="0"/>
    <x v="0"/>
    <x v="0"/>
    <x v="1"/>
    <s v="DK2_Medium"/>
    <x v="0"/>
    <x v="14"/>
    <n v="2220.0850385195699"/>
    <n v="7992.3061386704603"/>
  </r>
  <r>
    <x v="0"/>
    <x v="0"/>
    <x v="0"/>
    <x v="0"/>
    <x v="1"/>
    <s v="DK2_Medium"/>
    <x v="0"/>
    <x v="15"/>
    <n v="2582.7245717251799"/>
    <n v="9297.8084582106294"/>
  </r>
  <r>
    <x v="0"/>
    <x v="0"/>
    <x v="0"/>
    <x v="0"/>
    <x v="1"/>
    <s v="DK2_Medium"/>
    <x v="0"/>
    <x v="16"/>
    <n v="2582.7245717251799"/>
    <n v="9297.8084582106294"/>
  </r>
  <r>
    <x v="0"/>
    <x v="0"/>
    <x v="0"/>
    <x v="0"/>
    <x v="1"/>
    <s v="DK2_Medium"/>
    <x v="0"/>
    <x v="17"/>
    <n v="2582.7245717251799"/>
    <n v="9297.8084582106294"/>
  </r>
  <r>
    <x v="0"/>
    <x v="0"/>
    <x v="0"/>
    <x v="0"/>
    <x v="1"/>
    <s v="DK2_Medium"/>
    <x v="0"/>
    <x v="18"/>
    <n v="2582.7245717251799"/>
    <n v="9297.8084582106294"/>
  </r>
  <r>
    <x v="0"/>
    <x v="0"/>
    <x v="0"/>
    <x v="0"/>
    <x v="1"/>
    <s v="DK2_Medium"/>
    <x v="0"/>
    <x v="19"/>
    <n v="2582.7245717251799"/>
    <n v="9297.8084582106294"/>
  </r>
  <r>
    <x v="0"/>
    <x v="0"/>
    <x v="0"/>
    <x v="0"/>
    <x v="1"/>
    <s v="DK2_Medium"/>
    <x v="0"/>
    <x v="20"/>
    <n v="1865.7038711442699"/>
    <n v="6716.5339361193701"/>
  </r>
  <r>
    <x v="0"/>
    <x v="0"/>
    <x v="0"/>
    <x v="0"/>
    <x v="1"/>
    <s v="DK2_Medium"/>
    <x v="0"/>
    <x v="21"/>
    <n v="1171.1397250297"/>
    <n v="4216.10301010693"/>
  </r>
  <r>
    <x v="0"/>
    <x v="0"/>
    <x v="0"/>
    <x v="0"/>
    <x v="1"/>
    <s v="DK2_Medium"/>
    <x v="0"/>
    <x v="22"/>
    <n v="697.05811367556601"/>
    <n v="2509.4092092320402"/>
  </r>
  <r>
    <x v="0"/>
    <x v="0"/>
    <x v="0"/>
    <x v="0"/>
    <x v="1"/>
    <s v="DK2_Medium"/>
    <x v="0"/>
    <x v="23"/>
    <n v="327.09325484718602"/>
    <n v="1177.5357174498699"/>
  </r>
  <r>
    <x v="0"/>
    <x v="0"/>
    <x v="0"/>
    <x v="0"/>
    <x v="1"/>
    <s v="DK2_Rural"/>
    <x v="0"/>
    <x v="0"/>
    <n v="254.749522430958"/>
    <n v="917.09828075145003"/>
  </r>
  <r>
    <x v="0"/>
    <x v="0"/>
    <x v="0"/>
    <x v="0"/>
    <x v="1"/>
    <s v="DK2_Rural"/>
    <x v="0"/>
    <x v="1"/>
    <n v="333.02796231833503"/>
    <n v="1198.90066434601"/>
  </r>
  <r>
    <x v="0"/>
    <x v="0"/>
    <x v="0"/>
    <x v="0"/>
    <x v="1"/>
    <s v="DK2_Rural"/>
    <x v="0"/>
    <x v="2"/>
    <n v="411.306402205712"/>
    <n v="1480.7030479405601"/>
  </r>
  <r>
    <x v="0"/>
    <x v="0"/>
    <x v="0"/>
    <x v="0"/>
    <x v="1"/>
    <s v="DK2_Rural"/>
    <x v="0"/>
    <x v="3"/>
    <n v="489.58484209308898"/>
    <n v="1762.5054315351199"/>
  </r>
  <r>
    <x v="0"/>
    <x v="0"/>
    <x v="0"/>
    <x v="0"/>
    <x v="1"/>
    <s v="DK2_Rural"/>
    <x v="0"/>
    <x v="4"/>
    <n v="567.86328198046601"/>
    <n v="2044.30781512968"/>
  </r>
  <r>
    <x v="0"/>
    <x v="0"/>
    <x v="0"/>
    <x v="0"/>
    <x v="1"/>
    <s v="DK2_Rural"/>
    <x v="0"/>
    <x v="5"/>
    <n v="646.14172186784299"/>
    <n v="2326.11019872424"/>
  </r>
  <r>
    <x v="0"/>
    <x v="0"/>
    <x v="0"/>
    <x v="0"/>
    <x v="1"/>
    <s v="DK2_Rural"/>
    <x v="0"/>
    <x v="6"/>
    <n v="724.42016175521997"/>
    <n v="2607.9125823187901"/>
  </r>
  <r>
    <x v="0"/>
    <x v="0"/>
    <x v="0"/>
    <x v="0"/>
    <x v="1"/>
    <s v="DK2_Rural"/>
    <x v="0"/>
    <x v="7"/>
    <n v="802.69860164259705"/>
    <n v="2889.7149659133502"/>
  </r>
  <r>
    <x v="0"/>
    <x v="0"/>
    <x v="0"/>
    <x v="0"/>
    <x v="1"/>
    <s v="DK2_Rural"/>
    <x v="0"/>
    <x v="8"/>
    <n v="715.00825140795303"/>
    <n v="2574.0297050686299"/>
  </r>
  <r>
    <x v="0"/>
    <x v="0"/>
    <x v="0"/>
    <x v="0"/>
    <x v="1"/>
    <s v="DK2_Rural"/>
    <x v="0"/>
    <x v="9"/>
    <n v="589.69833881294596"/>
    <n v="2122.9140197266001"/>
  </r>
  <r>
    <x v="0"/>
    <x v="0"/>
    <x v="0"/>
    <x v="0"/>
    <x v="1"/>
    <s v="DK2_Rural"/>
    <x v="0"/>
    <x v="10"/>
    <n v="469.21144703337001"/>
    <n v="1689.16120932013"/>
  </r>
  <r>
    <x v="0"/>
    <x v="0"/>
    <x v="0"/>
    <x v="0"/>
    <x v="1"/>
    <s v="DK2_Rural"/>
    <x v="0"/>
    <x v="11"/>
    <n v="392.49323600106698"/>
    <n v="1412.9756496038401"/>
  </r>
  <r>
    <x v="0"/>
    <x v="0"/>
    <x v="0"/>
    <x v="0"/>
    <x v="1"/>
    <s v="DK2_Rural"/>
    <x v="0"/>
    <x v="12"/>
    <n v="392.49323600106698"/>
    <n v="1412.9756496038401"/>
  </r>
  <r>
    <x v="0"/>
    <x v="0"/>
    <x v="0"/>
    <x v="0"/>
    <x v="1"/>
    <s v="DK2_Rural"/>
    <x v="0"/>
    <x v="13"/>
    <n v="392.49323600106698"/>
    <n v="1412.9756496038401"/>
  </r>
  <r>
    <x v="0"/>
    <x v="0"/>
    <x v="0"/>
    <x v="0"/>
    <x v="1"/>
    <s v="DK2_Rural"/>
    <x v="0"/>
    <x v="14"/>
    <n v="363.643739714682"/>
    <n v="1309.11746297285"/>
  </r>
  <r>
    <x v="0"/>
    <x v="0"/>
    <x v="0"/>
    <x v="0"/>
    <x v="1"/>
    <s v="DK2_Rural"/>
    <x v="0"/>
    <x v="15"/>
    <n v="363.643739714682"/>
    <n v="1309.11746297285"/>
  </r>
  <r>
    <x v="0"/>
    <x v="0"/>
    <x v="0"/>
    <x v="0"/>
    <x v="1"/>
    <s v="DK2_Rural"/>
    <x v="0"/>
    <x v="16"/>
    <n v="304.89151437262399"/>
    <n v="1097.6094517414499"/>
  </r>
  <r>
    <x v="0"/>
    <x v="0"/>
    <x v="0"/>
    <x v="0"/>
    <x v="1"/>
    <s v="DK2_Rural"/>
    <x v="0"/>
    <x v="17"/>
    <n v="237.45785156279001"/>
    <n v="854.84826562604496"/>
  </r>
  <r>
    <x v="0"/>
    <x v="0"/>
    <x v="0"/>
    <x v="0"/>
    <x v="1"/>
    <s v="DK2_Rural"/>
    <x v="0"/>
    <x v="18"/>
    <n v="143.979876349628"/>
    <n v="518.32755485866198"/>
  </r>
  <r>
    <x v="0"/>
    <x v="0"/>
    <x v="0"/>
    <x v="0"/>
    <x v="1"/>
    <s v="DK2_Rural"/>
    <x v="0"/>
    <x v="19"/>
    <n v="54.360317788811599"/>
    <n v="195.69714403972199"/>
  </r>
  <r>
    <x v="0"/>
    <x v="0"/>
    <x v="0"/>
    <x v="0"/>
    <x v="1"/>
    <s v="DK2_Rural"/>
    <x v="0"/>
    <x v="20"/>
    <n v="0"/>
    <n v="0"/>
  </r>
  <r>
    <x v="0"/>
    <x v="0"/>
    <x v="0"/>
    <x v="0"/>
    <x v="1"/>
    <s v="DK2_Rural"/>
    <x v="0"/>
    <x v="21"/>
    <n v="19.914202768827501"/>
    <n v="71.691129967779204"/>
  </r>
  <r>
    <x v="0"/>
    <x v="0"/>
    <x v="0"/>
    <x v="0"/>
    <x v="1"/>
    <s v="DK2_Rural"/>
    <x v="0"/>
    <x v="22"/>
    <n v="98.192642656204498"/>
    <n v="353.49351356233598"/>
  </r>
  <r>
    <x v="0"/>
    <x v="0"/>
    <x v="0"/>
    <x v="0"/>
    <x v="1"/>
    <s v="DK2_Rural"/>
    <x v="0"/>
    <x v="23"/>
    <n v="176.47108254358099"/>
    <n v="635.29589715689303"/>
  </r>
  <r>
    <x v="0"/>
    <x v="0"/>
    <x v="0"/>
    <x v="0"/>
    <x v="1"/>
    <s v="DK2_Small"/>
    <x v="0"/>
    <x v="0"/>
    <n v="420.43014384979398"/>
    <n v="1513.5485178592601"/>
  </r>
  <r>
    <x v="0"/>
    <x v="0"/>
    <x v="0"/>
    <x v="0"/>
    <x v="1"/>
    <s v="DK2_Small"/>
    <x v="0"/>
    <x v="1"/>
    <n v="442.90179198695603"/>
    <n v="1594.44645115304"/>
  </r>
  <r>
    <x v="0"/>
    <x v="0"/>
    <x v="0"/>
    <x v="0"/>
    <x v="1"/>
    <s v="DK2_Small"/>
    <x v="0"/>
    <x v="2"/>
    <n v="311.93499227007698"/>
    <n v="1122.9659721722801"/>
  </r>
  <r>
    <x v="0"/>
    <x v="0"/>
    <x v="0"/>
    <x v="0"/>
    <x v="1"/>
    <s v="DK2_Small"/>
    <x v="0"/>
    <x v="3"/>
    <n v="156.548509762625"/>
    <n v="563.574635145451"/>
  </r>
  <r>
    <x v="0"/>
    <x v="0"/>
    <x v="0"/>
    <x v="0"/>
    <x v="1"/>
    <s v="DK2_Small"/>
    <x v="0"/>
    <x v="4"/>
    <n v="0"/>
    <n v="0"/>
  </r>
  <r>
    <x v="0"/>
    <x v="0"/>
    <x v="0"/>
    <x v="0"/>
    <x v="1"/>
    <s v="DK2_Small"/>
    <x v="0"/>
    <x v="5"/>
    <n v="154.53151425420199"/>
    <n v="556.31345131512796"/>
  </r>
  <r>
    <x v="0"/>
    <x v="0"/>
    <x v="0"/>
    <x v="0"/>
    <x v="1"/>
    <s v="DK2_Small"/>
    <x v="0"/>
    <x v="6"/>
    <n v="294.79251835715002"/>
    <n v="1061.2530660857401"/>
  </r>
  <r>
    <x v="0"/>
    <x v="0"/>
    <x v="0"/>
    <x v="0"/>
    <x v="1"/>
    <s v="DK2_Small"/>
    <x v="0"/>
    <x v="7"/>
    <n v="399.336474195817"/>
    <n v="1437.6113071049399"/>
  </r>
  <r>
    <x v="0"/>
    <x v="0"/>
    <x v="0"/>
    <x v="0"/>
    <x v="1"/>
    <s v="DK2_Small"/>
    <x v="0"/>
    <x v="8"/>
    <n v="482.59698346604301"/>
    <n v="1737.3491404777501"/>
  </r>
  <r>
    <x v="0"/>
    <x v="0"/>
    <x v="0"/>
    <x v="0"/>
    <x v="1"/>
    <s v="DK2_Small"/>
    <x v="0"/>
    <x v="9"/>
    <n v="562.67720761684598"/>
    <n v="2025.6379474206501"/>
  </r>
  <r>
    <x v="0"/>
    <x v="0"/>
    <x v="0"/>
    <x v="0"/>
    <x v="1"/>
    <s v="DK2_Small"/>
    <x v="0"/>
    <x v="10"/>
    <n v="643.16516062911398"/>
    <n v="2315.3945782648102"/>
  </r>
  <r>
    <x v="0"/>
    <x v="0"/>
    <x v="0"/>
    <x v="0"/>
    <x v="1"/>
    <s v="DK2_Small"/>
    <x v="0"/>
    <x v="11"/>
    <n v="722.91920169074604"/>
    <n v="2602.5091260866898"/>
  </r>
  <r>
    <x v="0"/>
    <x v="0"/>
    <x v="0"/>
    <x v="0"/>
    <x v="1"/>
    <s v="DK2_Small"/>
    <x v="0"/>
    <x v="12"/>
    <n v="803.40715470301404"/>
    <n v="2892.2657569308499"/>
  </r>
  <r>
    <x v="0"/>
    <x v="0"/>
    <x v="0"/>
    <x v="0"/>
    <x v="1"/>
    <s v="DK2_Small"/>
    <x v="0"/>
    <x v="13"/>
    <n v="888.46167096368299"/>
    <n v="3198.4620154692602"/>
  </r>
  <r>
    <x v="0"/>
    <x v="0"/>
    <x v="0"/>
    <x v="0"/>
    <x v="1"/>
    <s v="DK2_Small"/>
    <x v="0"/>
    <x v="14"/>
    <n v="976.69647234377499"/>
    <n v="3516.1073004375899"/>
  </r>
  <r>
    <x v="0"/>
    <x v="0"/>
    <x v="0"/>
    <x v="0"/>
    <x v="1"/>
    <s v="DK2_Small"/>
    <x v="0"/>
    <x v="15"/>
    <n v="1063.6265413671799"/>
    <n v="3829.05554892185"/>
  </r>
  <r>
    <x v="0"/>
    <x v="0"/>
    <x v="0"/>
    <x v="0"/>
    <x v="1"/>
    <s v="DK2_Small"/>
    <x v="0"/>
    <x v="16"/>
    <n v="1149.33342380619"/>
    <n v="4137.6003257022903"/>
  </r>
  <r>
    <x v="0"/>
    <x v="0"/>
    <x v="0"/>
    <x v="0"/>
    <x v="1"/>
    <s v="DK2_Small"/>
    <x v="0"/>
    <x v="17"/>
    <n v="1234.3063942945701"/>
    <n v="4443.5030194604396"/>
  </r>
  <r>
    <x v="0"/>
    <x v="0"/>
    <x v="0"/>
    <x v="0"/>
    <x v="1"/>
    <s v="DK2_Small"/>
    <x v="0"/>
    <x v="18"/>
    <n v="1317.07762893104"/>
    <n v="4741.4794641517301"/>
  </r>
  <r>
    <x v="0"/>
    <x v="0"/>
    <x v="0"/>
    <x v="0"/>
    <x v="1"/>
    <s v="DK2_Small"/>
    <x v="0"/>
    <x v="19"/>
    <n v="1400.17504665668"/>
    <n v="5040.6301679640301"/>
  </r>
  <r>
    <x v="0"/>
    <x v="0"/>
    <x v="0"/>
    <x v="0"/>
    <x v="1"/>
    <s v="DK2_Small"/>
    <x v="0"/>
    <x v="20"/>
    <n v="1178.08819970226"/>
    <n v="4241.1175189281503"/>
  </r>
  <r>
    <x v="0"/>
    <x v="0"/>
    <x v="0"/>
    <x v="0"/>
    <x v="1"/>
    <s v="DK2_Small"/>
    <x v="0"/>
    <x v="21"/>
    <n v="961.96642599107599"/>
    <n v="3463.07913356787"/>
  </r>
  <r>
    <x v="0"/>
    <x v="0"/>
    <x v="0"/>
    <x v="0"/>
    <x v="1"/>
    <s v="DK2_Small"/>
    <x v="0"/>
    <x v="22"/>
    <n v="774.50799124083403"/>
    <n v="2788.228768467"/>
  </r>
  <r>
    <x v="0"/>
    <x v="0"/>
    <x v="0"/>
    <x v="0"/>
    <x v="1"/>
    <s v="DK2_Small"/>
    <x v="0"/>
    <x v="23"/>
    <n v="595.10627879312699"/>
    <n v="2142.38260365526"/>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390.11757603197299"/>
    <n v="1404.4232737151001"/>
  </r>
  <r>
    <x v="0"/>
    <x v="0"/>
    <x v="0"/>
    <x v="1"/>
    <x v="2"/>
    <s v="EE_Industry"/>
    <x v="0"/>
    <x v="1"/>
    <n v="335.52970477997002"/>
    <n v="1207.90693720789"/>
  </r>
  <r>
    <x v="0"/>
    <x v="0"/>
    <x v="0"/>
    <x v="1"/>
    <x v="2"/>
    <s v="EE_Industry"/>
    <x v="0"/>
    <x v="2"/>
    <n v="278.49131417318898"/>
    <n v="1002.56873102348"/>
  </r>
  <r>
    <x v="0"/>
    <x v="0"/>
    <x v="0"/>
    <x v="1"/>
    <x v="2"/>
    <s v="EE_Industry"/>
    <x v="0"/>
    <x v="3"/>
    <n v="220.68713626804299"/>
    <n v="794.47369056495495"/>
  </r>
  <r>
    <x v="0"/>
    <x v="0"/>
    <x v="0"/>
    <x v="1"/>
    <x v="2"/>
    <s v="EE_Industry"/>
    <x v="0"/>
    <x v="4"/>
    <n v="165.18032025799599"/>
    <n v="594.64915292878504"/>
  </r>
  <r>
    <x v="0"/>
    <x v="0"/>
    <x v="0"/>
    <x v="1"/>
    <x v="2"/>
    <s v="EE_Industry"/>
    <x v="0"/>
    <x v="5"/>
    <n v="114.727700417183"/>
    <n v="413.01972150185799"/>
  </r>
  <r>
    <x v="0"/>
    <x v="0"/>
    <x v="0"/>
    <x v="1"/>
    <x v="2"/>
    <s v="EE_Industry"/>
    <x v="0"/>
    <x v="6"/>
    <n v="71.626638640698701"/>
    <n v="257.85589910651498"/>
  </r>
  <r>
    <x v="0"/>
    <x v="0"/>
    <x v="0"/>
    <x v="1"/>
    <x v="2"/>
    <s v="EE_Industry"/>
    <x v="0"/>
    <x v="7"/>
    <n v="37.868181904306802"/>
    <n v="136.32545485550401"/>
  </r>
  <r>
    <x v="0"/>
    <x v="0"/>
    <x v="0"/>
    <x v="1"/>
    <x v="2"/>
    <s v="EE_Industry"/>
    <x v="0"/>
    <x v="8"/>
    <n v="15.5965346434386"/>
    <n v="56.147524716379102"/>
  </r>
  <r>
    <x v="0"/>
    <x v="0"/>
    <x v="0"/>
    <x v="1"/>
    <x v="2"/>
    <s v="EE_Industry"/>
    <x v="0"/>
    <x v="9"/>
    <n v="3.2801222613415999"/>
    <n v="11.8084401408298"/>
  </r>
  <r>
    <x v="0"/>
    <x v="0"/>
    <x v="0"/>
    <x v="1"/>
    <x v="2"/>
    <s v="EE_Industry"/>
    <x v="0"/>
    <x v="10"/>
    <n v="0"/>
    <n v="0"/>
  </r>
  <r>
    <x v="0"/>
    <x v="0"/>
    <x v="0"/>
    <x v="1"/>
    <x v="2"/>
    <s v="EE_Industry"/>
    <x v="0"/>
    <x v="11"/>
    <n v="4.8372231013563596"/>
    <n v="17.414003164882899"/>
  </r>
  <r>
    <x v="0"/>
    <x v="0"/>
    <x v="0"/>
    <x v="1"/>
    <x v="2"/>
    <s v="EE_Industry"/>
    <x v="0"/>
    <x v="12"/>
    <n v="16.413374428351698"/>
    <n v="59.0881479420663"/>
  </r>
  <r>
    <x v="0"/>
    <x v="0"/>
    <x v="0"/>
    <x v="1"/>
    <x v="2"/>
    <s v="EE_Industry"/>
    <x v="0"/>
    <x v="13"/>
    <n v="33.809509222948698"/>
    <n v="121.71423320261501"/>
  </r>
  <r>
    <x v="0"/>
    <x v="0"/>
    <x v="0"/>
    <x v="1"/>
    <x v="2"/>
    <s v="EE_Industry"/>
    <x v="0"/>
    <x v="14"/>
    <n v="55.953525267425"/>
    <n v="201.43269096272999"/>
  </r>
  <r>
    <x v="0"/>
    <x v="0"/>
    <x v="0"/>
    <x v="1"/>
    <x v="2"/>
    <s v="EE_Industry"/>
    <x v="0"/>
    <x v="15"/>
    <n v="81.007533045702104"/>
    <n v="291.62711896452703"/>
  </r>
  <r>
    <x v="0"/>
    <x v="0"/>
    <x v="0"/>
    <x v="1"/>
    <x v="2"/>
    <s v="EE_Industry"/>
    <x v="0"/>
    <x v="16"/>
    <n v="108.205745259407"/>
    <n v="389.54068293386598"/>
  </r>
  <r>
    <x v="0"/>
    <x v="0"/>
    <x v="0"/>
    <x v="1"/>
    <x v="2"/>
    <s v="EE_Industry"/>
    <x v="0"/>
    <x v="17"/>
    <n v="137.24184698919601"/>
    <n v="494.07064916110699"/>
  </r>
  <r>
    <x v="0"/>
    <x v="0"/>
    <x v="0"/>
    <x v="1"/>
    <x v="2"/>
    <s v="EE_Industry"/>
    <x v="0"/>
    <x v="18"/>
    <n v="167.962680775396"/>
    <n v="604.66565079142504"/>
  </r>
  <r>
    <x v="0"/>
    <x v="0"/>
    <x v="0"/>
    <x v="1"/>
    <x v="2"/>
    <s v="EE_Industry"/>
    <x v="0"/>
    <x v="19"/>
    <n v="200.52140407767899"/>
    <n v="721.87705467964497"/>
  </r>
  <r>
    <x v="0"/>
    <x v="0"/>
    <x v="0"/>
    <x v="1"/>
    <x v="2"/>
    <s v="EE_Industry"/>
    <x v="0"/>
    <x v="20"/>
    <n v="235.22433181539199"/>
    <n v="846.80759453541202"/>
  </r>
  <r>
    <x v="0"/>
    <x v="0"/>
    <x v="0"/>
    <x v="1"/>
    <x v="2"/>
    <s v="EE_Industry"/>
    <x v="0"/>
    <x v="21"/>
    <n v="271.76514906919101"/>
    <n v="978.35453664908903"/>
  </r>
  <r>
    <x v="0"/>
    <x v="0"/>
    <x v="0"/>
    <x v="1"/>
    <x v="2"/>
    <s v="EE_Industry"/>
    <x v="0"/>
    <x v="22"/>
    <n v="310.14385583907301"/>
    <n v="1116.5178810206601"/>
  </r>
  <r>
    <x v="0"/>
    <x v="0"/>
    <x v="0"/>
    <x v="1"/>
    <x v="2"/>
    <s v="EE_Industry"/>
    <x v="0"/>
    <x v="23"/>
    <n v="349.90097974601798"/>
    <n v="1259.64352708567"/>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449.12739431004798"/>
    <n v="1616.8586195161699"/>
  </r>
  <r>
    <x v="0"/>
    <x v="0"/>
    <x v="0"/>
    <x v="1"/>
    <x v="2"/>
    <s v="EE_Narva"/>
    <x v="0"/>
    <x v="1"/>
    <n v="384.58360815901699"/>
    <n v="1384.50098937246"/>
  </r>
  <r>
    <x v="0"/>
    <x v="0"/>
    <x v="0"/>
    <x v="1"/>
    <x v="2"/>
    <s v="EE_Narva"/>
    <x v="0"/>
    <x v="2"/>
    <n v="316.94852157281298"/>
    <n v="1141.01467766213"/>
  </r>
  <r>
    <x v="0"/>
    <x v="0"/>
    <x v="0"/>
    <x v="1"/>
    <x v="2"/>
    <s v="EE_Narva"/>
    <x v="0"/>
    <x v="3"/>
    <n v="248.34740360061701"/>
    <n v="894.05065296222199"/>
  </r>
  <r>
    <x v="0"/>
    <x v="0"/>
    <x v="0"/>
    <x v="1"/>
    <x v="2"/>
    <s v="EE_Narva"/>
    <x v="0"/>
    <x v="4"/>
    <n v="182.644379786396"/>
    <n v="657.51976723102496"/>
  </r>
  <r>
    <x v="0"/>
    <x v="0"/>
    <x v="0"/>
    <x v="1"/>
    <x v="2"/>
    <s v="EE_Narva"/>
    <x v="0"/>
    <x v="5"/>
    <n v="123.317163119718"/>
    <n v="443.94178723098503"/>
  </r>
  <r>
    <x v="0"/>
    <x v="0"/>
    <x v="0"/>
    <x v="1"/>
    <x v="2"/>
    <s v="EE_Narva"/>
    <x v="0"/>
    <x v="6"/>
    <n v="73.263847758558299"/>
    <n v="263.74985193081"/>
  </r>
  <r>
    <x v="0"/>
    <x v="0"/>
    <x v="0"/>
    <x v="1"/>
    <x v="2"/>
    <s v="EE_Narva"/>
    <x v="0"/>
    <x v="7"/>
    <n v="34.996115306494502"/>
    <n v="125.98601510338"/>
  </r>
  <r>
    <x v="0"/>
    <x v="0"/>
    <x v="0"/>
    <x v="1"/>
    <x v="2"/>
    <s v="EE_Narva"/>
    <x v="0"/>
    <x v="8"/>
    <n v="11.218853644302699"/>
    <n v="40.387873119489598"/>
  </r>
  <r>
    <x v="0"/>
    <x v="0"/>
    <x v="0"/>
    <x v="1"/>
    <x v="2"/>
    <s v="EE_Narva"/>
    <x v="0"/>
    <x v="9"/>
    <n v="0"/>
    <n v="0"/>
  </r>
  <r>
    <x v="0"/>
    <x v="0"/>
    <x v="0"/>
    <x v="1"/>
    <x v="2"/>
    <s v="EE_Narva"/>
    <x v="0"/>
    <x v="10"/>
    <n v="0"/>
    <n v="0"/>
  </r>
  <r>
    <x v="0"/>
    <x v="0"/>
    <x v="0"/>
    <x v="1"/>
    <x v="2"/>
    <s v="EE_Narva"/>
    <x v="0"/>
    <x v="11"/>
    <n v="0"/>
    <n v="0"/>
  </r>
  <r>
    <x v="0"/>
    <x v="0"/>
    <x v="0"/>
    <x v="1"/>
    <x v="2"/>
    <s v="EE_Narva"/>
    <x v="0"/>
    <x v="12"/>
    <n v="0"/>
    <n v="0"/>
  </r>
  <r>
    <x v="0"/>
    <x v="0"/>
    <x v="0"/>
    <x v="1"/>
    <x v="2"/>
    <s v="EE_Narva"/>
    <x v="0"/>
    <x v="13"/>
    <n v="24.950005925557399"/>
    <n v="89.820021332006505"/>
  </r>
  <r>
    <x v="0"/>
    <x v="0"/>
    <x v="0"/>
    <x v="1"/>
    <x v="2"/>
    <s v="EE_Narva"/>
    <x v="0"/>
    <x v="14"/>
    <n v="41.765561495008299"/>
    <n v="150.35602138203001"/>
  </r>
  <r>
    <x v="0"/>
    <x v="0"/>
    <x v="0"/>
    <x v="1"/>
    <x v="2"/>
    <s v="EE_Narva"/>
    <x v="0"/>
    <x v="15"/>
    <n v="41.765561495008299"/>
    <n v="150.35602138203001"/>
  </r>
  <r>
    <x v="0"/>
    <x v="0"/>
    <x v="0"/>
    <x v="1"/>
    <x v="2"/>
    <s v="EE_Narva"/>
    <x v="0"/>
    <x v="16"/>
    <n v="78.462509074222098"/>
    <n v="282.46503266719901"/>
  </r>
  <r>
    <x v="0"/>
    <x v="0"/>
    <x v="0"/>
    <x v="1"/>
    <x v="2"/>
    <s v="EE_Narva"/>
    <x v="0"/>
    <x v="17"/>
    <n v="117.362008213496"/>
    <n v="422.50322956858599"/>
  </r>
  <r>
    <x v="0"/>
    <x v="0"/>
    <x v="0"/>
    <x v="1"/>
    <x v="2"/>
    <s v="EE_Narva"/>
    <x v="0"/>
    <x v="18"/>
    <n v="158.28051294949199"/>
    <n v="569.80984661817195"/>
  </r>
  <r>
    <x v="0"/>
    <x v="0"/>
    <x v="0"/>
    <x v="1"/>
    <x v="2"/>
    <s v="EE_Narva"/>
    <x v="0"/>
    <x v="19"/>
    <n v="201.40156924554901"/>
    <n v="725.04564928397599"/>
  </r>
  <r>
    <x v="0"/>
    <x v="0"/>
    <x v="0"/>
    <x v="1"/>
    <x v="2"/>
    <s v="EE_Narva"/>
    <x v="0"/>
    <x v="20"/>
    <n v="247.092269028343"/>
    <n v="889.53216850203501"/>
  </r>
  <r>
    <x v="0"/>
    <x v="0"/>
    <x v="0"/>
    <x v="1"/>
    <x v="2"/>
    <s v="EE_Narva"/>
    <x v="0"/>
    <x v="21"/>
    <n v="294.98552037119703"/>
    <n v="1061.9478733363101"/>
  </r>
  <r>
    <x v="0"/>
    <x v="0"/>
    <x v="0"/>
    <x v="1"/>
    <x v="2"/>
    <s v="EE_Narva"/>
    <x v="0"/>
    <x v="22"/>
    <n v="345.08132327411198"/>
    <n v="1242.2927637867999"/>
  </r>
  <r>
    <x v="0"/>
    <x v="0"/>
    <x v="0"/>
    <x v="1"/>
    <x v="2"/>
    <s v="EE_Narva"/>
    <x v="0"/>
    <x v="23"/>
    <n v="396.82903984707298"/>
    <n v="1428.5845434494599"/>
  </r>
  <r>
    <x v="0"/>
    <x v="0"/>
    <x v="0"/>
    <x v="1"/>
    <x v="2"/>
    <s v="EE_Parnu"/>
    <x v="0"/>
    <x v="0"/>
    <n v="196.17441400181701"/>
    <n v="706.22789040654197"/>
  </r>
  <r>
    <x v="0"/>
    <x v="0"/>
    <x v="0"/>
    <x v="1"/>
    <x v="2"/>
    <s v="EE_Parnu"/>
    <x v="0"/>
    <x v="1"/>
    <n v="168.72437249538001"/>
    <n v="607.40774098336703"/>
  </r>
  <r>
    <x v="0"/>
    <x v="0"/>
    <x v="0"/>
    <x v="1"/>
    <x v="2"/>
    <s v="EE_Parnu"/>
    <x v="0"/>
    <x v="2"/>
    <n v="140.042063518931"/>
    <n v="504.15142866815199"/>
  </r>
  <r>
    <x v="0"/>
    <x v="0"/>
    <x v="0"/>
    <x v="1"/>
    <x v="2"/>
    <s v="EE_Parnu"/>
    <x v="0"/>
    <x v="3"/>
    <n v="110.97467095810499"/>
    <n v="399.50881544917598"/>
  </r>
  <r>
    <x v="0"/>
    <x v="0"/>
    <x v="0"/>
    <x v="1"/>
    <x v="2"/>
    <s v="EE_Parnu"/>
    <x v="0"/>
    <x v="4"/>
    <n v="83.062529150412999"/>
    <n v="299.02510494148697"/>
  </r>
  <r>
    <x v="0"/>
    <x v="0"/>
    <x v="0"/>
    <x v="1"/>
    <x v="2"/>
    <s v="EE_Parnu"/>
    <x v="0"/>
    <x v="5"/>
    <n v="57.691938999618301"/>
    <n v="207.69098039862601"/>
  </r>
  <r>
    <x v="0"/>
    <x v="0"/>
    <x v="0"/>
    <x v="1"/>
    <x v="2"/>
    <s v="EE_Parnu"/>
    <x v="0"/>
    <x v="6"/>
    <n v="36.018151258856498"/>
    <n v="129.66534453188299"/>
  </r>
  <r>
    <x v="0"/>
    <x v="0"/>
    <x v="0"/>
    <x v="1"/>
    <x v="2"/>
    <s v="EE_Parnu"/>
    <x v="0"/>
    <x v="7"/>
    <n v="19.042383247510301"/>
    <n v="68.552579691037096"/>
  </r>
  <r>
    <x v="0"/>
    <x v="0"/>
    <x v="0"/>
    <x v="1"/>
    <x v="2"/>
    <s v="EE_Parnu"/>
    <x v="0"/>
    <x v="8"/>
    <n v="7.8428690018399703"/>
    <n v="28.234328406623899"/>
  </r>
  <r>
    <x v="0"/>
    <x v="0"/>
    <x v="0"/>
    <x v="1"/>
    <x v="2"/>
    <s v="EE_Parnu"/>
    <x v="0"/>
    <x v="9"/>
    <n v="1.6494413530876999"/>
    <n v="5.9379888711157003"/>
  </r>
  <r>
    <x v="0"/>
    <x v="0"/>
    <x v="0"/>
    <x v="1"/>
    <x v="2"/>
    <s v="EE_Parnu"/>
    <x v="0"/>
    <x v="10"/>
    <n v="0"/>
    <n v="0"/>
  </r>
  <r>
    <x v="0"/>
    <x v="0"/>
    <x v="0"/>
    <x v="1"/>
    <x v="2"/>
    <s v="EE_Parnu"/>
    <x v="0"/>
    <x v="11"/>
    <n v="2.4324446413234"/>
    <n v="8.7568007087642403"/>
  </r>
  <r>
    <x v="0"/>
    <x v="0"/>
    <x v="0"/>
    <x v="1"/>
    <x v="2"/>
    <s v="EE_Parnu"/>
    <x v="0"/>
    <x v="12"/>
    <n v="8.2536248251762991"/>
    <n v="29.7130493706347"/>
  </r>
  <r>
    <x v="0"/>
    <x v="0"/>
    <x v="0"/>
    <x v="1"/>
    <x v="2"/>
    <s v="EE_Parnu"/>
    <x v="0"/>
    <x v="13"/>
    <n v="17.001440250305201"/>
    <n v="61.205184901098797"/>
  </r>
  <r>
    <x v="0"/>
    <x v="0"/>
    <x v="0"/>
    <x v="1"/>
    <x v="2"/>
    <s v="EE_Parnu"/>
    <x v="0"/>
    <x v="14"/>
    <n v="28.136773898579602"/>
    <n v="101.29238603488599"/>
  </r>
  <r>
    <x v="0"/>
    <x v="0"/>
    <x v="0"/>
    <x v="1"/>
    <x v="2"/>
    <s v="EE_Parnu"/>
    <x v="0"/>
    <x v="15"/>
    <n v="40.735425167491897"/>
    <n v="146.64753060297099"/>
  </r>
  <r>
    <x v="0"/>
    <x v="0"/>
    <x v="0"/>
    <x v="1"/>
    <x v="2"/>
    <s v="EE_Parnu"/>
    <x v="0"/>
    <x v="16"/>
    <n v="54.412310472663599"/>
    <n v="195.884317701589"/>
  </r>
  <r>
    <x v="0"/>
    <x v="0"/>
    <x v="0"/>
    <x v="1"/>
    <x v="2"/>
    <s v="EE_Parnu"/>
    <x v="0"/>
    <x v="17"/>
    <n v="69.013396380343195"/>
    <n v="248.448226969236"/>
  </r>
  <r>
    <x v="0"/>
    <x v="0"/>
    <x v="0"/>
    <x v="1"/>
    <x v="2"/>
    <s v="EE_Parnu"/>
    <x v="0"/>
    <x v="18"/>
    <n v="84.4616661736559"/>
    <n v="304.06199822516101"/>
  </r>
  <r>
    <x v="0"/>
    <x v="0"/>
    <x v="0"/>
    <x v="1"/>
    <x v="2"/>
    <s v="EE_Parnu"/>
    <x v="0"/>
    <x v="19"/>
    <n v="100.834136569476"/>
    <n v="363.00289165011299"/>
  </r>
  <r>
    <x v="0"/>
    <x v="0"/>
    <x v="0"/>
    <x v="1"/>
    <x v="2"/>
    <s v="EE_Parnu"/>
    <x v="0"/>
    <x v="20"/>
    <n v="118.28484100155499"/>
    <n v="425.82542760559897"/>
  </r>
  <r>
    <x v="0"/>
    <x v="0"/>
    <x v="0"/>
    <x v="1"/>
    <x v="2"/>
    <s v="EE_Parnu"/>
    <x v="0"/>
    <x v="21"/>
    <n v="136.65974603614299"/>
    <n v="491.97508573011498"/>
  </r>
  <r>
    <x v="0"/>
    <x v="0"/>
    <x v="0"/>
    <x v="1"/>
    <x v="2"/>
    <s v="EE_Parnu"/>
    <x v="0"/>
    <x v="22"/>
    <n v="155.958851673239"/>
    <n v="561.45186602366005"/>
  </r>
  <r>
    <x v="0"/>
    <x v="0"/>
    <x v="0"/>
    <x v="1"/>
    <x v="2"/>
    <s v="EE_Parnu"/>
    <x v="0"/>
    <x v="23"/>
    <n v="175.951107762216"/>
    <n v="633.42398794397604"/>
  </r>
  <r>
    <x v="0"/>
    <x v="0"/>
    <x v="0"/>
    <x v="1"/>
    <x v="2"/>
    <s v="EE_Tallinn"/>
    <x v="0"/>
    <x v="0"/>
    <n v="0"/>
    <n v="0"/>
  </r>
  <r>
    <x v="0"/>
    <x v="0"/>
    <x v="0"/>
    <x v="1"/>
    <x v="2"/>
    <s v="EE_Tallinn"/>
    <x v="0"/>
    <x v="1"/>
    <n v="0"/>
    <n v="0"/>
  </r>
  <r>
    <x v="0"/>
    <x v="0"/>
    <x v="0"/>
    <x v="1"/>
    <x v="2"/>
    <s v="EE_Tallinn"/>
    <x v="0"/>
    <x v="2"/>
    <n v="0"/>
    <n v="0"/>
  </r>
  <r>
    <x v="0"/>
    <x v="0"/>
    <x v="0"/>
    <x v="1"/>
    <x v="2"/>
    <s v="EE_Tallinn"/>
    <x v="0"/>
    <x v="3"/>
    <n v="0"/>
    <n v="0"/>
  </r>
  <r>
    <x v="0"/>
    <x v="0"/>
    <x v="0"/>
    <x v="1"/>
    <x v="2"/>
    <s v="EE_Tallinn"/>
    <x v="0"/>
    <x v="4"/>
    <n v="0"/>
    <n v="0"/>
  </r>
  <r>
    <x v="0"/>
    <x v="0"/>
    <x v="0"/>
    <x v="1"/>
    <x v="2"/>
    <s v="EE_Tallinn"/>
    <x v="0"/>
    <x v="5"/>
    <n v="0"/>
    <n v="0"/>
  </r>
  <r>
    <x v="0"/>
    <x v="0"/>
    <x v="0"/>
    <x v="1"/>
    <x v="2"/>
    <s v="EE_Tallinn"/>
    <x v="0"/>
    <x v="6"/>
    <n v="0"/>
    <n v="0"/>
  </r>
  <r>
    <x v="0"/>
    <x v="0"/>
    <x v="0"/>
    <x v="1"/>
    <x v="2"/>
    <s v="EE_Tallinn"/>
    <x v="0"/>
    <x v="7"/>
    <n v="0"/>
    <n v="0"/>
  </r>
  <r>
    <x v="0"/>
    <x v="0"/>
    <x v="0"/>
    <x v="1"/>
    <x v="2"/>
    <s v="EE_Tallinn"/>
    <x v="0"/>
    <x v="8"/>
    <n v="0"/>
    <n v="0"/>
  </r>
  <r>
    <x v="0"/>
    <x v="0"/>
    <x v="0"/>
    <x v="1"/>
    <x v="2"/>
    <s v="EE_Tallinn"/>
    <x v="0"/>
    <x v="9"/>
    <n v="0"/>
    <n v="0"/>
  </r>
  <r>
    <x v="0"/>
    <x v="0"/>
    <x v="0"/>
    <x v="1"/>
    <x v="2"/>
    <s v="EE_Tallinn"/>
    <x v="0"/>
    <x v="10"/>
    <n v="0"/>
    <n v="0"/>
  </r>
  <r>
    <x v="0"/>
    <x v="0"/>
    <x v="0"/>
    <x v="1"/>
    <x v="2"/>
    <s v="EE_Tallinn"/>
    <x v="0"/>
    <x v="11"/>
    <n v="0"/>
    <n v="0"/>
  </r>
  <r>
    <x v="0"/>
    <x v="0"/>
    <x v="0"/>
    <x v="1"/>
    <x v="2"/>
    <s v="EE_Tallinn"/>
    <x v="0"/>
    <x v="12"/>
    <n v="0"/>
    <n v="0"/>
  </r>
  <r>
    <x v="0"/>
    <x v="0"/>
    <x v="0"/>
    <x v="1"/>
    <x v="2"/>
    <s v="EE_Tallinn"/>
    <x v="0"/>
    <x v="13"/>
    <n v="0"/>
    <n v="0"/>
  </r>
  <r>
    <x v="0"/>
    <x v="0"/>
    <x v="0"/>
    <x v="1"/>
    <x v="2"/>
    <s v="EE_Tallinn"/>
    <x v="0"/>
    <x v="14"/>
    <n v="0"/>
    <n v="0"/>
  </r>
  <r>
    <x v="0"/>
    <x v="0"/>
    <x v="0"/>
    <x v="1"/>
    <x v="2"/>
    <s v="EE_Tallinn"/>
    <x v="0"/>
    <x v="15"/>
    <n v="0"/>
    <n v="0"/>
  </r>
  <r>
    <x v="0"/>
    <x v="0"/>
    <x v="0"/>
    <x v="1"/>
    <x v="2"/>
    <s v="EE_Tallinn"/>
    <x v="0"/>
    <x v="16"/>
    <n v="0"/>
    <n v="0"/>
  </r>
  <r>
    <x v="0"/>
    <x v="0"/>
    <x v="0"/>
    <x v="1"/>
    <x v="2"/>
    <s v="EE_Tallinn"/>
    <x v="0"/>
    <x v="17"/>
    <n v="0"/>
    <n v="0"/>
  </r>
  <r>
    <x v="0"/>
    <x v="0"/>
    <x v="0"/>
    <x v="1"/>
    <x v="2"/>
    <s v="EE_Tallinn"/>
    <x v="0"/>
    <x v="18"/>
    <n v="0"/>
    <n v="0"/>
  </r>
  <r>
    <x v="0"/>
    <x v="0"/>
    <x v="0"/>
    <x v="1"/>
    <x v="2"/>
    <s v="EE_Tallinn"/>
    <x v="0"/>
    <x v="19"/>
    <n v="0"/>
    <n v="0"/>
  </r>
  <r>
    <x v="0"/>
    <x v="0"/>
    <x v="0"/>
    <x v="1"/>
    <x v="2"/>
    <s v="EE_Tallinn"/>
    <x v="0"/>
    <x v="20"/>
    <n v="0"/>
    <n v="0"/>
  </r>
  <r>
    <x v="0"/>
    <x v="0"/>
    <x v="0"/>
    <x v="1"/>
    <x v="2"/>
    <s v="EE_Tallinn"/>
    <x v="0"/>
    <x v="21"/>
    <n v="0"/>
    <n v="0"/>
  </r>
  <r>
    <x v="0"/>
    <x v="0"/>
    <x v="0"/>
    <x v="1"/>
    <x v="2"/>
    <s v="EE_Tallinn"/>
    <x v="0"/>
    <x v="22"/>
    <n v="0"/>
    <n v="0"/>
  </r>
  <r>
    <x v="0"/>
    <x v="0"/>
    <x v="0"/>
    <x v="1"/>
    <x v="2"/>
    <s v="EE_Tallinn"/>
    <x v="0"/>
    <x v="23"/>
    <n v="0"/>
    <n v="0"/>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0"/>
    <n v="0"/>
  </r>
  <r>
    <x v="0"/>
    <x v="0"/>
    <x v="0"/>
    <x v="2"/>
    <x v="3"/>
    <s v="FIN_EL"/>
    <x v="0"/>
    <x v="1"/>
    <n v="390.85750972032997"/>
    <n v="1407.0870349931899"/>
  </r>
  <r>
    <x v="0"/>
    <x v="0"/>
    <x v="0"/>
    <x v="2"/>
    <x v="3"/>
    <s v="FIN_EL"/>
    <x v="0"/>
    <x v="2"/>
    <n v="801.611781689233"/>
    <n v="2885.8024140812399"/>
  </r>
  <r>
    <x v="0"/>
    <x v="0"/>
    <x v="0"/>
    <x v="2"/>
    <x v="3"/>
    <s v="FIN_EL"/>
    <x v="0"/>
    <x v="3"/>
    <n v="1197.7325819707301"/>
    <n v="4311.8372950946396"/>
  </r>
  <r>
    <x v="0"/>
    <x v="0"/>
    <x v="0"/>
    <x v="2"/>
    <x v="3"/>
    <s v="FIN_EL"/>
    <x v="0"/>
    <x v="4"/>
    <n v="1537.9970293003701"/>
    <n v="5536.7893054813303"/>
  </r>
  <r>
    <x v="0"/>
    <x v="0"/>
    <x v="0"/>
    <x v="2"/>
    <x v="3"/>
    <s v="FIN_EL"/>
    <x v="0"/>
    <x v="5"/>
    <n v="1753.6314962235599"/>
    <n v="6313.0733864048098"/>
  </r>
  <r>
    <x v="0"/>
    <x v="0"/>
    <x v="0"/>
    <x v="2"/>
    <x v="3"/>
    <s v="FIN_EL"/>
    <x v="0"/>
    <x v="6"/>
    <n v="1780.9420873353999"/>
    <n v="6411.3915144074299"/>
  </r>
  <r>
    <x v="0"/>
    <x v="0"/>
    <x v="0"/>
    <x v="2"/>
    <x v="3"/>
    <s v="FIN_EL"/>
    <x v="0"/>
    <x v="7"/>
    <n v="1780.9420873353999"/>
    <n v="6411.3915144074299"/>
  </r>
  <r>
    <x v="0"/>
    <x v="0"/>
    <x v="0"/>
    <x v="2"/>
    <x v="3"/>
    <s v="FIN_EL"/>
    <x v="0"/>
    <x v="8"/>
    <n v="1117.14184750198"/>
    <n v="4021.7106510071299"/>
  </r>
  <r>
    <x v="0"/>
    <x v="0"/>
    <x v="0"/>
    <x v="2"/>
    <x v="3"/>
    <s v="FIN_EL"/>
    <x v="0"/>
    <x v="9"/>
    <n v="1106.0310921354801"/>
    <n v="3981.7119316877402"/>
  </r>
  <r>
    <x v="0"/>
    <x v="0"/>
    <x v="0"/>
    <x v="2"/>
    <x v="3"/>
    <s v="FIN_EL"/>
    <x v="0"/>
    <x v="10"/>
    <n v="1072.1396373413299"/>
    <n v="3859.7026944288"/>
  </r>
  <r>
    <x v="0"/>
    <x v="0"/>
    <x v="0"/>
    <x v="2"/>
    <x v="3"/>
    <s v="FIN_EL"/>
    <x v="0"/>
    <x v="11"/>
    <n v="1072.1396373413299"/>
    <n v="3859.7026944288"/>
  </r>
  <r>
    <x v="0"/>
    <x v="0"/>
    <x v="0"/>
    <x v="2"/>
    <x v="3"/>
    <s v="FIN_EL"/>
    <x v="0"/>
    <x v="12"/>
    <n v="1072.1396373413299"/>
    <n v="3859.7026944288"/>
  </r>
  <r>
    <x v="0"/>
    <x v="0"/>
    <x v="0"/>
    <x v="2"/>
    <x v="3"/>
    <s v="FIN_EL"/>
    <x v="0"/>
    <x v="13"/>
    <n v="1072.1396373413299"/>
    <n v="3859.7026944288"/>
  </r>
  <r>
    <x v="0"/>
    <x v="0"/>
    <x v="0"/>
    <x v="2"/>
    <x v="3"/>
    <s v="FIN_EL"/>
    <x v="0"/>
    <x v="14"/>
    <n v="1072.1396373413299"/>
    <n v="3859.7026944288"/>
  </r>
  <r>
    <x v="0"/>
    <x v="0"/>
    <x v="0"/>
    <x v="2"/>
    <x v="3"/>
    <s v="FIN_EL"/>
    <x v="0"/>
    <x v="15"/>
    <n v="1072.1396373413299"/>
    <n v="3859.7026944288"/>
  </r>
  <r>
    <x v="0"/>
    <x v="0"/>
    <x v="0"/>
    <x v="2"/>
    <x v="3"/>
    <s v="FIN_EL"/>
    <x v="0"/>
    <x v="16"/>
    <n v="445.90830996544901"/>
    <n v="1605.26991587562"/>
  </r>
  <r>
    <x v="0"/>
    <x v="0"/>
    <x v="0"/>
    <x v="2"/>
    <x v="3"/>
    <s v="FIN_EL"/>
    <x v="0"/>
    <x v="17"/>
    <n v="445.90830996544901"/>
    <n v="1605.26991587562"/>
  </r>
  <r>
    <x v="0"/>
    <x v="0"/>
    <x v="0"/>
    <x v="2"/>
    <x v="3"/>
    <s v="FIN_EL"/>
    <x v="0"/>
    <x v="18"/>
    <n v="0"/>
    <n v="0"/>
  </r>
  <r>
    <x v="0"/>
    <x v="0"/>
    <x v="0"/>
    <x v="2"/>
    <x v="3"/>
    <s v="FIN_EL"/>
    <x v="0"/>
    <x v="19"/>
    <n v="0"/>
    <n v="0"/>
  </r>
  <r>
    <x v="0"/>
    <x v="0"/>
    <x v="0"/>
    <x v="2"/>
    <x v="3"/>
    <s v="FIN_EL"/>
    <x v="0"/>
    <x v="20"/>
    <n v="0"/>
    <n v="0"/>
  </r>
  <r>
    <x v="0"/>
    <x v="0"/>
    <x v="0"/>
    <x v="2"/>
    <x v="3"/>
    <s v="FIN_EL"/>
    <x v="0"/>
    <x v="21"/>
    <n v="0"/>
    <n v="0"/>
  </r>
  <r>
    <x v="0"/>
    <x v="0"/>
    <x v="0"/>
    <x v="2"/>
    <x v="3"/>
    <s v="FIN_EL"/>
    <x v="0"/>
    <x v="22"/>
    <n v="0"/>
    <n v="0"/>
  </r>
  <r>
    <x v="0"/>
    <x v="0"/>
    <x v="0"/>
    <x v="2"/>
    <x v="3"/>
    <s v="FIN_EL"/>
    <x v="0"/>
    <x v="23"/>
    <n v="0"/>
    <n v="0"/>
  </r>
  <r>
    <x v="0"/>
    <x v="0"/>
    <x v="0"/>
    <x v="2"/>
    <x v="3"/>
    <s v="FIN_ESPOO"/>
    <x v="0"/>
    <x v="0"/>
    <n v="0"/>
    <n v="0"/>
  </r>
  <r>
    <x v="0"/>
    <x v="0"/>
    <x v="0"/>
    <x v="2"/>
    <x v="3"/>
    <s v="FIN_ESPOO"/>
    <x v="0"/>
    <x v="1"/>
    <n v="0"/>
    <n v="0"/>
  </r>
  <r>
    <x v="0"/>
    <x v="0"/>
    <x v="0"/>
    <x v="2"/>
    <x v="3"/>
    <s v="FIN_ESPOO"/>
    <x v="0"/>
    <x v="2"/>
    <n v="0"/>
    <n v="0"/>
  </r>
  <r>
    <x v="0"/>
    <x v="0"/>
    <x v="0"/>
    <x v="2"/>
    <x v="3"/>
    <s v="FIN_ESPOO"/>
    <x v="0"/>
    <x v="3"/>
    <n v="0"/>
    <n v="0"/>
  </r>
  <r>
    <x v="0"/>
    <x v="0"/>
    <x v="0"/>
    <x v="2"/>
    <x v="3"/>
    <s v="FIN_ESPOO"/>
    <x v="0"/>
    <x v="4"/>
    <n v="0"/>
    <n v="0"/>
  </r>
  <r>
    <x v="0"/>
    <x v="0"/>
    <x v="0"/>
    <x v="2"/>
    <x v="3"/>
    <s v="FIN_ESPOO"/>
    <x v="0"/>
    <x v="5"/>
    <n v="0"/>
    <n v="0"/>
  </r>
  <r>
    <x v="0"/>
    <x v="0"/>
    <x v="0"/>
    <x v="2"/>
    <x v="3"/>
    <s v="FIN_ESPOO"/>
    <x v="0"/>
    <x v="6"/>
    <n v="0"/>
    <n v="0"/>
  </r>
  <r>
    <x v="0"/>
    <x v="0"/>
    <x v="0"/>
    <x v="2"/>
    <x v="3"/>
    <s v="FIN_ESPOO"/>
    <x v="0"/>
    <x v="7"/>
    <n v="0"/>
    <n v="0"/>
  </r>
  <r>
    <x v="0"/>
    <x v="0"/>
    <x v="0"/>
    <x v="2"/>
    <x v="3"/>
    <s v="FIN_ESPOO"/>
    <x v="0"/>
    <x v="8"/>
    <n v="0"/>
    <n v="0"/>
  </r>
  <r>
    <x v="0"/>
    <x v="0"/>
    <x v="0"/>
    <x v="2"/>
    <x v="3"/>
    <s v="FIN_ESPOO"/>
    <x v="0"/>
    <x v="9"/>
    <n v="0"/>
    <n v="0"/>
  </r>
  <r>
    <x v="0"/>
    <x v="0"/>
    <x v="0"/>
    <x v="2"/>
    <x v="3"/>
    <s v="FIN_ESPOO"/>
    <x v="0"/>
    <x v="10"/>
    <n v="0"/>
    <n v="0"/>
  </r>
  <r>
    <x v="0"/>
    <x v="0"/>
    <x v="0"/>
    <x v="2"/>
    <x v="3"/>
    <s v="FIN_ESPOO"/>
    <x v="0"/>
    <x v="11"/>
    <n v="0"/>
    <n v="0"/>
  </r>
  <r>
    <x v="0"/>
    <x v="0"/>
    <x v="0"/>
    <x v="2"/>
    <x v="3"/>
    <s v="FIN_ESPOO"/>
    <x v="0"/>
    <x v="12"/>
    <n v="0"/>
    <n v="0"/>
  </r>
  <r>
    <x v="0"/>
    <x v="0"/>
    <x v="0"/>
    <x v="2"/>
    <x v="3"/>
    <s v="FIN_ESPOO"/>
    <x v="0"/>
    <x v="13"/>
    <n v="0"/>
    <n v="0"/>
  </r>
  <r>
    <x v="0"/>
    <x v="0"/>
    <x v="0"/>
    <x v="2"/>
    <x v="3"/>
    <s v="FIN_ESPOO"/>
    <x v="0"/>
    <x v="14"/>
    <n v="0"/>
    <n v="0"/>
  </r>
  <r>
    <x v="0"/>
    <x v="0"/>
    <x v="0"/>
    <x v="2"/>
    <x v="3"/>
    <s v="FIN_ESPOO"/>
    <x v="0"/>
    <x v="15"/>
    <n v="0"/>
    <n v="0"/>
  </r>
  <r>
    <x v="0"/>
    <x v="0"/>
    <x v="0"/>
    <x v="2"/>
    <x v="3"/>
    <s v="FIN_ESPOO"/>
    <x v="0"/>
    <x v="16"/>
    <n v="0"/>
    <n v="0"/>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0"/>
    <n v="0"/>
  </r>
  <r>
    <x v="0"/>
    <x v="0"/>
    <x v="0"/>
    <x v="2"/>
    <x v="3"/>
    <s v="FIN_GAS"/>
    <x v="0"/>
    <x v="2"/>
    <n v="0"/>
    <n v="0"/>
  </r>
  <r>
    <x v="0"/>
    <x v="0"/>
    <x v="0"/>
    <x v="2"/>
    <x v="3"/>
    <s v="FIN_GAS"/>
    <x v="0"/>
    <x v="3"/>
    <n v="0"/>
    <n v="0"/>
  </r>
  <r>
    <x v="0"/>
    <x v="0"/>
    <x v="0"/>
    <x v="2"/>
    <x v="3"/>
    <s v="FIN_GAS"/>
    <x v="0"/>
    <x v="4"/>
    <n v="0"/>
    <n v="0"/>
  </r>
  <r>
    <x v="0"/>
    <x v="0"/>
    <x v="0"/>
    <x v="2"/>
    <x v="3"/>
    <s v="FIN_GAS"/>
    <x v="0"/>
    <x v="5"/>
    <n v="0"/>
    <n v="0"/>
  </r>
  <r>
    <x v="0"/>
    <x v="0"/>
    <x v="0"/>
    <x v="2"/>
    <x v="3"/>
    <s v="FIN_GAS"/>
    <x v="0"/>
    <x v="6"/>
    <n v="0"/>
    <n v="0"/>
  </r>
  <r>
    <x v="0"/>
    <x v="0"/>
    <x v="0"/>
    <x v="2"/>
    <x v="3"/>
    <s v="FIN_GAS"/>
    <x v="0"/>
    <x v="7"/>
    <n v="0"/>
    <n v="0"/>
  </r>
  <r>
    <x v="0"/>
    <x v="0"/>
    <x v="0"/>
    <x v="2"/>
    <x v="3"/>
    <s v="FIN_GAS"/>
    <x v="0"/>
    <x v="8"/>
    <n v="0"/>
    <n v="0"/>
  </r>
  <r>
    <x v="0"/>
    <x v="0"/>
    <x v="0"/>
    <x v="2"/>
    <x v="3"/>
    <s v="FIN_GAS"/>
    <x v="0"/>
    <x v="9"/>
    <n v="0"/>
    <n v="0"/>
  </r>
  <r>
    <x v="0"/>
    <x v="0"/>
    <x v="0"/>
    <x v="2"/>
    <x v="3"/>
    <s v="FIN_GAS"/>
    <x v="0"/>
    <x v="10"/>
    <n v="0"/>
    <n v="0"/>
  </r>
  <r>
    <x v="0"/>
    <x v="0"/>
    <x v="0"/>
    <x v="2"/>
    <x v="3"/>
    <s v="FIN_GAS"/>
    <x v="0"/>
    <x v="11"/>
    <n v="0"/>
    <n v="0"/>
  </r>
  <r>
    <x v="0"/>
    <x v="0"/>
    <x v="0"/>
    <x v="2"/>
    <x v="3"/>
    <s v="FIN_GAS"/>
    <x v="0"/>
    <x v="12"/>
    <n v="0"/>
    <n v="0"/>
  </r>
  <r>
    <x v="0"/>
    <x v="0"/>
    <x v="0"/>
    <x v="2"/>
    <x v="3"/>
    <s v="FIN_GAS"/>
    <x v="0"/>
    <x v="13"/>
    <n v="0"/>
    <n v="0"/>
  </r>
  <r>
    <x v="0"/>
    <x v="0"/>
    <x v="0"/>
    <x v="2"/>
    <x v="3"/>
    <s v="FIN_GAS"/>
    <x v="0"/>
    <x v="14"/>
    <n v="0"/>
    <n v="0"/>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0"/>
    <n v="0"/>
  </r>
  <r>
    <x v="0"/>
    <x v="0"/>
    <x v="0"/>
    <x v="2"/>
    <x v="3"/>
    <s v="FIN_HP"/>
    <x v="0"/>
    <x v="1"/>
    <n v="0"/>
    <n v="0"/>
  </r>
  <r>
    <x v="0"/>
    <x v="0"/>
    <x v="0"/>
    <x v="2"/>
    <x v="3"/>
    <s v="FIN_HP"/>
    <x v="0"/>
    <x v="2"/>
    <n v="0"/>
    <n v="0"/>
  </r>
  <r>
    <x v="0"/>
    <x v="0"/>
    <x v="0"/>
    <x v="2"/>
    <x v="3"/>
    <s v="FIN_HP"/>
    <x v="0"/>
    <x v="3"/>
    <n v="0"/>
    <n v="0"/>
  </r>
  <r>
    <x v="0"/>
    <x v="0"/>
    <x v="0"/>
    <x v="2"/>
    <x v="3"/>
    <s v="FIN_HP"/>
    <x v="0"/>
    <x v="4"/>
    <n v="0"/>
    <n v="0"/>
  </r>
  <r>
    <x v="0"/>
    <x v="0"/>
    <x v="0"/>
    <x v="2"/>
    <x v="3"/>
    <s v="FIN_HP"/>
    <x v="0"/>
    <x v="5"/>
    <n v="0"/>
    <n v="0"/>
  </r>
  <r>
    <x v="0"/>
    <x v="0"/>
    <x v="0"/>
    <x v="2"/>
    <x v="3"/>
    <s v="FIN_HP"/>
    <x v="0"/>
    <x v="6"/>
    <n v="0"/>
    <n v="0"/>
  </r>
  <r>
    <x v="0"/>
    <x v="0"/>
    <x v="0"/>
    <x v="2"/>
    <x v="3"/>
    <s v="FIN_HP"/>
    <x v="0"/>
    <x v="7"/>
    <n v="0"/>
    <n v="0"/>
  </r>
  <r>
    <x v="0"/>
    <x v="0"/>
    <x v="0"/>
    <x v="2"/>
    <x v="3"/>
    <s v="FIN_HP"/>
    <x v="0"/>
    <x v="8"/>
    <n v="0"/>
    <n v="0"/>
  </r>
  <r>
    <x v="0"/>
    <x v="0"/>
    <x v="0"/>
    <x v="2"/>
    <x v="3"/>
    <s v="FIN_HP"/>
    <x v="0"/>
    <x v="9"/>
    <n v="0"/>
    <n v="0"/>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0"/>
    <n v="0"/>
  </r>
  <r>
    <x v="0"/>
    <x v="0"/>
    <x v="0"/>
    <x v="2"/>
    <x v="3"/>
    <s v="FIN_HP"/>
    <x v="0"/>
    <x v="21"/>
    <n v="0"/>
    <n v="0"/>
  </r>
  <r>
    <x v="0"/>
    <x v="0"/>
    <x v="0"/>
    <x v="2"/>
    <x v="3"/>
    <s v="FIN_HP"/>
    <x v="0"/>
    <x v="22"/>
    <n v="0"/>
    <n v="0"/>
  </r>
  <r>
    <x v="0"/>
    <x v="0"/>
    <x v="0"/>
    <x v="2"/>
    <x v="3"/>
    <s v="FIN_HP"/>
    <x v="0"/>
    <x v="23"/>
    <n v="0"/>
    <n v="0"/>
  </r>
  <r>
    <x v="0"/>
    <x v="0"/>
    <x v="0"/>
    <x v="2"/>
    <x v="3"/>
    <s v="FIN_OTHER"/>
    <x v="0"/>
    <x v="0"/>
    <n v="145.59603211238201"/>
    <n v="524.14571560457398"/>
  </r>
  <r>
    <x v="0"/>
    <x v="0"/>
    <x v="0"/>
    <x v="2"/>
    <x v="3"/>
    <s v="FIN_OTHER"/>
    <x v="0"/>
    <x v="1"/>
    <n v="122.988305127091"/>
    <n v="442.75789845752797"/>
  </r>
  <r>
    <x v="0"/>
    <x v="0"/>
    <x v="0"/>
    <x v="2"/>
    <x v="3"/>
    <s v="FIN_OTHER"/>
    <x v="0"/>
    <x v="2"/>
    <n v="165.939587284249"/>
    <n v="597.38251422329597"/>
  </r>
  <r>
    <x v="0"/>
    <x v="0"/>
    <x v="0"/>
    <x v="2"/>
    <x v="3"/>
    <s v="FIN_OTHER"/>
    <x v="0"/>
    <x v="3"/>
    <n v="165.939587284249"/>
    <n v="597.38251422329597"/>
  </r>
  <r>
    <x v="0"/>
    <x v="0"/>
    <x v="0"/>
    <x v="2"/>
    <x v="3"/>
    <s v="FIN_OTHER"/>
    <x v="0"/>
    <x v="4"/>
    <n v="165.939587284249"/>
    <n v="597.38251422329597"/>
  </r>
  <r>
    <x v="0"/>
    <x v="0"/>
    <x v="0"/>
    <x v="2"/>
    <x v="3"/>
    <s v="FIN_OTHER"/>
    <x v="0"/>
    <x v="5"/>
    <n v="165.939587284249"/>
    <n v="597.38251422329597"/>
  </r>
  <r>
    <x v="0"/>
    <x v="0"/>
    <x v="0"/>
    <x v="2"/>
    <x v="3"/>
    <s v="FIN_OTHER"/>
    <x v="0"/>
    <x v="6"/>
    <n v="165.939587284249"/>
    <n v="597.38251422329597"/>
  </r>
  <r>
    <x v="0"/>
    <x v="0"/>
    <x v="0"/>
    <x v="2"/>
    <x v="3"/>
    <s v="FIN_OTHER"/>
    <x v="0"/>
    <x v="7"/>
    <n v="12.6806061133206"/>
    <n v="45.650182007954299"/>
  </r>
  <r>
    <x v="0"/>
    <x v="0"/>
    <x v="0"/>
    <x v="2"/>
    <x v="3"/>
    <s v="FIN_OTHER"/>
    <x v="0"/>
    <x v="8"/>
    <n v="12.6806061133206"/>
    <n v="45.650182007954299"/>
  </r>
  <r>
    <x v="0"/>
    <x v="0"/>
    <x v="0"/>
    <x v="2"/>
    <x v="3"/>
    <s v="FIN_OTHER"/>
    <x v="0"/>
    <x v="9"/>
    <n v="12.6806061133206"/>
    <n v="45.650182007954299"/>
  </r>
  <r>
    <x v="0"/>
    <x v="0"/>
    <x v="0"/>
    <x v="2"/>
    <x v="3"/>
    <s v="FIN_OTHER"/>
    <x v="0"/>
    <x v="10"/>
    <n v="12.6806061133206"/>
    <n v="45.650182007954299"/>
  </r>
  <r>
    <x v="0"/>
    <x v="0"/>
    <x v="0"/>
    <x v="2"/>
    <x v="3"/>
    <s v="FIN_OTHER"/>
    <x v="0"/>
    <x v="11"/>
    <n v="12.6806061133206"/>
    <n v="45.650182007954299"/>
  </r>
  <r>
    <x v="0"/>
    <x v="0"/>
    <x v="0"/>
    <x v="2"/>
    <x v="3"/>
    <s v="FIN_OTHER"/>
    <x v="0"/>
    <x v="12"/>
    <n v="12.6806061133206"/>
    <n v="45.650182007954299"/>
  </r>
  <r>
    <x v="0"/>
    <x v="0"/>
    <x v="0"/>
    <x v="2"/>
    <x v="3"/>
    <s v="FIN_OTHER"/>
    <x v="0"/>
    <x v="13"/>
    <n v="12.6806061133206"/>
    <n v="45.650182007954299"/>
  </r>
  <r>
    <x v="0"/>
    <x v="0"/>
    <x v="0"/>
    <x v="2"/>
    <x v="3"/>
    <s v="FIN_OTHER"/>
    <x v="0"/>
    <x v="14"/>
    <n v="12.6806061133206"/>
    <n v="45.650182007954299"/>
  </r>
  <r>
    <x v="0"/>
    <x v="0"/>
    <x v="0"/>
    <x v="2"/>
    <x v="3"/>
    <s v="FIN_OTHER"/>
    <x v="0"/>
    <x v="15"/>
    <n v="12.6806061133206"/>
    <n v="45.650182007954299"/>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0"/>
    <n v="0"/>
  </r>
  <r>
    <x v="0"/>
    <x v="0"/>
    <x v="0"/>
    <x v="3"/>
    <x v="4"/>
    <s v="DE4-E_A"/>
    <x v="0"/>
    <x v="1"/>
    <n v="0"/>
    <n v="0"/>
  </r>
  <r>
    <x v="0"/>
    <x v="0"/>
    <x v="0"/>
    <x v="3"/>
    <x v="4"/>
    <s v="DE4-E_A"/>
    <x v="0"/>
    <x v="2"/>
    <n v="0"/>
    <n v="0"/>
  </r>
  <r>
    <x v="0"/>
    <x v="0"/>
    <x v="0"/>
    <x v="3"/>
    <x v="4"/>
    <s v="DE4-E_A"/>
    <x v="0"/>
    <x v="3"/>
    <n v="0"/>
    <n v="0"/>
  </r>
  <r>
    <x v="0"/>
    <x v="0"/>
    <x v="0"/>
    <x v="3"/>
    <x v="4"/>
    <s v="DE4-E_A"/>
    <x v="0"/>
    <x v="4"/>
    <n v="0"/>
    <n v="0"/>
  </r>
  <r>
    <x v="0"/>
    <x v="0"/>
    <x v="0"/>
    <x v="3"/>
    <x v="4"/>
    <s v="DE4-E_A"/>
    <x v="0"/>
    <x v="5"/>
    <n v="0"/>
    <n v="0"/>
  </r>
  <r>
    <x v="0"/>
    <x v="0"/>
    <x v="0"/>
    <x v="3"/>
    <x v="4"/>
    <s v="DE4-E_A"/>
    <x v="0"/>
    <x v="6"/>
    <n v="0"/>
    <n v="0"/>
  </r>
  <r>
    <x v="0"/>
    <x v="0"/>
    <x v="0"/>
    <x v="3"/>
    <x v="4"/>
    <s v="DE4-E_A"/>
    <x v="0"/>
    <x v="7"/>
    <n v="0"/>
    <n v="0"/>
  </r>
  <r>
    <x v="0"/>
    <x v="0"/>
    <x v="0"/>
    <x v="3"/>
    <x v="4"/>
    <s v="DE4-E_A"/>
    <x v="0"/>
    <x v="8"/>
    <n v="0"/>
    <n v="0"/>
  </r>
  <r>
    <x v="0"/>
    <x v="0"/>
    <x v="0"/>
    <x v="3"/>
    <x v="4"/>
    <s v="DE4-E_A"/>
    <x v="0"/>
    <x v="9"/>
    <n v="0"/>
    <n v="0"/>
  </r>
  <r>
    <x v="0"/>
    <x v="0"/>
    <x v="0"/>
    <x v="3"/>
    <x v="4"/>
    <s v="DE4-E_A"/>
    <x v="0"/>
    <x v="10"/>
    <n v="0"/>
    <n v="0"/>
  </r>
  <r>
    <x v="0"/>
    <x v="0"/>
    <x v="0"/>
    <x v="3"/>
    <x v="4"/>
    <s v="DE4-E_A"/>
    <x v="0"/>
    <x v="11"/>
    <n v="0"/>
    <n v="0"/>
  </r>
  <r>
    <x v="0"/>
    <x v="0"/>
    <x v="0"/>
    <x v="3"/>
    <x v="4"/>
    <s v="DE4-E_A"/>
    <x v="0"/>
    <x v="12"/>
    <n v="0"/>
    <n v="0"/>
  </r>
  <r>
    <x v="0"/>
    <x v="0"/>
    <x v="0"/>
    <x v="3"/>
    <x v="4"/>
    <s v="DE4-E_A"/>
    <x v="0"/>
    <x v="13"/>
    <n v="0"/>
    <n v="0"/>
  </r>
  <r>
    <x v="0"/>
    <x v="0"/>
    <x v="0"/>
    <x v="3"/>
    <x v="4"/>
    <s v="DE4-E_A"/>
    <x v="0"/>
    <x v="14"/>
    <n v="0"/>
    <n v="0"/>
  </r>
  <r>
    <x v="0"/>
    <x v="0"/>
    <x v="0"/>
    <x v="3"/>
    <x v="4"/>
    <s v="DE4-E_A"/>
    <x v="0"/>
    <x v="15"/>
    <n v="0"/>
    <n v="0"/>
  </r>
  <r>
    <x v="0"/>
    <x v="0"/>
    <x v="0"/>
    <x v="3"/>
    <x v="4"/>
    <s v="DE4-E_A"/>
    <x v="0"/>
    <x v="16"/>
    <n v="0"/>
    <n v="0"/>
  </r>
  <r>
    <x v="0"/>
    <x v="0"/>
    <x v="0"/>
    <x v="3"/>
    <x v="4"/>
    <s v="DE4-E_A"/>
    <x v="0"/>
    <x v="17"/>
    <n v="0"/>
    <n v="0"/>
  </r>
  <r>
    <x v="0"/>
    <x v="0"/>
    <x v="0"/>
    <x v="3"/>
    <x v="4"/>
    <s v="DE4-E_A"/>
    <x v="0"/>
    <x v="18"/>
    <n v="0"/>
    <n v="0"/>
  </r>
  <r>
    <x v="0"/>
    <x v="0"/>
    <x v="0"/>
    <x v="3"/>
    <x v="4"/>
    <s v="DE4-E_A"/>
    <x v="0"/>
    <x v="19"/>
    <n v="0"/>
    <n v="0"/>
  </r>
  <r>
    <x v="0"/>
    <x v="0"/>
    <x v="0"/>
    <x v="3"/>
    <x v="4"/>
    <s v="DE4-E_A"/>
    <x v="0"/>
    <x v="20"/>
    <n v="0"/>
    <n v="0"/>
  </r>
  <r>
    <x v="0"/>
    <x v="0"/>
    <x v="0"/>
    <x v="3"/>
    <x v="4"/>
    <s v="DE4-E_A"/>
    <x v="0"/>
    <x v="21"/>
    <n v="0"/>
    <n v="0"/>
  </r>
  <r>
    <x v="0"/>
    <x v="0"/>
    <x v="0"/>
    <x v="3"/>
    <x v="4"/>
    <s v="DE4-E_A"/>
    <x v="0"/>
    <x v="22"/>
    <n v="0"/>
    <n v="0"/>
  </r>
  <r>
    <x v="0"/>
    <x v="0"/>
    <x v="0"/>
    <x v="3"/>
    <x v="4"/>
    <s v="DE4-E_A"/>
    <x v="0"/>
    <x v="23"/>
    <n v="0"/>
    <n v="0"/>
  </r>
  <r>
    <x v="0"/>
    <x v="0"/>
    <x v="0"/>
    <x v="3"/>
    <x v="5"/>
    <s v="DE4-N_A"/>
    <x v="0"/>
    <x v="0"/>
    <n v="0"/>
    <n v="0"/>
  </r>
  <r>
    <x v="0"/>
    <x v="0"/>
    <x v="0"/>
    <x v="3"/>
    <x v="5"/>
    <s v="DE4-N_A"/>
    <x v="0"/>
    <x v="1"/>
    <n v="0"/>
    <n v="0"/>
  </r>
  <r>
    <x v="0"/>
    <x v="0"/>
    <x v="0"/>
    <x v="3"/>
    <x v="5"/>
    <s v="DE4-N_A"/>
    <x v="0"/>
    <x v="2"/>
    <n v="0"/>
    <n v="0"/>
  </r>
  <r>
    <x v="0"/>
    <x v="0"/>
    <x v="0"/>
    <x v="3"/>
    <x v="5"/>
    <s v="DE4-N_A"/>
    <x v="0"/>
    <x v="3"/>
    <n v="0"/>
    <n v="0"/>
  </r>
  <r>
    <x v="0"/>
    <x v="0"/>
    <x v="0"/>
    <x v="3"/>
    <x v="5"/>
    <s v="DE4-N_A"/>
    <x v="0"/>
    <x v="4"/>
    <n v="0"/>
    <n v="0"/>
  </r>
  <r>
    <x v="0"/>
    <x v="0"/>
    <x v="0"/>
    <x v="3"/>
    <x v="5"/>
    <s v="DE4-N_A"/>
    <x v="0"/>
    <x v="5"/>
    <n v="0"/>
    <n v="0"/>
  </r>
  <r>
    <x v="0"/>
    <x v="0"/>
    <x v="0"/>
    <x v="3"/>
    <x v="5"/>
    <s v="DE4-N_A"/>
    <x v="0"/>
    <x v="6"/>
    <n v="0"/>
    <n v="0"/>
  </r>
  <r>
    <x v="0"/>
    <x v="0"/>
    <x v="0"/>
    <x v="3"/>
    <x v="5"/>
    <s v="DE4-N_A"/>
    <x v="0"/>
    <x v="7"/>
    <n v="0"/>
    <n v="0"/>
  </r>
  <r>
    <x v="0"/>
    <x v="0"/>
    <x v="0"/>
    <x v="3"/>
    <x v="5"/>
    <s v="DE4-N_A"/>
    <x v="0"/>
    <x v="8"/>
    <n v="0"/>
    <n v="0"/>
  </r>
  <r>
    <x v="0"/>
    <x v="0"/>
    <x v="0"/>
    <x v="3"/>
    <x v="5"/>
    <s v="DE4-N_A"/>
    <x v="0"/>
    <x v="9"/>
    <n v="0"/>
    <n v="0"/>
  </r>
  <r>
    <x v="0"/>
    <x v="0"/>
    <x v="0"/>
    <x v="3"/>
    <x v="5"/>
    <s v="DE4-N_A"/>
    <x v="0"/>
    <x v="10"/>
    <n v="0"/>
    <n v="0"/>
  </r>
  <r>
    <x v="0"/>
    <x v="0"/>
    <x v="0"/>
    <x v="3"/>
    <x v="5"/>
    <s v="DE4-N_A"/>
    <x v="0"/>
    <x v="11"/>
    <n v="0"/>
    <n v="0"/>
  </r>
  <r>
    <x v="0"/>
    <x v="0"/>
    <x v="0"/>
    <x v="3"/>
    <x v="5"/>
    <s v="DE4-N_A"/>
    <x v="0"/>
    <x v="12"/>
    <n v="0"/>
    <n v="0"/>
  </r>
  <r>
    <x v="0"/>
    <x v="0"/>
    <x v="0"/>
    <x v="3"/>
    <x v="5"/>
    <s v="DE4-N_A"/>
    <x v="0"/>
    <x v="13"/>
    <n v="0"/>
    <n v="0"/>
  </r>
  <r>
    <x v="0"/>
    <x v="0"/>
    <x v="0"/>
    <x v="3"/>
    <x v="5"/>
    <s v="DE4-N_A"/>
    <x v="0"/>
    <x v="14"/>
    <n v="0"/>
    <n v="0"/>
  </r>
  <r>
    <x v="0"/>
    <x v="0"/>
    <x v="0"/>
    <x v="3"/>
    <x v="5"/>
    <s v="DE4-N_A"/>
    <x v="0"/>
    <x v="15"/>
    <n v="0"/>
    <n v="0"/>
  </r>
  <r>
    <x v="0"/>
    <x v="0"/>
    <x v="0"/>
    <x v="3"/>
    <x v="5"/>
    <s v="DE4-N_A"/>
    <x v="0"/>
    <x v="16"/>
    <n v="0"/>
    <n v="0"/>
  </r>
  <r>
    <x v="0"/>
    <x v="0"/>
    <x v="0"/>
    <x v="3"/>
    <x v="5"/>
    <s v="DE4-N_A"/>
    <x v="0"/>
    <x v="17"/>
    <n v="0"/>
    <n v="0"/>
  </r>
  <r>
    <x v="0"/>
    <x v="0"/>
    <x v="0"/>
    <x v="3"/>
    <x v="5"/>
    <s v="DE4-N_A"/>
    <x v="0"/>
    <x v="18"/>
    <n v="0"/>
    <n v="0"/>
  </r>
  <r>
    <x v="0"/>
    <x v="0"/>
    <x v="0"/>
    <x v="3"/>
    <x v="5"/>
    <s v="DE4-N_A"/>
    <x v="0"/>
    <x v="19"/>
    <n v="0"/>
    <n v="0"/>
  </r>
  <r>
    <x v="0"/>
    <x v="0"/>
    <x v="0"/>
    <x v="3"/>
    <x v="5"/>
    <s v="DE4-N_A"/>
    <x v="0"/>
    <x v="20"/>
    <n v="0"/>
    <n v="0"/>
  </r>
  <r>
    <x v="0"/>
    <x v="0"/>
    <x v="0"/>
    <x v="3"/>
    <x v="5"/>
    <s v="DE4-N_A"/>
    <x v="0"/>
    <x v="21"/>
    <n v="0"/>
    <n v="0"/>
  </r>
  <r>
    <x v="0"/>
    <x v="0"/>
    <x v="0"/>
    <x v="3"/>
    <x v="5"/>
    <s v="DE4-N_A"/>
    <x v="0"/>
    <x v="22"/>
    <n v="0"/>
    <n v="0"/>
  </r>
  <r>
    <x v="0"/>
    <x v="0"/>
    <x v="0"/>
    <x v="3"/>
    <x v="5"/>
    <s v="DE4-N_A"/>
    <x v="0"/>
    <x v="23"/>
    <n v="0"/>
    <n v="0"/>
  </r>
  <r>
    <x v="0"/>
    <x v="0"/>
    <x v="0"/>
    <x v="3"/>
    <x v="6"/>
    <s v="DE4-S_A"/>
    <x v="0"/>
    <x v="0"/>
    <n v="0"/>
    <n v="0"/>
  </r>
  <r>
    <x v="0"/>
    <x v="0"/>
    <x v="0"/>
    <x v="3"/>
    <x v="6"/>
    <s v="DE4-S_A"/>
    <x v="0"/>
    <x v="1"/>
    <n v="0"/>
    <n v="0"/>
  </r>
  <r>
    <x v="0"/>
    <x v="0"/>
    <x v="0"/>
    <x v="3"/>
    <x v="6"/>
    <s v="DE4-S_A"/>
    <x v="0"/>
    <x v="2"/>
    <n v="0"/>
    <n v="0"/>
  </r>
  <r>
    <x v="0"/>
    <x v="0"/>
    <x v="0"/>
    <x v="3"/>
    <x v="6"/>
    <s v="DE4-S_A"/>
    <x v="0"/>
    <x v="3"/>
    <n v="0"/>
    <n v="0"/>
  </r>
  <r>
    <x v="0"/>
    <x v="0"/>
    <x v="0"/>
    <x v="3"/>
    <x v="6"/>
    <s v="DE4-S_A"/>
    <x v="0"/>
    <x v="4"/>
    <n v="0"/>
    <n v="0"/>
  </r>
  <r>
    <x v="0"/>
    <x v="0"/>
    <x v="0"/>
    <x v="3"/>
    <x v="6"/>
    <s v="DE4-S_A"/>
    <x v="0"/>
    <x v="5"/>
    <n v="0"/>
    <n v="0"/>
  </r>
  <r>
    <x v="0"/>
    <x v="0"/>
    <x v="0"/>
    <x v="3"/>
    <x v="6"/>
    <s v="DE4-S_A"/>
    <x v="0"/>
    <x v="6"/>
    <n v="0"/>
    <n v="0"/>
  </r>
  <r>
    <x v="0"/>
    <x v="0"/>
    <x v="0"/>
    <x v="3"/>
    <x v="6"/>
    <s v="DE4-S_A"/>
    <x v="0"/>
    <x v="7"/>
    <n v="0"/>
    <n v="0"/>
  </r>
  <r>
    <x v="0"/>
    <x v="0"/>
    <x v="0"/>
    <x v="3"/>
    <x v="6"/>
    <s v="DE4-S_A"/>
    <x v="0"/>
    <x v="8"/>
    <n v="0"/>
    <n v="0"/>
  </r>
  <r>
    <x v="0"/>
    <x v="0"/>
    <x v="0"/>
    <x v="3"/>
    <x v="6"/>
    <s v="DE4-S_A"/>
    <x v="0"/>
    <x v="9"/>
    <n v="0"/>
    <n v="0"/>
  </r>
  <r>
    <x v="0"/>
    <x v="0"/>
    <x v="0"/>
    <x v="3"/>
    <x v="6"/>
    <s v="DE4-S_A"/>
    <x v="0"/>
    <x v="10"/>
    <n v="0"/>
    <n v="0"/>
  </r>
  <r>
    <x v="0"/>
    <x v="0"/>
    <x v="0"/>
    <x v="3"/>
    <x v="6"/>
    <s v="DE4-S_A"/>
    <x v="0"/>
    <x v="11"/>
    <n v="0"/>
    <n v="0"/>
  </r>
  <r>
    <x v="0"/>
    <x v="0"/>
    <x v="0"/>
    <x v="3"/>
    <x v="6"/>
    <s v="DE4-S_A"/>
    <x v="0"/>
    <x v="12"/>
    <n v="0"/>
    <n v="0"/>
  </r>
  <r>
    <x v="0"/>
    <x v="0"/>
    <x v="0"/>
    <x v="3"/>
    <x v="6"/>
    <s v="DE4-S_A"/>
    <x v="0"/>
    <x v="13"/>
    <n v="0"/>
    <n v="0"/>
  </r>
  <r>
    <x v="0"/>
    <x v="0"/>
    <x v="0"/>
    <x v="3"/>
    <x v="6"/>
    <s v="DE4-S_A"/>
    <x v="0"/>
    <x v="14"/>
    <n v="0"/>
    <n v="0"/>
  </r>
  <r>
    <x v="0"/>
    <x v="0"/>
    <x v="0"/>
    <x v="3"/>
    <x v="6"/>
    <s v="DE4-S_A"/>
    <x v="0"/>
    <x v="15"/>
    <n v="0"/>
    <n v="0"/>
  </r>
  <r>
    <x v="0"/>
    <x v="0"/>
    <x v="0"/>
    <x v="3"/>
    <x v="6"/>
    <s v="DE4-S_A"/>
    <x v="0"/>
    <x v="16"/>
    <n v="0"/>
    <n v="0"/>
  </r>
  <r>
    <x v="0"/>
    <x v="0"/>
    <x v="0"/>
    <x v="3"/>
    <x v="6"/>
    <s v="DE4-S_A"/>
    <x v="0"/>
    <x v="17"/>
    <n v="0"/>
    <n v="0"/>
  </r>
  <r>
    <x v="0"/>
    <x v="0"/>
    <x v="0"/>
    <x v="3"/>
    <x v="6"/>
    <s v="DE4-S_A"/>
    <x v="0"/>
    <x v="18"/>
    <n v="0"/>
    <n v="0"/>
  </r>
  <r>
    <x v="0"/>
    <x v="0"/>
    <x v="0"/>
    <x v="3"/>
    <x v="6"/>
    <s v="DE4-S_A"/>
    <x v="0"/>
    <x v="19"/>
    <n v="0"/>
    <n v="0"/>
  </r>
  <r>
    <x v="0"/>
    <x v="0"/>
    <x v="0"/>
    <x v="3"/>
    <x v="6"/>
    <s v="DE4-S_A"/>
    <x v="0"/>
    <x v="20"/>
    <n v="0"/>
    <n v="0"/>
  </r>
  <r>
    <x v="0"/>
    <x v="0"/>
    <x v="0"/>
    <x v="3"/>
    <x v="6"/>
    <s v="DE4-S_A"/>
    <x v="0"/>
    <x v="21"/>
    <n v="0"/>
    <n v="0"/>
  </r>
  <r>
    <x v="0"/>
    <x v="0"/>
    <x v="0"/>
    <x v="3"/>
    <x v="6"/>
    <s v="DE4-S_A"/>
    <x v="0"/>
    <x v="22"/>
    <n v="0"/>
    <n v="0"/>
  </r>
  <r>
    <x v="0"/>
    <x v="0"/>
    <x v="0"/>
    <x v="3"/>
    <x v="6"/>
    <s v="DE4-S_A"/>
    <x v="0"/>
    <x v="23"/>
    <n v="0"/>
    <n v="0"/>
  </r>
  <r>
    <x v="0"/>
    <x v="0"/>
    <x v="0"/>
    <x v="3"/>
    <x v="7"/>
    <s v="DE4-W_A"/>
    <x v="0"/>
    <x v="0"/>
    <n v="0"/>
    <n v="0"/>
  </r>
  <r>
    <x v="0"/>
    <x v="0"/>
    <x v="0"/>
    <x v="3"/>
    <x v="7"/>
    <s v="DE4-W_A"/>
    <x v="0"/>
    <x v="1"/>
    <n v="0"/>
    <n v="0"/>
  </r>
  <r>
    <x v="0"/>
    <x v="0"/>
    <x v="0"/>
    <x v="3"/>
    <x v="7"/>
    <s v="DE4-W_A"/>
    <x v="0"/>
    <x v="2"/>
    <n v="0"/>
    <n v="0"/>
  </r>
  <r>
    <x v="0"/>
    <x v="0"/>
    <x v="0"/>
    <x v="3"/>
    <x v="7"/>
    <s v="DE4-W_A"/>
    <x v="0"/>
    <x v="3"/>
    <n v="0"/>
    <n v="0"/>
  </r>
  <r>
    <x v="0"/>
    <x v="0"/>
    <x v="0"/>
    <x v="3"/>
    <x v="7"/>
    <s v="DE4-W_A"/>
    <x v="0"/>
    <x v="4"/>
    <n v="0"/>
    <n v="0"/>
  </r>
  <r>
    <x v="0"/>
    <x v="0"/>
    <x v="0"/>
    <x v="3"/>
    <x v="7"/>
    <s v="DE4-W_A"/>
    <x v="0"/>
    <x v="5"/>
    <n v="0"/>
    <n v="0"/>
  </r>
  <r>
    <x v="0"/>
    <x v="0"/>
    <x v="0"/>
    <x v="3"/>
    <x v="7"/>
    <s v="DE4-W_A"/>
    <x v="0"/>
    <x v="6"/>
    <n v="0"/>
    <n v="0"/>
  </r>
  <r>
    <x v="0"/>
    <x v="0"/>
    <x v="0"/>
    <x v="3"/>
    <x v="7"/>
    <s v="DE4-W_A"/>
    <x v="0"/>
    <x v="7"/>
    <n v="0"/>
    <n v="0"/>
  </r>
  <r>
    <x v="0"/>
    <x v="0"/>
    <x v="0"/>
    <x v="3"/>
    <x v="7"/>
    <s v="DE4-W_A"/>
    <x v="0"/>
    <x v="8"/>
    <n v="0"/>
    <n v="0"/>
  </r>
  <r>
    <x v="0"/>
    <x v="0"/>
    <x v="0"/>
    <x v="3"/>
    <x v="7"/>
    <s v="DE4-W_A"/>
    <x v="0"/>
    <x v="9"/>
    <n v="0"/>
    <n v="0"/>
  </r>
  <r>
    <x v="0"/>
    <x v="0"/>
    <x v="0"/>
    <x v="3"/>
    <x v="7"/>
    <s v="DE4-W_A"/>
    <x v="0"/>
    <x v="10"/>
    <n v="0"/>
    <n v="0"/>
  </r>
  <r>
    <x v="0"/>
    <x v="0"/>
    <x v="0"/>
    <x v="3"/>
    <x v="7"/>
    <s v="DE4-W_A"/>
    <x v="0"/>
    <x v="11"/>
    <n v="0"/>
    <n v="0"/>
  </r>
  <r>
    <x v="0"/>
    <x v="0"/>
    <x v="0"/>
    <x v="3"/>
    <x v="7"/>
    <s v="DE4-W_A"/>
    <x v="0"/>
    <x v="12"/>
    <n v="0"/>
    <n v="0"/>
  </r>
  <r>
    <x v="0"/>
    <x v="0"/>
    <x v="0"/>
    <x v="3"/>
    <x v="7"/>
    <s v="DE4-W_A"/>
    <x v="0"/>
    <x v="13"/>
    <n v="0"/>
    <n v="0"/>
  </r>
  <r>
    <x v="0"/>
    <x v="0"/>
    <x v="0"/>
    <x v="3"/>
    <x v="7"/>
    <s v="DE4-W_A"/>
    <x v="0"/>
    <x v="14"/>
    <n v="0"/>
    <n v="0"/>
  </r>
  <r>
    <x v="0"/>
    <x v="0"/>
    <x v="0"/>
    <x v="3"/>
    <x v="7"/>
    <s v="DE4-W_A"/>
    <x v="0"/>
    <x v="15"/>
    <n v="0"/>
    <n v="0"/>
  </r>
  <r>
    <x v="0"/>
    <x v="0"/>
    <x v="0"/>
    <x v="3"/>
    <x v="7"/>
    <s v="DE4-W_A"/>
    <x v="0"/>
    <x v="16"/>
    <n v="0"/>
    <n v="0"/>
  </r>
  <r>
    <x v="0"/>
    <x v="0"/>
    <x v="0"/>
    <x v="3"/>
    <x v="7"/>
    <s v="DE4-W_A"/>
    <x v="0"/>
    <x v="17"/>
    <n v="0"/>
    <n v="0"/>
  </r>
  <r>
    <x v="0"/>
    <x v="0"/>
    <x v="0"/>
    <x v="3"/>
    <x v="7"/>
    <s v="DE4-W_A"/>
    <x v="0"/>
    <x v="18"/>
    <n v="0"/>
    <n v="0"/>
  </r>
  <r>
    <x v="0"/>
    <x v="0"/>
    <x v="0"/>
    <x v="3"/>
    <x v="7"/>
    <s v="DE4-W_A"/>
    <x v="0"/>
    <x v="19"/>
    <n v="0"/>
    <n v="0"/>
  </r>
  <r>
    <x v="0"/>
    <x v="0"/>
    <x v="0"/>
    <x v="3"/>
    <x v="7"/>
    <s v="DE4-W_A"/>
    <x v="0"/>
    <x v="20"/>
    <n v="0"/>
    <n v="0"/>
  </r>
  <r>
    <x v="0"/>
    <x v="0"/>
    <x v="0"/>
    <x v="3"/>
    <x v="7"/>
    <s v="DE4-W_A"/>
    <x v="0"/>
    <x v="21"/>
    <n v="0"/>
    <n v="0"/>
  </r>
  <r>
    <x v="0"/>
    <x v="0"/>
    <x v="0"/>
    <x v="3"/>
    <x v="7"/>
    <s v="DE4-W_A"/>
    <x v="0"/>
    <x v="22"/>
    <n v="0"/>
    <n v="0"/>
  </r>
  <r>
    <x v="0"/>
    <x v="0"/>
    <x v="0"/>
    <x v="3"/>
    <x v="7"/>
    <s v="DE4-W_A"/>
    <x v="0"/>
    <x v="23"/>
    <n v="0"/>
    <n v="0"/>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0"/>
    <n v="0"/>
  </r>
  <r>
    <x v="0"/>
    <x v="0"/>
    <x v="0"/>
    <x v="6"/>
    <x v="10"/>
    <s v="NO1_A1"/>
    <x v="0"/>
    <x v="1"/>
    <n v="0"/>
    <n v="0"/>
  </r>
  <r>
    <x v="0"/>
    <x v="0"/>
    <x v="0"/>
    <x v="6"/>
    <x v="10"/>
    <s v="NO1_A1"/>
    <x v="0"/>
    <x v="2"/>
    <n v="269.00657856265002"/>
    <n v="968.42368282553798"/>
  </r>
  <r>
    <x v="0"/>
    <x v="0"/>
    <x v="0"/>
    <x v="6"/>
    <x v="10"/>
    <s v="NO1_A1"/>
    <x v="0"/>
    <x v="3"/>
    <n v="269.00657856265002"/>
    <n v="968.42368282553798"/>
  </r>
  <r>
    <x v="0"/>
    <x v="0"/>
    <x v="0"/>
    <x v="6"/>
    <x v="10"/>
    <s v="NO1_A1"/>
    <x v="0"/>
    <x v="4"/>
    <n v="269.00657856265002"/>
    <n v="968.42368282553798"/>
  </r>
  <r>
    <x v="0"/>
    <x v="0"/>
    <x v="0"/>
    <x v="6"/>
    <x v="10"/>
    <s v="NO1_A1"/>
    <x v="0"/>
    <x v="5"/>
    <n v="306.59379912893797"/>
    <n v="1103.73767686418"/>
  </r>
  <r>
    <x v="0"/>
    <x v="0"/>
    <x v="0"/>
    <x v="6"/>
    <x v="10"/>
    <s v="NO1_A1"/>
    <x v="0"/>
    <x v="6"/>
    <n v="306.59379912893797"/>
    <n v="1103.73767686418"/>
  </r>
  <r>
    <x v="0"/>
    <x v="0"/>
    <x v="0"/>
    <x v="6"/>
    <x v="10"/>
    <s v="NO1_A1"/>
    <x v="0"/>
    <x v="7"/>
    <n v="306.59379912893797"/>
    <n v="1103.73767686418"/>
  </r>
  <r>
    <x v="0"/>
    <x v="0"/>
    <x v="0"/>
    <x v="6"/>
    <x v="10"/>
    <s v="NO1_A1"/>
    <x v="0"/>
    <x v="8"/>
    <n v="192.23869982619399"/>
    <n v="692.05931937429796"/>
  </r>
  <r>
    <x v="0"/>
    <x v="0"/>
    <x v="0"/>
    <x v="6"/>
    <x v="10"/>
    <s v="NO1_A1"/>
    <x v="0"/>
    <x v="9"/>
    <n v="81.469829285439801"/>
    <n v="293.29138542758301"/>
  </r>
  <r>
    <x v="0"/>
    <x v="0"/>
    <x v="0"/>
    <x v="6"/>
    <x v="10"/>
    <s v="NO1_A1"/>
    <x v="0"/>
    <x v="10"/>
    <n v="8.1469336636517706"/>
    <n v="29.328961189146401"/>
  </r>
  <r>
    <x v="0"/>
    <x v="0"/>
    <x v="0"/>
    <x v="6"/>
    <x v="10"/>
    <s v="NO1_A1"/>
    <x v="0"/>
    <x v="11"/>
    <n v="0"/>
    <n v="0"/>
  </r>
  <r>
    <x v="0"/>
    <x v="0"/>
    <x v="0"/>
    <x v="6"/>
    <x v="10"/>
    <s v="NO1_A1"/>
    <x v="0"/>
    <x v="12"/>
    <n v="0"/>
    <n v="0"/>
  </r>
  <r>
    <x v="0"/>
    <x v="0"/>
    <x v="0"/>
    <x v="6"/>
    <x v="10"/>
    <s v="NO1_A1"/>
    <x v="0"/>
    <x v="13"/>
    <n v="0"/>
    <n v="0"/>
  </r>
  <r>
    <x v="0"/>
    <x v="0"/>
    <x v="0"/>
    <x v="6"/>
    <x v="10"/>
    <s v="NO1_A1"/>
    <x v="0"/>
    <x v="14"/>
    <n v="0"/>
    <n v="0"/>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0"/>
    <n v="0"/>
  </r>
  <r>
    <x v="0"/>
    <x v="0"/>
    <x v="0"/>
    <x v="6"/>
    <x v="10"/>
    <s v="NO1_A1"/>
    <x v="0"/>
    <x v="22"/>
    <n v="0"/>
    <n v="0"/>
  </r>
  <r>
    <x v="0"/>
    <x v="0"/>
    <x v="0"/>
    <x v="6"/>
    <x v="10"/>
    <s v="NO1_A1"/>
    <x v="0"/>
    <x v="23"/>
    <n v="0"/>
    <n v="0"/>
  </r>
  <r>
    <x v="0"/>
    <x v="0"/>
    <x v="0"/>
    <x v="6"/>
    <x v="10"/>
    <s v="NO1_A2"/>
    <x v="0"/>
    <x v="0"/>
    <n v="0"/>
    <n v="0"/>
  </r>
  <r>
    <x v="0"/>
    <x v="0"/>
    <x v="0"/>
    <x v="6"/>
    <x v="10"/>
    <s v="NO1_A2"/>
    <x v="0"/>
    <x v="1"/>
    <n v="0"/>
    <n v="0"/>
  </r>
  <r>
    <x v="0"/>
    <x v="0"/>
    <x v="0"/>
    <x v="6"/>
    <x v="10"/>
    <s v="NO1_A2"/>
    <x v="0"/>
    <x v="2"/>
    <n v="0"/>
    <n v="0"/>
  </r>
  <r>
    <x v="0"/>
    <x v="0"/>
    <x v="0"/>
    <x v="6"/>
    <x v="10"/>
    <s v="NO1_A2"/>
    <x v="0"/>
    <x v="3"/>
    <n v="0"/>
    <n v="0"/>
  </r>
  <r>
    <x v="0"/>
    <x v="0"/>
    <x v="0"/>
    <x v="6"/>
    <x v="10"/>
    <s v="NO1_A2"/>
    <x v="0"/>
    <x v="4"/>
    <n v="0"/>
    <n v="0"/>
  </r>
  <r>
    <x v="0"/>
    <x v="0"/>
    <x v="0"/>
    <x v="6"/>
    <x v="10"/>
    <s v="NO1_A2"/>
    <x v="0"/>
    <x v="5"/>
    <n v="0"/>
    <n v="0"/>
  </r>
  <r>
    <x v="0"/>
    <x v="0"/>
    <x v="0"/>
    <x v="6"/>
    <x v="10"/>
    <s v="NO1_A2"/>
    <x v="0"/>
    <x v="6"/>
    <n v="0"/>
    <n v="0"/>
  </r>
  <r>
    <x v="0"/>
    <x v="0"/>
    <x v="0"/>
    <x v="6"/>
    <x v="10"/>
    <s v="NO1_A2"/>
    <x v="0"/>
    <x v="7"/>
    <n v="0"/>
    <n v="0"/>
  </r>
  <r>
    <x v="0"/>
    <x v="0"/>
    <x v="0"/>
    <x v="6"/>
    <x v="10"/>
    <s v="NO1_A2"/>
    <x v="0"/>
    <x v="8"/>
    <n v="0"/>
    <n v="0"/>
  </r>
  <r>
    <x v="0"/>
    <x v="0"/>
    <x v="0"/>
    <x v="6"/>
    <x v="10"/>
    <s v="NO1_A2"/>
    <x v="0"/>
    <x v="9"/>
    <n v="0"/>
    <n v="0"/>
  </r>
  <r>
    <x v="0"/>
    <x v="0"/>
    <x v="0"/>
    <x v="6"/>
    <x v="10"/>
    <s v="NO1_A2"/>
    <x v="0"/>
    <x v="10"/>
    <n v="0"/>
    <n v="0"/>
  </r>
  <r>
    <x v="0"/>
    <x v="0"/>
    <x v="0"/>
    <x v="6"/>
    <x v="10"/>
    <s v="NO1_A2"/>
    <x v="0"/>
    <x v="11"/>
    <n v="0"/>
    <n v="0"/>
  </r>
  <r>
    <x v="0"/>
    <x v="0"/>
    <x v="0"/>
    <x v="6"/>
    <x v="10"/>
    <s v="NO1_A2"/>
    <x v="0"/>
    <x v="12"/>
    <n v="0"/>
    <n v="0"/>
  </r>
  <r>
    <x v="0"/>
    <x v="0"/>
    <x v="0"/>
    <x v="6"/>
    <x v="10"/>
    <s v="NO1_A2"/>
    <x v="0"/>
    <x v="13"/>
    <n v="0"/>
    <n v="0"/>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0"/>
    <n v="0"/>
  </r>
  <r>
    <x v="0"/>
    <x v="0"/>
    <x v="0"/>
    <x v="6"/>
    <x v="10"/>
    <s v="NO1_A2"/>
    <x v="0"/>
    <x v="19"/>
    <n v="0"/>
    <n v="0"/>
  </r>
  <r>
    <x v="0"/>
    <x v="0"/>
    <x v="0"/>
    <x v="6"/>
    <x v="10"/>
    <s v="NO1_A2"/>
    <x v="0"/>
    <x v="20"/>
    <n v="0"/>
    <n v="0"/>
  </r>
  <r>
    <x v="0"/>
    <x v="0"/>
    <x v="0"/>
    <x v="6"/>
    <x v="10"/>
    <s v="NO1_A2"/>
    <x v="0"/>
    <x v="21"/>
    <n v="0"/>
    <n v="0"/>
  </r>
  <r>
    <x v="0"/>
    <x v="0"/>
    <x v="0"/>
    <x v="6"/>
    <x v="10"/>
    <s v="NO1_A2"/>
    <x v="0"/>
    <x v="22"/>
    <n v="0"/>
    <n v="0"/>
  </r>
  <r>
    <x v="0"/>
    <x v="0"/>
    <x v="0"/>
    <x v="6"/>
    <x v="10"/>
    <s v="NO1_A2"/>
    <x v="0"/>
    <x v="23"/>
    <n v="0"/>
    <n v="0"/>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1486858047452602"/>
    <n v="7.7352688970829497"/>
  </r>
  <r>
    <x v="0"/>
    <x v="0"/>
    <x v="0"/>
    <x v="6"/>
    <x v="11"/>
    <s v="NO2_A1"/>
    <x v="0"/>
    <x v="15"/>
    <n v="2.1486858047452602"/>
    <n v="7.7352688970829497"/>
  </r>
  <r>
    <x v="0"/>
    <x v="0"/>
    <x v="0"/>
    <x v="6"/>
    <x v="11"/>
    <s v="NO2_A1"/>
    <x v="0"/>
    <x v="16"/>
    <n v="2.1486858047452602"/>
    <n v="7.7352688970829497"/>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33.899748718374397"/>
    <n v="122.03909538614801"/>
  </r>
  <r>
    <x v="0"/>
    <x v="0"/>
    <x v="0"/>
    <x v="6"/>
    <x v="12"/>
    <s v="NO3_A1"/>
    <x v="0"/>
    <x v="1"/>
    <n v="33.899748718374397"/>
    <n v="122.03909538614801"/>
  </r>
  <r>
    <x v="0"/>
    <x v="0"/>
    <x v="0"/>
    <x v="6"/>
    <x v="12"/>
    <s v="NO3_A1"/>
    <x v="0"/>
    <x v="2"/>
    <n v="73.442573242469095"/>
    <n v="264.39326367288902"/>
  </r>
  <r>
    <x v="0"/>
    <x v="0"/>
    <x v="0"/>
    <x v="6"/>
    <x v="12"/>
    <s v="NO3_A1"/>
    <x v="0"/>
    <x v="3"/>
    <n v="112.062343784356"/>
    <n v="403.42443762368202"/>
  </r>
  <r>
    <x v="0"/>
    <x v="0"/>
    <x v="0"/>
    <x v="6"/>
    <x v="12"/>
    <s v="NO3_A1"/>
    <x v="0"/>
    <x v="4"/>
    <n v="147.80677443047699"/>
    <n v="532.10438794971697"/>
  </r>
  <r>
    <x v="0"/>
    <x v="0"/>
    <x v="0"/>
    <x v="6"/>
    <x v="12"/>
    <s v="NO3_A1"/>
    <x v="0"/>
    <x v="5"/>
    <n v="176.98093529432001"/>
    <n v="637.13136705955003"/>
  </r>
  <r>
    <x v="0"/>
    <x v="0"/>
    <x v="0"/>
    <x v="6"/>
    <x v="12"/>
    <s v="NO3_A1"/>
    <x v="0"/>
    <x v="6"/>
    <n v="192.494946912621"/>
    <n v="692.98180888543504"/>
  </r>
  <r>
    <x v="0"/>
    <x v="0"/>
    <x v="0"/>
    <x v="6"/>
    <x v="12"/>
    <s v="NO3_A1"/>
    <x v="0"/>
    <x v="7"/>
    <n v="173.64963615300999"/>
    <n v="625.13869015083799"/>
  </r>
  <r>
    <x v="0"/>
    <x v="0"/>
    <x v="0"/>
    <x v="6"/>
    <x v="12"/>
    <s v="NO3_A1"/>
    <x v="0"/>
    <x v="8"/>
    <n v="125.95557964752"/>
    <n v="453.44008673107197"/>
  </r>
  <r>
    <x v="0"/>
    <x v="0"/>
    <x v="0"/>
    <x v="6"/>
    <x v="12"/>
    <s v="NO3_A1"/>
    <x v="0"/>
    <x v="9"/>
    <n v="76.887200756256107"/>
    <n v="276.79392272252198"/>
  </r>
  <r>
    <x v="0"/>
    <x v="0"/>
    <x v="0"/>
    <x v="6"/>
    <x v="12"/>
    <s v="NO3_A1"/>
    <x v="0"/>
    <x v="10"/>
    <n v="37.428796095284198"/>
    <n v="134.74366594302299"/>
  </r>
  <r>
    <x v="0"/>
    <x v="0"/>
    <x v="0"/>
    <x v="6"/>
    <x v="12"/>
    <s v="NO3_A1"/>
    <x v="0"/>
    <x v="11"/>
    <n v="10.9348971932538"/>
    <n v="39.365629895713703"/>
  </r>
  <r>
    <x v="0"/>
    <x v="0"/>
    <x v="0"/>
    <x v="6"/>
    <x v="12"/>
    <s v="NO3_A1"/>
    <x v="0"/>
    <x v="12"/>
    <n v="0.26546185056621102"/>
    <n v="0.95566266203835804"/>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15.3189619365863"/>
    <n v="55.148262971710501"/>
  </r>
  <r>
    <x v="0"/>
    <x v="0"/>
    <x v="0"/>
    <x v="6"/>
    <x v="12"/>
    <s v="NO3_A1"/>
    <x v="0"/>
    <x v="23"/>
    <n v="22.509906232369602"/>
    <n v="81.0356624365307"/>
  </r>
  <r>
    <x v="0"/>
    <x v="0"/>
    <x v="0"/>
    <x v="6"/>
    <x v="12"/>
    <s v="NO3_A2"/>
    <x v="0"/>
    <x v="0"/>
    <n v="818.03322791859796"/>
    <n v="2944.9196205069502"/>
  </r>
  <r>
    <x v="0"/>
    <x v="0"/>
    <x v="0"/>
    <x v="6"/>
    <x v="12"/>
    <s v="NO3_A2"/>
    <x v="0"/>
    <x v="1"/>
    <n v="847.25619426010303"/>
    <n v="3050.1222993363699"/>
  </r>
  <r>
    <x v="0"/>
    <x v="0"/>
    <x v="0"/>
    <x v="6"/>
    <x v="12"/>
    <s v="NO3_A2"/>
    <x v="0"/>
    <x v="2"/>
    <n v="877.05411596983902"/>
    <n v="3157.3948174914199"/>
  </r>
  <r>
    <x v="0"/>
    <x v="0"/>
    <x v="0"/>
    <x v="6"/>
    <x v="12"/>
    <s v="NO3_A2"/>
    <x v="0"/>
    <x v="3"/>
    <n v="902.76486416563796"/>
    <n v="3249.9535109962999"/>
  </r>
  <r>
    <x v="0"/>
    <x v="0"/>
    <x v="0"/>
    <x v="6"/>
    <x v="12"/>
    <s v="NO3_A2"/>
    <x v="0"/>
    <x v="4"/>
    <n v="928.63013806767901"/>
    <n v="3343.06849704365"/>
  </r>
  <r>
    <x v="0"/>
    <x v="0"/>
    <x v="0"/>
    <x v="6"/>
    <x v="12"/>
    <s v="NO3_A2"/>
    <x v="0"/>
    <x v="5"/>
    <n v="932.37355011484306"/>
    <n v="3356.5447804134301"/>
  </r>
  <r>
    <x v="0"/>
    <x v="0"/>
    <x v="0"/>
    <x v="6"/>
    <x v="12"/>
    <s v="NO3_A2"/>
    <x v="0"/>
    <x v="6"/>
    <n v="932.37355011484306"/>
    <n v="3356.5447804134301"/>
  </r>
  <r>
    <x v="0"/>
    <x v="0"/>
    <x v="0"/>
    <x v="6"/>
    <x v="12"/>
    <s v="NO3_A2"/>
    <x v="0"/>
    <x v="7"/>
    <n v="826.13430180006901"/>
    <n v="2974.08348648025"/>
  </r>
  <r>
    <x v="0"/>
    <x v="0"/>
    <x v="0"/>
    <x v="6"/>
    <x v="12"/>
    <s v="NO3_A2"/>
    <x v="0"/>
    <x v="8"/>
    <n v="650.156077234387"/>
    <n v="2340.5618780437899"/>
  </r>
  <r>
    <x v="0"/>
    <x v="0"/>
    <x v="0"/>
    <x v="6"/>
    <x v="12"/>
    <s v="NO3_A2"/>
    <x v="0"/>
    <x v="9"/>
    <n v="462.09337907060399"/>
    <n v="1663.5361646541701"/>
  </r>
  <r>
    <x v="0"/>
    <x v="0"/>
    <x v="0"/>
    <x v="6"/>
    <x v="12"/>
    <s v="NO3_A2"/>
    <x v="0"/>
    <x v="10"/>
    <n v="369.50066985481101"/>
    <n v="1330.2024114773201"/>
  </r>
  <r>
    <x v="0"/>
    <x v="0"/>
    <x v="0"/>
    <x v="6"/>
    <x v="12"/>
    <s v="NO3_A2"/>
    <x v="0"/>
    <x v="11"/>
    <n v="239.41527518783701"/>
    <n v="861.89499067621398"/>
  </r>
  <r>
    <x v="0"/>
    <x v="0"/>
    <x v="0"/>
    <x v="6"/>
    <x v="12"/>
    <s v="NO3_A2"/>
    <x v="0"/>
    <x v="12"/>
    <n v="140.73751711927099"/>
    <n v="506.65506162937601"/>
  </r>
  <r>
    <x v="0"/>
    <x v="0"/>
    <x v="0"/>
    <x v="6"/>
    <x v="12"/>
    <s v="NO3_A2"/>
    <x v="0"/>
    <x v="13"/>
    <n v="140.73751711927099"/>
    <n v="506.65506162937601"/>
  </r>
  <r>
    <x v="0"/>
    <x v="0"/>
    <x v="0"/>
    <x v="6"/>
    <x v="12"/>
    <s v="NO3_A2"/>
    <x v="0"/>
    <x v="14"/>
    <n v="62.6679778393313"/>
    <n v="225.604720221593"/>
  </r>
  <r>
    <x v="0"/>
    <x v="0"/>
    <x v="0"/>
    <x v="6"/>
    <x v="12"/>
    <s v="NO3_A2"/>
    <x v="0"/>
    <x v="15"/>
    <n v="0"/>
    <n v="0"/>
  </r>
  <r>
    <x v="0"/>
    <x v="0"/>
    <x v="0"/>
    <x v="6"/>
    <x v="12"/>
    <s v="NO3_A2"/>
    <x v="0"/>
    <x v="16"/>
    <n v="0"/>
    <n v="0"/>
  </r>
  <r>
    <x v="0"/>
    <x v="0"/>
    <x v="0"/>
    <x v="6"/>
    <x v="12"/>
    <s v="NO3_A2"/>
    <x v="0"/>
    <x v="17"/>
    <n v="6.1441491477344101"/>
    <n v="22.118936931843901"/>
  </r>
  <r>
    <x v="0"/>
    <x v="0"/>
    <x v="0"/>
    <x v="6"/>
    <x v="12"/>
    <s v="NO3_A2"/>
    <x v="0"/>
    <x v="18"/>
    <n v="49.720228016011497"/>
    <n v="178.99282085764099"/>
  </r>
  <r>
    <x v="0"/>
    <x v="0"/>
    <x v="0"/>
    <x v="6"/>
    <x v="12"/>
    <s v="NO3_A2"/>
    <x v="0"/>
    <x v="19"/>
    <n v="126.689528485804"/>
    <n v="456.08230254889497"/>
  </r>
  <r>
    <x v="0"/>
    <x v="0"/>
    <x v="0"/>
    <x v="6"/>
    <x v="12"/>
    <s v="NO3_A2"/>
    <x v="0"/>
    <x v="20"/>
    <n v="223.40886791624499"/>
    <n v="804.27192449848303"/>
  </r>
  <r>
    <x v="0"/>
    <x v="0"/>
    <x v="0"/>
    <x v="6"/>
    <x v="12"/>
    <s v="NO3_A2"/>
    <x v="0"/>
    <x v="21"/>
    <n v="343.16552187964999"/>
    <n v="1235.39587876674"/>
  </r>
  <r>
    <x v="0"/>
    <x v="0"/>
    <x v="0"/>
    <x v="6"/>
    <x v="12"/>
    <s v="NO3_A2"/>
    <x v="0"/>
    <x v="22"/>
    <n v="485.54359452505702"/>
    <n v="1747.95694029021"/>
  </r>
  <r>
    <x v="0"/>
    <x v="0"/>
    <x v="0"/>
    <x v="6"/>
    <x v="12"/>
    <s v="NO3_A2"/>
    <x v="0"/>
    <x v="23"/>
    <n v="645.584469124115"/>
    <n v="2324.1040888468201"/>
  </r>
  <r>
    <x v="0"/>
    <x v="0"/>
    <x v="0"/>
    <x v="6"/>
    <x v="13"/>
    <s v="NO4_A1"/>
    <x v="0"/>
    <x v="0"/>
    <n v="152.84137518483899"/>
    <n v="550.22895066541901"/>
  </r>
  <r>
    <x v="0"/>
    <x v="0"/>
    <x v="0"/>
    <x v="6"/>
    <x v="13"/>
    <s v="NO4_A1"/>
    <x v="0"/>
    <x v="1"/>
    <n v="180.767208321053"/>
    <n v="650.76194995579203"/>
  </r>
  <r>
    <x v="0"/>
    <x v="0"/>
    <x v="0"/>
    <x v="6"/>
    <x v="13"/>
    <s v="NO4_A1"/>
    <x v="0"/>
    <x v="2"/>
    <n v="210.18660567214201"/>
    <n v="756.67178041970999"/>
  </r>
  <r>
    <x v="0"/>
    <x v="0"/>
    <x v="0"/>
    <x v="6"/>
    <x v="13"/>
    <s v="NO4_A1"/>
    <x v="0"/>
    <x v="3"/>
    <n v="237.77799739079001"/>
    <n v="856.000790606843"/>
  </r>
  <r>
    <x v="0"/>
    <x v="0"/>
    <x v="0"/>
    <x v="6"/>
    <x v="13"/>
    <s v="NO4_A1"/>
    <x v="0"/>
    <x v="4"/>
    <n v="263.84737578574499"/>
    <n v="949.85055282868302"/>
  </r>
  <r>
    <x v="0"/>
    <x v="0"/>
    <x v="0"/>
    <x v="6"/>
    <x v="13"/>
    <s v="NO4_A1"/>
    <x v="0"/>
    <x v="5"/>
    <n v="282.83425675959103"/>
    <n v="1018.20332433453"/>
  </r>
  <r>
    <x v="0"/>
    <x v="0"/>
    <x v="0"/>
    <x v="6"/>
    <x v="13"/>
    <s v="NO4_A1"/>
    <x v="0"/>
    <x v="6"/>
    <n v="286.53174352190501"/>
    <n v="1031.5142766788599"/>
  </r>
  <r>
    <x v="0"/>
    <x v="0"/>
    <x v="0"/>
    <x v="6"/>
    <x v="13"/>
    <s v="NO4_A1"/>
    <x v="0"/>
    <x v="7"/>
    <n v="286.53174352190501"/>
    <n v="1031.5142766788599"/>
  </r>
  <r>
    <x v="0"/>
    <x v="0"/>
    <x v="0"/>
    <x v="6"/>
    <x v="13"/>
    <s v="NO4_A1"/>
    <x v="0"/>
    <x v="8"/>
    <n v="286.53174352190501"/>
    <n v="1031.5142766788599"/>
  </r>
  <r>
    <x v="0"/>
    <x v="0"/>
    <x v="0"/>
    <x v="6"/>
    <x v="13"/>
    <s v="NO4_A1"/>
    <x v="0"/>
    <x v="9"/>
    <n v="252.16432355907199"/>
    <n v="907.79156481265898"/>
  </r>
  <r>
    <x v="0"/>
    <x v="0"/>
    <x v="0"/>
    <x v="6"/>
    <x v="13"/>
    <s v="NO4_A1"/>
    <x v="0"/>
    <x v="10"/>
    <n v="175.542386410738"/>
    <n v="631.95259107865695"/>
  </r>
  <r>
    <x v="0"/>
    <x v="0"/>
    <x v="0"/>
    <x v="6"/>
    <x v="13"/>
    <s v="NO4_A1"/>
    <x v="0"/>
    <x v="11"/>
    <n v="103.945475103174"/>
    <n v="374.20371037142502"/>
  </r>
  <r>
    <x v="0"/>
    <x v="0"/>
    <x v="0"/>
    <x v="6"/>
    <x v="13"/>
    <s v="NO4_A1"/>
    <x v="0"/>
    <x v="12"/>
    <n v="42.816526849150101"/>
    <n v="154.13949665694"/>
  </r>
  <r>
    <x v="0"/>
    <x v="0"/>
    <x v="0"/>
    <x v="6"/>
    <x v="13"/>
    <s v="NO4_A1"/>
    <x v="0"/>
    <x v="13"/>
    <n v="42.816526849150101"/>
    <n v="154.13949665694"/>
  </r>
  <r>
    <x v="0"/>
    <x v="0"/>
    <x v="0"/>
    <x v="6"/>
    <x v="13"/>
    <s v="NO4_A1"/>
    <x v="0"/>
    <x v="14"/>
    <n v="42.816526849150101"/>
    <n v="154.13949665694"/>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5.3111550933393401"/>
    <n v="19.1201583360216"/>
  </r>
  <r>
    <x v="0"/>
    <x v="0"/>
    <x v="0"/>
    <x v="6"/>
    <x v="13"/>
    <s v="NO4_A1"/>
    <x v="0"/>
    <x v="20"/>
    <n v="18.340672898504099"/>
    <n v="66.026422434614702"/>
  </r>
  <r>
    <x v="0"/>
    <x v="0"/>
    <x v="0"/>
    <x v="6"/>
    <x v="13"/>
    <s v="NO4_A1"/>
    <x v="0"/>
    <x v="21"/>
    <n v="39.3829115451516"/>
    <n v="141.77848156254601"/>
  </r>
  <r>
    <x v="0"/>
    <x v="0"/>
    <x v="0"/>
    <x v="6"/>
    <x v="13"/>
    <s v="NO4_A1"/>
    <x v="0"/>
    <x v="22"/>
    <n v="69.149609621189796"/>
    <n v="248.938594636283"/>
  </r>
  <r>
    <x v="0"/>
    <x v="0"/>
    <x v="0"/>
    <x v="6"/>
    <x v="13"/>
    <s v="NO4_A1"/>
    <x v="0"/>
    <x v="23"/>
    <n v="108.39469211493601"/>
    <n v="390.22089161377102"/>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91.3180567242526"/>
    <n v="328.74500420730902"/>
  </r>
  <r>
    <x v="0"/>
    <x v="0"/>
    <x v="0"/>
    <x v="8"/>
    <x v="16"/>
    <s v="SE1_OTHER"/>
    <x v="0"/>
    <x v="1"/>
    <n v="260.57940913127499"/>
    <n v="938.08587287259104"/>
  </r>
  <r>
    <x v="0"/>
    <x v="0"/>
    <x v="0"/>
    <x v="8"/>
    <x v="16"/>
    <s v="SE1_OTHER"/>
    <x v="0"/>
    <x v="2"/>
    <n v="445.04547897363801"/>
    <n v="1602.1637243051"/>
  </r>
  <r>
    <x v="0"/>
    <x v="0"/>
    <x v="0"/>
    <x v="8"/>
    <x v="16"/>
    <s v="SE1_OTHER"/>
    <x v="0"/>
    <x v="3"/>
    <n v="627.62795611187403"/>
    <n v="2259.4606420027499"/>
  </r>
  <r>
    <x v="0"/>
    <x v="0"/>
    <x v="0"/>
    <x v="8"/>
    <x v="16"/>
    <s v="SE1_OTHER"/>
    <x v="0"/>
    <x v="4"/>
    <n v="799.799437609194"/>
    <n v="2879.2779753931"/>
  </r>
  <r>
    <x v="0"/>
    <x v="0"/>
    <x v="0"/>
    <x v="8"/>
    <x v="16"/>
    <s v="SE1_OTHER"/>
    <x v="0"/>
    <x v="5"/>
    <n v="799.799437609194"/>
    <n v="2879.2779753931"/>
  </r>
  <r>
    <x v="0"/>
    <x v="0"/>
    <x v="0"/>
    <x v="8"/>
    <x v="16"/>
    <s v="SE1_OTHER"/>
    <x v="0"/>
    <x v="6"/>
    <n v="799.799437609194"/>
    <n v="2879.2779753931"/>
  </r>
  <r>
    <x v="0"/>
    <x v="0"/>
    <x v="0"/>
    <x v="8"/>
    <x v="16"/>
    <s v="SE1_OTHER"/>
    <x v="0"/>
    <x v="7"/>
    <n v="737.45584610192202"/>
    <n v="2654.8410459669199"/>
  </r>
  <r>
    <x v="0"/>
    <x v="0"/>
    <x v="0"/>
    <x v="8"/>
    <x v="16"/>
    <s v="SE1_OTHER"/>
    <x v="0"/>
    <x v="8"/>
    <n v="581.72965966443599"/>
    <n v="2094.22677479197"/>
  </r>
  <r>
    <x v="0"/>
    <x v="0"/>
    <x v="0"/>
    <x v="8"/>
    <x v="16"/>
    <s v="SE1_OTHER"/>
    <x v="0"/>
    <x v="9"/>
    <n v="419.953153944105"/>
    <n v="1511.83135419878"/>
  </r>
  <r>
    <x v="0"/>
    <x v="0"/>
    <x v="0"/>
    <x v="8"/>
    <x v="16"/>
    <s v="SE1_OTHER"/>
    <x v="0"/>
    <x v="10"/>
    <n v="286.36073596216897"/>
    <n v="1030.89864946381"/>
  </r>
  <r>
    <x v="0"/>
    <x v="0"/>
    <x v="0"/>
    <x v="8"/>
    <x v="16"/>
    <s v="SE1_OTHER"/>
    <x v="0"/>
    <x v="11"/>
    <n v="191.675103360875"/>
    <n v="690.03037209915101"/>
  </r>
  <r>
    <x v="0"/>
    <x v="0"/>
    <x v="0"/>
    <x v="8"/>
    <x v="16"/>
    <s v="SE1_OTHER"/>
    <x v="0"/>
    <x v="12"/>
    <n v="120.603441460813"/>
    <n v="434.17238925892599"/>
  </r>
  <r>
    <x v="0"/>
    <x v="0"/>
    <x v="0"/>
    <x v="8"/>
    <x v="16"/>
    <s v="SE1_OTHER"/>
    <x v="0"/>
    <x v="13"/>
    <n v="73.983885797579305"/>
    <n v="266.34198887128599"/>
  </r>
  <r>
    <x v="0"/>
    <x v="0"/>
    <x v="0"/>
    <x v="8"/>
    <x v="16"/>
    <s v="SE1_OTHER"/>
    <x v="0"/>
    <x v="14"/>
    <n v="34.5907408849517"/>
    <n v="124.526667185826"/>
  </r>
  <r>
    <x v="0"/>
    <x v="0"/>
    <x v="0"/>
    <x v="8"/>
    <x v="16"/>
    <s v="SE1_OTHER"/>
    <x v="0"/>
    <x v="15"/>
    <n v="10.162521030016199"/>
    <n v="36.585075708058397"/>
  </r>
  <r>
    <x v="0"/>
    <x v="0"/>
    <x v="0"/>
    <x v="8"/>
    <x v="16"/>
    <s v="SE1_OTHER"/>
    <x v="0"/>
    <x v="16"/>
    <n v="0"/>
    <n v="0"/>
  </r>
  <r>
    <x v="0"/>
    <x v="0"/>
    <x v="0"/>
    <x v="8"/>
    <x v="16"/>
    <s v="SE1_OTHER"/>
    <x v="0"/>
    <x v="17"/>
    <n v="0"/>
    <n v="0"/>
  </r>
  <r>
    <x v="0"/>
    <x v="0"/>
    <x v="0"/>
    <x v="8"/>
    <x v="16"/>
    <s v="SE1_OTHER"/>
    <x v="0"/>
    <x v="18"/>
    <n v="0"/>
    <n v="0"/>
  </r>
  <r>
    <x v="0"/>
    <x v="0"/>
    <x v="0"/>
    <x v="8"/>
    <x v="16"/>
    <s v="SE1_OTHER"/>
    <x v="0"/>
    <x v="19"/>
    <n v="0"/>
    <n v="0"/>
  </r>
  <r>
    <x v="0"/>
    <x v="0"/>
    <x v="0"/>
    <x v="8"/>
    <x v="16"/>
    <s v="SE1_OTHER"/>
    <x v="0"/>
    <x v="20"/>
    <n v="0"/>
    <n v="0"/>
  </r>
  <r>
    <x v="0"/>
    <x v="0"/>
    <x v="0"/>
    <x v="8"/>
    <x v="16"/>
    <s v="SE1_OTHER"/>
    <x v="0"/>
    <x v="21"/>
    <n v="0"/>
    <n v="0"/>
  </r>
  <r>
    <x v="0"/>
    <x v="0"/>
    <x v="0"/>
    <x v="8"/>
    <x v="16"/>
    <s v="SE1_OTHER"/>
    <x v="0"/>
    <x v="22"/>
    <n v="0"/>
    <n v="0"/>
  </r>
  <r>
    <x v="0"/>
    <x v="0"/>
    <x v="0"/>
    <x v="8"/>
    <x v="16"/>
    <s v="SE1_OTHER"/>
    <x v="0"/>
    <x v="23"/>
    <n v="66.820735547199405"/>
    <n v="240.55464796991799"/>
  </r>
  <r>
    <x v="0"/>
    <x v="0"/>
    <x v="0"/>
    <x v="8"/>
    <x v="17"/>
    <s v="SE2_EL"/>
    <x v="0"/>
    <x v="0"/>
    <n v="1976.2098613036501"/>
    <n v="7114.3555006931401"/>
  </r>
  <r>
    <x v="0"/>
    <x v="0"/>
    <x v="0"/>
    <x v="8"/>
    <x v="17"/>
    <s v="SE2_EL"/>
    <x v="0"/>
    <x v="1"/>
    <n v="2382.7982412700399"/>
    <n v="8578.0736685721604"/>
  </r>
  <r>
    <x v="0"/>
    <x v="0"/>
    <x v="0"/>
    <x v="8"/>
    <x v="17"/>
    <s v="SE2_EL"/>
    <x v="0"/>
    <x v="2"/>
    <n v="2794.6162103039201"/>
    <n v="10060.618357094099"/>
  </r>
  <r>
    <x v="0"/>
    <x v="0"/>
    <x v="0"/>
    <x v="8"/>
    <x v="17"/>
    <s v="SE2_EL"/>
    <x v="0"/>
    <x v="3"/>
    <n v="3180.85308844369"/>
    <n v="11451.0711183973"/>
  </r>
  <r>
    <x v="0"/>
    <x v="0"/>
    <x v="0"/>
    <x v="8"/>
    <x v="17"/>
    <s v="SE2_EL"/>
    <x v="0"/>
    <x v="4"/>
    <n v="3469.3563119841701"/>
    <n v="12489.682723143"/>
  </r>
  <r>
    <x v="0"/>
    <x v="0"/>
    <x v="0"/>
    <x v="8"/>
    <x v="17"/>
    <s v="SE2_EL"/>
    <x v="0"/>
    <x v="5"/>
    <n v="3621.77450889292"/>
    <n v="13038.3882320145"/>
  </r>
  <r>
    <x v="0"/>
    <x v="0"/>
    <x v="0"/>
    <x v="8"/>
    <x v="17"/>
    <s v="SE2_EL"/>
    <x v="0"/>
    <x v="6"/>
    <n v="3667.51241721416"/>
    <n v="13203.044701971001"/>
  </r>
  <r>
    <x v="0"/>
    <x v="0"/>
    <x v="0"/>
    <x v="8"/>
    <x v="17"/>
    <s v="SE2_EL"/>
    <x v="0"/>
    <x v="7"/>
    <n v="3364.5670861345702"/>
    <n v="12112.4415100845"/>
  </r>
  <r>
    <x v="0"/>
    <x v="0"/>
    <x v="0"/>
    <x v="8"/>
    <x v="17"/>
    <s v="SE2_EL"/>
    <x v="0"/>
    <x v="8"/>
    <n v="2868.9228467040102"/>
    <n v="10328.122248134499"/>
  </r>
  <r>
    <x v="0"/>
    <x v="0"/>
    <x v="0"/>
    <x v="8"/>
    <x v="17"/>
    <s v="SE2_EL"/>
    <x v="0"/>
    <x v="9"/>
    <n v="2405.6100142441001"/>
    <n v="8660.19605127875"/>
  </r>
  <r>
    <x v="0"/>
    <x v="0"/>
    <x v="0"/>
    <x v="8"/>
    <x v="17"/>
    <s v="SE2_EL"/>
    <x v="0"/>
    <x v="10"/>
    <n v="1935.3681948302701"/>
    <n v="6967.3255013889602"/>
  </r>
  <r>
    <x v="0"/>
    <x v="0"/>
    <x v="0"/>
    <x v="8"/>
    <x v="17"/>
    <s v="SE2_EL"/>
    <x v="0"/>
    <x v="11"/>
    <n v="1579.4985639690201"/>
    <n v="5686.1948302884603"/>
  </r>
  <r>
    <x v="0"/>
    <x v="0"/>
    <x v="0"/>
    <x v="8"/>
    <x v="17"/>
    <s v="SE2_EL"/>
    <x v="0"/>
    <x v="12"/>
    <n v="1268.7573572956401"/>
    <n v="4567.5264862642898"/>
  </r>
  <r>
    <x v="0"/>
    <x v="0"/>
    <x v="0"/>
    <x v="8"/>
    <x v="17"/>
    <s v="SE2_EL"/>
    <x v="0"/>
    <x v="13"/>
    <n v="968.92306593692194"/>
    <n v="3488.12303737292"/>
  </r>
  <r>
    <x v="0"/>
    <x v="0"/>
    <x v="0"/>
    <x v="8"/>
    <x v="17"/>
    <s v="SE2_EL"/>
    <x v="0"/>
    <x v="14"/>
    <n v="675.76030435627194"/>
    <n v="2432.7370956825798"/>
  </r>
  <r>
    <x v="0"/>
    <x v="0"/>
    <x v="0"/>
    <x v="8"/>
    <x v="17"/>
    <s v="SE2_EL"/>
    <x v="0"/>
    <x v="15"/>
    <n v="405.818708641667"/>
    <n v="1460.94735111"/>
  </r>
  <r>
    <x v="0"/>
    <x v="0"/>
    <x v="0"/>
    <x v="8"/>
    <x v="17"/>
    <s v="SE2_EL"/>
    <x v="0"/>
    <x v="16"/>
    <n v="95.493428065519794"/>
    <n v="343.77634103587098"/>
  </r>
  <r>
    <x v="0"/>
    <x v="0"/>
    <x v="0"/>
    <x v="8"/>
    <x v="17"/>
    <s v="SE2_EL"/>
    <x v="0"/>
    <x v="17"/>
    <n v="0"/>
    <n v="0"/>
  </r>
  <r>
    <x v="0"/>
    <x v="0"/>
    <x v="0"/>
    <x v="8"/>
    <x v="17"/>
    <s v="SE2_EL"/>
    <x v="0"/>
    <x v="18"/>
    <n v="24.1377709611534"/>
    <n v="86.895975460152101"/>
  </r>
  <r>
    <x v="0"/>
    <x v="0"/>
    <x v="0"/>
    <x v="8"/>
    <x v="17"/>
    <s v="SE2_EL"/>
    <x v="0"/>
    <x v="19"/>
    <n v="131.17023653121399"/>
    <n v="472.21285151236998"/>
  </r>
  <r>
    <x v="0"/>
    <x v="0"/>
    <x v="0"/>
    <x v="8"/>
    <x v="17"/>
    <s v="SE2_EL"/>
    <x v="0"/>
    <x v="20"/>
    <n v="331.691601863882"/>
    <n v="1194.08976670998"/>
  </r>
  <r>
    <x v="0"/>
    <x v="0"/>
    <x v="0"/>
    <x v="8"/>
    <x v="17"/>
    <s v="SE2_EL"/>
    <x v="0"/>
    <x v="21"/>
    <n v="613.82440217648195"/>
    <n v="2209.76784783534"/>
  </r>
  <r>
    <x v="0"/>
    <x v="0"/>
    <x v="0"/>
    <x v="8"/>
    <x v="17"/>
    <s v="SE2_EL"/>
    <x v="0"/>
    <x v="22"/>
    <n v="949.77515098999902"/>
    <n v="3419.1905435640001"/>
  </r>
  <r>
    <x v="0"/>
    <x v="0"/>
    <x v="0"/>
    <x v="8"/>
    <x v="17"/>
    <s v="SE2_EL"/>
    <x v="0"/>
    <x v="23"/>
    <n v="1394.0157431083801"/>
    <n v="5018.4566751901702"/>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6768.1251743659604"/>
    <n v="24365.250627717502"/>
  </r>
  <r>
    <x v="0"/>
    <x v="0"/>
    <x v="0"/>
    <x v="8"/>
    <x v="18"/>
    <s v="SE3_EL"/>
    <x v="0"/>
    <x v="1"/>
    <n v="8445.6330048413402"/>
    <n v="30404.2788174288"/>
  </r>
  <r>
    <x v="0"/>
    <x v="0"/>
    <x v="0"/>
    <x v="8"/>
    <x v="18"/>
    <s v="SE3_EL"/>
    <x v="0"/>
    <x v="2"/>
    <n v="10058.063330088"/>
    <n v="36209.027988316702"/>
  </r>
  <r>
    <x v="0"/>
    <x v="0"/>
    <x v="0"/>
    <x v="8"/>
    <x v="18"/>
    <s v="SE3_EL"/>
    <x v="0"/>
    <x v="3"/>
    <n v="11602.6145615364"/>
    <n v="41769.412421531197"/>
  </r>
  <r>
    <x v="0"/>
    <x v="0"/>
    <x v="0"/>
    <x v="8"/>
    <x v="18"/>
    <s v="SE3_EL"/>
    <x v="0"/>
    <x v="4"/>
    <n v="12892.8356128263"/>
    <n v="46414.208206174801"/>
  </r>
  <r>
    <x v="0"/>
    <x v="0"/>
    <x v="0"/>
    <x v="8"/>
    <x v="18"/>
    <s v="SE3_EL"/>
    <x v="0"/>
    <x v="5"/>
    <n v="13690.3029529867"/>
    <n v="49285.090630752202"/>
  </r>
  <r>
    <x v="0"/>
    <x v="0"/>
    <x v="0"/>
    <x v="8"/>
    <x v="18"/>
    <s v="SE3_EL"/>
    <x v="0"/>
    <x v="6"/>
    <n v="13720.1563707102"/>
    <n v="49392.562934556801"/>
  </r>
  <r>
    <x v="0"/>
    <x v="0"/>
    <x v="0"/>
    <x v="8"/>
    <x v="18"/>
    <s v="SE3_EL"/>
    <x v="0"/>
    <x v="7"/>
    <n v="13074.663881763199"/>
    <n v="47068.789974347499"/>
  </r>
  <r>
    <x v="0"/>
    <x v="0"/>
    <x v="0"/>
    <x v="8"/>
    <x v="18"/>
    <s v="SE3_EL"/>
    <x v="0"/>
    <x v="8"/>
    <n v="10773.4560364927"/>
    <n v="38784.441731373503"/>
  </r>
  <r>
    <x v="0"/>
    <x v="0"/>
    <x v="0"/>
    <x v="8"/>
    <x v="18"/>
    <s v="SE3_EL"/>
    <x v="0"/>
    <x v="9"/>
    <n v="8383.0125280072098"/>
    <n v="30178.845100826002"/>
  </r>
  <r>
    <x v="0"/>
    <x v="0"/>
    <x v="0"/>
    <x v="8"/>
    <x v="18"/>
    <s v="SE3_EL"/>
    <x v="0"/>
    <x v="10"/>
    <n v="6126.9617542741798"/>
    <n v="22057.062315387"/>
  </r>
  <r>
    <x v="0"/>
    <x v="0"/>
    <x v="0"/>
    <x v="8"/>
    <x v="18"/>
    <s v="SE3_EL"/>
    <x v="0"/>
    <x v="11"/>
    <n v="4313.5061712382003"/>
    <n v="15528.622216457499"/>
  </r>
  <r>
    <x v="0"/>
    <x v="0"/>
    <x v="0"/>
    <x v="8"/>
    <x v="18"/>
    <s v="SE3_EL"/>
    <x v="0"/>
    <x v="12"/>
    <n v="2884.2866410012898"/>
    <n v="10383.431907604599"/>
  </r>
  <r>
    <x v="0"/>
    <x v="0"/>
    <x v="0"/>
    <x v="8"/>
    <x v="18"/>
    <s v="SE3_EL"/>
    <x v="0"/>
    <x v="13"/>
    <n v="1740.8611994970699"/>
    <n v="6267.1003181894703"/>
  </r>
  <r>
    <x v="0"/>
    <x v="0"/>
    <x v="0"/>
    <x v="8"/>
    <x v="18"/>
    <s v="SE3_EL"/>
    <x v="0"/>
    <x v="14"/>
    <n v="836.28384327960998"/>
    <n v="3010.6218358065998"/>
  </r>
  <r>
    <x v="0"/>
    <x v="0"/>
    <x v="0"/>
    <x v="8"/>
    <x v="18"/>
    <s v="SE3_EL"/>
    <x v="0"/>
    <x v="15"/>
    <n v="132.80909240012201"/>
    <n v="478.11273264043899"/>
  </r>
  <r>
    <x v="0"/>
    <x v="0"/>
    <x v="0"/>
    <x v="8"/>
    <x v="18"/>
    <s v="SE3_EL"/>
    <x v="0"/>
    <x v="16"/>
    <n v="0"/>
    <n v="0"/>
  </r>
  <r>
    <x v="0"/>
    <x v="0"/>
    <x v="0"/>
    <x v="8"/>
    <x v="18"/>
    <s v="SE3_EL"/>
    <x v="0"/>
    <x v="17"/>
    <n v="0"/>
    <n v="0"/>
  </r>
  <r>
    <x v="0"/>
    <x v="0"/>
    <x v="0"/>
    <x v="8"/>
    <x v="18"/>
    <s v="SE3_EL"/>
    <x v="0"/>
    <x v="18"/>
    <n v="167.15189152977001"/>
    <n v="601.74680950717004"/>
  </r>
  <r>
    <x v="0"/>
    <x v="0"/>
    <x v="0"/>
    <x v="8"/>
    <x v="18"/>
    <s v="SE3_EL"/>
    <x v="0"/>
    <x v="19"/>
    <n v="623.56280469862099"/>
    <n v="2244.8260969150401"/>
  </r>
  <r>
    <x v="0"/>
    <x v="0"/>
    <x v="0"/>
    <x v="8"/>
    <x v="18"/>
    <s v="SE3_EL"/>
    <x v="0"/>
    <x v="20"/>
    <n v="1327.2512982712501"/>
    <n v="4778.10467377651"/>
  </r>
  <r>
    <x v="0"/>
    <x v="0"/>
    <x v="0"/>
    <x v="8"/>
    <x v="18"/>
    <s v="SE3_EL"/>
    <x v="0"/>
    <x v="21"/>
    <n v="2242.5089832241001"/>
    <n v="8073.0323396067597"/>
  </r>
  <r>
    <x v="0"/>
    <x v="0"/>
    <x v="0"/>
    <x v="8"/>
    <x v="18"/>
    <s v="SE3_EL"/>
    <x v="0"/>
    <x v="22"/>
    <n v="3384.3645452447599"/>
    <n v="12183.7123628811"/>
  </r>
  <r>
    <x v="0"/>
    <x v="0"/>
    <x v="0"/>
    <x v="8"/>
    <x v="18"/>
    <s v="SE3_EL"/>
    <x v="0"/>
    <x v="23"/>
    <n v="4856.0123480862803"/>
    <n v="17481.644453110599"/>
  </r>
  <r>
    <x v="0"/>
    <x v="0"/>
    <x v="0"/>
    <x v="8"/>
    <x v="18"/>
    <s v="SE3_GOT"/>
    <x v="0"/>
    <x v="0"/>
    <n v="1591.4528033649001"/>
    <n v="5729.2300921136402"/>
  </r>
  <r>
    <x v="0"/>
    <x v="0"/>
    <x v="0"/>
    <x v="8"/>
    <x v="18"/>
    <s v="SE3_GOT"/>
    <x v="0"/>
    <x v="1"/>
    <n v="2270.0898372976399"/>
    <n v="8172.3234142715201"/>
  </r>
  <r>
    <x v="0"/>
    <x v="0"/>
    <x v="0"/>
    <x v="8"/>
    <x v="18"/>
    <s v="SE3_GOT"/>
    <x v="0"/>
    <x v="2"/>
    <n v="2955.53873620988"/>
    <n v="10639.9394503556"/>
  </r>
  <r>
    <x v="0"/>
    <x v="0"/>
    <x v="0"/>
    <x v="8"/>
    <x v="18"/>
    <s v="SE3_GOT"/>
    <x v="0"/>
    <x v="3"/>
    <n v="3630.7209908815098"/>
    <n v="13070.595567173399"/>
  </r>
  <r>
    <x v="0"/>
    <x v="0"/>
    <x v="0"/>
    <x v="8"/>
    <x v="18"/>
    <s v="SE3_GOT"/>
    <x v="0"/>
    <x v="4"/>
    <n v="4210.6089157566503"/>
    <n v="15158.1920967239"/>
  </r>
  <r>
    <x v="0"/>
    <x v="0"/>
    <x v="0"/>
    <x v="8"/>
    <x v="18"/>
    <s v="SE3_GOT"/>
    <x v="0"/>
    <x v="5"/>
    <n v="4629.6096428430001"/>
    <n v="16666.594714234801"/>
  </r>
  <r>
    <x v="0"/>
    <x v="0"/>
    <x v="0"/>
    <x v="8"/>
    <x v="18"/>
    <s v="SE3_GOT"/>
    <x v="0"/>
    <x v="6"/>
    <n v="4713.9571910082404"/>
    <n v="16970.245887629699"/>
  </r>
  <r>
    <x v="0"/>
    <x v="0"/>
    <x v="0"/>
    <x v="8"/>
    <x v="18"/>
    <s v="SE3_GOT"/>
    <x v="0"/>
    <x v="7"/>
    <n v="4178.4069752139803"/>
    <n v="15042.2651107703"/>
  </r>
  <r>
    <x v="0"/>
    <x v="0"/>
    <x v="0"/>
    <x v="8"/>
    <x v="18"/>
    <s v="SE3_GOT"/>
    <x v="0"/>
    <x v="8"/>
    <n v="3365.1895854921399"/>
    <n v="12114.6825077717"/>
  </r>
  <r>
    <x v="0"/>
    <x v="0"/>
    <x v="0"/>
    <x v="8"/>
    <x v="18"/>
    <s v="SE3_GOT"/>
    <x v="0"/>
    <x v="9"/>
    <n v="2597.57291422652"/>
    <n v="9351.2624912154897"/>
  </r>
  <r>
    <x v="0"/>
    <x v="0"/>
    <x v="0"/>
    <x v="8"/>
    <x v="18"/>
    <s v="SE3_GOT"/>
    <x v="0"/>
    <x v="10"/>
    <n v="1956.8611602186199"/>
    <n v="7044.7001767870297"/>
  </r>
  <r>
    <x v="0"/>
    <x v="0"/>
    <x v="0"/>
    <x v="8"/>
    <x v="18"/>
    <s v="SE3_GOT"/>
    <x v="0"/>
    <x v="11"/>
    <n v="1432.94391696355"/>
    <n v="5158.5981010687701"/>
  </r>
  <r>
    <x v="0"/>
    <x v="0"/>
    <x v="0"/>
    <x v="8"/>
    <x v="18"/>
    <s v="SE3_GOT"/>
    <x v="0"/>
    <x v="12"/>
    <n v="1025.100277796"/>
    <n v="3690.3610000655899"/>
  </r>
  <r>
    <x v="0"/>
    <x v="0"/>
    <x v="0"/>
    <x v="8"/>
    <x v="18"/>
    <s v="SE3_GOT"/>
    <x v="0"/>
    <x v="13"/>
    <n v="743.20753483346596"/>
    <n v="2675.5471254004801"/>
  </r>
  <r>
    <x v="0"/>
    <x v="0"/>
    <x v="0"/>
    <x v="8"/>
    <x v="18"/>
    <s v="SE3_GOT"/>
    <x v="0"/>
    <x v="14"/>
    <n v="474.69194636579601"/>
    <n v="1708.8910069168701"/>
  </r>
  <r>
    <x v="0"/>
    <x v="0"/>
    <x v="0"/>
    <x v="8"/>
    <x v="18"/>
    <s v="SE3_GOT"/>
    <x v="0"/>
    <x v="15"/>
    <n v="267.34220643205401"/>
    <n v="962.43194315539301"/>
  </r>
  <r>
    <x v="0"/>
    <x v="0"/>
    <x v="0"/>
    <x v="8"/>
    <x v="18"/>
    <s v="SE3_GOT"/>
    <x v="0"/>
    <x v="16"/>
    <n v="98.868364429386801"/>
    <n v="355.926111945792"/>
  </r>
  <r>
    <x v="0"/>
    <x v="0"/>
    <x v="0"/>
    <x v="8"/>
    <x v="18"/>
    <s v="SE3_GOT"/>
    <x v="0"/>
    <x v="17"/>
    <n v="0"/>
    <n v="0"/>
  </r>
  <r>
    <x v="0"/>
    <x v="0"/>
    <x v="0"/>
    <x v="8"/>
    <x v="18"/>
    <s v="SE3_GOT"/>
    <x v="0"/>
    <x v="18"/>
    <n v="55.855291626669903"/>
    <n v="201.07904985601201"/>
  </r>
  <r>
    <x v="0"/>
    <x v="0"/>
    <x v="0"/>
    <x v="8"/>
    <x v="18"/>
    <s v="SE3_GOT"/>
    <x v="0"/>
    <x v="19"/>
    <n v="235.69137263082399"/>
    <n v="848.48894147096496"/>
  </r>
  <r>
    <x v="0"/>
    <x v="0"/>
    <x v="0"/>
    <x v="8"/>
    <x v="18"/>
    <s v="SE3_GOT"/>
    <x v="0"/>
    <x v="20"/>
    <n v="512.29389280927899"/>
    <n v="1844.2580141134099"/>
  </r>
  <r>
    <x v="0"/>
    <x v="0"/>
    <x v="0"/>
    <x v="8"/>
    <x v="18"/>
    <s v="SE3_GOT"/>
    <x v="0"/>
    <x v="21"/>
    <n v="512.29389280927899"/>
    <n v="1844.2580141134099"/>
  </r>
  <r>
    <x v="0"/>
    <x v="0"/>
    <x v="0"/>
    <x v="8"/>
    <x v="18"/>
    <s v="SE3_GOT"/>
    <x v="0"/>
    <x v="22"/>
    <n v="512.29389280927899"/>
    <n v="1844.2580141134099"/>
  </r>
  <r>
    <x v="0"/>
    <x v="0"/>
    <x v="0"/>
    <x v="8"/>
    <x v="18"/>
    <s v="SE3_GOT"/>
    <x v="0"/>
    <x v="23"/>
    <n v="776.12341589938001"/>
    <n v="2794.04429723777"/>
  </r>
  <r>
    <x v="0"/>
    <x v="0"/>
    <x v="0"/>
    <x v="8"/>
    <x v="18"/>
    <s v="SE3_HP"/>
    <x v="0"/>
    <x v="0"/>
    <n v="1223.21837546345"/>
    <n v="4403.5861516684299"/>
  </r>
  <r>
    <x v="0"/>
    <x v="0"/>
    <x v="0"/>
    <x v="8"/>
    <x v="18"/>
    <s v="SE3_HP"/>
    <x v="0"/>
    <x v="1"/>
    <n v="1892.0673119314399"/>
    <n v="6811.4423229531903"/>
  </r>
  <r>
    <x v="0"/>
    <x v="0"/>
    <x v="0"/>
    <x v="8"/>
    <x v="18"/>
    <s v="SE3_HP"/>
    <x v="0"/>
    <x v="2"/>
    <n v="2580.9286655885599"/>
    <n v="9291.3431961188107"/>
  </r>
  <r>
    <x v="0"/>
    <x v="0"/>
    <x v="0"/>
    <x v="8"/>
    <x v="18"/>
    <s v="SE3_HP"/>
    <x v="0"/>
    <x v="3"/>
    <n v="3269.0968996003799"/>
    <n v="11768.7488385614"/>
  </r>
  <r>
    <x v="0"/>
    <x v="0"/>
    <x v="0"/>
    <x v="8"/>
    <x v="18"/>
    <s v="SE3_HP"/>
    <x v="0"/>
    <x v="4"/>
    <n v="3913.9421073448302"/>
    <n v="14090.1915864414"/>
  </r>
  <r>
    <x v="0"/>
    <x v="0"/>
    <x v="0"/>
    <x v="8"/>
    <x v="18"/>
    <s v="SE3_HP"/>
    <x v="0"/>
    <x v="5"/>
    <n v="4427.5418339073003"/>
    <n v="15939.1506020663"/>
  </r>
  <r>
    <x v="0"/>
    <x v="0"/>
    <x v="0"/>
    <x v="8"/>
    <x v="18"/>
    <s v="SE3_HP"/>
    <x v="0"/>
    <x v="6"/>
    <n v="4672.3900838485097"/>
    <n v="16820.604301854601"/>
  </r>
  <r>
    <x v="0"/>
    <x v="0"/>
    <x v="0"/>
    <x v="8"/>
    <x v="18"/>
    <s v="SE3_HP"/>
    <x v="0"/>
    <x v="7"/>
    <n v="4361.81251244328"/>
    <n v="15702.525044795801"/>
  </r>
  <r>
    <x v="0"/>
    <x v="0"/>
    <x v="0"/>
    <x v="8"/>
    <x v="18"/>
    <s v="SE3_HP"/>
    <x v="0"/>
    <x v="8"/>
    <n v="3751.92962576731"/>
    <n v="13506.946652762301"/>
  </r>
  <r>
    <x v="0"/>
    <x v="0"/>
    <x v="0"/>
    <x v="8"/>
    <x v="18"/>
    <s v="SE3_HP"/>
    <x v="0"/>
    <x v="9"/>
    <n v="3124.8769059372298"/>
    <n v="11249.556861374"/>
  </r>
  <r>
    <x v="0"/>
    <x v="0"/>
    <x v="0"/>
    <x v="8"/>
    <x v="18"/>
    <s v="SE3_HP"/>
    <x v="0"/>
    <x v="10"/>
    <n v="2538.4970245998302"/>
    <n v="9138.5892885594094"/>
  </r>
  <r>
    <x v="0"/>
    <x v="0"/>
    <x v="0"/>
    <x v="8"/>
    <x v="18"/>
    <s v="SE3_HP"/>
    <x v="0"/>
    <x v="11"/>
    <n v="2046.7386983371"/>
    <n v="7368.2593140135396"/>
  </r>
  <r>
    <x v="0"/>
    <x v="0"/>
    <x v="0"/>
    <x v="8"/>
    <x v="18"/>
    <s v="SE3_HP"/>
    <x v="0"/>
    <x v="12"/>
    <n v="1609.4537067352101"/>
    <n v="5794.0333442467399"/>
  </r>
  <r>
    <x v="0"/>
    <x v="0"/>
    <x v="0"/>
    <x v="8"/>
    <x v="18"/>
    <s v="SE3_HP"/>
    <x v="0"/>
    <x v="13"/>
    <n v="1290.78105309541"/>
    <n v="4646.8117911434801"/>
  </r>
  <r>
    <x v="0"/>
    <x v="0"/>
    <x v="0"/>
    <x v="8"/>
    <x v="18"/>
    <s v="SE3_HP"/>
    <x v="0"/>
    <x v="14"/>
    <n v="861.96844266725304"/>
    <n v="3103.0863936021101"/>
  </r>
  <r>
    <x v="0"/>
    <x v="0"/>
    <x v="0"/>
    <x v="8"/>
    <x v="18"/>
    <s v="SE3_HP"/>
    <x v="0"/>
    <x v="15"/>
    <n v="450.25673076185501"/>
    <n v="1620.92423074268"/>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87.983561474720105"/>
    <n v="316.74082130899302"/>
  </r>
  <r>
    <x v="0"/>
    <x v="0"/>
    <x v="0"/>
    <x v="8"/>
    <x v="18"/>
    <s v="SE3_HP"/>
    <x v="0"/>
    <x v="22"/>
    <n v="278.10651533435498"/>
    <n v="1001.18345520368"/>
  </r>
  <r>
    <x v="0"/>
    <x v="0"/>
    <x v="0"/>
    <x v="8"/>
    <x v="18"/>
    <s v="SE3_HP"/>
    <x v="0"/>
    <x v="23"/>
    <n v="626.43787439339599"/>
    <n v="2255.1763478162302"/>
  </r>
  <r>
    <x v="0"/>
    <x v="0"/>
    <x v="0"/>
    <x v="8"/>
    <x v="18"/>
    <s v="SE3_OTHER"/>
    <x v="0"/>
    <x v="0"/>
    <n v="867.89152939430301"/>
    <n v="3124.4095058194898"/>
  </r>
  <r>
    <x v="0"/>
    <x v="0"/>
    <x v="0"/>
    <x v="8"/>
    <x v="18"/>
    <s v="SE3_OTHER"/>
    <x v="0"/>
    <x v="1"/>
    <n v="1034.4284179758199"/>
    <n v="3723.9423047129299"/>
  </r>
  <r>
    <x v="0"/>
    <x v="0"/>
    <x v="0"/>
    <x v="8"/>
    <x v="18"/>
    <s v="SE3_OTHER"/>
    <x v="0"/>
    <x v="2"/>
    <n v="1534.4872127902399"/>
    <n v="5524.1539660448698"/>
  </r>
  <r>
    <x v="0"/>
    <x v="0"/>
    <x v="0"/>
    <x v="8"/>
    <x v="18"/>
    <s v="SE3_OTHER"/>
    <x v="0"/>
    <x v="3"/>
    <n v="1534.4872127902399"/>
    <n v="5524.1539660448698"/>
  </r>
  <r>
    <x v="0"/>
    <x v="0"/>
    <x v="0"/>
    <x v="8"/>
    <x v="18"/>
    <s v="SE3_OTHER"/>
    <x v="0"/>
    <x v="4"/>
    <n v="1534.4872127902399"/>
    <n v="5524.1539660448698"/>
  </r>
  <r>
    <x v="0"/>
    <x v="0"/>
    <x v="0"/>
    <x v="8"/>
    <x v="18"/>
    <s v="SE3_OTHER"/>
    <x v="0"/>
    <x v="5"/>
    <n v="1534.4872127902399"/>
    <n v="5524.1539660448698"/>
  </r>
  <r>
    <x v="0"/>
    <x v="0"/>
    <x v="0"/>
    <x v="8"/>
    <x v="18"/>
    <s v="SE3_OTHER"/>
    <x v="0"/>
    <x v="6"/>
    <n v="1534.4872127902399"/>
    <n v="5524.1539660448698"/>
  </r>
  <r>
    <x v="0"/>
    <x v="0"/>
    <x v="0"/>
    <x v="8"/>
    <x v="18"/>
    <s v="SE3_OTHER"/>
    <x v="0"/>
    <x v="7"/>
    <n v="1534.4872127902399"/>
    <n v="5524.1539660448698"/>
  </r>
  <r>
    <x v="0"/>
    <x v="0"/>
    <x v="0"/>
    <x v="8"/>
    <x v="18"/>
    <s v="SE3_OTHER"/>
    <x v="0"/>
    <x v="8"/>
    <n v="1028.5288179486199"/>
    <n v="3702.7037446150398"/>
  </r>
  <r>
    <x v="0"/>
    <x v="0"/>
    <x v="0"/>
    <x v="8"/>
    <x v="18"/>
    <s v="SE3_OTHER"/>
    <x v="0"/>
    <x v="9"/>
    <n v="435.11752285733701"/>
    <n v="1566.4230822864099"/>
  </r>
  <r>
    <x v="0"/>
    <x v="0"/>
    <x v="0"/>
    <x v="8"/>
    <x v="18"/>
    <s v="SE3_OTHER"/>
    <x v="0"/>
    <x v="10"/>
    <n v="0"/>
    <n v="0"/>
  </r>
  <r>
    <x v="0"/>
    <x v="0"/>
    <x v="0"/>
    <x v="8"/>
    <x v="18"/>
    <s v="SE3_OTHER"/>
    <x v="0"/>
    <x v="11"/>
    <n v="0"/>
    <n v="0"/>
  </r>
  <r>
    <x v="0"/>
    <x v="0"/>
    <x v="0"/>
    <x v="8"/>
    <x v="18"/>
    <s v="SE3_OTHER"/>
    <x v="0"/>
    <x v="12"/>
    <n v="0"/>
    <n v="0"/>
  </r>
  <r>
    <x v="0"/>
    <x v="0"/>
    <x v="0"/>
    <x v="8"/>
    <x v="18"/>
    <s v="SE3_OTHER"/>
    <x v="0"/>
    <x v="13"/>
    <n v="0"/>
    <n v="0"/>
  </r>
  <r>
    <x v="0"/>
    <x v="0"/>
    <x v="0"/>
    <x v="8"/>
    <x v="18"/>
    <s v="SE3_OTHER"/>
    <x v="0"/>
    <x v="14"/>
    <n v="0"/>
    <n v="0"/>
  </r>
  <r>
    <x v="0"/>
    <x v="0"/>
    <x v="0"/>
    <x v="8"/>
    <x v="18"/>
    <s v="SE3_OTHER"/>
    <x v="0"/>
    <x v="15"/>
    <n v="0"/>
    <n v="0"/>
  </r>
  <r>
    <x v="0"/>
    <x v="0"/>
    <x v="0"/>
    <x v="8"/>
    <x v="18"/>
    <s v="SE3_OTHER"/>
    <x v="0"/>
    <x v="16"/>
    <n v="0"/>
    <n v="0"/>
  </r>
  <r>
    <x v="0"/>
    <x v="0"/>
    <x v="0"/>
    <x v="8"/>
    <x v="18"/>
    <s v="SE3_OTHER"/>
    <x v="0"/>
    <x v="17"/>
    <n v="0"/>
    <n v="0"/>
  </r>
  <r>
    <x v="0"/>
    <x v="0"/>
    <x v="0"/>
    <x v="8"/>
    <x v="18"/>
    <s v="SE3_OTHER"/>
    <x v="0"/>
    <x v="18"/>
    <n v="0"/>
    <n v="0"/>
  </r>
  <r>
    <x v="0"/>
    <x v="0"/>
    <x v="0"/>
    <x v="8"/>
    <x v="18"/>
    <s v="SE3_OTHER"/>
    <x v="0"/>
    <x v="19"/>
    <n v="0"/>
    <n v="0"/>
  </r>
  <r>
    <x v="0"/>
    <x v="0"/>
    <x v="0"/>
    <x v="8"/>
    <x v="18"/>
    <s v="SE3_OTHER"/>
    <x v="0"/>
    <x v="20"/>
    <n v="0"/>
    <n v="0"/>
  </r>
  <r>
    <x v="0"/>
    <x v="0"/>
    <x v="0"/>
    <x v="8"/>
    <x v="18"/>
    <s v="SE3_OTHER"/>
    <x v="0"/>
    <x v="21"/>
    <n v="0"/>
    <n v="0"/>
  </r>
  <r>
    <x v="0"/>
    <x v="0"/>
    <x v="0"/>
    <x v="8"/>
    <x v="18"/>
    <s v="SE3_OTHER"/>
    <x v="0"/>
    <x v="22"/>
    <n v="0"/>
    <n v="0"/>
  </r>
  <r>
    <x v="0"/>
    <x v="0"/>
    <x v="0"/>
    <x v="8"/>
    <x v="18"/>
    <s v="SE3_OTHER"/>
    <x v="0"/>
    <x v="23"/>
    <n v="0"/>
    <n v="0"/>
  </r>
  <r>
    <x v="0"/>
    <x v="0"/>
    <x v="0"/>
    <x v="8"/>
    <x v="18"/>
    <s v="SE3_STO"/>
    <x v="0"/>
    <x v="0"/>
    <n v="141.02353577407101"/>
    <n v="507.68472878665398"/>
  </r>
  <r>
    <x v="0"/>
    <x v="0"/>
    <x v="0"/>
    <x v="8"/>
    <x v="18"/>
    <s v="SE3_STO"/>
    <x v="0"/>
    <x v="1"/>
    <n v="471.72427221084001"/>
    <n v="1698.20737995902"/>
  </r>
  <r>
    <x v="0"/>
    <x v="0"/>
    <x v="0"/>
    <x v="8"/>
    <x v="18"/>
    <s v="SE3_STO"/>
    <x v="0"/>
    <x v="2"/>
    <n v="848.81774929384903"/>
    <n v="3055.7438974578599"/>
  </r>
  <r>
    <x v="0"/>
    <x v="0"/>
    <x v="0"/>
    <x v="8"/>
    <x v="18"/>
    <s v="SE3_STO"/>
    <x v="0"/>
    <x v="3"/>
    <n v="1238.2075206698"/>
    <n v="4457.5470744112599"/>
  </r>
  <r>
    <x v="0"/>
    <x v="0"/>
    <x v="0"/>
    <x v="8"/>
    <x v="18"/>
    <s v="SE3_STO"/>
    <x v="0"/>
    <x v="4"/>
    <n v="1588.65634466239"/>
    <n v="5719.1628407845901"/>
  </r>
  <r>
    <x v="0"/>
    <x v="0"/>
    <x v="0"/>
    <x v="8"/>
    <x v="18"/>
    <s v="SE3_STO"/>
    <x v="0"/>
    <x v="5"/>
    <n v="1752.1098487302199"/>
    <n v="6307.59545542879"/>
  </r>
  <r>
    <x v="0"/>
    <x v="0"/>
    <x v="0"/>
    <x v="8"/>
    <x v="18"/>
    <s v="SE3_STO"/>
    <x v="0"/>
    <x v="6"/>
    <n v="1752.1098487302199"/>
    <n v="6307.59545542879"/>
  </r>
  <r>
    <x v="0"/>
    <x v="0"/>
    <x v="0"/>
    <x v="8"/>
    <x v="18"/>
    <s v="SE3_STO"/>
    <x v="0"/>
    <x v="7"/>
    <n v="1752.1098487302199"/>
    <n v="6307.59545542879"/>
  </r>
  <r>
    <x v="0"/>
    <x v="0"/>
    <x v="0"/>
    <x v="8"/>
    <x v="18"/>
    <s v="SE3_STO"/>
    <x v="0"/>
    <x v="8"/>
    <n v="133.89098540397899"/>
    <n v="482.00754745432499"/>
  </r>
  <r>
    <x v="0"/>
    <x v="0"/>
    <x v="0"/>
    <x v="8"/>
    <x v="18"/>
    <s v="SE3_STO"/>
    <x v="0"/>
    <x v="9"/>
    <n v="133.89098540397899"/>
    <n v="482.00754745432499"/>
  </r>
  <r>
    <x v="0"/>
    <x v="0"/>
    <x v="0"/>
    <x v="8"/>
    <x v="18"/>
    <s v="SE3_STO"/>
    <x v="0"/>
    <x v="10"/>
    <n v="133.89098540397899"/>
    <n v="482.00754745432499"/>
  </r>
  <r>
    <x v="0"/>
    <x v="0"/>
    <x v="0"/>
    <x v="8"/>
    <x v="18"/>
    <s v="SE3_STO"/>
    <x v="0"/>
    <x v="11"/>
    <n v="133.89098540397899"/>
    <n v="482.00754745432499"/>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700.41215410839197"/>
    <n v="2521.4837547902098"/>
  </r>
  <r>
    <x v="0"/>
    <x v="0"/>
    <x v="0"/>
    <x v="8"/>
    <x v="19"/>
    <s v="SE4_EL"/>
    <x v="0"/>
    <x v="1"/>
    <n v="850.40058365445202"/>
    <n v="3061.4421011560298"/>
  </r>
  <r>
    <x v="0"/>
    <x v="0"/>
    <x v="0"/>
    <x v="8"/>
    <x v="19"/>
    <s v="SE4_EL"/>
    <x v="0"/>
    <x v="2"/>
    <n v="1001.1432893424"/>
    <n v="3604.1158416326298"/>
  </r>
  <r>
    <x v="0"/>
    <x v="0"/>
    <x v="0"/>
    <x v="8"/>
    <x v="19"/>
    <s v="SE4_EL"/>
    <x v="0"/>
    <x v="3"/>
    <n v="1145.2197156399"/>
    <n v="4122.7909763036496"/>
  </r>
  <r>
    <x v="0"/>
    <x v="0"/>
    <x v="0"/>
    <x v="8"/>
    <x v="19"/>
    <s v="SE4_EL"/>
    <x v="0"/>
    <x v="4"/>
    <n v="1268.7078231437699"/>
    <n v="4567.3481633175898"/>
  </r>
  <r>
    <x v="0"/>
    <x v="0"/>
    <x v="0"/>
    <x v="8"/>
    <x v="19"/>
    <s v="SE4_EL"/>
    <x v="0"/>
    <x v="5"/>
    <n v="1343.55137398802"/>
    <n v="4836.78494635686"/>
  </r>
  <r>
    <x v="0"/>
    <x v="0"/>
    <x v="0"/>
    <x v="8"/>
    <x v="19"/>
    <s v="SE4_EL"/>
    <x v="0"/>
    <x v="6"/>
    <n v="1340.28630959773"/>
    <n v="4825.03071455185"/>
  </r>
  <r>
    <x v="0"/>
    <x v="0"/>
    <x v="0"/>
    <x v="8"/>
    <x v="19"/>
    <s v="SE4_EL"/>
    <x v="0"/>
    <x v="7"/>
    <n v="1273.20336193452"/>
    <n v="4583.5321029642701"/>
  </r>
  <r>
    <x v="0"/>
    <x v="0"/>
    <x v="0"/>
    <x v="8"/>
    <x v="19"/>
    <s v="SE4_EL"/>
    <x v="0"/>
    <x v="8"/>
    <n v="1010.73201585897"/>
    <n v="3638.63525709228"/>
  </r>
  <r>
    <x v="0"/>
    <x v="0"/>
    <x v="0"/>
    <x v="8"/>
    <x v="19"/>
    <s v="SE4_EL"/>
    <x v="0"/>
    <x v="9"/>
    <n v="752.55495439056995"/>
    <n v="2709.1978358060501"/>
  </r>
  <r>
    <x v="0"/>
    <x v="0"/>
    <x v="0"/>
    <x v="8"/>
    <x v="19"/>
    <s v="SE4_EL"/>
    <x v="0"/>
    <x v="10"/>
    <n v="532.06924354515604"/>
    <n v="1915.44927676256"/>
  </r>
  <r>
    <x v="0"/>
    <x v="0"/>
    <x v="0"/>
    <x v="8"/>
    <x v="19"/>
    <s v="SE4_EL"/>
    <x v="0"/>
    <x v="11"/>
    <n v="367.64997996222598"/>
    <n v="1323.53992786401"/>
  </r>
  <r>
    <x v="0"/>
    <x v="0"/>
    <x v="0"/>
    <x v="8"/>
    <x v="19"/>
    <s v="SE4_EL"/>
    <x v="0"/>
    <x v="12"/>
    <n v="243.19486539225599"/>
    <n v="875.50151541212199"/>
  </r>
  <r>
    <x v="0"/>
    <x v="0"/>
    <x v="0"/>
    <x v="8"/>
    <x v="19"/>
    <s v="SE4_EL"/>
    <x v="0"/>
    <x v="13"/>
    <n v="153.67334142329599"/>
    <n v="553.22402912386599"/>
  </r>
  <r>
    <x v="0"/>
    <x v="0"/>
    <x v="0"/>
    <x v="8"/>
    <x v="19"/>
    <s v="SE4_EL"/>
    <x v="0"/>
    <x v="14"/>
    <n v="153.67334142329599"/>
    <n v="553.22402912386599"/>
  </r>
  <r>
    <x v="0"/>
    <x v="0"/>
    <x v="0"/>
    <x v="8"/>
    <x v="19"/>
    <s v="SE4_EL"/>
    <x v="0"/>
    <x v="15"/>
    <n v="94.399247197296305"/>
    <n v="339.83728991026697"/>
  </r>
  <r>
    <x v="0"/>
    <x v="0"/>
    <x v="0"/>
    <x v="8"/>
    <x v="19"/>
    <s v="SE4_EL"/>
    <x v="0"/>
    <x v="16"/>
    <n v="35.095608030873102"/>
    <n v="126.34418891114299"/>
  </r>
  <r>
    <x v="0"/>
    <x v="0"/>
    <x v="0"/>
    <x v="8"/>
    <x v="19"/>
    <s v="SE4_EL"/>
    <x v="0"/>
    <x v="17"/>
    <n v="0"/>
    <n v="0"/>
  </r>
  <r>
    <x v="0"/>
    <x v="0"/>
    <x v="0"/>
    <x v="8"/>
    <x v="19"/>
    <s v="SE4_EL"/>
    <x v="0"/>
    <x v="18"/>
    <n v="2.3780279676947398"/>
    <n v="8.5609006837010604"/>
  </r>
  <r>
    <x v="0"/>
    <x v="0"/>
    <x v="0"/>
    <x v="8"/>
    <x v="19"/>
    <s v="SE4_EL"/>
    <x v="0"/>
    <x v="19"/>
    <n v="27.9942751016948"/>
    <n v="100.779390366101"/>
  </r>
  <r>
    <x v="0"/>
    <x v="0"/>
    <x v="0"/>
    <x v="8"/>
    <x v="19"/>
    <s v="SE4_EL"/>
    <x v="0"/>
    <x v="20"/>
    <n v="83.461449800491806"/>
    <n v="300.46121928177001"/>
  </r>
  <r>
    <x v="0"/>
    <x v="0"/>
    <x v="0"/>
    <x v="8"/>
    <x v="19"/>
    <s v="SE4_EL"/>
    <x v="0"/>
    <x v="21"/>
    <n v="175.69876201249599"/>
    <n v="632.51554324498704"/>
  </r>
  <r>
    <x v="0"/>
    <x v="0"/>
    <x v="0"/>
    <x v="8"/>
    <x v="19"/>
    <s v="SE4_EL"/>
    <x v="0"/>
    <x v="22"/>
    <n v="303.44634224049003"/>
    <n v="1092.40683206576"/>
  </r>
  <r>
    <x v="0"/>
    <x v="0"/>
    <x v="0"/>
    <x v="8"/>
    <x v="19"/>
    <s v="SE4_EL"/>
    <x v="0"/>
    <x v="23"/>
    <n v="467.90069298649701"/>
    <n v="1684.4424947513901"/>
  </r>
  <r>
    <x v="0"/>
    <x v="0"/>
    <x v="0"/>
    <x v="8"/>
    <x v="19"/>
    <s v="SE4_HP"/>
    <x v="0"/>
    <x v="0"/>
    <n v="664.22149210457098"/>
    <n v="2391.1973715764502"/>
  </r>
  <r>
    <x v="0"/>
    <x v="0"/>
    <x v="0"/>
    <x v="8"/>
    <x v="19"/>
    <s v="SE4_HP"/>
    <x v="0"/>
    <x v="1"/>
    <n v="799.74945736170696"/>
    <n v="2879.0980465021398"/>
  </r>
  <r>
    <x v="0"/>
    <x v="0"/>
    <x v="0"/>
    <x v="8"/>
    <x v="19"/>
    <s v="SE4_HP"/>
    <x v="0"/>
    <x v="2"/>
    <n v="940.45560843191299"/>
    <n v="3385.6401903548899"/>
  </r>
  <r>
    <x v="0"/>
    <x v="0"/>
    <x v="0"/>
    <x v="8"/>
    <x v="19"/>
    <s v="SE4_HP"/>
    <x v="0"/>
    <x v="3"/>
    <n v="1084.6310607563601"/>
    <n v="3904.6718187228898"/>
  </r>
  <r>
    <x v="0"/>
    <x v="0"/>
    <x v="0"/>
    <x v="8"/>
    <x v="19"/>
    <s v="SE4_HP"/>
    <x v="0"/>
    <x v="4"/>
    <n v="1216.5106638371699"/>
    <n v="4379.4383898138003"/>
  </r>
  <r>
    <x v="0"/>
    <x v="0"/>
    <x v="0"/>
    <x v="8"/>
    <x v="19"/>
    <s v="SE4_HP"/>
    <x v="0"/>
    <x v="5"/>
    <n v="1319.2565332367201"/>
    <n v="4749.32351965219"/>
  </r>
  <r>
    <x v="0"/>
    <x v="0"/>
    <x v="0"/>
    <x v="8"/>
    <x v="19"/>
    <s v="SE4_HP"/>
    <x v="0"/>
    <x v="6"/>
    <n v="1341.3307683318901"/>
    <n v="4828.7907659948096"/>
  </r>
  <r>
    <x v="0"/>
    <x v="0"/>
    <x v="0"/>
    <x v="8"/>
    <x v="19"/>
    <s v="SE4_HP"/>
    <x v="0"/>
    <x v="7"/>
    <n v="1193.2623553506801"/>
    <n v="4295.7444792624401"/>
  </r>
  <r>
    <x v="0"/>
    <x v="0"/>
    <x v="0"/>
    <x v="8"/>
    <x v="19"/>
    <s v="SE4_HP"/>
    <x v="0"/>
    <x v="8"/>
    <n v="978.02299640419596"/>
    <n v="3520.8827870550999"/>
  </r>
  <r>
    <x v="0"/>
    <x v="0"/>
    <x v="0"/>
    <x v="8"/>
    <x v="19"/>
    <s v="SE4_HP"/>
    <x v="0"/>
    <x v="9"/>
    <n v="774.96540829282503"/>
    <n v="2789.8754698541702"/>
  </r>
  <r>
    <x v="0"/>
    <x v="0"/>
    <x v="0"/>
    <x v="8"/>
    <x v="19"/>
    <s v="SE4_HP"/>
    <x v="0"/>
    <x v="10"/>
    <n v="601.01322787455399"/>
    <n v="2163.6476203483899"/>
  </r>
  <r>
    <x v="0"/>
    <x v="0"/>
    <x v="0"/>
    <x v="8"/>
    <x v="19"/>
    <s v="SE4_HP"/>
    <x v="0"/>
    <x v="11"/>
    <n v="451.95494516754297"/>
    <n v="1627.0378026031501"/>
  </r>
  <r>
    <x v="0"/>
    <x v="0"/>
    <x v="0"/>
    <x v="8"/>
    <x v="19"/>
    <s v="SE4_HP"/>
    <x v="0"/>
    <x v="12"/>
    <n v="339.49958356649699"/>
    <n v="1222.1985008393899"/>
  </r>
  <r>
    <x v="0"/>
    <x v="0"/>
    <x v="0"/>
    <x v="8"/>
    <x v="19"/>
    <s v="SE4_HP"/>
    <x v="0"/>
    <x v="13"/>
    <n v="264.718168876454"/>
    <n v="952.985407955234"/>
  </r>
  <r>
    <x v="0"/>
    <x v="0"/>
    <x v="0"/>
    <x v="8"/>
    <x v="19"/>
    <s v="SE4_HP"/>
    <x v="0"/>
    <x v="14"/>
    <n v="193.894210868914"/>
    <n v="698.01915912809204"/>
  </r>
  <r>
    <x v="0"/>
    <x v="0"/>
    <x v="0"/>
    <x v="8"/>
    <x v="19"/>
    <s v="SE4_HP"/>
    <x v="0"/>
    <x v="15"/>
    <n v="133.41512630217599"/>
    <n v="480.29445468783302"/>
  </r>
  <r>
    <x v="0"/>
    <x v="0"/>
    <x v="0"/>
    <x v="8"/>
    <x v="19"/>
    <s v="SE4_HP"/>
    <x v="0"/>
    <x v="16"/>
    <n v="72.962424217253997"/>
    <n v="262.66472718211401"/>
  </r>
  <r>
    <x v="0"/>
    <x v="0"/>
    <x v="0"/>
    <x v="8"/>
    <x v="19"/>
    <s v="SE4_HP"/>
    <x v="0"/>
    <x v="17"/>
    <n v="17.396220256147"/>
    <n v="62.626392922129199"/>
  </r>
  <r>
    <x v="0"/>
    <x v="0"/>
    <x v="0"/>
    <x v="8"/>
    <x v="19"/>
    <s v="SE4_HP"/>
    <x v="0"/>
    <x v="18"/>
    <n v="0"/>
    <n v="0"/>
  </r>
  <r>
    <x v="0"/>
    <x v="0"/>
    <x v="0"/>
    <x v="8"/>
    <x v="19"/>
    <s v="SE4_HP"/>
    <x v="0"/>
    <x v="19"/>
    <n v="10.095408681297201"/>
    <n v="36.343471252669801"/>
  </r>
  <r>
    <x v="0"/>
    <x v="0"/>
    <x v="0"/>
    <x v="8"/>
    <x v="19"/>
    <s v="SE4_HP"/>
    <x v="0"/>
    <x v="20"/>
    <n v="47.291116095864702"/>
    <n v="170.24801794511299"/>
  </r>
  <r>
    <x v="0"/>
    <x v="0"/>
    <x v="0"/>
    <x v="8"/>
    <x v="19"/>
    <s v="SE4_HP"/>
    <x v="0"/>
    <x v="21"/>
    <n v="118.425548763131"/>
    <n v="426.33197554727099"/>
  </r>
  <r>
    <x v="0"/>
    <x v="0"/>
    <x v="0"/>
    <x v="8"/>
    <x v="19"/>
    <s v="SE4_HP"/>
    <x v="0"/>
    <x v="22"/>
    <n v="240.89382197567801"/>
    <n v="867.21775911244197"/>
  </r>
  <r>
    <x v="0"/>
    <x v="0"/>
    <x v="0"/>
    <x v="8"/>
    <x v="19"/>
    <s v="SE4_HP"/>
    <x v="0"/>
    <x v="23"/>
    <n v="404.48273558342601"/>
    <n v="1456.1378481003301"/>
  </r>
  <r>
    <x v="0"/>
    <x v="0"/>
    <x v="0"/>
    <x v="8"/>
    <x v="19"/>
    <s v="SE4_MAL"/>
    <x v="0"/>
    <x v="0"/>
    <n v="686.56479384495105"/>
    <n v="2471.6332578418201"/>
  </r>
  <r>
    <x v="0"/>
    <x v="0"/>
    <x v="0"/>
    <x v="8"/>
    <x v="19"/>
    <s v="SE4_MAL"/>
    <x v="0"/>
    <x v="1"/>
    <n v="855.31511805626405"/>
    <n v="3079.13442500255"/>
  </r>
  <r>
    <x v="0"/>
    <x v="0"/>
    <x v="0"/>
    <x v="8"/>
    <x v="19"/>
    <s v="SE4_MAL"/>
    <x v="0"/>
    <x v="2"/>
    <n v="1033.1198401193201"/>
    <n v="3719.2314244295599"/>
  </r>
  <r>
    <x v="0"/>
    <x v="0"/>
    <x v="0"/>
    <x v="8"/>
    <x v="19"/>
    <s v="SE4_MAL"/>
    <x v="0"/>
    <x v="3"/>
    <n v="1220.8912680286601"/>
    <n v="4395.2085649031796"/>
  </r>
  <r>
    <x v="0"/>
    <x v="0"/>
    <x v="0"/>
    <x v="8"/>
    <x v="19"/>
    <s v="SE4_MAL"/>
    <x v="0"/>
    <x v="4"/>
    <n v="1400.4072512682801"/>
    <n v="5041.4661045658104"/>
  </r>
  <r>
    <x v="0"/>
    <x v="0"/>
    <x v="0"/>
    <x v="8"/>
    <x v="19"/>
    <s v="SE4_MAL"/>
    <x v="0"/>
    <x v="5"/>
    <n v="1549.44932695701"/>
    <n v="5578.0175770452297"/>
  </r>
  <r>
    <x v="0"/>
    <x v="0"/>
    <x v="0"/>
    <x v="8"/>
    <x v="19"/>
    <s v="SE4_MAL"/>
    <x v="0"/>
    <x v="6"/>
    <n v="1549.44932695701"/>
    <n v="5578.0175770452297"/>
  </r>
  <r>
    <x v="0"/>
    <x v="0"/>
    <x v="0"/>
    <x v="8"/>
    <x v="19"/>
    <s v="SE4_MAL"/>
    <x v="0"/>
    <x v="7"/>
    <n v="1549.44932695701"/>
    <n v="5578.0175770452297"/>
  </r>
  <r>
    <x v="0"/>
    <x v="0"/>
    <x v="0"/>
    <x v="8"/>
    <x v="19"/>
    <s v="SE4_MAL"/>
    <x v="0"/>
    <x v="8"/>
    <n v="1094.3534924887999"/>
    <n v="3939.6725729596801"/>
  </r>
  <r>
    <x v="0"/>
    <x v="0"/>
    <x v="0"/>
    <x v="8"/>
    <x v="19"/>
    <s v="SE4_MAL"/>
    <x v="0"/>
    <x v="9"/>
    <n v="674.05448617328102"/>
    <n v="2426.5961502238101"/>
  </r>
  <r>
    <x v="0"/>
    <x v="0"/>
    <x v="0"/>
    <x v="8"/>
    <x v="19"/>
    <s v="SE4_MAL"/>
    <x v="0"/>
    <x v="10"/>
    <n v="298.29624715244398"/>
    <n v="1073.8664897487999"/>
  </r>
  <r>
    <x v="0"/>
    <x v="0"/>
    <x v="0"/>
    <x v="8"/>
    <x v="19"/>
    <s v="SE4_MAL"/>
    <x v="0"/>
    <x v="11"/>
    <n v="0"/>
    <n v="0"/>
  </r>
  <r>
    <x v="0"/>
    <x v="0"/>
    <x v="0"/>
    <x v="8"/>
    <x v="19"/>
    <s v="SE4_MAL"/>
    <x v="0"/>
    <x v="12"/>
    <n v="0"/>
    <n v="0"/>
  </r>
  <r>
    <x v="0"/>
    <x v="0"/>
    <x v="0"/>
    <x v="8"/>
    <x v="19"/>
    <s v="SE4_MAL"/>
    <x v="0"/>
    <x v="13"/>
    <n v="0"/>
    <n v="0"/>
  </r>
  <r>
    <x v="0"/>
    <x v="0"/>
    <x v="0"/>
    <x v="8"/>
    <x v="19"/>
    <s v="SE4_MAL"/>
    <x v="0"/>
    <x v="14"/>
    <n v="0"/>
    <n v="0"/>
  </r>
  <r>
    <x v="0"/>
    <x v="0"/>
    <x v="0"/>
    <x v="8"/>
    <x v="19"/>
    <s v="SE4_MAL"/>
    <x v="0"/>
    <x v="15"/>
    <n v="0"/>
    <n v="0"/>
  </r>
  <r>
    <x v="0"/>
    <x v="0"/>
    <x v="0"/>
    <x v="8"/>
    <x v="19"/>
    <s v="SE4_MAL"/>
    <x v="0"/>
    <x v="16"/>
    <n v="0"/>
    <n v="0"/>
  </r>
  <r>
    <x v="0"/>
    <x v="0"/>
    <x v="0"/>
    <x v="8"/>
    <x v="19"/>
    <s v="SE4_MAL"/>
    <x v="0"/>
    <x v="17"/>
    <n v="0"/>
    <n v="0"/>
  </r>
  <r>
    <x v="0"/>
    <x v="0"/>
    <x v="0"/>
    <x v="8"/>
    <x v="19"/>
    <s v="SE4_MAL"/>
    <x v="0"/>
    <x v="18"/>
    <n v="0"/>
    <n v="0"/>
  </r>
  <r>
    <x v="0"/>
    <x v="0"/>
    <x v="0"/>
    <x v="8"/>
    <x v="19"/>
    <s v="SE4_MAL"/>
    <x v="0"/>
    <x v="19"/>
    <n v="0"/>
    <n v="0"/>
  </r>
  <r>
    <x v="0"/>
    <x v="0"/>
    <x v="0"/>
    <x v="8"/>
    <x v="19"/>
    <s v="SE4_MAL"/>
    <x v="0"/>
    <x v="20"/>
    <n v="0"/>
    <n v="0"/>
  </r>
  <r>
    <x v="0"/>
    <x v="0"/>
    <x v="0"/>
    <x v="8"/>
    <x v="19"/>
    <s v="SE4_MAL"/>
    <x v="0"/>
    <x v="21"/>
    <n v="15.284632350783699"/>
    <n v="55.024676462821297"/>
  </r>
  <r>
    <x v="0"/>
    <x v="0"/>
    <x v="0"/>
    <x v="8"/>
    <x v="19"/>
    <s v="SE4_MAL"/>
    <x v="0"/>
    <x v="22"/>
    <n v="123.195557258485"/>
    <n v="443.50400613054501"/>
  </r>
  <r>
    <x v="0"/>
    <x v="0"/>
    <x v="0"/>
    <x v="8"/>
    <x v="19"/>
    <s v="SE4_MAL"/>
    <x v="0"/>
    <x v="23"/>
    <n v="315.149777987829"/>
    <n v="1134.53920075618"/>
  </r>
  <r>
    <x v="0"/>
    <x v="0"/>
    <x v="0"/>
    <x v="8"/>
    <x v="19"/>
    <s v="SE4_OTHER"/>
    <x v="0"/>
    <x v="0"/>
    <n v="226.762771229668"/>
    <n v="816.34597642680399"/>
  </r>
  <r>
    <x v="0"/>
    <x v="0"/>
    <x v="0"/>
    <x v="8"/>
    <x v="19"/>
    <s v="SE4_OTHER"/>
    <x v="0"/>
    <x v="1"/>
    <n v="226.762771229668"/>
    <n v="816.34597642680399"/>
  </r>
  <r>
    <x v="0"/>
    <x v="0"/>
    <x v="0"/>
    <x v="8"/>
    <x v="19"/>
    <s v="SE4_OTHER"/>
    <x v="0"/>
    <x v="2"/>
    <n v="253.15025852463"/>
    <n v="911.34093068866798"/>
  </r>
  <r>
    <x v="0"/>
    <x v="0"/>
    <x v="0"/>
    <x v="8"/>
    <x v="19"/>
    <s v="SE4_OTHER"/>
    <x v="0"/>
    <x v="3"/>
    <n v="258.44743241518302"/>
    <n v="930.41075669465897"/>
  </r>
  <r>
    <x v="0"/>
    <x v="0"/>
    <x v="0"/>
    <x v="8"/>
    <x v="19"/>
    <s v="SE4_OTHER"/>
    <x v="0"/>
    <x v="4"/>
    <n v="258.44743241518302"/>
    <n v="930.41075669465897"/>
  </r>
  <r>
    <x v="0"/>
    <x v="0"/>
    <x v="0"/>
    <x v="8"/>
    <x v="19"/>
    <s v="SE4_OTHER"/>
    <x v="0"/>
    <x v="5"/>
    <n v="258.44743241518302"/>
    <n v="930.41075669465897"/>
  </r>
  <r>
    <x v="0"/>
    <x v="0"/>
    <x v="0"/>
    <x v="8"/>
    <x v="19"/>
    <s v="SE4_OTHER"/>
    <x v="0"/>
    <x v="6"/>
    <n v="258.44743241518302"/>
    <n v="930.41075669465897"/>
  </r>
  <r>
    <x v="0"/>
    <x v="0"/>
    <x v="0"/>
    <x v="8"/>
    <x v="19"/>
    <s v="SE4_OTHER"/>
    <x v="0"/>
    <x v="7"/>
    <n v="258.44743241518302"/>
    <n v="930.41075669465897"/>
  </r>
  <r>
    <x v="0"/>
    <x v="0"/>
    <x v="0"/>
    <x v="8"/>
    <x v="19"/>
    <s v="SE4_OTHER"/>
    <x v="0"/>
    <x v="8"/>
    <n v="258.44743241518302"/>
    <n v="930.41075669465897"/>
  </r>
  <r>
    <x v="0"/>
    <x v="0"/>
    <x v="0"/>
    <x v="8"/>
    <x v="19"/>
    <s v="SE4_OTHER"/>
    <x v="0"/>
    <x v="9"/>
    <n v="258.44743241518302"/>
    <n v="930.41075669465897"/>
  </r>
  <r>
    <x v="0"/>
    <x v="0"/>
    <x v="0"/>
    <x v="8"/>
    <x v="19"/>
    <s v="SE4_OTHER"/>
    <x v="0"/>
    <x v="10"/>
    <n v="19.749778489216901"/>
    <n v="71.099202561180903"/>
  </r>
  <r>
    <x v="0"/>
    <x v="0"/>
    <x v="0"/>
    <x v="8"/>
    <x v="19"/>
    <s v="SE4_OTHER"/>
    <x v="0"/>
    <x v="11"/>
    <n v="19.749778489216901"/>
    <n v="71.099202561180903"/>
  </r>
  <r>
    <x v="0"/>
    <x v="0"/>
    <x v="0"/>
    <x v="8"/>
    <x v="19"/>
    <s v="SE4_OTHER"/>
    <x v="0"/>
    <x v="12"/>
    <n v="19.749778489216901"/>
    <n v="71.099202561180903"/>
  </r>
  <r>
    <x v="0"/>
    <x v="0"/>
    <x v="0"/>
    <x v="8"/>
    <x v="19"/>
    <s v="SE4_OTHER"/>
    <x v="0"/>
    <x v="13"/>
    <n v="19.749778489216901"/>
    <n v="71.099202561180903"/>
  </r>
  <r>
    <x v="0"/>
    <x v="0"/>
    <x v="0"/>
    <x v="8"/>
    <x v="19"/>
    <s v="SE4_OTHER"/>
    <x v="0"/>
    <x v="14"/>
    <n v="19.749778489216901"/>
    <n v="71.099202561180903"/>
  </r>
  <r>
    <x v="0"/>
    <x v="0"/>
    <x v="0"/>
    <x v="8"/>
    <x v="19"/>
    <s v="SE4_OTHER"/>
    <x v="0"/>
    <x v="15"/>
    <n v="0"/>
    <n v="0"/>
  </r>
  <r>
    <x v="0"/>
    <x v="0"/>
    <x v="0"/>
    <x v="8"/>
    <x v="19"/>
    <s v="SE4_OTHER"/>
    <x v="0"/>
    <x v="16"/>
    <n v="0"/>
    <n v="0"/>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0"/>
    <n v="0"/>
  </r>
</pivotCacheRecords>
</file>

<file path=xl/pivotCache/pivotCacheRecords11.xml><?xml version="1.0" encoding="utf-8"?>
<pivotCacheRecords xmlns="http://schemas.openxmlformats.org/spreadsheetml/2006/main" xmlns:r="http://schemas.openxmlformats.org/officeDocument/2006/relationships" count="8810">
  <r>
    <x v="0"/>
    <x v="0"/>
    <x v="0"/>
    <x v="0"/>
    <x v="0"/>
    <s v="DK1_Large"/>
    <x v="0"/>
    <s v="GNR_BO_BGAS_E-90"/>
    <x v="0"/>
    <x v="0"/>
    <n v="0.378"/>
    <n v="137.97"/>
    <n v="496.69200000000001"/>
  </r>
  <r>
    <x v="0"/>
    <x v="0"/>
    <x v="0"/>
    <x v="0"/>
    <x v="0"/>
    <s v="DK1_Large"/>
    <x v="0"/>
    <s v="GNR_BO_BGAS_E-90"/>
    <x v="0"/>
    <x v="1"/>
    <n v="0.378"/>
    <n v="137.97"/>
    <n v="496.69200000000001"/>
  </r>
  <r>
    <x v="0"/>
    <x v="0"/>
    <x v="0"/>
    <x v="0"/>
    <x v="0"/>
    <s v="DK1_Large"/>
    <x v="0"/>
    <s v="GNR_BO_BGAS_E-90"/>
    <x v="0"/>
    <x v="2"/>
    <n v="0.378"/>
    <n v="137.97"/>
    <n v="496.69200000000001"/>
  </r>
  <r>
    <x v="0"/>
    <x v="0"/>
    <x v="0"/>
    <x v="0"/>
    <x v="0"/>
    <s v="DK1_Large"/>
    <x v="0"/>
    <s v="GNR_BO_BGAS_E-90"/>
    <x v="0"/>
    <x v="3"/>
    <n v="0.378"/>
    <n v="137.97"/>
    <n v="496.69200000000001"/>
  </r>
  <r>
    <x v="0"/>
    <x v="0"/>
    <x v="0"/>
    <x v="0"/>
    <x v="0"/>
    <s v="DK1_Large"/>
    <x v="0"/>
    <s v="GNR_BO_BGAS_E-90"/>
    <x v="0"/>
    <x v="4"/>
    <n v="0.378"/>
    <n v="137.97"/>
    <n v="496.69200000000001"/>
  </r>
  <r>
    <x v="0"/>
    <x v="0"/>
    <x v="0"/>
    <x v="0"/>
    <x v="0"/>
    <s v="DK1_Large"/>
    <x v="0"/>
    <s v="GNR_BO_BGAS_E-90"/>
    <x v="0"/>
    <x v="5"/>
    <n v="0.378"/>
    <n v="137.97"/>
    <n v="496.69200000000001"/>
  </r>
  <r>
    <x v="0"/>
    <x v="0"/>
    <x v="0"/>
    <x v="0"/>
    <x v="0"/>
    <s v="DK1_Large"/>
    <x v="0"/>
    <s v="GNR_BO_BGAS_E-90"/>
    <x v="0"/>
    <x v="6"/>
    <n v="0.378"/>
    <n v="137.97"/>
    <n v="496.69200000000001"/>
  </r>
  <r>
    <x v="0"/>
    <x v="0"/>
    <x v="0"/>
    <x v="0"/>
    <x v="0"/>
    <s v="DK1_Large"/>
    <x v="0"/>
    <s v="GNR_BO_BGAS_E-90"/>
    <x v="0"/>
    <x v="7"/>
    <n v="0.378"/>
    <n v="137.97"/>
    <n v="496.69200000000001"/>
  </r>
  <r>
    <x v="0"/>
    <x v="0"/>
    <x v="0"/>
    <x v="0"/>
    <x v="0"/>
    <s v="DK1_Large"/>
    <x v="0"/>
    <s v="GNR_BO_BGAS_E-90"/>
    <x v="0"/>
    <x v="8"/>
    <n v="0.378"/>
    <n v="137.97"/>
    <n v="496.69200000000001"/>
  </r>
  <r>
    <x v="0"/>
    <x v="0"/>
    <x v="0"/>
    <x v="0"/>
    <x v="0"/>
    <s v="DK1_Large"/>
    <x v="0"/>
    <s v="GNR_BO_BGAS_E-90"/>
    <x v="0"/>
    <x v="9"/>
    <n v="0.378"/>
    <n v="137.97"/>
    <n v="496.69200000000001"/>
  </r>
  <r>
    <x v="0"/>
    <x v="0"/>
    <x v="0"/>
    <x v="0"/>
    <x v="0"/>
    <s v="DK1_Large"/>
    <x v="0"/>
    <s v="GNR_BO_BGAS_E-90"/>
    <x v="0"/>
    <x v="10"/>
    <n v="0.378"/>
    <n v="137.97"/>
    <n v="496.69200000000001"/>
  </r>
  <r>
    <x v="0"/>
    <x v="0"/>
    <x v="0"/>
    <x v="0"/>
    <x v="0"/>
    <s v="DK1_Large"/>
    <x v="0"/>
    <s v="GNR_BO_BGAS_E-90"/>
    <x v="0"/>
    <x v="11"/>
    <n v="0.378"/>
    <n v="137.97"/>
    <n v="496.69200000000001"/>
  </r>
  <r>
    <x v="0"/>
    <x v="0"/>
    <x v="0"/>
    <x v="0"/>
    <x v="0"/>
    <s v="DK1_Large"/>
    <x v="0"/>
    <s v="GNR_BO_BGAS_E-90"/>
    <x v="0"/>
    <x v="12"/>
    <n v="0.378"/>
    <n v="137.97"/>
    <n v="496.69200000000001"/>
  </r>
  <r>
    <x v="0"/>
    <x v="0"/>
    <x v="0"/>
    <x v="0"/>
    <x v="0"/>
    <s v="DK1_Large"/>
    <x v="0"/>
    <s v="GNR_BO_BGAS_E-90"/>
    <x v="0"/>
    <x v="13"/>
    <n v="0.378"/>
    <n v="137.97"/>
    <n v="496.69200000000001"/>
  </r>
  <r>
    <x v="0"/>
    <x v="0"/>
    <x v="0"/>
    <x v="0"/>
    <x v="0"/>
    <s v="DK1_Large"/>
    <x v="0"/>
    <s v="GNR_BO_BGAS_E-90"/>
    <x v="0"/>
    <x v="14"/>
    <n v="0.378"/>
    <n v="137.97"/>
    <n v="496.69200000000001"/>
  </r>
  <r>
    <x v="0"/>
    <x v="0"/>
    <x v="0"/>
    <x v="0"/>
    <x v="0"/>
    <s v="DK1_Large"/>
    <x v="0"/>
    <s v="GNR_BO_BGAS_E-90"/>
    <x v="0"/>
    <x v="15"/>
    <n v="0.378"/>
    <n v="137.97"/>
    <n v="496.69200000000001"/>
  </r>
  <r>
    <x v="0"/>
    <x v="0"/>
    <x v="0"/>
    <x v="0"/>
    <x v="0"/>
    <s v="DK1_Large"/>
    <x v="0"/>
    <s v="GNR_BO_BGAS_E-90"/>
    <x v="0"/>
    <x v="16"/>
    <n v="0.378"/>
    <n v="137.97"/>
    <n v="496.69200000000001"/>
  </r>
  <r>
    <x v="0"/>
    <x v="0"/>
    <x v="0"/>
    <x v="0"/>
    <x v="0"/>
    <s v="DK1_Large"/>
    <x v="0"/>
    <s v="GNR_BO_BGAS_E-90"/>
    <x v="0"/>
    <x v="17"/>
    <n v="0.378"/>
    <n v="137.97"/>
    <n v="496.69200000000001"/>
  </r>
  <r>
    <x v="0"/>
    <x v="0"/>
    <x v="0"/>
    <x v="0"/>
    <x v="0"/>
    <s v="DK1_Large"/>
    <x v="0"/>
    <s v="GNR_BO_BGAS_E-90"/>
    <x v="0"/>
    <x v="18"/>
    <n v="0.378"/>
    <n v="137.97"/>
    <n v="496.69200000000001"/>
  </r>
  <r>
    <x v="0"/>
    <x v="0"/>
    <x v="0"/>
    <x v="0"/>
    <x v="0"/>
    <s v="DK1_Large"/>
    <x v="0"/>
    <s v="GNR_BO_BGAS_E-90"/>
    <x v="0"/>
    <x v="19"/>
    <n v="0.378"/>
    <n v="137.97"/>
    <n v="496.69200000000001"/>
  </r>
  <r>
    <x v="0"/>
    <x v="0"/>
    <x v="0"/>
    <x v="0"/>
    <x v="0"/>
    <s v="DK1_Large"/>
    <x v="0"/>
    <s v="GNR_BO_BGAS_E-90"/>
    <x v="0"/>
    <x v="20"/>
    <n v="0.378"/>
    <n v="137.97"/>
    <n v="496.69200000000001"/>
  </r>
  <r>
    <x v="0"/>
    <x v="0"/>
    <x v="0"/>
    <x v="0"/>
    <x v="0"/>
    <s v="DK1_Large"/>
    <x v="0"/>
    <s v="GNR_BO_BGAS_E-90"/>
    <x v="0"/>
    <x v="21"/>
    <n v="0.378"/>
    <n v="137.97"/>
    <n v="496.69200000000001"/>
  </r>
  <r>
    <x v="0"/>
    <x v="0"/>
    <x v="0"/>
    <x v="0"/>
    <x v="0"/>
    <s v="DK1_Large"/>
    <x v="0"/>
    <s v="GNR_BO_BGAS_E-90"/>
    <x v="0"/>
    <x v="22"/>
    <n v="0.378"/>
    <n v="137.97"/>
    <n v="496.69200000000001"/>
  </r>
  <r>
    <x v="0"/>
    <x v="0"/>
    <x v="0"/>
    <x v="0"/>
    <x v="0"/>
    <s v="DK1_Large"/>
    <x v="0"/>
    <s v="GNR_BO_BGAS_E-90"/>
    <x v="0"/>
    <x v="23"/>
    <n v="0.378"/>
    <n v="137.97"/>
    <n v="496.69200000000001"/>
  </r>
  <r>
    <x v="0"/>
    <x v="0"/>
    <x v="0"/>
    <x v="0"/>
    <x v="0"/>
    <s v="DK1_Large"/>
    <x v="0"/>
    <s v="GNR_BO_BGAS_E-95"/>
    <x v="0"/>
    <x v="0"/>
    <n v="0.94"/>
    <n v="343.1"/>
    <n v="1235.1600000000001"/>
  </r>
  <r>
    <x v="0"/>
    <x v="0"/>
    <x v="0"/>
    <x v="0"/>
    <x v="0"/>
    <s v="DK1_Large"/>
    <x v="0"/>
    <s v="GNR_BO_BGAS_E-95"/>
    <x v="0"/>
    <x v="1"/>
    <n v="0.94"/>
    <n v="343.1"/>
    <n v="1235.1600000000001"/>
  </r>
  <r>
    <x v="0"/>
    <x v="0"/>
    <x v="0"/>
    <x v="0"/>
    <x v="0"/>
    <s v="DK1_Large"/>
    <x v="0"/>
    <s v="GNR_BO_BGAS_E-95"/>
    <x v="0"/>
    <x v="2"/>
    <n v="0.94"/>
    <n v="343.1"/>
    <n v="1235.1600000000001"/>
  </r>
  <r>
    <x v="0"/>
    <x v="0"/>
    <x v="0"/>
    <x v="0"/>
    <x v="0"/>
    <s v="DK1_Large"/>
    <x v="0"/>
    <s v="GNR_BO_BGAS_E-95"/>
    <x v="0"/>
    <x v="3"/>
    <n v="0.94"/>
    <n v="343.1"/>
    <n v="1235.1600000000001"/>
  </r>
  <r>
    <x v="0"/>
    <x v="0"/>
    <x v="0"/>
    <x v="0"/>
    <x v="0"/>
    <s v="DK1_Large"/>
    <x v="0"/>
    <s v="GNR_BO_BGAS_E-95"/>
    <x v="0"/>
    <x v="4"/>
    <n v="0.94"/>
    <n v="343.1"/>
    <n v="1235.1600000000001"/>
  </r>
  <r>
    <x v="0"/>
    <x v="0"/>
    <x v="0"/>
    <x v="0"/>
    <x v="0"/>
    <s v="DK1_Large"/>
    <x v="0"/>
    <s v="GNR_BO_BGAS_E-95"/>
    <x v="0"/>
    <x v="5"/>
    <n v="0.94"/>
    <n v="343.1"/>
    <n v="1235.1600000000001"/>
  </r>
  <r>
    <x v="0"/>
    <x v="0"/>
    <x v="0"/>
    <x v="0"/>
    <x v="0"/>
    <s v="DK1_Large"/>
    <x v="0"/>
    <s v="GNR_BO_BGAS_E-95"/>
    <x v="0"/>
    <x v="6"/>
    <n v="0.94"/>
    <n v="343.1"/>
    <n v="1235.1600000000001"/>
  </r>
  <r>
    <x v="0"/>
    <x v="0"/>
    <x v="0"/>
    <x v="0"/>
    <x v="0"/>
    <s v="DK1_Large"/>
    <x v="0"/>
    <s v="GNR_BO_BGAS_E-95"/>
    <x v="0"/>
    <x v="7"/>
    <n v="0.94"/>
    <n v="343.1"/>
    <n v="1235.1600000000001"/>
  </r>
  <r>
    <x v="0"/>
    <x v="0"/>
    <x v="0"/>
    <x v="0"/>
    <x v="0"/>
    <s v="DK1_Large"/>
    <x v="0"/>
    <s v="GNR_BO_BGAS_E-95"/>
    <x v="0"/>
    <x v="8"/>
    <n v="0.94"/>
    <n v="343.1"/>
    <n v="1235.1600000000001"/>
  </r>
  <r>
    <x v="0"/>
    <x v="0"/>
    <x v="0"/>
    <x v="0"/>
    <x v="0"/>
    <s v="DK1_Large"/>
    <x v="0"/>
    <s v="GNR_BO_BGAS_E-95"/>
    <x v="0"/>
    <x v="9"/>
    <n v="0.94"/>
    <n v="343.1"/>
    <n v="1235.1600000000001"/>
  </r>
  <r>
    <x v="0"/>
    <x v="0"/>
    <x v="0"/>
    <x v="0"/>
    <x v="0"/>
    <s v="DK1_Large"/>
    <x v="0"/>
    <s v="GNR_BO_BGAS_E-95"/>
    <x v="0"/>
    <x v="10"/>
    <n v="0.94"/>
    <n v="343.1"/>
    <n v="1235.1600000000001"/>
  </r>
  <r>
    <x v="0"/>
    <x v="0"/>
    <x v="0"/>
    <x v="0"/>
    <x v="0"/>
    <s v="DK1_Large"/>
    <x v="0"/>
    <s v="GNR_BO_BGAS_E-95"/>
    <x v="0"/>
    <x v="11"/>
    <n v="0.94"/>
    <n v="343.1"/>
    <n v="1235.1600000000001"/>
  </r>
  <r>
    <x v="0"/>
    <x v="0"/>
    <x v="0"/>
    <x v="0"/>
    <x v="0"/>
    <s v="DK1_Large"/>
    <x v="0"/>
    <s v="GNR_BO_BGAS_E-95"/>
    <x v="0"/>
    <x v="12"/>
    <n v="0.94"/>
    <n v="343.1"/>
    <n v="1235.1600000000001"/>
  </r>
  <r>
    <x v="0"/>
    <x v="0"/>
    <x v="0"/>
    <x v="0"/>
    <x v="0"/>
    <s v="DK1_Large"/>
    <x v="0"/>
    <s v="GNR_BO_BGAS_E-95"/>
    <x v="0"/>
    <x v="13"/>
    <n v="0.94"/>
    <n v="343.1"/>
    <n v="1235.1600000000001"/>
  </r>
  <r>
    <x v="0"/>
    <x v="0"/>
    <x v="0"/>
    <x v="0"/>
    <x v="0"/>
    <s v="DK1_Large"/>
    <x v="0"/>
    <s v="GNR_BO_BGAS_E-95"/>
    <x v="0"/>
    <x v="14"/>
    <n v="0.94"/>
    <n v="343.1"/>
    <n v="1235.1600000000001"/>
  </r>
  <r>
    <x v="0"/>
    <x v="0"/>
    <x v="0"/>
    <x v="0"/>
    <x v="0"/>
    <s v="DK1_Large"/>
    <x v="0"/>
    <s v="GNR_BO_BGAS_E-95"/>
    <x v="0"/>
    <x v="15"/>
    <n v="0.94"/>
    <n v="343.1"/>
    <n v="1235.1600000000001"/>
  </r>
  <r>
    <x v="0"/>
    <x v="0"/>
    <x v="0"/>
    <x v="0"/>
    <x v="0"/>
    <s v="DK1_Large"/>
    <x v="0"/>
    <s v="GNR_BO_BGAS_E-95"/>
    <x v="0"/>
    <x v="16"/>
    <n v="0.94"/>
    <n v="343.1"/>
    <n v="1235.1600000000001"/>
  </r>
  <r>
    <x v="0"/>
    <x v="0"/>
    <x v="0"/>
    <x v="0"/>
    <x v="0"/>
    <s v="DK1_Large"/>
    <x v="0"/>
    <s v="GNR_BO_BGAS_E-95"/>
    <x v="0"/>
    <x v="17"/>
    <n v="0.94"/>
    <n v="343.1"/>
    <n v="1235.1600000000001"/>
  </r>
  <r>
    <x v="0"/>
    <x v="0"/>
    <x v="0"/>
    <x v="0"/>
    <x v="0"/>
    <s v="DK1_Large"/>
    <x v="0"/>
    <s v="GNR_BO_BGAS_E-95"/>
    <x v="0"/>
    <x v="18"/>
    <n v="0.94"/>
    <n v="343.1"/>
    <n v="1235.1600000000001"/>
  </r>
  <r>
    <x v="0"/>
    <x v="0"/>
    <x v="0"/>
    <x v="0"/>
    <x v="0"/>
    <s v="DK1_Large"/>
    <x v="0"/>
    <s v="GNR_BO_BGAS_E-95"/>
    <x v="0"/>
    <x v="19"/>
    <n v="0.94"/>
    <n v="343.1"/>
    <n v="1235.1600000000001"/>
  </r>
  <r>
    <x v="0"/>
    <x v="0"/>
    <x v="0"/>
    <x v="0"/>
    <x v="0"/>
    <s v="DK1_Large"/>
    <x v="0"/>
    <s v="GNR_BO_BGAS_E-95"/>
    <x v="0"/>
    <x v="20"/>
    <n v="0.94"/>
    <n v="343.1"/>
    <n v="1235.1600000000001"/>
  </r>
  <r>
    <x v="0"/>
    <x v="0"/>
    <x v="0"/>
    <x v="0"/>
    <x v="0"/>
    <s v="DK1_Large"/>
    <x v="0"/>
    <s v="GNR_BO_BGAS_E-95"/>
    <x v="0"/>
    <x v="21"/>
    <n v="0.94"/>
    <n v="343.1"/>
    <n v="1235.1600000000001"/>
  </r>
  <r>
    <x v="0"/>
    <x v="0"/>
    <x v="0"/>
    <x v="0"/>
    <x v="0"/>
    <s v="DK1_Large"/>
    <x v="0"/>
    <s v="GNR_BO_BGAS_E-95"/>
    <x v="0"/>
    <x v="22"/>
    <n v="0.94"/>
    <n v="343.1"/>
    <n v="1235.1600000000001"/>
  </r>
  <r>
    <x v="0"/>
    <x v="0"/>
    <x v="0"/>
    <x v="0"/>
    <x v="0"/>
    <s v="DK1_Large"/>
    <x v="0"/>
    <s v="GNR_BO_BGAS_E-95"/>
    <x v="0"/>
    <x v="23"/>
    <n v="0.94"/>
    <n v="343.1"/>
    <n v="1235.1600000000001"/>
  </r>
  <r>
    <x v="0"/>
    <x v="0"/>
    <x v="0"/>
    <x v="0"/>
    <x v="0"/>
    <s v="DK1_Large"/>
    <x v="0"/>
    <s v="GNR_ENG_BGAS_BP_E-31"/>
    <x v="0"/>
    <x v="0"/>
    <n v="0.30487804878048802"/>
    <n v="111.28048780487801"/>
    <n v="400.60975609756099"/>
  </r>
  <r>
    <x v="0"/>
    <x v="0"/>
    <x v="0"/>
    <x v="0"/>
    <x v="0"/>
    <s v="DK1_Large"/>
    <x v="0"/>
    <s v="GNR_ENG_BGAS_BP_E-31"/>
    <x v="0"/>
    <x v="1"/>
    <n v="0.30487804878048802"/>
    <n v="111.28048780487801"/>
    <n v="400.60975609756099"/>
  </r>
  <r>
    <x v="0"/>
    <x v="0"/>
    <x v="0"/>
    <x v="0"/>
    <x v="0"/>
    <s v="DK1_Large"/>
    <x v="0"/>
    <s v="GNR_ENG_BGAS_BP_E-31"/>
    <x v="0"/>
    <x v="2"/>
    <n v="0.30487804878048802"/>
    <n v="111.28048780487801"/>
    <n v="400.60975609756099"/>
  </r>
  <r>
    <x v="0"/>
    <x v="0"/>
    <x v="0"/>
    <x v="0"/>
    <x v="0"/>
    <s v="DK1_Large"/>
    <x v="0"/>
    <s v="GNR_ENG_BGAS_BP_E-31"/>
    <x v="0"/>
    <x v="3"/>
    <n v="0.30487804878048802"/>
    <n v="111.28048780487801"/>
    <n v="400.60975609756099"/>
  </r>
  <r>
    <x v="0"/>
    <x v="0"/>
    <x v="0"/>
    <x v="0"/>
    <x v="0"/>
    <s v="DK1_Large"/>
    <x v="0"/>
    <s v="GNR_ENG_BGAS_BP_E-31"/>
    <x v="0"/>
    <x v="4"/>
    <n v="0.30487804878048802"/>
    <n v="111.28048780487801"/>
    <n v="400.60975609756099"/>
  </r>
  <r>
    <x v="0"/>
    <x v="0"/>
    <x v="0"/>
    <x v="0"/>
    <x v="0"/>
    <s v="DK1_Large"/>
    <x v="0"/>
    <s v="GNR_ENG_BGAS_BP_E-31"/>
    <x v="0"/>
    <x v="5"/>
    <n v="0.30487804878048802"/>
    <n v="111.28048780487801"/>
    <n v="400.60975609756099"/>
  </r>
  <r>
    <x v="0"/>
    <x v="0"/>
    <x v="0"/>
    <x v="0"/>
    <x v="0"/>
    <s v="DK1_Large"/>
    <x v="0"/>
    <s v="GNR_ENG_BGAS_BP_E-31"/>
    <x v="0"/>
    <x v="6"/>
    <n v="0.30487804878048802"/>
    <n v="111.28048780487801"/>
    <n v="400.60975609756099"/>
  </r>
  <r>
    <x v="0"/>
    <x v="0"/>
    <x v="0"/>
    <x v="0"/>
    <x v="0"/>
    <s v="DK1_Large"/>
    <x v="0"/>
    <s v="GNR_ENG_BGAS_BP_E-31"/>
    <x v="0"/>
    <x v="7"/>
    <n v="0.30487804878048802"/>
    <n v="111.28048780487801"/>
    <n v="400.60975609756099"/>
  </r>
  <r>
    <x v="0"/>
    <x v="0"/>
    <x v="0"/>
    <x v="0"/>
    <x v="0"/>
    <s v="DK1_Large"/>
    <x v="0"/>
    <s v="GNR_ENG_BGAS_BP_E-31"/>
    <x v="0"/>
    <x v="8"/>
    <n v="0.30487804878048802"/>
    <n v="111.28048780487801"/>
    <n v="400.60975609756099"/>
  </r>
  <r>
    <x v="0"/>
    <x v="0"/>
    <x v="0"/>
    <x v="0"/>
    <x v="0"/>
    <s v="DK1_Large"/>
    <x v="0"/>
    <s v="GNR_ENG_BGAS_BP_E-31"/>
    <x v="0"/>
    <x v="9"/>
    <n v="0.30487804878048802"/>
    <n v="111.28048780487801"/>
    <n v="400.60975609756099"/>
  </r>
  <r>
    <x v="0"/>
    <x v="0"/>
    <x v="0"/>
    <x v="0"/>
    <x v="0"/>
    <s v="DK1_Large"/>
    <x v="0"/>
    <s v="GNR_ENG_BGAS_BP_E-31"/>
    <x v="0"/>
    <x v="10"/>
    <n v="0.30487804878048802"/>
    <n v="111.28048780487801"/>
    <n v="400.60975609756099"/>
  </r>
  <r>
    <x v="0"/>
    <x v="0"/>
    <x v="0"/>
    <x v="0"/>
    <x v="0"/>
    <s v="DK1_Large"/>
    <x v="0"/>
    <s v="GNR_ENG_BGAS_BP_E-31"/>
    <x v="0"/>
    <x v="11"/>
    <n v="0.30487804878048802"/>
    <n v="111.28048780487801"/>
    <n v="400.60975609756099"/>
  </r>
  <r>
    <x v="0"/>
    <x v="0"/>
    <x v="0"/>
    <x v="0"/>
    <x v="0"/>
    <s v="DK1_Large"/>
    <x v="0"/>
    <s v="GNR_ENG_BGAS_BP_E-31"/>
    <x v="0"/>
    <x v="12"/>
    <n v="0.30487804878048802"/>
    <n v="111.28048780487801"/>
    <n v="400.60975609756099"/>
  </r>
  <r>
    <x v="0"/>
    <x v="0"/>
    <x v="0"/>
    <x v="0"/>
    <x v="0"/>
    <s v="DK1_Large"/>
    <x v="0"/>
    <s v="GNR_ENG_BGAS_BP_E-31"/>
    <x v="0"/>
    <x v="13"/>
    <n v="0.30487804878048802"/>
    <n v="111.28048780487801"/>
    <n v="400.60975609756099"/>
  </r>
  <r>
    <x v="0"/>
    <x v="0"/>
    <x v="0"/>
    <x v="0"/>
    <x v="0"/>
    <s v="DK1_Large"/>
    <x v="0"/>
    <s v="GNR_ENG_BGAS_BP_E-31"/>
    <x v="0"/>
    <x v="14"/>
    <n v="0.30487804878048802"/>
    <n v="111.28048780487801"/>
    <n v="400.60975609756099"/>
  </r>
  <r>
    <x v="0"/>
    <x v="0"/>
    <x v="0"/>
    <x v="0"/>
    <x v="0"/>
    <s v="DK1_Large"/>
    <x v="0"/>
    <s v="GNR_ENG_BGAS_BP_E-31"/>
    <x v="0"/>
    <x v="15"/>
    <n v="0.30487804878048802"/>
    <n v="111.28048780487801"/>
    <n v="400.60975609756099"/>
  </r>
  <r>
    <x v="0"/>
    <x v="0"/>
    <x v="0"/>
    <x v="0"/>
    <x v="0"/>
    <s v="DK1_Large"/>
    <x v="0"/>
    <s v="GNR_ENG_BGAS_BP_E-31"/>
    <x v="0"/>
    <x v="16"/>
    <n v="0.30487804878048802"/>
    <n v="111.28048780487801"/>
    <n v="400.60975609756099"/>
  </r>
  <r>
    <x v="0"/>
    <x v="0"/>
    <x v="0"/>
    <x v="0"/>
    <x v="0"/>
    <s v="DK1_Large"/>
    <x v="0"/>
    <s v="GNR_ENG_BGAS_BP_E-31"/>
    <x v="0"/>
    <x v="17"/>
    <n v="0.30487804878048802"/>
    <n v="111.28048780487801"/>
    <n v="400.60975609756099"/>
  </r>
  <r>
    <x v="0"/>
    <x v="0"/>
    <x v="0"/>
    <x v="0"/>
    <x v="0"/>
    <s v="DK1_Large"/>
    <x v="0"/>
    <s v="GNR_ENG_BGAS_BP_E-31"/>
    <x v="0"/>
    <x v="18"/>
    <n v="0.30487804878048802"/>
    <n v="111.28048780487801"/>
    <n v="400.60975609756099"/>
  </r>
  <r>
    <x v="0"/>
    <x v="0"/>
    <x v="0"/>
    <x v="0"/>
    <x v="0"/>
    <s v="DK1_Large"/>
    <x v="0"/>
    <s v="GNR_ENG_BGAS_BP_E-31"/>
    <x v="0"/>
    <x v="19"/>
    <n v="0.30487804878048802"/>
    <n v="111.28048780487801"/>
    <n v="400.60975609756099"/>
  </r>
  <r>
    <x v="0"/>
    <x v="0"/>
    <x v="0"/>
    <x v="0"/>
    <x v="0"/>
    <s v="DK1_Large"/>
    <x v="0"/>
    <s v="GNR_ENG_BGAS_BP_E-31"/>
    <x v="0"/>
    <x v="20"/>
    <n v="0.30487804878048802"/>
    <n v="111.28048780487801"/>
    <n v="400.60975609756099"/>
  </r>
  <r>
    <x v="0"/>
    <x v="0"/>
    <x v="0"/>
    <x v="0"/>
    <x v="0"/>
    <s v="DK1_Large"/>
    <x v="0"/>
    <s v="GNR_ENG_BGAS_BP_E-31"/>
    <x v="0"/>
    <x v="21"/>
    <n v="0.30487804878048802"/>
    <n v="111.28048780487801"/>
    <n v="400.60975609756099"/>
  </r>
  <r>
    <x v="0"/>
    <x v="0"/>
    <x v="0"/>
    <x v="0"/>
    <x v="0"/>
    <s v="DK1_Large"/>
    <x v="0"/>
    <s v="GNR_ENG_BGAS_BP_E-31"/>
    <x v="0"/>
    <x v="22"/>
    <n v="0.30487804878048802"/>
    <n v="111.28048780487801"/>
    <n v="400.60975609756099"/>
  </r>
  <r>
    <x v="0"/>
    <x v="0"/>
    <x v="0"/>
    <x v="0"/>
    <x v="0"/>
    <s v="DK1_Large"/>
    <x v="0"/>
    <s v="GNR_ENG_BGAS_BP_E-31"/>
    <x v="0"/>
    <x v="23"/>
    <n v="0.30487804878048802"/>
    <n v="111.28048780487801"/>
    <n v="400.60975609756099"/>
  </r>
  <r>
    <x v="0"/>
    <x v="0"/>
    <x v="0"/>
    <x v="0"/>
    <x v="0"/>
    <s v="DK1_Large"/>
    <x v="0"/>
    <s v="GNR_ENG_BGAS_BP_E-36"/>
    <x v="0"/>
    <x v="0"/>
    <n v="0.98780487804878003"/>
    <n v="360.548780487805"/>
    <n v="1297.9756097561001"/>
  </r>
  <r>
    <x v="0"/>
    <x v="0"/>
    <x v="0"/>
    <x v="0"/>
    <x v="0"/>
    <s v="DK1_Large"/>
    <x v="0"/>
    <s v="GNR_ENG_BGAS_BP_E-36"/>
    <x v="0"/>
    <x v="1"/>
    <n v="0.98780487804878003"/>
    <n v="360.548780487805"/>
    <n v="1297.9756097561001"/>
  </r>
  <r>
    <x v="0"/>
    <x v="0"/>
    <x v="0"/>
    <x v="0"/>
    <x v="0"/>
    <s v="DK1_Large"/>
    <x v="0"/>
    <s v="GNR_ENG_BGAS_BP_E-36"/>
    <x v="0"/>
    <x v="2"/>
    <n v="0.98780487804878003"/>
    <n v="360.548780487805"/>
    <n v="1297.9756097561001"/>
  </r>
  <r>
    <x v="0"/>
    <x v="0"/>
    <x v="0"/>
    <x v="0"/>
    <x v="0"/>
    <s v="DK1_Large"/>
    <x v="0"/>
    <s v="GNR_ENG_BGAS_BP_E-36"/>
    <x v="0"/>
    <x v="3"/>
    <n v="0.98780487804878003"/>
    <n v="360.548780487805"/>
    <n v="1297.9756097561001"/>
  </r>
  <r>
    <x v="0"/>
    <x v="0"/>
    <x v="0"/>
    <x v="0"/>
    <x v="0"/>
    <s v="DK1_Large"/>
    <x v="0"/>
    <s v="GNR_ENG_BGAS_BP_E-36"/>
    <x v="0"/>
    <x v="4"/>
    <n v="0.98780487804878003"/>
    <n v="360.548780487805"/>
    <n v="1297.9756097561001"/>
  </r>
  <r>
    <x v="0"/>
    <x v="0"/>
    <x v="0"/>
    <x v="0"/>
    <x v="0"/>
    <s v="DK1_Large"/>
    <x v="0"/>
    <s v="GNR_ENG_BGAS_BP_E-36"/>
    <x v="0"/>
    <x v="5"/>
    <n v="0.98780487804878003"/>
    <n v="360.548780487805"/>
    <n v="1297.9756097561001"/>
  </r>
  <r>
    <x v="0"/>
    <x v="0"/>
    <x v="0"/>
    <x v="0"/>
    <x v="0"/>
    <s v="DK1_Large"/>
    <x v="0"/>
    <s v="GNR_ENG_BGAS_BP_E-36"/>
    <x v="0"/>
    <x v="6"/>
    <n v="0.98780487804878003"/>
    <n v="360.548780487805"/>
    <n v="1297.9756097561001"/>
  </r>
  <r>
    <x v="0"/>
    <x v="0"/>
    <x v="0"/>
    <x v="0"/>
    <x v="0"/>
    <s v="DK1_Large"/>
    <x v="0"/>
    <s v="GNR_ENG_BGAS_BP_E-36"/>
    <x v="0"/>
    <x v="7"/>
    <n v="0.98780487804878003"/>
    <n v="360.548780487805"/>
    <n v="1297.9756097561001"/>
  </r>
  <r>
    <x v="0"/>
    <x v="0"/>
    <x v="0"/>
    <x v="0"/>
    <x v="0"/>
    <s v="DK1_Large"/>
    <x v="0"/>
    <s v="GNR_ENG_BGAS_BP_E-36"/>
    <x v="0"/>
    <x v="8"/>
    <n v="0.98780487804878003"/>
    <n v="360.548780487805"/>
    <n v="1297.9756097561001"/>
  </r>
  <r>
    <x v="0"/>
    <x v="0"/>
    <x v="0"/>
    <x v="0"/>
    <x v="0"/>
    <s v="DK1_Large"/>
    <x v="0"/>
    <s v="GNR_ENG_BGAS_BP_E-36"/>
    <x v="0"/>
    <x v="9"/>
    <n v="0.98780487804878003"/>
    <n v="360.548780487805"/>
    <n v="1297.9756097561001"/>
  </r>
  <r>
    <x v="0"/>
    <x v="0"/>
    <x v="0"/>
    <x v="0"/>
    <x v="0"/>
    <s v="DK1_Large"/>
    <x v="0"/>
    <s v="GNR_ENG_BGAS_BP_E-36"/>
    <x v="0"/>
    <x v="10"/>
    <n v="0.98780487804878003"/>
    <n v="360.548780487805"/>
    <n v="1297.9756097561001"/>
  </r>
  <r>
    <x v="0"/>
    <x v="0"/>
    <x v="0"/>
    <x v="0"/>
    <x v="0"/>
    <s v="DK1_Large"/>
    <x v="0"/>
    <s v="GNR_ENG_BGAS_BP_E-36"/>
    <x v="0"/>
    <x v="11"/>
    <n v="0.98780487804878003"/>
    <n v="360.548780487805"/>
    <n v="1297.9756097561001"/>
  </r>
  <r>
    <x v="0"/>
    <x v="0"/>
    <x v="0"/>
    <x v="0"/>
    <x v="0"/>
    <s v="DK1_Large"/>
    <x v="0"/>
    <s v="GNR_ENG_BGAS_BP_E-36"/>
    <x v="0"/>
    <x v="12"/>
    <n v="0.98780487804878003"/>
    <n v="360.548780487805"/>
    <n v="1297.9756097561001"/>
  </r>
  <r>
    <x v="0"/>
    <x v="0"/>
    <x v="0"/>
    <x v="0"/>
    <x v="0"/>
    <s v="DK1_Large"/>
    <x v="0"/>
    <s v="GNR_ENG_BGAS_BP_E-36"/>
    <x v="0"/>
    <x v="13"/>
    <n v="0.98780487804878003"/>
    <n v="360.548780487805"/>
    <n v="1297.9756097561001"/>
  </r>
  <r>
    <x v="0"/>
    <x v="0"/>
    <x v="0"/>
    <x v="0"/>
    <x v="0"/>
    <s v="DK1_Large"/>
    <x v="0"/>
    <s v="GNR_ENG_BGAS_BP_E-36"/>
    <x v="0"/>
    <x v="14"/>
    <n v="0.98780487804878003"/>
    <n v="360.548780487805"/>
    <n v="1297.9756097561001"/>
  </r>
  <r>
    <x v="0"/>
    <x v="0"/>
    <x v="0"/>
    <x v="0"/>
    <x v="0"/>
    <s v="DK1_Large"/>
    <x v="0"/>
    <s v="GNR_ENG_BGAS_BP_E-36"/>
    <x v="0"/>
    <x v="15"/>
    <n v="0.98780487804878003"/>
    <n v="360.548780487805"/>
    <n v="1297.9756097561001"/>
  </r>
  <r>
    <x v="0"/>
    <x v="0"/>
    <x v="0"/>
    <x v="0"/>
    <x v="0"/>
    <s v="DK1_Large"/>
    <x v="0"/>
    <s v="GNR_ENG_BGAS_BP_E-36"/>
    <x v="0"/>
    <x v="16"/>
    <n v="0.98780487804878003"/>
    <n v="360.548780487805"/>
    <n v="1297.9756097561001"/>
  </r>
  <r>
    <x v="0"/>
    <x v="0"/>
    <x v="0"/>
    <x v="0"/>
    <x v="0"/>
    <s v="DK1_Large"/>
    <x v="0"/>
    <s v="GNR_ENG_BGAS_BP_E-36"/>
    <x v="0"/>
    <x v="17"/>
    <n v="0.98780487804878003"/>
    <n v="360.548780487805"/>
    <n v="1297.9756097561001"/>
  </r>
  <r>
    <x v="0"/>
    <x v="0"/>
    <x v="0"/>
    <x v="0"/>
    <x v="0"/>
    <s v="DK1_Large"/>
    <x v="0"/>
    <s v="GNR_ENG_BGAS_BP_E-36"/>
    <x v="0"/>
    <x v="18"/>
    <n v="0.98780487804878003"/>
    <n v="360.548780487805"/>
    <n v="1297.9756097561001"/>
  </r>
  <r>
    <x v="0"/>
    <x v="0"/>
    <x v="0"/>
    <x v="0"/>
    <x v="0"/>
    <s v="DK1_Large"/>
    <x v="0"/>
    <s v="GNR_ENG_BGAS_BP_E-36"/>
    <x v="0"/>
    <x v="19"/>
    <n v="0.98780487804878003"/>
    <n v="360.548780487805"/>
    <n v="1297.9756097561001"/>
  </r>
  <r>
    <x v="0"/>
    <x v="0"/>
    <x v="0"/>
    <x v="0"/>
    <x v="0"/>
    <s v="DK1_Large"/>
    <x v="0"/>
    <s v="GNR_ENG_BGAS_BP_E-36"/>
    <x v="0"/>
    <x v="20"/>
    <n v="0.98780487804878003"/>
    <n v="360.548780487805"/>
    <n v="1297.9756097561001"/>
  </r>
  <r>
    <x v="0"/>
    <x v="0"/>
    <x v="0"/>
    <x v="0"/>
    <x v="0"/>
    <s v="DK1_Large"/>
    <x v="0"/>
    <s v="GNR_ENG_BGAS_BP_E-36"/>
    <x v="0"/>
    <x v="21"/>
    <n v="0.98780487804878003"/>
    <n v="360.548780487805"/>
    <n v="1297.9756097561001"/>
  </r>
  <r>
    <x v="0"/>
    <x v="0"/>
    <x v="0"/>
    <x v="0"/>
    <x v="0"/>
    <s v="DK1_Large"/>
    <x v="0"/>
    <s v="GNR_ENG_BGAS_BP_E-36"/>
    <x v="0"/>
    <x v="22"/>
    <n v="0.98780487804878003"/>
    <n v="360.548780487805"/>
    <n v="1297.9756097561001"/>
  </r>
  <r>
    <x v="0"/>
    <x v="0"/>
    <x v="0"/>
    <x v="0"/>
    <x v="0"/>
    <s v="DK1_Large"/>
    <x v="0"/>
    <s v="GNR_ENG_BGAS_BP_E-36"/>
    <x v="0"/>
    <x v="23"/>
    <n v="0.98780487804878003"/>
    <n v="360.548780487805"/>
    <n v="1297.9756097561001"/>
  </r>
  <r>
    <x v="0"/>
    <x v="0"/>
    <x v="0"/>
    <x v="0"/>
    <x v="0"/>
    <s v="DK1_Large"/>
    <x v="0"/>
    <s v="GNR_ENG_BGAS_BP_E-37"/>
    <x v="0"/>
    <x v="0"/>
    <n v="1.41463414634146"/>
    <n v="516.34146341463395"/>
    <n v="1858.8292682926799"/>
  </r>
  <r>
    <x v="0"/>
    <x v="0"/>
    <x v="0"/>
    <x v="0"/>
    <x v="0"/>
    <s v="DK1_Large"/>
    <x v="0"/>
    <s v="GNR_ENG_BGAS_BP_E-37"/>
    <x v="0"/>
    <x v="1"/>
    <n v="1.41463414634146"/>
    <n v="516.34146341463395"/>
    <n v="1858.8292682926799"/>
  </r>
  <r>
    <x v="0"/>
    <x v="0"/>
    <x v="0"/>
    <x v="0"/>
    <x v="0"/>
    <s v="DK1_Large"/>
    <x v="0"/>
    <s v="GNR_ENG_BGAS_BP_E-37"/>
    <x v="0"/>
    <x v="2"/>
    <n v="1.41463414634146"/>
    <n v="516.34146341463395"/>
    <n v="1858.8292682926799"/>
  </r>
  <r>
    <x v="0"/>
    <x v="0"/>
    <x v="0"/>
    <x v="0"/>
    <x v="0"/>
    <s v="DK1_Large"/>
    <x v="0"/>
    <s v="GNR_ENG_BGAS_BP_E-37"/>
    <x v="0"/>
    <x v="3"/>
    <n v="1.41463414634146"/>
    <n v="516.34146341463395"/>
    <n v="1858.8292682926799"/>
  </r>
  <r>
    <x v="0"/>
    <x v="0"/>
    <x v="0"/>
    <x v="0"/>
    <x v="0"/>
    <s v="DK1_Large"/>
    <x v="0"/>
    <s v="GNR_ENG_BGAS_BP_E-37"/>
    <x v="0"/>
    <x v="4"/>
    <n v="1.41463414634146"/>
    <n v="516.34146341463395"/>
    <n v="1858.8292682926799"/>
  </r>
  <r>
    <x v="0"/>
    <x v="0"/>
    <x v="0"/>
    <x v="0"/>
    <x v="0"/>
    <s v="DK1_Large"/>
    <x v="0"/>
    <s v="GNR_ENG_BGAS_BP_E-37"/>
    <x v="0"/>
    <x v="5"/>
    <n v="1.41463414634146"/>
    <n v="516.34146341463395"/>
    <n v="1858.8292682926799"/>
  </r>
  <r>
    <x v="0"/>
    <x v="0"/>
    <x v="0"/>
    <x v="0"/>
    <x v="0"/>
    <s v="DK1_Large"/>
    <x v="0"/>
    <s v="GNR_ENG_BGAS_BP_E-37"/>
    <x v="0"/>
    <x v="6"/>
    <n v="1.41463414634146"/>
    <n v="516.34146341463395"/>
    <n v="1858.8292682926799"/>
  </r>
  <r>
    <x v="0"/>
    <x v="0"/>
    <x v="0"/>
    <x v="0"/>
    <x v="0"/>
    <s v="DK1_Large"/>
    <x v="0"/>
    <s v="GNR_ENG_BGAS_BP_E-37"/>
    <x v="0"/>
    <x v="7"/>
    <n v="1.41463414634146"/>
    <n v="516.34146341463395"/>
    <n v="1858.8292682926799"/>
  </r>
  <r>
    <x v="0"/>
    <x v="0"/>
    <x v="0"/>
    <x v="0"/>
    <x v="0"/>
    <s v="DK1_Large"/>
    <x v="0"/>
    <s v="GNR_ENG_BGAS_BP_E-37"/>
    <x v="0"/>
    <x v="8"/>
    <n v="1.41463414634146"/>
    <n v="516.34146341463395"/>
    <n v="1858.8292682926799"/>
  </r>
  <r>
    <x v="0"/>
    <x v="0"/>
    <x v="0"/>
    <x v="0"/>
    <x v="0"/>
    <s v="DK1_Large"/>
    <x v="0"/>
    <s v="GNR_ENG_BGAS_BP_E-37"/>
    <x v="0"/>
    <x v="9"/>
    <n v="1.41463414634146"/>
    <n v="516.34146341463395"/>
    <n v="1858.8292682926799"/>
  </r>
  <r>
    <x v="0"/>
    <x v="0"/>
    <x v="0"/>
    <x v="0"/>
    <x v="0"/>
    <s v="DK1_Large"/>
    <x v="0"/>
    <s v="GNR_ENG_BGAS_BP_E-37"/>
    <x v="0"/>
    <x v="10"/>
    <n v="1.41463414634146"/>
    <n v="516.34146341463395"/>
    <n v="1858.8292682926799"/>
  </r>
  <r>
    <x v="0"/>
    <x v="0"/>
    <x v="0"/>
    <x v="0"/>
    <x v="0"/>
    <s v="DK1_Large"/>
    <x v="0"/>
    <s v="GNR_ENG_BGAS_BP_E-37"/>
    <x v="0"/>
    <x v="11"/>
    <n v="1.41463414634146"/>
    <n v="516.34146341463395"/>
    <n v="1858.8292682926799"/>
  </r>
  <r>
    <x v="0"/>
    <x v="0"/>
    <x v="0"/>
    <x v="0"/>
    <x v="0"/>
    <s v="DK1_Large"/>
    <x v="0"/>
    <s v="GNR_ENG_BGAS_BP_E-37"/>
    <x v="0"/>
    <x v="12"/>
    <n v="1.41463414634146"/>
    <n v="516.34146341463395"/>
    <n v="1858.8292682926799"/>
  </r>
  <r>
    <x v="0"/>
    <x v="0"/>
    <x v="0"/>
    <x v="0"/>
    <x v="0"/>
    <s v="DK1_Large"/>
    <x v="0"/>
    <s v="GNR_ENG_BGAS_BP_E-37"/>
    <x v="0"/>
    <x v="13"/>
    <n v="1.41463414634146"/>
    <n v="516.34146341463395"/>
    <n v="1858.8292682926799"/>
  </r>
  <r>
    <x v="0"/>
    <x v="0"/>
    <x v="0"/>
    <x v="0"/>
    <x v="0"/>
    <s v="DK1_Large"/>
    <x v="0"/>
    <s v="GNR_ENG_BGAS_BP_E-37"/>
    <x v="0"/>
    <x v="14"/>
    <n v="1.41463414634146"/>
    <n v="516.34146341463395"/>
    <n v="1858.8292682926799"/>
  </r>
  <r>
    <x v="0"/>
    <x v="0"/>
    <x v="0"/>
    <x v="0"/>
    <x v="0"/>
    <s v="DK1_Large"/>
    <x v="0"/>
    <s v="GNR_ENG_BGAS_BP_E-37"/>
    <x v="0"/>
    <x v="15"/>
    <n v="1.41463414634146"/>
    <n v="516.34146341463395"/>
    <n v="1858.8292682926799"/>
  </r>
  <r>
    <x v="0"/>
    <x v="0"/>
    <x v="0"/>
    <x v="0"/>
    <x v="0"/>
    <s v="DK1_Large"/>
    <x v="0"/>
    <s v="GNR_ENG_BGAS_BP_E-37"/>
    <x v="0"/>
    <x v="16"/>
    <n v="1.41463414634146"/>
    <n v="516.34146341463395"/>
    <n v="1858.8292682926799"/>
  </r>
  <r>
    <x v="0"/>
    <x v="0"/>
    <x v="0"/>
    <x v="0"/>
    <x v="0"/>
    <s v="DK1_Large"/>
    <x v="0"/>
    <s v="GNR_ENG_BGAS_BP_E-37"/>
    <x v="0"/>
    <x v="17"/>
    <n v="1.41463414634146"/>
    <n v="516.34146341463395"/>
    <n v="1858.8292682926799"/>
  </r>
  <r>
    <x v="0"/>
    <x v="0"/>
    <x v="0"/>
    <x v="0"/>
    <x v="0"/>
    <s v="DK1_Large"/>
    <x v="0"/>
    <s v="GNR_ENG_BGAS_BP_E-37"/>
    <x v="0"/>
    <x v="18"/>
    <n v="1.41463414634146"/>
    <n v="516.34146341463395"/>
    <n v="1858.8292682926799"/>
  </r>
  <r>
    <x v="0"/>
    <x v="0"/>
    <x v="0"/>
    <x v="0"/>
    <x v="0"/>
    <s v="DK1_Large"/>
    <x v="0"/>
    <s v="GNR_ENG_BGAS_BP_E-37"/>
    <x v="0"/>
    <x v="19"/>
    <n v="1.41463414634146"/>
    <n v="516.34146341463395"/>
    <n v="1858.8292682926799"/>
  </r>
  <r>
    <x v="0"/>
    <x v="0"/>
    <x v="0"/>
    <x v="0"/>
    <x v="0"/>
    <s v="DK1_Large"/>
    <x v="0"/>
    <s v="GNR_ENG_BGAS_BP_E-37"/>
    <x v="0"/>
    <x v="20"/>
    <n v="1.41463414634146"/>
    <n v="516.34146341463395"/>
    <n v="1858.8292682926799"/>
  </r>
  <r>
    <x v="0"/>
    <x v="0"/>
    <x v="0"/>
    <x v="0"/>
    <x v="0"/>
    <s v="DK1_Large"/>
    <x v="0"/>
    <s v="GNR_ENG_BGAS_BP_E-37"/>
    <x v="0"/>
    <x v="21"/>
    <n v="1.41463414634146"/>
    <n v="516.34146341463395"/>
    <n v="1858.8292682926799"/>
  </r>
  <r>
    <x v="0"/>
    <x v="0"/>
    <x v="0"/>
    <x v="0"/>
    <x v="0"/>
    <s v="DK1_Large"/>
    <x v="0"/>
    <s v="GNR_ENG_BGAS_BP_E-37"/>
    <x v="0"/>
    <x v="22"/>
    <n v="1.41463414634146"/>
    <n v="516.34146341463395"/>
    <n v="1858.8292682926799"/>
  </r>
  <r>
    <x v="0"/>
    <x v="0"/>
    <x v="0"/>
    <x v="0"/>
    <x v="0"/>
    <s v="DK1_Large"/>
    <x v="0"/>
    <s v="GNR_ENG_BGAS_BP_E-37"/>
    <x v="0"/>
    <x v="23"/>
    <n v="1.41463414634146"/>
    <n v="516.34146341463395"/>
    <n v="1858.8292682926799"/>
  </r>
  <r>
    <x v="0"/>
    <x v="0"/>
    <x v="0"/>
    <x v="0"/>
    <x v="0"/>
    <s v="DK1_Large"/>
    <x v="0"/>
    <s v="GNR_ENG_BGAS_BP_E-39"/>
    <x v="0"/>
    <x v="0"/>
    <n v="5.0182926829268304"/>
    <n v="1831.67682926829"/>
    <n v="6594.0365853658504"/>
  </r>
  <r>
    <x v="0"/>
    <x v="0"/>
    <x v="0"/>
    <x v="0"/>
    <x v="0"/>
    <s v="DK1_Large"/>
    <x v="0"/>
    <s v="GNR_ENG_BGAS_BP_E-39"/>
    <x v="0"/>
    <x v="1"/>
    <n v="5.0182926829268304"/>
    <n v="1831.67682926829"/>
    <n v="6594.0365853658504"/>
  </r>
  <r>
    <x v="0"/>
    <x v="0"/>
    <x v="0"/>
    <x v="0"/>
    <x v="0"/>
    <s v="DK1_Large"/>
    <x v="0"/>
    <s v="GNR_ENG_BGAS_BP_E-39"/>
    <x v="0"/>
    <x v="2"/>
    <n v="5.0182926829268304"/>
    <n v="1831.67682926829"/>
    <n v="6594.0365853658504"/>
  </r>
  <r>
    <x v="0"/>
    <x v="0"/>
    <x v="0"/>
    <x v="0"/>
    <x v="0"/>
    <s v="DK1_Large"/>
    <x v="0"/>
    <s v="GNR_ENG_BGAS_BP_E-39"/>
    <x v="0"/>
    <x v="3"/>
    <n v="5.0182926829268304"/>
    <n v="1831.67682926829"/>
    <n v="6594.0365853658504"/>
  </r>
  <r>
    <x v="0"/>
    <x v="0"/>
    <x v="0"/>
    <x v="0"/>
    <x v="0"/>
    <s v="DK1_Large"/>
    <x v="0"/>
    <s v="GNR_ENG_BGAS_BP_E-39"/>
    <x v="0"/>
    <x v="4"/>
    <n v="5.0182926829268304"/>
    <n v="1831.67682926829"/>
    <n v="6594.0365853658504"/>
  </r>
  <r>
    <x v="0"/>
    <x v="0"/>
    <x v="0"/>
    <x v="0"/>
    <x v="0"/>
    <s v="DK1_Large"/>
    <x v="0"/>
    <s v="GNR_ENG_BGAS_BP_E-39"/>
    <x v="0"/>
    <x v="5"/>
    <n v="5.0182926829268304"/>
    <n v="1831.67682926829"/>
    <n v="6594.0365853658504"/>
  </r>
  <r>
    <x v="0"/>
    <x v="0"/>
    <x v="0"/>
    <x v="0"/>
    <x v="0"/>
    <s v="DK1_Large"/>
    <x v="0"/>
    <s v="GNR_ENG_BGAS_BP_E-39"/>
    <x v="0"/>
    <x v="6"/>
    <n v="5.0182926829268304"/>
    <n v="1831.67682926829"/>
    <n v="6594.0365853658504"/>
  </r>
  <r>
    <x v="0"/>
    <x v="0"/>
    <x v="0"/>
    <x v="0"/>
    <x v="0"/>
    <s v="DK1_Large"/>
    <x v="0"/>
    <s v="GNR_ENG_BGAS_BP_E-39"/>
    <x v="0"/>
    <x v="7"/>
    <n v="5.0182926829268304"/>
    <n v="1831.67682926829"/>
    <n v="6594.0365853658504"/>
  </r>
  <r>
    <x v="0"/>
    <x v="0"/>
    <x v="0"/>
    <x v="0"/>
    <x v="0"/>
    <s v="DK1_Large"/>
    <x v="0"/>
    <s v="GNR_ENG_BGAS_BP_E-39"/>
    <x v="0"/>
    <x v="8"/>
    <n v="5.0182926829268304"/>
    <n v="1831.67682926829"/>
    <n v="6594.0365853658504"/>
  </r>
  <r>
    <x v="0"/>
    <x v="0"/>
    <x v="0"/>
    <x v="0"/>
    <x v="0"/>
    <s v="DK1_Large"/>
    <x v="0"/>
    <s v="GNR_ENG_BGAS_BP_E-39"/>
    <x v="0"/>
    <x v="9"/>
    <n v="5.0182926829268304"/>
    <n v="1831.67682926829"/>
    <n v="6594.0365853658504"/>
  </r>
  <r>
    <x v="0"/>
    <x v="0"/>
    <x v="0"/>
    <x v="0"/>
    <x v="0"/>
    <s v="DK1_Large"/>
    <x v="0"/>
    <s v="GNR_ENG_BGAS_BP_E-39"/>
    <x v="0"/>
    <x v="10"/>
    <n v="5.0182926829268304"/>
    <n v="1831.67682926829"/>
    <n v="6594.0365853658504"/>
  </r>
  <r>
    <x v="0"/>
    <x v="0"/>
    <x v="0"/>
    <x v="0"/>
    <x v="0"/>
    <s v="DK1_Large"/>
    <x v="0"/>
    <s v="GNR_ENG_BGAS_BP_E-39"/>
    <x v="0"/>
    <x v="11"/>
    <n v="5.0182926829268304"/>
    <n v="1831.67682926829"/>
    <n v="6594.0365853658504"/>
  </r>
  <r>
    <x v="0"/>
    <x v="0"/>
    <x v="0"/>
    <x v="0"/>
    <x v="0"/>
    <s v="DK1_Large"/>
    <x v="0"/>
    <s v="GNR_ENG_BGAS_BP_E-39"/>
    <x v="0"/>
    <x v="12"/>
    <n v="5.0182926829268304"/>
    <n v="1831.67682926829"/>
    <n v="6594.0365853658504"/>
  </r>
  <r>
    <x v="0"/>
    <x v="0"/>
    <x v="0"/>
    <x v="0"/>
    <x v="0"/>
    <s v="DK1_Large"/>
    <x v="0"/>
    <s v="GNR_ENG_BGAS_BP_E-39"/>
    <x v="0"/>
    <x v="13"/>
    <n v="5.0182926829268304"/>
    <n v="1831.67682926829"/>
    <n v="6594.0365853658504"/>
  </r>
  <r>
    <x v="0"/>
    <x v="0"/>
    <x v="0"/>
    <x v="0"/>
    <x v="0"/>
    <s v="DK1_Large"/>
    <x v="0"/>
    <s v="GNR_ENG_BGAS_BP_E-39"/>
    <x v="0"/>
    <x v="14"/>
    <n v="5.0182926829268304"/>
    <n v="1831.67682926829"/>
    <n v="6594.0365853658504"/>
  </r>
  <r>
    <x v="0"/>
    <x v="0"/>
    <x v="0"/>
    <x v="0"/>
    <x v="0"/>
    <s v="DK1_Large"/>
    <x v="0"/>
    <s v="GNR_ENG_BGAS_BP_E-39"/>
    <x v="0"/>
    <x v="15"/>
    <n v="5.0182926829268304"/>
    <n v="1831.67682926829"/>
    <n v="6594.0365853658504"/>
  </r>
  <r>
    <x v="0"/>
    <x v="0"/>
    <x v="0"/>
    <x v="0"/>
    <x v="0"/>
    <s v="DK1_Large"/>
    <x v="0"/>
    <s v="GNR_ENG_BGAS_BP_E-39"/>
    <x v="0"/>
    <x v="16"/>
    <n v="5.0182926829268304"/>
    <n v="1831.67682926829"/>
    <n v="6594.0365853658504"/>
  </r>
  <r>
    <x v="0"/>
    <x v="0"/>
    <x v="0"/>
    <x v="0"/>
    <x v="0"/>
    <s v="DK1_Large"/>
    <x v="0"/>
    <s v="GNR_ENG_BGAS_BP_E-39"/>
    <x v="0"/>
    <x v="17"/>
    <n v="5.0182926829268304"/>
    <n v="1831.67682926829"/>
    <n v="6594.0365853658504"/>
  </r>
  <r>
    <x v="0"/>
    <x v="0"/>
    <x v="0"/>
    <x v="0"/>
    <x v="0"/>
    <s v="DK1_Large"/>
    <x v="0"/>
    <s v="GNR_ENG_BGAS_BP_E-39"/>
    <x v="0"/>
    <x v="18"/>
    <n v="5.0182926829268304"/>
    <n v="1831.67682926829"/>
    <n v="6594.0365853658504"/>
  </r>
  <r>
    <x v="0"/>
    <x v="0"/>
    <x v="0"/>
    <x v="0"/>
    <x v="0"/>
    <s v="DK1_Large"/>
    <x v="0"/>
    <s v="GNR_ENG_BGAS_BP_E-39"/>
    <x v="0"/>
    <x v="19"/>
    <n v="5.0182926829268304"/>
    <n v="1831.67682926829"/>
    <n v="6594.0365853658504"/>
  </r>
  <r>
    <x v="0"/>
    <x v="0"/>
    <x v="0"/>
    <x v="0"/>
    <x v="0"/>
    <s v="DK1_Large"/>
    <x v="0"/>
    <s v="GNR_ENG_BGAS_BP_E-39"/>
    <x v="0"/>
    <x v="20"/>
    <n v="5.0182926829268304"/>
    <n v="1831.67682926829"/>
    <n v="6594.0365853658504"/>
  </r>
  <r>
    <x v="0"/>
    <x v="0"/>
    <x v="0"/>
    <x v="0"/>
    <x v="0"/>
    <s v="DK1_Large"/>
    <x v="0"/>
    <s v="GNR_ENG_BGAS_BP_E-39"/>
    <x v="0"/>
    <x v="21"/>
    <n v="5.0182926829268304"/>
    <n v="1831.67682926829"/>
    <n v="6594.0365853658504"/>
  </r>
  <r>
    <x v="0"/>
    <x v="0"/>
    <x v="0"/>
    <x v="0"/>
    <x v="0"/>
    <s v="DK1_Large"/>
    <x v="0"/>
    <s v="GNR_ENG_BGAS_BP_E-39"/>
    <x v="0"/>
    <x v="22"/>
    <n v="5.0182926829268304"/>
    <n v="1831.67682926829"/>
    <n v="6594.0365853658504"/>
  </r>
  <r>
    <x v="0"/>
    <x v="0"/>
    <x v="0"/>
    <x v="0"/>
    <x v="0"/>
    <s v="DK1_Large"/>
    <x v="0"/>
    <s v="GNR_ENG_BGAS_BP_E-39"/>
    <x v="0"/>
    <x v="23"/>
    <n v="5.0182926829268304"/>
    <n v="1831.67682926829"/>
    <n v="6594.0365853658504"/>
  </r>
  <r>
    <x v="0"/>
    <x v="0"/>
    <x v="0"/>
    <x v="0"/>
    <x v="0"/>
    <s v="DK1_Large"/>
    <x v="0"/>
    <s v="GNR_ENG_BGAS_BP_E-40"/>
    <x v="0"/>
    <x v="0"/>
    <n v="1.51585365853659"/>
    <n v="553.28658536585397"/>
    <n v="1991.8317073170699"/>
  </r>
  <r>
    <x v="0"/>
    <x v="0"/>
    <x v="0"/>
    <x v="0"/>
    <x v="0"/>
    <s v="DK1_Large"/>
    <x v="0"/>
    <s v="GNR_ENG_BGAS_BP_E-40"/>
    <x v="0"/>
    <x v="1"/>
    <n v="1.51585365853659"/>
    <n v="553.28658536585397"/>
    <n v="1991.8317073170699"/>
  </r>
  <r>
    <x v="0"/>
    <x v="0"/>
    <x v="0"/>
    <x v="0"/>
    <x v="0"/>
    <s v="DK1_Large"/>
    <x v="0"/>
    <s v="GNR_ENG_BGAS_BP_E-40"/>
    <x v="0"/>
    <x v="2"/>
    <n v="1.51585365853659"/>
    <n v="553.28658536585397"/>
    <n v="1991.8317073170699"/>
  </r>
  <r>
    <x v="0"/>
    <x v="0"/>
    <x v="0"/>
    <x v="0"/>
    <x v="0"/>
    <s v="DK1_Large"/>
    <x v="0"/>
    <s v="GNR_ENG_BGAS_BP_E-40"/>
    <x v="0"/>
    <x v="3"/>
    <n v="1.51585365853659"/>
    <n v="553.28658536585397"/>
    <n v="1991.8317073170699"/>
  </r>
  <r>
    <x v="0"/>
    <x v="0"/>
    <x v="0"/>
    <x v="0"/>
    <x v="0"/>
    <s v="DK1_Large"/>
    <x v="0"/>
    <s v="GNR_ENG_BGAS_BP_E-40"/>
    <x v="0"/>
    <x v="4"/>
    <n v="1.51585365853659"/>
    <n v="553.28658536585397"/>
    <n v="1991.8317073170699"/>
  </r>
  <r>
    <x v="0"/>
    <x v="0"/>
    <x v="0"/>
    <x v="0"/>
    <x v="0"/>
    <s v="DK1_Large"/>
    <x v="0"/>
    <s v="GNR_ENG_BGAS_BP_E-40"/>
    <x v="0"/>
    <x v="5"/>
    <n v="1.51585365853659"/>
    <n v="553.28658536585397"/>
    <n v="1991.8317073170699"/>
  </r>
  <r>
    <x v="0"/>
    <x v="0"/>
    <x v="0"/>
    <x v="0"/>
    <x v="0"/>
    <s v="DK1_Large"/>
    <x v="0"/>
    <s v="GNR_ENG_BGAS_BP_E-40"/>
    <x v="0"/>
    <x v="6"/>
    <n v="1.51585365853659"/>
    <n v="553.28658536585397"/>
    <n v="1991.8317073170699"/>
  </r>
  <r>
    <x v="0"/>
    <x v="0"/>
    <x v="0"/>
    <x v="0"/>
    <x v="0"/>
    <s v="DK1_Large"/>
    <x v="0"/>
    <s v="GNR_ENG_BGAS_BP_E-40"/>
    <x v="0"/>
    <x v="7"/>
    <n v="1.51585365853659"/>
    <n v="553.28658536585397"/>
    <n v="1991.8317073170699"/>
  </r>
  <r>
    <x v="0"/>
    <x v="0"/>
    <x v="0"/>
    <x v="0"/>
    <x v="0"/>
    <s v="DK1_Large"/>
    <x v="0"/>
    <s v="GNR_ENG_BGAS_BP_E-40"/>
    <x v="0"/>
    <x v="8"/>
    <n v="1.51585365853659"/>
    <n v="553.28658536585397"/>
    <n v="1991.8317073170699"/>
  </r>
  <r>
    <x v="0"/>
    <x v="0"/>
    <x v="0"/>
    <x v="0"/>
    <x v="0"/>
    <s v="DK1_Large"/>
    <x v="0"/>
    <s v="GNR_ENG_BGAS_BP_E-40"/>
    <x v="0"/>
    <x v="9"/>
    <n v="1.51585365853659"/>
    <n v="553.28658536585397"/>
    <n v="1991.8317073170699"/>
  </r>
  <r>
    <x v="0"/>
    <x v="0"/>
    <x v="0"/>
    <x v="0"/>
    <x v="0"/>
    <s v="DK1_Large"/>
    <x v="0"/>
    <s v="GNR_ENG_BGAS_BP_E-40"/>
    <x v="0"/>
    <x v="10"/>
    <n v="1.51585365853659"/>
    <n v="553.28658536585397"/>
    <n v="1991.8317073170699"/>
  </r>
  <r>
    <x v="0"/>
    <x v="0"/>
    <x v="0"/>
    <x v="0"/>
    <x v="0"/>
    <s v="DK1_Large"/>
    <x v="0"/>
    <s v="GNR_ENG_BGAS_BP_E-40"/>
    <x v="0"/>
    <x v="11"/>
    <n v="1.51585365853659"/>
    <n v="553.28658536585397"/>
    <n v="1991.8317073170699"/>
  </r>
  <r>
    <x v="0"/>
    <x v="0"/>
    <x v="0"/>
    <x v="0"/>
    <x v="0"/>
    <s v="DK1_Large"/>
    <x v="0"/>
    <s v="GNR_ENG_BGAS_BP_E-40"/>
    <x v="0"/>
    <x v="12"/>
    <n v="1.51585365853659"/>
    <n v="553.28658536585397"/>
    <n v="1991.8317073170699"/>
  </r>
  <r>
    <x v="0"/>
    <x v="0"/>
    <x v="0"/>
    <x v="0"/>
    <x v="0"/>
    <s v="DK1_Large"/>
    <x v="0"/>
    <s v="GNR_ENG_BGAS_BP_E-40"/>
    <x v="0"/>
    <x v="13"/>
    <n v="1.51585365853659"/>
    <n v="553.28658536585397"/>
    <n v="1991.8317073170699"/>
  </r>
  <r>
    <x v="0"/>
    <x v="0"/>
    <x v="0"/>
    <x v="0"/>
    <x v="0"/>
    <s v="DK1_Large"/>
    <x v="0"/>
    <s v="GNR_ENG_BGAS_BP_E-40"/>
    <x v="0"/>
    <x v="14"/>
    <n v="1.51585365853659"/>
    <n v="553.28658536585397"/>
    <n v="1991.8317073170699"/>
  </r>
  <r>
    <x v="0"/>
    <x v="0"/>
    <x v="0"/>
    <x v="0"/>
    <x v="0"/>
    <s v="DK1_Large"/>
    <x v="0"/>
    <s v="GNR_ENG_BGAS_BP_E-40"/>
    <x v="0"/>
    <x v="15"/>
    <n v="1.51585365853659"/>
    <n v="553.28658536585397"/>
    <n v="1991.8317073170699"/>
  </r>
  <r>
    <x v="0"/>
    <x v="0"/>
    <x v="0"/>
    <x v="0"/>
    <x v="0"/>
    <s v="DK1_Large"/>
    <x v="0"/>
    <s v="GNR_ENG_BGAS_BP_E-40"/>
    <x v="0"/>
    <x v="16"/>
    <n v="1.51585365853659"/>
    <n v="553.28658536585397"/>
    <n v="1991.8317073170699"/>
  </r>
  <r>
    <x v="0"/>
    <x v="0"/>
    <x v="0"/>
    <x v="0"/>
    <x v="0"/>
    <s v="DK1_Large"/>
    <x v="0"/>
    <s v="GNR_ENG_BGAS_BP_E-40"/>
    <x v="0"/>
    <x v="17"/>
    <n v="1.51585365853659"/>
    <n v="553.28658536585397"/>
    <n v="1991.8317073170699"/>
  </r>
  <r>
    <x v="0"/>
    <x v="0"/>
    <x v="0"/>
    <x v="0"/>
    <x v="0"/>
    <s v="DK1_Large"/>
    <x v="0"/>
    <s v="GNR_ENG_BGAS_BP_E-40"/>
    <x v="0"/>
    <x v="18"/>
    <n v="1.51585365853659"/>
    <n v="553.28658536585397"/>
    <n v="1991.8317073170699"/>
  </r>
  <r>
    <x v="0"/>
    <x v="0"/>
    <x v="0"/>
    <x v="0"/>
    <x v="0"/>
    <s v="DK1_Large"/>
    <x v="0"/>
    <s v="GNR_ENG_BGAS_BP_E-40"/>
    <x v="0"/>
    <x v="19"/>
    <n v="1.51585365853659"/>
    <n v="553.28658536585397"/>
    <n v="1991.8317073170699"/>
  </r>
  <r>
    <x v="0"/>
    <x v="0"/>
    <x v="0"/>
    <x v="0"/>
    <x v="0"/>
    <s v="DK1_Large"/>
    <x v="0"/>
    <s v="GNR_ENG_BGAS_BP_E-40"/>
    <x v="0"/>
    <x v="20"/>
    <n v="1.51585365853659"/>
    <n v="553.28658536585397"/>
    <n v="1991.8317073170699"/>
  </r>
  <r>
    <x v="0"/>
    <x v="0"/>
    <x v="0"/>
    <x v="0"/>
    <x v="0"/>
    <s v="DK1_Large"/>
    <x v="0"/>
    <s v="GNR_ENG_BGAS_BP_E-40"/>
    <x v="0"/>
    <x v="21"/>
    <n v="1.51585365853659"/>
    <n v="553.28658536585397"/>
    <n v="1991.8317073170699"/>
  </r>
  <r>
    <x v="0"/>
    <x v="0"/>
    <x v="0"/>
    <x v="0"/>
    <x v="0"/>
    <s v="DK1_Large"/>
    <x v="0"/>
    <s v="GNR_ENG_BGAS_BP_E-40"/>
    <x v="0"/>
    <x v="22"/>
    <n v="1.51585365853659"/>
    <n v="553.28658536585397"/>
    <n v="1991.8317073170699"/>
  </r>
  <r>
    <x v="0"/>
    <x v="0"/>
    <x v="0"/>
    <x v="0"/>
    <x v="0"/>
    <s v="DK1_Large"/>
    <x v="0"/>
    <s v="GNR_ENG_BGAS_BP_E-40"/>
    <x v="0"/>
    <x v="23"/>
    <n v="1.51585365853659"/>
    <n v="553.28658536585397"/>
    <n v="1991.8317073170699"/>
  </r>
  <r>
    <x v="0"/>
    <x v="0"/>
    <x v="0"/>
    <x v="0"/>
    <x v="0"/>
    <s v="DK1_Large"/>
    <x v="0"/>
    <s v="GNR_ENG_BGAS_BP_E-41"/>
    <x v="0"/>
    <x v="0"/>
    <n v="3.2646341463414599"/>
    <n v="1191.59146341463"/>
    <n v="4289.72926829268"/>
  </r>
  <r>
    <x v="0"/>
    <x v="0"/>
    <x v="0"/>
    <x v="0"/>
    <x v="0"/>
    <s v="DK1_Large"/>
    <x v="0"/>
    <s v="GNR_ENG_BGAS_BP_E-41"/>
    <x v="0"/>
    <x v="1"/>
    <n v="3.2646341463414599"/>
    <n v="1191.59146341463"/>
    <n v="4289.72926829268"/>
  </r>
  <r>
    <x v="0"/>
    <x v="0"/>
    <x v="0"/>
    <x v="0"/>
    <x v="0"/>
    <s v="DK1_Large"/>
    <x v="0"/>
    <s v="GNR_ENG_BGAS_BP_E-41"/>
    <x v="0"/>
    <x v="2"/>
    <n v="3.2646341463414599"/>
    <n v="1191.59146341463"/>
    <n v="4289.72926829268"/>
  </r>
  <r>
    <x v="0"/>
    <x v="0"/>
    <x v="0"/>
    <x v="0"/>
    <x v="0"/>
    <s v="DK1_Large"/>
    <x v="0"/>
    <s v="GNR_ENG_BGAS_BP_E-41"/>
    <x v="0"/>
    <x v="3"/>
    <n v="3.2646341463414599"/>
    <n v="1191.59146341463"/>
    <n v="4289.72926829268"/>
  </r>
  <r>
    <x v="0"/>
    <x v="0"/>
    <x v="0"/>
    <x v="0"/>
    <x v="0"/>
    <s v="DK1_Large"/>
    <x v="0"/>
    <s v="GNR_ENG_BGAS_BP_E-41"/>
    <x v="0"/>
    <x v="4"/>
    <n v="3.2646341463414599"/>
    <n v="1191.59146341463"/>
    <n v="4289.72926829268"/>
  </r>
  <r>
    <x v="0"/>
    <x v="0"/>
    <x v="0"/>
    <x v="0"/>
    <x v="0"/>
    <s v="DK1_Large"/>
    <x v="0"/>
    <s v="GNR_ENG_BGAS_BP_E-41"/>
    <x v="0"/>
    <x v="5"/>
    <n v="3.2646341463414599"/>
    <n v="1191.59146341463"/>
    <n v="4289.72926829268"/>
  </r>
  <r>
    <x v="0"/>
    <x v="0"/>
    <x v="0"/>
    <x v="0"/>
    <x v="0"/>
    <s v="DK1_Large"/>
    <x v="0"/>
    <s v="GNR_ENG_BGAS_BP_E-41"/>
    <x v="0"/>
    <x v="6"/>
    <n v="3.2646341463414599"/>
    <n v="1191.59146341463"/>
    <n v="4289.72926829268"/>
  </r>
  <r>
    <x v="0"/>
    <x v="0"/>
    <x v="0"/>
    <x v="0"/>
    <x v="0"/>
    <s v="DK1_Large"/>
    <x v="0"/>
    <s v="GNR_ENG_BGAS_BP_E-41"/>
    <x v="0"/>
    <x v="7"/>
    <n v="3.2646341463414599"/>
    <n v="1191.59146341463"/>
    <n v="4289.72926829268"/>
  </r>
  <r>
    <x v="0"/>
    <x v="0"/>
    <x v="0"/>
    <x v="0"/>
    <x v="0"/>
    <s v="DK1_Large"/>
    <x v="0"/>
    <s v="GNR_ENG_BGAS_BP_E-41"/>
    <x v="0"/>
    <x v="8"/>
    <n v="3.2646341463414599"/>
    <n v="1191.59146341463"/>
    <n v="4289.72926829268"/>
  </r>
  <r>
    <x v="0"/>
    <x v="0"/>
    <x v="0"/>
    <x v="0"/>
    <x v="0"/>
    <s v="DK1_Large"/>
    <x v="0"/>
    <s v="GNR_ENG_BGAS_BP_E-41"/>
    <x v="0"/>
    <x v="9"/>
    <n v="3.2646341463414599"/>
    <n v="1191.59146341463"/>
    <n v="4289.72926829268"/>
  </r>
  <r>
    <x v="0"/>
    <x v="0"/>
    <x v="0"/>
    <x v="0"/>
    <x v="0"/>
    <s v="DK1_Large"/>
    <x v="0"/>
    <s v="GNR_ENG_BGAS_BP_E-41"/>
    <x v="0"/>
    <x v="10"/>
    <n v="3.2646341463414599"/>
    <n v="1191.59146341463"/>
    <n v="4289.72926829268"/>
  </r>
  <r>
    <x v="0"/>
    <x v="0"/>
    <x v="0"/>
    <x v="0"/>
    <x v="0"/>
    <s v="DK1_Large"/>
    <x v="0"/>
    <s v="GNR_ENG_BGAS_BP_E-41"/>
    <x v="0"/>
    <x v="11"/>
    <n v="3.2646341463414599"/>
    <n v="1191.59146341463"/>
    <n v="4289.72926829268"/>
  </r>
  <r>
    <x v="0"/>
    <x v="0"/>
    <x v="0"/>
    <x v="0"/>
    <x v="0"/>
    <s v="DK1_Large"/>
    <x v="0"/>
    <s v="GNR_ENG_BGAS_BP_E-41"/>
    <x v="0"/>
    <x v="12"/>
    <n v="3.2646341463414599"/>
    <n v="1191.59146341463"/>
    <n v="4289.72926829268"/>
  </r>
  <r>
    <x v="0"/>
    <x v="0"/>
    <x v="0"/>
    <x v="0"/>
    <x v="0"/>
    <s v="DK1_Large"/>
    <x v="0"/>
    <s v="GNR_ENG_BGAS_BP_E-41"/>
    <x v="0"/>
    <x v="13"/>
    <n v="3.2646341463414599"/>
    <n v="1191.59146341463"/>
    <n v="4289.72926829268"/>
  </r>
  <r>
    <x v="0"/>
    <x v="0"/>
    <x v="0"/>
    <x v="0"/>
    <x v="0"/>
    <s v="DK1_Large"/>
    <x v="0"/>
    <s v="GNR_ENG_BGAS_BP_E-41"/>
    <x v="0"/>
    <x v="14"/>
    <n v="3.2646341463414599"/>
    <n v="1191.59146341463"/>
    <n v="4289.72926829268"/>
  </r>
  <r>
    <x v="0"/>
    <x v="0"/>
    <x v="0"/>
    <x v="0"/>
    <x v="0"/>
    <s v="DK1_Large"/>
    <x v="0"/>
    <s v="GNR_ENG_BGAS_BP_E-41"/>
    <x v="0"/>
    <x v="15"/>
    <n v="3.2646341463414599"/>
    <n v="1191.59146341463"/>
    <n v="4289.72926829268"/>
  </r>
  <r>
    <x v="0"/>
    <x v="0"/>
    <x v="0"/>
    <x v="0"/>
    <x v="0"/>
    <s v="DK1_Large"/>
    <x v="0"/>
    <s v="GNR_ENG_BGAS_BP_E-41"/>
    <x v="0"/>
    <x v="16"/>
    <n v="3.2646341463414599"/>
    <n v="1191.59146341463"/>
    <n v="4289.72926829268"/>
  </r>
  <r>
    <x v="0"/>
    <x v="0"/>
    <x v="0"/>
    <x v="0"/>
    <x v="0"/>
    <s v="DK1_Large"/>
    <x v="0"/>
    <s v="GNR_ENG_BGAS_BP_E-41"/>
    <x v="0"/>
    <x v="17"/>
    <n v="3.2646341463414599"/>
    <n v="1191.59146341463"/>
    <n v="4289.72926829268"/>
  </r>
  <r>
    <x v="0"/>
    <x v="0"/>
    <x v="0"/>
    <x v="0"/>
    <x v="0"/>
    <s v="DK1_Large"/>
    <x v="0"/>
    <s v="GNR_ENG_BGAS_BP_E-41"/>
    <x v="0"/>
    <x v="18"/>
    <n v="3.2646341463414599"/>
    <n v="1191.59146341463"/>
    <n v="4289.72926829268"/>
  </r>
  <r>
    <x v="0"/>
    <x v="0"/>
    <x v="0"/>
    <x v="0"/>
    <x v="0"/>
    <s v="DK1_Large"/>
    <x v="0"/>
    <s v="GNR_ENG_BGAS_BP_E-41"/>
    <x v="0"/>
    <x v="19"/>
    <n v="3.2646341463414599"/>
    <n v="1191.59146341463"/>
    <n v="4289.72926829268"/>
  </r>
  <r>
    <x v="0"/>
    <x v="0"/>
    <x v="0"/>
    <x v="0"/>
    <x v="0"/>
    <s v="DK1_Large"/>
    <x v="0"/>
    <s v="GNR_ENG_BGAS_BP_E-41"/>
    <x v="0"/>
    <x v="20"/>
    <n v="3.2646341463414599"/>
    <n v="1191.59146341463"/>
    <n v="4289.72926829268"/>
  </r>
  <r>
    <x v="0"/>
    <x v="0"/>
    <x v="0"/>
    <x v="0"/>
    <x v="0"/>
    <s v="DK1_Large"/>
    <x v="0"/>
    <s v="GNR_ENG_BGAS_BP_E-41"/>
    <x v="0"/>
    <x v="21"/>
    <n v="3.2646341463414599"/>
    <n v="1191.59146341463"/>
    <n v="4289.72926829268"/>
  </r>
  <r>
    <x v="0"/>
    <x v="0"/>
    <x v="0"/>
    <x v="0"/>
    <x v="0"/>
    <s v="DK1_Large"/>
    <x v="0"/>
    <s v="GNR_ENG_BGAS_BP_E-41"/>
    <x v="0"/>
    <x v="22"/>
    <n v="3.2646341463414599"/>
    <n v="1191.59146341463"/>
    <n v="4289.72926829268"/>
  </r>
  <r>
    <x v="0"/>
    <x v="0"/>
    <x v="0"/>
    <x v="0"/>
    <x v="0"/>
    <s v="DK1_Large"/>
    <x v="0"/>
    <s v="GNR_ENG_BGAS_BP_E-41"/>
    <x v="0"/>
    <x v="23"/>
    <n v="3.2646341463414599"/>
    <n v="1191.59146341463"/>
    <n v="4289.72926829268"/>
  </r>
  <r>
    <x v="0"/>
    <x v="0"/>
    <x v="0"/>
    <x v="0"/>
    <x v="0"/>
    <s v="DK1_Large"/>
    <x v="0"/>
    <s v="GNR_ENG_BGAS_BP_E-42"/>
    <x v="0"/>
    <x v="0"/>
    <n v="3.6621951219512199"/>
    <n v="1336.7012195121999"/>
    <n v="4812.1243902439001"/>
  </r>
  <r>
    <x v="0"/>
    <x v="0"/>
    <x v="0"/>
    <x v="0"/>
    <x v="0"/>
    <s v="DK1_Large"/>
    <x v="0"/>
    <s v="GNR_ENG_BGAS_BP_E-42"/>
    <x v="0"/>
    <x v="1"/>
    <n v="3.6621951219512199"/>
    <n v="1336.7012195121999"/>
    <n v="4812.1243902439001"/>
  </r>
  <r>
    <x v="0"/>
    <x v="0"/>
    <x v="0"/>
    <x v="0"/>
    <x v="0"/>
    <s v="DK1_Large"/>
    <x v="0"/>
    <s v="GNR_ENG_BGAS_BP_E-42"/>
    <x v="0"/>
    <x v="2"/>
    <n v="3.6621951219512199"/>
    <n v="1336.7012195121999"/>
    <n v="4812.1243902439001"/>
  </r>
  <r>
    <x v="0"/>
    <x v="0"/>
    <x v="0"/>
    <x v="0"/>
    <x v="0"/>
    <s v="DK1_Large"/>
    <x v="0"/>
    <s v="GNR_ENG_BGAS_BP_E-42"/>
    <x v="0"/>
    <x v="3"/>
    <n v="3.6621951219512199"/>
    <n v="1336.7012195121999"/>
    <n v="4812.1243902439001"/>
  </r>
  <r>
    <x v="0"/>
    <x v="0"/>
    <x v="0"/>
    <x v="0"/>
    <x v="0"/>
    <s v="DK1_Large"/>
    <x v="0"/>
    <s v="GNR_ENG_BGAS_BP_E-42"/>
    <x v="0"/>
    <x v="4"/>
    <n v="3.6621951219512199"/>
    <n v="1336.7012195121999"/>
    <n v="4812.1243902439001"/>
  </r>
  <r>
    <x v="0"/>
    <x v="0"/>
    <x v="0"/>
    <x v="0"/>
    <x v="0"/>
    <s v="DK1_Large"/>
    <x v="0"/>
    <s v="GNR_ENG_BGAS_BP_E-42"/>
    <x v="0"/>
    <x v="5"/>
    <n v="3.6621951219512199"/>
    <n v="1336.7012195121999"/>
    <n v="4812.1243902439001"/>
  </r>
  <r>
    <x v="0"/>
    <x v="0"/>
    <x v="0"/>
    <x v="0"/>
    <x v="0"/>
    <s v="DK1_Large"/>
    <x v="0"/>
    <s v="GNR_ENG_BGAS_BP_E-42"/>
    <x v="0"/>
    <x v="6"/>
    <n v="3.6621951219512199"/>
    <n v="1336.7012195121999"/>
    <n v="4812.1243902439001"/>
  </r>
  <r>
    <x v="0"/>
    <x v="0"/>
    <x v="0"/>
    <x v="0"/>
    <x v="0"/>
    <s v="DK1_Large"/>
    <x v="0"/>
    <s v="GNR_ENG_BGAS_BP_E-42"/>
    <x v="0"/>
    <x v="7"/>
    <n v="3.6621951219512199"/>
    <n v="1336.7012195121999"/>
    <n v="4812.1243902439001"/>
  </r>
  <r>
    <x v="0"/>
    <x v="0"/>
    <x v="0"/>
    <x v="0"/>
    <x v="0"/>
    <s v="DK1_Large"/>
    <x v="0"/>
    <s v="GNR_ENG_BGAS_BP_E-42"/>
    <x v="0"/>
    <x v="8"/>
    <n v="3.6621951219512199"/>
    <n v="1336.7012195121999"/>
    <n v="4812.1243902439001"/>
  </r>
  <r>
    <x v="0"/>
    <x v="0"/>
    <x v="0"/>
    <x v="0"/>
    <x v="0"/>
    <s v="DK1_Large"/>
    <x v="0"/>
    <s v="GNR_ENG_BGAS_BP_E-42"/>
    <x v="0"/>
    <x v="9"/>
    <n v="3.6621951219512199"/>
    <n v="1336.7012195121999"/>
    <n v="4812.1243902439001"/>
  </r>
  <r>
    <x v="0"/>
    <x v="0"/>
    <x v="0"/>
    <x v="0"/>
    <x v="0"/>
    <s v="DK1_Large"/>
    <x v="0"/>
    <s v="GNR_ENG_BGAS_BP_E-42"/>
    <x v="0"/>
    <x v="10"/>
    <n v="3.6621951219512199"/>
    <n v="1336.7012195121999"/>
    <n v="4812.1243902439001"/>
  </r>
  <r>
    <x v="0"/>
    <x v="0"/>
    <x v="0"/>
    <x v="0"/>
    <x v="0"/>
    <s v="DK1_Large"/>
    <x v="0"/>
    <s v="GNR_ENG_BGAS_BP_E-42"/>
    <x v="0"/>
    <x v="11"/>
    <n v="3.6621951219512199"/>
    <n v="1336.7012195121999"/>
    <n v="4812.1243902439001"/>
  </r>
  <r>
    <x v="0"/>
    <x v="0"/>
    <x v="0"/>
    <x v="0"/>
    <x v="0"/>
    <s v="DK1_Large"/>
    <x v="0"/>
    <s v="GNR_ENG_BGAS_BP_E-42"/>
    <x v="0"/>
    <x v="12"/>
    <n v="3.6621951219512199"/>
    <n v="1336.7012195121999"/>
    <n v="4812.1243902439001"/>
  </r>
  <r>
    <x v="0"/>
    <x v="0"/>
    <x v="0"/>
    <x v="0"/>
    <x v="0"/>
    <s v="DK1_Large"/>
    <x v="0"/>
    <s v="GNR_ENG_BGAS_BP_E-42"/>
    <x v="0"/>
    <x v="13"/>
    <n v="3.6621951219512199"/>
    <n v="1336.7012195121999"/>
    <n v="4812.1243902439001"/>
  </r>
  <r>
    <x v="0"/>
    <x v="0"/>
    <x v="0"/>
    <x v="0"/>
    <x v="0"/>
    <s v="DK1_Large"/>
    <x v="0"/>
    <s v="GNR_ENG_BGAS_BP_E-42"/>
    <x v="0"/>
    <x v="14"/>
    <n v="3.6621951219512199"/>
    <n v="1336.7012195121999"/>
    <n v="4812.1243902439001"/>
  </r>
  <r>
    <x v="0"/>
    <x v="0"/>
    <x v="0"/>
    <x v="0"/>
    <x v="0"/>
    <s v="DK1_Large"/>
    <x v="0"/>
    <s v="GNR_ENG_BGAS_BP_E-42"/>
    <x v="0"/>
    <x v="15"/>
    <n v="3.6621951219512199"/>
    <n v="1336.7012195121999"/>
    <n v="4812.1243902439001"/>
  </r>
  <r>
    <x v="0"/>
    <x v="0"/>
    <x v="0"/>
    <x v="0"/>
    <x v="0"/>
    <s v="DK1_Large"/>
    <x v="0"/>
    <s v="GNR_ENG_BGAS_BP_E-42"/>
    <x v="0"/>
    <x v="16"/>
    <n v="3.6621951219512199"/>
    <n v="1336.7012195121999"/>
    <n v="4812.1243902439001"/>
  </r>
  <r>
    <x v="0"/>
    <x v="0"/>
    <x v="0"/>
    <x v="0"/>
    <x v="0"/>
    <s v="DK1_Large"/>
    <x v="0"/>
    <s v="GNR_ENG_BGAS_BP_E-42"/>
    <x v="0"/>
    <x v="17"/>
    <n v="3.6621951219512199"/>
    <n v="1336.7012195121999"/>
    <n v="4812.1243902439001"/>
  </r>
  <r>
    <x v="0"/>
    <x v="0"/>
    <x v="0"/>
    <x v="0"/>
    <x v="0"/>
    <s v="DK1_Large"/>
    <x v="0"/>
    <s v="GNR_ENG_BGAS_BP_E-42"/>
    <x v="0"/>
    <x v="18"/>
    <n v="3.6621951219512199"/>
    <n v="1336.7012195121999"/>
    <n v="4812.1243902439001"/>
  </r>
  <r>
    <x v="0"/>
    <x v="0"/>
    <x v="0"/>
    <x v="0"/>
    <x v="0"/>
    <s v="DK1_Large"/>
    <x v="0"/>
    <s v="GNR_ENG_BGAS_BP_E-42"/>
    <x v="0"/>
    <x v="19"/>
    <n v="3.6621951219512199"/>
    <n v="1336.7012195121999"/>
    <n v="4812.1243902439001"/>
  </r>
  <r>
    <x v="0"/>
    <x v="0"/>
    <x v="0"/>
    <x v="0"/>
    <x v="0"/>
    <s v="DK1_Large"/>
    <x v="0"/>
    <s v="GNR_ENG_BGAS_BP_E-42"/>
    <x v="0"/>
    <x v="20"/>
    <n v="3.6621951219512199"/>
    <n v="1336.7012195121999"/>
    <n v="4812.1243902439001"/>
  </r>
  <r>
    <x v="0"/>
    <x v="0"/>
    <x v="0"/>
    <x v="0"/>
    <x v="0"/>
    <s v="DK1_Large"/>
    <x v="0"/>
    <s v="GNR_ENG_BGAS_BP_E-42"/>
    <x v="0"/>
    <x v="21"/>
    <n v="3.6621951219512199"/>
    <n v="1336.7012195121999"/>
    <n v="4812.1243902439001"/>
  </r>
  <r>
    <x v="0"/>
    <x v="0"/>
    <x v="0"/>
    <x v="0"/>
    <x v="0"/>
    <s v="DK1_Large"/>
    <x v="0"/>
    <s v="GNR_ENG_BGAS_BP_E-42"/>
    <x v="0"/>
    <x v="22"/>
    <n v="3.6621951219512199"/>
    <n v="1336.7012195121999"/>
    <n v="4812.1243902439001"/>
  </r>
  <r>
    <x v="0"/>
    <x v="0"/>
    <x v="0"/>
    <x v="0"/>
    <x v="0"/>
    <s v="DK1_Large"/>
    <x v="0"/>
    <s v="GNR_ENG_BGAS_BP_E-42"/>
    <x v="0"/>
    <x v="23"/>
    <n v="3.6621951219512199"/>
    <n v="1336.7012195121999"/>
    <n v="4812.1243902439001"/>
  </r>
  <r>
    <x v="0"/>
    <x v="0"/>
    <x v="0"/>
    <x v="0"/>
    <x v="0"/>
    <s v="DK1_Large"/>
    <x v="0"/>
    <s v="GNR_ENG_BGAS_BP_E-43"/>
    <x v="0"/>
    <x v="0"/>
    <n v="3.7158536585365902"/>
    <n v="1356.28658536585"/>
    <n v="4882.6317073170703"/>
  </r>
  <r>
    <x v="0"/>
    <x v="0"/>
    <x v="0"/>
    <x v="0"/>
    <x v="0"/>
    <s v="DK1_Large"/>
    <x v="0"/>
    <s v="GNR_ENG_BGAS_BP_E-43"/>
    <x v="0"/>
    <x v="1"/>
    <n v="3.7158536585365902"/>
    <n v="1356.28658536585"/>
    <n v="4882.6317073170703"/>
  </r>
  <r>
    <x v="0"/>
    <x v="0"/>
    <x v="0"/>
    <x v="0"/>
    <x v="0"/>
    <s v="DK1_Large"/>
    <x v="0"/>
    <s v="GNR_ENG_BGAS_BP_E-43"/>
    <x v="0"/>
    <x v="2"/>
    <n v="3.7158536585365902"/>
    <n v="1356.28658536585"/>
    <n v="4882.6317073170703"/>
  </r>
  <r>
    <x v="0"/>
    <x v="0"/>
    <x v="0"/>
    <x v="0"/>
    <x v="0"/>
    <s v="DK1_Large"/>
    <x v="0"/>
    <s v="GNR_ENG_BGAS_BP_E-43"/>
    <x v="0"/>
    <x v="3"/>
    <n v="3.7158536585365902"/>
    <n v="1356.28658536585"/>
    <n v="4882.6317073170703"/>
  </r>
  <r>
    <x v="0"/>
    <x v="0"/>
    <x v="0"/>
    <x v="0"/>
    <x v="0"/>
    <s v="DK1_Large"/>
    <x v="0"/>
    <s v="GNR_ENG_BGAS_BP_E-43"/>
    <x v="0"/>
    <x v="4"/>
    <n v="3.7158536585365902"/>
    <n v="1356.28658536585"/>
    <n v="4882.6317073170703"/>
  </r>
  <r>
    <x v="0"/>
    <x v="0"/>
    <x v="0"/>
    <x v="0"/>
    <x v="0"/>
    <s v="DK1_Large"/>
    <x v="0"/>
    <s v="GNR_ENG_BGAS_BP_E-43"/>
    <x v="0"/>
    <x v="5"/>
    <n v="3.7158536585365902"/>
    <n v="1356.28658536585"/>
    <n v="4882.6317073170703"/>
  </r>
  <r>
    <x v="0"/>
    <x v="0"/>
    <x v="0"/>
    <x v="0"/>
    <x v="0"/>
    <s v="DK1_Large"/>
    <x v="0"/>
    <s v="GNR_ENG_BGAS_BP_E-43"/>
    <x v="0"/>
    <x v="6"/>
    <n v="3.7158536585365902"/>
    <n v="1356.28658536585"/>
    <n v="4882.6317073170703"/>
  </r>
  <r>
    <x v="0"/>
    <x v="0"/>
    <x v="0"/>
    <x v="0"/>
    <x v="0"/>
    <s v="DK1_Large"/>
    <x v="0"/>
    <s v="GNR_ENG_BGAS_BP_E-43"/>
    <x v="0"/>
    <x v="7"/>
    <n v="3.7158536585365902"/>
    <n v="1356.28658536585"/>
    <n v="4882.6317073170703"/>
  </r>
  <r>
    <x v="0"/>
    <x v="0"/>
    <x v="0"/>
    <x v="0"/>
    <x v="0"/>
    <s v="DK1_Large"/>
    <x v="0"/>
    <s v="GNR_ENG_BGAS_BP_E-43"/>
    <x v="0"/>
    <x v="8"/>
    <n v="3.7158536585365902"/>
    <n v="1356.28658536585"/>
    <n v="4882.6317073170703"/>
  </r>
  <r>
    <x v="0"/>
    <x v="0"/>
    <x v="0"/>
    <x v="0"/>
    <x v="0"/>
    <s v="DK1_Large"/>
    <x v="0"/>
    <s v="GNR_ENG_BGAS_BP_E-43"/>
    <x v="0"/>
    <x v="9"/>
    <n v="3.7158536585365902"/>
    <n v="1356.28658536585"/>
    <n v="4882.6317073170703"/>
  </r>
  <r>
    <x v="0"/>
    <x v="0"/>
    <x v="0"/>
    <x v="0"/>
    <x v="0"/>
    <s v="DK1_Large"/>
    <x v="0"/>
    <s v="GNR_ENG_BGAS_BP_E-43"/>
    <x v="0"/>
    <x v="10"/>
    <n v="3.7158536585365902"/>
    <n v="1356.28658536585"/>
    <n v="4882.6317073170703"/>
  </r>
  <r>
    <x v="0"/>
    <x v="0"/>
    <x v="0"/>
    <x v="0"/>
    <x v="0"/>
    <s v="DK1_Large"/>
    <x v="0"/>
    <s v="GNR_ENG_BGAS_BP_E-43"/>
    <x v="0"/>
    <x v="11"/>
    <n v="3.7158536585365902"/>
    <n v="1356.28658536585"/>
    <n v="4882.6317073170703"/>
  </r>
  <r>
    <x v="0"/>
    <x v="0"/>
    <x v="0"/>
    <x v="0"/>
    <x v="0"/>
    <s v="DK1_Large"/>
    <x v="0"/>
    <s v="GNR_ENG_BGAS_BP_E-43"/>
    <x v="0"/>
    <x v="12"/>
    <n v="3.7158536585365902"/>
    <n v="1356.28658536585"/>
    <n v="4882.6317073170703"/>
  </r>
  <r>
    <x v="0"/>
    <x v="0"/>
    <x v="0"/>
    <x v="0"/>
    <x v="0"/>
    <s v="DK1_Large"/>
    <x v="0"/>
    <s v="GNR_ENG_BGAS_BP_E-43"/>
    <x v="0"/>
    <x v="13"/>
    <n v="3.7158536585365902"/>
    <n v="1356.28658536585"/>
    <n v="4882.6317073170703"/>
  </r>
  <r>
    <x v="0"/>
    <x v="0"/>
    <x v="0"/>
    <x v="0"/>
    <x v="0"/>
    <s v="DK1_Large"/>
    <x v="0"/>
    <s v="GNR_ENG_BGAS_BP_E-43"/>
    <x v="0"/>
    <x v="14"/>
    <n v="3.7158536585365902"/>
    <n v="1356.28658536585"/>
    <n v="4882.6317073170703"/>
  </r>
  <r>
    <x v="0"/>
    <x v="0"/>
    <x v="0"/>
    <x v="0"/>
    <x v="0"/>
    <s v="DK1_Large"/>
    <x v="0"/>
    <s v="GNR_ENG_BGAS_BP_E-43"/>
    <x v="0"/>
    <x v="15"/>
    <n v="3.7158536585365902"/>
    <n v="1356.28658536585"/>
    <n v="4882.6317073170703"/>
  </r>
  <r>
    <x v="0"/>
    <x v="0"/>
    <x v="0"/>
    <x v="0"/>
    <x v="0"/>
    <s v="DK1_Large"/>
    <x v="0"/>
    <s v="GNR_ENG_BGAS_BP_E-43"/>
    <x v="0"/>
    <x v="16"/>
    <n v="3.7158536585365902"/>
    <n v="1356.28658536585"/>
    <n v="4882.6317073170703"/>
  </r>
  <r>
    <x v="0"/>
    <x v="0"/>
    <x v="0"/>
    <x v="0"/>
    <x v="0"/>
    <s v="DK1_Large"/>
    <x v="0"/>
    <s v="GNR_ENG_BGAS_BP_E-43"/>
    <x v="0"/>
    <x v="17"/>
    <n v="3.7158536585365902"/>
    <n v="1356.28658536585"/>
    <n v="4882.6317073170703"/>
  </r>
  <r>
    <x v="0"/>
    <x v="0"/>
    <x v="0"/>
    <x v="0"/>
    <x v="0"/>
    <s v="DK1_Large"/>
    <x v="0"/>
    <s v="GNR_ENG_BGAS_BP_E-43"/>
    <x v="0"/>
    <x v="18"/>
    <n v="3.7158536585365902"/>
    <n v="1356.28658536585"/>
    <n v="4882.6317073170703"/>
  </r>
  <r>
    <x v="0"/>
    <x v="0"/>
    <x v="0"/>
    <x v="0"/>
    <x v="0"/>
    <s v="DK1_Large"/>
    <x v="0"/>
    <s v="GNR_ENG_BGAS_BP_E-43"/>
    <x v="0"/>
    <x v="19"/>
    <n v="3.7158536585365902"/>
    <n v="1356.28658536585"/>
    <n v="4882.6317073170703"/>
  </r>
  <r>
    <x v="0"/>
    <x v="0"/>
    <x v="0"/>
    <x v="0"/>
    <x v="0"/>
    <s v="DK1_Large"/>
    <x v="0"/>
    <s v="GNR_ENG_BGAS_BP_E-43"/>
    <x v="0"/>
    <x v="20"/>
    <n v="3.7158536585365902"/>
    <n v="1356.28658536585"/>
    <n v="4882.6317073170703"/>
  </r>
  <r>
    <x v="0"/>
    <x v="0"/>
    <x v="0"/>
    <x v="0"/>
    <x v="0"/>
    <s v="DK1_Large"/>
    <x v="0"/>
    <s v="GNR_ENG_BGAS_BP_E-43"/>
    <x v="0"/>
    <x v="21"/>
    <n v="3.7158536585365902"/>
    <n v="1356.28658536585"/>
    <n v="4882.6317073170703"/>
  </r>
  <r>
    <x v="0"/>
    <x v="0"/>
    <x v="0"/>
    <x v="0"/>
    <x v="0"/>
    <s v="DK1_Large"/>
    <x v="0"/>
    <s v="GNR_ENG_BGAS_BP_E-43"/>
    <x v="0"/>
    <x v="22"/>
    <n v="3.7158536585365902"/>
    <n v="1356.28658536585"/>
    <n v="4882.6317073170703"/>
  </r>
  <r>
    <x v="0"/>
    <x v="0"/>
    <x v="0"/>
    <x v="0"/>
    <x v="0"/>
    <s v="DK1_Large"/>
    <x v="0"/>
    <s v="GNR_ENG_BGAS_BP_E-43"/>
    <x v="0"/>
    <x v="23"/>
    <n v="3.7158536585365902"/>
    <n v="1356.28658536585"/>
    <n v="4882.6317073170703"/>
  </r>
  <r>
    <x v="0"/>
    <x v="0"/>
    <x v="0"/>
    <x v="0"/>
    <x v="0"/>
    <s v="DK1_Large"/>
    <x v="1"/>
    <s v="GNR_BO_BIOIL_E-79"/>
    <x v="0"/>
    <x v="0"/>
    <n v="5.5"/>
    <n v="2007.5"/>
    <n v="7227"/>
  </r>
  <r>
    <x v="0"/>
    <x v="0"/>
    <x v="0"/>
    <x v="0"/>
    <x v="0"/>
    <s v="DK1_Large"/>
    <x v="1"/>
    <s v="GNR_BO_BIOIL_E-79"/>
    <x v="0"/>
    <x v="1"/>
    <n v="5.5"/>
    <n v="2007.5"/>
    <n v="7227"/>
  </r>
  <r>
    <x v="0"/>
    <x v="0"/>
    <x v="0"/>
    <x v="0"/>
    <x v="0"/>
    <s v="DK1_Large"/>
    <x v="1"/>
    <s v="GNR_BO_BIOIL_E-79"/>
    <x v="0"/>
    <x v="2"/>
    <n v="5.5"/>
    <n v="2007.5"/>
    <n v="7227"/>
  </r>
  <r>
    <x v="0"/>
    <x v="0"/>
    <x v="0"/>
    <x v="0"/>
    <x v="0"/>
    <s v="DK1_Large"/>
    <x v="1"/>
    <s v="GNR_BO_BIOIL_E-79"/>
    <x v="0"/>
    <x v="3"/>
    <n v="5.5"/>
    <n v="2007.5"/>
    <n v="7227"/>
  </r>
  <r>
    <x v="0"/>
    <x v="0"/>
    <x v="0"/>
    <x v="0"/>
    <x v="0"/>
    <s v="DK1_Large"/>
    <x v="1"/>
    <s v="GNR_BO_BIOIL_E-79"/>
    <x v="0"/>
    <x v="4"/>
    <n v="5.5"/>
    <n v="2007.5"/>
    <n v="7227"/>
  </r>
  <r>
    <x v="0"/>
    <x v="0"/>
    <x v="0"/>
    <x v="0"/>
    <x v="0"/>
    <s v="DK1_Large"/>
    <x v="1"/>
    <s v="GNR_BO_BIOIL_E-79"/>
    <x v="0"/>
    <x v="5"/>
    <n v="5.5"/>
    <n v="2007.5"/>
    <n v="7227"/>
  </r>
  <r>
    <x v="0"/>
    <x v="0"/>
    <x v="0"/>
    <x v="0"/>
    <x v="0"/>
    <s v="DK1_Large"/>
    <x v="1"/>
    <s v="GNR_BO_BIOIL_E-79"/>
    <x v="0"/>
    <x v="6"/>
    <n v="5.5"/>
    <n v="2007.5"/>
    <n v="7227"/>
  </r>
  <r>
    <x v="0"/>
    <x v="0"/>
    <x v="0"/>
    <x v="0"/>
    <x v="0"/>
    <s v="DK1_Large"/>
    <x v="1"/>
    <s v="GNR_BO_BIOIL_E-79"/>
    <x v="0"/>
    <x v="7"/>
    <n v="5.5"/>
    <n v="2007.5"/>
    <n v="7227"/>
  </r>
  <r>
    <x v="0"/>
    <x v="0"/>
    <x v="0"/>
    <x v="0"/>
    <x v="0"/>
    <s v="DK1_Large"/>
    <x v="1"/>
    <s v="GNR_BO_BIOIL_E-79"/>
    <x v="0"/>
    <x v="8"/>
    <n v="5.5"/>
    <n v="2007.5"/>
    <n v="7227"/>
  </r>
  <r>
    <x v="0"/>
    <x v="0"/>
    <x v="0"/>
    <x v="0"/>
    <x v="0"/>
    <s v="DK1_Large"/>
    <x v="1"/>
    <s v="GNR_BO_BIOIL_E-79"/>
    <x v="0"/>
    <x v="9"/>
    <n v="5.5"/>
    <n v="2007.5"/>
    <n v="7227"/>
  </r>
  <r>
    <x v="0"/>
    <x v="0"/>
    <x v="0"/>
    <x v="0"/>
    <x v="0"/>
    <s v="DK1_Large"/>
    <x v="1"/>
    <s v="GNR_BO_BIOIL_E-79"/>
    <x v="0"/>
    <x v="10"/>
    <n v="5.5"/>
    <n v="2007.5"/>
    <n v="7227"/>
  </r>
  <r>
    <x v="0"/>
    <x v="0"/>
    <x v="0"/>
    <x v="0"/>
    <x v="0"/>
    <s v="DK1_Large"/>
    <x v="1"/>
    <s v="GNR_BO_BIOIL_E-79"/>
    <x v="0"/>
    <x v="11"/>
    <n v="5.5"/>
    <n v="2007.5"/>
    <n v="7227"/>
  </r>
  <r>
    <x v="0"/>
    <x v="0"/>
    <x v="0"/>
    <x v="0"/>
    <x v="0"/>
    <s v="DK1_Large"/>
    <x v="1"/>
    <s v="GNR_BO_BIOIL_E-79"/>
    <x v="0"/>
    <x v="12"/>
    <n v="5.5"/>
    <n v="2007.5"/>
    <n v="7227"/>
  </r>
  <r>
    <x v="0"/>
    <x v="0"/>
    <x v="0"/>
    <x v="0"/>
    <x v="0"/>
    <s v="DK1_Large"/>
    <x v="1"/>
    <s v="GNR_BO_BIOIL_E-79"/>
    <x v="0"/>
    <x v="13"/>
    <n v="5.5"/>
    <n v="2007.5"/>
    <n v="7227"/>
  </r>
  <r>
    <x v="0"/>
    <x v="0"/>
    <x v="0"/>
    <x v="0"/>
    <x v="0"/>
    <s v="DK1_Large"/>
    <x v="1"/>
    <s v="GNR_BO_BIOIL_E-79"/>
    <x v="0"/>
    <x v="14"/>
    <n v="5.5"/>
    <n v="2007.5"/>
    <n v="7227"/>
  </r>
  <r>
    <x v="0"/>
    <x v="0"/>
    <x v="0"/>
    <x v="0"/>
    <x v="0"/>
    <s v="DK1_Large"/>
    <x v="1"/>
    <s v="GNR_BO_BIOIL_E-79"/>
    <x v="0"/>
    <x v="15"/>
    <n v="5.5"/>
    <n v="2007.5"/>
    <n v="7227"/>
  </r>
  <r>
    <x v="0"/>
    <x v="0"/>
    <x v="0"/>
    <x v="0"/>
    <x v="0"/>
    <s v="DK1_Large"/>
    <x v="1"/>
    <s v="GNR_BO_BIOIL_E-79"/>
    <x v="0"/>
    <x v="16"/>
    <n v="5.5"/>
    <n v="2007.5"/>
    <n v="7227"/>
  </r>
  <r>
    <x v="0"/>
    <x v="0"/>
    <x v="0"/>
    <x v="0"/>
    <x v="0"/>
    <s v="DK1_Large"/>
    <x v="1"/>
    <s v="GNR_BO_BIOIL_E-79"/>
    <x v="0"/>
    <x v="17"/>
    <n v="5.5"/>
    <n v="2007.5"/>
    <n v="7227"/>
  </r>
  <r>
    <x v="0"/>
    <x v="0"/>
    <x v="0"/>
    <x v="0"/>
    <x v="0"/>
    <s v="DK1_Large"/>
    <x v="1"/>
    <s v="GNR_BO_BIOIL_E-79"/>
    <x v="0"/>
    <x v="18"/>
    <n v="5.5"/>
    <n v="2007.5"/>
    <n v="7227"/>
  </r>
  <r>
    <x v="0"/>
    <x v="0"/>
    <x v="0"/>
    <x v="0"/>
    <x v="0"/>
    <s v="DK1_Large"/>
    <x v="1"/>
    <s v="GNR_BO_BIOIL_E-79"/>
    <x v="0"/>
    <x v="19"/>
    <n v="5.5"/>
    <n v="2007.5"/>
    <n v="7227"/>
  </r>
  <r>
    <x v="0"/>
    <x v="0"/>
    <x v="0"/>
    <x v="0"/>
    <x v="0"/>
    <s v="DK1_Large"/>
    <x v="1"/>
    <s v="GNR_BO_BIOIL_E-79"/>
    <x v="0"/>
    <x v="20"/>
    <n v="5.5"/>
    <n v="2007.5"/>
    <n v="7227"/>
  </r>
  <r>
    <x v="0"/>
    <x v="0"/>
    <x v="0"/>
    <x v="0"/>
    <x v="0"/>
    <s v="DK1_Large"/>
    <x v="1"/>
    <s v="GNR_BO_BIOIL_E-79"/>
    <x v="0"/>
    <x v="21"/>
    <n v="5.5"/>
    <n v="2007.5"/>
    <n v="7227"/>
  </r>
  <r>
    <x v="0"/>
    <x v="0"/>
    <x v="0"/>
    <x v="0"/>
    <x v="0"/>
    <s v="DK1_Large"/>
    <x v="1"/>
    <s v="GNR_BO_BIOIL_E-79"/>
    <x v="0"/>
    <x v="22"/>
    <n v="5.5"/>
    <n v="2007.5"/>
    <n v="7227"/>
  </r>
  <r>
    <x v="0"/>
    <x v="0"/>
    <x v="0"/>
    <x v="0"/>
    <x v="0"/>
    <s v="DK1_Large"/>
    <x v="1"/>
    <s v="GNR_BO_BIOIL_E-79"/>
    <x v="0"/>
    <x v="23"/>
    <n v="5.5"/>
    <n v="2007.5"/>
    <n v="7227"/>
  </r>
  <r>
    <x v="0"/>
    <x v="0"/>
    <x v="0"/>
    <x v="0"/>
    <x v="0"/>
    <s v="DK1_Large"/>
    <x v="1"/>
    <s v="GNR_BO_BIOIL_E-85"/>
    <x v="0"/>
    <x v="0"/>
    <n v="109.9"/>
    <n v="40113.5"/>
    <n v="144408.6"/>
  </r>
  <r>
    <x v="0"/>
    <x v="0"/>
    <x v="0"/>
    <x v="0"/>
    <x v="0"/>
    <s v="DK1_Large"/>
    <x v="1"/>
    <s v="GNR_BO_BIOIL_E-85"/>
    <x v="0"/>
    <x v="1"/>
    <n v="109.9"/>
    <n v="40113.5"/>
    <n v="144408.6"/>
  </r>
  <r>
    <x v="0"/>
    <x v="0"/>
    <x v="0"/>
    <x v="0"/>
    <x v="0"/>
    <s v="DK1_Large"/>
    <x v="1"/>
    <s v="GNR_BO_BIOIL_E-85"/>
    <x v="0"/>
    <x v="2"/>
    <n v="109.9"/>
    <n v="40113.5"/>
    <n v="144408.6"/>
  </r>
  <r>
    <x v="0"/>
    <x v="0"/>
    <x v="0"/>
    <x v="0"/>
    <x v="0"/>
    <s v="DK1_Large"/>
    <x v="1"/>
    <s v="GNR_BO_BIOIL_E-85"/>
    <x v="0"/>
    <x v="3"/>
    <n v="109.9"/>
    <n v="40113.5"/>
    <n v="144408.6"/>
  </r>
  <r>
    <x v="0"/>
    <x v="0"/>
    <x v="0"/>
    <x v="0"/>
    <x v="0"/>
    <s v="DK1_Large"/>
    <x v="1"/>
    <s v="GNR_BO_BIOIL_E-85"/>
    <x v="0"/>
    <x v="4"/>
    <n v="109.9"/>
    <n v="40113.5"/>
    <n v="144408.6"/>
  </r>
  <r>
    <x v="0"/>
    <x v="0"/>
    <x v="0"/>
    <x v="0"/>
    <x v="0"/>
    <s v="DK1_Large"/>
    <x v="1"/>
    <s v="GNR_BO_BIOIL_E-85"/>
    <x v="0"/>
    <x v="5"/>
    <n v="109.9"/>
    <n v="40113.5"/>
    <n v="144408.6"/>
  </r>
  <r>
    <x v="0"/>
    <x v="0"/>
    <x v="0"/>
    <x v="0"/>
    <x v="0"/>
    <s v="DK1_Large"/>
    <x v="1"/>
    <s v="GNR_BO_BIOIL_E-85"/>
    <x v="0"/>
    <x v="6"/>
    <n v="109.9"/>
    <n v="40113.5"/>
    <n v="144408.6"/>
  </r>
  <r>
    <x v="0"/>
    <x v="0"/>
    <x v="0"/>
    <x v="0"/>
    <x v="0"/>
    <s v="DK1_Large"/>
    <x v="1"/>
    <s v="GNR_BO_BIOIL_E-85"/>
    <x v="0"/>
    <x v="7"/>
    <n v="109.9"/>
    <n v="40113.5"/>
    <n v="144408.6"/>
  </r>
  <r>
    <x v="0"/>
    <x v="0"/>
    <x v="0"/>
    <x v="0"/>
    <x v="0"/>
    <s v="DK1_Large"/>
    <x v="1"/>
    <s v="GNR_BO_BIOIL_E-85"/>
    <x v="0"/>
    <x v="8"/>
    <n v="109.9"/>
    <n v="40113.5"/>
    <n v="144408.6"/>
  </r>
  <r>
    <x v="0"/>
    <x v="0"/>
    <x v="0"/>
    <x v="0"/>
    <x v="0"/>
    <s v="DK1_Large"/>
    <x v="1"/>
    <s v="GNR_BO_BIOIL_E-85"/>
    <x v="0"/>
    <x v="9"/>
    <n v="109.9"/>
    <n v="40113.5"/>
    <n v="144408.6"/>
  </r>
  <r>
    <x v="0"/>
    <x v="0"/>
    <x v="0"/>
    <x v="0"/>
    <x v="0"/>
    <s v="DK1_Large"/>
    <x v="1"/>
    <s v="GNR_BO_BIOIL_E-85"/>
    <x v="0"/>
    <x v="10"/>
    <n v="109.9"/>
    <n v="40113.5"/>
    <n v="144408.6"/>
  </r>
  <r>
    <x v="0"/>
    <x v="0"/>
    <x v="0"/>
    <x v="0"/>
    <x v="0"/>
    <s v="DK1_Large"/>
    <x v="1"/>
    <s v="GNR_BO_BIOIL_E-85"/>
    <x v="0"/>
    <x v="11"/>
    <n v="109.9"/>
    <n v="40113.5"/>
    <n v="144408.6"/>
  </r>
  <r>
    <x v="0"/>
    <x v="0"/>
    <x v="0"/>
    <x v="0"/>
    <x v="0"/>
    <s v="DK1_Large"/>
    <x v="1"/>
    <s v="GNR_BO_BIOIL_E-85"/>
    <x v="0"/>
    <x v="12"/>
    <n v="109.9"/>
    <n v="40113.5"/>
    <n v="144408.6"/>
  </r>
  <r>
    <x v="0"/>
    <x v="0"/>
    <x v="0"/>
    <x v="0"/>
    <x v="0"/>
    <s v="DK1_Large"/>
    <x v="1"/>
    <s v="GNR_BO_BIOIL_E-85"/>
    <x v="0"/>
    <x v="13"/>
    <n v="109.9"/>
    <n v="40113.5"/>
    <n v="144408.6"/>
  </r>
  <r>
    <x v="0"/>
    <x v="0"/>
    <x v="0"/>
    <x v="0"/>
    <x v="0"/>
    <s v="DK1_Large"/>
    <x v="1"/>
    <s v="GNR_BO_BIOIL_E-85"/>
    <x v="0"/>
    <x v="14"/>
    <n v="109.9"/>
    <n v="40113.5"/>
    <n v="144408.6"/>
  </r>
  <r>
    <x v="0"/>
    <x v="0"/>
    <x v="0"/>
    <x v="0"/>
    <x v="0"/>
    <s v="DK1_Large"/>
    <x v="1"/>
    <s v="GNR_BO_BIOIL_E-85"/>
    <x v="0"/>
    <x v="15"/>
    <n v="109.9"/>
    <n v="40113.5"/>
    <n v="144408.6"/>
  </r>
  <r>
    <x v="0"/>
    <x v="0"/>
    <x v="0"/>
    <x v="0"/>
    <x v="0"/>
    <s v="DK1_Large"/>
    <x v="1"/>
    <s v="GNR_BO_BIOIL_E-85"/>
    <x v="0"/>
    <x v="16"/>
    <n v="109.9"/>
    <n v="40113.5"/>
    <n v="144408.6"/>
  </r>
  <r>
    <x v="0"/>
    <x v="0"/>
    <x v="0"/>
    <x v="0"/>
    <x v="0"/>
    <s v="DK1_Large"/>
    <x v="1"/>
    <s v="GNR_BO_BIOIL_E-85"/>
    <x v="0"/>
    <x v="17"/>
    <n v="109.9"/>
    <n v="40113.5"/>
    <n v="144408.6"/>
  </r>
  <r>
    <x v="0"/>
    <x v="0"/>
    <x v="0"/>
    <x v="0"/>
    <x v="0"/>
    <s v="DK1_Large"/>
    <x v="1"/>
    <s v="GNR_BO_BIOIL_E-85"/>
    <x v="0"/>
    <x v="18"/>
    <n v="109.9"/>
    <n v="40113.5"/>
    <n v="144408.6"/>
  </r>
  <r>
    <x v="0"/>
    <x v="0"/>
    <x v="0"/>
    <x v="0"/>
    <x v="0"/>
    <s v="DK1_Large"/>
    <x v="1"/>
    <s v="GNR_BO_BIOIL_E-85"/>
    <x v="0"/>
    <x v="19"/>
    <n v="109.9"/>
    <n v="40113.5"/>
    <n v="144408.6"/>
  </r>
  <r>
    <x v="0"/>
    <x v="0"/>
    <x v="0"/>
    <x v="0"/>
    <x v="0"/>
    <s v="DK1_Large"/>
    <x v="1"/>
    <s v="GNR_BO_BIOIL_E-85"/>
    <x v="0"/>
    <x v="20"/>
    <n v="109.9"/>
    <n v="40113.5"/>
    <n v="144408.6"/>
  </r>
  <r>
    <x v="0"/>
    <x v="0"/>
    <x v="0"/>
    <x v="0"/>
    <x v="0"/>
    <s v="DK1_Large"/>
    <x v="1"/>
    <s v="GNR_BO_BIOIL_E-85"/>
    <x v="0"/>
    <x v="21"/>
    <n v="109.9"/>
    <n v="40113.5"/>
    <n v="144408.6"/>
  </r>
  <r>
    <x v="0"/>
    <x v="0"/>
    <x v="0"/>
    <x v="0"/>
    <x v="0"/>
    <s v="DK1_Large"/>
    <x v="1"/>
    <s v="GNR_BO_BIOIL_E-85"/>
    <x v="0"/>
    <x v="22"/>
    <n v="109.9"/>
    <n v="40113.5"/>
    <n v="144408.6"/>
  </r>
  <r>
    <x v="0"/>
    <x v="0"/>
    <x v="0"/>
    <x v="0"/>
    <x v="0"/>
    <s v="DK1_Large"/>
    <x v="1"/>
    <s v="GNR_BO_BIOIL_E-85"/>
    <x v="0"/>
    <x v="23"/>
    <n v="109.9"/>
    <n v="40113.5"/>
    <n v="144408.6"/>
  </r>
  <r>
    <x v="0"/>
    <x v="0"/>
    <x v="0"/>
    <x v="0"/>
    <x v="0"/>
    <s v="DK1_Large"/>
    <x v="1"/>
    <s v="GNR_BO_BIOIL_E-93"/>
    <x v="0"/>
    <x v="0"/>
    <n v="23.2"/>
    <n v="8468"/>
    <n v="30484.799999999999"/>
  </r>
  <r>
    <x v="0"/>
    <x v="0"/>
    <x v="0"/>
    <x v="0"/>
    <x v="0"/>
    <s v="DK1_Large"/>
    <x v="1"/>
    <s v="GNR_BO_BIOIL_E-93"/>
    <x v="0"/>
    <x v="1"/>
    <n v="23.2"/>
    <n v="8468"/>
    <n v="30484.799999999999"/>
  </r>
  <r>
    <x v="0"/>
    <x v="0"/>
    <x v="0"/>
    <x v="0"/>
    <x v="0"/>
    <s v="DK1_Large"/>
    <x v="1"/>
    <s v="GNR_BO_BIOIL_E-93"/>
    <x v="0"/>
    <x v="2"/>
    <n v="23.2"/>
    <n v="8468"/>
    <n v="30484.799999999999"/>
  </r>
  <r>
    <x v="0"/>
    <x v="0"/>
    <x v="0"/>
    <x v="0"/>
    <x v="0"/>
    <s v="DK1_Large"/>
    <x v="1"/>
    <s v="GNR_BO_BIOIL_E-93"/>
    <x v="0"/>
    <x v="3"/>
    <n v="23.2"/>
    <n v="8468"/>
    <n v="30484.799999999999"/>
  </r>
  <r>
    <x v="0"/>
    <x v="0"/>
    <x v="0"/>
    <x v="0"/>
    <x v="0"/>
    <s v="DK1_Large"/>
    <x v="1"/>
    <s v="GNR_BO_BIOIL_E-93"/>
    <x v="0"/>
    <x v="4"/>
    <n v="23.2"/>
    <n v="8468"/>
    <n v="30484.799999999999"/>
  </r>
  <r>
    <x v="0"/>
    <x v="0"/>
    <x v="0"/>
    <x v="0"/>
    <x v="0"/>
    <s v="DK1_Large"/>
    <x v="1"/>
    <s v="GNR_BO_BIOIL_E-93"/>
    <x v="0"/>
    <x v="5"/>
    <n v="23.2"/>
    <n v="8468"/>
    <n v="30484.799999999999"/>
  </r>
  <r>
    <x v="0"/>
    <x v="0"/>
    <x v="0"/>
    <x v="0"/>
    <x v="0"/>
    <s v="DK1_Large"/>
    <x v="1"/>
    <s v="GNR_BO_BIOIL_E-93"/>
    <x v="0"/>
    <x v="6"/>
    <n v="23.2"/>
    <n v="8468"/>
    <n v="30484.799999999999"/>
  </r>
  <r>
    <x v="0"/>
    <x v="0"/>
    <x v="0"/>
    <x v="0"/>
    <x v="0"/>
    <s v="DK1_Large"/>
    <x v="1"/>
    <s v="GNR_BO_BIOIL_E-93"/>
    <x v="0"/>
    <x v="7"/>
    <n v="23.2"/>
    <n v="8468"/>
    <n v="30484.799999999999"/>
  </r>
  <r>
    <x v="0"/>
    <x v="0"/>
    <x v="0"/>
    <x v="0"/>
    <x v="0"/>
    <s v="DK1_Large"/>
    <x v="1"/>
    <s v="GNR_BO_BIOIL_E-93"/>
    <x v="0"/>
    <x v="8"/>
    <n v="23.2"/>
    <n v="8468"/>
    <n v="30484.799999999999"/>
  </r>
  <r>
    <x v="0"/>
    <x v="0"/>
    <x v="0"/>
    <x v="0"/>
    <x v="0"/>
    <s v="DK1_Large"/>
    <x v="1"/>
    <s v="GNR_BO_BIOIL_E-93"/>
    <x v="0"/>
    <x v="9"/>
    <n v="23.2"/>
    <n v="8468"/>
    <n v="30484.799999999999"/>
  </r>
  <r>
    <x v="0"/>
    <x v="0"/>
    <x v="0"/>
    <x v="0"/>
    <x v="0"/>
    <s v="DK1_Large"/>
    <x v="1"/>
    <s v="GNR_BO_BIOIL_E-93"/>
    <x v="0"/>
    <x v="10"/>
    <n v="23.2"/>
    <n v="8468"/>
    <n v="30484.799999999999"/>
  </r>
  <r>
    <x v="0"/>
    <x v="0"/>
    <x v="0"/>
    <x v="0"/>
    <x v="0"/>
    <s v="DK1_Large"/>
    <x v="1"/>
    <s v="GNR_BO_BIOIL_E-93"/>
    <x v="0"/>
    <x v="11"/>
    <n v="23.2"/>
    <n v="8468"/>
    <n v="30484.799999999999"/>
  </r>
  <r>
    <x v="0"/>
    <x v="0"/>
    <x v="0"/>
    <x v="0"/>
    <x v="0"/>
    <s v="DK1_Large"/>
    <x v="1"/>
    <s v="GNR_BO_BIOIL_E-93"/>
    <x v="0"/>
    <x v="12"/>
    <n v="23.2"/>
    <n v="8468"/>
    <n v="30484.799999999999"/>
  </r>
  <r>
    <x v="0"/>
    <x v="0"/>
    <x v="0"/>
    <x v="0"/>
    <x v="0"/>
    <s v="DK1_Large"/>
    <x v="1"/>
    <s v="GNR_BO_BIOIL_E-93"/>
    <x v="0"/>
    <x v="13"/>
    <n v="23.2"/>
    <n v="8468"/>
    <n v="30484.799999999999"/>
  </r>
  <r>
    <x v="0"/>
    <x v="0"/>
    <x v="0"/>
    <x v="0"/>
    <x v="0"/>
    <s v="DK1_Large"/>
    <x v="1"/>
    <s v="GNR_BO_BIOIL_E-93"/>
    <x v="0"/>
    <x v="14"/>
    <n v="23.2"/>
    <n v="8468"/>
    <n v="30484.799999999999"/>
  </r>
  <r>
    <x v="0"/>
    <x v="0"/>
    <x v="0"/>
    <x v="0"/>
    <x v="0"/>
    <s v="DK1_Large"/>
    <x v="1"/>
    <s v="GNR_BO_BIOIL_E-93"/>
    <x v="0"/>
    <x v="15"/>
    <n v="23.2"/>
    <n v="8468"/>
    <n v="30484.799999999999"/>
  </r>
  <r>
    <x v="0"/>
    <x v="0"/>
    <x v="0"/>
    <x v="0"/>
    <x v="0"/>
    <s v="DK1_Large"/>
    <x v="1"/>
    <s v="GNR_BO_BIOIL_E-93"/>
    <x v="0"/>
    <x v="16"/>
    <n v="23.2"/>
    <n v="8468"/>
    <n v="30484.799999999999"/>
  </r>
  <r>
    <x v="0"/>
    <x v="0"/>
    <x v="0"/>
    <x v="0"/>
    <x v="0"/>
    <s v="DK1_Large"/>
    <x v="1"/>
    <s v="GNR_BO_BIOIL_E-93"/>
    <x v="0"/>
    <x v="17"/>
    <n v="23.2"/>
    <n v="8468"/>
    <n v="30484.799999999999"/>
  </r>
  <r>
    <x v="0"/>
    <x v="0"/>
    <x v="0"/>
    <x v="0"/>
    <x v="0"/>
    <s v="DK1_Large"/>
    <x v="1"/>
    <s v="GNR_BO_BIOIL_E-93"/>
    <x v="0"/>
    <x v="18"/>
    <n v="23.2"/>
    <n v="8468"/>
    <n v="30484.799999999999"/>
  </r>
  <r>
    <x v="0"/>
    <x v="0"/>
    <x v="0"/>
    <x v="0"/>
    <x v="0"/>
    <s v="DK1_Large"/>
    <x v="1"/>
    <s v="GNR_BO_BIOIL_E-93"/>
    <x v="0"/>
    <x v="19"/>
    <n v="23.2"/>
    <n v="8468"/>
    <n v="30484.799999999999"/>
  </r>
  <r>
    <x v="0"/>
    <x v="0"/>
    <x v="0"/>
    <x v="0"/>
    <x v="0"/>
    <s v="DK1_Large"/>
    <x v="1"/>
    <s v="GNR_BO_BIOIL_E-93"/>
    <x v="0"/>
    <x v="20"/>
    <n v="23.2"/>
    <n v="8468"/>
    <n v="30484.799999999999"/>
  </r>
  <r>
    <x v="0"/>
    <x v="0"/>
    <x v="0"/>
    <x v="0"/>
    <x v="0"/>
    <s v="DK1_Large"/>
    <x v="1"/>
    <s v="GNR_BO_BIOIL_E-93"/>
    <x v="0"/>
    <x v="21"/>
    <n v="23.2"/>
    <n v="8468"/>
    <n v="30484.799999999999"/>
  </r>
  <r>
    <x v="0"/>
    <x v="0"/>
    <x v="0"/>
    <x v="0"/>
    <x v="0"/>
    <s v="DK1_Large"/>
    <x v="1"/>
    <s v="GNR_BO_BIOIL_E-93"/>
    <x v="0"/>
    <x v="22"/>
    <n v="23.2"/>
    <n v="8468"/>
    <n v="30484.799999999999"/>
  </r>
  <r>
    <x v="0"/>
    <x v="0"/>
    <x v="0"/>
    <x v="0"/>
    <x v="0"/>
    <s v="DK1_Large"/>
    <x v="1"/>
    <s v="GNR_BO_BIOIL_E-93"/>
    <x v="0"/>
    <x v="23"/>
    <n v="23.2"/>
    <n v="8468"/>
    <n v="30484.799999999999"/>
  </r>
  <r>
    <x v="0"/>
    <x v="0"/>
    <x v="0"/>
    <x v="0"/>
    <x v="0"/>
    <s v="DK1_Large"/>
    <x v="1"/>
    <s v="GNR_BO_BIOIL_E-94"/>
    <x v="0"/>
    <x v="0"/>
    <n v="100"/>
    <n v="36500"/>
    <n v="131400"/>
  </r>
  <r>
    <x v="0"/>
    <x v="0"/>
    <x v="0"/>
    <x v="0"/>
    <x v="0"/>
    <s v="DK1_Large"/>
    <x v="1"/>
    <s v="GNR_BO_BIOIL_E-94"/>
    <x v="0"/>
    <x v="1"/>
    <n v="100"/>
    <n v="36500"/>
    <n v="131400"/>
  </r>
  <r>
    <x v="0"/>
    <x v="0"/>
    <x v="0"/>
    <x v="0"/>
    <x v="0"/>
    <s v="DK1_Large"/>
    <x v="1"/>
    <s v="GNR_BO_BIOIL_E-94"/>
    <x v="0"/>
    <x v="2"/>
    <n v="100"/>
    <n v="36500"/>
    <n v="131400"/>
  </r>
  <r>
    <x v="0"/>
    <x v="0"/>
    <x v="0"/>
    <x v="0"/>
    <x v="0"/>
    <s v="DK1_Large"/>
    <x v="1"/>
    <s v="GNR_BO_BIOIL_E-94"/>
    <x v="0"/>
    <x v="3"/>
    <n v="100"/>
    <n v="36500"/>
    <n v="131400"/>
  </r>
  <r>
    <x v="0"/>
    <x v="0"/>
    <x v="0"/>
    <x v="0"/>
    <x v="0"/>
    <s v="DK1_Large"/>
    <x v="1"/>
    <s v="GNR_BO_BIOIL_E-94"/>
    <x v="0"/>
    <x v="4"/>
    <n v="100"/>
    <n v="36500"/>
    <n v="131400"/>
  </r>
  <r>
    <x v="0"/>
    <x v="0"/>
    <x v="0"/>
    <x v="0"/>
    <x v="0"/>
    <s v="DK1_Large"/>
    <x v="1"/>
    <s v="GNR_BO_BIOIL_E-94"/>
    <x v="0"/>
    <x v="5"/>
    <n v="100"/>
    <n v="36500"/>
    <n v="131400"/>
  </r>
  <r>
    <x v="0"/>
    <x v="0"/>
    <x v="0"/>
    <x v="0"/>
    <x v="0"/>
    <s v="DK1_Large"/>
    <x v="1"/>
    <s v="GNR_BO_BIOIL_E-94"/>
    <x v="0"/>
    <x v="6"/>
    <n v="100"/>
    <n v="36500"/>
    <n v="131400"/>
  </r>
  <r>
    <x v="0"/>
    <x v="0"/>
    <x v="0"/>
    <x v="0"/>
    <x v="0"/>
    <s v="DK1_Large"/>
    <x v="1"/>
    <s v="GNR_BO_BIOIL_E-94"/>
    <x v="0"/>
    <x v="7"/>
    <n v="100"/>
    <n v="36500"/>
    <n v="131400"/>
  </r>
  <r>
    <x v="0"/>
    <x v="0"/>
    <x v="0"/>
    <x v="0"/>
    <x v="0"/>
    <s v="DK1_Large"/>
    <x v="1"/>
    <s v="GNR_BO_BIOIL_E-94"/>
    <x v="0"/>
    <x v="8"/>
    <n v="100"/>
    <n v="36500"/>
    <n v="131400"/>
  </r>
  <r>
    <x v="0"/>
    <x v="0"/>
    <x v="0"/>
    <x v="0"/>
    <x v="0"/>
    <s v="DK1_Large"/>
    <x v="1"/>
    <s v="GNR_BO_BIOIL_E-94"/>
    <x v="0"/>
    <x v="9"/>
    <n v="100"/>
    <n v="36500"/>
    <n v="131400"/>
  </r>
  <r>
    <x v="0"/>
    <x v="0"/>
    <x v="0"/>
    <x v="0"/>
    <x v="0"/>
    <s v="DK1_Large"/>
    <x v="1"/>
    <s v="GNR_BO_BIOIL_E-94"/>
    <x v="0"/>
    <x v="10"/>
    <n v="100"/>
    <n v="36500"/>
    <n v="131400"/>
  </r>
  <r>
    <x v="0"/>
    <x v="0"/>
    <x v="0"/>
    <x v="0"/>
    <x v="0"/>
    <s v="DK1_Large"/>
    <x v="1"/>
    <s v="GNR_BO_BIOIL_E-94"/>
    <x v="0"/>
    <x v="11"/>
    <n v="100"/>
    <n v="36500"/>
    <n v="131400"/>
  </r>
  <r>
    <x v="0"/>
    <x v="0"/>
    <x v="0"/>
    <x v="0"/>
    <x v="0"/>
    <s v="DK1_Large"/>
    <x v="1"/>
    <s v="GNR_BO_BIOIL_E-94"/>
    <x v="0"/>
    <x v="12"/>
    <n v="100"/>
    <n v="36500"/>
    <n v="131400"/>
  </r>
  <r>
    <x v="0"/>
    <x v="0"/>
    <x v="0"/>
    <x v="0"/>
    <x v="0"/>
    <s v="DK1_Large"/>
    <x v="1"/>
    <s v="GNR_BO_BIOIL_E-94"/>
    <x v="0"/>
    <x v="13"/>
    <n v="100"/>
    <n v="36500"/>
    <n v="131400"/>
  </r>
  <r>
    <x v="0"/>
    <x v="0"/>
    <x v="0"/>
    <x v="0"/>
    <x v="0"/>
    <s v="DK1_Large"/>
    <x v="1"/>
    <s v="GNR_BO_BIOIL_E-94"/>
    <x v="0"/>
    <x v="14"/>
    <n v="100"/>
    <n v="36500"/>
    <n v="131400"/>
  </r>
  <r>
    <x v="0"/>
    <x v="0"/>
    <x v="0"/>
    <x v="0"/>
    <x v="0"/>
    <s v="DK1_Large"/>
    <x v="1"/>
    <s v="GNR_BO_BIOIL_E-94"/>
    <x v="0"/>
    <x v="15"/>
    <n v="100"/>
    <n v="36500"/>
    <n v="131400"/>
  </r>
  <r>
    <x v="0"/>
    <x v="0"/>
    <x v="0"/>
    <x v="0"/>
    <x v="0"/>
    <s v="DK1_Large"/>
    <x v="1"/>
    <s v="GNR_BO_BIOIL_E-94"/>
    <x v="0"/>
    <x v="16"/>
    <n v="100"/>
    <n v="36500"/>
    <n v="131400"/>
  </r>
  <r>
    <x v="0"/>
    <x v="0"/>
    <x v="0"/>
    <x v="0"/>
    <x v="0"/>
    <s v="DK1_Large"/>
    <x v="1"/>
    <s v="GNR_BO_BIOIL_E-94"/>
    <x v="0"/>
    <x v="17"/>
    <n v="100"/>
    <n v="36500"/>
    <n v="131400"/>
  </r>
  <r>
    <x v="0"/>
    <x v="0"/>
    <x v="0"/>
    <x v="0"/>
    <x v="0"/>
    <s v="DK1_Large"/>
    <x v="1"/>
    <s v="GNR_BO_BIOIL_E-94"/>
    <x v="0"/>
    <x v="18"/>
    <n v="100"/>
    <n v="36500"/>
    <n v="131400"/>
  </r>
  <r>
    <x v="0"/>
    <x v="0"/>
    <x v="0"/>
    <x v="0"/>
    <x v="0"/>
    <s v="DK1_Large"/>
    <x v="1"/>
    <s v="GNR_BO_BIOIL_E-94"/>
    <x v="0"/>
    <x v="19"/>
    <n v="100"/>
    <n v="36500"/>
    <n v="131400"/>
  </r>
  <r>
    <x v="0"/>
    <x v="0"/>
    <x v="0"/>
    <x v="0"/>
    <x v="0"/>
    <s v="DK1_Large"/>
    <x v="1"/>
    <s v="GNR_BO_BIOIL_E-94"/>
    <x v="0"/>
    <x v="20"/>
    <n v="100"/>
    <n v="36500"/>
    <n v="131400"/>
  </r>
  <r>
    <x v="0"/>
    <x v="0"/>
    <x v="0"/>
    <x v="0"/>
    <x v="0"/>
    <s v="DK1_Large"/>
    <x v="1"/>
    <s v="GNR_BO_BIOIL_E-94"/>
    <x v="0"/>
    <x v="21"/>
    <n v="100"/>
    <n v="36500"/>
    <n v="131400"/>
  </r>
  <r>
    <x v="0"/>
    <x v="0"/>
    <x v="0"/>
    <x v="0"/>
    <x v="0"/>
    <s v="DK1_Large"/>
    <x v="1"/>
    <s v="GNR_BO_BIOIL_E-94"/>
    <x v="0"/>
    <x v="22"/>
    <n v="100"/>
    <n v="36500"/>
    <n v="131400"/>
  </r>
  <r>
    <x v="0"/>
    <x v="0"/>
    <x v="0"/>
    <x v="0"/>
    <x v="0"/>
    <s v="DK1_Large"/>
    <x v="1"/>
    <s v="GNR_BO_BIOIL_E-94"/>
    <x v="0"/>
    <x v="23"/>
    <n v="100"/>
    <n v="36500"/>
    <n v="131400"/>
  </r>
  <r>
    <x v="0"/>
    <x v="0"/>
    <x v="0"/>
    <x v="0"/>
    <x v="0"/>
    <s v="DK1_Large"/>
    <x v="2"/>
    <s v="GNR_HS_HEAT-E-100"/>
    <x v="0"/>
    <x v="5"/>
    <n v="32.371502998018599"/>
    <n v="11815.5985942768"/>
    <n v="42536.154939396401"/>
  </r>
  <r>
    <x v="0"/>
    <x v="0"/>
    <x v="0"/>
    <x v="0"/>
    <x v="0"/>
    <s v="DK1_Large"/>
    <x v="2"/>
    <s v="GNR_HS_HEAT-E-100"/>
    <x v="0"/>
    <x v="6"/>
    <n v="15.7878702825319"/>
    <n v="5762.5726531241598"/>
    <n v="20745.261551247"/>
  </r>
  <r>
    <x v="0"/>
    <x v="0"/>
    <x v="0"/>
    <x v="0"/>
    <x v="0"/>
    <s v="DK1_Large"/>
    <x v="2"/>
    <s v="GNR_HS_HEAT-E-100"/>
    <x v="0"/>
    <x v="9"/>
    <n v="57.1215100304955"/>
    <n v="20849.3511611309"/>
    <n v="75057.664180071093"/>
  </r>
  <r>
    <x v="0"/>
    <x v="0"/>
    <x v="0"/>
    <x v="0"/>
    <x v="0"/>
    <s v="DK1_Large"/>
    <x v="2"/>
    <s v="GNR_HS_HEAT-E-100"/>
    <x v="0"/>
    <x v="10"/>
    <n v="72.937098459476204"/>
    <n v="26622.0409377088"/>
    <n v="95839.347375751793"/>
  </r>
  <r>
    <x v="0"/>
    <x v="0"/>
    <x v="0"/>
    <x v="0"/>
    <x v="0"/>
    <s v="DK1_Large"/>
    <x v="2"/>
    <s v="GNR_HS_HEAT-E-100"/>
    <x v="0"/>
    <x v="11"/>
    <n v="53.010139285427002"/>
    <n v="19348.700839180899"/>
    <n v="69655.323021051096"/>
  </r>
  <r>
    <x v="0"/>
    <x v="0"/>
    <x v="0"/>
    <x v="0"/>
    <x v="0"/>
    <s v="DK1_Large"/>
    <x v="2"/>
    <s v="GNR_HS_HEAT-E-100"/>
    <x v="0"/>
    <x v="12"/>
    <n v="32.371502998018599"/>
    <n v="11815.5985942768"/>
    <n v="42536.154939396401"/>
  </r>
  <r>
    <x v="0"/>
    <x v="0"/>
    <x v="0"/>
    <x v="0"/>
    <x v="0"/>
    <s v="DK1_Large"/>
    <x v="2"/>
    <s v="GNR_HS_HEAT-E-100"/>
    <x v="0"/>
    <x v="13"/>
    <n v="43.046659698402202"/>
    <n v="15712.0307899168"/>
    <n v="56563.310843700499"/>
  </r>
  <r>
    <x v="0"/>
    <x v="0"/>
    <x v="0"/>
    <x v="0"/>
    <x v="0"/>
    <s v="DK1_Large"/>
    <x v="2"/>
    <s v="GNR_HS_HEAT-E-100"/>
    <x v="0"/>
    <x v="14"/>
    <n v="53.010139285427002"/>
    <n v="19348.700839180899"/>
    <n v="69655.323021051096"/>
  </r>
  <r>
    <x v="0"/>
    <x v="0"/>
    <x v="0"/>
    <x v="0"/>
    <x v="0"/>
    <s v="DK1_Large"/>
    <x v="2"/>
    <s v="GNR_HS_HEAT-E-100"/>
    <x v="0"/>
    <x v="15"/>
    <n v="62.973618872451802"/>
    <n v="22985.370888444901"/>
    <n v="82747.335198401706"/>
  </r>
  <r>
    <x v="0"/>
    <x v="0"/>
    <x v="0"/>
    <x v="0"/>
    <x v="0"/>
    <s v="DK1_Large"/>
    <x v="2"/>
    <s v="GNR_HS_HEAT-E-100"/>
    <x v="0"/>
    <x v="16"/>
    <n v="82.900578046501096"/>
    <n v="30258.710986972899"/>
    <n v="108931.359553102"/>
  </r>
  <r>
    <x v="0"/>
    <x v="0"/>
    <x v="0"/>
    <x v="0"/>
    <x v="0"/>
    <s v="DK1_Large"/>
    <x v="2"/>
    <s v="GNR_HS_HEAT-E-100"/>
    <x v="0"/>
    <x v="17"/>
    <n v="92.864057633525405"/>
    <n v="33895.381036236802"/>
    <n v="122023.371730452"/>
  </r>
  <r>
    <x v="0"/>
    <x v="0"/>
    <x v="0"/>
    <x v="0"/>
    <x v="0"/>
    <s v="DK1_Large"/>
    <x v="2"/>
    <s v="GNR_HS_HEAT-E-100"/>
    <x v="0"/>
    <x v="18"/>
    <n v="102.82753722055"/>
    <n v="37532.051085500803"/>
    <n v="135115.38390780301"/>
  </r>
  <r>
    <x v="0"/>
    <x v="0"/>
    <x v="0"/>
    <x v="0"/>
    <x v="0"/>
    <s v="DK1_Large"/>
    <x v="2"/>
    <s v="GNR_HS_HEAT-E-100"/>
    <x v="0"/>
    <x v="19"/>
    <n v="82.900578046501096"/>
    <n v="30258.710986972899"/>
    <n v="108931.359553102"/>
  </r>
  <r>
    <x v="0"/>
    <x v="0"/>
    <x v="0"/>
    <x v="0"/>
    <x v="0"/>
    <s v="DK1_Large"/>
    <x v="2"/>
    <s v="GNR_HS_HEAT-E-100"/>
    <x v="0"/>
    <x v="20"/>
    <n v="53.010139285427002"/>
    <n v="19348.700839180899"/>
    <n v="69655.323021051096"/>
  </r>
  <r>
    <x v="0"/>
    <x v="0"/>
    <x v="0"/>
    <x v="0"/>
    <x v="0"/>
    <s v="DK1_Large"/>
    <x v="2"/>
    <s v="GNR_HS_HEAT-E-100"/>
    <x v="0"/>
    <x v="21"/>
    <n v="12.444543823969401"/>
    <n v="4542.2584957488298"/>
    <n v="16352.1305846958"/>
  </r>
  <r>
    <x v="0"/>
    <x v="0"/>
    <x v="0"/>
    <x v="0"/>
    <x v="0"/>
    <s v="DK1_Large"/>
    <x v="3"/>
    <s v="GNR_BO_MSW_E-105"/>
    <x v="0"/>
    <x v="0"/>
    <n v="38"/>
    <n v="13870"/>
    <n v="49932"/>
  </r>
  <r>
    <x v="0"/>
    <x v="0"/>
    <x v="0"/>
    <x v="0"/>
    <x v="0"/>
    <s v="DK1_Large"/>
    <x v="3"/>
    <s v="GNR_BO_MSW_E-105"/>
    <x v="0"/>
    <x v="1"/>
    <n v="38"/>
    <n v="13870"/>
    <n v="49932"/>
  </r>
  <r>
    <x v="0"/>
    <x v="0"/>
    <x v="0"/>
    <x v="0"/>
    <x v="0"/>
    <s v="DK1_Large"/>
    <x v="3"/>
    <s v="GNR_BO_MSW_E-105"/>
    <x v="0"/>
    <x v="2"/>
    <n v="38"/>
    <n v="13870"/>
    <n v="49932"/>
  </r>
  <r>
    <x v="0"/>
    <x v="0"/>
    <x v="0"/>
    <x v="0"/>
    <x v="0"/>
    <s v="DK1_Large"/>
    <x v="3"/>
    <s v="GNR_BO_MSW_E-105"/>
    <x v="0"/>
    <x v="3"/>
    <n v="38"/>
    <n v="13870"/>
    <n v="49932"/>
  </r>
  <r>
    <x v="0"/>
    <x v="0"/>
    <x v="0"/>
    <x v="0"/>
    <x v="0"/>
    <s v="DK1_Large"/>
    <x v="3"/>
    <s v="GNR_BO_MSW_E-105"/>
    <x v="0"/>
    <x v="4"/>
    <n v="38"/>
    <n v="13870"/>
    <n v="49932"/>
  </r>
  <r>
    <x v="0"/>
    <x v="0"/>
    <x v="0"/>
    <x v="0"/>
    <x v="0"/>
    <s v="DK1_Large"/>
    <x v="3"/>
    <s v="GNR_BO_MSW_E-105"/>
    <x v="0"/>
    <x v="5"/>
    <n v="38"/>
    <n v="13870"/>
    <n v="49932"/>
  </r>
  <r>
    <x v="0"/>
    <x v="0"/>
    <x v="0"/>
    <x v="0"/>
    <x v="0"/>
    <s v="DK1_Large"/>
    <x v="3"/>
    <s v="GNR_BO_MSW_E-105"/>
    <x v="0"/>
    <x v="6"/>
    <n v="38"/>
    <n v="13870"/>
    <n v="49932"/>
  </r>
  <r>
    <x v="0"/>
    <x v="0"/>
    <x v="0"/>
    <x v="0"/>
    <x v="0"/>
    <s v="DK1_Large"/>
    <x v="3"/>
    <s v="GNR_BO_MSW_E-105"/>
    <x v="0"/>
    <x v="7"/>
    <n v="38"/>
    <n v="13870"/>
    <n v="49932"/>
  </r>
  <r>
    <x v="0"/>
    <x v="0"/>
    <x v="0"/>
    <x v="0"/>
    <x v="0"/>
    <s v="DK1_Large"/>
    <x v="3"/>
    <s v="GNR_BO_MSW_E-105"/>
    <x v="0"/>
    <x v="8"/>
    <n v="38"/>
    <n v="13870"/>
    <n v="49932"/>
  </r>
  <r>
    <x v="0"/>
    <x v="0"/>
    <x v="0"/>
    <x v="0"/>
    <x v="0"/>
    <s v="DK1_Large"/>
    <x v="3"/>
    <s v="GNR_BO_MSW_E-105"/>
    <x v="0"/>
    <x v="9"/>
    <n v="38"/>
    <n v="13870"/>
    <n v="49932"/>
  </r>
  <r>
    <x v="0"/>
    <x v="0"/>
    <x v="0"/>
    <x v="0"/>
    <x v="0"/>
    <s v="DK1_Large"/>
    <x v="3"/>
    <s v="GNR_BO_MSW_E-105"/>
    <x v="0"/>
    <x v="10"/>
    <n v="38"/>
    <n v="13870"/>
    <n v="49932"/>
  </r>
  <r>
    <x v="0"/>
    <x v="0"/>
    <x v="0"/>
    <x v="0"/>
    <x v="0"/>
    <s v="DK1_Large"/>
    <x v="3"/>
    <s v="GNR_BO_MSW_E-105"/>
    <x v="0"/>
    <x v="11"/>
    <n v="38"/>
    <n v="13870"/>
    <n v="49932"/>
  </r>
  <r>
    <x v="0"/>
    <x v="0"/>
    <x v="0"/>
    <x v="0"/>
    <x v="0"/>
    <s v="DK1_Large"/>
    <x v="3"/>
    <s v="GNR_BO_MSW_E-105"/>
    <x v="0"/>
    <x v="12"/>
    <n v="38"/>
    <n v="13870"/>
    <n v="49932"/>
  </r>
  <r>
    <x v="0"/>
    <x v="0"/>
    <x v="0"/>
    <x v="0"/>
    <x v="0"/>
    <s v="DK1_Large"/>
    <x v="3"/>
    <s v="GNR_BO_MSW_E-105"/>
    <x v="0"/>
    <x v="13"/>
    <n v="38"/>
    <n v="13870"/>
    <n v="49932"/>
  </r>
  <r>
    <x v="0"/>
    <x v="0"/>
    <x v="0"/>
    <x v="0"/>
    <x v="0"/>
    <s v="DK1_Large"/>
    <x v="3"/>
    <s v="GNR_BO_MSW_E-105"/>
    <x v="0"/>
    <x v="14"/>
    <n v="38"/>
    <n v="13870"/>
    <n v="49932"/>
  </r>
  <r>
    <x v="0"/>
    <x v="0"/>
    <x v="0"/>
    <x v="0"/>
    <x v="0"/>
    <s v="DK1_Large"/>
    <x v="3"/>
    <s v="GNR_BO_MSW_E-105"/>
    <x v="0"/>
    <x v="15"/>
    <n v="38"/>
    <n v="13870"/>
    <n v="49932"/>
  </r>
  <r>
    <x v="0"/>
    <x v="0"/>
    <x v="0"/>
    <x v="0"/>
    <x v="0"/>
    <s v="DK1_Large"/>
    <x v="3"/>
    <s v="GNR_BO_MSW_E-105"/>
    <x v="0"/>
    <x v="16"/>
    <n v="38"/>
    <n v="13870"/>
    <n v="49932"/>
  </r>
  <r>
    <x v="0"/>
    <x v="0"/>
    <x v="0"/>
    <x v="0"/>
    <x v="0"/>
    <s v="DK1_Large"/>
    <x v="3"/>
    <s v="GNR_BO_MSW_E-105"/>
    <x v="0"/>
    <x v="17"/>
    <n v="38"/>
    <n v="13870"/>
    <n v="49932"/>
  </r>
  <r>
    <x v="0"/>
    <x v="0"/>
    <x v="0"/>
    <x v="0"/>
    <x v="0"/>
    <s v="DK1_Large"/>
    <x v="3"/>
    <s v="GNR_BO_MSW_E-105"/>
    <x v="0"/>
    <x v="18"/>
    <n v="38"/>
    <n v="13870"/>
    <n v="49932"/>
  </r>
  <r>
    <x v="0"/>
    <x v="0"/>
    <x v="0"/>
    <x v="0"/>
    <x v="0"/>
    <s v="DK1_Large"/>
    <x v="3"/>
    <s v="GNR_BO_MSW_E-105"/>
    <x v="0"/>
    <x v="19"/>
    <n v="38"/>
    <n v="13870"/>
    <n v="49932"/>
  </r>
  <r>
    <x v="0"/>
    <x v="0"/>
    <x v="0"/>
    <x v="0"/>
    <x v="0"/>
    <s v="DK1_Large"/>
    <x v="3"/>
    <s v="GNR_BO_MSW_E-105"/>
    <x v="0"/>
    <x v="20"/>
    <n v="38"/>
    <n v="13870"/>
    <n v="49932"/>
  </r>
  <r>
    <x v="0"/>
    <x v="0"/>
    <x v="0"/>
    <x v="0"/>
    <x v="0"/>
    <s v="DK1_Large"/>
    <x v="3"/>
    <s v="GNR_BO_MSW_E-105"/>
    <x v="0"/>
    <x v="21"/>
    <n v="38"/>
    <n v="13870"/>
    <n v="49932"/>
  </r>
  <r>
    <x v="0"/>
    <x v="0"/>
    <x v="0"/>
    <x v="0"/>
    <x v="0"/>
    <s v="DK1_Large"/>
    <x v="3"/>
    <s v="GNR_BO_MSW_E-105"/>
    <x v="0"/>
    <x v="22"/>
    <n v="38"/>
    <n v="13870"/>
    <n v="49932"/>
  </r>
  <r>
    <x v="0"/>
    <x v="0"/>
    <x v="0"/>
    <x v="0"/>
    <x v="0"/>
    <s v="DK1_Large"/>
    <x v="3"/>
    <s v="GNR_BO_MSW_E-105"/>
    <x v="0"/>
    <x v="23"/>
    <n v="38"/>
    <n v="13870"/>
    <n v="49932"/>
  </r>
  <r>
    <x v="0"/>
    <x v="0"/>
    <x v="0"/>
    <x v="0"/>
    <x v="0"/>
    <s v="DK1_Large"/>
    <x v="3"/>
    <s v="GNR_ST_MSW_BP_E-18"/>
    <x v="0"/>
    <x v="0"/>
    <n v="9.6361684232126805"/>
    <n v="3517.2014744726298"/>
    <n v="12661.925308101499"/>
  </r>
  <r>
    <x v="0"/>
    <x v="0"/>
    <x v="0"/>
    <x v="0"/>
    <x v="0"/>
    <s v="DK1_Large"/>
    <x v="3"/>
    <s v="GNR_ST_MSW_BP_E-18"/>
    <x v="0"/>
    <x v="1"/>
    <n v="9.6361684232126805"/>
    <n v="3517.2014744726298"/>
    <n v="12661.925308101499"/>
  </r>
  <r>
    <x v="0"/>
    <x v="0"/>
    <x v="0"/>
    <x v="0"/>
    <x v="0"/>
    <s v="DK1_Large"/>
    <x v="3"/>
    <s v="GNR_ST_MSW_BP_E-18"/>
    <x v="0"/>
    <x v="2"/>
    <n v="9.6361684232126805"/>
    <n v="3517.2014744726298"/>
    <n v="12661.925308101499"/>
  </r>
  <r>
    <x v="0"/>
    <x v="0"/>
    <x v="0"/>
    <x v="0"/>
    <x v="0"/>
    <s v="DK1_Large"/>
    <x v="3"/>
    <s v="GNR_ST_MSW_BP_E-18"/>
    <x v="0"/>
    <x v="3"/>
    <n v="9.6361684232126805"/>
    <n v="3517.2014744726298"/>
    <n v="12661.925308101499"/>
  </r>
  <r>
    <x v="0"/>
    <x v="0"/>
    <x v="0"/>
    <x v="0"/>
    <x v="0"/>
    <s v="DK1_Large"/>
    <x v="3"/>
    <s v="GNR_ST_MSW_BP_E-18"/>
    <x v="0"/>
    <x v="4"/>
    <n v="9.6361684232126805"/>
    <n v="3517.2014744726298"/>
    <n v="12661.925308101499"/>
  </r>
  <r>
    <x v="0"/>
    <x v="0"/>
    <x v="0"/>
    <x v="0"/>
    <x v="0"/>
    <s v="DK1_Large"/>
    <x v="3"/>
    <s v="GNR_ST_MSW_BP_E-18"/>
    <x v="0"/>
    <x v="5"/>
    <n v="9.6361684232126805"/>
    <n v="3517.2014744726298"/>
    <n v="12661.925308101499"/>
  </r>
  <r>
    <x v="0"/>
    <x v="0"/>
    <x v="0"/>
    <x v="0"/>
    <x v="0"/>
    <s v="DK1_Large"/>
    <x v="3"/>
    <s v="GNR_ST_MSW_BP_E-18"/>
    <x v="0"/>
    <x v="6"/>
    <n v="9.6361684232126805"/>
    <n v="3517.2014744726298"/>
    <n v="12661.925308101499"/>
  </r>
  <r>
    <x v="0"/>
    <x v="0"/>
    <x v="0"/>
    <x v="0"/>
    <x v="0"/>
    <s v="DK1_Large"/>
    <x v="3"/>
    <s v="GNR_ST_MSW_BP_E-18"/>
    <x v="0"/>
    <x v="7"/>
    <n v="9.6361684232126805"/>
    <n v="3517.2014744726298"/>
    <n v="12661.925308101499"/>
  </r>
  <r>
    <x v="0"/>
    <x v="0"/>
    <x v="0"/>
    <x v="0"/>
    <x v="0"/>
    <s v="DK1_Large"/>
    <x v="3"/>
    <s v="GNR_ST_MSW_BP_E-18"/>
    <x v="0"/>
    <x v="8"/>
    <n v="9.6361684232126805"/>
    <n v="3517.2014744726298"/>
    <n v="12661.925308101499"/>
  </r>
  <r>
    <x v="0"/>
    <x v="0"/>
    <x v="0"/>
    <x v="0"/>
    <x v="0"/>
    <s v="DK1_Large"/>
    <x v="3"/>
    <s v="GNR_ST_MSW_BP_E-18"/>
    <x v="0"/>
    <x v="9"/>
    <n v="9.6361684232126805"/>
    <n v="3517.2014744726298"/>
    <n v="12661.925308101499"/>
  </r>
  <r>
    <x v="0"/>
    <x v="0"/>
    <x v="0"/>
    <x v="0"/>
    <x v="0"/>
    <s v="DK1_Large"/>
    <x v="3"/>
    <s v="GNR_ST_MSW_BP_E-18"/>
    <x v="0"/>
    <x v="10"/>
    <n v="9.6361684232126805"/>
    <n v="3517.2014744726298"/>
    <n v="12661.925308101499"/>
  </r>
  <r>
    <x v="0"/>
    <x v="0"/>
    <x v="0"/>
    <x v="0"/>
    <x v="0"/>
    <s v="DK1_Large"/>
    <x v="3"/>
    <s v="GNR_ST_MSW_BP_E-18"/>
    <x v="0"/>
    <x v="11"/>
    <n v="9.6361684232126805"/>
    <n v="3517.2014744726298"/>
    <n v="12661.925308101499"/>
  </r>
  <r>
    <x v="0"/>
    <x v="0"/>
    <x v="0"/>
    <x v="0"/>
    <x v="0"/>
    <s v="DK1_Large"/>
    <x v="3"/>
    <s v="GNR_ST_MSW_BP_E-18"/>
    <x v="0"/>
    <x v="12"/>
    <n v="9.6361684232126805"/>
    <n v="3517.2014744726298"/>
    <n v="12661.925308101499"/>
  </r>
  <r>
    <x v="0"/>
    <x v="0"/>
    <x v="0"/>
    <x v="0"/>
    <x v="0"/>
    <s v="DK1_Large"/>
    <x v="3"/>
    <s v="GNR_ST_MSW_BP_E-18"/>
    <x v="0"/>
    <x v="13"/>
    <n v="9.6361684232126805"/>
    <n v="3517.2014744726298"/>
    <n v="12661.925308101499"/>
  </r>
  <r>
    <x v="0"/>
    <x v="0"/>
    <x v="0"/>
    <x v="0"/>
    <x v="0"/>
    <s v="DK1_Large"/>
    <x v="3"/>
    <s v="GNR_ST_MSW_BP_E-18"/>
    <x v="0"/>
    <x v="14"/>
    <n v="9.6361684232126805"/>
    <n v="3517.2014744726298"/>
    <n v="12661.925308101499"/>
  </r>
  <r>
    <x v="0"/>
    <x v="0"/>
    <x v="0"/>
    <x v="0"/>
    <x v="0"/>
    <s v="DK1_Large"/>
    <x v="3"/>
    <s v="GNR_ST_MSW_BP_E-18"/>
    <x v="0"/>
    <x v="15"/>
    <n v="9.6361684232126805"/>
    <n v="3517.2014744726298"/>
    <n v="12661.925308101499"/>
  </r>
  <r>
    <x v="0"/>
    <x v="0"/>
    <x v="0"/>
    <x v="0"/>
    <x v="0"/>
    <s v="DK1_Large"/>
    <x v="3"/>
    <s v="GNR_ST_MSW_BP_E-18"/>
    <x v="0"/>
    <x v="16"/>
    <n v="9.6361684232126805"/>
    <n v="3517.2014744726298"/>
    <n v="12661.925308101499"/>
  </r>
  <r>
    <x v="0"/>
    <x v="0"/>
    <x v="0"/>
    <x v="0"/>
    <x v="0"/>
    <s v="DK1_Large"/>
    <x v="3"/>
    <s v="GNR_ST_MSW_BP_E-18"/>
    <x v="0"/>
    <x v="17"/>
    <n v="9.6361684232126805"/>
    <n v="3517.2014744726298"/>
    <n v="12661.925308101499"/>
  </r>
  <r>
    <x v="0"/>
    <x v="0"/>
    <x v="0"/>
    <x v="0"/>
    <x v="0"/>
    <s v="DK1_Large"/>
    <x v="3"/>
    <s v="GNR_ST_MSW_BP_E-18"/>
    <x v="0"/>
    <x v="18"/>
    <n v="9.6361684232126805"/>
    <n v="3517.2014744726298"/>
    <n v="12661.925308101499"/>
  </r>
  <r>
    <x v="0"/>
    <x v="0"/>
    <x v="0"/>
    <x v="0"/>
    <x v="0"/>
    <s v="DK1_Large"/>
    <x v="3"/>
    <s v="GNR_ST_MSW_BP_E-18"/>
    <x v="0"/>
    <x v="19"/>
    <n v="9.6361684232126805"/>
    <n v="3517.2014744726298"/>
    <n v="12661.925308101499"/>
  </r>
  <r>
    <x v="0"/>
    <x v="0"/>
    <x v="0"/>
    <x v="0"/>
    <x v="0"/>
    <s v="DK1_Large"/>
    <x v="3"/>
    <s v="GNR_ST_MSW_BP_E-18"/>
    <x v="0"/>
    <x v="20"/>
    <n v="9.6361684232126805"/>
    <n v="3517.2014744726298"/>
    <n v="12661.925308101499"/>
  </r>
  <r>
    <x v="0"/>
    <x v="0"/>
    <x v="0"/>
    <x v="0"/>
    <x v="0"/>
    <s v="DK1_Large"/>
    <x v="3"/>
    <s v="GNR_ST_MSW_BP_E-18"/>
    <x v="0"/>
    <x v="21"/>
    <n v="9.6361684232126805"/>
    <n v="3517.2014744726298"/>
    <n v="12661.925308101499"/>
  </r>
  <r>
    <x v="0"/>
    <x v="0"/>
    <x v="0"/>
    <x v="0"/>
    <x v="0"/>
    <s v="DK1_Large"/>
    <x v="3"/>
    <s v="GNR_ST_MSW_BP_E-18"/>
    <x v="0"/>
    <x v="22"/>
    <n v="9.6361684232126805"/>
    <n v="3517.2014744726298"/>
    <n v="12661.925308101499"/>
  </r>
  <r>
    <x v="0"/>
    <x v="0"/>
    <x v="0"/>
    <x v="0"/>
    <x v="0"/>
    <s v="DK1_Large"/>
    <x v="3"/>
    <s v="GNR_ST_MSW_BP_E-18"/>
    <x v="0"/>
    <x v="23"/>
    <n v="9.6361684232126805"/>
    <n v="3517.2014744726298"/>
    <n v="12661.925308101499"/>
  </r>
  <r>
    <x v="0"/>
    <x v="0"/>
    <x v="0"/>
    <x v="0"/>
    <x v="0"/>
    <s v="DK1_Large"/>
    <x v="3"/>
    <s v="GNR_ST_MSW_BP_E-19"/>
    <x v="0"/>
    <x v="0"/>
    <n v="30.430005546987399"/>
    <n v="11106.9520246504"/>
    <n v="39985.027288741403"/>
  </r>
  <r>
    <x v="0"/>
    <x v="0"/>
    <x v="0"/>
    <x v="0"/>
    <x v="0"/>
    <s v="DK1_Large"/>
    <x v="3"/>
    <s v="GNR_ST_MSW_BP_E-19"/>
    <x v="0"/>
    <x v="1"/>
    <n v="30.430005546987399"/>
    <n v="11106.9520246504"/>
    <n v="39985.027288741403"/>
  </r>
  <r>
    <x v="0"/>
    <x v="0"/>
    <x v="0"/>
    <x v="0"/>
    <x v="0"/>
    <s v="DK1_Large"/>
    <x v="3"/>
    <s v="GNR_ST_MSW_BP_E-19"/>
    <x v="0"/>
    <x v="2"/>
    <n v="30.430005546987399"/>
    <n v="11106.9520246504"/>
    <n v="39985.027288741403"/>
  </r>
  <r>
    <x v="0"/>
    <x v="0"/>
    <x v="0"/>
    <x v="0"/>
    <x v="0"/>
    <s v="DK1_Large"/>
    <x v="3"/>
    <s v="GNR_ST_MSW_BP_E-19"/>
    <x v="0"/>
    <x v="3"/>
    <n v="30.430005546987399"/>
    <n v="11106.9520246504"/>
    <n v="39985.027288741403"/>
  </r>
  <r>
    <x v="0"/>
    <x v="0"/>
    <x v="0"/>
    <x v="0"/>
    <x v="0"/>
    <s v="DK1_Large"/>
    <x v="3"/>
    <s v="GNR_ST_MSW_BP_E-19"/>
    <x v="0"/>
    <x v="4"/>
    <n v="30.430005546987399"/>
    <n v="11106.9520246504"/>
    <n v="39985.027288741403"/>
  </r>
  <r>
    <x v="0"/>
    <x v="0"/>
    <x v="0"/>
    <x v="0"/>
    <x v="0"/>
    <s v="DK1_Large"/>
    <x v="3"/>
    <s v="GNR_ST_MSW_BP_E-19"/>
    <x v="0"/>
    <x v="5"/>
    <n v="30.430005546987399"/>
    <n v="11106.9520246504"/>
    <n v="39985.027288741403"/>
  </r>
  <r>
    <x v="0"/>
    <x v="0"/>
    <x v="0"/>
    <x v="0"/>
    <x v="0"/>
    <s v="DK1_Large"/>
    <x v="3"/>
    <s v="GNR_ST_MSW_BP_E-19"/>
    <x v="0"/>
    <x v="6"/>
    <n v="30.430005546987399"/>
    <n v="11106.9520246504"/>
    <n v="39985.027288741403"/>
  </r>
  <r>
    <x v="0"/>
    <x v="0"/>
    <x v="0"/>
    <x v="0"/>
    <x v="0"/>
    <s v="DK1_Large"/>
    <x v="3"/>
    <s v="GNR_ST_MSW_BP_E-19"/>
    <x v="0"/>
    <x v="7"/>
    <n v="30.430005546987399"/>
    <n v="11106.9520246504"/>
    <n v="39985.027288741403"/>
  </r>
  <r>
    <x v="0"/>
    <x v="0"/>
    <x v="0"/>
    <x v="0"/>
    <x v="0"/>
    <s v="DK1_Large"/>
    <x v="3"/>
    <s v="GNR_ST_MSW_BP_E-19"/>
    <x v="0"/>
    <x v="8"/>
    <n v="30.430005546987399"/>
    <n v="11106.9520246504"/>
    <n v="39985.027288741403"/>
  </r>
  <r>
    <x v="0"/>
    <x v="0"/>
    <x v="0"/>
    <x v="0"/>
    <x v="0"/>
    <s v="DK1_Large"/>
    <x v="3"/>
    <s v="GNR_ST_MSW_BP_E-19"/>
    <x v="0"/>
    <x v="9"/>
    <n v="30.430005546987399"/>
    <n v="11106.9520246504"/>
    <n v="39985.027288741403"/>
  </r>
  <r>
    <x v="0"/>
    <x v="0"/>
    <x v="0"/>
    <x v="0"/>
    <x v="0"/>
    <s v="DK1_Large"/>
    <x v="3"/>
    <s v="GNR_ST_MSW_BP_E-19"/>
    <x v="0"/>
    <x v="10"/>
    <n v="30.430005546987399"/>
    <n v="11106.9520246504"/>
    <n v="39985.027288741403"/>
  </r>
  <r>
    <x v="0"/>
    <x v="0"/>
    <x v="0"/>
    <x v="0"/>
    <x v="0"/>
    <s v="DK1_Large"/>
    <x v="3"/>
    <s v="GNR_ST_MSW_BP_E-19"/>
    <x v="0"/>
    <x v="11"/>
    <n v="30.430005546987399"/>
    <n v="11106.9520246504"/>
    <n v="39985.027288741403"/>
  </r>
  <r>
    <x v="0"/>
    <x v="0"/>
    <x v="0"/>
    <x v="0"/>
    <x v="0"/>
    <s v="DK1_Large"/>
    <x v="3"/>
    <s v="GNR_ST_MSW_BP_E-19"/>
    <x v="0"/>
    <x v="12"/>
    <n v="30.430005546987399"/>
    <n v="11106.9520246504"/>
    <n v="39985.027288741403"/>
  </r>
  <r>
    <x v="0"/>
    <x v="0"/>
    <x v="0"/>
    <x v="0"/>
    <x v="0"/>
    <s v="DK1_Large"/>
    <x v="3"/>
    <s v="GNR_ST_MSW_BP_E-19"/>
    <x v="0"/>
    <x v="13"/>
    <n v="30.430005546987399"/>
    <n v="11106.9520246504"/>
    <n v="39985.027288741403"/>
  </r>
  <r>
    <x v="0"/>
    <x v="0"/>
    <x v="0"/>
    <x v="0"/>
    <x v="0"/>
    <s v="DK1_Large"/>
    <x v="3"/>
    <s v="GNR_ST_MSW_BP_E-19"/>
    <x v="0"/>
    <x v="14"/>
    <n v="30.430005546987399"/>
    <n v="11106.9520246504"/>
    <n v="39985.027288741403"/>
  </r>
  <r>
    <x v="0"/>
    <x v="0"/>
    <x v="0"/>
    <x v="0"/>
    <x v="0"/>
    <s v="DK1_Large"/>
    <x v="3"/>
    <s v="GNR_ST_MSW_BP_E-19"/>
    <x v="0"/>
    <x v="15"/>
    <n v="30.430005546987399"/>
    <n v="11106.9520246504"/>
    <n v="39985.027288741403"/>
  </r>
  <r>
    <x v="0"/>
    <x v="0"/>
    <x v="0"/>
    <x v="0"/>
    <x v="0"/>
    <s v="DK1_Large"/>
    <x v="3"/>
    <s v="GNR_ST_MSW_BP_E-19"/>
    <x v="0"/>
    <x v="16"/>
    <n v="30.430005546987399"/>
    <n v="11106.9520246504"/>
    <n v="39985.027288741403"/>
  </r>
  <r>
    <x v="0"/>
    <x v="0"/>
    <x v="0"/>
    <x v="0"/>
    <x v="0"/>
    <s v="DK1_Large"/>
    <x v="3"/>
    <s v="GNR_ST_MSW_BP_E-19"/>
    <x v="0"/>
    <x v="17"/>
    <n v="30.430005546987399"/>
    <n v="11106.9520246504"/>
    <n v="39985.027288741403"/>
  </r>
  <r>
    <x v="0"/>
    <x v="0"/>
    <x v="0"/>
    <x v="0"/>
    <x v="0"/>
    <s v="DK1_Large"/>
    <x v="3"/>
    <s v="GNR_ST_MSW_BP_E-19"/>
    <x v="0"/>
    <x v="18"/>
    <n v="30.430005546987399"/>
    <n v="11106.9520246504"/>
    <n v="39985.027288741403"/>
  </r>
  <r>
    <x v="0"/>
    <x v="0"/>
    <x v="0"/>
    <x v="0"/>
    <x v="0"/>
    <s v="DK1_Large"/>
    <x v="3"/>
    <s v="GNR_ST_MSW_BP_E-19"/>
    <x v="0"/>
    <x v="19"/>
    <n v="30.430005546987399"/>
    <n v="11106.9520246504"/>
    <n v="39985.027288741403"/>
  </r>
  <r>
    <x v="0"/>
    <x v="0"/>
    <x v="0"/>
    <x v="0"/>
    <x v="0"/>
    <s v="DK1_Large"/>
    <x v="3"/>
    <s v="GNR_ST_MSW_BP_E-19"/>
    <x v="0"/>
    <x v="20"/>
    <n v="30.430005546987399"/>
    <n v="11106.9520246504"/>
    <n v="39985.027288741403"/>
  </r>
  <r>
    <x v="0"/>
    <x v="0"/>
    <x v="0"/>
    <x v="0"/>
    <x v="0"/>
    <s v="DK1_Large"/>
    <x v="3"/>
    <s v="GNR_ST_MSW_BP_E-19"/>
    <x v="0"/>
    <x v="21"/>
    <n v="30.430005546987399"/>
    <n v="11106.9520246504"/>
    <n v="39985.027288741403"/>
  </r>
  <r>
    <x v="0"/>
    <x v="0"/>
    <x v="0"/>
    <x v="0"/>
    <x v="0"/>
    <s v="DK1_Large"/>
    <x v="3"/>
    <s v="GNR_ST_MSW_BP_E-19"/>
    <x v="0"/>
    <x v="22"/>
    <n v="30.430005546987399"/>
    <n v="11106.9520246504"/>
    <n v="39985.027288741403"/>
  </r>
  <r>
    <x v="0"/>
    <x v="0"/>
    <x v="0"/>
    <x v="0"/>
    <x v="0"/>
    <s v="DK1_Large"/>
    <x v="3"/>
    <s v="GNR_ST_MSW_BP_E-19"/>
    <x v="0"/>
    <x v="23"/>
    <n v="30.430005546987399"/>
    <n v="11106.9520246504"/>
    <n v="39985.027288741403"/>
  </r>
  <r>
    <x v="0"/>
    <x v="0"/>
    <x v="0"/>
    <x v="0"/>
    <x v="0"/>
    <s v="DK1_Large"/>
    <x v="3"/>
    <s v="GNR_ST_MSW_BP_E-22"/>
    <x v="0"/>
    <x v="0"/>
    <n v="104.814463550734"/>
    <n v="38257.279196018098"/>
    <n v="137726.20510566499"/>
  </r>
  <r>
    <x v="0"/>
    <x v="0"/>
    <x v="0"/>
    <x v="0"/>
    <x v="0"/>
    <s v="DK1_Large"/>
    <x v="3"/>
    <s v="GNR_ST_MSW_BP_E-22"/>
    <x v="0"/>
    <x v="1"/>
    <n v="104.814463550734"/>
    <n v="38257.279196018098"/>
    <n v="137726.20510566499"/>
  </r>
  <r>
    <x v="0"/>
    <x v="0"/>
    <x v="0"/>
    <x v="0"/>
    <x v="0"/>
    <s v="DK1_Large"/>
    <x v="3"/>
    <s v="GNR_ST_MSW_BP_E-22"/>
    <x v="0"/>
    <x v="2"/>
    <n v="104.814463550734"/>
    <n v="38257.279196018098"/>
    <n v="137726.20510566499"/>
  </r>
  <r>
    <x v="0"/>
    <x v="0"/>
    <x v="0"/>
    <x v="0"/>
    <x v="0"/>
    <s v="DK1_Large"/>
    <x v="3"/>
    <s v="GNR_ST_MSW_BP_E-22"/>
    <x v="0"/>
    <x v="3"/>
    <n v="104.814463550734"/>
    <n v="38257.279196018098"/>
    <n v="137726.20510566499"/>
  </r>
  <r>
    <x v="0"/>
    <x v="0"/>
    <x v="0"/>
    <x v="0"/>
    <x v="0"/>
    <s v="DK1_Large"/>
    <x v="3"/>
    <s v="GNR_ST_MSW_BP_E-22"/>
    <x v="0"/>
    <x v="4"/>
    <n v="104.814463550734"/>
    <n v="38257.279196018098"/>
    <n v="137726.20510566499"/>
  </r>
  <r>
    <x v="0"/>
    <x v="0"/>
    <x v="0"/>
    <x v="0"/>
    <x v="0"/>
    <s v="DK1_Large"/>
    <x v="3"/>
    <s v="GNR_ST_MSW_BP_E-22"/>
    <x v="0"/>
    <x v="5"/>
    <n v="104.814463550734"/>
    <n v="38257.279196018098"/>
    <n v="137726.20510566499"/>
  </r>
  <r>
    <x v="0"/>
    <x v="0"/>
    <x v="0"/>
    <x v="0"/>
    <x v="0"/>
    <s v="DK1_Large"/>
    <x v="3"/>
    <s v="GNR_ST_MSW_BP_E-22"/>
    <x v="0"/>
    <x v="6"/>
    <n v="104.814463550734"/>
    <n v="38257.279196018098"/>
    <n v="137726.20510566499"/>
  </r>
  <r>
    <x v="0"/>
    <x v="0"/>
    <x v="0"/>
    <x v="0"/>
    <x v="0"/>
    <s v="DK1_Large"/>
    <x v="3"/>
    <s v="GNR_ST_MSW_BP_E-22"/>
    <x v="0"/>
    <x v="7"/>
    <n v="104.814463550734"/>
    <n v="38257.279196018098"/>
    <n v="137726.20510566499"/>
  </r>
  <r>
    <x v="0"/>
    <x v="0"/>
    <x v="0"/>
    <x v="0"/>
    <x v="0"/>
    <s v="DK1_Large"/>
    <x v="3"/>
    <s v="GNR_ST_MSW_BP_E-22"/>
    <x v="0"/>
    <x v="8"/>
    <n v="104.814463550734"/>
    <n v="38257.279196018098"/>
    <n v="137726.20510566499"/>
  </r>
  <r>
    <x v="0"/>
    <x v="0"/>
    <x v="0"/>
    <x v="0"/>
    <x v="0"/>
    <s v="DK1_Large"/>
    <x v="3"/>
    <s v="GNR_ST_MSW_BP_E-22"/>
    <x v="0"/>
    <x v="9"/>
    <n v="104.814463550734"/>
    <n v="38257.279196018098"/>
    <n v="137726.20510566499"/>
  </r>
  <r>
    <x v="0"/>
    <x v="0"/>
    <x v="0"/>
    <x v="0"/>
    <x v="0"/>
    <s v="DK1_Large"/>
    <x v="3"/>
    <s v="GNR_ST_MSW_BP_E-22"/>
    <x v="0"/>
    <x v="10"/>
    <n v="104.814463550734"/>
    <n v="38257.279196018098"/>
    <n v="137726.20510566499"/>
  </r>
  <r>
    <x v="0"/>
    <x v="0"/>
    <x v="0"/>
    <x v="0"/>
    <x v="0"/>
    <s v="DK1_Large"/>
    <x v="3"/>
    <s v="GNR_ST_MSW_BP_E-22"/>
    <x v="0"/>
    <x v="11"/>
    <n v="104.814463550734"/>
    <n v="38257.279196018098"/>
    <n v="137726.20510566499"/>
  </r>
  <r>
    <x v="0"/>
    <x v="0"/>
    <x v="0"/>
    <x v="0"/>
    <x v="0"/>
    <s v="DK1_Large"/>
    <x v="3"/>
    <s v="GNR_ST_MSW_BP_E-22"/>
    <x v="0"/>
    <x v="12"/>
    <n v="104.814463550734"/>
    <n v="38257.279196018098"/>
    <n v="137726.20510566499"/>
  </r>
  <r>
    <x v="0"/>
    <x v="0"/>
    <x v="0"/>
    <x v="0"/>
    <x v="0"/>
    <s v="DK1_Large"/>
    <x v="3"/>
    <s v="GNR_ST_MSW_BP_E-22"/>
    <x v="0"/>
    <x v="13"/>
    <n v="104.814463550734"/>
    <n v="38257.279196018098"/>
    <n v="137726.20510566499"/>
  </r>
  <r>
    <x v="0"/>
    <x v="0"/>
    <x v="0"/>
    <x v="0"/>
    <x v="0"/>
    <s v="DK1_Large"/>
    <x v="3"/>
    <s v="GNR_ST_MSW_BP_E-22"/>
    <x v="0"/>
    <x v="14"/>
    <n v="104.814463550734"/>
    <n v="38257.279196018098"/>
    <n v="137726.20510566499"/>
  </r>
  <r>
    <x v="0"/>
    <x v="0"/>
    <x v="0"/>
    <x v="0"/>
    <x v="0"/>
    <s v="DK1_Large"/>
    <x v="3"/>
    <s v="GNR_ST_MSW_BP_E-22"/>
    <x v="0"/>
    <x v="15"/>
    <n v="104.814463550734"/>
    <n v="38257.279196018098"/>
    <n v="137726.20510566499"/>
  </r>
  <r>
    <x v="0"/>
    <x v="0"/>
    <x v="0"/>
    <x v="0"/>
    <x v="0"/>
    <s v="DK1_Large"/>
    <x v="3"/>
    <s v="GNR_ST_MSW_BP_E-22"/>
    <x v="0"/>
    <x v="16"/>
    <n v="104.814463550734"/>
    <n v="38257.279196018098"/>
    <n v="137726.20510566499"/>
  </r>
  <r>
    <x v="0"/>
    <x v="0"/>
    <x v="0"/>
    <x v="0"/>
    <x v="0"/>
    <s v="DK1_Large"/>
    <x v="3"/>
    <s v="GNR_ST_MSW_BP_E-22"/>
    <x v="0"/>
    <x v="17"/>
    <n v="104.814463550734"/>
    <n v="38257.279196018098"/>
    <n v="137726.20510566499"/>
  </r>
  <r>
    <x v="0"/>
    <x v="0"/>
    <x v="0"/>
    <x v="0"/>
    <x v="0"/>
    <s v="DK1_Large"/>
    <x v="3"/>
    <s v="GNR_ST_MSW_BP_E-22"/>
    <x v="0"/>
    <x v="18"/>
    <n v="104.814463550734"/>
    <n v="38257.279196018098"/>
    <n v="137726.20510566499"/>
  </r>
  <r>
    <x v="0"/>
    <x v="0"/>
    <x v="0"/>
    <x v="0"/>
    <x v="0"/>
    <s v="DK1_Large"/>
    <x v="3"/>
    <s v="GNR_ST_MSW_BP_E-22"/>
    <x v="0"/>
    <x v="19"/>
    <n v="104.814463550734"/>
    <n v="38257.279196018098"/>
    <n v="137726.20510566499"/>
  </r>
  <r>
    <x v="0"/>
    <x v="0"/>
    <x v="0"/>
    <x v="0"/>
    <x v="0"/>
    <s v="DK1_Large"/>
    <x v="3"/>
    <s v="GNR_ST_MSW_BP_E-22"/>
    <x v="0"/>
    <x v="20"/>
    <n v="104.814463550734"/>
    <n v="38257.279196018098"/>
    <n v="137726.20510566499"/>
  </r>
  <r>
    <x v="0"/>
    <x v="0"/>
    <x v="0"/>
    <x v="0"/>
    <x v="0"/>
    <s v="DK1_Large"/>
    <x v="3"/>
    <s v="GNR_ST_MSW_BP_E-22"/>
    <x v="0"/>
    <x v="21"/>
    <n v="104.814463550734"/>
    <n v="38257.279196018098"/>
    <n v="137726.20510566499"/>
  </r>
  <r>
    <x v="0"/>
    <x v="0"/>
    <x v="0"/>
    <x v="0"/>
    <x v="0"/>
    <s v="DK1_Large"/>
    <x v="3"/>
    <s v="GNR_ST_MSW_BP_E-22"/>
    <x v="0"/>
    <x v="22"/>
    <n v="104.814463550734"/>
    <n v="38257.279196018098"/>
    <n v="137726.20510566499"/>
  </r>
  <r>
    <x v="0"/>
    <x v="0"/>
    <x v="0"/>
    <x v="0"/>
    <x v="0"/>
    <s v="DK1_Large"/>
    <x v="3"/>
    <s v="GNR_ST_MSW_BP_E-22"/>
    <x v="0"/>
    <x v="23"/>
    <n v="104.814463550734"/>
    <n v="38257.279196018098"/>
    <n v="137726.20510566499"/>
  </r>
  <r>
    <x v="0"/>
    <x v="0"/>
    <x v="0"/>
    <x v="0"/>
    <x v="0"/>
    <s v="DK1_Large"/>
    <x v="3"/>
    <s v="GNR_ST_MSW_BP_E-23"/>
    <x v="0"/>
    <x v="0"/>
    <n v="121.922888891596"/>
    <n v="44501.854445432597"/>
    <n v="160206.67600355699"/>
  </r>
  <r>
    <x v="0"/>
    <x v="0"/>
    <x v="0"/>
    <x v="0"/>
    <x v="0"/>
    <s v="DK1_Large"/>
    <x v="3"/>
    <s v="GNR_ST_MSW_BP_E-23"/>
    <x v="0"/>
    <x v="1"/>
    <n v="121.922888891596"/>
    <n v="44501.854445432597"/>
    <n v="160206.67600355699"/>
  </r>
  <r>
    <x v="0"/>
    <x v="0"/>
    <x v="0"/>
    <x v="0"/>
    <x v="0"/>
    <s v="DK1_Large"/>
    <x v="3"/>
    <s v="GNR_ST_MSW_BP_E-23"/>
    <x v="0"/>
    <x v="2"/>
    <n v="121.922888891596"/>
    <n v="44501.854445432597"/>
    <n v="160206.67600355699"/>
  </r>
  <r>
    <x v="0"/>
    <x v="0"/>
    <x v="0"/>
    <x v="0"/>
    <x v="0"/>
    <s v="DK1_Large"/>
    <x v="3"/>
    <s v="GNR_ST_MSW_BP_E-23"/>
    <x v="0"/>
    <x v="3"/>
    <n v="121.922888891596"/>
    <n v="44501.854445432597"/>
    <n v="160206.67600355699"/>
  </r>
  <r>
    <x v="0"/>
    <x v="0"/>
    <x v="0"/>
    <x v="0"/>
    <x v="0"/>
    <s v="DK1_Large"/>
    <x v="3"/>
    <s v="GNR_ST_MSW_BP_E-23"/>
    <x v="0"/>
    <x v="4"/>
    <n v="121.922888891596"/>
    <n v="44501.854445432597"/>
    <n v="160206.67600355699"/>
  </r>
  <r>
    <x v="0"/>
    <x v="0"/>
    <x v="0"/>
    <x v="0"/>
    <x v="0"/>
    <s v="DK1_Large"/>
    <x v="3"/>
    <s v="GNR_ST_MSW_BP_E-23"/>
    <x v="0"/>
    <x v="5"/>
    <n v="121.922888891596"/>
    <n v="44501.854445432597"/>
    <n v="160206.67600355699"/>
  </r>
  <r>
    <x v="0"/>
    <x v="0"/>
    <x v="0"/>
    <x v="0"/>
    <x v="0"/>
    <s v="DK1_Large"/>
    <x v="3"/>
    <s v="GNR_ST_MSW_BP_E-23"/>
    <x v="0"/>
    <x v="6"/>
    <n v="121.922888891596"/>
    <n v="44501.854445432597"/>
    <n v="160206.67600355699"/>
  </r>
  <r>
    <x v="0"/>
    <x v="0"/>
    <x v="0"/>
    <x v="0"/>
    <x v="0"/>
    <s v="DK1_Large"/>
    <x v="3"/>
    <s v="GNR_ST_MSW_BP_E-23"/>
    <x v="0"/>
    <x v="7"/>
    <n v="121.922888891596"/>
    <n v="44501.854445432597"/>
    <n v="160206.67600355699"/>
  </r>
  <r>
    <x v="0"/>
    <x v="0"/>
    <x v="0"/>
    <x v="0"/>
    <x v="0"/>
    <s v="DK1_Large"/>
    <x v="3"/>
    <s v="GNR_ST_MSW_BP_E-23"/>
    <x v="0"/>
    <x v="8"/>
    <n v="121.922888891596"/>
    <n v="44501.854445432597"/>
    <n v="160206.67600355699"/>
  </r>
  <r>
    <x v="0"/>
    <x v="0"/>
    <x v="0"/>
    <x v="0"/>
    <x v="0"/>
    <s v="DK1_Large"/>
    <x v="3"/>
    <s v="GNR_ST_MSW_BP_E-23"/>
    <x v="0"/>
    <x v="9"/>
    <n v="121.922888891596"/>
    <n v="44501.854445432597"/>
    <n v="160206.67600355699"/>
  </r>
  <r>
    <x v="0"/>
    <x v="0"/>
    <x v="0"/>
    <x v="0"/>
    <x v="0"/>
    <s v="DK1_Large"/>
    <x v="3"/>
    <s v="GNR_ST_MSW_BP_E-23"/>
    <x v="0"/>
    <x v="10"/>
    <n v="121.922888891596"/>
    <n v="44501.854445432597"/>
    <n v="160206.67600355699"/>
  </r>
  <r>
    <x v="0"/>
    <x v="0"/>
    <x v="0"/>
    <x v="0"/>
    <x v="0"/>
    <s v="DK1_Large"/>
    <x v="3"/>
    <s v="GNR_ST_MSW_BP_E-23"/>
    <x v="0"/>
    <x v="11"/>
    <n v="121.922888891596"/>
    <n v="44501.854445432597"/>
    <n v="160206.67600355699"/>
  </r>
  <r>
    <x v="0"/>
    <x v="0"/>
    <x v="0"/>
    <x v="0"/>
    <x v="0"/>
    <s v="DK1_Large"/>
    <x v="3"/>
    <s v="GNR_ST_MSW_BP_E-23"/>
    <x v="0"/>
    <x v="12"/>
    <n v="121.922888891596"/>
    <n v="44501.854445432597"/>
    <n v="160206.67600355699"/>
  </r>
  <r>
    <x v="0"/>
    <x v="0"/>
    <x v="0"/>
    <x v="0"/>
    <x v="0"/>
    <s v="DK1_Large"/>
    <x v="3"/>
    <s v="GNR_ST_MSW_BP_E-23"/>
    <x v="0"/>
    <x v="13"/>
    <n v="121.922888891596"/>
    <n v="44501.854445432597"/>
    <n v="160206.67600355699"/>
  </r>
  <r>
    <x v="0"/>
    <x v="0"/>
    <x v="0"/>
    <x v="0"/>
    <x v="0"/>
    <s v="DK1_Large"/>
    <x v="3"/>
    <s v="GNR_ST_MSW_BP_E-23"/>
    <x v="0"/>
    <x v="14"/>
    <n v="121.922888891596"/>
    <n v="44501.854445432597"/>
    <n v="160206.67600355699"/>
  </r>
  <r>
    <x v="0"/>
    <x v="0"/>
    <x v="0"/>
    <x v="0"/>
    <x v="0"/>
    <s v="DK1_Large"/>
    <x v="3"/>
    <s v="GNR_ST_MSW_BP_E-23"/>
    <x v="0"/>
    <x v="15"/>
    <n v="121.922888891596"/>
    <n v="44501.854445432597"/>
    <n v="160206.67600355699"/>
  </r>
  <r>
    <x v="0"/>
    <x v="0"/>
    <x v="0"/>
    <x v="0"/>
    <x v="0"/>
    <s v="DK1_Large"/>
    <x v="3"/>
    <s v="GNR_ST_MSW_BP_E-23"/>
    <x v="0"/>
    <x v="16"/>
    <n v="121.922888891596"/>
    <n v="44501.854445432597"/>
    <n v="160206.67600355699"/>
  </r>
  <r>
    <x v="0"/>
    <x v="0"/>
    <x v="0"/>
    <x v="0"/>
    <x v="0"/>
    <s v="DK1_Large"/>
    <x v="3"/>
    <s v="GNR_ST_MSW_BP_E-23"/>
    <x v="0"/>
    <x v="17"/>
    <n v="121.922888891596"/>
    <n v="44501.854445432597"/>
    <n v="160206.67600355699"/>
  </r>
  <r>
    <x v="0"/>
    <x v="0"/>
    <x v="0"/>
    <x v="0"/>
    <x v="0"/>
    <s v="DK1_Large"/>
    <x v="3"/>
    <s v="GNR_ST_MSW_BP_E-23"/>
    <x v="0"/>
    <x v="18"/>
    <n v="121.922888891596"/>
    <n v="44501.854445432597"/>
    <n v="160206.67600355699"/>
  </r>
  <r>
    <x v="0"/>
    <x v="0"/>
    <x v="0"/>
    <x v="0"/>
    <x v="0"/>
    <s v="DK1_Large"/>
    <x v="3"/>
    <s v="GNR_ST_MSW_BP_E-23"/>
    <x v="0"/>
    <x v="19"/>
    <n v="121.922888891596"/>
    <n v="44501.854445432597"/>
    <n v="160206.67600355699"/>
  </r>
  <r>
    <x v="0"/>
    <x v="0"/>
    <x v="0"/>
    <x v="0"/>
    <x v="0"/>
    <s v="DK1_Large"/>
    <x v="3"/>
    <s v="GNR_ST_MSW_BP_E-23"/>
    <x v="0"/>
    <x v="20"/>
    <n v="121.922888891596"/>
    <n v="44501.854445432597"/>
    <n v="160206.67600355699"/>
  </r>
  <r>
    <x v="0"/>
    <x v="0"/>
    <x v="0"/>
    <x v="0"/>
    <x v="0"/>
    <s v="DK1_Large"/>
    <x v="3"/>
    <s v="GNR_ST_MSW_BP_E-23"/>
    <x v="0"/>
    <x v="21"/>
    <n v="121.922888891596"/>
    <n v="44501.854445432597"/>
    <n v="160206.67600355699"/>
  </r>
  <r>
    <x v="0"/>
    <x v="0"/>
    <x v="0"/>
    <x v="0"/>
    <x v="0"/>
    <s v="DK1_Large"/>
    <x v="3"/>
    <s v="GNR_ST_MSW_BP_E-23"/>
    <x v="0"/>
    <x v="22"/>
    <n v="121.922888891596"/>
    <n v="44501.854445432597"/>
    <n v="160206.67600355699"/>
  </r>
  <r>
    <x v="0"/>
    <x v="0"/>
    <x v="0"/>
    <x v="0"/>
    <x v="0"/>
    <s v="DK1_Large"/>
    <x v="3"/>
    <s v="GNR_ST_MSW_BP_E-23"/>
    <x v="0"/>
    <x v="23"/>
    <n v="121.922888891596"/>
    <n v="44501.854445432597"/>
    <n v="160206.67600355699"/>
  </r>
  <r>
    <x v="0"/>
    <x v="0"/>
    <x v="0"/>
    <x v="0"/>
    <x v="0"/>
    <s v="DK1_Large"/>
    <x v="3"/>
    <s v="GNR_ST_MSW_BP_E-27"/>
    <x v="0"/>
    <x v="0"/>
    <n v="60.521899921230499"/>
    <n v="22090.493471249101"/>
    <n v="79525.776496496896"/>
  </r>
  <r>
    <x v="0"/>
    <x v="0"/>
    <x v="0"/>
    <x v="0"/>
    <x v="0"/>
    <s v="DK1_Large"/>
    <x v="3"/>
    <s v="GNR_ST_MSW_BP_E-27"/>
    <x v="0"/>
    <x v="1"/>
    <n v="60.521899921230499"/>
    <n v="22090.493471249101"/>
    <n v="79525.776496496896"/>
  </r>
  <r>
    <x v="0"/>
    <x v="0"/>
    <x v="0"/>
    <x v="0"/>
    <x v="0"/>
    <s v="DK1_Large"/>
    <x v="3"/>
    <s v="GNR_ST_MSW_BP_E-27"/>
    <x v="0"/>
    <x v="2"/>
    <n v="60.521899921230499"/>
    <n v="22090.493471249101"/>
    <n v="79525.776496496896"/>
  </r>
  <r>
    <x v="0"/>
    <x v="0"/>
    <x v="0"/>
    <x v="0"/>
    <x v="0"/>
    <s v="DK1_Large"/>
    <x v="3"/>
    <s v="GNR_ST_MSW_BP_E-27"/>
    <x v="0"/>
    <x v="3"/>
    <n v="60.521899921230499"/>
    <n v="22090.493471249101"/>
    <n v="79525.776496496896"/>
  </r>
  <r>
    <x v="0"/>
    <x v="0"/>
    <x v="0"/>
    <x v="0"/>
    <x v="0"/>
    <s v="DK1_Large"/>
    <x v="3"/>
    <s v="GNR_ST_MSW_BP_E-27"/>
    <x v="0"/>
    <x v="4"/>
    <n v="60.521899921230499"/>
    <n v="22090.493471249101"/>
    <n v="79525.776496496896"/>
  </r>
  <r>
    <x v="0"/>
    <x v="0"/>
    <x v="0"/>
    <x v="0"/>
    <x v="0"/>
    <s v="DK1_Large"/>
    <x v="3"/>
    <s v="GNR_ST_MSW_BP_E-27"/>
    <x v="0"/>
    <x v="5"/>
    <n v="60.521899921230499"/>
    <n v="22090.493471249101"/>
    <n v="79525.776496496896"/>
  </r>
  <r>
    <x v="0"/>
    <x v="0"/>
    <x v="0"/>
    <x v="0"/>
    <x v="0"/>
    <s v="DK1_Large"/>
    <x v="3"/>
    <s v="GNR_ST_MSW_BP_E-27"/>
    <x v="0"/>
    <x v="6"/>
    <n v="60.521899921230499"/>
    <n v="22090.493471249101"/>
    <n v="79525.776496496896"/>
  </r>
  <r>
    <x v="0"/>
    <x v="0"/>
    <x v="0"/>
    <x v="0"/>
    <x v="0"/>
    <s v="DK1_Large"/>
    <x v="3"/>
    <s v="GNR_ST_MSW_BP_E-27"/>
    <x v="0"/>
    <x v="7"/>
    <n v="60.521899921230499"/>
    <n v="22090.493471249101"/>
    <n v="79525.776496496896"/>
  </r>
  <r>
    <x v="0"/>
    <x v="0"/>
    <x v="0"/>
    <x v="0"/>
    <x v="0"/>
    <s v="DK1_Large"/>
    <x v="3"/>
    <s v="GNR_ST_MSW_BP_E-27"/>
    <x v="0"/>
    <x v="8"/>
    <n v="60.521899921230499"/>
    <n v="22090.493471249101"/>
    <n v="79525.776496496896"/>
  </r>
  <r>
    <x v="0"/>
    <x v="0"/>
    <x v="0"/>
    <x v="0"/>
    <x v="0"/>
    <s v="DK1_Large"/>
    <x v="3"/>
    <s v="GNR_ST_MSW_BP_E-27"/>
    <x v="0"/>
    <x v="9"/>
    <n v="60.521899921230499"/>
    <n v="22090.493471249101"/>
    <n v="79525.776496496896"/>
  </r>
  <r>
    <x v="0"/>
    <x v="0"/>
    <x v="0"/>
    <x v="0"/>
    <x v="0"/>
    <s v="DK1_Large"/>
    <x v="3"/>
    <s v="GNR_ST_MSW_BP_E-27"/>
    <x v="0"/>
    <x v="10"/>
    <n v="60.521899921230499"/>
    <n v="22090.493471249101"/>
    <n v="79525.776496496896"/>
  </r>
  <r>
    <x v="0"/>
    <x v="0"/>
    <x v="0"/>
    <x v="0"/>
    <x v="0"/>
    <s v="DK1_Large"/>
    <x v="3"/>
    <s v="GNR_ST_MSW_BP_E-27"/>
    <x v="0"/>
    <x v="11"/>
    <n v="60.521899921230499"/>
    <n v="22090.493471249101"/>
    <n v="79525.776496496896"/>
  </r>
  <r>
    <x v="0"/>
    <x v="0"/>
    <x v="0"/>
    <x v="0"/>
    <x v="0"/>
    <s v="DK1_Large"/>
    <x v="3"/>
    <s v="GNR_ST_MSW_BP_E-27"/>
    <x v="0"/>
    <x v="12"/>
    <n v="60.521899921230499"/>
    <n v="22090.493471249101"/>
    <n v="79525.776496496896"/>
  </r>
  <r>
    <x v="0"/>
    <x v="0"/>
    <x v="0"/>
    <x v="0"/>
    <x v="0"/>
    <s v="DK1_Large"/>
    <x v="3"/>
    <s v="GNR_ST_MSW_BP_E-27"/>
    <x v="0"/>
    <x v="13"/>
    <n v="60.521899921230499"/>
    <n v="22090.493471249101"/>
    <n v="79525.776496496896"/>
  </r>
  <r>
    <x v="0"/>
    <x v="0"/>
    <x v="0"/>
    <x v="0"/>
    <x v="0"/>
    <s v="DK1_Large"/>
    <x v="3"/>
    <s v="GNR_ST_MSW_BP_E-27"/>
    <x v="0"/>
    <x v="14"/>
    <n v="60.521899921230499"/>
    <n v="22090.493471249101"/>
    <n v="79525.776496496896"/>
  </r>
  <r>
    <x v="0"/>
    <x v="0"/>
    <x v="0"/>
    <x v="0"/>
    <x v="0"/>
    <s v="DK1_Large"/>
    <x v="3"/>
    <s v="GNR_ST_MSW_BP_E-27"/>
    <x v="0"/>
    <x v="15"/>
    <n v="60.521899921230499"/>
    <n v="22090.493471249101"/>
    <n v="79525.776496496896"/>
  </r>
  <r>
    <x v="0"/>
    <x v="0"/>
    <x v="0"/>
    <x v="0"/>
    <x v="0"/>
    <s v="DK1_Large"/>
    <x v="3"/>
    <s v="GNR_ST_MSW_BP_E-27"/>
    <x v="0"/>
    <x v="16"/>
    <n v="60.521899921230499"/>
    <n v="22090.493471249101"/>
    <n v="79525.776496496896"/>
  </r>
  <r>
    <x v="0"/>
    <x v="0"/>
    <x v="0"/>
    <x v="0"/>
    <x v="0"/>
    <s v="DK1_Large"/>
    <x v="3"/>
    <s v="GNR_ST_MSW_BP_E-27"/>
    <x v="0"/>
    <x v="17"/>
    <n v="60.521899921230499"/>
    <n v="22090.493471249101"/>
    <n v="79525.776496496896"/>
  </r>
  <r>
    <x v="0"/>
    <x v="0"/>
    <x v="0"/>
    <x v="0"/>
    <x v="0"/>
    <s v="DK1_Large"/>
    <x v="3"/>
    <s v="GNR_ST_MSW_BP_E-27"/>
    <x v="0"/>
    <x v="18"/>
    <n v="60.521899921230499"/>
    <n v="22090.493471249101"/>
    <n v="79525.776496496896"/>
  </r>
  <r>
    <x v="0"/>
    <x v="0"/>
    <x v="0"/>
    <x v="0"/>
    <x v="0"/>
    <s v="DK1_Large"/>
    <x v="3"/>
    <s v="GNR_ST_MSW_BP_E-27"/>
    <x v="0"/>
    <x v="19"/>
    <n v="60.521899921230499"/>
    <n v="22090.493471249101"/>
    <n v="79525.776496496896"/>
  </r>
  <r>
    <x v="0"/>
    <x v="0"/>
    <x v="0"/>
    <x v="0"/>
    <x v="0"/>
    <s v="DK1_Large"/>
    <x v="3"/>
    <s v="GNR_ST_MSW_BP_E-27"/>
    <x v="0"/>
    <x v="20"/>
    <n v="60.521899921230499"/>
    <n v="22090.493471249101"/>
    <n v="79525.776496496896"/>
  </r>
  <r>
    <x v="0"/>
    <x v="0"/>
    <x v="0"/>
    <x v="0"/>
    <x v="0"/>
    <s v="DK1_Large"/>
    <x v="3"/>
    <s v="GNR_ST_MSW_BP_E-27"/>
    <x v="0"/>
    <x v="21"/>
    <n v="60.521899921230499"/>
    <n v="22090.493471249101"/>
    <n v="79525.776496496896"/>
  </r>
  <r>
    <x v="0"/>
    <x v="0"/>
    <x v="0"/>
    <x v="0"/>
    <x v="0"/>
    <s v="DK1_Large"/>
    <x v="3"/>
    <s v="GNR_ST_MSW_BP_E-27"/>
    <x v="0"/>
    <x v="22"/>
    <n v="60.521899921230499"/>
    <n v="22090.493471249101"/>
    <n v="79525.776496496896"/>
  </r>
  <r>
    <x v="0"/>
    <x v="0"/>
    <x v="0"/>
    <x v="0"/>
    <x v="0"/>
    <s v="DK1_Large"/>
    <x v="3"/>
    <s v="GNR_ST_MSW_BP_E-27"/>
    <x v="0"/>
    <x v="23"/>
    <n v="60.521899921230499"/>
    <n v="22090.493471249101"/>
    <n v="79525.776496496896"/>
  </r>
  <r>
    <x v="0"/>
    <x v="0"/>
    <x v="0"/>
    <x v="0"/>
    <x v="0"/>
    <s v="DK1_Large"/>
    <x v="4"/>
    <s v="GNR_ENG_NGAS_BP_E-40"/>
    <x v="0"/>
    <x v="0"/>
    <n v="5.7888888888888896"/>
    <n v="2112.9444444444398"/>
    <n v="7606.6"/>
  </r>
  <r>
    <x v="0"/>
    <x v="0"/>
    <x v="0"/>
    <x v="0"/>
    <x v="0"/>
    <s v="DK1_Large"/>
    <x v="4"/>
    <s v="GNR_ENG_NGAS_BP_E-40"/>
    <x v="0"/>
    <x v="1"/>
    <n v="5.7888888888888896"/>
    <n v="2112.9444444444398"/>
    <n v="7606.6"/>
  </r>
  <r>
    <x v="0"/>
    <x v="0"/>
    <x v="0"/>
    <x v="0"/>
    <x v="0"/>
    <s v="DK1_Large"/>
    <x v="4"/>
    <s v="GNR_ENG_NGAS_BP_E-40"/>
    <x v="0"/>
    <x v="2"/>
    <n v="5.7888888888888896"/>
    <n v="2112.9444444444398"/>
    <n v="7606.6"/>
  </r>
  <r>
    <x v="0"/>
    <x v="0"/>
    <x v="0"/>
    <x v="0"/>
    <x v="0"/>
    <s v="DK1_Large"/>
    <x v="4"/>
    <s v="GNR_ENG_NGAS_BP_E-40"/>
    <x v="0"/>
    <x v="3"/>
    <n v="5.7888888888888896"/>
    <n v="2112.9444444444398"/>
    <n v="7606.6"/>
  </r>
  <r>
    <x v="0"/>
    <x v="0"/>
    <x v="0"/>
    <x v="0"/>
    <x v="0"/>
    <s v="DK1_Large"/>
    <x v="4"/>
    <s v="GNR_ENG_NGAS_BP_E-40"/>
    <x v="0"/>
    <x v="4"/>
    <n v="5.7888888888888896"/>
    <n v="2112.9444444444398"/>
    <n v="7606.6"/>
  </r>
  <r>
    <x v="0"/>
    <x v="0"/>
    <x v="0"/>
    <x v="0"/>
    <x v="0"/>
    <s v="DK1_Large"/>
    <x v="4"/>
    <s v="GNR_ENG_NGAS_BP_E-40"/>
    <x v="0"/>
    <x v="5"/>
    <n v="5.7888888888888896"/>
    <n v="2112.9444444444398"/>
    <n v="7606.6"/>
  </r>
  <r>
    <x v="0"/>
    <x v="0"/>
    <x v="0"/>
    <x v="0"/>
    <x v="0"/>
    <s v="DK1_Large"/>
    <x v="4"/>
    <s v="GNR_ENG_NGAS_BP_E-40"/>
    <x v="0"/>
    <x v="6"/>
    <n v="5.7888888888888896"/>
    <n v="2112.9444444444398"/>
    <n v="7606.6"/>
  </r>
  <r>
    <x v="0"/>
    <x v="0"/>
    <x v="0"/>
    <x v="0"/>
    <x v="0"/>
    <s v="DK1_Large"/>
    <x v="4"/>
    <s v="GNR_ENG_NGAS_BP_E-40"/>
    <x v="0"/>
    <x v="7"/>
    <n v="5.7888888888888896"/>
    <n v="2112.9444444444398"/>
    <n v="7606.6"/>
  </r>
  <r>
    <x v="0"/>
    <x v="0"/>
    <x v="0"/>
    <x v="0"/>
    <x v="0"/>
    <s v="DK1_Large"/>
    <x v="4"/>
    <s v="GNR_ENG_NGAS_BP_E-40"/>
    <x v="0"/>
    <x v="8"/>
    <n v="5.7888888888888896"/>
    <n v="2112.9444444444398"/>
    <n v="7606.6"/>
  </r>
  <r>
    <x v="0"/>
    <x v="0"/>
    <x v="0"/>
    <x v="0"/>
    <x v="0"/>
    <s v="DK1_Large"/>
    <x v="4"/>
    <s v="GNR_ENG_NGAS_BP_E-40"/>
    <x v="0"/>
    <x v="9"/>
    <n v="5.7888888888888896"/>
    <n v="2112.9444444444398"/>
    <n v="7606.6"/>
  </r>
  <r>
    <x v="0"/>
    <x v="0"/>
    <x v="0"/>
    <x v="0"/>
    <x v="0"/>
    <s v="DK1_Large"/>
    <x v="4"/>
    <s v="GNR_ENG_NGAS_BP_E-40"/>
    <x v="0"/>
    <x v="10"/>
    <n v="5.7888888888888896"/>
    <n v="2112.9444444444398"/>
    <n v="7606.6"/>
  </r>
  <r>
    <x v="0"/>
    <x v="0"/>
    <x v="0"/>
    <x v="0"/>
    <x v="0"/>
    <s v="DK1_Large"/>
    <x v="4"/>
    <s v="GNR_ENG_NGAS_BP_E-40"/>
    <x v="0"/>
    <x v="11"/>
    <n v="5.7888888888888896"/>
    <n v="2112.9444444444398"/>
    <n v="7606.6"/>
  </r>
  <r>
    <x v="0"/>
    <x v="0"/>
    <x v="0"/>
    <x v="0"/>
    <x v="0"/>
    <s v="DK1_Large"/>
    <x v="4"/>
    <s v="GNR_ENG_NGAS_BP_E-40"/>
    <x v="0"/>
    <x v="12"/>
    <n v="5.7888888888888896"/>
    <n v="2112.9444444444398"/>
    <n v="7606.6"/>
  </r>
  <r>
    <x v="0"/>
    <x v="0"/>
    <x v="0"/>
    <x v="0"/>
    <x v="0"/>
    <s v="DK1_Large"/>
    <x v="4"/>
    <s v="GNR_ENG_NGAS_BP_E-40"/>
    <x v="0"/>
    <x v="13"/>
    <n v="5.7888888888888896"/>
    <n v="2112.9444444444398"/>
    <n v="7606.6"/>
  </r>
  <r>
    <x v="0"/>
    <x v="0"/>
    <x v="0"/>
    <x v="0"/>
    <x v="0"/>
    <s v="DK1_Large"/>
    <x v="4"/>
    <s v="GNR_ENG_NGAS_BP_E-40"/>
    <x v="0"/>
    <x v="14"/>
    <n v="5.7888888888888896"/>
    <n v="2112.9444444444398"/>
    <n v="7606.6"/>
  </r>
  <r>
    <x v="0"/>
    <x v="0"/>
    <x v="0"/>
    <x v="0"/>
    <x v="0"/>
    <s v="DK1_Large"/>
    <x v="4"/>
    <s v="GNR_ENG_NGAS_BP_E-40"/>
    <x v="0"/>
    <x v="15"/>
    <n v="5.7888888888888896"/>
    <n v="2112.9444444444398"/>
    <n v="7606.6"/>
  </r>
  <r>
    <x v="0"/>
    <x v="0"/>
    <x v="0"/>
    <x v="0"/>
    <x v="0"/>
    <s v="DK1_Large"/>
    <x v="4"/>
    <s v="GNR_ENG_NGAS_BP_E-40"/>
    <x v="0"/>
    <x v="16"/>
    <n v="5.7888888888888896"/>
    <n v="2112.9444444444398"/>
    <n v="7606.6"/>
  </r>
  <r>
    <x v="0"/>
    <x v="0"/>
    <x v="0"/>
    <x v="0"/>
    <x v="0"/>
    <s v="DK1_Large"/>
    <x v="4"/>
    <s v="GNR_ENG_NGAS_BP_E-40"/>
    <x v="0"/>
    <x v="17"/>
    <n v="5.7888888888888896"/>
    <n v="2112.9444444444398"/>
    <n v="7606.6"/>
  </r>
  <r>
    <x v="0"/>
    <x v="0"/>
    <x v="0"/>
    <x v="0"/>
    <x v="0"/>
    <s v="DK1_Large"/>
    <x v="4"/>
    <s v="GNR_ENG_NGAS_BP_E-40"/>
    <x v="0"/>
    <x v="18"/>
    <n v="5.7888888888888896"/>
    <n v="2112.9444444444398"/>
    <n v="7606.6"/>
  </r>
  <r>
    <x v="0"/>
    <x v="0"/>
    <x v="0"/>
    <x v="0"/>
    <x v="0"/>
    <s v="DK1_Large"/>
    <x v="4"/>
    <s v="GNR_ENG_NGAS_BP_E-40"/>
    <x v="0"/>
    <x v="19"/>
    <n v="5.7888888888888896"/>
    <n v="2112.9444444444398"/>
    <n v="7606.6"/>
  </r>
  <r>
    <x v="0"/>
    <x v="0"/>
    <x v="0"/>
    <x v="0"/>
    <x v="0"/>
    <s v="DK1_Large"/>
    <x v="4"/>
    <s v="GNR_ENG_NGAS_BP_E-40"/>
    <x v="0"/>
    <x v="20"/>
    <n v="5.7888888888888896"/>
    <n v="2112.9444444444398"/>
    <n v="7606.6"/>
  </r>
  <r>
    <x v="0"/>
    <x v="0"/>
    <x v="0"/>
    <x v="0"/>
    <x v="0"/>
    <s v="DK1_Large"/>
    <x v="4"/>
    <s v="GNR_ENG_NGAS_BP_E-40"/>
    <x v="0"/>
    <x v="21"/>
    <n v="5.7888888888888896"/>
    <n v="2112.9444444444398"/>
    <n v="7606.6"/>
  </r>
  <r>
    <x v="0"/>
    <x v="0"/>
    <x v="0"/>
    <x v="0"/>
    <x v="0"/>
    <s v="DK1_Large"/>
    <x v="4"/>
    <s v="GNR_ENG_NGAS_BP_E-40"/>
    <x v="0"/>
    <x v="22"/>
    <n v="5.7888888888888896"/>
    <n v="2112.9444444444398"/>
    <n v="7606.6"/>
  </r>
  <r>
    <x v="0"/>
    <x v="0"/>
    <x v="0"/>
    <x v="0"/>
    <x v="0"/>
    <s v="DK1_Large"/>
    <x v="4"/>
    <s v="GNR_ENG_NGAS_BP_E-40"/>
    <x v="0"/>
    <x v="23"/>
    <n v="5.7888888888888896"/>
    <n v="2112.9444444444398"/>
    <n v="7606.6"/>
  </r>
  <r>
    <x v="0"/>
    <x v="0"/>
    <x v="0"/>
    <x v="0"/>
    <x v="0"/>
    <s v="DK1_Large"/>
    <x v="4"/>
    <s v="GNR_ENG_NGAS_BP_E-41"/>
    <x v="0"/>
    <x v="0"/>
    <n v="4.2222222222222197"/>
    <n v="1541.1111111111099"/>
    <n v="5548"/>
  </r>
  <r>
    <x v="0"/>
    <x v="0"/>
    <x v="0"/>
    <x v="0"/>
    <x v="0"/>
    <s v="DK1_Large"/>
    <x v="4"/>
    <s v="GNR_ENG_NGAS_BP_E-41"/>
    <x v="0"/>
    <x v="1"/>
    <n v="4.2222222222222197"/>
    <n v="1541.1111111111099"/>
    <n v="5548"/>
  </r>
  <r>
    <x v="0"/>
    <x v="0"/>
    <x v="0"/>
    <x v="0"/>
    <x v="0"/>
    <s v="DK1_Large"/>
    <x v="4"/>
    <s v="GNR_ENG_NGAS_BP_E-41"/>
    <x v="0"/>
    <x v="2"/>
    <n v="4.2222222222222197"/>
    <n v="1541.1111111111099"/>
    <n v="5548"/>
  </r>
  <r>
    <x v="0"/>
    <x v="0"/>
    <x v="0"/>
    <x v="0"/>
    <x v="0"/>
    <s v="DK1_Large"/>
    <x v="4"/>
    <s v="GNR_ENG_NGAS_BP_E-41"/>
    <x v="0"/>
    <x v="3"/>
    <n v="4.2222222222222197"/>
    <n v="1541.1111111111099"/>
    <n v="5548"/>
  </r>
  <r>
    <x v="0"/>
    <x v="0"/>
    <x v="0"/>
    <x v="0"/>
    <x v="0"/>
    <s v="DK1_Large"/>
    <x v="4"/>
    <s v="GNR_ENG_NGAS_BP_E-41"/>
    <x v="0"/>
    <x v="4"/>
    <n v="4.2222222222222197"/>
    <n v="1541.1111111111099"/>
    <n v="5548"/>
  </r>
  <r>
    <x v="0"/>
    <x v="0"/>
    <x v="0"/>
    <x v="0"/>
    <x v="0"/>
    <s v="DK1_Large"/>
    <x v="4"/>
    <s v="GNR_ENG_NGAS_BP_E-41"/>
    <x v="0"/>
    <x v="5"/>
    <n v="4.2222222222222197"/>
    <n v="1541.1111111111099"/>
    <n v="5548"/>
  </r>
  <r>
    <x v="0"/>
    <x v="0"/>
    <x v="0"/>
    <x v="0"/>
    <x v="0"/>
    <s v="DK1_Large"/>
    <x v="4"/>
    <s v="GNR_ENG_NGAS_BP_E-41"/>
    <x v="0"/>
    <x v="6"/>
    <n v="4.2222222222222197"/>
    <n v="1541.1111111111099"/>
    <n v="5548"/>
  </r>
  <r>
    <x v="0"/>
    <x v="0"/>
    <x v="0"/>
    <x v="0"/>
    <x v="0"/>
    <s v="DK1_Large"/>
    <x v="4"/>
    <s v="GNR_ENG_NGAS_BP_E-41"/>
    <x v="0"/>
    <x v="7"/>
    <n v="4.2222222222222197"/>
    <n v="1541.1111111111099"/>
    <n v="5548"/>
  </r>
  <r>
    <x v="0"/>
    <x v="0"/>
    <x v="0"/>
    <x v="0"/>
    <x v="0"/>
    <s v="DK1_Large"/>
    <x v="4"/>
    <s v="GNR_ENG_NGAS_BP_E-41"/>
    <x v="0"/>
    <x v="8"/>
    <n v="4.2222222222222197"/>
    <n v="1541.1111111111099"/>
    <n v="5548"/>
  </r>
  <r>
    <x v="0"/>
    <x v="0"/>
    <x v="0"/>
    <x v="0"/>
    <x v="0"/>
    <s v="DK1_Large"/>
    <x v="4"/>
    <s v="GNR_ENG_NGAS_BP_E-41"/>
    <x v="0"/>
    <x v="9"/>
    <n v="4.2222222222222197"/>
    <n v="1541.1111111111099"/>
    <n v="5548"/>
  </r>
  <r>
    <x v="0"/>
    <x v="0"/>
    <x v="0"/>
    <x v="0"/>
    <x v="0"/>
    <s v="DK1_Large"/>
    <x v="4"/>
    <s v="GNR_ENG_NGAS_BP_E-41"/>
    <x v="0"/>
    <x v="10"/>
    <n v="4.2222222222222197"/>
    <n v="1541.1111111111099"/>
    <n v="5548"/>
  </r>
  <r>
    <x v="0"/>
    <x v="0"/>
    <x v="0"/>
    <x v="0"/>
    <x v="0"/>
    <s v="DK1_Large"/>
    <x v="4"/>
    <s v="GNR_ENG_NGAS_BP_E-41"/>
    <x v="0"/>
    <x v="11"/>
    <n v="4.2222222222222197"/>
    <n v="1541.1111111111099"/>
    <n v="5548"/>
  </r>
  <r>
    <x v="0"/>
    <x v="0"/>
    <x v="0"/>
    <x v="0"/>
    <x v="0"/>
    <s v="DK1_Large"/>
    <x v="4"/>
    <s v="GNR_ENG_NGAS_BP_E-41"/>
    <x v="0"/>
    <x v="12"/>
    <n v="4.2222222222222197"/>
    <n v="1541.1111111111099"/>
    <n v="5548"/>
  </r>
  <r>
    <x v="0"/>
    <x v="0"/>
    <x v="0"/>
    <x v="0"/>
    <x v="0"/>
    <s v="DK1_Large"/>
    <x v="4"/>
    <s v="GNR_ENG_NGAS_BP_E-41"/>
    <x v="0"/>
    <x v="13"/>
    <n v="4.2222222222222197"/>
    <n v="1541.1111111111099"/>
    <n v="5548"/>
  </r>
  <r>
    <x v="0"/>
    <x v="0"/>
    <x v="0"/>
    <x v="0"/>
    <x v="0"/>
    <s v="DK1_Large"/>
    <x v="4"/>
    <s v="GNR_ENG_NGAS_BP_E-41"/>
    <x v="0"/>
    <x v="14"/>
    <n v="4.2222222222222197"/>
    <n v="1541.1111111111099"/>
    <n v="5548"/>
  </r>
  <r>
    <x v="0"/>
    <x v="0"/>
    <x v="0"/>
    <x v="0"/>
    <x v="0"/>
    <s v="DK1_Large"/>
    <x v="4"/>
    <s v="GNR_ENG_NGAS_BP_E-41"/>
    <x v="0"/>
    <x v="15"/>
    <n v="4.2222222222222197"/>
    <n v="1541.1111111111099"/>
    <n v="5548"/>
  </r>
  <r>
    <x v="0"/>
    <x v="0"/>
    <x v="0"/>
    <x v="0"/>
    <x v="0"/>
    <s v="DK1_Large"/>
    <x v="4"/>
    <s v="GNR_ENG_NGAS_BP_E-41"/>
    <x v="0"/>
    <x v="16"/>
    <n v="4.2222222222222197"/>
    <n v="1541.1111111111099"/>
    <n v="5548"/>
  </r>
  <r>
    <x v="0"/>
    <x v="0"/>
    <x v="0"/>
    <x v="0"/>
    <x v="0"/>
    <s v="DK1_Large"/>
    <x v="4"/>
    <s v="GNR_ENG_NGAS_BP_E-41"/>
    <x v="0"/>
    <x v="17"/>
    <n v="4.2222222222222197"/>
    <n v="1541.1111111111099"/>
    <n v="5548"/>
  </r>
  <r>
    <x v="0"/>
    <x v="0"/>
    <x v="0"/>
    <x v="0"/>
    <x v="0"/>
    <s v="DK1_Large"/>
    <x v="4"/>
    <s v="GNR_ENG_NGAS_BP_E-41"/>
    <x v="0"/>
    <x v="18"/>
    <n v="4.2222222222222197"/>
    <n v="1541.1111111111099"/>
    <n v="5548"/>
  </r>
  <r>
    <x v="0"/>
    <x v="0"/>
    <x v="0"/>
    <x v="0"/>
    <x v="0"/>
    <s v="DK1_Large"/>
    <x v="4"/>
    <s v="GNR_ENG_NGAS_BP_E-41"/>
    <x v="0"/>
    <x v="19"/>
    <n v="4.2222222222222197"/>
    <n v="1541.1111111111099"/>
    <n v="5548"/>
  </r>
  <r>
    <x v="0"/>
    <x v="0"/>
    <x v="0"/>
    <x v="0"/>
    <x v="0"/>
    <s v="DK1_Large"/>
    <x v="4"/>
    <s v="GNR_ENG_NGAS_BP_E-41"/>
    <x v="0"/>
    <x v="20"/>
    <n v="4.2222222222222197"/>
    <n v="1541.1111111111099"/>
    <n v="5548"/>
  </r>
  <r>
    <x v="0"/>
    <x v="0"/>
    <x v="0"/>
    <x v="0"/>
    <x v="0"/>
    <s v="DK1_Large"/>
    <x v="4"/>
    <s v="GNR_ENG_NGAS_BP_E-41"/>
    <x v="0"/>
    <x v="21"/>
    <n v="4.2222222222222197"/>
    <n v="1541.1111111111099"/>
    <n v="5548"/>
  </r>
  <r>
    <x v="0"/>
    <x v="0"/>
    <x v="0"/>
    <x v="0"/>
    <x v="0"/>
    <s v="DK1_Large"/>
    <x v="4"/>
    <s v="GNR_ENG_NGAS_BP_E-41"/>
    <x v="0"/>
    <x v="22"/>
    <n v="4.2222222222222197"/>
    <n v="1541.1111111111099"/>
    <n v="5548"/>
  </r>
  <r>
    <x v="0"/>
    <x v="0"/>
    <x v="0"/>
    <x v="0"/>
    <x v="0"/>
    <s v="DK1_Large"/>
    <x v="4"/>
    <s v="GNR_ENG_NGAS_BP_E-41"/>
    <x v="0"/>
    <x v="23"/>
    <n v="4.2222222222222197"/>
    <n v="1541.1111111111099"/>
    <n v="5548"/>
  </r>
  <r>
    <x v="0"/>
    <x v="0"/>
    <x v="0"/>
    <x v="0"/>
    <x v="0"/>
    <s v="DK1_Large"/>
    <x v="4"/>
    <s v="GNR_ENG_NGAS_BP_E-42"/>
    <x v="0"/>
    <x v="0"/>
    <n v="2.5111111111111102"/>
    <n v="916.555555555556"/>
    <n v="3299.6"/>
  </r>
  <r>
    <x v="0"/>
    <x v="0"/>
    <x v="0"/>
    <x v="0"/>
    <x v="0"/>
    <s v="DK1_Large"/>
    <x v="4"/>
    <s v="GNR_ENG_NGAS_BP_E-42"/>
    <x v="0"/>
    <x v="1"/>
    <n v="2.5111111111111102"/>
    <n v="916.555555555556"/>
    <n v="3299.6"/>
  </r>
  <r>
    <x v="0"/>
    <x v="0"/>
    <x v="0"/>
    <x v="0"/>
    <x v="0"/>
    <s v="DK1_Large"/>
    <x v="4"/>
    <s v="GNR_ENG_NGAS_BP_E-42"/>
    <x v="0"/>
    <x v="2"/>
    <n v="2.5111111111111102"/>
    <n v="916.555555555556"/>
    <n v="3299.6"/>
  </r>
  <r>
    <x v="0"/>
    <x v="0"/>
    <x v="0"/>
    <x v="0"/>
    <x v="0"/>
    <s v="DK1_Large"/>
    <x v="4"/>
    <s v="GNR_ENG_NGAS_BP_E-42"/>
    <x v="0"/>
    <x v="3"/>
    <n v="2.5111111111111102"/>
    <n v="916.555555555556"/>
    <n v="3299.6"/>
  </r>
  <r>
    <x v="0"/>
    <x v="0"/>
    <x v="0"/>
    <x v="0"/>
    <x v="0"/>
    <s v="DK1_Large"/>
    <x v="4"/>
    <s v="GNR_ENG_NGAS_BP_E-42"/>
    <x v="0"/>
    <x v="4"/>
    <n v="2.5111111111111102"/>
    <n v="916.555555555556"/>
    <n v="3299.6"/>
  </r>
  <r>
    <x v="0"/>
    <x v="0"/>
    <x v="0"/>
    <x v="0"/>
    <x v="0"/>
    <s v="DK1_Large"/>
    <x v="4"/>
    <s v="GNR_ENG_NGAS_BP_E-42"/>
    <x v="0"/>
    <x v="5"/>
    <n v="2.5111111111111102"/>
    <n v="916.555555555556"/>
    <n v="3299.6"/>
  </r>
  <r>
    <x v="0"/>
    <x v="0"/>
    <x v="0"/>
    <x v="0"/>
    <x v="0"/>
    <s v="DK1_Large"/>
    <x v="4"/>
    <s v="GNR_ENG_NGAS_BP_E-42"/>
    <x v="0"/>
    <x v="6"/>
    <n v="2.5111111111111102"/>
    <n v="916.555555555556"/>
    <n v="3299.6"/>
  </r>
  <r>
    <x v="0"/>
    <x v="0"/>
    <x v="0"/>
    <x v="0"/>
    <x v="0"/>
    <s v="DK1_Large"/>
    <x v="4"/>
    <s v="GNR_ENG_NGAS_BP_E-42"/>
    <x v="0"/>
    <x v="7"/>
    <n v="2.5111111111111102"/>
    <n v="916.555555555556"/>
    <n v="3299.6"/>
  </r>
  <r>
    <x v="0"/>
    <x v="0"/>
    <x v="0"/>
    <x v="0"/>
    <x v="0"/>
    <s v="DK1_Large"/>
    <x v="4"/>
    <s v="GNR_ENG_NGAS_BP_E-42"/>
    <x v="0"/>
    <x v="8"/>
    <n v="2.5111111111111102"/>
    <n v="916.555555555556"/>
    <n v="3299.6"/>
  </r>
  <r>
    <x v="0"/>
    <x v="0"/>
    <x v="0"/>
    <x v="0"/>
    <x v="0"/>
    <s v="DK1_Large"/>
    <x v="4"/>
    <s v="GNR_ENG_NGAS_BP_E-42"/>
    <x v="0"/>
    <x v="9"/>
    <n v="2.5111111111111102"/>
    <n v="916.555555555556"/>
    <n v="3299.6"/>
  </r>
  <r>
    <x v="0"/>
    <x v="0"/>
    <x v="0"/>
    <x v="0"/>
    <x v="0"/>
    <s v="DK1_Large"/>
    <x v="4"/>
    <s v="GNR_ENG_NGAS_BP_E-42"/>
    <x v="0"/>
    <x v="10"/>
    <n v="2.5111111111111102"/>
    <n v="916.555555555556"/>
    <n v="3299.6"/>
  </r>
  <r>
    <x v="0"/>
    <x v="0"/>
    <x v="0"/>
    <x v="0"/>
    <x v="0"/>
    <s v="DK1_Large"/>
    <x v="4"/>
    <s v="GNR_ENG_NGAS_BP_E-42"/>
    <x v="0"/>
    <x v="11"/>
    <n v="2.5111111111111102"/>
    <n v="916.555555555556"/>
    <n v="3299.6"/>
  </r>
  <r>
    <x v="0"/>
    <x v="0"/>
    <x v="0"/>
    <x v="0"/>
    <x v="0"/>
    <s v="DK1_Large"/>
    <x v="4"/>
    <s v="GNR_ENG_NGAS_BP_E-42"/>
    <x v="0"/>
    <x v="12"/>
    <n v="2.5111111111111102"/>
    <n v="916.555555555556"/>
    <n v="3299.6"/>
  </r>
  <r>
    <x v="0"/>
    <x v="0"/>
    <x v="0"/>
    <x v="0"/>
    <x v="0"/>
    <s v="DK1_Large"/>
    <x v="4"/>
    <s v="GNR_ENG_NGAS_BP_E-42"/>
    <x v="0"/>
    <x v="13"/>
    <n v="2.5111111111111102"/>
    <n v="916.555555555556"/>
    <n v="3299.6"/>
  </r>
  <r>
    <x v="0"/>
    <x v="0"/>
    <x v="0"/>
    <x v="0"/>
    <x v="0"/>
    <s v="DK1_Large"/>
    <x v="4"/>
    <s v="GNR_ENG_NGAS_BP_E-42"/>
    <x v="0"/>
    <x v="14"/>
    <n v="2.5111111111111102"/>
    <n v="916.555555555556"/>
    <n v="3299.6"/>
  </r>
  <r>
    <x v="0"/>
    <x v="0"/>
    <x v="0"/>
    <x v="0"/>
    <x v="0"/>
    <s v="DK1_Large"/>
    <x v="4"/>
    <s v="GNR_ENG_NGAS_BP_E-42"/>
    <x v="0"/>
    <x v="15"/>
    <n v="2.5111111111111102"/>
    <n v="916.555555555556"/>
    <n v="3299.6"/>
  </r>
  <r>
    <x v="0"/>
    <x v="0"/>
    <x v="0"/>
    <x v="0"/>
    <x v="0"/>
    <s v="DK1_Large"/>
    <x v="4"/>
    <s v="GNR_ENG_NGAS_BP_E-42"/>
    <x v="0"/>
    <x v="16"/>
    <n v="2.5111111111111102"/>
    <n v="916.555555555556"/>
    <n v="3299.6"/>
  </r>
  <r>
    <x v="0"/>
    <x v="0"/>
    <x v="0"/>
    <x v="0"/>
    <x v="0"/>
    <s v="DK1_Large"/>
    <x v="4"/>
    <s v="GNR_ENG_NGAS_BP_E-42"/>
    <x v="0"/>
    <x v="17"/>
    <n v="2.5111111111111102"/>
    <n v="916.555555555556"/>
    <n v="3299.6"/>
  </r>
  <r>
    <x v="0"/>
    <x v="0"/>
    <x v="0"/>
    <x v="0"/>
    <x v="0"/>
    <s v="DK1_Large"/>
    <x v="4"/>
    <s v="GNR_ENG_NGAS_BP_E-42"/>
    <x v="0"/>
    <x v="18"/>
    <n v="2.5111111111111102"/>
    <n v="916.555555555556"/>
    <n v="3299.6"/>
  </r>
  <r>
    <x v="0"/>
    <x v="0"/>
    <x v="0"/>
    <x v="0"/>
    <x v="0"/>
    <s v="DK1_Large"/>
    <x v="4"/>
    <s v="GNR_ENG_NGAS_BP_E-42"/>
    <x v="0"/>
    <x v="19"/>
    <n v="2.5111111111111102"/>
    <n v="916.555555555556"/>
    <n v="3299.6"/>
  </r>
  <r>
    <x v="0"/>
    <x v="0"/>
    <x v="0"/>
    <x v="0"/>
    <x v="0"/>
    <s v="DK1_Large"/>
    <x v="4"/>
    <s v="GNR_ENG_NGAS_BP_E-42"/>
    <x v="0"/>
    <x v="20"/>
    <n v="2.5111111111111102"/>
    <n v="916.555555555556"/>
    <n v="3299.6"/>
  </r>
  <r>
    <x v="0"/>
    <x v="0"/>
    <x v="0"/>
    <x v="0"/>
    <x v="0"/>
    <s v="DK1_Large"/>
    <x v="4"/>
    <s v="GNR_ENG_NGAS_BP_E-42"/>
    <x v="0"/>
    <x v="21"/>
    <n v="2.5111111111111102"/>
    <n v="916.555555555556"/>
    <n v="3299.6"/>
  </r>
  <r>
    <x v="0"/>
    <x v="0"/>
    <x v="0"/>
    <x v="0"/>
    <x v="0"/>
    <s v="DK1_Large"/>
    <x v="4"/>
    <s v="GNR_ENG_NGAS_BP_E-42"/>
    <x v="0"/>
    <x v="22"/>
    <n v="2.5111111111111102"/>
    <n v="916.555555555556"/>
    <n v="3299.6"/>
  </r>
  <r>
    <x v="0"/>
    <x v="0"/>
    <x v="0"/>
    <x v="0"/>
    <x v="0"/>
    <s v="DK1_Large"/>
    <x v="4"/>
    <s v="GNR_ENG_NGAS_BP_E-42"/>
    <x v="0"/>
    <x v="23"/>
    <n v="2.5111111111111102"/>
    <n v="916.555555555556"/>
    <n v="3299.6"/>
  </r>
  <r>
    <x v="0"/>
    <x v="0"/>
    <x v="0"/>
    <x v="0"/>
    <x v="0"/>
    <s v="DK1_Large"/>
    <x v="4"/>
    <s v="GNR_ENG_NGAS_BP_E-43"/>
    <x v="0"/>
    <x v="0"/>
    <n v="9.9888888888888907"/>
    <n v="3645.9444444444398"/>
    <n v="13125.4"/>
  </r>
  <r>
    <x v="0"/>
    <x v="0"/>
    <x v="0"/>
    <x v="0"/>
    <x v="0"/>
    <s v="DK1_Large"/>
    <x v="4"/>
    <s v="GNR_ENG_NGAS_BP_E-43"/>
    <x v="0"/>
    <x v="1"/>
    <n v="9.9888888888888907"/>
    <n v="3645.9444444444398"/>
    <n v="13125.4"/>
  </r>
  <r>
    <x v="0"/>
    <x v="0"/>
    <x v="0"/>
    <x v="0"/>
    <x v="0"/>
    <s v="DK1_Large"/>
    <x v="4"/>
    <s v="GNR_ENG_NGAS_BP_E-43"/>
    <x v="0"/>
    <x v="2"/>
    <n v="9.9888888888888907"/>
    <n v="3645.9444444444398"/>
    <n v="13125.4"/>
  </r>
  <r>
    <x v="0"/>
    <x v="0"/>
    <x v="0"/>
    <x v="0"/>
    <x v="0"/>
    <s v="DK1_Large"/>
    <x v="4"/>
    <s v="GNR_ENG_NGAS_BP_E-43"/>
    <x v="0"/>
    <x v="3"/>
    <n v="9.9888888888888907"/>
    <n v="3645.9444444444398"/>
    <n v="13125.4"/>
  </r>
  <r>
    <x v="0"/>
    <x v="0"/>
    <x v="0"/>
    <x v="0"/>
    <x v="0"/>
    <s v="DK1_Large"/>
    <x v="4"/>
    <s v="GNR_ENG_NGAS_BP_E-43"/>
    <x v="0"/>
    <x v="4"/>
    <n v="9.9888888888888907"/>
    <n v="3645.9444444444398"/>
    <n v="13125.4"/>
  </r>
  <r>
    <x v="0"/>
    <x v="0"/>
    <x v="0"/>
    <x v="0"/>
    <x v="0"/>
    <s v="DK1_Large"/>
    <x v="4"/>
    <s v="GNR_ENG_NGAS_BP_E-43"/>
    <x v="0"/>
    <x v="5"/>
    <n v="9.9888888888888907"/>
    <n v="3645.9444444444398"/>
    <n v="13125.4"/>
  </r>
  <r>
    <x v="0"/>
    <x v="0"/>
    <x v="0"/>
    <x v="0"/>
    <x v="0"/>
    <s v="DK1_Large"/>
    <x v="4"/>
    <s v="GNR_ENG_NGAS_BP_E-43"/>
    <x v="0"/>
    <x v="6"/>
    <n v="9.9888888888888907"/>
    <n v="3645.9444444444398"/>
    <n v="13125.4"/>
  </r>
  <r>
    <x v="0"/>
    <x v="0"/>
    <x v="0"/>
    <x v="0"/>
    <x v="0"/>
    <s v="DK1_Large"/>
    <x v="4"/>
    <s v="GNR_ENG_NGAS_BP_E-43"/>
    <x v="0"/>
    <x v="7"/>
    <n v="9.9888888888888907"/>
    <n v="3645.9444444444398"/>
    <n v="13125.4"/>
  </r>
  <r>
    <x v="0"/>
    <x v="0"/>
    <x v="0"/>
    <x v="0"/>
    <x v="0"/>
    <s v="DK1_Large"/>
    <x v="4"/>
    <s v="GNR_ENG_NGAS_BP_E-43"/>
    <x v="0"/>
    <x v="8"/>
    <n v="9.9888888888888907"/>
    <n v="3645.9444444444398"/>
    <n v="13125.4"/>
  </r>
  <r>
    <x v="0"/>
    <x v="0"/>
    <x v="0"/>
    <x v="0"/>
    <x v="0"/>
    <s v="DK1_Large"/>
    <x v="4"/>
    <s v="GNR_ENG_NGAS_BP_E-43"/>
    <x v="0"/>
    <x v="9"/>
    <n v="9.9888888888888907"/>
    <n v="3645.9444444444398"/>
    <n v="13125.4"/>
  </r>
  <r>
    <x v="0"/>
    <x v="0"/>
    <x v="0"/>
    <x v="0"/>
    <x v="0"/>
    <s v="DK1_Large"/>
    <x v="4"/>
    <s v="GNR_ENG_NGAS_BP_E-43"/>
    <x v="0"/>
    <x v="10"/>
    <n v="9.9888888888888907"/>
    <n v="3645.9444444444398"/>
    <n v="13125.4"/>
  </r>
  <r>
    <x v="0"/>
    <x v="0"/>
    <x v="0"/>
    <x v="0"/>
    <x v="0"/>
    <s v="DK1_Large"/>
    <x v="4"/>
    <s v="GNR_ENG_NGAS_BP_E-43"/>
    <x v="0"/>
    <x v="11"/>
    <n v="9.9888888888888907"/>
    <n v="3645.9444444444398"/>
    <n v="13125.4"/>
  </r>
  <r>
    <x v="0"/>
    <x v="0"/>
    <x v="0"/>
    <x v="0"/>
    <x v="0"/>
    <s v="DK1_Large"/>
    <x v="4"/>
    <s v="GNR_ENG_NGAS_BP_E-43"/>
    <x v="0"/>
    <x v="12"/>
    <n v="9.9888888888888907"/>
    <n v="3645.9444444444398"/>
    <n v="13125.4"/>
  </r>
  <r>
    <x v="0"/>
    <x v="0"/>
    <x v="0"/>
    <x v="0"/>
    <x v="0"/>
    <s v="DK1_Large"/>
    <x v="4"/>
    <s v="GNR_ENG_NGAS_BP_E-43"/>
    <x v="0"/>
    <x v="13"/>
    <n v="9.9888888888888907"/>
    <n v="3645.9444444444398"/>
    <n v="13125.4"/>
  </r>
  <r>
    <x v="0"/>
    <x v="0"/>
    <x v="0"/>
    <x v="0"/>
    <x v="0"/>
    <s v="DK1_Large"/>
    <x v="4"/>
    <s v="GNR_ENG_NGAS_BP_E-43"/>
    <x v="0"/>
    <x v="14"/>
    <n v="9.9888888888888907"/>
    <n v="3645.9444444444398"/>
    <n v="13125.4"/>
  </r>
  <r>
    <x v="0"/>
    <x v="0"/>
    <x v="0"/>
    <x v="0"/>
    <x v="0"/>
    <s v="DK1_Large"/>
    <x v="4"/>
    <s v="GNR_ENG_NGAS_BP_E-43"/>
    <x v="0"/>
    <x v="15"/>
    <n v="9.9888888888888907"/>
    <n v="3645.9444444444398"/>
    <n v="13125.4"/>
  </r>
  <r>
    <x v="0"/>
    <x v="0"/>
    <x v="0"/>
    <x v="0"/>
    <x v="0"/>
    <s v="DK1_Large"/>
    <x v="4"/>
    <s v="GNR_ENG_NGAS_BP_E-43"/>
    <x v="0"/>
    <x v="16"/>
    <n v="9.9888888888888907"/>
    <n v="3645.9444444444398"/>
    <n v="13125.4"/>
  </r>
  <r>
    <x v="0"/>
    <x v="0"/>
    <x v="0"/>
    <x v="0"/>
    <x v="0"/>
    <s v="DK1_Large"/>
    <x v="4"/>
    <s v="GNR_ENG_NGAS_BP_E-43"/>
    <x v="0"/>
    <x v="17"/>
    <n v="9.9888888888888907"/>
    <n v="3645.9444444444398"/>
    <n v="13125.4"/>
  </r>
  <r>
    <x v="0"/>
    <x v="0"/>
    <x v="0"/>
    <x v="0"/>
    <x v="0"/>
    <s v="DK1_Large"/>
    <x v="4"/>
    <s v="GNR_ENG_NGAS_BP_E-43"/>
    <x v="0"/>
    <x v="18"/>
    <n v="9.9888888888888907"/>
    <n v="3645.9444444444398"/>
    <n v="13125.4"/>
  </r>
  <r>
    <x v="0"/>
    <x v="0"/>
    <x v="0"/>
    <x v="0"/>
    <x v="0"/>
    <s v="DK1_Large"/>
    <x v="4"/>
    <s v="GNR_ENG_NGAS_BP_E-43"/>
    <x v="0"/>
    <x v="19"/>
    <n v="9.9888888888888907"/>
    <n v="3645.9444444444398"/>
    <n v="13125.4"/>
  </r>
  <r>
    <x v="0"/>
    <x v="0"/>
    <x v="0"/>
    <x v="0"/>
    <x v="0"/>
    <s v="DK1_Large"/>
    <x v="4"/>
    <s v="GNR_ENG_NGAS_BP_E-43"/>
    <x v="0"/>
    <x v="20"/>
    <n v="9.9888888888888907"/>
    <n v="3645.9444444444398"/>
    <n v="13125.4"/>
  </r>
  <r>
    <x v="0"/>
    <x v="0"/>
    <x v="0"/>
    <x v="0"/>
    <x v="0"/>
    <s v="DK1_Large"/>
    <x v="4"/>
    <s v="GNR_ENG_NGAS_BP_E-43"/>
    <x v="0"/>
    <x v="21"/>
    <n v="9.9888888888888907"/>
    <n v="3645.9444444444398"/>
    <n v="13125.4"/>
  </r>
  <r>
    <x v="0"/>
    <x v="0"/>
    <x v="0"/>
    <x v="0"/>
    <x v="0"/>
    <s v="DK1_Large"/>
    <x v="4"/>
    <s v="GNR_ENG_NGAS_BP_E-43"/>
    <x v="0"/>
    <x v="22"/>
    <n v="9.9888888888888907"/>
    <n v="3645.9444444444398"/>
    <n v="13125.4"/>
  </r>
  <r>
    <x v="0"/>
    <x v="0"/>
    <x v="0"/>
    <x v="0"/>
    <x v="0"/>
    <s v="DK1_Large"/>
    <x v="4"/>
    <s v="GNR_ENG_NGAS_BP_E-43"/>
    <x v="0"/>
    <x v="23"/>
    <n v="9.9888888888888907"/>
    <n v="3645.9444444444398"/>
    <n v="13125.4"/>
  </r>
  <r>
    <x v="0"/>
    <x v="0"/>
    <x v="0"/>
    <x v="0"/>
    <x v="0"/>
    <s v="DK1_Large"/>
    <x v="4"/>
    <s v="GNR_ENG_NGAS_BP_E-44"/>
    <x v="0"/>
    <x v="0"/>
    <n v="3.4888888888888898"/>
    <n v="1273.44444444444"/>
    <n v="4584.3999999999996"/>
  </r>
  <r>
    <x v="0"/>
    <x v="0"/>
    <x v="0"/>
    <x v="0"/>
    <x v="0"/>
    <s v="DK1_Large"/>
    <x v="4"/>
    <s v="GNR_ENG_NGAS_BP_E-44"/>
    <x v="0"/>
    <x v="1"/>
    <n v="3.4888888888888898"/>
    <n v="1273.44444444444"/>
    <n v="4584.3999999999996"/>
  </r>
  <r>
    <x v="0"/>
    <x v="0"/>
    <x v="0"/>
    <x v="0"/>
    <x v="0"/>
    <s v="DK1_Large"/>
    <x v="4"/>
    <s v="GNR_ENG_NGAS_BP_E-44"/>
    <x v="0"/>
    <x v="2"/>
    <n v="3.4888888888888898"/>
    <n v="1273.44444444444"/>
    <n v="4584.3999999999996"/>
  </r>
  <r>
    <x v="0"/>
    <x v="0"/>
    <x v="0"/>
    <x v="0"/>
    <x v="0"/>
    <s v="DK1_Large"/>
    <x v="4"/>
    <s v="GNR_ENG_NGAS_BP_E-44"/>
    <x v="0"/>
    <x v="3"/>
    <n v="3.4888888888888898"/>
    <n v="1273.44444444444"/>
    <n v="4584.3999999999996"/>
  </r>
  <r>
    <x v="0"/>
    <x v="0"/>
    <x v="0"/>
    <x v="0"/>
    <x v="0"/>
    <s v="DK1_Large"/>
    <x v="4"/>
    <s v="GNR_ENG_NGAS_BP_E-44"/>
    <x v="0"/>
    <x v="4"/>
    <n v="3.4888888888888898"/>
    <n v="1273.44444444444"/>
    <n v="4584.3999999999996"/>
  </r>
  <r>
    <x v="0"/>
    <x v="0"/>
    <x v="0"/>
    <x v="0"/>
    <x v="0"/>
    <s v="DK1_Large"/>
    <x v="4"/>
    <s v="GNR_ENG_NGAS_BP_E-44"/>
    <x v="0"/>
    <x v="5"/>
    <n v="3.4888888888888898"/>
    <n v="1273.44444444444"/>
    <n v="4584.3999999999996"/>
  </r>
  <r>
    <x v="0"/>
    <x v="0"/>
    <x v="0"/>
    <x v="0"/>
    <x v="0"/>
    <s v="DK1_Large"/>
    <x v="4"/>
    <s v="GNR_ENG_NGAS_BP_E-44"/>
    <x v="0"/>
    <x v="6"/>
    <n v="3.4888888888888898"/>
    <n v="1273.44444444444"/>
    <n v="4584.3999999999996"/>
  </r>
  <r>
    <x v="0"/>
    <x v="0"/>
    <x v="0"/>
    <x v="0"/>
    <x v="0"/>
    <s v="DK1_Large"/>
    <x v="4"/>
    <s v="GNR_ENG_NGAS_BP_E-44"/>
    <x v="0"/>
    <x v="7"/>
    <n v="3.4888888888888898"/>
    <n v="1273.44444444444"/>
    <n v="4584.3999999999996"/>
  </r>
  <r>
    <x v="0"/>
    <x v="0"/>
    <x v="0"/>
    <x v="0"/>
    <x v="0"/>
    <s v="DK1_Large"/>
    <x v="4"/>
    <s v="GNR_ENG_NGAS_BP_E-44"/>
    <x v="0"/>
    <x v="8"/>
    <n v="3.4888888888888898"/>
    <n v="1273.44444444444"/>
    <n v="4584.3999999999996"/>
  </r>
  <r>
    <x v="0"/>
    <x v="0"/>
    <x v="0"/>
    <x v="0"/>
    <x v="0"/>
    <s v="DK1_Large"/>
    <x v="4"/>
    <s v="GNR_ENG_NGAS_BP_E-44"/>
    <x v="0"/>
    <x v="9"/>
    <n v="3.4888888888888898"/>
    <n v="1273.44444444444"/>
    <n v="4584.3999999999996"/>
  </r>
  <r>
    <x v="0"/>
    <x v="0"/>
    <x v="0"/>
    <x v="0"/>
    <x v="0"/>
    <s v="DK1_Large"/>
    <x v="4"/>
    <s v="GNR_ENG_NGAS_BP_E-44"/>
    <x v="0"/>
    <x v="10"/>
    <n v="3.4888888888888898"/>
    <n v="1273.44444444444"/>
    <n v="4584.3999999999996"/>
  </r>
  <r>
    <x v="0"/>
    <x v="0"/>
    <x v="0"/>
    <x v="0"/>
    <x v="0"/>
    <s v="DK1_Large"/>
    <x v="4"/>
    <s v="GNR_ENG_NGAS_BP_E-44"/>
    <x v="0"/>
    <x v="11"/>
    <n v="3.4888888888888898"/>
    <n v="1273.44444444444"/>
    <n v="4584.3999999999996"/>
  </r>
  <r>
    <x v="0"/>
    <x v="0"/>
    <x v="0"/>
    <x v="0"/>
    <x v="0"/>
    <s v="DK1_Large"/>
    <x v="4"/>
    <s v="GNR_ENG_NGAS_BP_E-44"/>
    <x v="0"/>
    <x v="12"/>
    <n v="3.4888888888888898"/>
    <n v="1273.44444444444"/>
    <n v="4584.3999999999996"/>
  </r>
  <r>
    <x v="0"/>
    <x v="0"/>
    <x v="0"/>
    <x v="0"/>
    <x v="0"/>
    <s v="DK1_Large"/>
    <x v="4"/>
    <s v="GNR_ENG_NGAS_BP_E-44"/>
    <x v="0"/>
    <x v="13"/>
    <n v="3.4888888888888898"/>
    <n v="1273.44444444444"/>
    <n v="4584.3999999999996"/>
  </r>
  <r>
    <x v="0"/>
    <x v="0"/>
    <x v="0"/>
    <x v="0"/>
    <x v="0"/>
    <s v="DK1_Large"/>
    <x v="4"/>
    <s v="GNR_ENG_NGAS_BP_E-44"/>
    <x v="0"/>
    <x v="14"/>
    <n v="3.4888888888888898"/>
    <n v="1273.44444444444"/>
    <n v="4584.3999999999996"/>
  </r>
  <r>
    <x v="0"/>
    <x v="0"/>
    <x v="0"/>
    <x v="0"/>
    <x v="0"/>
    <s v="DK1_Large"/>
    <x v="4"/>
    <s v="GNR_ENG_NGAS_BP_E-44"/>
    <x v="0"/>
    <x v="15"/>
    <n v="3.4888888888888898"/>
    <n v="1273.44444444444"/>
    <n v="4584.3999999999996"/>
  </r>
  <r>
    <x v="0"/>
    <x v="0"/>
    <x v="0"/>
    <x v="0"/>
    <x v="0"/>
    <s v="DK1_Large"/>
    <x v="4"/>
    <s v="GNR_ENG_NGAS_BP_E-44"/>
    <x v="0"/>
    <x v="16"/>
    <n v="3.4888888888888898"/>
    <n v="1273.44444444444"/>
    <n v="4584.3999999999996"/>
  </r>
  <r>
    <x v="0"/>
    <x v="0"/>
    <x v="0"/>
    <x v="0"/>
    <x v="0"/>
    <s v="DK1_Large"/>
    <x v="4"/>
    <s v="GNR_ENG_NGAS_BP_E-44"/>
    <x v="0"/>
    <x v="17"/>
    <n v="3.4888888888888898"/>
    <n v="1273.44444444444"/>
    <n v="4584.3999999999996"/>
  </r>
  <r>
    <x v="0"/>
    <x v="0"/>
    <x v="0"/>
    <x v="0"/>
    <x v="0"/>
    <s v="DK1_Large"/>
    <x v="4"/>
    <s v="GNR_ENG_NGAS_BP_E-44"/>
    <x v="0"/>
    <x v="18"/>
    <n v="3.4888888888888898"/>
    <n v="1273.44444444444"/>
    <n v="4584.3999999999996"/>
  </r>
  <r>
    <x v="0"/>
    <x v="0"/>
    <x v="0"/>
    <x v="0"/>
    <x v="0"/>
    <s v="DK1_Large"/>
    <x v="4"/>
    <s v="GNR_ENG_NGAS_BP_E-44"/>
    <x v="0"/>
    <x v="19"/>
    <n v="3.4888888888888898"/>
    <n v="1273.44444444444"/>
    <n v="4584.3999999999996"/>
  </r>
  <r>
    <x v="0"/>
    <x v="0"/>
    <x v="0"/>
    <x v="0"/>
    <x v="0"/>
    <s v="DK1_Large"/>
    <x v="4"/>
    <s v="GNR_ENG_NGAS_BP_E-44"/>
    <x v="0"/>
    <x v="20"/>
    <n v="3.4888888888888898"/>
    <n v="1273.44444444444"/>
    <n v="4584.3999999999996"/>
  </r>
  <r>
    <x v="0"/>
    <x v="0"/>
    <x v="0"/>
    <x v="0"/>
    <x v="0"/>
    <s v="DK1_Large"/>
    <x v="4"/>
    <s v="GNR_ENG_NGAS_BP_E-44"/>
    <x v="0"/>
    <x v="21"/>
    <n v="3.4888888888888898"/>
    <n v="1273.44444444444"/>
    <n v="4584.3999999999996"/>
  </r>
  <r>
    <x v="0"/>
    <x v="0"/>
    <x v="0"/>
    <x v="0"/>
    <x v="0"/>
    <s v="DK1_Large"/>
    <x v="4"/>
    <s v="GNR_ENG_NGAS_BP_E-44"/>
    <x v="0"/>
    <x v="22"/>
    <n v="3.4888888888888898"/>
    <n v="1273.44444444444"/>
    <n v="4584.3999999999996"/>
  </r>
  <r>
    <x v="0"/>
    <x v="0"/>
    <x v="0"/>
    <x v="0"/>
    <x v="0"/>
    <s v="DK1_Large"/>
    <x v="4"/>
    <s v="GNR_ENG_NGAS_BP_E-44"/>
    <x v="0"/>
    <x v="23"/>
    <n v="3.4888888888888898"/>
    <n v="1273.44444444444"/>
    <n v="4584.3999999999996"/>
  </r>
  <r>
    <x v="0"/>
    <x v="0"/>
    <x v="0"/>
    <x v="0"/>
    <x v="0"/>
    <s v="DK1_Large"/>
    <x v="4"/>
    <s v="GNR_ENG_NGAS_BP_E-46"/>
    <x v="0"/>
    <x v="0"/>
    <n v="3.24444444444444"/>
    <n v="1184.2222222222199"/>
    <n v="4263.2"/>
  </r>
  <r>
    <x v="0"/>
    <x v="0"/>
    <x v="0"/>
    <x v="0"/>
    <x v="0"/>
    <s v="DK1_Large"/>
    <x v="4"/>
    <s v="GNR_ENG_NGAS_BP_E-46"/>
    <x v="0"/>
    <x v="1"/>
    <n v="3.24444444444444"/>
    <n v="1184.2222222222199"/>
    <n v="4263.2"/>
  </r>
  <r>
    <x v="0"/>
    <x v="0"/>
    <x v="0"/>
    <x v="0"/>
    <x v="0"/>
    <s v="DK1_Large"/>
    <x v="4"/>
    <s v="GNR_ENG_NGAS_BP_E-46"/>
    <x v="0"/>
    <x v="2"/>
    <n v="3.24444444444444"/>
    <n v="1184.2222222222199"/>
    <n v="4263.2"/>
  </r>
  <r>
    <x v="0"/>
    <x v="0"/>
    <x v="0"/>
    <x v="0"/>
    <x v="0"/>
    <s v="DK1_Large"/>
    <x v="4"/>
    <s v="GNR_ENG_NGAS_BP_E-46"/>
    <x v="0"/>
    <x v="3"/>
    <n v="3.24444444444444"/>
    <n v="1184.2222222222199"/>
    <n v="4263.2"/>
  </r>
  <r>
    <x v="0"/>
    <x v="0"/>
    <x v="0"/>
    <x v="0"/>
    <x v="0"/>
    <s v="DK1_Large"/>
    <x v="4"/>
    <s v="GNR_ENG_NGAS_BP_E-46"/>
    <x v="0"/>
    <x v="4"/>
    <n v="3.24444444444444"/>
    <n v="1184.2222222222199"/>
    <n v="4263.2"/>
  </r>
  <r>
    <x v="0"/>
    <x v="0"/>
    <x v="0"/>
    <x v="0"/>
    <x v="0"/>
    <s v="DK1_Large"/>
    <x v="4"/>
    <s v="GNR_ENG_NGAS_BP_E-46"/>
    <x v="0"/>
    <x v="5"/>
    <n v="3.24444444444444"/>
    <n v="1184.2222222222199"/>
    <n v="4263.2"/>
  </r>
  <r>
    <x v="0"/>
    <x v="0"/>
    <x v="0"/>
    <x v="0"/>
    <x v="0"/>
    <s v="DK1_Large"/>
    <x v="4"/>
    <s v="GNR_ENG_NGAS_BP_E-46"/>
    <x v="0"/>
    <x v="6"/>
    <n v="3.24444444444444"/>
    <n v="1184.2222222222199"/>
    <n v="4263.2"/>
  </r>
  <r>
    <x v="0"/>
    <x v="0"/>
    <x v="0"/>
    <x v="0"/>
    <x v="0"/>
    <s v="DK1_Large"/>
    <x v="4"/>
    <s v="GNR_ENG_NGAS_BP_E-46"/>
    <x v="0"/>
    <x v="7"/>
    <n v="3.24444444444444"/>
    <n v="1184.2222222222199"/>
    <n v="4263.2"/>
  </r>
  <r>
    <x v="0"/>
    <x v="0"/>
    <x v="0"/>
    <x v="0"/>
    <x v="0"/>
    <s v="DK1_Large"/>
    <x v="4"/>
    <s v="GNR_ENG_NGAS_BP_E-46"/>
    <x v="0"/>
    <x v="8"/>
    <n v="3.24444444444444"/>
    <n v="1184.2222222222199"/>
    <n v="4263.2"/>
  </r>
  <r>
    <x v="0"/>
    <x v="0"/>
    <x v="0"/>
    <x v="0"/>
    <x v="0"/>
    <s v="DK1_Large"/>
    <x v="4"/>
    <s v="GNR_ENG_NGAS_BP_E-46"/>
    <x v="0"/>
    <x v="9"/>
    <n v="3.24444444444444"/>
    <n v="1184.2222222222199"/>
    <n v="4263.2"/>
  </r>
  <r>
    <x v="0"/>
    <x v="0"/>
    <x v="0"/>
    <x v="0"/>
    <x v="0"/>
    <s v="DK1_Large"/>
    <x v="4"/>
    <s v="GNR_ENG_NGAS_BP_E-46"/>
    <x v="0"/>
    <x v="10"/>
    <n v="3.24444444444444"/>
    <n v="1184.2222222222199"/>
    <n v="4263.2"/>
  </r>
  <r>
    <x v="0"/>
    <x v="0"/>
    <x v="0"/>
    <x v="0"/>
    <x v="0"/>
    <s v="DK1_Large"/>
    <x v="4"/>
    <s v="GNR_ENG_NGAS_BP_E-46"/>
    <x v="0"/>
    <x v="11"/>
    <n v="3.24444444444444"/>
    <n v="1184.2222222222199"/>
    <n v="4263.2"/>
  </r>
  <r>
    <x v="0"/>
    <x v="0"/>
    <x v="0"/>
    <x v="0"/>
    <x v="0"/>
    <s v="DK1_Large"/>
    <x v="4"/>
    <s v="GNR_ENG_NGAS_BP_E-46"/>
    <x v="0"/>
    <x v="12"/>
    <n v="3.24444444444444"/>
    <n v="1184.2222222222199"/>
    <n v="4263.2"/>
  </r>
  <r>
    <x v="0"/>
    <x v="0"/>
    <x v="0"/>
    <x v="0"/>
    <x v="0"/>
    <s v="DK1_Large"/>
    <x v="4"/>
    <s v="GNR_ENG_NGAS_BP_E-46"/>
    <x v="0"/>
    <x v="13"/>
    <n v="3.24444444444444"/>
    <n v="1184.2222222222199"/>
    <n v="4263.2"/>
  </r>
  <r>
    <x v="0"/>
    <x v="0"/>
    <x v="0"/>
    <x v="0"/>
    <x v="0"/>
    <s v="DK1_Large"/>
    <x v="4"/>
    <s v="GNR_ENG_NGAS_BP_E-46"/>
    <x v="0"/>
    <x v="14"/>
    <n v="3.24444444444444"/>
    <n v="1184.2222222222199"/>
    <n v="4263.2"/>
  </r>
  <r>
    <x v="0"/>
    <x v="0"/>
    <x v="0"/>
    <x v="0"/>
    <x v="0"/>
    <s v="DK1_Large"/>
    <x v="4"/>
    <s v="GNR_ENG_NGAS_BP_E-46"/>
    <x v="0"/>
    <x v="15"/>
    <n v="3.24444444444444"/>
    <n v="1184.2222222222199"/>
    <n v="4263.2"/>
  </r>
  <r>
    <x v="0"/>
    <x v="0"/>
    <x v="0"/>
    <x v="0"/>
    <x v="0"/>
    <s v="DK1_Large"/>
    <x v="4"/>
    <s v="GNR_ENG_NGAS_BP_E-46"/>
    <x v="0"/>
    <x v="16"/>
    <n v="3.24444444444444"/>
    <n v="1184.2222222222199"/>
    <n v="4263.2"/>
  </r>
  <r>
    <x v="0"/>
    <x v="0"/>
    <x v="0"/>
    <x v="0"/>
    <x v="0"/>
    <s v="DK1_Large"/>
    <x v="4"/>
    <s v="GNR_ENG_NGAS_BP_E-46"/>
    <x v="0"/>
    <x v="17"/>
    <n v="3.24444444444444"/>
    <n v="1184.2222222222199"/>
    <n v="4263.2"/>
  </r>
  <r>
    <x v="0"/>
    <x v="0"/>
    <x v="0"/>
    <x v="0"/>
    <x v="0"/>
    <s v="DK1_Large"/>
    <x v="4"/>
    <s v="GNR_ENG_NGAS_BP_E-46"/>
    <x v="0"/>
    <x v="18"/>
    <n v="3.24444444444444"/>
    <n v="1184.2222222222199"/>
    <n v="4263.2"/>
  </r>
  <r>
    <x v="0"/>
    <x v="0"/>
    <x v="0"/>
    <x v="0"/>
    <x v="0"/>
    <s v="DK1_Large"/>
    <x v="4"/>
    <s v="GNR_ENG_NGAS_BP_E-46"/>
    <x v="0"/>
    <x v="19"/>
    <n v="3.24444444444444"/>
    <n v="1184.2222222222199"/>
    <n v="4263.2"/>
  </r>
  <r>
    <x v="0"/>
    <x v="0"/>
    <x v="0"/>
    <x v="0"/>
    <x v="0"/>
    <s v="DK1_Large"/>
    <x v="4"/>
    <s v="GNR_ENG_NGAS_BP_E-46"/>
    <x v="0"/>
    <x v="20"/>
    <n v="3.24444444444444"/>
    <n v="1184.2222222222199"/>
    <n v="4263.2"/>
  </r>
  <r>
    <x v="0"/>
    <x v="0"/>
    <x v="0"/>
    <x v="0"/>
    <x v="0"/>
    <s v="DK1_Large"/>
    <x v="4"/>
    <s v="GNR_ENG_NGAS_BP_E-46"/>
    <x v="0"/>
    <x v="21"/>
    <n v="3.24444444444444"/>
    <n v="1184.2222222222199"/>
    <n v="4263.2"/>
  </r>
  <r>
    <x v="0"/>
    <x v="0"/>
    <x v="0"/>
    <x v="0"/>
    <x v="0"/>
    <s v="DK1_Large"/>
    <x v="4"/>
    <s v="GNR_ENG_NGAS_BP_E-46"/>
    <x v="0"/>
    <x v="22"/>
    <n v="3.24444444444444"/>
    <n v="1184.2222222222199"/>
    <n v="4263.2"/>
  </r>
  <r>
    <x v="0"/>
    <x v="0"/>
    <x v="0"/>
    <x v="0"/>
    <x v="0"/>
    <s v="DK1_Large"/>
    <x v="4"/>
    <s v="GNR_ENG_NGAS_BP_E-46"/>
    <x v="0"/>
    <x v="23"/>
    <n v="3.24444444444444"/>
    <n v="1184.2222222222199"/>
    <n v="4263.2"/>
  </r>
  <r>
    <x v="0"/>
    <x v="0"/>
    <x v="0"/>
    <x v="0"/>
    <x v="0"/>
    <s v="DK1_Large"/>
    <x v="4"/>
    <s v="GNR_ST_NGAS_EXT_E-47"/>
    <x v="0"/>
    <x v="6"/>
    <n v="67.112707763969098"/>
    <n v="24496.138333848699"/>
    <n v="88186.098001855396"/>
  </r>
  <r>
    <x v="0"/>
    <x v="0"/>
    <x v="0"/>
    <x v="0"/>
    <x v="0"/>
    <s v="DK1_Large"/>
    <x v="4"/>
    <s v="GNR_ST_NGAS_EXT_E-47"/>
    <x v="0"/>
    <x v="7"/>
    <n v="330.98115282917502"/>
    <n v="120808.120782649"/>
    <n v="434909.23481753602"/>
  </r>
  <r>
    <x v="0"/>
    <x v="0"/>
    <x v="0"/>
    <x v="0"/>
    <x v="0"/>
    <s v="DK1_Large"/>
    <x v="4"/>
    <s v="GNR_ST_NGAS_EXT_E-47"/>
    <x v="0"/>
    <x v="8"/>
    <n v="340.94463241620002"/>
    <n v="124444.79083191299"/>
    <n v="448001.24699488602"/>
  </r>
  <r>
    <x v="0"/>
    <x v="0"/>
    <x v="0"/>
    <x v="0"/>
    <x v="0"/>
    <s v="DK1_Large"/>
    <x v="4"/>
    <s v="GNR_ST_NGAS_EXT_E-47"/>
    <x v="0"/>
    <x v="9"/>
    <n v="45.706027190054698"/>
    <n v="16682.699924370001"/>
    <n v="60057.719727731899"/>
  </r>
  <r>
    <x v="0"/>
    <x v="0"/>
    <x v="0"/>
    <x v="0"/>
    <x v="0"/>
    <s v="DK1_Large"/>
    <x v="5"/>
    <s v="GNR_BO_STRW_E-100"/>
    <x v="0"/>
    <x v="0"/>
    <n v="10.78"/>
    <n v="3934.7"/>
    <n v="14164.92"/>
  </r>
  <r>
    <x v="0"/>
    <x v="0"/>
    <x v="0"/>
    <x v="0"/>
    <x v="0"/>
    <s v="DK1_Large"/>
    <x v="5"/>
    <s v="GNR_BO_STRW_E-100"/>
    <x v="0"/>
    <x v="1"/>
    <n v="10.78"/>
    <n v="3934.7"/>
    <n v="14164.92"/>
  </r>
  <r>
    <x v="0"/>
    <x v="0"/>
    <x v="0"/>
    <x v="0"/>
    <x v="0"/>
    <s v="DK1_Large"/>
    <x v="5"/>
    <s v="GNR_BO_STRW_E-100"/>
    <x v="0"/>
    <x v="2"/>
    <n v="10.78"/>
    <n v="3934.7"/>
    <n v="14164.92"/>
  </r>
  <r>
    <x v="0"/>
    <x v="0"/>
    <x v="0"/>
    <x v="0"/>
    <x v="0"/>
    <s v="DK1_Large"/>
    <x v="5"/>
    <s v="GNR_BO_STRW_E-100"/>
    <x v="0"/>
    <x v="3"/>
    <n v="10.78"/>
    <n v="3934.7"/>
    <n v="14164.92"/>
  </r>
  <r>
    <x v="0"/>
    <x v="0"/>
    <x v="0"/>
    <x v="0"/>
    <x v="0"/>
    <s v="DK1_Large"/>
    <x v="5"/>
    <s v="GNR_BO_STRW_E-100"/>
    <x v="0"/>
    <x v="4"/>
    <n v="10.78"/>
    <n v="3934.7"/>
    <n v="14164.92"/>
  </r>
  <r>
    <x v="0"/>
    <x v="0"/>
    <x v="0"/>
    <x v="0"/>
    <x v="0"/>
    <s v="DK1_Large"/>
    <x v="5"/>
    <s v="GNR_BO_STRW_E-100"/>
    <x v="0"/>
    <x v="5"/>
    <n v="10.78"/>
    <n v="3934.7"/>
    <n v="14164.92"/>
  </r>
  <r>
    <x v="0"/>
    <x v="0"/>
    <x v="0"/>
    <x v="0"/>
    <x v="0"/>
    <s v="DK1_Large"/>
    <x v="5"/>
    <s v="GNR_BO_STRW_E-100"/>
    <x v="0"/>
    <x v="6"/>
    <n v="10.78"/>
    <n v="3934.7"/>
    <n v="14164.92"/>
  </r>
  <r>
    <x v="0"/>
    <x v="0"/>
    <x v="0"/>
    <x v="0"/>
    <x v="0"/>
    <s v="DK1_Large"/>
    <x v="5"/>
    <s v="GNR_BO_STRW_E-100"/>
    <x v="0"/>
    <x v="7"/>
    <n v="10.78"/>
    <n v="3934.7"/>
    <n v="14164.92"/>
  </r>
  <r>
    <x v="0"/>
    <x v="0"/>
    <x v="0"/>
    <x v="0"/>
    <x v="0"/>
    <s v="DK1_Large"/>
    <x v="5"/>
    <s v="GNR_BO_STRW_E-100"/>
    <x v="0"/>
    <x v="8"/>
    <n v="10.78"/>
    <n v="3934.7"/>
    <n v="14164.92"/>
  </r>
  <r>
    <x v="0"/>
    <x v="0"/>
    <x v="0"/>
    <x v="0"/>
    <x v="0"/>
    <s v="DK1_Large"/>
    <x v="5"/>
    <s v="GNR_BO_STRW_E-100"/>
    <x v="0"/>
    <x v="9"/>
    <n v="10.78"/>
    <n v="3934.7"/>
    <n v="14164.92"/>
  </r>
  <r>
    <x v="0"/>
    <x v="0"/>
    <x v="0"/>
    <x v="0"/>
    <x v="0"/>
    <s v="DK1_Large"/>
    <x v="5"/>
    <s v="GNR_BO_STRW_E-100"/>
    <x v="0"/>
    <x v="10"/>
    <n v="10.78"/>
    <n v="3934.7"/>
    <n v="14164.92"/>
  </r>
  <r>
    <x v="0"/>
    <x v="0"/>
    <x v="0"/>
    <x v="0"/>
    <x v="0"/>
    <s v="DK1_Large"/>
    <x v="5"/>
    <s v="GNR_BO_STRW_E-100"/>
    <x v="0"/>
    <x v="11"/>
    <n v="10.78"/>
    <n v="3934.7"/>
    <n v="14164.92"/>
  </r>
  <r>
    <x v="0"/>
    <x v="0"/>
    <x v="0"/>
    <x v="0"/>
    <x v="0"/>
    <s v="DK1_Large"/>
    <x v="5"/>
    <s v="GNR_BO_STRW_E-100"/>
    <x v="0"/>
    <x v="12"/>
    <n v="10.78"/>
    <n v="3934.7"/>
    <n v="14164.92"/>
  </r>
  <r>
    <x v="0"/>
    <x v="0"/>
    <x v="0"/>
    <x v="0"/>
    <x v="0"/>
    <s v="DK1_Large"/>
    <x v="5"/>
    <s v="GNR_BO_STRW_E-100"/>
    <x v="0"/>
    <x v="13"/>
    <n v="10.78"/>
    <n v="3934.7"/>
    <n v="14164.92"/>
  </r>
  <r>
    <x v="0"/>
    <x v="0"/>
    <x v="0"/>
    <x v="0"/>
    <x v="0"/>
    <s v="DK1_Large"/>
    <x v="5"/>
    <s v="GNR_BO_STRW_E-100"/>
    <x v="0"/>
    <x v="14"/>
    <n v="10.78"/>
    <n v="3934.7"/>
    <n v="14164.92"/>
  </r>
  <r>
    <x v="0"/>
    <x v="0"/>
    <x v="0"/>
    <x v="0"/>
    <x v="0"/>
    <s v="DK1_Large"/>
    <x v="5"/>
    <s v="GNR_BO_STRW_E-100"/>
    <x v="0"/>
    <x v="15"/>
    <n v="10.78"/>
    <n v="3934.7"/>
    <n v="14164.92"/>
  </r>
  <r>
    <x v="0"/>
    <x v="0"/>
    <x v="0"/>
    <x v="0"/>
    <x v="0"/>
    <s v="DK1_Large"/>
    <x v="5"/>
    <s v="GNR_BO_STRW_E-100"/>
    <x v="0"/>
    <x v="16"/>
    <n v="10.78"/>
    <n v="3934.7"/>
    <n v="14164.92"/>
  </r>
  <r>
    <x v="0"/>
    <x v="0"/>
    <x v="0"/>
    <x v="0"/>
    <x v="0"/>
    <s v="DK1_Large"/>
    <x v="5"/>
    <s v="GNR_BO_STRW_E-100"/>
    <x v="0"/>
    <x v="17"/>
    <n v="10.78"/>
    <n v="3934.7"/>
    <n v="14164.92"/>
  </r>
  <r>
    <x v="0"/>
    <x v="0"/>
    <x v="0"/>
    <x v="0"/>
    <x v="0"/>
    <s v="DK1_Large"/>
    <x v="5"/>
    <s v="GNR_BO_STRW_E-100"/>
    <x v="0"/>
    <x v="18"/>
    <n v="10.78"/>
    <n v="3934.7"/>
    <n v="14164.92"/>
  </r>
  <r>
    <x v="0"/>
    <x v="0"/>
    <x v="0"/>
    <x v="0"/>
    <x v="0"/>
    <s v="DK1_Large"/>
    <x v="5"/>
    <s v="GNR_BO_STRW_E-100"/>
    <x v="0"/>
    <x v="19"/>
    <n v="10.78"/>
    <n v="3934.7"/>
    <n v="14164.92"/>
  </r>
  <r>
    <x v="0"/>
    <x v="0"/>
    <x v="0"/>
    <x v="0"/>
    <x v="0"/>
    <s v="DK1_Large"/>
    <x v="5"/>
    <s v="GNR_BO_STRW_E-100"/>
    <x v="0"/>
    <x v="20"/>
    <n v="10.78"/>
    <n v="3934.7"/>
    <n v="14164.92"/>
  </r>
  <r>
    <x v="0"/>
    <x v="0"/>
    <x v="0"/>
    <x v="0"/>
    <x v="0"/>
    <s v="DK1_Large"/>
    <x v="5"/>
    <s v="GNR_BO_STRW_E-100"/>
    <x v="0"/>
    <x v="21"/>
    <n v="10.78"/>
    <n v="3934.7"/>
    <n v="14164.92"/>
  </r>
  <r>
    <x v="0"/>
    <x v="0"/>
    <x v="0"/>
    <x v="0"/>
    <x v="0"/>
    <s v="DK1_Large"/>
    <x v="5"/>
    <s v="GNR_BO_STRW_E-100"/>
    <x v="0"/>
    <x v="22"/>
    <n v="10.78"/>
    <n v="3934.7"/>
    <n v="14164.92"/>
  </r>
  <r>
    <x v="0"/>
    <x v="0"/>
    <x v="0"/>
    <x v="0"/>
    <x v="0"/>
    <s v="DK1_Large"/>
    <x v="5"/>
    <s v="GNR_BO_STRW_E-100"/>
    <x v="0"/>
    <x v="23"/>
    <n v="10.78"/>
    <n v="3934.7"/>
    <n v="14164.92"/>
  </r>
  <r>
    <x v="0"/>
    <x v="0"/>
    <x v="0"/>
    <x v="0"/>
    <x v="0"/>
    <s v="DK1_Large"/>
    <x v="5"/>
    <s v="GNR_BO_STRW_E-102"/>
    <x v="0"/>
    <x v="0"/>
    <n v="6.3"/>
    <n v="2299.5"/>
    <n v="8278.2000000000007"/>
  </r>
  <r>
    <x v="0"/>
    <x v="0"/>
    <x v="0"/>
    <x v="0"/>
    <x v="0"/>
    <s v="DK1_Large"/>
    <x v="5"/>
    <s v="GNR_BO_STRW_E-102"/>
    <x v="0"/>
    <x v="1"/>
    <n v="6.3"/>
    <n v="2299.5"/>
    <n v="8278.2000000000007"/>
  </r>
  <r>
    <x v="0"/>
    <x v="0"/>
    <x v="0"/>
    <x v="0"/>
    <x v="0"/>
    <s v="DK1_Large"/>
    <x v="5"/>
    <s v="GNR_BO_STRW_E-102"/>
    <x v="0"/>
    <x v="2"/>
    <n v="6.3"/>
    <n v="2299.5"/>
    <n v="8278.2000000000007"/>
  </r>
  <r>
    <x v="0"/>
    <x v="0"/>
    <x v="0"/>
    <x v="0"/>
    <x v="0"/>
    <s v="DK1_Large"/>
    <x v="5"/>
    <s v="GNR_BO_STRW_E-102"/>
    <x v="0"/>
    <x v="3"/>
    <n v="6.3"/>
    <n v="2299.5"/>
    <n v="8278.2000000000007"/>
  </r>
  <r>
    <x v="0"/>
    <x v="0"/>
    <x v="0"/>
    <x v="0"/>
    <x v="0"/>
    <s v="DK1_Large"/>
    <x v="5"/>
    <s v="GNR_BO_STRW_E-102"/>
    <x v="0"/>
    <x v="4"/>
    <n v="6.3"/>
    <n v="2299.5"/>
    <n v="8278.2000000000007"/>
  </r>
  <r>
    <x v="0"/>
    <x v="0"/>
    <x v="0"/>
    <x v="0"/>
    <x v="0"/>
    <s v="DK1_Large"/>
    <x v="5"/>
    <s v="GNR_BO_STRW_E-102"/>
    <x v="0"/>
    <x v="5"/>
    <n v="6.3"/>
    <n v="2299.5"/>
    <n v="8278.2000000000007"/>
  </r>
  <r>
    <x v="0"/>
    <x v="0"/>
    <x v="0"/>
    <x v="0"/>
    <x v="0"/>
    <s v="DK1_Large"/>
    <x v="5"/>
    <s v="GNR_BO_STRW_E-102"/>
    <x v="0"/>
    <x v="6"/>
    <n v="6.3"/>
    <n v="2299.5"/>
    <n v="8278.2000000000007"/>
  </r>
  <r>
    <x v="0"/>
    <x v="0"/>
    <x v="0"/>
    <x v="0"/>
    <x v="0"/>
    <s v="DK1_Large"/>
    <x v="5"/>
    <s v="GNR_BO_STRW_E-102"/>
    <x v="0"/>
    <x v="7"/>
    <n v="6.3"/>
    <n v="2299.5"/>
    <n v="8278.2000000000007"/>
  </r>
  <r>
    <x v="0"/>
    <x v="0"/>
    <x v="0"/>
    <x v="0"/>
    <x v="0"/>
    <s v="DK1_Large"/>
    <x v="5"/>
    <s v="GNR_BO_STRW_E-102"/>
    <x v="0"/>
    <x v="8"/>
    <n v="6.3"/>
    <n v="2299.5"/>
    <n v="8278.2000000000007"/>
  </r>
  <r>
    <x v="0"/>
    <x v="0"/>
    <x v="0"/>
    <x v="0"/>
    <x v="0"/>
    <s v="DK1_Large"/>
    <x v="5"/>
    <s v="GNR_BO_STRW_E-102"/>
    <x v="0"/>
    <x v="9"/>
    <n v="6.3"/>
    <n v="2299.5"/>
    <n v="8278.2000000000007"/>
  </r>
  <r>
    <x v="0"/>
    <x v="0"/>
    <x v="0"/>
    <x v="0"/>
    <x v="0"/>
    <s v="DK1_Large"/>
    <x v="5"/>
    <s v="GNR_BO_STRW_E-102"/>
    <x v="0"/>
    <x v="10"/>
    <n v="6.3"/>
    <n v="2299.5"/>
    <n v="8278.2000000000007"/>
  </r>
  <r>
    <x v="0"/>
    <x v="0"/>
    <x v="0"/>
    <x v="0"/>
    <x v="0"/>
    <s v="DK1_Large"/>
    <x v="5"/>
    <s v="GNR_BO_STRW_E-102"/>
    <x v="0"/>
    <x v="11"/>
    <n v="6.3"/>
    <n v="2299.5"/>
    <n v="8278.2000000000007"/>
  </r>
  <r>
    <x v="0"/>
    <x v="0"/>
    <x v="0"/>
    <x v="0"/>
    <x v="0"/>
    <s v="DK1_Large"/>
    <x v="5"/>
    <s v="GNR_BO_STRW_E-102"/>
    <x v="0"/>
    <x v="12"/>
    <n v="6.3"/>
    <n v="2299.5"/>
    <n v="8278.2000000000007"/>
  </r>
  <r>
    <x v="0"/>
    <x v="0"/>
    <x v="0"/>
    <x v="0"/>
    <x v="0"/>
    <s v="DK1_Large"/>
    <x v="5"/>
    <s v="GNR_BO_STRW_E-102"/>
    <x v="0"/>
    <x v="13"/>
    <n v="6.3"/>
    <n v="2299.5"/>
    <n v="8278.2000000000007"/>
  </r>
  <r>
    <x v="0"/>
    <x v="0"/>
    <x v="0"/>
    <x v="0"/>
    <x v="0"/>
    <s v="DK1_Large"/>
    <x v="5"/>
    <s v="GNR_BO_STRW_E-102"/>
    <x v="0"/>
    <x v="14"/>
    <n v="6.3"/>
    <n v="2299.5"/>
    <n v="8278.2000000000007"/>
  </r>
  <r>
    <x v="0"/>
    <x v="0"/>
    <x v="0"/>
    <x v="0"/>
    <x v="0"/>
    <s v="DK1_Large"/>
    <x v="5"/>
    <s v="GNR_BO_STRW_E-102"/>
    <x v="0"/>
    <x v="15"/>
    <n v="6.3"/>
    <n v="2299.5"/>
    <n v="8278.2000000000007"/>
  </r>
  <r>
    <x v="0"/>
    <x v="0"/>
    <x v="0"/>
    <x v="0"/>
    <x v="0"/>
    <s v="DK1_Large"/>
    <x v="5"/>
    <s v="GNR_BO_STRW_E-102"/>
    <x v="0"/>
    <x v="16"/>
    <n v="6.3"/>
    <n v="2299.5"/>
    <n v="8278.2000000000007"/>
  </r>
  <r>
    <x v="0"/>
    <x v="0"/>
    <x v="0"/>
    <x v="0"/>
    <x v="0"/>
    <s v="DK1_Large"/>
    <x v="5"/>
    <s v="GNR_BO_STRW_E-102"/>
    <x v="0"/>
    <x v="17"/>
    <n v="6.3"/>
    <n v="2299.5"/>
    <n v="8278.2000000000007"/>
  </r>
  <r>
    <x v="0"/>
    <x v="0"/>
    <x v="0"/>
    <x v="0"/>
    <x v="0"/>
    <s v="DK1_Large"/>
    <x v="5"/>
    <s v="GNR_BO_STRW_E-102"/>
    <x v="0"/>
    <x v="18"/>
    <n v="6.3"/>
    <n v="2299.5"/>
    <n v="8278.2000000000007"/>
  </r>
  <r>
    <x v="0"/>
    <x v="0"/>
    <x v="0"/>
    <x v="0"/>
    <x v="0"/>
    <s v="DK1_Large"/>
    <x v="5"/>
    <s v="GNR_BO_STRW_E-102"/>
    <x v="0"/>
    <x v="19"/>
    <n v="6.3"/>
    <n v="2299.5"/>
    <n v="8278.2000000000007"/>
  </r>
  <r>
    <x v="0"/>
    <x v="0"/>
    <x v="0"/>
    <x v="0"/>
    <x v="0"/>
    <s v="DK1_Large"/>
    <x v="5"/>
    <s v="GNR_BO_STRW_E-102"/>
    <x v="0"/>
    <x v="20"/>
    <n v="6.3"/>
    <n v="2299.5"/>
    <n v="8278.2000000000007"/>
  </r>
  <r>
    <x v="0"/>
    <x v="0"/>
    <x v="0"/>
    <x v="0"/>
    <x v="0"/>
    <s v="DK1_Large"/>
    <x v="5"/>
    <s v="GNR_BO_STRW_E-102"/>
    <x v="0"/>
    <x v="21"/>
    <n v="6.3"/>
    <n v="2299.5"/>
    <n v="8278.2000000000007"/>
  </r>
  <r>
    <x v="0"/>
    <x v="0"/>
    <x v="0"/>
    <x v="0"/>
    <x v="0"/>
    <s v="DK1_Large"/>
    <x v="5"/>
    <s v="GNR_BO_STRW_E-102"/>
    <x v="0"/>
    <x v="22"/>
    <n v="6.3"/>
    <n v="2299.5"/>
    <n v="8278.2000000000007"/>
  </r>
  <r>
    <x v="0"/>
    <x v="0"/>
    <x v="0"/>
    <x v="0"/>
    <x v="0"/>
    <s v="DK1_Large"/>
    <x v="5"/>
    <s v="GNR_BO_STRW_E-102"/>
    <x v="0"/>
    <x v="23"/>
    <n v="6.3"/>
    <n v="2299.5"/>
    <n v="8278.2000000000007"/>
  </r>
  <r>
    <x v="0"/>
    <x v="0"/>
    <x v="0"/>
    <x v="0"/>
    <x v="0"/>
    <s v="DK1_Large"/>
    <x v="5"/>
    <s v="GNR_ST_STRW_BP_E-26"/>
    <x v="0"/>
    <x v="0"/>
    <n v="69.716740415670401"/>
    <n v="25446.6102517197"/>
    <n v="91607.796906190997"/>
  </r>
  <r>
    <x v="0"/>
    <x v="0"/>
    <x v="0"/>
    <x v="0"/>
    <x v="0"/>
    <s v="DK1_Large"/>
    <x v="5"/>
    <s v="GNR_ST_STRW_BP_E-26"/>
    <x v="0"/>
    <x v="1"/>
    <n v="69.716740415670401"/>
    <n v="25446.6102517197"/>
    <n v="91607.796906190997"/>
  </r>
  <r>
    <x v="0"/>
    <x v="0"/>
    <x v="0"/>
    <x v="0"/>
    <x v="0"/>
    <s v="DK1_Large"/>
    <x v="5"/>
    <s v="GNR_ST_STRW_BP_E-26"/>
    <x v="0"/>
    <x v="2"/>
    <n v="69.716740415670401"/>
    <n v="25446.6102517197"/>
    <n v="91607.796906190997"/>
  </r>
  <r>
    <x v="0"/>
    <x v="0"/>
    <x v="0"/>
    <x v="0"/>
    <x v="0"/>
    <s v="DK1_Large"/>
    <x v="5"/>
    <s v="GNR_ST_STRW_BP_E-26"/>
    <x v="0"/>
    <x v="3"/>
    <n v="69.716740415670401"/>
    <n v="25446.6102517197"/>
    <n v="91607.796906190997"/>
  </r>
  <r>
    <x v="0"/>
    <x v="0"/>
    <x v="0"/>
    <x v="0"/>
    <x v="0"/>
    <s v="DK1_Large"/>
    <x v="5"/>
    <s v="GNR_ST_STRW_BP_E-26"/>
    <x v="0"/>
    <x v="4"/>
    <n v="69.716740415670401"/>
    <n v="25446.6102517197"/>
    <n v="91607.796906190997"/>
  </r>
  <r>
    <x v="0"/>
    <x v="0"/>
    <x v="0"/>
    <x v="0"/>
    <x v="0"/>
    <s v="DK1_Large"/>
    <x v="5"/>
    <s v="GNR_ST_STRW_BP_E-26"/>
    <x v="0"/>
    <x v="5"/>
    <n v="69.716740415670401"/>
    <n v="25446.6102517197"/>
    <n v="91607.796906190997"/>
  </r>
  <r>
    <x v="0"/>
    <x v="0"/>
    <x v="0"/>
    <x v="0"/>
    <x v="0"/>
    <s v="DK1_Large"/>
    <x v="5"/>
    <s v="GNR_ST_STRW_BP_E-26"/>
    <x v="0"/>
    <x v="6"/>
    <n v="69.716740415670401"/>
    <n v="25446.6102517197"/>
    <n v="91607.796906190997"/>
  </r>
  <r>
    <x v="0"/>
    <x v="0"/>
    <x v="0"/>
    <x v="0"/>
    <x v="0"/>
    <s v="DK1_Large"/>
    <x v="5"/>
    <s v="GNR_ST_STRW_BP_E-26"/>
    <x v="0"/>
    <x v="7"/>
    <n v="69.716740415670401"/>
    <n v="25446.6102517197"/>
    <n v="91607.796906190997"/>
  </r>
  <r>
    <x v="0"/>
    <x v="0"/>
    <x v="0"/>
    <x v="0"/>
    <x v="0"/>
    <s v="DK1_Large"/>
    <x v="5"/>
    <s v="GNR_ST_STRW_BP_E-26"/>
    <x v="0"/>
    <x v="8"/>
    <n v="69.716740415670401"/>
    <n v="25446.6102517197"/>
    <n v="91607.796906190997"/>
  </r>
  <r>
    <x v="0"/>
    <x v="0"/>
    <x v="0"/>
    <x v="0"/>
    <x v="0"/>
    <s v="DK1_Large"/>
    <x v="5"/>
    <s v="GNR_ST_STRW_BP_E-26"/>
    <x v="0"/>
    <x v="9"/>
    <n v="69.716740415670401"/>
    <n v="25446.6102517197"/>
    <n v="91607.796906190997"/>
  </r>
  <r>
    <x v="0"/>
    <x v="0"/>
    <x v="0"/>
    <x v="0"/>
    <x v="0"/>
    <s v="DK1_Large"/>
    <x v="5"/>
    <s v="GNR_ST_STRW_BP_E-26"/>
    <x v="0"/>
    <x v="10"/>
    <n v="69.716740415670401"/>
    <n v="25446.6102517197"/>
    <n v="91607.796906190997"/>
  </r>
  <r>
    <x v="0"/>
    <x v="0"/>
    <x v="0"/>
    <x v="0"/>
    <x v="0"/>
    <s v="DK1_Large"/>
    <x v="5"/>
    <s v="GNR_ST_STRW_BP_E-26"/>
    <x v="0"/>
    <x v="11"/>
    <n v="69.716740415670401"/>
    <n v="25446.6102517197"/>
    <n v="91607.796906190997"/>
  </r>
  <r>
    <x v="0"/>
    <x v="0"/>
    <x v="0"/>
    <x v="0"/>
    <x v="0"/>
    <s v="DK1_Large"/>
    <x v="5"/>
    <s v="GNR_ST_STRW_BP_E-26"/>
    <x v="0"/>
    <x v="12"/>
    <n v="69.716740415670401"/>
    <n v="25446.6102517197"/>
    <n v="91607.796906190997"/>
  </r>
  <r>
    <x v="0"/>
    <x v="0"/>
    <x v="0"/>
    <x v="0"/>
    <x v="0"/>
    <s v="DK1_Large"/>
    <x v="5"/>
    <s v="GNR_ST_STRW_BP_E-26"/>
    <x v="0"/>
    <x v="13"/>
    <n v="69.716740415670401"/>
    <n v="25446.6102517197"/>
    <n v="91607.796906190997"/>
  </r>
  <r>
    <x v="0"/>
    <x v="0"/>
    <x v="0"/>
    <x v="0"/>
    <x v="0"/>
    <s v="DK1_Large"/>
    <x v="5"/>
    <s v="GNR_ST_STRW_BP_E-26"/>
    <x v="0"/>
    <x v="14"/>
    <n v="69.716740415670401"/>
    <n v="25446.6102517197"/>
    <n v="91607.796906190997"/>
  </r>
  <r>
    <x v="0"/>
    <x v="0"/>
    <x v="0"/>
    <x v="0"/>
    <x v="0"/>
    <s v="DK1_Large"/>
    <x v="5"/>
    <s v="GNR_ST_STRW_BP_E-26"/>
    <x v="0"/>
    <x v="15"/>
    <n v="69.716740415670401"/>
    <n v="25446.6102517197"/>
    <n v="91607.796906190997"/>
  </r>
  <r>
    <x v="0"/>
    <x v="0"/>
    <x v="0"/>
    <x v="0"/>
    <x v="0"/>
    <s v="DK1_Large"/>
    <x v="5"/>
    <s v="GNR_ST_STRW_BP_E-26"/>
    <x v="0"/>
    <x v="16"/>
    <n v="69.716740415670401"/>
    <n v="25446.6102517197"/>
    <n v="91607.796906190997"/>
  </r>
  <r>
    <x v="0"/>
    <x v="0"/>
    <x v="0"/>
    <x v="0"/>
    <x v="0"/>
    <s v="DK1_Large"/>
    <x v="5"/>
    <s v="GNR_ST_STRW_BP_E-26"/>
    <x v="0"/>
    <x v="17"/>
    <n v="69.716740415670401"/>
    <n v="25446.6102517197"/>
    <n v="91607.796906190997"/>
  </r>
  <r>
    <x v="0"/>
    <x v="0"/>
    <x v="0"/>
    <x v="0"/>
    <x v="0"/>
    <s v="DK1_Large"/>
    <x v="5"/>
    <s v="GNR_ST_STRW_BP_E-26"/>
    <x v="0"/>
    <x v="18"/>
    <n v="69.716740415670401"/>
    <n v="25446.6102517197"/>
    <n v="91607.796906190997"/>
  </r>
  <r>
    <x v="0"/>
    <x v="0"/>
    <x v="0"/>
    <x v="0"/>
    <x v="0"/>
    <s v="DK1_Large"/>
    <x v="5"/>
    <s v="GNR_ST_STRW_BP_E-26"/>
    <x v="0"/>
    <x v="19"/>
    <n v="69.716740415670401"/>
    <n v="25446.6102517197"/>
    <n v="91607.796906190997"/>
  </r>
  <r>
    <x v="0"/>
    <x v="0"/>
    <x v="0"/>
    <x v="0"/>
    <x v="0"/>
    <s v="DK1_Large"/>
    <x v="5"/>
    <s v="GNR_ST_STRW_BP_E-26"/>
    <x v="0"/>
    <x v="20"/>
    <n v="69.716740415670401"/>
    <n v="25446.6102517197"/>
    <n v="91607.796906190997"/>
  </r>
  <r>
    <x v="0"/>
    <x v="0"/>
    <x v="0"/>
    <x v="0"/>
    <x v="0"/>
    <s v="DK1_Large"/>
    <x v="5"/>
    <s v="GNR_ST_STRW_BP_E-26"/>
    <x v="0"/>
    <x v="21"/>
    <n v="69.716740415670401"/>
    <n v="25446.6102517197"/>
    <n v="91607.796906190997"/>
  </r>
  <r>
    <x v="0"/>
    <x v="0"/>
    <x v="0"/>
    <x v="0"/>
    <x v="0"/>
    <s v="DK1_Large"/>
    <x v="5"/>
    <s v="GNR_ST_STRW_BP_E-26"/>
    <x v="0"/>
    <x v="22"/>
    <n v="69.716740415670401"/>
    <n v="25446.6102517197"/>
    <n v="91607.796906190997"/>
  </r>
  <r>
    <x v="0"/>
    <x v="0"/>
    <x v="0"/>
    <x v="0"/>
    <x v="0"/>
    <s v="DK1_Large"/>
    <x v="5"/>
    <s v="GNR_ST_STRW_BP_E-26"/>
    <x v="0"/>
    <x v="23"/>
    <n v="69.716740415670401"/>
    <n v="25446.6102517197"/>
    <n v="91607.796906190997"/>
  </r>
  <r>
    <x v="0"/>
    <x v="0"/>
    <x v="0"/>
    <x v="0"/>
    <x v="0"/>
    <s v="DK1_Large"/>
    <x v="6"/>
    <s v="GNR_EH_HEAT"/>
    <x v="0"/>
    <x v="0"/>
    <n v="174.14"/>
    <n v="63561.1"/>
    <n v="228819.96"/>
  </r>
  <r>
    <x v="0"/>
    <x v="0"/>
    <x v="0"/>
    <x v="0"/>
    <x v="0"/>
    <s v="DK1_Large"/>
    <x v="6"/>
    <s v="GNR_EH_HEAT"/>
    <x v="0"/>
    <x v="1"/>
    <n v="174.14"/>
    <n v="63561.1"/>
    <n v="228819.96"/>
  </r>
  <r>
    <x v="0"/>
    <x v="0"/>
    <x v="0"/>
    <x v="0"/>
    <x v="0"/>
    <s v="DK1_Large"/>
    <x v="6"/>
    <s v="GNR_EH_HEAT"/>
    <x v="0"/>
    <x v="2"/>
    <n v="174.14"/>
    <n v="63561.1"/>
    <n v="228819.96"/>
  </r>
  <r>
    <x v="0"/>
    <x v="0"/>
    <x v="0"/>
    <x v="0"/>
    <x v="0"/>
    <s v="DK1_Large"/>
    <x v="6"/>
    <s v="GNR_EH_HEAT"/>
    <x v="0"/>
    <x v="3"/>
    <n v="174.14"/>
    <n v="63561.1"/>
    <n v="228819.96"/>
  </r>
  <r>
    <x v="0"/>
    <x v="0"/>
    <x v="0"/>
    <x v="0"/>
    <x v="0"/>
    <s v="DK1_Large"/>
    <x v="6"/>
    <s v="GNR_EH_HEAT"/>
    <x v="0"/>
    <x v="4"/>
    <n v="174.14"/>
    <n v="63561.1"/>
    <n v="228819.96"/>
  </r>
  <r>
    <x v="0"/>
    <x v="0"/>
    <x v="0"/>
    <x v="0"/>
    <x v="0"/>
    <s v="DK1_Large"/>
    <x v="6"/>
    <s v="GNR_EH_HEAT"/>
    <x v="0"/>
    <x v="5"/>
    <n v="174.14"/>
    <n v="63561.1"/>
    <n v="228819.96"/>
  </r>
  <r>
    <x v="0"/>
    <x v="0"/>
    <x v="0"/>
    <x v="0"/>
    <x v="0"/>
    <s v="DK1_Large"/>
    <x v="6"/>
    <s v="GNR_EH_HEAT"/>
    <x v="0"/>
    <x v="6"/>
    <n v="174.14"/>
    <n v="63561.1"/>
    <n v="228819.96"/>
  </r>
  <r>
    <x v="0"/>
    <x v="0"/>
    <x v="0"/>
    <x v="0"/>
    <x v="0"/>
    <s v="DK1_Large"/>
    <x v="6"/>
    <s v="GNR_EH_HEAT"/>
    <x v="0"/>
    <x v="7"/>
    <n v="174.14"/>
    <n v="63561.1"/>
    <n v="228819.96"/>
  </r>
  <r>
    <x v="0"/>
    <x v="0"/>
    <x v="0"/>
    <x v="0"/>
    <x v="0"/>
    <s v="DK1_Large"/>
    <x v="6"/>
    <s v="GNR_EH_HEAT"/>
    <x v="0"/>
    <x v="8"/>
    <n v="174.14"/>
    <n v="63561.1"/>
    <n v="228819.96"/>
  </r>
  <r>
    <x v="0"/>
    <x v="0"/>
    <x v="0"/>
    <x v="0"/>
    <x v="0"/>
    <s v="DK1_Large"/>
    <x v="6"/>
    <s v="GNR_EH_HEAT"/>
    <x v="0"/>
    <x v="9"/>
    <n v="174.14"/>
    <n v="63561.1"/>
    <n v="228819.96"/>
  </r>
  <r>
    <x v="0"/>
    <x v="0"/>
    <x v="0"/>
    <x v="0"/>
    <x v="0"/>
    <s v="DK1_Large"/>
    <x v="6"/>
    <s v="GNR_EH_HEAT"/>
    <x v="0"/>
    <x v="10"/>
    <n v="174.14"/>
    <n v="63561.1"/>
    <n v="228819.96"/>
  </r>
  <r>
    <x v="0"/>
    <x v="0"/>
    <x v="0"/>
    <x v="0"/>
    <x v="0"/>
    <s v="DK1_Large"/>
    <x v="6"/>
    <s v="GNR_EH_HEAT"/>
    <x v="0"/>
    <x v="11"/>
    <n v="174.14"/>
    <n v="63561.1"/>
    <n v="228819.96"/>
  </r>
  <r>
    <x v="0"/>
    <x v="0"/>
    <x v="0"/>
    <x v="0"/>
    <x v="0"/>
    <s v="DK1_Large"/>
    <x v="6"/>
    <s v="GNR_EH_HEAT"/>
    <x v="0"/>
    <x v="12"/>
    <n v="174.14"/>
    <n v="63561.1"/>
    <n v="228819.96"/>
  </r>
  <r>
    <x v="0"/>
    <x v="0"/>
    <x v="0"/>
    <x v="0"/>
    <x v="0"/>
    <s v="DK1_Large"/>
    <x v="6"/>
    <s v="GNR_EH_HEAT"/>
    <x v="0"/>
    <x v="13"/>
    <n v="174.14"/>
    <n v="63561.1"/>
    <n v="228819.96"/>
  </r>
  <r>
    <x v="0"/>
    <x v="0"/>
    <x v="0"/>
    <x v="0"/>
    <x v="0"/>
    <s v="DK1_Large"/>
    <x v="6"/>
    <s v="GNR_EH_HEAT"/>
    <x v="0"/>
    <x v="14"/>
    <n v="174.14"/>
    <n v="63561.1"/>
    <n v="228819.96"/>
  </r>
  <r>
    <x v="0"/>
    <x v="0"/>
    <x v="0"/>
    <x v="0"/>
    <x v="0"/>
    <s v="DK1_Large"/>
    <x v="6"/>
    <s v="GNR_EH_HEAT"/>
    <x v="0"/>
    <x v="15"/>
    <n v="174.14"/>
    <n v="63561.1"/>
    <n v="228819.96"/>
  </r>
  <r>
    <x v="0"/>
    <x v="0"/>
    <x v="0"/>
    <x v="0"/>
    <x v="0"/>
    <s v="DK1_Large"/>
    <x v="6"/>
    <s v="GNR_EH_HEAT"/>
    <x v="0"/>
    <x v="16"/>
    <n v="174.14"/>
    <n v="63561.1"/>
    <n v="228819.96"/>
  </r>
  <r>
    <x v="0"/>
    <x v="0"/>
    <x v="0"/>
    <x v="0"/>
    <x v="0"/>
    <s v="DK1_Large"/>
    <x v="6"/>
    <s v="GNR_EH_HEAT"/>
    <x v="0"/>
    <x v="17"/>
    <n v="174.14"/>
    <n v="63561.1"/>
    <n v="228819.96"/>
  </r>
  <r>
    <x v="0"/>
    <x v="0"/>
    <x v="0"/>
    <x v="0"/>
    <x v="0"/>
    <s v="DK1_Large"/>
    <x v="6"/>
    <s v="GNR_EH_HEAT"/>
    <x v="0"/>
    <x v="18"/>
    <n v="174.14"/>
    <n v="63561.1"/>
    <n v="228819.96"/>
  </r>
  <r>
    <x v="0"/>
    <x v="0"/>
    <x v="0"/>
    <x v="0"/>
    <x v="0"/>
    <s v="DK1_Large"/>
    <x v="6"/>
    <s v="GNR_EH_HEAT"/>
    <x v="0"/>
    <x v="19"/>
    <n v="174.14"/>
    <n v="63561.1"/>
    <n v="228819.96"/>
  </r>
  <r>
    <x v="0"/>
    <x v="0"/>
    <x v="0"/>
    <x v="0"/>
    <x v="0"/>
    <s v="DK1_Large"/>
    <x v="6"/>
    <s v="GNR_EH_HEAT"/>
    <x v="0"/>
    <x v="20"/>
    <n v="174.14"/>
    <n v="63561.1"/>
    <n v="228819.96"/>
  </r>
  <r>
    <x v="0"/>
    <x v="0"/>
    <x v="0"/>
    <x v="0"/>
    <x v="0"/>
    <s v="DK1_Large"/>
    <x v="6"/>
    <s v="GNR_EH_HEAT"/>
    <x v="0"/>
    <x v="21"/>
    <n v="174.14"/>
    <n v="63561.1"/>
    <n v="228819.96"/>
  </r>
  <r>
    <x v="0"/>
    <x v="0"/>
    <x v="0"/>
    <x v="0"/>
    <x v="0"/>
    <s v="DK1_Large"/>
    <x v="6"/>
    <s v="GNR_EH_HEAT"/>
    <x v="0"/>
    <x v="22"/>
    <n v="174.14"/>
    <n v="63561.1"/>
    <n v="228819.96"/>
  </r>
  <r>
    <x v="0"/>
    <x v="0"/>
    <x v="0"/>
    <x v="0"/>
    <x v="0"/>
    <s v="DK1_Large"/>
    <x v="6"/>
    <s v="GNR_EH_HEAT"/>
    <x v="0"/>
    <x v="23"/>
    <n v="174.14"/>
    <n v="63561.1"/>
    <n v="228819.96"/>
  </r>
  <r>
    <x v="0"/>
    <x v="0"/>
    <x v="0"/>
    <x v="0"/>
    <x v="0"/>
    <s v="DK1_Large"/>
    <x v="7"/>
    <s v="GNR_BO_WOODCHI_E-100"/>
    <x v="0"/>
    <x v="0"/>
    <n v="20"/>
    <n v="7300"/>
    <n v="26280"/>
  </r>
  <r>
    <x v="0"/>
    <x v="0"/>
    <x v="0"/>
    <x v="0"/>
    <x v="0"/>
    <s v="DK1_Large"/>
    <x v="7"/>
    <s v="GNR_BO_WOODCHI_E-100"/>
    <x v="0"/>
    <x v="1"/>
    <n v="20"/>
    <n v="7300"/>
    <n v="26280"/>
  </r>
  <r>
    <x v="0"/>
    <x v="0"/>
    <x v="0"/>
    <x v="0"/>
    <x v="0"/>
    <s v="DK1_Large"/>
    <x v="7"/>
    <s v="GNR_BO_WOODCHI_E-100"/>
    <x v="0"/>
    <x v="2"/>
    <n v="20"/>
    <n v="7300"/>
    <n v="26280"/>
  </r>
  <r>
    <x v="0"/>
    <x v="0"/>
    <x v="0"/>
    <x v="0"/>
    <x v="0"/>
    <s v="DK1_Large"/>
    <x v="7"/>
    <s v="GNR_BO_WOODCHI_E-100"/>
    <x v="0"/>
    <x v="3"/>
    <n v="20"/>
    <n v="7300"/>
    <n v="26280"/>
  </r>
  <r>
    <x v="0"/>
    <x v="0"/>
    <x v="0"/>
    <x v="0"/>
    <x v="0"/>
    <s v="DK1_Large"/>
    <x v="7"/>
    <s v="GNR_BO_WOODCHI_E-100"/>
    <x v="0"/>
    <x v="4"/>
    <n v="20"/>
    <n v="7300"/>
    <n v="26280"/>
  </r>
  <r>
    <x v="0"/>
    <x v="0"/>
    <x v="0"/>
    <x v="0"/>
    <x v="0"/>
    <s v="DK1_Large"/>
    <x v="7"/>
    <s v="GNR_BO_WOODCHI_E-100"/>
    <x v="0"/>
    <x v="5"/>
    <n v="20"/>
    <n v="7300"/>
    <n v="26280"/>
  </r>
  <r>
    <x v="0"/>
    <x v="0"/>
    <x v="0"/>
    <x v="0"/>
    <x v="0"/>
    <s v="DK1_Large"/>
    <x v="7"/>
    <s v="GNR_BO_WOODCHI_E-100"/>
    <x v="0"/>
    <x v="6"/>
    <n v="20"/>
    <n v="7300"/>
    <n v="26280"/>
  </r>
  <r>
    <x v="0"/>
    <x v="0"/>
    <x v="0"/>
    <x v="0"/>
    <x v="0"/>
    <s v="DK1_Large"/>
    <x v="7"/>
    <s v="GNR_BO_WOODCHI_E-100"/>
    <x v="0"/>
    <x v="7"/>
    <n v="20"/>
    <n v="7300"/>
    <n v="26280"/>
  </r>
  <r>
    <x v="0"/>
    <x v="0"/>
    <x v="0"/>
    <x v="0"/>
    <x v="0"/>
    <s v="DK1_Large"/>
    <x v="7"/>
    <s v="GNR_BO_WOODCHI_E-100"/>
    <x v="0"/>
    <x v="8"/>
    <n v="20"/>
    <n v="7300"/>
    <n v="26280"/>
  </r>
  <r>
    <x v="0"/>
    <x v="0"/>
    <x v="0"/>
    <x v="0"/>
    <x v="0"/>
    <s v="DK1_Large"/>
    <x v="7"/>
    <s v="GNR_BO_WOODCHI_E-100"/>
    <x v="0"/>
    <x v="9"/>
    <n v="20"/>
    <n v="7300"/>
    <n v="26280"/>
  </r>
  <r>
    <x v="0"/>
    <x v="0"/>
    <x v="0"/>
    <x v="0"/>
    <x v="0"/>
    <s v="DK1_Large"/>
    <x v="7"/>
    <s v="GNR_BO_WOODCHI_E-100"/>
    <x v="0"/>
    <x v="10"/>
    <n v="20"/>
    <n v="7300"/>
    <n v="26280"/>
  </r>
  <r>
    <x v="0"/>
    <x v="0"/>
    <x v="0"/>
    <x v="0"/>
    <x v="0"/>
    <s v="DK1_Large"/>
    <x v="7"/>
    <s v="GNR_BO_WOODCHI_E-100"/>
    <x v="0"/>
    <x v="11"/>
    <n v="20"/>
    <n v="7300"/>
    <n v="26280"/>
  </r>
  <r>
    <x v="0"/>
    <x v="0"/>
    <x v="0"/>
    <x v="0"/>
    <x v="0"/>
    <s v="DK1_Large"/>
    <x v="7"/>
    <s v="GNR_BO_WOODCHI_E-100"/>
    <x v="0"/>
    <x v="12"/>
    <n v="20"/>
    <n v="7300"/>
    <n v="26280"/>
  </r>
  <r>
    <x v="0"/>
    <x v="0"/>
    <x v="0"/>
    <x v="0"/>
    <x v="0"/>
    <s v="DK1_Large"/>
    <x v="7"/>
    <s v="GNR_BO_WOODCHI_E-100"/>
    <x v="0"/>
    <x v="13"/>
    <n v="20"/>
    <n v="7300"/>
    <n v="26280"/>
  </r>
  <r>
    <x v="0"/>
    <x v="0"/>
    <x v="0"/>
    <x v="0"/>
    <x v="0"/>
    <s v="DK1_Large"/>
    <x v="7"/>
    <s v="GNR_BO_WOODCHI_E-100"/>
    <x v="0"/>
    <x v="14"/>
    <n v="20"/>
    <n v="7300"/>
    <n v="26280"/>
  </r>
  <r>
    <x v="0"/>
    <x v="0"/>
    <x v="0"/>
    <x v="0"/>
    <x v="0"/>
    <s v="DK1_Large"/>
    <x v="7"/>
    <s v="GNR_BO_WOODCHI_E-100"/>
    <x v="0"/>
    <x v="15"/>
    <n v="20"/>
    <n v="7300"/>
    <n v="26280"/>
  </r>
  <r>
    <x v="0"/>
    <x v="0"/>
    <x v="0"/>
    <x v="0"/>
    <x v="0"/>
    <s v="DK1_Large"/>
    <x v="7"/>
    <s v="GNR_BO_WOODCHI_E-100"/>
    <x v="0"/>
    <x v="16"/>
    <n v="20"/>
    <n v="7300"/>
    <n v="26280"/>
  </r>
  <r>
    <x v="0"/>
    <x v="0"/>
    <x v="0"/>
    <x v="0"/>
    <x v="0"/>
    <s v="DK1_Large"/>
    <x v="7"/>
    <s v="GNR_BO_WOODCHI_E-100"/>
    <x v="0"/>
    <x v="17"/>
    <n v="20"/>
    <n v="7300"/>
    <n v="26280"/>
  </r>
  <r>
    <x v="0"/>
    <x v="0"/>
    <x v="0"/>
    <x v="0"/>
    <x v="0"/>
    <s v="DK1_Large"/>
    <x v="7"/>
    <s v="GNR_BO_WOODCHI_E-100"/>
    <x v="0"/>
    <x v="18"/>
    <n v="20"/>
    <n v="7300"/>
    <n v="26280"/>
  </r>
  <r>
    <x v="0"/>
    <x v="0"/>
    <x v="0"/>
    <x v="0"/>
    <x v="0"/>
    <s v="DK1_Large"/>
    <x v="7"/>
    <s v="GNR_BO_WOODCHI_E-100"/>
    <x v="0"/>
    <x v="19"/>
    <n v="20"/>
    <n v="7300"/>
    <n v="26280"/>
  </r>
  <r>
    <x v="0"/>
    <x v="0"/>
    <x v="0"/>
    <x v="0"/>
    <x v="0"/>
    <s v="DK1_Large"/>
    <x v="7"/>
    <s v="GNR_BO_WOODCHI_E-100"/>
    <x v="0"/>
    <x v="20"/>
    <n v="20"/>
    <n v="7300"/>
    <n v="26280"/>
  </r>
  <r>
    <x v="0"/>
    <x v="0"/>
    <x v="0"/>
    <x v="0"/>
    <x v="0"/>
    <s v="DK1_Large"/>
    <x v="7"/>
    <s v="GNR_BO_WOODCHI_E-100"/>
    <x v="0"/>
    <x v="21"/>
    <n v="20"/>
    <n v="7300"/>
    <n v="26280"/>
  </r>
  <r>
    <x v="0"/>
    <x v="0"/>
    <x v="0"/>
    <x v="0"/>
    <x v="0"/>
    <s v="DK1_Large"/>
    <x v="7"/>
    <s v="GNR_BO_WOODCHI_E-100"/>
    <x v="0"/>
    <x v="22"/>
    <n v="20"/>
    <n v="7300"/>
    <n v="26280"/>
  </r>
  <r>
    <x v="0"/>
    <x v="0"/>
    <x v="0"/>
    <x v="0"/>
    <x v="0"/>
    <s v="DK1_Large"/>
    <x v="7"/>
    <s v="GNR_BO_WOODCHI_E-100"/>
    <x v="0"/>
    <x v="23"/>
    <n v="20"/>
    <n v="7300"/>
    <n v="26280"/>
  </r>
  <r>
    <x v="0"/>
    <x v="0"/>
    <x v="0"/>
    <x v="0"/>
    <x v="0"/>
    <s v="DK1_Large"/>
    <x v="7"/>
    <s v="GNR_ST_WOODCHI_BP_E-23"/>
    <x v="0"/>
    <x v="0"/>
    <n v="22.0588235294118"/>
    <n v="8051.4705882352901"/>
    <n v="28985.294117647099"/>
  </r>
  <r>
    <x v="0"/>
    <x v="0"/>
    <x v="0"/>
    <x v="0"/>
    <x v="0"/>
    <s v="DK1_Large"/>
    <x v="7"/>
    <s v="GNR_ST_WOODCHI_BP_E-23"/>
    <x v="0"/>
    <x v="1"/>
    <n v="22.0588235294118"/>
    <n v="8051.4705882352901"/>
    <n v="28985.294117647099"/>
  </r>
  <r>
    <x v="0"/>
    <x v="0"/>
    <x v="0"/>
    <x v="0"/>
    <x v="0"/>
    <s v="DK1_Large"/>
    <x v="7"/>
    <s v="GNR_ST_WOODCHI_BP_E-23"/>
    <x v="0"/>
    <x v="2"/>
    <n v="22.0588235294118"/>
    <n v="8051.4705882352901"/>
    <n v="28985.294117647099"/>
  </r>
  <r>
    <x v="0"/>
    <x v="0"/>
    <x v="0"/>
    <x v="0"/>
    <x v="0"/>
    <s v="DK1_Large"/>
    <x v="7"/>
    <s v="GNR_ST_WOODCHI_BP_E-23"/>
    <x v="0"/>
    <x v="3"/>
    <n v="22.0588235294118"/>
    <n v="8051.4705882352901"/>
    <n v="28985.294117647099"/>
  </r>
  <r>
    <x v="0"/>
    <x v="0"/>
    <x v="0"/>
    <x v="0"/>
    <x v="0"/>
    <s v="DK1_Large"/>
    <x v="7"/>
    <s v="GNR_ST_WOODCHI_BP_E-23"/>
    <x v="0"/>
    <x v="4"/>
    <n v="22.0588235294118"/>
    <n v="8051.4705882352901"/>
    <n v="28985.294117647099"/>
  </r>
  <r>
    <x v="0"/>
    <x v="0"/>
    <x v="0"/>
    <x v="0"/>
    <x v="0"/>
    <s v="DK1_Large"/>
    <x v="7"/>
    <s v="GNR_ST_WOODCHI_BP_E-23"/>
    <x v="0"/>
    <x v="5"/>
    <n v="22.0588235294118"/>
    <n v="8051.4705882352901"/>
    <n v="28985.294117647099"/>
  </r>
  <r>
    <x v="0"/>
    <x v="0"/>
    <x v="0"/>
    <x v="0"/>
    <x v="0"/>
    <s v="DK1_Large"/>
    <x v="7"/>
    <s v="GNR_ST_WOODCHI_BP_E-23"/>
    <x v="0"/>
    <x v="6"/>
    <n v="22.0588235294118"/>
    <n v="8051.4705882352901"/>
    <n v="28985.294117647099"/>
  </r>
  <r>
    <x v="0"/>
    <x v="0"/>
    <x v="0"/>
    <x v="0"/>
    <x v="0"/>
    <s v="DK1_Large"/>
    <x v="7"/>
    <s v="GNR_ST_WOODCHI_BP_E-23"/>
    <x v="0"/>
    <x v="7"/>
    <n v="22.0588235294118"/>
    <n v="8051.4705882352901"/>
    <n v="28985.294117647099"/>
  </r>
  <r>
    <x v="0"/>
    <x v="0"/>
    <x v="0"/>
    <x v="0"/>
    <x v="0"/>
    <s v="DK1_Large"/>
    <x v="7"/>
    <s v="GNR_ST_WOODCHI_BP_E-23"/>
    <x v="0"/>
    <x v="8"/>
    <n v="22.0588235294118"/>
    <n v="8051.4705882352901"/>
    <n v="28985.294117647099"/>
  </r>
  <r>
    <x v="0"/>
    <x v="0"/>
    <x v="0"/>
    <x v="0"/>
    <x v="0"/>
    <s v="DK1_Large"/>
    <x v="7"/>
    <s v="GNR_ST_WOODCHI_BP_E-23"/>
    <x v="0"/>
    <x v="9"/>
    <n v="22.0588235294118"/>
    <n v="8051.4705882352901"/>
    <n v="28985.294117647099"/>
  </r>
  <r>
    <x v="0"/>
    <x v="0"/>
    <x v="0"/>
    <x v="0"/>
    <x v="0"/>
    <s v="DK1_Large"/>
    <x v="7"/>
    <s v="GNR_ST_WOODCHI_BP_E-23"/>
    <x v="0"/>
    <x v="10"/>
    <n v="22.0588235294118"/>
    <n v="8051.4705882352901"/>
    <n v="28985.294117647099"/>
  </r>
  <r>
    <x v="0"/>
    <x v="0"/>
    <x v="0"/>
    <x v="0"/>
    <x v="0"/>
    <s v="DK1_Large"/>
    <x v="7"/>
    <s v="GNR_ST_WOODCHI_BP_E-23"/>
    <x v="0"/>
    <x v="11"/>
    <n v="22.0588235294118"/>
    <n v="8051.4705882352901"/>
    <n v="28985.294117647099"/>
  </r>
  <r>
    <x v="0"/>
    <x v="0"/>
    <x v="0"/>
    <x v="0"/>
    <x v="0"/>
    <s v="DK1_Large"/>
    <x v="7"/>
    <s v="GNR_ST_WOODCHI_BP_E-23"/>
    <x v="0"/>
    <x v="12"/>
    <n v="22.0588235294118"/>
    <n v="8051.4705882352901"/>
    <n v="28985.294117647099"/>
  </r>
  <r>
    <x v="0"/>
    <x v="0"/>
    <x v="0"/>
    <x v="0"/>
    <x v="0"/>
    <s v="DK1_Large"/>
    <x v="7"/>
    <s v="GNR_ST_WOODCHI_BP_E-23"/>
    <x v="0"/>
    <x v="13"/>
    <n v="22.0588235294118"/>
    <n v="8051.4705882352901"/>
    <n v="28985.294117647099"/>
  </r>
  <r>
    <x v="0"/>
    <x v="0"/>
    <x v="0"/>
    <x v="0"/>
    <x v="0"/>
    <s v="DK1_Large"/>
    <x v="7"/>
    <s v="GNR_ST_WOODCHI_BP_E-23"/>
    <x v="0"/>
    <x v="14"/>
    <n v="22.0588235294118"/>
    <n v="8051.4705882352901"/>
    <n v="28985.294117647099"/>
  </r>
  <r>
    <x v="0"/>
    <x v="0"/>
    <x v="0"/>
    <x v="0"/>
    <x v="0"/>
    <s v="DK1_Large"/>
    <x v="7"/>
    <s v="GNR_ST_WOODCHI_BP_E-23"/>
    <x v="0"/>
    <x v="15"/>
    <n v="22.0588235294118"/>
    <n v="8051.4705882352901"/>
    <n v="28985.294117647099"/>
  </r>
  <r>
    <x v="0"/>
    <x v="0"/>
    <x v="0"/>
    <x v="0"/>
    <x v="0"/>
    <s v="DK1_Large"/>
    <x v="7"/>
    <s v="GNR_ST_WOODCHI_BP_E-23"/>
    <x v="0"/>
    <x v="16"/>
    <n v="22.0588235294118"/>
    <n v="8051.4705882352901"/>
    <n v="28985.294117647099"/>
  </r>
  <r>
    <x v="0"/>
    <x v="0"/>
    <x v="0"/>
    <x v="0"/>
    <x v="0"/>
    <s v="DK1_Large"/>
    <x v="7"/>
    <s v="GNR_ST_WOODCHI_BP_E-23"/>
    <x v="0"/>
    <x v="17"/>
    <n v="22.0588235294118"/>
    <n v="8051.4705882352901"/>
    <n v="28985.294117647099"/>
  </r>
  <r>
    <x v="0"/>
    <x v="0"/>
    <x v="0"/>
    <x v="0"/>
    <x v="0"/>
    <s v="DK1_Large"/>
    <x v="7"/>
    <s v="GNR_ST_WOODCHI_BP_E-23"/>
    <x v="0"/>
    <x v="18"/>
    <n v="22.0588235294118"/>
    <n v="8051.4705882352901"/>
    <n v="28985.294117647099"/>
  </r>
  <r>
    <x v="0"/>
    <x v="0"/>
    <x v="0"/>
    <x v="0"/>
    <x v="0"/>
    <s v="DK1_Large"/>
    <x v="7"/>
    <s v="GNR_ST_WOODCHI_BP_E-23"/>
    <x v="0"/>
    <x v="19"/>
    <n v="22.0588235294118"/>
    <n v="8051.4705882352901"/>
    <n v="28985.294117647099"/>
  </r>
  <r>
    <x v="0"/>
    <x v="0"/>
    <x v="0"/>
    <x v="0"/>
    <x v="0"/>
    <s v="DK1_Large"/>
    <x v="7"/>
    <s v="GNR_ST_WOODCHI_BP_E-23"/>
    <x v="0"/>
    <x v="20"/>
    <n v="22.0588235294118"/>
    <n v="8051.4705882352901"/>
    <n v="28985.294117647099"/>
  </r>
  <r>
    <x v="0"/>
    <x v="0"/>
    <x v="0"/>
    <x v="0"/>
    <x v="0"/>
    <s v="DK1_Large"/>
    <x v="7"/>
    <s v="GNR_ST_WOODCHI_BP_E-23"/>
    <x v="0"/>
    <x v="21"/>
    <n v="22.0588235294118"/>
    <n v="8051.4705882352901"/>
    <n v="28985.294117647099"/>
  </r>
  <r>
    <x v="0"/>
    <x v="0"/>
    <x v="0"/>
    <x v="0"/>
    <x v="0"/>
    <s v="DK1_Large"/>
    <x v="7"/>
    <s v="GNR_ST_WOODCHI_BP_E-23"/>
    <x v="0"/>
    <x v="22"/>
    <n v="22.0588235294118"/>
    <n v="8051.4705882352901"/>
    <n v="28985.294117647099"/>
  </r>
  <r>
    <x v="0"/>
    <x v="0"/>
    <x v="0"/>
    <x v="0"/>
    <x v="0"/>
    <s v="DK1_Large"/>
    <x v="7"/>
    <s v="GNR_ST_WOODCHI_BP_E-23"/>
    <x v="0"/>
    <x v="23"/>
    <n v="22.0588235294118"/>
    <n v="8051.4705882352901"/>
    <n v="28985.294117647099"/>
  </r>
  <r>
    <x v="0"/>
    <x v="0"/>
    <x v="0"/>
    <x v="0"/>
    <x v="0"/>
    <s v="DK1_Large"/>
    <x v="8"/>
    <s v="GNR_BO_WOODPEL_E-100"/>
    <x v="0"/>
    <x v="0"/>
    <n v="13.349"/>
    <n v="4872.3850000000002"/>
    <n v="17540.585999999999"/>
  </r>
  <r>
    <x v="0"/>
    <x v="0"/>
    <x v="0"/>
    <x v="0"/>
    <x v="0"/>
    <s v="DK1_Large"/>
    <x v="8"/>
    <s v="GNR_BO_WOODPEL_E-100"/>
    <x v="0"/>
    <x v="1"/>
    <n v="13.349"/>
    <n v="4872.3850000000002"/>
    <n v="17540.585999999999"/>
  </r>
  <r>
    <x v="0"/>
    <x v="0"/>
    <x v="0"/>
    <x v="0"/>
    <x v="0"/>
    <s v="DK1_Large"/>
    <x v="8"/>
    <s v="GNR_BO_WOODPEL_E-100"/>
    <x v="0"/>
    <x v="2"/>
    <n v="13.349"/>
    <n v="4872.3850000000002"/>
    <n v="17540.585999999999"/>
  </r>
  <r>
    <x v="0"/>
    <x v="0"/>
    <x v="0"/>
    <x v="0"/>
    <x v="0"/>
    <s v="DK1_Large"/>
    <x v="8"/>
    <s v="GNR_BO_WOODPEL_E-100"/>
    <x v="0"/>
    <x v="3"/>
    <n v="13.349"/>
    <n v="4872.3850000000002"/>
    <n v="17540.585999999999"/>
  </r>
  <r>
    <x v="0"/>
    <x v="0"/>
    <x v="0"/>
    <x v="0"/>
    <x v="0"/>
    <s v="DK1_Large"/>
    <x v="8"/>
    <s v="GNR_BO_WOODPEL_E-100"/>
    <x v="0"/>
    <x v="4"/>
    <n v="13.349"/>
    <n v="4872.3850000000002"/>
    <n v="17540.585999999999"/>
  </r>
  <r>
    <x v="0"/>
    <x v="0"/>
    <x v="0"/>
    <x v="0"/>
    <x v="0"/>
    <s v="DK1_Large"/>
    <x v="8"/>
    <s v="GNR_BO_WOODPEL_E-100"/>
    <x v="0"/>
    <x v="5"/>
    <n v="13.349"/>
    <n v="4872.3850000000002"/>
    <n v="17540.585999999999"/>
  </r>
  <r>
    <x v="0"/>
    <x v="0"/>
    <x v="0"/>
    <x v="0"/>
    <x v="0"/>
    <s v="DK1_Large"/>
    <x v="8"/>
    <s v="GNR_BO_WOODPEL_E-100"/>
    <x v="0"/>
    <x v="6"/>
    <n v="13.349"/>
    <n v="4872.3850000000002"/>
    <n v="17540.585999999999"/>
  </r>
  <r>
    <x v="0"/>
    <x v="0"/>
    <x v="0"/>
    <x v="0"/>
    <x v="0"/>
    <s v="DK1_Large"/>
    <x v="8"/>
    <s v="GNR_BO_WOODPEL_E-100"/>
    <x v="0"/>
    <x v="7"/>
    <n v="13.349"/>
    <n v="4872.3850000000002"/>
    <n v="17540.585999999999"/>
  </r>
  <r>
    <x v="0"/>
    <x v="0"/>
    <x v="0"/>
    <x v="0"/>
    <x v="0"/>
    <s v="DK1_Large"/>
    <x v="8"/>
    <s v="GNR_BO_WOODPEL_E-100"/>
    <x v="0"/>
    <x v="8"/>
    <n v="13.349"/>
    <n v="4872.3850000000002"/>
    <n v="17540.585999999999"/>
  </r>
  <r>
    <x v="0"/>
    <x v="0"/>
    <x v="0"/>
    <x v="0"/>
    <x v="0"/>
    <s v="DK1_Large"/>
    <x v="8"/>
    <s v="GNR_BO_WOODPEL_E-100"/>
    <x v="0"/>
    <x v="9"/>
    <n v="13.349"/>
    <n v="4872.3850000000002"/>
    <n v="17540.585999999999"/>
  </r>
  <r>
    <x v="0"/>
    <x v="0"/>
    <x v="0"/>
    <x v="0"/>
    <x v="0"/>
    <s v="DK1_Large"/>
    <x v="8"/>
    <s v="GNR_BO_WOODPEL_E-100"/>
    <x v="0"/>
    <x v="10"/>
    <n v="13.349"/>
    <n v="4872.3850000000002"/>
    <n v="17540.585999999999"/>
  </r>
  <r>
    <x v="0"/>
    <x v="0"/>
    <x v="0"/>
    <x v="0"/>
    <x v="0"/>
    <s v="DK1_Large"/>
    <x v="8"/>
    <s v="GNR_BO_WOODPEL_E-100"/>
    <x v="0"/>
    <x v="11"/>
    <n v="13.349"/>
    <n v="4872.3850000000002"/>
    <n v="17540.585999999999"/>
  </r>
  <r>
    <x v="0"/>
    <x v="0"/>
    <x v="0"/>
    <x v="0"/>
    <x v="0"/>
    <s v="DK1_Large"/>
    <x v="8"/>
    <s v="GNR_BO_WOODPEL_E-100"/>
    <x v="0"/>
    <x v="12"/>
    <n v="13.349"/>
    <n v="4872.3850000000002"/>
    <n v="17540.585999999999"/>
  </r>
  <r>
    <x v="0"/>
    <x v="0"/>
    <x v="0"/>
    <x v="0"/>
    <x v="0"/>
    <s v="DK1_Large"/>
    <x v="8"/>
    <s v="GNR_BO_WOODPEL_E-100"/>
    <x v="0"/>
    <x v="13"/>
    <n v="13.349"/>
    <n v="4872.3850000000002"/>
    <n v="17540.585999999999"/>
  </r>
  <r>
    <x v="0"/>
    <x v="0"/>
    <x v="0"/>
    <x v="0"/>
    <x v="0"/>
    <s v="DK1_Large"/>
    <x v="8"/>
    <s v="GNR_BO_WOODPEL_E-100"/>
    <x v="0"/>
    <x v="14"/>
    <n v="13.349"/>
    <n v="4872.3850000000002"/>
    <n v="17540.585999999999"/>
  </r>
  <r>
    <x v="0"/>
    <x v="0"/>
    <x v="0"/>
    <x v="0"/>
    <x v="0"/>
    <s v="DK1_Large"/>
    <x v="8"/>
    <s v="GNR_BO_WOODPEL_E-100"/>
    <x v="0"/>
    <x v="15"/>
    <n v="13.349"/>
    <n v="4872.3850000000002"/>
    <n v="17540.585999999999"/>
  </r>
  <r>
    <x v="0"/>
    <x v="0"/>
    <x v="0"/>
    <x v="0"/>
    <x v="0"/>
    <s v="DK1_Large"/>
    <x v="8"/>
    <s v="GNR_BO_WOODPEL_E-100"/>
    <x v="0"/>
    <x v="16"/>
    <n v="13.349"/>
    <n v="4872.3850000000002"/>
    <n v="17540.585999999999"/>
  </r>
  <r>
    <x v="0"/>
    <x v="0"/>
    <x v="0"/>
    <x v="0"/>
    <x v="0"/>
    <s v="DK1_Large"/>
    <x v="8"/>
    <s v="GNR_BO_WOODPEL_E-100"/>
    <x v="0"/>
    <x v="17"/>
    <n v="13.349"/>
    <n v="4872.3850000000002"/>
    <n v="17540.585999999999"/>
  </r>
  <r>
    <x v="0"/>
    <x v="0"/>
    <x v="0"/>
    <x v="0"/>
    <x v="0"/>
    <s v="DK1_Large"/>
    <x v="8"/>
    <s v="GNR_BO_WOODPEL_E-100"/>
    <x v="0"/>
    <x v="18"/>
    <n v="13.349"/>
    <n v="4872.3850000000002"/>
    <n v="17540.585999999999"/>
  </r>
  <r>
    <x v="0"/>
    <x v="0"/>
    <x v="0"/>
    <x v="0"/>
    <x v="0"/>
    <s v="DK1_Large"/>
    <x v="8"/>
    <s v="GNR_BO_WOODPEL_E-100"/>
    <x v="0"/>
    <x v="19"/>
    <n v="13.349"/>
    <n v="4872.3850000000002"/>
    <n v="17540.585999999999"/>
  </r>
  <r>
    <x v="0"/>
    <x v="0"/>
    <x v="0"/>
    <x v="0"/>
    <x v="0"/>
    <s v="DK1_Large"/>
    <x v="8"/>
    <s v="GNR_BO_WOODPEL_E-100"/>
    <x v="0"/>
    <x v="20"/>
    <n v="13.349"/>
    <n v="4872.3850000000002"/>
    <n v="17540.585999999999"/>
  </r>
  <r>
    <x v="0"/>
    <x v="0"/>
    <x v="0"/>
    <x v="0"/>
    <x v="0"/>
    <s v="DK1_Large"/>
    <x v="8"/>
    <s v="GNR_BO_WOODPEL_E-100"/>
    <x v="0"/>
    <x v="21"/>
    <n v="13.349"/>
    <n v="4872.3850000000002"/>
    <n v="17540.585999999999"/>
  </r>
  <r>
    <x v="0"/>
    <x v="0"/>
    <x v="0"/>
    <x v="0"/>
    <x v="0"/>
    <s v="DK1_Large"/>
    <x v="8"/>
    <s v="GNR_BO_WOODPEL_E-100"/>
    <x v="0"/>
    <x v="22"/>
    <n v="13.349"/>
    <n v="4872.3850000000002"/>
    <n v="17540.585999999999"/>
  </r>
  <r>
    <x v="0"/>
    <x v="0"/>
    <x v="0"/>
    <x v="0"/>
    <x v="0"/>
    <s v="DK1_Large"/>
    <x v="8"/>
    <s v="GNR_BO_WOODPEL_E-100"/>
    <x v="0"/>
    <x v="23"/>
    <n v="13.349"/>
    <n v="4872.3850000000002"/>
    <n v="17540.585999999999"/>
  </r>
  <r>
    <x v="0"/>
    <x v="0"/>
    <x v="0"/>
    <x v="0"/>
    <x v="0"/>
    <s v="DK1_Large"/>
    <x v="8"/>
    <s v="GNR_BO_WOODPEL_E-102"/>
    <x v="0"/>
    <x v="0"/>
    <n v="1.8"/>
    <n v="657"/>
    <n v="2365.1999999999998"/>
  </r>
  <r>
    <x v="0"/>
    <x v="0"/>
    <x v="0"/>
    <x v="0"/>
    <x v="0"/>
    <s v="DK1_Large"/>
    <x v="8"/>
    <s v="GNR_BO_WOODPEL_E-102"/>
    <x v="0"/>
    <x v="1"/>
    <n v="1.8"/>
    <n v="657"/>
    <n v="2365.1999999999998"/>
  </r>
  <r>
    <x v="0"/>
    <x v="0"/>
    <x v="0"/>
    <x v="0"/>
    <x v="0"/>
    <s v="DK1_Large"/>
    <x v="8"/>
    <s v="GNR_BO_WOODPEL_E-102"/>
    <x v="0"/>
    <x v="2"/>
    <n v="1.8"/>
    <n v="657"/>
    <n v="2365.1999999999998"/>
  </r>
  <r>
    <x v="0"/>
    <x v="0"/>
    <x v="0"/>
    <x v="0"/>
    <x v="0"/>
    <s v="DK1_Large"/>
    <x v="8"/>
    <s v="GNR_BO_WOODPEL_E-102"/>
    <x v="0"/>
    <x v="3"/>
    <n v="1.8"/>
    <n v="657"/>
    <n v="2365.1999999999998"/>
  </r>
  <r>
    <x v="0"/>
    <x v="0"/>
    <x v="0"/>
    <x v="0"/>
    <x v="0"/>
    <s v="DK1_Large"/>
    <x v="8"/>
    <s v="GNR_BO_WOODPEL_E-102"/>
    <x v="0"/>
    <x v="4"/>
    <n v="1.8"/>
    <n v="657"/>
    <n v="2365.1999999999998"/>
  </r>
  <r>
    <x v="0"/>
    <x v="0"/>
    <x v="0"/>
    <x v="0"/>
    <x v="0"/>
    <s v="DK1_Large"/>
    <x v="8"/>
    <s v="GNR_BO_WOODPEL_E-102"/>
    <x v="0"/>
    <x v="5"/>
    <n v="1.8"/>
    <n v="657"/>
    <n v="2365.1999999999998"/>
  </r>
  <r>
    <x v="0"/>
    <x v="0"/>
    <x v="0"/>
    <x v="0"/>
    <x v="0"/>
    <s v="DK1_Large"/>
    <x v="8"/>
    <s v="GNR_BO_WOODPEL_E-102"/>
    <x v="0"/>
    <x v="6"/>
    <n v="1.8"/>
    <n v="657"/>
    <n v="2365.1999999999998"/>
  </r>
  <r>
    <x v="0"/>
    <x v="0"/>
    <x v="0"/>
    <x v="0"/>
    <x v="0"/>
    <s v="DK1_Large"/>
    <x v="8"/>
    <s v="GNR_BO_WOODPEL_E-102"/>
    <x v="0"/>
    <x v="7"/>
    <n v="1.8"/>
    <n v="657"/>
    <n v="2365.1999999999998"/>
  </r>
  <r>
    <x v="0"/>
    <x v="0"/>
    <x v="0"/>
    <x v="0"/>
    <x v="0"/>
    <s v="DK1_Large"/>
    <x v="8"/>
    <s v="GNR_BO_WOODPEL_E-102"/>
    <x v="0"/>
    <x v="8"/>
    <n v="1.8"/>
    <n v="657"/>
    <n v="2365.1999999999998"/>
  </r>
  <r>
    <x v="0"/>
    <x v="0"/>
    <x v="0"/>
    <x v="0"/>
    <x v="0"/>
    <s v="DK1_Large"/>
    <x v="8"/>
    <s v="GNR_BO_WOODPEL_E-102"/>
    <x v="0"/>
    <x v="9"/>
    <n v="1.8"/>
    <n v="657"/>
    <n v="2365.1999999999998"/>
  </r>
  <r>
    <x v="0"/>
    <x v="0"/>
    <x v="0"/>
    <x v="0"/>
    <x v="0"/>
    <s v="DK1_Large"/>
    <x v="8"/>
    <s v="GNR_BO_WOODPEL_E-102"/>
    <x v="0"/>
    <x v="10"/>
    <n v="1.8"/>
    <n v="657"/>
    <n v="2365.1999999999998"/>
  </r>
  <r>
    <x v="0"/>
    <x v="0"/>
    <x v="0"/>
    <x v="0"/>
    <x v="0"/>
    <s v="DK1_Large"/>
    <x v="8"/>
    <s v="GNR_BO_WOODPEL_E-102"/>
    <x v="0"/>
    <x v="11"/>
    <n v="1.8"/>
    <n v="657"/>
    <n v="2365.1999999999998"/>
  </r>
  <r>
    <x v="0"/>
    <x v="0"/>
    <x v="0"/>
    <x v="0"/>
    <x v="0"/>
    <s v="DK1_Large"/>
    <x v="8"/>
    <s v="GNR_BO_WOODPEL_E-102"/>
    <x v="0"/>
    <x v="12"/>
    <n v="1.8"/>
    <n v="657"/>
    <n v="2365.1999999999998"/>
  </r>
  <r>
    <x v="0"/>
    <x v="0"/>
    <x v="0"/>
    <x v="0"/>
    <x v="0"/>
    <s v="DK1_Large"/>
    <x v="8"/>
    <s v="GNR_BO_WOODPEL_E-102"/>
    <x v="0"/>
    <x v="13"/>
    <n v="1.8"/>
    <n v="657"/>
    <n v="2365.1999999999998"/>
  </r>
  <r>
    <x v="0"/>
    <x v="0"/>
    <x v="0"/>
    <x v="0"/>
    <x v="0"/>
    <s v="DK1_Large"/>
    <x v="8"/>
    <s v="GNR_BO_WOODPEL_E-102"/>
    <x v="0"/>
    <x v="14"/>
    <n v="1.8"/>
    <n v="657"/>
    <n v="2365.1999999999998"/>
  </r>
  <r>
    <x v="0"/>
    <x v="0"/>
    <x v="0"/>
    <x v="0"/>
    <x v="0"/>
    <s v="DK1_Large"/>
    <x v="8"/>
    <s v="GNR_BO_WOODPEL_E-102"/>
    <x v="0"/>
    <x v="15"/>
    <n v="1.8"/>
    <n v="657"/>
    <n v="2365.1999999999998"/>
  </r>
  <r>
    <x v="0"/>
    <x v="0"/>
    <x v="0"/>
    <x v="0"/>
    <x v="0"/>
    <s v="DK1_Large"/>
    <x v="8"/>
    <s v="GNR_BO_WOODPEL_E-102"/>
    <x v="0"/>
    <x v="16"/>
    <n v="1.8"/>
    <n v="657"/>
    <n v="2365.1999999999998"/>
  </r>
  <r>
    <x v="0"/>
    <x v="0"/>
    <x v="0"/>
    <x v="0"/>
    <x v="0"/>
    <s v="DK1_Large"/>
    <x v="8"/>
    <s v="GNR_BO_WOODPEL_E-102"/>
    <x v="0"/>
    <x v="17"/>
    <n v="1.8"/>
    <n v="657"/>
    <n v="2365.1999999999998"/>
  </r>
  <r>
    <x v="0"/>
    <x v="0"/>
    <x v="0"/>
    <x v="0"/>
    <x v="0"/>
    <s v="DK1_Large"/>
    <x v="8"/>
    <s v="GNR_BO_WOODPEL_E-102"/>
    <x v="0"/>
    <x v="18"/>
    <n v="1.8"/>
    <n v="657"/>
    <n v="2365.1999999999998"/>
  </r>
  <r>
    <x v="0"/>
    <x v="0"/>
    <x v="0"/>
    <x v="0"/>
    <x v="0"/>
    <s v="DK1_Large"/>
    <x v="8"/>
    <s v="GNR_BO_WOODPEL_E-102"/>
    <x v="0"/>
    <x v="19"/>
    <n v="1.8"/>
    <n v="657"/>
    <n v="2365.1999999999998"/>
  </r>
  <r>
    <x v="0"/>
    <x v="0"/>
    <x v="0"/>
    <x v="0"/>
    <x v="0"/>
    <s v="DK1_Large"/>
    <x v="8"/>
    <s v="GNR_BO_WOODPEL_E-102"/>
    <x v="0"/>
    <x v="20"/>
    <n v="1.8"/>
    <n v="657"/>
    <n v="2365.1999999999998"/>
  </r>
  <r>
    <x v="0"/>
    <x v="0"/>
    <x v="0"/>
    <x v="0"/>
    <x v="0"/>
    <s v="DK1_Large"/>
    <x v="8"/>
    <s v="GNR_BO_WOODPEL_E-102"/>
    <x v="0"/>
    <x v="21"/>
    <n v="1.8"/>
    <n v="657"/>
    <n v="2365.1999999999998"/>
  </r>
  <r>
    <x v="0"/>
    <x v="0"/>
    <x v="0"/>
    <x v="0"/>
    <x v="0"/>
    <s v="DK1_Large"/>
    <x v="8"/>
    <s v="GNR_BO_WOODPEL_E-102"/>
    <x v="0"/>
    <x v="22"/>
    <n v="1.8"/>
    <n v="657"/>
    <n v="2365.1999999999998"/>
  </r>
  <r>
    <x v="0"/>
    <x v="0"/>
    <x v="0"/>
    <x v="0"/>
    <x v="0"/>
    <s v="DK1_Large"/>
    <x v="8"/>
    <s v="GNR_BO_WOODPEL_E-102"/>
    <x v="0"/>
    <x v="23"/>
    <n v="1.8"/>
    <n v="657"/>
    <n v="2365.1999999999998"/>
  </r>
  <r>
    <x v="0"/>
    <x v="0"/>
    <x v="0"/>
    <x v="0"/>
    <x v="0"/>
    <s v="DK1_MedSmall"/>
    <x v="0"/>
    <s v="GNR_BO_BGAS_E-100"/>
    <x v="0"/>
    <x v="0"/>
    <n v="0.59"/>
    <n v="215.35"/>
    <n v="775.26"/>
  </r>
  <r>
    <x v="0"/>
    <x v="0"/>
    <x v="0"/>
    <x v="0"/>
    <x v="0"/>
    <s v="DK1_MedSmall"/>
    <x v="0"/>
    <s v="GNR_BO_BGAS_E-100"/>
    <x v="0"/>
    <x v="1"/>
    <n v="0.59"/>
    <n v="215.35"/>
    <n v="775.26"/>
  </r>
  <r>
    <x v="0"/>
    <x v="0"/>
    <x v="0"/>
    <x v="0"/>
    <x v="0"/>
    <s v="DK1_MedSmall"/>
    <x v="0"/>
    <s v="GNR_BO_BGAS_E-100"/>
    <x v="0"/>
    <x v="2"/>
    <n v="0.59"/>
    <n v="215.35"/>
    <n v="775.26"/>
  </r>
  <r>
    <x v="0"/>
    <x v="0"/>
    <x v="0"/>
    <x v="0"/>
    <x v="0"/>
    <s v="DK1_MedSmall"/>
    <x v="0"/>
    <s v="GNR_BO_BGAS_E-100"/>
    <x v="0"/>
    <x v="3"/>
    <n v="0.59"/>
    <n v="215.35"/>
    <n v="775.26"/>
  </r>
  <r>
    <x v="0"/>
    <x v="0"/>
    <x v="0"/>
    <x v="0"/>
    <x v="0"/>
    <s v="DK1_MedSmall"/>
    <x v="0"/>
    <s v="GNR_BO_BGAS_E-100"/>
    <x v="0"/>
    <x v="4"/>
    <n v="0.59"/>
    <n v="215.35"/>
    <n v="775.26"/>
  </r>
  <r>
    <x v="0"/>
    <x v="0"/>
    <x v="0"/>
    <x v="0"/>
    <x v="0"/>
    <s v="DK1_MedSmall"/>
    <x v="0"/>
    <s v="GNR_BO_BGAS_E-100"/>
    <x v="0"/>
    <x v="5"/>
    <n v="0.59"/>
    <n v="215.35"/>
    <n v="775.26"/>
  </r>
  <r>
    <x v="0"/>
    <x v="0"/>
    <x v="0"/>
    <x v="0"/>
    <x v="0"/>
    <s v="DK1_MedSmall"/>
    <x v="0"/>
    <s v="GNR_BO_BGAS_E-100"/>
    <x v="0"/>
    <x v="6"/>
    <n v="0.59"/>
    <n v="215.35"/>
    <n v="775.26"/>
  </r>
  <r>
    <x v="0"/>
    <x v="0"/>
    <x v="0"/>
    <x v="0"/>
    <x v="0"/>
    <s v="DK1_MedSmall"/>
    <x v="0"/>
    <s v="GNR_BO_BGAS_E-100"/>
    <x v="0"/>
    <x v="7"/>
    <n v="0.59"/>
    <n v="215.35"/>
    <n v="775.26"/>
  </r>
  <r>
    <x v="0"/>
    <x v="0"/>
    <x v="0"/>
    <x v="0"/>
    <x v="0"/>
    <s v="DK1_MedSmall"/>
    <x v="0"/>
    <s v="GNR_BO_BGAS_E-100"/>
    <x v="0"/>
    <x v="8"/>
    <n v="0.59"/>
    <n v="215.35"/>
    <n v="775.26"/>
  </r>
  <r>
    <x v="0"/>
    <x v="0"/>
    <x v="0"/>
    <x v="0"/>
    <x v="0"/>
    <s v="DK1_MedSmall"/>
    <x v="0"/>
    <s v="GNR_BO_BGAS_E-100"/>
    <x v="0"/>
    <x v="9"/>
    <n v="0.59"/>
    <n v="215.35"/>
    <n v="775.26"/>
  </r>
  <r>
    <x v="0"/>
    <x v="0"/>
    <x v="0"/>
    <x v="0"/>
    <x v="0"/>
    <s v="DK1_MedSmall"/>
    <x v="0"/>
    <s v="GNR_BO_BGAS_E-100"/>
    <x v="0"/>
    <x v="10"/>
    <n v="0.59"/>
    <n v="215.35"/>
    <n v="775.26"/>
  </r>
  <r>
    <x v="0"/>
    <x v="0"/>
    <x v="0"/>
    <x v="0"/>
    <x v="0"/>
    <s v="DK1_MedSmall"/>
    <x v="0"/>
    <s v="GNR_BO_BGAS_E-100"/>
    <x v="0"/>
    <x v="11"/>
    <n v="0.59"/>
    <n v="215.35"/>
    <n v="775.26"/>
  </r>
  <r>
    <x v="0"/>
    <x v="0"/>
    <x v="0"/>
    <x v="0"/>
    <x v="0"/>
    <s v="DK1_MedSmall"/>
    <x v="0"/>
    <s v="GNR_BO_BGAS_E-100"/>
    <x v="0"/>
    <x v="12"/>
    <n v="0.59"/>
    <n v="215.35"/>
    <n v="775.26"/>
  </r>
  <r>
    <x v="0"/>
    <x v="0"/>
    <x v="0"/>
    <x v="0"/>
    <x v="0"/>
    <s v="DK1_MedSmall"/>
    <x v="0"/>
    <s v="GNR_BO_BGAS_E-100"/>
    <x v="0"/>
    <x v="13"/>
    <n v="0.59"/>
    <n v="215.35"/>
    <n v="775.26"/>
  </r>
  <r>
    <x v="0"/>
    <x v="0"/>
    <x v="0"/>
    <x v="0"/>
    <x v="0"/>
    <s v="DK1_MedSmall"/>
    <x v="0"/>
    <s v="GNR_BO_BGAS_E-100"/>
    <x v="0"/>
    <x v="14"/>
    <n v="0.59"/>
    <n v="215.35"/>
    <n v="775.26"/>
  </r>
  <r>
    <x v="0"/>
    <x v="0"/>
    <x v="0"/>
    <x v="0"/>
    <x v="0"/>
    <s v="DK1_MedSmall"/>
    <x v="0"/>
    <s v="GNR_BO_BGAS_E-100"/>
    <x v="0"/>
    <x v="15"/>
    <n v="0.59"/>
    <n v="215.35"/>
    <n v="775.26"/>
  </r>
  <r>
    <x v="0"/>
    <x v="0"/>
    <x v="0"/>
    <x v="0"/>
    <x v="0"/>
    <s v="DK1_MedSmall"/>
    <x v="0"/>
    <s v="GNR_BO_BGAS_E-100"/>
    <x v="0"/>
    <x v="16"/>
    <n v="0.59"/>
    <n v="215.35"/>
    <n v="775.26"/>
  </r>
  <r>
    <x v="0"/>
    <x v="0"/>
    <x v="0"/>
    <x v="0"/>
    <x v="0"/>
    <s v="DK1_MedSmall"/>
    <x v="0"/>
    <s v="GNR_BO_BGAS_E-100"/>
    <x v="0"/>
    <x v="17"/>
    <n v="0.59"/>
    <n v="215.35"/>
    <n v="775.26"/>
  </r>
  <r>
    <x v="0"/>
    <x v="0"/>
    <x v="0"/>
    <x v="0"/>
    <x v="0"/>
    <s v="DK1_MedSmall"/>
    <x v="0"/>
    <s v="GNR_BO_BGAS_E-100"/>
    <x v="0"/>
    <x v="18"/>
    <n v="0.59"/>
    <n v="215.35"/>
    <n v="775.26"/>
  </r>
  <r>
    <x v="0"/>
    <x v="0"/>
    <x v="0"/>
    <x v="0"/>
    <x v="0"/>
    <s v="DK1_MedSmall"/>
    <x v="0"/>
    <s v="GNR_BO_BGAS_E-100"/>
    <x v="0"/>
    <x v="19"/>
    <n v="0.59"/>
    <n v="215.35"/>
    <n v="775.26"/>
  </r>
  <r>
    <x v="0"/>
    <x v="0"/>
    <x v="0"/>
    <x v="0"/>
    <x v="0"/>
    <s v="DK1_MedSmall"/>
    <x v="0"/>
    <s v="GNR_BO_BGAS_E-100"/>
    <x v="0"/>
    <x v="20"/>
    <n v="0.59"/>
    <n v="215.35"/>
    <n v="775.26"/>
  </r>
  <r>
    <x v="0"/>
    <x v="0"/>
    <x v="0"/>
    <x v="0"/>
    <x v="0"/>
    <s v="DK1_MedSmall"/>
    <x v="0"/>
    <s v="GNR_BO_BGAS_E-100"/>
    <x v="0"/>
    <x v="21"/>
    <n v="0.59"/>
    <n v="215.35"/>
    <n v="775.26"/>
  </r>
  <r>
    <x v="0"/>
    <x v="0"/>
    <x v="0"/>
    <x v="0"/>
    <x v="0"/>
    <s v="DK1_MedSmall"/>
    <x v="0"/>
    <s v="GNR_BO_BGAS_E-100"/>
    <x v="0"/>
    <x v="22"/>
    <n v="0.59"/>
    <n v="215.35"/>
    <n v="775.26"/>
  </r>
  <r>
    <x v="0"/>
    <x v="0"/>
    <x v="0"/>
    <x v="0"/>
    <x v="0"/>
    <s v="DK1_MedSmall"/>
    <x v="0"/>
    <s v="GNR_BO_BGAS_E-100"/>
    <x v="0"/>
    <x v="23"/>
    <n v="0.59"/>
    <n v="215.35"/>
    <n v="775.26"/>
  </r>
  <r>
    <x v="0"/>
    <x v="0"/>
    <x v="0"/>
    <x v="0"/>
    <x v="0"/>
    <s v="DK1_MedSmall"/>
    <x v="0"/>
    <s v="GNR_BO_BGAS_E-95"/>
    <x v="0"/>
    <x v="7"/>
    <n v="0.5"/>
    <n v="182.5"/>
    <n v="657"/>
  </r>
  <r>
    <x v="0"/>
    <x v="0"/>
    <x v="0"/>
    <x v="0"/>
    <x v="0"/>
    <s v="DK1_MedSmall"/>
    <x v="0"/>
    <s v="GNR_BO_BGAS_E-95"/>
    <x v="0"/>
    <x v="8"/>
    <n v="0.5"/>
    <n v="182.5"/>
    <n v="657"/>
  </r>
  <r>
    <x v="0"/>
    <x v="0"/>
    <x v="0"/>
    <x v="0"/>
    <x v="0"/>
    <s v="DK1_MedSmall"/>
    <x v="0"/>
    <s v="GNR_BO_BGAS_E-95"/>
    <x v="0"/>
    <x v="9"/>
    <n v="0.5"/>
    <n v="182.5"/>
    <n v="657"/>
  </r>
  <r>
    <x v="0"/>
    <x v="0"/>
    <x v="0"/>
    <x v="0"/>
    <x v="0"/>
    <s v="DK1_MedSmall"/>
    <x v="0"/>
    <s v="GNR_BO_BGAS_E-95"/>
    <x v="0"/>
    <x v="10"/>
    <n v="0.5"/>
    <n v="182.5"/>
    <n v="657"/>
  </r>
  <r>
    <x v="0"/>
    <x v="0"/>
    <x v="0"/>
    <x v="0"/>
    <x v="0"/>
    <s v="DK1_MedSmall"/>
    <x v="0"/>
    <s v="GNR_BO_BGAS_E-95"/>
    <x v="0"/>
    <x v="11"/>
    <n v="0.5"/>
    <n v="182.5"/>
    <n v="657"/>
  </r>
  <r>
    <x v="0"/>
    <x v="0"/>
    <x v="0"/>
    <x v="0"/>
    <x v="0"/>
    <s v="DK1_MedSmall"/>
    <x v="0"/>
    <s v="GNR_BO_BGAS_E-95"/>
    <x v="0"/>
    <x v="12"/>
    <n v="0.5"/>
    <n v="182.5"/>
    <n v="657"/>
  </r>
  <r>
    <x v="0"/>
    <x v="0"/>
    <x v="0"/>
    <x v="0"/>
    <x v="0"/>
    <s v="DK1_MedSmall"/>
    <x v="0"/>
    <s v="GNR_BO_BGAS_E-95"/>
    <x v="0"/>
    <x v="13"/>
    <n v="0.5"/>
    <n v="182.5"/>
    <n v="657"/>
  </r>
  <r>
    <x v="0"/>
    <x v="0"/>
    <x v="0"/>
    <x v="0"/>
    <x v="0"/>
    <s v="DK1_MedSmall"/>
    <x v="0"/>
    <s v="GNR_BO_BGAS_E-95"/>
    <x v="0"/>
    <x v="14"/>
    <n v="0.5"/>
    <n v="182.5"/>
    <n v="657"/>
  </r>
  <r>
    <x v="0"/>
    <x v="0"/>
    <x v="0"/>
    <x v="0"/>
    <x v="0"/>
    <s v="DK1_MedSmall"/>
    <x v="0"/>
    <s v="GNR_BO_BGAS_E-95"/>
    <x v="0"/>
    <x v="15"/>
    <n v="0.5"/>
    <n v="182.5"/>
    <n v="657"/>
  </r>
  <r>
    <x v="0"/>
    <x v="0"/>
    <x v="0"/>
    <x v="0"/>
    <x v="0"/>
    <s v="DK1_MedSmall"/>
    <x v="0"/>
    <s v="GNR_BO_BGAS_E-95"/>
    <x v="0"/>
    <x v="16"/>
    <n v="0.5"/>
    <n v="182.5"/>
    <n v="657"/>
  </r>
  <r>
    <x v="0"/>
    <x v="0"/>
    <x v="0"/>
    <x v="0"/>
    <x v="0"/>
    <s v="DK1_MedSmall"/>
    <x v="0"/>
    <s v="GNR_BO_BGAS_E-95"/>
    <x v="0"/>
    <x v="17"/>
    <n v="0.5"/>
    <n v="182.5"/>
    <n v="657"/>
  </r>
  <r>
    <x v="0"/>
    <x v="0"/>
    <x v="0"/>
    <x v="0"/>
    <x v="0"/>
    <s v="DK1_MedSmall"/>
    <x v="0"/>
    <s v="GNR_BO_BGAS_E-95"/>
    <x v="0"/>
    <x v="18"/>
    <n v="0.5"/>
    <n v="182.5"/>
    <n v="657"/>
  </r>
  <r>
    <x v="0"/>
    <x v="0"/>
    <x v="0"/>
    <x v="0"/>
    <x v="0"/>
    <s v="DK1_MedSmall"/>
    <x v="0"/>
    <s v="GNR_BO_BGAS_E-95"/>
    <x v="0"/>
    <x v="19"/>
    <n v="0.5"/>
    <n v="182.5"/>
    <n v="657"/>
  </r>
  <r>
    <x v="0"/>
    <x v="0"/>
    <x v="0"/>
    <x v="0"/>
    <x v="0"/>
    <s v="DK1_MedSmall"/>
    <x v="0"/>
    <s v="GNR_BO_BGAS_E-95"/>
    <x v="0"/>
    <x v="20"/>
    <n v="0.5"/>
    <n v="182.5"/>
    <n v="657"/>
  </r>
  <r>
    <x v="0"/>
    <x v="0"/>
    <x v="0"/>
    <x v="0"/>
    <x v="0"/>
    <s v="DK1_MedSmall"/>
    <x v="0"/>
    <s v="GNR_ENG_BGAS_BP_E-33"/>
    <x v="0"/>
    <x v="0"/>
    <n v="0.207317073170732"/>
    <n v="75.670731707317103"/>
    <n v="272.41463414634097"/>
  </r>
  <r>
    <x v="0"/>
    <x v="0"/>
    <x v="0"/>
    <x v="0"/>
    <x v="0"/>
    <s v="DK1_MedSmall"/>
    <x v="0"/>
    <s v="GNR_ENG_BGAS_BP_E-33"/>
    <x v="0"/>
    <x v="1"/>
    <n v="0.207317073170732"/>
    <n v="75.670731707317103"/>
    <n v="272.41463414634097"/>
  </r>
  <r>
    <x v="0"/>
    <x v="0"/>
    <x v="0"/>
    <x v="0"/>
    <x v="0"/>
    <s v="DK1_MedSmall"/>
    <x v="0"/>
    <s v="GNR_ENG_BGAS_BP_E-33"/>
    <x v="0"/>
    <x v="2"/>
    <n v="0.207317073170732"/>
    <n v="75.670731707317103"/>
    <n v="272.41463414634097"/>
  </r>
  <r>
    <x v="0"/>
    <x v="0"/>
    <x v="0"/>
    <x v="0"/>
    <x v="0"/>
    <s v="DK1_MedSmall"/>
    <x v="0"/>
    <s v="GNR_ENG_BGAS_BP_E-33"/>
    <x v="0"/>
    <x v="3"/>
    <n v="0.207317073170732"/>
    <n v="75.670731707317103"/>
    <n v="272.41463414634097"/>
  </r>
  <r>
    <x v="0"/>
    <x v="0"/>
    <x v="0"/>
    <x v="0"/>
    <x v="0"/>
    <s v="DK1_MedSmall"/>
    <x v="0"/>
    <s v="GNR_ENG_BGAS_BP_E-33"/>
    <x v="0"/>
    <x v="4"/>
    <n v="0.207317073170732"/>
    <n v="75.670731707317103"/>
    <n v="272.41463414634097"/>
  </r>
  <r>
    <x v="0"/>
    <x v="0"/>
    <x v="0"/>
    <x v="0"/>
    <x v="0"/>
    <s v="DK1_MedSmall"/>
    <x v="0"/>
    <s v="GNR_ENG_BGAS_BP_E-33"/>
    <x v="0"/>
    <x v="5"/>
    <n v="0.207317073170732"/>
    <n v="75.670731707317103"/>
    <n v="272.41463414634097"/>
  </r>
  <r>
    <x v="0"/>
    <x v="0"/>
    <x v="0"/>
    <x v="0"/>
    <x v="0"/>
    <s v="DK1_MedSmall"/>
    <x v="0"/>
    <s v="GNR_ENG_BGAS_BP_E-33"/>
    <x v="0"/>
    <x v="6"/>
    <n v="0.207317073170732"/>
    <n v="75.670731707317103"/>
    <n v="272.41463414634097"/>
  </r>
  <r>
    <x v="0"/>
    <x v="0"/>
    <x v="0"/>
    <x v="0"/>
    <x v="0"/>
    <s v="DK1_MedSmall"/>
    <x v="0"/>
    <s v="GNR_ENG_BGAS_BP_E-33"/>
    <x v="0"/>
    <x v="7"/>
    <n v="0.207317073170732"/>
    <n v="75.670731707317103"/>
    <n v="272.41463414634097"/>
  </r>
  <r>
    <x v="0"/>
    <x v="0"/>
    <x v="0"/>
    <x v="0"/>
    <x v="0"/>
    <s v="DK1_MedSmall"/>
    <x v="0"/>
    <s v="GNR_ENG_BGAS_BP_E-33"/>
    <x v="0"/>
    <x v="8"/>
    <n v="0.207317073170732"/>
    <n v="75.670731707317103"/>
    <n v="272.41463414634097"/>
  </r>
  <r>
    <x v="0"/>
    <x v="0"/>
    <x v="0"/>
    <x v="0"/>
    <x v="0"/>
    <s v="DK1_MedSmall"/>
    <x v="0"/>
    <s v="GNR_ENG_BGAS_BP_E-33"/>
    <x v="0"/>
    <x v="9"/>
    <n v="0.207317073170732"/>
    <n v="75.670731707317103"/>
    <n v="272.41463414634097"/>
  </r>
  <r>
    <x v="0"/>
    <x v="0"/>
    <x v="0"/>
    <x v="0"/>
    <x v="0"/>
    <s v="DK1_MedSmall"/>
    <x v="0"/>
    <s v="GNR_ENG_BGAS_BP_E-33"/>
    <x v="0"/>
    <x v="10"/>
    <n v="0.207317073170732"/>
    <n v="75.670731707317103"/>
    <n v="272.41463414634097"/>
  </r>
  <r>
    <x v="0"/>
    <x v="0"/>
    <x v="0"/>
    <x v="0"/>
    <x v="0"/>
    <s v="DK1_MedSmall"/>
    <x v="0"/>
    <s v="GNR_ENG_BGAS_BP_E-33"/>
    <x v="0"/>
    <x v="11"/>
    <n v="0.207317073170732"/>
    <n v="75.670731707317103"/>
    <n v="272.41463414634097"/>
  </r>
  <r>
    <x v="0"/>
    <x v="0"/>
    <x v="0"/>
    <x v="0"/>
    <x v="0"/>
    <s v="DK1_MedSmall"/>
    <x v="0"/>
    <s v="GNR_ENG_BGAS_BP_E-33"/>
    <x v="0"/>
    <x v="12"/>
    <n v="0.207317073170732"/>
    <n v="75.670731707317103"/>
    <n v="272.41463414634097"/>
  </r>
  <r>
    <x v="0"/>
    <x v="0"/>
    <x v="0"/>
    <x v="0"/>
    <x v="0"/>
    <s v="DK1_MedSmall"/>
    <x v="0"/>
    <s v="GNR_ENG_BGAS_BP_E-33"/>
    <x v="0"/>
    <x v="13"/>
    <n v="0.207317073170732"/>
    <n v="75.670731707317103"/>
    <n v="272.41463414634097"/>
  </r>
  <r>
    <x v="0"/>
    <x v="0"/>
    <x v="0"/>
    <x v="0"/>
    <x v="0"/>
    <s v="DK1_MedSmall"/>
    <x v="0"/>
    <s v="GNR_ENG_BGAS_BP_E-33"/>
    <x v="0"/>
    <x v="14"/>
    <n v="0.207317073170732"/>
    <n v="75.670731707317103"/>
    <n v="272.41463414634097"/>
  </r>
  <r>
    <x v="0"/>
    <x v="0"/>
    <x v="0"/>
    <x v="0"/>
    <x v="0"/>
    <s v="DK1_MedSmall"/>
    <x v="0"/>
    <s v="GNR_ENG_BGAS_BP_E-33"/>
    <x v="0"/>
    <x v="15"/>
    <n v="0.207317073170732"/>
    <n v="75.670731707317103"/>
    <n v="272.41463414634097"/>
  </r>
  <r>
    <x v="0"/>
    <x v="0"/>
    <x v="0"/>
    <x v="0"/>
    <x v="0"/>
    <s v="DK1_MedSmall"/>
    <x v="0"/>
    <s v="GNR_ENG_BGAS_BP_E-33"/>
    <x v="0"/>
    <x v="16"/>
    <n v="0.207317073170732"/>
    <n v="75.670731707317103"/>
    <n v="272.41463414634097"/>
  </r>
  <r>
    <x v="0"/>
    <x v="0"/>
    <x v="0"/>
    <x v="0"/>
    <x v="0"/>
    <s v="DK1_MedSmall"/>
    <x v="0"/>
    <s v="GNR_ENG_BGAS_BP_E-33"/>
    <x v="0"/>
    <x v="17"/>
    <n v="0.207317073170732"/>
    <n v="75.670731707317103"/>
    <n v="272.41463414634097"/>
  </r>
  <r>
    <x v="0"/>
    <x v="0"/>
    <x v="0"/>
    <x v="0"/>
    <x v="0"/>
    <s v="DK1_MedSmall"/>
    <x v="0"/>
    <s v="GNR_ENG_BGAS_BP_E-33"/>
    <x v="0"/>
    <x v="18"/>
    <n v="0.207317073170732"/>
    <n v="75.670731707317103"/>
    <n v="272.41463414634097"/>
  </r>
  <r>
    <x v="0"/>
    <x v="0"/>
    <x v="0"/>
    <x v="0"/>
    <x v="0"/>
    <s v="DK1_MedSmall"/>
    <x v="0"/>
    <s v="GNR_ENG_BGAS_BP_E-33"/>
    <x v="0"/>
    <x v="19"/>
    <n v="0.207317073170732"/>
    <n v="75.670731707317103"/>
    <n v="272.41463414634097"/>
  </r>
  <r>
    <x v="0"/>
    <x v="0"/>
    <x v="0"/>
    <x v="0"/>
    <x v="0"/>
    <s v="DK1_MedSmall"/>
    <x v="0"/>
    <s v="GNR_ENG_BGAS_BP_E-33"/>
    <x v="0"/>
    <x v="20"/>
    <n v="0.207317073170732"/>
    <n v="75.670731707317103"/>
    <n v="272.41463414634097"/>
  </r>
  <r>
    <x v="0"/>
    <x v="0"/>
    <x v="0"/>
    <x v="0"/>
    <x v="0"/>
    <s v="DK1_MedSmall"/>
    <x v="0"/>
    <s v="GNR_ENG_BGAS_BP_E-33"/>
    <x v="0"/>
    <x v="21"/>
    <n v="0.207317073170732"/>
    <n v="75.670731707317103"/>
    <n v="272.41463414634097"/>
  </r>
  <r>
    <x v="0"/>
    <x v="0"/>
    <x v="0"/>
    <x v="0"/>
    <x v="0"/>
    <s v="DK1_MedSmall"/>
    <x v="0"/>
    <s v="GNR_ENG_BGAS_BP_E-33"/>
    <x v="0"/>
    <x v="22"/>
    <n v="0.207317073170732"/>
    <n v="75.670731707317103"/>
    <n v="272.41463414634097"/>
  </r>
  <r>
    <x v="0"/>
    <x v="0"/>
    <x v="0"/>
    <x v="0"/>
    <x v="0"/>
    <s v="DK1_MedSmall"/>
    <x v="0"/>
    <s v="GNR_ENG_BGAS_BP_E-33"/>
    <x v="0"/>
    <x v="23"/>
    <n v="0.207317073170732"/>
    <n v="75.670731707317103"/>
    <n v="272.41463414634097"/>
  </r>
  <r>
    <x v="0"/>
    <x v="0"/>
    <x v="0"/>
    <x v="0"/>
    <x v="0"/>
    <s v="DK1_MedSmall"/>
    <x v="0"/>
    <s v="GNR_ENG_BGAS_BP_E-38"/>
    <x v="0"/>
    <x v="0"/>
    <n v="0.207317073170732"/>
    <n v="75.670731707317103"/>
    <n v="272.41463414634097"/>
  </r>
  <r>
    <x v="0"/>
    <x v="0"/>
    <x v="0"/>
    <x v="0"/>
    <x v="0"/>
    <s v="DK1_MedSmall"/>
    <x v="0"/>
    <s v="GNR_ENG_BGAS_BP_E-38"/>
    <x v="0"/>
    <x v="1"/>
    <n v="0.207317073170732"/>
    <n v="75.670731707317103"/>
    <n v="272.41463414634097"/>
  </r>
  <r>
    <x v="0"/>
    <x v="0"/>
    <x v="0"/>
    <x v="0"/>
    <x v="0"/>
    <s v="DK1_MedSmall"/>
    <x v="0"/>
    <s v="GNR_ENG_BGAS_BP_E-38"/>
    <x v="0"/>
    <x v="2"/>
    <n v="0.207317073170732"/>
    <n v="75.670731707317103"/>
    <n v="272.41463414634097"/>
  </r>
  <r>
    <x v="0"/>
    <x v="0"/>
    <x v="0"/>
    <x v="0"/>
    <x v="0"/>
    <s v="DK1_MedSmall"/>
    <x v="0"/>
    <s v="GNR_ENG_BGAS_BP_E-38"/>
    <x v="0"/>
    <x v="3"/>
    <n v="0.207317073170732"/>
    <n v="75.670731707317103"/>
    <n v="272.41463414634097"/>
  </r>
  <r>
    <x v="0"/>
    <x v="0"/>
    <x v="0"/>
    <x v="0"/>
    <x v="0"/>
    <s v="DK1_MedSmall"/>
    <x v="0"/>
    <s v="GNR_ENG_BGAS_BP_E-38"/>
    <x v="0"/>
    <x v="4"/>
    <n v="0.207317073170732"/>
    <n v="75.670731707317103"/>
    <n v="272.41463414634097"/>
  </r>
  <r>
    <x v="0"/>
    <x v="0"/>
    <x v="0"/>
    <x v="0"/>
    <x v="0"/>
    <s v="DK1_MedSmall"/>
    <x v="0"/>
    <s v="GNR_ENG_BGAS_BP_E-38"/>
    <x v="0"/>
    <x v="5"/>
    <n v="0.207317073170732"/>
    <n v="75.670731707317103"/>
    <n v="272.41463414634097"/>
  </r>
  <r>
    <x v="0"/>
    <x v="0"/>
    <x v="0"/>
    <x v="0"/>
    <x v="0"/>
    <s v="DK1_MedSmall"/>
    <x v="0"/>
    <s v="GNR_ENG_BGAS_BP_E-38"/>
    <x v="0"/>
    <x v="6"/>
    <n v="0.207317073170732"/>
    <n v="75.670731707317103"/>
    <n v="272.41463414634097"/>
  </r>
  <r>
    <x v="0"/>
    <x v="0"/>
    <x v="0"/>
    <x v="0"/>
    <x v="0"/>
    <s v="DK1_MedSmall"/>
    <x v="0"/>
    <s v="GNR_ENG_BGAS_BP_E-38"/>
    <x v="0"/>
    <x v="7"/>
    <n v="0.207317073170732"/>
    <n v="75.670731707317103"/>
    <n v="272.41463414634097"/>
  </r>
  <r>
    <x v="0"/>
    <x v="0"/>
    <x v="0"/>
    <x v="0"/>
    <x v="0"/>
    <s v="DK1_MedSmall"/>
    <x v="0"/>
    <s v="GNR_ENG_BGAS_BP_E-38"/>
    <x v="0"/>
    <x v="8"/>
    <n v="0.207317073170732"/>
    <n v="75.670731707317103"/>
    <n v="272.41463414634097"/>
  </r>
  <r>
    <x v="0"/>
    <x v="0"/>
    <x v="0"/>
    <x v="0"/>
    <x v="0"/>
    <s v="DK1_MedSmall"/>
    <x v="0"/>
    <s v="GNR_ENG_BGAS_BP_E-38"/>
    <x v="0"/>
    <x v="9"/>
    <n v="0.207317073170732"/>
    <n v="75.670731707317103"/>
    <n v="272.41463414634097"/>
  </r>
  <r>
    <x v="0"/>
    <x v="0"/>
    <x v="0"/>
    <x v="0"/>
    <x v="0"/>
    <s v="DK1_MedSmall"/>
    <x v="0"/>
    <s v="GNR_ENG_BGAS_BP_E-38"/>
    <x v="0"/>
    <x v="10"/>
    <n v="0.207317073170732"/>
    <n v="75.670731707317103"/>
    <n v="272.41463414634097"/>
  </r>
  <r>
    <x v="0"/>
    <x v="0"/>
    <x v="0"/>
    <x v="0"/>
    <x v="0"/>
    <s v="DK1_MedSmall"/>
    <x v="0"/>
    <s v="GNR_ENG_BGAS_BP_E-38"/>
    <x v="0"/>
    <x v="11"/>
    <n v="0.207317073170732"/>
    <n v="75.670731707317103"/>
    <n v="272.41463414634097"/>
  </r>
  <r>
    <x v="0"/>
    <x v="0"/>
    <x v="0"/>
    <x v="0"/>
    <x v="0"/>
    <s v="DK1_MedSmall"/>
    <x v="0"/>
    <s v="GNR_ENG_BGAS_BP_E-38"/>
    <x v="0"/>
    <x v="12"/>
    <n v="0.207317073170732"/>
    <n v="75.670731707317103"/>
    <n v="272.41463414634097"/>
  </r>
  <r>
    <x v="0"/>
    <x v="0"/>
    <x v="0"/>
    <x v="0"/>
    <x v="0"/>
    <s v="DK1_MedSmall"/>
    <x v="0"/>
    <s v="GNR_ENG_BGAS_BP_E-38"/>
    <x v="0"/>
    <x v="13"/>
    <n v="0.207317073170732"/>
    <n v="75.670731707317103"/>
    <n v="272.41463414634097"/>
  </r>
  <r>
    <x v="0"/>
    <x v="0"/>
    <x v="0"/>
    <x v="0"/>
    <x v="0"/>
    <s v="DK1_MedSmall"/>
    <x v="0"/>
    <s v="GNR_ENG_BGAS_BP_E-38"/>
    <x v="0"/>
    <x v="14"/>
    <n v="0.207317073170732"/>
    <n v="75.670731707317103"/>
    <n v="272.41463414634097"/>
  </r>
  <r>
    <x v="0"/>
    <x v="0"/>
    <x v="0"/>
    <x v="0"/>
    <x v="0"/>
    <s v="DK1_MedSmall"/>
    <x v="0"/>
    <s v="GNR_ENG_BGAS_BP_E-38"/>
    <x v="0"/>
    <x v="15"/>
    <n v="0.207317073170732"/>
    <n v="75.670731707317103"/>
    <n v="272.41463414634097"/>
  </r>
  <r>
    <x v="0"/>
    <x v="0"/>
    <x v="0"/>
    <x v="0"/>
    <x v="0"/>
    <s v="DK1_MedSmall"/>
    <x v="0"/>
    <s v="GNR_ENG_BGAS_BP_E-38"/>
    <x v="0"/>
    <x v="16"/>
    <n v="0.207317073170732"/>
    <n v="75.670731707317103"/>
    <n v="272.41463414634097"/>
  </r>
  <r>
    <x v="0"/>
    <x v="0"/>
    <x v="0"/>
    <x v="0"/>
    <x v="0"/>
    <s v="DK1_MedSmall"/>
    <x v="0"/>
    <s v="GNR_ENG_BGAS_BP_E-38"/>
    <x v="0"/>
    <x v="17"/>
    <n v="0.207317073170732"/>
    <n v="75.670731707317103"/>
    <n v="272.41463414634097"/>
  </r>
  <r>
    <x v="0"/>
    <x v="0"/>
    <x v="0"/>
    <x v="0"/>
    <x v="0"/>
    <s v="DK1_MedSmall"/>
    <x v="0"/>
    <s v="GNR_ENG_BGAS_BP_E-38"/>
    <x v="0"/>
    <x v="18"/>
    <n v="0.207317073170732"/>
    <n v="75.670731707317103"/>
    <n v="272.41463414634097"/>
  </r>
  <r>
    <x v="0"/>
    <x v="0"/>
    <x v="0"/>
    <x v="0"/>
    <x v="0"/>
    <s v="DK1_MedSmall"/>
    <x v="0"/>
    <s v="GNR_ENG_BGAS_BP_E-38"/>
    <x v="0"/>
    <x v="19"/>
    <n v="0.207317073170732"/>
    <n v="75.670731707317103"/>
    <n v="272.41463414634097"/>
  </r>
  <r>
    <x v="0"/>
    <x v="0"/>
    <x v="0"/>
    <x v="0"/>
    <x v="0"/>
    <s v="DK1_MedSmall"/>
    <x v="0"/>
    <s v="GNR_ENG_BGAS_BP_E-38"/>
    <x v="0"/>
    <x v="20"/>
    <n v="0.207317073170732"/>
    <n v="75.670731707317103"/>
    <n v="272.41463414634097"/>
  </r>
  <r>
    <x v="0"/>
    <x v="0"/>
    <x v="0"/>
    <x v="0"/>
    <x v="0"/>
    <s v="DK1_MedSmall"/>
    <x v="0"/>
    <s v="GNR_ENG_BGAS_BP_E-38"/>
    <x v="0"/>
    <x v="21"/>
    <n v="0.207317073170732"/>
    <n v="75.670731707317103"/>
    <n v="272.41463414634097"/>
  </r>
  <r>
    <x v="0"/>
    <x v="0"/>
    <x v="0"/>
    <x v="0"/>
    <x v="0"/>
    <s v="DK1_MedSmall"/>
    <x v="0"/>
    <s v="GNR_ENG_BGAS_BP_E-38"/>
    <x v="0"/>
    <x v="22"/>
    <n v="0.207317073170732"/>
    <n v="75.670731707317103"/>
    <n v="272.41463414634097"/>
  </r>
  <r>
    <x v="0"/>
    <x v="0"/>
    <x v="0"/>
    <x v="0"/>
    <x v="0"/>
    <s v="DK1_MedSmall"/>
    <x v="0"/>
    <s v="GNR_ENG_BGAS_BP_E-38"/>
    <x v="0"/>
    <x v="23"/>
    <n v="0.207317073170732"/>
    <n v="75.670731707317103"/>
    <n v="272.41463414634097"/>
  </r>
  <r>
    <x v="0"/>
    <x v="0"/>
    <x v="0"/>
    <x v="0"/>
    <x v="0"/>
    <s v="DK1_MedSmall"/>
    <x v="1"/>
    <s v="GNR_BO_BIOIL_E-113"/>
    <x v="0"/>
    <x v="1"/>
    <n v="25"/>
    <n v="9125"/>
    <n v="32850"/>
  </r>
  <r>
    <x v="0"/>
    <x v="0"/>
    <x v="0"/>
    <x v="0"/>
    <x v="0"/>
    <s v="DK1_MedSmall"/>
    <x v="1"/>
    <s v="GNR_BO_BIOIL_E-113"/>
    <x v="0"/>
    <x v="4"/>
    <n v="21.426677855273599"/>
    <n v="7820.7374171748697"/>
    <n v="28154.654701829499"/>
  </r>
  <r>
    <x v="0"/>
    <x v="0"/>
    <x v="0"/>
    <x v="0"/>
    <x v="0"/>
    <s v="DK1_MedSmall"/>
    <x v="1"/>
    <s v="GNR_BO_BIOIL_E-113"/>
    <x v="0"/>
    <x v="6"/>
    <n v="23.4906519137635"/>
    <n v="8574.0879485236692"/>
    <n v="30866.7166146852"/>
  </r>
  <r>
    <x v="0"/>
    <x v="0"/>
    <x v="0"/>
    <x v="0"/>
    <x v="0"/>
    <s v="DK1_MedSmall"/>
    <x v="1"/>
    <s v="GNR_BO_BIOIL_E-113"/>
    <x v="0"/>
    <x v="7"/>
    <n v="25"/>
    <n v="9125"/>
    <n v="32850"/>
  </r>
  <r>
    <x v="0"/>
    <x v="0"/>
    <x v="0"/>
    <x v="0"/>
    <x v="0"/>
    <s v="DK1_MedSmall"/>
    <x v="1"/>
    <s v="GNR_BO_BIOIL_E-113"/>
    <x v="0"/>
    <x v="8"/>
    <n v="25"/>
    <n v="9125"/>
    <n v="32850"/>
  </r>
  <r>
    <x v="0"/>
    <x v="0"/>
    <x v="0"/>
    <x v="0"/>
    <x v="0"/>
    <s v="DK1_MedSmall"/>
    <x v="1"/>
    <s v="GNR_BO_BIOIL_E-113"/>
    <x v="0"/>
    <x v="9"/>
    <n v="25"/>
    <n v="9125"/>
    <n v="32850"/>
  </r>
  <r>
    <x v="0"/>
    <x v="0"/>
    <x v="0"/>
    <x v="0"/>
    <x v="0"/>
    <s v="DK1_MedSmall"/>
    <x v="1"/>
    <s v="GNR_BO_BIOIL_E-113"/>
    <x v="0"/>
    <x v="10"/>
    <n v="25"/>
    <n v="9125"/>
    <n v="32850"/>
  </r>
  <r>
    <x v="0"/>
    <x v="0"/>
    <x v="0"/>
    <x v="0"/>
    <x v="0"/>
    <s v="DK1_MedSmall"/>
    <x v="1"/>
    <s v="GNR_BO_BIOIL_E-113"/>
    <x v="0"/>
    <x v="11"/>
    <n v="25"/>
    <n v="9125"/>
    <n v="32850"/>
  </r>
  <r>
    <x v="0"/>
    <x v="0"/>
    <x v="0"/>
    <x v="0"/>
    <x v="0"/>
    <s v="DK1_MedSmall"/>
    <x v="1"/>
    <s v="GNR_BO_BIOIL_E-113"/>
    <x v="0"/>
    <x v="12"/>
    <n v="25"/>
    <n v="9125"/>
    <n v="32850"/>
  </r>
  <r>
    <x v="0"/>
    <x v="0"/>
    <x v="0"/>
    <x v="0"/>
    <x v="0"/>
    <s v="DK1_MedSmall"/>
    <x v="1"/>
    <s v="GNR_BO_BIOIL_E-113"/>
    <x v="0"/>
    <x v="13"/>
    <n v="25"/>
    <n v="9125"/>
    <n v="32850"/>
  </r>
  <r>
    <x v="0"/>
    <x v="0"/>
    <x v="0"/>
    <x v="0"/>
    <x v="0"/>
    <s v="DK1_MedSmall"/>
    <x v="1"/>
    <s v="GNR_BO_BIOIL_E-113"/>
    <x v="0"/>
    <x v="14"/>
    <n v="25"/>
    <n v="9125"/>
    <n v="32850"/>
  </r>
  <r>
    <x v="0"/>
    <x v="0"/>
    <x v="0"/>
    <x v="0"/>
    <x v="0"/>
    <s v="DK1_MedSmall"/>
    <x v="1"/>
    <s v="GNR_BO_BIOIL_E-113"/>
    <x v="0"/>
    <x v="15"/>
    <n v="25"/>
    <n v="9125"/>
    <n v="32850"/>
  </r>
  <r>
    <x v="0"/>
    <x v="0"/>
    <x v="0"/>
    <x v="0"/>
    <x v="0"/>
    <s v="DK1_MedSmall"/>
    <x v="1"/>
    <s v="GNR_BO_BIOIL_E-113"/>
    <x v="0"/>
    <x v="16"/>
    <n v="25"/>
    <n v="9125"/>
    <n v="32850"/>
  </r>
  <r>
    <x v="0"/>
    <x v="0"/>
    <x v="0"/>
    <x v="0"/>
    <x v="0"/>
    <s v="DK1_MedSmall"/>
    <x v="1"/>
    <s v="GNR_BO_BIOIL_E-113"/>
    <x v="0"/>
    <x v="17"/>
    <n v="25"/>
    <n v="9125"/>
    <n v="32850"/>
  </r>
  <r>
    <x v="0"/>
    <x v="0"/>
    <x v="0"/>
    <x v="0"/>
    <x v="0"/>
    <s v="DK1_MedSmall"/>
    <x v="1"/>
    <s v="GNR_BO_BIOIL_E-113"/>
    <x v="0"/>
    <x v="18"/>
    <n v="25"/>
    <n v="9125"/>
    <n v="32850"/>
  </r>
  <r>
    <x v="0"/>
    <x v="0"/>
    <x v="0"/>
    <x v="0"/>
    <x v="0"/>
    <s v="DK1_MedSmall"/>
    <x v="1"/>
    <s v="GNR_BO_BIOIL_E-113"/>
    <x v="0"/>
    <x v="19"/>
    <n v="25"/>
    <n v="9125"/>
    <n v="32850"/>
  </r>
  <r>
    <x v="0"/>
    <x v="0"/>
    <x v="0"/>
    <x v="0"/>
    <x v="0"/>
    <s v="DK1_MedSmall"/>
    <x v="1"/>
    <s v="GNR_BO_BIOIL_E-113"/>
    <x v="0"/>
    <x v="20"/>
    <n v="25"/>
    <n v="9125"/>
    <n v="32850"/>
  </r>
  <r>
    <x v="0"/>
    <x v="0"/>
    <x v="0"/>
    <x v="0"/>
    <x v="0"/>
    <s v="DK1_MedSmall"/>
    <x v="2"/>
    <s v="GNR_HS_HEAT-E-100"/>
    <x v="0"/>
    <x v="7"/>
    <n v="32.771587179679699"/>
    <n v="11961.629320583101"/>
    <n v="43061.865554099102"/>
  </r>
  <r>
    <x v="0"/>
    <x v="0"/>
    <x v="0"/>
    <x v="0"/>
    <x v="0"/>
    <s v="DK1_MedSmall"/>
    <x v="2"/>
    <s v="GNR_HS_HEAT-E-100"/>
    <x v="0"/>
    <x v="8"/>
    <n v="37.9687384263108"/>
    <n v="13858.5895256035"/>
    <n v="49890.922292172501"/>
  </r>
  <r>
    <x v="0"/>
    <x v="0"/>
    <x v="0"/>
    <x v="0"/>
    <x v="0"/>
    <s v="DK1_MedSmall"/>
    <x v="2"/>
    <s v="GNR_HS_HEAT-E-100"/>
    <x v="0"/>
    <x v="9"/>
    <n v="37.302436984435097"/>
    <n v="13615.389499318801"/>
    <n v="49015.402197547701"/>
  </r>
  <r>
    <x v="0"/>
    <x v="0"/>
    <x v="0"/>
    <x v="0"/>
    <x v="0"/>
    <s v="DK1_MedSmall"/>
    <x v="2"/>
    <s v="GNR_HS_HEAT-E-100"/>
    <x v="0"/>
    <x v="10"/>
    <n v="38.501779579811497"/>
    <n v="14053.149546631201"/>
    <n v="50591.338367872297"/>
  </r>
  <r>
    <x v="0"/>
    <x v="0"/>
    <x v="0"/>
    <x v="0"/>
    <x v="0"/>
    <s v="DK1_MedSmall"/>
    <x v="2"/>
    <s v="GNR_HS_HEAT-E-100"/>
    <x v="0"/>
    <x v="11"/>
    <n v="37.302436984435097"/>
    <n v="13615.389499318801"/>
    <n v="49015.402197547701"/>
  </r>
  <r>
    <x v="0"/>
    <x v="0"/>
    <x v="0"/>
    <x v="0"/>
    <x v="0"/>
    <s v="DK1_MedSmall"/>
    <x v="2"/>
    <s v="GNR_HS_HEAT-E-100"/>
    <x v="0"/>
    <x v="12"/>
    <n v="29.839860835426201"/>
    <n v="10891.549204930599"/>
    <n v="39209.577137749999"/>
  </r>
  <r>
    <x v="0"/>
    <x v="0"/>
    <x v="0"/>
    <x v="0"/>
    <x v="0"/>
    <s v="DK1_MedSmall"/>
    <x v="2"/>
    <s v="GNR_HS_HEAT-E-100"/>
    <x v="0"/>
    <x v="13"/>
    <n v="24.6427095887951"/>
    <n v="8994.5889999102001"/>
    <n v="32380.520399676701"/>
  </r>
  <r>
    <x v="0"/>
    <x v="0"/>
    <x v="0"/>
    <x v="0"/>
    <x v="0"/>
    <s v="DK1_MedSmall"/>
    <x v="2"/>
    <s v="GNR_HS_HEAT-E-100"/>
    <x v="0"/>
    <x v="14"/>
    <n v="26.774874202797601"/>
    <n v="9772.8290840211193"/>
    <n v="35182.184702475999"/>
  </r>
  <r>
    <x v="0"/>
    <x v="0"/>
    <x v="0"/>
    <x v="0"/>
    <x v="0"/>
    <s v="DK1_MedSmall"/>
    <x v="2"/>
    <s v="GNR_HS_HEAT-E-100"/>
    <x v="0"/>
    <x v="15"/>
    <n v="28.773778528425002"/>
    <n v="10502.4291628751"/>
    <n v="37808.744986350401"/>
  </r>
  <r>
    <x v="0"/>
    <x v="0"/>
    <x v="0"/>
    <x v="0"/>
    <x v="0"/>
    <s v="DK1_MedSmall"/>
    <x v="2"/>
    <s v="GNR_HS_HEAT-E-100"/>
    <x v="0"/>
    <x v="16"/>
    <n v="29.973121123801398"/>
    <n v="10940.1892101875"/>
    <n v="39384.681156674997"/>
  </r>
  <r>
    <x v="0"/>
    <x v="0"/>
    <x v="0"/>
    <x v="0"/>
    <x v="0"/>
    <s v="DK1_MedSmall"/>
    <x v="2"/>
    <s v="GNR_HS_HEAT-E-100"/>
    <x v="0"/>
    <x v="17"/>
    <n v="33.571148909930599"/>
    <n v="12253.469352124701"/>
    <n v="44112.489667648799"/>
  </r>
  <r>
    <x v="0"/>
    <x v="0"/>
    <x v="0"/>
    <x v="0"/>
    <x v="0"/>
    <s v="DK1_MedSmall"/>
    <x v="2"/>
    <s v="GNR_HS_HEAT-E-100"/>
    <x v="0"/>
    <x v="18"/>
    <n v="33.038107756430001"/>
    <n v="12058.9093310969"/>
    <n v="43412.073591949003"/>
  </r>
  <r>
    <x v="0"/>
    <x v="0"/>
    <x v="0"/>
    <x v="0"/>
    <x v="0"/>
    <s v="DK1_MedSmall"/>
    <x v="2"/>
    <s v="GNR_HS_HEAT-E-100"/>
    <x v="0"/>
    <x v="19"/>
    <n v="27.574435933048498"/>
    <n v="10064.6691155627"/>
    <n v="36232.808816025798"/>
  </r>
  <r>
    <x v="0"/>
    <x v="0"/>
    <x v="0"/>
    <x v="0"/>
    <x v="0"/>
    <s v="DK1_MedSmall"/>
    <x v="2"/>
    <s v="GNR_HS_HEAT-E-100"/>
    <x v="0"/>
    <x v="20"/>
    <n v="17.313393728161401"/>
    <n v="6319.3887107789096"/>
    <n v="22749.799358804099"/>
  </r>
  <r>
    <x v="0"/>
    <x v="0"/>
    <x v="0"/>
    <x v="0"/>
    <x v="0"/>
    <s v="DK1_MedSmall"/>
    <x v="3"/>
    <s v="GNR_BO_MSW_E-100"/>
    <x v="0"/>
    <x v="0"/>
    <n v="6.5"/>
    <n v="2372.5"/>
    <n v="8541"/>
  </r>
  <r>
    <x v="0"/>
    <x v="0"/>
    <x v="0"/>
    <x v="0"/>
    <x v="0"/>
    <s v="DK1_MedSmall"/>
    <x v="3"/>
    <s v="GNR_BO_MSW_E-100"/>
    <x v="0"/>
    <x v="1"/>
    <n v="6.5"/>
    <n v="2372.5"/>
    <n v="8541"/>
  </r>
  <r>
    <x v="0"/>
    <x v="0"/>
    <x v="0"/>
    <x v="0"/>
    <x v="0"/>
    <s v="DK1_MedSmall"/>
    <x v="3"/>
    <s v="GNR_BO_MSW_E-100"/>
    <x v="0"/>
    <x v="2"/>
    <n v="6.5"/>
    <n v="2372.5"/>
    <n v="8541"/>
  </r>
  <r>
    <x v="0"/>
    <x v="0"/>
    <x v="0"/>
    <x v="0"/>
    <x v="0"/>
    <s v="DK1_MedSmall"/>
    <x v="3"/>
    <s v="GNR_BO_MSW_E-100"/>
    <x v="0"/>
    <x v="3"/>
    <n v="6.5"/>
    <n v="2372.5"/>
    <n v="8541"/>
  </r>
  <r>
    <x v="0"/>
    <x v="0"/>
    <x v="0"/>
    <x v="0"/>
    <x v="0"/>
    <s v="DK1_MedSmall"/>
    <x v="3"/>
    <s v="GNR_BO_MSW_E-100"/>
    <x v="0"/>
    <x v="4"/>
    <n v="6.5"/>
    <n v="2372.5"/>
    <n v="8541"/>
  </r>
  <r>
    <x v="0"/>
    <x v="0"/>
    <x v="0"/>
    <x v="0"/>
    <x v="0"/>
    <s v="DK1_MedSmall"/>
    <x v="3"/>
    <s v="GNR_BO_MSW_E-100"/>
    <x v="0"/>
    <x v="5"/>
    <n v="6.5"/>
    <n v="2372.5"/>
    <n v="8541"/>
  </r>
  <r>
    <x v="0"/>
    <x v="0"/>
    <x v="0"/>
    <x v="0"/>
    <x v="0"/>
    <s v="DK1_MedSmall"/>
    <x v="3"/>
    <s v="GNR_BO_MSW_E-100"/>
    <x v="0"/>
    <x v="6"/>
    <n v="6.5"/>
    <n v="2372.5"/>
    <n v="8541"/>
  </r>
  <r>
    <x v="0"/>
    <x v="0"/>
    <x v="0"/>
    <x v="0"/>
    <x v="0"/>
    <s v="DK1_MedSmall"/>
    <x v="3"/>
    <s v="GNR_BO_MSW_E-100"/>
    <x v="0"/>
    <x v="7"/>
    <n v="6.5"/>
    <n v="2372.5"/>
    <n v="8541"/>
  </r>
  <r>
    <x v="0"/>
    <x v="0"/>
    <x v="0"/>
    <x v="0"/>
    <x v="0"/>
    <s v="DK1_MedSmall"/>
    <x v="3"/>
    <s v="GNR_BO_MSW_E-100"/>
    <x v="0"/>
    <x v="8"/>
    <n v="6.5"/>
    <n v="2372.5"/>
    <n v="8541"/>
  </r>
  <r>
    <x v="0"/>
    <x v="0"/>
    <x v="0"/>
    <x v="0"/>
    <x v="0"/>
    <s v="DK1_MedSmall"/>
    <x v="3"/>
    <s v="GNR_BO_MSW_E-100"/>
    <x v="0"/>
    <x v="9"/>
    <n v="6.5"/>
    <n v="2372.5"/>
    <n v="8541"/>
  </r>
  <r>
    <x v="0"/>
    <x v="0"/>
    <x v="0"/>
    <x v="0"/>
    <x v="0"/>
    <s v="DK1_MedSmall"/>
    <x v="3"/>
    <s v="GNR_BO_MSW_E-100"/>
    <x v="0"/>
    <x v="10"/>
    <n v="6.5"/>
    <n v="2372.5"/>
    <n v="8541"/>
  </r>
  <r>
    <x v="0"/>
    <x v="0"/>
    <x v="0"/>
    <x v="0"/>
    <x v="0"/>
    <s v="DK1_MedSmall"/>
    <x v="3"/>
    <s v="GNR_BO_MSW_E-100"/>
    <x v="0"/>
    <x v="11"/>
    <n v="6.5"/>
    <n v="2372.5"/>
    <n v="8541"/>
  </r>
  <r>
    <x v="0"/>
    <x v="0"/>
    <x v="0"/>
    <x v="0"/>
    <x v="0"/>
    <s v="DK1_MedSmall"/>
    <x v="3"/>
    <s v="GNR_BO_MSW_E-100"/>
    <x v="0"/>
    <x v="12"/>
    <n v="6.5"/>
    <n v="2372.5"/>
    <n v="8541"/>
  </r>
  <r>
    <x v="0"/>
    <x v="0"/>
    <x v="0"/>
    <x v="0"/>
    <x v="0"/>
    <s v="DK1_MedSmall"/>
    <x v="3"/>
    <s v="GNR_BO_MSW_E-100"/>
    <x v="0"/>
    <x v="13"/>
    <n v="6.5"/>
    <n v="2372.5"/>
    <n v="8541"/>
  </r>
  <r>
    <x v="0"/>
    <x v="0"/>
    <x v="0"/>
    <x v="0"/>
    <x v="0"/>
    <s v="DK1_MedSmall"/>
    <x v="3"/>
    <s v="GNR_BO_MSW_E-100"/>
    <x v="0"/>
    <x v="14"/>
    <n v="6.5"/>
    <n v="2372.5"/>
    <n v="8541"/>
  </r>
  <r>
    <x v="0"/>
    <x v="0"/>
    <x v="0"/>
    <x v="0"/>
    <x v="0"/>
    <s v="DK1_MedSmall"/>
    <x v="3"/>
    <s v="GNR_BO_MSW_E-100"/>
    <x v="0"/>
    <x v="15"/>
    <n v="6.5"/>
    <n v="2372.5"/>
    <n v="8541"/>
  </r>
  <r>
    <x v="0"/>
    <x v="0"/>
    <x v="0"/>
    <x v="0"/>
    <x v="0"/>
    <s v="DK1_MedSmall"/>
    <x v="3"/>
    <s v="GNR_BO_MSW_E-100"/>
    <x v="0"/>
    <x v="16"/>
    <n v="6.5"/>
    <n v="2372.5"/>
    <n v="8541"/>
  </r>
  <r>
    <x v="0"/>
    <x v="0"/>
    <x v="0"/>
    <x v="0"/>
    <x v="0"/>
    <s v="DK1_MedSmall"/>
    <x v="3"/>
    <s v="GNR_BO_MSW_E-100"/>
    <x v="0"/>
    <x v="17"/>
    <n v="6.5"/>
    <n v="2372.5"/>
    <n v="8541"/>
  </r>
  <r>
    <x v="0"/>
    <x v="0"/>
    <x v="0"/>
    <x v="0"/>
    <x v="0"/>
    <s v="DK1_MedSmall"/>
    <x v="3"/>
    <s v="GNR_BO_MSW_E-100"/>
    <x v="0"/>
    <x v="18"/>
    <n v="6.5"/>
    <n v="2372.5"/>
    <n v="8541"/>
  </r>
  <r>
    <x v="0"/>
    <x v="0"/>
    <x v="0"/>
    <x v="0"/>
    <x v="0"/>
    <s v="DK1_MedSmall"/>
    <x v="3"/>
    <s v="GNR_BO_MSW_E-100"/>
    <x v="0"/>
    <x v="19"/>
    <n v="6.5"/>
    <n v="2372.5"/>
    <n v="8541"/>
  </r>
  <r>
    <x v="0"/>
    <x v="0"/>
    <x v="0"/>
    <x v="0"/>
    <x v="0"/>
    <s v="DK1_MedSmall"/>
    <x v="3"/>
    <s v="GNR_BO_MSW_E-100"/>
    <x v="0"/>
    <x v="20"/>
    <n v="6.5"/>
    <n v="2372.5"/>
    <n v="8541"/>
  </r>
  <r>
    <x v="0"/>
    <x v="0"/>
    <x v="0"/>
    <x v="0"/>
    <x v="0"/>
    <s v="DK1_MedSmall"/>
    <x v="3"/>
    <s v="GNR_BO_MSW_E-100"/>
    <x v="0"/>
    <x v="21"/>
    <n v="6.5"/>
    <n v="2372.5"/>
    <n v="8541"/>
  </r>
  <r>
    <x v="0"/>
    <x v="0"/>
    <x v="0"/>
    <x v="0"/>
    <x v="0"/>
    <s v="DK1_MedSmall"/>
    <x v="3"/>
    <s v="GNR_BO_MSW_E-100"/>
    <x v="0"/>
    <x v="22"/>
    <n v="6.5"/>
    <n v="2372.5"/>
    <n v="8541"/>
  </r>
  <r>
    <x v="0"/>
    <x v="0"/>
    <x v="0"/>
    <x v="0"/>
    <x v="0"/>
    <s v="DK1_MedSmall"/>
    <x v="3"/>
    <s v="GNR_BO_MSW_E-100"/>
    <x v="0"/>
    <x v="23"/>
    <n v="6.5"/>
    <n v="2372.5"/>
    <n v="8541"/>
  </r>
  <r>
    <x v="0"/>
    <x v="0"/>
    <x v="0"/>
    <x v="0"/>
    <x v="0"/>
    <s v="DK1_MedSmall"/>
    <x v="3"/>
    <s v="GNR_ST_MSW_BP_E-17"/>
    <x v="0"/>
    <x v="0"/>
    <n v="8.1146681458633108"/>
    <n v="2961.8538732401098"/>
    <n v="10662.6739436644"/>
  </r>
  <r>
    <x v="0"/>
    <x v="0"/>
    <x v="0"/>
    <x v="0"/>
    <x v="0"/>
    <s v="DK1_MedSmall"/>
    <x v="3"/>
    <s v="GNR_ST_MSW_BP_E-17"/>
    <x v="0"/>
    <x v="1"/>
    <n v="8.1146681458633108"/>
    <n v="2961.8538732401098"/>
    <n v="10662.6739436644"/>
  </r>
  <r>
    <x v="0"/>
    <x v="0"/>
    <x v="0"/>
    <x v="0"/>
    <x v="0"/>
    <s v="DK1_MedSmall"/>
    <x v="3"/>
    <s v="GNR_ST_MSW_BP_E-17"/>
    <x v="0"/>
    <x v="2"/>
    <n v="8.1146681458633108"/>
    <n v="2961.8538732401098"/>
    <n v="10662.6739436644"/>
  </r>
  <r>
    <x v="0"/>
    <x v="0"/>
    <x v="0"/>
    <x v="0"/>
    <x v="0"/>
    <s v="DK1_MedSmall"/>
    <x v="3"/>
    <s v="GNR_ST_MSW_BP_E-17"/>
    <x v="0"/>
    <x v="3"/>
    <n v="8.1146681458633108"/>
    <n v="2961.8538732401098"/>
    <n v="10662.6739436644"/>
  </r>
  <r>
    <x v="0"/>
    <x v="0"/>
    <x v="0"/>
    <x v="0"/>
    <x v="0"/>
    <s v="DK1_MedSmall"/>
    <x v="3"/>
    <s v="GNR_ST_MSW_BP_E-17"/>
    <x v="0"/>
    <x v="4"/>
    <n v="8.1146681458633108"/>
    <n v="2961.8538732401098"/>
    <n v="10662.6739436644"/>
  </r>
  <r>
    <x v="0"/>
    <x v="0"/>
    <x v="0"/>
    <x v="0"/>
    <x v="0"/>
    <s v="DK1_MedSmall"/>
    <x v="3"/>
    <s v="GNR_ST_MSW_BP_E-17"/>
    <x v="0"/>
    <x v="5"/>
    <n v="8.1146681458633108"/>
    <n v="2961.8538732401098"/>
    <n v="10662.6739436644"/>
  </r>
  <r>
    <x v="0"/>
    <x v="0"/>
    <x v="0"/>
    <x v="0"/>
    <x v="0"/>
    <s v="DK1_MedSmall"/>
    <x v="3"/>
    <s v="GNR_ST_MSW_BP_E-17"/>
    <x v="0"/>
    <x v="6"/>
    <n v="8.1146681458633108"/>
    <n v="2961.8538732401098"/>
    <n v="10662.6739436644"/>
  </r>
  <r>
    <x v="0"/>
    <x v="0"/>
    <x v="0"/>
    <x v="0"/>
    <x v="0"/>
    <s v="DK1_MedSmall"/>
    <x v="3"/>
    <s v="GNR_ST_MSW_BP_E-17"/>
    <x v="0"/>
    <x v="7"/>
    <n v="8.1146681458633108"/>
    <n v="2961.8538732401098"/>
    <n v="10662.6739436644"/>
  </r>
  <r>
    <x v="0"/>
    <x v="0"/>
    <x v="0"/>
    <x v="0"/>
    <x v="0"/>
    <s v="DK1_MedSmall"/>
    <x v="3"/>
    <s v="GNR_ST_MSW_BP_E-17"/>
    <x v="0"/>
    <x v="8"/>
    <n v="8.1146681458633108"/>
    <n v="2961.8538732401098"/>
    <n v="10662.6739436644"/>
  </r>
  <r>
    <x v="0"/>
    <x v="0"/>
    <x v="0"/>
    <x v="0"/>
    <x v="0"/>
    <s v="DK1_MedSmall"/>
    <x v="3"/>
    <s v="GNR_ST_MSW_BP_E-17"/>
    <x v="0"/>
    <x v="9"/>
    <n v="8.1146681458633108"/>
    <n v="2961.8538732401098"/>
    <n v="10662.6739436644"/>
  </r>
  <r>
    <x v="0"/>
    <x v="0"/>
    <x v="0"/>
    <x v="0"/>
    <x v="0"/>
    <s v="DK1_MedSmall"/>
    <x v="3"/>
    <s v="GNR_ST_MSW_BP_E-17"/>
    <x v="0"/>
    <x v="10"/>
    <n v="8.1146681458633108"/>
    <n v="2961.8538732401098"/>
    <n v="10662.6739436644"/>
  </r>
  <r>
    <x v="0"/>
    <x v="0"/>
    <x v="0"/>
    <x v="0"/>
    <x v="0"/>
    <s v="DK1_MedSmall"/>
    <x v="3"/>
    <s v="GNR_ST_MSW_BP_E-17"/>
    <x v="0"/>
    <x v="11"/>
    <n v="8.1146681458633108"/>
    <n v="2961.8538732401098"/>
    <n v="10662.6739436644"/>
  </r>
  <r>
    <x v="0"/>
    <x v="0"/>
    <x v="0"/>
    <x v="0"/>
    <x v="0"/>
    <s v="DK1_MedSmall"/>
    <x v="3"/>
    <s v="GNR_ST_MSW_BP_E-17"/>
    <x v="0"/>
    <x v="12"/>
    <n v="8.1146681458633108"/>
    <n v="2961.8538732401098"/>
    <n v="10662.6739436644"/>
  </r>
  <r>
    <x v="0"/>
    <x v="0"/>
    <x v="0"/>
    <x v="0"/>
    <x v="0"/>
    <s v="DK1_MedSmall"/>
    <x v="3"/>
    <s v="GNR_ST_MSW_BP_E-17"/>
    <x v="0"/>
    <x v="13"/>
    <n v="8.1146681458633108"/>
    <n v="2961.8538732401098"/>
    <n v="10662.6739436644"/>
  </r>
  <r>
    <x v="0"/>
    <x v="0"/>
    <x v="0"/>
    <x v="0"/>
    <x v="0"/>
    <s v="DK1_MedSmall"/>
    <x v="3"/>
    <s v="GNR_ST_MSW_BP_E-17"/>
    <x v="0"/>
    <x v="14"/>
    <n v="8.1146681458633108"/>
    <n v="2961.8538732401098"/>
    <n v="10662.6739436644"/>
  </r>
  <r>
    <x v="0"/>
    <x v="0"/>
    <x v="0"/>
    <x v="0"/>
    <x v="0"/>
    <s v="DK1_MedSmall"/>
    <x v="3"/>
    <s v="GNR_ST_MSW_BP_E-17"/>
    <x v="0"/>
    <x v="15"/>
    <n v="8.1146681458633108"/>
    <n v="2961.8538732401098"/>
    <n v="10662.6739436644"/>
  </r>
  <r>
    <x v="0"/>
    <x v="0"/>
    <x v="0"/>
    <x v="0"/>
    <x v="0"/>
    <s v="DK1_MedSmall"/>
    <x v="3"/>
    <s v="GNR_ST_MSW_BP_E-17"/>
    <x v="0"/>
    <x v="16"/>
    <n v="8.1146681458633108"/>
    <n v="2961.8538732401098"/>
    <n v="10662.6739436644"/>
  </r>
  <r>
    <x v="0"/>
    <x v="0"/>
    <x v="0"/>
    <x v="0"/>
    <x v="0"/>
    <s v="DK1_MedSmall"/>
    <x v="3"/>
    <s v="GNR_ST_MSW_BP_E-17"/>
    <x v="0"/>
    <x v="17"/>
    <n v="8.1146681458633108"/>
    <n v="2961.8538732401098"/>
    <n v="10662.6739436644"/>
  </r>
  <r>
    <x v="0"/>
    <x v="0"/>
    <x v="0"/>
    <x v="0"/>
    <x v="0"/>
    <s v="DK1_MedSmall"/>
    <x v="3"/>
    <s v="GNR_ST_MSW_BP_E-17"/>
    <x v="0"/>
    <x v="18"/>
    <n v="8.1146681458633108"/>
    <n v="2961.8538732401098"/>
    <n v="10662.6739436644"/>
  </r>
  <r>
    <x v="0"/>
    <x v="0"/>
    <x v="0"/>
    <x v="0"/>
    <x v="0"/>
    <s v="DK1_MedSmall"/>
    <x v="3"/>
    <s v="GNR_ST_MSW_BP_E-17"/>
    <x v="0"/>
    <x v="19"/>
    <n v="8.1146681458633108"/>
    <n v="2961.8538732401098"/>
    <n v="10662.6739436644"/>
  </r>
  <r>
    <x v="0"/>
    <x v="0"/>
    <x v="0"/>
    <x v="0"/>
    <x v="0"/>
    <s v="DK1_MedSmall"/>
    <x v="3"/>
    <s v="GNR_ST_MSW_BP_E-17"/>
    <x v="0"/>
    <x v="20"/>
    <n v="8.1146681458633108"/>
    <n v="2961.8538732401098"/>
    <n v="10662.6739436644"/>
  </r>
  <r>
    <x v="0"/>
    <x v="0"/>
    <x v="0"/>
    <x v="0"/>
    <x v="0"/>
    <s v="DK1_MedSmall"/>
    <x v="3"/>
    <s v="GNR_ST_MSW_BP_E-17"/>
    <x v="0"/>
    <x v="21"/>
    <n v="8.1146681458633108"/>
    <n v="2961.8538732401098"/>
    <n v="10662.6739436644"/>
  </r>
  <r>
    <x v="0"/>
    <x v="0"/>
    <x v="0"/>
    <x v="0"/>
    <x v="0"/>
    <s v="DK1_MedSmall"/>
    <x v="3"/>
    <s v="GNR_ST_MSW_BP_E-17"/>
    <x v="0"/>
    <x v="22"/>
    <n v="8.1146681458633108"/>
    <n v="2961.8538732401098"/>
    <n v="10662.6739436644"/>
  </r>
  <r>
    <x v="0"/>
    <x v="0"/>
    <x v="0"/>
    <x v="0"/>
    <x v="0"/>
    <s v="DK1_MedSmall"/>
    <x v="3"/>
    <s v="GNR_ST_MSW_BP_E-17"/>
    <x v="0"/>
    <x v="23"/>
    <n v="8.1146681458633108"/>
    <n v="2961.8538732401098"/>
    <n v="10662.6739436644"/>
  </r>
  <r>
    <x v="0"/>
    <x v="0"/>
    <x v="0"/>
    <x v="0"/>
    <x v="0"/>
    <s v="DK1_MedSmall"/>
    <x v="3"/>
    <s v="GNR_ST_MSW_BP_E-20"/>
    <x v="0"/>
    <x v="0"/>
    <n v="11.157668700562001"/>
    <n v="4072.5490757051498"/>
    <n v="14661.1766725385"/>
  </r>
  <r>
    <x v="0"/>
    <x v="0"/>
    <x v="0"/>
    <x v="0"/>
    <x v="0"/>
    <s v="DK1_MedSmall"/>
    <x v="3"/>
    <s v="GNR_ST_MSW_BP_E-20"/>
    <x v="0"/>
    <x v="1"/>
    <n v="11.157668700562001"/>
    <n v="4072.5490757051498"/>
    <n v="14661.1766725385"/>
  </r>
  <r>
    <x v="0"/>
    <x v="0"/>
    <x v="0"/>
    <x v="0"/>
    <x v="0"/>
    <s v="DK1_MedSmall"/>
    <x v="3"/>
    <s v="GNR_ST_MSW_BP_E-20"/>
    <x v="0"/>
    <x v="2"/>
    <n v="11.157668700562001"/>
    <n v="4072.5490757051498"/>
    <n v="14661.1766725385"/>
  </r>
  <r>
    <x v="0"/>
    <x v="0"/>
    <x v="0"/>
    <x v="0"/>
    <x v="0"/>
    <s v="DK1_MedSmall"/>
    <x v="3"/>
    <s v="GNR_ST_MSW_BP_E-20"/>
    <x v="0"/>
    <x v="3"/>
    <n v="11.157668700562001"/>
    <n v="4072.5490757051498"/>
    <n v="14661.1766725385"/>
  </r>
  <r>
    <x v="0"/>
    <x v="0"/>
    <x v="0"/>
    <x v="0"/>
    <x v="0"/>
    <s v="DK1_MedSmall"/>
    <x v="3"/>
    <s v="GNR_ST_MSW_BP_E-20"/>
    <x v="0"/>
    <x v="4"/>
    <n v="11.157668700562001"/>
    <n v="4072.5490757051498"/>
    <n v="14661.1766725385"/>
  </r>
  <r>
    <x v="0"/>
    <x v="0"/>
    <x v="0"/>
    <x v="0"/>
    <x v="0"/>
    <s v="DK1_MedSmall"/>
    <x v="3"/>
    <s v="GNR_ST_MSW_BP_E-20"/>
    <x v="0"/>
    <x v="5"/>
    <n v="11.157668700562001"/>
    <n v="4072.5490757051498"/>
    <n v="14661.1766725385"/>
  </r>
  <r>
    <x v="0"/>
    <x v="0"/>
    <x v="0"/>
    <x v="0"/>
    <x v="0"/>
    <s v="DK1_MedSmall"/>
    <x v="3"/>
    <s v="GNR_ST_MSW_BP_E-20"/>
    <x v="0"/>
    <x v="6"/>
    <n v="11.157668700562001"/>
    <n v="4072.5490757051498"/>
    <n v="14661.1766725385"/>
  </r>
  <r>
    <x v="0"/>
    <x v="0"/>
    <x v="0"/>
    <x v="0"/>
    <x v="0"/>
    <s v="DK1_MedSmall"/>
    <x v="3"/>
    <s v="GNR_ST_MSW_BP_E-20"/>
    <x v="0"/>
    <x v="7"/>
    <n v="11.157668700562001"/>
    <n v="4072.5490757051498"/>
    <n v="14661.1766725385"/>
  </r>
  <r>
    <x v="0"/>
    <x v="0"/>
    <x v="0"/>
    <x v="0"/>
    <x v="0"/>
    <s v="DK1_MedSmall"/>
    <x v="3"/>
    <s v="GNR_ST_MSW_BP_E-20"/>
    <x v="0"/>
    <x v="8"/>
    <n v="11.157668700562001"/>
    <n v="4072.5490757051498"/>
    <n v="14661.1766725385"/>
  </r>
  <r>
    <x v="0"/>
    <x v="0"/>
    <x v="0"/>
    <x v="0"/>
    <x v="0"/>
    <s v="DK1_MedSmall"/>
    <x v="3"/>
    <s v="GNR_ST_MSW_BP_E-20"/>
    <x v="0"/>
    <x v="9"/>
    <n v="11.157668700562001"/>
    <n v="4072.5490757051498"/>
    <n v="14661.1766725385"/>
  </r>
  <r>
    <x v="0"/>
    <x v="0"/>
    <x v="0"/>
    <x v="0"/>
    <x v="0"/>
    <s v="DK1_MedSmall"/>
    <x v="3"/>
    <s v="GNR_ST_MSW_BP_E-20"/>
    <x v="0"/>
    <x v="10"/>
    <n v="11.157668700562001"/>
    <n v="4072.5490757051498"/>
    <n v="14661.1766725385"/>
  </r>
  <r>
    <x v="0"/>
    <x v="0"/>
    <x v="0"/>
    <x v="0"/>
    <x v="0"/>
    <s v="DK1_MedSmall"/>
    <x v="3"/>
    <s v="GNR_ST_MSW_BP_E-20"/>
    <x v="0"/>
    <x v="11"/>
    <n v="11.157668700562001"/>
    <n v="4072.5490757051498"/>
    <n v="14661.1766725385"/>
  </r>
  <r>
    <x v="0"/>
    <x v="0"/>
    <x v="0"/>
    <x v="0"/>
    <x v="0"/>
    <s v="DK1_MedSmall"/>
    <x v="3"/>
    <s v="GNR_ST_MSW_BP_E-20"/>
    <x v="0"/>
    <x v="12"/>
    <n v="11.157668700562001"/>
    <n v="4072.5490757051498"/>
    <n v="14661.1766725385"/>
  </r>
  <r>
    <x v="0"/>
    <x v="0"/>
    <x v="0"/>
    <x v="0"/>
    <x v="0"/>
    <s v="DK1_MedSmall"/>
    <x v="3"/>
    <s v="GNR_ST_MSW_BP_E-20"/>
    <x v="0"/>
    <x v="13"/>
    <n v="11.157668700562001"/>
    <n v="4072.5490757051498"/>
    <n v="14661.1766725385"/>
  </r>
  <r>
    <x v="0"/>
    <x v="0"/>
    <x v="0"/>
    <x v="0"/>
    <x v="0"/>
    <s v="DK1_MedSmall"/>
    <x v="3"/>
    <s v="GNR_ST_MSW_BP_E-20"/>
    <x v="0"/>
    <x v="14"/>
    <n v="11.157668700562001"/>
    <n v="4072.5490757051498"/>
    <n v="14661.1766725385"/>
  </r>
  <r>
    <x v="0"/>
    <x v="0"/>
    <x v="0"/>
    <x v="0"/>
    <x v="0"/>
    <s v="DK1_MedSmall"/>
    <x v="3"/>
    <s v="GNR_ST_MSW_BP_E-20"/>
    <x v="0"/>
    <x v="15"/>
    <n v="11.157668700562001"/>
    <n v="4072.5490757051498"/>
    <n v="14661.1766725385"/>
  </r>
  <r>
    <x v="0"/>
    <x v="0"/>
    <x v="0"/>
    <x v="0"/>
    <x v="0"/>
    <s v="DK1_MedSmall"/>
    <x v="3"/>
    <s v="GNR_ST_MSW_BP_E-20"/>
    <x v="0"/>
    <x v="16"/>
    <n v="11.157668700562001"/>
    <n v="4072.5490757051498"/>
    <n v="14661.1766725385"/>
  </r>
  <r>
    <x v="0"/>
    <x v="0"/>
    <x v="0"/>
    <x v="0"/>
    <x v="0"/>
    <s v="DK1_MedSmall"/>
    <x v="3"/>
    <s v="GNR_ST_MSW_BP_E-20"/>
    <x v="0"/>
    <x v="17"/>
    <n v="11.157668700562001"/>
    <n v="4072.5490757051498"/>
    <n v="14661.1766725385"/>
  </r>
  <r>
    <x v="0"/>
    <x v="0"/>
    <x v="0"/>
    <x v="0"/>
    <x v="0"/>
    <s v="DK1_MedSmall"/>
    <x v="3"/>
    <s v="GNR_ST_MSW_BP_E-20"/>
    <x v="0"/>
    <x v="18"/>
    <n v="11.157668700562001"/>
    <n v="4072.5490757051498"/>
    <n v="14661.1766725385"/>
  </r>
  <r>
    <x v="0"/>
    <x v="0"/>
    <x v="0"/>
    <x v="0"/>
    <x v="0"/>
    <s v="DK1_MedSmall"/>
    <x v="3"/>
    <s v="GNR_ST_MSW_BP_E-20"/>
    <x v="0"/>
    <x v="19"/>
    <n v="11.157668700562001"/>
    <n v="4072.5490757051498"/>
    <n v="14661.1766725385"/>
  </r>
  <r>
    <x v="0"/>
    <x v="0"/>
    <x v="0"/>
    <x v="0"/>
    <x v="0"/>
    <s v="DK1_MedSmall"/>
    <x v="3"/>
    <s v="GNR_ST_MSW_BP_E-20"/>
    <x v="0"/>
    <x v="20"/>
    <n v="11.157668700562001"/>
    <n v="4072.5490757051498"/>
    <n v="14661.1766725385"/>
  </r>
  <r>
    <x v="0"/>
    <x v="0"/>
    <x v="0"/>
    <x v="0"/>
    <x v="0"/>
    <s v="DK1_MedSmall"/>
    <x v="3"/>
    <s v="GNR_ST_MSW_BP_E-20"/>
    <x v="0"/>
    <x v="21"/>
    <n v="11.157668700562001"/>
    <n v="4072.5490757051498"/>
    <n v="14661.1766725385"/>
  </r>
  <r>
    <x v="0"/>
    <x v="0"/>
    <x v="0"/>
    <x v="0"/>
    <x v="0"/>
    <s v="DK1_MedSmall"/>
    <x v="3"/>
    <s v="GNR_ST_MSW_BP_E-20"/>
    <x v="0"/>
    <x v="22"/>
    <n v="11.157668700562001"/>
    <n v="4072.5490757051498"/>
    <n v="14661.1766725385"/>
  </r>
  <r>
    <x v="0"/>
    <x v="0"/>
    <x v="0"/>
    <x v="0"/>
    <x v="0"/>
    <s v="DK1_MedSmall"/>
    <x v="3"/>
    <s v="GNR_ST_MSW_BP_E-20"/>
    <x v="0"/>
    <x v="23"/>
    <n v="11.157668700562001"/>
    <n v="4072.5490757051498"/>
    <n v="14661.1766725385"/>
  </r>
  <r>
    <x v="0"/>
    <x v="0"/>
    <x v="0"/>
    <x v="0"/>
    <x v="0"/>
    <s v="DK1_MedSmall"/>
    <x v="3"/>
    <s v="GNR_ST_MSW_BP_E-21"/>
    <x v="0"/>
    <x v="0"/>
    <n v="33.811117274430401"/>
    <n v="12341.0578051671"/>
    <n v="44427.808098601599"/>
  </r>
  <r>
    <x v="0"/>
    <x v="0"/>
    <x v="0"/>
    <x v="0"/>
    <x v="0"/>
    <s v="DK1_MedSmall"/>
    <x v="3"/>
    <s v="GNR_ST_MSW_BP_E-21"/>
    <x v="0"/>
    <x v="1"/>
    <n v="33.811117274430401"/>
    <n v="12341.0578051671"/>
    <n v="44427.808098601599"/>
  </r>
  <r>
    <x v="0"/>
    <x v="0"/>
    <x v="0"/>
    <x v="0"/>
    <x v="0"/>
    <s v="DK1_MedSmall"/>
    <x v="3"/>
    <s v="GNR_ST_MSW_BP_E-21"/>
    <x v="0"/>
    <x v="2"/>
    <n v="33.811117274430401"/>
    <n v="12341.0578051671"/>
    <n v="44427.808098601599"/>
  </r>
  <r>
    <x v="0"/>
    <x v="0"/>
    <x v="0"/>
    <x v="0"/>
    <x v="0"/>
    <s v="DK1_MedSmall"/>
    <x v="3"/>
    <s v="GNR_ST_MSW_BP_E-21"/>
    <x v="0"/>
    <x v="3"/>
    <n v="33.811117274430401"/>
    <n v="12341.0578051671"/>
    <n v="44427.808098601599"/>
  </r>
  <r>
    <x v="0"/>
    <x v="0"/>
    <x v="0"/>
    <x v="0"/>
    <x v="0"/>
    <s v="DK1_MedSmall"/>
    <x v="3"/>
    <s v="GNR_ST_MSW_BP_E-21"/>
    <x v="0"/>
    <x v="4"/>
    <n v="33.811117274430401"/>
    <n v="12341.0578051671"/>
    <n v="44427.808098601599"/>
  </r>
  <r>
    <x v="0"/>
    <x v="0"/>
    <x v="0"/>
    <x v="0"/>
    <x v="0"/>
    <s v="DK1_MedSmall"/>
    <x v="3"/>
    <s v="GNR_ST_MSW_BP_E-21"/>
    <x v="0"/>
    <x v="5"/>
    <n v="33.811117274430401"/>
    <n v="12341.0578051671"/>
    <n v="44427.808098601599"/>
  </r>
  <r>
    <x v="0"/>
    <x v="0"/>
    <x v="0"/>
    <x v="0"/>
    <x v="0"/>
    <s v="DK1_MedSmall"/>
    <x v="3"/>
    <s v="GNR_ST_MSW_BP_E-21"/>
    <x v="0"/>
    <x v="6"/>
    <n v="33.811117274430401"/>
    <n v="12341.0578051671"/>
    <n v="44427.808098601599"/>
  </r>
  <r>
    <x v="0"/>
    <x v="0"/>
    <x v="0"/>
    <x v="0"/>
    <x v="0"/>
    <s v="DK1_MedSmall"/>
    <x v="3"/>
    <s v="GNR_ST_MSW_BP_E-21"/>
    <x v="0"/>
    <x v="7"/>
    <n v="33.811117274430401"/>
    <n v="12341.0578051671"/>
    <n v="44427.808098601599"/>
  </r>
  <r>
    <x v="0"/>
    <x v="0"/>
    <x v="0"/>
    <x v="0"/>
    <x v="0"/>
    <s v="DK1_MedSmall"/>
    <x v="3"/>
    <s v="GNR_ST_MSW_BP_E-21"/>
    <x v="0"/>
    <x v="8"/>
    <n v="33.811117274430401"/>
    <n v="12341.0578051671"/>
    <n v="44427.808098601599"/>
  </r>
  <r>
    <x v="0"/>
    <x v="0"/>
    <x v="0"/>
    <x v="0"/>
    <x v="0"/>
    <s v="DK1_MedSmall"/>
    <x v="3"/>
    <s v="GNR_ST_MSW_BP_E-21"/>
    <x v="0"/>
    <x v="9"/>
    <n v="33.811117274430401"/>
    <n v="12341.0578051671"/>
    <n v="44427.808098601599"/>
  </r>
  <r>
    <x v="0"/>
    <x v="0"/>
    <x v="0"/>
    <x v="0"/>
    <x v="0"/>
    <s v="DK1_MedSmall"/>
    <x v="3"/>
    <s v="GNR_ST_MSW_BP_E-21"/>
    <x v="0"/>
    <x v="10"/>
    <n v="33.811117274430401"/>
    <n v="12341.0578051671"/>
    <n v="44427.808098601599"/>
  </r>
  <r>
    <x v="0"/>
    <x v="0"/>
    <x v="0"/>
    <x v="0"/>
    <x v="0"/>
    <s v="DK1_MedSmall"/>
    <x v="3"/>
    <s v="GNR_ST_MSW_BP_E-21"/>
    <x v="0"/>
    <x v="11"/>
    <n v="33.811117274430401"/>
    <n v="12341.0578051671"/>
    <n v="44427.808098601599"/>
  </r>
  <r>
    <x v="0"/>
    <x v="0"/>
    <x v="0"/>
    <x v="0"/>
    <x v="0"/>
    <s v="DK1_MedSmall"/>
    <x v="3"/>
    <s v="GNR_ST_MSW_BP_E-21"/>
    <x v="0"/>
    <x v="12"/>
    <n v="33.811117274430401"/>
    <n v="12341.0578051671"/>
    <n v="44427.808098601599"/>
  </r>
  <r>
    <x v="0"/>
    <x v="0"/>
    <x v="0"/>
    <x v="0"/>
    <x v="0"/>
    <s v="DK1_MedSmall"/>
    <x v="3"/>
    <s v="GNR_ST_MSW_BP_E-21"/>
    <x v="0"/>
    <x v="13"/>
    <n v="33.811117274430401"/>
    <n v="12341.0578051671"/>
    <n v="44427.808098601599"/>
  </r>
  <r>
    <x v="0"/>
    <x v="0"/>
    <x v="0"/>
    <x v="0"/>
    <x v="0"/>
    <s v="DK1_MedSmall"/>
    <x v="3"/>
    <s v="GNR_ST_MSW_BP_E-21"/>
    <x v="0"/>
    <x v="14"/>
    <n v="33.811117274430401"/>
    <n v="12341.0578051671"/>
    <n v="44427.808098601599"/>
  </r>
  <r>
    <x v="0"/>
    <x v="0"/>
    <x v="0"/>
    <x v="0"/>
    <x v="0"/>
    <s v="DK1_MedSmall"/>
    <x v="3"/>
    <s v="GNR_ST_MSW_BP_E-21"/>
    <x v="0"/>
    <x v="15"/>
    <n v="33.811117274430401"/>
    <n v="12341.0578051671"/>
    <n v="44427.808098601599"/>
  </r>
  <r>
    <x v="0"/>
    <x v="0"/>
    <x v="0"/>
    <x v="0"/>
    <x v="0"/>
    <s v="DK1_MedSmall"/>
    <x v="3"/>
    <s v="GNR_ST_MSW_BP_E-21"/>
    <x v="0"/>
    <x v="16"/>
    <n v="33.811117274430401"/>
    <n v="12341.0578051671"/>
    <n v="44427.808098601599"/>
  </r>
  <r>
    <x v="0"/>
    <x v="0"/>
    <x v="0"/>
    <x v="0"/>
    <x v="0"/>
    <s v="DK1_MedSmall"/>
    <x v="3"/>
    <s v="GNR_ST_MSW_BP_E-21"/>
    <x v="0"/>
    <x v="17"/>
    <n v="33.811117274430401"/>
    <n v="12341.0578051671"/>
    <n v="44427.808098601599"/>
  </r>
  <r>
    <x v="0"/>
    <x v="0"/>
    <x v="0"/>
    <x v="0"/>
    <x v="0"/>
    <s v="DK1_MedSmall"/>
    <x v="3"/>
    <s v="GNR_ST_MSW_BP_E-21"/>
    <x v="0"/>
    <x v="18"/>
    <n v="33.811117274430401"/>
    <n v="12341.0578051671"/>
    <n v="44427.808098601599"/>
  </r>
  <r>
    <x v="0"/>
    <x v="0"/>
    <x v="0"/>
    <x v="0"/>
    <x v="0"/>
    <s v="DK1_MedSmall"/>
    <x v="3"/>
    <s v="GNR_ST_MSW_BP_E-21"/>
    <x v="0"/>
    <x v="19"/>
    <n v="33.811117274430401"/>
    <n v="12341.0578051671"/>
    <n v="44427.808098601599"/>
  </r>
  <r>
    <x v="0"/>
    <x v="0"/>
    <x v="0"/>
    <x v="0"/>
    <x v="0"/>
    <s v="DK1_MedSmall"/>
    <x v="3"/>
    <s v="GNR_ST_MSW_BP_E-21"/>
    <x v="0"/>
    <x v="20"/>
    <n v="33.811117274430401"/>
    <n v="12341.0578051671"/>
    <n v="44427.808098601599"/>
  </r>
  <r>
    <x v="0"/>
    <x v="0"/>
    <x v="0"/>
    <x v="0"/>
    <x v="0"/>
    <s v="DK1_MedSmall"/>
    <x v="3"/>
    <s v="GNR_ST_MSW_BP_E-21"/>
    <x v="0"/>
    <x v="21"/>
    <n v="33.811117274430401"/>
    <n v="12341.0578051671"/>
    <n v="44427.808098601599"/>
  </r>
  <r>
    <x v="0"/>
    <x v="0"/>
    <x v="0"/>
    <x v="0"/>
    <x v="0"/>
    <s v="DK1_MedSmall"/>
    <x v="3"/>
    <s v="GNR_ST_MSW_BP_E-21"/>
    <x v="0"/>
    <x v="22"/>
    <n v="33.811117274430401"/>
    <n v="12341.0578051671"/>
    <n v="44427.808098601599"/>
  </r>
  <r>
    <x v="0"/>
    <x v="0"/>
    <x v="0"/>
    <x v="0"/>
    <x v="0"/>
    <s v="DK1_MedSmall"/>
    <x v="3"/>
    <s v="GNR_ST_MSW_BP_E-21"/>
    <x v="0"/>
    <x v="23"/>
    <n v="33.811117274430401"/>
    <n v="12341.0578051671"/>
    <n v="44427.808098601599"/>
  </r>
  <r>
    <x v="0"/>
    <x v="0"/>
    <x v="0"/>
    <x v="0"/>
    <x v="0"/>
    <s v="DK1_MedSmall"/>
    <x v="3"/>
    <s v="GNR_ST_MSW_BP_E-22"/>
    <x v="0"/>
    <x v="0"/>
    <n v="15.215002773493699"/>
    <n v="5553.4760123251999"/>
    <n v="19992.513644370702"/>
  </r>
  <r>
    <x v="0"/>
    <x v="0"/>
    <x v="0"/>
    <x v="0"/>
    <x v="0"/>
    <s v="DK1_MedSmall"/>
    <x v="3"/>
    <s v="GNR_ST_MSW_BP_E-22"/>
    <x v="0"/>
    <x v="1"/>
    <n v="15.215002773493699"/>
    <n v="5553.4760123251999"/>
    <n v="19992.513644370702"/>
  </r>
  <r>
    <x v="0"/>
    <x v="0"/>
    <x v="0"/>
    <x v="0"/>
    <x v="0"/>
    <s v="DK1_MedSmall"/>
    <x v="3"/>
    <s v="GNR_ST_MSW_BP_E-22"/>
    <x v="0"/>
    <x v="2"/>
    <n v="15.215002773493699"/>
    <n v="5553.4760123251999"/>
    <n v="19992.513644370702"/>
  </r>
  <r>
    <x v="0"/>
    <x v="0"/>
    <x v="0"/>
    <x v="0"/>
    <x v="0"/>
    <s v="DK1_MedSmall"/>
    <x v="3"/>
    <s v="GNR_ST_MSW_BP_E-22"/>
    <x v="0"/>
    <x v="3"/>
    <n v="15.215002773493699"/>
    <n v="5553.4760123251999"/>
    <n v="19992.513644370702"/>
  </r>
  <r>
    <x v="0"/>
    <x v="0"/>
    <x v="0"/>
    <x v="0"/>
    <x v="0"/>
    <s v="DK1_MedSmall"/>
    <x v="3"/>
    <s v="GNR_ST_MSW_BP_E-22"/>
    <x v="0"/>
    <x v="4"/>
    <n v="15.215002773493699"/>
    <n v="5553.4760123251999"/>
    <n v="19992.513644370702"/>
  </r>
  <r>
    <x v="0"/>
    <x v="0"/>
    <x v="0"/>
    <x v="0"/>
    <x v="0"/>
    <s v="DK1_MedSmall"/>
    <x v="3"/>
    <s v="GNR_ST_MSW_BP_E-22"/>
    <x v="0"/>
    <x v="5"/>
    <n v="15.215002773493699"/>
    <n v="5553.4760123251999"/>
    <n v="19992.513644370702"/>
  </r>
  <r>
    <x v="0"/>
    <x v="0"/>
    <x v="0"/>
    <x v="0"/>
    <x v="0"/>
    <s v="DK1_MedSmall"/>
    <x v="3"/>
    <s v="GNR_ST_MSW_BP_E-22"/>
    <x v="0"/>
    <x v="6"/>
    <n v="15.215002773493699"/>
    <n v="5553.4760123251999"/>
    <n v="19992.513644370702"/>
  </r>
  <r>
    <x v="0"/>
    <x v="0"/>
    <x v="0"/>
    <x v="0"/>
    <x v="0"/>
    <s v="DK1_MedSmall"/>
    <x v="3"/>
    <s v="GNR_ST_MSW_BP_E-22"/>
    <x v="0"/>
    <x v="7"/>
    <n v="15.215002773493699"/>
    <n v="5553.4760123251999"/>
    <n v="19992.513644370702"/>
  </r>
  <r>
    <x v="0"/>
    <x v="0"/>
    <x v="0"/>
    <x v="0"/>
    <x v="0"/>
    <s v="DK1_MedSmall"/>
    <x v="3"/>
    <s v="GNR_ST_MSW_BP_E-22"/>
    <x v="0"/>
    <x v="8"/>
    <n v="15.215002773493699"/>
    <n v="5553.4760123251999"/>
    <n v="19992.513644370702"/>
  </r>
  <r>
    <x v="0"/>
    <x v="0"/>
    <x v="0"/>
    <x v="0"/>
    <x v="0"/>
    <s v="DK1_MedSmall"/>
    <x v="3"/>
    <s v="GNR_ST_MSW_BP_E-22"/>
    <x v="0"/>
    <x v="9"/>
    <n v="15.215002773493699"/>
    <n v="5553.4760123251999"/>
    <n v="19992.513644370702"/>
  </r>
  <r>
    <x v="0"/>
    <x v="0"/>
    <x v="0"/>
    <x v="0"/>
    <x v="0"/>
    <s v="DK1_MedSmall"/>
    <x v="3"/>
    <s v="GNR_ST_MSW_BP_E-22"/>
    <x v="0"/>
    <x v="10"/>
    <n v="15.215002773493699"/>
    <n v="5553.4760123251999"/>
    <n v="19992.513644370702"/>
  </r>
  <r>
    <x v="0"/>
    <x v="0"/>
    <x v="0"/>
    <x v="0"/>
    <x v="0"/>
    <s v="DK1_MedSmall"/>
    <x v="3"/>
    <s v="GNR_ST_MSW_BP_E-22"/>
    <x v="0"/>
    <x v="11"/>
    <n v="15.215002773493699"/>
    <n v="5553.4760123251999"/>
    <n v="19992.513644370702"/>
  </r>
  <r>
    <x v="0"/>
    <x v="0"/>
    <x v="0"/>
    <x v="0"/>
    <x v="0"/>
    <s v="DK1_MedSmall"/>
    <x v="3"/>
    <s v="GNR_ST_MSW_BP_E-22"/>
    <x v="0"/>
    <x v="12"/>
    <n v="15.215002773493699"/>
    <n v="5553.4760123251999"/>
    <n v="19992.513644370702"/>
  </r>
  <r>
    <x v="0"/>
    <x v="0"/>
    <x v="0"/>
    <x v="0"/>
    <x v="0"/>
    <s v="DK1_MedSmall"/>
    <x v="3"/>
    <s v="GNR_ST_MSW_BP_E-22"/>
    <x v="0"/>
    <x v="13"/>
    <n v="15.215002773493699"/>
    <n v="5553.4760123251999"/>
    <n v="19992.513644370702"/>
  </r>
  <r>
    <x v="0"/>
    <x v="0"/>
    <x v="0"/>
    <x v="0"/>
    <x v="0"/>
    <s v="DK1_MedSmall"/>
    <x v="3"/>
    <s v="GNR_ST_MSW_BP_E-22"/>
    <x v="0"/>
    <x v="14"/>
    <n v="15.215002773493699"/>
    <n v="5553.4760123251999"/>
    <n v="19992.513644370702"/>
  </r>
  <r>
    <x v="0"/>
    <x v="0"/>
    <x v="0"/>
    <x v="0"/>
    <x v="0"/>
    <s v="DK1_MedSmall"/>
    <x v="3"/>
    <s v="GNR_ST_MSW_BP_E-22"/>
    <x v="0"/>
    <x v="15"/>
    <n v="15.215002773493699"/>
    <n v="5553.4760123251999"/>
    <n v="19992.513644370702"/>
  </r>
  <r>
    <x v="0"/>
    <x v="0"/>
    <x v="0"/>
    <x v="0"/>
    <x v="0"/>
    <s v="DK1_MedSmall"/>
    <x v="3"/>
    <s v="GNR_ST_MSW_BP_E-22"/>
    <x v="0"/>
    <x v="16"/>
    <n v="15.215002773493699"/>
    <n v="5553.4760123251999"/>
    <n v="19992.513644370702"/>
  </r>
  <r>
    <x v="0"/>
    <x v="0"/>
    <x v="0"/>
    <x v="0"/>
    <x v="0"/>
    <s v="DK1_MedSmall"/>
    <x v="3"/>
    <s v="GNR_ST_MSW_BP_E-22"/>
    <x v="0"/>
    <x v="17"/>
    <n v="15.215002773493699"/>
    <n v="5553.4760123251999"/>
    <n v="19992.513644370702"/>
  </r>
  <r>
    <x v="0"/>
    <x v="0"/>
    <x v="0"/>
    <x v="0"/>
    <x v="0"/>
    <s v="DK1_MedSmall"/>
    <x v="3"/>
    <s v="GNR_ST_MSW_BP_E-22"/>
    <x v="0"/>
    <x v="18"/>
    <n v="15.215002773493699"/>
    <n v="5553.4760123251999"/>
    <n v="19992.513644370702"/>
  </r>
  <r>
    <x v="0"/>
    <x v="0"/>
    <x v="0"/>
    <x v="0"/>
    <x v="0"/>
    <s v="DK1_MedSmall"/>
    <x v="3"/>
    <s v="GNR_ST_MSW_BP_E-22"/>
    <x v="0"/>
    <x v="19"/>
    <n v="15.215002773493699"/>
    <n v="5553.4760123251999"/>
    <n v="19992.513644370702"/>
  </r>
  <r>
    <x v="0"/>
    <x v="0"/>
    <x v="0"/>
    <x v="0"/>
    <x v="0"/>
    <s v="DK1_MedSmall"/>
    <x v="3"/>
    <s v="GNR_ST_MSW_BP_E-22"/>
    <x v="0"/>
    <x v="20"/>
    <n v="15.215002773493699"/>
    <n v="5553.4760123251999"/>
    <n v="19992.513644370702"/>
  </r>
  <r>
    <x v="0"/>
    <x v="0"/>
    <x v="0"/>
    <x v="0"/>
    <x v="0"/>
    <s v="DK1_MedSmall"/>
    <x v="3"/>
    <s v="GNR_ST_MSW_BP_E-22"/>
    <x v="0"/>
    <x v="21"/>
    <n v="15.215002773493699"/>
    <n v="5553.4760123251999"/>
    <n v="19992.513644370702"/>
  </r>
  <r>
    <x v="0"/>
    <x v="0"/>
    <x v="0"/>
    <x v="0"/>
    <x v="0"/>
    <s v="DK1_MedSmall"/>
    <x v="3"/>
    <s v="GNR_ST_MSW_BP_E-22"/>
    <x v="0"/>
    <x v="22"/>
    <n v="15.215002773493699"/>
    <n v="5553.4760123251999"/>
    <n v="19992.513644370702"/>
  </r>
  <r>
    <x v="0"/>
    <x v="0"/>
    <x v="0"/>
    <x v="0"/>
    <x v="0"/>
    <s v="DK1_MedSmall"/>
    <x v="3"/>
    <s v="GNR_ST_MSW_BP_E-22"/>
    <x v="0"/>
    <x v="23"/>
    <n v="15.215002773493699"/>
    <n v="5553.4760123251999"/>
    <n v="19992.513644370702"/>
  </r>
  <r>
    <x v="0"/>
    <x v="0"/>
    <x v="0"/>
    <x v="0"/>
    <x v="0"/>
    <s v="DK1_MedSmall"/>
    <x v="3"/>
    <s v="GNR_ST_MSW_BP_E-26"/>
    <x v="0"/>
    <x v="0"/>
    <n v="23.667782092101302"/>
    <n v="8638.7404636169795"/>
    <n v="31099.465669021101"/>
  </r>
  <r>
    <x v="0"/>
    <x v="0"/>
    <x v="0"/>
    <x v="0"/>
    <x v="0"/>
    <s v="DK1_MedSmall"/>
    <x v="3"/>
    <s v="GNR_ST_MSW_BP_E-26"/>
    <x v="0"/>
    <x v="1"/>
    <n v="23.667782092101302"/>
    <n v="8638.7404636169795"/>
    <n v="31099.465669021101"/>
  </r>
  <r>
    <x v="0"/>
    <x v="0"/>
    <x v="0"/>
    <x v="0"/>
    <x v="0"/>
    <s v="DK1_MedSmall"/>
    <x v="3"/>
    <s v="GNR_ST_MSW_BP_E-26"/>
    <x v="0"/>
    <x v="2"/>
    <n v="23.667782092101302"/>
    <n v="8638.7404636169795"/>
    <n v="31099.465669021101"/>
  </r>
  <r>
    <x v="0"/>
    <x v="0"/>
    <x v="0"/>
    <x v="0"/>
    <x v="0"/>
    <s v="DK1_MedSmall"/>
    <x v="3"/>
    <s v="GNR_ST_MSW_BP_E-26"/>
    <x v="0"/>
    <x v="3"/>
    <n v="23.667782092101302"/>
    <n v="8638.7404636169795"/>
    <n v="31099.465669021101"/>
  </r>
  <r>
    <x v="0"/>
    <x v="0"/>
    <x v="0"/>
    <x v="0"/>
    <x v="0"/>
    <s v="DK1_MedSmall"/>
    <x v="3"/>
    <s v="GNR_ST_MSW_BP_E-26"/>
    <x v="0"/>
    <x v="4"/>
    <n v="23.667782092101302"/>
    <n v="8638.7404636169795"/>
    <n v="31099.465669021101"/>
  </r>
  <r>
    <x v="0"/>
    <x v="0"/>
    <x v="0"/>
    <x v="0"/>
    <x v="0"/>
    <s v="DK1_MedSmall"/>
    <x v="3"/>
    <s v="GNR_ST_MSW_BP_E-26"/>
    <x v="0"/>
    <x v="5"/>
    <n v="23.667782092101302"/>
    <n v="8638.7404636169795"/>
    <n v="31099.465669021101"/>
  </r>
  <r>
    <x v="0"/>
    <x v="0"/>
    <x v="0"/>
    <x v="0"/>
    <x v="0"/>
    <s v="DK1_MedSmall"/>
    <x v="3"/>
    <s v="GNR_ST_MSW_BP_E-26"/>
    <x v="0"/>
    <x v="6"/>
    <n v="23.667782092101302"/>
    <n v="8638.7404636169795"/>
    <n v="31099.465669021101"/>
  </r>
  <r>
    <x v="0"/>
    <x v="0"/>
    <x v="0"/>
    <x v="0"/>
    <x v="0"/>
    <s v="DK1_MedSmall"/>
    <x v="3"/>
    <s v="GNR_ST_MSW_BP_E-26"/>
    <x v="0"/>
    <x v="7"/>
    <n v="23.667782092101302"/>
    <n v="8638.7404636169795"/>
    <n v="31099.465669021101"/>
  </r>
  <r>
    <x v="0"/>
    <x v="0"/>
    <x v="0"/>
    <x v="0"/>
    <x v="0"/>
    <s v="DK1_MedSmall"/>
    <x v="3"/>
    <s v="GNR_ST_MSW_BP_E-26"/>
    <x v="0"/>
    <x v="8"/>
    <n v="23.667782092101302"/>
    <n v="8638.7404636169795"/>
    <n v="31099.465669021101"/>
  </r>
  <r>
    <x v="0"/>
    <x v="0"/>
    <x v="0"/>
    <x v="0"/>
    <x v="0"/>
    <s v="DK1_MedSmall"/>
    <x v="3"/>
    <s v="GNR_ST_MSW_BP_E-26"/>
    <x v="0"/>
    <x v="9"/>
    <n v="23.667782092101302"/>
    <n v="8638.7404636169795"/>
    <n v="31099.465669021101"/>
  </r>
  <r>
    <x v="0"/>
    <x v="0"/>
    <x v="0"/>
    <x v="0"/>
    <x v="0"/>
    <s v="DK1_MedSmall"/>
    <x v="3"/>
    <s v="GNR_ST_MSW_BP_E-26"/>
    <x v="0"/>
    <x v="10"/>
    <n v="23.667782092101302"/>
    <n v="8638.7404636169795"/>
    <n v="31099.465669021101"/>
  </r>
  <r>
    <x v="0"/>
    <x v="0"/>
    <x v="0"/>
    <x v="0"/>
    <x v="0"/>
    <s v="DK1_MedSmall"/>
    <x v="3"/>
    <s v="GNR_ST_MSW_BP_E-26"/>
    <x v="0"/>
    <x v="11"/>
    <n v="23.667782092101302"/>
    <n v="8638.7404636169795"/>
    <n v="31099.465669021101"/>
  </r>
  <r>
    <x v="0"/>
    <x v="0"/>
    <x v="0"/>
    <x v="0"/>
    <x v="0"/>
    <s v="DK1_MedSmall"/>
    <x v="3"/>
    <s v="GNR_ST_MSW_BP_E-26"/>
    <x v="0"/>
    <x v="12"/>
    <n v="23.667782092101302"/>
    <n v="8638.7404636169795"/>
    <n v="31099.465669021101"/>
  </r>
  <r>
    <x v="0"/>
    <x v="0"/>
    <x v="0"/>
    <x v="0"/>
    <x v="0"/>
    <s v="DK1_MedSmall"/>
    <x v="3"/>
    <s v="GNR_ST_MSW_BP_E-26"/>
    <x v="0"/>
    <x v="13"/>
    <n v="23.667782092101302"/>
    <n v="8638.7404636169795"/>
    <n v="31099.465669021101"/>
  </r>
  <r>
    <x v="0"/>
    <x v="0"/>
    <x v="0"/>
    <x v="0"/>
    <x v="0"/>
    <s v="DK1_MedSmall"/>
    <x v="3"/>
    <s v="GNR_ST_MSW_BP_E-26"/>
    <x v="0"/>
    <x v="14"/>
    <n v="23.667782092101302"/>
    <n v="8638.7404636169795"/>
    <n v="31099.465669021101"/>
  </r>
  <r>
    <x v="0"/>
    <x v="0"/>
    <x v="0"/>
    <x v="0"/>
    <x v="0"/>
    <s v="DK1_MedSmall"/>
    <x v="3"/>
    <s v="GNR_ST_MSW_BP_E-26"/>
    <x v="0"/>
    <x v="15"/>
    <n v="23.667782092101302"/>
    <n v="8638.7404636169795"/>
    <n v="31099.465669021101"/>
  </r>
  <r>
    <x v="0"/>
    <x v="0"/>
    <x v="0"/>
    <x v="0"/>
    <x v="0"/>
    <s v="DK1_MedSmall"/>
    <x v="3"/>
    <s v="GNR_ST_MSW_BP_E-26"/>
    <x v="0"/>
    <x v="16"/>
    <n v="23.667782092101302"/>
    <n v="8638.7404636169795"/>
    <n v="31099.465669021101"/>
  </r>
  <r>
    <x v="0"/>
    <x v="0"/>
    <x v="0"/>
    <x v="0"/>
    <x v="0"/>
    <s v="DK1_MedSmall"/>
    <x v="3"/>
    <s v="GNR_ST_MSW_BP_E-26"/>
    <x v="0"/>
    <x v="17"/>
    <n v="23.667782092101302"/>
    <n v="8638.7404636169795"/>
    <n v="31099.465669021101"/>
  </r>
  <r>
    <x v="0"/>
    <x v="0"/>
    <x v="0"/>
    <x v="0"/>
    <x v="0"/>
    <s v="DK1_MedSmall"/>
    <x v="3"/>
    <s v="GNR_ST_MSW_BP_E-26"/>
    <x v="0"/>
    <x v="18"/>
    <n v="23.667782092101302"/>
    <n v="8638.7404636169795"/>
    <n v="31099.465669021101"/>
  </r>
  <r>
    <x v="0"/>
    <x v="0"/>
    <x v="0"/>
    <x v="0"/>
    <x v="0"/>
    <s v="DK1_MedSmall"/>
    <x v="3"/>
    <s v="GNR_ST_MSW_BP_E-26"/>
    <x v="0"/>
    <x v="19"/>
    <n v="23.667782092101302"/>
    <n v="8638.7404636169795"/>
    <n v="31099.465669021101"/>
  </r>
  <r>
    <x v="0"/>
    <x v="0"/>
    <x v="0"/>
    <x v="0"/>
    <x v="0"/>
    <s v="DK1_MedSmall"/>
    <x v="3"/>
    <s v="GNR_ST_MSW_BP_E-26"/>
    <x v="0"/>
    <x v="20"/>
    <n v="23.667782092101302"/>
    <n v="8638.7404636169795"/>
    <n v="31099.465669021101"/>
  </r>
  <r>
    <x v="0"/>
    <x v="0"/>
    <x v="0"/>
    <x v="0"/>
    <x v="0"/>
    <s v="DK1_MedSmall"/>
    <x v="3"/>
    <s v="GNR_ST_MSW_BP_E-26"/>
    <x v="0"/>
    <x v="21"/>
    <n v="23.667782092101302"/>
    <n v="8638.7404636169795"/>
    <n v="31099.465669021101"/>
  </r>
  <r>
    <x v="0"/>
    <x v="0"/>
    <x v="0"/>
    <x v="0"/>
    <x v="0"/>
    <s v="DK1_MedSmall"/>
    <x v="3"/>
    <s v="GNR_ST_MSW_BP_E-26"/>
    <x v="0"/>
    <x v="22"/>
    <n v="23.667782092101302"/>
    <n v="8638.7404636169795"/>
    <n v="31099.465669021101"/>
  </r>
  <r>
    <x v="0"/>
    <x v="0"/>
    <x v="0"/>
    <x v="0"/>
    <x v="0"/>
    <s v="DK1_MedSmall"/>
    <x v="3"/>
    <s v="GNR_ST_MSW_BP_E-26"/>
    <x v="0"/>
    <x v="23"/>
    <n v="23.667782092101302"/>
    <n v="8638.7404636169795"/>
    <n v="31099.465669021101"/>
  </r>
  <r>
    <x v="0"/>
    <x v="0"/>
    <x v="0"/>
    <x v="0"/>
    <x v="0"/>
    <s v="DK1_MedSmall"/>
    <x v="5"/>
    <s v="GNR_BO_STRW_E-102"/>
    <x v="0"/>
    <x v="0"/>
    <n v="10.73"/>
    <n v="3916.45"/>
    <n v="14099.22"/>
  </r>
  <r>
    <x v="0"/>
    <x v="0"/>
    <x v="0"/>
    <x v="0"/>
    <x v="0"/>
    <s v="DK1_MedSmall"/>
    <x v="5"/>
    <s v="GNR_BO_STRW_E-102"/>
    <x v="0"/>
    <x v="1"/>
    <n v="10.73"/>
    <n v="3916.45"/>
    <n v="14099.22"/>
  </r>
  <r>
    <x v="0"/>
    <x v="0"/>
    <x v="0"/>
    <x v="0"/>
    <x v="0"/>
    <s v="DK1_MedSmall"/>
    <x v="5"/>
    <s v="GNR_BO_STRW_E-102"/>
    <x v="0"/>
    <x v="2"/>
    <n v="10.73"/>
    <n v="3916.45"/>
    <n v="14099.22"/>
  </r>
  <r>
    <x v="0"/>
    <x v="0"/>
    <x v="0"/>
    <x v="0"/>
    <x v="0"/>
    <s v="DK1_MedSmall"/>
    <x v="5"/>
    <s v="GNR_BO_STRW_E-102"/>
    <x v="0"/>
    <x v="3"/>
    <n v="10.73"/>
    <n v="3916.45"/>
    <n v="14099.22"/>
  </r>
  <r>
    <x v="0"/>
    <x v="0"/>
    <x v="0"/>
    <x v="0"/>
    <x v="0"/>
    <s v="DK1_MedSmall"/>
    <x v="5"/>
    <s v="GNR_BO_STRW_E-102"/>
    <x v="0"/>
    <x v="4"/>
    <n v="10.73"/>
    <n v="3916.45"/>
    <n v="14099.22"/>
  </r>
  <r>
    <x v="0"/>
    <x v="0"/>
    <x v="0"/>
    <x v="0"/>
    <x v="0"/>
    <s v="DK1_MedSmall"/>
    <x v="5"/>
    <s v="GNR_BO_STRW_E-102"/>
    <x v="0"/>
    <x v="5"/>
    <n v="10.73"/>
    <n v="3916.45"/>
    <n v="14099.22"/>
  </r>
  <r>
    <x v="0"/>
    <x v="0"/>
    <x v="0"/>
    <x v="0"/>
    <x v="0"/>
    <s v="DK1_MedSmall"/>
    <x v="5"/>
    <s v="GNR_BO_STRW_E-102"/>
    <x v="0"/>
    <x v="6"/>
    <n v="10.73"/>
    <n v="3916.45"/>
    <n v="14099.22"/>
  </r>
  <r>
    <x v="0"/>
    <x v="0"/>
    <x v="0"/>
    <x v="0"/>
    <x v="0"/>
    <s v="DK1_MedSmall"/>
    <x v="5"/>
    <s v="GNR_BO_STRW_E-102"/>
    <x v="0"/>
    <x v="7"/>
    <n v="10.73"/>
    <n v="3916.45"/>
    <n v="14099.22"/>
  </r>
  <r>
    <x v="0"/>
    <x v="0"/>
    <x v="0"/>
    <x v="0"/>
    <x v="0"/>
    <s v="DK1_MedSmall"/>
    <x v="5"/>
    <s v="GNR_BO_STRW_E-102"/>
    <x v="0"/>
    <x v="8"/>
    <n v="10.73"/>
    <n v="3916.45"/>
    <n v="14099.22"/>
  </r>
  <r>
    <x v="0"/>
    <x v="0"/>
    <x v="0"/>
    <x v="0"/>
    <x v="0"/>
    <s v="DK1_MedSmall"/>
    <x v="5"/>
    <s v="GNR_BO_STRW_E-102"/>
    <x v="0"/>
    <x v="9"/>
    <n v="10.73"/>
    <n v="3916.45"/>
    <n v="14099.22"/>
  </r>
  <r>
    <x v="0"/>
    <x v="0"/>
    <x v="0"/>
    <x v="0"/>
    <x v="0"/>
    <s v="DK1_MedSmall"/>
    <x v="5"/>
    <s v="GNR_BO_STRW_E-102"/>
    <x v="0"/>
    <x v="10"/>
    <n v="10.73"/>
    <n v="3916.45"/>
    <n v="14099.22"/>
  </r>
  <r>
    <x v="0"/>
    <x v="0"/>
    <x v="0"/>
    <x v="0"/>
    <x v="0"/>
    <s v="DK1_MedSmall"/>
    <x v="5"/>
    <s v="GNR_BO_STRW_E-102"/>
    <x v="0"/>
    <x v="11"/>
    <n v="10.73"/>
    <n v="3916.45"/>
    <n v="14099.22"/>
  </r>
  <r>
    <x v="0"/>
    <x v="0"/>
    <x v="0"/>
    <x v="0"/>
    <x v="0"/>
    <s v="DK1_MedSmall"/>
    <x v="5"/>
    <s v="GNR_BO_STRW_E-102"/>
    <x v="0"/>
    <x v="12"/>
    <n v="10.73"/>
    <n v="3916.45"/>
    <n v="14099.22"/>
  </r>
  <r>
    <x v="0"/>
    <x v="0"/>
    <x v="0"/>
    <x v="0"/>
    <x v="0"/>
    <s v="DK1_MedSmall"/>
    <x v="5"/>
    <s v="GNR_BO_STRW_E-102"/>
    <x v="0"/>
    <x v="13"/>
    <n v="10.73"/>
    <n v="3916.45"/>
    <n v="14099.22"/>
  </r>
  <r>
    <x v="0"/>
    <x v="0"/>
    <x v="0"/>
    <x v="0"/>
    <x v="0"/>
    <s v="DK1_MedSmall"/>
    <x v="5"/>
    <s v="GNR_BO_STRW_E-102"/>
    <x v="0"/>
    <x v="14"/>
    <n v="10.73"/>
    <n v="3916.45"/>
    <n v="14099.22"/>
  </r>
  <r>
    <x v="0"/>
    <x v="0"/>
    <x v="0"/>
    <x v="0"/>
    <x v="0"/>
    <s v="DK1_MedSmall"/>
    <x v="5"/>
    <s v="GNR_BO_STRW_E-102"/>
    <x v="0"/>
    <x v="15"/>
    <n v="10.73"/>
    <n v="3916.45"/>
    <n v="14099.22"/>
  </r>
  <r>
    <x v="0"/>
    <x v="0"/>
    <x v="0"/>
    <x v="0"/>
    <x v="0"/>
    <s v="DK1_MedSmall"/>
    <x v="5"/>
    <s v="GNR_BO_STRW_E-102"/>
    <x v="0"/>
    <x v="16"/>
    <n v="10.73"/>
    <n v="3916.45"/>
    <n v="14099.22"/>
  </r>
  <r>
    <x v="0"/>
    <x v="0"/>
    <x v="0"/>
    <x v="0"/>
    <x v="0"/>
    <s v="DK1_MedSmall"/>
    <x v="5"/>
    <s v="GNR_BO_STRW_E-102"/>
    <x v="0"/>
    <x v="17"/>
    <n v="10.73"/>
    <n v="3916.45"/>
    <n v="14099.22"/>
  </r>
  <r>
    <x v="0"/>
    <x v="0"/>
    <x v="0"/>
    <x v="0"/>
    <x v="0"/>
    <s v="DK1_MedSmall"/>
    <x v="5"/>
    <s v="GNR_BO_STRW_E-102"/>
    <x v="0"/>
    <x v="18"/>
    <n v="10.73"/>
    <n v="3916.45"/>
    <n v="14099.22"/>
  </r>
  <r>
    <x v="0"/>
    <x v="0"/>
    <x v="0"/>
    <x v="0"/>
    <x v="0"/>
    <s v="DK1_MedSmall"/>
    <x v="5"/>
    <s v="GNR_BO_STRW_E-102"/>
    <x v="0"/>
    <x v="19"/>
    <n v="10.73"/>
    <n v="3916.45"/>
    <n v="14099.22"/>
  </r>
  <r>
    <x v="0"/>
    <x v="0"/>
    <x v="0"/>
    <x v="0"/>
    <x v="0"/>
    <s v="DK1_MedSmall"/>
    <x v="5"/>
    <s v="GNR_BO_STRW_E-102"/>
    <x v="0"/>
    <x v="20"/>
    <n v="10.73"/>
    <n v="3916.45"/>
    <n v="14099.22"/>
  </r>
  <r>
    <x v="0"/>
    <x v="0"/>
    <x v="0"/>
    <x v="0"/>
    <x v="0"/>
    <s v="DK1_MedSmall"/>
    <x v="5"/>
    <s v="GNR_BO_STRW_E-102"/>
    <x v="0"/>
    <x v="21"/>
    <n v="10.73"/>
    <n v="3916.45"/>
    <n v="14099.22"/>
  </r>
  <r>
    <x v="0"/>
    <x v="0"/>
    <x v="0"/>
    <x v="0"/>
    <x v="0"/>
    <s v="DK1_MedSmall"/>
    <x v="5"/>
    <s v="GNR_BO_STRW_E-102"/>
    <x v="0"/>
    <x v="22"/>
    <n v="10.73"/>
    <n v="3916.45"/>
    <n v="14099.22"/>
  </r>
  <r>
    <x v="0"/>
    <x v="0"/>
    <x v="0"/>
    <x v="0"/>
    <x v="0"/>
    <s v="DK1_MedSmall"/>
    <x v="5"/>
    <s v="GNR_BO_STRW_E-102"/>
    <x v="0"/>
    <x v="23"/>
    <n v="10.73"/>
    <n v="3916.45"/>
    <n v="14099.22"/>
  </r>
  <r>
    <x v="0"/>
    <x v="0"/>
    <x v="0"/>
    <x v="0"/>
    <x v="0"/>
    <s v="DK1_MedSmall"/>
    <x v="5"/>
    <s v="GNR_ST_STRW_BP_E-21"/>
    <x v="0"/>
    <x v="0"/>
    <n v="39.356224428201102"/>
    <n v="14365.021916293401"/>
    <n v="51714.078898656197"/>
  </r>
  <r>
    <x v="0"/>
    <x v="0"/>
    <x v="0"/>
    <x v="0"/>
    <x v="0"/>
    <s v="DK1_MedSmall"/>
    <x v="5"/>
    <s v="GNR_ST_STRW_BP_E-21"/>
    <x v="0"/>
    <x v="1"/>
    <n v="39.356224428201102"/>
    <n v="14365.021916293401"/>
    <n v="51714.078898656197"/>
  </r>
  <r>
    <x v="0"/>
    <x v="0"/>
    <x v="0"/>
    <x v="0"/>
    <x v="0"/>
    <s v="DK1_MedSmall"/>
    <x v="5"/>
    <s v="GNR_ST_STRW_BP_E-21"/>
    <x v="0"/>
    <x v="2"/>
    <n v="39.356224428201102"/>
    <n v="14365.021916293401"/>
    <n v="51714.078898656197"/>
  </r>
  <r>
    <x v="0"/>
    <x v="0"/>
    <x v="0"/>
    <x v="0"/>
    <x v="0"/>
    <s v="DK1_MedSmall"/>
    <x v="5"/>
    <s v="GNR_ST_STRW_BP_E-21"/>
    <x v="0"/>
    <x v="3"/>
    <n v="39.356224428201102"/>
    <n v="14365.021916293401"/>
    <n v="51714.078898656197"/>
  </r>
  <r>
    <x v="0"/>
    <x v="0"/>
    <x v="0"/>
    <x v="0"/>
    <x v="0"/>
    <s v="DK1_MedSmall"/>
    <x v="5"/>
    <s v="GNR_ST_STRW_BP_E-21"/>
    <x v="0"/>
    <x v="4"/>
    <n v="39.356224428201102"/>
    <n v="14365.021916293401"/>
    <n v="51714.078898656197"/>
  </r>
  <r>
    <x v="0"/>
    <x v="0"/>
    <x v="0"/>
    <x v="0"/>
    <x v="0"/>
    <s v="DK1_MedSmall"/>
    <x v="5"/>
    <s v="GNR_ST_STRW_BP_E-21"/>
    <x v="0"/>
    <x v="5"/>
    <n v="39.356224428201102"/>
    <n v="14365.021916293401"/>
    <n v="51714.078898656197"/>
  </r>
  <r>
    <x v="0"/>
    <x v="0"/>
    <x v="0"/>
    <x v="0"/>
    <x v="0"/>
    <s v="DK1_MedSmall"/>
    <x v="5"/>
    <s v="GNR_ST_STRW_BP_E-21"/>
    <x v="0"/>
    <x v="6"/>
    <n v="39.356224428201102"/>
    <n v="14365.021916293401"/>
    <n v="51714.078898656197"/>
  </r>
  <r>
    <x v="0"/>
    <x v="0"/>
    <x v="0"/>
    <x v="0"/>
    <x v="0"/>
    <s v="DK1_MedSmall"/>
    <x v="5"/>
    <s v="GNR_ST_STRW_BP_E-21"/>
    <x v="0"/>
    <x v="7"/>
    <n v="39.356224428201102"/>
    <n v="14365.021916293401"/>
    <n v="51714.078898656197"/>
  </r>
  <r>
    <x v="0"/>
    <x v="0"/>
    <x v="0"/>
    <x v="0"/>
    <x v="0"/>
    <s v="DK1_MedSmall"/>
    <x v="5"/>
    <s v="GNR_ST_STRW_BP_E-21"/>
    <x v="0"/>
    <x v="8"/>
    <n v="39.356224428201102"/>
    <n v="14365.021916293401"/>
    <n v="51714.078898656197"/>
  </r>
  <r>
    <x v="0"/>
    <x v="0"/>
    <x v="0"/>
    <x v="0"/>
    <x v="0"/>
    <s v="DK1_MedSmall"/>
    <x v="5"/>
    <s v="GNR_ST_STRW_BP_E-21"/>
    <x v="0"/>
    <x v="9"/>
    <n v="39.356224428201102"/>
    <n v="14365.021916293401"/>
    <n v="51714.078898656197"/>
  </r>
  <r>
    <x v="0"/>
    <x v="0"/>
    <x v="0"/>
    <x v="0"/>
    <x v="0"/>
    <s v="DK1_MedSmall"/>
    <x v="5"/>
    <s v="GNR_ST_STRW_BP_E-21"/>
    <x v="0"/>
    <x v="10"/>
    <n v="39.356224428201102"/>
    <n v="14365.021916293401"/>
    <n v="51714.078898656197"/>
  </r>
  <r>
    <x v="0"/>
    <x v="0"/>
    <x v="0"/>
    <x v="0"/>
    <x v="0"/>
    <s v="DK1_MedSmall"/>
    <x v="5"/>
    <s v="GNR_ST_STRW_BP_E-21"/>
    <x v="0"/>
    <x v="11"/>
    <n v="39.356224428201102"/>
    <n v="14365.021916293401"/>
    <n v="51714.078898656197"/>
  </r>
  <r>
    <x v="0"/>
    <x v="0"/>
    <x v="0"/>
    <x v="0"/>
    <x v="0"/>
    <s v="DK1_MedSmall"/>
    <x v="5"/>
    <s v="GNR_ST_STRW_BP_E-21"/>
    <x v="0"/>
    <x v="12"/>
    <n v="39.356224428201102"/>
    <n v="14365.021916293401"/>
    <n v="51714.078898656197"/>
  </r>
  <r>
    <x v="0"/>
    <x v="0"/>
    <x v="0"/>
    <x v="0"/>
    <x v="0"/>
    <s v="DK1_MedSmall"/>
    <x v="5"/>
    <s v="GNR_ST_STRW_BP_E-21"/>
    <x v="0"/>
    <x v="13"/>
    <n v="39.356224428201102"/>
    <n v="14365.021916293401"/>
    <n v="51714.078898656197"/>
  </r>
  <r>
    <x v="0"/>
    <x v="0"/>
    <x v="0"/>
    <x v="0"/>
    <x v="0"/>
    <s v="DK1_MedSmall"/>
    <x v="5"/>
    <s v="GNR_ST_STRW_BP_E-21"/>
    <x v="0"/>
    <x v="14"/>
    <n v="39.356224428201102"/>
    <n v="14365.021916293401"/>
    <n v="51714.078898656197"/>
  </r>
  <r>
    <x v="0"/>
    <x v="0"/>
    <x v="0"/>
    <x v="0"/>
    <x v="0"/>
    <s v="DK1_MedSmall"/>
    <x v="5"/>
    <s v="GNR_ST_STRW_BP_E-21"/>
    <x v="0"/>
    <x v="15"/>
    <n v="39.356224428201102"/>
    <n v="14365.021916293401"/>
    <n v="51714.078898656197"/>
  </r>
  <r>
    <x v="0"/>
    <x v="0"/>
    <x v="0"/>
    <x v="0"/>
    <x v="0"/>
    <s v="DK1_MedSmall"/>
    <x v="5"/>
    <s v="GNR_ST_STRW_BP_E-21"/>
    <x v="0"/>
    <x v="16"/>
    <n v="39.356224428201102"/>
    <n v="14365.021916293401"/>
    <n v="51714.078898656197"/>
  </r>
  <r>
    <x v="0"/>
    <x v="0"/>
    <x v="0"/>
    <x v="0"/>
    <x v="0"/>
    <s v="DK1_MedSmall"/>
    <x v="5"/>
    <s v="GNR_ST_STRW_BP_E-21"/>
    <x v="0"/>
    <x v="17"/>
    <n v="39.356224428201102"/>
    <n v="14365.021916293401"/>
    <n v="51714.078898656197"/>
  </r>
  <r>
    <x v="0"/>
    <x v="0"/>
    <x v="0"/>
    <x v="0"/>
    <x v="0"/>
    <s v="DK1_MedSmall"/>
    <x v="5"/>
    <s v="GNR_ST_STRW_BP_E-21"/>
    <x v="0"/>
    <x v="18"/>
    <n v="39.356224428201102"/>
    <n v="14365.021916293401"/>
    <n v="51714.078898656197"/>
  </r>
  <r>
    <x v="0"/>
    <x v="0"/>
    <x v="0"/>
    <x v="0"/>
    <x v="0"/>
    <s v="DK1_MedSmall"/>
    <x v="5"/>
    <s v="GNR_ST_STRW_BP_E-21"/>
    <x v="0"/>
    <x v="19"/>
    <n v="39.356224428201102"/>
    <n v="14365.021916293401"/>
    <n v="51714.078898656197"/>
  </r>
  <r>
    <x v="0"/>
    <x v="0"/>
    <x v="0"/>
    <x v="0"/>
    <x v="0"/>
    <s v="DK1_MedSmall"/>
    <x v="5"/>
    <s v="GNR_ST_STRW_BP_E-21"/>
    <x v="0"/>
    <x v="20"/>
    <n v="39.356224428201102"/>
    <n v="14365.021916293401"/>
    <n v="51714.078898656197"/>
  </r>
  <r>
    <x v="0"/>
    <x v="0"/>
    <x v="0"/>
    <x v="0"/>
    <x v="0"/>
    <s v="DK1_MedSmall"/>
    <x v="5"/>
    <s v="GNR_ST_STRW_BP_E-21"/>
    <x v="0"/>
    <x v="21"/>
    <n v="39.356224428201102"/>
    <n v="14365.021916293401"/>
    <n v="51714.078898656197"/>
  </r>
  <r>
    <x v="0"/>
    <x v="0"/>
    <x v="0"/>
    <x v="0"/>
    <x v="0"/>
    <s v="DK1_MedSmall"/>
    <x v="5"/>
    <s v="GNR_ST_STRW_BP_E-21"/>
    <x v="0"/>
    <x v="22"/>
    <n v="39.356224428201102"/>
    <n v="14365.021916293401"/>
    <n v="51714.078898656197"/>
  </r>
  <r>
    <x v="0"/>
    <x v="0"/>
    <x v="0"/>
    <x v="0"/>
    <x v="0"/>
    <s v="DK1_MedSmall"/>
    <x v="5"/>
    <s v="GNR_ST_STRW_BP_E-21"/>
    <x v="0"/>
    <x v="23"/>
    <n v="39.356224428201102"/>
    <n v="14365.021916293401"/>
    <n v="51714.078898656197"/>
  </r>
  <r>
    <x v="0"/>
    <x v="0"/>
    <x v="0"/>
    <x v="0"/>
    <x v="0"/>
    <s v="DK1_MedSmall"/>
    <x v="6"/>
    <s v="GNR_EH_HEAT"/>
    <x v="0"/>
    <x v="0"/>
    <n v="12.5"/>
    <n v="4562.5"/>
    <n v="16425"/>
  </r>
  <r>
    <x v="0"/>
    <x v="0"/>
    <x v="0"/>
    <x v="0"/>
    <x v="0"/>
    <s v="DK1_MedSmall"/>
    <x v="6"/>
    <s v="GNR_EH_HEAT"/>
    <x v="0"/>
    <x v="1"/>
    <n v="12.5"/>
    <n v="4562.5"/>
    <n v="16425"/>
  </r>
  <r>
    <x v="0"/>
    <x v="0"/>
    <x v="0"/>
    <x v="0"/>
    <x v="0"/>
    <s v="DK1_MedSmall"/>
    <x v="6"/>
    <s v="GNR_EH_HEAT"/>
    <x v="0"/>
    <x v="2"/>
    <n v="12.5"/>
    <n v="4562.5"/>
    <n v="16425"/>
  </r>
  <r>
    <x v="0"/>
    <x v="0"/>
    <x v="0"/>
    <x v="0"/>
    <x v="0"/>
    <s v="DK1_MedSmall"/>
    <x v="6"/>
    <s v="GNR_EH_HEAT"/>
    <x v="0"/>
    <x v="3"/>
    <n v="12.5"/>
    <n v="4562.5"/>
    <n v="16425"/>
  </r>
  <r>
    <x v="0"/>
    <x v="0"/>
    <x v="0"/>
    <x v="0"/>
    <x v="0"/>
    <s v="DK1_MedSmall"/>
    <x v="6"/>
    <s v="GNR_EH_HEAT"/>
    <x v="0"/>
    <x v="4"/>
    <n v="12.5"/>
    <n v="4562.5"/>
    <n v="16425"/>
  </r>
  <r>
    <x v="0"/>
    <x v="0"/>
    <x v="0"/>
    <x v="0"/>
    <x v="0"/>
    <s v="DK1_MedSmall"/>
    <x v="6"/>
    <s v="GNR_EH_HEAT"/>
    <x v="0"/>
    <x v="5"/>
    <n v="12.5"/>
    <n v="4562.5"/>
    <n v="16425"/>
  </r>
  <r>
    <x v="0"/>
    <x v="0"/>
    <x v="0"/>
    <x v="0"/>
    <x v="0"/>
    <s v="DK1_MedSmall"/>
    <x v="6"/>
    <s v="GNR_EH_HEAT"/>
    <x v="0"/>
    <x v="6"/>
    <n v="12.5"/>
    <n v="4562.5"/>
    <n v="16425"/>
  </r>
  <r>
    <x v="0"/>
    <x v="0"/>
    <x v="0"/>
    <x v="0"/>
    <x v="0"/>
    <s v="DK1_MedSmall"/>
    <x v="6"/>
    <s v="GNR_EH_HEAT"/>
    <x v="0"/>
    <x v="7"/>
    <n v="12.5"/>
    <n v="4562.5"/>
    <n v="16425"/>
  </r>
  <r>
    <x v="0"/>
    <x v="0"/>
    <x v="0"/>
    <x v="0"/>
    <x v="0"/>
    <s v="DK1_MedSmall"/>
    <x v="6"/>
    <s v="GNR_EH_HEAT"/>
    <x v="0"/>
    <x v="8"/>
    <n v="12.5"/>
    <n v="4562.5"/>
    <n v="16425"/>
  </r>
  <r>
    <x v="0"/>
    <x v="0"/>
    <x v="0"/>
    <x v="0"/>
    <x v="0"/>
    <s v="DK1_MedSmall"/>
    <x v="6"/>
    <s v="GNR_EH_HEAT"/>
    <x v="0"/>
    <x v="9"/>
    <n v="12.5"/>
    <n v="4562.5"/>
    <n v="16425"/>
  </r>
  <r>
    <x v="0"/>
    <x v="0"/>
    <x v="0"/>
    <x v="0"/>
    <x v="0"/>
    <s v="DK1_MedSmall"/>
    <x v="6"/>
    <s v="GNR_EH_HEAT"/>
    <x v="0"/>
    <x v="10"/>
    <n v="12.5"/>
    <n v="4562.5"/>
    <n v="16425"/>
  </r>
  <r>
    <x v="0"/>
    <x v="0"/>
    <x v="0"/>
    <x v="0"/>
    <x v="0"/>
    <s v="DK1_MedSmall"/>
    <x v="6"/>
    <s v="GNR_EH_HEAT"/>
    <x v="0"/>
    <x v="11"/>
    <n v="12.5"/>
    <n v="4562.5"/>
    <n v="16425"/>
  </r>
  <r>
    <x v="0"/>
    <x v="0"/>
    <x v="0"/>
    <x v="0"/>
    <x v="0"/>
    <s v="DK1_MedSmall"/>
    <x v="6"/>
    <s v="GNR_EH_HEAT"/>
    <x v="0"/>
    <x v="12"/>
    <n v="12.5"/>
    <n v="4562.5"/>
    <n v="16425"/>
  </r>
  <r>
    <x v="0"/>
    <x v="0"/>
    <x v="0"/>
    <x v="0"/>
    <x v="0"/>
    <s v="DK1_MedSmall"/>
    <x v="6"/>
    <s v="GNR_EH_HEAT"/>
    <x v="0"/>
    <x v="13"/>
    <n v="12.5"/>
    <n v="4562.5"/>
    <n v="16425"/>
  </r>
  <r>
    <x v="0"/>
    <x v="0"/>
    <x v="0"/>
    <x v="0"/>
    <x v="0"/>
    <s v="DK1_MedSmall"/>
    <x v="6"/>
    <s v="GNR_EH_HEAT"/>
    <x v="0"/>
    <x v="14"/>
    <n v="12.5"/>
    <n v="4562.5"/>
    <n v="16425"/>
  </r>
  <r>
    <x v="0"/>
    <x v="0"/>
    <x v="0"/>
    <x v="0"/>
    <x v="0"/>
    <s v="DK1_MedSmall"/>
    <x v="6"/>
    <s v="GNR_EH_HEAT"/>
    <x v="0"/>
    <x v="15"/>
    <n v="12.5"/>
    <n v="4562.5"/>
    <n v="16425"/>
  </r>
  <r>
    <x v="0"/>
    <x v="0"/>
    <x v="0"/>
    <x v="0"/>
    <x v="0"/>
    <s v="DK1_MedSmall"/>
    <x v="6"/>
    <s v="GNR_EH_HEAT"/>
    <x v="0"/>
    <x v="16"/>
    <n v="12.5"/>
    <n v="4562.5"/>
    <n v="16425"/>
  </r>
  <r>
    <x v="0"/>
    <x v="0"/>
    <x v="0"/>
    <x v="0"/>
    <x v="0"/>
    <s v="DK1_MedSmall"/>
    <x v="6"/>
    <s v="GNR_EH_HEAT"/>
    <x v="0"/>
    <x v="17"/>
    <n v="12.5"/>
    <n v="4562.5"/>
    <n v="16425"/>
  </r>
  <r>
    <x v="0"/>
    <x v="0"/>
    <x v="0"/>
    <x v="0"/>
    <x v="0"/>
    <s v="DK1_MedSmall"/>
    <x v="6"/>
    <s v="GNR_EH_HEAT"/>
    <x v="0"/>
    <x v="18"/>
    <n v="12.5"/>
    <n v="4562.5"/>
    <n v="16425"/>
  </r>
  <r>
    <x v="0"/>
    <x v="0"/>
    <x v="0"/>
    <x v="0"/>
    <x v="0"/>
    <s v="DK1_MedSmall"/>
    <x v="6"/>
    <s v="GNR_EH_HEAT"/>
    <x v="0"/>
    <x v="19"/>
    <n v="12.5"/>
    <n v="4562.5"/>
    <n v="16425"/>
  </r>
  <r>
    <x v="0"/>
    <x v="0"/>
    <x v="0"/>
    <x v="0"/>
    <x v="0"/>
    <s v="DK1_MedSmall"/>
    <x v="6"/>
    <s v="GNR_EH_HEAT"/>
    <x v="0"/>
    <x v="20"/>
    <n v="12.5"/>
    <n v="4562.5"/>
    <n v="16425"/>
  </r>
  <r>
    <x v="0"/>
    <x v="0"/>
    <x v="0"/>
    <x v="0"/>
    <x v="0"/>
    <s v="DK1_MedSmall"/>
    <x v="6"/>
    <s v="GNR_EH_HEAT"/>
    <x v="0"/>
    <x v="21"/>
    <n v="12.5"/>
    <n v="4562.5"/>
    <n v="16425"/>
  </r>
  <r>
    <x v="0"/>
    <x v="0"/>
    <x v="0"/>
    <x v="0"/>
    <x v="0"/>
    <s v="DK1_MedSmall"/>
    <x v="6"/>
    <s v="GNR_EH_HEAT"/>
    <x v="0"/>
    <x v="22"/>
    <n v="12.5"/>
    <n v="4562.5"/>
    <n v="16425"/>
  </r>
  <r>
    <x v="0"/>
    <x v="0"/>
    <x v="0"/>
    <x v="0"/>
    <x v="0"/>
    <s v="DK1_MedSmall"/>
    <x v="6"/>
    <s v="GNR_EH_HEAT"/>
    <x v="0"/>
    <x v="23"/>
    <n v="12.5"/>
    <n v="4562.5"/>
    <n v="16425"/>
  </r>
  <r>
    <x v="0"/>
    <x v="0"/>
    <x v="0"/>
    <x v="0"/>
    <x v="0"/>
    <s v="DK1_MedSmall"/>
    <x v="6"/>
    <s v="GNR_GEO_HEAT_HO"/>
    <x v="0"/>
    <x v="0"/>
    <n v="8.3000000000000007"/>
    <n v="3029.5"/>
    <n v="10906.2"/>
  </r>
  <r>
    <x v="0"/>
    <x v="0"/>
    <x v="0"/>
    <x v="0"/>
    <x v="0"/>
    <s v="DK1_MedSmall"/>
    <x v="6"/>
    <s v="GNR_GEO_HEAT_HO"/>
    <x v="0"/>
    <x v="1"/>
    <n v="8.3000000000000007"/>
    <n v="3029.5"/>
    <n v="10906.2"/>
  </r>
  <r>
    <x v="0"/>
    <x v="0"/>
    <x v="0"/>
    <x v="0"/>
    <x v="0"/>
    <s v="DK1_MedSmall"/>
    <x v="6"/>
    <s v="GNR_GEO_HEAT_HO"/>
    <x v="0"/>
    <x v="2"/>
    <n v="8.3000000000000007"/>
    <n v="3029.5"/>
    <n v="10906.2"/>
  </r>
  <r>
    <x v="0"/>
    <x v="0"/>
    <x v="0"/>
    <x v="0"/>
    <x v="0"/>
    <s v="DK1_MedSmall"/>
    <x v="6"/>
    <s v="GNR_GEO_HEAT_HO"/>
    <x v="0"/>
    <x v="3"/>
    <n v="8.3000000000000007"/>
    <n v="3029.5"/>
    <n v="10906.2"/>
  </r>
  <r>
    <x v="0"/>
    <x v="0"/>
    <x v="0"/>
    <x v="0"/>
    <x v="0"/>
    <s v="DK1_MedSmall"/>
    <x v="6"/>
    <s v="GNR_GEO_HEAT_HO"/>
    <x v="0"/>
    <x v="4"/>
    <n v="8.3000000000000007"/>
    <n v="3029.5"/>
    <n v="10906.2"/>
  </r>
  <r>
    <x v="0"/>
    <x v="0"/>
    <x v="0"/>
    <x v="0"/>
    <x v="0"/>
    <s v="DK1_MedSmall"/>
    <x v="6"/>
    <s v="GNR_GEO_HEAT_HO"/>
    <x v="0"/>
    <x v="5"/>
    <n v="8.3000000000000007"/>
    <n v="3029.5"/>
    <n v="10906.2"/>
  </r>
  <r>
    <x v="0"/>
    <x v="0"/>
    <x v="0"/>
    <x v="0"/>
    <x v="0"/>
    <s v="DK1_MedSmall"/>
    <x v="6"/>
    <s v="GNR_GEO_HEAT_HO"/>
    <x v="0"/>
    <x v="6"/>
    <n v="8.3000000000000007"/>
    <n v="3029.5"/>
    <n v="10906.2"/>
  </r>
  <r>
    <x v="0"/>
    <x v="0"/>
    <x v="0"/>
    <x v="0"/>
    <x v="0"/>
    <s v="DK1_MedSmall"/>
    <x v="6"/>
    <s v="GNR_GEO_HEAT_HO"/>
    <x v="0"/>
    <x v="7"/>
    <n v="8.3000000000000007"/>
    <n v="3029.5"/>
    <n v="10906.2"/>
  </r>
  <r>
    <x v="0"/>
    <x v="0"/>
    <x v="0"/>
    <x v="0"/>
    <x v="0"/>
    <s v="DK1_MedSmall"/>
    <x v="6"/>
    <s v="GNR_GEO_HEAT_HO"/>
    <x v="0"/>
    <x v="8"/>
    <n v="8.3000000000000007"/>
    <n v="3029.5"/>
    <n v="10906.2"/>
  </r>
  <r>
    <x v="0"/>
    <x v="0"/>
    <x v="0"/>
    <x v="0"/>
    <x v="0"/>
    <s v="DK1_MedSmall"/>
    <x v="6"/>
    <s v="GNR_GEO_HEAT_HO"/>
    <x v="0"/>
    <x v="9"/>
    <n v="8.3000000000000007"/>
    <n v="3029.5"/>
    <n v="10906.2"/>
  </r>
  <r>
    <x v="0"/>
    <x v="0"/>
    <x v="0"/>
    <x v="0"/>
    <x v="0"/>
    <s v="DK1_MedSmall"/>
    <x v="6"/>
    <s v="GNR_GEO_HEAT_HO"/>
    <x v="0"/>
    <x v="10"/>
    <n v="8.3000000000000007"/>
    <n v="3029.5"/>
    <n v="10906.2"/>
  </r>
  <r>
    <x v="0"/>
    <x v="0"/>
    <x v="0"/>
    <x v="0"/>
    <x v="0"/>
    <s v="DK1_MedSmall"/>
    <x v="6"/>
    <s v="GNR_GEO_HEAT_HO"/>
    <x v="0"/>
    <x v="11"/>
    <n v="8.3000000000000007"/>
    <n v="3029.5"/>
    <n v="10906.2"/>
  </r>
  <r>
    <x v="0"/>
    <x v="0"/>
    <x v="0"/>
    <x v="0"/>
    <x v="0"/>
    <s v="DK1_MedSmall"/>
    <x v="6"/>
    <s v="GNR_GEO_HEAT_HO"/>
    <x v="0"/>
    <x v="12"/>
    <n v="8.3000000000000007"/>
    <n v="3029.5"/>
    <n v="10906.2"/>
  </r>
  <r>
    <x v="0"/>
    <x v="0"/>
    <x v="0"/>
    <x v="0"/>
    <x v="0"/>
    <s v="DK1_MedSmall"/>
    <x v="6"/>
    <s v="GNR_GEO_HEAT_HO"/>
    <x v="0"/>
    <x v="13"/>
    <n v="8.3000000000000007"/>
    <n v="3029.5"/>
    <n v="10906.2"/>
  </r>
  <r>
    <x v="0"/>
    <x v="0"/>
    <x v="0"/>
    <x v="0"/>
    <x v="0"/>
    <s v="DK1_MedSmall"/>
    <x v="6"/>
    <s v="GNR_GEO_HEAT_HO"/>
    <x v="0"/>
    <x v="14"/>
    <n v="8.3000000000000007"/>
    <n v="3029.5"/>
    <n v="10906.2"/>
  </r>
  <r>
    <x v="0"/>
    <x v="0"/>
    <x v="0"/>
    <x v="0"/>
    <x v="0"/>
    <s v="DK1_MedSmall"/>
    <x v="6"/>
    <s v="GNR_GEO_HEAT_HO"/>
    <x v="0"/>
    <x v="15"/>
    <n v="8.3000000000000007"/>
    <n v="3029.5"/>
    <n v="10906.2"/>
  </r>
  <r>
    <x v="0"/>
    <x v="0"/>
    <x v="0"/>
    <x v="0"/>
    <x v="0"/>
    <s v="DK1_MedSmall"/>
    <x v="6"/>
    <s v="GNR_GEO_HEAT_HO"/>
    <x v="0"/>
    <x v="16"/>
    <n v="8.3000000000000007"/>
    <n v="3029.5"/>
    <n v="10906.2"/>
  </r>
  <r>
    <x v="0"/>
    <x v="0"/>
    <x v="0"/>
    <x v="0"/>
    <x v="0"/>
    <s v="DK1_MedSmall"/>
    <x v="6"/>
    <s v="GNR_GEO_HEAT_HO"/>
    <x v="0"/>
    <x v="17"/>
    <n v="8.3000000000000007"/>
    <n v="3029.5"/>
    <n v="10906.2"/>
  </r>
  <r>
    <x v="0"/>
    <x v="0"/>
    <x v="0"/>
    <x v="0"/>
    <x v="0"/>
    <s v="DK1_MedSmall"/>
    <x v="6"/>
    <s v="GNR_GEO_HEAT_HO"/>
    <x v="0"/>
    <x v="18"/>
    <n v="8.3000000000000007"/>
    <n v="3029.5"/>
    <n v="10906.2"/>
  </r>
  <r>
    <x v="0"/>
    <x v="0"/>
    <x v="0"/>
    <x v="0"/>
    <x v="0"/>
    <s v="DK1_MedSmall"/>
    <x v="6"/>
    <s v="GNR_GEO_HEAT_HO"/>
    <x v="0"/>
    <x v="19"/>
    <n v="8.3000000000000007"/>
    <n v="3029.5"/>
    <n v="10906.2"/>
  </r>
  <r>
    <x v="0"/>
    <x v="0"/>
    <x v="0"/>
    <x v="0"/>
    <x v="0"/>
    <s v="DK1_MedSmall"/>
    <x v="6"/>
    <s v="GNR_GEO_HEAT_HO"/>
    <x v="0"/>
    <x v="20"/>
    <n v="8.3000000000000007"/>
    <n v="3029.5"/>
    <n v="10906.2"/>
  </r>
  <r>
    <x v="0"/>
    <x v="0"/>
    <x v="0"/>
    <x v="0"/>
    <x v="0"/>
    <s v="DK1_MedSmall"/>
    <x v="6"/>
    <s v="GNR_GEO_HEAT_HO"/>
    <x v="0"/>
    <x v="21"/>
    <n v="8.3000000000000007"/>
    <n v="3029.5"/>
    <n v="10906.2"/>
  </r>
  <r>
    <x v="0"/>
    <x v="0"/>
    <x v="0"/>
    <x v="0"/>
    <x v="0"/>
    <s v="DK1_MedSmall"/>
    <x v="6"/>
    <s v="GNR_GEO_HEAT_HO"/>
    <x v="0"/>
    <x v="22"/>
    <n v="8.3000000000000007"/>
    <n v="3029.5"/>
    <n v="10906.2"/>
  </r>
  <r>
    <x v="0"/>
    <x v="0"/>
    <x v="0"/>
    <x v="0"/>
    <x v="0"/>
    <s v="DK1_MedSmall"/>
    <x v="6"/>
    <s v="GNR_GEO_HEAT_HO"/>
    <x v="0"/>
    <x v="23"/>
    <n v="8.3000000000000007"/>
    <n v="3029.5"/>
    <n v="10906.2"/>
  </r>
  <r>
    <x v="0"/>
    <x v="0"/>
    <x v="0"/>
    <x v="0"/>
    <x v="0"/>
    <s v="DK1_MedSmall"/>
    <x v="7"/>
    <s v="GNR_BO_WOODCHI_E-100"/>
    <x v="0"/>
    <x v="0"/>
    <n v="2.1"/>
    <n v="766.5"/>
    <n v="2759.4"/>
  </r>
  <r>
    <x v="0"/>
    <x v="0"/>
    <x v="0"/>
    <x v="0"/>
    <x v="0"/>
    <s v="DK1_MedSmall"/>
    <x v="7"/>
    <s v="GNR_BO_WOODCHI_E-100"/>
    <x v="0"/>
    <x v="1"/>
    <n v="2.1"/>
    <n v="766.5"/>
    <n v="2759.4"/>
  </r>
  <r>
    <x v="0"/>
    <x v="0"/>
    <x v="0"/>
    <x v="0"/>
    <x v="0"/>
    <s v="DK1_MedSmall"/>
    <x v="7"/>
    <s v="GNR_BO_WOODCHI_E-100"/>
    <x v="0"/>
    <x v="2"/>
    <n v="2.1"/>
    <n v="766.5"/>
    <n v="2759.4"/>
  </r>
  <r>
    <x v="0"/>
    <x v="0"/>
    <x v="0"/>
    <x v="0"/>
    <x v="0"/>
    <s v="DK1_MedSmall"/>
    <x v="7"/>
    <s v="GNR_BO_WOODCHI_E-100"/>
    <x v="0"/>
    <x v="3"/>
    <n v="2.1"/>
    <n v="766.5"/>
    <n v="2759.4"/>
  </r>
  <r>
    <x v="0"/>
    <x v="0"/>
    <x v="0"/>
    <x v="0"/>
    <x v="0"/>
    <s v="DK1_MedSmall"/>
    <x v="7"/>
    <s v="GNR_BO_WOODCHI_E-100"/>
    <x v="0"/>
    <x v="4"/>
    <n v="2.1"/>
    <n v="766.5"/>
    <n v="2759.4"/>
  </r>
  <r>
    <x v="0"/>
    <x v="0"/>
    <x v="0"/>
    <x v="0"/>
    <x v="0"/>
    <s v="DK1_MedSmall"/>
    <x v="7"/>
    <s v="GNR_BO_WOODCHI_E-100"/>
    <x v="0"/>
    <x v="5"/>
    <n v="2.1"/>
    <n v="766.5"/>
    <n v="2759.4"/>
  </r>
  <r>
    <x v="0"/>
    <x v="0"/>
    <x v="0"/>
    <x v="0"/>
    <x v="0"/>
    <s v="DK1_MedSmall"/>
    <x v="7"/>
    <s v="GNR_BO_WOODCHI_E-100"/>
    <x v="0"/>
    <x v="6"/>
    <n v="2.1"/>
    <n v="766.5"/>
    <n v="2759.4"/>
  </r>
  <r>
    <x v="0"/>
    <x v="0"/>
    <x v="0"/>
    <x v="0"/>
    <x v="0"/>
    <s v="DK1_MedSmall"/>
    <x v="7"/>
    <s v="GNR_BO_WOODCHI_E-100"/>
    <x v="0"/>
    <x v="7"/>
    <n v="2.1"/>
    <n v="766.5"/>
    <n v="2759.4"/>
  </r>
  <r>
    <x v="0"/>
    <x v="0"/>
    <x v="0"/>
    <x v="0"/>
    <x v="0"/>
    <s v="DK1_MedSmall"/>
    <x v="7"/>
    <s v="GNR_BO_WOODCHI_E-100"/>
    <x v="0"/>
    <x v="8"/>
    <n v="2.1"/>
    <n v="766.5"/>
    <n v="2759.4"/>
  </r>
  <r>
    <x v="0"/>
    <x v="0"/>
    <x v="0"/>
    <x v="0"/>
    <x v="0"/>
    <s v="DK1_MedSmall"/>
    <x v="7"/>
    <s v="GNR_BO_WOODCHI_E-100"/>
    <x v="0"/>
    <x v="9"/>
    <n v="2.1"/>
    <n v="766.5"/>
    <n v="2759.4"/>
  </r>
  <r>
    <x v="0"/>
    <x v="0"/>
    <x v="0"/>
    <x v="0"/>
    <x v="0"/>
    <s v="DK1_MedSmall"/>
    <x v="7"/>
    <s v="GNR_BO_WOODCHI_E-100"/>
    <x v="0"/>
    <x v="10"/>
    <n v="2.1"/>
    <n v="766.5"/>
    <n v="2759.4"/>
  </r>
  <r>
    <x v="0"/>
    <x v="0"/>
    <x v="0"/>
    <x v="0"/>
    <x v="0"/>
    <s v="DK1_MedSmall"/>
    <x v="7"/>
    <s v="GNR_BO_WOODCHI_E-100"/>
    <x v="0"/>
    <x v="11"/>
    <n v="2.1"/>
    <n v="766.5"/>
    <n v="2759.4"/>
  </r>
  <r>
    <x v="0"/>
    <x v="0"/>
    <x v="0"/>
    <x v="0"/>
    <x v="0"/>
    <s v="DK1_MedSmall"/>
    <x v="7"/>
    <s v="GNR_BO_WOODCHI_E-100"/>
    <x v="0"/>
    <x v="12"/>
    <n v="2.1"/>
    <n v="766.5"/>
    <n v="2759.4"/>
  </r>
  <r>
    <x v="0"/>
    <x v="0"/>
    <x v="0"/>
    <x v="0"/>
    <x v="0"/>
    <s v="DK1_MedSmall"/>
    <x v="7"/>
    <s v="GNR_BO_WOODCHI_E-100"/>
    <x v="0"/>
    <x v="13"/>
    <n v="2.1"/>
    <n v="766.5"/>
    <n v="2759.4"/>
  </r>
  <r>
    <x v="0"/>
    <x v="0"/>
    <x v="0"/>
    <x v="0"/>
    <x v="0"/>
    <s v="DK1_MedSmall"/>
    <x v="7"/>
    <s v="GNR_BO_WOODCHI_E-100"/>
    <x v="0"/>
    <x v="14"/>
    <n v="2.1"/>
    <n v="766.5"/>
    <n v="2759.4"/>
  </r>
  <r>
    <x v="0"/>
    <x v="0"/>
    <x v="0"/>
    <x v="0"/>
    <x v="0"/>
    <s v="DK1_MedSmall"/>
    <x v="7"/>
    <s v="GNR_BO_WOODCHI_E-100"/>
    <x v="0"/>
    <x v="15"/>
    <n v="2.1"/>
    <n v="766.5"/>
    <n v="2759.4"/>
  </r>
  <r>
    <x v="0"/>
    <x v="0"/>
    <x v="0"/>
    <x v="0"/>
    <x v="0"/>
    <s v="DK1_MedSmall"/>
    <x v="7"/>
    <s v="GNR_BO_WOODCHI_E-100"/>
    <x v="0"/>
    <x v="16"/>
    <n v="2.1"/>
    <n v="766.5"/>
    <n v="2759.4"/>
  </r>
  <r>
    <x v="0"/>
    <x v="0"/>
    <x v="0"/>
    <x v="0"/>
    <x v="0"/>
    <s v="DK1_MedSmall"/>
    <x v="7"/>
    <s v="GNR_BO_WOODCHI_E-100"/>
    <x v="0"/>
    <x v="17"/>
    <n v="2.1"/>
    <n v="766.5"/>
    <n v="2759.4"/>
  </r>
  <r>
    <x v="0"/>
    <x v="0"/>
    <x v="0"/>
    <x v="0"/>
    <x v="0"/>
    <s v="DK1_MedSmall"/>
    <x v="7"/>
    <s v="GNR_BO_WOODCHI_E-100"/>
    <x v="0"/>
    <x v="18"/>
    <n v="2.1"/>
    <n v="766.5"/>
    <n v="2759.4"/>
  </r>
  <r>
    <x v="0"/>
    <x v="0"/>
    <x v="0"/>
    <x v="0"/>
    <x v="0"/>
    <s v="DK1_MedSmall"/>
    <x v="7"/>
    <s v="GNR_BO_WOODCHI_E-100"/>
    <x v="0"/>
    <x v="19"/>
    <n v="2.1"/>
    <n v="766.5"/>
    <n v="2759.4"/>
  </r>
  <r>
    <x v="0"/>
    <x v="0"/>
    <x v="0"/>
    <x v="0"/>
    <x v="0"/>
    <s v="DK1_MedSmall"/>
    <x v="7"/>
    <s v="GNR_BO_WOODCHI_E-100"/>
    <x v="0"/>
    <x v="20"/>
    <n v="2.1"/>
    <n v="766.5"/>
    <n v="2759.4"/>
  </r>
  <r>
    <x v="0"/>
    <x v="0"/>
    <x v="0"/>
    <x v="0"/>
    <x v="0"/>
    <s v="DK1_MedSmall"/>
    <x v="7"/>
    <s v="GNR_BO_WOODCHI_E-100"/>
    <x v="0"/>
    <x v="21"/>
    <n v="2.1"/>
    <n v="766.5"/>
    <n v="2759.4"/>
  </r>
  <r>
    <x v="0"/>
    <x v="0"/>
    <x v="0"/>
    <x v="0"/>
    <x v="0"/>
    <s v="DK1_MedSmall"/>
    <x v="7"/>
    <s v="GNR_BO_WOODCHI_E-100"/>
    <x v="0"/>
    <x v="22"/>
    <n v="2.1"/>
    <n v="766.5"/>
    <n v="2759.4"/>
  </r>
  <r>
    <x v="0"/>
    <x v="0"/>
    <x v="0"/>
    <x v="0"/>
    <x v="0"/>
    <s v="DK1_MedSmall"/>
    <x v="7"/>
    <s v="GNR_BO_WOODCHI_E-100"/>
    <x v="0"/>
    <x v="23"/>
    <n v="2.1"/>
    <n v="766.5"/>
    <n v="2759.4"/>
  </r>
  <r>
    <x v="0"/>
    <x v="0"/>
    <x v="0"/>
    <x v="0"/>
    <x v="0"/>
    <s v="DK1_MedSmall"/>
    <x v="7"/>
    <s v="GNR_BO_WOODCHI_E-110"/>
    <x v="0"/>
    <x v="0"/>
    <n v="17"/>
    <n v="6205"/>
    <n v="22338"/>
  </r>
  <r>
    <x v="0"/>
    <x v="0"/>
    <x v="0"/>
    <x v="0"/>
    <x v="0"/>
    <s v="DK1_MedSmall"/>
    <x v="7"/>
    <s v="GNR_BO_WOODCHI_E-110"/>
    <x v="0"/>
    <x v="1"/>
    <n v="17"/>
    <n v="6205"/>
    <n v="22338"/>
  </r>
  <r>
    <x v="0"/>
    <x v="0"/>
    <x v="0"/>
    <x v="0"/>
    <x v="0"/>
    <s v="DK1_MedSmall"/>
    <x v="7"/>
    <s v="GNR_BO_WOODCHI_E-110"/>
    <x v="0"/>
    <x v="2"/>
    <n v="17"/>
    <n v="6205"/>
    <n v="22338"/>
  </r>
  <r>
    <x v="0"/>
    <x v="0"/>
    <x v="0"/>
    <x v="0"/>
    <x v="0"/>
    <s v="DK1_MedSmall"/>
    <x v="7"/>
    <s v="GNR_BO_WOODCHI_E-110"/>
    <x v="0"/>
    <x v="3"/>
    <n v="17"/>
    <n v="6205"/>
    <n v="22338"/>
  </r>
  <r>
    <x v="0"/>
    <x v="0"/>
    <x v="0"/>
    <x v="0"/>
    <x v="0"/>
    <s v="DK1_MedSmall"/>
    <x v="7"/>
    <s v="GNR_BO_WOODCHI_E-110"/>
    <x v="0"/>
    <x v="4"/>
    <n v="17"/>
    <n v="6205"/>
    <n v="22338"/>
  </r>
  <r>
    <x v="0"/>
    <x v="0"/>
    <x v="0"/>
    <x v="0"/>
    <x v="0"/>
    <s v="DK1_MedSmall"/>
    <x v="7"/>
    <s v="GNR_BO_WOODCHI_E-110"/>
    <x v="0"/>
    <x v="5"/>
    <n v="17"/>
    <n v="6205"/>
    <n v="22338"/>
  </r>
  <r>
    <x v="0"/>
    <x v="0"/>
    <x v="0"/>
    <x v="0"/>
    <x v="0"/>
    <s v="DK1_MedSmall"/>
    <x v="7"/>
    <s v="GNR_BO_WOODCHI_E-110"/>
    <x v="0"/>
    <x v="6"/>
    <n v="17"/>
    <n v="6205"/>
    <n v="22338"/>
  </r>
  <r>
    <x v="0"/>
    <x v="0"/>
    <x v="0"/>
    <x v="0"/>
    <x v="0"/>
    <s v="DK1_MedSmall"/>
    <x v="7"/>
    <s v="GNR_BO_WOODCHI_E-110"/>
    <x v="0"/>
    <x v="7"/>
    <n v="17"/>
    <n v="6205"/>
    <n v="22338"/>
  </r>
  <r>
    <x v="0"/>
    <x v="0"/>
    <x v="0"/>
    <x v="0"/>
    <x v="0"/>
    <s v="DK1_MedSmall"/>
    <x v="7"/>
    <s v="GNR_BO_WOODCHI_E-110"/>
    <x v="0"/>
    <x v="8"/>
    <n v="17"/>
    <n v="6205"/>
    <n v="22338"/>
  </r>
  <r>
    <x v="0"/>
    <x v="0"/>
    <x v="0"/>
    <x v="0"/>
    <x v="0"/>
    <s v="DK1_MedSmall"/>
    <x v="7"/>
    <s v="GNR_BO_WOODCHI_E-110"/>
    <x v="0"/>
    <x v="9"/>
    <n v="17"/>
    <n v="6205"/>
    <n v="22338"/>
  </r>
  <r>
    <x v="0"/>
    <x v="0"/>
    <x v="0"/>
    <x v="0"/>
    <x v="0"/>
    <s v="DK1_MedSmall"/>
    <x v="7"/>
    <s v="GNR_BO_WOODCHI_E-110"/>
    <x v="0"/>
    <x v="10"/>
    <n v="17"/>
    <n v="6205"/>
    <n v="22338"/>
  </r>
  <r>
    <x v="0"/>
    <x v="0"/>
    <x v="0"/>
    <x v="0"/>
    <x v="0"/>
    <s v="DK1_MedSmall"/>
    <x v="7"/>
    <s v="GNR_BO_WOODCHI_E-110"/>
    <x v="0"/>
    <x v="11"/>
    <n v="17"/>
    <n v="6205"/>
    <n v="22338"/>
  </r>
  <r>
    <x v="0"/>
    <x v="0"/>
    <x v="0"/>
    <x v="0"/>
    <x v="0"/>
    <s v="DK1_MedSmall"/>
    <x v="7"/>
    <s v="GNR_BO_WOODCHI_E-110"/>
    <x v="0"/>
    <x v="12"/>
    <n v="17"/>
    <n v="6205"/>
    <n v="22338"/>
  </r>
  <r>
    <x v="0"/>
    <x v="0"/>
    <x v="0"/>
    <x v="0"/>
    <x v="0"/>
    <s v="DK1_MedSmall"/>
    <x v="7"/>
    <s v="GNR_BO_WOODCHI_E-110"/>
    <x v="0"/>
    <x v="13"/>
    <n v="17"/>
    <n v="6205"/>
    <n v="22338"/>
  </r>
  <r>
    <x v="0"/>
    <x v="0"/>
    <x v="0"/>
    <x v="0"/>
    <x v="0"/>
    <s v="DK1_MedSmall"/>
    <x v="7"/>
    <s v="GNR_BO_WOODCHI_E-110"/>
    <x v="0"/>
    <x v="14"/>
    <n v="17"/>
    <n v="6205"/>
    <n v="22338"/>
  </r>
  <r>
    <x v="0"/>
    <x v="0"/>
    <x v="0"/>
    <x v="0"/>
    <x v="0"/>
    <s v="DK1_MedSmall"/>
    <x v="7"/>
    <s v="GNR_BO_WOODCHI_E-110"/>
    <x v="0"/>
    <x v="15"/>
    <n v="17"/>
    <n v="6205"/>
    <n v="22338"/>
  </r>
  <r>
    <x v="0"/>
    <x v="0"/>
    <x v="0"/>
    <x v="0"/>
    <x v="0"/>
    <s v="DK1_MedSmall"/>
    <x v="7"/>
    <s v="GNR_BO_WOODCHI_E-110"/>
    <x v="0"/>
    <x v="16"/>
    <n v="17"/>
    <n v="6205"/>
    <n v="22338"/>
  </r>
  <r>
    <x v="0"/>
    <x v="0"/>
    <x v="0"/>
    <x v="0"/>
    <x v="0"/>
    <s v="DK1_MedSmall"/>
    <x v="7"/>
    <s v="GNR_BO_WOODCHI_E-110"/>
    <x v="0"/>
    <x v="17"/>
    <n v="17"/>
    <n v="6205"/>
    <n v="22338"/>
  </r>
  <r>
    <x v="0"/>
    <x v="0"/>
    <x v="0"/>
    <x v="0"/>
    <x v="0"/>
    <s v="DK1_MedSmall"/>
    <x v="7"/>
    <s v="GNR_BO_WOODCHI_E-110"/>
    <x v="0"/>
    <x v="18"/>
    <n v="17"/>
    <n v="6205"/>
    <n v="22338"/>
  </r>
  <r>
    <x v="0"/>
    <x v="0"/>
    <x v="0"/>
    <x v="0"/>
    <x v="0"/>
    <s v="DK1_MedSmall"/>
    <x v="7"/>
    <s v="GNR_BO_WOODCHI_E-110"/>
    <x v="0"/>
    <x v="19"/>
    <n v="17"/>
    <n v="6205"/>
    <n v="22338"/>
  </r>
  <r>
    <x v="0"/>
    <x v="0"/>
    <x v="0"/>
    <x v="0"/>
    <x v="0"/>
    <s v="DK1_MedSmall"/>
    <x v="7"/>
    <s v="GNR_BO_WOODCHI_E-110"/>
    <x v="0"/>
    <x v="20"/>
    <n v="17"/>
    <n v="6205"/>
    <n v="22338"/>
  </r>
  <r>
    <x v="0"/>
    <x v="0"/>
    <x v="0"/>
    <x v="0"/>
    <x v="0"/>
    <s v="DK1_MedSmall"/>
    <x v="7"/>
    <s v="GNR_BO_WOODCHI_E-110"/>
    <x v="0"/>
    <x v="21"/>
    <n v="17"/>
    <n v="6205"/>
    <n v="22338"/>
  </r>
  <r>
    <x v="0"/>
    <x v="0"/>
    <x v="0"/>
    <x v="0"/>
    <x v="0"/>
    <s v="DK1_MedSmall"/>
    <x v="7"/>
    <s v="GNR_BO_WOODCHI_E-110"/>
    <x v="0"/>
    <x v="22"/>
    <n v="17"/>
    <n v="6205"/>
    <n v="22338"/>
  </r>
  <r>
    <x v="0"/>
    <x v="0"/>
    <x v="0"/>
    <x v="0"/>
    <x v="0"/>
    <s v="DK1_MedSmall"/>
    <x v="7"/>
    <s v="GNR_BO_WOODCHI_E-110"/>
    <x v="0"/>
    <x v="23"/>
    <n v="17"/>
    <n v="6205"/>
    <n v="22338"/>
  </r>
  <r>
    <x v="0"/>
    <x v="0"/>
    <x v="0"/>
    <x v="0"/>
    <x v="0"/>
    <s v="DK1_MedSmall"/>
    <x v="8"/>
    <s v="GNR_BO_WOODPEL_E-100"/>
    <x v="0"/>
    <x v="0"/>
    <n v="4"/>
    <n v="1460"/>
    <n v="5256"/>
  </r>
  <r>
    <x v="0"/>
    <x v="0"/>
    <x v="0"/>
    <x v="0"/>
    <x v="0"/>
    <s v="DK1_MedSmall"/>
    <x v="8"/>
    <s v="GNR_BO_WOODPEL_E-100"/>
    <x v="0"/>
    <x v="1"/>
    <n v="4"/>
    <n v="1460"/>
    <n v="5256"/>
  </r>
  <r>
    <x v="0"/>
    <x v="0"/>
    <x v="0"/>
    <x v="0"/>
    <x v="0"/>
    <s v="DK1_MedSmall"/>
    <x v="8"/>
    <s v="GNR_BO_WOODPEL_E-100"/>
    <x v="0"/>
    <x v="2"/>
    <n v="4"/>
    <n v="1460"/>
    <n v="5256"/>
  </r>
  <r>
    <x v="0"/>
    <x v="0"/>
    <x v="0"/>
    <x v="0"/>
    <x v="0"/>
    <s v="DK1_MedSmall"/>
    <x v="8"/>
    <s v="GNR_BO_WOODPEL_E-100"/>
    <x v="0"/>
    <x v="3"/>
    <n v="4"/>
    <n v="1460"/>
    <n v="5256"/>
  </r>
  <r>
    <x v="0"/>
    <x v="0"/>
    <x v="0"/>
    <x v="0"/>
    <x v="0"/>
    <s v="DK1_MedSmall"/>
    <x v="8"/>
    <s v="GNR_BO_WOODPEL_E-100"/>
    <x v="0"/>
    <x v="4"/>
    <n v="4"/>
    <n v="1460"/>
    <n v="5256"/>
  </r>
  <r>
    <x v="0"/>
    <x v="0"/>
    <x v="0"/>
    <x v="0"/>
    <x v="0"/>
    <s v="DK1_MedSmall"/>
    <x v="8"/>
    <s v="GNR_BO_WOODPEL_E-100"/>
    <x v="0"/>
    <x v="5"/>
    <n v="4"/>
    <n v="1460"/>
    <n v="5256"/>
  </r>
  <r>
    <x v="0"/>
    <x v="0"/>
    <x v="0"/>
    <x v="0"/>
    <x v="0"/>
    <s v="DK1_MedSmall"/>
    <x v="8"/>
    <s v="GNR_BO_WOODPEL_E-100"/>
    <x v="0"/>
    <x v="6"/>
    <n v="4"/>
    <n v="1460"/>
    <n v="5256"/>
  </r>
  <r>
    <x v="0"/>
    <x v="0"/>
    <x v="0"/>
    <x v="0"/>
    <x v="0"/>
    <s v="DK1_MedSmall"/>
    <x v="8"/>
    <s v="GNR_BO_WOODPEL_E-100"/>
    <x v="0"/>
    <x v="7"/>
    <n v="4"/>
    <n v="1460"/>
    <n v="5256"/>
  </r>
  <r>
    <x v="0"/>
    <x v="0"/>
    <x v="0"/>
    <x v="0"/>
    <x v="0"/>
    <s v="DK1_MedSmall"/>
    <x v="8"/>
    <s v="GNR_BO_WOODPEL_E-100"/>
    <x v="0"/>
    <x v="8"/>
    <n v="4"/>
    <n v="1460"/>
    <n v="5256"/>
  </r>
  <r>
    <x v="0"/>
    <x v="0"/>
    <x v="0"/>
    <x v="0"/>
    <x v="0"/>
    <s v="DK1_MedSmall"/>
    <x v="8"/>
    <s v="GNR_BO_WOODPEL_E-100"/>
    <x v="0"/>
    <x v="9"/>
    <n v="4"/>
    <n v="1460"/>
    <n v="5256"/>
  </r>
  <r>
    <x v="0"/>
    <x v="0"/>
    <x v="0"/>
    <x v="0"/>
    <x v="0"/>
    <s v="DK1_MedSmall"/>
    <x v="8"/>
    <s v="GNR_BO_WOODPEL_E-100"/>
    <x v="0"/>
    <x v="10"/>
    <n v="4"/>
    <n v="1460"/>
    <n v="5256"/>
  </r>
  <r>
    <x v="0"/>
    <x v="0"/>
    <x v="0"/>
    <x v="0"/>
    <x v="0"/>
    <s v="DK1_MedSmall"/>
    <x v="8"/>
    <s v="GNR_BO_WOODPEL_E-100"/>
    <x v="0"/>
    <x v="11"/>
    <n v="4"/>
    <n v="1460"/>
    <n v="5256"/>
  </r>
  <r>
    <x v="0"/>
    <x v="0"/>
    <x v="0"/>
    <x v="0"/>
    <x v="0"/>
    <s v="DK1_MedSmall"/>
    <x v="8"/>
    <s v="GNR_BO_WOODPEL_E-100"/>
    <x v="0"/>
    <x v="12"/>
    <n v="4"/>
    <n v="1460"/>
    <n v="5256"/>
  </r>
  <r>
    <x v="0"/>
    <x v="0"/>
    <x v="0"/>
    <x v="0"/>
    <x v="0"/>
    <s v="DK1_MedSmall"/>
    <x v="8"/>
    <s v="GNR_BO_WOODPEL_E-100"/>
    <x v="0"/>
    <x v="13"/>
    <n v="4"/>
    <n v="1460"/>
    <n v="5256"/>
  </r>
  <r>
    <x v="0"/>
    <x v="0"/>
    <x v="0"/>
    <x v="0"/>
    <x v="0"/>
    <s v="DK1_MedSmall"/>
    <x v="8"/>
    <s v="GNR_BO_WOODPEL_E-100"/>
    <x v="0"/>
    <x v="14"/>
    <n v="4"/>
    <n v="1460"/>
    <n v="5256"/>
  </r>
  <r>
    <x v="0"/>
    <x v="0"/>
    <x v="0"/>
    <x v="0"/>
    <x v="0"/>
    <s v="DK1_MedSmall"/>
    <x v="8"/>
    <s v="GNR_BO_WOODPEL_E-100"/>
    <x v="0"/>
    <x v="15"/>
    <n v="4"/>
    <n v="1460"/>
    <n v="5256"/>
  </r>
  <r>
    <x v="0"/>
    <x v="0"/>
    <x v="0"/>
    <x v="0"/>
    <x v="0"/>
    <s v="DK1_MedSmall"/>
    <x v="8"/>
    <s v="GNR_BO_WOODPEL_E-100"/>
    <x v="0"/>
    <x v="16"/>
    <n v="4"/>
    <n v="1460"/>
    <n v="5256"/>
  </r>
  <r>
    <x v="0"/>
    <x v="0"/>
    <x v="0"/>
    <x v="0"/>
    <x v="0"/>
    <s v="DK1_MedSmall"/>
    <x v="8"/>
    <s v="GNR_BO_WOODPEL_E-100"/>
    <x v="0"/>
    <x v="17"/>
    <n v="4"/>
    <n v="1460"/>
    <n v="5256"/>
  </r>
  <r>
    <x v="0"/>
    <x v="0"/>
    <x v="0"/>
    <x v="0"/>
    <x v="0"/>
    <s v="DK1_MedSmall"/>
    <x v="8"/>
    <s v="GNR_BO_WOODPEL_E-100"/>
    <x v="0"/>
    <x v="18"/>
    <n v="4"/>
    <n v="1460"/>
    <n v="5256"/>
  </r>
  <r>
    <x v="0"/>
    <x v="0"/>
    <x v="0"/>
    <x v="0"/>
    <x v="0"/>
    <s v="DK1_MedSmall"/>
    <x v="8"/>
    <s v="GNR_BO_WOODPEL_E-100"/>
    <x v="0"/>
    <x v="19"/>
    <n v="4"/>
    <n v="1460"/>
    <n v="5256"/>
  </r>
  <r>
    <x v="0"/>
    <x v="0"/>
    <x v="0"/>
    <x v="0"/>
    <x v="0"/>
    <s v="DK1_MedSmall"/>
    <x v="8"/>
    <s v="GNR_BO_WOODPEL_E-100"/>
    <x v="0"/>
    <x v="20"/>
    <n v="4"/>
    <n v="1460"/>
    <n v="5256"/>
  </r>
  <r>
    <x v="0"/>
    <x v="0"/>
    <x v="0"/>
    <x v="0"/>
    <x v="0"/>
    <s v="DK1_MedSmall"/>
    <x v="8"/>
    <s v="GNR_BO_WOODPEL_E-100"/>
    <x v="0"/>
    <x v="21"/>
    <n v="4"/>
    <n v="1460"/>
    <n v="5256"/>
  </r>
  <r>
    <x v="0"/>
    <x v="0"/>
    <x v="0"/>
    <x v="0"/>
    <x v="0"/>
    <s v="DK1_MedSmall"/>
    <x v="8"/>
    <s v="GNR_BO_WOODPEL_E-100"/>
    <x v="0"/>
    <x v="22"/>
    <n v="4"/>
    <n v="1460"/>
    <n v="5256"/>
  </r>
  <r>
    <x v="0"/>
    <x v="0"/>
    <x v="0"/>
    <x v="0"/>
    <x v="0"/>
    <s v="DK1_MedSmall"/>
    <x v="8"/>
    <s v="GNR_BO_WOODPEL_E-100"/>
    <x v="0"/>
    <x v="23"/>
    <n v="4"/>
    <n v="1460"/>
    <n v="5256"/>
  </r>
  <r>
    <x v="0"/>
    <x v="0"/>
    <x v="0"/>
    <x v="0"/>
    <x v="0"/>
    <s v="DK1_Medium"/>
    <x v="0"/>
    <s v="GNR_ENG_BGAS_BP_E-32"/>
    <x v="0"/>
    <x v="0"/>
    <n v="0.353658536585366"/>
    <n v="129.085365853659"/>
    <n v="464.707317073171"/>
  </r>
  <r>
    <x v="0"/>
    <x v="0"/>
    <x v="0"/>
    <x v="0"/>
    <x v="0"/>
    <s v="DK1_Medium"/>
    <x v="0"/>
    <s v="GNR_ENG_BGAS_BP_E-32"/>
    <x v="0"/>
    <x v="1"/>
    <n v="0.353658536585366"/>
    <n v="129.085365853659"/>
    <n v="464.707317073171"/>
  </r>
  <r>
    <x v="0"/>
    <x v="0"/>
    <x v="0"/>
    <x v="0"/>
    <x v="0"/>
    <s v="DK1_Medium"/>
    <x v="0"/>
    <s v="GNR_ENG_BGAS_BP_E-32"/>
    <x v="0"/>
    <x v="2"/>
    <n v="0.353658536585366"/>
    <n v="129.085365853659"/>
    <n v="464.707317073171"/>
  </r>
  <r>
    <x v="0"/>
    <x v="0"/>
    <x v="0"/>
    <x v="0"/>
    <x v="0"/>
    <s v="DK1_Medium"/>
    <x v="0"/>
    <s v="GNR_ENG_BGAS_BP_E-32"/>
    <x v="0"/>
    <x v="3"/>
    <n v="0.353658536585366"/>
    <n v="129.085365853659"/>
    <n v="464.707317073171"/>
  </r>
  <r>
    <x v="0"/>
    <x v="0"/>
    <x v="0"/>
    <x v="0"/>
    <x v="0"/>
    <s v="DK1_Medium"/>
    <x v="0"/>
    <s v="GNR_ENG_BGAS_BP_E-32"/>
    <x v="0"/>
    <x v="4"/>
    <n v="0.353658536585366"/>
    <n v="129.085365853659"/>
    <n v="464.707317073171"/>
  </r>
  <r>
    <x v="0"/>
    <x v="0"/>
    <x v="0"/>
    <x v="0"/>
    <x v="0"/>
    <s v="DK1_Medium"/>
    <x v="0"/>
    <s v="GNR_ENG_BGAS_BP_E-32"/>
    <x v="0"/>
    <x v="5"/>
    <n v="0.353658536585366"/>
    <n v="129.085365853659"/>
    <n v="464.707317073171"/>
  </r>
  <r>
    <x v="0"/>
    <x v="0"/>
    <x v="0"/>
    <x v="0"/>
    <x v="0"/>
    <s v="DK1_Medium"/>
    <x v="0"/>
    <s v="GNR_ENG_BGAS_BP_E-32"/>
    <x v="0"/>
    <x v="6"/>
    <n v="0.353658536585366"/>
    <n v="129.085365853659"/>
    <n v="464.707317073171"/>
  </r>
  <r>
    <x v="0"/>
    <x v="0"/>
    <x v="0"/>
    <x v="0"/>
    <x v="0"/>
    <s v="DK1_Medium"/>
    <x v="0"/>
    <s v="GNR_ENG_BGAS_BP_E-32"/>
    <x v="0"/>
    <x v="7"/>
    <n v="0.353658536585366"/>
    <n v="129.085365853659"/>
    <n v="464.707317073171"/>
  </r>
  <r>
    <x v="0"/>
    <x v="0"/>
    <x v="0"/>
    <x v="0"/>
    <x v="0"/>
    <s v="DK1_Medium"/>
    <x v="0"/>
    <s v="GNR_ENG_BGAS_BP_E-32"/>
    <x v="0"/>
    <x v="8"/>
    <n v="0.353658536585366"/>
    <n v="129.085365853659"/>
    <n v="464.707317073171"/>
  </r>
  <r>
    <x v="0"/>
    <x v="0"/>
    <x v="0"/>
    <x v="0"/>
    <x v="0"/>
    <s v="DK1_Medium"/>
    <x v="0"/>
    <s v="GNR_ENG_BGAS_BP_E-32"/>
    <x v="0"/>
    <x v="9"/>
    <n v="0.353658536585366"/>
    <n v="129.085365853659"/>
    <n v="464.707317073171"/>
  </r>
  <r>
    <x v="0"/>
    <x v="0"/>
    <x v="0"/>
    <x v="0"/>
    <x v="0"/>
    <s v="DK1_Medium"/>
    <x v="0"/>
    <s v="GNR_ENG_BGAS_BP_E-32"/>
    <x v="0"/>
    <x v="10"/>
    <n v="0.353658536585366"/>
    <n v="129.085365853659"/>
    <n v="464.707317073171"/>
  </r>
  <r>
    <x v="0"/>
    <x v="0"/>
    <x v="0"/>
    <x v="0"/>
    <x v="0"/>
    <s v="DK1_Medium"/>
    <x v="0"/>
    <s v="GNR_ENG_BGAS_BP_E-32"/>
    <x v="0"/>
    <x v="11"/>
    <n v="0.353658536585366"/>
    <n v="129.085365853659"/>
    <n v="464.707317073171"/>
  </r>
  <r>
    <x v="0"/>
    <x v="0"/>
    <x v="0"/>
    <x v="0"/>
    <x v="0"/>
    <s v="DK1_Medium"/>
    <x v="0"/>
    <s v="GNR_ENG_BGAS_BP_E-32"/>
    <x v="0"/>
    <x v="12"/>
    <n v="0.353658536585366"/>
    <n v="129.085365853659"/>
    <n v="464.707317073171"/>
  </r>
  <r>
    <x v="0"/>
    <x v="0"/>
    <x v="0"/>
    <x v="0"/>
    <x v="0"/>
    <s v="DK1_Medium"/>
    <x v="0"/>
    <s v="GNR_ENG_BGAS_BP_E-32"/>
    <x v="0"/>
    <x v="13"/>
    <n v="0.353658536585366"/>
    <n v="129.085365853659"/>
    <n v="464.707317073171"/>
  </r>
  <r>
    <x v="0"/>
    <x v="0"/>
    <x v="0"/>
    <x v="0"/>
    <x v="0"/>
    <s v="DK1_Medium"/>
    <x v="0"/>
    <s v="GNR_ENG_BGAS_BP_E-32"/>
    <x v="0"/>
    <x v="14"/>
    <n v="0.353658536585366"/>
    <n v="129.085365853659"/>
    <n v="464.707317073171"/>
  </r>
  <r>
    <x v="0"/>
    <x v="0"/>
    <x v="0"/>
    <x v="0"/>
    <x v="0"/>
    <s v="DK1_Medium"/>
    <x v="0"/>
    <s v="GNR_ENG_BGAS_BP_E-32"/>
    <x v="0"/>
    <x v="15"/>
    <n v="0.353658536585366"/>
    <n v="129.085365853659"/>
    <n v="464.707317073171"/>
  </r>
  <r>
    <x v="0"/>
    <x v="0"/>
    <x v="0"/>
    <x v="0"/>
    <x v="0"/>
    <s v="DK1_Medium"/>
    <x v="0"/>
    <s v="GNR_ENG_BGAS_BP_E-32"/>
    <x v="0"/>
    <x v="16"/>
    <n v="0.353658536585366"/>
    <n v="129.085365853659"/>
    <n v="464.707317073171"/>
  </r>
  <r>
    <x v="0"/>
    <x v="0"/>
    <x v="0"/>
    <x v="0"/>
    <x v="0"/>
    <s v="DK1_Medium"/>
    <x v="0"/>
    <s v="GNR_ENG_BGAS_BP_E-32"/>
    <x v="0"/>
    <x v="17"/>
    <n v="0.353658536585366"/>
    <n v="129.085365853659"/>
    <n v="464.707317073171"/>
  </r>
  <r>
    <x v="0"/>
    <x v="0"/>
    <x v="0"/>
    <x v="0"/>
    <x v="0"/>
    <s v="DK1_Medium"/>
    <x v="0"/>
    <s v="GNR_ENG_BGAS_BP_E-32"/>
    <x v="0"/>
    <x v="18"/>
    <n v="0.353658536585366"/>
    <n v="129.085365853659"/>
    <n v="464.707317073171"/>
  </r>
  <r>
    <x v="0"/>
    <x v="0"/>
    <x v="0"/>
    <x v="0"/>
    <x v="0"/>
    <s v="DK1_Medium"/>
    <x v="0"/>
    <s v="GNR_ENG_BGAS_BP_E-32"/>
    <x v="0"/>
    <x v="19"/>
    <n v="0.353658536585366"/>
    <n v="129.085365853659"/>
    <n v="464.707317073171"/>
  </r>
  <r>
    <x v="0"/>
    <x v="0"/>
    <x v="0"/>
    <x v="0"/>
    <x v="0"/>
    <s v="DK1_Medium"/>
    <x v="0"/>
    <s v="GNR_ENG_BGAS_BP_E-32"/>
    <x v="0"/>
    <x v="20"/>
    <n v="0.353658536585366"/>
    <n v="129.085365853659"/>
    <n v="464.707317073171"/>
  </r>
  <r>
    <x v="0"/>
    <x v="0"/>
    <x v="0"/>
    <x v="0"/>
    <x v="0"/>
    <s v="DK1_Medium"/>
    <x v="0"/>
    <s v="GNR_ENG_BGAS_BP_E-32"/>
    <x v="0"/>
    <x v="21"/>
    <n v="0.353658536585366"/>
    <n v="129.085365853659"/>
    <n v="464.707317073171"/>
  </r>
  <r>
    <x v="0"/>
    <x v="0"/>
    <x v="0"/>
    <x v="0"/>
    <x v="0"/>
    <s v="DK1_Medium"/>
    <x v="0"/>
    <s v="GNR_ENG_BGAS_BP_E-32"/>
    <x v="0"/>
    <x v="22"/>
    <n v="0.353658536585366"/>
    <n v="129.085365853659"/>
    <n v="464.707317073171"/>
  </r>
  <r>
    <x v="0"/>
    <x v="0"/>
    <x v="0"/>
    <x v="0"/>
    <x v="0"/>
    <s v="DK1_Medium"/>
    <x v="0"/>
    <s v="GNR_ENG_BGAS_BP_E-32"/>
    <x v="0"/>
    <x v="23"/>
    <n v="0.353658536585366"/>
    <n v="129.085365853659"/>
    <n v="464.707317073171"/>
  </r>
  <r>
    <x v="0"/>
    <x v="0"/>
    <x v="0"/>
    <x v="0"/>
    <x v="0"/>
    <s v="DK1_Medium"/>
    <x v="0"/>
    <s v="GNR_ENG_BGAS_BP_E-34"/>
    <x v="0"/>
    <x v="0"/>
    <n v="0.78048780487804903"/>
    <n v="284.87804878048797"/>
    <n v="1025.5609756097599"/>
  </r>
  <r>
    <x v="0"/>
    <x v="0"/>
    <x v="0"/>
    <x v="0"/>
    <x v="0"/>
    <s v="DK1_Medium"/>
    <x v="0"/>
    <s v="GNR_ENG_BGAS_BP_E-34"/>
    <x v="0"/>
    <x v="1"/>
    <n v="0.78048780487804903"/>
    <n v="284.87804878048797"/>
    <n v="1025.5609756097599"/>
  </r>
  <r>
    <x v="0"/>
    <x v="0"/>
    <x v="0"/>
    <x v="0"/>
    <x v="0"/>
    <s v="DK1_Medium"/>
    <x v="0"/>
    <s v="GNR_ENG_BGAS_BP_E-34"/>
    <x v="0"/>
    <x v="2"/>
    <n v="0.78048780487804903"/>
    <n v="284.87804878048797"/>
    <n v="1025.5609756097599"/>
  </r>
  <r>
    <x v="0"/>
    <x v="0"/>
    <x v="0"/>
    <x v="0"/>
    <x v="0"/>
    <s v="DK1_Medium"/>
    <x v="0"/>
    <s v="GNR_ENG_BGAS_BP_E-34"/>
    <x v="0"/>
    <x v="3"/>
    <n v="0.78048780487804903"/>
    <n v="284.87804878048797"/>
    <n v="1025.5609756097599"/>
  </r>
  <r>
    <x v="0"/>
    <x v="0"/>
    <x v="0"/>
    <x v="0"/>
    <x v="0"/>
    <s v="DK1_Medium"/>
    <x v="0"/>
    <s v="GNR_ENG_BGAS_BP_E-34"/>
    <x v="0"/>
    <x v="4"/>
    <n v="0.78048780487804903"/>
    <n v="284.87804878048797"/>
    <n v="1025.5609756097599"/>
  </r>
  <r>
    <x v="0"/>
    <x v="0"/>
    <x v="0"/>
    <x v="0"/>
    <x v="0"/>
    <s v="DK1_Medium"/>
    <x v="0"/>
    <s v="GNR_ENG_BGAS_BP_E-34"/>
    <x v="0"/>
    <x v="5"/>
    <n v="0.78048780487804903"/>
    <n v="284.87804878048797"/>
    <n v="1025.5609756097599"/>
  </r>
  <r>
    <x v="0"/>
    <x v="0"/>
    <x v="0"/>
    <x v="0"/>
    <x v="0"/>
    <s v="DK1_Medium"/>
    <x v="0"/>
    <s v="GNR_ENG_BGAS_BP_E-34"/>
    <x v="0"/>
    <x v="6"/>
    <n v="0.78048780487804903"/>
    <n v="284.87804878048797"/>
    <n v="1025.5609756097599"/>
  </r>
  <r>
    <x v="0"/>
    <x v="0"/>
    <x v="0"/>
    <x v="0"/>
    <x v="0"/>
    <s v="DK1_Medium"/>
    <x v="0"/>
    <s v="GNR_ENG_BGAS_BP_E-34"/>
    <x v="0"/>
    <x v="7"/>
    <n v="0.78048780487804903"/>
    <n v="284.87804878048797"/>
    <n v="1025.5609756097599"/>
  </r>
  <r>
    <x v="0"/>
    <x v="0"/>
    <x v="0"/>
    <x v="0"/>
    <x v="0"/>
    <s v="DK1_Medium"/>
    <x v="0"/>
    <s v="GNR_ENG_BGAS_BP_E-34"/>
    <x v="0"/>
    <x v="8"/>
    <n v="0.78048780487804903"/>
    <n v="284.87804878048797"/>
    <n v="1025.5609756097599"/>
  </r>
  <r>
    <x v="0"/>
    <x v="0"/>
    <x v="0"/>
    <x v="0"/>
    <x v="0"/>
    <s v="DK1_Medium"/>
    <x v="0"/>
    <s v="GNR_ENG_BGAS_BP_E-34"/>
    <x v="0"/>
    <x v="9"/>
    <n v="0.78048780487804903"/>
    <n v="284.87804878048797"/>
    <n v="1025.5609756097599"/>
  </r>
  <r>
    <x v="0"/>
    <x v="0"/>
    <x v="0"/>
    <x v="0"/>
    <x v="0"/>
    <s v="DK1_Medium"/>
    <x v="0"/>
    <s v="GNR_ENG_BGAS_BP_E-34"/>
    <x v="0"/>
    <x v="10"/>
    <n v="0.78048780487804903"/>
    <n v="284.87804878048797"/>
    <n v="1025.5609756097599"/>
  </r>
  <r>
    <x v="0"/>
    <x v="0"/>
    <x v="0"/>
    <x v="0"/>
    <x v="0"/>
    <s v="DK1_Medium"/>
    <x v="0"/>
    <s v="GNR_ENG_BGAS_BP_E-34"/>
    <x v="0"/>
    <x v="11"/>
    <n v="0.78048780487804903"/>
    <n v="284.87804878048797"/>
    <n v="1025.5609756097599"/>
  </r>
  <r>
    <x v="0"/>
    <x v="0"/>
    <x v="0"/>
    <x v="0"/>
    <x v="0"/>
    <s v="DK1_Medium"/>
    <x v="0"/>
    <s v="GNR_ENG_BGAS_BP_E-34"/>
    <x v="0"/>
    <x v="12"/>
    <n v="0.78048780487804903"/>
    <n v="284.87804878048797"/>
    <n v="1025.5609756097599"/>
  </r>
  <r>
    <x v="0"/>
    <x v="0"/>
    <x v="0"/>
    <x v="0"/>
    <x v="0"/>
    <s v="DK1_Medium"/>
    <x v="0"/>
    <s v="GNR_ENG_BGAS_BP_E-34"/>
    <x v="0"/>
    <x v="13"/>
    <n v="0.78048780487804903"/>
    <n v="284.87804878048797"/>
    <n v="1025.5609756097599"/>
  </r>
  <r>
    <x v="0"/>
    <x v="0"/>
    <x v="0"/>
    <x v="0"/>
    <x v="0"/>
    <s v="DK1_Medium"/>
    <x v="0"/>
    <s v="GNR_ENG_BGAS_BP_E-34"/>
    <x v="0"/>
    <x v="14"/>
    <n v="0.78048780487804903"/>
    <n v="284.87804878048797"/>
    <n v="1025.5609756097599"/>
  </r>
  <r>
    <x v="0"/>
    <x v="0"/>
    <x v="0"/>
    <x v="0"/>
    <x v="0"/>
    <s v="DK1_Medium"/>
    <x v="0"/>
    <s v="GNR_ENG_BGAS_BP_E-34"/>
    <x v="0"/>
    <x v="15"/>
    <n v="0.78048780487804903"/>
    <n v="284.87804878048797"/>
    <n v="1025.5609756097599"/>
  </r>
  <r>
    <x v="0"/>
    <x v="0"/>
    <x v="0"/>
    <x v="0"/>
    <x v="0"/>
    <s v="DK1_Medium"/>
    <x v="0"/>
    <s v="GNR_ENG_BGAS_BP_E-34"/>
    <x v="0"/>
    <x v="16"/>
    <n v="0.78048780487804903"/>
    <n v="284.87804878048797"/>
    <n v="1025.5609756097599"/>
  </r>
  <r>
    <x v="0"/>
    <x v="0"/>
    <x v="0"/>
    <x v="0"/>
    <x v="0"/>
    <s v="DK1_Medium"/>
    <x v="0"/>
    <s v="GNR_ENG_BGAS_BP_E-34"/>
    <x v="0"/>
    <x v="17"/>
    <n v="0.78048780487804903"/>
    <n v="284.87804878048797"/>
    <n v="1025.5609756097599"/>
  </r>
  <r>
    <x v="0"/>
    <x v="0"/>
    <x v="0"/>
    <x v="0"/>
    <x v="0"/>
    <s v="DK1_Medium"/>
    <x v="0"/>
    <s v="GNR_ENG_BGAS_BP_E-34"/>
    <x v="0"/>
    <x v="18"/>
    <n v="0.78048780487804903"/>
    <n v="284.87804878048797"/>
    <n v="1025.5609756097599"/>
  </r>
  <r>
    <x v="0"/>
    <x v="0"/>
    <x v="0"/>
    <x v="0"/>
    <x v="0"/>
    <s v="DK1_Medium"/>
    <x v="0"/>
    <s v="GNR_ENG_BGAS_BP_E-34"/>
    <x v="0"/>
    <x v="19"/>
    <n v="0.78048780487804903"/>
    <n v="284.87804878048797"/>
    <n v="1025.5609756097599"/>
  </r>
  <r>
    <x v="0"/>
    <x v="0"/>
    <x v="0"/>
    <x v="0"/>
    <x v="0"/>
    <s v="DK1_Medium"/>
    <x v="0"/>
    <s v="GNR_ENG_BGAS_BP_E-34"/>
    <x v="0"/>
    <x v="20"/>
    <n v="0.78048780487804903"/>
    <n v="284.87804878048797"/>
    <n v="1025.5609756097599"/>
  </r>
  <r>
    <x v="0"/>
    <x v="0"/>
    <x v="0"/>
    <x v="0"/>
    <x v="0"/>
    <s v="DK1_Medium"/>
    <x v="0"/>
    <s v="GNR_ENG_BGAS_BP_E-34"/>
    <x v="0"/>
    <x v="21"/>
    <n v="0.78048780487804903"/>
    <n v="284.87804878048797"/>
    <n v="1025.5609756097599"/>
  </r>
  <r>
    <x v="0"/>
    <x v="0"/>
    <x v="0"/>
    <x v="0"/>
    <x v="0"/>
    <s v="DK1_Medium"/>
    <x v="0"/>
    <s v="GNR_ENG_BGAS_BP_E-34"/>
    <x v="0"/>
    <x v="22"/>
    <n v="0.78048780487804903"/>
    <n v="284.87804878048797"/>
    <n v="1025.5609756097599"/>
  </r>
  <r>
    <x v="0"/>
    <x v="0"/>
    <x v="0"/>
    <x v="0"/>
    <x v="0"/>
    <s v="DK1_Medium"/>
    <x v="0"/>
    <s v="GNR_ENG_BGAS_BP_E-34"/>
    <x v="0"/>
    <x v="23"/>
    <n v="0.78048780487804903"/>
    <n v="284.87804878048797"/>
    <n v="1025.5609756097599"/>
  </r>
  <r>
    <x v="0"/>
    <x v="0"/>
    <x v="0"/>
    <x v="0"/>
    <x v="0"/>
    <s v="DK1_Medium"/>
    <x v="0"/>
    <s v="GNR_ENG_BGAS_BP_E-35"/>
    <x v="0"/>
    <x v="0"/>
    <n v="0.46341463414634099"/>
    <n v="169.14634146341501"/>
    <n v="608.92682926829298"/>
  </r>
  <r>
    <x v="0"/>
    <x v="0"/>
    <x v="0"/>
    <x v="0"/>
    <x v="0"/>
    <s v="DK1_Medium"/>
    <x v="0"/>
    <s v="GNR_ENG_BGAS_BP_E-35"/>
    <x v="0"/>
    <x v="1"/>
    <n v="0.46341463414634099"/>
    <n v="169.14634146341501"/>
    <n v="608.92682926829298"/>
  </r>
  <r>
    <x v="0"/>
    <x v="0"/>
    <x v="0"/>
    <x v="0"/>
    <x v="0"/>
    <s v="DK1_Medium"/>
    <x v="0"/>
    <s v="GNR_ENG_BGAS_BP_E-35"/>
    <x v="0"/>
    <x v="2"/>
    <n v="0.46341463414634099"/>
    <n v="169.14634146341501"/>
    <n v="608.92682926829298"/>
  </r>
  <r>
    <x v="0"/>
    <x v="0"/>
    <x v="0"/>
    <x v="0"/>
    <x v="0"/>
    <s v="DK1_Medium"/>
    <x v="0"/>
    <s v="GNR_ENG_BGAS_BP_E-35"/>
    <x v="0"/>
    <x v="3"/>
    <n v="0.46341463414634099"/>
    <n v="169.14634146341501"/>
    <n v="608.92682926829298"/>
  </r>
  <r>
    <x v="0"/>
    <x v="0"/>
    <x v="0"/>
    <x v="0"/>
    <x v="0"/>
    <s v="DK1_Medium"/>
    <x v="0"/>
    <s v="GNR_ENG_BGAS_BP_E-35"/>
    <x v="0"/>
    <x v="4"/>
    <n v="0.46341463414634099"/>
    <n v="169.14634146341501"/>
    <n v="608.92682926829298"/>
  </r>
  <r>
    <x v="0"/>
    <x v="0"/>
    <x v="0"/>
    <x v="0"/>
    <x v="0"/>
    <s v="DK1_Medium"/>
    <x v="0"/>
    <s v="GNR_ENG_BGAS_BP_E-35"/>
    <x v="0"/>
    <x v="5"/>
    <n v="0.46341463414634099"/>
    <n v="169.14634146341501"/>
    <n v="608.92682926829298"/>
  </r>
  <r>
    <x v="0"/>
    <x v="0"/>
    <x v="0"/>
    <x v="0"/>
    <x v="0"/>
    <s v="DK1_Medium"/>
    <x v="0"/>
    <s v="GNR_ENG_BGAS_BP_E-35"/>
    <x v="0"/>
    <x v="6"/>
    <n v="0.46341463414634099"/>
    <n v="169.14634146341501"/>
    <n v="608.92682926829298"/>
  </r>
  <r>
    <x v="0"/>
    <x v="0"/>
    <x v="0"/>
    <x v="0"/>
    <x v="0"/>
    <s v="DK1_Medium"/>
    <x v="0"/>
    <s v="GNR_ENG_BGAS_BP_E-35"/>
    <x v="0"/>
    <x v="7"/>
    <n v="0.46341463414634099"/>
    <n v="169.14634146341501"/>
    <n v="608.92682926829298"/>
  </r>
  <r>
    <x v="0"/>
    <x v="0"/>
    <x v="0"/>
    <x v="0"/>
    <x v="0"/>
    <s v="DK1_Medium"/>
    <x v="0"/>
    <s v="GNR_ENG_BGAS_BP_E-35"/>
    <x v="0"/>
    <x v="8"/>
    <n v="0.46341463414634099"/>
    <n v="169.14634146341501"/>
    <n v="608.92682926829298"/>
  </r>
  <r>
    <x v="0"/>
    <x v="0"/>
    <x v="0"/>
    <x v="0"/>
    <x v="0"/>
    <s v="DK1_Medium"/>
    <x v="0"/>
    <s v="GNR_ENG_BGAS_BP_E-35"/>
    <x v="0"/>
    <x v="9"/>
    <n v="0.46341463414634099"/>
    <n v="169.14634146341501"/>
    <n v="608.92682926829298"/>
  </r>
  <r>
    <x v="0"/>
    <x v="0"/>
    <x v="0"/>
    <x v="0"/>
    <x v="0"/>
    <s v="DK1_Medium"/>
    <x v="0"/>
    <s v="GNR_ENG_BGAS_BP_E-35"/>
    <x v="0"/>
    <x v="10"/>
    <n v="0.46341463414634099"/>
    <n v="169.14634146341501"/>
    <n v="608.92682926829298"/>
  </r>
  <r>
    <x v="0"/>
    <x v="0"/>
    <x v="0"/>
    <x v="0"/>
    <x v="0"/>
    <s v="DK1_Medium"/>
    <x v="0"/>
    <s v="GNR_ENG_BGAS_BP_E-35"/>
    <x v="0"/>
    <x v="11"/>
    <n v="0.46341463414634099"/>
    <n v="169.14634146341501"/>
    <n v="608.92682926829298"/>
  </r>
  <r>
    <x v="0"/>
    <x v="0"/>
    <x v="0"/>
    <x v="0"/>
    <x v="0"/>
    <s v="DK1_Medium"/>
    <x v="0"/>
    <s v="GNR_ENG_BGAS_BP_E-35"/>
    <x v="0"/>
    <x v="12"/>
    <n v="0.46341463414634099"/>
    <n v="169.14634146341501"/>
    <n v="608.92682926829298"/>
  </r>
  <r>
    <x v="0"/>
    <x v="0"/>
    <x v="0"/>
    <x v="0"/>
    <x v="0"/>
    <s v="DK1_Medium"/>
    <x v="0"/>
    <s v="GNR_ENG_BGAS_BP_E-35"/>
    <x v="0"/>
    <x v="13"/>
    <n v="0.46341463414634099"/>
    <n v="169.14634146341501"/>
    <n v="608.92682926829298"/>
  </r>
  <r>
    <x v="0"/>
    <x v="0"/>
    <x v="0"/>
    <x v="0"/>
    <x v="0"/>
    <s v="DK1_Medium"/>
    <x v="0"/>
    <s v="GNR_ENG_BGAS_BP_E-35"/>
    <x v="0"/>
    <x v="14"/>
    <n v="0.46341463414634099"/>
    <n v="169.14634146341501"/>
    <n v="608.92682926829298"/>
  </r>
  <r>
    <x v="0"/>
    <x v="0"/>
    <x v="0"/>
    <x v="0"/>
    <x v="0"/>
    <s v="DK1_Medium"/>
    <x v="0"/>
    <s v="GNR_ENG_BGAS_BP_E-35"/>
    <x v="0"/>
    <x v="15"/>
    <n v="0.46341463414634099"/>
    <n v="169.14634146341501"/>
    <n v="608.92682926829298"/>
  </r>
  <r>
    <x v="0"/>
    <x v="0"/>
    <x v="0"/>
    <x v="0"/>
    <x v="0"/>
    <s v="DK1_Medium"/>
    <x v="0"/>
    <s v="GNR_ENG_BGAS_BP_E-35"/>
    <x v="0"/>
    <x v="16"/>
    <n v="0.46341463414634099"/>
    <n v="169.14634146341501"/>
    <n v="608.92682926829298"/>
  </r>
  <r>
    <x v="0"/>
    <x v="0"/>
    <x v="0"/>
    <x v="0"/>
    <x v="0"/>
    <s v="DK1_Medium"/>
    <x v="0"/>
    <s v="GNR_ENG_BGAS_BP_E-35"/>
    <x v="0"/>
    <x v="17"/>
    <n v="0.46341463414634099"/>
    <n v="169.14634146341501"/>
    <n v="608.92682926829298"/>
  </r>
  <r>
    <x v="0"/>
    <x v="0"/>
    <x v="0"/>
    <x v="0"/>
    <x v="0"/>
    <s v="DK1_Medium"/>
    <x v="0"/>
    <s v="GNR_ENG_BGAS_BP_E-35"/>
    <x v="0"/>
    <x v="18"/>
    <n v="0.46341463414634099"/>
    <n v="169.14634146341501"/>
    <n v="608.92682926829298"/>
  </r>
  <r>
    <x v="0"/>
    <x v="0"/>
    <x v="0"/>
    <x v="0"/>
    <x v="0"/>
    <s v="DK1_Medium"/>
    <x v="0"/>
    <s v="GNR_ENG_BGAS_BP_E-35"/>
    <x v="0"/>
    <x v="19"/>
    <n v="0.46341463414634099"/>
    <n v="169.14634146341501"/>
    <n v="608.92682926829298"/>
  </r>
  <r>
    <x v="0"/>
    <x v="0"/>
    <x v="0"/>
    <x v="0"/>
    <x v="0"/>
    <s v="DK1_Medium"/>
    <x v="0"/>
    <s v="GNR_ENG_BGAS_BP_E-35"/>
    <x v="0"/>
    <x v="20"/>
    <n v="0.46341463414634099"/>
    <n v="169.14634146341501"/>
    <n v="608.92682926829298"/>
  </r>
  <r>
    <x v="0"/>
    <x v="0"/>
    <x v="0"/>
    <x v="0"/>
    <x v="0"/>
    <s v="DK1_Medium"/>
    <x v="0"/>
    <s v="GNR_ENG_BGAS_BP_E-35"/>
    <x v="0"/>
    <x v="21"/>
    <n v="0.46341463414634099"/>
    <n v="169.14634146341501"/>
    <n v="608.92682926829298"/>
  </r>
  <r>
    <x v="0"/>
    <x v="0"/>
    <x v="0"/>
    <x v="0"/>
    <x v="0"/>
    <s v="DK1_Medium"/>
    <x v="0"/>
    <s v="GNR_ENG_BGAS_BP_E-35"/>
    <x v="0"/>
    <x v="22"/>
    <n v="0.46341463414634099"/>
    <n v="169.14634146341501"/>
    <n v="608.92682926829298"/>
  </r>
  <r>
    <x v="0"/>
    <x v="0"/>
    <x v="0"/>
    <x v="0"/>
    <x v="0"/>
    <s v="DK1_Medium"/>
    <x v="0"/>
    <s v="GNR_ENG_BGAS_BP_E-35"/>
    <x v="0"/>
    <x v="23"/>
    <n v="0.46341463414634099"/>
    <n v="169.14634146341501"/>
    <n v="608.92682926829298"/>
  </r>
  <r>
    <x v="0"/>
    <x v="0"/>
    <x v="0"/>
    <x v="0"/>
    <x v="0"/>
    <s v="DK1_Medium"/>
    <x v="0"/>
    <s v="GNR_ENG_BGAS_BP_E-37"/>
    <x v="0"/>
    <x v="0"/>
    <n v="3.0487804878048799"/>
    <n v="1112.80487804878"/>
    <n v="4006.0975609756101"/>
  </r>
  <r>
    <x v="0"/>
    <x v="0"/>
    <x v="0"/>
    <x v="0"/>
    <x v="0"/>
    <s v="DK1_Medium"/>
    <x v="0"/>
    <s v="GNR_ENG_BGAS_BP_E-37"/>
    <x v="0"/>
    <x v="1"/>
    <n v="3.0487804878048799"/>
    <n v="1112.80487804878"/>
    <n v="4006.0975609756101"/>
  </r>
  <r>
    <x v="0"/>
    <x v="0"/>
    <x v="0"/>
    <x v="0"/>
    <x v="0"/>
    <s v="DK1_Medium"/>
    <x v="0"/>
    <s v="GNR_ENG_BGAS_BP_E-37"/>
    <x v="0"/>
    <x v="2"/>
    <n v="3.0487804878048799"/>
    <n v="1112.80487804878"/>
    <n v="4006.0975609756101"/>
  </r>
  <r>
    <x v="0"/>
    <x v="0"/>
    <x v="0"/>
    <x v="0"/>
    <x v="0"/>
    <s v="DK1_Medium"/>
    <x v="0"/>
    <s v="GNR_ENG_BGAS_BP_E-37"/>
    <x v="0"/>
    <x v="3"/>
    <n v="3.0487804878048799"/>
    <n v="1112.80487804878"/>
    <n v="4006.0975609756101"/>
  </r>
  <r>
    <x v="0"/>
    <x v="0"/>
    <x v="0"/>
    <x v="0"/>
    <x v="0"/>
    <s v="DK1_Medium"/>
    <x v="0"/>
    <s v="GNR_ENG_BGAS_BP_E-37"/>
    <x v="0"/>
    <x v="4"/>
    <n v="3.0487804878048799"/>
    <n v="1112.80487804878"/>
    <n v="4006.0975609756101"/>
  </r>
  <r>
    <x v="0"/>
    <x v="0"/>
    <x v="0"/>
    <x v="0"/>
    <x v="0"/>
    <s v="DK1_Medium"/>
    <x v="0"/>
    <s v="GNR_ENG_BGAS_BP_E-37"/>
    <x v="0"/>
    <x v="5"/>
    <n v="3.0487804878048799"/>
    <n v="1112.80487804878"/>
    <n v="4006.0975609756101"/>
  </r>
  <r>
    <x v="0"/>
    <x v="0"/>
    <x v="0"/>
    <x v="0"/>
    <x v="0"/>
    <s v="DK1_Medium"/>
    <x v="0"/>
    <s v="GNR_ENG_BGAS_BP_E-37"/>
    <x v="0"/>
    <x v="6"/>
    <n v="3.0487804878048799"/>
    <n v="1112.80487804878"/>
    <n v="4006.0975609756101"/>
  </r>
  <r>
    <x v="0"/>
    <x v="0"/>
    <x v="0"/>
    <x v="0"/>
    <x v="0"/>
    <s v="DK1_Medium"/>
    <x v="0"/>
    <s v="GNR_ENG_BGAS_BP_E-37"/>
    <x v="0"/>
    <x v="7"/>
    <n v="3.0487804878048799"/>
    <n v="1112.80487804878"/>
    <n v="4006.0975609756101"/>
  </r>
  <r>
    <x v="0"/>
    <x v="0"/>
    <x v="0"/>
    <x v="0"/>
    <x v="0"/>
    <s v="DK1_Medium"/>
    <x v="0"/>
    <s v="GNR_ENG_BGAS_BP_E-37"/>
    <x v="0"/>
    <x v="8"/>
    <n v="3.0487804878048799"/>
    <n v="1112.80487804878"/>
    <n v="4006.0975609756101"/>
  </r>
  <r>
    <x v="0"/>
    <x v="0"/>
    <x v="0"/>
    <x v="0"/>
    <x v="0"/>
    <s v="DK1_Medium"/>
    <x v="0"/>
    <s v="GNR_ENG_BGAS_BP_E-37"/>
    <x v="0"/>
    <x v="9"/>
    <n v="3.0487804878048799"/>
    <n v="1112.80487804878"/>
    <n v="4006.0975609756101"/>
  </r>
  <r>
    <x v="0"/>
    <x v="0"/>
    <x v="0"/>
    <x v="0"/>
    <x v="0"/>
    <s v="DK1_Medium"/>
    <x v="0"/>
    <s v="GNR_ENG_BGAS_BP_E-37"/>
    <x v="0"/>
    <x v="10"/>
    <n v="3.0487804878048799"/>
    <n v="1112.80487804878"/>
    <n v="4006.0975609756101"/>
  </r>
  <r>
    <x v="0"/>
    <x v="0"/>
    <x v="0"/>
    <x v="0"/>
    <x v="0"/>
    <s v="DK1_Medium"/>
    <x v="0"/>
    <s v="GNR_ENG_BGAS_BP_E-37"/>
    <x v="0"/>
    <x v="11"/>
    <n v="3.0487804878048799"/>
    <n v="1112.80487804878"/>
    <n v="4006.0975609756101"/>
  </r>
  <r>
    <x v="0"/>
    <x v="0"/>
    <x v="0"/>
    <x v="0"/>
    <x v="0"/>
    <s v="DK1_Medium"/>
    <x v="0"/>
    <s v="GNR_ENG_BGAS_BP_E-37"/>
    <x v="0"/>
    <x v="12"/>
    <n v="3.0487804878048799"/>
    <n v="1112.80487804878"/>
    <n v="4006.0975609756101"/>
  </r>
  <r>
    <x v="0"/>
    <x v="0"/>
    <x v="0"/>
    <x v="0"/>
    <x v="0"/>
    <s v="DK1_Medium"/>
    <x v="0"/>
    <s v="GNR_ENG_BGAS_BP_E-37"/>
    <x v="0"/>
    <x v="13"/>
    <n v="3.0487804878048799"/>
    <n v="1112.80487804878"/>
    <n v="4006.0975609756101"/>
  </r>
  <r>
    <x v="0"/>
    <x v="0"/>
    <x v="0"/>
    <x v="0"/>
    <x v="0"/>
    <s v="DK1_Medium"/>
    <x v="0"/>
    <s v="GNR_ENG_BGAS_BP_E-37"/>
    <x v="0"/>
    <x v="14"/>
    <n v="3.0487804878048799"/>
    <n v="1112.80487804878"/>
    <n v="4006.0975609756101"/>
  </r>
  <r>
    <x v="0"/>
    <x v="0"/>
    <x v="0"/>
    <x v="0"/>
    <x v="0"/>
    <s v="DK1_Medium"/>
    <x v="0"/>
    <s v="GNR_ENG_BGAS_BP_E-37"/>
    <x v="0"/>
    <x v="15"/>
    <n v="3.0487804878048799"/>
    <n v="1112.80487804878"/>
    <n v="4006.0975609756101"/>
  </r>
  <r>
    <x v="0"/>
    <x v="0"/>
    <x v="0"/>
    <x v="0"/>
    <x v="0"/>
    <s v="DK1_Medium"/>
    <x v="0"/>
    <s v="GNR_ENG_BGAS_BP_E-37"/>
    <x v="0"/>
    <x v="16"/>
    <n v="3.0487804878048799"/>
    <n v="1112.80487804878"/>
    <n v="4006.0975609756101"/>
  </r>
  <r>
    <x v="0"/>
    <x v="0"/>
    <x v="0"/>
    <x v="0"/>
    <x v="0"/>
    <s v="DK1_Medium"/>
    <x v="0"/>
    <s v="GNR_ENG_BGAS_BP_E-37"/>
    <x v="0"/>
    <x v="17"/>
    <n v="3.0487804878048799"/>
    <n v="1112.80487804878"/>
    <n v="4006.0975609756101"/>
  </r>
  <r>
    <x v="0"/>
    <x v="0"/>
    <x v="0"/>
    <x v="0"/>
    <x v="0"/>
    <s v="DK1_Medium"/>
    <x v="0"/>
    <s v="GNR_ENG_BGAS_BP_E-37"/>
    <x v="0"/>
    <x v="18"/>
    <n v="3.0487804878048799"/>
    <n v="1112.80487804878"/>
    <n v="4006.0975609756101"/>
  </r>
  <r>
    <x v="0"/>
    <x v="0"/>
    <x v="0"/>
    <x v="0"/>
    <x v="0"/>
    <s v="DK1_Medium"/>
    <x v="0"/>
    <s v="GNR_ENG_BGAS_BP_E-37"/>
    <x v="0"/>
    <x v="19"/>
    <n v="3.0487804878048799"/>
    <n v="1112.80487804878"/>
    <n v="4006.0975609756101"/>
  </r>
  <r>
    <x v="0"/>
    <x v="0"/>
    <x v="0"/>
    <x v="0"/>
    <x v="0"/>
    <s v="DK1_Medium"/>
    <x v="0"/>
    <s v="GNR_ENG_BGAS_BP_E-37"/>
    <x v="0"/>
    <x v="20"/>
    <n v="3.0487804878048799"/>
    <n v="1112.80487804878"/>
    <n v="4006.0975609756101"/>
  </r>
  <r>
    <x v="0"/>
    <x v="0"/>
    <x v="0"/>
    <x v="0"/>
    <x v="0"/>
    <s v="DK1_Medium"/>
    <x v="0"/>
    <s v="GNR_ENG_BGAS_BP_E-37"/>
    <x v="0"/>
    <x v="21"/>
    <n v="3.0487804878048799"/>
    <n v="1112.80487804878"/>
    <n v="4006.0975609756101"/>
  </r>
  <r>
    <x v="0"/>
    <x v="0"/>
    <x v="0"/>
    <x v="0"/>
    <x v="0"/>
    <s v="DK1_Medium"/>
    <x v="0"/>
    <s v="GNR_ENG_BGAS_BP_E-37"/>
    <x v="0"/>
    <x v="22"/>
    <n v="3.0487804878048799"/>
    <n v="1112.80487804878"/>
    <n v="4006.0975609756101"/>
  </r>
  <r>
    <x v="0"/>
    <x v="0"/>
    <x v="0"/>
    <x v="0"/>
    <x v="0"/>
    <s v="DK1_Medium"/>
    <x v="0"/>
    <s v="GNR_ENG_BGAS_BP_E-37"/>
    <x v="0"/>
    <x v="23"/>
    <n v="3.0487804878048799"/>
    <n v="1112.80487804878"/>
    <n v="4006.0975609756101"/>
  </r>
  <r>
    <x v="0"/>
    <x v="0"/>
    <x v="0"/>
    <x v="0"/>
    <x v="0"/>
    <s v="DK1_Medium"/>
    <x v="0"/>
    <s v="GNR_ENG_BGAS_BP_E-39"/>
    <x v="0"/>
    <x v="0"/>
    <n v="0.76829268292682895"/>
    <n v="280.42682926829298"/>
    <n v="1009.53658536585"/>
  </r>
  <r>
    <x v="0"/>
    <x v="0"/>
    <x v="0"/>
    <x v="0"/>
    <x v="0"/>
    <s v="DK1_Medium"/>
    <x v="0"/>
    <s v="GNR_ENG_BGAS_BP_E-39"/>
    <x v="0"/>
    <x v="1"/>
    <n v="0.76829268292682895"/>
    <n v="280.42682926829298"/>
    <n v="1009.53658536585"/>
  </r>
  <r>
    <x v="0"/>
    <x v="0"/>
    <x v="0"/>
    <x v="0"/>
    <x v="0"/>
    <s v="DK1_Medium"/>
    <x v="0"/>
    <s v="GNR_ENG_BGAS_BP_E-39"/>
    <x v="0"/>
    <x v="2"/>
    <n v="0.76829268292682895"/>
    <n v="280.42682926829298"/>
    <n v="1009.53658536585"/>
  </r>
  <r>
    <x v="0"/>
    <x v="0"/>
    <x v="0"/>
    <x v="0"/>
    <x v="0"/>
    <s v="DK1_Medium"/>
    <x v="0"/>
    <s v="GNR_ENG_BGAS_BP_E-39"/>
    <x v="0"/>
    <x v="3"/>
    <n v="0.76829268292682895"/>
    <n v="280.42682926829298"/>
    <n v="1009.53658536585"/>
  </r>
  <r>
    <x v="0"/>
    <x v="0"/>
    <x v="0"/>
    <x v="0"/>
    <x v="0"/>
    <s v="DK1_Medium"/>
    <x v="0"/>
    <s v="GNR_ENG_BGAS_BP_E-39"/>
    <x v="0"/>
    <x v="4"/>
    <n v="0.76829268292682895"/>
    <n v="280.42682926829298"/>
    <n v="1009.53658536585"/>
  </r>
  <r>
    <x v="0"/>
    <x v="0"/>
    <x v="0"/>
    <x v="0"/>
    <x v="0"/>
    <s v="DK1_Medium"/>
    <x v="0"/>
    <s v="GNR_ENG_BGAS_BP_E-39"/>
    <x v="0"/>
    <x v="5"/>
    <n v="0.76829268292682895"/>
    <n v="280.42682926829298"/>
    <n v="1009.53658536585"/>
  </r>
  <r>
    <x v="0"/>
    <x v="0"/>
    <x v="0"/>
    <x v="0"/>
    <x v="0"/>
    <s v="DK1_Medium"/>
    <x v="0"/>
    <s v="GNR_ENG_BGAS_BP_E-39"/>
    <x v="0"/>
    <x v="6"/>
    <n v="0.76829268292682895"/>
    <n v="280.42682926829298"/>
    <n v="1009.53658536585"/>
  </r>
  <r>
    <x v="0"/>
    <x v="0"/>
    <x v="0"/>
    <x v="0"/>
    <x v="0"/>
    <s v="DK1_Medium"/>
    <x v="0"/>
    <s v="GNR_ENG_BGAS_BP_E-39"/>
    <x v="0"/>
    <x v="7"/>
    <n v="0.76829268292682895"/>
    <n v="280.42682926829298"/>
    <n v="1009.53658536585"/>
  </r>
  <r>
    <x v="0"/>
    <x v="0"/>
    <x v="0"/>
    <x v="0"/>
    <x v="0"/>
    <s v="DK1_Medium"/>
    <x v="0"/>
    <s v="GNR_ENG_BGAS_BP_E-39"/>
    <x v="0"/>
    <x v="8"/>
    <n v="0.76829268292682895"/>
    <n v="280.42682926829298"/>
    <n v="1009.53658536585"/>
  </r>
  <r>
    <x v="0"/>
    <x v="0"/>
    <x v="0"/>
    <x v="0"/>
    <x v="0"/>
    <s v="DK1_Medium"/>
    <x v="0"/>
    <s v="GNR_ENG_BGAS_BP_E-39"/>
    <x v="0"/>
    <x v="9"/>
    <n v="0.76829268292682895"/>
    <n v="280.42682926829298"/>
    <n v="1009.53658536585"/>
  </r>
  <r>
    <x v="0"/>
    <x v="0"/>
    <x v="0"/>
    <x v="0"/>
    <x v="0"/>
    <s v="DK1_Medium"/>
    <x v="0"/>
    <s v="GNR_ENG_BGAS_BP_E-39"/>
    <x v="0"/>
    <x v="10"/>
    <n v="0.76829268292682895"/>
    <n v="280.42682926829298"/>
    <n v="1009.53658536585"/>
  </r>
  <r>
    <x v="0"/>
    <x v="0"/>
    <x v="0"/>
    <x v="0"/>
    <x v="0"/>
    <s v="DK1_Medium"/>
    <x v="0"/>
    <s v="GNR_ENG_BGAS_BP_E-39"/>
    <x v="0"/>
    <x v="11"/>
    <n v="0.76829268292682895"/>
    <n v="280.42682926829298"/>
    <n v="1009.53658536585"/>
  </r>
  <r>
    <x v="0"/>
    <x v="0"/>
    <x v="0"/>
    <x v="0"/>
    <x v="0"/>
    <s v="DK1_Medium"/>
    <x v="0"/>
    <s v="GNR_ENG_BGAS_BP_E-39"/>
    <x v="0"/>
    <x v="12"/>
    <n v="0.76829268292682895"/>
    <n v="280.42682926829298"/>
    <n v="1009.53658536585"/>
  </r>
  <r>
    <x v="0"/>
    <x v="0"/>
    <x v="0"/>
    <x v="0"/>
    <x v="0"/>
    <s v="DK1_Medium"/>
    <x v="0"/>
    <s v="GNR_ENG_BGAS_BP_E-39"/>
    <x v="0"/>
    <x v="13"/>
    <n v="0.76829268292682895"/>
    <n v="280.42682926829298"/>
    <n v="1009.53658536585"/>
  </r>
  <r>
    <x v="0"/>
    <x v="0"/>
    <x v="0"/>
    <x v="0"/>
    <x v="0"/>
    <s v="DK1_Medium"/>
    <x v="0"/>
    <s v="GNR_ENG_BGAS_BP_E-39"/>
    <x v="0"/>
    <x v="14"/>
    <n v="0.76829268292682895"/>
    <n v="280.42682926829298"/>
    <n v="1009.53658536585"/>
  </r>
  <r>
    <x v="0"/>
    <x v="0"/>
    <x v="0"/>
    <x v="0"/>
    <x v="0"/>
    <s v="DK1_Medium"/>
    <x v="0"/>
    <s v="GNR_ENG_BGAS_BP_E-39"/>
    <x v="0"/>
    <x v="15"/>
    <n v="0.76829268292682895"/>
    <n v="280.42682926829298"/>
    <n v="1009.53658536585"/>
  </r>
  <r>
    <x v="0"/>
    <x v="0"/>
    <x v="0"/>
    <x v="0"/>
    <x v="0"/>
    <s v="DK1_Medium"/>
    <x v="0"/>
    <s v="GNR_ENG_BGAS_BP_E-39"/>
    <x v="0"/>
    <x v="16"/>
    <n v="0.76829268292682895"/>
    <n v="280.42682926829298"/>
    <n v="1009.53658536585"/>
  </r>
  <r>
    <x v="0"/>
    <x v="0"/>
    <x v="0"/>
    <x v="0"/>
    <x v="0"/>
    <s v="DK1_Medium"/>
    <x v="0"/>
    <s v="GNR_ENG_BGAS_BP_E-39"/>
    <x v="0"/>
    <x v="17"/>
    <n v="0.76829268292682895"/>
    <n v="280.42682926829298"/>
    <n v="1009.53658536585"/>
  </r>
  <r>
    <x v="0"/>
    <x v="0"/>
    <x v="0"/>
    <x v="0"/>
    <x v="0"/>
    <s v="DK1_Medium"/>
    <x v="0"/>
    <s v="GNR_ENG_BGAS_BP_E-39"/>
    <x v="0"/>
    <x v="18"/>
    <n v="0.76829268292682895"/>
    <n v="280.42682926829298"/>
    <n v="1009.53658536585"/>
  </r>
  <r>
    <x v="0"/>
    <x v="0"/>
    <x v="0"/>
    <x v="0"/>
    <x v="0"/>
    <s v="DK1_Medium"/>
    <x v="0"/>
    <s v="GNR_ENG_BGAS_BP_E-39"/>
    <x v="0"/>
    <x v="19"/>
    <n v="0.76829268292682895"/>
    <n v="280.42682926829298"/>
    <n v="1009.53658536585"/>
  </r>
  <r>
    <x v="0"/>
    <x v="0"/>
    <x v="0"/>
    <x v="0"/>
    <x v="0"/>
    <s v="DK1_Medium"/>
    <x v="0"/>
    <s v="GNR_ENG_BGAS_BP_E-39"/>
    <x v="0"/>
    <x v="20"/>
    <n v="0.76829268292682895"/>
    <n v="280.42682926829298"/>
    <n v="1009.53658536585"/>
  </r>
  <r>
    <x v="0"/>
    <x v="0"/>
    <x v="0"/>
    <x v="0"/>
    <x v="0"/>
    <s v="DK1_Medium"/>
    <x v="0"/>
    <s v="GNR_ENG_BGAS_BP_E-39"/>
    <x v="0"/>
    <x v="21"/>
    <n v="0.76829268292682895"/>
    <n v="280.42682926829298"/>
    <n v="1009.53658536585"/>
  </r>
  <r>
    <x v="0"/>
    <x v="0"/>
    <x v="0"/>
    <x v="0"/>
    <x v="0"/>
    <s v="DK1_Medium"/>
    <x v="0"/>
    <s v="GNR_ENG_BGAS_BP_E-39"/>
    <x v="0"/>
    <x v="22"/>
    <n v="0.76829268292682895"/>
    <n v="280.42682926829298"/>
    <n v="1009.53658536585"/>
  </r>
  <r>
    <x v="0"/>
    <x v="0"/>
    <x v="0"/>
    <x v="0"/>
    <x v="0"/>
    <s v="DK1_Medium"/>
    <x v="0"/>
    <s v="GNR_ENG_BGAS_BP_E-39"/>
    <x v="0"/>
    <x v="23"/>
    <n v="0.76829268292682895"/>
    <n v="280.42682926829298"/>
    <n v="1009.53658536585"/>
  </r>
  <r>
    <x v="0"/>
    <x v="0"/>
    <x v="0"/>
    <x v="0"/>
    <x v="0"/>
    <s v="DK1_Medium"/>
    <x v="0"/>
    <s v="GNR_ENG_BGAS_BP_E-41"/>
    <x v="0"/>
    <x v="0"/>
    <n v="4.0451219512195102"/>
    <n v="1476.4695121951199"/>
    <n v="5315.2902439024401"/>
  </r>
  <r>
    <x v="0"/>
    <x v="0"/>
    <x v="0"/>
    <x v="0"/>
    <x v="0"/>
    <s v="DK1_Medium"/>
    <x v="0"/>
    <s v="GNR_ENG_BGAS_BP_E-41"/>
    <x v="0"/>
    <x v="1"/>
    <n v="4.0451219512195102"/>
    <n v="1476.4695121951199"/>
    <n v="5315.2902439024401"/>
  </r>
  <r>
    <x v="0"/>
    <x v="0"/>
    <x v="0"/>
    <x v="0"/>
    <x v="0"/>
    <s v="DK1_Medium"/>
    <x v="0"/>
    <s v="GNR_ENG_BGAS_BP_E-41"/>
    <x v="0"/>
    <x v="2"/>
    <n v="4.0451219512195102"/>
    <n v="1476.4695121951199"/>
    <n v="5315.2902439024401"/>
  </r>
  <r>
    <x v="0"/>
    <x v="0"/>
    <x v="0"/>
    <x v="0"/>
    <x v="0"/>
    <s v="DK1_Medium"/>
    <x v="0"/>
    <s v="GNR_ENG_BGAS_BP_E-41"/>
    <x v="0"/>
    <x v="3"/>
    <n v="4.0451219512195102"/>
    <n v="1476.4695121951199"/>
    <n v="5315.2902439024401"/>
  </r>
  <r>
    <x v="0"/>
    <x v="0"/>
    <x v="0"/>
    <x v="0"/>
    <x v="0"/>
    <s v="DK1_Medium"/>
    <x v="0"/>
    <s v="GNR_ENG_BGAS_BP_E-41"/>
    <x v="0"/>
    <x v="4"/>
    <n v="4.0451219512195102"/>
    <n v="1476.4695121951199"/>
    <n v="5315.2902439024401"/>
  </r>
  <r>
    <x v="0"/>
    <x v="0"/>
    <x v="0"/>
    <x v="0"/>
    <x v="0"/>
    <s v="DK1_Medium"/>
    <x v="0"/>
    <s v="GNR_ENG_BGAS_BP_E-41"/>
    <x v="0"/>
    <x v="5"/>
    <n v="4.0451219512195102"/>
    <n v="1476.4695121951199"/>
    <n v="5315.2902439024401"/>
  </r>
  <r>
    <x v="0"/>
    <x v="0"/>
    <x v="0"/>
    <x v="0"/>
    <x v="0"/>
    <s v="DK1_Medium"/>
    <x v="0"/>
    <s v="GNR_ENG_BGAS_BP_E-41"/>
    <x v="0"/>
    <x v="6"/>
    <n v="4.0451219512195102"/>
    <n v="1476.4695121951199"/>
    <n v="5315.2902439024401"/>
  </r>
  <r>
    <x v="0"/>
    <x v="0"/>
    <x v="0"/>
    <x v="0"/>
    <x v="0"/>
    <s v="DK1_Medium"/>
    <x v="0"/>
    <s v="GNR_ENG_BGAS_BP_E-41"/>
    <x v="0"/>
    <x v="7"/>
    <n v="4.0451219512195102"/>
    <n v="1476.4695121951199"/>
    <n v="5315.2902439024401"/>
  </r>
  <r>
    <x v="0"/>
    <x v="0"/>
    <x v="0"/>
    <x v="0"/>
    <x v="0"/>
    <s v="DK1_Medium"/>
    <x v="0"/>
    <s v="GNR_ENG_BGAS_BP_E-41"/>
    <x v="0"/>
    <x v="8"/>
    <n v="4.0451219512195102"/>
    <n v="1476.4695121951199"/>
    <n v="5315.2902439024401"/>
  </r>
  <r>
    <x v="0"/>
    <x v="0"/>
    <x v="0"/>
    <x v="0"/>
    <x v="0"/>
    <s v="DK1_Medium"/>
    <x v="0"/>
    <s v="GNR_ENG_BGAS_BP_E-41"/>
    <x v="0"/>
    <x v="9"/>
    <n v="4.0451219512195102"/>
    <n v="1476.4695121951199"/>
    <n v="5315.2902439024401"/>
  </r>
  <r>
    <x v="0"/>
    <x v="0"/>
    <x v="0"/>
    <x v="0"/>
    <x v="0"/>
    <s v="DK1_Medium"/>
    <x v="0"/>
    <s v="GNR_ENG_BGAS_BP_E-41"/>
    <x v="0"/>
    <x v="10"/>
    <n v="4.0451219512195102"/>
    <n v="1476.4695121951199"/>
    <n v="5315.2902439024401"/>
  </r>
  <r>
    <x v="0"/>
    <x v="0"/>
    <x v="0"/>
    <x v="0"/>
    <x v="0"/>
    <s v="DK1_Medium"/>
    <x v="0"/>
    <s v="GNR_ENG_BGAS_BP_E-41"/>
    <x v="0"/>
    <x v="11"/>
    <n v="4.0451219512195102"/>
    <n v="1476.4695121951199"/>
    <n v="5315.2902439024401"/>
  </r>
  <r>
    <x v="0"/>
    <x v="0"/>
    <x v="0"/>
    <x v="0"/>
    <x v="0"/>
    <s v="DK1_Medium"/>
    <x v="0"/>
    <s v="GNR_ENG_BGAS_BP_E-41"/>
    <x v="0"/>
    <x v="12"/>
    <n v="4.0451219512195102"/>
    <n v="1476.4695121951199"/>
    <n v="5315.2902439024401"/>
  </r>
  <r>
    <x v="0"/>
    <x v="0"/>
    <x v="0"/>
    <x v="0"/>
    <x v="0"/>
    <s v="DK1_Medium"/>
    <x v="0"/>
    <s v="GNR_ENG_BGAS_BP_E-41"/>
    <x v="0"/>
    <x v="13"/>
    <n v="4.0451219512195102"/>
    <n v="1476.4695121951199"/>
    <n v="5315.2902439024401"/>
  </r>
  <r>
    <x v="0"/>
    <x v="0"/>
    <x v="0"/>
    <x v="0"/>
    <x v="0"/>
    <s v="DK1_Medium"/>
    <x v="0"/>
    <s v="GNR_ENG_BGAS_BP_E-41"/>
    <x v="0"/>
    <x v="14"/>
    <n v="4.0451219512195102"/>
    <n v="1476.4695121951199"/>
    <n v="5315.2902439024401"/>
  </r>
  <r>
    <x v="0"/>
    <x v="0"/>
    <x v="0"/>
    <x v="0"/>
    <x v="0"/>
    <s v="DK1_Medium"/>
    <x v="0"/>
    <s v="GNR_ENG_BGAS_BP_E-41"/>
    <x v="0"/>
    <x v="15"/>
    <n v="4.0451219512195102"/>
    <n v="1476.4695121951199"/>
    <n v="5315.2902439024401"/>
  </r>
  <r>
    <x v="0"/>
    <x v="0"/>
    <x v="0"/>
    <x v="0"/>
    <x v="0"/>
    <s v="DK1_Medium"/>
    <x v="0"/>
    <s v="GNR_ENG_BGAS_BP_E-41"/>
    <x v="0"/>
    <x v="16"/>
    <n v="4.0451219512195102"/>
    <n v="1476.4695121951199"/>
    <n v="5315.2902439024401"/>
  </r>
  <r>
    <x v="0"/>
    <x v="0"/>
    <x v="0"/>
    <x v="0"/>
    <x v="0"/>
    <s v="DK1_Medium"/>
    <x v="0"/>
    <s v="GNR_ENG_BGAS_BP_E-41"/>
    <x v="0"/>
    <x v="17"/>
    <n v="4.0451219512195102"/>
    <n v="1476.4695121951199"/>
    <n v="5315.2902439024401"/>
  </r>
  <r>
    <x v="0"/>
    <x v="0"/>
    <x v="0"/>
    <x v="0"/>
    <x v="0"/>
    <s v="DK1_Medium"/>
    <x v="0"/>
    <s v="GNR_ENG_BGAS_BP_E-41"/>
    <x v="0"/>
    <x v="18"/>
    <n v="4.0451219512195102"/>
    <n v="1476.4695121951199"/>
    <n v="5315.2902439024401"/>
  </r>
  <r>
    <x v="0"/>
    <x v="0"/>
    <x v="0"/>
    <x v="0"/>
    <x v="0"/>
    <s v="DK1_Medium"/>
    <x v="0"/>
    <s v="GNR_ENG_BGAS_BP_E-41"/>
    <x v="0"/>
    <x v="19"/>
    <n v="4.0451219512195102"/>
    <n v="1476.4695121951199"/>
    <n v="5315.2902439024401"/>
  </r>
  <r>
    <x v="0"/>
    <x v="0"/>
    <x v="0"/>
    <x v="0"/>
    <x v="0"/>
    <s v="DK1_Medium"/>
    <x v="0"/>
    <s v="GNR_ENG_BGAS_BP_E-41"/>
    <x v="0"/>
    <x v="20"/>
    <n v="4.0451219512195102"/>
    <n v="1476.4695121951199"/>
    <n v="5315.2902439024401"/>
  </r>
  <r>
    <x v="0"/>
    <x v="0"/>
    <x v="0"/>
    <x v="0"/>
    <x v="0"/>
    <s v="DK1_Medium"/>
    <x v="0"/>
    <s v="GNR_ENG_BGAS_BP_E-41"/>
    <x v="0"/>
    <x v="21"/>
    <n v="4.0451219512195102"/>
    <n v="1476.4695121951199"/>
    <n v="5315.2902439024401"/>
  </r>
  <r>
    <x v="0"/>
    <x v="0"/>
    <x v="0"/>
    <x v="0"/>
    <x v="0"/>
    <s v="DK1_Medium"/>
    <x v="0"/>
    <s v="GNR_ENG_BGAS_BP_E-41"/>
    <x v="0"/>
    <x v="22"/>
    <n v="4.0451219512195102"/>
    <n v="1476.4695121951199"/>
    <n v="5315.2902439024401"/>
  </r>
  <r>
    <x v="0"/>
    <x v="0"/>
    <x v="0"/>
    <x v="0"/>
    <x v="0"/>
    <s v="DK1_Medium"/>
    <x v="0"/>
    <s v="GNR_ENG_BGAS_BP_E-41"/>
    <x v="0"/>
    <x v="23"/>
    <n v="4.0451219512195102"/>
    <n v="1476.4695121951199"/>
    <n v="5315.2902439024401"/>
  </r>
  <r>
    <x v="0"/>
    <x v="0"/>
    <x v="0"/>
    <x v="0"/>
    <x v="0"/>
    <s v="DK1_Medium"/>
    <x v="0"/>
    <s v="GNR_ENG_BGAS_BP_E-42"/>
    <x v="0"/>
    <x v="0"/>
    <n v="0.74390243902439002"/>
    <n v="271.52439024390202"/>
    <n v="977.48780487804902"/>
  </r>
  <r>
    <x v="0"/>
    <x v="0"/>
    <x v="0"/>
    <x v="0"/>
    <x v="0"/>
    <s v="DK1_Medium"/>
    <x v="0"/>
    <s v="GNR_ENG_BGAS_BP_E-42"/>
    <x v="0"/>
    <x v="1"/>
    <n v="0.74390243902439002"/>
    <n v="271.52439024390202"/>
    <n v="977.48780487804902"/>
  </r>
  <r>
    <x v="0"/>
    <x v="0"/>
    <x v="0"/>
    <x v="0"/>
    <x v="0"/>
    <s v="DK1_Medium"/>
    <x v="0"/>
    <s v="GNR_ENG_BGAS_BP_E-42"/>
    <x v="0"/>
    <x v="2"/>
    <n v="0.74390243902439002"/>
    <n v="271.52439024390202"/>
    <n v="977.48780487804902"/>
  </r>
  <r>
    <x v="0"/>
    <x v="0"/>
    <x v="0"/>
    <x v="0"/>
    <x v="0"/>
    <s v="DK1_Medium"/>
    <x v="0"/>
    <s v="GNR_ENG_BGAS_BP_E-42"/>
    <x v="0"/>
    <x v="3"/>
    <n v="0.74390243902439002"/>
    <n v="271.52439024390202"/>
    <n v="977.48780487804902"/>
  </r>
  <r>
    <x v="0"/>
    <x v="0"/>
    <x v="0"/>
    <x v="0"/>
    <x v="0"/>
    <s v="DK1_Medium"/>
    <x v="0"/>
    <s v="GNR_ENG_BGAS_BP_E-42"/>
    <x v="0"/>
    <x v="4"/>
    <n v="0.74390243902439002"/>
    <n v="271.52439024390202"/>
    <n v="977.48780487804902"/>
  </r>
  <r>
    <x v="0"/>
    <x v="0"/>
    <x v="0"/>
    <x v="0"/>
    <x v="0"/>
    <s v="DK1_Medium"/>
    <x v="0"/>
    <s v="GNR_ENG_BGAS_BP_E-42"/>
    <x v="0"/>
    <x v="5"/>
    <n v="0.74390243902439002"/>
    <n v="271.52439024390202"/>
    <n v="977.48780487804902"/>
  </r>
  <r>
    <x v="0"/>
    <x v="0"/>
    <x v="0"/>
    <x v="0"/>
    <x v="0"/>
    <s v="DK1_Medium"/>
    <x v="0"/>
    <s v="GNR_ENG_BGAS_BP_E-42"/>
    <x v="0"/>
    <x v="6"/>
    <n v="0.74390243902439002"/>
    <n v="271.52439024390202"/>
    <n v="977.48780487804902"/>
  </r>
  <r>
    <x v="0"/>
    <x v="0"/>
    <x v="0"/>
    <x v="0"/>
    <x v="0"/>
    <s v="DK1_Medium"/>
    <x v="0"/>
    <s v="GNR_ENG_BGAS_BP_E-42"/>
    <x v="0"/>
    <x v="7"/>
    <n v="0.74390243902439002"/>
    <n v="271.52439024390202"/>
    <n v="977.48780487804902"/>
  </r>
  <r>
    <x v="0"/>
    <x v="0"/>
    <x v="0"/>
    <x v="0"/>
    <x v="0"/>
    <s v="DK1_Medium"/>
    <x v="0"/>
    <s v="GNR_ENG_BGAS_BP_E-42"/>
    <x v="0"/>
    <x v="8"/>
    <n v="0.74390243902439002"/>
    <n v="271.52439024390202"/>
    <n v="977.48780487804902"/>
  </r>
  <r>
    <x v="0"/>
    <x v="0"/>
    <x v="0"/>
    <x v="0"/>
    <x v="0"/>
    <s v="DK1_Medium"/>
    <x v="0"/>
    <s v="GNR_ENG_BGAS_BP_E-42"/>
    <x v="0"/>
    <x v="9"/>
    <n v="0.74390243902439002"/>
    <n v="271.52439024390202"/>
    <n v="977.48780487804902"/>
  </r>
  <r>
    <x v="0"/>
    <x v="0"/>
    <x v="0"/>
    <x v="0"/>
    <x v="0"/>
    <s v="DK1_Medium"/>
    <x v="0"/>
    <s v="GNR_ENG_BGAS_BP_E-42"/>
    <x v="0"/>
    <x v="10"/>
    <n v="0.74390243902439002"/>
    <n v="271.52439024390202"/>
    <n v="977.48780487804902"/>
  </r>
  <r>
    <x v="0"/>
    <x v="0"/>
    <x v="0"/>
    <x v="0"/>
    <x v="0"/>
    <s v="DK1_Medium"/>
    <x v="0"/>
    <s v="GNR_ENG_BGAS_BP_E-42"/>
    <x v="0"/>
    <x v="11"/>
    <n v="0.74390243902439002"/>
    <n v="271.52439024390202"/>
    <n v="977.48780487804902"/>
  </r>
  <r>
    <x v="0"/>
    <x v="0"/>
    <x v="0"/>
    <x v="0"/>
    <x v="0"/>
    <s v="DK1_Medium"/>
    <x v="0"/>
    <s v="GNR_ENG_BGAS_BP_E-42"/>
    <x v="0"/>
    <x v="12"/>
    <n v="0.74390243902439002"/>
    <n v="271.52439024390202"/>
    <n v="977.48780487804902"/>
  </r>
  <r>
    <x v="0"/>
    <x v="0"/>
    <x v="0"/>
    <x v="0"/>
    <x v="0"/>
    <s v="DK1_Medium"/>
    <x v="0"/>
    <s v="GNR_ENG_BGAS_BP_E-42"/>
    <x v="0"/>
    <x v="13"/>
    <n v="0.74390243902439002"/>
    <n v="271.52439024390202"/>
    <n v="977.48780487804902"/>
  </r>
  <r>
    <x v="0"/>
    <x v="0"/>
    <x v="0"/>
    <x v="0"/>
    <x v="0"/>
    <s v="DK1_Medium"/>
    <x v="0"/>
    <s v="GNR_ENG_BGAS_BP_E-42"/>
    <x v="0"/>
    <x v="14"/>
    <n v="0.74390243902439002"/>
    <n v="271.52439024390202"/>
    <n v="977.48780487804902"/>
  </r>
  <r>
    <x v="0"/>
    <x v="0"/>
    <x v="0"/>
    <x v="0"/>
    <x v="0"/>
    <s v="DK1_Medium"/>
    <x v="0"/>
    <s v="GNR_ENG_BGAS_BP_E-42"/>
    <x v="0"/>
    <x v="15"/>
    <n v="0.74390243902439002"/>
    <n v="271.52439024390202"/>
    <n v="977.48780487804902"/>
  </r>
  <r>
    <x v="0"/>
    <x v="0"/>
    <x v="0"/>
    <x v="0"/>
    <x v="0"/>
    <s v="DK1_Medium"/>
    <x v="0"/>
    <s v="GNR_ENG_BGAS_BP_E-42"/>
    <x v="0"/>
    <x v="16"/>
    <n v="0.74390243902439002"/>
    <n v="271.52439024390202"/>
    <n v="977.48780487804902"/>
  </r>
  <r>
    <x v="0"/>
    <x v="0"/>
    <x v="0"/>
    <x v="0"/>
    <x v="0"/>
    <s v="DK1_Medium"/>
    <x v="0"/>
    <s v="GNR_ENG_BGAS_BP_E-42"/>
    <x v="0"/>
    <x v="17"/>
    <n v="0.74390243902439002"/>
    <n v="271.52439024390202"/>
    <n v="977.48780487804902"/>
  </r>
  <r>
    <x v="0"/>
    <x v="0"/>
    <x v="0"/>
    <x v="0"/>
    <x v="0"/>
    <s v="DK1_Medium"/>
    <x v="0"/>
    <s v="GNR_ENG_BGAS_BP_E-42"/>
    <x v="0"/>
    <x v="18"/>
    <n v="0.74390243902439002"/>
    <n v="271.52439024390202"/>
    <n v="977.48780487804902"/>
  </r>
  <r>
    <x v="0"/>
    <x v="0"/>
    <x v="0"/>
    <x v="0"/>
    <x v="0"/>
    <s v="DK1_Medium"/>
    <x v="0"/>
    <s v="GNR_ENG_BGAS_BP_E-42"/>
    <x v="0"/>
    <x v="19"/>
    <n v="0.74390243902439002"/>
    <n v="271.52439024390202"/>
    <n v="977.48780487804902"/>
  </r>
  <r>
    <x v="0"/>
    <x v="0"/>
    <x v="0"/>
    <x v="0"/>
    <x v="0"/>
    <s v="DK1_Medium"/>
    <x v="0"/>
    <s v="GNR_ENG_BGAS_BP_E-42"/>
    <x v="0"/>
    <x v="20"/>
    <n v="0.74390243902439002"/>
    <n v="271.52439024390202"/>
    <n v="977.48780487804902"/>
  </r>
  <r>
    <x v="0"/>
    <x v="0"/>
    <x v="0"/>
    <x v="0"/>
    <x v="0"/>
    <s v="DK1_Medium"/>
    <x v="0"/>
    <s v="GNR_ENG_BGAS_BP_E-42"/>
    <x v="0"/>
    <x v="21"/>
    <n v="0.74390243902439002"/>
    <n v="271.52439024390202"/>
    <n v="977.48780487804902"/>
  </r>
  <r>
    <x v="0"/>
    <x v="0"/>
    <x v="0"/>
    <x v="0"/>
    <x v="0"/>
    <s v="DK1_Medium"/>
    <x v="0"/>
    <s v="GNR_ENG_BGAS_BP_E-42"/>
    <x v="0"/>
    <x v="22"/>
    <n v="0.74390243902439002"/>
    <n v="271.52439024390202"/>
    <n v="977.48780487804902"/>
  </r>
  <r>
    <x v="0"/>
    <x v="0"/>
    <x v="0"/>
    <x v="0"/>
    <x v="0"/>
    <s v="DK1_Medium"/>
    <x v="0"/>
    <s v="GNR_ENG_BGAS_BP_E-42"/>
    <x v="0"/>
    <x v="23"/>
    <n v="0.74390243902439002"/>
    <n v="271.52439024390202"/>
    <n v="977.48780487804902"/>
  </r>
  <r>
    <x v="0"/>
    <x v="0"/>
    <x v="0"/>
    <x v="0"/>
    <x v="0"/>
    <s v="DK1_Medium"/>
    <x v="2"/>
    <s v="GNR_HS_HEAT_WTR-TANK_LS_E-95_Y-2010"/>
    <x v="0"/>
    <x v="0"/>
    <n v="5795.6732289007196"/>
    <n v="2115420.7285487601"/>
    <n v="7615514.6227755398"/>
  </r>
  <r>
    <x v="0"/>
    <x v="0"/>
    <x v="0"/>
    <x v="0"/>
    <x v="0"/>
    <s v="DK1_Medium"/>
    <x v="2"/>
    <s v="GNR_HS_HEAT_WTR-TANK_LS_E-95_Y-2010"/>
    <x v="0"/>
    <x v="1"/>
    <n v="5792.5822133945703"/>
    <n v="2114292.5078890198"/>
    <n v="7611453.0284004603"/>
  </r>
  <r>
    <x v="0"/>
    <x v="0"/>
    <x v="0"/>
    <x v="0"/>
    <x v="0"/>
    <s v="DK1_Medium"/>
    <x v="2"/>
    <s v="GNR_HS_HEAT_WTR-TANK_LS_E-95_Y-2010"/>
    <x v="0"/>
    <x v="2"/>
    <n v="5789.7721992980696"/>
    <n v="2113266.85274379"/>
    <n v="7607760.6698776605"/>
  </r>
  <r>
    <x v="0"/>
    <x v="0"/>
    <x v="0"/>
    <x v="0"/>
    <x v="0"/>
    <s v="DK1_Medium"/>
    <x v="2"/>
    <s v="GNR_HS_HEAT_WTR-TANK_LS_E-95_Y-2010"/>
    <x v="0"/>
    <x v="3"/>
    <n v="5793.9872204428202"/>
    <n v="2114805.33546163"/>
    <n v="7613299.2076618597"/>
  </r>
  <r>
    <x v="0"/>
    <x v="0"/>
    <x v="0"/>
    <x v="0"/>
    <x v="0"/>
    <s v="DK1_Medium"/>
    <x v="2"/>
    <s v="GNR_HS_HEAT_WTR-TANK_LS_E-95_Y-2010"/>
    <x v="0"/>
    <x v="4"/>
    <n v="5797.0782359489704"/>
    <n v="2115933.5561213698"/>
    <n v="7617360.8020369401"/>
  </r>
  <r>
    <x v="0"/>
    <x v="0"/>
    <x v="0"/>
    <x v="0"/>
    <x v="0"/>
    <s v="DK1_Medium"/>
    <x v="2"/>
    <s v="GNR_HS_HEAT_WTR-TANK_LS_E-95_Y-2010"/>
    <x v="0"/>
    <x v="5"/>
    <n v="5846.2534826377296"/>
    <n v="2133882.5211627702"/>
    <n v="7681977.0761859799"/>
  </r>
  <r>
    <x v="0"/>
    <x v="0"/>
    <x v="0"/>
    <x v="0"/>
    <x v="0"/>
    <s v="DK1_Medium"/>
    <x v="2"/>
    <s v="GNR_HS_HEAT_WTR-TANK_LS_E-95_Y-2010"/>
    <x v="0"/>
    <x v="6"/>
    <n v="5969.3321000644601"/>
    <n v="2178806.21652353"/>
    <n v="7843702.3794847"/>
  </r>
  <r>
    <x v="0"/>
    <x v="0"/>
    <x v="0"/>
    <x v="0"/>
    <x v="0"/>
    <s v="DK1_Medium"/>
    <x v="2"/>
    <s v="GNR_HS_HEAT_WTR-TANK_LS_E-95_Y-2010"/>
    <x v="0"/>
    <x v="7"/>
    <n v="5976.0764336353304"/>
    <n v="2181267.8982768902"/>
    <n v="7852564.4337968202"/>
  </r>
  <r>
    <x v="0"/>
    <x v="0"/>
    <x v="0"/>
    <x v="0"/>
    <x v="0"/>
    <s v="DK1_Medium"/>
    <x v="2"/>
    <s v="GNR_HS_HEAT_WTR-TANK_LS_E-95_Y-2010"/>
    <x v="0"/>
    <x v="8"/>
    <n v="6043.9476036664801"/>
    <n v="2206040.8753382699"/>
    <n v="7941747.1512177503"/>
  </r>
  <r>
    <x v="0"/>
    <x v="0"/>
    <x v="0"/>
    <x v="0"/>
    <x v="0"/>
    <s v="DK1_Medium"/>
    <x v="2"/>
    <s v="GNR_HS_HEAT_WTR-TANK_LS_E-95_Y-2010"/>
    <x v="0"/>
    <x v="9"/>
    <n v="6052.2275159112296"/>
    <n v="2209063.0433076001"/>
    <n v="7952626.9559073597"/>
  </r>
  <r>
    <x v="0"/>
    <x v="0"/>
    <x v="0"/>
    <x v="0"/>
    <x v="0"/>
    <s v="DK1_Medium"/>
    <x v="2"/>
    <s v="GNR_HS_HEAT_WTR-TANK_LS_E-95_Y-2010"/>
    <x v="0"/>
    <x v="10"/>
    <n v="6054.75652859808"/>
    <n v="2209986.1329382998"/>
    <n v="7955950.0785778798"/>
  </r>
  <r>
    <x v="0"/>
    <x v="0"/>
    <x v="0"/>
    <x v="0"/>
    <x v="0"/>
    <s v="DK1_Medium"/>
    <x v="2"/>
    <s v="GNR_HS_HEAT_WTR-TANK_LS_E-95_Y-2010"/>
    <x v="0"/>
    <x v="11"/>
    <n v="6052.2275159112296"/>
    <n v="2209063.0433076001"/>
    <n v="7952626.9559073597"/>
  </r>
  <r>
    <x v="0"/>
    <x v="0"/>
    <x v="0"/>
    <x v="0"/>
    <x v="0"/>
    <s v="DK1_Medium"/>
    <x v="2"/>
    <s v="GNR_HS_HEAT_WTR-TANK_LS_E-95_Y-2010"/>
    <x v="0"/>
    <x v="12"/>
    <n v="6036.4914369708304"/>
    <n v="2203319.37449435"/>
    <n v="7931949.7481796704"/>
  </r>
  <r>
    <x v="0"/>
    <x v="0"/>
    <x v="0"/>
    <x v="0"/>
    <x v="0"/>
    <s v="DK1_Medium"/>
    <x v="2"/>
    <s v="GNR_HS_HEAT_WTR-TANK_LS_E-95_Y-2010"/>
    <x v="0"/>
    <x v="13"/>
    <n v="6025.5323819944797"/>
    <n v="2199319.3194279801"/>
    <n v="7917549.5499407398"/>
  </r>
  <r>
    <x v="0"/>
    <x v="0"/>
    <x v="0"/>
    <x v="0"/>
    <x v="0"/>
    <s v="DK1_Medium"/>
    <x v="2"/>
    <s v="GNR_HS_HEAT_WTR-TANK_LS_E-95_Y-2010"/>
    <x v="0"/>
    <x v="14"/>
    <n v="6030.0284045488797"/>
    <n v="2200960.3676603399"/>
    <n v="7923457.3235772196"/>
  </r>
  <r>
    <x v="0"/>
    <x v="0"/>
    <x v="0"/>
    <x v="0"/>
    <x v="0"/>
    <s v="DK1_Medium"/>
    <x v="2"/>
    <s v="GNR_HS_HEAT_WTR-TANK_LS_E-95_Y-2010"/>
    <x v="0"/>
    <x v="15"/>
    <n v="6034.2434256936303"/>
    <n v="2202498.8503781701"/>
    <n v="7928995.86136143"/>
  </r>
  <r>
    <x v="0"/>
    <x v="0"/>
    <x v="0"/>
    <x v="0"/>
    <x v="0"/>
    <s v="DK1_Medium"/>
    <x v="2"/>
    <s v="GNR_HS_HEAT_WTR-TANK_LS_E-95_Y-2010"/>
    <x v="0"/>
    <x v="16"/>
    <n v="6036.7724383804798"/>
    <n v="2203421.9400088699"/>
    <n v="7932318.9840319501"/>
  </r>
  <r>
    <x v="0"/>
    <x v="0"/>
    <x v="0"/>
    <x v="0"/>
    <x v="0"/>
    <s v="DK1_Medium"/>
    <x v="2"/>
    <s v="GNR_HS_HEAT_WTR-TANK_LS_E-95_Y-2010"/>
    <x v="0"/>
    <x v="17"/>
    <n v="6044.35947644103"/>
    <n v="2206191.2089009802"/>
    <n v="7942288.3520435197"/>
  </r>
  <r>
    <x v="0"/>
    <x v="0"/>
    <x v="0"/>
    <x v="0"/>
    <x v="0"/>
    <s v="DK1_Medium"/>
    <x v="2"/>
    <s v="GNR_HS_HEAT_WTR-TANK_LS_E-95_Y-2010"/>
    <x v="0"/>
    <x v="18"/>
    <n v="6043.2354708024304"/>
    <n v="2205780.9468428902"/>
    <n v="7940811.4086343898"/>
  </r>
  <r>
    <x v="0"/>
    <x v="0"/>
    <x v="0"/>
    <x v="0"/>
    <x v="0"/>
    <s v="DK1_Medium"/>
    <x v="2"/>
    <s v="GNR_HS_HEAT_WTR-TANK_LS_E-95_Y-2010"/>
    <x v="0"/>
    <x v="19"/>
    <n v="6031.71441300678"/>
    <n v="2201575.76074747"/>
    <n v="7925672.7386909099"/>
  </r>
  <r>
    <x v="0"/>
    <x v="0"/>
    <x v="0"/>
    <x v="0"/>
    <x v="0"/>
    <s v="DK1_Medium"/>
    <x v="2"/>
    <s v="GNR_HS_HEAT_WTR-TANK_LS_E-95_Y-2010"/>
    <x v="0"/>
    <x v="20"/>
    <n v="6010.0773044637199"/>
    <n v="2193678.2161292601"/>
    <n v="7897241.5780653302"/>
  </r>
  <r>
    <x v="0"/>
    <x v="0"/>
    <x v="0"/>
    <x v="0"/>
    <x v="0"/>
    <s v="DK1_Medium"/>
    <x v="2"/>
    <s v="GNR_HS_HEAT_WTR-TANK_LS_E-95_Y-2010"/>
    <x v="0"/>
    <x v="21"/>
    <n v="5906.1067828932"/>
    <n v="2155728.9757560198"/>
    <n v="7760624.3127216604"/>
  </r>
  <r>
    <x v="0"/>
    <x v="0"/>
    <x v="0"/>
    <x v="0"/>
    <x v="0"/>
    <s v="DK1_Medium"/>
    <x v="2"/>
    <s v="GNR_HS_HEAT_WTR-TANK_LS_E-95_Y-2010"/>
    <x v="0"/>
    <x v="22"/>
    <n v="5876.8826362895898"/>
    <n v="2145062.1622457001"/>
    <n v="7722223.7840845203"/>
  </r>
  <r>
    <x v="0"/>
    <x v="0"/>
    <x v="0"/>
    <x v="0"/>
    <x v="0"/>
    <s v="DK1_Medium"/>
    <x v="2"/>
    <s v="GNR_HS_HEAT_WTR-TANK_LS_E-95_Y-2010"/>
    <x v="0"/>
    <x v="23"/>
    <n v="5859.7415503009297"/>
    <n v="2138805.6658598399"/>
    <n v="7699700.3970954297"/>
  </r>
  <r>
    <x v="0"/>
    <x v="0"/>
    <x v="0"/>
    <x v="0"/>
    <x v="0"/>
    <s v="DK1_Medium"/>
    <x v="3"/>
    <s v="GNR_ST_MSW_BP_E-18"/>
    <x v="0"/>
    <x v="0"/>
    <n v="23.667782092101302"/>
    <n v="8638.7404636169795"/>
    <n v="31099.465669021101"/>
  </r>
  <r>
    <x v="0"/>
    <x v="0"/>
    <x v="0"/>
    <x v="0"/>
    <x v="0"/>
    <s v="DK1_Medium"/>
    <x v="3"/>
    <s v="GNR_ST_MSW_BP_E-18"/>
    <x v="0"/>
    <x v="1"/>
    <n v="23.667782092101302"/>
    <n v="8638.7404636169795"/>
    <n v="31099.465669021101"/>
  </r>
  <r>
    <x v="0"/>
    <x v="0"/>
    <x v="0"/>
    <x v="0"/>
    <x v="0"/>
    <s v="DK1_Medium"/>
    <x v="3"/>
    <s v="GNR_ST_MSW_BP_E-18"/>
    <x v="0"/>
    <x v="2"/>
    <n v="23.667782092101302"/>
    <n v="8638.7404636169795"/>
    <n v="31099.465669021101"/>
  </r>
  <r>
    <x v="0"/>
    <x v="0"/>
    <x v="0"/>
    <x v="0"/>
    <x v="0"/>
    <s v="DK1_Medium"/>
    <x v="3"/>
    <s v="GNR_ST_MSW_BP_E-18"/>
    <x v="0"/>
    <x v="3"/>
    <n v="23.667782092101302"/>
    <n v="8638.7404636169795"/>
    <n v="31099.465669021101"/>
  </r>
  <r>
    <x v="0"/>
    <x v="0"/>
    <x v="0"/>
    <x v="0"/>
    <x v="0"/>
    <s v="DK1_Medium"/>
    <x v="3"/>
    <s v="GNR_ST_MSW_BP_E-18"/>
    <x v="0"/>
    <x v="4"/>
    <n v="23.667782092101302"/>
    <n v="8638.7404636169795"/>
    <n v="31099.465669021101"/>
  </r>
  <r>
    <x v="0"/>
    <x v="0"/>
    <x v="0"/>
    <x v="0"/>
    <x v="0"/>
    <s v="DK1_Medium"/>
    <x v="3"/>
    <s v="GNR_ST_MSW_BP_E-18"/>
    <x v="0"/>
    <x v="5"/>
    <n v="23.667782092101302"/>
    <n v="8638.7404636169795"/>
    <n v="31099.465669021101"/>
  </r>
  <r>
    <x v="0"/>
    <x v="0"/>
    <x v="0"/>
    <x v="0"/>
    <x v="0"/>
    <s v="DK1_Medium"/>
    <x v="3"/>
    <s v="GNR_ST_MSW_BP_E-18"/>
    <x v="0"/>
    <x v="6"/>
    <n v="23.667782092101302"/>
    <n v="8638.7404636169795"/>
    <n v="31099.465669021101"/>
  </r>
  <r>
    <x v="0"/>
    <x v="0"/>
    <x v="0"/>
    <x v="0"/>
    <x v="0"/>
    <s v="DK1_Medium"/>
    <x v="3"/>
    <s v="GNR_ST_MSW_BP_E-18"/>
    <x v="0"/>
    <x v="7"/>
    <n v="23.667782092101302"/>
    <n v="8638.7404636169795"/>
    <n v="31099.465669021101"/>
  </r>
  <r>
    <x v="0"/>
    <x v="0"/>
    <x v="0"/>
    <x v="0"/>
    <x v="0"/>
    <s v="DK1_Medium"/>
    <x v="3"/>
    <s v="GNR_ST_MSW_BP_E-18"/>
    <x v="0"/>
    <x v="8"/>
    <n v="23.667782092101302"/>
    <n v="8638.7404636169795"/>
    <n v="31099.465669021101"/>
  </r>
  <r>
    <x v="0"/>
    <x v="0"/>
    <x v="0"/>
    <x v="0"/>
    <x v="0"/>
    <s v="DK1_Medium"/>
    <x v="3"/>
    <s v="GNR_ST_MSW_BP_E-18"/>
    <x v="0"/>
    <x v="9"/>
    <n v="23.667782092101302"/>
    <n v="8638.7404636169795"/>
    <n v="31099.465669021101"/>
  </r>
  <r>
    <x v="0"/>
    <x v="0"/>
    <x v="0"/>
    <x v="0"/>
    <x v="0"/>
    <s v="DK1_Medium"/>
    <x v="3"/>
    <s v="GNR_ST_MSW_BP_E-18"/>
    <x v="0"/>
    <x v="10"/>
    <n v="23.667782092101302"/>
    <n v="8638.7404636169795"/>
    <n v="31099.465669021101"/>
  </r>
  <r>
    <x v="0"/>
    <x v="0"/>
    <x v="0"/>
    <x v="0"/>
    <x v="0"/>
    <s v="DK1_Medium"/>
    <x v="3"/>
    <s v="GNR_ST_MSW_BP_E-18"/>
    <x v="0"/>
    <x v="11"/>
    <n v="23.667782092101302"/>
    <n v="8638.7404636169795"/>
    <n v="31099.465669021101"/>
  </r>
  <r>
    <x v="0"/>
    <x v="0"/>
    <x v="0"/>
    <x v="0"/>
    <x v="0"/>
    <s v="DK1_Medium"/>
    <x v="3"/>
    <s v="GNR_ST_MSW_BP_E-18"/>
    <x v="0"/>
    <x v="12"/>
    <n v="23.667782092101302"/>
    <n v="8638.7404636169795"/>
    <n v="31099.465669021101"/>
  </r>
  <r>
    <x v="0"/>
    <x v="0"/>
    <x v="0"/>
    <x v="0"/>
    <x v="0"/>
    <s v="DK1_Medium"/>
    <x v="3"/>
    <s v="GNR_ST_MSW_BP_E-18"/>
    <x v="0"/>
    <x v="13"/>
    <n v="23.667782092101302"/>
    <n v="8638.7404636169795"/>
    <n v="31099.465669021101"/>
  </r>
  <r>
    <x v="0"/>
    <x v="0"/>
    <x v="0"/>
    <x v="0"/>
    <x v="0"/>
    <s v="DK1_Medium"/>
    <x v="3"/>
    <s v="GNR_ST_MSW_BP_E-18"/>
    <x v="0"/>
    <x v="14"/>
    <n v="23.667782092101302"/>
    <n v="8638.7404636169795"/>
    <n v="31099.465669021101"/>
  </r>
  <r>
    <x v="0"/>
    <x v="0"/>
    <x v="0"/>
    <x v="0"/>
    <x v="0"/>
    <s v="DK1_Medium"/>
    <x v="3"/>
    <s v="GNR_ST_MSW_BP_E-18"/>
    <x v="0"/>
    <x v="15"/>
    <n v="23.667782092101302"/>
    <n v="8638.7404636169795"/>
    <n v="31099.465669021101"/>
  </r>
  <r>
    <x v="0"/>
    <x v="0"/>
    <x v="0"/>
    <x v="0"/>
    <x v="0"/>
    <s v="DK1_Medium"/>
    <x v="3"/>
    <s v="GNR_ST_MSW_BP_E-18"/>
    <x v="0"/>
    <x v="16"/>
    <n v="23.667782092101302"/>
    <n v="8638.7404636169795"/>
    <n v="31099.465669021101"/>
  </r>
  <r>
    <x v="0"/>
    <x v="0"/>
    <x v="0"/>
    <x v="0"/>
    <x v="0"/>
    <s v="DK1_Medium"/>
    <x v="3"/>
    <s v="GNR_ST_MSW_BP_E-18"/>
    <x v="0"/>
    <x v="17"/>
    <n v="23.667782092101302"/>
    <n v="8638.7404636169795"/>
    <n v="31099.465669021101"/>
  </r>
  <r>
    <x v="0"/>
    <x v="0"/>
    <x v="0"/>
    <x v="0"/>
    <x v="0"/>
    <s v="DK1_Medium"/>
    <x v="3"/>
    <s v="GNR_ST_MSW_BP_E-18"/>
    <x v="0"/>
    <x v="18"/>
    <n v="23.667782092101302"/>
    <n v="8638.7404636169795"/>
    <n v="31099.465669021101"/>
  </r>
  <r>
    <x v="0"/>
    <x v="0"/>
    <x v="0"/>
    <x v="0"/>
    <x v="0"/>
    <s v="DK1_Medium"/>
    <x v="3"/>
    <s v="GNR_ST_MSW_BP_E-18"/>
    <x v="0"/>
    <x v="19"/>
    <n v="23.667782092101302"/>
    <n v="8638.7404636169795"/>
    <n v="31099.465669021101"/>
  </r>
  <r>
    <x v="0"/>
    <x v="0"/>
    <x v="0"/>
    <x v="0"/>
    <x v="0"/>
    <s v="DK1_Medium"/>
    <x v="3"/>
    <s v="GNR_ST_MSW_BP_E-18"/>
    <x v="0"/>
    <x v="20"/>
    <n v="23.667782092101302"/>
    <n v="8638.7404636169795"/>
    <n v="31099.465669021101"/>
  </r>
  <r>
    <x v="0"/>
    <x v="0"/>
    <x v="0"/>
    <x v="0"/>
    <x v="0"/>
    <s v="DK1_Medium"/>
    <x v="3"/>
    <s v="GNR_ST_MSW_BP_E-18"/>
    <x v="0"/>
    <x v="21"/>
    <n v="23.667782092101302"/>
    <n v="8638.7404636169795"/>
    <n v="31099.465669021101"/>
  </r>
  <r>
    <x v="0"/>
    <x v="0"/>
    <x v="0"/>
    <x v="0"/>
    <x v="0"/>
    <s v="DK1_Medium"/>
    <x v="3"/>
    <s v="GNR_ST_MSW_BP_E-18"/>
    <x v="0"/>
    <x v="22"/>
    <n v="23.667782092101302"/>
    <n v="8638.7404636169795"/>
    <n v="31099.465669021101"/>
  </r>
  <r>
    <x v="0"/>
    <x v="0"/>
    <x v="0"/>
    <x v="0"/>
    <x v="0"/>
    <s v="DK1_Medium"/>
    <x v="3"/>
    <s v="GNR_ST_MSW_BP_E-18"/>
    <x v="0"/>
    <x v="23"/>
    <n v="23.667782092101302"/>
    <n v="8638.7404636169795"/>
    <n v="31099.465669021101"/>
  </r>
  <r>
    <x v="0"/>
    <x v="0"/>
    <x v="0"/>
    <x v="0"/>
    <x v="0"/>
    <s v="DK1_Medium"/>
    <x v="3"/>
    <s v="GNR_ST_MSW_BP_E-21"/>
    <x v="0"/>
    <x v="0"/>
    <n v="91.290016640962193"/>
    <n v="33320.856073951203"/>
    <n v="119955.08186622401"/>
  </r>
  <r>
    <x v="0"/>
    <x v="0"/>
    <x v="0"/>
    <x v="0"/>
    <x v="0"/>
    <s v="DK1_Medium"/>
    <x v="3"/>
    <s v="GNR_ST_MSW_BP_E-21"/>
    <x v="0"/>
    <x v="1"/>
    <n v="91.290016640962193"/>
    <n v="33320.856073951203"/>
    <n v="119955.08186622401"/>
  </r>
  <r>
    <x v="0"/>
    <x v="0"/>
    <x v="0"/>
    <x v="0"/>
    <x v="0"/>
    <s v="DK1_Medium"/>
    <x v="3"/>
    <s v="GNR_ST_MSW_BP_E-21"/>
    <x v="0"/>
    <x v="2"/>
    <n v="91.290016640962193"/>
    <n v="33320.856073951203"/>
    <n v="119955.08186622401"/>
  </r>
  <r>
    <x v="0"/>
    <x v="0"/>
    <x v="0"/>
    <x v="0"/>
    <x v="0"/>
    <s v="DK1_Medium"/>
    <x v="3"/>
    <s v="GNR_ST_MSW_BP_E-21"/>
    <x v="0"/>
    <x v="3"/>
    <n v="91.290016640962193"/>
    <n v="33320.856073951203"/>
    <n v="119955.08186622401"/>
  </r>
  <r>
    <x v="0"/>
    <x v="0"/>
    <x v="0"/>
    <x v="0"/>
    <x v="0"/>
    <s v="DK1_Medium"/>
    <x v="3"/>
    <s v="GNR_ST_MSW_BP_E-21"/>
    <x v="0"/>
    <x v="4"/>
    <n v="91.290016640962193"/>
    <n v="33320.856073951203"/>
    <n v="119955.08186622401"/>
  </r>
  <r>
    <x v="0"/>
    <x v="0"/>
    <x v="0"/>
    <x v="0"/>
    <x v="0"/>
    <s v="DK1_Medium"/>
    <x v="3"/>
    <s v="GNR_ST_MSW_BP_E-21"/>
    <x v="0"/>
    <x v="5"/>
    <n v="91.290016640962193"/>
    <n v="33320.856073951203"/>
    <n v="119955.08186622401"/>
  </r>
  <r>
    <x v="0"/>
    <x v="0"/>
    <x v="0"/>
    <x v="0"/>
    <x v="0"/>
    <s v="DK1_Medium"/>
    <x v="3"/>
    <s v="GNR_ST_MSW_BP_E-21"/>
    <x v="0"/>
    <x v="6"/>
    <n v="91.290016640962193"/>
    <n v="33320.856073951203"/>
    <n v="119955.08186622401"/>
  </r>
  <r>
    <x v="0"/>
    <x v="0"/>
    <x v="0"/>
    <x v="0"/>
    <x v="0"/>
    <s v="DK1_Medium"/>
    <x v="3"/>
    <s v="GNR_ST_MSW_BP_E-21"/>
    <x v="0"/>
    <x v="7"/>
    <n v="91.290016640962193"/>
    <n v="33320.856073951203"/>
    <n v="119955.08186622401"/>
  </r>
  <r>
    <x v="0"/>
    <x v="0"/>
    <x v="0"/>
    <x v="0"/>
    <x v="0"/>
    <s v="DK1_Medium"/>
    <x v="3"/>
    <s v="GNR_ST_MSW_BP_E-21"/>
    <x v="0"/>
    <x v="8"/>
    <n v="91.290016640962193"/>
    <n v="33320.856073951203"/>
    <n v="119955.08186622401"/>
  </r>
  <r>
    <x v="0"/>
    <x v="0"/>
    <x v="0"/>
    <x v="0"/>
    <x v="0"/>
    <s v="DK1_Medium"/>
    <x v="3"/>
    <s v="GNR_ST_MSW_BP_E-21"/>
    <x v="0"/>
    <x v="9"/>
    <n v="91.290016640962193"/>
    <n v="33320.856073951203"/>
    <n v="119955.08186622401"/>
  </r>
  <r>
    <x v="0"/>
    <x v="0"/>
    <x v="0"/>
    <x v="0"/>
    <x v="0"/>
    <s v="DK1_Medium"/>
    <x v="3"/>
    <s v="GNR_ST_MSW_BP_E-21"/>
    <x v="0"/>
    <x v="10"/>
    <n v="91.290016640962193"/>
    <n v="33320.856073951203"/>
    <n v="119955.08186622401"/>
  </r>
  <r>
    <x v="0"/>
    <x v="0"/>
    <x v="0"/>
    <x v="0"/>
    <x v="0"/>
    <s v="DK1_Medium"/>
    <x v="3"/>
    <s v="GNR_ST_MSW_BP_E-21"/>
    <x v="0"/>
    <x v="11"/>
    <n v="91.290016640962193"/>
    <n v="33320.856073951203"/>
    <n v="119955.08186622401"/>
  </r>
  <r>
    <x v="0"/>
    <x v="0"/>
    <x v="0"/>
    <x v="0"/>
    <x v="0"/>
    <s v="DK1_Medium"/>
    <x v="3"/>
    <s v="GNR_ST_MSW_BP_E-21"/>
    <x v="0"/>
    <x v="12"/>
    <n v="91.290016640962193"/>
    <n v="33320.856073951203"/>
    <n v="119955.08186622401"/>
  </r>
  <r>
    <x v="0"/>
    <x v="0"/>
    <x v="0"/>
    <x v="0"/>
    <x v="0"/>
    <s v="DK1_Medium"/>
    <x v="3"/>
    <s v="GNR_ST_MSW_BP_E-21"/>
    <x v="0"/>
    <x v="13"/>
    <n v="91.290016640962193"/>
    <n v="33320.856073951203"/>
    <n v="119955.08186622401"/>
  </r>
  <r>
    <x v="0"/>
    <x v="0"/>
    <x v="0"/>
    <x v="0"/>
    <x v="0"/>
    <s v="DK1_Medium"/>
    <x v="3"/>
    <s v="GNR_ST_MSW_BP_E-21"/>
    <x v="0"/>
    <x v="14"/>
    <n v="91.290016640962193"/>
    <n v="33320.856073951203"/>
    <n v="119955.08186622401"/>
  </r>
  <r>
    <x v="0"/>
    <x v="0"/>
    <x v="0"/>
    <x v="0"/>
    <x v="0"/>
    <s v="DK1_Medium"/>
    <x v="3"/>
    <s v="GNR_ST_MSW_BP_E-21"/>
    <x v="0"/>
    <x v="15"/>
    <n v="91.290016640962193"/>
    <n v="33320.856073951203"/>
    <n v="119955.08186622401"/>
  </r>
  <r>
    <x v="0"/>
    <x v="0"/>
    <x v="0"/>
    <x v="0"/>
    <x v="0"/>
    <s v="DK1_Medium"/>
    <x v="3"/>
    <s v="GNR_ST_MSW_BP_E-21"/>
    <x v="0"/>
    <x v="16"/>
    <n v="91.290016640962193"/>
    <n v="33320.856073951203"/>
    <n v="119955.08186622401"/>
  </r>
  <r>
    <x v="0"/>
    <x v="0"/>
    <x v="0"/>
    <x v="0"/>
    <x v="0"/>
    <s v="DK1_Medium"/>
    <x v="3"/>
    <s v="GNR_ST_MSW_BP_E-21"/>
    <x v="0"/>
    <x v="17"/>
    <n v="91.290016640962193"/>
    <n v="33320.856073951203"/>
    <n v="119955.08186622401"/>
  </r>
  <r>
    <x v="0"/>
    <x v="0"/>
    <x v="0"/>
    <x v="0"/>
    <x v="0"/>
    <s v="DK1_Medium"/>
    <x v="3"/>
    <s v="GNR_ST_MSW_BP_E-21"/>
    <x v="0"/>
    <x v="18"/>
    <n v="91.290016640962193"/>
    <n v="33320.856073951203"/>
    <n v="119955.08186622401"/>
  </r>
  <r>
    <x v="0"/>
    <x v="0"/>
    <x v="0"/>
    <x v="0"/>
    <x v="0"/>
    <s v="DK1_Medium"/>
    <x v="3"/>
    <s v="GNR_ST_MSW_BP_E-21"/>
    <x v="0"/>
    <x v="19"/>
    <n v="91.290016640962193"/>
    <n v="33320.856073951203"/>
    <n v="119955.08186622401"/>
  </r>
  <r>
    <x v="0"/>
    <x v="0"/>
    <x v="0"/>
    <x v="0"/>
    <x v="0"/>
    <s v="DK1_Medium"/>
    <x v="3"/>
    <s v="GNR_ST_MSW_BP_E-21"/>
    <x v="0"/>
    <x v="20"/>
    <n v="91.290016640962193"/>
    <n v="33320.856073951203"/>
    <n v="119955.08186622401"/>
  </r>
  <r>
    <x v="0"/>
    <x v="0"/>
    <x v="0"/>
    <x v="0"/>
    <x v="0"/>
    <s v="DK1_Medium"/>
    <x v="3"/>
    <s v="GNR_ST_MSW_BP_E-21"/>
    <x v="0"/>
    <x v="21"/>
    <n v="91.290016640962193"/>
    <n v="33320.856073951203"/>
    <n v="119955.08186622401"/>
  </r>
  <r>
    <x v="0"/>
    <x v="0"/>
    <x v="0"/>
    <x v="0"/>
    <x v="0"/>
    <s v="DK1_Medium"/>
    <x v="3"/>
    <s v="GNR_ST_MSW_BP_E-21"/>
    <x v="0"/>
    <x v="22"/>
    <n v="91.290016640962193"/>
    <n v="33320.856073951203"/>
    <n v="119955.08186622401"/>
  </r>
  <r>
    <x v="0"/>
    <x v="0"/>
    <x v="0"/>
    <x v="0"/>
    <x v="0"/>
    <s v="DK1_Medium"/>
    <x v="3"/>
    <s v="GNR_ST_MSW_BP_E-21"/>
    <x v="0"/>
    <x v="23"/>
    <n v="91.290016640962193"/>
    <n v="33320.856073951203"/>
    <n v="119955.08186622401"/>
  </r>
  <r>
    <x v="0"/>
    <x v="0"/>
    <x v="0"/>
    <x v="0"/>
    <x v="0"/>
    <s v="DK1_Medium"/>
    <x v="3"/>
    <s v="GNR_ST_MSW_BP_E-22"/>
    <x v="0"/>
    <x v="0"/>
    <n v="211.65759413793501"/>
    <n v="77255.021860346096"/>
    <n v="278118.07869724598"/>
  </r>
  <r>
    <x v="0"/>
    <x v="0"/>
    <x v="0"/>
    <x v="0"/>
    <x v="0"/>
    <s v="DK1_Medium"/>
    <x v="3"/>
    <s v="GNR_ST_MSW_BP_E-22"/>
    <x v="0"/>
    <x v="1"/>
    <n v="211.65759413793501"/>
    <n v="77255.021860346096"/>
    <n v="278118.07869724598"/>
  </r>
  <r>
    <x v="0"/>
    <x v="0"/>
    <x v="0"/>
    <x v="0"/>
    <x v="0"/>
    <s v="DK1_Medium"/>
    <x v="3"/>
    <s v="GNR_ST_MSW_BP_E-22"/>
    <x v="0"/>
    <x v="2"/>
    <n v="211.65759413793501"/>
    <n v="77255.021860346096"/>
    <n v="278118.07869724598"/>
  </r>
  <r>
    <x v="0"/>
    <x v="0"/>
    <x v="0"/>
    <x v="0"/>
    <x v="0"/>
    <s v="DK1_Medium"/>
    <x v="3"/>
    <s v="GNR_ST_MSW_BP_E-22"/>
    <x v="0"/>
    <x v="3"/>
    <n v="211.65759413793501"/>
    <n v="77255.021860346096"/>
    <n v="278118.07869724598"/>
  </r>
  <r>
    <x v="0"/>
    <x v="0"/>
    <x v="0"/>
    <x v="0"/>
    <x v="0"/>
    <s v="DK1_Medium"/>
    <x v="3"/>
    <s v="GNR_ST_MSW_BP_E-22"/>
    <x v="0"/>
    <x v="4"/>
    <n v="211.65759413793501"/>
    <n v="77255.021860346096"/>
    <n v="278118.07869724598"/>
  </r>
  <r>
    <x v="0"/>
    <x v="0"/>
    <x v="0"/>
    <x v="0"/>
    <x v="0"/>
    <s v="DK1_Medium"/>
    <x v="3"/>
    <s v="GNR_ST_MSW_BP_E-22"/>
    <x v="0"/>
    <x v="5"/>
    <n v="211.65759413793501"/>
    <n v="77255.021860346096"/>
    <n v="278118.07869724598"/>
  </r>
  <r>
    <x v="0"/>
    <x v="0"/>
    <x v="0"/>
    <x v="0"/>
    <x v="0"/>
    <s v="DK1_Medium"/>
    <x v="3"/>
    <s v="GNR_ST_MSW_BP_E-22"/>
    <x v="0"/>
    <x v="6"/>
    <n v="211.65759413793501"/>
    <n v="77255.021860346096"/>
    <n v="278118.07869724598"/>
  </r>
  <r>
    <x v="0"/>
    <x v="0"/>
    <x v="0"/>
    <x v="0"/>
    <x v="0"/>
    <s v="DK1_Medium"/>
    <x v="3"/>
    <s v="GNR_ST_MSW_BP_E-22"/>
    <x v="0"/>
    <x v="7"/>
    <n v="211.65759413793501"/>
    <n v="77255.021860346096"/>
    <n v="278118.07869724598"/>
  </r>
  <r>
    <x v="0"/>
    <x v="0"/>
    <x v="0"/>
    <x v="0"/>
    <x v="0"/>
    <s v="DK1_Medium"/>
    <x v="3"/>
    <s v="GNR_ST_MSW_BP_E-22"/>
    <x v="0"/>
    <x v="8"/>
    <n v="211.65759413793501"/>
    <n v="77255.021860346096"/>
    <n v="278118.07869724598"/>
  </r>
  <r>
    <x v="0"/>
    <x v="0"/>
    <x v="0"/>
    <x v="0"/>
    <x v="0"/>
    <s v="DK1_Medium"/>
    <x v="3"/>
    <s v="GNR_ST_MSW_BP_E-22"/>
    <x v="0"/>
    <x v="9"/>
    <n v="211.65759413793501"/>
    <n v="77255.021860346096"/>
    <n v="278118.07869724598"/>
  </r>
  <r>
    <x v="0"/>
    <x v="0"/>
    <x v="0"/>
    <x v="0"/>
    <x v="0"/>
    <s v="DK1_Medium"/>
    <x v="3"/>
    <s v="GNR_ST_MSW_BP_E-22"/>
    <x v="0"/>
    <x v="10"/>
    <n v="211.65759413793501"/>
    <n v="77255.021860346096"/>
    <n v="278118.07869724598"/>
  </r>
  <r>
    <x v="0"/>
    <x v="0"/>
    <x v="0"/>
    <x v="0"/>
    <x v="0"/>
    <s v="DK1_Medium"/>
    <x v="3"/>
    <s v="GNR_ST_MSW_BP_E-22"/>
    <x v="0"/>
    <x v="11"/>
    <n v="211.65759413793501"/>
    <n v="77255.021860346096"/>
    <n v="278118.07869724598"/>
  </r>
  <r>
    <x v="0"/>
    <x v="0"/>
    <x v="0"/>
    <x v="0"/>
    <x v="0"/>
    <s v="DK1_Medium"/>
    <x v="3"/>
    <s v="GNR_ST_MSW_BP_E-22"/>
    <x v="0"/>
    <x v="12"/>
    <n v="211.65759413793501"/>
    <n v="77255.021860346096"/>
    <n v="278118.07869724598"/>
  </r>
  <r>
    <x v="0"/>
    <x v="0"/>
    <x v="0"/>
    <x v="0"/>
    <x v="0"/>
    <s v="DK1_Medium"/>
    <x v="3"/>
    <s v="GNR_ST_MSW_BP_E-22"/>
    <x v="0"/>
    <x v="13"/>
    <n v="211.65759413793501"/>
    <n v="77255.021860346096"/>
    <n v="278118.07869724598"/>
  </r>
  <r>
    <x v="0"/>
    <x v="0"/>
    <x v="0"/>
    <x v="0"/>
    <x v="0"/>
    <s v="DK1_Medium"/>
    <x v="3"/>
    <s v="GNR_ST_MSW_BP_E-22"/>
    <x v="0"/>
    <x v="14"/>
    <n v="211.65759413793501"/>
    <n v="77255.021860346096"/>
    <n v="278118.07869724598"/>
  </r>
  <r>
    <x v="0"/>
    <x v="0"/>
    <x v="0"/>
    <x v="0"/>
    <x v="0"/>
    <s v="DK1_Medium"/>
    <x v="3"/>
    <s v="GNR_ST_MSW_BP_E-22"/>
    <x v="0"/>
    <x v="15"/>
    <n v="211.65759413793501"/>
    <n v="77255.021860346096"/>
    <n v="278118.07869724598"/>
  </r>
  <r>
    <x v="0"/>
    <x v="0"/>
    <x v="0"/>
    <x v="0"/>
    <x v="0"/>
    <s v="DK1_Medium"/>
    <x v="3"/>
    <s v="GNR_ST_MSW_BP_E-22"/>
    <x v="0"/>
    <x v="16"/>
    <n v="211.65759413793501"/>
    <n v="77255.021860346096"/>
    <n v="278118.07869724598"/>
  </r>
  <r>
    <x v="0"/>
    <x v="0"/>
    <x v="0"/>
    <x v="0"/>
    <x v="0"/>
    <s v="DK1_Medium"/>
    <x v="3"/>
    <s v="GNR_ST_MSW_BP_E-22"/>
    <x v="0"/>
    <x v="17"/>
    <n v="211.65759413793501"/>
    <n v="77255.021860346096"/>
    <n v="278118.07869724598"/>
  </r>
  <r>
    <x v="0"/>
    <x v="0"/>
    <x v="0"/>
    <x v="0"/>
    <x v="0"/>
    <s v="DK1_Medium"/>
    <x v="3"/>
    <s v="GNR_ST_MSW_BP_E-22"/>
    <x v="0"/>
    <x v="18"/>
    <n v="211.65759413793501"/>
    <n v="77255.021860346096"/>
    <n v="278118.07869724598"/>
  </r>
  <r>
    <x v="0"/>
    <x v="0"/>
    <x v="0"/>
    <x v="0"/>
    <x v="0"/>
    <s v="DK1_Medium"/>
    <x v="3"/>
    <s v="GNR_ST_MSW_BP_E-22"/>
    <x v="0"/>
    <x v="19"/>
    <n v="211.65759413793501"/>
    <n v="77255.021860346096"/>
    <n v="278118.07869724598"/>
  </r>
  <r>
    <x v="0"/>
    <x v="0"/>
    <x v="0"/>
    <x v="0"/>
    <x v="0"/>
    <s v="DK1_Medium"/>
    <x v="3"/>
    <s v="GNR_ST_MSW_BP_E-22"/>
    <x v="0"/>
    <x v="20"/>
    <n v="211.65759413793501"/>
    <n v="77255.021860346096"/>
    <n v="278118.07869724598"/>
  </r>
  <r>
    <x v="0"/>
    <x v="0"/>
    <x v="0"/>
    <x v="0"/>
    <x v="0"/>
    <s v="DK1_Medium"/>
    <x v="3"/>
    <s v="GNR_ST_MSW_BP_E-22"/>
    <x v="0"/>
    <x v="21"/>
    <n v="211.65759413793501"/>
    <n v="77255.021860346096"/>
    <n v="278118.07869724598"/>
  </r>
  <r>
    <x v="0"/>
    <x v="0"/>
    <x v="0"/>
    <x v="0"/>
    <x v="0"/>
    <s v="DK1_Medium"/>
    <x v="3"/>
    <s v="GNR_ST_MSW_BP_E-22"/>
    <x v="0"/>
    <x v="22"/>
    <n v="211.65759413793501"/>
    <n v="77255.021860346096"/>
    <n v="278118.07869724598"/>
  </r>
  <r>
    <x v="0"/>
    <x v="0"/>
    <x v="0"/>
    <x v="0"/>
    <x v="0"/>
    <s v="DK1_Medium"/>
    <x v="3"/>
    <s v="GNR_ST_MSW_BP_E-22"/>
    <x v="0"/>
    <x v="23"/>
    <n v="211.65759413793501"/>
    <n v="77255.021860346096"/>
    <n v="278118.07869724598"/>
  </r>
  <r>
    <x v="0"/>
    <x v="0"/>
    <x v="0"/>
    <x v="0"/>
    <x v="0"/>
    <s v="DK1_Medium"/>
    <x v="4"/>
    <s v="GNR_GT_NGAS_BP_E-47"/>
    <x v="0"/>
    <x v="7"/>
    <n v="66.597034347803799"/>
    <n v="24307.9175369484"/>
    <n v="87508.503133014194"/>
  </r>
  <r>
    <x v="0"/>
    <x v="0"/>
    <x v="0"/>
    <x v="0"/>
    <x v="0"/>
    <s v="DK1_Medium"/>
    <x v="4"/>
    <s v="GNR_GT_NGAS_BP_E-47"/>
    <x v="0"/>
    <x v="8"/>
    <n v="9.6849192930030394"/>
    <n v="3534.9955419461098"/>
    <n v="12725.983951005999"/>
  </r>
  <r>
    <x v="0"/>
    <x v="0"/>
    <x v="0"/>
    <x v="0"/>
    <x v="0"/>
    <s v="DK1_Medium"/>
    <x v="7"/>
    <s v="GNR_ST_WOODCHI_BP_E-27"/>
    <x v="0"/>
    <x v="0"/>
    <n v="152.941176470588"/>
    <n v="55823.529411764699"/>
    <n v="200964.70588235301"/>
  </r>
  <r>
    <x v="0"/>
    <x v="0"/>
    <x v="0"/>
    <x v="0"/>
    <x v="0"/>
    <s v="DK1_Medium"/>
    <x v="7"/>
    <s v="GNR_ST_WOODCHI_BP_E-27"/>
    <x v="0"/>
    <x v="1"/>
    <n v="152.941176470588"/>
    <n v="55823.529411764699"/>
    <n v="200964.70588235301"/>
  </r>
  <r>
    <x v="0"/>
    <x v="0"/>
    <x v="0"/>
    <x v="0"/>
    <x v="0"/>
    <s v="DK1_Medium"/>
    <x v="7"/>
    <s v="GNR_ST_WOODCHI_BP_E-27"/>
    <x v="0"/>
    <x v="2"/>
    <n v="152.941176470588"/>
    <n v="55823.529411764699"/>
    <n v="200964.70588235301"/>
  </r>
  <r>
    <x v="0"/>
    <x v="0"/>
    <x v="0"/>
    <x v="0"/>
    <x v="0"/>
    <s v="DK1_Medium"/>
    <x v="7"/>
    <s v="GNR_ST_WOODCHI_BP_E-27"/>
    <x v="0"/>
    <x v="3"/>
    <n v="152.941176470588"/>
    <n v="55823.529411764699"/>
    <n v="200964.70588235301"/>
  </r>
  <r>
    <x v="0"/>
    <x v="0"/>
    <x v="0"/>
    <x v="0"/>
    <x v="0"/>
    <s v="DK1_Medium"/>
    <x v="7"/>
    <s v="GNR_ST_WOODCHI_BP_E-27"/>
    <x v="0"/>
    <x v="4"/>
    <n v="152.941176470588"/>
    <n v="55823.529411764699"/>
    <n v="200964.70588235301"/>
  </r>
  <r>
    <x v="0"/>
    <x v="0"/>
    <x v="0"/>
    <x v="0"/>
    <x v="0"/>
    <s v="DK1_Medium"/>
    <x v="7"/>
    <s v="GNR_ST_WOODCHI_BP_E-27"/>
    <x v="0"/>
    <x v="5"/>
    <n v="152.941176470588"/>
    <n v="55823.529411764699"/>
    <n v="200964.70588235301"/>
  </r>
  <r>
    <x v="0"/>
    <x v="0"/>
    <x v="0"/>
    <x v="0"/>
    <x v="0"/>
    <s v="DK1_Medium"/>
    <x v="7"/>
    <s v="GNR_ST_WOODCHI_BP_E-27"/>
    <x v="0"/>
    <x v="6"/>
    <n v="152.941176470588"/>
    <n v="55823.529411764699"/>
    <n v="200964.70588235301"/>
  </r>
  <r>
    <x v="0"/>
    <x v="0"/>
    <x v="0"/>
    <x v="0"/>
    <x v="0"/>
    <s v="DK1_Medium"/>
    <x v="7"/>
    <s v="GNR_ST_WOODCHI_BP_E-27"/>
    <x v="0"/>
    <x v="7"/>
    <n v="152.941176470588"/>
    <n v="55823.529411764699"/>
    <n v="200964.70588235301"/>
  </r>
  <r>
    <x v="0"/>
    <x v="0"/>
    <x v="0"/>
    <x v="0"/>
    <x v="0"/>
    <s v="DK1_Medium"/>
    <x v="7"/>
    <s v="GNR_ST_WOODCHI_BP_E-27"/>
    <x v="0"/>
    <x v="8"/>
    <n v="152.941176470588"/>
    <n v="55823.529411764699"/>
    <n v="200964.70588235301"/>
  </r>
  <r>
    <x v="0"/>
    <x v="0"/>
    <x v="0"/>
    <x v="0"/>
    <x v="0"/>
    <s v="DK1_Medium"/>
    <x v="7"/>
    <s v="GNR_ST_WOODCHI_BP_E-27"/>
    <x v="0"/>
    <x v="9"/>
    <n v="152.941176470588"/>
    <n v="55823.529411764699"/>
    <n v="200964.70588235301"/>
  </r>
  <r>
    <x v="0"/>
    <x v="0"/>
    <x v="0"/>
    <x v="0"/>
    <x v="0"/>
    <s v="DK1_Medium"/>
    <x v="7"/>
    <s v="GNR_ST_WOODCHI_BP_E-27"/>
    <x v="0"/>
    <x v="10"/>
    <n v="152.941176470588"/>
    <n v="55823.529411764699"/>
    <n v="200964.70588235301"/>
  </r>
  <r>
    <x v="0"/>
    <x v="0"/>
    <x v="0"/>
    <x v="0"/>
    <x v="0"/>
    <s v="DK1_Medium"/>
    <x v="7"/>
    <s v="GNR_ST_WOODCHI_BP_E-27"/>
    <x v="0"/>
    <x v="11"/>
    <n v="152.941176470588"/>
    <n v="55823.529411764699"/>
    <n v="200964.70588235301"/>
  </r>
  <r>
    <x v="0"/>
    <x v="0"/>
    <x v="0"/>
    <x v="0"/>
    <x v="0"/>
    <s v="DK1_Medium"/>
    <x v="7"/>
    <s v="GNR_ST_WOODCHI_BP_E-27"/>
    <x v="0"/>
    <x v="12"/>
    <n v="152.941176470588"/>
    <n v="55823.529411764699"/>
    <n v="200964.70588235301"/>
  </r>
  <r>
    <x v="0"/>
    <x v="0"/>
    <x v="0"/>
    <x v="0"/>
    <x v="0"/>
    <s v="DK1_Medium"/>
    <x v="7"/>
    <s v="GNR_ST_WOODCHI_BP_E-27"/>
    <x v="0"/>
    <x v="13"/>
    <n v="152.941176470588"/>
    <n v="55823.529411764699"/>
    <n v="200964.70588235301"/>
  </r>
  <r>
    <x v="0"/>
    <x v="0"/>
    <x v="0"/>
    <x v="0"/>
    <x v="0"/>
    <s v="DK1_Medium"/>
    <x v="7"/>
    <s v="GNR_ST_WOODCHI_BP_E-27"/>
    <x v="0"/>
    <x v="14"/>
    <n v="152.941176470588"/>
    <n v="55823.529411764699"/>
    <n v="200964.70588235301"/>
  </r>
  <r>
    <x v="0"/>
    <x v="0"/>
    <x v="0"/>
    <x v="0"/>
    <x v="0"/>
    <s v="DK1_Medium"/>
    <x v="7"/>
    <s v="GNR_ST_WOODCHI_BP_E-27"/>
    <x v="0"/>
    <x v="15"/>
    <n v="152.941176470588"/>
    <n v="55823.529411764699"/>
    <n v="200964.70588235301"/>
  </r>
  <r>
    <x v="0"/>
    <x v="0"/>
    <x v="0"/>
    <x v="0"/>
    <x v="0"/>
    <s v="DK1_Medium"/>
    <x v="7"/>
    <s v="GNR_ST_WOODCHI_BP_E-27"/>
    <x v="0"/>
    <x v="16"/>
    <n v="152.941176470588"/>
    <n v="55823.529411764699"/>
    <n v="200964.70588235301"/>
  </r>
  <r>
    <x v="0"/>
    <x v="0"/>
    <x v="0"/>
    <x v="0"/>
    <x v="0"/>
    <s v="DK1_Medium"/>
    <x v="7"/>
    <s v="GNR_ST_WOODCHI_BP_E-27"/>
    <x v="0"/>
    <x v="17"/>
    <n v="152.941176470588"/>
    <n v="55823.529411764699"/>
    <n v="200964.70588235301"/>
  </r>
  <r>
    <x v="0"/>
    <x v="0"/>
    <x v="0"/>
    <x v="0"/>
    <x v="0"/>
    <s v="DK1_Medium"/>
    <x v="7"/>
    <s v="GNR_ST_WOODCHI_BP_E-27"/>
    <x v="0"/>
    <x v="18"/>
    <n v="152.941176470588"/>
    <n v="55823.529411764699"/>
    <n v="200964.70588235301"/>
  </r>
  <r>
    <x v="0"/>
    <x v="0"/>
    <x v="0"/>
    <x v="0"/>
    <x v="0"/>
    <s v="DK1_Medium"/>
    <x v="7"/>
    <s v="GNR_ST_WOODCHI_BP_E-27"/>
    <x v="0"/>
    <x v="19"/>
    <n v="152.941176470588"/>
    <n v="55823.529411764699"/>
    <n v="200964.70588235301"/>
  </r>
  <r>
    <x v="0"/>
    <x v="0"/>
    <x v="0"/>
    <x v="0"/>
    <x v="0"/>
    <s v="DK1_Medium"/>
    <x v="7"/>
    <s v="GNR_ST_WOODCHI_BP_E-27"/>
    <x v="0"/>
    <x v="20"/>
    <n v="152.941176470588"/>
    <n v="55823.529411764699"/>
    <n v="200964.70588235301"/>
  </r>
  <r>
    <x v="0"/>
    <x v="0"/>
    <x v="0"/>
    <x v="0"/>
    <x v="0"/>
    <s v="DK1_Medium"/>
    <x v="7"/>
    <s v="GNR_ST_WOODCHI_BP_E-27"/>
    <x v="0"/>
    <x v="21"/>
    <n v="152.941176470588"/>
    <n v="55823.529411764699"/>
    <n v="200964.70588235301"/>
  </r>
  <r>
    <x v="0"/>
    <x v="0"/>
    <x v="0"/>
    <x v="0"/>
    <x v="0"/>
    <s v="DK1_Medium"/>
    <x v="7"/>
    <s v="GNR_ST_WOODCHI_BP_E-27"/>
    <x v="0"/>
    <x v="22"/>
    <n v="152.941176470588"/>
    <n v="55823.529411764699"/>
    <n v="200964.70588235301"/>
  </r>
  <r>
    <x v="0"/>
    <x v="0"/>
    <x v="0"/>
    <x v="0"/>
    <x v="0"/>
    <s v="DK1_Medium"/>
    <x v="7"/>
    <s v="GNR_ST_WOODCHI_BP_E-27"/>
    <x v="0"/>
    <x v="23"/>
    <n v="152.941176470588"/>
    <n v="55823.529411764699"/>
    <n v="200964.70588235301"/>
  </r>
  <r>
    <x v="0"/>
    <x v="0"/>
    <x v="0"/>
    <x v="0"/>
    <x v="0"/>
    <s v="DK1_Medium"/>
    <x v="7"/>
    <s v="GNR_ST_WOODCHI_BP_E-30"/>
    <x v="0"/>
    <x v="0"/>
    <n v="265.88235294117601"/>
    <n v="97047.058823529398"/>
    <n v="349369.41176470602"/>
  </r>
  <r>
    <x v="0"/>
    <x v="0"/>
    <x v="0"/>
    <x v="0"/>
    <x v="0"/>
    <s v="DK1_Medium"/>
    <x v="7"/>
    <s v="GNR_ST_WOODCHI_BP_E-30"/>
    <x v="0"/>
    <x v="1"/>
    <n v="265.88235294117601"/>
    <n v="97047.058823529398"/>
    <n v="349369.41176470602"/>
  </r>
  <r>
    <x v="0"/>
    <x v="0"/>
    <x v="0"/>
    <x v="0"/>
    <x v="0"/>
    <s v="DK1_Medium"/>
    <x v="7"/>
    <s v="GNR_ST_WOODCHI_BP_E-30"/>
    <x v="0"/>
    <x v="2"/>
    <n v="265.88235294117601"/>
    <n v="97047.058823529398"/>
    <n v="349369.41176470602"/>
  </r>
  <r>
    <x v="0"/>
    <x v="0"/>
    <x v="0"/>
    <x v="0"/>
    <x v="0"/>
    <s v="DK1_Medium"/>
    <x v="7"/>
    <s v="GNR_ST_WOODCHI_BP_E-30"/>
    <x v="0"/>
    <x v="3"/>
    <n v="265.88235294117601"/>
    <n v="97047.058823529398"/>
    <n v="349369.41176470602"/>
  </r>
  <r>
    <x v="0"/>
    <x v="0"/>
    <x v="0"/>
    <x v="0"/>
    <x v="0"/>
    <s v="DK1_Medium"/>
    <x v="7"/>
    <s v="GNR_ST_WOODCHI_BP_E-30"/>
    <x v="0"/>
    <x v="4"/>
    <n v="265.88235294117601"/>
    <n v="97047.058823529398"/>
    <n v="349369.41176470602"/>
  </r>
  <r>
    <x v="0"/>
    <x v="0"/>
    <x v="0"/>
    <x v="0"/>
    <x v="0"/>
    <s v="DK1_Medium"/>
    <x v="7"/>
    <s v="GNR_ST_WOODCHI_BP_E-30"/>
    <x v="0"/>
    <x v="5"/>
    <n v="265.88235294117601"/>
    <n v="97047.058823529398"/>
    <n v="349369.41176470602"/>
  </r>
  <r>
    <x v="0"/>
    <x v="0"/>
    <x v="0"/>
    <x v="0"/>
    <x v="0"/>
    <s v="DK1_Medium"/>
    <x v="7"/>
    <s v="GNR_ST_WOODCHI_BP_E-30"/>
    <x v="0"/>
    <x v="6"/>
    <n v="265.88235294117601"/>
    <n v="97047.058823529398"/>
    <n v="349369.41176470602"/>
  </r>
  <r>
    <x v="0"/>
    <x v="0"/>
    <x v="0"/>
    <x v="0"/>
    <x v="0"/>
    <s v="DK1_Medium"/>
    <x v="7"/>
    <s v="GNR_ST_WOODCHI_BP_E-30"/>
    <x v="0"/>
    <x v="7"/>
    <n v="265.88235294117601"/>
    <n v="97047.058823529398"/>
    <n v="349369.41176470602"/>
  </r>
  <r>
    <x v="0"/>
    <x v="0"/>
    <x v="0"/>
    <x v="0"/>
    <x v="0"/>
    <s v="DK1_Medium"/>
    <x v="7"/>
    <s v="GNR_ST_WOODCHI_BP_E-30"/>
    <x v="0"/>
    <x v="8"/>
    <n v="265.88235294117601"/>
    <n v="97047.058823529398"/>
    <n v="349369.41176470602"/>
  </r>
  <r>
    <x v="0"/>
    <x v="0"/>
    <x v="0"/>
    <x v="0"/>
    <x v="0"/>
    <s v="DK1_Medium"/>
    <x v="7"/>
    <s v="GNR_ST_WOODCHI_BP_E-30"/>
    <x v="0"/>
    <x v="9"/>
    <n v="265.88235294117601"/>
    <n v="97047.058823529398"/>
    <n v="349369.41176470602"/>
  </r>
  <r>
    <x v="0"/>
    <x v="0"/>
    <x v="0"/>
    <x v="0"/>
    <x v="0"/>
    <s v="DK1_Medium"/>
    <x v="7"/>
    <s v="GNR_ST_WOODCHI_BP_E-30"/>
    <x v="0"/>
    <x v="10"/>
    <n v="265.88235294117601"/>
    <n v="97047.058823529398"/>
    <n v="349369.41176470602"/>
  </r>
  <r>
    <x v="0"/>
    <x v="0"/>
    <x v="0"/>
    <x v="0"/>
    <x v="0"/>
    <s v="DK1_Medium"/>
    <x v="7"/>
    <s v="GNR_ST_WOODCHI_BP_E-30"/>
    <x v="0"/>
    <x v="11"/>
    <n v="265.88235294117601"/>
    <n v="97047.058823529398"/>
    <n v="349369.41176470602"/>
  </r>
  <r>
    <x v="0"/>
    <x v="0"/>
    <x v="0"/>
    <x v="0"/>
    <x v="0"/>
    <s v="DK1_Medium"/>
    <x v="7"/>
    <s v="GNR_ST_WOODCHI_BP_E-30"/>
    <x v="0"/>
    <x v="12"/>
    <n v="265.88235294117601"/>
    <n v="97047.058823529398"/>
    <n v="349369.41176470602"/>
  </r>
  <r>
    <x v="0"/>
    <x v="0"/>
    <x v="0"/>
    <x v="0"/>
    <x v="0"/>
    <s v="DK1_Medium"/>
    <x v="7"/>
    <s v="GNR_ST_WOODCHI_BP_E-30"/>
    <x v="0"/>
    <x v="13"/>
    <n v="265.88235294117601"/>
    <n v="97047.058823529398"/>
    <n v="349369.41176470602"/>
  </r>
  <r>
    <x v="0"/>
    <x v="0"/>
    <x v="0"/>
    <x v="0"/>
    <x v="0"/>
    <s v="DK1_Medium"/>
    <x v="7"/>
    <s v="GNR_ST_WOODCHI_BP_E-30"/>
    <x v="0"/>
    <x v="14"/>
    <n v="265.88235294117601"/>
    <n v="97047.058823529398"/>
    <n v="349369.41176470602"/>
  </r>
  <r>
    <x v="0"/>
    <x v="0"/>
    <x v="0"/>
    <x v="0"/>
    <x v="0"/>
    <s v="DK1_Medium"/>
    <x v="7"/>
    <s v="GNR_ST_WOODCHI_BP_E-30"/>
    <x v="0"/>
    <x v="15"/>
    <n v="265.88235294117601"/>
    <n v="97047.058823529398"/>
    <n v="349369.41176470602"/>
  </r>
  <r>
    <x v="0"/>
    <x v="0"/>
    <x v="0"/>
    <x v="0"/>
    <x v="0"/>
    <s v="DK1_Medium"/>
    <x v="7"/>
    <s v="GNR_ST_WOODCHI_BP_E-30"/>
    <x v="0"/>
    <x v="16"/>
    <n v="265.88235294117601"/>
    <n v="97047.058823529398"/>
    <n v="349369.41176470602"/>
  </r>
  <r>
    <x v="0"/>
    <x v="0"/>
    <x v="0"/>
    <x v="0"/>
    <x v="0"/>
    <s v="DK1_Medium"/>
    <x v="7"/>
    <s v="GNR_ST_WOODCHI_BP_E-30"/>
    <x v="0"/>
    <x v="17"/>
    <n v="265.88235294117601"/>
    <n v="97047.058823529398"/>
    <n v="349369.41176470602"/>
  </r>
  <r>
    <x v="0"/>
    <x v="0"/>
    <x v="0"/>
    <x v="0"/>
    <x v="0"/>
    <s v="DK1_Medium"/>
    <x v="7"/>
    <s v="GNR_ST_WOODCHI_BP_E-30"/>
    <x v="0"/>
    <x v="18"/>
    <n v="265.88235294117601"/>
    <n v="97047.058823529398"/>
    <n v="349369.41176470602"/>
  </r>
  <r>
    <x v="0"/>
    <x v="0"/>
    <x v="0"/>
    <x v="0"/>
    <x v="0"/>
    <s v="DK1_Medium"/>
    <x v="7"/>
    <s v="GNR_ST_WOODCHI_BP_E-30"/>
    <x v="0"/>
    <x v="19"/>
    <n v="265.88235294117601"/>
    <n v="97047.058823529398"/>
    <n v="349369.41176470602"/>
  </r>
  <r>
    <x v="0"/>
    <x v="0"/>
    <x v="0"/>
    <x v="0"/>
    <x v="0"/>
    <s v="DK1_Medium"/>
    <x v="7"/>
    <s v="GNR_ST_WOODCHI_BP_E-30"/>
    <x v="0"/>
    <x v="20"/>
    <n v="265.88235294117601"/>
    <n v="97047.058823529398"/>
    <n v="349369.41176470602"/>
  </r>
  <r>
    <x v="0"/>
    <x v="0"/>
    <x v="0"/>
    <x v="0"/>
    <x v="0"/>
    <s v="DK1_Medium"/>
    <x v="7"/>
    <s v="GNR_ST_WOODCHI_BP_E-30"/>
    <x v="0"/>
    <x v="21"/>
    <n v="265.88235294117601"/>
    <n v="97047.058823529398"/>
    <n v="349369.41176470602"/>
  </r>
  <r>
    <x v="0"/>
    <x v="0"/>
    <x v="0"/>
    <x v="0"/>
    <x v="0"/>
    <s v="DK1_Medium"/>
    <x v="7"/>
    <s v="GNR_ST_WOODCHI_BP_E-30"/>
    <x v="0"/>
    <x v="22"/>
    <n v="265.88235294117601"/>
    <n v="97047.058823529398"/>
    <n v="349369.41176470602"/>
  </r>
  <r>
    <x v="0"/>
    <x v="0"/>
    <x v="0"/>
    <x v="0"/>
    <x v="0"/>
    <s v="DK1_Medium"/>
    <x v="7"/>
    <s v="GNR_ST_WOODCHI_BP_E-30"/>
    <x v="0"/>
    <x v="23"/>
    <n v="265.88235294117601"/>
    <n v="97047.058823529398"/>
    <n v="349369.41176470602"/>
  </r>
  <r>
    <x v="0"/>
    <x v="0"/>
    <x v="0"/>
    <x v="0"/>
    <x v="0"/>
    <s v="DK1_NoDH"/>
    <x v="0"/>
    <s v="GNR_ENG_BGAS_BP_E-30"/>
    <x v="0"/>
    <x v="0"/>
    <n v="0.52439024390243905"/>
    <n v="191.40243902438999"/>
    <n v="689.04878048780495"/>
  </r>
  <r>
    <x v="0"/>
    <x v="0"/>
    <x v="0"/>
    <x v="0"/>
    <x v="0"/>
    <s v="DK1_NoDH"/>
    <x v="0"/>
    <s v="GNR_ENG_BGAS_BP_E-30"/>
    <x v="0"/>
    <x v="1"/>
    <n v="0.52439024390243905"/>
    <n v="191.40243902438999"/>
    <n v="689.04878048780495"/>
  </r>
  <r>
    <x v="0"/>
    <x v="0"/>
    <x v="0"/>
    <x v="0"/>
    <x v="0"/>
    <s v="DK1_NoDH"/>
    <x v="0"/>
    <s v="GNR_ENG_BGAS_BP_E-30"/>
    <x v="0"/>
    <x v="2"/>
    <n v="0.52439024390243905"/>
    <n v="191.40243902438999"/>
    <n v="689.04878048780495"/>
  </r>
  <r>
    <x v="0"/>
    <x v="0"/>
    <x v="0"/>
    <x v="0"/>
    <x v="0"/>
    <s v="DK1_NoDH"/>
    <x v="0"/>
    <s v="GNR_ENG_BGAS_BP_E-30"/>
    <x v="0"/>
    <x v="3"/>
    <n v="0.52439024390243905"/>
    <n v="191.40243902438999"/>
    <n v="689.04878048780495"/>
  </r>
  <r>
    <x v="0"/>
    <x v="0"/>
    <x v="0"/>
    <x v="0"/>
    <x v="0"/>
    <s v="DK1_NoDH"/>
    <x v="0"/>
    <s v="GNR_ENG_BGAS_BP_E-30"/>
    <x v="0"/>
    <x v="4"/>
    <n v="0.52439024390243905"/>
    <n v="191.40243902438999"/>
    <n v="689.04878048780495"/>
  </r>
  <r>
    <x v="0"/>
    <x v="0"/>
    <x v="0"/>
    <x v="0"/>
    <x v="0"/>
    <s v="DK1_NoDH"/>
    <x v="0"/>
    <s v="GNR_ENG_BGAS_BP_E-30"/>
    <x v="0"/>
    <x v="5"/>
    <n v="0.52439024390243905"/>
    <n v="191.40243902438999"/>
    <n v="689.04878048780495"/>
  </r>
  <r>
    <x v="0"/>
    <x v="0"/>
    <x v="0"/>
    <x v="0"/>
    <x v="0"/>
    <s v="DK1_NoDH"/>
    <x v="0"/>
    <s v="GNR_ENG_BGAS_BP_E-30"/>
    <x v="0"/>
    <x v="6"/>
    <n v="0.52439024390243905"/>
    <n v="191.40243902438999"/>
    <n v="689.04878048780495"/>
  </r>
  <r>
    <x v="0"/>
    <x v="0"/>
    <x v="0"/>
    <x v="0"/>
    <x v="0"/>
    <s v="DK1_NoDH"/>
    <x v="0"/>
    <s v="GNR_ENG_BGAS_BP_E-30"/>
    <x v="0"/>
    <x v="7"/>
    <n v="0.52439024390243905"/>
    <n v="191.40243902438999"/>
    <n v="689.04878048780495"/>
  </r>
  <r>
    <x v="0"/>
    <x v="0"/>
    <x v="0"/>
    <x v="0"/>
    <x v="0"/>
    <s v="DK1_NoDH"/>
    <x v="0"/>
    <s v="GNR_ENG_BGAS_BP_E-30"/>
    <x v="0"/>
    <x v="8"/>
    <n v="0.52439024390243905"/>
    <n v="191.40243902438999"/>
    <n v="689.04878048780495"/>
  </r>
  <r>
    <x v="0"/>
    <x v="0"/>
    <x v="0"/>
    <x v="0"/>
    <x v="0"/>
    <s v="DK1_NoDH"/>
    <x v="0"/>
    <s v="GNR_ENG_BGAS_BP_E-30"/>
    <x v="0"/>
    <x v="9"/>
    <n v="0.52439024390243905"/>
    <n v="191.40243902438999"/>
    <n v="689.04878048780495"/>
  </r>
  <r>
    <x v="0"/>
    <x v="0"/>
    <x v="0"/>
    <x v="0"/>
    <x v="0"/>
    <s v="DK1_NoDH"/>
    <x v="0"/>
    <s v="GNR_ENG_BGAS_BP_E-30"/>
    <x v="0"/>
    <x v="10"/>
    <n v="0.52439024390243905"/>
    <n v="191.40243902438999"/>
    <n v="689.04878048780495"/>
  </r>
  <r>
    <x v="0"/>
    <x v="0"/>
    <x v="0"/>
    <x v="0"/>
    <x v="0"/>
    <s v="DK1_NoDH"/>
    <x v="0"/>
    <s v="GNR_ENG_BGAS_BP_E-30"/>
    <x v="0"/>
    <x v="11"/>
    <n v="0.52439024390243905"/>
    <n v="191.40243902438999"/>
    <n v="689.04878048780495"/>
  </r>
  <r>
    <x v="0"/>
    <x v="0"/>
    <x v="0"/>
    <x v="0"/>
    <x v="0"/>
    <s v="DK1_NoDH"/>
    <x v="0"/>
    <s v="GNR_ENG_BGAS_BP_E-30"/>
    <x v="0"/>
    <x v="12"/>
    <n v="0.52439024390243905"/>
    <n v="191.40243902438999"/>
    <n v="689.04878048780495"/>
  </r>
  <r>
    <x v="0"/>
    <x v="0"/>
    <x v="0"/>
    <x v="0"/>
    <x v="0"/>
    <s v="DK1_NoDH"/>
    <x v="0"/>
    <s v="GNR_ENG_BGAS_BP_E-30"/>
    <x v="0"/>
    <x v="13"/>
    <n v="0.52439024390243905"/>
    <n v="191.40243902438999"/>
    <n v="689.04878048780495"/>
  </r>
  <r>
    <x v="0"/>
    <x v="0"/>
    <x v="0"/>
    <x v="0"/>
    <x v="0"/>
    <s v="DK1_NoDH"/>
    <x v="0"/>
    <s v="GNR_ENG_BGAS_BP_E-30"/>
    <x v="0"/>
    <x v="14"/>
    <n v="0.52439024390243905"/>
    <n v="191.40243902438999"/>
    <n v="689.04878048780495"/>
  </r>
  <r>
    <x v="0"/>
    <x v="0"/>
    <x v="0"/>
    <x v="0"/>
    <x v="0"/>
    <s v="DK1_NoDH"/>
    <x v="0"/>
    <s v="GNR_ENG_BGAS_BP_E-30"/>
    <x v="0"/>
    <x v="15"/>
    <n v="0.52439024390243905"/>
    <n v="191.40243902438999"/>
    <n v="689.04878048780495"/>
  </r>
  <r>
    <x v="0"/>
    <x v="0"/>
    <x v="0"/>
    <x v="0"/>
    <x v="0"/>
    <s v="DK1_NoDH"/>
    <x v="0"/>
    <s v="GNR_ENG_BGAS_BP_E-30"/>
    <x v="0"/>
    <x v="16"/>
    <n v="0.52439024390243905"/>
    <n v="191.40243902438999"/>
    <n v="689.04878048780495"/>
  </r>
  <r>
    <x v="0"/>
    <x v="0"/>
    <x v="0"/>
    <x v="0"/>
    <x v="0"/>
    <s v="DK1_NoDH"/>
    <x v="0"/>
    <s v="GNR_ENG_BGAS_BP_E-30"/>
    <x v="0"/>
    <x v="17"/>
    <n v="0.52439024390243905"/>
    <n v="191.40243902438999"/>
    <n v="689.04878048780495"/>
  </r>
  <r>
    <x v="0"/>
    <x v="0"/>
    <x v="0"/>
    <x v="0"/>
    <x v="0"/>
    <s v="DK1_NoDH"/>
    <x v="0"/>
    <s v="GNR_ENG_BGAS_BP_E-30"/>
    <x v="0"/>
    <x v="18"/>
    <n v="0.52439024390243905"/>
    <n v="191.40243902438999"/>
    <n v="689.04878048780495"/>
  </r>
  <r>
    <x v="0"/>
    <x v="0"/>
    <x v="0"/>
    <x v="0"/>
    <x v="0"/>
    <s v="DK1_NoDH"/>
    <x v="0"/>
    <s v="GNR_ENG_BGAS_BP_E-30"/>
    <x v="0"/>
    <x v="19"/>
    <n v="0.52439024390243905"/>
    <n v="191.40243902438999"/>
    <n v="689.04878048780495"/>
  </r>
  <r>
    <x v="0"/>
    <x v="0"/>
    <x v="0"/>
    <x v="0"/>
    <x v="0"/>
    <s v="DK1_NoDH"/>
    <x v="0"/>
    <s v="GNR_ENG_BGAS_BP_E-30"/>
    <x v="0"/>
    <x v="20"/>
    <n v="0.52439024390243905"/>
    <n v="191.40243902438999"/>
    <n v="689.04878048780495"/>
  </r>
  <r>
    <x v="0"/>
    <x v="0"/>
    <x v="0"/>
    <x v="0"/>
    <x v="0"/>
    <s v="DK1_NoDH"/>
    <x v="0"/>
    <s v="GNR_ENG_BGAS_BP_E-30"/>
    <x v="0"/>
    <x v="21"/>
    <n v="0.52439024390243905"/>
    <n v="191.40243902438999"/>
    <n v="689.04878048780495"/>
  </r>
  <r>
    <x v="0"/>
    <x v="0"/>
    <x v="0"/>
    <x v="0"/>
    <x v="0"/>
    <s v="DK1_NoDH"/>
    <x v="0"/>
    <s v="GNR_ENG_BGAS_BP_E-30"/>
    <x v="0"/>
    <x v="22"/>
    <n v="0.52439024390243905"/>
    <n v="191.40243902438999"/>
    <n v="689.04878048780495"/>
  </r>
  <r>
    <x v="0"/>
    <x v="0"/>
    <x v="0"/>
    <x v="0"/>
    <x v="0"/>
    <s v="DK1_NoDH"/>
    <x v="0"/>
    <s v="GNR_ENG_BGAS_BP_E-30"/>
    <x v="0"/>
    <x v="23"/>
    <n v="0.52439024390243905"/>
    <n v="191.40243902438999"/>
    <n v="689.04878048780495"/>
  </r>
  <r>
    <x v="0"/>
    <x v="0"/>
    <x v="0"/>
    <x v="0"/>
    <x v="0"/>
    <s v="DK1_NoDH"/>
    <x v="0"/>
    <s v="GNR_ENG_BGAS_BP_E-31"/>
    <x v="0"/>
    <x v="0"/>
    <n v="0.57317073170731703"/>
    <n v="209.207317073171"/>
    <n v="753.14634146341496"/>
  </r>
  <r>
    <x v="0"/>
    <x v="0"/>
    <x v="0"/>
    <x v="0"/>
    <x v="0"/>
    <s v="DK1_NoDH"/>
    <x v="0"/>
    <s v="GNR_ENG_BGAS_BP_E-31"/>
    <x v="0"/>
    <x v="1"/>
    <n v="0.57317073170731703"/>
    <n v="209.207317073171"/>
    <n v="753.14634146341496"/>
  </r>
  <r>
    <x v="0"/>
    <x v="0"/>
    <x v="0"/>
    <x v="0"/>
    <x v="0"/>
    <s v="DK1_NoDH"/>
    <x v="0"/>
    <s v="GNR_ENG_BGAS_BP_E-31"/>
    <x v="0"/>
    <x v="2"/>
    <n v="0.57317073170731703"/>
    <n v="209.207317073171"/>
    <n v="753.14634146341496"/>
  </r>
  <r>
    <x v="0"/>
    <x v="0"/>
    <x v="0"/>
    <x v="0"/>
    <x v="0"/>
    <s v="DK1_NoDH"/>
    <x v="0"/>
    <s v="GNR_ENG_BGAS_BP_E-31"/>
    <x v="0"/>
    <x v="3"/>
    <n v="0.57317073170731703"/>
    <n v="209.207317073171"/>
    <n v="753.14634146341496"/>
  </r>
  <r>
    <x v="0"/>
    <x v="0"/>
    <x v="0"/>
    <x v="0"/>
    <x v="0"/>
    <s v="DK1_NoDH"/>
    <x v="0"/>
    <s v="GNR_ENG_BGAS_BP_E-31"/>
    <x v="0"/>
    <x v="4"/>
    <n v="0.57317073170731703"/>
    <n v="209.207317073171"/>
    <n v="753.14634146341496"/>
  </r>
  <r>
    <x v="0"/>
    <x v="0"/>
    <x v="0"/>
    <x v="0"/>
    <x v="0"/>
    <s v="DK1_NoDH"/>
    <x v="0"/>
    <s v="GNR_ENG_BGAS_BP_E-31"/>
    <x v="0"/>
    <x v="5"/>
    <n v="0.57317073170731703"/>
    <n v="209.207317073171"/>
    <n v="753.14634146341496"/>
  </r>
  <r>
    <x v="0"/>
    <x v="0"/>
    <x v="0"/>
    <x v="0"/>
    <x v="0"/>
    <s v="DK1_NoDH"/>
    <x v="0"/>
    <s v="GNR_ENG_BGAS_BP_E-31"/>
    <x v="0"/>
    <x v="6"/>
    <n v="0.57317073170731703"/>
    <n v="209.207317073171"/>
    <n v="753.14634146341496"/>
  </r>
  <r>
    <x v="0"/>
    <x v="0"/>
    <x v="0"/>
    <x v="0"/>
    <x v="0"/>
    <s v="DK1_NoDH"/>
    <x v="0"/>
    <s v="GNR_ENG_BGAS_BP_E-31"/>
    <x v="0"/>
    <x v="7"/>
    <n v="0.57317073170731703"/>
    <n v="209.207317073171"/>
    <n v="753.14634146341496"/>
  </r>
  <r>
    <x v="0"/>
    <x v="0"/>
    <x v="0"/>
    <x v="0"/>
    <x v="0"/>
    <s v="DK1_NoDH"/>
    <x v="0"/>
    <s v="GNR_ENG_BGAS_BP_E-31"/>
    <x v="0"/>
    <x v="8"/>
    <n v="0.57317073170731703"/>
    <n v="209.207317073171"/>
    <n v="753.14634146341496"/>
  </r>
  <r>
    <x v="0"/>
    <x v="0"/>
    <x v="0"/>
    <x v="0"/>
    <x v="0"/>
    <s v="DK1_NoDH"/>
    <x v="0"/>
    <s v="GNR_ENG_BGAS_BP_E-31"/>
    <x v="0"/>
    <x v="9"/>
    <n v="0.57317073170731703"/>
    <n v="209.207317073171"/>
    <n v="753.14634146341496"/>
  </r>
  <r>
    <x v="0"/>
    <x v="0"/>
    <x v="0"/>
    <x v="0"/>
    <x v="0"/>
    <s v="DK1_NoDH"/>
    <x v="0"/>
    <s v="GNR_ENG_BGAS_BP_E-31"/>
    <x v="0"/>
    <x v="10"/>
    <n v="0.57317073170731703"/>
    <n v="209.207317073171"/>
    <n v="753.14634146341496"/>
  </r>
  <r>
    <x v="0"/>
    <x v="0"/>
    <x v="0"/>
    <x v="0"/>
    <x v="0"/>
    <s v="DK1_NoDH"/>
    <x v="0"/>
    <s v="GNR_ENG_BGAS_BP_E-31"/>
    <x v="0"/>
    <x v="11"/>
    <n v="0.57317073170731703"/>
    <n v="209.207317073171"/>
    <n v="753.14634146341496"/>
  </r>
  <r>
    <x v="0"/>
    <x v="0"/>
    <x v="0"/>
    <x v="0"/>
    <x v="0"/>
    <s v="DK1_NoDH"/>
    <x v="0"/>
    <s v="GNR_ENG_BGAS_BP_E-31"/>
    <x v="0"/>
    <x v="12"/>
    <n v="0.57317073170731703"/>
    <n v="209.207317073171"/>
    <n v="753.14634146341496"/>
  </r>
  <r>
    <x v="0"/>
    <x v="0"/>
    <x v="0"/>
    <x v="0"/>
    <x v="0"/>
    <s v="DK1_NoDH"/>
    <x v="0"/>
    <s v="GNR_ENG_BGAS_BP_E-31"/>
    <x v="0"/>
    <x v="13"/>
    <n v="0.57317073170731703"/>
    <n v="209.207317073171"/>
    <n v="753.14634146341496"/>
  </r>
  <r>
    <x v="0"/>
    <x v="0"/>
    <x v="0"/>
    <x v="0"/>
    <x v="0"/>
    <s v="DK1_NoDH"/>
    <x v="0"/>
    <s v="GNR_ENG_BGAS_BP_E-31"/>
    <x v="0"/>
    <x v="14"/>
    <n v="0.57317073170731703"/>
    <n v="209.207317073171"/>
    <n v="753.14634146341496"/>
  </r>
  <r>
    <x v="0"/>
    <x v="0"/>
    <x v="0"/>
    <x v="0"/>
    <x v="0"/>
    <s v="DK1_NoDH"/>
    <x v="0"/>
    <s v="GNR_ENG_BGAS_BP_E-31"/>
    <x v="0"/>
    <x v="15"/>
    <n v="0.57317073170731703"/>
    <n v="209.207317073171"/>
    <n v="753.14634146341496"/>
  </r>
  <r>
    <x v="0"/>
    <x v="0"/>
    <x v="0"/>
    <x v="0"/>
    <x v="0"/>
    <s v="DK1_NoDH"/>
    <x v="0"/>
    <s v="GNR_ENG_BGAS_BP_E-31"/>
    <x v="0"/>
    <x v="16"/>
    <n v="0.57317073170731703"/>
    <n v="209.207317073171"/>
    <n v="753.14634146341496"/>
  </r>
  <r>
    <x v="0"/>
    <x v="0"/>
    <x v="0"/>
    <x v="0"/>
    <x v="0"/>
    <s v="DK1_NoDH"/>
    <x v="0"/>
    <s v="GNR_ENG_BGAS_BP_E-31"/>
    <x v="0"/>
    <x v="17"/>
    <n v="0.57317073170731703"/>
    <n v="209.207317073171"/>
    <n v="753.14634146341496"/>
  </r>
  <r>
    <x v="0"/>
    <x v="0"/>
    <x v="0"/>
    <x v="0"/>
    <x v="0"/>
    <s v="DK1_NoDH"/>
    <x v="0"/>
    <s v="GNR_ENG_BGAS_BP_E-31"/>
    <x v="0"/>
    <x v="18"/>
    <n v="0.57317073170731703"/>
    <n v="209.207317073171"/>
    <n v="753.14634146341496"/>
  </r>
  <r>
    <x v="0"/>
    <x v="0"/>
    <x v="0"/>
    <x v="0"/>
    <x v="0"/>
    <s v="DK1_NoDH"/>
    <x v="0"/>
    <s v="GNR_ENG_BGAS_BP_E-31"/>
    <x v="0"/>
    <x v="19"/>
    <n v="0.57317073170731703"/>
    <n v="209.207317073171"/>
    <n v="753.14634146341496"/>
  </r>
  <r>
    <x v="0"/>
    <x v="0"/>
    <x v="0"/>
    <x v="0"/>
    <x v="0"/>
    <s v="DK1_NoDH"/>
    <x v="0"/>
    <s v="GNR_ENG_BGAS_BP_E-31"/>
    <x v="0"/>
    <x v="20"/>
    <n v="0.57317073170731703"/>
    <n v="209.207317073171"/>
    <n v="753.14634146341496"/>
  </r>
  <r>
    <x v="0"/>
    <x v="0"/>
    <x v="0"/>
    <x v="0"/>
    <x v="0"/>
    <s v="DK1_NoDH"/>
    <x v="0"/>
    <s v="GNR_ENG_BGAS_BP_E-31"/>
    <x v="0"/>
    <x v="21"/>
    <n v="0.57317073170731703"/>
    <n v="209.207317073171"/>
    <n v="753.14634146341496"/>
  </r>
  <r>
    <x v="0"/>
    <x v="0"/>
    <x v="0"/>
    <x v="0"/>
    <x v="0"/>
    <s v="DK1_NoDH"/>
    <x v="0"/>
    <s v="GNR_ENG_BGAS_BP_E-31"/>
    <x v="0"/>
    <x v="22"/>
    <n v="0.57317073170731703"/>
    <n v="209.207317073171"/>
    <n v="753.14634146341496"/>
  </r>
  <r>
    <x v="0"/>
    <x v="0"/>
    <x v="0"/>
    <x v="0"/>
    <x v="0"/>
    <s v="DK1_NoDH"/>
    <x v="0"/>
    <s v="GNR_ENG_BGAS_BP_E-31"/>
    <x v="0"/>
    <x v="23"/>
    <n v="0.57317073170731703"/>
    <n v="209.207317073171"/>
    <n v="753.14634146341496"/>
  </r>
  <r>
    <x v="0"/>
    <x v="0"/>
    <x v="0"/>
    <x v="0"/>
    <x v="0"/>
    <s v="DK1_NoDH"/>
    <x v="0"/>
    <s v="GNR_ENG_BGAS_BP_E-32"/>
    <x v="0"/>
    <x v="0"/>
    <n v="1.4512195121951199"/>
    <n v="529.69512195121899"/>
    <n v="1906.9024390243901"/>
  </r>
  <r>
    <x v="0"/>
    <x v="0"/>
    <x v="0"/>
    <x v="0"/>
    <x v="0"/>
    <s v="DK1_NoDH"/>
    <x v="0"/>
    <s v="GNR_ENG_BGAS_BP_E-32"/>
    <x v="0"/>
    <x v="1"/>
    <n v="1.4512195121951199"/>
    <n v="529.69512195121899"/>
    <n v="1906.9024390243901"/>
  </r>
  <r>
    <x v="0"/>
    <x v="0"/>
    <x v="0"/>
    <x v="0"/>
    <x v="0"/>
    <s v="DK1_NoDH"/>
    <x v="0"/>
    <s v="GNR_ENG_BGAS_BP_E-32"/>
    <x v="0"/>
    <x v="2"/>
    <n v="1.4512195121951199"/>
    <n v="529.69512195121899"/>
    <n v="1906.9024390243901"/>
  </r>
  <r>
    <x v="0"/>
    <x v="0"/>
    <x v="0"/>
    <x v="0"/>
    <x v="0"/>
    <s v="DK1_NoDH"/>
    <x v="0"/>
    <s v="GNR_ENG_BGAS_BP_E-32"/>
    <x v="0"/>
    <x v="3"/>
    <n v="1.4512195121951199"/>
    <n v="529.69512195121899"/>
    <n v="1906.9024390243901"/>
  </r>
  <r>
    <x v="0"/>
    <x v="0"/>
    <x v="0"/>
    <x v="0"/>
    <x v="0"/>
    <s v="DK1_NoDH"/>
    <x v="0"/>
    <s v="GNR_ENG_BGAS_BP_E-32"/>
    <x v="0"/>
    <x v="4"/>
    <n v="1.4512195121951199"/>
    <n v="529.69512195121899"/>
    <n v="1906.9024390243901"/>
  </r>
  <r>
    <x v="0"/>
    <x v="0"/>
    <x v="0"/>
    <x v="0"/>
    <x v="0"/>
    <s v="DK1_NoDH"/>
    <x v="0"/>
    <s v="GNR_ENG_BGAS_BP_E-32"/>
    <x v="0"/>
    <x v="5"/>
    <n v="1.4512195121951199"/>
    <n v="529.69512195121899"/>
    <n v="1906.9024390243901"/>
  </r>
  <r>
    <x v="0"/>
    <x v="0"/>
    <x v="0"/>
    <x v="0"/>
    <x v="0"/>
    <s v="DK1_NoDH"/>
    <x v="0"/>
    <s v="GNR_ENG_BGAS_BP_E-32"/>
    <x v="0"/>
    <x v="6"/>
    <n v="1.4512195121951199"/>
    <n v="529.69512195121899"/>
    <n v="1906.9024390243901"/>
  </r>
  <r>
    <x v="0"/>
    <x v="0"/>
    <x v="0"/>
    <x v="0"/>
    <x v="0"/>
    <s v="DK1_NoDH"/>
    <x v="0"/>
    <s v="GNR_ENG_BGAS_BP_E-32"/>
    <x v="0"/>
    <x v="7"/>
    <n v="1.4512195121951199"/>
    <n v="529.69512195121899"/>
    <n v="1906.9024390243901"/>
  </r>
  <r>
    <x v="0"/>
    <x v="0"/>
    <x v="0"/>
    <x v="0"/>
    <x v="0"/>
    <s v="DK1_NoDH"/>
    <x v="0"/>
    <s v="GNR_ENG_BGAS_BP_E-32"/>
    <x v="0"/>
    <x v="8"/>
    <n v="1.4512195121951199"/>
    <n v="529.69512195121899"/>
    <n v="1906.9024390243901"/>
  </r>
  <r>
    <x v="0"/>
    <x v="0"/>
    <x v="0"/>
    <x v="0"/>
    <x v="0"/>
    <s v="DK1_NoDH"/>
    <x v="0"/>
    <s v="GNR_ENG_BGAS_BP_E-32"/>
    <x v="0"/>
    <x v="9"/>
    <n v="1.4512195121951199"/>
    <n v="529.69512195121899"/>
    <n v="1906.9024390243901"/>
  </r>
  <r>
    <x v="0"/>
    <x v="0"/>
    <x v="0"/>
    <x v="0"/>
    <x v="0"/>
    <s v="DK1_NoDH"/>
    <x v="0"/>
    <s v="GNR_ENG_BGAS_BP_E-32"/>
    <x v="0"/>
    <x v="10"/>
    <n v="1.4512195121951199"/>
    <n v="529.69512195121899"/>
    <n v="1906.9024390243901"/>
  </r>
  <r>
    <x v="0"/>
    <x v="0"/>
    <x v="0"/>
    <x v="0"/>
    <x v="0"/>
    <s v="DK1_NoDH"/>
    <x v="0"/>
    <s v="GNR_ENG_BGAS_BP_E-32"/>
    <x v="0"/>
    <x v="11"/>
    <n v="1.4512195121951199"/>
    <n v="529.69512195121899"/>
    <n v="1906.9024390243901"/>
  </r>
  <r>
    <x v="0"/>
    <x v="0"/>
    <x v="0"/>
    <x v="0"/>
    <x v="0"/>
    <s v="DK1_NoDH"/>
    <x v="0"/>
    <s v="GNR_ENG_BGAS_BP_E-32"/>
    <x v="0"/>
    <x v="12"/>
    <n v="1.4512195121951199"/>
    <n v="529.69512195121899"/>
    <n v="1906.9024390243901"/>
  </r>
  <r>
    <x v="0"/>
    <x v="0"/>
    <x v="0"/>
    <x v="0"/>
    <x v="0"/>
    <s v="DK1_NoDH"/>
    <x v="0"/>
    <s v="GNR_ENG_BGAS_BP_E-32"/>
    <x v="0"/>
    <x v="13"/>
    <n v="1.4512195121951199"/>
    <n v="529.69512195121899"/>
    <n v="1906.9024390243901"/>
  </r>
  <r>
    <x v="0"/>
    <x v="0"/>
    <x v="0"/>
    <x v="0"/>
    <x v="0"/>
    <s v="DK1_NoDH"/>
    <x v="0"/>
    <s v="GNR_ENG_BGAS_BP_E-32"/>
    <x v="0"/>
    <x v="14"/>
    <n v="1.4512195121951199"/>
    <n v="529.69512195121899"/>
    <n v="1906.9024390243901"/>
  </r>
  <r>
    <x v="0"/>
    <x v="0"/>
    <x v="0"/>
    <x v="0"/>
    <x v="0"/>
    <s v="DK1_NoDH"/>
    <x v="0"/>
    <s v="GNR_ENG_BGAS_BP_E-32"/>
    <x v="0"/>
    <x v="15"/>
    <n v="1.4512195121951199"/>
    <n v="529.69512195121899"/>
    <n v="1906.9024390243901"/>
  </r>
  <r>
    <x v="0"/>
    <x v="0"/>
    <x v="0"/>
    <x v="0"/>
    <x v="0"/>
    <s v="DK1_NoDH"/>
    <x v="0"/>
    <s v="GNR_ENG_BGAS_BP_E-32"/>
    <x v="0"/>
    <x v="16"/>
    <n v="1.4512195121951199"/>
    <n v="529.69512195121899"/>
    <n v="1906.9024390243901"/>
  </r>
  <r>
    <x v="0"/>
    <x v="0"/>
    <x v="0"/>
    <x v="0"/>
    <x v="0"/>
    <s v="DK1_NoDH"/>
    <x v="0"/>
    <s v="GNR_ENG_BGAS_BP_E-32"/>
    <x v="0"/>
    <x v="17"/>
    <n v="1.4512195121951199"/>
    <n v="529.69512195121899"/>
    <n v="1906.9024390243901"/>
  </r>
  <r>
    <x v="0"/>
    <x v="0"/>
    <x v="0"/>
    <x v="0"/>
    <x v="0"/>
    <s v="DK1_NoDH"/>
    <x v="0"/>
    <s v="GNR_ENG_BGAS_BP_E-32"/>
    <x v="0"/>
    <x v="18"/>
    <n v="1.4512195121951199"/>
    <n v="529.69512195121899"/>
    <n v="1906.9024390243901"/>
  </r>
  <r>
    <x v="0"/>
    <x v="0"/>
    <x v="0"/>
    <x v="0"/>
    <x v="0"/>
    <s v="DK1_NoDH"/>
    <x v="0"/>
    <s v="GNR_ENG_BGAS_BP_E-32"/>
    <x v="0"/>
    <x v="19"/>
    <n v="1.4512195121951199"/>
    <n v="529.69512195121899"/>
    <n v="1906.9024390243901"/>
  </r>
  <r>
    <x v="0"/>
    <x v="0"/>
    <x v="0"/>
    <x v="0"/>
    <x v="0"/>
    <s v="DK1_NoDH"/>
    <x v="0"/>
    <s v="GNR_ENG_BGAS_BP_E-32"/>
    <x v="0"/>
    <x v="20"/>
    <n v="1.4512195121951199"/>
    <n v="529.69512195121899"/>
    <n v="1906.9024390243901"/>
  </r>
  <r>
    <x v="0"/>
    <x v="0"/>
    <x v="0"/>
    <x v="0"/>
    <x v="0"/>
    <s v="DK1_NoDH"/>
    <x v="0"/>
    <s v="GNR_ENG_BGAS_BP_E-32"/>
    <x v="0"/>
    <x v="21"/>
    <n v="1.4512195121951199"/>
    <n v="529.69512195121899"/>
    <n v="1906.9024390243901"/>
  </r>
  <r>
    <x v="0"/>
    <x v="0"/>
    <x v="0"/>
    <x v="0"/>
    <x v="0"/>
    <s v="DK1_NoDH"/>
    <x v="0"/>
    <s v="GNR_ENG_BGAS_BP_E-32"/>
    <x v="0"/>
    <x v="22"/>
    <n v="1.4512195121951199"/>
    <n v="529.69512195121899"/>
    <n v="1906.9024390243901"/>
  </r>
  <r>
    <x v="0"/>
    <x v="0"/>
    <x v="0"/>
    <x v="0"/>
    <x v="0"/>
    <s v="DK1_NoDH"/>
    <x v="0"/>
    <s v="GNR_ENG_BGAS_BP_E-32"/>
    <x v="0"/>
    <x v="23"/>
    <n v="1.4512195121951199"/>
    <n v="529.69512195121899"/>
    <n v="1906.9024390243901"/>
  </r>
  <r>
    <x v="0"/>
    <x v="0"/>
    <x v="0"/>
    <x v="0"/>
    <x v="0"/>
    <s v="DK1_NoDH"/>
    <x v="0"/>
    <s v="GNR_ENG_BGAS_BP_E-33"/>
    <x v="0"/>
    <x v="0"/>
    <n v="1.1219512195121999"/>
    <n v="409.51219512195098"/>
    <n v="1474.2439024390201"/>
  </r>
  <r>
    <x v="0"/>
    <x v="0"/>
    <x v="0"/>
    <x v="0"/>
    <x v="0"/>
    <s v="DK1_NoDH"/>
    <x v="0"/>
    <s v="GNR_ENG_BGAS_BP_E-33"/>
    <x v="0"/>
    <x v="1"/>
    <n v="1.1219512195121999"/>
    <n v="409.51219512195098"/>
    <n v="1474.2439024390201"/>
  </r>
  <r>
    <x v="0"/>
    <x v="0"/>
    <x v="0"/>
    <x v="0"/>
    <x v="0"/>
    <s v="DK1_NoDH"/>
    <x v="0"/>
    <s v="GNR_ENG_BGAS_BP_E-33"/>
    <x v="0"/>
    <x v="2"/>
    <n v="1.1219512195121999"/>
    <n v="409.51219512195098"/>
    <n v="1474.2439024390201"/>
  </r>
  <r>
    <x v="0"/>
    <x v="0"/>
    <x v="0"/>
    <x v="0"/>
    <x v="0"/>
    <s v="DK1_NoDH"/>
    <x v="0"/>
    <s v="GNR_ENG_BGAS_BP_E-33"/>
    <x v="0"/>
    <x v="3"/>
    <n v="1.1219512195121999"/>
    <n v="409.51219512195098"/>
    <n v="1474.2439024390201"/>
  </r>
  <r>
    <x v="0"/>
    <x v="0"/>
    <x v="0"/>
    <x v="0"/>
    <x v="0"/>
    <s v="DK1_NoDH"/>
    <x v="0"/>
    <s v="GNR_ENG_BGAS_BP_E-33"/>
    <x v="0"/>
    <x v="4"/>
    <n v="1.1219512195121999"/>
    <n v="409.51219512195098"/>
    <n v="1474.2439024390201"/>
  </r>
  <r>
    <x v="0"/>
    <x v="0"/>
    <x v="0"/>
    <x v="0"/>
    <x v="0"/>
    <s v="DK1_NoDH"/>
    <x v="0"/>
    <s v="GNR_ENG_BGAS_BP_E-33"/>
    <x v="0"/>
    <x v="5"/>
    <n v="1.1219512195121999"/>
    <n v="409.51219512195098"/>
    <n v="1474.2439024390201"/>
  </r>
  <r>
    <x v="0"/>
    <x v="0"/>
    <x v="0"/>
    <x v="0"/>
    <x v="0"/>
    <s v="DK1_NoDH"/>
    <x v="0"/>
    <s v="GNR_ENG_BGAS_BP_E-33"/>
    <x v="0"/>
    <x v="6"/>
    <n v="1.1219512195121999"/>
    <n v="409.51219512195098"/>
    <n v="1474.2439024390201"/>
  </r>
  <r>
    <x v="0"/>
    <x v="0"/>
    <x v="0"/>
    <x v="0"/>
    <x v="0"/>
    <s v="DK1_NoDH"/>
    <x v="0"/>
    <s v="GNR_ENG_BGAS_BP_E-33"/>
    <x v="0"/>
    <x v="7"/>
    <n v="1.1219512195121999"/>
    <n v="409.51219512195098"/>
    <n v="1474.2439024390201"/>
  </r>
  <r>
    <x v="0"/>
    <x v="0"/>
    <x v="0"/>
    <x v="0"/>
    <x v="0"/>
    <s v="DK1_NoDH"/>
    <x v="0"/>
    <s v="GNR_ENG_BGAS_BP_E-33"/>
    <x v="0"/>
    <x v="8"/>
    <n v="1.1219512195121999"/>
    <n v="409.51219512195098"/>
    <n v="1474.2439024390201"/>
  </r>
  <r>
    <x v="0"/>
    <x v="0"/>
    <x v="0"/>
    <x v="0"/>
    <x v="0"/>
    <s v="DK1_NoDH"/>
    <x v="0"/>
    <s v="GNR_ENG_BGAS_BP_E-33"/>
    <x v="0"/>
    <x v="9"/>
    <n v="1.1219512195121999"/>
    <n v="409.51219512195098"/>
    <n v="1474.2439024390201"/>
  </r>
  <r>
    <x v="0"/>
    <x v="0"/>
    <x v="0"/>
    <x v="0"/>
    <x v="0"/>
    <s v="DK1_NoDH"/>
    <x v="0"/>
    <s v="GNR_ENG_BGAS_BP_E-33"/>
    <x v="0"/>
    <x v="10"/>
    <n v="1.1219512195121999"/>
    <n v="409.51219512195098"/>
    <n v="1474.2439024390201"/>
  </r>
  <r>
    <x v="0"/>
    <x v="0"/>
    <x v="0"/>
    <x v="0"/>
    <x v="0"/>
    <s v="DK1_NoDH"/>
    <x v="0"/>
    <s v="GNR_ENG_BGAS_BP_E-33"/>
    <x v="0"/>
    <x v="11"/>
    <n v="1.1219512195121999"/>
    <n v="409.51219512195098"/>
    <n v="1474.2439024390201"/>
  </r>
  <r>
    <x v="0"/>
    <x v="0"/>
    <x v="0"/>
    <x v="0"/>
    <x v="0"/>
    <s v="DK1_NoDH"/>
    <x v="0"/>
    <s v="GNR_ENG_BGAS_BP_E-33"/>
    <x v="0"/>
    <x v="12"/>
    <n v="1.1219512195121999"/>
    <n v="409.51219512195098"/>
    <n v="1474.2439024390201"/>
  </r>
  <r>
    <x v="0"/>
    <x v="0"/>
    <x v="0"/>
    <x v="0"/>
    <x v="0"/>
    <s v="DK1_NoDH"/>
    <x v="0"/>
    <s v="GNR_ENG_BGAS_BP_E-33"/>
    <x v="0"/>
    <x v="13"/>
    <n v="1.1219512195121999"/>
    <n v="409.51219512195098"/>
    <n v="1474.2439024390201"/>
  </r>
  <r>
    <x v="0"/>
    <x v="0"/>
    <x v="0"/>
    <x v="0"/>
    <x v="0"/>
    <s v="DK1_NoDH"/>
    <x v="0"/>
    <s v="GNR_ENG_BGAS_BP_E-33"/>
    <x v="0"/>
    <x v="14"/>
    <n v="1.1219512195121999"/>
    <n v="409.51219512195098"/>
    <n v="1474.2439024390201"/>
  </r>
  <r>
    <x v="0"/>
    <x v="0"/>
    <x v="0"/>
    <x v="0"/>
    <x v="0"/>
    <s v="DK1_NoDH"/>
    <x v="0"/>
    <s v="GNR_ENG_BGAS_BP_E-33"/>
    <x v="0"/>
    <x v="15"/>
    <n v="1.1219512195121999"/>
    <n v="409.51219512195098"/>
    <n v="1474.2439024390201"/>
  </r>
  <r>
    <x v="0"/>
    <x v="0"/>
    <x v="0"/>
    <x v="0"/>
    <x v="0"/>
    <s v="DK1_NoDH"/>
    <x v="0"/>
    <s v="GNR_ENG_BGAS_BP_E-33"/>
    <x v="0"/>
    <x v="16"/>
    <n v="1.1219512195121999"/>
    <n v="409.51219512195098"/>
    <n v="1474.2439024390201"/>
  </r>
  <r>
    <x v="0"/>
    <x v="0"/>
    <x v="0"/>
    <x v="0"/>
    <x v="0"/>
    <s v="DK1_NoDH"/>
    <x v="0"/>
    <s v="GNR_ENG_BGAS_BP_E-33"/>
    <x v="0"/>
    <x v="17"/>
    <n v="1.1219512195121999"/>
    <n v="409.51219512195098"/>
    <n v="1474.2439024390201"/>
  </r>
  <r>
    <x v="0"/>
    <x v="0"/>
    <x v="0"/>
    <x v="0"/>
    <x v="0"/>
    <s v="DK1_NoDH"/>
    <x v="0"/>
    <s v="GNR_ENG_BGAS_BP_E-33"/>
    <x v="0"/>
    <x v="18"/>
    <n v="1.1219512195121999"/>
    <n v="409.51219512195098"/>
    <n v="1474.2439024390201"/>
  </r>
  <r>
    <x v="0"/>
    <x v="0"/>
    <x v="0"/>
    <x v="0"/>
    <x v="0"/>
    <s v="DK1_NoDH"/>
    <x v="0"/>
    <s v="GNR_ENG_BGAS_BP_E-33"/>
    <x v="0"/>
    <x v="19"/>
    <n v="1.1219512195121999"/>
    <n v="409.51219512195098"/>
    <n v="1474.2439024390201"/>
  </r>
  <r>
    <x v="0"/>
    <x v="0"/>
    <x v="0"/>
    <x v="0"/>
    <x v="0"/>
    <s v="DK1_NoDH"/>
    <x v="0"/>
    <s v="GNR_ENG_BGAS_BP_E-33"/>
    <x v="0"/>
    <x v="20"/>
    <n v="1.1219512195121999"/>
    <n v="409.51219512195098"/>
    <n v="1474.2439024390201"/>
  </r>
  <r>
    <x v="0"/>
    <x v="0"/>
    <x v="0"/>
    <x v="0"/>
    <x v="0"/>
    <s v="DK1_NoDH"/>
    <x v="0"/>
    <s v="GNR_ENG_BGAS_BP_E-33"/>
    <x v="0"/>
    <x v="21"/>
    <n v="1.1219512195121999"/>
    <n v="409.51219512195098"/>
    <n v="1474.2439024390201"/>
  </r>
  <r>
    <x v="0"/>
    <x v="0"/>
    <x v="0"/>
    <x v="0"/>
    <x v="0"/>
    <s v="DK1_NoDH"/>
    <x v="0"/>
    <s v="GNR_ENG_BGAS_BP_E-33"/>
    <x v="0"/>
    <x v="22"/>
    <n v="1.1219512195121999"/>
    <n v="409.51219512195098"/>
    <n v="1474.2439024390201"/>
  </r>
  <r>
    <x v="0"/>
    <x v="0"/>
    <x v="0"/>
    <x v="0"/>
    <x v="0"/>
    <s v="DK1_NoDH"/>
    <x v="0"/>
    <s v="GNR_ENG_BGAS_BP_E-33"/>
    <x v="0"/>
    <x v="23"/>
    <n v="1.1219512195121999"/>
    <n v="409.51219512195098"/>
    <n v="1474.2439024390201"/>
  </r>
  <r>
    <x v="0"/>
    <x v="0"/>
    <x v="0"/>
    <x v="0"/>
    <x v="0"/>
    <s v="DK1_NoDH"/>
    <x v="0"/>
    <s v="GNR_ENG_BGAS_BP_E-34"/>
    <x v="0"/>
    <x v="0"/>
    <n v="3.5024390243902399"/>
    <n v="1278.39024390244"/>
    <n v="4602.2048780487803"/>
  </r>
  <r>
    <x v="0"/>
    <x v="0"/>
    <x v="0"/>
    <x v="0"/>
    <x v="0"/>
    <s v="DK1_NoDH"/>
    <x v="0"/>
    <s v="GNR_ENG_BGAS_BP_E-34"/>
    <x v="0"/>
    <x v="1"/>
    <n v="3.5024390243902399"/>
    <n v="1278.39024390244"/>
    <n v="4602.2048780487803"/>
  </r>
  <r>
    <x v="0"/>
    <x v="0"/>
    <x v="0"/>
    <x v="0"/>
    <x v="0"/>
    <s v="DK1_NoDH"/>
    <x v="0"/>
    <s v="GNR_ENG_BGAS_BP_E-34"/>
    <x v="0"/>
    <x v="2"/>
    <n v="3.5024390243902399"/>
    <n v="1278.39024390244"/>
    <n v="4602.2048780487803"/>
  </r>
  <r>
    <x v="0"/>
    <x v="0"/>
    <x v="0"/>
    <x v="0"/>
    <x v="0"/>
    <s v="DK1_NoDH"/>
    <x v="0"/>
    <s v="GNR_ENG_BGAS_BP_E-34"/>
    <x v="0"/>
    <x v="3"/>
    <n v="3.5024390243902399"/>
    <n v="1278.39024390244"/>
    <n v="4602.2048780487803"/>
  </r>
  <r>
    <x v="0"/>
    <x v="0"/>
    <x v="0"/>
    <x v="0"/>
    <x v="0"/>
    <s v="DK1_NoDH"/>
    <x v="0"/>
    <s v="GNR_ENG_BGAS_BP_E-34"/>
    <x v="0"/>
    <x v="4"/>
    <n v="3.5024390243902399"/>
    <n v="1278.39024390244"/>
    <n v="4602.2048780487803"/>
  </r>
  <r>
    <x v="0"/>
    <x v="0"/>
    <x v="0"/>
    <x v="0"/>
    <x v="0"/>
    <s v="DK1_NoDH"/>
    <x v="0"/>
    <s v="GNR_ENG_BGAS_BP_E-34"/>
    <x v="0"/>
    <x v="5"/>
    <n v="3.5024390243902399"/>
    <n v="1278.39024390244"/>
    <n v="4602.2048780487803"/>
  </r>
  <r>
    <x v="0"/>
    <x v="0"/>
    <x v="0"/>
    <x v="0"/>
    <x v="0"/>
    <s v="DK1_NoDH"/>
    <x v="0"/>
    <s v="GNR_ENG_BGAS_BP_E-34"/>
    <x v="0"/>
    <x v="6"/>
    <n v="3.5024390243902399"/>
    <n v="1278.39024390244"/>
    <n v="4602.2048780487803"/>
  </r>
  <r>
    <x v="0"/>
    <x v="0"/>
    <x v="0"/>
    <x v="0"/>
    <x v="0"/>
    <s v="DK1_NoDH"/>
    <x v="0"/>
    <s v="GNR_ENG_BGAS_BP_E-34"/>
    <x v="0"/>
    <x v="7"/>
    <n v="3.5024390243902399"/>
    <n v="1278.39024390244"/>
    <n v="4602.2048780487803"/>
  </r>
  <r>
    <x v="0"/>
    <x v="0"/>
    <x v="0"/>
    <x v="0"/>
    <x v="0"/>
    <s v="DK1_NoDH"/>
    <x v="0"/>
    <s v="GNR_ENG_BGAS_BP_E-34"/>
    <x v="0"/>
    <x v="8"/>
    <n v="3.5024390243902399"/>
    <n v="1278.39024390244"/>
    <n v="4602.2048780487803"/>
  </r>
  <r>
    <x v="0"/>
    <x v="0"/>
    <x v="0"/>
    <x v="0"/>
    <x v="0"/>
    <s v="DK1_NoDH"/>
    <x v="0"/>
    <s v="GNR_ENG_BGAS_BP_E-34"/>
    <x v="0"/>
    <x v="9"/>
    <n v="3.5024390243902399"/>
    <n v="1278.39024390244"/>
    <n v="4602.2048780487803"/>
  </r>
  <r>
    <x v="0"/>
    <x v="0"/>
    <x v="0"/>
    <x v="0"/>
    <x v="0"/>
    <s v="DK1_NoDH"/>
    <x v="0"/>
    <s v="GNR_ENG_BGAS_BP_E-34"/>
    <x v="0"/>
    <x v="10"/>
    <n v="3.5024390243902399"/>
    <n v="1278.39024390244"/>
    <n v="4602.2048780487803"/>
  </r>
  <r>
    <x v="0"/>
    <x v="0"/>
    <x v="0"/>
    <x v="0"/>
    <x v="0"/>
    <s v="DK1_NoDH"/>
    <x v="0"/>
    <s v="GNR_ENG_BGAS_BP_E-34"/>
    <x v="0"/>
    <x v="11"/>
    <n v="3.5024390243902399"/>
    <n v="1278.39024390244"/>
    <n v="4602.2048780487803"/>
  </r>
  <r>
    <x v="0"/>
    <x v="0"/>
    <x v="0"/>
    <x v="0"/>
    <x v="0"/>
    <s v="DK1_NoDH"/>
    <x v="0"/>
    <s v="GNR_ENG_BGAS_BP_E-34"/>
    <x v="0"/>
    <x v="12"/>
    <n v="3.5024390243902399"/>
    <n v="1278.39024390244"/>
    <n v="4602.2048780487803"/>
  </r>
  <r>
    <x v="0"/>
    <x v="0"/>
    <x v="0"/>
    <x v="0"/>
    <x v="0"/>
    <s v="DK1_NoDH"/>
    <x v="0"/>
    <s v="GNR_ENG_BGAS_BP_E-34"/>
    <x v="0"/>
    <x v="13"/>
    <n v="3.5024390243902399"/>
    <n v="1278.39024390244"/>
    <n v="4602.2048780487803"/>
  </r>
  <r>
    <x v="0"/>
    <x v="0"/>
    <x v="0"/>
    <x v="0"/>
    <x v="0"/>
    <s v="DK1_NoDH"/>
    <x v="0"/>
    <s v="GNR_ENG_BGAS_BP_E-34"/>
    <x v="0"/>
    <x v="14"/>
    <n v="3.5024390243902399"/>
    <n v="1278.39024390244"/>
    <n v="4602.2048780487803"/>
  </r>
  <r>
    <x v="0"/>
    <x v="0"/>
    <x v="0"/>
    <x v="0"/>
    <x v="0"/>
    <s v="DK1_NoDH"/>
    <x v="0"/>
    <s v="GNR_ENG_BGAS_BP_E-34"/>
    <x v="0"/>
    <x v="15"/>
    <n v="3.5024390243902399"/>
    <n v="1278.39024390244"/>
    <n v="4602.2048780487803"/>
  </r>
  <r>
    <x v="0"/>
    <x v="0"/>
    <x v="0"/>
    <x v="0"/>
    <x v="0"/>
    <s v="DK1_NoDH"/>
    <x v="0"/>
    <s v="GNR_ENG_BGAS_BP_E-34"/>
    <x v="0"/>
    <x v="16"/>
    <n v="3.5024390243902399"/>
    <n v="1278.39024390244"/>
    <n v="4602.2048780487803"/>
  </r>
  <r>
    <x v="0"/>
    <x v="0"/>
    <x v="0"/>
    <x v="0"/>
    <x v="0"/>
    <s v="DK1_NoDH"/>
    <x v="0"/>
    <s v="GNR_ENG_BGAS_BP_E-34"/>
    <x v="0"/>
    <x v="17"/>
    <n v="3.5024390243902399"/>
    <n v="1278.39024390244"/>
    <n v="4602.2048780487803"/>
  </r>
  <r>
    <x v="0"/>
    <x v="0"/>
    <x v="0"/>
    <x v="0"/>
    <x v="0"/>
    <s v="DK1_NoDH"/>
    <x v="0"/>
    <s v="GNR_ENG_BGAS_BP_E-34"/>
    <x v="0"/>
    <x v="18"/>
    <n v="3.5024390243902399"/>
    <n v="1278.39024390244"/>
    <n v="4602.2048780487803"/>
  </r>
  <r>
    <x v="0"/>
    <x v="0"/>
    <x v="0"/>
    <x v="0"/>
    <x v="0"/>
    <s v="DK1_NoDH"/>
    <x v="0"/>
    <s v="GNR_ENG_BGAS_BP_E-34"/>
    <x v="0"/>
    <x v="19"/>
    <n v="3.5024390243902399"/>
    <n v="1278.39024390244"/>
    <n v="4602.2048780487803"/>
  </r>
  <r>
    <x v="0"/>
    <x v="0"/>
    <x v="0"/>
    <x v="0"/>
    <x v="0"/>
    <s v="DK1_NoDH"/>
    <x v="0"/>
    <s v="GNR_ENG_BGAS_BP_E-34"/>
    <x v="0"/>
    <x v="20"/>
    <n v="3.5024390243902399"/>
    <n v="1278.39024390244"/>
    <n v="4602.2048780487803"/>
  </r>
  <r>
    <x v="0"/>
    <x v="0"/>
    <x v="0"/>
    <x v="0"/>
    <x v="0"/>
    <s v="DK1_NoDH"/>
    <x v="0"/>
    <s v="GNR_ENG_BGAS_BP_E-34"/>
    <x v="0"/>
    <x v="21"/>
    <n v="3.5024390243902399"/>
    <n v="1278.39024390244"/>
    <n v="4602.2048780487803"/>
  </r>
  <r>
    <x v="0"/>
    <x v="0"/>
    <x v="0"/>
    <x v="0"/>
    <x v="0"/>
    <s v="DK1_NoDH"/>
    <x v="0"/>
    <s v="GNR_ENG_BGAS_BP_E-34"/>
    <x v="0"/>
    <x v="22"/>
    <n v="3.5024390243902399"/>
    <n v="1278.39024390244"/>
    <n v="4602.2048780487803"/>
  </r>
  <r>
    <x v="0"/>
    <x v="0"/>
    <x v="0"/>
    <x v="0"/>
    <x v="0"/>
    <s v="DK1_NoDH"/>
    <x v="0"/>
    <s v="GNR_ENG_BGAS_BP_E-34"/>
    <x v="0"/>
    <x v="23"/>
    <n v="3.5024390243902399"/>
    <n v="1278.39024390244"/>
    <n v="4602.2048780487803"/>
  </r>
  <r>
    <x v="0"/>
    <x v="0"/>
    <x v="0"/>
    <x v="0"/>
    <x v="0"/>
    <s v="DK1_NoDH"/>
    <x v="0"/>
    <s v="GNR_ENG_BGAS_BP_E-35"/>
    <x v="0"/>
    <x v="0"/>
    <n v="2.6707317073170702"/>
    <n v="974.81707317073199"/>
    <n v="3509.3414634146302"/>
  </r>
  <r>
    <x v="0"/>
    <x v="0"/>
    <x v="0"/>
    <x v="0"/>
    <x v="0"/>
    <s v="DK1_NoDH"/>
    <x v="0"/>
    <s v="GNR_ENG_BGAS_BP_E-35"/>
    <x v="0"/>
    <x v="1"/>
    <n v="2.6707317073170702"/>
    <n v="974.81707317073199"/>
    <n v="3509.3414634146302"/>
  </r>
  <r>
    <x v="0"/>
    <x v="0"/>
    <x v="0"/>
    <x v="0"/>
    <x v="0"/>
    <s v="DK1_NoDH"/>
    <x v="0"/>
    <s v="GNR_ENG_BGAS_BP_E-35"/>
    <x v="0"/>
    <x v="2"/>
    <n v="2.6707317073170702"/>
    <n v="974.81707317073199"/>
    <n v="3509.3414634146302"/>
  </r>
  <r>
    <x v="0"/>
    <x v="0"/>
    <x v="0"/>
    <x v="0"/>
    <x v="0"/>
    <s v="DK1_NoDH"/>
    <x v="0"/>
    <s v="GNR_ENG_BGAS_BP_E-35"/>
    <x v="0"/>
    <x v="3"/>
    <n v="2.6707317073170702"/>
    <n v="974.81707317073199"/>
    <n v="3509.3414634146302"/>
  </r>
  <r>
    <x v="0"/>
    <x v="0"/>
    <x v="0"/>
    <x v="0"/>
    <x v="0"/>
    <s v="DK1_NoDH"/>
    <x v="0"/>
    <s v="GNR_ENG_BGAS_BP_E-35"/>
    <x v="0"/>
    <x v="4"/>
    <n v="2.6707317073170702"/>
    <n v="974.81707317073199"/>
    <n v="3509.3414634146302"/>
  </r>
  <r>
    <x v="0"/>
    <x v="0"/>
    <x v="0"/>
    <x v="0"/>
    <x v="0"/>
    <s v="DK1_NoDH"/>
    <x v="0"/>
    <s v="GNR_ENG_BGAS_BP_E-35"/>
    <x v="0"/>
    <x v="5"/>
    <n v="2.6707317073170702"/>
    <n v="974.81707317073199"/>
    <n v="3509.3414634146302"/>
  </r>
  <r>
    <x v="0"/>
    <x v="0"/>
    <x v="0"/>
    <x v="0"/>
    <x v="0"/>
    <s v="DK1_NoDH"/>
    <x v="0"/>
    <s v="GNR_ENG_BGAS_BP_E-35"/>
    <x v="0"/>
    <x v="6"/>
    <n v="2.6707317073170702"/>
    <n v="974.81707317073199"/>
    <n v="3509.3414634146302"/>
  </r>
  <r>
    <x v="0"/>
    <x v="0"/>
    <x v="0"/>
    <x v="0"/>
    <x v="0"/>
    <s v="DK1_NoDH"/>
    <x v="0"/>
    <s v="GNR_ENG_BGAS_BP_E-35"/>
    <x v="0"/>
    <x v="7"/>
    <n v="2.6707317073170702"/>
    <n v="974.81707317073199"/>
    <n v="3509.3414634146302"/>
  </r>
  <r>
    <x v="0"/>
    <x v="0"/>
    <x v="0"/>
    <x v="0"/>
    <x v="0"/>
    <s v="DK1_NoDH"/>
    <x v="0"/>
    <s v="GNR_ENG_BGAS_BP_E-35"/>
    <x v="0"/>
    <x v="8"/>
    <n v="2.6707317073170702"/>
    <n v="974.81707317073199"/>
    <n v="3509.3414634146302"/>
  </r>
  <r>
    <x v="0"/>
    <x v="0"/>
    <x v="0"/>
    <x v="0"/>
    <x v="0"/>
    <s v="DK1_NoDH"/>
    <x v="0"/>
    <s v="GNR_ENG_BGAS_BP_E-35"/>
    <x v="0"/>
    <x v="9"/>
    <n v="2.6707317073170702"/>
    <n v="974.81707317073199"/>
    <n v="3509.3414634146302"/>
  </r>
  <r>
    <x v="0"/>
    <x v="0"/>
    <x v="0"/>
    <x v="0"/>
    <x v="0"/>
    <s v="DK1_NoDH"/>
    <x v="0"/>
    <s v="GNR_ENG_BGAS_BP_E-35"/>
    <x v="0"/>
    <x v="10"/>
    <n v="2.6707317073170702"/>
    <n v="974.81707317073199"/>
    <n v="3509.3414634146302"/>
  </r>
  <r>
    <x v="0"/>
    <x v="0"/>
    <x v="0"/>
    <x v="0"/>
    <x v="0"/>
    <s v="DK1_NoDH"/>
    <x v="0"/>
    <s v="GNR_ENG_BGAS_BP_E-35"/>
    <x v="0"/>
    <x v="11"/>
    <n v="2.6707317073170702"/>
    <n v="974.81707317073199"/>
    <n v="3509.3414634146302"/>
  </r>
  <r>
    <x v="0"/>
    <x v="0"/>
    <x v="0"/>
    <x v="0"/>
    <x v="0"/>
    <s v="DK1_NoDH"/>
    <x v="0"/>
    <s v="GNR_ENG_BGAS_BP_E-35"/>
    <x v="0"/>
    <x v="12"/>
    <n v="2.6707317073170702"/>
    <n v="974.81707317073199"/>
    <n v="3509.3414634146302"/>
  </r>
  <r>
    <x v="0"/>
    <x v="0"/>
    <x v="0"/>
    <x v="0"/>
    <x v="0"/>
    <s v="DK1_NoDH"/>
    <x v="0"/>
    <s v="GNR_ENG_BGAS_BP_E-35"/>
    <x v="0"/>
    <x v="13"/>
    <n v="2.6707317073170702"/>
    <n v="974.81707317073199"/>
    <n v="3509.3414634146302"/>
  </r>
  <r>
    <x v="0"/>
    <x v="0"/>
    <x v="0"/>
    <x v="0"/>
    <x v="0"/>
    <s v="DK1_NoDH"/>
    <x v="0"/>
    <s v="GNR_ENG_BGAS_BP_E-35"/>
    <x v="0"/>
    <x v="14"/>
    <n v="2.6707317073170702"/>
    <n v="974.81707317073199"/>
    <n v="3509.3414634146302"/>
  </r>
  <r>
    <x v="0"/>
    <x v="0"/>
    <x v="0"/>
    <x v="0"/>
    <x v="0"/>
    <s v="DK1_NoDH"/>
    <x v="0"/>
    <s v="GNR_ENG_BGAS_BP_E-35"/>
    <x v="0"/>
    <x v="15"/>
    <n v="2.6707317073170702"/>
    <n v="974.81707317073199"/>
    <n v="3509.3414634146302"/>
  </r>
  <r>
    <x v="0"/>
    <x v="0"/>
    <x v="0"/>
    <x v="0"/>
    <x v="0"/>
    <s v="DK1_NoDH"/>
    <x v="0"/>
    <s v="GNR_ENG_BGAS_BP_E-35"/>
    <x v="0"/>
    <x v="16"/>
    <n v="2.6707317073170702"/>
    <n v="974.81707317073199"/>
    <n v="3509.3414634146302"/>
  </r>
  <r>
    <x v="0"/>
    <x v="0"/>
    <x v="0"/>
    <x v="0"/>
    <x v="0"/>
    <s v="DK1_NoDH"/>
    <x v="0"/>
    <s v="GNR_ENG_BGAS_BP_E-35"/>
    <x v="0"/>
    <x v="17"/>
    <n v="2.6707317073170702"/>
    <n v="974.81707317073199"/>
    <n v="3509.3414634146302"/>
  </r>
  <r>
    <x v="0"/>
    <x v="0"/>
    <x v="0"/>
    <x v="0"/>
    <x v="0"/>
    <s v="DK1_NoDH"/>
    <x v="0"/>
    <s v="GNR_ENG_BGAS_BP_E-35"/>
    <x v="0"/>
    <x v="18"/>
    <n v="2.6707317073170702"/>
    <n v="974.81707317073199"/>
    <n v="3509.3414634146302"/>
  </r>
  <r>
    <x v="0"/>
    <x v="0"/>
    <x v="0"/>
    <x v="0"/>
    <x v="0"/>
    <s v="DK1_NoDH"/>
    <x v="0"/>
    <s v="GNR_ENG_BGAS_BP_E-35"/>
    <x v="0"/>
    <x v="19"/>
    <n v="2.6707317073170702"/>
    <n v="974.81707317073199"/>
    <n v="3509.3414634146302"/>
  </r>
  <r>
    <x v="0"/>
    <x v="0"/>
    <x v="0"/>
    <x v="0"/>
    <x v="0"/>
    <s v="DK1_NoDH"/>
    <x v="0"/>
    <s v="GNR_ENG_BGAS_BP_E-35"/>
    <x v="0"/>
    <x v="20"/>
    <n v="2.6707317073170702"/>
    <n v="974.81707317073199"/>
    <n v="3509.3414634146302"/>
  </r>
  <r>
    <x v="0"/>
    <x v="0"/>
    <x v="0"/>
    <x v="0"/>
    <x v="0"/>
    <s v="DK1_NoDH"/>
    <x v="0"/>
    <s v="GNR_ENG_BGAS_BP_E-35"/>
    <x v="0"/>
    <x v="21"/>
    <n v="2.6707317073170702"/>
    <n v="974.81707317073199"/>
    <n v="3509.3414634146302"/>
  </r>
  <r>
    <x v="0"/>
    <x v="0"/>
    <x v="0"/>
    <x v="0"/>
    <x v="0"/>
    <s v="DK1_NoDH"/>
    <x v="0"/>
    <s v="GNR_ENG_BGAS_BP_E-35"/>
    <x v="0"/>
    <x v="22"/>
    <n v="2.6707317073170702"/>
    <n v="974.81707317073199"/>
    <n v="3509.3414634146302"/>
  </r>
  <r>
    <x v="0"/>
    <x v="0"/>
    <x v="0"/>
    <x v="0"/>
    <x v="0"/>
    <s v="DK1_NoDH"/>
    <x v="0"/>
    <s v="GNR_ENG_BGAS_BP_E-35"/>
    <x v="0"/>
    <x v="23"/>
    <n v="2.6707317073170702"/>
    <n v="974.81707317073199"/>
    <n v="3509.3414634146302"/>
  </r>
  <r>
    <x v="0"/>
    <x v="0"/>
    <x v="0"/>
    <x v="0"/>
    <x v="0"/>
    <s v="DK1_NoDH"/>
    <x v="0"/>
    <s v="GNR_ENG_BGAS_BP_E-36"/>
    <x v="0"/>
    <x v="0"/>
    <n v="2.5365853658536599"/>
    <n v="925.85365853658504"/>
    <n v="3333.07317073171"/>
  </r>
  <r>
    <x v="0"/>
    <x v="0"/>
    <x v="0"/>
    <x v="0"/>
    <x v="0"/>
    <s v="DK1_NoDH"/>
    <x v="0"/>
    <s v="GNR_ENG_BGAS_BP_E-36"/>
    <x v="0"/>
    <x v="1"/>
    <n v="2.5365853658536599"/>
    <n v="925.85365853658504"/>
    <n v="3333.07317073171"/>
  </r>
  <r>
    <x v="0"/>
    <x v="0"/>
    <x v="0"/>
    <x v="0"/>
    <x v="0"/>
    <s v="DK1_NoDH"/>
    <x v="0"/>
    <s v="GNR_ENG_BGAS_BP_E-36"/>
    <x v="0"/>
    <x v="2"/>
    <n v="2.5365853658536599"/>
    <n v="925.85365853658504"/>
    <n v="3333.07317073171"/>
  </r>
  <r>
    <x v="0"/>
    <x v="0"/>
    <x v="0"/>
    <x v="0"/>
    <x v="0"/>
    <s v="DK1_NoDH"/>
    <x v="0"/>
    <s v="GNR_ENG_BGAS_BP_E-36"/>
    <x v="0"/>
    <x v="3"/>
    <n v="2.5365853658536599"/>
    <n v="925.85365853658504"/>
    <n v="3333.07317073171"/>
  </r>
  <r>
    <x v="0"/>
    <x v="0"/>
    <x v="0"/>
    <x v="0"/>
    <x v="0"/>
    <s v="DK1_NoDH"/>
    <x v="0"/>
    <s v="GNR_ENG_BGAS_BP_E-36"/>
    <x v="0"/>
    <x v="4"/>
    <n v="2.5365853658536599"/>
    <n v="925.85365853658504"/>
    <n v="3333.07317073171"/>
  </r>
  <r>
    <x v="0"/>
    <x v="0"/>
    <x v="0"/>
    <x v="0"/>
    <x v="0"/>
    <s v="DK1_NoDH"/>
    <x v="0"/>
    <s v="GNR_ENG_BGAS_BP_E-36"/>
    <x v="0"/>
    <x v="5"/>
    <n v="2.5365853658536599"/>
    <n v="925.85365853658504"/>
    <n v="3333.07317073171"/>
  </r>
  <r>
    <x v="0"/>
    <x v="0"/>
    <x v="0"/>
    <x v="0"/>
    <x v="0"/>
    <s v="DK1_NoDH"/>
    <x v="0"/>
    <s v="GNR_ENG_BGAS_BP_E-36"/>
    <x v="0"/>
    <x v="6"/>
    <n v="2.5365853658536599"/>
    <n v="925.85365853658504"/>
    <n v="3333.07317073171"/>
  </r>
  <r>
    <x v="0"/>
    <x v="0"/>
    <x v="0"/>
    <x v="0"/>
    <x v="0"/>
    <s v="DK1_NoDH"/>
    <x v="0"/>
    <s v="GNR_ENG_BGAS_BP_E-36"/>
    <x v="0"/>
    <x v="7"/>
    <n v="2.5365853658536599"/>
    <n v="925.85365853658504"/>
    <n v="3333.07317073171"/>
  </r>
  <r>
    <x v="0"/>
    <x v="0"/>
    <x v="0"/>
    <x v="0"/>
    <x v="0"/>
    <s v="DK1_NoDH"/>
    <x v="0"/>
    <s v="GNR_ENG_BGAS_BP_E-36"/>
    <x v="0"/>
    <x v="8"/>
    <n v="2.5365853658536599"/>
    <n v="925.85365853658504"/>
    <n v="3333.07317073171"/>
  </r>
  <r>
    <x v="0"/>
    <x v="0"/>
    <x v="0"/>
    <x v="0"/>
    <x v="0"/>
    <s v="DK1_NoDH"/>
    <x v="0"/>
    <s v="GNR_ENG_BGAS_BP_E-36"/>
    <x v="0"/>
    <x v="9"/>
    <n v="2.5365853658536599"/>
    <n v="925.85365853658504"/>
    <n v="3333.07317073171"/>
  </r>
  <r>
    <x v="0"/>
    <x v="0"/>
    <x v="0"/>
    <x v="0"/>
    <x v="0"/>
    <s v="DK1_NoDH"/>
    <x v="0"/>
    <s v="GNR_ENG_BGAS_BP_E-36"/>
    <x v="0"/>
    <x v="10"/>
    <n v="2.5365853658536599"/>
    <n v="925.85365853658504"/>
    <n v="3333.07317073171"/>
  </r>
  <r>
    <x v="0"/>
    <x v="0"/>
    <x v="0"/>
    <x v="0"/>
    <x v="0"/>
    <s v="DK1_NoDH"/>
    <x v="0"/>
    <s v="GNR_ENG_BGAS_BP_E-36"/>
    <x v="0"/>
    <x v="11"/>
    <n v="2.5365853658536599"/>
    <n v="925.85365853658504"/>
    <n v="3333.07317073171"/>
  </r>
  <r>
    <x v="0"/>
    <x v="0"/>
    <x v="0"/>
    <x v="0"/>
    <x v="0"/>
    <s v="DK1_NoDH"/>
    <x v="0"/>
    <s v="GNR_ENG_BGAS_BP_E-36"/>
    <x v="0"/>
    <x v="12"/>
    <n v="2.5365853658536599"/>
    <n v="925.85365853658504"/>
    <n v="3333.07317073171"/>
  </r>
  <r>
    <x v="0"/>
    <x v="0"/>
    <x v="0"/>
    <x v="0"/>
    <x v="0"/>
    <s v="DK1_NoDH"/>
    <x v="0"/>
    <s v="GNR_ENG_BGAS_BP_E-36"/>
    <x v="0"/>
    <x v="13"/>
    <n v="2.5365853658536599"/>
    <n v="925.85365853658504"/>
    <n v="3333.07317073171"/>
  </r>
  <r>
    <x v="0"/>
    <x v="0"/>
    <x v="0"/>
    <x v="0"/>
    <x v="0"/>
    <s v="DK1_NoDH"/>
    <x v="0"/>
    <s v="GNR_ENG_BGAS_BP_E-36"/>
    <x v="0"/>
    <x v="14"/>
    <n v="2.5365853658536599"/>
    <n v="925.85365853658504"/>
    <n v="3333.07317073171"/>
  </r>
  <r>
    <x v="0"/>
    <x v="0"/>
    <x v="0"/>
    <x v="0"/>
    <x v="0"/>
    <s v="DK1_NoDH"/>
    <x v="0"/>
    <s v="GNR_ENG_BGAS_BP_E-36"/>
    <x v="0"/>
    <x v="15"/>
    <n v="2.5365853658536599"/>
    <n v="925.85365853658504"/>
    <n v="3333.07317073171"/>
  </r>
  <r>
    <x v="0"/>
    <x v="0"/>
    <x v="0"/>
    <x v="0"/>
    <x v="0"/>
    <s v="DK1_NoDH"/>
    <x v="0"/>
    <s v="GNR_ENG_BGAS_BP_E-36"/>
    <x v="0"/>
    <x v="16"/>
    <n v="2.5365853658536599"/>
    <n v="925.85365853658504"/>
    <n v="3333.07317073171"/>
  </r>
  <r>
    <x v="0"/>
    <x v="0"/>
    <x v="0"/>
    <x v="0"/>
    <x v="0"/>
    <s v="DK1_NoDH"/>
    <x v="0"/>
    <s v="GNR_ENG_BGAS_BP_E-36"/>
    <x v="0"/>
    <x v="17"/>
    <n v="2.5365853658536599"/>
    <n v="925.85365853658504"/>
    <n v="3333.07317073171"/>
  </r>
  <r>
    <x v="0"/>
    <x v="0"/>
    <x v="0"/>
    <x v="0"/>
    <x v="0"/>
    <s v="DK1_NoDH"/>
    <x v="0"/>
    <s v="GNR_ENG_BGAS_BP_E-36"/>
    <x v="0"/>
    <x v="18"/>
    <n v="2.5365853658536599"/>
    <n v="925.85365853658504"/>
    <n v="3333.07317073171"/>
  </r>
  <r>
    <x v="0"/>
    <x v="0"/>
    <x v="0"/>
    <x v="0"/>
    <x v="0"/>
    <s v="DK1_NoDH"/>
    <x v="0"/>
    <s v="GNR_ENG_BGAS_BP_E-36"/>
    <x v="0"/>
    <x v="19"/>
    <n v="2.5365853658536599"/>
    <n v="925.85365853658504"/>
    <n v="3333.07317073171"/>
  </r>
  <r>
    <x v="0"/>
    <x v="0"/>
    <x v="0"/>
    <x v="0"/>
    <x v="0"/>
    <s v="DK1_NoDH"/>
    <x v="0"/>
    <s v="GNR_ENG_BGAS_BP_E-36"/>
    <x v="0"/>
    <x v="20"/>
    <n v="2.5365853658536599"/>
    <n v="925.85365853658504"/>
    <n v="3333.07317073171"/>
  </r>
  <r>
    <x v="0"/>
    <x v="0"/>
    <x v="0"/>
    <x v="0"/>
    <x v="0"/>
    <s v="DK1_NoDH"/>
    <x v="0"/>
    <s v="GNR_ENG_BGAS_BP_E-36"/>
    <x v="0"/>
    <x v="21"/>
    <n v="2.5365853658536599"/>
    <n v="925.85365853658504"/>
    <n v="3333.07317073171"/>
  </r>
  <r>
    <x v="0"/>
    <x v="0"/>
    <x v="0"/>
    <x v="0"/>
    <x v="0"/>
    <s v="DK1_NoDH"/>
    <x v="0"/>
    <s v="GNR_ENG_BGAS_BP_E-36"/>
    <x v="0"/>
    <x v="22"/>
    <n v="2.5365853658536599"/>
    <n v="925.85365853658504"/>
    <n v="3333.07317073171"/>
  </r>
  <r>
    <x v="0"/>
    <x v="0"/>
    <x v="0"/>
    <x v="0"/>
    <x v="0"/>
    <s v="DK1_NoDH"/>
    <x v="0"/>
    <s v="GNR_ENG_BGAS_BP_E-36"/>
    <x v="0"/>
    <x v="23"/>
    <n v="2.5365853658536599"/>
    <n v="925.85365853658504"/>
    <n v="3333.07317073171"/>
  </r>
  <r>
    <x v="0"/>
    <x v="0"/>
    <x v="0"/>
    <x v="0"/>
    <x v="0"/>
    <s v="DK1_NoDH"/>
    <x v="0"/>
    <s v="GNR_ENG_BGAS_BP_E-37"/>
    <x v="0"/>
    <x v="0"/>
    <n v="5.3060975609756103"/>
    <n v="1936.7256097561001"/>
    <n v="6972.2121951219497"/>
  </r>
  <r>
    <x v="0"/>
    <x v="0"/>
    <x v="0"/>
    <x v="0"/>
    <x v="0"/>
    <s v="DK1_NoDH"/>
    <x v="0"/>
    <s v="GNR_ENG_BGAS_BP_E-37"/>
    <x v="0"/>
    <x v="1"/>
    <n v="5.3060975609756103"/>
    <n v="1936.7256097561001"/>
    <n v="6972.2121951219497"/>
  </r>
  <r>
    <x v="0"/>
    <x v="0"/>
    <x v="0"/>
    <x v="0"/>
    <x v="0"/>
    <s v="DK1_NoDH"/>
    <x v="0"/>
    <s v="GNR_ENG_BGAS_BP_E-37"/>
    <x v="0"/>
    <x v="2"/>
    <n v="5.3060975609756103"/>
    <n v="1936.7256097561001"/>
    <n v="6972.2121951219497"/>
  </r>
  <r>
    <x v="0"/>
    <x v="0"/>
    <x v="0"/>
    <x v="0"/>
    <x v="0"/>
    <s v="DK1_NoDH"/>
    <x v="0"/>
    <s v="GNR_ENG_BGAS_BP_E-37"/>
    <x v="0"/>
    <x v="3"/>
    <n v="5.3060975609756103"/>
    <n v="1936.7256097561001"/>
    <n v="6972.2121951219497"/>
  </r>
  <r>
    <x v="0"/>
    <x v="0"/>
    <x v="0"/>
    <x v="0"/>
    <x v="0"/>
    <s v="DK1_NoDH"/>
    <x v="0"/>
    <s v="GNR_ENG_BGAS_BP_E-37"/>
    <x v="0"/>
    <x v="4"/>
    <n v="5.3060975609756103"/>
    <n v="1936.7256097561001"/>
    <n v="6972.2121951219497"/>
  </r>
  <r>
    <x v="0"/>
    <x v="0"/>
    <x v="0"/>
    <x v="0"/>
    <x v="0"/>
    <s v="DK1_NoDH"/>
    <x v="0"/>
    <s v="GNR_ENG_BGAS_BP_E-37"/>
    <x v="0"/>
    <x v="5"/>
    <n v="5.3060975609756103"/>
    <n v="1936.7256097561001"/>
    <n v="6972.2121951219497"/>
  </r>
  <r>
    <x v="0"/>
    <x v="0"/>
    <x v="0"/>
    <x v="0"/>
    <x v="0"/>
    <s v="DK1_NoDH"/>
    <x v="0"/>
    <s v="GNR_ENG_BGAS_BP_E-37"/>
    <x v="0"/>
    <x v="6"/>
    <n v="5.3060975609756103"/>
    <n v="1936.7256097561001"/>
    <n v="6972.2121951219497"/>
  </r>
  <r>
    <x v="0"/>
    <x v="0"/>
    <x v="0"/>
    <x v="0"/>
    <x v="0"/>
    <s v="DK1_NoDH"/>
    <x v="0"/>
    <s v="GNR_ENG_BGAS_BP_E-37"/>
    <x v="0"/>
    <x v="7"/>
    <n v="5.3060975609756103"/>
    <n v="1936.7256097561001"/>
    <n v="6972.2121951219497"/>
  </r>
  <r>
    <x v="0"/>
    <x v="0"/>
    <x v="0"/>
    <x v="0"/>
    <x v="0"/>
    <s v="DK1_NoDH"/>
    <x v="0"/>
    <s v="GNR_ENG_BGAS_BP_E-37"/>
    <x v="0"/>
    <x v="8"/>
    <n v="5.3060975609756103"/>
    <n v="1936.7256097561001"/>
    <n v="6972.2121951219497"/>
  </r>
  <r>
    <x v="0"/>
    <x v="0"/>
    <x v="0"/>
    <x v="0"/>
    <x v="0"/>
    <s v="DK1_NoDH"/>
    <x v="0"/>
    <s v="GNR_ENG_BGAS_BP_E-37"/>
    <x v="0"/>
    <x v="9"/>
    <n v="5.3060975609756103"/>
    <n v="1936.7256097561001"/>
    <n v="6972.2121951219497"/>
  </r>
  <r>
    <x v="0"/>
    <x v="0"/>
    <x v="0"/>
    <x v="0"/>
    <x v="0"/>
    <s v="DK1_NoDH"/>
    <x v="0"/>
    <s v="GNR_ENG_BGAS_BP_E-37"/>
    <x v="0"/>
    <x v="10"/>
    <n v="5.3060975609756103"/>
    <n v="1936.7256097561001"/>
    <n v="6972.2121951219497"/>
  </r>
  <r>
    <x v="0"/>
    <x v="0"/>
    <x v="0"/>
    <x v="0"/>
    <x v="0"/>
    <s v="DK1_NoDH"/>
    <x v="0"/>
    <s v="GNR_ENG_BGAS_BP_E-37"/>
    <x v="0"/>
    <x v="11"/>
    <n v="5.3060975609756103"/>
    <n v="1936.7256097561001"/>
    <n v="6972.2121951219497"/>
  </r>
  <r>
    <x v="0"/>
    <x v="0"/>
    <x v="0"/>
    <x v="0"/>
    <x v="0"/>
    <s v="DK1_NoDH"/>
    <x v="0"/>
    <s v="GNR_ENG_BGAS_BP_E-37"/>
    <x v="0"/>
    <x v="12"/>
    <n v="5.3060975609756103"/>
    <n v="1936.7256097561001"/>
    <n v="6972.2121951219497"/>
  </r>
  <r>
    <x v="0"/>
    <x v="0"/>
    <x v="0"/>
    <x v="0"/>
    <x v="0"/>
    <s v="DK1_NoDH"/>
    <x v="0"/>
    <s v="GNR_ENG_BGAS_BP_E-37"/>
    <x v="0"/>
    <x v="13"/>
    <n v="5.3060975609756103"/>
    <n v="1936.7256097561001"/>
    <n v="6972.2121951219497"/>
  </r>
  <r>
    <x v="0"/>
    <x v="0"/>
    <x v="0"/>
    <x v="0"/>
    <x v="0"/>
    <s v="DK1_NoDH"/>
    <x v="0"/>
    <s v="GNR_ENG_BGAS_BP_E-37"/>
    <x v="0"/>
    <x v="14"/>
    <n v="5.3060975609756103"/>
    <n v="1936.7256097561001"/>
    <n v="6972.2121951219497"/>
  </r>
  <r>
    <x v="0"/>
    <x v="0"/>
    <x v="0"/>
    <x v="0"/>
    <x v="0"/>
    <s v="DK1_NoDH"/>
    <x v="0"/>
    <s v="GNR_ENG_BGAS_BP_E-37"/>
    <x v="0"/>
    <x v="15"/>
    <n v="5.3060975609756103"/>
    <n v="1936.7256097561001"/>
    <n v="6972.2121951219497"/>
  </r>
  <r>
    <x v="0"/>
    <x v="0"/>
    <x v="0"/>
    <x v="0"/>
    <x v="0"/>
    <s v="DK1_NoDH"/>
    <x v="0"/>
    <s v="GNR_ENG_BGAS_BP_E-37"/>
    <x v="0"/>
    <x v="16"/>
    <n v="5.3060975609756103"/>
    <n v="1936.7256097561001"/>
    <n v="6972.2121951219497"/>
  </r>
  <r>
    <x v="0"/>
    <x v="0"/>
    <x v="0"/>
    <x v="0"/>
    <x v="0"/>
    <s v="DK1_NoDH"/>
    <x v="0"/>
    <s v="GNR_ENG_BGAS_BP_E-37"/>
    <x v="0"/>
    <x v="17"/>
    <n v="5.3060975609756103"/>
    <n v="1936.7256097561001"/>
    <n v="6972.2121951219497"/>
  </r>
  <r>
    <x v="0"/>
    <x v="0"/>
    <x v="0"/>
    <x v="0"/>
    <x v="0"/>
    <s v="DK1_NoDH"/>
    <x v="0"/>
    <s v="GNR_ENG_BGAS_BP_E-37"/>
    <x v="0"/>
    <x v="18"/>
    <n v="5.3060975609756103"/>
    <n v="1936.7256097561001"/>
    <n v="6972.2121951219497"/>
  </r>
  <r>
    <x v="0"/>
    <x v="0"/>
    <x v="0"/>
    <x v="0"/>
    <x v="0"/>
    <s v="DK1_NoDH"/>
    <x v="0"/>
    <s v="GNR_ENG_BGAS_BP_E-37"/>
    <x v="0"/>
    <x v="19"/>
    <n v="5.3060975609756103"/>
    <n v="1936.7256097561001"/>
    <n v="6972.2121951219497"/>
  </r>
  <r>
    <x v="0"/>
    <x v="0"/>
    <x v="0"/>
    <x v="0"/>
    <x v="0"/>
    <s v="DK1_NoDH"/>
    <x v="0"/>
    <s v="GNR_ENG_BGAS_BP_E-37"/>
    <x v="0"/>
    <x v="20"/>
    <n v="5.3060975609756103"/>
    <n v="1936.7256097561001"/>
    <n v="6972.2121951219497"/>
  </r>
  <r>
    <x v="0"/>
    <x v="0"/>
    <x v="0"/>
    <x v="0"/>
    <x v="0"/>
    <s v="DK1_NoDH"/>
    <x v="0"/>
    <s v="GNR_ENG_BGAS_BP_E-37"/>
    <x v="0"/>
    <x v="21"/>
    <n v="5.3060975609756103"/>
    <n v="1936.7256097561001"/>
    <n v="6972.2121951219497"/>
  </r>
  <r>
    <x v="0"/>
    <x v="0"/>
    <x v="0"/>
    <x v="0"/>
    <x v="0"/>
    <s v="DK1_NoDH"/>
    <x v="0"/>
    <s v="GNR_ENG_BGAS_BP_E-37"/>
    <x v="0"/>
    <x v="22"/>
    <n v="5.3060975609756103"/>
    <n v="1936.7256097561001"/>
    <n v="6972.2121951219497"/>
  </r>
  <r>
    <x v="0"/>
    <x v="0"/>
    <x v="0"/>
    <x v="0"/>
    <x v="0"/>
    <s v="DK1_NoDH"/>
    <x v="0"/>
    <s v="GNR_ENG_BGAS_BP_E-37"/>
    <x v="0"/>
    <x v="23"/>
    <n v="5.3060975609756103"/>
    <n v="1936.7256097561001"/>
    <n v="6972.2121951219497"/>
  </r>
  <r>
    <x v="0"/>
    <x v="0"/>
    <x v="0"/>
    <x v="0"/>
    <x v="0"/>
    <s v="DK1_NoDH"/>
    <x v="0"/>
    <s v="GNR_ENG_BGAS_BP_E-38"/>
    <x v="0"/>
    <x v="0"/>
    <n v="0.23170731707317099"/>
    <n v="84.573170731707293"/>
    <n v="304.46341463414598"/>
  </r>
  <r>
    <x v="0"/>
    <x v="0"/>
    <x v="0"/>
    <x v="0"/>
    <x v="0"/>
    <s v="DK1_NoDH"/>
    <x v="0"/>
    <s v="GNR_ENG_BGAS_BP_E-38"/>
    <x v="0"/>
    <x v="1"/>
    <n v="0.23170731707317099"/>
    <n v="84.573170731707293"/>
    <n v="304.46341463414598"/>
  </r>
  <r>
    <x v="0"/>
    <x v="0"/>
    <x v="0"/>
    <x v="0"/>
    <x v="0"/>
    <s v="DK1_NoDH"/>
    <x v="0"/>
    <s v="GNR_ENG_BGAS_BP_E-38"/>
    <x v="0"/>
    <x v="2"/>
    <n v="0.23170731707317099"/>
    <n v="84.573170731707293"/>
    <n v="304.46341463414598"/>
  </r>
  <r>
    <x v="0"/>
    <x v="0"/>
    <x v="0"/>
    <x v="0"/>
    <x v="0"/>
    <s v="DK1_NoDH"/>
    <x v="0"/>
    <s v="GNR_ENG_BGAS_BP_E-38"/>
    <x v="0"/>
    <x v="3"/>
    <n v="0.23170731707317099"/>
    <n v="84.573170731707293"/>
    <n v="304.46341463414598"/>
  </r>
  <r>
    <x v="0"/>
    <x v="0"/>
    <x v="0"/>
    <x v="0"/>
    <x v="0"/>
    <s v="DK1_NoDH"/>
    <x v="0"/>
    <s v="GNR_ENG_BGAS_BP_E-38"/>
    <x v="0"/>
    <x v="4"/>
    <n v="0.23170731707317099"/>
    <n v="84.573170731707293"/>
    <n v="304.46341463414598"/>
  </r>
  <r>
    <x v="0"/>
    <x v="0"/>
    <x v="0"/>
    <x v="0"/>
    <x v="0"/>
    <s v="DK1_NoDH"/>
    <x v="0"/>
    <s v="GNR_ENG_BGAS_BP_E-38"/>
    <x v="0"/>
    <x v="5"/>
    <n v="0.23170731707317099"/>
    <n v="84.573170731707293"/>
    <n v="304.46341463414598"/>
  </r>
  <r>
    <x v="0"/>
    <x v="0"/>
    <x v="0"/>
    <x v="0"/>
    <x v="0"/>
    <s v="DK1_NoDH"/>
    <x v="0"/>
    <s v="GNR_ENG_BGAS_BP_E-38"/>
    <x v="0"/>
    <x v="6"/>
    <n v="0.23170731707317099"/>
    <n v="84.573170731707293"/>
    <n v="304.46341463414598"/>
  </r>
  <r>
    <x v="0"/>
    <x v="0"/>
    <x v="0"/>
    <x v="0"/>
    <x v="0"/>
    <s v="DK1_NoDH"/>
    <x v="0"/>
    <s v="GNR_ENG_BGAS_BP_E-38"/>
    <x v="0"/>
    <x v="7"/>
    <n v="0.23170731707317099"/>
    <n v="84.573170731707293"/>
    <n v="304.46341463414598"/>
  </r>
  <r>
    <x v="0"/>
    <x v="0"/>
    <x v="0"/>
    <x v="0"/>
    <x v="0"/>
    <s v="DK1_NoDH"/>
    <x v="0"/>
    <s v="GNR_ENG_BGAS_BP_E-38"/>
    <x v="0"/>
    <x v="8"/>
    <n v="0.23170731707317099"/>
    <n v="84.573170731707293"/>
    <n v="304.46341463414598"/>
  </r>
  <r>
    <x v="0"/>
    <x v="0"/>
    <x v="0"/>
    <x v="0"/>
    <x v="0"/>
    <s v="DK1_NoDH"/>
    <x v="0"/>
    <s v="GNR_ENG_BGAS_BP_E-38"/>
    <x v="0"/>
    <x v="9"/>
    <n v="0.23170731707317099"/>
    <n v="84.573170731707293"/>
    <n v="304.46341463414598"/>
  </r>
  <r>
    <x v="0"/>
    <x v="0"/>
    <x v="0"/>
    <x v="0"/>
    <x v="0"/>
    <s v="DK1_NoDH"/>
    <x v="0"/>
    <s v="GNR_ENG_BGAS_BP_E-38"/>
    <x v="0"/>
    <x v="10"/>
    <n v="0.23170731707317099"/>
    <n v="84.573170731707293"/>
    <n v="304.46341463414598"/>
  </r>
  <r>
    <x v="0"/>
    <x v="0"/>
    <x v="0"/>
    <x v="0"/>
    <x v="0"/>
    <s v="DK1_NoDH"/>
    <x v="0"/>
    <s v="GNR_ENG_BGAS_BP_E-38"/>
    <x v="0"/>
    <x v="11"/>
    <n v="0.23170731707317099"/>
    <n v="84.573170731707293"/>
    <n v="304.46341463414598"/>
  </r>
  <r>
    <x v="0"/>
    <x v="0"/>
    <x v="0"/>
    <x v="0"/>
    <x v="0"/>
    <s v="DK1_NoDH"/>
    <x v="0"/>
    <s v="GNR_ENG_BGAS_BP_E-38"/>
    <x v="0"/>
    <x v="12"/>
    <n v="0.23170731707317099"/>
    <n v="84.573170731707293"/>
    <n v="304.46341463414598"/>
  </r>
  <r>
    <x v="0"/>
    <x v="0"/>
    <x v="0"/>
    <x v="0"/>
    <x v="0"/>
    <s v="DK1_NoDH"/>
    <x v="0"/>
    <s v="GNR_ENG_BGAS_BP_E-38"/>
    <x v="0"/>
    <x v="13"/>
    <n v="0.23170731707317099"/>
    <n v="84.573170731707293"/>
    <n v="304.46341463414598"/>
  </r>
  <r>
    <x v="0"/>
    <x v="0"/>
    <x v="0"/>
    <x v="0"/>
    <x v="0"/>
    <s v="DK1_NoDH"/>
    <x v="0"/>
    <s v="GNR_ENG_BGAS_BP_E-38"/>
    <x v="0"/>
    <x v="14"/>
    <n v="0.23170731707317099"/>
    <n v="84.573170731707293"/>
    <n v="304.46341463414598"/>
  </r>
  <r>
    <x v="0"/>
    <x v="0"/>
    <x v="0"/>
    <x v="0"/>
    <x v="0"/>
    <s v="DK1_NoDH"/>
    <x v="0"/>
    <s v="GNR_ENG_BGAS_BP_E-38"/>
    <x v="0"/>
    <x v="15"/>
    <n v="0.23170731707317099"/>
    <n v="84.573170731707293"/>
    <n v="304.46341463414598"/>
  </r>
  <r>
    <x v="0"/>
    <x v="0"/>
    <x v="0"/>
    <x v="0"/>
    <x v="0"/>
    <s v="DK1_NoDH"/>
    <x v="0"/>
    <s v="GNR_ENG_BGAS_BP_E-38"/>
    <x v="0"/>
    <x v="16"/>
    <n v="0.23170731707317099"/>
    <n v="84.573170731707293"/>
    <n v="304.46341463414598"/>
  </r>
  <r>
    <x v="0"/>
    <x v="0"/>
    <x v="0"/>
    <x v="0"/>
    <x v="0"/>
    <s v="DK1_NoDH"/>
    <x v="0"/>
    <s v="GNR_ENG_BGAS_BP_E-38"/>
    <x v="0"/>
    <x v="17"/>
    <n v="0.23170731707317099"/>
    <n v="84.573170731707293"/>
    <n v="304.46341463414598"/>
  </r>
  <r>
    <x v="0"/>
    <x v="0"/>
    <x v="0"/>
    <x v="0"/>
    <x v="0"/>
    <s v="DK1_NoDH"/>
    <x v="0"/>
    <s v="GNR_ENG_BGAS_BP_E-38"/>
    <x v="0"/>
    <x v="18"/>
    <n v="0.23170731707317099"/>
    <n v="84.573170731707293"/>
    <n v="304.46341463414598"/>
  </r>
  <r>
    <x v="0"/>
    <x v="0"/>
    <x v="0"/>
    <x v="0"/>
    <x v="0"/>
    <s v="DK1_NoDH"/>
    <x v="0"/>
    <s v="GNR_ENG_BGAS_BP_E-38"/>
    <x v="0"/>
    <x v="19"/>
    <n v="0.23170731707317099"/>
    <n v="84.573170731707293"/>
    <n v="304.46341463414598"/>
  </r>
  <r>
    <x v="0"/>
    <x v="0"/>
    <x v="0"/>
    <x v="0"/>
    <x v="0"/>
    <s v="DK1_NoDH"/>
    <x v="0"/>
    <s v="GNR_ENG_BGAS_BP_E-38"/>
    <x v="0"/>
    <x v="20"/>
    <n v="0.23170731707317099"/>
    <n v="84.573170731707293"/>
    <n v="304.46341463414598"/>
  </r>
  <r>
    <x v="0"/>
    <x v="0"/>
    <x v="0"/>
    <x v="0"/>
    <x v="0"/>
    <s v="DK1_NoDH"/>
    <x v="0"/>
    <s v="GNR_ENG_BGAS_BP_E-38"/>
    <x v="0"/>
    <x v="21"/>
    <n v="0.23170731707317099"/>
    <n v="84.573170731707293"/>
    <n v="304.46341463414598"/>
  </r>
  <r>
    <x v="0"/>
    <x v="0"/>
    <x v="0"/>
    <x v="0"/>
    <x v="0"/>
    <s v="DK1_NoDH"/>
    <x v="0"/>
    <s v="GNR_ENG_BGAS_BP_E-38"/>
    <x v="0"/>
    <x v="22"/>
    <n v="0.23170731707317099"/>
    <n v="84.573170731707293"/>
    <n v="304.46341463414598"/>
  </r>
  <r>
    <x v="0"/>
    <x v="0"/>
    <x v="0"/>
    <x v="0"/>
    <x v="0"/>
    <s v="DK1_NoDH"/>
    <x v="0"/>
    <s v="GNR_ENG_BGAS_BP_E-38"/>
    <x v="0"/>
    <x v="23"/>
    <n v="0.23170731707317099"/>
    <n v="84.573170731707293"/>
    <n v="304.46341463414598"/>
  </r>
  <r>
    <x v="0"/>
    <x v="0"/>
    <x v="0"/>
    <x v="0"/>
    <x v="0"/>
    <s v="DK1_NoDH"/>
    <x v="0"/>
    <s v="GNR_ENG_BGAS_BP_E-39"/>
    <x v="0"/>
    <x v="0"/>
    <n v="1.41463414634146"/>
    <n v="516.34146341463395"/>
    <n v="1858.8292682926799"/>
  </r>
  <r>
    <x v="0"/>
    <x v="0"/>
    <x v="0"/>
    <x v="0"/>
    <x v="0"/>
    <s v="DK1_NoDH"/>
    <x v="0"/>
    <s v="GNR_ENG_BGAS_BP_E-39"/>
    <x v="0"/>
    <x v="1"/>
    <n v="1.41463414634146"/>
    <n v="516.34146341463395"/>
    <n v="1858.8292682926799"/>
  </r>
  <r>
    <x v="0"/>
    <x v="0"/>
    <x v="0"/>
    <x v="0"/>
    <x v="0"/>
    <s v="DK1_NoDH"/>
    <x v="0"/>
    <s v="GNR_ENG_BGAS_BP_E-39"/>
    <x v="0"/>
    <x v="2"/>
    <n v="1.41463414634146"/>
    <n v="516.34146341463395"/>
    <n v="1858.8292682926799"/>
  </r>
  <r>
    <x v="0"/>
    <x v="0"/>
    <x v="0"/>
    <x v="0"/>
    <x v="0"/>
    <s v="DK1_NoDH"/>
    <x v="0"/>
    <s v="GNR_ENG_BGAS_BP_E-39"/>
    <x v="0"/>
    <x v="3"/>
    <n v="1.41463414634146"/>
    <n v="516.34146341463395"/>
    <n v="1858.8292682926799"/>
  </r>
  <r>
    <x v="0"/>
    <x v="0"/>
    <x v="0"/>
    <x v="0"/>
    <x v="0"/>
    <s v="DK1_NoDH"/>
    <x v="0"/>
    <s v="GNR_ENG_BGAS_BP_E-39"/>
    <x v="0"/>
    <x v="4"/>
    <n v="1.41463414634146"/>
    <n v="516.34146341463395"/>
    <n v="1858.8292682926799"/>
  </r>
  <r>
    <x v="0"/>
    <x v="0"/>
    <x v="0"/>
    <x v="0"/>
    <x v="0"/>
    <s v="DK1_NoDH"/>
    <x v="0"/>
    <s v="GNR_ENG_BGAS_BP_E-39"/>
    <x v="0"/>
    <x v="5"/>
    <n v="1.41463414634146"/>
    <n v="516.34146341463395"/>
    <n v="1858.8292682926799"/>
  </r>
  <r>
    <x v="0"/>
    <x v="0"/>
    <x v="0"/>
    <x v="0"/>
    <x v="0"/>
    <s v="DK1_NoDH"/>
    <x v="0"/>
    <s v="GNR_ENG_BGAS_BP_E-39"/>
    <x v="0"/>
    <x v="6"/>
    <n v="1.41463414634146"/>
    <n v="516.34146341463395"/>
    <n v="1858.8292682926799"/>
  </r>
  <r>
    <x v="0"/>
    <x v="0"/>
    <x v="0"/>
    <x v="0"/>
    <x v="0"/>
    <s v="DK1_NoDH"/>
    <x v="0"/>
    <s v="GNR_ENG_BGAS_BP_E-39"/>
    <x v="0"/>
    <x v="7"/>
    <n v="1.41463414634146"/>
    <n v="516.34146341463395"/>
    <n v="1858.8292682926799"/>
  </r>
  <r>
    <x v="0"/>
    <x v="0"/>
    <x v="0"/>
    <x v="0"/>
    <x v="0"/>
    <s v="DK1_NoDH"/>
    <x v="0"/>
    <s v="GNR_ENG_BGAS_BP_E-39"/>
    <x v="0"/>
    <x v="8"/>
    <n v="1.41463414634146"/>
    <n v="516.34146341463395"/>
    <n v="1858.8292682926799"/>
  </r>
  <r>
    <x v="0"/>
    <x v="0"/>
    <x v="0"/>
    <x v="0"/>
    <x v="0"/>
    <s v="DK1_NoDH"/>
    <x v="0"/>
    <s v="GNR_ENG_BGAS_BP_E-39"/>
    <x v="0"/>
    <x v="9"/>
    <n v="1.41463414634146"/>
    <n v="516.34146341463395"/>
    <n v="1858.8292682926799"/>
  </r>
  <r>
    <x v="0"/>
    <x v="0"/>
    <x v="0"/>
    <x v="0"/>
    <x v="0"/>
    <s v="DK1_NoDH"/>
    <x v="0"/>
    <s v="GNR_ENG_BGAS_BP_E-39"/>
    <x v="0"/>
    <x v="10"/>
    <n v="1.41463414634146"/>
    <n v="516.34146341463395"/>
    <n v="1858.8292682926799"/>
  </r>
  <r>
    <x v="0"/>
    <x v="0"/>
    <x v="0"/>
    <x v="0"/>
    <x v="0"/>
    <s v="DK1_NoDH"/>
    <x v="0"/>
    <s v="GNR_ENG_BGAS_BP_E-39"/>
    <x v="0"/>
    <x v="11"/>
    <n v="1.41463414634146"/>
    <n v="516.34146341463395"/>
    <n v="1858.8292682926799"/>
  </r>
  <r>
    <x v="0"/>
    <x v="0"/>
    <x v="0"/>
    <x v="0"/>
    <x v="0"/>
    <s v="DK1_NoDH"/>
    <x v="0"/>
    <s v="GNR_ENG_BGAS_BP_E-39"/>
    <x v="0"/>
    <x v="12"/>
    <n v="1.41463414634146"/>
    <n v="516.34146341463395"/>
    <n v="1858.8292682926799"/>
  </r>
  <r>
    <x v="0"/>
    <x v="0"/>
    <x v="0"/>
    <x v="0"/>
    <x v="0"/>
    <s v="DK1_NoDH"/>
    <x v="0"/>
    <s v="GNR_ENG_BGAS_BP_E-39"/>
    <x v="0"/>
    <x v="13"/>
    <n v="1.41463414634146"/>
    <n v="516.34146341463395"/>
    <n v="1858.8292682926799"/>
  </r>
  <r>
    <x v="0"/>
    <x v="0"/>
    <x v="0"/>
    <x v="0"/>
    <x v="0"/>
    <s v="DK1_NoDH"/>
    <x v="0"/>
    <s v="GNR_ENG_BGAS_BP_E-39"/>
    <x v="0"/>
    <x v="14"/>
    <n v="1.41463414634146"/>
    <n v="516.34146341463395"/>
    <n v="1858.8292682926799"/>
  </r>
  <r>
    <x v="0"/>
    <x v="0"/>
    <x v="0"/>
    <x v="0"/>
    <x v="0"/>
    <s v="DK1_NoDH"/>
    <x v="0"/>
    <s v="GNR_ENG_BGAS_BP_E-39"/>
    <x v="0"/>
    <x v="15"/>
    <n v="1.41463414634146"/>
    <n v="516.34146341463395"/>
    <n v="1858.8292682926799"/>
  </r>
  <r>
    <x v="0"/>
    <x v="0"/>
    <x v="0"/>
    <x v="0"/>
    <x v="0"/>
    <s v="DK1_NoDH"/>
    <x v="0"/>
    <s v="GNR_ENG_BGAS_BP_E-39"/>
    <x v="0"/>
    <x v="16"/>
    <n v="1.41463414634146"/>
    <n v="516.34146341463395"/>
    <n v="1858.8292682926799"/>
  </r>
  <r>
    <x v="0"/>
    <x v="0"/>
    <x v="0"/>
    <x v="0"/>
    <x v="0"/>
    <s v="DK1_NoDH"/>
    <x v="0"/>
    <s v="GNR_ENG_BGAS_BP_E-39"/>
    <x v="0"/>
    <x v="17"/>
    <n v="1.41463414634146"/>
    <n v="516.34146341463395"/>
    <n v="1858.8292682926799"/>
  </r>
  <r>
    <x v="0"/>
    <x v="0"/>
    <x v="0"/>
    <x v="0"/>
    <x v="0"/>
    <s v="DK1_NoDH"/>
    <x v="0"/>
    <s v="GNR_ENG_BGAS_BP_E-39"/>
    <x v="0"/>
    <x v="18"/>
    <n v="1.41463414634146"/>
    <n v="516.34146341463395"/>
    <n v="1858.8292682926799"/>
  </r>
  <r>
    <x v="0"/>
    <x v="0"/>
    <x v="0"/>
    <x v="0"/>
    <x v="0"/>
    <s v="DK1_NoDH"/>
    <x v="0"/>
    <s v="GNR_ENG_BGAS_BP_E-39"/>
    <x v="0"/>
    <x v="19"/>
    <n v="1.41463414634146"/>
    <n v="516.34146341463395"/>
    <n v="1858.8292682926799"/>
  </r>
  <r>
    <x v="0"/>
    <x v="0"/>
    <x v="0"/>
    <x v="0"/>
    <x v="0"/>
    <s v="DK1_NoDH"/>
    <x v="0"/>
    <s v="GNR_ENG_BGAS_BP_E-39"/>
    <x v="0"/>
    <x v="20"/>
    <n v="1.41463414634146"/>
    <n v="516.34146341463395"/>
    <n v="1858.8292682926799"/>
  </r>
  <r>
    <x v="0"/>
    <x v="0"/>
    <x v="0"/>
    <x v="0"/>
    <x v="0"/>
    <s v="DK1_NoDH"/>
    <x v="0"/>
    <s v="GNR_ENG_BGAS_BP_E-39"/>
    <x v="0"/>
    <x v="21"/>
    <n v="1.41463414634146"/>
    <n v="516.34146341463395"/>
    <n v="1858.8292682926799"/>
  </r>
  <r>
    <x v="0"/>
    <x v="0"/>
    <x v="0"/>
    <x v="0"/>
    <x v="0"/>
    <s v="DK1_NoDH"/>
    <x v="0"/>
    <s v="GNR_ENG_BGAS_BP_E-39"/>
    <x v="0"/>
    <x v="22"/>
    <n v="1.41463414634146"/>
    <n v="516.34146341463395"/>
    <n v="1858.8292682926799"/>
  </r>
  <r>
    <x v="0"/>
    <x v="0"/>
    <x v="0"/>
    <x v="0"/>
    <x v="0"/>
    <s v="DK1_NoDH"/>
    <x v="0"/>
    <s v="GNR_ENG_BGAS_BP_E-39"/>
    <x v="0"/>
    <x v="23"/>
    <n v="1.41463414634146"/>
    <n v="516.34146341463395"/>
    <n v="1858.8292682926799"/>
  </r>
  <r>
    <x v="0"/>
    <x v="0"/>
    <x v="0"/>
    <x v="0"/>
    <x v="0"/>
    <s v="DK1_NoDH"/>
    <x v="0"/>
    <s v="GNR_ENG_BGAS_BP_E-40"/>
    <x v="0"/>
    <x v="0"/>
    <n v="3.1707317073170702"/>
    <n v="1157.3170731707301"/>
    <n v="4166.3414634146302"/>
  </r>
  <r>
    <x v="0"/>
    <x v="0"/>
    <x v="0"/>
    <x v="0"/>
    <x v="0"/>
    <s v="DK1_NoDH"/>
    <x v="0"/>
    <s v="GNR_ENG_BGAS_BP_E-40"/>
    <x v="0"/>
    <x v="1"/>
    <n v="3.1707317073170702"/>
    <n v="1157.3170731707301"/>
    <n v="4166.3414634146302"/>
  </r>
  <r>
    <x v="0"/>
    <x v="0"/>
    <x v="0"/>
    <x v="0"/>
    <x v="0"/>
    <s v="DK1_NoDH"/>
    <x v="0"/>
    <s v="GNR_ENG_BGAS_BP_E-40"/>
    <x v="0"/>
    <x v="2"/>
    <n v="3.1707317073170702"/>
    <n v="1157.3170731707301"/>
    <n v="4166.3414634146302"/>
  </r>
  <r>
    <x v="0"/>
    <x v="0"/>
    <x v="0"/>
    <x v="0"/>
    <x v="0"/>
    <s v="DK1_NoDH"/>
    <x v="0"/>
    <s v="GNR_ENG_BGAS_BP_E-40"/>
    <x v="0"/>
    <x v="3"/>
    <n v="3.1707317073170702"/>
    <n v="1157.3170731707301"/>
    <n v="4166.3414634146302"/>
  </r>
  <r>
    <x v="0"/>
    <x v="0"/>
    <x v="0"/>
    <x v="0"/>
    <x v="0"/>
    <s v="DK1_NoDH"/>
    <x v="0"/>
    <s v="GNR_ENG_BGAS_BP_E-40"/>
    <x v="0"/>
    <x v="4"/>
    <n v="3.1707317073170702"/>
    <n v="1157.3170731707301"/>
    <n v="4166.3414634146302"/>
  </r>
  <r>
    <x v="0"/>
    <x v="0"/>
    <x v="0"/>
    <x v="0"/>
    <x v="0"/>
    <s v="DK1_NoDH"/>
    <x v="0"/>
    <s v="GNR_ENG_BGAS_BP_E-40"/>
    <x v="0"/>
    <x v="5"/>
    <n v="3.1707317073170702"/>
    <n v="1157.3170731707301"/>
    <n v="4166.3414634146302"/>
  </r>
  <r>
    <x v="0"/>
    <x v="0"/>
    <x v="0"/>
    <x v="0"/>
    <x v="0"/>
    <s v="DK1_NoDH"/>
    <x v="0"/>
    <s v="GNR_ENG_BGAS_BP_E-40"/>
    <x v="0"/>
    <x v="6"/>
    <n v="3.1707317073170702"/>
    <n v="1157.3170731707301"/>
    <n v="4166.3414634146302"/>
  </r>
  <r>
    <x v="0"/>
    <x v="0"/>
    <x v="0"/>
    <x v="0"/>
    <x v="0"/>
    <s v="DK1_NoDH"/>
    <x v="0"/>
    <s v="GNR_ENG_BGAS_BP_E-40"/>
    <x v="0"/>
    <x v="7"/>
    <n v="3.1707317073170702"/>
    <n v="1157.3170731707301"/>
    <n v="4166.3414634146302"/>
  </r>
  <r>
    <x v="0"/>
    <x v="0"/>
    <x v="0"/>
    <x v="0"/>
    <x v="0"/>
    <s v="DK1_NoDH"/>
    <x v="0"/>
    <s v="GNR_ENG_BGAS_BP_E-40"/>
    <x v="0"/>
    <x v="8"/>
    <n v="3.1707317073170702"/>
    <n v="1157.3170731707301"/>
    <n v="4166.3414634146302"/>
  </r>
  <r>
    <x v="0"/>
    <x v="0"/>
    <x v="0"/>
    <x v="0"/>
    <x v="0"/>
    <s v="DK1_NoDH"/>
    <x v="0"/>
    <s v="GNR_ENG_BGAS_BP_E-40"/>
    <x v="0"/>
    <x v="9"/>
    <n v="3.1707317073170702"/>
    <n v="1157.3170731707301"/>
    <n v="4166.3414634146302"/>
  </r>
  <r>
    <x v="0"/>
    <x v="0"/>
    <x v="0"/>
    <x v="0"/>
    <x v="0"/>
    <s v="DK1_NoDH"/>
    <x v="0"/>
    <s v="GNR_ENG_BGAS_BP_E-40"/>
    <x v="0"/>
    <x v="10"/>
    <n v="3.1707317073170702"/>
    <n v="1157.3170731707301"/>
    <n v="4166.3414634146302"/>
  </r>
  <r>
    <x v="0"/>
    <x v="0"/>
    <x v="0"/>
    <x v="0"/>
    <x v="0"/>
    <s v="DK1_NoDH"/>
    <x v="0"/>
    <s v="GNR_ENG_BGAS_BP_E-40"/>
    <x v="0"/>
    <x v="11"/>
    <n v="3.1707317073170702"/>
    <n v="1157.3170731707301"/>
    <n v="4166.3414634146302"/>
  </r>
  <r>
    <x v="0"/>
    <x v="0"/>
    <x v="0"/>
    <x v="0"/>
    <x v="0"/>
    <s v="DK1_NoDH"/>
    <x v="0"/>
    <s v="GNR_ENG_BGAS_BP_E-40"/>
    <x v="0"/>
    <x v="12"/>
    <n v="3.1707317073170702"/>
    <n v="1157.3170731707301"/>
    <n v="4166.3414634146302"/>
  </r>
  <r>
    <x v="0"/>
    <x v="0"/>
    <x v="0"/>
    <x v="0"/>
    <x v="0"/>
    <s v="DK1_NoDH"/>
    <x v="0"/>
    <s v="GNR_ENG_BGAS_BP_E-40"/>
    <x v="0"/>
    <x v="13"/>
    <n v="3.1707317073170702"/>
    <n v="1157.3170731707301"/>
    <n v="4166.3414634146302"/>
  </r>
  <r>
    <x v="0"/>
    <x v="0"/>
    <x v="0"/>
    <x v="0"/>
    <x v="0"/>
    <s v="DK1_NoDH"/>
    <x v="0"/>
    <s v="GNR_ENG_BGAS_BP_E-40"/>
    <x v="0"/>
    <x v="14"/>
    <n v="3.1707317073170702"/>
    <n v="1157.3170731707301"/>
    <n v="4166.3414634146302"/>
  </r>
  <r>
    <x v="0"/>
    <x v="0"/>
    <x v="0"/>
    <x v="0"/>
    <x v="0"/>
    <s v="DK1_NoDH"/>
    <x v="0"/>
    <s v="GNR_ENG_BGAS_BP_E-40"/>
    <x v="0"/>
    <x v="15"/>
    <n v="3.1707317073170702"/>
    <n v="1157.3170731707301"/>
    <n v="4166.3414634146302"/>
  </r>
  <r>
    <x v="0"/>
    <x v="0"/>
    <x v="0"/>
    <x v="0"/>
    <x v="0"/>
    <s v="DK1_NoDH"/>
    <x v="0"/>
    <s v="GNR_ENG_BGAS_BP_E-40"/>
    <x v="0"/>
    <x v="16"/>
    <n v="3.1707317073170702"/>
    <n v="1157.3170731707301"/>
    <n v="4166.3414634146302"/>
  </r>
  <r>
    <x v="0"/>
    <x v="0"/>
    <x v="0"/>
    <x v="0"/>
    <x v="0"/>
    <s v="DK1_NoDH"/>
    <x v="0"/>
    <s v="GNR_ENG_BGAS_BP_E-40"/>
    <x v="0"/>
    <x v="17"/>
    <n v="3.1707317073170702"/>
    <n v="1157.3170731707301"/>
    <n v="4166.3414634146302"/>
  </r>
  <r>
    <x v="0"/>
    <x v="0"/>
    <x v="0"/>
    <x v="0"/>
    <x v="0"/>
    <s v="DK1_NoDH"/>
    <x v="0"/>
    <s v="GNR_ENG_BGAS_BP_E-40"/>
    <x v="0"/>
    <x v="18"/>
    <n v="3.1707317073170702"/>
    <n v="1157.3170731707301"/>
    <n v="4166.3414634146302"/>
  </r>
  <r>
    <x v="0"/>
    <x v="0"/>
    <x v="0"/>
    <x v="0"/>
    <x v="0"/>
    <s v="DK1_NoDH"/>
    <x v="0"/>
    <s v="GNR_ENG_BGAS_BP_E-40"/>
    <x v="0"/>
    <x v="19"/>
    <n v="3.1707317073170702"/>
    <n v="1157.3170731707301"/>
    <n v="4166.3414634146302"/>
  </r>
  <r>
    <x v="0"/>
    <x v="0"/>
    <x v="0"/>
    <x v="0"/>
    <x v="0"/>
    <s v="DK1_NoDH"/>
    <x v="0"/>
    <s v="GNR_ENG_BGAS_BP_E-40"/>
    <x v="0"/>
    <x v="20"/>
    <n v="3.1707317073170702"/>
    <n v="1157.3170731707301"/>
    <n v="4166.3414634146302"/>
  </r>
  <r>
    <x v="0"/>
    <x v="0"/>
    <x v="0"/>
    <x v="0"/>
    <x v="0"/>
    <s v="DK1_NoDH"/>
    <x v="0"/>
    <s v="GNR_ENG_BGAS_BP_E-40"/>
    <x v="0"/>
    <x v="21"/>
    <n v="3.1707317073170702"/>
    <n v="1157.3170731707301"/>
    <n v="4166.3414634146302"/>
  </r>
  <r>
    <x v="0"/>
    <x v="0"/>
    <x v="0"/>
    <x v="0"/>
    <x v="0"/>
    <s v="DK1_NoDH"/>
    <x v="0"/>
    <s v="GNR_ENG_BGAS_BP_E-40"/>
    <x v="0"/>
    <x v="22"/>
    <n v="3.1707317073170702"/>
    <n v="1157.3170731707301"/>
    <n v="4166.3414634146302"/>
  </r>
  <r>
    <x v="0"/>
    <x v="0"/>
    <x v="0"/>
    <x v="0"/>
    <x v="0"/>
    <s v="DK1_NoDH"/>
    <x v="0"/>
    <s v="GNR_ENG_BGAS_BP_E-40"/>
    <x v="0"/>
    <x v="23"/>
    <n v="3.1707317073170702"/>
    <n v="1157.3170731707301"/>
    <n v="4166.3414634146302"/>
  </r>
  <r>
    <x v="0"/>
    <x v="0"/>
    <x v="0"/>
    <x v="0"/>
    <x v="0"/>
    <s v="DK1_NoDH"/>
    <x v="0"/>
    <s v="GNR_ENG_BGAS_BP_E-42"/>
    <x v="0"/>
    <x v="0"/>
    <n v="1.7073170731707299"/>
    <n v="623.17073170731703"/>
    <n v="2243.4146341463402"/>
  </r>
  <r>
    <x v="0"/>
    <x v="0"/>
    <x v="0"/>
    <x v="0"/>
    <x v="0"/>
    <s v="DK1_NoDH"/>
    <x v="0"/>
    <s v="GNR_ENG_BGAS_BP_E-42"/>
    <x v="0"/>
    <x v="1"/>
    <n v="1.7073170731707299"/>
    <n v="623.17073170731703"/>
    <n v="2243.4146341463402"/>
  </r>
  <r>
    <x v="0"/>
    <x v="0"/>
    <x v="0"/>
    <x v="0"/>
    <x v="0"/>
    <s v="DK1_NoDH"/>
    <x v="0"/>
    <s v="GNR_ENG_BGAS_BP_E-42"/>
    <x v="0"/>
    <x v="2"/>
    <n v="1.7073170731707299"/>
    <n v="623.17073170731703"/>
    <n v="2243.4146341463402"/>
  </r>
  <r>
    <x v="0"/>
    <x v="0"/>
    <x v="0"/>
    <x v="0"/>
    <x v="0"/>
    <s v="DK1_NoDH"/>
    <x v="0"/>
    <s v="GNR_ENG_BGAS_BP_E-42"/>
    <x v="0"/>
    <x v="3"/>
    <n v="1.7073170731707299"/>
    <n v="623.17073170731703"/>
    <n v="2243.4146341463402"/>
  </r>
  <r>
    <x v="0"/>
    <x v="0"/>
    <x v="0"/>
    <x v="0"/>
    <x v="0"/>
    <s v="DK1_NoDH"/>
    <x v="0"/>
    <s v="GNR_ENG_BGAS_BP_E-42"/>
    <x v="0"/>
    <x v="4"/>
    <n v="1.7073170731707299"/>
    <n v="623.17073170731703"/>
    <n v="2243.4146341463402"/>
  </r>
  <r>
    <x v="0"/>
    <x v="0"/>
    <x v="0"/>
    <x v="0"/>
    <x v="0"/>
    <s v="DK1_NoDH"/>
    <x v="0"/>
    <s v="GNR_ENG_BGAS_BP_E-42"/>
    <x v="0"/>
    <x v="5"/>
    <n v="1.7073170731707299"/>
    <n v="623.17073170731703"/>
    <n v="2243.4146341463402"/>
  </r>
  <r>
    <x v="0"/>
    <x v="0"/>
    <x v="0"/>
    <x v="0"/>
    <x v="0"/>
    <s v="DK1_NoDH"/>
    <x v="0"/>
    <s v="GNR_ENG_BGAS_BP_E-42"/>
    <x v="0"/>
    <x v="6"/>
    <n v="1.7073170731707299"/>
    <n v="623.17073170731703"/>
    <n v="2243.4146341463402"/>
  </r>
  <r>
    <x v="0"/>
    <x v="0"/>
    <x v="0"/>
    <x v="0"/>
    <x v="0"/>
    <s v="DK1_NoDH"/>
    <x v="0"/>
    <s v="GNR_ENG_BGAS_BP_E-42"/>
    <x v="0"/>
    <x v="7"/>
    <n v="1.7073170731707299"/>
    <n v="623.17073170731703"/>
    <n v="2243.4146341463402"/>
  </r>
  <r>
    <x v="0"/>
    <x v="0"/>
    <x v="0"/>
    <x v="0"/>
    <x v="0"/>
    <s v="DK1_NoDH"/>
    <x v="0"/>
    <s v="GNR_ENG_BGAS_BP_E-42"/>
    <x v="0"/>
    <x v="8"/>
    <n v="1.7073170731707299"/>
    <n v="623.17073170731703"/>
    <n v="2243.4146341463402"/>
  </r>
  <r>
    <x v="0"/>
    <x v="0"/>
    <x v="0"/>
    <x v="0"/>
    <x v="0"/>
    <s v="DK1_NoDH"/>
    <x v="0"/>
    <s v="GNR_ENG_BGAS_BP_E-42"/>
    <x v="0"/>
    <x v="9"/>
    <n v="1.7073170731707299"/>
    <n v="623.17073170731703"/>
    <n v="2243.4146341463402"/>
  </r>
  <r>
    <x v="0"/>
    <x v="0"/>
    <x v="0"/>
    <x v="0"/>
    <x v="0"/>
    <s v="DK1_NoDH"/>
    <x v="0"/>
    <s v="GNR_ENG_BGAS_BP_E-42"/>
    <x v="0"/>
    <x v="10"/>
    <n v="1.7073170731707299"/>
    <n v="623.17073170731703"/>
    <n v="2243.4146341463402"/>
  </r>
  <r>
    <x v="0"/>
    <x v="0"/>
    <x v="0"/>
    <x v="0"/>
    <x v="0"/>
    <s v="DK1_NoDH"/>
    <x v="0"/>
    <s v="GNR_ENG_BGAS_BP_E-42"/>
    <x v="0"/>
    <x v="11"/>
    <n v="1.7073170731707299"/>
    <n v="623.17073170731703"/>
    <n v="2243.4146341463402"/>
  </r>
  <r>
    <x v="0"/>
    <x v="0"/>
    <x v="0"/>
    <x v="0"/>
    <x v="0"/>
    <s v="DK1_NoDH"/>
    <x v="0"/>
    <s v="GNR_ENG_BGAS_BP_E-42"/>
    <x v="0"/>
    <x v="12"/>
    <n v="1.7073170731707299"/>
    <n v="623.17073170731703"/>
    <n v="2243.4146341463402"/>
  </r>
  <r>
    <x v="0"/>
    <x v="0"/>
    <x v="0"/>
    <x v="0"/>
    <x v="0"/>
    <s v="DK1_NoDH"/>
    <x v="0"/>
    <s v="GNR_ENG_BGAS_BP_E-42"/>
    <x v="0"/>
    <x v="13"/>
    <n v="1.7073170731707299"/>
    <n v="623.17073170731703"/>
    <n v="2243.4146341463402"/>
  </r>
  <r>
    <x v="0"/>
    <x v="0"/>
    <x v="0"/>
    <x v="0"/>
    <x v="0"/>
    <s v="DK1_NoDH"/>
    <x v="0"/>
    <s v="GNR_ENG_BGAS_BP_E-42"/>
    <x v="0"/>
    <x v="14"/>
    <n v="1.7073170731707299"/>
    <n v="623.17073170731703"/>
    <n v="2243.4146341463402"/>
  </r>
  <r>
    <x v="0"/>
    <x v="0"/>
    <x v="0"/>
    <x v="0"/>
    <x v="0"/>
    <s v="DK1_NoDH"/>
    <x v="0"/>
    <s v="GNR_ENG_BGAS_BP_E-42"/>
    <x v="0"/>
    <x v="15"/>
    <n v="1.7073170731707299"/>
    <n v="623.17073170731703"/>
    <n v="2243.4146341463402"/>
  </r>
  <r>
    <x v="0"/>
    <x v="0"/>
    <x v="0"/>
    <x v="0"/>
    <x v="0"/>
    <s v="DK1_NoDH"/>
    <x v="0"/>
    <s v="GNR_ENG_BGAS_BP_E-42"/>
    <x v="0"/>
    <x v="16"/>
    <n v="1.7073170731707299"/>
    <n v="623.17073170731703"/>
    <n v="2243.4146341463402"/>
  </r>
  <r>
    <x v="0"/>
    <x v="0"/>
    <x v="0"/>
    <x v="0"/>
    <x v="0"/>
    <s v="DK1_NoDH"/>
    <x v="0"/>
    <s v="GNR_ENG_BGAS_BP_E-42"/>
    <x v="0"/>
    <x v="17"/>
    <n v="1.7073170731707299"/>
    <n v="623.17073170731703"/>
    <n v="2243.4146341463402"/>
  </r>
  <r>
    <x v="0"/>
    <x v="0"/>
    <x v="0"/>
    <x v="0"/>
    <x v="0"/>
    <s v="DK1_NoDH"/>
    <x v="0"/>
    <s v="GNR_ENG_BGAS_BP_E-42"/>
    <x v="0"/>
    <x v="18"/>
    <n v="1.7073170731707299"/>
    <n v="623.17073170731703"/>
    <n v="2243.4146341463402"/>
  </r>
  <r>
    <x v="0"/>
    <x v="0"/>
    <x v="0"/>
    <x v="0"/>
    <x v="0"/>
    <s v="DK1_NoDH"/>
    <x v="0"/>
    <s v="GNR_ENG_BGAS_BP_E-42"/>
    <x v="0"/>
    <x v="19"/>
    <n v="1.7073170731707299"/>
    <n v="623.17073170731703"/>
    <n v="2243.4146341463402"/>
  </r>
  <r>
    <x v="0"/>
    <x v="0"/>
    <x v="0"/>
    <x v="0"/>
    <x v="0"/>
    <s v="DK1_NoDH"/>
    <x v="0"/>
    <s v="GNR_ENG_BGAS_BP_E-42"/>
    <x v="0"/>
    <x v="20"/>
    <n v="1.7073170731707299"/>
    <n v="623.17073170731703"/>
    <n v="2243.4146341463402"/>
  </r>
  <r>
    <x v="0"/>
    <x v="0"/>
    <x v="0"/>
    <x v="0"/>
    <x v="0"/>
    <s v="DK1_NoDH"/>
    <x v="0"/>
    <s v="GNR_ENG_BGAS_BP_E-42"/>
    <x v="0"/>
    <x v="21"/>
    <n v="1.7073170731707299"/>
    <n v="623.17073170731703"/>
    <n v="2243.4146341463402"/>
  </r>
  <r>
    <x v="0"/>
    <x v="0"/>
    <x v="0"/>
    <x v="0"/>
    <x v="0"/>
    <s v="DK1_NoDH"/>
    <x v="0"/>
    <s v="GNR_ENG_BGAS_BP_E-42"/>
    <x v="0"/>
    <x v="22"/>
    <n v="1.7073170731707299"/>
    <n v="623.17073170731703"/>
    <n v="2243.4146341463402"/>
  </r>
  <r>
    <x v="0"/>
    <x v="0"/>
    <x v="0"/>
    <x v="0"/>
    <x v="0"/>
    <s v="DK1_NoDH"/>
    <x v="0"/>
    <s v="GNR_ENG_BGAS_BP_E-42"/>
    <x v="0"/>
    <x v="23"/>
    <n v="1.7073170731707299"/>
    <n v="623.17073170731703"/>
    <n v="2243.4146341463402"/>
  </r>
  <r>
    <x v="0"/>
    <x v="0"/>
    <x v="0"/>
    <x v="0"/>
    <x v="0"/>
    <s v="DK1_NoDH"/>
    <x v="0"/>
    <s v="GNR_ENG_BGAS_BP_E-43"/>
    <x v="0"/>
    <x v="0"/>
    <n v="7.3170731707317103"/>
    <n v="2670.7317073170698"/>
    <n v="9614.6341463414592"/>
  </r>
  <r>
    <x v="0"/>
    <x v="0"/>
    <x v="0"/>
    <x v="0"/>
    <x v="0"/>
    <s v="DK1_NoDH"/>
    <x v="0"/>
    <s v="GNR_ENG_BGAS_BP_E-43"/>
    <x v="0"/>
    <x v="1"/>
    <n v="7.3170731707317103"/>
    <n v="2670.7317073170698"/>
    <n v="9614.6341463414592"/>
  </r>
  <r>
    <x v="0"/>
    <x v="0"/>
    <x v="0"/>
    <x v="0"/>
    <x v="0"/>
    <s v="DK1_NoDH"/>
    <x v="0"/>
    <s v="GNR_ENG_BGAS_BP_E-43"/>
    <x v="0"/>
    <x v="2"/>
    <n v="7.3170731707317103"/>
    <n v="2670.7317073170698"/>
    <n v="9614.6341463414592"/>
  </r>
  <r>
    <x v="0"/>
    <x v="0"/>
    <x v="0"/>
    <x v="0"/>
    <x v="0"/>
    <s v="DK1_NoDH"/>
    <x v="0"/>
    <s v="GNR_ENG_BGAS_BP_E-43"/>
    <x v="0"/>
    <x v="3"/>
    <n v="7.3170731707317103"/>
    <n v="2670.7317073170698"/>
    <n v="9614.6341463414592"/>
  </r>
  <r>
    <x v="0"/>
    <x v="0"/>
    <x v="0"/>
    <x v="0"/>
    <x v="0"/>
    <s v="DK1_NoDH"/>
    <x v="0"/>
    <s v="GNR_ENG_BGAS_BP_E-43"/>
    <x v="0"/>
    <x v="4"/>
    <n v="7.3170731707317103"/>
    <n v="2670.7317073170698"/>
    <n v="9614.6341463414592"/>
  </r>
  <r>
    <x v="0"/>
    <x v="0"/>
    <x v="0"/>
    <x v="0"/>
    <x v="0"/>
    <s v="DK1_NoDH"/>
    <x v="0"/>
    <s v="GNR_ENG_BGAS_BP_E-43"/>
    <x v="0"/>
    <x v="5"/>
    <n v="7.3170731707317103"/>
    <n v="2670.7317073170698"/>
    <n v="9614.6341463414592"/>
  </r>
  <r>
    <x v="0"/>
    <x v="0"/>
    <x v="0"/>
    <x v="0"/>
    <x v="0"/>
    <s v="DK1_NoDH"/>
    <x v="0"/>
    <s v="GNR_ENG_BGAS_BP_E-43"/>
    <x v="0"/>
    <x v="6"/>
    <n v="7.3170731707317103"/>
    <n v="2670.7317073170698"/>
    <n v="9614.6341463414592"/>
  </r>
  <r>
    <x v="0"/>
    <x v="0"/>
    <x v="0"/>
    <x v="0"/>
    <x v="0"/>
    <s v="DK1_NoDH"/>
    <x v="0"/>
    <s v="GNR_ENG_BGAS_BP_E-43"/>
    <x v="0"/>
    <x v="7"/>
    <n v="7.3170731707317103"/>
    <n v="2670.7317073170698"/>
    <n v="9614.6341463414592"/>
  </r>
  <r>
    <x v="0"/>
    <x v="0"/>
    <x v="0"/>
    <x v="0"/>
    <x v="0"/>
    <s v="DK1_NoDH"/>
    <x v="0"/>
    <s v="GNR_ENG_BGAS_BP_E-43"/>
    <x v="0"/>
    <x v="8"/>
    <n v="7.3170731707317103"/>
    <n v="2670.7317073170698"/>
    <n v="9614.6341463414592"/>
  </r>
  <r>
    <x v="0"/>
    <x v="0"/>
    <x v="0"/>
    <x v="0"/>
    <x v="0"/>
    <s v="DK1_NoDH"/>
    <x v="0"/>
    <s v="GNR_ENG_BGAS_BP_E-43"/>
    <x v="0"/>
    <x v="9"/>
    <n v="7.3170731707317103"/>
    <n v="2670.7317073170698"/>
    <n v="9614.6341463414592"/>
  </r>
  <r>
    <x v="0"/>
    <x v="0"/>
    <x v="0"/>
    <x v="0"/>
    <x v="0"/>
    <s v="DK1_NoDH"/>
    <x v="0"/>
    <s v="GNR_ENG_BGAS_BP_E-43"/>
    <x v="0"/>
    <x v="10"/>
    <n v="7.3170731707317103"/>
    <n v="2670.7317073170698"/>
    <n v="9614.6341463414592"/>
  </r>
  <r>
    <x v="0"/>
    <x v="0"/>
    <x v="0"/>
    <x v="0"/>
    <x v="0"/>
    <s v="DK1_NoDH"/>
    <x v="0"/>
    <s v="GNR_ENG_BGAS_BP_E-43"/>
    <x v="0"/>
    <x v="11"/>
    <n v="7.3170731707317103"/>
    <n v="2670.7317073170698"/>
    <n v="9614.6341463414592"/>
  </r>
  <r>
    <x v="0"/>
    <x v="0"/>
    <x v="0"/>
    <x v="0"/>
    <x v="0"/>
    <s v="DK1_NoDH"/>
    <x v="0"/>
    <s v="GNR_ENG_BGAS_BP_E-43"/>
    <x v="0"/>
    <x v="12"/>
    <n v="7.3170731707317103"/>
    <n v="2670.7317073170698"/>
    <n v="9614.6341463414592"/>
  </r>
  <r>
    <x v="0"/>
    <x v="0"/>
    <x v="0"/>
    <x v="0"/>
    <x v="0"/>
    <s v="DK1_NoDH"/>
    <x v="0"/>
    <s v="GNR_ENG_BGAS_BP_E-43"/>
    <x v="0"/>
    <x v="13"/>
    <n v="7.3170731707317103"/>
    <n v="2670.7317073170698"/>
    <n v="9614.6341463414592"/>
  </r>
  <r>
    <x v="0"/>
    <x v="0"/>
    <x v="0"/>
    <x v="0"/>
    <x v="0"/>
    <s v="DK1_NoDH"/>
    <x v="0"/>
    <s v="GNR_ENG_BGAS_BP_E-43"/>
    <x v="0"/>
    <x v="14"/>
    <n v="7.3170731707317103"/>
    <n v="2670.7317073170698"/>
    <n v="9614.6341463414592"/>
  </r>
  <r>
    <x v="0"/>
    <x v="0"/>
    <x v="0"/>
    <x v="0"/>
    <x v="0"/>
    <s v="DK1_NoDH"/>
    <x v="0"/>
    <s v="GNR_ENG_BGAS_BP_E-43"/>
    <x v="0"/>
    <x v="15"/>
    <n v="7.3170731707317103"/>
    <n v="2670.7317073170698"/>
    <n v="9614.6341463414592"/>
  </r>
  <r>
    <x v="0"/>
    <x v="0"/>
    <x v="0"/>
    <x v="0"/>
    <x v="0"/>
    <s v="DK1_NoDH"/>
    <x v="0"/>
    <s v="GNR_ENG_BGAS_BP_E-43"/>
    <x v="0"/>
    <x v="16"/>
    <n v="7.3170731707317103"/>
    <n v="2670.7317073170698"/>
    <n v="9614.6341463414592"/>
  </r>
  <r>
    <x v="0"/>
    <x v="0"/>
    <x v="0"/>
    <x v="0"/>
    <x v="0"/>
    <s v="DK1_NoDH"/>
    <x v="0"/>
    <s v="GNR_ENG_BGAS_BP_E-43"/>
    <x v="0"/>
    <x v="17"/>
    <n v="7.3170731707317103"/>
    <n v="2670.7317073170698"/>
    <n v="9614.6341463414592"/>
  </r>
  <r>
    <x v="0"/>
    <x v="0"/>
    <x v="0"/>
    <x v="0"/>
    <x v="0"/>
    <s v="DK1_NoDH"/>
    <x v="0"/>
    <s v="GNR_ENG_BGAS_BP_E-43"/>
    <x v="0"/>
    <x v="18"/>
    <n v="7.3170731707317103"/>
    <n v="2670.7317073170698"/>
    <n v="9614.6341463414592"/>
  </r>
  <r>
    <x v="0"/>
    <x v="0"/>
    <x v="0"/>
    <x v="0"/>
    <x v="0"/>
    <s v="DK1_NoDH"/>
    <x v="0"/>
    <s v="GNR_ENG_BGAS_BP_E-43"/>
    <x v="0"/>
    <x v="19"/>
    <n v="7.3170731707317103"/>
    <n v="2670.7317073170698"/>
    <n v="9614.6341463414592"/>
  </r>
  <r>
    <x v="0"/>
    <x v="0"/>
    <x v="0"/>
    <x v="0"/>
    <x v="0"/>
    <s v="DK1_NoDH"/>
    <x v="0"/>
    <s v="GNR_ENG_BGAS_BP_E-43"/>
    <x v="0"/>
    <x v="20"/>
    <n v="7.3170731707317103"/>
    <n v="2670.7317073170698"/>
    <n v="9614.6341463414592"/>
  </r>
  <r>
    <x v="0"/>
    <x v="0"/>
    <x v="0"/>
    <x v="0"/>
    <x v="0"/>
    <s v="DK1_NoDH"/>
    <x v="0"/>
    <s v="GNR_ENG_BGAS_BP_E-43"/>
    <x v="0"/>
    <x v="21"/>
    <n v="7.3170731707317103"/>
    <n v="2670.7317073170698"/>
    <n v="9614.6341463414592"/>
  </r>
  <r>
    <x v="0"/>
    <x v="0"/>
    <x v="0"/>
    <x v="0"/>
    <x v="0"/>
    <s v="DK1_NoDH"/>
    <x v="0"/>
    <s v="GNR_ENG_BGAS_BP_E-43"/>
    <x v="0"/>
    <x v="22"/>
    <n v="7.3170731707317103"/>
    <n v="2670.7317073170698"/>
    <n v="9614.6341463414592"/>
  </r>
  <r>
    <x v="0"/>
    <x v="0"/>
    <x v="0"/>
    <x v="0"/>
    <x v="0"/>
    <s v="DK1_NoDH"/>
    <x v="0"/>
    <s v="GNR_ENG_BGAS_BP_E-43"/>
    <x v="0"/>
    <x v="23"/>
    <n v="7.3170731707317103"/>
    <n v="2670.7317073170698"/>
    <n v="9614.6341463414592"/>
  </r>
  <r>
    <x v="0"/>
    <x v="0"/>
    <x v="0"/>
    <x v="0"/>
    <x v="0"/>
    <s v="DK1_Rural"/>
    <x v="0"/>
    <s v="GNR_ENG_BGAS_BP_E-30"/>
    <x v="0"/>
    <x v="0"/>
    <n v="7.3170731707317103"/>
    <n v="2670.7317073170698"/>
    <n v="9614.6341463414592"/>
  </r>
  <r>
    <x v="0"/>
    <x v="0"/>
    <x v="0"/>
    <x v="0"/>
    <x v="0"/>
    <s v="DK1_Rural"/>
    <x v="0"/>
    <s v="GNR_ENG_BGAS_BP_E-30"/>
    <x v="0"/>
    <x v="1"/>
    <n v="7.3170731707317103"/>
    <n v="2670.7317073170698"/>
    <n v="9614.6341463414592"/>
  </r>
  <r>
    <x v="0"/>
    <x v="0"/>
    <x v="0"/>
    <x v="0"/>
    <x v="0"/>
    <s v="DK1_Rural"/>
    <x v="0"/>
    <s v="GNR_ENG_BGAS_BP_E-30"/>
    <x v="0"/>
    <x v="2"/>
    <n v="7.3170731707317103"/>
    <n v="2670.7317073170698"/>
    <n v="9614.6341463414592"/>
  </r>
  <r>
    <x v="0"/>
    <x v="0"/>
    <x v="0"/>
    <x v="0"/>
    <x v="0"/>
    <s v="DK1_Rural"/>
    <x v="0"/>
    <s v="GNR_ENG_BGAS_BP_E-30"/>
    <x v="0"/>
    <x v="3"/>
    <n v="7.3170731707317103"/>
    <n v="2670.7317073170698"/>
    <n v="9614.6341463414592"/>
  </r>
  <r>
    <x v="0"/>
    <x v="0"/>
    <x v="0"/>
    <x v="0"/>
    <x v="0"/>
    <s v="DK1_Rural"/>
    <x v="0"/>
    <s v="GNR_ENG_BGAS_BP_E-30"/>
    <x v="0"/>
    <x v="4"/>
    <n v="7.3170731707317103"/>
    <n v="2670.7317073170698"/>
    <n v="9614.6341463414592"/>
  </r>
  <r>
    <x v="0"/>
    <x v="0"/>
    <x v="0"/>
    <x v="0"/>
    <x v="0"/>
    <s v="DK1_Rural"/>
    <x v="0"/>
    <s v="GNR_ENG_BGAS_BP_E-30"/>
    <x v="0"/>
    <x v="5"/>
    <n v="7.3170731707317103"/>
    <n v="2670.7317073170698"/>
    <n v="9614.6341463414592"/>
  </r>
  <r>
    <x v="0"/>
    <x v="0"/>
    <x v="0"/>
    <x v="0"/>
    <x v="0"/>
    <s v="DK1_Rural"/>
    <x v="0"/>
    <s v="GNR_ENG_BGAS_BP_E-30"/>
    <x v="0"/>
    <x v="6"/>
    <n v="7.3170731707317103"/>
    <n v="2670.7317073170698"/>
    <n v="9614.6341463414592"/>
  </r>
  <r>
    <x v="0"/>
    <x v="0"/>
    <x v="0"/>
    <x v="0"/>
    <x v="0"/>
    <s v="DK1_Rural"/>
    <x v="0"/>
    <s v="GNR_ENG_BGAS_BP_E-30"/>
    <x v="0"/>
    <x v="7"/>
    <n v="7.3170731707317103"/>
    <n v="2670.7317073170698"/>
    <n v="9614.6341463414592"/>
  </r>
  <r>
    <x v="0"/>
    <x v="0"/>
    <x v="0"/>
    <x v="0"/>
    <x v="0"/>
    <s v="DK1_Rural"/>
    <x v="0"/>
    <s v="GNR_ENG_BGAS_BP_E-30"/>
    <x v="0"/>
    <x v="8"/>
    <n v="7.3170731707317103"/>
    <n v="2670.7317073170698"/>
    <n v="9614.6341463414592"/>
  </r>
  <r>
    <x v="0"/>
    <x v="0"/>
    <x v="0"/>
    <x v="0"/>
    <x v="0"/>
    <s v="DK1_Rural"/>
    <x v="0"/>
    <s v="GNR_ENG_BGAS_BP_E-30"/>
    <x v="0"/>
    <x v="9"/>
    <n v="7.3170731707317103"/>
    <n v="2670.7317073170698"/>
    <n v="9614.6341463414592"/>
  </r>
  <r>
    <x v="0"/>
    <x v="0"/>
    <x v="0"/>
    <x v="0"/>
    <x v="0"/>
    <s v="DK1_Rural"/>
    <x v="0"/>
    <s v="GNR_ENG_BGAS_BP_E-30"/>
    <x v="0"/>
    <x v="10"/>
    <n v="7.3170731707317103"/>
    <n v="2670.7317073170698"/>
    <n v="9614.6341463414592"/>
  </r>
  <r>
    <x v="0"/>
    <x v="0"/>
    <x v="0"/>
    <x v="0"/>
    <x v="0"/>
    <s v="DK1_Rural"/>
    <x v="0"/>
    <s v="GNR_ENG_BGAS_BP_E-30"/>
    <x v="0"/>
    <x v="11"/>
    <n v="7.3170731707317103"/>
    <n v="2670.7317073170698"/>
    <n v="9614.6341463414592"/>
  </r>
  <r>
    <x v="0"/>
    <x v="0"/>
    <x v="0"/>
    <x v="0"/>
    <x v="0"/>
    <s v="DK1_Rural"/>
    <x v="0"/>
    <s v="GNR_ENG_BGAS_BP_E-30"/>
    <x v="0"/>
    <x v="12"/>
    <n v="7.3170731707317103"/>
    <n v="2670.7317073170698"/>
    <n v="9614.6341463414592"/>
  </r>
  <r>
    <x v="0"/>
    <x v="0"/>
    <x v="0"/>
    <x v="0"/>
    <x v="0"/>
    <s v="DK1_Rural"/>
    <x v="0"/>
    <s v="GNR_ENG_BGAS_BP_E-30"/>
    <x v="0"/>
    <x v="13"/>
    <n v="7.3170731707317103"/>
    <n v="2670.7317073170698"/>
    <n v="9614.6341463414592"/>
  </r>
  <r>
    <x v="0"/>
    <x v="0"/>
    <x v="0"/>
    <x v="0"/>
    <x v="0"/>
    <s v="DK1_Rural"/>
    <x v="0"/>
    <s v="GNR_ENG_BGAS_BP_E-30"/>
    <x v="0"/>
    <x v="14"/>
    <n v="7.3170731707317103"/>
    <n v="2670.7317073170698"/>
    <n v="9614.6341463414592"/>
  </r>
  <r>
    <x v="0"/>
    <x v="0"/>
    <x v="0"/>
    <x v="0"/>
    <x v="0"/>
    <s v="DK1_Rural"/>
    <x v="0"/>
    <s v="GNR_ENG_BGAS_BP_E-30"/>
    <x v="0"/>
    <x v="15"/>
    <n v="7.3170731707317103"/>
    <n v="2670.7317073170698"/>
    <n v="9614.6341463414592"/>
  </r>
  <r>
    <x v="0"/>
    <x v="0"/>
    <x v="0"/>
    <x v="0"/>
    <x v="0"/>
    <s v="DK1_Rural"/>
    <x v="0"/>
    <s v="GNR_ENG_BGAS_BP_E-30"/>
    <x v="0"/>
    <x v="16"/>
    <n v="7.3170731707317103"/>
    <n v="2670.7317073170698"/>
    <n v="9614.6341463414592"/>
  </r>
  <r>
    <x v="0"/>
    <x v="0"/>
    <x v="0"/>
    <x v="0"/>
    <x v="0"/>
    <s v="DK1_Rural"/>
    <x v="0"/>
    <s v="GNR_ENG_BGAS_BP_E-30"/>
    <x v="0"/>
    <x v="17"/>
    <n v="7.3170731707317103"/>
    <n v="2670.7317073170698"/>
    <n v="9614.6341463414592"/>
  </r>
  <r>
    <x v="0"/>
    <x v="0"/>
    <x v="0"/>
    <x v="0"/>
    <x v="0"/>
    <s v="DK1_Rural"/>
    <x v="0"/>
    <s v="GNR_ENG_BGAS_BP_E-30"/>
    <x v="0"/>
    <x v="18"/>
    <n v="7.3170731707317103"/>
    <n v="2670.7317073170698"/>
    <n v="9614.6341463414592"/>
  </r>
  <r>
    <x v="0"/>
    <x v="0"/>
    <x v="0"/>
    <x v="0"/>
    <x v="0"/>
    <s v="DK1_Rural"/>
    <x v="0"/>
    <s v="GNR_ENG_BGAS_BP_E-30"/>
    <x v="0"/>
    <x v="19"/>
    <n v="7.3170731707317103"/>
    <n v="2670.7317073170698"/>
    <n v="9614.6341463414592"/>
  </r>
  <r>
    <x v="0"/>
    <x v="0"/>
    <x v="0"/>
    <x v="0"/>
    <x v="0"/>
    <s v="DK1_Rural"/>
    <x v="0"/>
    <s v="GNR_ENG_BGAS_BP_E-30"/>
    <x v="0"/>
    <x v="20"/>
    <n v="7.3170731707317103"/>
    <n v="2670.7317073170698"/>
    <n v="9614.6341463414592"/>
  </r>
  <r>
    <x v="0"/>
    <x v="0"/>
    <x v="0"/>
    <x v="0"/>
    <x v="0"/>
    <s v="DK1_Rural"/>
    <x v="0"/>
    <s v="GNR_ENG_BGAS_BP_E-30"/>
    <x v="0"/>
    <x v="21"/>
    <n v="7.3170731707317103"/>
    <n v="2670.7317073170698"/>
    <n v="9614.6341463414592"/>
  </r>
  <r>
    <x v="0"/>
    <x v="0"/>
    <x v="0"/>
    <x v="0"/>
    <x v="0"/>
    <s v="DK1_Rural"/>
    <x v="0"/>
    <s v="GNR_ENG_BGAS_BP_E-30"/>
    <x v="0"/>
    <x v="22"/>
    <n v="7.3170731707317103"/>
    <n v="2670.7317073170698"/>
    <n v="9614.6341463414592"/>
  </r>
  <r>
    <x v="0"/>
    <x v="0"/>
    <x v="0"/>
    <x v="0"/>
    <x v="0"/>
    <s v="DK1_Rural"/>
    <x v="0"/>
    <s v="GNR_ENG_BGAS_BP_E-30"/>
    <x v="0"/>
    <x v="23"/>
    <n v="7.3170731707317103"/>
    <n v="2670.7317073170698"/>
    <n v="9614.6341463414592"/>
  </r>
  <r>
    <x v="0"/>
    <x v="0"/>
    <x v="0"/>
    <x v="0"/>
    <x v="0"/>
    <s v="DK1_Rural"/>
    <x v="0"/>
    <s v="GNR_ENG_BGAS_BP_E-34"/>
    <x v="0"/>
    <x v="0"/>
    <n v="1.2597560975609801"/>
    <n v="459.81097560975599"/>
    <n v="1655.3195121951201"/>
  </r>
  <r>
    <x v="0"/>
    <x v="0"/>
    <x v="0"/>
    <x v="0"/>
    <x v="0"/>
    <s v="DK1_Rural"/>
    <x v="0"/>
    <s v="GNR_ENG_BGAS_BP_E-34"/>
    <x v="0"/>
    <x v="1"/>
    <n v="1.2597560975609801"/>
    <n v="459.81097560975599"/>
    <n v="1655.3195121951201"/>
  </r>
  <r>
    <x v="0"/>
    <x v="0"/>
    <x v="0"/>
    <x v="0"/>
    <x v="0"/>
    <s v="DK1_Rural"/>
    <x v="0"/>
    <s v="GNR_ENG_BGAS_BP_E-34"/>
    <x v="0"/>
    <x v="2"/>
    <n v="1.2597560975609801"/>
    <n v="459.81097560975599"/>
    <n v="1655.3195121951201"/>
  </r>
  <r>
    <x v="0"/>
    <x v="0"/>
    <x v="0"/>
    <x v="0"/>
    <x v="0"/>
    <s v="DK1_Rural"/>
    <x v="0"/>
    <s v="GNR_ENG_BGAS_BP_E-34"/>
    <x v="0"/>
    <x v="3"/>
    <n v="1.2597560975609801"/>
    <n v="459.81097560975599"/>
    <n v="1655.3195121951201"/>
  </r>
  <r>
    <x v="0"/>
    <x v="0"/>
    <x v="0"/>
    <x v="0"/>
    <x v="0"/>
    <s v="DK1_Rural"/>
    <x v="0"/>
    <s v="GNR_ENG_BGAS_BP_E-34"/>
    <x v="0"/>
    <x v="4"/>
    <n v="1.2597560975609801"/>
    <n v="459.81097560975599"/>
    <n v="1655.3195121951201"/>
  </r>
  <r>
    <x v="0"/>
    <x v="0"/>
    <x v="0"/>
    <x v="0"/>
    <x v="0"/>
    <s v="DK1_Rural"/>
    <x v="0"/>
    <s v="GNR_ENG_BGAS_BP_E-34"/>
    <x v="0"/>
    <x v="5"/>
    <n v="1.2597560975609801"/>
    <n v="459.81097560975599"/>
    <n v="1655.3195121951201"/>
  </r>
  <r>
    <x v="0"/>
    <x v="0"/>
    <x v="0"/>
    <x v="0"/>
    <x v="0"/>
    <s v="DK1_Rural"/>
    <x v="0"/>
    <s v="GNR_ENG_BGAS_BP_E-34"/>
    <x v="0"/>
    <x v="6"/>
    <n v="1.2597560975609801"/>
    <n v="459.81097560975599"/>
    <n v="1655.3195121951201"/>
  </r>
  <r>
    <x v="0"/>
    <x v="0"/>
    <x v="0"/>
    <x v="0"/>
    <x v="0"/>
    <s v="DK1_Rural"/>
    <x v="0"/>
    <s v="GNR_ENG_BGAS_BP_E-34"/>
    <x v="0"/>
    <x v="7"/>
    <n v="1.2597560975609801"/>
    <n v="459.81097560975599"/>
    <n v="1655.3195121951201"/>
  </r>
  <r>
    <x v="0"/>
    <x v="0"/>
    <x v="0"/>
    <x v="0"/>
    <x v="0"/>
    <s v="DK1_Rural"/>
    <x v="0"/>
    <s v="GNR_ENG_BGAS_BP_E-34"/>
    <x v="0"/>
    <x v="8"/>
    <n v="1.2597560975609801"/>
    <n v="459.81097560975599"/>
    <n v="1655.3195121951201"/>
  </r>
  <r>
    <x v="0"/>
    <x v="0"/>
    <x v="0"/>
    <x v="0"/>
    <x v="0"/>
    <s v="DK1_Rural"/>
    <x v="0"/>
    <s v="GNR_ENG_BGAS_BP_E-34"/>
    <x v="0"/>
    <x v="9"/>
    <n v="1.2597560975609801"/>
    <n v="459.81097560975599"/>
    <n v="1655.3195121951201"/>
  </r>
  <r>
    <x v="0"/>
    <x v="0"/>
    <x v="0"/>
    <x v="0"/>
    <x v="0"/>
    <s v="DK1_Rural"/>
    <x v="0"/>
    <s v="GNR_ENG_BGAS_BP_E-34"/>
    <x v="0"/>
    <x v="10"/>
    <n v="1.2597560975609801"/>
    <n v="459.81097560975599"/>
    <n v="1655.3195121951201"/>
  </r>
  <r>
    <x v="0"/>
    <x v="0"/>
    <x v="0"/>
    <x v="0"/>
    <x v="0"/>
    <s v="DK1_Rural"/>
    <x v="0"/>
    <s v="GNR_ENG_BGAS_BP_E-34"/>
    <x v="0"/>
    <x v="11"/>
    <n v="1.2597560975609801"/>
    <n v="459.81097560975599"/>
    <n v="1655.3195121951201"/>
  </r>
  <r>
    <x v="0"/>
    <x v="0"/>
    <x v="0"/>
    <x v="0"/>
    <x v="0"/>
    <s v="DK1_Rural"/>
    <x v="0"/>
    <s v="GNR_ENG_BGAS_BP_E-34"/>
    <x v="0"/>
    <x v="12"/>
    <n v="1.2597560975609801"/>
    <n v="459.81097560975599"/>
    <n v="1655.3195121951201"/>
  </r>
  <r>
    <x v="0"/>
    <x v="0"/>
    <x v="0"/>
    <x v="0"/>
    <x v="0"/>
    <s v="DK1_Rural"/>
    <x v="0"/>
    <s v="GNR_ENG_BGAS_BP_E-34"/>
    <x v="0"/>
    <x v="13"/>
    <n v="1.2597560975609801"/>
    <n v="459.81097560975599"/>
    <n v="1655.3195121951201"/>
  </r>
  <r>
    <x v="0"/>
    <x v="0"/>
    <x v="0"/>
    <x v="0"/>
    <x v="0"/>
    <s v="DK1_Rural"/>
    <x v="0"/>
    <s v="GNR_ENG_BGAS_BP_E-34"/>
    <x v="0"/>
    <x v="14"/>
    <n v="1.2597560975609801"/>
    <n v="459.81097560975599"/>
    <n v="1655.3195121951201"/>
  </r>
  <r>
    <x v="0"/>
    <x v="0"/>
    <x v="0"/>
    <x v="0"/>
    <x v="0"/>
    <s v="DK1_Rural"/>
    <x v="0"/>
    <s v="GNR_ENG_BGAS_BP_E-34"/>
    <x v="0"/>
    <x v="15"/>
    <n v="1.2597560975609801"/>
    <n v="459.81097560975599"/>
    <n v="1655.3195121951201"/>
  </r>
  <r>
    <x v="0"/>
    <x v="0"/>
    <x v="0"/>
    <x v="0"/>
    <x v="0"/>
    <s v="DK1_Rural"/>
    <x v="0"/>
    <s v="GNR_ENG_BGAS_BP_E-34"/>
    <x v="0"/>
    <x v="16"/>
    <n v="1.2597560975609801"/>
    <n v="459.81097560975599"/>
    <n v="1655.3195121951201"/>
  </r>
  <r>
    <x v="0"/>
    <x v="0"/>
    <x v="0"/>
    <x v="0"/>
    <x v="0"/>
    <s v="DK1_Rural"/>
    <x v="0"/>
    <s v="GNR_ENG_BGAS_BP_E-34"/>
    <x v="0"/>
    <x v="17"/>
    <n v="1.2597560975609801"/>
    <n v="459.81097560975599"/>
    <n v="1655.3195121951201"/>
  </r>
  <r>
    <x v="0"/>
    <x v="0"/>
    <x v="0"/>
    <x v="0"/>
    <x v="0"/>
    <s v="DK1_Rural"/>
    <x v="0"/>
    <s v="GNR_ENG_BGAS_BP_E-34"/>
    <x v="0"/>
    <x v="18"/>
    <n v="1.2597560975609801"/>
    <n v="459.81097560975599"/>
    <n v="1655.3195121951201"/>
  </r>
  <r>
    <x v="0"/>
    <x v="0"/>
    <x v="0"/>
    <x v="0"/>
    <x v="0"/>
    <s v="DK1_Rural"/>
    <x v="0"/>
    <s v="GNR_ENG_BGAS_BP_E-34"/>
    <x v="0"/>
    <x v="19"/>
    <n v="1.2597560975609801"/>
    <n v="459.81097560975599"/>
    <n v="1655.3195121951201"/>
  </r>
  <r>
    <x v="0"/>
    <x v="0"/>
    <x v="0"/>
    <x v="0"/>
    <x v="0"/>
    <s v="DK1_Rural"/>
    <x v="0"/>
    <s v="GNR_ENG_BGAS_BP_E-34"/>
    <x v="0"/>
    <x v="20"/>
    <n v="1.2597560975609801"/>
    <n v="459.81097560975599"/>
    <n v="1655.3195121951201"/>
  </r>
  <r>
    <x v="0"/>
    <x v="0"/>
    <x v="0"/>
    <x v="0"/>
    <x v="0"/>
    <s v="DK1_Rural"/>
    <x v="0"/>
    <s v="GNR_ENG_BGAS_BP_E-34"/>
    <x v="0"/>
    <x v="21"/>
    <n v="1.2597560975609801"/>
    <n v="459.81097560975599"/>
    <n v="1655.3195121951201"/>
  </r>
  <r>
    <x v="0"/>
    <x v="0"/>
    <x v="0"/>
    <x v="0"/>
    <x v="0"/>
    <s v="DK1_Rural"/>
    <x v="0"/>
    <s v="GNR_ENG_BGAS_BP_E-34"/>
    <x v="0"/>
    <x v="22"/>
    <n v="1.2597560975609801"/>
    <n v="459.81097560975599"/>
    <n v="1655.3195121951201"/>
  </r>
  <r>
    <x v="0"/>
    <x v="0"/>
    <x v="0"/>
    <x v="0"/>
    <x v="0"/>
    <s v="DK1_Rural"/>
    <x v="0"/>
    <s v="GNR_ENG_BGAS_BP_E-34"/>
    <x v="0"/>
    <x v="23"/>
    <n v="1.2597560975609801"/>
    <n v="459.81097560975599"/>
    <n v="1655.3195121951201"/>
  </r>
  <r>
    <x v="0"/>
    <x v="0"/>
    <x v="0"/>
    <x v="0"/>
    <x v="0"/>
    <s v="DK1_Rural"/>
    <x v="0"/>
    <s v="GNR_ENG_BGAS_BP_E-35"/>
    <x v="0"/>
    <x v="0"/>
    <n v="1.2804878048780499"/>
    <n v="467.37804878048797"/>
    <n v="1682.5609756097599"/>
  </r>
  <r>
    <x v="0"/>
    <x v="0"/>
    <x v="0"/>
    <x v="0"/>
    <x v="0"/>
    <s v="DK1_Rural"/>
    <x v="0"/>
    <s v="GNR_ENG_BGAS_BP_E-35"/>
    <x v="0"/>
    <x v="1"/>
    <n v="1.2804878048780499"/>
    <n v="467.37804878048797"/>
    <n v="1682.5609756097599"/>
  </r>
  <r>
    <x v="0"/>
    <x v="0"/>
    <x v="0"/>
    <x v="0"/>
    <x v="0"/>
    <s v="DK1_Rural"/>
    <x v="0"/>
    <s v="GNR_ENG_BGAS_BP_E-35"/>
    <x v="0"/>
    <x v="2"/>
    <n v="1.2804878048780499"/>
    <n v="467.37804878048797"/>
    <n v="1682.5609756097599"/>
  </r>
  <r>
    <x v="0"/>
    <x v="0"/>
    <x v="0"/>
    <x v="0"/>
    <x v="0"/>
    <s v="DK1_Rural"/>
    <x v="0"/>
    <s v="GNR_ENG_BGAS_BP_E-35"/>
    <x v="0"/>
    <x v="3"/>
    <n v="1.2804878048780499"/>
    <n v="467.37804878048797"/>
    <n v="1682.5609756097599"/>
  </r>
  <r>
    <x v="0"/>
    <x v="0"/>
    <x v="0"/>
    <x v="0"/>
    <x v="0"/>
    <s v="DK1_Rural"/>
    <x v="0"/>
    <s v="GNR_ENG_BGAS_BP_E-35"/>
    <x v="0"/>
    <x v="4"/>
    <n v="1.2804878048780499"/>
    <n v="467.37804878048797"/>
    <n v="1682.5609756097599"/>
  </r>
  <r>
    <x v="0"/>
    <x v="0"/>
    <x v="0"/>
    <x v="0"/>
    <x v="0"/>
    <s v="DK1_Rural"/>
    <x v="0"/>
    <s v="GNR_ENG_BGAS_BP_E-35"/>
    <x v="0"/>
    <x v="5"/>
    <n v="1.2804878048780499"/>
    <n v="467.37804878048797"/>
    <n v="1682.5609756097599"/>
  </r>
  <r>
    <x v="0"/>
    <x v="0"/>
    <x v="0"/>
    <x v="0"/>
    <x v="0"/>
    <s v="DK1_Rural"/>
    <x v="0"/>
    <s v="GNR_ENG_BGAS_BP_E-35"/>
    <x v="0"/>
    <x v="6"/>
    <n v="1.2804878048780499"/>
    <n v="467.37804878048797"/>
    <n v="1682.5609756097599"/>
  </r>
  <r>
    <x v="0"/>
    <x v="0"/>
    <x v="0"/>
    <x v="0"/>
    <x v="0"/>
    <s v="DK1_Rural"/>
    <x v="0"/>
    <s v="GNR_ENG_BGAS_BP_E-35"/>
    <x v="0"/>
    <x v="7"/>
    <n v="1.2804878048780499"/>
    <n v="467.37804878048797"/>
    <n v="1682.5609756097599"/>
  </r>
  <r>
    <x v="0"/>
    <x v="0"/>
    <x v="0"/>
    <x v="0"/>
    <x v="0"/>
    <s v="DK1_Rural"/>
    <x v="0"/>
    <s v="GNR_ENG_BGAS_BP_E-35"/>
    <x v="0"/>
    <x v="8"/>
    <n v="1.2804878048780499"/>
    <n v="467.37804878048797"/>
    <n v="1682.5609756097599"/>
  </r>
  <r>
    <x v="0"/>
    <x v="0"/>
    <x v="0"/>
    <x v="0"/>
    <x v="0"/>
    <s v="DK1_Rural"/>
    <x v="0"/>
    <s v="GNR_ENG_BGAS_BP_E-35"/>
    <x v="0"/>
    <x v="9"/>
    <n v="1.2804878048780499"/>
    <n v="467.37804878048797"/>
    <n v="1682.5609756097599"/>
  </r>
  <r>
    <x v="0"/>
    <x v="0"/>
    <x v="0"/>
    <x v="0"/>
    <x v="0"/>
    <s v="DK1_Rural"/>
    <x v="0"/>
    <s v="GNR_ENG_BGAS_BP_E-35"/>
    <x v="0"/>
    <x v="10"/>
    <n v="1.2804878048780499"/>
    <n v="467.37804878048797"/>
    <n v="1682.5609756097599"/>
  </r>
  <r>
    <x v="0"/>
    <x v="0"/>
    <x v="0"/>
    <x v="0"/>
    <x v="0"/>
    <s v="DK1_Rural"/>
    <x v="0"/>
    <s v="GNR_ENG_BGAS_BP_E-35"/>
    <x v="0"/>
    <x v="11"/>
    <n v="1.2804878048780499"/>
    <n v="467.37804878048797"/>
    <n v="1682.5609756097599"/>
  </r>
  <r>
    <x v="0"/>
    <x v="0"/>
    <x v="0"/>
    <x v="0"/>
    <x v="0"/>
    <s v="DK1_Rural"/>
    <x v="0"/>
    <s v="GNR_ENG_BGAS_BP_E-35"/>
    <x v="0"/>
    <x v="12"/>
    <n v="1.2804878048780499"/>
    <n v="467.37804878048797"/>
    <n v="1682.5609756097599"/>
  </r>
  <r>
    <x v="0"/>
    <x v="0"/>
    <x v="0"/>
    <x v="0"/>
    <x v="0"/>
    <s v="DK1_Rural"/>
    <x v="0"/>
    <s v="GNR_ENG_BGAS_BP_E-35"/>
    <x v="0"/>
    <x v="13"/>
    <n v="1.2804878048780499"/>
    <n v="467.37804878048797"/>
    <n v="1682.5609756097599"/>
  </r>
  <r>
    <x v="0"/>
    <x v="0"/>
    <x v="0"/>
    <x v="0"/>
    <x v="0"/>
    <s v="DK1_Rural"/>
    <x v="0"/>
    <s v="GNR_ENG_BGAS_BP_E-35"/>
    <x v="0"/>
    <x v="14"/>
    <n v="1.2804878048780499"/>
    <n v="467.37804878048797"/>
    <n v="1682.5609756097599"/>
  </r>
  <r>
    <x v="0"/>
    <x v="0"/>
    <x v="0"/>
    <x v="0"/>
    <x v="0"/>
    <s v="DK1_Rural"/>
    <x v="0"/>
    <s v="GNR_ENG_BGAS_BP_E-35"/>
    <x v="0"/>
    <x v="15"/>
    <n v="1.2804878048780499"/>
    <n v="467.37804878048797"/>
    <n v="1682.5609756097599"/>
  </r>
  <r>
    <x v="0"/>
    <x v="0"/>
    <x v="0"/>
    <x v="0"/>
    <x v="0"/>
    <s v="DK1_Rural"/>
    <x v="0"/>
    <s v="GNR_ENG_BGAS_BP_E-35"/>
    <x v="0"/>
    <x v="16"/>
    <n v="1.2804878048780499"/>
    <n v="467.37804878048797"/>
    <n v="1682.5609756097599"/>
  </r>
  <r>
    <x v="0"/>
    <x v="0"/>
    <x v="0"/>
    <x v="0"/>
    <x v="0"/>
    <s v="DK1_Rural"/>
    <x v="0"/>
    <s v="GNR_ENG_BGAS_BP_E-35"/>
    <x v="0"/>
    <x v="17"/>
    <n v="1.2804878048780499"/>
    <n v="467.37804878048797"/>
    <n v="1682.5609756097599"/>
  </r>
  <r>
    <x v="0"/>
    <x v="0"/>
    <x v="0"/>
    <x v="0"/>
    <x v="0"/>
    <s v="DK1_Rural"/>
    <x v="0"/>
    <s v="GNR_ENG_BGAS_BP_E-35"/>
    <x v="0"/>
    <x v="18"/>
    <n v="1.2804878048780499"/>
    <n v="467.37804878048797"/>
    <n v="1682.5609756097599"/>
  </r>
  <r>
    <x v="0"/>
    <x v="0"/>
    <x v="0"/>
    <x v="0"/>
    <x v="0"/>
    <s v="DK1_Rural"/>
    <x v="0"/>
    <s v="GNR_ENG_BGAS_BP_E-35"/>
    <x v="0"/>
    <x v="19"/>
    <n v="1.2804878048780499"/>
    <n v="467.37804878048797"/>
    <n v="1682.5609756097599"/>
  </r>
  <r>
    <x v="0"/>
    <x v="0"/>
    <x v="0"/>
    <x v="0"/>
    <x v="0"/>
    <s v="DK1_Rural"/>
    <x v="0"/>
    <s v="GNR_ENG_BGAS_BP_E-35"/>
    <x v="0"/>
    <x v="20"/>
    <n v="1.2804878048780499"/>
    <n v="467.37804878048797"/>
    <n v="1682.5609756097599"/>
  </r>
  <r>
    <x v="0"/>
    <x v="0"/>
    <x v="0"/>
    <x v="0"/>
    <x v="0"/>
    <s v="DK1_Rural"/>
    <x v="0"/>
    <s v="GNR_ENG_BGAS_BP_E-35"/>
    <x v="0"/>
    <x v="21"/>
    <n v="1.2804878048780499"/>
    <n v="467.37804878048797"/>
    <n v="1682.5609756097599"/>
  </r>
  <r>
    <x v="0"/>
    <x v="0"/>
    <x v="0"/>
    <x v="0"/>
    <x v="0"/>
    <s v="DK1_Rural"/>
    <x v="0"/>
    <s v="GNR_ENG_BGAS_BP_E-35"/>
    <x v="0"/>
    <x v="22"/>
    <n v="1.2804878048780499"/>
    <n v="467.37804878048797"/>
    <n v="1682.5609756097599"/>
  </r>
  <r>
    <x v="0"/>
    <x v="0"/>
    <x v="0"/>
    <x v="0"/>
    <x v="0"/>
    <s v="DK1_Rural"/>
    <x v="0"/>
    <s v="GNR_ENG_BGAS_BP_E-35"/>
    <x v="0"/>
    <x v="23"/>
    <n v="1.2804878048780499"/>
    <n v="467.37804878048797"/>
    <n v="1682.5609756097599"/>
  </r>
  <r>
    <x v="0"/>
    <x v="0"/>
    <x v="0"/>
    <x v="0"/>
    <x v="0"/>
    <s v="DK1_Rural"/>
    <x v="0"/>
    <s v="GNR_ENG_BGAS_BP_E-37"/>
    <x v="0"/>
    <x v="0"/>
    <n v="6.0914634146341502"/>
    <n v="2223.3841463414601"/>
    <n v="8004.1829268292704"/>
  </r>
  <r>
    <x v="0"/>
    <x v="0"/>
    <x v="0"/>
    <x v="0"/>
    <x v="0"/>
    <s v="DK1_Rural"/>
    <x v="0"/>
    <s v="GNR_ENG_BGAS_BP_E-37"/>
    <x v="0"/>
    <x v="1"/>
    <n v="6.0914634146341502"/>
    <n v="2223.3841463414601"/>
    <n v="8004.1829268292704"/>
  </r>
  <r>
    <x v="0"/>
    <x v="0"/>
    <x v="0"/>
    <x v="0"/>
    <x v="0"/>
    <s v="DK1_Rural"/>
    <x v="0"/>
    <s v="GNR_ENG_BGAS_BP_E-37"/>
    <x v="0"/>
    <x v="2"/>
    <n v="6.0914634146341502"/>
    <n v="2223.3841463414601"/>
    <n v="8004.1829268292704"/>
  </r>
  <r>
    <x v="0"/>
    <x v="0"/>
    <x v="0"/>
    <x v="0"/>
    <x v="0"/>
    <s v="DK1_Rural"/>
    <x v="0"/>
    <s v="GNR_ENG_BGAS_BP_E-37"/>
    <x v="0"/>
    <x v="3"/>
    <n v="6.0914634146341502"/>
    <n v="2223.3841463414601"/>
    <n v="8004.1829268292704"/>
  </r>
  <r>
    <x v="0"/>
    <x v="0"/>
    <x v="0"/>
    <x v="0"/>
    <x v="0"/>
    <s v="DK1_Rural"/>
    <x v="0"/>
    <s v="GNR_ENG_BGAS_BP_E-37"/>
    <x v="0"/>
    <x v="4"/>
    <n v="6.0914634146341502"/>
    <n v="2223.3841463414601"/>
    <n v="8004.1829268292704"/>
  </r>
  <r>
    <x v="0"/>
    <x v="0"/>
    <x v="0"/>
    <x v="0"/>
    <x v="0"/>
    <s v="DK1_Rural"/>
    <x v="0"/>
    <s v="GNR_ENG_BGAS_BP_E-37"/>
    <x v="0"/>
    <x v="5"/>
    <n v="6.0914634146341502"/>
    <n v="2223.3841463414601"/>
    <n v="8004.1829268292704"/>
  </r>
  <r>
    <x v="0"/>
    <x v="0"/>
    <x v="0"/>
    <x v="0"/>
    <x v="0"/>
    <s v="DK1_Rural"/>
    <x v="0"/>
    <s v="GNR_ENG_BGAS_BP_E-37"/>
    <x v="0"/>
    <x v="6"/>
    <n v="6.0914634146341502"/>
    <n v="2223.3841463414601"/>
    <n v="8004.1829268292704"/>
  </r>
  <r>
    <x v="0"/>
    <x v="0"/>
    <x v="0"/>
    <x v="0"/>
    <x v="0"/>
    <s v="DK1_Rural"/>
    <x v="0"/>
    <s v="GNR_ENG_BGAS_BP_E-37"/>
    <x v="0"/>
    <x v="7"/>
    <n v="6.0914634146341502"/>
    <n v="2223.3841463414601"/>
    <n v="8004.1829268292704"/>
  </r>
  <r>
    <x v="0"/>
    <x v="0"/>
    <x v="0"/>
    <x v="0"/>
    <x v="0"/>
    <s v="DK1_Rural"/>
    <x v="0"/>
    <s v="GNR_ENG_BGAS_BP_E-37"/>
    <x v="0"/>
    <x v="8"/>
    <n v="6.0914634146341502"/>
    <n v="2223.3841463414601"/>
    <n v="8004.1829268292704"/>
  </r>
  <r>
    <x v="0"/>
    <x v="0"/>
    <x v="0"/>
    <x v="0"/>
    <x v="0"/>
    <s v="DK1_Rural"/>
    <x v="0"/>
    <s v="GNR_ENG_BGAS_BP_E-37"/>
    <x v="0"/>
    <x v="9"/>
    <n v="6.0914634146341502"/>
    <n v="2223.3841463414601"/>
    <n v="8004.1829268292704"/>
  </r>
  <r>
    <x v="0"/>
    <x v="0"/>
    <x v="0"/>
    <x v="0"/>
    <x v="0"/>
    <s v="DK1_Rural"/>
    <x v="0"/>
    <s v="GNR_ENG_BGAS_BP_E-37"/>
    <x v="0"/>
    <x v="10"/>
    <n v="6.0914634146341502"/>
    <n v="2223.3841463414601"/>
    <n v="8004.1829268292704"/>
  </r>
  <r>
    <x v="0"/>
    <x v="0"/>
    <x v="0"/>
    <x v="0"/>
    <x v="0"/>
    <s v="DK1_Rural"/>
    <x v="0"/>
    <s v="GNR_ENG_BGAS_BP_E-37"/>
    <x v="0"/>
    <x v="11"/>
    <n v="6.0914634146341502"/>
    <n v="2223.3841463414601"/>
    <n v="8004.1829268292704"/>
  </r>
  <r>
    <x v="0"/>
    <x v="0"/>
    <x v="0"/>
    <x v="0"/>
    <x v="0"/>
    <s v="DK1_Rural"/>
    <x v="0"/>
    <s v="GNR_ENG_BGAS_BP_E-37"/>
    <x v="0"/>
    <x v="12"/>
    <n v="6.0914634146341502"/>
    <n v="2223.3841463414601"/>
    <n v="8004.1829268292704"/>
  </r>
  <r>
    <x v="0"/>
    <x v="0"/>
    <x v="0"/>
    <x v="0"/>
    <x v="0"/>
    <s v="DK1_Rural"/>
    <x v="0"/>
    <s v="GNR_ENG_BGAS_BP_E-37"/>
    <x v="0"/>
    <x v="13"/>
    <n v="6.0914634146341502"/>
    <n v="2223.3841463414601"/>
    <n v="8004.1829268292704"/>
  </r>
  <r>
    <x v="0"/>
    <x v="0"/>
    <x v="0"/>
    <x v="0"/>
    <x v="0"/>
    <s v="DK1_Rural"/>
    <x v="0"/>
    <s v="GNR_ENG_BGAS_BP_E-37"/>
    <x v="0"/>
    <x v="14"/>
    <n v="6.0914634146341502"/>
    <n v="2223.3841463414601"/>
    <n v="8004.1829268292704"/>
  </r>
  <r>
    <x v="0"/>
    <x v="0"/>
    <x v="0"/>
    <x v="0"/>
    <x v="0"/>
    <s v="DK1_Rural"/>
    <x v="0"/>
    <s v="GNR_ENG_BGAS_BP_E-37"/>
    <x v="0"/>
    <x v="15"/>
    <n v="6.0914634146341502"/>
    <n v="2223.3841463414601"/>
    <n v="8004.1829268292704"/>
  </r>
  <r>
    <x v="0"/>
    <x v="0"/>
    <x v="0"/>
    <x v="0"/>
    <x v="0"/>
    <s v="DK1_Rural"/>
    <x v="0"/>
    <s v="GNR_ENG_BGAS_BP_E-37"/>
    <x v="0"/>
    <x v="16"/>
    <n v="6.0914634146341502"/>
    <n v="2223.3841463414601"/>
    <n v="8004.1829268292704"/>
  </r>
  <r>
    <x v="0"/>
    <x v="0"/>
    <x v="0"/>
    <x v="0"/>
    <x v="0"/>
    <s v="DK1_Rural"/>
    <x v="0"/>
    <s v="GNR_ENG_BGAS_BP_E-37"/>
    <x v="0"/>
    <x v="17"/>
    <n v="6.0914634146341502"/>
    <n v="2223.3841463414601"/>
    <n v="8004.1829268292704"/>
  </r>
  <r>
    <x v="0"/>
    <x v="0"/>
    <x v="0"/>
    <x v="0"/>
    <x v="0"/>
    <s v="DK1_Rural"/>
    <x v="0"/>
    <s v="GNR_ENG_BGAS_BP_E-37"/>
    <x v="0"/>
    <x v="18"/>
    <n v="6.0914634146341502"/>
    <n v="2223.3841463414601"/>
    <n v="8004.1829268292704"/>
  </r>
  <r>
    <x v="0"/>
    <x v="0"/>
    <x v="0"/>
    <x v="0"/>
    <x v="0"/>
    <s v="DK1_Rural"/>
    <x v="0"/>
    <s v="GNR_ENG_BGAS_BP_E-37"/>
    <x v="0"/>
    <x v="19"/>
    <n v="6.0914634146341502"/>
    <n v="2223.3841463414601"/>
    <n v="8004.1829268292704"/>
  </r>
  <r>
    <x v="0"/>
    <x v="0"/>
    <x v="0"/>
    <x v="0"/>
    <x v="0"/>
    <s v="DK1_Rural"/>
    <x v="0"/>
    <s v="GNR_ENG_BGAS_BP_E-37"/>
    <x v="0"/>
    <x v="20"/>
    <n v="6.0914634146341502"/>
    <n v="2223.3841463414601"/>
    <n v="8004.1829268292704"/>
  </r>
  <r>
    <x v="0"/>
    <x v="0"/>
    <x v="0"/>
    <x v="0"/>
    <x v="0"/>
    <s v="DK1_Rural"/>
    <x v="0"/>
    <s v="GNR_ENG_BGAS_BP_E-37"/>
    <x v="0"/>
    <x v="21"/>
    <n v="6.0914634146341502"/>
    <n v="2223.3841463414601"/>
    <n v="8004.1829268292704"/>
  </r>
  <r>
    <x v="0"/>
    <x v="0"/>
    <x v="0"/>
    <x v="0"/>
    <x v="0"/>
    <s v="DK1_Rural"/>
    <x v="0"/>
    <s v="GNR_ENG_BGAS_BP_E-37"/>
    <x v="0"/>
    <x v="22"/>
    <n v="6.0914634146341502"/>
    <n v="2223.3841463414601"/>
    <n v="8004.1829268292704"/>
  </r>
  <r>
    <x v="0"/>
    <x v="0"/>
    <x v="0"/>
    <x v="0"/>
    <x v="0"/>
    <s v="DK1_Rural"/>
    <x v="0"/>
    <s v="GNR_ENG_BGAS_BP_E-37"/>
    <x v="0"/>
    <x v="23"/>
    <n v="6.0914634146341502"/>
    <n v="2223.3841463414601"/>
    <n v="8004.1829268292704"/>
  </r>
  <r>
    <x v="0"/>
    <x v="0"/>
    <x v="0"/>
    <x v="0"/>
    <x v="0"/>
    <s v="DK1_Rural"/>
    <x v="0"/>
    <s v="GNR_ENG_BGAS_BP_E-38"/>
    <x v="0"/>
    <x v="0"/>
    <n v="0.97560975609756095"/>
    <n v="356.09756097561001"/>
    <n v="1281.9512195121899"/>
  </r>
  <r>
    <x v="0"/>
    <x v="0"/>
    <x v="0"/>
    <x v="0"/>
    <x v="0"/>
    <s v="DK1_Rural"/>
    <x v="0"/>
    <s v="GNR_ENG_BGAS_BP_E-38"/>
    <x v="0"/>
    <x v="1"/>
    <n v="0.97560975609756095"/>
    <n v="356.09756097561001"/>
    <n v="1281.9512195121899"/>
  </r>
  <r>
    <x v="0"/>
    <x v="0"/>
    <x v="0"/>
    <x v="0"/>
    <x v="0"/>
    <s v="DK1_Rural"/>
    <x v="0"/>
    <s v="GNR_ENG_BGAS_BP_E-38"/>
    <x v="0"/>
    <x v="2"/>
    <n v="0.97560975609756095"/>
    <n v="356.09756097561001"/>
    <n v="1281.9512195121899"/>
  </r>
  <r>
    <x v="0"/>
    <x v="0"/>
    <x v="0"/>
    <x v="0"/>
    <x v="0"/>
    <s v="DK1_Rural"/>
    <x v="0"/>
    <s v="GNR_ENG_BGAS_BP_E-38"/>
    <x v="0"/>
    <x v="3"/>
    <n v="0.97560975609756095"/>
    <n v="356.09756097561001"/>
    <n v="1281.9512195121899"/>
  </r>
  <r>
    <x v="0"/>
    <x v="0"/>
    <x v="0"/>
    <x v="0"/>
    <x v="0"/>
    <s v="DK1_Rural"/>
    <x v="0"/>
    <s v="GNR_ENG_BGAS_BP_E-38"/>
    <x v="0"/>
    <x v="4"/>
    <n v="0.97560975609756095"/>
    <n v="356.09756097561001"/>
    <n v="1281.9512195121899"/>
  </r>
  <r>
    <x v="0"/>
    <x v="0"/>
    <x v="0"/>
    <x v="0"/>
    <x v="0"/>
    <s v="DK1_Rural"/>
    <x v="0"/>
    <s v="GNR_ENG_BGAS_BP_E-38"/>
    <x v="0"/>
    <x v="5"/>
    <n v="0.97560975609756095"/>
    <n v="356.09756097561001"/>
    <n v="1281.9512195121899"/>
  </r>
  <r>
    <x v="0"/>
    <x v="0"/>
    <x v="0"/>
    <x v="0"/>
    <x v="0"/>
    <s v="DK1_Rural"/>
    <x v="0"/>
    <s v="GNR_ENG_BGAS_BP_E-38"/>
    <x v="0"/>
    <x v="6"/>
    <n v="0.97560975609756095"/>
    <n v="356.09756097561001"/>
    <n v="1281.9512195121899"/>
  </r>
  <r>
    <x v="0"/>
    <x v="0"/>
    <x v="0"/>
    <x v="0"/>
    <x v="0"/>
    <s v="DK1_Rural"/>
    <x v="0"/>
    <s v="GNR_ENG_BGAS_BP_E-38"/>
    <x v="0"/>
    <x v="7"/>
    <n v="0.97560975609756095"/>
    <n v="356.09756097561001"/>
    <n v="1281.9512195121899"/>
  </r>
  <r>
    <x v="0"/>
    <x v="0"/>
    <x v="0"/>
    <x v="0"/>
    <x v="0"/>
    <s v="DK1_Rural"/>
    <x v="0"/>
    <s v="GNR_ENG_BGAS_BP_E-38"/>
    <x v="0"/>
    <x v="8"/>
    <n v="0.97560975609756095"/>
    <n v="356.09756097561001"/>
    <n v="1281.9512195121899"/>
  </r>
  <r>
    <x v="0"/>
    <x v="0"/>
    <x v="0"/>
    <x v="0"/>
    <x v="0"/>
    <s v="DK1_Rural"/>
    <x v="0"/>
    <s v="GNR_ENG_BGAS_BP_E-38"/>
    <x v="0"/>
    <x v="9"/>
    <n v="0.97560975609756095"/>
    <n v="356.09756097561001"/>
    <n v="1281.9512195121899"/>
  </r>
  <r>
    <x v="0"/>
    <x v="0"/>
    <x v="0"/>
    <x v="0"/>
    <x v="0"/>
    <s v="DK1_Rural"/>
    <x v="0"/>
    <s v="GNR_ENG_BGAS_BP_E-38"/>
    <x v="0"/>
    <x v="10"/>
    <n v="0.97560975609756095"/>
    <n v="356.09756097561001"/>
    <n v="1281.9512195121899"/>
  </r>
  <r>
    <x v="0"/>
    <x v="0"/>
    <x v="0"/>
    <x v="0"/>
    <x v="0"/>
    <s v="DK1_Rural"/>
    <x v="0"/>
    <s v="GNR_ENG_BGAS_BP_E-38"/>
    <x v="0"/>
    <x v="11"/>
    <n v="0.97560975609756095"/>
    <n v="356.09756097561001"/>
    <n v="1281.9512195121899"/>
  </r>
  <r>
    <x v="0"/>
    <x v="0"/>
    <x v="0"/>
    <x v="0"/>
    <x v="0"/>
    <s v="DK1_Rural"/>
    <x v="0"/>
    <s v="GNR_ENG_BGAS_BP_E-38"/>
    <x v="0"/>
    <x v="12"/>
    <n v="0.97560975609756095"/>
    <n v="356.09756097561001"/>
    <n v="1281.9512195121899"/>
  </r>
  <r>
    <x v="0"/>
    <x v="0"/>
    <x v="0"/>
    <x v="0"/>
    <x v="0"/>
    <s v="DK1_Rural"/>
    <x v="0"/>
    <s v="GNR_ENG_BGAS_BP_E-38"/>
    <x v="0"/>
    <x v="13"/>
    <n v="0.97560975609756095"/>
    <n v="356.09756097561001"/>
    <n v="1281.9512195121899"/>
  </r>
  <r>
    <x v="0"/>
    <x v="0"/>
    <x v="0"/>
    <x v="0"/>
    <x v="0"/>
    <s v="DK1_Rural"/>
    <x v="0"/>
    <s v="GNR_ENG_BGAS_BP_E-38"/>
    <x v="0"/>
    <x v="14"/>
    <n v="0.97560975609756095"/>
    <n v="356.09756097561001"/>
    <n v="1281.9512195121899"/>
  </r>
  <r>
    <x v="0"/>
    <x v="0"/>
    <x v="0"/>
    <x v="0"/>
    <x v="0"/>
    <s v="DK1_Rural"/>
    <x v="0"/>
    <s v="GNR_ENG_BGAS_BP_E-38"/>
    <x v="0"/>
    <x v="15"/>
    <n v="0.97560975609756095"/>
    <n v="356.09756097561001"/>
    <n v="1281.9512195121899"/>
  </r>
  <r>
    <x v="0"/>
    <x v="0"/>
    <x v="0"/>
    <x v="0"/>
    <x v="0"/>
    <s v="DK1_Rural"/>
    <x v="0"/>
    <s v="GNR_ENG_BGAS_BP_E-38"/>
    <x v="0"/>
    <x v="16"/>
    <n v="0.97560975609756095"/>
    <n v="356.09756097561001"/>
    <n v="1281.9512195121899"/>
  </r>
  <r>
    <x v="0"/>
    <x v="0"/>
    <x v="0"/>
    <x v="0"/>
    <x v="0"/>
    <s v="DK1_Rural"/>
    <x v="0"/>
    <s v="GNR_ENG_BGAS_BP_E-38"/>
    <x v="0"/>
    <x v="17"/>
    <n v="0.97560975609756095"/>
    <n v="356.09756097561001"/>
    <n v="1281.9512195121899"/>
  </r>
  <r>
    <x v="0"/>
    <x v="0"/>
    <x v="0"/>
    <x v="0"/>
    <x v="0"/>
    <s v="DK1_Rural"/>
    <x v="0"/>
    <s v="GNR_ENG_BGAS_BP_E-38"/>
    <x v="0"/>
    <x v="18"/>
    <n v="0.97560975609756095"/>
    <n v="356.09756097561001"/>
    <n v="1281.9512195121899"/>
  </r>
  <r>
    <x v="0"/>
    <x v="0"/>
    <x v="0"/>
    <x v="0"/>
    <x v="0"/>
    <s v="DK1_Rural"/>
    <x v="0"/>
    <s v="GNR_ENG_BGAS_BP_E-38"/>
    <x v="0"/>
    <x v="19"/>
    <n v="0.97560975609756095"/>
    <n v="356.09756097561001"/>
    <n v="1281.9512195121899"/>
  </r>
  <r>
    <x v="0"/>
    <x v="0"/>
    <x v="0"/>
    <x v="0"/>
    <x v="0"/>
    <s v="DK1_Rural"/>
    <x v="0"/>
    <s v="GNR_ENG_BGAS_BP_E-38"/>
    <x v="0"/>
    <x v="20"/>
    <n v="0.97560975609756095"/>
    <n v="356.09756097561001"/>
    <n v="1281.9512195121899"/>
  </r>
  <r>
    <x v="0"/>
    <x v="0"/>
    <x v="0"/>
    <x v="0"/>
    <x v="0"/>
    <s v="DK1_Rural"/>
    <x v="0"/>
    <s v="GNR_ENG_BGAS_BP_E-38"/>
    <x v="0"/>
    <x v="21"/>
    <n v="0.97560975609756095"/>
    <n v="356.09756097561001"/>
    <n v="1281.9512195121899"/>
  </r>
  <r>
    <x v="0"/>
    <x v="0"/>
    <x v="0"/>
    <x v="0"/>
    <x v="0"/>
    <s v="DK1_Rural"/>
    <x v="0"/>
    <s v="GNR_ENG_BGAS_BP_E-38"/>
    <x v="0"/>
    <x v="22"/>
    <n v="0.97560975609756095"/>
    <n v="356.09756097561001"/>
    <n v="1281.9512195121899"/>
  </r>
  <r>
    <x v="0"/>
    <x v="0"/>
    <x v="0"/>
    <x v="0"/>
    <x v="0"/>
    <s v="DK1_Rural"/>
    <x v="0"/>
    <s v="GNR_ENG_BGAS_BP_E-38"/>
    <x v="0"/>
    <x v="23"/>
    <n v="0.97560975609756095"/>
    <n v="356.09756097561001"/>
    <n v="1281.9512195121899"/>
  </r>
  <r>
    <x v="0"/>
    <x v="0"/>
    <x v="0"/>
    <x v="0"/>
    <x v="0"/>
    <s v="DK1_Rural"/>
    <x v="0"/>
    <s v="GNR_ENG_BGAS_BP_E-39"/>
    <x v="0"/>
    <x v="0"/>
    <n v="4.4146341463414602"/>
    <n v="1611.34146341463"/>
    <n v="5800.8292682926804"/>
  </r>
  <r>
    <x v="0"/>
    <x v="0"/>
    <x v="0"/>
    <x v="0"/>
    <x v="0"/>
    <s v="DK1_Rural"/>
    <x v="0"/>
    <s v="GNR_ENG_BGAS_BP_E-39"/>
    <x v="0"/>
    <x v="1"/>
    <n v="4.4146341463414602"/>
    <n v="1611.34146341463"/>
    <n v="5800.8292682926804"/>
  </r>
  <r>
    <x v="0"/>
    <x v="0"/>
    <x v="0"/>
    <x v="0"/>
    <x v="0"/>
    <s v="DK1_Rural"/>
    <x v="0"/>
    <s v="GNR_ENG_BGAS_BP_E-39"/>
    <x v="0"/>
    <x v="2"/>
    <n v="4.4146341463414602"/>
    <n v="1611.34146341463"/>
    <n v="5800.8292682926804"/>
  </r>
  <r>
    <x v="0"/>
    <x v="0"/>
    <x v="0"/>
    <x v="0"/>
    <x v="0"/>
    <s v="DK1_Rural"/>
    <x v="0"/>
    <s v="GNR_ENG_BGAS_BP_E-39"/>
    <x v="0"/>
    <x v="3"/>
    <n v="4.4146341463414602"/>
    <n v="1611.34146341463"/>
    <n v="5800.8292682926804"/>
  </r>
  <r>
    <x v="0"/>
    <x v="0"/>
    <x v="0"/>
    <x v="0"/>
    <x v="0"/>
    <s v="DK1_Rural"/>
    <x v="0"/>
    <s v="GNR_ENG_BGAS_BP_E-39"/>
    <x v="0"/>
    <x v="4"/>
    <n v="4.4146341463414602"/>
    <n v="1611.34146341463"/>
    <n v="5800.8292682926804"/>
  </r>
  <r>
    <x v="0"/>
    <x v="0"/>
    <x v="0"/>
    <x v="0"/>
    <x v="0"/>
    <s v="DK1_Rural"/>
    <x v="0"/>
    <s v="GNR_ENG_BGAS_BP_E-39"/>
    <x v="0"/>
    <x v="5"/>
    <n v="4.4146341463414602"/>
    <n v="1611.34146341463"/>
    <n v="5800.8292682926804"/>
  </r>
  <r>
    <x v="0"/>
    <x v="0"/>
    <x v="0"/>
    <x v="0"/>
    <x v="0"/>
    <s v="DK1_Rural"/>
    <x v="0"/>
    <s v="GNR_ENG_BGAS_BP_E-39"/>
    <x v="0"/>
    <x v="6"/>
    <n v="4.4146341463414602"/>
    <n v="1611.34146341463"/>
    <n v="5800.8292682926804"/>
  </r>
  <r>
    <x v="0"/>
    <x v="0"/>
    <x v="0"/>
    <x v="0"/>
    <x v="0"/>
    <s v="DK1_Rural"/>
    <x v="0"/>
    <s v="GNR_ENG_BGAS_BP_E-39"/>
    <x v="0"/>
    <x v="7"/>
    <n v="4.4146341463414602"/>
    <n v="1611.34146341463"/>
    <n v="5800.8292682926804"/>
  </r>
  <r>
    <x v="0"/>
    <x v="0"/>
    <x v="0"/>
    <x v="0"/>
    <x v="0"/>
    <s v="DK1_Rural"/>
    <x v="0"/>
    <s v="GNR_ENG_BGAS_BP_E-39"/>
    <x v="0"/>
    <x v="8"/>
    <n v="4.4146341463414602"/>
    <n v="1611.34146341463"/>
    <n v="5800.8292682926804"/>
  </r>
  <r>
    <x v="0"/>
    <x v="0"/>
    <x v="0"/>
    <x v="0"/>
    <x v="0"/>
    <s v="DK1_Rural"/>
    <x v="0"/>
    <s v="GNR_ENG_BGAS_BP_E-39"/>
    <x v="0"/>
    <x v="9"/>
    <n v="4.4146341463414602"/>
    <n v="1611.34146341463"/>
    <n v="5800.8292682926804"/>
  </r>
  <r>
    <x v="0"/>
    <x v="0"/>
    <x v="0"/>
    <x v="0"/>
    <x v="0"/>
    <s v="DK1_Rural"/>
    <x v="0"/>
    <s v="GNR_ENG_BGAS_BP_E-39"/>
    <x v="0"/>
    <x v="10"/>
    <n v="4.4146341463414602"/>
    <n v="1611.34146341463"/>
    <n v="5800.8292682926804"/>
  </r>
  <r>
    <x v="0"/>
    <x v="0"/>
    <x v="0"/>
    <x v="0"/>
    <x v="0"/>
    <s v="DK1_Rural"/>
    <x v="0"/>
    <s v="GNR_ENG_BGAS_BP_E-39"/>
    <x v="0"/>
    <x v="11"/>
    <n v="4.4146341463414602"/>
    <n v="1611.34146341463"/>
    <n v="5800.8292682926804"/>
  </r>
  <r>
    <x v="0"/>
    <x v="0"/>
    <x v="0"/>
    <x v="0"/>
    <x v="0"/>
    <s v="DK1_Rural"/>
    <x v="0"/>
    <s v="GNR_ENG_BGAS_BP_E-39"/>
    <x v="0"/>
    <x v="12"/>
    <n v="4.4146341463414602"/>
    <n v="1611.34146341463"/>
    <n v="5800.8292682926804"/>
  </r>
  <r>
    <x v="0"/>
    <x v="0"/>
    <x v="0"/>
    <x v="0"/>
    <x v="0"/>
    <s v="DK1_Rural"/>
    <x v="0"/>
    <s v="GNR_ENG_BGAS_BP_E-39"/>
    <x v="0"/>
    <x v="13"/>
    <n v="4.4146341463414602"/>
    <n v="1611.34146341463"/>
    <n v="5800.8292682926804"/>
  </r>
  <r>
    <x v="0"/>
    <x v="0"/>
    <x v="0"/>
    <x v="0"/>
    <x v="0"/>
    <s v="DK1_Rural"/>
    <x v="0"/>
    <s v="GNR_ENG_BGAS_BP_E-39"/>
    <x v="0"/>
    <x v="14"/>
    <n v="4.4146341463414602"/>
    <n v="1611.34146341463"/>
    <n v="5800.8292682926804"/>
  </r>
  <r>
    <x v="0"/>
    <x v="0"/>
    <x v="0"/>
    <x v="0"/>
    <x v="0"/>
    <s v="DK1_Rural"/>
    <x v="0"/>
    <s v="GNR_ENG_BGAS_BP_E-39"/>
    <x v="0"/>
    <x v="15"/>
    <n v="4.4146341463414602"/>
    <n v="1611.34146341463"/>
    <n v="5800.8292682926804"/>
  </r>
  <r>
    <x v="0"/>
    <x v="0"/>
    <x v="0"/>
    <x v="0"/>
    <x v="0"/>
    <s v="DK1_Rural"/>
    <x v="0"/>
    <s v="GNR_ENG_BGAS_BP_E-39"/>
    <x v="0"/>
    <x v="16"/>
    <n v="4.4146341463414602"/>
    <n v="1611.34146341463"/>
    <n v="5800.8292682926804"/>
  </r>
  <r>
    <x v="0"/>
    <x v="0"/>
    <x v="0"/>
    <x v="0"/>
    <x v="0"/>
    <s v="DK1_Rural"/>
    <x v="0"/>
    <s v="GNR_ENG_BGAS_BP_E-39"/>
    <x v="0"/>
    <x v="17"/>
    <n v="4.4146341463414602"/>
    <n v="1611.34146341463"/>
    <n v="5800.8292682926804"/>
  </r>
  <r>
    <x v="0"/>
    <x v="0"/>
    <x v="0"/>
    <x v="0"/>
    <x v="0"/>
    <s v="DK1_Rural"/>
    <x v="0"/>
    <s v="GNR_ENG_BGAS_BP_E-39"/>
    <x v="0"/>
    <x v="18"/>
    <n v="4.4146341463414602"/>
    <n v="1611.34146341463"/>
    <n v="5800.8292682926804"/>
  </r>
  <r>
    <x v="0"/>
    <x v="0"/>
    <x v="0"/>
    <x v="0"/>
    <x v="0"/>
    <s v="DK1_Rural"/>
    <x v="0"/>
    <s v="GNR_ENG_BGAS_BP_E-39"/>
    <x v="0"/>
    <x v="19"/>
    <n v="4.4146341463414602"/>
    <n v="1611.34146341463"/>
    <n v="5800.8292682926804"/>
  </r>
  <r>
    <x v="0"/>
    <x v="0"/>
    <x v="0"/>
    <x v="0"/>
    <x v="0"/>
    <s v="DK1_Rural"/>
    <x v="0"/>
    <s v="GNR_ENG_BGAS_BP_E-39"/>
    <x v="0"/>
    <x v="20"/>
    <n v="4.4146341463414602"/>
    <n v="1611.34146341463"/>
    <n v="5800.8292682926804"/>
  </r>
  <r>
    <x v="0"/>
    <x v="0"/>
    <x v="0"/>
    <x v="0"/>
    <x v="0"/>
    <s v="DK1_Rural"/>
    <x v="0"/>
    <s v="GNR_ENG_BGAS_BP_E-39"/>
    <x v="0"/>
    <x v="21"/>
    <n v="4.4146341463414602"/>
    <n v="1611.34146341463"/>
    <n v="5800.8292682926804"/>
  </r>
  <r>
    <x v="0"/>
    <x v="0"/>
    <x v="0"/>
    <x v="0"/>
    <x v="0"/>
    <s v="DK1_Rural"/>
    <x v="0"/>
    <s v="GNR_ENG_BGAS_BP_E-39"/>
    <x v="0"/>
    <x v="22"/>
    <n v="4.4146341463414602"/>
    <n v="1611.34146341463"/>
    <n v="5800.8292682926804"/>
  </r>
  <r>
    <x v="0"/>
    <x v="0"/>
    <x v="0"/>
    <x v="0"/>
    <x v="0"/>
    <s v="DK1_Rural"/>
    <x v="0"/>
    <s v="GNR_ENG_BGAS_BP_E-39"/>
    <x v="0"/>
    <x v="23"/>
    <n v="4.4146341463414602"/>
    <n v="1611.34146341463"/>
    <n v="5800.8292682926804"/>
  </r>
  <r>
    <x v="0"/>
    <x v="0"/>
    <x v="0"/>
    <x v="0"/>
    <x v="0"/>
    <s v="DK1_Rural"/>
    <x v="0"/>
    <s v="GNR_ENG_BGAS_BP_E-40"/>
    <x v="0"/>
    <x v="0"/>
    <n v="7.6097560975609797"/>
    <n v="2777.5609756097601"/>
    <n v="9999.2195121951208"/>
  </r>
  <r>
    <x v="0"/>
    <x v="0"/>
    <x v="0"/>
    <x v="0"/>
    <x v="0"/>
    <s v="DK1_Rural"/>
    <x v="0"/>
    <s v="GNR_ENG_BGAS_BP_E-40"/>
    <x v="0"/>
    <x v="1"/>
    <n v="7.6097560975609797"/>
    <n v="2777.5609756097601"/>
    <n v="9999.2195121951208"/>
  </r>
  <r>
    <x v="0"/>
    <x v="0"/>
    <x v="0"/>
    <x v="0"/>
    <x v="0"/>
    <s v="DK1_Rural"/>
    <x v="0"/>
    <s v="GNR_ENG_BGAS_BP_E-40"/>
    <x v="0"/>
    <x v="2"/>
    <n v="7.6097560975609797"/>
    <n v="2777.5609756097601"/>
    <n v="9999.2195121951208"/>
  </r>
  <r>
    <x v="0"/>
    <x v="0"/>
    <x v="0"/>
    <x v="0"/>
    <x v="0"/>
    <s v="DK1_Rural"/>
    <x v="0"/>
    <s v="GNR_ENG_BGAS_BP_E-40"/>
    <x v="0"/>
    <x v="3"/>
    <n v="7.6097560975609797"/>
    <n v="2777.5609756097601"/>
    <n v="9999.2195121951208"/>
  </r>
  <r>
    <x v="0"/>
    <x v="0"/>
    <x v="0"/>
    <x v="0"/>
    <x v="0"/>
    <s v="DK1_Rural"/>
    <x v="0"/>
    <s v="GNR_ENG_BGAS_BP_E-40"/>
    <x v="0"/>
    <x v="4"/>
    <n v="7.6097560975609797"/>
    <n v="2777.5609756097601"/>
    <n v="9999.2195121951208"/>
  </r>
  <r>
    <x v="0"/>
    <x v="0"/>
    <x v="0"/>
    <x v="0"/>
    <x v="0"/>
    <s v="DK1_Rural"/>
    <x v="0"/>
    <s v="GNR_ENG_BGAS_BP_E-40"/>
    <x v="0"/>
    <x v="5"/>
    <n v="7.6097560975609797"/>
    <n v="2777.5609756097601"/>
    <n v="9999.2195121951208"/>
  </r>
  <r>
    <x v="0"/>
    <x v="0"/>
    <x v="0"/>
    <x v="0"/>
    <x v="0"/>
    <s v="DK1_Rural"/>
    <x v="0"/>
    <s v="GNR_ENG_BGAS_BP_E-40"/>
    <x v="0"/>
    <x v="6"/>
    <n v="7.6097560975609797"/>
    <n v="2777.5609756097601"/>
    <n v="9999.2195121951208"/>
  </r>
  <r>
    <x v="0"/>
    <x v="0"/>
    <x v="0"/>
    <x v="0"/>
    <x v="0"/>
    <s v="DK1_Rural"/>
    <x v="0"/>
    <s v="GNR_ENG_BGAS_BP_E-40"/>
    <x v="0"/>
    <x v="7"/>
    <n v="7.6097560975609797"/>
    <n v="2777.5609756097601"/>
    <n v="9999.2195121951208"/>
  </r>
  <r>
    <x v="0"/>
    <x v="0"/>
    <x v="0"/>
    <x v="0"/>
    <x v="0"/>
    <s v="DK1_Rural"/>
    <x v="0"/>
    <s v="GNR_ENG_BGAS_BP_E-40"/>
    <x v="0"/>
    <x v="8"/>
    <n v="7.6097560975609797"/>
    <n v="2777.5609756097601"/>
    <n v="9999.2195121951208"/>
  </r>
  <r>
    <x v="0"/>
    <x v="0"/>
    <x v="0"/>
    <x v="0"/>
    <x v="0"/>
    <s v="DK1_Rural"/>
    <x v="0"/>
    <s v="GNR_ENG_BGAS_BP_E-40"/>
    <x v="0"/>
    <x v="9"/>
    <n v="7.6097560975609797"/>
    <n v="2777.5609756097601"/>
    <n v="9999.2195121951208"/>
  </r>
  <r>
    <x v="0"/>
    <x v="0"/>
    <x v="0"/>
    <x v="0"/>
    <x v="0"/>
    <s v="DK1_Rural"/>
    <x v="0"/>
    <s v="GNR_ENG_BGAS_BP_E-40"/>
    <x v="0"/>
    <x v="10"/>
    <n v="7.6097560975609797"/>
    <n v="2777.5609756097601"/>
    <n v="9999.2195121951208"/>
  </r>
  <r>
    <x v="0"/>
    <x v="0"/>
    <x v="0"/>
    <x v="0"/>
    <x v="0"/>
    <s v="DK1_Rural"/>
    <x v="0"/>
    <s v="GNR_ENG_BGAS_BP_E-40"/>
    <x v="0"/>
    <x v="11"/>
    <n v="7.6097560975609797"/>
    <n v="2777.5609756097601"/>
    <n v="9999.2195121951208"/>
  </r>
  <r>
    <x v="0"/>
    <x v="0"/>
    <x v="0"/>
    <x v="0"/>
    <x v="0"/>
    <s v="DK1_Rural"/>
    <x v="0"/>
    <s v="GNR_ENG_BGAS_BP_E-40"/>
    <x v="0"/>
    <x v="12"/>
    <n v="7.6097560975609797"/>
    <n v="2777.5609756097601"/>
    <n v="9999.2195121951208"/>
  </r>
  <r>
    <x v="0"/>
    <x v="0"/>
    <x v="0"/>
    <x v="0"/>
    <x v="0"/>
    <s v="DK1_Rural"/>
    <x v="0"/>
    <s v="GNR_ENG_BGAS_BP_E-40"/>
    <x v="0"/>
    <x v="13"/>
    <n v="7.6097560975609797"/>
    <n v="2777.5609756097601"/>
    <n v="9999.2195121951208"/>
  </r>
  <r>
    <x v="0"/>
    <x v="0"/>
    <x v="0"/>
    <x v="0"/>
    <x v="0"/>
    <s v="DK1_Rural"/>
    <x v="0"/>
    <s v="GNR_ENG_BGAS_BP_E-40"/>
    <x v="0"/>
    <x v="14"/>
    <n v="7.6097560975609797"/>
    <n v="2777.5609756097601"/>
    <n v="9999.2195121951208"/>
  </r>
  <r>
    <x v="0"/>
    <x v="0"/>
    <x v="0"/>
    <x v="0"/>
    <x v="0"/>
    <s v="DK1_Rural"/>
    <x v="0"/>
    <s v="GNR_ENG_BGAS_BP_E-40"/>
    <x v="0"/>
    <x v="15"/>
    <n v="7.6097560975609797"/>
    <n v="2777.5609756097601"/>
    <n v="9999.2195121951208"/>
  </r>
  <r>
    <x v="0"/>
    <x v="0"/>
    <x v="0"/>
    <x v="0"/>
    <x v="0"/>
    <s v="DK1_Rural"/>
    <x v="0"/>
    <s v="GNR_ENG_BGAS_BP_E-40"/>
    <x v="0"/>
    <x v="16"/>
    <n v="7.6097560975609797"/>
    <n v="2777.5609756097601"/>
    <n v="9999.2195121951208"/>
  </r>
  <r>
    <x v="0"/>
    <x v="0"/>
    <x v="0"/>
    <x v="0"/>
    <x v="0"/>
    <s v="DK1_Rural"/>
    <x v="0"/>
    <s v="GNR_ENG_BGAS_BP_E-40"/>
    <x v="0"/>
    <x v="17"/>
    <n v="7.6097560975609797"/>
    <n v="2777.5609756097601"/>
    <n v="9999.2195121951208"/>
  </r>
  <r>
    <x v="0"/>
    <x v="0"/>
    <x v="0"/>
    <x v="0"/>
    <x v="0"/>
    <s v="DK1_Rural"/>
    <x v="0"/>
    <s v="GNR_ENG_BGAS_BP_E-40"/>
    <x v="0"/>
    <x v="18"/>
    <n v="7.6097560975609797"/>
    <n v="2777.5609756097601"/>
    <n v="9999.2195121951208"/>
  </r>
  <r>
    <x v="0"/>
    <x v="0"/>
    <x v="0"/>
    <x v="0"/>
    <x v="0"/>
    <s v="DK1_Rural"/>
    <x v="0"/>
    <s v="GNR_ENG_BGAS_BP_E-40"/>
    <x v="0"/>
    <x v="19"/>
    <n v="7.6097560975609797"/>
    <n v="2777.5609756097601"/>
    <n v="9999.2195121951208"/>
  </r>
  <r>
    <x v="0"/>
    <x v="0"/>
    <x v="0"/>
    <x v="0"/>
    <x v="0"/>
    <s v="DK1_Rural"/>
    <x v="0"/>
    <s v="GNR_ENG_BGAS_BP_E-40"/>
    <x v="0"/>
    <x v="20"/>
    <n v="7.6097560975609797"/>
    <n v="2777.5609756097601"/>
    <n v="9999.2195121951208"/>
  </r>
  <r>
    <x v="0"/>
    <x v="0"/>
    <x v="0"/>
    <x v="0"/>
    <x v="0"/>
    <s v="DK1_Rural"/>
    <x v="0"/>
    <s v="GNR_ENG_BGAS_BP_E-40"/>
    <x v="0"/>
    <x v="21"/>
    <n v="7.6097560975609797"/>
    <n v="2777.5609756097601"/>
    <n v="9999.2195121951208"/>
  </r>
  <r>
    <x v="0"/>
    <x v="0"/>
    <x v="0"/>
    <x v="0"/>
    <x v="0"/>
    <s v="DK1_Rural"/>
    <x v="0"/>
    <s v="GNR_ENG_BGAS_BP_E-40"/>
    <x v="0"/>
    <x v="22"/>
    <n v="7.6097560975609797"/>
    <n v="2777.5609756097601"/>
    <n v="9999.2195121951208"/>
  </r>
  <r>
    <x v="0"/>
    <x v="0"/>
    <x v="0"/>
    <x v="0"/>
    <x v="0"/>
    <s v="DK1_Rural"/>
    <x v="0"/>
    <s v="GNR_ENG_BGAS_BP_E-40"/>
    <x v="0"/>
    <x v="23"/>
    <n v="7.6097560975609797"/>
    <n v="2777.5609756097601"/>
    <n v="9999.2195121951208"/>
  </r>
  <r>
    <x v="0"/>
    <x v="0"/>
    <x v="0"/>
    <x v="0"/>
    <x v="0"/>
    <s v="DK1_Rural"/>
    <x v="0"/>
    <s v="GNR_ENG_BGAS_BP_E-41"/>
    <x v="0"/>
    <x v="0"/>
    <n v="2.5378048780487799"/>
    <n v="926.29878048780495"/>
    <n v="3334.6756097561001"/>
  </r>
  <r>
    <x v="0"/>
    <x v="0"/>
    <x v="0"/>
    <x v="0"/>
    <x v="0"/>
    <s v="DK1_Rural"/>
    <x v="0"/>
    <s v="GNR_ENG_BGAS_BP_E-41"/>
    <x v="0"/>
    <x v="1"/>
    <n v="2.5378048780487799"/>
    <n v="926.29878048780495"/>
    <n v="3334.6756097561001"/>
  </r>
  <r>
    <x v="0"/>
    <x v="0"/>
    <x v="0"/>
    <x v="0"/>
    <x v="0"/>
    <s v="DK1_Rural"/>
    <x v="0"/>
    <s v="GNR_ENG_BGAS_BP_E-41"/>
    <x v="0"/>
    <x v="2"/>
    <n v="2.5378048780487799"/>
    <n v="926.29878048780495"/>
    <n v="3334.6756097561001"/>
  </r>
  <r>
    <x v="0"/>
    <x v="0"/>
    <x v="0"/>
    <x v="0"/>
    <x v="0"/>
    <s v="DK1_Rural"/>
    <x v="0"/>
    <s v="GNR_ENG_BGAS_BP_E-41"/>
    <x v="0"/>
    <x v="3"/>
    <n v="2.5378048780487799"/>
    <n v="926.29878048780495"/>
    <n v="3334.6756097561001"/>
  </r>
  <r>
    <x v="0"/>
    <x v="0"/>
    <x v="0"/>
    <x v="0"/>
    <x v="0"/>
    <s v="DK1_Rural"/>
    <x v="0"/>
    <s v="GNR_ENG_BGAS_BP_E-41"/>
    <x v="0"/>
    <x v="4"/>
    <n v="2.5378048780487799"/>
    <n v="926.29878048780495"/>
    <n v="3334.6756097561001"/>
  </r>
  <r>
    <x v="0"/>
    <x v="0"/>
    <x v="0"/>
    <x v="0"/>
    <x v="0"/>
    <s v="DK1_Rural"/>
    <x v="0"/>
    <s v="GNR_ENG_BGAS_BP_E-41"/>
    <x v="0"/>
    <x v="5"/>
    <n v="2.5378048780487799"/>
    <n v="926.29878048780495"/>
    <n v="3334.6756097561001"/>
  </r>
  <r>
    <x v="0"/>
    <x v="0"/>
    <x v="0"/>
    <x v="0"/>
    <x v="0"/>
    <s v="DK1_Rural"/>
    <x v="0"/>
    <s v="GNR_ENG_BGAS_BP_E-41"/>
    <x v="0"/>
    <x v="6"/>
    <n v="2.5378048780487799"/>
    <n v="926.29878048780495"/>
    <n v="3334.6756097561001"/>
  </r>
  <r>
    <x v="0"/>
    <x v="0"/>
    <x v="0"/>
    <x v="0"/>
    <x v="0"/>
    <s v="DK1_Rural"/>
    <x v="0"/>
    <s v="GNR_ENG_BGAS_BP_E-41"/>
    <x v="0"/>
    <x v="7"/>
    <n v="2.5378048780487799"/>
    <n v="926.29878048780495"/>
    <n v="3334.6756097561001"/>
  </r>
  <r>
    <x v="0"/>
    <x v="0"/>
    <x v="0"/>
    <x v="0"/>
    <x v="0"/>
    <s v="DK1_Rural"/>
    <x v="0"/>
    <s v="GNR_ENG_BGAS_BP_E-41"/>
    <x v="0"/>
    <x v="8"/>
    <n v="2.5378048780487799"/>
    <n v="926.29878048780495"/>
    <n v="3334.6756097561001"/>
  </r>
  <r>
    <x v="0"/>
    <x v="0"/>
    <x v="0"/>
    <x v="0"/>
    <x v="0"/>
    <s v="DK1_Rural"/>
    <x v="0"/>
    <s v="GNR_ENG_BGAS_BP_E-41"/>
    <x v="0"/>
    <x v="9"/>
    <n v="2.5378048780487799"/>
    <n v="926.29878048780495"/>
    <n v="3334.6756097561001"/>
  </r>
  <r>
    <x v="0"/>
    <x v="0"/>
    <x v="0"/>
    <x v="0"/>
    <x v="0"/>
    <s v="DK1_Rural"/>
    <x v="0"/>
    <s v="GNR_ENG_BGAS_BP_E-41"/>
    <x v="0"/>
    <x v="10"/>
    <n v="2.5378048780487799"/>
    <n v="926.29878048780495"/>
    <n v="3334.6756097561001"/>
  </r>
  <r>
    <x v="0"/>
    <x v="0"/>
    <x v="0"/>
    <x v="0"/>
    <x v="0"/>
    <s v="DK1_Rural"/>
    <x v="0"/>
    <s v="GNR_ENG_BGAS_BP_E-41"/>
    <x v="0"/>
    <x v="11"/>
    <n v="2.5378048780487799"/>
    <n v="926.29878048780495"/>
    <n v="3334.6756097561001"/>
  </r>
  <r>
    <x v="0"/>
    <x v="0"/>
    <x v="0"/>
    <x v="0"/>
    <x v="0"/>
    <s v="DK1_Rural"/>
    <x v="0"/>
    <s v="GNR_ENG_BGAS_BP_E-41"/>
    <x v="0"/>
    <x v="12"/>
    <n v="2.5378048780487799"/>
    <n v="926.29878048780495"/>
    <n v="3334.6756097561001"/>
  </r>
  <r>
    <x v="0"/>
    <x v="0"/>
    <x v="0"/>
    <x v="0"/>
    <x v="0"/>
    <s v="DK1_Rural"/>
    <x v="0"/>
    <s v="GNR_ENG_BGAS_BP_E-41"/>
    <x v="0"/>
    <x v="13"/>
    <n v="2.5378048780487799"/>
    <n v="926.29878048780495"/>
    <n v="3334.6756097561001"/>
  </r>
  <r>
    <x v="0"/>
    <x v="0"/>
    <x v="0"/>
    <x v="0"/>
    <x v="0"/>
    <s v="DK1_Rural"/>
    <x v="0"/>
    <s v="GNR_ENG_BGAS_BP_E-41"/>
    <x v="0"/>
    <x v="14"/>
    <n v="2.5378048780487799"/>
    <n v="926.29878048780495"/>
    <n v="3334.6756097561001"/>
  </r>
  <r>
    <x v="0"/>
    <x v="0"/>
    <x v="0"/>
    <x v="0"/>
    <x v="0"/>
    <s v="DK1_Rural"/>
    <x v="0"/>
    <s v="GNR_ENG_BGAS_BP_E-41"/>
    <x v="0"/>
    <x v="15"/>
    <n v="2.5378048780487799"/>
    <n v="926.29878048780495"/>
    <n v="3334.6756097561001"/>
  </r>
  <r>
    <x v="0"/>
    <x v="0"/>
    <x v="0"/>
    <x v="0"/>
    <x v="0"/>
    <s v="DK1_Rural"/>
    <x v="0"/>
    <s v="GNR_ENG_BGAS_BP_E-41"/>
    <x v="0"/>
    <x v="16"/>
    <n v="2.5378048780487799"/>
    <n v="926.29878048780495"/>
    <n v="3334.6756097561001"/>
  </r>
  <r>
    <x v="0"/>
    <x v="0"/>
    <x v="0"/>
    <x v="0"/>
    <x v="0"/>
    <s v="DK1_Rural"/>
    <x v="0"/>
    <s v="GNR_ENG_BGAS_BP_E-41"/>
    <x v="0"/>
    <x v="17"/>
    <n v="2.5378048780487799"/>
    <n v="926.29878048780495"/>
    <n v="3334.6756097561001"/>
  </r>
  <r>
    <x v="0"/>
    <x v="0"/>
    <x v="0"/>
    <x v="0"/>
    <x v="0"/>
    <s v="DK1_Rural"/>
    <x v="0"/>
    <s v="GNR_ENG_BGAS_BP_E-41"/>
    <x v="0"/>
    <x v="18"/>
    <n v="2.5378048780487799"/>
    <n v="926.29878048780495"/>
    <n v="3334.6756097561001"/>
  </r>
  <r>
    <x v="0"/>
    <x v="0"/>
    <x v="0"/>
    <x v="0"/>
    <x v="0"/>
    <s v="DK1_Rural"/>
    <x v="0"/>
    <s v="GNR_ENG_BGAS_BP_E-41"/>
    <x v="0"/>
    <x v="19"/>
    <n v="2.5378048780487799"/>
    <n v="926.29878048780495"/>
    <n v="3334.6756097561001"/>
  </r>
  <r>
    <x v="0"/>
    <x v="0"/>
    <x v="0"/>
    <x v="0"/>
    <x v="0"/>
    <s v="DK1_Rural"/>
    <x v="0"/>
    <s v="GNR_ENG_BGAS_BP_E-41"/>
    <x v="0"/>
    <x v="20"/>
    <n v="2.5378048780487799"/>
    <n v="926.29878048780495"/>
    <n v="3334.6756097561001"/>
  </r>
  <r>
    <x v="0"/>
    <x v="0"/>
    <x v="0"/>
    <x v="0"/>
    <x v="0"/>
    <s v="DK1_Rural"/>
    <x v="0"/>
    <s v="GNR_ENG_BGAS_BP_E-41"/>
    <x v="0"/>
    <x v="21"/>
    <n v="2.5378048780487799"/>
    <n v="926.29878048780495"/>
    <n v="3334.6756097561001"/>
  </r>
  <r>
    <x v="0"/>
    <x v="0"/>
    <x v="0"/>
    <x v="0"/>
    <x v="0"/>
    <s v="DK1_Rural"/>
    <x v="0"/>
    <s v="GNR_ENG_BGAS_BP_E-41"/>
    <x v="0"/>
    <x v="22"/>
    <n v="2.5378048780487799"/>
    <n v="926.29878048780495"/>
    <n v="3334.6756097561001"/>
  </r>
  <r>
    <x v="0"/>
    <x v="0"/>
    <x v="0"/>
    <x v="0"/>
    <x v="0"/>
    <s v="DK1_Rural"/>
    <x v="0"/>
    <s v="GNR_ENG_BGAS_BP_E-41"/>
    <x v="0"/>
    <x v="23"/>
    <n v="2.5378048780487799"/>
    <n v="926.29878048780495"/>
    <n v="3334.6756097561001"/>
  </r>
  <r>
    <x v="0"/>
    <x v="0"/>
    <x v="0"/>
    <x v="0"/>
    <x v="0"/>
    <s v="DK1_Rural"/>
    <x v="0"/>
    <s v="GNR_ENG_BGAS_BP_E-42"/>
    <x v="0"/>
    <x v="0"/>
    <n v="10.402439024390199"/>
    <n v="3796.89024390244"/>
    <n v="13668.804878048801"/>
  </r>
  <r>
    <x v="0"/>
    <x v="0"/>
    <x v="0"/>
    <x v="0"/>
    <x v="0"/>
    <s v="DK1_Rural"/>
    <x v="0"/>
    <s v="GNR_ENG_BGAS_BP_E-42"/>
    <x v="0"/>
    <x v="1"/>
    <n v="10.402439024390199"/>
    <n v="3796.89024390244"/>
    <n v="13668.804878048801"/>
  </r>
  <r>
    <x v="0"/>
    <x v="0"/>
    <x v="0"/>
    <x v="0"/>
    <x v="0"/>
    <s v="DK1_Rural"/>
    <x v="0"/>
    <s v="GNR_ENG_BGAS_BP_E-42"/>
    <x v="0"/>
    <x v="2"/>
    <n v="10.402439024390199"/>
    <n v="3796.89024390244"/>
    <n v="13668.804878048801"/>
  </r>
  <r>
    <x v="0"/>
    <x v="0"/>
    <x v="0"/>
    <x v="0"/>
    <x v="0"/>
    <s v="DK1_Rural"/>
    <x v="0"/>
    <s v="GNR_ENG_BGAS_BP_E-42"/>
    <x v="0"/>
    <x v="3"/>
    <n v="10.402439024390199"/>
    <n v="3796.89024390244"/>
    <n v="13668.804878048801"/>
  </r>
  <r>
    <x v="0"/>
    <x v="0"/>
    <x v="0"/>
    <x v="0"/>
    <x v="0"/>
    <s v="DK1_Rural"/>
    <x v="0"/>
    <s v="GNR_ENG_BGAS_BP_E-42"/>
    <x v="0"/>
    <x v="4"/>
    <n v="10.402439024390199"/>
    <n v="3796.89024390244"/>
    <n v="13668.804878048801"/>
  </r>
  <r>
    <x v="0"/>
    <x v="0"/>
    <x v="0"/>
    <x v="0"/>
    <x v="0"/>
    <s v="DK1_Rural"/>
    <x v="0"/>
    <s v="GNR_ENG_BGAS_BP_E-42"/>
    <x v="0"/>
    <x v="5"/>
    <n v="10.402439024390199"/>
    <n v="3796.89024390244"/>
    <n v="13668.804878048801"/>
  </r>
  <r>
    <x v="0"/>
    <x v="0"/>
    <x v="0"/>
    <x v="0"/>
    <x v="0"/>
    <s v="DK1_Rural"/>
    <x v="0"/>
    <s v="GNR_ENG_BGAS_BP_E-42"/>
    <x v="0"/>
    <x v="6"/>
    <n v="10.402439024390199"/>
    <n v="3796.89024390244"/>
    <n v="13668.804878048801"/>
  </r>
  <r>
    <x v="0"/>
    <x v="0"/>
    <x v="0"/>
    <x v="0"/>
    <x v="0"/>
    <s v="DK1_Rural"/>
    <x v="0"/>
    <s v="GNR_ENG_BGAS_BP_E-42"/>
    <x v="0"/>
    <x v="7"/>
    <n v="10.402439024390199"/>
    <n v="3796.89024390244"/>
    <n v="13668.804878048801"/>
  </r>
  <r>
    <x v="0"/>
    <x v="0"/>
    <x v="0"/>
    <x v="0"/>
    <x v="0"/>
    <s v="DK1_Rural"/>
    <x v="0"/>
    <s v="GNR_ENG_BGAS_BP_E-42"/>
    <x v="0"/>
    <x v="8"/>
    <n v="10.402439024390199"/>
    <n v="3796.89024390244"/>
    <n v="13668.804878048801"/>
  </r>
  <r>
    <x v="0"/>
    <x v="0"/>
    <x v="0"/>
    <x v="0"/>
    <x v="0"/>
    <s v="DK1_Rural"/>
    <x v="0"/>
    <s v="GNR_ENG_BGAS_BP_E-42"/>
    <x v="0"/>
    <x v="9"/>
    <n v="10.402439024390199"/>
    <n v="3796.89024390244"/>
    <n v="13668.804878048801"/>
  </r>
  <r>
    <x v="0"/>
    <x v="0"/>
    <x v="0"/>
    <x v="0"/>
    <x v="0"/>
    <s v="DK1_Rural"/>
    <x v="0"/>
    <s v="GNR_ENG_BGAS_BP_E-42"/>
    <x v="0"/>
    <x v="10"/>
    <n v="10.402439024390199"/>
    <n v="3796.89024390244"/>
    <n v="13668.804878048801"/>
  </r>
  <r>
    <x v="0"/>
    <x v="0"/>
    <x v="0"/>
    <x v="0"/>
    <x v="0"/>
    <s v="DK1_Rural"/>
    <x v="0"/>
    <s v="GNR_ENG_BGAS_BP_E-42"/>
    <x v="0"/>
    <x v="11"/>
    <n v="10.402439024390199"/>
    <n v="3796.89024390244"/>
    <n v="13668.804878048801"/>
  </r>
  <r>
    <x v="0"/>
    <x v="0"/>
    <x v="0"/>
    <x v="0"/>
    <x v="0"/>
    <s v="DK1_Rural"/>
    <x v="0"/>
    <s v="GNR_ENG_BGAS_BP_E-42"/>
    <x v="0"/>
    <x v="12"/>
    <n v="10.402439024390199"/>
    <n v="3796.89024390244"/>
    <n v="13668.804878048801"/>
  </r>
  <r>
    <x v="0"/>
    <x v="0"/>
    <x v="0"/>
    <x v="0"/>
    <x v="0"/>
    <s v="DK1_Rural"/>
    <x v="0"/>
    <s v="GNR_ENG_BGAS_BP_E-42"/>
    <x v="0"/>
    <x v="13"/>
    <n v="10.402439024390199"/>
    <n v="3796.89024390244"/>
    <n v="13668.804878048801"/>
  </r>
  <r>
    <x v="0"/>
    <x v="0"/>
    <x v="0"/>
    <x v="0"/>
    <x v="0"/>
    <s v="DK1_Rural"/>
    <x v="0"/>
    <s v="GNR_ENG_BGAS_BP_E-42"/>
    <x v="0"/>
    <x v="14"/>
    <n v="10.402439024390199"/>
    <n v="3796.89024390244"/>
    <n v="13668.804878048801"/>
  </r>
  <r>
    <x v="0"/>
    <x v="0"/>
    <x v="0"/>
    <x v="0"/>
    <x v="0"/>
    <s v="DK1_Rural"/>
    <x v="0"/>
    <s v="GNR_ENG_BGAS_BP_E-42"/>
    <x v="0"/>
    <x v="15"/>
    <n v="10.402439024390199"/>
    <n v="3796.89024390244"/>
    <n v="13668.804878048801"/>
  </r>
  <r>
    <x v="0"/>
    <x v="0"/>
    <x v="0"/>
    <x v="0"/>
    <x v="0"/>
    <s v="DK1_Rural"/>
    <x v="0"/>
    <s v="GNR_ENG_BGAS_BP_E-42"/>
    <x v="0"/>
    <x v="16"/>
    <n v="10.402439024390199"/>
    <n v="3796.89024390244"/>
    <n v="13668.804878048801"/>
  </r>
  <r>
    <x v="0"/>
    <x v="0"/>
    <x v="0"/>
    <x v="0"/>
    <x v="0"/>
    <s v="DK1_Rural"/>
    <x v="0"/>
    <s v="GNR_ENG_BGAS_BP_E-42"/>
    <x v="0"/>
    <x v="17"/>
    <n v="10.402439024390199"/>
    <n v="3796.89024390244"/>
    <n v="13668.804878048801"/>
  </r>
  <r>
    <x v="0"/>
    <x v="0"/>
    <x v="0"/>
    <x v="0"/>
    <x v="0"/>
    <s v="DK1_Rural"/>
    <x v="0"/>
    <s v="GNR_ENG_BGAS_BP_E-42"/>
    <x v="0"/>
    <x v="18"/>
    <n v="10.402439024390199"/>
    <n v="3796.89024390244"/>
    <n v="13668.804878048801"/>
  </r>
  <r>
    <x v="0"/>
    <x v="0"/>
    <x v="0"/>
    <x v="0"/>
    <x v="0"/>
    <s v="DK1_Rural"/>
    <x v="0"/>
    <s v="GNR_ENG_BGAS_BP_E-42"/>
    <x v="0"/>
    <x v="19"/>
    <n v="10.402439024390199"/>
    <n v="3796.89024390244"/>
    <n v="13668.804878048801"/>
  </r>
  <r>
    <x v="0"/>
    <x v="0"/>
    <x v="0"/>
    <x v="0"/>
    <x v="0"/>
    <s v="DK1_Rural"/>
    <x v="0"/>
    <s v="GNR_ENG_BGAS_BP_E-42"/>
    <x v="0"/>
    <x v="20"/>
    <n v="10.402439024390199"/>
    <n v="3796.89024390244"/>
    <n v="13668.804878048801"/>
  </r>
  <r>
    <x v="0"/>
    <x v="0"/>
    <x v="0"/>
    <x v="0"/>
    <x v="0"/>
    <s v="DK1_Rural"/>
    <x v="0"/>
    <s v="GNR_ENG_BGAS_BP_E-42"/>
    <x v="0"/>
    <x v="21"/>
    <n v="10.402439024390199"/>
    <n v="3796.89024390244"/>
    <n v="13668.804878048801"/>
  </r>
  <r>
    <x v="0"/>
    <x v="0"/>
    <x v="0"/>
    <x v="0"/>
    <x v="0"/>
    <s v="DK1_Rural"/>
    <x v="0"/>
    <s v="GNR_ENG_BGAS_BP_E-42"/>
    <x v="0"/>
    <x v="22"/>
    <n v="10.402439024390199"/>
    <n v="3796.89024390244"/>
    <n v="13668.804878048801"/>
  </r>
  <r>
    <x v="0"/>
    <x v="0"/>
    <x v="0"/>
    <x v="0"/>
    <x v="0"/>
    <s v="DK1_Rural"/>
    <x v="0"/>
    <s v="GNR_ENG_BGAS_BP_E-42"/>
    <x v="0"/>
    <x v="23"/>
    <n v="10.402439024390199"/>
    <n v="3796.89024390244"/>
    <n v="13668.804878048801"/>
  </r>
  <r>
    <x v="0"/>
    <x v="0"/>
    <x v="0"/>
    <x v="0"/>
    <x v="0"/>
    <s v="DK1_Rural"/>
    <x v="0"/>
    <s v="GNR_ENG_BGAS_BP_E-43"/>
    <x v="0"/>
    <x v="0"/>
    <n v="6.2682926829268304"/>
    <n v="2287.92682926829"/>
    <n v="8236.5365853658495"/>
  </r>
  <r>
    <x v="0"/>
    <x v="0"/>
    <x v="0"/>
    <x v="0"/>
    <x v="0"/>
    <s v="DK1_Rural"/>
    <x v="0"/>
    <s v="GNR_ENG_BGAS_BP_E-43"/>
    <x v="0"/>
    <x v="1"/>
    <n v="6.2682926829268304"/>
    <n v="2287.92682926829"/>
    <n v="8236.5365853658495"/>
  </r>
  <r>
    <x v="0"/>
    <x v="0"/>
    <x v="0"/>
    <x v="0"/>
    <x v="0"/>
    <s v="DK1_Rural"/>
    <x v="0"/>
    <s v="GNR_ENG_BGAS_BP_E-43"/>
    <x v="0"/>
    <x v="2"/>
    <n v="6.2682926829268304"/>
    <n v="2287.92682926829"/>
    <n v="8236.5365853658495"/>
  </r>
  <r>
    <x v="0"/>
    <x v="0"/>
    <x v="0"/>
    <x v="0"/>
    <x v="0"/>
    <s v="DK1_Rural"/>
    <x v="0"/>
    <s v="GNR_ENG_BGAS_BP_E-43"/>
    <x v="0"/>
    <x v="3"/>
    <n v="6.2682926829268304"/>
    <n v="2287.92682926829"/>
    <n v="8236.5365853658495"/>
  </r>
  <r>
    <x v="0"/>
    <x v="0"/>
    <x v="0"/>
    <x v="0"/>
    <x v="0"/>
    <s v="DK1_Rural"/>
    <x v="0"/>
    <s v="GNR_ENG_BGAS_BP_E-43"/>
    <x v="0"/>
    <x v="4"/>
    <n v="6.2682926829268304"/>
    <n v="2287.92682926829"/>
    <n v="8236.5365853658495"/>
  </r>
  <r>
    <x v="0"/>
    <x v="0"/>
    <x v="0"/>
    <x v="0"/>
    <x v="0"/>
    <s v="DK1_Rural"/>
    <x v="0"/>
    <s v="GNR_ENG_BGAS_BP_E-43"/>
    <x v="0"/>
    <x v="5"/>
    <n v="6.2682926829268304"/>
    <n v="2287.92682926829"/>
    <n v="8236.5365853658495"/>
  </r>
  <r>
    <x v="0"/>
    <x v="0"/>
    <x v="0"/>
    <x v="0"/>
    <x v="0"/>
    <s v="DK1_Rural"/>
    <x v="0"/>
    <s v="GNR_ENG_BGAS_BP_E-43"/>
    <x v="0"/>
    <x v="6"/>
    <n v="6.2682926829268304"/>
    <n v="2287.92682926829"/>
    <n v="8236.5365853658495"/>
  </r>
  <r>
    <x v="0"/>
    <x v="0"/>
    <x v="0"/>
    <x v="0"/>
    <x v="0"/>
    <s v="DK1_Rural"/>
    <x v="0"/>
    <s v="GNR_ENG_BGAS_BP_E-43"/>
    <x v="0"/>
    <x v="7"/>
    <n v="6.2682926829268304"/>
    <n v="2287.92682926829"/>
    <n v="8236.5365853658495"/>
  </r>
  <r>
    <x v="0"/>
    <x v="0"/>
    <x v="0"/>
    <x v="0"/>
    <x v="0"/>
    <s v="DK1_Rural"/>
    <x v="0"/>
    <s v="GNR_ENG_BGAS_BP_E-43"/>
    <x v="0"/>
    <x v="8"/>
    <n v="6.2682926829268304"/>
    <n v="2287.92682926829"/>
    <n v="8236.5365853658495"/>
  </r>
  <r>
    <x v="0"/>
    <x v="0"/>
    <x v="0"/>
    <x v="0"/>
    <x v="0"/>
    <s v="DK1_Rural"/>
    <x v="0"/>
    <s v="GNR_ENG_BGAS_BP_E-43"/>
    <x v="0"/>
    <x v="9"/>
    <n v="6.2682926829268304"/>
    <n v="2287.92682926829"/>
    <n v="8236.5365853658495"/>
  </r>
  <r>
    <x v="0"/>
    <x v="0"/>
    <x v="0"/>
    <x v="0"/>
    <x v="0"/>
    <s v="DK1_Rural"/>
    <x v="0"/>
    <s v="GNR_ENG_BGAS_BP_E-43"/>
    <x v="0"/>
    <x v="10"/>
    <n v="6.2682926829268304"/>
    <n v="2287.92682926829"/>
    <n v="8236.5365853658495"/>
  </r>
  <r>
    <x v="0"/>
    <x v="0"/>
    <x v="0"/>
    <x v="0"/>
    <x v="0"/>
    <s v="DK1_Rural"/>
    <x v="0"/>
    <s v="GNR_ENG_BGAS_BP_E-43"/>
    <x v="0"/>
    <x v="11"/>
    <n v="6.2682926829268304"/>
    <n v="2287.92682926829"/>
    <n v="8236.5365853658495"/>
  </r>
  <r>
    <x v="0"/>
    <x v="0"/>
    <x v="0"/>
    <x v="0"/>
    <x v="0"/>
    <s v="DK1_Rural"/>
    <x v="0"/>
    <s v="GNR_ENG_BGAS_BP_E-43"/>
    <x v="0"/>
    <x v="12"/>
    <n v="6.2682926829268304"/>
    <n v="2287.92682926829"/>
    <n v="8236.5365853658495"/>
  </r>
  <r>
    <x v="0"/>
    <x v="0"/>
    <x v="0"/>
    <x v="0"/>
    <x v="0"/>
    <s v="DK1_Rural"/>
    <x v="0"/>
    <s v="GNR_ENG_BGAS_BP_E-43"/>
    <x v="0"/>
    <x v="13"/>
    <n v="6.2682926829268304"/>
    <n v="2287.92682926829"/>
    <n v="8236.5365853658495"/>
  </r>
  <r>
    <x v="0"/>
    <x v="0"/>
    <x v="0"/>
    <x v="0"/>
    <x v="0"/>
    <s v="DK1_Rural"/>
    <x v="0"/>
    <s v="GNR_ENG_BGAS_BP_E-43"/>
    <x v="0"/>
    <x v="14"/>
    <n v="6.2682926829268304"/>
    <n v="2287.92682926829"/>
    <n v="8236.5365853658495"/>
  </r>
  <r>
    <x v="0"/>
    <x v="0"/>
    <x v="0"/>
    <x v="0"/>
    <x v="0"/>
    <s v="DK1_Rural"/>
    <x v="0"/>
    <s v="GNR_ENG_BGAS_BP_E-43"/>
    <x v="0"/>
    <x v="15"/>
    <n v="6.2682926829268304"/>
    <n v="2287.92682926829"/>
    <n v="8236.5365853658495"/>
  </r>
  <r>
    <x v="0"/>
    <x v="0"/>
    <x v="0"/>
    <x v="0"/>
    <x v="0"/>
    <s v="DK1_Rural"/>
    <x v="0"/>
    <s v="GNR_ENG_BGAS_BP_E-43"/>
    <x v="0"/>
    <x v="16"/>
    <n v="6.2682926829268304"/>
    <n v="2287.92682926829"/>
    <n v="8236.5365853658495"/>
  </r>
  <r>
    <x v="0"/>
    <x v="0"/>
    <x v="0"/>
    <x v="0"/>
    <x v="0"/>
    <s v="DK1_Rural"/>
    <x v="0"/>
    <s v="GNR_ENG_BGAS_BP_E-43"/>
    <x v="0"/>
    <x v="17"/>
    <n v="6.2682926829268304"/>
    <n v="2287.92682926829"/>
    <n v="8236.5365853658495"/>
  </r>
  <r>
    <x v="0"/>
    <x v="0"/>
    <x v="0"/>
    <x v="0"/>
    <x v="0"/>
    <s v="DK1_Rural"/>
    <x v="0"/>
    <s v="GNR_ENG_BGAS_BP_E-43"/>
    <x v="0"/>
    <x v="18"/>
    <n v="6.2682926829268304"/>
    <n v="2287.92682926829"/>
    <n v="8236.5365853658495"/>
  </r>
  <r>
    <x v="0"/>
    <x v="0"/>
    <x v="0"/>
    <x v="0"/>
    <x v="0"/>
    <s v="DK1_Rural"/>
    <x v="0"/>
    <s v="GNR_ENG_BGAS_BP_E-43"/>
    <x v="0"/>
    <x v="19"/>
    <n v="6.2682926829268304"/>
    <n v="2287.92682926829"/>
    <n v="8236.5365853658495"/>
  </r>
  <r>
    <x v="0"/>
    <x v="0"/>
    <x v="0"/>
    <x v="0"/>
    <x v="0"/>
    <s v="DK1_Rural"/>
    <x v="0"/>
    <s v="GNR_ENG_BGAS_BP_E-43"/>
    <x v="0"/>
    <x v="20"/>
    <n v="6.2682926829268304"/>
    <n v="2287.92682926829"/>
    <n v="8236.5365853658495"/>
  </r>
  <r>
    <x v="0"/>
    <x v="0"/>
    <x v="0"/>
    <x v="0"/>
    <x v="0"/>
    <s v="DK1_Rural"/>
    <x v="0"/>
    <s v="GNR_ENG_BGAS_BP_E-43"/>
    <x v="0"/>
    <x v="21"/>
    <n v="6.2682926829268304"/>
    <n v="2287.92682926829"/>
    <n v="8236.5365853658495"/>
  </r>
  <r>
    <x v="0"/>
    <x v="0"/>
    <x v="0"/>
    <x v="0"/>
    <x v="0"/>
    <s v="DK1_Rural"/>
    <x v="0"/>
    <s v="GNR_ENG_BGAS_BP_E-43"/>
    <x v="0"/>
    <x v="22"/>
    <n v="6.2682926829268304"/>
    <n v="2287.92682926829"/>
    <n v="8236.5365853658495"/>
  </r>
  <r>
    <x v="0"/>
    <x v="0"/>
    <x v="0"/>
    <x v="0"/>
    <x v="0"/>
    <s v="DK1_Rural"/>
    <x v="0"/>
    <s v="GNR_ENG_BGAS_BP_E-43"/>
    <x v="0"/>
    <x v="23"/>
    <n v="6.2682926829268304"/>
    <n v="2287.92682926829"/>
    <n v="8236.5365853658495"/>
  </r>
  <r>
    <x v="0"/>
    <x v="0"/>
    <x v="0"/>
    <x v="0"/>
    <x v="0"/>
    <s v="DK1_Rural"/>
    <x v="2"/>
    <s v="GNR_HS_HEAT-E-100"/>
    <x v="0"/>
    <x v="7"/>
    <n v="76.944356740523702"/>
    <n v="28084.690210291101"/>
    <n v="101104.884757048"/>
  </r>
  <r>
    <x v="0"/>
    <x v="0"/>
    <x v="0"/>
    <x v="0"/>
    <x v="0"/>
    <s v="DK1_Rural"/>
    <x v="2"/>
    <s v="GNR_HS_HEAT-E-100"/>
    <x v="0"/>
    <x v="8"/>
    <n v="91.725640188207393"/>
    <n v="33479.858668695699"/>
    <n v="120527.491207304"/>
  </r>
  <r>
    <x v="0"/>
    <x v="0"/>
    <x v="0"/>
    <x v="0"/>
    <x v="0"/>
    <s v="DK1_Rural"/>
    <x v="2"/>
    <s v="GNR_HS_HEAT-E-100"/>
    <x v="0"/>
    <x v="9"/>
    <n v="77.350603848760699"/>
    <n v="28232.970404797699"/>
    <n v="101638.69345727201"/>
  </r>
  <r>
    <x v="0"/>
    <x v="0"/>
    <x v="0"/>
    <x v="0"/>
    <x v="0"/>
    <s v="DK1_Rural"/>
    <x v="2"/>
    <s v="GNR_HS_HEAT-E-100"/>
    <x v="0"/>
    <x v="10"/>
    <n v="84.872780370875702"/>
    <n v="30978.564835369601"/>
    <n v="111522.833407331"/>
  </r>
  <r>
    <x v="0"/>
    <x v="0"/>
    <x v="0"/>
    <x v="0"/>
    <x v="0"/>
    <s v="DK1_Rural"/>
    <x v="2"/>
    <s v="GNR_HS_HEAT-E-100"/>
    <x v="0"/>
    <x v="11"/>
    <n v="81.461714959871799"/>
    <n v="29733.525960353199"/>
    <n v="107040.69345727201"/>
  </r>
  <r>
    <x v="0"/>
    <x v="0"/>
    <x v="0"/>
    <x v="0"/>
    <x v="0"/>
    <s v="DK1_Rural"/>
    <x v="2"/>
    <s v="GNR_HS_HEAT-E-100"/>
    <x v="0"/>
    <x v="12"/>
    <n v="72.717307958069696"/>
    <n v="26541.817404695499"/>
    <n v="95550.542656903606"/>
  </r>
  <r>
    <x v="0"/>
    <x v="0"/>
    <x v="0"/>
    <x v="0"/>
    <x v="0"/>
    <s v="DK1_Rural"/>
    <x v="2"/>
    <s v="GNR_HS_HEAT-E-100"/>
    <x v="0"/>
    <x v="13"/>
    <n v="57.936024510386098"/>
    <n v="21146.648946290901"/>
    <n v="76127.936206647399"/>
  </r>
  <r>
    <x v="0"/>
    <x v="0"/>
    <x v="0"/>
    <x v="0"/>
    <x v="0"/>
    <s v="DK1_Rural"/>
    <x v="2"/>
    <s v="GNR_HS_HEAT-E-100"/>
    <x v="0"/>
    <x v="14"/>
    <n v="51.520140796615301"/>
    <n v="18804.851390764601"/>
    <n v="67697.465006752405"/>
  </r>
  <r>
    <x v="0"/>
    <x v="0"/>
    <x v="0"/>
    <x v="0"/>
    <x v="0"/>
    <s v="DK1_Rural"/>
    <x v="2"/>
    <s v="GNR_HS_HEAT-E-100"/>
    <x v="0"/>
    <x v="15"/>
    <n v="69.6852498149551"/>
    <n v="25435.116182458602"/>
    <n v="91566.418256851"/>
  </r>
  <r>
    <x v="0"/>
    <x v="0"/>
    <x v="0"/>
    <x v="0"/>
    <x v="0"/>
    <s v="DK1_Rural"/>
    <x v="2"/>
    <s v="GNR_HS_HEAT-E-100"/>
    <x v="0"/>
    <x v="16"/>
    <n v="73.096315225959003"/>
    <n v="26680.155057475"/>
    <n v="96048.558206910195"/>
  </r>
  <r>
    <x v="0"/>
    <x v="0"/>
    <x v="0"/>
    <x v="0"/>
    <x v="0"/>
    <s v="DK1_Rural"/>
    <x v="2"/>
    <s v="GNR_HS_HEAT-E-100"/>
    <x v="0"/>
    <x v="17"/>
    <n v="70.849511458970795"/>
    <n v="25860.0716825243"/>
    <n v="93096.258057087602"/>
  </r>
  <r>
    <x v="0"/>
    <x v="0"/>
    <x v="0"/>
    <x v="0"/>
    <x v="0"/>
    <s v="DK1_Rural"/>
    <x v="2"/>
    <s v="GNR_HS_HEAT-E-100"/>
    <x v="0"/>
    <x v="18"/>
    <n v="81.813482387413401"/>
    <n v="29861.921071405901"/>
    <n v="107502.915857061"/>
  </r>
  <r>
    <x v="0"/>
    <x v="0"/>
    <x v="0"/>
    <x v="0"/>
    <x v="0"/>
    <s v="DK1_Rural"/>
    <x v="2"/>
    <s v="GNR_HS_HEAT-E-100"/>
    <x v="0"/>
    <x v="19"/>
    <n v="66.274184403951296"/>
    <n v="24190.0773074422"/>
    <n v="87084.278306791995"/>
  </r>
  <r>
    <x v="0"/>
    <x v="0"/>
    <x v="0"/>
    <x v="0"/>
    <x v="0"/>
    <s v="DK1_Rural"/>
    <x v="2"/>
    <s v="GNR_HS_HEAT-E-100"/>
    <x v="0"/>
    <x v="20"/>
    <n v="27.270618852690401"/>
    <n v="9953.7758812320008"/>
    <n v="35833.593172435198"/>
  </r>
  <r>
    <x v="0"/>
    <x v="0"/>
    <x v="0"/>
    <x v="0"/>
    <x v="0"/>
    <s v="DK1_Rural"/>
    <x v="4"/>
    <s v="GNR_ENG_NGAS_BP_E-47"/>
    <x v="0"/>
    <x v="6"/>
    <n v="4.1111111111111098"/>
    <n v="1500.55555555556"/>
    <n v="5402"/>
  </r>
  <r>
    <x v="0"/>
    <x v="0"/>
    <x v="0"/>
    <x v="0"/>
    <x v="0"/>
    <s v="DK1_Rural"/>
    <x v="4"/>
    <s v="GNR_ENG_NGAS_BP_E-47"/>
    <x v="0"/>
    <x v="7"/>
    <n v="4.1111111111111098"/>
    <n v="1500.55555555556"/>
    <n v="5402"/>
  </r>
  <r>
    <x v="0"/>
    <x v="0"/>
    <x v="0"/>
    <x v="0"/>
    <x v="0"/>
    <s v="DK1_Rural"/>
    <x v="4"/>
    <s v="GNR_ENG_NGAS_BP_E-47"/>
    <x v="0"/>
    <x v="8"/>
    <n v="4.1111111111111098"/>
    <n v="1500.55555555556"/>
    <n v="5402"/>
  </r>
  <r>
    <x v="0"/>
    <x v="0"/>
    <x v="0"/>
    <x v="0"/>
    <x v="0"/>
    <s v="DK1_Rural"/>
    <x v="4"/>
    <s v="GNR_ENG_NGAS_BP_E-47"/>
    <x v="0"/>
    <x v="9"/>
    <n v="4.1111111111111098"/>
    <n v="1500.55555555556"/>
    <n v="5402"/>
  </r>
  <r>
    <x v="0"/>
    <x v="0"/>
    <x v="0"/>
    <x v="0"/>
    <x v="0"/>
    <s v="DK1_Rural"/>
    <x v="5"/>
    <s v="GNR_BO_STRW_E-100"/>
    <x v="0"/>
    <x v="0"/>
    <n v="133.37"/>
    <n v="48680.05"/>
    <n v="175248.18"/>
  </r>
  <r>
    <x v="0"/>
    <x v="0"/>
    <x v="0"/>
    <x v="0"/>
    <x v="0"/>
    <s v="DK1_Rural"/>
    <x v="5"/>
    <s v="GNR_BO_STRW_E-100"/>
    <x v="0"/>
    <x v="1"/>
    <n v="133.37"/>
    <n v="48680.05"/>
    <n v="175248.18"/>
  </r>
  <r>
    <x v="0"/>
    <x v="0"/>
    <x v="0"/>
    <x v="0"/>
    <x v="0"/>
    <s v="DK1_Rural"/>
    <x v="5"/>
    <s v="GNR_BO_STRW_E-100"/>
    <x v="0"/>
    <x v="2"/>
    <n v="133.37"/>
    <n v="48680.05"/>
    <n v="175248.18"/>
  </r>
  <r>
    <x v="0"/>
    <x v="0"/>
    <x v="0"/>
    <x v="0"/>
    <x v="0"/>
    <s v="DK1_Rural"/>
    <x v="5"/>
    <s v="GNR_BO_STRW_E-100"/>
    <x v="0"/>
    <x v="3"/>
    <n v="133.37"/>
    <n v="48680.05"/>
    <n v="175248.18"/>
  </r>
  <r>
    <x v="0"/>
    <x v="0"/>
    <x v="0"/>
    <x v="0"/>
    <x v="0"/>
    <s v="DK1_Rural"/>
    <x v="5"/>
    <s v="GNR_BO_STRW_E-100"/>
    <x v="0"/>
    <x v="4"/>
    <n v="133.37"/>
    <n v="48680.05"/>
    <n v="175248.18"/>
  </r>
  <r>
    <x v="0"/>
    <x v="0"/>
    <x v="0"/>
    <x v="0"/>
    <x v="0"/>
    <s v="DK1_Rural"/>
    <x v="5"/>
    <s v="GNR_BO_STRW_E-100"/>
    <x v="0"/>
    <x v="5"/>
    <n v="133.37"/>
    <n v="48680.05"/>
    <n v="175248.18"/>
  </r>
  <r>
    <x v="0"/>
    <x v="0"/>
    <x v="0"/>
    <x v="0"/>
    <x v="0"/>
    <s v="DK1_Rural"/>
    <x v="5"/>
    <s v="GNR_BO_STRW_E-100"/>
    <x v="0"/>
    <x v="6"/>
    <n v="133.37"/>
    <n v="48680.05"/>
    <n v="175248.18"/>
  </r>
  <r>
    <x v="0"/>
    <x v="0"/>
    <x v="0"/>
    <x v="0"/>
    <x v="0"/>
    <s v="DK1_Rural"/>
    <x v="5"/>
    <s v="GNR_BO_STRW_E-100"/>
    <x v="0"/>
    <x v="7"/>
    <n v="133.37"/>
    <n v="48680.05"/>
    <n v="175248.18"/>
  </r>
  <r>
    <x v="0"/>
    <x v="0"/>
    <x v="0"/>
    <x v="0"/>
    <x v="0"/>
    <s v="DK1_Rural"/>
    <x v="5"/>
    <s v="GNR_BO_STRW_E-100"/>
    <x v="0"/>
    <x v="8"/>
    <n v="133.37"/>
    <n v="48680.05"/>
    <n v="175248.18"/>
  </r>
  <r>
    <x v="0"/>
    <x v="0"/>
    <x v="0"/>
    <x v="0"/>
    <x v="0"/>
    <s v="DK1_Rural"/>
    <x v="5"/>
    <s v="GNR_BO_STRW_E-100"/>
    <x v="0"/>
    <x v="9"/>
    <n v="133.37"/>
    <n v="48680.05"/>
    <n v="175248.18"/>
  </r>
  <r>
    <x v="0"/>
    <x v="0"/>
    <x v="0"/>
    <x v="0"/>
    <x v="0"/>
    <s v="DK1_Rural"/>
    <x v="5"/>
    <s v="GNR_BO_STRW_E-100"/>
    <x v="0"/>
    <x v="10"/>
    <n v="133.37"/>
    <n v="48680.05"/>
    <n v="175248.18"/>
  </r>
  <r>
    <x v="0"/>
    <x v="0"/>
    <x v="0"/>
    <x v="0"/>
    <x v="0"/>
    <s v="DK1_Rural"/>
    <x v="5"/>
    <s v="GNR_BO_STRW_E-100"/>
    <x v="0"/>
    <x v="11"/>
    <n v="133.37"/>
    <n v="48680.05"/>
    <n v="175248.18"/>
  </r>
  <r>
    <x v="0"/>
    <x v="0"/>
    <x v="0"/>
    <x v="0"/>
    <x v="0"/>
    <s v="DK1_Rural"/>
    <x v="5"/>
    <s v="GNR_BO_STRW_E-100"/>
    <x v="0"/>
    <x v="12"/>
    <n v="133.37"/>
    <n v="48680.05"/>
    <n v="175248.18"/>
  </r>
  <r>
    <x v="0"/>
    <x v="0"/>
    <x v="0"/>
    <x v="0"/>
    <x v="0"/>
    <s v="DK1_Rural"/>
    <x v="5"/>
    <s v="GNR_BO_STRW_E-100"/>
    <x v="0"/>
    <x v="13"/>
    <n v="133.37"/>
    <n v="48680.05"/>
    <n v="175248.18"/>
  </r>
  <r>
    <x v="0"/>
    <x v="0"/>
    <x v="0"/>
    <x v="0"/>
    <x v="0"/>
    <s v="DK1_Rural"/>
    <x v="5"/>
    <s v="GNR_BO_STRW_E-100"/>
    <x v="0"/>
    <x v="14"/>
    <n v="133.37"/>
    <n v="48680.05"/>
    <n v="175248.18"/>
  </r>
  <r>
    <x v="0"/>
    <x v="0"/>
    <x v="0"/>
    <x v="0"/>
    <x v="0"/>
    <s v="DK1_Rural"/>
    <x v="5"/>
    <s v="GNR_BO_STRW_E-100"/>
    <x v="0"/>
    <x v="15"/>
    <n v="133.37"/>
    <n v="48680.05"/>
    <n v="175248.18"/>
  </r>
  <r>
    <x v="0"/>
    <x v="0"/>
    <x v="0"/>
    <x v="0"/>
    <x v="0"/>
    <s v="DK1_Rural"/>
    <x v="5"/>
    <s v="GNR_BO_STRW_E-100"/>
    <x v="0"/>
    <x v="16"/>
    <n v="133.37"/>
    <n v="48680.05"/>
    <n v="175248.18"/>
  </r>
  <r>
    <x v="0"/>
    <x v="0"/>
    <x v="0"/>
    <x v="0"/>
    <x v="0"/>
    <s v="DK1_Rural"/>
    <x v="5"/>
    <s v="GNR_BO_STRW_E-100"/>
    <x v="0"/>
    <x v="17"/>
    <n v="133.37"/>
    <n v="48680.05"/>
    <n v="175248.18"/>
  </r>
  <r>
    <x v="0"/>
    <x v="0"/>
    <x v="0"/>
    <x v="0"/>
    <x v="0"/>
    <s v="DK1_Rural"/>
    <x v="5"/>
    <s v="GNR_BO_STRW_E-100"/>
    <x v="0"/>
    <x v="18"/>
    <n v="133.37"/>
    <n v="48680.05"/>
    <n v="175248.18"/>
  </r>
  <r>
    <x v="0"/>
    <x v="0"/>
    <x v="0"/>
    <x v="0"/>
    <x v="0"/>
    <s v="DK1_Rural"/>
    <x v="5"/>
    <s v="GNR_BO_STRW_E-100"/>
    <x v="0"/>
    <x v="19"/>
    <n v="133.37"/>
    <n v="48680.05"/>
    <n v="175248.18"/>
  </r>
  <r>
    <x v="0"/>
    <x v="0"/>
    <x v="0"/>
    <x v="0"/>
    <x v="0"/>
    <s v="DK1_Rural"/>
    <x v="5"/>
    <s v="GNR_BO_STRW_E-100"/>
    <x v="0"/>
    <x v="20"/>
    <n v="133.37"/>
    <n v="48680.05"/>
    <n v="175248.18"/>
  </r>
  <r>
    <x v="0"/>
    <x v="0"/>
    <x v="0"/>
    <x v="0"/>
    <x v="0"/>
    <s v="DK1_Rural"/>
    <x v="5"/>
    <s v="GNR_BO_STRW_E-100"/>
    <x v="0"/>
    <x v="21"/>
    <n v="133.37"/>
    <n v="48680.05"/>
    <n v="175248.18"/>
  </r>
  <r>
    <x v="0"/>
    <x v="0"/>
    <x v="0"/>
    <x v="0"/>
    <x v="0"/>
    <s v="DK1_Rural"/>
    <x v="5"/>
    <s v="GNR_BO_STRW_E-100"/>
    <x v="0"/>
    <x v="22"/>
    <n v="133.37"/>
    <n v="48680.05"/>
    <n v="175248.18"/>
  </r>
  <r>
    <x v="0"/>
    <x v="0"/>
    <x v="0"/>
    <x v="0"/>
    <x v="0"/>
    <s v="DK1_Rural"/>
    <x v="5"/>
    <s v="GNR_BO_STRW_E-100"/>
    <x v="0"/>
    <x v="23"/>
    <n v="133.37"/>
    <n v="48680.05"/>
    <n v="175248.18"/>
  </r>
  <r>
    <x v="0"/>
    <x v="0"/>
    <x v="0"/>
    <x v="0"/>
    <x v="0"/>
    <s v="DK1_Rural"/>
    <x v="5"/>
    <s v="GNR_BO_STRW_E-102"/>
    <x v="0"/>
    <x v="0"/>
    <n v="56.96"/>
    <n v="20790.400000000001"/>
    <n v="74845.440000000002"/>
  </r>
  <r>
    <x v="0"/>
    <x v="0"/>
    <x v="0"/>
    <x v="0"/>
    <x v="0"/>
    <s v="DK1_Rural"/>
    <x v="5"/>
    <s v="GNR_BO_STRW_E-102"/>
    <x v="0"/>
    <x v="1"/>
    <n v="56.96"/>
    <n v="20790.400000000001"/>
    <n v="74845.440000000002"/>
  </r>
  <r>
    <x v="0"/>
    <x v="0"/>
    <x v="0"/>
    <x v="0"/>
    <x v="0"/>
    <s v="DK1_Rural"/>
    <x v="5"/>
    <s v="GNR_BO_STRW_E-102"/>
    <x v="0"/>
    <x v="2"/>
    <n v="56.96"/>
    <n v="20790.400000000001"/>
    <n v="74845.440000000002"/>
  </r>
  <r>
    <x v="0"/>
    <x v="0"/>
    <x v="0"/>
    <x v="0"/>
    <x v="0"/>
    <s v="DK1_Rural"/>
    <x v="5"/>
    <s v="GNR_BO_STRW_E-102"/>
    <x v="0"/>
    <x v="3"/>
    <n v="56.96"/>
    <n v="20790.400000000001"/>
    <n v="74845.440000000002"/>
  </r>
  <r>
    <x v="0"/>
    <x v="0"/>
    <x v="0"/>
    <x v="0"/>
    <x v="0"/>
    <s v="DK1_Rural"/>
    <x v="5"/>
    <s v="GNR_BO_STRW_E-102"/>
    <x v="0"/>
    <x v="4"/>
    <n v="56.96"/>
    <n v="20790.400000000001"/>
    <n v="74845.440000000002"/>
  </r>
  <r>
    <x v="0"/>
    <x v="0"/>
    <x v="0"/>
    <x v="0"/>
    <x v="0"/>
    <s v="DK1_Rural"/>
    <x v="5"/>
    <s v="GNR_BO_STRW_E-102"/>
    <x v="0"/>
    <x v="5"/>
    <n v="56.96"/>
    <n v="20790.400000000001"/>
    <n v="74845.440000000002"/>
  </r>
  <r>
    <x v="0"/>
    <x v="0"/>
    <x v="0"/>
    <x v="0"/>
    <x v="0"/>
    <s v="DK1_Rural"/>
    <x v="5"/>
    <s v="GNR_BO_STRW_E-102"/>
    <x v="0"/>
    <x v="6"/>
    <n v="56.96"/>
    <n v="20790.400000000001"/>
    <n v="74845.440000000002"/>
  </r>
  <r>
    <x v="0"/>
    <x v="0"/>
    <x v="0"/>
    <x v="0"/>
    <x v="0"/>
    <s v="DK1_Rural"/>
    <x v="5"/>
    <s v="GNR_BO_STRW_E-102"/>
    <x v="0"/>
    <x v="7"/>
    <n v="56.96"/>
    <n v="20790.400000000001"/>
    <n v="74845.440000000002"/>
  </r>
  <r>
    <x v="0"/>
    <x v="0"/>
    <x v="0"/>
    <x v="0"/>
    <x v="0"/>
    <s v="DK1_Rural"/>
    <x v="5"/>
    <s v="GNR_BO_STRW_E-102"/>
    <x v="0"/>
    <x v="8"/>
    <n v="56.96"/>
    <n v="20790.400000000001"/>
    <n v="74845.440000000002"/>
  </r>
  <r>
    <x v="0"/>
    <x v="0"/>
    <x v="0"/>
    <x v="0"/>
    <x v="0"/>
    <s v="DK1_Rural"/>
    <x v="5"/>
    <s v="GNR_BO_STRW_E-102"/>
    <x v="0"/>
    <x v="9"/>
    <n v="56.96"/>
    <n v="20790.400000000001"/>
    <n v="74845.440000000002"/>
  </r>
  <r>
    <x v="0"/>
    <x v="0"/>
    <x v="0"/>
    <x v="0"/>
    <x v="0"/>
    <s v="DK1_Rural"/>
    <x v="5"/>
    <s v="GNR_BO_STRW_E-102"/>
    <x v="0"/>
    <x v="10"/>
    <n v="56.96"/>
    <n v="20790.400000000001"/>
    <n v="74845.440000000002"/>
  </r>
  <r>
    <x v="0"/>
    <x v="0"/>
    <x v="0"/>
    <x v="0"/>
    <x v="0"/>
    <s v="DK1_Rural"/>
    <x v="5"/>
    <s v="GNR_BO_STRW_E-102"/>
    <x v="0"/>
    <x v="11"/>
    <n v="56.96"/>
    <n v="20790.400000000001"/>
    <n v="74845.440000000002"/>
  </r>
  <r>
    <x v="0"/>
    <x v="0"/>
    <x v="0"/>
    <x v="0"/>
    <x v="0"/>
    <s v="DK1_Rural"/>
    <x v="5"/>
    <s v="GNR_BO_STRW_E-102"/>
    <x v="0"/>
    <x v="12"/>
    <n v="56.96"/>
    <n v="20790.400000000001"/>
    <n v="74845.440000000002"/>
  </r>
  <r>
    <x v="0"/>
    <x v="0"/>
    <x v="0"/>
    <x v="0"/>
    <x v="0"/>
    <s v="DK1_Rural"/>
    <x v="5"/>
    <s v="GNR_BO_STRW_E-102"/>
    <x v="0"/>
    <x v="13"/>
    <n v="56.96"/>
    <n v="20790.400000000001"/>
    <n v="74845.440000000002"/>
  </r>
  <r>
    <x v="0"/>
    <x v="0"/>
    <x v="0"/>
    <x v="0"/>
    <x v="0"/>
    <s v="DK1_Rural"/>
    <x v="5"/>
    <s v="GNR_BO_STRW_E-102"/>
    <x v="0"/>
    <x v="14"/>
    <n v="56.96"/>
    <n v="20790.400000000001"/>
    <n v="74845.440000000002"/>
  </r>
  <r>
    <x v="0"/>
    <x v="0"/>
    <x v="0"/>
    <x v="0"/>
    <x v="0"/>
    <s v="DK1_Rural"/>
    <x v="5"/>
    <s v="GNR_BO_STRW_E-102"/>
    <x v="0"/>
    <x v="15"/>
    <n v="56.96"/>
    <n v="20790.400000000001"/>
    <n v="74845.440000000002"/>
  </r>
  <r>
    <x v="0"/>
    <x v="0"/>
    <x v="0"/>
    <x v="0"/>
    <x v="0"/>
    <s v="DK1_Rural"/>
    <x v="5"/>
    <s v="GNR_BO_STRW_E-102"/>
    <x v="0"/>
    <x v="16"/>
    <n v="56.96"/>
    <n v="20790.400000000001"/>
    <n v="74845.440000000002"/>
  </r>
  <r>
    <x v="0"/>
    <x v="0"/>
    <x v="0"/>
    <x v="0"/>
    <x v="0"/>
    <s v="DK1_Rural"/>
    <x v="5"/>
    <s v="GNR_BO_STRW_E-102"/>
    <x v="0"/>
    <x v="17"/>
    <n v="56.96"/>
    <n v="20790.400000000001"/>
    <n v="74845.440000000002"/>
  </r>
  <r>
    <x v="0"/>
    <x v="0"/>
    <x v="0"/>
    <x v="0"/>
    <x v="0"/>
    <s v="DK1_Rural"/>
    <x v="5"/>
    <s v="GNR_BO_STRW_E-102"/>
    <x v="0"/>
    <x v="18"/>
    <n v="56.96"/>
    <n v="20790.400000000001"/>
    <n v="74845.440000000002"/>
  </r>
  <r>
    <x v="0"/>
    <x v="0"/>
    <x v="0"/>
    <x v="0"/>
    <x v="0"/>
    <s v="DK1_Rural"/>
    <x v="5"/>
    <s v="GNR_BO_STRW_E-102"/>
    <x v="0"/>
    <x v="19"/>
    <n v="56.96"/>
    <n v="20790.400000000001"/>
    <n v="74845.440000000002"/>
  </r>
  <r>
    <x v="0"/>
    <x v="0"/>
    <x v="0"/>
    <x v="0"/>
    <x v="0"/>
    <s v="DK1_Rural"/>
    <x v="5"/>
    <s v="GNR_BO_STRW_E-102"/>
    <x v="0"/>
    <x v="20"/>
    <n v="56.96"/>
    <n v="20790.400000000001"/>
    <n v="74845.440000000002"/>
  </r>
  <r>
    <x v="0"/>
    <x v="0"/>
    <x v="0"/>
    <x v="0"/>
    <x v="0"/>
    <s v="DK1_Rural"/>
    <x v="5"/>
    <s v="GNR_BO_STRW_E-102"/>
    <x v="0"/>
    <x v="21"/>
    <n v="56.96"/>
    <n v="20790.400000000001"/>
    <n v="74845.440000000002"/>
  </r>
  <r>
    <x v="0"/>
    <x v="0"/>
    <x v="0"/>
    <x v="0"/>
    <x v="0"/>
    <s v="DK1_Rural"/>
    <x v="5"/>
    <s v="GNR_BO_STRW_E-102"/>
    <x v="0"/>
    <x v="22"/>
    <n v="56.96"/>
    <n v="20790.400000000001"/>
    <n v="74845.440000000002"/>
  </r>
  <r>
    <x v="0"/>
    <x v="0"/>
    <x v="0"/>
    <x v="0"/>
    <x v="0"/>
    <s v="DK1_Rural"/>
    <x v="5"/>
    <s v="GNR_BO_STRW_E-102"/>
    <x v="0"/>
    <x v="23"/>
    <n v="56.96"/>
    <n v="20790.400000000001"/>
    <n v="74845.440000000002"/>
  </r>
  <r>
    <x v="0"/>
    <x v="0"/>
    <x v="0"/>
    <x v="0"/>
    <x v="0"/>
    <s v="DK1_Rural"/>
    <x v="5"/>
    <s v="GNR_ST_STRW_BP_E-26"/>
    <x v="0"/>
    <x v="0"/>
    <n v="5.1725323534207099"/>
    <n v="1887.97430899856"/>
    <n v="6796.7075123948098"/>
  </r>
  <r>
    <x v="0"/>
    <x v="0"/>
    <x v="0"/>
    <x v="0"/>
    <x v="0"/>
    <s v="DK1_Rural"/>
    <x v="5"/>
    <s v="GNR_ST_STRW_BP_E-26"/>
    <x v="0"/>
    <x v="1"/>
    <n v="5.1725323534207099"/>
    <n v="1887.97430899856"/>
    <n v="6796.7075123948098"/>
  </r>
  <r>
    <x v="0"/>
    <x v="0"/>
    <x v="0"/>
    <x v="0"/>
    <x v="0"/>
    <s v="DK1_Rural"/>
    <x v="5"/>
    <s v="GNR_ST_STRW_BP_E-26"/>
    <x v="0"/>
    <x v="2"/>
    <n v="5.1725323534207099"/>
    <n v="1887.97430899856"/>
    <n v="6796.7075123948098"/>
  </r>
  <r>
    <x v="0"/>
    <x v="0"/>
    <x v="0"/>
    <x v="0"/>
    <x v="0"/>
    <s v="DK1_Rural"/>
    <x v="5"/>
    <s v="GNR_ST_STRW_BP_E-26"/>
    <x v="0"/>
    <x v="3"/>
    <n v="5.1725323534207099"/>
    <n v="1887.97430899856"/>
    <n v="6796.7075123948098"/>
  </r>
  <r>
    <x v="0"/>
    <x v="0"/>
    <x v="0"/>
    <x v="0"/>
    <x v="0"/>
    <s v="DK1_Rural"/>
    <x v="5"/>
    <s v="GNR_ST_STRW_BP_E-26"/>
    <x v="0"/>
    <x v="4"/>
    <n v="5.1725323534207099"/>
    <n v="1887.97430899856"/>
    <n v="6796.7075123948098"/>
  </r>
  <r>
    <x v="0"/>
    <x v="0"/>
    <x v="0"/>
    <x v="0"/>
    <x v="0"/>
    <s v="DK1_Rural"/>
    <x v="5"/>
    <s v="GNR_ST_STRW_BP_E-26"/>
    <x v="0"/>
    <x v="5"/>
    <n v="5.1725323534207099"/>
    <n v="1887.97430899856"/>
    <n v="6796.7075123948098"/>
  </r>
  <r>
    <x v="0"/>
    <x v="0"/>
    <x v="0"/>
    <x v="0"/>
    <x v="0"/>
    <s v="DK1_Rural"/>
    <x v="5"/>
    <s v="GNR_ST_STRW_BP_E-26"/>
    <x v="0"/>
    <x v="6"/>
    <n v="5.1725323534207099"/>
    <n v="1887.97430899856"/>
    <n v="6796.7075123948098"/>
  </r>
  <r>
    <x v="0"/>
    <x v="0"/>
    <x v="0"/>
    <x v="0"/>
    <x v="0"/>
    <s v="DK1_Rural"/>
    <x v="5"/>
    <s v="GNR_ST_STRW_BP_E-26"/>
    <x v="0"/>
    <x v="7"/>
    <n v="5.1725323534207099"/>
    <n v="1887.97430899856"/>
    <n v="6796.7075123948098"/>
  </r>
  <r>
    <x v="0"/>
    <x v="0"/>
    <x v="0"/>
    <x v="0"/>
    <x v="0"/>
    <s v="DK1_Rural"/>
    <x v="5"/>
    <s v="GNR_ST_STRW_BP_E-26"/>
    <x v="0"/>
    <x v="8"/>
    <n v="5.1725323534207099"/>
    <n v="1887.97430899856"/>
    <n v="6796.7075123948098"/>
  </r>
  <r>
    <x v="0"/>
    <x v="0"/>
    <x v="0"/>
    <x v="0"/>
    <x v="0"/>
    <s v="DK1_Rural"/>
    <x v="5"/>
    <s v="GNR_ST_STRW_BP_E-26"/>
    <x v="0"/>
    <x v="9"/>
    <n v="5.1725323534207099"/>
    <n v="1887.97430899856"/>
    <n v="6796.7075123948098"/>
  </r>
  <r>
    <x v="0"/>
    <x v="0"/>
    <x v="0"/>
    <x v="0"/>
    <x v="0"/>
    <s v="DK1_Rural"/>
    <x v="5"/>
    <s v="GNR_ST_STRW_BP_E-26"/>
    <x v="0"/>
    <x v="10"/>
    <n v="5.1725323534207099"/>
    <n v="1887.97430899856"/>
    <n v="6796.7075123948098"/>
  </r>
  <r>
    <x v="0"/>
    <x v="0"/>
    <x v="0"/>
    <x v="0"/>
    <x v="0"/>
    <s v="DK1_Rural"/>
    <x v="5"/>
    <s v="GNR_ST_STRW_BP_E-26"/>
    <x v="0"/>
    <x v="11"/>
    <n v="5.1725323534207099"/>
    <n v="1887.97430899856"/>
    <n v="6796.7075123948098"/>
  </r>
  <r>
    <x v="0"/>
    <x v="0"/>
    <x v="0"/>
    <x v="0"/>
    <x v="0"/>
    <s v="DK1_Rural"/>
    <x v="5"/>
    <s v="GNR_ST_STRW_BP_E-26"/>
    <x v="0"/>
    <x v="12"/>
    <n v="5.1725323534207099"/>
    <n v="1887.97430899856"/>
    <n v="6796.7075123948098"/>
  </r>
  <r>
    <x v="0"/>
    <x v="0"/>
    <x v="0"/>
    <x v="0"/>
    <x v="0"/>
    <s v="DK1_Rural"/>
    <x v="5"/>
    <s v="GNR_ST_STRW_BP_E-26"/>
    <x v="0"/>
    <x v="13"/>
    <n v="5.1725323534207099"/>
    <n v="1887.97430899856"/>
    <n v="6796.7075123948098"/>
  </r>
  <r>
    <x v="0"/>
    <x v="0"/>
    <x v="0"/>
    <x v="0"/>
    <x v="0"/>
    <s v="DK1_Rural"/>
    <x v="5"/>
    <s v="GNR_ST_STRW_BP_E-26"/>
    <x v="0"/>
    <x v="14"/>
    <n v="5.1725323534207099"/>
    <n v="1887.97430899856"/>
    <n v="6796.7075123948098"/>
  </r>
  <r>
    <x v="0"/>
    <x v="0"/>
    <x v="0"/>
    <x v="0"/>
    <x v="0"/>
    <s v="DK1_Rural"/>
    <x v="5"/>
    <s v="GNR_ST_STRW_BP_E-26"/>
    <x v="0"/>
    <x v="15"/>
    <n v="5.1725323534207099"/>
    <n v="1887.97430899856"/>
    <n v="6796.7075123948098"/>
  </r>
  <r>
    <x v="0"/>
    <x v="0"/>
    <x v="0"/>
    <x v="0"/>
    <x v="0"/>
    <s v="DK1_Rural"/>
    <x v="5"/>
    <s v="GNR_ST_STRW_BP_E-26"/>
    <x v="0"/>
    <x v="16"/>
    <n v="5.1725323534207099"/>
    <n v="1887.97430899856"/>
    <n v="6796.7075123948098"/>
  </r>
  <r>
    <x v="0"/>
    <x v="0"/>
    <x v="0"/>
    <x v="0"/>
    <x v="0"/>
    <s v="DK1_Rural"/>
    <x v="5"/>
    <s v="GNR_ST_STRW_BP_E-26"/>
    <x v="0"/>
    <x v="17"/>
    <n v="5.1725323534207099"/>
    <n v="1887.97430899856"/>
    <n v="6796.7075123948098"/>
  </r>
  <r>
    <x v="0"/>
    <x v="0"/>
    <x v="0"/>
    <x v="0"/>
    <x v="0"/>
    <s v="DK1_Rural"/>
    <x v="5"/>
    <s v="GNR_ST_STRW_BP_E-26"/>
    <x v="0"/>
    <x v="18"/>
    <n v="5.1725323534207099"/>
    <n v="1887.97430899856"/>
    <n v="6796.7075123948098"/>
  </r>
  <r>
    <x v="0"/>
    <x v="0"/>
    <x v="0"/>
    <x v="0"/>
    <x v="0"/>
    <s v="DK1_Rural"/>
    <x v="5"/>
    <s v="GNR_ST_STRW_BP_E-26"/>
    <x v="0"/>
    <x v="19"/>
    <n v="5.1725323534207099"/>
    <n v="1887.97430899856"/>
    <n v="6796.7075123948098"/>
  </r>
  <r>
    <x v="0"/>
    <x v="0"/>
    <x v="0"/>
    <x v="0"/>
    <x v="0"/>
    <s v="DK1_Rural"/>
    <x v="5"/>
    <s v="GNR_ST_STRW_BP_E-26"/>
    <x v="0"/>
    <x v="20"/>
    <n v="5.1725323534207099"/>
    <n v="1887.97430899856"/>
    <n v="6796.7075123948098"/>
  </r>
  <r>
    <x v="0"/>
    <x v="0"/>
    <x v="0"/>
    <x v="0"/>
    <x v="0"/>
    <s v="DK1_Rural"/>
    <x v="5"/>
    <s v="GNR_ST_STRW_BP_E-26"/>
    <x v="0"/>
    <x v="21"/>
    <n v="5.1725323534207099"/>
    <n v="1887.97430899856"/>
    <n v="6796.7075123948098"/>
  </r>
  <r>
    <x v="0"/>
    <x v="0"/>
    <x v="0"/>
    <x v="0"/>
    <x v="0"/>
    <s v="DK1_Rural"/>
    <x v="5"/>
    <s v="GNR_ST_STRW_BP_E-26"/>
    <x v="0"/>
    <x v="22"/>
    <n v="5.1725323534207099"/>
    <n v="1887.97430899856"/>
    <n v="6796.7075123948098"/>
  </r>
  <r>
    <x v="0"/>
    <x v="0"/>
    <x v="0"/>
    <x v="0"/>
    <x v="0"/>
    <s v="DK1_Rural"/>
    <x v="5"/>
    <s v="GNR_ST_STRW_BP_E-26"/>
    <x v="0"/>
    <x v="23"/>
    <n v="5.1725323534207099"/>
    <n v="1887.97430899856"/>
    <n v="6796.7075123948098"/>
  </r>
  <r>
    <x v="0"/>
    <x v="0"/>
    <x v="0"/>
    <x v="0"/>
    <x v="0"/>
    <s v="DK1_Rural"/>
    <x v="6"/>
    <s v="GNR_EH_HEAT"/>
    <x v="0"/>
    <x v="0"/>
    <n v="87.01"/>
    <n v="31758.65"/>
    <n v="114331.14"/>
  </r>
  <r>
    <x v="0"/>
    <x v="0"/>
    <x v="0"/>
    <x v="0"/>
    <x v="0"/>
    <s v="DK1_Rural"/>
    <x v="6"/>
    <s v="GNR_EH_HEAT"/>
    <x v="0"/>
    <x v="1"/>
    <n v="87.01"/>
    <n v="31758.65"/>
    <n v="114331.14"/>
  </r>
  <r>
    <x v="0"/>
    <x v="0"/>
    <x v="0"/>
    <x v="0"/>
    <x v="0"/>
    <s v="DK1_Rural"/>
    <x v="6"/>
    <s v="GNR_EH_HEAT"/>
    <x v="0"/>
    <x v="2"/>
    <n v="87.01"/>
    <n v="31758.65"/>
    <n v="114331.14"/>
  </r>
  <r>
    <x v="0"/>
    <x v="0"/>
    <x v="0"/>
    <x v="0"/>
    <x v="0"/>
    <s v="DK1_Rural"/>
    <x v="6"/>
    <s v="GNR_EH_HEAT"/>
    <x v="0"/>
    <x v="3"/>
    <n v="87.01"/>
    <n v="31758.65"/>
    <n v="114331.14"/>
  </r>
  <r>
    <x v="0"/>
    <x v="0"/>
    <x v="0"/>
    <x v="0"/>
    <x v="0"/>
    <s v="DK1_Rural"/>
    <x v="6"/>
    <s v="GNR_EH_HEAT"/>
    <x v="0"/>
    <x v="4"/>
    <n v="87.01"/>
    <n v="31758.65"/>
    <n v="114331.14"/>
  </r>
  <r>
    <x v="0"/>
    <x v="0"/>
    <x v="0"/>
    <x v="0"/>
    <x v="0"/>
    <s v="DK1_Rural"/>
    <x v="6"/>
    <s v="GNR_EH_HEAT"/>
    <x v="0"/>
    <x v="5"/>
    <n v="87.01"/>
    <n v="31758.65"/>
    <n v="114331.14"/>
  </r>
  <r>
    <x v="0"/>
    <x v="0"/>
    <x v="0"/>
    <x v="0"/>
    <x v="0"/>
    <s v="DK1_Rural"/>
    <x v="6"/>
    <s v="GNR_EH_HEAT"/>
    <x v="0"/>
    <x v="6"/>
    <n v="87.01"/>
    <n v="31758.65"/>
    <n v="114331.14"/>
  </r>
  <r>
    <x v="0"/>
    <x v="0"/>
    <x v="0"/>
    <x v="0"/>
    <x v="0"/>
    <s v="DK1_Rural"/>
    <x v="6"/>
    <s v="GNR_EH_HEAT"/>
    <x v="0"/>
    <x v="7"/>
    <n v="87.01"/>
    <n v="31758.65"/>
    <n v="114331.14"/>
  </r>
  <r>
    <x v="0"/>
    <x v="0"/>
    <x v="0"/>
    <x v="0"/>
    <x v="0"/>
    <s v="DK1_Rural"/>
    <x v="6"/>
    <s v="GNR_EH_HEAT"/>
    <x v="0"/>
    <x v="8"/>
    <n v="87.01"/>
    <n v="31758.65"/>
    <n v="114331.14"/>
  </r>
  <r>
    <x v="0"/>
    <x v="0"/>
    <x v="0"/>
    <x v="0"/>
    <x v="0"/>
    <s v="DK1_Rural"/>
    <x v="6"/>
    <s v="GNR_EH_HEAT"/>
    <x v="0"/>
    <x v="9"/>
    <n v="87.01"/>
    <n v="31758.65"/>
    <n v="114331.14"/>
  </r>
  <r>
    <x v="0"/>
    <x v="0"/>
    <x v="0"/>
    <x v="0"/>
    <x v="0"/>
    <s v="DK1_Rural"/>
    <x v="6"/>
    <s v="GNR_EH_HEAT"/>
    <x v="0"/>
    <x v="10"/>
    <n v="87.01"/>
    <n v="31758.65"/>
    <n v="114331.14"/>
  </r>
  <r>
    <x v="0"/>
    <x v="0"/>
    <x v="0"/>
    <x v="0"/>
    <x v="0"/>
    <s v="DK1_Rural"/>
    <x v="6"/>
    <s v="GNR_EH_HEAT"/>
    <x v="0"/>
    <x v="11"/>
    <n v="87.01"/>
    <n v="31758.65"/>
    <n v="114331.14"/>
  </r>
  <r>
    <x v="0"/>
    <x v="0"/>
    <x v="0"/>
    <x v="0"/>
    <x v="0"/>
    <s v="DK1_Rural"/>
    <x v="6"/>
    <s v="GNR_EH_HEAT"/>
    <x v="0"/>
    <x v="12"/>
    <n v="87.01"/>
    <n v="31758.65"/>
    <n v="114331.14"/>
  </r>
  <r>
    <x v="0"/>
    <x v="0"/>
    <x v="0"/>
    <x v="0"/>
    <x v="0"/>
    <s v="DK1_Rural"/>
    <x v="6"/>
    <s v="GNR_EH_HEAT"/>
    <x v="0"/>
    <x v="13"/>
    <n v="87.01"/>
    <n v="31758.65"/>
    <n v="114331.14"/>
  </r>
  <r>
    <x v="0"/>
    <x v="0"/>
    <x v="0"/>
    <x v="0"/>
    <x v="0"/>
    <s v="DK1_Rural"/>
    <x v="6"/>
    <s v="GNR_EH_HEAT"/>
    <x v="0"/>
    <x v="14"/>
    <n v="87.01"/>
    <n v="31758.65"/>
    <n v="114331.14"/>
  </r>
  <r>
    <x v="0"/>
    <x v="0"/>
    <x v="0"/>
    <x v="0"/>
    <x v="0"/>
    <s v="DK1_Rural"/>
    <x v="6"/>
    <s v="GNR_EH_HEAT"/>
    <x v="0"/>
    <x v="15"/>
    <n v="87.01"/>
    <n v="31758.65"/>
    <n v="114331.14"/>
  </r>
  <r>
    <x v="0"/>
    <x v="0"/>
    <x v="0"/>
    <x v="0"/>
    <x v="0"/>
    <s v="DK1_Rural"/>
    <x v="6"/>
    <s v="GNR_EH_HEAT"/>
    <x v="0"/>
    <x v="16"/>
    <n v="87.01"/>
    <n v="31758.65"/>
    <n v="114331.14"/>
  </r>
  <r>
    <x v="0"/>
    <x v="0"/>
    <x v="0"/>
    <x v="0"/>
    <x v="0"/>
    <s v="DK1_Rural"/>
    <x v="6"/>
    <s v="GNR_EH_HEAT"/>
    <x v="0"/>
    <x v="17"/>
    <n v="87.01"/>
    <n v="31758.65"/>
    <n v="114331.14"/>
  </r>
  <r>
    <x v="0"/>
    <x v="0"/>
    <x v="0"/>
    <x v="0"/>
    <x v="0"/>
    <s v="DK1_Rural"/>
    <x v="6"/>
    <s v="GNR_EH_HEAT"/>
    <x v="0"/>
    <x v="18"/>
    <n v="87.01"/>
    <n v="31758.65"/>
    <n v="114331.14"/>
  </r>
  <r>
    <x v="0"/>
    <x v="0"/>
    <x v="0"/>
    <x v="0"/>
    <x v="0"/>
    <s v="DK1_Rural"/>
    <x v="6"/>
    <s v="GNR_EH_HEAT"/>
    <x v="0"/>
    <x v="19"/>
    <n v="87.01"/>
    <n v="31758.65"/>
    <n v="114331.14"/>
  </r>
  <r>
    <x v="0"/>
    <x v="0"/>
    <x v="0"/>
    <x v="0"/>
    <x v="0"/>
    <s v="DK1_Rural"/>
    <x v="6"/>
    <s v="GNR_EH_HEAT"/>
    <x v="0"/>
    <x v="20"/>
    <n v="87.01"/>
    <n v="31758.65"/>
    <n v="114331.14"/>
  </r>
  <r>
    <x v="0"/>
    <x v="0"/>
    <x v="0"/>
    <x v="0"/>
    <x v="0"/>
    <s v="DK1_Rural"/>
    <x v="6"/>
    <s v="GNR_EH_HEAT"/>
    <x v="0"/>
    <x v="21"/>
    <n v="87.01"/>
    <n v="31758.65"/>
    <n v="114331.14"/>
  </r>
  <r>
    <x v="0"/>
    <x v="0"/>
    <x v="0"/>
    <x v="0"/>
    <x v="0"/>
    <s v="DK1_Rural"/>
    <x v="6"/>
    <s v="GNR_EH_HEAT"/>
    <x v="0"/>
    <x v="22"/>
    <n v="87.01"/>
    <n v="31758.65"/>
    <n v="114331.14"/>
  </r>
  <r>
    <x v="0"/>
    <x v="0"/>
    <x v="0"/>
    <x v="0"/>
    <x v="0"/>
    <s v="DK1_Rural"/>
    <x v="6"/>
    <s v="GNR_EH_HEAT"/>
    <x v="0"/>
    <x v="23"/>
    <n v="87.01"/>
    <n v="31758.65"/>
    <n v="114331.14"/>
  </r>
  <r>
    <x v="0"/>
    <x v="0"/>
    <x v="0"/>
    <x v="0"/>
    <x v="0"/>
    <s v="DK1_Rural"/>
    <x v="7"/>
    <s v="GNR_BO_WOODCHI_E-107"/>
    <x v="0"/>
    <x v="9"/>
    <n v="12.48"/>
    <n v="4555.2"/>
    <n v="16398.72"/>
  </r>
  <r>
    <x v="0"/>
    <x v="0"/>
    <x v="0"/>
    <x v="0"/>
    <x v="0"/>
    <s v="DK1_Rural"/>
    <x v="7"/>
    <s v="GNR_BO_WOODCHI_E-107"/>
    <x v="0"/>
    <x v="10"/>
    <n v="12.48"/>
    <n v="4555.2"/>
    <n v="16398.72"/>
  </r>
  <r>
    <x v="0"/>
    <x v="0"/>
    <x v="0"/>
    <x v="0"/>
    <x v="0"/>
    <s v="DK1_Rural"/>
    <x v="7"/>
    <s v="GNR_BO_WOODCHI_E-107"/>
    <x v="0"/>
    <x v="11"/>
    <n v="12.48"/>
    <n v="4555.2"/>
    <n v="16398.72"/>
  </r>
  <r>
    <x v="0"/>
    <x v="0"/>
    <x v="0"/>
    <x v="0"/>
    <x v="0"/>
    <s v="DK1_Rural"/>
    <x v="7"/>
    <s v="GNR_BO_WOODCHI_E-107"/>
    <x v="0"/>
    <x v="14"/>
    <n v="12.48"/>
    <n v="4555.2"/>
    <n v="16398.72"/>
  </r>
  <r>
    <x v="0"/>
    <x v="0"/>
    <x v="0"/>
    <x v="0"/>
    <x v="0"/>
    <s v="DK1_Rural"/>
    <x v="7"/>
    <s v="GNR_BO_WOODCHI_E-107"/>
    <x v="0"/>
    <x v="17"/>
    <n v="12.48"/>
    <n v="4555.2"/>
    <n v="16398.72"/>
  </r>
  <r>
    <x v="0"/>
    <x v="0"/>
    <x v="0"/>
    <x v="0"/>
    <x v="0"/>
    <s v="DK1_Rural"/>
    <x v="7"/>
    <s v="GNR_BO_WOODCHI_E-107"/>
    <x v="0"/>
    <x v="20"/>
    <n v="9.8200059237829098"/>
    <n v="3584.3021621807602"/>
    <n v="12903.4877838507"/>
  </r>
  <r>
    <x v="0"/>
    <x v="0"/>
    <x v="0"/>
    <x v="0"/>
    <x v="0"/>
    <s v="DK1_Rural"/>
    <x v="7"/>
    <s v="GNR_BO_WOODCHI_E-108"/>
    <x v="0"/>
    <x v="7"/>
    <n v="3.5"/>
    <n v="1277.5"/>
    <n v="4599"/>
  </r>
  <r>
    <x v="0"/>
    <x v="0"/>
    <x v="0"/>
    <x v="0"/>
    <x v="0"/>
    <s v="DK1_Rural"/>
    <x v="7"/>
    <s v="GNR_BO_WOODCHI_E-108"/>
    <x v="0"/>
    <x v="8"/>
    <n v="3.5"/>
    <n v="1277.5"/>
    <n v="4599"/>
  </r>
  <r>
    <x v="0"/>
    <x v="0"/>
    <x v="0"/>
    <x v="0"/>
    <x v="0"/>
    <s v="DK1_Rural"/>
    <x v="7"/>
    <s v="GNR_BO_WOODCHI_E-108"/>
    <x v="0"/>
    <x v="9"/>
    <n v="3.5"/>
    <n v="1277.5"/>
    <n v="4599"/>
  </r>
  <r>
    <x v="0"/>
    <x v="0"/>
    <x v="0"/>
    <x v="0"/>
    <x v="0"/>
    <s v="DK1_Rural"/>
    <x v="7"/>
    <s v="GNR_BO_WOODCHI_E-108"/>
    <x v="0"/>
    <x v="10"/>
    <n v="3.5"/>
    <n v="1277.5"/>
    <n v="4599"/>
  </r>
  <r>
    <x v="0"/>
    <x v="0"/>
    <x v="0"/>
    <x v="0"/>
    <x v="0"/>
    <s v="DK1_Rural"/>
    <x v="7"/>
    <s v="GNR_BO_WOODCHI_E-108"/>
    <x v="0"/>
    <x v="11"/>
    <n v="3.5"/>
    <n v="1277.5"/>
    <n v="4599"/>
  </r>
  <r>
    <x v="0"/>
    <x v="0"/>
    <x v="0"/>
    <x v="0"/>
    <x v="0"/>
    <s v="DK1_Rural"/>
    <x v="7"/>
    <s v="GNR_BO_WOODCHI_E-108"/>
    <x v="0"/>
    <x v="12"/>
    <n v="3.5"/>
    <n v="1277.5"/>
    <n v="4599"/>
  </r>
  <r>
    <x v="0"/>
    <x v="0"/>
    <x v="0"/>
    <x v="0"/>
    <x v="0"/>
    <s v="DK1_Rural"/>
    <x v="7"/>
    <s v="GNR_BO_WOODCHI_E-108"/>
    <x v="0"/>
    <x v="13"/>
    <n v="3.5"/>
    <n v="1277.5"/>
    <n v="4599"/>
  </r>
  <r>
    <x v="0"/>
    <x v="0"/>
    <x v="0"/>
    <x v="0"/>
    <x v="0"/>
    <s v="DK1_Rural"/>
    <x v="7"/>
    <s v="GNR_BO_WOODCHI_E-108"/>
    <x v="0"/>
    <x v="14"/>
    <n v="3.5"/>
    <n v="1277.5"/>
    <n v="4599"/>
  </r>
  <r>
    <x v="0"/>
    <x v="0"/>
    <x v="0"/>
    <x v="0"/>
    <x v="0"/>
    <s v="DK1_Rural"/>
    <x v="7"/>
    <s v="GNR_BO_WOODCHI_E-108"/>
    <x v="0"/>
    <x v="15"/>
    <n v="3.5"/>
    <n v="1277.5"/>
    <n v="4599"/>
  </r>
  <r>
    <x v="0"/>
    <x v="0"/>
    <x v="0"/>
    <x v="0"/>
    <x v="0"/>
    <s v="DK1_Rural"/>
    <x v="7"/>
    <s v="GNR_BO_WOODCHI_E-108"/>
    <x v="0"/>
    <x v="16"/>
    <n v="3.5"/>
    <n v="1277.5"/>
    <n v="4599"/>
  </r>
  <r>
    <x v="0"/>
    <x v="0"/>
    <x v="0"/>
    <x v="0"/>
    <x v="0"/>
    <s v="DK1_Rural"/>
    <x v="7"/>
    <s v="GNR_BO_WOODCHI_E-108"/>
    <x v="0"/>
    <x v="17"/>
    <n v="3.5"/>
    <n v="1277.5"/>
    <n v="4599"/>
  </r>
  <r>
    <x v="0"/>
    <x v="0"/>
    <x v="0"/>
    <x v="0"/>
    <x v="0"/>
    <s v="DK1_Rural"/>
    <x v="7"/>
    <s v="GNR_BO_WOODCHI_E-108"/>
    <x v="0"/>
    <x v="18"/>
    <n v="3.5"/>
    <n v="1277.5"/>
    <n v="4599"/>
  </r>
  <r>
    <x v="0"/>
    <x v="0"/>
    <x v="0"/>
    <x v="0"/>
    <x v="0"/>
    <s v="DK1_Rural"/>
    <x v="7"/>
    <s v="GNR_BO_WOODCHI_E-108"/>
    <x v="0"/>
    <x v="19"/>
    <n v="3.5"/>
    <n v="1277.5"/>
    <n v="4599"/>
  </r>
  <r>
    <x v="0"/>
    <x v="0"/>
    <x v="0"/>
    <x v="0"/>
    <x v="0"/>
    <s v="DK1_Rural"/>
    <x v="7"/>
    <s v="GNR_BO_WOODCHI_E-108"/>
    <x v="0"/>
    <x v="20"/>
    <n v="3.5"/>
    <n v="1277.5"/>
    <n v="4599"/>
  </r>
  <r>
    <x v="0"/>
    <x v="0"/>
    <x v="0"/>
    <x v="0"/>
    <x v="0"/>
    <s v="DK1_Rural"/>
    <x v="7"/>
    <s v="GNR_BO_WOODCHI_E-110"/>
    <x v="0"/>
    <x v="5"/>
    <n v="56.234303471508198"/>
    <n v="20525.520767100501"/>
    <n v="73891.874761561805"/>
  </r>
  <r>
    <x v="0"/>
    <x v="0"/>
    <x v="0"/>
    <x v="0"/>
    <x v="0"/>
    <s v="DK1_Rural"/>
    <x v="7"/>
    <s v="GNR_BO_WOODCHI_E-110"/>
    <x v="0"/>
    <x v="6"/>
    <n v="128.43"/>
    <n v="46876.95"/>
    <n v="168757.02"/>
  </r>
  <r>
    <x v="0"/>
    <x v="0"/>
    <x v="0"/>
    <x v="0"/>
    <x v="0"/>
    <s v="DK1_Rural"/>
    <x v="7"/>
    <s v="GNR_BO_WOODCHI_E-110"/>
    <x v="0"/>
    <x v="7"/>
    <n v="128.43"/>
    <n v="46876.95"/>
    <n v="168757.02"/>
  </r>
  <r>
    <x v="0"/>
    <x v="0"/>
    <x v="0"/>
    <x v="0"/>
    <x v="0"/>
    <s v="DK1_Rural"/>
    <x v="7"/>
    <s v="GNR_BO_WOODCHI_E-110"/>
    <x v="0"/>
    <x v="8"/>
    <n v="128.43"/>
    <n v="46876.95"/>
    <n v="168757.02"/>
  </r>
  <r>
    <x v="0"/>
    <x v="0"/>
    <x v="0"/>
    <x v="0"/>
    <x v="0"/>
    <s v="DK1_Rural"/>
    <x v="7"/>
    <s v="GNR_BO_WOODCHI_E-110"/>
    <x v="0"/>
    <x v="9"/>
    <n v="128.43"/>
    <n v="46876.95"/>
    <n v="168757.02"/>
  </r>
  <r>
    <x v="0"/>
    <x v="0"/>
    <x v="0"/>
    <x v="0"/>
    <x v="0"/>
    <s v="DK1_Rural"/>
    <x v="7"/>
    <s v="GNR_BO_WOODCHI_E-110"/>
    <x v="0"/>
    <x v="10"/>
    <n v="128.43"/>
    <n v="46876.95"/>
    <n v="168757.02"/>
  </r>
  <r>
    <x v="0"/>
    <x v="0"/>
    <x v="0"/>
    <x v="0"/>
    <x v="0"/>
    <s v="DK1_Rural"/>
    <x v="7"/>
    <s v="GNR_BO_WOODCHI_E-110"/>
    <x v="0"/>
    <x v="11"/>
    <n v="128.43"/>
    <n v="46876.95"/>
    <n v="168757.02"/>
  </r>
  <r>
    <x v="0"/>
    <x v="0"/>
    <x v="0"/>
    <x v="0"/>
    <x v="0"/>
    <s v="DK1_Rural"/>
    <x v="7"/>
    <s v="GNR_BO_WOODCHI_E-110"/>
    <x v="0"/>
    <x v="12"/>
    <n v="128.43"/>
    <n v="46876.95"/>
    <n v="168757.02"/>
  </r>
  <r>
    <x v="0"/>
    <x v="0"/>
    <x v="0"/>
    <x v="0"/>
    <x v="0"/>
    <s v="DK1_Rural"/>
    <x v="7"/>
    <s v="GNR_BO_WOODCHI_E-110"/>
    <x v="0"/>
    <x v="13"/>
    <n v="128.43"/>
    <n v="46876.95"/>
    <n v="168757.02"/>
  </r>
  <r>
    <x v="0"/>
    <x v="0"/>
    <x v="0"/>
    <x v="0"/>
    <x v="0"/>
    <s v="DK1_Rural"/>
    <x v="7"/>
    <s v="GNR_BO_WOODCHI_E-110"/>
    <x v="0"/>
    <x v="14"/>
    <n v="128.43"/>
    <n v="46876.95"/>
    <n v="168757.02"/>
  </r>
  <r>
    <x v="0"/>
    <x v="0"/>
    <x v="0"/>
    <x v="0"/>
    <x v="0"/>
    <s v="DK1_Rural"/>
    <x v="7"/>
    <s v="GNR_BO_WOODCHI_E-110"/>
    <x v="0"/>
    <x v="15"/>
    <n v="128.43"/>
    <n v="46876.95"/>
    <n v="168757.02"/>
  </r>
  <r>
    <x v="0"/>
    <x v="0"/>
    <x v="0"/>
    <x v="0"/>
    <x v="0"/>
    <s v="DK1_Rural"/>
    <x v="7"/>
    <s v="GNR_BO_WOODCHI_E-110"/>
    <x v="0"/>
    <x v="16"/>
    <n v="128.43"/>
    <n v="46876.95"/>
    <n v="168757.02"/>
  </r>
  <r>
    <x v="0"/>
    <x v="0"/>
    <x v="0"/>
    <x v="0"/>
    <x v="0"/>
    <s v="DK1_Rural"/>
    <x v="7"/>
    <s v="GNR_BO_WOODCHI_E-110"/>
    <x v="0"/>
    <x v="17"/>
    <n v="128.43"/>
    <n v="46876.95"/>
    <n v="168757.02"/>
  </r>
  <r>
    <x v="0"/>
    <x v="0"/>
    <x v="0"/>
    <x v="0"/>
    <x v="0"/>
    <s v="DK1_Rural"/>
    <x v="7"/>
    <s v="GNR_BO_WOODCHI_E-110"/>
    <x v="0"/>
    <x v="18"/>
    <n v="128.43"/>
    <n v="46876.95"/>
    <n v="168757.02"/>
  </r>
  <r>
    <x v="0"/>
    <x v="0"/>
    <x v="0"/>
    <x v="0"/>
    <x v="0"/>
    <s v="DK1_Rural"/>
    <x v="7"/>
    <s v="GNR_BO_WOODCHI_E-110"/>
    <x v="0"/>
    <x v="19"/>
    <n v="128.43"/>
    <n v="46876.95"/>
    <n v="168757.02"/>
  </r>
  <r>
    <x v="0"/>
    <x v="0"/>
    <x v="0"/>
    <x v="0"/>
    <x v="0"/>
    <s v="DK1_Rural"/>
    <x v="7"/>
    <s v="GNR_BO_WOODCHI_E-110"/>
    <x v="0"/>
    <x v="20"/>
    <n v="128.43"/>
    <n v="46876.95"/>
    <n v="168757.02"/>
  </r>
  <r>
    <x v="0"/>
    <x v="0"/>
    <x v="0"/>
    <x v="0"/>
    <x v="0"/>
    <s v="DK1_Rural"/>
    <x v="7"/>
    <s v="GNR_BO_WOODCHI_E-110"/>
    <x v="0"/>
    <x v="21"/>
    <n v="128.43"/>
    <n v="46876.95"/>
    <n v="168757.02"/>
  </r>
  <r>
    <x v="0"/>
    <x v="0"/>
    <x v="0"/>
    <x v="0"/>
    <x v="0"/>
    <s v="DK1_Rural"/>
    <x v="7"/>
    <s v="GNR_BO_WOODCHI_E-110"/>
    <x v="0"/>
    <x v="22"/>
    <n v="97.546095671444505"/>
    <n v="35604.324920077197"/>
    <n v="128175.569712278"/>
  </r>
  <r>
    <x v="0"/>
    <x v="0"/>
    <x v="0"/>
    <x v="0"/>
    <x v="0"/>
    <s v="DK1_Rural"/>
    <x v="7"/>
    <s v="GNR_BO_WOODCHI_E-110"/>
    <x v="0"/>
    <x v="23"/>
    <n v="74.426652330195793"/>
    <n v="27165.728100521399"/>
    <n v="97796.621161877207"/>
  </r>
  <r>
    <x v="0"/>
    <x v="0"/>
    <x v="0"/>
    <x v="0"/>
    <x v="0"/>
    <s v="DK1_Rural"/>
    <x v="7"/>
    <s v="GNR_BO_WOODCHI_E-112"/>
    <x v="0"/>
    <x v="0"/>
    <n v="7.0129952514299703"/>
    <n v="2559.7432667719399"/>
    <n v="9215.0757603789807"/>
  </r>
  <r>
    <x v="0"/>
    <x v="0"/>
    <x v="0"/>
    <x v="0"/>
    <x v="0"/>
    <s v="DK1_Rural"/>
    <x v="7"/>
    <s v="GNR_BO_WOODCHI_E-112"/>
    <x v="0"/>
    <x v="1"/>
    <n v="2.8439153046474601"/>
    <n v="1038.0290861963199"/>
    <n v="3736.9047103067601"/>
  </r>
  <r>
    <x v="0"/>
    <x v="0"/>
    <x v="0"/>
    <x v="0"/>
    <x v="0"/>
    <s v="DK1_Rural"/>
    <x v="7"/>
    <s v="GNR_BO_WOODCHI_E-112"/>
    <x v="0"/>
    <x v="3"/>
    <n v="4.7389516440940804"/>
    <n v="1729.71735009434"/>
    <n v="6226.98246033962"/>
  </r>
  <r>
    <x v="0"/>
    <x v="0"/>
    <x v="0"/>
    <x v="0"/>
    <x v="0"/>
    <s v="DK1_Rural"/>
    <x v="7"/>
    <s v="GNR_BO_WOODCHI_E-112"/>
    <x v="0"/>
    <x v="4"/>
    <n v="8.9080315908765897"/>
    <n v="3251.43153066996"/>
    <n v="11705.153510411799"/>
  </r>
  <r>
    <x v="0"/>
    <x v="0"/>
    <x v="0"/>
    <x v="0"/>
    <x v="0"/>
    <s v="DK1_Rural"/>
    <x v="7"/>
    <s v="GNR_BO_WOODCHI_E-112"/>
    <x v="0"/>
    <x v="5"/>
    <n v="19"/>
    <n v="6935"/>
    <n v="24966"/>
  </r>
  <r>
    <x v="0"/>
    <x v="0"/>
    <x v="0"/>
    <x v="0"/>
    <x v="0"/>
    <s v="DK1_Rural"/>
    <x v="7"/>
    <s v="GNR_BO_WOODCHI_E-112"/>
    <x v="0"/>
    <x v="6"/>
    <n v="19"/>
    <n v="6935"/>
    <n v="24966"/>
  </r>
  <r>
    <x v="0"/>
    <x v="0"/>
    <x v="0"/>
    <x v="0"/>
    <x v="0"/>
    <s v="DK1_Rural"/>
    <x v="7"/>
    <s v="GNR_BO_WOODCHI_E-112"/>
    <x v="0"/>
    <x v="7"/>
    <n v="19"/>
    <n v="6935"/>
    <n v="24966"/>
  </r>
  <r>
    <x v="0"/>
    <x v="0"/>
    <x v="0"/>
    <x v="0"/>
    <x v="0"/>
    <s v="DK1_Rural"/>
    <x v="7"/>
    <s v="GNR_BO_WOODCHI_E-112"/>
    <x v="0"/>
    <x v="8"/>
    <n v="19"/>
    <n v="6935"/>
    <n v="24966"/>
  </r>
  <r>
    <x v="0"/>
    <x v="0"/>
    <x v="0"/>
    <x v="0"/>
    <x v="0"/>
    <s v="DK1_Rural"/>
    <x v="7"/>
    <s v="GNR_BO_WOODCHI_E-112"/>
    <x v="0"/>
    <x v="9"/>
    <n v="19"/>
    <n v="6935"/>
    <n v="24966"/>
  </r>
  <r>
    <x v="0"/>
    <x v="0"/>
    <x v="0"/>
    <x v="0"/>
    <x v="0"/>
    <s v="DK1_Rural"/>
    <x v="7"/>
    <s v="GNR_BO_WOODCHI_E-112"/>
    <x v="0"/>
    <x v="10"/>
    <n v="19"/>
    <n v="6935"/>
    <n v="24966"/>
  </r>
  <r>
    <x v="0"/>
    <x v="0"/>
    <x v="0"/>
    <x v="0"/>
    <x v="0"/>
    <s v="DK1_Rural"/>
    <x v="7"/>
    <s v="GNR_BO_WOODCHI_E-112"/>
    <x v="0"/>
    <x v="11"/>
    <n v="19"/>
    <n v="6935"/>
    <n v="24966"/>
  </r>
  <r>
    <x v="0"/>
    <x v="0"/>
    <x v="0"/>
    <x v="0"/>
    <x v="0"/>
    <s v="DK1_Rural"/>
    <x v="7"/>
    <s v="GNR_BO_WOODCHI_E-112"/>
    <x v="0"/>
    <x v="12"/>
    <n v="19"/>
    <n v="6935"/>
    <n v="24966"/>
  </r>
  <r>
    <x v="0"/>
    <x v="0"/>
    <x v="0"/>
    <x v="0"/>
    <x v="0"/>
    <s v="DK1_Rural"/>
    <x v="7"/>
    <s v="GNR_BO_WOODCHI_E-112"/>
    <x v="0"/>
    <x v="13"/>
    <n v="19"/>
    <n v="6935"/>
    <n v="24966"/>
  </r>
  <r>
    <x v="0"/>
    <x v="0"/>
    <x v="0"/>
    <x v="0"/>
    <x v="0"/>
    <s v="DK1_Rural"/>
    <x v="7"/>
    <s v="GNR_BO_WOODCHI_E-112"/>
    <x v="0"/>
    <x v="14"/>
    <n v="19"/>
    <n v="6935"/>
    <n v="24966"/>
  </r>
  <r>
    <x v="0"/>
    <x v="0"/>
    <x v="0"/>
    <x v="0"/>
    <x v="0"/>
    <s v="DK1_Rural"/>
    <x v="7"/>
    <s v="GNR_BO_WOODCHI_E-112"/>
    <x v="0"/>
    <x v="15"/>
    <n v="19"/>
    <n v="6935"/>
    <n v="24966"/>
  </r>
  <r>
    <x v="0"/>
    <x v="0"/>
    <x v="0"/>
    <x v="0"/>
    <x v="0"/>
    <s v="DK1_Rural"/>
    <x v="7"/>
    <s v="GNR_BO_WOODCHI_E-112"/>
    <x v="0"/>
    <x v="16"/>
    <n v="19"/>
    <n v="6935"/>
    <n v="24966"/>
  </r>
  <r>
    <x v="0"/>
    <x v="0"/>
    <x v="0"/>
    <x v="0"/>
    <x v="0"/>
    <s v="DK1_Rural"/>
    <x v="7"/>
    <s v="GNR_BO_WOODCHI_E-112"/>
    <x v="0"/>
    <x v="17"/>
    <n v="19"/>
    <n v="6935"/>
    <n v="24966"/>
  </r>
  <r>
    <x v="0"/>
    <x v="0"/>
    <x v="0"/>
    <x v="0"/>
    <x v="0"/>
    <s v="DK1_Rural"/>
    <x v="7"/>
    <s v="GNR_BO_WOODCHI_E-112"/>
    <x v="0"/>
    <x v="18"/>
    <n v="19"/>
    <n v="6935"/>
    <n v="24966"/>
  </r>
  <r>
    <x v="0"/>
    <x v="0"/>
    <x v="0"/>
    <x v="0"/>
    <x v="0"/>
    <s v="DK1_Rural"/>
    <x v="7"/>
    <s v="GNR_BO_WOODCHI_E-112"/>
    <x v="0"/>
    <x v="19"/>
    <n v="19"/>
    <n v="6935"/>
    <n v="24966"/>
  </r>
  <r>
    <x v="0"/>
    <x v="0"/>
    <x v="0"/>
    <x v="0"/>
    <x v="0"/>
    <s v="DK1_Rural"/>
    <x v="7"/>
    <s v="GNR_BO_WOODCHI_E-112"/>
    <x v="0"/>
    <x v="20"/>
    <n v="19"/>
    <n v="6935"/>
    <n v="24966"/>
  </r>
  <r>
    <x v="0"/>
    <x v="0"/>
    <x v="0"/>
    <x v="0"/>
    <x v="0"/>
    <s v="DK1_Rural"/>
    <x v="7"/>
    <s v="GNR_BO_WOODCHI_E-112"/>
    <x v="0"/>
    <x v="21"/>
    <n v="19"/>
    <n v="6935"/>
    <n v="24966"/>
  </r>
  <r>
    <x v="0"/>
    <x v="0"/>
    <x v="0"/>
    <x v="0"/>
    <x v="0"/>
    <s v="DK1_Rural"/>
    <x v="7"/>
    <s v="GNR_BO_WOODCHI_E-112"/>
    <x v="0"/>
    <x v="22"/>
    <n v="19"/>
    <n v="6935"/>
    <n v="24966"/>
  </r>
  <r>
    <x v="0"/>
    <x v="0"/>
    <x v="0"/>
    <x v="0"/>
    <x v="0"/>
    <s v="DK1_Rural"/>
    <x v="7"/>
    <s v="GNR_BO_WOODCHI_E-112"/>
    <x v="0"/>
    <x v="23"/>
    <n v="19"/>
    <n v="6935"/>
    <n v="24966"/>
  </r>
  <r>
    <x v="0"/>
    <x v="0"/>
    <x v="0"/>
    <x v="0"/>
    <x v="0"/>
    <s v="DK1_Rural"/>
    <x v="7"/>
    <s v="GNR_BO_WOODCHI_E-113"/>
    <x v="0"/>
    <x v="0"/>
    <n v="4.8"/>
    <n v="1752"/>
    <n v="6307.2"/>
  </r>
  <r>
    <x v="0"/>
    <x v="0"/>
    <x v="0"/>
    <x v="0"/>
    <x v="0"/>
    <s v="DK1_Rural"/>
    <x v="7"/>
    <s v="GNR_BO_WOODCHI_E-113"/>
    <x v="0"/>
    <x v="1"/>
    <n v="4.8"/>
    <n v="1752"/>
    <n v="6307.2"/>
  </r>
  <r>
    <x v="0"/>
    <x v="0"/>
    <x v="0"/>
    <x v="0"/>
    <x v="0"/>
    <s v="DK1_Rural"/>
    <x v="7"/>
    <s v="GNR_BO_WOODCHI_E-113"/>
    <x v="0"/>
    <x v="2"/>
    <n v="3.85384262575423"/>
    <n v="1406.65255840029"/>
    <n v="5063.9492102410604"/>
  </r>
  <r>
    <x v="0"/>
    <x v="0"/>
    <x v="0"/>
    <x v="0"/>
    <x v="0"/>
    <s v="DK1_Rural"/>
    <x v="7"/>
    <s v="GNR_BO_WOODCHI_E-113"/>
    <x v="0"/>
    <x v="3"/>
    <n v="4.8"/>
    <n v="1752"/>
    <n v="6307.2"/>
  </r>
  <r>
    <x v="0"/>
    <x v="0"/>
    <x v="0"/>
    <x v="0"/>
    <x v="0"/>
    <s v="DK1_Rural"/>
    <x v="7"/>
    <s v="GNR_BO_WOODCHI_E-113"/>
    <x v="0"/>
    <x v="4"/>
    <n v="4.8"/>
    <n v="1752"/>
    <n v="6307.2"/>
  </r>
  <r>
    <x v="0"/>
    <x v="0"/>
    <x v="0"/>
    <x v="0"/>
    <x v="0"/>
    <s v="DK1_Rural"/>
    <x v="7"/>
    <s v="GNR_BO_WOODCHI_E-113"/>
    <x v="0"/>
    <x v="5"/>
    <n v="4.8"/>
    <n v="1752"/>
    <n v="6307.2"/>
  </r>
  <r>
    <x v="0"/>
    <x v="0"/>
    <x v="0"/>
    <x v="0"/>
    <x v="0"/>
    <s v="DK1_Rural"/>
    <x v="7"/>
    <s v="GNR_BO_WOODCHI_E-113"/>
    <x v="0"/>
    <x v="6"/>
    <n v="4.8"/>
    <n v="1752"/>
    <n v="6307.2"/>
  </r>
  <r>
    <x v="0"/>
    <x v="0"/>
    <x v="0"/>
    <x v="0"/>
    <x v="0"/>
    <s v="DK1_Rural"/>
    <x v="7"/>
    <s v="GNR_BO_WOODCHI_E-113"/>
    <x v="0"/>
    <x v="7"/>
    <n v="4.8"/>
    <n v="1752"/>
    <n v="6307.2"/>
  </r>
  <r>
    <x v="0"/>
    <x v="0"/>
    <x v="0"/>
    <x v="0"/>
    <x v="0"/>
    <s v="DK1_Rural"/>
    <x v="7"/>
    <s v="GNR_BO_WOODCHI_E-113"/>
    <x v="0"/>
    <x v="8"/>
    <n v="4.8"/>
    <n v="1752"/>
    <n v="6307.2"/>
  </r>
  <r>
    <x v="0"/>
    <x v="0"/>
    <x v="0"/>
    <x v="0"/>
    <x v="0"/>
    <s v="DK1_Rural"/>
    <x v="7"/>
    <s v="GNR_BO_WOODCHI_E-113"/>
    <x v="0"/>
    <x v="9"/>
    <n v="4.8"/>
    <n v="1752"/>
    <n v="6307.2"/>
  </r>
  <r>
    <x v="0"/>
    <x v="0"/>
    <x v="0"/>
    <x v="0"/>
    <x v="0"/>
    <s v="DK1_Rural"/>
    <x v="7"/>
    <s v="GNR_BO_WOODCHI_E-113"/>
    <x v="0"/>
    <x v="10"/>
    <n v="4.8"/>
    <n v="1752"/>
    <n v="6307.2"/>
  </r>
  <r>
    <x v="0"/>
    <x v="0"/>
    <x v="0"/>
    <x v="0"/>
    <x v="0"/>
    <s v="DK1_Rural"/>
    <x v="7"/>
    <s v="GNR_BO_WOODCHI_E-113"/>
    <x v="0"/>
    <x v="11"/>
    <n v="4.8"/>
    <n v="1752"/>
    <n v="6307.2"/>
  </r>
  <r>
    <x v="0"/>
    <x v="0"/>
    <x v="0"/>
    <x v="0"/>
    <x v="0"/>
    <s v="DK1_Rural"/>
    <x v="7"/>
    <s v="GNR_BO_WOODCHI_E-113"/>
    <x v="0"/>
    <x v="12"/>
    <n v="4.8"/>
    <n v="1752"/>
    <n v="6307.2"/>
  </r>
  <r>
    <x v="0"/>
    <x v="0"/>
    <x v="0"/>
    <x v="0"/>
    <x v="0"/>
    <s v="DK1_Rural"/>
    <x v="7"/>
    <s v="GNR_BO_WOODCHI_E-113"/>
    <x v="0"/>
    <x v="13"/>
    <n v="4.8"/>
    <n v="1752"/>
    <n v="6307.2"/>
  </r>
  <r>
    <x v="0"/>
    <x v="0"/>
    <x v="0"/>
    <x v="0"/>
    <x v="0"/>
    <s v="DK1_Rural"/>
    <x v="7"/>
    <s v="GNR_BO_WOODCHI_E-113"/>
    <x v="0"/>
    <x v="14"/>
    <n v="4.8"/>
    <n v="1752"/>
    <n v="6307.2"/>
  </r>
  <r>
    <x v="0"/>
    <x v="0"/>
    <x v="0"/>
    <x v="0"/>
    <x v="0"/>
    <s v="DK1_Rural"/>
    <x v="7"/>
    <s v="GNR_BO_WOODCHI_E-113"/>
    <x v="0"/>
    <x v="15"/>
    <n v="4.8"/>
    <n v="1752"/>
    <n v="6307.2"/>
  </r>
  <r>
    <x v="0"/>
    <x v="0"/>
    <x v="0"/>
    <x v="0"/>
    <x v="0"/>
    <s v="DK1_Rural"/>
    <x v="7"/>
    <s v="GNR_BO_WOODCHI_E-113"/>
    <x v="0"/>
    <x v="16"/>
    <n v="4.8"/>
    <n v="1752"/>
    <n v="6307.2"/>
  </r>
  <r>
    <x v="0"/>
    <x v="0"/>
    <x v="0"/>
    <x v="0"/>
    <x v="0"/>
    <s v="DK1_Rural"/>
    <x v="7"/>
    <s v="GNR_BO_WOODCHI_E-113"/>
    <x v="0"/>
    <x v="17"/>
    <n v="4.8"/>
    <n v="1752"/>
    <n v="6307.2"/>
  </r>
  <r>
    <x v="0"/>
    <x v="0"/>
    <x v="0"/>
    <x v="0"/>
    <x v="0"/>
    <s v="DK1_Rural"/>
    <x v="7"/>
    <s v="GNR_BO_WOODCHI_E-113"/>
    <x v="0"/>
    <x v="18"/>
    <n v="4.8"/>
    <n v="1752"/>
    <n v="6307.2"/>
  </r>
  <r>
    <x v="0"/>
    <x v="0"/>
    <x v="0"/>
    <x v="0"/>
    <x v="0"/>
    <s v="DK1_Rural"/>
    <x v="7"/>
    <s v="GNR_BO_WOODCHI_E-113"/>
    <x v="0"/>
    <x v="19"/>
    <n v="4.8"/>
    <n v="1752"/>
    <n v="6307.2"/>
  </r>
  <r>
    <x v="0"/>
    <x v="0"/>
    <x v="0"/>
    <x v="0"/>
    <x v="0"/>
    <s v="DK1_Rural"/>
    <x v="7"/>
    <s v="GNR_BO_WOODCHI_E-113"/>
    <x v="0"/>
    <x v="20"/>
    <n v="4.8"/>
    <n v="1752"/>
    <n v="6307.2"/>
  </r>
  <r>
    <x v="0"/>
    <x v="0"/>
    <x v="0"/>
    <x v="0"/>
    <x v="0"/>
    <s v="DK1_Rural"/>
    <x v="7"/>
    <s v="GNR_BO_WOODCHI_E-113"/>
    <x v="0"/>
    <x v="21"/>
    <n v="4.8"/>
    <n v="1752"/>
    <n v="6307.2"/>
  </r>
  <r>
    <x v="0"/>
    <x v="0"/>
    <x v="0"/>
    <x v="0"/>
    <x v="0"/>
    <s v="DK1_Rural"/>
    <x v="7"/>
    <s v="GNR_BO_WOODCHI_E-113"/>
    <x v="0"/>
    <x v="22"/>
    <n v="4.8"/>
    <n v="1752"/>
    <n v="6307.2"/>
  </r>
  <r>
    <x v="0"/>
    <x v="0"/>
    <x v="0"/>
    <x v="0"/>
    <x v="0"/>
    <s v="DK1_Rural"/>
    <x v="7"/>
    <s v="GNR_BO_WOODCHI_E-113"/>
    <x v="0"/>
    <x v="23"/>
    <n v="4.8"/>
    <n v="1752"/>
    <n v="6307.2"/>
  </r>
  <r>
    <x v="0"/>
    <x v="0"/>
    <x v="0"/>
    <x v="0"/>
    <x v="0"/>
    <s v="DK1_Rural"/>
    <x v="7"/>
    <s v="GNR_BO_WOODCHI_E-114"/>
    <x v="0"/>
    <x v="0"/>
    <n v="21"/>
    <n v="7665"/>
    <n v="27594"/>
  </r>
  <r>
    <x v="0"/>
    <x v="0"/>
    <x v="0"/>
    <x v="0"/>
    <x v="0"/>
    <s v="DK1_Rural"/>
    <x v="7"/>
    <s v="GNR_BO_WOODCHI_E-114"/>
    <x v="0"/>
    <x v="1"/>
    <n v="21"/>
    <n v="7665"/>
    <n v="27594"/>
  </r>
  <r>
    <x v="0"/>
    <x v="0"/>
    <x v="0"/>
    <x v="0"/>
    <x v="0"/>
    <s v="DK1_Rural"/>
    <x v="7"/>
    <s v="GNR_BO_WOODCHI_E-114"/>
    <x v="0"/>
    <x v="2"/>
    <n v="21"/>
    <n v="7665"/>
    <n v="27594"/>
  </r>
  <r>
    <x v="0"/>
    <x v="0"/>
    <x v="0"/>
    <x v="0"/>
    <x v="0"/>
    <s v="DK1_Rural"/>
    <x v="7"/>
    <s v="GNR_BO_WOODCHI_E-114"/>
    <x v="0"/>
    <x v="3"/>
    <n v="21"/>
    <n v="7665"/>
    <n v="27594"/>
  </r>
  <r>
    <x v="0"/>
    <x v="0"/>
    <x v="0"/>
    <x v="0"/>
    <x v="0"/>
    <s v="DK1_Rural"/>
    <x v="7"/>
    <s v="GNR_BO_WOODCHI_E-114"/>
    <x v="0"/>
    <x v="4"/>
    <n v="21"/>
    <n v="7665"/>
    <n v="27594"/>
  </r>
  <r>
    <x v="0"/>
    <x v="0"/>
    <x v="0"/>
    <x v="0"/>
    <x v="0"/>
    <s v="DK1_Rural"/>
    <x v="7"/>
    <s v="GNR_BO_WOODCHI_E-114"/>
    <x v="0"/>
    <x v="5"/>
    <n v="21"/>
    <n v="7665"/>
    <n v="27594"/>
  </r>
  <r>
    <x v="0"/>
    <x v="0"/>
    <x v="0"/>
    <x v="0"/>
    <x v="0"/>
    <s v="DK1_Rural"/>
    <x v="7"/>
    <s v="GNR_BO_WOODCHI_E-114"/>
    <x v="0"/>
    <x v="6"/>
    <n v="21"/>
    <n v="7665"/>
    <n v="27594"/>
  </r>
  <r>
    <x v="0"/>
    <x v="0"/>
    <x v="0"/>
    <x v="0"/>
    <x v="0"/>
    <s v="DK1_Rural"/>
    <x v="7"/>
    <s v="GNR_BO_WOODCHI_E-114"/>
    <x v="0"/>
    <x v="7"/>
    <n v="21"/>
    <n v="7665"/>
    <n v="27594"/>
  </r>
  <r>
    <x v="0"/>
    <x v="0"/>
    <x v="0"/>
    <x v="0"/>
    <x v="0"/>
    <s v="DK1_Rural"/>
    <x v="7"/>
    <s v="GNR_BO_WOODCHI_E-114"/>
    <x v="0"/>
    <x v="8"/>
    <n v="21"/>
    <n v="7665"/>
    <n v="27594"/>
  </r>
  <r>
    <x v="0"/>
    <x v="0"/>
    <x v="0"/>
    <x v="0"/>
    <x v="0"/>
    <s v="DK1_Rural"/>
    <x v="7"/>
    <s v="GNR_BO_WOODCHI_E-114"/>
    <x v="0"/>
    <x v="9"/>
    <n v="21"/>
    <n v="7665"/>
    <n v="27594"/>
  </r>
  <r>
    <x v="0"/>
    <x v="0"/>
    <x v="0"/>
    <x v="0"/>
    <x v="0"/>
    <s v="DK1_Rural"/>
    <x v="7"/>
    <s v="GNR_BO_WOODCHI_E-114"/>
    <x v="0"/>
    <x v="10"/>
    <n v="21"/>
    <n v="7665"/>
    <n v="27594"/>
  </r>
  <r>
    <x v="0"/>
    <x v="0"/>
    <x v="0"/>
    <x v="0"/>
    <x v="0"/>
    <s v="DK1_Rural"/>
    <x v="7"/>
    <s v="GNR_BO_WOODCHI_E-114"/>
    <x v="0"/>
    <x v="11"/>
    <n v="21"/>
    <n v="7665"/>
    <n v="27594"/>
  </r>
  <r>
    <x v="0"/>
    <x v="0"/>
    <x v="0"/>
    <x v="0"/>
    <x v="0"/>
    <s v="DK1_Rural"/>
    <x v="7"/>
    <s v="GNR_BO_WOODCHI_E-114"/>
    <x v="0"/>
    <x v="12"/>
    <n v="21"/>
    <n v="7665"/>
    <n v="27594"/>
  </r>
  <r>
    <x v="0"/>
    <x v="0"/>
    <x v="0"/>
    <x v="0"/>
    <x v="0"/>
    <s v="DK1_Rural"/>
    <x v="7"/>
    <s v="GNR_BO_WOODCHI_E-114"/>
    <x v="0"/>
    <x v="13"/>
    <n v="21"/>
    <n v="7665"/>
    <n v="27594"/>
  </r>
  <r>
    <x v="0"/>
    <x v="0"/>
    <x v="0"/>
    <x v="0"/>
    <x v="0"/>
    <s v="DK1_Rural"/>
    <x v="7"/>
    <s v="GNR_BO_WOODCHI_E-114"/>
    <x v="0"/>
    <x v="14"/>
    <n v="21"/>
    <n v="7665"/>
    <n v="27594"/>
  </r>
  <r>
    <x v="0"/>
    <x v="0"/>
    <x v="0"/>
    <x v="0"/>
    <x v="0"/>
    <s v="DK1_Rural"/>
    <x v="7"/>
    <s v="GNR_BO_WOODCHI_E-114"/>
    <x v="0"/>
    <x v="15"/>
    <n v="21"/>
    <n v="7665"/>
    <n v="27594"/>
  </r>
  <r>
    <x v="0"/>
    <x v="0"/>
    <x v="0"/>
    <x v="0"/>
    <x v="0"/>
    <s v="DK1_Rural"/>
    <x v="7"/>
    <s v="GNR_BO_WOODCHI_E-114"/>
    <x v="0"/>
    <x v="16"/>
    <n v="21"/>
    <n v="7665"/>
    <n v="27594"/>
  </r>
  <r>
    <x v="0"/>
    <x v="0"/>
    <x v="0"/>
    <x v="0"/>
    <x v="0"/>
    <s v="DK1_Rural"/>
    <x v="7"/>
    <s v="GNR_BO_WOODCHI_E-114"/>
    <x v="0"/>
    <x v="17"/>
    <n v="21"/>
    <n v="7665"/>
    <n v="27594"/>
  </r>
  <r>
    <x v="0"/>
    <x v="0"/>
    <x v="0"/>
    <x v="0"/>
    <x v="0"/>
    <s v="DK1_Rural"/>
    <x v="7"/>
    <s v="GNR_BO_WOODCHI_E-114"/>
    <x v="0"/>
    <x v="18"/>
    <n v="21"/>
    <n v="7665"/>
    <n v="27594"/>
  </r>
  <r>
    <x v="0"/>
    <x v="0"/>
    <x v="0"/>
    <x v="0"/>
    <x v="0"/>
    <s v="DK1_Rural"/>
    <x v="7"/>
    <s v="GNR_BO_WOODCHI_E-114"/>
    <x v="0"/>
    <x v="19"/>
    <n v="21"/>
    <n v="7665"/>
    <n v="27594"/>
  </r>
  <r>
    <x v="0"/>
    <x v="0"/>
    <x v="0"/>
    <x v="0"/>
    <x v="0"/>
    <s v="DK1_Rural"/>
    <x v="7"/>
    <s v="GNR_BO_WOODCHI_E-114"/>
    <x v="0"/>
    <x v="20"/>
    <n v="21"/>
    <n v="7665"/>
    <n v="27594"/>
  </r>
  <r>
    <x v="0"/>
    <x v="0"/>
    <x v="0"/>
    <x v="0"/>
    <x v="0"/>
    <s v="DK1_Rural"/>
    <x v="7"/>
    <s v="GNR_BO_WOODCHI_E-114"/>
    <x v="0"/>
    <x v="21"/>
    <n v="21"/>
    <n v="7665"/>
    <n v="27594"/>
  </r>
  <r>
    <x v="0"/>
    <x v="0"/>
    <x v="0"/>
    <x v="0"/>
    <x v="0"/>
    <s v="DK1_Rural"/>
    <x v="7"/>
    <s v="GNR_BO_WOODCHI_E-114"/>
    <x v="0"/>
    <x v="22"/>
    <n v="21"/>
    <n v="7665"/>
    <n v="27594"/>
  </r>
  <r>
    <x v="0"/>
    <x v="0"/>
    <x v="0"/>
    <x v="0"/>
    <x v="0"/>
    <s v="DK1_Rural"/>
    <x v="7"/>
    <s v="GNR_BO_WOODCHI_E-114"/>
    <x v="0"/>
    <x v="23"/>
    <n v="21"/>
    <n v="7665"/>
    <n v="27594"/>
  </r>
  <r>
    <x v="0"/>
    <x v="0"/>
    <x v="0"/>
    <x v="0"/>
    <x v="0"/>
    <s v="DK1_Rural"/>
    <x v="7"/>
    <s v="GNR_BO_WOODCHI_E-117"/>
    <x v="0"/>
    <x v="0"/>
    <n v="20"/>
    <n v="7300"/>
    <n v="26280"/>
  </r>
  <r>
    <x v="0"/>
    <x v="0"/>
    <x v="0"/>
    <x v="0"/>
    <x v="0"/>
    <s v="DK1_Rural"/>
    <x v="7"/>
    <s v="GNR_BO_WOODCHI_E-117"/>
    <x v="0"/>
    <x v="1"/>
    <n v="20"/>
    <n v="7300"/>
    <n v="26280"/>
  </r>
  <r>
    <x v="0"/>
    <x v="0"/>
    <x v="0"/>
    <x v="0"/>
    <x v="0"/>
    <s v="DK1_Rural"/>
    <x v="7"/>
    <s v="GNR_BO_WOODCHI_E-117"/>
    <x v="0"/>
    <x v="2"/>
    <n v="20"/>
    <n v="7300"/>
    <n v="26280"/>
  </r>
  <r>
    <x v="0"/>
    <x v="0"/>
    <x v="0"/>
    <x v="0"/>
    <x v="0"/>
    <s v="DK1_Rural"/>
    <x v="7"/>
    <s v="GNR_BO_WOODCHI_E-117"/>
    <x v="0"/>
    <x v="3"/>
    <n v="20"/>
    <n v="7300"/>
    <n v="26280"/>
  </r>
  <r>
    <x v="0"/>
    <x v="0"/>
    <x v="0"/>
    <x v="0"/>
    <x v="0"/>
    <s v="DK1_Rural"/>
    <x v="7"/>
    <s v="GNR_BO_WOODCHI_E-117"/>
    <x v="0"/>
    <x v="4"/>
    <n v="20"/>
    <n v="7300"/>
    <n v="26280"/>
  </r>
  <r>
    <x v="0"/>
    <x v="0"/>
    <x v="0"/>
    <x v="0"/>
    <x v="0"/>
    <s v="DK1_Rural"/>
    <x v="7"/>
    <s v="GNR_BO_WOODCHI_E-117"/>
    <x v="0"/>
    <x v="5"/>
    <n v="20"/>
    <n v="7300"/>
    <n v="26280"/>
  </r>
  <r>
    <x v="0"/>
    <x v="0"/>
    <x v="0"/>
    <x v="0"/>
    <x v="0"/>
    <s v="DK1_Rural"/>
    <x v="7"/>
    <s v="GNR_BO_WOODCHI_E-117"/>
    <x v="0"/>
    <x v="6"/>
    <n v="20"/>
    <n v="7300"/>
    <n v="26280"/>
  </r>
  <r>
    <x v="0"/>
    <x v="0"/>
    <x v="0"/>
    <x v="0"/>
    <x v="0"/>
    <s v="DK1_Rural"/>
    <x v="7"/>
    <s v="GNR_BO_WOODCHI_E-117"/>
    <x v="0"/>
    <x v="7"/>
    <n v="20"/>
    <n v="7300"/>
    <n v="26280"/>
  </r>
  <r>
    <x v="0"/>
    <x v="0"/>
    <x v="0"/>
    <x v="0"/>
    <x v="0"/>
    <s v="DK1_Rural"/>
    <x v="7"/>
    <s v="GNR_BO_WOODCHI_E-117"/>
    <x v="0"/>
    <x v="8"/>
    <n v="20"/>
    <n v="7300"/>
    <n v="26280"/>
  </r>
  <r>
    <x v="0"/>
    <x v="0"/>
    <x v="0"/>
    <x v="0"/>
    <x v="0"/>
    <s v="DK1_Rural"/>
    <x v="7"/>
    <s v="GNR_BO_WOODCHI_E-117"/>
    <x v="0"/>
    <x v="9"/>
    <n v="20"/>
    <n v="7300"/>
    <n v="26280"/>
  </r>
  <r>
    <x v="0"/>
    <x v="0"/>
    <x v="0"/>
    <x v="0"/>
    <x v="0"/>
    <s v="DK1_Rural"/>
    <x v="7"/>
    <s v="GNR_BO_WOODCHI_E-117"/>
    <x v="0"/>
    <x v="10"/>
    <n v="20"/>
    <n v="7300"/>
    <n v="26280"/>
  </r>
  <r>
    <x v="0"/>
    <x v="0"/>
    <x v="0"/>
    <x v="0"/>
    <x v="0"/>
    <s v="DK1_Rural"/>
    <x v="7"/>
    <s v="GNR_BO_WOODCHI_E-117"/>
    <x v="0"/>
    <x v="11"/>
    <n v="20"/>
    <n v="7300"/>
    <n v="26280"/>
  </r>
  <r>
    <x v="0"/>
    <x v="0"/>
    <x v="0"/>
    <x v="0"/>
    <x v="0"/>
    <s v="DK1_Rural"/>
    <x v="7"/>
    <s v="GNR_BO_WOODCHI_E-117"/>
    <x v="0"/>
    <x v="12"/>
    <n v="20"/>
    <n v="7300"/>
    <n v="26280"/>
  </r>
  <r>
    <x v="0"/>
    <x v="0"/>
    <x v="0"/>
    <x v="0"/>
    <x v="0"/>
    <s v="DK1_Rural"/>
    <x v="7"/>
    <s v="GNR_BO_WOODCHI_E-117"/>
    <x v="0"/>
    <x v="13"/>
    <n v="20"/>
    <n v="7300"/>
    <n v="26280"/>
  </r>
  <r>
    <x v="0"/>
    <x v="0"/>
    <x v="0"/>
    <x v="0"/>
    <x v="0"/>
    <s v="DK1_Rural"/>
    <x v="7"/>
    <s v="GNR_BO_WOODCHI_E-117"/>
    <x v="0"/>
    <x v="14"/>
    <n v="20"/>
    <n v="7300"/>
    <n v="26280"/>
  </r>
  <r>
    <x v="0"/>
    <x v="0"/>
    <x v="0"/>
    <x v="0"/>
    <x v="0"/>
    <s v="DK1_Rural"/>
    <x v="7"/>
    <s v="GNR_BO_WOODCHI_E-117"/>
    <x v="0"/>
    <x v="15"/>
    <n v="20"/>
    <n v="7300"/>
    <n v="26280"/>
  </r>
  <r>
    <x v="0"/>
    <x v="0"/>
    <x v="0"/>
    <x v="0"/>
    <x v="0"/>
    <s v="DK1_Rural"/>
    <x v="7"/>
    <s v="GNR_BO_WOODCHI_E-117"/>
    <x v="0"/>
    <x v="16"/>
    <n v="20"/>
    <n v="7300"/>
    <n v="26280"/>
  </r>
  <r>
    <x v="0"/>
    <x v="0"/>
    <x v="0"/>
    <x v="0"/>
    <x v="0"/>
    <s v="DK1_Rural"/>
    <x v="7"/>
    <s v="GNR_BO_WOODCHI_E-117"/>
    <x v="0"/>
    <x v="17"/>
    <n v="20"/>
    <n v="7300"/>
    <n v="26280"/>
  </r>
  <r>
    <x v="0"/>
    <x v="0"/>
    <x v="0"/>
    <x v="0"/>
    <x v="0"/>
    <s v="DK1_Rural"/>
    <x v="7"/>
    <s v="GNR_BO_WOODCHI_E-117"/>
    <x v="0"/>
    <x v="18"/>
    <n v="20"/>
    <n v="7300"/>
    <n v="26280"/>
  </r>
  <r>
    <x v="0"/>
    <x v="0"/>
    <x v="0"/>
    <x v="0"/>
    <x v="0"/>
    <s v="DK1_Rural"/>
    <x v="7"/>
    <s v="GNR_BO_WOODCHI_E-117"/>
    <x v="0"/>
    <x v="19"/>
    <n v="20"/>
    <n v="7300"/>
    <n v="26280"/>
  </r>
  <r>
    <x v="0"/>
    <x v="0"/>
    <x v="0"/>
    <x v="0"/>
    <x v="0"/>
    <s v="DK1_Rural"/>
    <x v="7"/>
    <s v="GNR_BO_WOODCHI_E-117"/>
    <x v="0"/>
    <x v="20"/>
    <n v="20"/>
    <n v="7300"/>
    <n v="26280"/>
  </r>
  <r>
    <x v="0"/>
    <x v="0"/>
    <x v="0"/>
    <x v="0"/>
    <x v="0"/>
    <s v="DK1_Rural"/>
    <x v="7"/>
    <s v="GNR_BO_WOODCHI_E-117"/>
    <x v="0"/>
    <x v="21"/>
    <n v="20"/>
    <n v="7300"/>
    <n v="26280"/>
  </r>
  <r>
    <x v="0"/>
    <x v="0"/>
    <x v="0"/>
    <x v="0"/>
    <x v="0"/>
    <s v="DK1_Rural"/>
    <x v="7"/>
    <s v="GNR_BO_WOODCHI_E-117"/>
    <x v="0"/>
    <x v="22"/>
    <n v="20"/>
    <n v="7300"/>
    <n v="26280"/>
  </r>
  <r>
    <x v="0"/>
    <x v="0"/>
    <x v="0"/>
    <x v="0"/>
    <x v="0"/>
    <s v="DK1_Rural"/>
    <x v="7"/>
    <s v="GNR_BO_WOODCHI_E-117"/>
    <x v="0"/>
    <x v="23"/>
    <n v="20"/>
    <n v="7300"/>
    <n v="26280"/>
  </r>
  <r>
    <x v="0"/>
    <x v="0"/>
    <x v="0"/>
    <x v="0"/>
    <x v="0"/>
    <s v="DK1_Rural"/>
    <x v="7"/>
    <s v="GNR_BO_WOODCHI_E-120"/>
    <x v="0"/>
    <x v="0"/>
    <n v="24"/>
    <n v="8760"/>
    <n v="31536"/>
  </r>
  <r>
    <x v="0"/>
    <x v="0"/>
    <x v="0"/>
    <x v="0"/>
    <x v="0"/>
    <s v="DK1_Rural"/>
    <x v="7"/>
    <s v="GNR_BO_WOODCHI_E-120"/>
    <x v="0"/>
    <x v="1"/>
    <n v="24"/>
    <n v="8760"/>
    <n v="31536"/>
  </r>
  <r>
    <x v="0"/>
    <x v="0"/>
    <x v="0"/>
    <x v="0"/>
    <x v="0"/>
    <s v="DK1_Rural"/>
    <x v="7"/>
    <s v="GNR_BO_WOODCHI_E-120"/>
    <x v="0"/>
    <x v="2"/>
    <n v="24"/>
    <n v="8760"/>
    <n v="31536"/>
  </r>
  <r>
    <x v="0"/>
    <x v="0"/>
    <x v="0"/>
    <x v="0"/>
    <x v="0"/>
    <s v="DK1_Rural"/>
    <x v="7"/>
    <s v="GNR_BO_WOODCHI_E-120"/>
    <x v="0"/>
    <x v="3"/>
    <n v="24"/>
    <n v="8760"/>
    <n v="31536"/>
  </r>
  <r>
    <x v="0"/>
    <x v="0"/>
    <x v="0"/>
    <x v="0"/>
    <x v="0"/>
    <s v="DK1_Rural"/>
    <x v="7"/>
    <s v="GNR_BO_WOODCHI_E-120"/>
    <x v="0"/>
    <x v="4"/>
    <n v="24"/>
    <n v="8760"/>
    <n v="31536"/>
  </r>
  <r>
    <x v="0"/>
    <x v="0"/>
    <x v="0"/>
    <x v="0"/>
    <x v="0"/>
    <s v="DK1_Rural"/>
    <x v="7"/>
    <s v="GNR_BO_WOODCHI_E-120"/>
    <x v="0"/>
    <x v="5"/>
    <n v="24"/>
    <n v="8760"/>
    <n v="31536"/>
  </r>
  <r>
    <x v="0"/>
    <x v="0"/>
    <x v="0"/>
    <x v="0"/>
    <x v="0"/>
    <s v="DK1_Rural"/>
    <x v="7"/>
    <s v="GNR_BO_WOODCHI_E-120"/>
    <x v="0"/>
    <x v="6"/>
    <n v="24"/>
    <n v="8760"/>
    <n v="31536"/>
  </r>
  <r>
    <x v="0"/>
    <x v="0"/>
    <x v="0"/>
    <x v="0"/>
    <x v="0"/>
    <s v="DK1_Rural"/>
    <x v="7"/>
    <s v="GNR_BO_WOODCHI_E-120"/>
    <x v="0"/>
    <x v="7"/>
    <n v="24"/>
    <n v="8760"/>
    <n v="31536"/>
  </r>
  <r>
    <x v="0"/>
    <x v="0"/>
    <x v="0"/>
    <x v="0"/>
    <x v="0"/>
    <s v="DK1_Rural"/>
    <x v="7"/>
    <s v="GNR_BO_WOODCHI_E-120"/>
    <x v="0"/>
    <x v="8"/>
    <n v="24"/>
    <n v="8760"/>
    <n v="31536"/>
  </r>
  <r>
    <x v="0"/>
    <x v="0"/>
    <x v="0"/>
    <x v="0"/>
    <x v="0"/>
    <s v="DK1_Rural"/>
    <x v="7"/>
    <s v="GNR_BO_WOODCHI_E-120"/>
    <x v="0"/>
    <x v="9"/>
    <n v="24"/>
    <n v="8760"/>
    <n v="31536"/>
  </r>
  <r>
    <x v="0"/>
    <x v="0"/>
    <x v="0"/>
    <x v="0"/>
    <x v="0"/>
    <s v="DK1_Rural"/>
    <x v="7"/>
    <s v="GNR_BO_WOODCHI_E-120"/>
    <x v="0"/>
    <x v="10"/>
    <n v="24"/>
    <n v="8760"/>
    <n v="31536"/>
  </r>
  <r>
    <x v="0"/>
    <x v="0"/>
    <x v="0"/>
    <x v="0"/>
    <x v="0"/>
    <s v="DK1_Rural"/>
    <x v="7"/>
    <s v="GNR_BO_WOODCHI_E-120"/>
    <x v="0"/>
    <x v="11"/>
    <n v="24"/>
    <n v="8760"/>
    <n v="31536"/>
  </r>
  <r>
    <x v="0"/>
    <x v="0"/>
    <x v="0"/>
    <x v="0"/>
    <x v="0"/>
    <s v="DK1_Rural"/>
    <x v="7"/>
    <s v="GNR_BO_WOODCHI_E-120"/>
    <x v="0"/>
    <x v="12"/>
    <n v="24"/>
    <n v="8760"/>
    <n v="31536"/>
  </r>
  <r>
    <x v="0"/>
    <x v="0"/>
    <x v="0"/>
    <x v="0"/>
    <x v="0"/>
    <s v="DK1_Rural"/>
    <x v="7"/>
    <s v="GNR_BO_WOODCHI_E-120"/>
    <x v="0"/>
    <x v="13"/>
    <n v="24"/>
    <n v="8760"/>
    <n v="31536"/>
  </r>
  <r>
    <x v="0"/>
    <x v="0"/>
    <x v="0"/>
    <x v="0"/>
    <x v="0"/>
    <s v="DK1_Rural"/>
    <x v="7"/>
    <s v="GNR_BO_WOODCHI_E-120"/>
    <x v="0"/>
    <x v="14"/>
    <n v="24"/>
    <n v="8760"/>
    <n v="31536"/>
  </r>
  <r>
    <x v="0"/>
    <x v="0"/>
    <x v="0"/>
    <x v="0"/>
    <x v="0"/>
    <s v="DK1_Rural"/>
    <x v="7"/>
    <s v="GNR_BO_WOODCHI_E-120"/>
    <x v="0"/>
    <x v="15"/>
    <n v="24"/>
    <n v="8760"/>
    <n v="31536"/>
  </r>
  <r>
    <x v="0"/>
    <x v="0"/>
    <x v="0"/>
    <x v="0"/>
    <x v="0"/>
    <s v="DK1_Rural"/>
    <x v="7"/>
    <s v="GNR_BO_WOODCHI_E-120"/>
    <x v="0"/>
    <x v="16"/>
    <n v="24"/>
    <n v="8760"/>
    <n v="31536"/>
  </r>
  <r>
    <x v="0"/>
    <x v="0"/>
    <x v="0"/>
    <x v="0"/>
    <x v="0"/>
    <s v="DK1_Rural"/>
    <x v="7"/>
    <s v="GNR_BO_WOODCHI_E-120"/>
    <x v="0"/>
    <x v="17"/>
    <n v="24"/>
    <n v="8760"/>
    <n v="31536"/>
  </r>
  <r>
    <x v="0"/>
    <x v="0"/>
    <x v="0"/>
    <x v="0"/>
    <x v="0"/>
    <s v="DK1_Rural"/>
    <x v="7"/>
    <s v="GNR_BO_WOODCHI_E-120"/>
    <x v="0"/>
    <x v="18"/>
    <n v="24"/>
    <n v="8760"/>
    <n v="31536"/>
  </r>
  <r>
    <x v="0"/>
    <x v="0"/>
    <x v="0"/>
    <x v="0"/>
    <x v="0"/>
    <s v="DK1_Rural"/>
    <x v="7"/>
    <s v="GNR_BO_WOODCHI_E-120"/>
    <x v="0"/>
    <x v="19"/>
    <n v="24"/>
    <n v="8760"/>
    <n v="31536"/>
  </r>
  <r>
    <x v="0"/>
    <x v="0"/>
    <x v="0"/>
    <x v="0"/>
    <x v="0"/>
    <s v="DK1_Rural"/>
    <x v="7"/>
    <s v="GNR_BO_WOODCHI_E-120"/>
    <x v="0"/>
    <x v="20"/>
    <n v="24"/>
    <n v="8760"/>
    <n v="31536"/>
  </r>
  <r>
    <x v="0"/>
    <x v="0"/>
    <x v="0"/>
    <x v="0"/>
    <x v="0"/>
    <s v="DK1_Rural"/>
    <x v="7"/>
    <s v="GNR_BO_WOODCHI_E-120"/>
    <x v="0"/>
    <x v="21"/>
    <n v="24"/>
    <n v="8760"/>
    <n v="31536"/>
  </r>
  <r>
    <x v="0"/>
    <x v="0"/>
    <x v="0"/>
    <x v="0"/>
    <x v="0"/>
    <s v="DK1_Rural"/>
    <x v="7"/>
    <s v="GNR_BO_WOODCHI_E-120"/>
    <x v="0"/>
    <x v="22"/>
    <n v="24"/>
    <n v="8760"/>
    <n v="31536"/>
  </r>
  <r>
    <x v="0"/>
    <x v="0"/>
    <x v="0"/>
    <x v="0"/>
    <x v="0"/>
    <s v="DK1_Rural"/>
    <x v="7"/>
    <s v="GNR_BO_WOODCHI_E-120"/>
    <x v="0"/>
    <x v="23"/>
    <n v="24"/>
    <n v="8760"/>
    <n v="31536"/>
  </r>
  <r>
    <x v="0"/>
    <x v="0"/>
    <x v="0"/>
    <x v="0"/>
    <x v="0"/>
    <s v="DK1_Rural"/>
    <x v="7"/>
    <s v="GNR_ST_WOODCHI_BP_E-17"/>
    <x v="0"/>
    <x v="0"/>
    <n v="2.2058823529411802"/>
    <n v="805.14705882352905"/>
    <n v="2898.5294117647099"/>
  </r>
  <r>
    <x v="0"/>
    <x v="0"/>
    <x v="0"/>
    <x v="0"/>
    <x v="0"/>
    <s v="DK1_Rural"/>
    <x v="7"/>
    <s v="GNR_ST_WOODCHI_BP_E-17"/>
    <x v="0"/>
    <x v="1"/>
    <n v="2.2058823529411802"/>
    <n v="805.14705882352905"/>
    <n v="2898.5294117647099"/>
  </r>
  <r>
    <x v="0"/>
    <x v="0"/>
    <x v="0"/>
    <x v="0"/>
    <x v="0"/>
    <s v="DK1_Rural"/>
    <x v="7"/>
    <s v="GNR_ST_WOODCHI_BP_E-17"/>
    <x v="0"/>
    <x v="2"/>
    <n v="2.2058823529411802"/>
    <n v="805.14705882352905"/>
    <n v="2898.5294117647099"/>
  </r>
  <r>
    <x v="0"/>
    <x v="0"/>
    <x v="0"/>
    <x v="0"/>
    <x v="0"/>
    <s v="DK1_Rural"/>
    <x v="7"/>
    <s v="GNR_ST_WOODCHI_BP_E-17"/>
    <x v="0"/>
    <x v="3"/>
    <n v="2.2058823529411802"/>
    <n v="805.14705882352905"/>
    <n v="2898.5294117647099"/>
  </r>
  <r>
    <x v="0"/>
    <x v="0"/>
    <x v="0"/>
    <x v="0"/>
    <x v="0"/>
    <s v="DK1_Rural"/>
    <x v="7"/>
    <s v="GNR_ST_WOODCHI_BP_E-17"/>
    <x v="0"/>
    <x v="4"/>
    <n v="2.2058823529411802"/>
    <n v="805.14705882352905"/>
    <n v="2898.5294117647099"/>
  </r>
  <r>
    <x v="0"/>
    <x v="0"/>
    <x v="0"/>
    <x v="0"/>
    <x v="0"/>
    <s v="DK1_Rural"/>
    <x v="7"/>
    <s v="GNR_ST_WOODCHI_BP_E-17"/>
    <x v="0"/>
    <x v="5"/>
    <n v="2.2058823529411802"/>
    <n v="805.14705882352905"/>
    <n v="2898.5294117647099"/>
  </r>
  <r>
    <x v="0"/>
    <x v="0"/>
    <x v="0"/>
    <x v="0"/>
    <x v="0"/>
    <s v="DK1_Rural"/>
    <x v="7"/>
    <s v="GNR_ST_WOODCHI_BP_E-17"/>
    <x v="0"/>
    <x v="6"/>
    <n v="2.2058823529411802"/>
    <n v="805.14705882352905"/>
    <n v="2898.5294117647099"/>
  </r>
  <r>
    <x v="0"/>
    <x v="0"/>
    <x v="0"/>
    <x v="0"/>
    <x v="0"/>
    <s v="DK1_Rural"/>
    <x v="7"/>
    <s v="GNR_ST_WOODCHI_BP_E-17"/>
    <x v="0"/>
    <x v="7"/>
    <n v="2.2058823529411802"/>
    <n v="805.14705882352905"/>
    <n v="2898.5294117647099"/>
  </r>
  <r>
    <x v="0"/>
    <x v="0"/>
    <x v="0"/>
    <x v="0"/>
    <x v="0"/>
    <s v="DK1_Rural"/>
    <x v="7"/>
    <s v="GNR_ST_WOODCHI_BP_E-17"/>
    <x v="0"/>
    <x v="8"/>
    <n v="2.2058823529411802"/>
    <n v="805.14705882352905"/>
    <n v="2898.5294117647099"/>
  </r>
  <r>
    <x v="0"/>
    <x v="0"/>
    <x v="0"/>
    <x v="0"/>
    <x v="0"/>
    <s v="DK1_Rural"/>
    <x v="7"/>
    <s v="GNR_ST_WOODCHI_BP_E-17"/>
    <x v="0"/>
    <x v="9"/>
    <n v="2.2058823529411802"/>
    <n v="805.14705882352905"/>
    <n v="2898.5294117647099"/>
  </r>
  <r>
    <x v="0"/>
    <x v="0"/>
    <x v="0"/>
    <x v="0"/>
    <x v="0"/>
    <s v="DK1_Rural"/>
    <x v="7"/>
    <s v="GNR_ST_WOODCHI_BP_E-17"/>
    <x v="0"/>
    <x v="10"/>
    <n v="2.2058823529411802"/>
    <n v="805.14705882352905"/>
    <n v="2898.5294117647099"/>
  </r>
  <r>
    <x v="0"/>
    <x v="0"/>
    <x v="0"/>
    <x v="0"/>
    <x v="0"/>
    <s v="DK1_Rural"/>
    <x v="7"/>
    <s v="GNR_ST_WOODCHI_BP_E-17"/>
    <x v="0"/>
    <x v="11"/>
    <n v="2.2058823529411802"/>
    <n v="805.14705882352905"/>
    <n v="2898.5294117647099"/>
  </r>
  <r>
    <x v="0"/>
    <x v="0"/>
    <x v="0"/>
    <x v="0"/>
    <x v="0"/>
    <s v="DK1_Rural"/>
    <x v="7"/>
    <s v="GNR_ST_WOODCHI_BP_E-17"/>
    <x v="0"/>
    <x v="12"/>
    <n v="2.2058823529411802"/>
    <n v="805.14705882352905"/>
    <n v="2898.5294117647099"/>
  </r>
  <r>
    <x v="0"/>
    <x v="0"/>
    <x v="0"/>
    <x v="0"/>
    <x v="0"/>
    <s v="DK1_Rural"/>
    <x v="7"/>
    <s v="GNR_ST_WOODCHI_BP_E-17"/>
    <x v="0"/>
    <x v="13"/>
    <n v="2.2058823529411802"/>
    <n v="805.14705882352905"/>
    <n v="2898.5294117647099"/>
  </r>
  <r>
    <x v="0"/>
    <x v="0"/>
    <x v="0"/>
    <x v="0"/>
    <x v="0"/>
    <s v="DK1_Rural"/>
    <x v="7"/>
    <s v="GNR_ST_WOODCHI_BP_E-17"/>
    <x v="0"/>
    <x v="14"/>
    <n v="2.2058823529411802"/>
    <n v="805.14705882352905"/>
    <n v="2898.5294117647099"/>
  </r>
  <r>
    <x v="0"/>
    <x v="0"/>
    <x v="0"/>
    <x v="0"/>
    <x v="0"/>
    <s v="DK1_Rural"/>
    <x v="7"/>
    <s v="GNR_ST_WOODCHI_BP_E-17"/>
    <x v="0"/>
    <x v="15"/>
    <n v="2.2058823529411802"/>
    <n v="805.14705882352905"/>
    <n v="2898.5294117647099"/>
  </r>
  <r>
    <x v="0"/>
    <x v="0"/>
    <x v="0"/>
    <x v="0"/>
    <x v="0"/>
    <s v="DK1_Rural"/>
    <x v="7"/>
    <s v="GNR_ST_WOODCHI_BP_E-17"/>
    <x v="0"/>
    <x v="16"/>
    <n v="2.2058823529411802"/>
    <n v="805.14705882352905"/>
    <n v="2898.5294117647099"/>
  </r>
  <r>
    <x v="0"/>
    <x v="0"/>
    <x v="0"/>
    <x v="0"/>
    <x v="0"/>
    <s v="DK1_Rural"/>
    <x v="7"/>
    <s v="GNR_ST_WOODCHI_BP_E-17"/>
    <x v="0"/>
    <x v="17"/>
    <n v="2.2058823529411802"/>
    <n v="805.14705882352905"/>
    <n v="2898.5294117647099"/>
  </r>
  <r>
    <x v="0"/>
    <x v="0"/>
    <x v="0"/>
    <x v="0"/>
    <x v="0"/>
    <s v="DK1_Rural"/>
    <x v="7"/>
    <s v="GNR_ST_WOODCHI_BP_E-17"/>
    <x v="0"/>
    <x v="18"/>
    <n v="2.2058823529411802"/>
    <n v="805.14705882352905"/>
    <n v="2898.5294117647099"/>
  </r>
  <r>
    <x v="0"/>
    <x v="0"/>
    <x v="0"/>
    <x v="0"/>
    <x v="0"/>
    <s v="DK1_Rural"/>
    <x v="7"/>
    <s v="GNR_ST_WOODCHI_BP_E-17"/>
    <x v="0"/>
    <x v="19"/>
    <n v="2.2058823529411802"/>
    <n v="805.14705882352905"/>
    <n v="2898.5294117647099"/>
  </r>
  <r>
    <x v="0"/>
    <x v="0"/>
    <x v="0"/>
    <x v="0"/>
    <x v="0"/>
    <s v="DK1_Rural"/>
    <x v="7"/>
    <s v="GNR_ST_WOODCHI_BP_E-17"/>
    <x v="0"/>
    <x v="20"/>
    <n v="2.2058823529411802"/>
    <n v="805.14705882352905"/>
    <n v="2898.5294117647099"/>
  </r>
  <r>
    <x v="0"/>
    <x v="0"/>
    <x v="0"/>
    <x v="0"/>
    <x v="0"/>
    <s v="DK1_Rural"/>
    <x v="7"/>
    <s v="GNR_ST_WOODCHI_BP_E-17"/>
    <x v="0"/>
    <x v="21"/>
    <n v="2.2058823529411802"/>
    <n v="805.14705882352905"/>
    <n v="2898.5294117647099"/>
  </r>
  <r>
    <x v="0"/>
    <x v="0"/>
    <x v="0"/>
    <x v="0"/>
    <x v="0"/>
    <s v="DK1_Rural"/>
    <x v="7"/>
    <s v="GNR_ST_WOODCHI_BP_E-17"/>
    <x v="0"/>
    <x v="22"/>
    <n v="2.2058823529411802"/>
    <n v="805.14705882352905"/>
    <n v="2898.5294117647099"/>
  </r>
  <r>
    <x v="0"/>
    <x v="0"/>
    <x v="0"/>
    <x v="0"/>
    <x v="0"/>
    <s v="DK1_Rural"/>
    <x v="7"/>
    <s v="GNR_ST_WOODCHI_BP_E-17"/>
    <x v="0"/>
    <x v="23"/>
    <n v="2.2058823529411802"/>
    <n v="805.14705882352905"/>
    <n v="2898.5294117647099"/>
  </r>
  <r>
    <x v="0"/>
    <x v="0"/>
    <x v="0"/>
    <x v="0"/>
    <x v="0"/>
    <s v="DK1_Rural"/>
    <x v="7"/>
    <s v="GNR_ST_WOODCHI_BP_E-27"/>
    <x v="0"/>
    <x v="0"/>
    <n v="13.823529411764699"/>
    <n v="5045.5882352941198"/>
    <n v="18164.1176470588"/>
  </r>
  <r>
    <x v="0"/>
    <x v="0"/>
    <x v="0"/>
    <x v="0"/>
    <x v="0"/>
    <s v="DK1_Rural"/>
    <x v="7"/>
    <s v="GNR_ST_WOODCHI_BP_E-27"/>
    <x v="0"/>
    <x v="1"/>
    <n v="13.823529411764699"/>
    <n v="5045.5882352941198"/>
    <n v="18164.1176470588"/>
  </r>
  <r>
    <x v="0"/>
    <x v="0"/>
    <x v="0"/>
    <x v="0"/>
    <x v="0"/>
    <s v="DK1_Rural"/>
    <x v="7"/>
    <s v="GNR_ST_WOODCHI_BP_E-27"/>
    <x v="0"/>
    <x v="2"/>
    <n v="13.823529411764699"/>
    <n v="5045.5882352941198"/>
    <n v="18164.1176470588"/>
  </r>
  <r>
    <x v="0"/>
    <x v="0"/>
    <x v="0"/>
    <x v="0"/>
    <x v="0"/>
    <s v="DK1_Rural"/>
    <x v="7"/>
    <s v="GNR_ST_WOODCHI_BP_E-27"/>
    <x v="0"/>
    <x v="3"/>
    <n v="13.823529411764699"/>
    <n v="5045.5882352941198"/>
    <n v="18164.1176470588"/>
  </r>
  <r>
    <x v="0"/>
    <x v="0"/>
    <x v="0"/>
    <x v="0"/>
    <x v="0"/>
    <s v="DK1_Rural"/>
    <x v="7"/>
    <s v="GNR_ST_WOODCHI_BP_E-27"/>
    <x v="0"/>
    <x v="4"/>
    <n v="13.823529411764699"/>
    <n v="5045.5882352941198"/>
    <n v="18164.1176470588"/>
  </r>
  <r>
    <x v="0"/>
    <x v="0"/>
    <x v="0"/>
    <x v="0"/>
    <x v="0"/>
    <s v="DK1_Rural"/>
    <x v="7"/>
    <s v="GNR_ST_WOODCHI_BP_E-27"/>
    <x v="0"/>
    <x v="5"/>
    <n v="13.823529411764699"/>
    <n v="5045.5882352941198"/>
    <n v="18164.1176470588"/>
  </r>
  <r>
    <x v="0"/>
    <x v="0"/>
    <x v="0"/>
    <x v="0"/>
    <x v="0"/>
    <s v="DK1_Rural"/>
    <x v="7"/>
    <s v="GNR_ST_WOODCHI_BP_E-27"/>
    <x v="0"/>
    <x v="6"/>
    <n v="13.823529411764699"/>
    <n v="5045.5882352941198"/>
    <n v="18164.1176470588"/>
  </r>
  <r>
    <x v="0"/>
    <x v="0"/>
    <x v="0"/>
    <x v="0"/>
    <x v="0"/>
    <s v="DK1_Rural"/>
    <x v="7"/>
    <s v="GNR_ST_WOODCHI_BP_E-27"/>
    <x v="0"/>
    <x v="7"/>
    <n v="13.823529411764699"/>
    <n v="5045.5882352941198"/>
    <n v="18164.1176470588"/>
  </r>
  <r>
    <x v="0"/>
    <x v="0"/>
    <x v="0"/>
    <x v="0"/>
    <x v="0"/>
    <s v="DK1_Rural"/>
    <x v="7"/>
    <s v="GNR_ST_WOODCHI_BP_E-27"/>
    <x v="0"/>
    <x v="8"/>
    <n v="13.823529411764699"/>
    <n v="5045.5882352941198"/>
    <n v="18164.1176470588"/>
  </r>
  <r>
    <x v="0"/>
    <x v="0"/>
    <x v="0"/>
    <x v="0"/>
    <x v="0"/>
    <s v="DK1_Rural"/>
    <x v="7"/>
    <s v="GNR_ST_WOODCHI_BP_E-27"/>
    <x v="0"/>
    <x v="9"/>
    <n v="13.823529411764699"/>
    <n v="5045.5882352941198"/>
    <n v="18164.1176470588"/>
  </r>
  <r>
    <x v="0"/>
    <x v="0"/>
    <x v="0"/>
    <x v="0"/>
    <x v="0"/>
    <s v="DK1_Rural"/>
    <x v="7"/>
    <s v="GNR_ST_WOODCHI_BP_E-27"/>
    <x v="0"/>
    <x v="10"/>
    <n v="13.823529411764699"/>
    <n v="5045.5882352941198"/>
    <n v="18164.1176470588"/>
  </r>
  <r>
    <x v="0"/>
    <x v="0"/>
    <x v="0"/>
    <x v="0"/>
    <x v="0"/>
    <s v="DK1_Rural"/>
    <x v="7"/>
    <s v="GNR_ST_WOODCHI_BP_E-27"/>
    <x v="0"/>
    <x v="11"/>
    <n v="13.823529411764699"/>
    <n v="5045.5882352941198"/>
    <n v="18164.1176470588"/>
  </r>
  <r>
    <x v="0"/>
    <x v="0"/>
    <x v="0"/>
    <x v="0"/>
    <x v="0"/>
    <s v="DK1_Rural"/>
    <x v="7"/>
    <s v="GNR_ST_WOODCHI_BP_E-27"/>
    <x v="0"/>
    <x v="12"/>
    <n v="13.823529411764699"/>
    <n v="5045.5882352941198"/>
    <n v="18164.1176470588"/>
  </r>
  <r>
    <x v="0"/>
    <x v="0"/>
    <x v="0"/>
    <x v="0"/>
    <x v="0"/>
    <s v="DK1_Rural"/>
    <x v="7"/>
    <s v="GNR_ST_WOODCHI_BP_E-27"/>
    <x v="0"/>
    <x v="13"/>
    <n v="13.823529411764699"/>
    <n v="5045.5882352941198"/>
    <n v="18164.1176470588"/>
  </r>
  <r>
    <x v="0"/>
    <x v="0"/>
    <x v="0"/>
    <x v="0"/>
    <x v="0"/>
    <s v="DK1_Rural"/>
    <x v="7"/>
    <s v="GNR_ST_WOODCHI_BP_E-27"/>
    <x v="0"/>
    <x v="14"/>
    <n v="13.823529411764699"/>
    <n v="5045.5882352941198"/>
    <n v="18164.1176470588"/>
  </r>
  <r>
    <x v="0"/>
    <x v="0"/>
    <x v="0"/>
    <x v="0"/>
    <x v="0"/>
    <s v="DK1_Rural"/>
    <x v="7"/>
    <s v="GNR_ST_WOODCHI_BP_E-27"/>
    <x v="0"/>
    <x v="15"/>
    <n v="13.823529411764699"/>
    <n v="5045.5882352941198"/>
    <n v="18164.1176470588"/>
  </r>
  <r>
    <x v="0"/>
    <x v="0"/>
    <x v="0"/>
    <x v="0"/>
    <x v="0"/>
    <s v="DK1_Rural"/>
    <x v="7"/>
    <s v="GNR_ST_WOODCHI_BP_E-27"/>
    <x v="0"/>
    <x v="16"/>
    <n v="13.823529411764699"/>
    <n v="5045.5882352941198"/>
    <n v="18164.1176470588"/>
  </r>
  <r>
    <x v="0"/>
    <x v="0"/>
    <x v="0"/>
    <x v="0"/>
    <x v="0"/>
    <s v="DK1_Rural"/>
    <x v="7"/>
    <s v="GNR_ST_WOODCHI_BP_E-27"/>
    <x v="0"/>
    <x v="17"/>
    <n v="13.823529411764699"/>
    <n v="5045.5882352941198"/>
    <n v="18164.1176470588"/>
  </r>
  <r>
    <x v="0"/>
    <x v="0"/>
    <x v="0"/>
    <x v="0"/>
    <x v="0"/>
    <s v="DK1_Rural"/>
    <x v="7"/>
    <s v="GNR_ST_WOODCHI_BP_E-27"/>
    <x v="0"/>
    <x v="18"/>
    <n v="13.823529411764699"/>
    <n v="5045.5882352941198"/>
    <n v="18164.1176470588"/>
  </r>
  <r>
    <x v="0"/>
    <x v="0"/>
    <x v="0"/>
    <x v="0"/>
    <x v="0"/>
    <s v="DK1_Rural"/>
    <x v="7"/>
    <s v="GNR_ST_WOODCHI_BP_E-27"/>
    <x v="0"/>
    <x v="19"/>
    <n v="13.823529411764699"/>
    <n v="5045.5882352941198"/>
    <n v="18164.1176470588"/>
  </r>
  <r>
    <x v="0"/>
    <x v="0"/>
    <x v="0"/>
    <x v="0"/>
    <x v="0"/>
    <s v="DK1_Rural"/>
    <x v="7"/>
    <s v="GNR_ST_WOODCHI_BP_E-27"/>
    <x v="0"/>
    <x v="20"/>
    <n v="13.823529411764699"/>
    <n v="5045.5882352941198"/>
    <n v="18164.1176470588"/>
  </r>
  <r>
    <x v="0"/>
    <x v="0"/>
    <x v="0"/>
    <x v="0"/>
    <x v="0"/>
    <s v="DK1_Rural"/>
    <x v="7"/>
    <s v="GNR_ST_WOODCHI_BP_E-27"/>
    <x v="0"/>
    <x v="21"/>
    <n v="13.823529411764699"/>
    <n v="5045.5882352941198"/>
    <n v="18164.1176470588"/>
  </r>
  <r>
    <x v="0"/>
    <x v="0"/>
    <x v="0"/>
    <x v="0"/>
    <x v="0"/>
    <s v="DK1_Rural"/>
    <x v="7"/>
    <s v="GNR_ST_WOODCHI_BP_E-27"/>
    <x v="0"/>
    <x v="22"/>
    <n v="13.823529411764699"/>
    <n v="5045.5882352941198"/>
    <n v="18164.1176470588"/>
  </r>
  <r>
    <x v="0"/>
    <x v="0"/>
    <x v="0"/>
    <x v="0"/>
    <x v="0"/>
    <s v="DK1_Rural"/>
    <x v="7"/>
    <s v="GNR_ST_WOODCHI_BP_E-27"/>
    <x v="0"/>
    <x v="23"/>
    <n v="13.823529411764699"/>
    <n v="5045.5882352941198"/>
    <n v="18164.1176470588"/>
  </r>
  <r>
    <x v="0"/>
    <x v="0"/>
    <x v="0"/>
    <x v="0"/>
    <x v="0"/>
    <s v="DK1_Rural"/>
    <x v="8"/>
    <s v="GNR_ST_WOODPEL_BP_E-30"/>
    <x v="0"/>
    <x v="0"/>
    <n v="3.82"/>
    <n v="1394.3"/>
    <n v="5019.4799999999996"/>
  </r>
  <r>
    <x v="0"/>
    <x v="0"/>
    <x v="0"/>
    <x v="0"/>
    <x v="0"/>
    <s v="DK1_Rural"/>
    <x v="8"/>
    <s v="GNR_ST_WOODPEL_BP_E-30"/>
    <x v="0"/>
    <x v="1"/>
    <n v="3.82"/>
    <n v="1394.3"/>
    <n v="5019.4799999999996"/>
  </r>
  <r>
    <x v="0"/>
    <x v="0"/>
    <x v="0"/>
    <x v="0"/>
    <x v="0"/>
    <s v="DK1_Rural"/>
    <x v="8"/>
    <s v="GNR_ST_WOODPEL_BP_E-30"/>
    <x v="0"/>
    <x v="2"/>
    <n v="3.82"/>
    <n v="1394.3"/>
    <n v="5019.4799999999996"/>
  </r>
  <r>
    <x v="0"/>
    <x v="0"/>
    <x v="0"/>
    <x v="0"/>
    <x v="0"/>
    <s v="DK1_Rural"/>
    <x v="8"/>
    <s v="GNR_ST_WOODPEL_BP_E-30"/>
    <x v="0"/>
    <x v="3"/>
    <n v="3.82"/>
    <n v="1394.3"/>
    <n v="5019.4799999999996"/>
  </r>
  <r>
    <x v="0"/>
    <x v="0"/>
    <x v="0"/>
    <x v="0"/>
    <x v="0"/>
    <s v="DK1_Rural"/>
    <x v="8"/>
    <s v="GNR_ST_WOODPEL_BP_E-30"/>
    <x v="0"/>
    <x v="4"/>
    <n v="3.82"/>
    <n v="1394.3"/>
    <n v="5019.4799999999996"/>
  </r>
  <r>
    <x v="0"/>
    <x v="0"/>
    <x v="0"/>
    <x v="0"/>
    <x v="0"/>
    <s v="DK1_Rural"/>
    <x v="8"/>
    <s v="GNR_ST_WOODPEL_BP_E-30"/>
    <x v="0"/>
    <x v="5"/>
    <n v="3.82"/>
    <n v="1394.3"/>
    <n v="5019.4799999999996"/>
  </r>
  <r>
    <x v="0"/>
    <x v="0"/>
    <x v="0"/>
    <x v="0"/>
    <x v="0"/>
    <s v="DK1_Rural"/>
    <x v="8"/>
    <s v="GNR_ST_WOODPEL_BP_E-30"/>
    <x v="0"/>
    <x v="6"/>
    <n v="3.82"/>
    <n v="1394.3"/>
    <n v="5019.4799999999996"/>
  </r>
  <r>
    <x v="0"/>
    <x v="0"/>
    <x v="0"/>
    <x v="0"/>
    <x v="0"/>
    <s v="DK1_Rural"/>
    <x v="8"/>
    <s v="GNR_ST_WOODPEL_BP_E-30"/>
    <x v="0"/>
    <x v="7"/>
    <n v="3.82"/>
    <n v="1394.3"/>
    <n v="5019.4799999999996"/>
  </r>
  <r>
    <x v="0"/>
    <x v="0"/>
    <x v="0"/>
    <x v="0"/>
    <x v="0"/>
    <s v="DK1_Rural"/>
    <x v="8"/>
    <s v="GNR_ST_WOODPEL_BP_E-30"/>
    <x v="0"/>
    <x v="8"/>
    <n v="3.82"/>
    <n v="1394.3"/>
    <n v="5019.4799999999996"/>
  </r>
  <r>
    <x v="0"/>
    <x v="0"/>
    <x v="0"/>
    <x v="0"/>
    <x v="0"/>
    <s v="DK1_Rural"/>
    <x v="8"/>
    <s v="GNR_ST_WOODPEL_BP_E-30"/>
    <x v="0"/>
    <x v="9"/>
    <n v="3.82"/>
    <n v="1394.3"/>
    <n v="5019.4799999999996"/>
  </r>
  <r>
    <x v="0"/>
    <x v="0"/>
    <x v="0"/>
    <x v="0"/>
    <x v="0"/>
    <s v="DK1_Rural"/>
    <x v="8"/>
    <s v="GNR_ST_WOODPEL_BP_E-30"/>
    <x v="0"/>
    <x v="10"/>
    <n v="3.82"/>
    <n v="1394.3"/>
    <n v="5019.4799999999996"/>
  </r>
  <r>
    <x v="0"/>
    <x v="0"/>
    <x v="0"/>
    <x v="0"/>
    <x v="0"/>
    <s v="DK1_Rural"/>
    <x v="8"/>
    <s v="GNR_ST_WOODPEL_BP_E-30"/>
    <x v="0"/>
    <x v="11"/>
    <n v="3.82"/>
    <n v="1394.3"/>
    <n v="5019.4799999999996"/>
  </r>
  <r>
    <x v="0"/>
    <x v="0"/>
    <x v="0"/>
    <x v="0"/>
    <x v="0"/>
    <s v="DK1_Rural"/>
    <x v="8"/>
    <s v="GNR_ST_WOODPEL_BP_E-30"/>
    <x v="0"/>
    <x v="12"/>
    <n v="3.82"/>
    <n v="1394.3"/>
    <n v="5019.4799999999996"/>
  </r>
  <r>
    <x v="0"/>
    <x v="0"/>
    <x v="0"/>
    <x v="0"/>
    <x v="0"/>
    <s v="DK1_Rural"/>
    <x v="8"/>
    <s v="GNR_ST_WOODPEL_BP_E-30"/>
    <x v="0"/>
    <x v="13"/>
    <n v="3.82"/>
    <n v="1394.3"/>
    <n v="5019.4799999999996"/>
  </r>
  <r>
    <x v="0"/>
    <x v="0"/>
    <x v="0"/>
    <x v="0"/>
    <x v="0"/>
    <s v="DK1_Rural"/>
    <x v="8"/>
    <s v="GNR_ST_WOODPEL_BP_E-30"/>
    <x v="0"/>
    <x v="14"/>
    <n v="3.82"/>
    <n v="1394.3"/>
    <n v="5019.4799999999996"/>
  </r>
  <r>
    <x v="0"/>
    <x v="0"/>
    <x v="0"/>
    <x v="0"/>
    <x v="0"/>
    <s v="DK1_Rural"/>
    <x v="8"/>
    <s v="GNR_ST_WOODPEL_BP_E-30"/>
    <x v="0"/>
    <x v="15"/>
    <n v="3.82"/>
    <n v="1394.3"/>
    <n v="5019.4799999999996"/>
  </r>
  <r>
    <x v="0"/>
    <x v="0"/>
    <x v="0"/>
    <x v="0"/>
    <x v="0"/>
    <s v="DK1_Rural"/>
    <x v="8"/>
    <s v="GNR_ST_WOODPEL_BP_E-30"/>
    <x v="0"/>
    <x v="16"/>
    <n v="3.82"/>
    <n v="1394.3"/>
    <n v="5019.4799999999996"/>
  </r>
  <r>
    <x v="0"/>
    <x v="0"/>
    <x v="0"/>
    <x v="0"/>
    <x v="0"/>
    <s v="DK1_Rural"/>
    <x v="8"/>
    <s v="GNR_ST_WOODPEL_BP_E-30"/>
    <x v="0"/>
    <x v="17"/>
    <n v="3.82"/>
    <n v="1394.3"/>
    <n v="5019.4799999999996"/>
  </r>
  <r>
    <x v="0"/>
    <x v="0"/>
    <x v="0"/>
    <x v="0"/>
    <x v="0"/>
    <s v="DK1_Rural"/>
    <x v="8"/>
    <s v="GNR_ST_WOODPEL_BP_E-30"/>
    <x v="0"/>
    <x v="18"/>
    <n v="3.82"/>
    <n v="1394.3"/>
    <n v="5019.4799999999996"/>
  </r>
  <r>
    <x v="0"/>
    <x v="0"/>
    <x v="0"/>
    <x v="0"/>
    <x v="0"/>
    <s v="DK1_Rural"/>
    <x v="8"/>
    <s v="GNR_ST_WOODPEL_BP_E-30"/>
    <x v="0"/>
    <x v="19"/>
    <n v="3.82"/>
    <n v="1394.3"/>
    <n v="5019.4799999999996"/>
  </r>
  <r>
    <x v="0"/>
    <x v="0"/>
    <x v="0"/>
    <x v="0"/>
    <x v="0"/>
    <s v="DK1_Rural"/>
    <x v="8"/>
    <s v="GNR_ST_WOODPEL_BP_E-30"/>
    <x v="0"/>
    <x v="20"/>
    <n v="3.82"/>
    <n v="1394.3"/>
    <n v="5019.4799999999996"/>
  </r>
  <r>
    <x v="0"/>
    <x v="0"/>
    <x v="0"/>
    <x v="0"/>
    <x v="0"/>
    <s v="DK1_Rural"/>
    <x v="8"/>
    <s v="GNR_ST_WOODPEL_BP_E-30"/>
    <x v="0"/>
    <x v="21"/>
    <n v="3.82"/>
    <n v="1394.3"/>
    <n v="5019.4799999999996"/>
  </r>
  <r>
    <x v="0"/>
    <x v="0"/>
    <x v="0"/>
    <x v="0"/>
    <x v="0"/>
    <s v="DK1_Rural"/>
    <x v="8"/>
    <s v="GNR_ST_WOODPEL_BP_E-30"/>
    <x v="0"/>
    <x v="22"/>
    <n v="3.82"/>
    <n v="1394.3"/>
    <n v="5019.4799999999996"/>
  </r>
  <r>
    <x v="0"/>
    <x v="0"/>
    <x v="0"/>
    <x v="0"/>
    <x v="0"/>
    <s v="DK1_Rural"/>
    <x v="8"/>
    <s v="GNR_ST_WOODPEL_BP_E-30"/>
    <x v="0"/>
    <x v="23"/>
    <n v="3.82"/>
    <n v="1394.3"/>
    <n v="5019.4799999999996"/>
  </r>
  <r>
    <x v="0"/>
    <x v="0"/>
    <x v="0"/>
    <x v="0"/>
    <x v="0"/>
    <s v="DK1_Rural"/>
    <x v="9"/>
    <s v="GNR_BO_WOODWST_E-100"/>
    <x v="0"/>
    <x v="0"/>
    <n v="30.75"/>
    <n v="11223.75"/>
    <n v="40405.5"/>
  </r>
  <r>
    <x v="0"/>
    <x v="0"/>
    <x v="0"/>
    <x v="0"/>
    <x v="0"/>
    <s v="DK1_Rural"/>
    <x v="9"/>
    <s v="GNR_BO_WOODWST_E-100"/>
    <x v="0"/>
    <x v="1"/>
    <n v="30.75"/>
    <n v="11223.75"/>
    <n v="40405.5"/>
  </r>
  <r>
    <x v="0"/>
    <x v="0"/>
    <x v="0"/>
    <x v="0"/>
    <x v="0"/>
    <s v="DK1_Rural"/>
    <x v="9"/>
    <s v="GNR_BO_WOODWST_E-100"/>
    <x v="0"/>
    <x v="2"/>
    <n v="30.75"/>
    <n v="11223.75"/>
    <n v="40405.5"/>
  </r>
  <r>
    <x v="0"/>
    <x v="0"/>
    <x v="0"/>
    <x v="0"/>
    <x v="0"/>
    <s v="DK1_Rural"/>
    <x v="9"/>
    <s v="GNR_BO_WOODWST_E-100"/>
    <x v="0"/>
    <x v="3"/>
    <n v="30.75"/>
    <n v="11223.75"/>
    <n v="40405.5"/>
  </r>
  <r>
    <x v="0"/>
    <x v="0"/>
    <x v="0"/>
    <x v="0"/>
    <x v="0"/>
    <s v="DK1_Rural"/>
    <x v="9"/>
    <s v="GNR_BO_WOODWST_E-100"/>
    <x v="0"/>
    <x v="4"/>
    <n v="30.75"/>
    <n v="11223.75"/>
    <n v="40405.5"/>
  </r>
  <r>
    <x v="0"/>
    <x v="0"/>
    <x v="0"/>
    <x v="0"/>
    <x v="0"/>
    <s v="DK1_Rural"/>
    <x v="9"/>
    <s v="GNR_BO_WOODWST_E-100"/>
    <x v="0"/>
    <x v="5"/>
    <n v="30.75"/>
    <n v="11223.75"/>
    <n v="40405.5"/>
  </r>
  <r>
    <x v="0"/>
    <x v="0"/>
    <x v="0"/>
    <x v="0"/>
    <x v="0"/>
    <s v="DK1_Rural"/>
    <x v="9"/>
    <s v="GNR_BO_WOODWST_E-100"/>
    <x v="0"/>
    <x v="6"/>
    <n v="30.75"/>
    <n v="11223.75"/>
    <n v="40405.5"/>
  </r>
  <r>
    <x v="0"/>
    <x v="0"/>
    <x v="0"/>
    <x v="0"/>
    <x v="0"/>
    <s v="DK1_Rural"/>
    <x v="9"/>
    <s v="GNR_BO_WOODWST_E-100"/>
    <x v="0"/>
    <x v="7"/>
    <n v="30.75"/>
    <n v="11223.75"/>
    <n v="40405.5"/>
  </r>
  <r>
    <x v="0"/>
    <x v="0"/>
    <x v="0"/>
    <x v="0"/>
    <x v="0"/>
    <s v="DK1_Rural"/>
    <x v="9"/>
    <s v="GNR_BO_WOODWST_E-100"/>
    <x v="0"/>
    <x v="8"/>
    <n v="30.75"/>
    <n v="11223.75"/>
    <n v="40405.5"/>
  </r>
  <r>
    <x v="0"/>
    <x v="0"/>
    <x v="0"/>
    <x v="0"/>
    <x v="0"/>
    <s v="DK1_Rural"/>
    <x v="9"/>
    <s v="GNR_BO_WOODWST_E-100"/>
    <x v="0"/>
    <x v="9"/>
    <n v="30.75"/>
    <n v="11223.75"/>
    <n v="40405.5"/>
  </r>
  <r>
    <x v="0"/>
    <x v="0"/>
    <x v="0"/>
    <x v="0"/>
    <x v="0"/>
    <s v="DK1_Rural"/>
    <x v="9"/>
    <s v="GNR_BO_WOODWST_E-100"/>
    <x v="0"/>
    <x v="10"/>
    <n v="30.75"/>
    <n v="11223.75"/>
    <n v="40405.5"/>
  </r>
  <r>
    <x v="0"/>
    <x v="0"/>
    <x v="0"/>
    <x v="0"/>
    <x v="0"/>
    <s v="DK1_Rural"/>
    <x v="9"/>
    <s v="GNR_BO_WOODWST_E-100"/>
    <x v="0"/>
    <x v="11"/>
    <n v="30.75"/>
    <n v="11223.75"/>
    <n v="40405.5"/>
  </r>
  <r>
    <x v="0"/>
    <x v="0"/>
    <x v="0"/>
    <x v="0"/>
    <x v="0"/>
    <s v="DK1_Rural"/>
    <x v="9"/>
    <s v="GNR_BO_WOODWST_E-100"/>
    <x v="0"/>
    <x v="12"/>
    <n v="30.75"/>
    <n v="11223.75"/>
    <n v="40405.5"/>
  </r>
  <r>
    <x v="0"/>
    <x v="0"/>
    <x v="0"/>
    <x v="0"/>
    <x v="0"/>
    <s v="DK1_Rural"/>
    <x v="9"/>
    <s v="GNR_BO_WOODWST_E-100"/>
    <x v="0"/>
    <x v="13"/>
    <n v="30.75"/>
    <n v="11223.75"/>
    <n v="40405.5"/>
  </r>
  <r>
    <x v="0"/>
    <x v="0"/>
    <x v="0"/>
    <x v="0"/>
    <x v="0"/>
    <s v="DK1_Rural"/>
    <x v="9"/>
    <s v="GNR_BO_WOODWST_E-100"/>
    <x v="0"/>
    <x v="14"/>
    <n v="30.75"/>
    <n v="11223.75"/>
    <n v="40405.5"/>
  </r>
  <r>
    <x v="0"/>
    <x v="0"/>
    <x v="0"/>
    <x v="0"/>
    <x v="0"/>
    <s v="DK1_Rural"/>
    <x v="9"/>
    <s v="GNR_BO_WOODWST_E-100"/>
    <x v="0"/>
    <x v="15"/>
    <n v="30.75"/>
    <n v="11223.75"/>
    <n v="40405.5"/>
  </r>
  <r>
    <x v="0"/>
    <x v="0"/>
    <x v="0"/>
    <x v="0"/>
    <x v="0"/>
    <s v="DK1_Rural"/>
    <x v="9"/>
    <s v="GNR_BO_WOODWST_E-100"/>
    <x v="0"/>
    <x v="16"/>
    <n v="30.75"/>
    <n v="11223.75"/>
    <n v="40405.5"/>
  </r>
  <r>
    <x v="0"/>
    <x v="0"/>
    <x v="0"/>
    <x v="0"/>
    <x v="0"/>
    <s v="DK1_Rural"/>
    <x v="9"/>
    <s v="GNR_BO_WOODWST_E-100"/>
    <x v="0"/>
    <x v="17"/>
    <n v="30.75"/>
    <n v="11223.75"/>
    <n v="40405.5"/>
  </r>
  <r>
    <x v="0"/>
    <x v="0"/>
    <x v="0"/>
    <x v="0"/>
    <x v="0"/>
    <s v="DK1_Rural"/>
    <x v="9"/>
    <s v="GNR_BO_WOODWST_E-100"/>
    <x v="0"/>
    <x v="18"/>
    <n v="30.75"/>
    <n v="11223.75"/>
    <n v="40405.5"/>
  </r>
  <r>
    <x v="0"/>
    <x v="0"/>
    <x v="0"/>
    <x v="0"/>
    <x v="0"/>
    <s v="DK1_Rural"/>
    <x v="9"/>
    <s v="GNR_BO_WOODWST_E-100"/>
    <x v="0"/>
    <x v="19"/>
    <n v="30.75"/>
    <n v="11223.75"/>
    <n v="40405.5"/>
  </r>
  <r>
    <x v="0"/>
    <x v="0"/>
    <x v="0"/>
    <x v="0"/>
    <x v="0"/>
    <s v="DK1_Rural"/>
    <x v="9"/>
    <s v="GNR_BO_WOODWST_E-100"/>
    <x v="0"/>
    <x v="20"/>
    <n v="30.75"/>
    <n v="11223.75"/>
    <n v="40405.5"/>
  </r>
  <r>
    <x v="0"/>
    <x v="0"/>
    <x v="0"/>
    <x v="0"/>
    <x v="0"/>
    <s v="DK1_Rural"/>
    <x v="9"/>
    <s v="GNR_BO_WOODWST_E-100"/>
    <x v="0"/>
    <x v="21"/>
    <n v="30.75"/>
    <n v="11223.75"/>
    <n v="40405.5"/>
  </r>
  <r>
    <x v="0"/>
    <x v="0"/>
    <x v="0"/>
    <x v="0"/>
    <x v="0"/>
    <s v="DK1_Rural"/>
    <x v="9"/>
    <s v="GNR_BO_WOODWST_E-100"/>
    <x v="0"/>
    <x v="22"/>
    <n v="30.75"/>
    <n v="11223.75"/>
    <n v="40405.5"/>
  </r>
  <r>
    <x v="0"/>
    <x v="0"/>
    <x v="0"/>
    <x v="0"/>
    <x v="0"/>
    <s v="DK1_Rural"/>
    <x v="9"/>
    <s v="GNR_BO_WOODWST_E-100"/>
    <x v="0"/>
    <x v="23"/>
    <n v="30.75"/>
    <n v="11223.75"/>
    <n v="40405.5"/>
  </r>
  <r>
    <x v="0"/>
    <x v="0"/>
    <x v="0"/>
    <x v="0"/>
    <x v="0"/>
    <s v="DK1_Rural"/>
    <x v="9"/>
    <s v="GNR_BO_WOODWST_E-113"/>
    <x v="0"/>
    <x v="0"/>
    <n v="4"/>
    <n v="1460"/>
    <n v="5256"/>
  </r>
  <r>
    <x v="0"/>
    <x v="0"/>
    <x v="0"/>
    <x v="0"/>
    <x v="0"/>
    <s v="DK1_Rural"/>
    <x v="9"/>
    <s v="GNR_BO_WOODWST_E-113"/>
    <x v="0"/>
    <x v="1"/>
    <n v="4"/>
    <n v="1460"/>
    <n v="5256"/>
  </r>
  <r>
    <x v="0"/>
    <x v="0"/>
    <x v="0"/>
    <x v="0"/>
    <x v="0"/>
    <s v="DK1_Rural"/>
    <x v="9"/>
    <s v="GNR_BO_WOODWST_E-113"/>
    <x v="0"/>
    <x v="2"/>
    <n v="4"/>
    <n v="1460"/>
    <n v="5256"/>
  </r>
  <r>
    <x v="0"/>
    <x v="0"/>
    <x v="0"/>
    <x v="0"/>
    <x v="0"/>
    <s v="DK1_Rural"/>
    <x v="9"/>
    <s v="GNR_BO_WOODWST_E-113"/>
    <x v="0"/>
    <x v="3"/>
    <n v="4"/>
    <n v="1460"/>
    <n v="5256"/>
  </r>
  <r>
    <x v="0"/>
    <x v="0"/>
    <x v="0"/>
    <x v="0"/>
    <x v="0"/>
    <s v="DK1_Rural"/>
    <x v="9"/>
    <s v="GNR_BO_WOODWST_E-113"/>
    <x v="0"/>
    <x v="4"/>
    <n v="4"/>
    <n v="1460"/>
    <n v="5256"/>
  </r>
  <r>
    <x v="0"/>
    <x v="0"/>
    <x v="0"/>
    <x v="0"/>
    <x v="0"/>
    <s v="DK1_Rural"/>
    <x v="9"/>
    <s v="GNR_BO_WOODWST_E-113"/>
    <x v="0"/>
    <x v="5"/>
    <n v="4"/>
    <n v="1460"/>
    <n v="5256"/>
  </r>
  <r>
    <x v="0"/>
    <x v="0"/>
    <x v="0"/>
    <x v="0"/>
    <x v="0"/>
    <s v="DK1_Rural"/>
    <x v="9"/>
    <s v="GNR_BO_WOODWST_E-113"/>
    <x v="0"/>
    <x v="6"/>
    <n v="4"/>
    <n v="1460"/>
    <n v="5256"/>
  </r>
  <r>
    <x v="0"/>
    <x v="0"/>
    <x v="0"/>
    <x v="0"/>
    <x v="0"/>
    <s v="DK1_Rural"/>
    <x v="9"/>
    <s v="GNR_BO_WOODWST_E-113"/>
    <x v="0"/>
    <x v="7"/>
    <n v="4"/>
    <n v="1460"/>
    <n v="5256"/>
  </r>
  <r>
    <x v="0"/>
    <x v="0"/>
    <x v="0"/>
    <x v="0"/>
    <x v="0"/>
    <s v="DK1_Rural"/>
    <x v="9"/>
    <s v="GNR_BO_WOODWST_E-113"/>
    <x v="0"/>
    <x v="8"/>
    <n v="4"/>
    <n v="1460"/>
    <n v="5256"/>
  </r>
  <r>
    <x v="0"/>
    <x v="0"/>
    <x v="0"/>
    <x v="0"/>
    <x v="0"/>
    <s v="DK1_Rural"/>
    <x v="9"/>
    <s v="GNR_BO_WOODWST_E-113"/>
    <x v="0"/>
    <x v="9"/>
    <n v="4"/>
    <n v="1460"/>
    <n v="5256"/>
  </r>
  <r>
    <x v="0"/>
    <x v="0"/>
    <x v="0"/>
    <x v="0"/>
    <x v="0"/>
    <s v="DK1_Rural"/>
    <x v="9"/>
    <s v="GNR_BO_WOODWST_E-113"/>
    <x v="0"/>
    <x v="10"/>
    <n v="4"/>
    <n v="1460"/>
    <n v="5256"/>
  </r>
  <r>
    <x v="0"/>
    <x v="0"/>
    <x v="0"/>
    <x v="0"/>
    <x v="0"/>
    <s v="DK1_Rural"/>
    <x v="9"/>
    <s v="GNR_BO_WOODWST_E-113"/>
    <x v="0"/>
    <x v="11"/>
    <n v="4"/>
    <n v="1460"/>
    <n v="5256"/>
  </r>
  <r>
    <x v="0"/>
    <x v="0"/>
    <x v="0"/>
    <x v="0"/>
    <x v="0"/>
    <s v="DK1_Rural"/>
    <x v="9"/>
    <s v="GNR_BO_WOODWST_E-113"/>
    <x v="0"/>
    <x v="12"/>
    <n v="4"/>
    <n v="1460"/>
    <n v="5256"/>
  </r>
  <r>
    <x v="0"/>
    <x v="0"/>
    <x v="0"/>
    <x v="0"/>
    <x v="0"/>
    <s v="DK1_Rural"/>
    <x v="9"/>
    <s v="GNR_BO_WOODWST_E-113"/>
    <x v="0"/>
    <x v="13"/>
    <n v="4"/>
    <n v="1460"/>
    <n v="5256"/>
  </r>
  <r>
    <x v="0"/>
    <x v="0"/>
    <x v="0"/>
    <x v="0"/>
    <x v="0"/>
    <s v="DK1_Rural"/>
    <x v="9"/>
    <s v="GNR_BO_WOODWST_E-113"/>
    <x v="0"/>
    <x v="14"/>
    <n v="4"/>
    <n v="1460"/>
    <n v="5256"/>
  </r>
  <r>
    <x v="0"/>
    <x v="0"/>
    <x v="0"/>
    <x v="0"/>
    <x v="0"/>
    <s v="DK1_Rural"/>
    <x v="9"/>
    <s v="GNR_BO_WOODWST_E-113"/>
    <x v="0"/>
    <x v="15"/>
    <n v="4"/>
    <n v="1460"/>
    <n v="5256"/>
  </r>
  <r>
    <x v="0"/>
    <x v="0"/>
    <x v="0"/>
    <x v="0"/>
    <x v="0"/>
    <s v="DK1_Rural"/>
    <x v="9"/>
    <s v="GNR_BO_WOODWST_E-113"/>
    <x v="0"/>
    <x v="16"/>
    <n v="4"/>
    <n v="1460"/>
    <n v="5256"/>
  </r>
  <r>
    <x v="0"/>
    <x v="0"/>
    <x v="0"/>
    <x v="0"/>
    <x v="0"/>
    <s v="DK1_Rural"/>
    <x v="9"/>
    <s v="GNR_BO_WOODWST_E-113"/>
    <x v="0"/>
    <x v="17"/>
    <n v="4"/>
    <n v="1460"/>
    <n v="5256"/>
  </r>
  <r>
    <x v="0"/>
    <x v="0"/>
    <x v="0"/>
    <x v="0"/>
    <x v="0"/>
    <s v="DK1_Rural"/>
    <x v="9"/>
    <s v="GNR_BO_WOODWST_E-113"/>
    <x v="0"/>
    <x v="18"/>
    <n v="4"/>
    <n v="1460"/>
    <n v="5256"/>
  </r>
  <r>
    <x v="0"/>
    <x v="0"/>
    <x v="0"/>
    <x v="0"/>
    <x v="0"/>
    <s v="DK1_Rural"/>
    <x v="9"/>
    <s v="GNR_BO_WOODWST_E-113"/>
    <x v="0"/>
    <x v="19"/>
    <n v="4"/>
    <n v="1460"/>
    <n v="5256"/>
  </r>
  <r>
    <x v="0"/>
    <x v="0"/>
    <x v="0"/>
    <x v="0"/>
    <x v="0"/>
    <s v="DK1_Rural"/>
    <x v="9"/>
    <s v="GNR_BO_WOODWST_E-113"/>
    <x v="0"/>
    <x v="20"/>
    <n v="4"/>
    <n v="1460"/>
    <n v="5256"/>
  </r>
  <r>
    <x v="0"/>
    <x v="0"/>
    <x v="0"/>
    <x v="0"/>
    <x v="0"/>
    <s v="DK1_Rural"/>
    <x v="9"/>
    <s v="GNR_BO_WOODWST_E-113"/>
    <x v="0"/>
    <x v="21"/>
    <n v="4"/>
    <n v="1460"/>
    <n v="5256"/>
  </r>
  <r>
    <x v="0"/>
    <x v="0"/>
    <x v="0"/>
    <x v="0"/>
    <x v="0"/>
    <s v="DK1_Rural"/>
    <x v="9"/>
    <s v="GNR_BO_WOODWST_E-113"/>
    <x v="0"/>
    <x v="22"/>
    <n v="4"/>
    <n v="1460"/>
    <n v="5256"/>
  </r>
  <r>
    <x v="0"/>
    <x v="0"/>
    <x v="0"/>
    <x v="0"/>
    <x v="0"/>
    <s v="DK1_Rural"/>
    <x v="9"/>
    <s v="GNR_BO_WOODWST_E-113"/>
    <x v="0"/>
    <x v="23"/>
    <n v="4"/>
    <n v="1460"/>
    <n v="5256"/>
  </r>
  <r>
    <x v="0"/>
    <x v="0"/>
    <x v="0"/>
    <x v="0"/>
    <x v="0"/>
    <s v="DK1_Rural"/>
    <x v="9"/>
    <s v="GNR_BO_WOODWST_E-84"/>
    <x v="0"/>
    <x v="0"/>
    <n v="5.81"/>
    <n v="2120.65"/>
    <n v="7634.34"/>
  </r>
  <r>
    <x v="0"/>
    <x v="0"/>
    <x v="0"/>
    <x v="0"/>
    <x v="0"/>
    <s v="DK1_Rural"/>
    <x v="9"/>
    <s v="GNR_BO_WOODWST_E-84"/>
    <x v="0"/>
    <x v="1"/>
    <n v="5.81"/>
    <n v="2120.65"/>
    <n v="7634.34"/>
  </r>
  <r>
    <x v="0"/>
    <x v="0"/>
    <x v="0"/>
    <x v="0"/>
    <x v="0"/>
    <s v="DK1_Rural"/>
    <x v="9"/>
    <s v="GNR_BO_WOODWST_E-84"/>
    <x v="0"/>
    <x v="2"/>
    <n v="5.81"/>
    <n v="2120.65"/>
    <n v="7634.34"/>
  </r>
  <r>
    <x v="0"/>
    <x v="0"/>
    <x v="0"/>
    <x v="0"/>
    <x v="0"/>
    <s v="DK1_Rural"/>
    <x v="9"/>
    <s v="GNR_BO_WOODWST_E-84"/>
    <x v="0"/>
    <x v="3"/>
    <n v="5.81"/>
    <n v="2120.65"/>
    <n v="7634.34"/>
  </r>
  <r>
    <x v="0"/>
    <x v="0"/>
    <x v="0"/>
    <x v="0"/>
    <x v="0"/>
    <s v="DK1_Rural"/>
    <x v="9"/>
    <s v="GNR_BO_WOODWST_E-84"/>
    <x v="0"/>
    <x v="4"/>
    <n v="5.81"/>
    <n v="2120.65"/>
    <n v="7634.34"/>
  </r>
  <r>
    <x v="0"/>
    <x v="0"/>
    <x v="0"/>
    <x v="0"/>
    <x v="0"/>
    <s v="DK1_Rural"/>
    <x v="9"/>
    <s v="GNR_BO_WOODWST_E-84"/>
    <x v="0"/>
    <x v="5"/>
    <n v="5.81"/>
    <n v="2120.65"/>
    <n v="7634.34"/>
  </r>
  <r>
    <x v="0"/>
    <x v="0"/>
    <x v="0"/>
    <x v="0"/>
    <x v="0"/>
    <s v="DK1_Rural"/>
    <x v="9"/>
    <s v="GNR_BO_WOODWST_E-84"/>
    <x v="0"/>
    <x v="6"/>
    <n v="5.81"/>
    <n v="2120.65"/>
    <n v="7634.34"/>
  </r>
  <r>
    <x v="0"/>
    <x v="0"/>
    <x v="0"/>
    <x v="0"/>
    <x v="0"/>
    <s v="DK1_Rural"/>
    <x v="9"/>
    <s v="GNR_BO_WOODWST_E-84"/>
    <x v="0"/>
    <x v="7"/>
    <n v="5.81"/>
    <n v="2120.65"/>
    <n v="7634.34"/>
  </r>
  <r>
    <x v="0"/>
    <x v="0"/>
    <x v="0"/>
    <x v="0"/>
    <x v="0"/>
    <s v="DK1_Rural"/>
    <x v="9"/>
    <s v="GNR_BO_WOODWST_E-84"/>
    <x v="0"/>
    <x v="8"/>
    <n v="5.81"/>
    <n v="2120.65"/>
    <n v="7634.34"/>
  </r>
  <r>
    <x v="0"/>
    <x v="0"/>
    <x v="0"/>
    <x v="0"/>
    <x v="0"/>
    <s v="DK1_Rural"/>
    <x v="9"/>
    <s v="GNR_BO_WOODWST_E-84"/>
    <x v="0"/>
    <x v="9"/>
    <n v="5.81"/>
    <n v="2120.65"/>
    <n v="7634.34"/>
  </r>
  <r>
    <x v="0"/>
    <x v="0"/>
    <x v="0"/>
    <x v="0"/>
    <x v="0"/>
    <s v="DK1_Rural"/>
    <x v="9"/>
    <s v="GNR_BO_WOODWST_E-84"/>
    <x v="0"/>
    <x v="10"/>
    <n v="5.81"/>
    <n v="2120.65"/>
    <n v="7634.34"/>
  </r>
  <r>
    <x v="0"/>
    <x v="0"/>
    <x v="0"/>
    <x v="0"/>
    <x v="0"/>
    <s v="DK1_Rural"/>
    <x v="9"/>
    <s v="GNR_BO_WOODWST_E-84"/>
    <x v="0"/>
    <x v="11"/>
    <n v="5.81"/>
    <n v="2120.65"/>
    <n v="7634.34"/>
  </r>
  <r>
    <x v="0"/>
    <x v="0"/>
    <x v="0"/>
    <x v="0"/>
    <x v="0"/>
    <s v="DK1_Rural"/>
    <x v="9"/>
    <s v="GNR_BO_WOODWST_E-84"/>
    <x v="0"/>
    <x v="12"/>
    <n v="5.81"/>
    <n v="2120.65"/>
    <n v="7634.34"/>
  </r>
  <r>
    <x v="0"/>
    <x v="0"/>
    <x v="0"/>
    <x v="0"/>
    <x v="0"/>
    <s v="DK1_Rural"/>
    <x v="9"/>
    <s v="GNR_BO_WOODWST_E-84"/>
    <x v="0"/>
    <x v="13"/>
    <n v="5.81"/>
    <n v="2120.65"/>
    <n v="7634.34"/>
  </r>
  <r>
    <x v="0"/>
    <x v="0"/>
    <x v="0"/>
    <x v="0"/>
    <x v="0"/>
    <s v="DK1_Rural"/>
    <x v="9"/>
    <s v="GNR_BO_WOODWST_E-84"/>
    <x v="0"/>
    <x v="14"/>
    <n v="5.81"/>
    <n v="2120.65"/>
    <n v="7634.34"/>
  </r>
  <r>
    <x v="0"/>
    <x v="0"/>
    <x v="0"/>
    <x v="0"/>
    <x v="0"/>
    <s v="DK1_Rural"/>
    <x v="9"/>
    <s v="GNR_BO_WOODWST_E-84"/>
    <x v="0"/>
    <x v="15"/>
    <n v="5.81"/>
    <n v="2120.65"/>
    <n v="7634.34"/>
  </r>
  <r>
    <x v="0"/>
    <x v="0"/>
    <x v="0"/>
    <x v="0"/>
    <x v="0"/>
    <s v="DK1_Rural"/>
    <x v="9"/>
    <s v="GNR_BO_WOODWST_E-84"/>
    <x v="0"/>
    <x v="16"/>
    <n v="5.81"/>
    <n v="2120.65"/>
    <n v="7634.34"/>
  </r>
  <r>
    <x v="0"/>
    <x v="0"/>
    <x v="0"/>
    <x v="0"/>
    <x v="0"/>
    <s v="DK1_Rural"/>
    <x v="9"/>
    <s v="GNR_BO_WOODWST_E-84"/>
    <x v="0"/>
    <x v="17"/>
    <n v="5.81"/>
    <n v="2120.65"/>
    <n v="7634.34"/>
  </r>
  <r>
    <x v="0"/>
    <x v="0"/>
    <x v="0"/>
    <x v="0"/>
    <x v="0"/>
    <s v="DK1_Rural"/>
    <x v="9"/>
    <s v="GNR_BO_WOODWST_E-84"/>
    <x v="0"/>
    <x v="18"/>
    <n v="5.81"/>
    <n v="2120.65"/>
    <n v="7634.34"/>
  </r>
  <r>
    <x v="0"/>
    <x v="0"/>
    <x v="0"/>
    <x v="0"/>
    <x v="0"/>
    <s v="DK1_Rural"/>
    <x v="9"/>
    <s v="GNR_BO_WOODWST_E-84"/>
    <x v="0"/>
    <x v="19"/>
    <n v="5.81"/>
    <n v="2120.65"/>
    <n v="7634.34"/>
  </r>
  <r>
    <x v="0"/>
    <x v="0"/>
    <x v="0"/>
    <x v="0"/>
    <x v="0"/>
    <s v="DK1_Rural"/>
    <x v="9"/>
    <s v="GNR_BO_WOODWST_E-84"/>
    <x v="0"/>
    <x v="20"/>
    <n v="5.81"/>
    <n v="2120.65"/>
    <n v="7634.34"/>
  </r>
  <r>
    <x v="0"/>
    <x v="0"/>
    <x v="0"/>
    <x v="0"/>
    <x v="0"/>
    <s v="DK1_Rural"/>
    <x v="9"/>
    <s v="GNR_BO_WOODWST_E-84"/>
    <x v="0"/>
    <x v="21"/>
    <n v="5.81"/>
    <n v="2120.65"/>
    <n v="7634.34"/>
  </r>
  <r>
    <x v="0"/>
    <x v="0"/>
    <x v="0"/>
    <x v="0"/>
    <x v="0"/>
    <s v="DK1_Rural"/>
    <x v="9"/>
    <s v="GNR_BO_WOODWST_E-84"/>
    <x v="0"/>
    <x v="22"/>
    <n v="5.81"/>
    <n v="2120.65"/>
    <n v="7634.34"/>
  </r>
  <r>
    <x v="0"/>
    <x v="0"/>
    <x v="0"/>
    <x v="0"/>
    <x v="0"/>
    <s v="DK1_Rural"/>
    <x v="9"/>
    <s v="GNR_BO_WOODWST_E-84"/>
    <x v="0"/>
    <x v="23"/>
    <n v="5.81"/>
    <n v="2120.65"/>
    <n v="7634.34"/>
  </r>
  <r>
    <x v="0"/>
    <x v="0"/>
    <x v="0"/>
    <x v="0"/>
    <x v="0"/>
    <s v="DK1_Rural"/>
    <x v="9"/>
    <s v="GNR_BO_WOODWST_E-86"/>
    <x v="0"/>
    <x v="0"/>
    <n v="3"/>
    <n v="1095"/>
    <n v="3942"/>
  </r>
  <r>
    <x v="0"/>
    <x v="0"/>
    <x v="0"/>
    <x v="0"/>
    <x v="0"/>
    <s v="DK1_Rural"/>
    <x v="9"/>
    <s v="GNR_BO_WOODWST_E-86"/>
    <x v="0"/>
    <x v="1"/>
    <n v="3"/>
    <n v="1095"/>
    <n v="3942"/>
  </r>
  <r>
    <x v="0"/>
    <x v="0"/>
    <x v="0"/>
    <x v="0"/>
    <x v="0"/>
    <s v="DK1_Rural"/>
    <x v="9"/>
    <s v="GNR_BO_WOODWST_E-86"/>
    <x v="0"/>
    <x v="2"/>
    <n v="3"/>
    <n v="1095"/>
    <n v="3942"/>
  </r>
  <r>
    <x v="0"/>
    <x v="0"/>
    <x v="0"/>
    <x v="0"/>
    <x v="0"/>
    <s v="DK1_Rural"/>
    <x v="9"/>
    <s v="GNR_BO_WOODWST_E-86"/>
    <x v="0"/>
    <x v="3"/>
    <n v="3"/>
    <n v="1095"/>
    <n v="3942"/>
  </r>
  <r>
    <x v="0"/>
    <x v="0"/>
    <x v="0"/>
    <x v="0"/>
    <x v="0"/>
    <s v="DK1_Rural"/>
    <x v="9"/>
    <s v="GNR_BO_WOODWST_E-86"/>
    <x v="0"/>
    <x v="4"/>
    <n v="3"/>
    <n v="1095"/>
    <n v="3942"/>
  </r>
  <r>
    <x v="0"/>
    <x v="0"/>
    <x v="0"/>
    <x v="0"/>
    <x v="0"/>
    <s v="DK1_Rural"/>
    <x v="9"/>
    <s v="GNR_BO_WOODWST_E-86"/>
    <x v="0"/>
    <x v="5"/>
    <n v="3"/>
    <n v="1095"/>
    <n v="3942"/>
  </r>
  <r>
    <x v="0"/>
    <x v="0"/>
    <x v="0"/>
    <x v="0"/>
    <x v="0"/>
    <s v="DK1_Rural"/>
    <x v="9"/>
    <s v="GNR_BO_WOODWST_E-86"/>
    <x v="0"/>
    <x v="6"/>
    <n v="3"/>
    <n v="1095"/>
    <n v="3942"/>
  </r>
  <r>
    <x v="0"/>
    <x v="0"/>
    <x v="0"/>
    <x v="0"/>
    <x v="0"/>
    <s v="DK1_Rural"/>
    <x v="9"/>
    <s v="GNR_BO_WOODWST_E-86"/>
    <x v="0"/>
    <x v="7"/>
    <n v="3"/>
    <n v="1095"/>
    <n v="3942"/>
  </r>
  <r>
    <x v="0"/>
    <x v="0"/>
    <x v="0"/>
    <x v="0"/>
    <x v="0"/>
    <s v="DK1_Rural"/>
    <x v="9"/>
    <s v="GNR_BO_WOODWST_E-86"/>
    <x v="0"/>
    <x v="8"/>
    <n v="3"/>
    <n v="1095"/>
    <n v="3942"/>
  </r>
  <r>
    <x v="0"/>
    <x v="0"/>
    <x v="0"/>
    <x v="0"/>
    <x v="0"/>
    <s v="DK1_Rural"/>
    <x v="9"/>
    <s v="GNR_BO_WOODWST_E-86"/>
    <x v="0"/>
    <x v="9"/>
    <n v="3"/>
    <n v="1095"/>
    <n v="3942"/>
  </r>
  <r>
    <x v="0"/>
    <x v="0"/>
    <x v="0"/>
    <x v="0"/>
    <x v="0"/>
    <s v="DK1_Rural"/>
    <x v="9"/>
    <s v="GNR_BO_WOODWST_E-86"/>
    <x v="0"/>
    <x v="10"/>
    <n v="3"/>
    <n v="1095"/>
    <n v="3942"/>
  </r>
  <r>
    <x v="0"/>
    <x v="0"/>
    <x v="0"/>
    <x v="0"/>
    <x v="0"/>
    <s v="DK1_Rural"/>
    <x v="9"/>
    <s v="GNR_BO_WOODWST_E-86"/>
    <x v="0"/>
    <x v="11"/>
    <n v="3"/>
    <n v="1095"/>
    <n v="3942"/>
  </r>
  <r>
    <x v="0"/>
    <x v="0"/>
    <x v="0"/>
    <x v="0"/>
    <x v="0"/>
    <s v="DK1_Rural"/>
    <x v="9"/>
    <s v="GNR_BO_WOODWST_E-86"/>
    <x v="0"/>
    <x v="12"/>
    <n v="3"/>
    <n v="1095"/>
    <n v="3942"/>
  </r>
  <r>
    <x v="0"/>
    <x v="0"/>
    <x v="0"/>
    <x v="0"/>
    <x v="0"/>
    <s v="DK1_Rural"/>
    <x v="9"/>
    <s v="GNR_BO_WOODWST_E-86"/>
    <x v="0"/>
    <x v="13"/>
    <n v="3"/>
    <n v="1095"/>
    <n v="3942"/>
  </r>
  <r>
    <x v="0"/>
    <x v="0"/>
    <x v="0"/>
    <x v="0"/>
    <x v="0"/>
    <s v="DK1_Rural"/>
    <x v="9"/>
    <s v="GNR_BO_WOODWST_E-86"/>
    <x v="0"/>
    <x v="14"/>
    <n v="3"/>
    <n v="1095"/>
    <n v="3942"/>
  </r>
  <r>
    <x v="0"/>
    <x v="0"/>
    <x v="0"/>
    <x v="0"/>
    <x v="0"/>
    <s v="DK1_Rural"/>
    <x v="9"/>
    <s v="GNR_BO_WOODWST_E-86"/>
    <x v="0"/>
    <x v="15"/>
    <n v="3"/>
    <n v="1095"/>
    <n v="3942"/>
  </r>
  <r>
    <x v="0"/>
    <x v="0"/>
    <x v="0"/>
    <x v="0"/>
    <x v="0"/>
    <s v="DK1_Rural"/>
    <x v="9"/>
    <s v="GNR_BO_WOODWST_E-86"/>
    <x v="0"/>
    <x v="16"/>
    <n v="3"/>
    <n v="1095"/>
    <n v="3942"/>
  </r>
  <r>
    <x v="0"/>
    <x v="0"/>
    <x v="0"/>
    <x v="0"/>
    <x v="0"/>
    <s v="DK1_Rural"/>
    <x v="9"/>
    <s v="GNR_BO_WOODWST_E-86"/>
    <x v="0"/>
    <x v="17"/>
    <n v="3"/>
    <n v="1095"/>
    <n v="3942"/>
  </r>
  <r>
    <x v="0"/>
    <x v="0"/>
    <x v="0"/>
    <x v="0"/>
    <x v="0"/>
    <s v="DK1_Rural"/>
    <x v="9"/>
    <s v="GNR_BO_WOODWST_E-86"/>
    <x v="0"/>
    <x v="18"/>
    <n v="3"/>
    <n v="1095"/>
    <n v="3942"/>
  </r>
  <r>
    <x v="0"/>
    <x v="0"/>
    <x v="0"/>
    <x v="0"/>
    <x v="0"/>
    <s v="DK1_Rural"/>
    <x v="9"/>
    <s v="GNR_BO_WOODWST_E-86"/>
    <x v="0"/>
    <x v="19"/>
    <n v="3"/>
    <n v="1095"/>
    <n v="3942"/>
  </r>
  <r>
    <x v="0"/>
    <x v="0"/>
    <x v="0"/>
    <x v="0"/>
    <x v="0"/>
    <s v="DK1_Rural"/>
    <x v="9"/>
    <s v="GNR_BO_WOODWST_E-86"/>
    <x v="0"/>
    <x v="20"/>
    <n v="3"/>
    <n v="1095"/>
    <n v="3942"/>
  </r>
  <r>
    <x v="0"/>
    <x v="0"/>
    <x v="0"/>
    <x v="0"/>
    <x v="0"/>
    <s v="DK1_Rural"/>
    <x v="9"/>
    <s v="GNR_BO_WOODWST_E-86"/>
    <x v="0"/>
    <x v="21"/>
    <n v="3"/>
    <n v="1095"/>
    <n v="3942"/>
  </r>
  <r>
    <x v="0"/>
    <x v="0"/>
    <x v="0"/>
    <x v="0"/>
    <x v="0"/>
    <s v="DK1_Rural"/>
    <x v="9"/>
    <s v="GNR_BO_WOODWST_E-86"/>
    <x v="0"/>
    <x v="22"/>
    <n v="3"/>
    <n v="1095"/>
    <n v="3942"/>
  </r>
  <r>
    <x v="0"/>
    <x v="0"/>
    <x v="0"/>
    <x v="0"/>
    <x v="0"/>
    <s v="DK1_Rural"/>
    <x v="9"/>
    <s v="GNR_BO_WOODWST_E-86"/>
    <x v="0"/>
    <x v="23"/>
    <n v="3"/>
    <n v="1095"/>
    <n v="3942"/>
  </r>
  <r>
    <x v="0"/>
    <x v="0"/>
    <x v="0"/>
    <x v="0"/>
    <x v="0"/>
    <s v="DK1_Rural"/>
    <x v="9"/>
    <s v="GNR_BO_WOODWST_E-89"/>
    <x v="0"/>
    <x v="0"/>
    <n v="7"/>
    <n v="2555"/>
    <n v="9198"/>
  </r>
  <r>
    <x v="0"/>
    <x v="0"/>
    <x v="0"/>
    <x v="0"/>
    <x v="0"/>
    <s v="DK1_Rural"/>
    <x v="9"/>
    <s v="GNR_BO_WOODWST_E-89"/>
    <x v="0"/>
    <x v="1"/>
    <n v="7"/>
    <n v="2555"/>
    <n v="9198"/>
  </r>
  <r>
    <x v="0"/>
    <x v="0"/>
    <x v="0"/>
    <x v="0"/>
    <x v="0"/>
    <s v="DK1_Rural"/>
    <x v="9"/>
    <s v="GNR_BO_WOODWST_E-89"/>
    <x v="0"/>
    <x v="2"/>
    <n v="7"/>
    <n v="2555"/>
    <n v="9198"/>
  </r>
  <r>
    <x v="0"/>
    <x v="0"/>
    <x v="0"/>
    <x v="0"/>
    <x v="0"/>
    <s v="DK1_Rural"/>
    <x v="9"/>
    <s v="GNR_BO_WOODWST_E-89"/>
    <x v="0"/>
    <x v="3"/>
    <n v="7"/>
    <n v="2555"/>
    <n v="9198"/>
  </r>
  <r>
    <x v="0"/>
    <x v="0"/>
    <x v="0"/>
    <x v="0"/>
    <x v="0"/>
    <s v="DK1_Rural"/>
    <x v="9"/>
    <s v="GNR_BO_WOODWST_E-89"/>
    <x v="0"/>
    <x v="4"/>
    <n v="7"/>
    <n v="2555"/>
    <n v="9198"/>
  </r>
  <r>
    <x v="0"/>
    <x v="0"/>
    <x v="0"/>
    <x v="0"/>
    <x v="0"/>
    <s v="DK1_Rural"/>
    <x v="9"/>
    <s v="GNR_BO_WOODWST_E-89"/>
    <x v="0"/>
    <x v="5"/>
    <n v="7"/>
    <n v="2555"/>
    <n v="9198"/>
  </r>
  <r>
    <x v="0"/>
    <x v="0"/>
    <x v="0"/>
    <x v="0"/>
    <x v="0"/>
    <s v="DK1_Rural"/>
    <x v="9"/>
    <s v="GNR_BO_WOODWST_E-89"/>
    <x v="0"/>
    <x v="6"/>
    <n v="7"/>
    <n v="2555"/>
    <n v="9198"/>
  </r>
  <r>
    <x v="0"/>
    <x v="0"/>
    <x v="0"/>
    <x v="0"/>
    <x v="0"/>
    <s v="DK1_Rural"/>
    <x v="9"/>
    <s v="GNR_BO_WOODWST_E-89"/>
    <x v="0"/>
    <x v="7"/>
    <n v="7"/>
    <n v="2555"/>
    <n v="9198"/>
  </r>
  <r>
    <x v="0"/>
    <x v="0"/>
    <x v="0"/>
    <x v="0"/>
    <x v="0"/>
    <s v="DK1_Rural"/>
    <x v="9"/>
    <s v="GNR_BO_WOODWST_E-89"/>
    <x v="0"/>
    <x v="8"/>
    <n v="7"/>
    <n v="2555"/>
    <n v="9198"/>
  </r>
  <r>
    <x v="0"/>
    <x v="0"/>
    <x v="0"/>
    <x v="0"/>
    <x v="0"/>
    <s v="DK1_Rural"/>
    <x v="9"/>
    <s v="GNR_BO_WOODWST_E-89"/>
    <x v="0"/>
    <x v="9"/>
    <n v="7"/>
    <n v="2555"/>
    <n v="9198"/>
  </r>
  <r>
    <x v="0"/>
    <x v="0"/>
    <x v="0"/>
    <x v="0"/>
    <x v="0"/>
    <s v="DK1_Rural"/>
    <x v="9"/>
    <s v="GNR_BO_WOODWST_E-89"/>
    <x v="0"/>
    <x v="10"/>
    <n v="7"/>
    <n v="2555"/>
    <n v="9198"/>
  </r>
  <r>
    <x v="0"/>
    <x v="0"/>
    <x v="0"/>
    <x v="0"/>
    <x v="0"/>
    <s v="DK1_Rural"/>
    <x v="9"/>
    <s v="GNR_BO_WOODWST_E-89"/>
    <x v="0"/>
    <x v="11"/>
    <n v="7"/>
    <n v="2555"/>
    <n v="9198"/>
  </r>
  <r>
    <x v="0"/>
    <x v="0"/>
    <x v="0"/>
    <x v="0"/>
    <x v="0"/>
    <s v="DK1_Rural"/>
    <x v="9"/>
    <s v="GNR_BO_WOODWST_E-89"/>
    <x v="0"/>
    <x v="12"/>
    <n v="7"/>
    <n v="2555"/>
    <n v="9198"/>
  </r>
  <r>
    <x v="0"/>
    <x v="0"/>
    <x v="0"/>
    <x v="0"/>
    <x v="0"/>
    <s v="DK1_Rural"/>
    <x v="9"/>
    <s v="GNR_BO_WOODWST_E-89"/>
    <x v="0"/>
    <x v="13"/>
    <n v="7"/>
    <n v="2555"/>
    <n v="9198"/>
  </r>
  <r>
    <x v="0"/>
    <x v="0"/>
    <x v="0"/>
    <x v="0"/>
    <x v="0"/>
    <s v="DK1_Rural"/>
    <x v="9"/>
    <s v="GNR_BO_WOODWST_E-89"/>
    <x v="0"/>
    <x v="14"/>
    <n v="7"/>
    <n v="2555"/>
    <n v="9198"/>
  </r>
  <r>
    <x v="0"/>
    <x v="0"/>
    <x v="0"/>
    <x v="0"/>
    <x v="0"/>
    <s v="DK1_Rural"/>
    <x v="9"/>
    <s v="GNR_BO_WOODWST_E-89"/>
    <x v="0"/>
    <x v="15"/>
    <n v="7"/>
    <n v="2555"/>
    <n v="9198"/>
  </r>
  <r>
    <x v="0"/>
    <x v="0"/>
    <x v="0"/>
    <x v="0"/>
    <x v="0"/>
    <s v="DK1_Rural"/>
    <x v="9"/>
    <s v="GNR_BO_WOODWST_E-89"/>
    <x v="0"/>
    <x v="16"/>
    <n v="7"/>
    <n v="2555"/>
    <n v="9198"/>
  </r>
  <r>
    <x v="0"/>
    <x v="0"/>
    <x v="0"/>
    <x v="0"/>
    <x v="0"/>
    <s v="DK1_Rural"/>
    <x v="9"/>
    <s v="GNR_BO_WOODWST_E-89"/>
    <x v="0"/>
    <x v="17"/>
    <n v="7"/>
    <n v="2555"/>
    <n v="9198"/>
  </r>
  <r>
    <x v="0"/>
    <x v="0"/>
    <x v="0"/>
    <x v="0"/>
    <x v="0"/>
    <s v="DK1_Rural"/>
    <x v="9"/>
    <s v="GNR_BO_WOODWST_E-89"/>
    <x v="0"/>
    <x v="18"/>
    <n v="7"/>
    <n v="2555"/>
    <n v="9198"/>
  </r>
  <r>
    <x v="0"/>
    <x v="0"/>
    <x v="0"/>
    <x v="0"/>
    <x v="0"/>
    <s v="DK1_Rural"/>
    <x v="9"/>
    <s v="GNR_BO_WOODWST_E-89"/>
    <x v="0"/>
    <x v="19"/>
    <n v="7"/>
    <n v="2555"/>
    <n v="9198"/>
  </r>
  <r>
    <x v="0"/>
    <x v="0"/>
    <x v="0"/>
    <x v="0"/>
    <x v="0"/>
    <s v="DK1_Rural"/>
    <x v="9"/>
    <s v="GNR_BO_WOODWST_E-89"/>
    <x v="0"/>
    <x v="20"/>
    <n v="7"/>
    <n v="2555"/>
    <n v="9198"/>
  </r>
  <r>
    <x v="0"/>
    <x v="0"/>
    <x v="0"/>
    <x v="0"/>
    <x v="0"/>
    <s v="DK1_Rural"/>
    <x v="9"/>
    <s v="GNR_BO_WOODWST_E-89"/>
    <x v="0"/>
    <x v="21"/>
    <n v="7"/>
    <n v="2555"/>
    <n v="9198"/>
  </r>
  <r>
    <x v="0"/>
    <x v="0"/>
    <x v="0"/>
    <x v="0"/>
    <x v="0"/>
    <s v="DK1_Rural"/>
    <x v="9"/>
    <s v="GNR_BO_WOODWST_E-89"/>
    <x v="0"/>
    <x v="22"/>
    <n v="7"/>
    <n v="2555"/>
    <n v="9198"/>
  </r>
  <r>
    <x v="0"/>
    <x v="0"/>
    <x v="0"/>
    <x v="0"/>
    <x v="0"/>
    <s v="DK1_Rural"/>
    <x v="9"/>
    <s v="GNR_BO_WOODWST_E-89"/>
    <x v="0"/>
    <x v="23"/>
    <n v="7"/>
    <n v="2555"/>
    <n v="9198"/>
  </r>
  <r>
    <x v="0"/>
    <x v="0"/>
    <x v="0"/>
    <x v="0"/>
    <x v="0"/>
    <s v="DK1_Rural"/>
    <x v="9"/>
    <s v="GNR_BO_WOODWST_E-90"/>
    <x v="0"/>
    <x v="0"/>
    <n v="9"/>
    <n v="3285"/>
    <n v="11826"/>
  </r>
  <r>
    <x v="0"/>
    <x v="0"/>
    <x v="0"/>
    <x v="0"/>
    <x v="0"/>
    <s v="DK1_Rural"/>
    <x v="9"/>
    <s v="GNR_BO_WOODWST_E-90"/>
    <x v="0"/>
    <x v="1"/>
    <n v="9"/>
    <n v="3285"/>
    <n v="11826"/>
  </r>
  <r>
    <x v="0"/>
    <x v="0"/>
    <x v="0"/>
    <x v="0"/>
    <x v="0"/>
    <s v="DK1_Rural"/>
    <x v="9"/>
    <s v="GNR_BO_WOODWST_E-90"/>
    <x v="0"/>
    <x v="2"/>
    <n v="9"/>
    <n v="3285"/>
    <n v="11826"/>
  </r>
  <r>
    <x v="0"/>
    <x v="0"/>
    <x v="0"/>
    <x v="0"/>
    <x v="0"/>
    <s v="DK1_Rural"/>
    <x v="9"/>
    <s v="GNR_BO_WOODWST_E-90"/>
    <x v="0"/>
    <x v="3"/>
    <n v="9"/>
    <n v="3285"/>
    <n v="11826"/>
  </r>
  <r>
    <x v="0"/>
    <x v="0"/>
    <x v="0"/>
    <x v="0"/>
    <x v="0"/>
    <s v="DK1_Rural"/>
    <x v="9"/>
    <s v="GNR_BO_WOODWST_E-90"/>
    <x v="0"/>
    <x v="4"/>
    <n v="9"/>
    <n v="3285"/>
    <n v="11826"/>
  </r>
  <r>
    <x v="0"/>
    <x v="0"/>
    <x v="0"/>
    <x v="0"/>
    <x v="0"/>
    <s v="DK1_Rural"/>
    <x v="9"/>
    <s v="GNR_BO_WOODWST_E-90"/>
    <x v="0"/>
    <x v="5"/>
    <n v="9"/>
    <n v="3285"/>
    <n v="11826"/>
  </r>
  <r>
    <x v="0"/>
    <x v="0"/>
    <x v="0"/>
    <x v="0"/>
    <x v="0"/>
    <s v="DK1_Rural"/>
    <x v="9"/>
    <s v="GNR_BO_WOODWST_E-90"/>
    <x v="0"/>
    <x v="6"/>
    <n v="9"/>
    <n v="3285"/>
    <n v="11826"/>
  </r>
  <r>
    <x v="0"/>
    <x v="0"/>
    <x v="0"/>
    <x v="0"/>
    <x v="0"/>
    <s v="DK1_Rural"/>
    <x v="9"/>
    <s v="GNR_BO_WOODWST_E-90"/>
    <x v="0"/>
    <x v="7"/>
    <n v="9"/>
    <n v="3285"/>
    <n v="11826"/>
  </r>
  <r>
    <x v="0"/>
    <x v="0"/>
    <x v="0"/>
    <x v="0"/>
    <x v="0"/>
    <s v="DK1_Rural"/>
    <x v="9"/>
    <s v="GNR_BO_WOODWST_E-90"/>
    <x v="0"/>
    <x v="8"/>
    <n v="9"/>
    <n v="3285"/>
    <n v="11826"/>
  </r>
  <r>
    <x v="0"/>
    <x v="0"/>
    <x v="0"/>
    <x v="0"/>
    <x v="0"/>
    <s v="DK1_Rural"/>
    <x v="9"/>
    <s v="GNR_BO_WOODWST_E-90"/>
    <x v="0"/>
    <x v="9"/>
    <n v="9"/>
    <n v="3285"/>
    <n v="11826"/>
  </r>
  <r>
    <x v="0"/>
    <x v="0"/>
    <x v="0"/>
    <x v="0"/>
    <x v="0"/>
    <s v="DK1_Rural"/>
    <x v="9"/>
    <s v="GNR_BO_WOODWST_E-90"/>
    <x v="0"/>
    <x v="10"/>
    <n v="9"/>
    <n v="3285"/>
    <n v="11826"/>
  </r>
  <r>
    <x v="0"/>
    <x v="0"/>
    <x v="0"/>
    <x v="0"/>
    <x v="0"/>
    <s v="DK1_Rural"/>
    <x v="9"/>
    <s v="GNR_BO_WOODWST_E-90"/>
    <x v="0"/>
    <x v="11"/>
    <n v="9"/>
    <n v="3285"/>
    <n v="11826"/>
  </r>
  <r>
    <x v="0"/>
    <x v="0"/>
    <x v="0"/>
    <x v="0"/>
    <x v="0"/>
    <s v="DK1_Rural"/>
    <x v="9"/>
    <s v="GNR_BO_WOODWST_E-90"/>
    <x v="0"/>
    <x v="12"/>
    <n v="9"/>
    <n v="3285"/>
    <n v="11826"/>
  </r>
  <r>
    <x v="0"/>
    <x v="0"/>
    <x v="0"/>
    <x v="0"/>
    <x v="0"/>
    <s v="DK1_Rural"/>
    <x v="9"/>
    <s v="GNR_BO_WOODWST_E-90"/>
    <x v="0"/>
    <x v="13"/>
    <n v="9"/>
    <n v="3285"/>
    <n v="11826"/>
  </r>
  <r>
    <x v="0"/>
    <x v="0"/>
    <x v="0"/>
    <x v="0"/>
    <x v="0"/>
    <s v="DK1_Rural"/>
    <x v="9"/>
    <s v="GNR_BO_WOODWST_E-90"/>
    <x v="0"/>
    <x v="14"/>
    <n v="9"/>
    <n v="3285"/>
    <n v="11826"/>
  </r>
  <r>
    <x v="0"/>
    <x v="0"/>
    <x v="0"/>
    <x v="0"/>
    <x v="0"/>
    <s v="DK1_Rural"/>
    <x v="9"/>
    <s v="GNR_BO_WOODWST_E-90"/>
    <x v="0"/>
    <x v="15"/>
    <n v="9"/>
    <n v="3285"/>
    <n v="11826"/>
  </r>
  <r>
    <x v="0"/>
    <x v="0"/>
    <x v="0"/>
    <x v="0"/>
    <x v="0"/>
    <s v="DK1_Rural"/>
    <x v="9"/>
    <s v="GNR_BO_WOODWST_E-90"/>
    <x v="0"/>
    <x v="16"/>
    <n v="9"/>
    <n v="3285"/>
    <n v="11826"/>
  </r>
  <r>
    <x v="0"/>
    <x v="0"/>
    <x v="0"/>
    <x v="0"/>
    <x v="0"/>
    <s v="DK1_Rural"/>
    <x v="9"/>
    <s v="GNR_BO_WOODWST_E-90"/>
    <x v="0"/>
    <x v="17"/>
    <n v="9"/>
    <n v="3285"/>
    <n v="11826"/>
  </r>
  <r>
    <x v="0"/>
    <x v="0"/>
    <x v="0"/>
    <x v="0"/>
    <x v="0"/>
    <s v="DK1_Rural"/>
    <x v="9"/>
    <s v="GNR_BO_WOODWST_E-90"/>
    <x v="0"/>
    <x v="18"/>
    <n v="9"/>
    <n v="3285"/>
    <n v="11826"/>
  </r>
  <r>
    <x v="0"/>
    <x v="0"/>
    <x v="0"/>
    <x v="0"/>
    <x v="0"/>
    <s v="DK1_Rural"/>
    <x v="9"/>
    <s v="GNR_BO_WOODWST_E-90"/>
    <x v="0"/>
    <x v="19"/>
    <n v="9"/>
    <n v="3285"/>
    <n v="11826"/>
  </r>
  <r>
    <x v="0"/>
    <x v="0"/>
    <x v="0"/>
    <x v="0"/>
    <x v="0"/>
    <s v="DK1_Rural"/>
    <x v="9"/>
    <s v="GNR_BO_WOODWST_E-90"/>
    <x v="0"/>
    <x v="20"/>
    <n v="9"/>
    <n v="3285"/>
    <n v="11826"/>
  </r>
  <r>
    <x v="0"/>
    <x v="0"/>
    <x v="0"/>
    <x v="0"/>
    <x v="0"/>
    <s v="DK1_Rural"/>
    <x v="9"/>
    <s v="GNR_BO_WOODWST_E-90"/>
    <x v="0"/>
    <x v="21"/>
    <n v="9"/>
    <n v="3285"/>
    <n v="11826"/>
  </r>
  <r>
    <x v="0"/>
    <x v="0"/>
    <x v="0"/>
    <x v="0"/>
    <x v="0"/>
    <s v="DK1_Rural"/>
    <x v="9"/>
    <s v="GNR_BO_WOODWST_E-90"/>
    <x v="0"/>
    <x v="22"/>
    <n v="9"/>
    <n v="3285"/>
    <n v="11826"/>
  </r>
  <r>
    <x v="0"/>
    <x v="0"/>
    <x v="0"/>
    <x v="0"/>
    <x v="0"/>
    <s v="DK1_Rural"/>
    <x v="9"/>
    <s v="GNR_BO_WOODWST_E-90"/>
    <x v="0"/>
    <x v="23"/>
    <n v="9"/>
    <n v="3285"/>
    <n v="11826"/>
  </r>
  <r>
    <x v="0"/>
    <x v="0"/>
    <x v="0"/>
    <x v="0"/>
    <x v="0"/>
    <s v="DK1_Rural"/>
    <x v="9"/>
    <s v="GNR_BO_WOODWST_E-91"/>
    <x v="0"/>
    <x v="0"/>
    <n v="3.15"/>
    <n v="1149.75"/>
    <n v="4139.1000000000004"/>
  </r>
  <r>
    <x v="0"/>
    <x v="0"/>
    <x v="0"/>
    <x v="0"/>
    <x v="0"/>
    <s v="DK1_Rural"/>
    <x v="9"/>
    <s v="GNR_BO_WOODWST_E-91"/>
    <x v="0"/>
    <x v="1"/>
    <n v="3.15"/>
    <n v="1149.75"/>
    <n v="4139.1000000000004"/>
  </r>
  <r>
    <x v="0"/>
    <x v="0"/>
    <x v="0"/>
    <x v="0"/>
    <x v="0"/>
    <s v="DK1_Rural"/>
    <x v="9"/>
    <s v="GNR_BO_WOODWST_E-91"/>
    <x v="0"/>
    <x v="2"/>
    <n v="3.15"/>
    <n v="1149.75"/>
    <n v="4139.1000000000004"/>
  </r>
  <r>
    <x v="0"/>
    <x v="0"/>
    <x v="0"/>
    <x v="0"/>
    <x v="0"/>
    <s v="DK1_Rural"/>
    <x v="9"/>
    <s v="GNR_BO_WOODWST_E-91"/>
    <x v="0"/>
    <x v="3"/>
    <n v="3.15"/>
    <n v="1149.75"/>
    <n v="4139.1000000000004"/>
  </r>
  <r>
    <x v="0"/>
    <x v="0"/>
    <x v="0"/>
    <x v="0"/>
    <x v="0"/>
    <s v="DK1_Rural"/>
    <x v="9"/>
    <s v="GNR_BO_WOODWST_E-91"/>
    <x v="0"/>
    <x v="4"/>
    <n v="3.15"/>
    <n v="1149.75"/>
    <n v="4139.1000000000004"/>
  </r>
  <r>
    <x v="0"/>
    <x v="0"/>
    <x v="0"/>
    <x v="0"/>
    <x v="0"/>
    <s v="DK1_Rural"/>
    <x v="9"/>
    <s v="GNR_BO_WOODWST_E-91"/>
    <x v="0"/>
    <x v="5"/>
    <n v="3.15"/>
    <n v="1149.75"/>
    <n v="4139.1000000000004"/>
  </r>
  <r>
    <x v="0"/>
    <x v="0"/>
    <x v="0"/>
    <x v="0"/>
    <x v="0"/>
    <s v="DK1_Rural"/>
    <x v="9"/>
    <s v="GNR_BO_WOODWST_E-91"/>
    <x v="0"/>
    <x v="6"/>
    <n v="3.15"/>
    <n v="1149.75"/>
    <n v="4139.1000000000004"/>
  </r>
  <r>
    <x v="0"/>
    <x v="0"/>
    <x v="0"/>
    <x v="0"/>
    <x v="0"/>
    <s v="DK1_Rural"/>
    <x v="9"/>
    <s v="GNR_BO_WOODWST_E-91"/>
    <x v="0"/>
    <x v="7"/>
    <n v="3.15"/>
    <n v="1149.75"/>
    <n v="4139.1000000000004"/>
  </r>
  <r>
    <x v="0"/>
    <x v="0"/>
    <x v="0"/>
    <x v="0"/>
    <x v="0"/>
    <s v="DK1_Rural"/>
    <x v="9"/>
    <s v="GNR_BO_WOODWST_E-91"/>
    <x v="0"/>
    <x v="8"/>
    <n v="3.15"/>
    <n v="1149.75"/>
    <n v="4139.1000000000004"/>
  </r>
  <r>
    <x v="0"/>
    <x v="0"/>
    <x v="0"/>
    <x v="0"/>
    <x v="0"/>
    <s v="DK1_Rural"/>
    <x v="9"/>
    <s v="GNR_BO_WOODWST_E-91"/>
    <x v="0"/>
    <x v="9"/>
    <n v="3.15"/>
    <n v="1149.75"/>
    <n v="4139.1000000000004"/>
  </r>
  <r>
    <x v="0"/>
    <x v="0"/>
    <x v="0"/>
    <x v="0"/>
    <x v="0"/>
    <s v="DK1_Rural"/>
    <x v="9"/>
    <s v="GNR_BO_WOODWST_E-91"/>
    <x v="0"/>
    <x v="10"/>
    <n v="3.15"/>
    <n v="1149.75"/>
    <n v="4139.1000000000004"/>
  </r>
  <r>
    <x v="0"/>
    <x v="0"/>
    <x v="0"/>
    <x v="0"/>
    <x v="0"/>
    <s v="DK1_Rural"/>
    <x v="9"/>
    <s v="GNR_BO_WOODWST_E-91"/>
    <x v="0"/>
    <x v="11"/>
    <n v="3.15"/>
    <n v="1149.75"/>
    <n v="4139.1000000000004"/>
  </r>
  <r>
    <x v="0"/>
    <x v="0"/>
    <x v="0"/>
    <x v="0"/>
    <x v="0"/>
    <s v="DK1_Rural"/>
    <x v="9"/>
    <s v="GNR_BO_WOODWST_E-91"/>
    <x v="0"/>
    <x v="12"/>
    <n v="3.15"/>
    <n v="1149.75"/>
    <n v="4139.1000000000004"/>
  </r>
  <r>
    <x v="0"/>
    <x v="0"/>
    <x v="0"/>
    <x v="0"/>
    <x v="0"/>
    <s v="DK1_Rural"/>
    <x v="9"/>
    <s v="GNR_BO_WOODWST_E-91"/>
    <x v="0"/>
    <x v="13"/>
    <n v="3.15"/>
    <n v="1149.75"/>
    <n v="4139.1000000000004"/>
  </r>
  <r>
    <x v="0"/>
    <x v="0"/>
    <x v="0"/>
    <x v="0"/>
    <x v="0"/>
    <s v="DK1_Rural"/>
    <x v="9"/>
    <s v="GNR_BO_WOODWST_E-91"/>
    <x v="0"/>
    <x v="14"/>
    <n v="3.15"/>
    <n v="1149.75"/>
    <n v="4139.1000000000004"/>
  </r>
  <r>
    <x v="0"/>
    <x v="0"/>
    <x v="0"/>
    <x v="0"/>
    <x v="0"/>
    <s v="DK1_Rural"/>
    <x v="9"/>
    <s v="GNR_BO_WOODWST_E-91"/>
    <x v="0"/>
    <x v="15"/>
    <n v="3.15"/>
    <n v="1149.75"/>
    <n v="4139.1000000000004"/>
  </r>
  <r>
    <x v="0"/>
    <x v="0"/>
    <x v="0"/>
    <x v="0"/>
    <x v="0"/>
    <s v="DK1_Rural"/>
    <x v="9"/>
    <s v="GNR_BO_WOODWST_E-91"/>
    <x v="0"/>
    <x v="16"/>
    <n v="3.15"/>
    <n v="1149.75"/>
    <n v="4139.1000000000004"/>
  </r>
  <r>
    <x v="0"/>
    <x v="0"/>
    <x v="0"/>
    <x v="0"/>
    <x v="0"/>
    <s v="DK1_Rural"/>
    <x v="9"/>
    <s v="GNR_BO_WOODWST_E-91"/>
    <x v="0"/>
    <x v="17"/>
    <n v="3.15"/>
    <n v="1149.75"/>
    <n v="4139.1000000000004"/>
  </r>
  <r>
    <x v="0"/>
    <x v="0"/>
    <x v="0"/>
    <x v="0"/>
    <x v="0"/>
    <s v="DK1_Rural"/>
    <x v="9"/>
    <s v="GNR_BO_WOODWST_E-91"/>
    <x v="0"/>
    <x v="18"/>
    <n v="3.15"/>
    <n v="1149.75"/>
    <n v="4139.1000000000004"/>
  </r>
  <r>
    <x v="0"/>
    <x v="0"/>
    <x v="0"/>
    <x v="0"/>
    <x v="0"/>
    <s v="DK1_Rural"/>
    <x v="9"/>
    <s v="GNR_BO_WOODWST_E-91"/>
    <x v="0"/>
    <x v="19"/>
    <n v="3.15"/>
    <n v="1149.75"/>
    <n v="4139.1000000000004"/>
  </r>
  <r>
    <x v="0"/>
    <x v="0"/>
    <x v="0"/>
    <x v="0"/>
    <x v="0"/>
    <s v="DK1_Rural"/>
    <x v="9"/>
    <s v="GNR_BO_WOODWST_E-91"/>
    <x v="0"/>
    <x v="20"/>
    <n v="3.15"/>
    <n v="1149.75"/>
    <n v="4139.1000000000004"/>
  </r>
  <r>
    <x v="0"/>
    <x v="0"/>
    <x v="0"/>
    <x v="0"/>
    <x v="0"/>
    <s v="DK1_Rural"/>
    <x v="9"/>
    <s v="GNR_BO_WOODWST_E-91"/>
    <x v="0"/>
    <x v="21"/>
    <n v="3.15"/>
    <n v="1149.75"/>
    <n v="4139.1000000000004"/>
  </r>
  <r>
    <x v="0"/>
    <x v="0"/>
    <x v="0"/>
    <x v="0"/>
    <x v="0"/>
    <s v="DK1_Rural"/>
    <x v="9"/>
    <s v="GNR_BO_WOODWST_E-91"/>
    <x v="0"/>
    <x v="22"/>
    <n v="3.15"/>
    <n v="1149.75"/>
    <n v="4139.1000000000004"/>
  </r>
  <r>
    <x v="0"/>
    <x v="0"/>
    <x v="0"/>
    <x v="0"/>
    <x v="0"/>
    <s v="DK1_Rural"/>
    <x v="9"/>
    <s v="GNR_BO_WOODWST_E-91"/>
    <x v="0"/>
    <x v="23"/>
    <n v="3.15"/>
    <n v="1149.75"/>
    <n v="4139.1000000000004"/>
  </r>
  <r>
    <x v="0"/>
    <x v="0"/>
    <x v="0"/>
    <x v="0"/>
    <x v="0"/>
    <s v="DK1_Rural"/>
    <x v="9"/>
    <s v="GNR_BO_WOODWST_E-94"/>
    <x v="0"/>
    <x v="0"/>
    <n v="0.93"/>
    <n v="339.45"/>
    <n v="1222.02"/>
  </r>
  <r>
    <x v="0"/>
    <x v="0"/>
    <x v="0"/>
    <x v="0"/>
    <x v="0"/>
    <s v="DK1_Rural"/>
    <x v="9"/>
    <s v="GNR_BO_WOODWST_E-94"/>
    <x v="0"/>
    <x v="1"/>
    <n v="0.93"/>
    <n v="339.45"/>
    <n v="1222.02"/>
  </r>
  <r>
    <x v="0"/>
    <x v="0"/>
    <x v="0"/>
    <x v="0"/>
    <x v="0"/>
    <s v="DK1_Rural"/>
    <x v="9"/>
    <s v="GNR_BO_WOODWST_E-94"/>
    <x v="0"/>
    <x v="2"/>
    <n v="0.93"/>
    <n v="339.45"/>
    <n v="1222.02"/>
  </r>
  <r>
    <x v="0"/>
    <x v="0"/>
    <x v="0"/>
    <x v="0"/>
    <x v="0"/>
    <s v="DK1_Rural"/>
    <x v="9"/>
    <s v="GNR_BO_WOODWST_E-94"/>
    <x v="0"/>
    <x v="3"/>
    <n v="0.93"/>
    <n v="339.45"/>
    <n v="1222.02"/>
  </r>
  <r>
    <x v="0"/>
    <x v="0"/>
    <x v="0"/>
    <x v="0"/>
    <x v="0"/>
    <s v="DK1_Rural"/>
    <x v="9"/>
    <s v="GNR_BO_WOODWST_E-94"/>
    <x v="0"/>
    <x v="4"/>
    <n v="0.93"/>
    <n v="339.45"/>
    <n v="1222.02"/>
  </r>
  <r>
    <x v="0"/>
    <x v="0"/>
    <x v="0"/>
    <x v="0"/>
    <x v="0"/>
    <s v="DK1_Rural"/>
    <x v="9"/>
    <s v="GNR_BO_WOODWST_E-94"/>
    <x v="0"/>
    <x v="5"/>
    <n v="0.93"/>
    <n v="339.45"/>
    <n v="1222.02"/>
  </r>
  <r>
    <x v="0"/>
    <x v="0"/>
    <x v="0"/>
    <x v="0"/>
    <x v="0"/>
    <s v="DK1_Rural"/>
    <x v="9"/>
    <s v="GNR_BO_WOODWST_E-94"/>
    <x v="0"/>
    <x v="6"/>
    <n v="0.93"/>
    <n v="339.45"/>
    <n v="1222.02"/>
  </r>
  <r>
    <x v="0"/>
    <x v="0"/>
    <x v="0"/>
    <x v="0"/>
    <x v="0"/>
    <s v="DK1_Rural"/>
    <x v="9"/>
    <s v="GNR_BO_WOODWST_E-94"/>
    <x v="0"/>
    <x v="7"/>
    <n v="0.93"/>
    <n v="339.45"/>
    <n v="1222.02"/>
  </r>
  <r>
    <x v="0"/>
    <x v="0"/>
    <x v="0"/>
    <x v="0"/>
    <x v="0"/>
    <s v="DK1_Rural"/>
    <x v="9"/>
    <s v="GNR_BO_WOODWST_E-94"/>
    <x v="0"/>
    <x v="8"/>
    <n v="0.93"/>
    <n v="339.45"/>
    <n v="1222.02"/>
  </r>
  <r>
    <x v="0"/>
    <x v="0"/>
    <x v="0"/>
    <x v="0"/>
    <x v="0"/>
    <s v="DK1_Rural"/>
    <x v="9"/>
    <s v="GNR_BO_WOODWST_E-94"/>
    <x v="0"/>
    <x v="9"/>
    <n v="0.93"/>
    <n v="339.45"/>
    <n v="1222.02"/>
  </r>
  <r>
    <x v="0"/>
    <x v="0"/>
    <x v="0"/>
    <x v="0"/>
    <x v="0"/>
    <s v="DK1_Rural"/>
    <x v="9"/>
    <s v="GNR_BO_WOODWST_E-94"/>
    <x v="0"/>
    <x v="10"/>
    <n v="0.93"/>
    <n v="339.45"/>
    <n v="1222.02"/>
  </r>
  <r>
    <x v="0"/>
    <x v="0"/>
    <x v="0"/>
    <x v="0"/>
    <x v="0"/>
    <s v="DK1_Rural"/>
    <x v="9"/>
    <s v="GNR_BO_WOODWST_E-94"/>
    <x v="0"/>
    <x v="11"/>
    <n v="0.93"/>
    <n v="339.45"/>
    <n v="1222.02"/>
  </r>
  <r>
    <x v="0"/>
    <x v="0"/>
    <x v="0"/>
    <x v="0"/>
    <x v="0"/>
    <s v="DK1_Rural"/>
    <x v="9"/>
    <s v="GNR_BO_WOODWST_E-94"/>
    <x v="0"/>
    <x v="12"/>
    <n v="0.93"/>
    <n v="339.45"/>
    <n v="1222.02"/>
  </r>
  <r>
    <x v="0"/>
    <x v="0"/>
    <x v="0"/>
    <x v="0"/>
    <x v="0"/>
    <s v="DK1_Rural"/>
    <x v="9"/>
    <s v="GNR_BO_WOODWST_E-94"/>
    <x v="0"/>
    <x v="13"/>
    <n v="0.93"/>
    <n v="339.45"/>
    <n v="1222.02"/>
  </r>
  <r>
    <x v="0"/>
    <x v="0"/>
    <x v="0"/>
    <x v="0"/>
    <x v="0"/>
    <s v="DK1_Rural"/>
    <x v="9"/>
    <s v="GNR_BO_WOODWST_E-94"/>
    <x v="0"/>
    <x v="14"/>
    <n v="0.93"/>
    <n v="339.45"/>
    <n v="1222.02"/>
  </r>
  <r>
    <x v="0"/>
    <x v="0"/>
    <x v="0"/>
    <x v="0"/>
    <x v="0"/>
    <s v="DK1_Rural"/>
    <x v="9"/>
    <s v="GNR_BO_WOODWST_E-94"/>
    <x v="0"/>
    <x v="15"/>
    <n v="0.93"/>
    <n v="339.45"/>
    <n v="1222.02"/>
  </r>
  <r>
    <x v="0"/>
    <x v="0"/>
    <x v="0"/>
    <x v="0"/>
    <x v="0"/>
    <s v="DK1_Rural"/>
    <x v="9"/>
    <s v="GNR_BO_WOODWST_E-94"/>
    <x v="0"/>
    <x v="16"/>
    <n v="0.93"/>
    <n v="339.45"/>
    <n v="1222.02"/>
  </r>
  <r>
    <x v="0"/>
    <x v="0"/>
    <x v="0"/>
    <x v="0"/>
    <x v="0"/>
    <s v="DK1_Rural"/>
    <x v="9"/>
    <s v="GNR_BO_WOODWST_E-94"/>
    <x v="0"/>
    <x v="17"/>
    <n v="0.93"/>
    <n v="339.45"/>
    <n v="1222.02"/>
  </r>
  <r>
    <x v="0"/>
    <x v="0"/>
    <x v="0"/>
    <x v="0"/>
    <x v="0"/>
    <s v="DK1_Rural"/>
    <x v="9"/>
    <s v="GNR_BO_WOODWST_E-94"/>
    <x v="0"/>
    <x v="18"/>
    <n v="0.93"/>
    <n v="339.45"/>
    <n v="1222.02"/>
  </r>
  <r>
    <x v="0"/>
    <x v="0"/>
    <x v="0"/>
    <x v="0"/>
    <x v="0"/>
    <s v="DK1_Rural"/>
    <x v="9"/>
    <s v="GNR_BO_WOODWST_E-94"/>
    <x v="0"/>
    <x v="19"/>
    <n v="0.93"/>
    <n v="339.45"/>
    <n v="1222.02"/>
  </r>
  <r>
    <x v="0"/>
    <x v="0"/>
    <x v="0"/>
    <x v="0"/>
    <x v="0"/>
    <s v="DK1_Rural"/>
    <x v="9"/>
    <s v="GNR_BO_WOODWST_E-94"/>
    <x v="0"/>
    <x v="20"/>
    <n v="0.93"/>
    <n v="339.45"/>
    <n v="1222.02"/>
  </r>
  <r>
    <x v="0"/>
    <x v="0"/>
    <x v="0"/>
    <x v="0"/>
    <x v="0"/>
    <s v="DK1_Rural"/>
    <x v="9"/>
    <s v="GNR_BO_WOODWST_E-94"/>
    <x v="0"/>
    <x v="21"/>
    <n v="0.93"/>
    <n v="339.45"/>
    <n v="1222.02"/>
  </r>
  <r>
    <x v="0"/>
    <x v="0"/>
    <x v="0"/>
    <x v="0"/>
    <x v="0"/>
    <s v="DK1_Rural"/>
    <x v="9"/>
    <s v="GNR_BO_WOODWST_E-94"/>
    <x v="0"/>
    <x v="22"/>
    <n v="0.93"/>
    <n v="339.45"/>
    <n v="1222.02"/>
  </r>
  <r>
    <x v="0"/>
    <x v="0"/>
    <x v="0"/>
    <x v="0"/>
    <x v="0"/>
    <s v="DK1_Rural"/>
    <x v="9"/>
    <s v="GNR_BO_WOODWST_E-94"/>
    <x v="0"/>
    <x v="23"/>
    <n v="0.93"/>
    <n v="339.45"/>
    <n v="1222.02"/>
  </r>
  <r>
    <x v="0"/>
    <x v="0"/>
    <x v="0"/>
    <x v="0"/>
    <x v="0"/>
    <s v="DK1_Small"/>
    <x v="3"/>
    <s v="GNR_BO_MSW_E-105"/>
    <x v="0"/>
    <x v="0"/>
    <n v="4.0316067270406597"/>
    <n v="1471.53645536984"/>
    <n v="5297.5312393314298"/>
  </r>
  <r>
    <x v="0"/>
    <x v="0"/>
    <x v="0"/>
    <x v="0"/>
    <x v="0"/>
    <s v="DK1_Small"/>
    <x v="3"/>
    <s v="GNR_BO_MSW_E-105"/>
    <x v="0"/>
    <x v="1"/>
    <n v="3.6711582314775502"/>
    <n v="1339.9727544893101"/>
    <n v="4823.9019161614997"/>
  </r>
  <r>
    <x v="0"/>
    <x v="0"/>
    <x v="0"/>
    <x v="0"/>
    <x v="0"/>
    <s v="DK1_Small"/>
    <x v="3"/>
    <s v="GNR_BO_MSW_E-105"/>
    <x v="0"/>
    <x v="2"/>
    <n v="3.34347778096563"/>
    <n v="1220.3693900524599"/>
    <n v="4393.3298041888402"/>
  </r>
  <r>
    <x v="0"/>
    <x v="0"/>
    <x v="0"/>
    <x v="0"/>
    <x v="0"/>
    <s v="DK1_Small"/>
    <x v="3"/>
    <s v="GNR_BO_MSW_E-105"/>
    <x v="0"/>
    <x v="3"/>
    <n v="3.8349984567335098"/>
    <n v="1399.77443670773"/>
    <n v="5039.1879721478299"/>
  </r>
  <r>
    <x v="0"/>
    <x v="0"/>
    <x v="0"/>
    <x v="0"/>
    <x v="0"/>
    <s v="DK1_Small"/>
    <x v="3"/>
    <s v="GNR_BO_MSW_E-105"/>
    <x v="0"/>
    <x v="4"/>
    <n v="4.1954469522966198"/>
    <n v="1531.33813758827"/>
    <n v="5512.81729531776"/>
  </r>
  <r>
    <x v="0"/>
    <x v="0"/>
    <x v="0"/>
    <x v="0"/>
    <x v="0"/>
    <s v="DK1_Small"/>
    <x v="3"/>
    <s v="GNR_BO_MSW_E-105"/>
    <x v="0"/>
    <x v="5"/>
    <n v="9.9298548362552399"/>
    <n v="3624.3970152331599"/>
    <n v="13047.8292548394"/>
  </r>
  <r>
    <x v="0"/>
    <x v="0"/>
    <x v="0"/>
    <x v="0"/>
    <x v="0"/>
    <s v="DK1_Small"/>
    <x v="3"/>
    <s v="GNR_BO_MSW_E-105"/>
    <x v="0"/>
    <x v="6"/>
    <n v="24.282258568677399"/>
    <n v="8863.0243775672407"/>
    <n v="31906.887759242101"/>
  </r>
  <r>
    <x v="0"/>
    <x v="0"/>
    <x v="0"/>
    <x v="0"/>
    <x v="0"/>
    <s v="DK1_Small"/>
    <x v="3"/>
    <s v="GNR_BO_MSW_E-105"/>
    <x v="0"/>
    <x v="7"/>
    <n v="32.834718327038502"/>
    <n v="11984.672189369099"/>
    <n v="43144.819881728603"/>
  </r>
  <r>
    <x v="0"/>
    <x v="0"/>
    <x v="0"/>
    <x v="0"/>
    <x v="0"/>
    <s v="DK1_Small"/>
    <x v="3"/>
    <s v="GNR_BO_MSW_E-105"/>
    <x v="0"/>
    <x v="8"/>
    <n v="34.112672084034998"/>
    <n v="12451.1253106728"/>
    <n v="44824.051118422001"/>
  </r>
  <r>
    <x v="0"/>
    <x v="0"/>
    <x v="0"/>
    <x v="0"/>
    <x v="0"/>
    <s v="DK1_Small"/>
    <x v="3"/>
    <s v="GNR_BO_MSW_E-105"/>
    <x v="0"/>
    <x v="9"/>
    <n v="33.948831858779002"/>
    <n v="12391.3236284543"/>
    <n v="44608.765062435603"/>
  </r>
  <r>
    <x v="0"/>
    <x v="0"/>
    <x v="0"/>
    <x v="0"/>
    <x v="0"/>
    <s v="DK1_Small"/>
    <x v="3"/>
    <s v="GNR_BO_MSW_E-105"/>
    <x v="0"/>
    <x v="10"/>
    <n v="34.243744264239801"/>
    <n v="12498.966656447499"/>
    <n v="44996.279963211004"/>
  </r>
  <r>
    <x v="0"/>
    <x v="0"/>
    <x v="0"/>
    <x v="0"/>
    <x v="0"/>
    <s v="DK1_Small"/>
    <x v="3"/>
    <s v="GNR_BO_MSW_E-105"/>
    <x v="0"/>
    <x v="11"/>
    <n v="33.948831858779002"/>
    <n v="12391.3236284543"/>
    <n v="44608.765062435603"/>
  </r>
  <r>
    <x v="0"/>
    <x v="0"/>
    <x v="0"/>
    <x v="0"/>
    <x v="0"/>
    <s v="DK1_Small"/>
    <x v="3"/>
    <s v="GNR_BO_MSW_E-105"/>
    <x v="0"/>
    <x v="12"/>
    <n v="32.113821335912299"/>
    <n v="11721.544787608"/>
    <n v="42197.561235388697"/>
  </r>
  <r>
    <x v="0"/>
    <x v="0"/>
    <x v="0"/>
    <x v="0"/>
    <x v="0"/>
    <s v="DK1_Small"/>
    <x v="3"/>
    <s v="GNR_BO_MSW_E-105"/>
    <x v="0"/>
    <x v="13"/>
    <n v="30.835867578915799"/>
    <n v="11255.091666304301"/>
    <n v="40518.329998695299"/>
  </r>
  <r>
    <x v="0"/>
    <x v="0"/>
    <x v="0"/>
    <x v="0"/>
    <x v="0"/>
    <s v="DK1_Small"/>
    <x v="3"/>
    <s v="GNR_BO_MSW_E-105"/>
    <x v="0"/>
    <x v="14"/>
    <n v="31.3601562997349"/>
    <n v="11446.4570494032"/>
    <n v="41207.245377851599"/>
  </r>
  <r>
    <x v="0"/>
    <x v="0"/>
    <x v="0"/>
    <x v="0"/>
    <x v="0"/>
    <s v="DK1_Small"/>
    <x v="3"/>
    <s v="GNR_BO_MSW_E-105"/>
    <x v="0"/>
    <x v="15"/>
    <n v="31.851676975502698"/>
    <n v="11625.862096058499"/>
    <n v="41853.103545810598"/>
  </r>
  <r>
    <x v="0"/>
    <x v="0"/>
    <x v="0"/>
    <x v="0"/>
    <x v="0"/>
    <s v="DK1_Small"/>
    <x v="3"/>
    <s v="GNR_BO_MSW_E-105"/>
    <x v="0"/>
    <x v="16"/>
    <n v="32.146589380963498"/>
    <n v="11733.5051240517"/>
    <n v="42240.618446585999"/>
  </r>
  <r>
    <x v="0"/>
    <x v="0"/>
    <x v="0"/>
    <x v="0"/>
    <x v="0"/>
    <s v="DK1_Small"/>
    <x v="3"/>
    <s v="GNR_BO_MSW_E-105"/>
    <x v="0"/>
    <x v="17"/>
    <n v="33.031326597345704"/>
    <n v="12056.4342080312"/>
    <n v="43403.163148912201"/>
  </r>
  <r>
    <x v="0"/>
    <x v="0"/>
    <x v="0"/>
    <x v="0"/>
    <x v="0"/>
    <s v="DK1_Small"/>
    <x v="3"/>
    <s v="GNR_BO_MSW_E-105"/>
    <x v="0"/>
    <x v="18"/>
    <n v="32.9002544171409"/>
    <n v="12008.592862256401"/>
    <n v="43230.934304123097"/>
  </r>
  <r>
    <x v="0"/>
    <x v="0"/>
    <x v="0"/>
    <x v="0"/>
    <x v="0"/>
    <s v="DK1_Small"/>
    <x v="3"/>
    <s v="GNR_BO_MSW_E-105"/>
    <x v="0"/>
    <x v="19"/>
    <n v="31.556764570041999"/>
    <n v="11518.2190680653"/>
    <n v="41465.588645035197"/>
  </r>
  <r>
    <x v="0"/>
    <x v="0"/>
    <x v="0"/>
    <x v="0"/>
    <x v="0"/>
    <s v="DK1_Small"/>
    <x v="3"/>
    <s v="GNR_BO_MSW_E-105"/>
    <x v="0"/>
    <x v="20"/>
    <n v="29.033625101100199"/>
    <n v="10597.273161901599"/>
    <n v="38150.183382845702"/>
  </r>
  <r>
    <x v="0"/>
    <x v="0"/>
    <x v="0"/>
    <x v="0"/>
    <x v="0"/>
    <s v="DK1_Small"/>
    <x v="3"/>
    <s v="GNR_BO_MSW_E-105"/>
    <x v="0"/>
    <x v="21"/>
    <n v="16.909448432159099"/>
    <n v="6171.9486777380898"/>
    <n v="22219.015239857101"/>
  </r>
  <r>
    <x v="0"/>
    <x v="0"/>
    <x v="0"/>
    <x v="0"/>
    <x v="0"/>
    <s v="DK1_Small"/>
    <x v="3"/>
    <s v="GNR_BO_MSW_E-105"/>
    <x v="0"/>
    <x v="22"/>
    <n v="13.5015717468352"/>
    <n v="4928.0736875948396"/>
    <n v="17741.0652753414"/>
  </r>
  <r>
    <x v="0"/>
    <x v="0"/>
    <x v="0"/>
    <x v="0"/>
    <x v="0"/>
    <s v="DK1_Small"/>
    <x v="3"/>
    <s v="GNR_BO_MSW_E-105"/>
    <x v="0"/>
    <x v="23"/>
    <n v="11.502720998712499"/>
    <n v="4198.4931645300503"/>
    <n v="15114.575392308199"/>
  </r>
  <r>
    <x v="0"/>
    <x v="0"/>
    <x v="0"/>
    <x v="0"/>
    <x v="0"/>
    <s v="DK1_Small"/>
    <x v="3"/>
    <s v="GNR_ST_MSW_BP_E-20"/>
    <x v="0"/>
    <x v="0"/>
    <n v="9.7714128923103996"/>
    <n v="3566.5657056933001"/>
    <n v="12839.6365404959"/>
  </r>
  <r>
    <x v="0"/>
    <x v="0"/>
    <x v="0"/>
    <x v="0"/>
    <x v="0"/>
    <s v="DK1_Small"/>
    <x v="3"/>
    <s v="GNR_ST_MSW_BP_E-20"/>
    <x v="0"/>
    <x v="1"/>
    <n v="9.7714128923103996"/>
    <n v="3566.5657056933001"/>
    <n v="12839.6365404959"/>
  </r>
  <r>
    <x v="0"/>
    <x v="0"/>
    <x v="0"/>
    <x v="0"/>
    <x v="0"/>
    <s v="DK1_Small"/>
    <x v="3"/>
    <s v="GNR_ST_MSW_BP_E-20"/>
    <x v="0"/>
    <x v="2"/>
    <n v="9.7714128923103996"/>
    <n v="3566.5657056933001"/>
    <n v="12839.6365404959"/>
  </r>
  <r>
    <x v="0"/>
    <x v="0"/>
    <x v="0"/>
    <x v="0"/>
    <x v="0"/>
    <s v="DK1_Small"/>
    <x v="3"/>
    <s v="GNR_ST_MSW_BP_E-20"/>
    <x v="0"/>
    <x v="3"/>
    <n v="9.7714128923103996"/>
    <n v="3566.5657056933001"/>
    <n v="12839.6365404959"/>
  </r>
  <r>
    <x v="0"/>
    <x v="0"/>
    <x v="0"/>
    <x v="0"/>
    <x v="0"/>
    <s v="DK1_Small"/>
    <x v="3"/>
    <s v="GNR_ST_MSW_BP_E-20"/>
    <x v="0"/>
    <x v="4"/>
    <n v="9.7714128923103996"/>
    <n v="3566.5657056933001"/>
    <n v="12839.6365404959"/>
  </r>
  <r>
    <x v="0"/>
    <x v="0"/>
    <x v="0"/>
    <x v="0"/>
    <x v="0"/>
    <s v="DK1_Small"/>
    <x v="3"/>
    <s v="GNR_ST_MSW_BP_E-20"/>
    <x v="0"/>
    <x v="5"/>
    <n v="9.7714128923103996"/>
    <n v="3566.5657056933001"/>
    <n v="12839.6365404959"/>
  </r>
  <r>
    <x v="0"/>
    <x v="0"/>
    <x v="0"/>
    <x v="0"/>
    <x v="0"/>
    <s v="DK1_Small"/>
    <x v="3"/>
    <s v="GNR_ST_MSW_BP_E-20"/>
    <x v="0"/>
    <x v="6"/>
    <n v="9.7714128923103996"/>
    <n v="3566.5657056933001"/>
    <n v="12839.6365404959"/>
  </r>
  <r>
    <x v="0"/>
    <x v="0"/>
    <x v="0"/>
    <x v="0"/>
    <x v="0"/>
    <s v="DK1_Small"/>
    <x v="3"/>
    <s v="GNR_ST_MSW_BP_E-20"/>
    <x v="0"/>
    <x v="7"/>
    <n v="9.7714128923103996"/>
    <n v="3566.5657056933001"/>
    <n v="12839.6365404959"/>
  </r>
  <r>
    <x v="0"/>
    <x v="0"/>
    <x v="0"/>
    <x v="0"/>
    <x v="0"/>
    <s v="DK1_Small"/>
    <x v="3"/>
    <s v="GNR_ST_MSW_BP_E-20"/>
    <x v="0"/>
    <x v="8"/>
    <n v="9.7714128923103996"/>
    <n v="3566.5657056933001"/>
    <n v="12839.6365404959"/>
  </r>
  <r>
    <x v="0"/>
    <x v="0"/>
    <x v="0"/>
    <x v="0"/>
    <x v="0"/>
    <s v="DK1_Small"/>
    <x v="3"/>
    <s v="GNR_ST_MSW_BP_E-20"/>
    <x v="0"/>
    <x v="9"/>
    <n v="9.7714128923103996"/>
    <n v="3566.5657056933001"/>
    <n v="12839.6365404959"/>
  </r>
  <r>
    <x v="0"/>
    <x v="0"/>
    <x v="0"/>
    <x v="0"/>
    <x v="0"/>
    <s v="DK1_Small"/>
    <x v="3"/>
    <s v="GNR_ST_MSW_BP_E-20"/>
    <x v="0"/>
    <x v="10"/>
    <n v="9.7714128923103996"/>
    <n v="3566.5657056933001"/>
    <n v="12839.6365404959"/>
  </r>
  <r>
    <x v="0"/>
    <x v="0"/>
    <x v="0"/>
    <x v="0"/>
    <x v="0"/>
    <s v="DK1_Small"/>
    <x v="3"/>
    <s v="GNR_ST_MSW_BP_E-20"/>
    <x v="0"/>
    <x v="11"/>
    <n v="9.7714128923103996"/>
    <n v="3566.5657056933001"/>
    <n v="12839.6365404959"/>
  </r>
  <r>
    <x v="0"/>
    <x v="0"/>
    <x v="0"/>
    <x v="0"/>
    <x v="0"/>
    <s v="DK1_Small"/>
    <x v="3"/>
    <s v="GNR_ST_MSW_BP_E-20"/>
    <x v="0"/>
    <x v="12"/>
    <n v="9.7714128923103996"/>
    <n v="3566.5657056933001"/>
    <n v="12839.6365404959"/>
  </r>
  <r>
    <x v="0"/>
    <x v="0"/>
    <x v="0"/>
    <x v="0"/>
    <x v="0"/>
    <s v="DK1_Small"/>
    <x v="3"/>
    <s v="GNR_ST_MSW_BP_E-20"/>
    <x v="0"/>
    <x v="13"/>
    <n v="9.7714128923103996"/>
    <n v="3566.5657056933001"/>
    <n v="12839.6365404959"/>
  </r>
  <r>
    <x v="0"/>
    <x v="0"/>
    <x v="0"/>
    <x v="0"/>
    <x v="0"/>
    <s v="DK1_Small"/>
    <x v="3"/>
    <s v="GNR_ST_MSW_BP_E-20"/>
    <x v="0"/>
    <x v="14"/>
    <n v="9.7714128923103996"/>
    <n v="3566.5657056933001"/>
    <n v="12839.6365404959"/>
  </r>
  <r>
    <x v="0"/>
    <x v="0"/>
    <x v="0"/>
    <x v="0"/>
    <x v="0"/>
    <s v="DK1_Small"/>
    <x v="3"/>
    <s v="GNR_ST_MSW_BP_E-20"/>
    <x v="0"/>
    <x v="15"/>
    <n v="9.7714128923103996"/>
    <n v="3566.5657056933001"/>
    <n v="12839.6365404959"/>
  </r>
  <r>
    <x v="0"/>
    <x v="0"/>
    <x v="0"/>
    <x v="0"/>
    <x v="0"/>
    <s v="DK1_Small"/>
    <x v="3"/>
    <s v="GNR_ST_MSW_BP_E-20"/>
    <x v="0"/>
    <x v="16"/>
    <n v="9.7714128923103996"/>
    <n v="3566.5657056933001"/>
    <n v="12839.6365404959"/>
  </r>
  <r>
    <x v="0"/>
    <x v="0"/>
    <x v="0"/>
    <x v="0"/>
    <x v="0"/>
    <s v="DK1_Small"/>
    <x v="3"/>
    <s v="GNR_ST_MSW_BP_E-20"/>
    <x v="0"/>
    <x v="17"/>
    <n v="9.7714128923103996"/>
    <n v="3566.5657056933001"/>
    <n v="12839.6365404959"/>
  </r>
  <r>
    <x v="0"/>
    <x v="0"/>
    <x v="0"/>
    <x v="0"/>
    <x v="0"/>
    <s v="DK1_Small"/>
    <x v="3"/>
    <s v="GNR_ST_MSW_BP_E-20"/>
    <x v="0"/>
    <x v="18"/>
    <n v="9.7714128923103996"/>
    <n v="3566.5657056933001"/>
    <n v="12839.6365404959"/>
  </r>
  <r>
    <x v="0"/>
    <x v="0"/>
    <x v="0"/>
    <x v="0"/>
    <x v="0"/>
    <s v="DK1_Small"/>
    <x v="3"/>
    <s v="GNR_ST_MSW_BP_E-20"/>
    <x v="0"/>
    <x v="19"/>
    <n v="9.7714128923103996"/>
    <n v="3566.5657056933001"/>
    <n v="12839.6365404959"/>
  </r>
  <r>
    <x v="0"/>
    <x v="0"/>
    <x v="0"/>
    <x v="0"/>
    <x v="0"/>
    <s v="DK1_Small"/>
    <x v="3"/>
    <s v="GNR_ST_MSW_BP_E-20"/>
    <x v="0"/>
    <x v="20"/>
    <n v="9.7714128923103996"/>
    <n v="3566.5657056933001"/>
    <n v="12839.6365404959"/>
  </r>
  <r>
    <x v="0"/>
    <x v="0"/>
    <x v="0"/>
    <x v="0"/>
    <x v="0"/>
    <s v="DK1_Small"/>
    <x v="3"/>
    <s v="GNR_ST_MSW_BP_E-20"/>
    <x v="0"/>
    <x v="21"/>
    <n v="9.7714128923103996"/>
    <n v="3566.5657056933001"/>
    <n v="12839.6365404959"/>
  </r>
  <r>
    <x v="0"/>
    <x v="0"/>
    <x v="0"/>
    <x v="0"/>
    <x v="0"/>
    <s v="DK1_Small"/>
    <x v="3"/>
    <s v="GNR_ST_MSW_BP_E-20"/>
    <x v="0"/>
    <x v="22"/>
    <n v="9.7714128923103996"/>
    <n v="3566.5657056933001"/>
    <n v="12839.6365404959"/>
  </r>
  <r>
    <x v="0"/>
    <x v="0"/>
    <x v="0"/>
    <x v="0"/>
    <x v="0"/>
    <s v="DK1_Small"/>
    <x v="3"/>
    <s v="GNR_ST_MSW_BP_E-20"/>
    <x v="0"/>
    <x v="23"/>
    <n v="9.7714128923103996"/>
    <n v="3566.5657056933001"/>
    <n v="12839.6365404959"/>
  </r>
  <r>
    <x v="0"/>
    <x v="0"/>
    <x v="0"/>
    <x v="0"/>
    <x v="0"/>
    <s v="DK1_Small"/>
    <x v="6"/>
    <s v="GNR_EH_HEAT"/>
    <x v="0"/>
    <x v="0"/>
    <n v="14"/>
    <n v="5110"/>
    <n v="18396"/>
  </r>
  <r>
    <x v="0"/>
    <x v="0"/>
    <x v="0"/>
    <x v="0"/>
    <x v="0"/>
    <s v="DK1_Small"/>
    <x v="6"/>
    <s v="GNR_EH_HEAT"/>
    <x v="0"/>
    <x v="1"/>
    <n v="14"/>
    <n v="5110"/>
    <n v="18396"/>
  </r>
  <r>
    <x v="0"/>
    <x v="0"/>
    <x v="0"/>
    <x v="0"/>
    <x v="0"/>
    <s v="DK1_Small"/>
    <x v="6"/>
    <s v="GNR_EH_HEAT"/>
    <x v="0"/>
    <x v="2"/>
    <n v="14"/>
    <n v="5110"/>
    <n v="18396"/>
  </r>
  <r>
    <x v="0"/>
    <x v="0"/>
    <x v="0"/>
    <x v="0"/>
    <x v="0"/>
    <s v="DK1_Small"/>
    <x v="6"/>
    <s v="GNR_EH_HEAT"/>
    <x v="0"/>
    <x v="3"/>
    <n v="14"/>
    <n v="5110"/>
    <n v="18396"/>
  </r>
  <r>
    <x v="0"/>
    <x v="0"/>
    <x v="0"/>
    <x v="0"/>
    <x v="0"/>
    <s v="DK1_Small"/>
    <x v="6"/>
    <s v="GNR_EH_HEAT"/>
    <x v="0"/>
    <x v="4"/>
    <n v="14"/>
    <n v="5110"/>
    <n v="18396"/>
  </r>
  <r>
    <x v="0"/>
    <x v="0"/>
    <x v="0"/>
    <x v="0"/>
    <x v="0"/>
    <s v="DK1_Small"/>
    <x v="6"/>
    <s v="GNR_EH_HEAT"/>
    <x v="0"/>
    <x v="5"/>
    <n v="14"/>
    <n v="5110"/>
    <n v="18396"/>
  </r>
  <r>
    <x v="0"/>
    <x v="0"/>
    <x v="0"/>
    <x v="0"/>
    <x v="0"/>
    <s v="DK1_Small"/>
    <x v="6"/>
    <s v="GNR_EH_HEAT"/>
    <x v="0"/>
    <x v="6"/>
    <n v="14"/>
    <n v="5110"/>
    <n v="18396"/>
  </r>
  <r>
    <x v="0"/>
    <x v="0"/>
    <x v="0"/>
    <x v="0"/>
    <x v="0"/>
    <s v="DK1_Small"/>
    <x v="6"/>
    <s v="GNR_EH_HEAT"/>
    <x v="0"/>
    <x v="7"/>
    <n v="14"/>
    <n v="5110"/>
    <n v="18396"/>
  </r>
  <r>
    <x v="0"/>
    <x v="0"/>
    <x v="0"/>
    <x v="0"/>
    <x v="0"/>
    <s v="DK1_Small"/>
    <x v="6"/>
    <s v="GNR_EH_HEAT"/>
    <x v="0"/>
    <x v="8"/>
    <n v="14"/>
    <n v="5110"/>
    <n v="18396"/>
  </r>
  <r>
    <x v="0"/>
    <x v="0"/>
    <x v="0"/>
    <x v="0"/>
    <x v="0"/>
    <s v="DK1_Small"/>
    <x v="6"/>
    <s v="GNR_EH_HEAT"/>
    <x v="0"/>
    <x v="9"/>
    <n v="14"/>
    <n v="5110"/>
    <n v="18396"/>
  </r>
  <r>
    <x v="0"/>
    <x v="0"/>
    <x v="0"/>
    <x v="0"/>
    <x v="0"/>
    <s v="DK1_Small"/>
    <x v="6"/>
    <s v="GNR_EH_HEAT"/>
    <x v="0"/>
    <x v="10"/>
    <n v="14"/>
    <n v="5110"/>
    <n v="18396"/>
  </r>
  <r>
    <x v="0"/>
    <x v="0"/>
    <x v="0"/>
    <x v="0"/>
    <x v="0"/>
    <s v="DK1_Small"/>
    <x v="6"/>
    <s v="GNR_EH_HEAT"/>
    <x v="0"/>
    <x v="11"/>
    <n v="14"/>
    <n v="5110"/>
    <n v="18396"/>
  </r>
  <r>
    <x v="0"/>
    <x v="0"/>
    <x v="0"/>
    <x v="0"/>
    <x v="0"/>
    <s v="DK1_Small"/>
    <x v="6"/>
    <s v="GNR_EH_HEAT"/>
    <x v="0"/>
    <x v="12"/>
    <n v="14"/>
    <n v="5110"/>
    <n v="18396"/>
  </r>
  <r>
    <x v="0"/>
    <x v="0"/>
    <x v="0"/>
    <x v="0"/>
    <x v="0"/>
    <s v="DK1_Small"/>
    <x v="6"/>
    <s v="GNR_EH_HEAT"/>
    <x v="0"/>
    <x v="13"/>
    <n v="14"/>
    <n v="5110"/>
    <n v="18396"/>
  </r>
  <r>
    <x v="0"/>
    <x v="0"/>
    <x v="0"/>
    <x v="0"/>
    <x v="0"/>
    <s v="DK1_Small"/>
    <x v="6"/>
    <s v="GNR_EH_HEAT"/>
    <x v="0"/>
    <x v="14"/>
    <n v="14"/>
    <n v="5110"/>
    <n v="18396"/>
  </r>
  <r>
    <x v="0"/>
    <x v="0"/>
    <x v="0"/>
    <x v="0"/>
    <x v="0"/>
    <s v="DK1_Small"/>
    <x v="6"/>
    <s v="GNR_EH_HEAT"/>
    <x v="0"/>
    <x v="15"/>
    <n v="14"/>
    <n v="5110"/>
    <n v="18396"/>
  </r>
  <r>
    <x v="0"/>
    <x v="0"/>
    <x v="0"/>
    <x v="0"/>
    <x v="0"/>
    <s v="DK1_Small"/>
    <x v="6"/>
    <s v="GNR_EH_HEAT"/>
    <x v="0"/>
    <x v="16"/>
    <n v="14"/>
    <n v="5110"/>
    <n v="18396"/>
  </r>
  <r>
    <x v="0"/>
    <x v="0"/>
    <x v="0"/>
    <x v="0"/>
    <x v="0"/>
    <s v="DK1_Small"/>
    <x v="6"/>
    <s v="GNR_EH_HEAT"/>
    <x v="0"/>
    <x v="17"/>
    <n v="14"/>
    <n v="5110"/>
    <n v="18396"/>
  </r>
  <r>
    <x v="0"/>
    <x v="0"/>
    <x v="0"/>
    <x v="0"/>
    <x v="0"/>
    <s v="DK1_Small"/>
    <x v="6"/>
    <s v="GNR_EH_HEAT"/>
    <x v="0"/>
    <x v="18"/>
    <n v="14"/>
    <n v="5110"/>
    <n v="18396"/>
  </r>
  <r>
    <x v="0"/>
    <x v="0"/>
    <x v="0"/>
    <x v="0"/>
    <x v="0"/>
    <s v="DK1_Small"/>
    <x v="6"/>
    <s v="GNR_EH_HEAT"/>
    <x v="0"/>
    <x v="19"/>
    <n v="14"/>
    <n v="5110"/>
    <n v="18396"/>
  </r>
  <r>
    <x v="0"/>
    <x v="0"/>
    <x v="0"/>
    <x v="0"/>
    <x v="0"/>
    <s v="DK1_Small"/>
    <x v="6"/>
    <s v="GNR_EH_HEAT"/>
    <x v="0"/>
    <x v="20"/>
    <n v="14"/>
    <n v="5110"/>
    <n v="18396"/>
  </r>
  <r>
    <x v="0"/>
    <x v="0"/>
    <x v="0"/>
    <x v="0"/>
    <x v="0"/>
    <s v="DK1_Small"/>
    <x v="6"/>
    <s v="GNR_EH_HEAT"/>
    <x v="0"/>
    <x v="21"/>
    <n v="14"/>
    <n v="5110"/>
    <n v="18396"/>
  </r>
  <r>
    <x v="0"/>
    <x v="0"/>
    <x v="0"/>
    <x v="0"/>
    <x v="0"/>
    <s v="DK1_Small"/>
    <x v="6"/>
    <s v="GNR_EH_HEAT"/>
    <x v="0"/>
    <x v="22"/>
    <n v="14"/>
    <n v="5110"/>
    <n v="18396"/>
  </r>
  <r>
    <x v="0"/>
    <x v="0"/>
    <x v="0"/>
    <x v="0"/>
    <x v="0"/>
    <s v="DK1_Small"/>
    <x v="6"/>
    <s v="GNR_EH_HEAT"/>
    <x v="0"/>
    <x v="23"/>
    <n v="14"/>
    <n v="5110"/>
    <n v="18396"/>
  </r>
  <r>
    <x v="0"/>
    <x v="0"/>
    <x v="0"/>
    <x v="0"/>
    <x v="0"/>
    <s v="DK1_Small"/>
    <x v="7"/>
    <s v="GNR_ST_WOODCHI_BP_E-15"/>
    <x v="0"/>
    <x v="0"/>
    <n v="1.76470588235294"/>
    <n v="644.11764705882297"/>
    <n v="2318.8235294117599"/>
  </r>
  <r>
    <x v="0"/>
    <x v="0"/>
    <x v="0"/>
    <x v="0"/>
    <x v="0"/>
    <s v="DK1_Small"/>
    <x v="7"/>
    <s v="GNR_ST_WOODCHI_BP_E-15"/>
    <x v="0"/>
    <x v="1"/>
    <n v="1.76470588235294"/>
    <n v="644.11764705882297"/>
    <n v="2318.8235294117599"/>
  </r>
  <r>
    <x v="0"/>
    <x v="0"/>
    <x v="0"/>
    <x v="0"/>
    <x v="0"/>
    <s v="DK1_Small"/>
    <x v="7"/>
    <s v="GNR_ST_WOODCHI_BP_E-15"/>
    <x v="0"/>
    <x v="2"/>
    <n v="1.76470588235294"/>
    <n v="644.11764705882297"/>
    <n v="2318.8235294117599"/>
  </r>
  <r>
    <x v="0"/>
    <x v="0"/>
    <x v="0"/>
    <x v="0"/>
    <x v="0"/>
    <s v="DK1_Small"/>
    <x v="7"/>
    <s v="GNR_ST_WOODCHI_BP_E-15"/>
    <x v="0"/>
    <x v="3"/>
    <n v="1.76470588235294"/>
    <n v="644.11764705882297"/>
    <n v="2318.8235294117599"/>
  </r>
  <r>
    <x v="0"/>
    <x v="0"/>
    <x v="0"/>
    <x v="0"/>
    <x v="0"/>
    <s v="DK1_Small"/>
    <x v="7"/>
    <s v="GNR_ST_WOODCHI_BP_E-15"/>
    <x v="0"/>
    <x v="4"/>
    <n v="1.76470588235294"/>
    <n v="644.11764705882297"/>
    <n v="2318.8235294117599"/>
  </r>
  <r>
    <x v="0"/>
    <x v="0"/>
    <x v="0"/>
    <x v="0"/>
    <x v="0"/>
    <s v="DK1_Small"/>
    <x v="7"/>
    <s v="GNR_ST_WOODCHI_BP_E-15"/>
    <x v="0"/>
    <x v="5"/>
    <n v="1.76470588235294"/>
    <n v="644.11764705882297"/>
    <n v="2318.8235294117599"/>
  </r>
  <r>
    <x v="0"/>
    <x v="0"/>
    <x v="0"/>
    <x v="0"/>
    <x v="0"/>
    <s v="DK1_Small"/>
    <x v="7"/>
    <s v="GNR_ST_WOODCHI_BP_E-15"/>
    <x v="0"/>
    <x v="6"/>
    <n v="1.76470588235294"/>
    <n v="644.11764705882297"/>
    <n v="2318.8235294117599"/>
  </r>
  <r>
    <x v="0"/>
    <x v="0"/>
    <x v="0"/>
    <x v="0"/>
    <x v="0"/>
    <s v="DK1_Small"/>
    <x v="7"/>
    <s v="GNR_ST_WOODCHI_BP_E-15"/>
    <x v="0"/>
    <x v="7"/>
    <n v="1.76470588235294"/>
    <n v="644.11764705882297"/>
    <n v="2318.8235294117599"/>
  </r>
  <r>
    <x v="0"/>
    <x v="0"/>
    <x v="0"/>
    <x v="0"/>
    <x v="0"/>
    <s v="DK1_Small"/>
    <x v="7"/>
    <s v="GNR_ST_WOODCHI_BP_E-15"/>
    <x v="0"/>
    <x v="8"/>
    <n v="1.76470588235294"/>
    <n v="644.11764705882297"/>
    <n v="2318.8235294117599"/>
  </r>
  <r>
    <x v="0"/>
    <x v="0"/>
    <x v="0"/>
    <x v="0"/>
    <x v="0"/>
    <s v="DK1_Small"/>
    <x v="7"/>
    <s v="GNR_ST_WOODCHI_BP_E-15"/>
    <x v="0"/>
    <x v="9"/>
    <n v="1.76470588235294"/>
    <n v="644.11764705882297"/>
    <n v="2318.8235294117599"/>
  </r>
  <r>
    <x v="0"/>
    <x v="0"/>
    <x v="0"/>
    <x v="0"/>
    <x v="0"/>
    <s v="DK1_Small"/>
    <x v="7"/>
    <s v="GNR_ST_WOODCHI_BP_E-15"/>
    <x v="0"/>
    <x v="10"/>
    <n v="1.76470588235294"/>
    <n v="644.11764705882297"/>
    <n v="2318.8235294117599"/>
  </r>
  <r>
    <x v="0"/>
    <x v="0"/>
    <x v="0"/>
    <x v="0"/>
    <x v="0"/>
    <s v="DK1_Small"/>
    <x v="7"/>
    <s v="GNR_ST_WOODCHI_BP_E-15"/>
    <x v="0"/>
    <x v="11"/>
    <n v="1.76470588235294"/>
    <n v="644.11764705882297"/>
    <n v="2318.8235294117599"/>
  </r>
  <r>
    <x v="0"/>
    <x v="0"/>
    <x v="0"/>
    <x v="0"/>
    <x v="0"/>
    <s v="DK1_Small"/>
    <x v="7"/>
    <s v="GNR_ST_WOODCHI_BP_E-15"/>
    <x v="0"/>
    <x v="12"/>
    <n v="1.76470588235294"/>
    <n v="644.11764705882297"/>
    <n v="2318.8235294117599"/>
  </r>
  <r>
    <x v="0"/>
    <x v="0"/>
    <x v="0"/>
    <x v="0"/>
    <x v="0"/>
    <s v="DK1_Small"/>
    <x v="7"/>
    <s v="GNR_ST_WOODCHI_BP_E-15"/>
    <x v="0"/>
    <x v="13"/>
    <n v="1.76470588235294"/>
    <n v="644.11764705882297"/>
    <n v="2318.8235294117599"/>
  </r>
  <r>
    <x v="0"/>
    <x v="0"/>
    <x v="0"/>
    <x v="0"/>
    <x v="0"/>
    <s v="DK1_Small"/>
    <x v="7"/>
    <s v="GNR_ST_WOODCHI_BP_E-15"/>
    <x v="0"/>
    <x v="14"/>
    <n v="1.76470588235294"/>
    <n v="644.11764705882297"/>
    <n v="2318.8235294117599"/>
  </r>
  <r>
    <x v="0"/>
    <x v="0"/>
    <x v="0"/>
    <x v="0"/>
    <x v="0"/>
    <s v="DK1_Small"/>
    <x v="7"/>
    <s v="GNR_ST_WOODCHI_BP_E-15"/>
    <x v="0"/>
    <x v="15"/>
    <n v="1.76470588235294"/>
    <n v="644.11764705882297"/>
    <n v="2318.8235294117599"/>
  </r>
  <r>
    <x v="0"/>
    <x v="0"/>
    <x v="0"/>
    <x v="0"/>
    <x v="0"/>
    <s v="DK1_Small"/>
    <x v="7"/>
    <s v="GNR_ST_WOODCHI_BP_E-15"/>
    <x v="0"/>
    <x v="16"/>
    <n v="1.76470588235294"/>
    <n v="644.11764705882297"/>
    <n v="2318.8235294117599"/>
  </r>
  <r>
    <x v="0"/>
    <x v="0"/>
    <x v="0"/>
    <x v="0"/>
    <x v="0"/>
    <s v="DK1_Small"/>
    <x v="7"/>
    <s v="GNR_ST_WOODCHI_BP_E-15"/>
    <x v="0"/>
    <x v="17"/>
    <n v="1.76470588235294"/>
    <n v="644.11764705882297"/>
    <n v="2318.8235294117599"/>
  </r>
  <r>
    <x v="0"/>
    <x v="0"/>
    <x v="0"/>
    <x v="0"/>
    <x v="0"/>
    <s v="DK1_Small"/>
    <x v="7"/>
    <s v="GNR_ST_WOODCHI_BP_E-15"/>
    <x v="0"/>
    <x v="18"/>
    <n v="1.76470588235294"/>
    <n v="644.11764705882297"/>
    <n v="2318.8235294117599"/>
  </r>
  <r>
    <x v="0"/>
    <x v="0"/>
    <x v="0"/>
    <x v="0"/>
    <x v="0"/>
    <s v="DK1_Small"/>
    <x v="7"/>
    <s v="GNR_ST_WOODCHI_BP_E-15"/>
    <x v="0"/>
    <x v="19"/>
    <n v="1.76470588235294"/>
    <n v="644.11764705882297"/>
    <n v="2318.8235294117599"/>
  </r>
  <r>
    <x v="0"/>
    <x v="0"/>
    <x v="0"/>
    <x v="0"/>
    <x v="0"/>
    <s v="DK1_Small"/>
    <x v="7"/>
    <s v="GNR_ST_WOODCHI_BP_E-15"/>
    <x v="0"/>
    <x v="20"/>
    <n v="1.76470588235294"/>
    <n v="644.11764705882297"/>
    <n v="2318.8235294117599"/>
  </r>
  <r>
    <x v="0"/>
    <x v="0"/>
    <x v="0"/>
    <x v="0"/>
    <x v="0"/>
    <s v="DK1_Small"/>
    <x v="7"/>
    <s v="GNR_ST_WOODCHI_BP_E-15"/>
    <x v="0"/>
    <x v="21"/>
    <n v="1.76470588235294"/>
    <n v="644.11764705882297"/>
    <n v="2318.8235294117599"/>
  </r>
  <r>
    <x v="0"/>
    <x v="0"/>
    <x v="0"/>
    <x v="0"/>
    <x v="0"/>
    <s v="DK1_Small"/>
    <x v="7"/>
    <s v="GNR_ST_WOODCHI_BP_E-15"/>
    <x v="0"/>
    <x v="22"/>
    <n v="1.76470588235294"/>
    <n v="644.11764705882297"/>
    <n v="2318.8235294117599"/>
  </r>
  <r>
    <x v="0"/>
    <x v="0"/>
    <x v="0"/>
    <x v="0"/>
    <x v="0"/>
    <s v="DK1_Small"/>
    <x v="7"/>
    <s v="GNR_ST_WOODCHI_BP_E-15"/>
    <x v="0"/>
    <x v="23"/>
    <n v="1.76470588235294"/>
    <n v="644.11764705882297"/>
    <n v="2318.8235294117599"/>
  </r>
  <r>
    <x v="0"/>
    <x v="0"/>
    <x v="0"/>
    <x v="0"/>
    <x v="0"/>
    <s v="DK1_Small"/>
    <x v="9"/>
    <s v="GNR_BO_WOODWST_E-100"/>
    <x v="0"/>
    <x v="0"/>
    <n v="1.75"/>
    <n v="638.75"/>
    <n v="2299.5"/>
  </r>
  <r>
    <x v="0"/>
    <x v="0"/>
    <x v="0"/>
    <x v="0"/>
    <x v="0"/>
    <s v="DK1_Small"/>
    <x v="9"/>
    <s v="GNR_BO_WOODWST_E-100"/>
    <x v="0"/>
    <x v="1"/>
    <n v="1.75"/>
    <n v="638.75"/>
    <n v="2299.5"/>
  </r>
  <r>
    <x v="0"/>
    <x v="0"/>
    <x v="0"/>
    <x v="0"/>
    <x v="0"/>
    <s v="DK1_Small"/>
    <x v="9"/>
    <s v="GNR_BO_WOODWST_E-100"/>
    <x v="0"/>
    <x v="2"/>
    <n v="1.75"/>
    <n v="638.75"/>
    <n v="2299.5"/>
  </r>
  <r>
    <x v="0"/>
    <x v="0"/>
    <x v="0"/>
    <x v="0"/>
    <x v="0"/>
    <s v="DK1_Small"/>
    <x v="9"/>
    <s v="GNR_BO_WOODWST_E-100"/>
    <x v="0"/>
    <x v="3"/>
    <n v="1.75"/>
    <n v="638.75"/>
    <n v="2299.5"/>
  </r>
  <r>
    <x v="0"/>
    <x v="0"/>
    <x v="0"/>
    <x v="0"/>
    <x v="0"/>
    <s v="DK1_Small"/>
    <x v="9"/>
    <s v="GNR_BO_WOODWST_E-100"/>
    <x v="0"/>
    <x v="4"/>
    <n v="1.75"/>
    <n v="638.75"/>
    <n v="2299.5"/>
  </r>
  <r>
    <x v="0"/>
    <x v="0"/>
    <x v="0"/>
    <x v="0"/>
    <x v="0"/>
    <s v="DK1_Small"/>
    <x v="9"/>
    <s v="GNR_BO_WOODWST_E-100"/>
    <x v="0"/>
    <x v="5"/>
    <n v="1.75"/>
    <n v="638.75"/>
    <n v="2299.5"/>
  </r>
  <r>
    <x v="0"/>
    <x v="0"/>
    <x v="0"/>
    <x v="0"/>
    <x v="0"/>
    <s v="DK1_Small"/>
    <x v="9"/>
    <s v="GNR_BO_WOODWST_E-100"/>
    <x v="0"/>
    <x v="6"/>
    <n v="1.75"/>
    <n v="638.75"/>
    <n v="2299.5"/>
  </r>
  <r>
    <x v="0"/>
    <x v="0"/>
    <x v="0"/>
    <x v="0"/>
    <x v="0"/>
    <s v="DK1_Small"/>
    <x v="9"/>
    <s v="GNR_BO_WOODWST_E-100"/>
    <x v="0"/>
    <x v="7"/>
    <n v="1.75"/>
    <n v="638.75"/>
    <n v="2299.5"/>
  </r>
  <r>
    <x v="0"/>
    <x v="0"/>
    <x v="0"/>
    <x v="0"/>
    <x v="0"/>
    <s v="DK1_Small"/>
    <x v="9"/>
    <s v="GNR_BO_WOODWST_E-100"/>
    <x v="0"/>
    <x v="8"/>
    <n v="1.75"/>
    <n v="638.75"/>
    <n v="2299.5"/>
  </r>
  <r>
    <x v="0"/>
    <x v="0"/>
    <x v="0"/>
    <x v="0"/>
    <x v="0"/>
    <s v="DK1_Small"/>
    <x v="9"/>
    <s v="GNR_BO_WOODWST_E-100"/>
    <x v="0"/>
    <x v="9"/>
    <n v="1.75"/>
    <n v="638.75"/>
    <n v="2299.5"/>
  </r>
  <r>
    <x v="0"/>
    <x v="0"/>
    <x v="0"/>
    <x v="0"/>
    <x v="0"/>
    <s v="DK1_Small"/>
    <x v="9"/>
    <s v="GNR_BO_WOODWST_E-100"/>
    <x v="0"/>
    <x v="10"/>
    <n v="1.75"/>
    <n v="638.75"/>
    <n v="2299.5"/>
  </r>
  <r>
    <x v="0"/>
    <x v="0"/>
    <x v="0"/>
    <x v="0"/>
    <x v="0"/>
    <s v="DK1_Small"/>
    <x v="9"/>
    <s v="GNR_BO_WOODWST_E-100"/>
    <x v="0"/>
    <x v="11"/>
    <n v="1.75"/>
    <n v="638.75"/>
    <n v="2299.5"/>
  </r>
  <r>
    <x v="0"/>
    <x v="0"/>
    <x v="0"/>
    <x v="0"/>
    <x v="0"/>
    <s v="DK1_Small"/>
    <x v="9"/>
    <s v="GNR_BO_WOODWST_E-100"/>
    <x v="0"/>
    <x v="12"/>
    <n v="1.75"/>
    <n v="638.75"/>
    <n v="2299.5"/>
  </r>
  <r>
    <x v="0"/>
    <x v="0"/>
    <x v="0"/>
    <x v="0"/>
    <x v="0"/>
    <s v="DK1_Small"/>
    <x v="9"/>
    <s v="GNR_BO_WOODWST_E-100"/>
    <x v="0"/>
    <x v="13"/>
    <n v="1.75"/>
    <n v="638.75"/>
    <n v="2299.5"/>
  </r>
  <r>
    <x v="0"/>
    <x v="0"/>
    <x v="0"/>
    <x v="0"/>
    <x v="0"/>
    <s v="DK1_Small"/>
    <x v="9"/>
    <s v="GNR_BO_WOODWST_E-100"/>
    <x v="0"/>
    <x v="14"/>
    <n v="1.75"/>
    <n v="638.75"/>
    <n v="2299.5"/>
  </r>
  <r>
    <x v="0"/>
    <x v="0"/>
    <x v="0"/>
    <x v="0"/>
    <x v="0"/>
    <s v="DK1_Small"/>
    <x v="9"/>
    <s v="GNR_BO_WOODWST_E-100"/>
    <x v="0"/>
    <x v="15"/>
    <n v="1.75"/>
    <n v="638.75"/>
    <n v="2299.5"/>
  </r>
  <r>
    <x v="0"/>
    <x v="0"/>
    <x v="0"/>
    <x v="0"/>
    <x v="0"/>
    <s v="DK1_Small"/>
    <x v="9"/>
    <s v="GNR_BO_WOODWST_E-100"/>
    <x v="0"/>
    <x v="16"/>
    <n v="1.75"/>
    <n v="638.75"/>
    <n v="2299.5"/>
  </r>
  <r>
    <x v="0"/>
    <x v="0"/>
    <x v="0"/>
    <x v="0"/>
    <x v="0"/>
    <s v="DK1_Small"/>
    <x v="9"/>
    <s v="GNR_BO_WOODWST_E-100"/>
    <x v="0"/>
    <x v="17"/>
    <n v="1.75"/>
    <n v="638.75"/>
    <n v="2299.5"/>
  </r>
  <r>
    <x v="0"/>
    <x v="0"/>
    <x v="0"/>
    <x v="0"/>
    <x v="0"/>
    <s v="DK1_Small"/>
    <x v="9"/>
    <s v="GNR_BO_WOODWST_E-100"/>
    <x v="0"/>
    <x v="18"/>
    <n v="1.75"/>
    <n v="638.75"/>
    <n v="2299.5"/>
  </r>
  <r>
    <x v="0"/>
    <x v="0"/>
    <x v="0"/>
    <x v="0"/>
    <x v="0"/>
    <s v="DK1_Small"/>
    <x v="9"/>
    <s v="GNR_BO_WOODWST_E-100"/>
    <x v="0"/>
    <x v="19"/>
    <n v="1.75"/>
    <n v="638.75"/>
    <n v="2299.5"/>
  </r>
  <r>
    <x v="0"/>
    <x v="0"/>
    <x v="0"/>
    <x v="0"/>
    <x v="0"/>
    <s v="DK1_Small"/>
    <x v="9"/>
    <s v="GNR_BO_WOODWST_E-100"/>
    <x v="0"/>
    <x v="20"/>
    <n v="1.75"/>
    <n v="638.75"/>
    <n v="2299.5"/>
  </r>
  <r>
    <x v="0"/>
    <x v="0"/>
    <x v="0"/>
    <x v="0"/>
    <x v="0"/>
    <s v="DK1_Small"/>
    <x v="9"/>
    <s v="GNR_BO_WOODWST_E-100"/>
    <x v="0"/>
    <x v="21"/>
    <n v="1.75"/>
    <n v="638.75"/>
    <n v="2299.5"/>
  </r>
  <r>
    <x v="0"/>
    <x v="0"/>
    <x v="0"/>
    <x v="0"/>
    <x v="0"/>
    <s v="DK1_Small"/>
    <x v="9"/>
    <s v="GNR_BO_WOODWST_E-100"/>
    <x v="0"/>
    <x v="22"/>
    <n v="1.75"/>
    <n v="638.75"/>
    <n v="2299.5"/>
  </r>
  <r>
    <x v="0"/>
    <x v="0"/>
    <x v="0"/>
    <x v="0"/>
    <x v="0"/>
    <s v="DK1_Small"/>
    <x v="9"/>
    <s v="GNR_BO_WOODWST_E-100"/>
    <x v="0"/>
    <x v="23"/>
    <n v="1.75"/>
    <n v="638.75"/>
    <n v="2299.5"/>
  </r>
  <r>
    <x v="0"/>
    <x v="0"/>
    <x v="0"/>
    <x v="0"/>
    <x v="0"/>
    <s v="DK1_Small"/>
    <x v="9"/>
    <s v="GNR_BO_WOODWST_E-89"/>
    <x v="0"/>
    <x v="0"/>
    <n v="1.778"/>
    <n v="648.97"/>
    <n v="2336.2919999999999"/>
  </r>
  <r>
    <x v="0"/>
    <x v="0"/>
    <x v="0"/>
    <x v="0"/>
    <x v="0"/>
    <s v="DK1_Small"/>
    <x v="9"/>
    <s v="GNR_BO_WOODWST_E-89"/>
    <x v="0"/>
    <x v="1"/>
    <n v="1.778"/>
    <n v="648.97"/>
    <n v="2336.2919999999999"/>
  </r>
  <r>
    <x v="0"/>
    <x v="0"/>
    <x v="0"/>
    <x v="0"/>
    <x v="0"/>
    <s v="DK1_Small"/>
    <x v="9"/>
    <s v="GNR_BO_WOODWST_E-89"/>
    <x v="0"/>
    <x v="2"/>
    <n v="1.778"/>
    <n v="648.97"/>
    <n v="2336.2919999999999"/>
  </r>
  <r>
    <x v="0"/>
    <x v="0"/>
    <x v="0"/>
    <x v="0"/>
    <x v="0"/>
    <s v="DK1_Small"/>
    <x v="9"/>
    <s v="GNR_BO_WOODWST_E-89"/>
    <x v="0"/>
    <x v="3"/>
    <n v="1.778"/>
    <n v="648.97"/>
    <n v="2336.2919999999999"/>
  </r>
  <r>
    <x v="0"/>
    <x v="0"/>
    <x v="0"/>
    <x v="0"/>
    <x v="0"/>
    <s v="DK1_Small"/>
    <x v="9"/>
    <s v="GNR_BO_WOODWST_E-89"/>
    <x v="0"/>
    <x v="4"/>
    <n v="1.778"/>
    <n v="648.97"/>
    <n v="2336.2919999999999"/>
  </r>
  <r>
    <x v="0"/>
    <x v="0"/>
    <x v="0"/>
    <x v="0"/>
    <x v="0"/>
    <s v="DK1_Small"/>
    <x v="9"/>
    <s v="GNR_BO_WOODWST_E-89"/>
    <x v="0"/>
    <x v="5"/>
    <n v="1.778"/>
    <n v="648.97"/>
    <n v="2336.2919999999999"/>
  </r>
  <r>
    <x v="0"/>
    <x v="0"/>
    <x v="0"/>
    <x v="0"/>
    <x v="0"/>
    <s v="DK1_Small"/>
    <x v="9"/>
    <s v="GNR_BO_WOODWST_E-89"/>
    <x v="0"/>
    <x v="6"/>
    <n v="1.778"/>
    <n v="648.97"/>
    <n v="2336.2919999999999"/>
  </r>
  <r>
    <x v="0"/>
    <x v="0"/>
    <x v="0"/>
    <x v="0"/>
    <x v="0"/>
    <s v="DK1_Small"/>
    <x v="9"/>
    <s v="GNR_BO_WOODWST_E-89"/>
    <x v="0"/>
    <x v="7"/>
    <n v="1.778"/>
    <n v="648.97"/>
    <n v="2336.2919999999999"/>
  </r>
  <r>
    <x v="0"/>
    <x v="0"/>
    <x v="0"/>
    <x v="0"/>
    <x v="0"/>
    <s v="DK1_Small"/>
    <x v="9"/>
    <s v="GNR_BO_WOODWST_E-89"/>
    <x v="0"/>
    <x v="8"/>
    <n v="1.778"/>
    <n v="648.97"/>
    <n v="2336.2919999999999"/>
  </r>
  <r>
    <x v="0"/>
    <x v="0"/>
    <x v="0"/>
    <x v="0"/>
    <x v="0"/>
    <s v="DK1_Small"/>
    <x v="9"/>
    <s v="GNR_BO_WOODWST_E-89"/>
    <x v="0"/>
    <x v="9"/>
    <n v="1.778"/>
    <n v="648.97"/>
    <n v="2336.2919999999999"/>
  </r>
  <r>
    <x v="0"/>
    <x v="0"/>
    <x v="0"/>
    <x v="0"/>
    <x v="0"/>
    <s v="DK1_Small"/>
    <x v="9"/>
    <s v="GNR_BO_WOODWST_E-89"/>
    <x v="0"/>
    <x v="10"/>
    <n v="1.778"/>
    <n v="648.97"/>
    <n v="2336.2919999999999"/>
  </r>
  <r>
    <x v="0"/>
    <x v="0"/>
    <x v="0"/>
    <x v="0"/>
    <x v="0"/>
    <s v="DK1_Small"/>
    <x v="9"/>
    <s v="GNR_BO_WOODWST_E-89"/>
    <x v="0"/>
    <x v="11"/>
    <n v="1.778"/>
    <n v="648.97"/>
    <n v="2336.2919999999999"/>
  </r>
  <r>
    <x v="0"/>
    <x v="0"/>
    <x v="0"/>
    <x v="0"/>
    <x v="0"/>
    <s v="DK1_Small"/>
    <x v="9"/>
    <s v="GNR_BO_WOODWST_E-89"/>
    <x v="0"/>
    <x v="12"/>
    <n v="1.778"/>
    <n v="648.97"/>
    <n v="2336.2919999999999"/>
  </r>
  <r>
    <x v="0"/>
    <x v="0"/>
    <x v="0"/>
    <x v="0"/>
    <x v="0"/>
    <s v="DK1_Small"/>
    <x v="9"/>
    <s v="GNR_BO_WOODWST_E-89"/>
    <x v="0"/>
    <x v="13"/>
    <n v="1.778"/>
    <n v="648.97"/>
    <n v="2336.2919999999999"/>
  </r>
  <r>
    <x v="0"/>
    <x v="0"/>
    <x v="0"/>
    <x v="0"/>
    <x v="0"/>
    <s v="DK1_Small"/>
    <x v="9"/>
    <s v="GNR_BO_WOODWST_E-89"/>
    <x v="0"/>
    <x v="14"/>
    <n v="1.778"/>
    <n v="648.97"/>
    <n v="2336.2919999999999"/>
  </r>
  <r>
    <x v="0"/>
    <x v="0"/>
    <x v="0"/>
    <x v="0"/>
    <x v="0"/>
    <s v="DK1_Small"/>
    <x v="9"/>
    <s v="GNR_BO_WOODWST_E-89"/>
    <x v="0"/>
    <x v="15"/>
    <n v="1.778"/>
    <n v="648.97"/>
    <n v="2336.2919999999999"/>
  </r>
  <r>
    <x v="0"/>
    <x v="0"/>
    <x v="0"/>
    <x v="0"/>
    <x v="0"/>
    <s v="DK1_Small"/>
    <x v="9"/>
    <s v="GNR_BO_WOODWST_E-89"/>
    <x v="0"/>
    <x v="16"/>
    <n v="1.778"/>
    <n v="648.97"/>
    <n v="2336.2919999999999"/>
  </r>
  <r>
    <x v="0"/>
    <x v="0"/>
    <x v="0"/>
    <x v="0"/>
    <x v="0"/>
    <s v="DK1_Small"/>
    <x v="9"/>
    <s v="GNR_BO_WOODWST_E-89"/>
    <x v="0"/>
    <x v="17"/>
    <n v="1.778"/>
    <n v="648.97"/>
    <n v="2336.2919999999999"/>
  </r>
  <r>
    <x v="0"/>
    <x v="0"/>
    <x v="0"/>
    <x v="0"/>
    <x v="0"/>
    <s v="DK1_Small"/>
    <x v="9"/>
    <s v="GNR_BO_WOODWST_E-89"/>
    <x v="0"/>
    <x v="18"/>
    <n v="1.778"/>
    <n v="648.97"/>
    <n v="2336.2919999999999"/>
  </r>
  <r>
    <x v="0"/>
    <x v="0"/>
    <x v="0"/>
    <x v="0"/>
    <x v="0"/>
    <s v="DK1_Small"/>
    <x v="9"/>
    <s v="GNR_BO_WOODWST_E-89"/>
    <x v="0"/>
    <x v="19"/>
    <n v="1.778"/>
    <n v="648.97"/>
    <n v="2336.2919999999999"/>
  </r>
  <r>
    <x v="0"/>
    <x v="0"/>
    <x v="0"/>
    <x v="0"/>
    <x v="0"/>
    <s v="DK1_Small"/>
    <x v="9"/>
    <s v="GNR_BO_WOODWST_E-89"/>
    <x v="0"/>
    <x v="20"/>
    <n v="1.778"/>
    <n v="648.97"/>
    <n v="2336.2919999999999"/>
  </r>
  <r>
    <x v="0"/>
    <x v="0"/>
    <x v="0"/>
    <x v="0"/>
    <x v="0"/>
    <s v="DK1_Small"/>
    <x v="9"/>
    <s v="GNR_BO_WOODWST_E-89"/>
    <x v="0"/>
    <x v="21"/>
    <n v="1.778"/>
    <n v="648.97"/>
    <n v="2336.2919999999999"/>
  </r>
  <r>
    <x v="0"/>
    <x v="0"/>
    <x v="0"/>
    <x v="0"/>
    <x v="0"/>
    <s v="DK1_Small"/>
    <x v="9"/>
    <s v="GNR_BO_WOODWST_E-89"/>
    <x v="0"/>
    <x v="22"/>
    <n v="1.778"/>
    <n v="648.97"/>
    <n v="2336.2919999999999"/>
  </r>
  <r>
    <x v="0"/>
    <x v="0"/>
    <x v="0"/>
    <x v="0"/>
    <x v="0"/>
    <s v="DK1_Small"/>
    <x v="9"/>
    <s v="GNR_BO_WOODWST_E-89"/>
    <x v="0"/>
    <x v="23"/>
    <n v="1.778"/>
    <n v="648.97"/>
    <n v="2336.2919999999999"/>
  </r>
  <r>
    <x v="0"/>
    <x v="0"/>
    <x v="0"/>
    <x v="0"/>
    <x v="1"/>
    <s v="DK2_Large"/>
    <x v="0"/>
    <s v="GNR_BO_BGAS_E-90"/>
    <x v="0"/>
    <x v="0"/>
    <n v="12"/>
    <n v="4380"/>
    <n v="15768"/>
  </r>
  <r>
    <x v="0"/>
    <x v="0"/>
    <x v="0"/>
    <x v="0"/>
    <x v="1"/>
    <s v="DK2_Large"/>
    <x v="0"/>
    <s v="GNR_BO_BGAS_E-90"/>
    <x v="0"/>
    <x v="1"/>
    <n v="12"/>
    <n v="4380"/>
    <n v="15768"/>
  </r>
  <r>
    <x v="0"/>
    <x v="0"/>
    <x v="0"/>
    <x v="0"/>
    <x v="1"/>
    <s v="DK2_Large"/>
    <x v="0"/>
    <s v="GNR_BO_BGAS_E-90"/>
    <x v="0"/>
    <x v="2"/>
    <n v="12"/>
    <n v="4380"/>
    <n v="15768"/>
  </r>
  <r>
    <x v="0"/>
    <x v="0"/>
    <x v="0"/>
    <x v="0"/>
    <x v="1"/>
    <s v="DK2_Large"/>
    <x v="0"/>
    <s v="GNR_BO_BGAS_E-90"/>
    <x v="0"/>
    <x v="3"/>
    <n v="12"/>
    <n v="4380"/>
    <n v="15768"/>
  </r>
  <r>
    <x v="0"/>
    <x v="0"/>
    <x v="0"/>
    <x v="0"/>
    <x v="1"/>
    <s v="DK2_Large"/>
    <x v="0"/>
    <s v="GNR_BO_BGAS_E-90"/>
    <x v="0"/>
    <x v="4"/>
    <n v="12"/>
    <n v="4380"/>
    <n v="15768"/>
  </r>
  <r>
    <x v="0"/>
    <x v="0"/>
    <x v="0"/>
    <x v="0"/>
    <x v="1"/>
    <s v="DK2_Large"/>
    <x v="0"/>
    <s v="GNR_BO_BGAS_E-90"/>
    <x v="0"/>
    <x v="5"/>
    <n v="12"/>
    <n v="4380"/>
    <n v="15768"/>
  </r>
  <r>
    <x v="0"/>
    <x v="0"/>
    <x v="0"/>
    <x v="0"/>
    <x v="1"/>
    <s v="DK2_Large"/>
    <x v="0"/>
    <s v="GNR_BO_BGAS_E-90"/>
    <x v="0"/>
    <x v="6"/>
    <n v="12"/>
    <n v="4380"/>
    <n v="15768"/>
  </r>
  <r>
    <x v="0"/>
    <x v="0"/>
    <x v="0"/>
    <x v="0"/>
    <x v="1"/>
    <s v="DK2_Large"/>
    <x v="0"/>
    <s v="GNR_BO_BGAS_E-90"/>
    <x v="0"/>
    <x v="7"/>
    <n v="12"/>
    <n v="4380"/>
    <n v="15768"/>
  </r>
  <r>
    <x v="0"/>
    <x v="0"/>
    <x v="0"/>
    <x v="0"/>
    <x v="1"/>
    <s v="DK2_Large"/>
    <x v="0"/>
    <s v="GNR_BO_BGAS_E-90"/>
    <x v="0"/>
    <x v="8"/>
    <n v="12"/>
    <n v="4380"/>
    <n v="15768"/>
  </r>
  <r>
    <x v="0"/>
    <x v="0"/>
    <x v="0"/>
    <x v="0"/>
    <x v="1"/>
    <s v="DK2_Large"/>
    <x v="0"/>
    <s v="GNR_BO_BGAS_E-90"/>
    <x v="0"/>
    <x v="9"/>
    <n v="12"/>
    <n v="4380"/>
    <n v="15768"/>
  </r>
  <r>
    <x v="0"/>
    <x v="0"/>
    <x v="0"/>
    <x v="0"/>
    <x v="1"/>
    <s v="DK2_Large"/>
    <x v="0"/>
    <s v="GNR_BO_BGAS_E-90"/>
    <x v="0"/>
    <x v="10"/>
    <n v="12"/>
    <n v="4380"/>
    <n v="15768"/>
  </r>
  <r>
    <x v="0"/>
    <x v="0"/>
    <x v="0"/>
    <x v="0"/>
    <x v="1"/>
    <s v="DK2_Large"/>
    <x v="0"/>
    <s v="GNR_BO_BGAS_E-90"/>
    <x v="0"/>
    <x v="11"/>
    <n v="12"/>
    <n v="4380"/>
    <n v="15768"/>
  </r>
  <r>
    <x v="0"/>
    <x v="0"/>
    <x v="0"/>
    <x v="0"/>
    <x v="1"/>
    <s v="DK2_Large"/>
    <x v="0"/>
    <s v="GNR_BO_BGAS_E-90"/>
    <x v="0"/>
    <x v="12"/>
    <n v="12"/>
    <n v="4380"/>
    <n v="15768"/>
  </r>
  <r>
    <x v="0"/>
    <x v="0"/>
    <x v="0"/>
    <x v="0"/>
    <x v="1"/>
    <s v="DK2_Large"/>
    <x v="0"/>
    <s v="GNR_BO_BGAS_E-90"/>
    <x v="0"/>
    <x v="13"/>
    <n v="12"/>
    <n v="4380"/>
    <n v="15768"/>
  </r>
  <r>
    <x v="0"/>
    <x v="0"/>
    <x v="0"/>
    <x v="0"/>
    <x v="1"/>
    <s v="DK2_Large"/>
    <x v="0"/>
    <s v="GNR_BO_BGAS_E-90"/>
    <x v="0"/>
    <x v="14"/>
    <n v="12"/>
    <n v="4380"/>
    <n v="15768"/>
  </r>
  <r>
    <x v="0"/>
    <x v="0"/>
    <x v="0"/>
    <x v="0"/>
    <x v="1"/>
    <s v="DK2_Large"/>
    <x v="0"/>
    <s v="GNR_BO_BGAS_E-90"/>
    <x v="0"/>
    <x v="15"/>
    <n v="12"/>
    <n v="4380"/>
    <n v="15768"/>
  </r>
  <r>
    <x v="0"/>
    <x v="0"/>
    <x v="0"/>
    <x v="0"/>
    <x v="1"/>
    <s v="DK2_Large"/>
    <x v="0"/>
    <s v="GNR_BO_BGAS_E-90"/>
    <x v="0"/>
    <x v="16"/>
    <n v="12"/>
    <n v="4380"/>
    <n v="15768"/>
  </r>
  <r>
    <x v="0"/>
    <x v="0"/>
    <x v="0"/>
    <x v="0"/>
    <x v="1"/>
    <s v="DK2_Large"/>
    <x v="0"/>
    <s v="GNR_BO_BGAS_E-90"/>
    <x v="0"/>
    <x v="17"/>
    <n v="12"/>
    <n v="4380"/>
    <n v="15768"/>
  </r>
  <r>
    <x v="0"/>
    <x v="0"/>
    <x v="0"/>
    <x v="0"/>
    <x v="1"/>
    <s v="DK2_Large"/>
    <x v="0"/>
    <s v="GNR_BO_BGAS_E-90"/>
    <x v="0"/>
    <x v="18"/>
    <n v="12"/>
    <n v="4380"/>
    <n v="15768"/>
  </r>
  <r>
    <x v="0"/>
    <x v="0"/>
    <x v="0"/>
    <x v="0"/>
    <x v="1"/>
    <s v="DK2_Large"/>
    <x v="0"/>
    <s v="GNR_BO_BGAS_E-90"/>
    <x v="0"/>
    <x v="19"/>
    <n v="12"/>
    <n v="4380"/>
    <n v="15768"/>
  </r>
  <r>
    <x v="0"/>
    <x v="0"/>
    <x v="0"/>
    <x v="0"/>
    <x v="1"/>
    <s v="DK2_Large"/>
    <x v="0"/>
    <s v="GNR_BO_BGAS_E-90"/>
    <x v="0"/>
    <x v="20"/>
    <n v="12"/>
    <n v="4380"/>
    <n v="15768"/>
  </r>
  <r>
    <x v="0"/>
    <x v="0"/>
    <x v="0"/>
    <x v="0"/>
    <x v="1"/>
    <s v="DK2_Large"/>
    <x v="0"/>
    <s v="GNR_BO_BGAS_E-90"/>
    <x v="0"/>
    <x v="21"/>
    <n v="12"/>
    <n v="4380"/>
    <n v="15768"/>
  </r>
  <r>
    <x v="0"/>
    <x v="0"/>
    <x v="0"/>
    <x v="0"/>
    <x v="1"/>
    <s v="DK2_Large"/>
    <x v="0"/>
    <s v="GNR_BO_BGAS_E-90"/>
    <x v="0"/>
    <x v="22"/>
    <n v="12"/>
    <n v="4380"/>
    <n v="15768"/>
  </r>
  <r>
    <x v="0"/>
    <x v="0"/>
    <x v="0"/>
    <x v="0"/>
    <x v="1"/>
    <s v="DK2_Large"/>
    <x v="0"/>
    <s v="GNR_BO_BGAS_E-90"/>
    <x v="0"/>
    <x v="23"/>
    <n v="12"/>
    <n v="4380"/>
    <n v="15768"/>
  </r>
  <r>
    <x v="0"/>
    <x v="0"/>
    <x v="0"/>
    <x v="0"/>
    <x v="1"/>
    <s v="DK2_Large"/>
    <x v="0"/>
    <s v="GNR_BO_BGAS_E-95"/>
    <x v="0"/>
    <x v="0"/>
    <n v="0.76"/>
    <n v="277.39999999999998"/>
    <n v="998.64"/>
  </r>
  <r>
    <x v="0"/>
    <x v="0"/>
    <x v="0"/>
    <x v="0"/>
    <x v="1"/>
    <s v="DK2_Large"/>
    <x v="0"/>
    <s v="GNR_BO_BGAS_E-95"/>
    <x v="0"/>
    <x v="1"/>
    <n v="0.76"/>
    <n v="277.39999999999998"/>
    <n v="998.64"/>
  </r>
  <r>
    <x v="0"/>
    <x v="0"/>
    <x v="0"/>
    <x v="0"/>
    <x v="1"/>
    <s v="DK2_Large"/>
    <x v="0"/>
    <s v="GNR_BO_BGAS_E-95"/>
    <x v="0"/>
    <x v="2"/>
    <n v="0.76"/>
    <n v="277.39999999999998"/>
    <n v="998.64"/>
  </r>
  <r>
    <x v="0"/>
    <x v="0"/>
    <x v="0"/>
    <x v="0"/>
    <x v="1"/>
    <s v="DK2_Large"/>
    <x v="0"/>
    <s v="GNR_BO_BGAS_E-95"/>
    <x v="0"/>
    <x v="3"/>
    <n v="0.76"/>
    <n v="277.39999999999998"/>
    <n v="998.64"/>
  </r>
  <r>
    <x v="0"/>
    <x v="0"/>
    <x v="0"/>
    <x v="0"/>
    <x v="1"/>
    <s v="DK2_Large"/>
    <x v="0"/>
    <s v="GNR_BO_BGAS_E-95"/>
    <x v="0"/>
    <x v="4"/>
    <n v="0.76"/>
    <n v="277.39999999999998"/>
    <n v="998.64"/>
  </r>
  <r>
    <x v="0"/>
    <x v="0"/>
    <x v="0"/>
    <x v="0"/>
    <x v="1"/>
    <s v="DK2_Large"/>
    <x v="0"/>
    <s v="GNR_BO_BGAS_E-95"/>
    <x v="0"/>
    <x v="5"/>
    <n v="0.76"/>
    <n v="277.39999999999998"/>
    <n v="998.64"/>
  </r>
  <r>
    <x v="0"/>
    <x v="0"/>
    <x v="0"/>
    <x v="0"/>
    <x v="1"/>
    <s v="DK2_Large"/>
    <x v="0"/>
    <s v="GNR_BO_BGAS_E-95"/>
    <x v="0"/>
    <x v="6"/>
    <n v="0.76"/>
    <n v="277.39999999999998"/>
    <n v="998.64"/>
  </r>
  <r>
    <x v="0"/>
    <x v="0"/>
    <x v="0"/>
    <x v="0"/>
    <x v="1"/>
    <s v="DK2_Large"/>
    <x v="0"/>
    <s v="GNR_BO_BGAS_E-95"/>
    <x v="0"/>
    <x v="7"/>
    <n v="0.76"/>
    <n v="277.39999999999998"/>
    <n v="998.64"/>
  </r>
  <r>
    <x v="0"/>
    <x v="0"/>
    <x v="0"/>
    <x v="0"/>
    <x v="1"/>
    <s v="DK2_Large"/>
    <x v="0"/>
    <s v="GNR_BO_BGAS_E-95"/>
    <x v="0"/>
    <x v="8"/>
    <n v="0.76"/>
    <n v="277.39999999999998"/>
    <n v="998.64"/>
  </r>
  <r>
    <x v="0"/>
    <x v="0"/>
    <x v="0"/>
    <x v="0"/>
    <x v="1"/>
    <s v="DK2_Large"/>
    <x v="0"/>
    <s v="GNR_BO_BGAS_E-95"/>
    <x v="0"/>
    <x v="9"/>
    <n v="0.76"/>
    <n v="277.39999999999998"/>
    <n v="998.64"/>
  </r>
  <r>
    <x v="0"/>
    <x v="0"/>
    <x v="0"/>
    <x v="0"/>
    <x v="1"/>
    <s v="DK2_Large"/>
    <x v="0"/>
    <s v="GNR_BO_BGAS_E-95"/>
    <x v="0"/>
    <x v="10"/>
    <n v="0.76"/>
    <n v="277.39999999999998"/>
    <n v="998.64"/>
  </r>
  <r>
    <x v="0"/>
    <x v="0"/>
    <x v="0"/>
    <x v="0"/>
    <x v="1"/>
    <s v="DK2_Large"/>
    <x v="0"/>
    <s v="GNR_BO_BGAS_E-95"/>
    <x v="0"/>
    <x v="11"/>
    <n v="0.76"/>
    <n v="277.39999999999998"/>
    <n v="998.64"/>
  </r>
  <r>
    <x v="0"/>
    <x v="0"/>
    <x v="0"/>
    <x v="0"/>
    <x v="1"/>
    <s v="DK2_Large"/>
    <x v="0"/>
    <s v="GNR_BO_BGAS_E-95"/>
    <x v="0"/>
    <x v="12"/>
    <n v="0.76"/>
    <n v="277.39999999999998"/>
    <n v="998.64"/>
  </r>
  <r>
    <x v="0"/>
    <x v="0"/>
    <x v="0"/>
    <x v="0"/>
    <x v="1"/>
    <s v="DK2_Large"/>
    <x v="0"/>
    <s v="GNR_BO_BGAS_E-95"/>
    <x v="0"/>
    <x v="13"/>
    <n v="0.76"/>
    <n v="277.39999999999998"/>
    <n v="998.64"/>
  </r>
  <r>
    <x v="0"/>
    <x v="0"/>
    <x v="0"/>
    <x v="0"/>
    <x v="1"/>
    <s v="DK2_Large"/>
    <x v="0"/>
    <s v="GNR_BO_BGAS_E-95"/>
    <x v="0"/>
    <x v="14"/>
    <n v="0.76"/>
    <n v="277.39999999999998"/>
    <n v="998.64"/>
  </r>
  <r>
    <x v="0"/>
    <x v="0"/>
    <x v="0"/>
    <x v="0"/>
    <x v="1"/>
    <s v="DK2_Large"/>
    <x v="0"/>
    <s v="GNR_BO_BGAS_E-95"/>
    <x v="0"/>
    <x v="15"/>
    <n v="0.76"/>
    <n v="277.39999999999998"/>
    <n v="998.64"/>
  </r>
  <r>
    <x v="0"/>
    <x v="0"/>
    <x v="0"/>
    <x v="0"/>
    <x v="1"/>
    <s v="DK2_Large"/>
    <x v="0"/>
    <s v="GNR_BO_BGAS_E-95"/>
    <x v="0"/>
    <x v="16"/>
    <n v="0.76"/>
    <n v="277.39999999999998"/>
    <n v="998.64"/>
  </r>
  <r>
    <x v="0"/>
    <x v="0"/>
    <x v="0"/>
    <x v="0"/>
    <x v="1"/>
    <s v="DK2_Large"/>
    <x v="0"/>
    <s v="GNR_BO_BGAS_E-95"/>
    <x v="0"/>
    <x v="17"/>
    <n v="0.76"/>
    <n v="277.39999999999998"/>
    <n v="998.64"/>
  </r>
  <r>
    <x v="0"/>
    <x v="0"/>
    <x v="0"/>
    <x v="0"/>
    <x v="1"/>
    <s v="DK2_Large"/>
    <x v="0"/>
    <s v="GNR_BO_BGAS_E-95"/>
    <x v="0"/>
    <x v="18"/>
    <n v="0.76"/>
    <n v="277.39999999999998"/>
    <n v="998.64"/>
  </r>
  <r>
    <x v="0"/>
    <x v="0"/>
    <x v="0"/>
    <x v="0"/>
    <x v="1"/>
    <s v="DK2_Large"/>
    <x v="0"/>
    <s v="GNR_BO_BGAS_E-95"/>
    <x v="0"/>
    <x v="19"/>
    <n v="0.76"/>
    <n v="277.39999999999998"/>
    <n v="998.64"/>
  </r>
  <r>
    <x v="0"/>
    <x v="0"/>
    <x v="0"/>
    <x v="0"/>
    <x v="1"/>
    <s v="DK2_Large"/>
    <x v="0"/>
    <s v="GNR_BO_BGAS_E-95"/>
    <x v="0"/>
    <x v="20"/>
    <n v="0.76"/>
    <n v="277.39999999999998"/>
    <n v="998.64"/>
  </r>
  <r>
    <x v="0"/>
    <x v="0"/>
    <x v="0"/>
    <x v="0"/>
    <x v="1"/>
    <s v="DK2_Large"/>
    <x v="0"/>
    <s v="GNR_BO_BGAS_E-95"/>
    <x v="0"/>
    <x v="21"/>
    <n v="0.76"/>
    <n v="277.39999999999998"/>
    <n v="998.64"/>
  </r>
  <r>
    <x v="0"/>
    <x v="0"/>
    <x v="0"/>
    <x v="0"/>
    <x v="1"/>
    <s v="DK2_Large"/>
    <x v="0"/>
    <s v="GNR_BO_BGAS_E-95"/>
    <x v="0"/>
    <x v="22"/>
    <n v="0.76"/>
    <n v="277.39999999999998"/>
    <n v="998.64"/>
  </r>
  <r>
    <x v="0"/>
    <x v="0"/>
    <x v="0"/>
    <x v="0"/>
    <x v="1"/>
    <s v="DK2_Large"/>
    <x v="0"/>
    <s v="GNR_BO_BGAS_E-95"/>
    <x v="0"/>
    <x v="23"/>
    <n v="0.76"/>
    <n v="277.39999999999998"/>
    <n v="998.64"/>
  </r>
  <r>
    <x v="0"/>
    <x v="0"/>
    <x v="0"/>
    <x v="0"/>
    <x v="1"/>
    <s v="DK2_Large"/>
    <x v="0"/>
    <s v="GNR_ENG_BGAS_BP_E-38"/>
    <x v="0"/>
    <x v="0"/>
    <n v="0.73170731707317105"/>
    <n v="267.07317073170702"/>
    <n v="961.46341463414603"/>
  </r>
  <r>
    <x v="0"/>
    <x v="0"/>
    <x v="0"/>
    <x v="0"/>
    <x v="1"/>
    <s v="DK2_Large"/>
    <x v="0"/>
    <s v="GNR_ENG_BGAS_BP_E-38"/>
    <x v="0"/>
    <x v="1"/>
    <n v="0.73170731707317105"/>
    <n v="267.07317073170702"/>
    <n v="961.46341463414603"/>
  </r>
  <r>
    <x v="0"/>
    <x v="0"/>
    <x v="0"/>
    <x v="0"/>
    <x v="1"/>
    <s v="DK2_Large"/>
    <x v="0"/>
    <s v="GNR_ENG_BGAS_BP_E-38"/>
    <x v="0"/>
    <x v="2"/>
    <n v="0.73170731707317105"/>
    <n v="267.07317073170702"/>
    <n v="961.46341463414603"/>
  </r>
  <r>
    <x v="0"/>
    <x v="0"/>
    <x v="0"/>
    <x v="0"/>
    <x v="1"/>
    <s v="DK2_Large"/>
    <x v="0"/>
    <s v="GNR_ENG_BGAS_BP_E-38"/>
    <x v="0"/>
    <x v="3"/>
    <n v="0.73170731707317105"/>
    <n v="267.07317073170702"/>
    <n v="961.46341463414603"/>
  </r>
  <r>
    <x v="0"/>
    <x v="0"/>
    <x v="0"/>
    <x v="0"/>
    <x v="1"/>
    <s v="DK2_Large"/>
    <x v="0"/>
    <s v="GNR_ENG_BGAS_BP_E-38"/>
    <x v="0"/>
    <x v="4"/>
    <n v="0.73170731707317105"/>
    <n v="267.07317073170702"/>
    <n v="961.46341463414603"/>
  </r>
  <r>
    <x v="0"/>
    <x v="0"/>
    <x v="0"/>
    <x v="0"/>
    <x v="1"/>
    <s v="DK2_Large"/>
    <x v="0"/>
    <s v="GNR_ENG_BGAS_BP_E-38"/>
    <x v="0"/>
    <x v="5"/>
    <n v="0.73170731707317105"/>
    <n v="267.07317073170702"/>
    <n v="961.46341463414603"/>
  </r>
  <r>
    <x v="0"/>
    <x v="0"/>
    <x v="0"/>
    <x v="0"/>
    <x v="1"/>
    <s v="DK2_Large"/>
    <x v="0"/>
    <s v="GNR_ENG_BGAS_BP_E-38"/>
    <x v="0"/>
    <x v="6"/>
    <n v="0.73170731707317105"/>
    <n v="267.07317073170702"/>
    <n v="961.46341463414603"/>
  </r>
  <r>
    <x v="0"/>
    <x v="0"/>
    <x v="0"/>
    <x v="0"/>
    <x v="1"/>
    <s v="DK2_Large"/>
    <x v="0"/>
    <s v="GNR_ENG_BGAS_BP_E-38"/>
    <x v="0"/>
    <x v="7"/>
    <n v="0.73170731707317105"/>
    <n v="267.07317073170702"/>
    <n v="961.46341463414603"/>
  </r>
  <r>
    <x v="0"/>
    <x v="0"/>
    <x v="0"/>
    <x v="0"/>
    <x v="1"/>
    <s v="DK2_Large"/>
    <x v="0"/>
    <s v="GNR_ENG_BGAS_BP_E-38"/>
    <x v="0"/>
    <x v="8"/>
    <n v="0.73170731707317105"/>
    <n v="267.07317073170702"/>
    <n v="961.46341463414603"/>
  </r>
  <r>
    <x v="0"/>
    <x v="0"/>
    <x v="0"/>
    <x v="0"/>
    <x v="1"/>
    <s v="DK2_Large"/>
    <x v="0"/>
    <s v="GNR_ENG_BGAS_BP_E-38"/>
    <x v="0"/>
    <x v="9"/>
    <n v="0.73170731707317105"/>
    <n v="267.07317073170702"/>
    <n v="961.46341463414603"/>
  </r>
  <r>
    <x v="0"/>
    <x v="0"/>
    <x v="0"/>
    <x v="0"/>
    <x v="1"/>
    <s v="DK2_Large"/>
    <x v="0"/>
    <s v="GNR_ENG_BGAS_BP_E-38"/>
    <x v="0"/>
    <x v="10"/>
    <n v="0.73170731707317105"/>
    <n v="267.07317073170702"/>
    <n v="961.46341463414603"/>
  </r>
  <r>
    <x v="0"/>
    <x v="0"/>
    <x v="0"/>
    <x v="0"/>
    <x v="1"/>
    <s v="DK2_Large"/>
    <x v="0"/>
    <s v="GNR_ENG_BGAS_BP_E-38"/>
    <x v="0"/>
    <x v="11"/>
    <n v="0.73170731707317105"/>
    <n v="267.07317073170702"/>
    <n v="961.46341463414603"/>
  </r>
  <r>
    <x v="0"/>
    <x v="0"/>
    <x v="0"/>
    <x v="0"/>
    <x v="1"/>
    <s v="DK2_Large"/>
    <x v="0"/>
    <s v="GNR_ENG_BGAS_BP_E-38"/>
    <x v="0"/>
    <x v="12"/>
    <n v="0.73170731707317105"/>
    <n v="267.07317073170702"/>
    <n v="961.46341463414603"/>
  </r>
  <r>
    <x v="0"/>
    <x v="0"/>
    <x v="0"/>
    <x v="0"/>
    <x v="1"/>
    <s v="DK2_Large"/>
    <x v="0"/>
    <s v="GNR_ENG_BGAS_BP_E-38"/>
    <x v="0"/>
    <x v="13"/>
    <n v="0.73170731707317105"/>
    <n v="267.07317073170702"/>
    <n v="961.46341463414603"/>
  </r>
  <r>
    <x v="0"/>
    <x v="0"/>
    <x v="0"/>
    <x v="0"/>
    <x v="1"/>
    <s v="DK2_Large"/>
    <x v="0"/>
    <s v="GNR_ENG_BGAS_BP_E-38"/>
    <x v="0"/>
    <x v="14"/>
    <n v="0.73170731707317105"/>
    <n v="267.07317073170702"/>
    <n v="961.46341463414603"/>
  </r>
  <r>
    <x v="0"/>
    <x v="0"/>
    <x v="0"/>
    <x v="0"/>
    <x v="1"/>
    <s v="DK2_Large"/>
    <x v="0"/>
    <s v="GNR_ENG_BGAS_BP_E-38"/>
    <x v="0"/>
    <x v="15"/>
    <n v="0.73170731707317105"/>
    <n v="267.07317073170702"/>
    <n v="961.46341463414603"/>
  </r>
  <r>
    <x v="0"/>
    <x v="0"/>
    <x v="0"/>
    <x v="0"/>
    <x v="1"/>
    <s v="DK2_Large"/>
    <x v="0"/>
    <s v="GNR_ENG_BGAS_BP_E-38"/>
    <x v="0"/>
    <x v="16"/>
    <n v="0.73170731707317105"/>
    <n v="267.07317073170702"/>
    <n v="961.46341463414603"/>
  </r>
  <r>
    <x v="0"/>
    <x v="0"/>
    <x v="0"/>
    <x v="0"/>
    <x v="1"/>
    <s v="DK2_Large"/>
    <x v="0"/>
    <s v="GNR_ENG_BGAS_BP_E-38"/>
    <x v="0"/>
    <x v="17"/>
    <n v="0.73170731707317105"/>
    <n v="267.07317073170702"/>
    <n v="961.46341463414603"/>
  </r>
  <r>
    <x v="0"/>
    <x v="0"/>
    <x v="0"/>
    <x v="0"/>
    <x v="1"/>
    <s v="DK2_Large"/>
    <x v="0"/>
    <s v="GNR_ENG_BGAS_BP_E-38"/>
    <x v="0"/>
    <x v="18"/>
    <n v="0.73170731707317105"/>
    <n v="267.07317073170702"/>
    <n v="961.46341463414603"/>
  </r>
  <r>
    <x v="0"/>
    <x v="0"/>
    <x v="0"/>
    <x v="0"/>
    <x v="1"/>
    <s v="DK2_Large"/>
    <x v="0"/>
    <s v="GNR_ENG_BGAS_BP_E-38"/>
    <x v="0"/>
    <x v="19"/>
    <n v="0.73170731707317105"/>
    <n v="267.07317073170702"/>
    <n v="961.46341463414603"/>
  </r>
  <r>
    <x v="0"/>
    <x v="0"/>
    <x v="0"/>
    <x v="0"/>
    <x v="1"/>
    <s v="DK2_Large"/>
    <x v="0"/>
    <s v="GNR_ENG_BGAS_BP_E-38"/>
    <x v="0"/>
    <x v="20"/>
    <n v="0.73170731707317105"/>
    <n v="267.07317073170702"/>
    <n v="961.46341463414603"/>
  </r>
  <r>
    <x v="0"/>
    <x v="0"/>
    <x v="0"/>
    <x v="0"/>
    <x v="1"/>
    <s v="DK2_Large"/>
    <x v="0"/>
    <s v="GNR_ENG_BGAS_BP_E-38"/>
    <x v="0"/>
    <x v="21"/>
    <n v="0.73170731707317105"/>
    <n v="267.07317073170702"/>
    <n v="961.46341463414603"/>
  </r>
  <r>
    <x v="0"/>
    <x v="0"/>
    <x v="0"/>
    <x v="0"/>
    <x v="1"/>
    <s v="DK2_Large"/>
    <x v="0"/>
    <s v="GNR_ENG_BGAS_BP_E-38"/>
    <x v="0"/>
    <x v="22"/>
    <n v="0.73170731707317105"/>
    <n v="267.07317073170702"/>
    <n v="961.46341463414603"/>
  </r>
  <r>
    <x v="0"/>
    <x v="0"/>
    <x v="0"/>
    <x v="0"/>
    <x v="1"/>
    <s v="DK2_Large"/>
    <x v="0"/>
    <s v="GNR_ENG_BGAS_BP_E-38"/>
    <x v="0"/>
    <x v="23"/>
    <n v="0.73170731707317105"/>
    <n v="267.07317073170702"/>
    <n v="961.46341463414603"/>
  </r>
  <r>
    <x v="0"/>
    <x v="0"/>
    <x v="0"/>
    <x v="0"/>
    <x v="1"/>
    <s v="DK2_Large"/>
    <x v="0"/>
    <s v="GNR_ENG_BGAS_BP_E-42"/>
    <x v="0"/>
    <x v="0"/>
    <n v="3.7158536585365902"/>
    <n v="1356.28658536585"/>
    <n v="4882.6317073170703"/>
  </r>
  <r>
    <x v="0"/>
    <x v="0"/>
    <x v="0"/>
    <x v="0"/>
    <x v="1"/>
    <s v="DK2_Large"/>
    <x v="0"/>
    <s v="GNR_ENG_BGAS_BP_E-42"/>
    <x v="0"/>
    <x v="1"/>
    <n v="3.7158536585365902"/>
    <n v="1356.28658536585"/>
    <n v="4882.6317073170703"/>
  </r>
  <r>
    <x v="0"/>
    <x v="0"/>
    <x v="0"/>
    <x v="0"/>
    <x v="1"/>
    <s v="DK2_Large"/>
    <x v="0"/>
    <s v="GNR_ENG_BGAS_BP_E-42"/>
    <x v="0"/>
    <x v="2"/>
    <n v="3.7158536585365902"/>
    <n v="1356.28658536585"/>
    <n v="4882.6317073170703"/>
  </r>
  <r>
    <x v="0"/>
    <x v="0"/>
    <x v="0"/>
    <x v="0"/>
    <x v="1"/>
    <s v="DK2_Large"/>
    <x v="0"/>
    <s v="GNR_ENG_BGAS_BP_E-42"/>
    <x v="0"/>
    <x v="3"/>
    <n v="3.7158536585365902"/>
    <n v="1356.28658536585"/>
    <n v="4882.6317073170703"/>
  </r>
  <r>
    <x v="0"/>
    <x v="0"/>
    <x v="0"/>
    <x v="0"/>
    <x v="1"/>
    <s v="DK2_Large"/>
    <x v="0"/>
    <s v="GNR_ENG_BGAS_BP_E-42"/>
    <x v="0"/>
    <x v="4"/>
    <n v="3.7158536585365902"/>
    <n v="1356.28658536585"/>
    <n v="4882.6317073170703"/>
  </r>
  <r>
    <x v="0"/>
    <x v="0"/>
    <x v="0"/>
    <x v="0"/>
    <x v="1"/>
    <s v="DK2_Large"/>
    <x v="0"/>
    <s v="GNR_ENG_BGAS_BP_E-42"/>
    <x v="0"/>
    <x v="5"/>
    <n v="3.7158536585365902"/>
    <n v="1356.28658536585"/>
    <n v="4882.6317073170703"/>
  </r>
  <r>
    <x v="0"/>
    <x v="0"/>
    <x v="0"/>
    <x v="0"/>
    <x v="1"/>
    <s v="DK2_Large"/>
    <x v="0"/>
    <s v="GNR_ENG_BGAS_BP_E-42"/>
    <x v="0"/>
    <x v="6"/>
    <n v="3.7158536585365902"/>
    <n v="1356.28658536585"/>
    <n v="4882.6317073170703"/>
  </r>
  <r>
    <x v="0"/>
    <x v="0"/>
    <x v="0"/>
    <x v="0"/>
    <x v="1"/>
    <s v="DK2_Large"/>
    <x v="0"/>
    <s v="GNR_ENG_BGAS_BP_E-42"/>
    <x v="0"/>
    <x v="7"/>
    <n v="3.7158536585365902"/>
    <n v="1356.28658536585"/>
    <n v="4882.6317073170703"/>
  </r>
  <r>
    <x v="0"/>
    <x v="0"/>
    <x v="0"/>
    <x v="0"/>
    <x v="1"/>
    <s v="DK2_Large"/>
    <x v="0"/>
    <s v="GNR_ENG_BGAS_BP_E-42"/>
    <x v="0"/>
    <x v="8"/>
    <n v="3.7158536585365902"/>
    <n v="1356.28658536585"/>
    <n v="4882.6317073170703"/>
  </r>
  <r>
    <x v="0"/>
    <x v="0"/>
    <x v="0"/>
    <x v="0"/>
    <x v="1"/>
    <s v="DK2_Large"/>
    <x v="0"/>
    <s v="GNR_ENG_BGAS_BP_E-42"/>
    <x v="0"/>
    <x v="9"/>
    <n v="3.7158536585365902"/>
    <n v="1356.28658536585"/>
    <n v="4882.6317073170703"/>
  </r>
  <r>
    <x v="0"/>
    <x v="0"/>
    <x v="0"/>
    <x v="0"/>
    <x v="1"/>
    <s v="DK2_Large"/>
    <x v="0"/>
    <s v="GNR_ENG_BGAS_BP_E-42"/>
    <x v="0"/>
    <x v="10"/>
    <n v="3.7158536585365902"/>
    <n v="1356.28658536585"/>
    <n v="4882.6317073170703"/>
  </r>
  <r>
    <x v="0"/>
    <x v="0"/>
    <x v="0"/>
    <x v="0"/>
    <x v="1"/>
    <s v="DK2_Large"/>
    <x v="0"/>
    <s v="GNR_ENG_BGAS_BP_E-42"/>
    <x v="0"/>
    <x v="11"/>
    <n v="3.7158536585365902"/>
    <n v="1356.28658536585"/>
    <n v="4882.6317073170703"/>
  </r>
  <r>
    <x v="0"/>
    <x v="0"/>
    <x v="0"/>
    <x v="0"/>
    <x v="1"/>
    <s v="DK2_Large"/>
    <x v="0"/>
    <s v="GNR_ENG_BGAS_BP_E-42"/>
    <x v="0"/>
    <x v="12"/>
    <n v="3.7158536585365902"/>
    <n v="1356.28658536585"/>
    <n v="4882.6317073170703"/>
  </r>
  <r>
    <x v="0"/>
    <x v="0"/>
    <x v="0"/>
    <x v="0"/>
    <x v="1"/>
    <s v="DK2_Large"/>
    <x v="0"/>
    <s v="GNR_ENG_BGAS_BP_E-42"/>
    <x v="0"/>
    <x v="13"/>
    <n v="3.7158536585365902"/>
    <n v="1356.28658536585"/>
    <n v="4882.6317073170703"/>
  </r>
  <r>
    <x v="0"/>
    <x v="0"/>
    <x v="0"/>
    <x v="0"/>
    <x v="1"/>
    <s v="DK2_Large"/>
    <x v="0"/>
    <s v="GNR_ENG_BGAS_BP_E-42"/>
    <x v="0"/>
    <x v="14"/>
    <n v="3.7158536585365902"/>
    <n v="1356.28658536585"/>
    <n v="4882.6317073170703"/>
  </r>
  <r>
    <x v="0"/>
    <x v="0"/>
    <x v="0"/>
    <x v="0"/>
    <x v="1"/>
    <s v="DK2_Large"/>
    <x v="0"/>
    <s v="GNR_ENG_BGAS_BP_E-42"/>
    <x v="0"/>
    <x v="15"/>
    <n v="3.7158536585365902"/>
    <n v="1356.28658536585"/>
    <n v="4882.6317073170703"/>
  </r>
  <r>
    <x v="0"/>
    <x v="0"/>
    <x v="0"/>
    <x v="0"/>
    <x v="1"/>
    <s v="DK2_Large"/>
    <x v="0"/>
    <s v="GNR_ENG_BGAS_BP_E-42"/>
    <x v="0"/>
    <x v="16"/>
    <n v="3.7158536585365902"/>
    <n v="1356.28658536585"/>
    <n v="4882.6317073170703"/>
  </r>
  <r>
    <x v="0"/>
    <x v="0"/>
    <x v="0"/>
    <x v="0"/>
    <x v="1"/>
    <s v="DK2_Large"/>
    <x v="0"/>
    <s v="GNR_ENG_BGAS_BP_E-42"/>
    <x v="0"/>
    <x v="17"/>
    <n v="3.7158536585365902"/>
    <n v="1356.28658536585"/>
    <n v="4882.6317073170703"/>
  </r>
  <r>
    <x v="0"/>
    <x v="0"/>
    <x v="0"/>
    <x v="0"/>
    <x v="1"/>
    <s v="DK2_Large"/>
    <x v="0"/>
    <s v="GNR_ENG_BGAS_BP_E-42"/>
    <x v="0"/>
    <x v="18"/>
    <n v="3.7158536585365902"/>
    <n v="1356.28658536585"/>
    <n v="4882.6317073170703"/>
  </r>
  <r>
    <x v="0"/>
    <x v="0"/>
    <x v="0"/>
    <x v="0"/>
    <x v="1"/>
    <s v="DK2_Large"/>
    <x v="0"/>
    <s v="GNR_ENG_BGAS_BP_E-42"/>
    <x v="0"/>
    <x v="19"/>
    <n v="3.7158536585365902"/>
    <n v="1356.28658536585"/>
    <n v="4882.6317073170703"/>
  </r>
  <r>
    <x v="0"/>
    <x v="0"/>
    <x v="0"/>
    <x v="0"/>
    <x v="1"/>
    <s v="DK2_Large"/>
    <x v="0"/>
    <s v="GNR_ENG_BGAS_BP_E-42"/>
    <x v="0"/>
    <x v="20"/>
    <n v="3.7158536585365902"/>
    <n v="1356.28658536585"/>
    <n v="4882.6317073170703"/>
  </r>
  <r>
    <x v="0"/>
    <x v="0"/>
    <x v="0"/>
    <x v="0"/>
    <x v="1"/>
    <s v="DK2_Large"/>
    <x v="0"/>
    <s v="GNR_ENG_BGAS_BP_E-42"/>
    <x v="0"/>
    <x v="21"/>
    <n v="3.7158536585365902"/>
    <n v="1356.28658536585"/>
    <n v="4882.6317073170703"/>
  </r>
  <r>
    <x v="0"/>
    <x v="0"/>
    <x v="0"/>
    <x v="0"/>
    <x v="1"/>
    <s v="DK2_Large"/>
    <x v="0"/>
    <s v="GNR_ENG_BGAS_BP_E-42"/>
    <x v="0"/>
    <x v="22"/>
    <n v="3.7158536585365902"/>
    <n v="1356.28658536585"/>
    <n v="4882.6317073170703"/>
  </r>
  <r>
    <x v="0"/>
    <x v="0"/>
    <x v="0"/>
    <x v="0"/>
    <x v="1"/>
    <s v="DK2_Large"/>
    <x v="0"/>
    <s v="GNR_ENG_BGAS_BP_E-42"/>
    <x v="0"/>
    <x v="23"/>
    <n v="3.7158536585365902"/>
    <n v="1356.28658536585"/>
    <n v="4882.6317073170703"/>
  </r>
  <r>
    <x v="0"/>
    <x v="0"/>
    <x v="0"/>
    <x v="0"/>
    <x v="1"/>
    <s v="DK2_Large"/>
    <x v="2"/>
    <s v="GNR_HS_HEAT-E-100"/>
    <x v="0"/>
    <x v="4"/>
    <n v="341.25"/>
    <n v="124556.25"/>
    <n v="448402.5"/>
  </r>
  <r>
    <x v="0"/>
    <x v="0"/>
    <x v="0"/>
    <x v="0"/>
    <x v="1"/>
    <s v="DK2_Large"/>
    <x v="2"/>
    <s v="GNR_HS_HEAT-E-100"/>
    <x v="0"/>
    <x v="5"/>
    <n v="216.95296888827099"/>
    <n v="79187.833644218903"/>
    <n v="285076.20111918799"/>
  </r>
  <r>
    <x v="0"/>
    <x v="0"/>
    <x v="0"/>
    <x v="0"/>
    <x v="1"/>
    <s v="DK2_Large"/>
    <x v="2"/>
    <s v="GNR_HS_HEAT-E-100"/>
    <x v="0"/>
    <x v="6"/>
    <n v="265.09234171582602"/>
    <n v="96758.704726276294"/>
    <n v="348331.33701459499"/>
  </r>
  <r>
    <x v="0"/>
    <x v="0"/>
    <x v="0"/>
    <x v="0"/>
    <x v="1"/>
    <s v="DK2_Large"/>
    <x v="2"/>
    <s v="GNR_HS_HEAT-E-100"/>
    <x v="0"/>
    <x v="7"/>
    <n v="341.25"/>
    <n v="124556.25"/>
    <n v="448402.5"/>
  </r>
  <r>
    <x v="0"/>
    <x v="0"/>
    <x v="0"/>
    <x v="0"/>
    <x v="1"/>
    <s v="DK2_Large"/>
    <x v="2"/>
    <s v="GNR_HS_HEAT-E-100"/>
    <x v="0"/>
    <x v="8"/>
    <n v="312.44254449702697"/>
    <n v="114041.52874141499"/>
    <n v="410549.50346909399"/>
  </r>
  <r>
    <x v="0"/>
    <x v="0"/>
    <x v="0"/>
    <x v="0"/>
    <x v="1"/>
    <s v="DK2_Large"/>
    <x v="2"/>
    <s v="GNR_HS_HEAT-E-100"/>
    <x v="0"/>
    <x v="9"/>
    <n v="284.03242282830598"/>
    <n v="103671.834332332"/>
    <n v="373218.60359639401"/>
  </r>
  <r>
    <x v="0"/>
    <x v="0"/>
    <x v="0"/>
    <x v="0"/>
    <x v="1"/>
    <s v="DK2_Large"/>
    <x v="2"/>
    <s v="GNR_HS_HEAT-E-100"/>
    <x v="0"/>
    <x v="10"/>
    <n v="254.83313111323201"/>
    <n v="93014.092856329706"/>
    <n v="334850.73428278702"/>
  </r>
  <r>
    <x v="0"/>
    <x v="0"/>
    <x v="0"/>
    <x v="0"/>
    <x v="1"/>
    <s v="DK2_Large"/>
    <x v="2"/>
    <s v="GNR_HS_HEAT-E-100"/>
    <x v="0"/>
    <x v="11"/>
    <n v="341.25"/>
    <n v="124556.25"/>
    <n v="448402.5"/>
  </r>
  <r>
    <x v="0"/>
    <x v="0"/>
    <x v="0"/>
    <x v="0"/>
    <x v="1"/>
    <s v="DK2_Large"/>
    <x v="2"/>
    <s v="GNR_HS_HEAT-E-100"/>
    <x v="0"/>
    <x v="12"/>
    <n v="216.95296888827099"/>
    <n v="79187.833644218903"/>
    <n v="285076.20111918799"/>
  </r>
  <r>
    <x v="0"/>
    <x v="0"/>
    <x v="0"/>
    <x v="0"/>
    <x v="1"/>
    <s v="DK2_Large"/>
    <x v="2"/>
    <s v="GNR_HS_HEAT-E-100"/>
    <x v="0"/>
    <x v="13"/>
    <n v="226.423009444511"/>
    <n v="82644.398447246596"/>
    <n v="297519.83441008802"/>
  </r>
  <r>
    <x v="0"/>
    <x v="0"/>
    <x v="0"/>
    <x v="0"/>
    <x v="1"/>
    <s v="DK2_Large"/>
    <x v="2"/>
    <s v="GNR_HS_HEAT-E-100"/>
    <x v="0"/>
    <x v="14"/>
    <n v="235.893050000751"/>
    <n v="86100.963250274304"/>
    <n v="309963.46770098701"/>
  </r>
  <r>
    <x v="0"/>
    <x v="0"/>
    <x v="0"/>
    <x v="0"/>
    <x v="1"/>
    <s v="DK2_Large"/>
    <x v="2"/>
    <s v="GNR_HS_HEAT-E-100"/>
    <x v="0"/>
    <x v="15"/>
    <n v="245.36309055699201"/>
    <n v="89557.528053301998"/>
    <n v="322407.10099188698"/>
  </r>
  <r>
    <x v="0"/>
    <x v="0"/>
    <x v="0"/>
    <x v="0"/>
    <x v="1"/>
    <s v="DK2_Large"/>
    <x v="2"/>
    <s v="GNR_HS_HEAT-E-100"/>
    <x v="0"/>
    <x v="16"/>
    <n v="265.09234171582602"/>
    <n v="96758.704726276294"/>
    <n v="348331.33701459499"/>
  </r>
  <r>
    <x v="0"/>
    <x v="0"/>
    <x v="0"/>
    <x v="0"/>
    <x v="1"/>
    <s v="DK2_Large"/>
    <x v="2"/>
    <s v="GNR_HS_HEAT-E-100"/>
    <x v="0"/>
    <x v="17"/>
    <n v="341.25"/>
    <n v="124556.25"/>
    <n v="448402.5"/>
  </r>
  <r>
    <x v="0"/>
    <x v="0"/>
    <x v="0"/>
    <x v="0"/>
    <x v="1"/>
    <s v="DK2_Large"/>
    <x v="2"/>
    <s v="GNR_HS_HEAT-E-100"/>
    <x v="0"/>
    <x v="18"/>
    <n v="341.25"/>
    <n v="124556.25"/>
    <n v="448402.5"/>
  </r>
  <r>
    <x v="0"/>
    <x v="0"/>
    <x v="0"/>
    <x v="0"/>
    <x v="1"/>
    <s v="DK2_Large"/>
    <x v="3"/>
    <s v="GNR_ST_MSW_BP_E-16"/>
    <x v="0"/>
    <x v="0"/>
    <n v="96.361684232126805"/>
    <n v="35172.014744726301"/>
    <n v="126619.25308101501"/>
  </r>
  <r>
    <x v="0"/>
    <x v="0"/>
    <x v="0"/>
    <x v="0"/>
    <x v="1"/>
    <s v="DK2_Large"/>
    <x v="3"/>
    <s v="GNR_ST_MSW_BP_E-16"/>
    <x v="0"/>
    <x v="1"/>
    <n v="96.361684232126805"/>
    <n v="35172.014744726301"/>
    <n v="126619.25308101501"/>
  </r>
  <r>
    <x v="0"/>
    <x v="0"/>
    <x v="0"/>
    <x v="0"/>
    <x v="1"/>
    <s v="DK2_Large"/>
    <x v="3"/>
    <s v="GNR_ST_MSW_BP_E-16"/>
    <x v="0"/>
    <x v="2"/>
    <n v="96.361684232126805"/>
    <n v="35172.014744726301"/>
    <n v="126619.25308101501"/>
  </r>
  <r>
    <x v="0"/>
    <x v="0"/>
    <x v="0"/>
    <x v="0"/>
    <x v="1"/>
    <s v="DK2_Large"/>
    <x v="3"/>
    <s v="GNR_ST_MSW_BP_E-16"/>
    <x v="0"/>
    <x v="3"/>
    <n v="96.361684232126805"/>
    <n v="35172.014744726301"/>
    <n v="126619.25308101501"/>
  </r>
  <r>
    <x v="0"/>
    <x v="0"/>
    <x v="0"/>
    <x v="0"/>
    <x v="1"/>
    <s v="DK2_Large"/>
    <x v="3"/>
    <s v="GNR_ST_MSW_BP_E-16"/>
    <x v="0"/>
    <x v="4"/>
    <n v="96.361684232126805"/>
    <n v="35172.014744726301"/>
    <n v="126619.25308101501"/>
  </r>
  <r>
    <x v="0"/>
    <x v="0"/>
    <x v="0"/>
    <x v="0"/>
    <x v="1"/>
    <s v="DK2_Large"/>
    <x v="3"/>
    <s v="GNR_ST_MSW_BP_E-16"/>
    <x v="0"/>
    <x v="5"/>
    <n v="96.361684232126805"/>
    <n v="35172.014744726301"/>
    <n v="126619.25308101501"/>
  </r>
  <r>
    <x v="0"/>
    <x v="0"/>
    <x v="0"/>
    <x v="0"/>
    <x v="1"/>
    <s v="DK2_Large"/>
    <x v="3"/>
    <s v="GNR_ST_MSW_BP_E-16"/>
    <x v="0"/>
    <x v="6"/>
    <n v="96.361684232126805"/>
    <n v="35172.014744726301"/>
    <n v="126619.25308101501"/>
  </r>
  <r>
    <x v="0"/>
    <x v="0"/>
    <x v="0"/>
    <x v="0"/>
    <x v="1"/>
    <s v="DK2_Large"/>
    <x v="3"/>
    <s v="GNR_ST_MSW_BP_E-16"/>
    <x v="0"/>
    <x v="7"/>
    <n v="96.361684232126805"/>
    <n v="35172.014744726301"/>
    <n v="126619.25308101501"/>
  </r>
  <r>
    <x v="0"/>
    <x v="0"/>
    <x v="0"/>
    <x v="0"/>
    <x v="1"/>
    <s v="DK2_Large"/>
    <x v="3"/>
    <s v="GNR_ST_MSW_BP_E-16"/>
    <x v="0"/>
    <x v="8"/>
    <n v="96.361684232126805"/>
    <n v="35172.014744726301"/>
    <n v="126619.25308101501"/>
  </r>
  <r>
    <x v="0"/>
    <x v="0"/>
    <x v="0"/>
    <x v="0"/>
    <x v="1"/>
    <s v="DK2_Large"/>
    <x v="3"/>
    <s v="GNR_ST_MSW_BP_E-16"/>
    <x v="0"/>
    <x v="9"/>
    <n v="96.361684232126805"/>
    <n v="35172.014744726301"/>
    <n v="126619.25308101501"/>
  </r>
  <r>
    <x v="0"/>
    <x v="0"/>
    <x v="0"/>
    <x v="0"/>
    <x v="1"/>
    <s v="DK2_Large"/>
    <x v="3"/>
    <s v="GNR_ST_MSW_BP_E-16"/>
    <x v="0"/>
    <x v="10"/>
    <n v="96.361684232126805"/>
    <n v="35172.014744726301"/>
    <n v="126619.25308101501"/>
  </r>
  <r>
    <x v="0"/>
    <x v="0"/>
    <x v="0"/>
    <x v="0"/>
    <x v="1"/>
    <s v="DK2_Large"/>
    <x v="3"/>
    <s v="GNR_ST_MSW_BP_E-16"/>
    <x v="0"/>
    <x v="11"/>
    <n v="96.361684232126805"/>
    <n v="35172.014744726301"/>
    <n v="126619.25308101501"/>
  </r>
  <r>
    <x v="0"/>
    <x v="0"/>
    <x v="0"/>
    <x v="0"/>
    <x v="1"/>
    <s v="DK2_Large"/>
    <x v="3"/>
    <s v="GNR_ST_MSW_BP_E-16"/>
    <x v="0"/>
    <x v="12"/>
    <n v="96.361684232126805"/>
    <n v="35172.014744726301"/>
    <n v="126619.25308101501"/>
  </r>
  <r>
    <x v="0"/>
    <x v="0"/>
    <x v="0"/>
    <x v="0"/>
    <x v="1"/>
    <s v="DK2_Large"/>
    <x v="3"/>
    <s v="GNR_ST_MSW_BP_E-16"/>
    <x v="0"/>
    <x v="13"/>
    <n v="96.361684232126805"/>
    <n v="35172.014744726301"/>
    <n v="126619.25308101501"/>
  </r>
  <r>
    <x v="0"/>
    <x v="0"/>
    <x v="0"/>
    <x v="0"/>
    <x v="1"/>
    <s v="DK2_Large"/>
    <x v="3"/>
    <s v="GNR_ST_MSW_BP_E-16"/>
    <x v="0"/>
    <x v="14"/>
    <n v="96.361684232126805"/>
    <n v="35172.014744726301"/>
    <n v="126619.25308101501"/>
  </r>
  <r>
    <x v="0"/>
    <x v="0"/>
    <x v="0"/>
    <x v="0"/>
    <x v="1"/>
    <s v="DK2_Large"/>
    <x v="3"/>
    <s v="GNR_ST_MSW_BP_E-16"/>
    <x v="0"/>
    <x v="15"/>
    <n v="96.361684232126805"/>
    <n v="35172.014744726301"/>
    <n v="126619.25308101501"/>
  </r>
  <r>
    <x v="0"/>
    <x v="0"/>
    <x v="0"/>
    <x v="0"/>
    <x v="1"/>
    <s v="DK2_Large"/>
    <x v="3"/>
    <s v="GNR_ST_MSW_BP_E-16"/>
    <x v="0"/>
    <x v="16"/>
    <n v="96.361684232126805"/>
    <n v="35172.014744726301"/>
    <n v="126619.25308101501"/>
  </r>
  <r>
    <x v="0"/>
    <x v="0"/>
    <x v="0"/>
    <x v="0"/>
    <x v="1"/>
    <s v="DK2_Large"/>
    <x v="3"/>
    <s v="GNR_ST_MSW_BP_E-16"/>
    <x v="0"/>
    <x v="17"/>
    <n v="96.361684232126805"/>
    <n v="35172.014744726301"/>
    <n v="126619.25308101501"/>
  </r>
  <r>
    <x v="0"/>
    <x v="0"/>
    <x v="0"/>
    <x v="0"/>
    <x v="1"/>
    <s v="DK2_Large"/>
    <x v="3"/>
    <s v="GNR_ST_MSW_BP_E-16"/>
    <x v="0"/>
    <x v="18"/>
    <n v="96.361684232126805"/>
    <n v="35172.014744726301"/>
    <n v="126619.25308101501"/>
  </r>
  <r>
    <x v="0"/>
    <x v="0"/>
    <x v="0"/>
    <x v="0"/>
    <x v="1"/>
    <s v="DK2_Large"/>
    <x v="3"/>
    <s v="GNR_ST_MSW_BP_E-16"/>
    <x v="0"/>
    <x v="19"/>
    <n v="96.361684232126805"/>
    <n v="35172.014744726301"/>
    <n v="126619.25308101501"/>
  </r>
  <r>
    <x v="0"/>
    <x v="0"/>
    <x v="0"/>
    <x v="0"/>
    <x v="1"/>
    <s v="DK2_Large"/>
    <x v="3"/>
    <s v="GNR_ST_MSW_BP_E-16"/>
    <x v="0"/>
    <x v="20"/>
    <n v="96.361684232126805"/>
    <n v="35172.014744726301"/>
    <n v="126619.25308101501"/>
  </r>
  <r>
    <x v="0"/>
    <x v="0"/>
    <x v="0"/>
    <x v="0"/>
    <x v="1"/>
    <s v="DK2_Large"/>
    <x v="3"/>
    <s v="GNR_ST_MSW_BP_E-16"/>
    <x v="0"/>
    <x v="21"/>
    <n v="96.361684232126805"/>
    <n v="35172.014744726301"/>
    <n v="126619.25308101501"/>
  </r>
  <r>
    <x v="0"/>
    <x v="0"/>
    <x v="0"/>
    <x v="0"/>
    <x v="1"/>
    <s v="DK2_Large"/>
    <x v="3"/>
    <s v="GNR_ST_MSW_BP_E-16"/>
    <x v="0"/>
    <x v="22"/>
    <n v="96.361684232126805"/>
    <n v="35172.014744726301"/>
    <n v="126619.25308101501"/>
  </r>
  <r>
    <x v="0"/>
    <x v="0"/>
    <x v="0"/>
    <x v="0"/>
    <x v="1"/>
    <s v="DK2_Large"/>
    <x v="3"/>
    <s v="GNR_ST_MSW_BP_E-16"/>
    <x v="0"/>
    <x v="23"/>
    <n v="96.361684232126805"/>
    <n v="35172.014744726301"/>
    <n v="126619.25308101501"/>
  </r>
  <r>
    <x v="0"/>
    <x v="0"/>
    <x v="0"/>
    <x v="0"/>
    <x v="1"/>
    <s v="DK2_Large"/>
    <x v="3"/>
    <s v="GNR_ST_MSW_BP_E-20"/>
    <x v="0"/>
    <x v="0"/>
    <n v="131.863357370279"/>
    <n v="48130.1254401517"/>
    <n v="173268.45158454601"/>
  </r>
  <r>
    <x v="0"/>
    <x v="0"/>
    <x v="0"/>
    <x v="0"/>
    <x v="1"/>
    <s v="DK2_Large"/>
    <x v="3"/>
    <s v="GNR_ST_MSW_BP_E-20"/>
    <x v="0"/>
    <x v="1"/>
    <n v="131.863357370279"/>
    <n v="48130.1254401517"/>
    <n v="173268.45158454601"/>
  </r>
  <r>
    <x v="0"/>
    <x v="0"/>
    <x v="0"/>
    <x v="0"/>
    <x v="1"/>
    <s v="DK2_Large"/>
    <x v="3"/>
    <s v="GNR_ST_MSW_BP_E-20"/>
    <x v="0"/>
    <x v="2"/>
    <n v="131.863357370279"/>
    <n v="48130.1254401517"/>
    <n v="173268.45158454601"/>
  </r>
  <r>
    <x v="0"/>
    <x v="0"/>
    <x v="0"/>
    <x v="0"/>
    <x v="1"/>
    <s v="DK2_Large"/>
    <x v="3"/>
    <s v="GNR_ST_MSW_BP_E-20"/>
    <x v="0"/>
    <x v="3"/>
    <n v="131.863357370279"/>
    <n v="48130.1254401517"/>
    <n v="173268.45158454601"/>
  </r>
  <r>
    <x v="0"/>
    <x v="0"/>
    <x v="0"/>
    <x v="0"/>
    <x v="1"/>
    <s v="DK2_Large"/>
    <x v="3"/>
    <s v="GNR_ST_MSW_BP_E-20"/>
    <x v="0"/>
    <x v="4"/>
    <n v="131.863357370279"/>
    <n v="48130.1254401517"/>
    <n v="173268.45158454601"/>
  </r>
  <r>
    <x v="0"/>
    <x v="0"/>
    <x v="0"/>
    <x v="0"/>
    <x v="1"/>
    <s v="DK2_Large"/>
    <x v="3"/>
    <s v="GNR_ST_MSW_BP_E-20"/>
    <x v="0"/>
    <x v="5"/>
    <n v="131.863357370279"/>
    <n v="48130.1254401517"/>
    <n v="173268.45158454601"/>
  </r>
  <r>
    <x v="0"/>
    <x v="0"/>
    <x v="0"/>
    <x v="0"/>
    <x v="1"/>
    <s v="DK2_Large"/>
    <x v="3"/>
    <s v="GNR_ST_MSW_BP_E-20"/>
    <x v="0"/>
    <x v="6"/>
    <n v="131.863357370279"/>
    <n v="48130.1254401517"/>
    <n v="173268.45158454601"/>
  </r>
  <r>
    <x v="0"/>
    <x v="0"/>
    <x v="0"/>
    <x v="0"/>
    <x v="1"/>
    <s v="DK2_Large"/>
    <x v="3"/>
    <s v="GNR_ST_MSW_BP_E-20"/>
    <x v="0"/>
    <x v="7"/>
    <n v="131.863357370279"/>
    <n v="48130.1254401517"/>
    <n v="173268.45158454601"/>
  </r>
  <r>
    <x v="0"/>
    <x v="0"/>
    <x v="0"/>
    <x v="0"/>
    <x v="1"/>
    <s v="DK2_Large"/>
    <x v="3"/>
    <s v="GNR_ST_MSW_BP_E-20"/>
    <x v="0"/>
    <x v="8"/>
    <n v="131.863357370279"/>
    <n v="48130.1254401517"/>
    <n v="173268.45158454601"/>
  </r>
  <r>
    <x v="0"/>
    <x v="0"/>
    <x v="0"/>
    <x v="0"/>
    <x v="1"/>
    <s v="DK2_Large"/>
    <x v="3"/>
    <s v="GNR_ST_MSW_BP_E-20"/>
    <x v="0"/>
    <x v="9"/>
    <n v="131.863357370279"/>
    <n v="48130.1254401517"/>
    <n v="173268.45158454601"/>
  </r>
  <r>
    <x v="0"/>
    <x v="0"/>
    <x v="0"/>
    <x v="0"/>
    <x v="1"/>
    <s v="DK2_Large"/>
    <x v="3"/>
    <s v="GNR_ST_MSW_BP_E-20"/>
    <x v="0"/>
    <x v="10"/>
    <n v="131.863357370279"/>
    <n v="48130.1254401517"/>
    <n v="173268.45158454601"/>
  </r>
  <r>
    <x v="0"/>
    <x v="0"/>
    <x v="0"/>
    <x v="0"/>
    <x v="1"/>
    <s v="DK2_Large"/>
    <x v="3"/>
    <s v="GNR_ST_MSW_BP_E-20"/>
    <x v="0"/>
    <x v="11"/>
    <n v="131.863357370279"/>
    <n v="48130.1254401517"/>
    <n v="173268.45158454601"/>
  </r>
  <r>
    <x v="0"/>
    <x v="0"/>
    <x v="0"/>
    <x v="0"/>
    <x v="1"/>
    <s v="DK2_Large"/>
    <x v="3"/>
    <s v="GNR_ST_MSW_BP_E-20"/>
    <x v="0"/>
    <x v="12"/>
    <n v="131.863357370279"/>
    <n v="48130.1254401517"/>
    <n v="173268.45158454601"/>
  </r>
  <r>
    <x v="0"/>
    <x v="0"/>
    <x v="0"/>
    <x v="0"/>
    <x v="1"/>
    <s v="DK2_Large"/>
    <x v="3"/>
    <s v="GNR_ST_MSW_BP_E-20"/>
    <x v="0"/>
    <x v="13"/>
    <n v="131.863357370279"/>
    <n v="48130.1254401517"/>
    <n v="173268.45158454601"/>
  </r>
  <r>
    <x v="0"/>
    <x v="0"/>
    <x v="0"/>
    <x v="0"/>
    <x v="1"/>
    <s v="DK2_Large"/>
    <x v="3"/>
    <s v="GNR_ST_MSW_BP_E-20"/>
    <x v="0"/>
    <x v="14"/>
    <n v="131.863357370279"/>
    <n v="48130.1254401517"/>
    <n v="173268.45158454601"/>
  </r>
  <r>
    <x v="0"/>
    <x v="0"/>
    <x v="0"/>
    <x v="0"/>
    <x v="1"/>
    <s v="DK2_Large"/>
    <x v="3"/>
    <s v="GNR_ST_MSW_BP_E-20"/>
    <x v="0"/>
    <x v="15"/>
    <n v="131.863357370279"/>
    <n v="48130.1254401517"/>
    <n v="173268.45158454601"/>
  </r>
  <r>
    <x v="0"/>
    <x v="0"/>
    <x v="0"/>
    <x v="0"/>
    <x v="1"/>
    <s v="DK2_Large"/>
    <x v="3"/>
    <s v="GNR_ST_MSW_BP_E-20"/>
    <x v="0"/>
    <x v="16"/>
    <n v="131.863357370279"/>
    <n v="48130.1254401517"/>
    <n v="173268.45158454601"/>
  </r>
  <r>
    <x v="0"/>
    <x v="0"/>
    <x v="0"/>
    <x v="0"/>
    <x v="1"/>
    <s v="DK2_Large"/>
    <x v="3"/>
    <s v="GNR_ST_MSW_BP_E-20"/>
    <x v="0"/>
    <x v="17"/>
    <n v="131.863357370279"/>
    <n v="48130.1254401517"/>
    <n v="173268.45158454601"/>
  </r>
  <r>
    <x v="0"/>
    <x v="0"/>
    <x v="0"/>
    <x v="0"/>
    <x v="1"/>
    <s v="DK2_Large"/>
    <x v="3"/>
    <s v="GNR_ST_MSW_BP_E-20"/>
    <x v="0"/>
    <x v="18"/>
    <n v="131.863357370279"/>
    <n v="48130.1254401517"/>
    <n v="173268.45158454601"/>
  </r>
  <r>
    <x v="0"/>
    <x v="0"/>
    <x v="0"/>
    <x v="0"/>
    <x v="1"/>
    <s v="DK2_Large"/>
    <x v="3"/>
    <s v="GNR_ST_MSW_BP_E-20"/>
    <x v="0"/>
    <x v="19"/>
    <n v="131.863357370279"/>
    <n v="48130.1254401517"/>
    <n v="173268.45158454601"/>
  </r>
  <r>
    <x v="0"/>
    <x v="0"/>
    <x v="0"/>
    <x v="0"/>
    <x v="1"/>
    <s v="DK2_Large"/>
    <x v="3"/>
    <s v="GNR_ST_MSW_BP_E-20"/>
    <x v="0"/>
    <x v="20"/>
    <n v="131.863357370279"/>
    <n v="48130.1254401517"/>
    <n v="173268.45158454601"/>
  </r>
  <r>
    <x v="0"/>
    <x v="0"/>
    <x v="0"/>
    <x v="0"/>
    <x v="1"/>
    <s v="DK2_Large"/>
    <x v="3"/>
    <s v="GNR_ST_MSW_BP_E-20"/>
    <x v="0"/>
    <x v="21"/>
    <n v="131.863357370279"/>
    <n v="48130.1254401517"/>
    <n v="173268.45158454601"/>
  </r>
  <r>
    <x v="0"/>
    <x v="0"/>
    <x v="0"/>
    <x v="0"/>
    <x v="1"/>
    <s v="DK2_Large"/>
    <x v="3"/>
    <s v="GNR_ST_MSW_BP_E-20"/>
    <x v="0"/>
    <x v="22"/>
    <n v="131.863357370279"/>
    <n v="48130.1254401517"/>
    <n v="173268.45158454601"/>
  </r>
  <r>
    <x v="0"/>
    <x v="0"/>
    <x v="0"/>
    <x v="0"/>
    <x v="1"/>
    <s v="DK2_Large"/>
    <x v="3"/>
    <s v="GNR_ST_MSW_BP_E-20"/>
    <x v="0"/>
    <x v="23"/>
    <n v="131.863357370279"/>
    <n v="48130.1254401517"/>
    <n v="173268.45158454601"/>
  </r>
  <r>
    <x v="0"/>
    <x v="0"/>
    <x v="0"/>
    <x v="0"/>
    <x v="1"/>
    <s v="DK2_Large"/>
    <x v="3"/>
    <s v="GNR_ST_MSW_BP_E-21"/>
    <x v="0"/>
    <x v="0"/>
    <n v="46.321230665969701"/>
    <n v="16907.2491930789"/>
    <n v="60866.097095084202"/>
  </r>
  <r>
    <x v="0"/>
    <x v="0"/>
    <x v="0"/>
    <x v="0"/>
    <x v="1"/>
    <s v="DK2_Large"/>
    <x v="3"/>
    <s v="GNR_ST_MSW_BP_E-21"/>
    <x v="0"/>
    <x v="1"/>
    <n v="46.321230665969701"/>
    <n v="16907.2491930789"/>
    <n v="60866.097095084202"/>
  </r>
  <r>
    <x v="0"/>
    <x v="0"/>
    <x v="0"/>
    <x v="0"/>
    <x v="1"/>
    <s v="DK2_Large"/>
    <x v="3"/>
    <s v="GNR_ST_MSW_BP_E-21"/>
    <x v="0"/>
    <x v="2"/>
    <n v="46.321230665969701"/>
    <n v="16907.2491930789"/>
    <n v="60866.097095084202"/>
  </r>
  <r>
    <x v="0"/>
    <x v="0"/>
    <x v="0"/>
    <x v="0"/>
    <x v="1"/>
    <s v="DK2_Large"/>
    <x v="3"/>
    <s v="GNR_ST_MSW_BP_E-21"/>
    <x v="0"/>
    <x v="3"/>
    <n v="46.321230665969701"/>
    <n v="16907.2491930789"/>
    <n v="60866.097095084202"/>
  </r>
  <r>
    <x v="0"/>
    <x v="0"/>
    <x v="0"/>
    <x v="0"/>
    <x v="1"/>
    <s v="DK2_Large"/>
    <x v="3"/>
    <s v="GNR_ST_MSW_BP_E-21"/>
    <x v="0"/>
    <x v="4"/>
    <n v="46.321230665969701"/>
    <n v="16907.2491930789"/>
    <n v="60866.097095084202"/>
  </r>
  <r>
    <x v="0"/>
    <x v="0"/>
    <x v="0"/>
    <x v="0"/>
    <x v="1"/>
    <s v="DK2_Large"/>
    <x v="3"/>
    <s v="GNR_ST_MSW_BP_E-21"/>
    <x v="0"/>
    <x v="5"/>
    <n v="46.321230665969701"/>
    <n v="16907.2491930789"/>
    <n v="60866.097095084202"/>
  </r>
  <r>
    <x v="0"/>
    <x v="0"/>
    <x v="0"/>
    <x v="0"/>
    <x v="1"/>
    <s v="DK2_Large"/>
    <x v="3"/>
    <s v="GNR_ST_MSW_BP_E-21"/>
    <x v="0"/>
    <x v="6"/>
    <n v="46.321230665969701"/>
    <n v="16907.2491930789"/>
    <n v="60866.097095084202"/>
  </r>
  <r>
    <x v="0"/>
    <x v="0"/>
    <x v="0"/>
    <x v="0"/>
    <x v="1"/>
    <s v="DK2_Large"/>
    <x v="3"/>
    <s v="GNR_ST_MSW_BP_E-21"/>
    <x v="0"/>
    <x v="7"/>
    <n v="46.321230665969701"/>
    <n v="16907.2491930789"/>
    <n v="60866.097095084202"/>
  </r>
  <r>
    <x v="0"/>
    <x v="0"/>
    <x v="0"/>
    <x v="0"/>
    <x v="1"/>
    <s v="DK2_Large"/>
    <x v="3"/>
    <s v="GNR_ST_MSW_BP_E-21"/>
    <x v="0"/>
    <x v="8"/>
    <n v="46.321230665969701"/>
    <n v="16907.2491930789"/>
    <n v="60866.097095084202"/>
  </r>
  <r>
    <x v="0"/>
    <x v="0"/>
    <x v="0"/>
    <x v="0"/>
    <x v="1"/>
    <s v="DK2_Large"/>
    <x v="3"/>
    <s v="GNR_ST_MSW_BP_E-21"/>
    <x v="0"/>
    <x v="9"/>
    <n v="46.321230665969701"/>
    <n v="16907.2491930789"/>
    <n v="60866.097095084202"/>
  </r>
  <r>
    <x v="0"/>
    <x v="0"/>
    <x v="0"/>
    <x v="0"/>
    <x v="1"/>
    <s v="DK2_Large"/>
    <x v="3"/>
    <s v="GNR_ST_MSW_BP_E-21"/>
    <x v="0"/>
    <x v="10"/>
    <n v="46.321230665969701"/>
    <n v="16907.2491930789"/>
    <n v="60866.097095084202"/>
  </r>
  <r>
    <x v="0"/>
    <x v="0"/>
    <x v="0"/>
    <x v="0"/>
    <x v="1"/>
    <s v="DK2_Large"/>
    <x v="3"/>
    <s v="GNR_ST_MSW_BP_E-21"/>
    <x v="0"/>
    <x v="11"/>
    <n v="46.321230665969701"/>
    <n v="16907.2491930789"/>
    <n v="60866.097095084202"/>
  </r>
  <r>
    <x v="0"/>
    <x v="0"/>
    <x v="0"/>
    <x v="0"/>
    <x v="1"/>
    <s v="DK2_Large"/>
    <x v="3"/>
    <s v="GNR_ST_MSW_BP_E-21"/>
    <x v="0"/>
    <x v="12"/>
    <n v="46.321230665969701"/>
    <n v="16907.2491930789"/>
    <n v="60866.097095084202"/>
  </r>
  <r>
    <x v="0"/>
    <x v="0"/>
    <x v="0"/>
    <x v="0"/>
    <x v="1"/>
    <s v="DK2_Large"/>
    <x v="3"/>
    <s v="GNR_ST_MSW_BP_E-21"/>
    <x v="0"/>
    <x v="13"/>
    <n v="46.321230665969701"/>
    <n v="16907.2491930789"/>
    <n v="60866.097095084202"/>
  </r>
  <r>
    <x v="0"/>
    <x v="0"/>
    <x v="0"/>
    <x v="0"/>
    <x v="1"/>
    <s v="DK2_Large"/>
    <x v="3"/>
    <s v="GNR_ST_MSW_BP_E-21"/>
    <x v="0"/>
    <x v="14"/>
    <n v="46.321230665969701"/>
    <n v="16907.2491930789"/>
    <n v="60866.097095084202"/>
  </r>
  <r>
    <x v="0"/>
    <x v="0"/>
    <x v="0"/>
    <x v="0"/>
    <x v="1"/>
    <s v="DK2_Large"/>
    <x v="3"/>
    <s v="GNR_ST_MSW_BP_E-21"/>
    <x v="0"/>
    <x v="15"/>
    <n v="46.321230665969701"/>
    <n v="16907.2491930789"/>
    <n v="60866.097095084202"/>
  </r>
  <r>
    <x v="0"/>
    <x v="0"/>
    <x v="0"/>
    <x v="0"/>
    <x v="1"/>
    <s v="DK2_Large"/>
    <x v="3"/>
    <s v="GNR_ST_MSW_BP_E-21"/>
    <x v="0"/>
    <x v="16"/>
    <n v="46.321230665969701"/>
    <n v="16907.2491930789"/>
    <n v="60866.097095084202"/>
  </r>
  <r>
    <x v="0"/>
    <x v="0"/>
    <x v="0"/>
    <x v="0"/>
    <x v="1"/>
    <s v="DK2_Large"/>
    <x v="3"/>
    <s v="GNR_ST_MSW_BP_E-21"/>
    <x v="0"/>
    <x v="17"/>
    <n v="46.321230665969701"/>
    <n v="16907.2491930789"/>
    <n v="60866.097095084202"/>
  </r>
  <r>
    <x v="0"/>
    <x v="0"/>
    <x v="0"/>
    <x v="0"/>
    <x v="1"/>
    <s v="DK2_Large"/>
    <x v="3"/>
    <s v="GNR_ST_MSW_BP_E-21"/>
    <x v="0"/>
    <x v="18"/>
    <n v="46.321230665969701"/>
    <n v="16907.2491930789"/>
    <n v="60866.097095084202"/>
  </r>
  <r>
    <x v="0"/>
    <x v="0"/>
    <x v="0"/>
    <x v="0"/>
    <x v="1"/>
    <s v="DK2_Large"/>
    <x v="3"/>
    <s v="GNR_ST_MSW_BP_E-21"/>
    <x v="0"/>
    <x v="19"/>
    <n v="46.321230665969701"/>
    <n v="16907.2491930789"/>
    <n v="60866.097095084202"/>
  </r>
  <r>
    <x v="0"/>
    <x v="0"/>
    <x v="0"/>
    <x v="0"/>
    <x v="1"/>
    <s v="DK2_Large"/>
    <x v="3"/>
    <s v="GNR_ST_MSW_BP_E-21"/>
    <x v="0"/>
    <x v="20"/>
    <n v="46.321230665969701"/>
    <n v="16907.2491930789"/>
    <n v="60866.097095084202"/>
  </r>
  <r>
    <x v="0"/>
    <x v="0"/>
    <x v="0"/>
    <x v="0"/>
    <x v="1"/>
    <s v="DK2_Large"/>
    <x v="3"/>
    <s v="GNR_ST_MSW_BP_E-21"/>
    <x v="0"/>
    <x v="21"/>
    <n v="46.321230665969701"/>
    <n v="16907.2491930789"/>
    <n v="60866.097095084202"/>
  </r>
  <r>
    <x v="0"/>
    <x v="0"/>
    <x v="0"/>
    <x v="0"/>
    <x v="1"/>
    <s v="DK2_Large"/>
    <x v="3"/>
    <s v="GNR_ST_MSW_BP_E-21"/>
    <x v="0"/>
    <x v="22"/>
    <n v="46.321230665969701"/>
    <n v="16907.2491930789"/>
    <n v="60866.097095084202"/>
  </r>
  <r>
    <x v="0"/>
    <x v="0"/>
    <x v="0"/>
    <x v="0"/>
    <x v="1"/>
    <s v="DK2_Large"/>
    <x v="3"/>
    <s v="GNR_ST_MSW_BP_E-21"/>
    <x v="0"/>
    <x v="23"/>
    <n v="46.321230665969701"/>
    <n v="16907.2491930789"/>
    <n v="60866.097095084202"/>
  </r>
  <r>
    <x v="0"/>
    <x v="0"/>
    <x v="0"/>
    <x v="0"/>
    <x v="1"/>
    <s v="DK2_Large"/>
    <x v="3"/>
    <s v="GNR_ST_MSW_BP_E-27"/>
    <x v="0"/>
    <x v="0"/>
    <n v="65.593567512395097"/>
    <n v="23941.652142024199"/>
    <n v="86189.947711287095"/>
  </r>
  <r>
    <x v="0"/>
    <x v="0"/>
    <x v="0"/>
    <x v="0"/>
    <x v="1"/>
    <s v="DK2_Large"/>
    <x v="3"/>
    <s v="GNR_ST_MSW_BP_E-27"/>
    <x v="0"/>
    <x v="1"/>
    <n v="65.593567512395097"/>
    <n v="23941.652142024199"/>
    <n v="86189.947711287095"/>
  </r>
  <r>
    <x v="0"/>
    <x v="0"/>
    <x v="0"/>
    <x v="0"/>
    <x v="1"/>
    <s v="DK2_Large"/>
    <x v="3"/>
    <s v="GNR_ST_MSW_BP_E-27"/>
    <x v="0"/>
    <x v="2"/>
    <n v="65.593567512395097"/>
    <n v="23941.652142024199"/>
    <n v="86189.947711287095"/>
  </r>
  <r>
    <x v="0"/>
    <x v="0"/>
    <x v="0"/>
    <x v="0"/>
    <x v="1"/>
    <s v="DK2_Large"/>
    <x v="3"/>
    <s v="GNR_ST_MSW_BP_E-27"/>
    <x v="0"/>
    <x v="3"/>
    <n v="65.593567512395097"/>
    <n v="23941.652142024199"/>
    <n v="86189.947711287095"/>
  </r>
  <r>
    <x v="0"/>
    <x v="0"/>
    <x v="0"/>
    <x v="0"/>
    <x v="1"/>
    <s v="DK2_Large"/>
    <x v="3"/>
    <s v="GNR_ST_MSW_BP_E-27"/>
    <x v="0"/>
    <x v="4"/>
    <n v="65.593567512395097"/>
    <n v="23941.652142024199"/>
    <n v="86189.947711287095"/>
  </r>
  <r>
    <x v="0"/>
    <x v="0"/>
    <x v="0"/>
    <x v="0"/>
    <x v="1"/>
    <s v="DK2_Large"/>
    <x v="3"/>
    <s v="GNR_ST_MSW_BP_E-27"/>
    <x v="0"/>
    <x v="5"/>
    <n v="65.593567512395097"/>
    <n v="23941.652142024199"/>
    <n v="86189.947711287095"/>
  </r>
  <r>
    <x v="0"/>
    <x v="0"/>
    <x v="0"/>
    <x v="0"/>
    <x v="1"/>
    <s v="DK2_Large"/>
    <x v="3"/>
    <s v="GNR_ST_MSW_BP_E-27"/>
    <x v="0"/>
    <x v="6"/>
    <n v="65.593567512395097"/>
    <n v="23941.652142024199"/>
    <n v="86189.947711287095"/>
  </r>
  <r>
    <x v="0"/>
    <x v="0"/>
    <x v="0"/>
    <x v="0"/>
    <x v="1"/>
    <s v="DK2_Large"/>
    <x v="3"/>
    <s v="GNR_ST_MSW_BP_E-27"/>
    <x v="0"/>
    <x v="7"/>
    <n v="65.593567512395097"/>
    <n v="23941.652142024199"/>
    <n v="86189.947711287095"/>
  </r>
  <r>
    <x v="0"/>
    <x v="0"/>
    <x v="0"/>
    <x v="0"/>
    <x v="1"/>
    <s v="DK2_Large"/>
    <x v="3"/>
    <s v="GNR_ST_MSW_BP_E-27"/>
    <x v="0"/>
    <x v="8"/>
    <n v="65.593567512395097"/>
    <n v="23941.652142024199"/>
    <n v="86189.947711287095"/>
  </r>
  <r>
    <x v="0"/>
    <x v="0"/>
    <x v="0"/>
    <x v="0"/>
    <x v="1"/>
    <s v="DK2_Large"/>
    <x v="3"/>
    <s v="GNR_ST_MSW_BP_E-27"/>
    <x v="0"/>
    <x v="9"/>
    <n v="65.593567512395097"/>
    <n v="23941.652142024199"/>
    <n v="86189.947711287095"/>
  </r>
  <r>
    <x v="0"/>
    <x v="0"/>
    <x v="0"/>
    <x v="0"/>
    <x v="1"/>
    <s v="DK2_Large"/>
    <x v="3"/>
    <s v="GNR_ST_MSW_BP_E-27"/>
    <x v="0"/>
    <x v="10"/>
    <n v="65.593567512395097"/>
    <n v="23941.652142024199"/>
    <n v="86189.947711287095"/>
  </r>
  <r>
    <x v="0"/>
    <x v="0"/>
    <x v="0"/>
    <x v="0"/>
    <x v="1"/>
    <s v="DK2_Large"/>
    <x v="3"/>
    <s v="GNR_ST_MSW_BP_E-27"/>
    <x v="0"/>
    <x v="11"/>
    <n v="65.593567512395097"/>
    <n v="23941.652142024199"/>
    <n v="86189.947711287095"/>
  </r>
  <r>
    <x v="0"/>
    <x v="0"/>
    <x v="0"/>
    <x v="0"/>
    <x v="1"/>
    <s v="DK2_Large"/>
    <x v="3"/>
    <s v="GNR_ST_MSW_BP_E-27"/>
    <x v="0"/>
    <x v="12"/>
    <n v="65.593567512395097"/>
    <n v="23941.652142024199"/>
    <n v="86189.947711287095"/>
  </r>
  <r>
    <x v="0"/>
    <x v="0"/>
    <x v="0"/>
    <x v="0"/>
    <x v="1"/>
    <s v="DK2_Large"/>
    <x v="3"/>
    <s v="GNR_ST_MSW_BP_E-27"/>
    <x v="0"/>
    <x v="13"/>
    <n v="65.593567512395097"/>
    <n v="23941.652142024199"/>
    <n v="86189.947711287095"/>
  </r>
  <r>
    <x v="0"/>
    <x v="0"/>
    <x v="0"/>
    <x v="0"/>
    <x v="1"/>
    <s v="DK2_Large"/>
    <x v="3"/>
    <s v="GNR_ST_MSW_BP_E-27"/>
    <x v="0"/>
    <x v="14"/>
    <n v="65.593567512395097"/>
    <n v="23941.652142024199"/>
    <n v="86189.947711287095"/>
  </r>
  <r>
    <x v="0"/>
    <x v="0"/>
    <x v="0"/>
    <x v="0"/>
    <x v="1"/>
    <s v="DK2_Large"/>
    <x v="3"/>
    <s v="GNR_ST_MSW_BP_E-27"/>
    <x v="0"/>
    <x v="15"/>
    <n v="65.593567512395097"/>
    <n v="23941.652142024199"/>
    <n v="86189.947711287095"/>
  </r>
  <r>
    <x v="0"/>
    <x v="0"/>
    <x v="0"/>
    <x v="0"/>
    <x v="1"/>
    <s v="DK2_Large"/>
    <x v="3"/>
    <s v="GNR_ST_MSW_BP_E-27"/>
    <x v="0"/>
    <x v="16"/>
    <n v="65.593567512395097"/>
    <n v="23941.652142024199"/>
    <n v="86189.947711287095"/>
  </r>
  <r>
    <x v="0"/>
    <x v="0"/>
    <x v="0"/>
    <x v="0"/>
    <x v="1"/>
    <s v="DK2_Large"/>
    <x v="3"/>
    <s v="GNR_ST_MSW_BP_E-27"/>
    <x v="0"/>
    <x v="17"/>
    <n v="65.593567512395097"/>
    <n v="23941.652142024199"/>
    <n v="86189.947711287095"/>
  </r>
  <r>
    <x v="0"/>
    <x v="0"/>
    <x v="0"/>
    <x v="0"/>
    <x v="1"/>
    <s v="DK2_Large"/>
    <x v="3"/>
    <s v="GNR_ST_MSW_BP_E-27"/>
    <x v="0"/>
    <x v="18"/>
    <n v="65.593567512395097"/>
    <n v="23941.652142024199"/>
    <n v="86189.947711287095"/>
  </r>
  <r>
    <x v="0"/>
    <x v="0"/>
    <x v="0"/>
    <x v="0"/>
    <x v="1"/>
    <s v="DK2_Large"/>
    <x v="3"/>
    <s v="GNR_ST_MSW_BP_E-27"/>
    <x v="0"/>
    <x v="19"/>
    <n v="65.593567512395097"/>
    <n v="23941.652142024199"/>
    <n v="86189.947711287095"/>
  </r>
  <r>
    <x v="0"/>
    <x v="0"/>
    <x v="0"/>
    <x v="0"/>
    <x v="1"/>
    <s v="DK2_Large"/>
    <x v="3"/>
    <s v="GNR_ST_MSW_BP_E-27"/>
    <x v="0"/>
    <x v="20"/>
    <n v="65.593567512395097"/>
    <n v="23941.652142024199"/>
    <n v="86189.947711287095"/>
  </r>
  <r>
    <x v="0"/>
    <x v="0"/>
    <x v="0"/>
    <x v="0"/>
    <x v="1"/>
    <s v="DK2_Large"/>
    <x v="3"/>
    <s v="GNR_ST_MSW_BP_E-27"/>
    <x v="0"/>
    <x v="21"/>
    <n v="65.593567512395097"/>
    <n v="23941.652142024199"/>
    <n v="86189.947711287095"/>
  </r>
  <r>
    <x v="0"/>
    <x v="0"/>
    <x v="0"/>
    <x v="0"/>
    <x v="1"/>
    <s v="DK2_Large"/>
    <x v="3"/>
    <s v="GNR_ST_MSW_BP_E-27"/>
    <x v="0"/>
    <x v="22"/>
    <n v="65.593567512395097"/>
    <n v="23941.652142024199"/>
    <n v="86189.947711287095"/>
  </r>
  <r>
    <x v="0"/>
    <x v="0"/>
    <x v="0"/>
    <x v="0"/>
    <x v="1"/>
    <s v="DK2_Large"/>
    <x v="3"/>
    <s v="GNR_ST_MSW_BP_E-27"/>
    <x v="0"/>
    <x v="23"/>
    <n v="65.593567512395097"/>
    <n v="23941.652142024199"/>
    <n v="86189.947711287095"/>
  </r>
  <r>
    <x v="0"/>
    <x v="0"/>
    <x v="0"/>
    <x v="0"/>
    <x v="1"/>
    <s v="DK2_Large"/>
    <x v="4"/>
    <s v="GNR_ENG_NGAS_BP_E-40"/>
    <x v="0"/>
    <x v="0"/>
    <n v="6.1111111111111098"/>
    <n v="2230.5555555555602"/>
    <n v="8030"/>
  </r>
  <r>
    <x v="0"/>
    <x v="0"/>
    <x v="0"/>
    <x v="0"/>
    <x v="1"/>
    <s v="DK2_Large"/>
    <x v="4"/>
    <s v="GNR_ENG_NGAS_BP_E-40"/>
    <x v="0"/>
    <x v="1"/>
    <n v="6.1111111111111098"/>
    <n v="2230.5555555555602"/>
    <n v="8030"/>
  </r>
  <r>
    <x v="0"/>
    <x v="0"/>
    <x v="0"/>
    <x v="0"/>
    <x v="1"/>
    <s v="DK2_Large"/>
    <x v="4"/>
    <s v="GNR_ENG_NGAS_BP_E-40"/>
    <x v="0"/>
    <x v="3"/>
    <n v="6.1111111111111098"/>
    <n v="2230.5555555555602"/>
    <n v="8030"/>
  </r>
  <r>
    <x v="0"/>
    <x v="0"/>
    <x v="0"/>
    <x v="0"/>
    <x v="1"/>
    <s v="DK2_Large"/>
    <x v="4"/>
    <s v="GNR_ENG_NGAS_BP_E-40"/>
    <x v="0"/>
    <x v="4"/>
    <n v="6.1111111111111098"/>
    <n v="2230.5555555555602"/>
    <n v="8030"/>
  </r>
  <r>
    <x v="0"/>
    <x v="0"/>
    <x v="0"/>
    <x v="0"/>
    <x v="1"/>
    <s v="DK2_Large"/>
    <x v="4"/>
    <s v="GNR_ENG_NGAS_BP_E-40"/>
    <x v="0"/>
    <x v="5"/>
    <n v="6.1111111111111098"/>
    <n v="2230.5555555555602"/>
    <n v="8030"/>
  </r>
  <r>
    <x v="0"/>
    <x v="0"/>
    <x v="0"/>
    <x v="0"/>
    <x v="1"/>
    <s v="DK2_Large"/>
    <x v="4"/>
    <s v="GNR_ENG_NGAS_BP_E-40"/>
    <x v="0"/>
    <x v="6"/>
    <n v="6.1111111111111098"/>
    <n v="2230.5555555555602"/>
    <n v="8030"/>
  </r>
  <r>
    <x v="0"/>
    <x v="0"/>
    <x v="0"/>
    <x v="0"/>
    <x v="1"/>
    <s v="DK2_Large"/>
    <x v="4"/>
    <s v="GNR_ENG_NGAS_BP_E-40"/>
    <x v="0"/>
    <x v="7"/>
    <n v="6.1111111111111098"/>
    <n v="2230.5555555555602"/>
    <n v="8030"/>
  </r>
  <r>
    <x v="0"/>
    <x v="0"/>
    <x v="0"/>
    <x v="0"/>
    <x v="1"/>
    <s v="DK2_Large"/>
    <x v="4"/>
    <s v="GNR_ENG_NGAS_BP_E-40"/>
    <x v="0"/>
    <x v="8"/>
    <n v="6.1111111111111098"/>
    <n v="2230.5555555555602"/>
    <n v="8030"/>
  </r>
  <r>
    <x v="0"/>
    <x v="0"/>
    <x v="0"/>
    <x v="0"/>
    <x v="1"/>
    <s v="DK2_Large"/>
    <x v="4"/>
    <s v="GNR_ENG_NGAS_BP_E-40"/>
    <x v="0"/>
    <x v="9"/>
    <n v="6.1111111111111098"/>
    <n v="2230.5555555555602"/>
    <n v="8030"/>
  </r>
  <r>
    <x v="0"/>
    <x v="0"/>
    <x v="0"/>
    <x v="0"/>
    <x v="1"/>
    <s v="DK2_Large"/>
    <x v="4"/>
    <s v="GNR_ENG_NGAS_BP_E-40"/>
    <x v="0"/>
    <x v="10"/>
    <n v="6.1111111111111098"/>
    <n v="2230.5555555555602"/>
    <n v="8030"/>
  </r>
  <r>
    <x v="0"/>
    <x v="0"/>
    <x v="0"/>
    <x v="0"/>
    <x v="1"/>
    <s v="DK2_Large"/>
    <x v="4"/>
    <s v="GNR_ENG_NGAS_BP_E-40"/>
    <x v="0"/>
    <x v="11"/>
    <n v="6.1111111111111098"/>
    <n v="2230.5555555555602"/>
    <n v="8030"/>
  </r>
  <r>
    <x v="0"/>
    <x v="0"/>
    <x v="0"/>
    <x v="0"/>
    <x v="1"/>
    <s v="DK2_Large"/>
    <x v="4"/>
    <s v="GNR_ENG_NGAS_BP_E-40"/>
    <x v="0"/>
    <x v="12"/>
    <n v="6.1111111111111098"/>
    <n v="2230.5555555555602"/>
    <n v="8030"/>
  </r>
  <r>
    <x v="0"/>
    <x v="0"/>
    <x v="0"/>
    <x v="0"/>
    <x v="1"/>
    <s v="DK2_Large"/>
    <x v="4"/>
    <s v="GNR_ENG_NGAS_BP_E-40"/>
    <x v="0"/>
    <x v="13"/>
    <n v="6.1111111111111098"/>
    <n v="2230.5555555555602"/>
    <n v="8030"/>
  </r>
  <r>
    <x v="0"/>
    <x v="0"/>
    <x v="0"/>
    <x v="0"/>
    <x v="1"/>
    <s v="DK2_Large"/>
    <x v="4"/>
    <s v="GNR_ENG_NGAS_BP_E-40"/>
    <x v="0"/>
    <x v="14"/>
    <n v="6.1111111111111098"/>
    <n v="2230.5555555555602"/>
    <n v="8030"/>
  </r>
  <r>
    <x v="0"/>
    <x v="0"/>
    <x v="0"/>
    <x v="0"/>
    <x v="1"/>
    <s v="DK2_Large"/>
    <x v="4"/>
    <s v="GNR_ENG_NGAS_BP_E-40"/>
    <x v="0"/>
    <x v="15"/>
    <n v="6.1111111111111098"/>
    <n v="2230.5555555555602"/>
    <n v="8030"/>
  </r>
  <r>
    <x v="0"/>
    <x v="0"/>
    <x v="0"/>
    <x v="0"/>
    <x v="1"/>
    <s v="DK2_Large"/>
    <x v="4"/>
    <s v="GNR_ENG_NGAS_BP_E-40"/>
    <x v="0"/>
    <x v="16"/>
    <n v="6.1111111111111098"/>
    <n v="2230.5555555555602"/>
    <n v="8030"/>
  </r>
  <r>
    <x v="0"/>
    <x v="0"/>
    <x v="0"/>
    <x v="0"/>
    <x v="1"/>
    <s v="DK2_Large"/>
    <x v="4"/>
    <s v="GNR_ENG_NGAS_BP_E-40"/>
    <x v="0"/>
    <x v="17"/>
    <n v="6.1111111111111098"/>
    <n v="2230.5555555555602"/>
    <n v="8030"/>
  </r>
  <r>
    <x v="0"/>
    <x v="0"/>
    <x v="0"/>
    <x v="0"/>
    <x v="1"/>
    <s v="DK2_Large"/>
    <x v="4"/>
    <s v="GNR_ENG_NGAS_BP_E-40"/>
    <x v="0"/>
    <x v="18"/>
    <n v="6.1111111111111098"/>
    <n v="2230.5555555555602"/>
    <n v="8030"/>
  </r>
  <r>
    <x v="0"/>
    <x v="0"/>
    <x v="0"/>
    <x v="0"/>
    <x v="1"/>
    <s v="DK2_Large"/>
    <x v="4"/>
    <s v="GNR_ST_NGAS_BP_E-39"/>
    <x v="0"/>
    <x v="0"/>
    <n v="117.142857142857"/>
    <n v="42757.142857142899"/>
    <n v="153925.714285714"/>
  </r>
  <r>
    <x v="0"/>
    <x v="0"/>
    <x v="0"/>
    <x v="0"/>
    <x v="1"/>
    <s v="DK2_Large"/>
    <x v="4"/>
    <s v="GNR_ST_NGAS_BP_E-39"/>
    <x v="0"/>
    <x v="1"/>
    <n v="117.142857142857"/>
    <n v="42757.142857142899"/>
    <n v="153925.714285714"/>
  </r>
  <r>
    <x v="0"/>
    <x v="0"/>
    <x v="0"/>
    <x v="0"/>
    <x v="1"/>
    <s v="DK2_Large"/>
    <x v="4"/>
    <s v="GNR_ST_NGAS_BP_E-39"/>
    <x v="0"/>
    <x v="2"/>
    <n v="117.142857142857"/>
    <n v="42757.142857142899"/>
    <n v="153925.714285714"/>
  </r>
  <r>
    <x v="0"/>
    <x v="0"/>
    <x v="0"/>
    <x v="0"/>
    <x v="1"/>
    <s v="DK2_Large"/>
    <x v="4"/>
    <s v="GNR_ST_NGAS_BP_E-39"/>
    <x v="0"/>
    <x v="3"/>
    <n v="117.142857142857"/>
    <n v="42757.142857142899"/>
    <n v="153925.714285714"/>
  </r>
  <r>
    <x v="0"/>
    <x v="0"/>
    <x v="0"/>
    <x v="0"/>
    <x v="1"/>
    <s v="DK2_Large"/>
    <x v="4"/>
    <s v="GNR_ST_NGAS_BP_E-39"/>
    <x v="0"/>
    <x v="4"/>
    <n v="117.142857142857"/>
    <n v="42757.142857142899"/>
    <n v="153925.714285714"/>
  </r>
  <r>
    <x v="0"/>
    <x v="0"/>
    <x v="0"/>
    <x v="0"/>
    <x v="1"/>
    <s v="DK2_Large"/>
    <x v="4"/>
    <s v="GNR_ST_NGAS_BP_E-39"/>
    <x v="0"/>
    <x v="5"/>
    <n v="117.142857142857"/>
    <n v="42757.142857142899"/>
    <n v="153925.714285714"/>
  </r>
  <r>
    <x v="0"/>
    <x v="0"/>
    <x v="0"/>
    <x v="0"/>
    <x v="1"/>
    <s v="DK2_Large"/>
    <x v="4"/>
    <s v="GNR_ST_NGAS_BP_E-39"/>
    <x v="0"/>
    <x v="6"/>
    <n v="117.142857142857"/>
    <n v="42757.142857142899"/>
    <n v="153925.714285714"/>
  </r>
  <r>
    <x v="0"/>
    <x v="0"/>
    <x v="0"/>
    <x v="0"/>
    <x v="1"/>
    <s v="DK2_Large"/>
    <x v="4"/>
    <s v="GNR_ST_NGAS_BP_E-39"/>
    <x v="0"/>
    <x v="7"/>
    <n v="117.142857142857"/>
    <n v="42757.142857142899"/>
    <n v="153925.714285714"/>
  </r>
  <r>
    <x v="0"/>
    <x v="0"/>
    <x v="0"/>
    <x v="0"/>
    <x v="1"/>
    <s v="DK2_Large"/>
    <x v="4"/>
    <s v="GNR_ST_NGAS_BP_E-39"/>
    <x v="0"/>
    <x v="8"/>
    <n v="117.142857142857"/>
    <n v="42757.142857142899"/>
    <n v="153925.714285714"/>
  </r>
  <r>
    <x v="0"/>
    <x v="0"/>
    <x v="0"/>
    <x v="0"/>
    <x v="1"/>
    <s v="DK2_Large"/>
    <x v="4"/>
    <s v="GNR_ST_NGAS_BP_E-39"/>
    <x v="0"/>
    <x v="9"/>
    <n v="117.142857142857"/>
    <n v="42757.142857142899"/>
    <n v="153925.714285714"/>
  </r>
  <r>
    <x v="0"/>
    <x v="0"/>
    <x v="0"/>
    <x v="0"/>
    <x v="1"/>
    <s v="DK2_Large"/>
    <x v="4"/>
    <s v="GNR_ST_NGAS_BP_E-39"/>
    <x v="0"/>
    <x v="10"/>
    <n v="117.142857142857"/>
    <n v="42757.142857142899"/>
    <n v="153925.714285714"/>
  </r>
  <r>
    <x v="0"/>
    <x v="0"/>
    <x v="0"/>
    <x v="0"/>
    <x v="1"/>
    <s v="DK2_Large"/>
    <x v="4"/>
    <s v="GNR_ST_NGAS_BP_E-39"/>
    <x v="0"/>
    <x v="11"/>
    <n v="117.142857142857"/>
    <n v="42757.142857142899"/>
    <n v="153925.714285714"/>
  </r>
  <r>
    <x v="0"/>
    <x v="0"/>
    <x v="0"/>
    <x v="0"/>
    <x v="1"/>
    <s v="DK2_Large"/>
    <x v="4"/>
    <s v="GNR_ST_NGAS_BP_E-39"/>
    <x v="0"/>
    <x v="12"/>
    <n v="117.142857142857"/>
    <n v="42757.142857142899"/>
    <n v="153925.714285714"/>
  </r>
  <r>
    <x v="0"/>
    <x v="0"/>
    <x v="0"/>
    <x v="0"/>
    <x v="1"/>
    <s v="DK2_Large"/>
    <x v="4"/>
    <s v="GNR_ST_NGAS_BP_E-39"/>
    <x v="0"/>
    <x v="13"/>
    <n v="117.142857142857"/>
    <n v="42757.142857142899"/>
    <n v="153925.714285714"/>
  </r>
  <r>
    <x v="0"/>
    <x v="0"/>
    <x v="0"/>
    <x v="0"/>
    <x v="1"/>
    <s v="DK2_Large"/>
    <x v="4"/>
    <s v="GNR_ST_NGAS_BP_E-39"/>
    <x v="0"/>
    <x v="14"/>
    <n v="117.142857142857"/>
    <n v="42757.142857142899"/>
    <n v="153925.714285714"/>
  </r>
  <r>
    <x v="0"/>
    <x v="0"/>
    <x v="0"/>
    <x v="0"/>
    <x v="1"/>
    <s v="DK2_Large"/>
    <x v="4"/>
    <s v="GNR_ST_NGAS_BP_E-39"/>
    <x v="0"/>
    <x v="15"/>
    <n v="117.142857142857"/>
    <n v="42757.142857142899"/>
    <n v="153925.714285714"/>
  </r>
  <r>
    <x v="0"/>
    <x v="0"/>
    <x v="0"/>
    <x v="0"/>
    <x v="1"/>
    <s v="DK2_Large"/>
    <x v="4"/>
    <s v="GNR_ST_NGAS_BP_E-39"/>
    <x v="0"/>
    <x v="16"/>
    <n v="117.142857142857"/>
    <n v="42757.142857142899"/>
    <n v="153925.714285714"/>
  </r>
  <r>
    <x v="0"/>
    <x v="0"/>
    <x v="0"/>
    <x v="0"/>
    <x v="1"/>
    <s v="DK2_Large"/>
    <x v="4"/>
    <s v="GNR_ST_NGAS_BP_E-39"/>
    <x v="0"/>
    <x v="17"/>
    <n v="117.142857142857"/>
    <n v="42757.142857142899"/>
    <n v="153925.714285714"/>
  </r>
  <r>
    <x v="0"/>
    <x v="0"/>
    <x v="0"/>
    <x v="0"/>
    <x v="1"/>
    <s v="DK2_Large"/>
    <x v="4"/>
    <s v="GNR_ST_NGAS_BP_E-39"/>
    <x v="0"/>
    <x v="18"/>
    <n v="117.142857142857"/>
    <n v="42757.142857142899"/>
    <n v="153925.714285714"/>
  </r>
  <r>
    <x v="0"/>
    <x v="0"/>
    <x v="0"/>
    <x v="0"/>
    <x v="1"/>
    <s v="DK2_Large"/>
    <x v="6"/>
    <s v="GNR_GEO_HEAT_HO"/>
    <x v="0"/>
    <x v="0"/>
    <n v="14"/>
    <n v="5110"/>
    <n v="18396"/>
  </r>
  <r>
    <x v="0"/>
    <x v="0"/>
    <x v="0"/>
    <x v="0"/>
    <x v="1"/>
    <s v="DK2_Large"/>
    <x v="6"/>
    <s v="GNR_GEO_HEAT_HO"/>
    <x v="0"/>
    <x v="1"/>
    <n v="14"/>
    <n v="5110"/>
    <n v="18396"/>
  </r>
  <r>
    <x v="0"/>
    <x v="0"/>
    <x v="0"/>
    <x v="0"/>
    <x v="1"/>
    <s v="DK2_Large"/>
    <x v="6"/>
    <s v="GNR_GEO_HEAT_HO"/>
    <x v="0"/>
    <x v="2"/>
    <n v="14"/>
    <n v="5110"/>
    <n v="18396"/>
  </r>
  <r>
    <x v="0"/>
    <x v="0"/>
    <x v="0"/>
    <x v="0"/>
    <x v="1"/>
    <s v="DK2_Large"/>
    <x v="6"/>
    <s v="GNR_GEO_HEAT_HO"/>
    <x v="0"/>
    <x v="3"/>
    <n v="14"/>
    <n v="5110"/>
    <n v="18396"/>
  </r>
  <r>
    <x v="0"/>
    <x v="0"/>
    <x v="0"/>
    <x v="0"/>
    <x v="1"/>
    <s v="DK2_Large"/>
    <x v="6"/>
    <s v="GNR_GEO_HEAT_HO"/>
    <x v="0"/>
    <x v="4"/>
    <n v="14"/>
    <n v="5110"/>
    <n v="18396"/>
  </r>
  <r>
    <x v="0"/>
    <x v="0"/>
    <x v="0"/>
    <x v="0"/>
    <x v="1"/>
    <s v="DK2_Large"/>
    <x v="6"/>
    <s v="GNR_GEO_HEAT_HO"/>
    <x v="0"/>
    <x v="5"/>
    <n v="14"/>
    <n v="5110"/>
    <n v="18396"/>
  </r>
  <r>
    <x v="0"/>
    <x v="0"/>
    <x v="0"/>
    <x v="0"/>
    <x v="1"/>
    <s v="DK2_Large"/>
    <x v="6"/>
    <s v="GNR_GEO_HEAT_HO"/>
    <x v="0"/>
    <x v="6"/>
    <n v="14"/>
    <n v="5110"/>
    <n v="18396"/>
  </r>
  <r>
    <x v="0"/>
    <x v="0"/>
    <x v="0"/>
    <x v="0"/>
    <x v="1"/>
    <s v="DK2_Large"/>
    <x v="6"/>
    <s v="GNR_GEO_HEAT_HO"/>
    <x v="0"/>
    <x v="7"/>
    <n v="14"/>
    <n v="5110"/>
    <n v="18396"/>
  </r>
  <r>
    <x v="0"/>
    <x v="0"/>
    <x v="0"/>
    <x v="0"/>
    <x v="1"/>
    <s v="DK2_Large"/>
    <x v="6"/>
    <s v="GNR_GEO_HEAT_HO"/>
    <x v="0"/>
    <x v="8"/>
    <n v="14"/>
    <n v="5110"/>
    <n v="18396"/>
  </r>
  <r>
    <x v="0"/>
    <x v="0"/>
    <x v="0"/>
    <x v="0"/>
    <x v="1"/>
    <s v="DK2_Large"/>
    <x v="6"/>
    <s v="GNR_GEO_HEAT_HO"/>
    <x v="0"/>
    <x v="9"/>
    <n v="14"/>
    <n v="5110"/>
    <n v="18396"/>
  </r>
  <r>
    <x v="0"/>
    <x v="0"/>
    <x v="0"/>
    <x v="0"/>
    <x v="1"/>
    <s v="DK2_Large"/>
    <x v="6"/>
    <s v="GNR_GEO_HEAT_HO"/>
    <x v="0"/>
    <x v="10"/>
    <n v="14"/>
    <n v="5110"/>
    <n v="18396"/>
  </r>
  <r>
    <x v="0"/>
    <x v="0"/>
    <x v="0"/>
    <x v="0"/>
    <x v="1"/>
    <s v="DK2_Large"/>
    <x v="6"/>
    <s v="GNR_GEO_HEAT_HO"/>
    <x v="0"/>
    <x v="11"/>
    <n v="14"/>
    <n v="5110"/>
    <n v="18396"/>
  </r>
  <r>
    <x v="0"/>
    <x v="0"/>
    <x v="0"/>
    <x v="0"/>
    <x v="1"/>
    <s v="DK2_Large"/>
    <x v="6"/>
    <s v="GNR_GEO_HEAT_HO"/>
    <x v="0"/>
    <x v="12"/>
    <n v="14"/>
    <n v="5110"/>
    <n v="18396"/>
  </r>
  <r>
    <x v="0"/>
    <x v="0"/>
    <x v="0"/>
    <x v="0"/>
    <x v="1"/>
    <s v="DK2_Large"/>
    <x v="6"/>
    <s v="GNR_GEO_HEAT_HO"/>
    <x v="0"/>
    <x v="13"/>
    <n v="14"/>
    <n v="5110"/>
    <n v="18396"/>
  </r>
  <r>
    <x v="0"/>
    <x v="0"/>
    <x v="0"/>
    <x v="0"/>
    <x v="1"/>
    <s v="DK2_Large"/>
    <x v="6"/>
    <s v="GNR_GEO_HEAT_HO"/>
    <x v="0"/>
    <x v="14"/>
    <n v="14"/>
    <n v="5110"/>
    <n v="18396"/>
  </r>
  <r>
    <x v="0"/>
    <x v="0"/>
    <x v="0"/>
    <x v="0"/>
    <x v="1"/>
    <s v="DK2_Large"/>
    <x v="6"/>
    <s v="GNR_GEO_HEAT_HO"/>
    <x v="0"/>
    <x v="15"/>
    <n v="14"/>
    <n v="5110"/>
    <n v="18396"/>
  </r>
  <r>
    <x v="0"/>
    <x v="0"/>
    <x v="0"/>
    <x v="0"/>
    <x v="1"/>
    <s v="DK2_Large"/>
    <x v="6"/>
    <s v="GNR_GEO_HEAT_HO"/>
    <x v="0"/>
    <x v="16"/>
    <n v="14"/>
    <n v="5110"/>
    <n v="18396"/>
  </r>
  <r>
    <x v="0"/>
    <x v="0"/>
    <x v="0"/>
    <x v="0"/>
    <x v="1"/>
    <s v="DK2_Large"/>
    <x v="6"/>
    <s v="GNR_GEO_HEAT_HO"/>
    <x v="0"/>
    <x v="17"/>
    <n v="14"/>
    <n v="5110"/>
    <n v="18396"/>
  </r>
  <r>
    <x v="0"/>
    <x v="0"/>
    <x v="0"/>
    <x v="0"/>
    <x v="1"/>
    <s v="DK2_Large"/>
    <x v="6"/>
    <s v="GNR_GEO_HEAT_HO"/>
    <x v="0"/>
    <x v="18"/>
    <n v="14"/>
    <n v="5110"/>
    <n v="18396"/>
  </r>
  <r>
    <x v="0"/>
    <x v="0"/>
    <x v="0"/>
    <x v="0"/>
    <x v="1"/>
    <s v="DK2_Large"/>
    <x v="6"/>
    <s v="GNR_GEO_HEAT_HO"/>
    <x v="0"/>
    <x v="19"/>
    <n v="14"/>
    <n v="5110"/>
    <n v="18396"/>
  </r>
  <r>
    <x v="0"/>
    <x v="0"/>
    <x v="0"/>
    <x v="0"/>
    <x v="1"/>
    <s v="DK2_Large"/>
    <x v="6"/>
    <s v="GNR_GEO_HEAT_HO"/>
    <x v="0"/>
    <x v="20"/>
    <n v="14"/>
    <n v="5110"/>
    <n v="18396"/>
  </r>
  <r>
    <x v="0"/>
    <x v="0"/>
    <x v="0"/>
    <x v="0"/>
    <x v="1"/>
    <s v="DK2_Large"/>
    <x v="6"/>
    <s v="GNR_GEO_HEAT_HO"/>
    <x v="0"/>
    <x v="21"/>
    <n v="14"/>
    <n v="5110"/>
    <n v="18396"/>
  </r>
  <r>
    <x v="0"/>
    <x v="0"/>
    <x v="0"/>
    <x v="0"/>
    <x v="1"/>
    <s v="DK2_Large"/>
    <x v="6"/>
    <s v="GNR_GEO_HEAT_HO"/>
    <x v="0"/>
    <x v="22"/>
    <n v="14"/>
    <n v="5110"/>
    <n v="18396"/>
  </r>
  <r>
    <x v="0"/>
    <x v="0"/>
    <x v="0"/>
    <x v="0"/>
    <x v="1"/>
    <s v="DK2_Large"/>
    <x v="6"/>
    <s v="GNR_GEO_HEAT_HO"/>
    <x v="0"/>
    <x v="23"/>
    <n v="14"/>
    <n v="5110"/>
    <n v="18396"/>
  </r>
  <r>
    <x v="0"/>
    <x v="0"/>
    <x v="0"/>
    <x v="0"/>
    <x v="1"/>
    <s v="DK2_Large"/>
    <x v="7"/>
    <s v="GNR_ST_WOODCHI_BP_E-24"/>
    <x v="0"/>
    <x v="0"/>
    <n v="32.352941176470601"/>
    <n v="11808.8235294118"/>
    <n v="42511.764705882299"/>
  </r>
  <r>
    <x v="0"/>
    <x v="0"/>
    <x v="0"/>
    <x v="0"/>
    <x v="1"/>
    <s v="DK2_Large"/>
    <x v="7"/>
    <s v="GNR_ST_WOODCHI_BP_E-24"/>
    <x v="0"/>
    <x v="1"/>
    <n v="32.352941176470601"/>
    <n v="11808.8235294118"/>
    <n v="42511.764705882299"/>
  </r>
  <r>
    <x v="0"/>
    <x v="0"/>
    <x v="0"/>
    <x v="0"/>
    <x v="1"/>
    <s v="DK2_Large"/>
    <x v="7"/>
    <s v="GNR_ST_WOODCHI_BP_E-24"/>
    <x v="0"/>
    <x v="2"/>
    <n v="32.352941176470601"/>
    <n v="11808.8235294118"/>
    <n v="42511.764705882299"/>
  </r>
  <r>
    <x v="0"/>
    <x v="0"/>
    <x v="0"/>
    <x v="0"/>
    <x v="1"/>
    <s v="DK2_Large"/>
    <x v="7"/>
    <s v="GNR_ST_WOODCHI_BP_E-24"/>
    <x v="0"/>
    <x v="3"/>
    <n v="32.352941176470601"/>
    <n v="11808.8235294118"/>
    <n v="42511.764705882299"/>
  </r>
  <r>
    <x v="0"/>
    <x v="0"/>
    <x v="0"/>
    <x v="0"/>
    <x v="1"/>
    <s v="DK2_Large"/>
    <x v="7"/>
    <s v="GNR_ST_WOODCHI_BP_E-24"/>
    <x v="0"/>
    <x v="4"/>
    <n v="32.352941176470601"/>
    <n v="11808.8235294118"/>
    <n v="42511.764705882299"/>
  </r>
  <r>
    <x v="0"/>
    <x v="0"/>
    <x v="0"/>
    <x v="0"/>
    <x v="1"/>
    <s v="DK2_Large"/>
    <x v="7"/>
    <s v="GNR_ST_WOODCHI_BP_E-24"/>
    <x v="0"/>
    <x v="5"/>
    <n v="32.352941176470601"/>
    <n v="11808.8235294118"/>
    <n v="42511.764705882299"/>
  </r>
  <r>
    <x v="0"/>
    <x v="0"/>
    <x v="0"/>
    <x v="0"/>
    <x v="1"/>
    <s v="DK2_Large"/>
    <x v="7"/>
    <s v="GNR_ST_WOODCHI_BP_E-24"/>
    <x v="0"/>
    <x v="6"/>
    <n v="32.352941176470601"/>
    <n v="11808.8235294118"/>
    <n v="42511.764705882299"/>
  </r>
  <r>
    <x v="0"/>
    <x v="0"/>
    <x v="0"/>
    <x v="0"/>
    <x v="1"/>
    <s v="DK2_Large"/>
    <x v="7"/>
    <s v="GNR_ST_WOODCHI_BP_E-24"/>
    <x v="0"/>
    <x v="7"/>
    <n v="32.352941176470601"/>
    <n v="11808.8235294118"/>
    <n v="42511.764705882299"/>
  </r>
  <r>
    <x v="0"/>
    <x v="0"/>
    <x v="0"/>
    <x v="0"/>
    <x v="1"/>
    <s v="DK2_Large"/>
    <x v="7"/>
    <s v="GNR_ST_WOODCHI_BP_E-24"/>
    <x v="0"/>
    <x v="8"/>
    <n v="32.352941176470601"/>
    <n v="11808.8235294118"/>
    <n v="42511.764705882299"/>
  </r>
  <r>
    <x v="0"/>
    <x v="0"/>
    <x v="0"/>
    <x v="0"/>
    <x v="1"/>
    <s v="DK2_Large"/>
    <x v="7"/>
    <s v="GNR_ST_WOODCHI_BP_E-24"/>
    <x v="0"/>
    <x v="9"/>
    <n v="32.352941176470601"/>
    <n v="11808.8235294118"/>
    <n v="42511.764705882299"/>
  </r>
  <r>
    <x v="0"/>
    <x v="0"/>
    <x v="0"/>
    <x v="0"/>
    <x v="1"/>
    <s v="DK2_Large"/>
    <x v="7"/>
    <s v="GNR_ST_WOODCHI_BP_E-24"/>
    <x v="0"/>
    <x v="10"/>
    <n v="32.352941176470601"/>
    <n v="11808.8235294118"/>
    <n v="42511.764705882299"/>
  </r>
  <r>
    <x v="0"/>
    <x v="0"/>
    <x v="0"/>
    <x v="0"/>
    <x v="1"/>
    <s v="DK2_Large"/>
    <x v="7"/>
    <s v="GNR_ST_WOODCHI_BP_E-24"/>
    <x v="0"/>
    <x v="11"/>
    <n v="32.352941176470601"/>
    <n v="11808.8235294118"/>
    <n v="42511.764705882299"/>
  </r>
  <r>
    <x v="0"/>
    <x v="0"/>
    <x v="0"/>
    <x v="0"/>
    <x v="1"/>
    <s v="DK2_Large"/>
    <x v="7"/>
    <s v="GNR_ST_WOODCHI_BP_E-24"/>
    <x v="0"/>
    <x v="12"/>
    <n v="32.352941176470601"/>
    <n v="11808.8235294118"/>
    <n v="42511.764705882299"/>
  </r>
  <r>
    <x v="0"/>
    <x v="0"/>
    <x v="0"/>
    <x v="0"/>
    <x v="1"/>
    <s v="DK2_Large"/>
    <x v="7"/>
    <s v="GNR_ST_WOODCHI_BP_E-24"/>
    <x v="0"/>
    <x v="13"/>
    <n v="32.352941176470601"/>
    <n v="11808.8235294118"/>
    <n v="42511.764705882299"/>
  </r>
  <r>
    <x v="0"/>
    <x v="0"/>
    <x v="0"/>
    <x v="0"/>
    <x v="1"/>
    <s v="DK2_Large"/>
    <x v="7"/>
    <s v="GNR_ST_WOODCHI_BP_E-24"/>
    <x v="0"/>
    <x v="14"/>
    <n v="32.352941176470601"/>
    <n v="11808.8235294118"/>
    <n v="42511.764705882299"/>
  </r>
  <r>
    <x v="0"/>
    <x v="0"/>
    <x v="0"/>
    <x v="0"/>
    <x v="1"/>
    <s v="DK2_Large"/>
    <x v="7"/>
    <s v="GNR_ST_WOODCHI_BP_E-24"/>
    <x v="0"/>
    <x v="15"/>
    <n v="32.352941176470601"/>
    <n v="11808.8235294118"/>
    <n v="42511.764705882299"/>
  </r>
  <r>
    <x v="0"/>
    <x v="0"/>
    <x v="0"/>
    <x v="0"/>
    <x v="1"/>
    <s v="DK2_Large"/>
    <x v="7"/>
    <s v="GNR_ST_WOODCHI_BP_E-24"/>
    <x v="0"/>
    <x v="16"/>
    <n v="32.352941176470601"/>
    <n v="11808.8235294118"/>
    <n v="42511.764705882299"/>
  </r>
  <r>
    <x v="0"/>
    <x v="0"/>
    <x v="0"/>
    <x v="0"/>
    <x v="1"/>
    <s v="DK2_Large"/>
    <x v="7"/>
    <s v="GNR_ST_WOODCHI_BP_E-24"/>
    <x v="0"/>
    <x v="17"/>
    <n v="32.352941176470601"/>
    <n v="11808.8235294118"/>
    <n v="42511.764705882299"/>
  </r>
  <r>
    <x v="0"/>
    <x v="0"/>
    <x v="0"/>
    <x v="0"/>
    <x v="1"/>
    <s v="DK2_Large"/>
    <x v="7"/>
    <s v="GNR_ST_WOODCHI_BP_E-24"/>
    <x v="0"/>
    <x v="18"/>
    <n v="32.352941176470601"/>
    <n v="11808.8235294118"/>
    <n v="42511.764705882299"/>
  </r>
  <r>
    <x v="0"/>
    <x v="0"/>
    <x v="0"/>
    <x v="0"/>
    <x v="1"/>
    <s v="DK2_Large"/>
    <x v="7"/>
    <s v="GNR_ST_WOODCHI_BP_E-24"/>
    <x v="0"/>
    <x v="19"/>
    <n v="32.352941176470601"/>
    <n v="11808.8235294118"/>
    <n v="42511.764705882299"/>
  </r>
  <r>
    <x v="0"/>
    <x v="0"/>
    <x v="0"/>
    <x v="0"/>
    <x v="1"/>
    <s v="DK2_Large"/>
    <x v="7"/>
    <s v="GNR_ST_WOODCHI_BP_E-24"/>
    <x v="0"/>
    <x v="20"/>
    <n v="32.352941176470601"/>
    <n v="11808.8235294118"/>
    <n v="42511.764705882299"/>
  </r>
  <r>
    <x v="0"/>
    <x v="0"/>
    <x v="0"/>
    <x v="0"/>
    <x v="1"/>
    <s v="DK2_Large"/>
    <x v="7"/>
    <s v="GNR_ST_WOODCHI_BP_E-24"/>
    <x v="0"/>
    <x v="21"/>
    <n v="32.352941176470601"/>
    <n v="11808.8235294118"/>
    <n v="42511.764705882299"/>
  </r>
  <r>
    <x v="0"/>
    <x v="0"/>
    <x v="0"/>
    <x v="0"/>
    <x v="1"/>
    <s v="DK2_Large"/>
    <x v="7"/>
    <s v="GNR_ST_WOODCHI_BP_E-24"/>
    <x v="0"/>
    <x v="22"/>
    <n v="32.352941176470601"/>
    <n v="11808.8235294118"/>
    <n v="42511.764705882299"/>
  </r>
  <r>
    <x v="0"/>
    <x v="0"/>
    <x v="0"/>
    <x v="0"/>
    <x v="1"/>
    <s v="DK2_Large"/>
    <x v="7"/>
    <s v="GNR_ST_WOODCHI_BP_E-24"/>
    <x v="0"/>
    <x v="23"/>
    <n v="32.352941176470601"/>
    <n v="11808.8235294118"/>
    <n v="42511.764705882299"/>
  </r>
  <r>
    <x v="0"/>
    <x v="0"/>
    <x v="0"/>
    <x v="0"/>
    <x v="1"/>
    <s v="DK2_Large"/>
    <x v="7"/>
    <s v="GNR_ST_WOODCHI_BP_E-27"/>
    <x v="0"/>
    <x v="0"/>
    <n v="44.117647058823501"/>
    <n v="16102.9411764706"/>
    <n v="57970.588235294097"/>
  </r>
  <r>
    <x v="0"/>
    <x v="0"/>
    <x v="0"/>
    <x v="0"/>
    <x v="1"/>
    <s v="DK2_Large"/>
    <x v="7"/>
    <s v="GNR_ST_WOODCHI_BP_E-27"/>
    <x v="0"/>
    <x v="1"/>
    <n v="44.117647058823501"/>
    <n v="16102.9411764706"/>
    <n v="57970.588235294097"/>
  </r>
  <r>
    <x v="0"/>
    <x v="0"/>
    <x v="0"/>
    <x v="0"/>
    <x v="1"/>
    <s v="DK2_Large"/>
    <x v="7"/>
    <s v="GNR_ST_WOODCHI_BP_E-27"/>
    <x v="0"/>
    <x v="2"/>
    <n v="44.117647058823501"/>
    <n v="16102.9411764706"/>
    <n v="57970.588235294097"/>
  </r>
  <r>
    <x v="0"/>
    <x v="0"/>
    <x v="0"/>
    <x v="0"/>
    <x v="1"/>
    <s v="DK2_Large"/>
    <x v="7"/>
    <s v="GNR_ST_WOODCHI_BP_E-27"/>
    <x v="0"/>
    <x v="3"/>
    <n v="44.117647058823501"/>
    <n v="16102.9411764706"/>
    <n v="57970.588235294097"/>
  </r>
  <r>
    <x v="0"/>
    <x v="0"/>
    <x v="0"/>
    <x v="0"/>
    <x v="1"/>
    <s v="DK2_Large"/>
    <x v="7"/>
    <s v="GNR_ST_WOODCHI_BP_E-27"/>
    <x v="0"/>
    <x v="4"/>
    <n v="44.117647058823501"/>
    <n v="16102.9411764706"/>
    <n v="57970.588235294097"/>
  </r>
  <r>
    <x v="0"/>
    <x v="0"/>
    <x v="0"/>
    <x v="0"/>
    <x v="1"/>
    <s v="DK2_Large"/>
    <x v="7"/>
    <s v="GNR_ST_WOODCHI_BP_E-27"/>
    <x v="0"/>
    <x v="5"/>
    <n v="44.117647058823501"/>
    <n v="16102.9411764706"/>
    <n v="57970.588235294097"/>
  </r>
  <r>
    <x v="0"/>
    <x v="0"/>
    <x v="0"/>
    <x v="0"/>
    <x v="1"/>
    <s v="DK2_Large"/>
    <x v="7"/>
    <s v="GNR_ST_WOODCHI_BP_E-27"/>
    <x v="0"/>
    <x v="6"/>
    <n v="44.117647058823501"/>
    <n v="16102.9411764706"/>
    <n v="57970.588235294097"/>
  </r>
  <r>
    <x v="0"/>
    <x v="0"/>
    <x v="0"/>
    <x v="0"/>
    <x v="1"/>
    <s v="DK2_Large"/>
    <x v="7"/>
    <s v="GNR_ST_WOODCHI_BP_E-27"/>
    <x v="0"/>
    <x v="7"/>
    <n v="44.117647058823501"/>
    <n v="16102.9411764706"/>
    <n v="57970.588235294097"/>
  </r>
  <r>
    <x v="0"/>
    <x v="0"/>
    <x v="0"/>
    <x v="0"/>
    <x v="1"/>
    <s v="DK2_Large"/>
    <x v="7"/>
    <s v="GNR_ST_WOODCHI_BP_E-27"/>
    <x v="0"/>
    <x v="8"/>
    <n v="44.117647058823501"/>
    <n v="16102.9411764706"/>
    <n v="57970.588235294097"/>
  </r>
  <r>
    <x v="0"/>
    <x v="0"/>
    <x v="0"/>
    <x v="0"/>
    <x v="1"/>
    <s v="DK2_Large"/>
    <x v="7"/>
    <s v="GNR_ST_WOODCHI_BP_E-27"/>
    <x v="0"/>
    <x v="9"/>
    <n v="44.117647058823501"/>
    <n v="16102.9411764706"/>
    <n v="57970.588235294097"/>
  </r>
  <r>
    <x v="0"/>
    <x v="0"/>
    <x v="0"/>
    <x v="0"/>
    <x v="1"/>
    <s v="DK2_Large"/>
    <x v="7"/>
    <s v="GNR_ST_WOODCHI_BP_E-27"/>
    <x v="0"/>
    <x v="10"/>
    <n v="44.117647058823501"/>
    <n v="16102.9411764706"/>
    <n v="57970.588235294097"/>
  </r>
  <r>
    <x v="0"/>
    <x v="0"/>
    <x v="0"/>
    <x v="0"/>
    <x v="1"/>
    <s v="DK2_Large"/>
    <x v="7"/>
    <s v="GNR_ST_WOODCHI_BP_E-27"/>
    <x v="0"/>
    <x v="11"/>
    <n v="44.117647058823501"/>
    <n v="16102.9411764706"/>
    <n v="57970.588235294097"/>
  </r>
  <r>
    <x v="0"/>
    <x v="0"/>
    <x v="0"/>
    <x v="0"/>
    <x v="1"/>
    <s v="DK2_Large"/>
    <x v="7"/>
    <s v="GNR_ST_WOODCHI_BP_E-27"/>
    <x v="0"/>
    <x v="12"/>
    <n v="44.117647058823501"/>
    <n v="16102.9411764706"/>
    <n v="57970.588235294097"/>
  </r>
  <r>
    <x v="0"/>
    <x v="0"/>
    <x v="0"/>
    <x v="0"/>
    <x v="1"/>
    <s v="DK2_Large"/>
    <x v="7"/>
    <s v="GNR_ST_WOODCHI_BP_E-27"/>
    <x v="0"/>
    <x v="13"/>
    <n v="44.117647058823501"/>
    <n v="16102.9411764706"/>
    <n v="57970.588235294097"/>
  </r>
  <r>
    <x v="0"/>
    <x v="0"/>
    <x v="0"/>
    <x v="0"/>
    <x v="1"/>
    <s v="DK2_Large"/>
    <x v="7"/>
    <s v="GNR_ST_WOODCHI_BP_E-27"/>
    <x v="0"/>
    <x v="14"/>
    <n v="44.117647058823501"/>
    <n v="16102.9411764706"/>
    <n v="57970.588235294097"/>
  </r>
  <r>
    <x v="0"/>
    <x v="0"/>
    <x v="0"/>
    <x v="0"/>
    <x v="1"/>
    <s v="DK2_Large"/>
    <x v="7"/>
    <s v="GNR_ST_WOODCHI_BP_E-27"/>
    <x v="0"/>
    <x v="15"/>
    <n v="44.117647058823501"/>
    <n v="16102.9411764706"/>
    <n v="57970.588235294097"/>
  </r>
  <r>
    <x v="0"/>
    <x v="0"/>
    <x v="0"/>
    <x v="0"/>
    <x v="1"/>
    <s v="DK2_Large"/>
    <x v="7"/>
    <s v="GNR_ST_WOODCHI_BP_E-27"/>
    <x v="0"/>
    <x v="16"/>
    <n v="44.117647058823501"/>
    <n v="16102.9411764706"/>
    <n v="57970.588235294097"/>
  </r>
  <r>
    <x v="0"/>
    <x v="0"/>
    <x v="0"/>
    <x v="0"/>
    <x v="1"/>
    <s v="DK2_Large"/>
    <x v="7"/>
    <s v="GNR_ST_WOODCHI_BP_E-27"/>
    <x v="0"/>
    <x v="17"/>
    <n v="44.117647058823501"/>
    <n v="16102.9411764706"/>
    <n v="57970.588235294097"/>
  </r>
  <r>
    <x v="0"/>
    <x v="0"/>
    <x v="0"/>
    <x v="0"/>
    <x v="1"/>
    <s v="DK2_Large"/>
    <x v="7"/>
    <s v="GNR_ST_WOODCHI_BP_E-27"/>
    <x v="0"/>
    <x v="18"/>
    <n v="44.117647058823501"/>
    <n v="16102.9411764706"/>
    <n v="57970.588235294097"/>
  </r>
  <r>
    <x v="0"/>
    <x v="0"/>
    <x v="0"/>
    <x v="0"/>
    <x v="1"/>
    <s v="DK2_Large"/>
    <x v="7"/>
    <s v="GNR_ST_WOODCHI_BP_E-27"/>
    <x v="0"/>
    <x v="19"/>
    <n v="44.117647058823501"/>
    <n v="16102.9411764706"/>
    <n v="57970.588235294097"/>
  </r>
  <r>
    <x v="0"/>
    <x v="0"/>
    <x v="0"/>
    <x v="0"/>
    <x v="1"/>
    <s v="DK2_Large"/>
    <x v="7"/>
    <s v="GNR_ST_WOODCHI_BP_E-27"/>
    <x v="0"/>
    <x v="20"/>
    <n v="44.117647058823501"/>
    <n v="16102.9411764706"/>
    <n v="57970.588235294097"/>
  </r>
  <r>
    <x v="0"/>
    <x v="0"/>
    <x v="0"/>
    <x v="0"/>
    <x v="1"/>
    <s v="DK2_Large"/>
    <x v="7"/>
    <s v="GNR_ST_WOODCHI_BP_E-27"/>
    <x v="0"/>
    <x v="21"/>
    <n v="44.117647058823501"/>
    <n v="16102.9411764706"/>
    <n v="57970.588235294097"/>
  </r>
  <r>
    <x v="0"/>
    <x v="0"/>
    <x v="0"/>
    <x v="0"/>
    <x v="1"/>
    <s v="DK2_Large"/>
    <x v="7"/>
    <s v="GNR_ST_WOODCHI_BP_E-27"/>
    <x v="0"/>
    <x v="22"/>
    <n v="44.117647058823501"/>
    <n v="16102.9411764706"/>
    <n v="57970.588235294097"/>
  </r>
  <r>
    <x v="0"/>
    <x v="0"/>
    <x v="0"/>
    <x v="0"/>
    <x v="1"/>
    <s v="DK2_Large"/>
    <x v="7"/>
    <s v="GNR_ST_WOODCHI_BP_E-27"/>
    <x v="0"/>
    <x v="23"/>
    <n v="44.117647058823501"/>
    <n v="16102.9411764706"/>
    <n v="57970.588235294097"/>
  </r>
  <r>
    <x v="0"/>
    <x v="0"/>
    <x v="0"/>
    <x v="0"/>
    <x v="1"/>
    <s v="DK2_Large"/>
    <x v="8"/>
    <s v="GNR_BO_WOODPEL_E-100"/>
    <x v="0"/>
    <x v="0"/>
    <n v="33"/>
    <n v="12045"/>
    <n v="43362"/>
  </r>
  <r>
    <x v="0"/>
    <x v="0"/>
    <x v="0"/>
    <x v="0"/>
    <x v="1"/>
    <s v="DK2_Large"/>
    <x v="8"/>
    <s v="GNR_BO_WOODPEL_E-100"/>
    <x v="0"/>
    <x v="1"/>
    <n v="33"/>
    <n v="12045"/>
    <n v="43362"/>
  </r>
  <r>
    <x v="0"/>
    <x v="0"/>
    <x v="0"/>
    <x v="0"/>
    <x v="1"/>
    <s v="DK2_Large"/>
    <x v="8"/>
    <s v="GNR_BO_WOODPEL_E-100"/>
    <x v="0"/>
    <x v="2"/>
    <n v="33"/>
    <n v="12045"/>
    <n v="43362"/>
  </r>
  <r>
    <x v="0"/>
    <x v="0"/>
    <x v="0"/>
    <x v="0"/>
    <x v="1"/>
    <s v="DK2_Large"/>
    <x v="8"/>
    <s v="GNR_BO_WOODPEL_E-100"/>
    <x v="0"/>
    <x v="3"/>
    <n v="33"/>
    <n v="12045"/>
    <n v="43362"/>
  </r>
  <r>
    <x v="0"/>
    <x v="0"/>
    <x v="0"/>
    <x v="0"/>
    <x v="1"/>
    <s v="DK2_Large"/>
    <x v="8"/>
    <s v="GNR_BO_WOODPEL_E-100"/>
    <x v="0"/>
    <x v="4"/>
    <n v="33"/>
    <n v="12045"/>
    <n v="43362"/>
  </r>
  <r>
    <x v="0"/>
    <x v="0"/>
    <x v="0"/>
    <x v="0"/>
    <x v="1"/>
    <s v="DK2_Large"/>
    <x v="8"/>
    <s v="GNR_BO_WOODPEL_E-100"/>
    <x v="0"/>
    <x v="5"/>
    <n v="33"/>
    <n v="12045"/>
    <n v="43362"/>
  </r>
  <r>
    <x v="0"/>
    <x v="0"/>
    <x v="0"/>
    <x v="0"/>
    <x v="1"/>
    <s v="DK2_Large"/>
    <x v="8"/>
    <s v="GNR_BO_WOODPEL_E-100"/>
    <x v="0"/>
    <x v="6"/>
    <n v="33"/>
    <n v="12045"/>
    <n v="43362"/>
  </r>
  <r>
    <x v="0"/>
    <x v="0"/>
    <x v="0"/>
    <x v="0"/>
    <x v="1"/>
    <s v="DK2_Large"/>
    <x v="8"/>
    <s v="GNR_BO_WOODPEL_E-100"/>
    <x v="0"/>
    <x v="7"/>
    <n v="33"/>
    <n v="12045"/>
    <n v="43362"/>
  </r>
  <r>
    <x v="0"/>
    <x v="0"/>
    <x v="0"/>
    <x v="0"/>
    <x v="1"/>
    <s v="DK2_Large"/>
    <x v="8"/>
    <s v="GNR_BO_WOODPEL_E-100"/>
    <x v="0"/>
    <x v="8"/>
    <n v="33"/>
    <n v="12045"/>
    <n v="43362"/>
  </r>
  <r>
    <x v="0"/>
    <x v="0"/>
    <x v="0"/>
    <x v="0"/>
    <x v="1"/>
    <s v="DK2_Large"/>
    <x v="8"/>
    <s v="GNR_BO_WOODPEL_E-100"/>
    <x v="0"/>
    <x v="9"/>
    <n v="33"/>
    <n v="12045"/>
    <n v="43362"/>
  </r>
  <r>
    <x v="0"/>
    <x v="0"/>
    <x v="0"/>
    <x v="0"/>
    <x v="1"/>
    <s v="DK2_Large"/>
    <x v="8"/>
    <s v="GNR_BO_WOODPEL_E-100"/>
    <x v="0"/>
    <x v="10"/>
    <n v="33"/>
    <n v="12045"/>
    <n v="43362"/>
  </r>
  <r>
    <x v="0"/>
    <x v="0"/>
    <x v="0"/>
    <x v="0"/>
    <x v="1"/>
    <s v="DK2_Large"/>
    <x v="8"/>
    <s v="GNR_BO_WOODPEL_E-100"/>
    <x v="0"/>
    <x v="11"/>
    <n v="33"/>
    <n v="12045"/>
    <n v="43362"/>
  </r>
  <r>
    <x v="0"/>
    <x v="0"/>
    <x v="0"/>
    <x v="0"/>
    <x v="1"/>
    <s v="DK2_Large"/>
    <x v="8"/>
    <s v="GNR_BO_WOODPEL_E-100"/>
    <x v="0"/>
    <x v="12"/>
    <n v="33"/>
    <n v="12045"/>
    <n v="43362"/>
  </r>
  <r>
    <x v="0"/>
    <x v="0"/>
    <x v="0"/>
    <x v="0"/>
    <x v="1"/>
    <s v="DK2_Large"/>
    <x v="8"/>
    <s v="GNR_BO_WOODPEL_E-100"/>
    <x v="0"/>
    <x v="13"/>
    <n v="33"/>
    <n v="12045"/>
    <n v="43362"/>
  </r>
  <r>
    <x v="0"/>
    <x v="0"/>
    <x v="0"/>
    <x v="0"/>
    <x v="1"/>
    <s v="DK2_Large"/>
    <x v="8"/>
    <s v="GNR_BO_WOODPEL_E-100"/>
    <x v="0"/>
    <x v="14"/>
    <n v="33"/>
    <n v="12045"/>
    <n v="43362"/>
  </r>
  <r>
    <x v="0"/>
    <x v="0"/>
    <x v="0"/>
    <x v="0"/>
    <x v="1"/>
    <s v="DK2_Large"/>
    <x v="8"/>
    <s v="GNR_BO_WOODPEL_E-100"/>
    <x v="0"/>
    <x v="15"/>
    <n v="33"/>
    <n v="12045"/>
    <n v="43362"/>
  </r>
  <r>
    <x v="0"/>
    <x v="0"/>
    <x v="0"/>
    <x v="0"/>
    <x v="1"/>
    <s v="DK2_Large"/>
    <x v="8"/>
    <s v="GNR_BO_WOODPEL_E-100"/>
    <x v="0"/>
    <x v="16"/>
    <n v="33"/>
    <n v="12045"/>
    <n v="43362"/>
  </r>
  <r>
    <x v="0"/>
    <x v="0"/>
    <x v="0"/>
    <x v="0"/>
    <x v="1"/>
    <s v="DK2_Large"/>
    <x v="8"/>
    <s v="GNR_BO_WOODPEL_E-100"/>
    <x v="0"/>
    <x v="17"/>
    <n v="33"/>
    <n v="12045"/>
    <n v="43362"/>
  </r>
  <r>
    <x v="0"/>
    <x v="0"/>
    <x v="0"/>
    <x v="0"/>
    <x v="1"/>
    <s v="DK2_Large"/>
    <x v="8"/>
    <s v="GNR_BO_WOODPEL_E-100"/>
    <x v="0"/>
    <x v="18"/>
    <n v="33"/>
    <n v="12045"/>
    <n v="43362"/>
  </r>
  <r>
    <x v="0"/>
    <x v="0"/>
    <x v="0"/>
    <x v="0"/>
    <x v="1"/>
    <s v="DK2_Large"/>
    <x v="8"/>
    <s v="GNR_BO_WOODPEL_E-100"/>
    <x v="0"/>
    <x v="19"/>
    <n v="33"/>
    <n v="12045"/>
    <n v="43362"/>
  </r>
  <r>
    <x v="0"/>
    <x v="0"/>
    <x v="0"/>
    <x v="0"/>
    <x v="1"/>
    <s v="DK2_Large"/>
    <x v="8"/>
    <s v="GNR_BO_WOODPEL_E-100"/>
    <x v="0"/>
    <x v="20"/>
    <n v="33"/>
    <n v="12045"/>
    <n v="43362"/>
  </r>
  <r>
    <x v="0"/>
    <x v="0"/>
    <x v="0"/>
    <x v="0"/>
    <x v="1"/>
    <s v="DK2_Large"/>
    <x v="8"/>
    <s v="GNR_BO_WOODPEL_E-100"/>
    <x v="0"/>
    <x v="21"/>
    <n v="33"/>
    <n v="12045"/>
    <n v="43362"/>
  </r>
  <r>
    <x v="0"/>
    <x v="0"/>
    <x v="0"/>
    <x v="0"/>
    <x v="1"/>
    <s v="DK2_Large"/>
    <x v="8"/>
    <s v="GNR_BO_WOODPEL_E-100"/>
    <x v="0"/>
    <x v="22"/>
    <n v="33"/>
    <n v="12045"/>
    <n v="43362"/>
  </r>
  <r>
    <x v="0"/>
    <x v="0"/>
    <x v="0"/>
    <x v="0"/>
    <x v="1"/>
    <s v="DK2_Large"/>
    <x v="8"/>
    <s v="GNR_BO_WOODPEL_E-100"/>
    <x v="0"/>
    <x v="23"/>
    <n v="33"/>
    <n v="12045"/>
    <n v="43362"/>
  </r>
  <r>
    <x v="0"/>
    <x v="0"/>
    <x v="0"/>
    <x v="0"/>
    <x v="1"/>
    <s v="DK2_Large"/>
    <x v="8"/>
    <s v="GNR_ST_WOODPEL_BP_E-18"/>
    <x v="0"/>
    <x v="0"/>
    <n v="128"/>
    <n v="46720"/>
    <n v="168192"/>
  </r>
  <r>
    <x v="0"/>
    <x v="0"/>
    <x v="0"/>
    <x v="0"/>
    <x v="1"/>
    <s v="DK2_Large"/>
    <x v="8"/>
    <s v="GNR_ST_WOODPEL_BP_E-18"/>
    <x v="0"/>
    <x v="1"/>
    <n v="128"/>
    <n v="46720"/>
    <n v="168192"/>
  </r>
  <r>
    <x v="0"/>
    <x v="0"/>
    <x v="0"/>
    <x v="0"/>
    <x v="1"/>
    <s v="DK2_Large"/>
    <x v="8"/>
    <s v="GNR_ST_WOODPEL_BP_E-18"/>
    <x v="0"/>
    <x v="2"/>
    <n v="128"/>
    <n v="46720"/>
    <n v="168192"/>
  </r>
  <r>
    <x v="0"/>
    <x v="0"/>
    <x v="0"/>
    <x v="0"/>
    <x v="1"/>
    <s v="DK2_Large"/>
    <x v="8"/>
    <s v="GNR_ST_WOODPEL_BP_E-18"/>
    <x v="0"/>
    <x v="3"/>
    <n v="128"/>
    <n v="46720"/>
    <n v="168192"/>
  </r>
  <r>
    <x v="0"/>
    <x v="0"/>
    <x v="0"/>
    <x v="0"/>
    <x v="1"/>
    <s v="DK2_Large"/>
    <x v="8"/>
    <s v="GNR_ST_WOODPEL_BP_E-18"/>
    <x v="0"/>
    <x v="4"/>
    <n v="128"/>
    <n v="46720"/>
    <n v="168192"/>
  </r>
  <r>
    <x v="0"/>
    <x v="0"/>
    <x v="0"/>
    <x v="0"/>
    <x v="1"/>
    <s v="DK2_Large"/>
    <x v="8"/>
    <s v="GNR_ST_WOODPEL_BP_E-18"/>
    <x v="0"/>
    <x v="5"/>
    <n v="128"/>
    <n v="46720"/>
    <n v="168192"/>
  </r>
  <r>
    <x v="0"/>
    <x v="0"/>
    <x v="0"/>
    <x v="0"/>
    <x v="1"/>
    <s v="DK2_Large"/>
    <x v="8"/>
    <s v="GNR_ST_WOODPEL_BP_E-18"/>
    <x v="0"/>
    <x v="6"/>
    <n v="128"/>
    <n v="46720"/>
    <n v="168192"/>
  </r>
  <r>
    <x v="0"/>
    <x v="0"/>
    <x v="0"/>
    <x v="0"/>
    <x v="1"/>
    <s v="DK2_Large"/>
    <x v="8"/>
    <s v="GNR_ST_WOODPEL_BP_E-18"/>
    <x v="0"/>
    <x v="7"/>
    <n v="128"/>
    <n v="46720"/>
    <n v="168192"/>
  </r>
  <r>
    <x v="0"/>
    <x v="0"/>
    <x v="0"/>
    <x v="0"/>
    <x v="1"/>
    <s v="DK2_Large"/>
    <x v="8"/>
    <s v="GNR_ST_WOODPEL_BP_E-18"/>
    <x v="0"/>
    <x v="8"/>
    <n v="128"/>
    <n v="46720"/>
    <n v="168192"/>
  </r>
  <r>
    <x v="0"/>
    <x v="0"/>
    <x v="0"/>
    <x v="0"/>
    <x v="1"/>
    <s v="DK2_Large"/>
    <x v="8"/>
    <s v="GNR_ST_WOODPEL_BP_E-18"/>
    <x v="0"/>
    <x v="9"/>
    <n v="128"/>
    <n v="46720"/>
    <n v="168192"/>
  </r>
  <r>
    <x v="0"/>
    <x v="0"/>
    <x v="0"/>
    <x v="0"/>
    <x v="1"/>
    <s v="DK2_Large"/>
    <x v="8"/>
    <s v="GNR_ST_WOODPEL_BP_E-18"/>
    <x v="0"/>
    <x v="10"/>
    <n v="128"/>
    <n v="46720"/>
    <n v="168192"/>
  </r>
  <r>
    <x v="0"/>
    <x v="0"/>
    <x v="0"/>
    <x v="0"/>
    <x v="1"/>
    <s v="DK2_Large"/>
    <x v="8"/>
    <s v="GNR_ST_WOODPEL_BP_E-18"/>
    <x v="0"/>
    <x v="11"/>
    <n v="128"/>
    <n v="46720"/>
    <n v="168192"/>
  </r>
  <r>
    <x v="0"/>
    <x v="0"/>
    <x v="0"/>
    <x v="0"/>
    <x v="1"/>
    <s v="DK2_Large"/>
    <x v="8"/>
    <s v="GNR_ST_WOODPEL_BP_E-18"/>
    <x v="0"/>
    <x v="12"/>
    <n v="128"/>
    <n v="46720"/>
    <n v="168192"/>
  </r>
  <r>
    <x v="0"/>
    <x v="0"/>
    <x v="0"/>
    <x v="0"/>
    <x v="1"/>
    <s v="DK2_Large"/>
    <x v="8"/>
    <s v="GNR_ST_WOODPEL_BP_E-18"/>
    <x v="0"/>
    <x v="13"/>
    <n v="128"/>
    <n v="46720"/>
    <n v="168192"/>
  </r>
  <r>
    <x v="0"/>
    <x v="0"/>
    <x v="0"/>
    <x v="0"/>
    <x v="1"/>
    <s v="DK2_Large"/>
    <x v="8"/>
    <s v="GNR_ST_WOODPEL_BP_E-18"/>
    <x v="0"/>
    <x v="14"/>
    <n v="128"/>
    <n v="46720"/>
    <n v="168192"/>
  </r>
  <r>
    <x v="0"/>
    <x v="0"/>
    <x v="0"/>
    <x v="0"/>
    <x v="1"/>
    <s v="DK2_Large"/>
    <x v="8"/>
    <s v="GNR_ST_WOODPEL_BP_E-18"/>
    <x v="0"/>
    <x v="15"/>
    <n v="128"/>
    <n v="46720"/>
    <n v="168192"/>
  </r>
  <r>
    <x v="0"/>
    <x v="0"/>
    <x v="0"/>
    <x v="0"/>
    <x v="1"/>
    <s v="DK2_Large"/>
    <x v="8"/>
    <s v="GNR_ST_WOODPEL_BP_E-18"/>
    <x v="0"/>
    <x v="16"/>
    <n v="128"/>
    <n v="46720"/>
    <n v="168192"/>
  </r>
  <r>
    <x v="0"/>
    <x v="0"/>
    <x v="0"/>
    <x v="0"/>
    <x v="1"/>
    <s v="DK2_Large"/>
    <x v="8"/>
    <s v="GNR_ST_WOODPEL_BP_E-18"/>
    <x v="0"/>
    <x v="17"/>
    <n v="128"/>
    <n v="46720"/>
    <n v="168192"/>
  </r>
  <r>
    <x v="0"/>
    <x v="0"/>
    <x v="0"/>
    <x v="0"/>
    <x v="1"/>
    <s v="DK2_Large"/>
    <x v="8"/>
    <s v="GNR_ST_WOODPEL_BP_E-18"/>
    <x v="0"/>
    <x v="18"/>
    <n v="128"/>
    <n v="46720"/>
    <n v="168192"/>
  </r>
  <r>
    <x v="0"/>
    <x v="0"/>
    <x v="0"/>
    <x v="0"/>
    <x v="1"/>
    <s v="DK2_Large"/>
    <x v="8"/>
    <s v="GNR_ST_WOODPEL_BP_E-18"/>
    <x v="0"/>
    <x v="19"/>
    <n v="128"/>
    <n v="46720"/>
    <n v="168192"/>
  </r>
  <r>
    <x v="0"/>
    <x v="0"/>
    <x v="0"/>
    <x v="0"/>
    <x v="1"/>
    <s v="DK2_Large"/>
    <x v="8"/>
    <s v="GNR_ST_WOODPEL_BP_E-18"/>
    <x v="0"/>
    <x v="20"/>
    <n v="128"/>
    <n v="46720"/>
    <n v="168192"/>
  </r>
  <r>
    <x v="0"/>
    <x v="0"/>
    <x v="0"/>
    <x v="0"/>
    <x v="1"/>
    <s v="DK2_Large"/>
    <x v="8"/>
    <s v="GNR_ST_WOODPEL_BP_E-18"/>
    <x v="0"/>
    <x v="21"/>
    <n v="128"/>
    <n v="46720"/>
    <n v="168192"/>
  </r>
  <r>
    <x v="0"/>
    <x v="0"/>
    <x v="0"/>
    <x v="0"/>
    <x v="1"/>
    <s v="DK2_Large"/>
    <x v="8"/>
    <s v="GNR_ST_WOODPEL_BP_E-18"/>
    <x v="0"/>
    <x v="22"/>
    <n v="128"/>
    <n v="46720"/>
    <n v="168192"/>
  </r>
  <r>
    <x v="0"/>
    <x v="0"/>
    <x v="0"/>
    <x v="0"/>
    <x v="1"/>
    <s v="DK2_Large"/>
    <x v="8"/>
    <s v="GNR_ST_WOODPEL_BP_E-18"/>
    <x v="0"/>
    <x v="23"/>
    <n v="128"/>
    <n v="46720"/>
    <n v="168192"/>
  </r>
  <r>
    <x v="0"/>
    <x v="0"/>
    <x v="0"/>
    <x v="0"/>
    <x v="1"/>
    <s v="DK2_Large"/>
    <x v="8"/>
    <s v="GNR_ST_WOODPEL_EXT_E-50"/>
    <x v="0"/>
    <x v="0"/>
    <n v="244.70551338885301"/>
    <n v="89317.512386931296"/>
    <n v="321543.044592953"/>
  </r>
  <r>
    <x v="0"/>
    <x v="0"/>
    <x v="0"/>
    <x v="0"/>
    <x v="1"/>
    <s v="DK2_Large"/>
    <x v="8"/>
    <s v="GNR_ST_WOODPEL_EXT_E-50"/>
    <x v="0"/>
    <x v="1"/>
    <n v="631.11111111111097"/>
    <n v="230355.555555556"/>
    <n v="829280"/>
  </r>
  <r>
    <x v="0"/>
    <x v="0"/>
    <x v="0"/>
    <x v="0"/>
    <x v="1"/>
    <s v="DK2_Large"/>
    <x v="8"/>
    <s v="GNR_ST_WOODPEL_EXT_E-50"/>
    <x v="0"/>
    <x v="2"/>
    <n v="631.11111111111097"/>
    <n v="230355.555555556"/>
    <n v="829280"/>
  </r>
  <r>
    <x v="0"/>
    <x v="0"/>
    <x v="0"/>
    <x v="0"/>
    <x v="1"/>
    <s v="DK2_Large"/>
    <x v="8"/>
    <s v="GNR_ST_WOODPEL_EXT_E-50"/>
    <x v="0"/>
    <x v="3"/>
    <n v="631.11111111111097"/>
    <n v="230355.555555556"/>
    <n v="829280"/>
  </r>
  <r>
    <x v="0"/>
    <x v="0"/>
    <x v="0"/>
    <x v="0"/>
    <x v="1"/>
    <s v="DK2_Large"/>
    <x v="8"/>
    <s v="GNR_ST_WOODPEL_EXT_E-50"/>
    <x v="0"/>
    <x v="4"/>
    <n v="536.44697346806799"/>
    <n v="195803.145315845"/>
    <n v="704891.32313704095"/>
  </r>
  <r>
    <x v="0"/>
    <x v="0"/>
    <x v="0"/>
    <x v="0"/>
    <x v="1"/>
    <s v="DK2_Large"/>
    <x v="8"/>
    <s v="GNR_ST_WOODPEL_EXT_E-50"/>
    <x v="0"/>
    <x v="19"/>
    <n v="631.11111111111097"/>
    <n v="230355.555555556"/>
    <n v="829280"/>
  </r>
  <r>
    <x v="0"/>
    <x v="0"/>
    <x v="0"/>
    <x v="0"/>
    <x v="1"/>
    <s v="DK2_Large"/>
    <x v="8"/>
    <s v="GNR_ST_WOODPEL_EXT_E-50"/>
    <x v="0"/>
    <x v="20"/>
    <n v="631.11111111111097"/>
    <n v="230355.555555556"/>
    <n v="829280"/>
  </r>
  <r>
    <x v="0"/>
    <x v="0"/>
    <x v="0"/>
    <x v="0"/>
    <x v="1"/>
    <s v="DK2_Large"/>
    <x v="8"/>
    <s v="GNR_ST_WOODPEL_EXT_E-50"/>
    <x v="0"/>
    <x v="21"/>
    <n v="631.11111111111097"/>
    <n v="230355.555555556"/>
    <n v="829280"/>
  </r>
  <r>
    <x v="0"/>
    <x v="0"/>
    <x v="0"/>
    <x v="0"/>
    <x v="1"/>
    <s v="DK2_Large"/>
    <x v="8"/>
    <s v="GNR_ST_WOODPEL_EXT_E-50"/>
    <x v="0"/>
    <x v="22"/>
    <n v="631.11111111111097"/>
    <n v="230355.555555556"/>
    <n v="829280"/>
  </r>
  <r>
    <x v="0"/>
    <x v="0"/>
    <x v="0"/>
    <x v="0"/>
    <x v="1"/>
    <s v="DK2_Large"/>
    <x v="8"/>
    <s v="GNR_ST_WOODPEL_EXT_E-50"/>
    <x v="0"/>
    <x v="23"/>
    <n v="631.11111111111097"/>
    <n v="230355.555555556"/>
    <n v="829280"/>
  </r>
  <r>
    <x v="0"/>
    <x v="0"/>
    <x v="0"/>
    <x v="0"/>
    <x v="1"/>
    <s v="DK2_Large"/>
    <x v="9"/>
    <s v="GNR_BO_WOODWST_E-90"/>
    <x v="0"/>
    <x v="0"/>
    <n v="6.66"/>
    <n v="2430.9"/>
    <n v="8751.24"/>
  </r>
  <r>
    <x v="0"/>
    <x v="0"/>
    <x v="0"/>
    <x v="0"/>
    <x v="1"/>
    <s v="DK2_Large"/>
    <x v="9"/>
    <s v="GNR_BO_WOODWST_E-90"/>
    <x v="0"/>
    <x v="1"/>
    <n v="6.66"/>
    <n v="2430.9"/>
    <n v="8751.24"/>
  </r>
  <r>
    <x v="0"/>
    <x v="0"/>
    <x v="0"/>
    <x v="0"/>
    <x v="1"/>
    <s v="DK2_Large"/>
    <x v="9"/>
    <s v="GNR_BO_WOODWST_E-90"/>
    <x v="0"/>
    <x v="2"/>
    <n v="6.66"/>
    <n v="2430.9"/>
    <n v="8751.24"/>
  </r>
  <r>
    <x v="0"/>
    <x v="0"/>
    <x v="0"/>
    <x v="0"/>
    <x v="1"/>
    <s v="DK2_Large"/>
    <x v="9"/>
    <s v="GNR_BO_WOODWST_E-90"/>
    <x v="0"/>
    <x v="3"/>
    <n v="6.66"/>
    <n v="2430.9"/>
    <n v="8751.24"/>
  </r>
  <r>
    <x v="0"/>
    <x v="0"/>
    <x v="0"/>
    <x v="0"/>
    <x v="1"/>
    <s v="DK2_Large"/>
    <x v="9"/>
    <s v="GNR_BO_WOODWST_E-90"/>
    <x v="0"/>
    <x v="4"/>
    <n v="6.66"/>
    <n v="2430.9"/>
    <n v="8751.24"/>
  </r>
  <r>
    <x v="0"/>
    <x v="0"/>
    <x v="0"/>
    <x v="0"/>
    <x v="1"/>
    <s v="DK2_Large"/>
    <x v="9"/>
    <s v="GNR_BO_WOODWST_E-90"/>
    <x v="0"/>
    <x v="5"/>
    <n v="6.66"/>
    <n v="2430.9"/>
    <n v="8751.24"/>
  </r>
  <r>
    <x v="0"/>
    <x v="0"/>
    <x v="0"/>
    <x v="0"/>
    <x v="1"/>
    <s v="DK2_Large"/>
    <x v="9"/>
    <s v="GNR_BO_WOODWST_E-90"/>
    <x v="0"/>
    <x v="6"/>
    <n v="6.66"/>
    <n v="2430.9"/>
    <n v="8751.24"/>
  </r>
  <r>
    <x v="0"/>
    <x v="0"/>
    <x v="0"/>
    <x v="0"/>
    <x v="1"/>
    <s v="DK2_Large"/>
    <x v="9"/>
    <s v="GNR_BO_WOODWST_E-90"/>
    <x v="0"/>
    <x v="7"/>
    <n v="6.66"/>
    <n v="2430.9"/>
    <n v="8751.24"/>
  </r>
  <r>
    <x v="0"/>
    <x v="0"/>
    <x v="0"/>
    <x v="0"/>
    <x v="1"/>
    <s v="DK2_Large"/>
    <x v="9"/>
    <s v="GNR_BO_WOODWST_E-90"/>
    <x v="0"/>
    <x v="8"/>
    <n v="6.66"/>
    <n v="2430.9"/>
    <n v="8751.24"/>
  </r>
  <r>
    <x v="0"/>
    <x v="0"/>
    <x v="0"/>
    <x v="0"/>
    <x v="1"/>
    <s v="DK2_Large"/>
    <x v="9"/>
    <s v="GNR_BO_WOODWST_E-90"/>
    <x v="0"/>
    <x v="9"/>
    <n v="6.66"/>
    <n v="2430.9"/>
    <n v="8751.24"/>
  </r>
  <r>
    <x v="0"/>
    <x v="0"/>
    <x v="0"/>
    <x v="0"/>
    <x v="1"/>
    <s v="DK2_Large"/>
    <x v="9"/>
    <s v="GNR_BO_WOODWST_E-90"/>
    <x v="0"/>
    <x v="10"/>
    <n v="6.66"/>
    <n v="2430.9"/>
    <n v="8751.24"/>
  </r>
  <r>
    <x v="0"/>
    <x v="0"/>
    <x v="0"/>
    <x v="0"/>
    <x v="1"/>
    <s v="DK2_Large"/>
    <x v="9"/>
    <s v="GNR_BO_WOODWST_E-90"/>
    <x v="0"/>
    <x v="11"/>
    <n v="6.66"/>
    <n v="2430.9"/>
    <n v="8751.24"/>
  </r>
  <r>
    <x v="0"/>
    <x v="0"/>
    <x v="0"/>
    <x v="0"/>
    <x v="1"/>
    <s v="DK2_Large"/>
    <x v="9"/>
    <s v="GNR_BO_WOODWST_E-90"/>
    <x v="0"/>
    <x v="12"/>
    <n v="6.66"/>
    <n v="2430.9"/>
    <n v="8751.24"/>
  </r>
  <r>
    <x v="0"/>
    <x v="0"/>
    <x v="0"/>
    <x v="0"/>
    <x v="1"/>
    <s v="DK2_Large"/>
    <x v="9"/>
    <s v="GNR_BO_WOODWST_E-90"/>
    <x v="0"/>
    <x v="13"/>
    <n v="6.66"/>
    <n v="2430.9"/>
    <n v="8751.24"/>
  </r>
  <r>
    <x v="0"/>
    <x v="0"/>
    <x v="0"/>
    <x v="0"/>
    <x v="1"/>
    <s v="DK2_Large"/>
    <x v="9"/>
    <s v="GNR_BO_WOODWST_E-90"/>
    <x v="0"/>
    <x v="14"/>
    <n v="6.66"/>
    <n v="2430.9"/>
    <n v="8751.24"/>
  </r>
  <r>
    <x v="0"/>
    <x v="0"/>
    <x v="0"/>
    <x v="0"/>
    <x v="1"/>
    <s v="DK2_Large"/>
    <x v="9"/>
    <s v="GNR_BO_WOODWST_E-90"/>
    <x v="0"/>
    <x v="15"/>
    <n v="6.66"/>
    <n v="2430.9"/>
    <n v="8751.24"/>
  </r>
  <r>
    <x v="0"/>
    <x v="0"/>
    <x v="0"/>
    <x v="0"/>
    <x v="1"/>
    <s v="DK2_Large"/>
    <x v="9"/>
    <s v="GNR_BO_WOODWST_E-90"/>
    <x v="0"/>
    <x v="16"/>
    <n v="6.66"/>
    <n v="2430.9"/>
    <n v="8751.24"/>
  </r>
  <r>
    <x v="0"/>
    <x v="0"/>
    <x v="0"/>
    <x v="0"/>
    <x v="1"/>
    <s v="DK2_Large"/>
    <x v="9"/>
    <s v="GNR_BO_WOODWST_E-90"/>
    <x v="0"/>
    <x v="17"/>
    <n v="6.66"/>
    <n v="2430.9"/>
    <n v="8751.24"/>
  </r>
  <r>
    <x v="0"/>
    <x v="0"/>
    <x v="0"/>
    <x v="0"/>
    <x v="1"/>
    <s v="DK2_Large"/>
    <x v="9"/>
    <s v="GNR_BO_WOODWST_E-90"/>
    <x v="0"/>
    <x v="18"/>
    <n v="6.66"/>
    <n v="2430.9"/>
    <n v="8751.24"/>
  </r>
  <r>
    <x v="0"/>
    <x v="0"/>
    <x v="0"/>
    <x v="0"/>
    <x v="1"/>
    <s v="DK2_Large"/>
    <x v="9"/>
    <s v="GNR_BO_WOODWST_E-90"/>
    <x v="0"/>
    <x v="19"/>
    <n v="6.66"/>
    <n v="2430.9"/>
    <n v="8751.24"/>
  </r>
  <r>
    <x v="0"/>
    <x v="0"/>
    <x v="0"/>
    <x v="0"/>
    <x v="1"/>
    <s v="DK2_Large"/>
    <x v="9"/>
    <s v="GNR_BO_WOODWST_E-90"/>
    <x v="0"/>
    <x v="20"/>
    <n v="6.66"/>
    <n v="2430.9"/>
    <n v="8751.24"/>
  </r>
  <r>
    <x v="0"/>
    <x v="0"/>
    <x v="0"/>
    <x v="0"/>
    <x v="1"/>
    <s v="DK2_Large"/>
    <x v="9"/>
    <s v="GNR_BO_WOODWST_E-90"/>
    <x v="0"/>
    <x v="21"/>
    <n v="6.66"/>
    <n v="2430.9"/>
    <n v="8751.24"/>
  </r>
  <r>
    <x v="0"/>
    <x v="0"/>
    <x v="0"/>
    <x v="0"/>
    <x v="1"/>
    <s v="DK2_Large"/>
    <x v="9"/>
    <s v="GNR_BO_WOODWST_E-90"/>
    <x v="0"/>
    <x v="22"/>
    <n v="6.66"/>
    <n v="2430.9"/>
    <n v="8751.24"/>
  </r>
  <r>
    <x v="0"/>
    <x v="0"/>
    <x v="0"/>
    <x v="0"/>
    <x v="1"/>
    <s v="DK2_Large"/>
    <x v="9"/>
    <s v="GNR_BO_WOODWST_E-90"/>
    <x v="0"/>
    <x v="23"/>
    <n v="6.66"/>
    <n v="2430.9"/>
    <n v="8751.24"/>
  </r>
  <r>
    <x v="0"/>
    <x v="0"/>
    <x v="0"/>
    <x v="0"/>
    <x v="1"/>
    <s v="DK2_MedSmall"/>
    <x v="0"/>
    <s v="GNR_ENG_BGAS_BP_E-38"/>
    <x v="0"/>
    <x v="0"/>
    <n v="0.30487804878048802"/>
    <n v="111.28048780487801"/>
    <n v="400.60975609756099"/>
  </r>
  <r>
    <x v="0"/>
    <x v="0"/>
    <x v="0"/>
    <x v="0"/>
    <x v="1"/>
    <s v="DK2_MedSmall"/>
    <x v="0"/>
    <s v="GNR_ENG_BGAS_BP_E-38"/>
    <x v="0"/>
    <x v="1"/>
    <n v="0.30487804878048802"/>
    <n v="111.28048780487801"/>
    <n v="400.60975609756099"/>
  </r>
  <r>
    <x v="0"/>
    <x v="0"/>
    <x v="0"/>
    <x v="0"/>
    <x v="1"/>
    <s v="DK2_MedSmall"/>
    <x v="0"/>
    <s v="GNR_ENG_BGAS_BP_E-38"/>
    <x v="0"/>
    <x v="2"/>
    <n v="0.30487804878048802"/>
    <n v="111.28048780487801"/>
    <n v="400.60975609756099"/>
  </r>
  <r>
    <x v="0"/>
    <x v="0"/>
    <x v="0"/>
    <x v="0"/>
    <x v="1"/>
    <s v="DK2_MedSmall"/>
    <x v="0"/>
    <s v="GNR_ENG_BGAS_BP_E-38"/>
    <x v="0"/>
    <x v="3"/>
    <n v="0.30487804878048802"/>
    <n v="111.28048780487801"/>
    <n v="400.60975609756099"/>
  </r>
  <r>
    <x v="0"/>
    <x v="0"/>
    <x v="0"/>
    <x v="0"/>
    <x v="1"/>
    <s v="DK2_MedSmall"/>
    <x v="0"/>
    <s v="GNR_ENG_BGAS_BP_E-38"/>
    <x v="0"/>
    <x v="4"/>
    <n v="0.30487804878048802"/>
    <n v="111.28048780487801"/>
    <n v="400.60975609756099"/>
  </r>
  <r>
    <x v="0"/>
    <x v="0"/>
    <x v="0"/>
    <x v="0"/>
    <x v="1"/>
    <s v="DK2_MedSmall"/>
    <x v="0"/>
    <s v="GNR_ENG_BGAS_BP_E-38"/>
    <x v="0"/>
    <x v="5"/>
    <n v="0.30487804878048802"/>
    <n v="111.28048780487801"/>
    <n v="400.60975609756099"/>
  </r>
  <r>
    <x v="0"/>
    <x v="0"/>
    <x v="0"/>
    <x v="0"/>
    <x v="1"/>
    <s v="DK2_MedSmall"/>
    <x v="0"/>
    <s v="GNR_ENG_BGAS_BP_E-38"/>
    <x v="0"/>
    <x v="6"/>
    <n v="0.30487804878048802"/>
    <n v="111.28048780487801"/>
    <n v="400.60975609756099"/>
  </r>
  <r>
    <x v="0"/>
    <x v="0"/>
    <x v="0"/>
    <x v="0"/>
    <x v="1"/>
    <s v="DK2_MedSmall"/>
    <x v="0"/>
    <s v="GNR_ENG_BGAS_BP_E-38"/>
    <x v="0"/>
    <x v="7"/>
    <n v="0.30487804878048802"/>
    <n v="111.28048780487801"/>
    <n v="400.60975609756099"/>
  </r>
  <r>
    <x v="0"/>
    <x v="0"/>
    <x v="0"/>
    <x v="0"/>
    <x v="1"/>
    <s v="DK2_MedSmall"/>
    <x v="0"/>
    <s v="GNR_ENG_BGAS_BP_E-38"/>
    <x v="0"/>
    <x v="8"/>
    <n v="0.30487804878048802"/>
    <n v="111.28048780487801"/>
    <n v="400.60975609756099"/>
  </r>
  <r>
    <x v="0"/>
    <x v="0"/>
    <x v="0"/>
    <x v="0"/>
    <x v="1"/>
    <s v="DK2_MedSmall"/>
    <x v="0"/>
    <s v="GNR_ENG_BGAS_BP_E-38"/>
    <x v="0"/>
    <x v="9"/>
    <n v="0.30487804878048802"/>
    <n v="111.28048780487801"/>
    <n v="400.60975609756099"/>
  </r>
  <r>
    <x v="0"/>
    <x v="0"/>
    <x v="0"/>
    <x v="0"/>
    <x v="1"/>
    <s v="DK2_MedSmall"/>
    <x v="0"/>
    <s v="GNR_ENG_BGAS_BP_E-38"/>
    <x v="0"/>
    <x v="10"/>
    <n v="0.30487804878048802"/>
    <n v="111.28048780487801"/>
    <n v="400.60975609756099"/>
  </r>
  <r>
    <x v="0"/>
    <x v="0"/>
    <x v="0"/>
    <x v="0"/>
    <x v="1"/>
    <s v="DK2_MedSmall"/>
    <x v="0"/>
    <s v="GNR_ENG_BGAS_BP_E-38"/>
    <x v="0"/>
    <x v="11"/>
    <n v="0.30487804878048802"/>
    <n v="111.28048780487801"/>
    <n v="400.60975609756099"/>
  </r>
  <r>
    <x v="0"/>
    <x v="0"/>
    <x v="0"/>
    <x v="0"/>
    <x v="1"/>
    <s v="DK2_MedSmall"/>
    <x v="0"/>
    <s v="GNR_ENG_BGAS_BP_E-38"/>
    <x v="0"/>
    <x v="12"/>
    <n v="0.30487804878048802"/>
    <n v="111.28048780487801"/>
    <n v="400.60975609756099"/>
  </r>
  <r>
    <x v="0"/>
    <x v="0"/>
    <x v="0"/>
    <x v="0"/>
    <x v="1"/>
    <s v="DK2_MedSmall"/>
    <x v="0"/>
    <s v="GNR_ENG_BGAS_BP_E-38"/>
    <x v="0"/>
    <x v="13"/>
    <n v="0.30487804878048802"/>
    <n v="111.28048780487801"/>
    <n v="400.60975609756099"/>
  </r>
  <r>
    <x v="0"/>
    <x v="0"/>
    <x v="0"/>
    <x v="0"/>
    <x v="1"/>
    <s v="DK2_MedSmall"/>
    <x v="0"/>
    <s v="GNR_ENG_BGAS_BP_E-38"/>
    <x v="0"/>
    <x v="14"/>
    <n v="0.30487804878048802"/>
    <n v="111.28048780487801"/>
    <n v="400.60975609756099"/>
  </r>
  <r>
    <x v="0"/>
    <x v="0"/>
    <x v="0"/>
    <x v="0"/>
    <x v="1"/>
    <s v="DK2_MedSmall"/>
    <x v="0"/>
    <s v="GNR_ENG_BGAS_BP_E-38"/>
    <x v="0"/>
    <x v="15"/>
    <n v="0.30487804878048802"/>
    <n v="111.28048780487801"/>
    <n v="400.60975609756099"/>
  </r>
  <r>
    <x v="0"/>
    <x v="0"/>
    <x v="0"/>
    <x v="0"/>
    <x v="1"/>
    <s v="DK2_MedSmall"/>
    <x v="0"/>
    <s v="GNR_ENG_BGAS_BP_E-38"/>
    <x v="0"/>
    <x v="16"/>
    <n v="0.30487804878048802"/>
    <n v="111.28048780487801"/>
    <n v="400.60975609756099"/>
  </r>
  <r>
    <x v="0"/>
    <x v="0"/>
    <x v="0"/>
    <x v="0"/>
    <x v="1"/>
    <s v="DK2_MedSmall"/>
    <x v="0"/>
    <s v="GNR_ENG_BGAS_BP_E-38"/>
    <x v="0"/>
    <x v="17"/>
    <n v="0.30487804878048802"/>
    <n v="111.28048780487801"/>
    <n v="400.60975609756099"/>
  </r>
  <r>
    <x v="0"/>
    <x v="0"/>
    <x v="0"/>
    <x v="0"/>
    <x v="1"/>
    <s v="DK2_MedSmall"/>
    <x v="0"/>
    <s v="GNR_ENG_BGAS_BP_E-38"/>
    <x v="0"/>
    <x v="18"/>
    <n v="0.30487804878048802"/>
    <n v="111.28048780487801"/>
    <n v="400.60975609756099"/>
  </r>
  <r>
    <x v="0"/>
    <x v="0"/>
    <x v="0"/>
    <x v="0"/>
    <x v="1"/>
    <s v="DK2_MedSmall"/>
    <x v="0"/>
    <s v="GNR_ENG_BGAS_BP_E-38"/>
    <x v="0"/>
    <x v="19"/>
    <n v="0.30487804878048802"/>
    <n v="111.28048780487801"/>
    <n v="400.60975609756099"/>
  </r>
  <r>
    <x v="0"/>
    <x v="0"/>
    <x v="0"/>
    <x v="0"/>
    <x v="1"/>
    <s v="DK2_MedSmall"/>
    <x v="0"/>
    <s v="GNR_ENG_BGAS_BP_E-38"/>
    <x v="0"/>
    <x v="20"/>
    <n v="0.30487804878048802"/>
    <n v="111.28048780487801"/>
    <n v="400.60975609756099"/>
  </r>
  <r>
    <x v="0"/>
    <x v="0"/>
    <x v="0"/>
    <x v="0"/>
    <x v="1"/>
    <s v="DK2_MedSmall"/>
    <x v="0"/>
    <s v="GNR_ENG_BGAS_BP_E-38"/>
    <x v="0"/>
    <x v="21"/>
    <n v="0.30487804878048802"/>
    <n v="111.28048780487801"/>
    <n v="400.60975609756099"/>
  </r>
  <r>
    <x v="0"/>
    <x v="0"/>
    <x v="0"/>
    <x v="0"/>
    <x v="1"/>
    <s v="DK2_MedSmall"/>
    <x v="0"/>
    <s v="GNR_ENG_BGAS_BP_E-38"/>
    <x v="0"/>
    <x v="22"/>
    <n v="0.30487804878048802"/>
    <n v="111.28048780487801"/>
    <n v="400.60975609756099"/>
  </r>
  <r>
    <x v="0"/>
    <x v="0"/>
    <x v="0"/>
    <x v="0"/>
    <x v="1"/>
    <s v="DK2_MedSmall"/>
    <x v="0"/>
    <s v="GNR_ENG_BGAS_BP_E-38"/>
    <x v="0"/>
    <x v="23"/>
    <n v="0.30487804878048802"/>
    <n v="111.28048780487801"/>
    <n v="400.60975609756099"/>
  </r>
  <r>
    <x v="0"/>
    <x v="0"/>
    <x v="0"/>
    <x v="0"/>
    <x v="1"/>
    <s v="DK2_MedSmall"/>
    <x v="2"/>
    <s v="GNR_HS_HEAT_WTR-TANK_LS_E-95_Y-2010"/>
    <x v="0"/>
    <x v="0"/>
    <n v="522.621314191549"/>
    <n v="190756.77967991499"/>
    <n v="686724.40684769605"/>
  </r>
  <r>
    <x v="0"/>
    <x v="0"/>
    <x v="0"/>
    <x v="0"/>
    <x v="1"/>
    <s v="DK2_MedSmall"/>
    <x v="2"/>
    <s v="GNR_HS_HEAT_WTR-TANK_LS_E-95_Y-2010"/>
    <x v="0"/>
    <x v="1"/>
    <n v="522.10458033096199"/>
    <n v="190568.17182080101"/>
    <n v="686045.41855488403"/>
  </r>
  <r>
    <x v="0"/>
    <x v="0"/>
    <x v="0"/>
    <x v="0"/>
    <x v="1"/>
    <s v="DK2_MedSmall"/>
    <x v="2"/>
    <s v="GNR_HS_HEAT_WTR-TANK_LS_E-95_Y-2010"/>
    <x v="0"/>
    <x v="2"/>
    <n v="521.63482227588304"/>
    <n v="190396.710130697"/>
    <n v="685428.15647051099"/>
  </r>
  <r>
    <x v="0"/>
    <x v="0"/>
    <x v="0"/>
    <x v="0"/>
    <x v="1"/>
    <s v="DK2_MedSmall"/>
    <x v="2"/>
    <s v="GNR_HS_HEAT_WTR-TANK_LS_E-95_Y-2010"/>
    <x v="0"/>
    <x v="3"/>
    <n v="522.33945935850204"/>
    <n v="190653.90266585301"/>
    <n v="686354.04959707102"/>
  </r>
  <r>
    <x v="0"/>
    <x v="0"/>
    <x v="0"/>
    <x v="0"/>
    <x v="1"/>
    <s v="DK2_MedSmall"/>
    <x v="2"/>
    <s v="GNR_HS_HEAT_WTR-TANK_LS_E-95_Y-2010"/>
    <x v="0"/>
    <x v="4"/>
    <n v="522.85619321908905"/>
    <n v="190842.51052496699"/>
    <n v="687033.03788988304"/>
  </r>
  <r>
    <x v="0"/>
    <x v="0"/>
    <x v="0"/>
    <x v="0"/>
    <x v="1"/>
    <s v="DK2_MedSmall"/>
    <x v="2"/>
    <s v="GNR_HS_HEAT_WTR-TANK_LS_E-95_Y-2010"/>
    <x v="0"/>
    <x v="5"/>
    <n v="531.076959182971"/>
    <n v="193843.09010178401"/>
    <n v="697835.124366423"/>
  </r>
  <r>
    <x v="0"/>
    <x v="0"/>
    <x v="0"/>
    <x v="0"/>
    <x v="1"/>
    <s v="DK2_MedSmall"/>
    <x v="2"/>
    <s v="GNR_HS_HEAT_WTR-TANK_LS_E-95_Y-2010"/>
    <x v="0"/>
    <x v="6"/>
    <n v="551.65236199543006"/>
    <n v="201353.112128332"/>
    <n v="724871.20366199396"/>
  </r>
  <r>
    <x v="0"/>
    <x v="0"/>
    <x v="0"/>
    <x v="0"/>
    <x v="1"/>
    <s v="DK2_MedSmall"/>
    <x v="2"/>
    <s v="GNR_HS_HEAT_WTR-TANK_LS_E-95_Y-2010"/>
    <x v="0"/>
    <x v="7"/>
    <n v="563.91304723299095"/>
    <n v="205828.26224004201"/>
    <n v="740981.74406415003"/>
  </r>
  <r>
    <x v="0"/>
    <x v="0"/>
    <x v="0"/>
    <x v="0"/>
    <x v="1"/>
    <s v="DK2_MedSmall"/>
    <x v="2"/>
    <s v="GNR_HS_HEAT_WTR-TANK_LS_E-95_Y-2010"/>
    <x v="0"/>
    <x v="8"/>
    <n v="565.74510364779906"/>
    <n v="206496.96283144699"/>
    <n v="743389.06619320798"/>
  </r>
  <r>
    <x v="0"/>
    <x v="0"/>
    <x v="0"/>
    <x v="0"/>
    <x v="1"/>
    <s v="DK2_MedSmall"/>
    <x v="2"/>
    <s v="GNR_HS_HEAT_WTR-TANK_LS_E-95_Y-2010"/>
    <x v="0"/>
    <x v="9"/>
    <n v="565.51022462025901"/>
    <n v="206411.231986395"/>
    <n v="743080.435151021"/>
  </r>
  <r>
    <x v="0"/>
    <x v="0"/>
    <x v="0"/>
    <x v="0"/>
    <x v="1"/>
    <s v="DK2_MedSmall"/>
    <x v="2"/>
    <s v="GNR_HS_HEAT_WTR-TANK_LS_E-95_Y-2010"/>
    <x v="0"/>
    <x v="10"/>
    <n v="565.93300686983002"/>
    <n v="206565.54750748799"/>
    <n v="743635.97102695704"/>
  </r>
  <r>
    <x v="0"/>
    <x v="0"/>
    <x v="0"/>
    <x v="0"/>
    <x v="1"/>
    <s v="DK2_MedSmall"/>
    <x v="2"/>
    <s v="GNR_HS_HEAT_WTR-TANK_LS_E-95_Y-2010"/>
    <x v="0"/>
    <x v="11"/>
    <n v="565.51022462025901"/>
    <n v="206411.231986395"/>
    <n v="743080.435151021"/>
  </r>
  <r>
    <x v="0"/>
    <x v="0"/>
    <x v="0"/>
    <x v="0"/>
    <x v="1"/>
    <s v="DK2_MedSmall"/>
    <x v="2"/>
    <s v="GNR_HS_HEAT_WTR-TANK_LS_E-95_Y-2010"/>
    <x v="0"/>
    <x v="12"/>
    <n v="562.87957951181704"/>
    <n v="205451.046521813"/>
    <n v="739623.76747852704"/>
  </r>
  <r>
    <x v="0"/>
    <x v="0"/>
    <x v="0"/>
    <x v="0"/>
    <x v="1"/>
    <s v="DK2_MedSmall"/>
    <x v="2"/>
    <s v="GNR_HS_HEAT_WTR-TANK_LS_E-95_Y-2010"/>
    <x v="0"/>
    <x v="13"/>
    <n v="561.04752309700905"/>
    <n v="204782.34593040799"/>
    <n v="737216.44534947001"/>
  </r>
  <r>
    <x v="0"/>
    <x v="0"/>
    <x v="0"/>
    <x v="0"/>
    <x v="1"/>
    <s v="DK2_MedSmall"/>
    <x v="2"/>
    <s v="GNR_HS_HEAT_WTR-TANK_LS_E-95_Y-2010"/>
    <x v="0"/>
    <x v="14"/>
    <n v="561.79913598513497"/>
    <n v="205056.68463457399"/>
    <n v="738204.06468446797"/>
  </r>
  <r>
    <x v="0"/>
    <x v="0"/>
    <x v="0"/>
    <x v="0"/>
    <x v="1"/>
    <s v="DK2_MedSmall"/>
    <x v="2"/>
    <s v="GNR_HS_HEAT_WTR-TANK_LS_E-95_Y-2010"/>
    <x v="0"/>
    <x v="15"/>
    <n v="562.50377306775397"/>
    <n v="205313.87716973"/>
    <n v="739129.95781102905"/>
  </r>
  <r>
    <x v="0"/>
    <x v="0"/>
    <x v="0"/>
    <x v="0"/>
    <x v="1"/>
    <s v="DK2_MedSmall"/>
    <x v="2"/>
    <s v="GNR_HS_HEAT_WTR-TANK_LS_E-95_Y-2010"/>
    <x v="0"/>
    <x v="16"/>
    <n v="562.92655531732498"/>
    <n v="205468.19269082401"/>
    <n v="739685.49368696497"/>
  </r>
  <r>
    <x v="0"/>
    <x v="0"/>
    <x v="0"/>
    <x v="0"/>
    <x v="1"/>
    <s v="DK2_MedSmall"/>
    <x v="2"/>
    <s v="GNR_HS_HEAT_WTR-TANK_LS_E-95_Y-2010"/>
    <x v="0"/>
    <x v="17"/>
    <n v="564.19490206603803"/>
    <n v="205931.139254104"/>
    <n v="741352.10131477402"/>
  </r>
  <r>
    <x v="0"/>
    <x v="0"/>
    <x v="0"/>
    <x v="0"/>
    <x v="1"/>
    <s v="DK2_MedSmall"/>
    <x v="2"/>
    <s v="GNR_HS_HEAT_WTR-TANK_LS_E-95_Y-2010"/>
    <x v="0"/>
    <x v="18"/>
    <n v="564.00699884400603"/>
    <n v="205862.554578062"/>
    <n v="741105.19648102496"/>
  </r>
  <r>
    <x v="0"/>
    <x v="0"/>
    <x v="0"/>
    <x v="0"/>
    <x v="1"/>
    <s v="DK2_MedSmall"/>
    <x v="2"/>
    <s v="GNR_HS_HEAT_WTR-TANK_LS_E-95_Y-2010"/>
    <x v="0"/>
    <x v="19"/>
    <n v="562.08099081818295"/>
    <n v="205159.561648637"/>
    <n v="738574.42193509196"/>
  </r>
  <r>
    <x v="0"/>
    <x v="0"/>
    <x v="0"/>
    <x v="0"/>
    <x v="1"/>
    <s v="DK2_MedSmall"/>
    <x v="2"/>
    <s v="GNR_HS_HEAT_WTR-TANK_LS_E-95_Y-2010"/>
    <x v="0"/>
    <x v="20"/>
    <n v="558.46385379407502"/>
    <n v="203839.306634837"/>
    <n v="733821.50388541399"/>
  </r>
  <r>
    <x v="0"/>
    <x v="0"/>
    <x v="0"/>
    <x v="0"/>
    <x v="1"/>
    <s v="DK2_MedSmall"/>
    <x v="2"/>
    <s v="GNR_HS_HEAT_WTR-TANK_LS_E-95_Y-2010"/>
    <x v="0"/>
    <x v="21"/>
    <n v="541.08280575615299"/>
    <n v="197495.22410099601"/>
    <n v="710982.80676358496"/>
  </r>
  <r>
    <x v="0"/>
    <x v="0"/>
    <x v="0"/>
    <x v="0"/>
    <x v="1"/>
    <s v="DK2_MedSmall"/>
    <x v="2"/>
    <s v="GNR_HS_HEAT_WTR-TANK_LS_E-95_Y-2010"/>
    <x v="0"/>
    <x v="22"/>
    <n v="536.19732198333099"/>
    <n v="195712.02252391601"/>
    <n v="704563.28108609805"/>
  </r>
  <r>
    <x v="0"/>
    <x v="0"/>
    <x v="0"/>
    <x v="0"/>
    <x v="1"/>
    <s v="DK2_MedSmall"/>
    <x v="2"/>
    <s v="GNR_HS_HEAT_WTR-TANK_LS_E-95_Y-2010"/>
    <x v="0"/>
    <x v="23"/>
    <n v="533.33179784735"/>
    <n v="194666.10621428301"/>
    <n v="700797.98237141699"/>
  </r>
  <r>
    <x v="0"/>
    <x v="0"/>
    <x v="0"/>
    <x v="0"/>
    <x v="1"/>
    <s v="DK2_MedSmall"/>
    <x v="3"/>
    <s v="GNR_ST_MSW_BP_E-21"/>
    <x v="0"/>
    <x v="0"/>
    <n v="22.653448573868399"/>
    <n v="8268.5087294619698"/>
    <n v="29766.631426063101"/>
  </r>
  <r>
    <x v="0"/>
    <x v="0"/>
    <x v="0"/>
    <x v="0"/>
    <x v="1"/>
    <s v="DK2_MedSmall"/>
    <x v="3"/>
    <s v="GNR_ST_MSW_BP_E-21"/>
    <x v="0"/>
    <x v="1"/>
    <n v="22.653448573868399"/>
    <n v="8268.5087294619698"/>
    <n v="29766.631426063101"/>
  </r>
  <r>
    <x v="0"/>
    <x v="0"/>
    <x v="0"/>
    <x v="0"/>
    <x v="1"/>
    <s v="DK2_MedSmall"/>
    <x v="3"/>
    <s v="GNR_ST_MSW_BP_E-21"/>
    <x v="0"/>
    <x v="2"/>
    <n v="22.653448573868399"/>
    <n v="8268.5087294619698"/>
    <n v="29766.631426063101"/>
  </r>
  <r>
    <x v="0"/>
    <x v="0"/>
    <x v="0"/>
    <x v="0"/>
    <x v="1"/>
    <s v="DK2_MedSmall"/>
    <x v="3"/>
    <s v="GNR_ST_MSW_BP_E-21"/>
    <x v="0"/>
    <x v="3"/>
    <n v="22.653448573868399"/>
    <n v="8268.5087294619698"/>
    <n v="29766.631426063101"/>
  </r>
  <r>
    <x v="0"/>
    <x v="0"/>
    <x v="0"/>
    <x v="0"/>
    <x v="1"/>
    <s v="DK2_MedSmall"/>
    <x v="3"/>
    <s v="GNR_ST_MSW_BP_E-21"/>
    <x v="0"/>
    <x v="4"/>
    <n v="22.653448573868399"/>
    <n v="8268.5087294619698"/>
    <n v="29766.631426063101"/>
  </r>
  <r>
    <x v="0"/>
    <x v="0"/>
    <x v="0"/>
    <x v="0"/>
    <x v="1"/>
    <s v="DK2_MedSmall"/>
    <x v="3"/>
    <s v="GNR_ST_MSW_BP_E-21"/>
    <x v="0"/>
    <x v="5"/>
    <n v="22.653448573868399"/>
    <n v="8268.5087294619698"/>
    <n v="29766.631426063101"/>
  </r>
  <r>
    <x v="0"/>
    <x v="0"/>
    <x v="0"/>
    <x v="0"/>
    <x v="1"/>
    <s v="DK2_MedSmall"/>
    <x v="3"/>
    <s v="GNR_ST_MSW_BP_E-21"/>
    <x v="0"/>
    <x v="6"/>
    <n v="22.653448573868399"/>
    <n v="8268.5087294619698"/>
    <n v="29766.631426063101"/>
  </r>
  <r>
    <x v="0"/>
    <x v="0"/>
    <x v="0"/>
    <x v="0"/>
    <x v="1"/>
    <s v="DK2_MedSmall"/>
    <x v="3"/>
    <s v="GNR_ST_MSW_BP_E-21"/>
    <x v="0"/>
    <x v="7"/>
    <n v="22.653448573868399"/>
    <n v="8268.5087294619698"/>
    <n v="29766.631426063101"/>
  </r>
  <r>
    <x v="0"/>
    <x v="0"/>
    <x v="0"/>
    <x v="0"/>
    <x v="1"/>
    <s v="DK2_MedSmall"/>
    <x v="3"/>
    <s v="GNR_ST_MSW_BP_E-21"/>
    <x v="0"/>
    <x v="8"/>
    <n v="22.653448573868399"/>
    <n v="8268.5087294619698"/>
    <n v="29766.631426063101"/>
  </r>
  <r>
    <x v="0"/>
    <x v="0"/>
    <x v="0"/>
    <x v="0"/>
    <x v="1"/>
    <s v="DK2_MedSmall"/>
    <x v="3"/>
    <s v="GNR_ST_MSW_BP_E-21"/>
    <x v="0"/>
    <x v="9"/>
    <n v="22.653448573868399"/>
    <n v="8268.5087294619698"/>
    <n v="29766.631426063101"/>
  </r>
  <r>
    <x v="0"/>
    <x v="0"/>
    <x v="0"/>
    <x v="0"/>
    <x v="1"/>
    <s v="DK2_MedSmall"/>
    <x v="3"/>
    <s v="GNR_ST_MSW_BP_E-21"/>
    <x v="0"/>
    <x v="10"/>
    <n v="22.653448573868399"/>
    <n v="8268.5087294619698"/>
    <n v="29766.631426063101"/>
  </r>
  <r>
    <x v="0"/>
    <x v="0"/>
    <x v="0"/>
    <x v="0"/>
    <x v="1"/>
    <s v="DK2_MedSmall"/>
    <x v="3"/>
    <s v="GNR_ST_MSW_BP_E-21"/>
    <x v="0"/>
    <x v="11"/>
    <n v="22.653448573868399"/>
    <n v="8268.5087294619698"/>
    <n v="29766.631426063101"/>
  </r>
  <r>
    <x v="0"/>
    <x v="0"/>
    <x v="0"/>
    <x v="0"/>
    <x v="1"/>
    <s v="DK2_MedSmall"/>
    <x v="3"/>
    <s v="GNR_ST_MSW_BP_E-21"/>
    <x v="0"/>
    <x v="12"/>
    <n v="22.653448573868399"/>
    <n v="8268.5087294619698"/>
    <n v="29766.631426063101"/>
  </r>
  <r>
    <x v="0"/>
    <x v="0"/>
    <x v="0"/>
    <x v="0"/>
    <x v="1"/>
    <s v="DK2_MedSmall"/>
    <x v="3"/>
    <s v="GNR_ST_MSW_BP_E-21"/>
    <x v="0"/>
    <x v="13"/>
    <n v="22.653448573868399"/>
    <n v="8268.5087294619698"/>
    <n v="29766.631426063101"/>
  </r>
  <r>
    <x v="0"/>
    <x v="0"/>
    <x v="0"/>
    <x v="0"/>
    <x v="1"/>
    <s v="DK2_MedSmall"/>
    <x v="3"/>
    <s v="GNR_ST_MSW_BP_E-21"/>
    <x v="0"/>
    <x v="14"/>
    <n v="22.653448573868399"/>
    <n v="8268.5087294619698"/>
    <n v="29766.631426063101"/>
  </r>
  <r>
    <x v="0"/>
    <x v="0"/>
    <x v="0"/>
    <x v="0"/>
    <x v="1"/>
    <s v="DK2_MedSmall"/>
    <x v="3"/>
    <s v="GNR_ST_MSW_BP_E-21"/>
    <x v="0"/>
    <x v="15"/>
    <n v="22.653448573868399"/>
    <n v="8268.5087294619698"/>
    <n v="29766.631426063101"/>
  </r>
  <r>
    <x v="0"/>
    <x v="0"/>
    <x v="0"/>
    <x v="0"/>
    <x v="1"/>
    <s v="DK2_MedSmall"/>
    <x v="3"/>
    <s v="GNR_ST_MSW_BP_E-21"/>
    <x v="0"/>
    <x v="16"/>
    <n v="22.653448573868399"/>
    <n v="8268.5087294619698"/>
    <n v="29766.631426063101"/>
  </r>
  <r>
    <x v="0"/>
    <x v="0"/>
    <x v="0"/>
    <x v="0"/>
    <x v="1"/>
    <s v="DK2_MedSmall"/>
    <x v="3"/>
    <s v="GNR_ST_MSW_BP_E-21"/>
    <x v="0"/>
    <x v="17"/>
    <n v="22.653448573868399"/>
    <n v="8268.5087294619698"/>
    <n v="29766.631426063101"/>
  </r>
  <r>
    <x v="0"/>
    <x v="0"/>
    <x v="0"/>
    <x v="0"/>
    <x v="1"/>
    <s v="DK2_MedSmall"/>
    <x v="3"/>
    <s v="GNR_ST_MSW_BP_E-21"/>
    <x v="0"/>
    <x v="18"/>
    <n v="22.653448573868399"/>
    <n v="8268.5087294619698"/>
    <n v="29766.631426063101"/>
  </r>
  <r>
    <x v="0"/>
    <x v="0"/>
    <x v="0"/>
    <x v="0"/>
    <x v="1"/>
    <s v="DK2_MedSmall"/>
    <x v="3"/>
    <s v="GNR_ST_MSW_BP_E-21"/>
    <x v="0"/>
    <x v="19"/>
    <n v="22.653448573868399"/>
    <n v="8268.5087294619698"/>
    <n v="29766.631426063101"/>
  </r>
  <r>
    <x v="0"/>
    <x v="0"/>
    <x v="0"/>
    <x v="0"/>
    <x v="1"/>
    <s v="DK2_MedSmall"/>
    <x v="3"/>
    <s v="GNR_ST_MSW_BP_E-21"/>
    <x v="0"/>
    <x v="20"/>
    <n v="22.653448573868399"/>
    <n v="8268.5087294619698"/>
    <n v="29766.631426063101"/>
  </r>
  <r>
    <x v="0"/>
    <x v="0"/>
    <x v="0"/>
    <x v="0"/>
    <x v="1"/>
    <s v="DK2_MedSmall"/>
    <x v="3"/>
    <s v="GNR_ST_MSW_BP_E-21"/>
    <x v="0"/>
    <x v="21"/>
    <n v="22.653448573868399"/>
    <n v="8268.5087294619698"/>
    <n v="29766.631426063101"/>
  </r>
  <r>
    <x v="0"/>
    <x v="0"/>
    <x v="0"/>
    <x v="0"/>
    <x v="1"/>
    <s v="DK2_MedSmall"/>
    <x v="3"/>
    <s v="GNR_ST_MSW_BP_E-21"/>
    <x v="0"/>
    <x v="22"/>
    <n v="22.653448573868399"/>
    <n v="8268.5087294619698"/>
    <n v="29766.631426063101"/>
  </r>
  <r>
    <x v="0"/>
    <x v="0"/>
    <x v="0"/>
    <x v="0"/>
    <x v="1"/>
    <s v="DK2_MedSmall"/>
    <x v="3"/>
    <s v="GNR_ST_MSW_BP_E-21"/>
    <x v="0"/>
    <x v="23"/>
    <n v="22.653448573868399"/>
    <n v="8268.5087294619698"/>
    <n v="29766.631426063101"/>
  </r>
  <r>
    <x v="0"/>
    <x v="0"/>
    <x v="0"/>
    <x v="0"/>
    <x v="1"/>
    <s v="DK2_MedSmall"/>
    <x v="3"/>
    <s v="GNR_ST_MSW_BP_E-25"/>
    <x v="0"/>
    <x v="0"/>
    <n v="36.854117829129201"/>
    <n v="13451.7530076322"/>
    <n v="48426.310827475798"/>
  </r>
  <r>
    <x v="0"/>
    <x v="0"/>
    <x v="0"/>
    <x v="0"/>
    <x v="1"/>
    <s v="DK2_MedSmall"/>
    <x v="3"/>
    <s v="GNR_ST_MSW_BP_E-25"/>
    <x v="0"/>
    <x v="1"/>
    <n v="36.854117829129201"/>
    <n v="13451.7530076322"/>
    <n v="48426.310827475798"/>
  </r>
  <r>
    <x v="0"/>
    <x v="0"/>
    <x v="0"/>
    <x v="0"/>
    <x v="1"/>
    <s v="DK2_MedSmall"/>
    <x v="3"/>
    <s v="GNR_ST_MSW_BP_E-25"/>
    <x v="0"/>
    <x v="2"/>
    <n v="36.854117829129201"/>
    <n v="13451.7530076322"/>
    <n v="48426.310827475798"/>
  </r>
  <r>
    <x v="0"/>
    <x v="0"/>
    <x v="0"/>
    <x v="0"/>
    <x v="1"/>
    <s v="DK2_MedSmall"/>
    <x v="3"/>
    <s v="GNR_ST_MSW_BP_E-25"/>
    <x v="0"/>
    <x v="3"/>
    <n v="36.854117829129201"/>
    <n v="13451.7530076322"/>
    <n v="48426.310827475798"/>
  </r>
  <r>
    <x v="0"/>
    <x v="0"/>
    <x v="0"/>
    <x v="0"/>
    <x v="1"/>
    <s v="DK2_MedSmall"/>
    <x v="3"/>
    <s v="GNR_ST_MSW_BP_E-25"/>
    <x v="0"/>
    <x v="4"/>
    <n v="36.854117829129201"/>
    <n v="13451.7530076322"/>
    <n v="48426.310827475798"/>
  </r>
  <r>
    <x v="0"/>
    <x v="0"/>
    <x v="0"/>
    <x v="0"/>
    <x v="1"/>
    <s v="DK2_MedSmall"/>
    <x v="3"/>
    <s v="GNR_ST_MSW_BP_E-25"/>
    <x v="0"/>
    <x v="5"/>
    <n v="36.854117829129201"/>
    <n v="13451.7530076322"/>
    <n v="48426.310827475798"/>
  </r>
  <r>
    <x v="0"/>
    <x v="0"/>
    <x v="0"/>
    <x v="0"/>
    <x v="1"/>
    <s v="DK2_MedSmall"/>
    <x v="3"/>
    <s v="GNR_ST_MSW_BP_E-25"/>
    <x v="0"/>
    <x v="6"/>
    <n v="36.854117829129201"/>
    <n v="13451.7530076322"/>
    <n v="48426.310827475798"/>
  </r>
  <r>
    <x v="0"/>
    <x v="0"/>
    <x v="0"/>
    <x v="0"/>
    <x v="1"/>
    <s v="DK2_MedSmall"/>
    <x v="3"/>
    <s v="GNR_ST_MSW_BP_E-25"/>
    <x v="0"/>
    <x v="7"/>
    <n v="36.854117829129201"/>
    <n v="13451.7530076322"/>
    <n v="48426.310827475798"/>
  </r>
  <r>
    <x v="0"/>
    <x v="0"/>
    <x v="0"/>
    <x v="0"/>
    <x v="1"/>
    <s v="DK2_MedSmall"/>
    <x v="3"/>
    <s v="GNR_ST_MSW_BP_E-25"/>
    <x v="0"/>
    <x v="8"/>
    <n v="36.854117829129201"/>
    <n v="13451.7530076322"/>
    <n v="48426.310827475798"/>
  </r>
  <r>
    <x v="0"/>
    <x v="0"/>
    <x v="0"/>
    <x v="0"/>
    <x v="1"/>
    <s v="DK2_MedSmall"/>
    <x v="3"/>
    <s v="GNR_ST_MSW_BP_E-25"/>
    <x v="0"/>
    <x v="9"/>
    <n v="36.854117829129201"/>
    <n v="13451.7530076322"/>
    <n v="48426.310827475798"/>
  </r>
  <r>
    <x v="0"/>
    <x v="0"/>
    <x v="0"/>
    <x v="0"/>
    <x v="1"/>
    <s v="DK2_MedSmall"/>
    <x v="3"/>
    <s v="GNR_ST_MSW_BP_E-25"/>
    <x v="0"/>
    <x v="10"/>
    <n v="36.854117829129201"/>
    <n v="13451.7530076322"/>
    <n v="48426.310827475798"/>
  </r>
  <r>
    <x v="0"/>
    <x v="0"/>
    <x v="0"/>
    <x v="0"/>
    <x v="1"/>
    <s v="DK2_MedSmall"/>
    <x v="3"/>
    <s v="GNR_ST_MSW_BP_E-25"/>
    <x v="0"/>
    <x v="11"/>
    <n v="36.854117829129201"/>
    <n v="13451.7530076322"/>
    <n v="48426.310827475798"/>
  </r>
  <r>
    <x v="0"/>
    <x v="0"/>
    <x v="0"/>
    <x v="0"/>
    <x v="1"/>
    <s v="DK2_MedSmall"/>
    <x v="3"/>
    <s v="GNR_ST_MSW_BP_E-25"/>
    <x v="0"/>
    <x v="12"/>
    <n v="36.854117829129201"/>
    <n v="13451.7530076322"/>
    <n v="48426.310827475798"/>
  </r>
  <r>
    <x v="0"/>
    <x v="0"/>
    <x v="0"/>
    <x v="0"/>
    <x v="1"/>
    <s v="DK2_MedSmall"/>
    <x v="3"/>
    <s v="GNR_ST_MSW_BP_E-25"/>
    <x v="0"/>
    <x v="13"/>
    <n v="36.854117829129201"/>
    <n v="13451.7530076322"/>
    <n v="48426.310827475798"/>
  </r>
  <r>
    <x v="0"/>
    <x v="0"/>
    <x v="0"/>
    <x v="0"/>
    <x v="1"/>
    <s v="DK2_MedSmall"/>
    <x v="3"/>
    <s v="GNR_ST_MSW_BP_E-25"/>
    <x v="0"/>
    <x v="14"/>
    <n v="36.854117829129201"/>
    <n v="13451.7530076322"/>
    <n v="48426.310827475798"/>
  </r>
  <r>
    <x v="0"/>
    <x v="0"/>
    <x v="0"/>
    <x v="0"/>
    <x v="1"/>
    <s v="DK2_MedSmall"/>
    <x v="3"/>
    <s v="GNR_ST_MSW_BP_E-25"/>
    <x v="0"/>
    <x v="15"/>
    <n v="36.854117829129201"/>
    <n v="13451.7530076322"/>
    <n v="48426.310827475798"/>
  </r>
  <r>
    <x v="0"/>
    <x v="0"/>
    <x v="0"/>
    <x v="0"/>
    <x v="1"/>
    <s v="DK2_MedSmall"/>
    <x v="3"/>
    <s v="GNR_ST_MSW_BP_E-25"/>
    <x v="0"/>
    <x v="16"/>
    <n v="36.854117829129201"/>
    <n v="13451.7530076322"/>
    <n v="48426.310827475798"/>
  </r>
  <r>
    <x v="0"/>
    <x v="0"/>
    <x v="0"/>
    <x v="0"/>
    <x v="1"/>
    <s v="DK2_MedSmall"/>
    <x v="3"/>
    <s v="GNR_ST_MSW_BP_E-25"/>
    <x v="0"/>
    <x v="17"/>
    <n v="36.854117829129201"/>
    <n v="13451.7530076322"/>
    <n v="48426.310827475798"/>
  </r>
  <r>
    <x v="0"/>
    <x v="0"/>
    <x v="0"/>
    <x v="0"/>
    <x v="1"/>
    <s v="DK2_MedSmall"/>
    <x v="3"/>
    <s v="GNR_ST_MSW_BP_E-25"/>
    <x v="0"/>
    <x v="18"/>
    <n v="36.854117829129201"/>
    <n v="13451.7530076322"/>
    <n v="48426.310827475798"/>
  </r>
  <r>
    <x v="0"/>
    <x v="0"/>
    <x v="0"/>
    <x v="0"/>
    <x v="1"/>
    <s v="DK2_MedSmall"/>
    <x v="3"/>
    <s v="GNR_ST_MSW_BP_E-25"/>
    <x v="0"/>
    <x v="19"/>
    <n v="36.854117829129201"/>
    <n v="13451.7530076322"/>
    <n v="48426.310827475798"/>
  </r>
  <r>
    <x v="0"/>
    <x v="0"/>
    <x v="0"/>
    <x v="0"/>
    <x v="1"/>
    <s v="DK2_MedSmall"/>
    <x v="3"/>
    <s v="GNR_ST_MSW_BP_E-25"/>
    <x v="0"/>
    <x v="20"/>
    <n v="36.854117829129201"/>
    <n v="13451.7530076322"/>
    <n v="48426.310827475798"/>
  </r>
  <r>
    <x v="0"/>
    <x v="0"/>
    <x v="0"/>
    <x v="0"/>
    <x v="1"/>
    <s v="DK2_MedSmall"/>
    <x v="3"/>
    <s v="GNR_ST_MSW_BP_E-25"/>
    <x v="0"/>
    <x v="21"/>
    <n v="36.854117829129201"/>
    <n v="13451.7530076322"/>
    <n v="48426.310827475798"/>
  </r>
  <r>
    <x v="0"/>
    <x v="0"/>
    <x v="0"/>
    <x v="0"/>
    <x v="1"/>
    <s v="DK2_MedSmall"/>
    <x v="3"/>
    <s v="GNR_ST_MSW_BP_E-25"/>
    <x v="0"/>
    <x v="22"/>
    <n v="36.854117829129201"/>
    <n v="13451.7530076322"/>
    <n v="48426.310827475798"/>
  </r>
  <r>
    <x v="0"/>
    <x v="0"/>
    <x v="0"/>
    <x v="0"/>
    <x v="1"/>
    <s v="DK2_MedSmall"/>
    <x v="3"/>
    <s v="GNR_ST_MSW_BP_E-25"/>
    <x v="0"/>
    <x v="23"/>
    <n v="36.854117829129201"/>
    <n v="13451.7530076322"/>
    <n v="48426.310827475798"/>
  </r>
  <r>
    <x v="0"/>
    <x v="0"/>
    <x v="0"/>
    <x v="0"/>
    <x v="1"/>
    <s v="DK2_MedSmall"/>
    <x v="3"/>
    <s v="GNR_ST_MSW_BP_E-28"/>
    <x v="0"/>
    <x v="0"/>
    <n v="43.582530166740803"/>
    <n v="15907.6235108604"/>
    <n v="57267.444639097499"/>
  </r>
  <r>
    <x v="0"/>
    <x v="0"/>
    <x v="0"/>
    <x v="0"/>
    <x v="1"/>
    <s v="DK2_MedSmall"/>
    <x v="3"/>
    <s v="GNR_ST_MSW_BP_E-28"/>
    <x v="0"/>
    <x v="1"/>
    <n v="43.582530166740803"/>
    <n v="15907.6235108604"/>
    <n v="57267.444639097499"/>
  </r>
  <r>
    <x v="0"/>
    <x v="0"/>
    <x v="0"/>
    <x v="0"/>
    <x v="1"/>
    <s v="DK2_MedSmall"/>
    <x v="3"/>
    <s v="GNR_ST_MSW_BP_E-28"/>
    <x v="0"/>
    <x v="2"/>
    <n v="43.582530166740803"/>
    <n v="15907.6235108604"/>
    <n v="57267.444639097499"/>
  </r>
  <r>
    <x v="0"/>
    <x v="0"/>
    <x v="0"/>
    <x v="0"/>
    <x v="1"/>
    <s v="DK2_MedSmall"/>
    <x v="3"/>
    <s v="GNR_ST_MSW_BP_E-28"/>
    <x v="0"/>
    <x v="3"/>
    <n v="43.582530166740803"/>
    <n v="15907.6235108604"/>
    <n v="57267.444639097499"/>
  </r>
  <r>
    <x v="0"/>
    <x v="0"/>
    <x v="0"/>
    <x v="0"/>
    <x v="1"/>
    <s v="DK2_MedSmall"/>
    <x v="3"/>
    <s v="GNR_ST_MSW_BP_E-28"/>
    <x v="0"/>
    <x v="4"/>
    <n v="43.582530166740803"/>
    <n v="15907.6235108604"/>
    <n v="57267.444639097499"/>
  </r>
  <r>
    <x v="0"/>
    <x v="0"/>
    <x v="0"/>
    <x v="0"/>
    <x v="1"/>
    <s v="DK2_MedSmall"/>
    <x v="3"/>
    <s v="GNR_ST_MSW_BP_E-28"/>
    <x v="0"/>
    <x v="5"/>
    <n v="43.582530166740803"/>
    <n v="15907.6235108604"/>
    <n v="57267.444639097499"/>
  </r>
  <r>
    <x v="0"/>
    <x v="0"/>
    <x v="0"/>
    <x v="0"/>
    <x v="1"/>
    <s v="DK2_MedSmall"/>
    <x v="3"/>
    <s v="GNR_ST_MSW_BP_E-28"/>
    <x v="0"/>
    <x v="6"/>
    <n v="43.582530166740803"/>
    <n v="15907.6235108604"/>
    <n v="57267.444639097499"/>
  </r>
  <r>
    <x v="0"/>
    <x v="0"/>
    <x v="0"/>
    <x v="0"/>
    <x v="1"/>
    <s v="DK2_MedSmall"/>
    <x v="3"/>
    <s v="GNR_ST_MSW_BP_E-28"/>
    <x v="0"/>
    <x v="7"/>
    <n v="43.582530166740803"/>
    <n v="15907.6235108604"/>
    <n v="57267.444639097499"/>
  </r>
  <r>
    <x v="0"/>
    <x v="0"/>
    <x v="0"/>
    <x v="0"/>
    <x v="1"/>
    <s v="DK2_MedSmall"/>
    <x v="3"/>
    <s v="GNR_ST_MSW_BP_E-28"/>
    <x v="0"/>
    <x v="8"/>
    <n v="43.582530166740803"/>
    <n v="15907.6235108604"/>
    <n v="57267.444639097499"/>
  </r>
  <r>
    <x v="0"/>
    <x v="0"/>
    <x v="0"/>
    <x v="0"/>
    <x v="1"/>
    <s v="DK2_MedSmall"/>
    <x v="3"/>
    <s v="GNR_ST_MSW_BP_E-28"/>
    <x v="0"/>
    <x v="9"/>
    <n v="43.582530166740803"/>
    <n v="15907.6235108604"/>
    <n v="57267.444639097499"/>
  </r>
  <r>
    <x v="0"/>
    <x v="0"/>
    <x v="0"/>
    <x v="0"/>
    <x v="1"/>
    <s v="DK2_MedSmall"/>
    <x v="3"/>
    <s v="GNR_ST_MSW_BP_E-28"/>
    <x v="0"/>
    <x v="10"/>
    <n v="43.582530166740803"/>
    <n v="15907.6235108604"/>
    <n v="57267.444639097499"/>
  </r>
  <r>
    <x v="0"/>
    <x v="0"/>
    <x v="0"/>
    <x v="0"/>
    <x v="1"/>
    <s v="DK2_MedSmall"/>
    <x v="3"/>
    <s v="GNR_ST_MSW_BP_E-28"/>
    <x v="0"/>
    <x v="11"/>
    <n v="43.582530166740803"/>
    <n v="15907.6235108604"/>
    <n v="57267.444639097499"/>
  </r>
  <r>
    <x v="0"/>
    <x v="0"/>
    <x v="0"/>
    <x v="0"/>
    <x v="1"/>
    <s v="DK2_MedSmall"/>
    <x v="3"/>
    <s v="GNR_ST_MSW_BP_E-28"/>
    <x v="0"/>
    <x v="12"/>
    <n v="43.582530166740803"/>
    <n v="15907.6235108604"/>
    <n v="57267.444639097499"/>
  </r>
  <r>
    <x v="0"/>
    <x v="0"/>
    <x v="0"/>
    <x v="0"/>
    <x v="1"/>
    <s v="DK2_MedSmall"/>
    <x v="3"/>
    <s v="GNR_ST_MSW_BP_E-28"/>
    <x v="0"/>
    <x v="13"/>
    <n v="43.582530166740803"/>
    <n v="15907.6235108604"/>
    <n v="57267.444639097499"/>
  </r>
  <r>
    <x v="0"/>
    <x v="0"/>
    <x v="0"/>
    <x v="0"/>
    <x v="1"/>
    <s v="DK2_MedSmall"/>
    <x v="3"/>
    <s v="GNR_ST_MSW_BP_E-28"/>
    <x v="0"/>
    <x v="14"/>
    <n v="43.582530166740803"/>
    <n v="15907.6235108604"/>
    <n v="57267.444639097499"/>
  </r>
  <r>
    <x v="0"/>
    <x v="0"/>
    <x v="0"/>
    <x v="0"/>
    <x v="1"/>
    <s v="DK2_MedSmall"/>
    <x v="3"/>
    <s v="GNR_ST_MSW_BP_E-28"/>
    <x v="0"/>
    <x v="15"/>
    <n v="43.582530166740803"/>
    <n v="15907.6235108604"/>
    <n v="57267.444639097499"/>
  </r>
  <r>
    <x v="0"/>
    <x v="0"/>
    <x v="0"/>
    <x v="0"/>
    <x v="1"/>
    <s v="DK2_MedSmall"/>
    <x v="3"/>
    <s v="GNR_ST_MSW_BP_E-28"/>
    <x v="0"/>
    <x v="16"/>
    <n v="43.582530166740803"/>
    <n v="15907.6235108604"/>
    <n v="57267.444639097499"/>
  </r>
  <r>
    <x v="0"/>
    <x v="0"/>
    <x v="0"/>
    <x v="0"/>
    <x v="1"/>
    <s v="DK2_MedSmall"/>
    <x v="3"/>
    <s v="GNR_ST_MSW_BP_E-28"/>
    <x v="0"/>
    <x v="17"/>
    <n v="43.582530166740803"/>
    <n v="15907.6235108604"/>
    <n v="57267.444639097499"/>
  </r>
  <r>
    <x v="0"/>
    <x v="0"/>
    <x v="0"/>
    <x v="0"/>
    <x v="1"/>
    <s v="DK2_MedSmall"/>
    <x v="3"/>
    <s v="GNR_ST_MSW_BP_E-28"/>
    <x v="0"/>
    <x v="18"/>
    <n v="43.582530166740803"/>
    <n v="15907.6235108604"/>
    <n v="57267.444639097499"/>
  </r>
  <r>
    <x v="0"/>
    <x v="0"/>
    <x v="0"/>
    <x v="0"/>
    <x v="1"/>
    <s v="DK2_MedSmall"/>
    <x v="3"/>
    <s v="GNR_ST_MSW_BP_E-28"/>
    <x v="0"/>
    <x v="19"/>
    <n v="43.582530166740803"/>
    <n v="15907.6235108604"/>
    <n v="57267.444639097499"/>
  </r>
  <r>
    <x v="0"/>
    <x v="0"/>
    <x v="0"/>
    <x v="0"/>
    <x v="1"/>
    <s v="DK2_MedSmall"/>
    <x v="3"/>
    <s v="GNR_ST_MSW_BP_E-28"/>
    <x v="0"/>
    <x v="20"/>
    <n v="43.582530166740803"/>
    <n v="15907.6235108604"/>
    <n v="57267.444639097499"/>
  </r>
  <r>
    <x v="0"/>
    <x v="0"/>
    <x v="0"/>
    <x v="0"/>
    <x v="1"/>
    <s v="DK2_MedSmall"/>
    <x v="3"/>
    <s v="GNR_ST_MSW_BP_E-28"/>
    <x v="0"/>
    <x v="21"/>
    <n v="43.582530166740803"/>
    <n v="15907.6235108604"/>
    <n v="57267.444639097499"/>
  </r>
  <r>
    <x v="0"/>
    <x v="0"/>
    <x v="0"/>
    <x v="0"/>
    <x v="1"/>
    <s v="DK2_MedSmall"/>
    <x v="3"/>
    <s v="GNR_ST_MSW_BP_E-28"/>
    <x v="0"/>
    <x v="22"/>
    <n v="43.582530166740803"/>
    <n v="15907.6235108604"/>
    <n v="57267.444639097499"/>
  </r>
  <r>
    <x v="0"/>
    <x v="0"/>
    <x v="0"/>
    <x v="0"/>
    <x v="1"/>
    <s v="DK2_MedSmall"/>
    <x v="3"/>
    <s v="GNR_ST_MSW_BP_E-28"/>
    <x v="0"/>
    <x v="23"/>
    <n v="43.582530166740803"/>
    <n v="15907.6235108604"/>
    <n v="57267.444639097499"/>
  </r>
  <r>
    <x v="0"/>
    <x v="0"/>
    <x v="0"/>
    <x v="0"/>
    <x v="1"/>
    <s v="DK2_Medium"/>
    <x v="0"/>
    <s v="GNR_BO_BGAS_E-100"/>
    <x v="0"/>
    <x v="0"/>
    <n v="0.4"/>
    <n v="146"/>
    <n v="525.6"/>
  </r>
  <r>
    <x v="0"/>
    <x v="0"/>
    <x v="0"/>
    <x v="0"/>
    <x v="1"/>
    <s v="DK2_Medium"/>
    <x v="0"/>
    <s v="GNR_BO_BGAS_E-100"/>
    <x v="0"/>
    <x v="1"/>
    <n v="0.4"/>
    <n v="146"/>
    <n v="525.6"/>
  </r>
  <r>
    <x v="0"/>
    <x v="0"/>
    <x v="0"/>
    <x v="0"/>
    <x v="1"/>
    <s v="DK2_Medium"/>
    <x v="0"/>
    <s v="GNR_BO_BGAS_E-100"/>
    <x v="0"/>
    <x v="2"/>
    <n v="0.4"/>
    <n v="146"/>
    <n v="525.6"/>
  </r>
  <r>
    <x v="0"/>
    <x v="0"/>
    <x v="0"/>
    <x v="0"/>
    <x v="1"/>
    <s v="DK2_Medium"/>
    <x v="0"/>
    <s v="GNR_BO_BGAS_E-100"/>
    <x v="0"/>
    <x v="3"/>
    <n v="0.4"/>
    <n v="146"/>
    <n v="525.6"/>
  </r>
  <r>
    <x v="0"/>
    <x v="0"/>
    <x v="0"/>
    <x v="0"/>
    <x v="1"/>
    <s v="DK2_Medium"/>
    <x v="0"/>
    <s v="GNR_BO_BGAS_E-100"/>
    <x v="0"/>
    <x v="4"/>
    <n v="0.4"/>
    <n v="146"/>
    <n v="525.6"/>
  </r>
  <r>
    <x v="0"/>
    <x v="0"/>
    <x v="0"/>
    <x v="0"/>
    <x v="1"/>
    <s v="DK2_Medium"/>
    <x v="0"/>
    <s v="GNR_BO_BGAS_E-100"/>
    <x v="0"/>
    <x v="5"/>
    <n v="0.4"/>
    <n v="146"/>
    <n v="525.6"/>
  </r>
  <r>
    <x v="0"/>
    <x v="0"/>
    <x v="0"/>
    <x v="0"/>
    <x v="1"/>
    <s v="DK2_Medium"/>
    <x v="0"/>
    <s v="GNR_BO_BGAS_E-100"/>
    <x v="0"/>
    <x v="6"/>
    <n v="0.4"/>
    <n v="146"/>
    <n v="525.6"/>
  </r>
  <r>
    <x v="0"/>
    <x v="0"/>
    <x v="0"/>
    <x v="0"/>
    <x v="1"/>
    <s v="DK2_Medium"/>
    <x v="0"/>
    <s v="GNR_BO_BGAS_E-100"/>
    <x v="0"/>
    <x v="7"/>
    <n v="0.4"/>
    <n v="146"/>
    <n v="525.6"/>
  </r>
  <r>
    <x v="0"/>
    <x v="0"/>
    <x v="0"/>
    <x v="0"/>
    <x v="1"/>
    <s v="DK2_Medium"/>
    <x v="0"/>
    <s v="GNR_BO_BGAS_E-100"/>
    <x v="0"/>
    <x v="8"/>
    <n v="0.4"/>
    <n v="146"/>
    <n v="525.6"/>
  </r>
  <r>
    <x v="0"/>
    <x v="0"/>
    <x v="0"/>
    <x v="0"/>
    <x v="1"/>
    <s v="DK2_Medium"/>
    <x v="0"/>
    <s v="GNR_BO_BGAS_E-100"/>
    <x v="0"/>
    <x v="9"/>
    <n v="0.4"/>
    <n v="146"/>
    <n v="525.6"/>
  </r>
  <r>
    <x v="0"/>
    <x v="0"/>
    <x v="0"/>
    <x v="0"/>
    <x v="1"/>
    <s v="DK2_Medium"/>
    <x v="0"/>
    <s v="GNR_BO_BGAS_E-100"/>
    <x v="0"/>
    <x v="10"/>
    <n v="0.4"/>
    <n v="146"/>
    <n v="525.6"/>
  </r>
  <r>
    <x v="0"/>
    <x v="0"/>
    <x v="0"/>
    <x v="0"/>
    <x v="1"/>
    <s v="DK2_Medium"/>
    <x v="0"/>
    <s v="GNR_BO_BGAS_E-100"/>
    <x v="0"/>
    <x v="11"/>
    <n v="0.4"/>
    <n v="146"/>
    <n v="525.6"/>
  </r>
  <r>
    <x v="0"/>
    <x v="0"/>
    <x v="0"/>
    <x v="0"/>
    <x v="1"/>
    <s v="DK2_Medium"/>
    <x v="0"/>
    <s v="GNR_BO_BGAS_E-100"/>
    <x v="0"/>
    <x v="12"/>
    <n v="0.4"/>
    <n v="146"/>
    <n v="525.6"/>
  </r>
  <r>
    <x v="0"/>
    <x v="0"/>
    <x v="0"/>
    <x v="0"/>
    <x v="1"/>
    <s v="DK2_Medium"/>
    <x v="0"/>
    <s v="GNR_BO_BGAS_E-100"/>
    <x v="0"/>
    <x v="13"/>
    <n v="0.4"/>
    <n v="146"/>
    <n v="525.6"/>
  </r>
  <r>
    <x v="0"/>
    <x v="0"/>
    <x v="0"/>
    <x v="0"/>
    <x v="1"/>
    <s v="DK2_Medium"/>
    <x v="0"/>
    <s v="GNR_BO_BGAS_E-100"/>
    <x v="0"/>
    <x v="14"/>
    <n v="0.4"/>
    <n v="146"/>
    <n v="525.6"/>
  </r>
  <r>
    <x v="0"/>
    <x v="0"/>
    <x v="0"/>
    <x v="0"/>
    <x v="1"/>
    <s v="DK2_Medium"/>
    <x v="0"/>
    <s v="GNR_BO_BGAS_E-100"/>
    <x v="0"/>
    <x v="15"/>
    <n v="0.4"/>
    <n v="146"/>
    <n v="525.6"/>
  </r>
  <r>
    <x v="0"/>
    <x v="0"/>
    <x v="0"/>
    <x v="0"/>
    <x v="1"/>
    <s v="DK2_Medium"/>
    <x v="0"/>
    <s v="GNR_BO_BGAS_E-100"/>
    <x v="0"/>
    <x v="16"/>
    <n v="0.4"/>
    <n v="146"/>
    <n v="525.6"/>
  </r>
  <r>
    <x v="0"/>
    <x v="0"/>
    <x v="0"/>
    <x v="0"/>
    <x v="1"/>
    <s v="DK2_Medium"/>
    <x v="0"/>
    <s v="GNR_BO_BGAS_E-100"/>
    <x v="0"/>
    <x v="17"/>
    <n v="0.4"/>
    <n v="146"/>
    <n v="525.6"/>
  </r>
  <r>
    <x v="0"/>
    <x v="0"/>
    <x v="0"/>
    <x v="0"/>
    <x v="1"/>
    <s v="DK2_Medium"/>
    <x v="0"/>
    <s v="GNR_BO_BGAS_E-100"/>
    <x v="0"/>
    <x v="18"/>
    <n v="0.4"/>
    <n v="146"/>
    <n v="525.6"/>
  </r>
  <r>
    <x v="0"/>
    <x v="0"/>
    <x v="0"/>
    <x v="0"/>
    <x v="1"/>
    <s v="DK2_Medium"/>
    <x v="0"/>
    <s v="GNR_BO_BGAS_E-100"/>
    <x v="0"/>
    <x v="19"/>
    <n v="0.4"/>
    <n v="146"/>
    <n v="525.6"/>
  </r>
  <r>
    <x v="0"/>
    <x v="0"/>
    <x v="0"/>
    <x v="0"/>
    <x v="1"/>
    <s v="DK2_Medium"/>
    <x v="0"/>
    <s v="GNR_BO_BGAS_E-100"/>
    <x v="0"/>
    <x v="20"/>
    <n v="0.4"/>
    <n v="146"/>
    <n v="525.6"/>
  </r>
  <r>
    <x v="0"/>
    <x v="0"/>
    <x v="0"/>
    <x v="0"/>
    <x v="1"/>
    <s v="DK2_Medium"/>
    <x v="0"/>
    <s v="GNR_BO_BGAS_E-100"/>
    <x v="0"/>
    <x v="21"/>
    <n v="0.4"/>
    <n v="146"/>
    <n v="525.6"/>
  </r>
  <r>
    <x v="0"/>
    <x v="0"/>
    <x v="0"/>
    <x v="0"/>
    <x v="1"/>
    <s v="DK2_Medium"/>
    <x v="0"/>
    <s v="GNR_BO_BGAS_E-100"/>
    <x v="0"/>
    <x v="22"/>
    <n v="0.4"/>
    <n v="146"/>
    <n v="525.6"/>
  </r>
  <r>
    <x v="0"/>
    <x v="0"/>
    <x v="0"/>
    <x v="0"/>
    <x v="1"/>
    <s v="DK2_Medium"/>
    <x v="0"/>
    <s v="GNR_BO_BGAS_E-100"/>
    <x v="0"/>
    <x v="23"/>
    <n v="0.4"/>
    <n v="146"/>
    <n v="525.6"/>
  </r>
  <r>
    <x v="0"/>
    <x v="0"/>
    <x v="0"/>
    <x v="0"/>
    <x v="1"/>
    <s v="DK2_Medium"/>
    <x v="0"/>
    <s v="GNR_BO_BGAS_E-99"/>
    <x v="0"/>
    <x v="0"/>
    <n v="0.28999999999999998"/>
    <n v="105.85"/>
    <n v="381.06"/>
  </r>
  <r>
    <x v="0"/>
    <x v="0"/>
    <x v="0"/>
    <x v="0"/>
    <x v="1"/>
    <s v="DK2_Medium"/>
    <x v="0"/>
    <s v="GNR_BO_BGAS_E-99"/>
    <x v="0"/>
    <x v="1"/>
    <n v="0.28999999999999998"/>
    <n v="105.85"/>
    <n v="381.06"/>
  </r>
  <r>
    <x v="0"/>
    <x v="0"/>
    <x v="0"/>
    <x v="0"/>
    <x v="1"/>
    <s v="DK2_Medium"/>
    <x v="0"/>
    <s v="GNR_BO_BGAS_E-99"/>
    <x v="0"/>
    <x v="2"/>
    <n v="0.28999999999999998"/>
    <n v="105.85"/>
    <n v="381.06"/>
  </r>
  <r>
    <x v="0"/>
    <x v="0"/>
    <x v="0"/>
    <x v="0"/>
    <x v="1"/>
    <s v="DK2_Medium"/>
    <x v="0"/>
    <s v="GNR_BO_BGAS_E-99"/>
    <x v="0"/>
    <x v="3"/>
    <n v="0.28999999999999998"/>
    <n v="105.85"/>
    <n v="381.06"/>
  </r>
  <r>
    <x v="0"/>
    <x v="0"/>
    <x v="0"/>
    <x v="0"/>
    <x v="1"/>
    <s v="DK2_Medium"/>
    <x v="0"/>
    <s v="GNR_BO_BGAS_E-99"/>
    <x v="0"/>
    <x v="4"/>
    <n v="0.28999999999999998"/>
    <n v="105.85"/>
    <n v="381.06"/>
  </r>
  <r>
    <x v="0"/>
    <x v="0"/>
    <x v="0"/>
    <x v="0"/>
    <x v="1"/>
    <s v="DK2_Medium"/>
    <x v="0"/>
    <s v="GNR_BO_BGAS_E-99"/>
    <x v="0"/>
    <x v="5"/>
    <n v="0.28999999999999998"/>
    <n v="105.85"/>
    <n v="381.06"/>
  </r>
  <r>
    <x v="0"/>
    <x v="0"/>
    <x v="0"/>
    <x v="0"/>
    <x v="1"/>
    <s v="DK2_Medium"/>
    <x v="0"/>
    <s v="GNR_BO_BGAS_E-99"/>
    <x v="0"/>
    <x v="6"/>
    <n v="0.28999999999999998"/>
    <n v="105.85"/>
    <n v="381.06"/>
  </r>
  <r>
    <x v="0"/>
    <x v="0"/>
    <x v="0"/>
    <x v="0"/>
    <x v="1"/>
    <s v="DK2_Medium"/>
    <x v="0"/>
    <s v="GNR_BO_BGAS_E-99"/>
    <x v="0"/>
    <x v="7"/>
    <n v="0.28999999999999998"/>
    <n v="105.85"/>
    <n v="381.06"/>
  </r>
  <r>
    <x v="0"/>
    <x v="0"/>
    <x v="0"/>
    <x v="0"/>
    <x v="1"/>
    <s v="DK2_Medium"/>
    <x v="0"/>
    <s v="GNR_BO_BGAS_E-99"/>
    <x v="0"/>
    <x v="8"/>
    <n v="0.28999999999999998"/>
    <n v="105.85"/>
    <n v="381.06"/>
  </r>
  <r>
    <x v="0"/>
    <x v="0"/>
    <x v="0"/>
    <x v="0"/>
    <x v="1"/>
    <s v="DK2_Medium"/>
    <x v="0"/>
    <s v="GNR_BO_BGAS_E-99"/>
    <x v="0"/>
    <x v="9"/>
    <n v="0.28999999999999998"/>
    <n v="105.85"/>
    <n v="381.06"/>
  </r>
  <r>
    <x v="0"/>
    <x v="0"/>
    <x v="0"/>
    <x v="0"/>
    <x v="1"/>
    <s v="DK2_Medium"/>
    <x v="0"/>
    <s v="GNR_BO_BGAS_E-99"/>
    <x v="0"/>
    <x v="10"/>
    <n v="0.28999999999999998"/>
    <n v="105.85"/>
    <n v="381.06"/>
  </r>
  <r>
    <x v="0"/>
    <x v="0"/>
    <x v="0"/>
    <x v="0"/>
    <x v="1"/>
    <s v="DK2_Medium"/>
    <x v="0"/>
    <s v="GNR_BO_BGAS_E-99"/>
    <x v="0"/>
    <x v="11"/>
    <n v="0.28999999999999998"/>
    <n v="105.85"/>
    <n v="381.06"/>
  </r>
  <r>
    <x v="0"/>
    <x v="0"/>
    <x v="0"/>
    <x v="0"/>
    <x v="1"/>
    <s v="DK2_Medium"/>
    <x v="0"/>
    <s v="GNR_BO_BGAS_E-99"/>
    <x v="0"/>
    <x v="12"/>
    <n v="0.28999999999999998"/>
    <n v="105.85"/>
    <n v="381.06"/>
  </r>
  <r>
    <x v="0"/>
    <x v="0"/>
    <x v="0"/>
    <x v="0"/>
    <x v="1"/>
    <s v="DK2_Medium"/>
    <x v="0"/>
    <s v="GNR_BO_BGAS_E-99"/>
    <x v="0"/>
    <x v="13"/>
    <n v="0.28999999999999998"/>
    <n v="105.85"/>
    <n v="381.06"/>
  </r>
  <r>
    <x v="0"/>
    <x v="0"/>
    <x v="0"/>
    <x v="0"/>
    <x v="1"/>
    <s v="DK2_Medium"/>
    <x v="0"/>
    <s v="GNR_BO_BGAS_E-99"/>
    <x v="0"/>
    <x v="14"/>
    <n v="0.28999999999999998"/>
    <n v="105.85"/>
    <n v="381.06"/>
  </r>
  <r>
    <x v="0"/>
    <x v="0"/>
    <x v="0"/>
    <x v="0"/>
    <x v="1"/>
    <s v="DK2_Medium"/>
    <x v="0"/>
    <s v="GNR_BO_BGAS_E-99"/>
    <x v="0"/>
    <x v="15"/>
    <n v="0.28999999999999998"/>
    <n v="105.85"/>
    <n v="381.06"/>
  </r>
  <r>
    <x v="0"/>
    <x v="0"/>
    <x v="0"/>
    <x v="0"/>
    <x v="1"/>
    <s v="DK2_Medium"/>
    <x v="0"/>
    <s v="GNR_BO_BGAS_E-99"/>
    <x v="0"/>
    <x v="16"/>
    <n v="0.28999999999999998"/>
    <n v="105.85"/>
    <n v="381.06"/>
  </r>
  <r>
    <x v="0"/>
    <x v="0"/>
    <x v="0"/>
    <x v="0"/>
    <x v="1"/>
    <s v="DK2_Medium"/>
    <x v="0"/>
    <s v="GNR_BO_BGAS_E-99"/>
    <x v="0"/>
    <x v="17"/>
    <n v="0.28999999999999998"/>
    <n v="105.85"/>
    <n v="381.06"/>
  </r>
  <r>
    <x v="0"/>
    <x v="0"/>
    <x v="0"/>
    <x v="0"/>
    <x v="1"/>
    <s v="DK2_Medium"/>
    <x v="0"/>
    <s v="GNR_BO_BGAS_E-99"/>
    <x v="0"/>
    <x v="18"/>
    <n v="0.28999999999999998"/>
    <n v="105.85"/>
    <n v="381.06"/>
  </r>
  <r>
    <x v="0"/>
    <x v="0"/>
    <x v="0"/>
    <x v="0"/>
    <x v="1"/>
    <s v="DK2_Medium"/>
    <x v="0"/>
    <s v="GNR_BO_BGAS_E-99"/>
    <x v="0"/>
    <x v="19"/>
    <n v="0.28999999999999998"/>
    <n v="105.85"/>
    <n v="381.06"/>
  </r>
  <r>
    <x v="0"/>
    <x v="0"/>
    <x v="0"/>
    <x v="0"/>
    <x v="1"/>
    <s v="DK2_Medium"/>
    <x v="0"/>
    <s v="GNR_BO_BGAS_E-99"/>
    <x v="0"/>
    <x v="20"/>
    <n v="0.28999999999999998"/>
    <n v="105.85"/>
    <n v="381.06"/>
  </r>
  <r>
    <x v="0"/>
    <x v="0"/>
    <x v="0"/>
    <x v="0"/>
    <x v="1"/>
    <s v="DK2_Medium"/>
    <x v="0"/>
    <s v="GNR_BO_BGAS_E-99"/>
    <x v="0"/>
    <x v="21"/>
    <n v="0.28999999999999998"/>
    <n v="105.85"/>
    <n v="381.06"/>
  </r>
  <r>
    <x v="0"/>
    <x v="0"/>
    <x v="0"/>
    <x v="0"/>
    <x v="1"/>
    <s v="DK2_Medium"/>
    <x v="0"/>
    <s v="GNR_BO_BGAS_E-99"/>
    <x v="0"/>
    <x v="22"/>
    <n v="0.28999999999999998"/>
    <n v="105.85"/>
    <n v="381.06"/>
  </r>
  <r>
    <x v="0"/>
    <x v="0"/>
    <x v="0"/>
    <x v="0"/>
    <x v="1"/>
    <s v="DK2_Medium"/>
    <x v="0"/>
    <s v="GNR_BO_BGAS_E-99"/>
    <x v="0"/>
    <x v="23"/>
    <n v="0.28999999999999998"/>
    <n v="105.85"/>
    <n v="381.06"/>
  </r>
  <r>
    <x v="0"/>
    <x v="0"/>
    <x v="0"/>
    <x v="0"/>
    <x v="1"/>
    <s v="DK2_Medium"/>
    <x v="2"/>
    <s v="GNR_HS_HEAT-E-100"/>
    <x v="0"/>
    <x v="3"/>
    <n v="20.3019889090174"/>
    <n v="7410.2259517913699"/>
    <n v="26676.813426448902"/>
  </r>
  <r>
    <x v="0"/>
    <x v="0"/>
    <x v="0"/>
    <x v="0"/>
    <x v="1"/>
    <s v="DK2_Medium"/>
    <x v="2"/>
    <s v="GNR_HS_HEAT-E-100"/>
    <x v="0"/>
    <x v="6"/>
    <n v="0.84367898408527098"/>
    <n v="307.94282919112402"/>
    <n v="1108.5941850880499"/>
  </r>
  <r>
    <x v="0"/>
    <x v="0"/>
    <x v="0"/>
    <x v="0"/>
    <x v="1"/>
    <s v="DK2_Medium"/>
    <x v="2"/>
    <s v="GNR_HS_HEAT-E-100"/>
    <x v="0"/>
    <x v="7"/>
    <n v="80.902187550040495"/>
    <n v="29529.298455764801"/>
    <n v="106305.47444075299"/>
  </r>
  <r>
    <x v="0"/>
    <x v="0"/>
    <x v="0"/>
    <x v="0"/>
    <x v="1"/>
    <s v="DK2_Medium"/>
    <x v="2"/>
    <s v="GNR_HS_HEAT-E-100"/>
    <x v="0"/>
    <x v="11"/>
    <n v="20.911952315399699"/>
    <n v="7632.8625951208996"/>
    <n v="27478.3053424352"/>
  </r>
  <r>
    <x v="0"/>
    <x v="0"/>
    <x v="0"/>
    <x v="0"/>
    <x v="1"/>
    <s v="DK2_Medium"/>
    <x v="2"/>
    <s v="GNR_HS_HEAT-E-100"/>
    <x v="0"/>
    <x v="19"/>
    <n v="102.150894329335"/>
    <n v="37285.076430207097"/>
    <n v="134226.275148746"/>
  </r>
  <r>
    <x v="0"/>
    <x v="0"/>
    <x v="0"/>
    <x v="0"/>
    <x v="1"/>
    <s v="DK2_Medium"/>
    <x v="2"/>
    <s v="GNR_HS_HEAT-E-100"/>
    <x v="0"/>
    <x v="20"/>
    <n v="98.951604377965594"/>
    <n v="36117.335597957397"/>
    <n v="130022.408152647"/>
  </r>
  <r>
    <x v="0"/>
    <x v="0"/>
    <x v="0"/>
    <x v="0"/>
    <x v="1"/>
    <s v="DK2_Medium"/>
    <x v="2"/>
    <s v="GNR_HS_HEAT-E-100"/>
    <x v="0"/>
    <x v="21"/>
    <n v="67.540393946342903"/>
    <n v="24652.243790415199"/>
    <n v="88748.077645494603"/>
  </r>
  <r>
    <x v="0"/>
    <x v="0"/>
    <x v="0"/>
    <x v="0"/>
    <x v="1"/>
    <s v="DK2_Medium"/>
    <x v="2"/>
    <s v="GNR_HS_HEAT-E-100"/>
    <x v="0"/>
    <x v="22"/>
    <n v="52.7073223536322"/>
    <n v="19238.172659075801"/>
    <n v="69257.4215726728"/>
  </r>
  <r>
    <x v="0"/>
    <x v="0"/>
    <x v="0"/>
    <x v="0"/>
    <x v="1"/>
    <s v="DK2_Medium"/>
    <x v="2"/>
    <s v="GNR_HS_HEAT-E-100"/>
    <x v="0"/>
    <x v="23"/>
    <n v="46.599586991927801"/>
    <n v="17008.8492520537"/>
    <n v="61231.857307393198"/>
  </r>
  <r>
    <x v="0"/>
    <x v="0"/>
    <x v="0"/>
    <x v="0"/>
    <x v="1"/>
    <s v="DK2_Medium"/>
    <x v="3"/>
    <s v="GNR_BO_MSW_E-105"/>
    <x v="0"/>
    <x v="0"/>
    <n v="21"/>
    <n v="7665"/>
    <n v="27594"/>
  </r>
  <r>
    <x v="0"/>
    <x v="0"/>
    <x v="0"/>
    <x v="0"/>
    <x v="1"/>
    <s v="DK2_Medium"/>
    <x v="3"/>
    <s v="GNR_BO_MSW_E-105"/>
    <x v="0"/>
    <x v="1"/>
    <n v="21"/>
    <n v="7665"/>
    <n v="27594"/>
  </r>
  <r>
    <x v="0"/>
    <x v="0"/>
    <x v="0"/>
    <x v="0"/>
    <x v="1"/>
    <s v="DK2_Medium"/>
    <x v="3"/>
    <s v="GNR_BO_MSW_E-105"/>
    <x v="0"/>
    <x v="2"/>
    <n v="21"/>
    <n v="7665"/>
    <n v="27594"/>
  </r>
  <r>
    <x v="0"/>
    <x v="0"/>
    <x v="0"/>
    <x v="0"/>
    <x v="1"/>
    <s v="DK2_Medium"/>
    <x v="3"/>
    <s v="GNR_BO_MSW_E-105"/>
    <x v="0"/>
    <x v="3"/>
    <n v="21"/>
    <n v="7665"/>
    <n v="27594"/>
  </r>
  <r>
    <x v="0"/>
    <x v="0"/>
    <x v="0"/>
    <x v="0"/>
    <x v="1"/>
    <s v="DK2_Medium"/>
    <x v="3"/>
    <s v="GNR_BO_MSW_E-105"/>
    <x v="0"/>
    <x v="4"/>
    <n v="21"/>
    <n v="7665"/>
    <n v="27594"/>
  </r>
  <r>
    <x v="0"/>
    <x v="0"/>
    <x v="0"/>
    <x v="0"/>
    <x v="1"/>
    <s v="DK2_Medium"/>
    <x v="3"/>
    <s v="GNR_BO_MSW_E-105"/>
    <x v="0"/>
    <x v="5"/>
    <n v="21"/>
    <n v="7665"/>
    <n v="27594"/>
  </r>
  <r>
    <x v="0"/>
    <x v="0"/>
    <x v="0"/>
    <x v="0"/>
    <x v="1"/>
    <s v="DK2_Medium"/>
    <x v="3"/>
    <s v="GNR_BO_MSW_E-105"/>
    <x v="0"/>
    <x v="6"/>
    <n v="21"/>
    <n v="7665"/>
    <n v="27594"/>
  </r>
  <r>
    <x v="0"/>
    <x v="0"/>
    <x v="0"/>
    <x v="0"/>
    <x v="1"/>
    <s v="DK2_Medium"/>
    <x v="3"/>
    <s v="GNR_BO_MSW_E-105"/>
    <x v="0"/>
    <x v="7"/>
    <n v="21"/>
    <n v="7665"/>
    <n v="27594"/>
  </r>
  <r>
    <x v="0"/>
    <x v="0"/>
    <x v="0"/>
    <x v="0"/>
    <x v="1"/>
    <s v="DK2_Medium"/>
    <x v="3"/>
    <s v="GNR_BO_MSW_E-105"/>
    <x v="0"/>
    <x v="8"/>
    <n v="21"/>
    <n v="7665"/>
    <n v="27594"/>
  </r>
  <r>
    <x v="0"/>
    <x v="0"/>
    <x v="0"/>
    <x v="0"/>
    <x v="1"/>
    <s v="DK2_Medium"/>
    <x v="3"/>
    <s v="GNR_BO_MSW_E-105"/>
    <x v="0"/>
    <x v="9"/>
    <n v="21"/>
    <n v="7665"/>
    <n v="27594"/>
  </r>
  <r>
    <x v="0"/>
    <x v="0"/>
    <x v="0"/>
    <x v="0"/>
    <x v="1"/>
    <s v="DK2_Medium"/>
    <x v="3"/>
    <s v="GNR_BO_MSW_E-105"/>
    <x v="0"/>
    <x v="10"/>
    <n v="21"/>
    <n v="7665"/>
    <n v="27594"/>
  </r>
  <r>
    <x v="0"/>
    <x v="0"/>
    <x v="0"/>
    <x v="0"/>
    <x v="1"/>
    <s v="DK2_Medium"/>
    <x v="3"/>
    <s v="GNR_BO_MSW_E-105"/>
    <x v="0"/>
    <x v="11"/>
    <n v="21"/>
    <n v="7665"/>
    <n v="27594"/>
  </r>
  <r>
    <x v="0"/>
    <x v="0"/>
    <x v="0"/>
    <x v="0"/>
    <x v="1"/>
    <s v="DK2_Medium"/>
    <x v="3"/>
    <s v="GNR_BO_MSW_E-105"/>
    <x v="0"/>
    <x v="12"/>
    <n v="21"/>
    <n v="7665"/>
    <n v="27594"/>
  </r>
  <r>
    <x v="0"/>
    <x v="0"/>
    <x v="0"/>
    <x v="0"/>
    <x v="1"/>
    <s v="DK2_Medium"/>
    <x v="3"/>
    <s v="GNR_BO_MSW_E-105"/>
    <x v="0"/>
    <x v="13"/>
    <n v="21"/>
    <n v="7665"/>
    <n v="27594"/>
  </r>
  <r>
    <x v="0"/>
    <x v="0"/>
    <x v="0"/>
    <x v="0"/>
    <x v="1"/>
    <s v="DK2_Medium"/>
    <x v="3"/>
    <s v="GNR_BO_MSW_E-105"/>
    <x v="0"/>
    <x v="14"/>
    <n v="21"/>
    <n v="7665"/>
    <n v="27594"/>
  </r>
  <r>
    <x v="0"/>
    <x v="0"/>
    <x v="0"/>
    <x v="0"/>
    <x v="1"/>
    <s v="DK2_Medium"/>
    <x v="3"/>
    <s v="GNR_BO_MSW_E-105"/>
    <x v="0"/>
    <x v="15"/>
    <n v="21"/>
    <n v="7665"/>
    <n v="27594"/>
  </r>
  <r>
    <x v="0"/>
    <x v="0"/>
    <x v="0"/>
    <x v="0"/>
    <x v="1"/>
    <s v="DK2_Medium"/>
    <x v="3"/>
    <s v="GNR_BO_MSW_E-105"/>
    <x v="0"/>
    <x v="16"/>
    <n v="21"/>
    <n v="7665"/>
    <n v="27594"/>
  </r>
  <r>
    <x v="0"/>
    <x v="0"/>
    <x v="0"/>
    <x v="0"/>
    <x v="1"/>
    <s v="DK2_Medium"/>
    <x v="3"/>
    <s v="GNR_BO_MSW_E-105"/>
    <x v="0"/>
    <x v="17"/>
    <n v="21"/>
    <n v="7665"/>
    <n v="27594"/>
  </r>
  <r>
    <x v="0"/>
    <x v="0"/>
    <x v="0"/>
    <x v="0"/>
    <x v="1"/>
    <s v="DK2_Medium"/>
    <x v="3"/>
    <s v="GNR_BO_MSW_E-105"/>
    <x v="0"/>
    <x v="18"/>
    <n v="21"/>
    <n v="7665"/>
    <n v="27594"/>
  </r>
  <r>
    <x v="0"/>
    <x v="0"/>
    <x v="0"/>
    <x v="0"/>
    <x v="1"/>
    <s v="DK2_Medium"/>
    <x v="3"/>
    <s v="GNR_BO_MSW_E-105"/>
    <x v="0"/>
    <x v="19"/>
    <n v="21"/>
    <n v="7665"/>
    <n v="27594"/>
  </r>
  <r>
    <x v="0"/>
    <x v="0"/>
    <x v="0"/>
    <x v="0"/>
    <x v="1"/>
    <s v="DK2_Medium"/>
    <x v="3"/>
    <s v="GNR_BO_MSW_E-105"/>
    <x v="0"/>
    <x v="20"/>
    <n v="21"/>
    <n v="7665"/>
    <n v="27594"/>
  </r>
  <r>
    <x v="0"/>
    <x v="0"/>
    <x v="0"/>
    <x v="0"/>
    <x v="1"/>
    <s v="DK2_Medium"/>
    <x v="3"/>
    <s v="GNR_BO_MSW_E-105"/>
    <x v="0"/>
    <x v="21"/>
    <n v="21"/>
    <n v="7665"/>
    <n v="27594"/>
  </r>
  <r>
    <x v="0"/>
    <x v="0"/>
    <x v="0"/>
    <x v="0"/>
    <x v="1"/>
    <s v="DK2_Medium"/>
    <x v="3"/>
    <s v="GNR_BO_MSW_E-105"/>
    <x v="0"/>
    <x v="22"/>
    <n v="21"/>
    <n v="7665"/>
    <n v="27594"/>
  </r>
  <r>
    <x v="0"/>
    <x v="0"/>
    <x v="0"/>
    <x v="0"/>
    <x v="1"/>
    <s v="DK2_Medium"/>
    <x v="3"/>
    <s v="GNR_BO_MSW_E-105"/>
    <x v="0"/>
    <x v="23"/>
    <n v="21"/>
    <n v="7665"/>
    <n v="27594"/>
  </r>
  <r>
    <x v="0"/>
    <x v="0"/>
    <x v="0"/>
    <x v="0"/>
    <x v="1"/>
    <s v="DK2_Medium"/>
    <x v="3"/>
    <s v="GNR_ST_MSW_BP_E-23"/>
    <x v="0"/>
    <x v="0"/>
    <n v="27.0488938195444"/>
    <n v="9872.8462441336906"/>
    <n v="35542.246478881301"/>
  </r>
  <r>
    <x v="0"/>
    <x v="0"/>
    <x v="0"/>
    <x v="0"/>
    <x v="1"/>
    <s v="DK2_Medium"/>
    <x v="3"/>
    <s v="GNR_ST_MSW_BP_E-23"/>
    <x v="0"/>
    <x v="1"/>
    <n v="27.0488938195444"/>
    <n v="9872.8462441336906"/>
    <n v="35542.246478881301"/>
  </r>
  <r>
    <x v="0"/>
    <x v="0"/>
    <x v="0"/>
    <x v="0"/>
    <x v="1"/>
    <s v="DK2_Medium"/>
    <x v="3"/>
    <s v="GNR_ST_MSW_BP_E-23"/>
    <x v="0"/>
    <x v="2"/>
    <n v="27.0488938195444"/>
    <n v="9872.8462441336906"/>
    <n v="35542.246478881301"/>
  </r>
  <r>
    <x v="0"/>
    <x v="0"/>
    <x v="0"/>
    <x v="0"/>
    <x v="1"/>
    <s v="DK2_Medium"/>
    <x v="3"/>
    <s v="GNR_ST_MSW_BP_E-23"/>
    <x v="0"/>
    <x v="3"/>
    <n v="27.0488938195444"/>
    <n v="9872.8462441336906"/>
    <n v="35542.246478881301"/>
  </r>
  <r>
    <x v="0"/>
    <x v="0"/>
    <x v="0"/>
    <x v="0"/>
    <x v="1"/>
    <s v="DK2_Medium"/>
    <x v="3"/>
    <s v="GNR_ST_MSW_BP_E-23"/>
    <x v="0"/>
    <x v="4"/>
    <n v="27.0488938195444"/>
    <n v="9872.8462441336906"/>
    <n v="35542.246478881301"/>
  </r>
  <r>
    <x v="0"/>
    <x v="0"/>
    <x v="0"/>
    <x v="0"/>
    <x v="1"/>
    <s v="DK2_Medium"/>
    <x v="3"/>
    <s v="GNR_ST_MSW_BP_E-23"/>
    <x v="0"/>
    <x v="5"/>
    <n v="27.0488938195444"/>
    <n v="9872.8462441336906"/>
    <n v="35542.246478881301"/>
  </r>
  <r>
    <x v="0"/>
    <x v="0"/>
    <x v="0"/>
    <x v="0"/>
    <x v="1"/>
    <s v="DK2_Medium"/>
    <x v="3"/>
    <s v="GNR_ST_MSW_BP_E-23"/>
    <x v="0"/>
    <x v="6"/>
    <n v="27.0488938195444"/>
    <n v="9872.8462441336906"/>
    <n v="35542.246478881301"/>
  </r>
  <r>
    <x v="0"/>
    <x v="0"/>
    <x v="0"/>
    <x v="0"/>
    <x v="1"/>
    <s v="DK2_Medium"/>
    <x v="3"/>
    <s v="GNR_ST_MSW_BP_E-23"/>
    <x v="0"/>
    <x v="7"/>
    <n v="27.0488938195444"/>
    <n v="9872.8462441336906"/>
    <n v="35542.246478881301"/>
  </r>
  <r>
    <x v="0"/>
    <x v="0"/>
    <x v="0"/>
    <x v="0"/>
    <x v="1"/>
    <s v="DK2_Medium"/>
    <x v="3"/>
    <s v="GNR_ST_MSW_BP_E-23"/>
    <x v="0"/>
    <x v="8"/>
    <n v="27.0488938195444"/>
    <n v="9872.8462441336906"/>
    <n v="35542.246478881301"/>
  </r>
  <r>
    <x v="0"/>
    <x v="0"/>
    <x v="0"/>
    <x v="0"/>
    <x v="1"/>
    <s v="DK2_Medium"/>
    <x v="3"/>
    <s v="GNR_ST_MSW_BP_E-23"/>
    <x v="0"/>
    <x v="9"/>
    <n v="27.0488938195444"/>
    <n v="9872.8462441336906"/>
    <n v="35542.246478881301"/>
  </r>
  <r>
    <x v="0"/>
    <x v="0"/>
    <x v="0"/>
    <x v="0"/>
    <x v="1"/>
    <s v="DK2_Medium"/>
    <x v="3"/>
    <s v="GNR_ST_MSW_BP_E-23"/>
    <x v="0"/>
    <x v="10"/>
    <n v="27.0488938195444"/>
    <n v="9872.8462441336906"/>
    <n v="35542.246478881301"/>
  </r>
  <r>
    <x v="0"/>
    <x v="0"/>
    <x v="0"/>
    <x v="0"/>
    <x v="1"/>
    <s v="DK2_Medium"/>
    <x v="3"/>
    <s v="GNR_ST_MSW_BP_E-23"/>
    <x v="0"/>
    <x v="11"/>
    <n v="27.0488938195444"/>
    <n v="9872.8462441336906"/>
    <n v="35542.246478881301"/>
  </r>
  <r>
    <x v="0"/>
    <x v="0"/>
    <x v="0"/>
    <x v="0"/>
    <x v="1"/>
    <s v="DK2_Medium"/>
    <x v="3"/>
    <s v="GNR_ST_MSW_BP_E-23"/>
    <x v="0"/>
    <x v="12"/>
    <n v="27.0488938195444"/>
    <n v="9872.8462441336906"/>
    <n v="35542.246478881301"/>
  </r>
  <r>
    <x v="0"/>
    <x v="0"/>
    <x v="0"/>
    <x v="0"/>
    <x v="1"/>
    <s v="DK2_Medium"/>
    <x v="3"/>
    <s v="GNR_ST_MSW_BP_E-23"/>
    <x v="0"/>
    <x v="13"/>
    <n v="27.0488938195444"/>
    <n v="9872.8462441336906"/>
    <n v="35542.246478881301"/>
  </r>
  <r>
    <x v="0"/>
    <x v="0"/>
    <x v="0"/>
    <x v="0"/>
    <x v="1"/>
    <s v="DK2_Medium"/>
    <x v="3"/>
    <s v="GNR_ST_MSW_BP_E-23"/>
    <x v="0"/>
    <x v="14"/>
    <n v="27.0488938195444"/>
    <n v="9872.8462441336906"/>
    <n v="35542.246478881301"/>
  </r>
  <r>
    <x v="0"/>
    <x v="0"/>
    <x v="0"/>
    <x v="0"/>
    <x v="1"/>
    <s v="DK2_Medium"/>
    <x v="3"/>
    <s v="GNR_ST_MSW_BP_E-23"/>
    <x v="0"/>
    <x v="15"/>
    <n v="27.0488938195444"/>
    <n v="9872.8462441336906"/>
    <n v="35542.246478881301"/>
  </r>
  <r>
    <x v="0"/>
    <x v="0"/>
    <x v="0"/>
    <x v="0"/>
    <x v="1"/>
    <s v="DK2_Medium"/>
    <x v="3"/>
    <s v="GNR_ST_MSW_BP_E-23"/>
    <x v="0"/>
    <x v="16"/>
    <n v="27.0488938195444"/>
    <n v="9872.8462441336906"/>
    <n v="35542.246478881301"/>
  </r>
  <r>
    <x v="0"/>
    <x v="0"/>
    <x v="0"/>
    <x v="0"/>
    <x v="1"/>
    <s v="DK2_Medium"/>
    <x v="3"/>
    <s v="GNR_ST_MSW_BP_E-23"/>
    <x v="0"/>
    <x v="17"/>
    <n v="27.0488938195444"/>
    <n v="9872.8462441336906"/>
    <n v="35542.246478881301"/>
  </r>
  <r>
    <x v="0"/>
    <x v="0"/>
    <x v="0"/>
    <x v="0"/>
    <x v="1"/>
    <s v="DK2_Medium"/>
    <x v="3"/>
    <s v="GNR_ST_MSW_BP_E-23"/>
    <x v="0"/>
    <x v="18"/>
    <n v="27.0488938195444"/>
    <n v="9872.8462441336906"/>
    <n v="35542.246478881301"/>
  </r>
  <r>
    <x v="0"/>
    <x v="0"/>
    <x v="0"/>
    <x v="0"/>
    <x v="1"/>
    <s v="DK2_Medium"/>
    <x v="3"/>
    <s v="GNR_ST_MSW_BP_E-23"/>
    <x v="0"/>
    <x v="19"/>
    <n v="27.0488938195444"/>
    <n v="9872.8462441336906"/>
    <n v="35542.246478881301"/>
  </r>
  <r>
    <x v="0"/>
    <x v="0"/>
    <x v="0"/>
    <x v="0"/>
    <x v="1"/>
    <s v="DK2_Medium"/>
    <x v="3"/>
    <s v="GNR_ST_MSW_BP_E-23"/>
    <x v="0"/>
    <x v="20"/>
    <n v="27.0488938195444"/>
    <n v="9872.8462441336906"/>
    <n v="35542.246478881301"/>
  </r>
  <r>
    <x v="0"/>
    <x v="0"/>
    <x v="0"/>
    <x v="0"/>
    <x v="1"/>
    <s v="DK2_Medium"/>
    <x v="3"/>
    <s v="GNR_ST_MSW_BP_E-23"/>
    <x v="0"/>
    <x v="21"/>
    <n v="27.0488938195444"/>
    <n v="9872.8462441336906"/>
    <n v="35542.246478881301"/>
  </r>
  <r>
    <x v="0"/>
    <x v="0"/>
    <x v="0"/>
    <x v="0"/>
    <x v="1"/>
    <s v="DK2_Medium"/>
    <x v="3"/>
    <s v="GNR_ST_MSW_BP_E-23"/>
    <x v="0"/>
    <x v="22"/>
    <n v="27.0488938195444"/>
    <n v="9872.8462441336906"/>
    <n v="35542.246478881301"/>
  </r>
  <r>
    <x v="0"/>
    <x v="0"/>
    <x v="0"/>
    <x v="0"/>
    <x v="1"/>
    <s v="DK2_Medium"/>
    <x v="3"/>
    <s v="GNR_ST_MSW_BP_E-23"/>
    <x v="0"/>
    <x v="23"/>
    <n v="27.0488938195444"/>
    <n v="9872.8462441336906"/>
    <n v="35542.246478881301"/>
  </r>
  <r>
    <x v="0"/>
    <x v="0"/>
    <x v="0"/>
    <x v="0"/>
    <x v="1"/>
    <s v="DK2_Medium"/>
    <x v="3"/>
    <s v="GNR_ST_MSW_BP_E-25"/>
    <x v="0"/>
    <x v="0"/>
    <n v="25.020226783078499"/>
    <n v="9132.3827758236603"/>
    <n v="32876.577992965198"/>
  </r>
  <r>
    <x v="0"/>
    <x v="0"/>
    <x v="0"/>
    <x v="0"/>
    <x v="1"/>
    <s v="DK2_Medium"/>
    <x v="3"/>
    <s v="GNR_ST_MSW_BP_E-25"/>
    <x v="0"/>
    <x v="1"/>
    <n v="25.020226783078499"/>
    <n v="9132.3827758236603"/>
    <n v="32876.577992965198"/>
  </r>
  <r>
    <x v="0"/>
    <x v="0"/>
    <x v="0"/>
    <x v="0"/>
    <x v="1"/>
    <s v="DK2_Medium"/>
    <x v="3"/>
    <s v="GNR_ST_MSW_BP_E-25"/>
    <x v="0"/>
    <x v="2"/>
    <n v="25.020226783078499"/>
    <n v="9132.3827758236603"/>
    <n v="32876.577992965198"/>
  </r>
  <r>
    <x v="0"/>
    <x v="0"/>
    <x v="0"/>
    <x v="0"/>
    <x v="1"/>
    <s v="DK2_Medium"/>
    <x v="3"/>
    <s v="GNR_ST_MSW_BP_E-25"/>
    <x v="0"/>
    <x v="3"/>
    <n v="25.020226783078499"/>
    <n v="9132.3827758236603"/>
    <n v="32876.577992965198"/>
  </r>
  <r>
    <x v="0"/>
    <x v="0"/>
    <x v="0"/>
    <x v="0"/>
    <x v="1"/>
    <s v="DK2_Medium"/>
    <x v="3"/>
    <s v="GNR_ST_MSW_BP_E-25"/>
    <x v="0"/>
    <x v="4"/>
    <n v="25.020226783078499"/>
    <n v="9132.3827758236603"/>
    <n v="32876.577992965198"/>
  </r>
  <r>
    <x v="0"/>
    <x v="0"/>
    <x v="0"/>
    <x v="0"/>
    <x v="1"/>
    <s v="DK2_Medium"/>
    <x v="3"/>
    <s v="GNR_ST_MSW_BP_E-25"/>
    <x v="0"/>
    <x v="5"/>
    <n v="25.020226783078499"/>
    <n v="9132.3827758236603"/>
    <n v="32876.577992965198"/>
  </r>
  <r>
    <x v="0"/>
    <x v="0"/>
    <x v="0"/>
    <x v="0"/>
    <x v="1"/>
    <s v="DK2_Medium"/>
    <x v="3"/>
    <s v="GNR_ST_MSW_BP_E-25"/>
    <x v="0"/>
    <x v="6"/>
    <n v="25.020226783078499"/>
    <n v="9132.3827758236603"/>
    <n v="32876.577992965198"/>
  </r>
  <r>
    <x v="0"/>
    <x v="0"/>
    <x v="0"/>
    <x v="0"/>
    <x v="1"/>
    <s v="DK2_Medium"/>
    <x v="3"/>
    <s v="GNR_ST_MSW_BP_E-25"/>
    <x v="0"/>
    <x v="7"/>
    <n v="25.020226783078499"/>
    <n v="9132.3827758236603"/>
    <n v="32876.577992965198"/>
  </r>
  <r>
    <x v="0"/>
    <x v="0"/>
    <x v="0"/>
    <x v="0"/>
    <x v="1"/>
    <s v="DK2_Medium"/>
    <x v="3"/>
    <s v="GNR_ST_MSW_BP_E-25"/>
    <x v="0"/>
    <x v="8"/>
    <n v="25.020226783078499"/>
    <n v="9132.3827758236603"/>
    <n v="32876.577992965198"/>
  </r>
  <r>
    <x v="0"/>
    <x v="0"/>
    <x v="0"/>
    <x v="0"/>
    <x v="1"/>
    <s v="DK2_Medium"/>
    <x v="3"/>
    <s v="GNR_ST_MSW_BP_E-25"/>
    <x v="0"/>
    <x v="9"/>
    <n v="25.020226783078499"/>
    <n v="9132.3827758236603"/>
    <n v="32876.577992965198"/>
  </r>
  <r>
    <x v="0"/>
    <x v="0"/>
    <x v="0"/>
    <x v="0"/>
    <x v="1"/>
    <s v="DK2_Medium"/>
    <x v="3"/>
    <s v="GNR_ST_MSW_BP_E-25"/>
    <x v="0"/>
    <x v="10"/>
    <n v="25.020226783078499"/>
    <n v="9132.3827758236603"/>
    <n v="32876.577992965198"/>
  </r>
  <r>
    <x v="0"/>
    <x v="0"/>
    <x v="0"/>
    <x v="0"/>
    <x v="1"/>
    <s v="DK2_Medium"/>
    <x v="3"/>
    <s v="GNR_ST_MSW_BP_E-25"/>
    <x v="0"/>
    <x v="11"/>
    <n v="25.020226783078499"/>
    <n v="9132.3827758236603"/>
    <n v="32876.577992965198"/>
  </r>
  <r>
    <x v="0"/>
    <x v="0"/>
    <x v="0"/>
    <x v="0"/>
    <x v="1"/>
    <s v="DK2_Medium"/>
    <x v="3"/>
    <s v="GNR_ST_MSW_BP_E-25"/>
    <x v="0"/>
    <x v="12"/>
    <n v="25.020226783078499"/>
    <n v="9132.3827758236603"/>
    <n v="32876.577992965198"/>
  </r>
  <r>
    <x v="0"/>
    <x v="0"/>
    <x v="0"/>
    <x v="0"/>
    <x v="1"/>
    <s v="DK2_Medium"/>
    <x v="3"/>
    <s v="GNR_ST_MSW_BP_E-25"/>
    <x v="0"/>
    <x v="13"/>
    <n v="25.020226783078499"/>
    <n v="9132.3827758236603"/>
    <n v="32876.577992965198"/>
  </r>
  <r>
    <x v="0"/>
    <x v="0"/>
    <x v="0"/>
    <x v="0"/>
    <x v="1"/>
    <s v="DK2_Medium"/>
    <x v="3"/>
    <s v="GNR_ST_MSW_BP_E-25"/>
    <x v="0"/>
    <x v="14"/>
    <n v="25.020226783078499"/>
    <n v="9132.3827758236603"/>
    <n v="32876.577992965198"/>
  </r>
  <r>
    <x v="0"/>
    <x v="0"/>
    <x v="0"/>
    <x v="0"/>
    <x v="1"/>
    <s v="DK2_Medium"/>
    <x v="3"/>
    <s v="GNR_ST_MSW_BP_E-25"/>
    <x v="0"/>
    <x v="15"/>
    <n v="25.020226783078499"/>
    <n v="9132.3827758236603"/>
    <n v="32876.577992965198"/>
  </r>
  <r>
    <x v="0"/>
    <x v="0"/>
    <x v="0"/>
    <x v="0"/>
    <x v="1"/>
    <s v="DK2_Medium"/>
    <x v="3"/>
    <s v="GNR_ST_MSW_BP_E-25"/>
    <x v="0"/>
    <x v="16"/>
    <n v="25.020226783078499"/>
    <n v="9132.3827758236603"/>
    <n v="32876.577992965198"/>
  </r>
  <r>
    <x v="0"/>
    <x v="0"/>
    <x v="0"/>
    <x v="0"/>
    <x v="1"/>
    <s v="DK2_Medium"/>
    <x v="3"/>
    <s v="GNR_ST_MSW_BP_E-25"/>
    <x v="0"/>
    <x v="17"/>
    <n v="25.020226783078499"/>
    <n v="9132.3827758236603"/>
    <n v="32876.577992965198"/>
  </r>
  <r>
    <x v="0"/>
    <x v="0"/>
    <x v="0"/>
    <x v="0"/>
    <x v="1"/>
    <s v="DK2_Medium"/>
    <x v="3"/>
    <s v="GNR_ST_MSW_BP_E-25"/>
    <x v="0"/>
    <x v="18"/>
    <n v="25.020226783078499"/>
    <n v="9132.3827758236603"/>
    <n v="32876.577992965198"/>
  </r>
  <r>
    <x v="0"/>
    <x v="0"/>
    <x v="0"/>
    <x v="0"/>
    <x v="1"/>
    <s v="DK2_Medium"/>
    <x v="3"/>
    <s v="GNR_ST_MSW_BP_E-25"/>
    <x v="0"/>
    <x v="19"/>
    <n v="25.020226783078499"/>
    <n v="9132.3827758236603"/>
    <n v="32876.577992965198"/>
  </r>
  <r>
    <x v="0"/>
    <x v="0"/>
    <x v="0"/>
    <x v="0"/>
    <x v="1"/>
    <s v="DK2_Medium"/>
    <x v="3"/>
    <s v="GNR_ST_MSW_BP_E-25"/>
    <x v="0"/>
    <x v="20"/>
    <n v="25.020226783078499"/>
    <n v="9132.3827758236603"/>
    <n v="32876.577992965198"/>
  </r>
  <r>
    <x v="0"/>
    <x v="0"/>
    <x v="0"/>
    <x v="0"/>
    <x v="1"/>
    <s v="DK2_Medium"/>
    <x v="3"/>
    <s v="GNR_ST_MSW_BP_E-25"/>
    <x v="0"/>
    <x v="21"/>
    <n v="25.020226783078499"/>
    <n v="9132.3827758236603"/>
    <n v="32876.577992965198"/>
  </r>
  <r>
    <x v="0"/>
    <x v="0"/>
    <x v="0"/>
    <x v="0"/>
    <x v="1"/>
    <s v="DK2_Medium"/>
    <x v="3"/>
    <s v="GNR_ST_MSW_BP_E-25"/>
    <x v="0"/>
    <x v="22"/>
    <n v="25.020226783078499"/>
    <n v="9132.3827758236603"/>
    <n v="32876.577992965198"/>
  </r>
  <r>
    <x v="0"/>
    <x v="0"/>
    <x v="0"/>
    <x v="0"/>
    <x v="1"/>
    <s v="DK2_Medium"/>
    <x v="3"/>
    <s v="GNR_ST_MSW_BP_E-25"/>
    <x v="0"/>
    <x v="23"/>
    <n v="25.020226783078499"/>
    <n v="9132.3827758236603"/>
    <n v="32876.577992965198"/>
  </r>
  <r>
    <x v="0"/>
    <x v="0"/>
    <x v="0"/>
    <x v="0"/>
    <x v="1"/>
    <s v="DK2_Medium"/>
    <x v="4"/>
    <s v="GNR_ENG_NGAS_BP_E-42"/>
    <x v="0"/>
    <x v="5"/>
    <n v="2.2222222222222201"/>
    <n v="811.11111111111097"/>
    <n v="2920"/>
  </r>
  <r>
    <x v="0"/>
    <x v="0"/>
    <x v="0"/>
    <x v="0"/>
    <x v="1"/>
    <s v="DK2_Medium"/>
    <x v="4"/>
    <s v="GNR_ENG_NGAS_BP_E-42"/>
    <x v="0"/>
    <x v="6"/>
    <n v="2.2222222222222201"/>
    <n v="811.11111111111097"/>
    <n v="2920"/>
  </r>
  <r>
    <x v="0"/>
    <x v="0"/>
    <x v="0"/>
    <x v="0"/>
    <x v="1"/>
    <s v="DK2_Medium"/>
    <x v="4"/>
    <s v="GNR_ENG_NGAS_BP_E-42"/>
    <x v="0"/>
    <x v="7"/>
    <n v="2.2222222222222201"/>
    <n v="811.11111111111097"/>
    <n v="2920"/>
  </r>
  <r>
    <x v="0"/>
    <x v="0"/>
    <x v="0"/>
    <x v="0"/>
    <x v="1"/>
    <s v="DK2_Medium"/>
    <x v="4"/>
    <s v="GNR_ENG_NGAS_BP_E-42"/>
    <x v="0"/>
    <x v="8"/>
    <n v="2.2222222222222201"/>
    <n v="811.11111111111097"/>
    <n v="2920"/>
  </r>
  <r>
    <x v="0"/>
    <x v="0"/>
    <x v="0"/>
    <x v="0"/>
    <x v="1"/>
    <s v="DK2_Medium"/>
    <x v="4"/>
    <s v="GNR_ENG_NGAS_BP_E-42"/>
    <x v="0"/>
    <x v="9"/>
    <n v="2.2222222222222201"/>
    <n v="811.11111111111097"/>
    <n v="2920"/>
  </r>
  <r>
    <x v="0"/>
    <x v="0"/>
    <x v="0"/>
    <x v="0"/>
    <x v="1"/>
    <s v="DK2_Medium"/>
    <x v="4"/>
    <s v="GNR_ENG_NGAS_BP_E-42"/>
    <x v="0"/>
    <x v="10"/>
    <n v="2.2222222222222201"/>
    <n v="811.11111111111097"/>
    <n v="2920"/>
  </r>
  <r>
    <x v="0"/>
    <x v="0"/>
    <x v="0"/>
    <x v="0"/>
    <x v="1"/>
    <s v="DK2_Medium"/>
    <x v="4"/>
    <s v="GNR_ENG_NGAS_BP_E-42"/>
    <x v="0"/>
    <x v="11"/>
    <n v="2.2222222222222201"/>
    <n v="811.11111111111097"/>
    <n v="2920"/>
  </r>
  <r>
    <x v="0"/>
    <x v="0"/>
    <x v="0"/>
    <x v="0"/>
    <x v="1"/>
    <s v="DK2_Medium"/>
    <x v="4"/>
    <s v="GNR_ENG_NGAS_BP_E-42"/>
    <x v="0"/>
    <x v="12"/>
    <n v="2.2222222222222201"/>
    <n v="811.11111111111097"/>
    <n v="2920"/>
  </r>
  <r>
    <x v="0"/>
    <x v="0"/>
    <x v="0"/>
    <x v="0"/>
    <x v="1"/>
    <s v="DK2_Medium"/>
    <x v="4"/>
    <s v="GNR_ENG_NGAS_BP_E-42"/>
    <x v="0"/>
    <x v="13"/>
    <n v="2.2222222222222201"/>
    <n v="811.11111111111097"/>
    <n v="2920"/>
  </r>
  <r>
    <x v="0"/>
    <x v="0"/>
    <x v="0"/>
    <x v="0"/>
    <x v="1"/>
    <s v="DK2_Medium"/>
    <x v="4"/>
    <s v="GNR_ENG_NGAS_BP_E-42"/>
    <x v="0"/>
    <x v="14"/>
    <n v="2.2222222222222201"/>
    <n v="811.11111111111097"/>
    <n v="2920"/>
  </r>
  <r>
    <x v="0"/>
    <x v="0"/>
    <x v="0"/>
    <x v="0"/>
    <x v="1"/>
    <s v="DK2_Medium"/>
    <x v="4"/>
    <s v="GNR_ENG_NGAS_BP_E-42"/>
    <x v="0"/>
    <x v="15"/>
    <n v="2.2222222222222201"/>
    <n v="811.11111111111097"/>
    <n v="2920"/>
  </r>
  <r>
    <x v="0"/>
    <x v="0"/>
    <x v="0"/>
    <x v="0"/>
    <x v="1"/>
    <s v="DK2_Medium"/>
    <x v="4"/>
    <s v="GNR_ENG_NGAS_BP_E-42"/>
    <x v="0"/>
    <x v="16"/>
    <n v="2.2222222222222201"/>
    <n v="811.11111111111097"/>
    <n v="2920"/>
  </r>
  <r>
    <x v="0"/>
    <x v="0"/>
    <x v="0"/>
    <x v="0"/>
    <x v="1"/>
    <s v="DK2_Medium"/>
    <x v="4"/>
    <s v="GNR_ENG_NGAS_BP_E-42"/>
    <x v="0"/>
    <x v="17"/>
    <n v="2.2222222222222201"/>
    <n v="811.11111111111097"/>
    <n v="2920"/>
  </r>
  <r>
    <x v="0"/>
    <x v="0"/>
    <x v="0"/>
    <x v="0"/>
    <x v="1"/>
    <s v="DK2_Medium"/>
    <x v="4"/>
    <s v="GNR_ENG_NGAS_BP_E-42"/>
    <x v="0"/>
    <x v="18"/>
    <n v="2.2222222222222201"/>
    <n v="811.11111111111097"/>
    <n v="2920"/>
  </r>
  <r>
    <x v="0"/>
    <x v="0"/>
    <x v="0"/>
    <x v="0"/>
    <x v="1"/>
    <s v="DK2_Medium"/>
    <x v="4"/>
    <s v="GNR_GT_NGAS_BP_E-42"/>
    <x v="0"/>
    <x v="8"/>
    <n v="62.105263157894697"/>
    <n v="22668.421052631598"/>
    <n v="81606.315789473694"/>
  </r>
  <r>
    <x v="0"/>
    <x v="0"/>
    <x v="0"/>
    <x v="0"/>
    <x v="1"/>
    <s v="DK2_Medium"/>
    <x v="4"/>
    <s v="GNR_GT_NGAS_BP_E-42"/>
    <x v="0"/>
    <x v="9"/>
    <n v="18.003506905064299"/>
    <n v="6571.2800203484803"/>
    <n v="23656.608073254502"/>
  </r>
  <r>
    <x v="0"/>
    <x v="0"/>
    <x v="0"/>
    <x v="0"/>
    <x v="1"/>
    <s v="DK2_Medium"/>
    <x v="4"/>
    <s v="GNR_GT_NGAS_BP_E-42"/>
    <x v="0"/>
    <x v="10"/>
    <n v="20.7717341196402"/>
    <n v="7581.6829536686701"/>
    <n v="27294.058633207202"/>
  </r>
  <r>
    <x v="0"/>
    <x v="0"/>
    <x v="0"/>
    <x v="0"/>
    <x v="1"/>
    <s v="DK2_Medium"/>
    <x v="4"/>
    <s v="GNR_GT_NGAS_BP_E-42"/>
    <x v="0"/>
    <x v="12"/>
    <n v="16.840128740930101"/>
    <n v="6146.6469904394999"/>
    <n v="22127.929165582202"/>
  </r>
  <r>
    <x v="0"/>
    <x v="0"/>
    <x v="0"/>
    <x v="0"/>
    <x v="1"/>
    <s v="DK2_Medium"/>
    <x v="4"/>
    <s v="GNR_GT_NGAS_BP_E-42"/>
    <x v="0"/>
    <x v="13"/>
    <n v="62.105263157894697"/>
    <n v="22668.421052631598"/>
    <n v="81606.315789473694"/>
  </r>
  <r>
    <x v="0"/>
    <x v="0"/>
    <x v="0"/>
    <x v="0"/>
    <x v="1"/>
    <s v="DK2_Medium"/>
    <x v="4"/>
    <s v="GNR_GT_NGAS_BP_E-42"/>
    <x v="0"/>
    <x v="14"/>
    <n v="62.105263157894697"/>
    <n v="22668.421052631598"/>
    <n v="81606.315789473694"/>
  </r>
  <r>
    <x v="0"/>
    <x v="0"/>
    <x v="0"/>
    <x v="0"/>
    <x v="1"/>
    <s v="DK2_Medium"/>
    <x v="4"/>
    <s v="GNR_GT_NGAS_BP_E-42"/>
    <x v="0"/>
    <x v="15"/>
    <n v="11.895771543359899"/>
    <n v="4341.9566133263597"/>
    <n v="15631.0438079749"/>
  </r>
  <r>
    <x v="0"/>
    <x v="0"/>
    <x v="0"/>
    <x v="0"/>
    <x v="1"/>
    <s v="DK2_Medium"/>
    <x v="4"/>
    <s v="GNR_GT_NGAS_BP_E-42"/>
    <x v="0"/>
    <x v="16"/>
    <n v="13.640838789561201"/>
    <n v="4978.9061581898404"/>
    <n v="17924.062169483401"/>
  </r>
  <r>
    <x v="0"/>
    <x v="0"/>
    <x v="0"/>
    <x v="0"/>
    <x v="1"/>
    <s v="DK2_Medium"/>
    <x v="4"/>
    <s v="GNR_GT_NGAS_BP_E-42"/>
    <x v="0"/>
    <x v="17"/>
    <n v="18.8760405281649"/>
    <n v="6889.7547927801998"/>
    <n v="24803.117254008699"/>
  </r>
  <r>
    <x v="0"/>
    <x v="0"/>
    <x v="0"/>
    <x v="0"/>
    <x v="1"/>
    <s v="DK2_Medium"/>
    <x v="4"/>
    <s v="GNR_GT_NGAS_BP_E-42"/>
    <x v="0"/>
    <x v="18"/>
    <n v="20.621107774366202"/>
    <n v="7526.7043376436704"/>
    <n v="27096.1356155172"/>
  </r>
  <r>
    <x v="0"/>
    <x v="0"/>
    <x v="0"/>
    <x v="0"/>
    <x v="1"/>
    <s v="DK2_Medium"/>
    <x v="4"/>
    <s v="GNR_GT_NGAS_BP_E-44"/>
    <x v="0"/>
    <x v="0"/>
    <n v="81.052631578947398"/>
    <n v="29584.210526315801"/>
    <n v="106503.157894737"/>
  </r>
  <r>
    <x v="0"/>
    <x v="0"/>
    <x v="0"/>
    <x v="0"/>
    <x v="1"/>
    <s v="DK2_Medium"/>
    <x v="4"/>
    <s v="GNR_GT_NGAS_BP_E-44"/>
    <x v="0"/>
    <x v="1"/>
    <n v="81.052631578947398"/>
    <n v="29584.210526315801"/>
    <n v="106503.157894737"/>
  </r>
  <r>
    <x v="0"/>
    <x v="0"/>
    <x v="0"/>
    <x v="0"/>
    <x v="1"/>
    <s v="DK2_Medium"/>
    <x v="4"/>
    <s v="GNR_GT_NGAS_BP_E-44"/>
    <x v="0"/>
    <x v="2"/>
    <n v="81.052631578947398"/>
    <n v="29584.210526315801"/>
    <n v="106503.157894737"/>
  </r>
  <r>
    <x v="0"/>
    <x v="0"/>
    <x v="0"/>
    <x v="0"/>
    <x v="1"/>
    <s v="DK2_Medium"/>
    <x v="4"/>
    <s v="GNR_GT_NGAS_BP_E-44"/>
    <x v="0"/>
    <x v="3"/>
    <n v="81.052631578947398"/>
    <n v="29584.210526315801"/>
    <n v="106503.157894737"/>
  </r>
  <r>
    <x v="0"/>
    <x v="0"/>
    <x v="0"/>
    <x v="0"/>
    <x v="1"/>
    <s v="DK2_Medium"/>
    <x v="4"/>
    <s v="GNR_GT_NGAS_BP_E-44"/>
    <x v="0"/>
    <x v="4"/>
    <n v="81.052631578947398"/>
    <n v="29584.210526315801"/>
    <n v="106503.157894737"/>
  </r>
  <r>
    <x v="0"/>
    <x v="0"/>
    <x v="0"/>
    <x v="0"/>
    <x v="1"/>
    <s v="DK2_Medium"/>
    <x v="4"/>
    <s v="GNR_GT_NGAS_BP_E-44"/>
    <x v="0"/>
    <x v="5"/>
    <n v="81.052631578947398"/>
    <n v="29584.210526315801"/>
    <n v="106503.157894737"/>
  </r>
  <r>
    <x v="0"/>
    <x v="0"/>
    <x v="0"/>
    <x v="0"/>
    <x v="1"/>
    <s v="DK2_Medium"/>
    <x v="4"/>
    <s v="GNR_GT_NGAS_BP_E-44"/>
    <x v="0"/>
    <x v="6"/>
    <n v="81.052631578947398"/>
    <n v="29584.210526315801"/>
    <n v="106503.157894737"/>
  </r>
  <r>
    <x v="0"/>
    <x v="0"/>
    <x v="0"/>
    <x v="0"/>
    <x v="1"/>
    <s v="DK2_Medium"/>
    <x v="4"/>
    <s v="GNR_GT_NGAS_BP_E-44"/>
    <x v="0"/>
    <x v="7"/>
    <n v="81.052631578947398"/>
    <n v="29584.210526315801"/>
    <n v="106503.157894737"/>
  </r>
  <r>
    <x v="0"/>
    <x v="0"/>
    <x v="0"/>
    <x v="0"/>
    <x v="1"/>
    <s v="DK2_Medium"/>
    <x v="4"/>
    <s v="GNR_GT_NGAS_BP_E-44"/>
    <x v="0"/>
    <x v="8"/>
    <n v="81.052631578947398"/>
    <n v="29584.210526315801"/>
    <n v="106503.157894737"/>
  </r>
  <r>
    <x v="0"/>
    <x v="0"/>
    <x v="0"/>
    <x v="0"/>
    <x v="1"/>
    <s v="DK2_Medium"/>
    <x v="4"/>
    <s v="GNR_GT_NGAS_BP_E-44"/>
    <x v="0"/>
    <x v="9"/>
    <n v="81.052631578947398"/>
    <n v="29584.210526315801"/>
    <n v="106503.157894737"/>
  </r>
  <r>
    <x v="0"/>
    <x v="0"/>
    <x v="0"/>
    <x v="0"/>
    <x v="1"/>
    <s v="DK2_Medium"/>
    <x v="4"/>
    <s v="GNR_GT_NGAS_BP_E-44"/>
    <x v="0"/>
    <x v="10"/>
    <n v="81.052631578947398"/>
    <n v="29584.210526315801"/>
    <n v="106503.157894737"/>
  </r>
  <r>
    <x v="0"/>
    <x v="0"/>
    <x v="0"/>
    <x v="0"/>
    <x v="1"/>
    <s v="DK2_Medium"/>
    <x v="4"/>
    <s v="GNR_GT_NGAS_BP_E-44"/>
    <x v="0"/>
    <x v="11"/>
    <n v="81.052631578947398"/>
    <n v="29584.210526315801"/>
    <n v="106503.157894737"/>
  </r>
  <r>
    <x v="0"/>
    <x v="0"/>
    <x v="0"/>
    <x v="0"/>
    <x v="1"/>
    <s v="DK2_Medium"/>
    <x v="4"/>
    <s v="GNR_GT_NGAS_BP_E-44"/>
    <x v="0"/>
    <x v="12"/>
    <n v="81.052631578947398"/>
    <n v="29584.210526315801"/>
    <n v="106503.157894737"/>
  </r>
  <r>
    <x v="0"/>
    <x v="0"/>
    <x v="0"/>
    <x v="0"/>
    <x v="1"/>
    <s v="DK2_Medium"/>
    <x v="4"/>
    <s v="GNR_GT_NGAS_BP_E-44"/>
    <x v="0"/>
    <x v="13"/>
    <n v="81.052631578947398"/>
    <n v="29584.210526315801"/>
    <n v="106503.157894737"/>
  </r>
  <r>
    <x v="0"/>
    <x v="0"/>
    <x v="0"/>
    <x v="0"/>
    <x v="1"/>
    <s v="DK2_Medium"/>
    <x v="4"/>
    <s v="GNR_GT_NGAS_BP_E-44"/>
    <x v="0"/>
    <x v="14"/>
    <n v="81.052631578947398"/>
    <n v="29584.210526315801"/>
    <n v="106503.157894737"/>
  </r>
  <r>
    <x v="0"/>
    <x v="0"/>
    <x v="0"/>
    <x v="0"/>
    <x v="1"/>
    <s v="DK2_Medium"/>
    <x v="4"/>
    <s v="GNR_GT_NGAS_BP_E-44"/>
    <x v="0"/>
    <x v="15"/>
    <n v="81.052631578947398"/>
    <n v="29584.210526315801"/>
    <n v="106503.157894737"/>
  </r>
  <r>
    <x v="0"/>
    <x v="0"/>
    <x v="0"/>
    <x v="0"/>
    <x v="1"/>
    <s v="DK2_Medium"/>
    <x v="4"/>
    <s v="GNR_GT_NGAS_BP_E-44"/>
    <x v="0"/>
    <x v="16"/>
    <n v="81.052631578947398"/>
    <n v="29584.210526315801"/>
    <n v="106503.157894737"/>
  </r>
  <r>
    <x v="0"/>
    <x v="0"/>
    <x v="0"/>
    <x v="0"/>
    <x v="1"/>
    <s v="DK2_Medium"/>
    <x v="4"/>
    <s v="GNR_GT_NGAS_BP_E-44"/>
    <x v="0"/>
    <x v="17"/>
    <n v="81.052631578947398"/>
    <n v="29584.210526315801"/>
    <n v="106503.157894737"/>
  </r>
  <r>
    <x v="0"/>
    <x v="0"/>
    <x v="0"/>
    <x v="0"/>
    <x v="1"/>
    <s v="DK2_Medium"/>
    <x v="4"/>
    <s v="GNR_GT_NGAS_BP_E-44"/>
    <x v="0"/>
    <x v="18"/>
    <n v="81.052631578947398"/>
    <n v="29584.210526315801"/>
    <n v="106503.157894737"/>
  </r>
  <r>
    <x v="0"/>
    <x v="0"/>
    <x v="0"/>
    <x v="0"/>
    <x v="1"/>
    <s v="DK2_Medium"/>
    <x v="6"/>
    <s v="GNR_EH_HEAT"/>
    <x v="0"/>
    <x v="0"/>
    <n v="2"/>
    <n v="730"/>
    <n v="2628"/>
  </r>
  <r>
    <x v="0"/>
    <x v="0"/>
    <x v="0"/>
    <x v="0"/>
    <x v="1"/>
    <s v="DK2_Medium"/>
    <x v="6"/>
    <s v="GNR_EH_HEAT"/>
    <x v="0"/>
    <x v="1"/>
    <n v="2"/>
    <n v="730"/>
    <n v="2628"/>
  </r>
  <r>
    <x v="0"/>
    <x v="0"/>
    <x v="0"/>
    <x v="0"/>
    <x v="1"/>
    <s v="DK2_Medium"/>
    <x v="6"/>
    <s v="GNR_EH_HEAT"/>
    <x v="0"/>
    <x v="2"/>
    <n v="2"/>
    <n v="730"/>
    <n v="2628"/>
  </r>
  <r>
    <x v="0"/>
    <x v="0"/>
    <x v="0"/>
    <x v="0"/>
    <x v="1"/>
    <s v="DK2_Medium"/>
    <x v="6"/>
    <s v="GNR_EH_HEAT"/>
    <x v="0"/>
    <x v="3"/>
    <n v="2"/>
    <n v="730"/>
    <n v="2628"/>
  </r>
  <r>
    <x v="0"/>
    <x v="0"/>
    <x v="0"/>
    <x v="0"/>
    <x v="1"/>
    <s v="DK2_Medium"/>
    <x v="6"/>
    <s v="GNR_EH_HEAT"/>
    <x v="0"/>
    <x v="4"/>
    <n v="2"/>
    <n v="730"/>
    <n v="2628"/>
  </r>
  <r>
    <x v="0"/>
    <x v="0"/>
    <x v="0"/>
    <x v="0"/>
    <x v="1"/>
    <s v="DK2_Medium"/>
    <x v="6"/>
    <s v="GNR_EH_HEAT"/>
    <x v="0"/>
    <x v="5"/>
    <n v="2"/>
    <n v="730"/>
    <n v="2628"/>
  </r>
  <r>
    <x v="0"/>
    <x v="0"/>
    <x v="0"/>
    <x v="0"/>
    <x v="1"/>
    <s v="DK2_Medium"/>
    <x v="6"/>
    <s v="GNR_EH_HEAT"/>
    <x v="0"/>
    <x v="6"/>
    <n v="2"/>
    <n v="730"/>
    <n v="2628"/>
  </r>
  <r>
    <x v="0"/>
    <x v="0"/>
    <x v="0"/>
    <x v="0"/>
    <x v="1"/>
    <s v="DK2_Medium"/>
    <x v="6"/>
    <s v="GNR_EH_HEAT"/>
    <x v="0"/>
    <x v="7"/>
    <n v="2"/>
    <n v="730"/>
    <n v="2628"/>
  </r>
  <r>
    <x v="0"/>
    <x v="0"/>
    <x v="0"/>
    <x v="0"/>
    <x v="1"/>
    <s v="DK2_Medium"/>
    <x v="6"/>
    <s v="GNR_EH_HEAT"/>
    <x v="0"/>
    <x v="8"/>
    <n v="2"/>
    <n v="730"/>
    <n v="2628"/>
  </r>
  <r>
    <x v="0"/>
    <x v="0"/>
    <x v="0"/>
    <x v="0"/>
    <x v="1"/>
    <s v="DK2_Medium"/>
    <x v="6"/>
    <s v="GNR_EH_HEAT"/>
    <x v="0"/>
    <x v="9"/>
    <n v="2"/>
    <n v="730"/>
    <n v="2628"/>
  </r>
  <r>
    <x v="0"/>
    <x v="0"/>
    <x v="0"/>
    <x v="0"/>
    <x v="1"/>
    <s v="DK2_Medium"/>
    <x v="6"/>
    <s v="GNR_EH_HEAT"/>
    <x v="0"/>
    <x v="10"/>
    <n v="2"/>
    <n v="730"/>
    <n v="2628"/>
  </r>
  <r>
    <x v="0"/>
    <x v="0"/>
    <x v="0"/>
    <x v="0"/>
    <x v="1"/>
    <s v="DK2_Medium"/>
    <x v="6"/>
    <s v="GNR_EH_HEAT"/>
    <x v="0"/>
    <x v="11"/>
    <n v="2"/>
    <n v="730"/>
    <n v="2628"/>
  </r>
  <r>
    <x v="0"/>
    <x v="0"/>
    <x v="0"/>
    <x v="0"/>
    <x v="1"/>
    <s v="DK2_Medium"/>
    <x v="6"/>
    <s v="GNR_EH_HEAT"/>
    <x v="0"/>
    <x v="12"/>
    <n v="2"/>
    <n v="730"/>
    <n v="2628"/>
  </r>
  <r>
    <x v="0"/>
    <x v="0"/>
    <x v="0"/>
    <x v="0"/>
    <x v="1"/>
    <s v="DK2_Medium"/>
    <x v="6"/>
    <s v="GNR_EH_HEAT"/>
    <x v="0"/>
    <x v="13"/>
    <n v="2"/>
    <n v="730"/>
    <n v="2628"/>
  </r>
  <r>
    <x v="0"/>
    <x v="0"/>
    <x v="0"/>
    <x v="0"/>
    <x v="1"/>
    <s v="DK2_Medium"/>
    <x v="6"/>
    <s v="GNR_EH_HEAT"/>
    <x v="0"/>
    <x v="14"/>
    <n v="2"/>
    <n v="730"/>
    <n v="2628"/>
  </r>
  <r>
    <x v="0"/>
    <x v="0"/>
    <x v="0"/>
    <x v="0"/>
    <x v="1"/>
    <s v="DK2_Medium"/>
    <x v="6"/>
    <s v="GNR_EH_HEAT"/>
    <x v="0"/>
    <x v="15"/>
    <n v="2"/>
    <n v="730"/>
    <n v="2628"/>
  </r>
  <r>
    <x v="0"/>
    <x v="0"/>
    <x v="0"/>
    <x v="0"/>
    <x v="1"/>
    <s v="DK2_Medium"/>
    <x v="6"/>
    <s v="GNR_EH_HEAT"/>
    <x v="0"/>
    <x v="16"/>
    <n v="2"/>
    <n v="730"/>
    <n v="2628"/>
  </r>
  <r>
    <x v="0"/>
    <x v="0"/>
    <x v="0"/>
    <x v="0"/>
    <x v="1"/>
    <s v="DK2_Medium"/>
    <x v="6"/>
    <s v="GNR_EH_HEAT"/>
    <x v="0"/>
    <x v="17"/>
    <n v="2"/>
    <n v="730"/>
    <n v="2628"/>
  </r>
  <r>
    <x v="0"/>
    <x v="0"/>
    <x v="0"/>
    <x v="0"/>
    <x v="1"/>
    <s v="DK2_Medium"/>
    <x v="6"/>
    <s v="GNR_EH_HEAT"/>
    <x v="0"/>
    <x v="18"/>
    <n v="2"/>
    <n v="730"/>
    <n v="2628"/>
  </r>
  <r>
    <x v="0"/>
    <x v="0"/>
    <x v="0"/>
    <x v="0"/>
    <x v="1"/>
    <s v="DK2_Medium"/>
    <x v="6"/>
    <s v="GNR_EH_HEAT"/>
    <x v="0"/>
    <x v="19"/>
    <n v="2"/>
    <n v="730"/>
    <n v="2628"/>
  </r>
  <r>
    <x v="0"/>
    <x v="0"/>
    <x v="0"/>
    <x v="0"/>
    <x v="1"/>
    <s v="DK2_Medium"/>
    <x v="6"/>
    <s v="GNR_EH_HEAT"/>
    <x v="0"/>
    <x v="20"/>
    <n v="2"/>
    <n v="730"/>
    <n v="2628"/>
  </r>
  <r>
    <x v="0"/>
    <x v="0"/>
    <x v="0"/>
    <x v="0"/>
    <x v="1"/>
    <s v="DK2_Medium"/>
    <x v="6"/>
    <s v="GNR_EH_HEAT"/>
    <x v="0"/>
    <x v="21"/>
    <n v="2"/>
    <n v="730"/>
    <n v="2628"/>
  </r>
  <r>
    <x v="0"/>
    <x v="0"/>
    <x v="0"/>
    <x v="0"/>
    <x v="1"/>
    <s v="DK2_Medium"/>
    <x v="6"/>
    <s v="GNR_EH_HEAT"/>
    <x v="0"/>
    <x v="22"/>
    <n v="2"/>
    <n v="730"/>
    <n v="2628"/>
  </r>
  <r>
    <x v="0"/>
    <x v="0"/>
    <x v="0"/>
    <x v="0"/>
    <x v="1"/>
    <s v="DK2_Medium"/>
    <x v="6"/>
    <s v="GNR_EH_HEAT"/>
    <x v="0"/>
    <x v="23"/>
    <n v="2"/>
    <n v="730"/>
    <n v="2628"/>
  </r>
  <r>
    <x v="0"/>
    <x v="0"/>
    <x v="0"/>
    <x v="0"/>
    <x v="1"/>
    <s v="DK2_Medium"/>
    <x v="7"/>
    <s v="GNR_BO_WOODCHI_E-100"/>
    <x v="0"/>
    <x v="0"/>
    <n v="5.56"/>
    <n v="2029.4"/>
    <n v="7305.84"/>
  </r>
  <r>
    <x v="0"/>
    <x v="0"/>
    <x v="0"/>
    <x v="0"/>
    <x v="1"/>
    <s v="DK2_Medium"/>
    <x v="7"/>
    <s v="GNR_BO_WOODCHI_E-100"/>
    <x v="0"/>
    <x v="1"/>
    <n v="5.56"/>
    <n v="2029.4"/>
    <n v="7305.84"/>
  </r>
  <r>
    <x v="0"/>
    <x v="0"/>
    <x v="0"/>
    <x v="0"/>
    <x v="1"/>
    <s v="DK2_Medium"/>
    <x v="7"/>
    <s v="GNR_BO_WOODCHI_E-100"/>
    <x v="0"/>
    <x v="2"/>
    <n v="5.56"/>
    <n v="2029.4"/>
    <n v="7305.84"/>
  </r>
  <r>
    <x v="0"/>
    <x v="0"/>
    <x v="0"/>
    <x v="0"/>
    <x v="1"/>
    <s v="DK2_Medium"/>
    <x v="7"/>
    <s v="GNR_BO_WOODCHI_E-100"/>
    <x v="0"/>
    <x v="3"/>
    <n v="5.56"/>
    <n v="2029.4"/>
    <n v="7305.84"/>
  </r>
  <r>
    <x v="0"/>
    <x v="0"/>
    <x v="0"/>
    <x v="0"/>
    <x v="1"/>
    <s v="DK2_Medium"/>
    <x v="7"/>
    <s v="GNR_BO_WOODCHI_E-100"/>
    <x v="0"/>
    <x v="4"/>
    <n v="5.56"/>
    <n v="2029.4"/>
    <n v="7305.84"/>
  </r>
  <r>
    <x v="0"/>
    <x v="0"/>
    <x v="0"/>
    <x v="0"/>
    <x v="1"/>
    <s v="DK2_Medium"/>
    <x v="7"/>
    <s v="GNR_BO_WOODCHI_E-100"/>
    <x v="0"/>
    <x v="5"/>
    <n v="5.56"/>
    <n v="2029.4"/>
    <n v="7305.84"/>
  </r>
  <r>
    <x v="0"/>
    <x v="0"/>
    <x v="0"/>
    <x v="0"/>
    <x v="1"/>
    <s v="DK2_Medium"/>
    <x v="7"/>
    <s v="GNR_BO_WOODCHI_E-100"/>
    <x v="0"/>
    <x v="6"/>
    <n v="5.56"/>
    <n v="2029.4"/>
    <n v="7305.84"/>
  </r>
  <r>
    <x v="0"/>
    <x v="0"/>
    <x v="0"/>
    <x v="0"/>
    <x v="1"/>
    <s v="DK2_Medium"/>
    <x v="7"/>
    <s v="GNR_BO_WOODCHI_E-100"/>
    <x v="0"/>
    <x v="7"/>
    <n v="5.56"/>
    <n v="2029.4"/>
    <n v="7305.84"/>
  </r>
  <r>
    <x v="0"/>
    <x v="0"/>
    <x v="0"/>
    <x v="0"/>
    <x v="1"/>
    <s v="DK2_Medium"/>
    <x v="7"/>
    <s v="GNR_BO_WOODCHI_E-100"/>
    <x v="0"/>
    <x v="8"/>
    <n v="5.56"/>
    <n v="2029.4"/>
    <n v="7305.84"/>
  </r>
  <r>
    <x v="0"/>
    <x v="0"/>
    <x v="0"/>
    <x v="0"/>
    <x v="1"/>
    <s v="DK2_Medium"/>
    <x v="7"/>
    <s v="GNR_BO_WOODCHI_E-100"/>
    <x v="0"/>
    <x v="9"/>
    <n v="5.56"/>
    <n v="2029.4"/>
    <n v="7305.84"/>
  </r>
  <r>
    <x v="0"/>
    <x v="0"/>
    <x v="0"/>
    <x v="0"/>
    <x v="1"/>
    <s v="DK2_Medium"/>
    <x v="7"/>
    <s v="GNR_BO_WOODCHI_E-100"/>
    <x v="0"/>
    <x v="10"/>
    <n v="5.56"/>
    <n v="2029.4"/>
    <n v="7305.84"/>
  </r>
  <r>
    <x v="0"/>
    <x v="0"/>
    <x v="0"/>
    <x v="0"/>
    <x v="1"/>
    <s v="DK2_Medium"/>
    <x v="7"/>
    <s v="GNR_BO_WOODCHI_E-100"/>
    <x v="0"/>
    <x v="11"/>
    <n v="5.56"/>
    <n v="2029.4"/>
    <n v="7305.84"/>
  </r>
  <r>
    <x v="0"/>
    <x v="0"/>
    <x v="0"/>
    <x v="0"/>
    <x v="1"/>
    <s v="DK2_Medium"/>
    <x v="7"/>
    <s v="GNR_BO_WOODCHI_E-100"/>
    <x v="0"/>
    <x v="12"/>
    <n v="5.56"/>
    <n v="2029.4"/>
    <n v="7305.84"/>
  </r>
  <r>
    <x v="0"/>
    <x v="0"/>
    <x v="0"/>
    <x v="0"/>
    <x v="1"/>
    <s v="DK2_Medium"/>
    <x v="7"/>
    <s v="GNR_BO_WOODCHI_E-100"/>
    <x v="0"/>
    <x v="13"/>
    <n v="5.56"/>
    <n v="2029.4"/>
    <n v="7305.84"/>
  </r>
  <r>
    <x v="0"/>
    <x v="0"/>
    <x v="0"/>
    <x v="0"/>
    <x v="1"/>
    <s v="DK2_Medium"/>
    <x v="7"/>
    <s v="GNR_BO_WOODCHI_E-100"/>
    <x v="0"/>
    <x v="14"/>
    <n v="5.56"/>
    <n v="2029.4"/>
    <n v="7305.84"/>
  </r>
  <r>
    <x v="0"/>
    <x v="0"/>
    <x v="0"/>
    <x v="0"/>
    <x v="1"/>
    <s v="DK2_Medium"/>
    <x v="7"/>
    <s v="GNR_BO_WOODCHI_E-100"/>
    <x v="0"/>
    <x v="15"/>
    <n v="5.56"/>
    <n v="2029.4"/>
    <n v="7305.84"/>
  </r>
  <r>
    <x v="0"/>
    <x v="0"/>
    <x v="0"/>
    <x v="0"/>
    <x v="1"/>
    <s v="DK2_Medium"/>
    <x v="7"/>
    <s v="GNR_BO_WOODCHI_E-100"/>
    <x v="0"/>
    <x v="16"/>
    <n v="5.56"/>
    <n v="2029.4"/>
    <n v="7305.84"/>
  </r>
  <r>
    <x v="0"/>
    <x v="0"/>
    <x v="0"/>
    <x v="0"/>
    <x v="1"/>
    <s v="DK2_Medium"/>
    <x v="7"/>
    <s v="GNR_BO_WOODCHI_E-100"/>
    <x v="0"/>
    <x v="17"/>
    <n v="5.56"/>
    <n v="2029.4"/>
    <n v="7305.84"/>
  </r>
  <r>
    <x v="0"/>
    <x v="0"/>
    <x v="0"/>
    <x v="0"/>
    <x v="1"/>
    <s v="DK2_Medium"/>
    <x v="7"/>
    <s v="GNR_BO_WOODCHI_E-100"/>
    <x v="0"/>
    <x v="18"/>
    <n v="5.56"/>
    <n v="2029.4"/>
    <n v="7305.84"/>
  </r>
  <r>
    <x v="0"/>
    <x v="0"/>
    <x v="0"/>
    <x v="0"/>
    <x v="1"/>
    <s v="DK2_Medium"/>
    <x v="7"/>
    <s v="GNR_BO_WOODCHI_E-100"/>
    <x v="0"/>
    <x v="19"/>
    <n v="5.56"/>
    <n v="2029.4"/>
    <n v="7305.84"/>
  </r>
  <r>
    <x v="0"/>
    <x v="0"/>
    <x v="0"/>
    <x v="0"/>
    <x v="1"/>
    <s v="DK2_Medium"/>
    <x v="7"/>
    <s v="GNR_BO_WOODCHI_E-100"/>
    <x v="0"/>
    <x v="20"/>
    <n v="5.56"/>
    <n v="2029.4"/>
    <n v="7305.84"/>
  </r>
  <r>
    <x v="0"/>
    <x v="0"/>
    <x v="0"/>
    <x v="0"/>
    <x v="1"/>
    <s v="DK2_Medium"/>
    <x v="7"/>
    <s v="GNR_BO_WOODCHI_E-100"/>
    <x v="0"/>
    <x v="21"/>
    <n v="5.56"/>
    <n v="2029.4"/>
    <n v="7305.84"/>
  </r>
  <r>
    <x v="0"/>
    <x v="0"/>
    <x v="0"/>
    <x v="0"/>
    <x v="1"/>
    <s v="DK2_Medium"/>
    <x v="7"/>
    <s v="GNR_BO_WOODCHI_E-100"/>
    <x v="0"/>
    <x v="22"/>
    <n v="5.56"/>
    <n v="2029.4"/>
    <n v="7305.84"/>
  </r>
  <r>
    <x v="0"/>
    <x v="0"/>
    <x v="0"/>
    <x v="0"/>
    <x v="1"/>
    <s v="DK2_Medium"/>
    <x v="7"/>
    <s v="GNR_BO_WOODCHI_E-100"/>
    <x v="0"/>
    <x v="23"/>
    <n v="5.56"/>
    <n v="2029.4"/>
    <n v="7305.84"/>
  </r>
  <r>
    <x v="0"/>
    <x v="0"/>
    <x v="0"/>
    <x v="0"/>
    <x v="1"/>
    <s v="DK2_Medium"/>
    <x v="7"/>
    <s v="GNR_BO_WOODCHI_E-110"/>
    <x v="0"/>
    <x v="0"/>
    <n v="14.64"/>
    <n v="5343.6"/>
    <n v="19236.96"/>
  </r>
  <r>
    <x v="0"/>
    <x v="0"/>
    <x v="0"/>
    <x v="0"/>
    <x v="1"/>
    <s v="DK2_Medium"/>
    <x v="7"/>
    <s v="GNR_BO_WOODCHI_E-110"/>
    <x v="0"/>
    <x v="1"/>
    <n v="14.64"/>
    <n v="5343.6"/>
    <n v="19236.96"/>
  </r>
  <r>
    <x v="0"/>
    <x v="0"/>
    <x v="0"/>
    <x v="0"/>
    <x v="1"/>
    <s v="DK2_Medium"/>
    <x v="7"/>
    <s v="GNR_BO_WOODCHI_E-110"/>
    <x v="0"/>
    <x v="2"/>
    <n v="14.64"/>
    <n v="5343.6"/>
    <n v="19236.96"/>
  </r>
  <r>
    <x v="0"/>
    <x v="0"/>
    <x v="0"/>
    <x v="0"/>
    <x v="1"/>
    <s v="DK2_Medium"/>
    <x v="7"/>
    <s v="GNR_BO_WOODCHI_E-110"/>
    <x v="0"/>
    <x v="3"/>
    <n v="14.64"/>
    <n v="5343.6"/>
    <n v="19236.96"/>
  </r>
  <r>
    <x v="0"/>
    <x v="0"/>
    <x v="0"/>
    <x v="0"/>
    <x v="1"/>
    <s v="DK2_Medium"/>
    <x v="7"/>
    <s v="GNR_BO_WOODCHI_E-110"/>
    <x v="0"/>
    <x v="4"/>
    <n v="14.64"/>
    <n v="5343.6"/>
    <n v="19236.96"/>
  </r>
  <r>
    <x v="0"/>
    <x v="0"/>
    <x v="0"/>
    <x v="0"/>
    <x v="1"/>
    <s v="DK2_Medium"/>
    <x v="7"/>
    <s v="GNR_BO_WOODCHI_E-110"/>
    <x v="0"/>
    <x v="5"/>
    <n v="14.64"/>
    <n v="5343.6"/>
    <n v="19236.96"/>
  </r>
  <r>
    <x v="0"/>
    <x v="0"/>
    <x v="0"/>
    <x v="0"/>
    <x v="1"/>
    <s v="DK2_Medium"/>
    <x v="7"/>
    <s v="GNR_BO_WOODCHI_E-110"/>
    <x v="0"/>
    <x v="6"/>
    <n v="14.64"/>
    <n v="5343.6"/>
    <n v="19236.96"/>
  </r>
  <r>
    <x v="0"/>
    <x v="0"/>
    <x v="0"/>
    <x v="0"/>
    <x v="1"/>
    <s v="DK2_Medium"/>
    <x v="7"/>
    <s v="GNR_BO_WOODCHI_E-110"/>
    <x v="0"/>
    <x v="7"/>
    <n v="14.64"/>
    <n v="5343.6"/>
    <n v="19236.96"/>
  </r>
  <r>
    <x v="0"/>
    <x v="0"/>
    <x v="0"/>
    <x v="0"/>
    <x v="1"/>
    <s v="DK2_Medium"/>
    <x v="7"/>
    <s v="GNR_BO_WOODCHI_E-110"/>
    <x v="0"/>
    <x v="8"/>
    <n v="14.64"/>
    <n v="5343.6"/>
    <n v="19236.96"/>
  </r>
  <r>
    <x v="0"/>
    <x v="0"/>
    <x v="0"/>
    <x v="0"/>
    <x v="1"/>
    <s v="DK2_Medium"/>
    <x v="7"/>
    <s v="GNR_BO_WOODCHI_E-110"/>
    <x v="0"/>
    <x v="9"/>
    <n v="14.64"/>
    <n v="5343.6"/>
    <n v="19236.96"/>
  </r>
  <r>
    <x v="0"/>
    <x v="0"/>
    <x v="0"/>
    <x v="0"/>
    <x v="1"/>
    <s v="DK2_Medium"/>
    <x v="7"/>
    <s v="GNR_BO_WOODCHI_E-110"/>
    <x v="0"/>
    <x v="10"/>
    <n v="14.64"/>
    <n v="5343.6"/>
    <n v="19236.96"/>
  </r>
  <r>
    <x v="0"/>
    <x v="0"/>
    <x v="0"/>
    <x v="0"/>
    <x v="1"/>
    <s v="DK2_Medium"/>
    <x v="7"/>
    <s v="GNR_BO_WOODCHI_E-110"/>
    <x v="0"/>
    <x v="11"/>
    <n v="14.64"/>
    <n v="5343.6"/>
    <n v="19236.96"/>
  </r>
  <r>
    <x v="0"/>
    <x v="0"/>
    <x v="0"/>
    <x v="0"/>
    <x v="1"/>
    <s v="DK2_Medium"/>
    <x v="7"/>
    <s v="GNR_BO_WOODCHI_E-110"/>
    <x v="0"/>
    <x v="12"/>
    <n v="14.64"/>
    <n v="5343.6"/>
    <n v="19236.96"/>
  </r>
  <r>
    <x v="0"/>
    <x v="0"/>
    <x v="0"/>
    <x v="0"/>
    <x v="1"/>
    <s v="DK2_Medium"/>
    <x v="7"/>
    <s v="GNR_BO_WOODCHI_E-110"/>
    <x v="0"/>
    <x v="13"/>
    <n v="14.64"/>
    <n v="5343.6"/>
    <n v="19236.96"/>
  </r>
  <r>
    <x v="0"/>
    <x v="0"/>
    <x v="0"/>
    <x v="0"/>
    <x v="1"/>
    <s v="DK2_Medium"/>
    <x v="7"/>
    <s v="GNR_BO_WOODCHI_E-110"/>
    <x v="0"/>
    <x v="14"/>
    <n v="14.64"/>
    <n v="5343.6"/>
    <n v="19236.96"/>
  </r>
  <r>
    <x v="0"/>
    <x v="0"/>
    <x v="0"/>
    <x v="0"/>
    <x v="1"/>
    <s v="DK2_Medium"/>
    <x v="7"/>
    <s v="GNR_BO_WOODCHI_E-110"/>
    <x v="0"/>
    <x v="15"/>
    <n v="14.64"/>
    <n v="5343.6"/>
    <n v="19236.96"/>
  </r>
  <r>
    <x v="0"/>
    <x v="0"/>
    <x v="0"/>
    <x v="0"/>
    <x v="1"/>
    <s v="DK2_Medium"/>
    <x v="7"/>
    <s v="GNR_BO_WOODCHI_E-110"/>
    <x v="0"/>
    <x v="16"/>
    <n v="14.64"/>
    <n v="5343.6"/>
    <n v="19236.96"/>
  </r>
  <r>
    <x v="0"/>
    <x v="0"/>
    <x v="0"/>
    <x v="0"/>
    <x v="1"/>
    <s v="DK2_Medium"/>
    <x v="7"/>
    <s v="GNR_BO_WOODCHI_E-110"/>
    <x v="0"/>
    <x v="17"/>
    <n v="14.64"/>
    <n v="5343.6"/>
    <n v="19236.96"/>
  </r>
  <r>
    <x v="0"/>
    <x v="0"/>
    <x v="0"/>
    <x v="0"/>
    <x v="1"/>
    <s v="DK2_Medium"/>
    <x v="7"/>
    <s v="GNR_BO_WOODCHI_E-110"/>
    <x v="0"/>
    <x v="18"/>
    <n v="14.64"/>
    <n v="5343.6"/>
    <n v="19236.96"/>
  </r>
  <r>
    <x v="0"/>
    <x v="0"/>
    <x v="0"/>
    <x v="0"/>
    <x v="1"/>
    <s v="DK2_Medium"/>
    <x v="7"/>
    <s v="GNR_BO_WOODCHI_E-110"/>
    <x v="0"/>
    <x v="19"/>
    <n v="14.64"/>
    <n v="5343.6"/>
    <n v="19236.96"/>
  </r>
  <r>
    <x v="0"/>
    <x v="0"/>
    <x v="0"/>
    <x v="0"/>
    <x v="1"/>
    <s v="DK2_Medium"/>
    <x v="7"/>
    <s v="GNR_BO_WOODCHI_E-110"/>
    <x v="0"/>
    <x v="20"/>
    <n v="14.64"/>
    <n v="5343.6"/>
    <n v="19236.96"/>
  </r>
  <r>
    <x v="0"/>
    <x v="0"/>
    <x v="0"/>
    <x v="0"/>
    <x v="1"/>
    <s v="DK2_Medium"/>
    <x v="7"/>
    <s v="GNR_BO_WOODCHI_E-110"/>
    <x v="0"/>
    <x v="21"/>
    <n v="14.64"/>
    <n v="5343.6"/>
    <n v="19236.96"/>
  </r>
  <r>
    <x v="0"/>
    <x v="0"/>
    <x v="0"/>
    <x v="0"/>
    <x v="1"/>
    <s v="DK2_Medium"/>
    <x v="7"/>
    <s v="GNR_BO_WOODCHI_E-110"/>
    <x v="0"/>
    <x v="22"/>
    <n v="14.64"/>
    <n v="5343.6"/>
    <n v="19236.96"/>
  </r>
  <r>
    <x v="0"/>
    <x v="0"/>
    <x v="0"/>
    <x v="0"/>
    <x v="1"/>
    <s v="DK2_Medium"/>
    <x v="7"/>
    <s v="GNR_BO_WOODCHI_E-110"/>
    <x v="0"/>
    <x v="23"/>
    <n v="14.64"/>
    <n v="5343.6"/>
    <n v="19236.96"/>
  </r>
  <r>
    <x v="0"/>
    <x v="0"/>
    <x v="0"/>
    <x v="0"/>
    <x v="1"/>
    <s v="DK2_Medium"/>
    <x v="7"/>
    <s v="GNR_ST_WOODCHI_BP_E-27"/>
    <x v="0"/>
    <x v="0"/>
    <n v="0.97058823529411797"/>
    <n v="354.26470588235298"/>
    <n v="1275.35294117647"/>
  </r>
  <r>
    <x v="0"/>
    <x v="0"/>
    <x v="0"/>
    <x v="0"/>
    <x v="1"/>
    <s v="DK2_Medium"/>
    <x v="7"/>
    <s v="GNR_ST_WOODCHI_BP_E-27"/>
    <x v="0"/>
    <x v="1"/>
    <n v="0.97058823529411797"/>
    <n v="354.26470588235298"/>
    <n v="1275.35294117647"/>
  </r>
  <r>
    <x v="0"/>
    <x v="0"/>
    <x v="0"/>
    <x v="0"/>
    <x v="1"/>
    <s v="DK2_Medium"/>
    <x v="7"/>
    <s v="GNR_ST_WOODCHI_BP_E-27"/>
    <x v="0"/>
    <x v="2"/>
    <n v="0.97058823529411797"/>
    <n v="354.26470588235298"/>
    <n v="1275.35294117647"/>
  </r>
  <r>
    <x v="0"/>
    <x v="0"/>
    <x v="0"/>
    <x v="0"/>
    <x v="1"/>
    <s v="DK2_Medium"/>
    <x v="7"/>
    <s v="GNR_ST_WOODCHI_BP_E-27"/>
    <x v="0"/>
    <x v="3"/>
    <n v="0.97058823529411797"/>
    <n v="354.26470588235298"/>
    <n v="1275.35294117647"/>
  </r>
  <r>
    <x v="0"/>
    <x v="0"/>
    <x v="0"/>
    <x v="0"/>
    <x v="1"/>
    <s v="DK2_Medium"/>
    <x v="7"/>
    <s v="GNR_ST_WOODCHI_BP_E-27"/>
    <x v="0"/>
    <x v="4"/>
    <n v="0.97058823529411797"/>
    <n v="354.26470588235298"/>
    <n v="1275.35294117647"/>
  </r>
  <r>
    <x v="0"/>
    <x v="0"/>
    <x v="0"/>
    <x v="0"/>
    <x v="1"/>
    <s v="DK2_Medium"/>
    <x v="7"/>
    <s v="GNR_ST_WOODCHI_BP_E-27"/>
    <x v="0"/>
    <x v="5"/>
    <n v="0.97058823529411797"/>
    <n v="354.26470588235298"/>
    <n v="1275.35294117647"/>
  </r>
  <r>
    <x v="0"/>
    <x v="0"/>
    <x v="0"/>
    <x v="0"/>
    <x v="1"/>
    <s v="DK2_Medium"/>
    <x v="7"/>
    <s v="GNR_ST_WOODCHI_BP_E-27"/>
    <x v="0"/>
    <x v="6"/>
    <n v="0.97058823529411797"/>
    <n v="354.26470588235298"/>
    <n v="1275.35294117647"/>
  </r>
  <r>
    <x v="0"/>
    <x v="0"/>
    <x v="0"/>
    <x v="0"/>
    <x v="1"/>
    <s v="DK2_Medium"/>
    <x v="7"/>
    <s v="GNR_ST_WOODCHI_BP_E-27"/>
    <x v="0"/>
    <x v="7"/>
    <n v="0.97058823529411797"/>
    <n v="354.26470588235298"/>
    <n v="1275.35294117647"/>
  </r>
  <r>
    <x v="0"/>
    <x v="0"/>
    <x v="0"/>
    <x v="0"/>
    <x v="1"/>
    <s v="DK2_Medium"/>
    <x v="7"/>
    <s v="GNR_ST_WOODCHI_BP_E-27"/>
    <x v="0"/>
    <x v="8"/>
    <n v="0.97058823529411797"/>
    <n v="354.26470588235298"/>
    <n v="1275.35294117647"/>
  </r>
  <r>
    <x v="0"/>
    <x v="0"/>
    <x v="0"/>
    <x v="0"/>
    <x v="1"/>
    <s v="DK2_Medium"/>
    <x v="7"/>
    <s v="GNR_ST_WOODCHI_BP_E-27"/>
    <x v="0"/>
    <x v="9"/>
    <n v="0.97058823529411797"/>
    <n v="354.26470588235298"/>
    <n v="1275.35294117647"/>
  </r>
  <r>
    <x v="0"/>
    <x v="0"/>
    <x v="0"/>
    <x v="0"/>
    <x v="1"/>
    <s v="DK2_Medium"/>
    <x v="7"/>
    <s v="GNR_ST_WOODCHI_BP_E-27"/>
    <x v="0"/>
    <x v="10"/>
    <n v="0.97058823529411797"/>
    <n v="354.26470588235298"/>
    <n v="1275.35294117647"/>
  </r>
  <r>
    <x v="0"/>
    <x v="0"/>
    <x v="0"/>
    <x v="0"/>
    <x v="1"/>
    <s v="DK2_Medium"/>
    <x v="7"/>
    <s v="GNR_ST_WOODCHI_BP_E-27"/>
    <x v="0"/>
    <x v="11"/>
    <n v="0.97058823529411797"/>
    <n v="354.26470588235298"/>
    <n v="1275.35294117647"/>
  </r>
  <r>
    <x v="0"/>
    <x v="0"/>
    <x v="0"/>
    <x v="0"/>
    <x v="1"/>
    <s v="DK2_Medium"/>
    <x v="7"/>
    <s v="GNR_ST_WOODCHI_BP_E-27"/>
    <x v="0"/>
    <x v="12"/>
    <n v="0.97058823529411797"/>
    <n v="354.26470588235298"/>
    <n v="1275.35294117647"/>
  </r>
  <r>
    <x v="0"/>
    <x v="0"/>
    <x v="0"/>
    <x v="0"/>
    <x v="1"/>
    <s v="DK2_Medium"/>
    <x v="7"/>
    <s v="GNR_ST_WOODCHI_BP_E-27"/>
    <x v="0"/>
    <x v="13"/>
    <n v="0.97058823529411797"/>
    <n v="354.26470588235298"/>
    <n v="1275.35294117647"/>
  </r>
  <r>
    <x v="0"/>
    <x v="0"/>
    <x v="0"/>
    <x v="0"/>
    <x v="1"/>
    <s v="DK2_Medium"/>
    <x v="7"/>
    <s v="GNR_ST_WOODCHI_BP_E-27"/>
    <x v="0"/>
    <x v="14"/>
    <n v="0.97058823529411797"/>
    <n v="354.26470588235298"/>
    <n v="1275.35294117647"/>
  </r>
  <r>
    <x v="0"/>
    <x v="0"/>
    <x v="0"/>
    <x v="0"/>
    <x v="1"/>
    <s v="DK2_Medium"/>
    <x v="7"/>
    <s v="GNR_ST_WOODCHI_BP_E-27"/>
    <x v="0"/>
    <x v="15"/>
    <n v="0.97058823529411797"/>
    <n v="354.26470588235298"/>
    <n v="1275.35294117647"/>
  </r>
  <r>
    <x v="0"/>
    <x v="0"/>
    <x v="0"/>
    <x v="0"/>
    <x v="1"/>
    <s v="DK2_Medium"/>
    <x v="7"/>
    <s v="GNR_ST_WOODCHI_BP_E-27"/>
    <x v="0"/>
    <x v="16"/>
    <n v="0.97058823529411797"/>
    <n v="354.26470588235298"/>
    <n v="1275.35294117647"/>
  </r>
  <r>
    <x v="0"/>
    <x v="0"/>
    <x v="0"/>
    <x v="0"/>
    <x v="1"/>
    <s v="DK2_Medium"/>
    <x v="7"/>
    <s v="GNR_ST_WOODCHI_BP_E-27"/>
    <x v="0"/>
    <x v="17"/>
    <n v="0.97058823529411797"/>
    <n v="354.26470588235298"/>
    <n v="1275.35294117647"/>
  </r>
  <r>
    <x v="0"/>
    <x v="0"/>
    <x v="0"/>
    <x v="0"/>
    <x v="1"/>
    <s v="DK2_Medium"/>
    <x v="7"/>
    <s v="GNR_ST_WOODCHI_BP_E-27"/>
    <x v="0"/>
    <x v="18"/>
    <n v="0.97058823529411797"/>
    <n v="354.26470588235298"/>
    <n v="1275.35294117647"/>
  </r>
  <r>
    <x v="0"/>
    <x v="0"/>
    <x v="0"/>
    <x v="0"/>
    <x v="1"/>
    <s v="DK2_Medium"/>
    <x v="7"/>
    <s v="GNR_ST_WOODCHI_BP_E-27"/>
    <x v="0"/>
    <x v="19"/>
    <n v="0.97058823529411797"/>
    <n v="354.26470588235298"/>
    <n v="1275.35294117647"/>
  </r>
  <r>
    <x v="0"/>
    <x v="0"/>
    <x v="0"/>
    <x v="0"/>
    <x v="1"/>
    <s v="DK2_Medium"/>
    <x v="7"/>
    <s v="GNR_ST_WOODCHI_BP_E-27"/>
    <x v="0"/>
    <x v="20"/>
    <n v="0.97058823529411797"/>
    <n v="354.26470588235298"/>
    <n v="1275.35294117647"/>
  </r>
  <r>
    <x v="0"/>
    <x v="0"/>
    <x v="0"/>
    <x v="0"/>
    <x v="1"/>
    <s v="DK2_Medium"/>
    <x v="7"/>
    <s v="GNR_ST_WOODCHI_BP_E-27"/>
    <x v="0"/>
    <x v="21"/>
    <n v="0.97058823529411797"/>
    <n v="354.26470588235298"/>
    <n v="1275.35294117647"/>
  </r>
  <r>
    <x v="0"/>
    <x v="0"/>
    <x v="0"/>
    <x v="0"/>
    <x v="1"/>
    <s v="DK2_Medium"/>
    <x v="7"/>
    <s v="GNR_ST_WOODCHI_BP_E-27"/>
    <x v="0"/>
    <x v="22"/>
    <n v="0.97058823529411797"/>
    <n v="354.26470588235298"/>
    <n v="1275.35294117647"/>
  </r>
  <r>
    <x v="0"/>
    <x v="0"/>
    <x v="0"/>
    <x v="0"/>
    <x v="1"/>
    <s v="DK2_Medium"/>
    <x v="7"/>
    <s v="GNR_ST_WOODCHI_BP_E-27"/>
    <x v="0"/>
    <x v="23"/>
    <n v="0.97058823529411797"/>
    <n v="354.26470588235298"/>
    <n v="1275.35294117647"/>
  </r>
  <r>
    <x v="0"/>
    <x v="0"/>
    <x v="0"/>
    <x v="0"/>
    <x v="1"/>
    <s v="DK2_Medium"/>
    <x v="8"/>
    <s v="GNR_BO_WOODPEL_E-100"/>
    <x v="0"/>
    <x v="0"/>
    <n v="1"/>
    <n v="365"/>
    <n v="1314"/>
  </r>
  <r>
    <x v="0"/>
    <x v="0"/>
    <x v="0"/>
    <x v="0"/>
    <x v="1"/>
    <s v="DK2_Medium"/>
    <x v="8"/>
    <s v="GNR_BO_WOODPEL_E-100"/>
    <x v="0"/>
    <x v="1"/>
    <n v="1"/>
    <n v="365"/>
    <n v="1314"/>
  </r>
  <r>
    <x v="0"/>
    <x v="0"/>
    <x v="0"/>
    <x v="0"/>
    <x v="1"/>
    <s v="DK2_Medium"/>
    <x v="8"/>
    <s v="GNR_BO_WOODPEL_E-100"/>
    <x v="0"/>
    <x v="2"/>
    <n v="1"/>
    <n v="365"/>
    <n v="1314"/>
  </r>
  <r>
    <x v="0"/>
    <x v="0"/>
    <x v="0"/>
    <x v="0"/>
    <x v="1"/>
    <s v="DK2_Medium"/>
    <x v="8"/>
    <s v="GNR_BO_WOODPEL_E-100"/>
    <x v="0"/>
    <x v="3"/>
    <n v="1"/>
    <n v="365"/>
    <n v="1314"/>
  </r>
  <r>
    <x v="0"/>
    <x v="0"/>
    <x v="0"/>
    <x v="0"/>
    <x v="1"/>
    <s v="DK2_Medium"/>
    <x v="8"/>
    <s v="GNR_BO_WOODPEL_E-100"/>
    <x v="0"/>
    <x v="4"/>
    <n v="1"/>
    <n v="365"/>
    <n v="1314"/>
  </r>
  <r>
    <x v="0"/>
    <x v="0"/>
    <x v="0"/>
    <x v="0"/>
    <x v="1"/>
    <s v="DK2_Medium"/>
    <x v="8"/>
    <s v="GNR_BO_WOODPEL_E-100"/>
    <x v="0"/>
    <x v="5"/>
    <n v="1"/>
    <n v="365"/>
    <n v="1314"/>
  </r>
  <r>
    <x v="0"/>
    <x v="0"/>
    <x v="0"/>
    <x v="0"/>
    <x v="1"/>
    <s v="DK2_Medium"/>
    <x v="8"/>
    <s v="GNR_BO_WOODPEL_E-100"/>
    <x v="0"/>
    <x v="6"/>
    <n v="1"/>
    <n v="365"/>
    <n v="1314"/>
  </r>
  <r>
    <x v="0"/>
    <x v="0"/>
    <x v="0"/>
    <x v="0"/>
    <x v="1"/>
    <s v="DK2_Medium"/>
    <x v="8"/>
    <s v="GNR_BO_WOODPEL_E-100"/>
    <x v="0"/>
    <x v="7"/>
    <n v="1"/>
    <n v="365"/>
    <n v="1314"/>
  </r>
  <r>
    <x v="0"/>
    <x v="0"/>
    <x v="0"/>
    <x v="0"/>
    <x v="1"/>
    <s v="DK2_Medium"/>
    <x v="8"/>
    <s v="GNR_BO_WOODPEL_E-100"/>
    <x v="0"/>
    <x v="8"/>
    <n v="1"/>
    <n v="365"/>
    <n v="1314"/>
  </r>
  <r>
    <x v="0"/>
    <x v="0"/>
    <x v="0"/>
    <x v="0"/>
    <x v="1"/>
    <s v="DK2_Medium"/>
    <x v="8"/>
    <s v="GNR_BO_WOODPEL_E-100"/>
    <x v="0"/>
    <x v="9"/>
    <n v="1"/>
    <n v="365"/>
    <n v="1314"/>
  </r>
  <r>
    <x v="0"/>
    <x v="0"/>
    <x v="0"/>
    <x v="0"/>
    <x v="1"/>
    <s v="DK2_Medium"/>
    <x v="8"/>
    <s v="GNR_BO_WOODPEL_E-100"/>
    <x v="0"/>
    <x v="10"/>
    <n v="1"/>
    <n v="365"/>
    <n v="1314"/>
  </r>
  <r>
    <x v="0"/>
    <x v="0"/>
    <x v="0"/>
    <x v="0"/>
    <x v="1"/>
    <s v="DK2_Medium"/>
    <x v="8"/>
    <s v="GNR_BO_WOODPEL_E-100"/>
    <x v="0"/>
    <x v="11"/>
    <n v="1"/>
    <n v="365"/>
    <n v="1314"/>
  </r>
  <r>
    <x v="0"/>
    <x v="0"/>
    <x v="0"/>
    <x v="0"/>
    <x v="1"/>
    <s v="DK2_Medium"/>
    <x v="8"/>
    <s v="GNR_BO_WOODPEL_E-100"/>
    <x v="0"/>
    <x v="12"/>
    <n v="1"/>
    <n v="365"/>
    <n v="1314"/>
  </r>
  <r>
    <x v="0"/>
    <x v="0"/>
    <x v="0"/>
    <x v="0"/>
    <x v="1"/>
    <s v="DK2_Medium"/>
    <x v="8"/>
    <s v="GNR_BO_WOODPEL_E-100"/>
    <x v="0"/>
    <x v="13"/>
    <n v="1"/>
    <n v="365"/>
    <n v="1314"/>
  </r>
  <r>
    <x v="0"/>
    <x v="0"/>
    <x v="0"/>
    <x v="0"/>
    <x v="1"/>
    <s v="DK2_Medium"/>
    <x v="8"/>
    <s v="GNR_BO_WOODPEL_E-100"/>
    <x v="0"/>
    <x v="14"/>
    <n v="1"/>
    <n v="365"/>
    <n v="1314"/>
  </r>
  <r>
    <x v="0"/>
    <x v="0"/>
    <x v="0"/>
    <x v="0"/>
    <x v="1"/>
    <s v="DK2_Medium"/>
    <x v="8"/>
    <s v="GNR_BO_WOODPEL_E-100"/>
    <x v="0"/>
    <x v="15"/>
    <n v="1"/>
    <n v="365"/>
    <n v="1314"/>
  </r>
  <r>
    <x v="0"/>
    <x v="0"/>
    <x v="0"/>
    <x v="0"/>
    <x v="1"/>
    <s v="DK2_Medium"/>
    <x v="8"/>
    <s v="GNR_BO_WOODPEL_E-100"/>
    <x v="0"/>
    <x v="16"/>
    <n v="1"/>
    <n v="365"/>
    <n v="1314"/>
  </r>
  <r>
    <x v="0"/>
    <x v="0"/>
    <x v="0"/>
    <x v="0"/>
    <x v="1"/>
    <s v="DK2_Medium"/>
    <x v="8"/>
    <s v="GNR_BO_WOODPEL_E-100"/>
    <x v="0"/>
    <x v="17"/>
    <n v="1"/>
    <n v="365"/>
    <n v="1314"/>
  </r>
  <r>
    <x v="0"/>
    <x v="0"/>
    <x v="0"/>
    <x v="0"/>
    <x v="1"/>
    <s v="DK2_Medium"/>
    <x v="8"/>
    <s v="GNR_BO_WOODPEL_E-100"/>
    <x v="0"/>
    <x v="18"/>
    <n v="1"/>
    <n v="365"/>
    <n v="1314"/>
  </r>
  <r>
    <x v="0"/>
    <x v="0"/>
    <x v="0"/>
    <x v="0"/>
    <x v="1"/>
    <s v="DK2_Medium"/>
    <x v="8"/>
    <s v="GNR_BO_WOODPEL_E-100"/>
    <x v="0"/>
    <x v="19"/>
    <n v="1"/>
    <n v="365"/>
    <n v="1314"/>
  </r>
  <r>
    <x v="0"/>
    <x v="0"/>
    <x v="0"/>
    <x v="0"/>
    <x v="1"/>
    <s v="DK2_Medium"/>
    <x v="8"/>
    <s v="GNR_BO_WOODPEL_E-100"/>
    <x v="0"/>
    <x v="20"/>
    <n v="1"/>
    <n v="365"/>
    <n v="1314"/>
  </r>
  <r>
    <x v="0"/>
    <x v="0"/>
    <x v="0"/>
    <x v="0"/>
    <x v="1"/>
    <s v="DK2_Medium"/>
    <x v="8"/>
    <s v="GNR_BO_WOODPEL_E-100"/>
    <x v="0"/>
    <x v="21"/>
    <n v="1"/>
    <n v="365"/>
    <n v="1314"/>
  </r>
  <r>
    <x v="0"/>
    <x v="0"/>
    <x v="0"/>
    <x v="0"/>
    <x v="1"/>
    <s v="DK2_Medium"/>
    <x v="8"/>
    <s v="GNR_BO_WOODPEL_E-100"/>
    <x v="0"/>
    <x v="22"/>
    <n v="1"/>
    <n v="365"/>
    <n v="1314"/>
  </r>
  <r>
    <x v="0"/>
    <x v="0"/>
    <x v="0"/>
    <x v="0"/>
    <x v="1"/>
    <s v="DK2_Medium"/>
    <x v="8"/>
    <s v="GNR_BO_WOODPEL_E-100"/>
    <x v="0"/>
    <x v="23"/>
    <n v="1"/>
    <n v="365"/>
    <n v="1314"/>
  </r>
  <r>
    <x v="0"/>
    <x v="0"/>
    <x v="0"/>
    <x v="0"/>
    <x v="1"/>
    <s v="DK2_Medium"/>
    <x v="8"/>
    <s v="GNR_BO_WOODPEL_E-102"/>
    <x v="0"/>
    <x v="0"/>
    <n v="9.5"/>
    <n v="3467.5"/>
    <n v="12483"/>
  </r>
  <r>
    <x v="0"/>
    <x v="0"/>
    <x v="0"/>
    <x v="0"/>
    <x v="1"/>
    <s v="DK2_Medium"/>
    <x v="8"/>
    <s v="GNR_BO_WOODPEL_E-102"/>
    <x v="0"/>
    <x v="1"/>
    <n v="9.5"/>
    <n v="3467.5"/>
    <n v="12483"/>
  </r>
  <r>
    <x v="0"/>
    <x v="0"/>
    <x v="0"/>
    <x v="0"/>
    <x v="1"/>
    <s v="DK2_Medium"/>
    <x v="8"/>
    <s v="GNR_BO_WOODPEL_E-102"/>
    <x v="0"/>
    <x v="2"/>
    <n v="9.5"/>
    <n v="3467.5"/>
    <n v="12483"/>
  </r>
  <r>
    <x v="0"/>
    <x v="0"/>
    <x v="0"/>
    <x v="0"/>
    <x v="1"/>
    <s v="DK2_Medium"/>
    <x v="8"/>
    <s v="GNR_BO_WOODPEL_E-102"/>
    <x v="0"/>
    <x v="3"/>
    <n v="9.5"/>
    <n v="3467.5"/>
    <n v="12483"/>
  </r>
  <r>
    <x v="0"/>
    <x v="0"/>
    <x v="0"/>
    <x v="0"/>
    <x v="1"/>
    <s v="DK2_Medium"/>
    <x v="8"/>
    <s v="GNR_BO_WOODPEL_E-102"/>
    <x v="0"/>
    <x v="4"/>
    <n v="9.5"/>
    <n v="3467.5"/>
    <n v="12483"/>
  </r>
  <r>
    <x v="0"/>
    <x v="0"/>
    <x v="0"/>
    <x v="0"/>
    <x v="1"/>
    <s v="DK2_Medium"/>
    <x v="8"/>
    <s v="GNR_BO_WOODPEL_E-102"/>
    <x v="0"/>
    <x v="5"/>
    <n v="9.5"/>
    <n v="3467.5"/>
    <n v="12483"/>
  </r>
  <r>
    <x v="0"/>
    <x v="0"/>
    <x v="0"/>
    <x v="0"/>
    <x v="1"/>
    <s v="DK2_Medium"/>
    <x v="8"/>
    <s v="GNR_BO_WOODPEL_E-102"/>
    <x v="0"/>
    <x v="6"/>
    <n v="9.5"/>
    <n v="3467.5"/>
    <n v="12483"/>
  </r>
  <r>
    <x v="0"/>
    <x v="0"/>
    <x v="0"/>
    <x v="0"/>
    <x v="1"/>
    <s v="DK2_Medium"/>
    <x v="8"/>
    <s v="GNR_BO_WOODPEL_E-102"/>
    <x v="0"/>
    <x v="7"/>
    <n v="9.5"/>
    <n v="3467.5"/>
    <n v="12483"/>
  </r>
  <r>
    <x v="0"/>
    <x v="0"/>
    <x v="0"/>
    <x v="0"/>
    <x v="1"/>
    <s v="DK2_Medium"/>
    <x v="8"/>
    <s v="GNR_BO_WOODPEL_E-102"/>
    <x v="0"/>
    <x v="8"/>
    <n v="9.5"/>
    <n v="3467.5"/>
    <n v="12483"/>
  </r>
  <r>
    <x v="0"/>
    <x v="0"/>
    <x v="0"/>
    <x v="0"/>
    <x v="1"/>
    <s v="DK2_Medium"/>
    <x v="8"/>
    <s v="GNR_BO_WOODPEL_E-102"/>
    <x v="0"/>
    <x v="9"/>
    <n v="9.5"/>
    <n v="3467.5"/>
    <n v="12483"/>
  </r>
  <r>
    <x v="0"/>
    <x v="0"/>
    <x v="0"/>
    <x v="0"/>
    <x v="1"/>
    <s v="DK2_Medium"/>
    <x v="8"/>
    <s v="GNR_BO_WOODPEL_E-102"/>
    <x v="0"/>
    <x v="10"/>
    <n v="9.5"/>
    <n v="3467.5"/>
    <n v="12483"/>
  </r>
  <r>
    <x v="0"/>
    <x v="0"/>
    <x v="0"/>
    <x v="0"/>
    <x v="1"/>
    <s v="DK2_Medium"/>
    <x v="8"/>
    <s v="GNR_BO_WOODPEL_E-102"/>
    <x v="0"/>
    <x v="11"/>
    <n v="9.5"/>
    <n v="3467.5"/>
    <n v="12483"/>
  </r>
  <r>
    <x v="0"/>
    <x v="0"/>
    <x v="0"/>
    <x v="0"/>
    <x v="1"/>
    <s v="DK2_Medium"/>
    <x v="8"/>
    <s v="GNR_BO_WOODPEL_E-102"/>
    <x v="0"/>
    <x v="12"/>
    <n v="9.5"/>
    <n v="3467.5"/>
    <n v="12483"/>
  </r>
  <r>
    <x v="0"/>
    <x v="0"/>
    <x v="0"/>
    <x v="0"/>
    <x v="1"/>
    <s v="DK2_Medium"/>
    <x v="8"/>
    <s v="GNR_BO_WOODPEL_E-102"/>
    <x v="0"/>
    <x v="13"/>
    <n v="9.5"/>
    <n v="3467.5"/>
    <n v="12483"/>
  </r>
  <r>
    <x v="0"/>
    <x v="0"/>
    <x v="0"/>
    <x v="0"/>
    <x v="1"/>
    <s v="DK2_Medium"/>
    <x v="8"/>
    <s v="GNR_BO_WOODPEL_E-102"/>
    <x v="0"/>
    <x v="14"/>
    <n v="9.5"/>
    <n v="3467.5"/>
    <n v="12483"/>
  </r>
  <r>
    <x v="0"/>
    <x v="0"/>
    <x v="0"/>
    <x v="0"/>
    <x v="1"/>
    <s v="DK2_Medium"/>
    <x v="8"/>
    <s v="GNR_BO_WOODPEL_E-102"/>
    <x v="0"/>
    <x v="15"/>
    <n v="9.5"/>
    <n v="3467.5"/>
    <n v="12483"/>
  </r>
  <r>
    <x v="0"/>
    <x v="0"/>
    <x v="0"/>
    <x v="0"/>
    <x v="1"/>
    <s v="DK2_Medium"/>
    <x v="8"/>
    <s v="GNR_BO_WOODPEL_E-102"/>
    <x v="0"/>
    <x v="16"/>
    <n v="9.5"/>
    <n v="3467.5"/>
    <n v="12483"/>
  </r>
  <r>
    <x v="0"/>
    <x v="0"/>
    <x v="0"/>
    <x v="0"/>
    <x v="1"/>
    <s v="DK2_Medium"/>
    <x v="8"/>
    <s v="GNR_BO_WOODPEL_E-102"/>
    <x v="0"/>
    <x v="17"/>
    <n v="9.5"/>
    <n v="3467.5"/>
    <n v="12483"/>
  </r>
  <r>
    <x v="0"/>
    <x v="0"/>
    <x v="0"/>
    <x v="0"/>
    <x v="1"/>
    <s v="DK2_Medium"/>
    <x v="8"/>
    <s v="GNR_BO_WOODPEL_E-102"/>
    <x v="0"/>
    <x v="18"/>
    <n v="9.5"/>
    <n v="3467.5"/>
    <n v="12483"/>
  </r>
  <r>
    <x v="0"/>
    <x v="0"/>
    <x v="0"/>
    <x v="0"/>
    <x v="1"/>
    <s v="DK2_Medium"/>
    <x v="8"/>
    <s v="GNR_BO_WOODPEL_E-102"/>
    <x v="0"/>
    <x v="19"/>
    <n v="9.5"/>
    <n v="3467.5"/>
    <n v="12483"/>
  </r>
  <r>
    <x v="0"/>
    <x v="0"/>
    <x v="0"/>
    <x v="0"/>
    <x v="1"/>
    <s v="DK2_Medium"/>
    <x v="8"/>
    <s v="GNR_BO_WOODPEL_E-102"/>
    <x v="0"/>
    <x v="20"/>
    <n v="9.5"/>
    <n v="3467.5"/>
    <n v="12483"/>
  </r>
  <r>
    <x v="0"/>
    <x v="0"/>
    <x v="0"/>
    <x v="0"/>
    <x v="1"/>
    <s v="DK2_Medium"/>
    <x v="8"/>
    <s v="GNR_BO_WOODPEL_E-102"/>
    <x v="0"/>
    <x v="21"/>
    <n v="9.5"/>
    <n v="3467.5"/>
    <n v="12483"/>
  </r>
  <r>
    <x v="0"/>
    <x v="0"/>
    <x v="0"/>
    <x v="0"/>
    <x v="1"/>
    <s v="DK2_Medium"/>
    <x v="8"/>
    <s v="GNR_BO_WOODPEL_E-102"/>
    <x v="0"/>
    <x v="22"/>
    <n v="9.5"/>
    <n v="3467.5"/>
    <n v="12483"/>
  </r>
  <r>
    <x v="0"/>
    <x v="0"/>
    <x v="0"/>
    <x v="0"/>
    <x v="1"/>
    <s v="DK2_Medium"/>
    <x v="8"/>
    <s v="GNR_BO_WOODPEL_E-102"/>
    <x v="0"/>
    <x v="23"/>
    <n v="9.5"/>
    <n v="3467.5"/>
    <n v="12483"/>
  </r>
  <r>
    <x v="0"/>
    <x v="0"/>
    <x v="0"/>
    <x v="0"/>
    <x v="1"/>
    <s v="DK2_Medium"/>
    <x v="9"/>
    <s v="GNR_BO_WOODWST_E-82"/>
    <x v="0"/>
    <x v="0"/>
    <n v="0.7"/>
    <n v="255.5"/>
    <n v="919.8"/>
  </r>
  <r>
    <x v="0"/>
    <x v="0"/>
    <x v="0"/>
    <x v="0"/>
    <x v="1"/>
    <s v="DK2_Medium"/>
    <x v="9"/>
    <s v="GNR_BO_WOODWST_E-82"/>
    <x v="0"/>
    <x v="1"/>
    <n v="0.7"/>
    <n v="255.5"/>
    <n v="919.8"/>
  </r>
  <r>
    <x v="0"/>
    <x v="0"/>
    <x v="0"/>
    <x v="0"/>
    <x v="1"/>
    <s v="DK2_Medium"/>
    <x v="9"/>
    <s v="GNR_BO_WOODWST_E-82"/>
    <x v="0"/>
    <x v="2"/>
    <n v="0.7"/>
    <n v="255.5"/>
    <n v="919.8"/>
  </r>
  <r>
    <x v="0"/>
    <x v="0"/>
    <x v="0"/>
    <x v="0"/>
    <x v="1"/>
    <s v="DK2_Medium"/>
    <x v="9"/>
    <s v="GNR_BO_WOODWST_E-82"/>
    <x v="0"/>
    <x v="3"/>
    <n v="0.7"/>
    <n v="255.5"/>
    <n v="919.8"/>
  </r>
  <r>
    <x v="0"/>
    <x v="0"/>
    <x v="0"/>
    <x v="0"/>
    <x v="1"/>
    <s v="DK2_Medium"/>
    <x v="9"/>
    <s v="GNR_BO_WOODWST_E-82"/>
    <x v="0"/>
    <x v="4"/>
    <n v="0.7"/>
    <n v="255.5"/>
    <n v="919.8"/>
  </r>
  <r>
    <x v="0"/>
    <x v="0"/>
    <x v="0"/>
    <x v="0"/>
    <x v="1"/>
    <s v="DK2_Medium"/>
    <x v="9"/>
    <s v="GNR_BO_WOODWST_E-82"/>
    <x v="0"/>
    <x v="5"/>
    <n v="0.7"/>
    <n v="255.5"/>
    <n v="919.8"/>
  </r>
  <r>
    <x v="0"/>
    <x v="0"/>
    <x v="0"/>
    <x v="0"/>
    <x v="1"/>
    <s v="DK2_Medium"/>
    <x v="9"/>
    <s v="GNR_BO_WOODWST_E-82"/>
    <x v="0"/>
    <x v="6"/>
    <n v="0.7"/>
    <n v="255.5"/>
    <n v="919.8"/>
  </r>
  <r>
    <x v="0"/>
    <x v="0"/>
    <x v="0"/>
    <x v="0"/>
    <x v="1"/>
    <s v="DK2_Medium"/>
    <x v="9"/>
    <s v="GNR_BO_WOODWST_E-82"/>
    <x v="0"/>
    <x v="7"/>
    <n v="0.7"/>
    <n v="255.5"/>
    <n v="919.8"/>
  </r>
  <r>
    <x v="0"/>
    <x v="0"/>
    <x v="0"/>
    <x v="0"/>
    <x v="1"/>
    <s v="DK2_Medium"/>
    <x v="9"/>
    <s v="GNR_BO_WOODWST_E-82"/>
    <x v="0"/>
    <x v="8"/>
    <n v="0.7"/>
    <n v="255.5"/>
    <n v="919.8"/>
  </r>
  <r>
    <x v="0"/>
    <x v="0"/>
    <x v="0"/>
    <x v="0"/>
    <x v="1"/>
    <s v="DK2_Medium"/>
    <x v="9"/>
    <s v="GNR_BO_WOODWST_E-82"/>
    <x v="0"/>
    <x v="9"/>
    <n v="0.7"/>
    <n v="255.5"/>
    <n v="919.8"/>
  </r>
  <r>
    <x v="0"/>
    <x v="0"/>
    <x v="0"/>
    <x v="0"/>
    <x v="1"/>
    <s v="DK2_Medium"/>
    <x v="9"/>
    <s v="GNR_BO_WOODWST_E-82"/>
    <x v="0"/>
    <x v="10"/>
    <n v="0.7"/>
    <n v="255.5"/>
    <n v="919.8"/>
  </r>
  <r>
    <x v="0"/>
    <x v="0"/>
    <x v="0"/>
    <x v="0"/>
    <x v="1"/>
    <s v="DK2_Medium"/>
    <x v="9"/>
    <s v="GNR_BO_WOODWST_E-82"/>
    <x v="0"/>
    <x v="11"/>
    <n v="0.7"/>
    <n v="255.5"/>
    <n v="919.8"/>
  </r>
  <r>
    <x v="0"/>
    <x v="0"/>
    <x v="0"/>
    <x v="0"/>
    <x v="1"/>
    <s v="DK2_Medium"/>
    <x v="9"/>
    <s v="GNR_BO_WOODWST_E-82"/>
    <x v="0"/>
    <x v="12"/>
    <n v="0.7"/>
    <n v="255.5"/>
    <n v="919.8"/>
  </r>
  <r>
    <x v="0"/>
    <x v="0"/>
    <x v="0"/>
    <x v="0"/>
    <x v="1"/>
    <s v="DK2_Medium"/>
    <x v="9"/>
    <s v="GNR_BO_WOODWST_E-82"/>
    <x v="0"/>
    <x v="13"/>
    <n v="0.7"/>
    <n v="255.5"/>
    <n v="919.8"/>
  </r>
  <r>
    <x v="0"/>
    <x v="0"/>
    <x v="0"/>
    <x v="0"/>
    <x v="1"/>
    <s v="DK2_Medium"/>
    <x v="9"/>
    <s v="GNR_BO_WOODWST_E-82"/>
    <x v="0"/>
    <x v="14"/>
    <n v="0.7"/>
    <n v="255.5"/>
    <n v="919.8"/>
  </r>
  <r>
    <x v="0"/>
    <x v="0"/>
    <x v="0"/>
    <x v="0"/>
    <x v="1"/>
    <s v="DK2_Medium"/>
    <x v="9"/>
    <s v="GNR_BO_WOODWST_E-82"/>
    <x v="0"/>
    <x v="15"/>
    <n v="0.7"/>
    <n v="255.5"/>
    <n v="919.8"/>
  </r>
  <r>
    <x v="0"/>
    <x v="0"/>
    <x v="0"/>
    <x v="0"/>
    <x v="1"/>
    <s v="DK2_Medium"/>
    <x v="9"/>
    <s v="GNR_BO_WOODWST_E-82"/>
    <x v="0"/>
    <x v="16"/>
    <n v="0.7"/>
    <n v="255.5"/>
    <n v="919.8"/>
  </r>
  <r>
    <x v="0"/>
    <x v="0"/>
    <x v="0"/>
    <x v="0"/>
    <x v="1"/>
    <s v="DK2_Medium"/>
    <x v="9"/>
    <s v="GNR_BO_WOODWST_E-82"/>
    <x v="0"/>
    <x v="17"/>
    <n v="0.7"/>
    <n v="255.5"/>
    <n v="919.8"/>
  </r>
  <r>
    <x v="0"/>
    <x v="0"/>
    <x v="0"/>
    <x v="0"/>
    <x v="1"/>
    <s v="DK2_Medium"/>
    <x v="9"/>
    <s v="GNR_BO_WOODWST_E-82"/>
    <x v="0"/>
    <x v="18"/>
    <n v="0.7"/>
    <n v="255.5"/>
    <n v="919.8"/>
  </r>
  <r>
    <x v="0"/>
    <x v="0"/>
    <x v="0"/>
    <x v="0"/>
    <x v="1"/>
    <s v="DK2_Medium"/>
    <x v="9"/>
    <s v="GNR_BO_WOODWST_E-82"/>
    <x v="0"/>
    <x v="19"/>
    <n v="0.7"/>
    <n v="255.5"/>
    <n v="919.8"/>
  </r>
  <r>
    <x v="0"/>
    <x v="0"/>
    <x v="0"/>
    <x v="0"/>
    <x v="1"/>
    <s v="DK2_Medium"/>
    <x v="9"/>
    <s v="GNR_BO_WOODWST_E-82"/>
    <x v="0"/>
    <x v="20"/>
    <n v="0.7"/>
    <n v="255.5"/>
    <n v="919.8"/>
  </r>
  <r>
    <x v="0"/>
    <x v="0"/>
    <x v="0"/>
    <x v="0"/>
    <x v="1"/>
    <s v="DK2_Medium"/>
    <x v="9"/>
    <s v="GNR_BO_WOODWST_E-82"/>
    <x v="0"/>
    <x v="21"/>
    <n v="0.7"/>
    <n v="255.5"/>
    <n v="919.8"/>
  </r>
  <r>
    <x v="0"/>
    <x v="0"/>
    <x v="0"/>
    <x v="0"/>
    <x v="1"/>
    <s v="DK2_Medium"/>
    <x v="9"/>
    <s v="GNR_BO_WOODWST_E-82"/>
    <x v="0"/>
    <x v="22"/>
    <n v="0.7"/>
    <n v="255.5"/>
    <n v="919.8"/>
  </r>
  <r>
    <x v="0"/>
    <x v="0"/>
    <x v="0"/>
    <x v="0"/>
    <x v="1"/>
    <s v="DK2_Medium"/>
    <x v="9"/>
    <s v="GNR_BO_WOODWST_E-82"/>
    <x v="0"/>
    <x v="23"/>
    <n v="0.7"/>
    <n v="255.5"/>
    <n v="919.8"/>
  </r>
  <r>
    <x v="0"/>
    <x v="0"/>
    <x v="0"/>
    <x v="0"/>
    <x v="1"/>
    <s v="DK2_NoDH"/>
    <x v="0"/>
    <s v="GNR_ENG_BGAS_BP_E-31"/>
    <x v="0"/>
    <x v="0"/>
    <n v="0.12195121951219499"/>
    <n v="44.512195121951201"/>
    <n v="160.243902439024"/>
  </r>
  <r>
    <x v="0"/>
    <x v="0"/>
    <x v="0"/>
    <x v="0"/>
    <x v="1"/>
    <s v="DK2_NoDH"/>
    <x v="0"/>
    <s v="GNR_ENG_BGAS_BP_E-31"/>
    <x v="0"/>
    <x v="1"/>
    <n v="0.12195121951219499"/>
    <n v="44.512195121951201"/>
    <n v="160.243902439024"/>
  </r>
  <r>
    <x v="0"/>
    <x v="0"/>
    <x v="0"/>
    <x v="0"/>
    <x v="1"/>
    <s v="DK2_NoDH"/>
    <x v="0"/>
    <s v="GNR_ENG_BGAS_BP_E-31"/>
    <x v="0"/>
    <x v="2"/>
    <n v="0.12195121951219499"/>
    <n v="44.512195121951201"/>
    <n v="160.243902439024"/>
  </r>
  <r>
    <x v="0"/>
    <x v="0"/>
    <x v="0"/>
    <x v="0"/>
    <x v="1"/>
    <s v="DK2_NoDH"/>
    <x v="0"/>
    <s v="GNR_ENG_BGAS_BP_E-31"/>
    <x v="0"/>
    <x v="3"/>
    <n v="0.12195121951219499"/>
    <n v="44.512195121951201"/>
    <n v="160.243902439024"/>
  </r>
  <r>
    <x v="0"/>
    <x v="0"/>
    <x v="0"/>
    <x v="0"/>
    <x v="1"/>
    <s v="DK2_NoDH"/>
    <x v="0"/>
    <s v="GNR_ENG_BGAS_BP_E-31"/>
    <x v="0"/>
    <x v="4"/>
    <n v="0.12195121951219499"/>
    <n v="44.512195121951201"/>
    <n v="160.243902439024"/>
  </r>
  <r>
    <x v="0"/>
    <x v="0"/>
    <x v="0"/>
    <x v="0"/>
    <x v="1"/>
    <s v="DK2_NoDH"/>
    <x v="0"/>
    <s v="GNR_ENG_BGAS_BP_E-31"/>
    <x v="0"/>
    <x v="5"/>
    <n v="0.12195121951219499"/>
    <n v="44.512195121951201"/>
    <n v="160.243902439024"/>
  </r>
  <r>
    <x v="0"/>
    <x v="0"/>
    <x v="0"/>
    <x v="0"/>
    <x v="1"/>
    <s v="DK2_NoDH"/>
    <x v="0"/>
    <s v="GNR_ENG_BGAS_BP_E-31"/>
    <x v="0"/>
    <x v="6"/>
    <n v="0.12195121951219499"/>
    <n v="44.512195121951201"/>
    <n v="160.243902439024"/>
  </r>
  <r>
    <x v="0"/>
    <x v="0"/>
    <x v="0"/>
    <x v="0"/>
    <x v="1"/>
    <s v="DK2_NoDH"/>
    <x v="0"/>
    <s v="GNR_ENG_BGAS_BP_E-31"/>
    <x v="0"/>
    <x v="7"/>
    <n v="0.12195121951219499"/>
    <n v="44.512195121951201"/>
    <n v="160.243902439024"/>
  </r>
  <r>
    <x v="0"/>
    <x v="0"/>
    <x v="0"/>
    <x v="0"/>
    <x v="1"/>
    <s v="DK2_NoDH"/>
    <x v="0"/>
    <s v="GNR_ENG_BGAS_BP_E-31"/>
    <x v="0"/>
    <x v="8"/>
    <n v="0.12195121951219499"/>
    <n v="44.512195121951201"/>
    <n v="160.243902439024"/>
  </r>
  <r>
    <x v="0"/>
    <x v="0"/>
    <x v="0"/>
    <x v="0"/>
    <x v="1"/>
    <s v="DK2_NoDH"/>
    <x v="0"/>
    <s v="GNR_ENG_BGAS_BP_E-31"/>
    <x v="0"/>
    <x v="9"/>
    <n v="0.12195121951219499"/>
    <n v="44.512195121951201"/>
    <n v="160.243902439024"/>
  </r>
  <r>
    <x v="0"/>
    <x v="0"/>
    <x v="0"/>
    <x v="0"/>
    <x v="1"/>
    <s v="DK2_NoDH"/>
    <x v="0"/>
    <s v="GNR_ENG_BGAS_BP_E-31"/>
    <x v="0"/>
    <x v="10"/>
    <n v="0.12195121951219499"/>
    <n v="44.512195121951201"/>
    <n v="160.243902439024"/>
  </r>
  <r>
    <x v="0"/>
    <x v="0"/>
    <x v="0"/>
    <x v="0"/>
    <x v="1"/>
    <s v="DK2_NoDH"/>
    <x v="0"/>
    <s v="GNR_ENG_BGAS_BP_E-31"/>
    <x v="0"/>
    <x v="11"/>
    <n v="0.12195121951219499"/>
    <n v="44.512195121951201"/>
    <n v="160.243902439024"/>
  </r>
  <r>
    <x v="0"/>
    <x v="0"/>
    <x v="0"/>
    <x v="0"/>
    <x v="1"/>
    <s v="DK2_NoDH"/>
    <x v="0"/>
    <s v="GNR_ENG_BGAS_BP_E-31"/>
    <x v="0"/>
    <x v="12"/>
    <n v="0.12195121951219499"/>
    <n v="44.512195121951201"/>
    <n v="160.243902439024"/>
  </r>
  <r>
    <x v="0"/>
    <x v="0"/>
    <x v="0"/>
    <x v="0"/>
    <x v="1"/>
    <s v="DK2_NoDH"/>
    <x v="0"/>
    <s v="GNR_ENG_BGAS_BP_E-31"/>
    <x v="0"/>
    <x v="13"/>
    <n v="0.12195121951219499"/>
    <n v="44.512195121951201"/>
    <n v="160.243902439024"/>
  </r>
  <r>
    <x v="0"/>
    <x v="0"/>
    <x v="0"/>
    <x v="0"/>
    <x v="1"/>
    <s v="DK2_NoDH"/>
    <x v="0"/>
    <s v="GNR_ENG_BGAS_BP_E-31"/>
    <x v="0"/>
    <x v="14"/>
    <n v="0.12195121951219499"/>
    <n v="44.512195121951201"/>
    <n v="160.243902439024"/>
  </r>
  <r>
    <x v="0"/>
    <x v="0"/>
    <x v="0"/>
    <x v="0"/>
    <x v="1"/>
    <s v="DK2_NoDH"/>
    <x v="0"/>
    <s v="GNR_ENG_BGAS_BP_E-31"/>
    <x v="0"/>
    <x v="15"/>
    <n v="0.12195121951219499"/>
    <n v="44.512195121951201"/>
    <n v="160.243902439024"/>
  </r>
  <r>
    <x v="0"/>
    <x v="0"/>
    <x v="0"/>
    <x v="0"/>
    <x v="1"/>
    <s v="DK2_NoDH"/>
    <x v="0"/>
    <s v="GNR_ENG_BGAS_BP_E-31"/>
    <x v="0"/>
    <x v="16"/>
    <n v="0.12195121951219499"/>
    <n v="44.512195121951201"/>
    <n v="160.243902439024"/>
  </r>
  <r>
    <x v="0"/>
    <x v="0"/>
    <x v="0"/>
    <x v="0"/>
    <x v="1"/>
    <s v="DK2_NoDH"/>
    <x v="0"/>
    <s v="GNR_ENG_BGAS_BP_E-31"/>
    <x v="0"/>
    <x v="17"/>
    <n v="0.12195121951219499"/>
    <n v="44.512195121951201"/>
    <n v="160.243902439024"/>
  </r>
  <r>
    <x v="0"/>
    <x v="0"/>
    <x v="0"/>
    <x v="0"/>
    <x v="1"/>
    <s v="DK2_NoDH"/>
    <x v="0"/>
    <s v="GNR_ENG_BGAS_BP_E-31"/>
    <x v="0"/>
    <x v="18"/>
    <n v="0.12195121951219499"/>
    <n v="44.512195121951201"/>
    <n v="160.243902439024"/>
  </r>
  <r>
    <x v="0"/>
    <x v="0"/>
    <x v="0"/>
    <x v="0"/>
    <x v="1"/>
    <s v="DK2_NoDH"/>
    <x v="0"/>
    <s v="GNR_ENG_BGAS_BP_E-31"/>
    <x v="0"/>
    <x v="19"/>
    <n v="0.12195121951219499"/>
    <n v="44.512195121951201"/>
    <n v="160.243902439024"/>
  </r>
  <r>
    <x v="0"/>
    <x v="0"/>
    <x v="0"/>
    <x v="0"/>
    <x v="1"/>
    <s v="DK2_NoDH"/>
    <x v="0"/>
    <s v="GNR_ENG_BGAS_BP_E-31"/>
    <x v="0"/>
    <x v="20"/>
    <n v="0.12195121951219499"/>
    <n v="44.512195121951201"/>
    <n v="160.243902439024"/>
  </r>
  <r>
    <x v="0"/>
    <x v="0"/>
    <x v="0"/>
    <x v="0"/>
    <x v="1"/>
    <s v="DK2_NoDH"/>
    <x v="0"/>
    <s v="GNR_ENG_BGAS_BP_E-31"/>
    <x v="0"/>
    <x v="21"/>
    <n v="0.12195121951219499"/>
    <n v="44.512195121951201"/>
    <n v="160.243902439024"/>
  </r>
  <r>
    <x v="0"/>
    <x v="0"/>
    <x v="0"/>
    <x v="0"/>
    <x v="1"/>
    <s v="DK2_NoDH"/>
    <x v="0"/>
    <s v="GNR_ENG_BGAS_BP_E-31"/>
    <x v="0"/>
    <x v="22"/>
    <n v="0.12195121951219499"/>
    <n v="44.512195121951201"/>
    <n v="160.243902439024"/>
  </r>
  <r>
    <x v="0"/>
    <x v="0"/>
    <x v="0"/>
    <x v="0"/>
    <x v="1"/>
    <s v="DK2_NoDH"/>
    <x v="0"/>
    <s v="GNR_ENG_BGAS_BP_E-31"/>
    <x v="0"/>
    <x v="23"/>
    <n v="0.12195121951219499"/>
    <n v="44.512195121951201"/>
    <n v="160.243902439024"/>
  </r>
  <r>
    <x v="0"/>
    <x v="0"/>
    <x v="0"/>
    <x v="0"/>
    <x v="1"/>
    <s v="DK2_NoDH"/>
    <x v="0"/>
    <s v="GNR_ENG_BGAS_BP_E-32"/>
    <x v="0"/>
    <x v="0"/>
    <n v="0.134146341463415"/>
    <n v="48.963414634146297"/>
    <n v="176.26829268292701"/>
  </r>
  <r>
    <x v="0"/>
    <x v="0"/>
    <x v="0"/>
    <x v="0"/>
    <x v="1"/>
    <s v="DK2_NoDH"/>
    <x v="0"/>
    <s v="GNR_ENG_BGAS_BP_E-32"/>
    <x v="0"/>
    <x v="1"/>
    <n v="0.134146341463415"/>
    <n v="48.963414634146297"/>
    <n v="176.26829268292701"/>
  </r>
  <r>
    <x v="0"/>
    <x v="0"/>
    <x v="0"/>
    <x v="0"/>
    <x v="1"/>
    <s v="DK2_NoDH"/>
    <x v="0"/>
    <s v="GNR_ENG_BGAS_BP_E-32"/>
    <x v="0"/>
    <x v="2"/>
    <n v="0.134146341463415"/>
    <n v="48.963414634146297"/>
    <n v="176.26829268292701"/>
  </r>
  <r>
    <x v="0"/>
    <x v="0"/>
    <x v="0"/>
    <x v="0"/>
    <x v="1"/>
    <s v="DK2_NoDH"/>
    <x v="0"/>
    <s v="GNR_ENG_BGAS_BP_E-32"/>
    <x v="0"/>
    <x v="3"/>
    <n v="0.134146341463415"/>
    <n v="48.963414634146297"/>
    <n v="176.26829268292701"/>
  </r>
  <r>
    <x v="0"/>
    <x v="0"/>
    <x v="0"/>
    <x v="0"/>
    <x v="1"/>
    <s v="DK2_NoDH"/>
    <x v="0"/>
    <s v="GNR_ENG_BGAS_BP_E-32"/>
    <x v="0"/>
    <x v="4"/>
    <n v="0.134146341463415"/>
    <n v="48.963414634146297"/>
    <n v="176.26829268292701"/>
  </r>
  <r>
    <x v="0"/>
    <x v="0"/>
    <x v="0"/>
    <x v="0"/>
    <x v="1"/>
    <s v="DK2_NoDH"/>
    <x v="0"/>
    <s v="GNR_ENG_BGAS_BP_E-32"/>
    <x v="0"/>
    <x v="5"/>
    <n v="0.134146341463415"/>
    <n v="48.963414634146297"/>
    <n v="176.26829268292701"/>
  </r>
  <r>
    <x v="0"/>
    <x v="0"/>
    <x v="0"/>
    <x v="0"/>
    <x v="1"/>
    <s v="DK2_NoDH"/>
    <x v="0"/>
    <s v="GNR_ENG_BGAS_BP_E-32"/>
    <x v="0"/>
    <x v="6"/>
    <n v="0.134146341463415"/>
    <n v="48.963414634146297"/>
    <n v="176.26829268292701"/>
  </r>
  <r>
    <x v="0"/>
    <x v="0"/>
    <x v="0"/>
    <x v="0"/>
    <x v="1"/>
    <s v="DK2_NoDH"/>
    <x v="0"/>
    <s v="GNR_ENG_BGAS_BP_E-32"/>
    <x v="0"/>
    <x v="7"/>
    <n v="0.134146341463415"/>
    <n v="48.963414634146297"/>
    <n v="176.26829268292701"/>
  </r>
  <r>
    <x v="0"/>
    <x v="0"/>
    <x v="0"/>
    <x v="0"/>
    <x v="1"/>
    <s v="DK2_NoDH"/>
    <x v="0"/>
    <s v="GNR_ENG_BGAS_BP_E-32"/>
    <x v="0"/>
    <x v="8"/>
    <n v="0.134146341463415"/>
    <n v="48.963414634146297"/>
    <n v="176.26829268292701"/>
  </r>
  <r>
    <x v="0"/>
    <x v="0"/>
    <x v="0"/>
    <x v="0"/>
    <x v="1"/>
    <s v="DK2_NoDH"/>
    <x v="0"/>
    <s v="GNR_ENG_BGAS_BP_E-32"/>
    <x v="0"/>
    <x v="9"/>
    <n v="0.134146341463415"/>
    <n v="48.963414634146297"/>
    <n v="176.26829268292701"/>
  </r>
  <r>
    <x v="0"/>
    <x v="0"/>
    <x v="0"/>
    <x v="0"/>
    <x v="1"/>
    <s v="DK2_NoDH"/>
    <x v="0"/>
    <s v="GNR_ENG_BGAS_BP_E-32"/>
    <x v="0"/>
    <x v="10"/>
    <n v="0.134146341463415"/>
    <n v="48.963414634146297"/>
    <n v="176.26829268292701"/>
  </r>
  <r>
    <x v="0"/>
    <x v="0"/>
    <x v="0"/>
    <x v="0"/>
    <x v="1"/>
    <s v="DK2_NoDH"/>
    <x v="0"/>
    <s v="GNR_ENG_BGAS_BP_E-32"/>
    <x v="0"/>
    <x v="11"/>
    <n v="0.134146341463415"/>
    <n v="48.963414634146297"/>
    <n v="176.26829268292701"/>
  </r>
  <r>
    <x v="0"/>
    <x v="0"/>
    <x v="0"/>
    <x v="0"/>
    <x v="1"/>
    <s v="DK2_NoDH"/>
    <x v="0"/>
    <s v="GNR_ENG_BGAS_BP_E-32"/>
    <x v="0"/>
    <x v="12"/>
    <n v="0.134146341463415"/>
    <n v="48.963414634146297"/>
    <n v="176.26829268292701"/>
  </r>
  <r>
    <x v="0"/>
    <x v="0"/>
    <x v="0"/>
    <x v="0"/>
    <x v="1"/>
    <s v="DK2_NoDH"/>
    <x v="0"/>
    <s v="GNR_ENG_BGAS_BP_E-32"/>
    <x v="0"/>
    <x v="13"/>
    <n v="0.134146341463415"/>
    <n v="48.963414634146297"/>
    <n v="176.26829268292701"/>
  </r>
  <r>
    <x v="0"/>
    <x v="0"/>
    <x v="0"/>
    <x v="0"/>
    <x v="1"/>
    <s v="DK2_NoDH"/>
    <x v="0"/>
    <s v="GNR_ENG_BGAS_BP_E-32"/>
    <x v="0"/>
    <x v="14"/>
    <n v="0.134146341463415"/>
    <n v="48.963414634146297"/>
    <n v="176.26829268292701"/>
  </r>
  <r>
    <x v="0"/>
    <x v="0"/>
    <x v="0"/>
    <x v="0"/>
    <x v="1"/>
    <s v="DK2_NoDH"/>
    <x v="0"/>
    <s v="GNR_ENG_BGAS_BP_E-32"/>
    <x v="0"/>
    <x v="15"/>
    <n v="0.134146341463415"/>
    <n v="48.963414634146297"/>
    <n v="176.26829268292701"/>
  </r>
  <r>
    <x v="0"/>
    <x v="0"/>
    <x v="0"/>
    <x v="0"/>
    <x v="1"/>
    <s v="DK2_NoDH"/>
    <x v="0"/>
    <s v="GNR_ENG_BGAS_BP_E-32"/>
    <x v="0"/>
    <x v="16"/>
    <n v="0.134146341463415"/>
    <n v="48.963414634146297"/>
    <n v="176.26829268292701"/>
  </r>
  <r>
    <x v="0"/>
    <x v="0"/>
    <x v="0"/>
    <x v="0"/>
    <x v="1"/>
    <s v="DK2_NoDH"/>
    <x v="0"/>
    <s v="GNR_ENG_BGAS_BP_E-32"/>
    <x v="0"/>
    <x v="17"/>
    <n v="0.134146341463415"/>
    <n v="48.963414634146297"/>
    <n v="176.26829268292701"/>
  </r>
  <r>
    <x v="0"/>
    <x v="0"/>
    <x v="0"/>
    <x v="0"/>
    <x v="1"/>
    <s v="DK2_NoDH"/>
    <x v="0"/>
    <s v="GNR_ENG_BGAS_BP_E-32"/>
    <x v="0"/>
    <x v="18"/>
    <n v="0.134146341463415"/>
    <n v="48.963414634146297"/>
    <n v="176.26829268292701"/>
  </r>
  <r>
    <x v="0"/>
    <x v="0"/>
    <x v="0"/>
    <x v="0"/>
    <x v="1"/>
    <s v="DK2_NoDH"/>
    <x v="0"/>
    <s v="GNR_ENG_BGAS_BP_E-32"/>
    <x v="0"/>
    <x v="19"/>
    <n v="0.134146341463415"/>
    <n v="48.963414634146297"/>
    <n v="176.26829268292701"/>
  </r>
  <r>
    <x v="0"/>
    <x v="0"/>
    <x v="0"/>
    <x v="0"/>
    <x v="1"/>
    <s v="DK2_NoDH"/>
    <x v="0"/>
    <s v="GNR_ENG_BGAS_BP_E-32"/>
    <x v="0"/>
    <x v="20"/>
    <n v="0.134146341463415"/>
    <n v="48.963414634146297"/>
    <n v="176.26829268292701"/>
  </r>
  <r>
    <x v="0"/>
    <x v="0"/>
    <x v="0"/>
    <x v="0"/>
    <x v="1"/>
    <s v="DK2_NoDH"/>
    <x v="0"/>
    <s v="GNR_ENG_BGAS_BP_E-32"/>
    <x v="0"/>
    <x v="21"/>
    <n v="0.134146341463415"/>
    <n v="48.963414634146297"/>
    <n v="176.26829268292701"/>
  </r>
  <r>
    <x v="0"/>
    <x v="0"/>
    <x v="0"/>
    <x v="0"/>
    <x v="1"/>
    <s v="DK2_NoDH"/>
    <x v="0"/>
    <s v="GNR_ENG_BGAS_BP_E-32"/>
    <x v="0"/>
    <x v="22"/>
    <n v="0.134146341463415"/>
    <n v="48.963414634146297"/>
    <n v="176.26829268292701"/>
  </r>
  <r>
    <x v="0"/>
    <x v="0"/>
    <x v="0"/>
    <x v="0"/>
    <x v="1"/>
    <s v="DK2_NoDH"/>
    <x v="0"/>
    <s v="GNR_ENG_BGAS_BP_E-32"/>
    <x v="0"/>
    <x v="23"/>
    <n v="0.134146341463415"/>
    <n v="48.963414634146297"/>
    <n v="176.26829268292701"/>
  </r>
  <r>
    <x v="0"/>
    <x v="0"/>
    <x v="0"/>
    <x v="0"/>
    <x v="1"/>
    <s v="DK2_NoDH"/>
    <x v="0"/>
    <s v="GNR_ENG_BGAS_BP_E-33"/>
    <x v="0"/>
    <x v="0"/>
    <n v="0.28048780487804897"/>
    <n v="102.378048780488"/>
    <n v="368.56097560975599"/>
  </r>
  <r>
    <x v="0"/>
    <x v="0"/>
    <x v="0"/>
    <x v="0"/>
    <x v="1"/>
    <s v="DK2_NoDH"/>
    <x v="0"/>
    <s v="GNR_ENG_BGAS_BP_E-33"/>
    <x v="0"/>
    <x v="1"/>
    <n v="0.28048780487804897"/>
    <n v="102.378048780488"/>
    <n v="368.56097560975599"/>
  </r>
  <r>
    <x v="0"/>
    <x v="0"/>
    <x v="0"/>
    <x v="0"/>
    <x v="1"/>
    <s v="DK2_NoDH"/>
    <x v="0"/>
    <s v="GNR_ENG_BGAS_BP_E-33"/>
    <x v="0"/>
    <x v="2"/>
    <n v="0.28048780487804897"/>
    <n v="102.378048780488"/>
    <n v="368.56097560975599"/>
  </r>
  <r>
    <x v="0"/>
    <x v="0"/>
    <x v="0"/>
    <x v="0"/>
    <x v="1"/>
    <s v="DK2_NoDH"/>
    <x v="0"/>
    <s v="GNR_ENG_BGAS_BP_E-33"/>
    <x v="0"/>
    <x v="3"/>
    <n v="0.28048780487804897"/>
    <n v="102.378048780488"/>
    <n v="368.56097560975599"/>
  </r>
  <r>
    <x v="0"/>
    <x v="0"/>
    <x v="0"/>
    <x v="0"/>
    <x v="1"/>
    <s v="DK2_NoDH"/>
    <x v="0"/>
    <s v="GNR_ENG_BGAS_BP_E-33"/>
    <x v="0"/>
    <x v="4"/>
    <n v="0.28048780487804897"/>
    <n v="102.378048780488"/>
    <n v="368.56097560975599"/>
  </r>
  <r>
    <x v="0"/>
    <x v="0"/>
    <x v="0"/>
    <x v="0"/>
    <x v="1"/>
    <s v="DK2_NoDH"/>
    <x v="0"/>
    <s v="GNR_ENG_BGAS_BP_E-33"/>
    <x v="0"/>
    <x v="5"/>
    <n v="0.28048780487804897"/>
    <n v="102.378048780488"/>
    <n v="368.56097560975599"/>
  </r>
  <r>
    <x v="0"/>
    <x v="0"/>
    <x v="0"/>
    <x v="0"/>
    <x v="1"/>
    <s v="DK2_NoDH"/>
    <x v="0"/>
    <s v="GNR_ENG_BGAS_BP_E-33"/>
    <x v="0"/>
    <x v="6"/>
    <n v="0.28048780487804897"/>
    <n v="102.378048780488"/>
    <n v="368.56097560975599"/>
  </r>
  <r>
    <x v="0"/>
    <x v="0"/>
    <x v="0"/>
    <x v="0"/>
    <x v="1"/>
    <s v="DK2_NoDH"/>
    <x v="0"/>
    <s v="GNR_ENG_BGAS_BP_E-33"/>
    <x v="0"/>
    <x v="7"/>
    <n v="0.28048780487804897"/>
    <n v="102.378048780488"/>
    <n v="368.56097560975599"/>
  </r>
  <r>
    <x v="0"/>
    <x v="0"/>
    <x v="0"/>
    <x v="0"/>
    <x v="1"/>
    <s v="DK2_NoDH"/>
    <x v="0"/>
    <s v="GNR_ENG_BGAS_BP_E-33"/>
    <x v="0"/>
    <x v="8"/>
    <n v="0.28048780487804897"/>
    <n v="102.378048780488"/>
    <n v="368.56097560975599"/>
  </r>
  <r>
    <x v="0"/>
    <x v="0"/>
    <x v="0"/>
    <x v="0"/>
    <x v="1"/>
    <s v="DK2_NoDH"/>
    <x v="0"/>
    <s v="GNR_ENG_BGAS_BP_E-33"/>
    <x v="0"/>
    <x v="9"/>
    <n v="0.28048780487804897"/>
    <n v="102.378048780488"/>
    <n v="368.56097560975599"/>
  </r>
  <r>
    <x v="0"/>
    <x v="0"/>
    <x v="0"/>
    <x v="0"/>
    <x v="1"/>
    <s v="DK2_NoDH"/>
    <x v="0"/>
    <s v="GNR_ENG_BGAS_BP_E-33"/>
    <x v="0"/>
    <x v="10"/>
    <n v="0.28048780487804897"/>
    <n v="102.378048780488"/>
    <n v="368.56097560975599"/>
  </r>
  <r>
    <x v="0"/>
    <x v="0"/>
    <x v="0"/>
    <x v="0"/>
    <x v="1"/>
    <s v="DK2_NoDH"/>
    <x v="0"/>
    <s v="GNR_ENG_BGAS_BP_E-33"/>
    <x v="0"/>
    <x v="11"/>
    <n v="0.28048780487804897"/>
    <n v="102.378048780488"/>
    <n v="368.56097560975599"/>
  </r>
  <r>
    <x v="0"/>
    <x v="0"/>
    <x v="0"/>
    <x v="0"/>
    <x v="1"/>
    <s v="DK2_NoDH"/>
    <x v="0"/>
    <s v="GNR_ENG_BGAS_BP_E-33"/>
    <x v="0"/>
    <x v="12"/>
    <n v="0.28048780487804897"/>
    <n v="102.378048780488"/>
    <n v="368.56097560975599"/>
  </r>
  <r>
    <x v="0"/>
    <x v="0"/>
    <x v="0"/>
    <x v="0"/>
    <x v="1"/>
    <s v="DK2_NoDH"/>
    <x v="0"/>
    <s v="GNR_ENG_BGAS_BP_E-33"/>
    <x v="0"/>
    <x v="13"/>
    <n v="0.28048780487804897"/>
    <n v="102.378048780488"/>
    <n v="368.56097560975599"/>
  </r>
  <r>
    <x v="0"/>
    <x v="0"/>
    <x v="0"/>
    <x v="0"/>
    <x v="1"/>
    <s v="DK2_NoDH"/>
    <x v="0"/>
    <s v="GNR_ENG_BGAS_BP_E-33"/>
    <x v="0"/>
    <x v="14"/>
    <n v="0.28048780487804897"/>
    <n v="102.378048780488"/>
    <n v="368.56097560975599"/>
  </r>
  <r>
    <x v="0"/>
    <x v="0"/>
    <x v="0"/>
    <x v="0"/>
    <x v="1"/>
    <s v="DK2_NoDH"/>
    <x v="0"/>
    <s v="GNR_ENG_BGAS_BP_E-33"/>
    <x v="0"/>
    <x v="15"/>
    <n v="0.28048780487804897"/>
    <n v="102.378048780488"/>
    <n v="368.56097560975599"/>
  </r>
  <r>
    <x v="0"/>
    <x v="0"/>
    <x v="0"/>
    <x v="0"/>
    <x v="1"/>
    <s v="DK2_NoDH"/>
    <x v="0"/>
    <s v="GNR_ENG_BGAS_BP_E-33"/>
    <x v="0"/>
    <x v="16"/>
    <n v="0.28048780487804897"/>
    <n v="102.378048780488"/>
    <n v="368.56097560975599"/>
  </r>
  <r>
    <x v="0"/>
    <x v="0"/>
    <x v="0"/>
    <x v="0"/>
    <x v="1"/>
    <s v="DK2_NoDH"/>
    <x v="0"/>
    <s v="GNR_ENG_BGAS_BP_E-33"/>
    <x v="0"/>
    <x v="17"/>
    <n v="0.28048780487804897"/>
    <n v="102.378048780488"/>
    <n v="368.56097560975599"/>
  </r>
  <r>
    <x v="0"/>
    <x v="0"/>
    <x v="0"/>
    <x v="0"/>
    <x v="1"/>
    <s v="DK2_NoDH"/>
    <x v="0"/>
    <s v="GNR_ENG_BGAS_BP_E-33"/>
    <x v="0"/>
    <x v="18"/>
    <n v="0.28048780487804897"/>
    <n v="102.378048780488"/>
    <n v="368.56097560975599"/>
  </r>
  <r>
    <x v="0"/>
    <x v="0"/>
    <x v="0"/>
    <x v="0"/>
    <x v="1"/>
    <s v="DK2_NoDH"/>
    <x v="0"/>
    <s v="GNR_ENG_BGAS_BP_E-33"/>
    <x v="0"/>
    <x v="19"/>
    <n v="0.28048780487804897"/>
    <n v="102.378048780488"/>
    <n v="368.56097560975599"/>
  </r>
  <r>
    <x v="0"/>
    <x v="0"/>
    <x v="0"/>
    <x v="0"/>
    <x v="1"/>
    <s v="DK2_NoDH"/>
    <x v="0"/>
    <s v="GNR_ENG_BGAS_BP_E-33"/>
    <x v="0"/>
    <x v="20"/>
    <n v="0.28048780487804897"/>
    <n v="102.378048780488"/>
    <n v="368.56097560975599"/>
  </r>
  <r>
    <x v="0"/>
    <x v="0"/>
    <x v="0"/>
    <x v="0"/>
    <x v="1"/>
    <s v="DK2_NoDH"/>
    <x v="0"/>
    <s v="GNR_ENG_BGAS_BP_E-33"/>
    <x v="0"/>
    <x v="21"/>
    <n v="0.28048780487804897"/>
    <n v="102.378048780488"/>
    <n v="368.56097560975599"/>
  </r>
  <r>
    <x v="0"/>
    <x v="0"/>
    <x v="0"/>
    <x v="0"/>
    <x v="1"/>
    <s v="DK2_NoDH"/>
    <x v="0"/>
    <s v="GNR_ENG_BGAS_BP_E-33"/>
    <x v="0"/>
    <x v="22"/>
    <n v="0.28048780487804897"/>
    <n v="102.378048780488"/>
    <n v="368.56097560975599"/>
  </r>
  <r>
    <x v="0"/>
    <x v="0"/>
    <x v="0"/>
    <x v="0"/>
    <x v="1"/>
    <s v="DK2_NoDH"/>
    <x v="0"/>
    <s v="GNR_ENG_BGAS_BP_E-33"/>
    <x v="0"/>
    <x v="23"/>
    <n v="0.28048780487804897"/>
    <n v="102.378048780488"/>
    <n v="368.56097560975599"/>
  </r>
  <r>
    <x v="0"/>
    <x v="0"/>
    <x v="0"/>
    <x v="0"/>
    <x v="1"/>
    <s v="DK2_NoDH"/>
    <x v="0"/>
    <s v="GNR_ENG_BGAS_BP_E-34"/>
    <x v="0"/>
    <x v="0"/>
    <n v="0.12195121951219499"/>
    <n v="44.512195121951201"/>
    <n v="160.243902439024"/>
  </r>
  <r>
    <x v="0"/>
    <x v="0"/>
    <x v="0"/>
    <x v="0"/>
    <x v="1"/>
    <s v="DK2_NoDH"/>
    <x v="0"/>
    <s v="GNR_ENG_BGAS_BP_E-34"/>
    <x v="0"/>
    <x v="1"/>
    <n v="0.12195121951219499"/>
    <n v="44.512195121951201"/>
    <n v="160.243902439024"/>
  </r>
  <r>
    <x v="0"/>
    <x v="0"/>
    <x v="0"/>
    <x v="0"/>
    <x v="1"/>
    <s v="DK2_NoDH"/>
    <x v="0"/>
    <s v="GNR_ENG_BGAS_BP_E-34"/>
    <x v="0"/>
    <x v="2"/>
    <n v="0.12195121951219499"/>
    <n v="44.512195121951201"/>
    <n v="160.243902439024"/>
  </r>
  <r>
    <x v="0"/>
    <x v="0"/>
    <x v="0"/>
    <x v="0"/>
    <x v="1"/>
    <s v="DK2_NoDH"/>
    <x v="0"/>
    <s v="GNR_ENG_BGAS_BP_E-34"/>
    <x v="0"/>
    <x v="3"/>
    <n v="0.12195121951219499"/>
    <n v="44.512195121951201"/>
    <n v="160.243902439024"/>
  </r>
  <r>
    <x v="0"/>
    <x v="0"/>
    <x v="0"/>
    <x v="0"/>
    <x v="1"/>
    <s v="DK2_NoDH"/>
    <x v="0"/>
    <s v="GNR_ENG_BGAS_BP_E-34"/>
    <x v="0"/>
    <x v="4"/>
    <n v="0.12195121951219499"/>
    <n v="44.512195121951201"/>
    <n v="160.243902439024"/>
  </r>
  <r>
    <x v="0"/>
    <x v="0"/>
    <x v="0"/>
    <x v="0"/>
    <x v="1"/>
    <s v="DK2_NoDH"/>
    <x v="0"/>
    <s v="GNR_ENG_BGAS_BP_E-34"/>
    <x v="0"/>
    <x v="5"/>
    <n v="0.12195121951219499"/>
    <n v="44.512195121951201"/>
    <n v="160.243902439024"/>
  </r>
  <r>
    <x v="0"/>
    <x v="0"/>
    <x v="0"/>
    <x v="0"/>
    <x v="1"/>
    <s v="DK2_NoDH"/>
    <x v="0"/>
    <s v="GNR_ENG_BGAS_BP_E-34"/>
    <x v="0"/>
    <x v="6"/>
    <n v="0.12195121951219499"/>
    <n v="44.512195121951201"/>
    <n v="160.243902439024"/>
  </r>
  <r>
    <x v="0"/>
    <x v="0"/>
    <x v="0"/>
    <x v="0"/>
    <x v="1"/>
    <s v="DK2_NoDH"/>
    <x v="0"/>
    <s v="GNR_ENG_BGAS_BP_E-34"/>
    <x v="0"/>
    <x v="7"/>
    <n v="0.12195121951219499"/>
    <n v="44.512195121951201"/>
    <n v="160.243902439024"/>
  </r>
  <r>
    <x v="0"/>
    <x v="0"/>
    <x v="0"/>
    <x v="0"/>
    <x v="1"/>
    <s v="DK2_NoDH"/>
    <x v="0"/>
    <s v="GNR_ENG_BGAS_BP_E-34"/>
    <x v="0"/>
    <x v="8"/>
    <n v="0.12195121951219499"/>
    <n v="44.512195121951201"/>
    <n v="160.243902439024"/>
  </r>
  <r>
    <x v="0"/>
    <x v="0"/>
    <x v="0"/>
    <x v="0"/>
    <x v="1"/>
    <s v="DK2_NoDH"/>
    <x v="0"/>
    <s v="GNR_ENG_BGAS_BP_E-34"/>
    <x v="0"/>
    <x v="9"/>
    <n v="0.12195121951219499"/>
    <n v="44.512195121951201"/>
    <n v="160.243902439024"/>
  </r>
  <r>
    <x v="0"/>
    <x v="0"/>
    <x v="0"/>
    <x v="0"/>
    <x v="1"/>
    <s v="DK2_NoDH"/>
    <x v="0"/>
    <s v="GNR_ENG_BGAS_BP_E-34"/>
    <x v="0"/>
    <x v="10"/>
    <n v="0.12195121951219499"/>
    <n v="44.512195121951201"/>
    <n v="160.243902439024"/>
  </r>
  <r>
    <x v="0"/>
    <x v="0"/>
    <x v="0"/>
    <x v="0"/>
    <x v="1"/>
    <s v="DK2_NoDH"/>
    <x v="0"/>
    <s v="GNR_ENG_BGAS_BP_E-34"/>
    <x v="0"/>
    <x v="11"/>
    <n v="0.12195121951219499"/>
    <n v="44.512195121951201"/>
    <n v="160.243902439024"/>
  </r>
  <r>
    <x v="0"/>
    <x v="0"/>
    <x v="0"/>
    <x v="0"/>
    <x v="1"/>
    <s v="DK2_NoDH"/>
    <x v="0"/>
    <s v="GNR_ENG_BGAS_BP_E-34"/>
    <x v="0"/>
    <x v="12"/>
    <n v="0.12195121951219499"/>
    <n v="44.512195121951201"/>
    <n v="160.243902439024"/>
  </r>
  <r>
    <x v="0"/>
    <x v="0"/>
    <x v="0"/>
    <x v="0"/>
    <x v="1"/>
    <s v="DK2_NoDH"/>
    <x v="0"/>
    <s v="GNR_ENG_BGAS_BP_E-34"/>
    <x v="0"/>
    <x v="13"/>
    <n v="0.12195121951219499"/>
    <n v="44.512195121951201"/>
    <n v="160.243902439024"/>
  </r>
  <r>
    <x v="0"/>
    <x v="0"/>
    <x v="0"/>
    <x v="0"/>
    <x v="1"/>
    <s v="DK2_NoDH"/>
    <x v="0"/>
    <s v="GNR_ENG_BGAS_BP_E-34"/>
    <x v="0"/>
    <x v="14"/>
    <n v="0.12195121951219499"/>
    <n v="44.512195121951201"/>
    <n v="160.243902439024"/>
  </r>
  <r>
    <x v="0"/>
    <x v="0"/>
    <x v="0"/>
    <x v="0"/>
    <x v="1"/>
    <s v="DK2_NoDH"/>
    <x v="0"/>
    <s v="GNR_ENG_BGAS_BP_E-34"/>
    <x v="0"/>
    <x v="15"/>
    <n v="0.12195121951219499"/>
    <n v="44.512195121951201"/>
    <n v="160.243902439024"/>
  </r>
  <r>
    <x v="0"/>
    <x v="0"/>
    <x v="0"/>
    <x v="0"/>
    <x v="1"/>
    <s v="DK2_NoDH"/>
    <x v="0"/>
    <s v="GNR_ENG_BGAS_BP_E-34"/>
    <x v="0"/>
    <x v="16"/>
    <n v="0.12195121951219499"/>
    <n v="44.512195121951201"/>
    <n v="160.243902439024"/>
  </r>
  <r>
    <x v="0"/>
    <x v="0"/>
    <x v="0"/>
    <x v="0"/>
    <x v="1"/>
    <s v="DK2_NoDH"/>
    <x v="0"/>
    <s v="GNR_ENG_BGAS_BP_E-34"/>
    <x v="0"/>
    <x v="17"/>
    <n v="0.12195121951219499"/>
    <n v="44.512195121951201"/>
    <n v="160.243902439024"/>
  </r>
  <r>
    <x v="0"/>
    <x v="0"/>
    <x v="0"/>
    <x v="0"/>
    <x v="1"/>
    <s v="DK2_NoDH"/>
    <x v="0"/>
    <s v="GNR_ENG_BGAS_BP_E-34"/>
    <x v="0"/>
    <x v="18"/>
    <n v="0.12195121951219499"/>
    <n v="44.512195121951201"/>
    <n v="160.243902439024"/>
  </r>
  <r>
    <x v="0"/>
    <x v="0"/>
    <x v="0"/>
    <x v="0"/>
    <x v="1"/>
    <s v="DK2_NoDH"/>
    <x v="0"/>
    <s v="GNR_ENG_BGAS_BP_E-34"/>
    <x v="0"/>
    <x v="19"/>
    <n v="0.12195121951219499"/>
    <n v="44.512195121951201"/>
    <n v="160.243902439024"/>
  </r>
  <r>
    <x v="0"/>
    <x v="0"/>
    <x v="0"/>
    <x v="0"/>
    <x v="1"/>
    <s v="DK2_NoDH"/>
    <x v="0"/>
    <s v="GNR_ENG_BGAS_BP_E-34"/>
    <x v="0"/>
    <x v="20"/>
    <n v="0.12195121951219499"/>
    <n v="44.512195121951201"/>
    <n v="160.243902439024"/>
  </r>
  <r>
    <x v="0"/>
    <x v="0"/>
    <x v="0"/>
    <x v="0"/>
    <x v="1"/>
    <s v="DK2_NoDH"/>
    <x v="0"/>
    <s v="GNR_ENG_BGAS_BP_E-34"/>
    <x v="0"/>
    <x v="21"/>
    <n v="0.12195121951219499"/>
    <n v="44.512195121951201"/>
    <n v="160.243902439024"/>
  </r>
  <r>
    <x v="0"/>
    <x v="0"/>
    <x v="0"/>
    <x v="0"/>
    <x v="1"/>
    <s v="DK2_NoDH"/>
    <x v="0"/>
    <s v="GNR_ENG_BGAS_BP_E-34"/>
    <x v="0"/>
    <x v="22"/>
    <n v="0.12195121951219499"/>
    <n v="44.512195121951201"/>
    <n v="160.243902439024"/>
  </r>
  <r>
    <x v="0"/>
    <x v="0"/>
    <x v="0"/>
    <x v="0"/>
    <x v="1"/>
    <s v="DK2_NoDH"/>
    <x v="0"/>
    <s v="GNR_ENG_BGAS_BP_E-34"/>
    <x v="0"/>
    <x v="23"/>
    <n v="0.12195121951219499"/>
    <n v="44.512195121951201"/>
    <n v="160.243902439024"/>
  </r>
  <r>
    <x v="0"/>
    <x v="0"/>
    <x v="0"/>
    <x v="0"/>
    <x v="1"/>
    <s v="DK2_NoDH"/>
    <x v="0"/>
    <s v="GNR_ENG_BGAS_BP_E-35"/>
    <x v="0"/>
    <x v="0"/>
    <n v="0.26829268292682901"/>
    <n v="97.926829268292707"/>
    <n v="352.53658536585402"/>
  </r>
  <r>
    <x v="0"/>
    <x v="0"/>
    <x v="0"/>
    <x v="0"/>
    <x v="1"/>
    <s v="DK2_NoDH"/>
    <x v="0"/>
    <s v="GNR_ENG_BGAS_BP_E-35"/>
    <x v="0"/>
    <x v="1"/>
    <n v="0.26829268292682901"/>
    <n v="97.926829268292707"/>
    <n v="352.53658536585402"/>
  </r>
  <r>
    <x v="0"/>
    <x v="0"/>
    <x v="0"/>
    <x v="0"/>
    <x v="1"/>
    <s v="DK2_NoDH"/>
    <x v="0"/>
    <s v="GNR_ENG_BGAS_BP_E-35"/>
    <x v="0"/>
    <x v="2"/>
    <n v="0.26829268292682901"/>
    <n v="97.926829268292707"/>
    <n v="352.53658536585402"/>
  </r>
  <r>
    <x v="0"/>
    <x v="0"/>
    <x v="0"/>
    <x v="0"/>
    <x v="1"/>
    <s v="DK2_NoDH"/>
    <x v="0"/>
    <s v="GNR_ENG_BGAS_BP_E-35"/>
    <x v="0"/>
    <x v="3"/>
    <n v="0.26829268292682901"/>
    <n v="97.926829268292707"/>
    <n v="352.53658536585402"/>
  </r>
  <r>
    <x v="0"/>
    <x v="0"/>
    <x v="0"/>
    <x v="0"/>
    <x v="1"/>
    <s v="DK2_NoDH"/>
    <x v="0"/>
    <s v="GNR_ENG_BGAS_BP_E-35"/>
    <x v="0"/>
    <x v="4"/>
    <n v="0.26829268292682901"/>
    <n v="97.926829268292707"/>
    <n v="352.53658536585402"/>
  </r>
  <r>
    <x v="0"/>
    <x v="0"/>
    <x v="0"/>
    <x v="0"/>
    <x v="1"/>
    <s v="DK2_NoDH"/>
    <x v="0"/>
    <s v="GNR_ENG_BGAS_BP_E-35"/>
    <x v="0"/>
    <x v="5"/>
    <n v="0.26829268292682901"/>
    <n v="97.926829268292707"/>
    <n v="352.53658536585402"/>
  </r>
  <r>
    <x v="0"/>
    <x v="0"/>
    <x v="0"/>
    <x v="0"/>
    <x v="1"/>
    <s v="DK2_NoDH"/>
    <x v="0"/>
    <s v="GNR_ENG_BGAS_BP_E-35"/>
    <x v="0"/>
    <x v="6"/>
    <n v="0.26829268292682901"/>
    <n v="97.926829268292707"/>
    <n v="352.53658536585402"/>
  </r>
  <r>
    <x v="0"/>
    <x v="0"/>
    <x v="0"/>
    <x v="0"/>
    <x v="1"/>
    <s v="DK2_NoDH"/>
    <x v="0"/>
    <s v="GNR_ENG_BGAS_BP_E-35"/>
    <x v="0"/>
    <x v="7"/>
    <n v="0.26829268292682901"/>
    <n v="97.926829268292707"/>
    <n v="352.53658536585402"/>
  </r>
  <r>
    <x v="0"/>
    <x v="0"/>
    <x v="0"/>
    <x v="0"/>
    <x v="1"/>
    <s v="DK2_NoDH"/>
    <x v="0"/>
    <s v="GNR_ENG_BGAS_BP_E-35"/>
    <x v="0"/>
    <x v="8"/>
    <n v="0.26829268292682901"/>
    <n v="97.926829268292707"/>
    <n v="352.53658536585402"/>
  </r>
  <r>
    <x v="0"/>
    <x v="0"/>
    <x v="0"/>
    <x v="0"/>
    <x v="1"/>
    <s v="DK2_NoDH"/>
    <x v="0"/>
    <s v="GNR_ENG_BGAS_BP_E-35"/>
    <x v="0"/>
    <x v="9"/>
    <n v="0.26829268292682901"/>
    <n v="97.926829268292707"/>
    <n v="352.53658536585402"/>
  </r>
  <r>
    <x v="0"/>
    <x v="0"/>
    <x v="0"/>
    <x v="0"/>
    <x v="1"/>
    <s v="DK2_NoDH"/>
    <x v="0"/>
    <s v="GNR_ENG_BGAS_BP_E-35"/>
    <x v="0"/>
    <x v="10"/>
    <n v="0.26829268292682901"/>
    <n v="97.926829268292707"/>
    <n v="352.53658536585402"/>
  </r>
  <r>
    <x v="0"/>
    <x v="0"/>
    <x v="0"/>
    <x v="0"/>
    <x v="1"/>
    <s v="DK2_NoDH"/>
    <x v="0"/>
    <s v="GNR_ENG_BGAS_BP_E-35"/>
    <x v="0"/>
    <x v="11"/>
    <n v="0.26829268292682901"/>
    <n v="97.926829268292707"/>
    <n v="352.53658536585402"/>
  </r>
  <r>
    <x v="0"/>
    <x v="0"/>
    <x v="0"/>
    <x v="0"/>
    <x v="1"/>
    <s v="DK2_NoDH"/>
    <x v="0"/>
    <s v="GNR_ENG_BGAS_BP_E-35"/>
    <x v="0"/>
    <x v="12"/>
    <n v="0.26829268292682901"/>
    <n v="97.926829268292707"/>
    <n v="352.53658536585402"/>
  </r>
  <r>
    <x v="0"/>
    <x v="0"/>
    <x v="0"/>
    <x v="0"/>
    <x v="1"/>
    <s v="DK2_NoDH"/>
    <x v="0"/>
    <s v="GNR_ENG_BGAS_BP_E-35"/>
    <x v="0"/>
    <x v="13"/>
    <n v="0.26829268292682901"/>
    <n v="97.926829268292707"/>
    <n v="352.53658536585402"/>
  </r>
  <r>
    <x v="0"/>
    <x v="0"/>
    <x v="0"/>
    <x v="0"/>
    <x v="1"/>
    <s v="DK2_NoDH"/>
    <x v="0"/>
    <s v="GNR_ENG_BGAS_BP_E-35"/>
    <x v="0"/>
    <x v="14"/>
    <n v="0.26829268292682901"/>
    <n v="97.926829268292707"/>
    <n v="352.53658536585402"/>
  </r>
  <r>
    <x v="0"/>
    <x v="0"/>
    <x v="0"/>
    <x v="0"/>
    <x v="1"/>
    <s v="DK2_NoDH"/>
    <x v="0"/>
    <s v="GNR_ENG_BGAS_BP_E-35"/>
    <x v="0"/>
    <x v="15"/>
    <n v="0.26829268292682901"/>
    <n v="97.926829268292707"/>
    <n v="352.53658536585402"/>
  </r>
  <r>
    <x v="0"/>
    <x v="0"/>
    <x v="0"/>
    <x v="0"/>
    <x v="1"/>
    <s v="DK2_NoDH"/>
    <x v="0"/>
    <s v="GNR_ENG_BGAS_BP_E-35"/>
    <x v="0"/>
    <x v="16"/>
    <n v="0.26829268292682901"/>
    <n v="97.926829268292707"/>
    <n v="352.53658536585402"/>
  </r>
  <r>
    <x v="0"/>
    <x v="0"/>
    <x v="0"/>
    <x v="0"/>
    <x v="1"/>
    <s v="DK2_NoDH"/>
    <x v="0"/>
    <s v="GNR_ENG_BGAS_BP_E-35"/>
    <x v="0"/>
    <x v="17"/>
    <n v="0.26829268292682901"/>
    <n v="97.926829268292707"/>
    <n v="352.53658536585402"/>
  </r>
  <r>
    <x v="0"/>
    <x v="0"/>
    <x v="0"/>
    <x v="0"/>
    <x v="1"/>
    <s v="DK2_NoDH"/>
    <x v="0"/>
    <s v="GNR_ENG_BGAS_BP_E-35"/>
    <x v="0"/>
    <x v="18"/>
    <n v="0.26829268292682901"/>
    <n v="97.926829268292707"/>
    <n v="352.53658536585402"/>
  </r>
  <r>
    <x v="0"/>
    <x v="0"/>
    <x v="0"/>
    <x v="0"/>
    <x v="1"/>
    <s v="DK2_NoDH"/>
    <x v="0"/>
    <s v="GNR_ENG_BGAS_BP_E-35"/>
    <x v="0"/>
    <x v="19"/>
    <n v="0.26829268292682901"/>
    <n v="97.926829268292707"/>
    <n v="352.53658536585402"/>
  </r>
  <r>
    <x v="0"/>
    <x v="0"/>
    <x v="0"/>
    <x v="0"/>
    <x v="1"/>
    <s v="DK2_NoDH"/>
    <x v="0"/>
    <s v="GNR_ENG_BGAS_BP_E-35"/>
    <x v="0"/>
    <x v="20"/>
    <n v="0.26829268292682901"/>
    <n v="97.926829268292707"/>
    <n v="352.53658536585402"/>
  </r>
  <r>
    <x v="0"/>
    <x v="0"/>
    <x v="0"/>
    <x v="0"/>
    <x v="1"/>
    <s v="DK2_NoDH"/>
    <x v="0"/>
    <s v="GNR_ENG_BGAS_BP_E-35"/>
    <x v="0"/>
    <x v="21"/>
    <n v="0.26829268292682901"/>
    <n v="97.926829268292707"/>
    <n v="352.53658536585402"/>
  </r>
  <r>
    <x v="0"/>
    <x v="0"/>
    <x v="0"/>
    <x v="0"/>
    <x v="1"/>
    <s v="DK2_NoDH"/>
    <x v="0"/>
    <s v="GNR_ENG_BGAS_BP_E-35"/>
    <x v="0"/>
    <x v="22"/>
    <n v="0.26829268292682901"/>
    <n v="97.926829268292707"/>
    <n v="352.53658536585402"/>
  </r>
  <r>
    <x v="0"/>
    <x v="0"/>
    <x v="0"/>
    <x v="0"/>
    <x v="1"/>
    <s v="DK2_NoDH"/>
    <x v="0"/>
    <s v="GNR_ENG_BGAS_BP_E-35"/>
    <x v="0"/>
    <x v="23"/>
    <n v="0.26829268292682901"/>
    <n v="97.926829268292707"/>
    <n v="352.53658536585402"/>
  </r>
  <r>
    <x v="0"/>
    <x v="0"/>
    <x v="0"/>
    <x v="0"/>
    <x v="1"/>
    <s v="DK2_NoDH"/>
    <x v="0"/>
    <s v="GNR_ENG_BGAS_BP_E-36"/>
    <x v="0"/>
    <x v="0"/>
    <n v="7.6829268292682898E-2"/>
    <n v="28.042682926829301"/>
    <n v="100.953658536585"/>
  </r>
  <r>
    <x v="0"/>
    <x v="0"/>
    <x v="0"/>
    <x v="0"/>
    <x v="1"/>
    <s v="DK2_NoDH"/>
    <x v="0"/>
    <s v="GNR_ENG_BGAS_BP_E-36"/>
    <x v="0"/>
    <x v="1"/>
    <n v="7.6829268292682898E-2"/>
    <n v="28.042682926829301"/>
    <n v="100.953658536585"/>
  </r>
  <r>
    <x v="0"/>
    <x v="0"/>
    <x v="0"/>
    <x v="0"/>
    <x v="1"/>
    <s v="DK2_NoDH"/>
    <x v="0"/>
    <s v="GNR_ENG_BGAS_BP_E-36"/>
    <x v="0"/>
    <x v="2"/>
    <n v="7.6829268292682898E-2"/>
    <n v="28.042682926829301"/>
    <n v="100.953658536585"/>
  </r>
  <r>
    <x v="0"/>
    <x v="0"/>
    <x v="0"/>
    <x v="0"/>
    <x v="1"/>
    <s v="DK2_NoDH"/>
    <x v="0"/>
    <s v="GNR_ENG_BGAS_BP_E-36"/>
    <x v="0"/>
    <x v="3"/>
    <n v="7.6829268292682898E-2"/>
    <n v="28.042682926829301"/>
    <n v="100.953658536585"/>
  </r>
  <r>
    <x v="0"/>
    <x v="0"/>
    <x v="0"/>
    <x v="0"/>
    <x v="1"/>
    <s v="DK2_NoDH"/>
    <x v="0"/>
    <s v="GNR_ENG_BGAS_BP_E-36"/>
    <x v="0"/>
    <x v="4"/>
    <n v="7.6829268292682898E-2"/>
    <n v="28.042682926829301"/>
    <n v="100.953658536585"/>
  </r>
  <r>
    <x v="0"/>
    <x v="0"/>
    <x v="0"/>
    <x v="0"/>
    <x v="1"/>
    <s v="DK2_NoDH"/>
    <x v="0"/>
    <s v="GNR_ENG_BGAS_BP_E-36"/>
    <x v="0"/>
    <x v="5"/>
    <n v="7.6829268292682898E-2"/>
    <n v="28.042682926829301"/>
    <n v="100.953658536585"/>
  </r>
  <r>
    <x v="0"/>
    <x v="0"/>
    <x v="0"/>
    <x v="0"/>
    <x v="1"/>
    <s v="DK2_NoDH"/>
    <x v="0"/>
    <s v="GNR_ENG_BGAS_BP_E-36"/>
    <x v="0"/>
    <x v="6"/>
    <n v="7.6829268292682898E-2"/>
    <n v="28.042682926829301"/>
    <n v="100.953658536585"/>
  </r>
  <r>
    <x v="0"/>
    <x v="0"/>
    <x v="0"/>
    <x v="0"/>
    <x v="1"/>
    <s v="DK2_NoDH"/>
    <x v="0"/>
    <s v="GNR_ENG_BGAS_BP_E-36"/>
    <x v="0"/>
    <x v="7"/>
    <n v="7.6829268292682898E-2"/>
    <n v="28.042682926829301"/>
    <n v="100.953658536585"/>
  </r>
  <r>
    <x v="0"/>
    <x v="0"/>
    <x v="0"/>
    <x v="0"/>
    <x v="1"/>
    <s v="DK2_NoDH"/>
    <x v="0"/>
    <s v="GNR_ENG_BGAS_BP_E-36"/>
    <x v="0"/>
    <x v="8"/>
    <n v="7.6829268292682898E-2"/>
    <n v="28.042682926829301"/>
    <n v="100.953658536585"/>
  </r>
  <r>
    <x v="0"/>
    <x v="0"/>
    <x v="0"/>
    <x v="0"/>
    <x v="1"/>
    <s v="DK2_NoDH"/>
    <x v="0"/>
    <s v="GNR_ENG_BGAS_BP_E-36"/>
    <x v="0"/>
    <x v="9"/>
    <n v="7.6829268292682898E-2"/>
    <n v="28.042682926829301"/>
    <n v="100.953658536585"/>
  </r>
  <r>
    <x v="0"/>
    <x v="0"/>
    <x v="0"/>
    <x v="0"/>
    <x v="1"/>
    <s v="DK2_NoDH"/>
    <x v="0"/>
    <s v="GNR_ENG_BGAS_BP_E-36"/>
    <x v="0"/>
    <x v="10"/>
    <n v="7.6829268292682898E-2"/>
    <n v="28.042682926829301"/>
    <n v="100.953658536585"/>
  </r>
  <r>
    <x v="0"/>
    <x v="0"/>
    <x v="0"/>
    <x v="0"/>
    <x v="1"/>
    <s v="DK2_NoDH"/>
    <x v="0"/>
    <s v="GNR_ENG_BGAS_BP_E-36"/>
    <x v="0"/>
    <x v="11"/>
    <n v="7.6829268292682898E-2"/>
    <n v="28.042682926829301"/>
    <n v="100.953658536585"/>
  </r>
  <r>
    <x v="0"/>
    <x v="0"/>
    <x v="0"/>
    <x v="0"/>
    <x v="1"/>
    <s v="DK2_NoDH"/>
    <x v="0"/>
    <s v="GNR_ENG_BGAS_BP_E-36"/>
    <x v="0"/>
    <x v="12"/>
    <n v="7.6829268292682898E-2"/>
    <n v="28.042682926829301"/>
    <n v="100.953658536585"/>
  </r>
  <r>
    <x v="0"/>
    <x v="0"/>
    <x v="0"/>
    <x v="0"/>
    <x v="1"/>
    <s v="DK2_NoDH"/>
    <x v="0"/>
    <s v="GNR_ENG_BGAS_BP_E-36"/>
    <x v="0"/>
    <x v="13"/>
    <n v="7.6829268292682898E-2"/>
    <n v="28.042682926829301"/>
    <n v="100.953658536585"/>
  </r>
  <r>
    <x v="0"/>
    <x v="0"/>
    <x v="0"/>
    <x v="0"/>
    <x v="1"/>
    <s v="DK2_NoDH"/>
    <x v="0"/>
    <s v="GNR_ENG_BGAS_BP_E-36"/>
    <x v="0"/>
    <x v="14"/>
    <n v="7.6829268292682898E-2"/>
    <n v="28.042682926829301"/>
    <n v="100.953658536585"/>
  </r>
  <r>
    <x v="0"/>
    <x v="0"/>
    <x v="0"/>
    <x v="0"/>
    <x v="1"/>
    <s v="DK2_NoDH"/>
    <x v="0"/>
    <s v="GNR_ENG_BGAS_BP_E-36"/>
    <x v="0"/>
    <x v="15"/>
    <n v="7.6829268292682898E-2"/>
    <n v="28.042682926829301"/>
    <n v="100.953658536585"/>
  </r>
  <r>
    <x v="0"/>
    <x v="0"/>
    <x v="0"/>
    <x v="0"/>
    <x v="1"/>
    <s v="DK2_NoDH"/>
    <x v="0"/>
    <s v="GNR_ENG_BGAS_BP_E-36"/>
    <x v="0"/>
    <x v="16"/>
    <n v="7.6829268292682898E-2"/>
    <n v="28.042682926829301"/>
    <n v="100.953658536585"/>
  </r>
  <r>
    <x v="0"/>
    <x v="0"/>
    <x v="0"/>
    <x v="0"/>
    <x v="1"/>
    <s v="DK2_NoDH"/>
    <x v="0"/>
    <s v="GNR_ENG_BGAS_BP_E-36"/>
    <x v="0"/>
    <x v="17"/>
    <n v="7.6829268292682898E-2"/>
    <n v="28.042682926829301"/>
    <n v="100.953658536585"/>
  </r>
  <r>
    <x v="0"/>
    <x v="0"/>
    <x v="0"/>
    <x v="0"/>
    <x v="1"/>
    <s v="DK2_NoDH"/>
    <x v="0"/>
    <s v="GNR_ENG_BGAS_BP_E-36"/>
    <x v="0"/>
    <x v="18"/>
    <n v="7.6829268292682898E-2"/>
    <n v="28.042682926829301"/>
    <n v="100.953658536585"/>
  </r>
  <r>
    <x v="0"/>
    <x v="0"/>
    <x v="0"/>
    <x v="0"/>
    <x v="1"/>
    <s v="DK2_NoDH"/>
    <x v="0"/>
    <s v="GNR_ENG_BGAS_BP_E-36"/>
    <x v="0"/>
    <x v="19"/>
    <n v="7.6829268292682898E-2"/>
    <n v="28.042682926829301"/>
    <n v="100.953658536585"/>
  </r>
  <r>
    <x v="0"/>
    <x v="0"/>
    <x v="0"/>
    <x v="0"/>
    <x v="1"/>
    <s v="DK2_NoDH"/>
    <x v="0"/>
    <s v="GNR_ENG_BGAS_BP_E-36"/>
    <x v="0"/>
    <x v="20"/>
    <n v="7.6829268292682898E-2"/>
    <n v="28.042682926829301"/>
    <n v="100.953658536585"/>
  </r>
  <r>
    <x v="0"/>
    <x v="0"/>
    <x v="0"/>
    <x v="0"/>
    <x v="1"/>
    <s v="DK2_NoDH"/>
    <x v="0"/>
    <s v="GNR_ENG_BGAS_BP_E-36"/>
    <x v="0"/>
    <x v="21"/>
    <n v="7.6829268292682898E-2"/>
    <n v="28.042682926829301"/>
    <n v="100.953658536585"/>
  </r>
  <r>
    <x v="0"/>
    <x v="0"/>
    <x v="0"/>
    <x v="0"/>
    <x v="1"/>
    <s v="DK2_NoDH"/>
    <x v="0"/>
    <s v="GNR_ENG_BGAS_BP_E-36"/>
    <x v="0"/>
    <x v="22"/>
    <n v="7.6829268292682898E-2"/>
    <n v="28.042682926829301"/>
    <n v="100.953658536585"/>
  </r>
  <r>
    <x v="0"/>
    <x v="0"/>
    <x v="0"/>
    <x v="0"/>
    <x v="1"/>
    <s v="DK2_NoDH"/>
    <x v="0"/>
    <s v="GNR_ENG_BGAS_BP_E-36"/>
    <x v="0"/>
    <x v="23"/>
    <n v="7.6829268292682898E-2"/>
    <n v="28.042682926829301"/>
    <n v="100.953658536585"/>
  </r>
  <r>
    <x v="0"/>
    <x v="0"/>
    <x v="0"/>
    <x v="0"/>
    <x v="1"/>
    <s v="DK2_NoDH"/>
    <x v="0"/>
    <s v="GNR_ENG_BGAS_BP_E-37"/>
    <x v="0"/>
    <x v="0"/>
    <n v="0.12195121951219499"/>
    <n v="44.512195121951201"/>
    <n v="160.243902439024"/>
  </r>
  <r>
    <x v="0"/>
    <x v="0"/>
    <x v="0"/>
    <x v="0"/>
    <x v="1"/>
    <s v="DK2_NoDH"/>
    <x v="0"/>
    <s v="GNR_ENG_BGAS_BP_E-37"/>
    <x v="0"/>
    <x v="1"/>
    <n v="0.12195121951219499"/>
    <n v="44.512195121951201"/>
    <n v="160.243902439024"/>
  </r>
  <r>
    <x v="0"/>
    <x v="0"/>
    <x v="0"/>
    <x v="0"/>
    <x v="1"/>
    <s v="DK2_NoDH"/>
    <x v="0"/>
    <s v="GNR_ENG_BGAS_BP_E-37"/>
    <x v="0"/>
    <x v="2"/>
    <n v="0.12195121951219499"/>
    <n v="44.512195121951201"/>
    <n v="160.243902439024"/>
  </r>
  <r>
    <x v="0"/>
    <x v="0"/>
    <x v="0"/>
    <x v="0"/>
    <x v="1"/>
    <s v="DK2_NoDH"/>
    <x v="0"/>
    <s v="GNR_ENG_BGAS_BP_E-37"/>
    <x v="0"/>
    <x v="3"/>
    <n v="0.12195121951219499"/>
    <n v="44.512195121951201"/>
    <n v="160.243902439024"/>
  </r>
  <r>
    <x v="0"/>
    <x v="0"/>
    <x v="0"/>
    <x v="0"/>
    <x v="1"/>
    <s v="DK2_NoDH"/>
    <x v="0"/>
    <s v="GNR_ENG_BGAS_BP_E-37"/>
    <x v="0"/>
    <x v="4"/>
    <n v="0.12195121951219499"/>
    <n v="44.512195121951201"/>
    <n v="160.243902439024"/>
  </r>
  <r>
    <x v="0"/>
    <x v="0"/>
    <x v="0"/>
    <x v="0"/>
    <x v="1"/>
    <s v="DK2_NoDH"/>
    <x v="0"/>
    <s v="GNR_ENG_BGAS_BP_E-37"/>
    <x v="0"/>
    <x v="5"/>
    <n v="0.12195121951219499"/>
    <n v="44.512195121951201"/>
    <n v="160.243902439024"/>
  </r>
  <r>
    <x v="0"/>
    <x v="0"/>
    <x v="0"/>
    <x v="0"/>
    <x v="1"/>
    <s v="DK2_NoDH"/>
    <x v="0"/>
    <s v="GNR_ENG_BGAS_BP_E-37"/>
    <x v="0"/>
    <x v="6"/>
    <n v="0.12195121951219499"/>
    <n v="44.512195121951201"/>
    <n v="160.243902439024"/>
  </r>
  <r>
    <x v="0"/>
    <x v="0"/>
    <x v="0"/>
    <x v="0"/>
    <x v="1"/>
    <s v="DK2_NoDH"/>
    <x v="0"/>
    <s v="GNR_ENG_BGAS_BP_E-37"/>
    <x v="0"/>
    <x v="7"/>
    <n v="0.12195121951219499"/>
    <n v="44.512195121951201"/>
    <n v="160.243902439024"/>
  </r>
  <r>
    <x v="0"/>
    <x v="0"/>
    <x v="0"/>
    <x v="0"/>
    <x v="1"/>
    <s v="DK2_NoDH"/>
    <x v="0"/>
    <s v="GNR_ENG_BGAS_BP_E-37"/>
    <x v="0"/>
    <x v="8"/>
    <n v="0.12195121951219499"/>
    <n v="44.512195121951201"/>
    <n v="160.243902439024"/>
  </r>
  <r>
    <x v="0"/>
    <x v="0"/>
    <x v="0"/>
    <x v="0"/>
    <x v="1"/>
    <s v="DK2_NoDH"/>
    <x v="0"/>
    <s v="GNR_ENG_BGAS_BP_E-37"/>
    <x v="0"/>
    <x v="9"/>
    <n v="0.12195121951219499"/>
    <n v="44.512195121951201"/>
    <n v="160.243902439024"/>
  </r>
  <r>
    <x v="0"/>
    <x v="0"/>
    <x v="0"/>
    <x v="0"/>
    <x v="1"/>
    <s v="DK2_NoDH"/>
    <x v="0"/>
    <s v="GNR_ENG_BGAS_BP_E-37"/>
    <x v="0"/>
    <x v="10"/>
    <n v="0.12195121951219499"/>
    <n v="44.512195121951201"/>
    <n v="160.243902439024"/>
  </r>
  <r>
    <x v="0"/>
    <x v="0"/>
    <x v="0"/>
    <x v="0"/>
    <x v="1"/>
    <s v="DK2_NoDH"/>
    <x v="0"/>
    <s v="GNR_ENG_BGAS_BP_E-37"/>
    <x v="0"/>
    <x v="11"/>
    <n v="0.12195121951219499"/>
    <n v="44.512195121951201"/>
    <n v="160.243902439024"/>
  </r>
  <r>
    <x v="0"/>
    <x v="0"/>
    <x v="0"/>
    <x v="0"/>
    <x v="1"/>
    <s v="DK2_NoDH"/>
    <x v="0"/>
    <s v="GNR_ENG_BGAS_BP_E-37"/>
    <x v="0"/>
    <x v="12"/>
    <n v="0.12195121951219499"/>
    <n v="44.512195121951201"/>
    <n v="160.243902439024"/>
  </r>
  <r>
    <x v="0"/>
    <x v="0"/>
    <x v="0"/>
    <x v="0"/>
    <x v="1"/>
    <s v="DK2_NoDH"/>
    <x v="0"/>
    <s v="GNR_ENG_BGAS_BP_E-37"/>
    <x v="0"/>
    <x v="13"/>
    <n v="0.12195121951219499"/>
    <n v="44.512195121951201"/>
    <n v="160.243902439024"/>
  </r>
  <r>
    <x v="0"/>
    <x v="0"/>
    <x v="0"/>
    <x v="0"/>
    <x v="1"/>
    <s v="DK2_NoDH"/>
    <x v="0"/>
    <s v="GNR_ENG_BGAS_BP_E-37"/>
    <x v="0"/>
    <x v="14"/>
    <n v="0.12195121951219499"/>
    <n v="44.512195121951201"/>
    <n v="160.243902439024"/>
  </r>
  <r>
    <x v="0"/>
    <x v="0"/>
    <x v="0"/>
    <x v="0"/>
    <x v="1"/>
    <s v="DK2_NoDH"/>
    <x v="0"/>
    <s v="GNR_ENG_BGAS_BP_E-37"/>
    <x v="0"/>
    <x v="15"/>
    <n v="0.12195121951219499"/>
    <n v="44.512195121951201"/>
    <n v="160.243902439024"/>
  </r>
  <r>
    <x v="0"/>
    <x v="0"/>
    <x v="0"/>
    <x v="0"/>
    <x v="1"/>
    <s v="DK2_NoDH"/>
    <x v="0"/>
    <s v="GNR_ENG_BGAS_BP_E-37"/>
    <x v="0"/>
    <x v="16"/>
    <n v="0.12195121951219499"/>
    <n v="44.512195121951201"/>
    <n v="160.243902439024"/>
  </r>
  <r>
    <x v="0"/>
    <x v="0"/>
    <x v="0"/>
    <x v="0"/>
    <x v="1"/>
    <s v="DK2_NoDH"/>
    <x v="0"/>
    <s v="GNR_ENG_BGAS_BP_E-37"/>
    <x v="0"/>
    <x v="17"/>
    <n v="0.12195121951219499"/>
    <n v="44.512195121951201"/>
    <n v="160.243902439024"/>
  </r>
  <r>
    <x v="0"/>
    <x v="0"/>
    <x v="0"/>
    <x v="0"/>
    <x v="1"/>
    <s v="DK2_NoDH"/>
    <x v="0"/>
    <s v="GNR_ENG_BGAS_BP_E-37"/>
    <x v="0"/>
    <x v="18"/>
    <n v="0.12195121951219499"/>
    <n v="44.512195121951201"/>
    <n v="160.243902439024"/>
  </r>
  <r>
    <x v="0"/>
    <x v="0"/>
    <x v="0"/>
    <x v="0"/>
    <x v="1"/>
    <s v="DK2_NoDH"/>
    <x v="0"/>
    <s v="GNR_ENG_BGAS_BP_E-37"/>
    <x v="0"/>
    <x v="19"/>
    <n v="0.12195121951219499"/>
    <n v="44.512195121951201"/>
    <n v="160.243902439024"/>
  </r>
  <r>
    <x v="0"/>
    <x v="0"/>
    <x v="0"/>
    <x v="0"/>
    <x v="1"/>
    <s v="DK2_NoDH"/>
    <x v="0"/>
    <s v="GNR_ENG_BGAS_BP_E-37"/>
    <x v="0"/>
    <x v="20"/>
    <n v="0.12195121951219499"/>
    <n v="44.512195121951201"/>
    <n v="160.243902439024"/>
  </r>
  <r>
    <x v="0"/>
    <x v="0"/>
    <x v="0"/>
    <x v="0"/>
    <x v="1"/>
    <s v="DK2_NoDH"/>
    <x v="0"/>
    <s v="GNR_ENG_BGAS_BP_E-37"/>
    <x v="0"/>
    <x v="21"/>
    <n v="0.12195121951219499"/>
    <n v="44.512195121951201"/>
    <n v="160.243902439024"/>
  </r>
  <r>
    <x v="0"/>
    <x v="0"/>
    <x v="0"/>
    <x v="0"/>
    <x v="1"/>
    <s v="DK2_NoDH"/>
    <x v="0"/>
    <s v="GNR_ENG_BGAS_BP_E-37"/>
    <x v="0"/>
    <x v="22"/>
    <n v="0.12195121951219499"/>
    <n v="44.512195121951201"/>
    <n v="160.243902439024"/>
  </r>
  <r>
    <x v="0"/>
    <x v="0"/>
    <x v="0"/>
    <x v="0"/>
    <x v="1"/>
    <s v="DK2_NoDH"/>
    <x v="0"/>
    <s v="GNR_ENG_BGAS_BP_E-37"/>
    <x v="0"/>
    <x v="23"/>
    <n v="0.12195121951219499"/>
    <n v="44.512195121951201"/>
    <n v="160.243902439024"/>
  </r>
  <r>
    <x v="0"/>
    <x v="0"/>
    <x v="0"/>
    <x v="0"/>
    <x v="1"/>
    <s v="DK2_NoDH"/>
    <x v="0"/>
    <s v="GNR_ENG_BGAS_BP_E-38"/>
    <x v="0"/>
    <x v="0"/>
    <n v="0.44268292682926802"/>
    <n v="161.579268292683"/>
    <n v="581.68536585365905"/>
  </r>
  <r>
    <x v="0"/>
    <x v="0"/>
    <x v="0"/>
    <x v="0"/>
    <x v="1"/>
    <s v="DK2_NoDH"/>
    <x v="0"/>
    <s v="GNR_ENG_BGAS_BP_E-38"/>
    <x v="0"/>
    <x v="1"/>
    <n v="0.44268292682926802"/>
    <n v="161.579268292683"/>
    <n v="581.68536585365905"/>
  </r>
  <r>
    <x v="0"/>
    <x v="0"/>
    <x v="0"/>
    <x v="0"/>
    <x v="1"/>
    <s v="DK2_NoDH"/>
    <x v="0"/>
    <s v="GNR_ENG_BGAS_BP_E-38"/>
    <x v="0"/>
    <x v="2"/>
    <n v="0.44268292682926802"/>
    <n v="161.579268292683"/>
    <n v="581.68536585365905"/>
  </r>
  <r>
    <x v="0"/>
    <x v="0"/>
    <x v="0"/>
    <x v="0"/>
    <x v="1"/>
    <s v="DK2_NoDH"/>
    <x v="0"/>
    <s v="GNR_ENG_BGAS_BP_E-38"/>
    <x v="0"/>
    <x v="3"/>
    <n v="0.44268292682926802"/>
    <n v="161.579268292683"/>
    <n v="581.68536585365905"/>
  </r>
  <r>
    <x v="0"/>
    <x v="0"/>
    <x v="0"/>
    <x v="0"/>
    <x v="1"/>
    <s v="DK2_NoDH"/>
    <x v="0"/>
    <s v="GNR_ENG_BGAS_BP_E-38"/>
    <x v="0"/>
    <x v="4"/>
    <n v="0.44268292682926802"/>
    <n v="161.579268292683"/>
    <n v="581.68536585365905"/>
  </r>
  <r>
    <x v="0"/>
    <x v="0"/>
    <x v="0"/>
    <x v="0"/>
    <x v="1"/>
    <s v="DK2_NoDH"/>
    <x v="0"/>
    <s v="GNR_ENG_BGAS_BP_E-38"/>
    <x v="0"/>
    <x v="5"/>
    <n v="0.44268292682926802"/>
    <n v="161.579268292683"/>
    <n v="581.68536585365905"/>
  </r>
  <r>
    <x v="0"/>
    <x v="0"/>
    <x v="0"/>
    <x v="0"/>
    <x v="1"/>
    <s v="DK2_NoDH"/>
    <x v="0"/>
    <s v="GNR_ENG_BGAS_BP_E-38"/>
    <x v="0"/>
    <x v="6"/>
    <n v="0.44268292682926802"/>
    <n v="161.579268292683"/>
    <n v="581.68536585365905"/>
  </r>
  <r>
    <x v="0"/>
    <x v="0"/>
    <x v="0"/>
    <x v="0"/>
    <x v="1"/>
    <s v="DK2_NoDH"/>
    <x v="0"/>
    <s v="GNR_ENG_BGAS_BP_E-38"/>
    <x v="0"/>
    <x v="7"/>
    <n v="0.44268292682926802"/>
    <n v="161.579268292683"/>
    <n v="581.68536585365905"/>
  </r>
  <r>
    <x v="0"/>
    <x v="0"/>
    <x v="0"/>
    <x v="0"/>
    <x v="1"/>
    <s v="DK2_NoDH"/>
    <x v="0"/>
    <s v="GNR_ENG_BGAS_BP_E-38"/>
    <x v="0"/>
    <x v="8"/>
    <n v="0.44268292682926802"/>
    <n v="161.579268292683"/>
    <n v="581.68536585365905"/>
  </r>
  <r>
    <x v="0"/>
    <x v="0"/>
    <x v="0"/>
    <x v="0"/>
    <x v="1"/>
    <s v="DK2_NoDH"/>
    <x v="0"/>
    <s v="GNR_ENG_BGAS_BP_E-38"/>
    <x v="0"/>
    <x v="9"/>
    <n v="0.44268292682926802"/>
    <n v="161.579268292683"/>
    <n v="581.68536585365905"/>
  </r>
  <r>
    <x v="0"/>
    <x v="0"/>
    <x v="0"/>
    <x v="0"/>
    <x v="1"/>
    <s v="DK2_NoDH"/>
    <x v="0"/>
    <s v="GNR_ENG_BGAS_BP_E-38"/>
    <x v="0"/>
    <x v="10"/>
    <n v="0.44268292682926802"/>
    <n v="161.579268292683"/>
    <n v="581.68536585365905"/>
  </r>
  <r>
    <x v="0"/>
    <x v="0"/>
    <x v="0"/>
    <x v="0"/>
    <x v="1"/>
    <s v="DK2_NoDH"/>
    <x v="0"/>
    <s v="GNR_ENG_BGAS_BP_E-38"/>
    <x v="0"/>
    <x v="11"/>
    <n v="0.44268292682926802"/>
    <n v="161.579268292683"/>
    <n v="581.68536585365905"/>
  </r>
  <r>
    <x v="0"/>
    <x v="0"/>
    <x v="0"/>
    <x v="0"/>
    <x v="1"/>
    <s v="DK2_NoDH"/>
    <x v="0"/>
    <s v="GNR_ENG_BGAS_BP_E-38"/>
    <x v="0"/>
    <x v="12"/>
    <n v="0.44268292682926802"/>
    <n v="161.579268292683"/>
    <n v="581.68536585365905"/>
  </r>
  <r>
    <x v="0"/>
    <x v="0"/>
    <x v="0"/>
    <x v="0"/>
    <x v="1"/>
    <s v="DK2_NoDH"/>
    <x v="0"/>
    <s v="GNR_ENG_BGAS_BP_E-38"/>
    <x v="0"/>
    <x v="13"/>
    <n v="0.44268292682926802"/>
    <n v="161.579268292683"/>
    <n v="581.68536585365905"/>
  </r>
  <r>
    <x v="0"/>
    <x v="0"/>
    <x v="0"/>
    <x v="0"/>
    <x v="1"/>
    <s v="DK2_NoDH"/>
    <x v="0"/>
    <s v="GNR_ENG_BGAS_BP_E-38"/>
    <x v="0"/>
    <x v="14"/>
    <n v="0.44268292682926802"/>
    <n v="161.579268292683"/>
    <n v="581.68536585365905"/>
  </r>
  <r>
    <x v="0"/>
    <x v="0"/>
    <x v="0"/>
    <x v="0"/>
    <x v="1"/>
    <s v="DK2_NoDH"/>
    <x v="0"/>
    <s v="GNR_ENG_BGAS_BP_E-38"/>
    <x v="0"/>
    <x v="15"/>
    <n v="0.44268292682926802"/>
    <n v="161.579268292683"/>
    <n v="581.68536585365905"/>
  </r>
  <r>
    <x v="0"/>
    <x v="0"/>
    <x v="0"/>
    <x v="0"/>
    <x v="1"/>
    <s v="DK2_NoDH"/>
    <x v="0"/>
    <s v="GNR_ENG_BGAS_BP_E-38"/>
    <x v="0"/>
    <x v="16"/>
    <n v="0.44268292682926802"/>
    <n v="161.579268292683"/>
    <n v="581.68536585365905"/>
  </r>
  <r>
    <x v="0"/>
    <x v="0"/>
    <x v="0"/>
    <x v="0"/>
    <x v="1"/>
    <s v="DK2_NoDH"/>
    <x v="0"/>
    <s v="GNR_ENG_BGAS_BP_E-38"/>
    <x v="0"/>
    <x v="17"/>
    <n v="0.44268292682926802"/>
    <n v="161.579268292683"/>
    <n v="581.68536585365905"/>
  </r>
  <r>
    <x v="0"/>
    <x v="0"/>
    <x v="0"/>
    <x v="0"/>
    <x v="1"/>
    <s v="DK2_NoDH"/>
    <x v="0"/>
    <s v="GNR_ENG_BGAS_BP_E-38"/>
    <x v="0"/>
    <x v="18"/>
    <n v="0.44268292682926802"/>
    <n v="161.579268292683"/>
    <n v="581.68536585365905"/>
  </r>
  <r>
    <x v="0"/>
    <x v="0"/>
    <x v="0"/>
    <x v="0"/>
    <x v="1"/>
    <s v="DK2_NoDH"/>
    <x v="0"/>
    <s v="GNR_ENG_BGAS_BP_E-38"/>
    <x v="0"/>
    <x v="19"/>
    <n v="0.44268292682926802"/>
    <n v="161.579268292683"/>
    <n v="581.68536585365905"/>
  </r>
  <r>
    <x v="0"/>
    <x v="0"/>
    <x v="0"/>
    <x v="0"/>
    <x v="1"/>
    <s v="DK2_NoDH"/>
    <x v="0"/>
    <s v="GNR_ENG_BGAS_BP_E-38"/>
    <x v="0"/>
    <x v="20"/>
    <n v="0.44268292682926802"/>
    <n v="161.579268292683"/>
    <n v="581.68536585365905"/>
  </r>
  <r>
    <x v="0"/>
    <x v="0"/>
    <x v="0"/>
    <x v="0"/>
    <x v="1"/>
    <s v="DK2_NoDH"/>
    <x v="0"/>
    <s v="GNR_ENG_BGAS_BP_E-38"/>
    <x v="0"/>
    <x v="21"/>
    <n v="0.44268292682926802"/>
    <n v="161.579268292683"/>
    <n v="581.68536585365905"/>
  </r>
  <r>
    <x v="0"/>
    <x v="0"/>
    <x v="0"/>
    <x v="0"/>
    <x v="1"/>
    <s v="DK2_NoDH"/>
    <x v="0"/>
    <s v="GNR_ENG_BGAS_BP_E-38"/>
    <x v="0"/>
    <x v="22"/>
    <n v="0.44268292682926802"/>
    <n v="161.579268292683"/>
    <n v="581.68536585365905"/>
  </r>
  <r>
    <x v="0"/>
    <x v="0"/>
    <x v="0"/>
    <x v="0"/>
    <x v="1"/>
    <s v="DK2_NoDH"/>
    <x v="0"/>
    <s v="GNR_ENG_BGAS_BP_E-38"/>
    <x v="0"/>
    <x v="23"/>
    <n v="0.44268292682926802"/>
    <n v="161.579268292683"/>
    <n v="581.68536585365905"/>
  </r>
  <r>
    <x v="0"/>
    <x v="0"/>
    <x v="0"/>
    <x v="0"/>
    <x v="1"/>
    <s v="DK2_NoDH"/>
    <x v="0"/>
    <s v="GNR_ENG_BGAS_BP_E-39"/>
    <x v="0"/>
    <x v="0"/>
    <n v="1"/>
    <n v="365"/>
    <n v="1314"/>
  </r>
  <r>
    <x v="0"/>
    <x v="0"/>
    <x v="0"/>
    <x v="0"/>
    <x v="1"/>
    <s v="DK2_NoDH"/>
    <x v="0"/>
    <s v="GNR_ENG_BGAS_BP_E-39"/>
    <x v="0"/>
    <x v="1"/>
    <n v="1"/>
    <n v="365"/>
    <n v="1314"/>
  </r>
  <r>
    <x v="0"/>
    <x v="0"/>
    <x v="0"/>
    <x v="0"/>
    <x v="1"/>
    <s v="DK2_NoDH"/>
    <x v="0"/>
    <s v="GNR_ENG_BGAS_BP_E-39"/>
    <x v="0"/>
    <x v="2"/>
    <n v="1"/>
    <n v="365"/>
    <n v="1314"/>
  </r>
  <r>
    <x v="0"/>
    <x v="0"/>
    <x v="0"/>
    <x v="0"/>
    <x v="1"/>
    <s v="DK2_NoDH"/>
    <x v="0"/>
    <s v="GNR_ENG_BGAS_BP_E-39"/>
    <x v="0"/>
    <x v="3"/>
    <n v="1"/>
    <n v="365"/>
    <n v="1314"/>
  </r>
  <r>
    <x v="0"/>
    <x v="0"/>
    <x v="0"/>
    <x v="0"/>
    <x v="1"/>
    <s v="DK2_NoDH"/>
    <x v="0"/>
    <s v="GNR_ENG_BGAS_BP_E-39"/>
    <x v="0"/>
    <x v="4"/>
    <n v="1"/>
    <n v="365"/>
    <n v="1314"/>
  </r>
  <r>
    <x v="0"/>
    <x v="0"/>
    <x v="0"/>
    <x v="0"/>
    <x v="1"/>
    <s v="DK2_NoDH"/>
    <x v="0"/>
    <s v="GNR_ENG_BGAS_BP_E-39"/>
    <x v="0"/>
    <x v="5"/>
    <n v="1"/>
    <n v="365"/>
    <n v="1314"/>
  </r>
  <r>
    <x v="0"/>
    <x v="0"/>
    <x v="0"/>
    <x v="0"/>
    <x v="1"/>
    <s v="DK2_NoDH"/>
    <x v="0"/>
    <s v="GNR_ENG_BGAS_BP_E-39"/>
    <x v="0"/>
    <x v="6"/>
    <n v="1"/>
    <n v="365"/>
    <n v="1314"/>
  </r>
  <r>
    <x v="0"/>
    <x v="0"/>
    <x v="0"/>
    <x v="0"/>
    <x v="1"/>
    <s v="DK2_NoDH"/>
    <x v="0"/>
    <s v="GNR_ENG_BGAS_BP_E-39"/>
    <x v="0"/>
    <x v="7"/>
    <n v="1"/>
    <n v="365"/>
    <n v="1314"/>
  </r>
  <r>
    <x v="0"/>
    <x v="0"/>
    <x v="0"/>
    <x v="0"/>
    <x v="1"/>
    <s v="DK2_NoDH"/>
    <x v="0"/>
    <s v="GNR_ENG_BGAS_BP_E-39"/>
    <x v="0"/>
    <x v="8"/>
    <n v="1"/>
    <n v="365"/>
    <n v="1314"/>
  </r>
  <r>
    <x v="0"/>
    <x v="0"/>
    <x v="0"/>
    <x v="0"/>
    <x v="1"/>
    <s v="DK2_NoDH"/>
    <x v="0"/>
    <s v="GNR_ENG_BGAS_BP_E-39"/>
    <x v="0"/>
    <x v="9"/>
    <n v="1"/>
    <n v="365"/>
    <n v="1314"/>
  </r>
  <r>
    <x v="0"/>
    <x v="0"/>
    <x v="0"/>
    <x v="0"/>
    <x v="1"/>
    <s v="DK2_NoDH"/>
    <x v="0"/>
    <s v="GNR_ENG_BGAS_BP_E-39"/>
    <x v="0"/>
    <x v="10"/>
    <n v="1"/>
    <n v="365"/>
    <n v="1314"/>
  </r>
  <r>
    <x v="0"/>
    <x v="0"/>
    <x v="0"/>
    <x v="0"/>
    <x v="1"/>
    <s v="DK2_NoDH"/>
    <x v="0"/>
    <s v="GNR_ENG_BGAS_BP_E-39"/>
    <x v="0"/>
    <x v="11"/>
    <n v="1"/>
    <n v="365"/>
    <n v="1314"/>
  </r>
  <r>
    <x v="0"/>
    <x v="0"/>
    <x v="0"/>
    <x v="0"/>
    <x v="1"/>
    <s v="DK2_NoDH"/>
    <x v="0"/>
    <s v="GNR_ENG_BGAS_BP_E-39"/>
    <x v="0"/>
    <x v="12"/>
    <n v="1"/>
    <n v="365"/>
    <n v="1314"/>
  </r>
  <r>
    <x v="0"/>
    <x v="0"/>
    <x v="0"/>
    <x v="0"/>
    <x v="1"/>
    <s v="DK2_NoDH"/>
    <x v="0"/>
    <s v="GNR_ENG_BGAS_BP_E-39"/>
    <x v="0"/>
    <x v="13"/>
    <n v="1"/>
    <n v="365"/>
    <n v="1314"/>
  </r>
  <r>
    <x v="0"/>
    <x v="0"/>
    <x v="0"/>
    <x v="0"/>
    <x v="1"/>
    <s v="DK2_NoDH"/>
    <x v="0"/>
    <s v="GNR_ENG_BGAS_BP_E-39"/>
    <x v="0"/>
    <x v="14"/>
    <n v="1"/>
    <n v="365"/>
    <n v="1314"/>
  </r>
  <r>
    <x v="0"/>
    <x v="0"/>
    <x v="0"/>
    <x v="0"/>
    <x v="1"/>
    <s v="DK2_NoDH"/>
    <x v="0"/>
    <s v="GNR_ENG_BGAS_BP_E-39"/>
    <x v="0"/>
    <x v="15"/>
    <n v="1"/>
    <n v="365"/>
    <n v="1314"/>
  </r>
  <r>
    <x v="0"/>
    <x v="0"/>
    <x v="0"/>
    <x v="0"/>
    <x v="1"/>
    <s v="DK2_NoDH"/>
    <x v="0"/>
    <s v="GNR_ENG_BGAS_BP_E-39"/>
    <x v="0"/>
    <x v="16"/>
    <n v="1"/>
    <n v="365"/>
    <n v="1314"/>
  </r>
  <r>
    <x v="0"/>
    <x v="0"/>
    <x v="0"/>
    <x v="0"/>
    <x v="1"/>
    <s v="DK2_NoDH"/>
    <x v="0"/>
    <s v="GNR_ENG_BGAS_BP_E-39"/>
    <x v="0"/>
    <x v="17"/>
    <n v="1"/>
    <n v="365"/>
    <n v="1314"/>
  </r>
  <r>
    <x v="0"/>
    <x v="0"/>
    <x v="0"/>
    <x v="0"/>
    <x v="1"/>
    <s v="DK2_NoDH"/>
    <x v="0"/>
    <s v="GNR_ENG_BGAS_BP_E-39"/>
    <x v="0"/>
    <x v="18"/>
    <n v="1"/>
    <n v="365"/>
    <n v="1314"/>
  </r>
  <r>
    <x v="0"/>
    <x v="0"/>
    <x v="0"/>
    <x v="0"/>
    <x v="1"/>
    <s v="DK2_NoDH"/>
    <x v="0"/>
    <s v="GNR_ENG_BGAS_BP_E-39"/>
    <x v="0"/>
    <x v="19"/>
    <n v="1"/>
    <n v="365"/>
    <n v="1314"/>
  </r>
  <r>
    <x v="0"/>
    <x v="0"/>
    <x v="0"/>
    <x v="0"/>
    <x v="1"/>
    <s v="DK2_NoDH"/>
    <x v="0"/>
    <s v="GNR_ENG_BGAS_BP_E-39"/>
    <x v="0"/>
    <x v="20"/>
    <n v="1"/>
    <n v="365"/>
    <n v="1314"/>
  </r>
  <r>
    <x v="0"/>
    <x v="0"/>
    <x v="0"/>
    <x v="0"/>
    <x v="1"/>
    <s v="DK2_NoDH"/>
    <x v="0"/>
    <s v="GNR_ENG_BGAS_BP_E-39"/>
    <x v="0"/>
    <x v="21"/>
    <n v="1"/>
    <n v="365"/>
    <n v="1314"/>
  </r>
  <r>
    <x v="0"/>
    <x v="0"/>
    <x v="0"/>
    <x v="0"/>
    <x v="1"/>
    <s v="DK2_NoDH"/>
    <x v="0"/>
    <s v="GNR_ENG_BGAS_BP_E-39"/>
    <x v="0"/>
    <x v="22"/>
    <n v="1"/>
    <n v="365"/>
    <n v="1314"/>
  </r>
  <r>
    <x v="0"/>
    <x v="0"/>
    <x v="0"/>
    <x v="0"/>
    <x v="1"/>
    <s v="DK2_NoDH"/>
    <x v="0"/>
    <s v="GNR_ENG_BGAS_BP_E-39"/>
    <x v="0"/>
    <x v="23"/>
    <n v="1"/>
    <n v="365"/>
    <n v="1314"/>
  </r>
  <r>
    <x v="0"/>
    <x v="0"/>
    <x v="0"/>
    <x v="0"/>
    <x v="1"/>
    <s v="DK2_NoDH"/>
    <x v="0"/>
    <s v="GNR_ENG_BGAS_BP_E-40"/>
    <x v="0"/>
    <x v="0"/>
    <n v="4.8780487804878099E-2"/>
    <n v="17.804878048780498"/>
    <n v="64.097560975609795"/>
  </r>
  <r>
    <x v="0"/>
    <x v="0"/>
    <x v="0"/>
    <x v="0"/>
    <x v="1"/>
    <s v="DK2_NoDH"/>
    <x v="0"/>
    <s v="GNR_ENG_BGAS_BP_E-40"/>
    <x v="0"/>
    <x v="1"/>
    <n v="4.8780487804878099E-2"/>
    <n v="17.804878048780498"/>
    <n v="64.097560975609795"/>
  </r>
  <r>
    <x v="0"/>
    <x v="0"/>
    <x v="0"/>
    <x v="0"/>
    <x v="1"/>
    <s v="DK2_NoDH"/>
    <x v="0"/>
    <s v="GNR_ENG_BGAS_BP_E-40"/>
    <x v="0"/>
    <x v="2"/>
    <n v="4.8780487804878099E-2"/>
    <n v="17.804878048780498"/>
    <n v="64.097560975609795"/>
  </r>
  <r>
    <x v="0"/>
    <x v="0"/>
    <x v="0"/>
    <x v="0"/>
    <x v="1"/>
    <s v="DK2_NoDH"/>
    <x v="0"/>
    <s v="GNR_ENG_BGAS_BP_E-40"/>
    <x v="0"/>
    <x v="3"/>
    <n v="4.8780487804878099E-2"/>
    <n v="17.804878048780498"/>
    <n v="64.097560975609795"/>
  </r>
  <r>
    <x v="0"/>
    <x v="0"/>
    <x v="0"/>
    <x v="0"/>
    <x v="1"/>
    <s v="DK2_NoDH"/>
    <x v="0"/>
    <s v="GNR_ENG_BGAS_BP_E-40"/>
    <x v="0"/>
    <x v="4"/>
    <n v="4.8780487804878099E-2"/>
    <n v="17.804878048780498"/>
    <n v="64.097560975609795"/>
  </r>
  <r>
    <x v="0"/>
    <x v="0"/>
    <x v="0"/>
    <x v="0"/>
    <x v="1"/>
    <s v="DK2_NoDH"/>
    <x v="0"/>
    <s v="GNR_ENG_BGAS_BP_E-40"/>
    <x v="0"/>
    <x v="5"/>
    <n v="4.8780487804878099E-2"/>
    <n v="17.804878048780498"/>
    <n v="64.097560975609795"/>
  </r>
  <r>
    <x v="0"/>
    <x v="0"/>
    <x v="0"/>
    <x v="0"/>
    <x v="1"/>
    <s v="DK2_NoDH"/>
    <x v="0"/>
    <s v="GNR_ENG_BGAS_BP_E-40"/>
    <x v="0"/>
    <x v="6"/>
    <n v="4.8780487804878099E-2"/>
    <n v="17.804878048780498"/>
    <n v="64.097560975609795"/>
  </r>
  <r>
    <x v="0"/>
    <x v="0"/>
    <x v="0"/>
    <x v="0"/>
    <x v="1"/>
    <s v="DK2_NoDH"/>
    <x v="0"/>
    <s v="GNR_ENG_BGAS_BP_E-40"/>
    <x v="0"/>
    <x v="7"/>
    <n v="4.8780487804878099E-2"/>
    <n v="17.804878048780498"/>
    <n v="64.097560975609795"/>
  </r>
  <r>
    <x v="0"/>
    <x v="0"/>
    <x v="0"/>
    <x v="0"/>
    <x v="1"/>
    <s v="DK2_NoDH"/>
    <x v="0"/>
    <s v="GNR_ENG_BGAS_BP_E-40"/>
    <x v="0"/>
    <x v="8"/>
    <n v="4.8780487804878099E-2"/>
    <n v="17.804878048780498"/>
    <n v="64.097560975609795"/>
  </r>
  <r>
    <x v="0"/>
    <x v="0"/>
    <x v="0"/>
    <x v="0"/>
    <x v="1"/>
    <s v="DK2_NoDH"/>
    <x v="0"/>
    <s v="GNR_ENG_BGAS_BP_E-40"/>
    <x v="0"/>
    <x v="9"/>
    <n v="4.8780487804878099E-2"/>
    <n v="17.804878048780498"/>
    <n v="64.097560975609795"/>
  </r>
  <r>
    <x v="0"/>
    <x v="0"/>
    <x v="0"/>
    <x v="0"/>
    <x v="1"/>
    <s v="DK2_NoDH"/>
    <x v="0"/>
    <s v="GNR_ENG_BGAS_BP_E-40"/>
    <x v="0"/>
    <x v="10"/>
    <n v="4.8780487804878099E-2"/>
    <n v="17.804878048780498"/>
    <n v="64.097560975609795"/>
  </r>
  <r>
    <x v="0"/>
    <x v="0"/>
    <x v="0"/>
    <x v="0"/>
    <x v="1"/>
    <s v="DK2_NoDH"/>
    <x v="0"/>
    <s v="GNR_ENG_BGAS_BP_E-40"/>
    <x v="0"/>
    <x v="11"/>
    <n v="4.8780487804878099E-2"/>
    <n v="17.804878048780498"/>
    <n v="64.097560975609795"/>
  </r>
  <r>
    <x v="0"/>
    <x v="0"/>
    <x v="0"/>
    <x v="0"/>
    <x v="1"/>
    <s v="DK2_NoDH"/>
    <x v="0"/>
    <s v="GNR_ENG_BGAS_BP_E-40"/>
    <x v="0"/>
    <x v="12"/>
    <n v="4.8780487804878099E-2"/>
    <n v="17.804878048780498"/>
    <n v="64.097560975609795"/>
  </r>
  <r>
    <x v="0"/>
    <x v="0"/>
    <x v="0"/>
    <x v="0"/>
    <x v="1"/>
    <s v="DK2_NoDH"/>
    <x v="0"/>
    <s v="GNR_ENG_BGAS_BP_E-40"/>
    <x v="0"/>
    <x v="13"/>
    <n v="4.8780487804878099E-2"/>
    <n v="17.804878048780498"/>
    <n v="64.097560975609795"/>
  </r>
  <r>
    <x v="0"/>
    <x v="0"/>
    <x v="0"/>
    <x v="0"/>
    <x v="1"/>
    <s v="DK2_NoDH"/>
    <x v="0"/>
    <s v="GNR_ENG_BGAS_BP_E-40"/>
    <x v="0"/>
    <x v="14"/>
    <n v="4.8780487804878099E-2"/>
    <n v="17.804878048780498"/>
    <n v="64.097560975609795"/>
  </r>
  <r>
    <x v="0"/>
    <x v="0"/>
    <x v="0"/>
    <x v="0"/>
    <x v="1"/>
    <s v="DK2_NoDH"/>
    <x v="0"/>
    <s v="GNR_ENG_BGAS_BP_E-40"/>
    <x v="0"/>
    <x v="15"/>
    <n v="4.8780487804878099E-2"/>
    <n v="17.804878048780498"/>
    <n v="64.097560975609795"/>
  </r>
  <r>
    <x v="0"/>
    <x v="0"/>
    <x v="0"/>
    <x v="0"/>
    <x v="1"/>
    <s v="DK2_NoDH"/>
    <x v="0"/>
    <s v="GNR_ENG_BGAS_BP_E-40"/>
    <x v="0"/>
    <x v="16"/>
    <n v="4.8780487804878099E-2"/>
    <n v="17.804878048780498"/>
    <n v="64.097560975609795"/>
  </r>
  <r>
    <x v="0"/>
    <x v="0"/>
    <x v="0"/>
    <x v="0"/>
    <x v="1"/>
    <s v="DK2_NoDH"/>
    <x v="0"/>
    <s v="GNR_ENG_BGAS_BP_E-40"/>
    <x v="0"/>
    <x v="17"/>
    <n v="4.8780487804878099E-2"/>
    <n v="17.804878048780498"/>
    <n v="64.097560975609795"/>
  </r>
  <r>
    <x v="0"/>
    <x v="0"/>
    <x v="0"/>
    <x v="0"/>
    <x v="1"/>
    <s v="DK2_NoDH"/>
    <x v="0"/>
    <s v="GNR_ENG_BGAS_BP_E-40"/>
    <x v="0"/>
    <x v="18"/>
    <n v="4.8780487804878099E-2"/>
    <n v="17.804878048780498"/>
    <n v="64.097560975609795"/>
  </r>
  <r>
    <x v="0"/>
    <x v="0"/>
    <x v="0"/>
    <x v="0"/>
    <x v="1"/>
    <s v="DK2_NoDH"/>
    <x v="0"/>
    <s v="GNR_ENG_BGAS_BP_E-40"/>
    <x v="0"/>
    <x v="19"/>
    <n v="4.8780487804878099E-2"/>
    <n v="17.804878048780498"/>
    <n v="64.097560975609795"/>
  </r>
  <r>
    <x v="0"/>
    <x v="0"/>
    <x v="0"/>
    <x v="0"/>
    <x v="1"/>
    <s v="DK2_NoDH"/>
    <x v="0"/>
    <s v="GNR_ENG_BGAS_BP_E-40"/>
    <x v="0"/>
    <x v="20"/>
    <n v="4.8780487804878099E-2"/>
    <n v="17.804878048780498"/>
    <n v="64.097560975609795"/>
  </r>
  <r>
    <x v="0"/>
    <x v="0"/>
    <x v="0"/>
    <x v="0"/>
    <x v="1"/>
    <s v="DK2_NoDH"/>
    <x v="0"/>
    <s v="GNR_ENG_BGAS_BP_E-40"/>
    <x v="0"/>
    <x v="21"/>
    <n v="4.8780487804878099E-2"/>
    <n v="17.804878048780498"/>
    <n v="64.097560975609795"/>
  </r>
  <r>
    <x v="0"/>
    <x v="0"/>
    <x v="0"/>
    <x v="0"/>
    <x v="1"/>
    <s v="DK2_NoDH"/>
    <x v="0"/>
    <s v="GNR_ENG_BGAS_BP_E-40"/>
    <x v="0"/>
    <x v="22"/>
    <n v="4.8780487804878099E-2"/>
    <n v="17.804878048780498"/>
    <n v="64.097560975609795"/>
  </r>
  <r>
    <x v="0"/>
    <x v="0"/>
    <x v="0"/>
    <x v="0"/>
    <x v="1"/>
    <s v="DK2_NoDH"/>
    <x v="0"/>
    <s v="GNR_ENG_BGAS_BP_E-40"/>
    <x v="0"/>
    <x v="23"/>
    <n v="4.8780487804878099E-2"/>
    <n v="17.804878048780498"/>
    <n v="64.097560975609795"/>
  </r>
  <r>
    <x v="0"/>
    <x v="0"/>
    <x v="0"/>
    <x v="0"/>
    <x v="1"/>
    <s v="DK2_NoDH"/>
    <x v="0"/>
    <s v="GNR_ENG_BGAS_BP_E-42"/>
    <x v="0"/>
    <x v="0"/>
    <n v="5.3658536585365901"/>
    <n v="1958.53658536585"/>
    <n v="7050.7317073170698"/>
  </r>
  <r>
    <x v="0"/>
    <x v="0"/>
    <x v="0"/>
    <x v="0"/>
    <x v="1"/>
    <s v="DK2_NoDH"/>
    <x v="0"/>
    <s v="GNR_ENG_BGAS_BP_E-42"/>
    <x v="0"/>
    <x v="1"/>
    <n v="5.3658536585365901"/>
    <n v="1958.53658536585"/>
    <n v="7050.7317073170698"/>
  </r>
  <r>
    <x v="0"/>
    <x v="0"/>
    <x v="0"/>
    <x v="0"/>
    <x v="1"/>
    <s v="DK2_NoDH"/>
    <x v="0"/>
    <s v="GNR_ENG_BGAS_BP_E-42"/>
    <x v="0"/>
    <x v="2"/>
    <n v="5.3658536585365901"/>
    <n v="1958.53658536585"/>
    <n v="7050.7317073170698"/>
  </r>
  <r>
    <x v="0"/>
    <x v="0"/>
    <x v="0"/>
    <x v="0"/>
    <x v="1"/>
    <s v="DK2_NoDH"/>
    <x v="0"/>
    <s v="GNR_ENG_BGAS_BP_E-42"/>
    <x v="0"/>
    <x v="3"/>
    <n v="5.3658536585365901"/>
    <n v="1958.53658536585"/>
    <n v="7050.7317073170698"/>
  </r>
  <r>
    <x v="0"/>
    <x v="0"/>
    <x v="0"/>
    <x v="0"/>
    <x v="1"/>
    <s v="DK2_NoDH"/>
    <x v="0"/>
    <s v="GNR_ENG_BGAS_BP_E-42"/>
    <x v="0"/>
    <x v="4"/>
    <n v="5.3658536585365901"/>
    <n v="1958.53658536585"/>
    <n v="7050.7317073170698"/>
  </r>
  <r>
    <x v="0"/>
    <x v="0"/>
    <x v="0"/>
    <x v="0"/>
    <x v="1"/>
    <s v="DK2_NoDH"/>
    <x v="0"/>
    <s v="GNR_ENG_BGAS_BP_E-42"/>
    <x v="0"/>
    <x v="5"/>
    <n v="5.3658536585365901"/>
    <n v="1958.53658536585"/>
    <n v="7050.7317073170698"/>
  </r>
  <r>
    <x v="0"/>
    <x v="0"/>
    <x v="0"/>
    <x v="0"/>
    <x v="1"/>
    <s v="DK2_NoDH"/>
    <x v="0"/>
    <s v="GNR_ENG_BGAS_BP_E-42"/>
    <x v="0"/>
    <x v="6"/>
    <n v="5.3658536585365901"/>
    <n v="1958.53658536585"/>
    <n v="7050.7317073170698"/>
  </r>
  <r>
    <x v="0"/>
    <x v="0"/>
    <x v="0"/>
    <x v="0"/>
    <x v="1"/>
    <s v="DK2_NoDH"/>
    <x v="0"/>
    <s v="GNR_ENG_BGAS_BP_E-42"/>
    <x v="0"/>
    <x v="7"/>
    <n v="5.3658536585365901"/>
    <n v="1958.53658536585"/>
    <n v="7050.7317073170698"/>
  </r>
  <r>
    <x v="0"/>
    <x v="0"/>
    <x v="0"/>
    <x v="0"/>
    <x v="1"/>
    <s v="DK2_NoDH"/>
    <x v="0"/>
    <s v="GNR_ENG_BGAS_BP_E-42"/>
    <x v="0"/>
    <x v="8"/>
    <n v="5.3658536585365901"/>
    <n v="1958.53658536585"/>
    <n v="7050.7317073170698"/>
  </r>
  <r>
    <x v="0"/>
    <x v="0"/>
    <x v="0"/>
    <x v="0"/>
    <x v="1"/>
    <s v="DK2_NoDH"/>
    <x v="0"/>
    <s v="GNR_ENG_BGAS_BP_E-42"/>
    <x v="0"/>
    <x v="9"/>
    <n v="5.3658536585365901"/>
    <n v="1958.53658536585"/>
    <n v="7050.7317073170698"/>
  </r>
  <r>
    <x v="0"/>
    <x v="0"/>
    <x v="0"/>
    <x v="0"/>
    <x v="1"/>
    <s v="DK2_NoDH"/>
    <x v="0"/>
    <s v="GNR_ENG_BGAS_BP_E-42"/>
    <x v="0"/>
    <x v="10"/>
    <n v="5.3658536585365901"/>
    <n v="1958.53658536585"/>
    <n v="7050.7317073170698"/>
  </r>
  <r>
    <x v="0"/>
    <x v="0"/>
    <x v="0"/>
    <x v="0"/>
    <x v="1"/>
    <s v="DK2_NoDH"/>
    <x v="0"/>
    <s v="GNR_ENG_BGAS_BP_E-42"/>
    <x v="0"/>
    <x v="11"/>
    <n v="5.3658536585365901"/>
    <n v="1958.53658536585"/>
    <n v="7050.7317073170698"/>
  </r>
  <r>
    <x v="0"/>
    <x v="0"/>
    <x v="0"/>
    <x v="0"/>
    <x v="1"/>
    <s v="DK2_NoDH"/>
    <x v="0"/>
    <s v="GNR_ENG_BGAS_BP_E-42"/>
    <x v="0"/>
    <x v="12"/>
    <n v="5.3658536585365901"/>
    <n v="1958.53658536585"/>
    <n v="7050.7317073170698"/>
  </r>
  <r>
    <x v="0"/>
    <x v="0"/>
    <x v="0"/>
    <x v="0"/>
    <x v="1"/>
    <s v="DK2_NoDH"/>
    <x v="0"/>
    <s v="GNR_ENG_BGAS_BP_E-42"/>
    <x v="0"/>
    <x v="13"/>
    <n v="5.3658536585365901"/>
    <n v="1958.53658536585"/>
    <n v="7050.7317073170698"/>
  </r>
  <r>
    <x v="0"/>
    <x v="0"/>
    <x v="0"/>
    <x v="0"/>
    <x v="1"/>
    <s v="DK2_NoDH"/>
    <x v="0"/>
    <s v="GNR_ENG_BGAS_BP_E-42"/>
    <x v="0"/>
    <x v="14"/>
    <n v="5.3658536585365901"/>
    <n v="1958.53658536585"/>
    <n v="7050.7317073170698"/>
  </r>
  <r>
    <x v="0"/>
    <x v="0"/>
    <x v="0"/>
    <x v="0"/>
    <x v="1"/>
    <s v="DK2_NoDH"/>
    <x v="0"/>
    <s v="GNR_ENG_BGAS_BP_E-42"/>
    <x v="0"/>
    <x v="15"/>
    <n v="5.3658536585365901"/>
    <n v="1958.53658536585"/>
    <n v="7050.7317073170698"/>
  </r>
  <r>
    <x v="0"/>
    <x v="0"/>
    <x v="0"/>
    <x v="0"/>
    <x v="1"/>
    <s v="DK2_NoDH"/>
    <x v="0"/>
    <s v="GNR_ENG_BGAS_BP_E-42"/>
    <x v="0"/>
    <x v="16"/>
    <n v="5.3658536585365901"/>
    <n v="1958.53658536585"/>
    <n v="7050.7317073170698"/>
  </r>
  <r>
    <x v="0"/>
    <x v="0"/>
    <x v="0"/>
    <x v="0"/>
    <x v="1"/>
    <s v="DK2_NoDH"/>
    <x v="0"/>
    <s v="GNR_ENG_BGAS_BP_E-42"/>
    <x v="0"/>
    <x v="17"/>
    <n v="5.3658536585365901"/>
    <n v="1958.53658536585"/>
    <n v="7050.7317073170698"/>
  </r>
  <r>
    <x v="0"/>
    <x v="0"/>
    <x v="0"/>
    <x v="0"/>
    <x v="1"/>
    <s v="DK2_NoDH"/>
    <x v="0"/>
    <s v="GNR_ENG_BGAS_BP_E-42"/>
    <x v="0"/>
    <x v="18"/>
    <n v="5.3658536585365901"/>
    <n v="1958.53658536585"/>
    <n v="7050.7317073170698"/>
  </r>
  <r>
    <x v="0"/>
    <x v="0"/>
    <x v="0"/>
    <x v="0"/>
    <x v="1"/>
    <s v="DK2_NoDH"/>
    <x v="0"/>
    <s v="GNR_ENG_BGAS_BP_E-42"/>
    <x v="0"/>
    <x v="19"/>
    <n v="5.3658536585365901"/>
    <n v="1958.53658536585"/>
    <n v="7050.7317073170698"/>
  </r>
  <r>
    <x v="0"/>
    <x v="0"/>
    <x v="0"/>
    <x v="0"/>
    <x v="1"/>
    <s v="DK2_NoDH"/>
    <x v="0"/>
    <s v="GNR_ENG_BGAS_BP_E-42"/>
    <x v="0"/>
    <x v="20"/>
    <n v="5.3658536585365901"/>
    <n v="1958.53658536585"/>
    <n v="7050.7317073170698"/>
  </r>
  <r>
    <x v="0"/>
    <x v="0"/>
    <x v="0"/>
    <x v="0"/>
    <x v="1"/>
    <s v="DK2_NoDH"/>
    <x v="0"/>
    <s v="GNR_ENG_BGAS_BP_E-42"/>
    <x v="0"/>
    <x v="21"/>
    <n v="5.3658536585365901"/>
    <n v="1958.53658536585"/>
    <n v="7050.7317073170698"/>
  </r>
  <r>
    <x v="0"/>
    <x v="0"/>
    <x v="0"/>
    <x v="0"/>
    <x v="1"/>
    <s v="DK2_NoDH"/>
    <x v="0"/>
    <s v="GNR_ENG_BGAS_BP_E-42"/>
    <x v="0"/>
    <x v="22"/>
    <n v="5.3658536585365901"/>
    <n v="1958.53658536585"/>
    <n v="7050.7317073170698"/>
  </r>
  <r>
    <x v="0"/>
    <x v="0"/>
    <x v="0"/>
    <x v="0"/>
    <x v="1"/>
    <s v="DK2_NoDH"/>
    <x v="0"/>
    <s v="GNR_ENG_BGAS_BP_E-42"/>
    <x v="0"/>
    <x v="23"/>
    <n v="5.3658536585365901"/>
    <n v="1958.53658536585"/>
    <n v="7050.7317073170698"/>
  </r>
  <r>
    <x v="0"/>
    <x v="0"/>
    <x v="0"/>
    <x v="0"/>
    <x v="1"/>
    <s v="DK2_NoDH"/>
    <x v="4"/>
    <s v="GNR_ENG_NGAS_BP_E-46"/>
    <x v="0"/>
    <x v="0"/>
    <n v="10.4888888888889"/>
    <n v="3828.4444444444398"/>
    <n v="13782.4"/>
  </r>
  <r>
    <x v="0"/>
    <x v="0"/>
    <x v="0"/>
    <x v="0"/>
    <x v="1"/>
    <s v="DK2_NoDH"/>
    <x v="4"/>
    <s v="GNR_ENG_NGAS_BP_E-46"/>
    <x v="0"/>
    <x v="1"/>
    <n v="10.4888888888889"/>
    <n v="3828.4444444444398"/>
    <n v="13782.4"/>
  </r>
  <r>
    <x v="0"/>
    <x v="0"/>
    <x v="0"/>
    <x v="0"/>
    <x v="1"/>
    <s v="DK2_NoDH"/>
    <x v="4"/>
    <s v="GNR_ENG_NGAS_BP_E-46"/>
    <x v="0"/>
    <x v="3"/>
    <n v="1.88585646635936"/>
    <n v="688.33761022116801"/>
    <n v="2478.0153967962101"/>
  </r>
  <r>
    <x v="0"/>
    <x v="0"/>
    <x v="0"/>
    <x v="0"/>
    <x v="1"/>
    <s v="DK2_NoDH"/>
    <x v="4"/>
    <s v="GNR_ENG_NGAS_BP_E-46"/>
    <x v="0"/>
    <x v="4"/>
    <n v="10.4888888888889"/>
    <n v="3828.4444444444398"/>
    <n v="13782.4"/>
  </r>
  <r>
    <x v="0"/>
    <x v="0"/>
    <x v="0"/>
    <x v="0"/>
    <x v="1"/>
    <s v="DK2_NoDH"/>
    <x v="4"/>
    <s v="GNR_ENG_NGAS_BP_E-46"/>
    <x v="0"/>
    <x v="5"/>
    <n v="10.4888888888889"/>
    <n v="3828.4444444444398"/>
    <n v="13782.4"/>
  </r>
  <r>
    <x v="0"/>
    <x v="0"/>
    <x v="0"/>
    <x v="0"/>
    <x v="1"/>
    <s v="DK2_NoDH"/>
    <x v="4"/>
    <s v="GNR_ENG_NGAS_BP_E-46"/>
    <x v="0"/>
    <x v="6"/>
    <n v="10.4888888888889"/>
    <n v="3828.4444444444398"/>
    <n v="13782.4"/>
  </r>
  <r>
    <x v="0"/>
    <x v="0"/>
    <x v="0"/>
    <x v="0"/>
    <x v="1"/>
    <s v="DK2_NoDH"/>
    <x v="4"/>
    <s v="GNR_ENG_NGAS_BP_E-46"/>
    <x v="0"/>
    <x v="7"/>
    <n v="10.4888888888889"/>
    <n v="3828.4444444444398"/>
    <n v="13782.4"/>
  </r>
  <r>
    <x v="0"/>
    <x v="0"/>
    <x v="0"/>
    <x v="0"/>
    <x v="1"/>
    <s v="DK2_NoDH"/>
    <x v="4"/>
    <s v="GNR_ENG_NGAS_BP_E-46"/>
    <x v="0"/>
    <x v="8"/>
    <n v="10.4888888888889"/>
    <n v="3828.4444444444398"/>
    <n v="13782.4"/>
  </r>
  <r>
    <x v="0"/>
    <x v="0"/>
    <x v="0"/>
    <x v="0"/>
    <x v="1"/>
    <s v="DK2_NoDH"/>
    <x v="4"/>
    <s v="GNR_ENG_NGAS_BP_E-46"/>
    <x v="0"/>
    <x v="9"/>
    <n v="10.4888888888889"/>
    <n v="3828.4444444444398"/>
    <n v="13782.4"/>
  </r>
  <r>
    <x v="0"/>
    <x v="0"/>
    <x v="0"/>
    <x v="0"/>
    <x v="1"/>
    <s v="DK2_NoDH"/>
    <x v="4"/>
    <s v="GNR_ENG_NGAS_BP_E-46"/>
    <x v="0"/>
    <x v="10"/>
    <n v="10.4888888888889"/>
    <n v="3828.4444444444398"/>
    <n v="13782.4"/>
  </r>
  <r>
    <x v="0"/>
    <x v="0"/>
    <x v="0"/>
    <x v="0"/>
    <x v="1"/>
    <s v="DK2_NoDH"/>
    <x v="4"/>
    <s v="GNR_ENG_NGAS_BP_E-46"/>
    <x v="0"/>
    <x v="11"/>
    <n v="10.4888888888889"/>
    <n v="3828.4444444444398"/>
    <n v="13782.4"/>
  </r>
  <r>
    <x v="0"/>
    <x v="0"/>
    <x v="0"/>
    <x v="0"/>
    <x v="1"/>
    <s v="DK2_NoDH"/>
    <x v="4"/>
    <s v="GNR_ENG_NGAS_BP_E-46"/>
    <x v="0"/>
    <x v="12"/>
    <n v="10.4888888888889"/>
    <n v="3828.4444444444398"/>
    <n v="13782.4"/>
  </r>
  <r>
    <x v="0"/>
    <x v="0"/>
    <x v="0"/>
    <x v="0"/>
    <x v="1"/>
    <s v="DK2_NoDH"/>
    <x v="4"/>
    <s v="GNR_ENG_NGAS_BP_E-46"/>
    <x v="0"/>
    <x v="13"/>
    <n v="10.4888888888889"/>
    <n v="3828.4444444444398"/>
    <n v="13782.4"/>
  </r>
  <r>
    <x v="0"/>
    <x v="0"/>
    <x v="0"/>
    <x v="0"/>
    <x v="1"/>
    <s v="DK2_NoDH"/>
    <x v="4"/>
    <s v="GNR_ENG_NGAS_BP_E-46"/>
    <x v="0"/>
    <x v="14"/>
    <n v="10.4888888888889"/>
    <n v="3828.4444444444398"/>
    <n v="13782.4"/>
  </r>
  <r>
    <x v="0"/>
    <x v="0"/>
    <x v="0"/>
    <x v="0"/>
    <x v="1"/>
    <s v="DK2_NoDH"/>
    <x v="4"/>
    <s v="GNR_ENG_NGAS_BP_E-46"/>
    <x v="0"/>
    <x v="15"/>
    <n v="10.4888888888889"/>
    <n v="3828.4444444444398"/>
    <n v="13782.4"/>
  </r>
  <r>
    <x v="0"/>
    <x v="0"/>
    <x v="0"/>
    <x v="0"/>
    <x v="1"/>
    <s v="DK2_NoDH"/>
    <x v="4"/>
    <s v="GNR_ENG_NGAS_BP_E-46"/>
    <x v="0"/>
    <x v="16"/>
    <n v="10.4888888888889"/>
    <n v="3828.4444444444398"/>
    <n v="13782.4"/>
  </r>
  <r>
    <x v="0"/>
    <x v="0"/>
    <x v="0"/>
    <x v="0"/>
    <x v="1"/>
    <s v="DK2_NoDH"/>
    <x v="4"/>
    <s v="GNR_ENG_NGAS_BP_E-46"/>
    <x v="0"/>
    <x v="17"/>
    <n v="10.4888888888889"/>
    <n v="3828.4444444444398"/>
    <n v="13782.4"/>
  </r>
  <r>
    <x v="0"/>
    <x v="0"/>
    <x v="0"/>
    <x v="0"/>
    <x v="1"/>
    <s v="DK2_NoDH"/>
    <x v="4"/>
    <s v="GNR_ENG_NGAS_BP_E-46"/>
    <x v="0"/>
    <x v="18"/>
    <n v="10.4888888888889"/>
    <n v="3828.4444444444398"/>
    <n v="13782.4"/>
  </r>
  <r>
    <x v="0"/>
    <x v="0"/>
    <x v="0"/>
    <x v="0"/>
    <x v="1"/>
    <s v="DK2_Rural"/>
    <x v="0"/>
    <s v="GNR_ENG_BGAS_BP_E-34"/>
    <x v="0"/>
    <x v="0"/>
    <n v="0.92682926829268297"/>
    <n v="338.292682926829"/>
    <n v="1217.85365853659"/>
  </r>
  <r>
    <x v="0"/>
    <x v="0"/>
    <x v="0"/>
    <x v="0"/>
    <x v="1"/>
    <s v="DK2_Rural"/>
    <x v="0"/>
    <s v="GNR_ENG_BGAS_BP_E-34"/>
    <x v="0"/>
    <x v="1"/>
    <n v="0.92682926829268297"/>
    <n v="338.292682926829"/>
    <n v="1217.85365853659"/>
  </r>
  <r>
    <x v="0"/>
    <x v="0"/>
    <x v="0"/>
    <x v="0"/>
    <x v="1"/>
    <s v="DK2_Rural"/>
    <x v="0"/>
    <s v="GNR_ENG_BGAS_BP_E-34"/>
    <x v="0"/>
    <x v="2"/>
    <n v="0.92682926829268297"/>
    <n v="338.292682926829"/>
    <n v="1217.85365853659"/>
  </r>
  <r>
    <x v="0"/>
    <x v="0"/>
    <x v="0"/>
    <x v="0"/>
    <x v="1"/>
    <s v="DK2_Rural"/>
    <x v="0"/>
    <s v="GNR_ENG_BGAS_BP_E-34"/>
    <x v="0"/>
    <x v="3"/>
    <n v="0.92682926829268297"/>
    <n v="338.292682926829"/>
    <n v="1217.85365853659"/>
  </r>
  <r>
    <x v="0"/>
    <x v="0"/>
    <x v="0"/>
    <x v="0"/>
    <x v="1"/>
    <s v="DK2_Rural"/>
    <x v="0"/>
    <s v="GNR_ENG_BGAS_BP_E-34"/>
    <x v="0"/>
    <x v="4"/>
    <n v="0.92682926829268297"/>
    <n v="338.292682926829"/>
    <n v="1217.85365853659"/>
  </r>
  <r>
    <x v="0"/>
    <x v="0"/>
    <x v="0"/>
    <x v="0"/>
    <x v="1"/>
    <s v="DK2_Rural"/>
    <x v="0"/>
    <s v="GNR_ENG_BGAS_BP_E-34"/>
    <x v="0"/>
    <x v="5"/>
    <n v="0.92682926829268297"/>
    <n v="338.292682926829"/>
    <n v="1217.85365853659"/>
  </r>
  <r>
    <x v="0"/>
    <x v="0"/>
    <x v="0"/>
    <x v="0"/>
    <x v="1"/>
    <s v="DK2_Rural"/>
    <x v="0"/>
    <s v="GNR_ENG_BGAS_BP_E-34"/>
    <x v="0"/>
    <x v="6"/>
    <n v="0.92682926829268297"/>
    <n v="338.292682926829"/>
    <n v="1217.85365853659"/>
  </r>
  <r>
    <x v="0"/>
    <x v="0"/>
    <x v="0"/>
    <x v="0"/>
    <x v="1"/>
    <s v="DK2_Rural"/>
    <x v="0"/>
    <s v="GNR_ENG_BGAS_BP_E-34"/>
    <x v="0"/>
    <x v="7"/>
    <n v="0.92682926829268297"/>
    <n v="338.292682926829"/>
    <n v="1217.85365853659"/>
  </r>
  <r>
    <x v="0"/>
    <x v="0"/>
    <x v="0"/>
    <x v="0"/>
    <x v="1"/>
    <s v="DK2_Rural"/>
    <x v="0"/>
    <s v="GNR_ENG_BGAS_BP_E-34"/>
    <x v="0"/>
    <x v="8"/>
    <n v="0.92682926829268297"/>
    <n v="338.292682926829"/>
    <n v="1217.85365853659"/>
  </r>
  <r>
    <x v="0"/>
    <x v="0"/>
    <x v="0"/>
    <x v="0"/>
    <x v="1"/>
    <s v="DK2_Rural"/>
    <x v="0"/>
    <s v="GNR_ENG_BGAS_BP_E-34"/>
    <x v="0"/>
    <x v="9"/>
    <n v="0.92682926829268297"/>
    <n v="338.292682926829"/>
    <n v="1217.85365853659"/>
  </r>
  <r>
    <x v="0"/>
    <x v="0"/>
    <x v="0"/>
    <x v="0"/>
    <x v="1"/>
    <s v="DK2_Rural"/>
    <x v="0"/>
    <s v="GNR_ENG_BGAS_BP_E-34"/>
    <x v="0"/>
    <x v="10"/>
    <n v="0.92682926829268297"/>
    <n v="338.292682926829"/>
    <n v="1217.85365853659"/>
  </r>
  <r>
    <x v="0"/>
    <x v="0"/>
    <x v="0"/>
    <x v="0"/>
    <x v="1"/>
    <s v="DK2_Rural"/>
    <x v="0"/>
    <s v="GNR_ENG_BGAS_BP_E-34"/>
    <x v="0"/>
    <x v="11"/>
    <n v="0.92682926829268297"/>
    <n v="338.292682926829"/>
    <n v="1217.85365853659"/>
  </r>
  <r>
    <x v="0"/>
    <x v="0"/>
    <x v="0"/>
    <x v="0"/>
    <x v="1"/>
    <s v="DK2_Rural"/>
    <x v="0"/>
    <s v="GNR_ENG_BGAS_BP_E-34"/>
    <x v="0"/>
    <x v="12"/>
    <n v="0.92682926829268297"/>
    <n v="338.292682926829"/>
    <n v="1217.85365853659"/>
  </r>
  <r>
    <x v="0"/>
    <x v="0"/>
    <x v="0"/>
    <x v="0"/>
    <x v="1"/>
    <s v="DK2_Rural"/>
    <x v="0"/>
    <s v="GNR_ENG_BGAS_BP_E-34"/>
    <x v="0"/>
    <x v="13"/>
    <n v="0.92682926829268297"/>
    <n v="338.292682926829"/>
    <n v="1217.85365853659"/>
  </r>
  <r>
    <x v="0"/>
    <x v="0"/>
    <x v="0"/>
    <x v="0"/>
    <x v="1"/>
    <s v="DK2_Rural"/>
    <x v="0"/>
    <s v="GNR_ENG_BGAS_BP_E-34"/>
    <x v="0"/>
    <x v="14"/>
    <n v="0.92682926829268297"/>
    <n v="338.292682926829"/>
    <n v="1217.85365853659"/>
  </r>
  <r>
    <x v="0"/>
    <x v="0"/>
    <x v="0"/>
    <x v="0"/>
    <x v="1"/>
    <s v="DK2_Rural"/>
    <x v="0"/>
    <s v="GNR_ENG_BGAS_BP_E-34"/>
    <x v="0"/>
    <x v="15"/>
    <n v="0.92682926829268297"/>
    <n v="338.292682926829"/>
    <n v="1217.85365853659"/>
  </r>
  <r>
    <x v="0"/>
    <x v="0"/>
    <x v="0"/>
    <x v="0"/>
    <x v="1"/>
    <s v="DK2_Rural"/>
    <x v="0"/>
    <s v="GNR_ENG_BGAS_BP_E-34"/>
    <x v="0"/>
    <x v="16"/>
    <n v="0.92682926829268297"/>
    <n v="338.292682926829"/>
    <n v="1217.85365853659"/>
  </r>
  <r>
    <x v="0"/>
    <x v="0"/>
    <x v="0"/>
    <x v="0"/>
    <x v="1"/>
    <s v="DK2_Rural"/>
    <x v="0"/>
    <s v="GNR_ENG_BGAS_BP_E-34"/>
    <x v="0"/>
    <x v="17"/>
    <n v="0.92682926829268297"/>
    <n v="338.292682926829"/>
    <n v="1217.85365853659"/>
  </r>
  <r>
    <x v="0"/>
    <x v="0"/>
    <x v="0"/>
    <x v="0"/>
    <x v="1"/>
    <s v="DK2_Rural"/>
    <x v="0"/>
    <s v="GNR_ENG_BGAS_BP_E-34"/>
    <x v="0"/>
    <x v="18"/>
    <n v="0.92682926829268297"/>
    <n v="338.292682926829"/>
    <n v="1217.85365853659"/>
  </r>
  <r>
    <x v="0"/>
    <x v="0"/>
    <x v="0"/>
    <x v="0"/>
    <x v="1"/>
    <s v="DK2_Rural"/>
    <x v="0"/>
    <s v="GNR_ENG_BGAS_BP_E-34"/>
    <x v="0"/>
    <x v="19"/>
    <n v="0.92682926829268297"/>
    <n v="338.292682926829"/>
    <n v="1217.85365853659"/>
  </r>
  <r>
    <x v="0"/>
    <x v="0"/>
    <x v="0"/>
    <x v="0"/>
    <x v="1"/>
    <s v="DK2_Rural"/>
    <x v="0"/>
    <s v="GNR_ENG_BGAS_BP_E-34"/>
    <x v="0"/>
    <x v="20"/>
    <n v="0.92682926829268297"/>
    <n v="338.292682926829"/>
    <n v="1217.85365853659"/>
  </r>
  <r>
    <x v="0"/>
    <x v="0"/>
    <x v="0"/>
    <x v="0"/>
    <x v="1"/>
    <s v="DK2_Rural"/>
    <x v="0"/>
    <s v="GNR_ENG_BGAS_BP_E-34"/>
    <x v="0"/>
    <x v="21"/>
    <n v="0.92682926829268297"/>
    <n v="338.292682926829"/>
    <n v="1217.85365853659"/>
  </r>
  <r>
    <x v="0"/>
    <x v="0"/>
    <x v="0"/>
    <x v="0"/>
    <x v="1"/>
    <s v="DK2_Rural"/>
    <x v="0"/>
    <s v="GNR_ENG_BGAS_BP_E-34"/>
    <x v="0"/>
    <x v="22"/>
    <n v="0.92682926829268297"/>
    <n v="338.292682926829"/>
    <n v="1217.85365853659"/>
  </r>
  <r>
    <x v="0"/>
    <x v="0"/>
    <x v="0"/>
    <x v="0"/>
    <x v="1"/>
    <s v="DK2_Rural"/>
    <x v="0"/>
    <s v="GNR_ENG_BGAS_BP_E-34"/>
    <x v="0"/>
    <x v="23"/>
    <n v="0.92682926829268297"/>
    <n v="338.292682926829"/>
    <n v="1217.85365853659"/>
  </r>
  <r>
    <x v="0"/>
    <x v="0"/>
    <x v="0"/>
    <x v="0"/>
    <x v="1"/>
    <s v="DK2_Rural"/>
    <x v="0"/>
    <s v="GNR_ENG_BGAS_BP_E-39"/>
    <x v="0"/>
    <x v="0"/>
    <n v="1.23170731707317"/>
    <n v="449.57317073170702"/>
    <n v="1618.46341463415"/>
  </r>
  <r>
    <x v="0"/>
    <x v="0"/>
    <x v="0"/>
    <x v="0"/>
    <x v="1"/>
    <s v="DK2_Rural"/>
    <x v="0"/>
    <s v="GNR_ENG_BGAS_BP_E-39"/>
    <x v="0"/>
    <x v="1"/>
    <n v="1.23170731707317"/>
    <n v="449.57317073170702"/>
    <n v="1618.46341463415"/>
  </r>
  <r>
    <x v="0"/>
    <x v="0"/>
    <x v="0"/>
    <x v="0"/>
    <x v="1"/>
    <s v="DK2_Rural"/>
    <x v="0"/>
    <s v="GNR_ENG_BGAS_BP_E-39"/>
    <x v="0"/>
    <x v="2"/>
    <n v="1.23170731707317"/>
    <n v="449.57317073170702"/>
    <n v="1618.46341463415"/>
  </r>
  <r>
    <x v="0"/>
    <x v="0"/>
    <x v="0"/>
    <x v="0"/>
    <x v="1"/>
    <s v="DK2_Rural"/>
    <x v="0"/>
    <s v="GNR_ENG_BGAS_BP_E-39"/>
    <x v="0"/>
    <x v="3"/>
    <n v="1.23170731707317"/>
    <n v="449.57317073170702"/>
    <n v="1618.46341463415"/>
  </r>
  <r>
    <x v="0"/>
    <x v="0"/>
    <x v="0"/>
    <x v="0"/>
    <x v="1"/>
    <s v="DK2_Rural"/>
    <x v="0"/>
    <s v="GNR_ENG_BGAS_BP_E-39"/>
    <x v="0"/>
    <x v="4"/>
    <n v="1.23170731707317"/>
    <n v="449.57317073170702"/>
    <n v="1618.46341463415"/>
  </r>
  <r>
    <x v="0"/>
    <x v="0"/>
    <x v="0"/>
    <x v="0"/>
    <x v="1"/>
    <s v="DK2_Rural"/>
    <x v="0"/>
    <s v="GNR_ENG_BGAS_BP_E-39"/>
    <x v="0"/>
    <x v="5"/>
    <n v="1.23170731707317"/>
    <n v="449.57317073170702"/>
    <n v="1618.46341463415"/>
  </r>
  <r>
    <x v="0"/>
    <x v="0"/>
    <x v="0"/>
    <x v="0"/>
    <x v="1"/>
    <s v="DK2_Rural"/>
    <x v="0"/>
    <s v="GNR_ENG_BGAS_BP_E-39"/>
    <x v="0"/>
    <x v="6"/>
    <n v="1.23170731707317"/>
    <n v="449.57317073170702"/>
    <n v="1618.46341463415"/>
  </r>
  <r>
    <x v="0"/>
    <x v="0"/>
    <x v="0"/>
    <x v="0"/>
    <x v="1"/>
    <s v="DK2_Rural"/>
    <x v="0"/>
    <s v="GNR_ENG_BGAS_BP_E-39"/>
    <x v="0"/>
    <x v="7"/>
    <n v="1.23170731707317"/>
    <n v="449.57317073170702"/>
    <n v="1618.46341463415"/>
  </r>
  <r>
    <x v="0"/>
    <x v="0"/>
    <x v="0"/>
    <x v="0"/>
    <x v="1"/>
    <s v="DK2_Rural"/>
    <x v="0"/>
    <s v="GNR_ENG_BGAS_BP_E-39"/>
    <x v="0"/>
    <x v="8"/>
    <n v="1.23170731707317"/>
    <n v="449.57317073170702"/>
    <n v="1618.46341463415"/>
  </r>
  <r>
    <x v="0"/>
    <x v="0"/>
    <x v="0"/>
    <x v="0"/>
    <x v="1"/>
    <s v="DK2_Rural"/>
    <x v="0"/>
    <s v="GNR_ENG_BGAS_BP_E-39"/>
    <x v="0"/>
    <x v="9"/>
    <n v="1.23170731707317"/>
    <n v="449.57317073170702"/>
    <n v="1618.46341463415"/>
  </r>
  <r>
    <x v="0"/>
    <x v="0"/>
    <x v="0"/>
    <x v="0"/>
    <x v="1"/>
    <s v="DK2_Rural"/>
    <x v="0"/>
    <s v="GNR_ENG_BGAS_BP_E-39"/>
    <x v="0"/>
    <x v="10"/>
    <n v="1.23170731707317"/>
    <n v="449.57317073170702"/>
    <n v="1618.46341463415"/>
  </r>
  <r>
    <x v="0"/>
    <x v="0"/>
    <x v="0"/>
    <x v="0"/>
    <x v="1"/>
    <s v="DK2_Rural"/>
    <x v="0"/>
    <s v="GNR_ENG_BGAS_BP_E-39"/>
    <x v="0"/>
    <x v="11"/>
    <n v="1.23170731707317"/>
    <n v="449.57317073170702"/>
    <n v="1618.46341463415"/>
  </r>
  <r>
    <x v="0"/>
    <x v="0"/>
    <x v="0"/>
    <x v="0"/>
    <x v="1"/>
    <s v="DK2_Rural"/>
    <x v="0"/>
    <s v="GNR_ENG_BGAS_BP_E-39"/>
    <x v="0"/>
    <x v="12"/>
    <n v="1.23170731707317"/>
    <n v="449.57317073170702"/>
    <n v="1618.46341463415"/>
  </r>
  <r>
    <x v="0"/>
    <x v="0"/>
    <x v="0"/>
    <x v="0"/>
    <x v="1"/>
    <s v="DK2_Rural"/>
    <x v="0"/>
    <s v="GNR_ENG_BGAS_BP_E-39"/>
    <x v="0"/>
    <x v="13"/>
    <n v="1.23170731707317"/>
    <n v="449.57317073170702"/>
    <n v="1618.46341463415"/>
  </r>
  <r>
    <x v="0"/>
    <x v="0"/>
    <x v="0"/>
    <x v="0"/>
    <x v="1"/>
    <s v="DK2_Rural"/>
    <x v="0"/>
    <s v="GNR_ENG_BGAS_BP_E-39"/>
    <x v="0"/>
    <x v="14"/>
    <n v="1.23170731707317"/>
    <n v="449.57317073170702"/>
    <n v="1618.46341463415"/>
  </r>
  <r>
    <x v="0"/>
    <x v="0"/>
    <x v="0"/>
    <x v="0"/>
    <x v="1"/>
    <s v="DK2_Rural"/>
    <x v="0"/>
    <s v="GNR_ENG_BGAS_BP_E-39"/>
    <x v="0"/>
    <x v="15"/>
    <n v="1.23170731707317"/>
    <n v="449.57317073170702"/>
    <n v="1618.46341463415"/>
  </r>
  <r>
    <x v="0"/>
    <x v="0"/>
    <x v="0"/>
    <x v="0"/>
    <x v="1"/>
    <s v="DK2_Rural"/>
    <x v="0"/>
    <s v="GNR_ENG_BGAS_BP_E-39"/>
    <x v="0"/>
    <x v="16"/>
    <n v="1.23170731707317"/>
    <n v="449.57317073170702"/>
    <n v="1618.46341463415"/>
  </r>
  <r>
    <x v="0"/>
    <x v="0"/>
    <x v="0"/>
    <x v="0"/>
    <x v="1"/>
    <s v="DK2_Rural"/>
    <x v="0"/>
    <s v="GNR_ENG_BGAS_BP_E-39"/>
    <x v="0"/>
    <x v="17"/>
    <n v="1.23170731707317"/>
    <n v="449.57317073170702"/>
    <n v="1618.46341463415"/>
  </r>
  <r>
    <x v="0"/>
    <x v="0"/>
    <x v="0"/>
    <x v="0"/>
    <x v="1"/>
    <s v="DK2_Rural"/>
    <x v="0"/>
    <s v="GNR_ENG_BGAS_BP_E-39"/>
    <x v="0"/>
    <x v="18"/>
    <n v="1.23170731707317"/>
    <n v="449.57317073170702"/>
    <n v="1618.46341463415"/>
  </r>
  <r>
    <x v="0"/>
    <x v="0"/>
    <x v="0"/>
    <x v="0"/>
    <x v="1"/>
    <s v="DK2_Rural"/>
    <x v="0"/>
    <s v="GNR_ENG_BGAS_BP_E-39"/>
    <x v="0"/>
    <x v="19"/>
    <n v="1.23170731707317"/>
    <n v="449.57317073170702"/>
    <n v="1618.46341463415"/>
  </r>
  <r>
    <x v="0"/>
    <x v="0"/>
    <x v="0"/>
    <x v="0"/>
    <x v="1"/>
    <s v="DK2_Rural"/>
    <x v="0"/>
    <s v="GNR_ENG_BGAS_BP_E-39"/>
    <x v="0"/>
    <x v="20"/>
    <n v="1.23170731707317"/>
    <n v="449.57317073170702"/>
    <n v="1618.46341463415"/>
  </r>
  <r>
    <x v="0"/>
    <x v="0"/>
    <x v="0"/>
    <x v="0"/>
    <x v="1"/>
    <s v="DK2_Rural"/>
    <x v="0"/>
    <s v="GNR_ENG_BGAS_BP_E-39"/>
    <x v="0"/>
    <x v="21"/>
    <n v="1.23170731707317"/>
    <n v="449.57317073170702"/>
    <n v="1618.46341463415"/>
  </r>
  <r>
    <x v="0"/>
    <x v="0"/>
    <x v="0"/>
    <x v="0"/>
    <x v="1"/>
    <s v="DK2_Rural"/>
    <x v="0"/>
    <s v="GNR_ENG_BGAS_BP_E-39"/>
    <x v="0"/>
    <x v="22"/>
    <n v="1.23170731707317"/>
    <n v="449.57317073170702"/>
    <n v="1618.46341463415"/>
  </r>
  <r>
    <x v="0"/>
    <x v="0"/>
    <x v="0"/>
    <x v="0"/>
    <x v="1"/>
    <s v="DK2_Rural"/>
    <x v="0"/>
    <s v="GNR_ENG_BGAS_BP_E-39"/>
    <x v="0"/>
    <x v="23"/>
    <n v="1.23170731707317"/>
    <n v="449.57317073170702"/>
    <n v="1618.46341463415"/>
  </r>
  <r>
    <x v="0"/>
    <x v="0"/>
    <x v="0"/>
    <x v="0"/>
    <x v="1"/>
    <s v="DK2_Rural"/>
    <x v="0"/>
    <s v="GNR_ENG_BGAS_BP_E-40"/>
    <x v="0"/>
    <x v="0"/>
    <n v="0.64634146341463405"/>
    <n v="235.914634146341"/>
    <n v="849.292682926829"/>
  </r>
  <r>
    <x v="0"/>
    <x v="0"/>
    <x v="0"/>
    <x v="0"/>
    <x v="1"/>
    <s v="DK2_Rural"/>
    <x v="0"/>
    <s v="GNR_ENG_BGAS_BP_E-40"/>
    <x v="0"/>
    <x v="1"/>
    <n v="0.64634146341463405"/>
    <n v="235.914634146341"/>
    <n v="849.292682926829"/>
  </r>
  <r>
    <x v="0"/>
    <x v="0"/>
    <x v="0"/>
    <x v="0"/>
    <x v="1"/>
    <s v="DK2_Rural"/>
    <x v="0"/>
    <s v="GNR_ENG_BGAS_BP_E-40"/>
    <x v="0"/>
    <x v="2"/>
    <n v="0.64634146341463405"/>
    <n v="235.914634146341"/>
    <n v="849.292682926829"/>
  </r>
  <r>
    <x v="0"/>
    <x v="0"/>
    <x v="0"/>
    <x v="0"/>
    <x v="1"/>
    <s v="DK2_Rural"/>
    <x v="0"/>
    <s v="GNR_ENG_BGAS_BP_E-40"/>
    <x v="0"/>
    <x v="3"/>
    <n v="0.64634146341463405"/>
    <n v="235.914634146341"/>
    <n v="849.292682926829"/>
  </r>
  <r>
    <x v="0"/>
    <x v="0"/>
    <x v="0"/>
    <x v="0"/>
    <x v="1"/>
    <s v="DK2_Rural"/>
    <x v="0"/>
    <s v="GNR_ENG_BGAS_BP_E-40"/>
    <x v="0"/>
    <x v="4"/>
    <n v="0.64634146341463405"/>
    <n v="235.914634146341"/>
    <n v="849.292682926829"/>
  </r>
  <r>
    <x v="0"/>
    <x v="0"/>
    <x v="0"/>
    <x v="0"/>
    <x v="1"/>
    <s v="DK2_Rural"/>
    <x v="0"/>
    <s v="GNR_ENG_BGAS_BP_E-40"/>
    <x v="0"/>
    <x v="5"/>
    <n v="0.64634146341463405"/>
    <n v="235.914634146341"/>
    <n v="849.292682926829"/>
  </r>
  <r>
    <x v="0"/>
    <x v="0"/>
    <x v="0"/>
    <x v="0"/>
    <x v="1"/>
    <s v="DK2_Rural"/>
    <x v="0"/>
    <s v="GNR_ENG_BGAS_BP_E-40"/>
    <x v="0"/>
    <x v="6"/>
    <n v="0.64634146341463405"/>
    <n v="235.914634146341"/>
    <n v="849.292682926829"/>
  </r>
  <r>
    <x v="0"/>
    <x v="0"/>
    <x v="0"/>
    <x v="0"/>
    <x v="1"/>
    <s v="DK2_Rural"/>
    <x v="0"/>
    <s v="GNR_ENG_BGAS_BP_E-40"/>
    <x v="0"/>
    <x v="7"/>
    <n v="0.64634146341463405"/>
    <n v="235.914634146341"/>
    <n v="849.292682926829"/>
  </r>
  <r>
    <x v="0"/>
    <x v="0"/>
    <x v="0"/>
    <x v="0"/>
    <x v="1"/>
    <s v="DK2_Rural"/>
    <x v="0"/>
    <s v="GNR_ENG_BGAS_BP_E-40"/>
    <x v="0"/>
    <x v="8"/>
    <n v="0.64634146341463405"/>
    <n v="235.914634146341"/>
    <n v="849.292682926829"/>
  </r>
  <r>
    <x v="0"/>
    <x v="0"/>
    <x v="0"/>
    <x v="0"/>
    <x v="1"/>
    <s v="DK2_Rural"/>
    <x v="0"/>
    <s v="GNR_ENG_BGAS_BP_E-40"/>
    <x v="0"/>
    <x v="9"/>
    <n v="0.64634146341463405"/>
    <n v="235.914634146341"/>
    <n v="849.292682926829"/>
  </r>
  <r>
    <x v="0"/>
    <x v="0"/>
    <x v="0"/>
    <x v="0"/>
    <x v="1"/>
    <s v="DK2_Rural"/>
    <x v="0"/>
    <s v="GNR_ENG_BGAS_BP_E-40"/>
    <x v="0"/>
    <x v="10"/>
    <n v="0.64634146341463405"/>
    <n v="235.914634146341"/>
    <n v="849.292682926829"/>
  </r>
  <r>
    <x v="0"/>
    <x v="0"/>
    <x v="0"/>
    <x v="0"/>
    <x v="1"/>
    <s v="DK2_Rural"/>
    <x v="0"/>
    <s v="GNR_ENG_BGAS_BP_E-40"/>
    <x v="0"/>
    <x v="11"/>
    <n v="0.64634146341463405"/>
    <n v="235.914634146341"/>
    <n v="849.292682926829"/>
  </r>
  <r>
    <x v="0"/>
    <x v="0"/>
    <x v="0"/>
    <x v="0"/>
    <x v="1"/>
    <s v="DK2_Rural"/>
    <x v="0"/>
    <s v="GNR_ENG_BGAS_BP_E-40"/>
    <x v="0"/>
    <x v="12"/>
    <n v="0.64634146341463405"/>
    <n v="235.914634146341"/>
    <n v="849.292682926829"/>
  </r>
  <r>
    <x v="0"/>
    <x v="0"/>
    <x v="0"/>
    <x v="0"/>
    <x v="1"/>
    <s v="DK2_Rural"/>
    <x v="0"/>
    <s v="GNR_ENG_BGAS_BP_E-40"/>
    <x v="0"/>
    <x v="13"/>
    <n v="0.64634146341463405"/>
    <n v="235.914634146341"/>
    <n v="849.292682926829"/>
  </r>
  <r>
    <x v="0"/>
    <x v="0"/>
    <x v="0"/>
    <x v="0"/>
    <x v="1"/>
    <s v="DK2_Rural"/>
    <x v="0"/>
    <s v="GNR_ENG_BGAS_BP_E-40"/>
    <x v="0"/>
    <x v="14"/>
    <n v="0.64634146341463405"/>
    <n v="235.914634146341"/>
    <n v="849.292682926829"/>
  </r>
  <r>
    <x v="0"/>
    <x v="0"/>
    <x v="0"/>
    <x v="0"/>
    <x v="1"/>
    <s v="DK2_Rural"/>
    <x v="0"/>
    <s v="GNR_ENG_BGAS_BP_E-40"/>
    <x v="0"/>
    <x v="15"/>
    <n v="0.64634146341463405"/>
    <n v="235.914634146341"/>
    <n v="849.292682926829"/>
  </r>
  <r>
    <x v="0"/>
    <x v="0"/>
    <x v="0"/>
    <x v="0"/>
    <x v="1"/>
    <s v="DK2_Rural"/>
    <x v="0"/>
    <s v="GNR_ENG_BGAS_BP_E-40"/>
    <x v="0"/>
    <x v="16"/>
    <n v="0.64634146341463405"/>
    <n v="235.914634146341"/>
    <n v="849.292682926829"/>
  </r>
  <r>
    <x v="0"/>
    <x v="0"/>
    <x v="0"/>
    <x v="0"/>
    <x v="1"/>
    <s v="DK2_Rural"/>
    <x v="0"/>
    <s v="GNR_ENG_BGAS_BP_E-40"/>
    <x v="0"/>
    <x v="17"/>
    <n v="0.64634146341463405"/>
    <n v="235.914634146341"/>
    <n v="849.292682926829"/>
  </r>
  <r>
    <x v="0"/>
    <x v="0"/>
    <x v="0"/>
    <x v="0"/>
    <x v="1"/>
    <s v="DK2_Rural"/>
    <x v="0"/>
    <s v="GNR_ENG_BGAS_BP_E-40"/>
    <x v="0"/>
    <x v="18"/>
    <n v="0.64634146341463405"/>
    <n v="235.914634146341"/>
    <n v="849.292682926829"/>
  </r>
  <r>
    <x v="0"/>
    <x v="0"/>
    <x v="0"/>
    <x v="0"/>
    <x v="1"/>
    <s v="DK2_Rural"/>
    <x v="0"/>
    <s v="GNR_ENG_BGAS_BP_E-40"/>
    <x v="0"/>
    <x v="19"/>
    <n v="0.64634146341463405"/>
    <n v="235.914634146341"/>
    <n v="849.292682926829"/>
  </r>
  <r>
    <x v="0"/>
    <x v="0"/>
    <x v="0"/>
    <x v="0"/>
    <x v="1"/>
    <s v="DK2_Rural"/>
    <x v="0"/>
    <s v="GNR_ENG_BGAS_BP_E-40"/>
    <x v="0"/>
    <x v="20"/>
    <n v="0.64634146341463405"/>
    <n v="235.914634146341"/>
    <n v="849.292682926829"/>
  </r>
  <r>
    <x v="0"/>
    <x v="0"/>
    <x v="0"/>
    <x v="0"/>
    <x v="1"/>
    <s v="DK2_Rural"/>
    <x v="0"/>
    <s v="GNR_ENG_BGAS_BP_E-40"/>
    <x v="0"/>
    <x v="21"/>
    <n v="0.64634146341463405"/>
    <n v="235.914634146341"/>
    <n v="849.292682926829"/>
  </r>
  <r>
    <x v="0"/>
    <x v="0"/>
    <x v="0"/>
    <x v="0"/>
    <x v="1"/>
    <s v="DK2_Rural"/>
    <x v="0"/>
    <s v="GNR_ENG_BGAS_BP_E-40"/>
    <x v="0"/>
    <x v="22"/>
    <n v="0.64634146341463405"/>
    <n v="235.914634146341"/>
    <n v="849.292682926829"/>
  </r>
  <r>
    <x v="0"/>
    <x v="0"/>
    <x v="0"/>
    <x v="0"/>
    <x v="1"/>
    <s v="DK2_Rural"/>
    <x v="0"/>
    <s v="GNR_ENG_BGAS_BP_E-40"/>
    <x v="0"/>
    <x v="23"/>
    <n v="0.64634146341463405"/>
    <n v="235.914634146341"/>
    <n v="849.292682926829"/>
  </r>
  <r>
    <x v="0"/>
    <x v="0"/>
    <x v="0"/>
    <x v="0"/>
    <x v="1"/>
    <s v="DK2_Rural"/>
    <x v="0"/>
    <s v="GNR_ENG_BGAS_BP_E-41"/>
    <x v="0"/>
    <x v="0"/>
    <n v="2.4390243902439002"/>
    <n v="890.24390243902405"/>
    <n v="3204.8780487804902"/>
  </r>
  <r>
    <x v="0"/>
    <x v="0"/>
    <x v="0"/>
    <x v="0"/>
    <x v="1"/>
    <s v="DK2_Rural"/>
    <x v="0"/>
    <s v="GNR_ENG_BGAS_BP_E-41"/>
    <x v="0"/>
    <x v="1"/>
    <n v="2.4390243902439002"/>
    <n v="890.24390243902405"/>
    <n v="3204.8780487804902"/>
  </r>
  <r>
    <x v="0"/>
    <x v="0"/>
    <x v="0"/>
    <x v="0"/>
    <x v="1"/>
    <s v="DK2_Rural"/>
    <x v="0"/>
    <s v="GNR_ENG_BGAS_BP_E-41"/>
    <x v="0"/>
    <x v="2"/>
    <n v="2.4390243902439002"/>
    <n v="890.24390243902405"/>
    <n v="3204.8780487804902"/>
  </r>
  <r>
    <x v="0"/>
    <x v="0"/>
    <x v="0"/>
    <x v="0"/>
    <x v="1"/>
    <s v="DK2_Rural"/>
    <x v="0"/>
    <s v="GNR_ENG_BGAS_BP_E-41"/>
    <x v="0"/>
    <x v="3"/>
    <n v="2.4390243902439002"/>
    <n v="890.24390243902405"/>
    <n v="3204.8780487804902"/>
  </r>
  <r>
    <x v="0"/>
    <x v="0"/>
    <x v="0"/>
    <x v="0"/>
    <x v="1"/>
    <s v="DK2_Rural"/>
    <x v="0"/>
    <s v="GNR_ENG_BGAS_BP_E-41"/>
    <x v="0"/>
    <x v="4"/>
    <n v="2.4390243902439002"/>
    <n v="890.24390243902405"/>
    <n v="3204.8780487804902"/>
  </r>
  <r>
    <x v="0"/>
    <x v="0"/>
    <x v="0"/>
    <x v="0"/>
    <x v="1"/>
    <s v="DK2_Rural"/>
    <x v="0"/>
    <s v="GNR_ENG_BGAS_BP_E-41"/>
    <x v="0"/>
    <x v="5"/>
    <n v="2.4390243902439002"/>
    <n v="890.24390243902405"/>
    <n v="3204.8780487804902"/>
  </r>
  <r>
    <x v="0"/>
    <x v="0"/>
    <x v="0"/>
    <x v="0"/>
    <x v="1"/>
    <s v="DK2_Rural"/>
    <x v="0"/>
    <s v="GNR_ENG_BGAS_BP_E-41"/>
    <x v="0"/>
    <x v="6"/>
    <n v="2.4390243902439002"/>
    <n v="890.24390243902405"/>
    <n v="3204.8780487804902"/>
  </r>
  <r>
    <x v="0"/>
    <x v="0"/>
    <x v="0"/>
    <x v="0"/>
    <x v="1"/>
    <s v="DK2_Rural"/>
    <x v="0"/>
    <s v="GNR_ENG_BGAS_BP_E-41"/>
    <x v="0"/>
    <x v="7"/>
    <n v="2.4390243902439002"/>
    <n v="890.24390243902405"/>
    <n v="3204.8780487804902"/>
  </r>
  <r>
    <x v="0"/>
    <x v="0"/>
    <x v="0"/>
    <x v="0"/>
    <x v="1"/>
    <s v="DK2_Rural"/>
    <x v="0"/>
    <s v="GNR_ENG_BGAS_BP_E-41"/>
    <x v="0"/>
    <x v="8"/>
    <n v="2.4390243902439002"/>
    <n v="890.24390243902405"/>
    <n v="3204.8780487804902"/>
  </r>
  <r>
    <x v="0"/>
    <x v="0"/>
    <x v="0"/>
    <x v="0"/>
    <x v="1"/>
    <s v="DK2_Rural"/>
    <x v="0"/>
    <s v="GNR_ENG_BGAS_BP_E-41"/>
    <x v="0"/>
    <x v="9"/>
    <n v="2.4390243902439002"/>
    <n v="890.24390243902405"/>
    <n v="3204.8780487804902"/>
  </r>
  <r>
    <x v="0"/>
    <x v="0"/>
    <x v="0"/>
    <x v="0"/>
    <x v="1"/>
    <s v="DK2_Rural"/>
    <x v="0"/>
    <s v="GNR_ENG_BGAS_BP_E-41"/>
    <x v="0"/>
    <x v="10"/>
    <n v="2.4390243902439002"/>
    <n v="890.24390243902405"/>
    <n v="3204.8780487804902"/>
  </r>
  <r>
    <x v="0"/>
    <x v="0"/>
    <x v="0"/>
    <x v="0"/>
    <x v="1"/>
    <s v="DK2_Rural"/>
    <x v="0"/>
    <s v="GNR_ENG_BGAS_BP_E-41"/>
    <x v="0"/>
    <x v="11"/>
    <n v="2.4390243902439002"/>
    <n v="890.24390243902405"/>
    <n v="3204.8780487804902"/>
  </r>
  <r>
    <x v="0"/>
    <x v="0"/>
    <x v="0"/>
    <x v="0"/>
    <x v="1"/>
    <s v="DK2_Rural"/>
    <x v="0"/>
    <s v="GNR_ENG_BGAS_BP_E-41"/>
    <x v="0"/>
    <x v="12"/>
    <n v="2.4390243902439002"/>
    <n v="890.24390243902405"/>
    <n v="3204.8780487804902"/>
  </r>
  <r>
    <x v="0"/>
    <x v="0"/>
    <x v="0"/>
    <x v="0"/>
    <x v="1"/>
    <s v="DK2_Rural"/>
    <x v="0"/>
    <s v="GNR_ENG_BGAS_BP_E-41"/>
    <x v="0"/>
    <x v="13"/>
    <n v="2.4390243902439002"/>
    <n v="890.24390243902405"/>
    <n v="3204.8780487804902"/>
  </r>
  <r>
    <x v="0"/>
    <x v="0"/>
    <x v="0"/>
    <x v="0"/>
    <x v="1"/>
    <s v="DK2_Rural"/>
    <x v="0"/>
    <s v="GNR_ENG_BGAS_BP_E-41"/>
    <x v="0"/>
    <x v="14"/>
    <n v="2.4390243902439002"/>
    <n v="890.24390243902405"/>
    <n v="3204.8780487804902"/>
  </r>
  <r>
    <x v="0"/>
    <x v="0"/>
    <x v="0"/>
    <x v="0"/>
    <x v="1"/>
    <s v="DK2_Rural"/>
    <x v="0"/>
    <s v="GNR_ENG_BGAS_BP_E-41"/>
    <x v="0"/>
    <x v="15"/>
    <n v="2.4390243902439002"/>
    <n v="890.24390243902405"/>
    <n v="3204.8780487804902"/>
  </r>
  <r>
    <x v="0"/>
    <x v="0"/>
    <x v="0"/>
    <x v="0"/>
    <x v="1"/>
    <s v="DK2_Rural"/>
    <x v="0"/>
    <s v="GNR_ENG_BGAS_BP_E-41"/>
    <x v="0"/>
    <x v="16"/>
    <n v="2.4390243902439002"/>
    <n v="890.24390243902405"/>
    <n v="3204.8780487804902"/>
  </r>
  <r>
    <x v="0"/>
    <x v="0"/>
    <x v="0"/>
    <x v="0"/>
    <x v="1"/>
    <s v="DK2_Rural"/>
    <x v="0"/>
    <s v="GNR_ENG_BGAS_BP_E-41"/>
    <x v="0"/>
    <x v="17"/>
    <n v="2.4390243902439002"/>
    <n v="890.24390243902405"/>
    <n v="3204.8780487804902"/>
  </r>
  <r>
    <x v="0"/>
    <x v="0"/>
    <x v="0"/>
    <x v="0"/>
    <x v="1"/>
    <s v="DK2_Rural"/>
    <x v="0"/>
    <s v="GNR_ENG_BGAS_BP_E-41"/>
    <x v="0"/>
    <x v="18"/>
    <n v="2.4390243902439002"/>
    <n v="890.24390243902405"/>
    <n v="3204.8780487804902"/>
  </r>
  <r>
    <x v="0"/>
    <x v="0"/>
    <x v="0"/>
    <x v="0"/>
    <x v="1"/>
    <s v="DK2_Rural"/>
    <x v="0"/>
    <s v="GNR_ENG_BGAS_BP_E-41"/>
    <x v="0"/>
    <x v="19"/>
    <n v="2.4390243902439002"/>
    <n v="890.24390243902405"/>
    <n v="3204.8780487804902"/>
  </r>
  <r>
    <x v="0"/>
    <x v="0"/>
    <x v="0"/>
    <x v="0"/>
    <x v="1"/>
    <s v="DK2_Rural"/>
    <x v="0"/>
    <s v="GNR_ENG_BGAS_BP_E-41"/>
    <x v="0"/>
    <x v="20"/>
    <n v="2.4390243902439002"/>
    <n v="890.24390243902405"/>
    <n v="3204.8780487804902"/>
  </r>
  <r>
    <x v="0"/>
    <x v="0"/>
    <x v="0"/>
    <x v="0"/>
    <x v="1"/>
    <s v="DK2_Rural"/>
    <x v="0"/>
    <s v="GNR_ENG_BGAS_BP_E-41"/>
    <x v="0"/>
    <x v="21"/>
    <n v="2.4390243902439002"/>
    <n v="890.24390243902405"/>
    <n v="3204.8780487804902"/>
  </r>
  <r>
    <x v="0"/>
    <x v="0"/>
    <x v="0"/>
    <x v="0"/>
    <x v="1"/>
    <s v="DK2_Rural"/>
    <x v="0"/>
    <s v="GNR_ENG_BGAS_BP_E-41"/>
    <x v="0"/>
    <x v="22"/>
    <n v="2.4390243902439002"/>
    <n v="890.24390243902405"/>
    <n v="3204.8780487804902"/>
  </r>
  <r>
    <x v="0"/>
    <x v="0"/>
    <x v="0"/>
    <x v="0"/>
    <x v="1"/>
    <s v="DK2_Rural"/>
    <x v="0"/>
    <s v="GNR_ENG_BGAS_BP_E-41"/>
    <x v="0"/>
    <x v="23"/>
    <n v="2.4390243902439002"/>
    <n v="890.24390243902405"/>
    <n v="3204.8780487804902"/>
  </r>
  <r>
    <x v="0"/>
    <x v="0"/>
    <x v="0"/>
    <x v="0"/>
    <x v="1"/>
    <s v="DK2_Rural"/>
    <x v="0"/>
    <s v="GNR_ENG_BGAS_BP_E-42"/>
    <x v="0"/>
    <x v="0"/>
    <n v="6.9926829268292696"/>
    <n v="2552.3292682926799"/>
    <n v="9188.3853658536591"/>
  </r>
  <r>
    <x v="0"/>
    <x v="0"/>
    <x v="0"/>
    <x v="0"/>
    <x v="1"/>
    <s v="DK2_Rural"/>
    <x v="0"/>
    <s v="GNR_ENG_BGAS_BP_E-42"/>
    <x v="0"/>
    <x v="1"/>
    <n v="6.9926829268292696"/>
    <n v="2552.3292682926799"/>
    <n v="9188.3853658536591"/>
  </r>
  <r>
    <x v="0"/>
    <x v="0"/>
    <x v="0"/>
    <x v="0"/>
    <x v="1"/>
    <s v="DK2_Rural"/>
    <x v="0"/>
    <s v="GNR_ENG_BGAS_BP_E-42"/>
    <x v="0"/>
    <x v="2"/>
    <n v="6.9926829268292696"/>
    <n v="2552.3292682926799"/>
    <n v="9188.3853658536591"/>
  </r>
  <r>
    <x v="0"/>
    <x v="0"/>
    <x v="0"/>
    <x v="0"/>
    <x v="1"/>
    <s v="DK2_Rural"/>
    <x v="0"/>
    <s v="GNR_ENG_BGAS_BP_E-42"/>
    <x v="0"/>
    <x v="3"/>
    <n v="6.9926829268292696"/>
    <n v="2552.3292682926799"/>
    <n v="9188.3853658536591"/>
  </r>
  <r>
    <x v="0"/>
    <x v="0"/>
    <x v="0"/>
    <x v="0"/>
    <x v="1"/>
    <s v="DK2_Rural"/>
    <x v="0"/>
    <s v="GNR_ENG_BGAS_BP_E-42"/>
    <x v="0"/>
    <x v="4"/>
    <n v="6.9926829268292696"/>
    <n v="2552.3292682926799"/>
    <n v="9188.3853658536591"/>
  </r>
  <r>
    <x v="0"/>
    <x v="0"/>
    <x v="0"/>
    <x v="0"/>
    <x v="1"/>
    <s v="DK2_Rural"/>
    <x v="0"/>
    <s v="GNR_ENG_BGAS_BP_E-42"/>
    <x v="0"/>
    <x v="5"/>
    <n v="6.9926829268292696"/>
    <n v="2552.3292682926799"/>
    <n v="9188.3853658536591"/>
  </r>
  <r>
    <x v="0"/>
    <x v="0"/>
    <x v="0"/>
    <x v="0"/>
    <x v="1"/>
    <s v="DK2_Rural"/>
    <x v="0"/>
    <s v="GNR_ENG_BGAS_BP_E-42"/>
    <x v="0"/>
    <x v="6"/>
    <n v="6.9926829268292696"/>
    <n v="2552.3292682926799"/>
    <n v="9188.3853658536591"/>
  </r>
  <r>
    <x v="0"/>
    <x v="0"/>
    <x v="0"/>
    <x v="0"/>
    <x v="1"/>
    <s v="DK2_Rural"/>
    <x v="0"/>
    <s v="GNR_ENG_BGAS_BP_E-42"/>
    <x v="0"/>
    <x v="7"/>
    <n v="6.9926829268292696"/>
    <n v="2552.3292682926799"/>
    <n v="9188.3853658536591"/>
  </r>
  <r>
    <x v="0"/>
    <x v="0"/>
    <x v="0"/>
    <x v="0"/>
    <x v="1"/>
    <s v="DK2_Rural"/>
    <x v="0"/>
    <s v="GNR_ENG_BGAS_BP_E-42"/>
    <x v="0"/>
    <x v="8"/>
    <n v="6.9926829268292696"/>
    <n v="2552.3292682926799"/>
    <n v="9188.3853658536591"/>
  </r>
  <r>
    <x v="0"/>
    <x v="0"/>
    <x v="0"/>
    <x v="0"/>
    <x v="1"/>
    <s v="DK2_Rural"/>
    <x v="0"/>
    <s v="GNR_ENG_BGAS_BP_E-42"/>
    <x v="0"/>
    <x v="9"/>
    <n v="6.9926829268292696"/>
    <n v="2552.3292682926799"/>
    <n v="9188.3853658536591"/>
  </r>
  <r>
    <x v="0"/>
    <x v="0"/>
    <x v="0"/>
    <x v="0"/>
    <x v="1"/>
    <s v="DK2_Rural"/>
    <x v="0"/>
    <s v="GNR_ENG_BGAS_BP_E-42"/>
    <x v="0"/>
    <x v="10"/>
    <n v="6.9926829268292696"/>
    <n v="2552.3292682926799"/>
    <n v="9188.3853658536591"/>
  </r>
  <r>
    <x v="0"/>
    <x v="0"/>
    <x v="0"/>
    <x v="0"/>
    <x v="1"/>
    <s v="DK2_Rural"/>
    <x v="0"/>
    <s v="GNR_ENG_BGAS_BP_E-42"/>
    <x v="0"/>
    <x v="11"/>
    <n v="6.9926829268292696"/>
    <n v="2552.3292682926799"/>
    <n v="9188.3853658536591"/>
  </r>
  <r>
    <x v="0"/>
    <x v="0"/>
    <x v="0"/>
    <x v="0"/>
    <x v="1"/>
    <s v="DK2_Rural"/>
    <x v="0"/>
    <s v="GNR_ENG_BGAS_BP_E-42"/>
    <x v="0"/>
    <x v="12"/>
    <n v="6.9926829268292696"/>
    <n v="2552.3292682926799"/>
    <n v="9188.3853658536591"/>
  </r>
  <r>
    <x v="0"/>
    <x v="0"/>
    <x v="0"/>
    <x v="0"/>
    <x v="1"/>
    <s v="DK2_Rural"/>
    <x v="0"/>
    <s v="GNR_ENG_BGAS_BP_E-42"/>
    <x v="0"/>
    <x v="13"/>
    <n v="6.9926829268292696"/>
    <n v="2552.3292682926799"/>
    <n v="9188.3853658536591"/>
  </r>
  <r>
    <x v="0"/>
    <x v="0"/>
    <x v="0"/>
    <x v="0"/>
    <x v="1"/>
    <s v="DK2_Rural"/>
    <x v="0"/>
    <s v="GNR_ENG_BGAS_BP_E-42"/>
    <x v="0"/>
    <x v="14"/>
    <n v="6.9926829268292696"/>
    <n v="2552.3292682926799"/>
    <n v="9188.3853658536591"/>
  </r>
  <r>
    <x v="0"/>
    <x v="0"/>
    <x v="0"/>
    <x v="0"/>
    <x v="1"/>
    <s v="DK2_Rural"/>
    <x v="0"/>
    <s v="GNR_ENG_BGAS_BP_E-42"/>
    <x v="0"/>
    <x v="15"/>
    <n v="6.9926829268292696"/>
    <n v="2552.3292682926799"/>
    <n v="9188.3853658536591"/>
  </r>
  <r>
    <x v="0"/>
    <x v="0"/>
    <x v="0"/>
    <x v="0"/>
    <x v="1"/>
    <s v="DK2_Rural"/>
    <x v="0"/>
    <s v="GNR_ENG_BGAS_BP_E-42"/>
    <x v="0"/>
    <x v="16"/>
    <n v="6.9926829268292696"/>
    <n v="2552.3292682926799"/>
    <n v="9188.3853658536591"/>
  </r>
  <r>
    <x v="0"/>
    <x v="0"/>
    <x v="0"/>
    <x v="0"/>
    <x v="1"/>
    <s v="DK2_Rural"/>
    <x v="0"/>
    <s v="GNR_ENG_BGAS_BP_E-42"/>
    <x v="0"/>
    <x v="17"/>
    <n v="6.9926829268292696"/>
    <n v="2552.3292682926799"/>
    <n v="9188.3853658536591"/>
  </r>
  <r>
    <x v="0"/>
    <x v="0"/>
    <x v="0"/>
    <x v="0"/>
    <x v="1"/>
    <s v="DK2_Rural"/>
    <x v="0"/>
    <s v="GNR_ENG_BGAS_BP_E-42"/>
    <x v="0"/>
    <x v="18"/>
    <n v="6.9926829268292696"/>
    <n v="2552.3292682926799"/>
    <n v="9188.3853658536591"/>
  </r>
  <r>
    <x v="0"/>
    <x v="0"/>
    <x v="0"/>
    <x v="0"/>
    <x v="1"/>
    <s v="DK2_Rural"/>
    <x v="0"/>
    <s v="GNR_ENG_BGAS_BP_E-42"/>
    <x v="0"/>
    <x v="19"/>
    <n v="6.9926829268292696"/>
    <n v="2552.3292682926799"/>
    <n v="9188.3853658536591"/>
  </r>
  <r>
    <x v="0"/>
    <x v="0"/>
    <x v="0"/>
    <x v="0"/>
    <x v="1"/>
    <s v="DK2_Rural"/>
    <x v="0"/>
    <s v="GNR_ENG_BGAS_BP_E-42"/>
    <x v="0"/>
    <x v="20"/>
    <n v="6.9926829268292696"/>
    <n v="2552.3292682926799"/>
    <n v="9188.3853658536591"/>
  </r>
  <r>
    <x v="0"/>
    <x v="0"/>
    <x v="0"/>
    <x v="0"/>
    <x v="1"/>
    <s v="DK2_Rural"/>
    <x v="0"/>
    <s v="GNR_ENG_BGAS_BP_E-42"/>
    <x v="0"/>
    <x v="21"/>
    <n v="6.9926829268292696"/>
    <n v="2552.3292682926799"/>
    <n v="9188.3853658536591"/>
  </r>
  <r>
    <x v="0"/>
    <x v="0"/>
    <x v="0"/>
    <x v="0"/>
    <x v="1"/>
    <s v="DK2_Rural"/>
    <x v="0"/>
    <s v="GNR_ENG_BGAS_BP_E-42"/>
    <x v="0"/>
    <x v="22"/>
    <n v="6.9926829268292696"/>
    <n v="2552.3292682926799"/>
    <n v="9188.3853658536591"/>
  </r>
  <r>
    <x v="0"/>
    <x v="0"/>
    <x v="0"/>
    <x v="0"/>
    <x v="1"/>
    <s v="DK2_Rural"/>
    <x v="0"/>
    <s v="GNR_ENG_BGAS_BP_E-42"/>
    <x v="0"/>
    <x v="23"/>
    <n v="6.9926829268292696"/>
    <n v="2552.3292682926799"/>
    <n v="9188.3853658536591"/>
  </r>
  <r>
    <x v="0"/>
    <x v="0"/>
    <x v="0"/>
    <x v="0"/>
    <x v="1"/>
    <s v="DK2_Rural"/>
    <x v="2"/>
    <s v="GNR_HS_HEAT-E-100"/>
    <x v="0"/>
    <x v="7"/>
    <n v="12.4928718142507"/>
    <n v="4559.8982122015104"/>
    <n v="16415.633563925399"/>
  </r>
  <r>
    <x v="0"/>
    <x v="0"/>
    <x v="0"/>
    <x v="0"/>
    <x v="1"/>
    <s v="DK2_Rural"/>
    <x v="2"/>
    <s v="GNR_HS_HEAT-E-100"/>
    <x v="0"/>
    <x v="8"/>
    <n v="17.8523711094257"/>
    <n v="6516.11545494037"/>
    <n v="23458.015637785302"/>
  </r>
  <r>
    <x v="0"/>
    <x v="0"/>
    <x v="0"/>
    <x v="0"/>
    <x v="1"/>
    <s v="DK2_Rural"/>
    <x v="2"/>
    <s v="GNR_HS_HEAT-E-100"/>
    <x v="0"/>
    <x v="9"/>
    <n v="17.1652558151725"/>
    <n v="6265.3183725379504"/>
    <n v="22555.1461411366"/>
  </r>
  <r>
    <x v="0"/>
    <x v="0"/>
    <x v="0"/>
    <x v="0"/>
    <x v="1"/>
    <s v="DK2_Rural"/>
    <x v="2"/>
    <s v="GNR_HS_HEAT-E-100"/>
    <x v="0"/>
    <x v="10"/>
    <n v="10.9297177361089"/>
    <n v="3989.3469736797701"/>
    <n v="14361.649105247199"/>
  </r>
  <r>
    <x v="0"/>
    <x v="0"/>
    <x v="0"/>
    <x v="0"/>
    <x v="1"/>
    <s v="DK2_Rural"/>
    <x v="2"/>
    <s v="GNR_HS_HEAT-E-100"/>
    <x v="0"/>
    <x v="13"/>
    <n v="4.1100652243616702"/>
    <n v="1500.1738068920099"/>
    <n v="5400.6257048112402"/>
  </r>
  <r>
    <x v="0"/>
    <x v="0"/>
    <x v="0"/>
    <x v="0"/>
    <x v="1"/>
    <s v="DK2_Rural"/>
    <x v="2"/>
    <s v="GNR_HS_HEAT-E-100"/>
    <x v="0"/>
    <x v="15"/>
    <n v="8.3701800487315197"/>
    <n v="3055.11571778701"/>
    <n v="10998.416584033201"/>
  </r>
  <r>
    <x v="0"/>
    <x v="0"/>
    <x v="0"/>
    <x v="0"/>
    <x v="1"/>
    <s v="DK2_Rural"/>
    <x v="2"/>
    <s v="GNR_HS_HEAT-E-100"/>
    <x v="0"/>
    <x v="16"/>
    <n v="9.6069875783872707"/>
    <n v="3506.55046611135"/>
    <n v="12623.581678000901"/>
  </r>
  <r>
    <x v="0"/>
    <x v="0"/>
    <x v="0"/>
    <x v="0"/>
    <x v="1"/>
    <s v="DK2_Rural"/>
    <x v="2"/>
    <s v="GNR_HS_HEAT-E-100"/>
    <x v="0"/>
    <x v="17"/>
    <n v="13.3174101673546"/>
    <n v="4860.8547110844102"/>
    <n v="17499.076959903901"/>
  </r>
  <r>
    <x v="0"/>
    <x v="0"/>
    <x v="0"/>
    <x v="0"/>
    <x v="1"/>
    <s v="DK2_Rural"/>
    <x v="2"/>
    <s v="GNR_HS_HEAT-E-100"/>
    <x v="0"/>
    <x v="18"/>
    <n v="12.767717931951999"/>
    <n v="4660.2170451624697"/>
    <n v="16776.781362584901"/>
  </r>
  <r>
    <x v="0"/>
    <x v="0"/>
    <x v="0"/>
    <x v="0"/>
    <x v="1"/>
    <s v="DK2_Rural"/>
    <x v="2"/>
    <s v="GNR_HS_HEAT-E-100"/>
    <x v="0"/>
    <x v="19"/>
    <n v="7.7444836301868598"/>
    <n v="2826.7365250182002"/>
    <n v="10176.251490065501"/>
  </r>
  <r>
    <x v="0"/>
    <x v="0"/>
    <x v="0"/>
    <x v="0"/>
    <x v="1"/>
    <s v="DK2_Rural"/>
    <x v="3"/>
    <s v="GNR_BO_MSW_E-105"/>
    <x v="0"/>
    <x v="0"/>
    <n v="7"/>
    <n v="2555"/>
    <n v="9198"/>
  </r>
  <r>
    <x v="0"/>
    <x v="0"/>
    <x v="0"/>
    <x v="0"/>
    <x v="1"/>
    <s v="DK2_Rural"/>
    <x v="3"/>
    <s v="GNR_BO_MSW_E-105"/>
    <x v="0"/>
    <x v="1"/>
    <n v="7"/>
    <n v="2555"/>
    <n v="9198"/>
  </r>
  <r>
    <x v="0"/>
    <x v="0"/>
    <x v="0"/>
    <x v="0"/>
    <x v="1"/>
    <s v="DK2_Rural"/>
    <x v="3"/>
    <s v="GNR_BO_MSW_E-105"/>
    <x v="0"/>
    <x v="2"/>
    <n v="7"/>
    <n v="2555"/>
    <n v="9198"/>
  </r>
  <r>
    <x v="0"/>
    <x v="0"/>
    <x v="0"/>
    <x v="0"/>
    <x v="1"/>
    <s v="DK2_Rural"/>
    <x v="3"/>
    <s v="GNR_BO_MSW_E-105"/>
    <x v="0"/>
    <x v="3"/>
    <n v="7"/>
    <n v="2555"/>
    <n v="9198"/>
  </r>
  <r>
    <x v="0"/>
    <x v="0"/>
    <x v="0"/>
    <x v="0"/>
    <x v="1"/>
    <s v="DK2_Rural"/>
    <x v="3"/>
    <s v="GNR_BO_MSW_E-105"/>
    <x v="0"/>
    <x v="4"/>
    <n v="7"/>
    <n v="2555"/>
    <n v="9198"/>
  </r>
  <r>
    <x v="0"/>
    <x v="0"/>
    <x v="0"/>
    <x v="0"/>
    <x v="1"/>
    <s v="DK2_Rural"/>
    <x v="3"/>
    <s v="GNR_BO_MSW_E-105"/>
    <x v="0"/>
    <x v="5"/>
    <n v="7"/>
    <n v="2555"/>
    <n v="9198"/>
  </r>
  <r>
    <x v="0"/>
    <x v="0"/>
    <x v="0"/>
    <x v="0"/>
    <x v="1"/>
    <s v="DK2_Rural"/>
    <x v="3"/>
    <s v="GNR_BO_MSW_E-105"/>
    <x v="0"/>
    <x v="6"/>
    <n v="7"/>
    <n v="2555"/>
    <n v="9198"/>
  </r>
  <r>
    <x v="0"/>
    <x v="0"/>
    <x v="0"/>
    <x v="0"/>
    <x v="1"/>
    <s v="DK2_Rural"/>
    <x v="3"/>
    <s v="GNR_BO_MSW_E-105"/>
    <x v="0"/>
    <x v="7"/>
    <n v="7"/>
    <n v="2555"/>
    <n v="9198"/>
  </r>
  <r>
    <x v="0"/>
    <x v="0"/>
    <x v="0"/>
    <x v="0"/>
    <x v="1"/>
    <s v="DK2_Rural"/>
    <x v="3"/>
    <s v="GNR_BO_MSW_E-105"/>
    <x v="0"/>
    <x v="8"/>
    <n v="7"/>
    <n v="2555"/>
    <n v="9198"/>
  </r>
  <r>
    <x v="0"/>
    <x v="0"/>
    <x v="0"/>
    <x v="0"/>
    <x v="1"/>
    <s v="DK2_Rural"/>
    <x v="3"/>
    <s v="GNR_BO_MSW_E-105"/>
    <x v="0"/>
    <x v="9"/>
    <n v="7"/>
    <n v="2555"/>
    <n v="9198"/>
  </r>
  <r>
    <x v="0"/>
    <x v="0"/>
    <x v="0"/>
    <x v="0"/>
    <x v="1"/>
    <s v="DK2_Rural"/>
    <x v="3"/>
    <s v="GNR_BO_MSW_E-105"/>
    <x v="0"/>
    <x v="10"/>
    <n v="7"/>
    <n v="2555"/>
    <n v="9198"/>
  </r>
  <r>
    <x v="0"/>
    <x v="0"/>
    <x v="0"/>
    <x v="0"/>
    <x v="1"/>
    <s v="DK2_Rural"/>
    <x v="3"/>
    <s v="GNR_BO_MSW_E-105"/>
    <x v="0"/>
    <x v="11"/>
    <n v="7"/>
    <n v="2555"/>
    <n v="9198"/>
  </r>
  <r>
    <x v="0"/>
    <x v="0"/>
    <x v="0"/>
    <x v="0"/>
    <x v="1"/>
    <s v="DK2_Rural"/>
    <x v="3"/>
    <s v="GNR_BO_MSW_E-105"/>
    <x v="0"/>
    <x v="12"/>
    <n v="7"/>
    <n v="2555"/>
    <n v="9198"/>
  </r>
  <r>
    <x v="0"/>
    <x v="0"/>
    <x v="0"/>
    <x v="0"/>
    <x v="1"/>
    <s v="DK2_Rural"/>
    <x v="3"/>
    <s v="GNR_BO_MSW_E-105"/>
    <x v="0"/>
    <x v="13"/>
    <n v="7"/>
    <n v="2555"/>
    <n v="9198"/>
  </r>
  <r>
    <x v="0"/>
    <x v="0"/>
    <x v="0"/>
    <x v="0"/>
    <x v="1"/>
    <s v="DK2_Rural"/>
    <x v="3"/>
    <s v="GNR_BO_MSW_E-105"/>
    <x v="0"/>
    <x v="14"/>
    <n v="7"/>
    <n v="2555"/>
    <n v="9198"/>
  </r>
  <r>
    <x v="0"/>
    <x v="0"/>
    <x v="0"/>
    <x v="0"/>
    <x v="1"/>
    <s v="DK2_Rural"/>
    <x v="3"/>
    <s v="GNR_BO_MSW_E-105"/>
    <x v="0"/>
    <x v="15"/>
    <n v="7"/>
    <n v="2555"/>
    <n v="9198"/>
  </r>
  <r>
    <x v="0"/>
    <x v="0"/>
    <x v="0"/>
    <x v="0"/>
    <x v="1"/>
    <s v="DK2_Rural"/>
    <x v="3"/>
    <s v="GNR_BO_MSW_E-105"/>
    <x v="0"/>
    <x v="16"/>
    <n v="7"/>
    <n v="2555"/>
    <n v="9198"/>
  </r>
  <r>
    <x v="0"/>
    <x v="0"/>
    <x v="0"/>
    <x v="0"/>
    <x v="1"/>
    <s v="DK2_Rural"/>
    <x v="3"/>
    <s v="GNR_BO_MSW_E-105"/>
    <x v="0"/>
    <x v="17"/>
    <n v="7"/>
    <n v="2555"/>
    <n v="9198"/>
  </r>
  <r>
    <x v="0"/>
    <x v="0"/>
    <x v="0"/>
    <x v="0"/>
    <x v="1"/>
    <s v="DK2_Rural"/>
    <x v="3"/>
    <s v="GNR_BO_MSW_E-105"/>
    <x v="0"/>
    <x v="18"/>
    <n v="7"/>
    <n v="2555"/>
    <n v="9198"/>
  </r>
  <r>
    <x v="0"/>
    <x v="0"/>
    <x v="0"/>
    <x v="0"/>
    <x v="1"/>
    <s v="DK2_Rural"/>
    <x v="3"/>
    <s v="GNR_BO_MSW_E-105"/>
    <x v="0"/>
    <x v="19"/>
    <n v="7"/>
    <n v="2555"/>
    <n v="9198"/>
  </r>
  <r>
    <x v="0"/>
    <x v="0"/>
    <x v="0"/>
    <x v="0"/>
    <x v="1"/>
    <s v="DK2_Rural"/>
    <x v="3"/>
    <s v="GNR_BO_MSW_E-105"/>
    <x v="0"/>
    <x v="20"/>
    <n v="7"/>
    <n v="2555"/>
    <n v="9198"/>
  </r>
  <r>
    <x v="0"/>
    <x v="0"/>
    <x v="0"/>
    <x v="0"/>
    <x v="1"/>
    <s v="DK2_Rural"/>
    <x v="3"/>
    <s v="GNR_BO_MSW_E-105"/>
    <x v="0"/>
    <x v="21"/>
    <n v="7"/>
    <n v="2555"/>
    <n v="9198"/>
  </r>
  <r>
    <x v="0"/>
    <x v="0"/>
    <x v="0"/>
    <x v="0"/>
    <x v="1"/>
    <s v="DK2_Rural"/>
    <x v="3"/>
    <s v="GNR_BO_MSW_E-105"/>
    <x v="0"/>
    <x v="22"/>
    <n v="7"/>
    <n v="2555"/>
    <n v="9198"/>
  </r>
  <r>
    <x v="0"/>
    <x v="0"/>
    <x v="0"/>
    <x v="0"/>
    <x v="1"/>
    <s v="DK2_Rural"/>
    <x v="3"/>
    <s v="GNR_BO_MSW_E-105"/>
    <x v="0"/>
    <x v="23"/>
    <n v="7"/>
    <n v="2555"/>
    <n v="9198"/>
  </r>
  <r>
    <x v="0"/>
    <x v="0"/>
    <x v="0"/>
    <x v="0"/>
    <x v="1"/>
    <s v="DK2_Rural"/>
    <x v="4"/>
    <s v="GNR_ENG_NGAS_BP_E-46"/>
    <x v="0"/>
    <x v="0"/>
    <n v="0.61111111111111105"/>
    <n v="223.055555555556"/>
    <n v="803"/>
  </r>
  <r>
    <x v="0"/>
    <x v="0"/>
    <x v="0"/>
    <x v="0"/>
    <x v="1"/>
    <s v="DK2_Rural"/>
    <x v="4"/>
    <s v="GNR_ENG_NGAS_BP_E-46"/>
    <x v="0"/>
    <x v="1"/>
    <n v="0.61111111111111105"/>
    <n v="223.055555555556"/>
    <n v="803"/>
  </r>
  <r>
    <x v="0"/>
    <x v="0"/>
    <x v="0"/>
    <x v="0"/>
    <x v="1"/>
    <s v="DK2_Rural"/>
    <x v="4"/>
    <s v="GNR_ENG_NGAS_BP_E-46"/>
    <x v="0"/>
    <x v="3"/>
    <n v="0.61111111111111105"/>
    <n v="223.055555555556"/>
    <n v="803"/>
  </r>
  <r>
    <x v="0"/>
    <x v="0"/>
    <x v="0"/>
    <x v="0"/>
    <x v="1"/>
    <s v="DK2_Rural"/>
    <x v="4"/>
    <s v="GNR_ENG_NGAS_BP_E-46"/>
    <x v="0"/>
    <x v="4"/>
    <n v="0.61111111111111105"/>
    <n v="223.055555555556"/>
    <n v="803"/>
  </r>
  <r>
    <x v="0"/>
    <x v="0"/>
    <x v="0"/>
    <x v="0"/>
    <x v="1"/>
    <s v="DK2_Rural"/>
    <x v="4"/>
    <s v="GNR_ENG_NGAS_BP_E-46"/>
    <x v="0"/>
    <x v="5"/>
    <n v="0.61111111111111105"/>
    <n v="223.055555555556"/>
    <n v="803"/>
  </r>
  <r>
    <x v="0"/>
    <x v="0"/>
    <x v="0"/>
    <x v="0"/>
    <x v="1"/>
    <s v="DK2_Rural"/>
    <x v="4"/>
    <s v="GNR_ENG_NGAS_BP_E-46"/>
    <x v="0"/>
    <x v="6"/>
    <n v="0.61111111111111105"/>
    <n v="223.055555555556"/>
    <n v="803"/>
  </r>
  <r>
    <x v="0"/>
    <x v="0"/>
    <x v="0"/>
    <x v="0"/>
    <x v="1"/>
    <s v="DK2_Rural"/>
    <x v="4"/>
    <s v="GNR_ENG_NGAS_BP_E-46"/>
    <x v="0"/>
    <x v="7"/>
    <n v="0.61111111111111105"/>
    <n v="223.055555555556"/>
    <n v="803"/>
  </r>
  <r>
    <x v="0"/>
    <x v="0"/>
    <x v="0"/>
    <x v="0"/>
    <x v="1"/>
    <s v="DK2_Rural"/>
    <x v="4"/>
    <s v="GNR_ENG_NGAS_BP_E-46"/>
    <x v="0"/>
    <x v="8"/>
    <n v="0.61111111111111105"/>
    <n v="223.055555555556"/>
    <n v="803"/>
  </r>
  <r>
    <x v="0"/>
    <x v="0"/>
    <x v="0"/>
    <x v="0"/>
    <x v="1"/>
    <s v="DK2_Rural"/>
    <x v="4"/>
    <s v="GNR_ENG_NGAS_BP_E-46"/>
    <x v="0"/>
    <x v="9"/>
    <n v="0.61111111111111105"/>
    <n v="223.055555555556"/>
    <n v="803"/>
  </r>
  <r>
    <x v="0"/>
    <x v="0"/>
    <x v="0"/>
    <x v="0"/>
    <x v="1"/>
    <s v="DK2_Rural"/>
    <x v="4"/>
    <s v="GNR_ENG_NGAS_BP_E-46"/>
    <x v="0"/>
    <x v="10"/>
    <n v="0.61111111111111105"/>
    <n v="223.055555555556"/>
    <n v="803"/>
  </r>
  <r>
    <x v="0"/>
    <x v="0"/>
    <x v="0"/>
    <x v="0"/>
    <x v="1"/>
    <s v="DK2_Rural"/>
    <x v="4"/>
    <s v="GNR_ENG_NGAS_BP_E-46"/>
    <x v="0"/>
    <x v="11"/>
    <n v="0.61111111111111105"/>
    <n v="223.055555555556"/>
    <n v="803"/>
  </r>
  <r>
    <x v="0"/>
    <x v="0"/>
    <x v="0"/>
    <x v="0"/>
    <x v="1"/>
    <s v="DK2_Rural"/>
    <x v="4"/>
    <s v="GNR_ENG_NGAS_BP_E-46"/>
    <x v="0"/>
    <x v="12"/>
    <n v="0.61111111111111105"/>
    <n v="223.055555555556"/>
    <n v="803"/>
  </r>
  <r>
    <x v="0"/>
    <x v="0"/>
    <x v="0"/>
    <x v="0"/>
    <x v="1"/>
    <s v="DK2_Rural"/>
    <x v="4"/>
    <s v="GNR_ENG_NGAS_BP_E-46"/>
    <x v="0"/>
    <x v="13"/>
    <n v="0.61111111111111105"/>
    <n v="223.055555555556"/>
    <n v="803"/>
  </r>
  <r>
    <x v="0"/>
    <x v="0"/>
    <x v="0"/>
    <x v="0"/>
    <x v="1"/>
    <s v="DK2_Rural"/>
    <x v="4"/>
    <s v="GNR_ENG_NGAS_BP_E-46"/>
    <x v="0"/>
    <x v="14"/>
    <n v="0.61111111111111105"/>
    <n v="223.055555555556"/>
    <n v="803"/>
  </r>
  <r>
    <x v="0"/>
    <x v="0"/>
    <x v="0"/>
    <x v="0"/>
    <x v="1"/>
    <s v="DK2_Rural"/>
    <x v="4"/>
    <s v="GNR_ENG_NGAS_BP_E-46"/>
    <x v="0"/>
    <x v="15"/>
    <n v="0.61111111111111105"/>
    <n v="223.055555555556"/>
    <n v="803"/>
  </r>
  <r>
    <x v="0"/>
    <x v="0"/>
    <x v="0"/>
    <x v="0"/>
    <x v="1"/>
    <s v="DK2_Rural"/>
    <x v="4"/>
    <s v="GNR_ENG_NGAS_BP_E-46"/>
    <x v="0"/>
    <x v="16"/>
    <n v="0.61111111111111105"/>
    <n v="223.055555555556"/>
    <n v="803"/>
  </r>
  <r>
    <x v="0"/>
    <x v="0"/>
    <x v="0"/>
    <x v="0"/>
    <x v="1"/>
    <s v="DK2_Rural"/>
    <x v="4"/>
    <s v="GNR_ENG_NGAS_BP_E-46"/>
    <x v="0"/>
    <x v="17"/>
    <n v="0.61111111111111105"/>
    <n v="223.055555555556"/>
    <n v="803"/>
  </r>
  <r>
    <x v="0"/>
    <x v="0"/>
    <x v="0"/>
    <x v="0"/>
    <x v="1"/>
    <s v="DK2_Rural"/>
    <x v="4"/>
    <s v="GNR_ENG_NGAS_BP_E-46"/>
    <x v="0"/>
    <x v="18"/>
    <n v="0.61111111111111105"/>
    <n v="223.055555555556"/>
    <n v="803"/>
  </r>
  <r>
    <x v="0"/>
    <x v="0"/>
    <x v="0"/>
    <x v="0"/>
    <x v="1"/>
    <s v="DK2_Rural"/>
    <x v="5"/>
    <s v="GNR_BO_STRW_E-100"/>
    <x v="0"/>
    <x v="4"/>
    <n v="0.68711529425320494"/>
    <n v="250.79708240241999"/>
    <n v="902.86949664871202"/>
  </r>
  <r>
    <x v="0"/>
    <x v="0"/>
    <x v="0"/>
    <x v="0"/>
    <x v="1"/>
    <s v="DK2_Rural"/>
    <x v="5"/>
    <s v="GNR_BO_STRW_E-100"/>
    <x v="0"/>
    <x v="5"/>
    <n v="24.736150593115202"/>
    <n v="9028.6949664870608"/>
    <n v="32503.301879353399"/>
  </r>
  <r>
    <x v="0"/>
    <x v="0"/>
    <x v="0"/>
    <x v="0"/>
    <x v="1"/>
    <s v="DK2_Rural"/>
    <x v="5"/>
    <s v="GNR_BO_STRW_E-100"/>
    <x v="0"/>
    <x v="6"/>
    <n v="84.927450369695606"/>
    <n v="30998.5193849389"/>
    <n v="111594.66978578"/>
  </r>
  <r>
    <x v="0"/>
    <x v="0"/>
    <x v="0"/>
    <x v="0"/>
    <x v="1"/>
    <s v="DK2_Rural"/>
    <x v="5"/>
    <s v="GNR_BO_STRW_E-100"/>
    <x v="0"/>
    <x v="7"/>
    <n v="97.15"/>
    <n v="35459.75"/>
    <n v="127655.1"/>
  </r>
  <r>
    <x v="0"/>
    <x v="0"/>
    <x v="0"/>
    <x v="0"/>
    <x v="1"/>
    <s v="DK2_Rural"/>
    <x v="5"/>
    <s v="GNR_BO_STRW_E-100"/>
    <x v="0"/>
    <x v="8"/>
    <n v="97.15"/>
    <n v="35459.75"/>
    <n v="127655.1"/>
  </r>
  <r>
    <x v="0"/>
    <x v="0"/>
    <x v="0"/>
    <x v="0"/>
    <x v="1"/>
    <s v="DK2_Rural"/>
    <x v="5"/>
    <s v="GNR_BO_STRW_E-100"/>
    <x v="0"/>
    <x v="9"/>
    <n v="97.15"/>
    <n v="35459.75"/>
    <n v="127655.1"/>
  </r>
  <r>
    <x v="0"/>
    <x v="0"/>
    <x v="0"/>
    <x v="0"/>
    <x v="1"/>
    <s v="DK2_Rural"/>
    <x v="5"/>
    <s v="GNR_BO_STRW_E-100"/>
    <x v="0"/>
    <x v="10"/>
    <n v="97.15"/>
    <n v="35459.75"/>
    <n v="127655.1"/>
  </r>
  <r>
    <x v="0"/>
    <x v="0"/>
    <x v="0"/>
    <x v="0"/>
    <x v="1"/>
    <s v="DK2_Rural"/>
    <x v="5"/>
    <s v="GNR_BO_STRW_E-100"/>
    <x v="0"/>
    <x v="11"/>
    <n v="97.15"/>
    <n v="35459.75"/>
    <n v="127655.1"/>
  </r>
  <r>
    <x v="0"/>
    <x v="0"/>
    <x v="0"/>
    <x v="0"/>
    <x v="1"/>
    <s v="DK2_Rural"/>
    <x v="5"/>
    <s v="GNR_BO_STRW_E-100"/>
    <x v="0"/>
    <x v="12"/>
    <n v="97.15"/>
    <n v="35459.75"/>
    <n v="127655.1"/>
  </r>
  <r>
    <x v="0"/>
    <x v="0"/>
    <x v="0"/>
    <x v="0"/>
    <x v="1"/>
    <s v="DK2_Rural"/>
    <x v="5"/>
    <s v="GNR_BO_STRW_E-100"/>
    <x v="0"/>
    <x v="13"/>
    <n v="97.15"/>
    <n v="35459.75"/>
    <n v="127655.1"/>
  </r>
  <r>
    <x v="0"/>
    <x v="0"/>
    <x v="0"/>
    <x v="0"/>
    <x v="1"/>
    <s v="DK2_Rural"/>
    <x v="5"/>
    <s v="GNR_BO_STRW_E-100"/>
    <x v="0"/>
    <x v="14"/>
    <n v="97.15"/>
    <n v="35459.75"/>
    <n v="127655.1"/>
  </r>
  <r>
    <x v="0"/>
    <x v="0"/>
    <x v="0"/>
    <x v="0"/>
    <x v="1"/>
    <s v="DK2_Rural"/>
    <x v="5"/>
    <s v="GNR_BO_STRW_E-100"/>
    <x v="0"/>
    <x v="15"/>
    <n v="97.15"/>
    <n v="35459.75"/>
    <n v="127655.1"/>
  </r>
  <r>
    <x v="0"/>
    <x v="0"/>
    <x v="0"/>
    <x v="0"/>
    <x v="1"/>
    <s v="DK2_Rural"/>
    <x v="5"/>
    <s v="GNR_BO_STRW_E-100"/>
    <x v="0"/>
    <x v="16"/>
    <n v="97.15"/>
    <n v="35459.75"/>
    <n v="127655.1"/>
  </r>
  <r>
    <x v="0"/>
    <x v="0"/>
    <x v="0"/>
    <x v="0"/>
    <x v="1"/>
    <s v="DK2_Rural"/>
    <x v="5"/>
    <s v="GNR_BO_STRW_E-100"/>
    <x v="0"/>
    <x v="17"/>
    <n v="97.15"/>
    <n v="35459.75"/>
    <n v="127655.1"/>
  </r>
  <r>
    <x v="0"/>
    <x v="0"/>
    <x v="0"/>
    <x v="0"/>
    <x v="1"/>
    <s v="DK2_Rural"/>
    <x v="5"/>
    <s v="GNR_BO_STRW_E-100"/>
    <x v="0"/>
    <x v="18"/>
    <n v="97.15"/>
    <n v="35459.75"/>
    <n v="127655.1"/>
  </r>
  <r>
    <x v="0"/>
    <x v="0"/>
    <x v="0"/>
    <x v="0"/>
    <x v="1"/>
    <s v="DK2_Rural"/>
    <x v="5"/>
    <s v="GNR_BO_STRW_E-100"/>
    <x v="0"/>
    <x v="19"/>
    <n v="97.15"/>
    <n v="35459.75"/>
    <n v="127655.1"/>
  </r>
  <r>
    <x v="0"/>
    <x v="0"/>
    <x v="0"/>
    <x v="0"/>
    <x v="1"/>
    <s v="DK2_Rural"/>
    <x v="5"/>
    <s v="GNR_BO_STRW_E-100"/>
    <x v="0"/>
    <x v="20"/>
    <n v="97.15"/>
    <n v="35459.75"/>
    <n v="127655.1"/>
  </r>
  <r>
    <x v="0"/>
    <x v="0"/>
    <x v="0"/>
    <x v="0"/>
    <x v="1"/>
    <s v="DK2_Rural"/>
    <x v="5"/>
    <s v="GNR_BO_STRW_E-100"/>
    <x v="0"/>
    <x v="21"/>
    <n v="54.618373239412698"/>
    <n v="19935.706232385601"/>
    <n v="71768.542436588206"/>
  </r>
  <r>
    <x v="0"/>
    <x v="0"/>
    <x v="0"/>
    <x v="0"/>
    <x v="1"/>
    <s v="DK2_Rural"/>
    <x v="5"/>
    <s v="GNR_BO_STRW_E-100"/>
    <x v="0"/>
    <x v="22"/>
    <n v="40.326375118946103"/>
    <n v="14719.126918415301"/>
    <n v="52988.856906295201"/>
  </r>
  <r>
    <x v="0"/>
    <x v="0"/>
    <x v="0"/>
    <x v="0"/>
    <x v="1"/>
    <s v="DK2_Rural"/>
    <x v="5"/>
    <s v="GNR_BO_STRW_E-100"/>
    <x v="0"/>
    <x v="23"/>
    <n v="31.943568529057"/>
    <n v="11659.402513105801"/>
    <n v="41973.849047181"/>
  </r>
  <r>
    <x v="0"/>
    <x v="0"/>
    <x v="0"/>
    <x v="0"/>
    <x v="1"/>
    <s v="DK2_Rural"/>
    <x v="5"/>
    <s v="GNR_BO_STRW_E-102"/>
    <x v="0"/>
    <x v="0"/>
    <n v="47.75"/>
    <n v="17428.75"/>
    <n v="62743.5"/>
  </r>
  <r>
    <x v="0"/>
    <x v="0"/>
    <x v="0"/>
    <x v="0"/>
    <x v="1"/>
    <s v="DK2_Rural"/>
    <x v="5"/>
    <s v="GNR_BO_STRW_E-102"/>
    <x v="0"/>
    <x v="1"/>
    <n v="46.238346352642999"/>
    <n v="16876.996418714702"/>
    <n v="60757.187107372898"/>
  </r>
  <r>
    <x v="0"/>
    <x v="0"/>
    <x v="0"/>
    <x v="0"/>
    <x v="1"/>
    <s v="DK2_Rural"/>
    <x v="5"/>
    <s v="GNR_BO_STRW_E-102"/>
    <x v="0"/>
    <x v="2"/>
    <n v="45.475226875247699"/>
    <n v="16598.457809465399"/>
    <n v="59754.4481140754"/>
  </r>
  <r>
    <x v="0"/>
    <x v="0"/>
    <x v="0"/>
    <x v="0"/>
    <x v="1"/>
    <s v="DK2_Rural"/>
    <x v="5"/>
    <s v="GNR_BO_STRW_E-102"/>
    <x v="0"/>
    <x v="3"/>
    <n v="46.925461646896203"/>
    <n v="17127.793501117099"/>
    <n v="61660.0566040216"/>
  </r>
  <r>
    <x v="0"/>
    <x v="0"/>
    <x v="0"/>
    <x v="0"/>
    <x v="1"/>
    <s v="DK2_Rural"/>
    <x v="5"/>
    <s v="GNR_BO_STRW_E-102"/>
    <x v="0"/>
    <x v="4"/>
    <n v="47.75"/>
    <n v="17428.75"/>
    <n v="62743.5"/>
  </r>
  <r>
    <x v="0"/>
    <x v="0"/>
    <x v="0"/>
    <x v="0"/>
    <x v="1"/>
    <s v="DK2_Rural"/>
    <x v="5"/>
    <s v="GNR_BO_STRW_E-102"/>
    <x v="0"/>
    <x v="5"/>
    <n v="47.75"/>
    <n v="17428.75"/>
    <n v="62743.5"/>
  </r>
  <r>
    <x v="0"/>
    <x v="0"/>
    <x v="0"/>
    <x v="0"/>
    <x v="1"/>
    <s v="DK2_Rural"/>
    <x v="5"/>
    <s v="GNR_BO_STRW_E-102"/>
    <x v="0"/>
    <x v="6"/>
    <n v="47.75"/>
    <n v="17428.75"/>
    <n v="62743.5"/>
  </r>
  <r>
    <x v="0"/>
    <x v="0"/>
    <x v="0"/>
    <x v="0"/>
    <x v="1"/>
    <s v="DK2_Rural"/>
    <x v="5"/>
    <s v="GNR_BO_STRW_E-102"/>
    <x v="0"/>
    <x v="7"/>
    <n v="47.75"/>
    <n v="17428.75"/>
    <n v="62743.5"/>
  </r>
  <r>
    <x v="0"/>
    <x v="0"/>
    <x v="0"/>
    <x v="0"/>
    <x v="1"/>
    <s v="DK2_Rural"/>
    <x v="5"/>
    <s v="GNR_BO_STRW_E-102"/>
    <x v="0"/>
    <x v="8"/>
    <n v="47.75"/>
    <n v="17428.75"/>
    <n v="62743.5"/>
  </r>
  <r>
    <x v="0"/>
    <x v="0"/>
    <x v="0"/>
    <x v="0"/>
    <x v="1"/>
    <s v="DK2_Rural"/>
    <x v="5"/>
    <s v="GNR_BO_STRW_E-102"/>
    <x v="0"/>
    <x v="9"/>
    <n v="47.75"/>
    <n v="17428.75"/>
    <n v="62743.5"/>
  </r>
  <r>
    <x v="0"/>
    <x v="0"/>
    <x v="0"/>
    <x v="0"/>
    <x v="1"/>
    <s v="DK2_Rural"/>
    <x v="5"/>
    <s v="GNR_BO_STRW_E-102"/>
    <x v="0"/>
    <x v="10"/>
    <n v="47.75"/>
    <n v="17428.75"/>
    <n v="62743.5"/>
  </r>
  <r>
    <x v="0"/>
    <x v="0"/>
    <x v="0"/>
    <x v="0"/>
    <x v="1"/>
    <s v="DK2_Rural"/>
    <x v="5"/>
    <s v="GNR_BO_STRW_E-102"/>
    <x v="0"/>
    <x v="11"/>
    <n v="47.75"/>
    <n v="17428.75"/>
    <n v="62743.5"/>
  </r>
  <r>
    <x v="0"/>
    <x v="0"/>
    <x v="0"/>
    <x v="0"/>
    <x v="1"/>
    <s v="DK2_Rural"/>
    <x v="5"/>
    <s v="GNR_BO_STRW_E-102"/>
    <x v="0"/>
    <x v="12"/>
    <n v="47.75"/>
    <n v="17428.75"/>
    <n v="62743.5"/>
  </r>
  <r>
    <x v="0"/>
    <x v="0"/>
    <x v="0"/>
    <x v="0"/>
    <x v="1"/>
    <s v="DK2_Rural"/>
    <x v="5"/>
    <s v="GNR_BO_STRW_E-102"/>
    <x v="0"/>
    <x v="13"/>
    <n v="47.75"/>
    <n v="17428.75"/>
    <n v="62743.5"/>
  </r>
  <r>
    <x v="0"/>
    <x v="0"/>
    <x v="0"/>
    <x v="0"/>
    <x v="1"/>
    <s v="DK2_Rural"/>
    <x v="5"/>
    <s v="GNR_BO_STRW_E-102"/>
    <x v="0"/>
    <x v="14"/>
    <n v="47.75"/>
    <n v="17428.75"/>
    <n v="62743.5"/>
  </r>
  <r>
    <x v="0"/>
    <x v="0"/>
    <x v="0"/>
    <x v="0"/>
    <x v="1"/>
    <s v="DK2_Rural"/>
    <x v="5"/>
    <s v="GNR_BO_STRW_E-102"/>
    <x v="0"/>
    <x v="15"/>
    <n v="47.75"/>
    <n v="17428.75"/>
    <n v="62743.5"/>
  </r>
  <r>
    <x v="0"/>
    <x v="0"/>
    <x v="0"/>
    <x v="0"/>
    <x v="1"/>
    <s v="DK2_Rural"/>
    <x v="5"/>
    <s v="GNR_BO_STRW_E-102"/>
    <x v="0"/>
    <x v="16"/>
    <n v="47.75"/>
    <n v="17428.75"/>
    <n v="62743.5"/>
  </r>
  <r>
    <x v="0"/>
    <x v="0"/>
    <x v="0"/>
    <x v="0"/>
    <x v="1"/>
    <s v="DK2_Rural"/>
    <x v="5"/>
    <s v="GNR_BO_STRW_E-102"/>
    <x v="0"/>
    <x v="17"/>
    <n v="47.75"/>
    <n v="17428.75"/>
    <n v="62743.5"/>
  </r>
  <r>
    <x v="0"/>
    <x v="0"/>
    <x v="0"/>
    <x v="0"/>
    <x v="1"/>
    <s v="DK2_Rural"/>
    <x v="5"/>
    <s v="GNR_BO_STRW_E-102"/>
    <x v="0"/>
    <x v="18"/>
    <n v="47.75"/>
    <n v="17428.75"/>
    <n v="62743.5"/>
  </r>
  <r>
    <x v="0"/>
    <x v="0"/>
    <x v="0"/>
    <x v="0"/>
    <x v="1"/>
    <s v="DK2_Rural"/>
    <x v="5"/>
    <s v="GNR_BO_STRW_E-102"/>
    <x v="0"/>
    <x v="19"/>
    <n v="47.75"/>
    <n v="17428.75"/>
    <n v="62743.5"/>
  </r>
  <r>
    <x v="0"/>
    <x v="0"/>
    <x v="0"/>
    <x v="0"/>
    <x v="1"/>
    <s v="DK2_Rural"/>
    <x v="5"/>
    <s v="GNR_BO_STRW_E-102"/>
    <x v="0"/>
    <x v="20"/>
    <n v="47.75"/>
    <n v="17428.75"/>
    <n v="62743.5"/>
  </r>
  <r>
    <x v="0"/>
    <x v="0"/>
    <x v="0"/>
    <x v="0"/>
    <x v="1"/>
    <s v="DK2_Rural"/>
    <x v="5"/>
    <s v="GNR_BO_STRW_E-102"/>
    <x v="0"/>
    <x v="21"/>
    <n v="47.75"/>
    <n v="17428.75"/>
    <n v="62743.5"/>
  </r>
  <r>
    <x v="0"/>
    <x v="0"/>
    <x v="0"/>
    <x v="0"/>
    <x v="1"/>
    <s v="DK2_Rural"/>
    <x v="5"/>
    <s v="GNR_BO_STRW_E-102"/>
    <x v="0"/>
    <x v="22"/>
    <n v="47.75"/>
    <n v="17428.75"/>
    <n v="62743.5"/>
  </r>
  <r>
    <x v="0"/>
    <x v="0"/>
    <x v="0"/>
    <x v="0"/>
    <x v="1"/>
    <s v="DK2_Rural"/>
    <x v="5"/>
    <s v="GNR_BO_STRW_E-102"/>
    <x v="0"/>
    <x v="23"/>
    <n v="47.75"/>
    <n v="17428.75"/>
    <n v="62743.5"/>
  </r>
  <r>
    <x v="0"/>
    <x v="0"/>
    <x v="0"/>
    <x v="0"/>
    <x v="1"/>
    <s v="DK2_Rural"/>
    <x v="5"/>
    <s v="GNR_ST_STRW_BP_E-24"/>
    <x v="0"/>
    <x v="0"/>
    <n v="11.2446355509146"/>
    <n v="4104.2919760838204"/>
    <n v="14775.4511139018"/>
  </r>
  <r>
    <x v="0"/>
    <x v="0"/>
    <x v="0"/>
    <x v="0"/>
    <x v="1"/>
    <s v="DK2_Rural"/>
    <x v="5"/>
    <s v="GNR_ST_STRW_BP_E-24"/>
    <x v="0"/>
    <x v="1"/>
    <n v="11.2446355509146"/>
    <n v="4104.2919760838204"/>
    <n v="14775.4511139018"/>
  </r>
  <r>
    <x v="0"/>
    <x v="0"/>
    <x v="0"/>
    <x v="0"/>
    <x v="1"/>
    <s v="DK2_Rural"/>
    <x v="5"/>
    <s v="GNR_ST_STRW_BP_E-24"/>
    <x v="0"/>
    <x v="2"/>
    <n v="11.2446355509146"/>
    <n v="4104.2919760838204"/>
    <n v="14775.4511139018"/>
  </r>
  <r>
    <x v="0"/>
    <x v="0"/>
    <x v="0"/>
    <x v="0"/>
    <x v="1"/>
    <s v="DK2_Rural"/>
    <x v="5"/>
    <s v="GNR_ST_STRW_BP_E-24"/>
    <x v="0"/>
    <x v="3"/>
    <n v="11.2446355509146"/>
    <n v="4104.2919760838204"/>
    <n v="14775.4511139018"/>
  </r>
  <r>
    <x v="0"/>
    <x v="0"/>
    <x v="0"/>
    <x v="0"/>
    <x v="1"/>
    <s v="DK2_Rural"/>
    <x v="5"/>
    <s v="GNR_ST_STRW_BP_E-24"/>
    <x v="0"/>
    <x v="4"/>
    <n v="11.2446355509146"/>
    <n v="4104.2919760838204"/>
    <n v="14775.4511139018"/>
  </r>
  <r>
    <x v="0"/>
    <x v="0"/>
    <x v="0"/>
    <x v="0"/>
    <x v="1"/>
    <s v="DK2_Rural"/>
    <x v="5"/>
    <s v="GNR_ST_STRW_BP_E-24"/>
    <x v="0"/>
    <x v="5"/>
    <n v="11.2446355509146"/>
    <n v="4104.2919760838204"/>
    <n v="14775.4511139018"/>
  </r>
  <r>
    <x v="0"/>
    <x v="0"/>
    <x v="0"/>
    <x v="0"/>
    <x v="1"/>
    <s v="DK2_Rural"/>
    <x v="5"/>
    <s v="GNR_ST_STRW_BP_E-24"/>
    <x v="0"/>
    <x v="6"/>
    <n v="11.2446355509146"/>
    <n v="4104.2919760838204"/>
    <n v="14775.4511139018"/>
  </r>
  <r>
    <x v="0"/>
    <x v="0"/>
    <x v="0"/>
    <x v="0"/>
    <x v="1"/>
    <s v="DK2_Rural"/>
    <x v="5"/>
    <s v="GNR_ST_STRW_BP_E-24"/>
    <x v="0"/>
    <x v="7"/>
    <n v="11.2446355509146"/>
    <n v="4104.2919760838204"/>
    <n v="14775.4511139018"/>
  </r>
  <r>
    <x v="0"/>
    <x v="0"/>
    <x v="0"/>
    <x v="0"/>
    <x v="1"/>
    <s v="DK2_Rural"/>
    <x v="5"/>
    <s v="GNR_ST_STRW_BP_E-24"/>
    <x v="0"/>
    <x v="8"/>
    <n v="11.2446355509146"/>
    <n v="4104.2919760838204"/>
    <n v="14775.4511139018"/>
  </r>
  <r>
    <x v="0"/>
    <x v="0"/>
    <x v="0"/>
    <x v="0"/>
    <x v="1"/>
    <s v="DK2_Rural"/>
    <x v="5"/>
    <s v="GNR_ST_STRW_BP_E-24"/>
    <x v="0"/>
    <x v="9"/>
    <n v="11.2446355509146"/>
    <n v="4104.2919760838204"/>
    <n v="14775.4511139018"/>
  </r>
  <r>
    <x v="0"/>
    <x v="0"/>
    <x v="0"/>
    <x v="0"/>
    <x v="1"/>
    <s v="DK2_Rural"/>
    <x v="5"/>
    <s v="GNR_ST_STRW_BP_E-24"/>
    <x v="0"/>
    <x v="10"/>
    <n v="11.2446355509146"/>
    <n v="4104.2919760838204"/>
    <n v="14775.4511139018"/>
  </r>
  <r>
    <x v="0"/>
    <x v="0"/>
    <x v="0"/>
    <x v="0"/>
    <x v="1"/>
    <s v="DK2_Rural"/>
    <x v="5"/>
    <s v="GNR_ST_STRW_BP_E-24"/>
    <x v="0"/>
    <x v="11"/>
    <n v="11.2446355509146"/>
    <n v="4104.2919760838204"/>
    <n v="14775.4511139018"/>
  </r>
  <r>
    <x v="0"/>
    <x v="0"/>
    <x v="0"/>
    <x v="0"/>
    <x v="1"/>
    <s v="DK2_Rural"/>
    <x v="5"/>
    <s v="GNR_ST_STRW_BP_E-24"/>
    <x v="0"/>
    <x v="12"/>
    <n v="11.2446355509146"/>
    <n v="4104.2919760838204"/>
    <n v="14775.4511139018"/>
  </r>
  <r>
    <x v="0"/>
    <x v="0"/>
    <x v="0"/>
    <x v="0"/>
    <x v="1"/>
    <s v="DK2_Rural"/>
    <x v="5"/>
    <s v="GNR_ST_STRW_BP_E-24"/>
    <x v="0"/>
    <x v="13"/>
    <n v="11.2446355509146"/>
    <n v="4104.2919760838204"/>
    <n v="14775.4511139018"/>
  </r>
  <r>
    <x v="0"/>
    <x v="0"/>
    <x v="0"/>
    <x v="0"/>
    <x v="1"/>
    <s v="DK2_Rural"/>
    <x v="5"/>
    <s v="GNR_ST_STRW_BP_E-24"/>
    <x v="0"/>
    <x v="14"/>
    <n v="11.2446355509146"/>
    <n v="4104.2919760838204"/>
    <n v="14775.4511139018"/>
  </r>
  <r>
    <x v="0"/>
    <x v="0"/>
    <x v="0"/>
    <x v="0"/>
    <x v="1"/>
    <s v="DK2_Rural"/>
    <x v="5"/>
    <s v="GNR_ST_STRW_BP_E-24"/>
    <x v="0"/>
    <x v="15"/>
    <n v="11.2446355509146"/>
    <n v="4104.2919760838204"/>
    <n v="14775.4511139018"/>
  </r>
  <r>
    <x v="0"/>
    <x v="0"/>
    <x v="0"/>
    <x v="0"/>
    <x v="1"/>
    <s v="DK2_Rural"/>
    <x v="5"/>
    <s v="GNR_ST_STRW_BP_E-24"/>
    <x v="0"/>
    <x v="16"/>
    <n v="11.2446355509146"/>
    <n v="4104.2919760838204"/>
    <n v="14775.4511139018"/>
  </r>
  <r>
    <x v="0"/>
    <x v="0"/>
    <x v="0"/>
    <x v="0"/>
    <x v="1"/>
    <s v="DK2_Rural"/>
    <x v="5"/>
    <s v="GNR_ST_STRW_BP_E-24"/>
    <x v="0"/>
    <x v="17"/>
    <n v="11.2446355509146"/>
    <n v="4104.2919760838204"/>
    <n v="14775.4511139018"/>
  </r>
  <r>
    <x v="0"/>
    <x v="0"/>
    <x v="0"/>
    <x v="0"/>
    <x v="1"/>
    <s v="DK2_Rural"/>
    <x v="5"/>
    <s v="GNR_ST_STRW_BP_E-24"/>
    <x v="0"/>
    <x v="18"/>
    <n v="11.2446355509146"/>
    <n v="4104.2919760838204"/>
    <n v="14775.4511139018"/>
  </r>
  <r>
    <x v="0"/>
    <x v="0"/>
    <x v="0"/>
    <x v="0"/>
    <x v="1"/>
    <s v="DK2_Rural"/>
    <x v="5"/>
    <s v="GNR_ST_STRW_BP_E-24"/>
    <x v="0"/>
    <x v="19"/>
    <n v="11.2446355509146"/>
    <n v="4104.2919760838204"/>
    <n v="14775.4511139018"/>
  </r>
  <r>
    <x v="0"/>
    <x v="0"/>
    <x v="0"/>
    <x v="0"/>
    <x v="1"/>
    <s v="DK2_Rural"/>
    <x v="5"/>
    <s v="GNR_ST_STRW_BP_E-24"/>
    <x v="0"/>
    <x v="20"/>
    <n v="11.2446355509146"/>
    <n v="4104.2919760838204"/>
    <n v="14775.4511139018"/>
  </r>
  <r>
    <x v="0"/>
    <x v="0"/>
    <x v="0"/>
    <x v="0"/>
    <x v="1"/>
    <s v="DK2_Rural"/>
    <x v="5"/>
    <s v="GNR_ST_STRW_BP_E-24"/>
    <x v="0"/>
    <x v="21"/>
    <n v="11.2446355509146"/>
    <n v="4104.2919760838204"/>
    <n v="14775.4511139018"/>
  </r>
  <r>
    <x v="0"/>
    <x v="0"/>
    <x v="0"/>
    <x v="0"/>
    <x v="1"/>
    <s v="DK2_Rural"/>
    <x v="5"/>
    <s v="GNR_ST_STRW_BP_E-24"/>
    <x v="0"/>
    <x v="22"/>
    <n v="11.2446355509146"/>
    <n v="4104.2919760838204"/>
    <n v="14775.4511139018"/>
  </r>
  <r>
    <x v="0"/>
    <x v="0"/>
    <x v="0"/>
    <x v="0"/>
    <x v="1"/>
    <s v="DK2_Rural"/>
    <x v="5"/>
    <s v="GNR_ST_STRW_BP_E-24"/>
    <x v="0"/>
    <x v="23"/>
    <n v="11.2446355509146"/>
    <n v="4104.2919760838204"/>
    <n v="14775.4511139018"/>
  </r>
  <r>
    <x v="0"/>
    <x v="0"/>
    <x v="0"/>
    <x v="0"/>
    <x v="1"/>
    <s v="DK2_Rural"/>
    <x v="5"/>
    <s v="GNR_ST_STRW_BP_E-27"/>
    <x v="0"/>
    <x v="0"/>
    <n v="22.444292559625499"/>
    <n v="8192.1667842633105"/>
    <n v="29491.800423347901"/>
  </r>
  <r>
    <x v="0"/>
    <x v="0"/>
    <x v="0"/>
    <x v="0"/>
    <x v="1"/>
    <s v="DK2_Rural"/>
    <x v="5"/>
    <s v="GNR_ST_STRW_BP_E-27"/>
    <x v="0"/>
    <x v="1"/>
    <n v="22.444292559625499"/>
    <n v="8192.1667842633105"/>
    <n v="29491.800423347901"/>
  </r>
  <r>
    <x v="0"/>
    <x v="0"/>
    <x v="0"/>
    <x v="0"/>
    <x v="1"/>
    <s v="DK2_Rural"/>
    <x v="5"/>
    <s v="GNR_ST_STRW_BP_E-27"/>
    <x v="0"/>
    <x v="2"/>
    <n v="22.444292559625499"/>
    <n v="8192.1667842633105"/>
    <n v="29491.800423347901"/>
  </r>
  <r>
    <x v="0"/>
    <x v="0"/>
    <x v="0"/>
    <x v="0"/>
    <x v="1"/>
    <s v="DK2_Rural"/>
    <x v="5"/>
    <s v="GNR_ST_STRW_BP_E-27"/>
    <x v="0"/>
    <x v="3"/>
    <n v="22.444292559625499"/>
    <n v="8192.1667842633105"/>
    <n v="29491.800423347901"/>
  </r>
  <r>
    <x v="0"/>
    <x v="0"/>
    <x v="0"/>
    <x v="0"/>
    <x v="1"/>
    <s v="DK2_Rural"/>
    <x v="5"/>
    <s v="GNR_ST_STRW_BP_E-27"/>
    <x v="0"/>
    <x v="4"/>
    <n v="22.444292559625499"/>
    <n v="8192.1667842633105"/>
    <n v="29491.800423347901"/>
  </r>
  <r>
    <x v="0"/>
    <x v="0"/>
    <x v="0"/>
    <x v="0"/>
    <x v="1"/>
    <s v="DK2_Rural"/>
    <x v="5"/>
    <s v="GNR_ST_STRW_BP_E-27"/>
    <x v="0"/>
    <x v="5"/>
    <n v="22.444292559625499"/>
    <n v="8192.1667842633105"/>
    <n v="29491.800423347901"/>
  </r>
  <r>
    <x v="0"/>
    <x v="0"/>
    <x v="0"/>
    <x v="0"/>
    <x v="1"/>
    <s v="DK2_Rural"/>
    <x v="5"/>
    <s v="GNR_ST_STRW_BP_E-27"/>
    <x v="0"/>
    <x v="6"/>
    <n v="22.444292559625499"/>
    <n v="8192.1667842633105"/>
    <n v="29491.800423347901"/>
  </r>
  <r>
    <x v="0"/>
    <x v="0"/>
    <x v="0"/>
    <x v="0"/>
    <x v="1"/>
    <s v="DK2_Rural"/>
    <x v="5"/>
    <s v="GNR_ST_STRW_BP_E-27"/>
    <x v="0"/>
    <x v="7"/>
    <n v="22.444292559625499"/>
    <n v="8192.1667842633105"/>
    <n v="29491.800423347901"/>
  </r>
  <r>
    <x v="0"/>
    <x v="0"/>
    <x v="0"/>
    <x v="0"/>
    <x v="1"/>
    <s v="DK2_Rural"/>
    <x v="5"/>
    <s v="GNR_ST_STRW_BP_E-27"/>
    <x v="0"/>
    <x v="8"/>
    <n v="22.444292559625499"/>
    <n v="8192.1667842633105"/>
    <n v="29491.800423347901"/>
  </r>
  <r>
    <x v="0"/>
    <x v="0"/>
    <x v="0"/>
    <x v="0"/>
    <x v="1"/>
    <s v="DK2_Rural"/>
    <x v="5"/>
    <s v="GNR_ST_STRW_BP_E-27"/>
    <x v="0"/>
    <x v="9"/>
    <n v="22.444292559625499"/>
    <n v="8192.1667842633105"/>
    <n v="29491.800423347901"/>
  </r>
  <r>
    <x v="0"/>
    <x v="0"/>
    <x v="0"/>
    <x v="0"/>
    <x v="1"/>
    <s v="DK2_Rural"/>
    <x v="5"/>
    <s v="GNR_ST_STRW_BP_E-27"/>
    <x v="0"/>
    <x v="10"/>
    <n v="22.444292559625499"/>
    <n v="8192.1667842633105"/>
    <n v="29491.800423347901"/>
  </r>
  <r>
    <x v="0"/>
    <x v="0"/>
    <x v="0"/>
    <x v="0"/>
    <x v="1"/>
    <s v="DK2_Rural"/>
    <x v="5"/>
    <s v="GNR_ST_STRW_BP_E-27"/>
    <x v="0"/>
    <x v="11"/>
    <n v="22.444292559625499"/>
    <n v="8192.1667842633105"/>
    <n v="29491.800423347901"/>
  </r>
  <r>
    <x v="0"/>
    <x v="0"/>
    <x v="0"/>
    <x v="0"/>
    <x v="1"/>
    <s v="DK2_Rural"/>
    <x v="5"/>
    <s v="GNR_ST_STRW_BP_E-27"/>
    <x v="0"/>
    <x v="12"/>
    <n v="22.444292559625499"/>
    <n v="8192.1667842633105"/>
    <n v="29491.800423347901"/>
  </r>
  <r>
    <x v="0"/>
    <x v="0"/>
    <x v="0"/>
    <x v="0"/>
    <x v="1"/>
    <s v="DK2_Rural"/>
    <x v="5"/>
    <s v="GNR_ST_STRW_BP_E-27"/>
    <x v="0"/>
    <x v="13"/>
    <n v="22.444292559625499"/>
    <n v="8192.1667842633105"/>
    <n v="29491.800423347901"/>
  </r>
  <r>
    <x v="0"/>
    <x v="0"/>
    <x v="0"/>
    <x v="0"/>
    <x v="1"/>
    <s v="DK2_Rural"/>
    <x v="5"/>
    <s v="GNR_ST_STRW_BP_E-27"/>
    <x v="0"/>
    <x v="14"/>
    <n v="22.444292559625499"/>
    <n v="8192.1667842633105"/>
    <n v="29491.800423347901"/>
  </r>
  <r>
    <x v="0"/>
    <x v="0"/>
    <x v="0"/>
    <x v="0"/>
    <x v="1"/>
    <s v="DK2_Rural"/>
    <x v="5"/>
    <s v="GNR_ST_STRW_BP_E-27"/>
    <x v="0"/>
    <x v="15"/>
    <n v="22.444292559625499"/>
    <n v="8192.1667842633105"/>
    <n v="29491.800423347901"/>
  </r>
  <r>
    <x v="0"/>
    <x v="0"/>
    <x v="0"/>
    <x v="0"/>
    <x v="1"/>
    <s v="DK2_Rural"/>
    <x v="5"/>
    <s v="GNR_ST_STRW_BP_E-27"/>
    <x v="0"/>
    <x v="16"/>
    <n v="22.444292559625499"/>
    <n v="8192.1667842633105"/>
    <n v="29491.800423347901"/>
  </r>
  <r>
    <x v="0"/>
    <x v="0"/>
    <x v="0"/>
    <x v="0"/>
    <x v="1"/>
    <s v="DK2_Rural"/>
    <x v="5"/>
    <s v="GNR_ST_STRW_BP_E-27"/>
    <x v="0"/>
    <x v="17"/>
    <n v="22.444292559625499"/>
    <n v="8192.1667842633105"/>
    <n v="29491.800423347901"/>
  </r>
  <r>
    <x v="0"/>
    <x v="0"/>
    <x v="0"/>
    <x v="0"/>
    <x v="1"/>
    <s v="DK2_Rural"/>
    <x v="5"/>
    <s v="GNR_ST_STRW_BP_E-27"/>
    <x v="0"/>
    <x v="18"/>
    <n v="22.444292559625499"/>
    <n v="8192.1667842633105"/>
    <n v="29491.800423347901"/>
  </r>
  <r>
    <x v="0"/>
    <x v="0"/>
    <x v="0"/>
    <x v="0"/>
    <x v="1"/>
    <s v="DK2_Rural"/>
    <x v="5"/>
    <s v="GNR_ST_STRW_BP_E-27"/>
    <x v="0"/>
    <x v="19"/>
    <n v="22.444292559625499"/>
    <n v="8192.1667842633105"/>
    <n v="29491.800423347901"/>
  </r>
  <r>
    <x v="0"/>
    <x v="0"/>
    <x v="0"/>
    <x v="0"/>
    <x v="1"/>
    <s v="DK2_Rural"/>
    <x v="5"/>
    <s v="GNR_ST_STRW_BP_E-27"/>
    <x v="0"/>
    <x v="20"/>
    <n v="22.444292559625499"/>
    <n v="8192.1667842633105"/>
    <n v="29491.800423347901"/>
  </r>
  <r>
    <x v="0"/>
    <x v="0"/>
    <x v="0"/>
    <x v="0"/>
    <x v="1"/>
    <s v="DK2_Rural"/>
    <x v="5"/>
    <s v="GNR_ST_STRW_BP_E-27"/>
    <x v="0"/>
    <x v="21"/>
    <n v="22.444292559625499"/>
    <n v="8192.1667842633105"/>
    <n v="29491.800423347901"/>
  </r>
  <r>
    <x v="0"/>
    <x v="0"/>
    <x v="0"/>
    <x v="0"/>
    <x v="1"/>
    <s v="DK2_Rural"/>
    <x v="5"/>
    <s v="GNR_ST_STRW_BP_E-27"/>
    <x v="0"/>
    <x v="22"/>
    <n v="22.444292559625499"/>
    <n v="8192.1667842633105"/>
    <n v="29491.800423347901"/>
  </r>
  <r>
    <x v="0"/>
    <x v="0"/>
    <x v="0"/>
    <x v="0"/>
    <x v="1"/>
    <s v="DK2_Rural"/>
    <x v="5"/>
    <s v="GNR_ST_STRW_BP_E-27"/>
    <x v="0"/>
    <x v="23"/>
    <n v="22.444292559625499"/>
    <n v="8192.1667842633105"/>
    <n v="29491.800423347901"/>
  </r>
  <r>
    <x v="0"/>
    <x v="0"/>
    <x v="0"/>
    <x v="0"/>
    <x v="1"/>
    <s v="DK2_Rural"/>
    <x v="5"/>
    <s v="GNR_ST_STRW_BP_E-28"/>
    <x v="0"/>
    <x v="0"/>
    <n v="25.862661767103599"/>
    <n v="9439.8715449928004"/>
    <n v="33983.537561974103"/>
  </r>
  <r>
    <x v="0"/>
    <x v="0"/>
    <x v="0"/>
    <x v="0"/>
    <x v="1"/>
    <s v="DK2_Rural"/>
    <x v="5"/>
    <s v="GNR_ST_STRW_BP_E-28"/>
    <x v="0"/>
    <x v="1"/>
    <n v="25.862661767103599"/>
    <n v="9439.8715449928004"/>
    <n v="33983.537561974103"/>
  </r>
  <r>
    <x v="0"/>
    <x v="0"/>
    <x v="0"/>
    <x v="0"/>
    <x v="1"/>
    <s v="DK2_Rural"/>
    <x v="5"/>
    <s v="GNR_ST_STRW_BP_E-28"/>
    <x v="0"/>
    <x v="2"/>
    <n v="25.862661767103599"/>
    <n v="9439.8715449928004"/>
    <n v="33983.537561974103"/>
  </r>
  <r>
    <x v="0"/>
    <x v="0"/>
    <x v="0"/>
    <x v="0"/>
    <x v="1"/>
    <s v="DK2_Rural"/>
    <x v="5"/>
    <s v="GNR_ST_STRW_BP_E-28"/>
    <x v="0"/>
    <x v="3"/>
    <n v="25.862661767103599"/>
    <n v="9439.8715449928004"/>
    <n v="33983.537561974103"/>
  </r>
  <r>
    <x v="0"/>
    <x v="0"/>
    <x v="0"/>
    <x v="0"/>
    <x v="1"/>
    <s v="DK2_Rural"/>
    <x v="5"/>
    <s v="GNR_ST_STRW_BP_E-28"/>
    <x v="0"/>
    <x v="4"/>
    <n v="25.862661767103599"/>
    <n v="9439.8715449928004"/>
    <n v="33983.537561974103"/>
  </r>
  <r>
    <x v="0"/>
    <x v="0"/>
    <x v="0"/>
    <x v="0"/>
    <x v="1"/>
    <s v="DK2_Rural"/>
    <x v="5"/>
    <s v="GNR_ST_STRW_BP_E-28"/>
    <x v="0"/>
    <x v="5"/>
    <n v="25.862661767103599"/>
    <n v="9439.8715449928004"/>
    <n v="33983.537561974103"/>
  </r>
  <r>
    <x v="0"/>
    <x v="0"/>
    <x v="0"/>
    <x v="0"/>
    <x v="1"/>
    <s v="DK2_Rural"/>
    <x v="5"/>
    <s v="GNR_ST_STRW_BP_E-28"/>
    <x v="0"/>
    <x v="6"/>
    <n v="25.862661767103599"/>
    <n v="9439.8715449928004"/>
    <n v="33983.537561974103"/>
  </r>
  <r>
    <x v="0"/>
    <x v="0"/>
    <x v="0"/>
    <x v="0"/>
    <x v="1"/>
    <s v="DK2_Rural"/>
    <x v="5"/>
    <s v="GNR_ST_STRW_BP_E-28"/>
    <x v="0"/>
    <x v="7"/>
    <n v="25.862661767103599"/>
    <n v="9439.8715449928004"/>
    <n v="33983.537561974103"/>
  </r>
  <r>
    <x v="0"/>
    <x v="0"/>
    <x v="0"/>
    <x v="0"/>
    <x v="1"/>
    <s v="DK2_Rural"/>
    <x v="5"/>
    <s v="GNR_ST_STRW_BP_E-28"/>
    <x v="0"/>
    <x v="8"/>
    <n v="25.862661767103599"/>
    <n v="9439.8715449928004"/>
    <n v="33983.537561974103"/>
  </r>
  <r>
    <x v="0"/>
    <x v="0"/>
    <x v="0"/>
    <x v="0"/>
    <x v="1"/>
    <s v="DK2_Rural"/>
    <x v="5"/>
    <s v="GNR_ST_STRW_BP_E-28"/>
    <x v="0"/>
    <x v="9"/>
    <n v="25.862661767103599"/>
    <n v="9439.8715449928004"/>
    <n v="33983.537561974103"/>
  </r>
  <r>
    <x v="0"/>
    <x v="0"/>
    <x v="0"/>
    <x v="0"/>
    <x v="1"/>
    <s v="DK2_Rural"/>
    <x v="5"/>
    <s v="GNR_ST_STRW_BP_E-28"/>
    <x v="0"/>
    <x v="10"/>
    <n v="25.862661767103599"/>
    <n v="9439.8715449928004"/>
    <n v="33983.537561974103"/>
  </r>
  <r>
    <x v="0"/>
    <x v="0"/>
    <x v="0"/>
    <x v="0"/>
    <x v="1"/>
    <s v="DK2_Rural"/>
    <x v="5"/>
    <s v="GNR_ST_STRW_BP_E-28"/>
    <x v="0"/>
    <x v="11"/>
    <n v="25.862661767103599"/>
    <n v="9439.8715449928004"/>
    <n v="33983.537561974103"/>
  </r>
  <r>
    <x v="0"/>
    <x v="0"/>
    <x v="0"/>
    <x v="0"/>
    <x v="1"/>
    <s v="DK2_Rural"/>
    <x v="5"/>
    <s v="GNR_ST_STRW_BP_E-28"/>
    <x v="0"/>
    <x v="12"/>
    <n v="25.862661767103599"/>
    <n v="9439.8715449928004"/>
    <n v="33983.537561974103"/>
  </r>
  <r>
    <x v="0"/>
    <x v="0"/>
    <x v="0"/>
    <x v="0"/>
    <x v="1"/>
    <s v="DK2_Rural"/>
    <x v="5"/>
    <s v="GNR_ST_STRW_BP_E-28"/>
    <x v="0"/>
    <x v="13"/>
    <n v="25.862661767103599"/>
    <n v="9439.8715449928004"/>
    <n v="33983.537561974103"/>
  </r>
  <r>
    <x v="0"/>
    <x v="0"/>
    <x v="0"/>
    <x v="0"/>
    <x v="1"/>
    <s v="DK2_Rural"/>
    <x v="5"/>
    <s v="GNR_ST_STRW_BP_E-28"/>
    <x v="0"/>
    <x v="14"/>
    <n v="25.862661767103599"/>
    <n v="9439.8715449928004"/>
    <n v="33983.537561974103"/>
  </r>
  <r>
    <x v="0"/>
    <x v="0"/>
    <x v="0"/>
    <x v="0"/>
    <x v="1"/>
    <s v="DK2_Rural"/>
    <x v="5"/>
    <s v="GNR_ST_STRW_BP_E-28"/>
    <x v="0"/>
    <x v="15"/>
    <n v="25.862661767103599"/>
    <n v="9439.8715449928004"/>
    <n v="33983.537561974103"/>
  </r>
  <r>
    <x v="0"/>
    <x v="0"/>
    <x v="0"/>
    <x v="0"/>
    <x v="1"/>
    <s v="DK2_Rural"/>
    <x v="5"/>
    <s v="GNR_ST_STRW_BP_E-28"/>
    <x v="0"/>
    <x v="16"/>
    <n v="25.862661767103599"/>
    <n v="9439.8715449928004"/>
    <n v="33983.537561974103"/>
  </r>
  <r>
    <x v="0"/>
    <x v="0"/>
    <x v="0"/>
    <x v="0"/>
    <x v="1"/>
    <s v="DK2_Rural"/>
    <x v="5"/>
    <s v="GNR_ST_STRW_BP_E-28"/>
    <x v="0"/>
    <x v="17"/>
    <n v="25.862661767103599"/>
    <n v="9439.8715449928004"/>
    <n v="33983.537561974103"/>
  </r>
  <r>
    <x v="0"/>
    <x v="0"/>
    <x v="0"/>
    <x v="0"/>
    <x v="1"/>
    <s v="DK2_Rural"/>
    <x v="5"/>
    <s v="GNR_ST_STRW_BP_E-28"/>
    <x v="0"/>
    <x v="18"/>
    <n v="25.862661767103599"/>
    <n v="9439.8715449928004"/>
    <n v="33983.537561974103"/>
  </r>
  <r>
    <x v="0"/>
    <x v="0"/>
    <x v="0"/>
    <x v="0"/>
    <x v="1"/>
    <s v="DK2_Rural"/>
    <x v="5"/>
    <s v="GNR_ST_STRW_BP_E-28"/>
    <x v="0"/>
    <x v="19"/>
    <n v="25.862661767103599"/>
    <n v="9439.8715449928004"/>
    <n v="33983.537561974103"/>
  </r>
  <r>
    <x v="0"/>
    <x v="0"/>
    <x v="0"/>
    <x v="0"/>
    <x v="1"/>
    <s v="DK2_Rural"/>
    <x v="5"/>
    <s v="GNR_ST_STRW_BP_E-28"/>
    <x v="0"/>
    <x v="20"/>
    <n v="25.862661767103599"/>
    <n v="9439.8715449928004"/>
    <n v="33983.537561974103"/>
  </r>
  <r>
    <x v="0"/>
    <x v="0"/>
    <x v="0"/>
    <x v="0"/>
    <x v="1"/>
    <s v="DK2_Rural"/>
    <x v="5"/>
    <s v="GNR_ST_STRW_BP_E-28"/>
    <x v="0"/>
    <x v="21"/>
    <n v="25.862661767103599"/>
    <n v="9439.8715449928004"/>
    <n v="33983.537561974103"/>
  </r>
  <r>
    <x v="0"/>
    <x v="0"/>
    <x v="0"/>
    <x v="0"/>
    <x v="1"/>
    <s v="DK2_Rural"/>
    <x v="5"/>
    <s v="GNR_ST_STRW_BP_E-28"/>
    <x v="0"/>
    <x v="22"/>
    <n v="25.862661767103599"/>
    <n v="9439.8715449928004"/>
    <n v="33983.537561974103"/>
  </r>
  <r>
    <x v="0"/>
    <x v="0"/>
    <x v="0"/>
    <x v="0"/>
    <x v="1"/>
    <s v="DK2_Rural"/>
    <x v="5"/>
    <s v="GNR_ST_STRW_BP_E-28"/>
    <x v="0"/>
    <x v="23"/>
    <n v="25.862661767103599"/>
    <n v="9439.8715449928004"/>
    <n v="33983.537561974103"/>
  </r>
  <r>
    <x v="0"/>
    <x v="0"/>
    <x v="0"/>
    <x v="0"/>
    <x v="1"/>
    <s v="DK2_Rural"/>
    <x v="6"/>
    <s v="GNR_EH_HEAT"/>
    <x v="0"/>
    <x v="0"/>
    <n v="16.5"/>
    <n v="6022.5"/>
    <n v="21681"/>
  </r>
  <r>
    <x v="0"/>
    <x v="0"/>
    <x v="0"/>
    <x v="0"/>
    <x v="1"/>
    <s v="DK2_Rural"/>
    <x v="6"/>
    <s v="GNR_EH_HEAT"/>
    <x v="0"/>
    <x v="1"/>
    <n v="16.5"/>
    <n v="6022.5"/>
    <n v="21681"/>
  </r>
  <r>
    <x v="0"/>
    <x v="0"/>
    <x v="0"/>
    <x v="0"/>
    <x v="1"/>
    <s v="DK2_Rural"/>
    <x v="6"/>
    <s v="GNR_EH_HEAT"/>
    <x v="0"/>
    <x v="2"/>
    <n v="16.5"/>
    <n v="6022.5"/>
    <n v="21681"/>
  </r>
  <r>
    <x v="0"/>
    <x v="0"/>
    <x v="0"/>
    <x v="0"/>
    <x v="1"/>
    <s v="DK2_Rural"/>
    <x v="6"/>
    <s v="GNR_EH_HEAT"/>
    <x v="0"/>
    <x v="3"/>
    <n v="16.5"/>
    <n v="6022.5"/>
    <n v="21681"/>
  </r>
  <r>
    <x v="0"/>
    <x v="0"/>
    <x v="0"/>
    <x v="0"/>
    <x v="1"/>
    <s v="DK2_Rural"/>
    <x v="6"/>
    <s v="GNR_EH_HEAT"/>
    <x v="0"/>
    <x v="4"/>
    <n v="16.5"/>
    <n v="6022.5"/>
    <n v="21681"/>
  </r>
  <r>
    <x v="0"/>
    <x v="0"/>
    <x v="0"/>
    <x v="0"/>
    <x v="1"/>
    <s v="DK2_Rural"/>
    <x v="6"/>
    <s v="GNR_EH_HEAT"/>
    <x v="0"/>
    <x v="5"/>
    <n v="16.5"/>
    <n v="6022.5"/>
    <n v="21681"/>
  </r>
  <r>
    <x v="0"/>
    <x v="0"/>
    <x v="0"/>
    <x v="0"/>
    <x v="1"/>
    <s v="DK2_Rural"/>
    <x v="6"/>
    <s v="GNR_EH_HEAT"/>
    <x v="0"/>
    <x v="6"/>
    <n v="16.5"/>
    <n v="6022.5"/>
    <n v="21681"/>
  </r>
  <r>
    <x v="0"/>
    <x v="0"/>
    <x v="0"/>
    <x v="0"/>
    <x v="1"/>
    <s v="DK2_Rural"/>
    <x v="6"/>
    <s v="GNR_EH_HEAT"/>
    <x v="0"/>
    <x v="7"/>
    <n v="16.5"/>
    <n v="6022.5"/>
    <n v="21681"/>
  </r>
  <r>
    <x v="0"/>
    <x v="0"/>
    <x v="0"/>
    <x v="0"/>
    <x v="1"/>
    <s v="DK2_Rural"/>
    <x v="6"/>
    <s v="GNR_EH_HEAT"/>
    <x v="0"/>
    <x v="8"/>
    <n v="16.5"/>
    <n v="6022.5"/>
    <n v="21681"/>
  </r>
  <r>
    <x v="0"/>
    <x v="0"/>
    <x v="0"/>
    <x v="0"/>
    <x v="1"/>
    <s v="DK2_Rural"/>
    <x v="6"/>
    <s v="GNR_EH_HEAT"/>
    <x v="0"/>
    <x v="9"/>
    <n v="16.5"/>
    <n v="6022.5"/>
    <n v="21681"/>
  </r>
  <r>
    <x v="0"/>
    <x v="0"/>
    <x v="0"/>
    <x v="0"/>
    <x v="1"/>
    <s v="DK2_Rural"/>
    <x v="6"/>
    <s v="GNR_EH_HEAT"/>
    <x v="0"/>
    <x v="10"/>
    <n v="16.5"/>
    <n v="6022.5"/>
    <n v="21681"/>
  </r>
  <r>
    <x v="0"/>
    <x v="0"/>
    <x v="0"/>
    <x v="0"/>
    <x v="1"/>
    <s v="DK2_Rural"/>
    <x v="6"/>
    <s v="GNR_EH_HEAT"/>
    <x v="0"/>
    <x v="11"/>
    <n v="16.5"/>
    <n v="6022.5"/>
    <n v="21681"/>
  </r>
  <r>
    <x v="0"/>
    <x v="0"/>
    <x v="0"/>
    <x v="0"/>
    <x v="1"/>
    <s v="DK2_Rural"/>
    <x v="6"/>
    <s v="GNR_EH_HEAT"/>
    <x v="0"/>
    <x v="12"/>
    <n v="16.5"/>
    <n v="6022.5"/>
    <n v="21681"/>
  </r>
  <r>
    <x v="0"/>
    <x v="0"/>
    <x v="0"/>
    <x v="0"/>
    <x v="1"/>
    <s v="DK2_Rural"/>
    <x v="6"/>
    <s v="GNR_EH_HEAT"/>
    <x v="0"/>
    <x v="13"/>
    <n v="16.5"/>
    <n v="6022.5"/>
    <n v="21681"/>
  </r>
  <r>
    <x v="0"/>
    <x v="0"/>
    <x v="0"/>
    <x v="0"/>
    <x v="1"/>
    <s v="DK2_Rural"/>
    <x v="6"/>
    <s v="GNR_EH_HEAT"/>
    <x v="0"/>
    <x v="14"/>
    <n v="16.5"/>
    <n v="6022.5"/>
    <n v="21681"/>
  </r>
  <r>
    <x v="0"/>
    <x v="0"/>
    <x v="0"/>
    <x v="0"/>
    <x v="1"/>
    <s v="DK2_Rural"/>
    <x v="6"/>
    <s v="GNR_EH_HEAT"/>
    <x v="0"/>
    <x v="15"/>
    <n v="16.5"/>
    <n v="6022.5"/>
    <n v="21681"/>
  </r>
  <r>
    <x v="0"/>
    <x v="0"/>
    <x v="0"/>
    <x v="0"/>
    <x v="1"/>
    <s v="DK2_Rural"/>
    <x v="6"/>
    <s v="GNR_EH_HEAT"/>
    <x v="0"/>
    <x v="16"/>
    <n v="16.5"/>
    <n v="6022.5"/>
    <n v="21681"/>
  </r>
  <r>
    <x v="0"/>
    <x v="0"/>
    <x v="0"/>
    <x v="0"/>
    <x v="1"/>
    <s v="DK2_Rural"/>
    <x v="6"/>
    <s v="GNR_EH_HEAT"/>
    <x v="0"/>
    <x v="17"/>
    <n v="16.5"/>
    <n v="6022.5"/>
    <n v="21681"/>
  </r>
  <r>
    <x v="0"/>
    <x v="0"/>
    <x v="0"/>
    <x v="0"/>
    <x v="1"/>
    <s v="DK2_Rural"/>
    <x v="6"/>
    <s v="GNR_EH_HEAT"/>
    <x v="0"/>
    <x v="18"/>
    <n v="16.5"/>
    <n v="6022.5"/>
    <n v="21681"/>
  </r>
  <r>
    <x v="0"/>
    <x v="0"/>
    <x v="0"/>
    <x v="0"/>
    <x v="1"/>
    <s v="DK2_Rural"/>
    <x v="6"/>
    <s v="GNR_EH_HEAT"/>
    <x v="0"/>
    <x v="19"/>
    <n v="16.5"/>
    <n v="6022.5"/>
    <n v="21681"/>
  </r>
  <r>
    <x v="0"/>
    <x v="0"/>
    <x v="0"/>
    <x v="0"/>
    <x v="1"/>
    <s v="DK2_Rural"/>
    <x v="6"/>
    <s v="GNR_EH_HEAT"/>
    <x v="0"/>
    <x v="20"/>
    <n v="16.5"/>
    <n v="6022.5"/>
    <n v="21681"/>
  </r>
  <r>
    <x v="0"/>
    <x v="0"/>
    <x v="0"/>
    <x v="0"/>
    <x v="1"/>
    <s v="DK2_Rural"/>
    <x v="6"/>
    <s v="GNR_EH_HEAT"/>
    <x v="0"/>
    <x v="21"/>
    <n v="16.5"/>
    <n v="6022.5"/>
    <n v="21681"/>
  </r>
  <r>
    <x v="0"/>
    <x v="0"/>
    <x v="0"/>
    <x v="0"/>
    <x v="1"/>
    <s v="DK2_Rural"/>
    <x v="6"/>
    <s v="GNR_EH_HEAT"/>
    <x v="0"/>
    <x v="22"/>
    <n v="16.5"/>
    <n v="6022.5"/>
    <n v="21681"/>
  </r>
  <r>
    <x v="0"/>
    <x v="0"/>
    <x v="0"/>
    <x v="0"/>
    <x v="1"/>
    <s v="DK2_Rural"/>
    <x v="6"/>
    <s v="GNR_EH_HEAT"/>
    <x v="0"/>
    <x v="23"/>
    <n v="16.5"/>
    <n v="6022.5"/>
    <n v="21681"/>
  </r>
  <r>
    <x v="0"/>
    <x v="0"/>
    <x v="0"/>
    <x v="0"/>
    <x v="1"/>
    <s v="DK2_Rural"/>
    <x v="7"/>
    <s v="GNR_BO_WOODCHI_E-119"/>
    <x v="0"/>
    <x v="10"/>
    <n v="7.4723456087192801"/>
    <n v="2727.4061471825398"/>
    <n v="9818.6621298571299"/>
  </r>
  <r>
    <x v="0"/>
    <x v="0"/>
    <x v="0"/>
    <x v="0"/>
    <x v="1"/>
    <s v="DK2_Rural"/>
    <x v="7"/>
    <s v="GNR_BO_WOODCHI_E-119"/>
    <x v="0"/>
    <x v="11"/>
    <n v="17.1652558151725"/>
    <n v="6265.3183725379404"/>
    <n v="22555.1461411366"/>
  </r>
  <r>
    <x v="0"/>
    <x v="0"/>
    <x v="0"/>
    <x v="0"/>
    <x v="1"/>
    <s v="DK2_Rural"/>
    <x v="7"/>
    <s v="GNR_BO_WOODCHI_E-119"/>
    <x v="0"/>
    <x v="12"/>
    <n v="9.4695645195366396"/>
    <n v="3456.3910496308699"/>
    <n v="12443.007778671101"/>
  </r>
  <r>
    <x v="0"/>
    <x v="0"/>
    <x v="0"/>
    <x v="0"/>
    <x v="1"/>
    <s v="DK2_Rural"/>
    <x v="7"/>
    <s v="GNR_BO_WOODCHI_E-119"/>
    <x v="0"/>
    <x v="14"/>
    <n v="6.30883416597191"/>
    <n v="2302.7244705797498"/>
    <n v="8289.8080940870896"/>
  </r>
  <r>
    <x v="0"/>
    <x v="0"/>
    <x v="0"/>
    <x v="0"/>
    <x v="1"/>
    <s v="DK2_Rural"/>
    <x v="9"/>
    <s v="GNR_BO_WOODWST_E-100"/>
    <x v="0"/>
    <x v="0"/>
    <n v="6.3"/>
    <n v="2299.5"/>
    <n v="8278.2000000000007"/>
  </r>
  <r>
    <x v="0"/>
    <x v="0"/>
    <x v="0"/>
    <x v="0"/>
    <x v="1"/>
    <s v="DK2_Rural"/>
    <x v="9"/>
    <s v="GNR_BO_WOODWST_E-100"/>
    <x v="0"/>
    <x v="1"/>
    <n v="6.3"/>
    <n v="2299.5"/>
    <n v="8278.2000000000007"/>
  </r>
  <r>
    <x v="0"/>
    <x v="0"/>
    <x v="0"/>
    <x v="0"/>
    <x v="1"/>
    <s v="DK2_Rural"/>
    <x v="9"/>
    <s v="GNR_BO_WOODWST_E-100"/>
    <x v="0"/>
    <x v="2"/>
    <n v="6.3"/>
    <n v="2299.5"/>
    <n v="8278.2000000000007"/>
  </r>
  <r>
    <x v="0"/>
    <x v="0"/>
    <x v="0"/>
    <x v="0"/>
    <x v="1"/>
    <s v="DK2_Rural"/>
    <x v="9"/>
    <s v="GNR_BO_WOODWST_E-100"/>
    <x v="0"/>
    <x v="3"/>
    <n v="6.3"/>
    <n v="2299.5"/>
    <n v="8278.2000000000007"/>
  </r>
  <r>
    <x v="0"/>
    <x v="0"/>
    <x v="0"/>
    <x v="0"/>
    <x v="1"/>
    <s v="DK2_Rural"/>
    <x v="9"/>
    <s v="GNR_BO_WOODWST_E-100"/>
    <x v="0"/>
    <x v="4"/>
    <n v="6.3"/>
    <n v="2299.5"/>
    <n v="8278.2000000000007"/>
  </r>
  <r>
    <x v="0"/>
    <x v="0"/>
    <x v="0"/>
    <x v="0"/>
    <x v="1"/>
    <s v="DK2_Rural"/>
    <x v="9"/>
    <s v="GNR_BO_WOODWST_E-100"/>
    <x v="0"/>
    <x v="5"/>
    <n v="6.3"/>
    <n v="2299.5"/>
    <n v="8278.2000000000007"/>
  </r>
  <r>
    <x v="0"/>
    <x v="0"/>
    <x v="0"/>
    <x v="0"/>
    <x v="1"/>
    <s v="DK2_Rural"/>
    <x v="9"/>
    <s v="GNR_BO_WOODWST_E-100"/>
    <x v="0"/>
    <x v="6"/>
    <n v="6.3"/>
    <n v="2299.5"/>
    <n v="8278.2000000000007"/>
  </r>
  <r>
    <x v="0"/>
    <x v="0"/>
    <x v="0"/>
    <x v="0"/>
    <x v="1"/>
    <s v="DK2_Rural"/>
    <x v="9"/>
    <s v="GNR_BO_WOODWST_E-100"/>
    <x v="0"/>
    <x v="7"/>
    <n v="6.3"/>
    <n v="2299.5"/>
    <n v="8278.2000000000007"/>
  </r>
  <r>
    <x v="0"/>
    <x v="0"/>
    <x v="0"/>
    <x v="0"/>
    <x v="1"/>
    <s v="DK2_Rural"/>
    <x v="9"/>
    <s v="GNR_BO_WOODWST_E-100"/>
    <x v="0"/>
    <x v="8"/>
    <n v="6.3"/>
    <n v="2299.5"/>
    <n v="8278.2000000000007"/>
  </r>
  <r>
    <x v="0"/>
    <x v="0"/>
    <x v="0"/>
    <x v="0"/>
    <x v="1"/>
    <s v="DK2_Rural"/>
    <x v="9"/>
    <s v="GNR_BO_WOODWST_E-100"/>
    <x v="0"/>
    <x v="9"/>
    <n v="6.3"/>
    <n v="2299.5"/>
    <n v="8278.2000000000007"/>
  </r>
  <r>
    <x v="0"/>
    <x v="0"/>
    <x v="0"/>
    <x v="0"/>
    <x v="1"/>
    <s v="DK2_Rural"/>
    <x v="9"/>
    <s v="GNR_BO_WOODWST_E-100"/>
    <x v="0"/>
    <x v="10"/>
    <n v="6.3"/>
    <n v="2299.5"/>
    <n v="8278.2000000000007"/>
  </r>
  <r>
    <x v="0"/>
    <x v="0"/>
    <x v="0"/>
    <x v="0"/>
    <x v="1"/>
    <s v="DK2_Rural"/>
    <x v="9"/>
    <s v="GNR_BO_WOODWST_E-100"/>
    <x v="0"/>
    <x v="11"/>
    <n v="6.3"/>
    <n v="2299.5"/>
    <n v="8278.2000000000007"/>
  </r>
  <r>
    <x v="0"/>
    <x v="0"/>
    <x v="0"/>
    <x v="0"/>
    <x v="1"/>
    <s v="DK2_Rural"/>
    <x v="9"/>
    <s v="GNR_BO_WOODWST_E-100"/>
    <x v="0"/>
    <x v="12"/>
    <n v="6.3"/>
    <n v="2299.5"/>
    <n v="8278.2000000000007"/>
  </r>
  <r>
    <x v="0"/>
    <x v="0"/>
    <x v="0"/>
    <x v="0"/>
    <x v="1"/>
    <s v="DK2_Rural"/>
    <x v="9"/>
    <s v="GNR_BO_WOODWST_E-100"/>
    <x v="0"/>
    <x v="13"/>
    <n v="6.3"/>
    <n v="2299.5"/>
    <n v="8278.2000000000007"/>
  </r>
  <r>
    <x v="0"/>
    <x v="0"/>
    <x v="0"/>
    <x v="0"/>
    <x v="1"/>
    <s v="DK2_Rural"/>
    <x v="9"/>
    <s v="GNR_BO_WOODWST_E-100"/>
    <x v="0"/>
    <x v="14"/>
    <n v="6.3"/>
    <n v="2299.5"/>
    <n v="8278.2000000000007"/>
  </r>
  <r>
    <x v="0"/>
    <x v="0"/>
    <x v="0"/>
    <x v="0"/>
    <x v="1"/>
    <s v="DK2_Rural"/>
    <x v="9"/>
    <s v="GNR_BO_WOODWST_E-100"/>
    <x v="0"/>
    <x v="15"/>
    <n v="6.3"/>
    <n v="2299.5"/>
    <n v="8278.2000000000007"/>
  </r>
  <r>
    <x v="0"/>
    <x v="0"/>
    <x v="0"/>
    <x v="0"/>
    <x v="1"/>
    <s v="DK2_Rural"/>
    <x v="9"/>
    <s v="GNR_BO_WOODWST_E-100"/>
    <x v="0"/>
    <x v="16"/>
    <n v="6.3"/>
    <n v="2299.5"/>
    <n v="8278.2000000000007"/>
  </r>
  <r>
    <x v="0"/>
    <x v="0"/>
    <x v="0"/>
    <x v="0"/>
    <x v="1"/>
    <s v="DK2_Rural"/>
    <x v="9"/>
    <s v="GNR_BO_WOODWST_E-100"/>
    <x v="0"/>
    <x v="17"/>
    <n v="6.3"/>
    <n v="2299.5"/>
    <n v="8278.2000000000007"/>
  </r>
  <r>
    <x v="0"/>
    <x v="0"/>
    <x v="0"/>
    <x v="0"/>
    <x v="1"/>
    <s v="DK2_Rural"/>
    <x v="9"/>
    <s v="GNR_BO_WOODWST_E-100"/>
    <x v="0"/>
    <x v="18"/>
    <n v="6.3"/>
    <n v="2299.5"/>
    <n v="8278.2000000000007"/>
  </r>
  <r>
    <x v="0"/>
    <x v="0"/>
    <x v="0"/>
    <x v="0"/>
    <x v="1"/>
    <s v="DK2_Rural"/>
    <x v="9"/>
    <s v="GNR_BO_WOODWST_E-100"/>
    <x v="0"/>
    <x v="19"/>
    <n v="6.3"/>
    <n v="2299.5"/>
    <n v="8278.2000000000007"/>
  </r>
  <r>
    <x v="0"/>
    <x v="0"/>
    <x v="0"/>
    <x v="0"/>
    <x v="1"/>
    <s v="DK2_Rural"/>
    <x v="9"/>
    <s v="GNR_BO_WOODWST_E-100"/>
    <x v="0"/>
    <x v="20"/>
    <n v="6.3"/>
    <n v="2299.5"/>
    <n v="8278.2000000000007"/>
  </r>
  <r>
    <x v="0"/>
    <x v="0"/>
    <x v="0"/>
    <x v="0"/>
    <x v="1"/>
    <s v="DK2_Rural"/>
    <x v="9"/>
    <s v="GNR_BO_WOODWST_E-100"/>
    <x v="0"/>
    <x v="21"/>
    <n v="6.3"/>
    <n v="2299.5"/>
    <n v="8278.2000000000007"/>
  </r>
  <r>
    <x v="0"/>
    <x v="0"/>
    <x v="0"/>
    <x v="0"/>
    <x v="1"/>
    <s v="DK2_Rural"/>
    <x v="9"/>
    <s v="GNR_BO_WOODWST_E-100"/>
    <x v="0"/>
    <x v="22"/>
    <n v="6.3"/>
    <n v="2299.5"/>
    <n v="8278.2000000000007"/>
  </r>
  <r>
    <x v="0"/>
    <x v="0"/>
    <x v="0"/>
    <x v="0"/>
    <x v="1"/>
    <s v="DK2_Rural"/>
    <x v="9"/>
    <s v="GNR_BO_WOODWST_E-100"/>
    <x v="0"/>
    <x v="23"/>
    <n v="6.3"/>
    <n v="2299.5"/>
    <n v="8278.2000000000007"/>
  </r>
  <r>
    <x v="0"/>
    <x v="0"/>
    <x v="0"/>
    <x v="0"/>
    <x v="1"/>
    <s v="DK2_Small"/>
    <x v="2"/>
    <s v="GNR_HS_HEAT-E-100"/>
    <x v="0"/>
    <x v="22"/>
    <n v="14.336551056157401"/>
    <n v="5232.8411354974396"/>
    <n v="18838.228087790802"/>
  </r>
  <r>
    <x v="0"/>
    <x v="0"/>
    <x v="0"/>
    <x v="0"/>
    <x v="1"/>
    <s v="DK2_Small"/>
    <x v="2"/>
    <s v="GNR_HS_HEAT_WTR-TANK_LS_E-95_Y-2010"/>
    <x v="0"/>
    <x v="0"/>
    <n v="199.51661750605899"/>
    <n v="72823.565389711395"/>
    <n v="262164.83540296101"/>
  </r>
  <r>
    <x v="0"/>
    <x v="0"/>
    <x v="0"/>
    <x v="0"/>
    <x v="1"/>
    <s v="DK2_Small"/>
    <x v="2"/>
    <s v="GNR_HS_HEAT_WTR-TANK_LS_E-95_Y-2010"/>
    <x v="0"/>
    <x v="1"/>
    <n v="213.21893239419501"/>
    <n v="77824.910323881195"/>
    <n v="280169.67716597201"/>
  </r>
  <r>
    <x v="0"/>
    <x v="0"/>
    <x v="0"/>
    <x v="0"/>
    <x v="1"/>
    <s v="DK2_Small"/>
    <x v="2"/>
    <s v="GNR_HS_HEAT_WTR-TANK_LS_E-95_Y-2010"/>
    <x v="0"/>
    <x v="2"/>
    <n v="213.21893239419501"/>
    <n v="77824.910323881195"/>
    <n v="280169.67716597201"/>
  </r>
  <r>
    <x v="0"/>
    <x v="0"/>
    <x v="0"/>
    <x v="0"/>
    <x v="1"/>
    <s v="DK2_Small"/>
    <x v="2"/>
    <s v="GNR_HS_HEAT_WTR-TANK_LS_E-95_Y-2010"/>
    <x v="0"/>
    <x v="3"/>
    <n v="213.21893239419501"/>
    <n v="77824.910323881195"/>
    <n v="280169.67716597201"/>
  </r>
  <r>
    <x v="0"/>
    <x v="0"/>
    <x v="0"/>
    <x v="0"/>
    <x v="1"/>
    <s v="DK2_Small"/>
    <x v="2"/>
    <s v="GNR_HS_HEAT_WTR-TANK_LS_E-95_Y-2010"/>
    <x v="0"/>
    <x v="4"/>
    <n v="181.643309598711"/>
    <n v="66299.808003529499"/>
    <n v="238679.308812706"/>
  </r>
  <r>
    <x v="0"/>
    <x v="0"/>
    <x v="0"/>
    <x v="0"/>
    <x v="1"/>
    <s v="DK2_Small"/>
    <x v="2"/>
    <s v="GNR_HS_HEAT_WTR-TANK_LS_E-95_Y-2010"/>
    <x v="0"/>
    <x v="5"/>
    <n v="183.57471563014099"/>
    <n v="67004.771205001496"/>
    <n v="241217.176338005"/>
  </r>
  <r>
    <x v="0"/>
    <x v="0"/>
    <x v="0"/>
    <x v="0"/>
    <x v="1"/>
    <s v="DK2_Small"/>
    <x v="2"/>
    <s v="GNR_HS_HEAT_WTR-TANK_LS_E-95_Y-2010"/>
    <x v="0"/>
    <x v="6"/>
    <n v="188.40874901166299"/>
    <n v="68769.193389256994"/>
    <n v="247569.09620132501"/>
  </r>
  <r>
    <x v="0"/>
    <x v="0"/>
    <x v="0"/>
    <x v="0"/>
    <x v="1"/>
    <s v="DK2_Small"/>
    <x v="2"/>
    <s v="GNR_HS_HEAT_WTR-TANK_LS_E-95_Y-2010"/>
    <x v="0"/>
    <x v="7"/>
    <n v="191.289303149967"/>
    <n v="69820.595649737996"/>
    <n v="251354.14433905701"/>
  </r>
  <r>
    <x v="0"/>
    <x v="0"/>
    <x v="0"/>
    <x v="0"/>
    <x v="1"/>
    <s v="DK2_Small"/>
    <x v="2"/>
    <s v="GNR_HS_HEAT_WTR-TANK_LS_E-95_Y-2010"/>
    <x v="0"/>
    <x v="8"/>
    <n v="191.71973077982901"/>
    <n v="69977.701734637405"/>
    <n v="251919.72624469499"/>
  </r>
  <r>
    <x v="0"/>
    <x v="0"/>
    <x v="0"/>
    <x v="0"/>
    <x v="1"/>
    <s v="DK2_Small"/>
    <x v="2"/>
    <s v="GNR_HS_HEAT_WTR-TANK_LS_E-95_Y-2010"/>
    <x v="0"/>
    <x v="9"/>
    <n v="191.66454775035899"/>
    <n v="69957.559928881106"/>
    <n v="251847.21574397199"/>
  </r>
  <r>
    <x v="0"/>
    <x v="0"/>
    <x v="0"/>
    <x v="0"/>
    <x v="1"/>
    <s v="DK2_Small"/>
    <x v="2"/>
    <s v="GNR_HS_HEAT_WTR-TANK_LS_E-95_Y-2010"/>
    <x v="0"/>
    <x v="10"/>
    <n v="191.76387720340401"/>
    <n v="69993.815179242505"/>
    <n v="251977.73464527301"/>
  </r>
  <r>
    <x v="0"/>
    <x v="0"/>
    <x v="0"/>
    <x v="0"/>
    <x v="1"/>
    <s v="DK2_Small"/>
    <x v="2"/>
    <s v="GNR_HS_HEAT_WTR-TANK_LS_E-95_Y-2010"/>
    <x v="0"/>
    <x v="11"/>
    <n v="191.66454775035899"/>
    <n v="69957.559928881106"/>
    <n v="251847.21574397199"/>
  </r>
  <r>
    <x v="0"/>
    <x v="0"/>
    <x v="0"/>
    <x v="0"/>
    <x v="1"/>
    <s v="DK2_Small"/>
    <x v="2"/>
    <s v="GNR_HS_HEAT_WTR-TANK_LS_E-95_Y-2010"/>
    <x v="0"/>
    <x v="12"/>
    <n v="191.04649782030199"/>
    <n v="69731.971704410098"/>
    <n v="251035.098135876"/>
  </r>
  <r>
    <x v="0"/>
    <x v="0"/>
    <x v="0"/>
    <x v="0"/>
    <x v="1"/>
    <s v="DK2_Small"/>
    <x v="2"/>
    <s v="GNR_HS_HEAT_WTR-TANK_LS_E-95_Y-2010"/>
    <x v="0"/>
    <x v="13"/>
    <n v="190.61607019044001"/>
    <n v="69574.865619510601"/>
    <n v="250469.51623023799"/>
  </r>
  <r>
    <x v="0"/>
    <x v="0"/>
    <x v="0"/>
    <x v="0"/>
    <x v="1"/>
    <s v="DK2_Small"/>
    <x v="2"/>
    <s v="GNR_HS_HEAT_WTR-TANK_LS_E-95_Y-2010"/>
    <x v="0"/>
    <x v="14"/>
    <n v="190.792655884742"/>
    <n v="69639.3193979309"/>
    <n v="250701.54983255101"/>
  </r>
  <r>
    <x v="0"/>
    <x v="0"/>
    <x v="0"/>
    <x v="0"/>
    <x v="1"/>
    <s v="DK2_Small"/>
    <x v="2"/>
    <s v="GNR_HS_HEAT_WTR-TANK_LS_E-95_Y-2010"/>
    <x v="0"/>
    <x v="15"/>
    <n v="190.958204973151"/>
    <n v="69699.744815199898"/>
    <n v="250919.08133471999"/>
  </r>
  <r>
    <x v="0"/>
    <x v="0"/>
    <x v="0"/>
    <x v="0"/>
    <x v="1"/>
    <s v="DK2_Small"/>
    <x v="2"/>
    <s v="GNR_HS_HEAT_WTR-TANK_LS_E-95_Y-2010"/>
    <x v="0"/>
    <x v="16"/>
    <n v="191.05753442619499"/>
    <n v="69736.000065561399"/>
    <n v="251049.60023602101"/>
  </r>
  <r>
    <x v="0"/>
    <x v="0"/>
    <x v="0"/>
    <x v="0"/>
    <x v="1"/>
    <s v="DK2_Small"/>
    <x v="2"/>
    <s v="GNR_HS_HEAT_WTR-TANK_LS_E-95_Y-2010"/>
    <x v="0"/>
    <x v="17"/>
    <n v="191.35552278533001"/>
    <n v="69844.765816645595"/>
    <n v="251441.156939924"/>
  </r>
  <r>
    <x v="0"/>
    <x v="0"/>
    <x v="0"/>
    <x v="0"/>
    <x v="1"/>
    <s v="DK2_Small"/>
    <x v="2"/>
    <s v="GNR_HS_HEAT_WTR-TANK_LS_E-95_Y-2010"/>
    <x v="0"/>
    <x v="18"/>
    <n v="191.31137636175501"/>
    <n v="69828.652372040495"/>
    <n v="251383.148539346"/>
  </r>
  <r>
    <x v="0"/>
    <x v="0"/>
    <x v="0"/>
    <x v="0"/>
    <x v="1"/>
    <s v="DK2_Small"/>
    <x v="2"/>
    <s v="GNR_HS_HEAT_WTR-TANK_LS_E-95_Y-2010"/>
    <x v="0"/>
    <x v="19"/>
    <n v="213.21893239419501"/>
    <n v="77824.910323881195"/>
    <n v="280169.67716597201"/>
  </r>
  <r>
    <x v="0"/>
    <x v="0"/>
    <x v="0"/>
    <x v="0"/>
    <x v="1"/>
    <s v="DK2_Small"/>
    <x v="2"/>
    <s v="GNR_HS_HEAT_WTR-TANK_LS_E-95_Y-2010"/>
    <x v="0"/>
    <x v="20"/>
    <n v="213.21893239419501"/>
    <n v="77824.910323881195"/>
    <n v="280169.67716597201"/>
  </r>
  <r>
    <x v="0"/>
    <x v="0"/>
    <x v="0"/>
    <x v="0"/>
    <x v="1"/>
    <s v="DK2_Small"/>
    <x v="2"/>
    <s v="GNR_HS_HEAT_WTR-TANK_LS_E-95_Y-2010"/>
    <x v="0"/>
    <x v="21"/>
    <n v="213.21893239419501"/>
    <n v="77824.910323881195"/>
    <n v="280169.67716597201"/>
  </r>
  <r>
    <x v="0"/>
    <x v="0"/>
    <x v="0"/>
    <x v="0"/>
    <x v="1"/>
    <s v="DK2_Small"/>
    <x v="2"/>
    <s v="GNR_HS_HEAT_WTR-TANK_LS_E-95_Y-2010"/>
    <x v="0"/>
    <x v="22"/>
    <n v="213.21893239419501"/>
    <n v="77824.910323881195"/>
    <n v="280169.67716597201"/>
  </r>
  <r>
    <x v="0"/>
    <x v="0"/>
    <x v="0"/>
    <x v="0"/>
    <x v="1"/>
    <s v="DK2_Small"/>
    <x v="2"/>
    <s v="GNR_HS_HEAT_WTR-TANK_LS_E-95_Y-2010"/>
    <x v="0"/>
    <x v="23"/>
    <n v="213.21893239419501"/>
    <n v="77824.910323881195"/>
    <n v="280169.67716597201"/>
  </r>
  <r>
    <x v="0"/>
    <x v="0"/>
    <x v="0"/>
    <x v="0"/>
    <x v="1"/>
    <s v="DK2_Small"/>
    <x v="4"/>
    <s v="GNR_ENG_NGAS_BP_E-46"/>
    <x v="0"/>
    <x v="0"/>
    <n v="24.8492868409609"/>
    <n v="9069.9896969507408"/>
    <n v="32651.962909022601"/>
  </r>
  <r>
    <x v="0"/>
    <x v="0"/>
    <x v="0"/>
    <x v="0"/>
    <x v="1"/>
    <s v="DK2_Small"/>
    <x v="4"/>
    <s v="GNR_ENG_NGAS_BP_E-46"/>
    <x v="0"/>
    <x v="1"/>
    <n v="3.58933456608895"/>
    <n v="1310.1071166224699"/>
    <n v="4716.3856198408803"/>
  </r>
  <r>
    <x v="0"/>
    <x v="0"/>
    <x v="0"/>
    <x v="0"/>
    <x v="1"/>
    <s v="DK2_Small"/>
    <x v="4"/>
    <s v="GNR_ENG_NGAS_BP_E-46"/>
    <x v="0"/>
    <x v="4"/>
    <n v="42.7777777777778"/>
    <n v="15613.8888888889"/>
    <n v="56210"/>
  </r>
  <r>
    <x v="0"/>
    <x v="0"/>
    <x v="0"/>
    <x v="0"/>
    <x v="1"/>
    <s v="DK2_Small"/>
    <x v="4"/>
    <s v="GNR_ENG_NGAS_BP_E-46"/>
    <x v="0"/>
    <x v="5"/>
    <n v="42.7777777777778"/>
    <n v="15613.8888888889"/>
    <n v="56210"/>
  </r>
  <r>
    <x v="0"/>
    <x v="0"/>
    <x v="0"/>
    <x v="0"/>
    <x v="1"/>
    <s v="DK2_Small"/>
    <x v="4"/>
    <s v="GNR_ENG_NGAS_BP_E-46"/>
    <x v="0"/>
    <x v="6"/>
    <n v="42.7777777777778"/>
    <n v="15613.8888888889"/>
    <n v="56210"/>
  </r>
  <r>
    <x v="0"/>
    <x v="0"/>
    <x v="0"/>
    <x v="0"/>
    <x v="1"/>
    <s v="DK2_Small"/>
    <x v="4"/>
    <s v="GNR_ENG_NGAS_BP_E-46"/>
    <x v="0"/>
    <x v="7"/>
    <n v="42.7777777777778"/>
    <n v="15613.8888888889"/>
    <n v="56210"/>
  </r>
  <r>
    <x v="0"/>
    <x v="0"/>
    <x v="0"/>
    <x v="0"/>
    <x v="1"/>
    <s v="DK2_Small"/>
    <x v="4"/>
    <s v="GNR_ENG_NGAS_BP_E-46"/>
    <x v="0"/>
    <x v="8"/>
    <n v="42.7777777777778"/>
    <n v="15613.8888888889"/>
    <n v="56210"/>
  </r>
  <r>
    <x v="0"/>
    <x v="0"/>
    <x v="0"/>
    <x v="0"/>
    <x v="1"/>
    <s v="DK2_Small"/>
    <x v="4"/>
    <s v="GNR_ENG_NGAS_BP_E-46"/>
    <x v="0"/>
    <x v="9"/>
    <n v="42.7777777777778"/>
    <n v="15613.8888888889"/>
    <n v="56210"/>
  </r>
  <r>
    <x v="0"/>
    <x v="0"/>
    <x v="0"/>
    <x v="0"/>
    <x v="1"/>
    <s v="DK2_Small"/>
    <x v="4"/>
    <s v="GNR_ENG_NGAS_BP_E-46"/>
    <x v="0"/>
    <x v="10"/>
    <n v="42.7777777777778"/>
    <n v="15613.8888888889"/>
    <n v="56210"/>
  </r>
  <r>
    <x v="0"/>
    <x v="0"/>
    <x v="0"/>
    <x v="0"/>
    <x v="1"/>
    <s v="DK2_Small"/>
    <x v="4"/>
    <s v="GNR_ENG_NGAS_BP_E-46"/>
    <x v="0"/>
    <x v="11"/>
    <n v="42.7777777777778"/>
    <n v="15613.8888888889"/>
    <n v="56210"/>
  </r>
  <r>
    <x v="0"/>
    <x v="0"/>
    <x v="0"/>
    <x v="0"/>
    <x v="1"/>
    <s v="DK2_Small"/>
    <x v="4"/>
    <s v="GNR_ENG_NGAS_BP_E-46"/>
    <x v="0"/>
    <x v="12"/>
    <n v="42.7777777777778"/>
    <n v="15613.8888888889"/>
    <n v="56210"/>
  </r>
  <r>
    <x v="0"/>
    <x v="0"/>
    <x v="0"/>
    <x v="0"/>
    <x v="1"/>
    <s v="DK2_Small"/>
    <x v="4"/>
    <s v="GNR_ENG_NGAS_BP_E-46"/>
    <x v="0"/>
    <x v="13"/>
    <n v="42.7777777777778"/>
    <n v="15613.8888888889"/>
    <n v="56210"/>
  </r>
  <r>
    <x v="0"/>
    <x v="0"/>
    <x v="0"/>
    <x v="0"/>
    <x v="1"/>
    <s v="DK2_Small"/>
    <x v="4"/>
    <s v="GNR_ENG_NGAS_BP_E-46"/>
    <x v="0"/>
    <x v="14"/>
    <n v="42.7777777777778"/>
    <n v="15613.8888888889"/>
    <n v="56210"/>
  </r>
  <r>
    <x v="0"/>
    <x v="0"/>
    <x v="0"/>
    <x v="0"/>
    <x v="1"/>
    <s v="DK2_Small"/>
    <x v="4"/>
    <s v="GNR_ENG_NGAS_BP_E-46"/>
    <x v="0"/>
    <x v="15"/>
    <n v="42.7777777777778"/>
    <n v="15613.8888888889"/>
    <n v="56210"/>
  </r>
  <r>
    <x v="0"/>
    <x v="0"/>
    <x v="0"/>
    <x v="0"/>
    <x v="1"/>
    <s v="DK2_Small"/>
    <x v="4"/>
    <s v="GNR_ENG_NGAS_BP_E-46"/>
    <x v="0"/>
    <x v="16"/>
    <n v="42.7777777777778"/>
    <n v="15613.8888888889"/>
    <n v="56210"/>
  </r>
  <r>
    <x v="0"/>
    <x v="0"/>
    <x v="0"/>
    <x v="0"/>
    <x v="1"/>
    <s v="DK2_Small"/>
    <x v="4"/>
    <s v="GNR_ENG_NGAS_BP_E-46"/>
    <x v="0"/>
    <x v="17"/>
    <n v="42.7777777777778"/>
    <n v="15613.8888888889"/>
    <n v="56210"/>
  </r>
  <r>
    <x v="0"/>
    <x v="0"/>
    <x v="0"/>
    <x v="0"/>
    <x v="1"/>
    <s v="DK2_Small"/>
    <x v="4"/>
    <s v="GNR_ENG_NGAS_BP_E-46"/>
    <x v="0"/>
    <x v="18"/>
    <n v="42.7777777777778"/>
    <n v="15613.8888888889"/>
    <n v="56210"/>
  </r>
  <r>
    <x v="0"/>
    <x v="0"/>
    <x v="0"/>
    <x v="1"/>
    <x v="2"/>
    <s v="EE_Industry"/>
    <x v="2"/>
    <s v="GNR_HS_HEAT_WTR-TANK_LS_E-95_Y-2010"/>
    <x v="0"/>
    <x v="0"/>
    <n v="2195.2717313431999"/>
    <n v="801274.18194026698"/>
    <n v="2884587.0549849598"/>
  </r>
  <r>
    <x v="0"/>
    <x v="0"/>
    <x v="0"/>
    <x v="1"/>
    <x v="2"/>
    <s v="EE_Industry"/>
    <x v="2"/>
    <s v="GNR_HS_HEAT_WTR-TANK_LS_E-95_Y-2010"/>
    <x v="0"/>
    <x v="1"/>
    <n v="2195.6033906750499"/>
    <n v="801395.23759639298"/>
    <n v="2885022.8553470098"/>
  </r>
  <r>
    <x v="0"/>
    <x v="0"/>
    <x v="0"/>
    <x v="1"/>
    <x v="2"/>
    <s v="EE_Industry"/>
    <x v="2"/>
    <s v="GNR_HS_HEAT_WTR-TANK_LS_E-95_Y-2010"/>
    <x v="0"/>
    <x v="2"/>
    <n v="2195.7070342162501"/>
    <n v="801433.06748893205"/>
    <n v="2885159.0429601502"/>
  </r>
  <r>
    <x v="0"/>
    <x v="0"/>
    <x v="0"/>
    <x v="1"/>
    <x v="2"/>
    <s v="EE_Industry"/>
    <x v="2"/>
    <s v="GNR_HS_HEAT_WTR-TANK_LS_E-95_Y-2010"/>
    <x v="0"/>
    <x v="3"/>
    <n v="2195.39610359264"/>
    <n v="801319.57781131403"/>
    <n v="2884750.4801207301"/>
  </r>
  <r>
    <x v="0"/>
    <x v="0"/>
    <x v="0"/>
    <x v="1"/>
    <x v="2"/>
    <s v="EE_Industry"/>
    <x v="2"/>
    <s v="GNR_HS_HEAT_WTR-TANK_LS_E-95_Y-2010"/>
    <x v="0"/>
    <x v="4"/>
    <n v="2194.7120562207001"/>
    <n v="801069.90052055405"/>
    <n v="2883851.6418739902"/>
  </r>
  <r>
    <x v="0"/>
    <x v="0"/>
    <x v="0"/>
    <x v="1"/>
    <x v="2"/>
    <s v="EE_Industry"/>
    <x v="2"/>
    <s v="GNR_HS_HEAT_WTR-TANK_LS_E-95_Y-2010"/>
    <x v="0"/>
    <x v="5"/>
    <n v="2193.7170782251401"/>
    <n v="800706.73355217604"/>
    <n v="2882544.2407878302"/>
  </r>
  <r>
    <x v="0"/>
    <x v="0"/>
    <x v="0"/>
    <x v="1"/>
    <x v="2"/>
    <s v="EE_Industry"/>
    <x v="2"/>
    <s v="GNR_HS_HEAT_WTR-TANK_LS_E-95_Y-2010"/>
    <x v="0"/>
    <x v="6"/>
    <n v="2192.4526270224501"/>
    <n v="800245.20886319503"/>
    <n v="2880882.7519075"/>
  </r>
  <r>
    <x v="0"/>
    <x v="0"/>
    <x v="0"/>
    <x v="1"/>
    <x v="2"/>
    <s v="EE_Industry"/>
    <x v="2"/>
    <s v="GNR_HS_HEAT_WTR-TANK_LS_E-95_Y-2010"/>
    <x v="0"/>
    <x v="7"/>
    <n v="2190.8979739043998"/>
    <n v="799677.76047510502"/>
    <n v="2878839.9377103802"/>
  </r>
  <r>
    <x v="0"/>
    <x v="0"/>
    <x v="0"/>
    <x v="1"/>
    <x v="2"/>
    <s v="EE_Industry"/>
    <x v="2"/>
    <s v="GNR_HS_HEAT_WTR-TANK_LS_E-95_Y-2010"/>
    <x v="0"/>
    <x v="8"/>
    <n v="2189.5506078687499"/>
    <n v="799185.97187209304"/>
    <n v="2877069.4987395299"/>
  </r>
  <r>
    <x v="0"/>
    <x v="0"/>
    <x v="0"/>
    <x v="1"/>
    <x v="2"/>
    <s v="EE_Industry"/>
    <x v="2"/>
    <s v="GNR_HS_HEAT_WTR-TANK_LS_E-95_Y-2010"/>
    <x v="0"/>
    <x v="9"/>
    <n v="2188.3276140825401"/>
    <n v="798739.57914012799"/>
    <n v="2875462.4849044601"/>
  </r>
  <r>
    <x v="0"/>
    <x v="0"/>
    <x v="0"/>
    <x v="1"/>
    <x v="2"/>
    <s v="EE_Industry"/>
    <x v="2"/>
    <s v="GNR_HS_HEAT_WTR-TANK_LS_E-95_Y-2010"/>
    <x v="0"/>
    <x v="10"/>
    <n v="2187.2289925457799"/>
    <n v="798338.58227921103"/>
    <n v="2874018.8962051598"/>
  </r>
  <r>
    <x v="0"/>
    <x v="0"/>
    <x v="0"/>
    <x v="1"/>
    <x v="2"/>
    <s v="EE_Industry"/>
    <x v="2"/>
    <s v="GNR_HS_HEAT_WTR-TANK_LS_E-95_Y-2010"/>
    <x v="0"/>
    <x v="11"/>
    <n v="2186.3169293831902"/>
    <n v="798005.679224864"/>
    <n v="2872820.4452095102"/>
  </r>
  <r>
    <x v="0"/>
    <x v="0"/>
    <x v="0"/>
    <x v="1"/>
    <x v="2"/>
    <s v="EE_Industry"/>
    <x v="2"/>
    <s v="GNR_HS_HEAT_WTR-TANK_LS_E-95_Y-2010"/>
    <x v="0"/>
    <x v="12"/>
    <n v="2185.5292384700401"/>
    <n v="797718.17204156495"/>
    <n v="2871785.4193496299"/>
  </r>
  <r>
    <x v="0"/>
    <x v="0"/>
    <x v="0"/>
    <x v="1"/>
    <x v="2"/>
    <s v="EE_Industry"/>
    <x v="2"/>
    <s v="GNR_HS_HEAT_WTR-TANK_LS_E-95_Y-2010"/>
    <x v="0"/>
    <x v="13"/>
    <n v="2184.88664851458"/>
    <n v="797483.62670782104"/>
    <n v="2870941.05614815"/>
  </r>
  <r>
    <x v="0"/>
    <x v="0"/>
    <x v="0"/>
    <x v="1"/>
    <x v="2"/>
    <s v="EE_Industry"/>
    <x v="2"/>
    <s v="GNR_HS_HEAT_WTR-TANK_LS_E-95_Y-2010"/>
    <x v="0"/>
    <x v="14"/>
    <n v="2184.4928030579999"/>
    <n v="797339.87311617099"/>
    <n v="2870423.5432182099"/>
  </r>
  <r>
    <x v="0"/>
    <x v="0"/>
    <x v="0"/>
    <x v="1"/>
    <x v="2"/>
    <s v="EE_Industry"/>
    <x v="2"/>
    <s v="GNR_HS_HEAT_WTR-TANK_LS_E-95_Y-2010"/>
    <x v="0"/>
    <x v="15"/>
    <n v="2184.2026011426301"/>
    <n v="797233.94941706106"/>
    <n v="2870042.2179014198"/>
  </r>
  <r>
    <x v="0"/>
    <x v="0"/>
    <x v="0"/>
    <x v="1"/>
    <x v="2"/>
    <s v="EE_Industry"/>
    <x v="2"/>
    <s v="GNR_HS_HEAT_WTR-TANK_LS_E-95_Y-2010"/>
    <x v="0"/>
    <x v="16"/>
    <n v="2183.95385664374"/>
    <n v="797143.15767496603"/>
    <n v="2869715.3676298801"/>
  </r>
  <r>
    <x v="0"/>
    <x v="0"/>
    <x v="0"/>
    <x v="1"/>
    <x v="2"/>
    <s v="EE_Industry"/>
    <x v="2"/>
    <s v="GNR_HS_HEAT_WTR-TANK_LS_E-95_Y-2010"/>
    <x v="0"/>
    <x v="17"/>
    <n v="2183.7258408530902"/>
    <n v="797059.93191137898"/>
    <n v="2869415.7548809699"/>
  </r>
  <r>
    <x v="0"/>
    <x v="0"/>
    <x v="0"/>
    <x v="1"/>
    <x v="2"/>
    <s v="EE_Industry"/>
    <x v="2"/>
    <s v="GNR_HS_HEAT_WTR-TANK_LS_E-95_Y-2010"/>
    <x v="0"/>
    <x v="18"/>
    <n v="2183.4770963542101"/>
    <n v="796969.140169285"/>
    <n v="2869088.9046094301"/>
  </r>
  <r>
    <x v="0"/>
    <x v="0"/>
    <x v="0"/>
    <x v="1"/>
    <x v="2"/>
    <s v="EE_Industry"/>
    <x v="2"/>
    <s v="GNR_HS_HEAT_WTR-TANK_LS_E-95_Y-2010"/>
    <x v="0"/>
    <x v="19"/>
    <n v="2183.1868944388302"/>
    <n v="796863.21647017496"/>
    <n v="2868707.5792926298"/>
  </r>
  <r>
    <x v="0"/>
    <x v="0"/>
    <x v="0"/>
    <x v="1"/>
    <x v="2"/>
    <s v="EE_Industry"/>
    <x v="2"/>
    <s v="GNR_HS_HEAT_WTR-TANK_LS_E-95_Y-2010"/>
    <x v="0"/>
    <x v="20"/>
    <n v="2182.9381499399501"/>
    <n v="796772.42472808005"/>
    <n v="2868380.7290210901"/>
  </r>
  <r>
    <x v="0"/>
    <x v="0"/>
    <x v="0"/>
    <x v="1"/>
    <x v="2"/>
    <s v="EE_Industry"/>
    <x v="2"/>
    <s v="GNR_HS_HEAT_WTR-TANK_LS_E-95_Y-2010"/>
    <x v="0"/>
    <x v="21"/>
    <n v="2182.68940544106"/>
    <n v="796681.63298598595"/>
    <n v="2868053.8787495499"/>
  </r>
  <r>
    <x v="0"/>
    <x v="0"/>
    <x v="0"/>
    <x v="1"/>
    <x v="2"/>
    <s v="EE_Industry"/>
    <x v="2"/>
    <s v="GNR_HS_HEAT_WTR-TANK_LS_E-95_Y-2010"/>
    <x v="0"/>
    <x v="22"/>
    <n v="2182.5028470668899"/>
    <n v="796613.53917941498"/>
    <n v="2867808.7410458899"/>
  </r>
  <r>
    <x v="0"/>
    <x v="0"/>
    <x v="0"/>
    <x v="1"/>
    <x v="2"/>
    <s v="EE_Industry"/>
    <x v="2"/>
    <s v="GNR_HS_HEAT_WTR-TANK_LS_E-95_Y-2010"/>
    <x v="0"/>
    <x v="23"/>
    <n v="2182.4406609421699"/>
    <n v="796590.84124389105"/>
    <n v="2867727.0284780101"/>
  </r>
  <r>
    <x v="0"/>
    <x v="0"/>
    <x v="0"/>
    <x v="1"/>
    <x v="2"/>
    <s v="EE_Industry"/>
    <x v="10"/>
    <s v="IMAVERE_ST_WOOD_BP"/>
    <x v="0"/>
    <x v="0"/>
    <n v="30.000030000030002"/>
    <n v="10950.010950010999"/>
    <n v="39420.0394200394"/>
  </r>
  <r>
    <x v="0"/>
    <x v="0"/>
    <x v="0"/>
    <x v="1"/>
    <x v="2"/>
    <s v="EE_Industry"/>
    <x v="10"/>
    <s v="IMAVERE_ST_WOOD_BP"/>
    <x v="0"/>
    <x v="1"/>
    <n v="30.000030000030002"/>
    <n v="10950.010950010999"/>
    <n v="39420.0394200394"/>
  </r>
  <r>
    <x v="0"/>
    <x v="0"/>
    <x v="0"/>
    <x v="1"/>
    <x v="2"/>
    <s v="EE_Industry"/>
    <x v="10"/>
    <s v="IMAVERE_ST_WOOD_BP"/>
    <x v="0"/>
    <x v="2"/>
    <n v="30.000030000030002"/>
    <n v="10950.010950010999"/>
    <n v="39420.0394200394"/>
  </r>
  <r>
    <x v="0"/>
    <x v="0"/>
    <x v="0"/>
    <x v="1"/>
    <x v="2"/>
    <s v="EE_Industry"/>
    <x v="10"/>
    <s v="IMAVERE_ST_WOOD_BP"/>
    <x v="0"/>
    <x v="3"/>
    <n v="30.000030000030002"/>
    <n v="10950.010950010999"/>
    <n v="39420.0394200394"/>
  </r>
  <r>
    <x v="0"/>
    <x v="0"/>
    <x v="0"/>
    <x v="1"/>
    <x v="2"/>
    <s v="EE_Industry"/>
    <x v="10"/>
    <s v="IMAVERE_ST_WOOD_BP"/>
    <x v="0"/>
    <x v="4"/>
    <n v="30.000030000030002"/>
    <n v="10950.010950010999"/>
    <n v="39420.0394200394"/>
  </r>
  <r>
    <x v="0"/>
    <x v="0"/>
    <x v="0"/>
    <x v="1"/>
    <x v="2"/>
    <s v="EE_Industry"/>
    <x v="10"/>
    <s v="IMAVERE_ST_WOOD_BP"/>
    <x v="0"/>
    <x v="5"/>
    <n v="30.000030000030002"/>
    <n v="10950.010950010999"/>
    <n v="39420.0394200394"/>
  </r>
  <r>
    <x v="0"/>
    <x v="0"/>
    <x v="0"/>
    <x v="1"/>
    <x v="2"/>
    <s v="EE_Industry"/>
    <x v="10"/>
    <s v="IMAVERE_ST_WOOD_BP"/>
    <x v="0"/>
    <x v="6"/>
    <n v="30.000030000030002"/>
    <n v="10950.010950010999"/>
    <n v="39420.0394200394"/>
  </r>
  <r>
    <x v="0"/>
    <x v="0"/>
    <x v="0"/>
    <x v="1"/>
    <x v="2"/>
    <s v="EE_Industry"/>
    <x v="10"/>
    <s v="IMAVERE_ST_WOOD_BP"/>
    <x v="0"/>
    <x v="7"/>
    <n v="30.000030000030002"/>
    <n v="10950.010950010999"/>
    <n v="39420.0394200394"/>
  </r>
  <r>
    <x v="0"/>
    <x v="0"/>
    <x v="0"/>
    <x v="1"/>
    <x v="2"/>
    <s v="EE_Industry"/>
    <x v="10"/>
    <s v="IMAVERE_ST_WOOD_BP"/>
    <x v="0"/>
    <x v="8"/>
    <n v="30.000030000030002"/>
    <n v="10950.010950010999"/>
    <n v="39420.0394200394"/>
  </r>
  <r>
    <x v="0"/>
    <x v="0"/>
    <x v="0"/>
    <x v="1"/>
    <x v="2"/>
    <s v="EE_Industry"/>
    <x v="10"/>
    <s v="IMAVERE_ST_WOOD_BP"/>
    <x v="0"/>
    <x v="9"/>
    <n v="30.000030000030002"/>
    <n v="10950.010950010999"/>
    <n v="39420.0394200394"/>
  </r>
  <r>
    <x v="0"/>
    <x v="0"/>
    <x v="0"/>
    <x v="1"/>
    <x v="2"/>
    <s v="EE_Industry"/>
    <x v="10"/>
    <s v="IMAVERE_ST_WOOD_BP"/>
    <x v="0"/>
    <x v="10"/>
    <n v="30.000030000030002"/>
    <n v="10950.010950010999"/>
    <n v="39420.0394200394"/>
  </r>
  <r>
    <x v="0"/>
    <x v="0"/>
    <x v="0"/>
    <x v="1"/>
    <x v="2"/>
    <s v="EE_Industry"/>
    <x v="10"/>
    <s v="IMAVERE_ST_WOOD_BP"/>
    <x v="0"/>
    <x v="11"/>
    <n v="30.000030000030002"/>
    <n v="10950.010950010999"/>
    <n v="39420.0394200394"/>
  </r>
  <r>
    <x v="0"/>
    <x v="0"/>
    <x v="0"/>
    <x v="1"/>
    <x v="2"/>
    <s v="EE_Industry"/>
    <x v="10"/>
    <s v="IMAVERE_ST_WOOD_BP"/>
    <x v="0"/>
    <x v="12"/>
    <n v="30.000030000030002"/>
    <n v="10950.010950010999"/>
    <n v="39420.0394200394"/>
  </r>
  <r>
    <x v="0"/>
    <x v="0"/>
    <x v="0"/>
    <x v="1"/>
    <x v="2"/>
    <s v="EE_Industry"/>
    <x v="10"/>
    <s v="IMAVERE_ST_WOOD_BP"/>
    <x v="0"/>
    <x v="13"/>
    <n v="30.000030000030002"/>
    <n v="10950.010950010999"/>
    <n v="39420.0394200394"/>
  </r>
  <r>
    <x v="0"/>
    <x v="0"/>
    <x v="0"/>
    <x v="1"/>
    <x v="2"/>
    <s v="EE_Industry"/>
    <x v="10"/>
    <s v="IMAVERE_ST_WOOD_BP"/>
    <x v="0"/>
    <x v="14"/>
    <n v="30.000030000030002"/>
    <n v="10950.010950010999"/>
    <n v="39420.0394200394"/>
  </r>
  <r>
    <x v="0"/>
    <x v="0"/>
    <x v="0"/>
    <x v="1"/>
    <x v="2"/>
    <s v="EE_Industry"/>
    <x v="10"/>
    <s v="IMAVERE_ST_WOOD_BP"/>
    <x v="0"/>
    <x v="15"/>
    <n v="30.000030000030002"/>
    <n v="10950.010950010999"/>
    <n v="39420.0394200394"/>
  </r>
  <r>
    <x v="0"/>
    <x v="0"/>
    <x v="0"/>
    <x v="1"/>
    <x v="2"/>
    <s v="EE_Industry"/>
    <x v="10"/>
    <s v="IMAVERE_ST_WOOD_BP"/>
    <x v="0"/>
    <x v="16"/>
    <n v="30.000030000030002"/>
    <n v="10950.010950010999"/>
    <n v="39420.0394200394"/>
  </r>
  <r>
    <x v="0"/>
    <x v="0"/>
    <x v="0"/>
    <x v="1"/>
    <x v="2"/>
    <s v="EE_Industry"/>
    <x v="10"/>
    <s v="IMAVERE_ST_WOOD_BP"/>
    <x v="0"/>
    <x v="17"/>
    <n v="30.000030000030002"/>
    <n v="10950.010950010999"/>
    <n v="39420.0394200394"/>
  </r>
  <r>
    <x v="0"/>
    <x v="0"/>
    <x v="0"/>
    <x v="1"/>
    <x v="2"/>
    <s v="EE_Industry"/>
    <x v="10"/>
    <s v="IMAVERE_ST_WOOD_BP"/>
    <x v="0"/>
    <x v="18"/>
    <n v="30.000030000030002"/>
    <n v="10950.010950010999"/>
    <n v="39420.0394200394"/>
  </r>
  <r>
    <x v="0"/>
    <x v="0"/>
    <x v="0"/>
    <x v="1"/>
    <x v="2"/>
    <s v="EE_Industry"/>
    <x v="10"/>
    <s v="IMAVERE_ST_WOOD_BP"/>
    <x v="0"/>
    <x v="19"/>
    <n v="30.000030000030002"/>
    <n v="10950.010950010999"/>
    <n v="39420.0394200394"/>
  </r>
  <r>
    <x v="0"/>
    <x v="0"/>
    <x v="0"/>
    <x v="1"/>
    <x v="2"/>
    <s v="EE_Industry"/>
    <x v="10"/>
    <s v="IMAVERE_ST_WOOD_BP"/>
    <x v="0"/>
    <x v="20"/>
    <n v="30.000030000030002"/>
    <n v="10950.010950010999"/>
    <n v="39420.0394200394"/>
  </r>
  <r>
    <x v="0"/>
    <x v="0"/>
    <x v="0"/>
    <x v="1"/>
    <x v="2"/>
    <s v="EE_Industry"/>
    <x v="10"/>
    <s v="IMAVERE_ST_WOOD_BP"/>
    <x v="0"/>
    <x v="21"/>
    <n v="30.000030000030002"/>
    <n v="10950.010950010999"/>
    <n v="39420.0394200394"/>
  </r>
  <r>
    <x v="0"/>
    <x v="0"/>
    <x v="0"/>
    <x v="1"/>
    <x v="2"/>
    <s v="EE_Industry"/>
    <x v="10"/>
    <s v="IMAVERE_ST_WOOD_BP"/>
    <x v="0"/>
    <x v="22"/>
    <n v="30.000030000030002"/>
    <n v="10950.010950010999"/>
    <n v="39420.0394200394"/>
  </r>
  <r>
    <x v="0"/>
    <x v="0"/>
    <x v="0"/>
    <x v="1"/>
    <x v="2"/>
    <s v="EE_Industry"/>
    <x v="10"/>
    <s v="IMAVERE_ST_WOOD_BP"/>
    <x v="0"/>
    <x v="23"/>
    <n v="30.000030000030002"/>
    <n v="10950.010950010999"/>
    <n v="39420.0394200394"/>
  </r>
  <r>
    <x v="0"/>
    <x v="0"/>
    <x v="0"/>
    <x v="1"/>
    <x v="2"/>
    <s v="EE_Industry"/>
    <x v="10"/>
    <s v="OSULA_ST_WOOD_BP"/>
    <x v="0"/>
    <x v="0"/>
    <n v="30.000030000030002"/>
    <n v="10950.010950010999"/>
    <n v="39420.0394200394"/>
  </r>
  <r>
    <x v="0"/>
    <x v="0"/>
    <x v="0"/>
    <x v="1"/>
    <x v="2"/>
    <s v="EE_Industry"/>
    <x v="10"/>
    <s v="OSULA_ST_WOOD_BP"/>
    <x v="0"/>
    <x v="1"/>
    <n v="30.000030000030002"/>
    <n v="10950.010950010999"/>
    <n v="39420.0394200394"/>
  </r>
  <r>
    <x v="0"/>
    <x v="0"/>
    <x v="0"/>
    <x v="1"/>
    <x v="2"/>
    <s v="EE_Industry"/>
    <x v="10"/>
    <s v="OSULA_ST_WOOD_BP"/>
    <x v="0"/>
    <x v="2"/>
    <n v="30.000030000030002"/>
    <n v="10950.010950010999"/>
    <n v="39420.0394200394"/>
  </r>
  <r>
    <x v="0"/>
    <x v="0"/>
    <x v="0"/>
    <x v="1"/>
    <x v="2"/>
    <s v="EE_Industry"/>
    <x v="10"/>
    <s v="OSULA_ST_WOOD_BP"/>
    <x v="0"/>
    <x v="3"/>
    <n v="30.000030000030002"/>
    <n v="10950.010950010999"/>
    <n v="39420.0394200394"/>
  </r>
  <r>
    <x v="0"/>
    <x v="0"/>
    <x v="0"/>
    <x v="1"/>
    <x v="2"/>
    <s v="EE_Industry"/>
    <x v="10"/>
    <s v="OSULA_ST_WOOD_BP"/>
    <x v="0"/>
    <x v="4"/>
    <n v="30.000030000030002"/>
    <n v="10950.010950010999"/>
    <n v="39420.0394200394"/>
  </r>
  <r>
    <x v="0"/>
    <x v="0"/>
    <x v="0"/>
    <x v="1"/>
    <x v="2"/>
    <s v="EE_Industry"/>
    <x v="10"/>
    <s v="OSULA_ST_WOOD_BP"/>
    <x v="0"/>
    <x v="5"/>
    <n v="30.000030000030002"/>
    <n v="10950.010950010999"/>
    <n v="39420.0394200394"/>
  </r>
  <r>
    <x v="0"/>
    <x v="0"/>
    <x v="0"/>
    <x v="1"/>
    <x v="2"/>
    <s v="EE_Industry"/>
    <x v="10"/>
    <s v="OSULA_ST_WOOD_BP"/>
    <x v="0"/>
    <x v="6"/>
    <n v="30.000030000030002"/>
    <n v="10950.010950010999"/>
    <n v="39420.0394200394"/>
  </r>
  <r>
    <x v="0"/>
    <x v="0"/>
    <x v="0"/>
    <x v="1"/>
    <x v="2"/>
    <s v="EE_Industry"/>
    <x v="10"/>
    <s v="OSULA_ST_WOOD_BP"/>
    <x v="0"/>
    <x v="7"/>
    <n v="30.000030000030002"/>
    <n v="10950.010950010999"/>
    <n v="39420.0394200394"/>
  </r>
  <r>
    <x v="0"/>
    <x v="0"/>
    <x v="0"/>
    <x v="1"/>
    <x v="2"/>
    <s v="EE_Industry"/>
    <x v="10"/>
    <s v="OSULA_ST_WOOD_BP"/>
    <x v="0"/>
    <x v="8"/>
    <n v="30.000030000030002"/>
    <n v="10950.010950010999"/>
    <n v="39420.0394200394"/>
  </r>
  <r>
    <x v="0"/>
    <x v="0"/>
    <x v="0"/>
    <x v="1"/>
    <x v="2"/>
    <s v="EE_Industry"/>
    <x v="10"/>
    <s v="OSULA_ST_WOOD_BP"/>
    <x v="0"/>
    <x v="9"/>
    <n v="30.000030000030002"/>
    <n v="10950.010950010999"/>
    <n v="39420.0394200394"/>
  </r>
  <r>
    <x v="0"/>
    <x v="0"/>
    <x v="0"/>
    <x v="1"/>
    <x v="2"/>
    <s v="EE_Industry"/>
    <x v="10"/>
    <s v="OSULA_ST_WOOD_BP"/>
    <x v="0"/>
    <x v="10"/>
    <n v="30.000030000030002"/>
    <n v="10950.010950010999"/>
    <n v="39420.0394200394"/>
  </r>
  <r>
    <x v="0"/>
    <x v="0"/>
    <x v="0"/>
    <x v="1"/>
    <x v="2"/>
    <s v="EE_Industry"/>
    <x v="10"/>
    <s v="OSULA_ST_WOOD_BP"/>
    <x v="0"/>
    <x v="11"/>
    <n v="30.000030000030002"/>
    <n v="10950.010950010999"/>
    <n v="39420.0394200394"/>
  </r>
  <r>
    <x v="0"/>
    <x v="0"/>
    <x v="0"/>
    <x v="1"/>
    <x v="2"/>
    <s v="EE_Industry"/>
    <x v="10"/>
    <s v="OSULA_ST_WOOD_BP"/>
    <x v="0"/>
    <x v="12"/>
    <n v="30.000030000030002"/>
    <n v="10950.010950010999"/>
    <n v="39420.0394200394"/>
  </r>
  <r>
    <x v="0"/>
    <x v="0"/>
    <x v="0"/>
    <x v="1"/>
    <x v="2"/>
    <s v="EE_Industry"/>
    <x v="10"/>
    <s v="OSULA_ST_WOOD_BP"/>
    <x v="0"/>
    <x v="13"/>
    <n v="30.000030000030002"/>
    <n v="10950.010950010999"/>
    <n v="39420.0394200394"/>
  </r>
  <r>
    <x v="0"/>
    <x v="0"/>
    <x v="0"/>
    <x v="1"/>
    <x v="2"/>
    <s v="EE_Industry"/>
    <x v="10"/>
    <s v="OSULA_ST_WOOD_BP"/>
    <x v="0"/>
    <x v="14"/>
    <n v="30.000030000030002"/>
    <n v="10950.010950010999"/>
    <n v="39420.0394200394"/>
  </r>
  <r>
    <x v="0"/>
    <x v="0"/>
    <x v="0"/>
    <x v="1"/>
    <x v="2"/>
    <s v="EE_Industry"/>
    <x v="10"/>
    <s v="OSULA_ST_WOOD_BP"/>
    <x v="0"/>
    <x v="15"/>
    <n v="30.000030000030002"/>
    <n v="10950.010950010999"/>
    <n v="39420.0394200394"/>
  </r>
  <r>
    <x v="0"/>
    <x v="0"/>
    <x v="0"/>
    <x v="1"/>
    <x v="2"/>
    <s v="EE_Industry"/>
    <x v="10"/>
    <s v="OSULA_ST_WOOD_BP"/>
    <x v="0"/>
    <x v="16"/>
    <n v="30.000030000030002"/>
    <n v="10950.010950010999"/>
    <n v="39420.0394200394"/>
  </r>
  <r>
    <x v="0"/>
    <x v="0"/>
    <x v="0"/>
    <x v="1"/>
    <x v="2"/>
    <s v="EE_Industry"/>
    <x v="10"/>
    <s v="OSULA_ST_WOOD_BP"/>
    <x v="0"/>
    <x v="17"/>
    <n v="30.000030000030002"/>
    <n v="10950.010950010999"/>
    <n v="39420.0394200394"/>
  </r>
  <r>
    <x v="0"/>
    <x v="0"/>
    <x v="0"/>
    <x v="1"/>
    <x v="2"/>
    <s v="EE_Industry"/>
    <x v="10"/>
    <s v="OSULA_ST_WOOD_BP"/>
    <x v="0"/>
    <x v="18"/>
    <n v="30.000030000030002"/>
    <n v="10950.010950010999"/>
    <n v="39420.0394200394"/>
  </r>
  <r>
    <x v="0"/>
    <x v="0"/>
    <x v="0"/>
    <x v="1"/>
    <x v="2"/>
    <s v="EE_Industry"/>
    <x v="10"/>
    <s v="OSULA_ST_WOOD_BP"/>
    <x v="0"/>
    <x v="19"/>
    <n v="30.000030000030002"/>
    <n v="10950.010950010999"/>
    <n v="39420.0394200394"/>
  </r>
  <r>
    <x v="0"/>
    <x v="0"/>
    <x v="0"/>
    <x v="1"/>
    <x v="2"/>
    <s v="EE_Industry"/>
    <x v="10"/>
    <s v="OSULA_ST_WOOD_BP"/>
    <x v="0"/>
    <x v="20"/>
    <n v="30.000030000030002"/>
    <n v="10950.010950010999"/>
    <n v="39420.0394200394"/>
  </r>
  <r>
    <x v="0"/>
    <x v="0"/>
    <x v="0"/>
    <x v="1"/>
    <x v="2"/>
    <s v="EE_Industry"/>
    <x v="10"/>
    <s v="OSULA_ST_WOOD_BP"/>
    <x v="0"/>
    <x v="21"/>
    <n v="30.000030000030002"/>
    <n v="10950.010950010999"/>
    <n v="39420.0394200394"/>
  </r>
  <r>
    <x v="0"/>
    <x v="0"/>
    <x v="0"/>
    <x v="1"/>
    <x v="2"/>
    <s v="EE_Industry"/>
    <x v="10"/>
    <s v="OSULA_ST_WOOD_BP"/>
    <x v="0"/>
    <x v="22"/>
    <n v="30.000030000030002"/>
    <n v="10950.010950010999"/>
    <n v="39420.0394200394"/>
  </r>
  <r>
    <x v="0"/>
    <x v="0"/>
    <x v="0"/>
    <x v="1"/>
    <x v="2"/>
    <s v="EE_Industry"/>
    <x v="10"/>
    <s v="OSULA_ST_WOOD_BP"/>
    <x v="0"/>
    <x v="23"/>
    <n v="30.000030000030002"/>
    <n v="10950.010950010999"/>
    <n v="39420.0394200394"/>
  </r>
  <r>
    <x v="0"/>
    <x v="0"/>
    <x v="0"/>
    <x v="1"/>
    <x v="2"/>
    <s v="EE_Industry"/>
    <x v="9"/>
    <s v="GNR_ST_WOODWST_BP_E-53"/>
    <x v="0"/>
    <x v="0"/>
    <n v="100"/>
    <n v="36500"/>
    <n v="131400"/>
  </r>
  <r>
    <x v="0"/>
    <x v="0"/>
    <x v="0"/>
    <x v="1"/>
    <x v="2"/>
    <s v="EE_Industry"/>
    <x v="9"/>
    <s v="GNR_ST_WOODWST_BP_E-53"/>
    <x v="0"/>
    <x v="1"/>
    <n v="100"/>
    <n v="36500"/>
    <n v="131400"/>
  </r>
  <r>
    <x v="0"/>
    <x v="0"/>
    <x v="0"/>
    <x v="1"/>
    <x v="2"/>
    <s v="EE_Industry"/>
    <x v="9"/>
    <s v="GNR_ST_WOODWST_BP_E-53"/>
    <x v="0"/>
    <x v="2"/>
    <n v="100"/>
    <n v="36500"/>
    <n v="131400"/>
  </r>
  <r>
    <x v="0"/>
    <x v="0"/>
    <x v="0"/>
    <x v="1"/>
    <x v="2"/>
    <s v="EE_Industry"/>
    <x v="9"/>
    <s v="GNR_ST_WOODWST_BP_E-53"/>
    <x v="0"/>
    <x v="3"/>
    <n v="100"/>
    <n v="36500"/>
    <n v="131400"/>
  </r>
  <r>
    <x v="0"/>
    <x v="0"/>
    <x v="0"/>
    <x v="1"/>
    <x v="2"/>
    <s v="EE_Industry"/>
    <x v="9"/>
    <s v="GNR_ST_WOODWST_BP_E-53"/>
    <x v="0"/>
    <x v="4"/>
    <n v="100"/>
    <n v="36500"/>
    <n v="131400"/>
  </r>
  <r>
    <x v="0"/>
    <x v="0"/>
    <x v="0"/>
    <x v="1"/>
    <x v="2"/>
    <s v="EE_Industry"/>
    <x v="9"/>
    <s v="GNR_ST_WOODWST_BP_E-53"/>
    <x v="0"/>
    <x v="5"/>
    <n v="100"/>
    <n v="36500"/>
    <n v="131400"/>
  </r>
  <r>
    <x v="0"/>
    <x v="0"/>
    <x v="0"/>
    <x v="1"/>
    <x v="2"/>
    <s v="EE_Industry"/>
    <x v="9"/>
    <s v="GNR_ST_WOODWST_BP_E-53"/>
    <x v="0"/>
    <x v="6"/>
    <n v="100"/>
    <n v="36500"/>
    <n v="131400"/>
  </r>
  <r>
    <x v="0"/>
    <x v="0"/>
    <x v="0"/>
    <x v="1"/>
    <x v="2"/>
    <s v="EE_Industry"/>
    <x v="9"/>
    <s v="GNR_ST_WOODWST_BP_E-53"/>
    <x v="0"/>
    <x v="7"/>
    <n v="100"/>
    <n v="36500"/>
    <n v="131400"/>
  </r>
  <r>
    <x v="0"/>
    <x v="0"/>
    <x v="0"/>
    <x v="1"/>
    <x v="2"/>
    <s v="EE_Industry"/>
    <x v="9"/>
    <s v="GNR_ST_WOODWST_BP_E-53"/>
    <x v="0"/>
    <x v="8"/>
    <n v="100"/>
    <n v="36500"/>
    <n v="131400"/>
  </r>
  <r>
    <x v="0"/>
    <x v="0"/>
    <x v="0"/>
    <x v="1"/>
    <x v="2"/>
    <s v="EE_Industry"/>
    <x v="9"/>
    <s v="GNR_ST_WOODWST_BP_E-53"/>
    <x v="0"/>
    <x v="9"/>
    <n v="100"/>
    <n v="36500"/>
    <n v="131400"/>
  </r>
  <r>
    <x v="0"/>
    <x v="0"/>
    <x v="0"/>
    <x v="1"/>
    <x v="2"/>
    <s v="EE_Industry"/>
    <x v="9"/>
    <s v="GNR_ST_WOODWST_BP_E-53"/>
    <x v="0"/>
    <x v="10"/>
    <n v="100"/>
    <n v="36500"/>
    <n v="131400"/>
  </r>
  <r>
    <x v="0"/>
    <x v="0"/>
    <x v="0"/>
    <x v="1"/>
    <x v="2"/>
    <s v="EE_Industry"/>
    <x v="9"/>
    <s v="GNR_ST_WOODWST_BP_E-53"/>
    <x v="0"/>
    <x v="11"/>
    <n v="100"/>
    <n v="36500"/>
    <n v="131400"/>
  </r>
  <r>
    <x v="0"/>
    <x v="0"/>
    <x v="0"/>
    <x v="1"/>
    <x v="2"/>
    <s v="EE_Industry"/>
    <x v="9"/>
    <s v="GNR_ST_WOODWST_BP_E-53"/>
    <x v="0"/>
    <x v="12"/>
    <n v="100"/>
    <n v="36500"/>
    <n v="131400"/>
  </r>
  <r>
    <x v="0"/>
    <x v="0"/>
    <x v="0"/>
    <x v="1"/>
    <x v="2"/>
    <s v="EE_Industry"/>
    <x v="9"/>
    <s v="GNR_ST_WOODWST_BP_E-53"/>
    <x v="0"/>
    <x v="13"/>
    <n v="100"/>
    <n v="36500"/>
    <n v="131400"/>
  </r>
  <r>
    <x v="0"/>
    <x v="0"/>
    <x v="0"/>
    <x v="1"/>
    <x v="2"/>
    <s v="EE_Industry"/>
    <x v="9"/>
    <s v="GNR_ST_WOODWST_BP_E-53"/>
    <x v="0"/>
    <x v="14"/>
    <n v="100"/>
    <n v="36500"/>
    <n v="131400"/>
  </r>
  <r>
    <x v="0"/>
    <x v="0"/>
    <x v="0"/>
    <x v="1"/>
    <x v="2"/>
    <s v="EE_Industry"/>
    <x v="9"/>
    <s v="GNR_ST_WOODWST_BP_E-53"/>
    <x v="0"/>
    <x v="15"/>
    <n v="100"/>
    <n v="36500"/>
    <n v="131400"/>
  </r>
  <r>
    <x v="0"/>
    <x v="0"/>
    <x v="0"/>
    <x v="1"/>
    <x v="2"/>
    <s v="EE_Industry"/>
    <x v="9"/>
    <s v="GNR_ST_WOODWST_BP_E-53"/>
    <x v="0"/>
    <x v="16"/>
    <n v="100"/>
    <n v="36500"/>
    <n v="131400"/>
  </r>
  <r>
    <x v="0"/>
    <x v="0"/>
    <x v="0"/>
    <x v="1"/>
    <x v="2"/>
    <s v="EE_Industry"/>
    <x v="9"/>
    <s v="GNR_ST_WOODWST_BP_E-53"/>
    <x v="0"/>
    <x v="17"/>
    <n v="100"/>
    <n v="36500"/>
    <n v="131400"/>
  </r>
  <r>
    <x v="0"/>
    <x v="0"/>
    <x v="0"/>
    <x v="1"/>
    <x v="2"/>
    <s v="EE_Industry"/>
    <x v="9"/>
    <s v="GNR_ST_WOODWST_BP_E-53"/>
    <x v="0"/>
    <x v="18"/>
    <n v="100"/>
    <n v="36500"/>
    <n v="131400"/>
  </r>
  <r>
    <x v="0"/>
    <x v="0"/>
    <x v="0"/>
    <x v="1"/>
    <x v="2"/>
    <s v="EE_Industry"/>
    <x v="9"/>
    <s v="GNR_ST_WOODWST_BP_E-53"/>
    <x v="0"/>
    <x v="19"/>
    <n v="100"/>
    <n v="36500"/>
    <n v="131400"/>
  </r>
  <r>
    <x v="0"/>
    <x v="0"/>
    <x v="0"/>
    <x v="1"/>
    <x v="2"/>
    <s v="EE_Industry"/>
    <x v="9"/>
    <s v="GNR_ST_WOODWST_BP_E-53"/>
    <x v="0"/>
    <x v="20"/>
    <n v="100"/>
    <n v="36500"/>
    <n v="131400"/>
  </r>
  <r>
    <x v="0"/>
    <x v="0"/>
    <x v="0"/>
    <x v="1"/>
    <x v="2"/>
    <s v="EE_Industry"/>
    <x v="9"/>
    <s v="GNR_ST_WOODWST_BP_E-53"/>
    <x v="0"/>
    <x v="21"/>
    <n v="100"/>
    <n v="36500"/>
    <n v="131400"/>
  </r>
  <r>
    <x v="0"/>
    <x v="0"/>
    <x v="0"/>
    <x v="1"/>
    <x v="2"/>
    <s v="EE_Industry"/>
    <x v="9"/>
    <s v="GNR_ST_WOODWST_BP_E-53"/>
    <x v="0"/>
    <x v="22"/>
    <n v="100"/>
    <n v="36500"/>
    <n v="131400"/>
  </r>
  <r>
    <x v="0"/>
    <x v="0"/>
    <x v="0"/>
    <x v="1"/>
    <x v="2"/>
    <s v="EE_Industry"/>
    <x v="9"/>
    <s v="GNR_ST_WOODWST_BP_E-53"/>
    <x v="0"/>
    <x v="23"/>
    <n v="100"/>
    <n v="36500"/>
    <n v="131400"/>
  </r>
  <r>
    <x v="0"/>
    <x v="0"/>
    <x v="0"/>
    <x v="1"/>
    <x v="2"/>
    <s v="EE_Kohtla_Jarve"/>
    <x v="4"/>
    <s v="GNR_BO_NGAS_HO_E-85"/>
    <x v="0"/>
    <x v="0"/>
    <n v="26.6952663171175"/>
    <n v="9743.7722057478804"/>
    <n v="35077.579940692398"/>
  </r>
  <r>
    <x v="0"/>
    <x v="0"/>
    <x v="0"/>
    <x v="1"/>
    <x v="2"/>
    <s v="EE_Kohtla_Jarve"/>
    <x v="4"/>
    <s v="GNR_BO_NGAS_HO_E-85"/>
    <x v="0"/>
    <x v="1"/>
    <n v="26.977634851053299"/>
    <n v="9846.8367206344592"/>
    <n v="35448.612194284098"/>
  </r>
  <r>
    <x v="0"/>
    <x v="0"/>
    <x v="0"/>
    <x v="1"/>
    <x v="2"/>
    <s v="EE_Kohtla_Jarve"/>
    <x v="4"/>
    <s v="GNR_BO_NGAS_HO_E-85"/>
    <x v="0"/>
    <x v="2"/>
    <n v="27.065875017908301"/>
    <n v="9879.0443815365197"/>
    <n v="35564.559773531502"/>
  </r>
  <r>
    <x v="0"/>
    <x v="0"/>
    <x v="0"/>
    <x v="1"/>
    <x v="2"/>
    <s v="EE_Kohtla_Jarve"/>
    <x v="4"/>
    <s v="GNR_BO_NGAS_HO_E-85"/>
    <x v="0"/>
    <x v="3"/>
    <n v="26.801154517343399"/>
    <n v="9782.4213988303309"/>
    <n v="35216.717035789203"/>
  </r>
  <r>
    <x v="0"/>
    <x v="0"/>
    <x v="0"/>
    <x v="1"/>
    <x v="2"/>
    <s v="EE_Kohtla_Jarve"/>
    <x v="4"/>
    <s v="GNR_BO_NGAS_HO_E-85"/>
    <x v="0"/>
    <x v="4"/>
    <n v="26.218769416100699"/>
    <n v="9569.8508368767598"/>
    <n v="34451.4630127563"/>
  </r>
  <r>
    <x v="0"/>
    <x v="0"/>
    <x v="0"/>
    <x v="1"/>
    <x v="2"/>
    <s v="EE_Kohtla_Jarve"/>
    <x v="4"/>
    <s v="GNR_BO_NGAS_HO_E-85"/>
    <x v="0"/>
    <x v="5"/>
    <n v="25.3716638142932"/>
    <n v="9260.6572922170199"/>
    <n v="33338.366251981301"/>
  </r>
  <r>
    <x v="0"/>
    <x v="0"/>
    <x v="0"/>
    <x v="1"/>
    <x v="2"/>
    <s v="EE_Kohtla_Jarve"/>
    <x v="4"/>
    <s v="GNR_BO_NGAS_HO_E-85"/>
    <x v="0"/>
    <x v="6"/>
    <n v="24.295133778662802"/>
    <n v="8867.7238292119291"/>
    <n v="31923.805785162898"/>
  </r>
  <r>
    <x v="0"/>
    <x v="0"/>
    <x v="0"/>
    <x v="1"/>
    <x v="2"/>
    <s v="EE_Kohtla_Jarve"/>
    <x v="4"/>
    <s v="GNR_BO_NGAS_HO_E-85"/>
    <x v="0"/>
    <x v="7"/>
    <n v="22.971531275838501"/>
    <n v="8384.6089156810594"/>
    <n v="30184.592096451801"/>
  </r>
  <r>
    <x v="0"/>
    <x v="0"/>
    <x v="0"/>
    <x v="1"/>
    <x v="2"/>
    <s v="EE_Kohtla_Jarve"/>
    <x v="4"/>
    <s v="GNR_BO_NGAS_HO_E-85"/>
    <x v="0"/>
    <x v="8"/>
    <n v="21.8244091067242"/>
    <n v="7965.9093239543299"/>
    <n v="28677.273566235599"/>
  </r>
  <r>
    <x v="0"/>
    <x v="0"/>
    <x v="0"/>
    <x v="1"/>
    <x v="2"/>
    <s v="EE_Kohtla_Jarve"/>
    <x v="4"/>
    <s v="GNR_BO_NGAS_HO_E-85"/>
    <x v="0"/>
    <x v="9"/>
    <n v="20.783175137835698"/>
    <n v="7585.8589253100399"/>
    <n v="27309.092131116198"/>
  </r>
  <r>
    <x v="0"/>
    <x v="0"/>
    <x v="0"/>
    <x v="1"/>
    <x v="2"/>
    <s v="EE_Kohtla_Jarve"/>
    <x v="4"/>
    <s v="GNR_BO_NGAS_HO_E-85"/>
    <x v="0"/>
    <x v="10"/>
    <n v="19.847829369173301"/>
    <n v="7244.4577197482404"/>
    <n v="26080.047791093701"/>
  </r>
  <r>
    <x v="0"/>
    <x v="0"/>
    <x v="0"/>
    <x v="1"/>
    <x v="2"/>
    <s v="EE_Kohtla_Jarve"/>
    <x v="4"/>
    <s v="GNR_BO_NGAS_HO_E-85"/>
    <x v="0"/>
    <x v="11"/>
    <n v="19.071315900849701"/>
    <n v="6961.0303038101501"/>
    <n v="25059.709093716501"/>
  </r>
  <r>
    <x v="0"/>
    <x v="0"/>
    <x v="0"/>
    <x v="1"/>
    <x v="2"/>
    <s v="EE_Kohtla_Jarve"/>
    <x v="4"/>
    <s v="GNR_BO_NGAS_HO_E-85"/>
    <x v="0"/>
    <x v="12"/>
    <n v="18.400690632752099"/>
    <n v="6716.2520809545103"/>
    <n v="24178.507491436201"/>
  </r>
  <r>
    <x v="0"/>
    <x v="0"/>
    <x v="0"/>
    <x v="1"/>
    <x v="2"/>
    <s v="EE_Kohtla_Jarve"/>
    <x v="4"/>
    <s v="GNR_BO_NGAS_HO_E-85"/>
    <x v="0"/>
    <x v="13"/>
    <n v="17.853601598251402"/>
    <n v="6516.56458336176"/>
    <n v="23459.632500102402"/>
  </r>
  <r>
    <x v="0"/>
    <x v="0"/>
    <x v="0"/>
    <x v="1"/>
    <x v="2"/>
    <s v="EE_Kohtla_Jarve"/>
    <x v="4"/>
    <s v="GNR_BO_NGAS_HO_E-85"/>
    <x v="0"/>
    <x v="14"/>
    <n v="17.518288964202601"/>
    <n v="6394.1754719339297"/>
    <n v="23019.031698962201"/>
  </r>
  <r>
    <x v="0"/>
    <x v="0"/>
    <x v="0"/>
    <x v="1"/>
    <x v="2"/>
    <s v="EE_Kohtla_Jarve"/>
    <x v="4"/>
    <s v="GNR_BO_NGAS_HO_E-85"/>
    <x v="0"/>
    <x v="15"/>
    <n v="17.271216497008702"/>
    <n v="6303.9940214081898"/>
    <n v="22694.378477069498"/>
  </r>
  <r>
    <x v="0"/>
    <x v="0"/>
    <x v="0"/>
    <x v="1"/>
    <x v="2"/>
    <s v="EE_Kohtla_Jarve"/>
    <x v="4"/>
    <s v="GNR_BO_NGAS_HO_E-85"/>
    <x v="0"/>
    <x v="16"/>
    <n v="17.059440096556798"/>
    <n v="6226.6956352432298"/>
    <n v="22416.104286875601"/>
  </r>
  <r>
    <x v="0"/>
    <x v="0"/>
    <x v="0"/>
    <x v="1"/>
    <x v="2"/>
    <s v="EE_Kohtla_Jarve"/>
    <x v="4"/>
    <s v="GNR_BO_NGAS_HO_E-85"/>
    <x v="0"/>
    <x v="17"/>
    <n v="16.865311729475899"/>
    <n v="6155.8387812587098"/>
    <n v="22161.019612531301"/>
  </r>
  <r>
    <x v="0"/>
    <x v="0"/>
    <x v="0"/>
    <x v="1"/>
    <x v="2"/>
    <s v="EE_Kohtla_Jarve"/>
    <x v="4"/>
    <s v="GNR_BO_NGAS_HO_E-85"/>
    <x v="0"/>
    <x v="18"/>
    <n v="16.653535329023999"/>
    <n v="6078.5403950937798"/>
    <n v="21882.745422337601"/>
  </r>
  <r>
    <x v="0"/>
    <x v="0"/>
    <x v="0"/>
    <x v="1"/>
    <x v="2"/>
    <s v="EE_Kohtla_Jarve"/>
    <x v="4"/>
    <s v="GNR_BO_NGAS_HO_E-85"/>
    <x v="0"/>
    <x v="19"/>
    <n v="16.4064628618302"/>
    <n v="5988.35894456803"/>
    <n v="21558.092200444898"/>
  </r>
  <r>
    <x v="0"/>
    <x v="0"/>
    <x v="0"/>
    <x v="1"/>
    <x v="2"/>
    <s v="EE_Kohtla_Jarve"/>
    <x v="4"/>
    <s v="GNR_BO_NGAS_HO_E-85"/>
    <x v="0"/>
    <x v="20"/>
    <n v="16.1946864613783"/>
    <n v="5911.06055840307"/>
    <n v="21279.818010251001"/>
  </r>
  <r>
    <x v="0"/>
    <x v="0"/>
    <x v="0"/>
    <x v="1"/>
    <x v="2"/>
    <s v="EE_Kohtla_Jarve"/>
    <x v="4"/>
    <s v="GNR_BO_NGAS_HO_E-85"/>
    <x v="0"/>
    <x v="21"/>
    <n v="15.9829100609264"/>
    <n v="5833.76217223814"/>
    <n v="21001.543820057301"/>
  </r>
  <r>
    <x v="0"/>
    <x v="0"/>
    <x v="0"/>
    <x v="1"/>
    <x v="2"/>
    <s v="EE_Kohtla_Jarve"/>
    <x v="4"/>
    <s v="GNR_BO_NGAS_HO_E-85"/>
    <x v="0"/>
    <x v="22"/>
    <n v="15.8240777605875"/>
    <n v="5775.7883826144498"/>
    <n v="20792.838177411999"/>
  </r>
  <r>
    <x v="0"/>
    <x v="0"/>
    <x v="0"/>
    <x v="1"/>
    <x v="2"/>
    <s v="EE_Kohtla_Jarve"/>
    <x v="4"/>
    <s v="GNR_BO_NGAS_HO_E-85"/>
    <x v="0"/>
    <x v="23"/>
    <n v="15.771133660474501"/>
    <n v="5756.4637860732"/>
    <n v="20723.269629863498"/>
  </r>
  <r>
    <x v="0"/>
    <x v="0"/>
    <x v="0"/>
    <x v="1"/>
    <x v="2"/>
    <s v="EE_Kohtla_Jarve"/>
    <x v="4"/>
    <s v="GNR_ENG_NGAS_EXT_E-44"/>
    <x v="0"/>
    <x v="0"/>
    <n v="17.7777777777778"/>
    <n v="6488.8888888888896"/>
    <n v="23360"/>
  </r>
  <r>
    <x v="0"/>
    <x v="0"/>
    <x v="0"/>
    <x v="1"/>
    <x v="2"/>
    <s v="EE_Kohtla_Jarve"/>
    <x v="4"/>
    <s v="GNR_ENG_NGAS_EXT_E-44"/>
    <x v="0"/>
    <x v="1"/>
    <n v="17.7777777777778"/>
    <n v="6488.8888888888896"/>
    <n v="23360"/>
  </r>
  <r>
    <x v="0"/>
    <x v="0"/>
    <x v="0"/>
    <x v="1"/>
    <x v="2"/>
    <s v="EE_Kohtla_Jarve"/>
    <x v="4"/>
    <s v="GNR_ENG_NGAS_EXT_E-44"/>
    <x v="0"/>
    <x v="2"/>
    <n v="17.7777777777778"/>
    <n v="6488.8888888888896"/>
    <n v="23360"/>
  </r>
  <r>
    <x v="0"/>
    <x v="0"/>
    <x v="0"/>
    <x v="1"/>
    <x v="2"/>
    <s v="EE_Kohtla_Jarve"/>
    <x v="4"/>
    <s v="GNR_ENG_NGAS_EXT_E-44"/>
    <x v="0"/>
    <x v="3"/>
    <n v="17.7777777777778"/>
    <n v="6488.8888888888896"/>
    <n v="23360"/>
  </r>
  <r>
    <x v="0"/>
    <x v="0"/>
    <x v="0"/>
    <x v="1"/>
    <x v="2"/>
    <s v="EE_Kohtla_Jarve"/>
    <x v="4"/>
    <s v="GNR_ENG_NGAS_EXT_E-44"/>
    <x v="0"/>
    <x v="4"/>
    <n v="17.7777777777778"/>
    <n v="6488.8888888888896"/>
    <n v="23360"/>
  </r>
  <r>
    <x v="0"/>
    <x v="0"/>
    <x v="0"/>
    <x v="1"/>
    <x v="2"/>
    <s v="EE_Kohtla_Jarve"/>
    <x v="4"/>
    <s v="GNR_ENG_NGAS_EXT_E-44"/>
    <x v="0"/>
    <x v="5"/>
    <n v="17.7777777777778"/>
    <n v="6488.8888888888896"/>
    <n v="23360"/>
  </r>
  <r>
    <x v="0"/>
    <x v="0"/>
    <x v="0"/>
    <x v="1"/>
    <x v="2"/>
    <s v="EE_Kohtla_Jarve"/>
    <x v="4"/>
    <s v="GNR_ENG_NGAS_EXT_E-44"/>
    <x v="0"/>
    <x v="6"/>
    <n v="17.7777777777778"/>
    <n v="6488.8888888888896"/>
    <n v="23360"/>
  </r>
  <r>
    <x v="0"/>
    <x v="0"/>
    <x v="0"/>
    <x v="1"/>
    <x v="2"/>
    <s v="EE_Kohtla_Jarve"/>
    <x v="4"/>
    <s v="GNR_ENG_NGAS_EXT_E-44"/>
    <x v="0"/>
    <x v="7"/>
    <n v="17.7777777777778"/>
    <n v="6488.8888888888896"/>
    <n v="23360"/>
  </r>
  <r>
    <x v="0"/>
    <x v="0"/>
    <x v="0"/>
    <x v="1"/>
    <x v="2"/>
    <s v="EE_Kohtla_Jarve"/>
    <x v="4"/>
    <s v="GNR_ENG_NGAS_EXT_E-44"/>
    <x v="0"/>
    <x v="8"/>
    <n v="17.7777777777778"/>
    <n v="6488.8888888888896"/>
    <n v="23360"/>
  </r>
  <r>
    <x v="0"/>
    <x v="0"/>
    <x v="0"/>
    <x v="1"/>
    <x v="2"/>
    <s v="EE_Kohtla_Jarve"/>
    <x v="4"/>
    <s v="GNR_ENG_NGAS_EXT_E-44"/>
    <x v="0"/>
    <x v="9"/>
    <n v="17.7777777777778"/>
    <n v="6488.8888888888896"/>
    <n v="23360"/>
  </r>
  <r>
    <x v="0"/>
    <x v="0"/>
    <x v="0"/>
    <x v="1"/>
    <x v="2"/>
    <s v="EE_Kohtla_Jarve"/>
    <x v="4"/>
    <s v="GNR_ENG_NGAS_EXT_E-44"/>
    <x v="0"/>
    <x v="10"/>
    <n v="17.7777777777778"/>
    <n v="6488.8888888888896"/>
    <n v="23360"/>
  </r>
  <r>
    <x v="0"/>
    <x v="0"/>
    <x v="0"/>
    <x v="1"/>
    <x v="2"/>
    <s v="EE_Kohtla_Jarve"/>
    <x v="4"/>
    <s v="GNR_ENG_NGAS_EXT_E-44"/>
    <x v="0"/>
    <x v="11"/>
    <n v="17.7777777777778"/>
    <n v="6488.8888888888896"/>
    <n v="23360"/>
  </r>
  <r>
    <x v="0"/>
    <x v="0"/>
    <x v="0"/>
    <x v="1"/>
    <x v="2"/>
    <s v="EE_Kohtla_Jarve"/>
    <x v="4"/>
    <s v="GNR_ENG_NGAS_EXT_E-44"/>
    <x v="0"/>
    <x v="12"/>
    <n v="17.7777777777778"/>
    <n v="6488.8888888888896"/>
    <n v="23360"/>
  </r>
  <r>
    <x v="0"/>
    <x v="0"/>
    <x v="0"/>
    <x v="1"/>
    <x v="2"/>
    <s v="EE_Kohtla_Jarve"/>
    <x v="4"/>
    <s v="GNR_ENG_NGAS_EXT_E-44"/>
    <x v="0"/>
    <x v="13"/>
    <n v="17.7777777777778"/>
    <n v="6488.8888888888896"/>
    <n v="23360"/>
  </r>
  <r>
    <x v="0"/>
    <x v="0"/>
    <x v="0"/>
    <x v="1"/>
    <x v="2"/>
    <s v="EE_Kohtla_Jarve"/>
    <x v="4"/>
    <s v="GNR_ENG_NGAS_EXT_E-44"/>
    <x v="0"/>
    <x v="14"/>
    <n v="17.7777777777778"/>
    <n v="6488.8888888888896"/>
    <n v="23360"/>
  </r>
  <r>
    <x v="0"/>
    <x v="0"/>
    <x v="0"/>
    <x v="1"/>
    <x v="2"/>
    <s v="EE_Kohtla_Jarve"/>
    <x v="4"/>
    <s v="GNR_ENG_NGAS_EXT_E-44"/>
    <x v="0"/>
    <x v="15"/>
    <n v="17.7777777777778"/>
    <n v="6488.8888888888896"/>
    <n v="23360"/>
  </r>
  <r>
    <x v="0"/>
    <x v="0"/>
    <x v="0"/>
    <x v="1"/>
    <x v="2"/>
    <s v="EE_Kohtla_Jarve"/>
    <x v="4"/>
    <s v="GNR_ENG_NGAS_EXT_E-44"/>
    <x v="0"/>
    <x v="16"/>
    <n v="17.7777777777778"/>
    <n v="6488.8888888888896"/>
    <n v="23360"/>
  </r>
  <r>
    <x v="0"/>
    <x v="0"/>
    <x v="0"/>
    <x v="1"/>
    <x v="2"/>
    <s v="EE_Kohtla_Jarve"/>
    <x v="4"/>
    <s v="GNR_ENG_NGAS_EXT_E-44"/>
    <x v="0"/>
    <x v="17"/>
    <n v="17.7777777777778"/>
    <n v="6488.8888888888896"/>
    <n v="23360"/>
  </r>
  <r>
    <x v="0"/>
    <x v="0"/>
    <x v="0"/>
    <x v="1"/>
    <x v="2"/>
    <s v="EE_Kohtla_Jarve"/>
    <x v="4"/>
    <s v="GNR_ENG_NGAS_EXT_E-44"/>
    <x v="0"/>
    <x v="18"/>
    <n v="17.7777777777778"/>
    <n v="6488.8888888888896"/>
    <n v="23360"/>
  </r>
  <r>
    <x v="0"/>
    <x v="0"/>
    <x v="0"/>
    <x v="1"/>
    <x v="2"/>
    <s v="EE_Kohtla_Jarve"/>
    <x v="4"/>
    <s v="GNR_ENG_NGAS_EXT_E-44"/>
    <x v="0"/>
    <x v="19"/>
    <n v="17.7777777777778"/>
    <n v="6488.8888888888896"/>
    <n v="23360"/>
  </r>
  <r>
    <x v="0"/>
    <x v="0"/>
    <x v="0"/>
    <x v="1"/>
    <x v="2"/>
    <s v="EE_Kohtla_Jarve"/>
    <x v="4"/>
    <s v="GNR_ENG_NGAS_EXT_E-44"/>
    <x v="0"/>
    <x v="20"/>
    <n v="17.7777777777778"/>
    <n v="6488.8888888888896"/>
    <n v="23360"/>
  </r>
  <r>
    <x v="0"/>
    <x v="0"/>
    <x v="0"/>
    <x v="1"/>
    <x v="2"/>
    <s v="EE_Kohtla_Jarve"/>
    <x v="4"/>
    <s v="GNR_ENG_NGAS_EXT_E-44"/>
    <x v="0"/>
    <x v="21"/>
    <n v="17.7777777777778"/>
    <n v="6488.8888888888896"/>
    <n v="23360"/>
  </r>
  <r>
    <x v="0"/>
    <x v="0"/>
    <x v="0"/>
    <x v="1"/>
    <x v="2"/>
    <s v="EE_Kohtla_Jarve"/>
    <x v="4"/>
    <s v="GNR_ENG_NGAS_EXT_E-44"/>
    <x v="0"/>
    <x v="22"/>
    <n v="17.7777777777778"/>
    <n v="6488.8888888888896"/>
    <n v="23360"/>
  </r>
  <r>
    <x v="0"/>
    <x v="0"/>
    <x v="0"/>
    <x v="1"/>
    <x v="2"/>
    <s v="EE_Kohtla_Jarve"/>
    <x v="4"/>
    <s v="GNR_ENG_NGAS_EXT_E-44"/>
    <x v="0"/>
    <x v="23"/>
    <n v="17.7777777777778"/>
    <n v="6488.8888888888896"/>
    <n v="23360"/>
  </r>
  <r>
    <x v="0"/>
    <x v="0"/>
    <x v="0"/>
    <x v="1"/>
    <x v="2"/>
    <s v="EE_Narva"/>
    <x v="11"/>
    <s v="GNR_BO_FUELOIL_HO_E-85"/>
    <x v="0"/>
    <x v="0"/>
    <n v="57.16"/>
    <n v="20863.400000000001"/>
    <n v="75108.240000000005"/>
  </r>
  <r>
    <x v="0"/>
    <x v="0"/>
    <x v="0"/>
    <x v="1"/>
    <x v="2"/>
    <s v="EE_Narva"/>
    <x v="11"/>
    <s v="GNR_BO_FUELOIL_HO_E-85"/>
    <x v="0"/>
    <x v="1"/>
    <n v="57.16"/>
    <n v="20863.400000000001"/>
    <n v="75108.240000000005"/>
  </r>
  <r>
    <x v="0"/>
    <x v="0"/>
    <x v="0"/>
    <x v="1"/>
    <x v="2"/>
    <s v="EE_Narva"/>
    <x v="11"/>
    <s v="GNR_BO_FUELOIL_HO_E-85"/>
    <x v="0"/>
    <x v="2"/>
    <n v="57.16"/>
    <n v="20863.400000000001"/>
    <n v="75108.240000000005"/>
  </r>
  <r>
    <x v="0"/>
    <x v="0"/>
    <x v="0"/>
    <x v="1"/>
    <x v="2"/>
    <s v="EE_Narva"/>
    <x v="11"/>
    <s v="GNR_BO_FUELOIL_HO_E-85"/>
    <x v="0"/>
    <x v="3"/>
    <n v="57.16"/>
    <n v="20863.400000000001"/>
    <n v="75108.240000000005"/>
  </r>
  <r>
    <x v="0"/>
    <x v="0"/>
    <x v="0"/>
    <x v="1"/>
    <x v="2"/>
    <s v="EE_Narva"/>
    <x v="11"/>
    <s v="GNR_BO_FUELOIL_HO_E-85"/>
    <x v="0"/>
    <x v="4"/>
    <n v="57.16"/>
    <n v="20863.400000000001"/>
    <n v="75108.240000000005"/>
  </r>
  <r>
    <x v="0"/>
    <x v="0"/>
    <x v="0"/>
    <x v="1"/>
    <x v="2"/>
    <s v="EE_Narva"/>
    <x v="11"/>
    <s v="GNR_BO_FUELOIL_HO_E-85"/>
    <x v="0"/>
    <x v="5"/>
    <n v="57.16"/>
    <n v="20863.400000000001"/>
    <n v="75108.240000000005"/>
  </r>
  <r>
    <x v="0"/>
    <x v="0"/>
    <x v="0"/>
    <x v="1"/>
    <x v="2"/>
    <s v="EE_Narva"/>
    <x v="11"/>
    <s v="GNR_BO_FUELOIL_HO_E-85"/>
    <x v="0"/>
    <x v="6"/>
    <n v="57.16"/>
    <n v="20863.400000000001"/>
    <n v="75108.240000000005"/>
  </r>
  <r>
    <x v="0"/>
    <x v="0"/>
    <x v="0"/>
    <x v="1"/>
    <x v="2"/>
    <s v="EE_Narva"/>
    <x v="11"/>
    <s v="GNR_BO_FUELOIL_HO_E-85"/>
    <x v="0"/>
    <x v="7"/>
    <n v="57.16"/>
    <n v="20863.400000000001"/>
    <n v="75108.240000000005"/>
  </r>
  <r>
    <x v="0"/>
    <x v="0"/>
    <x v="0"/>
    <x v="1"/>
    <x v="2"/>
    <s v="EE_Narva"/>
    <x v="11"/>
    <s v="GNR_BO_FUELOIL_HO_E-85"/>
    <x v="0"/>
    <x v="8"/>
    <n v="57.16"/>
    <n v="20863.400000000001"/>
    <n v="75108.240000000005"/>
  </r>
  <r>
    <x v="0"/>
    <x v="0"/>
    <x v="0"/>
    <x v="1"/>
    <x v="2"/>
    <s v="EE_Narva"/>
    <x v="11"/>
    <s v="GNR_BO_FUELOIL_HO_E-85"/>
    <x v="0"/>
    <x v="9"/>
    <n v="57.135595491798398"/>
    <n v="20854.492354506401"/>
    <n v="75076.172476223102"/>
  </r>
  <r>
    <x v="0"/>
    <x v="0"/>
    <x v="0"/>
    <x v="1"/>
    <x v="2"/>
    <s v="EE_Narva"/>
    <x v="11"/>
    <s v="GNR_BO_FUELOIL_HO_E-85"/>
    <x v="0"/>
    <x v="10"/>
    <n v="55.749697752180403"/>
    <n v="20348.6396795459"/>
    <n v="73255.102846365102"/>
  </r>
  <r>
    <x v="0"/>
    <x v="0"/>
    <x v="0"/>
    <x v="1"/>
    <x v="2"/>
    <s v="EE_Narva"/>
    <x v="11"/>
    <s v="GNR_BO_FUELOIL_HO_E-85"/>
    <x v="0"/>
    <x v="11"/>
    <n v="54.599141138157897"/>
    <n v="19928.686515427598"/>
    <n v="71743.271455539507"/>
  </r>
  <r>
    <x v="0"/>
    <x v="0"/>
    <x v="0"/>
    <x v="1"/>
    <x v="2"/>
    <s v="EE_Narva"/>
    <x v="11"/>
    <s v="GNR_BO_FUELOIL_HO_E-85"/>
    <x v="0"/>
    <x v="12"/>
    <n v="57.16"/>
    <n v="20863.400000000001"/>
    <n v="75108.240000000005"/>
  </r>
  <r>
    <x v="0"/>
    <x v="0"/>
    <x v="0"/>
    <x v="1"/>
    <x v="2"/>
    <s v="EE_Narva"/>
    <x v="11"/>
    <s v="GNR_BO_FUELOIL_HO_E-85"/>
    <x v="0"/>
    <x v="13"/>
    <n v="55.190499968715002"/>
    <n v="20144.532488581001"/>
    <n v="72520.316958891606"/>
  </r>
  <r>
    <x v="0"/>
    <x v="0"/>
    <x v="0"/>
    <x v="1"/>
    <x v="2"/>
    <s v="EE_Narva"/>
    <x v="11"/>
    <s v="GNR_BO_FUELOIL_HO_E-85"/>
    <x v="0"/>
    <x v="14"/>
    <n v="52.2980279101129"/>
    <n v="19088.780187191202"/>
    <n v="68719.608673888404"/>
  </r>
  <r>
    <x v="0"/>
    <x v="0"/>
    <x v="0"/>
    <x v="1"/>
    <x v="2"/>
    <s v="EE_Narva"/>
    <x v="11"/>
    <s v="GNR_BO_FUELOIL_HO_E-85"/>
    <x v="0"/>
    <x v="15"/>
    <n v="57.16"/>
    <n v="20863.400000000001"/>
    <n v="75108.240000000005"/>
  </r>
  <r>
    <x v="0"/>
    <x v="0"/>
    <x v="0"/>
    <x v="1"/>
    <x v="2"/>
    <s v="EE_Narva"/>
    <x v="11"/>
    <s v="GNR_BO_FUELOIL_HO_E-85"/>
    <x v="0"/>
    <x v="16"/>
    <n v="57.16"/>
    <n v="20863.400000000001"/>
    <n v="75108.240000000005"/>
  </r>
  <r>
    <x v="0"/>
    <x v="0"/>
    <x v="0"/>
    <x v="1"/>
    <x v="2"/>
    <s v="EE_Narva"/>
    <x v="11"/>
    <s v="GNR_BO_FUELOIL_HO_E-85"/>
    <x v="0"/>
    <x v="17"/>
    <n v="57.16"/>
    <n v="20863.400000000001"/>
    <n v="75108.240000000005"/>
  </r>
  <r>
    <x v="0"/>
    <x v="0"/>
    <x v="0"/>
    <x v="1"/>
    <x v="2"/>
    <s v="EE_Narva"/>
    <x v="11"/>
    <s v="GNR_BO_FUELOIL_HO_E-85"/>
    <x v="0"/>
    <x v="18"/>
    <n v="57.16"/>
    <n v="20863.400000000001"/>
    <n v="75108.240000000005"/>
  </r>
  <r>
    <x v="0"/>
    <x v="0"/>
    <x v="0"/>
    <x v="1"/>
    <x v="2"/>
    <s v="EE_Narva"/>
    <x v="11"/>
    <s v="GNR_BO_FUELOIL_HO_E-85"/>
    <x v="0"/>
    <x v="19"/>
    <n v="57.16"/>
    <n v="20863.400000000001"/>
    <n v="75108.240000000005"/>
  </r>
  <r>
    <x v="0"/>
    <x v="0"/>
    <x v="0"/>
    <x v="1"/>
    <x v="2"/>
    <s v="EE_Narva"/>
    <x v="11"/>
    <s v="GNR_BO_FUELOIL_HO_E-85"/>
    <x v="0"/>
    <x v="20"/>
    <n v="57.16"/>
    <n v="20863.400000000001"/>
    <n v="75108.240000000005"/>
  </r>
  <r>
    <x v="0"/>
    <x v="0"/>
    <x v="0"/>
    <x v="1"/>
    <x v="2"/>
    <s v="EE_Narva"/>
    <x v="11"/>
    <s v="GNR_BO_FUELOIL_HO_E-85"/>
    <x v="0"/>
    <x v="21"/>
    <n v="57.16"/>
    <n v="20863.400000000001"/>
    <n v="75108.240000000005"/>
  </r>
  <r>
    <x v="0"/>
    <x v="0"/>
    <x v="0"/>
    <x v="1"/>
    <x v="2"/>
    <s v="EE_Narva"/>
    <x v="11"/>
    <s v="GNR_BO_FUELOIL_HO_E-85"/>
    <x v="0"/>
    <x v="22"/>
    <n v="57.16"/>
    <n v="20863.400000000001"/>
    <n v="75108.240000000005"/>
  </r>
  <r>
    <x v="0"/>
    <x v="0"/>
    <x v="0"/>
    <x v="1"/>
    <x v="2"/>
    <s v="EE_Narva"/>
    <x v="11"/>
    <s v="GNR_BO_FUELOIL_HO_E-85"/>
    <x v="0"/>
    <x v="23"/>
    <n v="57.16"/>
    <n v="20863.400000000001"/>
    <n v="75108.240000000005"/>
  </r>
  <r>
    <x v="0"/>
    <x v="0"/>
    <x v="0"/>
    <x v="1"/>
    <x v="2"/>
    <s v="EE_Narva"/>
    <x v="2"/>
    <s v="GNR_HS_HEAT_WTR-TANK_LS_E-95_Y-2010"/>
    <x v="0"/>
    <x v="0"/>
    <n v="8.7355151667423208"/>
    <n v="3188.4630358609502"/>
    <n v="11478.466929099401"/>
  </r>
  <r>
    <x v="0"/>
    <x v="0"/>
    <x v="0"/>
    <x v="1"/>
    <x v="2"/>
    <s v="EE_Narva"/>
    <x v="2"/>
    <s v="GNR_HS_HEAT_WTR-TANK_LS_E-95_Y-2010"/>
    <x v="0"/>
    <x v="1"/>
    <n v="9.1538993900232608"/>
    <n v="3341.1732773584899"/>
    <n v="12028.223798490601"/>
  </r>
  <r>
    <x v="0"/>
    <x v="0"/>
    <x v="0"/>
    <x v="1"/>
    <x v="2"/>
    <s v="EE_Narva"/>
    <x v="2"/>
    <s v="GNR_HS_HEAT_WTR-TANK_LS_E-95_Y-2010"/>
    <x v="0"/>
    <x v="2"/>
    <n v="9.2846444597985407"/>
    <n v="3388.8952278264701"/>
    <n v="12200.0228201753"/>
  </r>
  <r>
    <x v="0"/>
    <x v="0"/>
    <x v="0"/>
    <x v="1"/>
    <x v="2"/>
    <s v="EE_Narva"/>
    <x v="2"/>
    <s v="GNR_HS_HEAT_WTR-TANK_LS_E-95_Y-2010"/>
    <x v="0"/>
    <x v="3"/>
    <n v="8.8924092504726993"/>
    <n v="3245.7293764225301"/>
    <n v="11684.6257551211"/>
  </r>
  <r>
    <x v="0"/>
    <x v="0"/>
    <x v="0"/>
    <x v="1"/>
    <x v="2"/>
    <s v="EE_Narva"/>
    <x v="2"/>
    <s v="GNR_HS_HEAT_WTR-TANK_LS_E-95_Y-2010"/>
    <x v="0"/>
    <x v="4"/>
    <n v="8.0294917899558396"/>
    <n v="2930.7645033338799"/>
    <n v="10550.752212002"/>
  </r>
  <r>
    <x v="0"/>
    <x v="0"/>
    <x v="0"/>
    <x v="1"/>
    <x v="2"/>
    <s v="EE_Narva"/>
    <x v="2"/>
    <s v="GNR_HS_HEAT_WTR-TANK_LS_E-95_Y-2010"/>
    <x v="0"/>
    <x v="5"/>
    <n v="6.7743391201131198"/>
    <n v="2472.6337788412902"/>
    <n v="8901.4816038286408"/>
  </r>
  <r>
    <x v="0"/>
    <x v="0"/>
    <x v="0"/>
    <x v="1"/>
    <x v="2"/>
    <s v="EE_Narva"/>
    <x v="2"/>
    <s v="GNR_HS_HEAT_WTR-TANK_LS_E-95_Y-2010"/>
    <x v="0"/>
    <x v="6"/>
    <n v="5.1792492688546696"/>
    <n v="1890.42598313195"/>
    <n v="6805.5335392750303"/>
  </r>
  <r>
    <x v="0"/>
    <x v="0"/>
    <x v="0"/>
    <x v="1"/>
    <x v="2"/>
    <s v="EE_Narva"/>
    <x v="2"/>
    <s v="GNR_HS_HEAT_WTR-TANK_LS_E-95_Y-2010"/>
    <x v="0"/>
    <x v="7"/>
    <n v="3.21807322222541"/>
    <n v="1174.5967261122801"/>
    <n v="4228.5482140041904"/>
  </r>
  <r>
    <x v="0"/>
    <x v="0"/>
    <x v="0"/>
    <x v="1"/>
    <x v="2"/>
    <s v="EE_Narva"/>
    <x v="2"/>
    <s v="GNR_HS_HEAT_WTR-TANK_LS_E-95_Y-2010"/>
    <x v="0"/>
    <x v="8"/>
    <n v="1.51838731514672"/>
    <n v="554.21137002855198"/>
    <n v="1995.16093210279"/>
  </r>
  <r>
    <x v="0"/>
    <x v="0"/>
    <x v="0"/>
    <x v="1"/>
    <x v="2"/>
    <s v="EE_Parnu"/>
    <x v="2"/>
    <s v="GNR_HS_HEAT_WTR-TANK_LS_E-95_Y-2010"/>
    <x v="0"/>
    <x v="0"/>
    <n v="487.22027163048301"/>
    <n v="177835.39914512599"/>
    <n v="640207.43692245497"/>
  </r>
  <r>
    <x v="0"/>
    <x v="0"/>
    <x v="0"/>
    <x v="1"/>
    <x v="2"/>
    <s v="EE_Parnu"/>
    <x v="2"/>
    <s v="GNR_HS_HEAT_WTR-TANK_LS_E-95_Y-2010"/>
    <x v="0"/>
    <x v="1"/>
    <n v="487.38704974834201"/>
    <n v="177896.27315814499"/>
    <n v="640426.583369322"/>
  </r>
  <r>
    <x v="0"/>
    <x v="0"/>
    <x v="0"/>
    <x v="1"/>
    <x v="2"/>
    <s v="EE_Parnu"/>
    <x v="2"/>
    <s v="GNR_HS_HEAT_WTR-TANK_LS_E-95_Y-2010"/>
    <x v="0"/>
    <x v="2"/>
    <n v="487.43916791017301"/>
    <n v="177915.29628721299"/>
    <n v="640495.06663396803"/>
  </r>
  <r>
    <x v="0"/>
    <x v="0"/>
    <x v="0"/>
    <x v="1"/>
    <x v="2"/>
    <s v="EE_Parnu"/>
    <x v="2"/>
    <s v="GNR_HS_HEAT_WTR-TANK_LS_E-95_Y-2010"/>
    <x v="0"/>
    <x v="3"/>
    <n v="487.28281342468"/>
    <n v="177858.22690000801"/>
    <n v="640289.61684002995"/>
  </r>
  <r>
    <x v="0"/>
    <x v="0"/>
    <x v="0"/>
    <x v="1"/>
    <x v="2"/>
    <s v="EE_Parnu"/>
    <x v="2"/>
    <s v="GNR_HS_HEAT_WTR-TANK_LS_E-95_Y-2010"/>
    <x v="0"/>
    <x v="4"/>
    <n v="486.93883355659602"/>
    <n v="177732.674248158"/>
    <n v="639837.62729336799"/>
  </r>
  <r>
    <x v="0"/>
    <x v="0"/>
    <x v="0"/>
    <x v="1"/>
    <x v="2"/>
    <s v="EE_Parnu"/>
    <x v="2"/>
    <s v="GNR_HS_HEAT_WTR-TANK_LS_E-95_Y-2010"/>
    <x v="0"/>
    <x v="5"/>
    <n v="486.43849920301898"/>
    <n v="177550.052209102"/>
    <n v="639180.18795276701"/>
  </r>
  <r>
    <x v="0"/>
    <x v="0"/>
    <x v="0"/>
    <x v="1"/>
    <x v="2"/>
    <s v="EE_Parnu"/>
    <x v="2"/>
    <s v="GNR_HS_HEAT_WTR-TANK_LS_E-95_Y-2010"/>
    <x v="0"/>
    <x v="6"/>
    <n v="485.80265762868203"/>
    <n v="177317.97003446901"/>
    <n v="638344.69212408795"/>
  </r>
  <r>
    <x v="0"/>
    <x v="0"/>
    <x v="0"/>
    <x v="1"/>
    <x v="2"/>
    <s v="EE_Parnu"/>
    <x v="2"/>
    <s v="GNR_HS_HEAT_WTR-TANK_LS_E-95_Y-2010"/>
    <x v="0"/>
    <x v="7"/>
    <n v="485.02088520121799"/>
    <n v="177032.62309844501"/>
    <n v="637317.44315439998"/>
  </r>
  <r>
    <x v="0"/>
    <x v="0"/>
    <x v="0"/>
    <x v="1"/>
    <x v="2"/>
    <s v="EE_Parnu"/>
    <x v="2"/>
    <s v="GNR_HS_HEAT_WTR-TANK_LS_E-95_Y-2010"/>
    <x v="0"/>
    <x v="8"/>
    <n v="484.34334909741602"/>
    <n v="176785.322420557"/>
    <n v="636427.16071400396"/>
  </r>
  <r>
    <x v="0"/>
    <x v="0"/>
    <x v="0"/>
    <x v="1"/>
    <x v="2"/>
    <s v="EE_Parnu"/>
    <x v="2"/>
    <s v="GNR_HS_HEAT_WTR-TANK_LS_E-95_Y-2010"/>
    <x v="0"/>
    <x v="9"/>
    <n v="483.72835478781099"/>
    <n v="176560.84949755101"/>
    <n v="635619.05819118302"/>
  </r>
  <r>
    <x v="0"/>
    <x v="0"/>
    <x v="0"/>
    <x v="1"/>
    <x v="2"/>
    <s v="EE_Parnu"/>
    <x v="2"/>
    <s v="GNR_HS_HEAT_WTR-TANK_LS_E-95_Y-2010"/>
    <x v="0"/>
    <x v="10"/>
    <n v="483.17590227240299"/>
    <n v="176359.20432942701"/>
    <n v="634893.13558593695"/>
  </r>
  <r>
    <x v="0"/>
    <x v="0"/>
    <x v="0"/>
    <x v="1"/>
    <x v="2"/>
    <s v="EE_Parnu"/>
    <x v="2"/>
    <s v="GNR_HS_HEAT_WTR-TANK_LS_E-95_Y-2010"/>
    <x v="0"/>
    <x v="11"/>
    <n v="482.71726244829102"/>
    <n v="176191.800793626"/>
    <n v="634290.48285705398"/>
  </r>
  <r>
    <x v="0"/>
    <x v="0"/>
    <x v="0"/>
    <x v="1"/>
    <x v="2"/>
    <s v="EE_Parnu"/>
    <x v="2"/>
    <s v="GNR_HS_HEAT_WTR-TANK_LS_E-95_Y-2010"/>
    <x v="0"/>
    <x v="12"/>
    <n v="482.32116441837502"/>
    <n v="176047.225012707"/>
    <n v="633770.01004574494"/>
  </r>
  <r>
    <x v="0"/>
    <x v="0"/>
    <x v="0"/>
    <x v="1"/>
    <x v="2"/>
    <s v="EE_Parnu"/>
    <x v="2"/>
    <s v="GNR_HS_HEAT_WTR-TANK_LS_E-95_Y-2010"/>
    <x v="0"/>
    <x v="13"/>
    <n v="481.99803181502398"/>
    <n v="175929.28161248399"/>
    <n v="633345.413804941"/>
  </r>
  <r>
    <x v="0"/>
    <x v="0"/>
    <x v="0"/>
    <x v="1"/>
    <x v="2"/>
    <s v="EE_Parnu"/>
    <x v="2"/>
    <s v="GNR_HS_HEAT_WTR-TANK_LS_E-95_Y-2010"/>
    <x v="0"/>
    <x v="14"/>
    <n v="481.799982800066"/>
    <n v="175856.993722024"/>
    <n v="633085.177399287"/>
  </r>
  <r>
    <x v="0"/>
    <x v="0"/>
    <x v="0"/>
    <x v="1"/>
    <x v="2"/>
    <s v="EE_Parnu"/>
    <x v="2"/>
    <s v="GNR_HS_HEAT_WTR-TANK_LS_E-95_Y-2010"/>
    <x v="0"/>
    <x v="15"/>
    <n v="481.65405194693898"/>
    <n v="175803.72896063299"/>
    <n v="632893.42425827798"/>
  </r>
  <r>
    <x v="0"/>
    <x v="0"/>
    <x v="0"/>
    <x v="1"/>
    <x v="2"/>
    <s v="EE_Parnu"/>
    <x v="2"/>
    <s v="GNR_HS_HEAT_WTR-TANK_LS_E-95_Y-2010"/>
    <x v="0"/>
    <x v="16"/>
    <n v="481.528968358545"/>
    <n v="175758.07345086901"/>
    <n v="632729.06442312803"/>
  </r>
  <r>
    <x v="0"/>
    <x v="0"/>
    <x v="0"/>
    <x v="1"/>
    <x v="2"/>
    <s v="EE_Parnu"/>
    <x v="2"/>
    <s v="GNR_HS_HEAT_WTR-TANK_LS_E-95_Y-2010"/>
    <x v="0"/>
    <x v="17"/>
    <n v="481.41430840251701"/>
    <n v="175716.22256691899"/>
    <n v="632578.40124090796"/>
  </r>
  <r>
    <x v="0"/>
    <x v="0"/>
    <x v="0"/>
    <x v="1"/>
    <x v="2"/>
    <s v="EE_Parnu"/>
    <x v="2"/>
    <s v="GNR_HS_HEAT_WTR-TANK_LS_E-95_Y-2010"/>
    <x v="0"/>
    <x v="18"/>
    <n v="481.28922481412297"/>
    <n v="175670.56705715501"/>
    <n v="632414.04140575801"/>
  </r>
  <r>
    <x v="0"/>
    <x v="0"/>
    <x v="0"/>
    <x v="1"/>
    <x v="2"/>
    <s v="EE_Parnu"/>
    <x v="2"/>
    <s v="GNR_HS_HEAT_WTR-TANK_LS_E-95_Y-2010"/>
    <x v="0"/>
    <x v="19"/>
    <n v="481.143293960996"/>
    <n v="175617.30229576401"/>
    <n v="632222.28826474899"/>
  </r>
  <r>
    <x v="0"/>
    <x v="0"/>
    <x v="0"/>
    <x v="1"/>
    <x v="2"/>
    <s v="EE_Parnu"/>
    <x v="2"/>
    <s v="GNR_HS_HEAT_WTR-TANK_LS_E-95_Y-2010"/>
    <x v="0"/>
    <x v="20"/>
    <n v="481.01821037260203"/>
    <n v="175571.646786"/>
    <n v="632057.92842959904"/>
  </r>
  <r>
    <x v="0"/>
    <x v="0"/>
    <x v="0"/>
    <x v="1"/>
    <x v="2"/>
    <s v="EE_Parnu"/>
    <x v="2"/>
    <s v="GNR_HS_HEAT_WTR-TANK_LS_E-95_Y-2010"/>
    <x v="0"/>
    <x v="21"/>
    <n v="480.89312678420799"/>
    <n v="175525.99127623599"/>
    <n v="631893.56859444897"/>
  </r>
  <r>
    <x v="0"/>
    <x v="0"/>
    <x v="0"/>
    <x v="1"/>
    <x v="2"/>
    <s v="EE_Parnu"/>
    <x v="2"/>
    <s v="GNR_HS_HEAT_WTR-TANK_LS_E-95_Y-2010"/>
    <x v="0"/>
    <x v="22"/>
    <n v="480.79931409291203"/>
    <n v="175491.749643913"/>
    <n v="631770.29871808703"/>
  </r>
  <r>
    <x v="0"/>
    <x v="0"/>
    <x v="0"/>
    <x v="1"/>
    <x v="2"/>
    <s v="EE_Parnu"/>
    <x v="2"/>
    <s v="GNR_HS_HEAT_WTR-TANK_LS_E-95_Y-2010"/>
    <x v="0"/>
    <x v="23"/>
    <n v="480.76804319581402"/>
    <n v="175480.33576647201"/>
    <n v="631729.20875929901"/>
  </r>
  <r>
    <x v="0"/>
    <x v="0"/>
    <x v="0"/>
    <x v="1"/>
    <x v="2"/>
    <s v="EE_Parnu"/>
    <x v="10"/>
    <s v="PARNU-1_ST_WOOD_BP"/>
    <x v="0"/>
    <x v="0"/>
    <n v="48.000034909116302"/>
    <n v="17520.012741827399"/>
    <n v="63072.045870578797"/>
  </r>
  <r>
    <x v="0"/>
    <x v="0"/>
    <x v="0"/>
    <x v="1"/>
    <x v="2"/>
    <s v="EE_Parnu"/>
    <x v="10"/>
    <s v="PARNU-1_ST_WOOD_BP"/>
    <x v="0"/>
    <x v="1"/>
    <n v="48.000034909116302"/>
    <n v="17520.012741827399"/>
    <n v="63072.045870578797"/>
  </r>
  <r>
    <x v="0"/>
    <x v="0"/>
    <x v="0"/>
    <x v="1"/>
    <x v="2"/>
    <s v="EE_Parnu"/>
    <x v="10"/>
    <s v="PARNU-1_ST_WOOD_BP"/>
    <x v="0"/>
    <x v="2"/>
    <n v="48.000034909116302"/>
    <n v="17520.012741827399"/>
    <n v="63072.045870578797"/>
  </r>
  <r>
    <x v="0"/>
    <x v="0"/>
    <x v="0"/>
    <x v="1"/>
    <x v="2"/>
    <s v="EE_Parnu"/>
    <x v="10"/>
    <s v="PARNU-1_ST_WOOD_BP"/>
    <x v="0"/>
    <x v="3"/>
    <n v="48.000034909116302"/>
    <n v="17520.012741827399"/>
    <n v="63072.045870578797"/>
  </r>
  <r>
    <x v="0"/>
    <x v="0"/>
    <x v="0"/>
    <x v="1"/>
    <x v="2"/>
    <s v="EE_Parnu"/>
    <x v="10"/>
    <s v="PARNU-1_ST_WOOD_BP"/>
    <x v="0"/>
    <x v="4"/>
    <n v="48.000034909116302"/>
    <n v="17520.012741827399"/>
    <n v="63072.045870578797"/>
  </r>
  <r>
    <x v="0"/>
    <x v="0"/>
    <x v="0"/>
    <x v="1"/>
    <x v="2"/>
    <s v="EE_Parnu"/>
    <x v="10"/>
    <s v="PARNU-1_ST_WOOD_BP"/>
    <x v="0"/>
    <x v="5"/>
    <n v="48.000034909116302"/>
    <n v="17520.012741827399"/>
    <n v="63072.045870578797"/>
  </r>
  <r>
    <x v="0"/>
    <x v="0"/>
    <x v="0"/>
    <x v="1"/>
    <x v="2"/>
    <s v="EE_Parnu"/>
    <x v="10"/>
    <s v="PARNU-1_ST_WOOD_BP"/>
    <x v="0"/>
    <x v="6"/>
    <n v="48.000034909116302"/>
    <n v="17520.012741827399"/>
    <n v="63072.045870578797"/>
  </r>
  <r>
    <x v="0"/>
    <x v="0"/>
    <x v="0"/>
    <x v="1"/>
    <x v="2"/>
    <s v="EE_Parnu"/>
    <x v="10"/>
    <s v="PARNU-1_ST_WOOD_BP"/>
    <x v="0"/>
    <x v="7"/>
    <n v="48.000034909116302"/>
    <n v="17520.012741827399"/>
    <n v="63072.045870578797"/>
  </r>
  <r>
    <x v="0"/>
    <x v="0"/>
    <x v="0"/>
    <x v="1"/>
    <x v="2"/>
    <s v="EE_Parnu"/>
    <x v="10"/>
    <s v="PARNU-1_ST_WOOD_BP"/>
    <x v="0"/>
    <x v="8"/>
    <n v="48.000034909116302"/>
    <n v="17520.012741827399"/>
    <n v="63072.045870578797"/>
  </r>
  <r>
    <x v="0"/>
    <x v="0"/>
    <x v="0"/>
    <x v="1"/>
    <x v="2"/>
    <s v="EE_Parnu"/>
    <x v="10"/>
    <s v="PARNU-1_ST_WOOD_BP"/>
    <x v="0"/>
    <x v="9"/>
    <n v="48.000034909116302"/>
    <n v="17520.012741827399"/>
    <n v="63072.045870578797"/>
  </r>
  <r>
    <x v="0"/>
    <x v="0"/>
    <x v="0"/>
    <x v="1"/>
    <x v="2"/>
    <s v="EE_Parnu"/>
    <x v="10"/>
    <s v="PARNU-1_ST_WOOD_BP"/>
    <x v="0"/>
    <x v="10"/>
    <n v="48.000034909116302"/>
    <n v="17520.012741827399"/>
    <n v="63072.045870578797"/>
  </r>
  <r>
    <x v="0"/>
    <x v="0"/>
    <x v="0"/>
    <x v="1"/>
    <x v="2"/>
    <s v="EE_Parnu"/>
    <x v="10"/>
    <s v="PARNU-1_ST_WOOD_BP"/>
    <x v="0"/>
    <x v="11"/>
    <n v="48.000034909116302"/>
    <n v="17520.012741827399"/>
    <n v="63072.045870578797"/>
  </r>
  <r>
    <x v="0"/>
    <x v="0"/>
    <x v="0"/>
    <x v="1"/>
    <x v="2"/>
    <s v="EE_Parnu"/>
    <x v="10"/>
    <s v="PARNU-1_ST_WOOD_BP"/>
    <x v="0"/>
    <x v="12"/>
    <n v="48.000034909116302"/>
    <n v="17520.012741827399"/>
    <n v="63072.045870578797"/>
  </r>
  <r>
    <x v="0"/>
    <x v="0"/>
    <x v="0"/>
    <x v="1"/>
    <x v="2"/>
    <s v="EE_Parnu"/>
    <x v="10"/>
    <s v="PARNU-1_ST_WOOD_BP"/>
    <x v="0"/>
    <x v="13"/>
    <n v="48.000034909116302"/>
    <n v="17520.012741827399"/>
    <n v="63072.045870578797"/>
  </r>
  <r>
    <x v="0"/>
    <x v="0"/>
    <x v="0"/>
    <x v="1"/>
    <x v="2"/>
    <s v="EE_Parnu"/>
    <x v="10"/>
    <s v="PARNU-1_ST_WOOD_BP"/>
    <x v="0"/>
    <x v="14"/>
    <n v="48.000034909116302"/>
    <n v="17520.012741827399"/>
    <n v="63072.045870578797"/>
  </r>
  <r>
    <x v="0"/>
    <x v="0"/>
    <x v="0"/>
    <x v="1"/>
    <x v="2"/>
    <s v="EE_Parnu"/>
    <x v="10"/>
    <s v="PARNU-1_ST_WOOD_BP"/>
    <x v="0"/>
    <x v="15"/>
    <n v="48.000034909116302"/>
    <n v="17520.012741827399"/>
    <n v="63072.045870578797"/>
  </r>
  <r>
    <x v="0"/>
    <x v="0"/>
    <x v="0"/>
    <x v="1"/>
    <x v="2"/>
    <s v="EE_Parnu"/>
    <x v="10"/>
    <s v="PARNU-1_ST_WOOD_BP"/>
    <x v="0"/>
    <x v="16"/>
    <n v="48.000034909116302"/>
    <n v="17520.012741827399"/>
    <n v="63072.045870578797"/>
  </r>
  <r>
    <x v="0"/>
    <x v="0"/>
    <x v="0"/>
    <x v="1"/>
    <x v="2"/>
    <s v="EE_Parnu"/>
    <x v="10"/>
    <s v="PARNU-1_ST_WOOD_BP"/>
    <x v="0"/>
    <x v="17"/>
    <n v="48.000034909116302"/>
    <n v="17520.012741827399"/>
    <n v="63072.045870578797"/>
  </r>
  <r>
    <x v="0"/>
    <x v="0"/>
    <x v="0"/>
    <x v="1"/>
    <x v="2"/>
    <s v="EE_Parnu"/>
    <x v="10"/>
    <s v="PARNU-1_ST_WOOD_BP"/>
    <x v="0"/>
    <x v="18"/>
    <n v="48.000034909116302"/>
    <n v="17520.012741827399"/>
    <n v="63072.045870578797"/>
  </r>
  <r>
    <x v="0"/>
    <x v="0"/>
    <x v="0"/>
    <x v="1"/>
    <x v="2"/>
    <s v="EE_Parnu"/>
    <x v="10"/>
    <s v="PARNU-1_ST_WOOD_BP"/>
    <x v="0"/>
    <x v="19"/>
    <n v="48.000034909116302"/>
    <n v="17520.012741827399"/>
    <n v="63072.045870578797"/>
  </r>
  <r>
    <x v="0"/>
    <x v="0"/>
    <x v="0"/>
    <x v="1"/>
    <x v="2"/>
    <s v="EE_Parnu"/>
    <x v="10"/>
    <s v="PARNU-1_ST_WOOD_BP"/>
    <x v="0"/>
    <x v="20"/>
    <n v="48.000034909116302"/>
    <n v="17520.012741827399"/>
    <n v="63072.045870578797"/>
  </r>
  <r>
    <x v="0"/>
    <x v="0"/>
    <x v="0"/>
    <x v="1"/>
    <x v="2"/>
    <s v="EE_Parnu"/>
    <x v="10"/>
    <s v="PARNU-1_ST_WOOD_BP"/>
    <x v="0"/>
    <x v="21"/>
    <n v="48.000034909116302"/>
    <n v="17520.012741827399"/>
    <n v="63072.045870578797"/>
  </r>
  <r>
    <x v="0"/>
    <x v="0"/>
    <x v="0"/>
    <x v="1"/>
    <x v="2"/>
    <s v="EE_Parnu"/>
    <x v="10"/>
    <s v="PARNU-1_ST_WOOD_BP"/>
    <x v="0"/>
    <x v="22"/>
    <n v="48.000034909116302"/>
    <n v="17520.012741827399"/>
    <n v="63072.045870578797"/>
  </r>
  <r>
    <x v="0"/>
    <x v="0"/>
    <x v="0"/>
    <x v="1"/>
    <x v="2"/>
    <s v="EE_Parnu"/>
    <x v="10"/>
    <s v="PARNU-1_ST_WOOD_BP"/>
    <x v="0"/>
    <x v="23"/>
    <n v="48.000034909116302"/>
    <n v="17520.012741827399"/>
    <n v="63072.045870578797"/>
  </r>
  <r>
    <x v="0"/>
    <x v="0"/>
    <x v="0"/>
    <x v="1"/>
    <x v="2"/>
    <s v="EE_Rural"/>
    <x v="4"/>
    <s v="GNR_ENG_NGAS_EXT_E-44"/>
    <x v="0"/>
    <x v="0"/>
    <n v="1.3333333333333299"/>
    <n v="486.66666666666703"/>
    <n v="1752"/>
  </r>
  <r>
    <x v="0"/>
    <x v="0"/>
    <x v="0"/>
    <x v="1"/>
    <x v="2"/>
    <s v="EE_Rural"/>
    <x v="4"/>
    <s v="GNR_ENG_NGAS_EXT_E-44"/>
    <x v="0"/>
    <x v="1"/>
    <n v="1.3333333333333299"/>
    <n v="486.66666666666703"/>
    <n v="1752"/>
  </r>
  <r>
    <x v="0"/>
    <x v="0"/>
    <x v="0"/>
    <x v="1"/>
    <x v="2"/>
    <s v="EE_Rural"/>
    <x v="4"/>
    <s v="GNR_ENG_NGAS_EXT_E-44"/>
    <x v="0"/>
    <x v="2"/>
    <n v="1.3333333333333299"/>
    <n v="486.66666666666703"/>
    <n v="1752"/>
  </r>
  <r>
    <x v="0"/>
    <x v="0"/>
    <x v="0"/>
    <x v="1"/>
    <x v="2"/>
    <s v="EE_Rural"/>
    <x v="4"/>
    <s v="GNR_ENG_NGAS_EXT_E-44"/>
    <x v="0"/>
    <x v="3"/>
    <n v="1.3333333333333299"/>
    <n v="486.66666666666703"/>
    <n v="1752"/>
  </r>
  <r>
    <x v="0"/>
    <x v="0"/>
    <x v="0"/>
    <x v="1"/>
    <x v="2"/>
    <s v="EE_Rural"/>
    <x v="4"/>
    <s v="GNR_ENG_NGAS_EXT_E-44"/>
    <x v="0"/>
    <x v="4"/>
    <n v="1.3333333333333299"/>
    <n v="486.66666666666703"/>
    <n v="1752"/>
  </r>
  <r>
    <x v="0"/>
    <x v="0"/>
    <x v="0"/>
    <x v="1"/>
    <x v="2"/>
    <s v="EE_Rural"/>
    <x v="4"/>
    <s v="GNR_ENG_NGAS_EXT_E-44"/>
    <x v="0"/>
    <x v="5"/>
    <n v="1.3333333333333299"/>
    <n v="486.66666666666703"/>
    <n v="1752"/>
  </r>
  <r>
    <x v="0"/>
    <x v="0"/>
    <x v="0"/>
    <x v="1"/>
    <x v="2"/>
    <s v="EE_Rural"/>
    <x v="4"/>
    <s v="GNR_ENG_NGAS_EXT_E-44"/>
    <x v="0"/>
    <x v="6"/>
    <n v="1.3333333333333299"/>
    <n v="486.66666666666703"/>
    <n v="1752"/>
  </r>
  <r>
    <x v="0"/>
    <x v="0"/>
    <x v="0"/>
    <x v="1"/>
    <x v="2"/>
    <s v="EE_Rural"/>
    <x v="4"/>
    <s v="GNR_ENG_NGAS_EXT_E-44"/>
    <x v="0"/>
    <x v="7"/>
    <n v="1.3333333333333299"/>
    <n v="486.66666666666703"/>
    <n v="1752"/>
  </r>
  <r>
    <x v="0"/>
    <x v="0"/>
    <x v="0"/>
    <x v="1"/>
    <x v="2"/>
    <s v="EE_Rural"/>
    <x v="4"/>
    <s v="GNR_ENG_NGAS_EXT_E-44"/>
    <x v="0"/>
    <x v="8"/>
    <n v="1.3333333333333299"/>
    <n v="486.66666666666703"/>
    <n v="1752"/>
  </r>
  <r>
    <x v="0"/>
    <x v="0"/>
    <x v="0"/>
    <x v="1"/>
    <x v="2"/>
    <s v="EE_Rural"/>
    <x v="4"/>
    <s v="GNR_ENG_NGAS_EXT_E-44"/>
    <x v="0"/>
    <x v="9"/>
    <n v="1.3333333333333299"/>
    <n v="486.66666666666703"/>
    <n v="1752"/>
  </r>
  <r>
    <x v="0"/>
    <x v="0"/>
    <x v="0"/>
    <x v="1"/>
    <x v="2"/>
    <s v="EE_Rural"/>
    <x v="4"/>
    <s v="GNR_ENG_NGAS_EXT_E-44"/>
    <x v="0"/>
    <x v="10"/>
    <n v="1.3333333333333299"/>
    <n v="486.66666666666703"/>
    <n v="1752"/>
  </r>
  <r>
    <x v="0"/>
    <x v="0"/>
    <x v="0"/>
    <x v="1"/>
    <x v="2"/>
    <s v="EE_Rural"/>
    <x v="4"/>
    <s v="GNR_ENG_NGAS_EXT_E-44"/>
    <x v="0"/>
    <x v="11"/>
    <n v="1.3333333333333299"/>
    <n v="486.66666666666703"/>
    <n v="1752"/>
  </r>
  <r>
    <x v="0"/>
    <x v="0"/>
    <x v="0"/>
    <x v="1"/>
    <x v="2"/>
    <s v="EE_Rural"/>
    <x v="4"/>
    <s v="GNR_ENG_NGAS_EXT_E-44"/>
    <x v="0"/>
    <x v="12"/>
    <n v="1.3333333333333299"/>
    <n v="486.66666666666703"/>
    <n v="1752"/>
  </r>
  <r>
    <x v="0"/>
    <x v="0"/>
    <x v="0"/>
    <x v="1"/>
    <x v="2"/>
    <s v="EE_Rural"/>
    <x v="4"/>
    <s v="GNR_ENG_NGAS_EXT_E-44"/>
    <x v="0"/>
    <x v="13"/>
    <n v="1.3333333333333299"/>
    <n v="486.66666666666703"/>
    <n v="1752"/>
  </r>
  <r>
    <x v="0"/>
    <x v="0"/>
    <x v="0"/>
    <x v="1"/>
    <x v="2"/>
    <s v="EE_Rural"/>
    <x v="4"/>
    <s v="GNR_ENG_NGAS_EXT_E-44"/>
    <x v="0"/>
    <x v="14"/>
    <n v="1.3333333333333299"/>
    <n v="486.66666666666703"/>
    <n v="1752"/>
  </r>
  <r>
    <x v="0"/>
    <x v="0"/>
    <x v="0"/>
    <x v="1"/>
    <x v="2"/>
    <s v="EE_Rural"/>
    <x v="4"/>
    <s v="GNR_ENG_NGAS_EXT_E-44"/>
    <x v="0"/>
    <x v="15"/>
    <n v="1.3333333333333299"/>
    <n v="486.66666666666703"/>
    <n v="1752"/>
  </r>
  <r>
    <x v="0"/>
    <x v="0"/>
    <x v="0"/>
    <x v="1"/>
    <x v="2"/>
    <s v="EE_Rural"/>
    <x v="4"/>
    <s v="GNR_ENG_NGAS_EXT_E-44"/>
    <x v="0"/>
    <x v="16"/>
    <n v="1.3333333333333299"/>
    <n v="486.66666666666703"/>
    <n v="1752"/>
  </r>
  <r>
    <x v="0"/>
    <x v="0"/>
    <x v="0"/>
    <x v="1"/>
    <x v="2"/>
    <s v="EE_Rural"/>
    <x v="4"/>
    <s v="GNR_ENG_NGAS_EXT_E-44"/>
    <x v="0"/>
    <x v="17"/>
    <n v="1.3333333333333299"/>
    <n v="486.66666666666703"/>
    <n v="1752"/>
  </r>
  <r>
    <x v="0"/>
    <x v="0"/>
    <x v="0"/>
    <x v="1"/>
    <x v="2"/>
    <s v="EE_Rural"/>
    <x v="4"/>
    <s v="GNR_ENG_NGAS_EXT_E-44"/>
    <x v="0"/>
    <x v="18"/>
    <n v="1.3333333333333299"/>
    <n v="486.66666666666703"/>
    <n v="1752"/>
  </r>
  <r>
    <x v="0"/>
    <x v="0"/>
    <x v="0"/>
    <x v="1"/>
    <x v="2"/>
    <s v="EE_Rural"/>
    <x v="4"/>
    <s v="GNR_ENG_NGAS_EXT_E-44"/>
    <x v="0"/>
    <x v="19"/>
    <n v="1.3333333333333299"/>
    <n v="486.66666666666703"/>
    <n v="1752"/>
  </r>
  <r>
    <x v="0"/>
    <x v="0"/>
    <x v="0"/>
    <x v="1"/>
    <x v="2"/>
    <s v="EE_Rural"/>
    <x v="4"/>
    <s v="GNR_ENG_NGAS_EXT_E-44"/>
    <x v="0"/>
    <x v="20"/>
    <n v="1.3333333333333299"/>
    <n v="486.66666666666703"/>
    <n v="1752"/>
  </r>
  <r>
    <x v="0"/>
    <x v="0"/>
    <x v="0"/>
    <x v="1"/>
    <x v="2"/>
    <s v="EE_Rural"/>
    <x v="4"/>
    <s v="GNR_ENG_NGAS_EXT_E-44"/>
    <x v="0"/>
    <x v="21"/>
    <n v="1.3333333333333299"/>
    <n v="486.66666666666703"/>
    <n v="1752"/>
  </r>
  <r>
    <x v="0"/>
    <x v="0"/>
    <x v="0"/>
    <x v="1"/>
    <x v="2"/>
    <s v="EE_Rural"/>
    <x v="4"/>
    <s v="GNR_ENG_NGAS_EXT_E-44"/>
    <x v="0"/>
    <x v="22"/>
    <n v="1.3333333333333299"/>
    <n v="486.66666666666703"/>
    <n v="1752"/>
  </r>
  <r>
    <x v="0"/>
    <x v="0"/>
    <x v="0"/>
    <x v="1"/>
    <x v="2"/>
    <s v="EE_Rural"/>
    <x v="4"/>
    <s v="GNR_ENG_NGAS_EXT_E-44"/>
    <x v="0"/>
    <x v="23"/>
    <n v="1.3333333333333299"/>
    <n v="486.66666666666703"/>
    <n v="1752"/>
  </r>
  <r>
    <x v="0"/>
    <x v="0"/>
    <x v="0"/>
    <x v="1"/>
    <x v="2"/>
    <s v="EE_Rural"/>
    <x v="9"/>
    <s v="EBAVERE_ST_WOODWST_BP"/>
    <x v="0"/>
    <x v="0"/>
    <n v="26.315789473684202"/>
    <n v="9605.2631578947403"/>
    <n v="34578.947368421097"/>
  </r>
  <r>
    <x v="0"/>
    <x v="0"/>
    <x v="0"/>
    <x v="1"/>
    <x v="2"/>
    <s v="EE_Rural"/>
    <x v="9"/>
    <s v="EBAVERE_ST_WOODWST_BP"/>
    <x v="0"/>
    <x v="1"/>
    <n v="26.315789473684202"/>
    <n v="9605.2631578947403"/>
    <n v="34578.947368421097"/>
  </r>
  <r>
    <x v="0"/>
    <x v="0"/>
    <x v="0"/>
    <x v="1"/>
    <x v="2"/>
    <s v="EE_Rural"/>
    <x v="9"/>
    <s v="EBAVERE_ST_WOODWST_BP"/>
    <x v="0"/>
    <x v="2"/>
    <n v="26.315789473684202"/>
    <n v="9605.2631578947403"/>
    <n v="34578.947368421097"/>
  </r>
  <r>
    <x v="0"/>
    <x v="0"/>
    <x v="0"/>
    <x v="1"/>
    <x v="2"/>
    <s v="EE_Rural"/>
    <x v="9"/>
    <s v="EBAVERE_ST_WOODWST_BP"/>
    <x v="0"/>
    <x v="3"/>
    <n v="26.315789473684202"/>
    <n v="9605.2631578947403"/>
    <n v="34578.947368421097"/>
  </r>
  <r>
    <x v="0"/>
    <x v="0"/>
    <x v="0"/>
    <x v="1"/>
    <x v="2"/>
    <s v="EE_Rural"/>
    <x v="9"/>
    <s v="EBAVERE_ST_WOODWST_BP"/>
    <x v="0"/>
    <x v="4"/>
    <n v="26.315789473684202"/>
    <n v="9605.2631578947403"/>
    <n v="34578.947368421097"/>
  </r>
  <r>
    <x v="0"/>
    <x v="0"/>
    <x v="0"/>
    <x v="1"/>
    <x v="2"/>
    <s v="EE_Rural"/>
    <x v="9"/>
    <s v="EBAVERE_ST_WOODWST_BP"/>
    <x v="0"/>
    <x v="5"/>
    <n v="26.315789473684202"/>
    <n v="9605.2631578947403"/>
    <n v="34578.947368421097"/>
  </r>
  <r>
    <x v="0"/>
    <x v="0"/>
    <x v="0"/>
    <x v="1"/>
    <x v="2"/>
    <s v="EE_Rural"/>
    <x v="9"/>
    <s v="EBAVERE_ST_WOODWST_BP"/>
    <x v="0"/>
    <x v="6"/>
    <n v="26.315789473684202"/>
    <n v="9605.2631578947403"/>
    <n v="34578.947368421097"/>
  </r>
  <r>
    <x v="0"/>
    <x v="0"/>
    <x v="0"/>
    <x v="1"/>
    <x v="2"/>
    <s v="EE_Rural"/>
    <x v="9"/>
    <s v="EBAVERE_ST_WOODWST_BP"/>
    <x v="0"/>
    <x v="7"/>
    <n v="26.315789473684202"/>
    <n v="9605.2631578947403"/>
    <n v="34578.947368421097"/>
  </r>
  <r>
    <x v="0"/>
    <x v="0"/>
    <x v="0"/>
    <x v="1"/>
    <x v="2"/>
    <s v="EE_Rural"/>
    <x v="9"/>
    <s v="EBAVERE_ST_WOODWST_BP"/>
    <x v="0"/>
    <x v="8"/>
    <n v="26.315789473684202"/>
    <n v="9605.2631578947403"/>
    <n v="34578.947368421097"/>
  </r>
  <r>
    <x v="0"/>
    <x v="0"/>
    <x v="0"/>
    <x v="1"/>
    <x v="2"/>
    <s v="EE_Rural"/>
    <x v="9"/>
    <s v="EBAVERE_ST_WOODWST_BP"/>
    <x v="0"/>
    <x v="9"/>
    <n v="26.315789473684202"/>
    <n v="9605.2631578947403"/>
    <n v="34578.947368421097"/>
  </r>
  <r>
    <x v="0"/>
    <x v="0"/>
    <x v="0"/>
    <x v="1"/>
    <x v="2"/>
    <s v="EE_Rural"/>
    <x v="9"/>
    <s v="EBAVERE_ST_WOODWST_BP"/>
    <x v="0"/>
    <x v="10"/>
    <n v="26.315789473684202"/>
    <n v="9605.2631578947403"/>
    <n v="34578.947368421097"/>
  </r>
  <r>
    <x v="0"/>
    <x v="0"/>
    <x v="0"/>
    <x v="1"/>
    <x v="2"/>
    <s v="EE_Rural"/>
    <x v="9"/>
    <s v="EBAVERE_ST_WOODWST_BP"/>
    <x v="0"/>
    <x v="11"/>
    <n v="26.315789473684202"/>
    <n v="9605.2631578947403"/>
    <n v="34578.947368421097"/>
  </r>
  <r>
    <x v="0"/>
    <x v="0"/>
    <x v="0"/>
    <x v="1"/>
    <x v="2"/>
    <s v="EE_Rural"/>
    <x v="9"/>
    <s v="EBAVERE_ST_WOODWST_BP"/>
    <x v="0"/>
    <x v="12"/>
    <n v="26.315789473684202"/>
    <n v="9605.2631578947403"/>
    <n v="34578.947368421097"/>
  </r>
  <r>
    <x v="0"/>
    <x v="0"/>
    <x v="0"/>
    <x v="1"/>
    <x v="2"/>
    <s v="EE_Rural"/>
    <x v="9"/>
    <s v="EBAVERE_ST_WOODWST_BP"/>
    <x v="0"/>
    <x v="13"/>
    <n v="26.315789473684202"/>
    <n v="9605.2631578947403"/>
    <n v="34578.947368421097"/>
  </r>
  <r>
    <x v="0"/>
    <x v="0"/>
    <x v="0"/>
    <x v="1"/>
    <x v="2"/>
    <s v="EE_Rural"/>
    <x v="9"/>
    <s v="EBAVERE_ST_WOODWST_BP"/>
    <x v="0"/>
    <x v="14"/>
    <n v="26.315789473684202"/>
    <n v="9605.2631578947403"/>
    <n v="34578.947368421097"/>
  </r>
  <r>
    <x v="0"/>
    <x v="0"/>
    <x v="0"/>
    <x v="1"/>
    <x v="2"/>
    <s v="EE_Rural"/>
    <x v="9"/>
    <s v="EBAVERE_ST_WOODWST_BP"/>
    <x v="0"/>
    <x v="15"/>
    <n v="26.315789473684202"/>
    <n v="9605.2631578947403"/>
    <n v="34578.947368421097"/>
  </r>
  <r>
    <x v="0"/>
    <x v="0"/>
    <x v="0"/>
    <x v="1"/>
    <x v="2"/>
    <s v="EE_Rural"/>
    <x v="9"/>
    <s v="EBAVERE_ST_WOODWST_BP"/>
    <x v="0"/>
    <x v="16"/>
    <n v="26.315789473684202"/>
    <n v="9605.2631578947403"/>
    <n v="34578.947368421097"/>
  </r>
  <r>
    <x v="0"/>
    <x v="0"/>
    <x v="0"/>
    <x v="1"/>
    <x v="2"/>
    <s v="EE_Rural"/>
    <x v="9"/>
    <s v="EBAVERE_ST_WOODWST_BP"/>
    <x v="0"/>
    <x v="17"/>
    <n v="26.315789473684202"/>
    <n v="9605.2631578947403"/>
    <n v="34578.947368421097"/>
  </r>
  <r>
    <x v="0"/>
    <x v="0"/>
    <x v="0"/>
    <x v="1"/>
    <x v="2"/>
    <s v="EE_Rural"/>
    <x v="9"/>
    <s v="EBAVERE_ST_WOODWST_BP"/>
    <x v="0"/>
    <x v="18"/>
    <n v="26.315789473684202"/>
    <n v="9605.2631578947403"/>
    <n v="34578.947368421097"/>
  </r>
  <r>
    <x v="0"/>
    <x v="0"/>
    <x v="0"/>
    <x v="1"/>
    <x v="2"/>
    <s v="EE_Rural"/>
    <x v="9"/>
    <s v="EBAVERE_ST_WOODWST_BP"/>
    <x v="0"/>
    <x v="19"/>
    <n v="26.315789473684202"/>
    <n v="9605.2631578947403"/>
    <n v="34578.947368421097"/>
  </r>
  <r>
    <x v="0"/>
    <x v="0"/>
    <x v="0"/>
    <x v="1"/>
    <x v="2"/>
    <s v="EE_Rural"/>
    <x v="9"/>
    <s v="EBAVERE_ST_WOODWST_BP"/>
    <x v="0"/>
    <x v="20"/>
    <n v="26.315789473684202"/>
    <n v="9605.2631578947403"/>
    <n v="34578.947368421097"/>
  </r>
  <r>
    <x v="0"/>
    <x v="0"/>
    <x v="0"/>
    <x v="1"/>
    <x v="2"/>
    <s v="EE_Rural"/>
    <x v="9"/>
    <s v="EBAVERE_ST_WOODWST_BP"/>
    <x v="0"/>
    <x v="21"/>
    <n v="26.315789473684202"/>
    <n v="9605.2631578947403"/>
    <n v="34578.947368421097"/>
  </r>
  <r>
    <x v="0"/>
    <x v="0"/>
    <x v="0"/>
    <x v="1"/>
    <x v="2"/>
    <s v="EE_Rural"/>
    <x v="9"/>
    <s v="EBAVERE_ST_WOODWST_BP"/>
    <x v="0"/>
    <x v="22"/>
    <n v="26.315789473684202"/>
    <n v="9605.2631578947403"/>
    <n v="34578.947368421097"/>
  </r>
  <r>
    <x v="0"/>
    <x v="0"/>
    <x v="0"/>
    <x v="1"/>
    <x v="2"/>
    <s v="EE_Rural"/>
    <x v="9"/>
    <s v="EBAVERE_ST_WOODWST_BP"/>
    <x v="0"/>
    <x v="23"/>
    <n v="26.315789473684202"/>
    <n v="9605.2631578947403"/>
    <n v="34578.947368421097"/>
  </r>
  <r>
    <x v="0"/>
    <x v="0"/>
    <x v="0"/>
    <x v="1"/>
    <x v="2"/>
    <s v="EE_Sillamae"/>
    <x v="4"/>
    <s v="GNR_ENG_NGAS_EXT_E-44"/>
    <x v="0"/>
    <x v="0"/>
    <n v="11.1111111111111"/>
    <n v="4055.5555555555602"/>
    <n v="14600"/>
  </r>
  <r>
    <x v="0"/>
    <x v="0"/>
    <x v="0"/>
    <x v="1"/>
    <x v="2"/>
    <s v="EE_Sillamae"/>
    <x v="4"/>
    <s v="GNR_ENG_NGAS_EXT_E-44"/>
    <x v="0"/>
    <x v="1"/>
    <n v="11.1111111111111"/>
    <n v="4055.5555555555602"/>
    <n v="14600"/>
  </r>
  <r>
    <x v="0"/>
    <x v="0"/>
    <x v="0"/>
    <x v="1"/>
    <x v="2"/>
    <s v="EE_Sillamae"/>
    <x v="4"/>
    <s v="GNR_ENG_NGAS_EXT_E-44"/>
    <x v="0"/>
    <x v="2"/>
    <n v="11.1111111111111"/>
    <n v="4055.5555555555602"/>
    <n v="14600"/>
  </r>
  <r>
    <x v="0"/>
    <x v="0"/>
    <x v="0"/>
    <x v="1"/>
    <x v="2"/>
    <s v="EE_Sillamae"/>
    <x v="4"/>
    <s v="GNR_ENG_NGAS_EXT_E-44"/>
    <x v="0"/>
    <x v="3"/>
    <n v="11.1111111111111"/>
    <n v="4055.5555555555602"/>
    <n v="14600"/>
  </r>
  <r>
    <x v="0"/>
    <x v="0"/>
    <x v="0"/>
    <x v="1"/>
    <x v="2"/>
    <s v="EE_Sillamae"/>
    <x v="4"/>
    <s v="GNR_ENG_NGAS_EXT_E-44"/>
    <x v="0"/>
    <x v="4"/>
    <n v="11.1111111111111"/>
    <n v="4055.5555555555602"/>
    <n v="14600"/>
  </r>
  <r>
    <x v="0"/>
    <x v="0"/>
    <x v="0"/>
    <x v="1"/>
    <x v="2"/>
    <s v="EE_Sillamae"/>
    <x v="4"/>
    <s v="GNR_ENG_NGAS_EXT_E-44"/>
    <x v="0"/>
    <x v="5"/>
    <n v="11.1111111111111"/>
    <n v="4055.5555555555602"/>
    <n v="14600"/>
  </r>
  <r>
    <x v="0"/>
    <x v="0"/>
    <x v="0"/>
    <x v="1"/>
    <x v="2"/>
    <s v="EE_Sillamae"/>
    <x v="4"/>
    <s v="GNR_ENG_NGAS_EXT_E-44"/>
    <x v="0"/>
    <x v="6"/>
    <n v="11.1111111111111"/>
    <n v="4055.5555555555602"/>
    <n v="14600"/>
  </r>
  <r>
    <x v="0"/>
    <x v="0"/>
    <x v="0"/>
    <x v="1"/>
    <x v="2"/>
    <s v="EE_Sillamae"/>
    <x v="4"/>
    <s v="GNR_ENG_NGAS_EXT_E-44"/>
    <x v="0"/>
    <x v="7"/>
    <n v="11.1111111111111"/>
    <n v="4055.5555555555602"/>
    <n v="14600"/>
  </r>
  <r>
    <x v="0"/>
    <x v="0"/>
    <x v="0"/>
    <x v="1"/>
    <x v="2"/>
    <s v="EE_Sillamae"/>
    <x v="4"/>
    <s v="GNR_ENG_NGAS_EXT_E-44"/>
    <x v="0"/>
    <x v="8"/>
    <n v="11.1111111111111"/>
    <n v="4055.5555555555602"/>
    <n v="14600"/>
  </r>
  <r>
    <x v="0"/>
    <x v="0"/>
    <x v="0"/>
    <x v="1"/>
    <x v="2"/>
    <s v="EE_Sillamae"/>
    <x v="4"/>
    <s v="GNR_ENG_NGAS_EXT_E-44"/>
    <x v="0"/>
    <x v="9"/>
    <n v="11.1111111111111"/>
    <n v="4055.5555555555602"/>
    <n v="14600"/>
  </r>
  <r>
    <x v="0"/>
    <x v="0"/>
    <x v="0"/>
    <x v="1"/>
    <x v="2"/>
    <s v="EE_Sillamae"/>
    <x v="4"/>
    <s v="GNR_ENG_NGAS_EXT_E-44"/>
    <x v="0"/>
    <x v="10"/>
    <n v="11.1111111111111"/>
    <n v="4055.5555555555602"/>
    <n v="14600"/>
  </r>
  <r>
    <x v="0"/>
    <x v="0"/>
    <x v="0"/>
    <x v="1"/>
    <x v="2"/>
    <s v="EE_Sillamae"/>
    <x v="4"/>
    <s v="GNR_ENG_NGAS_EXT_E-44"/>
    <x v="0"/>
    <x v="11"/>
    <n v="11.1111111111111"/>
    <n v="4055.5555555555602"/>
    <n v="14600"/>
  </r>
  <r>
    <x v="0"/>
    <x v="0"/>
    <x v="0"/>
    <x v="1"/>
    <x v="2"/>
    <s v="EE_Sillamae"/>
    <x v="4"/>
    <s v="GNR_ENG_NGAS_EXT_E-44"/>
    <x v="0"/>
    <x v="12"/>
    <n v="11.1111111111111"/>
    <n v="4055.5555555555602"/>
    <n v="14600"/>
  </r>
  <r>
    <x v="0"/>
    <x v="0"/>
    <x v="0"/>
    <x v="1"/>
    <x v="2"/>
    <s v="EE_Sillamae"/>
    <x v="4"/>
    <s v="GNR_ENG_NGAS_EXT_E-44"/>
    <x v="0"/>
    <x v="13"/>
    <n v="11.1111111111111"/>
    <n v="4055.5555555555602"/>
    <n v="14600"/>
  </r>
  <r>
    <x v="0"/>
    <x v="0"/>
    <x v="0"/>
    <x v="1"/>
    <x v="2"/>
    <s v="EE_Sillamae"/>
    <x v="4"/>
    <s v="GNR_ENG_NGAS_EXT_E-44"/>
    <x v="0"/>
    <x v="14"/>
    <n v="11.1111111111111"/>
    <n v="4055.5555555555602"/>
    <n v="14600"/>
  </r>
  <r>
    <x v="0"/>
    <x v="0"/>
    <x v="0"/>
    <x v="1"/>
    <x v="2"/>
    <s v="EE_Sillamae"/>
    <x v="4"/>
    <s v="GNR_ENG_NGAS_EXT_E-44"/>
    <x v="0"/>
    <x v="15"/>
    <n v="11.1111111111111"/>
    <n v="4055.5555555555602"/>
    <n v="14600"/>
  </r>
  <r>
    <x v="0"/>
    <x v="0"/>
    <x v="0"/>
    <x v="1"/>
    <x v="2"/>
    <s v="EE_Sillamae"/>
    <x v="4"/>
    <s v="GNR_ENG_NGAS_EXT_E-44"/>
    <x v="0"/>
    <x v="16"/>
    <n v="11.1111111111111"/>
    <n v="4055.5555555555602"/>
    <n v="14600"/>
  </r>
  <r>
    <x v="0"/>
    <x v="0"/>
    <x v="0"/>
    <x v="1"/>
    <x v="2"/>
    <s v="EE_Sillamae"/>
    <x v="4"/>
    <s v="GNR_ENG_NGAS_EXT_E-44"/>
    <x v="0"/>
    <x v="17"/>
    <n v="11.1111111111111"/>
    <n v="4055.5555555555602"/>
    <n v="14600"/>
  </r>
  <r>
    <x v="0"/>
    <x v="0"/>
    <x v="0"/>
    <x v="1"/>
    <x v="2"/>
    <s v="EE_Sillamae"/>
    <x v="4"/>
    <s v="GNR_ENG_NGAS_EXT_E-44"/>
    <x v="0"/>
    <x v="18"/>
    <n v="11.1111111111111"/>
    <n v="4055.5555555555602"/>
    <n v="14600"/>
  </r>
  <r>
    <x v="0"/>
    <x v="0"/>
    <x v="0"/>
    <x v="1"/>
    <x v="2"/>
    <s v="EE_Sillamae"/>
    <x v="4"/>
    <s v="GNR_ENG_NGAS_EXT_E-44"/>
    <x v="0"/>
    <x v="19"/>
    <n v="11.1111111111111"/>
    <n v="4055.5555555555602"/>
    <n v="14600"/>
  </r>
  <r>
    <x v="0"/>
    <x v="0"/>
    <x v="0"/>
    <x v="1"/>
    <x v="2"/>
    <s v="EE_Sillamae"/>
    <x v="4"/>
    <s v="GNR_ENG_NGAS_EXT_E-44"/>
    <x v="0"/>
    <x v="20"/>
    <n v="11.1111111111111"/>
    <n v="4055.5555555555602"/>
    <n v="14600"/>
  </r>
  <r>
    <x v="0"/>
    <x v="0"/>
    <x v="0"/>
    <x v="1"/>
    <x v="2"/>
    <s v="EE_Sillamae"/>
    <x v="4"/>
    <s v="GNR_ENG_NGAS_EXT_E-44"/>
    <x v="0"/>
    <x v="21"/>
    <n v="11.1111111111111"/>
    <n v="4055.5555555555602"/>
    <n v="14600"/>
  </r>
  <r>
    <x v="0"/>
    <x v="0"/>
    <x v="0"/>
    <x v="1"/>
    <x v="2"/>
    <s v="EE_Sillamae"/>
    <x v="4"/>
    <s v="GNR_ENG_NGAS_EXT_E-44"/>
    <x v="0"/>
    <x v="22"/>
    <n v="11.1111111111111"/>
    <n v="4055.5555555555602"/>
    <n v="14600"/>
  </r>
  <r>
    <x v="0"/>
    <x v="0"/>
    <x v="0"/>
    <x v="1"/>
    <x v="2"/>
    <s v="EE_Sillamae"/>
    <x v="4"/>
    <s v="GNR_ENG_NGAS_EXT_E-44"/>
    <x v="0"/>
    <x v="23"/>
    <n v="11.1111111111111"/>
    <n v="4055.5555555555602"/>
    <n v="14600"/>
  </r>
  <r>
    <x v="0"/>
    <x v="0"/>
    <x v="0"/>
    <x v="1"/>
    <x v="2"/>
    <s v="EE_Sillamae"/>
    <x v="10"/>
    <s v="SILLAMAE_ST_WOOD_BP"/>
    <x v="0"/>
    <x v="0"/>
    <n v="50"/>
    <n v="18250"/>
    <n v="65700"/>
  </r>
  <r>
    <x v="0"/>
    <x v="0"/>
    <x v="0"/>
    <x v="1"/>
    <x v="2"/>
    <s v="EE_Sillamae"/>
    <x v="10"/>
    <s v="SILLAMAE_ST_WOOD_BP"/>
    <x v="0"/>
    <x v="1"/>
    <n v="50"/>
    <n v="18250"/>
    <n v="65700"/>
  </r>
  <r>
    <x v="0"/>
    <x v="0"/>
    <x v="0"/>
    <x v="1"/>
    <x v="2"/>
    <s v="EE_Sillamae"/>
    <x v="10"/>
    <s v="SILLAMAE_ST_WOOD_BP"/>
    <x v="0"/>
    <x v="2"/>
    <n v="50"/>
    <n v="18250"/>
    <n v="65700"/>
  </r>
  <r>
    <x v="0"/>
    <x v="0"/>
    <x v="0"/>
    <x v="1"/>
    <x v="2"/>
    <s v="EE_Sillamae"/>
    <x v="10"/>
    <s v="SILLAMAE_ST_WOOD_BP"/>
    <x v="0"/>
    <x v="3"/>
    <n v="50"/>
    <n v="18250"/>
    <n v="65700"/>
  </r>
  <r>
    <x v="0"/>
    <x v="0"/>
    <x v="0"/>
    <x v="1"/>
    <x v="2"/>
    <s v="EE_Sillamae"/>
    <x v="10"/>
    <s v="SILLAMAE_ST_WOOD_BP"/>
    <x v="0"/>
    <x v="4"/>
    <n v="50"/>
    <n v="18250"/>
    <n v="65700"/>
  </r>
  <r>
    <x v="0"/>
    <x v="0"/>
    <x v="0"/>
    <x v="1"/>
    <x v="2"/>
    <s v="EE_Sillamae"/>
    <x v="10"/>
    <s v="SILLAMAE_ST_WOOD_BP"/>
    <x v="0"/>
    <x v="5"/>
    <n v="50"/>
    <n v="18250"/>
    <n v="65700"/>
  </r>
  <r>
    <x v="0"/>
    <x v="0"/>
    <x v="0"/>
    <x v="1"/>
    <x v="2"/>
    <s v="EE_Sillamae"/>
    <x v="10"/>
    <s v="SILLAMAE_ST_WOOD_BP"/>
    <x v="0"/>
    <x v="6"/>
    <n v="50"/>
    <n v="18250"/>
    <n v="65700"/>
  </r>
  <r>
    <x v="0"/>
    <x v="0"/>
    <x v="0"/>
    <x v="1"/>
    <x v="2"/>
    <s v="EE_Sillamae"/>
    <x v="10"/>
    <s v="SILLAMAE_ST_WOOD_BP"/>
    <x v="0"/>
    <x v="7"/>
    <n v="50"/>
    <n v="18250"/>
    <n v="65700"/>
  </r>
  <r>
    <x v="0"/>
    <x v="0"/>
    <x v="0"/>
    <x v="1"/>
    <x v="2"/>
    <s v="EE_Sillamae"/>
    <x v="10"/>
    <s v="SILLAMAE_ST_WOOD_BP"/>
    <x v="0"/>
    <x v="8"/>
    <n v="50"/>
    <n v="18250"/>
    <n v="65700"/>
  </r>
  <r>
    <x v="0"/>
    <x v="0"/>
    <x v="0"/>
    <x v="1"/>
    <x v="2"/>
    <s v="EE_Sillamae"/>
    <x v="10"/>
    <s v="SILLAMAE_ST_WOOD_BP"/>
    <x v="0"/>
    <x v="9"/>
    <n v="50"/>
    <n v="18250"/>
    <n v="65700"/>
  </r>
  <r>
    <x v="0"/>
    <x v="0"/>
    <x v="0"/>
    <x v="1"/>
    <x v="2"/>
    <s v="EE_Sillamae"/>
    <x v="10"/>
    <s v="SILLAMAE_ST_WOOD_BP"/>
    <x v="0"/>
    <x v="10"/>
    <n v="50"/>
    <n v="18250"/>
    <n v="65700"/>
  </r>
  <r>
    <x v="0"/>
    <x v="0"/>
    <x v="0"/>
    <x v="1"/>
    <x v="2"/>
    <s v="EE_Sillamae"/>
    <x v="10"/>
    <s v="SILLAMAE_ST_WOOD_BP"/>
    <x v="0"/>
    <x v="11"/>
    <n v="50"/>
    <n v="18250"/>
    <n v="65700"/>
  </r>
  <r>
    <x v="0"/>
    <x v="0"/>
    <x v="0"/>
    <x v="1"/>
    <x v="2"/>
    <s v="EE_Sillamae"/>
    <x v="10"/>
    <s v="SILLAMAE_ST_WOOD_BP"/>
    <x v="0"/>
    <x v="12"/>
    <n v="50"/>
    <n v="18250"/>
    <n v="65700"/>
  </r>
  <r>
    <x v="0"/>
    <x v="0"/>
    <x v="0"/>
    <x v="1"/>
    <x v="2"/>
    <s v="EE_Sillamae"/>
    <x v="10"/>
    <s v="SILLAMAE_ST_WOOD_BP"/>
    <x v="0"/>
    <x v="13"/>
    <n v="50"/>
    <n v="18250"/>
    <n v="65700"/>
  </r>
  <r>
    <x v="0"/>
    <x v="0"/>
    <x v="0"/>
    <x v="1"/>
    <x v="2"/>
    <s v="EE_Sillamae"/>
    <x v="10"/>
    <s v="SILLAMAE_ST_WOOD_BP"/>
    <x v="0"/>
    <x v="14"/>
    <n v="50"/>
    <n v="18250"/>
    <n v="65700"/>
  </r>
  <r>
    <x v="0"/>
    <x v="0"/>
    <x v="0"/>
    <x v="1"/>
    <x v="2"/>
    <s v="EE_Sillamae"/>
    <x v="10"/>
    <s v="SILLAMAE_ST_WOOD_BP"/>
    <x v="0"/>
    <x v="15"/>
    <n v="50"/>
    <n v="18250"/>
    <n v="65700"/>
  </r>
  <r>
    <x v="0"/>
    <x v="0"/>
    <x v="0"/>
    <x v="1"/>
    <x v="2"/>
    <s v="EE_Sillamae"/>
    <x v="10"/>
    <s v="SILLAMAE_ST_WOOD_BP"/>
    <x v="0"/>
    <x v="16"/>
    <n v="50"/>
    <n v="18250"/>
    <n v="65700"/>
  </r>
  <r>
    <x v="0"/>
    <x v="0"/>
    <x v="0"/>
    <x v="1"/>
    <x v="2"/>
    <s v="EE_Sillamae"/>
    <x v="10"/>
    <s v="SILLAMAE_ST_WOOD_BP"/>
    <x v="0"/>
    <x v="17"/>
    <n v="50"/>
    <n v="18250"/>
    <n v="65700"/>
  </r>
  <r>
    <x v="0"/>
    <x v="0"/>
    <x v="0"/>
    <x v="1"/>
    <x v="2"/>
    <s v="EE_Sillamae"/>
    <x v="10"/>
    <s v="SILLAMAE_ST_WOOD_BP"/>
    <x v="0"/>
    <x v="18"/>
    <n v="50"/>
    <n v="18250"/>
    <n v="65700"/>
  </r>
  <r>
    <x v="0"/>
    <x v="0"/>
    <x v="0"/>
    <x v="1"/>
    <x v="2"/>
    <s v="EE_Sillamae"/>
    <x v="10"/>
    <s v="SILLAMAE_ST_WOOD_BP"/>
    <x v="0"/>
    <x v="19"/>
    <n v="50"/>
    <n v="18250"/>
    <n v="65700"/>
  </r>
  <r>
    <x v="0"/>
    <x v="0"/>
    <x v="0"/>
    <x v="1"/>
    <x v="2"/>
    <s v="EE_Sillamae"/>
    <x v="10"/>
    <s v="SILLAMAE_ST_WOOD_BP"/>
    <x v="0"/>
    <x v="20"/>
    <n v="50"/>
    <n v="18250"/>
    <n v="65700"/>
  </r>
  <r>
    <x v="0"/>
    <x v="0"/>
    <x v="0"/>
    <x v="1"/>
    <x v="2"/>
    <s v="EE_Sillamae"/>
    <x v="10"/>
    <s v="SILLAMAE_ST_WOOD_BP"/>
    <x v="0"/>
    <x v="21"/>
    <n v="50"/>
    <n v="18250"/>
    <n v="65700"/>
  </r>
  <r>
    <x v="0"/>
    <x v="0"/>
    <x v="0"/>
    <x v="1"/>
    <x v="2"/>
    <s v="EE_Sillamae"/>
    <x v="10"/>
    <s v="SILLAMAE_ST_WOOD_BP"/>
    <x v="0"/>
    <x v="22"/>
    <n v="50"/>
    <n v="18250"/>
    <n v="65700"/>
  </r>
  <r>
    <x v="0"/>
    <x v="0"/>
    <x v="0"/>
    <x v="1"/>
    <x v="2"/>
    <s v="EE_Sillamae"/>
    <x v="10"/>
    <s v="SILLAMAE_ST_WOOD_BP"/>
    <x v="0"/>
    <x v="23"/>
    <n v="50"/>
    <n v="18250"/>
    <n v="65700"/>
  </r>
  <r>
    <x v="0"/>
    <x v="0"/>
    <x v="0"/>
    <x v="1"/>
    <x v="2"/>
    <s v="EE_Tallinn"/>
    <x v="3"/>
    <s v="IRU_ST_MSW_BP"/>
    <x v="0"/>
    <x v="0"/>
    <n v="34"/>
    <n v="12410"/>
    <n v="44676"/>
  </r>
  <r>
    <x v="0"/>
    <x v="0"/>
    <x v="0"/>
    <x v="1"/>
    <x v="2"/>
    <s v="EE_Tallinn"/>
    <x v="3"/>
    <s v="IRU_ST_MSW_BP"/>
    <x v="0"/>
    <x v="1"/>
    <n v="34"/>
    <n v="12410"/>
    <n v="44676"/>
  </r>
  <r>
    <x v="0"/>
    <x v="0"/>
    <x v="0"/>
    <x v="1"/>
    <x v="2"/>
    <s v="EE_Tallinn"/>
    <x v="3"/>
    <s v="IRU_ST_MSW_BP"/>
    <x v="0"/>
    <x v="2"/>
    <n v="34"/>
    <n v="12410"/>
    <n v="44676"/>
  </r>
  <r>
    <x v="0"/>
    <x v="0"/>
    <x v="0"/>
    <x v="1"/>
    <x v="2"/>
    <s v="EE_Tallinn"/>
    <x v="3"/>
    <s v="IRU_ST_MSW_BP"/>
    <x v="0"/>
    <x v="3"/>
    <n v="34"/>
    <n v="12410"/>
    <n v="44676"/>
  </r>
  <r>
    <x v="0"/>
    <x v="0"/>
    <x v="0"/>
    <x v="1"/>
    <x v="2"/>
    <s v="EE_Tallinn"/>
    <x v="3"/>
    <s v="IRU_ST_MSW_BP"/>
    <x v="0"/>
    <x v="4"/>
    <n v="34"/>
    <n v="12410"/>
    <n v="44676"/>
  </r>
  <r>
    <x v="0"/>
    <x v="0"/>
    <x v="0"/>
    <x v="1"/>
    <x v="2"/>
    <s v="EE_Tallinn"/>
    <x v="3"/>
    <s v="IRU_ST_MSW_BP"/>
    <x v="0"/>
    <x v="5"/>
    <n v="34"/>
    <n v="12410"/>
    <n v="44676"/>
  </r>
  <r>
    <x v="0"/>
    <x v="0"/>
    <x v="0"/>
    <x v="1"/>
    <x v="2"/>
    <s v="EE_Tallinn"/>
    <x v="3"/>
    <s v="IRU_ST_MSW_BP"/>
    <x v="0"/>
    <x v="6"/>
    <n v="34"/>
    <n v="12410"/>
    <n v="44676"/>
  </r>
  <r>
    <x v="0"/>
    <x v="0"/>
    <x v="0"/>
    <x v="1"/>
    <x v="2"/>
    <s v="EE_Tallinn"/>
    <x v="3"/>
    <s v="IRU_ST_MSW_BP"/>
    <x v="0"/>
    <x v="7"/>
    <n v="34"/>
    <n v="12410"/>
    <n v="44676"/>
  </r>
  <r>
    <x v="0"/>
    <x v="0"/>
    <x v="0"/>
    <x v="1"/>
    <x v="2"/>
    <s v="EE_Tallinn"/>
    <x v="3"/>
    <s v="IRU_ST_MSW_BP"/>
    <x v="0"/>
    <x v="8"/>
    <n v="34"/>
    <n v="12410"/>
    <n v="44676"/>
  </r>
  <r>
    <x v="0"/>
    <x v="0"/>
    <x v="0"/>
    <x v="1"/>
    <x v="2"/>
    <s v="EE_Tallinn"/>
    <x v="3"/>
    <s v="IRU_ST_MSW_BP"/>
    <x v="0"/>
    <x v="9"/>
    <n v="34"/>
    <n v="12410"/>
    <n v="44676"/>
  </r>
  <r>
    <x v="0"/>
    <x v="0"/>
    <x v="0"/>
    <x v="1"/>
    <x v="2"/>
    <s v="EE_Tallinn"/>
    <x v="3"/>
    <s v="IRU_ST_MSW_BP"/>
    <x v="0"/>
    <x v="10"/>
    <n v="34"/>
    <n v="12410"/>
    <n v="44676"/>
  </r>
  <r>
    <x v="0"/>
    <x v="0"/>
    <x v="0"/>
    <x v="1"/>
    <x v="2"/>
    <s v="EE_Tallinn"/>
    <x v="3"/>
    <s v="IRU_ST_MSW_BP"/>
    <x v="0"/>
    <x v="11"/>
    <n v="34"/>
    <n v="12410"/>
    <n v="44676"/>
  </r>
  <r>
    <x v="0"/>
    <x v="0"/>
    <x v="0"/>
    <x v="1"/>
    <x v="2"/>
    <s v="EE_Tallinn"/>
    <x v="3"/>
    <s v="IRU_ST_MSW_BP"/>
    <x v="0"/>
    <x v="12"/>
    <n v="34"/>
    <n v="12410"/>
    <n v="44676"/>
  </r>
  <r>
    <x v="0"/>
    <x v="0"/>
    <x v="0"/>
    <x v="1"/>
    <x v="2"/>
    <s v="EE_Tallinn"/>
    <x v="3"/>
    <s v="IRU_ST_MSW_BP"/>
    <x v="0"/>
    <x v="13"/>
    <n v="34"/>
    <n v="12410"/>
    <n v="44676"/>
  </r>
  <r>
    <x v="0"/>
    <x v="0"/>
    <x v="0"/>
    <x v="1"/>
    <x v="2"/>
    <s v="EE_Tallinn"/>
    <x v="3"/>
    <s v="IRU_ST_MSW_BP"/>
    <x v="0"/>
    <x v="14"/>
    <n v="34"/>
    <n v="12410"/>
    <n v="44676"/>
  </r>
  <r>
    <x v="0"/>
    <x v="0"/>
    <x v="0"/>
    <x v="1"/>
    <x v="2"/>
    <s v="EE_Tallinn"/>
    <x v="3"/>
    <s v="IRU_ST_MSW_BP"/>
    <x v="0"/>
    <x v="15"/>
    <n v="34"/>
    <n v="12410"/>
    <n v="44676"/>
  </r>
  <r>
    <x v="0"/>
    <x v="0"/>
    <x v="0"/>
    <x v="1"/>
    <x v="2"/>
    <s v="EE_Tallinn"/>
    <x v="3"/>
    <s v="IRU_ST_MSW_BP"/>
    <x v="0"/>
    <x v="16"/>
    <n v="34"/>
    <n v="12410"/>
    <n v="44676"/>
  </r>
  <r>
    <x v="0"/>
    <x v="0"/>
    <x v="0"/>
    <x v="1"/>
    <x v="2"/>
    <s v="EE_Tallinn"/>
    <x v="3"/>
    <s v="IRU_ST_MSW_BP"/>
    <x v="0"/>
    <x v="17"/>
    <n v="34"/>
    <n v="12410"/>
    <n v="44676"/>
  </r>
  <r>
    <x v="0"/>
    <x v="0"/>
    <x v="0"/>
    <x v="1"/>
    <x v="2"/>
    <s v="EE_Tallinn"/>
    <x v="3"/>
    <s v="IRU_ST_MSW_BP"/>
    <x v="0"/>
    <x v="18"/>
    <n v="34"/>
    <n v="12410"/>
    <n v="44676"/>
  </r>
  <r>
    <x v="0"/>
    <x v="0"/>
    <x v="0"/>
    <x v="1"/>
    <x v="2"/>
    <s v="EE_Tallinn"/>
    <x v="3"/>
    <s v="IRU_ST_MSW_BP"/>
    <x v="0"/>
    <x v="19"/>
    <n v="34"/>
    <n v="12410"/>
    <n v="44676"/>
  </r>
  <r>
    <x v="0"/>
    <x v="0"/>
    <x v="0"/>
    <x v="1"/>
    <x v="2"/>
    <s v="EE_Tallinn"/>
    <x v="3"/>
    <s v="IRU_ST_MSW_BP"/>
    <x v="0"/>
    <x v="20"/>
    <n v="34"/>
    <n v="12410"/>
    <n v="44676"/>
  </r>
  <r>
    <x v="0"/>
    <x v="0"/>
    <x v="0"/>
    <x v="1"/>
    <x v="2"/>
    <s v="EE_Tallinn"/>
    <x v="3"/>
    <s v="IRU_ST_MSW_BP"/>
    <x v="0"/>
    <x v="21"/>
    <n v="34"/>
    <n v="12410"/>
    <n v="44676"/>
  </r>
  <r>
    <x v="0"/>
    <x v="0"/>
    <x v="0"/>
    <x v="1"/>
    <x v="2"/>
    <s v="EE_Tallinn"/>
    <x v="3"/>
    <s v="IRU_ST_MSW_BP"/>
    <x v="0"/>
    <x v="22"/>
    <n v="34"/>
    <n v="12410"/>
    <n v="44676"/>
  </r>
  <r>
    <x v="0"/>
    <x v="0"/>
    <x v="0"/>
    <x v="1"/>
    <x v="2"/>
    <s v="EE_Tallinn"/>
    <x v="3"/>
    <s v="IRU_ST_MSW_BP"/>
    <x v="0"/>
    <x v="23"/>
    <n v="34"/>
    <n v="12410"/>
    <n v="44676"/>
  </r>
  <r>
    <x v="0"/>
    <x v="0"/>
    <x v="0"/>
    <x v="1"/>
    <x v="2"/>
    <s v="EE_Tallinn"/>
    <x v="4"/>
    <s v="GNR_ENG_NGAS_EXT_E-44"/>
    <x v="0"/>
    <x v="0"/>
    <n v="1.6666666666666701"/>
    <n v="608.33333333333303"/>
    <n v="2190"/>
  </r>
  <r>
    <x v="0"/>
    <x v="0"/>
    <x v="0"/>
    <x v="1"/>
    <x v="2"/>
    <s v="EE_Tallinn"/>
    <x v="4"/>
    <s v="GNR_ENG_NGAS_EXT_E-44"/>
    <x v="0"/>
    <x v="1"/>
    <n v="1.6666666666666701"/>
    <n v="608.33333333333303"/>
    <n v="2190"/>
  </r>
  <r>
    <x v="0"/>
    <x v="0"/>
    <x v="0"/>
    <x v="1"/>
    <x v="2"/>
    <s v="EE_Tallinn"/>
    <x v="4"/>
    <s v="GNR_ENG_NGAS_EXT_E-44"/>
    <x v="0"/>
    <x v="2"/>
    <n v="1.6666666666666701"/>
    <n v="608.33333333333303"/>
    <n v="2190"/>
  </r>
  <r>
    <x v="0"/>
    <x v="0"/>
    <x v="0"/>
    <x v="1"/>
    <x v="2"/>
    <s v="EE_Tallinn"/>
    <x v="4"/>
    <s v="GNR_ENG_NGAS_EXT_E-44"/>
    <x v="0"/>
    <x v="3"/>
    <n v="1.6666666666666701"/>
    <n v="608.33333333333303"/>
    <n v="2190"/>
  </r>
  <r>
    <x v="0"/>
    <x v="0"/>
    <x v="0"/>
    <x v="1"/>
    <x v="2"/>
    <s v="EE_Tallinn"/>
    <x v="4"/>
    <s v="GNR_ENG_NGAS_EXT_E-44"/>
    <x v="0"/>
    <x v="4"/>
    <n v="1.6666666666666701"/>
    <n v="608.33333333333303"/>
    <n v="2190"/>
  </r>
  <r>
    <x v="0"/>
    <x v="0"/>
    <x v="0"/>
    <x v="1"/>
    <x v="2"/>
    <s v="EE_Tallinn"/>
    <x v="4"/>
    <s v="GNR_ENG_NGAS_EXT_E-44"/>
    <x v="0"/>
    <x v="5"/>
    <n v="1.6666666666666701"/>
    <n v="608.33333333333303"/>
    <n v="2190"/>
  </r>
  <r>
    <x v="0"/>
    <x v="0"/>
    <x v="0"/>
    <x v="1"/>
    <x v="2"/>
    <s v="EE_Tallinn"/>
    <x v="4"/>
    <s v="GNR_ENG_NGAS_EXT_E-44"/>
    <x v="0"/>
    <x v="6"/>
    <n v="1.6666666666666701"/>
    <n v="608.33333333333303"/>
    <n v="2190"/>
  </r>
  <r>
    <x v="0"/>
    <x v="0"/>
    <x v="0"/>
    <x v="1"/>
    <x v="2"/>
    <s v="EE_Tallinn"/>
    <x v="4"/>
    <s v="GNR_ENG_NGAS_EXT_E-44"/>
    <x v="0"/>
    <x v="7"/>
    <n v="1.6666666666666701"/>
    <n v="608.33333333333303"/>
    <n v="2190"/>
  </r>
  <r>
    <x v="0"/>
    <x v="0"/>
    <x v="0"/>
    <x v="1"/>
    <x v="2"/>
    <s v="EE_Tallinn"/>
    <x v="4"/>
    <s v="GNR_ENG_NGAS_EXT_E-44"/>
    <x v="0"/>
    <x v="8"/>
    <n v="1.6666666666666701"/>
    <n v="608.33333333333303"/>
    <n v="2190"/>
  </r>
  <r>
    <x v="0"/>
    <x v="0"/>
    <x v="0"/>
    <x v="1"/>
    <x v="2"/>
    <s v="EE_Tallinn"/>
    <x v="4"/>
    <s v="GNR_ENG_NGAS_EXT_E-44"/>
    <x v="0"/>
    <x v="9"/>
    <n v="1.6666666666666701"/>
    <n v="608.33333333333303"/>
    <n v="2190"/>
  </r>
  <r>
    <x v="0"/>
    <x v="0"/>
    <x v="0"/>
    <x v="1"/>
    <x v="2"/>
    <s v="EE_Tallinn"/>
    <x v="4"/>
    <s v="GNR_ENG_NGAS_EXT_E-44"/>
    <x v="0"/>
    <x v="10"/>
    <n v="1.6666666666666701"/>
    <n v="608.33333333333303"/>
    <n v="2190"/>
  </r>
  <r>
    <x v="0"/>
    <x v="0"/>
    <x v="0"/>
    <x v="1"/>
    <x v="2"/>
    <s v="EE_Tallinn"/>
    <x v="4"/>
    <s v="GNR_ENG_NGAS_EXT_E-44"/>
    <x v="0"/>
    <x v="11"/>
    <n v="1.6666666666666701"/>
    <n v="608.33333333333303"/>
    <n v="2190"/>
  </r>
  <r>
    <x v="0"/>
    <x v="0"/>
    <x v="0"/>
    <x v="1"/>
    <x v="2"/>
    <s v="EE_Tallinn"/>
    <x v="4"/>
    <s v="GNR_ENG_NGAS_EXT_E-44"/>
    <x v="0"/>
    <x v="12"/>
    <n v="1.6666666666666701"/>
    <n v="608.33333333333303"/>
    <n v="2190"/>
  </r>
  <r>
    <x v="0"/>
    <x v="0"/>
    <x v="0"/>
    <x v="1"/>
    <x v="2"/>
    <s v="EE_Tallinn"/>
    <x v="4"/>
    <s v="GNR_ENG_NGAS_EXT_E-44"/>
    <x v="0"/>
    <x v="13"/>
    <n v="1.6666666666666701"/>
    <n v="608.33333333333303"/>
    <n v="2190"/>
  </r>
  <r>
    <x v="0"/>
    <x v="0"/>
    <x v="0"/>
    <x v="1"/>
    <x v="2"/>
    <s v="EE_Tallinn"/>
    <x v="4"/>
    <s v="GNR_ENG_NGAS_EXT_E-44"/>
    <x v="0"/>
    <x v="14"/>
    <n v="1.6666666666666701"/>
    <n v="608.33333333333303"/>
    <n v="2190"/>
  </r>
  <r>
    <x v="0"/>
    <x v="0"/>
    <x v="0"/>
    <x v="1"/>
    <x v="2"/>
    <s v="EE_Tallinn"/>
    <x v="4"/>
    <s v="GNR_ENG_NGAS_EXT_E-44"/>
    <x v="0"/>
    <x v="15"/>
    <n v="1.6666666666666701"/>
    <n v="608.33333333333303"/>
    <n v="2190"/>
  </r>
  <r>
    <x v="0"/>
    <x v="0"/>
    <x v="0"/>
    <x v="1"/>
    <x v="2"/>
    <s v="EE_Tallinn"/>
    <x v="4"/>
    <s v="GNR_ENG_NGAS_EXT_E-44"/>
    <x v="0"/>
    <x v="16"/>
    <n v="1.6666666666666701"/>
    <n v="608.33333333333303"/>
    <n v="2190"/>
  </r>
  <r>
    <x v="0"/>
    <x v="0"/>
    <x v="0"/>
    <x v="1"/>
    <x v="2"/>
    <s v="EE_Tallinn"/>
    <x v="4"/>
    <s v="GNR_ENG_NGAS_EXT_E-44"/>
    <x v="0"/>
    <x v="17"/>
    <n v="1.6666666666666701"/>
    <n v="608.33333333333303"/>
    <n v="2190"/>
  </r>
  <r>
    <x v="0"/>
    <x v="0"/>
    <x v="0"/>
    <x v="1"/>
    <x v="2"/>
    <s v="EE_Tallinn"/>
    <x v="4"/>
    <s v="GNR_ENG_NGAS_EXT_E-44"/>
    <x v="0"/>
    <x v="18"/>
    <n v="1.6666666666666701"/>
    <n v="608.33333333333303"/>
    <n v="2190"/>
  </r>
  <r>
    <x v="0"/>
    <x v="0"/>
    <x v="0"/>
    <x v="1"/>
    <x v="2"/>
    <s v="EE_Tallinn"/>
    <x v="4"/>
    <s v="GNR_ENG_NGAS_EXT_E-44"/>
    <x v="0"/>
    <x v="19"/>
    <n v="1.6666666666666701"/>
    <n v="608.33333333333303"/>
    <n v="2190"/>
  </r>
  <r>
    <x v="0"/>
    <x v="0"/>
    <x v="0"/>
    <x v="1"/>
    <x v="2"/>
    <s v="EE_Tallinn"/>
    <x v="4"/>
    <s v="GNR_ENG_NGAS_EXT_E-44"/>
    <x v="0"/>
    <x v="20"/>
    <n v="1.6666666666666701"/>
    <n v="608.33333333333303"/>
    <n v="2190"/>
  </r>
  <r>
    <x v="0"/>
    <x v="0"/>
    <x v="0"/>
    <x v="1"/>
    <x v="2"/>
    <s v="EE_Tallinn"/>
    <x v="4"/>
    <s v="GNR_ENG_NGAS_EXT_E-44"/>
    <x v="0"/>
    <x v="21"/>
    <n v="1.6666666666666701"/>
    <n v="608.33333333333303"/>
    <n v="2190"/>
  </r>
  <r>
    <x v="0"/>
    <x v="0"/>
    <x v="0"/>
    <x v="1"/>
    <x v="2"/>
    <s v="EE_Tallinn"/>
    <x v="4"/>
    <s v="GNR_ENG_NGAS_EXT_E-44"/>
    <x v="0"/>
    <x v="22"/>
    <n v="1.6666666666666701"/>
    <n v="608.33333333333303"/>
    <n v="2190"/>
  </r>
  <r>
    <x v="0"/>
    <x v="0"/>
    <x v="0"/>
    <x v="1"/>
    <x v="2"/>
    <s v="EE_Tallinn"/>
    <x v="4"/>
    <s v="GNR_ENG_NGAS_EXT_E-44"/>
    <x v="0"/>
    <x v="23"/>
    <n v="1.6666666666666701"/>
    <n v="608.33333333333303"/>
    <n v="2190"/>
  </r>
  <r>
    <x v="0"/>
    <x v="0"/>
    <x v="0"/>
    <x v="1"/>
    <x v="2"/>
    <s v="EE_Tallinn"/>
    <x v="4"/>
    <s v="IRU_ST_NGAS_BP"/>
    <x v="0"/>
    <x v="0"/>
    <n v="104.081506618868"/>
    <n v="37989.749915886699"/>
    <n v="136763.099697192"/>
  </r>
  <r>
    <x v="0"/>
    <x v="0"/>
    <x v="0"/>
    <x v="1"/>
    <x v="2"/>
    <s v="EE_Tallinn"/>
    <x v="4"/>
    <s v="IRU_ST_NGAS_BP"/>
    <x v="0"/>
    <x v="1"/>
    <n v="105.79419385185901"/>
    <n v="38614.880755928403"/>
    <n v="139013.570721342"/>
  </r>
  <r>
    <x v="0"/>
    <x v="0"/>
    <x v="0"/>
    <x v="1"/>
    <x v="2"/>
    <s v="EE_Tallinn"/>
    <x v="4"/>
    <s v="IRU_ST_NGAS_BP"/>
    <x v="0"/>
    <x v="2"/>
    <n v="106.329408612168"/>
    <n v="38810.234143441397"/>
    <n v="139716.842916389"/>
  </r>
  <r>
    <x v="0"/>
    <x v="0"/>
    <x v="0"/>
    <x v="1"/>
    <x v="2"/>
    <s v="EE_Tallinn"/>
    <x v="4"/>
    <s v="IRU_ST_NGAS_BP"/>
    <x v="0"/>
    <x v="3"/>
    <n v="104.723764331239"/>
    <n v="38224.1739809024"/>
    <n v="137607.02633124901"/>
  </r>
  <r>
    <x v="0"/>
    <x v="0"/>
    <x v="0"/>
    <x v="1"/>
    <x v="2"/>
    <s v="EE_Tallinn"/>
    <x v="4"/>
    <s v="IRU_ST_NGAS_BP"/>
    <x v="0"/>
    <x v="4"/>
    <n v="101.191346913196"/>
    <n v="36934.841623316403"/>
    <n v="132965.429843939"/>
  </r>
  <r>
    <x v="0"/>
    <x v="0"/>
    <x v="0"/>
    <x v="1"/>
    <x v="2"/>
    <s v="EE_Tallinn"/>
    <x v="4"/>
    <s v="IRU_ST_NGAS_BP"/>
    <x v="0"/>
    <x v="5"/>
    <n v="96.053285214222896"/>
    <n v="35059.449103191298"/>
    <n v="126214.016771489"/>
  </r>
  <r>
    <x v="0"/>
    <x v="0"/>
    <x v="0"/>
    <x v="1"/>
    <x v="2"/>
    <s v="EE_Tallinn"/>
    <x v="4"/>
    <s v="IRU_ST_NGAS_BP"/>
    <x v="0"/>
    <x v="6"/>
    <n v="89.523665138445807"/>
    <n v="32676.137775532701"/>
    <n v="117634.095991918"/>
  </r>
  <r>
    <x v="0"/>
    <x v="0"/>
    <x v="0"/>
    <x v="1"/>
    <x v="2"/>
    <s v="EE_Tallinn"/>
    <x v="4"/>
    <s v="IRU_ST_NGAS_BP"/>
    <x v="0"/>
    <x v="7"/>
    <n v="81.495443733800897"/>
    <n v="29745.8369628373"/>
    <n v="107085.013066214"/>
  </r>
  <r>
    <x v="0"/>
    <x v="0"/>
    <x v="0"/>
    <x v="1"/>
    <x v="2"/>
    <s v="EE_Tallinn"/>
    <x v="4"/>
    <s v="IRU_ST_NGAS_BP"/>
    <x v="0"/>
    <x v="8"/>
    <n v="74.537651849775798"/>
    <n v="27206.242925168201"/>
    <n v="97942.474530605396"/>
  </r>
  <r>
    <x v="0"/>
    <x v="0"/>
    <x v="0"/>
    <x v="1"/>
    <x v="2"/>
    <s v="EE_Tallinn"/>
    <x v="4"/>
    <s v="IRU_ST_NGAS_BP"/>
    <x v="0"/>
    <x v="9"/>
    <n v="68.222117678121805"/>
    <n v="24901.0729525145"/>
    <n v="89643.862629052106"/>
  </r>
  <r>
    <x v="0"/>
    <x v="0"/>
    <x v="0"/>
    <x v="1"/>
    <x v="2"/>
    <s v="EE_Tallinn"/>
    <x v="4"/>
    <s v="IRU_ST_NGAS_BP"/>
    <x v="0"/>
    <x v="10"/>
    <n v="62.548841218839499"/>
    <n v="22830.327044876401"/>
    <n v="82189.177361555194"/>
  </r>
  <r>
    <x v="0"/>
    <x v="0"/>
    <x v="0"/>
    <x v="1"/>
    <x v="2"/>
    <s v="EE_Tallinn"/>
    <x v="4"/>
    <s v="IRU_ST_NGAS_BP"/>
    <x v="0"/>
    <x v="11"/>
    <n v="57.838951328114902"/>
    <n v="21111.217234761902"/>
    <n v="76000.382045142993"/>
  </r>
  <r>
    <x v="0"/>
    <x v="0"/>
    <x v="0"/>
    <x v="1"/>
    <x v="2"/>
    <s v="EE_Tallinn"/>
    <x v="4"/>
    <s v="IRU_ST_NGAS_BP"/>
    <x v="0"/>
    <x v="12"/>
    <n v="53.7713191497621"/>
    <n v="19626.531489663201"/>
    <n v="70655.513362787402"/>
  </r>
  <r>
    <x v="0"/>
    <x v="0"/>
    <x v="0"/>
    <x v="1"/>
    <x v="2"/>
    <s v="EE_Tallinn"/>
    <x v="4"/>
    <s v="IRU_ST_NGAS_BP"/>
    <x v="0"/>
    <x v="13"/>
    <n v="50.452987635841801"/>
    <n v="18415.340487082201"/>
    <n v="66295.225753496095"/>
  </r>
  <r>
    <x v="0"/>
    <x v="0"/>
    <x v="0"/>
    <x v="1"/>
    <x v="2"/>
    <s v="EE_Tallinn"/>
    <x v="4"/>
    <s v="IRU_ST_NGAS_BP"/>
    <x v="0"/>
    <x v="14"/>
    <n v="48.419171546665702"/>
    <n v="17672.997614533"/>
    <n v="63622.7914123187"/>
  </r>
  <r>
    <x v="0"/>
    <x v="0"/>
    <x v="0"/>
    <x v="1"/>
    <x v="2"/>
    <s v="EE_Tallinn"/>
    <x v="4"/>
    <s v="IRU_ST_NGAS_BP"/>
    <x v="0"/>
    <x v="15"/>
    <n v="46.920570217798499"/>
    <n v="17126.008129496498"/>
    <n v="61653.629266187199"/>
  </r>
  <r>
    <x v="0"/>
    <x v="0"/>
    <x v="0"/>
    <x v="1"/>
    <x v="2"/>
    <s v="EE_Tallinn"/>
    <x v="4"/>
    <s v="IRU_ST_NGAS_BP"/>
    <x v="0"/>
    <x v="16"/>
    <n v="45.636054793055003"/>
    <n v="16657.159999465101"/>
    <n v="59965.775998074198"/>
  </r>
  <r>
    <x v="0"/>
    <x v="0"/>
    <x v="0"/>
    <x v="1"/>
    <x v="2"/>
    <s v="EE_Tallinn"/>
    <x v="4"/>
    <s v="IRU_ST_NGAS_BP"/>
    <x v="0"/>
    <x v="17"/>
    <n v="44.458582320374397"/>
    <n v="16227.3825469366"/>
    <n v="58418.577168971897"/>
  </r>
  <r>
    <x v="0"/>
    <x v="0"/>
    <x v="0"/>
    <x v="1"/>
    <x v="2"/>
    <s v="EE_Tallinn"/>
    <x v="4"/>
    <s v="IRU_ST_NGAS_BP"/>
    <x v="0"/>
    <x v="18"/>
    <n v="43.174066895630801"/>
    <n v="15758.534416905301"/>
    <n v="56730.723900858902"/>
  </r>
  <r>
    <x v="0"/>
    <x v="0"/>
    <x v="0"/>
    <x v="1"/>
    <x v="2"/>
    <s v="EE_Tallinn"/>
    <x v="4"/>
    <s v="IRU_ST_NGAS_BP"/>
    <x v="0"/>
    <x v="19"/>
    <n v="41.675465566764302"/>
    <n v="15211.544931869001"/>
    <n v="54761.561754728296"/>
  </r>
  <r>
    <x v="0"/>
    <x v="0"/>
    <x v="0"/>
    <x v="1"/>
    <x v="2"/>
    <s v="EE_Tallinn"/>
    <x v="4"/>
    <s v="IRU_ST_NGAS_BP"/>
    <x v="0"/>
    <x v="20"/>
    <n v="40.390950142020799"/>
    <n v="14742.696801837599"/>
    <n v="53073.708486615302"/>
  </r>
  <r>
    <x v="0"/>
    <x v="0"/>
    <x v="0"/>
    <x v="1"/>
    <x v="2"/>
    <s v="EE_Tallinn"/>
    <x v="4"/>
    <s v="IRU_ST_NGAS_BP"/>
    <x v="0"/>
    <x v="21"/>
    <n v="39.106434717277899"/>
    <n v="14273.8486718064"/>
    <n v="51385.855218503202"/>
  </r>
  <r>
    <x v="0"/>
    <x v="0"/>
    <x v="0"/>
    <x v="1"/>
    <x v="2"/>
    <s v="EE_Tallinn"/>
    <x v="4"/>
    <s v="IRU_ST_NGAS_BP"/>
    <x v="0"/>
    <x v="22"/>
    <n v="38.143048148720297"/>
    <n v="13922.212574282899"/>
    <n v="50119.965267418498"/>
  </r>
  <r>
    <x v="0"/>
    <x v="0"/>
    <x v="0"/>
    <x v="1"/>
    <x v="2"/>
    <s v="EE_Tallinn"/>
    <x v="4"/>
    <s v="IRU_ST_NGAS_BP"/>
    <x v="0"/>
    <x v="23"/>
    <n v="37.821919292534403"/>
    <n v="13805.0005417751"/>
    <n v="49698.001950390302"/>
  </r>
  <r>
    <x v="0"/>
    <x v="0"/>
    <x v="0"/>
    <x v="1"/>
    <x v="2"/>
    <s v="EE_Tallinn"/>
    <x v="10"/>
    <s v="MUSTAMAE_ST_WOOD_BP"/>
    <x v="0"/>
    <x v="0"/>
    <n v="33.000033000033"/>
    <n v="12045.012045011999"/>
    <n v="43362.043362043398"/>
  </r>
  <r>
    <x v="0"/>
    <x v="0"/>
    <x v="0"/>
    <x v="1"/>
    <x v="2"/>
    <s v="EE_Tallinn"/>
    <x v="10"/>
    <s v="MUSTAMAE_ST_WOOD_BP"/>
    <x v="0"/>
    <x v="1"/>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6"/>
    <n v="33.000033000033"/>
    <n v="12045.012045011999"/>
    <n v="43362.043362043398"/>
  </r>
  <r>
    <x v="0"/>
    <x v="0"/>
    <x v="0"/>
    <x v="1"/>
    <x v="2"/>
    <s v="EE_Tallinn"/>
    <x v="10"/>
    <s v="MUSTAMAE_ST_WOOD_BP"/>
    <x v="0"/>
    <x v="7"/>
    <n v="33.000033000033"/>
    <n v="12045.012045011999"/>
    <n v="43362.043362043398"/>
  </r>
  <r>
    <x v="0"/>
    <x v="0"/>
    <x v="0"/>
    <x v="1"/>
    <x v="2"/>
    <s v="EE_Tallinn"/>
    <x v="10"/>
    <s v="MUSTAMAE_ST_WOOD_BP"/>
    <x v="0"/>
    <x v="8"/>
    <n v="33.000033000033"/>
    <n v="12045.012045011999"/>
    <n v="43362.043362043398"/>
  </r>
  <r>
    <x v="0"/>
    <x v="0"/>
    <x v="0"/>
    <x v="1"/>
    <x v="2"/>
    <s v="EE_Tallinn"/>
    <x v="10"/>
    <s v="MUSTAMAE_ST_WOOD_BP"/>
    <x v="0"/>
    <x v="9"/>
    <n v="33.000033000033"/>
    <n v="12045.012045011999"/>
    <n v="43362.043362043398"/>
  </r>
  <r>
    <x v="0"/>
    <x v="0"/>
    <x v="0"/>
    <x v="1"/>
    <x v="2"/>
    <s v="EE_Tallinn"/>
    <x v="10"/>
    <s v="MUSTAMAE_ST_WOOD_BP"/>
    <x v="0"/>
    <x v="10"/>
    <n v="33.000033000033"/>
    <n v="12045.012045011999"/>
    <n v="43362.043362043398"/>
  </r>
  <r>
    <x v="0"/>
    <x v="0"/>
    <x v="0"/>
    <x v="1"/>
    <x v="2"/>
    <s v="EE_Tallinn"/>
    <x v="10"/>
    <s v="MUSTAMAE_ST_WOOD_BP"/>
    <x v="0"/>
    <x v="11"/>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15"/>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17"/>
    <n v="33.000033000033"/>
    <n v="12045.012045011999"/>
    <n v="43362.043362043398"/>
  </r>
  <r>
    <x v="0"/>
    <x v="0"/>
    <x v="0"/>
    <x v="1"/>
    <x v="2"/>
    <s v="EE_Tallinn"/>
    <x v="10"/>
    <s v="MUSTAMAE_ST_WOOD_BP"/>
    <x v="0"/>
    <x v="18"/>
    <n v="33.000033000033"/>
    <n v="12045.012045011999"/>
    <n v="43362.043362043398"/>
  </r>
  <r>
    <x v="0"/>
    <x v="0"/>
    <x v="0"/>
    <x v="1"/>
    <x v="2"/>
    <s v="EE_Tallinn"/>
    <x v="10"/>
    <s v="MUSTAMAE_ST_WOOD_BP"/>
    <x v="0"/>
    <x v="19"/>
    <n v="33.000033000033"/>
    <n v="12045.012045011999"/>
    <n v="43362.043362043398"/>
  </r>
  <r>
    <x v="0"/>
    <x v="0"/>
    <x v="0"/>
    <x v="1"/>
    <x v="2"/>
    <s v="EE_Tallinn"/>
    <x v="10"/>
    <s v="MUSTAMAE_ST_WOOD_BP"/>
    <x v="0"/>
    <x v="20"/>
    <n v="33.000033000033"/>
    <n v="12045.012045011999"/>
    <n v="43362.043362043398"/>
  </r>
  <r>
    <x v="0"/>
    <x v="0"/>
    <x v="0"/>
    <x v="1"/>
    <x v="2"/>
    <s v="EE_Tallinn"/>
    <x v="10"/>
    <s v="MUSTAMAE_ST_WOOD_BP"/>
    <x v="0"/>
    <x v="21"/>
    <n v="33.000033000033"/>
    <n v="12045.012045011999"/>
    <n v="43362.043362043398"/>
  </r>
  <r>
    <x v="0"/>
    <x v="0"/>
    <x v="0"/>
    <x v="1"/>
    <x v="2"/>
    <s v="EE_Tallinn"/>
    <x v="10"/>
    <s v="MUSTAMAE_ST_WOOD_BP"/>
    <x v="0"/>
    <x v="22"/>
    <n v="33.000033000033"/>
    <n v="12045.012045011999"/>
    <n v="43362.043362043398"/>
  </r>
  <r>
    <x v="0"/>
    <x v="0"/>
    <x v="0"/>
    <x v="1"/>
    <x v="2"/>
    <s v="EE_Tallinn"/>
    <x v="10"/>
    <s v="MUSTAMAE_ST_WOOD_BP"/>
    <x v="0"/>
    <x v="23"/>
    <n v="33.000033000033"/>
    <n v="12045.012045011999"/>
    <n v="43362.043362043398"/>
  </r>
  <r>
    <x v="0"/>
    <x v="0"/>
    <x v="0"/>
    <x v="1"/>
    <x v="2"/>
    <s v="EE_Tallinn"/>
    <x v="10"/>
    <s v="VAO-1_ST_WOOD_BP"/>
    <x v="0"/>
    <x v="0"/>
    <n v="42.000006720001103"/>
    <n v="15330.0024528004"/>
    <n v="55188.008830081402"/>
  </r>
  <r>
    <x v="0"/>
    <x v="0"/>
    <x v="0"/>
    <x v="1"/>
    <x v="2"/>
    <s v="EE_Tallinn"/>
    <x v="10"/>
    <s v="VAO-1_ST_WOOD_BP"/>
    <x v="0"/>
    <x v="1"/>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4"/>
    <n v="42.000006720001103"/>
    <n v="15330.0024528004"/>
    <n v="55188.008830081402"/>
  </r>
  <r>
    <x v="0"/>
    <x v="0"/>
    <x v="0"/>
    <x v="1"/>
    <x v="2"/>
    <s v="EE_Tallinn"/>
    <x v="10"/>
    <s v="VAO-1_ST_WOOD_BP"/>
    <x v="0"/>
    <x v="5"/>
    <n v="42.000006720001103"/>
    <n v="15330.0024528004"/>
    <n v="55188.008830081402"/>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14"/>
    <n v="42.000006720001103"/>
    <n v="15330.0024528004"/>
    <n v="55188.008830081402"/>
  </r>
  <r>
    <x v="0"/>
    <x v="0"/>
    <x v="0"/>
    <x v="1"/>
    <x v="2"/>
    <s v="EE_Tallinn"/>
    <x v="10"/>
    <s v="VAO-1_ST_WOOD_BP"/>
    <x v="0"/>
    <x v="15"/>
    <n v="42.000006720001103"/>
    <n v="15330.0024528004"/>
    <n v="55188.008830081402"/>
  </r>
  <r>
    <x v="0"/>
    <x v="0"/>
    <x v="0"/>
    <x v="1"/>
    <x v="2"/>
    <s v="EE_Tallinn"/>
    <x v="10"/>
    <s v="VAO-1_ST_WOOD_BP"/>
    <x v="0"/>
    <x v="16"/>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1_ST_WOOD_BP"/>
    <x v="0"/>
    <x v="23"/>
    <n v="42.000006720001103"/>
    <n v="15330.0024528004"/>
    <n v="55188.008830081402"/>
  </r>
  <r>
    <x v="0"/>
    <x v="0"/>
    <x v="0"/>
    <x v="1"/>
    <x v="2"/>
    <s v="EE_Tallinn"/>
    <x v="10"/>
    <s v="VAO-2_ST_WOOD_BP"/>
    <x v="0"/>
    <x v="0"/>
    <n v="55.000026190488697"/>
    <n v="20075.0095595284"/>
    <n v="72270.034414302107"/>
  </r>
  <r>
    <x v="0"/>
    <x v="0"/>
    <x v="0"/>
    <x v="1"/>
    <x v="2"/>
    <s v="EE_Tallinn"/>
    <x v="10"/>
    <s v="VAO-2_ST_WOOD_BP"/>
    <x v="0"/>
    <x v="1"/>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4"/>
    <n v="55.000026190488697"/>
    <n v="20075.0095595284"/>
    <n v="72270.034414302107"/>
  </r>
  <r>
    <x v="0"/>
    <x v="0"/>
    <x v="0"/>
    <x v="1"/>
    <x v="2"/>
    <s v="EE_Tallinn"/>
    <x v="10"/>
    <s v="VAO-2_ST_WOOD_BP"/>
    <x v="0"/>
    <x v="5"/>
    <n v="55.000026190488697"/>
    <n v="20075.0095595284"/>
    <n v="72270.034414302107"/>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14"/>
    <n v="55.000026190488697"/>
    <n v="20075.0095595284"/>
    <n v="72270.034414302107"/>
  </r>
  <r>
    <x v="0"/>
    <x v="0"/>
    <x v="0"/>
    <x v="1"/>
    <x v="2"/>
    <s v="EE_Tallinn"/>
    <x v="10"/>
    <s v="VAO-2_ST_WOOD_BP"/>
    <x v="0"/>
    <x v="15"/>
    <n v="55.000026190488697"/>
    <n v="20075.0095595284"/>
    <n v="72270.034414302107"/>
  </r>
  <r>
    <x v="0"/>
    <x v="0"/>
    <x v="0"/>
    <x v="1"/>
    <x v="2"/>
    <s v="EE_Tallinn"/>
    <x v="10"/>
    <s v="VAO-2_ST_WOOD_BP"/>
    <x v="0"/>
    <x v="16"/>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55.000026190488697"/>
    <n v="20075.0095595284"/>
    <n v="72270.034414302107"/>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llinn"/>
    <x v="10"/>
    <s v="VAO-2_ST_WOOD_BP"/>
    <x v="0"/>
    <x v="23"/>
    <n v="55.000026190488697"/>
    <n v="20075.0095595284"/>
    <n v="72270.034414302107"/>
  </r>
  <r>
    <x v="0"/>
    <x v="0"/>
    <x v="0"/>
    <x v="1"/>
    <x v="2"/>
    <s v="EE_Tartu"/>
    <x v="4"/>
    <s v="GNR_BO_NGAS_HO_E-85"/>
    <x v="0"/>
    <x v="0"/>
    <n v="20.875525094878601"/>
    <n v="7619.5666596307001"/>
    <n v="27430.439974670498"/>
  </r>
  <r>
    <x v="0"/>
    <x v="0"/>
    <x v="0"/>
    <x v="1"/>
    <x v="2"/>
    <s v="EE_Tartu"/>
    <x v="4"/>
    <s v="GNR_BO_NGAS_HO_E-85"/>
    <x v="0"/>
    <x v="1"/>
    <n v="21.3128302377613"/>
    <n v="7779.1830367828798"/>
    <n v="28005.0589324184"/>
  </r>
  <r>
    <x v="0"/>
    <x v="0"/>
    <x v="0"/>
    <x v="1"/>
    <x v="2"/>
    <s v="EE_Tartu"/>
    <x v="4"/>
    <s v="GNR_BO_NGAS_HO_E-85"/>
    <x v="0"/>
    <x v="2"/>
    <n v="21.449488094911999"/>
    <n v="7829.0631546428804"/>
    <n v="28184.627356714402"/>
  </r>
  <r>
    <x v="0"/>
    <x v="0"/>
    <x v="0"/>
    <x v="1"/>
    <x v="2"/>
    <s v="EE_Tartu"/>
    <x v="4"/>
    <s v="GNR_BO_NGAS_HO_E-85"/>
    <x v="0"/>
    <x v="3"/>
    <n v="21.0395145234593"/>
    <n v="7679.4228010626503"/>
    <n v="27645.922083825499"/>
  </r>
  <r>
    <x v="0"/>
    <x v="0"/>
    <x v="0"/>
    <x v="1"/>
    <x v="2"/>
    <s v="EE_Tartu"/>
    <x v="4"/>
    <s v="GNR_BO_NGAS_HO_E-85"/>
    <x v="0"/>
    <x v="4"/>
    <n v="20.1375726662646"/>
    <n v="7350.2140231865696"/>
    <n v="26460.770483471599"/>
  </r>
  <r>
    <x v="0"/>
    <x v="0"/>
    <x v="0"/>
    <x v="1"/>
    <x v="2"/>
    <s v="EE_Tartu"/>
    <x v="4"/>
    <s v="GNR_BO_NGAS_HO_E-85"/>
    <x v="0"/>
    <x v="5"/>
    <n v="18.825657237616898"/>
    <n v="6871.3648917301498"/>
    <n v="24736.913610228599"/>
  </r>
  <r>
    <x v="0"/>
    <x v="0"/>
    <x v="0"/>
    <x v="1"/>
    <x v="2"/>
    <s v="EE_Tartu"/>
    <x v="4"/>
    <s v="GNR_BO_NGAS_HO_E-85"/>
    <x v="0"/>
    <x v="6"/>
    <n v="17.158431380377301"/>
    <n v="6262.8274538377"/>
    <n v="22546.178833815698"/>
  </r>
  <r>
    <x v="0"/>
    <x v="0"/>
    <x v="0"/>
    <x v="1"/>
    <x v="2"/>
    <s v="EE_Tartu"/>
    <x v="4"/>
    <s v="GNR_BO_NGAS_HO_E-85"/>
    <x v="0"/>
    <x v="7"/>
    <n v="15.1085635231155"/>
    <n v="5514.6256859371497"/>
    <n v="19852.652469373701"/>
  </r>
  <r>
    <x v="0"/>
    <x v="0"/>
    <x v="0"/>
    <x v="1"/>
    <x v="2"/>
    <s v="EE_Tartu"/>
    <x v="4"/>
    <s v="GNR_BO_NGAS_HO_E-85"/>
    <x v="0"/>
    <x v="8"/>
    <n v="13.332011380155301"/>
    <n v="4866.1841537566997"/>
    <n v="17518.262953524099"/>
  </r>
  <r>
    <x v="0"/>
    <x v="0"/>
    <x v="0"/>
    <x v="1"/>
    <x v="2"/>
    <s v="EE_Tartu"/>
    <x v="4"/>
    <s v="GNR_BO_NGAS_HO_E-85"/>
    <x v="0"/>
    <x v="9"/>
    <n v="11.719448665776101"/>
    <n v="4277.59876300827"/>
    <n v="15399.3555468298"/>
  </r>
  <r>
    <x v="0"/>
    <x v="0"/>
    <x v="0"/>
    <x v="1"/>
    <x v="2"/>
    <s v="EE_Tartu"/>
    <x v="4"/>
    <s v="GNR_BO_NGAS_HO_E-85"/>
    <x v="0"/>
    <x v="10"/>
    <n v="10.270875379977801"/>
    <n v="3748.86951369191"/>
    <n v="13495.930249290899"/>
  </r>
  <r>
    <x v="0"/>
    <x v="0"/>
    <x v="0"/>
    <x v="1"/>
    <x v="2"/>
    <s v="EE_Tartu"/>
    <x v="4"/>
    <s v="GNR_BO_NGAS_HO_E-85"/>
    <x v="0"/>
    <x v="11"/>
    <n v="9.0682862370508595"/>
    <n v="3309.9244765235599"/>
    <n v="11915.728115484801"/>
  </r>
  <r>
    <x v="0"/>
    <x v="0"/>
    <x v="0"/>
    <x v="1"/>
    <x v="2"/>
    <s v="EE_Tartu"/>
    <x v="4"/>
    <s v="GNR_BO_NGAS_HO_E-85"/>
    <x v="0"/>
    <x v="12"/>
    <n v="8.0296865227049103"/>
    <n v="2930.8355807872899"/>
    <n v="10551.008090834301"/>
  </r>
  <r>
    <x v="0"/>
    <x v="0"/>
    <x v="0"/>
    <x v="1"/>
    <x v="2"/>
    <s v="EE_Tartu"/>
    <x v="4"/>
    <s v="GNR_BO_NGAS_HO_E-85"/>
    <x v="0"/>
    <x v="13"/>
    <n v="7.1824078083701099"/>
    <n v="2621.5788500550898"/>
    <n v="9437.68386019832"/>
  </r>
  <r>
    <x v="0"/>
    <x v="0"/>
    <x v="0"/>
    <x v="1"/>
    <x v="2"/>
    <s v="EE_Tartu"/>
    <x v="4"/>
    <s v="GNR_BO_NGAS_HO_E-85"/>
    <x v="0"/>
    <x v="14"/>
    <n v="6.6631079511971301"/>
    <n v="2432.03440218695"/>
    <n v="8755.3238478730309"/>
  </r>
  <r>
    <x v="0"/>
    <x v="0"/>
    <x v="0"/>
    <x v="1"/>
    <x v="2"/>
    <s v="EE_Tartu"/>
    <x v="4"/>
    <s v="GNR_BO_NGAS_HO_E-85"/>
    <x v="0"/>
    <x v="15"/>
    <n v="6.2804659511749001"/>
    <n v="2292.37007217884"/>
    <n v="8252.5322598438106"/>
  </r>
  <r>
    <x v="0"/>
    <x v="0"/>
    <x v="0"/>
    <x v="1"/>
    <x v="2"/>
    <s v="EE_Tartu"/>
    <x v="4"/>
    <s v="GNR_BO_NGAS_HO_E-85"/>
    <x v="0"/>
    <x v="16"/>
    <n v="5.9524870940130103"/>
    <n v="2172.6577893147501"/>
    <n v="7821.5680415330899"/>
  </r>
  <r>
    <x v="0"/>
    <x v="0"/>
    <x v="0"/>
    <x v="1"/>
    <x v="2"/>
    <s v="EE_Tartu"/>
    <x v="4"/>
    <s v="GNR_BO_NGAS_HO_E-85"/>
    <x v="0"/>
    <x v="17"/>
    <n v="5.6518398082813199"/>
    <n v="2062.9215300226801"/>
    <n v="7426.5175080816598"/>
  </r>
  <r>
    <x v="0"/>
    <x v="0"/>
    <x v="0"/>
    <x v="1"/>
    <x v="2"/>
    <s v="EE_Tartu"/>
    <x v="4"/>
    <s v="GNR_BO_NGAS_HO_E-85"/>
    <x v="0"/>
    <x v="18"/>
    <n v="5.3238609511194301"/>
    <n v="1943.20924715859"/>
    <n v="6995.55328977093"/>
  </r>
  <r>
    <x v="0"/>
    <x v="0"/>
    <x v="0"/>
    <x v="1"/>
    <x v="2"/>
    <s v="EE_Tartu"/>
    <x v="4"/>
    <s v="GNR_BO_NGAS_HO_E-85"/>
    <x v="0"/>
    <x v="19"/>
    <n v="4.9412189510972597"/>
    <n v="1803.5449171504999"/>
    <n v="6492.7617017417897"/>
  </r>
  <r>
    <x v="0"/>
    <x v="0"/>
    <x v="0"/>
    <x v="1"/>
    <x v="2"/>
    <s v="EE_Tartu"/>
    <x v="4"/>
    <s v="GNR_BO_NGAS_HO_E-85"/>
    <x v="0"/>
    <x v="20"/>
    <n v="4.6132400939353699"/>
    <n v="1683.83263428641"/>
    <n v="6061.7974834310698"/>
  </r>
  <r>
    <x v="0"/>
    <x v="0"/>
    <x v="0"/>
    <x v="1"/>
    <x v="2"/>
    <s v="EE_Tartu"/>
    <x v="4"/>
    <s v="GNR_BO_NGAS_HO_E-85"/>
    <x v="0"/>
    <x v="21"/>
    <n v="4.2852612367734704"/>
    <n v="1564.12035142232"/>
    <n v="5630.83326512034"/>
  </r>
  <r>
    <x v="0"/>
    <x v="0"/>
    <x v="0"/>
    <x v="1"/>
    <x v="2"/>
    <s v="EE_Tartu"/>
    <x v="4"/>
    <s v="GNR_BO_NGAS_HO_E-85"/>
    <x v="0"/>
    <x v="22"/>
    <n v="4.0392770939020597"/>
    <n v="1474.3361392742499"/>
    <n v="5307.6101013873003"/>
  </r>
  <r>
    <x v="0"/>
    <x v="0"/>
    <x v="0"/>
    <x v="1"/>
    <x v="2"/>
    <s v="EE_Tartu"/>
    <x v="4"/>
    <s v="GNR_BO_NGAS_HO_E-85"/>
    <x v="0"/>
    <x v="23"/>
    <n v="3.9572823796115801"/>
    <n v="1444.4080685582301"/>
    <n v="5199.8690468096202"/>
  </r>
  <r>
    <x v="0"/>
    <x v="0"/>
    <x v="0"/>
    <x v="1"/>
    <x v="2"/>
    <s v="EE_Tartu"/>
    <x v="10"/>
    <s v="TARTU-1_ST_WOOD_BP"/>
    <x v="0"/>
    <x v="0"/>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1"/>
    <x v="2"/>
    <s v="EE_Tartu"/>
    <x v="10"/>
    <s v="TARTU-1_ST_WOOD_BP"/>
    <x v="0"/>
    <x v="23"/>
    <n v="48.000034909116302"/>
    <n v="17520.012741827399"/>
    <n v="63072.045870578797"/>
  </r>
  <r>
    <x v="0"/>
    <x v="0"/>
    <x v="0"/>
    <x v="1"/>
    <x v="2"/>
    <s v="EE_Urban"/>
    <x v="4"/>
    <s v="GNR_ENG_NGAS_EXT_E-44"/>
    <x v="0"/>
    <x v="0"/>
    <n v="1"/>
    <n v="365"/>
    <n v="1314"/>
  </r>
  <r>
    <x v="0"/>
    <x v="0"/>
    <x v="0"/>
    <x v="1"/>
    <x v="2"/>
    <s v="EE_Urban"/>
    <x v="4"/>
    <s v="GNR_ENG_NGAS_EXT_E-44"/>
    <x v="0"/>
    <x v="1"/>
    <n v="1"/>
    <n v="365"/>
    <n v="1314"/>
  </r>
  <r>
    <x v="0"/>
    <x v="0"/>
    <x v="0"/>
    <x v="1"/>
    <x v="2"/>
    <s v="EE_Urban"/>
    <x v="4"/>
    <s v="GNR_ENG_NGAS_EXT_E-44"/>
    <x v="0"/>
    <x v="2"/>
    <n v="1"/>
    <n v="365"/>
    <n v="1314"/>
  </r>
  <r>
    <x v="0"/>
    <x v="0"/>
    <x v="0"/>
    <x v="1"/>
    <x v="2"/>
    <s v="EE_Urban"/>
    <x v="4"/>
    <s v="GNR_ENG_NGAS_EXT_E-44"/>
    <x v="0"/>
    <x v="3"/>
    <n v="1"/>
    <n v="365"/>
    <n v="1314"/>
  </r>
  <r>
    <x v="0"/>
    <x v="0"/>
    <x v="0"/>
    <x v="1"/>
    <x v="2"/>
    <s v="EE_Urban"/>
    <x v="4"/>
    <s v="GNR_ENG_NGAS_EXT_E-44"/>
    <x v="0"/>
    <x v="4"/>
    <n v="1"/>
    <n v="365"/>
    <n v="1314"/>
  </r>
  <r>
    <x v="0"/>
    <x v="0"/>
    <x v="0"/>
    <x v="1"/>
    <x v="2"/>
    <s v="EE_Urban"/>
    <x v="4"/>
    <s v="GNR_ENG_NGAS_EXT_E-44"/>
    <x v="0"/>
    <x v="5"/>
    <n v="1"/>
    <n v="365"/>
    <n v="1314"/>
  </r>
  <r>
    <x v="0"/>
    <x v="0"/>
    <x v="0"/>
    <x v="1"/>
    <x v="2"/>
    <s v="EE_Urban"/>
    <x v="4"/>
    <s v="GNR_ENG_NGAS_EXT_E-44"/>
    <x v="0"/>
    <x v="6"/>
    <n v="1"/>
    <n v="365"/>
    <n v="1314"/>
  </r>
  <r>
    <x v="0"/>
    <x v="0"/>
    <x v="0"/>
    <x v="1"/>
    <x v="2"/>
    <s v="EE_Urban"/>
    <x v="4"/>
    <s v="GNR_ENG_NGAS_EXT_E-44"/>
    <x v="0"/>
    <x v="7"/>
    <n v="1"/>
    <n v="365"/>
    <n v="1314"/>
  </r>
  <r>
    <x v="0"/>
    <x v="0"/>
    <x v="0"/>
    <x v="1"/>
    <x v="2"/>
    <s v="EE_Urban"/>
    <x v="4"/>
    <s v="GNR_ENG_NGAS_EXT_E-44"/>
    <x v="0"/>
    <x v="8"/>
    <n v="1"/>
    <n v="365"/>
    <n v="1314"/>
  </r>
  <r>
    <x v="0"/>
    <x v="0"/>
    <x v="0"/>
    <x v="1"/>
    <x v="2"/>
    <s v="EE_Urban"/>
    <x v="4"/>
    <s v="GNR_ENG_NGAS_EXT_E-44"/>
    <x v="0"/>
    <x v="9"/>
    <n v="1"/>
    <n v="365"/>
    <n v="1314"/>
  </r>
  <r>
    <x v="0"/>
    <x v="0"/>
    <x v="0"/>
    <x v="1"/>
    <x v="2"/>
    <s v="EE_Urban"/>
    <x v="4"/>
    <s v="GNR_ENG_NGAS_EXT_E-44"/>
    <x v="0"/>
    <x v="10"/>
    <n v="1"/>
    <n v="365"/>
    <n v="1314"/>
  </r>
  <r>
    <x v="0"/>
    <x v="0"/>
    <x v="0"/>
    <x v="1"/>
    <x v="2"/>
    <s v="EE_Urban"/>
    <x v="4"/>
    <s v="GNR_ENG_NGAS_EXT_E-44"/>
    <x v="0"/>
    <x v="11"/>
    <n v="1"/>
    <n v="365"/>
    <n v="1314"/>
  </r>
  <r>
    <x v="0"/>
    <x v="0"/>
    <x v="0"/>
    <x v="1"/>
    <x v="2"/>
    <s v="EE_Urban"/>
    <x v="4"/>
    <s v="GNR_ENG_NGAS_EXT_E-44"/>
    <x v="0"/>
    <x v="12"/>
    <n v="1"/>
    <n v="365"/>
    <n v="1314"/>
  </r>
  <r>
    <x v="0"/>
    <x v="0"/>
    <x v="0"/>
    <x v="1"/>
    <x v="2"/>
    <s v="EE_Urban"/>
    <x v="4"/>
    <s v="GNR_ENG_NGAS_EXT_E-44"/>
    <x v="0"/>
    <x v="13"/>
    <n v="1"/>
    <n v="365"/>
    <n v="1314"/>
  </r>
  <r>
    <x v="0"/>
    <x v="0"/>
    <x v="0"/>
    <x v="1"/>
    <x v="2"/>
    <s v="EE_Urban"/>
    <x v="4"/>
    <s v="GNR_ENG_NGAS_EXT_E-44"/>
    <x v="0"/>
    <x v="14"/>
    <n v="1"/>
    <n v="365"/>
    <n v="1314"/>
  </r>
  <r>
    <x v="0"/>
    <x v="0"/>
    <x v="0"/>
    <x v="1"/>
    <x v="2"/>
    <s v="EE_Urban"/>
    <x v="4"/>
    <s v="GNR_ENG_NGAS_EXT_E-44"/>
    <x v="0"/>
    <x v="15"/>
    <n v="1"/>
    <n v="365"/>
    <n v="1314"/>
  </r>
  <r>
    <x v="0"/>
    <x v="0"/>
    <x v="0"/>
    <x v="1"/>
    <x v="2"/>
    <s v="EE_Urban"/>
    <x v="4"/>
    <s v="GNR_ENG_NGAS_EXT_E-44"/>
    <x v="0"/>
    <x v="16"/>
    <n v="1"/>
    <n v="365"/>
    <n v="1314"/>
  </r>
  <r>
    <x v="0"/>
    <x v="0"/>
    <x v="0"/>
    <x v="1"/>
    <x v="2"/>
    <s v="EE_Urban"/>
    <x v="4"/>
    <s v="GNR_ENG_NGAS_EXT_E-44"/>
    <x v="0"/>
    <x v="17"/>
    <n v="1"/>
    <n v="365"/>
    <n v="1314"/>
  </r>
  <r>
    <x v="0"/>
    <x v="0"/>
    <x v="0"/>
    <x v="1"/>
    <x v="2"/>
    <s v="EE_Urban"/>
    <x v="4"/>
    <s v="GNR_ENG_NGAS_EXT_E-44"/>
    <x v="0"/>
    <x v="18"/>
    <n v="1"/>
    <n v="365"/>
    <n v="1314"/>
  </r>
  <r>
    <x v="0"/>
    <x v="0"/>
    <x v="0"/>
    <x v="1"/>
    <x v="2"/>
    <s v="EE_Urban"/>
    <x v="4"/>
    <s v="GNR_ENG_NGAS_EXT_E-44"/>
    <x v="0"/>
    <x v="19"/>
    <n v="1"/>
    <n v="365"/>
    <n v="1314"/>
  </r>
  <r>
    <x v="0"/>
    <x v="0"/>
    <x v="0"/>
    <x v="1"/>
    <x v="2"/>
    <s v="EE_Urban"/>
    <x v="4"/>
    <s v="GNR_ENG_NGAS_EXT_E-44"/>
    <x v="0"/>
    <x v="20"/>
    <n v="1"/>
    <n v="365"/>
    <n v="1314"/>
  </r>
  <r>
    <x v="0"/>
    <x v="0"/>
    <x v="0"/>
    <x v="1"/>
    <x v="2"/>
    <s v="EE_Urban"/>
    <x v="4"/>
    <s v="GNR_ENG_NGAS_EXT_E-44"/>
    <x v="0"/>
    <x v="21"/>
    <n v="1"/>
    <n v="365"/>
    <n v="1314"/>
  </r>
  <r>
    <x v="0"/>
    <x v="0"/>
    <x v="0"/>
    <x v="1"/>
    <x v="2"/>
    <s v="EE_Urban"/>
    <x v="4"/>
    <s v="GNR_ENG_NGAS_EXT_E-44"/>
    <x v="0"/>
    <x v="22"/>
    <n v="1"/>
    <n v="365"/>
    <n v="1314"/>
  </r>
  <r>
    <x v="0"/>
    <x v="0"/>
    <x v="0"/>
    <x v="1"/>
    <x v="2"/>
    <s v="EE_Urban"/>
    <x v="4"/>
    <s v="GNR_ENG_NGAS_EXT_E-44"/>
    <x v="0"/>
    <x v="23"/>
    <n v="1"/>
    <n v="365"/>
    <n v="1314"/>
  </r>
  <r>
    <x v="0"/>
    <x v="0"/>
    <x v="0"/>
    <x v="1"/>
    <x v="2"/>
    <s v="EE_Urban"/>
    <x v="10"/>
    <s v="GNR_ST_WOOD_BP_E-53"/>
    <x v="0"/>
    <x v="0"/>
    <n v="12"/>
    <n v="4380"/>
    <n v="15768"/>
  </r>
  <r>
    <x v="0"/>
    <x v="0"/>
    <x v="0"/>
    <x v="1"/>
    <x v="2"/>
    <s v="EE_Urban"/>
    <x v="10"/>
    <s v="GNR_ST_WOOD_BP_E-53"/>
    <x v="0"/>
    <x v="1"/>
    <n v="12"/>
    <n v="4380"/>
    <n v="15768"/>
  </r>
  <r>
    <x v="0"/>
    <x v="0"/>
    <x v="0"/>
    <x v="1"/>
    <x v="2"/>
    <s v="EE_Urban"/>
    <x v="10"/>
    <s v="GNR_ST_WOOD_BP_E-53"/>
    <x v="0"/>
    <x v="2"/>
    <n v="12"/>
    <n v="4380"/>
    <n v="15768"/>
  </r>
  <r>
    <x v="0"/>
    <x v="0"/>
    <x v="0"/>
    <x v="1"/>
    <x v="2"/>
    <s v="EE_Urban"/>
    <x v="10"/>
    <s v="GNR_ST_WOOD_BP_E-53"/>
    <x v="0"/>
    <x v="3"/>
    <n v="12"/>
    <n v="4380"/>
    <n v="15768"/>
  </r>
  <r>
    <x v="0"/>
    <x v="0"/>
    <x v="0"/>
    <x v="1"/>
    <x v="2"/>
    <s v="EE_Urban"/>
    <x v="10"/>
    <s v="GNR_ST_WOOD_BP_E-53"/>
    <x v="0"/>
    <x v="4"/>
    <n v="12"/>
    <n v="4380"/>
    <n v="15768"/>
  </r>
  <r>
    <x v="0"/>
    <x v="0"/>
    <x v="0"/>
    <x v="1"/>
    <x v="2"/>
    <s v="EE_Urban"/>
    <x v="10"/>
    <s v="GNR_ST_WOOD_BP_E-53"/>
    <x v="0"/>
    <x v="5"/>
    <n v="12"/>
    <n v="4380"/>
    <n v="15768"/>
  </r>
  <r>
    <x v="0"/>
    <x v="0"/>
    <x v="0"/>
    <x v="1"/>
    <x v="2"/>
    <s v="EE_Urban"/>
    <x v="10"/>
    <s v="GNR_ST_WOOD_BP_E-53"/>
    <x v="0"/>
    <x v="6"/>
    <n v="12"/>
    <n v="4380"/>
    <n v="15768"/>
  </r>
  <r>
    <x v="0"/>
    <x v="0"/>
    <x v="0"/>
    <x v="1"/>
    <x v="2"/>
    <s v="EE_Urban"/>
    <x v="10"/>
    <s v="GNR_ST_WOOD_BP_E-53"/>
    <x v="0"/>
    <x v="7"/>
    <n v="12"/>
    <n v="4380"/>
    <n v="15768"/>
  </r>
  <r>
    <x v="0"/>
    <x v="0"/>
    <x v="0"/>
    <x v="1"/>
    <x v="2"/>
    <s v="EE_Urban"/>
    <x v="10"/>
    <s v="GNR_ST_WOOD_BP_E-53"/>
    <x v="0"/>
    <x v="8"/>
    <n v="12"/>
    <n v="4380"/>
    <n v="15768"/>
  </r>
  <r>
    <x v="0"/>
    <x v="0"/>
    <x v="0"/>
    <x v="1"/>
    <x v="2"/>
    <s v="EE_Urban"/>
    <x v="10"/>
    <s v="GNR_ST_WOOD_BP_E-53"/>
    <x v="0"/>
    <x v="9"/>
    <n v="12"/>
    <n v="4380"/>
    <n v="15768"/>
  </r>
  <r>
    <x v="0"/>
    <x v="0"/>
    <x v="0"/>
    <x v="1"/>
    <x v="2"/>
    <s v="EE_Urban"/>
    <x v="10"/>
    <s v="GNR_ST_WOOD_BP_E-53"/>
    <x v="0"/>
    <x v="10"/>
    <n v="12"/>
    <n v="4380"/>
    <n v="15768"/>
  </r>
  <r>
    <x v="0"/>
    <x v="0"/>
    <x v="0"/>
    <x v="1"/>
    <x v="2"/>
    <s v="EE_Urban"/>
    <x v="10"/>
    <s v="GNR_ST_WOOD_BP_E-53"/>
    <x v="0"/>
    <x v="11"/>
    <n v="12"/>
    <n v="4380"/>
    <n v="15768"/>
  </r>
  <r>
    <x v="0"/>
    <x v="0"/>
    <x v="0"/>
    <x v="1"/>
    <x v="2"/>
    <s v="EE_Urban"/>
    <x v="10"/>
    <s v="GNR_ST_WOOD_BP_E-53"/>
    <x v="0"/>
    <x v="12"/>
    <n v="12"/>
    <n v="4380"/>
    <n v="15768"/>
  </r>
  <r>
    <x v="0"/>
    <x v="0"/>
    <x v="0"/>
    <x v="1"/>
    <x v="2"/>
    <s v="EE_Urban"/>
    <x v="10"/>
    <s v="GNR_ST_WOOD_BP_E-53"/>
    <x v="0"/>
    <x v="13"/>
    <n v="12"/>
    <n v="4380"/>
    <n v="15768"/>
  </r>
  <r>
    <x v="0"/>
    <x v="0"/>
    <x v="0"/>
    <x v="1"/>
    <x v="2"/>
    <s v="EE_Urban"/>
    <x v="10"/>
    <s v="GNR_ST_WOOD_BP_E-53"/>
    <x v="0"/>
    <x v="14"/>
    <n v="12"/>
    <n v="4380"/>
    <n v="15768"/>
  </r>
  <r>
    <x v="0"/>
    <x v="0"/>
    <x v="0"/>
    <x v="1"/>
    <x v="2"/>
    <s v="EE_Urban"/>
    <x v="10"/>
    <s v="GNR_ST_WOOD_BP_E-53"/>
    <x v="0"/>
    <x v="15"/>
    <n v="12"/>
    <n v="4380"/>
    <n v="15768"/>
  </r>
  <r>
    <x v="0"/>
    <x v="0"/>
    <x v="0"/>
    <x v="1"/>
    <x v="2"/>
    <s v="EE_Urban"/>
    <x v="10"/>
    <s v="GNR_ST_WOOD_BP_E-53"/>
    <x v="0"/>
    <x v="16"/>
    <n v="12"/>
    <n v="4380"/>
    <n v="15768"/>
  </r>
  <r>
    <x v="0"/>
    <x v="0"/>
    <x v="0"/>
    <x v="1"/>
    <x v="2"/>
    <s v="EE_Urban"/>
    <x v="10"/>
    <s v="GNR_ST_WOOD_BP_E-53"/>
    <x v="0"/>
    <x v="17"/>
    <n v="12"/>
    <n v="4380"/>
    <n v="15768"/>
  </r>
  <r>
    <x v="0"/>
    <x v="0"/>
    <x v="0"/>
    <x v="1"/>
    <x v="2"/>
    <s v="EE_Urban"/>
    <x v="10"/>
    <s v="GNR_ST_WOOD_BP_E-53"/>
    <x v="0"/>
    <x v="18"/>
    <n v="12"/>
    <n v="4380"/>
    <n v="15768"/>
  </r>
  <r>
    <x v="0"/>
    <x v="0"/>
    <x v="0"/>
    <x v="1"/>
    <x v="2"/>
    <s v="EE_Urban"/>
    <x v="10"/>
    <s v="GNR_ST_WOOD_BP_E-53"/>
    <x v="0"/>
    <x v="19"/>
    <n v="12"/>
    <n v="4380"/>
    <n v="15768"/>
  </r>
  <r>
    <x v="0"/>
    <x v="0"/>
    <x v="0"/>
    <x v="1"/>
    <x v="2"/>
    <s v="EE_Urban"/>
    <x v="10"/>
    <s v="GNR_ST_WOOD_BP_E-53"/>
    <x v="0"/>
    <x v="20"/>
    <n v="12"/>
    <n v="4380"/>
    <n v="15768"/>
  </r>
  <r>
    <x v="0"/>
    <x v="0"/>
    <x v="0"/>
    <x v="1"/>
    <x v="2"/>
    <s v="EE_Urban"/>
    <x v="10"/>
    <s v="GNR_ST_WOOD_BP_E-53"/>
    <x v="0"/>
    <x v="21"/>
    <n v="12"/>
    <n v="4380"/>
    <n v="15768"/>
  </r>
  <r>
    <x v="0"/>
    <x v="0"/>
    <x v="0"/>
    <x v="1"/>
    <x v="2"/>
    <s v="EE_Urban"/>
    <x v="10"/>
    <s v="GNR_ST_WOOD_BP_E-53"/>
    <x v="0"/>
    <x v="22"/>
    <n v="12"/>
    <n v="4380"/>
    <n v="15768"/>
  </r>
  <r>
    <x v="0"/>
    <x v="0"/>
    <x v="0"/>
    <x v="1"/>
    <x v="2"/>
    <s v="EE_Urban"/>
    <x v="10"/>
    <s v="GNR_ST_WOOD_BP_E-53"/>
    <x v="0"/>
    <x v="23"/>
    <n v="12"/>
    <n v="4380"/>
    <n v="15768"/>
  </r>
  <r>
    <x v="0"/>
    <x v="0"/>
    <x v="0"/>
    <x v="2"/>
    <x v="3"/>
    <s v="FIN_EL"/>
    <x v="12"/>
    <s v="GETOH_ELECTRICBOILER"/>
    <x v="0"/>
    <x v="6"/>
    <n v="54.432468699949098"/>
    <n v="19867.851075481401"/>
    <n v="71524.263871733099"/>
  </r>
  <r>
    <x v="0"/>
    <x v="0"/>
    <x v="0"/>
    <x v="2"/>
    <x v="3"/>
    <s v="FIN_EL"/>
    <x v="12"/>
    <s v="GETOH_ELECTRICBOILER"/>
    <x v="0"/>
    <x v="8"/>
    <n v="95.6"/>
    <n v="34894"/>
    <n v="125618.4"/>
  </r>
  <r>
    <x v="0"/>
    <x v="0"/>
    <x v="0"/>
    <x v="2"/>
    <x v="3"/>
    <s v="FIN_EL"/>
    <x v="12"/>
    <s v="GETOH_ELECTRICBOILER"/>
    <x v="0"/>
    <x v="9"/>
    <n v="95.6"/>
    <n v="34894"/>
    <n v="125618.4"/>
  </r>
  <r>
    <x v="0"/>
    <x v="0"/>
    <x v="0"/>
    <x v="2"/>
    <x v="3"/>
    <s v="FIN_EL"/>
    <x v="12"/>
    <s v="GETOH_ELECTRICBOILER"/>
    <x v="0"/>
    <x v="10"/>
    <n v="87.369497517051499"/>
    <n v="31889.8665937238"/>
    <n v="114803.51973740599"/>
  </r>
  <r>
    <x v="0"/>
    <x v="0"/>
    <x v="0"/>
    <x v="2"/>
    <x v="3"/>
    <s v="FIN_EL"/>
    <x v="12"/>
    <s v="GETOH_ELECTRICBOILER"/>
    <x v="0"/>
    <x v="11"/>
    <n v="80.845496712662097"/>
    <n v="29508.606300121701"/>
    <n v="106230.982680438"/>
  </r>
  <r>
    <x v="0"/>
    <x v="0"/>
    <x v="0"/>
    <x v="2"/>
    <x v="3"/>
    <s v="FIN_EL"/>
    <x v="12"/>
    <s v="GETOH_ELECTRICBOILER"/>
    <x v="0"/>
    <x v="12"/>
    <n v="77.766201969257096"/>
    <n v="28384.663718778898"/>
    <n v="102184.789387604"/>
  </r>
  <r>
    <x v="0"/>
    <x v="0"/>
    <x v="0"/>
    <x v="2"/>
    <x v="3"/>
    <s v="FIN_EL"/>
    <x v="12"/>
    <s v="GETOH_ELECTRICBOILER"/>
    <x v="0"/>
    <x v="13"/>
    <n v="76.868374965384504"/>
    <n v="28056.956862365299"/>
    <n v="101005.04470451501"/>
  </r>
  <r>
    <x v="0"/>
    <x v="0"/>
    <x v="0"/>
    <x v="2"/>
    <x v="3"/>
    <s v="FIN_EL"/>
    <x v="12"/>
    <s v="GETOH_ELECTRICBOILER"/>
    <x v="0"/>
    <x v="14"/>
    <n v="78.602976439165204"/>
    <n v="28690.086400295299"/>
    <n v="103284.311041063"/>
  </r>
  <r>
    <x v="0"/>
    <x v="0"/>
    <x v="0"/>
    <x v="2"/>
    <x v="3"/>
    <s v="FIN_EL"/>
    <x v="12"/>
    <s v="GETOH_ELECTRICBOILER"/>
    <x v="0"/>
    <x v="15"/>
    <n v="8.2243232275429392"/>
    <n v="3001.87797805317"/>
    <n v="10806.7607209914"/>
  </r>
  <r>
    <x v="0"/>
    <x v="0"/>
    <x v="0"/>
    <x v="2"/>
    <x v="3"/>
    <s v="FIN_EL"/>
    <x v="12"/>
    <s v="GETOH_ELECTRICBOILER"/>
    <x v="0"/>
    <x v="16"/>
    <n v="73.823951968734306"/>
    <n v="26945.742468588"/>
    <n v="97004.6728869168"/>
  </r>
  <r>
    <x v="0"/>
    <x v="0"/>
    <x v="0"/>
    <x v="2"/>
    <x v="3"/>
    <s v="FIN_EL"/>
    <x v="12"/>
    <s v="GETOH_ELECTRICBOILER"/>
    <x v="0"/>
    <x v="17"/>
    <n v="2.3539670693788901"/>
    <n v="859.19798032329402"/>
    <n v="3093.11272916386"/>
  </r>
  <r>
    <x v="0"/>
    <x v="0"/>
    <x v="0"/>
    <x v="2"/>
    <x v="3"/>
    <s v="FIN_EL"/>
    <x v="12"/>
    <s v="GETOH_ELECTRICBOILER"/>
    <x v="0"/>
    <x v="18"/>
    <n v="64.918299048508402"/>
    <n v="23695.179152705601"/>
    <n v="85302.644949740003"/>
  </r>
  <r>
    <x v="0"/>
    <x v="0"/>
    <x v="0"/>
    <x v="2"/>
    <x v="3"/>
    <s v="FIN_EL"/>
    <x v="12"/>
    <s v="GETOH_ELECTRICBOILER"/>
    <x v="0"/>
    <x v="19"/>
    <n v="58.075504771856998"/>
    <n v="21197.559241727799"/>
    <n v="76311.213270220105"/>
  </r>
  <r>
    <x v="0"/>
    <x v="0"/>
    <x v="0"/>
    <x v="2"/>
    <x v="3"/>
    <s v="FIN_EL"/>
    <x v="12"/>
    <s v="GETOH_ELECTRICBOILER"/>
    <x v="0"/>
    <x v="20"/>
    <n v="49.068944736885598"/>
    <n v="17910.164828963301"/>
    <n v="64476.593384267697"/>
  </r>
  <r>
    <x v="0"/>
    <x v="0"/>
    <x v="0"/>
    <x v="2"/>
    <x v="3"/>
    <s v="FIN_EL"/>
    <x v="12"/>
    <s v="GETOH_ELECTRICBOILER"/>
    <x v="0"/>
    <x v="21"/>
    <n v="43.293159313763098"/>
    <n v="15802.0031495235"/>
    <n v="56887.211338284797"/>
  </r>
  <r>
    <x v="0"/>
    <x v="0"/>
    <x v="0"/>
    <x v="2"/>
    <x v="3"/>
    <s v="FIN_EL"/>
    <x v="12"/>
    <s v="GETOH_ELECTRICBOILER"/>
    <x v="0"/>
    <x v="22"/>
    <n v="23.860498127127599"/>
    <n v="8709.0818164015709"/>
    <n v="31352.6945390457"/>
  </r>
  <r>
    <x v="0"/>
    <x v="0"/>
    <x v="0"/>
    <x v="2"/>
    <x v="3"/>
    <s v="FIN_EL"/>
    <x v="12"/>
    <s v="GETOH_ELECTRICBOILER"/>
    <x v="0"/>
    <x v="23"/>
    <n v="6.1427048489193901"/>
    <n v="2242.08726985558"/>
    <n v="8071.5141714800802"/>
  </r>
  <r>
    <x v="0"/>
    <x v="0"/>
    <x v="0"/>
    <x v="2"/>
    <x v="3"/>
    <s v="FIN_EL"/>
    <x v="2"/>
    <s v="GNR_HS_HEAT_WTR-TANK_LS_E-95_Y-2010"/>
    <x v="0"/>
    <x v="7"/>
    <n v="89.840361226769005"/>
    <n v="32791.731847770701"/>
    <n v="118050.23465197399"/>
  </r>
  <r>
    <x v="0"/>
    <x v="0"/>
    <x v="0"/>
    <x v="2"/>
    <x v="3"/>
    <s v="FIN_EL"/>
    <x v="2"/>
    <s v="GNR_HS_HEAT_WTR-TANK_LS_E-95_Y-2010"/>
    <x v="0"/>
    <x v="8"/>
    <n v="1.5037570276849299"/>
    <n v="548.87131510499796"/>
    <n v="1975.93673437799"/>
  </r>
  <r>
    <x v="0"/>
    <x v="0"/>
    <x v="0"/>
    <x v="2"/>
    <x v="3"/>
    <s v="FIN_EL"/>
    <x v="2"/>
    <s v="GNR_HS_HEAT_WTR-TANK_LS_E-95_Y-2010"/>
    <x v="0"/>
    <x v="9"/>
    <n v="4.5869530598109396"/>
    <n v="1674.23786683099"/>
    <n v="6027.2563205915703"/>
  </r>
  <r>
    <x v="0"/>
    <x v="0"/>
    <x v="0"/>
    <x v="2"/>
    <x v="3"/>
    <s v="FIN_EL"/>
    <x v="2"/>
    <s v="GNR_HS_HEAT_WTR-TANK_LS_E-95_Y-2010"/>
    <x v="0"/>
    <x v="15"/>
    <n v="84.755691979092404"/>
    <n v="30935.8275723687"/>
    <n v="111368.979260527"/>
  </r>
  <r>
    <x v="0"/>
    <x v="0"/>
    <x v="0"/>
    <x v="2"/>
    <x v="3"/>
    <s v="FIN_EL"/>
    <x v="2"/>
    <s v="GNR_HS_HEAT_WTR-TANK_LS_E-95_Y-2010"/>
    <x v="0"/>
    <x v="17"/>
    <n v="60.350330170666197"/>
    <n v="22027.870512293201"/>
    <n v="79300.333844255394"/>
  </r>
  <r>
    <x v="0"/>
    <x v="0"/>
    <x v="0"/>
    <x v="2"/>
    <x v="3"/>
    <s v="FIN_EL"/>
    <x v="7"/>
    <s v="GBPR_WOODCHIPS"/>
    <x v="0"/>
    <x v="0"/>
    <n v="96.311475409836106"/>
    <n v="35153.688524590201"/>
    <n v="126553.278688525"/>
  </r>
  <r>
    <x v="0"/>
    <x v="0"/>
    <x v="0"/>
    <x v="2"/>
    <x v="3"/>
    <s v="FIN_EL"/>
    <x v="7"/>
    <s v="GBPR_WOODCHIPS"/>
    <x v="0"/>
    <x v="1"/>
    <n v="96.311475409836106"/>
    <n v="35153.688524590201"/>
    <n v="126553.278688525"/>
  </r>
  <r>
    <x v="0"/>
    <x v="0"/>
    <x v="0"/>
    <x v="2"/>
    <x v="3"/>
    <s v="FIN_EL"/>
    <x v="7"/>
    <s v="GBPR_WOODCHIPS"/>
    <x v="0"/>
    <x v="2"/>
    <n v="96.311475409836106"/>
    <n v="35153.688524590201"/>
    <n v="126553.278688525"/>
  </r>
  <r>
    <x v="0"/>
    <x v="0"/>
    <x v="0"/>
    <x v="2"/>
    <x v="3"/>
    <s v="FIN_EL"/>
    <x v="7"/>
    <s v="GBPR_WOODCHIPS"/>
    <x v="0"/>
    <x v="3"/>
    <n v="96.311475409836106"/>
    <n v="35153.688524590201"/>
    <n v="126553.278688525"/>
  </r>
  <r>
    <x v="0"/>
    <x v="0"/>
    <x v="0"/>
    <x v="2"/>
    <x v="3"/>
    <s v="FIN_EL"/>
    <x v="7"/>
    <s v="GBPR_WOODCHIPS"/>
    <x v="0"/>
    <x v="4"/>
    <n v="96.311475409836106"/>
    <n v="35153.688524590201"/>
    <n v="126553.278688525"/>
  </r>
  <r>
    <x v="0"/>
    <x v="0"/>
    <x v="0"/>
    <x v="2"/>
    <x v="3"/>
    <s v="FIN_EL"/>
    <x v="7"/>
    <s v="GBPR_WOODCHIPS"/>
    <x v="0"/>
    <x v="5"/>
    <n v="96.311475409836106"/>
    <n v="35153.688524590201"/>
    <n v="126553.278688525"/>
  </r>
  <r>
    <x v="0"/>
    <x v="0"/>
    <x v="0"/>
    <x v="2"/>
    <x v="3"/>
    <s v="FIN_EL"/>
    <x v="7"/>
    <s v="GBPR_WOODCHIPS"/>
    <x v="0"/>
    <x v="6"/>
    <n v="96.311475409836106"/>
    <n v="35153.688524590201"/>
    <n v="126553.278688525"/>
  </r>
  <r>
    <x v="0"/>
    <x v="0"/>
    <x v="0"/>
    <x v="2"/>
    <x v="3"/>
    <s v="FIN_EL"/>
    <x v="7"/>
    <s v="GBPR_WOODCHIPS"/>
    <x v="0"/>
    <x v="7"/>
    <n v="96.311475409836106"/>
    <n v="35153.688524590201"/>
    <n v="126553.278688525"/>
  </r>
  <r>
    <x v="0"/>
    <x v="0"/>
    <x v="0"/>
    <x v="2"/>
    <x v="3"/>
    <s v="FIN_EL"/>
    <x v="7"/>
    <s v="GBPR_WOODCHIPS"/>
    <x v="0"/>
    <x v="8"/>
    <n v="96.311475409836106"/>
    <n v="35153.688524590201"/>
    <n v="126553.278688525"/>
  </r>
  <r>
    <x v="0"/>
    <x v="0"/>
    <x v="0"/>
    <x v="2"/>
    <x v="3"/>
    <s v="FIN_EL"/>
    <x v="7"/>
    <s v="GBPR_WOODCHIPS"/>
    <x v="0"/>
    <x v="9"/>
    <n v="96.311475409836106"/>
    <n v="35153.688524590201"/>
    <n v="126553.278688525"/>
  </r>
  <r>
    <x v="0"/>
    <x v="0"/>
    <x v="0"/>
    <x v="2"/>
    <x v="3"/>
    <s v="FIN_EL"/>
    <x v="7"/>
    <s v="GBPR_WOODCHIPS"/>
    <x v="0"/>
    <x v="10"/>
    <n v="96.311475409836106"/>
    <n v="35153.688524590201"/>
    <n v="126553.278688525"/>
  </r>
  <r>
    <x v="0"/>
    <x v="0"/>
    <x v="0"/>
    <x v="2"/>
    <x v="3"/>
    <s v="FIN_EL"/>
    <x v="7"/>
    <s v="GBPR_WOODCHIPS"/>
    <x v="0"/>
    <x v="11"/>
    <n v="96.311475409836106"/>
    <n v="35153.688524590201"/>
    <n v="126553.278688525"/>
  </r>
  <r>
    <x v="0"/>
    <x v="0"/>
    <x v="0"/>
    <x v="2"/>
    <x v="3"/>
    <s v="FIN_EL"/>
    <x v="7"/>
    <s v="GBPR_WOODCHIPS"/>
    <x v="0"/>
    <x v="12"/>
    <n v="96.311475409836106"/>
    <n v="35153.688524590201"/>
    <n v="126553.278688525"/>
  </r>
  <r>
    <x v="0"/>
    <x v="0"/>
    <x v="0"/>
    <x v="2"/>
    <x v="3"/>
    <s v="FIN_EL"/>
    <x v="7"/>
    <s v="GBPR_WOODCHIPS"/>
    <x v="0"/>
    <x v="13"/>
    <n v="96.311475409836106"/>
    <n v="35153.688524590201"/>
    <n v="126553.278688525"/>
  </r>
  <r>
    <x v="0"/>
    <x v="0"/>
    <x v="0"/>
    <x v="2"/>
    <x v="3"/>
    <s v="FIN_EL"/>
    <x v="7"/>
    <s v="GBPR_WOODCHIPS"/>
    <x v="0"/>
    <x v="14"/>
    <n v="96.311475409836106"/>
    <n v="35153.688524590201"/>
    <n v="126553.278688525"/>
  </r>
  <r>
    <x v="0"/>
    <x v="0"/>
    <x v="0"/>
    <x v="2"/>
    <x v="3"/>
    <s v="FIN_EL"/>
    <x v="7"/>
    <s v="GBPR_WOODCHIPS"/>
    <x v="0"/>
    <x v="15"/>
    <n v="96.311475409836106"/>
    <n v="35153.688524590201"/>
    <n v="126553.278688525"/>
  </r>
  <r>
    <x v="0"/>
    <x v="0"/>
    <x v="0"/>
    <x v="2"/>
    <x v="3"/>
    <s v="FIN_EL"/>
    <x v="7"/>
    <s v="GBPR_WOODCHIPS"/>
    <x v="0"/>
    <x v="16"/>
    <n v="96.311475409836106"/>
    <n v="35153.688524590201"/>
    <n v="126553.278688525"/>
  </r>
  <r>
    <x v="0"/>
    <x v="0"/>
    <x v="0"/>
    <x v="2"/>
    <x v="3"/>
    <s v="FIN_EL"/>
    <x v="7"/>
    <s v="GBPR_WOODCHIPS"/>
    <x v="0"/>
    <x v="17"/>
    <n v="96.311475409836106"/>
    <n v="35153.688524590201"/>
    <n v="126553.278688525"/>
  </r>
  <r>
    <x v="0"/>
    <x v="0"/>
    <x v="0"/>
    <x v="2"/>
    <x v="3"/>
    <s v="FIN_EL"/>
    <x v="7"/>
    <s v="GBPR_WOODCHIPS"/>
    <x v="0"/>
    <x v="18"/>
    <n v="96.311475409836106"/>
    <n v="35153.688524590201"/>
    <n v="126553.278688525"/>
  </r>
  <r>
    <x v="0"/>
    <x v="0"/>
    <x v="0"/>
    <x v="2"/>
    <x v="3"/>
    <s v="FIN_EL"/>
    <x v="7"/>
    <s v="GBPR_WOODCHIPS"/>
    <x v="0"/>
    <x v="19"/>
    <n v="96.311475409836106"/>
    <n v="35153.688524590201"/>
    <n v="126553.278688525"/>
  </r>
  <r>
    <x v="0"/>
    <x v="0"/>
    <x v="0"/>
    <x v="2"/>
    <x v="3"/>
    <s v="FIN_EL"/>
    <x v="7"/>
    <s v="GBPR_WOODCHIPS"/>
    <x v="0"/>
    <x v="20"/>
    <n v="96.311475409836106"/>
    <n v="35153.688524590201"/>
    <n v="126553.278688525"/>
  </r>
  <r>
    <x v="0"/>
    <x v="0"/>
    <x v="0"/>
    <x v="2"/>
    <x v="3"/>
    <s v="FIN_EL"/>
    <x v="7"/>
    <s v="GBPR_WOODCHIPS"/>
    <x v="0"/>
    <x v="21"/>
    <n v="96.311475409836106"/>
    <n v="35153.688524590201"/>
    <n v="126553.278688525"/>
  </r>
  <r>
    <x v="0"/>
    <x v="0"/>
    <x v="0"/>
    <x v="2"/>
    <x v="3"/>
    <s v="FIN_EL"/>
    <x v="7"/>
    <s v="GBPR_WOODCHIPS"/>
    <x v="0"/>
    <x v="22"/>
    <n v="96.311475409836106"/>
    <n v="35153.688524590201"/>
    <n v="126553.278688525"/>
  </r>
  <r>
    <x v="0"/>
    <x v="0"/>
    <x v="0"/>
    <x v="2"/>
    <x v="3"/>
    <s v="FIN_EL"/>
    <x v="7"/>
    <s v="GBPR_WOODCHIPS"/>
    <x v="0"/>
    <x v="23"/>
    <n v="96.311475409836106"/>
    <n v="35153.688524590201"/>
    <n v="126553.278688525"/>
  </r>
  <r>
    <x v="0"/>
    <x v="0"/>
    <x v="0"/>
    <x v="2"/>
    <x v="3"/>
    <s v="FIN_EL"/>
    <x v="7"/>
    <s v="GHOB_WOODCHIPS"/>
    <x v="0"/>
    <x v="0"/>
    <n v="30"/>
    <n v="10950"/>
    <n v="39420"/>
  </r>
  <r>
    <x v="0"/>
    <x v="0"/>
    <x v="0"/>
    <x v="2"/>
    <x v="3"/>
    <s v="FIN_EL"/>
    <x v="7"/>
    <s v="GHOB_WOODCHIPS"/>
    <x v="0"/>
    <x v="1"/>
    <n v="30"/>
    <n v="10950"/>
    <n v="39420"/>
  </r>
  <r>
    <x v="0"/>
    <x v="0"/>
    <x v="0"/>
    <x v="2"/>
    <x v="3"/>
    <s v="FIN_EL"/>
    <x v="7"/>
    <s v="GHOB_WOODCHIPS"/>
    <x v="0"/>
    <x v="2"/>
    <n v="30"/>
    <n v="10950"/>
    <n v="39420"/>
  </r>
  <r>
    <x v="0"/>
    <x v="0"/>
    <x v="0"/>
    <x v="2"/>
    <x v="3"/>
    <s v="FIN_EL"/>
    <x v="7"/>
    <s v="GHOB_WOODCHIPS"/>
    <x v="0"/>
    <x v="3"/>
    <n v="30"/>
    <n v="10950"/>
    <n v="39420"/>
  </r>
  <r>
    <x v="0"/>
    <x v="0"/>
    <x v="0"/>
    <x v="2"/>
    <x v="3"/>
    <s v="FIN_EL"/>
    <x v="7"/>
    <s v="GHOB_WOODCHIPS"/>
    <x v="0"/>
    <x v="4"/>
    <n v="30"/>
    <n v="10950"/>
    <n v="39420"/>
  </r>
  <r>
    <x v="0"/>
    <x v="0"/>
    <x v="0"/>
    <x v="2"/>
    <x v="3"/>
    <s v="FIN_EL"/>
    <x v="7"/>
    <s v="GHOB_WOODCHIPS"/>
    <x v="0"/>
    <x v="5"/>
    <n v="30"/>
    <n v="10950"/>
    <n v="39420"/>
  </r>
  <r>
    <x v="0"/>
    <x v="0"/>
    <x v="0"/>
    <x v="2"/>
    <x v="3"/>
    <s v="FIN_EL"/>
    <x v="7"/>
    <s v="GHOB_WOODCHIPS"/>
    <x v="0"/>
    <x v="6"/>
    <n v="30"/>
    <n v="10950"/>
    <n v="39420"/>
  </r>
  <r>
    <x v="0"/>
    <x v="0"/>
    <x v="0"/>
    <x v="2"/>
    <x v="3"/>
    <s v="FIN_EL"/>
    <x v="7"/>
    <s v="GHOB_WOODCHIPS"/>
    <x v="0"/>
    <x v="7"/>
    <n v="30"/>
    <n v="10950"/>
    <n v="39420"/>
  </r>
  <r>
    <x v="0"/>
    <x v="0"/>
    <x v="0"/>
    <x v="2"/>
    <x v="3"/>
    <s v="FIN_EL"/>
    <x v="7"/>
    <s v="GHOB_WOODCHIPS"/>
    <x v="0"/>
    <x v="8"/>
    <n v="30"/>
    <n v="10950"/>
    <n v="39420"/>
  </r>
  <r>
    <x v="0"/>
    <x v="0"/>
    <x v="0"/>
    <x v="2"/>
    <x v="3"/>
    <s v="FIN_EL"/>
    <x v="7"/>
    <s v="GHOB_WOODCHIPS"/>
    <x v="0"/>
    <x v="9"/>
    <n v="30"/>
    <n v="10950"/>
    <n v="39420"/>
  </r>
  <r>
    <x v="0"/>
    <x v="0"/>
    <x v="0"/>
    <x v="2"/>
    <x v="3"/>
    <s v="FIN_EL"/>
    <x v="7"/>
    <s v="GHOB_WOODCHIPS"/>
    <x v="0"/>
    <x v="10"/>
    <n v="30"/>
    <n v="10950"/>
    <n v="39420"/>
  </r>
  <r>
    <x v="0"/>
    <x v="0"/>
    <x v="0"/>
    <x v="2"/>
    <x v="3"/>
    <s v="FIN_EL"/>
    <x v="7"/>
    <s v="GHOB_WOODCHIPS"/>
    <x v="0"/>
    <x v="11"/>
    <n v="30"/>
    <n v="10950"/>
    <n v="39420"/>
  </r>
  <r>
    <x v="0"/>
    <x v="0"/>
    <x v="0"/>
    <x v="2"/>
    <x v="3"/>
    <s v="FIN_EL"/>
    <x v="7"/>
    <s v="GHOB_WOODCHIPS"/>
    <x v="0"/>
    <x v="12"/>
    <n v="30"/>
    <n v="10950"/>
    <n v="39420"/>
  </r>
  <r>
    <x v="0"/>
    <x v="0"/>
    <x v="0"/>
    <x v="2"/>
    <x v="3"/>
    <s v="FIN_EL"/>
    <x v="7"/>
    <s v="GHOB_WOODCHIPS"/>
    <x v="0"/>
    <x v="13"/>
    <n v="30"/>
    <n v="10950"/>
    <n v="39420"/>
  </r>
  <r>
    <x v="0"/>
    <x v="0"/>
    <x v="0"/>
    <x v="2"/>
    <x v="3"/>
    <s v="FIN_EL"/>
    <x v="7"/>
    <s v="GHOB_WOODCHIPS"/>
    <x v="0"/>
    <x v="14"/>
    <n v="30"/>
    <n v="10950"/>
    <n v="39420"/>
  </r>
  <r>
    <x v="0"/>
    <x v="0"/>
    <x v="0"/>
    <x v="2"/>
    <x v="3"/>
    <s v="FIN_EL"/>
    <x v="7"/>
    <s v="GHOB_WOODCHIPS"/>
    <x v="0"/>
    <x v="15"/>
    <n v="30"/>
    <n v="10950"/>
    <n v="39420"/>
  </r>
  <r>
    <x v="0"/>
    <x v="0"/>
    <x v="0"/>
    <x v="2"/>
    <x v="3"/>
    <s v="FIN_EL"/>
    <x v="7"/>
    <s v="GHOB_WOODCHIPS"/>
    <x v="0"/>
    <x v="16"/>
    <n v="30"/>
    <n v="10950"/>
    <n v="39420"/>
  </r>
  <r>
    <x v="0"/>
    <x v="0"/>
    <x v="0"/>
    <x v="2"/>
    <x v="3"/>
    <s v="FIN_EL"/>
    <x v="7"/>
    <s v="GHOB_WOODCHIPS"/>
    <x v="0"/>
    <x v="17"/>
    <n v="30"/>
    <n v="10950"/>
    <n v="39420"/>
  </r>
  <r>
    <x v="0"/>
    <x v="0"/>
    <x v="0"/>
    <x v="2"/>
    <x v="3"/>
    <s v="FIN_EL"/>
    <x v="7"/>
    <s v="GHOB_WOODCHIPS"/>
    <x v="0"/>
    <x v="18"/>
    <n v="30"/>
    <n v="10950"/>
    <n v="39420"/>
  </r>
  <r>
    <x v="0"/>
    <x v="0"/>
    <x v="0"/>
    <x v="2"/>
    <x v="3"/>
    <s v="FIN_EL"/>
    <x v="7"/>
    <s v="GHOB_WOODCHIPS"/>
    <x v="0"/>
    <x v="19"/>
    <n v="30"/>
    <n v="10950"/>
    <n v="39420"/>
  </r>
  <r>
    <x v="0"/>
    <x v="0"/>
    <x v="0"/>
    <x v="2"/>
    <x v="3"/>
    <s v="FIN_EL"/>
    <x v="7"/>
    <s v="GHOB_WOODCHIPS"/>
    <x v="0"/>
    <x v="20"/>
    <n v="30"/>
    <n v="10950"/>
    <n v="39420"/>
  </r>
  <r>
    <x v="0"/>
    <x v="0"/>
    <x v="0"/>
    <x v="2"/>
    <x v="3"/>
    <s v="FIN_EL"/>
    <x v="7"/>
    <s v="GHOB_WOODCHIPS"/>
    <x v="0"/>
    <x v="21"/>
    <n v="30"/>
    <n v="10950"/>
    <n v="39420"/>
  </r>
  <r>
    <x v="0"/>
    <x v="0"/>
    <x v="0"/>
    <x v="2"/>
    <x v="3"/>
    <s v="FIN_EL"/>
    <x v="7"/>
    <s v="GHOB_WOODCHIPS"/>
    <x v="0"/>
    <x v="22"/>
    <n v="30"/>
    <n v="10950"/>
    <n v="39420"/>
  </r>
  <r>
    <x v="0"/>
    <x v="0"/>
    <x v="0"/>
    <x v="2"/>
    <x v="3"/>
    <s v="FIN_EL"/>
    <x v="7"/>
    <s v="GHOB_WOODCHIPS"/>
    <x v="0"/>
    <x v="23"/>
    <n v="30"/>
    <n v="10950"/>
    <n v="39420"/>
  </r>
  <r>
    <x v="0"/>
    <x v="0"/>
    <x v="0"/>
    <x v="2"/>
    <x v="3"/>
    <s v="FIN_EL"/>
    <x v="9"/>
    <s v="GBPR_WOODWASTE_FINEL"/>
    <x v="0"/>
    <x v="0"/>
    <n v="200"/>
    <n v="73000"/>
    <n v="262800"/>
  </r>
  <r>
    <x v="0"/>
    <x v="0"/>
    <x v="0"/>
    <x v="2"/>
    <x v="3"/>
    <s v="FIN_EL"/>
    <x v="9"/>
    <s v="GBPR_WOODWASTE_FINEL"/>
    <x v="0"/>
    <x v="1"/>
    <n v="200"/>
    <n v="73000"/>
    <n v="262800"/>
  </r>
  <r>
    <x v="0"/>
    <x v="0"/>
    <x v="0"/>
    <x v="2"/>
    <x v="3"/>
    <s v="FIN_EL"/>
    <x v="9"/>
    <s v="GBPR_WOODWASTE_FINEL"/>
    <x v="0"/>
    <x v="2"/>
    <n v="200"/>
    <n v="73000"/>
    <n v="262800"/>
  </r>
  <r>
    <x v="0"/>
    <x v="0"/>
    <x v="0"/>
    <x v="2"/>
    <x v="3"/>
    <s v="FIN_EL"/>
    <x v="9"/>
    <s v="GBPR_WOODWASTE_FINEL"/>
    <x v="0"/>
    <x v="3"/>
    <n v="200"/>
    <n v="73000"/>
    <n v="262800"/>
  </r>
  <r>
    <x v="0"/>
    <x v="0"/>
    <x v="0"/>
    <x v="2"/>
    <x v="3"/>
    <s v="FIN_EL"/>
    <x v="9"/>
    <s v="GBPR_WOODWASTE_FINEL"/>
    <x v="0"/>
    <x v="4"/>
    <n v="200"/>
    <n v="73000"/>
    <n v="262800"/>
  </r>
  <r>
    <x v="0"/>
    <x v="0"/>
    <x v="0"/>
    <x v="2"/>
    <x v="3"/>
    <s v="FIN_EL"/>
    <x v="9"/>
    <s v="GBPR_WOODWASTE_FINEL"/>
    <x v="0"/>
    <x v="5"/>
    <n v="200"/>
    <n v="73000"/>
    <n v="262800"/>
  </r>
  <r>
    <x v="0"/>
    <x v="0"/>
    <x v="0"/>
    <x v="2"/>
    <x v="3"/>
    <s v="FIN_EL"/>
    <x v="9"/>
    <s v="GBPR_WOODWASTE_FINEL"/>
    <x v="0"/>
    <x v="6"/>
    <n v="200"/>
    <n v="73000"/>
    <n v="262800"/>
  </r>
  <r>
    <x v="0"/>
    <x v="0"/>
    <x v="0"/>
    <x v="2"/>
    <x v="3"/>
    <s v="FIN_EL"/>
    <x v="9"/>
    <s v="GBPR_WOODWASTE_FINEL"/>
    <x v="0"/>
    <x v="7"/>
    <n v="200"/>
    <n v="73000"/>
    <n v="262800"/>
  </r>
  <r>
    <x v="0"/>
    <x v="0"/>
    <x v="0"/>
    <x v="2"/>
    <x v="3"/>
    <s v="FIN_EL"/>
    <x v="9"/>
    <s v="GBPR_WOODWASTE_FINEL"/>
    <x v="0"/>
    <x v="8"/>
    <n v="200"/>
    <n v="73000"/>
    <n v="262800"/>
  </r>
  <r>
    <x v="0"/>
    <x v="0"/>
    <x v="0"/>
    <x v="2"/>
    <x v="3"/>
    <s v="FIN_EL"/>
    <x v="9"/>
    <s v="GBPR_WOODWASTE_FINEL"/>
    <x v="0"/>
    <x v="9"/>
    <n v="200"/>
    <n v="73000"/>
    <n v="262800"/>
  </r>
  <r>
    <x v="0"/>
    <x v="0"/>
    <x v="0"/>
    <x v="2"/>
    <x v="3"/>
    <s v="FIN_EL"/>
    <x v="9"/>
    <s v="GBPR_WOODWASTE_FINEL"/>
    <x v="0"/>
    <x v="10"/>
    <n v="200"/>
    <n v="73000"/>
    <n v="262800"/>
  </r>
  <r>
    <x v="0"/>
    <x v="0"/>
    <x v="0"/>
    <x v="2"/>
    <x v="3"/>
    <s v="FIN_EL"/>
    <x v="9"/>
    <s v="GBPR_WOODWASTE_FINEL"/>
    <x v="0"/>
    <x v="11"/>
    <n v="200"/>
    <n v="73000"/>
    <n v="262800"/>
  </r>
  <r>
    <x v="0"/>
    <x v="0"/>
    <x v="0"/>
    <x v="2"/>
    <x v="3"/>
    <s v="FIN_EL"/>
    <x v="9"/>
    <s v="GBPR_WOODWASTE_FINEL"/>
    <x v="0"/>
    <x v="12"/>
    <n v="200"/>
    <n v="73000"/>
    <n v="262800"/>
  </r>
  <r>
    <x v="0"/>
    <x v="0"/>
    <x v="0"/>
    <x v="2"/>
    <x v="3"/>
    <s v="FIN_EL"/>
    <x v="9"/>
    <s v="GBPR_WOODWASTE_FINEL"/>
    <x v="0"/>
    <x v="13"/>
    <n v="200"/>
    <n v="73000"/>
    <n v="262800"/>
  </r>
  <r>
    <x v="0"/>
    <x v="0"/>
    <x v="0"/>
    <x v="2"/>
    <x v="3"/>
    <s v="FIN_EL"/>
    <x v="9"/>
    <s v="GBPR_WOODWASTE_FINEL"/>
    <x v="0"/>
    <x v="14"/>
    <n v="200"/>
    <n v="73000"/>
    <n v="262800"/>
  </r>
  <r>
    <x v="0"/>
    <x v="0"/>
    <x v="0"/>
    <x v="2"/>
    <x v="3"/>
    <s v="FIN_EL"/>
    <x v="9"/>
    <s v="GBPR_WOODWASTE_FINEL"/>
    <x v="0"/>
    <x v="15"/>
    <n v="200"/>
    <n v="73000"/>
    <n v="262800"/>
  </r>
  <r>
    <x v="0"/>
    <x v="0"/>
    <x v="0"/>
    <x v="2"/>
    <x v="3"/>
    <s v="FIN_EL"/>
    <x v="9"/>
    <s v="GBPR_WOODWASTE_FINEL"/>
    <x v="0"/>
    <x v="16"/>
    <n v="200"/>
    <n v="73000"/>
    <n v="262800"/>
  </r>
  <r>
    <x v="0"/>
    <x v="0"/>
    <x v="0"/>
    <x v="2"/>
    <x v="3"/>
    <s v="FIN_EL"/>
    <x v="9"/>
    <s v="GBPR_WOODWASTE_FINEL"/>
    <x v="0"/>
    <x v="17"/>
    <n v="200"/>
    <n v="73000"/>
    <n v="262800"/>
  </r>
  <r>
    <x v="0"/>
    <x v="0"/>
    <x v="0"/>
    <x v="2"/>
    <x v="3"/>
    <s v="FIN_EL"/>
    <x v="9"/>
    <s v="GBPR_WOODWASTE_FINEL"/>
    <x v="0"/>
    <x v="18"/>
    <n v="200"/>
    <n v="73000"/>
    <n v="262800"/>
  </r>
  <r>
    <x v="0"/>
    <x v="0"/>
    <x v="0"/>
    <x v="2"/>
    <x v="3"/>
    <s v="FIN_EL"/>
    <x v="9"/>
    <s v="GBPR_WOODWASTE_FINEL"/>
    <x v="0"/>
    <x v="19"/>
    <n v="200"/>
    <n v="73000"/>
    <n v="262800"/>
  </r>
  <r>
    <x v="0"/>
    <x v="0"/>
    <x v="0"/>
    <x v="2"/>
    <x v="3"/>
    <s v="FIN_EL"/>
    <x v="9"/>
    <s v="GBPR_WOODWASTE_FINEL"/>
    <x v="0"/>
    <x v="20"/>
    <n v="200"/>
    <n v="73000"/>
    <n v="262800"/>
  </r>
  <r>
    <x v="0"/>
    <x v="0"/>
    <x v="0"/>
    <x v="2"/>
    <x v="3"/>
    <s v="FIN_EL"/>
    <x v="9"/>
    <s v="GBPR_WOODWASTE_FINEL"/>
    <x v="0"/>
    <x v="21"/>
    <n v="200"/>
    <n v="73000"/>
    <n v="262800"/>
  </r>
  <r>
    <x v="0"/>
    <x v="0"/>
    <x v="0"/>
    <x v="2"/>
    <x v="3"/>
    <s v="FIN_EL"/>
    <x v="9"/>
    <s v="GBPR_WOODWASTE_FINEL"/>
    <x v="0"/>
    <x v="22"/>
    <n v="200"/>
    <n v="73000"/>
    <n v="262800"/>
  </r>
  <r>
    <x v="0"/>
    <x v="0"/>
    <x v="0"/>
    <x v="2"/>
    <x v="3"/>
    <s v="FIN_EL"/>
    <x v="9"/>
    <s v="GBPR_WOODWASTE_FINEL"/>
    <x v="0"/>
    <x v="23"/>
    <n v="200"/>
    <n v="73000"/>
    <n v="262800"/>
  </r>
  <r>
    <x v="0"/>
    <x v="0"/>
    <x v="0"/>
    <x v="2"/>
    <x v="3"/>
    <s v="FIN_ESPOO"/>
    <x v="13"/>
    <s v="GHOB_NATGAS_EXETS"/>
    <x v="0"/>
    <x v="0"/>
    <n v="20"/>
    <n v="7300"/>
    <n v="26280"/>
  </r>
  <r>
    <x v="0"/>
    <x v="0"/>
    <x v="0"/>
    <x v="2"/>
    <x v="3"/>
    <s v="FIN_ESPOO"/>
    <x v="13"/>
    <s v="GHOB_NATGAS_EXETS"/>
    <x v="0"/>
    <x v="1"/>
    <n v="20"/>
    <n v="7300"/>
    <n v="26280"/>
  </r>
  <r>
    <x v="0"/>
    <x v="0"/>
    <x v="0"/>
    <x v="2"/>
    <x v="3"/>
    <s v="FIN_ESPOO"/>
    <x v="13"/>
    <s v="GHOB_NATGAS_EXETS"/>
    <x v="0"/>
    <x v="2"/>
    <n v="20"/>
    <n v="7300"/>
    <n v="26280"/>
  </r>
  <r>
    <x v="0"/>
    <x v="0"/>
    <x v="0"/>
    <x v="2"/>
    <x v="3"/>
    <s v="FIN_ESPOO"/>
    <x v="13"/>
    <s v="GHOB_NATGAS_EXETS"/>
    <x v="0"/>
    <x v="3"/>
    <n v="20"/>
    <n v="7300"/>
    <n v="26280"/>
  </r>
  <r>
    <x v="0"/>
    <x v="0"/>
    <x v="0"/>
    <x v="2"/>
    <x v="3"/>
    <s v="FIN_ESPOO"/>
    <x v="13"/>
    <s v="GHOB_NATGAS_EXETS"/>
    <x v="0"/>
    <x v="4"/>
    <n v="20"/>
    <n v="7300"/>
    <n v="26280"/>
  </r>
  <r>
    <x v="0"/>
    <x v="0"/>
    <x v="0"/>
    <x v="2"/>
    <x v="3"/>
    <s v="FIN_ESPOO"/>
    <x v="13"/>
    <s v="GHOB_NATGAS_EXETS"/>
    <x v="0"/>
    <x v="5"/>
    <n v="20"/>
    <n v="7300"/>
    <n v="26280"/>
  </r>
  <r>
    <x v="0"/>
    <x v="0"/>
    <x v="0"/>
    <x v="2"/>
    <x v="3"/>
    <s v="FIN_ESPOO"/>
    <x v="13"/>
    <s v="GHOB_NATGAS_EXETS"/>
    <x v="0"/>
    <x v="6"/>
    <n v="20"/>
    <n v="7300"/>
    <n v="26280"/>
  </r>
  <r>
    <x v="0"/>
    <x v="0"/>
    <x v="0"/>
    <x v="2"/>
    <x v="3"/>
    <s v="FIN_ESPOO"/>
    <x v="13"/>
    <s v="GHOB_NATGAS_EXETS"/>
    <x v="0"/>
    <x v="7"/>
    <n v="20"/>
    <n v="7300"/>
    <n v="26280"/>
  </r>
  <r>
    <x v="0"/>
    <x v="0"/>
    <x v="0"/>
    <x v="2"/>
    <x v="3"/>
    <s v="FIN_ESPOO"/>
    <x v="13"/>
    <s v="GHOB_NATGAS_EXETS"/>
    <x v="0"/>
    <x v="8"/>
    <n v="20"/>
    <n v="7300"/>
    <n v="26280"/>
  </r>
  <r>
    <x v="0"/>
    <x v="0"/>
    <x v="0"/>
    <x v="2"/>
    <x v="3"/>
    <s v="FIN_ESPOO"/>
    <x v="13"/>
    <s v="GHOB_NATGAS_EXETS"/>
    <x v="0"/>
    <x v="9"/>
    <n v="20"/>
    <n v="7300"/>
    <n v="26280"/>
  </r>
  <r>
    <x v="0"/>
    <x v="0"/>
    <x v="0"/>
    <x v="2"/>
    <x v="3"/>
    <s v="FIN_ESPOO"/>
    <x v="13"/>
    <s v="GHOB_NATGAS_EXETS"/>
    <x v="0"/>
    <x v="10"/>
    <n v="20"/>
    <n v="7300"/>
    <n v="26280"/>
  </r>
  <r>
    <x v="0"/>
    <x v="0"/>
    <x v="0"/>
    <x v="2"/>
    <x v="3"/>
    <s v="FIN_ESPOO"/>
    <x v="13"/>
    <s v="GHOB_NATGAS_EXETS"/>
    <x v="0"/>
    <x v="11"/>
    <n v="20"/>
    <n v="7300"/>
    <n v="26280"/>
  </r>
  <r>
    <x v="0"/>
    <x v="0"/>
    <x v="0"/>
    <x v="2"/>
    <x v="3"/>
    <s v="FIN_ESPOO"/>
    <x v="13"/>
    <s v="GHOB_NATGAS_EXETS"/>
    <x v="0"/>
    <x v="12"/>
    <n v="20"/>
    <n v="7300"/>
    <n v="26280"/>
  </r>
  <r>
    <x v="0"/>
    <x v="0"/>
    <x v="0"/>
    <x v="2"/>
    <x v="3"/>
    <s v="FIN_ESPOO"/>
    <x v="13"/>
    <s v="GHOB_NATGAS_EXETS"/>
    <x v="0"/>
    <x v="13"/>
    <n v="20"/>
    <n v="7300"/>
    <n v="26280"/>
  </r>
  <r>
    <x v="0"/>
    <x v="0"/>
    <x v="0"/>
    <x v="2"/>
    <x v="3"/>
    <s v="FIN_ESPOO"/>
    <x v="13"/>
    <s v="GHOB_NATGAS_EXETS"/>
    <x v="0"/>
    <x v="14"/>
    <n v="20"/>
    <n v="7300"/>
    <n v="26280"/>
  </r>
  <r>
    <x v="0"/>
    <x v="0"/>
    <x v="0"/>
    <x v="2"/>
    <x v="3"/>
    <s v="FIN_ESPOO"/>
    <x v="13"/>
    <s v="GHOB_NATGAS_EXETS"/>
    <x v="0"/>
    <x v="15"/>
    <n v="20"/>
    <n v="7300"/>
    <n v="26280"/>
  </r>
  <r>
    <x v="0"/>
    <x v="0"/>
    <x v="0"/>
    <x v="2"/>
    <x v="3"/>
    <s v="FIN_ESPOO"/>
    <x v="13"/>
    <s v="GHOB_NATGAS_EXETS"/>
    <x v="0"/>
    <x v="16"/>
    <n v="20"/>
    <n v="7300"/>
    <n v="26280"/>
  </r>
  <r>
    <x v="0"/>
    <x v="0"/>
    <x v="0"/>
    <x v="2"/>
    <x v="3"/>
    <s v="FIN_ESPOO"/>
    <x v="13"/>
    <s v="GHOB_NATGAS_EXETS"/>
    <x v="0"/>
    <x v="17"/>
    <n v="20"/>
    <n v="7300"/>
    <n v="26280"/>
  </r>
  <r>
    <x v="0"/>
    <x v="0"/>
    <x v="0"/>
    <x v="2"/>
    <x v="3"/>
    <s v="FIN_ESPOO"/>
    <x v="13"/>
    <s v="GHOB_NATGAS_EXETS"/>
    <x v="0"/>
    <x v="18"/>
    <n v="20"/>
    <n v="7300"/>
    <n v="26280"/>
  </r>
  <r>
    <x v="0"/>
    <x v="0"/>
    <x v="0"/>
    <x v="2"/>
    <x v="3"/>
    <s v="FIN_ESPOO"/>
    <x v="13"/>
    <s v="GHOB_NATGAS_EXETS"/>
    <x v="0"/>
    <x v="19"/>
    <n v="20"/>
    <n v="7300"/>
    <n v="26280"/>
  </r>
  <r>
    <x v="0"/>
    <x v="0"/>
    <x v="0"/>
    <x v="2"/>
    <x v="3"/>
    <s v="FIN_ESPOO"/>
    <x v="13"/>
    <s v="GHOB_NATGAS_EXETS"/>
    <x v="0"/>
    <x v="20"/>
    <n v="20"/>
    <n v="7300"/>
    <n v="26280"/>
  </r>
  <r>
    <x v="0"/>
    <x v="0"/>
    <x v="0"/>
    <x v="2"/>
    <x v="3"/>
    <s v="FIN_ESPOO"/>
    <x v="13"/>
    <s v="GHOB_NATGAS_EXETS"/>
    <x v="0"/>
    <x v="21"/>
    <n v="20"/>
    <n v="7300"/>
    <n v="26280"/>
  </r>
  <r>
    <x v="0"/>
    <x v="0"/>
    <x v="0"/>
    <x v="2"/>
    <x v="3"/>
    <s v="FIN_ESPOO"/>
    <x v="13"/>
    <s v="GHOB_NATGAS_EXETS"/>
    <x v="0"/>
    <x v="22"/>
    <n v="20"/>
    <n v="7300"/>
    <n v="26280"/>
  </r>
  <r>
    <x v="0"/>
    <x v="0"/>
    <x v="0"/>
    <x v="2"/>
    <x v="3"/>
    <s v="FIN_ESPOO"/>
    <x v="13"/>
    <s v="GHOB_NATGAS_EXETS"/>
    <x v="0"/>
    <x v="23"/>
    <n v="20"/>
    <n v="7300"/>
    <n v="26280"/>
  </r>
  <r>
    <x v="0"/>
    <x v="0"/>
    <x v="0"/>
    <x v="2"/>
    <x v="3"/>
    <s v="FIN_GAS"/>
    <x v="13"/>
    <s v="GHOB_NATGAS_EXETS"/>
    <x v="0"/>
    <x v="0"/>
    <n v="129.52860767244599"/>
    <n v="47277.941800442903"/>
    <n v="170200.590481594"/>
  </r>
  <r>
    <x v="0"/>
    <x v="0"/>
    <x v="0"/>
    <x v="2"/>
    <x v="3"/>
    <s v="FIN_GAS"/>
    <x v="13"/>
    <s v="GHOB_NATGAS_EXETS"/>
    <x v="0"/>
    <x v="1"/>
    <n v="128.11397551797"/>
    <n v="46761.601064058901"/>
    <n v="168341.76383061201"/>
  </r>
  <r>
    <x v="0"/>
    <x v="0"/>
    <x v="0"/>
    <x v="2"/>
    <x v="3"/>
    <s v="FIN_GAS"/>
    <x v="13"/>
    <s v="GHOB_NATGAS_EXETS"/>
    <x v="0"/>
    <x v="2"/>
    <n v="128.920468403635"/>
    <n v="47055.970967326997"/>
    <n v="169401.49548237701"/>
  </r>
  <r>
    <x v="0"/>
    <x v="0"/>
    <x v="0"/>
    <x v="2"/>
    <x v="3"/>
    <s v="FIN_GAS"/>
    <x v="13"/>
    <s v="GHOB_NATGAS_EXETS"/>
    <x v="0"/>
    <x v="3"/>
    <n v="131.89304732382701"/>
    <n v="48140.962273196797"/>
    <n v="173307.464183509"/>
  </r>
  <r>
    <x v="0"/>
    <x v="0"/>
    <x v="0"/>
    <x v="2"/>
    <x v="3"/>
    <s v="FIN_GAS"/>
    <x v="13"/>
    <s v="GHOB_NATGAS_EXETS"/>
    <x v="0"/>
    <x v="4"/>
    <n v="139.13587041128"/>
    <n v="50784.592700117202"/>
    <n v="182824.53372042201"/>
  </r>
  <r>
    <x v="0"/>
    <x v="0"/>
    <x v="0"/>
    <x v="2"/>
    <x v="3"/>
    <s v="FIN_GAS"/>
    <x v="13"/>
    <s v="GHOB_NATGAS_EXETS"/>
    <x v="0"/>
    <x v="5"/>
    <n v="152.52372111809899"/>
    <n v="55671.158208105997"/>
    <n v="200416.169549182"/>
  </r>
  <r>
    <x v="0"/>
    <x v="0"/>
    <x v="0"/>
    <x v="2"/>
    <x v="3"/>
    <s v="FIN_GAS"/>
    <x v="13"/>
    <s v="GHOB_NATGAS_EXETS"/>
    <x v="0"/>
    <x v="6"/>
    <n v="179.52607491453901"/>
    <n v="65527.017343806598"/>
    <n v="235897.26243770399"/>
  </r>
  <r>
    <x v="0"/>
    <x v="0"/>
    <x v="0"/>
    <x v="2"/>
    <x v="3"/>
    <s v="FIN_GAS"/>
    <x v="13"/>
    <s v="GHOB_NATGAS_EXETS"/>
    <x v="0"/>
    <x v="7"/>
    <n v="195.61812028962001"/>
    <n v="71400.613905711405"/>
    <n v="257042.21006056099"/>
  </r>
  <r>
    <x v="0"/>
    <x v="0"/>
    <x v="0"/>
    <x v="2"/>
    <x v="3"/>
    <s v="FIN_GAS"/>
    <x v="13"/>
    <s v="GHOB_NATGAS_EXETS"/>
    <x v="0"/>
    <x v="8"/>
    <n v="199.653425262779"/>
    <n v="72873.500220914197"/>
    <n v="262344.60079529101"/>
  </r>
  <r>
    <x v="0"/>
    <x v="0"/>
    <x v="0"/>
    <x v="2"/>
    <x v="3"/>
    <s v="FIN_GAS"/>
    <x v="13"/>
    <s v="GHOB_NATGAS_EXETS"/>
    <x v="0"/>
    <x v="9"/>
    <n v="200.69478017846299"/>
    <n v="73253.594765139002"/>
    <n v="263712.9411545"/>
  </r>
  <r>
    <x v="0"/>
    <x v="0"/>
    <x v="0"/>
    <x v="2"/>
    <x v="3"/>
    <s v="FIN_GAS"/>
    <x v="13"/>
    <s v="GHOB_NATGAS_EXETS"/>
    <x v="0"/>
    <x v="10"/>
    <n v="194.86282267246901"/>
    <n v="71124.930275451305"/>
    <n v="256049.74899162501"/>
  </r>
  <r>
    <x v="0"/>
    <x v="0"/>
    <x v="0"/>
    <x v="2"/>
    <x v="3"/>
    <s v="FIN_GAS"/>
    <x v="13"/>
    <s v="GHOB_NATGAS_EXETS"/>
    <x v="0"/>
    <x v="11"/>
    <n v="190.98246952916"/>
    <n v="69708.601378143299"/>
    <n v="250950.964961316"/>
  </r>
  <r>
    <x v="0"/>
    <x v="0"/>
    <x v="0"/>
    <x v="2"/>
    <x v="3"/>
    <s v="FIN_GAS"/>
    <x v="13"/>
    <s v="GHOB_NATGAS_EXETS"/>
    <x v="0"/>
    <x v="12"/>
    <n v="189.583489537432"/>
    <n v="69197.973681162897"/>
    <n v="249112.70525218599"/>
  </r>
  <r>
    <x v="0"/>
    <x v="0"/>
    <x v="0"/>
    <x v="2"/>
    <x v="3"/>
    <s v="FIN_GAS"/>
    <x v="13"/>
    <s v="GHOB_NATGAS_EXETS"/>
    <x v="0"/>
    <x v="13"/>
    <n v="189.34996238073799"/>
    <n v="69112.7362689695"/>
    <n v="248805.85056829001"/>
  </r>
  <r>
    <x v="0"/>
    <x v="0"/>
    <x v="0"/>
    <x v="2"/>
    <x v="3"/>
    <s v="FIN_GAS"/>
    <x v="13"/>
    <s v="GHOB_NATGAS_EXETS"/>
    <x v="0"/>
    <x v="14"/>
    <n v="190.34186701887"/>
    <n v="69474.781461887396"/>
    <n v="250109.213262795"/>
  </r>
  <r>
    <x v="0"/>
    <x v="0"/>
    <x v="0"/>
    <x v="2"/>
    <x v="3"/>
    <s v="FIN_GAS"/>
    <x v="13"/>
    <s v="GHOB_NATGAS_EXETS"/>
    <x v="0"/>
    <x v="15"/>
    <n v="195.98280080148999"/>
    <n v="71533.722292543796"/>
    <n v="257521.400253158"/>
  </r>
  <r>
    <x v="0"/>
    <x v="0"/>
    <x v="0"/>
    <x v="2"/>
    <x v="3"/>
    <s v="FIN_GAS"/>
    <x v="13"/>
    <s v="GHOB_NATGAS_EXETS"/>
    <x v="0"/>
    <x v="16"/>
    <n v="191.49771476201201"/>
    <n v="69896.665888134303"/>
    <n v="251627.997197283"/>
  </r>
  <r>
    <x v="0"/>
    <x v="0"/>
    <x v="0"/>
    <x v="2"/>
    <x v="3"/>
    <s v="FIN_GAS"/>
    <x v="13"/>
    <s v="GHOB_NATGAS_EXETS"/>
    <x v="0"/>
    <x v="17"/>
    <n v="187.37738029969501"/>
    <n v="68392.743809388499"/>
    <n v="246213.87771379901"/>
  </r>
  <r>
    <x v="0"/>
    <x v="0"/>
    <x v="0"/>
    <x v="2"/>
    <x v="3"/>
    <s v="FIN_GAS"/>
    <x v="13"/>
    <s v="GHOB_NATGAS_EXETS"/>
    <x v="0"/>
    <x v="18"/>
    <n v="188.08156739542599"/>
    <n v="68649.772099330599"/>
    <n v="247139.17955758999"/>
  </r>
  <r>
    <x v="0"/>
    <x v="0"/>
    <x v="0"/>
    <x v="2"/>
    <x v="3"/>
    <s v="FIN_GAS"/>
    <x v="13"/>
    <s v="GHOB_NATGAS_EXETS"/>
    <x v="0"/>
    <x v="19"/>
    <n v="185.11956391503901"/>
    <n v="67568.640828989403"/>
    <n v="243247.10698436201"/>
  </r>
  <r>
    <x v="0"/>
    <x v="0"/>
    <x v="0"/>
    <x v="2"/>
    <x v="3"/>
    <s v="FIN_GAS"/>
    <x v="13"/>
    <s v="GHOB_NATGAS_EXETS"/>
    <x v="0"/>
    <x v="20"/>
    <n v="181.090714855166"/>
    <n v="66098.110922135398"/>
    <n v="237953.19931968799"/>
  </r>
  <r>
    <x v="0"/>
    <x v="0"/>
    <x v="0"/>
    <x v="2"/>
    <x v="3"/>
    <s v="FIN_GAS"/>
    <x v="13"/>
    <s v="GHOB_NATGAS_EXETS"/>
    <x v="0"/>
    <x v="21"/>
    <n v="177.46182307952799"/>
    <n v="64773.565424027802"/>
    <n v="233184.83552650001"/>
  </r>
  <r>
    <x v="0"/>
    <x v="0"/>
    <x v="0"/>
    <x v="2"/>
    <x v="3"/>
    <s v="FIN_GAS"/>
    <x v="13"/>
    <s v="GHOB_NATGAS_EXETS"/>
    <x v="0"/>
    <x v="22"/>
    <n v="168.35195736357599"/>
    <n v="61448.464437705297"/>
    <n v="221214.471975739"/>
  </r>
  <r>
    <x v="0"/>
    <x v="0"/>
    <x v="0"/>
    <x v="2"/>
    <x v="3"/>
    <s v="FIN_GAS"/>
    <x v="13"/>
    <s v="GHOB_NATGAS_EXETS"/>
    <x v="0"/>
    <x v="23"/>
    <n v="160.12969310496001"/>
    <n v="58447.337983310397"/>
    <n v="210410.41673991701"/>
  </r>
  <r>
    <x v="0"/>
    <x v="0"/>
    <x v="0"/>
    <x v="2"/>
    <x v="3"/>
    <s v="FIN_HELS"/>
    <x v="12"/>
    <s v="GETOH_HEATPUMP"/>
    <x v="0"/>
    <x v="0"/>
    <n v="30"/>
    <n v="10950"/>
    <n v="39420"/>
  </r>
  <r>
    <x v="0"/>
    <x v="0"/>
    <x v="0"/>
    <x v="2"/>
    <x v="3"/>
    <s v="FIN_HELS"/>
    <x v="12"/>
    <s v="GETOH_HEATPUMP"/>
    <x v="0"/>
    <x v="1"/>
    <n v="30"/>
    <n v="10950"/>
    <n v="39420"/>
  </r>
  <r>
    <x v="0"/>
    <x v="0"/>
    <x v="0"/>
    <x v="2"/>
    <x v="3"/>
    <s v="FIN_HELS"/>
    <x v="12"/>
    <s v="GETOH_HEATPUMP"/>
    <x v="0"/>
    <x v="2"/>
    <n v="30"/>
    <n v="10950"/>
    <n v="39420"/>
  </r>
  <r>
    <x v="0"/>
    <x v="0"/>
    <x v="0"/>
    <x v="2"/>
    <x v="3"/>
    <s v="FIN_HELS"/>
    <x v="12"/>
    <s v="GETOH_HEATPUMP"/>
    <x v="0"/>
    <x v="3"/>
    <n v="30"/>
    <n v="10950"/>
    <n v="39420"/>
  </r>
  <r>
    <x v="0"/>
    <x v="0"/>
    <x v="0"/>
    <x v="2"/>
    <x v="3"/>
    <s v="FIN_HELS"/>
    <x v="12"/>
    <s v="GETOH_HEATPUMP"/>
    <x v="0"/>
    <x v="4"/>
    <n v="30"/>
    <n v="10950"/>
    <n v="39420"/>
  </r>
  <r>
    <x v="0"/>
    <x v="0"/>
    <x v="0"/>
    <x v="2"/>
    <x v="3"/>
    <s v="FIN_HELS"/>
    <x v="12"/>
    <s v="GETOH_HEATPUMP"/>
    <x v="0"/>
    <x v="5"/>
    <n v="30"/>
    <n v="10950"/>
    <n v="39420"/>
  </r>
  <r>
    <x v="0"/>
    <x v="0"/>
    <x v="0"/>
    <x v="2"/>
    <x v="3"/>
    <s v="FIN_HELS"/>
    <x v="12"/>
    <s v="GETOH_HEATPUMP"/>
    <x v="0"/>
    <x v="6"/>
    <n v="30"/>
    <n v="10950"/>
    <n v="39420"/>
  </r>
  <r>
    <x v="0"/>
    <x v="0"/>
    <x v="0"/>
    <x v="2"/>
    <x v="3"/>
    <s v="FIN_HELS"/>
    <x v="12"/>
    <s v="GETOH_HEATPUMP"/>
    <x v="0"/>
    <x v="7"/>
    <n v="30"/>
    <n v="10950"/>
    <n v="39420"/>
  </r>
  <r>
    <x v="0"/>
    <x v="0"/>
    <x v="0"/>
    <x v="2"/>
    <x v="3"/>
    <s v="FIN_HELS"/>
    <x v="12"/>
    <s v="GETOH_HEATPUMP"/>
    <x v="0"/>
    <x v="8"/>
    <n v="30"/>
    <n v="10950"/>
    <n v="39420"/>
  </r>
  <r>
    <x v="0"/>
    <x v="0"/>
    <x v="0"/>
    <x v="2"/>
    <x v="3"/>
    <s v="FIN_HELS"/>
    <x v="12"/>
    <s v="GETOH_HEATPUMP"/>
    <x v="0"/>
    <x v="9"/>
    <n v="30"/>
    <n v="10950"/>
    <n v="39420"/>
  </r>
  <r>
    <x v="0"/>
    <x v="0"/>
    <x v="0"/>
    <x v="2"/>
    <x v="3"/>
    <s v="FIN_HELS"/>
    <x v="12"/>
    <s v="GETOH_HEATPUMP"/>
    <x v="0"/>
    <x v="10"/>
    <n v="30"/>
    <n v="10950"/>
    <n v="39420"/>
  </r>
  <r>
    <x v="0"/>
    <x v="0"/>
    <x v="0"/>
    <x v="2"/>
    <x v="3"/>
    <s v="FIN_HELS"/>
    <x v="12"/>
    <s v="GETOH_HEATPUMP"/>
    <x v="0"/>
    <x v="11"/>
    <n v="30"/>
    <n v="10950"/>
    <n v="39420"/>
  </r>
  <r>
    <x v="0"/>
    <x v="0"/>
    <x v="0"/>
    <x v="2"/>
    <x v="3"/>
    <s v="FIN_HELS"/>
    <x v="12"/>
    <s v="GETOH_HEATPUMP"/>
    <x v="0"/>
    <x v="12"/>
    <n v="30"/>
    <n v="10950"/>
    <n v="39420"/>
  </r>
  <r>
    <x v="0"/>
    <x v="0"/>
    <x v="0"/>
    <x v="2"/>
    <x v="3"/>
    <s v="FIN_HELS"/>
    <x v="12"/>
    <s v="GETOH_HEATPUMP"/>
    <x v="0"/>
    <x v="13"/>
    <n v="30"/>
    <n v="10950"/>
    <n v="39420"/>
  </r>
  <r>
    <x v="0"/>
    <x v="0"/>
    <x v="0"/>
    <x v="2"/>
    <x v="3"/>
    <s v="FIN_HELS"/>
    <x v="12"/>
    <s v="GETOH_HEATPUMP"/>
    <x v="0"/>
    <x v="14"/>
    <n v="30"/>
    <n v="10950"/>
    <n v="39420"/>
  </r>
  <r>
    <x v="0"/>
    <x v="0"/>
    <x v="0"/>
    <x v="2"/>
    <x v="3"/>
    <s v="FIN_HELS"/>
    <x v="12"/>
    <s v="GETOH_HEATPUMP"/>
    <x v="0"/>
    <x v="15"/>
    <n v="30"/>
    <n v="10950"/>
    <n v="39420"/>
  </r>
  <r>
    <x v="0"/>
    <x v="0"/>
    <x v="0"/>
    <x v="2"/>
    <x v="3"/>
    <s v="FIN_HELS"/>
    <x v="12"/>
    <s v="GETOH_HEATPUMP"/>
    <x v="0"/>
    <x v="16"/>
    <n v="30"/>
    <n v="10950"/>
    <n v="39420"/>
  </r>
  <r>
    <x v="0"/>
    <x v="0"/>
    <x v="0"/>
    <x v="2"/>
    <x v="3"/>
    <s v="FIN_HELS"/>
    <x v="12"/>
    <s v="GETOH_HEATPUMP"/>
    <x v="0"/>
    <x v="17"/>
    <n v="30"/>
    <n v="10950"/>
    <n v="39420"/>
  </r>
  <r>
    <x v="0"/>
    <x v="0"/>
    <x v="0"/>
    <x v="2"/>
    <x v="3"/>
    <s v="FIN_HELS"/>
    <x v="12"/>
    <s v="GETOH_HEATPUMP"/>
    <x v="0"/>
    <x v="18"/>
    <n v="30"/>
    <n v="10950"/>
    <n v="39420"/>
  </r>
  <r>
    <x v="0"/>
    <x v="0"/>
    <x v="0"/>
    <x v="2"/>
    <x v="3"/>
    <s v="FIN_HELS"/>
    <x v="12"/>
    <s v="GETOH_HEATPUMP"/>
    <x v="0"/>
    <x v="19"/>
    <n v="30"/>
    <n v="10950"/>
    <n v="39420"/>
  </r>
  <r>
    <x v="0"/>
    <x v="0"/>
    <x v="0"/>
    <x v="2"/>
    <x v="3"/>
    <s v="FIN_HELS"/>
    <x v="12"/>
    <s v="GETOH_HEATPUMP"/>
    <x v="0"/>
    <x v="20"/>
    <n v="30"/>
    <n v="10950"/>
    <n v="39420"/>
  </r>
  <r>
    <x v="0"/>
    <x v="0"/>
    <x v="0"/>
    <x v="2"/>
    <x v="3"/>
    <s v="FIN_HELS"/>
    <x v="12"/>
    <s v="GETOH_HEATPUMP"/>
    <x v="0"/>
    <x v="21"/>
    <n v="30"/>
    <n v="10950"/>
    <n v="39420"/>
  </r>
  <r>
    <x v="0"/>
    <x v="0"/>
    <x v="0"/>
    <x v="2"/>
    <x v="3"/>
    <s v="FIN_HELS"/>
    <x v="12"/>
    <s v="GETOH_HEATPUMP"/>
    <x v="0"/>
    <x v="22"/>
    <n v="30"/>
    <n v="10950"/>
    <n v="39420"/>
  </r>
  <r>
    <x v="0"/>
    <x v="0"/>
    <x v="0"/>
    <x v="2"/>
    <x v="3"/>
    <s v="FIN_HELS"/>
    <x v="12"/>
    <s v="GETOH_HEATPUMP"/>
    <x v="0"/>
    <x v="23"/>
    <n v="30"/>
    <n v="10950"/>
    <n v="39420"/>
  </r>
  <r>
    <x v="0"/>
    <x v="0"/>
    <x v="0"/>
    <x v="2"/>
    <x v="3"/>
    <s v="FIN_HELS"/>
    <x v="4"/>
    <s v="GEXT_NATGAS_VOUSAARI"/>
    <x v="0"/>
    <x v="7"/>
    <n v="177.52656695502799"/>
    <n v="64797.196938585301"/>
    <n v="233269.90897890701"/>
  </r>
  <r>
    <x v="0"/>
    <x v="0"/>
    <x v="0"/>
    <x v="2"/>
    <x v="3"/>
    <s v="FIN_HELS"/>
    <x v="4"/>
    <s v="GEXT_NATGAS_VOUSAARI"/>
    <x v="0"/>
    <x v="8"/>
    <n v="77.356278206644902"/>
    <n v="28235.0415454254"/>
    <n v="101646.149563531"/>
  </r>
  <r>
    <x v="0"/>
    <x v="0"/>
    <x v="0"/>
    <x v="2"/>
    <x v="3"/>
    <s v="FIN_HELS"/>
    <x v="4"/>
    <s v="GEXT_NATGAS_VOUSAARI"/>
    <x v="0"/>
    <x v="9"/>
    <n v="12.8574516759848"/>
    <n v="4692.9698617344502"/>
    <n v="16894.691502244001"/>
  </r>
  <r>
    <x v="0"/>
    <x v="0"/>
    <x v="0"/>
    <x v="2"/>
    <x v="3"/>
    <s v="FIN_HELS"/>
    <x v="4"/>
    <s v="GEXT_NATGAS_VOUSAARI"/>
    <x v="0"/>
    <x v="10"/>
    <n v="104.269040263549"/>
    <n v="38058.199696195297"/>
    <n v="137009.51890630301"/>
  </r>
  <r>
    <x v="0"/>
    <x v="0"/>
    <x v="0"/>
    <x v="2"/>
    <x v="3"/>
    <s v="FIN_HELS"/>
    <x v="4"/>
    <s v="GEXT_NATGAS_VOUSAARI"/>
    <x v="0"/>
    <x v="16"/>
    <n v="100.994207817684"/>
    <n v="36862.885853454602"/>
    <n v="132706.389072436"/>
  </r>
  <r>
    <x v="0"/>
    <x v="0"/>
    <x v="0"/>
    <x v="2"/>
    <x v="3"/>
    <s v="FIN_HELS"/>
    <x v="4"/>
    <s v="GEXT_NATGAS_VOUSAARI"/>
    <x v="0"/>
    <x v="18"/>
    <n v="89.3608110175159"/>
    <n v="32616.696021393302"/>
    <n v="117420.10567701601"/>
  </r>
  <r>
    <x v="0"/>
    <x v="0"/>
    <x v="0"/>
    <x v="2"/>
    <x v="3"/>
    <s v="FIN_HP"/>
    <x v="0"/>
    <s v="GHOB_BIOGAS"/>
    <x v="0"/>
    <x v="0"/>
    <n v="4"/>
    <n v="1460"/>
    <n v="5256"/>
  </r>
  <r>
    <x v="0"/>
    <x v="0"/>
    <x v="0"/>
    <x v="2"/>
    <x v="3"/>
    <s v="FIN_HP"/>
    <x v="0"/>
    <s v="GHOB_BIOGAS"/>
    <x v="0"/>
    <x v="1"/>
    <n v="4"/>
    <n v="1460"/>
    <n v="5256"/>
  </r>
  <r>
    <x v="0"/>
    <x v="0"/>
    <x v="0"/>
    <x v="2"/>
    <x v="3"/>
    <s v="FIN_HP"/>
    <x v="0"/>
    <s v="GHOB_BIOGAS"/>
    <x v="0"/>
    <x v="2"/>
    <n v="4"/>
    <n v="1460"/>
    <n v="5256"/>
  </r>
  <r>
    <x v="0"/>
    <x v="0"/>
    <x v="0"/>
    <x v="2"/>
    <x v="3"/>
    <s v="FIN_HP"/>
    <x v="0"/>
    <s v="GHOB_BIOGAS"/>
    <x v="0"/>
    <x v="3"/>
    <n v="4"/>
    <n v="1460"/>
    <n v="5256"/>
  </r>
  <r>
    <x v="0"/>
    <x v="0"/>
    <x v="0"/>
    <x v="2"/>
    <x v="3"/>
    <s v="FIN_HP"/>
    <x v="0"/>
    <s v="GHOB_BIOGAS"/>
    <x v="0"/>
    <x v="4"/>
    <n v="4"/>
    <n v="1460"/>
    <n v="5256"/>
  </r>
  <r>
    <x v="0"/>
    <x v="0"/>
    <x v="0"/>
    <x v="2"/>
    <x v="3"/>
    <s v="FIN_HP"/>
    <x v="0"/>
    <s v="GHOB_BIOGAS"/>
    <x v="0"/>
    <x v="5"/>
    <n v="4"/>
    <n v="1460"/>
    <n v="5256"/>
  </r>
  <r>
    <x v="0"/>
    <x v="0"/>
    <x v="0"/>
    <x v="2"/>
    <x v="3"/>
    <s v="FIN_HP"/>
    <x v="0"/>
    <s v="GHOB_BIOGAS"/>
    <x v="0"/>
    <x v="6"/>
    <n v="4"/>
    <n v="1460"/>
    <n v="5256"/>
  </r>
  <r>
    <x v="0"/>
    <x v="0"/>
    <x v="0"/>
    <x v="2"/>
    <x v="3"/>
    <s v="FIN_HP"/>
    <x v="0"/>
    <s v="GHOB_BIOGAS"/>
    <x v="0"/>
    <x v="7"/>
    <n v="4"/>
    <n v="1460"/>
    <n v="5256"/>
  </r>
  <r>
    <x v="0"/>
    <x v="0"/>
    <x v="0"/>
    <x v="2"/>
    <x v="3"/>
    <s v="FIN_HP"/>
    <x v="0"/>
    <s v="GHOB_BIOGAS"/>
    <x v="0"/>
    <x v="8"/>
    <n v="4"/>
    <n v="1460"/>
    <n v="5256"/>
  </r>
  <r>
    <x v="0"/>
    <x v="0"/>
    <x v="0"/>
    <x v="2"/>
    <x v="3"/>
    <s v="FIN_HP"/>
    <x v="0"/>
    <s v="GHOB_BIOGAS"/>
    <x v="0"/>
    <x v="9"/>
    <n v="4"/>
    <n v="1460"/>
    <n v="5256"/>
  </r>
  <r>
    <x v="0"/>
    <x v="0"/>
    <x v="0"/>
    <x v="2"/>
    <x v="3"/>
    <s v="FIN_HP"/>
    <x v="0"/>
    <s v="GHOB_BIOGAS"/>
    <x v="0"/>
    <x v="10"/>
    <n v="4"/>
    <n v="1460"/>
    <n v="5256"/>
  </r>
  <r>
    <x v="0"/>
    <x v="0"/>
    <x v="0"/>
    <x v="2"/>
    <x v="3"/>
    <s v="FIN_HP"/>
    <x v="0"/>
    <s v="GHOB_BIOGAS"/>
    <x v="0"/>
    <x v="11"/>
    <n v="4"/>
    <n v="1460"/>
    <n v="5256"/>
  </r>
  <r>
    <x v="0"/>
    <x v="0"/>
    <x v="0"/>
    <x v="2"/>
    <x v="3"/>
    <s v="FIN_HP"/>
    <x v="0"/>
    <s v="GHOB_BIOGAS"/>
    <x v="0"/>
    <x v="12"/>
    <n v="4"/>
    <n v="1460"/>
    <n v="5256"/>
  </r>
  <r>
    <x v="0"/>
    <x v="0"/>
    <x v="0"/>
    <x v="2"/>
    <x v="3"/>
    <s v="FIN_HP"/>
    <x v="0"/>
    <s v="GHOB_BIOGAS"/>
    <x v="0"/>
    <x v="13"/>
    <n v="4"/>
    <n v="1460"/>
    <n v="5256"/>
  </r>
  <r>
    <x v="0"/>
    <x v="0"/>
    <x v="0"/>
    <x v="2"/>
    <x v="3"/>
    <s v="FIN_HP"/>
    <x v="0"/>
    <s v="GHOB_BIOGAS"/>
    <x v="0"/>
    <x v="14"/>
    <n v="4"/>
    <n v="1460"/>
    <n v="5256"/>
  </r>
  <r>
    <x v="0"/>
    <x v="0"/>
    <x v="0"/>
    <x v="2"/>
    <x v="3"/>
    <s v="FIN_HP"/>
    <x v="0"/>
    <s v="GHOB_BIOGAS"/>
    <x v="0"/>
    <x v="15"/>
    <n v="4"/>
    <n v="1460"/>
    <n v="5256"/>
  </r>
  <r>
    <x v="0"/>
    <x v="0"/>
    <x v="0"/>
    <x v="2"/>
    <x v="3"/>
    <s v="FIN_HP"/>
    <x v="0"/>
    <s v="GHOB_BIOGAS"/>
    <x v="0"/>
    <x v="16"/>
    <n v="4"/>
    <n v="1460"/>
    <n v="5256"/>
  </r>
  <r>
    <x v="0"/>
    <x v="0"/>
    <x v="0"/>
    <x v="2"/>
    <x v="3"/>
    <s v="FIN_HP"/>
    <x v="0"/>
    <s v="GHOB_BIOGAS"/>
    <x v="0"/>
    <x v="17"/>
    <n v="4"/>
    <n v="1460"/>
    <n v="5256"/>
  </r>
  <r>
    <x v="0"/>
    <x v="0"/>
    <x v="0"/>
    <x v="2"/>
    <x v="3"/>
    <s v="FIN_HP"/>
    <x v="0"/>
    <s v="GHOB_BIOGAS"/>
    <x v="0"/>
    <x v="18"/>
    <n v="4"/>
    <n v="1460"/>
    <n v="5256"/>
  </r>
  <r>
    <x v="0"/>
    <x v="0"/>
    <x v="0"/>
    <x v="2"/>
    <x v="3"/>
    <s v="FIN_HP"/>
    <x v="0"/>
    <s v="GHOB_BIOGAS"/>
    <x v="0"/>
    <x v="19"/>
    <n v="4"/>
    <n v="1460"/>
    <n v="5256"/>
  </r>
  <r>
    <x v="0"/>
    <x v="0"/>
    <x v="0"/>
    <x v="2"/>
    <x v="3"/>
    <s v="FIN_HP"/>
    <x v="0"/>
    <s v="GHOB_BIOGAS"/>
    <x v="0"/>
    <x v="20"/>
    <n v="4"/>
    <n v="1460"/>
    <n v="5256"/>
  </r>
  <r>
    <x v="0"/>
    <x v="0"/>
    <x v="0"/>
    <x v="2"/>
    <x v="3"/>
    <s v="FIN_HP"/>
    <x v="0"/>
    <s v="GHOB_BIOGAS"/>
    <x v="0"/>
    <x v="21"/>
    <n v="4"/>
    <n v="1460"/>
    <n v="5256"/>
  </r>
  <r>
    <x v="0"/>
    <x v="0"/>
    <x v="0"/>
    <x v="2"/>
    <x v="3"/>
    <s v="FIN_HP"/>
    <x v="0"/>
    <s v="GHOB_BIOGAS"/>
    <x v="0"/>
    <x v="22"/>
    <n v="4"/>
    <n v="1460"/>
    <n v="5256"/>
  </r>
  <r>
    <x v="0"/>
    <x v="0"/>
    <x v="0"/>
    <x v="2"/>
    <x v="3"/>
    <s v="FIN_HP"/>
    <x v="0"/>
    <s v="GHOB_BIOGAS"/>
    <x v="0"/>
    <x v="23"/>
    <n v="4"/>
    <n v="1460"/>
    <n v="5256"/>
  </r>
  <r>
    <x v="0"/>
    <x v="0"/>
    <x v="0"/>
    <x v="2"/>
    <x v="3"/>
    <s v="FIN_HP"/>
    <x v="12"/>
    <s v="GETOH_ELECTRICBOILER"/>
    <x v="0"/>
    <x v="0"/>
    <n v="80"/>
    <n v="29200"/>
    <n v="105120"/>
  </r>
  <r>
    <x v="0"/>
    <x v="0"/>
    <x v="0"/>
    <x v="2"/>
    <x v="3"/>
    <s v="FIN_HP"/>
    <x v="12"/>
    <s v="GETOH_ELECTRICBOILER"/>
    <x v="0"/>
    <x v="1"/>
    <n v="80"/>
    <n v="29200"/>
    <n v="105120"/>
  </r>
  <r>
    <x v="0"/>
    <x v="0"/>
    <x v="0"/>
    <x v="2"/>
    <x v="3"/>
    <s v="FIN_HP"/>
    <x v="12"/>
    <s v="GETOH_ELECTRICBOILER"/>
    <x v="0"/>
    <x v="2"/>
    <n v="80"/>
    <n v="29200"/>
    <n v="105120"/>
  </r>
  <r>
    <x v="0"/>
    <x v="0"/>
    <x v="0"/>
    <x v="2"/>
    <x v="3"/>
    <s v="FIN_HP"/>
    <x v="12"/>
    <s v="GETOH_ELECTRICBOILER"/>
    <x v="0"/>
    <x v="3"/>
    <n v="80"/>
    <n v="29200"/>
    <n v="105120"/>
  </r>
  <r>
    <x v="0"/>
    <x v="0"/>
    <x v="0"/>
    <x v="2"/>
    <x v="3"/>
    <s v="FIN_HP"/>
    <x v="12"/>
    <s v="GETOH_ELECTRICBOILER"/>
    <x v="0"/>
    <x v="4"/>
    <n v="80"/>
    <n v="29200"/>
    <n v="105120"/>
  </r>
  <r>
    <x v="0"/>
    <x v="0"/>
    <x v="0"/>
    <x v="2"/>
    <x v="3"/>
    <s v="FIN_HP"/>
    <x v="12"/>
    <s v="GETOH_ELECTRICBOILER"/>
    <x v="0"/>
    <x v="5"/>
    <n v="80"/>
    <n v="29200"/>
    <n v="105120"/>
  </r>
  <r>
    <x v="0"/>
    <x v="0"/>
    <x v="0"/>
    <x v="2"/>
    <x v="3"/>
    <s v="FIN_HP"/>
    <x v="12"/>
    <s v="GETOH_ELECTRICBOILER"/>
    <x v="0"/>
    <x v="6"/>
    <n v="80"/>
    <n v="29200"/>
    <n v="105120"/>
  </r>
  <r>
    <x v="0"/>
    <x v="0"/>
    <x v="0"/>
    <x v="2"/>
    <x v="3"/>
    <s v="FIN_HP"/>
    <x v="12"/>
    <s v="GETOH_ELECTRICBOILER"/>
    <x v="0"/>
    <x v="7"/>
    <n v="80"/>
    <n v="29200"/>
    <n v="105120"/>
  </r>
  <r>
    <x v="0"/>
    <x v="0"/>
    <x v="0"/>
    <x v="2"/>
    <x v="3"/>
    <s v="FIN_HP"/>
    <x v="12"/>
    <s v="GETOH_ELECTRICBOILER"/>
    <x v="0"/>
    <x v="8"/>
    <n v="80"/>
    <n v="29200"/>
    <n v="105120"/>
  </r>
  <r>
    <x v="0"/>
    <x v="0"/>
    <x v="0"/>
    <x v="2"/>
    <x v="3"/>
    <s v="FIN_HP"/>
    <x v="12"/>
    <s v="GETOH_ELECTRICBOILER"/>
    <x v="0"/>
    <x v="9"/>
    <n v="80"/>
    <n v="29200"/>
    <n v="105120"/>
  </r>
  <r>
    <x v="0"/>
    <x v="0"/>
    <x v="0"/>
    <x v="2"/>
    <x v="3"/>
    <s v="FIN_HP"/>
    <x v="12"/>
    <s v="GETOH_ELECTRICBOILER"/>
    <x v="0"/>
    <x v="10"/>
    <n v="80"/>
    <n v="29200"/>
    <n v="105120"/>
  </r>
  <r>
    <x v="0"/>
    <x v="0"/>
    <x v="0"/>
    <x v="2"/>
    <x v="3"/>
    <s v="FIN_HP"/>
    <x v="12"/>
    <s v="GETOH_ELECTRICBOILER"/>
    <x v="0"/>
    <x v="11"/>
    <n v="80"/>
    <n v="29200"/>
    <n v="105120"/>
  </r>
  <r>
    <x v="0"/>
    <x v="0"/>
    <x v="0"/>
    <x v="2"/>
    <x v="3"/>
    <s v="FIN_HP"/>
    <x v="12"/>
    <s v="GETOH_ELECTRICBOILER"/>
    <x v="0"/>
    <x v="12"/>
    <n v="80"/>
    <n v="29200"/>
    <n v="105120"/>
  </r>
  <r>
    <x v="0"/>
    <x v="0"/>
    <x v="0"/>
    <x v="2"/>
    <x v="3"/>
    <s v="FIN_HP"/>
    <x v="12"/>
    <s v="GETOH_ELECTRICBOILER"/>
    <x v="0"/>
    <x v="13"/>
    <n v="80"/>
    <n v="29200"/>
    <n v="105120"/>
  </r>
  <r>
    <x v="0"/>
    <x v="0"/>
    <x v="0"/>
    <x v="2"/>
    <x v="3"/>
    <s v="FIN_HP"/>
    <x v="12"/>
    <s v="GETOH_ELECTRICBOILER"/>
    <x v="0"/>
    <x v="14"/>
    <n v="80"/>
    <n v="29200"/>
    <n v="105120"/>
  </r>
  <r>
    <x v="0"/>
    <x v="0"/>
    <x v="0"/>
    <x v="2"/>
    <x v="3"/>
    <s v="FIN_HP"/>
    <x v="12"/>
    <s v="GETOH_ELECTRICBOILER"/>
    <x v="0"/>
    <x v="15"/>
    <n v="80"/>
    <n v="29200"/>
    <n v="105120"/>
  </r>
  <r>
    <x v="0"/>
    <x v="0"/>
    <x v="0"/>
    <x v="2"/>
    <x v="3"/>
    <s v="FIN_HP"/>
    <x v="12"/>
    <s v="GETOH_ELECTRICBOILER"/>
    <x v="0"/>
    <x v="16"/>
    <n v="80"/>
    <n v="29200"/>
    <n v="105120"/>
  </r>
  <r>
    <x v="0"/>
    <x v="0"/>
    <x v="0"/>
    <x v="2"/>
    <x v="3"/>
    <s v="FIN_HP"/>
    <x v="12"/>
    <s v="GETOH_ELECTRICBOILER"/>
    <x v="0"/>
    <x v="17"/>
    <n v="80"/>
    <n v="29200"/>
    <n v="105120"/>
  </r>
  <r>
    <x v="0"/>
    <x v="0"/>
    <x v="0"/>
    <x v="2"/>
    <x v="3"/>
    <s v="FIN_HP"/>
    <x v="12"/>
    <s v="GETOH_ELECTRICBOILER"/>
    <x v="0"/>
    <x v="18"/>
    <n v="80"/>
    <n v="29200"/>
    <n v="105120"/>
  </r>
  <r>
    <x v="0"/>
    <x v="0"/>
    <x v="0"/>
    <x v="2"/>
    <x v="3"/>
    <s v="FIN_HP"/>
    <x v="12"/>
    <s v="GETOH_ELECTRICBOILER"/>
    <x v="0"/>
    <x v="19"/>
    <n v="80"/>
    <n v="29200"/>
    <n v="105120"/>
  </r>
  <r>
    <x v="0"/>
    <x v="0"/>
    <x v="0"/>
    <x v="2"/>
    <x v="3"/>
    <s v="FIN_HP"/>
    <x v="12"/>
    <s v="GETOH_ELECTRICBOILER"/>
    <x v="0"/>
    <x v="20"/>
    <n v="80"/>
    <n v="29200"/>
    <n v="105120"/>
  </r>
  <r>
    <x v="0"/>
    <x v="0"/>
    <x v="0"/>
    <x v="2"/>
    <x v="3"/>
    <s v="FIN_HP"/>
    <x v="12"/>
    <s v="GETOH_ELECTRICBOILER"/>
    <x v="0"/>
    <x v="21"/>
    <n v="80"/>
    <n v="29200"/>
    <n v="105120"/>
  </r>
  <r>
    <x v="0"/>
    <x v="0"/>
    <x v="0"/>
    <x v="2"/>
    <x v="3"/>
    <s v="FIN_HP"/>
    <x v="12"/>
    <s v="GETOH_ELECTRICBOILER"/>
    <x v="0"/>
    <x v="22"/>
    <n v="80"/>
    <n v="29200"/>
    <n v="105120"/>
  </r>
  <r>
    <x v="0"/>
    <x v="0"/>
    <x v="0"/>
    <x v="2"/>
    <x v="3"/>
    <s v="FIN_HP"/>
    <x v="12"/>
    <s v="GETOH_ELECTRICBOILER"/>
    <x v="0"/>
    <x v="23"/>
    <n v="80"/>
    <n v="29200"/>
    <n v="105120"/>
  </r>
  <r>
    <x v="0"/>
    <x v="0"/>
    <x v="0"/>
    <x v="2"/>
    <x v="3"/>
    <s v="FIN_HP"/>
    <x v="12"/>
    <s v="GETOH_HEATPUMP"/>
    <x v="0"/>
    <x v="0"/>
    <n v="34.200000000000003"/>
    <n v="12483"/>
    <n v="44938.8"/>
  </r>
  <r>
    <x v="0"/>
    <x v="0"/>
    <x v="0"/>
    <x v="2"/>
    <x v="3"/>
    <s v="FIN_HP"/>
    <x v="12"/>
    <s v="GETOH_HEATPUMP"/>
    <x v="0"/>
    <x v="1"/>
    <n v="34.200000000000003"/>
    <n v="12483"/>
    <n v="44938.8"/>
  </r>
  <r>
    <x v="0"/>
    <x v="0"/>
    <x v="0"/>
    <x v="2"/>
    <x v="3"/>
    <s v="FIN_HP"/>
    <x v="12"/>
    <s v="GETOH_HEATPUMP"/>
    <x v="0"/>
    <x v="2"/>
    <n v="34.200000000000003"/>
    <n v="12483"/>
    <n v="44938.8"/>
  </r>
  <r>
    <x v="0"/>
    <x v="0"/>
    <x v="0"/>
    <x v="2"/>
    <x v="3"/>
    <s v="FIN_HP"/>
    <x v="12"/>
    <s v="GETOH_HEATPUMP"/>
    <x v="0"/>
    <x v="3"/>
    <n v="34.200000000000003"/>
    <n v="12483"/>
    <n v="44938.8"/>
  </r>
  <r>
    <x v="0"/>
    <x v="0"/>
    <x v="0"/>
    <x v="2"/>
    <x v="3"/>
    <s v="FIN_HP"/>
    <x v="12"/>
    <s v="GETOH_HEATPUMP"/>
    <x v="0"/>
    <x v="4"/>
    <n v="34.200000000000003"/>
    <n v="12483"/>
    <n v="44938.8"/>
  </r>
  <r>
    <x v="0"/>
    <x v="0"/>
    <x v="0"/>
    <x v="2"/>
    <x v="3"/>
    <s v="FIN_HP"/>
    <x v="12"/>
    <s v="GETOH_HEATPUMP"/>
    <x v="0"/>
    <x v="5"/>
    <n v="34.200000000000003"/>
    <n v="12483"/>
    <n v="44938.8"/>
  </r>
  <r>
    <x v="0"/>
    <x v="0"/>
    <x v="0"/>
    <x v="2"/>
    <x v="3"/>
    <s v="FIN_HP"/>
    <x v="12"/>
    <s v="GETOH_HEATPUMP"/>
    <x v="0"/>
    <x v="6"/>
    <n v="34.200000000000003"/>
    <n v="12483"/>
    <n v="44938.8"/>
  </r>
  <r>
    <x v="0"/>
    <x v="0"/>
    <x v="0"/>
    <x v="2"/>
    <x v="3"/>
    <s v="FIN_HP"/>
    <x v="12"/>
    <s v="GETOH_HEATPUMP"/>
    <x v="0"/>
    <x v="7"/>
    <n v="34.200000000000003"/>
    <n v="12483"/>
    <n v="44938.8"/>
  </r>
  <r>
    <x v="0"/>
    <x v="0"/>
    <x v="0"/>
    <x v="2"/>
    <x v="3"/>
    <s v="FIN_HP"/>
    <x v="12"/>
    <s v="GETOH_HEATPUMP"/>
    <x v="0"/>
    <x v="8"/>
    <n v="34.200000000000003"/>
    <n v="12483"/>
    <n v="44938.8"/>
  </r>
  <r>
    <x v="0"/>
    <x v="0"/>
    <x v="0"/>
    <x v="2"/>
    <x v="3"/>
    <s v="FIN_HP"/>
    <x v="12"/>
    <s v="GETOH_HEATPUMP"/>
    <x v="0"/>
    <x v="9"/>
    <n v="34.200000000000003"/>
    <n v="12483"/>
    <n v="44938.8"/>
  </r>
  <r>
    <x v="0"/>
    <x v="0"/>
    <x v="0"/>
    <x v="2"/>
    <x v="3"/>
    <s v="FIN_HP"/>
    <x v="12"/>
    <s v="GETOH_HEATPUMP"/>
    <x v="0"/>
    <x v="10"/>
    <n v="34.200000000000003"/>
    <n v="12483"/>
    <n v="44938.8"/>
  </r>
  <r>
    <x v="0"/>
    <x v="0"/>
    <x v="0"/>
    <x v="2"/>
    <x v="3"/>
    <s v="FIN_HP"/>
    <x v="12"/>
    <s v="GETOH_HEATPUMP"/>
    <x v="0"/>
    <x v="11"/>
    <n v="34.200000000000003"/>
    <n v="12483"/>
    <n v="44938.8"/>
  </r>
  <r>
    <x v="0"/>
    <x v="0"/>
    <x v="0"/>
    <x v="2"/>
    <x v="3"/>
    <s v="FIN_HP"/>
    <x v="12"/>
    <s v="GETOH_HEATPUMP"/>
    <x v="0"/>
    <x v="12"/>
    <n v="34.200000000000003"/>
    <n v="12483"/>
    <n v="44938.8"/>
  </r>
  <r>
    <x v="0"/>
    <x v="0"/>
    <x v="0"/>
    <x v="2"/>
    <x v="3"/>
    <s v="FIN_HP"/>
    <x v="12"/>
    <s v="GETOH_HEATPUMP"/>
    <x v="0"/>
    <x v="13"/>
    <n v="34.200000000000003"/>
    <n v="12483"/>
    <n v="44938.8"/>
  </r>
  <r>
    <x v="0"/>
    <x v="0"/>
    <x v="0"/>
    <x v="2"/>
    <x v="3"/>
    <s v="FIN_HP"/>
    <x v="12"/>
    <s v="GETOH_HEATPUMP"/>
    <x v="0"/>
    <x v="14"/>
    <n v="34.200000000000003"/>
    <n v="12483"/>
    <n v="44938.8"/>
  </r>
  <r>
    <x v="0"/>
    <x v="0"/>
    <x v="0"/>
    <x v="2"/>
    <x v="3"/>
    <s v="FIN_HP"/>
    <x v="12"/>
    <s v="GETOH_HEATPUMP"/>
    <x v="0"/>
    <x v="15"/>
    <n v="34.200000000000003"/>
    <n v="12483"/>
    <n v="44938.8"/>
  </r>
  <r>
    <x v="0"/>
    <x v="0"/>
    <x v="0"/>
    <x v="2"/>
    <x v="3"/>
    <s v="FIN_HP"/>
    <x v="12"/>
    <s v="GETOH_HEATPUMP"/>
    <x v="0"/>
    <x v="16"/>
    <n v="34.200000000000003"/>
    <n v="12483"/>
    <n v="44938.8"/>
  </r>
  <r>
    <x v="0"/>
    <x v="0"/>
    <x v="0"/>
    <x v="2"/>
    <x v="3"/>
    <s v="FIN_HP"/>
    <x v="12"/>
    <s v="GETOH_HEATPUMP"/>
    <x v="0"/>
    <x v="17"/>
    <n v="34.200000000000003"/>
    <n v="12483"/>
    <n v="44938.8"/>
  </r>
  <r>
    <x v="0"/>
    <x v="0"/>
    <x v="0"/>
    <x v="2"/>
    <x v="3"/>
    <s v="FIN_HP"/>
    <x v="12"/>
    <s v="GETOH_HEATPUMP"/>
    <x v="0"/>
    <x v="18"/>
    <n v="34.200000000000003"/>
    <n v="12483"/>
    <n v="44938.8"/>
  </r>
  <r>
    <x v="0"/>
    <x v="0"/>
    <x v="0"/>
    <x v="2"/>
    <x v="3"/>
    <s v="FIN_HP"/>
    <x v="12"/>
    <s v="GETOH_HEATPUMP"/>
    <x v="0"/>
    <x v="19"/>
    <n v="34.200000000000003"/>
    <n v="12483"/>
    <n v="44938.8"/>
  </r>
  <r>
    <x v="0"/>
    <x v="0"/>
    <x v="0"/>
    <x v="2"/>
    <x v="3"/>
    <s v="FIN_HP"/>
    <x v="12"/>
    <s v="GETOH_HEATPUMP"/>
    <x v="0"/>
    <x v="20"/>
    <n v="34.200000000000003"/>
    <n v="12483"/>
    <n v="44938.8"/>
  </r>
  <r>
    <x v="0"/>
    <x v="0"/>
    <x v="0"/>
    <x v="2"/>
    <x v="3"/>
    <s v="FIN_HP"/>
    <x v="12"/>
    <s v="GETOH_HEATPUMP"/>
    <x v="0"/>
    <x v="21"/>
    <n v="34.200000000000003"/>
    <n v="12483"/>
    <n v="44938.8"/>
  </r>
  <r>
    <x v="0"/>
    <x v="0"/>
    <x v="0"/>
    <x v="2"/>
    <x v="3"/>
    <s v="FIN_HP"/>
    <x v="12"/>
    <s v="GETOH_HEATPUMP"/>
    <x v="0"/>
    <x v="22"/>
    <n v="34.200000000000003"/>
    <n v="12483"/>
    <n v="44938.8"/>
  </r>
  <r>
    <x v="0"/>
    <x v="0"/>
    <x v="0"/>
    <x v="2"/>
    <x v="3"/>
    <s v="FIN_HP"/>
    <x v="12"/>
    <s v="GETOH_HEATPUMP"/>
    <x v="0"/>
    <x v="23"/>
    <n v="34.200000000000003"/>
    <n v="12483"/>
    <n v="44938.8"/>
  </r>
  <r>
    <x v="0"/>
    <x v="0"/>
    <x v="0"/>
    <x v="2"/>
    <x v="3"/>
    <s v="FIN_HP"/>
    <x v="6"/>
    <s v="GHOB_WASTEHEAT"/>
    <x v="0"/>
    <x v="0"/>
    <n v="5.2655677655677398"/>
    <n v="1921.93223443223"/>
    <n v="6918.95604395602"/>
  </r>
  <r>
    <x v="0"/>
    <x v="0"/>
    <x v="0"/>
    <x v="2"/>
    <x v="3"/>
    <s v="FIN_HP"/>
    <x v="6"/>
    <s v="GHOB_WASTEHEAT"/>
    <x v="0"/>
    <x v="1"/>
    <n v="5.2655677655677398"/>
    <n v="1921.93223443223"/>
    <n v="6918.95604395602"/>
  </r>
  <r>
    <x v="0"/>
    <x v="0"/>
    <x v="0"/>
    <x v="2"/>
    <x v="3"/>
    <s v="FIN_HP"/>
    <x v="6"/>
    <s v="GHOB_WASTEHEAT"/>
    <x v="0"/>
    <x v="2"/>
    <n v="5.2655677655677398"/>
    <n v="1921.93223443223"/>
    <n v="6918.95604395602"/>
  </r>
  <r>
    <x v="0"/>
    <x v="0"/>
    <x v="0"/>
    <x v="2"/>
    <x v="3"/>
    <s v="FIN_HP"/>
    <x v="6"/>
    <s v="GHOB_WASTEHEAT"/>
    <x v="0"/>
    <x v="3"/>
    <n v="5.2655677655677398"/>
    <n v="1921.93223443223"/>
    <n v="6918.95604395602"/>
  </r>
  <r>
    <x v="0"/>
    <x v="0"/>
    <x v="0"/>
    <x v="2"/>
    <x v="3"/>
    <s v="FIN_HP"/>
    <x v="6"/>
    <s v="GHOB_WASTEHEAT"/>
    <x v="0"/>
    <x v="4"/>
    <n v="5.2655677655677398"/>
    <n v="1921.93223443223"/>
    <n v="6918.95604395602"/>
  </r>
  <r>
    <x v="0"/>
    <x v="0"/>
    <x v="0"/>
    <x v="2"/>
    <x v="3"/>
    <s v="FIN_HP"/>
    <x v="6"/>
    <s v="GHOB_WASTEHEAT"/>
    <x v="0"/>
    <x v="5"/>
    <n v="5.2655677655677398"/>
    <n v="1921.93223443223"/>
    <n v="6918.95604395602"/>
  </r>
  <r>
    <x v="0"/>
    <x v="0"/>
    <x v="0"/>
    <x v="2"/>
    <x v="3"/>
    <s v="FIN_HP"/>
    <x v="6"/>
    <s v="GHOB_WASTEHEAT"/>
    <x v="0"/>
    <x v="6"/>
    <n v="5.2655677655677398"/>
    <n v="1921.93223443223"/>
    <n v="6918.95604395602"/>
  </r>
  <r>
    <x v="0"/>
    <x v="0"/>
    <x v="0"/>
    <x v="2"/>
    <x v="3"/>
    <s v="FIN_HP"/>
    <x v="6"/>
    <s v="GHOB_WASTEHEAT"/>
    <x v="0"/>
    <x v="7"/>
    <n v="5.2655677655677398"/>
    <n v="1921.93223443223"/>
    <n v="6918.95604395602"/>
  </r>
  <r>
    <x v="0"/>
    <x v="0"/>
    <x v="0"/>
    <x v="2"/>
    <x v="3"/>
    <s v="FIN_HP"/>
    <x v="6"/>
    <s v="GHOB_WASTEHEAT"/>
    <x v="0"/>
    <x v="8"/>
    <n v="5.2655677655677398"/>
    <n v="1921.93223443223"/>
    <n v="6918.95604395602"/>
  </r>
  <r>
    <x v="0"/>
    <x v="0"/>
    <x v="0"/>
    <x v="2"/>
    <x v="3"/>
    <s v="FIN_HP"/>
    <x v="6"/>
    <s v="GHOB_WASTEHEAT"/>
    <x v="0"/>
    <x v="9"/>
    <n v="5.2655677655677398"/>
    <n v="1921.93223443223"/>
    <n v="6918.95604395602"/>
  </r>
  <r>
    <x v="0"/>
    <x v="0"/>
    <x v="0"/>
    <x v="2"/>
    <x v="3"/>
    <s v="FIN_HP"/>
    <x v="6"/>
    <s v="GHOB_WASTEHEAT"/>
    <x v="0"/>
    <x v="10"/>
    <n v="5.2655677655677398"/>
    <n v="1921.93223443223"/>
    <n v="6918.95604395602"/>
  </r>
  <r>
    <x v="0"/>
    <x v="0"/>
    <x v="0"/>
    <x v="2"/>
    <x v="3"/>
    <s v="FIN_HP"/>
    <x v="6"/>
    <s v="GHOB_WASTEHEAT"/>
    <x v="0"/>
    <x v="11"/>
    <n v="5.2655677655677398"/>
    <n v="1921.93223443223"/>
    <n v="6918.95604395602"/>
  </r>
  <r>
    <x v="0"/>
    <x v="0"/>
    <x v="0"/>
    <x v="2"/>
    <x v="3"/>
    <s v="FIN_HP"/>
    <x v="6"/>
    <s v="GHOB_WASTEHEAT"/>
    <x v="0"/>
    <x v="12"/>
    <n v="5.2655677655677398"/>
    <n v="1921.93223443223"/>
    <n v="6918.95604395602"/>
  </r>
  <r>
    <x v="0"/>
    <x v="0"/>
    <x v="0"/>
    <x v="2"/>
    <x v="3"/>
    <s v="FIN_HP"/>
    <x v="6"/>
    <s v="GHOB_WASTEHEAT"/>
    <x v="0"/>
    <x v="13"/>
    <n v="5.2655677655677398"/>
    <n v="1921.93223443223"/>
    <n v="6918.95604395602"/>
  </r>
  <r>
    <x v="0"/>
    <x v="0"/>
    <x v="0"/>
    <x v="2"/>
    <x v="3"/>
    <s v="FIN_HP"/>
    <x v="6"/>
    <s v="GHOB_WASTEHEAT"/>
    <x v="0"/>
    <x v="14"/>
    <n v="5.2655677655677398"/>
    <n v="1921.93223443223"/>
    <n v="6918.95604395602"/>
  </r>
  <r>
    <x v="0"/>
    <x v="0"/>
    <x v="0"/>
    <x v="2"/>
    <x v="3"/>
    <s v="FIN_HP"/>
    <x v="6"/>
    <s v="GHOB_WASTEHEAT"/>
    <x v="0"/>
    <x v="15"/>
    <n v="5.2655677655677398"/>
    <n v="1921.93223443223"/>
    <n v="6918.95604395602"/>
  </r>
  <r>
    <x v="0"/>
    <x v="0"/>
    <x v="0"/>
    <x v="2"/>
    <x v="3"/>
    <s v="FIN_HP"/>
    <x v="6"/>
    <s v="GHOB_WASTEHEAT"/>
    <x v="0"/>
    <x v="16"/>
    <n v="5.2655677655677398"/>
    <n v="1921.93223443223"/>
    <n v="6918.95604395602"/>
  </r>
  <r>
    <x v="0"/>
    <x v="0"/>
    <x v="0"/>
    <x v="2"/>
    <x v="3"/>
    <s v="FIN_HP"/>
    <x v="6"/>
    <s v="GHOB_WASTEHEAT"/>
    <x v="0"/>
    <x v="17"/>
    <n v="5.2655677655677398"/>
    <n v="1921.93223443223"/>
    <n v="6918.95604395602"/>
  </r>
  <r>
    <x v="0"/>
    <x v="0"/>
    <x v="0"/>
    <x v="2"/>
    <x v="3"/>
    <s v="FIN_HP"/>
    <x v="6"/>
    <s v="GHOB_WASTEHEAT"/>
    <x v="0"/>
    <x v="18"/>
    <n v="5.2655677655677398"/>
    <n v="1921.93223443223"/>
    <n v="6918.95604395602"/>
  </r>
  <r>
    <x v="0"/>
    <x v="0"/>
    <x v="0"/>
    <x v="2"/>
    <x v="3"/>
    <s v="FIN_HP"/>
    <x v="6"/>
    <s v="GHOB_WASTEHEAT"/>
    <x v="0"/>
    <x v="19"/>
    <n v="5.2655677655677398"/>
    <n v="1921.93223443223"/>
    <n v="6918.95604395602"/>
  </r>
  <r>
    <x v="0"/>
    <x v="0"/>
    <x v="0"/>
    <x v="2"/>
    <x v="3"/>
    <s v="FIN_HP"/>
    <x v="6"/>
    <s v="GHOB_WASTEHEAT"/>
    <x v="0"/>
    <x v="20"/>
    <n v="5.2655677655677398"/>
    <n v="1921.93223443223"/>
    <n v="6918.95604395602"/>
  </r>
  <r>
    <x v="0"/>
    <x v="0"/>
    <x v="0"/>
    <x v="2"/>
    <x v="3"/>
    <s v="FIN_HP"/>
    <x v="6"/>
    <s v="GHOB_WASTEHEAT"/>
    <x v="0"/>
    <x v="21"/>
    <n v="5.2655677655677398"/>
    <n v="1921.93223443223"/>
    <n v="6918.95604395602"/>
  </r>
  <r>
    <x v="0"/>
    <x v="0"/>
    <x v="0"/>
    <x v="2"/>
    <x v="3"/>
    <s v="FIN_HP"/>
    <x v="6"/>
    <s v="GHOB_WASTEHEAT"/>
    <x v="0"/>
    <x v="22"/>
    <n v="5.2655677655677398"/>
    <n v="1921.93223443223"/>
    <n v="6918.95604395602"/>
  </r>
  <r>
    <x v="0"/>
    <x v="0"/>
    <x v="0"/>
    <x v="2"/>
    <x v="3"/>
    <s v="FIN_HP"/>
    <x v="6"/>
    <s v="GHOB_WASTEHEAT"/>
    <x v="0"/>
    <x v="23"/>
    <n v="5.2655677655677398"/>
    <n v="1921.93223443223"/>
    <n v="6918.95604395602"/>
  </r>
  <r>
    <x v="0"/>
    <x v="0"/>
    <x v="0"/>
    <x v="2"/>
    <x v="3"/>
    <s v="FIN_HP"/>
    <x v="7"/>
    <s v="GHOB_WOODCHIPS"/>
    <x v="0"/>
    <x v="0"/>
    <n v="86.8"/>
    <n v="31682"/>
    <n v="114055.2"/>
  </r>
  <r>
    <x v="0"/>
    <x v="0"/>
    <x v="0"/>
    <x v="2"/>
    <x v="3"/>
    <s v="FIN_HP"/>
    <x v="7"/>
    <s v="GHOB_WOODCHIPS"/>
    <x v="0"/>
    <x v="1"/>
    <n v="86.8"/>
    <n v="31682"/>
    <n v="114055.2"/>
  </r>
  <r>
    <x v="0"/>
    <x v="0"/>
    <x v="0"/>
    <x v="2"/>
    <x v="3"/>
    <s v="FIN_HP"/>
    <x v="7"/>
    <s v="GHOB_WOODCHIPS"/>
    <x v="0"/>
    <x v="2"/>
    <n v="86.8"/>
    <n v="31682"/>
    <n v="114055.2"/>
  </r>
  <r>
    <x v="0"/>
    <x v="0"/>
    <x v="0"/>
    <x v="2"/>
    <x v="3"/>
    <s v="FIN_HP"/>
    <x v="7"/>
    <s v="GHOB_WOODCHIPS"/>
    <x v="0"/>
    <x v="3"/>
    <n v="86.8"/>
    <n v="31682"/>
    <n v="114055.2"/>
  </r>
  <r>
    <x v="0"/>
    <x v="0"/>
    <x v="0"/>
    <x v="2"/>
    <x v="3"/>
    <s v="FIN_HP"/>
    <x v="7"/>
    <s v="GHOB_WOODCHIPS"/>
    <x v="0"/>
    <x v="4"/>
    <n v="86.8"/>
    <n v="31682"/>
    <n v="114055.2"/>
  </r>
  <r>
    <x v="0"/>
    <x v="0"/>
    <x v="0"/>
    <x v="2"/>
    <x v="3"/>
    <s v="FIN_HP"/>
    <x v="7"/>
    <s v="GHOB_WOODCHIPS"/>
    <x v="0"/>
    <x v="5"/>
    <n v="86.8"/>
    <n v="31682"/>
    <n v="114055.2"/>
  </r>
  <r>
    <x v="0"/>
    <x v="0"/>
    <x v="0"/>
    <x v="2"/>
    <x v="3"/>
    <s v="FIN_HP"/>
    <x v="7"/>
    <s v="GHOB_WOODCHIPS"/>
    <x v="0"/>
    <x v="6"/>
    <n v="86.8"/>
    <n v="31682"/>
    <n v="114055.2"/>
  </r>
  <r>
    <x v="0"/>
    <x v="0"/>
    <x v="0"/>
    <x v="2"/>
    <x v="3"/>
    <s v="FIN_HP"/>
    <x v="7"/>
    <s v="GHOB_WOODCHIPS"/>
    <x v="0"/>
    <x v="7"/>
    <n v="86.8"/>
    <n v="31682"/>
    <n v="114055.2"/>
  </r>
  <r>
    <x v="0"/>
    <x v="0"/>
    <x v="0"/>
    <x v="2"/>
    <x v="3"/>
    <s v="FIN_HP"/>
    <x v="7"/>
    <s v="GHOB_WOODCHIPS"/>
    <x v="0"/>
    <x v="8"/>
    <n v="86.8"/>
    <n v="31682"/>
    <n v="114055.2"/>
  </r>
  <r>
    <x v="0"/>
    <x v="0"/>
    <x v="0"/>
    <x v="2"/>
    <x v="3"/>
    <s v="FIN_HP"/>
    <x v="7"/>
    <s v="GHOB_WOODCHIPS"/>
    <x v="0"/>
    <x v="9"/>
    <n v="86.8"/>
    <n v="31682"/>
    <n v="114055.2"/>
  </r>
  <r>
    <x v="0"/>
    <x v="0"/>
    <x v="0"/>
    <x v="2"/>
    <x v="3"/>
    <s v="FIN_HP"/>
    <x v="7"/>
    <s v="GHOB_WOODCHIPS"/>
    <x v="0"/>
    <x v="10"/>
    <n v="86.8"/>
    <n v="31682"/>
    <n v="114055.2"/>
  </r>
  <r>
    <x v="0"/>
    <x v="0"/>
    <x v="0"/>
    <x v="2"/>
    <x v="3"/>
    <s v="FIN_HP"/>
    <x v="7"/>
    <s v="GHOB_WOODCHIPS"/>
    <x v="0"/>
    <x v="11"/>
    <n v="86.8"/>
    <n v="31682"/>
    <n v="114055.2"/>
  </r>
  <r>
    <x v="0"/>
    <x v="0"/>
    <x v="0"/>
    <x v="2"/>
    <x v="3"/>
    <s v="FIN_HP"/>
    <x v="7"/>
    <s v="GHOB_WOODCHIPS"/>
    <x v="0"/>
    <x v="12"/>
    <n v="86.8"/>
    <n v="31682"/>
    <n v="114055.2"/>
  </r>
  <r>
    <x v="0"/>
    <x v="0"/>
    <x v="0"/>
    <x v="2"/>
    <x v="3"/>
    <s v="FIN_HP"/>
    <x v="7"/>
    <s v="GHOB_WOODCHIPS"/>
    <x v="0"/>
    <x v="13"/>
    <n v="86.8"/>
    <n v="31682"/>
    <n v="114055.2"/>
  </r>
  <r>
    <x v="0"/>
    <x v="0"/>
    <x v="0"/>
    <x v="2"/>
    <x v="3"/>
    <s v="FIN_HP"/>
    <x v="7"/>
    <s v="GHOB_WOODCHIPS"/>
    <x v="0"/>
    <x v="14"/>
    <n v="86.8"/>
    <n v="31682"/>
    <n v="114055.2"/>
  </r>
  <r>
    <x v="0"/>
    <x v="0"/>
    <x v="0"/>
    <x v="2"/>
    <x v="3"/>
    <s v="FIN_HP"/>
    <x v="7"/>
    <s v="GHOB_WOODCHIPS"/>
    <x v="0"/>
    <x v="15"/>
    <n v="86.8"/>
    <n v="31682"/>
    <n v="114055.2"/>
  </r>
  <r>
    <x v="0"/>
    <x v="0"/>
    <x v="0"/>
    <x v="2"/>
    <x v="3"/>
    <s v="FIN_HP"/>
    <x v="7"/>
    <s v="GHOB_WOODCHIPS"/>
    <x v="0"/>
    <x v="16"/>
    <n v="86.8"/>
    <n v="31682"/>
    <n v="114055.2"/>
  </r>
  <r>
    <x v="0"/>
    <x v="0"/>
    <x v="0"/>
    <x v="2"/>
    <x v="3"/>
    <s v="FIN_HP"/>
    <x v="7"/>
    <s v="GHOB_WOODCHIPS"/>
    <x v="0"/>
    <x v="17"/>
    <n v="86.8"/>
    <n v="31682"/>
    <n v="114055.2"/>
  </r>
  <r>
    <x v="0"/>
    <x v="0"/>
    <x v="0"/>
    <x v="2"/>
    <x v="3"/>
    <s v="FIN_HP"/>
    <x v="7"/>
    <s v="GHOB_WOODCHIPS"/>
    <x v="0"/>
    <x v="18"/>
    <n v="86.8"/>
    <n v="31682"/>
    <n v="114055.2"/>
  </r>
  <r>
    <x v="0"/>
    <x v="0"/>
    <x v="0"/>
    <x v="2"/>
    <x v="3"/>
    <s v="FIN_HP"/>
    <x v="7"/>
    <s v="GHOB_WOODCHIPS"/>
    <x v="0"/>
    <x v="19"/>
    <n v="86.8"/>
    <n v="31682"/>
    <n v="114055.2"/>
  </r>
  <r>
    <x v="0"/>
    <x v="0"/>
    <x v="0"/>
    <x v="2"/>
    <x v="3"/>
    <s v="FIN_HP"/>
    <x v="7"/>
    <s v="GHOB_WOODCHIPS"/>
    <x v="0"/>
    <x v="20"/>
    <n v="86.8"/>
    <n v="31682"/>
    <n v="114055.2"/>
  </r>
  <r>
    <x v="0"/>
    <x v="0"/>
    <x v="0"/>
    <x v="2"/>
    <x v="3"/>
    <s v="FIN_HP"/>
    <x v="7"/>
    <s v="GHOB_WOODCHIPS"/>
    <x v="0"/>
    <x v="21"/>
    <n v="86.8"/>
    <n v="31682"/>
    <n v="114055.2"/>
  </r>
  <r>
    <x v="0"/>
    <x v="0"/>
    <x v="0"/>
    <x v="2"/>
    <x v="3"/>
    <s v="FIN_HP"/>
    <x v="7"/>
    <s v="GHOB_WOODCHIPS"/>
    <x v="0"/>
    <x v="22"/>
    <n v="86.8"/>
    <n v="31682"/>
    <n v="114055.2"/>
  </r>
  <r>
    <x v="0"/>
    <x v="0"/>
    <x v="0"/>
    <x v="2"/>
    <x v="3"/>
    <s v="FIN_HP"/>
    <x v="7"/>
    <s v="GHOB_WOODCHIPS"/>
    <x v="0"/>
    <x v="23"/>
    <n v="86.8"/>
    <n v="31682"/>
    <n v="114055.2"/>
  </r>
  <r>
    <x v="0"/>
    <x v="0"/>
    <x v="0"/>
    <x v="2"/>
    <x v="3"/>
    <s v="FIN_HP"/>
    <x v="8"/>
    <s v="GHOB_WOODPELLETS"/>
    <x v="0"/>
    <x v="0"/>
    <n v="1.7"/>
    <n v="620.5"/>
    <n v="2233.8000000000002"/>
  </r>
  <r>
    <x v="0"/>
    <x v="0"/>
    <x v="0"/>
    <x v="2"/>
    <x v="3"/>
    <s v="FIN_HP"/>
    <x v="8"/>
    <s v="GHOB_WOODPELLETS"/>
    <x v="0"/>
    <x v="1"/>
    <n v="1.7"/>
    <n v="620.5"/>
    <n v="2233.8000000000002"/>
  </r>
  <r>
    <x v="0"/>
    <x v="0"/>
    <x v="0"/>
    <x v="2"/>
    <x v="3"/>
    <s v="FIN_HP"/>
    <x v="8"/>
    <s v="GHOB_WOODPELLETS"/>
    <x v="0"/>
    <x v="2"/>
    <n v="1.7"/>
    <n v="620.5"/>
    <n v="2233.8000000000002"/>
  </r>
  <r>
    <x v="0"/>
    <x v="0"/>
    <x v="0"/>
    <x v="2"/>
    <x v="3"/>
    <s v="FIN_HP"/>
    <x v="8"/>
    <s v="GHOB_WOODPELLETS"/>
    <x v="0"/>
    <x v="3"/>
    <n v="1.7"/>
    <n v="620.5"/>
    <n v="2233.8000000000002"/>
  </r>
  <r>
    <x v="0"/>
    <x v="0"/>
    <x v="0"/>
    <x v="2"/>
    <x v="3"/>
    <s v="FIN_HP"/>
    <x v="8"/>
    <s v="GHOB_WOODPELLETS"/>
    <x v="0"/>
    <x v="4"/>
    <n v="1.7"/>
    <n v="620.5"/>
    <n v="2233.8000000000002"/>
  </r>
  <r>
    <x v="0"/>
    <x v="0"/>
    <x v="0"/>
    <x v="2"/>
    <x v="3"/>
    <s v="FIN_HP"/>
    <x v="8"/>
    <s v="GHOB_WOODPELLETS"/>
    <x v="0"/>
    <x v="5"/>
    <n v="1.7"/>
    <n v="620.5"/>
    <n v="2233.8000000000002"/>
  </r>
  <r>
    <x v="0"/>
    <x v="0"/>
    <x v="0"/>
    <x v="2"/>
    <x v="3"/>
    <s v="FIN_HP"/>
    <x v="8"/>
    <s v="GHOB_WOODPELLETS"/>
    <x v="0"/>
    <x v="6"/>
    <n v="1.7"/>
    <n v="620.5"/>
    <n v="2233.8000000000002"/>
  </r>
  <r>
    <x v="0"/>
    <x v="0"/>
    <x v="0"/>
    <x v="2"/>
    <x v="3"/>
    <s v="FIN_HP"/>
    <x v="8"/>
    <s v="GHOB_WOODPELLETS"/>
    <x v="0"/>
    <x v="7"/>
    <n v="1.7"/>
    <n v="620.5"/>
    <n v="2233.8000000000002"/>
  </r>
  <r>
    <x v="0"/>
    <x v="0"/>
    <x v="0"/>
    <x v="2"/>
    <x v="3"/>
    <s v="FIN_HP"/>
    <x v="8"/>
    <s v="GHOB_WOODPELLETS"/>
    <x v="0"/>
    <x v="8"/>
    <n v="1.7"/>
    <n v="620.5"/>
    <n v="2233.8000000000002"/>
  </r>
  <r>
    <x v="0"/>
    <x v="0"/>
    <x v="0"/>
    <x v="2"/>
    <x v="3"/>
    <s v="FIN_HP"/>
    <x v="8"/>
    <s v="GHOB_WOODPELLETS"/>
    <x v="0"/>
    <x v="9"/>
    <n v="1.7"/>
    <n v="620.5"/>
    <n v="2233.8000000000002"/>
  </r>
  <r>
    <x v="0"/>
    <x v="0"/>
    <x v="0"/>
    <x v="2"/>
    <x v="3"/>
    <s v="FIN_HP"/>
    <x v="8"/>
    <s v="GHOB_WOODPELLETS"/>
    <x v="0"/>
    <x v="10"/>
    <n v="1.7"/>
    <n v="620.5"/>
    <n v="2233.8000000000002"/>
  </r>
  <r>
    <x v="0"/>
    <x v="0"/>
    <x v="0"/>
    <x v="2"/>
    <x v="3"/>
    <s v="FIN_HP"/>
    <x v="8"/>
    <s v="GHOB_WOODPELLETS"/>
    <x v="0"/>
    <x v="11"/>
    <n v="1.7"/>
    <n v="620.5"/>
    <n v="2233.8000000000002"/>
  </r>
  <r>
    <x v="0"/>
    <x v="0"/>
    <x v="0"/>
    <x v="2"/>
    <x v="3"/>
    <s v="FIN_HP"/>
    <x v="8"/>
    <s v="GHOB_WOODPELLETS"/>
    <x v="0"/>
    <x v="12"/>
    <n v="1.7"/>
    <n v="620.5"/>
    <n v="2233.8000000000002"/>
  </r>
  <r>
    <x v="0"/>
    <x v="0"/>
    <x v="0"/>
    <x v="2"/>
    <x v="3"/>
    <s v="FIN_HP"/>
    <x v="8"/>
    <s v="GHOB_WOODPELLETS"/>
    <x v="0"/>
    <x v="13"/>
    <n v="1.7"/>
    <n v="620.5"/>
    <n v="2233.8000000000002"/>
  </r>
  <r>
    <x v="0"/>
    <x v="0"/>
    <x v="0"/>
    <x v="2"/>
    <x v="3"/>
    <s v="FIN_HP"/>
    <x v="8"/>
    <s v="GHOB_WOODPELLETS"/>
    <x v="0"/>
    <x v="14"/>
    <n v="1.7"/>
    <n v="620.5"/>
    <n v="2233.8000000000002"/>
  </r>
  <r>
    <x v="0"/>
    <x v="0"/>
    <x v="0"/>
    <x v="2"/>
    <x v="3"/>
    <s v="FIN_HP"/>
    <x v="8"/>
    <s v="GHOB_WOODPELLETS"/>
    <x v="0"/>
    <x v="15"/>
    <n v="1.7"/>
    <n v="620.5"/>
    <n v="2233.8000000000002"/>
  </r>
  <r>
    <x v="0"/>
    <x v="0"/>
    <x v="0"/>
    <x v="2"/>
    <x v="3"/>
    <s v="FIN_HP"/>
    <x v="8"/>
    <s v="GHOB_WOODPELLETS"/>
    <x v="0"/>
    <x v="16"/>
    <n v="1.7"/>
    <n v="620.5"/>
    <n v="2233.8000000000002"/>
  </r>
  <r>
    <x v="0"/>
    <x v="0"/>
    <x v="0"/>
    <x v="2"/>
    <x v="3"/>
    <s v="FIN_HP"/>
    <x v="8"/>
    <s v="GHOB_WOODPELLETS"/>
    <x v="0"/>
    <x v="17"/>
    <n v="1.7"/>
    <n v="620.5"/>
    <n v="2233.8000000000002"/>
  </r>
  <r>
    <x v="0"/>
    <x v="0"/>
    <x v="0"/>
    <x v="2"/>
    <x v="3"/>
    <s v="FIN_HP"/>
    <x v="8"/>
    <s v="GHOB_WOODPELLETS"/>
    <x v="0"/>
    <x v="18"/>
    <n v="1.7"/>
    <n v="620.5"/>
    <n v="2233.8000000000002"/>
  </r>
  <r>
    <x v="0"/>
    <x v="0"/>
    <x v="0"/>
    <x v="2"/>
    <x v="3"/>
    <s v="FIN_HP"/>
    <x v="8"/>
    <s v="GHOB_WOODPELLETS"/>
    <x v="0"/>
    <x v="19"/>
    <n v="1.7"/>
    <n v="620.5"/>
    <n v="2233.8000000000002"/>
  </r>
  <r>
    <x v="0"/>
    <x v="0"/>
    <x v="0"/>
    <x v="2"/>
    <x v="3"/>
    <s v="FIN_HP"/>
    <x v="8"/>
    <s v="GHOB_WOODPELLETS"/>
    <x v="0"/>
    <x v="20"/>
    <n v="1.7"/>
    <n v="620.5"/>
    <n v="2233.8000000000002"/>
  </r>
  <r>
    <x v="0"/>
    <x v="0"/>
    <x v="0"/>
    <x v="2"/>
    <x v="3"/>
    <s v="FIN_HP"/>
    <x v="8"/>
    <s v="GHOB_WOODPELLETS"/>
    <x v="0"/>
    <x v="21"/>
    <n v="1.7"/>
    <n v="620.5"/>
    <n v="2233.8000000000002"/>
  </r>
  <r>
    <x v="0"/>
    <x v="0"/>
    <x v="0"/>
    <x v="2"/>
    <x v="3"/>
    <s v="FIN_HP"/>
    <x v="8"/>
    <s v="GHOB_WOODPELLETS"/>
    <x v="0"/>
    <x v="22"/>
    <n v="1.7"/>
    <n v="620.5"/>
    <n v="2233.8000000000002"/>
  </r>
  <r>
    <x v="0"/>
    <x v="0"/>
    <x v="0"/>
    <x v="2"/>
    <x v="3"/>
    <s v="FIN_HP"/>
    <x v="8"/>
    <s v="GHOB_WOODPELLETS"/>
    <x v="0"/>
    <x v="23"/>
    <n v="1.7"/>
    <n v="620.5"/>
    <n v="2233.8000000000002"/>
  </r>
  <r>
    <x v="0"/>
    <x v="0"/>
    <x v="0"/>
    <x v="2"/>
    <x v="3"/>
    <s v="FIN_HP"/>
    <x v="9"/>
    <s v="GHOB_WOODWASTE"/>
    <x v="0"/>
    <x v="0"/>
    <n v="29.5"/>
    <n v="10767.5"/>
    <n v="38763"/>
  </r>
  <r>
    <x v="0"/>
    <x v="0"/>
    <x v="0"/>
    <x v="2"/>
    <x v="3"/>
    <s v="FIN_HP"/>
    <x v="9"/>
    <s v="GHOB_WOODWASTE"/>
    <x v="0"/>
    <x v="1"/>
    <n v="29.5"/>
    <n v="10767.5"/>
    <n v="38763"/>
  </r>
  <r>
    <x v="0"/>
    <x v="0"/>
    <x v="0"/>
    <x v="2"/>
    <x v="3"/>
    <s v="FIN_HP"/>
    <x v="9"/>
    <s v="GHOB_WOODWASTE"/>
    <x v="0"/>
    <x v="2"/>
    <n v="29.5"/>
    <n v="10767.5"/>
    <n v="38763"/>
  </r>
  <r>
    <x v="0"/>
    <x v="0"/>
    <x v="0"/>
    <x v="2"/>
    <x v="3"/>
    <s v="FIN_HP"/>
    <x v="9"/>
    <s v="GHOB_WOODWASTE"/>
    <x v="0"/>
    <x v="3"/>
    <n v="29.5"/>
    <n v="10767.5"/>
    <n v="38763"/>
  </r>
  <r>
    <x v="0"/>
    <x v="0"/>
    <x v="0"/>
    <x v="2"/>
    <x v="3"/>
    <s v="FIN_HP"/>
    <x v="9"/>
    <s v="GHOB_WOODWASTE"/>
    <x v="0"/>
    <x v="4"/>
    <n v="29.5"/>
    <n v="10767.5"/>
    <n v="38763"/>
  </r>
  <r>
    <x v="0"/>
    <x v="0"/>
    <x v="0"/>
    <x v="2"/>
    <x v="3"/>
    <s v="FIN_HP"/>
    <x v="9"/>
    <s v="GHOB_WOODWASTE"/>
    <x v="0"/>
    <x v="5"/>
    <n v="29.5"/>
    <n v="10767.5"/>
    <n v="38763"/>
  </r>
  <r>
    <x v="0"/>
    <x v="0"/>
    <x v="0"/>
    <x v="2"/>
    <x v="3"/>
    <s v="FIN_HP"/>
    <x v="9"/>
    <s v="GHOB_WOODWASTE"/>
    <x v="0"/>
    <x v="6"/>
    <n v="29.5"/>
    <n v="10767.5"/>
    <n v="38763"/>
  </r>
  <r>
    <x v="0"/>
    <x v="0"/>
    <x v="0"/>
    <x v="2"/>
    <x v="3"/>
    <s v="FIN_HP"/>
    <x v="9"/>
    <s v="GHOB_WOODWASTE"/>
    <x v="0"/>
    <x v="7"/>
    <n v="29.5"/>
    <n v="10767.5"/>
    <n v="38763"/>
  </r>
  <r>
    <x v="0"/>
    <x v="0"/>
    <x v="0"/>
    <x v="2"/>
    <x v="3"/>
    <s v="FIN_HP"/>
    <x v="9"/>
    <s v="GHOB_WOODWASTE"/>
    <x v="0"/>
    <x v="8"/>
    <n v="29.5"/>
    <n v="10767.5"/>
    <n v="38763"/>
  </r>
  <r>
    <x v="0"/>
    <x v="0"/>
    <x v="0"/>
    <x v="2"/>
    <x v="3"/>
    <s v="FIN_HP"/>
    <x v="9"/>
    <s v="GHOB_WOODWASTE"/>
    <x v="0"/>
    <x v="9"/>
    <n v="29.5"/>
    <n v="10767.5"/>
    <n v="38763"/>
  </r>
  <r>
    <x v="0"/>
    <x v="0"/>
    <x v="0"/>
    <x v="2"/>
    <x v="3"/>
    <s v="FIN_HP"/>
    <x v="9"/>
    <s v="GHOB_WOODWASTE"/>
    <x v="0"/>
    <x v="10"/>
    <n v="29.5"/>
    <n v="10767.5"/>
    <n v="38763"/>
  </r>
  <r>
    <x v="0"/>
    <x v="0"/>
    <x v="0"/>
    <x v="2"/>
    <x v="3"/>
    <s v="FIN_HP"/>
    <x v="9"/>
    <s v="GHOB_WOODWASTE"/>
    <x v="0"/>
    <x v="11"/>
    <n v="29.5"/>
    <n v="10767.5"/>
    <n v="38763"/>
  </r>
  <r>
    <x v="0"/>
    <x v="0"/>
    <x v="0"/>
    <x v="2"/>
    <x v="3"/>
    <s v="FIN_HP"/>
    <x v="9"/>
    <s v="GHOB_WOODWASTE"/>
    <x v="0"/>
    <x v="12"/>
    <n v="29.5"/>
    <n v="10767.5"/>
    <n v="38763"/>
  </r>
  <r>
    <x v="0"/>
    <x v="0"/>
    <x v="0"/>
    <x v="2"/>
    <x v="3"/>
    <s v="FIN_HP"/>
    <x v="9"/>
    <s v="GHOB_WOODWASTE"/>
    <x v="0"/>
    <x v="13"/>
    <n v="29.5"/>
    <n v="10767.5"/>
    <n v="38763"/>
  </r>
  <r>
    <x v="0"/>
    <x v="0"/>
    <x v="0"/>
    <x v="2"/>
    <x v="3"/>
    <s v="FIN_HP"/>
    <x v="9"/>
    <s v="GHOB_WOODWASTE"/>
    <x v="0"/>
    <x v="14"/>
    <n v="29.5"/>
    <n v="10767.5"/>
    <n v="38763"/>
  </r>
  <r>
    <x v="0"/>
    <x v="0"/>
    <x v="0"/>
    <x v="2"/>
    <x v="3"/>
    <s v="FIN_HP"/>
    <x v="9"/>
    <s v="GHOB_WOODWASTE"/>
    <x v="0"/>
    <x v="15"/>
    <n v="29.5"/>
    <n v="10767.5"/>
    <n v="38763"/>
  </r>
  <r>
    <x v="0"/>
    <x v="0"/>
    <x v="0"/>
    <x v="2"/>
    <x v="3"/>
    <s v="FIN_HP"/>
    <x v="9"/>
    <s v="GHOB_WOODWASTE"/>
    <x v="0"/>
    <x v="16"/>
    <n v="29.5"/>
    <n v="10767.5"/>
    <n v="38763"/>
  </r>
  <r>
    <x v="0"/>
    <x v="0"/>
    <x v="0"/>
    <x v="2"/>
    <x v="3"/>
    <s v="FIN_HP"/>
    <x v="9"/>
    <s v="GHOB_WOODWASTE"/>
    <x v="0"/>
    <x v="17"/>
    <n v="29.5"/>
    <n v="10767.5"/>
    <n v="38763"/>
  </r>
  <r>
    <x v="0"/>
    <x v="0"/>
    <x v="0"/>
    <x v="2"/>
    <x v="3"/>
    <s v="FIN_HP"/>
    <x v="9"/>
    <s v="GHOB_WOODWASTE"/>
    <x v="0"/>
    <x v="18"/>
    <n v="29.5"/>
    <n v="10767.5"/>
    <n v="38763"/>
  </r>
  <r>
    <x v="0"/>
    <x v="0"/>
    <x v="0"/>
    <x v="2"/>
    <x v="3"/>
    <s v="FIN_HP"/>
    <x v="9"/>
    <s v="GHOB_WOODWASTE"/>
    <x v="0"/>
    <x v="19"/>
    <n v="29.5"/>
    <n v="10767.5"/>
    <n v="38763"/>
  </r>
  <r>
    <x v="0"/>
    <x v="0"/>
    <x v="0"/>
    <x v="2"/>
    <x v="3"/>
    <s v="FIN_HP"/>
    <x v="9"/>
    <s v="GHOB_WOODWASTE"/>
    <x v="0"/>
    <x v="20"/>
    <n v="29.5"/>
    <n v="10767.5"/>
    <n v="38763"/>
  </r>
  <r>
    <x v="0"/>
    <x v="0"/>
    <x v="0"/>
    <x v="2"/>
    <x v="3"/>
    <s v="FIN_HP"/>
    <x v="9"/>
    <s v="GHOB_WOODWASTE"/>
    <x v="0"/>
    <x v="21"/>
    <n v="29.5"/>
    <n v="10767.5"/>
    <n v="38763"/>
  </r>
  <r>
    <x v="0"/>
    <x v="0"/>
    <x v="0"/>
    <x v="2"/>
    <x v="3"/>
    <s v="FIN_HP"/>
    <x v="9"/>
    <s v="GHOB_WOODWASTE"/>
    <x v="0"/>
    <x v="22"/>
    <n v="29.5"/>
    <n v="10767.5"/>
    <n v="38763"/>
  </r>
  <r>
    <x v="0"/>
    <x v="0"/>
    <x v="0"/>
    <x v="2"/>
    <x v="3"/>
    <s v="FIN_HP"/>
    <x v="9"/>
    <s v="GHOB_WOODWASTE"/>
    <x v="0"/>
    <x v="23"/>
    <n v="29.5"/>
    <n v="10767.5"/>
    <n v="38763"/>
  </r>
  <r>
    <x v="0"/>
    <x v="0"/>
    <x v="0"/>
    <x v="2"/>
    <x v="3"/>
    <s v="FIN_OTHER"/>
    <x v="0"/>
    <s v="GHOB_BIOGAS"/>
    <x v="0"/>
    <x v="0"/>
    <n v="8.4"/>
    <n v="3066"/>
    <n v="11037.6"/>
  </r>
  <r>
    <x v="0"/>
    <x v="0"/>
    <x v="0"/>
    <x v="2"/>
    <x v="3"/>
    <s v="FIN_OTHER"/>
    <x v="0"/>
    <s v="GHOB_BIOGAS"/>
    <x v="0"/>
    <x v="1"/>
    <n v="8.4"/>
    <n v="3066"/>
    <n v="11037.6"/>
  </r>
  <r>
    <x v="0"/>
    <x v="0"/>
    <x v="0"/>
    <x v="2"/>
    <x v="3"/>
    <s v="FIN_OTHER"/>
    <x v="0"/>
    <s v="GHOB_BIOGAS"/>
    <x v="0"/>
    <x v="2"/>
    <n v="8.4"/>
    <n v="3066"/>
    <n v="11037.6"/>
  </r>
  <r>
    <x v="0"/>
    <x v="0"/>
    <x v="0"/>
    <x v="2"/>
    <x v="3"/>
    <s v="FIN_OTHER"/>
    <x v="0"/>
    <s v="GHOB_BIOGAS"/>
    <x v="0"/>
    <x v="3"/>
    <n v="8.4"/>
    <n v="3066"/>
    <n v="11037.6"/>
  </r>
  <r>
    <x v="0"/>
    <x v="0"/>
    <x v="0"/>
    <x v="2"/>
    <x v="3"/>
    <s v="FIN_OTHER"/>
    <x v="0"/>
    <s v="GHOB_BIOGAS"/>
    <x v="0"/>
    <x v="4"/>
    <n v="8.4"/>
    <n v="3066"/>
    <n v="11037.6"/>
  </r>
  <r>
    <x v="0"/>
    <x v="0"/>
    <x v="0"/>
    <x v="2"/>
    <x v="3"/>
    <s v="FIN_OTHER"/>
    <x v="0"/>
    <s v="GHOB_BIOGAS"/>
    <x v="0"/>
    <x v="5"/>
    <n v="8.4"/>
    <n v="3066"/>
    <n v="11037.6"/>
  </r>
  <r>
    <x v="0"/>
    <x v="0"/>
    <x v="0"/>
    <x v="2"/>
    <x v="3"/>
    <s v="FIN_OTHER"/>
    <x v="0"/>
    <s v="GHOB_BIOGAS"/>
    <x v="0"/>
    <x v="6"/>
    <n v="8.4"/>
    <n v="3066"/>
    <n v="11037.6"/>
  </r>
  <r>
    <x v="0"/>
    <x v="0"/>
    <x v="0"/>
    <x v="2"/>
    <x v="3"/>
    <s v="FIN_OTHER"/>
    <x v="0"/>
    <s v="GHOB_BIOGAS"/>
    <x v="0"/>
    <x v="7"/>
    <n v="8.4"/>
    <n v="3066"/>
    <n v="11037.6"/>
  </r>
  <r>
    <x v="0"/>
    <x v="0"/>
    <x v="0"/>
    <x v="2"/>
    <x v="3"/>
    <s v="FIN_OTHER"/>
    <x v="0"/>
    <s v="GHOB_BIOGAS"/>
    <x v="0"/>
    <x v="8"/>
    <n v="8.4"/>
    <n v="3066"/>
    <n v="11037.6"/>
  </r>
  <r>
    <x v="0"/>
    <x v="0"/>
    <x v="0"/>
    <x v="2"/>
    <x v="3"/>
    <s v="FIN_OTHER"/>
    <x v="0"/>
    <s v="GHOB_BIOGAS"/>
    <x v="0"/>
    <x v="9"/>
    <n v="8.4"/>
    <n v="3066"/>
    <n v="11037.6"/>
  </r>
  <r>
    <x v="0"/>
    <x v="0"/>
    <x v="0"/>
    <x v="2"/>
    <x v="3"/>
    <s v="FIN_OTHER"/>
    <x v="0"/>
    <s v="GHOB_BIOGAS"/>
    <x v="0"/>
    <x v="10"/>
    <n v="8.4"/>
    <n v="3066"/>
    <n v="11037.6"/>
  </r>
  <r>
    <x v="0"/>
    <x v="0"/>
    <x v="0"/>
    <x v="2"/>
    <x v="3"/>
    <s v="FIN_OTHER"/>
    <x v="0"/>
    <s v="GHOB_BIOGAS"/>
    <x v="0"/>
    <x v="11"/>
    <n v="8.4"/>
    <n v="3066"/>
    <n v="11037.6"/>
  </r>
  <r>
    <x v="0"/>
    <x v="0"/>
    <x v="0"/>
    <x v="2"/>
    <x v="3"/>
    <s v="FIN_OTHER"/>
    <x v="0"/>
    <s v="GHOB_BIOGAS"/>
    <x v="0"/>
    <x v="12"/>
    <n v="8.4"/>
    <n v="3066"/>
    <n v="11037.6"/>
  </r>
  <r>
    <x v="0"/>
    <x v="0"/>
    <x v="0"/>
    <x v="2"/>
    <x v="3"/>
    <s v="FIN_OTHER"/>
    <x v="0"/>
    <s v="GHOB_BIOGAS"/>
    <x v="0"/>
    <x v="13"/>
    <n v="8.4"/>
    <n v="3066"/>
    <n v="11037.6"/>
  </r>
  <r>
    <x v="0"/>
    <x v="0"/>
    <x v="0"/>
    <x v="2"/>
    <x v="3"/>
    <s v="FIN_OTHER"/>
    <x v="0"/>
    <s v="GHOB_BIOGAS"/>
    <x v="0"/>
    <x v="14"/>
    <n v="8.4"/>
    <n v="3066"/>
    <n v="11037.6"/>
  </r>
  <r>
    <x v="0"/>
    <x v="0"/>
    <x v="0"/>
    <x v="2"/>
    <x v="3"/>
    <s v="FIN_OTHER"/>
    <x v="0"/>
    <s v="GHOB_BIOGAS"/>
    <x v="0"/>
    <x v="15"/>
    <n v="8.4"/>
    <n v="3066"/>
    <n v="11037.6"/>
  </r>
  <r>
    <x v="0"/>
    <x v="0"/>
    <x v="0"/>
    <x v="2"/>
    <x v="3"/>
    <s v="FIN_OTHER"/>
    <x v="0"/>
    <s v="GHOB_BIOGAS"/>
    <x v="0"/>
    <x v="16"/>
    <n v="8.4"/>
    <n v="3066"/>
    <n v="11037.6"/>
  </r>
  <r>
    <x v="0"/>
    <x v="0"/>
    <x v="0"/>
    <x v="2"/>
    <x v="3"/>
    <s v="FIN_OTHER"/>
    <x v="0"/>
    <s v="GHOB_BIOGAS"/>
    <x v="0"/>
    <x v="17"/>
    <n v="8.4"/>
    <n v="3066"/>
    <n v="11037.6"/>
  </r>
  <r>
    <x v="0"/>
    <x v="0"/>
    <x v="0"/>
    <x v="2"/>
    <x v="3"/>
    <s v="FIN_OTHER"/>
    <x v="0"/>
    <s v="GHOB_BIOGAS"/>
    <x v="0"/>
    <x v="18"/>
    <n v="8.4"/>
    <n v="3066"/>
    <n v="11037.6"/>
  </r>
  <r>
    <x v="0"/>
    <x v="0"/>
    <x v="0"/>
    <x v="2"/>
    <x v="3"/>
    <s v="FIN_OTHER"/>
    <x v="0"/>
    <s v="GHOB_BIOGAS"/>
    <x v="0"/>
    <x v="19"/>
    <n v="8.4"/>
    <n v="3066"/>
    <n v="11037.6"/>
  </r>
  <r>
    <x v="0"/>
    <x v="0"/>
    <x v="0"/>
    <x v="2"/>
    <x v="3"/>
    <s v="FIN_OTHER"/>
    <x v="0"/>
    <s v="GHOB_BIOGAS"/>
    <x v="0"/>
    <x v="20"/>
    <n v="8.4"/>
    <n v="3066"/>
    <n v="11037.6"/>
  </r>
  <r>
    <x v="0"/>
    <x v="0"/>
    <x v="0"/>
    <x v="2"/>
    <x v="3"/>
    <s v="FIN_OTHER"/>
    <x v="0"/>
    <s v="GHOB_BIOGAS"/>
    <x v="0"/>
    <x v="21"/>
    <n v="8.4"/>
    <n v="3066"/>
    <n v="11037.6"/>
  </r>
  <r>
    <x v="0"/>
    <x v="0"/>
    <x v="0"/>
    <x v="2"/>
    <x v="3"/>
    <s v="FIN_OTHER"/>
    <x v="0"/>
    <s v="GHOB_BIOGAS"/>
    <x v="0"/>
    <x v="22"/>
    <n v="8.4"/>
    <n v="3066"/>
    <n v="11037.6"/>
  </r>
  <r>
    <x v="0"/>
    <x v="0"/>
    <x v="0"/>
    <x v="2"/>
    <x v="3"/>
    <s v="FIN_OTHER"/>
    <x v="0"/>
    <s v="GHOB_BIOGAS"/>
    <x v="0"/>
    <x v="23"/>
    <n v="8.4"/>
    <n v="3066"/>
    <n v="11037.6"/>
  </r>
  <r>
    <x v="0"/>
    <x v="0"/>
    <x v="0"/>
    <x v="2"/>
    <x v="3"/>
    <s v="FIN_OTHER"/>
    <x v="2"/>
    <s v="GNR_HS_HEAT_WTR-TANK_LS_E-95_Y-2010"/>
    <x v="0"/>
    <x v="0"/>
    <n v="3.05978551526947"/>
    <n v="1116.8217130733599"/>
    <n v="4020.55816706408"/>
  </r>
  <r>
    <x v="0"/>
    <x v="0"/>
    <x v="0"/>
    <x v="2"/>
    <x v="3"/>
    <s v="FIN_OTHER"/>
    <x v="2"/>
    <s v="GNR_HS_HEAT_WTR-TANK_LS_E-95_Y-2010"/>
    <x v="0"/>
    <x v="6"/>
    <n v="20.7424484105311"/>
    <n v="7570.9936698438496"/>
    <n v="27255.5772114379"/>
  </r>
  <r>
    <x v="0"/>
    <x v="0"/>
    <x v="0"/>
    <x v="2"/>
    <x v="3"/>
    <s v="FIN_OTHER"/>
    <x v="2"/>
    <s v="GNR_HS_HEAT_WTR-TANK_LS_E-95_Y-2010"/>
    <x v="0"/>
    <x v="15"/>
    <n v="1.7162244986247699"/>
    <n v="626.42194199803896"/>
    <n v="2255.11899119294"/>
  </r>
  <r>
    <x v="0"/>
    <x v="0"/>
    <x v="0"/>
    <x v="2"/>
    <x v="3"/>
    <s v="FIN_OTHER"/>
    <x v="13"/>
    <s v="GHOB_NATGAS_EXETS"/>
    <x v="0"/>
    <x v="0"/>
    <n v="145"/>
    <n v="52925"/>
    <n v="190530"/>
  </r>
  <r>
    <x v="0"/>
    <x v="0"/>
    <x v="0"/>
    <x v="2"/>
    <x v="3"/>
    <s v="FIN_OTHER"/>
    <x v="13"/>
    <s v="GHOB_NATGAS_EXETS"/>
    <x v="0"/>
    <x v="1"/>
    <n v="145"/>
    <n v="52925"/>
    <n v="190530"/>
  </r>
  <r>
    <x v="0"/>
    <x v="0"/>
    <x v="0"/>
    <x v="2"/>
    <x v="3"/>
    <s v="FIN_OTHER"/>
    <x v="13"/>
    <s v="GHOB_NATGAS_EXETS"/>
    <x v="0"/>
    <x v="2"/>
    <n v="145"/>
    <n v="52925"/>
    <n v="190530"/>
  </r>
  <r>
    <x v="0"/>
    <x v="0"/>
    <x v="0"/>
    <x v="2"/>
    <x v="3"/>
    <s v="FIN_OTHER"/>
    <x v="13"/>
    <s v="GHOB_NATGAS_EXETS"/>
    <x v="0"/>
    <x v="3"/>
    <n v="145"/>
    <n v="52925"/>
    <n v="190530"/>
  </r>
  <r>
    <x v="0"/>
    <x v="0"/>
    <x v="0"/>
    <x v="2"/>
    <x v="3"/>
    <s v="FIN_OTHER"/>
    <x v="13"/>
    <s v="GHOB_NATGAS_EXETS"/>
    <x v="0"/>
    <x v="4"/>
    <n v="145"/>
    <n v="52925"/>
    <n v="190530"/>
  </r>
  <r>
    <x v="0"/>
    <x v="0"/>
    <x v="0"/>
    <x v="2"/>
    <x v="3"/>
    <s v="FIN_OTHER"/>
    <x v="13"/>
    <s v="GHOB_NATGAS_EXETS"/>
    <x v="0"/>
    <x v="5"/>
    <n v="145"/>
    <n v="52925"/>
    <n v="190530"/>
  </r>
  <r>
    <x v="0"/>
    <x v="0"/>
    <x v="0"/>
    <x v="2"/>
    <x v="3"/>
    <s v="FIN_OTHER"/>
    <x v="13"/>
    <s v="GHOB_NATGAS_EXETS"/>
    <x v="0"/>
    <x v="6"/>
    <n v="145"/>
    <n v="52925"/>
    <n v="190530"/>
  </r>
  <r>
    <x v="0"/>
    <x v="0"/>
    <x v="0"/>
    <x v="2"/>
    <x v="3"/>
    <s v="FIN_OTHER"/>
    <x v="13"/>
    <s v="GHOB_NATGAS_EXETS"/>
    <x v="0"/>
    <x v="7"/>
    <n v="145"/>
    <n v="52925"/>
    <n v="190530"/>
  </r>
  <r>
    <x v="0"/>
    <x v="0"/>
    <x v="0"/>
    <x v="2"/>
    <x v="3"/>
    <s v="FIN_OTHER"/>
    <x v="13"/>
    <s v="GHOB_NATGAS_EXETS"/>
    <x v="0"/>
    <x v="8"/>
    <n v="145"/>
    <n v="52925"/>
    <n v="190530"/>
  </r>
  <r>
    <x v="0"/>
    <x v="0"/>
    <x v="0"/>
    <x v="2"/>
    <x v="3"/>
    <s v="FIN_OTHER"/>
    <x v="13"/>
    <s v="GHOB_NATGAS_EXETS"/>
    <x v="0"/>
    <x v="9"/>
    <n v="145"/>
    <n v="52925"/>
    <n v="190530"/>
  </r>
  <r>
    <x v="0"/>
    <x v="0"/>
    <x v="0"/>
    <x v="2"/>
    <x v="3"/>
    <s v="FIN_OTHER"/>
    <x v="13"/>
    <s v="GHOB_NATGAS_EXETS"/>
    <x v="0"/>
    <x v="10"/>
    <n v="145"/>
    <n v="52925"/>
    <n v="190530"/>
  </r>
  <r>
    <x v="0"/>
    <x v="0"/>
    <x v="0"/>
    <x v="2"/>
    <x v="3"/>
    <s v="FIN_OTHER"/>
    <x v="13"/>
    <s v="GHOB_NATGAS_EXETS"/>
    <x v="0"/>
    <x v="11"/>
    <n v="145"/>
    <n v="52925"/>
    <n v="190530"/>
  </r>
  <r>
    <x v="0"/>
    <x v="0"/>
    <x v="0"/>
    <x v="2"/>
    <x v="3"/>
    <s v="FIN_OTHER"/>
    <x v="13"/>
    <s v="GHOB_NATGAS_EXETS"/>
    <x v="0"/>
    <x v="12"/>
    <n v="145"/>
    <n v="52925"/>
    <n v="190530"/>
  </r>
  <r>
    <x v="0"/>
    <x v="0"/>
    <x v="0"/>
    <x v="2"/>
    <x v="3"/>
    <s v="FIN_OTHER"/>
    <x v="13"/>
    <s v="GHOB_NATGAS_EXETS"/>
    <x v="0"/>
    <x v="13"/>
    <n v="145"/>
    <n v="52925"/>
    <n v="190530"/>
  </r>
  <r>
    <x v="0"/>
    <x v="0"/>
    <x v="0"/>
    <x v="2"/>
    <x v="3"/>
    <s v="FIN_OTHER"/>
    <x v="13"/>
    <s v="GHOB_NATGAS_EXETS"/>
    <x v="0"/>
    <x v="14"/>
    <n v="145"/>
    <n v="52925"/>
    <n v="190530"/>
  </r>
  <r>
    <x v="0"/>
    <x v="0"/>
    <x v="0"/>
    <x v="2"/>
    <x v="3"/>
    <s v="FIN_OTHER"/>
    <x v="13"/>
    <s v="GHOB_NATGAS_EXETS"/>
    <x v="0"/>
    <x v="15"/>
    <n v="145"/>
    <n v="52925"/>
    <n v="190530"/>
  </r>
  <r>
    <x v="0"/>
    <x v="0"/>
    <x v="0"/>
    <x v="2"/>
    <x v="3"/>
    <s v="FIN_OTHER"/>
    <x v="13"/>
    <s v="GHOB_NATGAS_EXETS"/>
    <x v="0"/>
    <x v="16"/>
    <n v="145"/>
    <n v="52925"/>
    <n v="190530"/>
  </r>
  <r>
    <x v="0"/>
    <x v="0"/>
    <x v="0"/>
    <x v="2"/>
    <x v="3"/>
    <s v="FIN_OTHER"/>
    <x v="13"/>
    <s v="GHOB_NATGAS_EXETS"/>
    <x v="0"/>
    <x v="17"/>
    <n v="145"/>
    <n v="52925"/>
    <n v="190530"/>
  </r>
  <r>
    <x v="0"/>
    <x v="0"/>
    <x v="0"/>
    <x v="2"/>
    <x v="3"/>
    <s v="FIN_OTHER"/>
    <x v="13"/>
    <s v="GHOB_NATGAS_EXETS"/>
    <x v="0"/>
    <x v="18"/>
    <n v="145"/>
    <n v="52925"/>
    <n v="190530"/>
  </r>
  <r>
    <x v="0"/>
    <x v="0"/>
    <x v="0"/>
    <x v="2"/>
    <x v="3"/>
    <s v="FIN_OTHER"/>
    <x v="13"/>
    <s v="GHOB_NATGAS_EXETS"/>
    <x v="0"/>
    <x v="19"/>
    <n v="145"/>
    <n v="52925"/>
    <n v="190530"/>
  </r>
  <r>
    <x v="0"/>
    <x v="0"/>
    <x v="0"/>
    <x v="2"/>
    <x v="3"/>
    <s v="FIN_OTHER"/>
    <x v="13"/>
    <s v="GHOB_NATGAS_EXETS"/>
    <x v="0"/>
    <x v="20"/>
    <n v="145"/>
    <n v="52925"/>
    <n v="190530"/>
  </r>
  <r>
    <x v="0"/>
    <x v="0"/>
    <x v="0"/>
    <x v="2"/>
    <x v="3"/>
    <s v="FIN_OTHER"/>
    <x v="13"/>
    <s v="GHOB_NATGAS_EXETS"/>
    <x v="0"/>
    <x v="21"/>
    <n v="145"/>
    <n v="52925"/>
    <n v="190530"/>
  </r>
  <r>
    <x v="0"/>
    <x v="0"/>
    <x v="0"/>
    <x v="2"/>
    <x v="3"/>
    <s v="FIN_OTHER"/>
    <x v="13"/>
    <s v="GHOB_NATGAS_EXETS"/>
    <x v="0"/>
    <x v="22"/>
    <n v="145"/>
    <n v="52925"/>
    <n v="190530"/>
  </r>
  <r>
    <x v="0"/>
    <x v="0"/>
    <x v="0"/>
    <x v="2"/>
    <x v="3"/>
    <s v="FIN_OTHER"/>
    <x v="13"/>
    <s v="GHOB_NATGAS_EXETS"/>
    <x v="0"/>
    <x v="23"/>
    <n v="145"/>
    <n v="52925"/>
    <n v="190530"/>
  </r>
  <r>
    <x v="0"/>
    <x v="0"/>
    <x v="0"/>
    <x v="2"/>
    <x v="3"/>
    <s v="FIN_OTHER"/>
    <x v="6"/>
    <s v="GHOB_WASTEHEAT"/>
    <x v="0"/>
    <x v="0"/>
    <n v="214.86950549450501"/>
    <n v="78427.369505494207"/>
    <n v="282338.530219779"/>
  </r>
  <r>
    <x v="0"/>
    <x v="0"/>
    <x v="0"/>
    <x v="2"/>
    <x v="3"/>
    <s v="FIN_OTHER"/>
    <x v="6"/>
    <s v="GHOB_WASTEHEAT"/>
    <x v="0"/>
    <x v="1"/>
    <n v="214.86950549450501"/>
    <n v="78427.369505494207"/>
    <n v="282338.530219779"/>
  </r>
  <r>
    <x v="0"/>
    <x v="0"/>
    <x v="0"/>
    <x v="2"/>
    <x v="3"/>
    <s v="FIN_OTHER"/>
    <x v="6"/>
    <s v="GHOB_WASTEHEAT"/>
    <x v="0"/>
    <x v="2"/>
    <n v="214.86950549450501"/>
    <n v="78427.369505494207"/>
    <n v="282338.530219779"/>
  </r>
  <r>
    <x v="0"/>
    <x v="0"/>
    <x v="0"/>
    <x v="2"/>
    <x v="3"/>
    <s v="FIN_OTHER"/>
    <x v="6"/>
    <s v="GHOB_WASTEHEAT"/>
    <x v="0"/>
    <x v="3"/>
    <n v="214.86950549450501"/>
    <n v="78427.369505494207"/>
    <n v="282338.530219779"/>
  </r>
  <r>
    <x v="0"/>
    <x v="0"/>
    <x v="0"/>
    <x v="2"/>
    <x v="3"/>
    <s v="FIN_OTHER"/>
    <x v="6"/>
    <s v="GHOB_WASTEHEAT"/>
    <x v="0"/>
    <x v="4"/>
    <n v="214.86950549450501"/>
    <n v="78427.369505494207"/>
    <n v="282338.530219779"/>
  </r>
  <r>
    <x v="0"/>
    <x v="0"/>
    <x v="0"/>
    <x v="2"/>
    <x v="3"/>
    <s v="FIN_OTHER"/>
    <x v="6"/>
    <s v="GHOB_WASTEHEAT"/>
    <x v="0"/>
    <x v="5"/>
    <n v="214.86950549450501"/>
    <n v="78427.369505494207"/>
    <n v="282338.530219779"/>
  </r>
  <r>
    <x v="0"/>
    <x v="0"/>
    <x v="0"/>
    <x v="2"/>
    <x v="3"/>
    <s v="FIN_OTHER"/>
    <x v="6"/>
    <s v="GHOB_WASTEHEAT"/>
    <x v="0"/>
    <x v="6"/>
    <n v="214.86950549450501"/>
    <n v="78427.369505494207"/>
    <n v="282338.530219779"/>
  </r>
  <r>
    <x v="0"/>
    <x v="0"/>
    <x v="0"/>
    <x v="2"/>
    <x v="3"/>
    <s v="FIN_OTHER"/>
    <x v="6"/>
    <s v="GHOB_WASTEHEAT"/>
    <x v="0"/>
    <x v="7"/>
    <n v="214.86950549450501"/>
    <n v="78427.369505494207"/>
    <n v="282338.530219779"/>
  </r>
  <r>
    <x v="0"/>
    <x v="0"/>
    <x v="0"/>
    <x v="2"/>
    <x v="3"/>
    <s v="FIN_OTHER"/>
    <x v="6"/>
    <s v="GHOB_WASTEHEAT"/>
    <x v="0"/>
    <x v="8"/>
    <n v="214.86950549450501"/>
    <n v="78427.369505494207"/>
    <n v="282338.530219779"/>
  </r>
  <r>
    <x v="0"/>
    <x v="0"/>
    <x v="0"/>
    <x v="2"/>
    <x v="3"/>
    <s v="FIN_OTHER"/>
    <x v="6"/>
    <s v="GHOB_WASTEHEAT"/>
    <x v="0"/>
    <x v="9"/>
    <n v="214.86950549450501"/>
    <n v="78427.369505494207"/>
    <n v="282338.530219779"/>
  </r>
  <r>
    <x v="0"/>
    <x v="0"/>
    <x v="0"/>
    <x v="2"/>
    <x v="3"/>
    <s v="FIN_OTHER"/>
    <x v="6"/>
    <s v="GHOB_WASTEHEAT"/>
    <x v="0"/>
    <x v="10"/>
    <n v="214.86950549450501"/>
    <n v="78427.369505494207"/>
    <n v="282338.530219779"/>
  </r>
  <r>
    <x v="0"/>
    <x v="0"/>
    <x v="0"/>
    <x v="2"/>
    <x v="3"/>
    <s v="FIN_OTHER"/>
    <x v="6"/>
    <s v="GHOB_WASTEHEAT"/>
    <x v="0"/>
    <x v="11"/>
    <n v="214.86950549450501"/>
    <n v="78427.369505494207"/>
    <n v="282338.530219779"/>
  </r>
  <r>
    <x v="0"/>
    <x v="0"/>
    <x v="0"/>
    <x v="2"/>
    <x v="3"/>
    <s v="FIN_OTHER"/>
    <x v="6"/>
    <s v="GHOB_WASTEHEAT"/>
    <x v="0"/>
    <x v="12"/>
    <n v="214.86950549450501"/>
    <n v="78427.369505494207"/>
    <n v="282338.530219779"/>
  </r>
  <r>
    <x v="0"/>
    <x v="0"/>
    <x v="0"/>
    <x v="2"/>
    <x v="3"/>
    <s v="FIN_OTHER"/>
    <x v="6"/>
    <s v="GHOB_WASTEHEAT"/>
    <x v="0"/>
    <x v="13"/>
    <n v="214.86950549450501"/>
    <n v="78427.369505494207"/>
    <n v="282338.530219779"/>
  </r>
  <r>
    <x v="0"/>
    <x v="0"/>
    <x v="0"/>
    <x v="2"/>
    <x v="3"/>
    <s v="FIN_OTHER"/>
    <x v="6"/>
    <s v="GHOB_WASTEHEAT"/>
    <x v="0"/>
    <x v="14"/>
    <n v="214.86950549450501"/>
    <n v="78427.369505494207"/>
    <n v="282338.530219779"/>
  </r>
  <r>
    <x v="0"/>
    <x v="0"/>
    <x v="0"/>
    <x v="2"/>
    <x v="3"/>
    <s v="FIN_OTHER"/>
    <x v="6"/>
    <s v="GHOB_WASTEHEAT"/>
    <x v="0"/>
    <x v="15"/>
    <n v="214.86950549450501"/>
    <n v="78427.369505494207"/>
    <n v="282338.530219779"/>
  </r>
  <r>
    <x v="0"/>
    <x v="0"/>
    <x v="0"/>
    <x v="2"/>
    <x v="3"/>
    <s v="FIN_OTHER"/>
    <x v="6"/>
    <s v="GHOB_WASTEHEAT"/>
    <x v="0"/>
    <x v="16"/>
    <n v="214.86950549450501"/>
    <n v="78427.369505494207"/>
    <n v="282338.530219779"/>
  </r>
  <r>
    <x v="0"/>
    <x v="0"/>
    <x v="0"/>
    <x v="2"/>
    <x v="3"/>
    <s v="FIN_OTHER"/>
    <x v="6"/>
    <s v="GHOB_WASTEHEAT"/>
    <x v="0"/>
    <x v="17"/>
    <n v="214.86950549450501"/>
    <n v="78427.369505494207"/>
    <n v="282338.530219779"/>
  </r>
  <r>
    <x v="0"/>
    <x v="0"/>
    <x v="0"/>
    <x v="2"/>
    <x v="3"/>
    <s v="FIN_OTHER"/>
    <x v="6"/>
    <s v="GHOB_WASTEHEAT"/>
    <x v="0"/>
    <x v="18"/>
    <n v="214.86950549450501"/>
    <n v="78427.369505494207"/>
    <n v="282338.530219779"/>
  </r>
  <r>
    <x v="0"/>
    <x v="0"/>
    <x v="0"/>
    <x v="2"/>
    <x v="3"/>
    <s v="FIN_OTHER"/>
    <x v="6"/>
    <s v="GHOB_WASTEHEAT"/>
    <x v="0"/>
    <x v="19"/>
    <n v="214.86950549450501"/>
    <n v="78427.369505494207"/>
    <n v="282338.530219779"/>
  </r>
  <r>
    <x v="0"/>
    <x v="0"/>
    <x v="0"/>
    <x v="2"/>
    <x v="3"/>
    <s v="FIN_OTHER"/>
    <x v="6"/>
    <s v="GHOB_WASTEHEAT"/>
    <x v="0"/>
    <x v="20"/>
    <n v="214.86950549450501"/>
    <n v="78427.369505494207"/>
    <n v="282338.530219779"/>
  </r>
  <r>
    <x v="0"/>
    <x v="0"/>
    <x v="0"/>
    <x v="2"/>
    <x v="3"/>
    <s v="FIN_OTHER"/>
    <x v="6"/>
    <s v="GHOB_WASTEHEAT"/>
    <x v="0"/>
    <x v="21"/>
    <n v="214.86950549450501"/>
    <n v="78427.369505494207"/>
    <n v="282338.530219779"/>
  </r>
  <r>
    <x v="0"/>
    <x v="0"/>
    <x v="0"/>
    <x v="2"/>
    <x v="3"/>
    <s v="FIN_OTHER"/>
    <x v="6"/>
    <s v="GHOB_WASTEHEAT"/>
    <x v="0"/>
    <x v="22"/>
    <n v="214.86950549450501"/>
    <n v="78427.369505494207"/>
    <n v="282338.530219779"/>
  </r>
  <r>
    <x v="0"/>
    <x v="0"/>
    <x v="0"/>
    <x v="2"/>
    <x v="3"/>
    <s v="FIN_OTHER"/>
    <x v="6"/>
    <s v="GHOB_WASTEHEAT"/>
    <x v="0"/>
    <x v="23"/>
    <n v="214.86950549450501"/>
    <n v="78427.369505494207"/>
    <n v="282338.530219779"/>
  </r>
  <r>
    <x v="0"/>
    <x v="0"/>
    <x v="0"/>
    <x v="2"/>
    <x v="3"/>
    <s v="FIN_OTHER"/>
    <x v="7"/>
    <s v="GBPR_WOODCHIPS_FINOTHER"/>
    <x v="0"/>
    <x v="0"/>
    <n v="536.04060913705598"/>
    <n v="195654.822335025"/>
    <n v="704357.36040609097"/>
  </r>
  <r>
    <x v="0"/>
    <x v="0"/>
    <x v="0"/>
    <x v="2"/>
    <x v="3"/>
    <s v="FIN_OTHER"/>
    <x v="7"/>
    <s v="GBPR_WOODCHIPS_FINOTHER"/>
    <x v="0"/>
    <x v="1"/>
    <n v="536.04060913705598"/>
    <n v="195654.822335025"/>
    <n v="704357.36040609097"/>
  </r>
  <r>
    <x v="0"/>
    <x v="0"/>
    <x v="0"/>
    <x v="2"/>
    <x v="3"/>
    <s v="FIN_OTHER"/>
    <x v="7"/>
    <s v="GBPR_WOODCHIPS_FINOTHER"/>
    <x v="0"/>
    <x v="2"/>
    <n v="536.04060913705598"/>
    <n v="195654.822335025"/>
    <n v="704357.36040609097"/>
  </r>
  <r>
    <x v="0"/>
    <x v="0"/>
    <x v="0"/>
    <x v="2"/>
    <x v="3"/>
    <s v="FIN_OTHER"/>
    <x v="7"/>
    <s v="GBPR_WOODCHIPS_FINOTHER"/>
    <x v="0"/>
    <x v="3"/>
    <n v="536.04060913705598"/>
    <n v="195654.822335025"/>
    <n v="704357.36040609097"/>
  </r>
  <r>
    <x v="0"/>
    <x v="0"/>
    <x v="0"/>
    <x v="2"/>
    <x v="3"/>
    <s v="FIN_OTHER"/>
    <x v="7"/>
    <s v="GBPR_WOODCHIPS_FINOTHER"/>
    <x v="0"/>
    <x v="4"/>
    <n v="536.04060913705598"/>
    <n v="195654.822335025"/>
    <n v="704357.36040609097"/>
  </r>
  <r>
    <x v="0"/>
    <x v="0"/>
    <x v="0"/>
    <x v="2"/>
    <x v="3"/>
    <s v="FIN_OTHER"/>
    <x v="7"/>
    <s v="GBPR_WOODCHIPS_FINOTHER"/>
    <x v="0"/>
    <x v="5"/>
    <n v="536.04060913705598"/>
    <n v="195654.822335025"/>
    <n v="704357.36040609097"/>
  </r>
  <r>
    <x v="0"/>
    <x v="0"/>
    <x v="0"/>
    <x v="2"/>
    <x v="3"/>
    <s v="FIN_OTHER"/>
    <x v="7"/>
    <s v="GBPR_WOODCHIPS_FINOTHER"/>
    <x v="0"/>
    <x v="6"/>
    <n v="536.04060913705598"/>
    <n v="195654.822335025"/>
    <n v="704357.36040609097"/>
  </r>
  <r>
    <x v="0"/>
    <x v="0"/>
    <x v="0"/>
    <x v="2"/>
    <x v="3"/>
    <s v="FIN_OTHER"/>
    <x v="7"/>
    <s v="GBPR_WOODCHIPS_FINOTHER"/>
    <x v="0"/>
    <x v="7"/>
    <n v="536.04060913705598"/>
    <n v="195654.822335025"/>
    <n v="704357.36040609097"/>
  </r>
  <r>
    <x v="0"/>
    <x v="0"/>
    <x v="0"/>
    <x v="2"/>
    <x v="3"/>
    <s v="FIN_OTHER"/>
    <x v="7"/>
    <s v="GBPR_WOODCHIPS_FINOTHER"/>
    <x v="0"/>
    <x v="8"/>
    <n v="536.04060913705598"/>
    <n v="195654.822335025"/>
    <n v="704357.36040609097"/>
  </r>
  <r>
    <x v="0"/>
    <x v="0"/>
    <x v="0"/>
    <x v="2"/>
    <x v="3"/>
    <s v="FIN_OTHER"/>
    <x v="7"/>
    <s v="GBPR_WOODCHIPS_FINOTHER"/>
    <x v="0"/>
    <x v="9"/>
    <n v="536.04060913705598"/>
    <n v="195654.822335025"/>
    <n v="704357.36040609097"/>
  </r>
  <r>
    <x v="0"/>
    <x v="0"/>
    <x v="0"/>
    <x v="2"/>
    <x v="3"/>
    <s v="FIN_OTHER"/>
    <x v="7"/>
    <s v="GBPR_WOODCHIPS_FINOTHER"/>
    <x v="0"/>
    <x v="10"/>
    <n v="536.04060913705598"/>
    <n v="195654.822335025"/>
    <n v="704357.36040609097"/>
  </r>
  <r>
    <x v="0"/>
    <x v="0"/>
    <x v="0"/>
    <x v="2"/>
    <x v="3"/>
    <s v="FIN_OTHER"/>
    <x v="7"/>
    <s v="GBPR_WOODCHIPS_FINOTHER"/>
    <x v="0"/>
    <x v="11"/>
    <n v="536.04060913705598"/>
    <n v="195654.822335025"/>
    <n v="704357.36040609097"/>
  </r>
  <r>
    <x v="0"/>
    <x v="0"/>
    <x v="0"/>
    <x v="2"/>
    <x v="3"/>
    <s v="FIN_OTHER"/>
    <x v="7"/>
    <s v="GBPR_WOODCHIPS_FINOTHER"/>
    <x v="0"/>
    <x v="12"/>
    <n v="536.04060913705598"/>
    <n v="195654.822335025"/>
    <n v="704357.36040609097"/>
  </r>
  <r>
    <x v="0"/>
    <x v="0"/>
    <x v="0"/>
    <x v="2"/>
    <x v="3"/>
    <s v="FIN_OTHER"/>
    <x v="7"/>
    <s v="GBPR_WOODCHIPS_FINOTHER"/>
    <x v="0"/>
    <x v="13"/>
    <n v="536.04060913705598"/>
    <n v="195654.822335025"/>
    <n v="704357.36040609097"/>
  </r>
  <r>
    <x v="0"/>
    <x v="0"/>
    <x v="0"/>
    <x v="2"/>
    <x v="3"/>
    <s v="FIN_OTHER"/>
    <x v="7"/>
    <s v="GBPR_WOODCHIPS_FINOTHER"/>
    <x v="0"/>
    <x v="14"/>
    <n v="536.04060913705598"/>
    <n v="195654.822335025"/>
    <n v="704357.36040609097"/>
  </r>
  <r>
    <x v="0"/>
    <x v="0"/>
    <x v="0"/>
    <x v="2"/>
    <x v="3"/>
    <s v="FIN_OTHER"/>
    <x v="7"/>
    <s v="GBPR_WOODCHIPS_FINOTHER"/>
    <x v="0"/>
    <x v="15"/>
    <n v="536.04060913705598"/>
    <n v="195654.822335025"/>
    <n v="704357.36040609097"/>
  </r>
  <r>
    <x v="0"/>
    <x v="0"/>
    <x v="0"/>
    <x v="2"/>
    <x v="3"/>
    <s v="FIN_OTHER"/>
    <x v="7"/>
    <s v="GBPR_WOODCHIPS_FINOTHER"/>
    <x v="0"/>
    <x v="16"/>
    <n v="536.04060913705598"/>
    <n v="195654.822335025"/>
    <n v="704357.36040609097"/>
  </r>
  <r>
    <x v="0"/>
    <x v="0"/>
    <x v="0"/>
    <x v="2"/>
    <x v="3"/>
    <s v="FIN_OTHER"/>
    <x v="7"/>
    <s v="GBPR_WOODCHIPS_FINOTHER"/>
    <x v="0"/>
    <x v="17"/>
    <n v="536.04060913705598"/>
    <n v="195654.822335025"/>
    <n v="704357.36040609097"/>
  </r>
  <r>
    <x v="0"/>
    <x v="0"/>
    <x v="0"/>
    <x v="2"/>
    <x v="3"/>
    <s v="FIN_OTHER"/>
    <x v="7"/>
    <s v="GBPR_WOODCHIPS_FINOTHER"/>
    <x v="0"/>
    <x v="18"/>
    <n v="536.04060913705598"/>
    <n v="195654.822335025"/>
    <n v="704357.36040609097"/>
  </r>
  <r>
    <x v="0"/>
    <x v="0"/>
    <x v="0"/>
    <x v="2"/>
    <x v="3"/>
    <s v="FIN_OTHER"/>
    <x v="7"/>
    <s v="GBPR_WOODCHIPS_FINOTHER"/>
    <x v="0"/>
    <x v="19"/>
    <n v="536.04060913705598"/>
    <n v="195654.822335025"/>
    <n v="704357.36040609097"/>
  </r>
  <r>
    <x v="0"/>
    <x v="0"/>
    <x v="0"/>
    <x v="2"/>
    <x v="3"/>
    <s v="FIN_OTHER"/>
    <x v="7"/>
    <s v="GBPR_WOODCHIPS_FINOTHER"/>
    <x v="0"/>
    <x v="20"/>
    <n v="536.04060913705598"/>
    <n v="195654.822335025"/>
    <n v="704357.36040609097"/>
  </r>
  <r>
    <x v="0"/>
    <x v="0"/>
    <x v="0"/>
    <x v="2"/>
    <x v="3"/>
    <s v="FIN_OTHER"/>
    <x v="7"/>
    <s v="GBPR_WOODCHIPS_FINOTHER"/>
    <x v="0"/>
    <x v="21"/>
    <n v="536.04060913705598"/>
    <n v="195654.822335025"/>
    <n v="704357.36040609097"/>
  </r>
  <r>
    <x v="0"/>
    <x v="0"/>
    <x v="0"/>
    <x v="2"/>
    <x v="3"/>
    <s v="FIN_OTHER"/>
    <x v="7"/>
    <s v="GBPR_WOODCHIPS_FINOTHER"/>
    <x v="0"/>
    <x v="22"/>
    <n v="536.04060913705598"/>
    <n v="195654.822335025"/>
    <n v="704357.36040609097"/>
  </r>
  <r>
    <x v="0"/>
    <x v="0"/>
    <x v="0"/>
    <x v="2"/>
    <x v="3"/>
    <s v="FIN_OTHER"/>
    <x v="7"/>
    <s v="GBPR_WOODCHIPS_FINOTHER"/>
    <x v="0"/>
    <x v="23"/>
    <n v="536.04060913705598"/>
    <n v="195654.822335025"/>
    <n v="704357.36040609097"/>
  </r>
  <r>
    <x v="0"/>
    <x v="0"/>
    <x v="0"/>
    <x v="2"/>
    <x v="3"/>
    <s v="FIN_OTHER"/>
    <x v="7"/>
    <s v="GHOB_WOODCHIPS"/>
    <x v="0"/>
    <x v="0"/>
    <n v="524.79999999999995"/>
    <n v="191552"/>
    <n v="689587.19999999995"/>
  </r>
  <r>
    <x v="0"/>
    <x v="0"/>
    <x v="0"/>
    <x v="2"/>
    <x v="3"/>
    <s v="FIN_OTHER"/>
    <x v="7"/>
    <s v="GHOB_WOODCHIPS"/>
    <x v="0"/>
    <x v="1"/>
    <n v="524.79999999999995"/>
    <n v="191552"/>
    <n v="689587.19999999995"/>
  </r>
  <r>
    <x v="0"/>
    <x v="0"/>
    <x v="0"/>
    <x v="2"/>
    <x v="3"/>
    <s v="FIN_OTHER"/>
    <x v="7"/>
    <s v="GHOB_WOODCHIPS"/>
    <x v="0"/>
    <x v="2"/>
    <n v="524.79999999999995"/>
    <n v="191552"/>
    <n v="689587.19999999995"/>
  </r>
  <r>
    <x v="0"/>
    <x v="0"/>
    <x v="0"/>
    <x v="2"/>
    <x v="3"/>
    <s v="FIN_OTHER"/>
    <x v="7"/>
    <s v="GHOB_WOODCHIPS"/>
    <x v="0"/>
    <x v="3"/>
    <n v="524.79999999999995"/>
    <n v="191552"/>
    <n v="689587.19999999995"/>
  </r>
  <r>
    <x v="0"/>
    <x v="0"/>
    <x v="0"/>
    <x v="2"/>
    <x v="3"/>
    <s v="FIN_OTHER"/>
    <x v="7"/>
    <s v="GHOB_WOODCHIPS"/>
    <x v="0"/>
    <x v="4"/>
    <n v="524.79999999999995"/>
    <n v="191552"/>
    <n v="689587.19999999995"/>
  </r>
  <r>
    <x v="0"/>
    <x v="0"/>
    <x v="0"/>
    <x v="2"/>
    <x v="3"/>
    <s v="FIN_OTHER"/>
    <x v="7"/>
    <s v="GHOB_WOODCHIPS"/>
    <x v="0"/>
    <x v="5"/>
    <n v="524.79999999999995"/>
    <n v="191552"/>
    <n v="689587.19999999995"/>
  </r>
  <r>
    <x v="0"/>
    <x v="0"/>
    <x v="0"/>
    <x v="2"/>
    <x v="3"/>
    <s v="FIN_OTHER"/>
    <x v="7"/>
    <s v="GHOB_WOODCHIPS"/>
    <x v="0"/>
    <x v="6"/>
    <n v="524.79999999999995"/>
    <n v="191552"/>
    <n v="689587.19999999995"/>
  </r>
  <r>
    <x v="0"/>
    <x v="0"/>
    <x v="0"/>
    <x v="2"/>
    <x v="3"/>
    <s v="FIN_OTHER"/>
    <x v="7"/>
    <s v="GHOB_WOODCHIPS"/>
    <x v="0"/>
    <x v="7"/>
    <n v="524.79999999999995"/>
    <n v="191552"/>
    <n v="689587.19999999995"/>
  </r>
  <r>
    <x v="0"/>
    <x v="0"/>
    <x v="0"/>
    <x v="2"/>
    <x v="3"/>
    <s v="FIN_OTHER"/>
    <x v="7"/>
    <s v="GHOB_WOODCHIPS"/>
    <x v="0"/>
    <x v="8"/>
    <n v="524.79999999999995"/>
    <n v="191552"/>
    <n v="689587.19999999995"/>
  </r>
  <r>
    <x v="0"/>
    <x v="0"/>
    <x v="0"/>
    <x v="2"/>
    <x v="3"/>
    <s v="FIN_OTHER"/>
    <x v="7"/>
    <s v="GHOB_WOODCHIPS"/>
    <x v="0"/>
    <x v="9"/>
    <n v="524.79999999999995"/>
    <n v="191552"/>
    <n v="689587.19999999995"/>
  </r>
  <r>
    <x v="0"/>
    <x v="0"/>
    <x v="0"/>
    <x v="2"/>
    <x v="3"/>
    <s v="FIN_OTHER"/>
    <x v="7"/>
    <s v="GHOB_WOODCHIPS"/>
    <x v="0"/>
    <x v="10"/>
    <n v="524.79999999999995"/>
    <n v="191552"/>
    <n v="689587.19999999995"/>
  </r>
  <r>
    <x v="0"/>
    <x v="0"/>
    <x v="0"/>
    <x v="2"/>
    <x v="3"/>
    <s v="FIN_OTHER"/>
    <x v="7"/>
    <s v="GHOB_WOODCHIPS"/>
    <x v="0"/>
    <x v="11"/>
    <n v="524.79999999999995"/>
    <n v="191552"/>
    <n v="689587.19999999995"/>
  </r>
  <r>
    <x v="0"/>
    <x v="0"/>
    <x v="0"/>
    <x v="2"/>
    <x v="3"/>
    <s v="FIN_OTHER"/>
    <x v="7"/>
    <s v="GHOB_WOODCHIPS"/>
    <x v="0"/>
    <x v="12"/>
    <n v="524.79999999999995"/>
    <n v="191552"/>
    <n v="689587.19999999995"/>
  </r>
  <r>
    <x v="0"/>
    <x v="0"/>
    <x v="0"/>
    <x v="2"/>
    <x v="3"/>
    <s v="FIN_OTHER"/>
    <x v="7"/>
    <s v="GHOB_WOODCHIPS"/>
    <x v="0"/>
    <x v="13"/>
    <n v="524.79999999999995"/>
    <n v="191552"/>
    <n v="689587.19999999995"/>
  </r>
  <r>
    <x v="0"/>
    <x v="0"/>
    <x v="0"/>
    <x v="2"/>
    <x v="3"/>
    <s v="FIN_OTHER"/>
    <x v="7"/>
    <s v="GHOB_WOODCHIPS"/>
    <x v="0"/>
    <x v="14"/>
    <n v="524.79999999999995"/>
    <n v="191552"/>
    <n v="689587.19999999995"/>
  </r>
  <r>
    <x v="0"/>
    <x v="0"/>
    <x v="0"/>
    <x v="2"/>
    <x v="3"/>
    <s v="FIN_OTHER"/>
    <x v="7"/>
    <s v="GHOB_WOODCHIPS"/>
    <x v="0"/>
    <x v="15"/>
    <n v="524.79999999999995"/>
    <n v="191552"/>
    <n v="689587.19999999995"/>
  </r>
  <r>
    <x v="0"/>
    <x v="0"/>
    <x v="0"/>
    <x v="2"/>
    <x v="3"/>
    <s v="FIN_OTHER"/>
    <x v="7"/>
    <s v="GHOB_WOODCHIPS"/>
    <x v="0"/>
    <x v="16"/>
    <n v="524.79999999999995"/>
    <n v="191552"/>
    <n v="689587.19999999995"/>
  </r>
  <r>
    <x v="0"/>
    <x v="0"/>
    <x v="0"/>
    <x v="2"/>
    <x v="3"/>
    <s v="FIN_OTHER"/>
    <x v="7"/>
    <s v="GHOB_WOODCHIPS"/>
    <x v="0"/>
    <x v="17"/>
    <n v="524.79999999999995"/>
    <n v="191552"/>
    <n v="689587.19999999995"/>
  </r>
  <r>
    <x v="0"/>
    <x v="0"/>
    <x v="0"/>
    <x v="2"/>
    <x v="3"/>
    <s v="FIN_OTHER"/>
    <x v="7"/>
    <s v="GHOB_WOODCHIPS"/>
    <x v="0"/>
    <x v="18"/>
    <n v="524.79999999999995"/>
    <n v="191552"/>
    <n v="689587.19999999995"/>
  </r>
  <r>
    <x v="0"/>
    <x v="0"/>
    <x v="0"/>
    <x v="2"/>
    <x v="3"/>
    <s v="FIN_OTHER"/>
    <x v="7"/>
    <s v="GHOB_WOODCHIPS"/>
    <x v="0"/>
    <x v="19"/>
    <n v="524.79999999999995"/>
    <n v="191552"/>
    <n v="689587.19999999995"/>
  </r>
  <r>
    <x v="0"/>
    <x v="0"/>
    <x v="0"/>
    <x v="2"/>
    <x v="3"/>
    <s v="FIN_OTHER"/>
    <x v="7"/>
    <s v="GHOB_WOODCHIPS"/>
    <x v="0"/>
    <x v="20"/>
    <n v="524.79999999999995"/>
    <n v="191552"/>
    <n v="689587.19999999995"/>
  </r>
  <r>
    <x v="0"/>
    <x v="0"/>
    <x v="0"/>
    <x v="2"/>
    <x v="3"/>
    <s v="FIN_OTHER"/>
    <x v="7"/>
    <s v="GHOB_WOODCHIPS"/>
    <x v="0"/>
    <x v="21"/>
    <n v="524.79999999999995"/>
    <n v="191552"/>
    <n v="689587.19999999995"/>
  </r>
  <r>
    <x v="0"/>
    <x v="0"/>
    <x v="0"/>
    <x v="2"/>
    <x v="3"/>
    <s v="FIN_OTHER"/>
    <x v="7"/>
    <s v="GHOB_WOODCHIPS"/>
    <x v="0"/>
    <x v="22"/>
    <n v="524.79999999999995"/>
    <n v="191552"/>
    <n v="689587.19999999995"/>
  </r>
  <r>
    <x v="0"/>
    <x v="0"/>
    <x v="0"/>
    <x v="2"/>
    <x v="3"/>
    <s v="FIN_OTHER"/>
    <x v="7"/>
    <s v="GHOB_WOODCHIPS"/>
    <x v="0"/>
    <x v="23"/>
    <n v="524.79999999999995"/>
    <n v="191552"/>
    <n v="689587.19999999995"/>
  </r>
  <r>
    <x v="0"/>
    <x v="0"/>
    <x v="0"/>
    <x v="2"/>
    <x v="3"/>
    <s v="FIN_OTHER"/>
    <x v="8"/>
    <s v="GBPR_WOODPELLETS"/>
    <x v="0"/>
    <x v="0"/>
    <n v="2.2540983606557399"/>
    <n v="822.74590163934397"/>
    <n v="2961.8852459016398"/>
  </r>
  <r>
    <x v="0"/>
    <x v="0"/>
    <x v="0"/>
    <x v="2"/>
    <x v="3"/>
    <s v="FIN_OTHER"/>
    <x v="8"/>
    <s v="GBPR_WOODPELLETS"/>
    <x v="0"/>
    <x v="1"/>
    <n v="2.2540983606557399"/>
    <n v="822.74590163934397"/>
    <n v="2961.8852459016398"/>
  </r>
  <r>
    <x v="0"/>
    <x v="0"/>
    <x v="0"/>
    <x v="2"/>
    <x v="3"/>
    <s v="FIN_OTHER"/>
    <x v="8"/>
    <s v="GBPR_WOODPELLETS"/>
    <x v="0"/>
    <x v="2"/>
    <n v="2.2540983606557399"/>
    <n v="822.74590163934397"/>
    <n v="2961.8852459016398"/>
  </r>
  <r>
    <x v="0"/>
    <x v="0"/>
    <x v="0"/>
    <x v="2"/>
    <x v="3"/>
    <s v="FIN_OTHER"/>
    <x v="8"/>
    <s v="GBPR_WOODPELLETS"/>
    <x v="0"/>
    <x v="3"/>
    <n v="2.2540983606557399"/>
    <n v="822.74590163934397"/>
    <n v="2961.8852459016398"/>
  </r>
  <r>
    <x v="0"/>
    <x v="0"/>
    <x v="0"/>
    <x v="2"/>
    <x v="3"/>
    <s v="FIN_OTHER"/>
    <x v="8"/>
    <s v="GBPR_WOODPELLETS"/>
    <x v="0"/>
    <x v="4"/>
    <n v="2.2540983606557399"/>
    <n v="822.74590163934397"/>
    <n v="2961.8852459016398"/>
  </r>
  <r>
    <x v="0"/>
    <x v="0"/>
    <x v="0"/>
    <x v="2"/>
    <x v="3"/>
    <s v="FIN_OTHER"/>
    <x v="8"/>
    <s v="GBPR_WOODPELLETS"/>
    <x v="0"/>
    <x v="5"/>
    <n v="2.2540983606557399"/>
    <n v="822.74590163934397"/>
    <n v="2961.8852459016398"/>
  </r>
  <r>
    <x v="0"/>
    <x v="0"/>
    <x v="0"/>
    <x v="2"/>
    <x v="3"/>
    <s v="FIN_OTHER"/>
    <x v="8"/>
    <s v="GBPR_WOODPELLETS"/>
    <x v="0"/>
    <x v="6"/>
    <n v="2.2540983606557399"/>
    <n v="822.74590163934397"/>
    <n v="2961.8852459016398"/>
  </r>
  <r>
    <x v="0"/>
    <x v="0"/>
    <x v="0"/>
    <x v="2"/>
    <x v="3"/>
    <s v="FIN_OTHER"/>
    <x v="8"/>
    <s v="GBPR_WOODPELLETS"/>
    <x v="0"/>
    <x v="7"/>
    <n v="2.2540983606557399"/>
    <n v="822.74590163934397"/>
    <n v="2961.8852459016398"/>
  </r>
  <r>
    <x v="0"/>
    <x v="0"/>
    <x v="0"/>
    <x v="2"/>
    <x v="3"/>
    <s v="FIN_OTHER"/>
    <x v="8"/>
    <s v="GBPR_WOODPELLETS"/>
    <x v="0"/>
    <x v="8"/>
    <n v="2.2540983606557399"/>
    <n v="822.74590163934397"/>
    <n v="2961.8852459016398"/>
  </r>
  <r>
    <x v="0"/>
    <x v="0"/>
    <x v="0"/>
    <x v="2"/>
    <x v="3"/>
    <s v="FIN_OTHER"/>
    <x v="8"/>
    <s v="GBPR_WOODPELLETS"/>
    <x v="0"/>
    <x v="9"/>
    <n v="2.2540983606557399"/>
    <n v="822.74590163934397"/>
    <n v="2961.8852459016398"/>
  </r>
  <r>
    <x v="0"/>
    <x v="0"/>
    <x v="0"/>
    <x v="2"/>
    <x v="3"/>
    <s v="FIN_OTHER"/>
    <x v="8"/>
    <s v="GBPR_WOODPELLETS"/>
    <x v="0"/>
    <x v="10"/>
    <n v="2.2540983606557399"/>
    <n v="822.74590163934397"/>
    <n v="2961.8852459016398"/>
  </r>
  <r>
    <x v="0"/>
    <x v="0"/>
    <x v="0"/>
    <x v="2"/>
    <x v="3"/>
    <s v="FIN_OTHER"/>
    <x v="8"/>
    <s v="GBPR_WOODPELLETS"/>
    <x v="0"/>
    <x v="11"/>
    <n v="2.2540983606557399"/>
    <n v="822.74590163934397"/>
    <n v="2961.8852459016398"/>
  </r>
  <r>
    <x v="0"/>
    <x v="0"/>
    <x v="0"/>
    <x v="2"/>
    <x v="3"/>
    <s v="FIN_OTHER"/>
    <x v="8"/>
    <s v="GBPR_WOODPELLETS"/>
    <x v="0"/>
    <x v="12"/>
    <n v="2.2540983606557399"/>
    <n v="822.74590163934397"/>
    <n v="2961.8852459016398"/>
  </r>
  <r>
    <x v="0"/>
    <x v="0"/>
    <x v="0"/>
    <x v="2"/>
    <x v="3"/>
    <s v="FIN_OTHER"/>
    <x v="8"/>
    <s v="GBPR_WOODPELLETS"/>
    <x v="0"/>
    <x v="13"/>
    <n v="2.2540983606557399"/>
    <n v="822.74590163934397"/>
    <n v="2961.8852459016398"/>
  </r>
  <r>
    <x v="0"/>
    <x v="0"/>
    <x v="0"/>
    <x v="2"/>
    <x v="3"/>
    <s v="FIN_OTHER"/>
    <x v="8"/>
    <s v="GBPR_WOODPELLETS"/>
    <x v="0"/>
    <x v="14"/>
    <n v="2.2540983606557399"/>
    <n v="822.74590163934397"/>
    <n v="2961.8852459016398"/>
  </r>
  <r>
    <x v="0"/>
    <x v="0"/>
    <x v="0"/>
    <x v="2"/>
    <x v="3"/>
    <s v="FIN_OTHER"/>
    <x v="8"/>
    <s v="GBPR_WOODPELLETS"/>
    <x v="0"/>
    <x v="15"/>
    <n v="2.2540983606557399"/>
    <n v="822.74590163934397"/>
    <n v="2961.8852459016398"/>
  </r>
  <r>
    <x v="0"/>
    <x v="0"/>
    <x v="0"/>
    <x v="2"/>
    <x v="3"/>
    <s v="FIN_OTHER"/>
    <x v="8"/>
    <s v="GBPR_WOODPELLETS"/>
    <x v="0"/>
    <x v="16"/>
    <n v="2.2540983606557399"/>
    <n v="822.74590163934397"/>
    <n v="2961.8852459016398"/>
  </r>
  <r>
    <x v="0"/>
    <x v="0"/>
    <x v="0"/>
    <x v="2"/>
    <x v="3"/>
    <s v="FIN_OTHER"/>
    <x v="8"/>
    <s v="GBPR_WOODPELLETS"/>
    <x v="0"/>
    <x v="17"/>
    <n v="2.2540983606557399"/>
    <n v="822.74590163934397"/>
    <n v="2961.8852459016398"/>
  </r>
  <r>
    <x v="0"/>
    <x v="0"/>
    <x v="0"/>
    <x v="2"/>
    <x v="3"/>
    <s v="FIN_OTHER"/>
    <x v="8"/>
    <s v="GBPR_WOODPELLETS"/>
    <x v="0"/>
    <x v="18"/>
    <n v="2.2540983606557399"/>
    <n v="822.74590163934397"/>
    <n v="2961.8852459016398"/>
  </r>
  <r>
    <x v="0"/>
    <x v="0"/>
    <x v="0"/>
    <x v="2"/>
    <x v="3"/>
    <s v="FIN_OTHER"/>
    <x v="8"/>
    <s v="GBPR_WOODPELLETS"/>
    <x v="0"/>
    <x v="19"/>
    <n v="2.2540983606557399"/>
    <n v="822.74590163934397"/>
    <n v="2961.8852459016398"/>
  </r>
  <r>
    <x v="0"/>
    <x v="0"/>
    <x v="0"/>
    <x v="2"/>
    <x v="3"/>
    <s v="FIN_OTHER"/>
    <x v="8"/>
    <s v="GBPR_WOODPELLETS"/>
    <x v="0"/>
    <x v="20"/>
    <n v="2.2540983606557399"/>
    <n v="822.74590163934397"/>
    <n v="2961.8852459016398"/>
  </r>
  <r>
    <x v="0"/>
    <x v="0"/>
    <x v="0"/>
    <x v="2"/>
    <x v="3"/>
    <s v="FIN_OTHER"/>
    <x v="8"/>
    <s v="GBPR_WOODPELLETS"/>
    <x v="0"/>
    <x v="21"/>
    <n v="2.2540983606557399"/>
    <n v="822.74590163934397"/>
    <n v="2961.8852459016398"/>
  </r>
  <r>
    <x v="0"/>
    <x v="0"/>
    <x v="0"/>
    <x v="2"/>
    <x v="3"/>
    <s v="FIN_OTHER"/>
    <x v="8"/>
    <s v="GBPR_WOODPELLETS"/>
    <x v="0"/>
    <x v="22"/>
    <n v="2.2540983606557399"/>
    <n v="822.74590163934397"/>
    <n v="2961.8852459016398"/>
  </r>
  <r>
    <x v="0"/>
    <x v="0"/>
    <x v="0"/>
    <x v="2"/>
    <x v="3"/>
    <s v="FIN_OTHER"/>
    <x v="8"/>
    <s v="GBPR_WOODPELLETS"/>
    <x v="0"/>
    <x v="23"/>
    <n v="2.2540983606557399"/>
    <n v="822.74590163934397"/>
    <n v="2961.8852459016398"/>
  </r>
  <r>
    <x v="0"/>
    <x v="0"/>
    <x v="0"/>
    <x v="2"/>
    <x v="3"/>
    <s v="FIN_OTHER"/>
    <x v="8"/>
    <s v="GHOB_WOODPELLETS"/>
    <x v="0"/>
    <x v="0"/>
    <n v="57.4"/>
    <n v="20951"/>
    <n v="75423.600000000006"/>
  </r>
  <r>
    <x v="0"/>
    <x v="0"/>
    <x v="0"/>
    <x v="2"/>
    <x v="3"/>
    <s v="FIN_OTHER"/>
    <x v="8"/>
    <s v="GHOB_WOODPELLETS"/>
    <x v="0"/>
    <x v="1"/>
    <n v="57.4"/>
    <n v="20951"/>
    <n v="75423.600000000006"/>
  </r>
  <r>
    <x v="0"/>
    <x v="0"/>
    <x v="0"/>
    <x v="2"/>
    <x v="3"/>
    <s v="FIN_OTHER"/>
    <x v="8"/>
    <s v="GHOB_WOODPELLETS"/>
    <x v="0"/>
    <x v="2"/>
    <n v="57.4"/>
    <n v="20951"/>
    <n v="75423.600000000006"/>
  </r>
  <r>
    <x v="0"/>
    <x v="0"/>
    <x v="0"/>
    <x v="2"/>
    <x v="3"/>
    <s v="FIN_OTHER"/>
    <x v="8"/>
    <s v="GHOB_WOODPELLETS"/>
    <x v="0"/>
    <x v="3"/>
    <n v="57.4"/>
    <n v="20951"/>
    <n v="75423.600000000006"/>
  </r>
  <r>
    <x v="0"/>
    <x v="0"/>
    <x v="0"/>
    <x v="2"/>
    <x v="3"/>
    <s v="FIN_OTHER"/>
    <x v="8"/>
    <s v="GHOB_WOODPELLETS"/>
    <x v="0"/>
    <x v="4"/>
    <n v="57.4"/>
    <n v="20951"/>
    <n v="75423.600000000006"/>
  </r>
  <r>
    <x v="0"/>
    <x v="0"/>
    <x v="0"/>
    <x v="2"/>
    <x v="3"/>
    <s v="FIN_OTHER"/>
    <x v="8"/>
    <s v="GHOB_WOODPELLETS"/>
    <x v="0"/>
    <x v="5"/>
    <n v="57.4"/>
    <n v="20951"/>
    <n v="75423.600000000006"/>
  </r>
  <r>
    <x v="0"/>
    <x v="0"/>
    <x v="0"/>
    <x v="2"/>
    <x v="3"/>
    <s v="FIN_OTHER"/>
    <x v="8"/>
    <s v="GHOB_WOODPELLETS"/>
    <x v="0"/>
    <x v="6"/>
    <n v="57.4"/>
    <n v="20951"/>
    <n v="75423.600000000006"/>
  </r>
  <r>
    <x v="0"/>
    <x v="0"/>
    <x v="0"/>
    <x v="2"/>
    <x v="3"/>
    <s v="FIN_OTHER"/>
    <x v="8"/>
    <s v="GHOB_WOODPELLETS"/>
    <x v="0"/>
    <x v="7"/>
    <n v="57.4"/>
    <n v="20951"/>
    <n v="75423.600000000006"/>
  </r>
  <r>
    <x v="0"/>
    <x v="0"/>
    <x v="0"/>
    <x v="2"/>
    <x v="3"/>
    <s v="FIN_OTHER"/>
    <x v="8"/>
    <s v="GHOB_WOODPELLETS"/>
    <x v="0"/>
    <x v="8"/>
    <n v="57.4"/>
    <n v="20951"/>
    <n v="75423.600000000006"/>
  </r>
  <r>
    <x v="0"/>
    <x v="0"/>
    <x v="0"/>
    <x v="2"/>
    <x v="3"/>
    <s v="FIN_OTHER"/>
    <x v="8"/>
    <s v="GHOB_WOODPELLETS"/>
    <x v="0"/>
    <x v="9"/>
    <n v="57.4"/>
    <n v="20951"/>
    <n v="75423.600000000006"/>
  </r>
  <r>
    <x v="0"/>
    <x v="0"/>
    <x v="0"/>
    <x v="2"/>
    <x v="3"/>
    <s v="FIN_OTHER"/>
    <x v="8"/>
    <s v="GHOB_WOODPELLETS"/>
    <x v="0"/>
    <x v="10"/>
    <n v="57.4"/>
    <n v="20951"/>
    <n v="75423.600000000006"/>
  </r>
  <r>
    <x v="0"/>
    <x v="0"/>
    <x v="0"/>
    <x v="2"/>
    <x v="3"/>
    <s v="FIN_OTHER"/>
    <x v="8"/>
    <s v="GHOB_WOODPELLETS"/>
    <x v="0"/>
    <x v="11"/>
    <n v="57.4"/>
    <n v="20951"/>
    <n v="75423.600000000006"/>
  </r>
  <r>
    <x v="0"/>
    <x v="0"/>
    <x v="0"/>
    <x v="2"/>
    <x v="3"/>
    <s v="FIN_OTHER"/>
    <x v="8"/>
    <s v="GHOB_WOODPELLETS"/>
    <x v="0"/>
    <x v="12"/>
    <n v="57.4"/>
    <n v="20951"/>
    <n v="75423.600000000006"/>
  </r>
  <r>
    <x v="0"/>
    <x v="0"/>
    <x v="0"/>
    <x v="2"/>
    <x v="3"/>
    <s v="FIN_OTHER"/>
    <x v="8"/>
    <s v="GHOB_WOODPELLETS"/>
    <x v="0"/>
    <x v="13"/>
    <n v="57.4"/>
    <n v="20951"/>
    <n v="75423.600000000006"/>
  </r>
  <r>
    <x v="0"/>
    <x v="0"/>
    <x v="0"/>
    <x v="2"/>
    <x v="3"/>
    <s v="FIN_OTHER"/>
    <x v="8"/>
    <s v="GHOB_WOODPELLETS"/>
    <x v="0"/>
    <x v="14"/>
    <n v="57.4"/>
    <n v="20951"/>
    <n v="75423.600000000006"/>
  </r>
  <r>
    <x v="0"/>
    <x v="0"/>
    <x v="0"/>
    <x v="2"/>
    <x v="3"/>
    <s v="FIN_OTHER"/>
    <x v="8"/>
    <s v="GHOB_WOODPELLETS"/>
    <x v="0"/>
    <x v="15"/>
    <n v="57.4"/>
    <n v="20951"/>
    <n v="75423.600000000006"/>
  </r>
  <r>
    <x v="0"/>
    <x v="0"/>
    <x v="0"/>
    <x v="2"/>
    <x v="3"/>
    <s v="FIN_OTHER"/>
    <x v="8"/>
    <s v="GHOB_WOODPELLETS"/>
    <x v="0"/>
    <x v="16"/>
    <n v="57.4"/>
    <n v="20951"/>
    <n v="75423.600000000006"/>
  </r>
  <r>
    <x v="0"/>
    <x v="0"/>
    <x v="0"/>
    <x v="2"/>
    <x v="3"/>
    <s v="FIN_OTHER"/>
    <x v="8"/>
    <s v="GHOB_WOODPELLETS"/>
    <x v="0"/>
    <x v="17"/>
    <n v="57.4"/>
    <n v="20951"/>
    <n v="75423.600000000006"/>
  </r>
  <r>
    <x v="0"/>
    <x v="0"/>
    <x v="0"/>
    <x v="2"/>
    <x v="3"/>
    <s v="FIN_OTHER"/>
    <x v="8"/>
    <s v="GHOB_WOODPELLETS"/>
    <x v="0"/>
    <x v="18"/>
    <n v="57.4"/>
    <n v="20951"/>
    <n v="75423.600000000006"/>
  </r>
  <r>
    <x v="0"/>
    <x v="0"/>
    <x v="0"/>
    <x v="2"/>
    <x v="3"/>
    <s v="FIN_OTHER"/>
    <x v="8"/>
    <s v="GHOB_WOODPELLETS"/>
    <x v="0"/>
    <x v="19"/>
    <n v="57.4"/>
    <n v="20951"/>
    <n v="75423.600000000006"/>
  </r>
  <r>
    <x v="0"/>
    <x v="0"/>
    <x v="0"/>
    <x v="2"/>
    <x v="3"/>
    <s v="FIN_OTHER"/>
    <x v="8"/>
    <s v="GHOB_WOODPELLETS"/>
    <x v="0"/>
    <x v="20"/>
    <n v="57.4"/>
    <n v="20951"/>
    <n v="75423.600000000006"/>
  </r>
  <r>
    <x v="0"/>
    <x v="0"/>
    <x v="0"/>
    <x v="2"/>
    <x v="3"/>
    <s v="FIN_OTHER"/>
    <x v="8"/>
    <s v="GHOB_WOODPELLETS"/>
    <x v="0"/>
    <x v="21"/>
    <n v="57.4"/>
    <n v="20951"/>
    <n v="75423.600000000006"/>
  </r>
  <r>
    <x v="0"/>
    <x v="0"/>
    <x v="0"/>
    <x v="2"/>
    <x v="3"/>
    <s v="FIN_OTHER"/>
    <x v="8"/>
    <s v="GHOB_WOODPELLETS"/>
    <x v="0"/>
    <x v="22"/>
    <n v="57.4"/>
    <n v="20951"/>
    <n v="75423.600000000006"/>
  </r>
  <r>
    <x v="0"/>
    <x v="0"/>
    <x v="0"/>
    <x v="2"/>
    <x v="3"/>
    <s v="FIN_OTHER"/>
    <x v="8"/>
    <s v="GHOB_WOODPELLETS"/>
    <x v="0"/>
    <x v="23"/>
    <n v="57.4"/>
    <n v="20951"/>
    <n v="75423.600000000006"/>
  </r>
  <r>
    <x v="0"/>
    <x v="0"/>
    <x v="0"/>
    <x v="2"/>
    <x v="3"/>
    <s v="FIN_OTHER"/>
    <x v="9"/>
    <s v="GBPR_WOODWASTE_FINOTHER"/>
    <x v="0"/>
    <x v="0"/>
    <n v="304.938271604938"/>
    <n v="111302.46913580201"/>
    <n v="400688.88888888899"/>
  </r>
  <r>
    <x v="0"/>
    <x v="0"/>
    <x v="0"/>
    <x v="2"/>
    <x v="3"/>
    <s v="FIN_OTHER"/>
    <x v="9"/>
    <s v="GBPR_WOODWASTE_FINOTHER"/>
    <x v="0"/>
    <x v="1"/>
    <n v="304.938271604938"/>
    <n v="111302.46913580201"/>
    <n v="400688.88888888899"/>
  </r>
  <r>
    <x v="0"/>
    <x v="0"/>
    <x v="0"/>
    <x v="2"/>
    <x v="3"/>
    <s v="FIN_OTHER"/>
    <x v="9"/>
    <s v="GBPR_WOODWASTE_FINOTHER"/>
    <x v="0"/>
    <x v="2"/>
    <n v="304.938271604938"/>
    <n v="111302.46913580201"/>
    <n v="400688.88888888899"/>
  </r>
  <r>
    <x v="0"/>
    <x v="0"/>
    <x v="0"/>
    <x v="2"/>
    <x v="3"/>
    <s v="FIN_OTHER"/>
    <x v="9"/>
    <s v="GBPR_WOODWASTE_FINOTHER"/>
    <x v="0"/>
    <x v="3"/>
    <n v="304.938271604938"/>
    <n v="111302.46913580201"/>
    <n v="400688.88888888899"/>
  </r>
  <r>
    <x v="0"/>
    <x v="0"/>
    <x v="0"/>
    <x v="2"/>
    <x v="3"/>
    <s v="FIN_OTHER"/>
    <x v="9"/>
    <s v="GBPR_WOODWASTE_FINOTHER"/>
    <x v="0"/>
    <x v="4"/>
    <n v="304.938271604938"/>
    <n v="111302.46913580201"/>
    <n v="400688.88888888899"/>
  </r>
  <r>
    <x v="0"/>
    <x v="0"/>
    <x v="0"/>
    <x v="2"/>
    <x v="3"/>
    <s v="FIN_OTHER"/>
    <x v="9"/>
    <s v="GBPR_WOODWASTE_FINOTHER"/>
    <x v="0"/>
    <x v="5"/>
    <n v="304.938271604938"/>
    <n v="111302.46913580201"/>
    <n v="400688.88888888899"/>
  </r>
  <r>
    <x v="0"/>
    <x v="0"/>
    <x v="0"/>
    <x v="2"/>
    <x v="3"/>
    <s v="FIN_OTHER"/>
    <x v="9"/>
    <s v="GBPR_WOODWASTE_FINOTHER"/>
    <x v="0"/>
    <x v="6"/>
    <n v="304.938271604938"/>
    <n v="111302.46913580201"/>
    <n v="400688.88888888899"/>
  </r>
  <r>
    <x v="0"/>
    <x v="0"/>
    <x v="0"/>
    <x v="2"/>
    <x v="3"/>
    <s v="FIN_OTHER"/>
    <x v="9"/>
    <s v="GBPR_WOODWASTE_FINOTHER"/>
    <x v="0"/>
    <x v="7"/>
    <n v="304.938271604938"/>
    <n v="111302.46913580201"/>
    <n v="400688.88888888899"/>
  </r>
  <r>
    <x v="0"/>
    <x v="0"/>
    <x v="0"/>
    <x v="2"/>
    <x v="3"/>
    <s v="FIN_OTHER"/>
    <x v="9"/>
    <s v="GBPR_WOODWASTE_FINOTHER"/>
    <x v="0"/>
    <x v="8"/>
    <n v="304.938271604938"/>
    <n v="111302.46913580201"/>
    <n v="400688.88888888899"/>
  </r>
  <r>
    <x v="0"/>
    <x v="0"/>
    <x v="0"/>
    <x v="2"/>
    <x v="3"/>
    <s v="FIN_OTHER"/>
    <x v="9"/>
    <s v="GBPR_WOODWASTE_FINOTHER"/>
    <x v="0"/>
    <x v="9"/>
    <n v="304.938271604938"/>
    <n v="111302.46913580201"/>
    <n v="400688.88888888899"/>
  </r>
  <r>
    <x v="0"/>
    <x v="0"/>
    <x v="0"/>
    <x v="2"/>
    <x v="3"/>
    <s v="FIN_OTHER"/>
    <x v="9"/>
    <s v="GBPR_WOODWASTE_FINOTHER"/>
    <x v="0"/>
    <x v="10"/>
    <n v="304.938271604938"/>
    <n v="111302.46913580201"/>
    <n v="400688.88888888899"/>
  </r>
  <r>
    <x v="0"/>
    <x v="0"/>
    <x v="0"/>
    <x v="2"/>
    <x v="3"/>
    <s v="FIN_OTHER"/>
    <x v="9"/>
    <s v="GBPR_WOODWASTE_FINOTHER"/>
    <x v="0"/>
    <x v="11"/>
    <n v="304.938271604938"/>
    <n v="111302.46913580201"/>
    <n v="400688.88888888899"/>
  </r>
  <r>
    <x v="0"/>
    <x v="0"/>
    <x v="0"/>
    <x v="2"/>
    <x v="3"/>
    <s v="FIN_OTHER"/>
    <x v="9"/>
    <s v="GBPR_WOODWASTE_FINOTHER"/>
    <x v="0"/>
    <x v="12"/>
    <n v="304.938271604938"/>
    <n v="111302.46913580201"/>
    <n v="400688.88888888899"/>
  </r>
  <r>
    <x v="0"/>
    <x v="0"/>
    <x v="0"/>
    <x v="2"/>
    <x v="3"/>
    <s v="FIN_OTHER"/>
    <x v="9"/>
    <s v="GBPR_WOODWASTE_FINOTHER"/>
    <x v="0"/>
    <x v="13"/>
    <n v="304.938271604938"/>
    <n v="111302.46913580201"/>
    <n v="400688.88888888899"/>
  </r>
  <r>
    <x v="0"/>
    <x v="0"/>
    <x v="0"/>
    <x v="2"/>
    <x v="3"/>
    <s v="FIN_OTHER"/>
    <x v="9"/>
    <s v="GBPR_WOODWASTE_FINOTHER"/>
    <x v="0"/>
    <x v="14"/>
    <n v="304.938271604938"/>
    <n v="111302.46913580201"/>
    <n v="400688.88888888899"/>
  </r>
  <r>
    <x v="0"/>
    <x v="0"/>
    <x v="0"/>
    <x v="2"/>
    <x v="3"/>
    <s v="FIN_OTHER"/>
    <x v="9"/>
    <s v="GBPR_WOODWASTE_FINOTHER"/>
    <x v="0"/>
    <x v="15"/>
    <n v="304.938271604938"/>
    <n v="111302.46913580201"/>
    <n v="400688.88888888899"/>
  </r>
  <r>
    <x v="0"/>
    <x v="0"/>
    <x v="0"/>
    <x v="2"/>
    <x v="3"/>
    <s v="FIN_OTHER"/>
    <x v="9"/>
    <s v="GBPR_WOODWASTE_FINOTHER"/>
    <x v="0"/>
    <x v="16"/>
    <n v="304.938271604938"/>
    <n v="111302.46913580201"/>
    <n v="400688.88888888899"/>
  </r>
  <r>
    <x v="0"/>
    <x v="0"/>
    <x v="0"/>
    <x v="2"/>
    <x v="3"/>
    <s v="FIN_OTHER"/>
    <x v="9"/>
    <s v="GBPR_WOODWASTE_FINOTHER"/>
    <x v="0"/>
    <x v="17"/>
    <n v="304.938271604938"/>
    <n v="111302.46913580201"/>
    <n v="400688.88888888899"/>
  </r>
  <r>
    <x v="0"/>
    <x v="0"/>
    <x v="0"/>
    <x v="2"/>
    <x v="3"/>
    <s v="FIN_OTHER"/>
    <x v="9"/>
    <s v="GBPR_WOODWASTE_FINOTHER"/>
    <x v="0"/>
    <x v="18"/>
    <n v="304.938271604938"/>
    <n v="111302.46913580201"/>
    <n v="400688.88888888899"/>
  </r>
  <r>
    <x v="0"/>
    <x v="0"/>
    <x v="0"/>
    <x v="2"/>
    <x v="3"/>
    <s v="FIN_OTHER"/>
    <x v="9"/>
    <s v="GBPR_WOODWASTE_FINOTHER"/>
    <x v="0"/>
    <x v="19"/>
    <n v="304.938271604938"/>
    <n v="111302.46913580201"/>
    <n v="400688.88888888899"/>
  </r>
  <r>
    <x v="0"/>
    <x v="0"/>
    <x v="0"/>
    <x v="2"/>
    <x v="3"/>
    <s v="FIN_OTHER"/>
    <x v="9"/>
    <s v="GBPR_WOODWASTE_FINOTHER"/>
    <x v="0"/>
    <x v="20"/>
    <n v="304.938271604938"/>
    <n v="111302.46913580201"/>
    <n v="400688.88888888899"/>
  </r>
  <r>
    <x v="0"/>
    <x v="0"/>
    <x v="0"/>
    <x v="2"/>
    <x v="3"/>
    <s v="FIN_OTHER"/>
    <x v="9"/>
    <s v="GBPR_WOODWASTE_FINOTHER"/>
    <x v="0"/>
    <x v="21"/>
    <n v="304.938271604938"/>
    <n v="111302.46913580201"/>
    <n v="400688.88888888899"/>
  </r>
  <r>
    <x v="0"/>
    <x v="0"/>
    <x v="0"/>
    <x v="2"/>
    <x v="3"/>
    <s v="FIN_OTHER"/>
    <x v="9"/>
    <s v="GBPR_WOODWASTE_FINOTHER"/>
    <x v="0"/>
    <x v="22"/>
    <n v="304.938271604938"/>
    <n v="111302.46913580201"/>
    <n v="400688.88888888899"/>
  </r>
  <r>
    <x v="0"/>
    <x v="0"/>
    <x v="0"/>
    <x v="2"/>
    <x v="3"/>
    <s v="FIN_OTHER"/>
    <x v="9"/>
    <s v="GBPR_WOODWASTE_FINOTHER"/>
    <x v="0"/>
    <x v="23"/>
    <n v="304.938271604938"/>
    <n v="111302.46913580201"/>
    <n v="400688.88888888899"/>
  </r>
  <r>
    <x v="0"/>
    <x v="0"/>
    <x v="0"/>
    <x v="2"/>
    <x v="3"/>
    <s v="FIN_OTHER"/>
    <x v="9"/>
    <s v="GHOB_WOODWASTE"/>
    <x v="0"/>
    <x v="0"/>
    <n v="166.8"/>
    <n v="60882"/>
    <n v="219175.2"/>
  </r>
  <r>
    <x v="0"/>
    <x v="0"/>
    <x v="0"/>
    <x v="2"/>
    <x v="3"/>
    <s v="FIN_OTHER"/>
    <x v="9"/>
    <s v="GHOB_WOODWASTE"/>
    <x v="0"/>
    <x v="1"/>
    <n v="166.8"/>
    <n v="60882"/>
    <n v="219175.2"/>
  </r>
  <r>
    <x v="0"/>
    <x v="0"/>
    <x v="0"/>
    <x v="2"/>
    <x v="3"/>
    <s v="FIN_OTHER"/>
    <x v="9"/>
    <s v="GHOB_WOODWASTE"/>
    <x v="0"/>
    <x v="2"/>
    <n v="166.8"/>
    <n v="60882"/>
    <n v="219175.2"/>
  </r>
  <r>
    <x v="0"/>
    <x v="0"/>
    <x v="0"/>
    <x v="2"/>
    <x v="3"/>
    <s v="FIN_OTHER"/>
    <x v="9"/>
    <s v="GHOB_WOODWASTE"/>
    <x v="0"/>
    <x v="3"/>
    <n v="166.8"/>
    <n v="60882"/>
    <n v="219175.2"/>
  </r>
  <r>
    <x v="0"/>
    <x v="0"/>
    <x v="0"/>
    <x v="2"/>
    <x v="3"/>
    <s v="FIN_OTHER"/>
    <x v="9"/>
    <s v="GHOB_WOODWASTE"/>
    <x v="0"/>
    <x v="4"/>
    <n v="166.8"/>
    <n v="60882"/>
    <n v="219175.2"/>
  </r>
  <r>
    <x v="0"/>
    <x v="0"/>
    <x v="0"/>
    <x v="2"/>
    <x v="3"/>
    <s v="FIN_OTHER"/>
    <x v="9"/>
    <s v="GHOB_WOODWASTE"/>
    <x v="0"/>
    <x v="5"/>
    <n v="166.8"/>
    <n v="60882"/>
    <n v="219175.2"/>
  </r>
  <r>
    <x v="0"/>
    <x v="0"/>
    <x v="0"/>
    <x v="2"/>
    <x v="3"/>
    <s v="FIN_OTHER"/>
    <x v="9"/>
    <s v="GHOB_WOODWASTE"/>
    <x v="0"/>
    <x v="6"/>
    <n v="166.8"/>
    <n v="60882"/>
    <n v="219175.2"/>
  </r>
  <r>
    <x v="0"/>
    <x v="0"/>
    <x v="0"/>
    <x v="2"/>
    <x v="3"/>
    <s v="FIN_OTHER"/>
    <x v="9"/>
    <s v="GHOB_WOODWASTE"/>
    <x v="0"/>
    <x v="7"/>
    <n v="166.8"/>
    <n v="60882"/>
    <n v="219175.2"/>
  </r>
  <r>
    <x v="0"/>
    <x v="0"/>
    <x v="0"/>
    <x v="2"/>
    <x v="3"/>
    <s v="FIN_OTHER"/>
    <x v="9"/>
    <s v="GHOB_WOODWASTE"/>
    <x v="0"/>
    <x v="8"/>
    <n v="166.8"/>
    <n v="60882"/>
    <n v="219175.2"/>
  </r>
  <r>
    <x v="0"/>
    <x v="0"/>
    <x v="0"/>
    <x v="2"/>
    <x v="3"/>
    <s v="FIN_OTHER"/>
    <x v="9"/>
    <s v="GHOB_WOODWASTE"/>
    <x v="0"/>
    <x v="9"/>
    <n v="166.8"/>
    <n v="60882"/>
    <n v="219175.2"/>
  </r>
  <r>
    <x v="0"/>
    <x v="0"/>
    <x v="0"/>
    <x v="2"/>
    <x v="3"/>
    <s v="FIN_OTHER"/>
    <x v="9"/>
    <s v="GHOB_WOODWASTE"/>
    <x v="0"/>
    <x v="10"/>
    <n v="166.8"/>
    <n v="60882"/>
    <n v="219175.2"/>
  </r>
  <r>
    <x v="0"/>
    <x v="0"/>
    <x v="0"/>
    <x v="2"/>
    <x v="3"/>
    <s v="FIN_OTHER"/>
    <x v="9"/>
    <s v="GHOB_WOODWASTE"/>
    <x v="0"/>
    <x v="11"/>
    <n v="166.8"/>
    <n v="60882"/>
    <n v="219175.2"/>
  </r>
  <r>
    <x v="0"/>
    <x v="0"/>
    <x v="0"/>
    <x v="2"/>
    <x v="3"/>
    <s v="FIN_OTHER"/>
    <x v="9"/>
    <s v="GHOB_WOODWASTE"/>
    <x v="0"/>
    <x v="12"/>
    <n v="166.8"/>
    <n v="60882"/>
    <n v="219175.2"/>
  </r>
  <r>
    <x v="0"/>
    <x v="0"/>
    <x v="0"/>
    <x v="2"/>
    <x v="3"/>
    <s v="FIN_OTHER"/>
    <x v="9"/>
    <s v="GHOB_WOODWASTE"/>
    <x v="0"/>
    <x v="13"/>
    <n v="166.8"/>
    <n v="60882"/>
    <n v="219175.2"/>
  </r>
  <r>
    <x v="0"/>
    <x v="0"/>
    <x v="0"/>
    <x v="2"/>
    <x v="3"/>
    <s v="FIN_OTHER"/>
    <x v="9"/>
    <s v="GHOB_WOODWASTE"/>
    <x v="0"/>
    <x v="14"/>
    <n v="166.8"/>
    <n v="60882"/>
    <n v="219175.2"/>
  </r>
  <r>
    <x v="0"/>
    <x v="0"/>
    <x v="0"/>
    <x v="2"/>
    <x v="3"/>
    <s v="FIN_OTHER"/>
    <x v="9"/>
    <s v="GHOB_WOODWASTE"/>
    <x v="0"/>
    <x v="15"/>
    <n v="166.8"/>
    <n v="60882"/>
    <n v="219175.2"/>
  </r>
  <r>
    <x v="0"/>
    <x v="0"/>
    <x v="0"/>
    <x v="2"/>
    <x v="3"/>
    <s v="FIN_OTHER"/>
    <x v="9"/>
    <s v="GHOB_WOODWASTE"/>
    <x v="0"/>
    <x v="16"/>
    <n v="166.8"/>
    <n v="60882"/>
    <n v="219175.2"/>
  </r>
  <r>
    <x v="0"/>
    <x v="0"/>
    <x v="0"/>
    <x v="2"/>
    <x v="3"/>
    <s v="FIN_OTHER"/>
    <x v="9"/>
    <s v="GHOB_WOODWASTE"/>
    <x v="0"/>
    <x v="17"/>
    <n v="166.8"/>
    <n v="60882"/>
    <n v="219175.2"/>
  </r>
  <r>
    <x v="0"/>
    <x v="0"/>
    <x v="0"/>
    <x v="2"/>
    <x v="3"/>
    <s v="FIN_OTHER"/>
    <x v="9"/>
    <s v="GHOB_WOODWASTE"/>
    <x v="0"/>
    <x v="18"/>
    <n v="166.8"/>
    <n v="60882"/>
    <n v="219175.2"/>
  </r>
  <r>
    <x v="0"/>
    <x v="0"/>
    <x v="0"/>
    <x v="2"/>
    <x v="3"/>
    <s v="FIN_OTHER"/>
    <x v="9"/>
    <s v="GHOB_WOODWASTE"/>
    <x v="0"/>
    <x v="19"/>
    <n v="166.8"/>
    <n v="60882"/>
    <n v="219175.2"/>
  </r>
  <r>
    <x v="0"/>
    <x v="0"/>
    <x v="0"/>
    <x v="2"/>
    <x v="3"/>
    <s v="FIN_OTHER"/>
    <x v="9"/>
    <s v="GHOB_WOODWASTE"/>
    <x v="0"/>
    <x v="20"/>
    <n v="166.8"/>
    <n v="60882"/>
    <n v="219175.2"/>
  </r>
  <r>
    <x v="0"/>
    <x v="0"/>
    <x v="0"/>
    <x v="2"/>
    <x v="3"/>
    <s v="FIN_OTHER"/>
    <x v="9"/>
    <s v="GHOB_WOODWASTE"/>
    <x v="0"/>
    <x v="21"/>
    <n v="166.8"/>
    <n v="60882"/>
    <n v="219175.2"/>
  </r>
  <r>
    <x v="0"/>
    <x v="0"/>
    <x v="0"/>
    <x v="2"/>
    <x v="3"/>
    <s v="FIN_OTHER"/>
    <x v="9"/>
    <s v="GHOB_WOODWASTE"/>
    <x v="0"/>
    <x v="22"/>
    <n v="166.8"/>
    <n v="60882"/>
    <n v="219175.2"/>
  </r>
  <r>
    <x v="0"/>
    <x v="0"/>
    <x v="0"/>
    <x v="2"/>
    <x v="3"/>
    <s v="FIN_OTHER"/>
    <x v="9"/>
    <s v="GHOB_WOODWASTE"/>
    <x v="0"/>
    <x v="23"/>
    <n v="166.8"/>
    <n v="60882"/>
    <n v="219175.2"/>
  </r>
  <r>
    <x v="0"/>
    <x v="0"/>
    <x v="0"/>
    <x v="2"/>
    <x v="3"/>
    <s v="FIN_TAMP"/>
    <x v="12"/>
    <s v="GETOH_ELECTRICBOILER"/>
    <x v="0"/>
    <x v="0"/>
    <n v="20"/>
    <n v="7300"/>
    <n v="26280"/>
  </r>
  <r>
    <x v="0"/>
    <x v="0"/>
    <x v="0"/>
    <x v="2"/>
    <x v="3"/>
    <s v="FIN_TAMP"/>
    <x v="12"/>
    <s v="GETOH_ELECTRICBOILER"/>
    <x v="0"/>
    <x v="1"/>
    <n v="20"/>
    <n v="7300"/>
    <n v="26280"/>
  </r>
  <r>
    <x v="0"/>
    <x v="0"/>
    <x v="0"/>
    <x v="2"/>
    <x v="3"/>
    <s v="FIN_TAMP"/>
    <x v="12"/>
    <s v="GETOH_ELECTRICBOILER"/>
    <x v="0"/>
    <x v="2"/>
    <n v="20"/>
    <n v="7300"/>
    <n v="26280"/>
  </r>
  <r>
    <x v="0"/>
    <x v="0"/>
    <x v="0"/>
    <x v="2"/>
    <x v="3"/>
    <s v="FIN_TAMP"/>
    <x v="12"/>
    <s v="GETOH_ELECTRICBOILER"/>
    <x v="0"/>
    <x v="3"/>
    <n v="20"/>
    <n v="7300"/>
    <n v="26280"/>
  </r>
  <r>
    <x v="0"/>
    <x v="0"/>
    <x v="0"/>
    <x v="2"/>
    <x v="3"/>
    <s v="FIN_TAMP"/>
    <x v="12"/>
    <s v="GETOH_ELECTRICBOILER"/>
    <x v="0"/>
    <x v="4"/>
    <n v="20"/>
    <n v="7300"/>
    <n v="26280"/>
  </r>
  <r>
    <x v="0"/>
    <x v="0"/>
    <x v="0"/>
    <x v="2"/>
    <x v="3"/>
    <s v="FIN_TAMP"/>
    <x v="12"/>
    <s v="GETOH_ELECTRICBOILER"/>
    <x v="0"/>
    <x v="5"/>
    <n v="20"/>
    <n v="7300"/>
    <n v="26280"/>
  </r>
  <r>
    <x v="0"/>
    <x v="0"/>
    <x v="0"/>
    <x v="2"/>
    <x v="3"/>
    <s v="FIN_TAMP"/>
    <x v="12"/>
    <s v="GETOH_ELECTRICBOILER"/>
    <x v="0"/>
    <x v="6"/>
    <n v="20"/>
    <n v="7300"/>
    <n v="26280"/>
  </r>
  <r>
    <x v="0"/>
    <x v="0"/>
    <x v="0"/>
    <x v="2"/>
    <x v="3"/>
    <s v="FIN_TAMP"/>
    <x v="12"/>
    <s v="GETOH_ELECTRICBOILER"/>
    <x v="0"/>
    <x v="7"/>
    <n v="20"/>
    <n v="7300"/>
    <n v="26280"/>
  </r>
  <r>
    <x v="0"/>
    <x v="0"/>
    <x v="0"/>
    <x v="2"/>
    <x v="3"/>
    <s v="FIN_TAMP"/>
    <x v="12"/>
    <s v="GETOH_ELECTRICBOILER"/>
    <x v="0"/>
    <x v="8"/>
    <n v="20"/>
    <n v="7300"/>
    <n v="26280"/>
  </r>
  <r>
    <x v="0"/>
    <x v="0"/>
    <x v="0"/>
    <x v="2"/>
    <x v="3"/>
    <s v="FIN_TAMP"/>
    <x v="12"/>
    <s v="GETOH_ELECTRICBOILER"/>
    <x v="0"/>
    <x v="9"/>
    <n v="20"/>
    <n v="7300"/>
    <n v="26280"/>
  </r>
  <r>
    <x v="0"/>
    <x v="0"/>
    <x v="0"/>
    <x v="2"/>
    <x v="3"/>
    <s v="FIN_TAMP"/>
    <x v="12"/>
    <s v="GETOH_ELECTRICBOILER"/>
    <x v="0"/>
    <x v="10"/>
    <n v="20"/>
    <n v="7300"/>
    <n v="26280"/>
  </r>
  <r>
    <x v="0"/>
    <x v="0"/>
    <x v="0"/>
    <x v="2"/>
    <x v="3"/>
    <s v="FIN_TAMP"/>
    <x v="12"/>
    <s v="GETOH_ELECTRICBOILER"/>
    <x v="0"/>
    <x v="11"/>
    <n v="20"/>
    <n v="7300"/>
    <n v="26280"/>
  </r>
  <r>
    <x v="0"/>
    <x v="0"/>
    <x v="0"/>
    <x v="2"/>
    <x v="3"/>
    <s v="FIN_TAMP"/>
    <x v="12"/>
    <s v="GETOH_ELECTRICBOILER"/>
    <x v="0"/>
    <x v="12"/>
    <n v="20"/>
    <n v="7300"/>
    <n v="26280"/>
  </r>
  <r>
    <x v="0"/>
    <x v="0"/>
    <x v="0"/>
    <x v="2"/>
    <x v="3"/>
    <s v="FIN_TAMP"/>
    <x v="12"/>
    <s v="GETOH_ELECTRICBOILER"/>
    <x v="0"/>
    <x v="13"/>
    <n v="20"/>
    <n v="7300"/>
    <n v="26280"/>
  </r>
  <r>
    <x v="0"/>
    <x v="0"/>
    <x v="0"/>
    <x v="2"/>
    <x v="3"/>
    <s v="FIN_TAMP"/>
    <x v="12"/>
    <s v="GETOH_ELECTRICBOILER"/>
    <x v="0"/>
    <x v="14"/>
    <n v="20"/>
    <n v="7300"/>
    <n v="26280"/>
  </r>
  <r>
    <x v="0"/>
    <x v="0"/>
    <x v="0"/>
    <x v="2"/>
    <x v="3"/>
    <s v="FIN_TAMP"/>
    <x v="12"/>
    <s v="GETOH_ELECTRICBOILER"/>
    <x v="0"/>
    <x v="15"/>
    <n v="20"/>
    <n v="7300"/>
    <n v="26280"/>
  </r>
  <r>
    <x v="0"/>
    <x v="0"/>
    <x v="0"/>
    <x v="2"/>
    <x v="3"/>
    <s v="FIN_TAMP"/>
    <x v="12"/>
    <s v="GETOH_ELECTRICBOILER"/>
    <x v="0"/>
    <x v="16"/>
    <n v="20"/>
    <n v="7300"/>
    <n v="26280"/>
  </r>
  <r>
    <x v="0"/>
    <x v="0"/>
    <x v="0"/>
    <x v="2"/>
    <x v="3"/>
    <s v="FIN_TAMP"/>
    <x v="12"/>
    <s v="GETOH_ELECTRICBOILER"/>
    <x v="0"/>
    <x v="17"/>
    <n v="20"/>
    <n v="7300"/>
    <n v="26280"/>
  </r>
  <r>
    <x v="0"/>
    <x v="0"/>
    <x v="0"/>
    <x v="2"/>
    <x v="3"/>
    <s v="FIN_TAMP"/>
    <x v="12"/>
    <s v="GETOH_ELECTRICBOILER"/>
    <x v="0"/>
    <x v="18"/>
    <n v="20"/>
    <n v="7300"/>
    <n v="26280"/>
  </r>
  <r>
    <x v="0"/>
    <x v="0"/>
    <x v="0"/>
    <x v="2"/>
    <x v="3"/>
    <s v="FIN_TAMP"/>
    <x v="12"/>
    <s v="GETOH_ELECTRICBOILER"/>
    <x v="0"/>
    <x v="19"/>
    <n v="20"/>
    <n v="7300"/>
    <n v="26280"/>
  </r>
  <r>
    <x v="0"/>
    <x v="0"/>
    <x v="0"/>
    <x v="2"/>
    <x v="3"/>
    <s v="FIN_TAMP"/>
    <x v="12"/>
    <s v="GETOH_ELECTRICBOILER"/>
    <x v="0"/>
    <x v="20"/>
    <n v="20"/>
    <n v="7300"/>
    <n v="26280"/>
  </r>
  <r>
    <x v="0"/>
    <x v="0"/>
    <x v="0"/>
    <x v="2"/>
    <x v="3"/>
    <s v="FIN_TAMP"/>
    <x v="12"/>
    <s v="GETOH_ELECTRICBOILER"/>
    <x v="0"/>
    <x v="21"/>
    <n v="20"/>
    <n v="7300"/>
    <n v="26280"/>
  </r>
  <r>
    <x v="0"/>
    <x v="0"/>
    <x v="0"/>
    <x v="2"/>
    <x v="3"/>
    <s v="FIN_TAMP"/>
    <x v="12"/>
    <s v="GETOH_ELECTRICBOILER"/>
    <x v="0"/>
    <x v="22"/>
    <n v="20"/>
    <n v="7300"/>
    <n v="26280"/>
  </r>
  <r>
    <x v="0"/>
    <x v="0"/>
    <x v="0"/>
    <x v="2"/>
    <x v="3"/>
    <s v="FIN_TAMP"/>
    <x v="12"/>
    <s v="GETOH_ELECTRICBOILER"/>
    <x v="0"/>
    <x v="23"/>
    <n v="20"/>
    <n v="7300"/>
    <n v="26280"/>
  </r>
  <r>
    <x v="0"/>
    <x v="0"/>
    <x v="0"/>
    <x v="2"/>
    <x v="3"/>
    <s v="FIN_TAMP"/>
    <x v="4"/>
    <s v="GEXT_NATGAS_TAMPERE"/>
    <x v="0"/>
    <x v="0"/>
    <n v="207.4508625128"/>
    <n v="75719.564817171995"/>
    <n v="272590.43334181898"/>
  </r>
  <r>
    <x v="0"/>
    <x v="0"/>
    <x v="0"/>
    <x v="2"/>
    <x v="3"/>
    <s v="FIN_TAMP"/>
    <x v="4"/>
    <s v="GEXT_NATGAS_TAMPERE"/>
    <x v="0"/>
    <x v="1"/>
    <n v="204.73858255495"/>
    <n v="74729.582632556907"/>
    <n v="269026.497477205"/>
  </r>
  <r>
    <x v="0"/>
    <x v="0"/>
    <x v="0"/>
    <x v="2"/>
    <x v="3"/>
    <s v="FIN_TAMP"/>
    <x v="4"/>
    <s v="GEXT_NATGAS_TAMPERE"/>
    <x v="0"/>
    <x v="2"/>
    <n v="206.40320041047701"/>
    <n v="75337.168149824007"/>
    <n v="271213.80533936602"/>
  </r>
  <r>
    <x v="0"/>
    <x v="0"/>
    <x v="0"/>
    <x v="2"/>
    <x v="3"/>
    <s v="FIN_TAMP"/>
    <x v="4"/>
    <s v="GEXT_NATGAS_TAMPERE"/>
    <x v="0"/>
    <x v="3"/>
    <n v="212.88079506431799"/>
    <n v="77701.490198475905"/>
    <n v="279725.36471451301"/>
  </r>
  <r>
    <x v="0"/>
    <x v="0"/>
    <x v="0"/>
    <x v="2"/>
    <x v="3"/>
    <s v="FIN_TAMP"/>
    <x v="4"/>
    <s v="GEXT_NATGAS_TAMPERE"/>
    <x v="0"/>
    <x v="4"/>
    <n v="227.992591460287"/>
    <n v="83217.295883004801"/>
    <n v="299582.26517881698"/>
  </r>
  <r>
    <x v="0"/>
    <x v="0"/>
    <x v="0"/>
    <x v="2"/>
    <x v="3"/>
    <s v="FIN_TAMP"/>
    <x v="4"/>
    <s v="GEXT_NATGAS_TAMPERE"/>
    <x v="0"/>
    <x v="5"/>
    <n v="253.03040112437901"/>
    <n v="92356.096410398197"/>
    <n v="332481.94707743399"/>
  </r>
  <r>
    <x v="0"/>
    <x v="0"/>
    <x v="0"/>
    <x v="2"/>
    <x v="3"/>
    <s v="FIN_TAMP"/>
    <x v="4"/>
    <s v="GEXT_NATGAS_TAMPERE"/>
    <x v="0"/>
    <x v="6"/>
    <n v="305.77170587327799"/>
    <n v="111606.672643746"/>
    <n v="401784.02151748701"/>
  </r>
  <r>
    <x v="0"/>
    <x v="0"/>
    <x v="0"/>
    <x v="2"/>
    <x v="3"/>
    <s v="FIN_TAMP"/>
    <x v="4"/>
    <s v="GEXT_NATGAS_TAMPERE"/>
    <x v="0"/>
    <x v="7"/>
    <n v="336.64361627698298"/>
    <n v="122874.919941099"/>
    <n v="442349.71178795502"/>
  </r>
  <r>
    <x v="0"/>
    <x v="0"/>
    <x v="0"/>
    <x v="2"/>
    <x v="3"/>
    <s v="FIN_TAMP"/>
    <x v="4"/>
    <s v="GEXT_NATGAS_TAMPERE"/>
    <x v="0"/>
    <x v="8"/>
    <n v="342.78447709880299"/>
    <n v="125116.33414106299"/>
    <n v="450418.80290782702"/>
  </r>
  <r>
    <x v="0"/>
    <x v="0"/>
    <x v="0"/>
    <x v="2"/>
    <x v="3"/>
    <s v="FIN_TAMP"/>
    <x v="4"/>
    <s v="GEXT_NATGAS_TAMPERE"/>
    <x v="0"/>
    <x v="9"/>
    <n v="345.018865007356"/>
    <n v="125931.885727685"/>
    <n v="453354.78861966502"/>
  </r>
  <r>
    <x v="0"/>
    <x v="0"/>
    <x v="0"/>
    <x v="2"/>
    <x v="3"/>
    <s v="FIN_TAMP"/>
    <x v="4"/>
    <s v="GEXT_NATGAS_TAMPERE"/>
    <x v="0"/>
    <x v="10"/>
    <n v="333.70167691435699"/>
    <n v="121801.11207374001"/>
    <n v="438484.00346546498"/>
  </r>
  <r>
    <x v="0"/>
    <x v="0"/>
    <x v="0"/>
    <x v="2"/>
    <x v="3"/>
    <s v="FIN_TAMP"/>
    <x v="4"/>
    <s v="GEXT_NATGAS_TAMPERE"/>
    <x v="0"/>
    <x v="11"/>
    <n v="327.003462689554"/>
    <n v="119356.263881687"/>
    <n v="429682.54997407401"/>
  </r>
  <r>
    <x v="0"/>
    <x v="0"/>
    <x v="0"/>
    <x v="2"/>
    <x v="3"/>
    <s v="FIN_TAMP"/>
    <x v="4"/>
    <s v="GEXT_NATGAS_TAMPERE"/>
    <x v="0"/>
    <x v="12"/>
    <n v="324.33109067394099"/>
    <n v="118380.848095988"/>
    <n v="426171.05314555799"/>
  </r>
  <r>
    <x v="0"/>
    <x v="0"/>
    <x v="0"/>
    <x v="2"/>
    <x v="3"/>
    <s v="FIN_TAMP"/>
    <x v="4"/>
    <s v="GEXT_NATGAS_TAMPERE"/>
    <x v="0"/>
    <x v="13"/>
    <n v="323.68258243701001"/>
    <n v="118144.142589508"/>
    <n v="425318.91332223098"/>
  </r>
  <r>
    <x v="0"/>
    <x v="0"/>
    <x v="0"/>
    <x v="2"/>
    <x v="3"/>
    <s v="FIN_TAMP"/>
    <x v="4"/>
    <s v="GEXT_NATGAS_TAMPERE"/>
    <x v="0"/>
    <x v="14"/>
    <n v="325.63536037529798"/>
    <n v="118856.906536984"/>
    <n v="427884.86353314098"/>
  </r>
  <r>
    <x v="0"/>
    <x v="0"/>
    <x v="0"/>
    <x v="2"/>
    <x v="3"/>
    <s v="FIN_TAMP"/>
    <x v="4"/>
    <s v="GEXT_NATGAS_TAMPERE"/>
    <x v="0"/>
    <x v="15"/>
    <n v="338.213682942692"/>
    <n v="123447.994274083"/>
    <n v="444412.77938669798"/>
  </r>
  <r>
    <x v="0"/>
    <x v="0"/>
    <x v="0"/>
    <x v="2"/>
    <x v="3"/>
    <s v="FIN_TAMP"/>
    <x v="4"/>
    <s v="GEXT_NATGAS_TAMPERE"/>
    <x v="0"/>
    <x v="16"/>
    <n v="325.36971727981802"/>
    <n v="118759.94680713399"/>
    <n v="427535.80850568099"/>
  </r>
  <r>
    <x v="0"/>
    <x v="0"/>
    <x v="0"/>
    <x v="2"/>
    <x v="3"/>
    <s v="FIN_TAMP"/>
    <x v="4"/>
    <s v="GEXT_NATGAS_TAMPERE"/>
    <x v="0"/>
    <x v="17"/>
    <n v="316.69343421338198"/>
    <n v="115593.103487885"/>
    <n v="416135.172556384"/>
  </r>
  <r>
    <x v="0"/>
    <x v="0"/>
    <x v="0"/>
    <x v="2"/>
    <x v="3"/>
    <s v="FIN_TAMP"/>
    <x v="4"/>
    <s v="GEXT_NATGAS_TAMPERE"/>
    <x v="0"/>
    <x v="18"/>
    <n v="318.61770549540898"/>
    <n v="116295.46250582401"/>
    <n v="418663.66502096801"/>
  </r>
  <r>
    <x v="0"/>
    <x v="0"/>
    <x v="0"/>
    <x v="2"/>
    <x v="3"/>
    <s v="FIN_TAMP"/>
    <x v="4"/>
    <s v="GEXT_NATGAS_TAMPERE"/>
    <x v="0"/>
    <x v="19"/>
    <n v="312.88076200792301"/>
    <n v="114201.47813289201"/>
    <n v="411125.32127841102"/>
  </r>
  <r>
    <x v="0"/>
    <x v="0"/>
    <x v="0"/>
    <x v="2"/>
    <x v="3"/>
    <s v="FIN_TAMP"/>
    <x v="4"/>
    <s v="GEXT_NATGAS_TAMPERE"/>
    <x v="0"/>
    <x v="20"/>
    <n v="304.970826719196"/>
    <n v="111314.351752506"/>
    <n v="400731.66630902298"/>
  </r>
  <r>
    <x v="0"/>
    <x v="0"/>
    <x v="0"/>
    <x v="2"/>
    <x v="3"/>
    <s v="FIN_TAMP"/>
    <x v="4"/>
    <s v="GEXT_NATGAS_TAMPERE"/>
    <x v="0"/>
    <x v="21"/>
    <n v="299.50436489545802"/>
    <n v="109319.093186842"/>
    <n v="393548.73547263199"/>
  </r>
  <r>
    <x v="0"/>
    <x v="0"/>
    <x v="0"/>
    <x v="2"/>
    <x v="3"/>
    <s v="FIN_TAMP"/>
    <x v="4"/>
    <s v="GEXT_NATGAS_TAMPERE"/>
    <x v="0"/>
    <x v="22"/>
    <n v="281.83458744838401"/>
    <n v="102869.62441865999"/>
    <n v="370330.647907176"/>
  </r>
  <r>
    <x v="0"/>
    <x v="0"/>
    <x v="0"/>
    <x v="2"/>
    <x v="3"/>
    <s v="FIN_TAMP"/>
    <x v="4"/>
    <s v="GEXT_NATGAS_TAMPERE"/>
    <x v="0"/>
    <x v="23"/>
    <n v="265.30592249655098"/>
    <n v="96836.661711241206"/>
    <n v="348611.982160468"/>
  </r>
  <r>
    <x v="0"/>
    <x v="0"/>
    <x v="0"/>
    <x v="2"/>
    <x v="3"/>
    <s v="FIN_TAMP"/>
    <x v="13"/>
    <s v="GHOB_NATGAS_EXETS"/>
    <x v="0"/>
    <x v="0"/>
    <n v="22"/>
    <n v="8030"/>
    <n v="28908"/>
  </r>
  <r>
    <x v="0"/>
    <x v="0"/>
    <x v="0"/>
    <x v="2"/>
    <x v="3"/>
    <s v="FIN_TAMP"/>
    <x v="13"/>
    <s v="GHOB_NATGAS_EXETS"/>
    <x v="0"/>
    <x v="1"/>
    <n v="22"/>
    <n v="8030"/>
    <n v="28908"/>
  </r>
  <r>
    <x v="0"/>
    <x v="0"/>
    <x v="0"/>
    <x v="2"/>
    <x v="3"/>
    <s v="FIN_TAMP"/>
    <x v="13"/>
    <s v="GHOB_NATGAS_EXETS"/>
    <x v="0"/>
    <x v="2"/>
    <n v="22"/>
    <n v="8030"/>
    <n v="28908"/>
  </r>
  <r>
    <x v="0"/>
    <x v="0"/>
    <x v="0"/>
    <x v="2"/>
    <x v="3"/>
    <s v="FIN_TAMP"/>
    <x v="13"/>
    <s v="GHOB_NATGAS_EXETS"/>
    <x v="0"/>
    <x v="3"/>
    <n v="22"/>
    <n v="8030"/>
    <n v="28908"/>
  </r>
  <r>
    <x v="0"/>
    <x v="0"/>
    <x v="0"/>
    <x v="2"/>
    <x v="3"/>
    <s v="FIN_TAMP"/>
    <x v="13"/>
    <s v="GHOB_NATGAS_EXETS"/>
    <x v="0"/>
    <x v="4"/>
    <n v="22"/>
    <n v="8030"/>
    <n v="28908"/>
  </r>
  <r>
    <x v="0"/>
    <x v="0"/>
    <x v="0"/>
    <x v="2"/>
    <x v="3"/>
    <s v="FIN_TAMP"/>
    <x v="13"/>
    <s v="GHOB_NATGAS_EXETS"/>
    <x v="0"/>
    <x v="5"/>
    <n v="22"/>
    <n v="8030"/>
    <n v="28908"/>
  </r>
  <r>
    <x v="0"/>
    <x v="0"/>
    <x v="0"/>
    <x v="2"/>
    <x v="3"/>
    <s v="FIN_TAMP"/>
    <x v="13"/>
    <s v="GHOB_NATGAS_EXETS"/>
    <x v="0"/>
    <x v="6"/>
    <n v="22"/>
    <n v="8030"/>
    <n v="28908"/>
  </r>
  <r>
    <x v="0"/>
    <x v="0"/>
    <x v="0"/>
    <x v="2"/>
    <x v="3"/>
    <s v="FIN_TAMP"/>
    <x v="13"/>
    <s v="GHOB_NATGAS_EXETS"/>
    <x v="0"/>
    <x v="7"/>
    <n v="22"/>
    <n v="8030"/>
    <n v="28908"/>
  </r>
  <r>
    <x v="0"/>
    <x v="0"/>
    <x v="0"/>
    <x v="2"/>
    <x v="3"/>
    <s v="FIN_TAMP"/>
    <x v="13"/>
    <s v="GHOB_NATGAS_EXETS"/>
    <x v="0"/>
    <x v="8"/>
    <n v="22"/>
    <n v="8030"/>
    <n v="28908"/>
  </r>
  <r>
    <x v="0"/>
    <x v="0"/>
    <x v="0"/>
    <x v="2"/>
    <x v="3"/>
    <s v="FIN_TAMP"/>
    <x v="13"/>
    <s v="GHOB_NATGAS_EXETS"/>
    <x v="0"/>
    <x v="9"/>
    <n v="22"/>
    <n v="8030"/>
    <n v="28908"/>
  </r>
  <r>
    <x v="0"/>
    <x v="0"/>
    <x v="0"/>
    <x v="2"/>
    <x v="3"/>
    <s v="FIN_TAMP"/>
    <x v="13"/>
    <s v="GHOB_NATGAS_EXETS"/>
    <x v="0"/>
    <x v="10"/>
    <n v="22"/>
    <n v="8030"/>
    <n v="28908"/>
  </r>
  <r>
    <x v="0"/>
    <x v="0"/>
    <x v="0"/>
    <x v="2"/>
    <x v="3"/>
    <s v="FIN_TAMP"/>
    <x v="13"/>
    <s v="GHOB_NATGAS_EXETS"/>
    <x v="0"/>
    <x v="11"/>
    <n v="22"/>
    <n v="8030"/>
    <n v="28908"/>
  </r>
  <r>
    <x v="0"/>
    <x v="0"/>
    <x v="0"/>
    <x v="2"/>
    <x v="3"/>
    <s v="FIN_TAMP"/>
    <x v="13"/>
    <s v="GHOB_NATGAS_EXETS"/>
    <x v="0"/>
    <x v="12"/>
    <n v="22"/>
    <n v="8030"/>
    <n v="28908"/>
  </r>
  <r>
    <x v="0"/>
    <x v="0"/>
    <x v="0"/>
    <x v="2"/>
    <x v="3"/>
    <s v="FIN_TAMP"/>
    <x v="13"/>
    <s v="GHOB_NATGAS_EXETS"/>
    <x v="0"/>
    <x v="13"/>
    <n v="22"/>
    <n v="8030"/>
    <n v="28908"/>
  </r>
  <r>
    <x v="0"/>
    <x v="0"/>
    <x v="0"/>
    <x v="2"/>
    <x v="3"/>
    <s v="FIN_TAMP"/>
    <x v="13"/>
    <s v="GHOB_NATGAS_EXETS"/>
    <x v="0"/>
    <x v="14"/>
    <n v="22"/>
    <n v="8030"/>
    <n v="28908"/>
  </r>
  <r>
    <x v="0"/>
    <x v="0"/>
    <x v="0"/>
    <x v="2"/>
    <x v="3"/>
    <s v="FIN_TAMP"/>
    <x v="13"/>
    <s v="GHOB_NATGAS_EXETS"/>
    <x v="0"/>
    <x v="15"/>
    <n v="22"/>
    <n v="8030"/>
    <n v="28908"/>
  </r>
  <r>
    <x v="0"/>
    <x v="0"/>
    <x v="0"/>
    <x v="2"/>
    <x v="3"/>
    <s v="FIN_TAMP"/>
    <x v="13"/>
    <s v="GHOB_NATGAS_EXETS"/>
    <x v="0"/>
    <x v="16"/>
    <n v="22"/>
    <n v="8030"/>
    <n v="28908"/>
  </r>
  <r>
    <x v="0"/>
    <x v="0"/>
    <x v="0"/>
    <x v="2"/>
    <x v="3"/>
    <s v="FIN_TAMP"/>
    <x v="13"/>
    <s v="GHOB_NATGAS_EXETS"/>
    <x v="0"/>
    <x v="17"/>
    <n v="22"/>
    <n v="8030"/>
    <n v="28908"/>
  </r>
  <r>
    <x v="0"/>
    <x v="0"/>
    <x v="0"/>
    <x v="2"/>
    <x v="3"/>
    <s v="FIN_TAMP"/>
    <x v="13"/>
    <s v="GHOB_NATGAS_EXETS"/>
    <x v="0"/>
    <x v="18"/>
    <n v="22"/>
    <n v="8030"/>
    <n v="28908"/>
  </r>
  <r>
    <x v="0"/>
    <x v="0"/>
    <x v="0"/>
    <x v="2"/>
    <x v="3"/>
    <s v="FIN_TAMP"/>
    <x v="13"/>
    <s v="GHOB_NATGAS_EXETS"/>
    <x v="0"/>
    <x v="19"/>
    <n v="22"/>
    <n v="8030"/>
    <n v="28908"/>
  </r>
  <r>
    <x v="0"/>
    <x v="0"/>
    <x v="0"/>
    <x v="2"/>
    <x v="3"/>
    <s v="FIN_TAMP"/>
    <x v="13"/>
    <s v="GHOB_NATGAS_EXETS"/>
    <x v="0"/>
    <x v="20"/>
    <n v="22"/>
    <n v="8030"/>
    <n v="28908"/>
  </r>
  <r>
    <x v="0"/>
    <x v="0"/>
    <x v="0"/>
    <x v="2"/>
    <x v="3"/>
    <s v="FIN_TAMP"/>
    <x v="13"/>
    <s v="GHOB_NATGAS_EXETS"/>
    <x v="0"/>
    <x v="21"/>
    <n v="22"/>
    <n v="8030"/>
    <n v="28908"/>
  </r>
  <r>
    <x v="0"/>
    <x v="0"/>
    <x v="0"/>
    <x v="2"/>
    <x v="3"/>
    <s v="FIN_TAMP"/>
    <x v="13"/>
    <s v="GHOB_NATGAS_EXETS"/>
    <x v="0"/>
    <x v="22"/>
    <n v="22"/>
    <n v="8030"/>
    <n v="28908"/>
  </r>
  <r>
    <x v="0"/>
    <x v="0"/>
    <x v="0"/>
    <x v="2"/>
    <x v="3"/>
    <s v="FIN_TAMP"/>
    <x v="13"/>
    <s v="GHOB_NATGAS_EXETS"/>
    <x v="0"/>
    <x v="23"/>
    <n v="22"/>
    <n v="8030"/>
    <n v="28908"/>
  </r>
  <r>
    <x v="0"/>
    <x v="0"/>
    <x v="0"/>
    <x v="2"/>
    <x v="3"/>
    <s v="FinA"/>
    <x v="10"/>
    <s v="GBPR_IND_BIO"/>
    <x v="0"/>
    <x v="0"/>
    <n v="681.81818181818198"/>
    <n v="248863.636363636"/>
    <n v="895909.09090909106"/>
  </r>
  <r>
    <x v="0"/>
    <x v="0"/>
    <x v="0"/>
    <x v="2"/>
    <x v="3"/>
    <s v="FinA"/>
    <x v="10"/>
    <s v="GBPR_IND_BIO"/>
    <x v="0"/>
    <x v="1"/>
    <n v="681.81818181818198"/>
    <n v="248863.636363636"/>
    <n v="895909.09090909106"/>
  </r>
  <r>
    <x v="0"/>
    <x v="0"/>
    <x v="0"/>
    <x v="2"/>
    <x v="3"/>
    <s v="FinA"/>
    <x v="10"/>
    <s v="GBPR_IND_BIO"/>
    <x v="0"/>
    <x v="2"/>
    <n v="681.81818181818198"/>
    <n v="248863.636363636"/>
    <n v="895909.09090909106"/>
  </r>
  <r>
    <x v="0"/>
    <x v="0"/>
    <x v="0"/>
    <x v="2"/>
    <x v="3"/>
    <s v="FinA"/>
    <x v="10"/>
    <s v="GBPR_IND_BIO"/>
    <x v="0"/>
    <x v="3"/>
    <n v="681.81818181818198"/>
    <n v="248863.636363636"/>
    <n v="895909.09090909106"/>
  </r>
  <r>
    <x v="0"/>
    <x v="0"/>
    <x v="0"/>
    <x v="2"/>
    <x v="3"/>
    <s v="FinA"/>
    <x v="10"/>
    <s v="GBPR_IND_BIO"/>
    <x v="0"/>
    <x v="4"/>
    <n v="681.81818181818198"/>
    <n v="248863.636363636"/>
    <n v="895909.09090909106"/>
  </r>
  <r>
    <x v="0"/>
    <x v="0"/>
    <x v="0"/>
    <x v="2"/>
    <x v="3"/>
    <s v="FinA"/>
    <x v="10"/>
    <s v="GBPR_IND_BIO"/>
    <x v="0"/>
    <x v="5"/>
    <n v="681.81818181818198"/>
    <n v="248863.636363636"/>
    <n v="895909.09090909106"/>
  </r>
  <r>
    <x v="0"/>
    <x v="0"/>
    <x v="0"/>
    <x v="2"/>
    <x v="3"/>
    <s v="FinA"/>
    <x v="10"/>
    <s v="GBPR_IND_BIO"/>
    <x v="0"/>
    <x v="6"/>
    <n v="681.81818181818198"/>
    <n v="248863.636363636"/>
    <n v="895909.09090909106"/>
  </r>
  <r>
    <x v="0"/>
    <x v="0"/>
    <x v="0"/>
    <x v="2"/>
    <x v="3"/>
    <s v="FinA"/>
    <x v="10"/>
    <s v="GBPR_IND_BIO"/>
    <x v="0"/>
    <x v="7"/>
    <n v="681.81818181818198"/>
    <n v="248863.636363636"/>
    <n v="895909.09090909106"/>
  </r>
  <r>
    <x v="0"/>
    <x v="0"/>
    <x v="0"/>
    <x v="2"/>
    <x v="3"/>
    <s v="FinA"/>
    <x v="10"/>
    <s v="GBPR_IND_BIO"/>
    <x v="0"/>
    <x v="8"/>
    <n v="681.81818181818198"/>
    <n v="248863.636363636"/>
    <n v="895909.09090909106"/>
  </r>
  <r>
    <x v="0"/>
    <x v="0"/>
    <x v="0"/>
    <x v="2"/>
    <x v="3"/>
    <s v="FinA"/>
    <x v="10"/>
    <s v="GBPR_IND_BIO"/>
    <x v="0"/>
    <x v="9"/>
    <n v="681.81818181818198"/>
    <n v="248863.636363636"/>
    <n v="895909.09090909106"/>
  </r>
  <r>
    <x v="0"/>
    <x v="0"/>
    <x v="0"/>
    <x v="2"/>
    <x v="3"/>
    <s v="FinA"/>
    <x v="10"/>
    <s v="GBPR_IND_BIO"/>
    <x v="0"/>
    <x v="10"/>
    <n v="681.81818181818198"/>
    <n v="248863.636363636"/>
    <n v="895909.09090909106"/>
  </r>
  <r>
    <x v="0"/>
    <x v="0"/>
    <x v="0"/>
    <x v="2"/>
    <x v="3"/>
    <s v="FinA"/>
    <x v="10"/>
    <s v="GBPR_IND_BIO"/>
    <x v="0"/>
    <x v="11"/>
    <n v="681.81818181818198"/>
    <n v="248863.636363636"/>
    <n v="895909.09090909106"/>
  </r>
  <r>
    <x v="0"/>
    <x v="0"/>
    <x v="0"/>
    <x v="2"/>
    <x v="3"/>
    <s v="FinA"/>
    <x v="10"/>
    <s v="GBPR_IND_BIO"/>
    <x v="0"/>
    <x v="12"/>
    <n v="681.81818181818198"/>
    <n v="248863.636363636"/>
    <n v="895909.09090909106"/>
  </r>
  <r>
    <x v="0"/>
    <x v="0"/>
    <x v="0"/>
    <x v="2"/>
    <x v="3"/>
    <s v="FinA"/>
    <x v="10"/>
    <s v="GBPR_IND_BIO"/>
    <x v="0"/>
    <x v="13"/>
    <n v="681.81818181818198"/>
    <n v="248863.636363636"/>
    <n v="895909.09090909106"/>
  </r>
  <r>
    <x v="0"/>
    <x v="0"/>
    <x v="0"/>
    <x v="2"/>
    <x v="3"/>
    <s v="FinA"/>
    <x v="10"/>
    <s v="GBPR_IND_BIO"/>
    <x v="0"/>
    <x v="14"/>
    <n v="681.81818181818198"/>
    <n v="248863.636363636"/>
    <n v="895909.09090909106"/>
  </r>
  <r>
    <x v="0"/>
    <x v="0"/>
    <x v="0"/>
    <x v="2"/>
    <x v="3"/>
    <s v="FinA"/>
    <x v="10"/>
    <s v="GBPR_IND_BIO"/>
    <x v="0"/>
    <x v="15"/>
    <n v="681.81818181818198"/>
    <n v="248863.636363636"/>
    <n v="895909.09090909106"/>
  </r>
  <r>
    <x v="0"/>
    <x v="0"/>
    <x v="0"/>
    <x v="2"/>
    <x v="3"/>
    <s v="FinA"/>
    <x v="10"/>
    <s v="GBPR_IND_BIO"/>
    <x v="0"/>
    <x v="16"/>
    <n v="681.81818181818198"/>
    <n v="248863.636363636"/>
    <n v="895909.09090909106"/>
  </r>
  <r>
    <x v="0"/>
    <x v="0"/>
    <x v="0"/>
    <x v="2"/>
    <x v="3"/>
    <s v="FinA"/>
    <x v="10"/>
    <s v="GBPR_IND_BIO"/>
    <x v="0"/>
    <x v="17"/>
    <n v="681.81818181818198"/>
    <n v="248863.636363636"/>
    <n v="895909.09090909106"/>
  </r>
  <r>
    <x v="0"/>
    <x v="0"/>
    <x v="0"/>
    <x v="2"/>
    <x v="3"/>
    <s v="FinA"/>
    <x v="10"/>
    <s v="GBPR_IND_BIO"/>
    <x v="0"/>
    <x v="18"/>
    <n v="681.81818181818198"/>
    <n v="248863.636363636"/>
    <n v="895909.09090909106"/>
  </r>
  <r>
    <x v="0"/>
    <x v="0"/>
    <x v="0"/>
    <x v="2"/>
    <x v="3"/>
    <s v="FinA"/>
    <x v="10"/>
    <s v="GBPR_IND_BIO"/>
    <x v="0"/>
    <x v="19"/>
    <n v="681.81818181818198"/>
    <n v="248863.636363636"/>
    <n v="895909.09090909106"/>
  </r>
  <r>
    <x v="0"/>
    <x v="0"/>
    <x v="0"/>
    <x v="2"/>
    <x v="3"/>
    <s v="FinA"/>
    <x v="10"/>
    <s v="GBPR_IND_BIO"/>
    <x v="0"/>
    <x v="20"/>
    <n v="681.81818181818198"/>
    <n v="248863.636363636"/>
    <n v="895909.09090909106"/>
  </r>
  <r>
    <x v="0"/>
    <x v="0"/>
    <x v="0"/>
    <x v="2"/>
    <x v="3"/>
    <s v="FinA"/>
    <x v="10"/>
    <s v="GBPR_IND_BIO"/>
    <x v="0"/>
    <x v="21"/>
    <n v="681.81818181818198"/>
    <n v="248863.636363636"/>
    <n v="895909.09090909106"/>
  </r>
  <r>
    <x v="0"/>
    <x v="0"/>
    <x v="0"/>
    <x v="2"/>
    <x v="3"/>
    <s v="FinA"/>
    <x v="10"/>
    <s v="GBPR_IND_BIO"/>
    <x v="0"/>
    <x v="22"/>
    <n v="681.81818181818198"/>
    <n v="248863.636363636"/>
    <n v="895909.09090909106"/>
  </r>
  <r>
    <x v="0"/>
    <x v="0"/>
    <x v="0"/>
    <x v="2"/>
    <x v="3"/>
    <s v="FinA"/>
    <x v="10"/>
    <s v="GBPR_IND_BIO"/>
    <x v="0"/>
    <x v="23"/>
    <n v="681.81818181818198"/>
    <n v="248863.636363636"/>
    <n v="895909.09090909106"/>
  </r>
  <r>
    <x v="0"/>
    <x v="0"/>
    <x v="0"/>
    <x v="2"/>
    <x v="3"/>
    <s v="FinA"/>
    <x v="10"/>
    <s v="GBPR_WOOD_IND"/>
    <x v="0"/>
    <x v="0"/>
    <n v="2495.9459459459499"/>
    <n v="911020.27027026995"/>
    <n v="3279672.97297297"/>
  </r>
  <r>
    <x v="0"/>
    <x v="0"/>
    <x v="0"/>
    <x v="2"/>
    <x v="3"/>
    <s v="FinA"/>
    <x v="10"/>
    <s v="GBPR_WOOD_IND"/>
    <x v="0"/>
    <x v="1"/>
    <n v="2495.9459459459499"/>
    <n v="911020.27027026995"/>
    <n v="3279672.97297297"/>
  </r>
  <r>
    <x v="0"/>
    <x v="0"/>
    <x v="0"/>
    <x v="2"/>
    <x v="3"/>
    <s v="FinA"/>
    <x v="10"/>
    <s v="GBPR_WOOD_IND"/>
    <x v="0"/>
    <x v="2"/>
    <n v="2495.9459459459499"/>
    <n v="911020.27027026995"/>
    <n v="3279672.97297297"/>
  </r>
  <r>
    <x v="0"/>
    <x v="0"/>
    <x v="0"/>
    <x v="2"/>
    <x v="3"/>
    <s v="FinA"/>
    <x v="10"/>
    <s v="GBPR_WOOD_IND"/>
    <x v="0"/>
    <x v="3"/>
    <n v="2495.9459459459499"/>
    <n v="911020.27027026995"/>
    <n v="3279672.97297297"/>
  </r>
  <r>
    <x v="0"/>
    <x v="0"/>
    <x v="0"/>
    <x v="2"/>
    <x v="3"/>
    <s v="FinA"/>
    <x v="10"/>
    <s v="GBPR_WOOD_IND"/>
    <x v="0"/>
    <x v="4"/>
    <n v="2495.9459459459499"/>
    <n v="911020.27027026995"/>
    <n v="3279672.97297297"/>
  </r>
  <r>
    <x v="0"/>
    <x v="0"/>
    <x v="0"/>
    <x v="2"/>
    <x v="3"/>
    <s v="FinA"/>
    <x v="10"/>
    <s v="GBPR_WOOD_IND"/>
    <x v="0"/>
    <x v="5"/>
    <n v="2495.9459459459499"/>
    <n v="911020.27027026995"/>
    <n v="3279672.97297297"/>
  </r>
  <r>
    <x v="0"/>
    <x v="0"/>
    <x v="0"/>
    <x v="2"/>
    <x v="3"/>
    <s v="FinA"/>
    <x v="10"/>
    <s v="GBPR_WOOD_IND"/>
    <x v="0"/>
    <x v="6"/>
    <n v="2495.9459459459499"/>
    <n v="911020.27027026995"/>
    <n v="3279672.97297297"/>
  </r>
  <r>
    <x v="0"/>
    <x v="0"/>
    <x v="0"/>
    <x v="2"/>
    <x v="3"/>
    <s v="FinA"/>
    <x v="10"/>
    <s v="GBPR_WOOD_IND"/>
    <x v="0"/>
    <x v="7"/>
    <n v="2495.9459459459499"/>
    <n v="911020.27027026995"/>
    <n v="3279672.97297297"/>
  </r>
  <r>
    <x v="0"/>
    <x v="0"/>
    <x v="0"/>
    <x v="2"/>
    <x v="3"/>
    <s v="FinA"/>
    <x v="10"/>
    <s v="GBPR_WOOD_IND"/>
    <x v="0"/>
    <x v="8"/>
    <n v="2495.9459459459499"/>
    <n v="911020.27027026995"/>
    <n v="3279672.97297297"/>
  </r>
  <r>
    <x v="0"/>
    <x v="0"/>
    <x v="0"/>
    <x v="2"/>
    <x v="3"/>
    <s v="FinA"/>
    <x v="10"/>
    <s v="GBPR_WOOD_IND"/>
    <x v="0"/>
    <x v="9"/>
    <n v="2495.9459459459499"/>
    <n v="911020.27027026995"/>
    <n v="3279672.97297297"/>
  </r>
  <r>
    <x v="0"/>
    <x v="0"/>
    <x v="0"/>
    <x v="2"/>
    <x v="3"/>
    <s v="FinA"/>
    <x v="10"/>
    <s v="GBPR_WOOD_IND"/>
    <x v="0"/>
    <x v="10"/>
    <n v="2495.9459459459499"/>
    <n v="911020.27027026995"/>
    <n v="3279672.97297297"/>
  </r>
  <r>
    <x v="0"/>
    <x v="0"/>
    <x v="0"/>
    <x v="2"/>
    <x v="3"/>
    <s v="FinA"/>
    <x v="10"/>
    <s v="GBPR_WOOD_IND"/>
    <x v="0"/>
    <x v="11"/>
    <n v="2495.9459459459499"/>
    <n v="911020.27027026995"/>
    <n v="3279672.97297297"/>
  </r>
  <r>
    <x v="0"/>
    <x v="0"/>
    <x v="0"/>
    <x v="2"/>
    <x v="3"/>
    <s v="FinA"/>
    <x v="10"/>
    <s v="GBPR_WOOD_IND"/>
    <x v="0"/>
    <x v="12"/>
    <n v="2495.9459459459499"/>
    <n v="911020.27027026995"/>
    <n v="3279672.97297297"/>
  </r>
  <r>
    <x v="0"/>
    <x v="0"/>
    <x v="0"/>
    <x v="2"/>
    <x v="3"/>
    <s v="FinA"/>
    <x v="10"/>
    <s v="GBPR_WOOD_IND"/>
    <x v="0"/>
    <x v="13"/>
    <n v="2495.9459459459499"/>
    <n v="911020.27027026995"/>
    <n v="3279672.97297297"/>
  </r>
  <r>
    <x v="0"/>
    <x v="0"/>
    <x v="0"/>
    <x v="2"/>
    <x v="3"/>
    <s v="FinA"/>
    <x v="10"/>
    <s v="GBPR_WOOD_IND"/>
    <x v="0"/>
    <x v="14"/>
    <n v="2495.9459459459499"/>
    <n v="911020.27027026995"/>
    <n v="3279672.97297297"/>
  </r>
  <r>
    <x v="0"/>
    <x v="0"/>
    <x v="0"/>
    <x v="2"/>
    <x v="3"/>
    <s v="FinA"/>
    <x v="10"/>
    <s v="GBPR_WOOD_IND"/>
    <x v="0"/>
    <x v="15"/>
    <n v="2495.9459459459499"/>
    <n v="911020.27027026995"/>
    <n v="3279672.97297297"/>
  </r>
  <r>
    <x v="0"/>
    <x v="0"/>
    <x v="0"/>
    <x v="2"/>
    <x v="3"/>
    <s v="FinA"/>
    <x v="10"/>
    <s v="GBPR_WOOD_IND"/>
    <x v="0"/>
    <x v="16"/>
    <n v="2495.9459459459499"/>
    <n v="911020.27027026995"/>
    <n v="3279672.97297297"/>
  </r>
  <r>
    <x v="0"/>
    <x v="0"/>
    <x v="0"/>
    <x v="2"/>
    <x v="3"/>
    <s v="FinA"/>
    <x v="10"/>
    <s v="GBPR_WOOD_IND"/>
    <x v="0"/>
    <x v="17"/>
    <n v="2495.9459459459499"/>
    <n v="911020.27027026995"/>
    <n v="3279672.97297297"/>
  </r>
  <r>
    <x v="0"/>
    <x v="0"/>
    <x v="0"/>
    <x v="2"/>
    <x v="3"/>
    <s v="FinA"/>
    <x v="10"/>
    <s v="GBPR_WOOD_IND"/>
    <x v="0"/>
    <x v="18"/>
    <n v="2495.9459459459499"/>
    <n v="911020.27027026995"/>
    <n v="3279672.97297297"/>
  </r>
  <r>
    <x v="0"/>
    <x v="0"/>
    <x v="0"/>
    <x v="2"/>
    <x v="3"/>
    <s v="FinA"/>
    <x v="10"/>
    <s v="GBPR_WOOD_IND"/>
    <x v="0"/>
    <x v="19"/>
    <n v="2495.9459459459499"/>
    <n v="911020.27027026995"/>
    <n v="3279672.97297297"/>
  </r>
  <r>
    <x v="0"/>
    <x v="0"/>
    <x v="0"/>
    <x v="2"/>
    <x v="3"/>
    <s v="FinA"/>
    <x v="10"/>
    <s v="GBPR_WOOD_IND"/>
    <x v="0"/>
    <x v="20"/>
    <n v="2495.9459459459499"/>
    <n v="911020.27027026995"/>
    <n v="3279672.97297297"/>
  </r>
  <r>
    <x v="0"/>
    <x v="0"/>
    <x v="0"/>
    <x v="2"/>
    <x v="3"/>
    <s v="FinA"/>
    <x v="10"/>
    <s v="GBPR_WOOD_IND"/>
    <x v="0"/>
    <x v="21"/>
    <n v="2495.9459459459499"/>
    <n v="911020.27027026995"/>
    <n v="3279672.97297297"/>
  </r>
  <r>
    <x v="0"/>
    <x v="0"/>
    <x v="0"/>
    <x v="2"/>
    <x v="3"/>
    <s v="FinA"/>
    <x v="10"/>
    <s v="GBPR_WOOD_IND"/>
    <x v="0"/>
    <x v="22"/>
    <n v="2495.9459459459499"/>
    <n v="911020.27027026995"/>
    <n v="3279672.97297297"/>
  </r>
  <r>
    <x v="0"/>
    <x v="0"/>
    <x v="0"/>
    <x v="2"/>
    <x v="3"/>
    <s v="FinA"/>
    <x v="10"/>
    <s v="GBPR_WOOD_IND"/>
    <x v="0"/>
    <x v="23"/>
    <n v="2495.9459459459499"/>
    <n v="911020.27027026995"/>
    <n v="3279672.97297297"/>
  </r>
  <r>
    <x v="0"/>
    <x v="0"/>
    <x v="0"/>
    <x v="3"/>
    <x v="4"/>
    <s v="DE4-E_A"/>
    <x v="0"/>
    <s v="GNR_ENG_BGAS_BP_E-45"/>
    <x v="0"/>
    <x v="0"/>
    <n v="3.1341463414634099"/>
    <n v="1143.96341463415"/>
    <n v="4118.2682926829302"/>
  </r>
  <r>
    <x v="0"/>
    <x v="0"/>
    <x v="0"/>
    <x v="3"/>
    <x v="4"/>
    <s v="DE4-E_A"/>
    <x v="0"/>
    <s v="GNR_ENG_BGAS_BP_E-45"/>
    <x v="0"/>
    <x v="1"/>
    <n v="3.1341463414634099"/>
    <n v="1143.96341463415"/>
    <n v="4118.2682926829302"/>
  </r>
  <r>
    <x v="0"/>
    <x v="0"/>
    <x v="0"/>
    <x v="3"/>
    <x v="4"/>
    <s v="DE4-E_A"/>
    <x v="0"/>
    <s v="GNR_ENG_BGAS_BP_E-45"/>
    <x v="0"/>
    <x v="2"/>
    <n v="3.1341463414634099"/>
    <n v="1143.96341463415"/>
    <n v="4118.2682926829302"/>
  </r>
  <r>
    <x v="0"/>
    <x v="0"/>
    <x v="0"/>
    <x v="3"/>
    <x v="4"/>
    <s v="DE4-E_A"/>
    <x v="0"/>
    <s v="GNR_ENG_BGAS_BP_E-45"/>
    <x v="0"/>
    <x v="3"/>
    <n v="3.1341463414634099"/>
    <n v="1143.96341463415"/>
    <n v="4118.2682926829302"/>
  </r>
  <r>
    <x v="0"/>
    <x v="0"/>
    <x v="0"/>
    <x v="3"/>
    <x v="4"/>
    <s v="DE4-E_A"/>
    <x v="0"/>
    <s v="GNR_ENG_BGAS_BP_E-45"/>
    <x v="0"/>
    <x v="4"/>
    <n v="3.1341463414634099"/>
    <n v="1143.96341463415"/>
    <n v="4118.2682926829302"/>
  </r>
  <r>
    <x v="0"/>
    <x v="0"/>
    <x v="0"/>
    <x v="3"/>
    <x v="4"/>
    <s v="DE4-E_A"/>
    <x v="0"/>
    <s v="GNR_ENG_BGAS_BP_E-45"/>
    <x v="0"/>
    <x v="5"/>
    <n v="3.1341463414634099"/>
    <n v="1143.96341463415"/>
    <n v="4118.2682926829302"/>
  </r>
  <r>
    <x v="0"/>
    <x v="0"/>
    <x v="0"/>
    <x v="3"/>
    <x v="4"/>
    <s v="DE4-E_A"/>
    <x v="0"/>
    <s v="GNR_ENG_BGAS_BP_E-45"/>
    <x v="0"/>
    <x v="6"/>
    <n v="3.1341463414634099"/>
    <n v="1143.96341463415"/>
    <n v="4118.2682926829302"/>
  </r>
  <r>
    <x v="0"/>
    <x v="0"/>
    <x v="0"/>
    <x v="3"/>
    <x v="4"/>
    <s v="DE4-E_A"/>
    <x v="0"/>
    <s v="GNR_ENG_BGAS_BP_E-45"/>
    <x v="0"/>
    <x v="7"/>
    <n v="3.1341463414634099"/>
    <n v="1143.96341463415"/>
    <n v="4118.2682926829302"/>
  </r>
  <r>
    <x v="0"/>
    <x v="0"/>
    <x v="0"/>
    <x v="3"/>
    <x v="4"/>
    <s v="DE4-E_A"/>
    <x v="0"/>
    <s v="GNR_ENG_BGAS_BP_E-45"/>
    <x v="0"/>
    <x v="8"/>
    <n v="3.1341463414634099"/>
    <n v="1143.96341463415"/>
    <n v="4118.2682926829302"/>
  </r>
  <r>
    <x v="0"/>
    <x v="0"/>
    <x v="0"/>
    <x v="3"/>
    <x v="4"/>
    <s v="DE4-E_A"/>
    <x v="0"/>
    <s v="GNR_ENG_BGAS_BP_E-45"/>
    <x v="0"/>
    <x v="9"/>
    <n v="3.1341463414634099"/>
    <n v="1143.96341463415"/>
    <n v="4118.2682926829302"/>
  </r>
  <r>
    <x v="0"/>
    <x v="0"/>
    <x v="0"/>
    <x v="3"/>
    <x v="4"/>
    <s v="DE4-E_A"/>
    <x v="0"/>
    <s v="GNR_ENG_BGAS_BP_E-45"/>
    <x v="0"/>
    <x v="10"/>
    <n v="3.1341463414634099"/>
    <n v="1143.96341463415"/>
    <n v="4118.2682926829302"/>
  </r>
  <r>
    <x v="0"/>
    <x v="0"/>
    <x v="0"/>
    <x v="3"/>
    <x v="4"/>
    <s v="DE4-E_A"/>
    <x v="0"/>
    <s v="GNR_ENG_BGAS_BP_E-45"/>
    <x v="0"/>
    <x v="11"/>
    <n v="3.1341463414634099"/>
    <n v="1143.96341463415"/>
    <n v="4118.2682926829302"/>
  </r>
  <r>
    <x v="0"/>
    <x v="0"/>
    <x v="0"/>
    <x v="3"/>
    <x v="4"/>
    <s v="DE4-E_A"/>
    <x v="0"/>
    <s v="GNR_ENG_BGAS_BP_E-45"/>
    <x v="0"/>
    <x v="12"/>
    <n v="3.1341463414634099"/>
    <n v="1143.96341463415"/>
    <n v="4118.2682926829302"/>
  </r>
  <r>
    <x v="0"/>
    <x v="0"/>
    <x v="0"/>
    <x v="3"/>
    <x v="4"/>
    <s v="DE4-E_A"/>
    <x v="0"/>
    <s v="GNR_ENG_BGAS_BP_E-45"/>
    <x v="0"/>
    <x v="13"/>
    <n v="3.1341463414634099"/>
    <n v="1143.96341463415"/>
    <n v="4118.2682926829302"/>
  </r>
  <r>
    <x v="0"/>
    <x v="0"/>
    <x v="0"/>
    <x v="3"/>
    <x v="4"/>
    <s v="DE4-E_A"/>
    <x v="0"/>
    <s v="GNR_ENG_BGAS_BP_E-45"/>
    <x v="0"/>
    <x v="14"/>
    <n v="3.1341463414634099"/>
    <n v="1143.96341463415"/>
    <n v="4118.2682926829302"/>
  </r>
  <r>
    <x v="0"/>
    <x v="0"/>
    <x v="0"/>
    <x v="3"/>
    <x v="4"/>
    <s v="DE4-E_A"/>
    <x v="0"/>
    <s v="GNR_ENG_BGAS_BP_E-45"/>
    <x v="0"/>
    <x v="15"/>
    <n v="3.1341463414634099"/>
    <n v="1143.96341463415"/>
    <n v="4118.2682926829302"/>
  </r>
  <r>
    <x v="0"/>
    <x v="0"/>
    <x v="0"/>
    <x v="3"/>
    <x v="4"/>
    <s v="DE4-E_A"/>
    <x v="0"/>
    <s v="GNR_ENG_BGAS_BP_E-45"/>
    <x v="0"/>
    <x v="16"/>
    <n v="3.1341463414634099"/>
    <n v="1143.96341463415"/>
    <n v="4118.2682926829302"/>
  </r>
  <r>
    <x v="0"/>
    <x v="0"/>
    <x v="0"/>
    <x v="3"/>
    <x v="4"/>
    <s v="DE4-E_A"/>
    <x v="0"/>
    <s v="GNR_ENG_BGAS_BP_E-45"/>
    <x v="0"/>
    <x v="17"/>
    <n v="3.1341463414634099"/>
    <n v="1143.96341463415"/>
    <n v="4118.2682926829302"/>
  </r>
  <r>
    <x v="0"/>
    <x v="0"/>
    <x v="0"/>
    <x v="3"/>
    <x v="4"/>
    <s v="DE4-E_A"/>
    <x v="0"/>
    <s v="GNR_ENG_BGAS_BP_E-45"/>
    <x v="0"/>
    <x v="18"/>
    <n v="3.1341463414634099"/>
    <n v="1143.96341463415"/>
    <n v="4118.2682926829302"/>
  </r>
  <r>
    <x v="0"/>
    <x v="0"/>
    <x v="0"/>
    <x v="3"/>
    <x v="4"/>
    <s v="DE4-E_A"/>
    <x v="0"/>
    <s v="GNR_ENG_BGAS_BP_E-45"/>
    <x v="0"/>
    <x v="19"/>
    <n v="3.1341463414634099"/>
    <n v="1143.96341463415"/>
    <n v="4118.2682926829302"/>
  </r>
  <r>
    <x v="0"/>
    <x v="0"/>
    <x v="0"/>
    <x v="3"/>
    <x v="4"/>
    <s v="DE4-E_A"/>
    <x v="0"/>
    <s v="GNR_ENG_BGAS_BP_E-45"/>
    <x v="0"/>
    <x v="20"/>
    <n v="3.1341463414634099"/>
    <n v="1143.96341463415"/>
    <n v="4118.2682926829302"/>
  </r>
  <r>
    <x v="0"/>
    <x v="0"/>
    <x v="0"/>
    <x v="3"/>
    <x v="4"/>
    <s v="DE4-E_A"/>
    <x v="0"/>
    <s v="GNR_ENG_BGAS_BP_E-45"/>
    <x v="0"/>
    <x v="21"/>
    <n v="3.1341463414634099"/>
    <n v="1143.96341463415"/>
    <n v="4118.2682926829302"/>
  </r>
  <r>
    <x v="0"/>
    <x v="0"/>
    <x v="0"/>
    <x v="3"/>
    <x v="4"/>
    <s v="DE4-E_A"/>
    <x v="0"/>
    <s v="GNR_ENG_BGAS_BP_E-45"/>
    <x v="0"/>
    <x v="22"/>
    <n v="3.1341463414634099"/>
    <n v="1143.96341463415"/>
    <n v="4118.2682926829302"/>
  </r>
  <r>
    <x v="0"/>
    <x v="0"/>
    <x v="0"/>
    <x v="3"/>
    <x v="4"/>
    <s v="DE4-E_A"/>
    <x v="0"/>
    <s v="GNR_ENG_BGAS_BP_E-45"/>
    <x v="0"/>
    <x v="23"/>
    <n v="3.1341463414634099"/>
    <n v="1143.96341463415"/>
    <n v="4118.2682926829302"/>
  </r>
  <r>
    <x v="0"/>
    <x v="0"/>
    <x v="0"/>
    <x v="3"/>
    <x v="4"/>
    <s v="DE4-E_A"/>
    <x v="0"/>
    <s v="GNR_ST_BGAS_BP_E-38"/>
    <x v="0"/>
    <x v="0"/>
    <n v="329.142857142857"/>
    <n v="120137.142857143"/>
    <n v="432493.71428571403"/>
  </r>
  <r>
    <x v="0"/>
    <x v="0"/>
    <x v="0"/>
    <x v="3"/>
    <x v="4"/>
    <s v="DE4-E_A"/>
    <x v="0"/>
    <s v="GNR_ST_BGAS_BP_E-38"/>
    <x v="0"/>
    <x v="1"/>
    <n v="329.142857142857"/>
    <n v="120137.142857143"/>
    <n v="432493.71428571403"/>
  </r>
  <r>
    <x v="0"/>
    <x v="0"/>
    <x v="0"/>
    <x v="3"/>
    <x v="4"/>
    <s v="DE4-E_A"/>
    <x v="0"/>
    <s v="GNR_ST_BGAS_BP_E-38"/>
    <x v="0"/>
    <x v="2"/>
    <n v="329.142857142857"/>
    <n v="120137.142857143"/>
    <n v="432493.71428571403"/>
  </r>
  <r>
    <x v="0"/>
    <x v="0"/>
    <x v="0"/>
    <x v="3"/>
    <x v="4"/>
    <s v="DE4-E_A"/>
    <x v="0"/>
    <s v="GNR_ST_BGAS_BP_E-38"/>
    <x v="0"/>
    <x v="3"/>
    <n v="329.142857142857"/>
    <n v="120137.142857143"/>
    <n v="432493.71428571403"/>
  </r>
  <r>
    <x v="0"/>
    <x v="0"/>
    <x v="0"/>
    <x v="3"/>
    <x v="4"/>
    <s v="DE4-E_A"/>
    <x v="0"/>
    <s v="GNR_ST_BGAS_BP_E-38"/>
    <x v="0"/>
    <x v="4"/>
    <n v="329.142857142857"/>
    <n v="120137.142857143"/>
    <n v="432493.71428571403"/>
  </r>
  <r>
    <x v="0"/>
    <x v="0"/>
    <x v="0"/>
    <x v="3"/>
    <x v="4"/>
    <s v="DE4-E_A"/>
    <x v="0"/>
    <s v="GNR_ST_BGAS_BP_E-38"/>
    <x v="0"/>
    <x v="5"/>
    <n v="329.142857142857"/>
    <n v="120137.142857143"/>
    <n v="432493.71428571403"/>
  </r>
  <r>
    <x v="0"/>
    <x v="0"/>
    <x v="0"/>
    <x v="3"/>
    <x v="4"/>
    <s v="DE4-E_A"/>
    <x v="0"/>
    <s v="GNR_ST_BGAS_BP_E-38"/>
    <x v="0"/>
    <x v="6"/>
    <n v="329.142857142857"/>
    <n v="120137.142857143"/>
    <n v="432493.71428571403"/>
  </r>
  <r>
    <x v="0"/>
    <x v="0"/>
    <x v="0"/>
    <x v="3"/>
    <x v="4"/>
    <s v="DE4-E_A"/>
    <x v="0"/>
    <s v="GNR_ST_BGAS_BP_E-38"/>
    <x v="0"/>
    <x v="7"/>
    <n v="329.142857142857"/>
    <n v="120137.142857143"/>
    <n v="432493.71428571403"/>
  </r>
  <r>
    <x v="0"/>
    <x v="0"/>
    <x v="0"/>
    <x v="3"/>
    <x v="4"/>
    <s v="DE4-E_A"/>
    <x v="0"/>
    <s v="GNR_ST_BGAS_BP_E-38"/>
    <x v="0"/>
    <x v="8"/>
    <n v="329.142857142857"/>
    <n v="120137.142857143"/>
    <n v="432493.71428571403"/>
  </r>
  <r>
    <x v="0"/>
    <x v="0"/>
    <x v="0"/>
    <x v="3"/>
    <x v="4"/>
    <s v="DE4-E_A"/>
    <x v="0"/>
    <s v="GNR_ST_BGAS_BP_E-38"/>
    <x v="0"/>
    <x v="9"/>
    <n v="329.142857142857"/>
    <n v="120137.142857143"/>
    <n v="432493.71428571403"/>
  </r>
  <r>
    <x v="0"/>
    <x v="0"/>
    <x v="0"/>
    <x v="3"/>
    <x v="4"/>
    <s v="DE4-E_A"/>
    <x v="0"/>
    <s v="GNR_ST_BGAS_BP_E-38"/>
    <x v="0"/>
    <x v="10"/>
    <n v="329.142857142857"/>
    <n v="120137.142857143"/>
    <n v="432493.71428571403"/>
  </r>
  <r>
    <x v="0"/>
    <x v="0"/>
    <x v="0"/>
    <x v="3"/>
    <x v="4"/>
    <s v="DE4-E_A"/>
    <x v="0"/>
    <s v="GNR_ST_BGAS_BP_E-38"/>
    <x v="0"/>
    <x v="11"/>
    <n v="329.142857142857"/>
    <n v="120137.142857143"/>
    <n v="432493.71428571403"/>
  </r>
  <r>
    <x v="0"/>
    <x v="0"/>
    <x v="0"/>
    <x v="3"/>
    <x v="4"/>
    <s v="DE4-E_A"/>
    <x v="0"/>
    <s v="GNR_ST_BGAS_BP_E-38"/>
    <x v="0"/>
    <x v="12"/>
    <n v="329.142857142857"/>
    <n v="120137.142857143"/>
    <n v="432493.71428571403"/>
  </r>
  <r>
    <x v="0"/>
    <x v="0"/>
    <x v="0"/>
    <x v="3"/>
    <x v="4"/>
    <s v="DE4-E_A"/>
    <x v="0"/>
    <s v="GNR_ST_BGAS_BP_E-38"/>
    <x v="0"/>
    <x v="13"/>
    <n v="329.142857142857"/>
    <n v="120137.142857143"/>
    <n v="432493.71428571403"/>
  </r>
  <r>
    <x v="0"/>
    <x v="0"/>
    <x v="0"/>
    <x v="3"/>
    <x v="4"/>
    <s v="DE4-E_A"/>
    <x v="0"/>
    <s v="GNR_ST_BGAS_BP_E-38"/>
    <x v="0"/>
    <x v="14"/>
    <n v="329.142857142857"/>
    <n v="120137.142857143"/>
    <n v="432493.71428571403"/>
  </r>
  <r>
    <x v="0"/>
    <x v="0"/>
    <x v="0"/>
    <x v="3"/>
    <x v="4"/>
    <s v="DE4-E_A"/>
    <x v="0"/>
    <s v="GNR_ST_BGAS_BP_E-38"/>
    <x v="0"/>
    <x v="15"/>
    <n v="329.142857142857"/>
    <n v="120137.142857143"/>
    <n v="432493.71428571403"/>
  </r>
  <r>
    <x v="0"/>
    <x v="0"/>
    <x v="0"/>
    <x v="3"/>
    <x v="4"/>
    <s v="DE4-E_A"/>
    <x v="0"/>
    <s v="GNR_ST_BGAS_BP_E-38"/>
    <x v="0"/>
    <x v="16"/>
    <n v="329.142857142857"/>
    <n v="120137.142857143"/>
    <n v="432493.71428571403"/>
  </r>
  <r>
    <x v="0"/>
    <x v="0"/>
    <x v="0"/>
    <x v="3"/>
    <x v="4"/>
    <s v="DE4-E_A"/>
    <x v="0"/>
    <s v="GNR_ST_BGAS_BP_E-38"/>
    <x v="0"/>
    <x v="17"/>
    <n v="329.142857142857"/>
    <n v="120137.142857143"/>
    <n v="432493.71428571403"/>
  </r>
  <r>
    <x v="0"/>
    <x v="0"/>
    <x v="0"/>
    <x v="3"/>
    <x v="4"/>
    <s v="DE4-E_A"/>
    <x v="0"/>
    <s v="GNR_ST_BGAS_BP_E-38"/>
    <x v="0"/>
    <x v="18"/>
    <n v="329.142857142857"/>
    <n v="120137.142857143"/>
    <n v="432493.71428571403"/>
  </r>
  <r>
    <x v="0"/>
    <x v="0"/>
    <x v="0"/>
    <x v="3"/>
    <x v="4"/>
    <s v="DE4-E_A"/>
    <x v="0"/>
    <s v="GNR_ST_BGAS_BP_E-38"/>
    <x v="0"/>
    <x v="19"/>
    <n v="329.142857142857"/>
    <n v="120137.142857143"/>
    <n v="432493.71428571403"/>
  </r>
  <r>
    <x v="0"/>
    <x v="0"/>
    <x v="0"/>
    <x v="3"/>
    <x v="4"/>
    <s v="DE4-E_A"/>
    <x v="0"/>
    <s v="GNR_ST_BGAS_BP_E-38"/>
    <x v="0"/>
    <x v="20"/>
    <n v="329.142857142857"/>
    <n v="120137.142857143"/>
    <n v="432493.71428571403"/>
  </r>
  <r>
    <x v="0"/>
    <x v="0"/>
    <x v="0"/>
    <x v="3"/>
    <x v="4"/>
    <s v="DE4-E_A"/>
    <x v="0"/>
    <s v="GNR_ST_BGAS_BP_E-38"/>
    <x v="0"/>
    <x v="21"/>
    <n v="329.142857142857"/>
    <n v="120137.142857143"/>
    <n v="432493.71428571403"/>
  </r>
  <r>
    <x v="0"/>
    <x v="0"/>
    <x v="0"/>
    <x v="3"/>
    <x v="4"/>
    <s v="DE4-E_A"/>
    <x v="0"/>
    <s v="GNR_ST_BGAS_BP_E-38"/>
    <x v="0"/>
    <x v="22"/>
    <n v="329.142857142857"/>
    <n v="120137.142857143"/>
    <n v="432493.71428571403"/>
  </r>
  <r>
    <x v="0"/>
    <x v="0"/>
    <x v="0"/>
    <x v="3"/>
    <x v="4"/>
    <s v="DE4-E_A"/>
    <x v="0"/>
    <s v="GNR_ST_BGAS_BP_E-38"/>
    <x v="0"/>
    <x v="23"/>
    <n v="329.142857142857"/>
    <n v="120137.142857143"/>
    <n v="432493.71428571403"/>
  </r>
  <r>
    <x v="0"/>
    <x v="0"/>
    <x v="0"/>
    <x v="3"/>
    <x v="4"/>
    <s v="DE4-E_A"/>
    <x v="3"/>
    <s v="GNR_ST_MSW_BP_E-33"/>
    <x v="0"/>
    <x v="0"/>
    <n v="1078.2365298815901"/>
    <n v="393556.33340677898"/>
    <n v="1416802.80026441"/>
  </r>
  <r>
    <x v="0"/>
    <x v="0"/>
    <x v="0"/>
    <x v="3"/>
    <x v="4"/>
    <s v="DE4-E_A"/>
    <x v="3"/>
    <s v="GNR_ST_MSW_BP_E-33"/>
    <x v="0"/>
    <x v="1"/>
    <n v="1078.2365298815901"/>
    <n v="393556.33340677898"/>
    <n v="1416802.80026441"/>
  </r>
  <r>
    <x v="0"/>
    <x v="0"/>
    <x v="0"/>
    <x v="3"/>
    <x v="4"/>
    <s v="DE4-E_A"/>
    <x v="3"/>
    <s v="GNR_ST_MSW_BP_E-33"/>
    <x v="0"/>
    <x v="2"/>
    <n v="1078.2365298815901"/>
    <n v="393556.33340677898"/>
    <n v="1416802.80026441"/>
  </r>
  <r>
    <x v="0"/>
    <x v="0"/>
    <x v="0"/>
    <x v="3"/>
    <x v="4"/>
    <s v="DE4-E_A"/>
    <x v="3"/>
    <s v="GNR_ST_MSW_BP_E-33"/>
    <x v="0"/>
    <x v="3"/>
    <n v="1078.2365298815901"/>
    <n v="393556.33340677898"/>
    <n v="1416802.80026441"/>
  </r>
  <r>
    <x v="0"/>
    <x v="0"/>
    <x v="0"/>
    <x v="3"/>
    <x v="4"/>
    <s v="DE4-E_A"/>
    <x v="3"/>
    <s v="GNR_ST_MSW_BP_E-33"/>
    <x v="0"/>
    <x v="4"/>
    <n v="1078.2365298815901"/>
    <n v="393556.33340677898"/>
    <n v="1416802.80026441"/>
  </r>
  <r>
    <x v="0"/>
    <x v="0"/>
    <x v="0"/>
    <x v="3"/>
    <x v="4"/>
    <s v="DE4-E_A"/>
    <x v="3"/>
    <s v="GNR_ST_MSW_BP_E-33"/>
    <x v="0"/>
    <x v="5"/>
    <n v="1078.2365298815901"/>
    <n v="393556.33340677898"/>
    <n v="1416802.80026441"/>
  </r>
  <r>
    <x v="0"/>
    <x v="0"/>
    <x v="0"/>
    <x v="3"/>
    <x v="4"/>
    <s v="DE4-E_A"/>
    <x v="3"/>
    <s v="GNR_ST_MSW_BP_E-33"/>
    <x v="0"/>
    <x v="6"/>
    <n v="1078.2365298815901"/>
    <n v="393556.33340677898"/>
    <n v="1416802.80026441"/>
  </r>
  <r>
    <x v="0"/>
    <x v="0"/>
    <x v="0"/>
    <x v="3"/>
    <x v="4"/>
    <s v="DE4-E_A"/>
    <x v="3"/>
    <s v="GNR_ST_MSW_BP_E-33"/>
    <x v="0"/>
    <x v="7"/>
    <n v="1078.2365298815901"/>
    <n v="393556.33340677898"/>
    <n v="1416802.80026441"/>
  </r>
  <r>
    <x v="0"/>
    <x v="0"/>
    <x v="0"/>
    <x v="3"/>
    <x v="4"/>
    <s v="DE4-E_A"/>
    <x v="3"/>
    <s v="GNR_ST_MSW_BP_E-33"/>
    <x v="0"/>
    <x v="8"/>
    <n v="1078.2365298815901"/>
    <n v="393556.33340677898"/>
    <n v="1416802.80026441"/>
  </r>
  <r>
    <x v="0"/>
    <x v="0"/>
    <x v="0"/>
    <x v="3"/>
    <x v="4"/>
    <s v="DE4-E_A"/>
    <x v="3"/>
    <s v="GNR_ST_MSW_BP_E-33"/>
    <x v="0"/>
    <x v="9"/>
    <n v="1078.2365298815901"/>
    <n v="393556.33340677898"/>
    <n v="1416802.80026441"/>
  </r>
  <r>
    <x v="0"/>
    <x v="0"/>
    <x v="0"/>
    <x v="3"/>
    <x v="4"/>
    <s v="DE4-E_A"/>
    <x v="3"/>
    <s v="GNR_ST_MSW_BP_E-33"/>
    <x v="0"/>
    <x v="10"/>
    <n v="1078.2365298815901"/>
    <n v="393556.33340677898"/>
    <n v="1416802.80026441"/>
  </r>
  <r>
    <x v="0"/>
    <x v="0"/>
    <x v="0"/>
    <x v="3"/>
    <x v="4"/>
    <s v="DE4-E_A"/>
    <x v="3"/>
    <s v="GNR_ST_MSW_BP_E-33"/>
    <x v="0"/>
    <x v="11"/>
    <n v="1078.2365298815901"/>
    <n v="393556.33340677898"/>
    <n v="1416802.80026441"/>
  </r>
  <r>
    <x v="0"/>
    <x v="0"/>
    <x v="0"/>
    <x v="3"/>
    <x v="4"/>
    <s v="DE4-E_A"/>
    <x v="3"/>
    <s v="GNR_ST_MSW_BP_E-33"/>
    <x v="0"/>
    <x v="12"/>
    <n v="1078.2365298815901"/>
    <n v="393556.33340677898"/>
    <n v="1416802.80026441"/>
  </r>
  <r>
    <x v="0"/>
    <x v="0"/>
    <x v="0"/>
    <x v="3"/>
    <x v="4"/>
    <s v="DE4-E_A"/>
    <x v="3"/>
    <s v="GNR_ST_MSW_BP_E-33"/>
    <x v="0"/>
    <x v="13"/>
    <n v="1078.2365298815901"/>
    <n v="393556.33340677898"/>
    <n v="1416802.80026441"/>
  </r>
  <r>
    <x v="0"/>
    <x v="0"/>
    <x v="0"/>
    <x v="3"/>
    <x v="4"/>
    <s v="DE4-E_A"/>
    <x v="3"/>
    <s v="GNR_ST_MSW_BP_E-33"/>
    <x v="0"/>
    <x v="14"/>
    <n v="1078.2365298815901"/>
    <n v="393556.33340677898"/>
    <n v="1416802.80026441"/>
  </r>
  <r>
    <x v="0"/>
    <x v="0"/>
    <x v="0"/>
    <x v="3"/>
    <x v="4"/>
    <s v="DE4-E_A"/>
    <x v="3"/>
    <s v="GNR_ST_MSW_BP_E-33"/>
    <x v="0"/>
    <x v="15"/>
    <n v="1078.2365298815901"/>
    <n v="393556.33340677898"/>
    <n v="1416802.80026441"/>
  </r>
  <r>
    <x v="0"/>
    <x v="0"/>
    <x v="0"/>
    <x v="3"/>
    <x v="4"/>
    <s v="DE4-E_A"/>
    <x v="3"/>
    <s v="GNR_ST_MSW_BP_E-33"/>
    <x v="0"/>
    <x v="16"/>
    <n v="1078.2365298815901"/>
    <n v="393556.33340677898"/>
    <n v="1416802.80026441"/>
  </r>
  <r>
    <x v="0"/>
    <x v="0"/>
    <x v="0"/>
    <x v="3"/>
    <x v="4"/>
    <s v="DE4-E_A"/>
    <x v="3"/>
    <s v="GNR_ST_MSW_BP_E-33"/>
    <x v="0"/>
    <x v="17"/>
    <n v="1078.2365298815901"/>
    <n v="393556.33340677898"/>
    <n v="1416802.80026441"/>
  </r>
  <r>
    <x v="0"/>
    <x v="0"/>
    <x v="0"/>
    <x v="3"/>
    <x v="4"/>
    <s v="DE4-E_A"/>
    <x v="3"/>
    <s v="GNR_ST_MSW_BP_E-33"/>
    <x v="0"/>
    <x v="18"/>
    <n v="1078.2365298815901"/>
    <n v="393556.33340677898"/>
    <n v="1416802.80026441"/>
  </r>
  <r>
    <x v="0"/>
    <x v="0"/>
    <x v="0"/>
    <x v="3"/>
    <x v="4"/>
    <s v="DE4-E_A"/>
    <x v="3"/>
    <s v="GNR_ST_MSW_BP_E-33"/>
    <x v="0"/>
    <x v="19"/>
    <n v="1078.2365298815901"/>
    <n v="393556.33340677898"/>
    <n v="1416802.80026441"/>
  </r>
  <r>
    <x v="0"/>
    <x v="0"/>
    <x v="0"/>
    <x v="3"/>
    <x v="4"/>
    <s v="DE4-E_A"/>
    <x v="3"/>
    <s v="GNR_ST_MSW_BP_E-33"/>
    <x v="0"/>
    <x v="20"/>
    <n v="1078.2365298815901"/>
    <n v="393556.33340677898"/>
    <n v="1416802.80026441"/>
  </r>
  <r>
    <x v="0"/>
    <x v="0"/>
    <x v="0"/>
    <x v="3"/>
    <x v="4"/>
    <s v="DE4-E_A"/>
    <x v="3"/>
    <s v="GNR_ST_MSW_BP_E-33"/>
    <x v="0"/>
    <x v="21"/>
    <n v="1078.2365298815901"/>
    <n v="393556.33340677898"/>
    <n v="1416802.80026441"/>
  </r>
  <r>
    <x v="0"/>
    <x v="0"/>
    <x v="0"/>
    <x v="3"/>
    <x v="4"/>
    <s v="DE4-E_A"/>
    <x v="3"/>
    <s v="GNR_ST_MSW_BP_E-33"/>
    <x v="0"/>
    <x v="22"/>
    <n v="1078.2365298815901"/>
    <n v="393556.33340677898"/>
    <n v="1416802.80026441"/>
  </r>
  <r>
    <x v="0"/>
    <x v="0"/>
    <x v="0"/>
    <x v="3"/>
    <x v="4"/>
    <s v="DE4-E_A"/>
    <x v="3"/>
    <s v="GNR_ST_MSW_BP_E-33"/>
    <x v="0"/>
    <x v="23"/>
    <n v="1078.2365298815901"/>
    <n v="393556.33340677898"/>
    <n v="1416802.80026441"/>
  </r>
  <r>
    <x v="0"/>
    <x v="0"/>
    <x v="0"/>
    <x v="3"/>
    <x v="5"/>
    <s v="DE4-N_A"/>
    <x v="0"/>
    <s v="GNR_BO_BGAS_E-80"/>
    <x v="0"/>
    <x v="0"/>
    <n v="0.2"/>
    <n v="73"/>
    <n v="262.8"/>
  </r>
  <r>
    <x v="0"/>
    <x v="0"/>
    <x v="0"/>
    <x v="3"/>
    <x v="5"/>
    <s v="DE4-N_A"/>
    <x v="0"/>
    <s v="GNR_BO_BGAS_E-80"/>
    <x v="0"/>
    <x v="1"/>
    <n v="0.2"/>
    <n v="73"/>
    <n v="262.8"/>
  </r>
  <r>
    <x v="0"/>
    <x v="0"/>
    <x v="0"/>
    <x v="3"/>
    <x v="5"/>
    <s v="DE4-N_A"/>
    <x v="0"/>
    <s v="GNR_BO_BGAS_E-80"/>
    <x v="0"/>
    <x v="2"/>
    <n v="0.2"/>
    <n v="73"/>
    <n v="262.8"/>
  </r>
  <r>
    <x v="0"/>
    <x v="0"/>
    <x v="0"/>
    <x v="3"/>
    <x v="5"/>
    <s v="DE4-N_A"/>
    <x v="0"/>
    <s v="GNR_BO_BGAS_E-80"/>
    <x v="0"/>
    <x v="3"/>
    <n v="0.2"/>
    <n v="73"/>
    <n v="262.8"/>
  </r>
  <r>
    <x v="0"/>
    <x v="0"/>
    <x v="0"/>
    <x v="3"/>
    <x v="5"/>
    <s v="DE4-N_A"/>
    <x v="0"/>
    <s v="GNR_BO_BGAS_E-80"/>
    <x v="0"/>
    <x v="4"/>
    <n v="0.2"/>
    <n v="73"/>
    <n v="262.8"/>
  </r>
  <r>
    <x v="0"/>
    <x v="0"/>
    <x v="0"/>
    <x v="3"/>
    <x v="5"/>
    <s v="DE4-N_A"/>
    <x v="0"/>
    <s v="GNR_BO_BGAS_E-80"/>
    <x v="0"/>
    <x v="5"/>
    <n v="0.2"/>
    <n v="73"/>
    <n v="262.8"/>
  </r>
  <r>
    <x v="0"/>
    <x v="0"/>
    <x v="0"/>
    <x v="3"/>
    <x v="5"/>
    <s v="DE4-N_A"/>
    <x v="0"/>
    <s v="GNR_BO_BGAS_E-80"/>
    <x v="0"/>
    <x v="6"/>
    <n v="0.2"/>
    <n v="73"/>
    <n v="262.8"/>
  </r>
  <r>
    <x v="0"/>
    <x v="0"/>
    <x v="0"/>
    <x v="3"/>
    <x v="5"/>
    <s v="DE4-N_A"/>
    <x v="0"/>
    <s v="GNR_BO_BGAS_E-80"/>
    <x v="0"/>
    <x v="7"/>
    <n v="0.2"/>
    <n v="73"/>
    <n v="262.8"/>
  </r>
  <r>
    <x v="0"/>
    <x v="0"/>
    <x v="0"/>
    <x v="3"/>
    <x v="5"/>
    <s v="DE4-N_A"/>
    <x v="0"/>
    <s v="GNR_BO_BGAS_E-80"/>
    <x v="0"/>
    <x v="8"/>
    <n v="0.2"/>
    <n v="73"/>
    <n v="262.8"/>
  </r>
  <r>
    <x v="0"/>
    <x v="0"/>
    <x v="0"/>
    <x v="3"/>
    <x v="5"/>
    <s v="DE4-N_A"/>
    <x v="0"/>
    <s v="GNR_BO_BGAS_E-80"/>
    <x v="0"/>
    <x v="9"/>
    <n v="0.2"/>
    <n v="73"/>
    <n v="262.8"/>
  </r>
  <r>
    <x v="0"/>
    <x v="0"/>
    <x v="0"/>
    <x v="3"/>
    <x v="5"/>
    <s v="DE4-N_A"/>
    <x v="0"/>
    <s v="GNR_BO_BGAS_E-80"/>
    <x v="0"/>
    <x v="10"/>
    <n v="0.2"/>
    <n v="73"/>
    <n v="262.8"/>
  </r>
  <r>
    <x v="0"/>
    <x v="0"/>
    <x v="0"/>
    <x v="3"/>
    <x v="5"/>
    <s v="DE4-N_A"/>
    <x v="0"/>
    <s v="GNR_BO_BGAS_E-80"/>
    <x v="0"/>
    <x v="11"/>
    <n v="0.2"/>
    <n v="73"/>
    <n v="262.8"/>
  </r>
  <r>
    <x v="0"/>
    <x v="0"/>
    <x v="0"/>
    <x v="3"/>
    <x v="5"/>
    <s v="DE4-N_A"/>
    <x v="0"/>
    <s v="GNR_BO_BGAS_E-80"/>
    <x v="0"/>
    <x v="12"/>
    <n v="0.2"/>
    <n v="73"/>
    <n v="262.8"/>
  </r>
  <r>
    <x v="0"/>
    <x v="0"/>
    <x v="0"/>
    <x v="3"/>
    <x v="5"/>
    <s v="DE4-N_A"/>
    <x v="0"/>
    <s v="GNR_BO_BGAS_E-80"/>
    <x v="0"/>
    <x v="13"/>
    <n v="0.2"/>
    <n v="73"/>
    <n v="262.8"/>
  </r>
  <r>
    <x v="0"/>
    <x v="0"/>
    <x v="0"/>
    <x v="3"/>
    <x v="5"/>
    <s v="DE4-N_A"/>
    <x v="0"/>
    <s v="GNR_BO_BGAS_E-80"/>
    <x v="0"/>
    <x v="14"/>
    <n v="0.2"/>
    <n v="73"/>
    <n v="262.8"/>
  </r>
  <r>
    <x v="0"/>
    <x v="0"/>
    <x v="0"/>
    <x v="3"/>
    <x v="5"/>
    <s v="DE4-N_A"/>
    <x v="0"/>
    <s v="GNR_BO_BGAS_E-80"/>
    <x v="0"/>
    <x v="15"/>
    <n v="0.2"/>
    <n v="73"/>
    <n v="262.8"/>
  </r>
  <r>
    <x v="0"/>
    <x v="0"/>
    <x v="0"/>
    <x v="3"/>
    <x v="5"/>
    <s v="DE4-N_A"/>
    <x v="0"/>
    <s v="GNR_BO_BGAS_E-80"/>
    <x v="0"/>
    <x v="16"/>
    <n v="0.2"/>
    <n v="73"/>
    <n v="262.8"/>
  </r>
  <r>
    <x v="0"/>
    <x v="0"/>
    <x v="0"/>
    <x v="3"/>
    <x v="5"/>
    <s v="DE4-N_A"/>
    <x v="0"/>
    <s v="GNR_BO_BGAS_E-80"/>
    <x v="0"/>
    <x v="17"/>
    <n v="0.2"/>
    <n v="73"/>
    <n v="262.8"/>
  </r>
  <r>
    <x v="0"/>
    <x v="0"/>
    <x v="0"/>
    <x v="3"/>
    <x v="5"/>
    <s v="DE4-N_A"/>
    <x v="0"/>
    <s v="GNR_BO_BGAS_E-80"/>
    <x v="0"/>
    <x v="18"/>
    <n v="0.2"/>
    <n v="73"/>
    <n v="262.8"/>
  </r>
  <r>
    <x v="0"/>
    <x v="0"/>
    <x v="0"/>
    <x v="3"/>
    <x v="5"/>
    <s v="DE4-N_A"/>
    <x v="0"/>
    <s v="GNR_BO_BGAS_E-80"/>
    <x v="0"/>
    <x v="19"/>
    <n v="0.2"/>
    <n v="73"/>
    <n v="262.8"/>
  </r>
  <r>
    <x v="0"/>
    <x v="0"/>
    <x v="0"/>
    <x v="3"/>
    <x v="5"/>
    <s v="DE4-N_A"/>
    <x v="0"/>
    <s v="GNR_BO_BGAS_E-80"/>
    <x v="0"/>
    <x v="20"/>
    <n v="0.2"/>
    <n v="73"/>
    <n v="262.8"/>
  </r>
  <r>
    <x v="0"/>
    <x v="0"/>
    <x v="0"/>
    <x v="3"/>
    <x v="5"/>
    <s v="DE4-N_A"/>
    <x v="0"/>
    <s v="GNR_BO_BGAS_E-80"/>
    <x v="0"/>
    <x v="21"/>
    <n v="0.2"/>
    <n v="73"/>
    <n v="262.8"/>
  </r>
  <r>
    <x v="0"/>
    <x v="0"/>
    <x v="0"/>
    <x v="3"/>
    <x v="5"/>
    <s v="DE4-N_A"/>
    <x v="0"/>
    <s v="GNR_BO_BGAS_E-80"/>
    <x v="0"/>
    <x v="22"/>
    <n v="0.2"/>
    <n v="73"/>
    <n v="262.8"/>
  </r>
  <r>
    <x v="0"/>
    <x v="0"/>
    <x v="0"/>
    <x v="3"/>
    <x v="5"/>
    <s v="DE4-N_A"/>
    <x v="0"/>
    <s v="GNR_BO_BGAS_E-80"/>
    <x v="0"/>
    <x v="23"/>
    <n v="0.2"/>
    <n v="73"/>
    <n v="262.8"/>
  </r>
  <r>
    <x v="0"/>
    <x v="0"/>
    <x v="0"/>
    <x v="3"/>
    <x v="5"/>
    <s v="DE4-N_A"/>
    <x v="0"/>
    <s v="GNR_ENG_BGAS_BP_E-45"/>
    <x v="0"/>
    <x v="0"/>
    <n v="0.58536585365853699"/>
    <n v="213.65853658536599"/>
    <n v="769.17073170731703"/>
  </r>
  <r>
    <x v="0"/>
    <x v="0"/>
    <x v="0"/>
    <x v="3"/>
    <x v="5"/>
    <s v="DE4-N_A"/>
    <x v="0"/>
    <s v="GNR_ENG_BGAS_BP_E-45"/>
    <x v="0"/>
    <x v="1"/>
    <n v="0.58536585365853699"/>
    <n v="213.65853658536599"/>
    <n v="769.17073170731703"/>
  </r>
  <r>
    <x v="0"/>
    <x v="0"/>
    <x v="0"/>
    <x v="3"/>
    <x v="5"/>
    <s v="DE4-N_A"/>
    <x v="0"/>
    <s v="GNR_ENG_BGAS_BP_E-45"/>
    <x v="0"/>
    <x v="2"/>
    <n v="0.58536585365853699"/>
    <n v="213.65853658536599"/>
    <n v="769.17073170731703"/>
  </r>
  <r>
    <x v="0"/>
    <x v="0"/>
    <x v="0"/>
    <x v="3"/>
    <x v="5"/>
    <s v="DE4-N_A"/>
    <x v="0"/>
    <s v="GNR_ENG_BGAS_BP_E-45"/>
    <x v="0"/>
    <x v="3"/>
    <n v="0.58536585365853699"/>
    <n v="213.65853658536599"/>
    <n v="769.17073170731703"/>
  </r>
  <r>
    <x v="0"/>
    <x v="0"/>
    <x v="0"/>
    <x v="3"/>
    <x v="5"/>
    <s v="DE4-N_A"/>
    <x v="0"/>
    <s v="GNR_ENG_BGAS_BP_E-45"/>
    <x v="0"/>
    <x v="4"/>
    <n v="0.58536585365853699"/>
    <n v="213.65853658536599"/>
    <n v="769.17073170731703"/>
  </r>
  <r>
    <x v="0"/>
    <x v="0"/>
    <x v="0"/>
    <x v="3"/>
    <x v="5"/>
    <s v="DE4-N_A"/>
    <x v="0"/>
    <s v="GNR_ENG_BGAS_BP_E-45"/>
    <x v="0"/>
    <x v="5"/>
    <n v="0.58536585365853699"/>
    <n v="213.65853658536599"/>
    <n v="769.17073170731703"/>
  </r>
  <r>
    <x v="0"/>
    <x v="0"/>
    <x v="0"/>
    <x v="3"/>
    <x v="5"/>
    <s v="DE4-N_A"/>
    <x v="0"/>
    <s v="GNR_ENG_BGAS_BP_E-45"/>
    <x v="0"/>
    <x v="6"/>
    <n v="0.58536585365853699"/>
    <n v="213.65853658536599"/>
    <n v="769.17073170731703"/>
  </r>
  <r>
    <x v="0"/>
    <x v="0"/>
    <x v="0"/>
    <x v="3"/>
    <x v="5"/>
    <s v="DE4-N_A"/>
    <x v="0"/>
    <s v="GNR_ENG_BGAS_BP_E-45"/>
    <x v="0"/>
    <x v="7"/>
    <n v="0.58536585365853699"/>
    <n v="213.65853658536599"/>
    <n v="769.17073170731703"/>
  </r>
  <r>
    <x v="0"/>
    <x v="0"/>
    <x v="0"/>
    <x v="3"/>
    <x v="5"/>
    <s v="DE4-N_A"/>
    <x v="0"/>
    <s v="GNR_ENG_BGAS_BP_E-45"/>
    <x v="0"/>
    <x v="8"/>
    <n v="0.58536585365853699"/>
    <n v="213.65853658536599"/>
    <n v="769.17073170731703"/>
  </r>
  <r>
    <x v="0"/>
    <x v="0"/>
    <x v="0"/>
    <x v="3"/>
    <x v="5"/>
    <s v="DE4-N_A"/>
    <x v="0"/>
    <s v="GNR_ENG_BGAS_BP_E-45"/>
    <x v="0"/>
    <x v="9"/>
    <n v="0.58536585365853699"/>
    <n v="213.65853658536599"/>
    <n v="769.17073170731703"/>
  </r>
  <r>
    <x v="0"/>
    <x v="0"/>
    <x v="0"/>
    <x v="3"/>
    <x v="5"/>
    <s v="DE4-N_A"/>
    <x v="0"/>
    <s v="GNR_ENG_BGAS_BP_E-45"/>
    <x v="0"/>
    <x v="10"/>
    <n v="0.58536585365853699"/>
    <n v="213.65853658536599"/>
    <n v="769.17073170731703"/>
  </r>
  <r>
    <x v="0"/>
    <x v="0"/>
    <x v="0"/>
    <x v="3"/>
    <x v="5"/>
    <s v="DE4-N_A"/>
    <x v="0"/>
    <s v="GNR_ENG_BGAS_BP_E-45"/>
    <x v="0"/>
    <x v="11"/>
    <n v="0.58536585365853699"/>
    <n v="213.65853658536599"/>
    <n v="769.17073170731703"/>
  </r>
  <r>
    <x v="0"/>
    <x v="0"/>
    <x v="0"/>
    <x v="3"/>
    <x v="5"/>
    <s v="DE4-N_A"/>
    <x v="0"/>
    <s v="GNR_ENG_BGAS_BP_E-45"/>
    <x v="0"/>
    <x v="12"/>
    <n v="0.58536585365853699"/>
    <n v="213.65853658536599"/>
    <n v="769.17073170731703"/>
  </r>
  <r>
    <x v="0"/>
    <x v="0"/>
    <x v="0"/>
    <x v="3"/>
    <x v="5"/>
    <s v="DE4-N_A"/>
    <x v="0"/>
    <s v="GNR_ENG_BGAS_BP_E-45"/>
    <x v="0"/>
    <x v="13"/>
    <n v="0.58536585365853699"/>
    <n v="213.65853658536599"/>
    <n v="769.17073170731703"/>
  </r>
  <r>
    <x v="0"/>
    <x v="0"/>
    <x v="0"/>
    <x v="3"/>
    <x v="5"/>
    <s v="DE4-N_A"/>
    <x v="0"/>
    <s v="GNR_ENG_BGAS_BP_E-45"/>
    <x v="0"/>
    <x v="14"/>
    <n v="0.58536585365853699"/>
    <n v="213.65853658536599"/>
    <n v="769.17073170731703"/>
  </r>
  <r>
    <x v="0"/>
    <x v="0"/>
    <x v="0"/>
    <x v="3"/>
    <x v="5"/>
    <s v="DE4-N_A"/>
    <x v="0"/>
    <s v="GNR_ENG_BGAS_BP_E-45"/>
    <x v="0"/>
    <x v="15"/>
    <n v="0.58536585365853699"/>
    <n v="213.65853658536599"/>
    <n v="769.17073170731703"/>
  </r>
  <r>
    <x v="0"/>
    <x v="0"/>
    <x v="0"/>
    <x v="3"/>
    <x v="5"/>
    <s v="DE4-N_A"/>
    <x v="0"/>
    <s v="GNR_ENG_BGAS_BP_E-45"/>
    <x v="0"/>
    <x v="16"/>
    <n v="0.58536585365853699"/>
    <n v="213.65853658536599"/>
    <n v="769.17073170731703"/>
  </r>
  <r>
    <x v="0"/>
    <x v="0"/>
    <x v="0"/>
    <x v="3"/>
    <x v="5"/>
    <s v="DE4-N_A"/>
    <x v="0"/>
    <s v="GNR_ENG_BGAS_BP_E-45"/>
    <x v="0"/>
    <x v="17"/>
    <n v="0.58536585365853699"/>
    <n v="213.65853658536599"/>
    <n v="769.17073170731703"/>
  </r>
  <r>
    <x v="0"/>
    <x v="0"/>
    <x v="0"/>
    <x v="3"/>
    <x v="5"/>
    <s v="DE4-N_A"/>
    <x v="0"/>
    <s v="GNR_ENG_BGAS_BP_E-45"/>
    <x v="0"/>
    <x v="18"/>
    <n v="0.58536585365853699"/>
    <n v="213.65853658536599"/>
    <n v="769.17073170731703"/>
  </r>
  <r>
    <x v="0"/>
    <x v="0"/>
    <x v="0"/>
    <x v="3"/>
    <x v="5"/>
    <s v="DE4-N_A"/>
    <x v="0"/>
    <s v="GNR_ENG_BGAS_BP_E-45"/>
    <x v="0"/>
    <x v="19"/>
    <n v="0.58536585365853699"/>
    <n v="213.65853658536599"/>
    <n v="769.17073170731703"/>
  </r>
  <r>
    <x v="0"/>
    <x v="0"/>
    <x v="0"/>
    <x v="3"/>
    <x v="5"/>
    <s v="DE4-N_A"/>
    <x v="0"/>
    <s v="GNR_ENG_BGAS_BP_E-45"/>
    <x v="0"/>
    <x v="20"/>
    <n v="0.58536585365853699"/>
    <n v="213.65853658536599"/>
    <n v="769.17073170731703"/>
  </r>
  <r>
    <x v="0"/>
    <x v="0"/>
    <x v="0"/>
    <x v="3"/>
    <x v="5"/>
    <s v="DE4-N_A"/>
    <x v="0"/>
    <s v="GNR_ENG_BGAS_BP_E-45"/>
    <x v="0"/>
    <x v="21"/>
    <n v="0.58536585365853699"/>
    <n v="213.65853658536599"/>
    <n v="769.17073170731703"/>
  </r>
  <r>
    <x v="0"/>
    <x v="0"/>
    <x v="0"/>
    <x v="3"/>
    <x v="5"/>
    <s v="DE4-N_A"/>
    <x v="0"/>
    <s v="GNR_ENG_BGAS_BP_E-45"/>
    <x v="0"/>
    <x v="22"/>
    <n v="0.58536585365853699"/>
    <n v="213.65853658536599"/>
    <n v="769.17073170731703"/>
  </r>
  <r>
    <x v="0"/>
    <x v="0"/>
    <x v="0"/>
    <x v="3"/>
    <x v="5"/>
    <s v="DE4-N_A"/>
    <x v="0"/>
    <s v="GNR_ENG_BGAS_BP_E-45"/>
    <x v="0"/>
    <x v="23"/>
    <n v="0.58536585365853699"/>
    <n v="213.65853658536599"/>
    <n v="769.17073170731703"/>
  </r>
  <r>
    <x v="0"/>
    <x v="0"/>
    <x v="0"/>
    <x v="3"/>
    <x v="5"/>
    <s v="DE4-N_A"/>
    <x v="0"/>
    <s v="GNR_ST_BGAS_BP_E-38"/>
    <x v="0"/>
    <x v="0"/>
    <n v="28.571428571428601"/>
    <n v="10428.5714285714"/>
    <n v="37542.857142857101"/>
  </r>
  <r>
    <x v="0"/>
    <x v="0"/>
    <x v="0"/>
    <x v="3"/>
    <x v="5"/>
    <s v="DE4-N_A"/>
    <x v="0"/>
    <s v="GNR_ST_BGAS_BP_E-38"/>
    <x v="0"/>
    <x v="1"/>
    <n v="28.571428571428601"/>
    <n v="10428.5714285714"/>
    <n v="37542.857142857101"/>
  </r>
  <r>
    <x v="0"/>
    <x v="0"/>
    <x v="0"/>
    <x v="3"/>
    <x v="5"/>
    <s v="DE4-N_A"/>
    <x v="0"/>
    <s v="GNR_ST_BGAS_BP_E-38"/>
    <x v="0"/>
    <x v="2"/>
    <n v="28.571428571428601"/>
    <n v="10428.5714285714"/>
    <n v="37542.857142857101"/>
  </r>
  <r>
    <x v="0"/>
    <x v="0"/>
    <x v="0"/>
    <x v="3"/>
    <x v="5"/>
    <s v="DE4-N_A"/>
    <x v="0"/>
    <s v="GNR_ST_BGAS_BP_E-38"/>
    <x v="0"/>
    <x v="3"/>
    <n v="28.571428571428601"/>
    <n v="10428.5714285714"/>
    <n v="37542.857142857101"/>
  </r>
  <r>
    <x v="0"/>
    <x v="0"/>
    <x v="0"/>
    <x v="3"/>
    <x v="5"/>
    <s v="DE4-N_A"/>
    <x v="0"/>
    <s v="GNR_ST_BGAS_BP_E-38"/>
    <x v="0"/>
    <x v="4"/>
    <n v="28.571428571428601"/>
    <n v="10428.5714285714"/>
    <n v="37542.857142857101"/>
  </r>
  <r>
    <x v="0"/>
    <x v="0"/>
    <x v="0"/>
    <x v="3"/>
    <x v="5"/>
    <s v="DE4-N_A"/>
    <x v="0"/>
    <s v="GNR_ST_BGAS_BP_E-38"/>
    <x v="0"/>
    <x v="5"/>
    <n v="28.571428571428601"/>
    <n v="10428.5714285714"/>
    <n v="37542.857142857101"/>
  </r>
  <r>
    <x v="0"/>
    <x v="0"/>
    <x v="0"/>
    <x v="3"/>
    <x v="5"/>
    <s v="DE4-N_A"/>
    <x v="0"/>
    <s v="GNR_ST_BGAS_BP_E-38"/>
    <x v="0"/>
    <x v="6"/>
    <n v="28.571428571428601"/>
    <n v="10428.5714285714"/>
    <n v="37542.857142857101"/>
  </r>
  <r>
    <x v="0"/>
    <x v="0"/>
    <x v="0"/>
    <x v="3"/>
    <x v="5"/>
    <s v="DE4-N_A"/>
    <x v="0"/>
    <s v="GNR_ST_BGAS_BP_E-38"/>
    <x v="0"/>
    <x v="7"/>
    <n v="28.571428571428601"/>
    <n v="10428.5714285714"/>
    <n v="37542.857142857101"/>
  </r>
  <r>
    <x v="0"/>
    <x v="0"/>
    <x v="0"/>
    <x v="3"/>
    <x v="5"/>
    <s v="DE4-N_A"/>
    <x v="0"/>
    <s v="GNR_ST_BGAS_BP_E-38"/>
    <x v="0"/>
    <x v="8"/>
    <n v="28.571428571428601"/>
    <n v="10428.5714285714"/>
    <n v="37542.857142857101"/>
  </r>
  <r>
    <x v="0"/>
    <x v="0"/>
    <x v="0"/>
    <x v="3"/>
    <x v="5"/>
    <s v="DE4-N_A"/>
    <x v="0"/>
    <s v="GNR_ST_BGAS_BP_E-38"/>
    <x v="0"/>
    <x v="9"/>
    <n v="28.571428571428601"/>
    <n v="10428.5714285714"/>
    <n v="37542.857142857101"/>
  </r>
  <r>
    <x v="0"/>
    <x v="0"/>
    <x v="0"/>
    <x v="3"/>
    <x v="5"/>
    <s v="DE4-N_A"/>
    <x v="0"/>
    <s v="GNR_ST_BGAS_BP_E-38"/>
    <x v="0"/>
    <x v="10"/>
    <n v="28.571428571428601"/>
    <n v="10428.5714285714"/>
    <n v="37542.857142857101"/>
  </r>
  <r>
    <x v="0"/>
    <x v="0"/>
    <x v="0"/>
    <x v="3"/>
    <x v="5"/>
    <s v="DE4-N_A"/>
    <x v="0"/>
    <s v="GNR_ST_BGAS_BP_E-38"/>
    <x v="0"/>
    <x v="11"/>
    <n v="28.571428571428601"/>
    <n v="10428.5714285714"/>
    <n v="37542.857142857101"/>
  </r>
  <r>
    <x v="0"/>
    <x v="0"/>
    <x v="0"/>
    <x v="3"/>
    <x v="5"/>
    <s v="DE4-N_A"/>
    <x v="0"/>
    <s v="GNR_ST_BGAS_BP_E-38"/>
    <x v="0"/>
    <x v="12"/>
    <n v="28.571428571428601"/>
    <n v="10428.5714285714"/>
    <n v="37542.857142857101"/>
  </r>
  <r>
    <x v="0"/>
    <x v="0"/>
    <x v="0"/>
    <x v="3"/>
    <x v="5"/>
    <s v="DE4-N_A"/>
    <x v="0"/>
    <s v="GNR_ST_BGAS_BP_E-38"/>
    <x v="0"/>
    <x v="13"/>
    <n v="28.571428571428601"/>
    <n v="10428.5714285714"/>
    <n v="37542.857142857101"/>
  </r>
  <r>
    <x v="0"/>
    <x v="0"/>
    <x v="0"/>
    <x v="3"/>
    <x v="5"/>
    <s v="DE4-N_A"/>
    <x v="0"/>
    <s v="GNR_ST_BGAS_BP_E-38"/>
    <x v="0"/>
    <x v="14"/>
    <n v="28.571428571428601"/>
    <n v="10428.5714285714"/>
    <n v="37542.857142857101"/>
  </r>
  <r>
    <x v="0"/>
    <x v="0"/>
    <x v="0"/>
    <x v="3"/>
    <x v="5"/>
    <s v="DE4-N_A"/>
    <x v="0"/>
    <s v="GNR_ST_BGAS_BP_E-38"/>
    <x v="0"/>
    <x v="15"/>
    <n v="28.571428571428601"/>
    <n v="10428.5714285714"/>
    <n v="37542.857142857101"/>
  </r>
  <r>
    <x v="0"/>
    <x v="0"/>
    <x v="0"/>
    <x v="3"/>
    <x v="5"/>
    <s v="DE4-N_A"/>
    <x v="0"/>
    <s v="GNR_ST_BGAS_BP_E-38"/>
    <x v="0"/>
    <x v="16"/>
    <n v="28.571428571428601"/>
    <n v="10428.5714285714"/>
    <n v="37542.857142857101"/>
  </r>
  <r>
    <x v="0"/>
    <x v="0"/>
    <x v="0"/>
    <x v="3"/>
    <x v="5"/>
    <s v="DE4-N_A"/>
    <x v="0"/>
    <s v="GNR_ST_BGAS_BP_E-38"/>
    <x v="0"/>
    <x v="17"/>
    <n v="28.571428571428601"/>
    <n v="10428.5714285714"/>
    <n v="37542.857142857101"/>
  </r>
  <r>
    <x v="0"/>
    <x v="0"/>
    <x v="0"/>
    <x v="3"/>
    <x v="5"/>
    <s v="DE4-N_A"/>
    <x v="0"/>
    <s v="GNR_ST_BGAS_BP_E-38"/>
    <x v="0"/>
    <x v="18"/>
    <n v="28.571428571428601"/>
    <n v="10428.5714285714"/>
    <n v="37542.857142857101"/>
  </r>
  <r>
    <x v="0"/>
    <x v="0"/>
    <x v="0"/>
    <x v="3"/>
    <x v="5"/>
    <s v="DE4-N_A"/>
    <x v="0"/>
    <s v="GNR_ST_BGAS_BP_E-38"/>
    <x v="0"/>
    <x v="19"/>
    <n v="28.571428571428601"/>
    <n v="10428.5714285714"/>
    <n v="37542.857142857101"/>
  </r>
  <r>
    <x v="0"/>
    <x v="0"/>
    <x v="0"/>
    <x v="3"/>
    <x v="5"/>
    <s v="DE4-N_A"/>
    <x v="0"/>
    <s v="GNR_ST_BGAS_BP_E-38"/>
    <x v="0"/>
    <x v="20"/>
    <n v="28.571428571428601"/>
    <n v="10428.5714285714"/>
    <n v="37542.857142857101"/>
  </r>
  <r>
    <x v="0"/>
    <x v="0"/>
    <x v="0"/>
    <x v="3"/>
    <x v="5"/>
    <s v="DE4-N_A"/>
    <x v="0"/>
    <s v="GNR_ST_BGAS_BP_E-38"/>
    <x v="0"/>
    <x v="21"/>
    <n v="28.571428571428601"/>
    <n v="10428.5714285714"/>
    <n v="37542.857142857101"/>
  </r>
  <r>
    <x v="0"/>
    <x v="0"/>
    <x v="0"/>
    <x v="3"/>
    <x v="5"/>
    <s v="DE4-N_A"/>
    <x v="0"/>
    <s v="GNR_ST_BGAS_BP_E-38"/>
    <x v="0"/>
    <x v="22"/>
    <n v="28.571428571428601"/>
    <n v="10428.5714285714"/>
    <n v="37542.857142857101"/>
  </r>
  <r>
    <x v="0"/>
    <x v="0"/>
    <x v="0"/>
    <x v="3"/>
    <x v="5"/>
    <s v="DE4-N_A"/>
    <x v="0"/>
    <s v="GNR_ST_BGAS_BP_E-38"/>
    <x v="0"/>
    <x v="23"/>
    <n v="28.571428571428601"/>
    <n v="10428.5714285714"/>
    <n v="37542.857142857101"/>
  </r>
  <r>
    <x v="0"/>
    <x v="0"/>
    <x v="0"/>
    <x v="3"/>
    <x v="5"/>
    <s v="DE4-N_A"/>
    <x v="3"/>
    <s v="GNR_BO_MSW_E-80"/>
    <x v="0"/>
    <x v="0"/>
    <n v="0.31"/>
    <n v="113.15"/>
    <n v="407.34"/>
  </r>
  <r>
    <x v="0"/>
    <x v="0"/>
    <x v="0"/>
    <x v="3"/>
    <x v="5"/>
    <s v="DE4-N_A"/>
    <x v="3"/>
    <s v="GNR_BO_MSW_E-80"/>
    <x v="0"/>
    <x v="1"/>
    <n v="0.31"/>
    <n v="113.15"/>
    <n v="407.34"/>
  </r>
  <r>
    <x v="0"/>
    <x v="0"/>
    <x v="0"/>
    <x v="3"/>
    <x v="5"/>
    <s v="DE4-N_A"/>
    <x v="3"/>
    <s v="GNR_BO_MSW_E-80"/>
    <x v="0"/>
    <x v="2"/>
    <n v="0.31"/>
    <n v="113.15"/>
    <n v="407.34"/>
  </r>
  <r>
    <x v="0"/>
    <x v="0"/>
    <x v="0"/>
    <x v="3"/>
    <x v="5"/>
    <s v="DE4-N_A"/>
    <x v="3"/>
    <s v="GNR_BO_MSW_E-80"/>
    <x v="0"/>
    <x v="3"/>
    <n v="0.31"/>
    <n v="113.15"/>
    <n v="407.34"/>
  </r>
  <r>
    <x v="0"/>
    <x v="0"/>
    <x v="0"/>
    <x v="3"/>
    <x v="5"/>
    <s v="DE4-N_A"/>
    <x v="3"/>
    <s v="GNR_BO_MSW_E-80"/>
    <x v="0"/>
    <x v="4"/>
    <n v="0.31"/>
    <n v="113.15"/>
    <n v="407.34"/>
  </r>
  <r>
    <x v="0"/>
    <x v="0"/>
    <x v="0"/>
    <x v="3"/>
    <x v="5"/>
    <s v="DE4-N_A"/>
    <x v="3"/>
    <s v="GNR_BO_MSW_E-80"/>
    <x v="0"/>
    <x v="5"/>
    <n v="0.31"/>
    <n v="113.15"/>
    <n v="407.34"/>
  </r>
  <r>
    <x v="0"/>
    <x v="0"/>
    <x v="0"/>
    <x v="3"/>
    <x v="5"/>
    <s v="DE4-N_A"/>
    <x v="3"/>
    <s v="GNR_BO_MSW_E-80"/>
    <x v="0"/>
    <x v="6"/>
    <n v="0.31"/>
    <n v="113.15"/>
    <n v="407.34"/>
  </r>
  <r>
    <x v="0"/>
    <x v="0"/>
    <x v="0"/>
    <x v="3"/>
    <x v="5"/>
    <s v="DE4-N_A"/>
    <x v="3"/>
    <s v="GNR_BO_MSW_E-80"/>
    <x v="0"/>
    <x v="7"/>
    <n v="0.31"/>
    <n v="113.15"/>
    <n v="407.34"/>
  </r>
  <r>
    <x v="0"/>
    <x v="0"/>
    <x v="0"/>
    <x v="3"/>
    <x v="5"/>
    <s v="DE4-N_A"/>
    <x v="3"/>
    <s v="GNR_BO_MSW_E-80"/>
    <x v="0"/>
    <x v="8"/>
    <n v="0.31"/>
    <n v="113.15"/>
    <n v="407.34"/>
  </r>
  <r>
    <x v="0"/>
    <x v="0"/>
    <x v="0"/>
    <x v="3"/>
    <x v="5"/>
    <s v="DE4-N_A"/>
    <x v="3"/>
    <s v="GNR_BO_MSW_E-80"/>
    <x v="0"/>
    <x v="9"/>
    <n v="0.31"/>
    <n v="113.15"/>
    <n v="407.34"/>
  </r>
  <r>
    <x v="0"/>
    <x v="0"/>
    <x v="0"/>
    <x v="3"/>
    <x v="5"/>
    <s v="DE4-N_A"/>
    <x v="3"/>
    <s v="GNR_BO_MSW_E-80"/>
    <x v="0"/>
    <x v="10"/>
    <n v="0.31"/>
    <n v="113.15"/>
    <n v="407.34"/>
  </r>
  <r>
    <x v="0"/>
    <x v="0"/>
    <x v="0"/>
    <x v="3"/>
    <x v="5"/>
    <s v="DE4-N_A"/>
    <x v="3"/>
    <s v="GNR_BO_MSW_E-80"/>
    <x v="0"/>
    <x v="11"/>
    <n v="0.31"/>
    <n v="113.15"/>
    <n v="407.34"/>
  </r>
  <r>
    <x v="0"/>
    <x v="0"/>
    <x v="0"/>
    <x v="3"/>
    <x v="5"/>
    <s v="DE4-N_A"/>
    <x v="3"/>
    <s v="GNR_BO_MSW_E-80"/>
    <x v="0"/>
    <x v="12"/>
    <n v="0.31"/>
    <n v="113.15"/>
    <n v="407.34"/>
  </r>
  <r>
    <x v="0"/>
    <x v="0"/>
    <x v="0"/>
    <x v="3"/>
    <x v="5"/>
    <s v="DE4-N_A"/>
    <x v="3"/>
    <s v="GNR_BO_MSW_E-80"/>
    <x v="0"/>
    <x v="13"/>
    <n v="0.31"/>
    <n v="113.15"/>
    <n v="407.34"/>
  </r>
  <r>
    <x v="0"/>
    <x v="0"/>
    <x v="0"/>
    <x v="3"/>
    <x v="5"/>
    <s v="DE4-N_A"/>
    <x v="3"/>
    <s v="GNR_BO_MSW_E-80"/>
    <x v="0"/>
    <x v="14"/>
    <n v="0.31"/>
    <n v="113.15"/>
    <n v="407.34"/>
  </r>
  <r>
    <x v="0"/>
    <x v="0"/>
    <x v="0"/>
    <x v="3"/>
    <x v="5"/>
    <s v="DE4-N_A"/>
    <x v="3"/>
    <s v="GNR_BO_MSW_E-80"/>
    <x v="0"/>
    <x v="15"/>
    <n v="0.31"/>
    <n v="113.15"/>
    <n v="407.34"/>
  </r>
  <r>
    <x v="0"/>
    <x v="0"/>
    <x v="0"/>
    <x v="3"/>
    <x v="5"/>
    <s v="DE4-N_A"/>
    <x v="3"/>
    <s v="GNR_BO_MSW_E-80"/>
    <x v="0"/>
    <x v="16"/>
    <n v="0.31"/>
    <n v="113.15"/>
    <n v="407.34"/>
  </r>
  <r>
    <x v="0"/>
    <x v="0"/>
    <x v="0"/>
    <x v="3"/>
    <x v="5"/>
    <s v="DE4-N_A"/>
    <x v="3"/>
    <s v="GNR_BO_MSW_E-80"/>
    <x v="0"/>
    <x v="17"/>
    <n v="0.31"/>
    <n v="113.15"/>
    <n v="407.34"/>
  </r>
  <r>
    <x v="0"/>
    <x v="0"/>
    <x v="0"/>
    <x v="3"/>
    <x v="5"/>
    <s v="DE4-N_A"/>
    <x v="3"/>
    <s v="GNR_BO_MSW_E-80"/>
    <x v="0"/>
    <x v="18"/>
    <n v="0.31"/>
    <n v="113.15"/>
    <n v="407.34"/>
  </r>
  <r>
    <x v="0"/>
    <x v="0"/>
    <x v="0"/>
    <x v="3"/>
    <x v="5"/>
    <s v="DE4-N_A"/>
    <x v="3"/>
    <s v="GNR_BO_MSW_E-80"/>
    <x v="0"/>
    <x v="19"/>
    <n v="0.31"/>
    <n v="113.15"/>
    <n v="407.34"/>
  </r>
  <r>
    <x v="0"/>
    <x v="0"/>
    <x v="0"/>
    <x v="3"/>
    <x v="5"/>
    <s v="DE4-N_A"/>
    <x v="3"/>
    <s v="GNR_BO_MSW_E-80"/>
    <x v="0"/>
    <x v="20"/>
    <n v="0.31"/>
    <n v="113.15"/>
    <n v="407.34"/>
  </r>
  <r>
    <x v="0"/>
    <x v="0"/>
    <x v="0"/>
    <x v="3"/>
    <x v="5"/>
    <s v="DE4-N_A"/>
    <x v="3"/>
    <s v="GNR_BO_MSW_E-80"/>
    <x v="0"/>
    <x v="21"/>
    <n v="0.31"/>
    <n v="113.15"/>
    <n v="407.34"/>
  </r>
  <r>
    <x v="0"/>
    <x v="0"/>
    <x v="0"/>
    <x v="3"/>
    <x v="5"/>
    <s v="DE4-N_A"/>
    <x v="3"/>
    <s v="GNR_BO_MSW_E-80"/>
    <x v="0"/>
    <x v="22"/>
    <n v="0.31"/>
    <n v="113.15"/>
    <n v="407.34"/>
  </r>
  <r>
    <x v="0"/>
    <x v="0"/>
    <x v="0"/>
    <x v="3"/>
    <x v="5"/>
    <s v="DE4-N_A"/>
    <x v="3"/>
    <s v="GNR_BO_MSW_E-80"/>
    <x v="0"/>
    <x v="23"/>
    <n v="0.31"/>
    <n v="113.15"/>
    <n v="407.34"/>
  </r>
  <r>
    <x v="0"/>
    <x v="0"/>
    <x v="0"/>
    <x v="3"/>
    <x v="5"/>
    <s v="DE4-N_A"/>
    <x v="3"/>
    <s v="GNR_ST_MSW_BP_E-33"/>
    <x v="0"/>
    <x v="0"/>
    <n v="138.625580825165"/>
    <n v="50598.337001185202"/>
    <n v="182154.01320426699"/>
  </r>
  <r>
    <x v="0"/>
    <x v="0"/>
    <x v="0"/>
    <x v="3"/>
    <x v="5"/>
    <s v="DE4-N_A"/>
    <x v="3"/>
    <s v="GNR_ST_MSW_BP_E-33"/>
    <x v="0"/>
    <x v="1"/>
    <n v="138.625580825165"/>
    <n v="50598.337001185202"/>
    <n v="182154.01320426699"/>
  </r>
  <r>
    <x v="0"/>
    <x v="0"/>
    <x v="0"/>
    <x v="3"/>
    <x v="5"/>
    <s v="DE4-N_A"/>
    <x v="3"/>
    <s v="GNR_ST_MSW_BP_E-33"/>
    <x v="0"/>
    <x v="2"/>
    <n v="138.625580825165"/>
    <n v="50598.337001185202"/>
    <n v="182154.01320426699"/>
  </r>
  <r>
    <x v="0"/>
    <x v="0"/>
    <x v="0"/>
    <x v="3"/>
    <x v="5"/>
    <s v="DE4-N_A"/>
    <x v="3"/>
    <s v="GNR_ST_MSW_BP_E-33"/>
    <x v="0"/>
    <x v="3"/>
    <n v="138.625580825165"/>
    <n v="50598.337001185202"/>
    <n v="182154.01320426699"/>
  </r>
  <r>
    <x v="0"/>
    <x v="0"/>
    <x v="0"/>
    <x v="3"/>
    <x v="5"/>
    <s v="DE4-N_A"/>
    <x v="3"/>
    <s v="GNR_ST_MSW_BP_E-33"/>
    <x v="0"/>
    <x v="4"/>
    <n v="138.625580825165"/>
    <n v="50598.337001185202"/>
    <n v="182154.01320426699"/>
  </r>
  <r>
    <x v="0"/>
    <x v="0"/>
    <x v="0"/>
    <x v="3"/>
    <x v="5"/>
    <s v="DE4-N_A"/>
    <x v="3"/>
    <s v="GNR_ST_MSW_BP_E-33"/>
    <x v="0"/>
    <x v="5"/>
    <n v="138.625580825165"/>
    <n v="50598.337001185202"/>
    <n v="182154.01320426699"/>
  </r>
  <r>
    <x v="0"/>
    <x v="0"/>
    <x v="0"/>
    <x v="3"/>
    <x v="5"/>
    <s v="DE4-N_A"/>
    <x v="3"/>
    <s v="GNR_ST_MSW_BP_E-33"/>
    <x v="0"/>
    <x v="6"/>
    <n v="138.625580825165"/>
    <n v="50598.337001185202"/>
    <n v="182154.01320426699"/>
  </r>
  <r>
    <x v="0"/>
    <x v="0"/>
    <x v="0"/>
    <x v="3"/>
    <x v="5"/>
    <s v="DE4-N_A"/>
    <x v="3"/>
    <s v="GNR_ST_MSW_BP_E-33"/>
    <x v="0"/>
    <x v="7"/>
    <n v="138.625580825165"/>
    <n v="50598.337001185202"/>
    <n v="182154.01320426699"/>
  </r>
  <r>
    <x v="0"/>
    <x v="0"/>
    <x v="0"/>
    <x v="3"/>
    <x v="5"/>
    <s v="DE4-N_A"/>
    <x v="3"/>
    <s v="GNR_ST_MSW_BP_E-33"/>
    <x v="0"/>
    <x v="8"/>
    <n v="138.625580825165"/>
    <n v="50598.337001185202"/>
    <n v="182154.01320426699"/>
  </r>
  <r>
    <x v="0"/>
    <x v="0"/>
    <x v="0"/>
    <x v="3"/>
    <x v="5"/>
    <s v="DE4-N_A"/>
    <x v="3"/>
    <s v="GNR_ST_MSW_BP_E-33"/>
    <x v="0"/>
    <x v="9"/>
    <n v="138.625580825165"/>
    <n v="50598.337001185202"/>
    <n v="182154.01320426699"/>
  </r>
  <r>
    <x v="0"/>
    <x v="0"/>
    <x v="0"/>
    <x v="3"/>
    <x v="5"/>
    <s v="DE4-N_A"/>
    <x v="3"/>
    <s v="GNR_ST_MSW_BP_E-33"/>
    <x v="0"/>
    <x v="10"/>
    <n v="138.625580825165"/>
    <n v="50598.337001185202"/>
    <n v="182154.01320426699"/>
  </r>
  <r>
    <x v="0"/>
    <x v="0"/>
    <x v="0"/>
    <x v="3"/>
    <x v="5"/>
    <s v="DE4-N_A"/>
    <x v="3"/>
    <s v="GNR_ST_MSW_BP_E-33"/>
    <x v="0"/>
    <x v="11"/>
    <n v="138.625580825165"/>
    <n v="50598.337001185202"/>
    <n v="182154.01320426699"/>
  </r>
  <r>
    <x v="0"/>
    <x v="0"/>
    <x v="0"/>
    <x v="3"/>
    <x v="5"/>
    <s v="DE4-N_A"/>
    <x v="3"/>
    <s v="GNR_ST_MSW_BP_E-33"/>
    <x v="0"/>
    <x v="12"/>
    <n v="138.625580825165"/>
    <n v="50598.337001185202"/>
    <n v="182154.01320426699"/>
  </r>
  <r>
    <x v="0"/>
    <x v="0"/>
    <x v="0"/>
    <x v="3"/>
    <x v="5"/>
    <s v="DE4-N_A"/>
    <x v="3"/>
    <s v="GNR_ST_MSW_BP_E-33"/>
    <x v="0"/>
    <x v="13"/>
    <n v="138.625580825165"/>
    <n v="50598.337001185202"/>
    <n v="182154.01320426699"/>
  </r>
  <r>
    <x v="0"/>
    <x v="0"/>
    <x v="0"/>
    <x v="3"/>
    <x v="5"/>
    <s v="DE4-N_A"/>
    <x v="3"/>
    <s v="GNR_ST_MSW_BP_E-33"/>
    <x v="0"/>
    <x v="14"/>
    <n v="138.625580825165"/>
    <n v="50598.337001185202"/>
    <n v="182154.01320426699"/>
  </r>
  <r>
    <x v="0"/>
    <x v="0"/>
    <x v="0"/>
    <x v="3"/>
    <x v="5"/>
    <s v="DE4-N_A"/>
    <x v="3"/>
    <s v="GNR_ST_MSW_BP_E-33"/>
    <x v="0"/>
    <x v="15"/>
    <n v="138.625580825165"/>
    <n v="50598.337001185202"/>
    <n v="182154.01320426699"/>
  </r>
  <r>
    <x v="0"/>
    <x v="0"/>
    <x v="0"/>
    <x v="3"/>
    <x v="5"/>
    <s v="DE4-N_A"/>
    <x v="3"/>
    <s v="GNR_ST_MSW_BP_E-33"/>
    <x v="0"/>
    <x v="16"/>
    <n v="138.625580825165"/>
    <n v="50598.337001185202"/>
    <n v="182154.01320426699"/>
  </r>
  <r>
    <x v="0"/>
    <x v="0"/>
    <x v="0"/>
    <x v="3"/>
    <x v="5"/>
    <s v="DE4-N_A"/>
    <x v="3"/>
    <s v="GNR_ST_MSW_BP_E-33"/>
    <x v="0"/>
    <x v="17"/>
    <n v="138.625580825165"/>
    <n v="50598.337001185202"/>
    <n v="182154.01320426699"/>
  </r>
  <r>
    <x v="0"/>
    <x v="0"/>
    <x v="0"/>
    <x v="3"/>
    <x v="5"/>
    <s v="DE4-N_A"/>
    <x v="3"/>
    <s v="GNR_ST_MSW_BP_E-33"/>
    <x v="0"/>
    <x v="18"/>
    <n v="138.625580825165"/>
    <n v="50598.337001185202"/>
    <n v="182154.01320426699"/>
  </r>
  <r>
    <x v="0"/>
    <x v="0"/>
    <x v="0"/>
    <x v="3"/>
    <x v="5"/>
    <s v="DE4-N_A"/>
    <x v="3"/>
    <s v="GNR_ST_MSW_BP_E-33"/>
    <x v="0"/>
    <x v="19"/>
    <n v="138.625580825165"/>
    <n v="50598.337001185202"/>
    <n v="182154.01320426699"/>
  </r>
  <r>
    <x v="0"/>
    <x v="0"/>
    <x v="0"/>
    <x v="3"/>
    <x v="5"/>
    <s v="DE4-N_A"/>
    <x v="3"/>
    <s v="GNR_ST_MSW_BP_E-33"/>
    <x v="0"/>
    <x v="20"/>
    <n v="138.625580825165"/>
    <n v="50598.337001185202"/>
    <n v="182154.01320426699"/>
  </r>
  <r>
    <x v="0"/>
    <x v="0"/>
    <x v="0"/>
    <x v="3"/>
    <x v="5"/>
    <s v="DE4-N_A"/>
    <x v="3"/>
    <s v="GNR_ST_MSW_BP_E-33"/>
    <x v="0"/>
    <x v="21"/>
    <n v="138.625580825165"/>
    <n v="50598.337001185202"/>
    <n v="182154.01320426699"/>
  </r>
  <r>
    <x v="0"/>
    <x v="0"/>
    <x v="0"/>
    <x v="3"/>
    <x v="5"/>
    <s v="DE4-N_A"/>
    <x v="3"/>
    <s v="GNR_ST_MSW_BP_E-33"/>
    <x v="0"/>
    <x v="22"/>
    <n v="138.625580825165"/>
    <n v="50598.337001185202"/>
    <n v="182154.01320426699"/>
  </r>
  <r>
    <x v="0"/>
    <x v="0"/>
    <x v="0"/>
    <x v="3"/>
    <x v="5"/>
    <s v="DE4-N_A"/>
    <x v="3"/>
    <s v="GNR_ST_MSW_BP_E-33"/>
    <x v="0"/>
    <x v="23"/>
    <n v="138.625580825165"/>
    <n v="50598.337001185202"/>
    <n v="182154.01320426699"/>
  </r>
  <r>
    <x v="0"/>
    <x v="0"/>
    <x v="0"/>
    <x v="3"/>
    <x v="5"/>
    <s v="DE4-N_A"/>
    <x v="4"/>
    <s v="GNR_CC_NGAS_BP_E-57"/>
    <x v="0"/>
    <x v="0"/>
    <n v="105.833333333333"/>
    <n v="38629.166666666701"/>
    <n v="139065"/>
  </r>
  <r>
    <x v="0"/>
    <x v="0"/>
    <x v="0"/>
    <x v="3"/>
    <x v="5"/>
    <s v="DE4-N_A"/>
    <x v="4"/>
    <s v="GNR_CC_NGAS_BP_E-57"/>
    <x v="0"/>
    <x v="1"/>
    <n v="105.833333333333"/>
    <n v="38629.166666666701"/>
    <n v="139065"/>
  </r>
  <r>
    <x v="0"/>
    <x v="0"/>
    <x v="0"/>
    <x v="3"/>
    <x v="5"/>
    <s v="DE4-N_A"/>
    <x v="4"/>
    <s v="GNR_CC_NGAS_BP_E-57"/>
    <x v="0"/>
    <x v="2"/>
    <n v="105.833333333333"/>
    <n v="38629.166666666701"/>
    <n v="139065"/>
  </r>
  <r>
    <x v="0"/>
    <x v="0"/>
    <x v="0"/>
    <x v="3"/>
    <x v="5"/>
    <s v="DE4-N_A"/>
    <x v="4"/>
    <s v="GNR_CC_NGAS_BP_E-57"/>
    <x v="0"/>
    <x v="3"/>
    <n v="105.833333333333"/>
    <n v="38629.166666666701"/>
    <n v="139065"/>
  </r>
  <r>
    <x v="0"/>
    <x v="0"/>
    <x v="0"/>
    <x v="3"/>
    <x v="5"/>
    <s v="DE4-N_A"/>
    <x v="4"/>
    <s v="GNR_CC_NGAS_BP_E-57"/>
    <x v="0"/>
    <x v="4"/>
    <n v="105.833333333333"/>
    <n v="38629.166666666701"/>
    <n v="139065"/>
  </r>
  <r>
    <x v="0"/>
    <x v="0"/>
    <x v="0"/>
    <x v="3"/>
    <x v="5"/>
    <s v="DE4-N_A"/>
    <x v="4"/>
    <s v="GNR_CC_NGAS_BP_E-57"/>
    <x v="0"/>
    <x v="5"/>
    <n v="105.833333333333"/>
    <n v="38629.166666666701"/>
    <n v="139065"/>
  </r>
  <r>
    <x v="0"/>
    <x v="0"/>
    <x v="0"/>
    <x v="3"/>
    <x v="5"/>
    <s v="DE4-N_A"/>
    <x v="4"/>
    <s v="GNR_CC_NGAS_BP_E-57"/>
    <x v="0"/>
    <x v="6"/>
    <n v="105.833333333333"/>
    <n v="38629.166666666701"/>
    <n v="139065"/>
  </r>
  <r>
    <x v="0"/>
    <x v="0"/>
    <x v="0"/>
    <x v="3"/>
    <x v="5"/>
    <s v="DE4-N_A"/>
    <x v="4"/>
    <s v="GNR_CC_NGAS_BP_E-57"/>
    <x v="0"/>
    <x v="7"/>
    <n v="105.833333333333"/>
    <n v="38629.166666666701"/>
    <n v="139065"/>
  </r>
  <r>
    <x v="0"/>
    <x v="0"/>
    <x v="0"/>
    <x v="3"/>
    <x v="5"/>
    <s v="DE4-N_A"/>
    <x v="4"/>
    <s v="GNR_CC_NGAS_BP_E-57"/>
    <x v="0"/>
    <x v="8"/>
    <n v="105.833333333333"/>
    <n v="38629.166666666701"/>
    <n v="139065"/>
  </r>
  <r>
    <x v="0"/>
    <x v="0"/>
    <x v="0"/>
    <x v="3"/>
    <x v="5"/>
    <s v="DE4-N_A"/>
    <x v="4"/>
    <s v="GNR_CC_NGAS_BP_E-57"/>
    <x v="0"/>
    <x v="9"/>
    <n v="105.833333333333"/>
    <n v="38629.166666666701"/>
    <n v="139065"/>
  </r>
  <r>
    <x v="0"/>
    <x v="0"/>
    <x v="0"/>
    <x v="3"/>
    <x v="5"/>
    <s v="DE4-N_A"/>
    <x v="4"/>
    <s v="GNR_CC_NGAS_BP_E-57"/>
    <x v="0"/>
    <x v="10"/>
    <n v="105.833333333333"/>
    <n v="38629.166666666701"/>
    <n v="139065"/>
  </r>
  <r>
    <x v="0"/>
    <x v="0"/>
    <x v="0"/>
    <x v="3"/>
    <x v="5"/>
    <s v="DE4-N_A"/>
    <x v="4"/>
    <s v="GNR_CC_NGAS_BP_E-57"/>
    <x v="0"/>
    <x v="11"/>
    <n v="105.833333333333"/>
    <n v="38629.166666666701"/>
    <n v="139065"/>
  </r>
  <r>
    <x v="0"/>
    <x v="0"/>
    <x v="0"/>
    <x v="3"/>
    <x v="5"/>
    <s v="DE4-N_A"/>
    <x v="4"/>
    <s v="GNR_CC_NGAS_BP_E-57"/>
    <x v="0"/>
    <x v="12"/>
    <n v="105.833333333333"/>
    <n v="38629.166666666701"/>
    <n v="139065"/>
  </r>
  <r>
    <x v="0"/>
    <x v="0"/>
    <x v="0"/>
    <x v="3"/>
    <x v="5"/>
    <s v="DE4-N_A"/>
    <x v="4"/>
    <s v="GNR_CC_NGAS_BP_E-57"/>
    <x v="0"/>
    <x v="13"/>
    <n v="105.833333333333"/>
    <n v="38629.166666666701"/>
    <n v="139065"/>
  </r>
  <r>
    <x v="0"/>
    <x v="0"/>
    <x v="0"/>
    <x v="3"/>
    <x v="5"/>
    <s v="DE4-N_A"/>
    <x v="4"/>
    <s v="GNR_CC_NGAS_BP_E-57"/>
    <x v="0"/>
    <x v="14"/>
    <n v="105.833333333333"/>
    <n v="38629.166666666701"/>
    <n v="139065"/>
  </r>
  <r>
    <x v="0"/>
    <x v="0"/>
    <x v="0"/>
    <x v="3"/>
    <x v="5"/>
    <s v="DE4-N_A"/>
    <x v="4"/>
    <s v="GNR_CC_NGAS_BP_E-57"/>
    <x v="0"/>
    <x v="15"/>
    <n v="105.833333333333"/>
    <n v="38629.166666666701"/>
    <n v="139065"/>
  </r>
  <r>
    <x v="0"/>
    <x v="0"/>
    <x v="0"/>
    <x v="3"/>
    <x v="5"/>
    <s v="DE4-N_A"/>
    <x v="4"/>
    <s v="GNR_CC_NGAS_BP_E-57"/>
    <x v="0"/>
    <x v="16"/>
    <n v="105.833333333333"/>
    <n v="38629.166666666701"/>
    <n v="139065"/>
  </r>
  <r>
    <x v="0"/>
    <x v="0"/>
    <x v="0"/>
    <x v="3"/>
    <x v="5"/>
    <s v="DE4-N_A"/>
    <x v="4"/>
    <s v="GNR_CC_NGAS_BP_E-57"/>
    <x v="0"/>
    <x v="17"/>
    <n v="105.833333333333"/>
    <n v="38629.166666666701"/>
    <n v="139065"/>
  </r>
  <r>
    <x v="0"/>
    <x v="0"/>
    <x v="0"/>
    <x v="3"/>
    <x v="5"/>
    <s v="DE4-N_A"/>
    <x v="4"/>
    <s v="GNR_CC_NGAS_BP_E-57"/>
    <x v="0"/>
    <x v="18"/>
    <n v="105.833333333333"/>
    <n v="38629.166666666701"/>
    <n v="139065"/>
  </r>
  <r>
    <x v="0"/>
    <x v="0"/>
    <x v="0"/>
    <x v="3"/>
    <x v="5"/>
    <s v="DE4-N_A"/>
    <x v="4"/>
    <s v="GNR_CC_NGAS_BP_E-57"/>
    <x v="0"/>
    <x v="19"/>
    <n v="105.833333333333"/>
    <n v="38629.166666666701"/>
    <n v="139065"/>
  </r>
  <r>
    <x v="0"/>
    <x v="0"/>
    <x v="0"/>
    <x v="3"/>
    <x v="5"/>
    <s v="DE4-N_A"/>
    <x v="4"/>
    <s v="GNR_CC_NGAS_BP_E-57"/>
    <x v="0"/>
    <x v="20"/>
    <n v="105.833333333333"/>
    <n v="38629.166666666701"/>
    <n v="139065"/>
  </r>
  <r>
    <x v="0"/>
    <x v="0"/>
    <x v="0"/>
    <x v="3"/>
    <x v="5"/>
    <s v="DE4-N_A"/>
    <x v="4"/>
    <s v="GNR_CC_NGAS_BP_E-57"/>
    <x v="0"/>
    <x v="21"/>
    <n v="105.833333333333"/>
    <n v="38629.166666666701"/>
    <n v="139065"/>
  </r>
  <r>
    <x v="0"/>
    <x v="0"/>
    <x v="0"/>
    <x v="3"/>
    <x v="5"/>
    <s v="DE4-N_A"/>
    <x v="4"/>
    <s v="GNR_CC_NGAS_BP_E-57"/>
    <x v="0"/>
    <x v="22"/>
    <n v="105.833333333333"/>
    <n v="38629.166666666701"/>
    <n v="139065"/>
  </r>
  <r>
    <x v="0"/>
    <x v="0"/>
    <x v="0"/>
    <x v="3"/>
    <x v="5"/>
    <s v="DE4-N_A"/>
    <x v="4"/>
    <s v="GNR_CC_NGAS_BP_E-57"/>
    <x v="0"/>
    <x v="23"/>
    <n v="105.833333333333"/>
    <n v="38629.166666666701"/>
    <n v="139065"/>
  </r>
  <r>
    <x v="0"/>
    <x v="0"/>
    <x v="0"/>
    <x v="3"/>
    <x v="6"/>
    <s v="DE4-S_A"/>
    <x v="0"/>
    <s v="GNR_ENG_BGAS_BP_E-45"/>
    <x v="0"/>
    <x v="0"/>
    <n v="57.756097560975597"/>
    <n v="21080.9756097561"/>
    <n v="75891.512195121904"/>
  </r>
  <r>
    <x v="0"/>
    <x v="0"/>
    <x v="0"/>
    <x v="3"/>
    <x v="6"/>
    <s v="DE4-S_A"/>
    <x v="0"/>
    <s v="GNR_ENG_BGAS_BP_E-45"/>
    <x v="0"/>
    <x v="1"/>
    <n v="57.756097560975597"/>
    <n v="21080.9756097561"/>
    <n v="75891.512195121904"/>
  </r>
  <r>
    <x v="0"/>
    <x v="0"/>
    <x v="0"/>
    <x v="3"/>
    <x v="6"/>
    <s v="DE4-S_A"/>
    <x v="0"/>
    <s v="GNR_ENG_BGAS_BP_E-45"/>
    <x v="0"/>
    <x v="2"/>
    <n v="57.756097560975597"/>
    <n v="21080.9756097561"/>
    <n v="75891.512195121904"/>
  </r>
  <r>
    <x v="0"/>
    <x v="0"/>
    <x v="0"/>
    <x v="3"/>
    <x v="6"/>
    <s v="DE4-S_A"/>
    <x v="0"/>
    <s v="GNR_ENG_BGAS_BP_E-45"/>
    <x v="0"/>
    <x v="3"/>
    <n v="57.756097560975597"/>
    <n v="21080.9756097561"/>
    <n v="75891.512195121904"/>
  </r>
  <r>
    <x v="0"/>
    <x v="0"/>
    <x v="0"/>
    <x v="3"/>
    <x v="6"/>
    <s v="DE4-S_A"/>
    <x v="0"/>
    <s v="GNR_ENG_BGAS_BP_E-45"/>
    <x v="0"/>
    <x v="4"/>
    <n v="57.756097560975597"/>
    <n v="21080.9756097561"/>
    <n v="75891.512195121904"/>
  </r>
  <r>
    <x v="0"/>
    <x v="0"/>
    <x v="0"/>
    <x v="3"/>
    <x v="6"/>
    <s v="DE4-S_A"/>
    <x v="0"/>
    <s v="GNR_ENG_BGAS_BP_E-45"/>
    <x v="0"/>
    <x v="5"/>
    <n v="57.756097560975597"/>
    <n v="21080.9756097561"/>
    <n v="75891.512195121904"/>
  </r>
  <r>
    <x v="0"/>
    <x v="0"/>
    <x v="0"/>
    <x v="3"/>
    <x v="6"/>
    <s v="DE4-S_A"/>
    <x v="0"/>
    <s v="GNR_ENG_BGAS_BP_E-45"/>
    <x v="0"/>
    <x v="6"/>
    <n v="57.756097560975597"/>
    <n v="21080.9756097561"/>
    <n v="75891.512195121904"/>
  </r>
  <r>
    <x v="0"/>
    <x v="0"/>
    <x v="0"/>
    <x v="3"/>
    <x v="6"/>
    <s v="DE4-S_A"/>
    <x v="0"/>
    <s v="GNR_ENG_BGAS_BP_E-45"/>
    <x v="0"/>
    <x v="7"/>
    <n v="57.756097560975597"/>
    <n v="21080.9756097561"/>
    <n v="75891.512195121904"/>
  </r>
  <r>
    <x v="0"/>
    <x v="0"/>
    <x v="0"/>
    <x v="3"/>
    <x v="6"/>
    <s v="DE4-S_A"/>
    <x v="0"/>
    <s v="GNR_ENG_BGAS_BP_E-45"/>
    <x v="0"/>
    <x v="8"/>
    <n v="57.756097560975597"/>
    <n v="21080.9756097561"/>
    <n v="75891.512195121904"/>
  </r>
  <r>
    <x v="0"/>
    <x v="0"/>
    <x v="0"/>
    <x v="3"/>
    <x v="6"/>
    <s v="DE4-S_A"/>
    <x v="0"/>
    <s v="GNR_ENG_BGAS_BP_E-45"/>
    <x v="0"/>
    <x v="9"/>
    <n v="57.756097560975597"/>
    <n v="21080.9756097561"/>
    <n v="75891.512195121904"/>
  </r>
  <r>
    <x v="0"/>
    <x v="0"/>
    <x v="0"/>
    <x v="3"/>
    <x v="6"/>
    <s v="DE4-S_A"/>
    <x v="0"/>
    <s v="GNR_ENG_BGAS_BP_E-45"/>
    <x v="0"/>
    <x v="10"/>
    <n v="57.756097560975597"/>
    <n v="21080.9756097561"/>
    <n v="75891.512195121904"/>
  </r>
  <r>
    <x v="0"/>
    <x v="0"/>
    <x v="0"/>
    <x v="3"/>
    <x v="6"/>
    <s v="DE4-S_A"/>
    <x v="0"/>
    <s v="GNR_ENG_BGAS_BP_E-45"/>
    <x v="0"/>
    <x v="11"/>
    <n v="57.756097560975597"/>
    <n v="21080.9756097561"/>
    <n v="75891.512195121904"/>
  </r>
  <r>
    <x v="0"/>
    <x v="0"/>
    <x v="0"/>
    <x v="3"/>
    <x v="6"/>
    <s v="DE4-S_A"/>
    <x v="0"/>
    <s v="GNR_ENG_BGAS_BP_E-45"/>
    <x v="0"/>
    <x v="12"/>
    <n v="57.756097560975597"/>
    <n v="21080.9756097561"/>
    <n v="75891.512195121904"/>
  </r>
  <r>
    <x v="0"/>
    <x v="0"/>
    <x v="0"/>
    <x v="3"/>
    <x v="6"/>
    <s v="DE4-S_A"/>
    <x v="0"/>
    <s v="GNR_ENG_BGAS_BP_E-45"/>
    <x v="0"/>
    <x v="13"/>
    <n v="57.756097560975597"/>
    <n v="21080.9756097561"/>
    <n v="75891.512195121904"/>
  </r>
  <r>
    <x v="0"/>
    <x v="0"/>
    <x v="0"/>
    <x v="3"/>
    <x v="6"/>
    <s v="DE4-S_A"/>
    <x v="0"/>
    <s v="GNR_ENG_BGAS_BP_E-45"/>
    <x v="0"/>
    <x v="14"/>
    <n v="57.756097560975597"/>
    <n v="21080.9756097561"/>
    <n v="75891.512195121904"/>
  </r>
  <r>
    <x v="0"/>
    <x v="0"/>
    <x v="0"/>
    <x v="3"/>
    <x v="6"/>
    <s v="DE4-S_A"/>
    <x v="0"/>
    <s v="GNR_ENG_BGAS_BP_E-45"/>
    <x v="0"/>
    <x v="15"/>
    <n v="57.756097560975597"/>
    <n v="21080.9756097561"/>
    <n v="75891.512195121904"/>
  </r>
  <r>
    <x v="0"/>
    <x v="0"/>
    <x v="0"/>
    <x v="3"/>
    <x v="6"/>
    <s v="DE4-S_A"/>
    <x v="0"/>
    <s v="GNR_ENG_BGAS_BP_E-45"/>
    <x v="0"/>
    <x v="16"/>
    <n v="57.756097560975597"/>
    <n v="21080.9756097561"/>
    <n v="75891.512195121904"/>
  </r>
  <r>
    <x v="0"/>
    <x v="0"/>
    <x v="0"/>
    <x v="3"/>
    <x v="6"/>
    <s v="DE4-S_A"/>
    <x v="0"/>
    <s v="GNR_ENG_BGAS_BP_E-45"/>
    <x v="0"/>
    <x v="17"/>
    <n v="57.756097560975597"/>
    <n v="21080.9756097561"/>
    <n v="75891.512195121904"/>
  </r>
  <r>
    <x v="0"/>
    <x v="0"/>
    <x v="0"/>
    <x v="3"/>
    <x v="6"/>
    <s v="DE4-S_A"/>
    <x v="0"/>
    <s v="GNR_ENG_BGAS_BP_E-45"/>
    <x v="0"/>
    <x v="18"/>
    <n v="57.756097560975597"/>
    <n v="21080.9756097561"/>
    <n v="75891.512195121904"/>
  </r>
  <r>
    <x v="0"/>
    <x v="0"/>
    <x v="0"/>
    <x v="3"/>
    <x v="6"/>
    <s v="DE4-S_A"/>
    <x v="0"/>
    <s v="GNR_ENG_BGAS_BP_E-45"/>
    <x v="0"/>
    <x v="19"/>
    <n v="57.756097560975597"/>
    <n v="21080.9756097561"/>
    <n v="75891.512195121904"/>
  </r>
  <r>
    <x v="0"/>
    <x v="0"/>
    <x v="0"/>
    <x v="3"/>
    <x v="6"/>
    <s v="DE4-S_A"/>
    <x v="0"/>
    <s v="GNR_ENG_BGAS_BP_E-45"/>
    <x v="0"/>
    <x v="20"/>
    <n v="57.756097560975597"/>
    <n v="21080.9756097561"/>
    <n v="75891.512195121904"/>
  </r>
  <r>
    <x v="0"/>
    <x v="0"/>
    <x v="0"/>
    <x v="3"/>
    <x v="6"/>
    <s v="DE4-S_A"/>
    <x v="0"/>
    <s v="GNR_ENG_BGAS_BP_E-45"/>
    <x v="0"/>
    <x v="21"/>
    <n v="57.756097560975597"/>
    <n v="21080.9756097561"/>
    <n v="75891.512195121904"/>
  </r>
  <r>
    <x v="0"/>
    <x v="0"/>
    <x v="0"/>
    <x v="3"/>
    <x v="6"/>
    <s v="DE4-S_A"/>
    <x v="0"/>
    <s v="GNR_ENG_BGAS_BP_E-45"/>
    <x v="0"/>
    <x v="22"/>
    <n v="57.756097560975597"/>
    <n v="21080.9756097561"/>
    <n v="75891.512195121904"/>
  </r>
  <r>
    <x v="0"/>
    <x v="0"/>
    <x v="0"/>
    <x v="3"/>
    <x v="6"/>
    <s v="DE4-S_A"/>
    <x v="0"/>
    <s v="GNR_ENG_BGAS_BP_E-45"/>
    <x v="0"/>
    <x v="23"/>
    <n v="57.756097560975597"/>
    <n v="21080.9756097561"/>
    <n v="75891.512195121904"/>
  </r>
  <r>
    <x v="0"/>
    <x v="0"/>
    <x v="0"/>
    <x v="3"/>
    <x v="6"/>
    <s v="DE4-S_A"/>
    <x v="0"/>
    <s v="GNR_ST_BGAS_BP_E-38"/>
    <x v="0"/>
    <x v="0"/>
    <n v="373.142857142857"/>
    <n v="136197.14285714299"/>
    <n v="490309.71428571403"/>
  </r>
  <r>
    <x v="0"/>
    <x v="0"/>
    <x v="0"/>
    <x v="3"/>
    <x v="6"/>
    <s v="DE4-S_A"/>
    <x v="0"/>
    <s v="GNR_ST_BGAS_BP_E-38"/>
    <x v="0"/>
    <x v="1"/>
    <n v="373.142857142857"/>
    <n v="136197.14285714299"/>
    <n v="490309.71428571403"/>
  </r>
  <r>
    <x v="0"/>
    <x v="0"/>
    <x v="0"/>
    <x v="3"/>
    <x v="6"/>
    <s v="DE4-S_A"/>
    <x v="0"/>
    <s v="GNR_ST_BGAS_BP_E-38"/>
    <x v="0"/>
    <x v="2"/>
    <n v="373.142857142857"/>
    <n v="136197.14285714299"/>
    <n v="490309.71428571403"/>
  </r>
  <r>
    <x v="0"/>
    <x v="0"/>
    <x v="0"/>
    <x v="3"/>
    <x v="6"/>
    <s v="DE4-S_A"/>
    <x v="0"/>
    <s v="GNR_ST_BGAS_BP_E-38"/>
    <x v="0"/>
    <x v="3"/>
    <n v="373.142857142857"/>
    <n v="136197.14285714299"/>
    <n v="490309.71428571403"/>
  </r>
  <r>
    <x v="0"/>
    <x v="0"/>
    <x v="0"/>
    <x v="3"/>
    <x v="6"/>
    <s v="DE4-S_A"/>
    <x v="0"/>
    <s v="GNR_ST_BGAS_BP_E-38"/>
    <x v="0"/>
    <x v="4"/>
    <n v="373.142857142857"/>
    <n v="136197.14285714299"/>
    <n v="490309.71428571403"/>
  </r>
  <r>
    <x v="0"/>
    <x v="0"/>
    <x v="0"/>
    <x v="3"/>
    <x v="6"/>
    <s v="DE4-S_A"/>
    <x v="0"/>
    <s v="GNR_ST_BGAS_BP_E-38"/>
    <x v="0"/>
    <x v="5"/>
    <n v="373.142857142857"/>
    <n v="136197.14285714299"/>
    <n v="490309.71428571403"/>
  </r>
  <r>
    <x v="0"/>
    <x v="0"/>
    <x v="0"/>
    <x v="3"/>
    <x v="6"/>
    <s v="DE4-S_A"/>
    <x v="0"/>
    <s v="GNR_ST_BGAS_BP_E-38"/>
    <x v="0"/>
    <x v="6"/>
    <n v="373.142857142857"/>
    <n v="136197.14285714299"/>
    <n v="490309.71428571403"/>
  </r>
  <r>
    <x v="0"/>
    <x v="0"/>
    <x v="0"/>
    <x v="3"/>
    <x v="6"/>
    <s v="DE4-S_A"/>
    <x v="0"/>
    <s v="GNR_ST_BGAS_BP_E-38"/>
    <x v="0"/>
    <x v="7"/>
    <n v="373.142857142857"/>
    <n v="136197.14285714299"/>
    <n v="490309.71428571403"/>
  </r>
  <r>
    <x v="0"/>
    <x v="0"/>
    <x v="0"/>
    <x v="3"/>
    <x v="6"/>
    <s v="DE4-S_A"/>
    <x v="0"/>
    <s v="GNR_ST_BGAS_BP_E-38"/>
    <x v="0"/>
    <x v="8"/>
    <n v="373.142857142857"/>
    <n v="136197.14285714299"/>
    <n v="490309.71428571403"/>
  </r>
  <r>
    <x v="0"/>
    <x v="0"/>
    <x v="0"/>
    <x v="3"/>
    <x v="6"/>
    <s v="DE4-S_A"/>
    <x v="0"/>
    <s v="GNR_ST_BGAS_BP_E-38"/>
    <x v="0"/>
    <x v="9"/>
    <n v="373.142857142857"/>
    <n v="136197.14285714299"/>
    <n v="490309.71428571403"/>
  </r>
  <r>
    <x v="0"/>
    <x v="0"/>
    <x v="0"/>
    <x v="3"/>
    <x v="6"/>
    <s v="DE4-S_A"/>
    <x v="0"/>
    <s v="GNR_ST_BGAS_BP_E-38"/>
    <x v="0"/>
    <x v="10"/>
    <n v="373.142857142857"/>
    <n v="136197.14285714299"/>
    <n v="490309.71428571403"/>
  </r>
  <r>
    <x v="0"/>
    <x v="0"/>
    <x v="0"/>
    <x v="3"/>
    <x v="6"/>
    <s v="DE4-S_A"/>
    <x v="0"/>
    <s v="GNR_ST_BGAS_BP_E-38"/>
    <x v="0"/>
    <x v="11"/>
    <n v="373.142857142857"/>
    <n v="136197.14285714299"/>
    <n v="490309.71428571403"/>
  </r>
  <r>
    <x v="0"/>
    <x v="0"/>
    <x v="0"/>
    <x v="3"/>
    <x v="6"/>
    <s v="DE4-S_A"/>
    <x v="0"/>
    <s v="GNR_ST_BGAS_BP_E-38"/>
    <x v="0"/>
    <x v="12"/>
    <n v="373.142857142857"/>
    <n v="136197.14285714299"/>
    <n v="490309.71428571403"/>
  </r>
  <r>
    <x v="0"/>
    <x v="0"/>
    <x v="0"/>
    <x v="3"/>
    <x v="6"/>
    <s v="DE4-S_A"/>
    <x v="0"/>
    <s v="GNR_ST_BGAS_BP_E-38"/>
    <x v="0"/>
    <x v="13"/>
    <n v="373.142857142857"/>
    <n v="136197.14285714299"/>
    <n v="490309.71428571403"/>
  </r>
  <r>
    <x v="0"/>
    <x v="0"/>
    <x v="0"/>
    <x v="3"/>
    <x v="6"/>
    <s v="DE4-S_A"/>
    <x v="0"/>
    <s v="GNR_ST_BGAS_BP_E-38"/>
    <x v="0"/>
    <x v="14"/>
    <n v="373.142857142857"/>
    <n v="136197.14285714299"/>
    <n v="490309.71428571403"/>
  </r>
  <r>
    <x v="0"/>
    <x v="0"/>
    <x v="0"/>
    <x v="3"/>
    <x v="6"/>
    <s v="DE4-S_A"/>
    <x v="0"/>
    <s v="GNR_ST_BGAS_BP_E-38"/>
    <x v="0"/>
    <x v="15"/>
    <n v="373.142857142857"/>
    <n v="136197.14285714299"/>
    <n v="490309.71428571403"/>
  </r>
  <r>
    <x v="0"/>
    <x v="0"/>
    <x v="0"/>
    <x v="3"/>
    <x v="6"/>
    <s v="DE4-S_A"/>
    <x v="0"/>
    <s v="GNR_ST_BGAS_BP_E-38"/>
    <x v="0"/>
    <x v="16"/>
    <n v="373.142857142857"/>
    <n v="136197.14285714299"/>
    <n v="490309.71428571403"/>
  </r>
  <r>
    <x v="0"/>
    <x v="0"/>
    <x v="0"/>
    <x v="3"/>
    <x v="6"/>
    <s v="DE4-S_A"/>
    <x v="0"/>
    <s v="GNR_ST_BGAS_BP_E-38"/>
    <x v="0"/>
    <x v="17"/>
    <n v="373.142857142857"/>
    <n v="136197.14285714299"/>
    <n v="490309.71428571403"/>
  </r>
  <r>
    <x v="0"/>
    <x v="0"/>
    <x v="0"/>
    <x v="3"/>
    <x v="6"/>
    <s v="DE4-S_A"/>
    <x v="0"/>
    <s v="GNR_ST_BGAS_BP_E-38"/>
    <x v="0"/>
    <x v="18"/>
    <n v="373.142857142857"/>
    <n v="136197.14285714299"/>
    <n v="490309.71428571403"/>
  </r>
  <r>
    <x v="0"/>
    <x v="0"/>
    <x v="0"/>
    <x v="3"/>
    <x v="6"/>
    <s v="DE4-S_A"/>
    <x v="0"/>
    <s v="GNR_ST_BGAS_BP_E-38"/>
    <x v="0"/>
    <x v="19"/>
    <n v="373.142857142857"/>
    <n v="136197.14285714299"/>
    <n v="490309.71428571403"/>
  </r>
  <r>
    <x v="0"/>
    <x v="0"/>
    <x v="0"/>
    <x v="3"/>
    <x v="6"/>
    <s v="DE4-S_A"/>
    <x v="0"/>
    <s v="GNR_ST_BGAS_BP_E-38"/>
    <x v="0"/>
    <x v="20"/>
    <n v="373.142857142857"/>
    <n v="136197.14285714299"/>
    <n v="490309.71428571403"/>
  </r>
  <r>
    <x v="0"/>
    <x v="0"/>
    <x v="0"/>
    <x v="3"/>
    <x v="6"/>
    <s v="DE4-S_A"/>
    <x v="0"/>
    <s v="GNR_ST_BGAS_BP_E-38"/>
    <x v="0"/>
    <x v="21"/>
    <n v="373.142857142857"/>
    <n v="136197.14285714299"/>
    <n v="490309.71428571403"/>
  </r>
  <r>
    <x v="0"/>
    <x v="0"/>
    <x v="0"/>
    <x v="3"/>
    <x v="6"/>
    <s v="DE4-S_A"/>
    <x v="0"/>
    <s v="GNR_ST_BGAS_BP_E-38"/>
    <x v="0"/>
    <x v="22"/>
    <n v="373.142857142857"/>
    <n v="136197.14285714299"/>
    <n v="490309.71428571403"/>
  </r>
  <r>
    <x v="0"/>
    <x v="0"/>
    <x v="0"/>
    <x v="3"/>
    <x v="6"/>
    <s v="DE4-S_A"/>
    <x v="0"/>
    <s v="GNR_ST_BGAS_BP_E-38"/>
    <x v="0"/>
    <x v="23"/>
    <n v="373.142857142857"/>
    <n v="136197.14285714299"/>
    <n v="490309.71428571403"/>
  </r>
  <r>
    <x v="0"/>
    <x v="0"/>
    <x v="0"/>
    <x v="3"/>
    <x v="6"/>
    <s v="DE4-S_A"/>
    <x v="3"/>
    <s v="GNR_ST_MSW_BP_E-33"/>
    <x v="0"/>
    <x v="0"/>
    <n v="1352.1065798044699"/>
    <n v="493518.90162863297"/>
    <n v="1776668.0458630801"/>
  </r>
  <r>
    <x v="0"/>
    <x v="0"/>
    <x v="0"/>
    <x v="3"/>
    <x v="6"/>
    <s v="DE4-S_A"/>
    <x v="3"/>
    <s v="GNR_ST_MSW_BP_E-33"/>
    <x v="0"/>
    <x v="1"/>
    <n v="1352.1065798044699"/>
    <n v="493518.90162863297"/>
    <n v="1776668.0458630801"/>
  </r>
  <r>
    <x v="0"/>
    <x v="0"/>
    <x v="0"/>
    <x v="3"/>
    <x v="6"/>
    <s v="DE4-S_A"/>
    <x v="3"/>
    <s v="GNR_ST_MSW_BP_E-33"/>
    <x v="0"/>
    <x v="2"/>
    <n v="1352.1065798044699"/>
    <n v="493518.90162863297"/>
    <n v="1776668.0458630801"/>
  </r>
  <r>
    <x v="0"/>
    <x v="0"/>
    <x v="0"/>
    <x v="3"/>
    <x v="6"/>
    <s v="DE4-S_A"/>
    <x v="3"/>
    <s v="GNR_ST_MSW_BP_E-33"/>
    <x v="0"/>
    <x v="3"/>
    <n v="1352.1065798044699"/>
    <n v="493518.90162863297"/>
    <n v="1776668.0458630801"/>
  </r>
  <r>
    <x v="0"/>
    <x v="0"/>
    <x v="0"/>
    <x v="3"/>
    <x v="6"/>
    <s v="DE4-S_A"/>
    <x v="3"/>
    <s v="GNR_ST_MSW_BP_E-33"/>
    <x v="0"/>
    <x v="4"/>
    <n v="1352.1065798044699"/>
    <n v="493518.90162863297"/>
    <n v="1776668.0458630801"/>
  </r>
  <r>
    <x v="0"/>
    <x v="0"/>
    <x v="0"/>
    <x v="3"/>
    <x v="6"/>
    <s v="DE4-S_A"/>
    <x v="3"/>
    <s v="GNR_ST_MSW_BP_E-33"/>
    <x v="0"/>
    <x v="5"/>
    <n v="1352.1065798044699"/>
    <n v="493518.90162863297"/>
    <n v="1776668.0458630801"/>
  </r>
  <r>
    <x v="0"/>
    <x v="0"/>
    <x v="0"/>
    <x v="3"/>
    <x v="6"/>
    <s v="DE4-S_A"/>
    <x v="3"/>
    <s v="GNR_ST_MSW_BP_E-33"/>
    <x v="0"/>
    <x v="6"/>
    <n v="1352.1065798044699"/>
    <n v="493518.90162863297"/>
    <n v="1776668.0458630801"/>
  </r>
  <r>
    <x v="0"/>
    <x v="0"/>
    <x v="0"/>
    <x v="3"/>
    <x v="6"/>
    <s v="DE4-S_A"/>
    <x v="3"/>
    <s v="GNR_ST_MSW_BP_E-33"/>
    <x v="0"/>
    <x v="7"/>
    <n v="1352.1065798044699"/>
    <n v="493518.90162863297"/>
    <n v="1776668.0458630801"/>
  </r>
  <r>
    <x v="0"/>
    <x v="0"/>
    <x v="0"/>
    <x v="3"/>
    <x v="6"/>
    <s v="DE4-S_A"/>
    <x v="3"/>
    <s v="GNR_ST_MSW_BP_E-33"/>
    <x v="0"/>
    <x v="8"/>
    <n v="1352.1065798044699"/>
    <n v="493518.90162863297"/>
    <n v="1776668.0458630801"/>
  </r>
  <r>
    <x v="0"/>
    <x v="0"/>
    <x v="0"/>
    <x v="3"/>
    <x v="6"/>
    <s v="DE4-S_A"/>
    <x v="3"/>
    <s v="GNR_ST_MSW_BP_E-33"/>
    <x v="0"/>
    <x v="9"/>
    <n v="1352.1065798044699"/>
    <n v="493518.90162863297"/>
    <n v="1776668.0458630801"/>
  </r>
  <r>
    <x v="0"/>
    <x v="0"/>
    <x v="0"/>
    <x v="3"/>
    <x v="6"/>
    <s v="DE4-S_A"/>
    <x v="3"/>
    <s v="GNR_ST_MSW_BP_E-33"/>
    <x v="0"/>
    <x v="10"/>
    <n v="1352.1065798044699"/>
    <n v="493518.90162863297"/>
    <n v="1776668.0458630801"/>
  </r>
  <r>
    <x v="0"/>
    <x v="0"/>
    <x v="0"/>
    <x v="3"/>
    <x v="6"/>
    <s v="DE4-S_A"/>
    <x v="3"/>
    <s v="GNR_ST_MSW_BP_E-33"/>
    <x v="0"/>
    <x v="11"/>
    <n v="1352.1065798044699"/>
    <n v="493518.90162863297"/>
    <n v="1776668.0458630801"/>
  </r>
  <r>
    <x v="0"/>
    <x v="0"/>
    <x v="0"/>
    <x v="3"/>
    <x v="6"/>
    <s v="DE4-S_A"/>
    <x v="3"/>
    <s v="GNR_ST_MSW_BP_E-33"/>
    <x v="0"/>
    <x v="12"/>
    <n v="1352.1065798044699"/>
    <n v="493518.90162863297"/>
    <n v="1776668.0458630801"/>
  </r>
  <r>
    <x v="0"/>
    <x v="0"/>
    <x v="0"/>
    <x v="3"/>
    <x v="6"/>
    <s v="DE4-S_A"/>
    <x v="3"/>
    <s v="GNR_ST_MSW_BP_E-33"/>
    <x v="0"/>
    <x v="13"/>
    <n v="1352.1065798044699"/>
    <n v="493518.90162863297"/>
    <n v="1776668.0458630801"/>
  </r>
  <r>
    <x v="0"/>
    <x v="0"/>
    <x v="0"/>
    <x v="3"/>
    <x v="6"/>
    <s v="DE4-S_A"/>
    <x v="3"/>
    <s v="GNR_ST_MSW_BP_E-33"/>
    <x v="0"/>
    <x v="14"/>
    <n v="1352.1065798044699"/>
    <n v="493518.90162863297"/>
    <n v="1776668.0458630801"/>
  </r>
  <r>
    <x v="0"/>
    <x v="0"/>
    <x v="0"/>
    <x v="3"/>
    <x v="6"/>
    <s v="DE4-S_A"/>
    <x v="3"/>
    <s v="GNR_ST_MSW_BP_E-33"/>
    <x v="0"/>
    <x v="15"/>
    <n v="1352.1065798044699"/>
    <n v="493518.90162863297"/>
    <n v="1776668.0458630801"/>
  </r>
  <r>
    <x v="0"/>
    <x v="0"/>
    <x v="0"/>
    <x v="3"/>
    <x v="6"/>
    <s v="DE4-S_A"/>
    <x v="3"/>
    <s v="GNR_ST_MSW_BP_E-33"/>
    <x v="0"/>
    <x v="16"/>
    <n v="1352.1065798044699"/>
    <n v="493518.90162863297"/>
    <n v="1776668.0458630801"/>
  </r>
  <r>
    <x v="0"/>
    <x v="0"/>
    <x v="0"/>
    <x v="3"/>
    <x v="6"/>
    <s v="DE4-S_A"/>
    <x v="3"/>
    <s v="GNR_ST_MSW_BP_E-33"/>
    <x v="0"/>
    <x v="17"/>
    <n v="1352.1065798044699"/>
    <n v="493518.90162863297"/>
    <n v="1776668.0458630801"/>
  </r>
  <r>
    <x v="0"/>
    <x v="0"/>
    <x v="0"/>
    <x v="3"/>
    <x v="6"/>
    <s v="DE4-S_A"/>
    <x v="3"/>
    <s v="GNR_ST_MSW_BP_E-33"/>
    <x v="0"/>
    <x v="18"/>
    <n v="1352.1065798044699"/>
    <n v="493518.90162863297"/>
    <n v="1776668.0458630801"/>
  </r>
  <r>
    <x v="0"/>
    <x v="0"/>
    <x v="0"/>
    <x v="3"/>
    <x v="6"/>
    <s v="DE4-S_A"/>
    <x v="3"/>
    <s v="GNR_ST_MSW_BP_E-33"/>
    <x v="0"/>
    <x v="19"/>
    <n v="1352.1065798044699"/>
    <n v="493518.90162863297"/>
    <n v="1776668.0458630801"/>
  </r>
  <r>
    <x v="0"/>
    <x v="0"/>
    <x v="0"/>
    <x v="3"/>
    <x v="6"/>
    <s v="DE4-S_A"/>
    <x v="3"/>
    <s v="GNR_ST_MSW_BP_E-33"/>
    <x v="0"/>
    <x v="20"/>
    <n v="1352.1065798044699"/>
    <n v="493518.90162863297"/>
    <n v="1776668.0458630801"/>
  </r>
  <r>
    <x v="0"/>
    <x v="0"/>
    <x v="0"/>
    <x v="3"/>
    <x v="6"/>
    <s v="DE4-S_A"/>
    <x v="3"/>
    <s v="GNR_ST_MSW_BP_E-33"/>
    <x v="0"/>
    <x v="21"/>
    <n v="1352.1065798044699"/>
    <n v="493518.90162863297"/>
    <n v="1776668.0458630801"/>
  </r>
  <r>
    <x v="0"/>
    <x v="0"/>
    <x v="0"/>
    <x v="3"/>
    <x v="6"/>
    <s v="DE4-S_A"/>
    <x v="3"/>
    <s v="GNR_ST_MSW_BP_E-33"/>
    <x v="0"/>
    <x v="22"/>
    <n v="1352.1065798044699"/>
    <n v="493518.90162863297"/>
    <n v="1776668.0458630801"/>
  </r>
  <r>
    <x v="0"/>
    <x v="0"/>
    <x v="0"/>
    <x v="3"/>
    <x v="6"/>
    <s v="DE4-S_A"/>
    <x v="3"/>
    <s v="GNR_ST_MSW_BP_E-33"/>
    <x v="0"/>
    <x v="23"/>
    <n v="1352.1065798044699"/>
    <n v="493518.90162863297"/>
    <n v="1776668.0458630801"/>
  </r>
  <r>
    <x v="0"/>
    <x v="0"/>
    <x v="0"/>
    <x v="3"/>
    <x v="7"/>
    <s v="DE4-W_A"/>
    <x v="0"/>
    <s v="GNR_BO_BGAS_E-80"/>
    <x v="0"/>
    <x v="0"/>
    <n v="1.3"/>
    <n v="474.5"/>
    <n v="1708.2"/>
  </r>
  <r>
    <x v="0"/>
    <x v="0"/>
    <x v="0"/>
    <x v="3"/>
    <x v="7"/>
    <s v="DE4-W_A"/>
    <x v="0"/>
    <s v="GNR_BO_BGAS_E-80"/>
    <x v="0"/>
    <x v="1"/>
    <n v="1.3"/>
    <n v="474.5"/>
    <n v="1708.2"/>
  </r>
  <r>
    <x v="0"/>
    <x v="0"/>
    <x v="0"/>
    <x v="3"/>
    <x v="7"/>
    <s v="DE4-W_A"/>
    <x v="0"/>
    <s v="GNR_BO_BGAS_E-80"/>
    <x v="0"/>
    <x v="2"/>
    <n v="1.3"/>
    <n v="474.5"/>
    <n v="1708.2"/>
  </r>
  <r>
    <x v="0"/>
    <x v="0"/>
    <x v="0"/>
    <x v="3"/>
    <x v="7"/>
    <s v="DE4-W_A"/>
    <x v="0"/>
    <s v="GNR_BO_BGAS_E-80"/>
    <x v="0"/>
    <x v="3"/>
    <n v="1.3"/>
    <n v="474.5"/>
    <n v="1708.2"/>
  </r>
  <r>
    <x v="0"/>
    <x v="0"/>
    <x v="0"/>
    <x v="3"/>
    <x v="7"/>
    <s v="DE4-W_A"/>
    <x v="0"/>
    <s v="GNR_BO_BGAS_E-80"/>
    <x v="0"/>
    <x v="4"/>
    <n v="1.3"/>
    <n v="474.5"/>
    <n v="1708.2"/>
  </r>
  <r>
    <x v="0"/>
    <x v="0"/>
    <x v="0"/>
    <x v="3"/>
    <x v="7"/>
    <s v="DE4-W_A"/>
    <x v="0"/>
    <s v="GNR_BO_BGAS_E-80"/>
    <x v="0"/>
    <x v="5"/>
    <n v="1.3"/>
    <n v="474.5"/>
    <n v="1708.2"/>
  </r>
  <r>
    <x v="0"/>
    <x v="0"/>
    <x v="0"/>
    <x v="3"/>
    <x v="7"/>
    <s v="DE4-W_A"/>
    <x v="0"/>
    <s v="GNR_BO_BGAS_E-80"/>
    <x v="0"/>
    <x v="6"/>
    <n v="1.3"/>
    <n v="474.5"/>
    <n v="1708.2"/>
  </r>
  <r>
    <x v="0"/>
    <x v="0"/>
    <x v="0"/>
    <x v="3"/>
    <x v="7"/>
    <s v="DE4-W_A"/>
    <x v="0"/>
    <s v="GNR_BO_BGAS_E-80"/>
    <x v="0"/>
    <x v="7"/>
    <n v="1.3"/>
    <n v="474.5"/>
    <n v="1708.2"/>
  </r>
  <r>
    <x v="0"/>
    <x v="0"/>
    <x v="0"/>
    <x v="3"/>
    <x v="7"/>
    <s v="DE4-W_A"/>
    <x v="0"/>
    <s v="GNR_BO_BGAS_E-80"/>
    <x v="0"/>
    <x v="8"/>
    <n v="1.3"/>
    <n v="474.5"/>
    <n v="1708.2"/>
  </r>
  <r>
    <x v="0"/>
    <x v="0"/>
    <x v="0"/>
    <x v="3"/>
    <x v="7"/>
    <s v="DE4-W_A"/>
    <x v="0"/>
    <s v="GNR_BO_BGAS_E-80"/>
    <x v="0"/>
    <x v="9"/>
    <n v="1.3"/>
    <n v="474.5"/>
    <n v="1708.2"/>
  </r>
  <r>
    <x v="0"/>
    <x v="0"/>
    <x v="0"/>
    <x v="3"/>
    <x v="7"/>
    <s v="DE4-W_A"/>
    <x v="0"/>
    <s v="GNR_BO_BGAS_E-80"/>
    <x v="0"/>
    <x v="10"/>
    <n v="1.3"/>
    <n v="474.5"/>
    <n v="1708.2"/>
  </r>
  <r>
    <x v="0"/>
    <x v="0"/>
    <x v="0"/>
    <x v="3"/>
    <x v="7"/>
    <s v="DE4-W_A"/>
    <x v="0"/>
    <s v="GNR_BO_BGAS_E-80"/>
    <x v="0"/>
    <x v="11"/>
    <n v="1.3"/>
    <n v="474.5"/>
    <n v="1708.2"/>
  </r>
  <r>
    <x v="0"/>
    <x v="0"/>
    <x v="0"/>
    <x v="3"/>
    <x v="7"/>
    <s v="DE4-W_A"/>
    <x v="0"/>
    <s v="GNR_BO_BGAS_E-80"/>
    <x v="0"/>
    <x v="12"/>
    <n v="1.3"/>
    <n v="474.5"/>
    <n v="1708.2"/>
  </r>
  <r>
    <x v="0"/>
    <x v="0"/>
    <x v="0"/>
    <x v="3"/>
    <x v="7"/>
    <s v="DE4-W_A"/>
    <x v="0"/>
    <s v="GNR_BO_BGAS_E-80"/>
    <x v="0"/>
    <x v="13"/>
    <n v="1.3"/>
    <n v="474.5"/>
    <n v="1708.2"/>
  </r>
  <r>
    <x v="0"/>
    <x v="0"/>
    <x v="0"/>
    <x v="3"/>
    <x v="7"/>
    <s v="DE4-W_A"/>
    <x v="0"/>
    <s v="GNR_BO_BGAS_E-80"/>
    <x v="0"/>
    <x v="14"/>
    <n v="1.3"/>
    <n v="474.5"/>
    <n v="1708.2"/>
  </r>
  <r>
    <x v="0"/>
    <x v="0"/>
    <x v="0"/>
    <x v="3"/>
    <x v="7"/>
    <s v="DE4-W_A"/>
    <x v="0"/>
    <s v="GNR_BO_BGAS_E-80"/>
    <x v="0"/>
    <x v="15"/>
    <n v="1.3"/>
    <n v="474.5"/>
    <n v="1708.2"/>
  </r>
  <r>
    <x v="0"/>
    <x v="0"/>
    <x v="0"/>
    <x v="3"/>
    <x v="7"/>
    <s v="DE4-W_A"/>
    <x v="0"/>
    <s v="GNR_BO_BGAS_E-80"/>
    <x v="0"/>
    <x v="16"/>
    <n v="1.3"/>
    <n v="474.5"/>
    <n v="1708.2"/>
  </r>
  <r>
    <x v="0"/>
    <x v="0"/>
    <x v="0"/>
    <x v="3"/>
    <x v="7"/>
    <s v="DE4-W_A"/>
    <x v="0"/>
    <s v="GNR_BO_BGAS_E-80"/>
    <x v="0"/>
    <x v="17"/>
    <n v="1.3"/>
    <n v="474.5"/>
    <n v="1708.2"/>
  </r>
  <r>
    <x v="0"/>
    <x v="0"/>
    <x v="0"/>
    <x v="3"/>
    <x v="7"/>
    <s v="DE4-W_A"/>
    <x v="0"/>
    <s v="GNR_BO_BGAS_E-80"/>
    <x v="0"/>
    <x v="18"/>
    <n v="1.3"/>
    <n v="474.5"/>
    <n v="1708.2"/>
  </r>
  <r>
    <x v="0"/>
    <x v="0"/>
    <x v="0"/>
    <x v="3"/>
    <x v="7"/>
    <s v="DE4-W_A"/>
    <x v="0"/>
    <s v="GNR_BO_BGAS_E-80"/>
    <x v="0"/>
    <x v="19"/>
    <n v="1.3"/>
    <n v="474.5"/>
    <n v="1708.2"/>
  </r>
  <r>
    <x v="0"/>
    <x v="0"/>
    <x v="0"/>
    <x v="3"/>
    <x v="7"/>
    <s v="DE4-W_A"/>
    <x v="0"/>
    <s v="GNR_BO_BGAS_E-80"/>
    <x v="0"/>
    <x v="20"/>
    <n v="1.3"/>
    <n v="474.5"/>
    <n v="1708.2"/>
  </r>
  <r>
    <x v="0"/>
    <x v="0"/>
    <x v="0"/>
    <x v="3"/>
    <x v="7"/>
    <s v="DE4-W_A"/>
    <x v="0"/>
    <s v="GNR_BO_BGAS_E-80"/>
    <x v="0"/>
    <x v="21"/>
    <n v="1.3"/>
    <n v="474.5"/>
    <n v="1708.2"/>
  </r>
  <r>
    <x v="0"/>
    <x v="0"/>
    <x v="0"/>
    <x v="3"/>
    <x v="7"/>
    <s v="DE4-W_A"/>
    <x v="0"/>
    <s v="GNR_BO_BGAS_E-80"/>
    <x v="0"/>
    <x v="22"/>
    <n v="1.3"/>
    <n v="474.5"/>
    <n v="1708.2"/>
  </r>
  <r>
    <x v="0"/>
    <x v="0"/>
    <x v="0"/>
    <x v="3"/>
    <x v="7"/>
    <s v="DE4-W_A"/>
    <x v="0"/>
    <s v="GNR_BO_BGAS_E-80"/>
    <x v="0"/>
    <x v="23"/>
    <n v="1.3"/>
    <n v="474.5"/>
    <n v="1708.2"/>
  </r>
  <r>
    <x v="0"/>
    <x v="0"/>
    <x v="0"/>
    <x v="3"/>
    <x v="7"/>
    <s v="DE4-W_A"/>
    <x v="0"/>
    <s v="GNR_ENG_BGAS_BP_E-45"/>
    <x v="0"/>
    <x v="0"/>
    <n v="21.451219512195099"/>
    <n v="7829.6951219512202"/>
    <n v="28186.902439024401"/>
  </r>
  <r>
    <x v="0"/>
    <x v="0"/>
    <x v="0"/>
    <x v="3"/>
    <x v="7"/>
    <s v="DE4-W_A"/>
    <x v="0"/>
    <s v="GNR_ENG_BGAS_BP_E-45"/>
    <x v="0"/>
    <x v="1"/>
    <n v="21.451219512195099"/>
    <n v="7829.6951219512202"/>
    <n v="28186.902439024401"/>
  </r>
  <r>
    <x v="0"/>
    <x v="0"/>
    <x v="0"/>
    <x v="3"/>
    <x v="7"/>
    <s v="DE4-W_A"/>
    <x v="0"/>
    <s v="GNR_ENG_BGAS_BP_E-45"/>
    <x v="0"/>
    <x v="2"/>
    <n v="21.451219512195099"/>
    <n v="7829.6951219512202"/>
    <n v="28186.902439024401"/>
  </r>
  <r>
    <x v="0"/>
    <x v="0"/>
    <x v="0"/>
    <x v="3"/>
    <x v="7"/>
    <s v="DE4-W_A"/>
    <x v="0"/>
    <s v="GNR_ENG_BGAS_BP_E-45"/>
    <x v="0"/>
    <x v="3"/>
    <n v="21.451219512195099"/>
    <n v="7829.6951219512202"/>
    <n v="28186.902439024401"/>
  </r>
  <r>
    <x v="0"/>
    <x v="0"/>
    <x v="0"/>
    <x v="3"/>
    <x v="7"/>
    <s v="DE4-W_A"/>
    <x v="0"/>
    <s v="GNR_ENG_BGAS_BP_E-45"/>
    <x v="0"/>
    <x v="4"/>
    <n v="21.451219512195099"/>
    <n v="7829.6951219512202"/>
    <n v="28186.902439024401"/>
  </r>
  <r>
    <x v="0"/>
    <x v="0"/>
    <x v="0"/>
    <x v="3"/>
    <x v="7"/>
    <s v="DE4-W_A"/>
    <x v="0"/>
    <s v="GNR_ENG_BGAS_BP_E-45"/>
    <x v="0"/>
    <x v="5"/>
    <n v="21.451219512195099"/>
    <n v="7829.6951219512202"/>
    <n v="28186.902439024401"/>
  </r>
  <r>
    <x v="0"/>
    <x v="0"/>
    <x v="0"/>
    <x v="3"/>
    <x v="7"/>
    <s v="DE4-W_A"/>
    <x v="0"/>
    <s v="GNR_ENG_BGAS_BP_E-45"/>
    <x v="0"/>
    <x v="6"/>
    <n v="21.451219512195099"/>
    <n v="7829.6951219512202"/>
    <n v="28186.902439024401"/>
  </r>
  <r>
    <x v="0"/>
    <x v="0"/>
    <x v="0"/>
    <x v="3"/>
    <x v="7"/>
    <s v="DE4-W_A"/>
    <x v="0"/>
    <s v="GNR_ENG_BGAS_BP_E-45"/>
    <x v="0"/>
    <x v="7"/>
    <n v="21.451219512195099"/>
    <n v="7829.6951219512202"/>
    <n v="28186.902439024401"/>
  </r>
  <r>
    <x v="0"/>
    <x v="0"/>
    <x v="0"/>
    <x v="3"/>
    <x v="7"/>
    <s v="DE4-W_A"/>
    <x v="0"/>
    <s v="GNR_ENG_BGAS_BP_E-45"/>
    <x v="0"/>
    <x v="8"/>
    <n v="21.451219512195099"/>
    <n v="7829.6951219512202"/>
    <n v="28186.902439024401"/>
  </r>
  <r>
    <x v="0"/>
    <x v="0"/>
    <x v="0"/>
    <x v="3"/>
    <x v="7"/>
    <s v="DE4-W_A"/>
    <x v="0"/>
    <s v="GNR_ENG_BGAS_BP_E-45"/>
    <x v="0"/>
    <x v="9"/>
    <n v="21.451219512195099"/>
    <n v="7829.6951219512202"/>
    <n v="28186.902439024401"/>
  </r>
  <r>
    <x v="0"/>
    <x v="0"/>
    <x v="0"/>
    <x v="3"/>
    <x v="7"/>
    <s v="DE4-W_A"/>
    <x v="0"/>
    <s v="GNR_ENG_BGAS_BP_E-45"/>
    <x v="0"/>
    <x v="10"/>
    <n v="21.451219512195099"/>
    <n v="7829.6951219512202"/>
    <n v="28186.902439024401"/>
  </r>
  <r>
    <x v="0"/>
    <x v="0"/>
    <x v="0"/>
    <x v="3"/>
    <x v="7"/>
    <s v="DE4-W_A"/>
    <x v="0"/>
    <s v="GNR_ENG_BGAS_BP_E-45"/>
    <x v="0"/>
    <x v="11"/>
    <n v="21.451219512195099"/>
    <n v="7829.6951219512202"/>
    <n v="28186.902439024401"/>
  </r>
  <r>
    <x v="0"/>
    <x v="0"/>
    <x v="0"/>
    <x v="3"/>
    <x v="7"/>
    <s v="DE4-W_A"/>
    <x v="0"/>
    <s v="GNR_ENG_BGAS_BP_E-45"/>
    <x v="0"/>
    <x v="12"/>
    <n v="21.451219512195099"/>
    <n v="7829.6951219512202"/>
    <n v="28186.902439024401"/>
  </r>
  <r>
    <x v="0"/>
    <x v="0"/>
    <x v="0"/>
    <x v="3"/>
    <x v="7"/>
    <s v="DE4-W_A"/>
    <x v="0"/>
    <s v="GNR_ENG_BGAS_BP_E-45"/>
    <x v="0"/>
    <x v="13"/>
    <n v="21.451219512195099"/>
    <n v="7829.6951219512202"/>
    <n v="28186.902439024401"/>
  </r>
  <r>
    <x v="0"/>
    <x v="0"/>
    <x v="0"/>
    <x v="3"/>
    <x v="7"/>
    <s v="DE4-W_A"/>
    <x v="0"/>
    <s v="GNR_ENG_BGAS_BP_E-45"/>
    <x v="0"/>
    <x v="14"/>
    <n v="21.451219512195099"/>
    <n v="7829.6951219512202"/>
    <n v="28186.902439024401"/>
  </r>
  <r>
    <x v="0"/>
    <x v="0"/>
    <x v="0"/>
    <x v="3"/>
    <x v="7"/>
    <s v="DE4-W_A"/>
    <x v="0"/>
    <s v="GNR_ENG_BGAS_BP_E-45"/>
    <x v="0"/>
    <x v="15"/>
    <n v="21.451219512195099"/>
    <n v="7829.6951219512202"/>
    <n v="28186.902439024401"/>
  </r>
  <r>
    <x v="0"/>
    <x v="0"/>
    <x v="0"/>
    <x v="3"/>
    <x v="7"/>
    <s v="DE4-W_A"/>
    <x v="0"/>
    <s v="GNR_ENG_BGAS_BP_E-45"/>
    <x v="0"/>
    <x v="16"/>
    <n v="21.451219512195099"/>
    <n v="7829.6951219512202"/>
    <n v="28186.902439024401"/>
  </r>
  <r>
    <x v="0"/>
    <x v="0"/>
    <x v="0"/>
    <x v="3"/>
    <x v="7"/>
    <s v="DE4-W_A"/>
    <x v="0"/>
    <s v="GNR_ENG_BGAS_BP_E-45"/>
    <x v="0"/>
    <x v="17"/>
    <n v="21.451219512195099"/>
    <n v="7829.6951219512202"/>
    <n v="28186.902439024401"/>
  </r>
  <r>
    <x v="0"/>
    <x v="0"/>
    <x v="0"/>
    <x v="3"/>
    <x v="7"/>
    <s v="DE4-W_A"/>
    <x v="0"/>
    <s v="GNR_ENG_BGAS_BP_E-45"/>
    <x v="0"/>
    <x v="18"/>
    <n v="21.451219512195099"/>
    <n v="7829.6951219512202"/>
    <n v="28186.902439024401"/>
  </r>
  <r>
    <x v="0"/>
    <x v="0"/>
    <x v="0"/>
    <x v="3"/>
    <x v="7"/>
    <s v="DE4-W_A"/>
    <x v="0"/>
    <s v="GNR_ENG_BGAS_BP_E-45"/>
    <x v="0"/>
    <x v="19"/>
    <n v="21.451219512195099"/>
    <n v="7829.6951219512202"/>
    <n v="28186.902439024401"/>
  </r>
  <r>
    <x v="0"/>
    <x v="0"/>
    <x v="0"/>
    <x v="3"/>
    <x v="7"/>
    <s v="DE4-W_A"/>
    <x v="0"/>
    <s v="GNR_ENG_BGAS_BP_E-45"/>
    <x v="0"/>
    <x v="20"/>
    <n v="21.451219512195099"/>
    <n v="7829.6951219512202"/>
    <n v="28186.902439024401"/>
  </r>
  <r>
    <x v="0"/>
    <x v="0"/>
    <x v="0"/>
    <x v="3"/>
    <x v="7"/>
    <s v="DE4-W_A"/>
    <x v="0"/>
    <s v="GNR_ENG_BGAS_BP_E-45"/>
    <x v="0"/>
    <x v="21"/>
    <n v="21.451219512195099"/>
    <n v="7829.6951219512202"/>
    <n v="28186.902439024401"/>
  </r>
  <r>
    <x v="0"/>
    <x v="0"/>
    <x v="0"/>
    <x v="3"/>
    <x v="7"/>
    <s v="DE4-W_A"/>
    <x v="0"/>
    <s v="GNR_ENG_BGAS_BP_E-45"/>
    <x v="0"/>
    <x v="22"/>
    <n v="21.451219512195099"/>
    <n v="7829.6951219512202"/>
    <n v="28186.902439024401"/>
  </r>
  <r>
    <x v="0"/>
    <x v="0"/>
    <x v="0"/>
    <x v="3"/>
    <x v="7"/>
    <s v="DE4-W_A"/>
    <x v="0"/>
    <s v="GNR_ENG_BGAS_BP_E-45"/>
    <x v="0"/>
    <x v="23"/>
    <n v="21.451219512195099"/>
    <n v="7829.6951219512202"/>
    <n v="28186.902439024401"/>
  </r>
  <r>
    <x v="0"/>
    <x v="0"/>
    <x v="0"/>
    <x v="3"/>
    <x v="7"/>
    <s v="DE4-W_A"/>
    <x v="0"/>
    <s v="GNR_ST_BGAS_BP_E-33"/>
    <x v="0"/>
    <x v="0"/>
    <n v="47.714285714285701"/>
    <n v="17415.714285714301"/>
    <n v="62696.571428571398"/>
  </r>
  <r>
    <x v="0"/>
    <x v="0"/>
    <x v="0"/>
    <x v="3"/>
    <x v="7"/>
    <s v="DE4-W_A"/>
    <x v="0"/>
    <s v="GNR_ST_BGAS_BP_E-33"/>
    <x v="0"/>
    <x v="1"/>
    <n v="47.714285714285701"/>
    <n v="17415.714285714301"/>
    <n v="62696.571428571398"/>
  </r>
  <r>
    <x v="0"/>
    <x v="0"/>
    <x v="0"/>
    <x v="3"/>
    <x v="7"/>
    <s v="DE4-W_A"/>
    <x v="0"/>
    <s v="GNR_ST_BGAS_BP_E-33"/>
    <x v="0"/>
    <x v="2"/>
    <n v="47.714285714285701"/>
    <n v="17415.714285714301"/>
    <n v="62696.571428571398"/>
  </r>
  <r>
    <x v="0"/>
    <x v="0"/>
    <x v="0"/>
    <x v="3"/>
    <x v="7"/>
    <s v="DE4-W_A"/>
    <x v="0"/>
    <s v="GNR_ST_BGAS_BP_E-33"/>
    <x v="0"/>
    <x v="3"/>
    <n v="47.714285714285701"/>
    <n v="17415.714285714301"/>
    <n v="62696.571428571398"/>
  </r>
  <r>
    <x v="0"/>
    <x v="0"/>
    <x v="0"/>
    <x v="3"/>
    <x v="7"/>
    <s v="DE4-W_A"/>
    <x v="0"/>
    <s v="GNR_ST_BGAS_BP_E-33"/>
    <x v="0"/>
    <x v="4"/>
    <n v="47.714285714285701"/>
    <n v="17415.714285714301"/>
    <n v="62696.571428571398"/>
  </r>
  <r>
    <x v="0"/>
    <x v="0"/>
    <x v="0"/>
    <x v="3"/>
    <x v="7"/>
    <s v="DE4-W_A"/>
    <x v="0"/>
    <s v="GNR_ST_BGAS_BP_E-33"/>
    <x v="0"/>
    <x v="5"/>
    <n v="47.714285714285701"/>
    <n v="17415.714285714301"/>
    <n v="62696.571428571398"/>
  </r>
  <r>
    <x v="0"/>
    <x v="0"/>
    <x v="0"/>
    <x v="3"/>
    <x v="7"/>
    <s v="DE4-W_A"/>
    <x v="0"/>
    <s v="GNR_ST_BGAS_BP_E-33"/>
    <x v="0"/>
    <x v="6"/>
    <n v="47.714285714285701"/>
    <n v="17415.714285714301"/>
    <n v="62696.571428571398"/>
  </r>
  <r>
    <x v="0"/>
    <x v="0"/>
    <x v="0"/>
    <x v="3"/>
    <x v="7"/>
    <s v="DE4-W_A"/>
    <x v="0"/>
    <s v="GNR_ST_BGAS_BP_E-33"/>
    <x v="0"/>
    <x v="7"/>
    <n v="47.714285714285701"/>
    <n v="17415.714285714301"/>
    <n v="62696.571428571398"/>
  </r>
  <r>
    <x v="0"/>
    <x v="0"/>
    <x v="0"/>
    <x v="3"/>
    <x v="7"/>
    <s v="DE4-W_A"/>
    <x v="0"/>
    <s v="GNR_ST_BGAS_BP_E-33"/>
    <x v="0"/>
    <x v="8"/>
    <n v="47.714285714285701"/>
    <n v="17415.714285714301"/>
    <n v="62696.571428571398"/>
  </r>
  <r>
    <x v="0"/>
    <x v="0"/>
    <x v="0"/>
    <x v="3"/>
    <x v="7"/>
    <s v="DE4-W_A"/>
    <x v="0"/>
    <s v="GNR_ST_BGAS_BP_E-33"/>
    <x v="0"/>
    <x v="9"/>
    <n v="47.714285714285701"/>
    <n v="17415.714285714301"/>
    <n v="62696.571428571398"/>
  </r>
  <r>
    <x v="0"/>
    <x v="0"/>
    <x v="0"/>
    <x v="3"/>
    <x v="7"/>
    <s v="DE4-W_A"/>
    <x v="0"/>
    <s v="GNR_ST_BGAS_BP_E-33"/>
    <x v="0"/>
    <x v="10"/>
    <n v="47.714285714285701"/>
    <n v="17415.714285714301"/>
    <n v="62696.571428571398"/>
  </r>
  <r>
    <x v="0"/>
    <x v="0"/>
    <x v="0"/>
    <x v="3"/>
    <x v="7"/>
    <s v="DE4-W_A"/>
    <x v="0"/>
    <s v="GNR_ST_BGAS_BP_E-33"/>
    <x v="0"/>
    <x v="11"/>
    <n v="47.714285714285701"/>
    <n v="17415.714285714301"/>
    <n v="62696.571428571398"/>
  </r>
  <r>
    <x v="0"/>
    <x v="0"/>
    <x v="0"/>
    <x v="3"/>
    <x v="7"/>
    <s v="DE4-W_A"/>
    <x v="0"/>
    <s v="GNR_ST_BGAS_BP_E-33"/>
    <x v="0"/>
    <x v="12"/>
    <n v="47.714285714285701"/>
    <n v="17415.714285714301"/>
    <n v="62696.571428571398"/>
  </r>
  <r>
    <x v="0"/>
    <x v="0"/>
    <x v="0"/>
    <x v="3"/>
    <x v="7"/>
    <s v="DE4-W_A"/>
    <x v="0"/>
    <s v="GNR_ST_BGAS_BP_E-33"/>
    <x v="0"/>
    <x v="13"/>
    <n v="47.714285714285701"/>
    <n v="17415.714285714301"/>
    <n v="62696.571428571398"/>
  </r>
  <r>
    <x v="0"/>
    <x v="0"/>
    <x v="0"/>
    <x v="3"/>
    <x v="7"/>
    <s v="DE4-W_A"/>
    <x v="0"/>
    <s v="GNR_ST_BGAS_BP_E-33"/>
    <x v="0"/>
    <x v="14"/>
    <n v="47.714285714285701"/>
    <n v="17415.714285714301"/>
    <n v="62696.571428571398"/>
  </r>
  <r>
    <x v="0"/>
    <x v="0"/>
    <x v="0"/>
    <x v="3"/>
    <x v="7"/>
    <s v="DE4-W_A"/>
    <x v="0"/>
    <s v="GNR_ST_BGAS_BP_E-33"/>
    <x v="0"/>
    <x v="15"/>
    <n v="47.714285714285701"/>
    <n v="17415.714285714301"/>
    <n v="62696.571428571398"/>
  </r>
  <r>
    <x v="0"/>
    <x v="0"/>
    <x v="0"/>
    <x v="3"/>
    <x v="7"/>
    <s v="DE4-W_A"/>
    <x v="0"/>
    <s v="GNR_ST_BGAS_BP_E-33"/>
    <x v="0"/>
    <x v="16"/>
    <n v="47.714285714285701"/>
    <n v="17415.714285714301"/>
    <n v="62696.571428571398"/>
  </r>
  <r>
    <x v="0"/>
    <x v="0"/>
    <x v="0"/>
    <x v="3"/>
    <x v="7"/>
    <s v="DE4-W_A"/>
    <x v="0"/>
    <s v="GNR_ST_BGAS_BP_E-33"/>
    <x v="0"/>
    <x v="17"/>
    <n v="47.714285714285701"/>
    <n v="17415.714285714301"/>
    <n v="62696.571428571398"/>
  </r>
  <r>
    <x v="0"/>
    <x v="0"/>
    <x v="0"/>
    <x v="3"/>
    <x v="7"/>
    <s v="DE4-W_A"/>
    <x v="0"/>
    <s v="GNR_ST_BGAS_BP_E-33"/>
    <x v="0"/>
    <x v="18"/>
    <n v="47.714285714285701"/>
    <n v="17415.714285714301"/>
    <n v="62696.571428571398"/>
  </r>
  <r>
    <x v="0"/>
    <x v="0"/>
    <x v="0"/>
    <x v="3"/>
    <x v="7"/>
    <s v="DE4-W_A"/>
    <x v="0"/>
    <s v="GNR_ST_BGAS_BP_E-33"/>
    <x v="0"/>
    <x v="19"/>
    <n v="47.714285714285701"/>
    <n v="17415.714285714301"/>
    <n v="62696.571428571398"/>
  </r>
  <r>
    <x v="0"/>
    <x v="0"/>
    <x v="0"/>
    <x v="3"/>
    <x v="7"/>
    <s v="DE4-W_A"/>
    <x v="0"/>
    <s v="GNR_ST_BGAS_BP_E-33"/>
    <x v="0"/>
    <x v="20"/>
    <n v="47.714285714285701"/>
    <n v="17415.714285714301"/>
    <n v="62696.571428571398"/>
  </r>
  <r>
    <x v="0"/>
    <x v="0"/>
    <x v="0"/>
    <x v="3"/>
    <x v="7"/>
    <s v="DE4-W_A"/>
    <x v="0"/>
    <s v="GNR_ST_BGAS_BP_E-33"/>
    <x v="0"/>
    <x v="21"/>
    <n v="47.714285714285701"/>
    <n v="17415.714285714301"/>
    <n v="62696.571428571398"/>
  </r>
  <r>
    <x v="0"/>
    <x v="0"/>
    <x v="0"/>
    <x v="3"/>
    <x v="7"/>
    <s v="DE4-W_A"/>
    <x v="0"/>
    <s v="GNR_ST_BGAS_BP_E-33"/>
    <x v="0"/>
    <x v="22"/>
    <n v="47.714285714285701"/>
    <n v="17415.714285714301"/>
    <n v="62696.571428571398"/>
  </r>
  <r>
    <x v="0"/>
    <x v="0"/>
    <x v="0"/>
    <x v="3"/>
    <x v="7"/>
    <s v="DE4-W_A"/>
    <x v="0"/>
    <s v="GNR_ST_BGAS_BP_E-33"/>
    <x v="0"/>
    <x v="23"/>
    <n v="47.714285714285701"/>
    <n v="17415.714285714301"/>
    <n v="62696.571428571398"/>
  </r>
  <r>
    <x v="0"/>
    <x v="0"/>
    <x v="0"/>
    <x v="3"/>
    <x v="7"/>
    <s v="DE4-W_A"/>
    <x v="0"/>
    <s v="GNR_ST_BGAS_BP_E-38"/>
    <x v="0"/>
    <x v="0"/>
    <n v="191.857142857143"/>
    <n v="70027.857142857203"/>
    <n v="252100.285714286"/>
  </r>
  <r>
    <x v="0"/>
    <x v="0"/>
    <x v="0"/>
    <x v="3"/>
    <x v="7"/>
    <s v="DE4-W_A"/>
    <x v="0"/>
    <s v="GNR_ST_BGAS_BP_E-38"/>
    <x v="0"/>
    <x v="1"/>
    <n v="191.857142857143"/>
    <n v="70027.857142857203"/>
    <n v="252100.285714286"/>
  </r>
  <r>
    <x v="0"/>
    <x v="0"/>
    <x v="0"/>
    <x v="3"/>
    <x v="7"/>
    <s v="DE4-W_A"/>
    <x v="0"/>
    <s v="GNR_ST_BGAS_BP_E-38"/>
    <x v="0"/>
    <x v="2"/>
    <n v="191.857142857143"/>
    <n v="70027.857142857203"/>
    <n v="252100.285714286"/>
  </r>
  <r>
    <x v="0"/>
    <x v="0"/>
    <x v="0"/>
    <x v="3"/>
    <x v="7"/>
    <s v="DE4-W_A"/>
    <x v="0"/>
    <s v="GNR_ST_BGAS_BP_E-38"/>
    <x v="0"/>
    <x v="3"/>
    <n v="191.857142857143"/>
    <n v="70027.857142857203"/>
    <n v="252100.285714286"/>
  </r>
  <r>
    <x v="0"/>
    <x v="0"/>
    <x v="0"/>
    <x v="3"/>
    <x v="7"/>
    <s v="DE4-W_A"/>
    <x v="0"/>
    <s v="GNR_ST_BGAS_BP_E-38"/>
    <x v="0"/>
    <x v="4"/>
    <n v="191.857142857143"/>
    <n v="70027.857142857203"/>
    <n v="252100.285714286"/>
  </r>
  <r>
    <x v="0"/>
    <x v="0"/>
    <x v="0"/>
    <x v="3"/>
    <x v="7"/>
    <s v="DE4-W_A"/>
    <x v="0"/>
    <s v="GNR_ST_BGAS_BP_E-38"/>
    <x v="0"/>
    <x v="5"/>
    <n v="191.857142857143"/>
    <n v="70027.857142857203"/>
    <n v="252100.285714286"/>
  </r>
  <r>
    <x v="0"/>
    <x v="0"/>
    <x v="0"/>
    <x v="3"/>
    <x v="7"/>
    <s v="DE4-W_A"/>
    <x v="0"/>
    <s v="GNR_ST_BGAS_BP_E-38"/>
    <x v="0"/>
    <x v="6"/>
    <n v="191.857142857143"/>
    <n v="70027.857142857203"/>
    <n v="252100.285714286"/>
  </r>
  <r>
    <x v="0"/>
    <x v="0"/>
    <x v="0"/>
    <x v="3"/>
    <x v="7"/>
    <s v="DE4-W_A"/>
    <x v="0"/>
    <s v="GNR_ST_BGAS_BP_E-38"/>
    <x v="0"/>
    <x v="7"/>
    <n v="191.857142857143"/>
    <n v="70027.857142857203"/>
    <n v="252100.285714286"/>
  </r>
  <r>
    <x v="0"/>
    <x v="0"/>
    <x v="0"/>
    <x v="3"/>
    <x v="7"/>
    <s v="DE4-W_A"/>
    <x v="0"/>
    <s v="GNR_ST_BGAS_BP_E-38"/>
    <x v="0"/>
    <x v="8"/>
    <n v="191.857142857143"/>
    <n v="70027.857142857203"/>
    <n v="252100.285714286"/>
  </r>
  <r>
    <x v="0"/>
    <x v="0"/>
    <x v="0"/>
    <x v="3"/>
    <x v="7"/>
    <s v="DE4-W_A"/>
    <x v="0"/>
    <s v="GNR_ST_BGAS_BP_E-38"/>
    <x v="0"/>
    <x v="9"/>
    <n v="191.857142857143"/>
    <n v="70027.857142857203"/>
    <n v="252100.285714286"/>
  </r>
  <r>
    <x v="0"/>
    <x v="0"/>
    <x v="0"/>
    <x v="3"/>
    <x v="7"/>
    <s v="DE4-W_A"/>
    <x v="0"/>
    <s v="GNR_ST_BGAS_BP_E-38"/>
    <x v="0"/>
    <x v="10"/>
    <n v="191.857142857143"/>
    <n v="70027.857142857203"/>
    <n v="252100.285714286"/>
  </r>
  <r>
    <x v="0"/>
    <x v="0"/>
    <x v="0"/>
    <x v="3"/>
    <x v="7"/>
    <s v="DE4-W_A"/>
    <x v="0"/>
    <s v="GNR_ST_BGAS_BP_E-38"/>
    <x v="0"/>
    <x v="11"/>
    <n v="191.857142857143"/>
    <n v="70027.857142857203"/>
    <n v="252100.285714286"/>
  </r>
  <r>
    <x v="0"/>
    <x v="0"/>
    <x v="0"/>
    <x v="3"/>
    <x v="7"/>
    <s v="DE4-W_A"/>
    <x v="0"/>
    <s v="GNR_ST_BGAS_BP_E-38"/>
    <x v="0"/>
    <x v="12"/>
    <n v="191.857142857143"/>
    <n v="70027.857142857203"/>
    <n v="252100.285714286"/>
  </r>
  <r>
    <x v="0"/>
    <x v="0"/>
    <x v="0"/>
    <x v="3"/>
    <x v="7"/>
    <s v="DE4-W_A"/>
    <x v="0"/>
    <s v="GNR_ST_BGAS_BP_E-38"/>
    <x v="0"/>
    <x v="13"/>
    <n v="191.857142857143"/>
    <n v="70027.857142857203"/>
    <n v="252100.285714286"/>
  </r>
  <r>
    <x v="0"/>
    <x v="0"/>
    <x v="0"/>
    <x v="3"/>
    <x v="7"/>
    <s v="DE4-W_A"/>
    <x v="0"/>
    <s v="GNR_ST_BGAS_BP_E-38"/>
    <x v="0"/>
    <x v="14"/>
    <n v="191.857142857143"/>
    <n v="70027.857142857203"/>
    <n v="252100.285714286"/>
  </r>
  <r>
    <x v="0"/>
    <x v="0"/>
    <x v="0"/>
    <x v="3"/>
    <x v="7"/>
    <s v="DE4-W_A"/>
    <x v="0"/>
    <s v="GNR_ST_BGAS_BP_E-38"/>
    <x v="0"/>
    <x v="15"/>
    <n v="191.857142857143"/>
    <n v="70027.857142857203"/>
    <n v="252100.285714286"/>
  </r>
  <r>
    <x v="0"/>
    <x v="0"/>
    <x v="0"/>
    <x v="3"/>
    <x v="7"/>
    <s v="DE4-W_A"/>
    <x v="0"/>
    <s v="GNR_ST_BGAS_BP_E-38"/>
    <x v="0"/>
    <x v="16"/>
    <n v="191.857142857143"/>
    <n v="70027.857142857203"/>
    <n v="252100.285714286"/>
  </r>
  <r>
    <x v="0"/>
    <x v="0"/>
    <x v="0"/>
    <x v="3"/>
    <x v="7"/>
    <s v="DE4-W_A"/>
    <x v="0"/>
    <s v="GNR_ST_BGAS_BP_E-38"/>
    <x v="0"/>
    <x v="17"/>
    <n v="191.857142857143"/>
    <n v="70027.857142857203"/>
    <n v="252100.285714286"/>
  </r>
  <r>
    <x v="0"/>
    <x v="0"/>
    <x v="0"/>
    <x v="3"/>
    <x v="7"/>
    <s v="DE4-W_A"/>
    <x v="0"/>
    <s v="GNR_ST_BGAS_BP_E-38"/>
    <x v="0"/>
    <x v="18"/>
    <n v="191.857142857143"/>
    <n v="70027.857142857203"/>
    <n v="252100.285714286"/>
  </r>
  <r>
    <x v="0"/>
    <x v="0"/>
    <x v="0"/>
    <x v="3"/>
    <x v="7"/>
    <s v="DE4-W_A"/>
    <x v="0"/>
    <s v="GNR_ST_BGAS_BP_E-38"/>
    <x v="0"/>
    <x v="19"/>
    <n v="191.857142857143"/>
    <n v="70027.857142857203"/>
    <n v="252100.285714286"/>
  </r>
  <r>
    <x v="0"/>
    <x v="0"/>
    <x v="0"/>
    <x v="3"/>
    <x v="7"/>
    <s v="DE4-W_A"/>
    <x v="0"/>
    <s v="GNR_ST_BGAS_BP_E-38"/>
    <x v="0"/>
    <x v="20"/>
    <n v="191.857142857143"/>
    <n v="70027.857142857203"/>
    <n v="252100.285714286"/>
  </r>
  <r>
    <x v="0"/>
    <x v="0"/>
    <x v="0"/>
    <x v="3"/>
    <x v="7"/>
    <s v="DE4-W_A"/>
    <x v="0"/>
    <s v="GNR_ST_BGAS_BP_E-38"/>
    <x v="0"/>
    <x v="21"/>
    <n v="191.857142857143"/>
    <n v="70027.857142857203"/>
    <n v="252100.285714286"/>
  </r>
  <r>
    <x v="0"/>
    <x v="0"/>
    <x v="0"/>
    <x v="3"/>
    <x v="7"/>
    <s v="DE4-W_A"/>
    <x v="0"/>
    <s v="GNR_ST_BGAS_BP_E-38"/>
    <x v="0"/>
    <x v="22"/>
    <n v="191.857142857143"/>
    <n v="70027.857142857203"/>
    <n v="252100.285714286"/>
  </r>
  <r>
    <x v="0"/>
    <x v="0"/>
    <x v="0"/>
    <x v="3"/>
    <x v="7"/>
    <s v="DE4-W_A"/>
    <x v="0"/>
    <s v="GNR_ST_BGAS_BP_E-38"/>
    <x v="0"/>
    <x v="23"/>
    <n v="191.857142857143"/>
    <n v="70027.857142857203"/>
    <n v="252100.285714286"/>
  </r>
  <r>
    <x v="0"/>
    <x v="0"/>
    <x v="0"/>
    <x v="3"/>
    <x v="7"/>
    <s v="DE4-W_A"/>
    <x v="3"/>
    <s v="GNR_BO_MSW_E-80"/>
    <x v="0"/>
    <x v="0"/>
    <n v="4.3600000000000003"/>
    <n v="1591.4"/>
    <n v="5729.04"/>
  </r>
  <r>
    <x v="0"/>
    <x v="0"/>
    <x v="0"/>
    <x v="3"/>
    <x v="7"/>
    <s v="DE4-W_A"/>
    <x v="3"/>
    <s v="GNR_BO_MSW_E-80"/>
    <x v="0"/>
    <x v="1"/>
    <n v="4.3600000000000003"/>
    <n v="1591.4"/>
    <n v="5729.04"/>
  </r>
  <r>
    <x v="0"/>
    <x v="0"/>
    <x v="0"/>
    <x v="3"/>
    <x v="7"/>
    <s v="DE4-W_A"/>
    <x v="3"/>
    <s v="GNR_BO_MSW_E-80"/>
    <x v="0"/>
    <x v="2"/>
    <n v="4.3600000000000003"/>
    <n v="1591.4"/>
    <n v="5729.04"/>
  </r>
  <r>
    <x v="0"/>
    <x v="0"/>
    <x v="0"/>
    <x v="3"/>
    <x v="7"/>
    <s v="DE4-W_A"/>
    <x v="3"/>
    <s v="GNR_BO_MSW_E-80"/>
    <x v="0"/>
    <x v="3"/>
    <n v="4.3600000000000003"/>
    <n v="1591.4"/>
    <n v="5729.04"/>
  </r>
  <r>
    <x v="0"/>
    <x v="0"/>
    <x v="0"/>
    <x v="3"/>
    <x v="7"/>
    <s v="DE4-W_A"/>
    <x v="3"/>
    <s v="GNR_BO_MSW_E-80"/>
    <x v="0"/>
    <x v="4"/>
    <n v="4.3600000000000003"/>
    <n v="1591.4"/>
    <n v="5729.04"/>
  </r>
  <r>
    <x v="0"/>
    <x v="0"/>
    <x v="0"/>
    <x v="3"/>
    <x v="7"/>
    <s v="DE4-W_A"/>
    <x v="3"/>
    <s v="GNR_BO_MSW_E-80"/>
    <x v="0"/>
    <x v="5"/>
    <n v="4.3600000000000003"/>
    <n v="1591.4"/>
    <n v="5729.04"/>
  </r>
  <r>
    <x v="0"/>
    <x v="0"/>
    <x v="0"/>
    <x v="3"/>
    <x v="7"/>
    <s v="DE4-W_A"/>
    <x v="3"/>
    <s v="GNR_BO_MSW_E-80"/>
    <x v="0"/>
    <x v="6"/>
    <n v="4.3600000000000003"/>
    <n v="1591.4"/>
    <n v="5729.04"/>
  </r>
  <r>
    <x v="0"/>
    <x v="0"/>
    <x v="0"/>
    <x v="3"/>
    <x v="7"/>
    <s v="DE4-W_A"/>
    <x v="3"/>
    <s v="GNR_BO_MSW_E-80"/>
    <x v="0"/>
    <x v="7"/>
    <n v="4.3600000000000003"/>
    <n v="1591.4"/>
    <n v="5729.04"/>
  </r>
  <r>
    <x v="0"/>
    <x v="0"/>
    <x v="0"/>
    <x v="3"/>
    <x v="7"/>
    <s v="DE4-W_A"/>
    <x v="3"/>
    <s v="GNR_BO_MSW_E-80"/>
    <x v="0"/>
    <x v="8"/>
    <n v="4.3600000000000003"/>
    <n v="1591.4"/>
    <n v="5729.04"/>
  </r>
  <r>
    <x v="0"/>
    <x v="0"/>
    <x v="0"/>
    <x v="3"/>
    <x v="7"/>
    <s v="DE4-W_A"/>
    <x v="3"/>
    <s v="GNR_BO_MSW_E-80"/>
    <x v="0"/>
    <x v="9"/>
    <n v="4.3600000000000003"/>
    <n v="1591.4"/>
    <n v="5729.04"/>
  </r>
  <r>
    <x v="0"/>
    <x v="0"/>
    <x v="0"/>
    <x v="3"/>
    <x v="7"/>
    <s v="DE4-W_A"/>
    <x v="3"/>
    <s v="GNR_BO_MSW_E-80"/>
    <x v="0"/>
    <x v="10"/>
    <n v="4.3600000000000003"/>
    <n v="1591.4"/>
    <n v="5729.04"/>
  </r>
  <r>
    <x v="0"/>
    <x v="0"/>
    <x v="0"/>
    <x v="3"/>
    <x v="7"/>
    <s v="DE4-W_A"/>
    <x v="3"/>
    <s v="GNR_BO_MSW_E-80"/>
    <x v="0"/>
    <x v="11"/>
    <n v="4.3600000000000003"/>
    <n v="1591.4"/>
    <n v="5729.04"/>
  </r>
  <r>
    <x v="0"/>
    <x v="0"/>
    <x v="0"/>
    <x v="3"/>
    <x v="7"/>
    <s v="DE4-W_A"/>
    <x v="3"/>
    <s v="GNR_BO_MSW_E-80"/>
    <x v="0"/>
    <x v="12"/>
    <n v="4.3600000000000003"/>
    <n v="1591.4"/>
    <n v="5729.04"/>
  </r>
  <r>
    <x v="0"/>
    <x v="0"/>
    <x v="0"/>
    <x v="3"/>
    <x v="7"/>
    <s v="DE4-W_A"/>
    <x v="3"/>
    <s v="GNR_BO_MSW_E-80"/>
    <x v="0"/>
    <x v="13"/>
    <n v="4.3600000000000003"/>
    <n v="1591.4"/>
    <n v="5729.04"/>
  </r>
  <r>
    <x v="0"/>
    <x v="0"/>
    <x v="0"/>
    <x v="3"/>
    <x v="7"/>
    <s v="DE4-W_A"/>
    <x v="3"/>
    <s v="GNR_BO_MSW_E-80"/>
    <x v="0"/>
    <x v="14"/>
    <n v="4.3600000000000003"/>
    <n v="1591.4"/>
    <n v="5729.04"/>
  </r>
  <r>
    <x v="0"/>
    <x v="0"/>
    <x v="0"/>
    <x v="3"/>
    <x v="7"/>
    <s v="DE4-W_A"/>
    <x v="3"/>
    <s v="GNR_BO_MSW_E-80"/>
    <x v="0"/>
    <x v="15"/>
    <n v="4.3600000000000003"/>
    <n v="1591.4"/>
    <n v="5729.04"/>
  </r>
  <r>
    <x v="0"/>
    <x v="0"/>
    <x v="0"/>
    <x v="3"/>
    <x v="7"/>
    <s v="DE4-W_A"/>
    <x v="3"/>
    <s v="GNR_BO_MSW_E-80"/>
    <x v="0"/>
    <x v="16"/>
    <n v="4.3600000000000003"/>
    <n v="1591.4"/>
    <n v="5729.04"/>
  </r>
  <r>
    <x v="0"/>
    <x v="0"/>
    <x v="0"/>
    <x v="3"/>
    <x v="7"/>
    <s v="DE4-W_A"/>
    <x v="3"/>
    <s v="GNR_BO_MSW_E-80"/>
    <x v="0"/>
    <x v="17"/>
    <n v="4.3600000000000003"/>
    <n v="1591.4"/>
    <n v="5729.04"/>
  </r>
  <r>
    <x v="0"/>
    <x v="0"/>
    <x v="0"/>
    <x v="3"/>
    <x v="7"/>
    <s v="DE4-W_A"/>
    <x v="3"/>
    <s v="GNR_BO_MSW_E-80"/>
    <x v="0"/>
    <x v="18"/>
    <n v="4.3600000000000003"/>
    <n v="1591.4"/>
    <n v="5729.04"/>
  </r>
  <r>
    <x v="0"/>
    <x v="0"/>
    <x v="0"/>
    <x v="3"/>
    <x v="7"/>
    <s v="DE4-W_A"/>
    <x v="3"/>
    <s v="GNR_BO_MSW_E-80"/>
    <x v="0"/>
    <x v="19"/>
    <n v="4.3600000000000003"/>
    <n v="1591.4"/>
    <n v="5729.04"/>
  </r>
  <r>
    <x v="0"/>
    <x v="0"/>
    <x v="0"/>
    <x v="3"/>
    <x v="7"/>
    <s v="DE4-W_A"/>
    <x v="3"/>
    <s v="GNR_BO_MSW_E-80"/>
    <x v="0"/>
    <x v="20"/>
    <n v="4.3600000000000003"/>
    <n v="1591.4"/>
    <n v="5729.04"/>
  </r>
  <r>
    <x v="0"/>
    <x v="0"/>
    <x v="0"/>
    <x v="3"/>
    <x v="7"/>
    <s v="DE4-W_A"/>
    <x v="3"/>
    <s v="GNR_BO_MSW_E-80"/>
    <x v="0"/>
    <x v="21"/>
    <n v="4.3600000000000003"/>
    <n v="1591.4"/>
    <n v="5729.04"/>
  </r>
  <r>
    <x v="0"/>
    <x v="0"/>
    <x v="0"/>
    <x v="3"/>
    <x v="7"/>
    <s v="DE4-W_A"/>
    <x v="3"/>
    <s v="GNR_BO_MSW_E-80"/>
    <x v="0"/>
    <x v="22"/>
    <n v="4.3600000000000003"/>
    <n v="1591.4"/>
    <n v="5729.04"/>
  </r>
  <r>
    <x v="0"/>
    <x v="0"/>
    <x v="0"/>
    <x v="3"/>
    <x v="7"/>
    <s v="DE4-W_A"/>
    <x v="3"/>
    <s v="GNR_BO_MSW_E-80"/>
    <x v="0"/>
    <x v="23"/>
    <n v="4.3600000000000003"/>
    <n v="1591.4"/>
    <n v="5729.04"/>
  </r>
  <r>
    <x v="0"/>
    <x v="0"/>
    <x v="0"/>
    <x v="3"/>
    <x v="7"/>
    <s v="DE4-W_A"/>
    <x v="3"/>
    <s v="GNR_ST_MSW_BP_E-33"/>
    <x v="0"/>
    <x v="0"/>
    <n v="1958.00180136227"/>
    <n v="714670.65749722801"/>
    <n v="2572814.36699002"/>
  </r>
  <r>
    <x v="0"/>
    <x v="0"/>
    <x v="0"/>
    <x v="3"/>
    <x v="7"/>
    <s v="DE4-W_A"/>
    <x v="3"/>
    <s v="GNR_ST_MSW_BP_E-33"/>
    <x v="0"/>
    <x v="1"/>
    <n v="1958.00180136227"/>
    <n v="714670.65749722801"/>
    <n v="2572814.36699002"/>
  </r>
  <r>
    <x v="0"/>
    <x v="0"/>
    <x v="0"/>
    <x v="3"/>
    <x v="7"/>
    <s v="DE4-W_A"/>
    <x v="3"/>
    <s v="GNR_ST_MSW_BP_E-33"/>
    <x v="0"/>
    <x v="2"/>
    <n v="1958.00180136227"/>
    <n v="714670.65749722801"/>
    <n v="2572814.36699002"/>
  </r>
  <r>
    <x v="0"/>
    <x v="0"/>
    <x v="0"/>
    <x v="3"/>
    <x v="7"/>
    <s v="DE4-W_A"/>
    <x v="3"/>
    <s v="GNR_ST_MSW_BP_E-33"/>
    <x v="0"/>
    <x v="3"/>
    <n v="1958.00180136227"/>
    <n v="714670.65749722801"/>
    <n v="2572814.36699002"/>
  </r>
  <r>
    <x v="0"/>
    <x v="0"/>
    <x v="0"/>
    <x v="3"/>
    <x v="7"/>
    <s v="DE4-W_A"/>
    <x v="3"/>
    <s v="GNR_ST_MSW_BP_E-33"/>
    <x v="0"/>
    <x v="4"/>
    <n v="1958.00180136227"/>
    <n v="714670.65749722801"/>
    <n v="2572814.36699002"/>
  </r>
  <r>
    <x v="0"/>
    <x v="0"/>
    <x v="0"/>
    <x v="3"/>
    <x v="7"/>
    <s v="DE4-W_A"/>
    <x v="3"/>
    <s v="GNR_ST_MSW_BP_E-33"/>
    <x v="0"/>
    <x v="5"/>
    <n v="1958.00180136227"/>
    <n v="714670.65749722801"/>
    <n v="2572814.36699002"/>
  </r>
  <r>
    <x v="0"/>
    <x v="0"/>
    <x v="0"/>
    <x v="3"/>
    <x v="7"/>
    <s v="DE4-W_A"/>
    <x v="3"/>
    <s v="GNR_ST_MSW_BP_E-33"/>
    <x v="0"/>
    <x v="6"/>
    <n v="1958.00180136227"/>
    <n v="714670.65749722801"/>
    <n v="2572814.36699002"/>
  </r>
  <r>
    <x v="0"/>
    <x v="0"/>
    <x v="0"/>
    <x v="3"/>
    <x v="7"/>
    <s v="DE4-W_A"/>
    <x v="3"/>
    <s v="GNR_ST_MSW_BP_E-33"/>
    <x v="0"/>
    <x v="7"/>
    <n v="1958.00180136227"/>
    <n v="714670.65749722801"/>
    <n v="2572814.36699002"/>
  </r>
  <r>
    <x v="0"/>
    <x v="0"/>
    <x v="0"/>
    <x v="3"/>
    <x v="7"/>
    <s v="DE4-W_A"/>
    <x v="3"/>
    <s v="GNR_ST_MSW_BP_E-33"/>
    <x v="0"/>
    <x v="8"/>
    <n v="1958.00180136227"/>
    <n v="714670.65749722801"/>
    <n v="2572814.36699002"/>
  </r>
  <r>
    <x v="0"/>
    <x v="0"/>
    <x v="0"/>
    <x v="3"/>
    <x v="7"/>
    <s v="DE4-W_A"/>
    <x v="3"/>
    <s v="GNR_ST_MSW_BP_E-33"/>
    <x v="0"/>
    <x v="9"/>
    <n v="1958.00180136227"/>
    <n v="714670.65749722801"/>
    <n v="2572814.36699002"/>
  </r>
  <r>
    <x v="0"/>
    <x v="0"/>
    <x v="0"/>
    <x v="3"/>
    <x v="7"/>
    <s v="DE4-W_A"/>
    <x v="3"/>
    <s v="GNR_ST_MSW_BP_E-33"/>
    <x v="0"/>
    <x v="10"/>
    <n v="1958.00180136227"/>
    <n v="714670.65749722801"/>
    <n v="2572814.36699002"/>
  </r>
  <r>
    <x v="0"/>
    <x v="0"/>
    <x v="0"/>
    <x v="3"/>
    <x v="7"/>
    <s v="DE4-W_A"/>
    <x v="3"/>
    <s v="GNR_ST_MSW_BP_E-33"/>
    <x v="0"/>
    <x v="11"/>
    <n v="1958.00180136227"/>
    <n v="714670.65749722801"/>
    <n v="2572814.36699002"/>
  </r>
  <r>
    <x v="0"/>
    <x v="0"/>
    <x v="0"/>
    <x v="3"/>
    <x v="7"/>
    <s v="DE4-W_A"/>
    <x v="3"/>
    <s v="GNR_ST_MSW_BP_E-33"/>
    <x v="0"/>
    <x v="12"/>
    <n v="1958.00180136227"/>
    <n v="714670.65749722801"/>
    <n v="2572814.36699002"/>
  </r>
  <r>
    <x v="0"/>
    <x v="0"/>
    <x v="0"/>
    <x v="3"/>
    <x v="7"/>
    <s v="DE4-W_A"/>
    <x v="3"/>
    <s v="GNR_ST_MSW_BP_E-33"/>
    <x v="0"/>
    <x v="13"/>
    <n v="1958.00180136227"/>
    <n v="714670.65749722801"/>
    <n v="2572814.36699002"/>
  </r>
  <r>
    <x v="0"/>
    <x v="0"/>
    <x v="0"/>
    <x v="3"/>
    <x v="7"/>
    <s v="DE4-W_A"/>
    <x v="3"/>
    <s v="GNR_ST_MSW_BP_E-33"/>
    <x v="0"/>
    <x v="14"/>
    <n v="1958.00180136227"/>
    <n v="714670.65749722801"/>
    <n v="2572814.36699002"/>
  </r>
  <r>
    <x v="0"/>
    <x v="0"/>
    <x v="0"/>
    <x v="3"/>
    <x v="7"/>
    <s v="DE4-W_A"/>
    <x v="3"/>
    <s v="GNR_ST_MSW_BP_E-33"/>
    <x v="0"/>
    <x v="15"/>
    <n v="1958.00180136227"/>
    <n v="714670.65749722801"/>
    <n v="2572814.36699002"/>
  </r>
  <r>
    <x v="0"/>
    <x v="0"/>
    <x v="0"/>
    <x v="3"/>
    <x v="7"/>
    <s v="DE4-W_A"/>
    <x v="3"/>
    <s v="GNR_ST_MSW_BP_E-33"/>
    <x v="0"/>
    <x v="16"/>
    <n v="1958.00180136227"/>
    <n v="714670.65749722801"/>
    <n v="2572814.36699002"/>
  </r>
  <r>
    <x v="0"/>
    <x v="0"/>
    <x v="0"/>
    <x v="3"/>
    <x v="7"/>
    <s v="DE4-W_A"/>
    <x v="3"/>
    <s v="GNR_ST_MSW_BP_E-33"/>
    <x v="0"/>
    <x v="17"/>
    <n v="1958.00180136227"/>
    <n v="714670.65749722801"/>
    <n v="2572814.36699002"/>
  </r>
  <r>
    <x v="0"/>
    <x v="0"/>
    <x v="0"/>
    <x v="3"/>
    <x v="7"/>
    <s v="DE4-W_A"/>
    <x v="3"/>
    <s v="GNR_ST_MSW_BP_E-33"/>
    <x v="0"/>
    <x v="18"/>
    <n v="1958.00180136227"/>
    <n v="714670.65749722801"/>
    <n v="2572814.36699002"/>
  </r>
  <r>
    <x v="0"/>
    <x v="0"/>
    <x v="0"/>
    <x v="3"/>
    <x v="7"/>
    <s v="DE4-W_A"/>
    <x v="3"/>
    <s v="GNR_ST_MSW_BP_E-33"/>
    <x v="0"/>
    <x v="19"/>
    <n v="1958.00180136227"/>
    <n v="714670.65749722801"/>
    <n v="2572814.36699002"/>
  </r>
  <r>
    <x v="0"/>
    <x v="0"/>
    <x v="0"/>
    <x v="3"/>
    <x v="7"/>
    <s v="DE4-W_A"/>
    <x v="3"/>
    <s v="GNR_ST_MSW_BP_E-33"/>
    <x v="0"/>
    <x v="20"/>
    <n v="1958.00180136227"/>
    <n v="714670.65749722801"/>
    <n v="2572814.36699002"/>
  </r>
  <r>
    <x v="0"/>
    <x v="0"/>
    <x v="0"/>
    <x v="3"/>
    <x v="7"/>
    <s v="DE4-W_A"/>
    <x v="3"/>
    <s v="GNR_ST_MSW_BP_E-33"/>
    <x v="0"/>
    <x v="21"/>
    <n v="1958.00180136227"/>
    <n v="714670.65749722801"/>
    <n v="2572814.36699002"/>
  </r>
  <r>
    <x v="0"/>
    <x v="0"/>
    <x v="0"/>
    <x v="3"/>
    <x v="7"/>
    <s v="DE4-W_A"/>
    <x v="3"/>
    <s v="GNR_ST_MSW_BP_E-33"/>
    <x v="0"/>
    <x v="22"/>
    <n v="1958.00180136227"/>
    <n v="714670.65749722801"/>
    <n v="2572814.36699002"/>
  </r>
  <r>
    <x v="0"/>
    <x v="0"/>
    <x v="0"/>
    <x v="3"/>
    <x v="7"/>
    <s v="DE4-W_A"/>
    <x v="3"/>
    <s v="GNR_ST_MSW_BP_E-33"/>
    <x v="0"/>
    <x v="23"/>
    <n v="1958.00180136227"/>
    <n v="714670.65749722801"/>
    <n v="2572814.36699002"/>
  </r>
  <r>
    <x v="0"/>
    <x v="0"/>
    <x v="0"/>
    <x v="3"/>
    <x v="7"/>
    <s v="DE4-W_A"/>
    <x v="4"/>
    <s v="GNR_CC_NGAS_BP_E-55"/>
    <x v="0"/>
    <x v="4"/>
    <n v="471.71509183273201"/>
    <n v="172176.008518947"/>
    <n v="619833.63066820998"/>
  </r>
  <r>
    <x v="0"/>
    <x v="0"/>
    <x v="0"/>
    <x v="3"/>
    <x v="7"/>
    <s v="DE4-W_A"/>
    <x v="4"/>
    <s v="GNR_CC_NGAS_BP_E-55"/>
    <x v="0"/>
    <x v="13"/>
    <n v="2631.4912761278301"/>
    <n v="960494.31578665599"/>
    <n v="3457779.5368319601"/>
  </r>
  <r>
    <x v="0"/>
    <x v="0"/>
    <x v="0"/>
    <x v="3"/>
    <x v="7"/>
    <s v="DE4-W_A"/>
    <x v="4"/>
    <s v="GNR_CC_NGAS_BP_E-55"/>
    <x v="0"/>
    <x v="19"/>
    <n v="663.52271038336198"/>
    <n v="242185.78928992699"/>
    <n v="871868.84144373704"/>
  </r>
  <r>
    <x v="0"/>
    <x v="0"/>
    <x v="0"/>
    <x v="4"/>
    <x v="8"/>
    <s v="LV_Other_DH"/>
    <x v="0"/>
    <s v="GNR_GT_BGAS_BP_E-30"/>
    <x v="0"/>
    <x v="0"/>
    <n v="121.56862745098"/>
    <n v="44372.549019607803"/>
    <n v="159741.17647058799"/>
  </r>
  <r>
    <x v="0"/>
    <x v="0"/>
    <x v="0"/>
    <x v="4"/>
    <x v="8"/>
    <s v="LV_Other_DH"/>
    <x v="0"/>
    <s v="GNR_GT_BGAS_BP_E-30"/>
    <x v="0"/>
    <x v="1"/>
    <n v="121.56862745098"/>
    <n v="44372.549019607803"/>
    <n v="159741.17647058799"/>
  </r>
  <r>
    <x v="0"/>
    <x v="0"/>
    <x v="0"/>
    <x v="4"/>
    <x v="8"/>
    <s v="LV_Other_DH"/>
    <x v="0"/>
    <s v="GNR_GT_BGAS_BP_E-30"/>
    <x v="0"/>
    <x v="2"/>
    <n v="121.56862745098"/>
    <n v="44372.549019607803"/>
    <n v="159741.17647058799"/>
  </r>
  <r>
    <x v="0"/>
    <x v="0"/>
    <x v="0"/>
    <x v="4"/>
    <x v="8"/>
    <s v="LV_Other_DH"/>
    <x v="0"/>
    <s v="GNR_GT_BGAS_BP_E-30"/>
    <x v="0"/>
    <x v="3"/>
    <n v="121.56862745098"/>
    <n v="44372.549019607803"/>
    <n v="159741.17647058799"/>
  </r>
  <r>
    <x v="0"/>
    <x v="0"/>
    <x v="0"/>
    <x v="4"/>
    <x v="8"/>
    <s v="LV_Other_DH"/>
    <x v="0"/>
    <s v="GNR_GT_BGAS_BP_E-30"/>
    <x v="0"/>
    <x v="4"/>
    <n v="121.56862745098"/>
    <n v="44372.549019607803"/>
    <n v="159741.17647058799"/>
  </r>
  <r>
    <x v="0"/>
    <x v="0"/>
    <x v="0"/>
    <x v="4"/>
    <x v="8"/>
    <s v="LV_Other_DH"/>
    <x v="0"/>
    <s v="GNR_GT_BGAS_BP_E-30"/>
    <x v="0"/>
    <x v="5"/>
    <n v="121.56862745098"/>
    <n v="44372.549019607803"/>
    <n v="159741.17647058799"/>
  </r>
  <r>
    <x v="0"/>
    <x v="0"/>
    <x v="0"/>
    <x v="4"/>
    <x v="8"/>
    <s v="LV_Other_DH"/>
    <x v="0"/>
    <s v="GNR_GT_BGAS_BP_E-30"/>
    <x v="0"/>
    <x v="6"/>
    <n v="121.56862745098"/>
    <n v="44372.549019607803"/>
    <n v="159741.17647058799"/>
  </r>
  <r>
    <x v="0"/>
    <x v="0"/>
    <x v="0"/>
    <x v="4"/>
    <x v="8"/>
    <s v="LV_Other_DH"/>
    <x v="0"/>
    <s v="GNR_GT_BGAS_BP_E-30"/>
    <x v="0"/>
    <x v="7"/>
    <n v="121.56862745098"/>
    <n v="44372.549019607803"/>
    <n v="159741.17647058799"/>
  </r>
  <r>
    <x v="0"/>
    <x v="0"/>
    <x v="0"/>
    <x v="4"/>
    <x v="8"/>
    <s v="LV_Other_DH"/>
    <x v="0"/>
    <s v="GNR_GT_BGAS_BP_E-30"/>
    <x v="0"/>
    <x v="8"/>
    <n v="121.56862745098"/>
    <n v="44372.549019607803"/>
    <n v="159741.17647058799"/>
  </r>
  <r>
    <x v="0"/>
    <x v="0"/>
    <x v="0"/>
    <x v="4"/>
    <x v="8"/>
    <s v="LV_Other_DH"/>
    <x v="0"/>
    <s v="GNR_GT_BGAS_BP_E-30"/>
    <x v="0"/>
    <x v="9"/>
    <n v="121.56862745098"/>
    <n v="44372.549019607803"/>
    <n v="159741.17647058799"/>
  </r>
  <r>
    <x v="0"/>
    <x v="0"/>
    <x v="0"/>
    <x v="4"/>
    <x v="8"/>
    <s v="LV_Other_DH"/>
    <x v="0"/>
    <s v="GNR_GT_BGAS_BP_E-30"/>
    <x v="0"/>
    <x v="10"/>
    <n v="121.56862745098"/>
    <n v="44372.549019607803"/>
    <n v="159741.17647058799"/>
  </r>
  <r>
    <x v="0"/>
    <x v="0"/>
    <x v="0"/>
    <x v="4"/>
    <x v="8"/>
    <s v="LV_Other_DH"/>
    <x v="0"/>
    <s v="GNR_GT_BGAS_BP_E-30"/>
    <x v="0"/>
    <x v="11"/>
    <n v="121.56862745098"/>
    <n v="44372.549019607803"/>
    <n v="159741.17647058799"/>
  </r>
  <r>
    <x v="0"/>
    <x v="0"/>
    <x v="0"/>
    <x v="4"/>
    <x v="8"/>
    <s v="LV_Other_DH"/>
    <x v="0"/>
    <s v="GNR_GT_BGAS_BP_E-30"/>
    <x v="0"/>
    <x v="12"/>
    <n v="121.56862745098"/>
    <n v="44372.549019607803"/>
    <n v="159741.17647058799"/>
  </r>
  <r>
    <x v="0"/>
    <x v="0"/>
    <x v="0"/>
    <x v="4"/>
    <x v="8"/>
    <s v="LV_Other_DH"/>
    <x v="0"/>
    <s v="GNR_GT_BGAS_BP_E-30"/>
    <x v="0"/>
    <x v="13"/>
    <n v="121.56862745098"/>
    <n v="44372.549019607803"/>
    <n v="159741.17647058799"/>
  </r>
  <r>
    <x v="0"/>
    <x v="0"/>
    <x v="0"/>
    <x v="4"/>
    <x v="8"/>
    <s v="LV_Other_DH"/>
    <x v="0"/>
    <s v="GNR_GT_BGAS_BP_E-30"/>
    <x v="0"/>
    <x v="14"/>
    <n v="121.56862745098"/>
    <n v="44372.549019607803"/>
    <n v="159741.17647058799"/>
  </r>
  <r>
    <x v="0"/>
    <x v="0"/>
    <x v="0"/>
    <x v="4"/>
    <x v="8"/>
    <s v="LV_Other_DH"/>
    <x v="0"/>
    <s v="GNR_GT_BGAS_BP_E-30"/>
    <x v="0"/>
    <x v="15"/>
    <n v="121.56862745098"/>
    <n v="44372.549019607803"/>
    <n v="159741.17647058799"/>
  </r>
  <r>
    <x v="0"/>
    <x v="0"/>
    <x v="0"/>
    <x v="4"/>
    <x v="8"/>
    <s v="LV_Other_DH"/>
    <x v="0"/>
    <s v="GNR_GT_BGAS_BP_E-30"/>
    <x v="0"/>
    <x v="16"/>
    <n v="121.56862745098"/>
    <n v="44372.549019607803"/>
    <n v="159741.17647058799"/>
  </r>
  <r>
    <x v="0"/>
    <x v="0"/>
    <x v="0"/>
    <x v="4"/>
    <x v="8"/>
    <s v="LV_Other_DH"/>
    <x v="0"/>
    <s v="GNR_GT_BGAS_BP_E-30"/>
    <x v="0"/>
    <x v="17"/>
    <n v="121.56862745098"/>
    <n v="44372.549019607803"/>
    <n v="159741.17647058799"/>
  </r>
  <r>
    <x v="0"/>
    <x v="0"/>
    <x v="0"/>
    <x v="4"/>
    <x v="8"/>
    <s v="LV_Other_DH"/>
    <x v="0"/>
    <s v="GNR_GT_BGAS_BP_E-30"/>
    <x v="0"/>
    <x v="18"/>
    <n v="121.56862745098"/>
    <n v="44372.549019607803"/>
    <n v="159741.17647058799"/>
  </r>
  <r>
    <x v="0"/>
    <x v="0"/>
    <x v="0"/>
    <x v="4"/>
    <x v="8"/>
    <s v="LV_Other_DH"/>
    <x v="0"/>
    <s v="GNR_GT_BGAS_BP_E-30"/>
    <x v="0"/>
    <x v="19"/>
    <n v="121.56862745098"/>
    <n v="44372.549019607803"/>
    <n v="159741.17647058799"/>
  </r>
  <r>
    <x v="0"/>
    <x v="0"/>
    <x v="0"/>
    <x v="4"/>
    <x v="8"/>
    <s v="LV_Other_DH"/>
    <x v="0"/>
    <s v="GNR_GT_BGAS_BP_E-30"/>
    <x v="0"/>
    <x v="20"/>
    <n v="121.56862745098"/>
    <n v="44372.549019607803"/>
    <n v="159741.17647058799"/>
  </r>
  <r>
    <x v="0"/>
    <x v="0"/>
    <x v="0"/>
    <x v="4"/>
    <x v="8"/>
    <s v="LV_Other_DH"/>
    <x v="0"/>
    <s v="GNR_GT_BGAS_BP_E-30"/>
    <x v="0"/>
    <x v="21"/>
    <n v="121.56862745098"/>
    <n v="44372.549019607803"/>
    <n v="159741.17647058799"/>
  </r>
  <r>
    <x v="0"/>
    <x v="0"/>
    <x v="0"/>
    <x v="4"/>
    <x v="8"/>
    <s v="LV_Other_DH"/>
    <x v="0"/>
    <s v="GNR_GT_BGAS_BP_E-30"/>
    <x v="0"/>
    <x v="22"/>
    <n v="121.56862745098"/>
    <n v="44372.549019607803"/>
    <n v="159741.17647058799"/>
  </r>
  <r>
    <x v="0"/>
    <x v="0"/>
    <x v="0"/>
    <x v="4"/>
    <x v="8"/>
    <s v="LV_Other_DH"/>
    <x v="0"/>
    <s v="GNR_GT_BGAS_BP_E-30"/>
    <x v="0"/>
    <x v="23"/>
    <n v="121.56862745098"/>
    <n v="44372.549019607803"/>
    <n v="159741.17647058799"/>
  </r>
  <r>
    <x v="0"/>
    <x v="0"/>
    <x v="0"/>
    <x v="4"/>
    <x v="8"/>
    <s v="LV_Other_DH"/>
    <x v="10"/>
    <s v="GNR_ST_WOOD_BP_E-30"/>
    <x v="0"/>
    <x v="0"/>
    <n v="105.88235294117599"/>
    <n v="38647.058823529398"/>
    <n v="139129.41176470599"/>
  </r>
  <r>
    <x v="0"/>
    <x v="0"/>
    <x v="0"/>
    <x v="4"/>
    <x v="8"/>
    <s v="LV_Other_DH"/>
    <x v="10"/>
    <s v="GNR_ST_WOOD_BP_E-30"/>
    <x v="0"/>
    <x v="1"/>
    <n v="105.88235294117599"/>
    <n v="38647.058823529398"/>
    <n v="139129.41176470599"/>
  </r>
  <r>
    <x v="0"/>
    <x v="0"/>
    <x v="0"/>
    <x v="4"/>
    <x v="8"/>
    <s v="LV_Other_DH"/>
    <x v="10"/>
    <s v="GNR_ST_WOOD_BP_E-30"/>
    <x v="0"/>
    <x v="2"/>
    <n v="105.88235294117599"/>
    <n v="38647.058823529398"/>
    <n v="139129.41176470599"/>
  </r>
  <r>
    <x v="0"/>
    <x v="0"/>
    <x v="0"/>
    <x v="4"/>
    <x v="8"/>
    <s v="LV_Other_DH"/>
    <x v="10"/>
    <s v="GNR_ST_WOOD_BP_E-30"/>
    <x v="0"/>
    <x v="3"/>
    <n v="105.88235294117599"/>
    <n v="38647.058823529398"/>
    <n v="139129.41176470599"/>
  </r>
  <r>
    <x v="0"/>
    <x v="0"/>
    <x v="0"/>
    <x v="4"/>
    <x v="8"/>
    <s v="LV_Other_DH"/>
    <x v="10"/>
    <s v="GNR_ST_WOOD_BP_E-30"/>
    <x v="0"/>
    <x v="4"/>
    <n v="105.88235294117599"/>
    <n v="38647.058823529398"/>
    <n v="139129.41176470599"/>
  </r>
  <r>
    <x v="0"/>
    <x v="0"/>
    <x v="0"/>
    <x v="4"/>
    <x v="8"/>
    <s v="LV_Other_DH"/>
    <x v="10"/>
    <s v="GNR_ST_WOOD_BP_E-30"/>
    <x v="0"/>
    <x v="5"/>
    <n v="105.88235294117599"/>
    <n v="38647.058823529398"/>
    <n v="139129.41176470599"/>
  </r>
  <r>
    <x v="0"/>
    <x v="0"/>
    <x v="0"/>
    <x v="4"/>
    <x v="8"/>
    <s v="LV_Other_DH"/>
    <x v="10"/>
    <s v="GNR_ST_WOOD_BP_E-30"/>
    <x v="0"/>
    <x v="6"/>
    <n v="105.88235294117599"/>
    <n v="38647.058823529398"/>
    <n v="139129.41176470599"/>
  </r>
  <r>
    <x v="0"/>
    <x v="0"/>
    <x v="0"/>
    <x v="4"/>
    <x v="8"/>
    <s v="LV_Other_DH"/>
    <x v="10"/>
    <s v="GNR_ST_WOOD_BP_E-30"/>
    <x v="0"/>
    <x v="7"/>
    <n v="105.88235294117599"/>
    <n v="38647.058823529398"/>
    <n v="139129.41176470599"/>
  </r>
  <r>
    <x v="0"/>
    <x v="0"/>
    <x v="0"/>
    <x v="4"/>
    <x v="8"/>
    <s v="LV_Other_DH"/>
    <x v="10"/>
    <s v="GNR_ST_WOOD_BP_E-30"/>
    <x v="0"/>
    <x v="8"/>
    <n v="105.88235294117599"/>
    <n v="38647.058823529398"/>
    <n v="139129.41176470599"/>
  </r>
  <r>
    <x v="0"/>
    <x v="0"/>
    <x v="0"/>
    <x v="4"/>
    <x v="8"/>
    <s v="LV_Other_DH"/>
    <x v="10"/>
    <s v="GNR_ST_WOOD_BP_E-30"/>
    <x v="0"/>
    <x v="9"/>
    <n v="105.88235294117599"/>
    <n v="38647.058823529398"/>
    <n v="139129.41176470599"/>
  </r>
  <r>
    <x v="0"/>
    <x v="0"/>
    <x v="0"/>
    <x v="4"/>
    <x v="8"/>
    <s v="LV_Other_DH"/>
    <x v="10"/>
    <s v="GNR_ST_WOOD_BP_E-30"/>
    <x v="0"/>
    <x v="10"/>
    <n v="105.88235294117599"/>
    <n v="38647.058823529398"/>
    <n v="139129.41176470599"/>
  </r>
  <r>
    <x v="0"/>
    <x v="0"/>
    <x v="0"/>
    <x v="4"/>
    <x v="8"/>
    <s v="LV_Other_DH"/>
    <x v="10"/>
    <s v="GNR_ST_WOOD_BP_E-30"/>
    <x v="0"/>
    <x v="11"/>
    <n v="105.88235294117599"/>
    <n v="38647.058823529398"/>
    <n v="139129.41176470599"/>
  </r>
  <r>
    <x v="0"/>
    <x v="0"/>
    <x v="0"/>
    <x v="4"/>
    <x v="8"/>
    <s v="LV_Other_DH"/>
    <x v="10"/>
    <s v="GNR_ST_WOOD_BP_E-30"/>
    <x v="0"/>
    <x v="12"/>
    <n v="105.88235294117599"/>
    <n v="38647.058823529398"/>
    <n v="139129.41176470599"/>
  </r>
  <r>
    <x v="0"/>
    <x v="0"/>
    <x v="0"/>
    <x v="4"/>
    <x v="8"/>
    <s v="LV_Other_DH"/>
    <x v="10"/>
    <s v="GNR_ST_WOOD_BP_E-30"/>
    <x v="0"/>
    <x v="13"/>
    <n v="105.88235294117599"/>
    <n v="38647.058823529398"/>
    <n v="139129.41176470599"/>
  </r>
  <r>
    <x v="0"/>
    <x v="0"/>
    <x v="0"/>
    <x v="4"/>
    <x v="8"/>
    <s v="LV_Other_DH"/>
    <x v="10"/>
    <s v="GNR_ST_WOOD_BP_E-30"/>
    <x v="0"/>
    <x v="14"/>
    <n v="105.88235294117599"/>
    <n v="38647.058823529398"/>
    <n v="139129.41176470599"/>
  </r>
  <r>
    <x v="0"/>
    <x v="0"/>
    <x v="0"/>
    <x v="4"/>
    <x v="8"/>
    <s v="LV_Other_DH"/>
    <x v="10"/>
    <s v="GNR_ST_WOOD_BP_E-30"/>
    <x v="0"/>
    <x v="15"/>
    <n v="105.88235294117599"/>
    <n v="38647.058823529398"/>
    <n v="139129.41176470599"/>
  </r>
  <r>
    <x v="0"/>
    <x v="0"/>
    <x v="0"/>
    <x v="4"/>
    <x v="8"/>
    <s v="LV_Other_DH"/>
    <x v="10"/>
    <s v="GNR_ST_WOOD_BP_E-30"/>
    <x v="0"/>
    <x v="16"/>
    <n v="105.88235294117599"/>
    <n v="38647.058823529398"/>
    <n v="139129.41176470599"/>
  </r>
  <r>
    <x v="0"/>
    <x v="0"/>
    <x v="0"/>
    <x v="4"/>
    <x v="8"/>
    <s v="LV_Other_DH"/>
    <x v="10"/>
    <s v="GNR_ST_WOOD_BP_E-30"/>
    <x v="0"/>
    <x v="17"/>
    <n v="105.88235294117599"/>
    <n v="38647.058823529398"/>
    <n v="139129.41176470599"/>
  </r>
  <r>
    <x v="0"/>
    <x v="0"/>
    <x v="0"/>
    <x v="4"/>
    <x v="8"/>
    <s v="LV_Other_DH"/>
    <x v="10"/>
    <s v="GNR_ST_WOOD_BP_E-30"/>
    <x v="0"/>
    <x v="18"/>
    <n v="105.88235294117599"/>
    <n v="38647.058823529398"/>
    <n v="139129.41176470599"/>
  </r>
  <r>
    <x v="0"/>
    <x v="0"/>
    <x v="0"/>
    <x v="4"/>
    <x v="8"/>
    <s v="LV_Other_DH"/>
    <x v="10"/>
    <s v="GNR_ST_WOOD_BP_E-30"/>
    <x v="0"/>
    <x v="19"/>
    <n v="105.88235294117599"/>
    <n v="38647.058823529398"/>
    <n v="139129.41176470599"/>
  </r>
  <r>
    <x v="0"/>
    <x v="0"/>
    <x v="0"/>
    <x v="4"/>
    <x v="8"/>
    <s v="LV_Other_DH"/>
    <x v="10"/>
    <s v="GNR_ST_WOOD_BP_E-30"/>
    <x v="0"/>
    <x v="20"/>
    <n v="105.88235294117599"/>
    <n v="38647.058823529398"/>
    <n v="139129.41176470599"/>
  </r>
  <r>
    <x v="0"/>
    <x v="0"/>
    <x v="0"/>
    <x v="4"/>
    <x v="8"/>
    <s v="LV_Other_DH"/>
    <x v="10"/>
    <s v="GNR_ST_WOOD_BP_E-30"/>
    <x v="0"/>
    <x v="21"/>
    <n v="105.88235294117599"/>
    <n v="38647.058823529398"/>
    <n v="139129.41176470599"/>
  </r>
  <r>
    <x v="0"/>
    <x v="0"/>
    <x v="0"/>
    <x v="4"/>
    <x v="8"/>
    <s v="LV_Other_DH"/>
    <x v="10"/>
    <s v="GNR_ST_WOOD_BP_E-30"/>
    <x v="0"/>
    <x v="22"/>
    <n v="105.88235294117599"/>
    <n v="38647.058823529398"/>
    <n v="139129.41176470599"/>
  </r>
  <r>
    <x v="0"/>
    <x v="0"/>
    <x v="0"/>
    <x v="4"/>
    <x v="8"/>
    <s v="LV_Other_DH"/>
    <x v="10"/>
    <s v="GNR_ST_WOOD_BP_E-30"/>
    <x v="0"/>
    <x v="23"/>
    <n v="105.88235294117599"/>
    <n v="38647.058823529398"/>
    <n v="139129.41176470599"/>
  </r>
  <r>
    <x v="0"/>
    <x v="0"/>
    <x v="0"/>
    <x v="5"/>
    <x v="9"/>
    <s v="LT_KauU"/>
    <x v="3"/>
    <s v="KAUNAS_ST_MSW_BP"/>
    <x v="0"/>
    <x v="0"/>
    <n v="68.000226667422197"/>
    <n v="24820.082733609099"/>
    <n v="89352.297840992804"/>
  </r>
  <r>
    <x v="0"/>
    <x v="0"/>
    <x v="0"/>
    <x v="5"/>
    <x v="9"/>
    <s v="LT_KauU"/>
    <x v="3"/>
    <s v="KAUNAS_ST_MSW_BP"/>
    <x v="0"/>
    <x v="1"/>
    <n v="68.000226667422197"/>
    <n v="24820.082733609099"/>
    <n v="89352.297840992804"/>
  </r>
  <r>
    <x v="0"/>
    <x v="0"/>
    <x v="0"/>
    <x v="5"/>
    <x v="9"/>
    <s v="LT_KauU"/>
    <x v="3"/>
    <s v="KAUNAS_ST_MSW_BP"/>
    <x v="0"/>
    <x v="2"/>
    <n v="68.000226667422197"/>
    <n v="24820.082733609099"/>
    <n v="89352.297840992804"/>
  </r>
  <r>
    <x v="0"/>
    <x v="0"/>
    <x v="0"/>
    <x v="5"/>
    <x v="9"/>
    <s v="LT_KauU"/>
    <x v="3"/>
    <s v="KAUNAS_ST_MSW_BP"/>
    <x v="0"/>
    <x v="3"/>
    <n v="68.000226667422197"/>
    <n v="24820.082733609099"/>
    <n v="89352.297840992804"/>
  </r>
  <r>
    <x v="0"/>
    <x v="0"/>
    <x v="0"/>
    <x v="5"/>
    <x v="9"/>
    <s v="LT_KauU"/>
    <x v="3"/>
    <s v="KAUNAS_ST_MSW_BP"/>
    <x v="0"/>
    <x v="4"/>
    <n v="68.000226667422197"/>
    <n v="24820.082733609099"/>
    <n v="89352.297840992804"/>
  </r>
  <r>
    <x v="0"/>
    <x v="0"/>
    <x v="0"/>
    <x v="5"/>
    <x v="9"/>
    <s v="LT_KauU"/>
    <x v="3"/>
    <s v="KAUNAS_ST_MSW_BP"/>
    <x v="0"/>
    <x v="5"/>
    <n v="68.000226667422197"/>
    <n v="24820.082733609099"/>
    <n v="89352.297840992804"/>
  </r>
  <r>
    <x v="0"/>
    <x v="0"/>
    <x v="0"/>
    <x v="5"/>
    <x v="9"/>
    <s v="LT_KauU"/>
    <x v="3"/>
    <s v="KAUNAS_ST_MSW_BP"/>
    <x v="0"/>
    <x v="6"/>
    <n v="68.000226667422197"/>
    <n v="24820.082733609099"/>
    <n v="89352.297840992804"/>
  </r>
  <r>
    <x v="0"/>
    <x v="0"/>
    <x v="0"/>
    <x v="5"/>
    <x v="9"/>
    <s v="LT_KauU"/>
    <x v="3"/>
    <s v="KAUNAS_ST_MSW_BP"/>
    <x v="0"/>
    <x v="7"/>
    <n v="68.000226667422197"/>
    <n v="24820.082733609099"/>
    <n v="89352.297840992804"/>
  </r>
  <r>
    <x v="0"/>
    <x v="0"/>
    <x v="0"/>
    <x v="5"/>
    <x v="9"/>
    <s v="LT_KauU"/>
    <x v="3"/>
    <s v="KAUNAS_ST_MSW_BP"/>
    <x v="0"/>
    <x v="8"/>
    <n v="68.000226667422197"/>
    <n v="24820.082733609099"/>
    <n v="89352.297840992804"/>
  </r>
  <r>
    <x v="0"/>
    <x v="0"/>
    <x v="0"/>
    <x v="5"/>
    <x v="9"/>
    <s v="LT_KauU"/>
    <x v="3"/>
    <s v="KAUNAS_ST_MSW_BP"/>
    <x v="0"/>
    <x v="9"/>
    <n v="68.000226667422197"/>
    <n v="24820.082733609099"/>
    <n v="89352.297840992804"/>
  </r>
  <r>
    <x v="0"/>
    <x v="0"/>
    <x v="0"/>
    <x v="5"/>
    <x v="9"/>
    <s v="LT_KauU"/>
    <x v="3"/>
    <s v="KAUNAS_ST_MSW_BP"/>
    <x v="0"/>
    <x v="10"/>
    <n v="68.000226667422197"/>
    <n v="24820.082733609099"/>
    <n v="89352.297840992804"/>
  </r>
  <r>
    <x v="0"/>
    <x v="0"/>
    <x v="0"/>
    <x v="5"/>
    <x v="9"/>
    <s v="LT_KauU"/>
    <x v="3"/>
    <s v="KAUNAS_ST_MSW_BP"/>
    <x v="0"/>
    <x v="11"/>
    <n v="68.000226667422197"/>
    <n v="24820.082733609099"/>
    <n v="89352.297840992804"/>
  </r>
  <r>
    <x v="0"/>
    <x v="0"/>
    <x v="0"/>
    <x v="5"/>
    <x v="9"/>
    <s v="LT_KauU"/>
    <x v="3"/>
    <s v="KAUNAS_ST_MSW_BP"/>
    <x v="0"/>
    <x v="12"/>
    <n v="68.000226667422197"/>
    <n v="24820.082733609099"/>
    <n v="89352.297840992804"/>
  </r>
  <r>
    <x v="0"/>
    <x v="0"/>
    <x v="0"/>
    <x v="5"/>
    <x v="9"/>
    <s v="LT_KauU"/>
    <x v="3"/>
    <s v="KAUNAS_ST_MSW_BP"/>
    <x v="0"/>
    <x v="13"/>
    <n v="68.000226667422197"/>
    <n v="24820.082733609099"/>
    <n v="89352.297840992804"/>
  </r>
  <r>
    <x v="0"/>
    <x v="0"/>
    <x v="0"/>
    <x v="5"/>
    <x v="9"/>
    <s v="LT_KauU"/>
    <x v="3"/>
    <s v="KAUNAS_ST_MSW_BP"/>
    <x v="0"/>
    <x v="14"/>
    <n v="68.000226667422197"/>
    <n v="24820.082733609099"/>
    <n v="89352.297840992804"/>
  </r>
  <r>
    <x v="0"/>
    <x v="0"/>
    <x v="0"/>
    <x v="5"/>
    <x v="9"/>
    <s v="LT_KauU"/>
    <x v="3"/>
    <s v="KAUNAS_ST_MSW_BP"/>
    <x v="0"/>
    <x v="15"/>
    <n v="68.000226667422197"/>
    <n v="24820.082733609099"/>
    <n v="89352.297840992804"/>
  </r>
  <r>
    <x v="0"/>
    <x v="0"/>
    <x v="0"/>
    <x v="5"/>
    <x v="9"/>
    <s v="LT_KauU"/>
    <x v="3"/>
    <s v="KAUNAS_ST_MSW_BP"/>
    <x v="0"/>
    <x v="16"/>
    <n v="68.000226667422197"/>
    <n v="24820.082733609099"/>
    <n v="89352.297840992804"/>
  </r>
  <r>
    <x v="0"/>
    <x v="0"/>
    <x v="0"/>
    <x v="5"/>
    <x v="9"/>
    <s v="LT_KauU"/>
    <x v="3"/>
    <s v="KAUNAS_ST_MSW_BP"/>
    <x v="0"/>
    <x v="17"/>
    <n v="68.000226667422197"/>
    <n v="24820.082733609099"/>
    <n v="89352.297840992804"/>
  </r>
  <r>
    <x v="0"/>
    <x v="0"/>
    <x v="0"/>
    <x v="5"/>
    <x v="9"/>
    <s v="LT_KauU"/>
    <x v="3"/>
    <s v="KAUNAS_ST_MSW_BP"/>
    <x v="0"/>
    <x v="18"/>
    <n v="68.000226667422197"/>
    <n v="24820.082733609099"/>
    <n v="89352.297840992804"/>
  </r>
  <r>
    <x v="0"/>
    <x v="0"/>
    <x v="0"/>
    <x v="5"/>
    <x v="9"/>
    <s v="LT_KauU"/>
    <x v="3"/>
    <s v="KAUNAS_ST_MSW_BP"/>
    <x v="0"/>
    <x v="19"/>
    <n v="68.000226667422197"/>
    <n v="24820.082733609099"/>
    <n v="89352.297840992804"/>
  </r>
  <r>
    <x v="0"/>
    <x v="0"/>
    <x v="0"/>
    <x v="5"/>
    <x v="9"/>
    <s v="LT_KauU"/>
    <x v="3"/>
    <s v="KAUNAS_ST_MSW_BP"/>
    <x v="0"/>
    <x v="20"/>
    <n v="68.000226667422197"/>
    <n v="24820.082733609099"/>
    <n v="89352.297840992804"/>
  </r>
  <r>
    <x v="0"/>
    <x v="0"/>
    <x v="0"/>
    <x v="5"/>
    <x v="9"/>
    <s v="LT_KauU"/>
    <x v="3"/>
    <s v="KAUNAS_ST_MSW_BP"/>
    <x v="0"/>
    <x v="21"/>
    <n v="68.000226667422197"/>
    <n v="24820.082733609099"/>
    <n v="89352.297840992804"/>
  </r>
  <r>
    <x v="0"/>
    <x v="0"/>
    <x v="0"/>
    <x v="5"/>
    <x v="9"/>
    <s v="LT_KauU"/>
    <x v="3"/>
    <s v="KAUNAS_ST_MSW_BP"/>
    <x v="0"/>
    <x v="22"/>
    <n v="68.000226667422197"/>
    <n v="24820.082733609099"/>
    <n v="89352.297840992804"/>
  </r>
  <r>
    <x v="0"/>
    <x v="0"/>
    <x v="0"/>
    <x v="5"/>
    <x v="9"/>
    <s v="LT_KauU"/>
    <x v="3"/>
    <s v="KAUNAS_ST_MSW_BP"/>
    <x v="0"/>
    <x v="23"/>
    <n v="68.000226667422197"/>
    <n v="24820.082733609099"/>
    <n v="89352.297840992804"/>
  </r>
  <r>
    <x v="0"/>
    <x v="0"/>
    <x v="0"/>
    <x v="5"/>
    <x v="9"/>
    <s v="LT_KlaU"/>
    <x v="10"/>
    <s v="KLAIPEDA_ST_WOOD_BP"/>
    <x v="0"/>
    <x v="0"/>
    <n v="133.691626893408"/>
    <n v="48797.443816093801"/>
    <n v="175670.797737938"/>
  </r>
  <r>
    <x v="0"/>
    <x v="0"/>
    <x v="0"/>
    <x v="5"/>
    <x v="9"/>
    <s v="LT_KlaU"/>
    <x v="10"/>
    <s v="KLAIPEDA_ST_WOOD_BP"/>
    <x v="0"/>
    <x v="1"/>
    <n v="133.691626893408"/>
    <n v="48797.443816093801"/>
    <n v="175670.797737938"/>
  </r>
  <r>
    <x v="0"/>
    <x v="0"/>
    <x v="0"/>
    <x v="5"/>
    <x v="9"/>
    <s v="LT_KlaU"/>
    <x v="10"/>
    <s v="KLAIPEDA_ST_WOOD_BP"/>
    <x v="0"/>
    <x v="2"/>
    <n v="133.691626893408"/>
    <n v="48797.443816093801"/>
    <n v="175670.797737938"/>
  </r>
  <r>
    <x v="0"/>
    <x v="0"/>
    <x v="0"/>
    <x v="5"/>
    <x v="9"/>
    <s v="LT_KlaU"/>
    <x v="10"/>
    <s v="KLAIPEDA_ST_WOOD_BP"/>
    <x v="0"/>
    <x v="3"/>
    <n v="133.691626893408"/>
    <n v="48797.443816093801"/>
    <n v="175670.797737938"/>
  </r>
  <r>
    <x v="0"/>
    <x v="0"/>
    <x v="0"/>
    <x v="5"/>
    <x v="9"/>
    <s v="LT_KlaU"/>
    <x v="10"/>
    <s v="KLAIPEDA_ST_WOOD_BP"/>
    <x v="0"/>
    <x v="4"/>
    <n v="133.691626893408"/>
    <n v="48797.443816093801"/>
    <n v="175670.797737938"/>
  </r>
  <r>
    <x v="0"/>
    <x v="0"/>
    <x v="0"/>
    <x v="5"/>
    <x v="9"/>
    <s v="LT_KlaU"/>
    <x v="10"/>
    <s v="KLAIPEDA_ST_WOOD_BP"/>
    <x v="0"/>
    <x v="5"/>
    <n v="133.691626893408"/>
    <n v="48797.443816093801"/>
    <n v="175670.797737938"/>
  </r>
  <r>
    <x v="0"/>
    <x v="0"/>
    <x v="0"/>
    <x v="5"/>
    <x v="9"/>
    <s v="LT_KlaU"/>
    <x v="10"/>
    <s v="KLAIPEDA_ST_WOOD_BP"/>
    <x v="0"/>
    <x v="6"/>
    <n v="133.691626893408"/>
    <n v="48797.443816093801"/>
    <n v="175670.797737938"/>
  </r>
  <r>
    <x v="0"/>
    <x v="0"/>
    <x v="0"/>
    <x v="5"/>
    <x v="9"/>
    <s v="LT_KlaU"/>
    <x v="10"/>
    <s v="KLAIPEDA_ST_WOOD_BP"/>
    <x v="0"/>
    <x v="7"/>
    <n v="133.691626893408"/>
    <n v="48797.443816093801"/>
    <n v="175670.797737938"/>
  </r>
  <r>
    <x v="0"/>
    <x v="0"/>
    <x v="0"/>
    <x v="5"/>
    <x v="9"/>
    <s v="LT_KlaU"/>
    <x v="10"/>
    <s v="KLAIPEDA_ST_WOOD_BP"/>
    <x v="0"/>
    <x v="8"/>
    <n v="133.691626893408"/>
    <n v="48797.443816093801"/>
    <n v="175670.797737938"/>
  </r>
  <r>
    <x v="0"/>
    <x v="0"/>
    <x v="0"/>
    <x v="5"/>
    <x v="9"/>
    <s v="LT_KlaU"/>
    <x v="10"/>
    <s v="KLAIPEDA_ST_WOOD_BP"/>
    <x v="0"/>
    <x v="9"/>
    <n v="133.691626893408"/>
    <n v="48797.443816093801"/>
    <n v="175670.797737938"/>
  </r>
  <r>
    <x v="0"/>
    <x v="0"/>
    <x v="0"/>
    <x v="5"/>
    <x v="9"/>
    <s v="LT_KlaU"/>
    <x v="10"/>
    <s v="KLAIPEDA_ST_WOOD_BP"/>
    <x v="0"/>
    <x v="10"/>
    <n v="133.691626893408"/>
    <n v="48797.443816093801"/>
    <n v="175670.797737938"/>
  </r>
  <r>
    <x v="0"/>
    <x v="0"/>
    <x v="0"/>
    <x v="5"/>
    <x v="9"/>
    <s v="LT_KlaU"/>
    <x v="10"/>
    <s v="KLAIPEDA_ST_WOOD_BP"/>
    <x v="0"/>
    <x v="11"/>
    <n v="133.691626893408"/>
    <n v="48797.443816093801"/>
    <n v="175670.797737938"/>
  </r>
  <r>
    <x v="0"/>
    <x v="0"/>
    <x v="0"/>
    <x v="5"/>
    <x v="9"/>
    <s v="LT_KlaU"/>
    <x v="10"/>
    <s v="KLAIPEDA_ST_WOOD_BP"/>
    <x v="0"/>
    <x v="12"/>
    <n v="133.691626893408"/>
    <n v="48797.443816093801"/>
    <n v="175670.797737938"/>
  </r>
  <r>
    <x v="0"/>
    <x v="0"/>
    <x v="0"/>
    <x v="5"/>
    <x v="9"/>
    <s v="LT_KlaU"/>
    <x v="10"/>
    <s v="KLAIPEDA_ST_WOOD_BP"/>
    <x v="0"/>
    <x v="13"/>
    <n v="133.691626893408"/>
    <n v="48797.443816093801"/>
    <n v="175670.797737938"/>
  </r>
  <r>
    <x v="0"/>
    <x v="0"/>
    <x v="0"/>
    <x v="5"/>
    <x v="9"/>
    <s v="LT_KlaU"/>
    <x v="10"/>
    <s v="KLAIPEDA_ST_WOOD_BP"/>
    <x v="0"/>
    <x v="14"/>
    <n v="133.691626893408"/>
    <n v="48797.443816093801"/>
    <n v="175670.797737938"/>
  </r>
  <r>
    <x v="0"/>
    <x v="0"/>
    <x v="0"/>
    <x v="5"/>
    <x v="9"/>
    <s v="LT_KlaU"/>
    <x v="10"/>
    <s v="KLAIPEDA_ST_WOOD_BP"/>
    <x v="0"/>
    <x v="15"/>
    <n v="133.691626893408"/>
    <n v="48797.443816093801"/>
    <n v="175670.797737938"/>
  </r>
  <r>
    <x v="0"/>
    <x v="0"/>
    <x v="0"/>
    <x v="5"/>
    <x v="9"/>
    <s v="LT_KlaU"/>
    <x v="10"/>
    <s v="KLAIPEDA_ST_WOOD_BP"/>
    <x v="0"/>
    <x v="16"/>
    <n v="133.691626893408"/>
    <n v="48797.443816093801"/>
    <n v="175670.797737938"/>
  </r>
  <r>
    <x v="0"/>
    <x v="0"/>
    <x v="0"/>
    <x v="5"/>
    <x v="9"/>
    <s v="LT_KlaU"/>
    <x v="10"/>
    <s v="KLAIPEDA_ST_WOOD_BP"/>
    <x v="0"/>
    <x v="17"/>
    <n v="133.691626893408"/>
    <n v="48797.443816093801"/>
    <n v="175670.797737938"/>
  </r>
  <r>
    <x v="0"/>
    <x v="0"/>
    <x v="0"/>
    <x v="5"/>
    <x v="9"/>
    <s v="LT_KlaU"/>
    <x v="10"/>
    <s v="KLAIPEDA_ST_WOOD_BP"/>
    <x v="0"/>
    <x v="18"/>
    <n v="133.691626893408"/>
    <n v="48797.443816093801"/>
    <n v="175670.797737938"/>
  </r>
  <r>
    <x v="0"/>
    <x v="0"/>
    <x v="0"/>
    <x v="5"/>
    <x v="9"/>
    <s v="LT_KlaU"/>
    <x v="10"/>
    <s v="KLAIPEDA_ST_WOOD_BP"/>
    <x v="0"/>
    <x v="19"/>
    <n v="133.691626893408"/>
    <n v="48797.443816093801"/>
    <n v="175670.797737938"/>
  </r>
  <r>
    <x v="0"/>
    <x v="0"/>
    <x v="0"/>
    <x v="5"/>
    <x v="9"/>
    <s v="LT_KlaU"/>
    <x v="10"/>
    <s v="KLAIPEDA_ST_WOOD_BP"/>
    <x v="0"/>
    <x v="20"/>
    <n v="133.691626893408"/>
    <n v="48797.443816093801"/>
    <n v="175670.797737938"/>
  </r>
  <r>
    <x v="0"/>
    <x v="0"/>
    <x v="0"/>
    <x v="5"/>
    <x v="9"/>
    <s v="LT_KlaU"/>
    <x v="10"/>
    <s v="KLAIPEDA_ST_WOOD_BP"/>
    <x v="0"/>
    <x v="21"/>
    <n v="133.691626893408"/>
    <n v="48797.443816093801"/>
    <n v="175670.797737938"/>
  </r>
  <r>
    <x v="0"/>
    <x v="0"/>
    <x v="0"/>
    <x v="5"/>
    <x v="9"/>
    <s v="LT_KlaU"/>
    <x v="10"/>
    <s v="KLAIPEDA_ST_WOOD_BP"/>
    <x v="0"/>
    <x v="22"/>
    <n v="133.691626893408"/>
    <n v="48797.443816093801"/>
    <n v="175670.797737938"/>
  </r>
  <r>
    <x v="0"/>
    <x v="0"/>
    <x v="0"/>
    <x v="5"/>
    <x v="9"/>
    <s v="LT_KlaU"/>
    <x v="10"/>
    <s v="KLAIPEDA_ST_WOOD_BP"/>
    <x v="0"/>
    <x v="23"/>
    <n v="133.691626893408"/>
    <n v="48797.443816093801"/>
    <n v="175670.797737938"/>
  </r>
  <r>
    <x v="0"/>
    <x v="0"/>
    <x v="0"/>
    <x v="5"/>
    <x v="9"/>
    <s v="LT_Other_DH"/>
    <x v="2"/>
    <s v="LIFOSA_ST_HEAT_BP"/>
    <x v="0"/>
    <x v="0"/>
    <n v="50"/>
    <n v="18250"/>
    <n v="65700"/>
  </r>
  <r>
    <x v="0"/>
    <x v="0"/>
    <x v="0"/>
    <x v="5"/>
    <x v="9"/>
    <s v="LT_Other_DH"/>
    <x v="2"/>
    <s v="LIFOSA_ST_HEAT_BP"/>
    <x v="0"/>
    <x v="1"/>
    <n v="50"/>
    <n v="18250"/>
    <n v="65700"/>
  </r>
  <r>
    <x v="0"/>
    <x v="0"/>
    <x v="0"/>
    <x v="5"/>
    <x v="9"/>
    <s v="LT_Other_DH"/>
    <x v="2"/>
    <s v="LIFOSA_ST_HEAT_BP"/>
    <x v="0"/>
    <x v="2"/>
    <n v="50"/>
    <n v="18250"/>
    <n v="65700"/>
  </r>
  <r>
    <x v="0"/>
    <x v="0"/>
    <x v="0"/>
    <x v="5"/>
    <x v="9"/>
    <s v="LT_Other_DH"/>
    <x v="2"/>
    <s v="LIFOSA_ST_HEAT_BP"/>
    <x v="0"/>
    <x v="3"/>
    <n v="50"/>
    <n v="18250"/>
    <n v="65700"/>
  </r>
  <r>
    <x v="0"/>
    <x v="0"/>
    <x v="0"/>
    <x v="5"/>
    <x v="9"/>
    <s v="LT_Other_DH"/>
    <x v="2"/>
    <s v="LIFOSA_ST_HEAT_BP"/>
    <x v="0"/>
    <x v="4"/>
    <n v="50"/>
    <n v="18250"/>
    <n v="65700"/>
  </r>
  <r>
    <x v="0"/>
    <x v="0"/>
    <x v="0"/>
    <x v="5"/>
    <x v="9"/>
    <s v="LT_Other_DH"/>
    <x v="2"/>
    <s v="LIFOSA_ST_HEAT_BP"/>
    <x v="0"/>
    <x v="5"/>
    <n v="50"/>
    <n v="18250"/>
    <n v="65700"/>
  </r>
  <r>
    <x v="0"/>
    <x v="0"/>
    <x v="0"/>
    <x v="5"/>
    <x v="9"/>
    <s v="LT_Other_DH"/>
    <x v="2"/>
    <s v="LIFOSA_ST_HEAT_BP"/>
    <x v="0"/>
    <x v="6"/>
    <n v="50"/>
    <n v="18250"/>
    <n v="65700"/>
  </r>
  <r>
    <x v="0"/>
    <x v="0"/>
    <x v="0"/>
    <x v="5"/>
    <x v="9"/>
    <s v="LT_Other_DH"/>
    <x v="2"/>
    <s v="LIFOSA_ST_HEAT_BP"/>
    <x v="0"/>
    <x v="7"/>
    <n v="50"/>
    <n v="18250"/>
    <n v="65700"/>
  </r>
  <r>
    <x v="0"/>
    <x v="0"/>
    <x v="0"/>
    <x v="5"/>
    <x v="9"/>
    <s v="LT_Other_DH"/>
    <x v="2"/>
    <s v="LIFOSA_ST_HEAT_BP"/>
    <x v="0"/>
    <x v="8"/>
    <n v="50"/>
    <n v="18250"/>
    <n v="65700"/>
  </r>
  <r>
    <x v="0"/>
    <x v="0"/>
    <x v="0"/>
    <x v="5"/>
    <x v="9"/>
    <s v="LT_Other_DH"/>
    <x v="2"/>
    <s v="LIFOSA_ST_HEAT_BP"/>
    <x v="0"/>
    <x v="9"/>
    <n v="50"/>
    <n v="18250"/>
    <n v="65700"/>
  </r>
  <r>
    <x v="0"/>
    <x v="0"/>
    <x v="0"/>
    <x v="5"/>
    <x v="9"/>
    <s v="LT_Other_DH"/>
    <x v="2"/>
    <s v="LIFOSA_ST_HEAT_BP"/>
    <x v="0"/>
    <x v="10"/>
    <n v="50"/>
    <n v="18250"/>
    <n v="65700"/>
  </r>
  <r>
    <x v="0"/>
    <x v="0"/>
    <x v="0"/>
    <x v="5"/>
    <x v="9"/>
    <s v="LT_Other_DH"/>
    <x v="2"/>
    <s v="LIFOSA_ST_HEAT_BP"/>
    <x v="0"/>
    <x v="11"/>
    <n v="50"/>
    <n v="18250"/>
    <n v="65700"/>
  </r>
  <r>
    <x v="0"/>
    <x v="0"/>
    <x v="0"/>
    <x v="5"/>
    <x v="9"/>
    <s v="LT_Other_DH"/>
    <x v="2"/>
    <s v="LIFOSA_ST_HEAT_BP"/>
    <x v="0"/>
    <x v="12"/>
    <n v="50"/>
    <n v="18250"/>
    <n v="65700"/>
  </r>
  <r>
    <x v="0"/>
    <x v="0"/>
    <x v="0"/>
    <x v="5"/>
    <x v="9"/>
    <s v="LT_Other_DH"/>
    <x v="2"/>
    <s v="LIFOSA_ST_HEAT_BP"/>
    <x v="0"/>
    <x v="13"/>
    <n v="50"/>
    <n v="18250"/>
    <n v="65700"/>
  </r>
  <r>
    <x v="0"/>
    <x v="0"/>
    <x v="0"/>
    <x v="5"/>
    <x v="9"/>
    <s v="LT_Other_DH"/>
    <x v="2"/>
    <s v="LIFOSA_ST_HEAT_BP"/>
    <x v="0"/>
    <x v="14"/>
    <n v="50"/>
    <n v="18250"/>
    <n v="65700"/>
  </r>
  <r>
    <x v="0"/>
    <x v="0"/>
    <x v="0"/>
    <x v="5"/>
    <x v="9"/>
    <s v="LT_Other_DH"/>
    <x v="2"/>
    <s v="LIFOSA_ST_HEAT_BP"/>
    <x v="0"/>
    <x v="15"/>
    <n v="50"/>
    <n v="18250"/>
    <n v="65700"/>
  </r>
  <r>
    <x v="0"/>
    <x v="0"/>
    <x v="0"/>
    <x v="5"/>
    <x v="9"/>
    <s v="LT_Other_DH"/>
    <x v="2"/>
    <s v="LIFOSA_ST_HEAT_BP"/>
    <x v="0"/>
    <x v="16"/>
    <n v="50"/>
    <n v="18250"/>
    <n v="65700"/>
  </r>
  <r>
    <x v="0"/>
    <x v="0"/>
    <x v="0"/>
    <x v="5"/>
    <x v="9"/>
    <s v="LT_Other_DH"/>
    <x v="2"/>
    <s v="LIFOSA_ST_HEAT_BP"/>
    <x v="0"/>
    <x v="17"/>
    <n v="50"/>
    <n v="18250"/>
    <n v="65700"/>
  </r>
  <r>
    <x v="0"/>
    <x v="0"/>
    <x v="0"/>
    <x v="5"/>
    <x v="9"/>
    <s v="LT_Other_DH"/>
    <x v="2"/>
    <s v="LIFOSA_ST_HEAT_BP"/>
    <x v="0"/>
    <x v="18"/>
    <n v="50"/>
    <n v="18250"/>
    <n v="65700"/>
  </r>
  <r>
    <x v="0"/>
    <x v="0"/>
    <x v="0"/>
    <x v="5"/>
    <x v="9"/>
    <s v="LT_Other_DH"/>
    <x v="2"/>
    <s v="LIFOSA_ST_HEAT_BP"/>
    <x v="0"/>
    <x v="19"/>
    <n v="50"/>
    <n v="18250"/>
    <n v="65700"/>
  </r>
  <r>
    <x v="0"/>
    <x v="0"/>
    <x v="0"/>
    <x v="5"/>
    <x v="9"/>
    <s v="LT_Other_DH"/>
    <x v="2"/>
    <s v="LIFOSA_ST_HEAT_BP"/>
    <x v="0"/>
    <x v="20"/>
    <n v="50"/>
    <n v="18250"/>
    <n v="65700"/>
  </r>
  <r>
    <x v="0"/>
    <x v="0"/>
    <x v="0"/>
    <x v="5"/>
    <x v="9"/>
    <s v="LT_Other_DH"/>
    <x v="2"/>
    <s v="LIFOSA_ST_HEAT_BP"/>
    <x v="0"/>
    <x v="21"/>
    <n v="50"/>
    <n v="18250"/>
    <n v="65700"/>
  </r>
  <r>
    <x v="0"/>
    <x v="0"/>
    <x v="0"/>
    <x v="5"/>
    <x v="9"/>
    <s v="LT_Other_DH"/>
    <x v="2"/>
    <s v="LIFOSA_ST_HEAT_BP"/>
    <x v="0"/>
    <x v="22"/>
    <n v="50"/>
    <n v="18250"/>
    <n v="65700"/>
  </r>
  <r>
    <x v="0"/>
    <x v="0"/>
    <x v="0"/>
    <x v="5"/>
    <x v="9"/>
    <s v="LT_Other_DH"/>
    <x v="2"/>
    <s v="LIFOSA_ST_HEAT_BP"/>
    <x v="0"/>
    <x v="23"/>
    <n v="50"/>
    <n v="18250"/>
    <n v="65700"/>
  </r>
  <r>
    <x v="0"/>
    <x v="0"/>
    <x v="0"/>
    <x v="5"/>
    <x v="9"/>
    <s v="LT_Other_DH"/>
    <x v="9"/>
    <s v="EBAVERE_ST_WOODWST_BP"/>
    <x v="0"/>
    <x v="0"/>
    <n v="27.3684210526316"/>
    <n v="9989.4736842105303"/>
    <n v="35962.1052631579"/>
  </r>
  <r>
    <x v="0"/>
    <x v="0"/>
    <x v="0"/>
    <x v="5"/>
    <x v="9"/>
    <s v="LT_Other_DH"/>
    <x v="9"/>
    <s v="EBAVERE_ST_WOODWST_BP"/>
    <x v="0"/>
    <x v="1"/>
    <n v="27.3684210526316"/>
    <n v="9989.4736842105303"/>
    <n v="35962.1052631579"/>
  </r>
  <r>
    <x v="0"/>
    <x v="0"/>
    <x v="0"/>
    <x v="5"/>
    <x v="9"/>
    <s v="LT_Other_DH"/>
    <x v="9"/>
    <s v="EBAVERE_ST_WOODWST_BP"/>
    <x v="0"/>
    <x v="2"/>
    <n v="27.3684210526316"/>
    <n v="9989.4736842105303"/>
    <n v="35962.1052631579"/>
  </r>
  <r>
    <x v="0"/>
    <x v="0"/>
    <x v="0"/>
    <x v="5"/>
    <x v="9"/>
    <s v="LT_Other_DH"/>
    <x v="9"/>
    <s v="EBAVERE_ST_WOODWST_BP"/>
    <x v="0"/>
    <x v="3"/>
    <n v="27.3684210526316"/>
    <n v="9989.4736842105303"/>
    <n v="35962.1052631579"/>
  </r>
  <r>
    <x v="0"/>
    <x v="0"/>
    <x v="0"/>
    <x v="5"/>
    <x v="9"/>
    <s v="LT_Other_DH"/>
    <x v="9"/>
    <s v="EBAVERE_ST_WOODWST_BP"/>
    <x v="0"/>
    <x v="4"/>
    <n v="27.3684210526316"/>
    <n v="9989.4736842105303"/>
    <n v="35962.1052631579"/>
  </r>
  <r>
    <x v="0"/>
    <x v="0"/>
    <x v="0"/>
    <x v="5"/>
    <x v="9"/>
    <s v="LT_Other_DH"/>
    <x v="9"/>
    <s v="EBAVERE_ST_WOODWST_BP"/>
    <x v="0"/>
    <x v="5"/>
    <n v="27.3684210526316"/>
    <n v="9989.4736842105303"/>
    <n v="35962.1052631579"/>
  </r>
  <r>
    <x v="0"/>
    <x v="0"/>
    <x v="0"/>
    <x v="5"/>
    <x v="9"/>
    <s v="LT_Other_DH"/>
    <x v="9"/>
    <s v="EBAVERE_ST_WOODWST_BP"/>
    <x v="0"/>
    <x v="6"/>
    <n v="27.3684210526316"/>
    <n v="9989.4736842105303"/>
    <n v="35962.1052631579"/>
  </r>
  <r>
    <x v="0"/>
    <x v="0"/>
    <x v="0"/>
    <x v="5"/>
    <x v="9"/>
    <s v="LT_Other_DH"/>
    <x v="9"/>
    <s v="EBAVERE_ST_WOODWST_BP"/>
    <x v="0"/>
    <x v="7"/>
    <n v="27.3684210526316"/>
    <n v="9989.4736842105303"/>
    <n v="35962.1052631579"/>
  </r>
  <r>
    <x v="0"/>
    <x v="0"/>
    <x v="0"/>
    <x v="5"/>
    <x v="9"/>
    <s v="LT_Other_DH"/>
    <x v="9"/>
    <s v="EBAVERE_ST_WOODWST_BP"/>
    <x v="0"/>
    <x v="8"/>
    <n v="27.3684210526316"/>
    <n v="9989.4736842105303"/>
    <n v="35962.1052631579"/>
  </r>
  <r>
    <x v="0"/>
    <x v="0"/>
    <x v="0"/>
    <x v="5"/>
    <x v="9"/>
    <s v="LT_Other_DH"/>
    <x v="9"/>
    <s v="EBAVERE_ST_WOODWST_BP"/>
    <x v="0"/>
    <x v="9"/>
    <n v="27.3684210526316"/>
    <n v="9989.4736842105303"/>
    <n v="35962.1052631579"/>
  </r>
  <r>
    <x v="0"/>
    <x v="0"/>
    <x v="0"/>
    <x v="5"/>
    <x v="9"/>
    <s v="LT_Other_DH"/>
    <x v="9"/>
    <s v="EBAVERE_ST_WOODWST_BP"/>
    <x v="0"/>
    <x v="10"/>
    <n v="27.3684210526316"/>
    <n v="9989.4736842105303"/>
    <n v="35962.1052631579"/>
  </r>
  <r>
    <x v="0"/>
    <x v="0"/>
    <x v="0"/>
    <x v="5"/>
    <x v="9"/>
    <s v="LT_Other_DH"/>
    <x v="9"/>
    <s v="EBAVERE_ST_WOODWST_BP"/>
    <x v="0"/>
    <x v="11"/>
    <n v="27.3684210526316"/>
    <n v="9989.4736842105303"/>
    <n v="35962.1052631579"/>
  </r>
  <r>
    <x v="0"/>
    <x v="0"/>
    <x v="0"/>
    <x v="5"/>
    <x v="9"/>
    <s v="LT_Other_DH"/>
    <x v="9"/>
    <s v="EBAVERE_ST_WOODWST_BP"/>
    <x v="0"/>
    <x v="12"/>
    <n v="27.3684210526316"/>
    <n v="9989.4736842105303"/>
    <n v="35962.1052631579"/>
  </r>
  <r>
    <x v="0"/>
    <x v="0"/>
    <x v="0"/>
    <x v="5"/>
    <x v="9"/>
    <s v="LT_Other_DH"/>
    <x v="9"/>
    <s v="EBAVERE_ST_WOODWST_BP"/>
    <x v="0"/>
    <x v="13"/>
    <n v="27.3684210526316"/>
    <n v="9989.4736842105303"/>
    <n v="35962.1052631579"/>
  </r>
  <r>
    <x v="0"/>
    <x v="0"/>
    <x v="0"/>
    <x v="5"/>
    <x v="9"/>
    <s v="LT_Other_DH"/>
    <x v="9"/>
    <s v="EBAVERE_ST_WOODWST_BP"/>
    <x v="0"/>
    <x v="14"/>
    <n v="27.3684210526316"/>
    <n v="9989.4736842105303"/>
    <n v="35962.1052631579"/>
  </r>
  <r>
    <x v="0"/>
    <x v="0"/>
    <x v="0"/>
    <x v="5"/>
    <x v="9"/>
    <s v="LT_Other_DH"/>
    <x v="9"/>
    <s v="EBAVERE_ST_WOODWST_BP"/>
    <x v="0"/>
    <x v="15"/>
    <n v="27.3684210526316"/>
    <n v="9989.4736842105303"/>
    <n v="35962.1052631579"/>
  </r>
  <r>
    <x v="0"/>
    <x v="0"/>
    <x v="0"/>
    <x v="5"/>
    <x v="9"/>
    <s v="LT_Other_DH"/>
    <x v="9"/>
    <s v="EBAVERE_ST_WOODWST_BP"/>
    <x v="0"/>
    <x v="16"/>
    <n v="27.3684210526316"/>
    <n v="9989.4736842105303"/>
    <n v="35962.1052631579"/>
  </r>
  <r>
    <x v="0"/>
    <x v="0"/>
    <x v="0"/>
    <x v="5"/>
    <x v="9"/>
    <s v="LT_Other_DH"/>
    <x v="9"/>
    <s v="EBAVERE_ST_WOODWST_BP"/>
    <x v="0"/>
    <x v="17"/>
    <n v="27.3684210526316"/>
    <n v="9989.4736842105303"/>
    <n v="35962.1052631579"/>
  </r>
  <r>
    <x v="0"/>
    <x v="0"/>
    <x v="0"/>
    <x v="5"/>
    <x v="9"/>
    <s v="LT_Other_DH"/>
    <x v="9"/>
    <s v="EBAVERE_ST_WOODWST_BP"/>
    <x v="0"/>
    <x v="18"/>
    <n v="27.3684210526316"/>
    <n v="9989.4736842105303"/>
    <n v="35962.1052631579"/>
  </r>
  <r>
    <x v="0"/>
    <x v="0"/>
    <x v="0"/>
    <x v="5"/>
    <x v="9"/>
    <s v="LT_Other_DH"/>
    <x v="9"/>
    <s v="EBAVERE_ST_WOODWST_BP"/>
    <x v="0"/>
    <x v="19"/>
    <n v="27.3684210526316"/>
    <n v="9989.4736842105303"/>
    <n v="35962.1052631579"/>
  </r>
  <r>
    <x v="0"/>
    <x v="0"/>
    <x v="0"/>
    <x v="5"/>
    <x v="9"/>
    <s v="LT_Other_DH"/>
    <x v="9"/>
    <s v="EBAVERE_ST_WOODWST_BP"/>
    <x v="0"/>
    <x v="20"/>
    <n v="27.3684210526316"/>
    <n v="9989.4736842105303"/>
    <n v="35962.1052631579"/>
  </r>
  <r>
    <x v="0"/>
    <x v="0"/>
    <x v="0"/>
    <x v="5"/>
    <x v="9"/>
    <s v="LT_Other_DH"/>
    <x v="9"/>
    <s v="EBAVERE_ST_WOODWST_BP"/>
    <x v="0"/>
    <x v="21"/>
    <n v="27.3684210526316"/>
    <n v="9989.4736842105303"/>
    <n v="35962.1052631579"/>
  </r>
  <r>
    <x v="0"/>
    <x v="0"/>
    <x v="0"/>
    <x v="5"/>
    <x v="9"/>
    <s v="LT_Other_DH"/>
    <x v="9"/>
    <s v="EBAVERE_ST_WOODWST_BP"/>
    <x v="0"/>
    <x v="22"/>
    <n v="27.3684210526316"/>
    <n v="9989.4736842105303"/>
    <n v="35962.1052631579"/>
  </r>
  <r>
    <x v="0"/>
    <x v="0"/>
    <x v="0"/>
    <x v="5"/>
    <x v="9"/>
    <s v="LT_Other_DH"/>
    <x v="9"/>
    <s v="EBAVERE_ST_WOODWST_BP"/>
    <x v="0"/>
    <x v="23"/>
    <n v="27.3684210526316"/>
    <n v="9989.4736842105303"/>
    <n v="35962.1052631579"/>
  </r>
  <r>
    <x v="0"/>
    <x v="0"/>
    <x v="0"/>
    <x v="5"/>
    <x v="9"/>
    <s v="LT_SiaU"/>
    <x v="10"/>
    <s v="SIAULIAI_ST_WOOD_BP"/>
    <x v="0"/>
    <x v="0"/>
    <n v="37.241379310344797"/>
    <n v="13593.103448275901"/>
    <n v="48935.172413793101"/>
  </r>
  <r>
    <x v="0"/>
    <x v="0"/>
    <x v="0"/>
    <x v="5"/>
    <x v="9"/>
    <s v="LT_SiaU"/>
    <x v="10"/>
    <s v="SIAULIAI_ST_WOOD_BP"/>
    <x v="0"/>
    <x v="1"/>
    <n v="37.241379310344797"/>
    <n v="13593.103448275901"/>
    <n v="48935.172413793101"/>
  </r>
  <r>
    <x v="0"/>
    <x v="0"/>
    <x v="0"/>
    <x v="5"/>
    <x v="9"/>
    <s v="LT_SiaU"/>
    <x v="10"/>
    <s v="SIAULIAI_ST_WOOD_BP"/>
    <x v="0"/>
    <x v="2"/>
    <n v="37.241379310344797"/>
    <n v="13593.103448275901"/>
    <n v="48935.172413793101"/>
  </r>
  <r>
    <x v="0"/>
    <x v="0"/>
    <x v="0"/>
    <x v="5"/>
    <x v="9"/>
    <s v="LT_SiaU"/>
    <x v="10"/>
    <s v="SIAULIAI_ST_WOOD_BP"/>
    <x v="0"/>
    <x v="3"/>
    <n v="37.241379310344797"/>
    <n v="13593.103448275901"/>
    <n v="48935.172413793101"/>
  </r>
  <r>
    <x v="0"/>
    <x v="0"/>
    <x v="0"/>
    <x v="5"/>
    <x v="9"/>
    <s v="LT_SiaU"/>
    <x v="10"/>
    <s v="SIAULIAI_ST_WOOD_BP"/>
    <x v="0"/>
    <x v="4"/>
    <n v="37.241379310344797"/>
    <n v="13593.103448275901"/>
    <n v="48935.172413793101"/>
  </r>
  <r>
    <x v="0"/>
    <x v="0"/>
    <x v="0"/>
    <x v="5"/>
    <x v="9"/>
    <s v="LT_SiaU"/>
    <x v="10"/>
    <s v="SIAULIAI_ST_WOOD_BP"/>
    <x v="0"/>
    <x v="5"/>
    <n v="37.241379310344797"/>
    <n v="13593.103448275901"/>
    <n v="48935.172413793101"/>
  </r>
  <r>
    <x v="0"/>
    <x v="0"/>
    <x v="0"/>
    <x v="5"/>
    <x v="9"/>
    <s v="LT_SiaU"/>
    <x v="10"/>
    <s v="SIAULIAI_ST_WOOD_BP"/>
    <x v="0"/>
    <x v="6"/>
    <n v="37.241379310344797"/>
    <n v="13593.103448275901"/>
    <n v="48935.172413793101"/>
  </r>
  <r>
    <x v="0"/>
    <x v="0"/>
    <x v="0"/>
    <x v="5"/>
    <x v="9"/>
    <s v="LT_SiaU"/>
    <x v="10"/>
    <s v="SIAULIAI_ST_WOOD_BP"/>
    <x v="0"/>
    <x v="7"/>
    <n v="37.241379310344797"/>
    <n v="13593.103448275901"/>
    <n v="48935.172413793101"/>
  </r>
  <r>
    <x v="0"/>
    <x v="0"/>
    <x v="0"/>
    <x v="5"/>
    <x v="9"/>
    <s v="LT_SiaU"/>
    <x v="10"/>
    <s v="SIAULIAI_ST_WOOD_BP"/>
    <x v="0"/>
    <x v="8"/>
    <n v="37.241379310344797"/>
    <n v="13593.103448275901"/>
    <n v="48935.172413793101"/>
  </r>
  <r>
    <x v="0"/>
    <x v="0"/>
    <x v="0"/>
    <x v="5"/>
    <x v="9"/>
    <s v="LT_SiaU"/>
    <x v="10"/>
    <s v="SIAULIAI_ST_WOOD_BP"/>
    <x v="0"/>
    <x v="9"/>
    <n v="37.241379310344797"/>
    <n v="13593.103448275901"/>
    <n v="48935.172413793101"/>
  </r>
  <r>
    <x v="0"/>
    <x v="0"/>
    <x v="0"/>
    <x v="5"/>
    <x v="9"/>
    <s v="LT_SiaU"/>
    <x v="10"/>
    <s v="SIAULIAI_ST_WOOD_BP"/>
    <x v="0"/>
    <x v="10"/>
    <n v="37.241379310344797"/>
    <n v="13593.103448275901"/>
    <n v="48935.172413793101"/>
  </r>
  <r>
    <x v="0"/>
    <x v="0"/>
    <x v="0"/>
    <x v="5"/>
    <x v="9"/>
    <s v="LT_SiaU"/>
    <x v="10"/>
    <s v="SIAULIAI_ST_WOOD_BP"/>
    <x v="0"/>
    <x v="11"/>
    <n v="37.241379310344797"/>
    <n v="13593.103448275901"/>
    <n v="48935.172413793101"/>
  </r>
  <r>
    <x v="0"/>
    <x v="0"/>
    <x v="0"/>
    <x v="5"/>
    <x v="9"/>
    <s v="LT_SiaU"/>
    <x v="10"/>
    <s v="SIAULIAI_ST_WOOD_BP"/>
    <x v="0"/>
    <x v="12"/>
    <n v="37.241379310344797"/>
    <n v="13593.103448275901"/>
    <n v="48935.172413793101"/>
  </r>
  <r>
    <x v="0"/>
    <x v="0"/>
    <x v="0"/>
    <x v="5"/>
    <x v="9"/>
    <s v="LT_SiaU"/>
    <x v="10"/>
    <s v="SIAULIAI_ST_WOOD_BP"/>
    <x v="0"/>
    <x v="13"/>
    <n v="37.241379310344797"/>
    <n v="13593.103448275901"/>
    <n v="48935.172413793101"/>
  </r>
  <r>
    <x v="0"/>
    <x v="0"/>
    <x v="0"/>
    <x v="5"/>
    <x v="9"/>
    <s v="LT_SiaU"/>
    <x v="10"/>
    <s v="SIAULIAI_ST_WOOD_BP"/>
    <x v="0"/>
    <x v="14"/>
    <n v="37.241379310344797"/>
    <n v="13593.103448275901"/>
    <n v="48935.172413793101"/>
  </r>
  <r>
    <x v="0"/>
    <x v="0"/>
    <x v="0"/>
    <x v="5"/>
    <x v="9"/>
    <s v="LT_SiaU"/>
    <x v="10"/>
    <s v="SIAULIAI_ST_WOOD_BP"/>
    <x v="0"/>
    <x v="15"/>
    <n v="37.241379310344797"/>
    <n v="13593.103448275901"/>
    <n v="48935.172413793101"/>
  </r>
  <r>
    <x v="0"/>
    <x v="0"/>
    <x v="0"/>
    <x v="5"/>
    <x v="9"/>
    <s v="LT_SiaU"/>
    <x v="10"/>
    <s v="SIAULIAI_ST_WOOD_BP"/>
    <x v="0"/>
    <x v="16"/>
    <n v="37.241379310344797"/>
    <n v="13593.103448275901"/>
    <n v="48935.172413793101"/>
  </r>
  <r>
    <x v="0"/>
    <x v="0"/>
    <x v="0"/>
    <x v="5"/>
    <x v="9"/>
    <s v="LT_SiaU"/>
    <x v="10"/>
    <s v="SIAULIAI_ST_WOOD_BP"/>
    <x v="0"/>
    <x v="17"/>
    <n v="37.241379310344797"/>
    <n v="13593.103448275901"/>
    <n v="48935.172413793101"/>
  </r>
  <r>
    <x v="0"/>
    <x v="0"/>
    <x v="0"/>
    <x v="5"/>
    <x v="9"/>
    <s v="LT_SiaU"/>
    <x v="10"/>
    <s v="SIAULIAI_ST_WOOD_BP"/>
    <x v="0"/>
    <x v="18"/>
    <n v="37.241379310344797"/>
    <n v="13593.103448275901"/>
    <n v="48935.172413793101"/>
  </r>
  <r>
    <x v="0"/>
    <x v="0"/>
    <x v="0"/>
    <x v="5"/>
    <x v="9"/>
    <s v="LT_SiaU"/>
    <x v="10"/>
    <s v="SIAULIAI_ST_WOOD_BP"/>
    <x v="0"/>
    <x v="19"/>
    <n v="37.241379310344797"/>
    <n v="13593.103448275901"/>
    <n v="48935.172413793101"/>
  </r>
  <r>
    <x v="0"/>
    <x v="0"/>
    <x v="0"/>
    <x v="5"/>
    <x v="9"/>
    <s v="LT_SiaU"/>
    <x v="10"/>
    <s v="SIAULIAI_ST_WOOD_BP"/>
    <x v="0"/>
    <x v="20"/>
    <n v="37.241379310344797"/>
    <n v="13593.103448275901"/>
    <n v="48935.172413793101"/>
  </r>
  <r>
    <x v="0"/>
    <x v="0"/>
    <x v="0"/>
    <x v="5"/>
    <x v="9"/>
    <s v="LT_SiaU"/>
    <x v="10"/>
    <s v="SIAULIAI_ST_WOOD_BP"/>
    <x v="0"/>
    <x v="21"/>
    <n v="37.241379310344797"/>
    <n v="13593.103448275901"/>
    <n v="48935.172413793101"/>
  </r>
  <r>
    <x v="0"/>
    <x v="0"/>
    <x v="0"/>
    <x v="5"/>
    <x v="9"/>
    <s v="LT_SiaU"/>
    <x v="10"/>
    <s v="SIAULIAI_ST_WOOD_BP"/>
    <x v="0"/>
    <x v="22"/>
    <n v="37.241379310344797"/>
    <n v="13593.103448275901"/>
    <n v="48935.172413793101"/>
  </r>
  <r>
    <x v="0"/>
    <x v="0"/>
    <x v="0"/>
    <x v="5"/>
    <x v="9"/>
    <s v="LT_SiaU"/>
    <x v="10"/>
    <s v="SIAULIAI_ST_WOOD_BP"/>
    <x v="0"/>
    <x v="23"/>
    <n v="37.241379310344797"/>
    <n v="13593.103448275901"/>
    <n v="48935.172413793101"/>
  </r>
  <r>
    <x v="0"/>
    <x v="0"/>
    <x v="0"/>
    <x v="5"/>
    <x v="9"/>
    <s v="LT_VilU"/>
    <x v="3"/>
    <s v="VILNIUS_ST_MSW_BP"/>
    <x v="0"/>
    <x v="0"/>
    <n v="226.99795208369301"/>
    <n v="82854.252510548002"/>
    <n v="298275.309037973"/>
  </r>
  <r>
    <x v="0"/>
    <x v="0"/>
    <x v="0"/>
    <x v="5"/>
    <x v="9"/>
    <s v="LT_VilU"/>
    <x v="3"/>
    <s v="VILNIUS_ST_MSW_BP"/>
    <x v="0"/>
    <x v="1"/>
    <n v="226.99795208369301"/>
    <n v="82854.252510548002"/>
    <n v="298275.309037973"/>
  </r>
  <r>
    <x v="0"/>
    <x v="0"/>
    <x v="0"/>
    <x v="5"/>
    <x v="9"/>
    <s v="LT_VilU"/>
    <x v="3"/>
    <s v="VILNIUS_ST_MSW_BP"/>
    <x v="0"/>
    <x v="2"/>
    <n v="226.99795208369301"/>
    <n v="82854.252510548002"/>
    <n v="298275.309037973"/>
  </r>
  <r>
    <x v="0"/>
    <x v="0"/>
    <x v="0"/>
    <x v="5"/>
    <x v="9"/>
    <s v="LT_VilU"/>
    <x v="3"/>
    <s v="VILNIUS_ST_MSW_BP"/>
    <x v="0"/>
    <x v="3"/>
    <n v="226.99795208369301"/>
    <n v="82854.252510548002"/>
    <n v="298275.309037973"/>
  </r>
  <r>
    <x v="0"/>
    <x v="0"/>
    <x v="0"/>
    <x v="5"/>
    <x v="9"/>
    <s v="LT_VilU"/>
    <x v="3"/>
    <s v="VILNIUS_ST_MSW_BP"/>
    <x v="0"/>
    <x v="4"/>
    <n v="226.99795208369301"/>
    <n v="82854.252510548002"/>
    <n v="298275.309037973"/>
  </r>
  <r>
    <x v="0"/>
    <x v="0"/>
    <x v="0"/>
    <x v="5"/>
    <x v="9"/>
    <s v="LT_VilU"/>
    <x v="3"/>
    <s v="VILNIUS_ST_MSW_BP"/>
    <x v="0"/>
    <x v="5"/>
    <n v="226.99795208369301"/>
    <n v="82854.252510548002"/>
    <n v="298275.309037973"/>
  </r>
  <r>
    <x v="0"/>
    <x v="0"/>
    <x v="0"/>
    <x v="5"/>
    <x v="9"/>
    <s v="LT_VilU"/>
    <x v="3"/>
    <s v="VILNIUS_ST_MSW_BP"/>
    <x v="0"/>
    <x v="6"/>
    <n v="226.99795208369301"/>
    <n v="82854.252510548002"/>
    <n v="298275.309037973"/>
  </r>
  <r>
    <x v="0"/>
    <x v="0"/>
    <x v="0"/>
    <x v="5"/>
    <x v="9"/>
    <s v="LT_VilU"/>
    <x v="3"/>
    <s v="VILNIUS_ST_MSW_BP"/>
    <x v="0"/>
    <x v="7"/>
    <n v="226.99795208369301"/>
    <n v="82854.252510548002"/>
    <n v="298275.309037973"/>
  </r>
  <r>
    <x v="0"/>
    <x v="0"/>
    <x v="0"/>
    <x v="5"/>
    <x v="9"/>
    <s v="LT_VilU"/>
    <x v="3"/>
    <s v="VILNIUS_ST_MSW_BP"/>
    <x v="0"/>
    <x v="8"/>
    <n v="226.99795208369301"/>
    <n v="82854.252510548002"/>
    <n v="298275.309037973"/>
  </r>
  <r>
    <x v="0"/>
    <x v="0"/>
    <x v="0"/>
    <x v="5"/>
    <x v="9"/>
    <s v="LT_VilU"/>
    <x v="3"/>
    <s v="VILNIUS_ST_MSW_BP"/>
    <x v="0"/>
    <x v="9"/>
    <n v="226.99795208369301"/>
    <n v="82854.252510548002"/>
    <n v="298275.309037973"/>
  </r>
  <r>
    <x v="0"/>
    <x v="0"/>
    <x v="0"/>
    <x v="5"/>
    <x v="9"/>
    <s v="LT_VilU"/>
    <x v="3"/>
    <s v="VILNIUS_ST_MSW_BP"/>
    <x v="0"/>
    <x v="10"/>
    <n v="226.99795208369301"/>
    <n v="82854.252510548002"/>
    <n v="298275.309037973"/>
  </r>
  <r>
    <x v="0"/>
    <x v="0"/>
    <x v="0"/>
    <x v="5"/>
    <x v="9"/>
    <s v="LT_VilU"/>
    <x v="3"/>
    <s v="VILNIUS_ST_MSW_BP"/>
    <x v="0"/>
    <x v="11"/>
    <n v="226.99795208369301"/>
    <n v="82854.252510548002"/>
    <n v="298275.309037973"/>
  </r>
  <r>
    <x v="0"/>
    <x v="0"/>
    <x v="0"/>
    <x v="5"/>
    <x v="9"/>
    <s v="LT_VilU"/>
    <x v="3"/>
    <s v="VILNIUS_ST_MSW_BP"/>
    <x v="0"/>
    <x v="12"/>
    <n v="226.99795208369301"/>
    <n v="82854.252510548002"/>
    <n v="298275.309037973"/>
  </r>
  <r>
    <x v="0"/>
    <x v="0"/>
    <x v="0"/>
    <x v="5"/>
    <x v="9"/>
    <s v="LT_VilU"/>
    <x v="3"/>
    <s v="VILNIUS_ST_MSW_BP"/>
    <x v="0"/>
    <x v="13"/>
    <n v="226.99795208369301"/>
    <n v="82854.252510548002"/>
    <n v="298275.309037973"/>
  </r>
  <r>
    <x v="0"/>
    <x v="0"/>
    <x v="0"/>
    <x v="5"/>
    <x v="9"/>
    <s v="LT_VilU"/>
    <x v="3"/>
    <s v="VILNIUS_ST_MSW_BP"/>
    <x v="0"/>
    <x v="14"/>
    <n v="226.99795208369301"/>
    <n v="82854.252510548002"/>
    <n v="298275.309037973"/>
  </r>
  <r>
    <x v="0"/>
    <x v="0"/>
    <x v="0"/>
    <x v="5"/>
    <x v="9"/>
    <s v="LT_VilU"/>
    <x v="3"/>
    <s v="VILNIUS_ST_MSW_BP"/>
    <x v="0"/>
    <x v="15"/>
    <n v="226.99795208369301"/>
    <n v="82854.252510548002"/>
    <n v="298275.309037973"/>
  </r>
  <r>
    <x v="0"/>
    <x v="0"/>
    <x v="0"/>
    <x v="5"/>
    <x v="9"/>
    <s v="LT_VilU"/>
    <x v="3"/>
    <s v="VILNIUS_ST_MSW_BP"/>
    <x v="0"/>
    <x v="16"/>
    <n v="226.99795208369301"/>
    <n v="82854.252510548002"/>
    <n v="298275.309037973"/>
  </r>
  <r>
    <x v="0"/>
    <x v="0"/>
    <x v="0"/>
    <x v="5"/>
    <x v="9"/>
    <s v="LT_VilU"/>
    <x v="3"/>
    <s v="VILNIUS_ST_MSW_BP"/>
    <x v="0"/>
    <x v="17"/>
    <n v="226.99795208369301"/>
    <n v="82854.252510548002"/>
    <n v="298275.309037973"/>
  </r>
  <r>
    <x v="0"/>
    <x v="0"/>
    <x v="0"/>
    <x v="5"/>
    <x v="9"/>
    <s v="LT_VilU"/>
    <x v="3"/>
    <s v="VILNIUS_ST_MSW_BP"/>
    <x v="0"/>
    <x v="18"/>
    <n v="226.99795208369301"/>
    <n v="82854.252510548002"/>
    <n v="298275.309037973"/>
  </r>
  <r>
    <x v="0"/>
    <x v="0"/>
    <x v="0"/>
    <x v="5"/>
    <x v="9"/>
    <s v="LT_VilU"/>
    <x v="3"/>
    <s v="VILNIUS_ST_MSW_BP"/>
    <x v="0"/>
    <x v="19"/>
    <n v="226.99795208369301"/>
    <n v="82854.252510548002"/>
    <n v="298275.309037973"/>
  </r>
  <r>
    <x v="0"/>
    <x v="0"/>
    <x v="0"/>
    <x v="5"/>
    <x v="9"/>
    <s v="LT_VilU"/>
    <x v="3"/>
    <s v="VILNIUS_ST_MSW_BP"/>
    <x v="0"/>
    <x v="20"/>
    <n v="226.99795208369301"/>
    <n v="82854.252510548002"/>
    <n v="298275.309037973"/>
  </r>
  <r>
    <x v="0"/>
    <x v="0"/>
    <x v="0"/>
    <x v="5"/>
    <x v="9"/>
    <s v="LT_VilU"/>
    <x v="3"/>
    <s v="VILNIUS_ST_MSW_BP"/>
    <x v="0"/>
    <x v="21"/>
    <n v="226.99795208369301"/>
    <n v="82854.252510548002"/>
    <n v="298275.309037973"/>
  </r>
  <r>
    <x v="0"/>
    <x v="0"/>
    <x v="0"/>
    <x v="5"/>
    <x v="9"/>
    <s v="LT_VilU"/>
    <x v="3"/>
    <s v="VILNIUS_ST_MSW_BP"/>
    <x v="0"/>
    <x v="22"/>
    <n v="226.99795208369301"/>
    <n v="82854.252510548002"/>
    <n v="298275.309037973"/>
  </r>
  <r>
    <x v="0"/>
    <x v="0"/>
    <x v="0"/>
    <x v="5"/>
    <x v="9"/>
    <s v="LT_VilU"/>
    <x v="3"/>
    <s v="VILNIUS_ST_MSW_BP"/>
    <x v="0"/>
    <x v="23"/>
    <n v="226.99795208369301"/>
    <n v="82854.252510548002"/>
    <n v="298275.309037973"/>
  </r>
  <r>
    <x v="0"/>
    <x v="0"/>
    <x v="0"/>
    <x v="5"/>
    <x v="9"/>
    <s v="LT_VilU"/>
    <x v="10"/>
    <s v="VILNIUS_ST_WOOD_BP"/>
    <x v="0"/>
    <x v="0"/>
    <n v="62.5"/>
    <n v="22812.5"/>
    <n v="82125"/>
  </r>
  <r>
    <x v="0"/>
    <x v="0"/>
    <x v="0"/>
    <x v="5"/>
    <x v="9"/>
    <s v="LT_VilU"/>
    <x v="10"/>
    <s v="VILNIUS_ST_WOOD_BP"/>
    <x v="0"/>
    <x v="1"/>
    <n v="62.5"/>
    <n v="22812.5"/>
    <n v="82125"/>
  </r>
  <r>
    <x v="0"/>
    <x v="0"/>
    <x v="0"/>
    <x v="5"/>
    <x v="9"/>
    <s v="LT_VilU"/>
    <x v="10"/>
    <s v="VILNIUS_ST_WOOD_BP"/>
    <x v="0"/>
    <x v="2"/>
    <n v="62.5"/>
    <n v="22812.5"/>
    <n v="82125"/>
  </r>
  <r>
    <x v="0"/>
    <x v="0"/>
    <x v="0"/>
    <x v="5"/>
    <x v="9"/>
    <s v="LT_VilU"/>
    <x v="10"/>
    <s v="VILNIUS_ST_WOOD_BP"/>
    <x v="0"/>
    <x v="3"/>
    <n v="62.5"/>
    <n v="22812.5"/>
    <n v="82125"/>
  </r>
  <r>
    <x v="0"/>
    <x v="0"/>
    <x v="0"/>
    <x v="5"/>
    <x v="9"/>
    <s v="LT_VilU"/>
    <x v="10"/>
    <s v="VILNIUS_ST_WOOD_BP"/>
    <x v="0"/>
    <x v="4"/>
    <n v="62.5"/>
    <n v="22812.5"/>
    <n v="82125"/>
  </r>
  <r>
    <x v="0"/>
    <x v="0"/>
    <x v="0"/>
    <x v="5"/>
    <x v="9"/>
    <s v="LT_VilU"/>
    <x v="10"/>
    <s v="VILNIUS_ST_WOOD_BP"/>
    <x v="0"/>
    <x v="5"/>
    <n v="62.5"/>
    <n v="22812.5"/>
    <n v="82125"/>
  </r>
  <r>
    <x v="0"/>
    <x v="0"/>
    <x v="0"/>
    <x v="5"/>
    <x v="9"/>
    <s v="LT_VilU"/>
    <x v="10"/>
    <s v="VILNIUS_ST_WOOD_BP"/>
    <x v="0"/>
    <x v="6"/>
    <n v="62.5"/>
    <n v="22812.5"/>
    <n v="82125"/>
  </r>
  <r>
    <x v="0"/>
    <x v="0"/>
    <x v="0"/>
    <x v="5"/>
    <x v="9"/>
    <s v="LT_VilU"/>
    <x v="10"/>
    <s v="VILNIUS_ST_WOOD_BP"/>
    <x v="0"/>
    <x v="7"/>
    <n v="62.5"/>
    <n v="22812.5"/>
    <n v="82125"/>
  </r>
  <r>
    <x v="0"/>
    <x v="0"/>
    <x v="0"/>
    <x v="5"/>
    <x v="9"/>
    <s v="LT_VilU"/>
    <x v="10"/>
    <s v="VILNIUS_ST_WOOD_BP"/>
    <x v="0"/>
    <x v="8"/>
    <n v="62.5"/>
    <n v="22812.5"/>
    <n v="82125"/>
  </r>
  <r>
    <x v="0"/>
    <x v="0"/>
    <x v="0"/>
    <x v="5"/>
    <x v="9"/>
    <s v="LT_VilU"/>
    <x v="10"/>
    <s v="VILNIUS_ST_WOOD_BP"/>
    <x v="0"/>
    <x v="9"/>
    <n v="62.5"/>
    <n v="22812.5"/>
    <n v="82125"/>
  </r>
  <r>
    <x v="0"/>
    <x v="0"/>
    <x v="0"/>
    <x v="5"/>
    <x v="9"/>
    <s v="LT_VilU"/>
    <x v="10"/>
    <s v="VILNIUS_ST_WOOD_BP"/>
    <x v="0"/>
    <x v="10"/>
    <n v="62.5"/>
    <n v="22812.5"/>
    <n v="82125"/>
  </r>
  <r>
    <x v="0"/>
    <x v="0"/>
    <x v="0"/>
    <x v="5"/>
    <x v="9"/>
    <s v="LT_VilU"/>
    <x v="10"/>
    <s v="VILNIUS_ST_WOOD_BP"/>
    <x v="0"/>
    <x v="11"/>
    <n v="62.5"/>
    <n v="22812.5"/>
    <n v="82125"/>
  </r>
  <r>
    <x v="0"/>
    <x v="0"/>
    <x v="0"/>
    <x v="5"/>
    <x v="9"/>
    <s v="LT_VilU"/>
    <x v="10"/>
    <s v="VILNIUS_ST_WOOD_BP"/>
    <x v="0"/>
    <x v="12"/>
    <n v="62.5"/>
    <n v="22812.5"/>
    <n v="82125"/>
  </r>
  <r>
    <x v="0"/>
    <x v="0"/>
    <x v="0"/>
    <x v="5"/>
    <x v="9"/>
    <s v="LT_VilU"/>
    <x v="10"/>
    <s v="VILNIUS_ST_WOOD_BP"/>
    <x v="0"/>
    <x v="13"/>
    <n v="62.5"/>
    <n v="22812.5"/>
    <n v="82125"/>
  </r>
  <r>
    <x v="0"/>
    <x v="0"/>
    <x v="0"/>
    <x v="5"/>
    <x v="9"/>
    <s v="LT_VilU"/>
    <x v="10"/>
    <s v="VILNIUS_ST_WOOD_BP"/>
    <x v="0"/>
    <x v="14"/>
    <n v="62.5"/>
    <n v="22812.5"/>
    <n v="82125"/>
  </r>
  <r>
    <x v="0"/>
    <x v="0"/>
    <x v="0"/>
    <x v="5"/>
    <x v="9"/>
    <s v="LT_VilU"/>
    <x v="10"/>
    <s v="VILNIUS_ST_WOOD_BP"/>
    <x v="0"/>
    <x v="15"/>
    <n v="62.5"/>
    <n v="22812.5"/>
    <n v="82125"/>
  </r>
  <r>
    <x v="0"/>
    <x v="0"/>
    <x v="0"/>
    <x v="5"/>
    <x v="9"/>
    <s v="LT_VilU"/>
    <x v="10"/>
    <s v="VILNIUS_ST_WOOD_BP"/>
    <x v="0"/>
    <x v="16"/>
    <n v="62.5"/>
    <n v="22812.5"/>
    <n v="82125"/>
  </r>
  <r>
    <x v="0"/>
    <x v="0"/>
    <x v="0"/>
    <x v="5"/>
    <x v="9"/>
    <s v="LT_VilU"/>
    <x v="10"/>
    <s v="VILNIUS_ST_WOOD_BP"/>
    <x v="0"/>
    <x v="17"/>
    <n v="62.5"/>
    <n v="22812.5"/>
    <n v="82125"/>
  </r>
  <r>
    <x v="0"/>
    <x v="0"/>
    <x v="0"/>
    <x v="5"/>
    <x v="9"/>
    <s v="LT_VilU"/>
    <x v="10"/>
    <s v="VILNIUS_ST_WOOD_BP"/>
    <x v="0"/>
    <x v="18"/>
    <n v="62.5"/>
    <n v="22812.5"/>
    <n v="82125"/>
  </r>
  <r>
    <x v="0"/>
    <x v="0"/>
    <x v="0"/>
    <x v="5"/>
    <x v="9"/>
    <s v="LT_VilU"/>
    <x v="10"/>
    <s v="VILNIUS_ST_WOOD_BP"/>
    <x v="0"/>
    <x v="19"/>
    <n v="62.5"/>
    <n v="22812.5"/>
    <n v="82125"/>
  </r>
  <r>
    <x v="0"/>
    <x v="0"/>
    <x v="0"/>
    <x v="5"/>
    <x v="9"/>
    <s v="LT_VilU"/>
    <x v="10"/>
    <s v="VILNIUS_ST_WOOD_BP"/>
    <x v="0"/>
    <x v="20"/>
    <n v="62.5"/>
    <n v="22812.5"/>
    <n v="82125"/>
  </r>
  <r>
    <x v="0"/>
    <x v="0"/>
    <x v="0"/>
    <x v="5"/>
    <x v="9"/>
    <s v="LT_VilU"/>
    <x v="10"/>
    <s v="VILNIUS_ST_WOOD_BP"/>
    <x v="0"/>
    <x v="21"/>
    <n v="62.5"/>
    <n v="22812.5"/>
    <n v="82125"/>
  </r>
  <r>
    <x v="0"/>
    <x v="0"/>
    <x v="0"/>
    <x v="5"/>
    <x v="9"/>
    <s v="LT_VilU"/>
    <x v="10"/>
    <s v="VILNIUS_ST_WOOD_BP"/>
    <x v="0"/>
    <x v="22"/>
    <n v="62.5"/>
    <n v="22812.5"/>
    <n v="82125"/>
  </r>
  <r>
    <x v="0"/>
    <x v="0"/>
    <x v="0"/>
    <x v="5"/>
    <x v="9"/>
    <s v="LT_VilU"/>
    <x v="10"/>
    <s v="VILNIUS_ST_WOOD_BP"/>
    <x v="0"/>
    <x v="23"/>
    <n v="62.5"/>
    <n v="22812.5"/>
    <n v="82125"/>
  </r>
  <r>
    <x v="0"/>
    <x v="0"/>
    <x v="0"/>
    <x v="6"/>
    <x v="10"/>
    <s v="NO1_A1"/>
    <x v="2"/>
    <s v="GNR_HS_HEAT_WTR-TANK_LS_E-95_Y-2010"/>
    <x v="0"/>
    <x v="7"/>
    <n v="15.4771011111111"/>
    <n v="5649.1419055555398"/>
    <n v="20336.91086"/>
  </r>
  <r>
    <x v="0"/>
    <x v="0"/>
    <x v="0"/>
    <x v="6"/>
    <x v="10"/>
    <s v="NO1_A1"/>
    <x v="2"/>
    <s v="GNR_HS_HEAT_WTR-TANK_LS_E-95_Y-2010"/>
    <x v="0"/>
    <x v="8"/>
    <n v="14.991732067707501"/>
    <n v="5471.9822047132502"/>
    <n v="19699.135936967701"/>
  </r>
  <r>
    <x v="0"/>
    <x v="0"/>
    <x v="0"/>
    <x v="6"/>
    <x v="10"/>
    <s v="NO1_A1"/>
    <x v="2"/>
    <s v="GNR_HS_HEAT_WTR-TANK_LS_E-95_Y-2010"/>
    <x v="0"/>
    <x v="9"/>
    <n v="9.9237014896337801"/>
    <n v="3622.1510437163302"/>
    <n v="13039.743757378799"/>
  </r>
  <r>
    <x v="0"/>
    <x v="0"/>
    <x v="0"/>
    <x v="6"/>
    <x v="10"/>
    <s v="NO1_A1"/>
    <x v="2"/>
    <s v="GNR_HS_HEAT_WTR-TANK_LS_E-95_Y-2010"/>
    <x v="0"/>
    <x v="10"/>
    <n v="1.1026260903682099"/>
    <n v="402.45852298439701"/>
    <n v="1448.85068274383"/>
  </r>
  <r>
    <x v="0"/>
    <x v="0"/>
    <x v="0"/>
    <x v="6"/>
    <x v="10"/>
    <s v="NO1_A1"/>
    <x v="3"/>
    <s v="GBPR_MUNIWASTE"/>
    <x v="0"/>
    <x v="0"/>
    <n v="26.451612903225801"/>
    <n v="9654.8387096774204"/>
    <n v="34757.419354838697"/>
  </r>
  <r>
    <x v="0"/>
    <x v="0"/>
    <x v="0"/>
    <x v="6"/>
    <x v="10"/>
    <s v="NO1_A1"/>
    <x v="3"/>
    <s v="GBPR_MUNIWASTE"/>
    <x v="0"/>
    <x v="1"/>
    <n v="26.451612903225801"/>
    <n v="9654.8387096774204"/>
    <n v="34757.419354838697"/>
  </r>
  <r>
    <x v="0"/>
    <x v="0"/>
    <x v="0"/>
    <x v="6"/>
    <x v="10"/>
    <s v="NO1_A1"/>
    <x v="3"/>
    <s v="GBPR_MUNIWASTE"/>
    <x v="0"/>
    <x v="2"/>
    <n v="26.451612903225801"/>
    <n v="9654.8387096774204"/>
    <n v="34757.419354838697"/>
  </r>
  <r>
    <x v="0"/>
    <x v="0"/>
    <x v="0"/>
    <x v="6"/>
    <x v="10"/>
    <s v="NO1_A1"/>
    <x v="3"/>
    <s v="GBPR_MUNIWASTE"/>
    <x v="0"/>
    <x v="3"/>
    <n v="26.451612903225801"/>
    <n v="9654.8387096774204"/>
    <n v="34757.419354838697"/>
  </r>
  <r>
    <x v="0"/>
    <x v="0"/>
    <x v="0"/>
    <x v="6"/>
    <x v="10"/>
    <s v="NO1_A1"/>
    <x v="3"/>
    <s v="GBPR_MUNIWASTE"/>
    <x v="0"/>
    <x v="4"/>
    <n v="26.451612903225801"/>
    <n v="9654.8387096774204"/>
    <n v="34757.419354838697"/>
  </r>
  <r>
    <x v="0"/>
    <x v="0"/>
    <x v="0"/>
    <x v="6"/>
    <x v="10"/>
    <s v="NO1_A1"/>
    <x v="3"/>
    <s v="GBPR_MUNIWASTE"/>
    <x v="0"/>
    <x v="5"/>
    <n v="26.451612903225801"/>
    <n v="9654.8387096774204"/>
    <n v="34757.419354838697"/>
  </r>
  <r>
    <x v="0"/>
    <x v="0"/>
    <x v="0"/>
    <x v="6"/>
    <x v="10"/>
    <s v="NO1_A1"/>
    <x v="3"/>
    <s v="GBPR_MUNIWASTE"/>
    <x v="0"/>
    <x v="6"/>
    <n v="26.451612903225801"/>
    <n v="9654.8387096774204"/>
    <n v="34757.419354838697"/>
  </r>
  <r>
    <x v="0"/>
    <x v="0"/>
    <x v="0"/>
    <x v="6"/>
    <x v="10"/>
    <s v="NO1_A1"/>
    <x v="3"/>
    <s v="GBPR_MUNIWASTE"/>
    <x v="0"/>
    <x v="7"/>
    <n v="26.451612903225801"/>
    <n v="9654.8387096774204"/>
    <n v="34757.419354838697"/>
  </r>
  <r>
    <x v="0"/>
    <x v="0"/>
    <x v="0"/>
    <x v="6"/>
    <x v="10"/>
    <s v="NO1_A1"/>
    <x v="3"/>
    <s v="GBPR_MUNIWASTE"/>
    <x v="0"/>
    <x v="8"/>
    <n v="26.451612903225801"/>
    <n v="9654.8387096774204"/>
    <n v="34757.419354838697"/>
  </r>
  <r>
    <x v="0"/>
    <x v="0"/>
    <x v="0"/>
    <x v="6"/>
    <x v="10"/>
    <s v="NO1_A1"/>
    <x v="3"/>
    <s v="GBPR_MUNIWASTE"/>
    <x v="0"/>
    <x v="9"/>
    <n v="26.451612903225801"/>
    <n v="9654.8387096774204"/>
    <n v="34757.419354838697"/>
  </r>
  <r>
    <x v="0"/>
    <x v="0"/>
    <x v="0"/>
    <x v="6"/>
    <x v="10"/>
    <s v="NO1_A1"/>
    <x v="3"/>
    <s v="GBPR_MUNIWASTE"/>
    <x v="0"/>
    <x v="10"/>
    <n v="26.451612903225801"/>
    <n v="9654.8387096774204"/>
    <n v="34757.419354838697"/>
  </r>
  <r>
    <x v="0"/>
    <x v="0"/>
    <x v="0"/>
    <x v="6"/>
    <x v="10"/>
    <s v="NO1_A1"/>
    <x v="3"/>
    <s v="GBPR_MUNIWASTE"/>
    <x v="0"/>
    <x v="11"/>
    <n v="26.451612903225801"/>
    <n v="9654.8387096774204"/>
    <n v="34757.419354838697"/>
  </r>
  <r>
    <x v="0"/>
    <x v="0"/>
    <x v="0"/>
    <x v="6"/>
    <x v="10"/>
    <s v="NO1_A1"/>
    <x v="3"/>
    <s v="GBPR_MUNIWASTE"/>
    <x v="0"/>
    <x v="12"/>
    <n v="26.451612903225801"/>
    <n v="9654.8387096774204"/>
    <n v="34757.419354838697"/>
  </r>
  <r>
    <x v="0"/>
    <x v="0"/>
    <x v="0"/>
    <x v="6"/>
    <x v="10"/>
    <s v="NO1_A1"/>
    <x v="3"/>
    <s v="GBPR_MUNIWASTE"/>
    <x v="0"/>
    <x v="13"/>
    <n v="26.451612903225801"/>
    <n v="9654.8387096774204"/>
    <n v="34757.419354838697"/>
  </r>
  <r>
    <x v="0"/>
    <x v="0"/>
    <x v="0"/>
    <x v="6"/>
    <x v="10"/>
    <s v="NO1_A1"/>
    <x v="3"/>
    <s v="GBPR_MUNIWASTE"/>
    <x v="0"/>
    <x v="14"/>
    <n v="26.451612903225801"/>
    <n v="9654.8387096774204"/>
    <n v="34757.419354838697"/>
  </r>
  <r>
    <x v="0"/>
    <x v="0"/>
    <x v="0"/>
    <x v="6"/>
    <x v="10"/>
    <s v="NO1_A1"/>
    <x v="3"/>
    <s v="GBPR_MUNIWASTE"/>
    <x v="0"/>
    <x v="15"/>
    <n v="26.451612903225801"/>
    <n v="9654.8387096774204"/>
    <n v="34757.419354838697"/>
  </r>
  <r>
    <x v="0"/>
    <x v="0"/>
    <x v="0"/>
    <x v="6"/>
    <x v="10"/>
    <s v="NO1_A1"/>
    <x v="3"/>
    <s v="GBPR_MUNIWASTE"/>
    <x v="0"/>
    <x v="16"/>
    <n v="26.451612903225801"/>
    <n v="9654.8387096774204"/>
    <n v="34757.419354838697"/>
  </r>
  <r>
    <x v="0"/>
    <x v="0"/>
    <x v="0"/>
    <x v="6"/>
    <x v="10"/>
    <s v="NO1_A1"/>
    <x v="3"/>
    <s v="GBPR_MUNIWASTE"/>
    <x v="0"/>
    <x v="17"/>
    <n v="26.451612903225801"/>
    <n v="9654.8387096774204"/>
    <n v="34757.419354838697"/>
  </r>
  <r>
    <x v="0"/>
    <x v="0"/>
    <x v="0"/>
    <x v="6"/>
    <x v="10"/>
    <s v="NO1_A1"/>
    <x v="3"/>
    <s v="GBPR_MUNIWASTE"/>
    <x v="0"/>
    <x v="18"/>
    <n v="26.451612903225801"/>
    <n v="9654.8387096774204"/>
    <n v="34757.419354838697"/>
  </r>
  <r>
    <x v="0"/>
    <x v="0"/>
    <x v="0"/>
    <x v="6"/>
    <x v="10"/>
    <s v="NO1_A1"/>
    <x v="3"/>
    <s v="GBPR_MUNIWASTE"/>
    <x v="0"/>
    <x v="19"/>
    <n v="26.451612903225801"/>
    <n v="9654.8387096774204"/>
    <n v="34757.419354838697"/>
  </r>
  <r>
    <x v="0"/>
    <x v="0"/>
    <x v="0"/>
    <x v="6"/>
    <x v="10"/>
    <s v="NO1_A1"/>
    <x v="3"/>
    <s v="GBPR_MUNIWASTE"/>
    <x v="0"/>
    <x v="20"/>
    <n v="26.451612903225801"/>
    <n v="9654.8387096774204"/>
    <n v="34757.419354838697"/>
  </r>
  <r>
    <x v="0"/>
    <x v="0"/>
    <x v="0"/>
    <x v="6"/>
    <x v="10"/>
    <s v="NO1_A1"/>
    <x v="3"/>
    <s v="GBPR_MUNIWASTE"/>
    <x v="0"/>
    <x v="21"/>
    <n v="26.451612903225801"/>
    <n v="9654.8387096774204"/>
    <n v="34757.419354838697"/>
  </r>
  <r>
    <x v="0"/>
    <x v="0"/>
    <x v="0"/>
    <x v="6"/>
    <x v="10"/>
    <s v="NO1_A1"/>
    <x v="3"/>
    <s v="GBPR_MUNIWASTE"/>
    <x v="0"/>
    <x v="22"/>
    <n v="26.451612903225801"/>
    <n v="9654.8387096774204"/>
    <n v="34757.419354838697"/>
  </r>
  <r>
    <x v="0"/>
    <x v="0"/>
    <x v="0"/>
    <x v="6"/>
    <x v="10"/>
    <s v="NO1_A1"/>
    <x v="3"/>
    <s v="GBPR_MUNIWASTE"/>
    <x v="0"/>
    <x v="23"/>
    <n v="26.451612903225801"/>
    <n v="9654.8387096774204"/>
    <n v="34757.419354838697"/>
  </r>
  <r>
    <x v="0"/>
    <x v="0"/>
    <x v="0"/>
    <x v="6"/>
    <x v="10"/>
    <s v="NO1_A1"/>
    <x v="3"/>
    <s v="GHOB_MUNIWASTE"/>
    <x v="0"/>
    <x v="0"/>
    <n v="7.444"/>
    <n v="2717.06"/>
    <n v="9781.4159999999993"/>
  </r>
  <r>
    <x v="0"/>
    <x v="0"/>
    <x v="0"/>
    <x v="6"/>
    <x v="10"/>
    <s v="NO1_A1"/>
    <x v="3"/>
    <s v="GHOB_MUNIWASTE"/>
    <x v="0"/>
    <x v="1"/>
    <n v="7.444"/>
    <n v="2717.06"/>
    <n v="9781.4159999999993"/>
  </r>
  <r>
    <x v="0"/>
    <x v="0"/>
    <x v="0"/>
    <x v="6"/>
    <x v="10"/>
    <s v="NO1_A1"/>
    <x v="3"/>
    <s v="GHOB_MUNIWASTE"/>
    <x v="0"/>
    <x v="2"/>
    <n v="7.444"/>
    <n v="2717.06"/>
    <n v="9781.4159999999993"/>
  </r>
  <r>
    <x v="0"/>
    <x v="0"/>
    <x v="0"/>
    <x v="6"/>
    <x v="10"/>
    <s v="NO1_A1"/>
    <x v="3"/>
    <s v="GHOB_MUNIWASTE"/>
    <x v="0"/>
    <x v="3"/>
    <n v="7.444"/>
    <n v="2717.06"/>
    <n v="9781.4159999999993"/>
  </r>
  <r>
    <x v="0"/>
    <x v="0"/>
    <x v="0"/>
    <x v="6"/>
    <x v="10"/>
    <s v="NO1_A1"/>
    <x v="3"/>
    <s v="GHOB_MUNIWASTE"/>
    <x v="0"/>
    <x v="4"/>
    <n v="7.444"/>
    <n v="2717.06"/>
    <n v="9781.4159999999993"/>
  </r>
  <r>
    <x v="0"/>
    <x v="0"/>
    <x v="0"/>
    <x v="6"/>
    <x v="10"/>
    <s v="NO1_A1"/>
    <x v="3"/>
    <s v="GHOB_MUNIWASTE"/>
    <x v="0"/>
    <x v="5"/>
    <n v="7.444"/>
    <n v="2717.06"/>
    <n v="9781.4159999999993"/>
  </r>
  <r>
    <x v="0"/>
    <x v="0"/>
    <x v="0"/>
    <x v="6"/>
    <x v="10"/>
    <s v="NO1_A1"/>
    <x v="3"/>
    <s v="GHOB_MUNIWASTE"/>
    <x v="0"/>
    <x v="6"/>
    <n v="7.444"/>
    <n v="2717.06"/>
    <n v="9781.4159999999993"/>
  </r>
  <r>
    <x v="0"/>
    <x v="0"/>
    <x v="0"/>
    <x v="6"/>
    <x v="10"/>
    <s v="NO1_A1"/>
    <x v="3"/>
    <s v="GHOB_MUNIWASTE"/>
    <x v="0"/>
    <x v="7"/>
    <n v="7.444"/>
    <n v="2717.06"/>
    <n v="9781.4159999999993"/>
  </r>
  <r>
    <x v="0"/>
    <x v="0"/>
    <x v="0"/>
    <x v="6"/>
    <x v="10"/>
    <s v="NO1_A1"/>
    <x v="3"/>
    <s v="GHOB_MUNIWASTE"/>
    <x v="0"/>
    <x v="8"/>
    <n v="7.444"/>
    <n v="2717.06"/>
    <n v="9781.4159999999993"/>
  </r>
  <r>
    <x v="0"/>
    <x v="0"/>
    <x v="0"/>
    <x v="6"/>
    <x v="10"/>
    <s v="NO1_A1"/>
    <x v="3"/>
    <s v="GHOB_MUNIWASTE"/>
    <x v="0"/>
    <x v="9"/>
    <n v="7.444"/>
    <n v="2717.06"/>
    <n v="9781.4159999999993"/>
  </r>
  <r>
    <x v="0"/>
    <x v="0"/>
    <x v="0"/>
    <x v="6"/>
    <x v="10"/>
    <s v="NO1_A1"/>
    <x v="3"/>
    <s v="GHOB_MUNIWASTE"/>
    <x v="0"/>
    <x v="10"/>
    <n v="7.444"/>
    <n v="2717.06"/>
    <n v="9781.4159999999993"/>
  </r>
  <r>
    <x v="0"/>
    <x v="0"/>
    <x v="0"/>
    <x v="6"/>
    <x v="10"/>
    <s v="NO1_A1"/>
    <x v="3"/>
    <s v="GHOB_MUNIWASTE"/>
    <x v="0"/>
    <x v="11"/>
    <n v="7.444"/>
    <n v="2717.06"/>
    <n v="9781.4159999999993"/>
  </r>
  <r>
    <x v="0"/>
    <x v="0"/>
    <x v="0"/>
    <x v="6"/>
    <x v="10"/>
    <s v="NO1_A1"/>
    <x v="3"/>
    <s v="GHOB_MUNIWASTE"/>
    <x v="0"/>
    <x v="12"/>
    <n v="7.444"/>
    <n v="2717.06"/>
    <n v="9781.4159999999993"/>
  </r>
  <r>
    <x v="0"/>
    <x v="0"/>
    <x v="0"/>
    <x v="6"/>
    <x v="10"/>
    <s v="NO1_A1"/>
    <x v="3"/>
    <s v="GHOB_MUNIWASTE"/>
    <x v="0"/>
    <x v="13"/>
    <n v="7.444"/>
    <n v="2717.06"/>
    <n v="9781.4159999999993"/>
  </r>
  <r>
    <x v="0"/>
    <x v="0"/>
    <x v="0"/>
    <x v="6"/>
    <x v="10"/>
    <s v="NO1_A1"/>
    <x v="3"/>
    <s v="GHOB_MUNIWASTE"/>
    <x v="0"/>
    <x v="14"/>
    <n v="7.444"/>
    <n v="2717.06"/>
    <n v="9781.4159999999993"/>
  </r>
  <r>
    <x v="0"/>
    <x v="0"/>
    <x v="0"/>
    <x v="6"/>
    <x v="10"/>
    <s v="NO1_A1"/>
    <x v="3"/>
    <s v="GHOB_MUNIWASTE"/>
    <x v="0"/>
    <x v="15"/>
    <n v="7.444"/>
    <n v="2717.06"/>
    <n v="9781.4159999999993"/>
  </r>
  <r>
    <x v="0"/>
    <x v="0"/>
    <x v="0"/>
    <x v="6"/>
    <x v="10"/>
    <s v="NO1_A1"/>
    <x v="3"/>
    <s v="GHOB_MUNIWASTE"/>
    <x v="0"/>
    <x v="16"/>
    <n v="7.444"/>
    <n v="2717.06"/>
    <n v="9781.4159999999993"/>
  </r>
  <r>
    <x v="0"/>
    <x v="0"/>
    <x v="0"/>
    <x v="6"/>
    <x v="10"/>
    <s v="NO1_A1"/>
    <x v="3"/>
    <s v="GHOB_MUNIWASTE"/>
    <x v="0"/>
    <x v="17"/>
    <n v="7.444"/>
    <n v="2717.06"/>
    <n v="9781.4159999999993"/>
  </r>
  <r>
    <x v="0"/>
    <x v="0"/>
    <x v="0"/>
    <x v="6"/>
    <x v="10"/>
    <s v="NO1_A1"/>
    <x v="3"/>
    <s v="GHOB_MUNIWASTE"/>
    <x v="0"/>
    <x v="18"/>
    <n v="7.444"/>
    <n v="2717.06"/>
    <n v="9781.4159999999993"/>
  </r>
  <r>
    <x v="0"/>
    <x v="0"/>
    <x v="0"/>
    <x v="6"/>
    <x v="10"/>
    <s v="NO1_A1"/>
    <x v="3"/>
    <s v="GHOB_MUNIWASTE"/>
    <x v="0"/>
    <x v="19"/>
    <n v="7.444"/>
    <n v="2717.06"/>
    <n v="9781.4159999999993"/>
  </r>
  <r>
    <x v="0"/>
    <x v="0"/>
    <x v="0"/>
    <x v="6"/>
    <x v="10"/>
    <s v="NO1_A1"/>
    <x v="3"/>
    <s v="GHOB_MUNIWASTE"/>
    <x v="0"/>
    <x v="20"/>
    <n v="7.444"/>
    <n v="2717.06"/>
    <n v="9781.4159999999993"/>
  </r>
  <r>
    <x v="0"/>
    <x v="0"/>
    <x v="0"/>
    <x v="6"/>
    <x v="10"/>
    <s v="NO1_A1"/>
    <x v="3"/>
    <s v="GHOB_MUNIWASTE"/>
    <x v="0"/>
    <x v="21"/>
    <n v="7.444"/>
    <n v="2717.06"/>
    <n v="9781.4159999999993"/>
  </r>
  <r>
    <x v="0"/>
    <x v="0"/>
    <x v="0"/>
    <x v="6"/>
    <x v="10"/>
    <s v="NO1_A1"/>
    <x v="3"/>
    <s v="GHOB_MUNIWASTE"/>
    <x v="0"/>
    <x v="22"/>
    <n v="7.444"/>
    <n v="2717.06"/>
    <n v="9781.4159999999993"/>
  </r>
  <r>
    <x v="0"/>
    <x v="0"/>
    <x v="0"/>
    <x v="6"/>
    <x v="10"/>
    <s v="NO1_A1"/>
    <x v="3"/>
    <s v="GHOB_MUNIWASTE"/>
    <x v="0"/>
    <x v="23"/>
    <n v="7.444"/>
    <n v="2717.06"/>
    <n v="9781.4159999999993"/>
  </r>
  <r>
    <x v="0"/>
    <x v="0"/>
    <x v="0"/>
    <x v="6"/>
    <x v="10"/>
    <s v="NO1_A1"/>
    <x v="6"/>
    <s v="GHOB_WASTEHEAT"/>
    <x v="0"/>
    <x v="0"/>
    <n v="2.9650869963369799"/>
    <n v="1082.2567536629999"/>
    <n v="3896.1243131868"/>
  </r>
  <r>
    <x v="0"/>
    <x v="0"/>
    <x v="0"/>
    <x v="6"/>
    <x v="10"/>
    <s v="NO1_A1"/>
    <x v="6"/>
    <s v="GHOB_WASTEHEAT"/>
    <x v="0"/>
    <x v="1"/>
    <n v="2.9650869963369799"/>
    <n v="1082.2567536629999"/>
    <n v="3896.1243131868"/>
  </r>
  <r>
    <x v="0"/>
    <x v="0"/>
    <x v="0"/>
    <x v="6"/>
    <x v="10"/>
    <s v="NO1_A1"/>
    <x v="6"/>
    <s v="GHOB_WASTEHEAT"/>
    <x v="0"/>
    <x v="2"/>
    <n v="2.9650869963369799"/>
    <n v="1082.2567536629999"/>
    <n v="3896.1243131868"/>
  </r>
  <r>
    <x v="0"/>
    <x v="0"/>
    <x v="0"/>
    <x v="6"/>
    <x v="10"/>
    <s v="NO1_A1"/>
    <x v="6"/>
    <s v="GHOB_WASTEHEAT"/>
    <x v="0"/>
    <x v="3"/>
    <n v="2.9650869963369799"/>
    <n v="1082.2567536629999"/>
    <n v="3896.1243131868"/>
  </r>
  <r>
    <x v="0"/>
    <x v="0"/>
    <x v="0"/>
    <x v="6"/>
    <x v="10"/>
    <s v="NO1_A1"/>
    <x v="6"/>
    <s v="GHOB_WASTEHEAT"/>
    <x v="0"/>
    <x v="4"/>
    <n v="2.9650869963369799"/>
    <n v="1082.2567536629999"/>
    <n v="3896.1243131868"/>
  </r>
  <r>
    <x v="0"/>
    <x v="0"/>
    <x v="0"/>
    <x v="6"/>
    <x v="10"/>
    <s v="NO1_A1"/>
    <x v="6"/>
    <s v="GHOB_WASTEHEAT"/>
    <x v="0"/>
    <x v="5"/>
    <n v="2.9650869963369799"/>
    <n v="1082.2567536629999"/>
    <n v="3896.1243131868"/>
  </r>
  <r>
    <x v="0"/>
    <x v="0"/>
    <x v="0"/>
    <x v="6"/>
    <x v="10"/>
    <s v="NO1_A1"/>
    <x v="6"/>
    <s v="GHOB_WASTEHEAT"/>
    <x v="0"/>
    <x v="6"/>
    <n v="2.9650869963369799"/>
    <n v="1082.2567536629999"/>
    <n v="3896.1243131868"/>
  </r>
  <r>
    <x v="0"/>
    <x v="0"/>
    <x v="0"/>
    <x v="6"/>
    <x v="10"/>
    <s v="NO1_A1"/>
    <x v="6"/>
    <s v="GHOB_WASTEHEAT"/>
    <x v="0"/>
    <x v="7"/>
    <n v="2.9650869963369799"/>
    <n v="1082.2567536629999"/>
    <n v="3896.1243131868"/>
  </r>
  <r>
    <x v="0"/>
    <x v="0"/>
    <x v="0"/>
    <x v="6"/>
    <x v="10"/>
    <s v="NO1_A1"/>
    <x v="6"/>
    <s v="GHOB_WASTEHEAT"/>
    <x v="0"/>
    <x v="8"/>
    <n v="2.9650869963369799"/>
    <n v="1082.2567536629999"/>
    <n v="3896.1243131868"/>
  </r>
  <r>
    <x v="0"/>
    <x v="0"/>
    <x v="0"/>
    <x v="6"/>
    <x v="10"/>
    <s v="NO1_A1"/>
    <x v="6"/>
    <s v="GHOB_WASTEHEAT"/>
    <x v="0"/>
    <x v="9"/>
    <n v="2.9650869963369799"/>
    <n v="1082.2567536629999"/>
    <n v="3896.1243131868"/>
  </r>
  <r>
    <x v="0"/>
    <x v="0"/>
    <x v="0"/>
    <x v="6"/>
    <x v="10"/>
    <s v="NO1_A1"/>
    <x v="6"/>
    <s v="GHOB_WASTEHEAT"/>
    <x v="0"/>
    <x v="10"/>
    <n v="2.9650869963369799"/>
    <n v="1082.2567536629999"/>
    <n v="3896.1243131868"/>
  </r>
  <r>
    <x v="0"/>
    <x v="0"/>
    <x v="0"/>
    <x v="6"/>
    <x v="10"/>
    <s v="NO1_A1"/>
    <x v="6"/>
    <s v="GHOB_WASTEHEAT"/>
    <x v="0"/>
    <x v="11"/>
    <n v="2.9650869963369799"/>
    <n v="1082.2567536629999"/>
    <n v="3896.1243131868"/>
  </r>
  <r>
    <x v="0"/>
    <x v="0"/>
    <x v="0"/>
    <x v="6"/>
    <x v="10"/>
    <s v="NO1_A1"/>
    <x v="6"/>
    <s v="GHOB_WASTEHEAT"/>
    <x v="0"/>
    <x v="12"/>
    <n v="2.9650869963369799"/>
    <n v="1082.2567536629999"/>
    <n v="3896.1243131868"/>
  </r>
  <r>
    <x v="0"/>
    <x v="0"/>
    <x v="0"/>
    <x v="6"/>
    <x v="10"/>
    <s v="NO1_A1"/>
    <x v="6"/>
    <s v="GHOB_WASTEHEAT"/>
    <x v="0"/>
    <x v="13"/>
    <n v="2.9650869963369799"/>
    <n v="1082.2567536629999"/>
    <n v="3896.1243131868"/>
  </r>
  <r>
    <x v="0"/>
    <x v="0"/>
    <x v="0"/>
    <x v="6"/>
    <x v="10"/>
    <s v="NO1_A1"/>
    <x v="6"/>
    <s v="GHOB_WASTEHEAT"/>
    <x v="0"/>
    <x v="14"/>
    <n v="2.9650869963369799"/>
    <n v="1082.2567536629999"/>
    <n v="3896.1243131868"/>
  </r>
  <r>
    <x v="0"/>
    <x v="0"/>
    <x v="0"/>
    <x v="6"/>
    <x v="10"/>
    <s v="NO1_A1"/>
    <x v="6"/>
    <s v="GHOB_WASTEHEAT"/>
    <x v="0"/>
    <x v="15"/>
    <n v="2.9650869963369799"/>
    <n v="1082.2567536629999"/>
    <n v="3896.1243131868"/>
  </r>
  <r>
    <x v="0"/>
    <x v="0"/>
    <x v="0"/>
    <x v="6"/>
    <x v="10"/>
    <s v="NO1_A1"/>
    <x v="6"/>
    <s v="GHOB_WASTEHEAT"/>
    <x v="0"/>
    <x v="16"/>
    <n v="2.9650869963369799"/>
    <n v="1082.2567536629999"/>
    <n v="3896.1243131868"/>
  </r>
  <r>
    <x v="0"/>
    <x v="0"/>
    <x v="0"/>
    <x v="6"/>
    <x v="10"/>
    <s v="NO1_A1"/>
    <x v="6"/>
    <s v="GHOB_WASTEHEAT"/>
    <x v="0"/>
    <x v="17"/>
    <n v="2.9650869963369799"/>
    <n v="1082.2567536629999"/>
    <n v="3896.1243131868"/>
  </r>
  <r>
    <x v="0"/>
    <x v="0"/>
    <x v="0"/>
    <x v="6"/>
    <x v="10"/>
    <s v="NO1_A1"/>
    <x v="6"/>
    <s v="GHOB_WASTEHEAT"/>
    <x v="0"/>
    <x v="18"/>
    <n v="2.9650869963369799"/>
    <n v="1082.2567536629999"/>
    <n v="3896.1243131868"/>
  </r>
  <r>
    <x v="0"/>
    <x v="0"/>
    <x v="0"/>
    <x v="6"/>
    <x v="10"/>
    <s v="NO1_A1"/>
    <x v="6"/>
    <s v="GHOB_WASTEHEAT"/>
    <x v="0"/>
    <x v="19"/>
    <n v="2.9650869963369799"/>
    <n v="1082.2567536629999"/>
    <n v="3896.1243131868"/>
  </r>
  <r>
    <x v="0"/>
    <x v="0"/>
    <x v="0"/>
    <x v="6"/>
    <x v="10"/>
    <s v="NO1_A1"/>
    <x v="6"/>
    <s v="GHOB_WASTEHEAT"/>
    <x v="0"/>
    <x v="20"/>
    <n v="2.9650869963369799"/>
    <n v="1082.2567536629999"/>
    <n v="3896.1243131868"/>
  </r>
  <r>
    <x v="0"/>
    <x v="0"/>
    <x v="0"/>
    <x v="6"/>
    <x v="10"/>
    <s v="NO1_A1"/>
    <x v="6"/>
    <s v="GHOB_WASTEHEAT"/>
    <x v="0"/>
    <x v="21"/>
    <n v="2.9650869963369799"/>
    <n v="1082.2567536629999"/>
    <n v="3896.1243131868"/>
  </r>
  <r>
    <x v="0"/>
    <x v="0"/>
    <x v="0"/>
    <x v="6"/>
    <x v="10"/>
    <s v="NO1_A1"/>
    <x v="6"/>
    <s v="GHOB_WASTEHEAT"/>
    <x v="0"/>
    <x v="22"/>
    <n v="2.9650869963369799"/>
    <n v="1082.2567536629999"/>
    <n v="3896.1243131868"/>
  </r>
  <r>
    <x v="0"/>
    <x v="0"/>
    <x v="0"/>
    <x v="6"/>
    <x v="10"/>
    <s v="NO1_A1"/>
    <x v="6"/>
    <s v="GHOB_WASTEHEAT"/>
    <x v="0"/>
    <x v="23"/>
    <n v="2.9650869963369799"/>
    <n v="1082.2567536629999"/>
    <n v="3896.1243131868"/>
  </r>
  <r>
    <x v="0"/>
    <x v="0"/>
    <x v="0"/>
    <x v="6"/>
    <x v="10"/>
    <s v="NO1_A1"/>
    <x v="7"/>
    <s v="GHOB_WOODCHIPS"/>
    <x v="0"/>
    <x v="0"/>
    <n v="41.050458514884198"/>
    <n v="14983.4173579327"/>
    <n v="53940.302488557798"/>
  </r>
  <r>
    <x v="0"/>
    <x v="0"/>
    <x v="0"/>
    <x v="6"/>
    <x v="10"/>
    <s v="NO1_A1"/>
    <x v="7"/>
    <s v="GHOB_WOODCHIPS"/>
    <x v="0"/>
    <x v="1"/>
    <n v="79.162945134782603"/>
    <n v="28894.474974195698"/>
    <n v="104020.10990710399"/>
  </r>
  <r>
    <x v="0"/>
    <x v="0"/>
    <x v="0"/>
    <x v="6"/>
    <x v="10"/>
    <s v="NO1_A1"/>
    <x v="7"/>
    <s v="GHOB_WOODCHIPS"/>
    <x v="0"/>
    <x v="2"/>
    <n v="43.012217302100403"/>
    <n v="15699.4593152666"/>
    <n v="56518.053534959901"/>
  </r>
  <r>
    <x v="0"/>
    <x v="0"/>
    <x v="0"/>
    <x v="6"/>
    <x v="10"/>
    <s v="NO1_A1"/>
    <x v="7"/>
    <s v="GHOB_WOODCHIPS"/>
    <x v="0"/>
    <x v="3"/>
    <n v="45.763290823304501"/>
    <n v="16703.6011505061"/>
    <n v="60132.9641418221"/>
  </r>
  <r>
    <x v="0"/>
    <x v="0"/>
    <x v="0"/>
    <x v="6"/>
    <x v="10"/>
    <s v="NO1_A1"/>
    <x v="7"/>
    <s v="GHOB_WOODCHIPS"/>
    <x v="0"/>
    <x v="4"/>
    <n v="57.915968613045401"/>
    <n v="21139.3285437616"/>
    <n v="76101.582757541604"/>
  </r>
  <r>
    <x v="0"/>
    <x v="0"/>
    <x v="0"/>
    <x v="6"/>
    <x v="10"/>
    <s v="NO1_A1"/>
    <x v="7"/>
    <s v="GHOB_WOODCHIPS"/>
    <x v="0"/>
    <x v="5"/>
    <n v="63.796552544353602"/>
    <n v="23285.741678689101"/>
    <n v="83828.670043280596"/>
  </r>
  <r>
    <x v="0"/>
    <x v="0"/>
    <x v="0"/>
    <x v="6"/>
    <x v="10"/>
    <s v="NO1_A1"/>
    <x v="7"/>
    <s v="GHOB_WOODCHIPS"/>
    <x v="0"/>
    <x v="6"/>
    <n v="87.092259439400806"/>
    <n v="31788.674695381302"/>
    <n v="114439.228903373"/>
  </r>
  <r>
    <x v="0"/>
    <x v="0"/>
    <x v="0"/>
    <x v="6"/>
    <x v="10"/>
    <s v="NO1_A1"/>
    <x v="7"/>
    <s v="GHOB_WOODCHIPS"/>
    <x v="0"/>
    <x v="7"/>
    <n v="87.347999999999999"/>
    <n v="31882.02"/>
    <n v="114775.272"/>
  </r>
  <r>
    <x v="0"/>
    <x v="0"/>
    <x v="0"/>
    <x v="6"/>
    <x v="10"/>
    <s v="NO1_A1"/>
    <x v="7"/>
    <s v="GHOB_WOODCHIPS"/>
    <x v="0"/>
    <x v="8"/>
    <n v="87.347999999999999"/>
    <n v="31882.02"/>
    <n v="114775.272"/>
  </r>
  <r>
    <x v="0"/>
    <x v="0"/>
    <x v="0"/>
    <x v="6"/>
    <x v="10"/>
    <s v="NO1_A1"/>
    <x v="7"/>
    <s v="GHOB_WOODCHIPS"/>
    <x v="0"/>
    <x v="9"/>
    <n v="87.347999999999999"/>
    <n v="31882.02"/>
    <n v="114775.272"/>
  </r>
  <r>
    <x v="0"/>
    <x v="0"/>
    <x v="0"/>
    <x v="6"/>
    <x v="10"/>
    <s v="NO1_A1"/>
    <x v="7"/>
    <s v="GHOB_WOODCHIPS"/>
    <x v="0"/>
    <x v="10"/>
    <n v="87.347999999999999"/>
    <n v="31882.02"/>
    <n v="114775.272"/>
  </r>
  <r>
    <x v="0"/>
    <x v="0"/>
    <x v="0"/>
    <x v="6"/>
    <x v="10"/>
    <s v="NO1_A1"/>
    <x v="7"/>
    <s v="GHOB_WOODCHIPS"/>
    <x v="0"/>
    <x v="11"/>
    <n v="80.854085581025103"/>
    <n v="29511.7412370741"/>
    <n v="106242.268453467"/>
  </r>
  <r>
    <x v="0"/>
    <x v="0"/>
    <x v="0"/>
    <x v="6"/>
    <x v="10"/>
    <s v="NO1_A1"/>
    <x v="7"/>
    <s v="GHOB_WOODCHIPS"/>
    <x v="0"/>
    <x v="12"/>
    <n v="74.751360247185204"/>
    <n v="27284.246490222598"/>
    <n v="98223.287364801407"/>
  </r>
  <r>
    <x v="0"/>
    <x v="0"/>
    <x v="0"/>
    <x v="6"/>
    <x v="10"/>
    <s v="NO1_A1"/>
    <x v="7"/>
    <s v="GHOB_WOODCHIPS"/>
    <x v="0"/>
    <x v="13"/>
    <n v="68.776361747943398"/>
    <n v="25103.372037999401"/>
    <n v="90372.1393367977"/>
  </r>
  <r>
    <x v="0"/>
    <x v="0"/>
    <x v="0"/>
    <x v="6"/>
    <x v="10"/>
    <s v="NO1_A1"/>
    <x v="7"/>
    <s v="GHOB_WOODCHIPS"/>
    <x v="0"/>
    <x v="14"/>
    <n v="65.092706396099402"/>
    <n v="23758.837834576301"/>
    <n v="85531.816204474599"/>
  </r>
  <r>
    <x v="0"/>
    <x v="0"/>
    <x v="0"/>
    <x v="6"/>
    <x v="10"/>
    <s v="NO1_A1"/>
    <x v="7"/>
    <s v="GHOB_WOODCHIPS"/>
    <x v="0"/>
    <x v="15"/>
    <n v="60.147564599734999"/>
    <n v="21953.861078903301"/>
    <n v="79033.899884051803"/>
  </r>
  <r>
    <x v="0"/>
    <x v="0"/>
    <x v="0"/>
    <x v="6"/>
    <x v="10"/>
    <s v="NO1_A1"/>
    <x v="7"/>
    <s v="GHOB_WOODCHIPS"/>
    <x v="0"/>
    <x v="16"/>
    <n v="53.342043991991403"/>
    <n v="19469.846057076898"/>
    <n v="70091.445805476702"/>
  </r>
  <r>
    <x v="0"/>
    <x v="0"/>
    <x v="0"/>
    <x v="6"/>
    <x v="10"/>
    <s v="NO1_A1"/>
    <x v="7"/>
    <s v="GHOB_WOODCHIPS"/>
    <x v="0"/>
    <x v="17"/>
    <n v="48.264713752778903"/>
    <n v="17616.620519764299"/>
    <n v="63419.833871151401"/>
  </r>
  <r>
    <x v="0"/>
    <x v="0"/>
    <x v="0"/>
    <x v="6"/>
    <x v="10"/>
    <s v="NO1_A1"/>
    <x v="7"/>
    <s v="GHOB_WOODCHIPS"/>
    <x v="0"/>
    <x v="18"/>
    <n v="44.756876428143201"/>
    <n v="16336.2598962723"/>
    <n v="58810.535626580197"/>
  </r>
  <r>
    <x v="0"/>
    <x v="0"/>
    <x v="0"/>
    <x v="6"/>
    <x v="10"/>
    <s v="NO1_A1"/>
    <x v="7"/>
    <s v="GHOB_WOODCHIPS"/>
    <x v="0"/>
    <x v="19"/>
    <n v="40.8037773156273"/>
    <n v="14893.378720204"/>
    <n v="53616.163392734299"/>
  </r>
  <r>
    <x v="0"/>
    <x v="0"/>
    <x v="0"/>
    <x v="6"/>
    <x v="10"/>
    <s v="NO1_A1"/>
    <x v="7"/>
    <s v="GHOB_WOODCHIPS"/>
    <x v="0"/>
    <x v="20"/>
    <n v="35.162535828267103"/>
    <n v="12834.325577317501"/>
    <n v="46203.572078343001"/>
  </r>
  <r>
    <x v="0"/>
    <x v="0"/>
    <x v="0"/>
    <x v="6"/>
    <x v="10"/>
    <s v="NO1_A1"/>
    <x v="7"/>
    <s v="GHOB_WOODCHIPS"/>
    <x v="0"/>
    <x v="21"/>
    <n v="31.125192584849401"/>
    <n v="11360.69529347"/>
    <n v="40898.503056492103"/>
  </r>
  <r>
    <x v="0"/>
    <x v="0"/>
    <x v="0"/>
    <x v="6"/>
    <x v="10"/>
    <s v="NO1_A1"/>
    <x v="7"/>
    <s v="GHOB_WOODCHIPS"/>
    <x v="0"/>
    <x v="22"/>
    <n v="26.295668638734099"/>
    <n v="9597.9190531379409"/>
    <n v="34552.508591296602"/>
  </r>
  <r>
    <x v="0"/>
    <x v="0"/>
    <x v="0"/>
    <x v="6"/>
    <x v="10"/>
    <s v="NO1_A1"/>
    <x v="7"/>
    <s v="GHOB_WOODCHIPS"/>
    <x v="0"/>
    <x v="23"/>
    <n v="26.763099303598999"/>
    <n v="9768.5312458136505"/>
    <n v="35166.712484929099"/>
  </r>
  <r>
    <x v="0"/>
    <x v="0"/>
    <x v="0"/>
    <x v="6"/>
    <x v="10"/>
    <s v="NO1_A1"/>
    <x v="9"/>
    <s v="GHOB_WOODWASTE"/>
    <x v="0"/>
    <x v="0"/>
    <n v="53"/>
    <n v="19345"/>
    <n v="69642"/>
  </r>
  <r>
    <x v="0"/>
    <x v="0"/>
    <x v="0"/>
    <x v="6"/>
    <x v="10"/>
    <s v="NO1_A1"/>
    <x v="9"/>
    <s v="GHOB_WOODWASTE"/>
    <x v="0"/>
    <x v="1"/>
    <n v="53"/>
    <n v="19345"/>
    <n v="69642"/>
  </r>
  <r>
    <x v="0"/>
    <x v="0"/>
    <x v="0"/>
    <x v="6"/>
    <x v="10"/>
    <s v="NO1_A1"/>
    <x v="9"/>
    <s v="GHOB_WOODWASTE"/>
    <x v="0"/>
    <x v="2"/>
    <n v="53"/>
    <n v="19345"/>
    <n v="69642"/>
  </r>
  <r>
    <x v="0"/>
    <x v="0"/>
    <x v="0"/>
    <x v="6"/>
    <x v="10"/>
    <s v="NO1_A1"/>
    <x v="9"/>
    <s v="GHOB_WOODWASTE"/>
    <x v="0"/>
    <x v="3"/>
    <n v="53"/>
    <n v="19345"/>
    <n v="69642"/>
  </r>
  <r>
    <x v="0"/>
    <x v="0"/>
    <x v="0"/>
    <x v="6"/>
    <x v="10"/>
    <s v="NO1_A1"/>
    <x v="9"/>
    <s v="GHOB_WOODWASTE"/>
    <x v="0"/>
    <x v="4"/>
    <n v="53"/>
    <n v="19345"/>
    <n v="69642"/>
  </r>
  <r>
    <x v="0"/>
    <x v="0"/>
    <x v="0"/>
    <x v="6"/>
    <x v="10"/>
    <s v="NO1_A1"/>
    <x v="9"/>
    <s v="GHOB_WOODWASTE"/>
    <x v="0"/>
    <x v="5"/>
    <n v="53"/>
    <n v="19345"/>
    <n v="69642"/>
  </r>
  <r>
    <x v="0"/>
    <x v="0"/>
    <x v="0"/>
    <x v="6"/>
    <x v="10"/>
    <s v="NO1_A1"/>
    <x v="9"/>
    <s v="GHOB_WOODWASTE"/>
    <x v="0"/>
    <x v="6"/>
    <n v="53"/>
    <n v="19345"/>
    <n v="69642"/>
  </r>
  <r>
    <x v="0"/>
    <x v="0"/>
    <x v="0"/>
    <x v="6"/>
    <x v="10"/>
    <s v="NO1_A1"/>
    <x v="9"/>
    <s v="GHOB_WOODWASTE"/>
    <x v="0"/>
    <x v="7"/>
    <n v="53"/>
    <n v="19345"/>
    <n v="69642"/>
  </r>
  <r>
    <x v="0"/>
    <x v="0"/>
    <x v="0"/>
    <x v="6"/>
    <x v="10"/>
    <s v="NO1_A1"/>
    <x v="9"/>
    <s v="GHOB_WOODWASTE"/>
    <x v="0"/>
    <x v="8"/>
    <n v="53"/>
    <n v="19345"/>
    <n v="69642"/>
  </r>
  <r>
    <x v="0"/>
    <x v="0"/>
    <x v="0"/>
    <x v="6"/>
    <x v="10"/>
    <s v="NO1_A1"/>
    <x v="9"/>
    <s v="GHOB_WOODWASTE"/>
    <x v="0"/>
    <x v="9"/>
    <n v="53"/>
    <n v="19345"/>
    <n v="69642"/>
  </r>
  <r>
    <x v="0"/>
    <x v="0"/>
    <x v="0"/>
    <x v="6"/>
    <x v="10"/>
    <s v="NO1_A1"/>
    <x v="9"/>
    <s v="GHOB_WOODWASTE"/>
    <x v="0"/>
    <x v="10"/>
    <n v="53"/>
    <n v="19345"/>
    <n v="69642"/>
  </r>
  <r>
    <x v="0"/>
    <x v="0"/>
    <x v="0"/>
    <x v="6"/>
    <x v="10"/>
    <s v="NO1_A1"/>
    <x v="9"/>
    <s v="GHOB_WOODWASTE"/>
    <x v="0"/>
    <x v="11"/>
    <n v="53"/>
    <n v="19345"/>
    <n v="69642"/>
  </r>
  <r>
    <x v="0"/>
    <x v="0"/>
    <x v="0"/>
    <x v="6"/>
    <x v="10"/>
    <s v="NO1_A1"/>
    <x v="9"/>
    <s v="GHOB_WOODWASTE"/>
    <x v="0"/>
    <x v="12"/>
    <n v="53"/>
    <n v="19345"/>
    <n v="69642"/>
  </r>
  <r>
    <x v="0"/>
    <x v="0"/>
    <x v="0"/>
    <x v="6"/>
    <x v="10"/>
    <s v="NO1_A1"/>
    <x v="9"/>
    <s v="GHOB_WOODWASTE"/>
    <x v="0"/>
    <x v="13"/>
    <n v="53"/>
    <n v="19345"/>
    <n v="69642"/>
  </r>
  <r>
    <x v="0"/>
    <x v="0"/>
    <x v="0"/>
    <x v="6"/>
    <x v="10"/>
    <s v="NO1_A1"/>
    <x v="9"/>
    <s v="GHOB_WOODWASTE"/>
    <x v="0"/>
    <x v="14"/>
    <n v="53"/>
    <n v="19345"/>
    <n v="69642"/>
  </r>
  <r>
    <x v="0"/>
    <x v="0"/>
    <x v="0"/>
    <x v="6"/>
    <x v="10"/>
    <s v="NO1_A1"/>
    <x v="9"/>
    <s v="GHOB_WOODWASTE"/>
    <x v="0"/>
    <x v="15"/>
    <n v="53"/>
    <n v="19345"/>
    <n v="69642"/>
  </r>
  <r>
    <x v="0"/>
    <x v="0"/>
    <x v="0"/>
    <x v="6"/>
    <x v="10"/>
    <s v="NO1_A1"/>
    <x v="9"/>
    <s v="GHOB_WOODWASTE"/>
    <x v="0"/>
    <x v="16"/>
    <n v="53"/>
    <n v="19345"/>
    <n v="69642"/>
  </r>
  <r>
    <x v="0"/>
    <x v="0"/>
    <x v="0"/>
    <x v="6"/>
    <x v="10"/>
    <s v="NO1_A1"/>
    <x v="9"/>
    <s v="GHOB_WOODWASTE"/>
    <x v="0"/>
    <x v="17"/>
    <n v="53"/>
    <n v="19345"/>
    <n v="69642"/>
  </r>
  <r>
    <x v="0"/>
    <x v="0"/>
    <x v="0"/>
    <x v="6"/>
    <x v="10"/>
    <s v="NO1_A1"/>
    <x v="9"/>
    <s v="GHOB_WOODWASTE"/>
    <x v="0"/>
    <x v="18"/>
    <n v="53"/>
    <n v="19345"/>
    <n v="69642"/>
  </r>
  <r>
    <x v="0"/>
    <x v="0"/>
    <x v="0"/>
    <x v="6"/>
    <x v="10"/>
    <s v="NO1_A1"/>
    <x v="9"/>
    <s v="GHOB_WOODWASTE"/>
    <x v="0"/>
    <x v="19"/>
    <n v="53"/>
    <n v="19345"/>
    <n v="69642"/>
  </r>
  <r>
    <x v="0"/>
    <x v="0"/>
    <x v="0"/>
    <x v="6"/>
    <x v="10"/>
    <s v="NO1_A1"/>
    <x v="9"/>
    <s v="GHOB_WOODWASTE"/>
    <x v="0"/>
    <x v="20"/>
    <n v="53"/>
    <n v="19345"/>
    <n v="69642"/>
  </r>
  <r>
    <x v="0"/>
    <x v="0"/>
    <x v="0"/>
    <x v="6"/>
    <x v="10"/>
    <s v="NO1_A1"/>
    <x v="9"/>
    <s v="GHOB_WOODWASTE"/>
    <x v="0"/>
    <x v="21"/>
    <n v="53"/>
    <n v="19345"/>
    <n v="69642"/>
  </r>
  <r>
    <x v="0"/>
    <x v="0"/>
    <x v="0"/>
    <x v="6"/>
    <x v="10"/>
    <s v="NO1_A1"/>
    <x v="9"/>
    <s v="GHOB_WOODWASTE"/>
    <x v="0"/>
    <x v="22"/>
    <n v="53"/>
    <n v="19345"/>
    <n v="69642"/>
  </r>
  <r>
    <x v="0"/>
    <x v="0"/>
    <x v="0"/>
    <x v="6"/>
    <x v="10"/>
    <s v="NO1_A1"/>
    <x v="9"/>
    <s v="GHOB_WOODWASTE"/>
    <x v="0"/>
    <x v="23"/>
    <n v="53"/>
    <n v="19345"/>
    <n v="69642"/>
  </r>
  <r>
    <x v="0"/>
    <x v="0"/>
    <x v="0"/>
    <x v="6"/>
    <x v="10"/>
    <s v="NO1_A2"/>
    <x v="1"/>
    <s v="GHOB_BIOOIL"/>
    <x v="0"/>
    <x v="0"/>
    <n v="16.484206113382999"/>
    <n v="6016.7352313848096"/>
    <n v="21660.2468329853"/>
  </r>
  <r>
    <x v="0"/>
    <x v="0"/>
    <x v="0"/>
    <x v="6"/>
    <x v="10"/>
    <s v="NO1_A2"/>
    <x v="1"/>
    <s v="GHOB_BIOOIL"/>
    <x v="0"/>
    <x v="1"/>
    <n v="17.614275862251699"/>
    <n v="6429.21068972186"/>
    <n v="23145.1584829987"/>
  </r>
  <r>
    <x v="0"/>
    <x v="0"/>
    <x v="0"/>
    <x v="6"/>
    <x v="10"/>
    <s v="NO1_A2"/>
    <x v="1"/>
    <s v="GHOB_BIOOIL"/>
    <x v="0"/>
    <x v="2"/>
    <n v="19.6201843862098"/>
    <n v="7161.3673009665599"/>
    <n v="25780.922283479598"/>
  </r>
  <r>
    <x v="0"/>
    <x v="0"/>
    <x v="0"/>
    <x v="6"/>
    <x v="10"/>
    <s v="NO1_A2"/>
    <x v="1"/>
    <s v="GHOB_BIOOIL"/>
    <x v="0"/>
    <x v="3"/>
    <n v="27.7960797419932"/>
    <n v="10145.569105827501"/>
    <n v="36524.048780979101"/>
  </r>
  <r>
    <x v="0"/>
    <x v="0"/>
    <x v="0"/>
    <x v="6"/>
    <x v="10"/>
    <s v="NO1_A2"/>
    <x v="1"/>
    <s v="GHOB_BIOOIL"/>
    <x v="0"/>
    <x v="4"/>
    <n v="40.795173291969803"/>
    <n v="14890.238251569001"/>
    <n v="53604.857705648297"/>
  </r>
  <r>
    <x v="0"/>
    <x v="0"/>
    <x v="0"/>
    <x v="6"/>
    <x v="10"/>
    <s v="NO1_A2"/>
    <x v="1"/>
    <s v="GHOB_BIOOIL"/>
    <x v="0"/>
    <x v="5"/>
    <n v="53.482133538661799"/>
    <n v="19520.978741611601"/>
    <n v="70275.523469801701"/>
  </r>
  <r>
    <x v="0"/>
    <x v="0"/>
    <x v="0"/>
    <x v="6"/>
    <x v="10"/>
    <s v="NO1_A2"/>
    <x v="1"/>
    <s v="GHOB_BIOOIL"/>
    <x v="0"/>
    <x v="6"/>
    <n v="85.620411407531904"/>
    <n v="31251.450163749199"/>
    <n v="112505.220589497"/>
  </r>
  <r>
    <x v="0"/>
    <x v="0"/>
    <x v="0"/>
    <x v="6"/>
    <x v="10"/>
    <s v="NO1_A2"/>
    <x v="1"/>
    <s v="GHOB_BIOOIL"/>
    <x v="0"/>
    <x v="7"/>
    <n v="107.963315072716"/>
    <n v="39406.610001541303"/>
    <n v="141863.796005549"/>
  </r>
  <r>
    <x v="0"/>
    <x v="0"/>
    <x v="0"/>
    <x v="6"/>
    <x v="10"/>
    <s v="NO1_A2"/>
    <x v="1"/>
    <s v="GHOB_BIOOIL"/>
    <x v="0"/>
    <x v="8"/>
    <n v="108.588962311347"/>
    <n v="39634.971243641798"/>
    <n v="142685.89647711001"/>
  </r>
  <r>
    <x v="0"/>
    <x v="0"/>
    <x v="0"/>
    <x v="6"/>
    <x v="10"/>
    <s v="NO1_A2"/>
    <x v="1"/>
    <s v="GHOB_BIOOIL"/>
    <x v="0"/>
    <x v="9"/>
    <n v="102.575415649543"/>
    <n v="37440.026712083301"/>
    <n v="134784.09616350001"/>
  </r>
  <r>
    <x v="0"/>
    <x v="0"/>
    <x v="0"/>
    <x v="6"/>
    <x v="10"/>
    <s v="NO1_A2"/>
    <x v="1"/>
    <s v="GHOB_BIOOIL"/>
    <x v="0"/>
    <x v="10"/>
    <n v="93.191785444505101"/>
    <n v="34015.001687244301"/>
    <n v="122454.00607408"/>
  </r>
  <r>
    <x v="0"/>
    <x v="0"/>
    <x v="0"/>
    <x v="6"/>
    <x v="10"/>
    <s v="NO1_A2"/>
    <x v="1"/>
    <s v="GHOB_BIOOIL"/>
    <x v="0"/>
    <x v="11"/>
    <n v="86.553505478354097"/>
    <n v="31592.029499599299"/>
    <n v="113731.30619855699"/>
  </r>
  <r>
    <x v="0"/>
    <x v="0"/>
    <x v="0"/>
    <x v="6"/>
    <x v="10"/>
    <s v="NO1_A2"/>
    <x v="1"/>
    <s v="GHOB_BIOOIL"/>
    <x v="0"/>
    <x v="12"/>
    <n v="80.435294430798606"/>
    <n v="29358.882467241499"/>
    <n v="105691.97688206899"/>
  </r>
  <r>
    <x v="0"/>
    <x v="0"/>
    <x v="0"/>
    <x v="6"/>
    <x v="10"/>
    <s v="NO1_A2"/>
    <x v="1"/>
    <s v="GHOB_BIOOIL"/>
    <x v="0"/>
    <x v="13"/>
    <n v="76.217142438661398"/>
    <n v="27819.2569901114"/>
    <n v="100149.325164401"/>
  </r>
  <r>
    <x v="0"/>
    <x v="0"/>
    <x v="0"/>
    <x v="6"/>
    <x v="10"/>
    <s v="NO1_A2"/>
    <x v="1"/>
    <s v="GHOB_BIOOIL"/>
    <x v="0"/>
    <x v="14"/>
    <n v="70.785734851588799"/>
    <n v="25836.793220829899"/>
    <n v="93012.455594987594"/>
  </r>
  <r>
    <x v="0"/>
    <x v="0"/>
    <x v="0"/>
    <x v="6"/>
    <x v="10"/>
    <s v="NO1_A2"/>
    <x v="1"/>
    <s v="GHOB_BIOOIL"/>
    <x v="0"/>
    <x v="15"/>
    <n v="65.765701157586903"/>
    <n v="24004.4809225192"/>
    <n v="86416.131321069202"/>
  </r>
  <r>
    <x v="0"/>
    <x v="0"/>
    <x v="0"/>
    <x v="6"/>
    <x v="10"/>
    <s v="NO1_A2"/>
    <x v="1"/>
    <s v="GHOB_BIOOIL"/>
    <x v="0"/>
    <x v="16"/>
    <n v="50.0591575701472"/>
    <n v="18271.5925131037"/>
    <n v="65777.733047173402"/>
  </r>
  <r>
    <x v="0"/>
    <x v="0"/>
    <x v="0"/>
    <x v="6"/>
    <x v="10"/>
    <s v="NO1_A2"/>
    <x v="1"/>
    <s v="GHOB_BIOOIL"/>
    <x v="0"/>
    <x v="17"/>
    <n v="37.875019497250101"/>
    <n v="13824.382116496299"/>
    <n v="49767.775619386601"/>
  </r>
  <r>
    <x v="0"/>
    <x v="0"/>
    <x v="0"/>
    <x v="6"/>
    <x v="10"/>
    <s v="NO1_A2"/>
    <x v="1"/>
    <s v="GHOB_BIOOIL"/>
    <x v="0"/>
    <x v="18"/>
    <n v="30.129910732620399"/>
    <n v="10997.417417406399"/>
    <n v="39590.702702663199"/>
  </r>
  <r>
    <x v="0"/>
    <x v="0"/>
    <x v="0"/>
    <x v="6"/>
    <x v="10"/>
    <s v="NO1_A2"/>
    <x v="1"/>
    <s v="GHOB_BIOOIL"/>
    <x v="0"/>
    <x v="19"/>
    <n v="22.5143448404636"/>
    <n v="8217.7358667692206"/>
    <n v="29583.849120369199"/>
  </r>
  <r>
    <x v="0"/>
    <x v="0"/>
    <x v="0"/>
    <x v="6"/>
    <x v="10"/>
    <s v="NO1_A2"/>
    <x v="1"/>
    <s v="GHOB_BIOOIL"/>
    <x v="0"/>
    <x v="20"/>
    <n v="16.760057981579401"/>
    <n v="6117.42116327648"/>
    <n v="22022.7161877953"/>
  </r>
  <r>
    <x v="0"/>
    <x v="0"/>
    <x v="0"/>
    <x v="6"/>
    <x v="10"/>
    <s v="NO1_A2"/>
    <x v="1"/>
    <s v="GHOB_BIOOIL"/>
    <x v="0"/>
    <x v="21"/>
    <n v="10.748563363269399"/>
    <n v="3923.22562759332"/>
    <n v="14123.6122593359"/>
  </r>
  <r>
    <x v="0"/>
    <x v="0"/>
    <x v="0"/>
    <x v="6"/>
    <x v="10"/>
    <s v="NO1_A2"/>
    <x v="1"/>
    <s v="GHOB_BIOOIL"/>
    <x v="0"/>
    <x v="22"/>
    <n v="4.3817702296173202"/>
    <n v="1599.34613381032"/>
    <n v="5757.6460817171601"/>
  </r>
  <r>
    <x v="0"/>
    <x v="0"/>
    <x v="0"/>
    <x v="6"/>
    <x v="10"/>
    <s v="NO1_A2"/>
    <x v="1"/>
    <s v="GHOB_BIOOIL"/>
    <x v="0"/>
    <x v="23"/>
    <n v="1.0168435606778601"/>
    <n v="371.14789964741999"/>
    <n v="1336.13243873071"/>
  </r>
  <r>
    <x v="0"/>
    <x v="0"/>
    <x v="0"/>
    <x v="6"/>
    <x v="10"/>
    <s v="NO1_A2"/>
    <x v="3"/>
    <s v="GBPR_MUNIWASTE"/>
    <x v="0"/>
    <x v="0"/>
    <n v="35.784946236558703"/>
    <n v="13061.505376343899"/>
    <n v="47021.419354838203"/>
  </r>
  <r>
    <x v="0"/>
    <x v="0"/>
    <x v="0"/>
    <x v="6"/>
    <x v="10"/>
    <s v="NO1_A2"/>
    <x v="3"/>
    <s v="GBPR_MUNIWASTE"/>
    <x v="0"/>
    <x v="1"/>
    <n v="35.784946236558703"/>
    <n v="13061.505376343899"/>
    <n v="47021.419354838203"/>
  </r>
  <r>
    <x v="0"/>
    <x v="0"/>
    <x v="0"/>
    <x v="6"/>
    <x v="10"/>
    <s v="NO1_A2"/>
    <x v="3"/>
    <s v="GBPR_MUNIWASTE"/>
    <x v="0"/>
    <x v="2"/>
    <n v="35.784946236558703"/>
    <n v="13061.505376343899"/>
    <n v="47021.419354838203"/>
  </r>
  <r>
    <x v="0"/>
    <x v="0"/>
    <x v="0"/>
    <x v="6"/>
    <x v="10"/>
    <s v="NO1_A2"/>
    <x v="3"/>
    <s v="GBPR_MUNIWASTE"/>
    <x v="0"/>
    <x v="3"/>
    <n v="35.784946236558703"/>
    <n v="13061.505376343899"/>
    <n v="47021.419354838203"/>
  </r>
  <r>
    <x v="0"/>
    <x v="0"/>
    <x v="0"/>
    <x v="6"/>
    <x v="10"/>
    <s v="NO1_A2"/>
    <x v="3"/>
    <s v="GBPR_MUNIWASTE"/>
    <x v="0"/>
    <x v="4"/>
    <n v="35.784946236558703"/>
    <n v="13061.505376343899"/>
    <n v="47021.419354838203"/>
  </r>
  <r>
    <x v="0"/>
    <x v="0"/>
    <x v="0"/>
    <x v="6"/>
    <x v="10"/>
    <s v="NO1_A2"/>
    <x v="3"/>
    <s v="GBPR_MUNIWASTE"/>
    <x v="0"/>
    <x v="5"/>
    <n v="35.784946236558703"/>
    <n v="13061.505376343899"/>
    <n v="47021.419354838203"/>
  </r>
  <r>
    <x v="0"/>
    <x v="0"/>
    <x v="0"/>
    <x v="6"/>
    <x v="10"/>
    <s v="NO1_A2"/>
    <x v="3"/>
    <s v="GBPR_MUNIWASTE"/>
    <x v="0"/>
    <x v="6"/>
    <n v="35.784946236558703"/>
    <n v="13061.505376343899"/>
    <n v="47021.419354838203"/>
  </r>
  <r>
    <x v="0"/>
    <x v="0"/>
    <x v="0"/>
    <x v="6"/>
    <x v="10"/>
    <s v="NO1_A2"/>
    <x v="3"/>
    <s v="GBPR_MUNIWASTE"/>
    <x v="0"/>
    <x v="7"/>
    <n v="35.784946236558703"/>
    <n v="13061.505376343899"/>
    <n v="47021.419354838203"/>
  </r>
  <r>
    <x v="0"/>
    <x v="0"/>
    <x v="0"/>
    <x v="6"/>
    <x v="10"/>
    <s v="NO1_A2"/>
    <x v="3"/>
    <s v="GBPR_MUNIWASTE"/>
    <x v="0"/>
    <x v="8"/>
    <n v="35.784946236558703"/>
    <n v="13061.505376343899"/>
    <n v="47021.419354838203"/>
  </r>
  <r>
    <x v="0"/>
    <x v="0"/>
    <x v="0"/>
    <x v="6"/>
    <x v="10"/>
    <s v="NO1_A2"/>
    <x v="3"/>
    <s v="GBPR_MUNIWASTE"/>
    <x v="0"/>
    <x v="9"/>
    <n v="35.784946236558703"/>
    <n v="13061.505376343899"/>
    <n v="47021.419354838203"/>
  </r>
  <r>
    <x v="0"/>
    <x v="0"/>
    <x v="0"/>
    <x v="6"/>
    <x v="10"/>
    <s v="NO1_A2"/>
    <x v="3"/>
    <s v="GBPR_MUNIWASTE"/>
    <x v="0"/>
    <x v="10"/>
    <n v="35.784946236558703"/>
    <n v="13061.505376343899"/>
    <n v="47021.419354838203"/>
  </r>
  <r>
    <x v="0"/>
    <x v="0"/>
    <x v="0"/>
    <x v="6"/>
    <x v="10"/>
    <s v="NO1_A2"/>
    <x v="3"/>
    <s v="GBPR_MUNIWASTE"/>
    <x v="0"/>
    <x v="11"/>
    <n v="35.784946236558703"/>
    <n v="13061.505376343899"/>
    <n v="47021.419354838203"/>
  </r>
  <r>
    <x v="0"/>
    <x v="0"/>
    <x v="0"/>
    <x v="6"/>
    <x v="10"/>
    <s v="NO1_A2"/>
    <x v="3"/>
    <s v="GBPR_MUNIWASTE"/>
    <x v="0"/>
    <x v="12"/>
    <n v="35.784946236558703"/>
    <n v="13061.505376343899"/>
    <n v="47021.419354838203"/>
  </r>
  <r>
    <x v="0"/>
    <x v="0"/>
    <x v="0"/>
    <x v="6"/>
    <x v="10"/>
    <s v="NO1_A2"/>
    <x v="3"/>
    <s v="GBPR_MUNIWASTE"/>
    <x v="0"/>
    <x v="13"/>
    <n v="35.784946236558703"/>
    <n v="13061.505376343899"/>
    <n v="47021.419354838203"/>
  </r>
  <r>
    <x v="0"/>
    <x v="0"/>
    <x v="0"/>
    <x v="6"/>
    <x v="10"/>
    <s v="NO1_A2"/>
    <x v="3"/>
    <s v="GBPR_MUNIWASTE"/>
    <x v="0"/>
    <x v="14"/>
    <n v="35.784946236558703"/>
    <n v="13061.505376343899"/>
    <n v="47021.419354838203"/>
  </r>
  <r>
    <x v="0"/>
    <x v="0"/>
    <x v="0"/>
    <x v="6"/>
    <x v="10"/>
    <s v="NO1_A2"/>
    <x v="3"/>
    <s v="GBPR_MUNIWASTE"/>
    <x v="0"/>
    <x v="15"/>
    <n v="35.784946236558703"/>
    <n v="13061.505376343899"/>
    <n v="47021.419354838203"/>
  </r>
  <r>
    <x v="0"/>
    <x v="0"/>
    <x v="0"/>
    <x v="6"/>
    <x v="10"/>
    <s v="NO1_A2"/>
    <x v="3"/>
    <s v="GBPR_MUNIWASTE"/>
    <x v="0"/>
    <x v="16"/>
    <n v="35.784946236558703"/>
    <n v="13061.505376343899"/>
    <n v="47021.419354838203"/>
  </r>
  <r>
    <x v="0"/>
    <x v="0"/>
    <x v="0"/>
    <x v="6"/>
    <x v="10"/>
    <s v="NO1_A2"/>
    <x v="3"/>
    <s v="GBPR_MUNIWASTE"/>
    <x v="0"/>
    <x v="17"/>
    <n v="35.784946236558703"/>
    <n v="13061.505376343899"/>
    <n v="47021.419354838203"/>
  </r>
  <r>
    <x v="0"/>
    <x v="0"/>
    <x v="0"/>
    <x v="6"/>
    <x v="10"/>
    <s v="NO1_A2"/>
    <x v="3"/>
    <s v="GBPR_MUNIWASTE"/>
    <x v="0"/>
    <x v="18"/>
    <n v="35.784946236558703"/>
    <n v="13061.505376343899"/>
    <n v="47021.419354838203"/>
  </r>
  <r>
    <x v="0"/>
    <x v="0"/>
    <x v="0"/>
    <x v="6"/>
    <x v="10"/>
    <s v="NO1_A2"/>
    <x v="3"/>
    <s v="GBPR_MUNIWASTE"/>
    <x v="0"/>
    <x v="19"/>
    <n v="35.784946236558703"/>
    <n v="13061.505376343899"/>
    <n v="47021.419354838203"/>
  </r>
  <r>
    <x v="0"/>
    <x v="0"/>
    <x v="0"/>
    <x v="6"/>
    <x v="10"/>
    <s v="NO1_A2"/>
    <x v="3"/>
    <s v="GBPR_MUNIWASTE"/>
    <x v="0"/>
    <x v="20"/>
    <n v="35.784946236558703"/>
    <n v="13061.505376343899"/>
    <n v="47021.419354838203"/>
  </r>
  <r>
    <x v="0"/>
    <x v="0"/>
    <x v="0"/>
    <x v="6"/>
    <x v="10"/>
    <s v="NO1_A2"/>
    <x v="3"/>
    <s v="GBPR_MUNIWASTE"/>
    <x v="0"/>
    <x v="21"/>
    <n v="35.784946236558703"/>
    <n v="13061.505376343899"/>
    <n v="47021.419354838203"/>
  </r>
  <r>
    <x v="0"/>
    <x v="0"/>
    <x v="0"/>
    <x v="6"/>
    <x v="10"/>
    <s v="NO1_A2"/>
    <x v="3"/>
    <s v="GBPR_MUNIWASTE"/>
    <x v="0"/>
    <x v="22"/>
    <n v="35.784946236558703"/>
    <n v="13061.505376343899"/>
    <n v="47021.419354838203"/>
  </r>
  <r>
    <x v="0"/>
    <x v="0"/>
    <x v="0"/>
    <x v="6"/>
    <x v="10"/>
    <s v="NO1_A2"/>
    <x v="3"/>
    <s v="GBPR_MUNIWASTE"/>
    <x v="0"/>
    <x v="23"/>
    <n v="35.784946236558703"/>
    <n v="13061.505376343899"/>
    <n v="47021.419354838203"/>
  </r>
  <r>
    <x v="0"/>
    <x v="0"/>
    <x v="0"/>
    <x v="6"/>
    <x v="10"/>
    <s v="NO1_A2"/>
    <x v="3"/>
    <s v="GHOB_MUNIWASTE"/>
    <x v="0"/>
    <x v="0"/>
    <n v="32"/>
    <n v="11680"/>
    <n v="42048"/>
  </r>
  <r>
    <x v="0"/>
    <x v="0"/>
    <x v="0"/>
    <x v="6"/>
    <x v="10"/>
    <s v="NO1_A2"/>
    <x v="3"/>
    <s v="GHOB_MUNIWASTE"/>
    <x v="0"/>
    <x v="1"/>
    <n v="32"/>
    <n v="11680"/>
    <n v="42048"/>
  </r>
  <r>
    <x v="0"/>
    <x v="0"/>
    <x v="0"/>
    <x v="6"/>
    <x v="10"/>
    <s v="NO1_A2"/>
    <x v="3"/>
    <s v="GHOB_MUNIWASTE"/>
    <x v="0"/>
    <x v="2"/>
    <n v="32"/>
    <n v="11680"/>
    <n v="42048"/>
  </r>
  <r>
    <x v="0"/>
    <x v="0"/>
    <x v="0"/>
    <x v="6"/>
    <x v="10"/>
    <s v="NO1_A2"/>
    <x v="3"/>
    <s v="GHOB_MUNIWASTE"/>
    <x v="0"/>
    <x v="3"/>
    <n v="32"/>
    <n v="11680"/>
    <n v="42048"/>
  </r>
  <r>
    <x v="0"/>
    <x v="0"/>
    <x v="0"/>
    <x v="6"/>
    <x v="10"/>
    <s v="NO1_A2"/>
    <x v="3"/>
    <s v="GHOB_MUNIWASTE"/>
    <x v="0"/>
    <x v="4"/>
    <n v="32"/>
    <n v="11680"/>
    <n v="42048"/>
  </r>
  <r>
    <x v="0"/>
    <x v="0"/>
    <x v="0"/>
    <x v="6"/>
    <x v="10"/>
    <s v="NO1_A2"/>
    <x v="3"/>
    <s v="GHOB_MUNIWASTE"/>
    <x v="0"/>
    <x v="5"/>
    <n v="32"/>
    <n v="11680"/>
    <n v="42048"/>
  </r>
  <r>
    <x v="0"/>
    <x v="0"/>
    <x v="0"/>
    <x v="6"/>
    <x v="10"/>
    <s v="NO1_A2"/>
    <x v="3"/>
    <s v="GHOB_MUNIWASTE"/>
    <x v="0"/>
    <x v="6"/>
    <n v="32"/>
    <n v="11680"/>
    <n v="42048"/>
  </r>
  <r>
    <x v="0"/>
    <x v="0"/>
    <x v="0"/>
    <x v="6"/>
    <x v="10"/>
    <s v="NO1_A2"/>
    <x v="3"/>
    <s v="GHOB_MUNIWASTE"/>
    <x v="0"/>
    <x v="7"/>
    <n v="32"/>
    <n v="11680"/>
    <n v="42048"/>
  </r>
  <r>
    <x v="0"/>
    <x v="0"/>
    <x v="0"/>
    <x v="6"/>
    <x v="10"/>
    <s v="NO1_A2"/>
    <x v="3"/>
    <s v="GHOB_MUNIWASTE"/>
    <x v="0"/>
    <x v="8"/>
    <n v="32"/>
    <n v="11680"/>
    <n v="42048"/>
  </r>
  <r>
    <x v="0"/>
    <x v="0"/>
    <x v="0"/>
    <x v="6"/>
    <x v="10"/>
    <s v="NO1_A2"/>
    <x v="3"/>
    <s v="GHOB_MUNIWASTE"/>
    <x v="0"/>
    <x v="9"/>
    <n v="32"/>
    <n v="11680"/>
    <n v="42048"/>
  </r>
  <r>
    <x v="0"/>
    <x v="0"/>
    <x v="0"/>
    <x v="6"/>
    <x v="10"/>
    <s v="NO1_A2"/>
    <x v="3"/>
    <s v="GHOB_MUNIWASTE"/>
    <x v="0"/>
    <x v="10"/>
    <n v="32"/>
    <n v="11680"/>
    <n v="42048"/>
  </r>
  <r>
    <x v="0"/>
    <x v="0"/>
    <x v="0"/>
    <x v="6"/>
    <x v="10"/>
    <s v="NO1_A2"/>
    <x v="3"/>
    <s v="GHOB_MUNIWASTE"/>
    <x v="0"/>
    <x v="11"/>
    <n v="32"/>
    <n v="11680"/>
    <n v="42048"/>
  </r>
  <r>
    <x v="0"/>
    <x v="0"/>
    <x v="0"/>
    <x v="6"/>
    <x v="10"/>
    <s v="NO1_A2"/>
    <x v="3"/>
    <s v="GHOB_MUNIWASTE"/>
    <x v="0"/>
    <x v="12"/>
    <n v="32"/>
    <n v="11680"/>
    <n v="42048"/>
  </r>
  <r>
    <x v="0"/>
    <x v="0"/>
    <x v="0"/>
    <x v="6"/>
    <x v="10"/>
    <s v="NO1_A2"/>
    <x v="3"/>
    <s v="GHOB_MUNIWASTE"/>
    <x v="0"/>
    <x v="13"/>
    <n v="32"/>
    <n v="11680"/>
    <n v="42048"/>
  </r>
  <r>
    <x v="0"/>
    <x v="0"/>
    <x v="0"/>
    <x v="6"/>
    <x v="10"/>
    <s v="NO1_A2"/>
    <x v="3"/>
    <s v="GHOB_MUNIWASTE"/>
    <x v="0"/>
    <x v="14"/>
    <n v="32"/>
    <n v="11680"/>
    <n v="42048"/>
  </r>
  <r>
    <x v="0"/>
    <x v="0"/>
    <x v="0"/>
    <x v="6"/>
    <x v="10"/>
    <s v="NO1_A2"/>
    <x v="3"/>
    <s v="GHOB_MUNIWASTE"/>
    <x v="0"/>
    <x v="15"/>
    <n v="32"/>
    <n v="11680"/>
    <n v="42048"/>
  </r>
  <r>
    <x v="0"/>
    <x v="0"/>
    <x v="0"/>
    <x v="6"/>
    <x v="10"/>
    <s v="NO1_A2"/>
    <x v="3"/>
    <s v="GHOB_MUNIWASTE"/>
    <x v="0"/>
    <x v="16"/>
    <n v="32"/>
    <n v="11680"/>
    <n v="42048"/>
  </r>
  <r>
    <x v="0"/>
    <x v="0"/>
    <x v="0"/>
    <x v="6"/>
    <x v="10"/>
    <s v="NO1_A2"/>
    <x v="3"/>
    <s v="GHOB_MUNIWASTE"/>
    <x v="0"/>
    <x v="17"/>
    <n v="32"/>
    <n v="11680"/>
    <n v="42048"/>
  </r>
  <r>
    <x v="0"/>
    <x v="0"/>
    <x v="0"/>
    <x v="6"/>
    <x v="10"/>
    <s v="NO1_A2"/>
    <x v="3"/>
    <s v="GHOB_MUNIWASTE"/>
    <x v="0"/>
    <x v="18"/>
    <n v="32"/>
    <n v="11680"/>
    <n v="42048"/>
  </r>
  <r>
    <x v="0"/>
    <x v="0"/>
    <x v="0"/>
    <x v="6"/>
    <x v="10"/>
    <s v="NO1_A2"/>
    <x v="3"/>
    <s v="GHOB_MUNIWASTE"/>
    <x v="0"/>
    <x v="19"/>
    <n v="32"/>
    <n v="11680"/>
    <n v="42048"/>
  </r>
  <r>
    <x v="0"/>
    <x v="0"/>
    <x v="0"/>
    <x v="6"/>
    <x v="10"/>
    <s v="NO1_A2"/>
    <x v="3"/>
    <s v="GHOB_MUNIWASTE"/>
    <x v="0"/>
    <x v="20"/>
    <n v="32"/>
    <n v="11680"/>
    <n v="42048"/>
  </r>
  <r>
    <x v="0"/>
    <x v="0"/>
    <x v="0"/>
    <x v="6"/>
    <x v="10"/>
    <s v="NO1_A2"/>
    <x v="3"/>
    <s v="GHOB_MUNIWASTE"/>
    <x v="0"/>
    <x v="21"/>
    <n v="32"/>
    <n v="11680"/>
    <n v="42048"/>
  </r>
  <r>
    <x v="0"/>
    <x v="0"/>
    <x v="0"/>
    <x v="6"/>
    <x v="10"/>
    <s v="NO1_A2"/>
    <x v="3"/>
    <s v="GHOB_MUNIWASTE"/>
    <x v="0"/>
    <x v="22"/>
    <n v="32"/>
    <n v="11680"/>
    <n v="42048"/>
  </r>
  <r>
    <x v="0"/>
    <x v="0"/>
    <x v="0"/>
    <x v="6"/>
    <x v="10"/>
    <s v="NO1_A2"/>
    <x v="3"/>
    <s v="GHOB_MUNIWASTE"/>
    <x v="0"/>
    <x v="23"/>
    <n v="32"/>
    <n v="11680"/>
    <n v="42048"/>
  </r>
  <r>
    <x v="0"/>
    <x v="0"/>
    <x v="0"/>
    <x v="6"/>
    <x v="10"/>
    <s v="NO1_A2"/>
    <x v="8"/>
    <s v="GHOB_WOODPELLETS"/>
    <x v="0"/>
    <x v="0"/>
    <n v="56"/>
    <n v="20440"/>
    <n v="73584"/>
  </r>
  <r>
    <x v="0"/>
    <x v="0"/>
    <x v="0"/>
    <x v="6"/>
    <x v="10"/>
    <s v="NO1_A2"/>
    <x v="8"/>
    <s v="GHOB_WOODPELLETS"/>
    <x v="0"/>
    <x v="1"/>
    <n v="56"/>
    <n v="20440"/>
    <n v="73584"/>
  </r>
  <r>
    <x v="0"/>
    <x v="0"/>
    <x v="0"/>
    <x v="6"/>
    <x v="10"/>
    <s v="NO1_A2"/>
    <x v="8"/>
    <s v="GHOB_WOODPELLETS"/>
    <x v="0"/>
    <x v="2"/>
    <n v="56"/>
    <n v="20440"/>
    <n v="73584"/>
  </r>
  <r>
    <x v="0"/>
    <x v="0"/>
    <x v="0"/>
    <x v="6"/>
    <x v="10"/>
    <s v="NO1_A2"/>
    <x v="8"/>
    <s v="GHOB_WOODPELLETS"/>
    <x v="0"/>
    <x v="3"/>
    <n v="56"/>
    <n v="20440"/>
    <n v="73584"/>
  </r>
  <r>
    <x v="0"/>
    <x v="0"/>
    <x v="0"/>
    <x v="6"/>
    <x v="10"/>
    <s v="NO1_A2"/>
    <x v="8"/>
    <s v="GHOB_WOODPELLETS"/>
    <x v="0"/>
    <x v="4"/>
    <n v="56"/>
    <n v="20440"/>
    <n v="73584"/>
  </r>
  <r>
    <x v="0"/>
    <x v="0"/>
    <x v="0"/>
    <x v="6"/>
    <x v="10"/>
    <s v="NO1_A2"/>
    <x v="8"/>
    <s v="GHOB_WOODPELLETS"/>
    <x v="0"/>
    <x v="5"/>
    <n v="56"/>
    <n v="20440"/>
    <n v="73584"/>
  </r>
  <r>
    <x v="0"/>
    <x v="0"/>
    <x v="0"/>
    <x v="6"/>
    <x v="10"/>
    <s v="NO1_A2"/>
    <x v="8"/>
    <s v="GHOB_WOODPELLETS"/>
    <x v="0"/>
    <x v="6"/>
    <n v="56"/>
    <n v="20440"/>
    <n v="73584"/>
  </r>
  <r>
    <x v="0"/>
    <x v="0"/>
    <x v="0"/>
    <x v="6"/>
    <x v="10"/>
    <s v="NO1_A2"/>
    <x v="8"/>
    <s v="GHOB_WOODPELLETS"/>
    <x v="0"/>
    <x v="7"/>
    <n v="56"/>
    <n v="20440"/>
    <n v="73584"/>
  </r>
  <r>
    <x v="0"/>
    <x v="0"/>
    <x v="0"/>
    <x v="6"/>
    <x v="10"/>
    <s v="NO1_A2"/>
    <x v="8"/>
    <s v="GHOB_WOODPELLETS"/>
    <x v="0"/>
    <x v="8"/>
    <n v="56"/>
    <n v="20440"/>
    <n v="73584"/>
  </r>
  <r>
    <x v="0"/>
    <x v="0"/>
    <x v="0"/>
    <x v="6"/>
    <x v="10"/>
    <s v="NO1_A2"/>
    <x v="8"/>
    <s v="GHOB_WOODPELLETS"/>
    <x v="0"/>
    <x v="9"/>
    <n v="56"/>
    <n v="20440"/>
    <n v="73584"/>
  </r>
  <r>
    <x v="0"/>
    <x v="0"/>
    <x v="0"/>
    <x v="6"/>
    <x v="10"/>
    <s v="NO1_A2"/>
    <x v="8"/>
    <s v="GHOB_WOODPELLETS"/>
    <x v="0"/>
    <x v="10"/>
    <n v="56"/>
    <n v="20440"/>
    <n v="73584"/>
  </r>
  <r>
    <x v="0"/>
    <x v="0"/>
    <x v="0"/>
    <x v="6"/>
    <x v="10"/>
    <s v="NO1_A2"/>
    <x v="8"/>
    <s v="GHOB_WOODPELLETS"/>
    <x v="0"/>
    <x v="11"/>
    <n v="56"/>
    <n v="20440"/>
    <n v="73584"/>
  </r>
  <r>
    <x v="0"/>
    <x v="0"/>
    <x v="0"/>
    <x v="6"/>
    <x v="10"/>
    <s v="NO1_A2"/>
    <x v="8"/>
    <s v="GHOB_WOODPELLETS"/>
    <x v="0"/>
    <x v="12"/>
    <n v="56"/>
    <n v="20440"/>
    <n v="73584"/>
  </r>
  <r>
    <x v="0"/>
    <x v="0"/>
    <x v="0"/>
    <x v="6"/>
    <x v="10"/>
    <s v="NO1_A2"/>
    <x v="8"/>
    <s v="GHOB_WOODPELLETS"/>
    <x v="0"/>
    <x v="13"/>
    <n v="56"/>
    <n v="20440"/>
    <n v="73584"/>
  </r>
  <r>
    <x v="0"/>
    <x v="0"/>
    <x v="0"/>
    <x v="6"/>
    <x v="10"/>
    <s v="NO1_A2"/>
    <x v="8"/>
    <s v="GHOB_WOODPELLETS"/>
    <x v="0"/>
    <x v="14"/>
    <n v="56"/>
    <n v="20440"/>
    <n v="73584"/>
  </r>
  <r>
    <x v="0"/>
    <x v="0"/>
    <x v="0"/>
    <x v="6"/>
    <x v="10"/>
    <s v="NO1_A2"/>
    <x v="8"/>
    <s v="GHOB_WOODPELLETS"/>
    <x v="0"/>
    <x v="15"/>
    <n v="56"/>
    <n v="20440"/>
    <n v="73584"/>
  </r>
  <r>
    <x v="0"/>
    <x v="0"/>
    <x v="0"/>
    <x v="6"/>
    <x v="10"/>
    <s v="NO1_A2"/>
    <x v="8"/>
    <s v="GHOB_WOODPELLETS"/>
    <x v="0"/>
    <x v="16"/>
    <n v="56"/>
    <n v="20440"/>
    <n v="73584"/>
  </r>
  <r>
    <x v="0"/>
    <x v="0"/>
    <x v="0"/>
    <x v="6"/>
    <x v="10"/>
    <s v="NO1_A2"/>
    <x v="8"/>
    <s v="GHOB_WOODPELLETS"/>
    <x v="0"/>
    <x v="17"/>
    <n v="56"/>
    <n v="20440"/>
    <n v="73584"/>
  </r>
  <r>
    <x v="0"/>
    <x v="0"/>
    <x v="0"/>
    <x v="6"/>
    <x v="10"/>
    <s v="NO1_A2"/>
    <x v="8"/>
    <s v="GHOB_WOODPELLETS"/>
    <x v="0"/>
    <x v="18"/>
    <n v="56"/>
    <n v="20440"/>
    <n v="73584"/>
  </r>
  <r>
    <x v="0"/>
    <x v="0"/>
    <x v="0"/>
    <x v="6"/>
    <x v="10"/>
    <s v="NO1_A2"/>
    <x v="8"/>
    <s v="GHOB_WOODPELLETS"/>
    <x v="0"/>
    <x v="19"/>
    <n v="56"/>
    <n v="20440"/>
    <n v="73584"/>
  </r>
  <r>
    <x v="0"/>
    <x v="0"/>
    <x v="0"/>
    <x v="6"/>
    <x v="10"/>
    <s v="NO1_A2"/>
    <x v="8"/>
    <s v="GHOB_WOODPELLETS"/>
    <x v="0"/>
    <x v="20"/>
    <n v="56"/>
    <n v="20440"/>
    <n v="73584"/>
  </r>
  <r>
    <x v="0"/>
    <x v="0"/>
    <x v="0"/>
    <x v="6"/>
    <x v="10"/>
    <s v="NO1_A2"/>
    <x v="8"/>
    <s v="GHOB_WOODPELLETS"/>
    <x v="0"/>
    <x v="21"/>
    <n v="56"/>
    <n v="20440"/>
    <n v="73584"/>
  </r>
  <r>
    <x v="0"/>
    <x v="0"/>
    <x v="0"/>
    <x v="6"/>
    <x v="10"/>
    <s v="NO1_A2"/>
    <x v="8"/>
    <s v="GHOB_WOODPELLETS"/>
    <x v="0"/>
    <x v="22"/>
    <n v="56"/>
    <n v="20440"/>
    <n v="73584"/>
  </r>
  <r>
    <x v="0"/>
    <x v="0"/>
    <x v="0"/>
    <x v="6"/>
    <x v="10"/>
    <s v="NO1_A2"/>
    <x v="8"/>
    <s v="GHOB_WOODPELLETS"/>
    <x v="0"/>
    <x v="23"/>
    <n v="56"/>
    <n v="20440"/>
    <n v="73584"/>
  </r>
  <r>
    <x v="0"/>
    <x v="0"/>
    <x v="0"/>
    <x v="6"/>
    <x v="10"/>
    <s v="NO1_A2"/>
    <x v="9"/>
    <s v="GHOB_WOODWASTE"/>
    <x v="0"/>
    <x v="0"/>
    <n v="16"/>
    <n v="5840"/>
    <n v="21024"/>
  </r>
  <r>
    <x v="0"/>
    <x v="0"/>
    <x v="0"/>
    <x v="6"/>
    <x v="10"/>
    <s v="NO1_A2"/>
    <x v="9"/>
    <s v="GHOB_WOODWASTE"/>
    <x v="0"/>
    <x v="1"/>
    <n v="16"/>
    <n v="5840"/>
    <n v="21024"/>
  </r>
  <r>
    <x v="0"/>
    <x v="0"/>
    <x v="0"/>
    <x v="6"/>
    <x v="10"/>
    <s v="NO1_A2"/>
    <x v="9"/>
    <s v="GHOB_WOODWASTE"/>
    <x v="0"/>
    <x v="2"/>
    <n v="16"/>
    <n v="5840"/>
    <n v="21024"/>
  </r>
  <r>
    <x v="0"/>
    <x v="0"/>
    <x v="0"/>
    <x v="6"/>
    <x v="10"/>
    <s v="NO1_A2"/>
    <x v="9"/>
    <s v="GHOB_WOODWASTE"/>
    <x v="0"/>
    <x v="3"/>
    <n v="16"/>
    <n v="5840"/>
    <n v="21024"/>
  </r>
  <r>
    <x v="0"/>
    <x v="0"/>
    <x v="0"/>
    <x v="6"/>
    <x v="10"/>
    <s v="NO1_A2"/>
    <x v="9"/>
    <s v="GHOB_WOODWASTE"/>
    <x v="0"/>
    <x v="4"/>
    <n v="16"/>
    <n v="5840"/>
    <n v="21024"/>
  </r>
  <r>
    <x v="0"/>
    <x v="0"/>
    <x v="0"/>
    <x v="6"/>
    <x v="10"/>
    <s v="NO1_A2"/>
    <x v="9"/>
    <s v="GHOB_WOODWASTE"/>
    <x v="0"/>
    <x v="5"/>
    <n v="16"/>
    <n v="5840"/>
    <n v="21024"/>
  </r>
  <r>
    <x v="0"/>
    <x v="0"/>
    <x v="0"/>
    <x v="6"/>
    <x v="10"/>
    <s v="NO1_A2"/>
    <x v="9"/>
    <s v="GHOB_WOODWASTE"/>
    <x v="0"/>
    <x v="6"/>
    <n v="16"/>
    <n v="5840"/>
    <n v="21024"/>
  </r>
  <r>
    <x v="0"/>
    <x v="0"/>
    <x v="0"/>
    <x v="6"/>
    <x v="10"/>
    <s v="NO1_A2"/>
    <x v="9"/>
    <s v="GHOB_WOODWASTE"/>
    <x v="0"/>
    <x v="7"/>
    <n v="16"/>
    <n v="5840"/>
    <n v="21024"/>
  </r>
  <r>
    <x v="0"/>
    <x v="0"/>
    <x v="0"/>
    <x v="6"/>
    <x v="10"/>
    <s v="NO1_A2"/>
    <x v="9"/>
    <s v="GHOB_WOODWASTE"/>
    <x v="0"/>
    <x v="8"/>
    <n v="16"/>
    <n v="5840"/>
    <n v="21024"/>
  </r>
  <r>
    <x v="0"/>
    <x v="0"/>
    <x v="0"/>
    <x v="6"/>
    <x v="10"/>
    <s v="NO1_A2"/>
    <x v="9"/>
    <s v="GHOB_WOODWASTE"/>
    <x v="0"/>
    <x v="9"/>
    <n v="16"/>
    <n v="5840"/>
    <n v="21024"/>
  </r>
  <r>
    <x v="0"/>
    <x v="0"/>
    <x v="0"/>
    <x v="6"/>
    <x v="10"/>
    <s v="NO1_A2"/>
    <x v="9"/>
    <s v="GHOB_WOODWASTE"/>
    <x v="0"/>
    <x v="10"/>
    <n v="16"/>
    <n v="5840"/>
    <n v="21024"/>
  </r>
  <r>
    <x v="0"/>
    <x v="0"/>
    <x v="0"/>
    <x v="6"/>
    <x v="10"/>
    <s v="NO1_A2"/>
    <x v="9"/>
    <s v="GHOB_WOODWASTE"/>
    <x v="0"/>
    <x v="11"/>
    <n v="16"/>
    <n v="5840"/>
    <n v="21024"/>
  </r>
  <r>
    <x v="0"/>
    <x v="0"/>
    <x v="0"/>
    <x v="6"/>
    <x v="10"/>
    <s v="NO1_A2"/>
    <x v="9"/>
    <s v="GHOB_WOODWASTE"/>
    <x v="0"/>
    <x v="12"/>
    <n v="16"/>
    <n v="5840"/>
    <n v="21024"/>
  </r>
  <r>
    <x v="0"/>
    <x v="0"/>
    <x v="0"/>
    <x v="6"/>
    <x v="10"/>
    <s v="NO1_A2"/>
    <x v="9"/>
    <s v="GHOB_WOODWASTE"/>
    <x v="0"/>
    <x v="13"/>
    <n v="16"/>
    <n v="5840"/>
    <n v="21024"/>
  </r>
  <r>
    <x v="0"/>
    <x v="0"/>
    <x v="0"/>
    <x v="6"/>
    <x v="10"/>
    <s v="NO1_A2"/>
    <x v="9"/>
    <s v="GHOB_WOODWASTE"/>
    <x v="0"/>
    <x v="14"/>
    <n v="16"/>
    <n v="5840"/>
    <n v="21024"/>
  </r>
  <r>
    <x v="0"/>
    <x v="0"/>
    <x v="0"/>
    <x v="6"/>
    <x v="10"/>
    <s v="NO1_A2"/>
    <x v="9"/>
    <s v="GHOB_WOODWASTE"/>
    <x v="0"/>
    <x v="15"/>
    <n v="16"/>
    <n v="5840"/>
    <n v="21024"/>
  </r>
  <r>
    <x v="0"/>
    <x v="0"/>
    <x v="0"/>
    <x v="6"/>
    <x v="10"/>
    <s v="NO1_A2"/>
    <x v="9"/>
    <s v="GHOB_WOODWASTE"/>
    <x v="0"/>
    <x v="16"/>
    <n v="16"/>
    <n v="5840"/>
    <n v="21024"/>
  </r>
  <r>
    <x v="0"/>
    <x v="0"/>
    <x v="0"/>
    <x v="6"/>
    <x v="10"/>
    <s v="NO1_A2"/>
    <x v="9"/>
    <s v="GHOB_WOODWASTE"/>
    <x v="0"/>
    <x v="17"/>
    <n v="16"/>
    <n v="5840"/>
    <n v="21024"/>
  </r>
  <r>
    <x v="0"/>
    <x v="0"/>
    <x v="0"/>
    <x v="6"/>
    <x v="10"/>
    <s v="NO1_A2"/>
    <x v="9"/>
    <s v="GHOB_WOODWASTE"/>
    <x v="0"/>
    <x v="18"/>
    <n v="16"/>
    <n v="5840"/>
    <n v="21024"/>
  </r>
  <r>
    <x v="0"/>
    <x v="0"/>
    <x v="0"/>
    <x v="6"/>
    <x v="10"/>
    <s v="NO1_A2"/>
    <x v="9"/>
    <s v="GHOB_WOODWASTE"/>
    <x v="0"/>
    <x v="19"/>
    <n v="16"/>
    <n v="5840"/>
    <n v="21024"/>
  </r>
  <r>
    <x v="0"/>
    <x v="0"/>
    <x v="0"/>
    <x v="6"/>
    <x v="10"/>
    <s v="NO1_A2"/>
    <x v="9"/>
    <s v="GHOB_WOODWASTE"/>
    <x v="0"/>
    <x v="20"/>
    <n v="16"/>
    <n v="5840"/>
    <n v="21024"/>
  </r>
  <r>
    <x v="0"/>
    <x v="0"/>
    <x v="0"/>
    <x v="6"/>
    <x v="10"/>
    <s v="NO1_A2"/>
    <x v="9"/>
    <s v="GHOB_WOODWASTE"/>
    <x v="0"/>
    <x v="21"/>
    <n v="16"/>
    <n v="5840"/>
    <n v="21024"/>
  </r>
  <r>
    <x v="0"/>
    <x v="0"/>
    <x v="0"/>
    <x v="6"/>
    <x v="10"/>
    <s v="NO1_A2"/>
    <x v="9"/>
    <s v="GHOB_WOODWASTE"/>
    <x v="0"/>
    <x v="22"/>
    <n v="16"/>
    <n v="5840"/>
    <n v="21024"/>
  </r>
  <r>
    <x v="0"/>
    <x v="0"/>
    <x v="0"/>
    <x v="6"/>
    <x v="10"/>
    <s v="NO1_A2"/>
    <x v="9"/>
    <s v="GHOB_WOODWASTE"/>
    <x v="0"/>
    <x v="23"/>
    <n v="16"/>
    <n v="5840"/>
    <n v="21024"/>
  </r>
  <r>
    <x v="0"/>
    <x v="0"/>
    <x v="0"/>
    <x v="6"/>
    <x v="11"/>
    <s v="NO2_A1"/>
    <x v="2"/>
    <s v="GNR_HS_HEAT_WTR-TANK_LS_E-95_Y-2010"/>
    <x v="0"/>
    <x v="13"/>
    <n v="3.51473770709987"/>
    <n v="1282.87926309145"/>
    <n v="4618.36534712923"/>
  </r>
  <r>
    <x v="0"/>
    <x v="0"/>
    <x v="0"/>
    <x v="6"/>
    <x v="11"/>
    <s v="NO2_A1"/>
    <x v="2"/>
    <s v="GNR_HS_HEAT_WTR-TANK_LS_E-95_Y-2010"/>
    <x v="0"/>
    <x v="16"/>
    <n v="0.29080843494360498"/>
    <n v="106.14507875441601"/>
    <n v="382.122283515898"/>
  </r>
  <r>
    <x v="0"/>
    <x v="0"/>
    <x v="0"/>
    <x v="6"/>
    <x v="11"/>
    <s v="NO2_A1"/>
    <x v="2"/>
    <s v="GNR_HS_HEAT_WTR-TANK_LS_E-95_Y-2010"/>
    <x v="0"/>
    <x v="22"/>
    <n v="2.00238220198804"/>
    <n v="730.86950372563604"/>
    <n v="2631.1302134122898"/>
  </r>
  <r>
    <x v="0"/>
    <x v="0"/>
    <x v="0"/>
    <x v="6"/>
    <x v="11"/>
    <s v="NO2_A1"/>
    <x v="2"/>
    <s v="GNR_HS_HEAT_WTR-TANK_LS_E-95_Y-2010"/>
    <x v="0"/>
    <x v="23"/>
    <n v="0.87007329945823497"/>
    <n v="317.57675430225601"/>
    <n v="1143.27631548812"/>
  </r>
  <r>
    <x v="0"/>
    <x v="0"/>
    <x v="0"/>
    <x v="6"/>
    <x v="11"/>
    <s v="NO2_A1"/>
    <x v="3"/>
    <s v="GBPR_MUNIWASTE"/>
    <x v="0"/>
    <x v="0"/>
    <n v="34.838709677419402"/>
    <n v="12716.129032258101"/>
    <n v="45778.064516129001"/>
  </r>
  <r>
    <x v="0"/>
    <x v="0"/>
    <x v="0"/>
    <x v="6"/>
    <x v="11"/>
    <s v="NO2_A1"/>
    <x v="3"/>
    <s v="GBPR_MUNIWASTE"/>
    <x v="0"/>
    <x v="1"/>
    <n v="34.838709677419402"/>
    <n v="12716.129032258101"/>
    <n v="45778.064516129001"/>
  </r>
  <r>
    <x v="0"/>
    <x v="0"/>
    <x v="0"/>
    <x v="6"/>
    <x v="11"/>
    <s v="NO2_A1"/>
    <x v="3"/>
    <s v="GBPR_MUNIWASTE"/>
    <x v="0"/>
    <x v="2"/>
    <n v="34.838709677419402"/>
    <n v="12716.129032258101"/>
    <n v="45778.064516129001"/>
  </r>
  <r>
    <x v="0"/>
    <x v="0"/>
    <x v="0"/>
    <x v="6"/>
    <x v="11"/>
    <s v="NO2_A1"/>
    <x v="3"/>
    <s v="GBPR_MUNIWASTE"/>
    <x v="0"/>
    <x v="3"/>
    <n v="34.838709677419402"/>
    <n v="12716.129032258101"/>
    <n v="45778.064516129001"/>
  </r>
  <r>
    <x v="0"/>
    <x v="0"/>
    <x v="0"/>
    <x v="6"/>
    <x v="11"/>
    <s v="NO2_A1"/>
    <x v="3"/>
    <s v="GBPR_MUNIWASTE"/>
    <x v="0"/>
    <x v="4"/>
    <n v="34.838709677419402"/>
    <n v="12716.129032258101"/>
    <n v="45778.064516129001"/>
  </r>
  <r>
    <x v="0"/>
    <x v="0"/>
    <x v="0"/>
    <x v="6"/>
    <x v="11"/>
    <s v="NO2_A1"/>
    <x v="3"/>
    <s v="GBPR_MUNIWASTE"/>
    <x v="0"/>
    <x v="5"/>
    <n v="34.838709677419402"/>
    <n v="12716.129032258101"/>
    <n v="45778.064516129001"/>
  </r>
  <r>
    <x v="0"/>
    <x v="0"/>
    <x v="0"/>
    <x v="6"/>
    <x v="11"/>
    <s v="NO2_A1"/>
    <x v="3"/>
    <s v="GBPR_MUNIWASTE"/>
    <x v="0"/>
    <x v="6"/>
    <n v="34.838709677419402"/>
    <n v="12716.129032258101"/>
    <n v="45778.064516129001"/>
  </r>
  <r>
    <x v="0"/>
    <x v="0"/>
    <x v="0"/>
    <x v="6"/>
    <x v="11"/>
    <s v="NO2_A1"/>
    <x v="3"/>
    <s v="GBPR_MUNIWASTE"/>
    <x v="0"/>
    <x v="7"/>
    <n v="34.838709677419402"/>
    <n v="12716.129032258101"/>
    <n v="45778.064516129001"/>
  </r>
  <r>
    <x v="0"/>
    <x v="0"/>
    <x v="0"/>
    <x v="6"/>
    <x v="11"/>
    <s v="NO2_A1"/>
    <x v="3"/>
    <s v="GBPR_MUNIWASTE"/>
    <x v="0"/>
    <x v="8"/>
    <n v="34.838709677419402"/>
    <n v="12716.129032258101"/>
    <n v="45778.064516129001"/>
  </r>
  <r>
    <x v="0"/>
    <x v="0"/>
    <x v="0"/>
    <x v="6"/>
    <x v="11"/>
    <s v="NO2_A1"/>
    <x v="3"/>
    <s v="GBPR_MUNIWASTE"/>
    <x v="0"/>
    <x v="9"/>
    <n v="34.838709677419402"/>
    <n v="12716.129032258101"/>
    <n v="45778.064516129001"/>
  </r>
  <r>
    <x v="0"/>
    <x v="0"/>
    <x v="0"/>
    <x v="6"/>
    <x v="11"/>
    <s v="NO2_A1"/>
    <x v="3"/>
    <s v="GBPR_MUNIWASTE"/>
    <x v="0"/>
    <x v="10"/>
    <n v="34.838709677419402"/>
    <n v="12716.129032258101"/>
    <n v="45778.064516129001"/>
  </r>
  <r>
    <x v="0"/>
    <x v="0"/>
    <x v="0"/>
    <x v="6"/>
    <x v="11"/>
    <s v="NO2_A1"/>
    <x v="3"/>
    <s v="GBPR_MUNIWASTE"/>
    <x v="0"/>
    <x v="11"/>
    <n v="34.838709677419402"/>
    <n v="12716.129032258101"/>
    <n v="45778.064516129001"/>
  </r>
  <r>
    <x v="0"/>
    <x v="0"/>
    <x v="0"/>
    <x v="6"/>
    <x v="11"/>
    <s v="NO2_A1"/>
    <x v="3"/>
    <s v="GBPR_MUNIWASTE"/>
    <x v="0"/>
    <x v="12"/>
    <n v="34.838709677419402"/>
    <n v="12716.129032258101"/>
    <n v="45778.064516129001"/>
  </r>
  <r>
    <x v="0"/>
    <x v="0"/>
    <x v="0"/>
    <x v="6"/>
    <x v="11"/>
    <s v="NO2_A1"/>
    <x v="3"/>
    <s v="GBPR_MUNIWASTE"/>
    <x v="0"/>
    <x v="13"/>
    <n v="34.838709677419402"/>
    <n v="12716.129032258101"/>
    <n v="45778.064516129001"/>
  </r>
  <r>
    <x v="0"/>
    <x v="0"/>
    <x v="0"/>
    <x v="6"/>
    <x v="11"/>
    <s v="NO2_A1"/>
    <x v="3"/>
    <s v="GBPR_MUNIWASTE"/>
    <x v="0"/>
    <x v="14"/>
    <n v="34.838709677419402"/>
    <n v="12716.129032258101"/>
    <n v="45778.064516129001"/>
  </r>
  <r>
    <x v="0"/>
    <x v="0"/>
    <x v="0"/>
    <x v="6"/>
    <x v="11"/>
    <s v="NO2_A1"/>
    <x v="3"/>
    <s v="GBPR_MUNIWASTE"/>
    <x v="0"/>
    <x v="15"/>
    <n v="34.838709677419402"/>
    <n v="12716.129032258101"/>
    <n v="45778.064516129001"/>
  </r>
  <r>
    <x v="0"/>
    <x v="0"/>
    <x v="0"/>
    <x v="6"/>
    <x v="11"/>
    <s v="NO2_A1"/>
    <x v="3"/>
    <s v="GBPR_MUNIWASTE"/>
    <x v="0"/>
    <x v="16"/>
    <n v="34.838709677419402"/>
    <n v="12716.129032258101"/>
    <n v="45778.064516129001"/>
  </r>
  <r>
    <x v="0"/>
    <x v="0"/>
    <x v="0"/>
    <x v="6"/>
    <x v="11"/>
    <s v="NO2_A1"/>
    <x v="3"/>
    <s v="GBPR_MUNIWASTE"/>
    <x v="0"/>
    <x v="17"/>
    <n v="34.838709677419402"/>
    <n v="12716.129032258101"/>
    <n v="45778.064516129001"/>
  </r>
  <r>
    <x v="0"/>
    <x v="0"/>
    <x v="0"/>
    <x v="6"/>
    <x v="11"/>
    <s v="NO2_A1"/>
    <x v="3"/>
    <s v="GBPR_MUNIWASTE"/>
    <x v="0"/>
    <x v="18"/>
    <n v="34.838709677419402"/>
    <n v="12716.129032258101"/>
    <n v="45778.064516129001"/>
  </r>
  <r>
    <x v="0"/>
    <x v="0"/>
    <x v="0"/>
    <x v="6"/>
    <x v="11"/>
    <s v="NO2_A1"/>
    <x v="3"/>
    <s v="GBPR_MUNIWASTE"/>
    <x v="0"/>
    <x v="19"/>
    <n v="34.838709677419402"/>
    <n v="12716.129032258101"/>
    <n v="45778.064516129001"/>
  </r>
  <r>
    <x v="0"/>
    <x v="0"/>
    <x v="0"/>
    <x v="6"/>
    <x v="11"/>
    <s v="NO2_A1"/>
    <x v="3"/>
    <s v="GBPR_MUNIWASTE"/>
    <x v="0"/>
    <x v="20"/>
    <n v="34.838709677419402"/>
    <n v="12716.129032258101"/>
    <n v="45778.064516129001"/>
  </r>
  <r>
    <x v="0"/>
    <x v="0"/>
    <x v="0"/>
    <x v="6"/>
    <x v="11"/>
    <s v="NO2_A1"/>
    <x v="3"/>
    <s v="GBPR_MUNIWASTE"/>
    <x v="0"/>
    <x v="21"/>
    <n v="34.838709677419402"/>
    <n v="12716.129032258101"/>
    <n v="45778.064516129001"/>
  </r>
  <r>
    <x v="0"/>
    <x v="0"/>
    <x v="0"/>
    <x v="6"/>
    <x v="11"/>
    <s v="NO2_A1"/>
    <x v="3"/>
    <s v="GBPR_MUNIWASTE"/>
    <x v="0"/>
    <x v="22"/>
    <n v="34.838709677419402"/>
    <n v="12716.129032258101"/>
    <n v="45778.064516129001"/>
  </r>
  <r>
    <x v="0"/>
    <x v="0"/>
    <x v="0"/>
    <x v="6"/>
    <x v="11"/>
    <s v="NO2_A1"/>
    <x v="3"/>
    <s v="GBPR_MUNIWASTE"/>
    <x v="0"/>
    <x v="23"/>
    <n v="34.838709677419402"/>
    <n v="12716.129032258101"/>
    <n v="45778.064516129001"/>
  </r>
  <r>
    <x v="0"/>
    <x v="0"/>
    <x v="0"/>
    <x v="6"/>
    <x v="11"/>
    <s v="NO2_A1"/>
    <x v="6"/>
    <s v="GHOB_WASTEHEAT"/>
    <x v="0"/>
    <x v="0"/>
    <n v="2.1038652032386098"/>
    <n v="767.91079918209095"/>
    <n v="2764.4788770555301"/>
  </r>
  <r>
    <x v="0"/>
    <x v="0"/>
    <x v="0"/>
    <x v="6"/>
    <x v="11"/>
    <s v="NO2_A1"/>
    <x v="6"/>
    <s v="GHOB_WASTEHEAT"/>
    <x v="0"/>
    <x v="1"/>
    <n v="1.9994299829472599"/>
    <n v="729.791943775748"/>
    <n v="2627.2509975926901"/>
  </r>
  <r>
    <x v="0"/>
    <x v="0"/>
    <x v="0"/>
    <x v="6"/>
    <x v="11"/>
    <s v="NO2_A1"/>
    <x v="6"/>
    <s v="GHOB_WASTEHEAT"/>
    <x v="0"/>
    <x v="2"/>
    <n v="2.3278840909490399"/>
    <n v="849.67769319640001"/>
    <n v="3058.8396955070398"/>
  </r>
  <r>
    <x v="0"/>
    <x v="0"/>
    <x v="0"/>
    <x v="6"/>
    <x v="11"/>
    <s v="NO2_A1"/>
    <x v="6"/>
    <s v="GHOB_WASTEHEAT"/>
    <x v="0"/>
    <x v="3"/>
    <n v="3.2303621339266502"/>
    <n v="1179.08217888323"/>
    <n v="4244.6958439796099"/>
  </r>
  <r>
    <x v="0"/>
    <x v="0"/>
    <x v="0"/>
    <x v="6"/>
    <x v="11"/>
    <s v="NO2_A1"/>
    <x v="6"/>
    <s v="GHOB_WASTEHEAT"/>
    <x v="0"/>
    <x v="4"/>
    <n v="5.31347482832411"/>
    <n v="1939.4183123383"/>
    <n v="6981.9059244178798"/>
  </r>
  <r>
    <x v="0"/>
    <x v="0"/>
    <x v="0"/>
    <x v="6"/>
    <x v="11"/>
    <s v="NO2_A1"/>
    <x v="6"/>
    <s v="GHOB_WASTEHEAT"/>
    <x v="0"/>
    <x v="5"/>
    <n v="5.8693910256409998"/>
    <n v="2142.32772435897"/>
    <n v="7712.3798076922803"/>
  </r>
  <r>
    <x v="0"/>
    <x v="0"/>
    <x v="0"/>
    <x v="6"/>
    <x v="11"/>
    <s v="NO2_A1"/>
    <x v="6"/>
    <s v="GHOB_WASTEHEAT"/>
    <x v="0"/>
    <x v="6"/>
    <n v="5.8693910256409998"/>
    <n v="2142.32772435897"/>
    <n v="7712.3798076922803"/>
  </r>
  <r>
    <x v="0"/>
    <x v="0"/>
    <x v="0"/>
    <x v="6"/>
    <x v="11"/>
    <s v="NO2_A1"/>
    <x v="6"/>
    <s v="GHOB_WASTEHEAT"/>
    <x v="0"/>
    <x v="7"/>
    <n v="5.8693910256409998"/>
    <n v="2142.32772435897"/>
    <n v="7712.3798076922803"/>
  </r>
  <r>
    <x v="0"/>
    <x v="0"/>
    <x v="0"/>
    <x v="6"/>
    <x v="11"/>
    <s v="NO2_A1"/>
    <x v="6"/>
    <s v="GHOB_WASTEHEAT"/>
    <x v="0"/>
    <x v="8"/>
    <n v="5.8693910256409998"/>
    <n v="2142.32772435897"/>
    <n v="7712.3798076922803"/>
  </r>
  <r>
    <x v="0"/>
    <x v="0"/>
    <x v="0"/>
    <x v="6"/>
    <x v="11"/>
    <s v="NO2_A1"/>
    <x v="6"/>
    <s v="GHOB_WASTEHEAT"/>
    <x v="0"/>
    <x v="9"/>
    <n v="5.8693910256409998"/>
    <n v="2142.32772435897"/>
    <n v="7712.3798076922803"/>
  </r>
  <r>
    <x v="0"/>
    <x v="0"/>
    <x v="0"/>
    <x v="6"/>
    <x v="11"/>
    <s v="NO2_A1"/>
    <x v="6"/>
    <s v="GHOB_WASTEHEAT"/>
    <x v="0"/>
    <x v="10"/>
    <n v="5.8693910256409998"/>
    <n v="2142.32772435897"/>
    <n v="7712.3798076922803"/>
  </r>
  <r>
    <x v="0"/>
    <x v="0"/>
    <x v="0"/>
    <x v="6"/>
    <x v="11"/>
    <s v="NO2_A1"/>
    <x v="6"/>
    <s v="GHOB_WASTEHEAT"/>
    <x v="0"/>
    <x v="11"/>
    <n v="5.8693910256409998"/>
    <n v="2142.32772435897"/>
    <n v="7712.3798076922803"/>
  </r>
  <r>
    <x v="0"/>
    <x v="0"/>
    <x v="0"/>
    <x v="6"/>
    <x v="11"/>
    <s v="NO2_A1"/>
    <x v="6"/>
    <s v="GHOB_WASTEHEAT"/>
    <x v="0"/>
    <x v="12"/>
    <n v="5.8693910256409998"/>
    <n v="2142.32772435897"/>
    <n v="7712.3798076922803"/>
  </r>
  <r>
    <x v="0"/>
    <x v="0"/>
    <x v="0"/>
    <x v="6"/>
    <x v="11"/>
    <s v="NO2_A1"/>
    <x v="6"/>
    <s v="GHOB_WASTEHEAT"/>
    <x v="0"/>
    <x v="13"/>
    <n v="5.8693910256409998"/>
    <n v="2142.32772435897"/>
    <n v="7712.3798076922803"/>
  </r>
  <r>
    <x v="0"/>
    <x v="0"/>
    <x v="0"/>
    <x v="6"/>
    <x v="11"/>
    <s v="NO2_A1"/>
    <x v="6"/>
    <s v="GHOB_WASTEHEAT"/>
    <x v="0"/>
    <x v="14"/>
    <n v="5.8693910256409998"/>
    <n v="2142.32772435897"/>
    <n v="7712.3798076922803"/>
  </r>
  <r>
    <x v="0"/>
    <x v="0"/>
    <x v="0"/>
    <x v="6"/>
    <x v="11"/>
    <s v="NO2_A1"/>
    <x v="6"/>
    <s v="GHOB_WASTEHEAT"/>
    <x v="0"/>
    <x v="15"/>
    <n v="5.8693910256409998"/>
    <n v="2142.32772435897"/>
    <n v="7712.3798076922803"/>
  </r>
  <r>
    <x v="0"/>
    <x v="0"/>
    <x v="0"/>
    <x v="6"/>
    <x v="11"/>
    <s v="NO2_A1"/>
    <x v="6"/>
    <s v="GHOB_WASTEHEAT"/>
    <x v="0"/>
    <x v="16"/>
    <n v="5.8693910256409998"/>
    <n v="2142.32772435897"/>
    <n v="7712.3798076922803"/>
  </r>
  <r>
    <x v="0"/>
    <x v="0"/>
    <x v="0"/>
    <x v="6"/>
    <x v="11"/>
    <s v="NO2_A1"/>
    <x v="6"/>
    <s v="GHOB_WASTEHEAT"/>
    <x v="0"/>
    <x v="17"/>
    <n v="5.8693910256409998"/>
    <n v="2142.32772435897"/>
    <n v="7712.3798076922803"/>
  </r>
  <r>
    <x v="0"/>
    <x v="0"/>
    <x v="0"/>
    <x v="6"/>
    <x v="11"/>
    <s v="NO2_A1"/>
    <x v="6"/>
    <s v="GHOB_WASTEHEAT"/>
    <x v="0"/>
    <x v="18"/>
    <n v="5.3334396681759202"/>
    <n v="1946.7054788842099"/>
    <n v="7008.1397239831604"/>
  </r>
  <r>
    <x v="0"/>
    <x v="0"/>
    <x v="0"/>
    <x v="6"/>
    <x v="11"/>
    <s v="NO2_A1"/>
    <x v="6"/>
    <s v="GHOB_WASTEHEAT"/>
    <x v="0"/>
    <x v="19"/>
    <n v="3.9801805055357802"/>
    <n v="1452.7658845205599"/>
    <n v="5229.9571842740097"/>
  </r>
  <r>
    <x v="0"/>
    <x v="0"/>
    <x v="0"/>
    <x v="6"/>
    <x v="11"/>
    <s v="NO2_A1"/>
    <x v="6"/>
    <s v="GHOB_WASTEHEAT"/>
    <x v="0"/>
    <x v="20"/>
    <n v="2.5887560158767"/>
    <n v="944.89594579499703"/>
    <n v="3401.6254048619899"/>
  </r>
  <r>
    <x v="0"/>
    <x v="0"/>
    <x v="0"/>
    <x v="6"/>
    <x v="11"/>
    <s v="NO2_A1"/>
    <x v="6"/>
    <s v="GHOB_WASTEHEAT"/>
    <x v="0"/>
    <x v="21"/>
    <n v="0.184639769344912"/>
    <n v="67.393515810892893"/>
    <n v="242.61665691921399"/>
  </r>
  <r>
    <x v="0"/>
    <x v="0"/>
    <x v="0"/>
    <x v="6"/>
    <x v="11"/>
    <s v="NO2_A1"/>
    <x v="9"/>
    <s v="GHOB_WOODWASTE"/>
    <x v="0"/>
    <x v="5"/>
    <n v="2.6912796627234399"/>
    <n v="982.31707689405505"/>
    <n v="3536.3414768185999"/>
  </r>
  <r>
    <x v="0"/>
    <x v="0"/>
    <x v="0"/>
    <x v="6"/>
    <x v="11"/>
    <s v="NO2_A1"/>
    <x v="9"/>
    <s v="GHOB_WOODWASTE"/>
    <x v="0"/>
    <x v="6"/>
    <n v="9.5169921524676209"/>
    <n v="3473.7021356506798"/>
    <n v="12505.327688342501"/>
  </r>
  <r>
    <x v="0"/>
    <x v="0"/>
    <x v="0"/>
    <x v="6"/>
    <x v="11"/>
    <s v="NO2_A1"/>
    <x v="9"/>
    <s v="GHOB_WOODWASTE"/>
    <x v="0"/>
    <x v="7"/>
    <n v="15.710933841365099"/>
    <n v="5734.4908520982499"/>
    <n v="20644.167067553699"/>
  </r>
  <r>
    <x v="0"/>
    <x v="0"/>
    <x v="0"/>
    <x v="6"/>
    <x v="11"/>
    <s v="NO2_A1"/>
    <x v="9"/>
    <s v="GHOB_WOODWASTE"/>
    <x v="0"/>
    <x v="8"/>
    <n v="16.6991094241138"/>
    <n v="6095.1749398015399"/>
    <n v="21942.629783285502"/>
  </r>
  <r>
    <x v="0"/>
    <x v="0"/>
    <x v="0"/>
    <x v="6"/>
    <x v="11"/>
    <s v="NO2_A1"/>
    <x v="9"/>
    <s v="GHOB_WOODWASTE"/>
    <x v="0"/>
    <x v="9"/>
    <n v="15.3321821996667"/>
    <n v="5596.2465028783499"/>
    <n v="20146.4874103621"/>
  </r>
  <r>
    <x v="0"/>
    <x v="0"/>
    <x v="0"/>
    <x v="6"/>
    <x v="11"/>
    <s v="NO2_A1"/>
    <x v="9"/>
    <s v="GHOB_WOODWASTE"/>
    <x v="0"/>
    <x v="10"/>
    <n v="13.4493599784059"/>
    <n v="4909.0163921181502"/>
    <n v="17672.4590116254"/>
  </r>
  <r>
    <x v="0"/>
    <x v="0"/>
    <x v="0"/>
    <x v="6"/>
    <x v="11"/>
    <s v="NO2_A1"/>
    <x v="9"/>
    <s v="GHOB_WOODWASTE"/>
    <x v="0"/>
    <x v="11"/>
    <n v="11.777433891431"/>
    <n v="4298.7633703723104"/>
    <n v="15475.5481333403"/>
  </r>
  <r>
    <x v="0"/>
    <x v="0"/>
    <x v="0"/>
    <x v="6"/>
    <x v="11"/>
    <s v="NO2_A1"/>
    <x v="9"/>
    <s v="GHOB_WOODWASTE"/>
    <x v="0"/>
    <x v="12"/>
    <n v="10.362867129194999"/>
    <n v="3782.44650215619"/>
    <n v="13616.8074077623"/>
  </r>
  <r>
    <x v="0"/>
    <x v="0"/>
    <x v="0"/>
    <x v="6"/>
    <x v="11"/>
    <s v="NO2_A1"/>
    <x v="9"/>
    <s v="GHOB_WOODWASTE"/>
    <x v="0"/>
    <x v="13"/>
    <n v="6.1615107419569703"/>
    <n v="2248.9514208143"/>
    <n v="8096.2251149314598"/>
  </r>
  <r>
    <x v="0"/>
    <x v="0"/>
    <x v="0"/>
    <x v="6"/>
    <x v="11"/>
    <s v="NO2_A1"/>
    <x v="9"/>
    <s v="GHOB_WOODWASTE"/>
    <x v="0"/>
    <x v="14"/>
    <n v="8.3021556859271808"/>
    <n v="3030.2868253634201"/>
    <n v="10909.0325713083"/>
  </r>
  <r>
    <x v="0"/>
    <x v="0"/>
    <x v="0"/>
    <x v="6"/>
    <x v="11"/>
    <s v="NO2_A1"/>
    <x v="9"/>
    <s v="GHOB_WOODWASTE"/>
    <x v="0"/>
    <x v="15"/>
    <n v="6.3245591266513097"/>
    <n v="2308.4640812277298"/>
    <n v="8310.4706924198199"/>
  </r>
  <r>
    <x v="0"/>
    <x v="0"/>
    <x v="0"/>
    <x v="6"/>
    <x v="11"/>
    <s v="NO2_A1"/>
    <x v="9"/>
    <s v="GHOB_WOODWASTE"/>
    <x v="0"/>
    <x v="16"/>
    <n v="2.9743364288494298"/>
    <n v="1085.63279653004"/>
    <n v="3908.2780675081499"/>
  </r>
  <r>
    <x v="0"/>
    <x v="0"/>
    <x v="0"/>
    <x v="6"/>
    <x v="11"/>
    <s v="NO2_A1"/>
    <x v="9"/>
    <s v="GHOB_WOODWASTE"/>
    <x v="0"/>
    <x v="17"/>
    <n v="0.56656462234958105"/>
    <n v="206.79608715759699"/>
    <n v="744.46591376735"/>
  </r>
  <r>
    <x v="0"/>
    <x v="0"/>
    <x v="0"/>
    <x v="6"/>
    <x v="12"/>
    <s v="NO3_A1"/>
    <x v="2"/>
    <s v="GNR_HS_HEAT_WTR-TANK_LS_E-95_Y-2010"/>
    <x v="0"/>
    <x v="6"/>
    <n v="2.55057082609521"/>
    <n v="930.95835152475001"/>
    <n v="3351.4500654890999"/>
  </r>
  <r>
    <x v="0"/>
    <x v="0"/>
    <x v="0"/>
    <x v="6"/>
    <x v="12"/>
    <s v="NO3_A1"/>
    <x v="2"/>
    <s v="GNR_HS_HEAT_WTR-TANK_LS_E-95_Y-2010"/>
    <x v="0"/>
    <x v="7"/>
    <n v="6.4550312092362603"/>
    <n v="2356.0863913712401"/>
    <n v="8481.9110089364494"/>
  </r>
  <r>
    <x v="0"/>
    <x v="0"/>
    <x v="0"/>
    <x v="6"/>
    <x v="12"/>
    <s v="NO3_A1"/>
    <x v="2"/>
    <s v="GNR_HS_HEAT_WTR-TANK_LS_E-95_Y-2010"/>
    <x v="0"/>
    <x v="8"/>
    <n v="6.6410353896669303"/>
    <n v="2423.9779172284302"/>
    <n v="8726.3205020223504"/>
  </r>
  <r>
    <x v="0"/>
    <x v="0"/>
    <x v="0"/>
    <x v="6"/>
    <x v="12"/>
    <s v="NO3_A1"/>
    <x v="2"/>
    <s v="GNR_HS_HEAT_WTR-TANK_LS_E-95_Y-2010"/>
    <x v="0"/>
    <x v="9"/>
    <n v="5.3403977815123698"/>
    <n v="1949.2451902520099"/>
    <n v="7017.2826849072499"/>
  </r>
  <r>
    <x v="0"/>
    <x v="0"/>
    <x v="0"/>
    <x v="6"/>
    <x v="12"/>
    <s v="NO3_A1"/>
    <x v="2"/>
    <s v="GNR_HS_HEAT_WTR-TANK_LS_E-95_Y-2010"/>
    <x v="0"/>
    <x v="10"/>
    <n v="3.5857496048227402"/>
    <n v="1308.7986057603"/>
    <n v="4711.6749807370898"/>
  </r>
  <r>
    <x v="0"/>
    <x v="0"/>
    <x v="0"/>
    <x v="6"/>
    <x v="12"/>
    <s v="NO3_A1"/>
    <x v="2"/>
    <s v="GNR_HS_HEAT_WTR-TANK_LS_E-95_Y-2010"/>
    <x v="0"/>
    <x v="11"/>
    <n v="1.44402768747607"/>
    <n v="527.07010592876702"/>
    <n v="1897.4523813435601"/>
  </r>
  <r>
    <x v="0"/>
    <x v="0"/>
    <x v="0"/>
    <x v="6"/>
    <x v="12"/>
    <s v="NO3_A1"/>
    <x v="2"/>
    <s v="GNR_HS_HEAT_WTR-TANK_LS_E-95_Y-2010"/>
    <x v="0"/>
    <x v="12"/>
    <n v="3.59282614190981E-2"/>
    <n v="13.1138154179708"/>
    <n v="47.209735504694898"/>
  </r>
  <r>
    <x v="0"/>
    <x v="0"/>
    <x v="0"/>
    <x v="6"/>
    <x v="12"/>
    <s v="NO3_A1"/>
    <x v="3"/>
    <s v="GBPR_MUNIWASTE"/>
    <x v="0"/>
    <x v="0"/>
    <n v="13.8387096774194"/>
    <n v="5051.1290322580699"/>
    <n v="18184.064516129001"/>
  </r>
  <r>
    <x v="0"/>
    <x v="0"/>
    <x v="0"/>
    <x v="6"/>
    <x v="12"/>
    <s v="NO3_A1"/>
    <x v="3"/>
    <s v="GBPR_MUNIWASTE"/>
    <x v="0"/>
    <x v="1"/>
    <n v="13.8387096774194"/>
    <n v="5051.1290322580699"/>
    <n v="18184.064516129001"/>
  </r>
  <r>
    <x v="0"/>
    <x v="0"/>
    <x v="0"/>
    <x v="6"/>
    <x v="12"/>
    <s v="NO3_A1"/>
    <x v="3"/>
    <s v="GBPR_MUNIWASTE"/>
    <x v="0"/>
    <x v="2"/>
    <n v="13.8387096774194"/>
    <n v="5051.1290322580699"/>
    <n v="18184.064516129001"/>
  </r>
  <r>
    <x v="0"/>
    <x v="0"/>
    <x v="0"/>
    <x v="6"/>
    <x v="12"/>
    <s v="NO3_A1"/>
    <x v="3"/>
    <s v="GBPR_MUNIWASTE"/>
    <x v="0"/>
    <x v="3"/>
    <n v="13.8387096774194"/>
    <n v="5051.1290322580699"/>
    <n v="18184.064516129001"/>
  </r>
  <r>
    <x v="0"/>
    <x v="0"/>
    <x v="0"/>
    <x v="6"/>
    <x v="12"/>
    <s v="NO3_A1"/>
    <x v="3"/>
    <s v="GBPR_MUNIWASTE"/>
    <x v="0"/>
    <x v="4"/>
    <n v="13.8387096774194"/>
    <n v="5051.1290322580699"/>
    <n v="18184.064516129001"/>
  </r>
  <r>
    <x v="0"/>
    <x v="0"/>
    <x v="0"/>
    <x v="6"/>
    <x v="12"/>
    <s v="NO3_A1"/>
    <x v="3"/>
    <s v="GBPR_MUNIWASTE"/>
    <x v="0"/>
    <x v="5"/>
    <n v="13.8387096774194"/>
    <n v="5051.1290322580699"/>
    <n v="18184.064516129001"/>
  </r>
  <r>
    <x v="0"/>
    <x v="0"/>
    <x v="0"/>
    <x v="6"/>
    <x v="12"/>
    <s v="NO3_A1"/>
    <x v="3"/>
    <s v="GBPR_MUNIWASTE"/>
    <x v="0"/>
    <x v="6"/>
    <n v="13.8387096774194"/>
    <n v="5051.1290322580699"/>
    <n v="18184.064516129001"/>
  </r>
  <r>
    <x v="0"/>
    <x v="0"/>
    <x v="0"/>
    <x v="6"/>
    <x v="12"/>
    <s v="NO3_A1"/>
    <x v="3"/>
    <s v="GBPR_MUNIWASTE"/>
    <x v="0"/>
    <x v="7"/>
    <n v="13.8387096774194"/>
    <n v="5051.1290322580699"/>
    <n v="18184.064516129001"/>
  </r>
  <r>
    <x v="0"/>
    <x v="0"/>
    <x v="0"/>
    <x v="6"/>
    <x v="12"/>
    <s v="NO3_A1"/>
    <x v="3"/>
    <s v="GBPR_MUNIWASTE"/>
    <x v="0"/>
    <x v="8"/>
    <n v="13.8387096774194"/>
    <n v="5051.1290322580699"/>
    <n v="18184.064516129001"/>
  </r>
  <r>
    <x v="0"/>
    <x v="0"/>
    <x v="0"/>
    <x v="6"/>
    <x v="12"/>
    <s v="NO3_A1"/>
    <x v="3"/>
    <s v="GBPR_MUNIWASTE"/>
    <x v="0"/>
    <x v="9"/>
    <n v="13.8387096774194"/>
    <n v="5051.1290322580699"/>
    <n v="18184.064516129001"/>
  </r>
  <r>
    <x v="0"/>
    <x v="0"/>
    <x v="0"/>
    <x v="6"/>
    <x v="12"/>
    <s v="NO3_A1"/>
    <x v="3"/>
    <s v="GBPR_MUNIWASTE"/>
    <x v="0"/>
    <x v="10"/>
    <n v="13.8387096774194"/>
    <n v="5051.1290322580699"/>
    <n v="18184.064516129001"/>
  </r>
  <r>
    <x v="0"/>
    <x v="0"/>
    <x v="0"/>
    <x v="6"/>
    <x v="12"/>
    <s v="NO3_A1"/>
    <x v="3"/>
    <s v="GBPR_MUNIWASTE"/>
    <x v="0"/>
    <x v="11"/>
    <n v="13.8387096774194"/>
    <n v="5051.1290322580699"/>
    <n v="18184.064516129001"/>
  </r>
  <r>
    <x v="0"/>
    <x v="0"/>
    <x v="0"/>
    <x v="6"/>
    <x v="12"/>
    <s v="NO3_A1"/>
    <x v="3"/>
    <s v="GBPR_MUNIWASTE"/>
    <x v="0"/>
    <x v="12"/>
    <n v="13.8387096774194"/>
    <n v="5051.1290322580699"/>
    <n v="18184.064516129001"/>
  </r>
  <r>
    <x v="0"/>
    <x v="0"/>
    <x v="0"/>
    <x v="6"/>
    <x v="12"/>
    <s v="NO3_A1"/>
    <x v="3"/>
    <s v="GBPR_MUNIWASTE"/>
    <x v="0"/>
    <x v="13"/>
    <n v="13.8387096774194"/>
    <n v="5051.1290322580699"/>
    <n v="18184.064516129001"/>
  </r>
  <r>
    <x v="0"/>
    <x v="0"/>
    <x v="0"/>
    <x v="6"/>
    <x v="12"/>
    <s v="NO3_A1"/>
    <x v="3"/>
    <s v="GBPR_MUNIWASTE"/>
    <x v="0"/>
    <x v="14"/>
    <n v="13.8387096774194"/>
    <n v="5051.1290322580699"/>
    <n v="18184.064516129001"/>
  </r>
  <r>
    <x v="0"/>
    <x v="0"/>
    <x v="0"/>
    <x v="6"/>
    <x v="12"/>
    <s v="NO3_A1"/>
    <x v="3"/>
    <s v="GBPR_MUNIWASTE"/>
    <x v="0"/>
    <x v="15"/>
    <n v="13.8387096774194"/>
    <n v="5051.1290322580699"/>
    <n v="18184.064516129001"/>
  </r>
  <r>
    <x v="0"/>
    <x v="0"/>
    <x v="0"/>
    <x v="6"/>
    <x v="12"/>
    <s v="NO3_A1"/>
    <x v="3"/>
    <s v="GBPR_MUNIWASTE"/>
    <x v="0"/>
    <x v="16"/>
    <n v="13.8387096774194"/>
    <n v="5051.1290322580699"/>
    <n v="18184.064516129001"/>
  </r>
  <r>
    <x v="0"/>
    <x v="0"/>
    <x v="0"/>
    <x v="6"/>
    <x v="12"/>
    <s v="NO3_A1"/>
    <x v="3"/>
    <s v="GBPR_MUNIWASTE"/>
    <x v="0"/>
    <x v="17"/>
    <n v="13.8387096774194"/>
    <n v="5051.1290322580699"/>
    <n v="18184.064516129001"/>
  </r>
  <r>
    <x v="0"/>
    <x v="0"/>
    <x v="0"/>
    <x v="6"/>
    <x v="12"/>
    <s v="NO3_A1"/>
    <x v="3"/>
    <s v="GBPR_MUNIWASTE"/>
    <x v="0"/>
    <x v="18"/>
    <n v="13.8387096774194"/>
    <n v="5051.1290322580699"/>
    <n v="18184.064516129001"/>
  </r>
  <r>
    <x v="0"/>
    <x v="0"/>
    <x v="0"/>
    <x v="6"/>
    <x v="12"/>
    <s v="NO3_A1"/>
    <x v="3"/>
    <s v="GBPR_MUNIWASTE"/>
    <x v="0"/>
    <x v="19"/>
    <n v="13.8387096774194"/>
    <n v="5051.1290322580699"/>
    <n v="18184.064516129001"/>
  </r>
  <r>
    <x v="0"/>
    <x v="0"/>
    <x v="0"/>
    <x v="6"/>
    <x v="12"/>
    <s v="NO3_A1"/>
    <x v="3"/>
    <s v="GBPR_MUNIWASTE"/>
    <x v="0"/>
    <x v="20"/>
    <n v="13.8387096774194"/>
    <n v="5051.1290322580699"/>
    <n v="18184.064516129001"/>
  </r>
  <r>
    <x v="0"/>
    <x v="0"/>
    <x v="0"/>
    <x v="6"/>
    <x v="12"/>
    <s v="NO3_A1"/>
    <x v="3"/>
    <s v="GBPR_MUNIWASTE"/>
    <x v="0"/>
    <x v="21"/>
    <n v="13.8387096774194"/>
    <n v="5051.1290322580699"/>
    <n v="18184.064516129001"/>
  </r>
  <r>
    <x v="0"/>
    <x v="0"/>
    <x v="0"/>
    <x v="6"/>
    <x v="12"/>
    <s v="NO3_A1"/>
    <x v="3"/>
    <s v="GBPR_MUNIWASTE"/>
    <x v="0"/>
    <x v="22"/>
    <n v="13.8387096774194"/>
    <n v="5051.1290322580699"/>
    <n v="18184.064516129001"/>
  </r>
  <r>
    <x v="0"/>
    <x v="0"/>
    <x v="0"/>
    <x v="6"/>
    <x v="12"/>
    <s v="NO3_A1"/>
    <x v="3"/>
    <s v="GBPR_MUNIWASTE"/>
    <x v="0"/>
    <x v="23"/>
    <n v="13.8387096774194"/>
    <n v="5051.1290322580699"/>
    <n v="18184.064516129001"/>
  </r>
  <r>
    <x v="0"/>
    <x v="0"/>
    <x v="0"/>
    <x v="6"/>
    <x v="12"/>
    <s v="NO3_A1"/>
    <x v="6"/>
    <s v="GHOB_WASTEHEAT"/>
    <x v="0"/>
    <x v="0"/>
    <n v="4.3039148351648198"/>
    <n v="1570.92891483516"/>
    <n v="5655.3440934065702"/>
  </r>
  <r>
    <x v="0"/>
    <x v="0"/>
    <x v="0"/>
    <x v="6"/>
    <x v="12"/>
    <s v="NO3_A1"/>
    <x v="6"/>
    <s v="GHOB_WASTEHEAT"/>
    <x v="0"/>
    <x v="1"/>
    <n v="4.3039148351648198"/>
    <n v="1570.92891483516"/>
    <n v="5655.3440934065702"/>
  </r>
  <r>
    <x v="0"/>
    <x v="0"/>
    <x v="0"/>
    <x v="6"/>
    <x v="12"/>
    <s v="NO3_A1"/>
    <x v="6"/>
    <s v="GHOB_WASTEHEAT"/>
    <x v="0"/>
    <x v="2"/>
    <n v="4.3039148351648198"/>
    <n v="1570.92891483516"/>
    <n v="5655.3440934065702"/>
  </r>
  <r>
    <x v="0"/>
    <x v="0"/>
    <x v="0"/>
    <x v="6"/>
    <x v="12"/>
    <s v="NO3_A1"/>
    <x v="6"/>
    <s v="GHOB_WASTEHEAT"/>
    <x v="0"/>
    <x v="3"/>
    <n v="4.3039148351648198"/>
    <n v="1570.92891483516"/>
    <n v="5655.3440934065702"/>
  </r>
  <r>
    <x v="0"/>
    <x v="0"/>
    <x v="0"/>
    <x v="6"/>
    <x v="12"/>
    <s v="NO3_A1"/>
    <x v="6"/>
    <s v="GHOB_WASTEHEAT"/>
    <x v="0"/>
    <x v="4"/>
    <n v="4.3039148351648198"/>
    <n v="1570.92891483516"/>
    <n v="5655.3440934065702"/>
  </r>
  <r>
    <x v="0"/>
    <x v="0"/>
    <x v="0"/>
    <x v="6"/>
    <x v="12"/>
    <s v="NO3_A1"/>
    <x v="6"/>
    <s v="GHOB_WASTEHEAT"/>
    <x v="0"/>
    <x v="5"/>
    <n v="4.3039148351648198"/>
    <n v="1570.92891483516"/>
    <n v="5655.3440934065702"/>
  </r>
  <r>
    <x v="0"/>
    <x v="0"/>
    <x v="0"/>
    <x v="6"/>
    <x v="12"/>
    <s v="NO3_A1"/>
    <x v="6"/>
    <s v="GHOB_WASTEHEAT"/>
    <x v="0"/>
    <x v="6"/>
    <n v="4.3039148351648198"/>
    <n v="1570.92891483516"/>
    <n v="5655.3440934065702"/>
  </r>
  <r>
    <x v="0"/>
    <x v="0"/>
    <x v="0"/>
    <x v="6"/>
    <x v="12"/>
    <s v="NO3_A1"/>
    <x v="6"/>
    <s v="GHOB_WASTEHEAT"/>
    <x v="0"/>
    <x v="7"/>
    <n v="4.3039148351648198"/>
    <n v="1570.92891483516"/>
    <n v="5655.3440934065702"/>
  </r>
  <r>
    <x v="0"/>
    <x v="0"/>
    <x v="0"/>
    <x v="6"/>
    <x v="12"/>
    <s v="NO3_A1"/>
    <x v="6"/>
    <s v="GHOB_WASTEHEAT"/>
    <x v="0"/>
    <x v="8"/>
    <n v="4.3039148351648198"/>
    <n v="1570.92891483516"/>
    <n v="5655.3440934065702"/>
  </r>
  <r>
    <x v="0"/>
    <x v="0"/>
    <x v="0"/>
    <x v="6"/>
    <x v="12"/>
    <s v="NO3_A1"/>
    <x v="6"/>
    <s v="GHOB_WASTEHEAT"/>
    <x v="0"/>
    <x v="9"/>
    <n v="4.3039148351648198"/>
    <n v="1570.92891483516"/>
    <n v="5655.3440934065702"/>
  </r>
  <r>
    <x v="0"/>
    <x v="0"/>
    <x v="0"/>
    <x v="6"/>
    <x v="12"/>
    <s v="NO3_A1"/>
    <x v="6"/>
    <s v="GHOB_WASTEHEAT"/>
    <x v="0"/>
    <x v="10"/>
    <n v="4.3039148351648198"/>
    <n v="1570.92891483516"/>
    <n v="5655.3440934065702"/>
  </r>
  <r>
    <x v="0"/>
    <x v="0"/>
    <x v="0"/>
    <x v="6"/>
    <x v="12"/>
    <s v="NO3_A1"/>
    <x v="6"/>
    <s v="GHOB_WASTEHEAT"/>
    <x v="0"/>
    <x v="11"/>
    <n v="4.3039148351648198"/>
    <n v="1570.92891483516"/>
    <n v="5655.3440934065702"/>
  </r>
  <r>
    <x v="0"/>
    <x v="0"/>
    <x v="0"/>
    <x v="6"/>
    <x v="12"/>
    <s v="NO3_A1"/>
    <x v="6"/>
    <s v="GHOB_WASTEHEAT"/>
    <x v="0"/>
    <x v="12"/>
    <n v="4.3039148351648198"/>
    <n v="1570.92891483516"/>
    <n v="5655.3440934065702"/>
  </r>
  <r>
    <x v="0"/>
    <x v="0"/>
    <x v="0"/>
    <x v="6"/>
    <x v="12"/>
    <s v="NO3_A1"/>
    <x v="6"/>
    <s v="GHOB_WASTEHEAT"/>
    <x v="0"/>
    <x v="13"/>
    <n v="4.3039148351648198"/>
    <n v="1570.92891483516"/>
    <n v="5655.3440934065702"/>
  </r>
  <r>
    <x v="0"/>
    <x v="0"/>
    <x v="0"/>
    <x v="6"/>
    <x v="12"/>
    <s v="NO3_A1"/>
    <x v="6"/>
    <s v="GHOB_WASTEHEAT"/>
    <x v="0"/>
    <x v="14"/>
    <n v="4.3039148351648198"/>
    <n v="1570.92891483516"/>
    <n v="5655.3440934065702"/>
  </r>
  <r>
    <x v="0"/>
    <x v="0"/>
    <x v="0"/>
    <x v="6"/>
    <x v="12"/>
    <s v="NO3_A1"/>
    <x v="6"/>
    <s v="GHOB_WASTEHEAT"/>
    <x v="0"/>
    <x v="15"/>
    <n v="4.3039148351648198"/>
    <n v="1570.92891483516"/>
    <n v="5655.3440934065702"/>
  </r>
  <r>
    <x v="0"/>
    <x v="0"/>
    <x v="0"/>
    <x v="6"/>
    <x v="12"/>
    <s v="NO3_A1"/>
    <x v="6"/>
    <s v="GHOB_WASTEHEAT"/>
    <x v="0"/>
    <x v="16"/>
    <n v="4.3039148351648198"/>
    <n v="1570.92891483516"/>
    <n v="5655.3440934065702"/>
  </r>
  <r>
    <x v="0"/>
    <x v="0"/>
    <x v="0"/>
    <x v="6"/>
    <x v="12"/>
    <s v="NO3_A1"/>
    <x v="6"/>
    <s v="GHOB_WASTEHEAT"/>
    <x v="0"/>
    <x v="17"/>
    <n v="4.3039148351648198"/>
    <n v="1570.92891483516"/>
    <n v="5655.3440934065702"/>
  </r>
  <r>
    <x v="0"/>
    <x v="0"/>
    <x v="0"/>
    <x v="6"/>
    <x v="12"/>
    <s v="NO3_A1"/>
    <x v="6"/>
    <s v="GHOB_WASTEHEAT"/>
    <x v="0"/>
    <x v="18"/>
    <n v="4.3039148351648198"/>
    <n v="1570.92891483516"/>
    <n v="5655.3440934065702"/>
  </r>
  <r>
    <x v="0"/>
    <x v="0"/>
    <x v="0"/>
    <x v="6"/>
    <x v="12"/>
    <s v="NO3_A1"/>
    <x v="6"/>
    <s v="GHOB_WASTEHEAT"/>
    <x v="0"/>
    <x v="19"/>
    <n v="4.3039148351648198"/>
    <n v="1570.92891483516"/>
    <n v="5655.3440934065702"/>
  </r>
  <r>
    <x v="0"/>
    <x v="0"/>
    <x v="0"/>
    <x v="6"/>
    <x v="12"/>
    <s v="NO3_A1"/>
    <x v="6"/>
    <s v="GHOB_WASTEHEAT"/>
    <x v="0"/>
    <x v="20"/>
    <n v="4.3039148351648198"/>
    <n v="1570.92891483516"/>
    <n v="5655.3440934065702"/>
  </r>
  <r>
    <x v="0"/>
    <x v="0"/>
    <x v="0"/>
    <x v="6"/>
    <x v="12"/>
    <s v="NO3_A1"/>
    <x v="6"/>
    <s v="GHOB_WASTEHEAT"/>
    <x v="0"/>
    <x v="21"/>
    <n v="4.3039148351648198"/>
    <n v="1570.92891483516"/>
    <n v="5655.3440934065702"/>
  </r>
  <r>
    <x v="0"/>
    <x v="0"/>
    <x v="0"/>
    <x v="6"/>
    <x v="12"/>
    <s v="NO3_A1"/>
    <x v="6"/>
    <s v="GHOB_WASTEHEAT"/>
    <x v="0"/>
    <x v="22"/>
    <n v="4.3039148351648198"/>
    <n v="1570.92891483516"/>
    <n v="5655.3440934065702"/>
  </r>
  <r>
    <x v="0"/>
    <x v="0"/>
    <x v="0"/>
    <x v="6"/>
    <x v="12"/>
    <s v="NO3_A1"/>
    <x v="6"/>
    <s v="GHOB_WASTEHEAT"/>
    <x v="0"/>
    <x v="23"/>
    <n v="4.3039148351648198"/>
    <n v="1570.92891483516"/>
    <n v="5655.3440934065702"/>
  </r>
  <r>
    <x v="0"/>
    <x v="0"/>
    <x v="0"/>
    <x v="6"/>
    <x v="12"/>
    <s v="NO3_A1"/>
    <x v="7"/>
    <s v="GHOB_WOODCHIPS"/>
    <x v="0"/>
    <x v="0"/>
    <n v="4.90687588774448"/>
    <n v="1791.00969902673"/>
    <n v="6447.6349164962403"/>
  </r>
  <r>
    <x v="0"/>
    <x v="0"/>
    <x v="0"/>
    <x v="6"/>
    <x v="12"/>
    <s v="NO3_A1"/>
    <x v="7"/>
    <s v="GHOB_WOODCHIPS"/>
    <x v="0"/>
    <x v="1"/>
    <n v="10.45"/>
    <n v="3814.25"/>
    <n v="13731.3"/>
  </r>
  <r>
    <x v="0"/>
    <x v="0"/>
    <x v="0"/>
    <x v="6"/>
    <x v="12"/>
    <s v="NO3_A1"/>
    <x v="7"/>
    <s v="GHOB_WOODCHIPS"/>
    <x v="0"/>
    <x v="2"/>
    <n v="10.45"/>
    <n v="3814.25"/>
    <n v="13731.3"/>
  </r>
  <r>
    <x v="0"/>
    <x v="0"/>
    <x v="0"/>
    <x v="6"/>
    <x v="12"/>
    <s v="NO3_A1"/>
    <x v="7"/>
    <s v="GHOB_WOODCHIPS"/>
    <x v="0"/>
    <x v="3"/>
    <n v="10.45"/>
    <n v="3814.25"/>
    <n v="13731.3"/>
  </r>
  <r>
    <x v="0"/>
    <x v="0"/>
    <x v="0"/>
    <x v="6"/>
    <x v="12"/>
    <s v="NO3_A1"/>
    <x v="7"/>
    <s v="GHOB_WOODCHIPS"/>
    <x v="0"/>
    <x v="4"/>
    <n v="10.45"/>
    <n v="3814.25"/>
    <n v="13731.3"/>
  </r>
  <r>
    <x v="0"/>
    <x v="0"/>
    <x v="0"/>
    <x v="6"/>
    <x v="12"/>
    <s v="NO3_A1"/>
    <x v="7"/>
    <s v="GHOB_WOODCHIPS"/>
    <x v="0"/>
    <x v="5"/>
    <n v="10.45"/>
    <n v="3814.25"/>
    <n v="13731.3"/>
  </r>
  <r>
    <x v="0"/>
    <x v="0"/>
    <x v="0"/>
    <x v="6"/>
    <x v="12"/>
    <s v="NO3_A1"/>
    <x v="7"/>
    <s v="GHOB_WOODCHIPS"/>
    <x v="0"/>
    <x v="6"/>
    <n v="10.45"/>
    <n v="3814.25"/>
    <n v="13731.3"/>
  </r>
  <r>
    <x v="0"/>
    <x v="0"/>
    <x v="0"/>
    <x v="6"/>
    <x v="12"/>
    <s v="NO3_A1"/>
    <x v="7"/>
    <s v="GHOB_WOODCHIPS"/>
    <x v="0"/>
    <x v="7"/>
    <n v="10.45"/>
    <n v="3814.25"/>
    <n v="13731.3"/>
  </r>
  <r>
    <x v="0"/>
    <x v="0"/>
    <x v="0"/>
    <x v="6"/>
    <x v="12"/>
    <s v="NO3_A1"/>
    <x v="7"/>
    <s v="GHOB_WOODCHIPS"/>
    <x v="0"/>
    <x v="8"/>
    <n v="10.45"/>
    <n v="3814.25"/>
    <n v="13731.3"/>
  </r>
  <r>
    <x v="0"/>
    <x v="0"/>
    <x v="0"/>
    <x v="6"/>
    <x v="12"/>
    <s v="NO3_A1"/>
    <x v="7"/>
    <s v="GHOB_WOODCHIPS"/>
    <x v="0"/>
    <x v="9"/>
    <n v="10.45"/>
    <n v="3814.25"/>
    <n v="13731.3"/>
  </r>
  <r>
    <x v="0"/>
    <x v="0"/>
    <x v="0"/>
    <x v="6"/>
    <x v="12"/>
    <s v="NO3_A1"/>
    <x v="7"/>
    <s v="GHOB_WOODCHIPS"/>
    <x v="0"/>
    <x v="10"/>
    <n v="10.45"/>
    <n v="3814.25"/>
    <n v="13731.3"/>
  </r>
  <r>
    <x v="0"/>
    <x v="0"/>
    <x v="0"/>
    <x v="6"/>
    <x v="12"/>
    <s v="NO3_A1"/>
    <x v="7"/>
    <s v="GHOB_WOODCHIPS"/>
    <x v="0"/>
    <x v="11"/>
    <n v="10.45"/>
    <n v="3814.25"/>
    <n v="13731.3"/>
  </r>
  <r>
    <x v="0"/>
    <x v="0"/>
    <x v="0"/>
    <x v="6"/>
    <x v="12"/>
    <s v="NO3_A1"/>
    <x v="7"/>
    <s v="GHOB_WOODCHIPS"/>
    <x v="0"/>
    <x v="12"/>
    <n v="10.45"/>
    <n v="3814.25"/>
    <n v="13731.3"/>
  </r>
  <r>
    <x v="0"/>
    <x v="0"/>
    <x v="0"/>
    <x v="6"/>
    <x v="12"/>
    <s v="NO3_A1"/>
    <x v="7"/>
    <s v="GHOB_WOODCHIPS"/>
    <x v="0"/>
    <x v="13"/>
    <n v="9.8061545977557305"/>
    <n v="3579.2464281808402"/>
    <n v="12885.287141450999"/>
  </r>
  <r>
    <x v="0"/>
    <x v="0"/>
    <x v="0"/>
    <x v="6"/>
    <x v="12"/>
    <s v="NO3_A1"/>
    <x v="7"/>
    <s v="GHOB_WOODCHIPS"/>
    <x v="0"/>
    <x v="14"/>
    <n v="8.9211447034750009"/>
    <n v="3256.2178167683801"/>
    <n v="11722.384140366201"/>
  </r>
  <r>
    <x v="0"/>
    <x v="0"/>
    <x v="0"/>
    <x v="6"/>
    <x v="12"/>
    <s v="NO3_A1"/>
    <x v="7"/>
    <s v="GHOB_WOODCHIPS"/>
    <x v="0"/>
    <x v="15"/>
    <n v="7.04312237843207"/>
    <n v="2570.73966812771"/>
    <n v="9254.6628052597407"/>
  </r>
  <r>
    <x v="0"/>
    <x v="0"/>
    <x v="0"/>
    <x v="6"/>
    <x v="12"/>
    <s v="NO3_A1"/>
    <x v="7"/>
    <s v="GHOB_WOODCHIPS"/>
    <x v="0"/>
    <x v="16"/>
    <n v="4.7550946699596901"/>
    <n v="1735.60955453529"/>
    <n v="6248.1943963270396"/>
  </r>
  <r>
    <x v="0"/>
    <x v="0"/>
    <x v="0"/>
    <x v="6"/>
    <x v="12"/>
    <s v="NO3_A1"/>
    <x v="7"/>
    <s v="GHOB_WOODCHIPS"/>
    <x v="0"/>
    <x v="17"/>
    <n v="3.1978103950583501"/>
    <n v="1167.2007941963"/>
    <n v="4201.9228591066703"/>
  </r>
  <r>
    <x v="0"/>
    <x v="0"/>
    <x v="0"/>
    <x v="6"/>
    <x v="12"/>
    <s v="NO3_A1"/>
    <x v="7"/>
    <s v="GHOB_WOODCHIPS"/>
    <x v="0"/>
    <x v="18"/>
    <n v="2.4250526454161898"/>
    <n v="885.14421557691105"/>
    <n v="3186.5191760768798"/>
  </r>
  <r>
    <x v="0"/>
    <x v="0"/>
    <x v="0"/>
    <x v="6"/>
    <x v="12"/>
    <s v="NO3_A1"/>
    <x v="7"/>
    <s v="GHOB_WOODCHIPS"/>
    <x v="0"/>
    <x v="19"/>
    <n v="1.9993064878313"/>
    <n v="729.746868058426"/>
    <n v="2627.0887250103401"/>
  </r>
  <r>
    <x v="0"/>
    <x v="0"/>
    <x v="0"/>
    <x v="6"/>
    <x v="12"/>
    <s v="NO3_A1"/>
    <x v="7"/>
    <s v="GHOB_WOODCHIPS"/>
    <x v="0"/>
    <x v="20"/>
    <n v="1.13774525008595"/>
    <n v="415.27701628137299"/>
    <n v="1494.99725861294"/>
  </r>
  <r>
    <x v="0"/>
    <x v="0"/>
    <x v="0"/>
    <x v="6"/>
    <x v="12"/>
    <s v="NO3_A1"/>
    <x v="7"/>
    <s v="GHOB_WOODCHIPS"/>
    <x v="0"/>
    <x v="21"/>
    <n v="2.1230248520096402"/>
    <n v="774.90407098351898"/>
    <n v="2789.6546555406699"/>
  </r>
  <r>
    <x v="0"/>
    <x v="0"/>
    <x v="0"/>
    <x v="6"/>
    <x v="12"/>
    <s v="NO3_A2"/>
    <x v="2"/>
    <s v="GNR_HS_HEAT_WTR-TANK_LS_E-95_Y-2010"/>
    <x v="0"/>
    <x v="6"/>
    <n v="14.3786818267118"/>
    <n v="5248.2188667498103"/>
    <n v="18893.587920299298"/>
  </r>
  <r>
    <x v="0"/>
    <x v="0"/>
    <x v="0"/>
    <x v="6"/>
    <x v="12"/>
    <s v="NO3_A2"/>
    <x v="2"/>
    <s v="GNR_HS_HEAT_WTR-TANK_LS_E-95_Y-2010"/>
    <x v="0"/>
    <x v="7"/>
    <n v="23.817326831629401"/>
    <n v="8693.3242935447306"/>
    <n v="31295.967456761002"/>
  </r>
  <r>
    <x v="0"/>
    <x v="0"/>
    <x v="0"/>
    <x v="6"/>
    <x v="12"/>
    <s v="NO3_A2"/>
    <x v="2"/>
    <s v="GNR_HS_HEAT_WTR-TANK_LS_E-95_Y-2010"/>
    <x v="0"/>
    <x v="8"/>
    <n v="25.452869285728401"/>
    <n v="9290.2972892908692"/>
    <n v="33445.070241447102"/>
  </r>
  <r>
    <x v="0"/>
    <x v="0"/>
    <x v="0"/>
    <x v="6"/>
    <x v="12"/>
    <s v="NO3_A2"/>
    <x v="2"/>
    <s v="GNR_HS_HEAT_WTR-TANK_LS_E-95_Y-2010"/>
    <x v="0"/>
    <x v="9"/>
    <n v="12.5317255760552"/>
    <n v="4574.0798352601596"/>
    <n v="16466.687406936599"/>
  </r>
  <r>
    <x v="0"/>
    <x v="0"/>
    <x v="0"/>
    <x v="6"/>
    <x v="12"/>
    <s v="NO3_A2"/>
    <x v="2"/>
    <s v="GNR_HS_HEAT_WTR-TANK_LS_E-95_Y-2010"/>
    <x v="0"/>
    <x v="10"/>
    <n v="17.606078072735599"/>
    <n v="6426.2184965485103"/>
    <n v="23134.386587574601"/>
  </r>
  <r>
    <x v="0"/>
    <x v="0"/>
    <x v="0"/>
    <x v="6"/>
    <x v="12"/>
    <s v="NO3_A2"/>
    <x v="2"/>
    <s v="GNR_HS_HEAT_WTR-TANK_LS_E-95_Y-2010"/>
    <x v="0"/>
    <x v="11"/>
    <n v="13.3552910920196"/>
    <n v="4874.6812485871696"/>
    <n v="17548.852494913801"/>
  </r>
  <r>
    <x v="0"/>
    <x v="0"/>
    <x v="0"/>
    <x v="6"/>
    <x v="12"/>
    <s v="NO3_A2"/>
    <x v="2"/>
    <s v="GNR_HS_HEAT_WTR-TANK_LS_E-95_Y-2010"/>
    <x v="0"/>
    <x v="13"/>
    <n v="10.5661239463809"/>
    <n v="3856.6352404290201"/>
    <n v="13883.8868655445"/>
  </r>
  <r>
    <x v="0"/>
    <x v="0"/>
    <x v="0"/>
    <x v="6"/>
    <x v="12"/>
    <s v="NO3_A2"/>
    <x v="2"/>
    <s v="GNR_HS_HEAT_WTR-TANK_LS_E-95_Y-2010"/>
    <x v="0"/>
    <x v="14"/>
    <n v="8.4816386445560692"/>
    <n v="3095.7981052629698"/>
    <n v="11144.8731789467"/>
  </r>
  <r>
    <x v="0"/>
    <x v="0"/>
    <x v="0"/>
    <x v="6"/>
    <x v="12"/>
    <s v="NO3_A2"/>
    <x v="3"/>
    <s v="GHOB_MUNIWASTE"/>
    <x v="0"/>
    <x v="0"/>
    <n v="70"/>
    <n v="25550"/>
    <n v="91980"/>
  </r>
  <r>
    <x v="0"/>
    <x v="0"/>
    <x v="0"/>
    <x v="6"/>
    <x v="12"/>
    <s v="NO3_A2"/>
    <x v="3"/>
    <s v="GHOB_MUNIWASTE"/>
    <x v="0"/>
    <x v="1"/>
    <n v="70"/>
    <n v="25550"/>
    <n v="91980"/>
  </r>
  <r>
    <x v="0"/>
    <x v="0"/>
    <x v="0"/>
    <x v="6"/>
    <x v="12"/>
    <s v="NO3_A2"/>
    <x v="3"/>
    <s v="GHOB_MUNIWASTE"/>
    <x v="0"/>
    <x v="2"/>
    <n v="70"/>
    <n v="25550"/>
    <n v="91980"/>
  </r>
  <r>
    <x v="0"/>
    <x v="0"/>
    <x v="0"/>
    <x v="6"/>
    <x v="12"/>
    <s v="NO3_A2"/>
    <x v="3"/>
    <s v="GHOB_MUNIWASTE"/>
    <x v="0"/>
    <x v="3"/>
    <n v="70"/>
    <n v="25550"/>
    <n v="91980"/>
  </r>
  <r>
    <x v="0"/>
    <x v="0"/>
    <x v="0"/>
    <x v="6"/>
    <x v="12"/>
    <s v="NO3_A2"/>
    <x v="3"/>
    <s v="GHOB_MUNIWASTE"/>
    <x v="0"/>
    <x v="4"/>
    <n v="70"/>
    <n v="25550"/>
    <n v="91980"/>
  </r>
  <r>
    <x v="0"/>
    <x v="0"/>
    <x v="0"/>
    <x v="6"/>
    <x v="12"/>
    <s v="NO3_A2"/>
    <x v="3"/>
    <s v="GHOB_MUNIWASTE"/>
    <x v="0"/>
    <x v="5"/>
    <n v="70"/>
    <n v="25550"/>
    <n v="91980"/>
  </r>
  <r>
    <x v="0"/>
    <x v="0"/>
    <x v="0"/>
    <x v="6"/>
    <x v="12"/>
    <s v="NO3_A2"/>
    <x v="3"/>
    <s v="GHOB_MUNIWASTE"/>
    <x v="0"/>
    <x v="6"/>
    <n v="70"/>
    <n v="25550"/>
    <n v="91980"/>
  </r>
  <r>
    <x v="0"/>
    <x v="0"/>
    <x v="0"/>
    <x v="6"/>
    <x v="12"/>
    <s v="NO3_A2"/>
    <x v="3"/>
    <s v="GHOB_MUNIWASTE"/>
    <x v="0"/>
    <x v="7"/>
    <n v="70"/>
    <n v="25550"/>
    <n v="91980"/>
  </r>
  <r>
    <x v="0"/>
    <x v="0"/>
    <x v="0"/>
    <x v="6"/>
    <x v="12"/>
    <s v="NO3_A2"/>
    <x v="3"/>
    <s v="GHOB_MUNIWASTE"/>
    <x v="0"/>
    <x v="8"/>
    <n v="70"/>
    <n v="25550"/>
    <n v="91980"/>
  </r>
  <r>
    <x v="0"/>
    <x v="0"/>
    <x v="0"/>
    <x v="6"/>
    <x v="12"/>
    <s v="NO3_A2"/>
    <x v="3"/>
    <s v="GHOB_MUNIWASTE"/>
    <x v="0"/>
    <x v="9"/>
    <n v="70"/>
    <n v="25550"/>
    <n v="91980"/>
  </r>
  <r>
    <x v="0"/>
    <x v="0"/>
    <x v="0"/>
    <x v="6"/>
    <x v="12"/>
    <s v="NO3_A2"/>
    <x v="3"/>
    <s v="GHOB_MUNIWASTE"/>
    <x v="0"/>
    <x v="10"/>
    <n v="70"/>
    <n v="25550"/>
    <n v="91980"/>
  </r>
  <r>
    <x v="0"/>
    <x v="0"/>
    <x v="0"/>
    <x v="6"/>
    <x v="12"/>
    <s v="NO3_A2"/>
    <x v="3"/>
    <s v="GHOB_MUNIWASTE"/>
    <x v="0"/>
    <x v="11"/>
    <n v="70"/>
    <n v="25550"/>
    <n v="91980"/>
  </r>
  <r>
    <x v="0"/>
    <x v="0"/>
    <x v="0"/>
    <x v="6"/>
    <x v="12"/>
    <s v="NO3_A2"/>
    <x v="3"/>
    <s v="GHOB_MUNIWASTE"/>
    <x v="0"/>
    <x v="12"/>
    <n v="70"/>
    <n v="25550"/>
    <n v="91980"/>
  </r>
  <r>
    <x v="0"/>
    <x v="0"/>
    <x v="0"/>
    <x v="6"/>
    <x v="12"/>
    <s v="NO3_A2"/>
    <x v="3"/>
    <s v="GHOB_MUNIWASTE"/>
    <x v="0"/>
    <x v="13"/>
    <n v="70"/>
    <n v="25550"/>
    <n v="91980"/>
  </r>
  <r>
    <x v="0"/>
    <x v="0"/>
    <x v="0"/>
    <x v="6"/>
    <x v="12"/>
    <s v="NO3_A2"/>
    <x v="3"/>
    <s v="GHOB_MUNIWASTE"/>
    <x v="0"/>
    <x v="14"/>
    <n v="70"/>
    <n v="25550"/>
    <n v="91980"/>
  </r>
  <r>
    <x v="0"/>
    <x v="0"/>
    <x v="0"/>
    <x v="6"/>
    <x v="12"/>
    <s v="NO3_A2"/>
    <x v="3"/>
    <s v="GHOB_MUNIWASTE"/>
    <x v="0"/>
    <x v="15"/>
    <n v="70"/>
    <n v="25550"/>
    <n v="91980"/>
  </r>
  <r>
    <x v="0"/>
    <x v="0"/>
    <x v="0"/>
    <x v="6"/>
    <x v="12"/>
    <s v="NO3_A2"/>
    <x v="3"/>
    <s v="GHOB_MUNIWASTE"/>
    <x v="0"/>
    <x v="16"/>
    <n v="70"/>
    <n v="25550"/>
    <n v="91980"/>
  </r>
  <r>
    <x v="0"/>
    <x v="0"/>
    <x v="0"/>
    <x v="6"/>
    <x v="12"/>
    <s v="NO3_A2"/>
    <x v="3"/>
    <s v="GHOB_MUNIWASTE"/>
    <x v="0"/>
    <x v="17"/>
    <n v="70"/>
    <n v="25550"/>
    <n v="91980"/>
  </r>
  <r>
    <x v="0"/>
    <x v="0"/>
    <x v="0"/>
    <x v="6"/>
    <x v="12"/>
    <s v="NO3_A2"/>
    <x v="3"/>
    <s v="GHOB_MUNIWASTE"/>
    <x v="0"/>
    <x v="18"/>
    <n v="70"/>
    <n v="25550"/>
    <n v="91980"/>
  </r>
  <r>
    <x v="0"/>
    <x v="0"/>
    <x v="0"/>
    <x v="6"/>
    <x v="12"/>
    <s v="NO3_A2"/>
    <x v="3"/>
    <s v="GHOB_MUNIWASTE"/>
    <x v="0"/>
    <x v="19"/>
    <n v="70"/>
    <n v="25550"/>
    <n v="91980"/>
  </r>
  <r>
    <x v="0"/>
    <x v="0"/>
    <x v="0"/>
    <x v="6"/>
    <x v="12"/>
    <s v="NO3_A2"/>
    <x v="3"/>
    <s v="GHOB_MUNIWASTE"/>
    <x v="0"/>
    <x v="20"/>
    <n v="70"/>
    <n v="25550"/>
    <n v="91980"/>
  </r>
  <r>
    <x v="0"/>
    <x v="0"/>
    <x v="0"/>
    <x v="6"/>
    <x v="12"/>
    <s v="NO3_A2"/>
    <x v="3"/>
    <s v="GHOB_MUNIWASTE"/>
    <x v="0"/>
    <x v="21"/>
    <n v="70"/>
    <n v="25550"/>
    <n v="91980"/>
  </r>
  <r>
    <x v="0"/>
    <x v="0"/>
    <x v="0"/>
    <x v="6"/>
    <x v="12"/>
    <s v="NO3_A2"/>
    <x v="3"/>
    <s v="GHOB_MUNIWASTE"/>
    <x v="0"/>
    <x v="22"/>
    <n v="70"/>
    <n v="25550"/>
    <n v="91980"/>
  </r>
  <r>
    <x v="0"/>
    <x v="0"/>
    <x v="0"/>
    <x v="6"/>
    <x v="12"/>
    <s v="NO3_A2"/>
    <x v="3"/>
    <s v="GHOB_MUNIWASTE"/>
    <x v="0"/>
    <x v="23"/>
    <n v="70"/>
    <n v="25550"/>
    <n v="91980"/>
  </r>
  <r>
    <x v="0"/>
    <x v="0"/>
    <x v="0"/>
    <x v="6"/>
    <x v="12"/>
    <s v="NO3_A2"/>
    <x v="7"/>
    <s v="GHOB_WOODCHIPS"/>
    <x v="0"/>
    <x v="5"/>
    <n v="4.2179292789623304"/>
    <n v="1539.5441868212499"/>
    <n v="5542.3590725565"/>
  </r>
  <r>
    <x v="0"/>
    <x v="0"/>
    <x v="0"/>
    <x v="6"/>
    <x v="12"/>
    <s v="NO3_A2"/>
    <x v="7"/>
    <s v="GHOB_WOODCHIPS"/>
    <x v="0"/>
    <x v="9"/>
    <n v="9.8359236923343794"/>
    <n v="3590.1121477020502"/>
    <n v="12924.4037317274"/>
  </r>
  <r>
    <x v="0"/>
    <x v="0"/>
    <x v="0"/>
    <x v="6"/>
    <x v="12"/>
    <s v="NO3_A2"/>
    <x v="7"/>
    <s v="GHOB_WOODCHIPS"/>
    <x v="0"/>
    <x v="12"/>
    <n v="11.7753601290723"/>
    <n v="4298.0064471113901"/>
    <n v="15472.823209601"/>
  </r>
  <r>
    <x v="0"/>
    <x v="0"/>
    <x v="0"/>
    <x v="6"/>
    <x v="12"/>
    <s v="NO3_A2"/>
    <x v="7"/>
    <s v="GHOB_WOODCHIPS"/>
    <x v="0"/>
    <x v="15"/>
    <n v="5.5685162977091904"/>
    <n v="2032.50844866386"/>
    <n v="7317.0304151898799"/>
  </r>
  <r>
    <x v="0"/>
    <x v="0"/>
    <x v="0"/>
    <x v="6"/>
    <x v="13"/>
    <s v="NO4_A1"/>
    <x v="2"/>
    <s v="GNR_HS_HEAT_WTR-TANK_LS_E-95_Y-2010"/>
    <x v="0"/>
    <x v="8"/>
    <n v="4.6513713593533597"/>
    <n v="1697.7505461639801"/>
    <n v="6111.9019661903203"/>
  </r>
  <r>
    <x v="0"/>
    <x v="0"/>
    <x v="0"/>
    <x v="6"/>
    <x v="13"/>
    <s v="NO4_A1"/>
    <x v="2"/>
    <s v="GNR_HS_HEAT_WTR-TANK_LS_E-95_Y-2010"/>
    <x v="0"/>
    <x v="9"/>
    <n v="10.3702019044594"/>
    <n v="3785.1236951276901"/>
    <n v="13626.445302459701"/>
  </r>
  <r>
    <x v="0"/>
    <x v="0"/>
    <x v="0"/>
    <x v="6"/>
    <x v="13"/>
    <s v="NO4_A1"/>
    <x v="2"/>
    <s v="GNR_HS_HEAT_WTR-TANK_LS_E-95_Y-2010"/>
    <x v="0"/>
    <x v="10"/>
    <n v="9.6901025166950099"/>
    <n v="3536.8874185936802"/>
    <n v="12732.7947069372"/>
  </r>
  <r>
    <x v="0"/>
    <x v="0"/>
    <x v="0"/>
    <x v="6"/>
    <x v="13"/>
    <s v="NO4_A1"/>
    <x v="2"/>
    <s v="GNR_HS_HEAT_WTR-TANK_LS_E-95_Y-2010"/>
    <x v="0"/>
    <x v="11"/>
    <n v="8.2733425856130598"/>
    <n v="3019.7700437487701"/>
    <n v="10871.172157495599"/>
  </r>
  <r>
    <x v="0"/>
    <x v="0"/>
    <x v="0"/>
    <x v="6"/>
    <x v="13"/>
    <s v="NO4_A1"/>
    <x v="2"/>
    <s v="GNR_HS_HEAT_WTR-TANK_LS_E-95_Y-2010"/>
    <x v="0"/>
    <x v="14"/>
    <n v="5.7948943187616804"/>
    <n v="2115.13642634801"/>
    <n v="7614.4911348528503"/>
  </r>
  <r>
    <x v="0"/>
    <x v="0"/>
    <x v="0"/>
    <x v="6"/>
    <x v="13"/>
    <s v="NO4_A1"/>
    <x v="3"/>
    <s v="GBPR_MUNIWASTE"/>
    <x v="0"/>
    <x v="0"/>
    <n v="0.53651612903225798"/>
    <n v="195.82838709677401"/>
    <n v="704.98219354838704"/>
  </r>
  <r>
    <x v="0"/>
    <x v="0"/>
    <x v="0"/>
    <x v="6"/>
    <x v="13"/>
    <s v="NO4_A1"/>
    <x v="3"/>
    <s v="GBPR_MUNIWASTE"/>
    <x v="0"/>
    <x v="1"/>
    <n v="0.53651612903225798"/>
    <n v="195.82838709677401"/>
    <n v="704.98219354838704"/>
  </r>
  <r>
    <x v="0"/>
    <x v="0"/>
    <x v="0"/>
    <x v="6"/>
    <x v="13"/>
    <s v="NO4_A1"/>
    <x v="3"/>
    <s v="GBPR_MUNIWASTE"/>
    <x v="0"/>
    <x v="2"/>
    <n v="0.53651612903225798"/>
    <n v="195.82838709677401"/>
    <n v="704.98219354838704"/>
  </r>
  <r>
    <x v="0"/>
    <x v="0"/>
    <x v="0"/>
    <x v="6"/>
    <x v="13"/>
    <s v="NO4_A1"/>
    <x v="3"/>
    <s v="GBPR_MUNIWASTE"/>
    <x v="0"/>
    <x v="3"/>
    <n v="0.53651612903225798"/>
    <n v="195.82838709677401"/>
    <n v="704.98219354838704"/>
  </r>
  <r>
    <x v="0"/>
    <x v="0"/>
    <x v="0"/>
    <x v="6"/>
    <x v="13"/>
    <s v="NO4_A1"/>
    <x v="3"/>
    <s v="GBPR_MUNIWASTE"/>
    <x v="0"/>
    <x v="4"/>
    <n v="0.53651612903225798"/>
    <n v="195.82838709677401"/>
    <n v="704.98219354838704"/>
  </r>
  <r>
    <x v="0"/>
    <x v="0"/>
    <x v="0"/>
    <x v="6"/>
    <x v="13"/>
    <s v="NO4_A1"/>
    <x v="3"/>
    <s v="GBPR_MUNIWASTE"/>
    <x v="0"/>
    <x v="5"/>
    <n v="0.53651612903225798"/>
    <n v="195.82838709677401"/>
    <n v="704.98219354838704"/>
  </r>
  <r>
    <x v="0"/>
    <x v="0"/>
    <x v="0"/>
    <x v="6"/>
    <x v="13"/>
    <s v="NO4_A1"/>
    <x v="3"/>
    <s v="GBPR_MUNIWASTE"/>
    <x v="0"/>
    <x v="6"/>
    <n v="0.53651612903225798"/>
    <n v="195.82838709677401"/>
    <n v="704.98219354838704"/>
  </r>
  <r>
    <x v="0"/>
    <x v="0"/>
    <x v="0"/>
    <x v="6"/>
    <x v="13"/>
    <s v="NO4_A1"/>
    <x v="3"/>
    <s v="GBPR_MUNIWASTE"/>
    <x v="0"/>
    <x v="7"/>
    <n v="0.53651612903225798"/>
    <n v="195.82838709677401"/>
    <n v="704.98219354838704"/>
  </r>
  <r>
    <x v="0"/>
    <x v="0"/>
    <x v="0"/>
    <x v="6"/>
    <x v="13"/>
    <s v="NO4_A1"/>
    <x v="3"/>
    <s v="GBPR_MUNIWASTE"/>
    <x v="0"/>
    <x v="8"/>
    <n v="0.53651612903225798"/>
    <n v="195.82838709677401"/>
    <n v="704.98219354838704"/>
  </r>
  <r>
    <x v="0"/>
    <x v="0"/>
    <x v="0"/>
    <x v="6"/>
    <x v="13"/>
    <s v="NO4_A1"/>
    <x v="3"/>
    <s v="GBPR_MUNIWASTE"/>
    <x v="0"/>
    <x v="9"/>
    <n v="0.53651612903225798"/>
    <n v="195.82838709677401"/>
    <n v="704.98219354838704"/>
  </r>
  <r>
    <x v="0"/>
    <x v="0"/>
    <x v="0"/>
    <x v="6"/>
    <x v="13"/>
    <s v="NO4_A1"/>
    <x v="3"/>
    <s v="GBPR_MUNIWASTE"/>
    <x v="0"/>
    <x v="10"/>
    <n v="0.53651612903225798"/>
    <n v="195.82838709677401"/>
    <n v="704.98219354838704"/>
  </r>
  <r>
    <x v="0"/>
    <x v="0"/>
    <x v="0"/>
    <x v="6"/>
    <x v="13"/>
    <s v="NO4_A1"/>
    <x v="3"/>
    <s v="GBPR_MUNIWASTE"/>
    <x v="0"/>
    <x v="11"/>
    <n v="0.53651612903225798"/>
    <n v="195.82838709677401"/>
    <n v="704.98219354838704"/>
  </r>
  <r>
    <x v="0"/>
    <x v="0"/>
    <x v="0"/>
    <x v="6"/>
    <x v="13"/>
    <s v="NO4_A1"/>
    <x v="3"/>
    <s v="GBPR_MUNIWASTE"/>
    <x v="0"/>
    <x v="12"/>
    <n v="0.53651612903225798"/>
    <n v="195.82838709677401"/>
    <n v="704.98219354838704"/>
  </r>
  <r>
    <x v="0"/>
    <x v="0"/>
    <x v="0"/>
    <x v="6"/>
    <x v="13"/>
    <s v="NO4_A1"/>
    <x v="3"/>
    <s v="GBPR_MUNIWASTE"/>
    <x v="0"/>
    <x v="13"/>
    <n v="0.53651612903225798"/>
    <n v="195.82838709677401"/>
    <n v="704.98219354838704"/>
  </r>
  <r>
    <x v="0"/>
    <x v="0"/>
    <x v="0"/>
    <x v="6"/>
    <x v="13"/>
    <s v="NO4_A1"/>
    <x v="3"/>
    <s v="GBPR_MUNIWASTE"/>
    <x v="0"/>
    <x v="14"/>
    <n v="0.53651612903225798"/>
    <n v="195.82838709677401"/>
    <n v="704.98219354838704"/>
  </r>
  <r>
    <x v="0"/>
    <x v="0"/>
    <x v="0"/>
    <x v="6"/>
    <x v="13"/>
    <s v="NO4_A1"/>
    <x v="3"/>
    <s v="GBPR_MUNIWASTE"/>
    <x v="0"/>
    <x v="15"/>
    <n v="0.53651612903225798"/>
    <n v="195.82838709677401"/>
    <n v="704.98219354838704"/>
  </r>
  <r>
    <x v="0"/>
    <x v="0"/>
    <x v="0"/>
    <x v="6"/>
    <x v="13"/>
    <s v="NO4_A1"/>
    <x v="3"/>
    <s v="GBPR_MUNIWASTE"/>
    <x v="0"/>
    <x v="16"/>
    <n v="0.53651612903225798"/>
    <n v="195.82838709677401"/>
    <n v="704.98219354838704"/>
  </r>
  <r>
    <x v="0"/>
    <x v="0"/>
    <x v="0"/>
    <x v="6"/>
    <x v="13"/>
    <s v="NO4_A1"/>
    <x v="3"/>
    <s v="GBPR_MUNIWASTE"/>
    <x v="0"/>
    <x v="17"/>
    <n v="0.53651612903225798"/>
    <n v="195.82838709677401"/>
    <n v="704.98219354838704"/>
  </r>
  <r>
    <x v="0"/>
    <x v="0"/>
    <x v="0"/>
    <x v="6"/>
    <x v="13"/>
    <s v="NO4_A1"/>
    <x v="3"/>
    <s v="GBPR_MUNIWASTE"/>
    <x v="0"/>
    <x v="18"/>
    <n v="0.53651612903225798"/>
    <n v="195.82838709677401"/>
    <n v="704.98219354838704"/>
  </r>
  <r>
    <x v="0"/>
    <x v="0"/>
    <x v="0"/>
    <x v="6"/>
    <x v="13"/>
    <s v="NO4_A1"/>
    <x v="3"/>
    <s v="GBPR_MUNIWASTE"/>
    <x v="0"/>
    <x v="19"/>
    <n v="0.53651612903225798"/>
    <n v="195.82838709677401"/>
    <n v="704.98219354838704"/>
  </r>
  <r>
    <x v="0"/>
    <x v="0"/>
    <x v="0"/>
    <x v="6"/>
    <x v="13"/>
    <s v="NO4_A1"/>
    <x v="3"/>
    <s v="GBPR_MUNIWASTE"/>
    <x v="0"/>
    <x v="20"/>
    <n v="0.53651612903225798"/>
    <n v="195.82838709677401"/>
    <n v="704.98219354838704"/>
  </r>
  <r>
    <x v="0"/>
    <x v="0"/>
    <x v="0"/>
    <x v="6"/>
    <x v="13"/>
    <s v="NO4_A1"/>
    <x v="3"/>
    <s v="GBPR_MUNIWASTE"/>
    <x v="0"/>
    <x v="21"/>
    <n v="0.53651612903225798"/>
    <n v="195.82838709677401"/>
    <n v="704.98219354838704"/>
  </r>
  <r>
    <x v="0"/>
    <x v="0"/>
    <x v="0"/>
    <x v="6"/>
    <x v="13"/>
    <s v="NO4_A1"/>
    <x v="3"/>
    <s v="GBPR_MUNIWASTE"/>
    <x v="0"/>
    <x v="22"/>
    <n v="0.53651612903225798"/>
    <n v="195.82838709677401"/>
    <n v="704.98219354838704"/>
  </r>
  <r>
    <x v="0"/>
    <x v="0"/>
    <x v="0"/>
    <x v="6"/>
    <x v="13"/>
    <s v="NO4_A1"/>
    <x v="3"/>
    <s v="GBPR_MUNIWASTE"/>
    <x v="0"/>
    <x v="23"/>
    <n v="0.53651612903225798"/>
    <n v="195.82838709677401"/>
    <n v="704.98219354838704"/>
  </r>
  <r>
    <x v="0"/>
    <x v="0"/>
    <x v="0"/>
    <x v="6"/>
    <x v="13"/>
    <s v="NO4_A1"/>
    <x v="3"/>
    <s v="GHOB_MUNIWASTE"/>
    <x v="0"/>
    <x v="0"/>
    <n v="16"/>
    <n v="5840"/>
    <n v="21024"/>
  </r>
  <r>
    <x v="0"/>
    <x v="0"/>
    <x v="0"/>
    <x v="6"/>
    <x v="13"/>
    <s v="NO4_A1"/>
    <x v="3"/>
    <s v="GHOB_MUNIWASTE"/>
    <x v="0"/>
    <x v="1"/>
    <n v="16"/>
    <n v="5840"/>
    <n v="21024"/>
  </r>
  <r>
    <x v="0"/>
    <x v="0"/>
    <x v="0"/>
    <x v="6"/>
    <x v="13"/>
    <s v="NO4_A1"/>
    <x v="3"/>
    <s v="GHOB_MUNIWASTE"/>
    <x v="0"/>
    <x v="2"/>
    <n v="16"/>
    <n v="5840"/>
    <n v="21024"/>
  </r>
  <r>
    <x v="0"/>
    <x v="0"/>
    <x v="0"/>
    <x v="6"/>
    <x v="13"/>
    <s v="NO4_A1"/>
    <x v="3"/>
    <s v="GHOB_MUNIWASTE"/>
    <x v="0"/>
    <x v="3"/>
    <n v="16"/>
    <n v="5840"/>
    <n v="21024"/>
  </r>
  <r>
    <x v="0"/>
    <x v="0"/>
    <x v="0"/>
    <x v="6"/>
    <x v="13"/>
    <s v="NO4_A1"/>
    <x v="3"/>
    <s v="GHOB_MUNIWASTE"/>
    <x v="0"/>
    <x v="4"/>
    <n v="16"/>
    <n v="5840"/>
    <n v="21024"/>
  </r>
  <r>
    <x v="0"/>
    <x v="0"/>
    <x v="0"/>
    <x v="6"/>
    <x v="13"/>
    <s v="NO4_A1"/>
    <x v="3"/>
    <s v="GHOB_MUNIWASTE"/>
    <x v="0"/>
    <x v="5"/>
    <n v="16"/>
    <n v="5840"/>
    <n v="21024"/>
  </r>
  <r>
    <x v="0"/>
    <x v="0"/>
    <x v="0"/>
    <x v="6"/>
    <x v="13"/>
    <s v="NO4_A1"/>
    <x v="3"/>
    <s v="GHOB_MUNIWASTE"/>
    <x v="0"/>
    <x v="6"/>
    <n v="16"/>
    <n v="5840"/>
    <n v="21024"/>
  </r>
  <r>
    <x v="0"/>
    <x v="0"/>
    <x v="0"/>
    <x v="6"/>
    <x v="13"/>
    <s v="NO4_A1"/>
    <x v="3"/>
    <s v="GHOB_MUNIWASTE"/>
    <x v="0"/>
    <x v="7"/>
    <n v="16"/>
    <n v="5840"/>
    <n v="21024"/>
  </r>
  <r>
    <x v="0"/>
    <x v="0"/>
    <x v="0"/>
    <x v="6"/>
    <x v="13"/>
    <s v="NO4_A1"/>
    <x v="3"/>
    <s v="GHOB_MUNIWASTE"/>
    <x v="0"/>
    <x v="8"/>
    <n v="16"/>
    <n v="5840"/>
    <n v="21024"/>
  </r>
  <r>
    <x v="0"/>
    <x v="0"/>
    <x v="0"/>
    <x v="6"/>
    <x v="13"/>
    <s v="NO4_A1"/>
    <x v="3"/>
    <s v="GHOB_MUNIWASTE"/>
    <x v="0"/>
    <x v="9"/>
    <n v="16"/>
    <n v="5840"/>
    <n v="21024"/>
  </r>
  <r>
    <x v="0"/>
    <x v="0"/>
    <x v="0"/>
    <x v="6"/>
    <x v="13"/>
    <s v="NO4_A1"/>
    <x v="3"/>
    <s v="GHOB_MUNIWASTE"/>
    <x v="0"/>
    <x v="10"/>
    <n v="16"/>
    <n v="5840"/>
    <n v="21024"/>
  </r>
  <r>
    <x v="0"/>
    <x v="0"/>
    <x v="0"/>
    <x v="6"/>
    <x v="13"/>
    <s v="NO4_A1"/>
    <x v="3"/>
    <s v="GHOB_MUNIWASTE"/>
    <x v="0"/>
    <x v="11"/>
    <n v="16"/>
    <n v="5840"/>
    <n v="21024"/>
  </r>
  <r>
    <x v="0"/>
    <x v="0"/>
    <x v="0"/>
    <x v="6"/>
    <x v="13"/>
    <s v="NO4_A1"/>
    <x v="3"/>
    <s v="GHOB_MUNIWASTE"/>
    <x v="0"/>
    <x v="12"/>
    <n v="16"/>
    <n v="5840"/>
    <n v="21024"/>
  </r>
  <r>
    <x v="0"/>
    <x v="0"/>
    <x v="0"/>
    <x v="6"/>
    <x v="13"/>
    <s v="NO4_A1"/>
    <x v="3"/>
    <s v="GHOB_MUNIWASTE"/>
    <x v="0"/>
    <x v="13"/>
    <n v="16"/>
    <n v="5840"/>
    <n v="21024"/>
  </r>
  <r>
    <x v="0"/>
    <x v="0"/>
    <x v="0"/>
    <x v="6"/>
    <x v="13"/>
    <s v="NO4_A1"/>
    <x v="3"/>
    <s v="GHOB_MUNIWASTE"/>
    <x v="0"/>
    <x v="14"/>
    <n v="16"/>
    <n v="5840"/>
    <n v="21024"/>
  </r>
  <r>
    <x v="0"/>
    <x v="0"/>
    <x v="0"/>
    <x v="6"/>
    <x v="13"/>
    <s v="NO4_A1"/>
    <x v="3"/>
    <s v="GHOB_MUNIWASTE"/>
    <x v="0"/>
    <x v="15"/>
    <n v="16"/>
    <n v="5840"/>
    <n v="21024"/>
  </r>
  <r>
    <x v="0"/>
    <x v="0"/>
    <x v="0"/>
    <x v="6"/>
    <x v="13"/>
    <s v="NO4_A1"/>
    <x v="3"/>
    <s v="GHOB_MUNIWASTE"/>
    <x v="0"/>
    <x v="16"/>
    <n v="16"/>
    <n v="5840"/>
    <n v="21024"/>
  </r>
  <r>
    <x v="0"/>
    <x v="0"/>
    <x v="0"/>
    <x v="6"/>
    <x v="13"/>
    <s v="NO4_A1"/>
    <x v="3"/>
    <s v="GHOB_MUNIWASTE"/>
    <x v="0"/>
    <x v="17"/>
    <n v="16"/>
    <n v="5840"/>
    <n v="21024"/>
  </r>
  <r>
    <x v="0"/>
    <x v="0"/>
    <x v="0"/>
    <x v="6"/>
    <x v="13"/>
    <s v="NO4_A1"/>
    <x v="3"/>
    <s v="GHOB_MUNIWASTE"/>
    <x v="0"/>
    <x v="18"/>
    <n v="16"/>
    <n v="5840"/>
    <n v="21024"/>
  </r>
  <r>
    <x v="0"/>
    <x v="0"/>
    <x v="0"/>
    <x v="6"/>
    <x v="13"/>
    <s v="NO4_A1"/>
    <x v="3"/>
    <s v="GHOB_MUNIWASTE"/>
    <x v="0"/>
    <x v="19"/>
    <n v="16"/>
    <n v="5840"/>
    <n v="21024"/>
  </r>
  <r>
    <x v="0"/>
    <x v="0"/>
    <x v="0"/>
    <x v="6"/>
    <x v="13"/>
    <s v="NO4_A1"/>
    <x v="3"/>
    <s v="GHOB_MUNIWASTE"/>
    <x v="0"/>
    <x v="20"/>
    <n v="16"/>
    <n v="5840"/>
    <n v="21024"/>
  </r>
  <r>
    <x v="0"/>
    <x v="0"/>
    <x v="0"/>
    <x v="6"/>
    <x v="13"/>
    <s v="NO4_A1"/>
    <x v="3"/>
    <s v="GHOB_MUNIWASTE"/>
    <x v="0"/>
    <x v="21"/>
    <n v="16"/>
    <n v="5840"/>
    <n v="21024"/>
  </r>
  <r>
    <x v="0"/>
    <x v="0"/>
    <x v="0"/>
    <x v="6"/>
    <x v="13"/>
    <s v="NO4_A1"/>
    <x v="3"/>
    <s v="GHOB_MUNIWASTE"/>
    <x v="0"/>
    <x v="22"/>
    <n v="16"/>
    <n v="5840"/>
    <n v="21024"/>
  </r>
  <r>
    <x v="0"/>
    <x v="0"/>
    <x v="0"/>
    <x v="6"/>
    <x v="13"/>
    <s v="NO4_A1"/>
    <x v="3"/>
    <s v="GHOB_MUNIWASTE"/>
    <x v="0"/>
    <x v="23"/>
    <n v="16"/>
    <n v="5840"/>
    <n v="21024"/>
  </r>
  <r>
    <x v="0"/>
    <x v="0"/>
    <x v="0"/>
    <x v="6"/>
    <x v="13"/>
    <s v="NO4_A1"/>
    <x v="6"/>
    <s v="GHOB_WASTEHEAT"/>
    <x v="0"/>
    <x v="0"/>
    <n v="10.0441849816849"/>
    <n v="3666.1275183150001"/>
    <n v="13198.059065934"/>
  </r>
  <r>
    <x v="0"/>
    <x v="0"/>
    <x v="0"/>
    <x v="6"/>
    <x v="13"/>
    <s v="NO4_A1"/>
    <x v="6"/>
    <s v="GHOB_WASTEHEAT"/>
    <x v="0"/>
    <x v="1"/>
    <n v="10.0441849816849"/>
    <n v="3666.1275183150001"/>
    <n v="13198.059065934"/>
  </r>
  <r>
    <x v="0"/>
    <x v="0"/>
    <x v="0"/>
    <x v="6"/>
    <x v="13"/>
    <s v="NO4_A1"/>
    <x v="6"/>
    <s v="GHOB_WASTEHEAT"/>
    <x v="0"/>
    <x v="2"/>
    <n v="10.0441849816849"/>
    <n v="3666.1275183150001"/>
    <n v="13198.059065934"/>
  </r>
  <r>
    <x v="0"/>
    <x v="0"/>
    <x v="0"/>
    <x v="6"/>
    <x v="13"/>
    <s v="NO4_A1"/>
    <x v="6"/>
    <s v="GHOB_WASTEHEAT"/>
    <x v="0"/>
    <x v="3"/>
    <n v="10.0441849816849"/>
    <n v="3666.1275183150001"/>
    <n v="13198.059065934"/>
  </r>
  <r>
    <x v="0"/>
    <x v="0"/>
    <x v="0"/>
    <x v="6"/>
    <x v="13"/>
    <s v="NO4_A1"/>
    <x v="6"/>
    <s v="GHOB_WASTEHEAT"/>
    <x v="0"/>
    <x v="4"/>
    <n v="10.0441849816849"/>
    <n v="3666.1275183150001"/>
    <n v="13198.059065934"/>
  </r>
  <r>
    <x v="0"/>
    <x v="0"/>
    <x v="0"/>
    <x v="6"/>
    <x v="13"/>
    <s v="NO4_A1"/>
    <x v="6"/>
    <s v="GHOB_WASTEHEAT"/>
    <x v="0"/>
    <x v="5"/>
    <n v="10.0441849816849"/>
    <n v="3666.1275183150001"/>
    <n v="13198.059065934"/>
  </r>
  <r>
    <x v="0"/>
    <x v="0"/>
    <x v="0"/>
    <x v="6"/>
    <x v="13"/>
    <s v="NO4_A1"/>
    <x v="6"/>
    <s v="GHOB_WASTEHEAT"/>
    <x v="0"/>
    <x v="6"/>
    <n v="10.0441849816849"/>
    <n v="3666.1275183150001"/>
    <n v="13198.059065934"/>
  </r>
  <r>
    <x v="0"/>
    <x v="0"/>
    <x v="0"/>
    <x v="6"/>
    <x v="13"/>
    <s v="NO4_A1"/>
    <x v="6"/>
    <s v="GHOB_WASTEHEAT"/>
    <x v="0"/>
    <x v="7"/>
    <n v="10.0441849816849"/>
    <n v="3666.1275183150001"/>
    <n v="13198.059065934"/>
  </r>
  <r>
    <x v="0"/>
    <x v="0"/>
    <x v="0"/>
    <x v="6"/>
    <x v="13"/>
    <s v="NO4_A1"/>
    <x v="6"/>
    <s v="GHOB_WASTEHEAT"/>
    <x v="0"/>
    <x v="8"/>
    <n v="10.0441849816849"/>
    <n v="3666.1275183150001"/>
    <n v="13198.059065934"/>
  </r>
  <r>
    <x v="0"/>
    <x v="0"/>
    <x v="0"/>
    <x v="6"/>
    <x v="13"/>
    <s v="NO4_A1"/>
    <x v="6"/>
    <s v="GHOB_WASTEHEAT"/>
    <x v="0"/>
    <x v="9"/>
    <n v="10.0441849816849"/>
    <n v="3666.1275183150001"/>
    <n v="13198.059065934"/>
  </r>
  <r>
    <x v="0"/>
    <x v="0"/>
    <x v="0"/>
    <x v="6"/>
    <x v="13"/>
    <s v="NO4_A1"/>
    <x v="6"/>
    <s v="GHOB_WASTEHEAT"/>
    <x v="0"/>
    <x v="10"/>
    <n v="10.0441849816849"/>
    <n v="3666.1275183150001"/>
    <n v="13198.059065934"/>
  </r>
  <r>
    <x v="0"/>
    <x v="0"/>
    <x v="0"/>
    <x v="6"/>
    <x v="13"/>
    <s v="NO4_A1"/>
    <x v="6"/>
    <s v="GHOB_WASTEHEAT"/>
    <x v="0"/>
    <x v="11"/>
    <n v="10.0441849816849"/>
    <n v="3666.1275183150001"/>
    <n v="13198.059065934"/>
  </r>
  <r>
    <x v="0"/>
    <x v="0"/>
    <x v="0"/>
    <x v="6"/>
    <x v="13"/>
    <s v="NO4_A1"/>
    <x v="6"/>
    <s v="GHOB_WASTEHEAT"/>
    <x v="0"/>
    <x v="12"/>
    <n v="10.0441849816849"/>
    <n v="3666.1275183150001"/>
    <n v="13198.059065934"/>
  </r>
  <r>
    <x v="0"/>
    <x v="0"/>
    <x v="0"/>
    <x v="6"/>
    <x v="13"/>
    <s v="NO4_A1"/>
    <x v="6"/>
    <s v="GHOB_WASTEHEAT"/>
    <x v="0"/>
    <x v="13"/>
    <n v="10.0441849816849"/>
    <n v="3666.1275183150001"/>
    <n v="13198.059065934"/>
  </r>
  <r>
    <x v="0"/>
    <x v="0"/>
    <x v="0"/>
    <x v="6"/>
    <x v="13"/>
    <s v="NO4_A1"/>
    <x v="6"/>
    <s v="GHOB_WASTEHEAT"/>
    <x v="0"/>
    <x v="14"/>
    <n v="10.0441849816849"/>
    <n v="3666.1275183150001"/>
    <n v="13198.059065934"/>
  </r>
  <r>
    <x v="0"/>
    <x v="0"/>
    <x v="0"/>
    <x v="6"/>
    <x v="13"/>
    <s v="NO4_A1"/>
    <x v="6"/>
    <s v="GHOB_WASTEHEAT"/>
    <x v="0"/>
    <x v="15"/>
    <n v="10.0441849816849"/>
    <n v="3666.1275183150001"/>
    <n v="13198.059065934"/>
  </r>
  <r>
    <x v="0"/>
    <x v="0"/>
    <x v="0"/>
    <x v="6"/>
    <x v="13"/>
    <s v="NO4_A1"/>
    <x v="6"/>
    <s v="GHOB_WASTEHEAT"/>
    <x v="0"/>
    <x v="16"/>
    <n v="10.0441849816849"/>
    <n v="3666.1275183150001"/>
    <n v="13198.059065934"/>
  </r>
  <r>
    <x v="0"/>
    <x v="0"/>
    <x v="0"/>
    <x v="6"/>
    <x v="13"/>
    <s v="NO4_A1"/>
    <x v="6"/>
    <s v="GHOB_WASTEHEAT"/>
    <x v="0"/>
    <x v="17"/>
    <n v="10.0441849816849"/>
    <n v="3666.1275183150001"/>
    <n v="13198.059065934"/>
  </r>
  <r>
    <x v="0"/>
    <x v="0"/>
    <x v="0"/>
    <x v="6"/>
    <x v="13"/>
    <s v="NO4_A1"/>
    <x v="6"/>
    <s v="GHOB_WASTEHEAT"/>
    <x v="0"/>
    <x v="18"/>
    <n v="10.0441849816849"/>
    <n v="3666.1275183150001"/>
    <n v="13198.059065934"/>
  </r>
  <r>
    <x v="0"/>
    <x v="0"/>
    <x v="0"/>
    <x v="6"/>
    <x v="13"/>
    <s v="NO4_A1"/>
    <x v="6"/>
    <s v="GHOB_WASTEHEAT"/>
    <x v="0"/>
    <x v="19"/>
    <n v="10.0441849816849"/>
    <n v="3666.1275183150001"/>
    <n v="13198.059065934"/>
  </r>
  <r>
    <x v="0"/>
    <x v="0"/>
    <x v="0"/>
    <x v="6"/>
    <x v="13"/>
    <s v="NO4_A1"/>
    <x v="6"/>
    <s v="GHOB_WASTEHEAT"/>
    <x v="0"/>
    <x v="20"/>
    <n v="10.0441849816849"/>
    <n v="3666.1275183150001"/>
    <n v="13198.059065934"/>
  </r>
  <r>
    <x v="0"/>
    <x v="0"/>
    <x v="0"/>
    <x v="6"/>
    <x v="13"/>
    <s v="NO4_A1"/>
    <x v="6"/>
    <s v="GHOB_WASTEHEAT"/>
    <x v="0"/>
    <x v="21"/>
    <n v="10.0441849816849"/>
    <n v="3666.1275183150001"/>
    <n v="13198.059065934"/>
  </r>
  <r>
    <x v="0"/>
    <x v="0"/>
    <x v="0"/>
    <x v="6"/>
    <x v="13"/>
    <s v="NO4_A1"/>
    <x v="6"/>
    <s v="GHOB_WASTEHEAT"/>
    <x v="0"/>
    <x v="22"/>
    <n v="10.0441849816849"/>
    <n v="3666.1275183150001"/>
    <n v="13198.059065934"/>
  </r>
  <r>
    <x v="0"/>
    <x v="0"/>
    <x v="0"/>
    <x v="6"/>
    <x v="13"/>
    <s v="NO4_A1"/>
    <x v="6"/>
    <s v="GHOB_WASTEHEAT"/>
    <x v="0"/>
    <x v="23"/>
    <n v="10.0441849816849"/>
    <n v="3666.1275183150001"/>
    <n v="13198.059065934"/>
  </r>
  <r>
    <x v="0"/>
    <x v="0"/>
    <x v="0"/>
    <x v="6"/>
    <x v="13"/>
    <s v="NO4_A1"/>
    <x v="7"/>
    <s v="GHOB_WOODCHIPS"/>
    <x v="0"/>
    <x v="6"/>
    <n v="3.8003992556059498"/>
    <n v="1387.1457282961701"/>
    <n v="4993.7246218662203"/>
  </r>
  <r>
    <x v="0"/>
    <x v="0"/>
    <x v="0"/>
    <x v="6"/>
    <x v="13"/>
    <s v="NO4_A1"/>
    <x v="7"/>
    <s v="GHOB_WOODCHIPS"/>
    <x v="0"/>
    <x v="7"/>
    <n v="8.2917244357815694"/>
    <n v="3026.4794190602702"/>
    <n v="10895.325908617"/>
  </r>
  <r>
    <x v="0"/>
    <x v="0"/>
    <x v="0"/>
    <x v="6"/>
    <x v="13"/>
    <s v="NO4_A1"/>
    <x v="7"/>
    <s v="GHOB_WOODCHIPS"/>
    <x v="0"/>
    <x v="8"/>
    <n v="5.6228312830740501"/>
    <n v="2052.33341832203"/>
    <n v="7388.4003059592997"/>
  </r>
  <r>
    <x v="0"/>
    <x v="0"/>
    <x v="0"/>
    <x v="6"/>
    <x v="13"/>
    <s v="NO4_A1"/>
    <x v="7"/>
    <s v="GHOB_WOODCHIPS"/>
    <x v="0"/>
    <x v="12"/>
    <n v="7.0274764635634002"/>
    <n v="2565.0289092006401"/>
    <n v="9234.1040731223093"/>
  </r>
  <r>
    <x v="0"/>
    <x v="0"/>
    <x v="0"/>
    <x v="6"/>
    <x v="13"/>
    <s v="NO4_A1"/>
    <x v="7"/>
    <s v="GHOB_WOODCHIPS"/>
    <x v="0"/>
    <x v="13"/>
    <n v="6.4718628367001099"/>
    <n v="2362.22993539554"/>
    <n v="8504.0277674239405"/>
  </r>
  <r>
    <x v="0"/>
    <x v="0"/>
    <x v="0"/>
    <x v="6"/>
    <x v="13"/>
    <s v="NO4_A1"/>
    <x v="7"/>
    <s v="GHOB_WOODCHIPS"/>
    <x v="0"/>
    <x v="15"/>
    <n v="4.4447922897531802"/>
    <n v="1622.3491857599099"/>
    <n v="5840.45706873568"/>
  </r>
  <r>
    <x v="0"/>
    <x v="0"/>
    <x v="0"/>
    <x v="6"/>
    <x v="13"/>
    <s v="NO4_A1"/>
    <x v="7"/>
    <s v="GHOB_WOODCHIPS"/>
    <x v="0"/>
    <x v="16"/>
    <n v="2.0064129103270401"/>
    <n v="732.34071226936896"/>
    <n v="2636.4265641697302"/>
  </r>
  <r>
    <x v="0"/>
    <x v="0"/>
    <x v="0"/>
    <x v="6"/>
    <x v="13"/>
    <s v="NO4_A1"/>
    <x v="7"/>
    <s v="GHOB_WOODCHIPS"/>
    <x v="0"/>
    <x v="17"/>
    <n v="0.32913286293256899"/>
    <n v="120.133494970388"/>
    <n v="432.48058189339503"/>
  </r>
  <r>
    <x v="0"/>
    <x v="0"/>
    <x v="0"/>
    <x v="6"/>
    <x v="14"/>
    <s v="NO5_A1"/>
    <x v="12"/>
    <s v="GETOH_HEATPUMP"/>
    <x v="0"/>
    <x v="0"/>
    <n v="0.75"/>
    <n v="273.75"/>
    <n v="985.5"/>
  </r>
  <r>
    <x v="0"/>
    <x v="0"/>
    <x v="0"/>
    <x v="6"/>
    <x v="14"/>
    <s v="NO5_A1"/>
    <x v="12"/>
    <s v="GETOH_HEATPUMP"/>
    <x v="0"/>
    <x v="1"/>
    <n v="0.75"/>
    <n v="273.75"/>
    <n v="985.5"/>
  </r>
  <r>
    <x v="0"/>
    <x v="0"/>
    <x v="0"/>
    <x v="6"/>
    <x v="14"/>
    <s v="NO5_A1"/>
    <x v="12"/>
    <s v="GETOH_HEATPUMP"/>
    <x v="0"/>
    <x v="2"/>
    <n v="0.75"/>
    <n v="273.75"/>
    <n v="985.5"/>
  </r>
  <r>
    <x v="0"/>
    <x v="0"/>
    <x v="0"/>
    <x v="6"/>
    <x v="14"/>
    <s v="NO5_A1"/>
    <x v="12"/>
    <s v="GETOH_HEATPUMP"/>
    <x v="0"/>
    <x v="3"/>
    <n v="0.75"/>
    <n v="273.75"/>
    <n v="985.5"/>
  </r>
  <r>
    <x v="0"/>
    <x v="0"/>
    <x v="0"/>
    <x v="6"/>
    <x v="14"/>
    <s v="NO5_A1"/>
    <x v="12"/>
    <s v="GETOH_HEATPUMP"/>
    <x v="0"/>
    <x v="4"/>
    <n v="0.75"/>
    <n v="273.75"/>
    <n v="985.5"/>
  </r>
  <r>
    <x v="0"/>
    <x v="0"/>
    <x v="0"/>
    <x v="6"/>
    <x v="14"/>
    <s v="NO5_A1"/>
    <x v="12"/>
    <s v="GETOH_HEATPUMP"/>
    <x v="0"/>
    <x v="5"/>
    <n v="0.75"/>
    <n v="273.75"/>
    <n v="985.5"/>
  </r>
  <r>
    <x v="0"/>
    <x v="0"/>
    <x v="0"/>
    <x v="6"/>
    <x v="14"/>
    <s v="NO5_A1"/>
    <x v="12"/>
    <s v="GETOH_HEATPUMP"/>
    <x v="0"/>
    <x v="6"/>
    <n v="0.75"/>
    <n v="273.75"/>
    <n v="985.5"/>
  </r>
  <r>
    <x v="0"/>
    <x v="0"/>
    <x v="0"/>
    <x v="6"/>
    <x v="14"/>
    <s v="NO5_A1"/>
    <x v="12"/>
    <s v="GETOH_HEATPUMP"/>
    <x v="0"/>
    <x v="7"/>
    <n v="0.75"/>
    <n v="273.75"/>
    <n v="985.5"/>
  </r>
  <r>
    <x v="0"/>
    <x v="0"/>
    <x v="0"/>
    <x v="6"/>
    <x v="14"/>
    <s v="NO5_A1"/>
    <x v="12"/>
    <s v="GETOH_HEATPUMP"/>
    <x v="0"/>
    <x v="8"/>
    <n v="0.75"/>
    <n v="273.75"/>
    <n v="985.5"/>
  </r>
  <r>
    <x v="0"/>
    <x v="0"/>
    <x v="0"/>
    <x v="6"/>
    <x v="14"/>
    <s v="NO5_A1"/>
    <x v="12"/>
    <s v="GETOH_HEATPUMP"/>
    <x v="0"/>
    <x v="9"/>
    <n v="0.75"/>
    <n v="273.75"/>
    <n v="985.5"/>
  </r>
  <r>
    <x v="0"/>
    <x v="0"/>
    <x v="0"/>
    <x v="6"/>
    <x v="14"/>
    <s v="NO5_A1"/>
    <x v="12"/>
    <s v="GETOH_HEATPUMP"/>
    <x v="0"/>
    <x v="10"/>
    <n v="0.75"/>
    <n v="273.75"/>
    <n v="985.5"/>
  </r>
  <r>
    <x v="0"/>
    <x v="0"/>
    <x v="0"/>
    <x v="6"/>
    <x v="14"/>
    <s v="NO5_A1"/>
    <x v="12"/>
    <s v="GETOH_HEATPUMP"/>
    <x v="0"/>
    <x v="11"/>
    <n v="0.75"/>
    <n v="273.75"/>
    <n v="985.5"/>
  </r>
  <r>
    <x v="0"/>
    <x v="0"/>
    <x v="0"/>
    <x v="6"/>
    <x v="14"/>
    <s v="NO5_A1"/>
    <x v="12"/>
    <s v="GETOH_HEATPUMP"/>
    <x v="0"/>
    <x v="12"/>
    <n v="0.75"/>
    <n v="273.75"/>
    <n v="985.5"/>
  </r>
  <r>
    <x v="0"/>
    <x v="0"/>
    <x v="0"/>
    <x v="6"/>
    <x v="14"/>
    <s v="NO5_A1"/>
    <x v="12"/>
    <s v="GETOH_HEATPUMP"/>
    <x v="0"/>
    <x v="13"/>
    <n v="0.75"/>
    <n v="273.75"/>
    <n v="985.5"/>
  </r>
  <r>
    <x v="0"/>
    <x v="0"/>
    <x v="0"/>
    <x v="6"/>
    <x v="14"/>
    <s v="NO5_A1"/>
    <x v="12"/>
    <s v="GETOH_HEATPUMP"/>
    <x v="0"/>
    <x v="14"/>
    <n v="0.75"/>
    <n v="273.75"/>
    <n v="985.5"/>
  </r>
  <r>
    <x v="0"/>
    <x v="0"/>
    <x v="0"/>
    <x v="6"/>
    <x v="14"/>
    <s v="NO5_A1"/>
    <x v="12"/>
    <s v="GETOH_HEATPUMP"/>
    <x v="0"/>
    <x v="15"/>
    <n v="0.75"/>
    <n v="273.75"/>
    <n v="985.5"/>
  </r>
  <r>
    <x v="0"/>
    <x v="0"/>
    <x v="0"/>
    <x v="6"/>
    <x v="14"/>
    <s v="NO5_A1"/>
    <x v="12"/>
    <s v="GETOH_HEATPUMP"/>
    <x v="0"/>
    <x v="16"/>
    <n v="0.75"/>
    <n v="273.75"/>
    <n v="985.5"/>
  </r>
  <r>
    <x v="0"/>
    <x v="0"/>
    <x v="0"/>
    <x v="6"/>
    <x v="14"/>
    <s v="NO5_A1"/>
    <x v="12"/>
    <s v="GETOH_HEATPUMP"/>
    <x v="0"/>
    <x v="17"/>
    <n v="0.75"/>
    <n v="273.75"/>
    <n v="985.5"/>
  </r>
  <r>
    <x v="0"/>
    <x v="0"/>
    <x v="0"/>
    <x v="6"/>
    <x v="14"/>
    <s v="NO5_A1"/>
    <x v="12"/>
    <s v="GETOH_HEATPUMP"/>
    <x v="0"/>
    <x v="18"/>
    <n v="0.75"/>
    <n v="273.75"/>
    <n v="985.5"/>
  </r>
  <r>
    <x v="0"/>
    <x v="0"/>
    <x v="0"/>
    <x v="6"/>
    <x v="14"/>
    <s v="NO5_A1"/>
    <x v="12"/>
    <s v="GETOH_HEATPUMP"/>
    <x v="0"/>
    <x v="19"/>
    <n v="0.75"/>
    <n v="273.75"/>
    <n v="985.5"/>
  </r>
  <r>
    <x v="0"/>
    <x v="0"/>
    <x v="0"/>
    <x v="6"/>
    <x v="14"/>
    <s v="NO5_A1"/>
    <x v="12"/>
    <s v="GETOH_HEATPUMP"/>
    <x v="0"/>
    <x v="20"/>
    <n v="0.75"/>
    <n v="273.75"/>
    <n v="985.5"/>
  </r>
  <r>
    <x v="0"/>
    <x v="0"/>
    <x v="0"/>
    <x v="6"/>
    <x v="14"/>
    <s v="NO5_A1"/>
    <x v="12"/>
    <s v="GETOH_HEATPUMP"/>
    <x v="0"/>
    <x v="21"/>
    <n v="0.75"/>
    <n v="273.75"/>
    <n v="985.5"/>
  </r>
  <r>
    <x v="0"/>
    <x v="0"/>
    <x v="0"/>
    <x v="6"/>
    <x v="14"/>
    <s v="NO5_A1"/>
    <x v="12"/>
    <s v="GETOH_HEATPUMP"/>
    <x v="0"/>
    <x v="22"/>
    <n v="0.75"/>
    <n v="273.75"/>
    <n v="985.5"/>
  </r>
  <r>
    <x v="0"/>
    <x v="0"/>
    <x v="0"/>
    <x v="6"/>
    <x v="14"/>
    <s v="NO5_A1"/>
    <x v="12"/>
    <s v="GETOH_HEATPUMP"/>
    <x v="0"/>
    <x v="23"/>
    <n v="0.75"/>
    <n v="273.75"/>
    <n v="985.5"/>
  </r>
  <r>
    <x v="0"/>
    <x v="0"/>
    <x v="0"/>
    <x v="6"/>
    <x v="14"/>
    <s v="NO5_A1"/>
    <x v="14"/>
    <s v="GHOB_LPG"/>
    <x v="0"/>
    <x v="0"/>
    <n v="2.4178105738039801"/>
    <n v="882.50085943845102"/>
    <n v="3177.0030939784201"/>
  </r>
  <r>
    <x v="0"/>
    <x v="0"/>
    <x v="0"/>
    <x v="6"/>
    <x v="14"/>
    <s v="NO5_A1"/>
    <x v="14"/>
    <s v="GHOB_LPG"/>
    <x v="0"/>
    <x v="1"/>
    <n v="2.3349853872847102"/>
    <n v="852.26966635891802"/>
    <n v="3068.1707988921098"/>
  </r>
  <r>
    <x v="0"/>
    <x v="0"/>
    <x v="0"/>
    <x v="6"/>
    <x v="14"/>
    <s v="NO5_A1"/>
    <x v="14"/>
    <s v="GHOB_LPG"/>
    <x v="0"/>
    <x v="2"/>
    <n v="2.5520205108980201"/>
    <n v="931.487486477777"/>
    <n v="3353.3549513200001"/>
  </r>
  <r>
    <x v="0"/>
    <x v="0"/>
    <x v="0"/>
    <x v="6"/>
    <x v="14"/>
    <s v="NO5_A1"/>
    <x v="14"/>
    <s v="GHOB_LPG"/>
    <x v="0"/>
    <x v="3"/>
    <n v="2.9353421706606602"/>
    <n v="1071.3998922911401"/>
    <n v="3857.0396122481102"/>
  </r>
  <r>
    <x v="0"/>
    <x v="0"/>
    <x v="0"/>
    <x v="6"/>
    <x v="14"/>
    <s v="NO5_A1"/>
    <x v="14"/>
    <s v="GHOB_LPG"/>
    <x v="0"/>
    <x v="4"/>
    <n v="4.7618605742745999"/>
    <n v="1738.07910961023"/>
    <n v="6257.0847945968198"/>
  </r>
  <r>
    <x v="0"/>
    <x v="0"/>
    <x v="0"/>
    <x v="6"/>
    <x v="14"/>
    <s v="NO5_A1"/>
    <x v="14"/>
    <s v="GHOB_LPG"/>
    <x v="0"/>
    <x v="5"/>
    <n v="8.4907793242854392"/>
    <n v="3099.13445336419"/>
    <n v="11156.8840321111"/>
  </r>
  <r>
    <x v="0"/>
    <x v="0"/>
    <x v="0"/>
    <x v="6"/>
    <x v="14"/>
    <s v="NO5_A1"/>
    <x v="14"/>
    <s v="GHOB_LPG"/>
    <x v="0"/>
    <x v="6"/>
    <n v="13.4324970408765"/>
    <n v="4902.8614199199401"/>
    <n v="17650.3011117118"/>
  </r>
  <r>
    <x v="0"/>
    <x v="0"/>
    <x v="0"/>
    <x v="6"/>
    <x v="14"/>
    <s v="NO5_A1"/>
    <x v="14"/>
    <s v="GHOB_LPG"/>
    <x v="0"/>
    <x v="7"/>
    <n v="18.203337198540702"/>
    <n v="6644.2180774673598"/>
    <n v="23919.1850788825"/>
  </r>
  <r>
    <x v="0"/>
    <x v="0"/>
    <x v="0"/>
    <x v="6"/>
    <x v="14"/>
    <s v="NO5_A1"/>
    <x v="14"/>
    <s v="GHOB_LPG"/>
    <x v="0"/>
    <x v="8"/>
    <n v="18.413680611421899"/>
    <n v="6720.9934231690104"/>
    <n v="24195.576323408401"/>
  </r>
  <r>
    <x v="0"/>
    <x v="0"/>
    <x v="0"/>
    <x v="6"/>
    <x v="14"/>
    <s v="NO5_A1"/>
    <x v="14"/>
    <s v="GHOB_LPG"/>
    <x v="0"/>
    <x v="9"/>
    <n v="17.110407746510798"/>
    <n v="6245.2988274764502"/>
    <n v="22483.075778915201"/>
  </r>
  <r>
    <x v="0"/>
    <x v="0"/>
    <x v="0"/>
    <x v="6"/>
    <x v="14"/>
    <s v="NO5_A1"/>
    <x v="14"/>
    <s v="GHOB_LPG"/>
    <x v="0"/>
    <x v="10"/>
    <n v="15.611602196331599"/>
    <n v="5698.2348016610404"/>
    <n v="20513.645285979801"/>
  </r>
  <r>
    <x v="0"/>
    <x v="0"/>
    <x v="0"/>
    <x v="6"/>
    <x v="14"/>
    <s v="NO5_A1"/>
    <x v="14"/>
    <s v="GHOB_LPG"/>
    <x v="0"/>
    <x v="11"/>
    <n v="13.767386443380399"/>
    <n v="5025.0960518338497"/>
    <n v="18090.345786601902"/>
  </r>
  <r>
    <x v="0"/>
    <x v="0"/>
    <x v="0"/>
    <x v="6"/>
    <x v="14"/>
    <s v="NO5_A1"/>
    <x v="14"/>
    <s v="GHOB_LPG"/>
    <x v="0"/>
    <x v="12"/>
    <n v="12.1960697873065"/>
    <n v="4451.5654723668704"/>
    <n v="16025.635700520699"/>
  </r>
  <r>
    <x v="0"/>
    <x v="0"/>
    <x v="0"/>
    <x v="6"/>
    <x v="14"/>
    <s v="NO5_A1"/>
    <x v="14"/>
    <s v="GHOB_LPG"/>
    <x v="0"/>
    <x v="13"/>
    <n v="10.7331159105947"/>
    <n v="3917.58730736707"/>
    <n v="14103.314306521501"/>
  </r>
  <r>
    <x v="0"/>
    <x v="0"/>
    <x v="0"/>
    <x v="6"/>
    <x v="14"/>
    <s v="NO5_A1"/>
    <x v="14"/>
    <s v="GHOB_LPG"/>
    <x v="0"/>
    <x v="14"/>
    <n v="9.6904087971999093"/>
    <n v="3536.9992109779701"/>
    <n v="12733.1971595207"/>
  </r>
  <r>
    <x v="0"/>
    <x v="0"/>
    <x v="0"/>
    <x v="6"/>
    <x v="14"/>
    <s v="NO5_A1"/>
    <x v="14"/>
    <s v="GHOB_LPG"/>
    <x v="0"/>
    <x v="15"/>
    <n v="7.4794538232291998"/>
    <n v="2730.0006454786599"/>
    <n v="9828.0023237231708"/>
  </r>
  <r>
    <x v="0"/>
    <x v="0"/>
    <x v="0"/>
    <x v="6"/>
    <x v="14"/>
    <s v="NO5_A1"/>
    <x v="14"/>
    <s v="GHOB_LPG"/>
    <x v="0"/>
    <x v="16"/>
    <n v="6.0326594205541904"/>
    <n v="2201.92068850228"/>
    <n v="7926.9144786082097"/>
  </r>
  <r>
    <x v="0"/>
    <x v="0"/>
    <x v="0"/>
    <x v="6"/>
    <x v="14"/>
    <s v="NO5_A1"/>
    <x v="14"/>
    <s v="GHOB_LPG"/>
    <x v="0"/>
    <x v="17"/>
    <n v="4.7209889704802697"/>
    <n v="1723.1609742252999"/>
    <n v="6203.3795072110797"/>
  </r>
  <r>
    <x v="0"/>
    <x v="0"/>
    <x v="0"/>
    <x v="6"/>
    <x v="14"/>
    <s v="NO5_A1"/>
    <x v="14"/>
    <s v="GHOB_LPG"/>
    <x v="0"/>
    <x v="18"/>
    <n v="3.7920136736157102"/>
    <n v="1384.0849908697301"/>
    <n v="4982.7059671310399"/>
  </r>
  <r>
    <x v="0"/>
    <x v="0"/>
    <x v="0"/>
    <x v="6"/>
    <x v="14"/>
    <s v="NO5_A1"/>
    <x v="14"/>
    <s v="GHOB_LPG"/>
    <x v="0"/>
    <x v="19"/>
    <n v="3.66499963586431"/>
    <n v="1337.7248670904701"/>
    <n v="4815.8095215257099"/>
  </r>
  <r>
    <x v="0"/>
    <x v="0"/>
    <x v="0"/>
    <x v="6"/>
    <x v="14"/>
    <s v="NO5_A1"/>
    <x v="14"/>
    <s v="GHOB_LPG"/>
    <x v="0"/>
    <x v="20"/>
    <n v="3.14854222911337"/>
    <n v="1149.2179136263801"/>
    <n v="4137.1844890549701"/>
  </r>
  <r>
    <x v="0"/>
    <x v="0"/>
    <x v="0"/>
    <x v="6"/>
    <x v="14"/>
    <s v="NO5_A1"/>
    <x v="14"/>
    <s v="GHOB_LPG"/>
    <x v="0"/>
    <x v="21"/>
    <n v="1.6410807920505199"/>
    <n v="598.99448909844"/>
    <n v="2156.3801607543801"/>
  </r>
  <r>
    <x v="0"/>
    <x v="0"/>
    <x v="0"/>
    <x v="6"/>
    <x v="14"/>
    <s v="NO5_A1"/>
    <x v="14"/>
    <s v="GHOB_LPG"/>
    <x v="0"/>
    <x v="22"/>
    <n v="0.65239450840167401"/>
    <n v="238.123995566611"/>
    <n v="857.24638403979895"/>
  </r>
  <r>
    <x v="0"/>
    <x v="0"/>
    <x v="0"/>
    <x v="6"/>
    <x v="14"/>
    <s v="NO5_A1"/>
    <x v="14"/>
    <s v="GHOB_LPG"/>
    <x v="0"/>
    <x v="23"/>
    <n v="0.21240889514948999"/>
    <n v="77.529246729563994"/>
    <n v="279.10528822643101"/>
  </r>
  <r>
    <x v="0"/>
    <x v="0"/>
    <x v="0"/>
    <x v="6"/>
    <x v="14"/>
    <s v="NO5_A1"/>
    <x v="3"/>
    <s v="GBPR_MUNIWASTE"/>
    <x v="0"/>
    <x v="0"/>
    <n v="25.806451612903199"/>
    <n v="9419.3548387096798"/>
    <n v="33909.677419354797"/>
  </r>
  <r>
    <x v="0"/>
    <x v="0"/>
    <x v="0"/>
    <x v="6"/>
    <x v="14"/>
    <s v="NO5_A1"/>
    <x v="3"/>
    <s v="GBPR_MUNIWASTE"/>
    <x v="0"/>
    <x v="1"/>
    <n v="25.806451612903199"/>
    <n v="9419.3548387096798"/>
    <n v="33909.677419354797"/>
  </r>
  <r>
    <x v="0"/>
    <x v="0"/>
    <x v="0"/>
    <x v="6"/>
    <x v="14"/>
    <s v="NO5_A1"/>
    <x v="3"/>
    <s v="GBPR_MUNIWASTE"/>
    <x v="0"/>
    <x v="2"/>
    <n v="25.806451612903199"/>
    <n v="9419.3548387096798"/>
    <n v="33909.677419354797"/>
  </r>
  <r>
    <x v="0"/>
    <x v="0"/>
    <x v="0"/>
    <x v="6"/>
    <x v="14"/>
    <s v="NO5_A1"/>
    <x v="3"/>
    <s v="GBPR_MUNIWASTE"/>
    <x v="0"/>
    <x v="3"/>
    <n v="25.806451612903199"/>
    <n v="9419.3548387096798"/>
    <n v="33909.677419354797"/>
  </r>
  <r>
    <x v="0"/>
    <x v="0"/>
    <x v="0"/>
    <x v="6"/>
    <x v="14"/>
    <s v="NO5_A1"/>
    <x v="3"/>
    <s v="GBPR_MUNIWASTE"/>
    <x v="0"/>
    <x v="4"/>
    <n v="25.806451612903199"/>
    <n v="9419.3548387096798"/>
    <n v="33909.677419354797"/>
  </r>
  <r>
    <x v="0"/>
    <x v="0"/>
    <x v="0"/>
    <x v="6"/>
    <x v="14"/>
    <s v="NO5_A1"/>
    <x v="3"/>
    <s v="GBPR_MUNIWASTE"/>
    <x v="0"/>
    <x v="5"/>
    <n v="25.806451612903199"/>
    <n v="9419.3548387096798"/>
    <n v="33909.677419354797"/>
  </r>
  <r>
    <x v="0"/>
    <x v="0"/>
    <x v="0"/>
    <x v="6"/>
    <x v="14"/>
    <s v="NO5_A1"/>
    <x v="3"/>
    <s v="GBPR_MUNIWASTE"/>
    <x v="0"/>
    <x v="6"/>
    <n v="25.806451612903199"/>
    <n v="9419.3548387096798"/>
    <n v="33909.677419354797"/>
  </r>
  <r>
    <x v="0"/>
    <x v="0"/>
    <x v="0"/>
    <x v="6"/>
    <x v="14"/>
    <s v="NO5_A1"/>
    <x v="3"/>
    <s v="GBPR_MUNIWASTE"/>
    <x v="0"/>
    <x v="7"/>
    <n v="25.806451612903199"/>
    <n v="9419.3548387096798"/>
    <n v="33909.677419354797"/>
  </r>
  <r>
    <x v="0"/>
    <x v="0"/>
    <x v="0"/>
    <x v="6"/>
    <x v="14"/>
    <s v="NO5_A1"/>
    <x v="3"/>
    <s v="GBPR_MUNIWASTE"/>
    <x v="0"/>
    <x v="8"/>
    <n v="25.806451612903199"/>
    <n v="9419.3548387096798"/>
    <n v="33909.677419354797"/>
  </r>
  <r>
    <x v="0"/>
    <x v="0"/>
    <x v="0"/>
    <x v="6"/>
    <x v="14"/>
    <s v="NO5_A1"/>
    <x v="3"/>
    <s v="GBPR_MUNIWASTE"/>
    <x v="0"/>
    <x v="9"/>
    <n v="25.806451612903199"/>
    <n v="9419.3548387096798"/>
    <n v="33909.677419354797"/>
  </r>
  <r>
    <x v="0"/>
    <x v="0"/>
    <x v="0"/>
    <x v="6"/>
    <x v="14"/>
    <s v="NO5_A1"/>
    <x v="3"/>
    <s v="GBPR_MUNIWASTE"/>
    <x v="0"/>
    <x v="10"/>
    <n v="25.806451612903199"/>
    <n v="9419.3548387096798"/>
    <n v="33909.677419354797"/>
  </r>
  <r>
    <x v="0"/>
    <x v="0"/>
    <x v="0"/>
    <x v="6"/>
    <x v="14"/>
    <s v="NO5_A1"/>
    <x v="3"/>
    <s v="GBPR_MUNIWASTE"/>
    <x v="0"/>
    <x v="11"/>
    <n v="25.806451612903199"/>
    <n v="9419.3548387096798"/>
    <n v="33909.677419354797"/>
  </r>
  <r>
    <x v="0"/>
    <x v="0"/>
    <x v="0"/>
    <x v="6"/>
    <x v="14"/>
    <s v="NO5_A1"/>
    <x v="3"/>
    <s v="GBPR_MUNIWASTE"/>
    <x v="0"/>
    <x v="12"/>
    <n v="25.806451612903199"/>
    <n v="9419.3548387096798"/>
    <n v="33909.677419354797"/>
  </r>
  <r>
    <x v="0"/>
    <x v="0"/>
    <x v="0"/>
    <x v="6"/>
    <x v="14"/>
    <s v="NO5_A1"/>
    <x v="3"/>
    <s v="GBPR_MUNIWASTE"/>
    <x v="0"/>
    <x v="13"/>
    <n v="25.806451612903199"/>
    <n v="9419.3548387096798"/>
    <n v="33909.677419354797"/>
  </r>
  <r>
    <x v="0"/>
    <x v="0"/>
    <x v="0"/>
    <x v="6"/>
    <x v="14"/>
    <s v="NO5_A1"/>
    <x v="3"/>
    <s v="GBPR_MUNIWASTE"/>
    <x v="0"/>
    <x v="14"/>
    <n v="25.806451612903199"/>
    <n v="9419.3548387096798"/>
    <n v="33909.677419354797"/>
  </r>
  <r>
    <x v="0"/>
    <x v="0"/>
    <x v="0"/>
    <x v="6"/>
    <x v="14"/>
    <s v="NO5_A1"/>
    <x v="3"/>
    <s v="GBPR_MUNIWASTE"/>
    <x v="0"/>
    <x v="15"/>
    <n v="25.806451612903199"/>
    <n v="9419.3548387096798"/>
    <n v="33909.677419354797"/>
  </r>
  <r>
    <x v="0"/>
    <x v="0"/>
    <x v="0"/>
    <x v="6"/>
    <x v="14"/>
    <s v="NO5_A1"/>
    <x v="3"/>
    <s v="GBPR_MUNIWASTE"/>
    <x v="0"/>
    <x v="16"/>
    <n v="25.806451612903199"/>
    <n v="9419.3548387096798"/>
    <n v="33909.677419354797"/>
  </r>
  <r>
    <x v="0"/>
    <x v="0"/>
    <x v="0"/>
    <x v="6"/>
    <x v="14"/>
    <s v="NO5_A1"/>
    <x v="3"/>
    <s v="GBPR_MUNIWASTE"/>
    <x v="0"/>
    <x v="17"/>
    <n v="25.806451612903199"/>
    <n v="9419.3548387096798"/>
    <n v="33909.677419354797"/>
  </r>
  <r>
    <x v="0"/>
    <x v="0"/>
    <x v="0"/>
    <x v="6"/>
    <x v="14"/>
    <s v="NO5_A1"/>
    <x v="3"/>
    <s v="GBPR_MUNIWASTE"/>
    <x v="0"/>
    <x v="18"/>
    <n v="25.806451612903199"/>
    <n v="9419.3548387096798"/>
    <n v="33909.677419354797"/>
  </r>
  <r>
    <x v="0"/>
    <x v="0"/>
    <x v="0"/>
    <x v="6"/>
    <x v="14"/>
    <s v="NO5_A1"/>
    <x v="3"/>
    <s v="GBPR_MUNIWASTE"/>
    <x v="0"/>
    <x v="19"/>
    <n v="25.806451612903199"/>
    <n v="9419.3548387096798"/>
    <n v="33909.677419354797"/>
  </r>
  <r>
    <x v="0"/>
    <x v="0"/>
    <x v="0"/>
    <x v="6"/>
    <x v="14"/>
    <s v="NO5_A1"/>
    <x v="3"/>
    <s v="GBPR_MUNIWASTE"/>
    <x v="0"/>
    <x v="20"/>
    <n v="25.806451612903199"/>
    <n v="9419.3548387096798"/>
    <n v="33909.677419354797"/>
  </r>
  <r>
    <x v="0"/>
    <x v="0"/>
    <x v="0"/>
    <x v="6"/>
    <x v="14"/>
    <s v="NO5_A1"/>
    <x v="3"/>
    <s v="GBPR_MUNIWASTE"/>
    <x v="0"/>
    <x v="21"/>
    <n v="25.806451612903199"/>
    <n v="9419.3548387096798"/>
    <n v="33909.677419354797"/>
  </r>
  <r>
    <x v="0"/>
    <x v="0"/>
    <x v="0"/>
    <x v="6"/>
    <x v="14"/>
    <s v="NO5_A1"/>
    <x v="3"/>
    <s v="GBPR_MUNIWASTE"/>
    <x v="0"/>
    <x v="22"/>
    <n v="25.806451612903199"/>
    <n v="9419.3548387096798"/>
    <n v="33909.677419354797"/>
  </r>
  <r>
    <x v="0"/>
    <x v="0"/>
    <x v="0"/>
    <x v="6"/>
    <x v="14"/>
    <s v="NO5_A1"/>
    <x v="3"/>
    <s v="GBPR_MUNIWASTE"/>
    <x v="0"/>
    <x v="23"/>
    <n v="25.806451612903199"/>
    <n v="9419.3548387096798"/>
    <n v="33909.677419354797"/>
  </r>
  <r>
    <x v="0"/>
    <x v="0"/>
    <x v="0"/>
    <x v="7"/>
    <x v="15"/>
    <s v="PL_A"/>
    <x v="3"/>
    <s v="GNR_ST_MSW_BP_E-15"/>
    <x v="0"/>
    <x v="0"/>
    <n v="170"/>
    <n v="62050"/>
    <n v="223380"/>
  </r>
  <r>
    <x v="0"/>
    <x v="0"/>
    <x v="0"/>
    <x v="7"/>
    <x v="15"/>
    <s v="PL_A"/>
    <x v="3"/>
    <s v="GNR_ST_MSW_BP_E-15"/>
    <x v="0"/>
    <x v="1"/>
    <n v="170"/>
    <n v="62050"/>
    <n v="223380"/>
  </r>
  <r>
    <x v="0"/>
    <x v="0"/>
    <x v="0"/>
    <x v="7"/>
    <x v="15"/>
    <s v="PL_A"/>
    <x v="3"/>
    <s v="GNR_ST_MSW_BP_E-15"/>
    <x v="0"/>
    <x v="2"/>
    <n v="170"/>
    <n v="62050"/>
    <n v="223380"/>
  </r>
  <r>
    <x v="0"/>
    <x v="0"/>
    <x v="0"/>
    <x v="7"/>
    <x v="15"/>
    <s v="PL_A"/>
    <x v="3"/>
    <s v="GNR_ST_MSW_BP_E-15"/>
    <x v="0"/>
    <x v="3"/>
    <n v="170"/>
    <n v="62050"/>
    <n v="223380"/>
  </r>
  <r>
    <x v="0"/>
    <x v="0"/>
    <x v="0"/>
    <x v="7"/>
    <x v="15"/>
    <s v="PL_A"/>
    <x v="3"/>
    <s v="GNR_ST_MSW_BP_E-15"/>
    <x v="0"/>
    <x v="4"/>
    <n v="170"/>
    <n v="62050"/>
    <n v="223380"/>
  </r>
  <r>
    <x v="0"/>
    <x v="0"/>
    <x v="0"/>
    <x v="7"/>
    <x v="15"/>
    <s v="PL_A"/>
    <x v="3"/>
    <s v="GNR_ST_MSW_BP_E-15"/>
    <x v="0"/>
    <x v="5"/>
    <n v="170"/>
    <n v="62050"/>
    <n v="223380"/>
  </r>
  <r>
    <x v="0"/>
    <x v="0"/>
    <x v="0"/>
    <x v="7"/>
    <x v="15"/>
    <s v="PL_A"/>
    <x v="3"/>
    <s v="GNR_ST_MSW_BP_E-15"/>
    <x v="0"/>
    <x v="6"/>
    <n v="170"/>
    <n v="62050"/>
    <n v="223380"/>
  </r>
  <r>
    <x v="0"/>
    <x v="0"/>
    <x v="0"/>
    <x v="7"/>
    <x v="15"/>
    <s v="PL_A"/>
    <x v="3"/>
    <s v="GNR_ST_MSW_BP_E-15"/>
    <x v="0"/>
    <x v="7"/>
    <n v="170"/>
    <n v="62050"/>
    <n v="223380"/>
  </r>
  <r>
    <x v="0"/>
    <x v="0"/>
    <x v="0"/>
    <x v="7"/>
    <x v="15"/>
    <s v="PL_A"/>
    <x v="3"/>
    <s v="GNR_ST_MSW_BP_E-15"/>
    <x v="0"/>
    <x v="8"/>
    <n v="170"/>
    <n v="62050"/>
    <n v="223380"/>
  </r>
  <r>
    <x v="0"/>
    <x v="0"/>
    <x v="0"/>
    <x v="7"/>
    <x v="15"/>
    <s v="PL_A"/>
    <x v="3"/>
    <s v="GNR_ST_MSW_BP_E-15"/>
    <x v="0"/>
    <x v="9"/>
    <n v="170"/>
    <n v="62050"/>
    <n v="223380"/>
  </r>
  <r>
    <x v="0"/>
    <x v="0"/>
    <x v="0"/>
    <x v="7"/>
    <x v="15"/>
    <s v="PL_A"/>
    <x v="3"/>
    <s v="GNR_ST_MSW_BP_E-15"/>
    <x v="0"/>
    <x v="10"/>
    <n v="170"/>
    <n v="62050"/>
    <n v="223380"/>
  </r>
  <r>
    <x v="0"/>
    <x v="0"/>
    <x v="0"/>
    <x v="7"/>
    <x v="15"/>
    <s v="PL_A"/>
    <x v="3"/>
    <s v="GNR_ST_MSW_BP_E-15"/>
    <x v="0"/>
    <x v="11"/>
    <n v="170"/>
    <n v="62050"/>
    <n v="223380"/>
  </r>
  <r>
    <x v="0"/>
    <x v="0"/>
    <x v="0"/>
    <x v="7"/>
    <x v="15"/>
    <s v="PL_A"/>
    <x v="3"/>
    <s v="GNR_ST_MSW_BP_E-15"/>
    <x v="0"/>
    <x v="12"/>
    <n v="170"/>
    <n v="62050"/>
    <n v="223380"/>
  </r>
  <r>
    <x v="0"/>
    <x v="0"/>
    <x v="0"/>
    <x v="7"/>
    <x v="15"/>
    <s v="PL_A"/>
    <x v="3"/>
    <s v="GNR_ST_MSW_BP_E-15"/>
    <x v="0"/>
    <x v="13"/>
    <n v="170"/>
    <n v="62050"/>
    <n v="223380"/>
  </r>
  <r>
    <x v="0"/>
    <x v="0"/>
    <x v="0"/>
    <x v="7"/>
    <x v="15"/>
    <s v="PL_A"/>
    <x v="3"/>
    <s v="GNR_ST_MSW_BP_E-15"/>
    <x v="0"/>
    <x v="14"/>
    <n v="170"/>
    <n v="62050"/>
    <n v="223380"/>
  </r>
  <r>
    <x v="0"/>
    <x v="0"/>
    <x v="0"/>
    <x v="7"/>
    <x v="15"/>
    <s v="PL_A"/>
    <x v="3"/>
    <s v="GNR_ST_MSW_BP_E-15"/>
    <x v="0"/>
    <x v="15"/>
    <n v="170"/>
    <n v="62050"/>
    <n v="223380"/>
  </r>
  <r>
    <x v="0"/>
    <x v="0"/>
    <x v="0"/>
    <x v="7"/>
    <x v="15"/>
    <s v="PL_A"/>
    <x v="3"/>
    <s v="GNR_ST_MSW_BP_E-15"/>
    <x v="0"/>
    <x v="16"/>
    <n v="170"/>
    <n v="62050"/>
    <n v="223380"/>
  </r>
  <r>
    <x v="0"/>
    <x v="0"/>
    <x v="0"/>
    <x v="7"/>
    <x v="15"/>
    <s v="PL_A"/>
    <x v="3"/>
    <s v="GNR_ST_MSW_BP_E-15"/>
    <x v="0"/>
    <x v="17"/>
    <n v="170"/>
    <n v="62050"/>
    <n v="223380"/>
  </r>
  <r>
    <x v="0"/>
    <x v="0"/>
    <x v="0"/>
    <x v="7"/>
    <x v="15"/>
    <s v="PL_A"/>
    <x v="3"/>
    <s v="GNR_ST_MSW_BP_E-15"/>
    <x v="0"/>
    <x v="18"/>
    <n v="170"/>
    <n v="62050"/>
    <n v="223380"/>
  </r>
  <r>
    <x v="0"/>
    <x v="0"/>
    <x v="0"/>
    <x v="7"/>
    <x v="15"/>
    <s v="PL_A"/>
    <x v="3"/>
    <s v="GNR_ST_MSW_BP_E-15"/>
    <x v="0"/>
    <x v="19"/>
    <n v="170"/>
    <n v="62050"/>
    <n v="223380"/>
  </r>
  <r>
    <x v="0"/>
    <x v="0"/>
    <x v="0"/>
    <x v="7"/>
    <x v="15"/>
    <s v="PL_A"/>
    <x v="3"/>
    <s v="GNR_ST_MSW_BP_E-15"/>
    <x v="0"/>
    <x v="20"/>
    <n v="170"/>
    <n v="62050"/>
    <n v="223380"/>
  </r>
  <r>
    <x v="0"/>
    <x v="0"/>
    <x v="0"/>
    <x v="7"/>
    <x v="15"/>
    <s v="PL_A"/>
    <x v="3"/>
    <s v="GNR_ST_MSW_BP_E-15"/>
    <x v="0"/>
    <x v="21"/>
    <n v="170"/>
    <n v="62050"/>
    <n v="223380"/>
  </r>
  <r>
    <x v="0"/>
    <x v="0"/>
    <x v="0"/>
    <x v="7"/>
    <x v="15"/>
    <s v="PL_A"/>
    <x v="3"/>
    <s v="GNR_ST_MSW_BP_E-15"/>
    <x v="0"/>
    <x v="22"/>
    <n v="170"/>
    <n v="62050"/>
    <n v="223380"/>
  </r>
  <r>
    <x v="0"/>
    <x v="0"/>
    <x v="0"/>
    <x v="7"/>
    <x v="15"/>
    <s v="PL_A"/>
    <x v="3"/>
    <s v="GNR_ST_MSW_BP_E-15"/>
    <x v="0"/>
    <x v="23"/>
    <n v="170"/>
    <n v="62050"/>
    <n v="223380"/>
  </r>
  <r>
    <x v="0"/>
    <x v="0"/>
    <x v="0"/>
    <x v="7"/>
    <x v="15"/>
    <s v="PL_A"/>
    <x v="4"/>
    <s v="NOWA-1_ST_NGAS_BP"/>
    <x v="0"/>
    <x v="0"/>
    <n v="127"/>
    <n v="46355"/>
    <n v="166878"/>
  </r>
  <r>
    <x v="0"/>
    <x v="0"/>
    <x v="0"/>
    <x v="7"/>
    <x v="15"/>
    <s v="PL_A"/>
    <x v="4"/>
    <s v="NOWA-1_ST_NGAS_BP"/>
    <x v="0"/>
    <x v="1"/>
    <n v="127"/>
    <n v="46355"/>
    <n v="166878"/>
  </r>
  <r>
    <x v="0"/>
    <x v="0"/>
    <x v="0"/>
    <x v="7"/>
    <x v="15"/>
    <s v="PL_A"/>
    <x v="4"/>
    <s v="NOWA-1_ST_NGAS_BP"/>
    <x v="0"/>
    <x v="2"/>
    <n v="127"/>
    <n v="46355"/>
    <n v="166878"/>
  </r>
  <r>
    <x v="0"/>
    <x v="0"/>
    <x v="0"/>
    <x v="7"/>
    <x v="15"/>
    <s v="PL_A"/>
    <x v="4"/>
    <s v="NOWA-1_ST_NGAS_BP"/>
    <x v="0"/>
    <x v="3"/>
    <n v="127"/>
    <n v="46355"/>
    <n v="166878"/>
  </r>
  <r>
    <x v="0"/>
    <x v="0"/>
    <x v="0"/>
    <x v="7"/>
    <x v="15"/>
    <s v="PL_A"/>
    <x v="4"/>
    <s v="NOWA-1_ST_NGAS_BP"/>
    <x v="0"/>
    <x v="4"/>
    <n v="127"/>
    <n v="46355"/>
    <n v="166878"/>
  </r>
  <r>
    <x v="0"/>
    <x v="0"/>
    <x v="0"/>
    <x v="7"/>
    <x v="15"/>
    <s v="PL_A"/>
    <x v="4"/>
    <s v="NOWA-1_ST_NGAS_BP"/>
    <x v="0"/>
    <x v="5"/>
    <n v="127"/>
    <n v="46355"/>
    <n v="166878"/>
  </r>
  <r>
    <x v="0"/>
    <x v="0"/>
    <x v="0"/>
    <x v="7"/>
    <x v="15"/>
    <s v="PL_A"/>
    <x v="4"/>
    <s v="NOWA-1_ST_NGAS_BP"/>
    <x v="0"/>
    <x v="6"/>
    <n v="127"/>
    <n v="46355"/>
    <n v="166878"/>
  </r>
  <r>
    <x v="0"/>
    <x v="0"/>
    <x v="0"/>
    <x v="7"/>
    <x v="15"/>
    <s v="PL_A"/>
    <x v="4"/>
    <s v="NOWA-1_ST_NGAS_BP"/>
    <x v="0"/>
    <x v="7"/>
    <n v="127"/>
    <n v="46355"/>
    <n v="166878"/>
  </r>
  <r>
    <x v="0"/>
    <x v="0"/>
    <x v="0"/>
    <x v="7"/>
    <x v="15"/>
    <s v="PL_A"/>
    <x v="4"/>
    <s v="NOWA-1_ST_NGAS_BP"/>
    <x v="0"/>
    <x v="8"/>
    <n v="127"/>
    <n v="46355"/>
    <n v="166878"/>
  </r>
  <r>
    <x v="0"/>
    <x v="0"/>
    <x v="0"/>
    <x v="7"/>
    <x v="15"/>
    <s v="PL_A"/>
    <x v="4"/>
    <s v="NOWA-1_ST_NGAS_BP"/>
    <x v="0"/>
    <x v="9"/>
    <n v="127"/>
    <n v="46355"/>
    <n v="166878"/>
  </r>
  <r>
    <x v="0"/>
    <x v="0"/>
    <x v="0"/>
    <x v="7"/>
    <x v="15"/>
    <s v="PL_A"/>
    <x v="4"/>
    <s v="NOWA-1_ST_NGAS_BP"/>
    <x v="0"/>
    <x v="11"/>
    <n v="127"/>
    <n v="46355"/>
    <n v="166878"/>
  </r>
  <r>
    <x v="0"/>
    <x v="0"/>
    <x v="0"/>
    <x v="7"/>
    <x v="15"/>
    <s v="PL_A"/>
    <x v="4"/>
    <s v="NOWA-1_ST_NGAS_BP"/>
    <x v="0"/>
    <x v="12"/>
    <n v="127"/>
    <n v="46355"/>
    <n v="166878"/>
  </r>
  <r>
    <x v="0"/>
    <x v="0"/>
    <x v="0"/>
    <x v="7"/>
    <x v="15"/>
    <s v="PL_A"/>
    <x v="4"/>
    <s v="NOWA-1_ST_NGAS_BP"/>
    <x v="0"/>
    <x v="13"/>
    <n v="127"/>
    <n v="46355"/>
    <n v="166878"/>
  </r>
  <r>
    <x v="0"/>
    <x v="0"/>
    <x v="0"/>
    <x v="7"/>
    <x v="15"/>
    <s v="PL_A"/>
    <x v="4"/>
    <s v="NOWA-1_ST_NGAS_BP"/>
    <x v="0"/>
    <x v="14"/>
    <n v="127"/>
    <n v="46355"/>
    <n v="166878"/>
  </r>
  <r>
    <x v="0"/>
    <x v="0"/>
    <x v="0"/>
    <x v="7"/>
    <x v="15"/>
    <s v="PL_A"/>
    <x v="4"/>
    <s v="NOWA-1_ST_NGAS_BP"/>
    <x v="0"/>
    <x v="15"/>
    <n v="127"/>
    <n v="46355"/>
    <n v="166878"/>
  </r>
  <r>
    <x v="0"/>
    <x v="0"/>
    <x v="0"/>
    <x v="7"/>
    <x v="15"/>
    <s v="PL_A"/>
    <x v="4"/>
    <s v="NOWA-1_ST_NGAS_BP"/>
    <x v="0"/>
    <x v="18"/>
    <n v="127"/>
    <n v="46355"/>
    <n v="166878"/>
  </r>
  <r>
    <x v="0"/>
    <x v="0"/>
    <x v="0"/>
    <x v="7"/>
    <x v="15"/>
    <s v="PL_A"/>
    <x v="4"/>
    <s v="NOWA-1_ST_NGAS_BP"/>
    <x v="0"/>
    <x v="19"/>
    <n v="127"/>
    <n v="46355"/>
    <n v="166878"/>
  </r>
  <r>
    <x v="0"/>
    <x v="0"/>
    <x v="0"/>
    <x v="7"/>
    <x v="15"/>
    <s v="PL_A"/>
    <x v="4"/>
    <s v="NOWA-1_ST_NGAS_BP"/>
    <x v="0"/>
    <x v="20"/>
    <n v="127"/>
    <n v="46355"/>
    <n v="166878"/>
  </r>
  <r>
    <x v="0"/>
    <x v="0"/>
    <x v="0"/>
    <x v="7"/>
    <x v="15"/>
    <s v="PL_A"/>
    <x v="4"/>
    <s v="NOWA-1_ST_NGAS_BP"/>
    <x v="0"/>
    <x v="21"/>
    <n v="127"/>
    <n v="46355"/>
    <n v="166878"/>
  </r>
  <r>
    <x v="0"/>
    <x v="0"/>
    <x v="0"/>
    <x v="7"/>
    <x v="15"/>
    <s v="PL_A"/>
    <x v="4"/>
    <s v="NOWA-1_ST_NGAS_BP"/>
    <x v="0"/>
    <x v="22"/>
    <n v="127"/>
    <n v="46355"/>
    <n v="166878"/>
  </r>
  <r>
    <x v="0"/>
    <x v="0"/>
    <x v="0"/>
    <x v="7"/>
    <x v="15"/>
    <s v="PL_A"/>
    <x v="4"/>
    <s v="NOWA-1_ST_NGAS_BP"/>
    <x v="0"/>
    <x v="23"/>
    <n v="127"/>
    <n v="46355"/>
    <n v="166878"/>
  </r>
  <r>
    <x v="0"/>
    <x v="0"/>
    <x v="0"/>
    <x v="7"/>
    <x v="15"/>
    <s v="PL_A"/>
    <x v="4"/>
    <s v="RZES-2_ST_NGAS_BP"/>
    <x v="0"/>
    <x v="0"/>
    <n v="32"/>
    <n v="11680"/>
    <n v="42048"/>
  </r>
  <r>
    <x v="0"/>
    <x v="0"/>
    <x v="0"/>
    <x v="7"/>
    <x v="15"/>
    <s v="PL_A"/>
    <x v="4"/>
    <s v="RZES-2_ST_NGAS_BP"/>
    <x v="0"/>
    <x v="1"/>
    <n v="32"/>
    <n v="11680"/>
    <n v="42048"/>
  </r>
  <r>
    <x v="0"/>
    <x v="0"/>
    <x v="0"/>
    <x v="7"/>
    <x v="15"/>
    <s v="PL_A"/>
    <x v="4"/>
    <s v="RZES-2_ST_NGAS_BP"/>
    <x v="0"/>
    <x v="2"/>
    <n v="32"/>
    <n v="11680"/>
    <n v="42048"/>
  </r>
  <r>
    <x v="0"/>
    <x v="0"/>
    <x v="0"/>
    <x v="7"/>
    <x v="15"/>
    <s v="PL_A"/>
    <x v="4"/>
    <s v="RZES-2_ST_NGAS_BP"/>
    <x v="0"/>
    <x v="3"/>
    <n v="32"/>
    <n v="11680"/>
    <n v="42048"/>
  </r>
  <r>
    <x v="0"/>
    <x v="0"/>
    <x v="0"/>
    <x v="7"/>
    <x v="15"/>
    <s v="PL_A"/>
    <x v="4"/>
    <s v="RZES-2_ST_NGAS_BP"/>
    <x v="0"/>
    <x v="4"/>
    <n v="32"/>
    <n v="11680"/>
    <n v="42048"/>
  </r>
  <r>
    <x v="0"/>
    <x v="0"/>
    <x v="0"/>
    <x v="7"/>
    <x v="15"/>
    <s v="PL_A"/>
    <x v="4"/>
    <s v="RZES-2_ST_NGAS_BP"/>
    <x v="0"/>
    <x v="5"/>
    <n v="32"/>
    <n v="11680"/>
    <n v="42048"/>
  </r>
  <r>
    <x v="0"/>
    <x v="0"/>
    <x v="0"/>
    <x v="7"/>
    <x v="15"/>
    <s v="PL_A"/>
    <x v="4"/>
    <s v="RZES-2_ST_NGAS_BP"/>
    <x v="0"/>
    <x v="6"/>
    <n v="32"/>
    <n v="11680"/>
    <n v="42048"/>
  </r>
  <r>
    <x v="0"/>
    <x v="0"/>
    <x v="0"/>
    <x v="7"/>
    <x v="15"/>
    <s v="PL_A"/>
    <x v="4"/>
    <s v="RZES-2_ST_NGAS_BP"/>
    <x v="0"/>
    <x v="7"/>
    <n v="32"/>
    <n v="11680"/>
    <n v="42048"/>
  </r>
  <r>
    <x v="0"/>
    <x v="0"/>
    <x v="0"/>
    <x v="7"/>
    <x v="15"/>
    <s v="PL_A"/>
    <x v="4"/>
    <s v="RZES-2_ST_NGAS_BP"/>
    <x v="0"/>
    <x v="8"/>
    <n v="32"/>
    <n v="11680"/>
    <n v="42048"/>
  </r>
  <r>
    <x v="0"/>
    <x v="0"/>
    <x v="0"/>
    <x v="7"/>
    <x v="15"/>
    <s v="PL_A"/>
    <x v="4"/>
    <s v="RZES-2_ST_NGAS_BP"/>
    <x v="0"/>
    <x v="9"/>
    <n v="32"/>
    <n v="11680"/>
    <n v="42048"/>
  </r>
  <r>
    <x v="0"/>
    <x v="0"/>
    <x v="0"/>
    <x v="7"/>
    <x v="15"/>
    <s v="PL_A"/>
    <x v="4"/>
    <s v="RZES-2_ST_NGAS_BP"/>
    <x v="0"/>
    <x v="11"/>
    <n v="32"/>
    <n v="11680"/>
    <n v="42048"/>
  </r>
  <r>
    <x v="0"/>
    <x v="0"/>
    <x v="0"/>
    <x v="7"/>
    <x v="15"/>
    <s v="PL_A"/>
    <x v="4"/>
    <s v="RZES-2_ST_NGAS_BP"/>
    <x v="0"/>
    <x v="12"/>
    <n v="32"/>
    <n v="11680"/>
    <n v="42048"/>
  </r>
  <r>
    <x v="0"/>
    <x v="0"/>
    <x v="0"/>
    <x v="7"/>
    <x v="15"/>
    <s v="PL_A"/>
    <x v="4"/>
    <s v="RZES-2_ST_NGAS_BP"/>
    <x v="0"/>
    <x v="13"/>
    <n v="32"/>
    <n v="11680"/>
    <n v="42048"/>
  </r>
  <r>
    <x v="0"/>
    <x v="0"/>
    <x v="0"/>
    <x v="7"/>
    <x v="15"/>
    <s v="PL_A"/>
    <x v="4"/>
    <s v="RZES-2_ST_NGAS_BP"/>
    <x v="0"/>
    <x v="14"/>
    <n v="32"/>
    <n v="11680"/>
    <n v="42048"/>
  </r>
  <r>
    <x v="0"/>
    <x v="0"/>
    <x v="0"/>
    <x v="7"/>
    <x v="15"/>
    <s v="PL_A"/>
    <x v="4"/>
    <s v="RZES-2_ST_NGAS_BP"/>
    <x v="0"/>
    <x v="15"/>
    <n v="32"/>
    <n v="11680"/>
    <n v="42048"/>
  </r>
  <r>
    <x v="0"/>
    <x v="0"/>
    <x v="0"/>
    <x v="7"/>
    <x v="15"/>
    <s v="PL_A"/>
    <x v="4"/>
    <s v="RZES-2_ST_NGAS_BP"/>
    <x v="0"/>
    <x v="18"/>
    <n v="32"/>
    <n v="11680"/>
    <n v="42048"/>
  </r>
  <r>
    <x v="0"/>
    <x v="0"/>
    <x v="0"/>
    <x v="7"/>
    <x v="15"/>
    <s v="PL_A"/>
    <x v="4"/>
    <s v="RZES-2_ST_NGAS_BP"/>
    <x v="0"/>
    <x v="19"/>
    <n v="32"/>
    <n v="11680"/>
    <n v="42048"/>
  </r>
  <r>
    <x v="0"/>
    <x v="0"/>
    <x v="0"/>
    <x v="7"/>
    <x v="15"/>
    <s v="PL_A"/>
    <x v="4"/>
    <s v="RZES-2_ST_NGAS_BP"/>
    <x v="0"/>
    <x v="20"/>
    <n v="32"/>
    <n v="11680"/>
    <n v="42048"/>
  </r>
  <r>
    <x v="0"/>
    <x v="0"/>
    <x v="0"/>
    <x v="7"/>
    <x v="15"/>
    <s v="PL_A"/>
    <x v="4"/>
    <s v="RZES-2_ST_NGAS_BP"/>
    <x v="0"/>
    <x v="21"/>
    <n v="32"/>
    <n v="11680"/>
    <n v="42048"/>
  </r>
  <r>
    <x v="0"/>
    <x v="0"/>
    <x v="0"/>
    <x v="7"/>
    <x v="15"/>
    <s v="PL_A"/>
    <x v="4"/>
    <s v="RZES-2_ST_NGAS_BP"/>
    <x v="0"/>
    <x v="22"/>
    <n v="32"/>
    <n v="11680"/>
    <n v="42048"/>
  </r>
  <r>
    <x v="0"/>
    <x v="0"/>
    <x v="0"/>
    <x v="7"/>
    <x v="15"/>
    <s v="PL_A"/>
    <x v="4"/>
    <s v="RZES-2_ST_NGAS_BP"/>
    <x v="0"/>
    <x v="23"/>
    <n v="32"/>
    <n v="11680"/>
    <n v="42048"/>
  </r>
  <r>
    <x v="0"/>
    <x v="0"/>
    <x v="0"/>
    <x v="7"/>
    <x v="15"/>
    <s v="PL_A"/>
    <x v="4"/>
    <s v="ZIEL-1_ST_NGAS_BP"/>
    <x v="0"/>
    <x v="0"/>
    <n v="10"/>
    <n v="3650"/>
    <n v="13140"/>
  </r>
  <r>
    <x v="0"/>
    <x v="0"/>
    <x v="0"/>
    <x v="7"/>
    <x v="15"/>
    <s v="PL_A"/>
    <x v="4"/>
    <s v="ZIEL-1_ST_NGAS_BP"/>
    <x v="0"/>
    <x v="1"/>
    <n v="10"/>
    <n v="3650"/>
    <n v="13140"/>
  </r>
  <r>
    <x v="0"/>
    <x v="0"/>
    <x v="0"/>
    <x v="7"/>
    <x v="15"/>
    <s v="PL_A"/>
    <x v="4"/>
    <s v="ZIEL-1_ST_NGAS_BP"/>
    <x v="0"/>
    <x v="2"/>
    <n v="10"/>
    <n v="3650"/>
    <n v="13140"/>
  </r>
  <r>
    <x v="0"/>
    <x v="0"/>
    <x v="0"/>
    <x v="7"/>
    <x v="15"/>
    <s v="PL_A"/>
    <x v="4"/>
    <s v="ZIEL-1_ST_NGAS_BP"/>
    <x v="0"/>
    <x v="3"/>
    <n v="10"/>
    <n v="3650"/>
    <n v="13140"/>
  </r>
  <r>
    <x v="0"/>
    <x v="0"/>
    <x v="0"/>
    <x v="7"/>
    <x v="15"/>
    <s v="PL_A"/>
    <x v="4"/>
    <s v="ZIEL-1_ST_NGAS_BP"/>
    <x v="0"/>
    <x v="4"/>
    <n v="10"/>
    <n v="3650"/>
    <n v="13140"/>
  </r>
  <r>
    <x v="0"/>
    <x v="0"/>
    <x v="0"/>
    <x v="7"/>
    <x v="15"/>
    <s v="PL_A"/>
    <x v="4"/>
    <s v="ZIEL-1_ST_NGAS_BP"/>
    <x v="0"/>
    <x v="5"/>
    <n v="10"/>
    <n v="3650"/>
    <n v="13140"/>
  </r>
  <r>
    <x v="0"/>
    <x v="0"/>
    <x v="0"/>
    <x v="7"/>
    <x v="15"/>
    <s v="PL_A"/>
    <x v="4"/>
    <s v="ZIEL-1_ST_NGAS_BP"/>
    <x v="0"/>
    <x v="6"/>
    <n v="10"/>
    <n v="3650"/>
    <n v="13140"/>
  </r>
  <r>
    <x v="0"/>
    <x v="0"/>
    <x v="0"/>
    <x v="7"/>
    <x v="15"/>
    <s v="PL_A"/>
    <x v="4"/>
    <s v="ZIEL-1_ST_NGAS_BP"/>
    <x v="0"/>
    <x v="7"/>
    <n v="10"/>
    <n v="3650"/>
    <n v="13140"/>
  </r>
  <r>
    <x v="0"/>
    <x v="0"/>
    <x v="0"/>
    <x v="7"/>
    <x v="15"/>
    <s v="PL_A"/>
    <x v="4"/>
    <s v="ZIEL-1_ST_NGAS_BP"/>
    <x v="0"/>
    <x v="8"/>
    <n v="10"/>
    <n v="3650"/>
    <n v="13140"/>
  </r>
  <r>
    <x v="0"/>
    <x v="0"/>
    <x v="0"/>
    <x v="7"/>
    <x v="15"/>
    <s v="PL_A"/>
    <x v="4"/>
    <s v="ZIEL-1_ST_NGAS_BP"/>
    <x v="0"/>
    <x v="9"/>
    <n v="10"/>
    <n v="3650"/>
    <n v="13140"/>
  </r>
  <r>
    <x v="0"/>
    <x v="0"/>
    <x v="0"/>
    <x v="7"/>
    <x v="15"/>
    <s v="PL_A"/>
    <x v="4"/>
    <s v="ZIEL-1_ST_NGAS_BP"/>
    <x v="0"/>
    <x v="11"/>
    <n v="10"/>
    <n v="3650"/>
    <n v="13140"/>
  </r>
  <r>
    <x v="0"/>
    <x v="0"/>
    <x v="0"/>
    <x v="7"/>
    <x v="15"/>
    <s v="PL_A"/>
    <x v="4"/>
    <s v="ZIEL-1_ST_NGAS_BP"/>
    <x v="0"/>
    <x v="12"/>
    <n v="10"/>
    <n v="3650"/>
    <n v="13140"/>
  </r>
  <r>
    <x v="0"/>
    <x v="0"/>
    <x v="0"/>
    <x v="7"/>
    <x v="15"/>
    <s v="PL_A"/>
    <x v="4"/>
    <s v="ZIEL-1_ST_NGAS_BP"/>
    <x v="0"/>
    <x v="13"/>
    <n v="10"/>
    <n v="3650"/>
    <n v="13140"/>
  </r>
  <r>
    <x v="0"/>
    <x v="0"/>
    <x v="0"/>
    <x v="7"/>
    <x v="15"/>
    <s v="PL_A"/>
    <x v="4"/>
    <s v="ZIEL-1_ST_NGAS_BP"/>
    <x v="0"/>
    <x v="14"/>
    <n v="10"/>
    <n v="3650"/>
    <n v="13140"/>
  </r>
  <r>
    <x v="0"/>
    <x v="0"/>
    <x v="0"/>
    <x v="7"/>
    <x v="15"/>
    <s v="PL_A"/>
    <x v="4"/>
    <s v="ZIEL-1_ST_NGAS_BP"/>
    <x v="0"/>
    <x v="15"/>
    <n v="10"/>
    <n v="3650"/>
    <n v="13140"/>
  </r>
  <r>
    <x v="0"/>
    <x v="0"/>
    <x v="0"/>
    <x v="7"/>
    <x v="15"/>
    <s v="PL_A"/>
    <x v="4"/>
    <s v="ZIEL-1_ST_NGAS_BP"/>
    <x v="0"/>
    <x v="16"/>
    <n v="10"/>
    <n v="3650"/>
    <n v="13140"/>
  </r>
  <r>
    <x v="0"/>
    <x v="0"/>
    <x v="0"/>
    <x v="7"/>
    <x v="15"/>
    <s v="PL_A"/>
    <x v="4"/>
    <s v="ZIEL-1_ST_NGAS_BP"/>
    <x v="0"/>
    <x v="18"/>
    <n v="10"/>
    <n v="3650"/>
    <n v="13140"/>
  </r>
  <r>
    <x v="0"/>
    <x v="0"/>
    <x v="0"/>
    <x v="7"/>
    <x v="15"/>
    <s v="PL_A"/>
    <x v="4"/>
    <s v="ZIEL-1_ST_NGAS_BP"/>
    <x v="0"/>
    <x v="19"/>
    <n v="10"/>
    <n v="3650"/>
    <n v="13140"/>
  </r>
  <r>
    <x v="0"/>
    <x v="0"/>
    <x v="0"/>
    <x v="7"/>
    <x v="15"/>
    <s v="PL_A"/>
    <x v="4"/>
    <s v="ZIEL-1_ST_NGAS_BP"/>
    <x v="0"/>
    <x v="20"/>
    <n v="10"/>
    <n v="3650"/>
    <n v="13140"/>
  </r>
  <r>
    <x v="0"/>
    <x v="0"/>
    <x v="0"/>
    <x v="7"/>
    <x v="15"/>
    <s v="PL_A"/>
    <x v="4"/>
    <s v="ZIEL-1_ST_NGAS_BP"/>
    <x v="0"/>
    <x v="21"/>
    <n v="10"/>
    <n v="3650"/>
    <n v="13140"/>
  </r>
  <r>
    <x v="0"/>
    <x v="0"/>
    <x v="0"/>
    <x v="7"/>
    <x v="15"/>
    <s v="PL_A"/>
    <x v="4"/>
    <s v="ZIEL-1_ST_NGAS_BP"/>
    <x v="0"/>
    <x v="22"/>
    <n v="10"/>
    <n v="3650"/>
    <n v="13140"/>
  </r>
  <r>
    <x v="0"/>
    <x v="0"/>
    <x v="0"/>
    <x v="7"/>
    <x v="15"/>
    <s v="PL_A"/>
    <x v="4"/>
    <s v="ZIEL-1_ST_NGAS_BP"/>
    <x v="0"/>
    <x v="23"/>
    <n v="10"/>
    <n v="3650"/>
    <n v="13140"/>
  </r>
  <r>
    <x v="0"/>
    <x v="0"/>
    <x v="0"/>
    <x v="7"/>
    <x v="15"/>
    <s v="PL_A"/>
    <x v="4"/>
    <s v="ZIEL-3_ST_NGAS_BP"/>
    <x v="0"/>
    <x v="0"/>
    <n v="120"/>
    <n v="43800"/>
    <n v="157680"/>
  </r>
  <r>
    <x v="0"/>
    <x v="0"/>
    <x v="0"/>
    <x v="7"/>
    <x v="15"/>
    <s v="PL_A"/>
    <x v="4"/>
    <s v="ZIEL-3_ST_NGAS_BP"/>
    <x v="0"/>
    <x v="1"/>
    <n v="120"/>
    <n v="43800"/>
    <n v="157680"/>
  </r>
  <r>
    <x v="0"/>
    <x v="0"/>
    <x v="0"/>
    <x v="7"/>
    <x v="15"/>
    <s v="PL_A"/>
    <x v="4"/>
    <s v="ZIEL-3_ST_NGAS_BP"/>
    <x v="0"/>
    <x v="2"/>
    <n v="120"/>
    <n v="43800"/>
    <n v="157680"/>
  </r>
  <r>
    <x v="0"/>
    <x v="0"/>
    <x v="0"/>
    <x v="7"/>
    <x v="15"/>
    <s v="PL_A"/>
    <x v="4"/>
    <s v="ZIEL-3_ST_NGAS_BP"/>
    <x v="0"/>
    <x v="3"/>
    <n v="120"/>
    <n v="43800"/>
    <n v="157680"/>
  </r>
  <r>
    <x v="0"/>
    <x v="0"/>
    <x v="0"/>
    <x v="7"/>
    <x v="15"/>
    <s v="PL_A"/>
    <x v="4"/>
    <s v="ZIEL-3_ST_NGAS_BP"/>
    <x v="0"/>
    <x v="4"/>
    <n v="120"/>
    <n v="43800"/>
    <n v="157680"/>
  </r>
  <r>
    <x v="0"/>
    <x v="0"/>
    <x v="0"/>
    <x v="7"/>
    <x v="15"/>
    <s v="PL_A"/>
    <x v="4"/>
    <s v="ZIEL-3_ST_NGAS_BP"/>
    <x v="0"/>
    <x v="5"/>
    <n v="120"/>
    <n v="43800"/>
    <n v="157680"/>
  </r>
  <r>
    <x v="0"/>
    <x v="0"/>
    <x v="0"/>
    <x v="7"/>
    <x v="15"/>
    <s v="PL_A"/>
    <x v="4"/>
    <s v="ZIEL-3_ST_NGAS_BP"/>
    <x v="0"/>
    <x v="6"/>
    <n v="120"/>
    <n v="43800"/>
    <n v="157680"/>
  </r>
  <r>
    <x v="0"/>
    <x v="0"/>
    <x v="0"/>
    <x v="7"/>
    <x v="15"/>
    <s v="PL_A"/>
    <x v="4"/>
    <s v="ZIEL-3_ST_NGAS_BP"/>
    <x v="0"/>
    <x v="7"/>
    <n v="120"/>
    <n v="43800"/>
    <n v="157680"/>
  </r>
  <r>
    <x v="0"/>
    <x v="0"/>
    <x v="0"/>
    <x v="7"/>
    <x v="15"/>
    <s v="PL_A"/>
    <x v="4"/>
    <s v="ZIEL-3_ST_NGAS_BP"/>
    <x v="0"/>
    <x v="8"/>
    <n v="120"/>
    <n v="43800"/>
    <n v="157680"/>
  </r>
  <r>
    <x v="0"/>
    <x v="0"/>
    <x v="0"/>
    <x v="7"/>
    <x v="15"/>
    <s v="PL_A"/>
    <x v="4"/>
    <s v="ZIEL-3_ST_NGAS_BP"/>
    <x v="0"/>
    <x v="9"/>
    <n v="120"/>
    <n v="43800"/>
    <n v="157680"/>
  </r>
  <r>
    <x v="0"/>
    <x v="0"/>
    <x v="0"/>
    <x v="7"/>
    <x v="15"/>
    <s v="PL_A"/>
    <x v="4"/>
    <s v="ZIEL-3_ST_NGAS_BP"/>
    <x v="0"/>
    <x v="11"/>
    <n v="120"/>
    <n v="43800"/>
    <n v="157680"/>
  </r>
  <r>
    <x v="0"/>
    <x v="0"/>
    <x v="0"/>
    <x v="7"/>
    <x v="15"/>
    <s v="PL_A"/>
    <x v="4"/>
    <s v="ZIEL-3_ST_NGAS_BP"/>
    <x v="0"/>
    <x v="12"/>
    <n v="120"/>
    <n v="43800"/>
    <n v="157680"/>
  </r>
  <r>
    <x v="0"/>
    <x v="0"/>
    <x v="0"/>
    <x v="7"/>
    <x v="15"/>
    <s v="PL_A"/>
    <x v="4"/>
    <s v="ZIEL-3_ST_NGAS_BP"/>
    <x v="0"/>
    <x v="13"/>
    <n v="120"/>
    <n v="43800"/>
    <n v="157680"/>
  </r>
  <r>
    <x v="0"/>
    <x v="0"/>
    <x v="0"/>
    <x v="7"/>
    <x v="15"/>
    <s v="PL_A"/>
    <x v="4"/>
    <s v="ZIEL-3_ST_NGAS_BP"/>
    <x v="0"/>
    <x v="14"/>
    <n v="120"/>
    <n v="43800"/>
    <n v="157680"/>
  </r>
  <r>
    <x v="0"/>
    <x v="0"/>
    <x v="0"/>
    <x v="7"/>
    <x v="15"/>
    <s v="PL_A"/>
    <x v="4"/>
    <s v="ZIEL-3_ST_NGAS_BP"/>
    <x v="0"/>
    <x v="15"/>
    <n v="120"/>
    <n v="43800"/>
    <n v="157680"/>
  </r>
  <r>
    <x v="0"/>
    <x v="0"/>
    <x v="0"/>
    <x v="7"/>
    <x v="15"/>
    <s v="PL_A"/>
    <x v="4"/>
    <s v="ZIEL-3_ST_NGAS_BP"/>
    <x v="0"/>
    <x v="16"/>
    <n v="25.558884575004999"/>
    <n v="9328.9928698768108"/>
    <n v="33584.374331556501"/>
  </r>
  <r>
    <x v="0"/>
    <x v="0"/>
    <x v="0"/>
    <x v="7"/>
    <x v="15"/>
    <s v="PL_A"/>
    <x v="4"/>
    <s v="ZIEL-3_ST_NGAS_BP"/>
    <x v="0"/>
    <x v="18"/>
    <n v="120"/>
    <n v="43800"/>
    <n v="157680"/>
  </r>
  <r>
    <x v="0"/>
    <x v="0"/>
    <x v="0"/>
    <x v="7"/>
    <x v="15"/>
    <s v="PL_A"/>
    <x v="4"/>
    <s v="ZIEL-3_ST_NGAS_BP"/>
    <x v="0"/>
    <x v="19"/>
    <n v="120"/>
    <n v="43800"/>
    <n v="157680"/>
  </r>
  <r>
    <x v="0"/>
    <x v="0"/>
    <x v="0"/>
    <x v="7"/>
    <x v="15"/>
    <s v="PL_A"/>
    <x v="4"/>
    <s v="ZIEL-3_ST_NGAS_BP"/>
    <x v="0"/>
    <x v="20"/>
    <n v="120"/>
    <n v="43800"/>
    <n v="157680"/>
  </r>
  <r>
    <x v="0"/>
    <x v="0"/>
    <x v="0"/>
    <x v="7"/>
    <x v="15"/>
    <s v="PL_A"/>
    <x v="4"/>
    <s v="ZIEL-3_ST_NGAS_BP"/>
    <x v="0"/>
    <x v="21"/>
    <n v="120"/>
    <n v="43800"/>
    <n v="157680"/>
  </r>
  <r>
    <x v="0"/>
    <x v="0"/>
    <x v="0"/>
    <x v="7"/>
    <x v="15"/>
    <s v="PL_A"/>
    <x v="4"/>
    <s v="ZIEL-3_ST_NGAS_BP"/>
    <x v="0"/>
    <x v="22"/>
    <n v="120"/>
    <n v="43800"/>
    <n v="157680"/>
  </r>
  <r>
    <x v="0"/>
    <x v="0"/>
    <x v="0"/>
    <x v="7"/>
    <x v="15"/>
    <s v="PL_A"/>
    <x v="4"/>
    <s v="ZIEL-3_ST_NGAS_BP"/>
    <x v="0"/>
    <x v="23"/>
    <n v="120"/>
    <n v="43800"/>
    <n v="157680"/>
  </r>
  <r>
    <x v="0"/>
    <x v="0"/>
    <x v="0"/>
    <x v="7"/>
    <x v="15"/>
    <s v="PL_A"/>
    <x v="5"/>
    <s v="BIAL-1_ST_STRAW_BP"/>
    <x v="0"/>
    <x v="0"/>
    <n v="320"/>
    <n v="116800"/>
    <n v="420480"/>
  </r>
  <r>
    <x v="0"/>
    <x v="0"/>
    <x v="0"/>
    <x v="7"/>
    <x v="15"/>
    <s v="PL_A"/>
    <x v="5"/>
    <s v="BIAL-1_ST_STRAW_BP"/>
    <x v="0"/>
    <x v="1"/>
    <n v="320"/>
    <n v="116800"/>
    <n v="420480"/>
  </r>
  <r>
    <x v="0"/>
    <x v="0"/>
    <x v="0"/>
    <x v="7"/>
    <x v="15"/>
    <s v="PL_A"/>
    <x v="5"/>
    <s v="BIAL-1_ST_STRAW_BP"/>
    <x v="0"/>
    <x v="2"/>
    <n v="320"/>
    <n v="116800"/>
    <n v="420480"/>
  </r>
  <r>
    <x v="0"/>
    <x v="0"/>
    <x v="0"/>
    <x v="7"/>
    <x v="15"/>
    <s v="PL_A"/>
    <x v="5"/>
    <s v="BIAL-1_ST_STRAW_BP"/>
    <x v="0"/>
    <x v="3"/>
    <n v="320"/>
    <n v="116800"/>
    <n v="420480"/>
  </r>
  <r>
    <x v="0"/>
    <x v="0"/>
    <x v="0"/>
    <x v="7"/>
    <x v="15"/>
    <s v="PL_A"/>
    <x v="5"/>
    <s v="BIAL-1_ST_STRAW_BP"/>
    <x v="0"/>
    <x v="4"/>
    <n v="320"/>
    <n v="116800"/>
    <n v="420480"/>
  </r>
  <r>
    <x v="0"/>
    <x v="0"/>
    <x v="0"/>
    <x v="7"/>
    <x v="15"/>
    <s v="PL_A"/>
    <x v="5"/>
    <s v="BIAL-1_ST_STRAW_BP"/>
    <x v="0"/>
    <x v="5"/>
    <n v="320"/>
    <n v="116800"/>
    <n v="420480"/>
  </r>
  <r>
    <x v="0"/>
    <x v="0"/>
    <x v="0"/>
    <x v="7"/>
    <x v="15"/>
    <s v="PL_A"/>
    <x v="5"/>
    <s v="BIAL-1_ST_STRAW_BP"/>
    <x v="0"/>
    <x v="6"/>
    <n v="320"/>
    <n v="116800"/>
    <n v="420480"/>
  </r>
  <r>
    <x v="0"/>
    <x v="0"/>
    <x v="0"/>
    <x v="7"/>
    <x v="15"/>
    <s v="PL_A"/>
    <x v="5"/>
    <s v="BIAL-1_ST_STRAW_BP"/>
    <x v="0"/>
    <x v="7"/>
    <n v="320"/>
    <n v="116800"/>
    <n v="420480"/>
  </r>
  <r>
    <x v="0"/>
    <x v="0"/>
    <x v="0"/>
    <x v="7"/>
    <x v="15"/>
    <s v="PL_A"/>
    <x v="5"/>
    <s v="BIAL-1_ST_STRAW_BP"/>
    <x v="0"/>
    <x v="8"/>
    <n v="320"/>
    <n v="116800"/>
    <n v="420480"/>
  </r>
  <r>
    <x v="0"/>
    <x v="0"/>
    <x v="0"/>
    <x v="7"/>
    <x v="15"/>
    <s v="PL_A"/>
    <x v="5"/>
    <s v="BIAL-1_ST_STRAW_BP"/>
    <x v="0"/>
    <x v="9"/>
    <n v="320"/>
    <n v="116800"/>
    <n v="420480"/>
  </r>
  <r>
    <x v="0"/>
    <x v="0"/>
    <x v="0"/>
    <x v="7"/>
    <x v="15"/>
    <s v="PL_A"/>
    <x v="5"/>
    <s v="BIAL-1_ST_STRAW_BP"/>
    <x v="0"/>
    <x v="10"/>
    <n v="320"/>
    <n v="116800"/>
    <n v="420480"/>
  </r>
  <r>
    <x v="0"/>
    <x v="0"/>
    <x v="0"/>
    <x v="7"/>
    <x v="15"/>
    <s v="PL_A"/>
    <x v="5"/>
    <s v="BIAL-1_ST_STRAW_BP"/>
    <x v="0"/>
    <x v="11"/>
    <n v="320"/>
    <n v="116800"/>
    <n v="420480"/>
  </r>
  <r>
    <x v="0"/>
    <x v="0"/>
    <x v="0"/>
    <x v="7"/>
    <x v="15"/>
    <s v="PL_A"/>
    <x v="5"/>
    <s v="BIAL-1_ST_STRAW_BP"/>
    <x v="0"/>
    <x v="12"/>
    <n v="320"/>
    <n v="116800"/>
    <n v="420480"/>
  </r>
  <r>
    <x v="0"/>
    <x v="0"/>
    <x v="0"/>
    <x v="7"/>
    <x v="15"/>
    <s v="PL_A"/>
    <x v="5"/>
    <s v="BIAL-1_ST_STRAW_BP"/>
    <x v="0"/>
    <x v="13"/>
    <n v="320"/>
    <n v="116800"/>
    <n v="420480"/>
  </r>
  <r>
    <x v="0"/>
    <x v="0"/>
    <x v="0"/>
    <x v="7"/>
    <x v="15"/>
    <s v="PL_A"/>
    <x v="5"/>
    <s v="BIAL-1_ST_STRAW_BP"/>
    <x v="0"/>
    <x v="14"/>
    <n v="320"/>
    <n v="116800"/>
    <n v="420480"/>
  </r>
  <r>
    <x v="0"/>
    <x v="0"/>
    <x v="0"/>
    <x v="7"/>
    <x v="15"/>
    <s v="PL_A"/>
    <x v="5"/>
    <s v="BIAL-1_ST_STRAW_BP"/>
    <x v="0"/>
    <x v="15"/>
    <n v="320"/>
    <n v="116800"/>
    <n v="420480"/>
  </r>
  <r>
    <x v="0"/>
    <x v="0"/>
    <x v="0"/>
    <x v="7"/>
    <x v="15"/>
    <s v="PL_A"/>
    <x v="5"/>
    <s v="BIAL-1_ST_STRAW_BP"/>
    <x v="0"/>
    <x v="16"/>
    <n v="320"/>
    <n v="116800"/>
    <n v="420480"/>
  </r>
  <r>
    <x v="0"/>
    <x v="0"/>
    <x v="0"/>
    <x v="7"/>
    <x v="15"/>
    <s v="PL_A"/>
    <x v="5"/>
    <s v="BIAL-1_ST_STRAW_BP"/>
    <x v="0"/>
    <x v="17"/>
    <n v="320"/>
    <n v="116800"/>
    <n v="420480"/>
  </r>
  <r>
    <x v="0"/>
    <x v="0"/>
    <x v="0"/>
    <x v="7"/>
    <x v="15"/>
    <s v="PL_A"/>
    <x v="5"/>
    <s v="BIAL-1_ST_STRAW_BP"/>
    <x v="0"/>
    <x v="18"/>
    <n v="320"/>
    <n v="116800"/>
    <n v="420480"/>
  </r>
  <r>
    <x v="0"/>
    <x v="0"/>
    <x v="0"/>
    <x v="7"/>
    <x v="15"/>
    <s v="PL_A"/>
    <x v="5"/>
    <s v="BIAL-1_ST_STRAW_BP"/>
    <x v="0"/>
    <x v="19"/>
    <n v="320"/>
    <n v="116800"/>
    <n v="420480"/>
  </r>
  <r>
    <x v="0"/>
    <x v="0"/>
    <x v="0"/>
    <x v="7"/>
    <x v="15"/>
    <s v="PL_A"/>
    <x v="5"/>
    <s v="BIAL-1_ST_STRAW_BP"/>
    <x v="0"/>
    <x v="20"/>
    <n v="320"/>
    <n v="116800"/>
    <n v="420480"/>
  </r>
  <r>
    <x v="0"/>
    <x v="0"/>
    <x v="0"/>
    <x v="7"/>
    <x v="15"/>
    <s v="PL_A"/>
    <x v="5"/>
    <s v="BIAL-1_ST_STRAW_BP"/>
    <x v="0"/>
    <x v="21"/>
    <n v="320"/>
    <n v="116800"/>
    <n v="420480"/>
  </r>
  <r>
    <x v="0"/>
    <x v="0"/>
    <x v="0"/>
    <x v="7"/>
    <x v="15"/>
    <s v="PL_A"/>
    <x v="5"/>
    <s v="BIAL-1_ST_STRAW_BP"/>
    <x v="0"/>
    <x v="22"/>
    <n v="320"/>
    <n v="116800"/>
    <n v="420480"/>
  </r>
  <r>
    <x v="0"/>
    <x v="0"/>
    <x v="0"/>
    <x v="7"/>
    <x v="15"/>
    <s v="PL_A"/>
    <x v="5"/>
    <s v="BIAL-1_ST_STRAW_BP"/>
    <x v="0"/>
    <x v="23"/>
    <n v="320"/>
    <n v="116800"/>
    <n v="420480"/>
  </r>
  <r>
    <x v="0"/>
    <x v="0"/>
    <x v="0"/>
    <x v="7"/>
    <x v="15"/>
    <s v="PL_A"/>
    <x v="5"/>
    <s v="GNR_BO_STRAW_HO_E-100"/>
    <x v="0"/>
    <x v="0"/>
    <n v="6500"/>
    <n v="2372500"/>
    <n v="8541000"/>
  </r>
  <r>
    <x v="0"/>
    <x v="0"/>
    <x v="0"/>
    <x v="7"/>
    <x v="15"/>
    <s v="PL_A"/>
    <x v="5"/>
    <s v="GNR_BO_STRAW_HO_E-100"/>
    <x v="0"/>
    <x v="1"/>
    <n v="6500"/>
    <n v="2372500"/>
    <n v="8541000"/>
  </r>
  <r>
    <x v="0"/>
    <x v="0"/>
    <x v="0"/>
    <x v="7"/>
    <x v="15"/>
    <s v="PL_A"/>
    <x v="5"/>
    <s v="GNR_BO_STRAW_HO_E-100"/>
    <x v="0"/>
    <x v="2"/>
    <n v="6500"/>
    <n v="2372500"/>
    <n v="8541000"/>
  </r>
  <r>
    <x v="0"/>
    <x v="0"/>
    <x v="0"/>
    <x v="7"/>
    <x v="15"/>
    <s v="PL_A"/>
    <x v="5"/>
    <s v="GNR_BO_STRAW_HO_E-100"/>
    <x v="0"/>
    <x v="3"/>
    <n v="6500"/>
    <n v="2372500"/>
    <n v="8541000"/>
  </r>
  <r>
    <x v="0"/>
    <x v="0"/>
    <x v="0"/>
    <x v="7"/>
    <x v="15"/>
    <s v="PL_A"/>
    <x v="5"/>
    <s v="GNR_BO_STRAW_HO_E-100"/>
    <x v="0"/>
    <x v="4"/>
    <n v="6500"/>
    <n v="2372500"/>
    <n v="8541000"/>
  </r>
  <r>
    <x v="0"/>
    <x v="0"/>
    <x v="0"/>
    <x v="7"/>
    <x v="15"/>
    <s v="PL_A"/>
    <x v="5"/>
    <s v="GNR_BO_STRAW_HO_E-100"/>
    <x v="0"/>
    <x v="5"/>
    <n v="6500"/>
    <n v="2372500"/>
    <n v="8541000"/>
  </r>
  <r>
    <x v="0"/>
    <x v="0"/>
    <x v="0"/>
    <x v="7"/>
    <x v="15"/>
    <s v="PL_A"/>
    <x v="5"/>
    <s v="GNR_BO_STRAW_HO_E-100"/>
    <x v="0"/>
    <x v="6"/>
    <n v="6500"/>
    <n v="2372500"/>
    <n v="8541000"/>
  </r>
  <r>
    <x v="0"/>
    <x v="0"/>
    <x v="0"/>
    <x v="7"/>
    <x v="15"/>
    <s v="PL_A"/>
    <x v="5"/>
    <s v="GNR_BO_STRAW_HO_E-100"/>
    <x v="0"/>
    <x v="7"/>
    <n v="6268.8142448641502"/>
    <n v="2288117.1993754101"/>
    <n v="8237221.9177514901"/>
  </r>
  <r>
    <x v="0"/>
    <x v="0"/>
    <x v="0"/>
    <x v="7"/>
    <x v="15"/>
    <s v="PL_A"/>
    <x v="5"/>
    <s v="GNR_BO_STRAW_HO_E-100"/>
    <x v="0"/>
    <x v="8"/>
    <n v="6058.8714445539899"/>
    <n v="2211488.0772622102"/>
    <n v="7961357.0781439403"/>
  </r>
  <r>
    <x v="0"/>
    <x v="0"/>
    <x v="0"/>
    <x v="7"/>
    <x v="15"/>
    <s v="PL_A"/>
    <x v="5"/>
    <s v="GNR_BO_STRAW_HO_E-100"/>
    <x v="0"/>
    <x v="9"/>
    <n v="5868.3079796570601"/>
    <n v="2141932.41257483"/>
    <n v="7710956.68526938"/>
  </r>
  <r>
    <x v="0"/>
    <x v="0"/>
    <x v="0"/>
    <x v="7"/>
    <x v="15"/>
    <s v="PL_A"/>
    <x v="5"/>
    <s v="GNR_BO_STRAW_HO_E-100"/>
    <x v="0"/>
    <x v="10"/>
    <n v="5986.1238501733897"/>
    <n v="2184935.20531329"/>
    <n v="7865766.7391278297"/>
  </r>
  <r>
    <x v="0"/>
    <x v="0"/>
    <x v="0"/>
    <x v="7"/>
    <x v="15"/>
    <s v="PL_A"/>
    <x v="5"/>
    <s v="GNR_BO_STRAW_HO_E-100"/>
    <x v="0"/>
    <x v="11"/>
    <n v="5555.0087238095903"/>
    <n v="2027578.1841905001"/>
    <n v="7299281.4630858004"/>
  </r>
  <r>
    <x v="0"/>
    <x v="0"/>
    <x v="0"/>
    <x v="7"/>
    <x v="15"/>
    <s v="PL_A"/>
    <x v="5"/>
    <s v="GNR_BO_STRAW_HO_E-100"/>
    <x v="0"/>
    <x v="12"/>
    <n v="5432.2729328590403"/>
    <n v="1982779.6204935501"/>
    <n v="7138006.6337767802"/>
  </r>
  <r>
    <x v="0"/>
    <x v="0"/>
    <x v="0"/>
    <x v="7"/>
    <x v="15"/>
    <s v="PL_A"/>
    <x v="5"/>
    <s v="GNR_BO_STRAW_HO_E-100"/>
    <x v="0"/>
    <x v="13"/>
    <n v="5332.1463665572601"/>
    <n v="1946233.4237933999"/>
    <n v="7006440.3256562399"/>
  </r>
  <r>
    <x v="0"/>
    <x v="0"/>
    <x v="0"/>
    <x v="7"/>
    <x v="15"/>
    <s v="PL_A"/>
    <x v="5"/>
    <s v="GNR_BO_STRAW_HO_E-100"/>
    <x v="0"/>
    <x v="14"/>
    <n v="5270.7784710819897"/>
    <n v="1923834.14194493"/>
    <n v="6925802.91100174"/>
  </r>
  <r>
    <x v="0"/>
    <x v="0"/>
    <x v="0"/>
    <x v="7"/>
    <x v="15"/>
    <s v="PL_A"/>
    <x v="5"/>
    <s v="GNR_BO_STRAW_HO_E-100"/>
    <x v="0"/>
    <x v="15"/>
    <n v="5225.5600217844103"/>
    <n v="1907329.40795131"/>
    <n v="6866385.8686247198"/>
  </r>
  <r>
    <x v="0"/>
    <x v="0"/>
    <x v="0"/>
    <x v="7"/>
    <x v="15"/>
    <s v="PL_A"/>
    <x v="5"/>
    <s v="GNR_BO_STRAW_HO_E-100"/>
    <x v="0"/>
    <x v="16"/>
    <n v="5440.2424663829097"/>
    <n v="1985688.5002297601"/>
    <n v="7148478.6008271398"/>
  </r>
  <r>
    <x v="0"/>
    <x v="0"/>
    <x v="0"/>
    <x v="7"/>
    <x v="15"/>
    <s v="PL_A"/>
    <x v="5"/>
    <s v="GNR_BO_STRAW_HO_E-100"/>
    <x v="0"/>
    <x v="17"/>
    <n v="5440.27256936698"/>
    <n v="1985699.4878189501"/>
    <n v="7148518.1561482102"/>
  </r>
  <r>
    <x v="0"/>
    <x v="0"/>
    <x v="0"/>
    <x v="7"/>
    <x v="15"/>
    <s v="PL_A"/>
    <x v="5"/>
    <s v="GNR_BO_STRAW_HO_E-100"/>
    <x v="0"/>
    <x v="18"/>
    <n v="5112.5138985404701"/>
    <n v="1866067.5729672699"/>
    <n v="6717843.2626821799"/>
  </r>
  <r>
    <x v="0"/>
    <x v="0"/>
    <x v="0"/>
    <x v="7"/>
    <x v="15"/>
    <s v="PL_A"/>
    <x v="5"/>
    <s v="GNR_BO_STRAW_HO_E-100"/>
    <x v="0"/>
    <x v="19"/>
    <n v="5067.2954492429099"/>
    <n v="1849562.83897366"/>
    <n v="6658426.2203051904"/>
  </r>
  <r>
    <x v="0"/>
    <x v="0"/>
    <x v="0"/>
    <x v="7"/>
    <x v="15"/>
    <s v="PL_A"/>
    <x v="5"/>
    <s v="GNR_BO_STRAW_HO_E-100"/>
    <x v="0"/>
    <x v="20"/>
    <n v="5028.53677841641"/>
    <n v="1835415.9241219901"/>
    <n v="6607497.3268391602"/>
  </r>
  <r>
    <x v="0"/>
    <x v="0"/>
    <x v="0"/>
    <x v="7"/>
    <x v="15"/>
    <s v="PL_A"/>
    <x v="5"/>
    <s v="GNR_BO_STRAW_HO_E-100"/>
    <x v="0"/>
    <x v="21"/>
    <n v="4989.7781075899302"/>
    <n v="1821269.0092703199"/>
    <n v="6556568.4333731597"/>
  </r>
  <r>
    <x v="0"/>
    <x v="0"/>
    <x v="0"/>
    <x v="7"/>
    <x v="15"/>
    <s v="PL_A"/>
    <x v="5"/>
    <s v="GNR_BO_STRAW_HO_E-100"/>
    <x v="0"/>
    <x v="22"/>
    <n v="4960.7091044700501"/>
    <n v="1810658.8231315699"/>
    <n v="6518371.7632736396"/>
  </r>
  <r>
    <x v="0"/>
    <x v="0"/>
    <x v="0"/>
    <x v="7"/>
    <x v="15"/>
    <s v="PL_A"/>
    <x v="5"/>
    <s v="GNR_BO_STRAW_HO_E-100"/>
    <x v="0"/>
    <x v="23"/>
    <n v="4951.0194367634203"/>
    <n v="1807122.09441865"/>
    <n v="6505639.5399071397"/>
  </r>
  <r>
    <x v="0"/>
    <x v="0"/>
    <x v="0"/>
    <x v="7"/>
    <x v="15"/>
    <s v="PL_A"/>
    <x v="5"/>
    <s v="GNR_ST_STRAW_BP_E-15"/>
    <x v="0"/>
    <x v="0"/>
    <n v="410"/>
    <n v="149650"/>
    <n v="538740"/>
  </r>
  <r>
    <x v="0"/>
    <x v="0"/>
    <x v="0"/>
    <x v="7"/>
    <x v="15"/>
    <s v="PL_A"/>
    <x v="5"/>
    <s v="GNR_ST_STRAW_BP_E-15"/>
    <x v="0"/>
    <x v="1"/>
    <n v="410"/>
    <n v="149650"/>
    <n v="538740"/>
  </r>
  <r>
    <x v="0"/>
    <x v="0"/>
    <x v="0"/>
    <x v="7"/>
    <x v="15"/>
    <s v="PL_A"/>
    <x v="5"/>
    <s v="GNR_ST_STRAW_BP_E-15"/>
    <x v="0"/>
    <x v="2"/>
    <n v="410"/>
    <n v="149650"/>
    <n v="538740"/>
  </r>
  <r>
    <x v="0"/>
    <x v="0"/>
    <x v="0"/>
    <x v="7"/>
    <x v="15"/>
    <s v="PL_A"/>
    <x v="5"/>
    <s v="GNR_ST_STRAW_BP_E-15"/>
    <x v="0"/>
    <x v="3"/>
    <n v="410"/>
    <n v="149650"/>
    <n v="538740"/>
  </r>
  <r>
    <x v="0"/>
    <x v="0"/>
    <x v="0"/>
    <x v="7"/>
    <x v="15"/>
    <s v="PL_A"/>
    <x v="5"/>
    <s v="GNR_ST_STRAW_BP_E-15"/>
    <x v="0"/>
    <x v="4"/>
    <n v="410"/>
    <n v="149650"/>
    <n v="538740"/>
  </r>
  <r>
    <x v="0"/>
    <x v="0"/>
    <x v="0"/>
    <x v="7"/>
    <x v="15"/>
    <s v="PL_A"/>
    <x v="5"/>
    <s v="GNR_ST_STRAW_BP_E-15"/>
    <x v="0"/>
    <x v="5"/>
    <n v="410"/>
    <n v="149650"/>
    <n v="538740"/>
  </r>
  <r>
    <x v="0"/>
    <x v="0"/>
    <x v="0"/>
    <x v="7"/>
    <x v="15"/>
    <s v="PL_A"/>
    <x v="5"/>
    <s v="GNR_ST_STRAW_BP_E-15"/>
    <x v="0"/>
    <x v="6"/>
    <n v="410"/>
    <n v="149650"/>
    <n v="538740"/>
  </r>
  <r>
    <x v="0"/>
    <x v="0"/>
    <x v="0"/>
    <x v="7"/>
    <x v="15"/>
    <s v="PL_A"/>
    <x v="5"/>
    <s v="GNR_ST_STRAW_BP_E-15"/>
    <x v="0"/>
    <x v="7"/>
    <n v="410"/>
    <n v="149650"/>
    <n v="538740"/>
  </r>
  <r>
    <x v="0"/>
    <x v="0"/>
    <x v="0"/>
    <x v="7"/>
    <x v="15"/>
    <s v="PL_A"/>
    <x v="5"/>
    <s v="GNR_ST_STRAW_BP_E-15"/>
    <x v="0"/>
    <x v="8"/>
    <n v="410"/>
    <n v="149650"/>
    <n v="538740"/>
  </r>
  <r>
    <x v="0"/>
    <x v="0"/>
    <x v="0"/>
    <x v="7"/>
    <x v="15"/>
    <s v="PL_A"/>
    <x v="5"/>
    <s v="GNR_ST_STRAW_BP_E-15"/>
    <x v="0"/>
    <x v="9"/>
    <n v="410"/>
    <n v="149650"/>
    <n v="538740"/>
  </r>
  <r>
    <x v="0"/>
    <x v="0"/>
    <x v="0"/>
    <x v="7"/>
    <x v="15"/>
    <s v="PL_A"/>
    <x v="5"/>
    <s v="GNR_ST_STRAW_BP_E-15"/>
    <x v="0"/>
    <x v="10"/>
    <n v="410"/>
    <n v="149650"/>
    <n v="538740"/>
  </r>
  <r>
    <x v="0"/>
    <x v="0"/>
    <x v="0"/>
    <x v="7"/>
    <x v="15"/>
    <s v="PL_A"/>
    <x v="5"/>
    <s v="GNR_ST_STRAW_BP_E-15"/>
    <x v="0"/>
    <x v="11"/>
    <n v="410"/>
    <n v="149650"/>
    <n v="538740"/>
  </r>
  <r>
    <x v="0"/>
    <x v="0"/>
    <x v="0"/>
    <x v="7"/>
    <x v="15"/>
    <s v="PL_A"/>
    <x v="5"/>
    <s v="GNR_ST_STRAW_BP_E-15"/>
    <x v="0"/>
    <x v="12"/>
    <n v="410"/>
    <n v="149650"/>
    <n v="538740"/>
  </r>
  <r>
    <x v="0"/>
    <x v="0"/>
    <x v="0"/>
    <x v="7"/>
    <x v="15"/>
    <s v="PL_A"/>
    <x v="5"/>
    <s v="GNR_ST_STRAW_BP_E-15"/>
    <x v="0"/>
    <x v="13"/>
    <n v="410"/>
    <n v="149650"/>
    <n v="538740"/>
  </r>
  <r>
    <x v="0"/>
    <x v="0"/>
    <x v="0"/>
    <x v="7"/>
    <x v="15"/>
    <s v="PL_A"/>
    <x v="5"/>
    <s v="GNR_ST_STRAW_BP_E-15"/>
    <x v="0"/>
    <x v="14"/>
    <n v="410"/>
    <n v="149650"/>
    <n v="538740"/>
  </r>
  <r>
    <x v="0"/>
    <x v="0"/>
    <x v="0"/>
    <x v="7"/>
    <x v="15"/>
    <s v="PL_A"/>
    <x v="5"/>
    <s v="GNR_ST_STRAW_BP_E-15"/>
    <x v="0"/>
    <x v="15"/>
    <n v="410"/>
    <n v="149650"/>
    <n v="538740"/>
  </r>
  <r>
    <x v="0"/>
    <x v="0"/>
    <x v="0"/>
    <x v="7"/>
    <x v="15"/>
    <s v="PL_A"/>
    <x v="5"/>
    <s v="GNR_ST_STRAW_BP_E-15"/>
    <x v="0"/>
    <x v="16"/>
    <n v="410"/>
    <n v="149650"/>
    <n v="538740"/>
  </r>
  <r>
    <x v="0"/>
    <x v="0"/>
    <x v="0"/>
    <x v="7"/>
    <x v="15"/>
    <s v="PL_A"/>
    <x v="5"/>
    <s v="GNR_ST_STRAW_BP_E-15"/>
    <x v="0"/>
    <x v="17"/>
    <n v="410"/>
    <n v="149650"/>
    <n v="538740"/>
  </r>
  <r>
    <x v="0"/>
    <x v="0"/>
    <x v="0"/>
    <x v="7"/>
    <x v="15"/>
    <s v="PL_A"/>
    <x v="5"/>
    <s v="GNR_ST_STRAW_BP_E-15"/>
    <x v="0"/>
    <x v="18"/>
    <n v="410"/>
    <n v="149650"/>
    <n v="538740"/>
  </r>
  <r>
    <x v="0"/>
    <x v="0"/>
    <x v="0"/>
    <x v="7"/>
    <x v="15"/>
    <s v="PL_A"/>
    <x v="5"/>
    <s v="GNR_ST_STRAW_BP_E-15"/>
    <x v="0"/>
    <x v="19"/>
    <n v="410"/>
    <n v="149650"/>
    <n v="538740"/>
  </r>
  <r>
    <x v="0"/>
    <x v="0"/>
    <x v="0"/>
    <x v="7"/>
    <x v="15"/>
    <s v="PL_A"/>
    <x v="5"/>
    <s v="GNR_ST_STRAW_BP_E-15"/>
    <x v="0"/>
    <x v="20"/>
    <n v="410"/>
    <n v="149650"/>
    <n v="538740"/>
  </r>
  <r>
    <x v="0"/>
    <x v="0"/>
    <x v="0"/>
    <x v="7"/>
    <x v="15"/>
    <s v="PL_A"/>
    <x v="5"/>
    <s v="GNR_ST_STRAW_BP_E-15"/>
    <x v="0"/>
    <x v="21"/>
    <n v="410"/>
    <n v="149650"/>
    <n v="538740"/>
  </r>
  <r>
    <x v="0"/>
    <x v="0"/>
    <x v="0"/>
    <x v="7"/>
    <x v="15"/>
    <s v="PL_A"/>
    <x v="5"/>
    <s v="GNR_ST_STRAW_BP_E-15"/>
    <x v="0"/>
    <x v="22"/>
    <n v="410"/>
    <n v="149650"/>
    <n v="538740"/>
  </r>
  <r>
    <x v="0"/>
    <x v="0"/>
    <x v="0"/>
    <x v="7"/>
    <x v="15"/>
    <s v="PL_A"/>
    <x v="5"/>
    <s v="GNR_ST_STRAW_BP_E-15"/>
    <x v="0"/>
    <x v="23"/>
    <n v="410"/>
    <n v="149650"/>
    <n v="538740"/>
  </r>
  <r>
    <x v="0"/>
    <x v="0"/>
    <x v="0"/>
    <x v="7"/>
    <x v="15"/>
    <s v="PL_A"/>
    <x v="10"/>
    <s v="GNR_BO_WOOD_HO_E-100"/>
    <x v="0"/>
    <x v="0"/>
    <n v="450.32087356330402"/>
    <n v="164367.118850606"/>
    <n v="591721.62786218198"/>
  </r>
  <r>
    <x v="0"/>
    <x v="0"/>
    <x v="0"/>
    <x v="7"/>
    <x v="15"/>
    <s v="PL_A"/>
    <x v="10"/>
    <s v="GNR_BO_WOOD_HO_E-100"/>
    <x v="0"/>
    <x v="1"/>
    <n v="501.999101331963"/>
    <n v="183229.671986167"/>
    <n v="659626.8191502"/>
  </r>
  <r>
    <x v="0"/>
    <x v="0"/>
    <x v="0"/>
    <x v="7"/>
    <x v="15"/>
    <s v="PL_A"/>
    <x v="10"/>
    <s v="GNR_BO_WOOD_HO_E-100"/>
    <x v="0"/>
    <x v="2"/>
    <n v="518.14854750966504"/>
    <n v="189124.21984102801"/>
    <n v="680847.19142769999"/>
  </r>
  <r>
    <x v="0"/>
    <x v="0"/>
    <x v="0"/>
    <x v="7"/>
    <x v="15"/>
    <s v="PL_A"/>
    <x v="10"/>
    <s v="GNR_BO_WOOD_HO_E-100"/>
    <x v="0"/>
    <x v="3"/>
    <n v="469.70020897655598"/>
    <n v="171440.576276443"/>
    <n v="617186.07459519396"/>
  </r>
  <r>
    <x v="0"/>
    <x v="0"/>
    <x v="0"/>
    <x v="7"/>
    <x v="15"/>
    <s v="PL_A"/>
    <x v="10"/>
    <s v="GNR_BO_WOOD_HO_E-100"/>
    <x v="0"/>
    <x v="4"/>
    <n v="363.113864203692"/>
    <n v="132536.56043434801"/>
    <n v="477131.617563651"/>
  </r>
  <r>
    <x v="0"/>
    <x v="0"/>
    <x v="0"/>
    <x v="7"/>
    <x v="15"/>
    <s v="PL_A"/>
    <x v="10"/>
    <s v="GNR_BO_WOOD_HO_E-100"/>
    <x v="0"/>
    <x v="5"/>
    <n v="208.079180897719"/>
    <n v="75948.901027667496"/>
    <n v="273416.043699603"/>
  </r>
  <r>
    <x v="0"/>
    <x v="0"/>
    <x v="0"/>
    <x v="7"/>
    <x v="15"/>
    <s v="PL_A"/>
    <x v="10"/>
    <s v="GNR_BO_WOOD_HO_E-100"/>
    <x v="0"/>
    <x v="6"/>
    <n v="11.055937529735299"/>
    <n v="4035.4171983533802"/>
    <n v="14527.5019140722"/>
  </r>
  <r>
    <x v="0"/>
    <x v="0"/>
    <x v="0"/>
    <x v="8"/>
    <x v="16"/>
    <s v="SE1A"/>
    <x v="10"/>
    <s v="GBPR_IND_BIO"/>
    <x v="0"/>
    <x v="0"/>
    <n v="293.18181818181802"/>
    <n v="107011.363636364"/>
    <n v="385240.909090909"/>
  </r>
  <r>
    <x v="0"/>
    <x v="0"/>
    <x v="0"/>
    <x v="8"/>
    <x v="16"/>
    <s v="SE1A"/>
    <x v="10"/>
    <s v="GBPR_IND_BIO"/>
    <x v="0"/>
    <x v="1"/>
    <n v="293.18181818181802"/>
    <n v="107011.363636364"/>
    <n v="385240.909090909"/>
  </r>
  <r>
    <x v="0"/>
    <x v="0"/>
    <x v="0"/>
    <x v="8"/>
    <x v="16"/>
    <s v="SE1A"/>
    <x v="10"/>
    <s v="GBPR_IND_BIO"/>
    <x v="0"/>
    <x v="2"/>
    <n v="293.18181818181802"/>
    <n v="107011.363636364"/>
    <n v="385240.909090909"/>
  </r>
  <r>
    <x v="0"/>
    <x v="0"/>
    <x v="0"/>
    <x v="8"/>
    <x v="16"/>
    <s v="SE1A"/>
    <x v="10"/>
    <s v="GBPR_IND_BIO"/>
    <x v="0"/>
    <x v="3"/>
    <n v="293.18181818181802"/>
    <n v="107011.363636364"/>
    <n v="385240.909090909"/>
  </r>
  <r>
    <x v="0"/>
    <x v="0"/>
    <x v="0"/>
    <x v="8"/>
    <x v="16"/>
    <s v="SE1A"/>
    <x v="10"/>
    <s v="GBPR_IND_BIO"/>
    <x v="0"/>
    <x v="4"/>
    <n v="293.18181818181802"/>
    <n v="107011.363636364"/>
    <n v="385240.909090909"/>
  </r>
  <r>
    <x v="0"/>
    <x v="0"/>
    <x v="0"/>
    <x v="8"/>
    <x v="16"/>
    <s v="SE1A"/>
    <x v="10"/>
    <s v="GBPR_IND_BIO"/>
    <x v="0"/>
    <x v="5"/>
    <n v="293.18181818181802"/>
    <n v="107011.363636364"/>
    <n v="385240.909090909"/>
  </r>
  <r>
    <x v="0"/>
    <x v="0"/>
    <x v="0"/>
    <x v="8"/>
    <x v="16"/>
    <s v="SE1A"/>
    <x v="10"/>
    <s v="GBPR_IND_BIO"/>
    <x v="0"/>
    <x v="6"/>
    <n v="293.18181818181802"/>
    <n v="107011.363636364"/>
    <n v="385240.909090909"/>
  </r>
  <r>
    <x v="0"/>
    <x v="0"/>
    <x v="0"/>
    <x v="8"/>
    <x v="16"/>
    <s v="SE1A"/>
    <x v="10"/>
    <s v="GBPR_IND_BIO"/>
    <x v="0"/>
    <x v="7"/>
    <n v="293.18181818181802"/>
    <n v="107011.363636364"/>
    <n v="385240.909090909"/>
  </r>
  <r>
    <x v="0"/>
    <x v="0"/>
    <x v="0"/>
    <x v="8"/>
    <x v="16"/>
    <s v="SE1A"/>
    <x v="10"/>
    <s v="GBPR_IND_BIO"/>
    <x v="0"/>
    <x v="8"/>
    <n v="293.18181818181802"/>
    <n v="107011.363636364"/>
    <n v="385240.909090909"/>
  </r>
  <r>
    <x v="0"/>
    <x v="0"/>
    <x v="0"/>
    <x v="8"/>
    <x v="16"/>
    <s v="SE1A"/>
    <x v="10"/>
    <s v="GBPR_IND_BIO"/>
    <x v="0"/>
    <x v="9"/>
    <n v="293.18181818181802"/>
    <n v="107011.363636364"/>
    <n v="385240.909090909"/>
  </r>
  <r>
    <x v="0"/>
    <x v="0"/>
    <x v="0"/>
    <x v="8"/>
    <x v="16"/>
    <s v="SE1A"/>
    <x v="10"/>
    <s v="GBPR_IND_BIO"/>
    <x v="0"/>
    <x v="10"/>
    <n v="293.18181818181802"/>
    <n v="107011.363636364"/>
    <n v="385240.909090909"/>
  </r>
  <r>
    <x v="0"/>
    <x v="0"/>
    <x v="0"/>
    <x v="8"/>
    <x v="16"/>
    <s v="SE1A"/>
    <x v="10"/>
    <s v="GBPR_IND_BIO"/>
    <x v="0"/>
    <x v="11"/>
    <n v="293.18181818181802"/>
    <n v="107011.363636364"/>
    <n v="385240.909090909"/>
  </r>
  <r>
    <x v="0"/>
    <x v="0"/>
    <x v="0"/>
    <x v="8"/>
    <x v="16"/>
    <s v="SE1A"/>
    <x v="10"/>
    <s v="GBPR_IND_BIO"/>
    <x v="0"/>
    <x v="12"/>
    <n v="293.18181818181802"/>
    <n v="107011.363636364"/>
    <n v="385240.909090909"/>
  </r>
  <r>
    <x v="0"/>
    <x v="0"/>
    <x v="0"/>
    <x v="8"/>
    <x v="16"/>
    <s v="SE1A"/>
    <x v="10"/>
    <s v="GBPR_IND_BIO"/>
    <x v="0"/>
    <x v="13"/>
    <n v="293.18181818181802"/>
    <n v="107011.363636364"/>
    <n v="385240.909090909"/>
  </r>
  <r>
    <x v="0"/>
    <x v="0"/>
    <x v="0"/>
    <x v="8"/>
    <x v="16"/>
    <s v="SE1A"/>
    <x v="10"/>
    <s v="GBPR_IND_BIO"/>
    <x v="0"/>
    <x v="14"/>
    <n v="293.18181818181802"/>
    <n v="107011.363636364"/>
    <n v="385240.909090909"/>
  </r>
  <r>
    <x v="0"/>
    <x v="0"/>
    <x v="0"/>
    <x v="8"/>
    <x v="16"/>
    <s v="SE1A"/>
    <x v="10"/>
    <s v="GBPR_IND_BIO"/>
    <x v="0"/>
    <x v="15"/>
    <n v="293.18181818181802"/>
    <n v="107011.363636364"/>
    <n v="385240.909090909"/>
  </r>
  <r>
    <x v="0"/>
    <x v="0"/>
    <x v="0"/>
    <x v="8"/>
    <x v="16"/>
    <s v="SE1A"/>
    <x v="10"/>
    <s v="GBPR_IND_BIO"/>
    <x v="0"/>
    <x v="16"/>
    <n v="293.18181818181802"/>
    <n v="107011.363636364"/>
    <n v="385240.909090909"/>
  </r>
  <r>
    <x v="0"/>
    <x v="0"/>
    <x v="0"/>
    <x v="8"/>
    <x v="16"/>
    <s v="SE1A"/>
    <x v="10"/>
    <s v="GBPR_IND_BIO"/>
    <x v="0"/>
    <x v="17"/>
    <n v="293.18181818181802"/>
    <n v="107011.363636364"/>
    <n v="385240.909090909"/>
  </r>
  <r>
    <x v="0"/>
    <x v="0"/>
    <x v="0"/>
    <x v="8"/>
    <x v="16"/>
    <s v="SE1A"/>
    <x v="10"/>
    <s v="GBPR_IND_BIO"/>
    <x v="0"/>
    <x v="18"/>
    <n v="293.18181818181802"/>
    <n v="107011.363636364"/>
    <n v="385240.909090909"/>
  </r>
  <r>
    <x v="0"/>
    <x v="0"/>
    <x v="0"/>
    <x v="8"/>
    <x v="16"/>
    <s v="SE1A"/>
    <x v="10"/>
    <s v="GBPR_IND_BIO"/>
    <x v="0"/>
    <x v="19"/>
    <n v="293.18181818181802"/>
    <n v="107011.363636364"/>
    <n v="385240.909090909"/>
  </r>
  <r>
    <x v="0"/>
    <x v="0"/>
    <x v="0"/>
    <x v="8"/>
    <x v="16"/>
    <s v="SE1A"/>
    <x v="10"/>
    <s v="GBPR_IND_BIO"/>
    <x v="0"/>
    <x v="20"/>
    <n v="293.18181818181802"/>
    <n v="107011.363636364"/>
    <n v="385240.909090909"/>
  </r>
  <r>
    <x v="0"/>
    <x v="0"/>
    <x v="0"/>
    <x v="8"/>
    <x v="16"/>
    <s v="SE1A"/>
    <x v="10"/>
    <s v="GBPR_IND_BIO"/>
    <x v="0"/>
    <x v="21"/>
    <n v="293.18181818181802"/>
    <n v="107011.363636364"/>
    <n v="385240.909090909"/>
  </r>
  <r>
    <x v="0"/>
    <x v="0"/>
    <x v="0"/>
    <x v="8"/>
    <x v="16"/>
    <s v="SE1A"/>
    <x v="10"/>
    <s v="GBPR_IND_BIO"/>
    <x v="0"/>
    <x v="22"/>
    <n v="293.18181818181802"/>
    <n v="107011.363636364"/>
    <n v="385240.909090909"/>
  </r>
  <r>
    <x v="0"/>
    <x v="0"/>
    <x v="0"/>
    <x v="8"/>
    <x v="16"/>
    <s v="SE1A"/>
    <x v="10"/>
    <s v="GBPR_IND_BIO"/>
    <x v="0"/>
    <x v="23"/>
    <n v="293.18181818181802"/>
    <n v="107011.363636364"/>
    <n v="385240.909090909"/>
  </r>
  <r>
    <x v="0"/>
    <x v="0"/>
    <x v="0"/>
    <x v="8"/>
    <x v="16"/>
    <s v="SE1_EL"/>
    <x v="3"/>
    <s v="GBPR_MUNIWASTE"/>
    <x v="0"/>
    <x v="0"/>
    <n v="12.6927469932977"/>
    <n v="4632.8526525536399"/>
    <n v="16678.269549193101"/>
  </r>
  <r>
    <x v="0"/>
    <x v="0"/>
    <x v="0"/>
    <x v="8"/>
    <x v="16"/>
    <s v="SE1_EL"/>
    <x v="3"/>
    <s v="GBPR_MUNIWASTE"/>
    <x v="0"/>
    <x v="1"/>
    <n v="12.6927469932977"/>
    <n v="4632.8526525536399"/>
    <n v="16678.269549193101"/>
  </r>
  <r>
    <x v="0"/>
    <x v="0"/>
    <x v="0"/>
    <x v="8"/>
    <x v="16"/>
    <s v="SE1_EL"/>
    <x v="3"/>
    <s v="GBPR_MUNIWASTE"/>
    <x v="0"/>
    <x v="2"/>
    <n v="12.6927469932977"/>
    <n v="4632.8526525536399"/>
    <n v="16678.269549193101"/>
  </r>
  <r>
    <x v="0"/>
    <x v="0"/>
    <x v="0"/>
    <x v="8"/>
    <x v="16"/>
    <s v="SE1_EL"/>
    <x v="3"/>
    <s v="GBPR_MUNIWASTE"/>
    <x v="0"/>
    <x v="3"/>
    <n v="12.6927469932977"/>
    <n v="4632.8526525536399"/>
    <n v="16678.269549193101"/>
  </r>
  <r>
    <x v="0"/>
    <x v="0"/>
    <x v="0"/>
    <x v="8"/>
    <x v="16"/>
    <s v="SE1_EL"/>
    <x v="3"/>
    <s v="GBPR_MUNIWASTE"/>
    <x v="0"/>
    <x v="4"/>
    <n v="12.6927469932977"/>
    <n v="4632.8526525536399"/>
    <n v="16678.269549193101"/>
  </r>
  <r>
    <x v="0"/>
    <x v="0"/>
    <x v="0"/>
    <x v="8"/>
    <x v="16"/>
    <s v="SE1_EL"/>
    <x v="3"/>
    <s v="GBPR_MUNIWASTE"/>
    <x v="0"/>
    <x v="5"/>
    <n v="12.6927469932977"/>
    <n v="4632.8526525536399"/>
    <n v="16678.269549193101"/>
  </r>
  <r>
    <x v="0"/>
    <x v="0"/>
    <x v="0"/>
    <x v="8"/>
    <x v="16"/>
    <s v="SE1_EL"/>
    <x v="3"/>
    <s v="GBPR_MUNIWASTE"/>
    <x v="0"/>
    <x v="6"/>
    <n v="12.6927469932977"/>
    <n v="4632.8526525536399"/>
    <n v="16678.269549193101"/>
  </r>
  <r>
    <x v="0"/>
    <x v="0"/>
    <x v="0"/>
    <x v="8"/>
    <x v="16"/>
    <s v="SE1_EL"/>
    <x v="3"/>
    <s v="GBPR_MUNIWASTE"/>
    <x v="0"/>
    <x v="7"/>
    <n v="12.6927469932977"/>
    <n v="4632.8526525536399"/>
    <n v="16678.269549193101"/>
  </r>
  <r>
    <x v="0"/>
    <x v="0"/>
    <x v="0"/>
    <x v="8"/>
    <x v="16"/>
    <s v="SE1_EL"/>
    <x v="3"/>
    <s v="GBPR_MUNIWASTE"/>
    <x v="0"/>
    <x v="8"/>
    <n v="12.6927469932977"/>
    <n v="4632.8526525536399"/>
    <n v="16678.269549193101"/>
  </r>
  <r>
    <x v="0"/>
    <x v="0"/>
    <x v="0"/>
    <x v="8"/>
    <x v="16"/>
    <s v="SE1_EL"/>
    <x v="3"/>
    <s v="GBPR_MUNIWASTE"/>
    <x v="0"/>
    <x v="9"/>
    <n v="12.6927469932977"/>
    <n v="4632.8526525536399"/>
    <n v="16678.269549193101"/>
  </r>
  <r>
    <x v="0"/>
    <x v="0"/>
    <x v="0"/>
    <x v="8"/>
    <x v="16"/>
    <s v="SE1_EL"/>
    <x v="3"/>
    <s v="GBPR_MUNIWASTE"/>
    <x v="0"/>
    <x v="10"/>
    <n v="12.6927469932977"/>
    <n v="4632.8526525536399"/>
    <n v="16678.269549193101"/>
  </r>
  <r>
    <x v="0"/>
    <x v="0"/>
    <x v="0"/>
    <x v="8"/>
    <x v="16"/>
    <s v="SE1_EL"/>
    <x v="3"/>
    <s v="GBPR_MUNIWASTE"/>
    <x v="0"/>
    <x v="11"/>
    <n v="12.6927469932977"/>
    <n v="4632.8526525536399"/>
    <n v="16678.269549193101"/>
  </r>
  <r>
    <x v="0"/>
    <x v="0"/>
    <x v="0"/>
    <x v="8"/>
    <x v="16"/>
    <s v="SE1_EL"/>
    <x v="3"/>
    <s v="GBPR_MUNIWASTE"/>
    <x v="0"/>
    <x v="12"/>
    <n v="12.6927469932977"/>
    <n v="4632.8526525536399"/>
    <n v="16678.269549193101"/>
  </r>
  <r>
    <x v="0"/>
    <x v="0"/>
    <x v="0"/>
    <x v="8"/>
    <x v="16"/>
    <s v="SE1_EL"/>
    <x v="3"/>
    <s v="GBPR_MUNIWASTE"/>
    <x v="0"/>
    <x v="13"/>
    <n v="12.6927469932977"/>
    <n v="4632.8526525536399"/>
    <n v="16678.269549193101"/>
  </r>
  <r>
    <x v="0"/>
    <x v="0"/>
    <x v="0"/>
    <x v="8"/>
    <x v="16"/>
    <s v="SE1_EL"/>
    <x v="3"/>
    <s v="GBPR_MUNIWASTE"/>
    <x v="0"/>
    <x v="14"/>
    <n v="12.6927469932977"/>
    <n v="4632.8526525536399"/>
    <n v="16678.269549193101"/>
  </r>
  <r>
    <x v="0"/>
    <x v="0"/>
    <x v="0"/>
    <x v="8"/>
    <x v="16"/>
    <s v="SE1_EL"/>
    <x v="3"/>
    <s v="GBPR_MUNIWASTE"/>
    <x v="0"/>
    <x v="15"/>
    <n v="12.6927469932977"/>
    <n v="4632.8526525536399"/>
    <n v="16678.269549193101"/>
  </r>
  <r>
    <x v="0"/>
    <x v="0"/>
    <x v="0"/>
    <x v="8"/>
    <x v="16"/>
    <s v="SE1_EL"/>
    <x v="3"/>
    <s v="GBPR_MUNIWASTE"/>
    <x v="0"/>
    <x v="16"/>
    <n v="12.6927469932977"/>
    <n v="4632.8526525536399"/>
    <n v="16678.269549193101"/>
  </r>
  <r>
    <x v="0"/>
    <x v="0"/>
    <x v="0"/>
    <x v="8"/>
    <x v="16"/>
    <s v="SE1_EL"/>
    <x v="3"/>
    <s v="GBPR_MUNIWASTE"/>
    <x v="0"/>
    <x v="17"/>
    <n v="12.6927469932977"/>
    <n v="4632.8526525536399"/>
    <n v="16678.269549193101"/>
  </r>
  <r>
    <x v="0"/>
    <x v="0"/>
    <x v="0"/>
    <x v="8"/>
    <x v="16"/>
    <s v="SE1_EL"/>
    <x v="3"/>
    <s v="GBPR_MUNIWASTE"/>
    <x v="0"/>
    <x v="18"/>
    <n v="12.6927469932977"/>
    <n v="4632.8526525536399"/>
    <n v="16678.269549193101"/>
  </r>
  <r>
    <x v="0"/>
    <x v="0"/>
    <x v="0"/>
    <x v="8"/>
    <x v="16"/>
    <s v="SE1_EL"/>
    <x v="3"/>
    <s v="GBPR_MUNIWASTE"/>
    <x v="0"/>
    <x v="19"/>
    <n v="12.6927469932977"/>
    <n v="4632.8526525536399"/>
    <n v="16678.269549193101"/>
  </r>
  <r>
    <x v="0"/>
    <x v="0"/>
    <x v="0"/>
    <x v="8"/>
    <x v="16"/>
    <s v="SE1_EL"/>
    <x v="3"/>
    <s v="GBPR_MUNIWASTE"/>
    <x v="0"/>
    <x v="20"/>
    <n v="12.6927469932977"/>
    <n v="4632.8526525536399"/>
    <n v="16678.269549193101"/>
  </r>
  <r>
    <x v="0"/>
    <x v="0"/>
    <x v="0"/>
    <x v="8"/>
    <x v="16"/>
    <s v="SE1_EL"/>
    <x v="3"/>
    <s v="GBPR_MUNIWASTE"/>
    <x v="0"/>
    <x v="21"/>
    <n v="12.6927469932977"/>
    <n v="4632.8526525536399"/>
    <n v="16678.269549193101"/>
  </r>
  <r>
    <x v="0"/>
    <x v="0"/>
    <x v="0"/>
    <x v="8"/>
    <x v="16"/>
    <s v="SE1_EL"/>
    <x v="3"/>
    <s v="GBPR_MUNIWASTE"/>
    <x v="0"/>
    <x v="22"/>
    <n v="12.6927469932977"/>
    <n v="4632.8526525536399"/>
    <n v="16678.269549193101"/>
  </r>
  <r>
    <x v="0"/>
    <x v="0"/>
    <x v="0"/>
    <x v="8"/>
    <x v="16"/>
    <s v="SE1_EL"/>
    <x v="3"/>
    <s v="GBPR_MUNIWASTE"/>
    <x v="0"/>
    <x v="23"/>
    <n v="12.6927469932977"/>
    <n v="4632.8526525536399"/>
    <n v="16678.269549193101"/>
  </r>
  <r>
    <x v="0"/>
    <x v="0"/>
    <x v="0"/>
    <x v="8"/>
    <x v="16"/>
    <s v="SE1_EL"/>
    <x v="6"/>
    <s v="GHOB_WASTEHEAT"/>
    <x v="0"/>
    <x v="0"/>
    <n v="77.398301831615001"/>
    <n v="28250.380168539501"/>
    <n v="101701.36860674201"/>
  </r>
  <r>
    <x v="0"/>
    <x v="0"/>
    <x v="0"/>
    <x v="8"/>
    <x v="16"/>
    <s v="SE1_EL"/>
    <x v="6"/>
    <s v="GHOB_WASTEHEAT"/>
    <x v="0"/>
    <x v="1"/>
    <n v="77.259988549216601"/>
    <n v="28199.895820464099"/>
    <n v="101519.62495367099"/>
  </r>
  <r>
    <x v="0"/>
    <x v="0"/>
    <x v="0"/>
    <x v="8"/>
    <x v="16"/>
    <s v="SE1_EL"/>
    <x v="6"/>
    <s v="GHOB_WASTEHEAT"/>
    <x v="0"/>
    <x v="2"/>
    <n v="79.035769759004594"/>
    <n v="28848.055962036698"/>
    <n v="103853.001463332"/>
  </r>
  <r>
    <x v="0"/>
    <x v="0"/>
    <x v="0"/>
    <x v="8"/>
    <x v="16"/>
    <s v="SE1_EL"/>
    <x v="6"/>
    <s v="GHOB_WASTEHEAT"/>
    <x v="0"/>
    <x v="3"/>
    <n v="83.196854170364006"/>
    <n v="30366.851772182901"/>
    <n v="109320.666379858"/>
  </r>
  <r>
    <x v="0"/>
    <x v="0"/>
    <x v="0"/>
    <x v="8"/>
    <x v="16"/>
    <s v="SE1_EL"/>
    <x v="6"/>
    <s v="GHOB_WASTEHEAT"/>
    <x v="0"/>
    <x v="4"/>
    <n v="90.7925536274427"/>
    <n v="33139.282074016599"/>
    <n v="119301.41546646001"/>
  </r>
  <r>
    <x v="0"/>
    <x v="0"/>
    <x v="0"/>
    <x v="8"/>
    <x v="16"/>
    <s v="SE1_EL"/>
    <x v="6"/>
    <s v="GHOB_WASTEHEAT"/>
    <x v="0"/>
    <x v="5"/>
    <n v="99.805817228440802"/>
    <n v="36429.123288380899"/>
    <n v="131144.84383817099"/>
  </r>
  <r>
    <x v="0"/>
    <x v="0"/>
    <x v="0"/>
    <x v="8"/>
    <x v="16"/>
    <s v="SE1_EL"/>
    <x v="6"/>
    <s v="GHOB_WASTEHEAT"/>
    <x v="0"/>
    <x v="6"/>
    <n v="120.990725464489"/>
    <n v="44161.614794538596"/>
    <n v="158981.813260339"/>
  </r>
  <r>
    <x v="0"/>
    <x v="0"/>
    <x v="0"/>
    <x v="8"/>
    <x v="16"/>
    <s v="SE1_EL"/>
    <x v="6"/>
    <s v="GHOB_WASTEHEAT"/>
    <x v="0"/>
    <x v="7"/>
    <n v="134.71813085565299"/>
    <n v="49172.117762313297"/>
    <n v="177019.62394432799"/>
  </r>
  <r>
    <x v="0"/>
    <x v="0"/>
    <x v="0"/>
    <x v="8"/>
    <x v="16"/>
    <s v="SE1_EL"/>
    <x v="6"/>
    <s v="GHOB_WASTEHEAT"/>
    <x v="0"/>
    <x v="8"/>
    <n v="137.127380595369"/>
    <n v="50051.493917309497"/>
    <n v="180185.37810231399"/>
  </r>
  <r>
    <x v="0"/>
    <x v="0"/>
    <x v="0"/>
    <x v="8"/>
    <x v="16"/>
    <s v="SE1_EL"/>
    <x v="6"/>
    <s v="GHOB_WASTEHEAT"/>
    <x v="0"/>
    <x v="9"/>
    <n v="140.90771666967501"/>
    <n v="51431.316584431501"/>
    <n v="185152.739703953"/>
  </r>
  <r>
    <x v="0"/>
    <x v="0"/>
    <x v="0"/>
    <x v="8"/>
    <x v="16"/>
    <s v="SE1_EL"/>
    <x v="6"/>
    <s v="GHOB_WASTEHEAT"/>
    <x v="0"/>
    <x v="10"/>
    <n v="135.633515841861"/>
    <n v="49506.2332822791"/>
    <n v="178222.43981620501"/>
  </r>
  <r>
    <x v="0"/>
    <x v="0"/>
    <x v="0"/>
    <x v="8"/>
    <x v="16"/>
    <s v="SE1_EL"/>
    <x v="6"/>
    <s v="GHOB_WASTEHEAT"/>
    <x v="0"/>
    <x v="11"/>
    <n v="133.51655856039699"/>
    <n v="48733.543874545001"/>
    <n v="175440.75794836201"/>
  </r>
  <r>
    <x v="0"/>
    <x v="0"/>
    <x v="0"/>
    <x v="8"/>
    <x v="16"/>
    <s v="SE1_EL"/>
    <x v="6"/>
    <s v="GHOB_WASTEHEAT"/>
    <x v="0"/>
    <x v="12"/>
    <n v="133.73051420897201"/>
    <n v="48811.637686274997"/>
    <n v="175721.89567058999"/>
  </r>
  <r>
    <x v="0"/>
    <x v="0"/>
    <x v="0"/>
    <x v="8"/>
    <x v="16"/>
    <s v="SE1_EL"/>
    <x v="6"/>
    <s v="GHOB_WASTEHEAT"/>
    <x v="0"/>
    <x v="13"/>
    <n v="132.68058468359399"/>
    <n v="48428.413409511799"/>
    <n v="174342.28827424199"/>
  </r>
  <r>
    <x v="0"/>
    <x v="0"/>
    <x v="0"/>
    <x v="8"/>
    <x v="16"/>
    <s v="SE1_EL"/>
    <x v="6"/>
    <s v="GHOB_WASTEHEAT"/>
    <x v="0"/>
    <x v="14"/>
    <n v="132.03808783372301"/>
    <n v="48193.902059309003"/>
    <n v="173498.04741351301"/>
  </r>
  <r>
    <x v="0"/>
    <x v="0"/>
    <x v="0"/>
    <x v="8"/>
    <x v="16"/>
    <s v="SE1_EL"/>
    <x v="6"/>
    <s v="GHOB_WASTEHEAT"/>
    <x v="0"/>
    <x v="15"/>
    <n v="138.344738961074"/>
    <n v="50495.829720792201"/>
    <n v="181784.98699485199"/>
  </r>
  <r>
    <x v="0"/>
    <x v="0"/>
    <x v="0"/>
    <x v="8"/>
    <x v="16"/>
    <s v="SE1_EL"/>
    <x v="6"/>
    <s v="GHOB_WASTEHEAT"/>
    <x v="0"/>
    <x v="16"/>
    <n v="127.682416985424"/>
    <n v="46604.0821996796"/>
    <n v="167774.69591884699"/>
  </r>
  <r>
    <x v="0"/>
    <x v="0"/>
    <x v="0"/>
    <x v="8"/>
    <x v="16"/>
    <s v="SE1_EL"/>
    <x v="6"/>
    <s v="GHOB_WASTEHEAT"/>
    <x v="0"/>
    <x v="17"/>
    <n v="122.50268433641099"/>
    <n v="44713.479782790098"/>
    <n v="160968.52721804401"/>
  </r>
  <r>
    <x v="0"/>
    <x v="0"/>
    <x v="0"/>
    <x v="8"/>
    <x v="16"/>
    <s v="SE1_EL"/>
    <x v="6"/>
    <s v="GHOB_WASTEHEAT"/>
    <x v="0"/>
    <x v="18"/>
    <n v="119.944734437256"/>
    <n v="43779.828069598603"/>
    <n v="157607.38105055501"/>
  </r>
  <r>
    <x v="0"/>
    <x v="0"/>
    <x v="0"/>
    <x v="8"/>
    <x v="16"/>
    <s v="SE1_EL"/>
    <x v="6"/>
    <s v="GHOB_WASTEHEAT"/>
    <x v="0"/>
    <x v="19"/>
    <n v="115.335355395484"/>
    <n v="42097.404719351602"/>
    <n v="151550.65698966599"/>
  </r>
  <r>
    <x v="0"/>
    <x v="0"/>
    <x v="0"/>
    <x v="8"/>
    <x v="16"/>
    <s v="SE1_EL"/>
    <x v="6"/>
    <s v="GHOB_WASTEHEAT"/>
    <x v="0"/>
    <x v="20"/>
    <n v="110.592959140782"/>
    <n v="40366.430086385597"/>
    <n v="145319.14831098801"/>
  </r>
  <r>
    <x v="0"/>
    <x v="0"/>
    <x v="0"/>
    <x v="8"/>
    <x v="16"/>
    <s v="SE1_EL"/>
    <x v="6"/>
    <s v="GHOB_WASTEHEAT"/>
    <x v="0"/>
    <x v="21"/>
    <n v="108.50833114762401"/>
    <n v="39605.540868882701"/>
    <n v="142579.947127978"/>
  </r>
  <r>
    <x v="0"/>
    <x v="0"/>
    <x v="0"/>
    <x v="8"/>
    <x v="16"/>
    <s v="SE1_EL"/>
    <x v="6"/>
    <s v="GHOB_WASTEHEAT"/>
    <x v="0"/>
    <x v="22"/>
    <n v="100.875935029841"/>
    <n v="36819.716285891998"/>
    <n v="132550.97862921099"/>
  </r>
  <r>
    <x v="0"/>
    <x v="0"/>
    <x v="0"/>
    <x v="8"/>
    <x v="16"/>
    <s v="SE1_EL"/>
    <x v="6"/>
    <s v="GHOB_WASTEHEAT"/>
    <x v="0"/>
    <x v="23"/>
    <n v="92.651105293109595"/>
    <n v="33817.653431985003"/>
    <n v="121743.55235514601"/>
  </r>
  <r>
    <x v="0"/>
    <x v="0"/>
    <x v="0"/>
    <x v="8"/>
    <x v="16"/>
    <s v="SE1_EL"/>
    <x v="9"/>
    <s v="GBPR_WOODWASTE_25"/>
    <x v="0"/>
    <x v="0"/>
    <n v="9.0092133238837597"/>
    <n v="3288.3628632175701"/>
    <n v="11838.106307583301"/>
  </r>
  <r>
    <x v="0"/>
    <x v="0"/>
    <x v="0"/>
    <x v="8"/>
    <x v="16"/>
    <s v="SE1_EL"/>
    <x v="9"/>
    <s v="GBPR_WOODWASTE_25"/>
    <x v="0"/>
    <x v="1"/>
    <n v="9.0092133238837597"/>
    <n v="3288.3628632175701"/>
    <n v="11838.106307583301"/>
  </r>
  <r>
    <x v="0"/>
    <x v="0"/>
    <x v="0"/>
    <x v="8"/>
    <x v="16"/>
    <s v="SE1_EL"/>
    <x v="9"/>
    <s v="GBPR_WOODWASTE_25"/>
    <x v="0"/>
    <x v="2"/>
    <n v="9.0092133238837597"/>
    <n v="3288.3628632175701"/>
    <n v="11838.106307583301"/>
  </r>
  <r>
    <x v="0"/>
    <x v="0"/>
    <x v="0"/>
    <x v="8"/>
    <x v="16"/>
    <s v="SE1_EL"/>
    <x v="9"/>
    <s v="GBPR_WOODWASTE_25"/>
    <x v="0"/>
    <x v="3"/>
    <n v="9.0092133238837597"/>
    <n v="3288.3628632175701"/>
    <n v="11838.106307583301"/>
  </r>
  <r>
    <x v="0"/>
    <x v="0"/>
    <x v="0"/>
    <x v="8"/>
    <x v="16"/>
    <s v="SE1_EL"/>
    <x v="9"/>
    <s v="GBPR_WOODWASTE_25"/>
    <x v="0"/>
    <x v="4"/>
    <n v="9.0092133238837597"/>
    <n v="3288.3628632175701"/>
    <n v="11838.106307583301"/>
  </r>
  <r>
    <x v="0"/>
    <x v="0"/>
    <x v="0"/>
    <x v="8"/>
    <x v="16"/>
    <s v="SE1_EL"/>
    <x v="9"/>
    <s v="GBPR_WOODWASTE_25"/>
    <x v="0"/>
    <x v="5"/>
    <n v="9.0092133238837597"/>
    <n v="3288.3628632175701"/>
    <n v="11838.106307583301"/>
  </r>
  <r>
    <x v="0"/>
    <x v="0"/>
    <x v="0"/>
    <x v="8"/>
    <x v="16"/>
    <s v="SE1_EL"/>
    <x v="9"/>
    <s v="GBPR_WOODWASTE_25"/>
    <x v="0"/>
    <x v="6"/>
    <n v="9.0092133238837597"/>
    <n v="3288.3628632175701"/>
    <n v="11838.106307583301"/>
  </r>
  <r>
    <x v="0"/>
    <x v="0"/>
    <x v="0"/>
    <x v="8"/>
    <x v="16"/>
    <s v="SE1_EL"/>
    <x v="9"/>
    <s v="GBPR_WOODWASTE_25"/>
    <x v="0"/>
    <x v="7"/>
    <n v="9.0092133238837597"/>
    <n v="3288.3628632175701"/>
    <n v="11838.106307583301"/>
  </r>
  <r>
    <x v="0"/>
    <x v="0"/>
    <x v="0"/>
    <x v="8"/>
    <x v="16"/>
    <s v="SE1_EL"/>
    <x v="9"/>
    <s v="GBPR_WOODWASTE_25"/>
    <x v="0"/>
    <x v="8"/>
    <n v="9.0092133238837597"/>
    <n v="3288.3628632175701"/>
    <n v="11838.106307583301"/>
  </r>
  <r>
    <x v="0"/>
    <x v="0"/>
    <x v="0"/>
    <x v="8"/>
    <x v="16"/>
    <s v="SE1_EL"/>
    <x v="9"/>
    <s v="GBPR_WOODWASTE_25"/>
    <x v="0"/>
    <x v="9"/>
    <n v="9.0092133238837597"/>
    <n v="3288.3628632175701"/>
    <n v="11838.106307583301"/>
  </r>
  <r>
    <x v="0"/>
    <x v="0"/>
    <x v="0"/>
    <x v="8"/>
    <x v="16"/>
    <s v="SE1_EL"/>
    <x v="9"/>
    <s v="GBPR_WOODWASTE_25"/>
    <x v="0"/>
    <x v="10"/>
    <n v="9.0092133238837597"/>
    <n v="3288.3628632175701"/>
    <n v="11838.106307583301"/>
  </r>
  <r>
    <x v="0"/>
    <x v="0"/>
    <x v="0"/>
    <x v="8"/>
    <x v="16"/>
    <s v="SE1_EL"/>
    <x v="9"/>
    <s v="GBPR_WOODWASTE_25"/>
    <x v="0"/>
    <x v="11"/>
    <n v="9.0092133238837597"/>
    <n v="3288.3628632175701"/>
    <n v="11838.106307583301"/>
  </r>
  <r>
    <x v="0"/>
    <x v="0"/>
    <x v="0"/>
    <x v="8"/>
    <x v="16"/>
    <s v="SE1_EL"/>
    <x v="9"/>
    <s v="GBPR_WOODWASTE_25"/>
    <x v="0"/>
    <x v="12"/>
    <n v="9.0092133238837597"/>
    <n v="3288.3628632175701"/>
    <n v="11838.106307583301"/>
  </r>
  <r>
    <x v="0"/>
    <x v="0"/>
    <x v="0"/>
    <x v="8"/>
    <x v="16"/>
    <s v="SE1_EL"/>
    <x v="9"/>
    <s v="GBPR_WOODWASTE_25"/>
    <x v="0"/>
    <x v="13"/>
    <n v="9.0092133238837597"/>
    <n v="3288.3628632175701"/>
    <n v="11838.106307583301"/>
  </r>
  <r>
    <x v="0"/>
    <x v="0"/>
    <x v="0"/>
    <x v="8"/>
    <x v="16"/>
    <s v="SE1_EL"/>
    <x v="9"/>
    <s v="GBPR_WOODWASTE_25"/>
    <x v="0"/>
    <x v="14"/>
    <n v="9.0092133238837597"/>
    <n v="3288.3628632175701"/>
    <n v="11838.106307583301"/>
  </r>
  <r>
    <x v="0"/>
    <x v="0"/>
    <x v="0"/>
    <x v="8"/>
    <x v="16"/>
    <s v="SE1_EL"/>
    <x v="9"/>
    <s v="GBPR_WOODWASTE_25"/>
    <x v="0"/>
    <x v="15"/>
    <n v="9.0092133238837597"/>
    <n v="3288.3628632175701"/>
    <n v="11838.106307583301"/>
  </r>
  <r>
    <x v="0"/>
    <x v="0"/>
    <x v="0"/>
    <x v="8"/>
    <x v="16"/>
    <s v="SE1_EL"/>
    <x v="9"/>
    <s v="GBPR_WOODWASTE_25"/>
    <x v="0"/>
    <x v="16"/>
    <n v="9.0092133238837597"/>
    <n v="3288.3628632175701"/>
    <n v="11838.106307583301"/>
  </r>
  <r>
    <x v="0"/>
    <x v="0"/>
    <x v="0"/>
    <x v="8"/>
    <x v="16"/>
    <s v="SE1_EL"/>
    <x v="9"/>
    <s v="GBPR_WOODWASTE_25"/>
    <x v="0"/>
    <x v="17"/>
    <n v="9.0092133238837597"/>
    <n v="3288.3628632175701"/>
    <n v="11838.106307583301"/>
  </r>
  <r>
    <x v="0"/>
    <x v="0"/>
    <x v="0"/>
    <x v="8"/>
    <x v="16"/>
    <s v="SE1_EL"/>
    <x v="9"/>
    <s v="GBPR_WOODWASTE_25"/>
    <x v="0"/>
    <x v="18"/>
    <n v="9.0092133238837597"/>
    <n v="3288.3628632175701"/>
    <n v="11838.106307583301"/>
  </r>
  <r>
    <x v="0"/>
    <x v="0"/>
    <x v="0"/>
    <x v="8"/>
    <x v="16"/>
    <s v="SE1_EL"/>
    <x v="9"/>
    <s v="GBPR_WOODWASTE_25"/>
    <x v="0"/>
    <x v="19"/>
    <n v="9.0092133238837597"/>
    <n v="3288.3628632175701"/>
    <n v="11838.106307583301"/>
  </r>
  <r>
    <x v="0"/>
    <x v="0"/>
    <x v="0"/>
    <x v="8"/>
    <x v="16"/>
    <s v="SE1_EL"/>
    <x v="9"/>
    <s v="GBPR_WOODWASTE_25"/>
    <x v="0"/>
    <x v="20"/>
    <n v="9.0092133238837597"/>
    <n v="3288.3628632175701"/>
    <n v="11838.106307583301"/>
  </r>
  <r>
    <x v="0"/>
    <x v="0"/>
    <x v="0"/>
    <x v="8"/>
    <x v="16"/>
    <s v="SE1_EL"/>
    <x v="9"/>
    <s v="GBPR_WOODWASTE_25"/>
    <x v="0"/>
    <x v="21"/>
    <n v="9.0092133238837597"/>
    <n v="3288.3628632175701"/>
    <n v="11838.106307583301"/>
  </r>
  <r>
    <x v="0"/>
    <x v="0"/>
    <x v="0"/>
    <x v="8"/>
    <x v="16"/>
    <s v="SE1_EL"/>
    <x v="9"/>
    <s v="GBPR_WOODWASTE_25"/>
    <x v="0"/>
    <x v="22"/>
    <n v="9.0092133238837597"/>
    <n v="3288.3628632175701"/>
    <n v="11838.106307583301"/>
  </r>
  <r>
    <x v="0"/>
    <x v="0"/>
    <x v="0"/>
    <x v="8"/>
    <x v="16"/>
    <s v="SE1_EL"/>
    <x v="9"/>
    <s v="GBPR_WOODWASTE_25"/>
    <x v="0"/>
    <x v="23"/>
    <n v="9.0092133238837597"/>
    <n v="3288.3628632175701"/>
    <n v="11838.106307583301"/>
  </r>
  <r>
    <x v="0"/>
    <x v="0"/>
    <x v="0"/>
    <x v="8"/>
    <x v="16"/>
    <s v="SE1_OTHER"/>
    <x v="2"/>
    <s v="GNR_HS_HEAT_WTR-TANK_LS_E-95_Y-2010"/>
    <x v="0"/>
    <x v="6"/>
    <n v="8.4377353985185302"/>
    <n v="3079.7734204592598"/>
    <n v="11087.184313653301"/>
  </r>
  <r>
    <x v="0"/>
    <x v="0"/>
    <x v="0"/>
    <x v="8"/>
    <x v="16"/>
    <s v="SE1_OTHER"/>
    <x v="2"/>
    <s v="GNR_HS_HEAT_WTR-TANK_LS_E-95_Y-2010"/>
    <x v="0"/>
    <x v="7"/>
    <n v="21.076366054826799"/>
    <n v="7692.8736100118003"/>
    <n v="27694.344996042499"/>
  </r>
  <r>
    <x v="0"/>
    <x v="0"/>
    <x v="0"/>
    <x v="8"/>
    <x v="16"/>
    <s v="SE1_OTHER"/>
    <x v="2"/>
    <s v="GNR_HS_HEAT_WTR-TANK_LS_E-95_Y-2010"/>
    <x v="0"/>
    <x v="8"/>
    <n v="21.895231185162601"/>
    <n v="7991.7593825843496"/>
    <n v="28770.333777303698"/>
  </r>
  <r>
    <x v="0"/>
    <x v="0"/>
    <x v="0"/>
    <x v="8"/>
    <x v="16"/>
    <s v="SE1_OTHER"/>
    <x v="2"/>
    <s v="GNR_HS_HEAT_WTR-TANK_LS_E-95_Y-2010"/>
    <x v="0"/>
    <x v="9"/>
    <n v="18.080727255637399"/>
    <n v="6599.4654483076602"/>
    <n v="23758.0756139076"/>
  </r>
  <r>
    <x v="0"/>
    <x v="0"/>
    <x v="0"/>
    <x v="8"/>
    <x v="16"/>
    <s v="SE1_OTHER"/>
    <x v="2"/>
    <s v="GNR_HS_HEAT_WTR-TANK_LS_E-95_Y-2010"/>
    <x v="0"/>
    <x v="10"/>
    <n v="12.8149869876819"/>
    <n v="4677.4702505039004"/>
    <n v="16838.892901814001"/>
  </r>
  <r>
    <x v="0"/>
    <x v="0"/>
    <x v="0"/>
    <x v="8"/>
    <x v="16"/>
    <s v="SE1_OTHER"/>
    <x v="2"/>
    <s v="GNR_HS_HEAT_WTR-TANK_LS_E-95_Y-2010"/>
    <x v="0"/>
    <x v="11"/>
    <n v="9.6190139667481809"/>
    <n v="3510.9400978630902"/>
    <n v="12639.384352307099"/>
  </r>
  <r>
    <x v="0"/>
    <x v="0"/>
    <x v="0"/>
    <x v="8"/>
    <x v="16"/>
    <s v="SE1_OTHER"/>
    <x v="2"/>
    <s v="GNR_HS_HEAT_WTR-TANK_LS_E-95_Y-2010"/>
    <x v="0"/>
    <x v="12"/>
    <n v="6.3096056157910398"/>
    <n v="2303.0060497637301"/>
    <n v="8290.8217791494299"/>
  </r>
  <r>
    <x v="0"/>
    <x v="0"/>
    <x v="0"/>
    <x v="8"/>
    <x v="16"/>
    <s v="SE1_OTHER"/>
    <x v="2"/>
    <s v="GNR_HS_HEAT_WTR-TANK_LS_E-95_Y-2010"/>
    <x v="0"/>
    <x v="13"/>
    <n v="5.3315653662570002"/>
    <n v="1946.0213586837999"/>
    <n v="7005.6768912616899"/>
  </r>
  <r>
    <x v="0"/>
    <x v="0"/>
    <x v="0"/>
    <x v="8"/>
    <x v="16"/>
    <s v="SE1_OTHER"/>
    <x v="2"/>
    <s v="GNR_HS_HEAT_WTR-TANK_LS_E-95_Y-2010"/>
    <x v="0"/>
    <x v="14"/>
    <n v="3.3061755091337401"/>
    <n v="1206.7540608338099"/>
    <n v="4344.3146190017296"/>
  </r>
  <r>
    <x v="0"/>
    <x v="0"/>
    <x v="0"/>
    <x v="8"/>
    <x v="16"/>
    <s v="SE1_OTHER"/>
    <x v="2"/>
    <s v="GNR_HS_HEAT_WTR-TANK_LS_E-95_Y-2010"/>
    <x v="0"/>
    <x v="15"/>
    <n v="1.37542065447343"/>
    <n v="502.02853888280202"/>
    <n v="1807.3027399780899"/>
  </r>
  <r>
    <x v="0"/>
    <x v="0"/>
    <x v="0"/>
    <x v="8"/>
    <x v="16"/>
    <s v="SE1_OTHER"/>
    <x v="6"/>
    <s v="GHOB_WASTEHEAT"/>
    <x v="0"/>
    <x v="0"/>
    <n v="35.828754578754399"/>
    <n v="13077.495421245399"/>
    <n v="47078.983516483298"/>
  </r>
  <r>
    <x v="0"/>
    <x v="0"/>
    <x v="0"/>
    <x v="8"/>
    <x v="16"/>
    <s v="SE1_OTHER"/>
    <x v="6"/>
    <s v="GHOB_WASTEHEAT"/>
    <x v="0"/>
    <x v="1"/>
    <n v="35.828754578754399"/>
    <n v="13077.495421245399"/>
    <n v="47078.983516483298"/>
  </r>
  <r>
    <x v="0"/>
    <x v="0"/>
    <x v="0"/>
    <x v="8"/>
    <x v="16"/>
    <s v="SE1_OTHER"/>
    <x v="6"/>
    <s v="GHOB_WASTEHEAT"/>
    <x v="0"/>
    <x v="2"/>
    <n v="35.828754578754399"/>
    <n v="13077.495421245399"/>
    <n v="47078.983516483298"/>
  </r>
  <r>
    <x v="0"/>
    <x v="0"/>
    <x v="0"/>
    <x v="8"/>
    <x v="16"/>
    <s v="SE1_OTHER"/>
    <x v="6"/>
    <s v="GHOB_WASTEHEAT"/>
    <x v="0"/>
    <x v="3"/>
    <n v="35.828754578754399"/>
    <n v="13077.495421245399"/>
    <n v="47078.983516483298"/>
  </r>
  <r>
    <x v="0"/>
    <x v="0"/>
    <x v="0"/>
    <x v="8"/>
    <x v="16"/>
    <s v="SE1_OTHER"/>
    <x v="6"/>
    <s v="GHOB_WASTEHEAT"/>
    <x v="0"/>
    <x v="4"/>
    <n v="35.828754578754399"/>
    <n v="13077.495421245399"/>
    <n v="47078.983516483298"/>
  </r>
  <r>
    <x v="0"/>
    <x v="0"/>
    <x v="0"/>
    <x v="8"/>
    <x v="16"/>
    <s v="SE1_OTHER"/>
    <x v="6"/>
    <s v="GHOB_WASTEHEAT"/>
    <x v="0"/>
    <x v="5"/>
    <n v="35.828754578754399"/>
    <n v="13077.495421245399"/>
    <n v="47078.983516483298"/>
  </r>
  <r>
    <x v="0"/>
    <x v="0"/>
    <x v="0"/>
    <x v="8"/>
    <x v="16"/>
    <s v="SE1_OTHER"/>
    <x v="6"/>
    <s v="GHOB_WASTEHEAT"/>
    <x v="0"/>
    <x v="6"/>
    <n v="35.828754578754399"/>
    <n v="13077.495421245399"/>
    <n v="47078.983516483298"/>
  </r>
  <r>
    <x v="0"/>
    <x v="0"/>
    <x v="0"/>
    <x v="8"/>
    <x v="16"/>
    <s v="SE1_OTHER"/>
    <x v="6"/>
    <s v="GHOB_WASTEHEAT"/>
    <x v="0"/>
    <x v="7"/>
    <n v="35.828754578754399"/>
    <n v="13077.495421245399"/>
    <n v="47078.983516483298"/>
  </r>
  <r>
    <x v="0"/>
    <x v="0"/>
    <x v="0"/>
    <x v="8"/>
    <x v="16"/>
    <s v="SE1_OTHER"/>
    <x v="6"/>
    <s v="GHOB_WASTEHEAT"/>
    <x v="0"/>
    <x v="8"/>
    <n v="35.828754578754399"/>
    <n v="13077.495421245399"/>
    <n v="47078.983516483298"/>
  </r>
  <r>
    <x v="0"/>
    <x v="0"/>
    <x v="0"/>
    <x v="8"/>
    <x v="16"/>
    <s v="SE1_OTHER"/>
    <x v="6"/>
    <s v="GHOB_WASTEHEAT"/>
    <x v="0"/>
    <x v="9"/>
    <n v="35.828754578754399"/>
    <n v="13077.495421245399"/>
    <n v="47078.983516483298"/>
  </r>
  <r>
    <x v="0"/>
    <x v="0"/>
    <x v="0"/>
    <x v="8"/>
    <x v="16"/>
    <s v="SE1_OTHER"/>
    <x v="6"/>
    <s v="GHOB_WASTEHEAT"/>
    <x v="0"/>
    <x v="10"/>
    <n v="35.828754578754399"/>
    <n v="13077.495421245399"/>
    <n v="47078.983516483298"/>
  </r>
  <r>
    <x v="0"/>
    <x v="0"/>
    <x v="0"/>
    <x v="8"/>
    <x v="16"/>
    <s v="SE1_OTHER"/>
    <x v="6"/>
    <s v="GHOB_WASTEHEAT"/>
    <x v="0"/>
    <x v="11"/>
    <n v="35.828754578754399"/>
    <n v="13077.495421245399"/>
    <n v="47078.983516483298"/>
  </r>
  <r>
    <x v="0"/>
    <x v="0"/>
    <x v="0"/>
    <x v="8"/>
    <x v="16"/>
    <s v="SE1_OTHER"/>
    <x v="6"/>
    <s v="GHOB_WASTEHEAT"/>
    <x v="0"/>
    <x v="12"/>
    <n v="35.828754578754399"/>
    <n v="13077.495421245399"/>
    <n v="47078.983516483298"/>
  </r>
  <r>
    <x v="0"/>
    <x v="0"/>
    <x v="0"/>
    <x v="8"/>
    <x v="16"/>
    <s v="SE1_OTHER"/>
    <x v="6"/>
    <s v="GHOB_WASTEHEAT"/>
    <x v="0"/>
    <x v="13"/>
    <n v="35.828754578754399"/>
    <n v="13077.495421245399"/>
    <n v="47078.983516483298"/>
  </r>
  <r>
    <x v="0"/>
    <x v="0"/>
    <x v="0"/>
    <x v="8"/>
    <x v="16"/>
    <s v="SE1_OTHER"/>
    <x v="6"/>
    <s v="GHOB_WASTEHEAT"/>
    <x v="0"/>
    <x v="14"/>
    <n v="35.828754578754399"/>
    <n v="13077.495421245399"/>
    <n v="47078.983516483298"/>
  </r>
  <r>
    <x v="0"/>
    <x v="0"/>
    <x v="0"/>
    <x v="8"/>
    <x v="16"/>
    <s v="SE1_OTHER"/>
    <x v="6"/>
    <s v="GHOB_WASTEHEAT"/>
    <x v="0"/>
    <x v="15"/>
    <n v="35.828754578754399"/>
    <n v="13077.495421245399"/>
    <n v="47078.983516483298"/>
  </r>
  <r>
    <x v="0"/>
    <x v="0"/>
    <x v="0"/>
    <x v="8"/>
    <x v="16"/>
    <s v="SE1_OTHER"/>
    <x v="6"/>
    <s v="GHOB_WASTEHEAT"/>
    <x v="0"/>
    <x v="16"/>
    <n v="35.828754578754399"/>
    <n v="13077.495421245399"/>
    <n v="47078.983516483298"/>
  </r>
  <r>
    <x v="0"/>
    <x v="0"/>
    <x v="0"/>
    <x v="8"/>
    <x v="16"/>
    <s v="SE1_OTHER"/>
    <x v="6"/>
    <s v="GHOB_WASTEHEAT"/>
    <x v="0"/>
    <x v="17"/>
    <n v="35.828754578754399"/>
    <n v="13077.495421245399"/>
    <n v="47078.983516483298"/>
  </r>
  <r>
    <x v="0"/>
    <x v="0"/>
    <x v="0"/>
    <x v="8"/>
    <x v="16"/>
    <s v="SE1_OTHER"/>
    <x v="6"/>
    <s v="GHOB_WASTEHEAT"/>
    <x v="0"/>
    <x v="18"/>
    <n v="35.828754578754399"/>
    <n v="13077.495421245399"/>
    <n v="47078.983516483298"/>
  </r>
  <r>
    <x v="0"/>
    <x v="0"/>
    <x v="0"/>
    <x v="8"/>
    <x v="16"/>
    <s v="SE1_OTHER"/>
    <x v="6"/>
    <s v="GHOB_WASTEHEAT"/>
    <x v="0"/>
    <x v="19"/>
    <n v="35.828754578754399"/>
    <n v="13077.495421245399"/>
    <n v="47078.983516483298"/>
  </r>
  <r>
    <x v="0"/>
    <x v="0"/>
    <x v="0"/>
    <x v="8"/>
    <x v="16"/>
    <s v="SE1_OTHER"/>
    <x v="6"/>
    <s v="GHOB_WASTEHEAT"/>
    <x v="0"/>
    <x v="20"/>
    <n v="35.828754578754399"/>
    <n v="13077.495421245399"/>
    <n v="47078.983516483298"/>
  </r>
  <r>
    <x v="0"/>
    <x v="0"/>
    <x v="0"/>
    <x v="8"/>
    <x v="16"/>
    <s v="SE1_OTHER"/>
    <x v="6"/>
    <s v="GHOB_WASTEHEAT"/>
    <x v="0"/>
    <x v="21"/>
    <n v="35.828754578754399"/>
    <n v="13077.495421245399"/>
    <n v="47078.983516483298"/>
  </r>
  <r>
    <x v="0"/>
    <x v="0"/>
    <x v="0"/>
    <x v="8"/>
    <x v="16"/>
    <s v="SE1_OTHER"/>
    <x v="6"/>
    <s v="GHOB_WASTEHEAT"/>
    <x v="0"/>
    <x v="22"/>
    <n v="35.828754578754399"/>
    <n v="13077.495421245399"/>
    <n v="47078.983516483298"/>
  </r>
  <r>
    <x v="0"/>
    <x v="0"/>
    <x v="0"/>
    <x v="8"/>
    <x v="16"/>
    <s v="SE1_OTHER"/>
    <x v="6"/>
    <s v="GHOB_WASTEHEAT"/>
    <x v="0"/>
    <x v="23"/>
    <n v="35.828754578754399"/>
    <n v="13077.495421245399"/>
    <n v="47078.983516483298"/>
  </r>
  <r>
    <x v="0"/>
    <x v="0"/>
    <x v="0"/>
    <x v="8"/>
    <x v="16"/>
    <s v="SE1_OTHER"/>
    <x v="7"/>
    <s v="GBPR_WOODCHIPS_25"/>
    <x v="0"/>
    <x v="0"/>
    <n v="11.5401751313485"/>
    <n v="4212.1639229422099"/>
    <n v="15163.790122591899"/>
  </r>
  <r>
    <x v="0"/>
    <x v="0"/>
    <x v="0"/>
    <x v="8"/>
    <x v="16"/>
    <s v="SE1_OTHER"/>
    <x v="7"/>
    <s v="GBPR_WOODCHIPS_25"/>
    <x v="0"/>
    <x v="1"/>
    <n v="11.5401751313485"/>
    <n v="4212.1639229422099"/>
    <n v="15163.790122591899"/>
  </r>
  <r>
    <x v="0"/>
    <x v="0"/>
    <x v="0"/>
    <x v="8"/>
    <x v="16"/>
    <s v="SE1_OTHER"/>
    <x v="7"/>
    <s v="GBPR_WOODCHIPS_25"/>
    <x v="0"/>
    <x v="2"/>
    <n v="11.5401751313485"/>
    <n v="4212.1639229422099"/>
    <n v="15163.790122591899"/>
  </r>
  <r>
    <x v="0"/>
    <x v="0"/>
    <x v="0"/>
    <x v="8"/>
    <x v="16"/>
    <s v="SE1_OTHER"/>
    <x v="7"/>
    <s v="GBPR_WOODCHIPS_25"/>
    <x v="0"/>
    <x v="3"/>
    <n v="11.5401751313485"/>
    <n v="4212.1639229422099"/>
    <n v="15163.790122591899"/>
  </r>
  <r>
    <x v="0"/>
    <x v="0"/>
    <x v="0"/>
    <x v="8"/>
    <x v="16"/>
    <s v="SE1_OTHER"/>
    <x v="7"/>
    <s v="GBPR_WOODCHIPS_25"/>
    <x v="0"/>
    <x v="4"/>
    <n v="11.5401751313485"/>
    <n v="4212.1639229422099"/>
    <n v="15163.790122591899"/>
  </r>
  <r>
    <x v="0"/>
    <x v="0"/>
    <x v="0"/>
    <x v="8"/>
    <x v="16"/>
    <s v="SE1_OTHER"/>
    <x v="7"/>
    <s v="GBPR_WOODCHIPS_25"/>
    <x v="0"/>
    <x v="5"/>
    <n v="11.5401751313485"/>
    <n v="4212.1639229422099"/>
    <n v="15163.790122591899"/>
  </r>
  <r>
    <x v="0"/>
    <x v="0"/>
    <x v="0"/>
    <x v="8"/>
    <x v="16"/>
    <s v="SE1_OTHER"/>
    <x v="7"/>
    <s v="GBPR_WOODCHIPS_25"/>
    <x v="0"/>
    <x v="6"/>
    <n v="11.5401751313485"/>
    <n v="4212.1639229422099"/>
    <n v="15163.790122591899"/>
  </r>
  <r>
    <x v="0"/>
    <x v="0"/>
    <x v="0"/>
    <x v="8"/>
    <x v="16"/>
    <s v="SE1_OTHER"/>
    <x v="7"/>
    <s v="GBPR_WOODCHIPS_25"/>
    <x v="0"/>
    <x v="7"/>
    <n v="11.5401751313485"/>
    <n v="4212.1639229422099"/>
    <n v="15163.790122591899"/>
  </r>
  <r>
    <x v="0"/>
    <x v="0"/>
    <x v="0"/>
    <x v="8"/>
    <x v="16"/>
    <s v="SE1_OTHER"/>
    <x v="7"/>
    <s v="GBPR_WOODCHIPS_25"/>
    <x v="0"/>
    <x v="8"/>
    <n v="11.5401751313485"/>
    <n v="4212.1639229422099"/>
    <n v="15163.790122591899"/>
  </r>
  <r>
    <x v="0"/>
    <x v="0"/>
    <x v="0"/>
    <x v="8"/>
    <x v="16"/>
    <s v="SE1_OTHER"/>
    <x v="7"/>
    <s v="GBPR_WOODCHIPS_25"/>
    <x v="0"/>
    <x v="9"/>
    <n v="11.5401751313485"/>
    <n v="4212.1639229422099"/>
    <n v="15163.790122591899"/>
  </r>
  <r>
    <x v="0"/>
    <x v="0"/>
    <x v="0"/>
    <x v="8"/>
    <x v="16"/>
    <s v="SE1_OTHER"/>
    <x v="7"/>
    <s v="GBPR_WOODCHIPS_25"/>
    <x v="0"/>
    <x v="10"/>
    <n v="11.5401751313485"/>
    <n v="4212.1639229422099"/>
    <n v="15163.790122591899"/>
  </r>
  <r>
    <x v="0"/>
    <x v="0"/>
    <x v="0"/>
    <x v="8"/>
    <x v="16"/>
    <s v="SE1_OTHER"/>
    <x v="7"/>
    <s v="GBPR_WOODCHIPS_25"/>
    <x v="0"/>
    <x v="11"/>
    <n v="11.5401751313485"/>
    <n v="4212.1639229422099"/>
    <n v="15163.790122591899"/>
  </r>
  <r>
    <x v="0"/>
    <x v="0"/>
    <x v="0"/>
    <x v="8"/>
    <x v="16"/>
    <s v="SE1_OTHER"/>
    <x v="7"/>
    <s v="GBPR_WOODCHIPS_25"/>
    <x v="0"/>
    <x v="12"/>
    <n v="11.5401751313485"/>
    <n v="4212.1639229422099"/>
    <n v="15163.790122591899"/>
  </r>
  <r>
    <x v="0"/>
    <x v="0"/>
    <x v="0"/>
    <x v="8"/>
    <x v="16"/>
    <s v="SE1_OTHER"/>
    <x v="7"/>
    <s v="GBPR_WOODCHIPS_25"/>
    <x v="0"/>
    <x v="13"/>
    <n v="11.5401751313485"/>
    <n v="4212.1639229422099"/>
    <n v="15163.790122591899"/>
  </r>
  <r>
    <x v="0"/>
    <x v="0"/>
    <x v="0"/>
    <x v="8"/>
    <x v="16"/>
    <s v="SE1_OTHER"/>
    <x v="7"/>
    <s v="GBPR_WOODCHIPS_25"/>
    <x v="0"/>
    <x v="14"/>
    <n v="11.5401751313485"/>
    <n v="4212.1639229422099"/>
    <n v="15163.790122591899"/>
  </r>
  <r>
    <x v="0"/>
    <x v="0"/>
    <x v="0"/>
    <x v="8"/>
    <x v="16"/>
    <s v="SE1_OTHER"/>
    <x v="7"/>
    <s v="GBPR_WOODCHIPS_25"/>
    <x v="0"/>
    <x v="15"/>
    <n v="11.5401751313485"/>
    <n v="4212.1639229422099"/>
    <n v="15163.790122591899"/>
  </r>
  <r>
    <x v="0"/>
    <x v="0"/>
    <x v="0"/>
    <x v="8"/>
    <x v="16"/>
    <s v="SE1_OTHER"/>
    <x v="7"/>
    <s v="GBPR_WOODCHIPS_25"/>
    <x v="0"/>
    <x v="16"/>
    <n v="11.5401751313485"/>
    <n v="4212.1639229422099"/>
    <n v="15163.790122591899"/>
  </r>
  <r>
    <x v="0"/>
    <x v="0"/>
    <x v="0"/>
    <x v="8"/>
    <x v="16"/>
    <s v="SE1_OTHER"/>
    <x v="7"/>
    <s v="GBPR_WOODCHIPS_25"/>
    <x v="0"/>
    <x v="17"/>
    <n v="11.5401751313485"/>
    <n v="4212.1639229422099"/>
    <n v="15163.790122591899"/>
  </r>
  <r>
    <x v="0"/>
    <x v="0"/>
    <x v="0"/>
    <x v="8"/>
    <x v="16"/>
    <s v="SE1_OTHER"/>
    <x v="7"/>
    <s v="GBPR_WOODCHIPS_25"/>
    <x v="0"/>
    <x v="18"/>
    <n v="11.5401751313485"/>
    <n v="4212.1639229422099"/>
    <n v="15163.790122591899"/>
  </r>
  <r>
    <x v="0"/>
    <x v="0"/>
    <x v="0"/>
    <x v="8"/>
    <x v="16"/>
    <s v="SE1_OTHER"/>
    <x v="7"/>
    <s v="GBPR_WOODCHIPS_25"/>
    <x v="0"/>
    <x v="19"/>
    <n v="11.5401751313485"/>
    <n v="4212.1639229422099"/>
    <n v="15163.790122591899"/>
  </r>
  <r>
    <x v="0"/>
    <x v="0"/>
    <x v="0"/>
    <x v="8"/>
    <x v="16"/>
    <s v="SE1_OTHER"/>
    <x v="7"/>
    <s v="GBPR_WOODCHIPS_25"/>
    <x v="0"/>
    <x v="20"/>
    <n v="11.5401751313485"/>
    <n v="4212.1639229422099"/>
    <n v="15163.790122591899"/>
  </r>
  <r>
    <x v="0"/>
    <x v="0"/>
    <x v="0"/>
    <x v="8"/>
    <x v="16"/>
    <s v="SE1_OTHER"/>
    <x v="7"/>
    <s v="GBPR_WOODCHIPS_25"/>
    <x v="0"/>
    <x v="21"/>
    <n v="11.5401751313485"/>
    <n v="4212.1639229422099"/>
    <n v="15163.790122591899"/>
  </r>
  <r>
    <x v="0"/>
    <x v="0"/>
    <x v="0"/>
    <x v="8"/>
    <x v="16"/>
    <s v="SE1_OTHER"/>
    <x v="7"/>
    <s v="GBPR_WOODCHIPS_25"/>
    <x v="0"/>
    <x v="22"/>
    <n v="11.5401751313485"/>
    <n v="4212.1639229422099"/>
    <n v="15163.790122591899"/>
  </r>
  <r>
    <x v="0"/>
    <x v="0"/>
    <x v="0"/>
    <x v="8"/>
    <x v="16"/>
    <s v="SE1_OTHER"/>
    <x v="7"/>
    <s v="GBPR_WOODCHIPS_25"/>
    <x v="0"/>
    <x v="23"/>
    <n v="11.5401751313485"/>
    <n v="4212.1639229422099"/>
    <n v="15163.790122591899"/>
  </r>
  <r>
    <x v="0"/>
    <x v="0"/>
    <x v="0"/>
    <x v="8"/>
    <x v="16"/>
    <s v="SE1_OTHER"/>
    <x v="9"/>
    <s v="GBPR_WOODWASTE"/>
    <x v="0"/>
    <x v="0"/>
    <n v="57.580172834543902"/>
    <n v="21016.763084608501"/>
    <n v="75660.347104590706"/>
  </r>
  <r>
    <x v="0"/>
    <x v="0"/>
    <x v="0"/>
    <x v="8"/>
    <x v="16"/>
    <s v="SE1_OTHER"/>
    <x v="9"/>
    <s v="GBPR_WOODWASTE"/>
    <x v="0"/>
    <x v="1"/>
    <n v="57.580172834543902"/>
    <n v="21016.763084608501"/>
    <n v="75660.347104590706"/>
  </r>
  <r>
    <x v="0"/>
    <x v="0"/>
    <x v="0"/>
    <x v="8"/>
    <x v="16"/>
    <s v="SE1_OTHER"/>
    <x v="9"/>
    <s v="GBPR_WOODWASTE"/>
    <x v="0"/>
    <x v="2"/>
    <n v="57.580172834543902"/>
    <n v="21016.763084608501"/>
    <n v="75660.347104590706"/>
  </r>
  <r>
    <x v="0"/>
    <x v="0"/>
    <x v="0"/>
    <x v="8"/>
    <x v="16"/>
    <s v="SE1_OTHER"/>
    <x v="9"/>
    <s v="GBPR_WOODWASTE"/>
    <x v="0"/>
    <x v="3"/>
    <n v="57.580172834543902"/>
    <n v="21016.763084608501"/>
    <n v="75660.347104590706"/>
  </r>
  <r>
    <x v="0"/>
    <x v="0"/>
    <x v="0"/>
    <x v="8"/>
    <x v="16"/>
    <s v="SE1_OTHER"/>
    <x v="9"/>
    <s v="GBPR_WOODWASTE"/>
    <x v="0"/>
    <x v="4"/>
    <n v="57.580172834543902"/>
    <n v="21016.763084608501"/>
    <n v="75660.347104590706"/>
  </r>
  <r>
    <x v="0"/>
    <x v="0"/>
    <x v="0"/>
    <x v="8"/>
    <x v="16"/>
    <s v="SE1_OTHER"/>
    <x v="9"/>
    <s v="GBPR_WOODWASTE"/>
    <x v="0"/>
    <x v="5"/>
    <n v="57.580172834543902"/>
    <n v="21016.763084608501"/>
    <n v="75660.347104590706"/>
  </r>
  <r>
    <x v="0"/>
    <x v="0"/>
    <x v="0"/>
    <x v="8"/>
    <x v="16"/>
    <s v="SE1_OTHER"/>
    <x v="9"/>
    <s v="GBPR_WOODWASTE"/>
    <x v="0"/>
    <x v="6"/>
    <n v="57.580172834543902"/>
    <n v="21016.763084608501"/>
    <n v="75660.347104590706"/>
  </r>
  <r>
    <x v="0"/>
    <x v="0"/>
    <x v="0"/>
    <x v="8"/>
    <x v="16"/>
    <s v="SE1_OTHER"/>
    <x v="9"/>
    <s v="GBPR_WOODWASTE"/>
    <x v="0"/>
    <x v="7"/>
    <n v="57.580172834543902"/>
    <n v="21016.763084608501"/>
    <n v="75660.347104590706"/>
  </r>
  <r>
    <x v="0"/>
    <x v="0"/>
    <x v="0"/>
    <x v="8"/>
    <x v="16"/>
    <s v="SE1_OTHER"/>
    <x v="9"/>
    <s v="GBPR_WOODWASTE"/>
    <x v="0"/>
    <x v="8"/>
    <n v="57.580172834543902"/>
    <n v="21016.763084608501"/>
    <n v="75660.347104590706"/>
  </r>
  <r>
    <x v="0"/>
    <x v="0"/>
    <x v="0"/>
    <x v="8"/>
    <x v="16"/>
    <s v="SE1_OTHER"/>
    <x v="9"/>
    <s v="GBPR_WOODWASTE"/>
    <x v="0"/>
    <x v="9"/>
    <n v="57.580172834543902"/>
    <n v="21016.763084608501"/>
    <n v="75660.347104590706"/>
  </r>
  <r>
    <x v="0"/>
    <x v="0"/>
    <x v="0"/>
    <x v="8"/>
    <x v="16"/>
    <s v="SE1_OTHER"/>
    <x v="9"/>
    <s v="GBPR_WOODWASTE"/>
    <x v="0"/>
    <x v="10"/>
    <n v="57.580172834543902"/>
    <n v="21016.763084608501"/>
    <n v="75660.347104590706"/>
  </r>
  <r>
    <x v="0"/>
    <x v="0"/>
    <x v="0"/>
    <x v="8"/>
    <x v="16"/>
    <s v="SE1_OTHER"/>
    <x v="9"/>
    <s v="GBPR_WOODWASTE"/>
    <x v="0"/>
    <x v="11"/>
    <n v="57.580172834543902"/>
    <n v="21016.763084608501"/>
    <n v="75660.347104590706"/>
  </r>
  <r>
    <x v="0"/>
    <x v="0"/>
    <x v="0"/>
    <x v="8"/>
    <x v="16"/>
    <s v="SE1_OTHER"/>
    <x v="9"/>
    <s v="GBPR_WOODWASTE"/>
    <x v="0"/>
    <x v="12"/>
    <n v="57.580172834543902"/>
    <n v="21016.763084608501"/>
    <n v="75660.347104590706"/>
  </r>
  <r>
    <x v="0"/>
    <x v="0"/>
    <x v="0"/>
    <x v="8"/>
    <x v="16"/>
    <s v="SE1_OTHER"/>
    <x v="9"/>
    <s v="GBPR_WOODWASTE"/>
    <x v="0"/>
    <x v="13"/>
    <n v="57.580172834543902"/>
    <n v="21016.763084608501"/>
    <n v="75660.347104590706"/>
  </r>
  <r>
    <x v="0"/>
    <x v="0"/>
    <x v="0"/>
    <x v="8"/>
    <x v="16"/>
    <s v="SE1_OTHER"/>
    <x v="9"/>
    <s v="GBPR_WOODWASTE"/>
    <x v="0"/>
    <x v="14"/>
    <n v="57.580172834543902"/>
    <n v="21016.763084608501"/>
    <n v="75660.347104590706"/>
  </r>
  <r>
    <x v="0"/>
    <x v="0"/>
    <x v="0"/>
    <x v="8"/>
    <x v="16"/>
    <s v="SE1_OTHER"/>
    <x v="9"/>
    <s v="GBPR_WOODWASTE"/>
    <x v="0"/>
    <x v="15"/>
    <n v="57.580172834543902"/>
    <n v="21016.763084608501"/>
    <n v="75660.347104590706"/>
  </r>
  <r>
    <x v="0"/>
    <x v="0"/>
    <x v="0"/>
    <x v="8"/>
    <x v="16"/>
    <s v="SE1_OTHER"/>
    <x v="9"/>
    <s v="GBPR_WOODWASTE"/>
    <x v="0"/>
    <x v="16"/>
    <n v="57.580172834543902"/>
    <n v="21016.763084608501"/>
    <n v="75660.347104590706"/>
  </r>
  <r>
    <x v="0"/>
    <x v="0"/>
    <x v="0"/>
    <x v="8"/>
    <x v="16"/>
    <s v="SE1_OTHER"/>
    <x v="9"/>
    <s v="GBPR_WOODWASTE"/>
    <x v="0"/>
    <x v="17"/>
    <n v="57.580172834543902"/>
    <n v="21016.763084608501"/>
    <n v="75660.347104590706"/>
  </r>
  <r>
    <x v="0"/>
    <x v="0"/>
    <x v="0"/>
    <x v="8"/>
    <x v="16"/>
    <s v="SE1_OTHER"/>
    <x v="9"/>
    <s v="GBPR_WOODWASTE"/>
    <x v="0"/>
    <x v="18"/>
    <n v="57.580172834543902"/>
    <n v="21016.763084608501"/>
    <n v="75660.347104590706"/>
  </r>
  <r>
    <x v="0"/>
    <x v="0"/>
    <x v="0"/>
    <x v="8"/>
    <x v="16"/>
    <s v="SE1_OTHER"/>
    <x v="9"/>
    <s v="GBPR_WOODWASTE"/>
    <x v="0"/>
    <x v="19"/>
    <n v="57.580172834543902"/>
    <n v="21016.763084608501"/>
    <n v="75660.347104590706"/>
  </r>
  <r>
    <x v="0"/>
    <x v="0"/>
    <x v="0"/>
    <x v="8"/>
    <x v="16"/>
    <s v="SE1_OTHER"/>
    <x v="9"/>
    <s v="GBPR_WOODWASTE"/>
    <x v="0"/>
    <x v="20"/>
    <n v="57.580172834543902"/>
    <n v="21016.763084608501"/>
    <n v="75660.347104590706"/>
  </r>
  <r>
    <x v="0"/>
    <x v="0"/>
    <x v="0"/>
    <x v="8"/>
    <x v="16"/>
    <s v="SE1_OTHER"/>
    <x v="9"/>
    <s v="GBPR_WOODWASTE"/>
    <x v="0"/>
    <x v="21"/>
    <n v="57.580172834543902"/>
    <n v="21016.763084608501"/>
    <n v="75660.347104590706"/>
  </r>
  <r>
    <x v="0"/>
    <x v="0"/>
    <x v="0"/>
    <x v="8"/>
    <x v="16"/>
    <s v="SE1_OTHER"/>
    <x v="9"/>
    <s v="GBPR_WOODWASTE"/>
    <x v="0"/>
    <x v="22"/>
    <n v="57.580172834543902"/>
    <n v="21016.763084608501"/>
    <n v="75660.347104590706"/>
  </r>
  <r>
    <x v="0"/>
    <x v="0"/>
    <x v="0"/>
    <x v="8"/>
    <x v="16"/>
    <s v="SE1_OTHER"/>
    <x v="9"/>
    <s v="GBPR_WOODWASTE"/>
    <x v="0"/>
    <x v="23"/>
    <n v="57.580172834543902"/>
    <n v="21016.763084608501"/>
    <n v="75660.347104590706"/>
  </r>
  <r>
    <x v="0"/>
    <x v="0"/>
    <x v="0"/>
    <x v="8"/>
    <x v="16"/>
    <s v="SE1_OTHER"/>
    <x v="9"/>
    <s v="GHOB_WOODWASTE"/>
    <x v="0"/>
    <x v="0"/>
    <n v="26.6956707530648"/>
    <n v="9743.9198248686498"/>
    <n v="35078.111369527098"/>
  </r>
  <r>
    <x v="0"/>
    <x v="0"/>
    <x v="0"/>
    <x v="8"/>
    <x v="16"/>
    <s v="SE1_OTHER"/>
    <x v="9"/>
    <s v="GHOB_WOODWASTE"/>
    <x v="0"/>
    <x v="1"/>
    <n v="26.6956707530648"/>
    <n v="9743.9198248686498"/>
    <n v="35078.111369527098"/>
  </r>
  <r>
    <x v="0"/>
    <x v="0"/>
    <x v="0"/>
    <x v="8"/>
    <x v="16"/>
    <s v="SE1_OTHER"/>
    <x v="9"/>
    <s v="GHOB_WOODWASTE"/>
    <x v="0"/>
    <x v="2"/>
    <n v="26.6956707530648"/>
    <n v="9743.9198248686498"/>
    <n v="35078.111369527098"/>
  </r>
  <r>
    <x v="0"/>
    <x v="0"/>
    <x v="0"/>
    <x v="8"/>
    <x v="16"/>
    <s v="SE1_OTHER"/>
    <x v="9"/>
    <s v="GHOB_WOODWASTE"/>
    <x v="0"/>
    <x v="3"/>
    <n v="26.6956707530648"/>
    <n v="9743.9198248686498"/>
    <n v="35078.111369527098"/>
  </r>
  <r>
    <x v="0"/>
    <x v="0"/>
    <x v="0"/>
    <x v="8"/>
    <x v="16"/>
    <s v="SE1_OTHER"/>
    <x v="9"/>
    <s v="GHOB_WOODWASTE"/>
    <x v="0"/>
    <x v="4"/>
    <n v="5.73447510627821"/>
    <n v="2093.0834137915499"/>
    <n v="7535.1002896495702"/>
  </r>
  <r>
    <x v="0"/>
    <x v="0"/>
    <x v="0"/>
    <x v="8"/>
    <x v="16"/>
    <s v="SE1_OTHER"/>
    <x v="9"/>
    <s v="GHOB_WOODWASTE"/>
    <x v="0"/>
    <x v="5"/>
    <n v="14.0582286516485"/>
    <n v="5131.2534578517198"/>
    <n v="18472.512448266199"/>
  </r>
  <r>
    <x v="0"/>
    <x v="0"/>
    <x v="0"/>
    <x v="8"/>
    <x v="16"/>
    <s v="SE1_OTHER"/>
    <x v="9"/>
    <s v="GHOB_WOODWASTE"/>
    <x v="0"/>
    <x v="6"/>
    <n v="26.6956707530648"/>
    <n v="9743.9198248686498"/>
    <n v="35078.111369527098"/>
  </r>
  <r>
    <x v="0"/>
    <x v="0"/>
    <x v="0"/>
    <x v="8"/>
    <x v="16"/>
    <s v="SE1_OTHER"/>
    <x v="9"/>
    <s v="GHOB_WOODWASTE"/>
    <x v="0"/>
    <x v="7"/>
    <n v="26.6956707530648"/>
    <n v="9743.9198248686498"/>
    <n v="35078.111369527098"/>
  </r>
  <r>
    <x v="0"/>
    <x v="0"/>
    <x v="0"/>
    <x v="8"/>
    <x v="16"/>
    <s v="SE1_OTHER"/>
    <x v="9"/>
    <s v="GHOB_WOODWASTE"/>
    <x v="0"/>
    <x v="8"/>
    <n v="26.6956707530648"/>
    <n v="9743.9198248686498"/>
    <n v="35078.111369527098"/>
  </r>
  <r>
    <x v="0"/>
    <x v="0"/>
    <x v="0"/>
    <x v="8"/>
    <x v="16"/>
    <s v="SE1_OTHER"/>
    <x v="9"/>
    <s v="GHOB_WOODWASTE"/>
    <x v="0"/>
    <x v="9"/>
    <n v="26.6956707530648"/>
    <n v="9743.9198248686498"/>
    <n v="35078.111369527098"/>
  </r>
  <r>
    <x v="0"/>
    <x v="0"/>
    <x v="0"/>
    <x v="8"/>
    <x v="16"/>
    <s v="SE1_OTHER"/>
    <x v="9"/>
    <s v="GHOB_WOODWASTE"/>
    <x v="0"/>
    <x v="10"/>
    <n v="26.6956707530648"/>
    <n v="9743.9198248686498"/>
    <n v="35078.111369527098"/>
  </r>
  <r>
    <x v="0"/>
    <x v="0"/>
    <x v="0"/>
    <x v="8"/>
    <x v="16"/>
    <s v="SE1_OTHER"/>
    <x v="9"/>
    <s v="GHOB_WOODWASTE"/>
    <x v="0"/>
    <x v="11"/>
    <n v="26.6956707530648"/>
    <n v="9743.9198248686498"/>
    <n v="35078.111369527098"/>
  </r>
  <r>
    <x v="0"/>
    <x v="0"/>
    <x v="0"/>
    <x v="8"/>
    <x v="16"/>
    <s v="SE1_OTHER"/>
    <x v="9"/>
    <s v="GHOB_WOODWASTE"/>
    <x v="0"/>
    <x v="12"/>
    <n v="26.6956707530648"/>
    <n v="9743.9198248686498"/>
    <n v="35078.111369527098"/>
  </r>
  <r>
    <x v="0"/>
    <x v="0"/>
    <x v="0"/>
    <x v="8"/>
    <x v="16"/>
    <s v="SE1_OTHER"/>
    <x v="9"/>
    <s v="GHOB_WOODWASTE"/>
    <x v="0"/>
    <x v="13"/>
    <n v="26.6956707530648"/>
    <n v="9743.9198248686498"/>
    <n v="35078.111369527098"/>
  </r>
  <r>
    <x v="0"/>
    <x v="0"/>
    <x v="0"/>
    <x v="8"/>
    <x v="16"/>
    <s v="SE1_OTHER"/>
    <x v="9"/>
    <s v="GHOB_WOODWASTE"/>
    <x v="0"/>
    <x v="14"/>
    <n v="26.6956707530648"/>
    <n v="9743.9198248686498"/>
    <n v="35078.111369527098"/>
  </r>
  <r>
    <x v="0"/>
    <x v="0"/>
    <x v="0"/>
    <x v="8"/>
    <x v="16"/>
    <s v="SE1_OTHER"/>
    <x v="9"/>
    <s v="GHOB_WOODWASTE"/>
    <x v="0"/>
    <x v="15"/>
    <n v="26.6956707530648"/>
    <n v="9743.9198248686498"/>
    <n v="35078.111369527098"/>
  </r>
  <r>
    <x v="0"/>
    <x v="0"/>
    <x v="0"/>
    <x v="8"/>
    <x v="16"/>
    <s v="SE1_OTHER"/>
    <x v="9"/>
    <s v="GHOB_WOODWASTE"/>
    <x v="0"/>
    <x v="16"/>
    <n v="22.274489378131701"/>
    <n v="8130.1886230180698"/>
    <n v="29268.6790428651"/>
  </r>
  <r>
    <x v="0"/>
    <x v="0"/>
    <x v="0"/>
    <x v="8"/>
    <x v="16"/>
    <s v="SE1_OTHER"/>
    <x v="9"/>
    <s v="GHOB_WOODWASTE"/>
    <x v="0"/>
    <x v="17"/>
    <n v="16.808240124864099"/>
    <n v="6135.0076455753997"/>
    <n v="22086.0275240714"/>
  </r>
  <r>
    <x v="0"/>
    <x v="0"/>
    <x v="0"/>
    <x v="8"/>
    <x v="16"/>
    <s v="SE1_OTHER"/>
    <x v="9"/>
    <s v="GHOB_WOODWASTE"/>
    <x v="0"/>
    <x v="18"/>
    <n v="14.2096666544978"/>
    <n v="5186.5283288916798"/>
    <n v="18671.501984010101"/>
  </r>
  <r>
    <x v="0"/>
    <x v="0"/>
    <x v="0"/>
    <x v="8"/>
    <x v="16"/>
    <s v="SE1_OTHER"/>
    <x v="9"/>
    <s v="GHOB_WOODWASTE"/>
    <x v="0"/>
    <x v="19"/>
    <n v="11.2016372662092"/>
    <n v="4088.59760216635"/>
    <n v="14718.9513677989"/>
  </r>
  <r>
    <x v="0"/>
    <x v="0"/>
    <x v="0"/>
    <x v="8"/>
    <x v="16"/>
    <s v="SE1_OTHER"/>
    <x v="9"/>
    <s v="GHOB_WOODWASTE"/>
    <x v="0"/>
    <x v="20"/>
    <n v="7.9967164299648097"/>
    <n v="2918.8014969371502"/>
    <n v="10507.685388973799"/>
  </r>
  <r>
    <x v="0"/>
    <x v="0"/>
    <x v="0"/>
    <x v="8"/>
    <x v="16"/>
    <s v="SE1_OTHER"/>
    <x v="9"/>
    <s v="GHOB_WOODWASTE"/>
    <x v="0"/>
    <x v="21"/>
    <n v="5.2587092222142102"/>
    <n v="1919.42886610819"/>
    <n v="6909.9439179894698"/>
  </r>
  <r>
    <x v="0"/>
    <x v="0"/>
    <x v="0"/>
    <x v="8"/>
    <x v="16"/>
    <s v="SE1_OTHER"/>
    <x v="9"/>
    <s v="GHOB_WOODWASTE"/>
    <x v="0"/>
    <x v="22"/>
    <n v="10.623488395002299"/>
    <n v="3877.57326417585"/>
    <n v="13959.263751033101"/>
  </r>
  <r>
    <x v="0"/>
    <x v="0"/>
    <x v="0"/>
    <x v="8"/>
    <x v="17"/>
    <s v="SE2A"/>
    <x v="10"/>
    <s v="GBPR_IND_BIO"/>
    <x v="0"/>
    <x v="0"/>
    <n v="828.86363636363603"/>
    <n v="302535.227272727"/>
    <n v="1089126.81818182"/>
  </r>
  <r>
    <x v="0"/>
    <x v="0"/>
    <x v="0"/>
    <x v="8"/>
    <x v="17"/>
    <s v="SE2A"/>
    <x v="10"/>
    <s v="GBPR_IND_BIO"/>
    <x v="0"/>
    <x v="1"/>
    <n v="828.86363636363603"/>
    <n v="302535.227272727"/>
    <n v="1089126.81818182"/>
  </r>
  <r>
    <x v="0"/>
    <x v="0"/>
    <x v="0"/>
    <x v="8"/>
    <x v="17"/>
    <s v="SE2A"/>
    <x v="10"/>
    <s v="GBPR_IND_BIO"/>
    <x v="0"/>
    <x v="2"/>
    <n v="828.86363636363603"/>
    <n v="302535.227272727"/>
    <n v="1089126.81818182"/>
  </r>
  <r>
    <x v="0"/>
    <x v="0"/>
    <x v="0"/>
    <x v="8"/>
    <x v="17"/>
    <s v="SE2A"/>
    <x v="10"/>
    <s v="GBPR_IND_BIO"/>
    <x v="0"/>
    <x v="3"/>
    <n v="828.86363636363603"/>
    <n v="302535.227272727"/>
    <n v="1089126.81818182"/>
  </r>
  <r>
    <x v="0"/>
    <x v="0"/>
    <x v="0"/>
    <x v="8"/>
    <x v="17"/>
    <s v="SE2A"/>
    <x v="10"/>
    <s v="GBPR_IND_BIO"/>
    <x v="0"/>
    <x v="4"/>
    <n v="828.86363636363603"/>
    <n v="302535.227272727"/>
    <n v="1089126.81818182"/>
  </r>
  <r>
    <x v="0"/>
    <x v="0"/>
    <x v="0"/>
    <x v="8"/>
    <x v="17"/>
    <s v="SE2A"/>
    <x v="10"/>
    <s v="GBPR_IND_BIO"/>
    <x v="0"/>
    <x v="5"/>
    <n v="828.86363636363603"/>
    <n v="302535.227272727"/>
    <n v="1089126.81818182"/>
  </r>
  <r>
    <x v="0"/>
    <x v="0"/>
    <x v="0"/>
    <x v="8"/>
    <x v="17"/>
    <s v="SE2A"/>
    <x v="10"/>
    <s v="GBPR_IND_BIO"/>
    <x v="0"/>
    <x v="6"/>
    <n v="828.86363636363603"/>
    <n v="302535.227272727"/>
    <n v="1089126.81818182"/>
  </r>
  <r>
    <x v="0"/>
    <x v="0"/>
    <x v="0"/>
    <x v="8"/>
    <x v="17"/>
    <s v="SE2A"/>
    <x v="10"/>
    <s v="GBPR_IND_BIO"/>
    <x v="0"/>
    <x v="7"/>
    <n v="828.86363636363603"/>
    <n v="302535.227272727"/>
    <n v="1089126.81818182"/>
  </r>
  <r>
    <x v="0"/>
    <x v="0"/>
    <x v="0"/>
    <x v="8"/>
    <x v="17"/>
    <s v="SE2A"/>
    <x v="10"/>
    <s v="GBPR_IND_BIO"/>
    <x v="0"/>
    <x v="8"/>
    <n v="828.86363636363603"/>
    <n v="302535.227272727"/>
    <n v="1089126.81818182"/>
  </r>
  <r>
    <x v="0"/>
    <x v="0"/>
    <x v="0"/>
    <x v="8"/>
    <x v="17"/>
    <s v="SE2A"/>
    <x v="10"/>
    <s v="GBPR_IND_BIO"/>
    <x v="0"/>
    <x v="9"/>
    <n v="828.86363636363603"/>
    <n v="302535.227272727"/>
    <n v="1089126.81818182"/>
  </r>
  <r>
    <x v="0"/>
    <x v="0"/>
    <x v="0"/>
    <x v="8"/>
    <x v="17"/>
    <s v="SE2A"/>
    <x v="10"/>
    <s v="GBPR_IND_BIO"/>
    <x v="0"/>
    <x v="10"/>
    <n v="828.86363636363603"/>
    <n v="302535.227272727"/>
    <n v="1089126.81818182"/>
  </r>
  <r>
    <x v="0"/>
    <x v="0"/>
    <x v="0"/>
    <x v="8"/>
    <x v="17"/>
    <s v="SE2A"/>
    <x v="10"/>
    <s v="GBPR_IND_BIO"/>
    <x v="0"/>
    <x v="11"/>
    <n v="828.86363636363603"/>
    <n v="302535.227272727"/>
    <n v="1089126.81818182"/>
  </r>
  <r>
    <x v="0"/>
    <x v="0"/>
    <x v="0"/>
    <x v="8"/>
    <x v="17"/>
    <s v="SE2A"/>
    <x v="10"/>
    <s v="GBPR_IND_BIO"/>
    <x v="0"/>
    <x v="12"/>
    <n v="828.86363636363603"/>
    <n v="302535.227272727"/>
    <n v="1089126.81818182"/>
  </r>
  <r>
    <x v="0"/>
    <x v="0"/>
    <x v="0"/>
    <x v="8"/>
    <x v="17"/>
    <s v="SE2A"/>
    <x v="10"/>
    <s v="GBPR_IND_BIO"/>
    <x v="0"/>
    <x v="13"/>
    <n v="828.86363636363603"/>
    <n v="302535.227272727"/>
    <n v="1089126.81818182"/>
  </r>
  <r>
    <x v="0"/>
    <x v="0"/>
    <x v="0"/>
    <x v="8"/>
    <x v="17"/>
    <s v="SE2A"/>
    <x v="10"/>
    <s v="GBPR_IND_BIO"/>
    <x v="0"/>
    <x v="14"/>
    <n v="828.86363636363603"/>
    <n v="302535.227272727"/>
    <n v="1089126.81818182"/>
  </r>
  <r>
    <x v="0"/>
    <x v="0"/>
    <x v="0"/>
    <x v="8"/>
    <x v="17"/>
    <s v="SE2A"/>
    <x v="10"/>
    <s v="GBPR_IND_BIO"/>
    <x v="0"/>
    <x v="15"/>
    <n v="828.86363636363603"/>
    <n v="302535.227272727"/>
    <n v="1089126.81818182"/>
  </r>
  <r>
    <x v="0"/>
    <x v="0"/>
    <x v="0"/>
    <x v="8"/>
    <x v="17"/>
    <s v="SE2A"/>
    <x v="10"/>
    <s v="GBPR_IND_BIO"/>
    <x v="0"/>
    <x v="16"/>
    <n v="828.86363636363603"/>
    <n v="302535.227272727"/>
    <n v="1089126.81818182"/>
  </r>
  <r>
    <x v="0"/>
    <x v="0"/>
    <x v="0"/>
    <x v="8"/>
    <x v="17"/>
    <s v="SE2A"/>
    <x v="10"/>
    <s v="GBPR_IND_BIO"/>
    <x v="0"/>
    <x v="17"/>
    <n v="828.86363636363603"/>
    <n v="302535.227272727"/>
    <n v="1089126.81818182"/>
  </r>
  <r>
    <x v="0"/>
    <x v="0"/>
    <x v="0"/>
    <x v="8"/>
    <x v="17"/>
    <s v="SE2A"/>
    <x v="10"/>
    <s v="GBPR_IND_BIO"/>
    <x v="0"/>
    <x v="18"/>
    <n v="828.86363636363603"/>
    <n v="302535.227272727"/>
    <n v="1089126.81818182"/>
  </r>
  <r>
    <x v="0"/>
    <x v="0"/>
    <x v="0"/>
    <x v="8"/>
    <x v="17"/>
    <s v="SE2A"/>
    <x v="10"/>
    <s v="GBPR_IND_BIO"/>
    <x v="0"/>
    <x v="19"/>
    <n v="828.86363636363603"/>
    <n v="302535.227272727"/>
    <n v="1089126.81818182"/>
  </r>
  <r>
    <x v="0"/>
    <x v="0"/>
    <x v="0"/>
    <x v="8"/>
    <x v="17"/>
    <s v="SE2A"/>
    <x v="10"/>
    <s v="GBPR_IND_BIO"/>
    <x v="0"/>
    <x v="20"/>
    <n v="828.86363636363603"/>
    <n v="302535.227272727"/>
    <n v="1089126.81818182"/>
  </r>
  <r>
    <x v="0"/>
    <x v="0"/>
    <x v="0"/>
    <x v="8"/>
    <x v="17"/>
    <s v="SE2A"/>
    <x v="10"/>
    <s v="GBPR_IND_BIO"/>
    <x v="0"/>
    <x v="21"/>
    <n v="828.86363636363603"/>
    <n v="302535.227272727"/>
    <n v="1089126.81818182"/>
  </r>
  <r>
    <x v="0"/>
    <x v="0"/>
    <x v="0"/>
    <x v="8"/>
    <x v="17"/>
    <s v="SE2A"/>
    <x v="10"/>
    <s v="GBPR_IND_BIO"/>
    <x v="0"/>
    <x v="22"/>
    <n v="828.86363636363603"/>
    <n v="302535.227272727"/>
    <n v="1089126.81818182"/>
  </r>
  <r>
    <x v="0"/>
    <x v="0"/>
    <x v="0"/>
    <x v="8"/>
    <x v="17"/>
    <s v="SE2A"/>
    <x v="10"/>
    <s v="GBPR_IND_BIO"/>
    <x v="0"/>
    <x v="23"/>
    <n v="828.86363636363603"/>
    <n v="302535.227272727"/>
    <n v="1089126.81818182"/>
  </r>
  <r>
    <x v="0"/>
    <x v="0"/>
    <x v="0"/>
    <x v="8"/>
    <x v="17"/>
    <s v="SE2_EL"/>
    <x v="2"/>
    <s v="GNR_HS_HEAT_WTR-TANK_LS_E-95_Y-2010"/>
    <x v="0"/>
    <x v="0"/>
    <n v="1739.0670016434599"/>
    <n v="634759.45559986203"/>
    <n v="2285134.0401595002"/>
  </r>
  <r>
    <x v="0"/>
    <x v="0"/>
    <x v="0"/>
    <x v="8"/>
    <x v="17"/>
    <s v="SE2_EL"/>
    <x v="2"/>
    <s v="GNR_HS_HEAT_WTR-TANK_LS_E-95_Y-2010"/>
    <x v="0"/>
    <x v="1"/>
    <n v="1738.35921616419"/>
    <n v="634501.11389992898"/>
    <n v="2284204.0100397398"/>
  </r>
  <r>
    <x v="0"/>
    <x v="0"/>
    <x v="0"/>
    <x v="8"/>
    <x v="17"/>
    <s v="SE2_EL"/>
    <x v="2"/>
    <s v="GNR_HS_HEAT_WTR-TANK_LS_E-95_Y-2010"/>
    <x v="0"/>
    <x v="2"/>
    <n v="1741.82142408246"/>
    <n v="635764.819790098"/>
    <n v="2288753.35124435"/>
  </r>
  <r>
    <x v="0"/>
    <x v="0"/>
    <x v="0"/>
    <x v="8"/>
    <x v="17"/>
    <s v="SE2_EL"/>
    <x v="2"/>
    <s v="GNR_HS_HEAT_WTR-TANK_LS_E-95_Y-2010"/>
    <x v="0"/>
    <x v="3"/>
    <n v="1755.04893788302"/>
    <n v="640592.86232730304"/>
    <n v="2306134.3043782902"/>
  </r>
  <r>
    <x v="0"/>
    <x v="0"/>
    <x v="0"/>
    <x v="8"/>
    <x v="17"/>
    <s v="SE2_EL"/>
    <x v="2"/>
    <s v="GNR_HS_HEAT_WTR-TANK_LS_E-95_Y-2010"/>
    <x v="0"/>
    <x v="4"/>
    <n v="1773.4670209394801"/>
    <n v="647315.46264290996"/>
    <n v="2330335.6655144799"/>
  </r>
  <r>
    <x v="0"/>
    <x v="0"/>
    <x v="0"/>
    <x v="8"/>
    <x v="17"/>
    <s v="SE2_EL"/>
    <x v="2"/>
    <s v="GNR_HS_HEAT_WTR-TANK_LS_E-95_Y-2010"/>
    <x v="0"/>
    <x v="5"/>
    <n v="1787.9053942441999"/>
    <n v="652585.46889913303"/>
    <n v="2349307.68803688"/>
  </r>
  <r>
    <x v="0"/>
    <x v="0"/>
    <x v="0"/>
    <x v="8"/>
    <x v="17"/>
    <s v="SE2_EL"/>
    <x v="2"/>
    <s v="GNR_HS_HEAT_WTR-TANK_LS_E-95_Y-2010"/>
    <x v="0"/>
    <x v="6"/>
    <n v="1835.0970436315999"/>
    <n v="669810.42092553398"/>
    <n v="2411317.5153319198"/>
  </r>
  <r>
    <x v="0"/>
    <x v="0"/>
    <x v="0"/>
    <x v="8"/>
    <x v="17"/>
    <s v="SE2_EL"/>
    <x v="2"/>
    <s v="GNR_HS_HEAT_WTR-TANK_LS_E-95_Y-2010"/>
    <x v="0"/>
    <x v="7"/>
    <n v="1861.1773890358099"/>
    <n v="679329.74699807202"/>
    <n v="2445587.0891930601"/>
  </r>
  <r>
    <x v="0"/>
    <x v="0"/>
    <x v="0"/>
    <x v="8"/>
    <x v="17"/>
    <s v="SE2_EL"/>
    <x v="2"/>
    <s v="GNR_HS_HEAT_WTR-TANK_LS_E-95_Y-2010"/>
    <x v="0"/>
    <x v="8"/>
    <n v="1856.8015766951301"/>
    <n v="677732.57549372199"/>
    <n v="2439837.2717773998"/>
  </r>
  <r>
    <x v="0"/>
    <x v="0"/>
    <x v="0"/>
    <x v="8"/>
    <x v="17"/>
    <s v="SE2_EL"/>
    <x v="2"/>
    <s v="GNR_HS_HEAT_WTR-TANK_LS_E-95_Y-2010"/>
    <x v="0"/>
    <x v="9"/>
    <n v="1857.7393628746499"/>
    <n v="678074.867449246"/>
    <n v="2441069.5228172801"/>
  </r>
  <r>
    <x v="0"/>
    <x v="0"/>
    <x v="0"/>
    <x v="8"/>
    <x v="17"/>
    <s v="SE2_EL"/>
    <x v="2"/>
    <s v="GNR_HS_HEAT_WTR-TANK_LS_E-95_Y-2010"/>
    <x v="0"/>
    <x v="10"/>
    <n v="1842.25994886232"/>
    <n v="672424.881334748"/>
    <n v="2420729.5728050899"/>
  </r>
  <r>
    <x v="0"/>
    <x v="0"/>
    <x v="0"/>
    <x v="8"/>
    <x v="17"/>
    <s v="SE2_EL"/>
    <x v="2"/>
    <s v="GNR_HS_HEAT_WTR-TANK_LS_E-95_Y-2010"/>
    <x v="0"/>
    <x v="11"/>
    <n v="1836.1521566571701"/>
    <n v="670195.53717986704"/>
    <n v="2412703.93384752"/>
  </r>
  <r>
    <x v="0"/>
    <x v="0"/>
    <x v="0"/>
    <x v="8"/>
    <x v="17"/>
    <s v="SE2_EL"/>
    <x v="2"/>
    <s v="GNR_HS_HEAT_WTR-TANK_LS_E-95_Y-2010"/>
    <x v="0"/>
    <x v="12"/>
    <n v="1834.6759878447201"/>
    <n v="669656.73556332302"/>
    <n v="2410764.2480279598"/>
  </r>
  <r>
    <x v="0"/>
    <x v="0"/>
    <x v="0"/>
    <x v="8"/>
    <x v="17"/>
    <s v="SE2_EL"/>
    <x v="2"/>
    <s v="GNR_HS_HEAT_WTR-TANK_LS_E-95_Y-2010"/>
    <x v="0"/>
    <x v="13"/>
    <n v="1833.7730465542099"/>
    <n v="669327.16199228598"/>
    <n v="2409577.7831722298"/>
  </r>
  <r>
    <x v="0"/>
    <x v="0"/>
    <x v="0"/>
    <x v="8"/>
    <x v="17"/>
    <s v="SE2_EL"/>
    <x v="2"/>
    <s v="GNR_HS_HEAT_WTR-TANK_LS_E-95_Y-2010"/>
    <x v="0"/>
    <x v="14"/>
    <n v="1830.6302367082301"/>
    <n v="668180.03639850405"/>
    <n v="2405448.1310346099"/>
  </r>
  <r>
    <x v="0"/>
    <x v="0"/>
    <x v="0"/>
    <x v="8"/>
    <x v="17"/>
    <s v="SE2_EL"/>
    <x v="2"/>
    <s v="GNR_HS_HEAT_WTR-TANK_LS_E-95_Y-2010"/>
    <x v="0"/>
    <x v="15"/>
    <n v="1836.0958641935999"/>
    <n v="670174.99043066299"/>
    <n v="2412629.9655503901"/>
  </r>
  <r>
    <x v="0"/>
    <x v="0"/>
    <x v="0"/>
    <x v="8"/>
    <x v="17"/>
    <s v="SE2_EL"/>
    <x v="2"/>
    <s v="GNR_HS_HEAT_WTR-TANK_LS_E-95_Y-2010"/>
    <x v="0"/>
    <x v="16"/>
    <n v="1807.0199915524399"/>
    <n v="659562.29691663897"/>
    <n v="2374424.2688998999"/>
  </r>
  <r>
    <x v="0"/>
    <x v="0"/>
    <x v="0"/>
    <x v="8"/>
    <x v="17"/>
    <s v="SE2_EL"/>
    <x v="2"/>
    <s v="GNR_HS_HEAT_WTR-TANK_LS_E-95_Y-2010"/>
    <x v="0"/>
    <x v="17"/>
    <n v="1790.8288100951299"/>
    <n v="653652.51568472094"/>
    <n v="2353149.0564649999"/>
  </r>
  <r>
    <x v="0"/>
    <x v="0"/>
    <x v="0"/>
    <x v="8"/>
    <x v="17"/>
    <s v="SE2_EL"/>
    <x v="2"/>
    <s v="GNR_HS_HEAT_WTR-TANK_LS_E-95_Y-2010"/>
    <x v="0"/>
    <x v="18"/>
    <n v="1779.60963772888"/>
    <n v="649557.51777104102"/>
    <n v="2338407.06397575"/>
  </r>
  <r>
    <x v="0"/>
    <x v="0"/>
    <x v="0"/>
    <x v="8"/>
    <x v="17"/>
    <s v="SE2_EL"/>
    <x v="2"/>
    <s v="GNR_HS_HEAT_WTR-TANK_LS_E-95_Y-2010"/>
    <x v="0"/>
    <x v="19"/>
    <n v="1766.95661951443"/>
    <n v="644939.16612276901"/>
    <n v="2321780.9980419702"/>
  </r>
  <r>
    <x v="0"/>
    <x v="0"/>
    <x v="0"/>
    <x v="8"/>
    <x v="17"/>
    <s v="SE2_EL"/>
    <x v="2"/>
    <s v="GNR_HS_HEAT_WTR-TANK_LS_E-95_Y-2010"/>
    <x v="0"/>
    <x v="20"/>
    <n v="1755.91112667057"/>
    <n v="640907.56123475998"/>
    <n v="2307267.2204451398"/>
  </r>
  <r>
    <x v="0"/>
    <x v="0"/>
    <x v="0"/>
    <x v="8"/>
    <x v="17"/>
    <s v="SE2_EL"/>
    <x v="2"/>
    <s v="GNR_HS_HEAT_WTR-TANK_LS_E-95_Y-2010"/>
    <x v="0"/>
    <x v="21"/>
    <n v="1748.62727281867"/>
    <n v="638248.95457881503"/>
    <n v="2297696.2364837299"/>
  </r>
  <r>
    <x v="0"/>
    <x v="0"/>
    <x v="0"/>
    <x v="8"/>
    <x v="17"/>
    <s v="SE2_EL"/>
    <x v="2"/>
    <s v="GNR_HS_HEAT_WTR-TANK_LS_E-95_Y-2010"/>
    <x v="0"/>
    <x v="22"/>
    <n v="1733.97105840974"/>
    <n v="632899.43631955399"/>
    <n v="2278437.9707503999"/>
  </r>
  <r>
    <x v="0"/>
    <x v="0"/>
    <x v="0"/>
    <x v="8"/>
    <x v="17"/>
    <s v="SE2_EL"/>
    <x v="2"/>
    <s v="GNR_HS_HEAT_WTR-TANK_LS_E-95_Y-2010"/>
    <x v="0"/>
    <x v="23"/>
    <n v="1715.3000880311099"/>
    <n v="626084.53213135595"/>
    <n v="2253904.31567288"/>
  </r>
  <r>
    <x v="0"/>
    <x v="0"/>
    <x v="0"/>
    <x v="8"/>
    <x v="17"/>
    <s v="SE2_EL"/>
    <x v="3"/>
    <s v="GBPR_MUNIWASTE_24"/>
    <x v="0"/>
    <x v="0"/>
    <n v="173.85783130338501"/>
    <n v="63458.1084257357"/>
    <n v="228449.19033264901"/>
  </r>
  <r>
    <x v="0"/>
    <x v="0"/>
    <x v="0"/>
    <x v="8"/>
    <x v="17"/>
    <s v="SE2_EL"/>
    <x v="3"/>
    <s v="GBPR_MUNIWASTE_24"/>
    <x v="0"/>
    <x v="1"/>
    <n v="173.85783130338501"/>
    <n v="63458.1084257357"/>
    <n v="228449.19033264901"/>
  </r>
  <r>
    <x v="0"/>
    <x v="0"/>
    <x v="0"/>
    <x v="8"/>
    <x v="17"/>
    <s v="SE2_EL"/>
    <x v="3"/>
    <s v="GBPR_MUNIWASTE_24"/>
    <x v="0"/>
    <x v="2"/>
    <n v="173.85783130338501"/>
    <n v="63458.1084257357"/>
    <n v="228449.19033264901"/>
  </r>
  <r>
    <x v="0"/>
    <x v="0"/>
    <x v="0"/>
    <x v="8"/>
    <x v="17"/>
    <s v="SE2_EL"/>
    <x v="3"/>
    <s v="GBPR_MUNIWASTE_24"/>
    <x v="0"/>
    <x v="3"/>
    <n v="173.85783130338501"/>
    <n v="63458.1084257357"/>
    <n v="228449.19033264901"/>
  </r>
  <r>
    <x v="0"/>
    <x v="0"/>
    <x v="0"/>
    <x v="8"/>
    <x v="17"/>
    <s v="SE2_EL"/>
    <x v="3"/>
    <s v="GBPR_MUNIWASTE_24"/>
    <x v="0"/>
    <x v="4"/>
    <n v="173.85783130338501"/>
    <n v="63458.1084257357"/>
    <n v="228449.19033264901"/>
  </r>
  <r>
    <x v="0"/>
    <x v="0"/>
    <x v="0"/>
    <x v="8"/>
    <x v="17"/>
    <s v="SE2_EL"/>
    <x v="3"/>
    <s v="GBPR_MUNIWASTE_24"/>
    <x v="0"/>
    <x v="5"/>
    <n v="173.85783130338501"/>
    <n v="63458.1084257357"/>
    <n v="228449.19033264901"/>
  </r>
  <r>
    <x v="0"/>
    <x v="0"/>
    <x v="0"/>
    <x v="8"/>
    <x v="17"/>
    <s v="SE2_EL"/>
    <x v="3"/>
    <s v="GBPR_MUNIWASTE_24"/>
    <x v="0"/>
    <x v="6"/>
    <n v="173.85783130338501"/>
    <n v="63458.1084257357"/>
    <n v="228449.19033264901"/>
  </r>
  <r>
    <x v="0"/>
    <x v="0"/>
    <x v="0"/>
    <x v="8"/>
    <x v="17"/>
    <s v="SE2_EL"/>
    <x v="3"/>
    <s v="GBPR_MUNIWASTE_24"/>
    <x v="0"/>
    <x v="7"/>
    <n v="173.85783130338501"/>
    <n v="63458.1084257357"/>
    <n v="228449.19033264901"/>
  </r>
  <r>
    <x v="0"/>
    <x v="0"/>
    <x v="0"/>
    <x v="8"/>
    <x v="17"/>
    <s v="SE2_EL"/>
    <x v="3"/>
    <s v="GBPR_MUNIWASTE_24"/>
    <x v="0"/>
    <x v="8"/>
    <n v="173.85783130338501"/>
    <n v="63458.1084257357"/>
    <n v="228449.19033264901"/>
  </r>
  <r>
    <x v="0"/>
    <x v="0"/>
    <x v="0"/>
    <x v="8"/>
    <x v="17"/>
    <s v="SE2_EL"/>
    <x v="3"/>
    <s v="GBPR_MUNIWASTE_24"/>
    <x v="0"/>
    <x v="9"/>
    <n v="173.85783130338501"/>
    <n v="63458.1084257357"/>
    <n v="228449.19033264901"/>
  </r>
  <r>
    <x v="0"/>
    <x v="0"/>
    <x v="0"/>
    <x v="8"/>
    <x v="17"/>
    <s v="SE2_EL"/>
    <x v="3"/>
    <s v="GBPR_MUNIWASTE_24"/>
    <x v="0"/>
    <x v="10"/>
    <n v="173.85783130338501"/>
    <n v="63458.1084257357"/>
    <n v="228449.19033264901"/>
  </r>
  <r>
    <x v="0"/>
    <x v="0"/>
    <x v="0"/>
    <x v="8"/>
    <x v="17"/>
    <s v="SE2_EL"/>
    <x v="3"/>
    <s v="GBPR_MUNIWASTE_24"/>
    <x v="0"/>
    <x v="11"/>
    <n v="173.85783130338501"/>
    <n v="63458.1084257357"/>
    <n v="228449.19033264901"/>
  </r>
  <r>
    <x v="0"/>
    <x v="0"/>
    <x v="0"/>
    <x v="8"/>
    <x v="17"/>
    <s v="SE2_EL"/>
    <x v="3"/>
    <s v="GBPR_MUNIWASTE_24"/>
    <x v="0"/>
    <x v="12"/>
    <n v="173.85783130338501"/>
    <n v="63458.1084257357"/>
    <n v="228449.19033264901"/>
  </r>
  <r>
    <x v="0"/>
    <x v="0"/>
    <x v="0"/>
    <x v="8"/>
    <x v="17"/>
    <s v="SE2_EL"/>
    <x v="3"/>
    <s v="GBPR_MUNIWASTE_24"/>
    <x v="0"/>
    <x v="13"/>
    <n v="173.85783130338501"/>
    <n v="63458.1084257357"/>
    <n v="228449.19033264901"/>
  </r>
  <r>
    <x v="0"/>
    <x v="0"/>
    <x v="0"/>
    <x v="8"/>
    <x v="17"/>
    <s v="SE2_EL"/>
    <x v="3"/>
    <s v="GBPR_MUNIWASTE_24"/>
    <x v="0"/>
    <x v="14"/>
    <n v="173.85783130338501"/>
    <n v="63458.1084257357"/>
    <n v="228449.19033264901"/>
  </r>
  <r>
    <x v="0"/>
    <x v="0"/>
    <x v="0"/>
    <x v="8"/>
    <x v="17"/>
    <s v="SE2_EL"/>
    <x v="3"/>
    <s v="GBPR_MUNIWASTE_24"/>
    <x v="0"/>
    <x v="15"/>
    <n v="173.85783130338501"/>
    <n v="63458.1084257357"/>
    <n v="228449.19033264901"/>
  </r>
  <r>
    <x v="0"/>
    <x v="0"/>
    <x v="0"/>
    <x v="8"/>
    <x v="17"/>
    <s v="SE2_EL"/>
    <x v="3"/>
    <s v="GBPR_MUNIWASTE_24"/>
    <x v="0"/>
    <x v="16"/>
    <n v="173.85783130338501"/>
    <n v="63458.1084257357"/>
    <n v="228449.19033264901"/>
  </r>
  <r>
    <x v="0"/>
    <x v="0"/>
    <x v="0"/>
    <x v="8"/>
    <x v="17"/>
    <s v="SE2_EL"/>
    <x v="3"/>
    <s v="GBPR_MUNIWASTE_24"/>
    <x v="0"/>
    <x v="17"/>
    <n v="173.85783130338501"/>
    <n v="63458.1084257357"/>
    <n v="228449.19033264901"/>
  </r>
  <r>
    <x v="0"/>
    <x v="0"/>
    <x v="0"/>
    <x v="8"/>
    <x v="17"/>
    <s v="SE2_EL"/>
    <x v="3"/>
    <s v="GBPR_MUNIWASTE_24"/>
    <x v="0"/>
    <x v="18"/>
    <n v="173.85783130338501"/>
    <n v="63458.1084257357"/>
    <n v="228449.19033264901"/>
  </r>
  <r>
    <x v="0"/>
    <x v="0"/>
    <x v="0"/>
    <x v="8"/>
    <x v="17"/>
    <s v="SE2_EL"/>
    <x v="3"/>
    <s v="GBPR_MUNIWASTE_24"/>
    <x v="0"/>
    <x v="19"/>
    <n v="173.85783130338501"/>
    <n v="63458.1084257357"/>
    <n v="228449.19033264901"/>
  </r>
  <r>
    <x v="0"/>
    <x v="0"/>
    <x v="0"/>
    <x v="8"/>
    <x v="17"/>
    <s v="SE2_EL"/>
    <x v="3"/>
    <s v="GBPR_MUNIWASTE_24"/>
    <x v="0"/>
    <x v="20"/>
    <n v="173.85783130338501"/>
    <n v="63458.1084257357"/>
    <n v="228449.19033264901"/>
  </r>
  <r>
    <x v="0"/>
    <x v="0"/>
    <x v="0"/>
    <x v="8"/>
    <x v="17"/>
    <s v="SE2_EL"/>
    <x v="3"/>
    <s v="GBPR_MUNIWASTE_24"/>
    <x v="0"/>
    <x v="21"/>
    <n v="173.85783130338501"/>
    <n v="63458.1084257357"/>
    <n v="228449.19033264901"/>
  </r>
  <r>
    <x v="0"/>
    <x v="0"/>
    <x v="0"/>
    <x v="8"/>
    <x v="17"/>
    <s v="SE2_EL"/>
    <x v="3"/>
    <s v="GBPR_MUNIWASTE_24"/>
    <x v="0"/>
    <x v="22"/>
    <n v="173.85783130338501"/>
    <n v="63458.1084257357"/>
    <n v="228449.19033264901"/>
  </r>
  <r>
    <x v="0"/>
    <x v="0"/>
    <x v="0"/>
    <x v="8"/>
    <x v="17"/>
    <s v="SE2_EL"/>
    <x v="3"/>
    <s v="GBPR_MUNIWASTE_24"/>
    <x v="0"/>
    <x v="23"/>
    <n v="173.85783130338501"/>
    <n v="63458.1084257357"/>
    <n v="228449.19033264901"/>
  </r>
  <r>
    <x v="0"/>
    <x v="0"/>
    <x v="0"/>
    <x v="8"/>
    <x v="17"/>
    <s v="SE2_EL"/>
    <x v="7"/>
    <s v="GBPR_WOODCHIPS_37"/>
    <x v="0"/>
    <x v="0"/>
    <n v="26.406878270891799"/>
    <n v="9638.5105688755193"/>
    <n v="34698.638047951899"/>
  </r>
  <r>
    <x v="0"/>
    <x v="0"/>
    <x v="0"/>
    <x v="8"/>
    <x v="17"/>
    <s v="SE2_EL"/>
    <x v="7"/>
    <s v="GBPR_WOODCHIPS_37"/>
    <x v="0"/>
    <x v="1"/>
    <n v="26.406878270891799"/>
    <n v="9638.5105688755193"/>
    <n v="34698.638047951899"/>
  </r>
  <r>
    <x v="0"/>
    <x v="0"/>
    <x v="0"/>
    <x v="8"/>
    <x v="17"/>
    <s v="SE2_EL"/>
    <x v="7"/>
    <s v="GBPR_WOODCHIPS_37"/>
    <x v="0"/>
    <x v="2"/>
    <n v="26.406878270891799"/>
    <n v="9638.5105688755193"/>
    <n v="34698.638047951899"/>
  </r>
  <r>
    <x v="0"/>
    <x v="0"/>
    <x v="0"/>
    <x v="8"/>
    <x v="17"/>
    <s v="SE2_EL"/>
    <x v="7"/>
    <s v="GBPR_WOODCHIPS_37"/>
    <x v="0"/>
    <x v="3"/>
    <n v="26.406878270891799"/>
    <n v="9638.5105688755193"/>
    <n v="34698.638047951899"/>
  </r>
  <r>
    <x v="0"/>
    <x v="0"/>
    <x v="0"/>
    <x v="8"/>
    <x v="17"/>
    <s v="SE2_EL"/>
    <x v="7"/>
    <s v="GBPR_WOODCHIPS_37"/>
    <x v="0"/>
    <x v="4"/>
    <n v="26.406878270891799"/>
    <n v="9638.5105688755193"/>
    <n v="34698.638047951899"/>
  </r>
  <r>
    <x v="0"/>
    <x v="0"/>
    <x v="0"/>
    <x v="8"/>
    <x v="17"/>
    <s v="SE2_EL"/>
    <x v="7"/>
    <s v="GBPR_WOODCHIPS_37"/>
    <x v="0"/>
    <x v="5"/>
    <n v="26.406878270891799"/>
    <n v="9638.5105688755193"/>
    <n v="34698.638047951899"/>
  </r>
  <r>
    <x v="0"/>
    <x v="0"/>
    <x v="0"/>
    <x v="8"/>
    <x v="17"/>
    <s v="SE2_EL"/>
    <x v="7"/>
    <s v="GBPR_WOODCHIPS_37"/>
    <x v="0"/>
    <x v="6"/>
    <n v="26.406878270891799"/>
    <n v="9638.5105688755193"/>
    <n v="34698.638047951899"/>
  </r>
  <r>
    <x v="0"/>
    <x v="0"/>
    <x v="0"/>
    <x v="8"/>
    <x v="17"/>
    <s v="SE2_EL"/>
    <x v="7"/>
    <s v="GBPR_WOODCHIPS_37"/>
    <x v="0"/>
    <x v="7"/>
    <n v="26.406878270891799"/>
    <n v="9638.5105688755193"/>
    <n v="34698.638047951899"/>
  </r>
  <r>
    <x v="0"/>
    <x v="0"/>
    <x v="0"/>
    <x v="8"/>
    <x v="17"/>
    <s v="SE2_EL"/>
    <x v="7"/>
    <s v="GBPR_WOODCHIPS_37"/>
    <x v="0"/>
    <x v="8"/>
    <n v="26.406878270891799"/>
    <n v="9638.5105688755193"/>
    <n v="34698.638047951899"/>
  </r>
  <r>
    <x v="0"/>
    <x v="0"/>
    <x v="0"/>
    <x v="8"/>
    <x v="17"/>
    <s v="SE2_EL"/>
    <x v="7"/>
    <s v="GBPR_WOODCHIPS_37"/>
    <x v="0"/>
    <x v="9"/>
    <n v="26.406878270891799"/>
    <n v="9638.5105688755193"/>
    <n v="34698.638047951899"/>
  </r>
  <r>
    <x v="0"/>
    <x v="0"/>
    <x v="0"/>
    <x v="8"/>
    <x v="17"/>
    <s v="SE2_EL"/>
    <x v="7"/>
    <s v="GBPR_WOODCHIPS_37"/>
    <x v="0"/>
    <x v="10"/>
    <n v="26.406878270891799"/>
    <n v="9638.5105688755193"/>
    <n v="34698.638047951899"/>
  </r>
  <r>
    <x v="0"/>
    <x v="0"/>
    <x v="0"/>
    <x v="8"/>
    <x v="17"/>
    <s v="SE2_EL"/>
    <x v="7"/>
    <s v="GBPR_WOODCHIPS_37"/>
    <x v="0"/>
    <x v="11"/>
    <n v="26.406878270891799"/>
    <n v="9638.5105688755193"/>
    <n v="34698.638047951899"/>
  </r>
  <r>
    <x v="0"/>
    <x v="0"/>
    <x v="0"/>
    <x v="8"/>
    <x v="17"/>
    <s v="SE2_EL"/>
    <x v="7"/>
    <s v="GBPR_WOODCHIPS_37"/>
    <x v="0"/>
    <x v="12"/>
    <n v="26.406878270891799"/>
    <n v="9638.5105688755193"/>
    <n v="34698.638047951899"/>
  </r>
  <r>
    <x v="0"/>
    <x v="0"/>
    <x v="0"/>
    <x v="8"/>
    <x v="17"/>
    <s v="SE2_EL"/>
    <x v="7"/>
    <s v="GBPR_WOODCHIPS_37"/>
    <x v="0"/>
    <x v="13"/>
    <n v="26.406878270891799"/>
    <n v="9638.5105688755193"/>
    <n v="34698.638047951899"/>
  </r>
  <r>
    <x v="0"/>
    <x v="0"/>
    <x v="0"/>
    <x v="8"/>
    <x v="17"/>
    <s v="SE2_EL"/>
    <x v="7"/>
    <s v="GBPR_WOODCHIPS_37"/>
    <x v="0"/>
    <x v="14"/>
    <n v="26.406878270891799"/>
    <n v="9638.5105688755193"/>
    <n v="34698.638047951899"/>
  </r>
  <r>
    <x v="0"/>
    <x v="0"/>
    <x v="0"/>
    <x v="8"/>
    <x v="17"/>
    <s v="SE2_EL"/>
    <x v="7"/>
    <s v="GBPR_WOODCHIPS_37"/>
    <x v="0"/>
    <x v="15"/>
    <n v="26.406878270891799"/>
    <n v="9638.5105688755193"/>
    <n v="34698.638047951899"/>
  </r>
  <r>
    <x v="0"/>
    <x v="0"/>
    <x v="0"/>
    <x v="8"/>
    <x v="17"/>
    <s v="SE2_EL"/>
    <x v="7"/>
    <s v="GBPR_WOODCHIPS_37"/>
    <x v="0"/>
    <x v="16"/>
    <n v="26.406878270891799"/>
    <n v="9638.5105688755193"/>
    <n v="34698.638047951899"/>
  </r>
  <r>
    <x v="0"/>
    <x v="0"/>
    <x v="0"/>
    <x v="8"/>
    <x v="17"/>
    <s v="SE2_EL"/>
    <x v="7"/>
    <s v="GBPR_WOODCHIPS_37"/>
    <x v="0"/>
    <x v="17"/>
    <n v="26.406878270891799"/>
    <n v="9638.5105688755193"/>
    <n v="34698.638047951899"/>
  </r>
  <r>
    <x v="0"/>
    <x v="0"/>
    <x v="0"/>
    <x v="8"/>
    <x v="17"/>
    <s v="SE2_EL"/>
    <x v="7"/>
    <s v="GBPR_WOODCHIPS_37"/>
    <x v="0"/>
    <x v="18"/>
    <n v="26.406878270891799"/>
    <n v="9638.5105688755193"/>
    <n v="34698.638047951899"/>
  </r>
  <r>
    <x v="0"/>
    <x v="0"/>
    <x v="0"/>
    <x v="8"/>
    <x v="17"/>
    <s v="SE2_EL"/>
    <x v="7"/>
    <s v="GBPR_WOODCHIPS_37"/>
    <x v="0"/>
    <x v="19"/>
    <n v="26.406878270891799"/>
    <n v="9638.5105688755193"/>
    <n v="34698.638047951899"/>
  </r>
  <r>
    <x v="0"/>
    <x v="0"/>
    <x v="0"/>
    <x v="8"/>
    <x v="17"/>
    <s v="SE2_EL"/>
    <x v="7"/>
    <s v="GBPR_WOODCHIPS_37"/>
    <x v="0"/>
    <x v="20"/>
    <n v="26.406878270891799"/>
    <n v="9638.5105688755193"/>
    <n v="34698.638047951899"/>
  </r>
  <r>
    <x v="0"/>
    <x v="0"/>
    <x v="0"/>
    <x v="8"/>
    <x v="17"/>
    <s v="SE2_EL"/>
    <x v="7"/>
    <s v="GBPR_WOODCHIPS_37"/>
    <x v="0"/>
    <x v="21"/>
    <n v="26.406878270891799"/>
    <n v="9638.5105688755193"/>
    <n v="34698.638047951899"/>
  </r>
  <r>
    <x v="0"/>
    <x v="0"/>
    <x v="0"/>
    <x v="8"/>
    <x v="17"/>
    <s v="SE2_EL"/>
    <x v="7"/>
    <s v="GBPR_WOODCHIPS_37"/>
    <x v="0"/>
    <x v="22"/>
    <n v="26.406878270891799"/>
    <n v="9638.5105688755193"/>
    <n v="34698.638047951899"/>
  </r>
  <r>
    <x v="0"/>
    <x v="0"/>
    <x v="0"/>
    <x v="8"/>
    <x v="17"/>
    <s v="SE2_EL"/>
    <x v="7"/>
    <s v="GBPR_WOODCHIPS_37"/>
    <x v="0"/>
    <x v="23"/>
    <n v="26.406878270891799"/>
    <n v="9638.5105688755193"/>
    <n v="34698.638047951899"/>
  </r>
  <r>
    <x v="0"/>
    <x v="0"/>
    <x v="0"/>
    <x v="8"/>
    <x v="17"/>
    <s v="SE2_EL"/>
    <x v="9"/>
    <s v="GBPR_WOODWASTE_25"/>
    <x v="0"/>
    <x v="0"/>
    <n v="185.02039687660499"/>
    <n v="67532.444859960699"/>
    <n v="243116.80149585899"/>
  </r>
  <r>
    <x v="0"/>
    <x v="0"/>
    <x v="0"/>
    <x v="8"/>
    <x v="17"/>
    <s v="SE2_EL"/>
    <x v="9"/>
    <s v="GBPR_WOODWASTE_25"/>
    <x v="0"/>
    <x v="1"/>
    <n v="185.02039687660499"/>
    <n v="67532.444859960699"/>
    <n v="243116.80149585899"/>
  </r>
  <r>
    <x v="0"/>
    <x v="0"/>
    <x v="0"/>
    <x v="8"/>
    <x v="17"/>
    <s v="SE2_EL"/>
    <x v="9"/>
    <s v="GBPR_WOODWASTE_25"/>
    <x v="0"/>
    <x v="2"/>
    <n v="185.02039687660499"/>
    <n v="67532.444859960699"/>
    <n v="243116.80149585899"/>
  </r>
  <r>
    <x v="0"/>
    <x v="0"/>
    <x v="0"/>
    <x v="8"/>
    <x v="17"/>
    <s v="SE2_EL"/>
    <x v="9"/>
    <s v="GBPR_WOODWASTE_25"/>
    <x v="0"/>
    <x v="3"/>
    <n v="185.02039687660499"/>
    <n v="67532.444859960699"/>
    <n v="243116.80149585899"/>
  </r>
  <r>
    <x v="0"/>
    <x v="0"/>
    <x v="0"/>
    <x v="8"/>
    <x v="17"/>
    <s v="SE2_EL"/>
    <x v="9"/>
    <s v="GBPR_WOODWASTE_25"/>
    <x v="0"/>
    <x v="4"/>
    <n v="185.02039687660499"/>
    <n v="67532.444859960699"/>
    <n v="243116.80149585899"/>
  </r>
  <r>
    <x v="0"/>
    <x v="0"/>
    <x v="0"/>
    <x v="8"/>
    <x v="17"/>
    <s v="SE2_EL"/>
    <x v="9"/>
    <s v="GBPR_WOODWASTE_25"/>
    <x v="0"/>
    <x v="5"/>
    <n v="185.02039687660499"/>
    <n v="67532.444859960699"/>
    <n v="243116.80149585899"/>
  </r>
  <r>
    <x v="0"/>
    <x v="0"/>
    <x v="0"/>
    <x v="8"/>
    <x v="17"/>
    <s v="SE2_EL"/>
    <x v="9"/>
    <s v="GBPR_WOODWASTE_25"/>
    <x v="0"/>
    <x v="6"/>
    <n v="185.02039687660499"/>
    <n v="67532.444859960699"/>
    <n v="243116.80149585899"/>
  </r>
  <r>
    <x v="0"/>
    <x v="0"/>
    <x v="0"/>
    <x v="8"/>
    <x v="17"/>
    <s v="SE2_EL"/>
    <x v="9"/>
    <s v="GBPR_WOODWASTE_25"/>
    <x v="0"/>
    <x v="7"/>
    <n v="185.02039687660499"/>
    <n v="67532.444859960699"/>
    <n v="243116.80149585899"/>
  </r>
  <r>
    <x v="0"/>
    <x v="0"/>
    <x v="0"/>
    <x v="8"/>
    <x v="17"/>
    <s v="SE2_EL"/>
    <x v="9"/>
    <s v="GBPR_WOODWASTE_25"/>
    <x v="0"/>
    <x v="8"/>
    <n v="185.02039687660499"/>
    <n v="67532.444859960699"/>
    <n v="243116.80149585899"/>
  </r>
  <r>
    <x v="0"/>
    <x v="0"/>
    <x v="0"/>
    <x v="8"/>
    <x v="17"/>
    <s v="SE2_EL"/>
    <x v="9"/>
    <s v="GBPR_WOODWASTE_25"/>
    <x v="0"/>
    <x v="9"/>
    <n v="185.02039687660499"/>
    <n v="67532.444859960699"/>
    <n v="243116.80149585899"/>
  </r>
  <r>
    <x v="0"/>
    <x v="0"/>
    <x v="0"/>
    <x v="8"/>
    <x v="17"/>
    <s v="SE2_EL"/>
    <x v="9"/>
    <s v="GBPR_WOODWASTE_25"/>
    <x v="0"/>
    <x v="10"/>
    <n v="185.02039687660499"/>
    <n v="67532.444859960699"/>
    <n v="243116.80149585899"/>
  </r>
  <r>
    <x v="0"/>
    <x v="0"/>
    <x v="0"/>
    <x v="8"/>
    <x v="17"/>
    <s v="SE2_EL"/>
    <x v="9"/>
    <s v="GBPR_WOODWASTE_25"/>
    <x v="0"/>
    <x v="11"/>
    <n v="185.02039687660499"/>
    <n v="67532.444859960699"/>
    <n v="243116.80149585899"/>
  </r>
  <r>
    <x v="0"/>
    <x v="0"/>
    <x v="0"/>
    <x v="8"/>
    <x v="17"/>
    <s v="SE2_EL"/>
    <x v="9"/>
    <s v="GBPR_WOODWASTE_25"/>
    <x v="0"/>
    <x v="12"/>
    <n v="185.02039687660499"/>
    <n v="67532.444859960699"/>
    <n v="243116.80149585899"/>
  </r>
  <r>
    <x v="0"/>
    <x v="0"/>
    <x v="0"/>
    <x v="8"/>
    <x v="17"/>
    <s v="SE2_EL"/>
    <x v="9"/>
    <s v="GBPR_WOODWASTE_25"/>
    <x v="0"/>
    <x v="13"/>
    <n v="185.02039687660499"/>
    <n v="67532.444859960699"/>
    <n v="243116.80149585899"/>
  </r>
  <r>
    <x v="0"/>
    <x v="0"/>
    <x v="0"/>
    <x v="8"/>
    <x v="17"/>
    <s v="SE2_EL"/>
    <x v="9"/>
    <s v="GBPR_WOODWASTE_25"/>
    <x v="0"/>
    <x v="14"/>
    <n v="185.02039687660499"/>
    <n v="67532.444859960699"/>
    <n v="243116.80149585899"/>
  </r>
  <r>
    <x v="0"/>
    <x v="0"/>
    <x v="0"/>
    <x v="8"/>
    <x v="17"/>
    <s v="SE2_EL"/>
    <x v="9"/>
    <s v="GBPR_WOODWASTE_25"/>
    <x v="0"/>
    <x v="15"/>
    <n v="185.02039687660499"/>
    <n v="67532.444859960699"/>
    <n v="243116.80149585899"/>
  </r>
  <r>
    <x v="0"/>
    <x v="0"/>
    <x v="0"/>
    <x v="8"/>
    <x v="17"/>
    <s v="SE2_EL"/>
    <x v="9"/>
    <s v="GBPR_WOODWASTE_25"/>
    <x v="0"/>
    <x v="16"/>
    <n v="185.02039687660499"/>
    <n v="67532.444859960699"/>
    <n v="243116.80149585899"/>
  </r>
  <r>
    <x v="0"/>
    <x v="0"/>
    <x v="0"/>
    <x v="8"/>
    <x v="17"/>
    <s v="SE2_EL"/>
    <x v="9"/>
    <s v="GBPR_WOODWASTE_25"/>
    <x v="0"/>
    <x v="17"/>
    <n v="185.02039687660499"/>
    <n v="67532.444859960699"/>
    <n v="243116.80149585899"/>
  </r>
  <r>
    <x v="0"/>
    <x v="0"/>
    <x v="0"/>
    <x v="8"/>
    <x v="17"/>
    <s v="SE2_EL"/>
    <x v="9"/>
    <s v="GBPR_WOODWASTE_25"/>
    <x v="0"/>
    <x v="18"/>
    <n v="185.02039687660499"/>
    <n v="67532.444859960699"/>
    <n v="243116.80149585899"/>
  </r>
  <r>
    <x v="0"/>
    <x v="0"/>
    <x v="0"/>
    <x v="8"/>
    <x v="17"/>
    <s v="SE2_EL"/>
    <x v="9"/>
    <s v="GBPR_WOODWASTE_25"/>
    <x v="0"/>
    <x v="19"/>
    <n v="185.02039687660499"/>
    <n v="67532.444859960699"/>
    <n v="243116.80149585899"/>
  </r>
  <r>
    <x v="0"/>
    <x v="0"/>
    <x v="0"/>
    <x v="8"/>
    <x v="17"/>
    <s v="SE2_EL"/>
    <x v="9"/>
    <s v="GBPR_WOODWASTE_25"/>
    <x v="0"/>
    <x v="20"/>
    <n v="185.02039687660499"/>
    <n v="67532.444859960699"/>
    <n v="243116.80149585899"/>
  </r>
  <r>
    <x v="0"/>
    <x v="0"/>
    <x v="0"/>
    <x v="8"/>
    <x v="17"/>
    <s v="SE2_EL"/>
    <x v="9"/>
    <s v="GBPR_WOODWASTE_25"/>
    <x v="0"/>
    <x v="21"/>
    <n v="185.02039687660499"/>
    <n v="67532.444859960699"/>
    <n v="243116.80149585899"/>
  </r>
  <r>
    <x v="0"/>
    <x v="0"/>
    <x v="0"/>
    <x v="8"/>
    <x v="17"/>
    <s v="SE2_EL"/>
    <x v="9"/>
    <s v="GBPR_WOODWASTE_25"/>
    <x v="0"/>
    <x v="22"/>
    <n v="185.02039687660499"/>
    <n v="67532.444859960699"/>
    <n v="243116.80149585899"/>
  </r>
  <r>
    <x v="0"/>
    <x v="0"/>
    <x v="0"/>
    <x v="8"/>
    <x v="17"/>
    <s v="SE2_EL"/>
    <x v="9"/>
    <s v="GBPR_WOODWASTE_25"/>
    <x v="0"/>
    <x v="23"/>
    <n v="185.02039687660499"/>
    <n v="67532.444859960699"/>
    <n v="243116.80149585899"/>
  </r>
  <r>
    <x v="0"/>
    <x v="0"/>
    <x v="0"/>
    <x v="8"/>
    <x v="17"/>
    <s v="SE2_OTHER"/>
    <x v="3"/>
    <s v="GBPR_MUNIWASTE_24"/>
    <x v="0"/>
    <x v="0"/>
    <n v="13.1783135275753"/>
    <n v="4810.0844375650004"/>
    <n v="17316.303975234001"/>
  </r>
  <r>
    <x v="0"/>
    <x v="0"/>
    <x v="0"/>
    <x v="8"/>
    <x v="17"/>
    <s v="SE2_OTHER"/>
    <x v="3"/>
    <s v="GBPR_MUNIWASTE_24"/>
    <x v="0"/>
    <x v="1"/>
    <n v="13.1783135275753"/>
    <n v="4810.0844375650004"/>
    <n v="17316.303975234001"/>
  </r>
  <r>
    <x v="0"/>
    <x v="0"/>
    <x v="0"/>
    <x v="8"/>
    <x v="17"/>
    <s v="SE2_OTHER"/>
    <x v="3"/>
    <s v="GBPR_MUNIWASTE_24"/>
    <x v="0"/>
    <x v="2"/>
    <n v="13.1783135275753"/>
    <n v="4810.0844375650004"/>
    <n v="17316.303975234001"/>
  </r>
  <r>
    <x v="0"/>
    <x v="0"/>
    <x v="0"/>
    <x v="8"/>
    <x v="17"/>
    <s v="SE2_OTHER"/>
    <x v="3"/>
    <s v="GBPR_MUNIWASTE_24"/>
    <x v="0"/>
    <x v="3"/>
    <n v="13.1783135275753"/>
    <n v="4810.0844375650004"/>
    <n v="17316.303975234001"/>
  </r>
  <r>
    <x v="0"/>
    <x v="0"/>
    <x v="0"/>
    <x v="8"/>
    <x v="17"/>
    <s v="SE2_OTHER"/>
    <x v="3"/>
    <s v="GBPR_MUNIWASTE_24"/>
    <x v="0"/>
    <x v="4"/>
    <n v="13.1783135275753"/>
    <n v="4810.0844375650004"/>
    <n v="17316.303975234001"/>
  </r>
  <r>
    <x v="0"/>
    <x v="0"/>
    <x v="0"/>
    <x v="8"/>
    <x v="17"/>
    <s v="SE2_OTHER"/>
    <x v="3"/>
    <s v="GBPR_MUNIWASTE_24"/>
    <x v="0"/>
    <x v="5"/>
    <n v="13.1783135275753"/>
    <n v="4810.0844375650004"/>
    <n v="17316.303975234001"/>
  </r>
  <r>
    <x v="0"/>
    <x v="0"/>
    <x v="0"/>
    <x v="8"/>
    <x v="17"/>
    <s v="SE2_OTHER"/>
    <x v="3"/>
    <s v="GBPR_MUNIWASTE_24"/>
    <x v="0"/>
    <x v="6"/>
    <n v="13.1783135275753"/>
    <n v="4810.0844375650004"/>
    <n v="17316.303975234001"/>
  </r>
  <r>
    <x v="0"/>
    <x v="0"/>
    <x v="0"/>
    <x v="8"/>
    <x v="17"/>
    <s v="SE2_OTHER"/>
    <x v="3"/>
    <s v="GBPR_MUNIWASTE_24"/>
    <x v="0"/>
    <x v="7"/>
    <n v="13.1783135275753"/>
    <n v="4810.0844375650004"/>
    <n v="17316.303975234001"/>
  </r>
  <r>
    <x v="0"/>
    <x v="0"/>
    <x v="0"/>
    <x v="8"/>
    <x v="17"/>
    <s v="SE2_OTHER"/>
    <x v="3"/>
    <s v="GBPR_MUNIWASTE_24"/>
    <x v="0"/>
    <x v="8"/>
    <n v="13.1783135275753"/>
    <n v="4810.0844375650004"/>
    <n v="17316.303975234001"/>
  </r>
  <r>
    <x v="0"/>
    <x v="0"/>
    <x v="0"/>
    <x v="8"/>
    <x v="17"/>
    <s v="SE2_OTHER"/>
    <x v="3"/>
    <s v="GBPR_MUNIWASTE_24"/>
    <x v="0"/>
    <x v="9"/>
    <n v="13.1783135275753"/>
    <n v="4810.0844375650004"/>
    <n v="17316.303975234001"/>
  </r>
  <r>
    <x v="0"/>
    <x v="0"/>
    <x v="0"/>
    <x v="8"/>
    <x v="17"/>
    <s v="SE2_OTHER"/>
    <x v="3"/>
    <s v="GBPR_MUNIWASTE_24"/>
    <x v="0"/>
    <x v="10"/>
    <n v="13.1783135275753"/>
    <n v="4810.0844375650004"/>
    <n v="17316.303975234001"/>
  </r>
  <r>
    <x v="0"/>
    <x v="0"/>
    <x v="0"/>
    <x v="8"/>
    <x v="17"/>
    <s v="SE2_OTHER"/>
    <x v="3"/>
    <s v="GBPR_MUNIWASTE_24"/>
    <x v="0"/>
    <x v="11"/>
    <n v="13.1783135275753"/>
    <n v="4810.0844375650004"/>
    <n v="17316.303975234001"/>
  </r>
  <r>
    <x v="0"/>
    <x v="0"/>
    <x v="0"/>
    <x v="8"/>
    <x v="17"/>
    <s v="SE2_OTHER"/>
    <x v="3"/>
    <s v="GBPR_MUNIWASTE_24"/>
    <x v="0"/>
    <x v="12"/>
    <n v="13.1783135275753"/>
    <n v="4810.0844375650004"/>
    <n v="17316.303975234001"/>
  </r>
  <r>
    <x v="0"/>
    <x v="0"/>
    <x v="0"/>
    <x v="8"/>
    <x v="17"/>
    <s v="SE2_OTHER"/>
    <x v="3"/>
    <s v="GBPR_MUNIWASTE_24"/>
    <x v="0"/>
    <x v="13"/>
    <n v="13.1783135275753"/>
    <n v="4810.0844375650004"/>
    <n v="17316.303975234001"/>
  </r>
  <r>
    <x v="0"/>
    <x v="0"/>
    <x v="0"/>
    <x v="8"/>
    <x v="17"/>
    <s v="SE2_OTHER"/>
    <x v="3"/>
    <s v="GBPR_MUNIWASTE_24"/>
    <x v="0"/>
    <x v="14"/>
    <n v="13.1783135275753"/>
    <n v="4810.0844375650004"/>
    <n v="17316.303975234001"/>
  </r>
  <r>
    <x v="0"/>
    <x v="0"/>
    <x v="0"/>
    <x v="8"/>
    <x v="17"/>
    <s v="SE2_OTHER"/>
    <x v="3"/>
    <s v="GBPR_MUNIWASTE_24"/>
    <x v="0"/>
    <x v="15"/>
    <n v="13.1783135275753"/>
    <n v="4810.0844375650004"/>
    <n v="17316.303975234001"/>
  </r>
  <r>
    <x v="0"/>
    <x v="0"/>
    <x v="0"/>
    <x v="8"/>
    <x v="17"/>
    <s v="SE2_OTHER"/>
    <x v="3"/>
    <s v="GBPR_MUNIWASTE_24"/>
    <x v="0"/>
    <x v="16"/>
    <n v="13.1783135275753"/>
    <n v="4810.0844375650004"/>
    <n v="17316.303975234001"/>
  </r>
  <r>
    <x v="0"/>
    <x v="0"/>
    <x v="0"/>
    <x v="8"/>
    <x v="17"/>
    <s v="SE2_OTHER"/>
    <x v="3"/>
    <s v="GBPR_MUNIWASTE_24"/>
    <x v="0"/>
    <x v="17"/>
    <n v="13.1783135275753"/>
    <n v="4810.0844375650004"/>
    <n v="17316.303975234001"/>
  </r>
  <r>
    <x v="0"/>
    <x v="0"/>
    <x v="0"/>
    <x v="8"/>
    <x v="17"/>
    <s v="SE2_OTHER"/>
    <x v="3"/>
    <s v="GBPR_MUNIWASTE_24"/>
    <x v="0"/>
    <x v="18"/>
    <n v="13.1783135275753"/>
    <n v="4810.0844375650004"/>
    <n v="17316.303975234001"/>
  </r>
  <r>
    <x v="0"/>
    <x v="0"/>
    <x v="0"/>
    <x v="8"/>
    <x v="17"/>
    <s v="SE2_OTHER"/>
    <x v="3"/>
    <s v="GBPR_MUNIWASTE_24"/>
    <x v="0"/>
    <x v="19"/>
    <n v="13.1783135275753"/>
    <n v="4810.0844375650004"/>
    <n v="17316.303975234001"/>
  </r>
  <r>
    <x v="0"/>
    <x v="0"/>
    <x v="0"/>
    <x v="8"/>
    <x v="17"/>
    <s v="SE2_OTHER"/>
    <x v="3"/>
    <s v="GBPR_MUNIWASTE_24"/>
    <x v="0"/>
    <x v="20"/>
    <n v="13.1783135275753"/>
    <n v="4810.0844375650004"/>
    <n v="17316.303975234001"/>
  </r>
  <r>
    <x v="0"/>
    <x v="0"/>
    <x v="0"/>
    <x v="8"/>
    <x v="17"/>
    <s v="SE2_OTHER"/>
    <x v="3"/>
    <s v="GBPR_MUNIWASTE_24"/>
    <x v="0"/>
    <x v="21"/>
    <n v="13.1783135275753"/>
    <n v="4810.0844375650004"/>
    <n v="17316.303975234001"/>
  </r>
  <r>
    <x v="0"/>
    <x v="0"/>
    <x v="0"/>
    <x v="8"/>
    <x v="17"/>
    <s v="SE2_OTHER"/>
    <x v="3"/>
    <s v="GBPR_MUNIWASTE_24"/>
    <x v="0"/>
    <x v="22"/>
    <n v="13.1783135275753"/>
    <n v="4810.0844375650004"/>
    <n v="17316.303975234001"/>
  </r>
  <r>
    <x v="0"/>
    <x v="0"/>
    <x v="0"/>
    <x v="8"/>
    <x v="17"/>
    <s v="SE2_OTHER"/>
    <x v="3"/>
    <s v="GBPR_MUNIWASTE_24"/>
    <x v="0"/>
    <x v="23"/>
    <n v="13.1783135275753"/>
    <n v="4810.0844375650004"/>
    <n v="17316.303975234001"/>
  </r>
  <r>
    <x v="0"/>
    <x v="0"/>
    <x v="0"/>
    <x v="8"/>
    <x v="17"/>
    <s v="SE2_OTHER"/>
    <x v="6"/>
    <s v="GHOB_WASTEHEAT"/>
    <x v="0"/>
    <x v="0"/>
    <n v="8.5772506280862402"/>
    <n v="3130.69647925148"/>
    <n v="11270.5073253053"/>
  </r>
  <r>
    <x v="0"/>
    <x v="0"/>
    <x v="0"/>
    <x v="8"/>
    <x v="17"/>
    <s v="SE2_OTHER"/>
    <x v="6"/>
    <s v="GHOB_WASTEHEAT"/>
    <x v="0"/>
    <x v="1"/>
    <n v="7.1014492362885804"/>
    <n v="2592.02897124533"/>
    <n v="9331.3042964831893"/>
  </r>
  <r>
    <x v="0"/>
    <x v="0"/>
    <x v="0"/>
    <x v="8"/>
    <x v="17"/>
    <s v="SE2_OTHER"/>
    <x v="6"/>
    <s v="GHOB_WASTEHEAT"/>
    <x v="0"/>
    <x v="2"/>
    <n v="9.2424820635046707"/>
    <n v="3373.5059531791999"/>
    <n v="12144.621431445101"/>
  </r>
  <r>
    <x v="0"/>
    <x v="0"/>
    <x v="0"/>
    <x v="8"/>
    <x v="17"/>
    <s v="SE2_OTHER"/>
    <x v="6"/>
    <s v="GHOB_WASTEHEAT"/>
    <x v="0"/>
    <x v="3"/>
    <n v="14.1462768624859"/>
    <n v="5163.39105480735"/>
    <n v="18588.207797306401"/>
  </r>
  <r>
    <x v="0"/>
    <x v="0"/>
    <x v="0"/>
    <x v="8"/>
    <x v="17"/>
    <s v="SE2_OTHER"/>
    <x v="6"/>
    <s v="GHOB_WASTEHEAT"/>
    <x v="0"/>
    <x v="4"/>
    <n v="16.031295787545702"/>
    <n v="5851.4229624541904"/>
    <n v="21065.1226648351"/>
  </r>
  <r>
    <x v="0"/>
    <x v="0"/>
    <x v="0"/>
    <x v="8"/>
    <x v="17"/>
    <s v="SE2_OTHER"/>
    <x v="6"/>
    <s v="GHOB_WASTEHEAT"/>
    <x v="0"/>
    <x v="5"/>
    <n v="16.031295787545702"/>
    <n v="5851.4229624541904"/>
    <n v="21065.1226648351"/>
  </r>
  <r>
    <x v="0"/>
    <x v="0"/>
    <x v="0"/>
    <x v="8"/>
    <x v="17"/>
    <s v="SE2_OTHER"/>
    <x v="6"/>
    <s v="GHOB_WASTEHEAT"/>
    <x v="0"/>
    <x v="6"/>
    <n v="16.031295787545702"/>
    <n v="5851.4229624541904"/>
    <n v="21065.1226648351"/>
  </r>
  <r>
    <x v="0"/>
    <x v="0"/>
    <x v="0"/>
    <x v="8"/>
    <x v="17"/>
    <s v="SE2_OTHER"/>
    <x v="6"/>
    <s v="GHOB_WASTEHEAT"/>
    <x v="0"/>
    <x v="7"/>
    <n v="16.031295787545702"/>
    <n v="5851.4229624541904"/>
    <n v="21065.1226648351"/>
  </r>
  <r>
    <x v="0"/>
    <x v="0"/>
    <x v="0"/>
    <x v="8"/>
    <x v="17"/>
    <s v="SE2_OTHER"/>
    <x v="6"/>
    <s v="GHOB_WASTEHEAT"/>
    <x v="0"/>
    <x v="8"/>
    <n v="16.031295787545702"/>
    <n v="5851.4229624541904"/>
    <n v="21065.1226648351"/>
  </r>
  <r>
    <x v="0"/>
    <x v="0"/>
    <x v="0"/>
    <x v="8"/>
    <x v="17"/>
    <s v="SE2_OTHER"/>
    <x v="6"/>
    <s v="GHOB_WASTEHEAT"/>
    <x v="0"/>
    <x v="9"/>
    <n v="16.031295787545702"/>
    <n v="5851.4229624541904"/>
    <n v="21065.1226648351"/>
  </r>
  <r>
    <x v="0"/>
    <x v="0"/>
    <x v="0"/>
    <x v="8"/>
    <x v="17"/>
    <s v="SE2_OTHER"/>
    <x v="6"/>
    <s v="GHOB_WASTEHEAT"/>
    <x v="0"/>
    <x v="10"/>
    <n v="16.031295787545702"/>
    <n v="5851.4229624541904"/>
    <n v="21065.1226648351"/>
  </r>
  <r>
    <x v="0"/>
    <x v="0"/>
    <x v="0"/>
    <x v="8"/>
    <x v="17"/>
    <s v="SE2_OTHER"/>
    <x v="6"/>
    <s v="GHOB_WASTEHEAT"/>
    <x v="0"/>
    <x v="11"/>
    <n v="16.031295787545702"/>
    <n v="5851.4229624541904"/>
    <n v="21065.1226648351"/>
  </r>
  <r>
    <x v="0"/>
    <x v="0"/>
    <x v="0"/>
    <x v="8"/>
    <x v="17"/>
    <s v="SE2_OTHER"/>
    <x v="6"/>
    <s v="GHOB_WASTEHEAT"/>
    <x v="0"/>
    <x v="12"/>
    <n v="16.031295787545702"/>
    <n v="5851.4229624541904"/>
    <n v="21065.1226648351"/>
  </r>
  <r>
    <x v="0"/>
    <x v="0"/>
    <x v="0"/>
    <x v="8"/>
    <x v="17"/>
    <s v="SE2_OTHER"/>
    <x v="6"/>
    <s v="GHOB_WASTEHEAT"/>
    <x v="0"/>
    <x v="13"/>
    <n v="16.031295787545702"/>
    <n v="5851.4229624541904"/>
    <n v="21065.1226648351"/>
  </r>
  <r>
    <x v="0"/>
    <x v="0"/>
    <x v="0"/>
    <x v="8"/>
    <x v="17"/>
    <s v="SE2_OTHER"/>
    <x v="6"/>
    <s v="GHOB_WASTEHEAT"/>
    <x v="0"/>
    <x v="14"/>
    <n v="16.031295787545702"/>
    <n v="5851.4229624541904"/>
    <n v="21065.1226648351"/>
  </r>
  <r>
    <x v="0"/>
    <x v="0"/>
    <x v="0"/>
    <x v="8"/>
    <x v="17"/>
    <s v="SE2_OTHER"/>
    <x v="6"/>
    <s v="GHOB_WASTEHEAT"/>
    <x v="0"/>
    <x v="15"/>
    <n v="16.031295787545702"/>
    <n v="5851.4229624541904"/>
    <n v="21065.1226648351"/>
  </r>
  <r>
    <x v="0"/>
    <x v="0"/>
    <x v="0"/>
    <x v="8"/>
    <x v="17"/>
    <s v="SE2_OTHER"/>
    <x v="6"/>
    <s v="GHOB_WASTEHEAT"/>
    <x v="0"/>
    <x v="16"/>
    <n v="16.031295787545702"/>
    <n v="5851.4229624541904"/>
    <n v="21065.1226648351"/>
  </r>
  <r>
    <x v="0"/>
    <x v="0"/>
    <x v="0"/>
    <x v="8"/>
    <x v="17"/>
    <s v="SE2_OTHER"/>
    <x v="6"/>
    <s v="GHOB_WASTEHEAT"/>
    <x v="0"/>
    <x v="17"/>
    <n v="16.031295787545702"/>
    <n v="5851.4229624541904"/>
    <n v="21065.1226648351"/>
  </r>
  <r>
    <x v="0"/>
    <x v="0"/>
    <x v="0"/>
    <x v="8"/>
    <x v="17"/>
    <s v="SE2_OTHER"/>
    <x v="6"/>
    <s v="GHOB_WASTEHEAT"/>
    <x v="0"/>
    <x v="18"/>
    <n v="16.031295787545702"/>
    <n v="5851.4229624541904"/>
    <n v="21065.1226648351"/>
  </r>
  <r>
    <x v="0"/>
    <x v="0"/>
    <x v="0"/>
    <x v="8"/>
    <x v="17"/>
    <s v="SE2_OTHER"/>
    <x v="6"/>
    <s v="GHOB_WASTEHEAT"/>
    <x v="0"/>
    <x v="19"/>
    <n v="16.031295787545702"/>
    <n v="5851.4229624541904"/>
    <n v="21065.1226648351"/>
  </r>
  <r>
    <x v="0"/>
    <x v="0"/>
    <x v="0"/>
    <x v="8"/>
    <x v="17"/>
    <s v="SE2_OTHER"/>
    <x v="6"/>
    <s v="GHOB_WASTEHEAT"/>
    <x v="0"/>
    <x v="20"/>
    <n v="16.031295787545702"/>
    <n v="5851.4229624541904"/>
    <n v="21065.1226648351"/>
  </r>
  <r>
    <x v="0"/>
    <x v="0"/>
    <x v="0"/>
    <x v="8"/>
    <x v="17"/>
    <s v="SE2_OTHER"/>
    <x v="6"/>
    <s v="GHOB_WASTEHEAT"/>
    <x v="0"/>
    <x v="21"/>
    <n v="16.031295787545702"/>
    <n v="5851.4229624541904"/>
    <n v="21065.1226648351"/>
  </r>
  <r>
    <x v="0"/>
    <x v="0"/>
    <x v="0"/>
    <x v="8"/>
    <x v="17"/>
    <s v="SE2_OTHER"/>
    <x v="6"/>
    <s v="GHOB_WASTEHEAT"/>
    <x v="0"/>
    <x v="22"/>
    <n v="16.031295787545702"/>
    <n v="5851.4229624541904"/>
    <n v="21065.1226648351"/>
  </r>
  <r>
    <x v="0"/>
    <x v="0"/>
    <x v="0"/>
    <x v="8"/>
    <x v="17"/>
    <s v="SE2_OTHER"/>
    <x v="6"/>
    <s v="GHOB_WASTEHEAT"/>
    <x v="0"/>
    <x v="23"/>
    <n v="16.031295787545702"/>
    <n v="5851.4229624541904"/>
    <n v="21065.1226648351"/>
  </r>
  <r>
    <x v="0"/>
    <x v="0"/>
    <x v="0"/>
    <x v="8"/>
    <x v="17"/>
    <s v="SE2_OTHER"/>
    <x v="7"/>
    <s v="GBPR_WOODCHIPS_37"/>
    <x v="0"/>
    <x v="0"/>
    <n v="20.793108344772101"/>
    <n v="7589.4845458418104"/>
    <n v="27322.144365030501"/>
  </r>
  <r>
    <x v="0"/>
    <x v="0"/>
    <x v="0"/>
    <x v="8"/>
    <x v="17"/>
    <s v="SE2_OTHER"/>
    <x v="7"/>
    <s v="GBPR_WOODCHIPS_37"/>
    <x v="0"/>
    <x v="1"/>
    <n v="20.793108344772101"/>
    <n v="7589.4845458418104"/>
    <n v="27322.144365030501"/>
  </r>
  <r>
    <x v="0"/>
    <x v="0"/>
    <x v="0"/>
    <x v="8"/>
    <x v="17"/>
    <s v="SE2_OTHER"/>
    <x v="7"/>
    <s v="GBPR_WOODCHIPS_37"/>
    <x v="0"/>
    <x v="2"/>
    <n v="20.793108344772101"/>
    <n v="7589.4845458418104"/>
    <n v="27322.144365030501"/>
  </r>
  <r>
    <x v="0"/>
    <x v="0"/>
    <x v="0"/>
    <x v="8"/>
    <x v="17"/>
    <s v="SE2_OTHER"/>
    <x v="7"/>
    <s v="GBPR_WOODCHIPS_37"/>
    <x v="0"/>
    <x v="3"/>
    <n v="20.793108344772101"/>
    <n v="7589.4845458418104"/>
    <n v="27322.144365030501"/>
  </r>
  <r>
    <x v="0"/>
    <x v="0"/>
    <x v="0"/>
    <x v="8"/>
    <x v="17"/>
    <s v="SE2_OTHER"/>
    <x v="7"/>
    <s v="GBPR_WOODCHIPS_37"/>
    <x v="0"/>
    <x v="4"/>
    <n v="20.793108344772101"/>
    <n v="7589.4845458418104"/>
    <n v="27322.144365030501"/>
  </r>
  <r>
    <x v="0"/>
    <x v="0"/>
    <x v="0"/>
    <x v="8"/>
    <x v="17"/>
    <s v="SE2_OTHER"/>
    <x v="7"/>
    <s v="GBPR_WOODCHIPS_37"/>
    <x v="0"/>
    <x v="5"/>
    <n v="20.793108344772101"/>
    <n v="7589.4845458418104"/>
    <n v="27322.144365030501"/>
  </r>
  <r>
    <x v="0"/>
    <x v="0"/>
    <x v="0"/>
    <x v="8"/>
    <x v="17"/>
    <s v="SE2_OTHER"/>
    <x v="7"/>
    <s v="GBPR_WOODCHIPS_37"/>
    <x v="0"/>
    <x v="6"/>
    <n v="20.793108344772101"/>
    <n v="7589.4845458418104"/>
    <n v="27322.144365030501"/>
  </r>
  <r>
    <x v="0"/>
    <x v="0"/>
    <x v="0"/>
    <x v="8"/>
    <x v="17"/>
    <s v="SE2_OTHER"/>
    <x v="7"/>
    <s v="GBPR_WOODCHIPS_37"/>
    <x v="0"/>
    <x v="7"/>
    <n v="20.793108344772101"/>
    <n v="7589.4845458418104"/>
    <n v="27322.144365030501"/>
  </r>
  <r>
    <x v="0"/>
    <x v="0"/>
    <x v="0"/>
    <x v="8"/>
    <x v="17"/>
    <s v="SE2_OTHER"/>
    <x v="7"/>
    <s v="GBPR_WOODCHIPS_37"/>
    <x v="0"/>
    <x v="8"/>
    <n v="20.793108344772101"/>
    <n v="7589.4845458418104"/>
    <n v="27322.144365030501"/>
  </r>
  <r>
    <x v="0"/>
    <x v="0"/>
    <x v="0"/>
    <x v="8"/>
    <x v="17"/>
    <s v="SE2_OTHER"/>
    <x v="7"/>
    <s v="GBPR_WOODCHIPS_37"/>
    <x v="0"/>
    <x v="9"/>
    <n v="20.793108344772101"/>
    <n v="7589.4845458418104"/>
    <n v="27322.144365030501"/>
  </r>
  <r>
    <x v="0"/>
    <x v="0"/>
    <x v="0"/>
    <x v="8"/>
    <x v="17"/>
    <s v="SE2_OTHER"/>
    <x v="7"/>
    <s v="GBPR_WOODCHIPS_37"/>
    <x v="0"/>
    <x v="10"/>
    <n v="20.793108344772101"/>
    <n v="7589.4845458418104"/>
    <n v="27322.144365030501"/>
  </r>
  <r>
    <x v="0"/>
    <x v="0"/>
    <x v="0"/>
    <x v="8"/>
    <x v="17"/>
    <s v="SE2_OTHER"/>
    <x v="7"/>
    <s v="GBPR_WOODCHIPS_37"/>
    <x v="0"/>
    <x v="11"/>
    <n v="20.793108344772101"/>
    <n v="7589.4845458418104"/>
    <n v="27322.144365030501"/>
  </r>
  <r>
    <x v="0"/>
    <x v="0"/>
    <x v="0"/>
    <x v="8"/>
    <x v="17"/>
    <s v="SE2_OTHER"/>
    <x v="7"/>
    <s v="GBPR_WOODCHIPS_37"/>
    <x v="0"/>
    <x v="12"/>
    <n v="20.793108344772101"/>
    <n v="7589.4845458418104"/>
    <n v="27322.144365030501"/>
  </r>
  <r>
    <x v="0"/>
    <x v="0"/>
    <x v="0"/>
    <x v="8"/>
    <x v="17"/>
    <s v="SE2_OTHER"/>
    <x v="7"/>
    <s v="GBPR_WOODCHIPS_37"/>
    <x v="0"/>
    <x v="13"/>
    <n v="20.793108344772101"/>
    <n v="7589.4845458418104"/>
    <n v="27322.144365030501"/>
  </r>
  <r>
    <x v="0"/>
    <x v="0"/>
    <x v="0"/>
    <x v="8"/>
    <x v="17"/>
    <s v="SE2_OTHER"/>
    <x v="7"/>
    <s v="GBPR_WOODCHIPS_37"/>
    <x v="0"/>
    <x v="14"/>
    <n v="20.793108344772101"/>
    <n v="7589.4845458418104"/>
    <n v="27322.144365030501"/>
  </r>
  <r>
    <x v="0"/>
    <x v="0"/>
    <x v="0"/>
    <x v="8"/>
    <x v="17"/>
    <s v="SE2_OTHER"/>
    <x v="7"/>
    <s v="GBPR_WOODCHIPS_37"/>
    <x v="0"/>
    <x v="15"/>
    <n v="20.793108344772101"/>
    <n v="7589.4845458418104"/>
    <n v="27322.144365030501"/>
  </r>
  <r>
    <x v="0"/>
    <x v="0"/>
    <x v="0"/>
    <x v="8"/>
    <x v="17"/>
    <s v="SE2_OTHER"/>
    <x v="7"/>
    <s v="GBPR_WOODCHIPS_37"/>
    <x v="0"/>
    <x v="16"/>
    <n v="20.793108344772101"/>
    <n v="7589.4845458418104"/>
    <n v="27322.144365030501"/>
  </r>
  <r>
    <x v="0"/>
    <x v="0"/>
    <x v="0"/>
    <x v="8"/>
    <x v="17"/>
    <s v="SE2_OTHER"/>
    <x v="7"/>
    <s v="GBPR_WOODCHIPS_37"/>
    <x v="0"/>
    <x v="17"/>
    <n v="20.793108344772101"/>
    <n v="7589.4845458418104"/>
    <n v="27322.144365030501"/>
  </r>
  <r>
    <x v="0"/>
    <x v="0"/>
    <x v="0"/>
    <x v="8"/>
    <x v="17"/>
    <s v="SE2_OTHER"/>
    <x v="7"/>
    <s v="GBPR_WOODCHIPS_37"/>
    <x v="0"/>
    <x v="18"/>
    <n v="20.793108344772101"/>
    <n v="7589.4845458418104"/>
    <n v="27322.144365030501"/>
  </r>
  <r>
    <x v="0"/>
    <x v="0"/>
    <x v="0"/>
    <x v="8"/>
    <x v="17"/>
    <s v="SE2_OTHER"/>
    <x v="7"/>
    <s v="GBPR_WOODCHIPS_37"/>
    <x v="0"/>
    <x v="19"/>
    <n v="20.793108344772101"/>
    <n v="7589.4845458418104"/>
    <n v="27322.144365030501"/>
  </r>
  <r>
    <x v="0"/>
    <x v="0"/>
    <x v="0"/>
    <x v="8"/>
    <x v="17"/>
    <s v="SE2_OTHER"/>
    <x v="7"/>
    <s v="GBPR_WOODCHIPS_37"/>
    <x v="0"/>
    <x v="20"/>
    <n v="20.793108344772101"/>
    <n v="7589.4845458418104"/>
    <n v="27322.144365030501"/>
  </r>
  <r>
    <x v="0"/>
    <x v="0"/>
    <x v="0"/>
    <x v="8"/>
    <x v="17"/>
    <s v="SE2_OTHER"/>
    <x v="7"/>
    <s v="GBPR_WOODCHIPS_37"/>
    <x v="0"/>
    <x v="21"/>
    <n v="20.793108344772101"/>
    <n v="7589.4845458418104"/>
    <n v="27322.144365030501"/>
  </r>
  <r>
    <x v="0"/>
    <x v="0"/>
    <x v="0"/>
    <x v="8"/>
    <x v="17"/>
    <s v="SE2_OTHER"/>
    <x v="7"/>
    <s v="GBPR_WOODCHIPS_37"/>
    <x v="0"/>
    <x v="22"/>
    <n v="20.793108344772101"/>
    <n v="7589.4845458418104"/>
    <n v="27322.144365030501"/>
  </r>
  <r>
    <x v="0"/>
    <x v="0"/>
    <x v="0"/>
    <x v="8"/>
    <x v="17"/>
    <s v="SE2_OTHER"/>
    <x v="7"/>
    <s v="GBPR_WOODCHIPS_37"/>
    <x v="0"/>
    <x v="23"/>
    <n v="20.793108344772101"/>
    <n v="7589.4845458418104"/>
    <n v="27322.144365030501"/>
  </r>
  <r>
    <x v="0"/>
    <x v="0"/>
    <x v="0"/>
    <x v="8"/>
    <x v="17"/>
    <s v="SE2_OTHER"/>
    <x v="9"/>
    <s v="GBPR_WOODWASTE_36"/>
    <x v="0"/>
    <x v="0"/>
    <n v="121.046998448051"/>
    <n v="44182.154433538599"/>
    <n v="159055.75596073901"/>
  </r>
  <r>
    <x v="0"/>
    <x v="0"/>
    <x v="0"/>
    <x v="8"/>
    <x v="17"/>
    <s v="SE2_OTHER"/>
    <x v="9"/>
    <s v="GBPR_WOODWASTE_36"/>
    <x v="0"/>
    <x v="1"/>
    <n v="121.046998448051"/>
    <n v="44182.154433538599"/>
    <n v="159055.75596073901"/>
  </r>
  <r>
    <x v="0"/>
    <x v="0"/>
    <x v="0"/>
    <x v="8"/>
    <x v="17"/>
    <s v="SE2_OTHER"/>
    <x v="9"/>
    <s v="GBPR_WOODWASTE_36"/>
    <x v="0"/>
    <x v="2"/>
    <n v="121.046998448051"/>
    <n v="44182.154433538599"/>
    <n v="159055.75596073901"/>
  </r>
  <r>
    <x v="0"/>
    <x v="0"/>
    <x v="0"/>
    <x v="8"/>
    <x v="17"/>
    <s v="SE2_OTHER"/>
    <x v="9"/>
    <s v="GBPR_WOODWASTE_36"/>
    <x v="0"/>
    <x v="3"/>
    <n v="121.046998448051"/>
    <n v="44182.154433538599"/>
    <n v="159055.75596073901"/>
  </r>
  <r>
    <x v="0"/>
    <x v="0"/>
    <x v="0"/>
    <x v="8"/>
    <x v="17"/>
    <s v="SE2_OTHER"/>
    <x v="9"/>
    <s v="GBPR_WOODWASTE_36"/>
    <x v="0"/>
    <x v="4"/>
    <n v="121.046998448051"/>
    <n v="44182.154433538599"/>
    <n v="159055.75596073901"/>
  </r>
  <r>
    <x v="0"/>
    <x v="0"/>
    <x v="0"/>
    <x v="8"/>
    <x v="17"/>
    <s v="SE2_OTHER"/>
    <x v="9"/>
    <s v="GBPR_WOODWASTE_36"/>
    <x v="0"/>
    <x v="5"/>
    <n v="121.046998448051"/>
    <n v="44182.154433538599"/>
    <n v="159055.75596073901"/>
  </r>
  <r>
    <x v="0"/>
    <x v="0"/>
    <x v="0"/>
    <x v="8"/>
    <x v="17"/>
    <s v="SE2_OTHER"/>
    <x v="9"/>
    <s v="GBPR_WOODWASTE_36"/>
    <x v="0"/>
    <x v="6"/>
    <n v="121.046998448051"/>
    <n v="44182.154433538599"/>
    <n v="159055.75596073901"/>
  </r>
  <r>
    <x v="0"/>
    <x v="0"/>
    <x v="0"/>
    <x v="8"/>
    <x v="17"/>
    <s v="SE2_OTHER"/>
    <x v="9"/>
    <s v="GBPR_WOODWASTE_36"/>
    <x v="0"/>
    <x v="7"/>
    <n v="121.046998448051"/>
    <n v="44182.154433538599"/>
    <n v="159055.75596073901"/>
  </r>
  <r>
    <x v="0"/>
    <x v="0"/>
    <x v="0"/>
    <x v="8"/>
    <x v="17"/>
    <s v="SE2_OTHER"/>
    <x v="9"/>
    <s v="GBPR_WOODWASTE_36"/>
    <x v="0"/>
    <x v="8"/>
    <n v="121.046998448051"/>
    <n v="44182.154433538599"/>
    <n v="159055.75596073901"/>
  </r>
  <r>
    <x v="0"/>
    <x v="0"/>
    <x v="0"/>
    <x v="8"/>
    <x v="17"/>
    <s v="SE2_OTHER"/>
    <x v="9"/>
    <s v="GBPR_WOODWASTE_36"/>
    <x v="0"/>
    <x v="9"/>
    <n v="121.046998448051"/>
    <n v="44182.154433538599"/>
    <n v="159055.75596073901"/>
  </r>
  <r>
    <x v="0"/>
    <x v="0"/>
    <x v="0"/>
    <x v="8"/>
    <x v="17"/>
    <s v="SE2_OTHER"/>
    <x v="9"/>
    <s v="GBPR_WOODWASTE_36"/>
    <x v="0"/>
    <x v="10"/>
    <n v="121.046998448051"/>
    <n v="44182.154433538599"/>
    <n v="159055.75596073901"/>
  </r>
  <r>
    <x v="0"/>
    <x v="0"/>
    <x v="0"/>
    <x v="8"/>
    <x v="17"/>
    <s v="SE2_OTHER"/>
    <x v="9"/>
    <s v="GBPR_WOODWASTE_36"/>
    <x v="0"/>
    <x v="11"/>
    <n v="121.046998448051"/>
    <n v="44182.154433538599"/>
    <n v="159055.75596073901"/>
  </r>
  <r>
    <x v="0"/>
    <x v="0"/>
    <x v="0"/>
    <x v="8"/>
    <x v="17"/>
    <s v="SE2_OTHER"/>
    <x v="9"/>
    <s v="GBPR_WOODWASTE_36"/>
    <x v="0"/>
    <x v="12"/>
    <n v="121.046998448051"/>
    <n v="44182.154433538599"/>
    <n v="159055.75596073901"/>
  </r>
  <r>
    <x v="0"/>
    <x v="0"/>
    <x v="0"/>
    <x v="8"/>
    <x v="17"/>
    <s v="SE2_OTHER"/>
    <x v="9"/>
    <s v="GBPR_WOODWASTE_36"/>
    <x v="0"/>
    <x v="13"/>
    <n v="121.046998448051"/>
    <n v="44182.154433538599"/>
    <n v="159055.75596073901"/>
  </r>
  <r>
    <x v="0"/>
    <x v="0"/>
    <x v="0"/>
    <x v="8"/>
    <x v="17"/>
    <s v="SE2_OTHER"/>
    <x v="9"/>
    <s v="GBPR_WOODWASTE_36"/>
    <x v="0"/>
    <x v="14"/>
    <n v="121.046998448051"/>
    <n v="44182.154433538599"/>
    <n v="159055.75596073901"/>
  </r>
  <r>
    <x v="0"/>
    <x v="0"/>
    <x v="0"/>
    <x v="8"/>
    <x v="17"/>
    <s v="SE2_OTHER"/>
    <x v="9"/>
    <s v="GBPR_WOODWASTE_36"/>
    <x v="0"/>
    <x v="15"/>
    <n v="121.046998448051"/>
    <n v="44182.154433538599"/>
    <n v="159055.75596073901"/>
  </r>
  <r>
    <x v="0"/>
    <x v="0"/>
    <x v="0"/>
    <x v="8"/>
    <x v="17"/>
    <s v="SE2_OTHER"/>
    <x v="9"/>
    <s v="GBPR_WOODWASTE_36"/>
    <x v="0"/>
    <x v="16"/>
    <n v="121.046998448051"/>
    <n v="44182.154433538599"/>
    <n v="159055.75596073901"/>
  </r>
  <r>
    <x v="0"/>
    <x v="0"/>
    <x v="0"/>
    <x v="8"/>
    <x v="17"/>
    <s v="SE2_OTHER"/>
    <x v="9"/>
    <s v="GBPR_WOODWASTE_36"/>
    <x v="0"/>
    <x v="17"/>
    <n v="121.046998448051"/>
    <n v="44182.154433538599"/>
    <n v="159055.75596073901"/>
  </r>
  <r>
    <x v="0"/>
    <x v="0"/>
    <x v="0"/>
    <x v="8"/>
    <x v="17"/>
    <s v="SE2_OTHER"/>
    <x v="9"/>
    <s v="GBPR_WOODWASTE_36"/>
    <x v="0"/>
    <x v="18"/>
    <n v="121.046998448051"/>
    <n v="44182.154433538599"/>
    <n v="159055.75596073901"/>
  </r>
  <r>
    <x v="0"/>
    <x v="0"/>
    <x v="0"/>
    <x v="8"/>
    <x v="17"/>
    <s v="SE2_OTHER"/>
    <x v="9"/>
    <s v="GBPR_WOODWASTE_36"/>
    <x v="0"/>
    <x v="19"/>
    <n v="121.046998448051"/>
    <n v="44182.154433538599"/>
    <n v="159055.75596073901"/>
  </r>
  <r>
    <x v="0"/>
    <x v="0"/>
    <x v="0"/>
    <x v="8"/>
    <x v="17"/>
    <s v="SE2_OTHER"/>
    <x v="9"/>
    <s v="GBPR_WOODWASTE_36"/>
    <x v="0"/>
    <x v="20"/>
    <n v="121.046998448051"/>
    <n v="44182.154433538599"/>
    <n v="159055.75596073901"/>
  </r>
  <r>
    <x v="0"/>
    <x v="0"/>
    <x v="0"/>
    <x v="8"/>
    <x v="17"/>
    <s v="SE2_OTHER"/>
    <x v="9"/>
    <s v="GBPR_WOODWASTE_36"/>
    <x v="0"/>
    <x v="21"/>
    <n v="121.046998448051"/>
    <n v="44182.154433538599"/>
    <n v="159055.75596073901"/>
  </r>
  <r>
    <x v="0"/>
    <x v="0"/>
    <x v="0"/>
    <x v="8"/>
    <x v="17"/>
    <s v="SE2_OTHER"/>
    <x v="9"/>
    <s v="GBPR_WOODWASTE_36"/>
    <x v="0"/>
    <x v="22"/>
    <n v="121.046998448051"/>
    <n v="44182.154433538599"/>
    <n v="159055.75596073901"/>
  </r>
  <r>
    <x v="0"/>
    <x v="0"/>
    <x v="0"/>
    <x v="8"/>
    <x v="17"/>
    <s v="SE2_OTHER"/>
    <x v="9"/>
    <s v="GBPR_WOODWASTE_36"/>
    <x v="0"/>
    <x v="23"/>
    <n v="121.046998448051"/>
    <n v="44182.154433538599"/>
    <n v="159055.75596073901"/>
  </r>
  <r>
    <x v="0"/>
    <x v="0"/>
    <x v="0"/>
    <x v="8"/>
    <x v="17"/>
    <s v="SE2_OTHER"/>
    <x v="9"/>
    <s v="GHOB_WOODWASTE"/>
    <x v="0"/>
    <x v="4"/>
    <n v="4.3153596841228898"/>
    <n v="1575.1062847048499"/>
    <n v="5670.3826249374697"/>
  </r>
  <r>
    <x v="0"/>
    <x v="0"/>
    <x v="0"/>
    <x v="8"/>
    <x v="17"/>
    <s v="SE2_OTHER"/>
    <x v="9"/>
    <s v="GHOB_WOODWASTE"/>
    <x v="0"/>
    <x v="5"/>
    <n v="15.898105349179801"/>
    <n v="5802.8084524506203"/>
    <n v="20890.110428822201"/>
  </r>
  <r>
    <x v="0"/>
    <x v="0"/>
    <x v="0"/>
    <x v="8"/>
    <x v="17"/>
    <s v="SE2_OTHER"/>
    <x v="9"/>
    <s v="GHOB_WOODWASTE"/>
    <x v="0"/>
    <x v="6"/>
    <n v="46.392421601001502"/>
    <n v="16933.233884365502"/>
    <n v="60959.641983715999"/>
  </r>
  <r>
    <x v="0"/>
    <x v="0"/>
    <x v="0"/>
    <x v="8"/>
    <x v="17"/>
    <s v="SE2_OTHER"/>
    <x v="9"/>
    <s v="GHOB_WOODWASTE"/>
    <x v="0"/>
    <x v="7"/>
    <n v="62.194655821978699"/>
    <n v="22701.049375022201"/>
    <n v="81723.77775008"/>
  </r>
  <r>
    <x v="0"/>
    <x v="0"/>
    <x v="0"/>
    <x v="8"/>
    <x v="17"/>
    <s v="SE2_OTHER"/>
    <x v="9"/>
    <s v="GHOB_WOODWASTE"/>
    <x v="0"/>
    <x v="8"/>
    <n v="63.214700297178197"/>
    <n v="23073.365608470001"/>
    <n v="83064.116190492103"/>
  </r>
  <r>
    <x v="0"/>
    <x v="0"/>
    <x v="0"/>
    <x v="8"/>
    <x v="17"/>
    <s v="SE2_OTHER"/>
    <x v="9"/>
    <s v="GHOB_WOODWASTE"/>
    <x v="0"/>
    <x v="9"/>
    <n v="66.332352678947302"/>
    <n v="24211.308727815798"/>
    <n v="87160.711420136693"/>
  </r>
  <r>
    <x v="0"/>
    <x v="0"/>
    <x v="0"/>
    <x v="8"/>
    <x v="17"/>
    <s v="SE2_OTHER"/>
    <x v="9"/>
    <s v="GHOB_WOODWASTE"/>
    <x v="0"/>
    <x v="10"/>
    <n v="62.954267269465603"/>
    <n v="22978.307553354902"/>
    <n v="82721.907192077793"/>
  </r>
  <r>
    <x v="0"/>
    <x v="0"/>
    <x v="0"/>
    <x v="8"/>
    <x v="17"/>
    <s v="SE2_OTHER"/>
    <x v="9"/>
    <s v="GHOB_WOODWASTE"/>
    <x v="0"/>
    <x v="11"/>
    <n v="62.470274095198299"/>
    <n v="22801.650044747399"/>
    <n v="82085.940161090504"/>
  </r>
  <r>
    <x v="0"/>
    <x v="0"/>
    <x v="0"/>
    <x v="8"/>
    <x v="17"/>
    <s v="SE2_OTHER"/>
    <x v="9"/>
    <s v="GHOB_WOODWASTE"/>
    <x v="0"/>
    <x v="12"/>
    <n v="61.653849209630401"/>
    <n v="22503.654961515102"/>
    <n v="81013.157861454296"/>
  </r>
  <r>
    <x v="0"/>
    <x v="0"/>
    <x v="0"/>
    <x v="8"/>
    <x v="17"/>
    <s v="SE2_OTHER"/>
    <x v="9"/>
    <s v="GHOB_WOODWASTE"/>
    <x v="0"/>
    <x v="13"/>
    <n v="60.864844212294997"/>
    <n v="22215.668137487701"/>
    <n v="79976.405294955694"/>
  </r>
  <r>
    <x v="0"/>
    <x v="0"/>
    <x v="0"/>
    <x v="8"/>
    <x v="17"/>
    <s v="SE2_OTHER"/>
    <x v="9"/>
    <s v="GHOB_WOODWASTE"/>
    <x v="0"/>
    <x v="14"/>
    <n v="58.517027565285296"/>
    <n v="21358.715061329101"/>
    <n v="76891.374220784899"/>
  </r>
  <r>
    <x v="0"/>
    <x v="0"/>
    <x v="0"/>
    <x v="8"/>
    <x v="17"/>
    <s v="SE2_OTHER"/>
    <x v="9"/>
    <s v="GHOB_WOODWASTE"/>
    <x v="0"/>
    <x v="15"/>
    <n v="58.123090956497499"/>
    <n v="21214.928199121601"/>
    <n v="76373.741516837705"/>
  </r>
  <r>
    <x v="0"/>
    <x v="0"/>
    <x v="0"/>
    <x v="8"/>
    <x v="17"/>
    <s v="SE2_OTHER"/>
    <x v="9"/>
    <s v="GHOB_WOODWASTE"/>
    <x v="0"/>
    <x v="16"/>
    <n v="47.6531536522739"/>
    <n v="17393.40108308"/>
    <n v="62616.243899087902"/>
  </r>
  <r>
    <x v="0"/>
    <x v="0"/>
    <x v="0"/>
    <x v="8"/>
    <x v="17"/>
    <s v="SE2_OTHER"/>
    <x v="9"/>
    <s v="GHOB_WOODWASTE"/>
    <x v="0"/>
    <x v="17"/>
    <n v="39.631296191593698"/>
    <n v="14465.4231099317"/>
    <n v="52075.523195754198"/>
  </r>
  <r>
    <x v="0"/>
    <x v="0"/>
    <x v="0"/>
    <x v="8"/>
    <x v="17"/>
    <s v="SE2_OTHER"/>
    <x v="9"/>
    <s v="GHOB_WOODWASTE"/>
    <x v="0"/>
    <x v="18"/>
    <n v="32.662085874110403"/>
    <n v="11921.661344050301"/>
    <n v="42917.980838581097"/>
  </r>
  <r>
    <x v="0"/>
    <x v="0"/>
    <x v="0"/>
    <x v="8"/>
    <x v="17"/>
    <s v="SE2_OTHER"/>
    <x v="9"/>
    <s v="GHOB_WOODWASTE"/>
    <x v="0"/>
    <x v="19"/>
    <n v="26.202397959024999"/>
    <n v="9563.8752550441095"/>
    <n v="34429.9509181588"/>
  </r>
  <r>
    <x v="0"/>
    <x v="0"/>
    <x v="0"/>
    <x v="8"/>
    <x v="17"/>
    <s v="SE2_OTHER"/>
    <x v="9"/>
    <s v="GHOB_WOODWASTE"/>
    <x v="0"/>
    <x v="20"/>
    <n v="19.266732190591199"/>
    <n v="7032.35724956578"/>
    <n v="25316.486098436799"/>
  </r>
  <r>
    <x v="0"/>
    <x v="0"/>
    <x v="0"/>
    <x v="8"/>
    <x v="17"/>
    <s v="SE2_OTHER"/>
    <x v="9"/>
    <s v="GHOB_WOODWASTE"/>
    <x v="0"/>
    <x v="21"/>
    <n v="14.335935845443499"/>
    <n v="5232.6165835868696"/>
    <n v="18837.419700912698"/>
  </r>
  <r>
    <x v="0"/>
    <x v="0"/>
    <x v="0"/>
    <x v="8"/>
    <x v="17"/>
    <s v="SE2_OTHER"/>
    <x v="9"/>
    <s v="GHOB_WOODWASTE"/>
    <x v="0"/>
    <x v="22"/>
    <n v="6.35325468175526"/>
    <n v="2318.93795884067"/>
    <n v="8348.1766518264194"/>
  </r>
  <r>
    <x v="0"/>
    <x v="0"/>
    <x v="0"/>
    <x v="8"/>
    <x v="17"/>
    <s v="SE2_OTHER"/>
    <x v="9"/>
    <s v="GHOB_WOODWASTE"/>
    <x v="0"/>
    <x v="23"/>
    <n v="9.9965510295934507E-2"/>
    <n v="36.487411258016103"/>
    <n v="131.35468052885801"/>
  </r>
  <r>
    <x v="0"/>
    <x v="0"/>
    <x v="0"/>
    <x v="8"/>
    <x v="18"/>
    <s v="SE3A"/>
    <x v="10"/>
    <s v="GBPR_IND_BIO"/>
    <x v="0"/>
    <x v="0"/>
    <n v="1290.45454545455"/>
    <n v="471015.909090909"/>
    <n v="1695657.2727272699"/>
  </r>
  <r>
    <x v="0"/>
    <x v="0"/>
    <x v="0"/>
    <x v="8"/>
    <x v="18"/>
    <s v="SE3A"/>
    <x v="10"/>
    <s v="GBPR_IND_BIO"/>
    <x v="0"/>
    <x v="1"/>
    <n v="1290.45454545455"/>
    <n v="471015.909090909"/>
    <n v="1695657.2727272699"/>
  </r>
  <r>
    <x v="0"/>
    <x v="0"/>
    <x v="0"/>
    <x v="8"/>
    <x v="18"/>
    <s v="SE3A"/>
    <x v="10"/>
    <s v="GBPR_IND_BIO"/>
    <x v="0"/>
    <x v="2"/>
    <n v="1290.45454545455"/>
    <n v="471015.909090909"/>
    <n v="1695657.2727272699"/>
  </r>
  <r>
    <x v="0"/>
    <x v="0"/>
    <x v="0"/>
    <x v="8"/>
    <x v="18"/>
    <s v="SE3A"/>
    <x v="10"/>
    <s v="GBPR_IND_BIO"/>
    <x v="0"/>
    <x v="3"/>
    <n v="1290.45454545455"/>
    <n v="471015.909090909"/>
    <n v="1695657.2727272699"/>
  </r>
  <r>
    <x v="0"/>
    <x v="0"/>
    <x v="0"/>
    <x v="8"/>
    <x v="18"/>
    <s v="SE3A"/>
    <x v="10"/>
    <s v="GBPR_IND_BIO"/>
    <x v="0"/>
    <x v="4"/>
    <n v="1290.45454545455"/>
    <n v="471015.909090909"/>
    <n v="1695657.2727272699"/>
  </r>
  <r>
    <x v="0"/>
    <x v="0"/>
    <x v="0"/>
    <x v="8"/>
    <x v="18"/>
    <s v="SE3A"/>
    <x v="10"/>
    <s v="GBPR_IND_BIO"/>
    <x v="0"/>
    <x v="5"/>
    <n v="1290.45454545455"/>
    <n v="471015.909090909"/>
    <n v="1695657.2727272699"/>
  </r>
  <r>
    <x v="0"/>
    <x v="0"/>
    <x v="0"/>
    <x v="8"/>
    <x v="18"/>
    <s v="SE3A"/>
    <x v="10"/>
    <s v="GBPR_IND_BIO"/>
    <x v="0"/>
    <x v="6"/>
    <n v="1290.45454545455"/>
    <n v="471015.909090909"/>
    <n v="1695657.2727272699"/>
  </r>
  <r>
    <x v="0"/>
    <x v="0"/>
    <x v="0"/>
    <x v="8"/>
    <x v="18"/>
    <s v="SE3A"/>
    <x v="10"/>
    <s v="GBPR_IND_BIO"/>
    <x v="0"/>
    <x v="7"/>
    <n v="1290.45454545455"/>
    <n v="471015.909090909"/>
    <n v="1695657.2727272699"/>
  </r>
  <r>
    <x v="0"/>
    <x v="0"/>
    <x v="0"/>
    <x v="8"/>
    <x v="18"/>
    <s v="SE3A"/>
    <x v="10"/>
    <s v="GBPR_IND_BIO"/>
    <x v="0"/>
    <x v="8"/>
    <n v="1290.45454545455"/>
    <n v="471015.909090909"/>
    <n v="1695657.2727272699"/>
  </r>
  <r>
    <x v="0"/>
    <x v="0"/>
    <x v="0"/>
    <x v="8"/>
    <x v="18"/>
    <s v="SE3A"/>
    <x v="10"/>
    <s v="GBPR_IND_BIO"/>
    <x v="0"/>
    <x v="9"/>
    <n v="1290.45454545455"/>
    <n v="471015.909090909"/>
    <n v="1695657.2727272699"/>
  </r>
  <r>
    <x v="0"/>
    <x v="0"/>
    <x v="0"/>
    <x v="8"/>
    <x v="18"/>
    <s v="SE3A"/>
    <x v="10"/>
    <s v="GBPR_IND_BIO"/>
    <x v="0"/>
    <x v="10"/>
    <n v="1290.45454545455"/>
    <n v="471015.909090909"/>
    <n v="1695657.2727272699"/>
  </r>
  <r>
    <x v="0"/>
    <x v="0"/>
    <x v="0"/>
    <x v="8"/>
    <x v="18"/>
    <s v="SE3A"/>
    <x v="10"/>
    <s v="GBPR_IND_BIO"/>
    <x v="0"/>
    <x v="11"/>
    <n v="1290.45454545455"/>
    <n v="471015.909090909"/>
    <n v="1695657.2727272699"/>
  </r>
  <r>
    <x v="0"/>
    <x v="0"/>
    <x v="0"/>
    <x v="8"/>
    <x v="18"/>
    <s v="SE3A"/>
    <x v="10"/>
    <s v="GBPR_IND_BIO"/>
    <x v="0"/>
    <x v="12"/>
    <n v="1290.45454545455"/>
    <n v="471015.909090909"/>
    <n v="1695657.2727272699"/>
  </r>
  <r>
    <x v="0"/>
    <x v="0"/>
    <x v="0"/>
    <x v="8"/>
    <x v="18"/>
    <s v="SE3A"/>
    <x v="10"/>
    <s v="GBPR_IND_BIO"/>
    <x v="0"/>
    <x v="13"/>
    <n v="1290.45454545455"/>
    <n v="471015.909090909"/>
    <n v="1695657.2727272699"/>
  </r>
  <r>
    <x v="0"/>
    <x v="0"/>
    <x v="0"/>
    <x v="8"/>
    <x v="18"/>
    <s v="SE3A"/>
    <x v="10"/>
    <s v="GBPR_IND_BIO"/>
    <x v="0"/>
    <x v="14"/>
    <n v="1290.45454545455"/>
    <n v="471015.909090909"/>
    <n v="1695657.2727272699"/>
  </r>
  <r>
    <x v="0"/>
    <x v="0"/>
    <x v="0"/>
    <x v="8"/>
    <x v="18"/>
    <s v="SE3A"/>
    <x v="10"/>
    <s v="GBPR_IND_BIO"/>
    <x v="0"/>
    <x v="15"/>
    <n v="1290.45454545455"/>
    <n v="471015.909090909"/>
    <n v="1695657.2727272699"/>
  </r>
  <r>
    <x v="0"/>
    <x v="0"/>
    <x v="0"/>
    <x v="8"/>
    <x v="18"/>
    <s v="SE3A"/>
    <x v="10"/>
    <s v="GBPR_IND_BIO"/>
    <x v="0"/>
    <x v="16"/>
    <n v="1290.45454545455"/>
    <n v="471015.909090909"/>
    <n v="1695657.2727272699"/>
  </r>
  <r>
    <x v="0"/>
    <x v="0"/>
    <x v="0"/>
    <x v="8"/>
    <x v="18"/>
    <s v="SE3A"/>
    <x v="10"/>
    <s v="GBPR_IND_BIO"/>
    <x v="0"/>
    <x v="17"/>
    <n v="1290.45454545455"/>
    <n v="471015.909090909"/>
    <n v="1695657.2727272699"/>
  </r>
  <r>
    <x v="0"/>
    <x v="0"/>
    <x v="0"/>
    <x v="8"/>
    <x v="18"/>
    <s v="SE3A"/>
    <x v="10"/>
    <s v="GBPR_IND_BIO"/>
    <x v="0"/>
    <x v="18"/>
    <n v="1290.45454545455"/>
    <n v="471015.909090909"/>
    <n v="1695657.2727272699"/>
  </r>
  <r>
    <x v="0"/>
    <x v="0"/>
    <x v="0"/>
    <x v="8"/>
    <x v="18"/>
    <s v="SE3A"/>
    <x v="10"/>
    <s v="GBPR_IND_BIO"/>
    <x v="0"/>
    <x v="19"/>
    <n v="1290.45454545455"/>
    <n v="471015.909090909"/>
    <n v="1695657.2727272699"/>
  </r>
  <r>
    <x v="0"/>
    <x v="0"/>
    <x v="0"/>
    <x v="8"/>
    <x v="18"/>
    <s v="SE3A"/>
    <x v="10"/>
    <s v="GBPR_IND_BIO"/>
    <x v="0"/>
    <x v="20"/>
    <n v="1290.45454545455"/>
    <n v="471015.909090909"/>
    <n v="1695657.2727272699"/>
  </r>
  <r>
    <x v="0"/>
    <x v="0"/>
    <x v="0"/>
    <x v="8"/>
    <x v="18"/>
    <s v="SE3A"/>
    <x v="10"/>
    <s v="GBPR_IND_BIO"/>
    <x v="0"/>
    <x v="21"/>
    <n v="1290.45454545455"/>
    <n v="471015.909090909"/>
    <n v="1695657.2727272699"/>
  </r>
  <r>
    <x v="0"/>
    <x v="0"/>
    <x v="0"/>
    <x v="8"/>
    <x v="18"/>
    <s v="SE3A"/>
    <x v="10"/>
    <s v="GBPR_IND_BIO"/>
    <x v="0"/>
    <x v="22"/>
    <n v="1290.45454545455"/>
    <n v="471015.909090909"/>
    <n v="1695657.2727272699"/>
  </r>
  <r>
    <x v="0"/>
    <x v="0"/>
    <x v="0"/>
    <x v="8"/>
    <x v="18"/>
    <s v="SE3A"/>
    <x v="10"/>
    <s v="GBPR_IND_BIO"/>
    <x v="0"/>
    <x v="23"/>
    <n v="1290.45454545455"/>
    <n v="471015.909090909"/>
    <n v="1695657.2727272699"/>
  </r>
  <r>
    <x v="0"/>
    <x v="0"/>
    <x v="0"/>
    <x v="8"/>
    <x v="18"/>
    <s v="SE3_EL"/>
    <x v="2"/>
    <s v="GNR_HS_HEAT_WTR-TANK_LS_E-95_Y-2010"/>
    <x v="0"/>
    <x v="6"/>
    <n v="87.362545079405294"/>
    <n v="31887.328953982898"/>
    <n v="114794.384234339"/>
  </r>
  <r>
    <x v="0"/>
    <x v="0"/>
    <x v="0"/>
    <x v="8"/>
    <x v="18"/>
    <s v="SE3_EL"/>
    <x v="2"/>
    <s v="GNR_HS_HEAT_WTR-TANK_LS_E-95_Y-2010"/>
    <x v="0"/>
    <x v="7"/>
    <n v="311.451143990042"/>
    <n v="113679.66755636501"/>
    <n v="409246.80320291501"/>
  </r>
  <r>
    <x v="0"/>
    <x v="0"/>
    <x v="0"/>
    <x v="8"/>
    <x v="18"/>
    <s v="SE3_EL"/>
    <x v="2"/>
    <s v="GNR_HS_HEAT_WTR-TANK_LS_E-95_Y-2010"/>
    <x v="0"/>
    <x v="8"/>
    <n v="323.52851868268698"/>
    <n v="118087.909319181"/>
    <n v="425116.47354905098"/>
  </r>
  <r>
    <x v="0"/>
    <x v="0"/>
    <x v="0"/>
    <x v="8"/>
    <x v="18"/>
    <s v="SE3_EL"/>
    <x v="2"/>
    <s v="GNR_HS_HEAT_WTR-TANK_LS_E-95_Y-2010"/>
    <x v="0"/>
    <x v="9"/>
    <n v="305.33947458195001"/>
    <n v="111448.90822241201"/>
    <n v="401216.069600683"/>
  </r>
  <r>
    <x v="0"/>
    <x v="0"/>
    <x v="0"/>
    <x v="8"/>
    <x v="18"/>
    <s v="SE3_EL"/>
    <x v="2"/>
    <s v="GNR_HS_HEAT_WTR-TANK_LS_E-95_Y-2010"/>
    <x v="0"/>
    <x v="10"/>
    <n v="245.43755014240301"/>
    <n v="89584.705801977194"/>
    <n v="322504.94088711799"/>
  </r>
  <r>
    <x v="0"/>
    <x v="0"/>
    <x v="0"/>
    <x v="8"/>
    <x v="18"/>
    <s v="SE3_EL"/>
    <x v="2"/>
    <s v="GNR_HS_HEAT_WTR-TANK_LS_E-95_Y-2010"/>
    <x v="0"/>
    <x v="11"/>
    <n v="193.434095325215"/>
    <n v="70603.4447937035"/>
    <n v="254172.401257333"/>
  </r>
  <r>
    <x v="0"/>
    <x v="0"/>
    <x v="0"/>
    <x v="8"/>
    <x v="18"/>
    <s v="SE3_EL"/>
    <x v="2"/>
    <s v="GNR_HS_HEAT_WTR-TANK_LS_E-95_Y-2010"/>
    <x v="0"/>
    <x v="12"/>
    <n v="154.75401865837799"/>
    <n v="56485.216810308099"/>
    <n v="203346.780517109"/>
  </r>
  <r>
    <x v="0"/>
    <x v="0"/>
    <x v="0"/>
    <x v="8"/>
    <x v="18"/>
    <s v="SE3_EL"/>
    <x v="2"/>
    <s v="GNR_HS_HEAT_WTR-TANK_LS_E-95_Y-2010"/>
    <x v="0"/>
    <x v="13"/>
    <n v="122.427729855186"/>
    <n v="44686.121397142801"/>
    <n v="160870.037029714"/>
  </r>
  <r>
    <x v="0"/>
    <x v="0"/>
    <x v="0"/>
    <x v="8"/>
    <x v="18"/>
    <s v="SE3_EL"/>
    <x v="2"/>
    <s v="GNR_HS_HEAT_WTR-TANK_LS_E-95_Y-2010"/>
    <x v="0"/>
    <x v="14"/>
    <n v="95.210007379306106"/>
    <n v="34751.652693446697"/>
    <n v="125105.949696408"/>
  </r>
  <r>
    <x v="0"/>
    <x v="0"/>
    <x v="0"/>
    <x v="8"/>
    <x v="18"/>
    <s v="SE3_EL"/>
    <x v="2"/>
    <s v="GNR_HS_HEAT_WTR-TANK_LS_E-95_Y-2010"/>
    <x v="0"/>
    <x v="15"/>
    <n v="17.974710039906899"/>
    <n v="6560.7691645660198"/>
    <n v="23618.768992437701"/>
  </r>
  <r>
    <x v="0"/>
    <x v="0"/>
    <x v="0"/>
    <x v="8"/>
    <x v="18"/>
    <s v="SE3_EL"/>
    <x v="3"/>
    <s v="GBPR_MUNIWASTE_24"/>
    <x v="0"/>
    <x v="0"/>
    <n v="192.59186990200499"/>
    <n v="70296.032514232007"/>
    <n v="253065.717051235"/>
  </r>
  <r>
    <x v="0"/>
    <x v="0"/>
    <x v="0"/>
    <x v="8"/>
    <x v="18"/>
    <s v="SE3_EL"/>
    <x v="3"/>
    <s v="GBPR_MUNIWASTE_24"/>
    <x v="0"/>
    <x v="1"/>
    <n v="192.59186990200499"/>
    <n v="70296.032514232007"/>
    <n v="253065.717051235"/>
  </r>
  <r>
    <x v="0"/>
    <x v="0"/>
    <x v="0"/>
    <x v="8"/>
    <x v="18"/>
    <s v="SE3_EL"/>
    <x v="3"/>
    <s v="GBPR_MUNIWASTE_24"/>
    <x v="0"/>
    <x v="2"/>
    <n v="192.59186990200499"/>
    <n v="70296.032514232007"/>
    <n v="253065.717051235"/>
  </r>
  <r>
    <x v="0"/>
    <x v="0"/>
    <x v="0"/>
    <x v="8"/>
    <x v="18"/>
    <s v="SE3_EL"/>
    <x v="3"/>
    <s v="GBPR_MUNIWASTE_24"/>
    <x v="0"/>
    <x v="3"/>
    <n v="192.59186990200499"/>
    <n v="70296.032514232007"/>
    <n v="253065.717051235"/>
  </r>
  <r>
    <x v="0"/>
    <x v="0"/>
    <x v="0"/>
    <x v="8"/>
    <x v="18"/>
    <s v="SE3_EL"/>
    <x v="3"/>
    <s v="GBPR_MUNIWASTE_24"/>
    <x v="0"/>
    <x v="4"/>
    <n v="192.59186990200499"/>
    <n v="70296.032514232007"/>
    <n v="253065.717051235"/>
  </r>
  <r>
    <x v="0"/>
    <x v="0"/>
    <x v="0"/>
    <x v="8"/>
    <x v="18"/>
    <s v="SE3_EL"/>
    <x v="3"/>
    <s v="GBPR_MUNIWASTE_24"/>
    <x v="0"/>
    <x v="5"/>
    <n v="192.59186990200499"/>
    <n v="70296.032514232007"/>
    <n v="253065.717051235"/>
  </r>
  <r>
    <x v="0"/>
    <x v="0"/>
    <x v="0"/>
    <x v="8"/>
    <x v="18"/>
    <s v="SE3_EL"/>
    <x v="3"/>
    <s v="GBPR_MUNIWASTE_24"/>
    <x v="0"/>
    <x v="6"/>
    <n v="192.59186990200499"/>
    <n v="70296.032514232007"/>
    <n v="253065.717051235"/>
  </r>
  <r>
    <x v="0"/>
    <x v="0"/>
    <x v="0"/>
    <x v="8"/>
    <x v="18"/>
    <s v="SE3_EL"/>
    <x v="3"/>
    <s v="GBPR_MUNIWASTE_24"/>
    <x v="0"/>
    <x v="7"/>
    <n v="192.59186990200499"/>
    <n v="70296.032514232007"/>
    <n v="253065.717051235"/>
  </r>
  <r>
    <x v="0"/>
    <x v="0"/>
    <x v="0"/>
    <x v="8"/>
    <x v="18"/>
    <s v="SE3_EL"/>
    <x v="3"/>
    <s v="GBPR_MUNIWASTE_24"/>
    <x v="0"/>
    <x v="8"/>
    <n v="192.59186990200499"/>
    <n v="70296.032514232007"/>
    <n v="253065.717051235"/>
  </r>
  <r>
    <x v="0"/>
    <x v="0"/>
    <x v="0"/>
    <x v="8"/>
    <x v="18"/>
    <s v="SE3_EL"/>
    <x v="3"/>
    <s v="GBPR_MUNIWASTE_24"/>
    <x v="0"/>
    <x v="9"/>
    <n v="192.59186990200499"/>
    <n v="70296.032514232007"/>
    <n v="253065.717051235"/>
  </r>
  <r>
    <x v="0"/>
    <x v="0"/>
    <x v="0"/>
    <x v="8"/>
    <x v="18"/>
    <s v="SE3_EL"/>
    <x v="3"/>
    <s v="GBPR_MUNIWASTE_24"/>
    <x v="0"/>
    <x v="10"/>
    <n v="192.59186990200499"/>
    <n v="70296.032514232007"/>
    <n v="253065.717051235"/>
  </r>
  <r>
    <x v="0"/>
    <x v="0"/>
    <x v="0"/>
    <x v="8"/>
    <x v="18"/>
    <s v="SE3_EL"/>
    <x v="3"/>
    <s v="GBPR_MUNIWASTE_24"/>
    <x v="0"/>
    <x v="11"/>
    <n v="192.59186990200499"/>
    <n v="70296.032514232007"/>
    <n v="253065.717051235"/>
  </r>
  <r>
    <x v="0"/>
    <x v="0"/>
    <x v="0"/>
    <x v="8"/>
    <x v="18"/>
    <s v="SE3_EL"/>
    <x v="3"/>
    <s v="GBPR_MUNIWASTE_24"/>
    <x v="0"/>
    <x v="12"/>
    <n v="192.59186990200499"/>
    <n v="70296.032514232007"/>
    <n v="253065.717051235"/>
  </r>
  <r>
    <x v="0"/>
    <x v="0"/>
    <x v="0"/>
    <x v="8"/>
    <x v="18"/>
    <s v="SE3_EL"/>
    <x v="3"/>
    <s v="GBPR_MUNIWASTE_24"/>
    <x v="0"/>
    <x v="13"/>
    <n v="192.59186990200499"/>
    <n v="70296.032514232007"/>
    <n v="253065.717051235"/>
  </r>
  <r>
    <x v="0"/>
    <x v="0"/>
    <x v="0"/>
    <x v="8"/>
    <x v="18"/>
    <s v="SE3_EL"/>
    <x v="3"/>
    <s v="GBPR_MUNIWASTE_24"/>
    <x v="0"/>
    <x v="14"/>
    <n v="192.59186990200499"/>
    <n v="70296.032514232007"/>
    <n v="253065.717051235"/>
  </r>
  <r>
    <x v="0"/>
    <x v="0"/>
    <x v="0"/>
    <x v="8"/>
    <x v="18"/>
    <s v="SE3_EL"/>
    <x v="3"/>
    <s v="GBPR_MUNIWASTE_24"/>
    <x v="0"/>
    <x v="15"/>
    <n v="192.59186990200499"/>
    <n v="70296.032514232007"/>
    <n v="253065.717051235"/>
  </r>
  <r>
    <x v="0"/>
    <x v="0"/>
    <x v="0"/>
    <x v="8"/>
    <x v="18"/>
    <s v="SE3_EL"/>
    <x v="3"/>
    <s v="GBPR_MUNIWASTE_24"/>
    <x v="0"/>
    <x v="16"/>
    <n v="192.59186990200499"/>
    <n v="70296.032514232007"/>
    <n v="253065.717051235"/>
  </r>
  <r>
    <x v="0"/>
    <x v="0"/>
    <x v="0"/>
    <x v="8"/>
    <x v="18"/>
    <s v="SE3_EL"/>
    <x v="3"/>
    <s v="GBPR_MUNIWASTE_24"/>
    <x v="0"/>
    <x v="17"/>
    <n v="192.59186990200499"/>
    <n v="70296.032514232007"/>
    <n v="253065.717051235"/>
  </r>
  <r>
    <x v="0"/>
    <x v="0"/>
    <x v="0"/>
    <x v="8"/>
    <x v="18"/>
    <s v="SE3_EL"/>
    <x v="3"/>
    <s v="GBPR_MUNIWASTE_24"/>
    <x v="0"/>
    <x v="18"/>
    <n v="192.59186990200499"/>
    <n v="70296.032514232007"/>
    <n v="253065.717051235"/>
  </r>
  <r>
    <x v="0"/>
    <x v="0"/>
    <x v="0"/>
    <x v="8"/>
    <x v="18"/>
    <s v="SE3_EL"/>
    <x v="3"/>
    <s v="GBPR_MUNIWASTE_24"/>
    <x v="0"/>
    <x v="19"/>
    <n v="192.59186990200499"/>
    <n v="70296.032514232007"/>
    <n v="253065.717051235"/>
  </r>
  <r>
    <x v="0"/>
    <x v="0"/>
    <x v="0"/>
    <x v="8"/>
    <x v="18"/>
    <s v="SE3_EL"/>
    <x v="3"/>
    <s v="GBPR_MUNIWASTE_24"/>
    <x v="0"/>
    <x v="20"/>
    <n v="192.59186990200499"/>
    <n v="70296.032514232007"/>
    <n v="253065.717051235"/>
  </r>
  <r>
    <x v="0"/>
    <x v="0"/>
    <x v="0"/>
    <x v="8"/>
    <x v="18"/>
    <s v="SE3_EL"/>
    <x v="3"/>
    <s v="GBPR_MUNIWASTE_24"/>
    <x v="0"/>
    <x v="21"/>
    <n v="192.59186990200499"/>
    <n v="70296.032514232007"/>
    <n v="253065.717051235"/>
  </r>
  <r>
    <x v="0"/>
    <x v="0"/>
    <x v="0"/>
    <x v="8"/>
    <x v="18"/>
    <s v="SE3_EL"/>
    <x v="3"/>
    <s v="GBPR_MUNIWASTE_24"/>
    <x v="0"/>
    <x v="22"/>
    <n v="192.59186990200499"/>
    <n v="70296.032514232007"/>
    <n v="253065.717051235"/>
  </r>
  <r>
    <x v="0"/>
    <x v="0"/>
    <x v="0"/>
    <x v="8"/>
    <x v="18"/>
    <s v="SE3_EL"/>
    <x v="3"/>
    <s v="GBPR_MUNIWASTE_24"/>
    <x v="0"/>
    <x v="23"/>
    <n v="192.59186990200499"/>
    <n v="70296.032514232007"/>
    <n v="253065.717051235"/>
  </r>
  <r>
    <x v="0"/>
    <x v="0"/>
    <x v="0"/>
    <x v="8"/>
    <x v="18"/>
    <s v="SE3_EL"/>
    <x v="3"/>
    <s v="GBPR_MUNIWASTE_LINK"/>
    <x v="0"/>
    <x v="0"/>
    <n v="188.28514910205899"/>
    <n v="68724.079422251394"/>
    <n v="247406.685920105"/>
  </r>
  <r>
    <x v="0"/>
    <x v="0"/>
    <x v="0"/>
    <x v="8"/>
    <x v="18"/>
    <s v="SE3_EL"/>
    <x v="3"/>
    <s v="GBPR_MUNIWASTE_LINK"/>
    <x v="0"/>
    <x v="1"/>
    <n v="188.28514910205899"/>
    <n v="68724.079422251394"/>
    <n v="247406.685920105"/>
  </r>
  <r>
    <x v="0"/>
    <x v="0"/>
    <x v="0"/>
    <x v="8"/>
    <x v="18"/>
    <s v="SE3_EL"/>
    <x v="3"/>
    <s v="GBPR_MUNIWASTE_LINK"/>
    <x v="0"/>
    <x v="2"/>
    <n v="188.28514910205899"/>
    <n v="68724.079422251394"/>
    <n v="247406.685920105"/>
  </r>
  <r>
    <x v="0"/>
    <x v="0"/>
    <x v="0"/>
    <x v="8"/>
    <x v="18"/>
    <s v="SE3_EL"/>
    <x v="3"/>
    <s v="GBPR_MUNIWASTE_LINK"/>
    <x v="0"/>
    <x v="3"/>
    <n v="188.28514910205899"/>
    <n v="68724.079422251394"/>
    <n v="247406.685920105"/>
  </r>
  <r>
    <x v="0"/>
    <x v="0"/>
    <x v="0"/>
    <x v="8"/>
    <x v="18"/>
    <s v="SE3_EL"/>
    <x v="3"/>
    <s v="GBPR_MUNIWASTE_LINK"/>
    <x v="0"/>
    <x v="4"/>
    <n v="188.28514910205899"/>
    <n v="68724.079422251394"/>
    <n v="247406.685920105"/>
  </r>
  <r>
    <x v="0"/>
    <x v="0"/>
    <x v="0"/>
    <x v="8"/>
    <x v="18"/>
    <s v="SE3_EL"/>
    <x v="3"/>
    <s v="GBPR_MUNIWASTE_LINK"/>
    <x v="0"/>
    <x v="5"/>
    <n v="188.28514910205899"/>
    <n v="68724.079422251394"/>
    <n v="247406.685920105"/>
  </r>
  <r>
    <x v="0"/>
    <x v="0"/>
    <x v="0"/>
    <x v="8"/>
    <x v="18"/>
    <s v="SE3_EL"/>
    <x v="3"/>
    <s v="GBPR_MUNIWASTE_LINK"/>
    <x v="0"/>
    <x v="6"/>
    <n v="188.28514910205899"/>
    <n v="68724.079422251394"/>
    <n v="247406.685920105"/>
  </r>
  <r>
    <x v="0"/>
    <x v="0"/>
    <x v="0"/>
    <x v="8"/>
    <x v="18"/>
    <s v="SE3_EL"/>
    <x v="3"/>
    <s v="GBPR_MUNIWASTE_LINK"/>
    <x v="0"/>
    <x v="7"/>
    <n v="188.28514910205899"/>
    <n v="68724.079422251394"/>
    <n v="247406.685920105"/>
  </r>
  <r>
    <x v="0"/>
    <x v="0"/>
    <x v="0"/>
    <x v="8"/>
    <x v="18"/>
    <s v="SE3_EL"/>
    <x v="3"/>
    <s v="GBPR_MUNIWASTE_LINK"/>
    <x v="0"/>
    <x v="8"/>
    <n v="188.28514910205899"/>
    <n v="68724.079422251394"/>
    <n v="247406.685920105"/>
  </r>
  <r>
    <x v="0"/>
    <x v="0"/>
    <x v="0"/>
    <x v="8"/>
    <x v="18"/>
    <s v="SE3_EL"/>
    <x v="3"/>
    <s v="GBPR_MUNIWASTE_LINK"/>
    <x v="0"/>
    <x v="9"/>
    <n v="188.28514910205899"/>
    <n v="68724.079422251394"/>
    <n v="247406.685920105"/>
  </r>
  <r>
    <x v="0"/>
    <x v="0"/>
    <x v="0"/>
    <x v="8"/>
    <x v="18"/>
    <s v="SE3_EL"/>
    <x v="3"/>
    <s v="GBPR_MUNIWASTE_LINK"/>
    <x v="0"/>
    <x v="10"/>
    <n v="188.28514910205899"/>
    <n v="68724.079422251394"/>
    <n v="247406.685920105"/>
  </r>
  <r>
    <x v="0"/>
    <x v="0"/>
    <x v="0"/>
    <x v="8"/>
    <x v="18"/>
    <s v="SE3_EL"/>
    <x v="3"/>
    <s v="GBPR_MUNIWASTE_LINK"/>
    <x v="0"/>
    <x v="11"/>
    <n v="188.28514910205899"/>
    <n v="68724.079422251394"/>
    <n v="247406.685920105"/>
  </r>
  <r>
    <x v="0"/>
    <x v="0"/>
    <x v="0"/>
    <x v="8"/>
    <x v="18"/>
    <s v="SE3_EL"/>
    <x v="3"/>
    <s v="GBPR_MUNIWASTE_LINK"/>
    <x v="0"/>
    <x v="12"/>
    <n v="188.28514910205899"/>
    <n v="68724.079422251394"/>
    <n v="247406.685920105"/>
  </r>
  <r>
    <x v="0"/>
    <x v="0"/>
    <x v="0"/>
    <x v="8"/>
    <x v="18"/>
    <s v="SE3_EL"/>
    <x v="3"/>
    <s v="GBPR_MUNIWASTE_LINK"/>
    <x v="0"/>
    <x v="13"/>
    <n v="188.28514910205899"/>
    <n v="68724.079422251394"/>
    <n v="247406.685920105"/>
  </r>
  <r>
    <x v="0"/>
    <x v="0"/>
    <x v="0"/>
    <x v="8"/>
    <x v="18"/>
    <s v="SE3_EL"/>
    <x v="3"/>
    <s v="GBPR_MUNIWASTE_LINK"/>
    <x v="0"/>
    <x v="14"/>
    <n v="188.28514910205899"/>
    <n v="68724.079422251394"/>
    <n v="247406.685920105"/>
  </r>
  <r>
    <x v="0"/>
    <x v="0"/>
    <x v="0"/>
    <x v="8"/>
    <x v="18"/>
    <s v="SE3_EL"/>
    <x v="3"/>
    <s v="GBPR_MUNIWASTE_LINK"/>
    <x v="0"/>
    <x v="15"/>
    <n v="188.28514910205899"/>
    <n v="68724.079422251394"/>
    <n v="247406.685920105"/>
  </r>
  <r>
    <x v="0"/>
    <x v="0"/>
    <x v="0"/>
    <x v="8"/>
    <x v="18"/>
    <s v="SE3_EL"/>
    <x v="3"/>
    <s v="GBPR_MUNIWASTE_LINK"/>
    <x v="0"/>
    <x v="16"/>
    <n v="188.28514910205899"/>
    <n v="68724.079422251394"/>
    <n v="247406.685920105"/>
  </r>
  <r>
    <x v="0"/>
    <x v="0"/>
    <x v="0"/>
    <x v="8"/>
    <x v="18"/>
    <s v="SE3_EL"/>
    <x v="3"/>
    <s v="GBPR_MUNIWASTE_LINK"/>
    <x v="0"/>
    <x v="17"/>
    <n v="188.28514910205899"/>
    <n v="68724.079422251394"/>
    <n v="247406.685920105"/>
  </r>
  <r>
    <x v="0"/>
    <x v="0"/>
    <x v="0"/>
    <x v="8"/>
    <x v="18"/>
    <s v="SE3_EL"/>
    <x v="3"/>
    <s v="GBPR_MUNIWASTE_LINK"/>
    <x v="0"/>
    <x v="18"/>
    <n v="188.28514910205899"/>
    <n v="68724.079422251394"/>
    <n v="247406.685920105"/>
  </r>
  <r>
    <x v="0"/>
    <x v="0"/>
    <x v="0"/>
    <x v="8"/>
    <x v="18"/>
    <s v="SE3_EL"/>
    <x v="3"/>
    <s v="GBPR_MUNIWASTE_LINK"/>
    <x v="0"/>
    <x v="19"/>
    <n v="188.28514910205899"/>
    <n v="68724.079422251394"/>
    <n v="247406.685920105"/>
  </r>
  <r>
    <x v="0"/>
    <x v="0"/>
    <x v="0"/>
    <x v="8"/>
    <x v="18"/>
    <s v="SE3_EL"/>
    <x v="3"/>
    <s v="GBPR_MUNIWASTE_LINK"/>
    <x v="0"/>
    <x v="20"/>
    <n v="188.28514910205899"/>
    <n v="68724.079422251394"/>
    <n v="247406.685920105"/>
  </r>
  <r>
    <x v="0"/>
    <x v="0"/>
    <x v="0"/>
    <x v="8"/>
    <x v="18"/>
    <s v="SE3_EL"/>
    <x v="3"/>
    <s v="GBPR_MUNIWASTE_LINK"/>
    <x v="0"/>
    <x v="21"/>
    <n v="188.28514910205899"/>
    <n v="68724.079422251394"/>
    <n v="247406.685920105"/>
  </r>
  <r>
    <x v="0"/>
    <x v="0"/>
    <x v="0"/>
    <x v="8"/>
    <x v="18"/>
    <s v="SE3_EL"/>
    <x v="3"/>
    <s v="GBPR_MUNIWASTE_LINK"/>
    <x v="0"/>
    <x v="22"/>
    <n v="188.28514910205899"/>
    <n v="68724.079422251394"/>
    <n v="247406.685920105"/>
  </r>
  <r>
    <x v="0"/>
    <x v="0"/>
    <x v="0"/>
    <x v="8"/>
    <x v="18"/>
    <s v="SE3_EL"/>
    <x v="3"/>
    <s v="GBPR_MUNIWASTE_LINK"/>
    <x v="0"/>
    <x v="23"/>
    <n v="188.28514910205899"/>
    <n v="68724.079422251394"/>
    <n v="247406.685920105"/>
  </r>
  <r>
    <x v="0"/>
    <x v="0"/>
    <x v="0"/>
    <x v="8"/>
    <x v="18"/>
    <s v="SE3_EL"/>
    <x v="3"/>
    <s v="GHOB_MUNIWASTE"/>
    <x v="0"/>
    <x v="0"/>
    <n v="177.805177716998"/>
    <n v="64898.889866704398"/>
    <n v="233636.003520136"/>
  </r>
  <r>
    <x v="0"/>
    <x v="0"/>
    <x v="0"/>
    <x v="8"/>
    <x v="18"/>
    <s v="SE3_EL"/>
    <x v="3"/>
    <s v="GHOB_MUNIWASTE"/>
    <x v="0"/>
    <x v="1"/>
    <n v="177.805177716998"/>
    <n v="64898.889866704398"/>
    <n v="233636.003520136"/>
  </r>
  <r>
    <x v="0"/>
    <x v="0"/>
    <x v="0"/>
    <x v="8"/>
    <x v="18"/>
    <s v="SE3_EL"/>
    <x v="3"/>
    <s v="GHOB_MUNIWASTE"/>
    <x v="0"/>
    <x v="2"/>
    <n v="177.805177716998"/>
    <n v="64898.889866704398"/>
    <n v="233636.003520136"/>
  </r>
  <r>
    <x v="0"/>
    <x v="0"/>
    <x v="0"/>
    <x v="8"/>
    <x v="18"/>
    <s v="SE3_EL"/>
    <x v="3"/>
    <s v="GHOB_MUNIWASTE"/>
    <x v="0"/>
    <x v="3"/>
    <n v="177.805177716998"/>
    <n v="64898.889866704398"/>
    <n v="233636.003520136"/>
  </r>
  <r>
    <x v="0"/>
    <x v="0"/>
    <x v="0"/>
    <x v="8"/>
    <x v="18"/>
    <s v="SE3_EL"/>
    <x v="3"/>
    <s v="GHOB_MUNIWASTE"/>
    <x v="0"/>
    <x v="4"/>
    <n v="177.805177716998"/>
    <n v="64898.889866704398"/>
    <n v="233636.003520136"/>
  </r>
  <r>
    <x v="0"/>
    <x v="0"/>
    <x v="0"/>
    <x v="8"/>
    <x v="18"/>
    <s v="SE3_EL"/>
    <x v="3"/>
    <s v="GHOB_MUNIWASTE"/>
    <x v="0"/>
    <x v="5"/>
    <n v="177.805177716998"/>
    <n v="64898.889866704398"/>
    <n v="233636.003520136"/>
  </r>
  <r>
    <x v="0"/>
    <x v="0"/>
    <x v="0"/>
    <x v="8"/>
    <x v="18"/>
    <s v="SE3_EL"/>
    <x v="3"/>
    <s v="GHOB_MUNIWASTE"/>
    <x v="0"/>
    <x v="6"/>
    <n v="177.805177716998"/>
    <n v="64898.889866704398"/>
    <n v="233636.003520136"/>
  </r>
  <r>
    <x v="0"/>
    <x v="0"/>
    <x v="0"/>
    <x v="8"/>
    <x v="18"/>
    <s v="SE3_EL"/>
    <x v="3"/>
    <s v="GHOB_MUNIWASTE"/>
    <x v="0"/>
    <x v="7"/>
    <n v="177.805177716998"/>
    <n v="64898.889866704398"/>
    <n v="233636.003520136"/>
  </r>
  <r>
    <x v="0"/>
    <x v="0"/>
    <x v="0"/>
    <x v="8"/>
    <x v="18"/>
    <s v="SE3_EL"/>
    <x v="3"/>
    <s v="GHOB_MUNIWASTE"/>
    <x v="0"/>
    <x v="8"/>
    <n v="177.805177716998"/>
    <n v="64898.889866704398"/>
    <n v="233636.003520136"/>
  </r>
  <r>
    <x v="0"/>
    <x v="0"/>
    <x v="0"/>
    <x v="8"/>
    <x v="18"/>
    <s v="SE3_EL"/>
    <x v="3"/>
    <s v="GHOB_MUNIWASTE"/>
    <x v="0"/>
    <x v="9"/>
    <n v="177.805177716998"/>
    <n v="64898.889866704398"/>
    <n v="233636.003520136"/>
  </r>
  <r>
    <x v="0"/>
    <x v="0"/>
    <x v="0"/>
    <x v="8"/>
    <x v="18"/>
    <s v="SE3_EL"/>
    <x v="3"/>
    <s v="GHOB_MUNIWASTE"/>
    <x v="0"/>
    <x v="10"/>
    <n v="177.805177716998"/>
    <n v="64898.889866704398"/>
    <n v="233636.003520136"/>
  </r>
  <r>
    <x v="0"/>
    <x v="0"/>
    <x v="0"/>
    <x v="8"/>
    <x v="18"/>
    <s v="SE3_EL"/>
    <x v="3"/>
    <s v="GHOB_MUNIWASTE"/>
    <x v="0"/>
    <x v="11"/>
    <n v="177.805177716998"/>
    <n v="64898.889866704398"/>
    <n v="233636.003520136"/>
  </r>
  <r>
    <x v="0"/>
    <x v="0"/>
    <x v="0"/>
    <x v="8"/>
    <x v="18"/>
    <s v="SE3_EL"/>
    <x v="3"/>
    <s v="GHOB_MUNIWASTE"/>
    <x v="0"/>
    <x v="12"/>
    <n v="177.805177716998"/>
    <n v="64898.889866704398"/>
    <n v="233636.003520136"/>
  </r>
  <r>
    <x v="0"/>
    <x v="0"/>
    <x v="0"/>
    <x v="8"/>
    <x v="18"/>
    <s v="SE3_EL"/>
    <x v="3"/>
    <s v="GHOB_MUNIWASTE"/>
    <x v="0"/>
    <x v="13"/>
    <n v="177.805177716998"/>
    <n v="64898.889866704398"/>
    <n v="233636.003520136"/>
  </r>
  <r>
    <x v="0"/>
    <x v="0"/>
    <x v="0"/>
    <x v="8"/>
    <x v="18"/>
    <s v="SE3_EL"/>
    <x v="3"/>
    <s v="GHOB_MUNIWASTE"/>
    <x v="0"/>
    <x v="14"/>
    <n v="177.805177716998"/>
    <n v="64898.889866704398"/>
    <n v="233636.003520136"/>
  </r>
  <r>
    <x v="0"/>
    <x v="0"/>
    <x v="0"/>
    <x v="8"/>
    <x v="18"/>
    <s v="SE3_EL"/>
    <x v="3"/>
    <s v="GHOB_MUNIWASTE"/>
    <x v="0"/>
    <x v="15"/>
    <n v="177.805177716998"/>
    <n v="64898.889866704398"/>
    <n v="233636.003520136"/>
  </r>
  <r>
    <x v="0"/>
    <x v="0"/>
    <x v="0"/>
    <x v="8"/>
    <x v="18"/>
    <s v="SE3_EL"/>
    <x v="3"/>
    <s v="GHOB_MUNIWASTE"/>
    <x v="0"/>
    <x v="16"/>
    <n v="177.805177716998"/>
    <n v="64898.889866704398"/>
    <n v="233636.003520136"/>
  </r>
  <r>
    <x v="0"/>
    <x v="0"/>
    <x v="0"/>
    <x v="8"/>
    <x v="18"/>
    <s v="SE3_EL"/>
    <x v="3"/>
    <s v="GHOB_MUNIWASTE"/>
    <x v="0"/>
    <x v="17"/>
    <n v="177.805177716998"/>
    <n v="64898.889866704398"/>
    <n v="233636.003520136"/>
  </r>
  <r>
    <x v="0"/>
    <x v="0"/>
    <x v="0"/>
    <x v="8"/>
    <x v="18"/>
    <s v="SE3_EL"/>
    <x v="3"/>
    <s v="GHOB_MUNIWASTE"/>
    <x v="0"/>
    <x v="18"/>
    <n v="177.805177716998"/>
    <n v="64898.889866704398"/>
    <n v="233636.003520136"/>
  </r>
  <r>
    <x v="0"/>
    <x v="0"/>
    <x v="0"/>
    <x v="8"/>
    <x v="18"/>
    <s v="SE3_EL"/>
    <x v="3"/>
    <s v="GHOB_MUNIWASTE"/>
    <x v="0"/>
    <x v="19"/>
    <n v="177.805177716998"/>
    <n v="64898.889866704398"/>
    <n v="233636.003520136"/>
  </r>
  <r>
    <x v="0"/>
    <x v="0"/>
    <x v="0"/>
    <x v="8"/>
    <x v="18"/>
    <s v="SE3_EL"/>
    <x v="3"/>
    <s v="GHOB_MUNIWASTE"/>
    <x v="0"/>
    <x v="20"/>
    <n v="177.805177716998"/>
    <n v="64898.889866704398"/>
    <n v="233636.003520136"/>
  </r>
  <r>
    <x v="0"/>
    <x v="0"/>
    <x v="0"/>
    <x v="8"/>
    <x v="18"/>
    <s v="SE3_EL"/>
    <x v="3"/>
    <s v="GHOB_MUNIWASTE"/>
    <x v="0"/>
    <x v="21"/>
    <n v="177.805177716998"/>
    <n v="64898.889866704398"/>
    <n v="233636.003520136"/>
  </r>
  <r>
    <x v="0"/>
    <x v="0"/>
    <x v="0"/>
    <x v="8"/>
    <x v="18"/>
    <s v="SE3_EL"/>
    <x v="3"/>
    <s v="GHOB_MUNIWASTE"/>
    <x v="0"/>
    <x v="22"/>
    <n v="177.805177716998"/>
    <n v="64898.889866704398"/>
    <n v="233636.003520136"/>
  </r>
  <r>
    <x v="0"/>
    <x v="0"/>
    <x v="0"/>
    <x v="8"/>
    <x v="18"/>
    <s v="SE3_EL"/>
    <x v="3"/>
    <s v="GHOB_MUNIWASTE"/>
    <x v="0"/>
    <x v="23"/>
    <n v="177.805177716998"/>
    <n v="64898.889866704398"/>
    <n v="233636.003520136"/>
  </r>
  <r>
    <x v="0"/>
    <x v="0"/>
    <x v="0"/>
    <x v="8"/>
    <x v="18"/>
    <s v="SE3_EL"/>
    <x v="15"/>
    <s v="GBPR_RECYCLEDWOOD_SE3EL"/>
    <x v="0"/>
    <x v="0"/>
    <n v="136.85232592368899"/>
    <n v="49951.098962146702"/>
    <n v="179823.956263728"/>
  </r>
  <r>
    <x v="0"/>
    <x v="0"/>
    <x v="0"/>
    <x v="8"/>
    <x v="18"/>
    <s v="SE3_EL"/>
    <x v="15"/>
    <s v="GBPR_RECYCLEDWOOD_SE3EL"/>
    <x v="0"/>
    <x v="1"/>
    <n v="136.85232592368899"/>
    <n v="49951.098962146702"/>
    <n v="179823.956263728"/>
  </r>
  <r>
    <x v="0"/>
    <x v="0"/>
    <x v="0"/>
    <x v="8"/>
    <x v="18"/>
    <s v="SE3_EL"/>
    <x v="15"/>
    <s v="GBPR_RECYCLEDWOOD_SE3EL"/>
    <x v="0"/>
    <x v="2"/>
    <n v="136.85232592368899"/>
    <n v="49951.098962146702"/>
    <n v="179823.956263728"/>
  </r>
  <r>
    <x v="0"/>
    <x v="0"/>
    <x v="0"/>
    <x v="8"/>
    <x v="18"/>
    <s v="SE3_EL"/>
    <x v="15"/>
    <s v="GBPR_RECYCLEDWOOD_SE3EL"/>
    <x v="0"/>
    <x v="3"/>
    <n v="136.85232592368899"/>
    <n v="49951.098962146702"/>
    <n v="179823.956263728"/>
  </r>
  <r>
    <x v="0"/>
    <x v="0"/>
    <x v="0"/>
    <x v="8"/>
    <x v="18"/>
    <s v="SE3_EL"/>
    <x v="15"/>
    <s v="GBPR_RECYCLEDWOOD_SE3EL"/>
    <x v="0"/>
    <x v="4"/>
    <n v="136.85232592368899"/>
    <n v="49951.098962146702"/>
    <n v="179823.956263728"/>
  </r>
  <r>
    <x v="0"/>
    <x v="0"/>
    <x v="0"/>
    <x v="8"/>
    <x v="18"/>
    <s v="SE3_EL"/>
    <x v="15"/>
    <s v="GBPR_RECYCLEDWOOD_SE3EL"/>
    <x v="0"/>
    <x v="5"/>
    <n v="136.85232592368899"/>
    <n v="49951.098962146702"/>
    <n v="179823.956263728"/>
  </r>
  <r>
    <x v="0"/>
    <x v="0"/>
    <x v="0"/>
    <x v="8"/>
    <x v="18"/>
    <s v="SE3_EL"/>
    <x v="15"/>
    <s v="GBPR_RECYCLEDWOOD_SE3EL"/>
    <x v="0"/>
    <x v="6"/>
    <n v="136.85232592368899"/>
    <n v="49951.098962146702"/>
    <n v="179823.956263728"/>
  </r>
  <r>
    <x v="0"/>
    <x v="0"/>
    <x v="0"/>
    <x v="8"/>
    <x v="18"/>
    <s v="SE3_EL"/>
    <x v="15"/>
    <s v="GBPR_RECYCLEDWOOD_SE3EL"/>
    <x v="0"/>
    <x v="7"/>
    <n v="136.85232592368899"/>
    <n v="49951.098962146702"/>
    <n v="179823.956263728"/>
  </r>
  <r>
    <x v="0"/>
    <x v="0"/>
    <x v="0"/>
    <x v="8"/>
    <x v="18"/>
    <s v="SE3_EL"/>
    <x v="15"/>
    <s v="GBPR_RECYCLEDWOOD_SE3EL"/>
    <x v="0"/>
    <x v="8"/>
    <n v="136.85232592368899"/>
    <n v="49951.098962146702"/>
    <n v="179823.956263728"/>
  </r>
  <r>
    <x v="0"/>
    <x v="0"/>
    <x v="0"/>
    <x v="8"/>
    <x v="18"/>
    <s v="SE3_EL"/>
    <x v="15"/>
    <s v="GBPR_RECYCLEDWOOD_SE3EL"/>
    <x v="0"/>
    <x v="9"/>
    <n v="136.85232592368899"/>
    <n v="49951.098962146702"/>
    <n v="179823.956263728"/>
  </r>
  <r>
    <x v="0"/>
    <x v="0"/>
    <x v="0"/>
    <x v="8"/>
    <x v="18"/>
    <s v="SE3_EL"/>
    <x v="15"/>
    <s v="GBPR_RECYCLEDWOOD_SE3EL"/>
    <x v="0"/>
    <x v="10"/>
    <n v="136.85232592368899"/>
    <n v="49951.098962146702"/>
    <n v="179823.956263728"/>
  </r>
  <r>
    <x v="0"/>
    <x v="0"/>
    <x v="0"/>
    <x v="8"/>
    <x v="18"/>
    <s v="SE3_EL"/>
    <x v="15"/>
    <s v="GBPR_RECYCLEDWOOD_SE3EL"/>
    <x v="0"/>
    <x v="11"/>
    <n v="136.85232592368899"/>
    <n v="49951.098962146702"/>
    <n v="179823.956263728"/>
  </r>
  <r>
    <x v="0"/>
    <x v="0"/>
    <x v="0"/>
    <x v="8"/>
    <x v="18"/>
    <s v="SE3_EL"/>
    <x v="15"/>
    <s v="GBPR_RECYCLEDWOOD_SE3EL"/>
    <x v="0"/>
    <x v="12"/>
    <n v="136.85232592368899"/>
    <n v="49951.098962146702"/>
    <n v="179823.956263728"/>
  </r>
  <r>
    <x v="0"/>
    <x v="0"/>
    <x v="0"/>
    <x v="8"/>
    <x v="18"/>
    <s v="SE3_EL"/>
    <x v="15"/>
    <s v="GBPR_RECYCLEDWOOD_SE3EL"/>
    <x v="0"/>
    <x v="13"/>
    <n v="136.85232592368899"/>
    <n v="49951.098962146702"/>
    <n v="179823.956263728"/>
  </r>
  <r>
    <x v="0"/>
    <x v="0"/>
    <x v="0"/>
    <x v="8"/>
    <x v="18"/>
    <s v="SE3_EL"/>
    <x v="15"/>
    <s v="GBPR_RECYCLEDWOOD_SE3EL"/>
    <x v="0"/>
    <x v="14"/>
    <n v="136.85232592368899"/>
    <n v="49951.098962146702"/>
    <n v="179823.956263728"/>
  </r>
  <r>
    <x v="0"/>
    <x v="0"/>
    <x v="0"/>
    <x v="8"/>
    <x v="18"/>
    <s v="SE3_EL"/>
    <x v="15"/>
    <s v="GBPR_RECYCLEDWOOD_SE3EL"/>
    <x v="0"/>
    <x v="15"/>
    <n v="136.85232592368899"/>
    <n v="49951.098962146702"/>
    <n v="179823.956263728"/>
  </r>
  <r>
    <x v="0"/>
    <x v="0"/>
    <x v="0"/>
    <x v="8"/>
    <x v="18"/>
    <s v="SE3_EL"/>
    <x v="15"/>
    <s v="GBPR_RECYCLEDWOOD_SE3EL"/>
    <x v="0"/>
    <x v="16"/>
    <n v="136.85232592368899"/>
    <n v="49951.098962146702"/>
    <n v="179823.956263728"/>
  </r>
  <r>
    <x v="0"/>
    <x v="0"/>
    <x v="0"/>
    <x v="8"/>
    <x v="18"/>
    <s v="SE3_EL"/>
    <x v="15"/>
    <s v="GBPR_RECYCLEDWOOD_SE3EL"/>
    <x v="0"/>
    <x v="17"/>
    <n v="136.85232592368899"/>
    <n v="49951.098962146702"/>
    <n v="179823.956263728"/>
  </r>
  <r>
    <x v="0"/>
    <x v="0"/>
    <x v="0"/>
    <x v="8"/>
    <x v="18"/>
    <s v="SE3_EL"/>
    <x v="15"/>
    <s v="GBPR_RECYCLEDWOOD_SE3EL"/>
    <x v="0"/>
    <x v="18"/>
    <n v="136.85232592368899"/>
    <n v="49951.098962146702"/>
    <n v="179823.956263728"/>
  </r>
  <r>
    <x v="0"/>
    <x v="0"/>
    <x v="0"/>
    <x v="8"/>
    <x v="18"/>
    <s v="SE3_EL"/>
    <x v="15"/>
    <s v="GBPR_RECYCLEDWOOD_SE3EL"/>
    <x v="0"/>
    <x v="19"/>
    <n v="136.85232592368899"/>
    <n v="49951.098962146702"/>
    <n v="179823.956263728"/>
  </r>
  <r>
    <x v="0"/>
    <x v="0"/>
    <x v="0"/>
    <x v="8"/>
    <x v="18"/>
    <s v="SE3_EL"/>
    <x v="15"/>
    <s v="GBPR_RECYCLEDWOOD_SE3EL"/>
    <x v="0"/>
    <x v="20"/>
    <n v="136.85232592368899"/>
    <n v="49951.098962146702"/>
    <n v="179823.956263728"/>
  </r>
  <r>
    <x v="0"/>
    <x v="0"/>
    <x v="0"/>
    <x v="8"/>
    <x v="18"/>
    <s v="SE3_EL"/>
    <x v="15"/>
    <s v="GBPR_RECYCLEDWOOD_SE3EL"/>
    <x v="0"/>
    <x v="21"/>
    <n v="136.85232592368899"/>
    <n v="49951.098962146702"/>
    <n v="179823.956263728"/>
  </r>
  <r>
    <x v="0"/>
    <x v="0"/>
    <x v="0"/>
    <x v="8"/>
    <x v="18"/>
    <s v="SE3_EL"/>
    <x v="15"/>
    <s v="GBPR_RECYCLEDWOOD_SE3EL"/>
    <x v="0"/>
    <x v="22"/>
    <n v="136.85232592368899"/>
    <n v="49951.098962146702"/>
    <n v="179823.956263728"/>
  </r>
  <r>
    <x v="0"/>
    <x v="0"/>
    <x v="0"/>
    <x v="8"/>
    <x v="18"/>
    <s v="SE3_EL"/>
    <x v="15"/>
    <s v="GBPR_RECYCLEDWOOD_SE3EL"/>
    <x v="0"/>
    <x v="23"/>
    <n v="136.85232592368899"/>
    <n v="49951.098962146702"/>
    <n v="179823.956263728"/>
  </r>
  <r>
    <x v="0"/>
    <x v="0"/>
    <x v="0"/>
    <x v="8"/>
    <x v="18"/>
    <s v="SE3_EL"/>
    <x v="15"/>
    <s v="GHOB_RECYCLEDWOOD"/>
    <x v="0"/>
    <x v="6"/>
    <n v="106.782683012259"/>
    <n v="38975.679299474599"/>
    <n v="140312.445478109"/>
  </r>
  <r>
    <x v="0"/>
    <x v="0"/>
    <x v="0"/>
    <x v="8"/>
    <x v="18"/>
    <s v="SE3_EL"/>
    <x v="15"/>
    <s v="GHOB_RECYCLEDWOOD"/>
    <x v="0"/>
    <x v="15"/>
    <n v="64.728684231929194"/>
    <n v="23625.969744654201"/>
    <n v="85053.491080755004"/>
  </r>
  <r>
    <x v="0"/>
    <x v="0"/>
    <x v="0"/>
    <x v="8"/>
    <x v="18"/>
    <s v="SE3_EL"/>
    <x v="15"/>
    <s v="GHOB_RECYCLEDWOOD"/>
    <x v="0"/>
    <x v="16"/>
    <n v="28.867263416146798"/>
    <n v="10536.5511468936"/>
    <n v="37931.584128816801"/>
  </r>
  <r>
    <x v="0"/>
    <x v="0"/>
    <x v="0"/>
    <x v="8"/>
    <x v="18"/>
    <s v="SE3_EL"/>
    <x v="6"/>
    <s v="GHOB_WASTEHEAT"/>
    <x v="0"/>
    <x v="0"/>
    <n v="27.2206959706959"/>
    <n v="9935.5540293039903"/>
    <n v="35767.994505494396"/>
  </r>
  <r>
    <x v="0"/>
    <x v="0"/>
    <x v="0"/>
    <x v="8"/>
    <x v="18"/>
    <s v="SE3_EL"/>
    <x v="6"/>
    <s v="GHOB_WASTEHEAT"/>
    <x v="0"/>
    <x v="1"/>
    <n v="27.2206959706959"/>
    <n v="9935.5540293039903"/>
    <n v="35767.994505494396"/>
  </r>
  <r>
    <x v="0"/>
    <x v="0"/>
    <x v="0"/>
    <x v="8"/>
    <x v="18"/>
    <s v="SE3_EL"/>
    <x v="6"/>
    <s v="GHOB_WASTEHEAT"/>
    <x v="0"/>
    <x v="2"/>
    <n v="27.2206959706959"/>
    <n v="9935.5540293039903"/>
    <n v="35767.994505494396"/>
  </r>
  <r>
    <x v="0"/>
    <x v="0"/>
    <x v="0"/>
    <x v="8"/>
    <x v="18"/>
    <s v="SE3_EL"/>
    <x v="6"/>
    <s v="GHOB_WASTEHEAT"/>
    <x v="0"/>
    <x v="3"/>
    <n v="27.2206959706959"/>
    <n v="9935.5540293039903"/>
    <n v="35767.994505494396"/>
  </r>
  <r>
    <x v="0"/>
    <x v="0"/>
    <x v="0"/>
    <x v="8"/>
    <x v="18"/>
    <s v="SE3_EL"/>
    <x v="6"/>
    <s v="GHOB_WASTEHEAT"/>
    <x v="0"/>
    <x v="4"/>
    <n v="27.2206959706959"/>
    <n v="9935.5540293039903"/>
    <n v="35767.994505494396"/>
  </r>
  <r>
    <x v="0"/>
    <x v="0"/>
    <x v="0"/>
    <x v="8"/>
    <x v="18"/>
    <s v="SE3_EL"/>
    <x v="6"/>
    <s v="GHOB_WASTEHEAT"/>
    <x v="0"/>
    <x v="5"/>
    <n v="27.2206959706959"/>
    <n v="9935.5540293039903"/>
    <n v="35767.994505494396"/>
  </r>
  <r>
    <x v="0"/>
    <x v="0"/>
    <x v="0"/>
    <x v="8"/>
    <x v="18"/>
    <s v="SE3_EL"/>
    <x v="6"/>
    <s v="GHOB_WASTEHEAT"/>
    <x v="0"/>
    <x v="6"/>
    <n v="27.2206959706959"/>
    <n v="9935.5540293039903"/>
    <n v="35767.994505494396"/>
  </r>
  <r>
    <x v="0"/>
    <x v="0"/>
    <x v="0"/>
    <x v="8"/>
    <x v="18"/>
    <s v="SE3_EL"/>
    <x v="6"/>
    <s v="GHOB_WASTEHEAT"/>
    <x v="0"/>
    <x v="7"/>
    <n v="27.2206959706959"/>
    <n v="9935.5540293039903"/>
    <n v="35767.994505494396"/>
  </r>
  <r>
    <x v="0"/>
    <x v="0"/>
    <x v="0"/>
    <x v="8"/>
    <x v="18"/>
    <s v="SE3_EL"/>
    <x v="6"/>
    <s v="GHOB_WASTEHEAT"/>
    <x v="0"/>
    <x v="8"/>
    <n v="27.2206959706959"/>
    <n v="9935.5540293039903"/>
    <n v="35767.994505494396"/>
  </r>
  <r>
    <x v="0"/>
    <x v="0"/>
    <x v="0"/>
    <x v="8"/>
    <x v="18"/>
    <s v="SE3_EL"/>
    <x v="6"/>
    <s v="GHOB_WASTEHEAT"/>
    <x v="0"/>
    <x v="9"/>
    <n v="27.2206959706959"/>
    <n v="9935.5540293039903"/>
    <n v="35767.994505494396"/>
  </r>
  <r>
    <x v="0"/>
    <x v="0"/>
    <x v="0"/>
    <x v="8"/>
    <x v="18"/>
    <s v="SE3_EL"/>
    <x v="6"/>
    <s v="GHOB_WASTEHEAT"/>
    <x v="0"/>
    <x v="10"/>
    <n v="27.2206959706959"/>
    <n v="9935.5540293039903"/>
    <n v="35767.994505494396"/>
  </r>
  <r>
    <x v="0"/>
    <x v="0"/>
    <x v="0"/>
    <x v="8"/>
    <x v="18"/>
    <s v="SE3_EL"/>
    <x v="6"/>
    <s v="GHOB_WASTEHEAT"/>
    <x v="0"/>
    <x v="11"/>
    <n v="27.2206959706959"/>
    <n v="9935.5540293039903"/>
    <n v="35767.994505494396"/>
  </r>
  <r>
    <x v="0"/>
    <x v="0"/>
    <x v="0"/>
    <x v="8"/>
    <x v="18"/>
    <s v="SE3_EL"/>
    <x v="6"/>
    <s v="GHOB_WASTEHEAT"/>
    <x v="0"/>
    <x v="12"/>
    <n v="27.2206959706959"/>
    <n v="9935.5540293039903"/>
    <n v="35767.994505494396"/>
  </r>
  <r>
    <x v="0"/>
    <x v="0"/>
    <x v="0"/>
    <x v="8"/>
    <x v="18"/>
    <s v="SE3_EL"/>
    <x v="6"/>
    <s v="GHOB_WASTEHEAT"/>
    <x v="0"/>
    <x v="13"/>
    <n v="27.2206959706959"/>
    <n v="9935.5540293039903"/>
    <n v="35767.994505494396"/>
  </r>
  <r>
    <x v="0"/>
    <x v="0"/>
    <x v="0"/>
    <x v="8"/>
    <x v="18"/>
    <s v="SE3_EL"/>
    <x v="6"/>
    <s v="GHOB_WASTEHEAT"/>
    <x v="0"/>
    <x v="14"/>
    <n v="27.2206959706959"/>
    <n v="9935.5540293039903"/>
    <n v="35767.994505494396"/>
  </r>
  <r>
    <x v="0"/>
    <x v="0"/>
    <x v="0"/>
    <x v="8"/>
    <x v="18"/>
    <s v="SE3_EL"/>
    <x v="6"/>
    <s v="GHOB_WASTEHEAT"/>
    <x v="0"/>
    <x v="15"/>
    <n v="27.2206959706959"/>
    <n v="9935.5540293039903"/>
    <n v="35767.994505494396"/>
  </r>
  <r>
    <x v="0"/>
    <x v="0"/>
    <x v="0"/>
    <x v="8"/>
    <x v="18"/>
    <s v="SE3_EL"/>
    <x v="6"/>
    <s v="GHOB_WASTEHEAT"/>
    <x v="0"/>
    <x v="16"/>
    <n v="27.2206959706959"/>
    <n v="9935.5540293039903"/>
    <n v="35767.994505494396"/>
  </r>
  <r>
    <x v="0"/>
    <x v="0"/>
    <x v="0"/>
    <x v="8"/>
    <x v="18"/>
    <s v="SE3_EL"/>
    <x v="6"/>
    <s v="GHOB_WASTEHEAT"/>
    <x v="0"/>
    <x v="17"/>
    <n v="27.2206959706959"/>
    <n v="9935.5540293039903"/>
    <n v="35767.994505494396"/>
  </r>
  <r>
    <x v="0"/>
    <x v="0"/>
    <x v="0"/>
    <x v="8"/>
    <x v="18"/>
    <s v="SE3_EL"/>
    <x v="6"/>
    <s v="GHOB_WASTEHEAT"/>
    <x v="0"/>
    <x v="18"/>
    <n v="27.2206959706959"/>
    <n v="9935.5540293039903"/>
    <n v="35767.994505494396"/>
  </r>
  <r>
    <x v="0"/>
    <x v="0"/>
    <x v="0"/>
    <x v="8"/>
    <x v="18"/>
    <s v="SE3_EL"/>
    <x v="6"/>
    <s v="GHOB_WASTEHEAT"/>
    <x v="0"/>
    <x v="19"/>
    <n v="27.2206959706959"/>
    <n v="9935.5540293039903"/>
    <n v="35767.994505494396"/>
  </r>
  <r>
    <x v="0"/>
    <x v="0"/>
    <x v="0"/>
    <x v="8"/>
    <x v="18"/>
    <s v="SE3_EL"/>
    <x v="6"/>
    <s v="GHOB_WASTEHEAT"/>
    <x v="0"/>
    <x v="20"/>
    <n v="27.2206959706959"/>
    <n v="9935.5540293039903"/>
    <n v="35767.994505494396"/>
  </r>
  <r>
    <x v="0"/>
    <x v="0"/>
    <x v="0"/>
    <x v="8"/>
    <x v="18"/>
    <s v="SE3_EL"/>
    <x v="6"/>
    <s v="GHOB_WASTEHEAT"/>
    <x v="0"/>
    <x v="21"/>
    <n v="27.2206959706959"/>
    <n v="9935.5540293039903"/>
    <n v="35767.994505494396"/>
  </r>
  <r>
    <x v="0"/>
    <x v="0"/>
    <x v="0"/>
    <x v="8"/>
    <x v="18"/>
    <s v="SE3_EL"/>
    <x v="6"/>
    <s v="GHOB_WASTEHEAT"/>
    <x v="0"/>
    <x v="22"/>
    <n v="27.2206959706959"/>
    <n v="9935.5540293039903"/>
    <n v="35767.994505494396"/>
  </r>
  <r>
    <x v="0"/>
    <x v="0"/>
    <x v="0"/>
    <x v="8"/>
    <x v="18"/>
    <s v="SE3_EL"/>
    <x v="6"/>
    <s v="GHOB_WASTEHEAT"/>
    <x v="0"/>
    <x v="23"/>
    <n v="27.2206959706959"/>
    <n v="9935.5540293039903"/>
    <n v="35767.994505494396"/>
  </r>
  <r>
    <x v="0"/>
    <x v="0"/>
    <x v="0"/>
    <x v="8"/>
    <x v="18"/>
    <s v="SE3_EL"/>
    <x v="7"/>
    <s v="GBPR_WOODCHIPS_25"/>
    <x v="0"/>
    <x v="0"/>
    <n v="61.131191839430898"/>
    <n v="22312.8850213923"/>
    <n v="80326.386077012299"/>
  </r>
  <r>
    <x v="0"/>
    <x v="0"/>
    <x v="0"/>
    <x v="8"/>
    <x v="18"/>
    <s v="SE3_EL"/>
    <x v="7"/>
    <s v="GBPR_WOODCHIPS_25"/>
    <x v="0"/>
    <x v="1"/>
    <n v="61.131191839430898"/>
    <n v="22312.8850213923"/>
    <n v="80326.386077012299"/>
  </r>
  <r>
    <x v="0"/>
    <x v="0"/>
    <x v="0"/>
    <x v="8"/>
    <x v="18"/>
    <s v="SE3_EL"/>
    <x v="7"/>
    <s v="GBPR_WOODCHIPS_25"/>
    <x v="0"/>
    <x v="2"/>
    <n v="61.131191839430898"/>
    <n v="22312.8850213923"/>
    <n v="80326.386077012299"/>
  </r>
  <r>
    <x v="0"/>
    <x v="0"/>
    <x v="0"/>
    <x v="8"/>
    <x v="18"/>
    <s v="SE3_EL"/>
    <x v="7"/>
    <s v="GBPR_WOODCHIPS_25"/>
    <x v="0"/>
    <x v="3"/>
    <n v="61.131191839430898"/>
    <n v="22312.8850213923"/>
    <n v="80326.386077012299"/>
  </r>
  <r>
    <x v="0"/>
    <x v="0"/>
    <x v="0"/>
    <x v="8"/>
    <x v="18"/>
    <s v="SE3_EL"/>
    <x v="7"/>
    <s v="GBPR_WOODCHIPS_25"/>
    <x v="0"/>
    <x v="4"/>
    <n v="61.131191839430898"/>
    <n v="22312.8850213923"/>
    <n v="80326.386077012299"/>
  </r>
  <r>
    <x v="0"/>
    <x v="0"/>
    <x v="0"/>
    <x v="8"/>
    <x v="18"/>
    <s v="SE3_EL"/>
    <x v="7"/>
    <s v="GBPR_WOODCHIPS_25"/>
    <x v="0"/>
    <x v="5"/>
    <n v="61.131191839430898"/>
    <n v="22312.8850213923"/>
    <n v="80326.386077012299"/>
  </r>
  <r>
    <x v="0"/>
    <x v="0"/>
    <x v="0"/>
    <x v="8"/>
    <x v="18"/>
    <s v="SE3_EL"/>
    <x v="7"/>
    <s v="GBPR_WOODCHIPS_25"/>
    <x v="0"/>
    <x v="6"/>
    <n v="61.131191839430898"/>
    <n v="22312.8850213923"/>
    <n v="80326.386077012299"/>
  </r>
  <r>
    <x v="0"/>
    <x v="0"/>
    <x v="0"/>
    <x v="8"/>
    <x v="18"/>
    <s v="SE3_EL"/>
    <x v="7"/>
    <s v="GBPR_WOODCHIPS_25"/>
    <x v="0"/>
    <x v="7"/>
    <n v="61.131191839430898"/>
    <n v="22312.8850213923"/>
    <n v="80326.386077012299"/>
  </r>
  <r>
    <x v="0"/>
    <x v="0"/>
    <x v="0"/>
    <x v="8"/>
    <x v="18"/>
    <s v="SE3_EL"/>
    <x v="7"/>
    <s v="GBPR_WOODCHIPS_25"/>
    <x v="0"/>
    <x v="8"/>
    <n v="61.131191839430898"/>
    <n v="22312.8850213923"/>
    <n v="80326.386077012299"/>
  </r>
  <r>
    <x v="0"/>
    <x v="0"/>
    <x v="0"/>
    <x v="8"/>
    <x v="18"/>
    <s v="SE3_EL"/>
    <x v="7"/>
    <s v="GBPR_WOODCHIPS_25"/>
    <x v="0"/>
    <x v="9"/>
    <n v="61.131191839430898"/>
    <n v="22312.8850213923"/>
    <n v="80326.386077012299"/>
  </r>
  <r>
    <x v="0"/>
    <x v="0"/>
    <x v="0"/>
    <x v="8"/>
    <x v="18"/>
    <s v="SE3_EL"/>
    <x v="7"/>
    <s v="GBPR_WOODCHIPS_25"/>
    <x v="0"/>
    <x v="10"/>
    <n v="61.131191839430898"/>
    <n v="22312.8850213923"/>
    <n v="80326.386077012299"/>
  </r>
  <r>
    <x v="0"/>
    <x v="0"/>
    <x v="0"/>
    <x v="8"/>
    <x v="18"/>
    <s v="SE3_EL"/>
    <x v="7"/>
    <s v="GBPR_WOODCHIPS_25"/>
    <x v="0"/>
    <x v="11"/>
    <n v="61.131191839430898"/>
    <n v="22312.8850213923"/>
    <n v="80326.386077012299"/>
  </r>
  <r>
    <x v="0"/>
    <x v="0"/>
    <x v="0"/>
    <x v="8"/>
    <x v="18"/>
    <s v="SE3_EL"/>
    <x v="7"/>
    <s v="GBPR_WOODCHIPS_25"/>
    <x v="0"/>
    <x v="12"/>
    <n v="61.131191839430898"/>
    <n v="22312.8850213923"/>
    <n v="80326.386077012299"/>
  </r>
  <r>
    <x v="0"/>
    <x v="0"/>
    <x v="0"/>
    <x v="8"/>
    <x v="18"/>
    <s v="SE3_EL"/>
    <x v="7"/>
    <s v="GBPR_WOODCHIPS_25"/>
    <x v="0"/>
    <x v="13"/>
    <n v="61.131191839430898"/>
    <n v="22312.8850213923"/>
    <n v="80326.386077012299"/>
  </r>
  <r>
    <x v="0"/>
    <x v="0"/>
    <x v="0"/>
    <x v="8"/>
    <x v="18"/>
    <s v="SE3_EL"/>
    <x v="7"/>
    <s v="GBPR_WOODCHIPS_25"/>
    <x v="0"/>
    <x v="14"/>
    <n v="61.131191839430898"/>
    <n v="22312.8850213923"/>
    <n v="80326.386077012299"/>
  </r>
  <r>
    <x v="0"/>
    <x v="0"/>
    <x v="0"/>
    <x v="8"/>
    <x v="18"/>
    <s v="SE3_EL"/>
    <x v="7"/>
    <s v="GBPR_WOODCHIPS_25"/>
    <x v="0"/>
    <x v="15"/>
    <n v="61.131191839430898"/>
    <n v="22312.8850213923"/>
    <n v="80326.386077012299"/>
  </r>
  <r>
    <x v="0"/>
    <x v="0"/>
    <x v="0"/>
    <x v="8"/>
    <x v="18"/>
    <s v="SE3_EL"/>
    <x v="7"/>
    <s v="GBPR_WOODCHIPS_25"/>
    <x v="0"/>
    <x v="16"/>
    <n v="61.131191839430898"/>
    <n v="22312.8850213923"/>
    <n v="80326.386077012299"/>
  </r>
  <r>
    <x v="0"/>
    <x v="0"/>
    <x v="0"/>
    <x v="8"/>
    <x v="18"/>
    <s v="SE3_EL"/>
    <x v="7"/>
    <s v="GBPR_WOODCHIPS_25"/>
    <x v="0"/>
    <x v="17"/>
    <n v="61.131191839430898"/>
    <n v="22312.8850213923"/>
    <n v="80326.386077012299"/>
  </r>
  <r>
    <x v="0"/>
    <x v="0"/>
    <x v="0"/>
    <x v="8"/>
    <x v="18"/>
    <s v="SE3_EL"/>
    <x v="7"/>
    <s v="GBPR_WOODCHIPS_25"/>
    <x v="0"/>
    <x v="18"/>
    <n v="61.131191839430898"/>
    <n v="22312.8850213923"/>
    <n v="80326.386077012299"/>
  </r>
  <r>
    <x v="0"/>
    <x v="0"/>
    <x v="0"/>
    <x v="8"/>
    <x v="18"/>
    <s v="SE3_EL"/>
    <x v="7"/>
    <s v="GBPR_WOODCHIPS_25"/>
    <x v="0"/>
    <x v="19"/>
    <n v="61.131191839430898"/>
    <n v="22312.8850213923"/>
    <n v="80326.386077012299"/>
  </r>
  <r>
    <x v="0"/>
    <x v="0"/>
    <x v="0"/>
    <x v="8"/>
    <x v="18"/>
    <s v="SE3_EL"/>
    <x v="7"/>
    <s v="GBPR_WOODCHIPS_25"/>
    <x v="0"/>
    <x v="20"/>
    <n v="61.131191839430898"/>
    <n v="22312.8850213923"/>
    <n v="80326.386077012299"/>
  </r>
  <r>
    <x v="0"/>
    <x v="0"/>
    <x v="0"/>
    <x v="8"/>
    <x v="18"/>
    <s v="SE3_EL"/>
    <x v="7"/>
    <s v="GBPR_WOODCHIPS_25"/>
    <x v="0"/>
    <x v="21"/>
    <n v="61.131191839430898"/>
    <n v="22312.8850213923"/>
    <n v="80326.386077012299"/>
  </r>
  <r>
    <x v="0"/>
    <x v="0"/>
    <x v="0"/>
    <x v="8"/>
    <x v="18"/>
    <s v="SE3_EL"/>
    <x v="7"/>
    <s v="GBPR_WOODCHIPS_25"/>
    <x v="0"/>
    <x v="22"/>
    <n v="61.131191839430898"/>
    <n v="22312.8850213923"/>
    <n v="80326.386077012299"/>
  </r>
  <r>
    <x v="0"/>
    <x v="0"/>
    <x v="0"/>
    <x v="8"/>
    <x v="18"/>
    <s v="SE3_EL"/>
    <x v="7"/>
    <s v="GBPR_WOODCHIPS_25"/>
    <x v="0"/>
    <x v="23"/>
    <n v="61.131191839430898"/>
    <n v="22312.8850213923"/>
    <n v="80326.386077012299"/>
  </r>
  <r>
    <x v="0"/>
    <x v="0"/>
    <x v="0"/>
    <x v="8"/>
    <x v="18"/>
    <s v="SE3_EL"/>
    <x v="9"/>
    <s v="GBPR_WOODWASTE_25"/>
    <x v="0"/>
    <x v="0"/>
    <n v="216.33019964973701"/>
    <n v="78960.522872154106"/>
    <n v="284257.88233975501"/>
  </r>
  <r>
    <x v="0"/>
    <x v="0"/>
    <x v="0"/>
    <x v="8"/>
    <x v="18"/>
    <s v="SE3_EL"/>
    <x v="9"/>
    <s v="GBPR_WOODWASTE_25"/>
    <x v="0"/>
    <x v="1"/>
    <n v="216.33019964973701"/>
    <n v="78960.522872154106"/>
    <n v="284257.88233975501"/>
  </r>
  <r>
    <x v="0"/>
    <x v="0"/>
    <x v="0"/>
    <x v="8"/>
    <x v="18"/>
    <s v="SE3_EL"/>
    <x v="9"/>
    <s v="GBPR_WOODWASTE_25"/>
    <x v="0"/>
    <x v="2"/>
    <n v="216.33019964973701"/>
    <n v="78960.522872154106"/>
    <n v="284257.88233975501"/>
  </r>
  <r>
    <x v="0"/>
    <x v="0"/>
    <x v="0"/>
    <x v="8"/>
    <x v="18"/>
    <s v="SE3_EL"/>
    <x v="9"/>
    <s v="GBPR_WOODWASTE_25"/>
    <x v="0"/>
    <x v="3"/>
    <n v="216.33019964973701"/>
    <n v="78960.522872154106"/>
    <n v="284257.88233975501"/>
  </r>
  <r>
    <x v="0"/>
    <x v="0"/>
    <x v="0"/>
    <x v="8"/>
    <x v="18"/>
    <s v="SE3_EL"/>
    <x v="9"/>
    <s v="GBPR_WOODWASTE_25"/>
    <x v="0"/>
    <x v="4"/>
    <n v="216.33019964973701"/>
    <n v="78960.522872154106"/>
    <n v="284257.88233975501"/>
  </r>
  <r>
    <x v="0"/>
    <x v="0"/>
    <x v="0"/>
    <x v="8"/>
    <x v="18"/>
    <s v="SE3_EL"/>
    <x v="9"/>
    <s v="GBPR_WOODWASTE_25"/>
    <x v="0"/>
    <x v="5"/>
    <n v="216.33019964973701"/>
    <n v="78960.522872154106"/>
    <n v="284257.88233975501"/>
  </r>
  <r>
    <x v="0"/>
    <x v="0"/>
    <x v="0"/>
    <x v="8"/>
    <x v="18"/>
    <s v="SE3_EL"/>
    <x v="9"/>
    <s v="GBPR_WOODWASTE_25"/>
    <x v="0"/>
    <x v="6"/>
    <n v="216.33019964973701"/>
    <n v="78960.522872154106"/>
    <n v="284257.88233975501"/>
  </r>
  <r>
    <x v="0"/>
    <x v="0"/>
    <x v="0"/>
    <x v="8"/>
    <x v="18"/>
    <s v="SE3_EL"/>
    <x v="9"/>
    <s v="GBPR_WOODWASTE_25"/>
    <x v="0"/>
    <x v="7"/>
    <n v="216.33019964973701"/>
    <n v="78960.522872154106"/>
    <n v="284257.88233975501"/>
  </r>
  <r>
    <x v="0"/>
    <x v="0"/>
    <x v="0"/>
    <x v="8"/>
    <x v="18"/>
    <s v="SE3_EL"/>
    <x v="9"/>
    <s v="GBPR_WOODWASTE_25"/>
    <x v="0"/>
    <x v="8"/>
    <n v="216.33019964973701"/>
    <n v="78960.522872154106"/>
    <n v="284257.88233975501"/>
  </r>
  <r>
    <x v="0"/>
    <x v="0"/>
    <x v="0"/>
    <x v="8"/>
    <x v="18"/>
    <s v="SE3_EL"/>
    <x v="9"/>
    <s v="GBPR_WOODWASTE_25"/>
    <x v="0"/>
    <x v="9"/>
    <n v="216.33019964973701"/>
    <n v="78960.522872154106"/>
    <n v="284257.88233975501"/>
  </r>
  <r>
    <x v="0"/>
    <x v="0"/>
    <x v="0"/>
    <x v="8"/>
    <x v="18"/>
    <s v="SE3_EL"/>
    <x v="9"/>
    <s v="GBPR_WOODWASTE_25"/>
    <x v="0"/>
    <x v="10"/>
    <n v="216.33019964973701"/>
    <n v="78960.522872154106"/>
    <n v="284257.88233975501"/>
  </r>
  <r>
    <x v="0"/>
    <x v="0"/>
    <x v="0"/>
    <x v="8"/>
    <x v="18"/>
    <s v="SE3_EL"/>
    <x v="9"/>
    <s v="GBPR_WOODWASTE_25"/>
    <x v="0"/>
    <x v="11"/>
    <n v="216.33019964973701"/>
    <n v="78960.522872154106"/>
    <n v="284257.88233975501"/>
  </r>
  <r>
    <x v="0"/>
    <x v="0"/>
    <x v="0"/>
    <x v="8"/>
    <x v="18"/>
    <s v="SE3_EL"/>
    <x v="9"/>
    <s v="GBPR_WOODWASTE_25"/>
    <x v="0"/>
    <x v="12"/>
    <n v="216.33019964973701"/>
    <n v="78960.522872154106"/>
    <n v="284257.88233975501"/>
  </r>
  <r>
    <x v="0"/>
    <x v="0"/>
    <x v="0"/>
    <x v="8"/>
    <x v="18"/>
    <s v="SE3_EL"/>
    <x v="9"/>
    <s v="GBPR_WOODWASTE_25"/>
    <x v="0"/>
    <x v="13"/>
    <n v="216.33019964973701"/>
    <n v="78960.522872154106"/>
    <n v="284257.88233975501"/>
  </r>
  <r>
    <x v="0"/>
    <x v="0"/>
    <x v="0"/>
    <x v="8"/>
    <x v="18"/>
    <s v="SE3_EL"/>
    <x v="9"/>
    <s v="GBPR_WOODWASTE_25"/>
    <x v="0"/>
    <x v="14"/>
    <n v="216.33019964973701"/>
    <n v="78960.522872154106"/>
    <n v="284257.88233975501"/>
  </r>
  <r>
    <x v="0"/>
    <x v="0"/>
    <x v="0"/>
    <x v="8"/>
    <x v="18"/>
    <s v="SE3_EL"/>
    <x v="9"/>
    <s v="GBPR_WOODWASTE_25"/>
    <x v="0"/>
    <x v="15"/>
    <n v="216.33019964973701"/>
    <n v="78960.522872154106"/>
    <n v="284257.88233975501"/>
  </r>
  <r>
    <x v="0"/>
    <x v="0"/>
    <x v="0"/>
    <x v="8"/>
    <x v="18"/>
    <s v="SE3_EL"/>
    <x v="9"/>
    <s v="GBPR_WOODWASTE_25"/>
    <x v="0"/>
    <x v="16"/>
    <n v="216.33019964973701"/>
    <n v="78960.522872154106"/>
    <n v="284257.88233975501"/>
  </r>
  <r>
    <x v="0"/>
    <x v="0"/>
    <x v="0"/>
    <x v="8"/>
    <x v="18"/>
    <s v="SE3_EL"/>
    <x v="9"/>
    <s v="GBPR_WOODWASTE_25"/>
    <x v="0"/>
    <x v="17"/>
    <n v="216.33019964973701"/>
    <n v="78960.522872154106"/>
    <n v="284257.88233975501"/>
  </r>
  <r>
    <x v="0"/>
    <x v="0"/>
    <x v="0"/>
    <x v="8"/>
    <x v="18"/>
    <s v="SE3_EL"/>
    <x v="9"/>
    <s v="GBPR_WOODWASTE_25"/>
    <x v="0"/>
    <x v="18"/>
    <n v="216.33019964973701"/>
    <n v="78960.522872154106"/>
    <n v="284257.88233975501"/>
  </r>
  <r>
    <x v="0"/>
    <x v="0"/>
    <x v="0"/>
    <x v="8"/>
    <x v="18"/>
    <s v="SE3_EL"/>
    <x v="9"/>
    <s v="GBPR_WOODWASTE_25"/>
    <x v="0"/>
    <x v="19"/>
    <n v="216.33019964973701"/>
    <n v="78960.522872154106"/>
    <n v="284257.88233975501"/>
  </r>
  <r>
    <x v="0"/>
    <x v="0"/>
    <x v="0"/>
    <x v="8"/>
    <x v="18"/>
    <s v="SE3_EL"/>
    <x v="9"/>
    <s v="GBPR_WOODWASTE_25"/>
    <x v="0"/>
    <x v="20"/>
    <n v="216.33019964973701"/>
    <n v="78960.522872154106"/>
    <n v="284257.88233975501"/>
  </r>
  <r>
    <x v="0"/>
    <x v="0"/>
    <x v="0"/>
    <x v="8"/>
    <x v="18"/>
    <s v="SE3_EL"/>
    <x v="9"/>
    <s v="GBPR_WOODWASTE_25"/>
    <x v="0"/>
    <x v="21"/>
    <n v="216.33019964973701"/>
    <n v="78960.522872154106"/>
    <n v="284257.88233975501"/>
  </r>
  <r>
    <x v="0"/>
    <x v="0"/>
    <x v="0"/>
    <x v="8"/>
    <x v="18"/>
    <s v="SE3_EL"/>
    <x v="9"/>
    <s v="GBPR_WOODWASTE_25"/>
    <x v="0"/>
    <x v="22"/>
    <n v="216.33019964973701"/>
    <n v="78960.522872154106"/>
    <n v="284257.88233975501"/>
  </r>
  <r>
    <x v="0"/>
    <x v="0"/>
    <x v="0"/>
    <x v="8"/>
    <x v="18"/>
    <s v="SE3_EL"/>
    <x v="9"/>
    <s v="GBPR_WOODWASTE_25"/>
    <x v="0"/>
    <x v="23"/>
    <n v="216.33019964973701"/>
    <n v="78960.522872154106"/>
    <n v="284257.88233975501"/>
  </r>
  <r>
    <x v="0"/>
    <x v="0"/>
    <x v="0"/>
    <x v="8"/>
    <x v="18"/>
    <s v="SE3_EL"/>
    <x v="9"/>
    <s v="GBPR_WOODWASTE_ABY"/>
    <x v="0"/>
    <x v="0"/>
    <n v="90.398038528896294"/>
    <n v="32995.284063047096"/>
    <n v="118783.02262697001"/>
  </r>
  <r>
    <x v="0"/>
    <x v="0"/>
    <x v="0"/>
    <x v="8"/>
    <x v="18"/>
    <s v="SE3_EL"/>
    <x v="9"/>
    <s v="GBPR_WOODWASTE_ABY"/>
    <x v="0"/>
    <x v="1"/>
    <n v="90.398038528896294"/>
    <n v="32995.284063047096"/>
    <n v="118783.02262697001"/>
  </r>
  <r>
    <x v="0"/>
    <x v="0"/>
    <x v="0"/>
    <x v="8"/>
    <x v="18"/>
    <s v="SE3_EL"/>
    <x v="9"/>
    <s v="GBPR_WOODWASTE_ABY"/>
    <x v="0"/>
    <x v="2"/>
    <n v="90.398038528896294"/>
    <n v="32995.284063047096"/>
    <n v="118783.02262697001"/>
  </r>
  <r>
    <x v="0"/>
    <x v="0"/>
    <x v="0"/>
    <x v="8"/>
    <x v="18"/>
    <s v="SE3_EL"/>
    <x v="9"/>
    <s v="GBPR_WOODWASTE_ABY"/>
    <x v="0"/>
    <x v="3"/>
    <n v="90.398038528896294"/>
    <n v="32995.284063047096"/>
    <n v="118783.02262697001"/>
  </r>
  <r>
    <x v="0"/>
    <x v="0"/>
    <x v="0"/>
    <x v="8"/>
    <x v="18"/>
    <s v="SE3_EL"/>
    <x v="9"/>
    <s v="GBPR_WOODWASTE_ABY"/>
    <x v="0"/>
    <x v="4"/>
    <n v="90.398038528896294"/>
    <n v="32995.284063047096"/>
    <n v="118783.02262697001"/>
  </r>
  <r>
    <x v="0"/>
    <x v="0"/>
    <x v="0"/>
    <x v="8"/>
    <x v="18"/>
    <s v="SE3_EL"/>
    <x v="9"/>
    <s v="GBPR_WOODWASTE_ABY"/>
    <x v="0"/>
    <x v="5"/>
    <n v="90.398038528896294"/>
    <n v="32995.284063047096"/>
    <n v="118783.02262697001"/>
  </r>
  <r>
    <x v="0"/>
    <x v="0"/>
    <x v="0"/>
    <x v="8"/>
    <x v="18"/>
    <s v="SE3_EL"/>
    <x v="9"/>
    <s v="GBPR_WOODWASTE_ABY"/>
    <x v="0"/>
    <x v="6"/>
    <n v="90.398038528896294"/>
    <n v="32995.284063047096"/>
    <n v="118783.02262697001"/>
  </r>
  <r>
    <x v="0"/>
    <x v="0"/>
    <x v="0"/>
    <x v="8"/>
    <x v="18"/>
    <s v="SE3_EL"/>
    <x v="9"/>
    <s v="GBPR_WOODWASTE_ABY"/>
    <x v="0"/>
    <x v="7"/>
    <n v="90.398038528896294"/>
    <n v="32995.284063047096"/>
    <n v="118783.02262697001"/>
  </r>
  <r>
    <x v="0"/>
    <x v="0"/>
    <x v="0"/>
    <x v="8"/>
    <x v="18"/>
    <s v="SE3_EL"/>
    <x v="9"/>
    <s v="GBPR_WOODWASTE_ABY"/>
    <x v="0"/>
    <x v="8"/>
    <n v="90.398038528896294"/>
    <n v="32995.284063047096"/>
    <n v="118783.02262697001"/>
  </r>
  <r>
    <x v="0"/>
    <x v="0"/>
    <x v="0"/>
    <x v="8"/>
    <x v="18"/>
    <s v="SE3_EL"/>
    <x v="9"/>
    <s v="GBPR_WOODWASTE_ABY"/>
    <x v="0"/>
    <x v="9"/>
    <n v="90.398038528896294"/>
    <n v="32995.284063047096"/>
    <n v="118783.02262697001"/>
  </r>
  <r>
    <x v="0"/>
    <x v="0"/>
    <x v="0"/>
    <x v="8"/>
    <x v="18"/>
    <s v="SE3_EL"/>
    <x v="9"/>
    <s v="GBPR_WOODWASTE_ABY"/>
    <x v="0"/>
    <x v="10"/>
    <n v="90.398038528896294"/>
    <n v="32995.284063047096"/>
    <n v="118783.02262697001"/>
  </r>
  <r>
    <x v="0"/>
    <x v="0"/>
    <x v="0"/>
    <x v="8"/>
    <x v="18"/>
    <s v="SE3_EL"/>
    <x v="9"/>
    <s v="GBPR_WOODWASTE_ABY"/>
    <x v="0"/>
    <x v="11"/>
    <n v="90.398038528896294"/>
    <n v="32995.284063047096"/>
    <n v="118783.02262697001"/>
  </r>
  <r>
    <x v="0"/>
    <x v="0"/>
    <x v="0"/>
    <x v="8"/>
    <x v="18"/>
    <s v="SE3_EL"/>
    <x v="9"/>
    <s v="GBPR_WOODWASTE_ABY"/>
    <x v="0"/>
    <x v="12"/>
    <n v="90.398038528896294"/>
    <n v="32995.284063047096"/>
    <n v="118783.02262697001"/>
  </r>
  <r>
    <x v="0"/>
    <x v="0"/>
    <x v="0"/>
    <x v="8"/>
    <x v="18"/>
    <s v="SE3_EL"/>
    <x v="9"/>
    <s v="GBPR_WOODWASTE_ABY"/>
    <x v="0"/>
    <x v="13"/>
    <n v="90.398038528896294"/>
    <n v="32995.284063047096"/>
    <n v="118783.02262697001"/>
  </r>
  <r>
    <x v="0"/>
    <x v="0"/>
    <x v="0"/>
    <x v="8"/>
    <x v="18"/>
    <s v="SE3_EL"/>
    <x v="9"/>
    <s v="GBPR_WOODWASTE_ABY"/>
    <x v="0"/>
    <x v="14"/>
    <n v="90.398038528896294"/>
    <n v="32995.284063047096"/>
    <n v="118783.02262697001"/>
  </r>
  <r>
    <x v="0"/>
    <x v="0"/>
    <x v="0"/>
    <x v="8"/>
    <x v="18"/>
    <s v="SE3_EL"/>
    <x v="9"/>
    <s v="GBPR_WOODWASTE_ABY"/>
    <x v="0"/>
    <x v="15"/>
    <n v="90.398038528896294"/>
    <n v="32995.284063047096"/>
    <n v="118783.02262697001"/>
  </r>
  <r>
    <x v="0"/>
    <x v="0"/>
    <x v="0"/>
    <x v="8"/>
    <x v="18"/>
    <s v="SE3_EL"/>
    <x v="9"/>
    <s v="GBPR_WOODWASTE_ABY"/>
    <x v="0"/>
    <x v="16"/>
    <n v="90.398038528896294"/>
    <n v="32995.284063047096"/>
    <n v="118783.02262697001"/>
  </r>
  <r>
    <x v="0"/>
    <x v="0"/>
    <x v="0"/>
    <x v="8"/>
    <x v="18"/>
    <s v="SE3_EL"/>
    <x v="9"/>
    <s v="GBPR_WOODWASTE_ABY"/>
    <x v="0"/>
    <x v="17"/>
    <n v="90.398038528896294"/>
    <n v="32995.284063047096"/>
    <n v="118783.02262697001"/>
  </r>
  <r>
    <x v="0"/>
    <x v="0"/>
    <x v="0"/>
    <x v="8"/>
    <x v="18"/>
    <s v="SE3_EL"/>
    <x v="9"/>
    <s v="GBPR_WOODWASTE_ABY"/>
    <x v="0"/>
    <x v="18"/>
    <n v="90.398038528896294"/>
    <n v="32995.284063047096"/>
    <n v="118783.02262697001"/>
  </r>
  <r>
    <x v="0"/>
    <x v="0"/>
    <x v="0"/>
    <x v="8"/>
    <x v="18"/>
    <s v="SE3_EL"/>
    <x v="9"/>
    <s v="GBPR_WOODWASTE_ABY"/>
    <x v="0"/>
    <x v="19"/>
    <n v="90.398038528896294"/>
    <n v="32995.284063047096"/>
    <n v="118783.02262697001"/>
  </r>
  <r>
    <x v="0"/>
    <x v="0"/>
    <x v="0"/>
    <x v="8"/>
    <x v="18"/>
    <s v="SE3_EL"/>
    <x v="9"/>
    <s v="GBPR_WOODWASTE_ABY"/>
    <x v="0"/>
    <x v="20"/>
    <n v="90.398038528896294"/>
    <n v="32995.284063047096"/>
    <n v="118783.02262697001"/>
  </r>
  <r>
    <x v="0"/>
    <x v="0"/>
    <x v="0"/>
    <x v="8"/>
    <x v="18"/>
    <s v="SE3_EL"/>
    <x v="9"/>
    <s v="GBPR_WOODWASTE_ABY"/>
    <x v="0"/>
    <x v="21"/>
    <n v="90.398038528896294"/>
    <n v="32995.284063047096"/>
    <n v="118783.02262697001"/>
  </r>
  <r>
    <x v="0"/>
    <x v="0"/>
    <x v="0"/>
    <x v="8"/>
    <x v="18"/>
    <s v="SE3_EL"/>
    <x v="9"/>
    <s v="GBPR_WOODWASTE_ABY"/>
    <x v="0"/>
    <x v="22"/>
    <n v="90.398038528896294"/>
    <n v="32995.284063047096"/>
    <n v="118783.02262697001"/>
  </r>
  <r>
    <x v="0"/>
    <x v="0"/>
    <x v="0"/>
    <x v="8"/>
    <x v="18"/>
    <s v="SE3_EL"/>
    <x v="9"/>
    <s v="GBPR_WOODWASTE_ABY"/>
    <x v="0"/>
    <x v="23"/>
    <n v="90.398038528896294"/>
    <n v="32995.284063047096"/>
    <n v="118783.02262697001"/>
  </r>
  <r>
    <x v="0"/>
    <x v="0"/>
    <x v="0"/>
    <x v="8"/>
    <x v="18"/>
    <s v="SE3_EL"/>
    <x v="9"/>
    <s v="GHOB_WOODWASTE"/>
    <x v="0"/>
    <x v="0"/>
    <n v="57.099073555166399"/>
    <n v="20841.1618476357"/>
    <n v="75028.182651488605"/>
  </r>
  <r>
    <x v="0"/>
    <x v="0"/>
    <x v="0"/>
    <x v="8"/>
    <x v="18"/>
    <s v="SE3_EL"/>
    <x v="9"/>
    <s v="GHOB_WOODWASTE"/>
    <x v="0"/>
    <x v="1"/>
    <n v="57.099073555166399"/>
    <n v="20841.1618476357"/>
    <n v="75028.182651488605"/>
  </r>
  <r>
    <x v="0"/>
    <x v="0"/>
    <x v="0"/>
    <x v="8"/>
    <x v="18"/>
    <s v="SE3_EL"/>
    <x v="9"/>
    <s v="GHOB_WOODWASTE"/>
    <x v="0"/>
    <x v="2"/>
    <n v="57.099073555166399"/>
    <n v="20841.1618476357"/>
    <n v="75028.182651488605"/>
  </r>
  <r>
    <x v="0"/>
    <x v="0"/>
    <x v="0"/>
    <x v="8"/>
    <x v="18"/>
    <s v="SE3_EL"/>
    <x v="9"/>
    <s v="GHOB_WOODWASTE"/>
    <x v="0"/>
    <x v="3"/>
    <n v="57.099073555166399"/>
    <n v="20841.1618476357"/>
    <n v="75028.182651488605"/>
  </r>
  <r>
    <x v="0"/>
    <x v="0"/>
    <x v="0"/>
    <x v="8"/>
    <x v="18"/>
    <s v="SE3_EL"/>
    <x v="9"/>
    <s v="GHOB_WOODWASTE"/>
    <x v="0"/>
    <x v="4"/>
    <n v="57.099073555166399"/>
    <n v="20841.1618476357"/>
    <n v="75028.182651488605"/>
  </r>
  <r>
    <x v="0"/>
    <x v="0"/>
    <x v="0"/>
    <x v="8"/>
    <x v="18"/>
    <s v="SE3_EL"/>
    <x v="9"/>
    <s v="GHOB_WOODWASTE"/>
    <x v="0"/>
    <x v="5"/>
    <n v="57.099073555166399"/>
    <n v="20841.1618476357"/>
    <n v="75028.182651488605"/>
  </r>
  <r>
    <x v="0"/>
    <x v="0"/>
    <x v="0"/>
    <x v="8"/>
    <x v="18"/>
    <s v="SE3_EL"/>
    <x v="9"/>
    <s v="GHOB_WOODWASTE"/>
    <x v="0"/>
    <x v="6"/>
    <n v="57.099073555166399"/>
    <n v="20841.1618476357"/>
    <n v="75028.182651488605"/>
  </r>
  <r>
    <x v="0"/>
    <x v="0"/>
    <x v="0"/>
    <x v="8"/>
    <x v="18"/>
    <s v="SE3_EL"/>
    <x v="9"/>
    <s v="GHOB_WOODWASTE"/>
    <x v="0"/>
    <x v="7"/>
    <n v="57.099073555166399"/>
    <n v="20841.1618476357"/>
    <n v="75028.182651488605"/>
  </r>
  <r>
    <x v="0"/>
    <x v="0"/>
    <x v="0"/>
    <x v="8"/>
    <x v="18"/>
    <s v="SE3_EL"/>
    <x v="9"/>
    <s v="GHOB_WOODWASTE"/>
    <x v="0"/>
    <x v="8"/>
    <n v="57.099073555166399"/>
    <n v="20841.1618476357"/>
    <n v="75028.182651488605"/>
  </r>
  <r>
    <x v="0"/>
    <x v="0"/>
    <x v="0"/>
    <x v="8"/>
    <x v="18"/>
    <s v="SE3_EL"/>
    <x v="9"/>
    <s v="GHOB_WOODWASTE"/>
    <x v="0"/>
    <x v="9"/>
    <n v="57.099073555166399"/>
    <n v="20841.1618476357"/>
    <n v="75028.182651488605"/>
  </r>
  <r>
    <x v="0"/>
    <x v="0"/>
    <x v="0"/>
    <x v="8"/>
    <x v="18"/>
    <s v="SE3_EL"/>
    <x v="9"/>
    <s v="GHOB_WOODWASTE"/>
    <x v="0"/>
    <x v="10"/>
    <n v="57.099073555166399"/>
    <n v="20841.1618476357"/>
    <n v="75028.182651488605"/>
  </r>
  <r>
    <x v="0"/>
    <x v="0"/>
    <x v="0"/>
    <x v="8"/>
    <x v="18"/>
    <s v="SE3_EL"/>
    <x v="9"/>
    <s v="GHOB_WOODWASTE"/>
    <x v="0"/>
    <x v="11"/>
    <n v="57.099073555166399"/>
    <n v="20841.1618476357"/>
    <n v="75028.182651488605"/>
  </r>
  <r>
    <x v="0"/>
    <x v="0"/>
    <x v="0"/>
    <x v="8"/>
    <x v="18"/>
    <s v="SE3_EL"/>
    <x v="9"/>
    <s v="GHOB_WOODWASTE"/>
    <x v="0"/>
    <x v="12"/>
    <n v="57.099073555166399"/>
    <n v="20841.1618476357"/>
    <n v="75028.182651488605"/>
  </r>
  <r>
    <x v="0"/>
    <x v="0"/>
    <x v="0"/>
    <x v="8"/>
    <x v="18"/>
    <s v="SE3_EL"/>
    <x v="9"/>
    <s v="GHOB_WOODWASTE"/>
    <x v="0"/>
    <x v="13"/>
    <n v="57.099073555166399"/>
    <n v="20841.1618476357"/>
    <n v="75028.182651488605"/>
  </r>
  <r>
    <x v="0"/>
    <x v="0"/>
    <x v="0"/>
    <x v="8"/>
    <x v="18"/>
    <s v="SE3_EL"/>
    <x v="9"/>
    <s v="GHOB_WOODWASTE"/>
    <x v="0"/>
    <x v="14"/>
    <n v="57.099073555166399"/>
    <n v="20841.1618476357"/>
    <n v="75028.182651488605"/>
  </r>
  <r>
    <x v="0"/>
    <x v="0"/>
    <x v="0"/>
    <x v="8"/>
    <x v="18"/>
    <s v="SE3_EL"/>
    <x v="9"/>
    <s v="GHOB_WOODWASTE"/>
    <x v="0"/>
    <x v="15"/>
    <n v="57.099073555166399"/>
    <n v="20841.1618476357"/>
    <n v="75028.182651488605"/>
  </r>
  <r>
    <x v="0"/>
    <x v="0"/>
    <x v="0"/>
    <x v="8"/>
    <x v="18"/>
    <s v="SE3_EL"/>
    <x v="9"/>
    <s v="GHOB_WOODWASTE"/>
    <x v="0"/>
    <x v="16"/>
    <n v="57.099073555166399"/>
    <n v="20841.1618476357"/>
    <n v="75028.182651488605"/>
  </r>
  <r>
    <x v="0"/>
    <x v="0"/>
    <x v="0"/>
    <x v="8"/>
    <x v="18"/>
    <s v="SE3_EL"/>
    <x v="9"/>
    <s v="GHOB_WOODWASTE"/>
    <x v="0"/>
    <x v="17"/>
    <n v="57.099073555166399"/>
    <n v="20841.1618476357"/>
    <n v="75028.182651488605"/>
  </r>
  <r>
    <x v="0"/>
    <x v="0"/>
    <x v="0"/>
    <x v="8"/>
    <x v="18"/>
    <s v="SE3_EL"/>
    <x v="9"/>
    <s v="GHOB_WOODWASTE"/>
    <x v="0"/>
    <x v="18"/>
    <n v="57.099073555166399"/>
    <n v="20841.1618476357"/>
    <n v="75028.182651488605"/>
  </r>
  <r>
    <x v="0"/>
    <x v="0"/>
    <x v="0"/>
    <x v="8"/>
    <x v="18"/>
    <s v="SE3_EL"/>
    <x v="9"/>
    <s v="GHOB_WOODWASTE"/>
    <x v="0"/>
    <x v="19"/>
    <n v="57.099073555166399"/>
    <n v="20841.1618476357"/>
    <n v="75028.182651488605"/>
  </r>
  <r>
    <x v="0"/>
    <x v="0"/>
    <x v="0"/>
    <x v="8"/>
    <x v="18"/>
    <s v="SE3_EL"/>
    <x v="9"/>
    <s v="GHOB_WOODWASTE"/>
    <x v="0"/>
    <x v="20"/>
    <n v="57.099073555166399"/>
    <n v="20841.1618476357"/>
    <n v="75028.182651488605"/>
  </r>
  <r>
    <x v="0"/>
    <x v="0"/>
    <x v="0"/>
    <x v="8"/>
    <x v="18"/>
    <s v="SE3_EL"/>
    <x v="9"/>
    <s v="GHOB_WOODWASTE"/>
    <x v="0"/>
    <x v="21"/>
    <n v="57.099073555166399"/>
    <n v="20841.1618476357"/>
    <n v="75028.182651488605"/>
  </r>
  <r>
    <x v="0"/>
    <x v="0"/>
    <x v="0"/>
    <x v="8"/>
    <x v="18"/>
    <s v="SE3_EL"/>
    <x v="9"/>
    <s v="GHOB_WOODWASTE"/>
    <x v="0"/>
    <x v="22"/>
    <n v="57.099073555166399"/>
    <n v="20841.1618476357"/>
    <n v="75028.182651488605"/>
  </r>
  <r>
    <x v="0"/>
    <x v="0"/>
    <x v="0"/>
    <x v="8"/>
    <x v="18"/>
    <s v="SE3_EL"/>
    <x v="9"/>
    <s v="GHOB_WOODWASTE"/>
    <x v="0"/>
    <x v="23"/>
    <n v="57.099073555166399"/>
    <n v="20841.1618476357"/>
    <n v="75028.182651488605"/>
  </r>
  <r>
    <x v="0"/>
    <x v="0"/>
    <x v="0"/>
    <x v="8"/>
    <x v="18"/>
    <s v="SE3_GOT"/>
    <x v="2"/>
    <s v="GNR_HS_HEAT_WTR-TANK_LS_E-95_Y-2010"/>
    <x v="0"/>
    <x v="6"/>
    <n v="72.482686740373296"/>
    <n v="26456.180660236299"/>
    <n v="95242.250376850498"/>
  </r>
  <r>
    <x v="0"/>
    <x v="0"/>
    <x v="0"/>
    <x v="8"/>
    <x v="18"/>
    <s v="SE3_GOT"/>
    <x v="2"/>
    <s v="GNR_HS_HEAT_WTR-TANK_LS_E-95_Y-2010"/>
    <x v="0"/>
    <x v="7"/>
    <n v="110.06284671851699"/>
    <n v="40172.939052258698"/>
    <n v="144622.58058813101"/>
  </r>
  <r>
    <x v="0"/>
    <x v="0"/>
    <x v="0"/>
    <x v="8"/>
    <x v="18"/>
    <s v="SE3_GOT"/>
    <x v="2"/>
    <s v="GNR_HS_HEAT_WTR-TANK_LS_E-95_Y-2010"/>
    <x v="0"/>
    <x v="8"/>
    <n v="103.891133042525"/>
    <n v="37920.263560521598"/>
    <n v="136512.948817878"/>
  </r>
  <r>
    <x v="0"/>
    <x v="0"/>
    <x v="0"/>
    <x v="8"/>
    <x v="18"/>
    <s v="SE3_GOT"/>
    <x v="2"/>
    <s v="GNR_HS_HEAT_WTR-TANK_LS_E-95_Y-2010"/>
    <x v="0"/>
    <x v="9"/>
    <n v="86.715508624631397"/>
    <n v="31651.160647990499"/>
    <n v="113944.17833276599"/>
  </r>
  <r>
    <x v="0"/>
    <x v="0"/>
    <x v="0"/>
    <x v="8"/>
    <x v="18"/>
    <s v="SE3_GOT"/>
    <x v="2"/>
    <s v="GNR_HS_HEAT_WTR-TANK_LS_E-95_Y-2010"/>
    <x v="0"/>
    <x v="10"/>
    <n v="70.908251552878497"/>
    <n v="25881.511816800601"/>
    <n v="93173.442540482298"/>
  </r>
  <r>
    <x v="0"/>
    <x v="0"/>
    <x v="0"/>
    <x v="8"/>
    <x v="18"/>
    <s v="SE3_GOT"/>
    <x v="2"/>
    <s v="GNR_HS_HEAT_WTR-TANK_LS_E-95_Y-2010"/>
    <x v="0"/>
    <x v="11"/>
    <n v="55.1985637667863"/>
    <n v="20147.475774876999"/>
    <n v="72530.912789557202"/>
  </r>
  <r>
    <x v="0"/>
    <x v="0"/>
    <x v="0"/>
    <x v="8"/>
    <x v="18"/>
    <s v="SE3_GOT"/>
    <x v="2"/>
    <s v="GNR_HS_HEAT_WTR-TANK_LS_E-95_Y-2010"/>
    <x v="0"/>
    <x v="12"/>
    <n v="38.1520589105452"/>
    <n v="13925.501502349"/>
    <n v="50131.805408456399"/>
  </r>
  <r>
    <x v="0"/>
    <x v="0"/>
    <x v="0"/>
    <x v="8"/>
    <x v="18"/>
    <s v="SE3_GOT"/>
    <x v="2"/>
    <s v="GNR_HS_HEAT_WTR-TANK_LS_E-95_Y-2010"/>
    <x v="0"/>
    <x v="13"/>
    <n v="36.341561836446303"/>
    <n v="13264.6700703029"/>
    <n v="47752.812253090502"/>
  </r>
  <r>
    <x v="0"/>
    <x v="0"/>
    <x v="0"/>
    <x v="8"/>
    <x v="18"/>
    <s v="SE3_GOT"/>
    <x v="2"/>
    <s v="GNR_HS_HEAT_WTR-TANK_LS_E-95_Y-2010"/>
    <x v="0"/>
    <x v="14"/>
    <n v="28.063225075963999"/>
    <n v="10243.077152726901"/>
    <n v="36875.077749816701"/>
  </r>
  <r>
    <x v="0"/>
    <x v="0"/>
    <x v="0"/>
    <x v="8"/>
    <x v="18"/>
    <s v="SE3_GOT"/>
    <x v="2"/>
    <s v="GNR_HS_HEAT_WTR-TANK_LS_E-95_Y-2010"/>
    <x v="0"/>
    <x v="15"/>
    <n v="22.801665191593798"/>
    <n v="8322.6077949317496"/>
    <n v="29961.3880617543"/>
  </r>
  <r>
    <x v="0"/>
    <x v="0"/>
    <x v="0"/>
    <x v="8"/>
    <x v="18"/>
    <s v="SE3_GOT"/>
    <x v="2"/>
    <s v="GNR_HS_HEAT_WTR-TANK_LS_E-95_Y-2010"/>
    <x v="0"/>
    <x v="16"/>
    <n v="13.381088226881401"/>
    <n v="4884.0972028117103"/>
    <n v="17582.7499301221"/>
  </r>
  <r>
    <x v="0"/>
    <x v="0"/>
    <x v="0"/>
    <x v="8"/>
    <x v="18"/>
    <s v="SE3_GOT"/>
    <x v="3"/>
    <s v="GBPR_MUNIWASTE_24"/>
    <x v="0"/>
    <x v="0"/>
    <n v="169.166666666667"/>
    <n v="61745.833333333299"/>
    <n v="222285"/>
  </r>
  <r>
    <x v="0"/>
    <x v="0"/>
    <x v="0"/>
    <x v="8"/>
    <x v="18"/>
    <s v="SE3_GOT"/>
    <x v="3"/>
    <s v="GBPR_MUNIWASTE_24"/>
    <x v="0"/>
    <x v="1"/>
    <n v="169.166666666667"/>
    <n v="61745.833333333299"/>
    <n v="222285"/>
  </r>
  <r>
    <x v="0"/>
    <x v="0"/>
    <x v="0"/>
    <x v="8"/>
    <x v="18"/>
    <s v="SE3_GOT"/>
    <x v="3"/>
    <s v="GBPR_MUNIWASTE_24"/>
    <x v="0"/>
    <x v="2"/>
    <n v="169.166666666667"/>
    <n v="61745.833333333299"/>
    <n v="222285"/>
  </r>
  <r>
    <x v="0"/>
    <x v="0"/>
    <x v="0"/>
    <x v="8"/>
    <x v="18"/>
    <s v="SE3_GOT"/>
    <x v="3"/>
    <s v="GBPR_MUNIWASTE_24"/>
    <x v="0"/>
    <x v="3"/>
    <n v="169.166666666667"/>
    <n v="61745.833333333299"/>
    <n v="222285"/>
  </r>
  <r>
    <x v="0"/>
    <x v="0"/>
    <x v="0"/>
    <x v="8"/>
    <x v="18"/>
    <s v="SE3_GOT"/>
    <x v="3"/>
    <s v="GBPR_MUNIWASTE_24"/>
    <x v="0"/>
    <x v="4"/>
    <n v="169.166666666667"/>
    <n v="61745.833333333299"/>
    <n v="222285"/>
  </r>
  <r>
    <x v="0"/>
    <x v="0"/>
    <x v="0"/>
    <x v="8"/>
    <x v="18"/>
    <s v="SE3_GOT"/>
    <x v="3"/>
    <s v="GBPR_MUNIWASTE_24"/>
    <x v="0"/>
    <x v="5"/>
    <n v="169.166666666667"/>
    <n v="61745.833333333299"/>
    <n v="222285"/>
  </r>
  <r>
    <x v="0"/>
    <x v="0"/>
    <x v="0"/>
    <x v="8"/>
    <x v="18"/>
    <s v="SE3_GOT"/>
    <x v="3"/>
    <s v="GBPR_MUNIWASTE_24"/>
    <x v="0"/>
    <x v="6"/>
    <n v="169.166666666667"/>
    <n v="61745.833333333299"/>
    <n v="222285"/>
  </r>
  <r>
    <x v="0"/>
    <x v="0"/>
    <x v="0"/>
    <x v="8"/>
    <x v="18"/>
    <s v="SE3_GOT"/>
    <x v="3"/>
    <s v="GBPR_MUNIWASTE_24"/>
    <x v="0"/>
    <x v="7"/>
    <n v="169.166666666667"/>
    <n v="61745.833333333299"/>
    <n v="222285"/>
  </r>
  <r>
    <x v="0"/>
    <x v="0"/>
    <x v="0"/>
    <x v="8"/>
    <x v="18"/>
    <s v="SE3_GOT"/>
    <x v="3"/>
    <s v="GBPR_MUNIWASTE_24"/>
    <x v="0"/>
    <x v="8"/>
    <n v="169.166666666667"/>
    <n v="61745.833333333299"/>
    <n v="222285"/>
  </r>
  <r>
    <x v="0"/>
    <x v="0"/>
    <x v="0"/>
    <x v="8"/>
    <x v="18"/>
    <s v="SE3_GOT"/>
    <x v="3"/>
    <s v="GBPR_MUNIWASTE_24"/>
    <x v="0"/>
    <x v="9"/>
    <n v="169.166666666667"/>
    <n v="61745.833333333299"/>
    <n v="222285"/>
  </r>
  <r>
    <x v="0"/>
    <x v="0"/>
    <x v="0"/>
    <x v="8"/>
    <x v="18"/>
    <s v="SE3_GOT"/>
    <x v="3"/>
    <s v="GBPR_MUNIWASTE_24"/>
    <x v="0"/>
    <x v="10"/>
    <n v="169.166666666667"/>
    <n v="61745.833333333299"/>
    <n v="222285"/>
  </r>
  <r>
    <x v="0"/>
    <x v="0"/>
    <x v="0"/>
    <x v="8"/>
    <x v="18"/>
    <s v="SE3_GOT"/>
    <x v="3"/>
    <s v="GBPR_MUNIWASTE_24"/>
    <x v="0"/>
    <x v="11"/>
    <n v="169.166666666667"/>
    <n v="61745.833333333299"/>
    <n v="222285"/>
  </r>
  <r>
    <x v="0"/>
    <x v="0"/>
    <x v="0"/>
    <x v="8"/>
    <x v="18"/>
    <s v="SE3_GOT"/>
    <x v="3"/>
    <s v="GBPR_MUNIWASTE_24"/>
    <x v="0"/>
    <x v="12"/>
    <n v="169.166666666667"/>
    <n v="61745.833333333299"/>
    <n v="222285"/>
  </r>
  <r>
    <x v="0"/>
    <x v="0"/>
    <x v="0"/>
    <x v="8"/>
    <x v="18"/>
    <s v="SE3_GOT"/>
    <x v="3"/>
    <s v="GBPR_MUNIWASTE_24"/>
    <x v="0"/>
    <x v="13"/>
    <n v="169.166666666667"/>
    <n v="61745.833333333299"/>
    <n v="222285"/>
  </r>
  <r>
    <x v="0"/>
    <x v="0"/>
    <x v="0"/>
    <x v="8"/>
    <x v="18"/>
    <s v="SE3_GOT"/>
    <x v="3"/>
    <s v="GBPR_MUNIWASTE_24"/>
    <x v="0"/>
    <x v="14"/>
    <n v="169.166666666667"/>
    <n v="61745.833333333299"/>
    <n v="222285"/>
  </r>
  <r>
    <x v="0"/>
    <x v="0"/>
    <x v="0"/>
    <x v="8"/>
    <x v="18"/>
    <s v="SE3_GOT"/>
    <x v="3"/>
    <s v="GBPR_MUNIWASTE_24"/>
    <x v="0"/>
    <x v="15"/>
    <n v="169.166666666667"/>
    <n v="61745.833333333299"/>
    <n v="222285"/>
  </r>
  <r>
    <x v="0"/>
    <x v="0"/>
    <x v="0"/>
    <x v="8"/>
    <x v="18"/>
    <s v="SE3_GOT"/>
    <x v="3"/>
    <s v="GBPR_MUNIWASTE_24"/>
    <x v="0"/>
    <x v="16"/>
    <n v="169.166666666667"/>
    <n v="61745.833333333299"/>
    <n v="222285"/>
  </r>
  <r>
    <x v="0"/>
    <x v="0"/>
    <x v="0"/>
    <x v="8"/>
    <x v="18"/>
    <s v="SE3_GOT"/>
    <x v="3"/>
    <s v="GBPR_MUNIWASTE_24"/>
    <x v="0"/>
    <x v="17"/>
    <n v="169.166666666667"/>
    <n v="61745.833333333299"/>
    <n v="222285"/>
  </r>
  <r>
    <x v="0"/>
    <x v="0"/>
    <x v="0"/>
    <x v="8"/>
    <x v="18"/>
    <s v="SE3_GOT"/>
    <x v="3"/>
    <s v="GBPR_MUNIWASTE_24"/>
    <x v="0"/>
    <x v="18"/>
    <n v="169.166666666667"/>
    <n v="61745.833333333299"/>
    <n v="222285"/>
  </r>
  <r>
    <x v="0"/>
    <x v="0"/>
    <x v="0"/>
    <x v="8"/>
    <x v="18"/>
    <s v="SE3_GOT"/>
    <x v="3"/>
    <s v="GBPR_MUNIWASTE_24"/>
    <x v="0"/>
    <x v="19"/>
    <n v="169.166666666667"/>
    <n v="61745.833333333299"/>
    <n v="222285"/>
  </r>
  <r>
    <x v="0"/>
    <x v="0"/>
    <x v="0"/>
    <x v="8"/>
    <x v="18"/>
    <s v="SE3_GOT"/>
    <x v="3"/>
    <s v="GBPR_MUNIWASTE_24"/>
    <x v="0"/>
    <x v="20"/>
    <n v="169.166666666667"/>
    <n v="61745.833333333299"/>
    <n v="222285"/>
  </r>
  <r>
    <x v="0"/>
    <x v="0"/>
    <x v="0"/>
    <x v="8"/>
    <x v="18"/>
    <s v="SE3_GOT"/>
    <x v="3"/>
    <s v="GBPR_MUNIWASTE_24"/>
    <x v="0"/>
    <x v="21"/>
    <n v="169.166666666667"/>
    <n v="61745.833333333299"/>
    <n v="222285"/>
  </r>
  <r>
    <x v="0"/>
    <x v="0"/>
    <x v="0"/>
    <x v="8"/>
    <x v="18"/>
    <s v="SE3_GOT"/>
    <x v="3"/>
    <s v="GBPR_MUNIWASTE_24"/>
    <x v="0"/>
    <x v="22"/>
    <n v="169.166666666667"/>
    <n v="61745.833333333299"/>
    <n v="222285"/>
  </r>
  <r>
    <x v="0"/>
    <x v="0"/>
    <x v="0"/>
    <x v="8"/>
    <x v="18"/>
    <s v="SE3_GOT"/>
    <x v="3"/>
    <s v="GBPR_MUNIWASTE_24"/>
    <x v="0"/>
    <x v="23"/>
    <n v="169.166666666667"/>
    <n v="61745.833333333299"/>
    <n v="222285"/>
  </r>
  <r>
    <x v="0"/>
    <x v="0"/>
    <x v="0"/>
    <x v="8"/>
    <x v="18"/>
    <s v="SE3_GOT"/>
    <x v="6"/>
    <s v="GHOB_WASTEHEAT"/>
    <x v="0"/>
    <x v="0"/>
    <n v="118.24633699633701"/>
    <n v="43159.913003662798"/>
    <n v="155375.68681318601"/>
  </r>
  <r>
    <x v="0"/>
    <x v="0"/>
    <x v="0"/>
    <x v="8"/>
    <x v="18"/>
    <s v="SE3_GOT"/>
    <x v="6"/>
    <s v="GHOB_WASTEHEAT"/>
    <x v="0"/>
    <x v="1"/>
    <n v="118.24633699633701"/>
    <n v="43159.913003662798"/>
    <n v="155375.68681318601"/>
  </r>
  <r>
    <x v="0"/>
    <x v="0"/>
    <x v="0"/>
    <x v="8"/>
    <x v="18"/>
    <s v="SE3_GOT"/>
    <x v="6"/>
    <s v="GHOB_WASTEHEAT"/>
    <x v="0"/>
    <x v="2"/>
    <n v="118.24633699633701"/>
    <n v="43159.913003662798"/>
    <n v="155375.68681318601"/>
  </r>
  <r>
    <x v="0"/>
    <x v="0"/>
    <x v="0"/>
    <x v="8"/>
    <x v="18"/>
    <s v="SE3_GOT"/>
    <x v="6"/>
    <s v="GHOB_WASTEHEAT"/>
    <x v="0"/>
    <x v="3"/>
    <n v="118.24633699633701"/>
    <n v="43159.913003662798"/>
    <n v="155375.68681318601"/>
  </r>
  <r>
    <x v="0"/>
    <x v="0"/>
    <x v="0"/>
    <x v="8"/>
    <x v="18"/>
    <s v="SE3_GOT"/>
    <x v="6"/>
    <s v="GHOB_WASTEHEAT"/>
    <x v="0"/>
    <x v="4"/>
    <n v="118.24633699633701"/>
    <n v="43159.913003662798"/>
    <n v="155375.68681318601"/>
  </r>
  <r>
    <x v="0"/>
    <x v="0"/>
    <x v="0"/>
    <x v="8"/>
    <x v="18"/>
    <s v="SE3_GOT"/>
    <x v="6"/>
    <s v="GHOB_WASTEHEAT"/>
    <x v="0"/>
    <x v="5"/>
    <n v="118.24633699633701"/>
    <n v="43159.913003662798"/>
    <n v="155375.68681318601"/>
  </r>
  <r>
    <x v="0"/>
    <x v="0"/>
    <x v="0"/>
    <x v="8"/>
    <x v="18"/>
    <s v="SE3_GOT"/>
    <x v="6"/>
    <s v="GHOB_WASTEHEAT"/>
    <x v="0"/>
    <x v="6"/>
    <n v="118.24633699633701"/>
    <n v="43159.913003662798"/>
    <n v="155375.68681318601"/>
  </r>
  <r>
    <x v="0"/>
    <x v="0"/>
    <x v="0"/>
    <x v="8"/>
    <x v="18"/>
    <s v="SE3_GOT"/>
    <x v="6"/>
    <s v="GHOB_WASTEHEAT"/>
    <x v="0"/>
    <x v="7"/>
    <n v="118.24633699633701"/>
    <n v="43159.913003662798"/>
    <n v="155375.68681318601"/>
  </r>
  <r>
    <x v="0"/>
    <x v="0"/>
    <x v="0"/>
    <x v="8"/>
    <x v="18"/>
    <s v="SE3_GOT"/>
    <x v="6"/>
    <s v="GHOB_WASTEHEAT"/>
    <x v="0"/>
    <x v="8"/>
    <n v="118.24633699633701"/>
    <n v="43159.913003662798"/>
    <n v="155375.68681318601"/>
  </r>
  <r>
    <x v="0"/>
    <x v="0"/>
    <x v="0"/>
    <x v="8"/>
    <x v="18"/>
    <s v="SE3_GOT"/>
    <x v="6"/>
    <s v="GHOB_WASTEHEAT"/>
    <x v="0"/>
    <x v="9"/>
    <n v="118.24633699633701"/>
    <n v="43159.913003662798"/>
    <n v="155375.68681318601"/>
  </r>
  <r>
    <x v="0"/>
    <x v="0"/>
    <x v="0"/>
    <x v="8"/>
    <x v="18"/>
    <s v="SE3_GOT"/>
    <x v="6"/>
    <s v="GHOB_WASTEHEAT"/>
    <x v="0"/>
    <x v="10"/>
    <n v="118.24633699633701"/>
    <n v="43159.913003662798"/>
    <n v="155375.68681318601"/>
  </r>
  <r>
    <x v="0"/>
    <x v="0"/>
    <x v="0"/>
    <x v="8"/>
    <x v="18"/>
    <s v="SE3_GOT"/>
    <x v="6"/>
    <s v="GHOB_WASTEHEAT"/>
    <x v="0"/>
    <x v="11"/>
    <n v="118.24633699633701"/>
    <n v="43159.913003662798"/>
    <n v="155375.68681318601"/>
  </r>
  <r>
    <x v="0"/>
    <x v="0"/>
    <x v="0"/>
    <x v="8"/>
    <x v="18"/>
    <s v="SE3_GOT"/>
    <x v="6"/>
    <s v="GHOB_WASTEHEAT"/>
    <x v="0"/>
    <x v="12"/>
    <n v="118.24633699633701"/>
    <n v="43159.913003662798"/>
    <n v="155375.68681318601"/>
  </r>
  <r>
    <x v="0"/>
    <x v="0"/>
    <x v="0"/>
    <x v="8"/>
    <x v="18"/>
    <s v="SE3_GOT"/>
    <x v="6"/>
    <s v="GHOB_WASTEHEAT"/>
    <x v="0"/>
    <x v="13"/>
    <n v="118.24633699633701"/>
    <n v="43159.913003662798"/>
    <n v="155375.68681318601"/>
  </r>
  <r>
    <x v="0"/>
    <x v="0"/>
    <x v="0"/>
    <x v="8"/>
    <x v="18"/>
    <s v="SE3_GOT"/>
    <x v="6"/>
    <s v="GHOB_WASTEHEAT"/>
    <x v="0"/>
    <x v="14"/>
    <n v="118.24633699633701"/>
    <n v="43159.913003662798"/>
    <n v="155375.68681318601"/>
  </r>
  <r>
    <x v="0"/>
    <x v="0"/>
    <x v="0"/>
    <x v="8"/>
    <x v="18"/>
    <s v="SE3_GOT"/>
    <x v="6"/>
    <s v="GHOB_WASTEHEAT"/>
    <x v="0"/>
    <x v="15"/>
    <n v="118.24633699633701"/>
    <n v="43159.913003662798"/>
    <n v="155375.68681318601"/>
  </r>
  <r>
    <x v="0"/>
    <x v="0"/>
    <x v="0"/>
    <x v="8"/>
    <x v="18"/>
    <s v="SE3_GOT"/>
    <x v="6"/>
    <s v="GHOB_WASTEHEAT"/>
    <x v="0"/>
    <x v="16"/>
    <n v="118.24633699633701"/>
    <n v="43159.913003662798"/>
    <n v="155375.68681318601"/>
  </r>
  <r>
    <x v="0"/>
    <x v="0"/>
    <x v="0"/>
    <x v="8"/>
    <x v="18"/>
    <s v="SE3_GOT"/>
    <x v="6"/>
    <s v="GHOB_WASTEHEAT"/>
    <x v="0"/>
    <x v="17"/>
    <n v="118.24633699633701"/>
    <n v="43159.913003662798"/>
    <n v="155375.68681318601"/>
  </r>
  <r>
    <x v="0"/>
    <x v="0"/>
    <x v="0"/>
    <x v="8"/>
    <x v="18"/>
    <s v="SE3_GOT"/>
    <x v="6"/>
    <s v="GHOB_WASTEHEAT"/>
    <x v="0"/>
    <x v="18"/>
    <n v="118.24633699633701"/>
    <n v="43159.913003662798"/>
    <n v="155375.68681318601"/>
  </r>
  <r>
    <x v="0"/>
    <x v="0"/>
    <x v="0"/>
    <x v="8"/>
    <x v="18"/>
    <s v="SE3_GOT"/>
    <x v="6"/>
    <s v="GHOB_WASTEHEAT"/>
    <x v="0"/>
    <x v="19"/>
    <n v="118.24633699633701"/>
    <n v="43159.913003662798"/>
    <n v="155375.68681318601"/>
  </r>
  <r>
    <x v="0"/>
    <x v="0"/>
    <x v="0"/>
    <x v="8"/>
    <x v="18"/>
    <s v="SE3_GOT"/>
    <x v="6"/>
    <s v="GHOB_WASTEHEAT"/>
    <x v="0"/>
    <x v="20"/>
    <n v="118.24633699633701"/>
    <n v="43159.913003662798"/>
    <n v="155375.68681318601"/>
  </r>
  <r>
    <x v="0"/>
    <x v="0"/>
    <x v="0"/>
    <x v="8"/>
    <x v="18"/>
    <s v="SE3_GOT"/>
    <x v="6"/>
    <s v="GHOB_WASTEHEAT"/>
    <x v="0"/>
    <x v="21"/>
    <n v="118.24633699633701"/>
    <n v="43159.913003662798"/>
    <n v="155375.68681318601"/>
  </r>
  <r>
    <x v="0"/>
    <x v="0"/>
    <x v="0"/>
    <x v="8"/>
    <x v="18"/>
    <s v="SE3_GOT"/>
    <x v="6"/>
    <s v="GHOB_WASTEHEAT"/>
    <x v="0"/>
    <x v="22"/>
    <n v="118.24633699633701"/>
    <n v="43159.913003662798"/>
    <n v="155375.68681318601"/>
  </r>
  <r>
    <x v="0"/>
    <x v="0"/>
    <x v="0"/>
    <x v="8"/>
    <x v="18"/>
    <s v="SE3_GOT"/>
    <x v="6"/>
    <s v="GHOB_WASTEHEAT"/>
    <x v="0"/>
    <x v="23"/>
    <n v="118.24633699633701"/>
    <n v="43159.913003662798"/>
    <n v="155375.68681318601"/>
  </r>
  <r>
    <x v="0"/>
    <x v="0"/>
    <x v="0"/>
    <x v="8"/>
    <x v="18"/>
    <s v="SE3_GOT"/>
    <x v="8"/>
    <s v="GHOB_WOODPELLETS"/>
    <x v="0"/>
    <x v="0"/>
    <n v="110"/>
    <n v="40150"/>
    <n v="144540"/>
  </r>
  <r>
    <x v="0"/>
    <x v="0"/>
    <x v="0"/>
    <x v="8"/>
    <x v="18"/>
    <s v="SE3_GOT"/>
    <x v="8"/>
    <s v="GHOB_WOODPELLETS"/>
    <x v="0"/>
    <x v="1"/>
    <n v="110"/>
    <n v="40150"/>
    <n v="144540"/>
  </r>
  <r>
    <x v="0"/>
    <x v="0"/>
    <x v="0"/>
    <x v="8"/>
    <x v="18"/>
    <s v="SE3_GOT"/>
    <x v="8"/>
    <s v="GHOB_WOODPELLETS"/>
    <x v="0"/>
    <x v="2"/>
    <n v="110"/>
    <n v="40150"/>
    <n v="144540"/>
  </r>
  <r>
    <x v="0"/>
    <x v="0"/>
    <x v="0"/>
    <x v="8"/>
    <x v="18"/>
    <s v="SE3_GOT"/>
    <x v="8"/>
    <s v="GHOB_WOODPELLETS"/>
    <x v="0"/>
    <x v="3"/>
    <n v="110"/>
    <n v="40150"/>
    <n v="144540"/>
  </r>
  <r>
    <x v="0"/>
    <x v="0"/>
    <x v="0"/>
    <x v="8"/>
    <x v="18"/>
    <s v="SE3_GOT"/>
    <x v="8"/>
    <s v="GHOB_WOODPELLETS"/>
    <x v="0"/>
    <x v="4"/>
    <n v="110"/>
    <n v="40150"/>
    <n v="144540"/>
  </r>
  <r>
    <x v="0"/>
    <x v="0"/>
    <x v="0"/>
    <x v="8"/>
    <x v="18"/>
    <s v="SE3_GOT"/>
    <x v="8"/>
    <s v="GHOB_WOODPELLETS"/>
    <x v="0"/>
    <x v="5"/>
    <n v="110"/>
    <n v="40150"/>
    <n v="144540"/>
  </r>
  <r>
    <x v="0"/>
    <x v="0"/>
    <x v="0"/>
    <x v="8"/>
    <x v="18"/>
    <s v="SE3_GOT"/>
    <x v="8"/>
    <s v="GHOB_WOODPELLETS"/>
    <x v="0"/>
    <x v="6"/>
    <n v="110"/>
    <n v="40150"/>
    <n v="144540"/>
  </r>
  <r>
    <x v="0"/>
    <x v="0"/>
    <x v="0"/>
    <x v="8"/>
    <x v="18"/>
    <s v="SE3_GOT"/>
    <x v="8"/>
    <s v="GHOB_WOODPELLETS"/>
    <x v="0"/>
    <x v="7"/>
    <n v="110"/>
    <n v="40150"/>
    <n v="144540"/>
  </r>
  <r>
    <x v="0"/>
    <x v="0"/>
    <x v="0"/>
    <x v="8"/>
    <x v="18"/>
    <s v="SE3_GOT"/>
    <x v="8"/>
    <s v="GHOB_WOODPELLETS"/>
    <x v="0"/>
    <x v="8"/>
    <n v="110"/>
    <n v="40150"/>
    <n v="144540"/>
  </r>
  <r>
    <x v="0"/>
    <x v="0"/>
    <x v="0"/>
    <x v="8"/>
    <x v="18"/>
    <s v="SE3_GOT"/>
    <x v="8"/>
    <s v="GHOB_WOODPELLETS"/>
    <x v="0"/>
    <x v="9"/>
    <n v="110"/>
    <n v="40150"/>
    <n v="144540"/>
  </r>
  <r>
    <x v="0"/>
    <x v="0"/>
    <x v="0"/>
    <x v="8"/>
    <x v="18"/>
    <s v="SE3_GOT"/>
    <x v="8"/>
    <s v="GHOB_WOODPELLETS"/>
    <x v="0"/>
    <x v="10"/>
    <n v="110"/>
    <n v="40150"/>
    <n v="144540"/>
  </r>
  <r>
    <x v="0"/>
    <x v="0"/>
    <x v="0"/>
    <x v="8"/>
    <x v="18"/>
    <s v="SE3_GOT"/>
    <x v="8"/>
    <s v="GHOB_WOODPELLETS"/>
    <x v="0"/>
    <x v="11"/>
    <n v="110"/>
    <n v="40150"/>
    <n v="144540"/>
  </r>
  <r>
    <x v="0"/>
    <x v="0"/>
    <x v="0"/>
    <x v="8"/>
    <x v="18"/>
    <s v="SE3_GOT"/>
    <x v="8"/>
    <s v="GHOB_WOODPELLETS"/>
    <x v="0"/>
    <x v="12"/>
    <n v="110"/>
    <n v="40150"/>
    <n v="144540"/>
  </r>
  <r>
    <x v="0"/>
    <x v="0"/>
    <x v="0"/>
    <x v="8"/>
    <x v="18"/>
    <s v="SE3_GOT"/>
    <x v="8"/>
    <s v="GHOB_WOODPELLETS"/>
    <x v="0"/>
    <x v="13"/>
    <n v="110"/>
    <n v="40150"/>
    <n v="144540"/>
  </r>
  <r>
    <x v="0"/>
    <x v="0"/>
    <x v="0"/>
    <x v="8"/>
    <x v="18"/>
    <s v="SE3_GOT"/>
    <x v="8"/>
    <s v="GHOB_WOODPELLETS"/>
    <x v="0"/>
    <x v="14"/>
    <n v="110"/>
    <n v="40150"/>
    <n v="144540"/>
  </r>
  <r>
    <x v="0"/>
    <x v="0"/>
    <x v="0"/>
    <x v="8"/>
    <x v="18"/>
    <s v="SE3_GOT"/>
    <x v="8"/>
    <s v="GHOB_WOODPELLETS"/>
    <x v="0"/>
    <x v="15"/>
    <n v="110"/>
    <n v="40150"/>
    <n v="144540"/>
  </r>
  <r>
    <x v="0"/>
    <x v="0"/>
    <x v="0"/>
    <x v="8"/>
    <x v="18"/>
    <s v="SE3_GOT"/>
    <x v="8"/>
    <s v="GHOB_WOODPELLETS"/>
    <x v="0"/>
    <x v="16"/>
    <n v="110"/>
    <n v="40150"/>
    <n v="144540"/>
  </r>
  <r>
    <x v="0"/>
    <x v="0"/>
    <x v="0"/>
    <x v="8"/>
    <x v="18"/>
    <s v="SE3_GOT"/>
    <x v="8"/>
    <s v="GHOB_WOODPELLETS"/>
    <x v="0"/>
    <x v="17"/>
    <n v="110"/>
    <n v="40150"/>
    <n v="144540"/>
  </r>
  <r>
    <x v="0"/>
    <x v="0"/>
    <x v="0"/>
    <x v="8"/>
    <x v="18"/>
    <s v="SE3_GOT"/>
    <x v="8"/>
    <s v="GHOB_WOODPELLETS"/>
    <x v="0"/>
    <x v="18"/>
    <n v="110"/>
    <n v="40150"/>
    <n v="144540"/>
  </r>
  <r>
    <x v="0"/>
    <x v="0"/>
    <x v="0"/>
    <x v="8"/>
    <x v="18"/>
    <s v="SE3_GOT"/>
    <x v="8"/>
    <s v="GHOB_WOODPELLETS"/>
    <x v="0"/>
    <x v="19"/>
    <n v="110"/>
    <n v="40150"/>
    <n v="144540"/>
  </r>
  <r>
    <x v="0"/>
    <x v="0"/>
    <x v="0"/>
    <x v="8"/>
    <x v="18"/>
    <s v="SE3_GOT"/>
    <x v="8"/>
    <s v="GHOB_WOODPELLETS"/>
    <x v="0"/>
    <x v="20"/>
    <n v="58.238273407390402"/>
    <n v="21256.969793697499"/>
    <n v="76525.091257310996"/>
  </r>
  <r>
    <x v="0"/>
    <x v="0"/>
    <x v="0"/>
    <x v="8"/>
    <x v="18"/>
    <s v="SE3_GOT"/>
    <x v="8"/>
    <s v="GHOB_WOODPELLETS"/>
    <x v="0"/>
    <x v="21"/>
    <n v="40.737015421549899"/>
    <n v="14869.010628865701"/>
    <n v="53528.438263916498"/>
  </r>
  <r>
    <x v="0"/>
    <x v="0"/>
    <x v="0"/>
    <x v="8"/>
    <x v="18"/>
    <s v="SE3_GOT"/>
    <x v="8"/>
    <s v="GHOB_WOODPELLETS"/>
    <x v="0"/>
    <x v="22"/>
    <n v="62.447881071224899"/>
    <n v="22793.476590997099"/>
    <n v="82056.515727589504"/>
  </r>
  <r>
    <x v="0"/>
    <x v="0"/>
    <x v="0"/>
    <x v="8"/>
    <x v="18"/>
    <s v="SE3_GOT"/>
    <x v="8"/>
    <s v="GHOB_WOODPELLETS"/>
    <x v="0"/>
    <x v="23"/>
    <n v="110"/>
    <n v="40150"/>
    <n v="144540"/>
  </r>
  <r>
    <x v="0"/>
    <x v="0"/>
    <x v="0"/>
    <x v="8"/>
    <x v="18"/>
    <s v="SE3_GOT"/>
    <x v="9"/>
    <s v="GBPR_WOODWASTE_GOT"/>
    <x v="0"/>
    <x v="0"/>
    <n v="78.512319588487799"/>
    <n v="28656.996649797999"/>
    <n v="103165.187939273"/>
  </r>
  <r>
    <x v="0"/>
    <x v="0"/>
    <x v="0"/>
    <x v="8"/>
    <x v="18"/>
    <s v="SE3_GOT"/>
    <x v="9"/>
    <s v="GBPR_WOODWASTE_GOT"/>
    <x v="0"/>
    <x v="1"/>
    <n v="78.512319588487799"/>
    <n v="28656.996649797999"/>
    <n v="103165.187939273"/>
  </r>
  <r>
    <x v="0"/>
    <x v="0"/>
    <x v="0"/>
    <x v="8"/>
    <x v="18"/>
    <s v="SE3_GOT"/>
    <x v="9"/>
    <s v="GBPR_WOODWASTE_GOT"/>
    <x v="0"/>
    <x v="2"/>
    <n v="78.512319588487799"/>
    <n v="28656.996649797999"/>
    <n v="103165.187939273"/>
  </r>
  <r>
    <x v="0"/>
    <x v="0"/>
    <x v="0"/>
    <x v="8"/>
    <x v="18"/>
    <s v="SE3_GOT"/>
    <x v="9"/>
    <s v="GBPR_WOODWASTE_GOT"/>
    <x v="0"/>
    <x v="3"/>
    <n v="78.512319588487799"/>
    <n v="28656.996649797999"/>
    <n v="103165.187939273"/>
  </r>
  <r>
    <x v="0"/>
    <x v="0"/>
    <x v="0"/>
    <x v="8"/>
    <x v="18"/>
    <s v="SE3_GOT"/>
    <x v="9"/>
    <s v="GBPR_WOODWASTE_GOT"/>
    <x v="0"/>
    <x v="4"/>
    <n v="78.512319588487799"/>
    <n v="28656.996649797999"/>
    <n v="103165.187939273"/>
  </r>
  <r>
    <x v="0"/>
    <x v="0"/>
    <x v="0"/>
    <x v="8"/>
    <x v="18"/>
    <s v="SE3_GOT"/>
    <x v="9"/>
    <s v="GBPR_WOODWASTE_GOT"/>
    <x v="0"/>
    <x v="5"/>
    <n v="78.512319588487799"/>
    <n v="28656.996649797999"/>
    <n v="103165.187939273"/>
  </r>
  <r>
    <x v="0"/>
    <x v="0"/>
    <x v="0"/>
    <x v="8"/>
    <x v="18"/>
    <s v="SE3_GOT"/>
    <x v="9"/>
    <s v="GBPR_WOODWASTE_GOT"/>
    <x v="0"/>
    <x v="6"/>
    <n v="78.512319588487799"/>
    <n v="28656.996649797999"/>
    <n v="103165.187939273"/>
  </r>
  <r>
    <x v="0"/>
    <x v="0"/>
    <x v="0"/>
    <x v="8"/>
    <x v="18"/>
    <s v="SE3_GOT"/>
    <x v="9"/>
    <s v="GBPR_WOODWASTE_GOT"/>
    <x v="0"/>
    <x v="7"/>
    <n v="78.512319588487799"/>
    <n v="28656.996649797999"/>
    <n v="103165.187939273"/>
  </r>
  <r>
    <x v="0"/>
    <x v="0"/>
    <x v="0"/>
    <x v="8"/>
    <x v="18"/>
    <s v="SE3_GOT"/>
    <x v="9"/>
    <s v="GBPR_WOODWASTE_GOT"/>
    <x v="0"/>
    <x v="8"/>
    <n v="78.512319588487799"/>
    <n v="28656.996649797999"/>
    <n v="103165.187939273"/>
  </r>
  <r>
    <x v="0"/>
    <x v="0"/>
    <x v="0"/>
    <x v="8"/>
    <x v="18"/>
    <s v="SE3_GOT"/>
    <x v="9"/>
    <s v="GBPR_WOODWASTE_GOT"/>
    <x v="0"/>
    <x v="9"/>
    <n v="78.512319588487799"/>
    <n v="28656.996649797999"/>
    <n v="103165.187939273"/>
  </r>
  <r>
    <x v="0"/>
    <x v="0"/>
    <x v="0"/>
    <x v="8"/>
    <x v="18"/>
    <s v="SE3_GOT"/>
    <x v="9"/>
    <s v="GBPR_WOODWASTE_GOT"/>
    <x v="0"/>
    <x v="10"/>
    <n v="78.512319588487799"/>
    <n v="28656.996649797999"/>
    <n v="103165.187939273"/>
  </r>
  <r>
    <x v="0"/>
    <x v="0"/>
    <x v="0"/>
    <x v="8"/>
    <x v="18"/>
    <s v="SE3_GOT"/>
    <x v="9"/>
    <s v="GBPR_WOODWASTE_GOT"/>
    <x v="0"/>
    <x v="11"/>
    <n v="78.512319588487799"/>
    <n v="28656.996649797999"/>
    <n v="103165.187939273"/>
  </r>
  <r>
    <x v="0"/>
    <x v="0"/>
    <x v="0"/>
    <x v="8"/>
    <x v="18"/>
    <s v="SE3_GOT"/>
    <x v="9"/>
    <s v="GBPR_WOODWASTE_GOT"/>
    <x v="0"/>
    <x v="12"/>
    <n v="78.512319588487799"/>
    <n v="28656.996649797999"/>
    <n v="103165.187939273"/>
  </r>
  <r>
    <x v="0"/>
    <x v="0"/>
    <x v="0"/>
    <x v="8"/>
    <x v="18"/>
    <s v="SE3_GOT"/>
    <x v="9"/>
    <s v="GBPR_WOODWASTE_GOT"/>
    <x v="0"/>
    <x v="13"/>
    <n v="78.512319588487799"/>
    <n v="28656.996649797999"/>
    <n v="103165.187939273"/>
  </r>
  <r>
    <x v="0"/>
    <x v="0"/>
    <x v="0"/>
    <x v="8"/>
    <x v="18"/>
    <s v="SE3_GOT"/>
    <x v="9"/>
    <s v="GBPR_WOODWASTE_GOT"/>
    <x v="0"/>
    <x v="14"/>
    <n v="78.512319588487799"/>
    <n v="28656.996649797999"/>
    <n v="103165.187939273"/>
  </r>
  <r>
    <x v="0"/>
    <x v="0"/>
    <x v="0"/>
    <x v="8"/>
    <x v="18"/>
    <s v="SE3_GOT"/>
    <x v="9"/>
    <s v="GBPR_WOODWASTE_GOT"/>
    <x v="0"/>
    <x v="15"/>
    <n v="78.512319588487799"/>
    <n v="28656.996649797999"/>
    <n v="103165.187939273"/>
  </r>
  <r>
    <x v="0"/>
    <x v="0"/>
    <x v="0"/>
    <x v="8"/>
    <x v="18"/>
    <s v="SE3_GOT"/>
    <x v="9"/>
    <s v="GBPR_WOODWASTE_GOT"/>
    <x v="0"/>
    <x v="16"/>
    <n v="78.512319588487799"/>
    <n v="28656.996649797999"/>
    <n v="103165.187939273"/>
  </r>
  <r>
    <x v="0"/>
    <x v="0"/>
    <x v="0"/>
    <x v="8"/>
    <x v="18"/>
    <s v="SE3_GOT"/>
    <x v="9"/>
    <s v="GBPR_WOODWASTE_GOT"/>
    <x v="0"/>
    <x v="17"/>
    <n v="78.512319588487799"/>
    <n v="28656.996649797999"/>
    <n v="103165.187939273"/>
  </r>
  <r>
    <x v="0"/>
    <x v="0"/>
    <x v="0"/>
    <x v="8"/>
    <x v="18"/>
    <s v="SE3_GOT"/>
    <x v="9"/>
    <s v="GBPR_WOODWASTE_GOT"/>
    <x v="0"/>
    <x v="18"/>
    <n v="78.512319588487799"/>
    <n v="28656.996649797999"/>
    <n v="103165.187939273"/>
  </r>
  <r>
    <x v="0"/>
    <x v="0"/>
    <x v="0"/>
    <x v="8"/>
    <x v="18"/>
    <s v="SE3_GOT"/>
    <x v="9"/>
    <s v="GBPR_WOODWASTE_GOT"/>
    <x v="0"/>
    <x v="19"/>
    <n v="78.512319588487799"/>
    <n v="28656.996649797999"/>
    <n v="103165.187939273"/>
  </r>
  <r>
    <x v="0"/>
    <x v="0"/>
    <x v="0"/>
    <x v="8"/>
    <x v="18"/>
    <s v="SE3_GOT"/>
    <x v="9"/>
    <s v="GBPR_WOODWASTE_GOT"/>
    <x v="0"/>
    <x v="20"/>
    <n v="78.512319588487799"/>
    <n v="28656.996649797999"/>
    <n v="103165.187939273"/>
  </r>
  <r>
    <x v="0"/>
    <x v="0"/>
    <x v="0"/>
    <x v="8"/>
    <x v="18"/>
    <s v="SE3_GOT"/>
    <x v="9"/>
    <s v="GBPR_WOODWASTE_GOT"/>
    <x v="0"/>
    <x v="21"/>
    <n v="78.512319588487799"/>
    <n v="28656.996649797999"/>
    <n v="103165.187939273"/>
  </r>
  <r>
    <x v="0"/>
    <x v="0"/>
    <x v="0"/>
    <x v="8"/>
    <x v="18"/>
    <s v="SE3_GOT"/>
    <x v="9"/>
    <s v="GBPR_WOODWASTE_GOT"/>
    <x v="0"/>
    <x v="22"/>
    <n v="78.512319588487799"/>
    <n v="28656.996649797999"/>
    <n v="103165.187939273"/>
  </r>
  <r>
    <x v="0"/>
    <x v="0"/>
    <x v="0"/>
    <x v="8"/>
    <x v="18"/>
    <s v="SE3_GOT"/>
    <x v="9"/>
    <s v="GBPR_WOODWASTE_GOT"/>
    <x v="0"/>
    <x v="23"/>
    <n v="78.512319588487799"/>
    <n v="28656.996649797999"/>
    <n v="103165.187939273"/>
  </r>
  <r>
    <x v="0"/>
    <x v="0"/>
    <x v="0"/>
    <x v="8"/>
    <x v="18"/>
    <s v="SE3_HP"/>
    <x v="1"/>
    <s v="GHOB_BIOOIL"/>
    <x v="0"/>
    <x v="12"/>
    <n v="13.711100137510799"/>
    <n v="5004.5515501914597"/>
    <n v="18016.385580689199"/>
  </r>
  <r>
    <x v="0"/>
    <x v="0"/>
    <x v="0"/>
    <x v="8"/>
    <x v="18"/>
    <s v="SE3_HP"/>
    <x v="1"/>
    <s v="GHOB_BIOOIL"/>
    <x v="0"/>
    <x v="16"/>
    <n v="45.1664468828723"/>
    <n v="16485.7531122484"/>
    <n v="59348.711204094201"/>
  </r>
  <r>
    <x v="0"/>
    <x v="0"/>
    <x v="0"/>
    <x v="8"/>
    <x v="18"/>
    <s v="SE3_HP"/>
    <x v="1"/>
    <s v="GHOB_BIOOIL"/>
    <x v="0"/>
    <x v="17"/>
    <n v="29.089654713356399"/>
    <n v="10617.7239703751"/>
    <n v="38223.806293350302"/>
  </r>
  <r>
    <x v="0"/>
    <x v="0"/>
    <x v="0"/>
    <x v="8"/>
    <x v="18"/>
    <s v="SE3_HP"/>
    <x v="1"/>
    <s v="GHOB_BIOOIL"/>
    <x v="0"/>
    <x v="18"/>
    <n v="19.695350977338599"/>
    <n v="7188.8031067285801"/>
    <n v="25879.691184222898"/>
  </r>
  <r>
    <x v="0"/>
    <x v="0"/>
    <x v="0"/>
    <x v="8"/>
    <x v="18"/>
    <s v="SE3_HP"/>
    <x v="1"/>
    <s v="GHOB_BIOOIL"/>
    <x v="0"/>
    <x v="19"/>
    <n v="4.4924883959806996"/>
    <n v="1639.7582645329601"/>
    <n v="5903.1297523186404"/>
  </r>
  <r>
    <x v="0"/>
    <x v="0"/>
    <x v="0"/>
    <x v="8"/>
    <x v="18"/>
    <s v="SE3_HP"/>
    <x v="2"/>
    <s v="GNR_HS_HEAT_WTR-TANK_LS_E-95_Y-2010"/>
    <x v="0"/>
    <x v="6"/>
    <n v="42.034334321693997"/>
    <n v="15342.5320274183"/>
    <n v="55233.115298705998"/>
  </r>
  <r>
    <x v="0"/>
    <x v="0"/>
    <x v="0"/>
    <x v="8"/>
    <x v="18"/>
    <s v="SE3_HP"/>
    <x v="2"/>
    <s v="GNR_HS_HEAT_WTR-TANK_LS_E-95_Y-2010"/>
    <x v="0"/>
    <x v="7"/>
    <n v="82.543053703541801"/>
    <n v="30128.214601792701"/>
    <n v="108461.57256645399"/>
  </r>
  <r>
    <x v="0"/>
    <x v="0"/>
    <x v="0"/>
    <x v="8"/>
    <x v="18"/>
    <s v="SE3_HP"/>
    <x v="2"/>
    <s v="GNR_HS_HEAT_WTR-TANK_LS_E-95_Y-2010"/>
    <x v="0"/>
    <x v="8"/>
    <n v="84.866861259195304"/>
    <n v="30976.404359606298"/>
    <n v="111515.055694583"/>
  </r>
  <r>
    <x v="0"/>
    <x v="0"/>
    <x v="0"/>
    <x v="8"/>
    <x v="18"/>
    <s v="SE3_HP"/>
    <x v="2"/>
    <s v="GNR_HS_HEAT_WTR-TANK_LS_E-95_Y-2010"/>
    <x v="0"/>
    <x v="9"/>
    <n v="79.362099008403405"/>
    <n v="28967.166138067299"/>
    <n v="104281.798097042"/>
  </r>
  <r>
    <x v="0"/>
    <x v="0"/>
    <x v="0"/>
    <x v="8"/>
    <x v="18"/>
    <s v="SE3_HP"/>
    <x v="2"/>
    <s v="GNR_HS_HEAT_WTR-TANK_LS_E-95_Y-2010"/>
    <x v="0"/>
    <x v="10"/>
    <n v="66.555784431176207"/>
    <n v="24292.861317379298"/>
    <n v="87454.300742565596"/>
  </r>
  <r>
    <x v="0"/>
    <x v="0"/>
    <x v="0"/>
    <x v="8"/>
    <x v="18"/>
    <s v="SE3_HP"/>
    <x v="2"/>
    <s v="GNR_HS_HEAT_WTR-TANK_LS_E-95_Y-2010"/>
    <x v="0"/>
    <x v="11"/>
    <n v="59.183229000365401"/>
    <n v="21601.8785851334"/>
    <n v="77766.7629064801"/>
  </r>
  <r>
    <x v="0"/>
    <x v="0"/>
    <x v="0"/>
    <x v="8"/>
    <x v="18"/>
    <s v="SE3_HP"/>
    <x v="2"/>
    <s v="GNR_HS_HEAT_WTR-TANK_LS_E-95_Y-2010"/>
    <x v="0"/>
    <x v="12"/>
    <n v="43.129942711796701"/>
    <n v="15742.429089805801"/>
    <n v="56672.744723300901"/>
  </r>
  <r>
    <x v="0"/>
    <x v="0"/>
    <x v="0"/>
    <x v="8"/>
    <x v="18"/>
    <s v="SE3_HP"/>
    <x v="2"/>
    <s v="GNR_HS_HEAT_WTR-TANK_LS_E-95_Y-2010"/>
    <x v="0"/>
    <x v="13"/>
    <n v="58.036556041509698"/>
    <n v="21183.342955151002"/>
    <n v="76260.034638543701"/>
  </r>
  <r>
    <x v="0"/>
    <x v="0"/>
    <x v="0"/>
    <x v="8"/>
    <x v="18"/>
    <s v="SE3_HP"/>
    <x v="2"/>
    <s v="GNR_HS_HEAT_WTR-TANK_LS_E-95_Y-2010"/>
    <x v="0"/>
    <x v="14"/>
    <n v="55.7220782688402"/>
    <n v="20338.5585681267"/>
    <n v="73218.810845255997"/>
  </r>
  <r>
    <x v="0"/>
    <x v="0"/>
    <x v="0"/>
    <x v="8"/>
    <x v="18"/>
    <s v="SE3_HP"/>
    <x v="2"/>
    <s v="GNR_HS_HEAT_WTR-TANK_LS_E-95_Y-2010"/>
    <x v="0"/>
    <x v="15"/>
    <n v="60.938856163385402"/>
    <n v="22242.682499635699"/>
    <n v="80073.656998688399"/>
  </r>
  <r>
    <x v="0"/>
    <x v="0"/>
    <x v="0"/>
    <x v="8"/>
    <x v="18"/>
    <s v="SE3_HP"/>
    <x v="3"/>
    <s v="GBPR_MUNIWASTE_24"/>
    <x v="0"/>
    <x v="0"/>
    <n v="138.20408399727"/>
    <n v="50444.490659003503"/>
    <n v="181600.16637241299"/>
  </r>
  <r>
    <x v="0"/>
    <x v="0"/>
    <x v="0"/>
    <x v="8"/>
    <x v="18"/>
    <s v="SE3_HP"/>
    <x v="3"/>
    <s v="GBPR_MUNIWASTE_24"/>
    <x v="0"/>
    <x v="1"/>
    <n v="138.20408399727"/>
    <n v="50444.490659003503"/>
    <n v="181600.16637241299"/>
  </r>
  <r>
    <x v="0"/>
    <x v="0"/>
    <x v="0"/>
    <x v="8"/>
    <x v="18"/>
    <s v="SE3_HP"/>
    <x v="3"/>
    <s v="GBPR_MUNIWASTE_24"/>
    <x v="0"/>
    <x v="2"/>
    <n v="138.20408399727"/>
    <n v="50444.490659003503"/>
    <n v="181600.16637241299"/>
  </r>
  <r>
    <x v="0"/>
    <x v="0"/>
    <x v="0"/>
    <x v="8"/>
    <x v="18"/>
    <s v="SE3_HP"/>
    <x v="3"/>
    <s v="GBPR_MUNIWASTE_24"/>
    <x v="0"/>
    <x v="3"/>
    <n v="138.20408399727"/>
    <n v="50444.490659003503"/>
    <n v="181600.16637241299"/>
  </r>
  <r>
    <x v="0"/>
    <x v="0"/>
    <x v="0"/>
    <x v="8"/>
    <x v="18"/>
    <s v="SE3_HP"/>
    <x v="3"/>
    <s v="GBPR_MUNIWASTE_24"/>
    <x v="0"/>
    <x v="4"/>
    <n v="138.20408399727"/>
    <n v="50444.490659003503"/>
    <n v="181600.16637241299"/>
  </r>
  <r>
    <x v="0"/>
    <x v="0"/>
    <x v="0"/>
    <x v="8"/>
    <x v="18"/>
    <s v="SE3_HP"/>
    <x v="3"/>
    <s v="GBPR_MUNIWASTE_24"/>
    <x v="0"/>
    <x v="5"/>
    <n v="138.20408399727"/>
    <n v="50444.490659003503"/>
    <n v="181600.16637241299"/>
  </r>
  <r>
    <x v="0"/>
    <x v="0"/>
    <x v="0"/>
    <x v="8"/>
    <x v="18"/>
    <s v="SE3_HP"/>
    <x v="3"/>
    <s v="GBPR_MUNIWASTE_24"/>
    <x v="0"/>
    <x v="6"/>
    <n v="138.20408399727"/>
    <n v="50444.490659003503"/>
    <n v="181600.16637241299"/>
  </r>
  <r>
    <x v="0"/>
    <x v="0"/>
    <x v="0"/>
    <x v="8"/>
    <x v="18"/>
    <s v="SE3_HP"/>
    <x v="3"/>
    <s v="GBPR_MUNIWASTE_24"/>
    <x v="0"/>
    <x v="7"/>
    <n v="138.20408399727"/>
    <n v="50444.490659003503"/>
    <n v="181600.16637241299"/>
  </r>
  <r>
    <x v="0"/>
    <x v="0"/>
    <x v="0"/>
    <x v="8"/>
    <x v="18"/>
    <s v="SE3_HP"/>
    <x v="3"/>
    <s v="GBPR_MUNIWASTE_24"/>
    <x v="0"/>
    <x v="8"/>
    <n v="138.20408399727"/>
    <n v="50444.490659003503"/>
    <n v="181600.16637241299"/>
  </r>
  <r>
    <x v="0"/>
    <x v="0"/>
    <x v="0"/>
    <x v="8"/>
    <x v="18"/>
    <s v="SE3_HP"/>
    <x v="3"/>
    <s v="GBPR_MUNIWASTE_24"/>
    <x v="0"/>
    <x v="9"/>
    <n v="138.20408399727"/>
    <n v="50444.490659003503"/>
    <n v="181600.16637241299"/>
  </r>
  <r>
    <x v="0"/>
    <x v="0"/>
    <x v="0"/>
    <x v="8"/>
    <x v="18"/>
    <s v="SE3_HP"/>
    <x v="3"/>
    <s v="GBPR_MUNIWASTE_24"/>
    <x v="0"/>
    <x v="10"/>
    <n v="138.20408399727"/>
    <n v="50444.490659003503"/>
    <n v="181600.16637241299"/>
  </r>
  <r>
    <x v="0"/>
    <x v="0"/>
    <x v="0"/>
    <x v="8"/>
    <x v="18"/>
    <s v="SE3_HP"/>
    <x v="3"/>
    <s v="GBPR_MUNIWASTE_24"/>
    <x v="0"/>
    <x v="11"/>
    <n v="138.20408399727"/>
    <n v="50444.490659003503"/>
    <n v="181600.16637241299"/>
  </r>
  <r>
    <x v="0"/>
    <x v="0"/>
    <x v="0"/>
    <x v="8"/>
    <x v="18"/>
    <s v="SE3_HP"/>
    <x v="3"/>
    <s v="GBPR_MUNIWASTE_24"/>
    <x v="0"/>
    <x v="12"/>
    <n v="138.20408399727"/>
    <n v="50444.490659003503"/>
    <n v="181600.16637241299"/>
  </r>
  <r>
    <x v="0"/>
    <x v="0"/>
    <x v="0"/>
    <x v="8"/>
    <x v="18"/>
    <s v="SE3_HP"/>
    <x v="3"/>
    <s v="GBPR_MUNIWASTE_24"/>
    <x v="0"/>
    <x v="13"/>
    <n v="138.20408399727"/>
    <n v="50444.490659003503"/>
    <n v="181600.16637241299"/>
  </r>
  <r>
    <x v="0"/>
    <x v="0"/>
    <x v="0"/>
    <x v="8"/>
    <x v="18"/>
    <s v="SE3_HP"/>
    <x v="3"/>
    <s v="GBPR_MUNIWASTE_24"/>
    <x v="0"/>
    <x v="14"/>
    <n v="138.20408399727"/>
    <n v="50444.490659003503"/>
    <n v="181600.16637241299"/>
  </r>
  <r>
    <x v="0"/>
    <x v="0"/>
    <x v="0"/>
    <x v="8"/>
    <x v="18"/>
    <s v="SE3_HP"/>
    <x v="3"/>
    <s v="GBPR_MUNIWASTE_24"/>
    <x v="0"/>
    <x v="15"/>
    <n v="138.20408399727"/>
    <n v="50444.490659003503"/>
    <n v="181600.16637241299"/>
  </r>
  <r>
    <x v="0"/>
    <x v="0"/>
    <x v="0"/>
    <x v="8"/>
    <x v="18"/>
    <s v="SE3_HP"/>
    <x v="3"/>
    <s v="GBPR_MUNIWASTE_24"/>
    <x v="0"/>
    <x v="16"/>
    <n v="138.20408399727"/>
    <n v="50444.490659003503"/>
    <n v="181600.16637241299"/>
  </r>
  <r>
    <x v="0"/>
    <x v="0"/>
    <x v="0"/>
    <x v="8"/>
    <x v="18"/>
    <s v="SE3_HP"/>
    <x v="3"/>
    <s v="GBPR_MUNIWASTE_24"/>
    <x v="0"/>
    <x v="17"/>
    <n v="138.20408399727"/>
    <n v="50444.490659003503"/>
    <n v="181600.16637241299"/>
  </r>
  <r>
    <x v="0"/>
    <x v="0"/>
    <x v="0"/>
    <x v="8"/>
    <x v="18"/>
    <s v="SE3_HP"/>
    <x v="3"/>
    <s v="GBPR_MUNIWASTE_24"/>
    <x v="0"/>
    <x v="18"/>
    <n v="138.20408399727"/>
    <n v="50444.490659003503"/>
    <n v="181600.16637241299"/>
  </r>
  <r>
    <x v="0"/>
    <x v="0"/>
    <x v="0"/>
    <x v="8"/>
    <x v="18"/>
    <s v="SE3_HP"/>
    <x v="3"/>
    <s v="GBPR_MUNIWASTE_24"/>
    <x v="0"/>
    <x v="19"/>
    <n v="138.20408399727"/>
    <n v="50444.490659003503"/>
    <n v="181600.16637241299"/>
  </r>
  <r>
    <x v="0"/>
    <x v="0"/>
    <x v="0"/>
    <x v="8"/>
    <x v="18"/>
    <s v="SE3_HP"/>
    <x v="3"/>
    <s v="GBPR_MUNIWASTE_24"/>
    <x v="0"/>
    <x v="20"/>
    <n v="138.20408399727"/>
    <n v="50444.490659003503"/>
    <n v="181600.16637241299"/>
  </r>
  <r>
    <x v="0"/>
    <x v="0"/>
    <x v="0"/>
    <x v="8"/>
    <x v="18"/>
    <s v="SE3_HP"/>
    <x v="3"/>
    <s v="GBPR_MUNIWASTE_24"/>
    <x v="0"/>
    <x v="21"/>
    <n v="138.20408399727"/>
    <n v="50444.490659003503"/>
    <n v="181600.16637241299"/>
  </r>
  <r>
    <x v="0"/>
    <x v="0"/>
    <x v="0"/>
    <x v="8"/>
    <x v="18"/>
    <s v="SE3_HP"/>
    <x v="3"/>
    <s v="GBPR_MUNIWASTE_24"/>
    <x v="0"/>
    <x v="22"/>
    <n v="138.20408399727"/>
    <n v="50444.490659003503"/>
    <n v="181600.16637241299"/>
  </r>
  <r>
    <x v="0"/>
    <x v="0"/>
    <x v="0"/>
    <x v="8"/>
    <x v="18"/>
    <s v="SE3_HP"/>
    <x v="3"/>
    <s v="GBPR_MUNIWASTE_24"/>
    <x v="0"/>
    <x v="23"/>
    <n v="138.20408399727"/>
    <n v="50444.490659003503"/>
    <n v="181600.16637241299"/>
  </r>
  <r>
    <x v="0"/>
    <x v="0"/>
    <x v="0"/>
    <x v="8"/>
    <x v="18"/>
    <s v="SE3_HP"/>
    <x v="6"/>
    <s v="GHOB_WASTEHEAT"/>
    <x v="0"/>
    <x v="0"/>
    <n v="3.4340659340659201E-3"/>
    <n v="1.2534340659340599"/>
    <n v="4.51236263736262"/>
  </r>
  <r>
    <x v="0"/>
    <x v="0"/>
    <x v="0"/>
    <x v="8"/>
    <x v="18"/>
    <s v="SE3_HP"/>
    <x v="6"/>
    <s v="GHOB_WASTEHEAT"/>
    <x v="0"/>
    <x v="1"/>
    <n v="3.4340659340659201E-3"/>
    <n v="1.2534340659340599"/>
    <n v="4.51236263736262"/>
  </r>
  <r>
    <x v="0"/>
    <x v="0"/>
    <x v="0"/>
    <x v="8"/>
    <x v="18"/>
    <s v="SE3_HP"/>
    <x v="6"/>
    <s v="GHOB_WASTEHEAT"/>
    <x v="0"/>
    <x v="2"/>
    <n v="3.4340659340659201E-3"/>
    <n v="1.2534340659340599"/>
    <n v="4.51236263736262"/>
  </r>
  <r>
    <x v="0"/>
    <x v="0"/>
    <x v="0"/>
    <x v="8"/>
    <x v="18"/>
    <s v="SE3_HP"/>
    <x v="6"/>
    <s v="GHOB_WASTEHEAT"/>
    <x v="0"/>
    <x v="3"/>
    <n v="3.4340659340659201E-3"/>
    <n v="1.2534340659340599"/>
    <n v="4.51236263736262"/>
  </r>
  <r>
    <x v="0"/>
    <x v="0"/>
    <x v="0"/>
    <x v="8"/>
    <x v="18"/>
    <s v="SE3_HP"/>
    <x v="6"/>
    <s v="GHOB_WASTEHEAT"/>
    <x v="0"/>
    <x v="4"/>
    <n v="3.4340659340659201E-3"/>
    <n v="1.2534340659340599"/>
    <n v="4.51236263736262"/>
  </r>
  <r>
    <x v="0"/>
    <x v="0"/>
    <x v="0"/>
    <x v="8"/>
    <x v="18"/>
    <s v="SE3_HP"/>
    <x v="6"/>
    <s v="GHOB_WASTEHEAT"/>
    <x v="0"/>
    <x v="5"/>
    <n v="3.4340659340659201E-3"/>
    <n v="1.2534340659340599"/>
    <n v="4.51236263736262"/>
  </r>
  <r>
    <x v="0"/>
    <x v="0"/>
    <x v="0"/>
    <x v="8"/>
    <x v="18"/>
    <s v="SE3_HP"/>
    <x v="6"/>
    <s v="GHOB_WASTEHEAT"/>
    <x v="0"/>
    <x v="6"/>
    <n v="3.4340659340659201E-3"/>
    <n v="1.2534340659340599"/>
    <n v="4.51236263736262"/>
  </r>
  <r>
    <x v="0"/>
    <x v="0"/>
    <x v="0"/>
    <x v="8"/>
    <x v="18"/>
    <s v="SE3_HP"/>
    <x v="6"/>
    <s v="GHOB_WASTEHEAT"/>
    <x v="0"/>
    <x v="7"/>
    <n v="3.4340659340659201E-3"/>
    <n v="1.2534340659340599"/>
    <n v="4.51236263736262"/>
  </r>
  <r>
    <x v="0"/>
    <x v="0"/>
    <x v="0"/>
    <x v="8"/>
    <x v="18"/>
    <s v="SE3_HP"/>
    <x v="6"/>
    <s v="GHOB_WASTEHEAT"/>
    <x v="0"/>
    <x v="8"/>
    <n v="3.4340659340659201E-3"/>
    <n v="1.2534340659340599"/>
    <n v="4.51236263736262"/>
  </r>
  <r>
    <x v="0"/>
    <x v="0"/>
    <x v="0"/>
    <x v="8"/>
    <x v="18"/>
    <s v="SE3_HP"/>
    <x v="6"/>
    <s v="GHOB_WASTEHEAT"/>
    <x v="0"/>
    <x v="9"/>
    <n v="3.4340659340659201E-3"/>
    <n v="1.2534340659340599"/>
    <n v="4.51236263736262"/>
  </r>
  <r>
    <x v="0"/>
    <x v="0"/>
    <x v="0"/>
    <x v="8"/>
    <x v="18"/>
    <s v="SE3_HP"/>
    <x v="6"/>
    <s v="GHOB_WASTEHEAT"/>
    <x v="0"/>
    <x v="10"/>
    <n v="3.4340659340659201E-3"/>
    <n v="1.2534340659340599"/>
    <n v="4.51236263736262"/>
  </r>
  <r>
    <x v="0"/>
    <x v="0"/>
    <x v="0"/>
    <x v="8"/>
    <x v="18"/>
    <s v="SE3_HP"/>
    <x v="6"/>
    <s v="GHOB_WASTEHEAT"/>
    <x v="0"/>
    <x v="11"/>
    <n v="3.4340659340659201E-3"/>
    <n v="1.2534340659340599"/>
    <n v="4.51236263736262"/>
  </r>
  <r>
    <x v="0"/>
    <x v="0"/>
    <x v="0"/>
    <x v="8"/>
    <x v="18"/>
    <s v="SE3_HP"/>
    <x v="6"/>
    <s v="GHOB_WASTEHEAT"/>
    <x v="0"/>
    <x v="12"/>
    <n v="3.4340659340659201E-3"/>
    <n v="1.2534340659340599"/>
    <n v="4.51236263736262"/>
  </r>
  <r>
    <x v="0"/>
    <x v="0"/>
    <x v="0"/>
    <x v="8"/>
    <x v="18"/>
    <s v="SE3_HP"/>
    <x v="6"/>
    <s v="GHOB_WASTEHEAT"/>
    <x v="0"/>
    <x v="13"/>
    <n v="3.4340659340659201E-3"/>
    <n v="1.2534340659340599"/>
    <n v="4.51236263736262"/>
  </r>
  <r>
    <x v="0"/>
    <x v="0"/>
    <x v="0"/>
    <x v="8"/>
    <x v="18"/>
    <s v="SE3_HP"/>
    <x v="6"/>
    <s v="GHOB_WASTEHEAT"/>
    <x v="0"/>
    <x v="14"/>
    <n v="3.4340659340659201E-3"/>
    <n v="1.2534340659340599"/>
    <n v="4.51236263736262"/>
  </r>
  <r>
    <x v="0"/>
    <x v="0"/>
    <x v="0"/>
    <x v="8"/>
    <x v="18"/>
    <s v="SE3_HP"/>
    <x v="6"/>
    <s v="GHOB_WASTEHEAT"/>
    <x v="0"/>
    <x v="15"/>
    <n v="3.4340659340659201E-3"/>
    <n v="1.2534340659340599"/>
    <n v="4.51236263736262"/>
  </r>
  <r>
    <x v="0"/>
    <x v="0"/>
    <x v="0"/>
    <x v="8"/>
    <x v="18"/>
    <s v="SE3_HP"/>
    <x v="6"/>
    <s v="GHOB_WASTEHEAT"/>
    <x v="0"/>
    <x v="16"/>
    <n v="3.4340659340659201E-3"/>
    <n v="1.2534340659340599"/>
    <n v="4.51236263736262"/>
  </r>
  <r>
    <x v="0"/>
    <x v="0"/>
    <x v="0"/>
    <x v="8"/>
    <x v="18"/>
    <s v="SE3_HP"/>
    <x v="6"/>
    <s v="GHOB_WASTEHEAT"/>
    <x v="0"/>
    <x v="17"/>
    <n v="3.4340659340659201E-3"/>
    <n v="1.2534340659340599"/>
    <n v="4.51236263736262"/>
  </r>
  <r>
    <x v="0"/>
    <x v="0"/>
    <x v="0"/>
    <x v="8"/>
    <x v="18"/>
    <s v="SE3_HP"/>
    <x v="6"/>
    <s v="GHOB_WASTEHEAT"/>
    <x v="0"/>
    <x v="18"/>
    <n v="3.4340659340659201E-3"/>
    <n v="1.2534340659340599"/>
    <n v="4.51236263736262"/>
  </r>
  <r>
    <x v="0"/>
    <x v="0"/>
    <x v="0"/>
    <x v="8"/>
    <x v="18"/>
    <s v="SE3_HP"/>
    <x v="6"/>
    <s v="GHOB_WASTEHEAT"/>
    <x v="0"/>
    <x v="19"/>
    <n v="3.4340659340659201E-3"/>
    <n v="1.2534340659340599"/>
    <n v="4.51236263736262"/>
  </r>
  <r>
    <x v="0"/>
    <x v="0"/>
    <x v="0"/>
    <x v="8"/>
    <x v="18"/>
    <s v="SE3_HP"/>
    <x v="6"/>
    <s v="GHOB_WASTEHEAT"/>
    <x v="0"/>
    <x v="20"/>
    <n v="3.4340659340659201E-3"/>
    <n v="1.2534340659340599"/>
    <n v="4.51236263736262"/>
  </r>
  <r>
    <x v="0"/>
    <x v="0"/>
    <x v="0"/>
    <x v="8"/>
    <x v="18"/>
    <s v="SE3_HP"/>
    <x v="6"/>
    <s v="GHOB_WASTEHEAT"/>
    <x v="0"/>
    <x v="21"/>
    <n v="3.4340659340659201E-3"/>
    <n v="1.2534340659340599"/>
    <n v="4.51236263736262"/>
  </r>
  <r>
    <x v="0"/>
    <x v="0"/>
    <x v="0"/>
    <x v="8"/>
    <x v="18"/>
    <s v="SE3_HP"/>
    <x v="6"/>
    <s v="GHOB_WASTEHEAT"/>
    <x v="0"/>
    <x v="22"/>
    <n v="3.4340659340659201E-3"/>
    <n v="1.2534340659340599"/>
    <n v="4.51236263736262"/>
  </r>
  <r>
    <x v="0"/>
    <x v="0"/>
    <x v="0"/>
    <x v="8"/>
    <x v="18"/>
    <s v="SE3_HP"/>
    <x v="6"/>
    <s v="GHOB_WASTEHEAT"/>
    <x v="0"/>
    <x v="23"/>
    <n v="3.4340659340659201E-3"/>
    <n v="1.2534340659340599"/>
    <n v="4.51236263736262"/>
  </r>
  <r>
    <x v="0"/>
    <x v="0"/>
    <x v="0"/>
    <x v="8"/>
    <x v="18"/>
    <s v="SE3_HP"/>
    <x v="7"/>
    <s v="GBPR_WOODCHIPS_08"/>
    <x v="0"/>
    <x v="0"/>
    <n v="6.4387243222116197"/>
    <n v="2350.1343776072399"/>
    <n v="8460.4837593860702"/>
  </r>
  <r>
    <x v="0"/>
    <x v="0"/>
    <x v="0"/>
    <x v="8"/>
    <x v="18"/>
    <s v="SE3_HP"/>
    <x v="7"/>
    <s v="GBPR_WOODCHIPS_08"/>
    <x v="0"/>
    <x v="1"/>
    <n v="6.4387243222116197"/>
    <n v="2350.1343776072399"/>
    <n v="8460.4837593860702"/>
  </r>
  <r>
    <x v="0"/>
    <x v="0"/>
    <x v="0"/>
    <x v="8"/>
    <x v="18"/>
    <s v="SE3_HP"/>
    <x v="7"/>
    <s v="GBPR_WOODCHIPS_08"/>
    <x v="0"/>
    <x v="2"/>
    <n v="6.4387243222116197"/>
    <n v="2350.1343776072399"/>
    <n v="8460.4837593860702"/>
  </r>
  <r>
    <x v="0"/>
    <x v="0"/>
    <x v="0"/>
    <x v="8"/>
    <x v="18"/>
    <s v="SE3_HP"/>
    <x v="7"/>
    <s v="GBPR_WOODCHIPS_08"/>
    <x v="0"/>
    <x v="3"/>
    <n v="6.4387243222116197"/>
    <n v="2350.1343776072399"/>
    <n v="8460.4837593860702"/>
  </r>
  <r>
    <x v="0"/>
    <x v="0"/>
    <x v="0"/>
    <x v="8"/>
    <x v="18"/>
    <s v="SE3_HP"/>
    <x v="7"/>
    <s v="GBPR_WOODCHIPS_08"/>
    <x v="0"/>
    <x v="4"/>
    <n v="6.4387243222116197"/>
    <n v="2350.1343776072399"/>
    <n v="8460.4837593860702"/>
  </r>
  <r>
    <x v="0"/>
    <x v="0"/>
    <x v="0"/>
    <x v="8"/>
    <x v="18"/>
    <s v="SE3_HP"/>
    <x v="7"/>
    <s v="GBPR_WOODCHIPS_08"/>
    <x v="0"/>
    <x v="5"/>
    <n v="6.4387243222116197"/>
    <n v="2350.1343776072399"/>
    <n v="8460.4837593860702"/>
  </r>
  <r>
    <x v="0"/>
    <x v="0"/>
    <x v="0"/>
    <x v="8"/>
    <x v="18"/>
    <s v="SE3_HP"/>
    <x v="7"/>
    <s v="GBPR_WOODCHIPS_08"/>
    <x v="0"/>
    <x v="6"/>
    <n v="6.4387243222116197"/>
    <n v="2350.1343776072399"/>
    <n v="8460.4837593860702"/>
  </r>
  <r>
    <x v="0"/>
    <x v="0"/>
    <x v="0"/>
    <x v="8"/>
    <x v="18"/>
    <s v="SE3_HP"/>
    <x v="7"/>
    <s v="GBPR_WOODCHIPS_08"/>
    <x v="0"/>
    <x v="7"/>
    <n v="6.4387243222116197"/>
    <n v="2350.1343776072399"/>
    <n v="8460.4837593860702"/>
  </r>
  <r>
    <x v="0"/>
    <x v="0"/>
    <x v="0"/>
    <x v="8"/>
    <x v="18"/>
    <s v="SE3_HP"/>
    <x v="7"/>
    <s v="GBPR_WOODCHIPS_08"/>
    <x v="0"/>
    <x v="8"/>
    <n v="6.4387243222116197"/>
    <n v="2350.1343776072399"/>
    <n v="8460.4837593860702"/>
  </r>
  <r>
    <x v="0"/>
    <x v="0"/>
    <x v="0"/>
    <x v="8"/>
    <x v="18"/>
    <s v="SE3_HP"/>
    <x v="7"/>
    <s v="GBPR_WOODCHIPS_08"/>
    <x v="0"/>
    <x v="9"/>
    <n v="6.4387243222116197"/>
    <n v="2350.1343776072399"/>
    <n v="8460.4837593860702"/>
  </r>
  <r>
    <x v="0"/>
    <x v="0"/>
    <x v="0"/>
    <x v="8"/>
    <x v="18"/>
    <s v="SE3_HP"/>
    <x v="7"/>
    <s v="GBPR_WOODCHIPS_08"/>
    <x v="0"/>
    <x v="10"/>
    <n v="6.4387243222116197"/>
    <n v="2350.1343776072399"/>
    <n v="8460.4837593860702"/>
  </r>
  <r>
    <x v="0"/>
    <x v="0"/>
    <x v="0"/>
    <x v="8"/>
    <x v="18"/>
    <s v="SE3_HP"/>
    <x v="7"/>
    <s v="GBPR_WOODCHIPS_08"/>
    <x v="0"/>
    <x v="11"/>
    <n v="6.4387243222116197"/>
    <n v="2350.1343776072399"/>
    <n v="8460.4837593860702"/>
  </r>
  <r>
    <x v="0"/>
    <x v="0"/>
    <x v="0"/>
    <x v="8"/>
    <x v="18"/>
    <s v="SE3_HP"/>
    <x v="7"/>
    <s v="GBPR_WOODCHIPS_08"/>
    <x v="0"/>
    <x v="12"/>
    <n v="6.4387243222116197"/>
    <n v="2350.1343776072399"/>
    <n v="8460.4837593860702"/>
  </r>
  <r>
    <x v="0"/>
    <x v="0"/>
    <x v="0"/>
    <x v="8"/>
    <x v="18"/>
    <s v="SE3_HP"/>
    <x v="7"/>
    <s v="GBPR_WOODCHIPS_08"/>
    <x v="0"/>
    <x v="13"/>
    <n v="6.4387243222116197"/>
    <n v="2350.1343776072399"/>
    <n v="8460.4837593860702"/>
  </r>
  <r>
    <x v="0"/>
    <x v="0"/>
    <x v="0"/>
    <x v="8"/>
    <x v="18"/>
    <s v="SE3_HP"/>
    <x v="7"/>
    <s v="GBPR_WOODCHIPS_08"/>
    <x v="0"/>
    <x v="14"/>
    <n v="6.4387243222116197"/>
    <n v="2350.1343776072399"/>
    <n v="8460.4837593860702"/>
  </r>
  <r>
    <x v="0"/>
    <x v="0"/>
    <x v="0"/>
    <x v="8"/>
    <x v="18"/>
    <s v="SE3_HP"/>
    <x v="7"/>
    <s v="GBPR_WOODCHIPS_08"/>
    <x v="0"/>
    <x v="15"/>
    <n v="6.4387243222116197"/>
    <n v="2350.1343776072399"/>
    <n v="8460.4837593860702"/>
  </r>
  <r>
    <x v="0"/>
    <x v="0"/>
    <x v="0"/>
    <x v="8"/>
    <x v="18"/>
    <s v="SE3_HP"/>
    <x v="7"/>
    <s v="GBPR_WOODCHIPS_08"/>
    <x v="0"/>
    <x v="16"/>
    <n v="6.4387243222116197"/>
    <n v="2350.1343776072399"/>
    <n v="8460.4837593860702"/>
  </r>
  <r>
    <x v="0"/>
    <x v="0"/>
    <x v="0"/>
    <x v="8"/>
    <x v="18"/>
    <s v="SE3_HP"/>
    <x v="7"/>
    <s v="GBPR_WOODCHIPS_08"/>
    <x v="0"/>
    <x v="17"/>
    <n v="6.4387243222116197"/>
    <n v="2350.1343776072399"/>
    <n v="8460.4837593860702"/>
  </r>
  <r>
    <x v="0"/>
    <x v="0"/>
    <x v="0"/>
    <x v="8"/>
    <x v="18"/>
    <s v="SE3_HP"/>
    <x v="7"/>
    <s v="GBPR_WOODCHIPS_08"/>
    <x v="0"/>
    <x v="18"/>
    <n v="6.4387243222116197"/>
    <n v="2350.1343776072399"/>
    <n v="8460.4837593860702"/>
  </r>
  <r>
    <x v="0"/>
    <x v="0"/>
    <x v="0"/>
    <x v="8"/>
    <x v="18"/>
    <s v="SE3_HP"/>
    <x v="7"/>
    <s v="GBPR_WOODCHIPS_08"/>
    <x v="0"/>
    <x v="19"/>
    <n v="6.4387243222116197"/>
    <n v="2350.1343776072399"/>
    <n v="8460.4837593860702"/>
  </r>
  <r>
    <x v="0"/>
    <x v="0"/>
    <x v="0"/>
    <x v="8"/>
    <x v="18"/>
    <s v="SE3_HP"/>
    <x v="7"/>
    <s v="GBPR_WOODCHIPS_08"/>
    <x v="0"/>
    <x v="20"/>
    <n v="6.4387243222116197"/>
    <n v="2350.1343776072399"/>
    <n v="8460.4837593860702"/>
  </r>
  <r>
    <x v="0"/>
    <x v="0"/>
    <x v="0"/>
    <x v="8"/>
    <x v="18"/>
    <s v="SE3_HP"/>
    <x v="7"/>
    <s v="GBPR_WOODCHIPS_08"/>
    <x v="0"/>
    <x v="21"/>
    <n v="6.4387243222116197"/>
    <n v="2350.1343776072399"/>
    <n v="8460.4837593860702"/>
  </r>
  <r>
    <x v="0"/>
    <x v="0"/>
    <x v="0"/>
    <x v="8"/>
    <x v="18"/>
    <s v="SE3_HP"/>
    <x v="7"/>
    <s v="GBPR_WOODCHIPS_08"/>
    <x v="0"/>
    <x v="22"/>
    <n v="6.4387243222116197"/>
    <n v="2350.1343776072399"/>
    <n v="8460.4837593860702"/>
  </r>
  <r>
    <x v="0"/>
    <x v="0"/>
    <x v="0"/>
    <x v="8"/>
    <x v="18"/>
    <s v="SE3_HP"/>
    <x v="7"/>
    <s v="GBPR_WOODCHIPS_08"/>
    <x v="0"/>
    <x v="23"/>
    <n v="6.4387243222116197"/>
    <n v="2350.1343776072399"/>
    <n v="8460.4837593860702"/>
  </r>
  <r>
    <x v="0"/>
    <x v="0"/>
    <x v="0"/>
    <x v="8"/>
    <x v="18"/>
    <s v="SE3_HP"/>
    <x v="7"/>
    <s v="GHOB_WOODCHIPS"/>
    <x v="0"/>
    <x v="0"/>
    <n v="13"/>
    <n v="4745"/>
    <n v="17082"/>
  </r>
  <r>
    <x v="0"/>
    <x v="0"/>
    <x v="0"/>
    <x v="8"/>
    <x v="18"/>
    <s v="SE3_HP"/>
    <x v="7"/>
    <s v="GHOB_WOODCHIPS"/>
    <x v="0"/>
    <x v="1"/>
    <n v="13"/>
    <n v="4745"/>
    <n v="17082"/>
  </r>
  <r>
    <x v="0"/>
    <x v="0"/>
    <x v="0"/>
    <x v="8"/>
    <x v="18"/>
    <s v="SE3_HP"/>
    <x v="7"/>
    <s v="GHOB_WOODCHIPS"/>
    <x v="0"/>
    <x v="2"/>
    <n v="13"/>
    <n v="4745"/>
    <n v="17082"/>
  </r>
  <r>
    <x v="0"/>
    <x v="0"/>
    <x v="0"/>
    <x v="8"/>
    <x v="18"/>
    <s v="SE3_HP"/>
    <x v="7"/>
    <s v="GHOB_WOODCHIPS"/>
    <x v="0"/>
    <x v="3"/>
    <n v="13"/>
    <n v="4745"/>
    <n v="17082"/>
  </r>
  <r>
    <x v="0"/>
    <x v="0"/>
    <x v="0"/>
    <x v="8"/>
    <x v="18"/>
    <s v="SE3_HP"/>
    <x v="7"/>
    <s v="GHOB_WOODCHIPS"/>
    <x v="0"/>
    <x v="4"/>
    <n v="13"/>
    <n v="4745"/>
    <n v="17082"/>
  </r>
  <r>
    <x v="0"/>
    <x v="0"/>
    <x v="0"/>
    <x v="8"/>
    <x v="18"/>
    <s v="SE3_HP"/>
    <x v="7"/>
    <s v="GHOB_WOODCHIPS"/>
    <x v="0"/>
    <x v="5"/>
    <n v="13"/>
    <n v="4745"/>
    <n v="17082"/>
  </r>
  <r>
    <x v="0"/>
    <x v="0"/>
    <x v="0"/>
    <x v="8"/>
    <x v="18"/>
    <s v="SE3_HP"/>
    <x v="7"/>
    <s v="GHOB_WOODCHIPS"/>
    <x v="0"/>
    <x v="6"/>
    <n v="13"/>
    <n v="4745"/>
    <n v="17082"/>
  </r>
  <r>
    <x v="0"/>
    <x v="0"/>
    <x v="0"/>
    <x v="8"/>
    <x v="18"/>
    <s v="SE3_HP"/>
    <x v="7"/>
    <s v="GHOB_WOODCHIPS"/>
    <x v="0"/>
    <x v="7"/>
    <n v="13"/>
    <n v="4745"/>
    <n v="17082"/>
  </r>
  <r>
    <x v="0"/>
    <x v="0"/>
    <x v="0"/>
    <x v="8"/>
    <x v="18"/>
    <s v="SE3_HP"/>
    <x v="7"/>
    <s v="GHOB_WOODCHIPS"/>
    <x v="0"/>
    <x v="8"/>
    <n v="13"/>
    <n v="4745"/>
    <n v="17082"/>
  </r>
  <r>
    <x v="0"/>
    <x v="0"/>
    <x v="0"/>
    <x v="8"/>
    <x v="18"/>
    <s v="SE3_HP"/>
    <x v="7"/>
    <s v="GHOB_WOODCHIPS"/>
    <x v="0"/>
    <x v="9"/>
    <n v="13"/>
    <n v="4745"/>
    <n v="17082"/>
  </r>
  <r>
    <x v="0"/>
    <x v="0"/>
    <x v="0"/>
    <x v="8"/>
    <x v="18"/>
    <s v="SE3_HP"/>
    <x v="7"/>
    <s v="GHOB_WOODCHIPS"/>
    <x v="0"/>
    <x v="10"/>
    <n v="13"/>
    <n v="4745"/>
    <n v="17082"/>
  </r>
  <r>
    <x v="0"/>
    <x v="0"/>
    <x v="0"/>
    <x v="8"/>
    <x v="18"/>
    <s v="SE3_HP"/>
    <x v="7"/>
    <s v="GHOB_WOODCHIPS"/>
    <x v="0"/>
    <x v="11"/>
    <n v="13"/>
    <n v="4745"/>
    <n v="17082"/>
  </r>
  <r>
    <x v="0"/>
    <x v="0"/>
    <x v="0"/>
    <x v="8"/>
    <x v="18"/>
    <s v="SE3_HP"/>
    <x v="7"/>
    <s v="GHOB_WOODCHIPS"/>
    <x v="0"/>
    <x v="12"/>
    <n v="13"/>
    <n v="4745"/>
    <n v="17082"/>
  </r>
  <r>
    <x v="0"/>
    <x v="0"/>
    <x v="0"/>
    <x v="8"/>
    <x v="18"/>
    <s v="SE3_HP"/>
    <x v="7"/>
    <s v="GHOB_WOODCHIPS"/>
    <x v="0"/>
    <x v="13"/>
    <n v="13"/>
    <n v="4745"/>
    <n v="17082"/>
  </r>
  <r>
    <x v="0"/>
    <x v="0"/>
    <x v="0"/>
    <x v="8"/>
    <x v="18"/>
    <s v="SE3_HP"/>
    <x v="7"/>
    <s v="GHOB_WOODCHIPS"/>
    <x v="0"/>
    <x v="14"/>
    <n v="13"/>
    <n v="4745"/>
    <n v="17082"/>
  </r>
  <r>
    <x v="0"/>
    <x v="0"/>
    <x v="0"/>
    <x v="8"/>
    <x v="18"/>
    <s v="SE3_HP"/>
    <x v="7"/>
    <s v="GHOB_WOODCHIPS"/>
    <x v="0"/>
    <x v="15"/>
    <n v="13"/>
    <n v="4745"/>
    <n v="17082"/>
  </r>
  <r>
    <x v="0"/>
    <x v="0"/>
    <x v="0"/>
    <x v="8"/>
    <x v="18"/>
    <s v="SE3_HP"/>
    <x v="7"/>
    <s v="GHOB_WOODCHIPS"/>
    <x v="0"/>
    <x v="16"/>
    <n v="13"/>
    <n v="4745"/>
    <n v="17082"/>
  </r>
  <r>
    <x v="0"/>
    <x v="0"/>
    <x v="0"/>
    <x v="8"/>
    <x v="18"/>
    <s v="SE3_HP"/>
    <x v="7"/>
    <s v="GHOB_WOODCHIPS"/>
    <x v="0"/>
    <x v="17"/>
    <n v="13"/>
    <n v="4745"/>
    <n v="17082"/>
  </r>
  <r>
    <x v="0"/>
    <x v="0"/>
    <x v="0"/>
    <x v="8"/>
    <x v="18"/>
    <s v="SE3_HP"/>
    <x v="7"/>
    <s v="GHOB_WOODCHIPS"/>
    <x v="0"/>
    <x v="18"/>
    <n v="13"/>
    <n v="4745"/>
    <n v="17082"/>
  </r>
  <r>
    <x v="0"/>
    <x v="0"/>
    <x v="0"/>
    <x v="8"/>
    <x v="18"/>
    <s v="SE3_HP"/>
    <x v="7"/>
    <s v="GHOB_WOODCHIPS"/>
    <x v="0"/>
    <x v="19"/>
    <n v="13"/>
    <n v="4745"/>
    <n v="17082"/>
  </r>
  <r>
    <x v="0"/>
    <x v="0"/>
    <x v="0"/>
    <x v="8"/>
    <x v="18"/>
    <s v="SE3_HP"/>
    <x v="7"/>
    <s v="GHOB_WOODCHIPS"/>
    <x v="0"/>
    <x v="20"/>
    <n v="13"/>
    <n v="4745"/>
    <n v="17082"/>
  </r>
  <r>
    <x v="0"/>
    <x v="0"/>
    <x v="0"/>
    <x v="8"/>
    <x v="18"/>
    <s v="SE3_HP"/>
    <x v="7"/>
    <s v="GHOB_WOODCHIPS"/>
    <x v="0"/>
    <x v="21"/>
    <n v="13"/>
    <n v="4745"/>
    <n v="17082"/>
  </r>
  <r>
    <x v="0"/>
    <x v="0"/>
    <x v="0"/>
    <x v="8"/>
    <x v="18"/>
    <s v="SE3_HP"/>
    <x v="7"/>
    <s v="GHOB_WOODCHIPS"/>
    <x v="0"/>
    <x v="22"/>
    <n v="13"/>
    <n v="4745"/>
    <n v="17082"/>
  </r>
  <r>
    <x v="0"/>
    <x v="0"/>
    <x v="0"/>
    <x v="8"/>
    <x v="18"/>
    <s v="SE3_HP"/>
    <x v="7"/>
    <s v="GHOB_WOODCHIPS"/>
    <x v="0"/>
    <x v="23"/>
    <n v="13"/>
    <n v="4745"/>
    <n v="17082"/>
  </r>
  <r>
    <x v="0"/>
    <x v="0"/>
    <x v="0"/>
    <x v="8"/>
    <x v="18"/>
    <s v="SE3_HP"/>
    <x v="8"/>
    <s v="GHOB_WOODPELLETS"/>
    <x v="0"/>
    <x v="0"/>
    <n v="200.21"/>
    <n v="73076.649999999994"/>
    <n v="263075.94"/>
  </r>
  <r>
    <x v="0"/>
    <x v="0"/>
    <x v="0"/>
    <x v="8"/>
    <x v="18"/>
    <s v="SE3_HP"/>
    <x v="8"/>
    <s v="GHOB_WOODPELLETS"/>
    <x v="0"/>
    <x v="1"/>
    <n v="200.21"/>
    <n v="73076.649999999994"/>
    <n v="263075.94"/>
  </r>
  <r>
    <x v="0"/>
    <x v="0"/>
    <x v="0"/>
    <x v="8"/>
    <x v="18"/>
    <s v="SE3_HP"/>
    <x v="8"/>
    <s v="GHOB_WOODPELLETS"/>
    <x v="0"/>
    <x v="2"/>
    <n v="200.21"/>
    <n v="73076.649999999994"/>
    <n v="263075.94"/>
  </r>
  <r>
    <x v="0"/>
    <x v="0"/>
    <x v="0"/>
    <x v="8"/>
    <x v="18"/>
    <s v="SE3_HP"/>
    <x v="8"/>
    <s v="GHOB_WOODPELLETS"/>
    <x v="0"/>
    <x v="3"/>
    <n v="200.21"/>
    <n v="73076.649999999994"/>
    <n v="263075.94"/>
  </r>
  <r>
    <x v="0"/>
    <x v="0"/>
    <x v="0"/>
    <x v="8"/>
    <x v="18"/>
    <s v="SE3_HP"/>
    <x v="8"/>
    <s v="GHOB_WOODPELLETS"/>
    <x v="0"/>
    <x v="4"/>
    <n v="200.21"/>
    <n v="73076.649999999994"/>
    <n v="263075.94"/>
  </r>
  <r>
    <x v="0"/>
    <x v="0"/>
    <x v="0"/>
    <x v="8"/>
    <x v="18"/>
    <s v="SE3_HP"/>
    <x v="8"/>
    <s v="GHOB_WOODPELLETS"/>
    <x v="0"/>
    <x v="5"/>
    <n v="200.21"/>
    <n v="73076.649999999994"/>
    <n v="263075.94"/>
  </r>
  <r>
    <x v="0"/>
    <x v="0"/>
    <x v="0"/>
    <x v="8"/>
    <x v="18"/>
    <s v="SE3_HP"/>
    <x v="8"/>
    <s v="GHOB_WOODPELLETS"/>
    <x v="0"/>
    <x v="6"/>
    <n v="200.21"/>
    <n v="73076.649999999994"/>
    <n v="263075.94"/>
  </r>
  <r>
    <x v="0"/>
    <x v="0"/>
    <x v="0"/>
    <x v="8"/>
    <x v="18"/>
    <s v="SE3_HP"/>
    <x v="8"/>
    <s v="GHOB_WOODPELLETS"/>
    <x v="0"/>
    <x v="7"/>
    <n v="200.21"/>
    <n v="73076.649999999994"/>
    <n v="263075.94"/>
  </r>
  <r>
    <x v="0"/>
    <x v="0"/>
    <x v="0"/>
    <x v="8"/>
    <x v="18"/>
    <s v="SE3_HP"/>
    <x v="8"/>
    <s v="GHOB_WOODPELLETS"/>
    <x v="0"/>
    <x v="8"/>
    <n v="200.21"/>
    <n v="73076.649999999994"/>
    <n v="263075.94"/>
  </r>
  <r>
    <x v="0"/>
    <x v="0"/>
    <x v="0"/>
    <x v="8"/>
    <x v="18"/>
    <s v="SE3_HP"/>
    <x v="8"/>
    <s v="GHOB_WOODPELLETS"/>
    <x v="0"/>
    <x v="9"/>
    <n v="200.21"/>
    <n v="73076.649999999994"/>
    <n v="263075.94"/>
  </r>
  <r>
    <x v="0"/>
    <x v="0"/>
    <x v="0"/>
    <x v="8"/>
    <x v="18"/>
    <s v="SE3_HP"/>
    <x v="8"/>
    <s v="GHOB_WOODPELLETS"/>
    <x v="0"/>
    <x v="10"/>
    <n v="200.21"/>
    <n v="73076.649999999994"/>
    <n v="263075.94"/>
  </r>
  <r>
    <x v="0"/>
    <x v="0"/>
    <x v="0"/>
    <x v="8"/>
    <x v="18"/>
    <s v="SE3_HP"/>
    <x v="8"/>
    <s v="GHOB_WOODPELLETS"/>
    <x v="0"/>
    <x v="11"/>
    <n v="200.21"/>
    <n v="73076.649999999994"/>
    <n v="263075.94"/>
  </r>
  <r>
    <x v="0"/>
    <x v="0"/>
    <x v="0"/>
    <x v="8"/>
    <x v="18"/>
    <s v="SE3_HP"/>
    <x v="8"/>
    <s v="GHOB_WOODPELLETS"/>
    <x v="0"/>
    <x v="12"/>
    <n v="200.21"/>
    <n v="73076.649999999994"/>
    <n v="263075.94"/>
  </r>
  <r>
    <x v="0"/>
    <x v="0"/>
    <x v="0"/>
    <x v="8"/>
    <x v="18"/>
    <s v="SE3_HP"/>
    <x v="8"/>
    <s v="GHOB_WOODPELLETS"/>
    <x v="0"/>
    <x v="13"/>
    <n v="200.21"/>
    <n v="73076.649999999994"/>
    <n v="263075.94"/>
  </r>
  <r>
    <x v="0"/>
    <x v="0"/>
    <x v="0"/>
    <x v="8"/>
    <x v="18"/>
    <s v="SE3_HP"/>
    <x v="8"/>
    <s v="GHOB_WOODPELLETS"/>
    <x v="0"/>
    <x v="14"/>
    <n v="200.21"/>
    <n v="73076.649999999994"/>
    <n v="263075.94"/>
  </r>
  <r>
    <x v="0"/>
    <x v="0"/>
    <x v="0"/>
    <x v="8"/>
    <x v="18"/>
    <s v="SE3_HP"/>
    <x v="8"/>
    <s v="GHOB_WOODPELLETS"/>
    <x v="0"/>
    <x v="15"/>
    <n v="200.21"/>
    <n v="73076.649999999994"/>
    <n v="263075.94"/>
  </r>
  <r>
    <x v="0"/>
    <x v="0"/>
    <x v="0"/>
    <x v="8"/>
    <x v="18"/>
    <s v="SE3_HP"/>
    <x v="8"/>
    <s v="GHOB_WOODPELLETS"/>
    <x v="0"/>
    <x v="16"/>
    <n v="200.21"/>
    <n v="73076.649999999994"/>
    <n v="263075.94"/>
  </r>
  <r>
    <x v="0"/>
    <x v="0"/>
    <x v="0"/>
    <x v="8"/>
    <x v="18"/>
    <s v="SE3_HP"/>
    <x v="8"/>
    <s v="GHOB_WOODPELLETS"/>
    <x v="0"/>
    <x v="17"/>
    <n v="200.21"/>
    <n v="73076.649999999994"/>
    <n v="263075.94"/>
  </r>
  <r>
    <x v="0"/>
    <x v="0"/>
    <x v="0"/>
    <x v="8"/>
    <x v="18"/>
    <s v="SE3_HP"/>
    <x v="8"/>
    <s v="GHOB_WOODPELLETS"/>
    <x v="0"/>
    <x v="18"/>
    <n v="200.21"/>
    <n v="73076.649999999994"/>
    <n v="263075.94"/>
  </r>
  <r>
    <x v="0"/>
    <x v="0"/>
    <x v="0"/>
    <x v="8"/>
    <x v="18"/>
    <s v="SE3_HP"/>
    <x v="8"/>
    <s v="GHOB_WOODPELLETS"/>
    <x v="0"/>
    <x v="19"/>
    <n v="200.21"/>
    <n v="73076.649999999994"/>
    <n v="263075.94"/>
  </r>
  <r>
    <x v="0"/>
    <x v="0"/>
    <x v="0"/>
    <x v="8"/>
    <x v="18"/>
    <s v="SE3_HP"/>
    <x v="8"/>
    <s v="GHOB_WOODPELLETS"/>
    <x v="0"/>
    <x v="20"/>
    <n v="200.21"/>
    <n v="73076.649999999994"/>
    <n v="263075.94"/>
  </r>
  <r>
    <x v="0"/>
    <x v="0"/>
    <x v="0"/>
    <x v="8"/>
    <x v="18"/>
    <s v="SE3_HP"/>
    <x v="8"/>
    <s v="GHOB_WOODPELLETS"/>
    <x v="0"/>
    <x v="21"/>
    <n v="200.21"/>
    <n v="73076.649999999994"/>
    <n v="263075.94"/>
  </r>
  <r>
    <x v="0"/>
    <x v="0"/>
    <x v="0"/>
    <x v="8"/>
    <x v="18"/>
    <s v="SE3_HP"/>
    <x v="8"/>
    <s v="GHOB_WOODPELLETS"/>
    <x v="0"/>
    <x v="22"/>
    <n v="200.21"/>
    <n v="73076.649999999994"/>
    <n v="263075.94"/>
  </r>
  <r>
    <x v="0"/>
    <x v="0"/>
    <x v="0"/>
    <x v="8"/>
    <x v="18"/>
    <s v="SE3_HP"/>
    <x v="8"/>
    <s v="GHOB_WOODPELLETS"/>
    <x v="0"/>
    <x v="23"/>
    <n v="200.21"/>
    <n v="73076.649999999994"/>
    <n v="263075.94"/>
  </r>
  <r>
    <x v="0"/>
    <x v="0"/>
    <x v="0"/>
    <x v="8"/>
    <x v="18"/>
    <s v="SE3_HP"/>
    <x v="9"/>
    <s v="GBPR_WOODWASTE_36"/>
    <x v="0"/>
    <x v="0"/>
    <n v="68.870402802101594"/>
    <n v="25137.697022767101"/>
    <n v="90495.709281961506"/>
  </r>
  <r>
    <x v="0"/>
    <x v="0"/>
    <x v="0"/>
    <x v="8"/>
    <x v="18"/>
    <s v="SE3_HP"/>
    <x v="9"/>
    <s v="GBPR_WOODWASTE_36"/>
    <x v="0"/>
    <x v="1"/>
    <n v="68.870402802101594"/>
    <n v="25137.697022767101"/>
    <n v="90495.709281961506"/>
  </r>
  <r>
    <x v="0"/>
    <x v="0"/>
    <x v="0"/>
    <x v="8"/>
    <x v="18"/>
    <s v="SE3_HP"/>
    <x v="9"/>
    <s v="GBPR_WOODWASTE_36"/>
    <x v="0"/>
    <x v="2"/>
    <n v="68.870402802101594"/>
    <n v="25137.697022767101"/>
    <n v="90495.709281961506"/>
  </r>
  <r>
    <x v="0"/>
    <x v="0"/>
    <x v="0"/>
    <x v="8"/>
    <x v="18"/>
    <s v="SE3_HP"/>
    <x v="9"/>
    <s v="GBPR_WOODWASTE_36"/>
    <x v="0"/>
    <x v="3"/>
    <n v="68.870402802101594"/>
    <n v="25137.697022767101"/>
    <n v="90495.709281961506"/>
  </r>
  <r>
    <x v="0"/>
    <x v="0"/>
    <x v="0"/>
    <x v="8"/>
    <x v="18"/>
    <s v="SE3_HP"/>
    <x v="9"/>
    <s v="GBPR_WOODWASTE_36"/>
    <x v="0"/>
    <x v="4"/>
    <n v="68.870402802101594"/>
    <n v="25137.697022767101"/>
    <n v="90495.709281961506"/>
  </r>
  <r>
    <x v="0"/>
    <x v="0"/>
    <x v="0"/>
    <x v="8"/>
    <x v="18"/>
    <s v="SE3_HP"/>
    <x v="9"/>
    <s v="GBPR_WOODWASTE_36"/>
    <x v="0"/>
    <x v="5"/>
    <n v="68.870402802101594"/>
    <n v="25137.697022767101"/>
    <n v="90495.709281961506"/>
  </r>
  <r>
    <x v="0"/>
    <x v="0"/>
    <x v="0"/>
    <x v="8"/>
    <x v="18"/>
    <s v="SE3_HP"/>
    <x v="9"/>
    <s v="GBPR_WOODWASTE_36"/>
    <x v="0"/>
    <x v="6"/>
    <n v="68.870402802101594"/>
    <n v="25137.697022767101"/>
    <n v="90495.709281961506"/>
  </r>
  <r>
    <x v="0"/>
    <x v="0"/>
    <x v="0"/>
    <x v="8"/>
    <x v="18"/>
    <s v="SE3_HP"/>
    <x v="9"/>
    <s v="GBPR_WOODWASTE_36"/>
    <x v="0"/>
    <x v="7"/>
    <n v="68.870402802101594"/>
    <n v="25137.697022767101"/>
    <n v="90495.709281961506"/>
  </r>
  <r>
    <x v="0"/>
    <x v="0"/>
    <x v="0"/>
    <x v="8"/>
    <x v="18"/>
    <s v="SE3_HP"/>
    <x v="9"/>
    <s v="GBPR_WOODWASTE_36"/>
    <x v="0"/>
    <x v="8"/>
    <n v="68.870402802101594"/>
    <n v="25137.697022767101"/>
    <n v="90495.709281961506"/>
  </r>
  <r>
    <x v="0"/>
    <x v="0"/>
    <x v="0"/>
    <x v="8"/>
    <x v="18"/>
    <s v="SE3_HP"/>
    <x v="9"/>
    <s v="GBPR_WOODWASTE_36"/>
    <x v="0"/>
    <x v="9"/>
    <n v="68.870402802101594"/>
    <n v="25137.697022767101"/>
    <n v="90495.709281961506"/>
  </r>
  <r>
    <x v="0"/>
    <x v="0"/>
    <x v="0"/>
    <x v="8"/>
    <x v="18"/>
    <s v="SE3_HP"/>
    <x v="9"/>
    <s v="GBPR_WOODWASTE_36"/>
    <x v="0"/>
    <x v="10"/>
    <n v="68.870402802101594"/>
    <n v="25137.697022767101"/>
    <n v="90495.709281961506"/>
  </r>
  <r>
    <x v="0"/>
    <x v="0"/>
    <x v="0"/>
    <x v="8"/>
    <x v="18"/>
    <s v="SE3_HP"/>
    <x v="9"/>
    <s v="GBPR_WOODWASTE_36"/>
    <x v="0"/>
    <x v="11"/>
    <n v="68.870402802101594"/>
    <n v="25137.697022767101"/>
    <n v="90495.709281961506"/>
  </r>
  <r>
    <x v="0"/>
    <x v="0"/>
    <x v="0"/>
    <x v="8"/>
    <x v="18"/>
    <s v="SE3_HP"/>
    <x v="9"/>
    <s v="GBPR_WOODWASTE_36"/>
    <x v="0"/>
    <x v="12"/>
    <n v="68.870402802101594"/>
    <n v="25137.697022767101"/>
    <n v="90495.709281961506"/>
  </r>
  <r>
    <x v="0"/>
    <x v="0"/>
    <x v="0"/>
    <x v="8"/>
    <x v="18"/>
    <s v="SE3_HP"/>
    <x v="9"/>
    <s v="GBPR_WOODWASTE_36"/>
    <x v="0"/>
    <x v="13"/>
    <n v="68.870402802101594"/>
    <n v="25137.697022767101"/>
    <n v="90495.709281961506"/>
  </r>
  <r>
    <x v="0"/>
    <x v="0"/>
    <x v="0"/>
    <x v="8"/>
    <x v="18"/>
    <s v="SE3_HP"/>
    <x v="9"/>
    <s v="GBPR_WOODWASTE_36"/>
    <x v="0"/>
    <x v="14"/>
    <n v="68.870402802101594"/>
    <n v="25137.697022767101"/>
    <n v="90495.709281961506"/>
  </r>
  <r>
    <x v="0"/>
    <x v="0"/>
    <x v="0"/>
    <x v="8"/>
    <x v="18"/>
    <s v="SE3_HP"/>
    <x v="9"/>
    <s v="GBPR_WOODWASTE_36"/>
    <x v="0"/>
    <x v="15"/>
    <n v="68.870402802101594"/>
    <n v="25137.697022767101"/>
    <n v="90495.709281961506"/>
  </r>
  <r>
    <x v="0"/>
    <x v="0"/>
    <x v="0"/>
    <x v="8"/>
    <x v="18"/>
    <s v="SE3_HP"/>
    <x v="9"/>
    <s v="GBPR_WOODWASTE_36"/>
    <x v="0"/>
    <x v="16"/>
    <n v="68.870402802101594"/>
    <n v="25137.697022767101"/>
    <n v="90495.709281961506"/>
  </r>
  <r>
    <x v="0"/>
    <x v="0"/>
    <x v="0"/>
    <x v="8"/>
    <x v="18"/>
    <s v="SE3_HP"/>
    <x v="9"/>
    <s v="GBPR_WOODWASTE_36"/>
    <x v="0"/>
    <x v="17"/>
    <n v="68.870402802101594"/>
    <n v="25137.697022767101"/>
    <n v="90495.709281961506"/>
  </r>
  <r>
    <x v="0"/>
    <x v="0"/>
    <x v="0"/>
    <x v="8"/>
    <x v="18"/>
    <s v="SE3_HP"/>
    <x v="9"/>
    <s v="GBPR_WOODWASTE_36"/>
    <x v="0"/>
    <x v="18"/>
    <n v="68.870402802101594"/>
    <n v="25137.697022767101"/>
    <n v="90495.709281961506"/>
  </r>
  <r>
    <x v="0"/>
    <x v="0"/>
    <x v="0"/>
    <x v="8"/>
    <x v="18"/>
    <s v="SE3_HP"/>
    <x v="9"/>
    <s v="GBPR_WOODWASTE_36"/>
    <x v="0"/>
    <x v="19"/>
    <n v="68.870402802101594"/>
    <n v="25137.697022767101"/>
    <n v="90495.709281961506"/>
  </r>
  <r>
    <x v="0"/>
    <x v="0"/>
    <x v="0"/>
    <x v="8"/>
    <x v="18"/>
    <s v="SE3_HP"/>
    <x v="9"/>
    <s v="GBPR_WOODWASTE_36"/>
    <x v="0"/>
    <x v="20"/>
    <n v="68.870402802101594"/>
    <n v="25137.697022767101"/>
    <n v="90495.709281961506"/>
  </r>
  <r>
    <x v="0"/>
    <x v="0"/>
    <x v="0"/>
    <x v="8"/>
    <x v="18"/>
    <s v="SE3_HP"/>
    <x v="9"/>
    <s v="GBPR_WOODWASTE_36"/>
    <x v="0"/>
    <x v="21"/>
    <n v="68.870402802101594"/>
    <n v="25137.697022767101"/>
    <n v="90495.709281961506"/>
  </r>
  <r>
    <x v="0"/>
    <x v="0"/>
    <x v="0"/>
    <x v="8"/>
    <x v="18"/>
    <s v="SE3_HP"/>
    <x v="9"/>
    <s v="GBPR_WOODWASTE_36"/>
    <x v="0"/>
    <x v="22"/>
    <n v="68.870402802101594"/>
    <n v="25137.697022767101"/>
    <n v="90495.709281961506"/>
  </r>
  <r>
    <x v="0"/>
    <x v="0"/>
    <x v="0"/>
    <x v="8"/>
    <x v="18"/>
    <s v="SE3_HP"/>
    <x v="9"/>
    <s v="GBPR_WOODWASTE_36"/>
    <x v="0"/>
    <x v="23"/>
    <n v="68.870402802101594"/>
    <n v="25137.697022767101"/>
    <n v="90495.709281961506"/>
  </r>
  <r>
    <x v="0"/>
    <x v="0"/>
    <x v="0"/>
    <x v="8"/>
    <x v="18"/>
    <s v="SE3_HP"/>
    <x v="9"/>
    <s v="GHOB_WOODWASTE"/>
    <x v="0"/>
    <x v="0"/>
    <n v="17.4016224168126"/>
    <n v="6351.5921821366001"/>
    <n v="22865.7318556918"/>
  </r>
  <r>
    <x v="0"/>
    <x v="0"/>
    <x v="0"/>
    <x v="8"/>
    <x v="18"/>
    <s v="SE3_HP"/>
    <x v="9"/>
    <s v="GHOB_WOODWASTE"/>
    <x v="0"/>
    <x v="1"/>
    <n v="17.4016224168126"/>
    <n v="6351.5921821366001"/>
    <n v="22865.7318556918"/>
  </r>
  <r>
    <x v="0"/>
    <x v="0"/>
    <x v="0"/>
    <x v="8"/>
    <x v="18"/>
    <s v="SE3_HP"/>
    <x v="9"/>
    <s v="GHOB_WOODWASTE"/>
    <x v="0"/>
    <x v="2"/>
    <n v="17.4016224168126"/>
    <n v="6351.5921821366001"/>
    <n v="22865.7318556918"/>
  </r>
  <r>
    <x v="0"/>
    <x v="0"/>
    <x v="0"/>
    <x v="8"/>
    <x v="18"/>
    <s v="SE3_HP"/>
    <x v="9"/>
    <s v="GHOB_WOODWASTE"/>
    <x v="0"/>
    <x v="3"/>
    <n v="17.4016224168126"/>
    <n v="6351.5921821366001"/>
    <n v="22865.7318556918"/>
  </r>
  <r>
    <x v="0"/>
    <x v="0"/>
    <x v="0"/>
    <x v="8"/>
    <x v="18"/>
    <s v="SE3_HP"/>
    <x v="9"/>
    <s v="GHOB_WOODWASTE"/>
    <x v="0"/>
    <x v="4"/>
    <n v="17.4016224168126"/>
    <n v="6351.5921821366001"/>
    <n v="22865.7318556918"/>
  </r>
  <r>
    <x v="0"/>
    <x v="0"/>
    <x v="0"/>
    <x v="8"/>
    <x v="18"/>
    <s v="SE3_HP"/>
    <x v="9"/>
    <s v="GHOB_WOODWASTE"/>
    <x v="0"/>
    <x v="5"/>
    <n v="17.4016224168126"/>
    <n v="6351.5921821366001"/>
    <n v="22865.7318556918"/>
  </r>
  <r>
    <x v="0"/>
    <x v="0"/>
    <x v="0"/>
    <x v="8"/>
    <x v="18"/>
    <s v="SE3_HP"/>
    <x v="9"/>
    <s v="GHOB_WOODWASTE"/>
    <x v="0"/>
    <x v="6"/>
    <n v="17.4016224168126"/>
    <n v="6351.5921821366001"/>
    <n v="22865.7318556918"/>
  </r>
  <r>
    <x v="0"/>
    <x v="0"/>
    <x v="0"/>
    <x v="8"/>
    <x v="18"/>
    <s v="SE3_HP"/>
    <x v="9"/>
    <s v="GHOB_WOODWASTE"/>
    <x v="0"/>
    <x v="7"/>
    <n v="17.4016224168126"/>
    <n v="6351.5921821366001"/>
    <n v="22865.7318556918"/>
  </r>
  <r>
    <x v="0"/>
    <x v="0"/>
    <x v="0"/>
    <x v="8"/>
    <x v="18"/>
    <s v="SE3_HP"/>
    <x v="9"/>
    <s v="GHOB_WOODWASTE"/>
    <x v="0"/>
    <x v="8"/>
    <n v="17.4016224168126"/>
    <n v="6351.5921821366001"/>
    <n v="22865.7318556918"/>
  </r>
  <r>
    <x v="0"/>
    <x v="0"/>
    <x v="0"/>
    <x v="8"/>
    <x v="18"/>
    <s v="SE3_HP"/>
    <x v="9"/>
    <s v="GHOB_WOODWASTE"/>
    <x v="0"/>
    <x v="9"/>
    <n v="17.4016224168126"/>
    <n v="6351.5921821366001"/>
    <n v="22865.7318556918"/>
  </r>
  <r>
    <x v="0"/>
    <x v="0"/>
    <x v="0"/>
    <x v="8"/>
    <x v="18"/>
    <s v="SE3_HP"/>
    <x v="9"/>
    <s v="GHOB_WOODWASTE"/>
    <x v="0"/>
    <x v="10"/>
    <n v="17.4016224168126"/>
    <n v="6351.5921821366001"/>
    <n v="22865.7318556918"/>
  </r>
  <r>
    <x v="0"/>
    <x v="0"/>
    <x v="0"/>
    <x v="8"/>
    <x v="18"/>
    <s v="SE3_HP"/>
    <x v="9"/>
    <s v="GHOB_WOODWASTE"/>
    <x v="0"/>
    <x v="11"/>
    <n v="17.4016224168126"/>
    <n v="6351.5921821366001"/>
    <n v="22865.7318556918"/>
  </r>
  <r>
    <x v="0"/>
    <x v="0"/>
    <x v="0"/>
    <x v="8"/>
    <x v="18"/>
    <s v="SE3_HP"/>
    <x v="9"/>
    <s v="GHOB_WOODWASTE"/>
    <x v="0"/>
    <x v="12"/>
    <n v="17.4016224168126"/>
    <n v="6351.5921821366001"/>
    <n v="22865.7318556918"/>
  </r>
  <r>
    <x v="0"/>
    <x v="0"/>
    <x v="0"/>
    <x v="8"/>
    <x v="18"/>
    <s v="SE3_HP"/>
    <x v="9"/>
    <s v="GHOB_WOODWASTE"/>
    <x v="0"/>
    <x v="13"/>
    <n v="17.4016224168126"/>
    <n v="6351.5921821366001"/>
    <n v="22865.7318556918"/>
  </r>
  <r>
    <x v="0"/>
    <x v="0"/>
    <x v="0"/>
    <x v="8"/>
    <x v="18"/>
    <s v="SE3_HP"/>
    <x v="9"/>
    <s v="GHOB_WOODWASTE"/>
    <x v="0"/>
    <x v="14"/>
    <n v="17.4016224168126"/>
    <n v="6351.5921821366001"/>
    <n v="22865.7318556918"/>
  </r>
  <r>
    <x v="0"/>
    <x v="0"/>
    <x v="0"/>
    <x v="8"/>
    <x v="18"/>
    <s v="SE3_HP"/>
    <x v="9"/>
    <s v="GHOB_WOODWASTE"/>
    <x v="0"/>
    <x v="15"/>
    <n v="17.4016224168126"/>
    <n v="6351.5921821366001"/>
    <n v="22865.7318556918"/>
  </r>
  <r>
    <x v="0"/>
    <x v="0"/>
    <x v="0"/>
    <x v="8"/>
    <x v="18"/>
    <s v="SE3_HP"/>
    <x v="9"/>
    <s v="GHOB_WOODWASTE"/>
    <x v="0"/>
    <x v="16"/>
    <n v="17.4016224168126"/>
    <n v="6351.5921821366001"/>
    <n v="22865.7318556918"/>
  </r>
  <r>
    <x v="0"/>
    <x v="0"/>
    <x v="0"/>
    <x v="8"/>
    <x v="18"/>
    <s v="SE3_HP"/>
    <x v="9"/>
    <s v="GHOB_WOODWASTE"/>
    <x v="0"/>
    <x v="17"/>
    <n v="17.4016224168126"/>
    <n v="6351.5921821366001"/>
    <n v="22865.7318556918"/>
  </r>
  <r>
    <x v="0"/>
    <x v="0"/>
    <x v="0"/>
    <x v="8"/>
    <x v="18"/>
    <s v="SE3_HP"/>
    <x v="9"/>
    <s v="GHOB_WOODWASTE"/>
    <x v="0"/>
    <x v="18"/>
    <n v="17.4016224168126"/>
    <n v="6351.5921821366001"/>
    <n v="22865.7318556918"/>
  </r>
  <r>
    <x v="0"/>
    <x v="0"/>
    <x v="0"/>
    <x v="8"/>
    <x v="18"/>
    <s v="SE3_HP"/>
    <x v="9"/>
    <s v="GHOB_WOODWASTE"/>
    <x v="0"/>
    <x v="19"/>
    <n v="17.4016224168126"/>
    <n v="6351.5921821366001"/>
    <n v="22865.7318556918"/>
  </r>
  <r>
    <x v="0"/>
    <x v="0"/>
    <x v="0"/>
    <x v="8"/>
    <x v="18"/>
    <s v="SE3_HP"/>
    <x v="9"/>
    <s v="GHOB_WOODWASTE"/>
    <x v="0"/>
    <x v="20"/>
    <n v="17.4016224168126"/>
    <n v="6351.5921821366001"/>
    <n v="22865.7318556918"/>
  </r>
  <r>
    <x v="0"/>
    <x v="0"/>
    <x v="0"/>
    <x v="8"/>
    <x v="18"/>
    <s v="SE3_HP"/>
    <x v="9"/>
    <s v="GHOB_WOODWASTE"/>
    <x v="0"/>
    <x v="21"/>
    <n v="17.4016224168126"/>
    <n v="6351.5921821366001"/>
    <n v="22865.7318556918"/>
  </r>
  <r>
    <x v="0"/>
    <x v="0"/>
    <x v="0"/>
    <x v="8"/>
    <x v="18"/>
    <s v="SE3_HP"/>
    <x v="9"/>
    <s v="GHOB_WOODWASTE"/>
    <x v="0"/>
    <x v="22"/>
    <n v="17.4016224168126"/>
    <n v="6351.5921821366001"/>
    <n v="22865.7318556918"/>
  </r>
  <r>
    <x v="0"/>
    <x v="0"/>
    <x v="0"/>
    <x v="8"/>
    <x v="18"/>
    <s v="SE3_HP"/>
    <x v="9"/>
    <s v="GHOB_WOODWASTE"/>
    <x v="0"/>
    <x v="23"/>
    <n v="17.4016224168126"/>
    <n v="6351.5921821366001"/>
    <n v="22865.7318556918"/>
  </r>
  <r>
    <x v="0"/>
    <x v="0"/>
    <x v="0"/>
    <x v="8"/>
    <x v="18"/>
    <s v="SE3_OTHER"/>
    <x v="2"/>
    <s v="GNR_HS_HEAT_WTR-TANK_LS_E-95_Y-2010"/>
    <x v="0"/>
    <x v="7"/>
    <n v="68.477656726509494"/>
    <n v="24994.344705176001"/>
    <n v="89979.6409386335"/>
  </r>
  <r>
    <x v="0"/>
    <x v="0"/>
    <x v="0"/>
    <x v="8"/>
    <x v="18"/>
    <s v="SE3_OTHER"/>
    <x v="2"/>
    <s v="GNR_HS_HEAT_WTR-TANK_LS_E-95_Y-2010"/>
    <x v="0"/>
    <x v="8"/>
    <n v="80.313747883587595"/>
    <n v="29314.517977509498"/>
    <n v="105532.26471903401"/>
  </r>
  <r>
    <x v="0"/>
    <x v="0"/>
    <x v="0"/>
    <x v="8"/>
    <x v="18"/>
    <s v="SE3_OTHER"/>
    <x v="2"/>
    <s v="GNR_HS_HEAT_WTR-TANK_LS_E-95_Y-2010"/>
    <x v="0"/>
    <x v="9"/>
    <n v="58.889878436034103"/>
    <n v="21494.805629152499"/>
    <n v="77381.300264948804"/>
  </r>
  <r>
    <x v="0"/>
    <x v="0"/>
    <x v="0"/>
    <x v="8"/>
    <x v="18"/>
    <s v="SE3_OTHER"/>
    <x v="3"/>
    <s v="GBPR_MUNIWASTE_24"/>
    <x v="0"/>
    <x v="0"/>
    <n v="120.48960927447"/>
    <n v="43978.707385181697"/>
    <n v="158323.34658665399"/>
  </r>
  <r>
    <x v="0"/>
    <x v="0"/>
    <x v="0"/>
    <x v="8"/>
    <x v="18"/>
    <s v="SE3_OTHER"/>
    <x v="3"/>
    <s v="GBPR_MUNIWASTE_24"/>
    <x v="0"/>
    <x v="1"/>
    <n v="120.48960927447"/>
    <n v="43978.707385181697"/>
    <n v="158323.34658665399"/>
  </r>
  <r>
    <x v="0"/>
    <x v="0"/>
    <x v="0"/>
    <x v="8"/>
    <x v="18"/>
    <s v="SE3_OTHER"/>
    <x v="3"/>
    <s v="GBPR_MUNIWASTE_24"/>
    <x v="0"/>
    <x v="2"/>
    <n v="120.48960927447"/>
    <n v="43978.707385181697"/>
    <n v="158323.34658665399"/>
  </r>
  <r>
    <x v="0"/>
    <x v="0"/>
    <x v="0"/>
    <x v="8"/>
    <x v="18"/>
    <s v="SE3_OTHER"/>
    <x v="3"/>
    <s v="GBPR_MUNIWASTE_24"/>
    <x v="0"/>
    <x v="3"/>
    <n v="120.48960927447"/>
    <n v="43978.707385181697"/>
    <n v="158323.34658665399"/>
  </r>
  <r>
    <x v="0"/>
    <x v="0"/>
    <x v="0"/>
    <x v="8"/>
    <x v="18"/>
    <s v="SE3_OTHER"/>
    <x v="3"/>
    <s v="GBPR_MUNIWASTE_24"/>
    <x v="0"/>
    <x v="4"/>
    <n v="120.48960927447"/>
    <n v="43978.707385181697"/>
    <n v="158323.34658665399"/>
  </r>
  <r>
    <x v="0"/>
    <x v="0"/>
    <x v="0"/>
    <x v="8"/>
    <x v="18"/>
    <s v="SE3_OTHER"/>
    <x v="3"/>
    <s v="GBPR_MUNIWASTE_24"/>
    <x v="0"/>
    <x v="5"/>
    <n v="120.48960927447"/>
    <n v="43978.707385181697"/>
    <n v="158323.34658665399"/>
  </r>
  <r>
    <x v="0"/>
    <x v="0"/>
    <x v="0"/>
    <x v="8"/>
    <x v="18"/>
    <s v="SE3_OTHER"/>
    <x v="3"/>
    <s v="GBPR_MUNIWASTE_24"/>
    <x v="0"/>
    <x v="6"/>
    <n v="120.48960927447"/>
    <n v="43978.707385181697"/>
    <n v="158323.34658665399"/>
  </r>
  <r>
    <x v="0"/>
    <x v="0"/>
    <x v="0"/>
    <x v="8"/>
    <x v="18"/>
    <s v="SE3_OTHER"/>
    <x v="3"/>
    <s v="GBPR_MUNIWASTE_24"/>
    <x v="0"/>
    <x v="7"/>
    <n v="120.48960927447"/>
    <n v="43978.707385181697"/>
    <n v="158323.34658665399"/>
  </r>
  <r>
    <x v="0"/>
    <x v="0"/>
    <x v="0"/>
    <x v="8"/>
    <x v="18"/>
    <s v="SE3_OTHER"/>
    <x v="3"/>
    <s v="GBPR_MUNIWASTE_24"/>
    <x v="0"/>
    <x v="8"/>
    <n v="120.48960927447"/>
    <n v="43978.707385181697"/>
    <n v="158323.34658665399"/>
  </r>
  <r>
    <x v="0"/>
    <x v="0"/>
    <x v="0"/>
    <x v="8"/>
    <x v="18"/>
    <s v="SE3_OTHER"/>
    <x v="3"/>
    <s v="GBPR_MUNIWASTE_24"/>
    <x v="0"/>
    <x v="9"/>
    <n v="120.48960927447"/>
    <n v="43978.707385181697"/>
    <n v="158323.34658665399"/>
  </r>
  <r>
    <x v="0"/>
    <x v="0"/>
    <x v="0"/>
    <x v="8"/>
    <x v="18"/>
    <s v="SE3_OTHER"/>
    <x v="3"/>
    <s v="GBPR_MUNIWASTE_24"/>
    <x v="0"/>
    <x v="10"/>
    <n v="120.48960927447"/>
    <n v="43978.707385181697"/>
    <n v="158323.34658665399"/>
  </r>
  <r>
    <x v="0"/>
    <x v="0"/>
    <x v="0"/>
    <x v="8"/>
    <x v="18"/>
    <s v="SE3_OTHER"/>
    <x v="3"/>
    <s v="GBPR_MUNIWASTE_24"/>
    <x v="0"/>
    <x v="11"/>
    <n v="120.48960927447"/>
    <n v="43978.707385181697"/>
    <n v="158323.34658665399"/>
  </r>
  <r>
    <x v="0"/>
    <x v="0"/>
    <x v="0"/>
    <x v="8"/>
    <x v="18"/>
    <s v="SE3_OTHER"/>
    <x v="3"/>
    <s v="GBPR_MUNIWASTE_24"/>
    <x v="0"/>
    <x v="12"/>
    <n v="120.48960927447"/>
    <n v="43978.707385181697"/>
    <n v="158323.34658665399"/>
  </r>
  <r>
    <x v="0"/>
    <x v="0"/>
    <x v="0"/>
    <x v="8"/>
    <x v="18"/>
    <s v="SE3_OTHER"/>
    <x v="3"/>
    <s v="GBPR_MUNIWASTE_24"/>
    <x v="0"/>
    <x v="13"/>
    <n v="120.48960927447"/>
    <n v="43978.707385181697"/>
    <n v="158323.34658665399"/>
  </r>
  <r>
    <x v="0"/>
    <x v="0"/>
    <x v="0"/>
    <x v="8"/>
    <x v="18"/>
    <s v="SE3_OTHER"/>
    <x v="3"/>
    <s v="GBPR_MUNIWASTE_24"/>
    <x v="0"/>
    <x v="14"/>
    <n v="120.48960927447"/>
    <n v="43978.707385181697"/>
    <n v="158323.34658665399"/>
  </r>
  <r>
    <x v="0"/>
    <x v="0"/>
    <x v="0"/>
    <x v="8"/>
    <x v="18"/>
    <s v="SE3_OTHER"/>
    <x v="3"/>
    <s v="GBPR_MUNIWASTE_24"/>
    <x v="0"/>
    <x v="15"/>
    <n v="120.48960927447"/>
    <n v="43978.707385181697"/>
    <n v="158323.34658665399"/>
  </r>
  <r>
    <x v="0"/>
    <x v="0"/>
    <x v="0"/>
    <x v="8"/>
    <x v="18"/>
    <s v="SE3_OTHER"/>
    <x v="3"/>
    <s v="GBPR_MUNIWASTE_24"/>
    <x v="0"/>
    <x v="16"/>
    <n v="120.48960927447"/>
    <n v="43978.707385181697"/>
    <n v="158323.34658665399"/>
  </r>
  <r>
    <x v="0"/>
    <x v="0"/>
    <x v="0"/>
    <x v="8"/>
    <x v="18"/>
    <s v="SE3_OTHER"/>
    <x v="3"/>
    <s v="GBPR_MUNIWASTE_24"/>
    <x v="0"/>
    <x v="17"/>
    <n v="120.48960927447"/>
    <n v="43978.707385181697"/>
    <n v="158323.34658665399"/>
  </r>
  <r>
    <x v="0"/>
    <x v="0"/>
    <x v="0"/>
    <x v="8"/>
    <x v="18"/>
    <s v="SE3_OTHER"/>
    <x v="3"/>
    <s v="GBPR_MUNIWASTE_24"/>
    <x v="0"/>
    <x v="18"/>
    <n v="120.48960927447"/>
    <n v="43978.707385181697"/>
    <n v="158323.34658665399"/>
  </r>
  <r>
    <x v="0"/>
    <x v="0"/>
    <x v="0"/>
    <x v="8"/>
    <x v="18"/>
    <s v="SE3_OTHER"/>
    <x v="3"/>
    <s v="GBPR_MUNIWASTE_24"/>
    <x v="0"/>
    <x v="19"/>
    <n v="120.48960927447"/>
    <n v="43978.707385181697"/>
    <n v="158323.34658665399"/>
  </r>
  <r>
    <x v="0"/>
    <x v="0"/>
    <x v="0"/>
    <x v="8"/>
    <x v="18"/>
    <s v="SE3_OTHER"/>
    <x v="3"/>
    <s v="GBPR_MUNIWASTE_24"/>
    <x v="0"/>
    <x v="20"/>
    <n v="120.48960927447"/>
    <n v="43978.707385181697"/>
    <n v="158323.34658665399"/>
  </r>
  <r>
    <x v="0"/>
    <x v="0"/>
    <x v="0"/>
    <x v="8"/>
    <x v="18"/>
    <s v="SE3_OTHER"/>
    <x v="3"/>
    <s v="GBPR_MUNIWASTE_24"/>
    <x v="0"/>
    <x v="21"/>
    <n v="120.48960927447"/>
    <n v="43978.707385181697"/>
    <n v="158323.34658665399"/>
  </r>
  <r>
    <x v="0"/>
    <x v="0"/>
    <x v="0"/>
    <x v="8"/>
    <x v="18"/>
    <s v="SE3_OTHER"/>
    <x v="3"/>
    <s v="GBPR_MUNIWASTE_24"/>
    <x v="0"/>
    <x v="22"/>
    <n v="120.48960927447"/>
    <n v="43978.707385181697"/>
    <n v="158323.34658665399"/>
  </r>
  <r>
    <x v="0"/>
    <x v="0"/>
    <x v="0"/>
    <x v="8"/>
    <x v="18"/>
    <s v="SE3_OTHER"/>
    <x v="3"/>
    <s v="GBPR_MUNIWASTE_24"/>
    <x v="0"/>
    <x v="23"/>
    <n v="120.48960927447"/>
    <n v="43978.707385181697"/>
    <n v="158323.34658665399"/>
  </r>
  <r>
    <x v="0"/>
    <x v="0"/>
    <x v="0"/>
    <x v="8"/>
    <x v="18"/>
    <s v="SE3_OTHER"/>
    <x v="3"/>
    <s v="GHOB_MUNIWASTE"/>
    <x v="0"/>
    <x v="4"/>
    <n v="81.376014532261195"/>
    <n v="29702.2453042753"/>
    <n v="106928.083095391"/>
  </r>
  <r>
    <x v="0"/>
    <x v="0"/>
    <x v="0"/>
    <x v="8"/>
    <x v="18"/>
    <s v="SE3_OTHER"/>
    <x v="3"/>
    <s v="GHOB_MUNIWASTE"/>
    <x v="0"/>
    <x v="5"/>
    <n v="118.900503206948"/>
    <n v="43398.683670535902"/>
    <n v="156235.26121392901"/>
  </r>
  <r>
    <x v="0"/>
    <x v="0"/>
    <x v="0"/>
    <x v="8"/>
    <x v="18"/>
    <s v="SE3_OTHER"/>
    <x v="3"/>
    <s v="GHOB_MUNIWASTE"/>
    <x v="0"/>
    <x v="6"/>
    <n v="118.900503206948"/>
    <n v="43398.683670535902"/>
    <n v="156235.26121392901"/>
  </r>
  <r>
    <x v="0"/>
    <x v="0"/>
    <x v="0"/>
    <x v="8"/>
    <x v="18"/>
    <s v="SE3_OTHER"/>
    <x v="3"/>
    <s v="GHOB_MUNIWASTE"/>
    <x v="0"/>
    <x v="7"/>
    <n v="118.900503206948"/>
    <n v="43398.683670535902"/>
    <n v="156235.26121392901"/>
  </r>
  <r>
    <x v="0"/>
    <x v="0"/>
    <x v="0"/>
    <x v="8"/>
    <x v="18"/>
    <s v="SE3_OTHER"/>
    <x v="3"/>
    <s v="GHOB_MUNIWASTE"/>
    <x v="0"/>
    <x v="8"/>
    <n v="118.900503206948"/>
    <n v="43398.683670535902"/>
    <n v="156235.26121392901"/>
  </r>
  <r>
    <x v="0"/>
    <x v="0"/>
    <x v="0"/>
    <x v="8"/>
    <x v="18"/>
    <s v="SE3_OTHER"/>
    <x v="3"/>
    <s v="GHOB_MUNIWASTE"/>
    <x v="0"/>
    <x v="9"/>
    <n v="118.900503206948"/>
    <n v="43398.683670535902"/>
    <n v="156235.26121392901"/>
  </r>
  <r>
    <x v="0"/>
    <x v="0"/>
    <x v="0"/>
    <x v="8"/>
    <x v="18"/>
    <s v="SE3_OTHER"/>
    <x v="3"/>
    <s v="GHOB_MUNIWASTE"/>
    <x v="0"/>
    <x v="10"/>
    <n v="118.900503206948"/>
    <n v="43398.683670535902"/>
    <n v="156235.26121392901"/>
  </r>
  <r>
    <x v="0"/>
    <x v="0"/>
    <x v="0"/>
    <x v="8"/>
    <x v="18"/>
    <s v="SE3_OTHER"/>
    <x v="3"/>
    <s v="GHOB_MUNIWASTE"/>
    <x v="0"/>
    <x v="11"/>
    <n v="118.900503206948"/>
    <n v="43398.683670535902"/>
    <n v="156235.26121392901"/>
  </r>
  <r>
    <x v="0"/>
    <x v="0"/>
    <x v="0"/>
    <x v="8"/>
    <x v="18"/>
    <s v="SE3_OTHER"/>
    <x v="3"/>
    <s v="GHOB_MUNIWASTE"/>
    <x v="0"/>
    <x v="12"/>
    <n v="118.900503206948"/>
    <n v="43398.683670535902"/>
    <n v="156235.26121392901"/>
  </r>
  <r>
    <x v="0"/>
    <x v="0"/>
    <x v="0"/>
    <x v="8"/>
    <x v="18"/>
    <s v="SE3_OTHER"/>
    <x v="3"/>
    <s v="GHOB_MUNIWASTE"/>
    <x v="0"/>
    <x v="13"/>
    <n v="118.900503206948"/>
    <n v="43398.683670535902"/>
    <n v="156235.26121392901"/>
  </r>
  <r>
    <x v="0"/>
    <x v="0"/>
    <x v="0"/>
    <x v="8"/>
    <x v="18"/>
    <s v="SE3_OTHER"/>
    <x v="3"/>
    <s v="GHOB_MUNIWASTE"/>
    <x v="0"/>
    <x v="14"/>
    <n v="118.900503206948"/>
    <n v="43398.683670535902"/>
    <n v="156235.26121392901"/>
  </r>
  <r>
    <x v="0"/>
    <x v="0"/>
    <x v="0"/>
    <x v="8"/>
    <x v="18"/>
    <s v="SE3_OTHER"/>
    <x v="3"/>
    <s v="GHOB_MUNIWASTE"/>
    <x v="0"/>
    <x v="15"/>
    <n v="118.900503206948"/>
    <n v="43398.683670535902"/>
    <n v="156235.26121392901"/>
  </r>
  <r>
    <x v="0"/>
    <x v="0"/>
    <x v="0"/>
    <x v="8"/>
    <x v="18"/>
    <s v="SE3_OTHER"/>
    <x v="3"/>
    <s v="GHOB_MUNIWASTE"/>
    <x v="0"/>
    <x v="16"/>
    <n v="118.900503206948"/>
    <n v="43398.683670535902"/>
    <n v="156235.26121392901"/>
  </r>
  <r>
    <x v="0"/>
    <x v="0"/>
    <x v="0"/>
    <x v="8"/>
    <x v="18"/>
    <s v="SE3_OTHER"/>
    <x v="3"/>
    <s v="GHOB_MUNIWASTE"/>
    <x v="0"/>
    <x v="17"/>
    <n v="118.900503206948"/>
    <n v="43398.683670535902"/>
    <n v="156235.26121392901"/>
  </r>
  <r>
    <x v="0"/>
    <x v="0"/>
    <x v="0"/>
    <x v="8"/>
    <x v="18"/>
    <s v="SE3_OTHER"/>
    <x v="3"/>
    <s v="GHOB_MUNIWASTE"/>
    <x v="0"/>
    <x v="18"/>
    <n v="118.900503206948"/>
    <n v="43398.683670535902"/>
    <n v="156235.26121392901"/>
  </r>
  <r>
    <x v="0"/>
    <x v="0"/>
    <x v="0"/>
    <x v="8"/>
    <x v="18"/>
    <s v="SE3_OTHER"/>
    <x v="3"/>
    <s v="GHOB_MUNIWASTE"/>
    <x v="0"/>
    <x v="19"/>
    <n v="75.757970929516802"/>
    <n v="27651.659389273598"/>
    <n v="99545.973801385102"/>
  </r>
  <r>
    <x v="0"/>
    <x v="0"/>
    <x v="0"/>
    <x v="8"/>
    <x v="18"/>
    <s v="SE3_OTHER"/>
    <x v="3"/>
    <s v="GHOB_MUNIWASTE"/>
    <x v="0"/>
    <x v="20"/>
    <n v="40.729928205989999"/>
    <n v="14866.4237951863"/>
    <n v="53519.125662670798"/>
  </r>
  <r>
    <x v="0"/>
    <x v="0"/>
    <x v="0"/>
    <x v="8"/>
    <x v="18"/>
    <s v="SE3_OTHER"/>
    <x v="3"/>
    <s v="GHOB_MUNIWASTE"/>
    <x v="0"/>
    <x v="21"/>
    <n v="4.64010185730569"/>
    <n v="1693.63717791658"/>
    <n v="6097.0938404996796"/>
  </r>
  <r>
    <x v="0"/>
    <x v="0"/>
    <x v="0"/>
    <x v="8"/>
    <x v="18"/>
    <s v="SE3_OTHER"/>
    <x v="15"/>
    <s v="GBPR_RECYCLEDWOOD_SE3OTHER"/>
    <x v="0"/>
    <x v="0"/>
    <n v="124.642377910889"/>
    <n v="45494.467937474597"/>
    <n v="163780.08457490901"/>
  </r>
  <r>
    <x v="0"/>
    <x v="0"/>
    <x v="0"/>
    <x v="8"/>
    <x v="18"/>
    <s v="SE3_OTHER"/>
    <x v="15"/>
    <s v="GBPR_RECYCLEDWOOD_SE3OTHER"/>
    <x v="0"/>
    <x v="1"/>
    <n v="124.642377910889"/>
    <n v="45494.467937474597"/>
    <n v="163780.08457490901"/>
  </r>
  <r>
    <x v="0"/>
    <x v="0"/>
    <x v="0"/>
    <x v="8"/>
    <x v="18"/>
    <s v="SE3_OTHER"/>
    <x v="15"/>
    <s v="GBPR_RECYCLEDWOOD_SE3OTHER"/>
    <x v="0"/>
    <x v="2"/>
    <n v="124.642377910889"/>
    <n v="45494.467937474597"/>
    <n v="163780.08457490901"/>
  </r>
  <r>
    <x v="0"/>
    <x v="0"/>
    <x v="0"/>
    <x v="8"/>
    <x v="18"/>
    <s v="SE3_OTHER"/>
    <x v="15"/>
    <s v="GBPR_RECYCLEDWOOD_SE3OTHER"/>
    <x v="0"/>
    <x v="3"/>
    <n v="124.642377910889"/>
    <n v="45494.467937474597"/>
    <n v="163780.08457490901"/>
  </r>
  <r>
    <x v="0"/>
    <x v="0"/>
    <x v="0"/>
    <x v="8"/>
    <x v="18"/>
    <s v="SE3_OTHER"/>
    <x v="15"/>
    <s v="GBPR_RECYCLEDWOOD_SE3OTHER"/>
    <x v="0"/>
    <x v="4"/>
    <n v="124.642377910889"/>
    <n v="45494.467937474597"/>
    <n v="163780.08457490901"/>
  </r>
  <r>
    <x v="0"/>
    <x v="0"/>
    <x v="0"/>
    <x v="8"/>
    <x v="18"/>
    <s v="SE3_OTHER"/>
    <x v="15"/>
    <s v="GBPR_RECYCLEDWOOD_SE3OTHER"/>
    <x v="0"/>
    <x v="5"/>
    <n v="124.642377910889"/>
    <n v="45494.467937474597"/>
    <n v="163780.08457490901"/>
  </r>
  <r>
    <x v="0"/>
    <x v="0"/>
    <x v="0"/>
    <x v="8"/>
    <x v="18"/>
    <s v="SE3_OTHER"/>
    <x v="15"/>
    <s v="GBPR_RECYCLEDWOOD_SE3OTHER"/>
    <x v="0"/>
    <x v="6"/>
    <n v="124.642377910889"/>
    <n v="45494.467937474597"/>
    <n v="163780.08457490901"/>
  </r>
  <r>
    <x v="0"/>
    <x v="0"/>
    <x v="0"/>
    <x v="8"/>
    <x v="18"/>
    <s v="SE3_OTHER"/>
    <x v="15"/>
    <s v="GBPR_RECYCLEDWOOD_SE3OTHER"/>
    <x v="0"/>
    <x v="7"/>
    <n v="124.642377910889"/>
    <n v="45494.467937474597"/>
    <n v="163780.08457490901"/>
  </r>
  <r>
    <x v="0"/>
    <x v="0"/>
    <x v="0"/>
    <x v="8"/>
    <x v="18"/>
    <s v="SE3_OTHER"/>
    <x v="15"/>
    <s v="GBPR_RECYCLEDWOOD_SE3OTHER"/>
    <x v="0"/>
    <x v="8"/>
    <n v="124.642377910889"/>
    <n v="45494.467937474597"/>
    <n v="163780.08457490901"/>
  </r>
  <r>
    <x v="0"/>
    <x v="0"/>
    <x v="0"/>
    <x v="8"/>
    <x v="18"/>
    <s v="SE3_OTHER"/>
    <x v="15"/>
    <s v="GBPR_RECYCLEDWOOD_SE3OTHER"/>
    <x v="0"/>
    <x v="9"/>
    <n v="124.642377910889"/>
    <n v="45494.467937474597"/>
    <n v="163780.08457490901"/>
  </r>
  <r>
    <x v="0"/>
    <x v="0"/>
    <x v="0"/>
    <x v="8"/>
    <x v="18"/>
    <s v="SE3_OTHER"/>
    <x v="15"/>
    <s v="GBPR_RECYCLEDWOOD_SE3OTHER"/>
    <x v="0"/>
    <x v="10"/>
    <n v="124.642377910889"/>
    <n v="45494.467937474597"/>
    <n v="163780.08457490901"/>
  </r>
  <r>
    <x v="0"/>
    <x v="0"/>
    <x v="0"/>
    <x v="8"/>
    <x v="18"/>
    <s v="SE3_OTHER"/>
    <x v="15"/>
    <s v="GBPR_RECYCLEDWOOD_SE3OTHER"/>
    <x v="0"/>
    <x v="11"/>
    <n v="124.642377910889"/>
    <n v="45494.467937474597"/>
    <n v="163780.08457490901"/>
  </r>
  <r>
    <x v="0"/>
    <x v="0"/>
    <x v="0"/>
    <x v="8"/>
    <x v="18"/>
    <s v="SE3_OTHER"/>
    <x v="15"/>
    <s v="GBPR_RECYCLEDWOOD_SE3OTHER"/>
    <x v="0"/>
    <x v="12"/>
    <n v="124.642377910889"/>
    <n v="45494.467937474597"/>
    <n v="163780.08457490901"/>
  </r>
  <r>
    <x v="0"/>
    <x v="0"/>
    <x v="0"/>
    <x v="8"/>
    <x v="18"/>
    <s v="SE3_OTHER"/>
    <x v="15"/>
    <s v="GBPR_RECYCLEDWOOD_SE3OTHER"/>
    <x v="0"/>
    <x v="13"/>
    <n v="124.642377910889"/>
    <n v="45494.467937474597"/>
    <n v="163780.08457490901"/>
  </r>
  <r>
    <x v="0"/>
    <x v="0"/>
    <x v="0"/>
    <x v="8"/>
    <x v="18"/>
    <s v="SE3_OTHER"/>
    <x v="15"/>
    <s v="GBPR_RECYCLEDWOOD_SE3OTHER"/>
    <x v="0"/>
    <x v="14"/>
    <n v="124.642377910889"/>
    <n v="45494.467937474597"/>
    <n v="163780.08457490901"/>
  </r>
  <r>
    <x v="0"/>
    <x v="0"/>
    <x v="0"/>
    <x v="8"/>
    <x v="18"/>
    <s v="SE3_OTHER"/>
    <x v="15"/>
    <s v="GBPR_RECYCLEDWOOD_SE3OTHER"/>
    <x v="0"/>
    <x v="15"/>
    <n v="124.642377910889"/>
    <n v="45494.467937474597"/>
    <n v="163780.08457490901"/>
  </r>
  <r>
    <x v="0"/>
    <x v="0"/>
    <x v="0"/>
    <x v="8"/>
    <x v="18"/>
    <s v="SE3_OTHER"/>
    <x v="15"/>
    <s v="GBPR_RECYCLEDWOOD_SE3OTHER"/>
    <x v="0"/>
    <x v="16"/>
    <n v="124.642377910889"/>
    <n v="45494.467937474597"/>
    <n v="163780.08457490901"/>
  </r>
  <r>
    <x v="0"/>
    <x v="0"/>
    <x v="0"/>
    <x v="8"/>
    <x v="18"/>
    <s v="SE3_OTHER"/>
    <x v="15"/>
    <s v="GBPR_RECYCLEDWOOD_SE3OTHER"/>
    <x v="0"/>
    <x v="17"/>
    <n v="124.642377910889"/>
    <n v="45494.467937474597"/>
    <n v="163780.08457490901"/>
  </r>
  <r>
    <x v="0"/>
    <x v="0"/>
    <x v="0"/>
    <x v="8"/>
    <x v="18"/>
    <s v="SE3_OTHER"/>
    <x v="15"/>
    <s v="GBPR_RECYCLEDWOOD_SE3OTHER"/>
    <x v="0"/>
    <x v="18"/>
    <n v="124.642377910889"/>
    <n v="45494.467937474597"/>
    <n v="163780.08457490901"/>
  </r>
  <r>
    <x v="0"/>
    <x v="0"/>
    <x v="0"/>
    <x v="8"/>
    <x v="18"/>
    <s v="SE3_OTHER"/>
    <x v="15"/>
    <s v="GBPR_RECYCLEDWOOD_SE3OTHER"/>
    <x v="0"/>
    <x v="19"/>
    <n v="124.642377910889"/>
    <n v="45494.467937474597"/>
    <n v="163780.08457490901"/>
  </r>
  <r>
    <x v="0"/>
    <x v="0"/>
    <x v="0"/>
    <x v="8"/>
    <x v="18"/>
    <s v="SE3_OTHER"/>
    <x v="15"/>
    <s v="GBPR_RECYCLEDWOOD_SE3OTHER"/>
    <x v="0"/>
    <x v="20"/>
    <n v="124.642377910889"/>
    <n v="45494.467937474597"/>
    <n v="163780.08457490901"/>
  </r>
  <r>
    <x v="0"/>
    <x v="0"/>
    <x v="0"/>
    <x v="8"/>
    <x v="18"/>
    <s v="SE3_OTHER"/>
    <x v="15"/>
    <s v="GBPR_RECYCLEDWOOD_SE3OTHER"/>
    <x v="0"/>
    <x v="21"/>
    <n v="124.642377910889"/>
    <n v="45494.467937474597"/>
    <n v="163780.08457490901"/>
  </r>
  <r>
    <x v="0"/>
    <x v="0"/>
    <x v="0"/>
    <x v="8"/>
    <x v="18"/>
    <s v="SE3_OTHER"/>
    <x v="15"/>
    <s v="GBPR_RECYCLEDWOOD_SE3OTHER"/>
    <x v="0"/>
    <x v="22"/>
    <n v="124.642377910889"/>
    <n v="45494.467937474597"/>
    <n v="163780.08457490901"/>
  </r>
  <r>
    <x v="0"/>
    <x v="0"/>
    <x v="0"/>
    <x v="8"/>
    <x v="18"/>
    <s v="SE3_OTHER"/>
    <x v="15"/>
    <s v="GBPR_RECYCLEDWOOD_SE3OTHER"/>
    <x v="0"/>
    <x v="23"/>
    <n v="124.642377910889"/>
    <n v="45494.467937474597"/>
    <n v="163780.08457490901"/>
  </r>
  <r>
    <x v="0"/>
    <x v="0"/>
    <x v="0"/>
    <x v="8"/>
    <x v="18"/>
    <s v="SE3_OTHER"/>
    <x v="6"/>
    <s v="GHOB_WASTEHEAT"/>
    <x v="0"/>
    <x v="0"/>
    <n v="75.8938022832928"/>
    <n v="27701.237833401901"/>
    <n v="99724.456200246699"/>
  </r>
  <r>
    <x v="0"/>
    <x v="0"/>
    <x v="0"/>
    <x v="8"/>
    <x v="18"/>
    <s v="SE3_OTHER"/>
    <x v="6"/>
    <s v="GHOB_WASTEHEAT"/>
    <x v="0"/>
    <x v="1"/>
    <n v="135.051739926739"/>
    <n v="49293.885073259902"/>
    <n v="177457.98626373601"/>
  </r>
  <r>
    <x v="0"/>
    <x v="0"/>
    <x v="0"/>
    <x v="8"/>
    <x v="18"/>
    <s v="SE3_OTHER"/>
    <x v="6"/>
    <s v="GHOB_WASTEHEAT"/>
    <x v="0"/>
    <x v="2"/>
    <n v="75.480810558738199"/>
    <n v="27550.495853939399"/>
    <n v="99181.785074182"/>
  </r>
  <r>
    <x v="0"/>
    <x v="0"/>
    <x v="0"/>
    <x v="8"/>
    <x v="18"/>
    <s v="SE3_OTHER"/>
    <x v="6"/>
    <s v="GHOB_WASTEHEAT"/>
    <x v="0"/>
    <x v="3"/>
    <n v="124.88212022398601"/>
    <n v="45581.973881755002"/>
    <n v="164095.10597431799"/>
  </r>
  <r>
    <x v="0"/>
    <x v="0"/>
    <x v="0"/>
    <x v="8"/>
    <x v="18"/>
    <s v="SE3_OTHER"/>
    <x v="6"/>
    <s v="GHOB_WASTEHEAT"/>
    <x v="0"/>
    <x v="4"/>
    <n v="135.051739926739"/>
    <n v="49293.885073259902"/>
    <n v="177457.98626373601"/>
  </r>
  <r>
    <x v="0"/>
    <x v="0"/>
    <x v="0"/>
    <x v="8"/>
    <x v="18"/>
    <s v="SE3_OTHER"/>
    <x v="6"/>
    <s v="GHOB_WASTEHEAT"/>
    <x v="0"/>
    <x v="5"/>
    <n v="135.051739926739"/>
    <n v="49293.885073259902"/>
    <n v="177457.98626373601"/>
  </r>
  <r>
    <x v="0"/>
    <x v="0"/>
    <x v="0"/>
    <x v="8"/>
    <x v="18"/>
    <s v="SE3_OTHER"/>
    <x v="6"/>
    <s v="GHOB_WASTEHEAT"/>
    <x v="0"/>
    <x v="6"/>
    <n v="135.051739926739"/>
    <n v="49293.885073259902"/>
    <n v="177457.98626373601"/>
  </r>
  <r>
    <x v="0"/>
    <x v="0"/>
    <x v="0"/>
    <x v="8"/>
    <x v="18"/>
    <s v="SE3_OTHER"/>
    <x v="6"/>
    <s v="GHOB_WASTEHEAT"/>
    <x v="0"/>
    <x v="7"/>
    <n v="135.051739926739"/>
    <n v="49293.885073259902"/>
    <n v="177457.98626373601"/>
  </r>
  <r>
    <x v="0"/>
    <x v="0"/>
    <x v="0"/>
    <x v="8"/>
    <x v="18"/>
    <s v="SE3_OTHER"/>
    <x v="6"/>
    <s v="GHOB_WASTEHEAT"/>
    <x v="0"/>
    <x v="8"/>
    <n v="135.051739926739"/>
    <n v="49293.885073259902"/>
    <n v="177457.98626373601"/>
  </r>
  <r>
    <x v="0"/>
    <x v="0"/>
    <x v="0"/>
    <x v="8"/>
    <x v="18"/>
    <s v="SE3_OTHER"/>
    <x v="6"/>
    <s v="GHOB_WASTEHEAT"/>
    <x v="0"/>
    <x v="9"/>
    <n v="135.051739926739"/>
    <n v="49293.885073259902"/>
    <n v="177457.98626373601"/>
  </r>
  <r>
    <x v="0"/>
    <x v="0"/>
    <x v="0"/>
    <x v="8"/>
    <x v="18"/>
    <s v="SE3_OTHER"/>
    <x v="6"/>
    <s v="GHOB_WASTEHEAT"/>
    <x v="0"/>
    <x v="10"/>
    <n v="135.051739926739"/>
    <n v="49293.885073259902"/>
    <n v="177457.98626373601"/>
  </r>
  <r>
    <x v="0"/>
    <x v="0"/>
    <x v="0"/>
    <x v="8"/>
    <x v="18"/>
    <s v="SE3_OTHER"/>
    <x v="6"/>
    <s v="GHOB_WASTEHEAT"/>
    <x v="0"/>
    <x v="11"/>
    <n v="135.051739926739"/>
    <n v="49293.885073259902"/>
    <n v="177457.98626373601"/>
  </r>
  <r>
    <x v="0"/>
    <x v="0"/>
    <x v="0"/>
    <x v="8"/>
    <x v="18"/>
    <s v="SE3_OTHER"/>
    <x v="6"/>
    <s v="GHOB_WASTEHEAT"/>
    <x v="0"/>
    <x v="12"/>
    <n v="135.051739926739"/>
    <n v="49293.885073259902"/>
    <n v="177457.98626373601"/>
  </r>
  <r>
    <x v="0"/>
    <x v="0"/>
    <x v="0"/>
    <x v="8"/>
    <x v="18"/>
    <s v="SE3_OTHER"/>
    <x v="6"/>
    <s v="GHOB_WASTEHEAT"/>
    <x v="0"/>
    <x v="13"/>
    <n v="135.051739926739"/>
    <n v="49293.885073259902"/>
    <n v="177457.98626373601"/>
  </r>
  <r>
    <x v="0"/>
    <x v="0"/>
    <x v="0"/>
    <x v="8"/>
    <x v="18"/>
    <s v="SE3_OTHER"/>
    <x v="6"/>
    <s v="GHOB_WASTEHEAT"/>
    <x v="0"/>
    <x v="14"/>
    <n v="135.051739926739"/>
    <n v="49293.885073259902"/>
    <n v="177457.98626373601"/>
  </r>
  <r>
    <x v="0"/>
    <x v="0"/>
    <x v="0"/>
    <x v="8"/>
    <x v="18"/>
    <s v="SE3_OTHER"/>
    <x v="6"/>
    <s v="GHOB_WASTEHEAT"/>
    <x v="0"/>
    <x v="15"/>
    <n v="135.051739926739"/>
    <n v="49293.885073259902"/>
    <n v="177457.98626373601"/>
  </r>
  <r>
    <x v="0"/>
    <x v="0"/>
    <x v="0"/>
    <x v="8"/>
    <x v="18"/>
    <s v="SE3_OTHER"/>
    <x v="6"/>
    <s v="GHOB_WASTEHEAT"/>
    <x v="0"/>
    <x v="16"/>
    <n v="135.051739926739"/>
    <n v="49293.885073259902"/>
    <n v="177457.98626373601"/>
  </r>
  <r>
    <x v="0"/>
    <x v="0"/>
    <x v="0"/>
    <x v="8"/>
    <x v="18"/>
    <s v="SE3_OTHER"/>
    <x v="6"/>
    <s v="GHOB_WASTEHEAT"/>
    <x v="0"/>
    <x v="17"/>
    <n v="135.051739926739"/>
    <n v="49293.885073259902"/>
    <n v="177457.98626373601"/>
  </r>
  <r>
    <x v="0"/>
    <x v="0"/>
    <x v="0"/>
    <x v="8"/>
    <x v="18"/>
    <s v="SE3_OTHER"/>
    <x v="6"/>
    <s v="GHOB_WASTEHEAT"/>
    <x v="0"/>
    <x v="18"/>
    <n v="135.051739926739"/>
    <n v="49293.885073259902"/>
    <n v="177457.98626373601"/>
  </r>
  <r>
    <x v="0"/>
    <x v="0"/>
    <x v="0"/>
    <x v="8"/>
    <x v="18"/>
    <s v="SE3_OTHER"/>
    <x v="6"/>
    <s v="GHOB_WASTEHEAT"/>
    <x v="0"/>
    <x v="19"/>
    <n v="135.051739926739"/>
    <n v="49293.885073259902"/>
    <n v="177457.98626373601"/>
  </r>
  <r>
    <x v="0"/>
    <x v="0"/>
    <x v="0"/>
    <x v="8"/>
    <x v="18"/>
    <s v="SE3_OTHER"/>
    <x v="6"/>
    <s v="GHOB_WASTEHEAT"/>
    <x v="0"/>
    <x v="20"/>
    <n v="135.051739926739"/>
    <n v="49293.885073259902"/>
    <n v="177457.98626373601"/>
  </r>
  <r>
    <x v="0"/>
    <x v="0"/>
    <x v="0"/>
    <x v="8"/>
    <x v="18"/>
    <s v="SE3_OTHER"/>
    <x v="6"/>
    <s v="GHOB_WASTEHEAT"/>
    <x v="0"/>
    <x v="21"/>
    <n v="135.051739926739"/>
    <n v="49293.885073259902"/>
    <n v="177457.98626373601"/>
  </r>
  <r>
    <x v="0"/>
    <x v="0"/>
    <x v="0"/>
    <x v="8"/>
    <x v="18"/>
    <s v="SE3_OTHER"/>
    <x v="6"/>
    <s v="GHOB_WASTEHEAT"/>
    <x v="0"/>
    <x v="22"/>
    <n v="85.339412844058501"/>
    <n v="31148.885688081398"/>
    <n v="112135.98847709299"/>
  </r>
  <r>
    <x v="0"/>
    <x v="0"/>
    <x v="0"/>
    <x v="8"/>
    <x v="18"/>
    <s v="SE3_OTHER"/>
    <x v="6"/>
    <s v="GHOB_WASTEHEAT"/>
    <x v="0"/>
    <x v="23"/>
    <n v="135.051739926739"/>
    <n v="49293.885073259902"/>
    <n v="177457.98626373601"/>
  </r>
  <r>
    <x v="0"/>
    <x v="0"/>
    <x v="0"/>
    <x v="8"/>
    <x v="18"/>
    <s v="SE3_OTHER"/>
    <x v="7"/>
    <s v="GBPR_WOODCHIPS_25"/>
    <x v="0"/>
    <x v="0"/>
    <n v="56.804551374695897"/>
    <n v="20733.661251763999"/>
    <n v="74641.1805063504"/>
  </r>
  <r>
    <x v="0"/>
    <x v="0"/>
    <x v="0"/>
    <x v="8"/>
    <x v="18"/>
    <s v="SE3_OTHER"/>
    <x v="7"/>
    <s v="GBPR_WOODCHIPS_25"/>
    <x v="0"/>
    <x v="1"/>
    <n v="56.804551374695897"/>
    <n v="20733.661251763999"/>
    <n v="74641.1805063504"/>
  </r>
  <r>
    <x v="0"/>
    <x v="0"/>
    <x v="0"/>
    <x v="8"/>
    <x v="18"/>
    <s v="SE3_OTHER"/>
    <x v="7"/>
    <s v="GBPR_WOODCHIPS_25"/>
    <x v="0"/>
    <x v="2"/>
    <n v="56.804551374695897"/>
    <n v="20733.661251763999"/>
    <n v="74641.1805063504"/>
  </r>
  <r>
    <x v="0"/>
    <x v="0"/>
    <x v="0"/>
    <x v="8"/>
    <x v="18"/>
    <s v="SE3_OTHER"/>
    <x v="7"/>
    <s v="GBPR_WOODCHIPS_25"/>
    <x v="0"/>
    <x v="3"/>
    <n v="56.804551374695897"/>
    <n v="20733.661251763999"/>
    <n v="74641.1805063504"/>
  </r>
  <r>
    <x v="0"/>
    <x v="0"/>
    <x v="0"/>
    <x v="8"/>
    <x v="18"/>
    <s v="SE3_OTHER"/>
    <x v="7"/>
    <s v="GBPR_WOODCHIPS_25"/>
    <x v="0"/>
    <x v="4"/>
    <n v="56.804551374695897"/>
    <n v="20733.661251763999"/>
    <n v="74641.1805063504"/>
  </r>
  <r>
    <x v="0"/>
    <x v="0"/>
    <x v="0"/>
    <x v="8"/>
    <x v="18"/>
    <s v="SE3_OTHER"/>
    <x v="7"/>
    <s v="GBPR_WOODCHIPS_25"/>
    <x v="0"/>
    <x v="5"/>
    <n v="56.804551374695897"/>
    <n v="20733.661251763999"/>
    <n v="74641.1805063504"/>
  </r>
  <r>
    <x v="0"/>
    <x v="0"/>
    <x v="0"/>
    <x v="8"/>
    <x v="18"/>
    <s v="SE3_OTHER"/>
    <x v="7"/>
    <s v="GBPR_WOODCHIPS_25"/>
    <x v="0"/>
    <x v="6"/>
    <n v="56.804551374695897"/>
    <n v="20733.661251763999"/>
    <n v="74641.1805063504"/>
  </r>
  <r>
    <x v="0"/>
    <x v="0"/>
    <x v="0"/>
    <x v="8"/>
    <x v="18"/>
    <s v="SE3_OTHER"/>
    <x v="7"/>
    <s v="GBPR_WOODCHIPS_25"/>
    <x v="0"/>
    <x v="7"/>
    <n v="56.804551374695897"/>
    <n v="20733.661251763999"/>
    <n v="74641.1805063504"/>
  </r>
  <r>
    <x v="0"/>
    <x v="0"/>
    <x v="0"/>
    <x v="8"/>
    <x v="18"/>
    <s v="SE3_OTHER"/>
    <x v="7"/>
    <s v="GBPR_WOODCHIPS_25"/>
    <x v="0"/>
    <x v="8"/>
    <n v="56.804551374695897"/>
    <n v="20733.661251763999"/>
    <n v="74641.1805063504"/>
  </r>
  <r>
    <x v="0"/>
    <x v="0"/>
    <x v="0"/>
    <x v="8"/>
    <x v="18"/>
    <s v="SE3_OTHER"/>
    <x v="7"/>
    <s v="GBPR_WOODCHIPS_25"/>
    <x v="0"/>
    <x v="9"/>
    <n v="56.804551374695897"/>
    <n v="20733.661251763999"/>
    <n v="74641.1805063504"/>
  </r>
  <r>
    <x v="0"/>
    <x v="0"/>
    <x v="0"/>
    <x v="8"/>
    <x v="18"/>
    <s v="SE3_OTHER"/>
    <x v="7"/>
    <s v="GBPR_WOODCHIPS_25"/>
    <x v="0"/>
    <x v="10"/>
    <n v="56.804551374695897"/>
    <n v="20733.661251763999"/>
    <n v="74641.1805063504"/>
  </r>
  <r>
    <x v="0"/>
    <x v="0"/>
    <x v="0"/>
    <x v="8"/>
    <x v="18"/>
    <s v="SE3_OTHER"/>
    <x v="7"/>
    <s v="GBPR_WOODCHIPS_25"/>
    <x v="0"/>
    <x v="11"/>
    <n v="56.804551374695897"/>
    <n v="20733.661251763999"/>
    <n v="74641.1805063504"/>
  </r>
  <r>
    <x v="0"/>
    <x v="0"/>
    <x v="0"/>
    <x v="8"/>
    <x v="18"/>
    <s v="SE3_OTHER"/>
    <x v="7"/>
    <s v="GBPR_WOODCHIPS_25"/>
    <x v="0"/>
    <x v="12"/>
    <n v="56.804551374695897"/>
    <n v="20733.661251763999"/>
    <n v="74641.1805063504"/>
  </r>
  <r>
    <x v="0"/>
    <x v="0"/>
    <x v="0"/>
    <x v="8"/>
    <x v="18"/>
    <s v="SE3_OTHER"/>
    <x v="7"/>
    <s v="GBPR_WOODCHIPS_25"/>
    <x v="0"/>
    <x v="13"/>
    <n v="56.804551374695897"/>
    <n v="20733.661251763999"/>
    <n v="74641.1805063504"/>
  </r>
  <r>
    <x v="0"/>
    <x v="0"/>
    <x v="0"/>
    <x v="8"/>
    <x v="18"/>
    <s v="SE3_OTHER"/>
    <x v="7"/>
    <s v="GBPR_WOODCHIPS_25"/>
    <x v="0"/>
    <x v="14"/>
    <n v="56.804551374695897"/>
    <n v="20733.661251763999"/>
    <n v="74641.1805063504"/>
  </r>
  <r>
    <x v="0"/>
    <x v="0"/>
    <x v="0"/>
    <x v="8"/>
    <x v="18"/>
    <s v="SE3_OTHER"/>
    <x v="7"/>
    <s v="GBPR_WOODCHIPS_25"/>
    <x v="0"/>
    <x v="15"/>
    <n v="56.804551374695897"/>
    <n v="20733.661251763999"/>
    <n v="74641.1805063504"/>
  </r>
  <r>
    <x v="0"/>
    <x v="0"/>
    <x v="0"/>
    <x v="8"/>
    <x v="18"/>
    <s v="SE3_OTHER"/>
    <x v="7"/>
    <s v="GBPR_WOODCHIPS_25"/>
    <x v="0"/>
    <x v="16"/>
    <n v="56.804551374695897"/>
    <n v="20733.661251763999"/>
    <n v="74641.1805063504"/>
  </r>
  <r>
    <x v="0"/>
    <x v="0"/>
    <x v="0"/>
    <x v="8"/>
    <x v="18"/>
    <s v="SE3_OTHER"/>
    <x v="7"/>
    <s v="GBPR_WOODCHIPS_25"/>
    <x v="0"/>
    <x v="17"/>
    <n v="56.804551374695897"/>
    <n v="20733.661251763999"/>
    <n v="74641.1805063504"/>
  </r>
  <r>
    <x v="0"/>
    <x v="0"/>
    <x v="0"/>
    <x v="8"/>
    <x v="18"/>
    <s v="SE3_OTHER"/>
    <x v="7"/>
    <s v="GBPR_WOODCHIPS_25"/>
    <x v="0"/>
    <x v="18"/>
    <n v="56.804551374695897"/>
    <n v="20733.661251763999"/>
    <n v="74641.1805063504"/>
  </r>
  <r>
    <x v="0"/>
    <x v="0"/>
    <x v="0"/>
    <x v="8"/>
    <x v="18"/>
    <s v="SE3_OTHER"/>
    <x v="7"/>
    <s v="GBPR_WOODCHIPS_25"/>
    <x v="0"/>
    <x v="19"/>
    <n v="56.804551374695897"/>
    <n v="20733.661251763999"/>
    <n v="74641.1805063504"/>
  </r>
  <r>
    <x v="0"/>
    <x v="0"/>
    <x v="0"/>
    <x v="8"/>
    <x v="18"/>
    <s v="SE3_OTHER"/>
    <x v="7"/>
    <s v="GBPR_WOODCHIPS_25"/>
    <x v="0"/>
    <x v="20"/>
    <n v="56.804551374695897"/>
    <n v="20733.661251763999"/>
    <n v="74641.1805063504"/>
  </r>
  <r>
    <x v="0"/>
    <x v="0"/>
    <x v="0"/>
    <x v="8"/>
    <x v="18"/>
    <s v="SE3_OTHER"/>
    <x v="7"/>
    <s v="GBPR_WOODCHIPS_25"/>
    <x v="0"/>
    <x v="21"/>
    <n v="56.804551374695897"/>
    <n v="20733.661251763999"/>
    <n v="74641.1805063504"/>
  </r>
  <r>
    <x v="0"/>
    <x v="0"/>
    <x v="0"/>
    <x v="8"/>
    <x v="18"/>
    <s v="SE3_OTHER"/>
    <x v="7"/>
    <s v="GBPR_WOODCHIPS_25"/>
    <x v="0"/>
    <x v="22"/>
    <n v="56.804551374695897"/>
    <n v="20733.661251763999"/>
    <n v="74641.1805063504"/>
  </r>
  <r>
    <x v="0"/>
    <x v="0"/>
    <x v="0"/>
    <x v="8"/>
    <x v="18"/>
    <s v="SE3_OTHER"/>
    <x v="7"/>
    <s v="GBPR_WOODCHIPS_25"/>
    <x v="0"/>
    <x v="23"/>
    <n v="56.804551374695897"/>
    <n v="20733.661251763999"/>
    <n v="74641.1805063504"/>
  </r>
  <r>
    <x v="0"/>
    <x v="0"/>
    <x v="0"/>
    <x v="8"/>
    <x v="18"/>
    <s v="SE3_OTHER"/>
    <x v="7"/>
    <s v="GBPR_WOODCHIPS_37"/>
    <x v="0"/>
    <x v="0"/>
    <n v="102.146144743693"/>
    <n v="37283.342831447902"/>
    <n v="134220.03419321199"/>
  </r>
  <r>
    <x v="0"/>
    <x v="0"/>
    <x v="0"/>
    <x v="8"/>
    <x v="18"/>
    <s v="SE3_OTHER"/>
    <x v="7"/>
    <s v="GBPR_WOODCHIPS_37"/>
    <x v="0"/>
    <x v="1"/>
    <n v="102.146144743693"/>
    <n v="37283.342831447902"/>
    <n v="134220.03419321199"/>
  </r>
  <r>
    <x v="0"/>
    <x v="0"/>
    <x v="0"/>
    <x v="8"/>
    <x v="18"/>
    <s v="SE3_OTHER"/>
    <x v="7"/>
    <s v="GBPR_WOODCHIPS_37"/>
    <x v="0"/>
    <x v="2"/>
    <n v="102.146144743693"/>
    <n v="37283.342831447902"/>
    <n v="134220.03419321199"/>
  </r>
  <r>
    <x v="0"/>
    <x v="0"/>
    <x v="0"/>
    <x v="8"/>
    <x v="18"/>
    <s v="SE3_OTHER"/>
    <x v="7"/>
    <s v="GBPR_WOODCHIPS_37"/>
    <x v="0"/>
    <x v="3"/>
    <n v="102.146144743693"/>
    <n v="37283.342831447902"/>
    <n v="134220.03419321199"/>
  </r>
  <r>
    <x v="0"/>
    <x v="0"/>
    <x v="0"/>
    <x v="8"/>
    <x v="18"/>
    <s v="SE3_OTHER"/>
    <x v="7"/>
    <s v="GBPR_WOODCHIPS_37"/>
    <x v="0"/>
    <x v="4"/>
    <n v="102.146144743693"/>
    <n v="37283.342831447902"/>
    <n v="134220.03419321199"/>
  </r>
  <r>
    <x v="0"/>
    <x v="0"/>
    <x v="0"/>
    <x v="8"/>
    <x v="18"/>
    <s v="SE3_OTHER"/>
    <x v="7"/>
    <s v="GBPR_WOODCHIPS_37"/>
    <x v="0"/>
    <x v="5"/>
    <n v="102.146144743693"/>
    <n v="37283.342831447902"/>
    <n v="134220.03419321199"/>
  </r>
  <r>
    <x v="0"/>
    <x v="0"/>
    <x v="0"/>
    <x v="8"/>
    <x v="18"/>
    <s v="SE3_OTHER"/>
    <x v="7"/>
    <s v="GBPR_WOODCHIPS_37"/>
    <x v="0"/>
    <x v="6"/>
    <n v="102.146144743693"/>
    <n v="37283.342831447902"/>
    <n v="134220.03419321199"/>
  </r>
  <r>
    <x v="0"/>
    <x v="0"/>
    <x v="0"/>
    <x v="8"/>
    <x v="18"/>
    <s v="SE3_OTHER"/>
    <x v="7"/>
    <s v="GBPR_WOODCHIPS_37"/>
    <x v="0"/>
    <x v="7"/>
    <n v="102.146144743693"/>
    <n v="37283.342831447902"/>
    <n v="134220.03419321199"/>
  </r>
  <r>
    <x v="0"/>
    <x v="0"/>
    <x v="0"/>
    <x v="8"/>
    <x v="18"/>
    <s v="SE3_OTHER"/>
    <x v="7"/>
    <s v="GBPR_WOODCHIPS_37"/>
    <x v="0"/>
    <x v="8"/>
    <n v="102.146144743693"/>
    <n v="37283.342831447902"/>
    <n v="134220.03419321199"/>
  </r>
  <r>
    <x v="0"/>
    <x v="0"/>
    <x v="0"/>
    <x v="8"/>
    <x v="18"/>
    <s v="SE3_OTHER"/>
    <x v="7"/>
    <s v="GBPR_WOODCHIPS_37"/>
    <x v="0"/>
    <x v="9"/>
    <n v="102.146144743693"/>
    <n v="37283.342831447902"/>
    <n v="134220.03419321199"/>
  </r>
  <r>
    <x v="0"/>
    <x v="0"/>
    <x v="0"/>
    <x v="8"/>
    <x v="18"/>
    <s v="SE3_OTHER"/>
    <x v="7"/>
    <s v="GBPR_WOODCHIPS_37"/>
    <x v="0"/>
    <x v="10"/>
    <n v="102.146144743693"/>
    <n v="37283.342831447902"/>
    <n v="134220.03419321199"/>
  </r>
  <r>
    <x v="0"/>
    <x v="0"/>
    <x v="0"/>
    <x v="8"/>
    <x v="18"/>
    <s v="SE3_OTHER"/>
    <x v="7"/>
    <s v="GBPR_WOODCHIPS_37"/>
    <x v="0"/>
    <x v="11"/>
    <n v="102.146144743693"/>
    <n v="37283.342831447902"/>
    <n v="134220.03419321199"/>
  </r>
  <r>
    <x v="0"/>
    <x v="0"/>
    <x v="0"/>
    <x v="8"/>
    <x v="18"/>
    <s v="SE3_OTHER"/>
    <x v="7"/>
    <s v="GBPR_WOODCHIPS_37"/>
    <x v="0"/>
    <x v="12"/>
    <n v="102.146144743693"/>
    <n v="37283.342831447902"/>
    <n v="134220.03419321199"/>
  </r>
  <r>
    <x v="0"/>
    <x v="0"/>
    <x v="0"/>
    <x v="8"/>
    <x v="18"/>
    <s v="SE3_OTHER"/>
    <x v="7"/>
    <s v="GBPR_WOODCHIPS_37"/>
    <x v="0"/>
    <x v="13"/>
    <n v="102.146144743693"/>
    <n v="37283.342831447902"/>
    <n v="134220.03419321199"/>
  </r>
  <r>
    <x v="0"/>
    <x v="0"/>
    <x v="0"/>
    <x v="8"/>
    <x v="18"/>
    <s v="SE3_OTHER"/>
    <x v="7"/>
    <s v="GBPR_WOODCHIPS_37"/>
    <x v="0"/>
    <x v="14"/>
    <n v="102.146144743693"/>
    <n v="37283.342831447902"/>
    <n v="134220.03419321199"/>
  </r>
  <r>
    <x v="0"/>
    <x v="0"/>
    <x v="0"/>
    <x v="8"/>
    <x v="18"/>
    <s v="SE3_OTHER"/>
    <x v="7"/>
    <s v="GBPR_WOODCHIPS_37"/>
    <x v="0"/>
    <x v="15"/>
    <n v="102.146144743693"/>
    <n v="37283.342831447902"/>
    <n v="134220.03419321199"/>
  </r>
  <r>
    <x v="0"/>
    <x v="0"/>
    <x v="0"/>
    <x v="8"/>
    <x v="18"/>
    <s v="SE3_OTHER"/>
    <x v="7"/>
    <s v="GBPR_WOODCHIPS_37"/>
    <x v="0"/>
    <x v="16"/>
    <n v="102.146144743693"/>
    <n v="37283.342831447902"/>
    <n v="134220.03419321199"/>
  </r>
  <r>
    <x v="0"/>
    <x v="0"/>
    <x v="0"/>
    <x v="8"/>
    <x v="18"/>
    <s v="SE3_OTHER"/>
    <x v="7"/>
    <s v="GBPR_WOODCHIPS_37"/>
    <x v="0"/>
    <x v="17"/>
    <n v="102.146144743693"/>
    <n v="37283.342831447902"/>
    <n v="134220.03419321199"/>
  </r>
  <r>
    <x v="0"/>
    <x v="0"/>
    <x v="0"/>
    <x v="8"/>
    <x v="18"/>
    <s v="SE3_OTHER"/>
    <x v="7"/>
    <s v="GBPR_WOODCHIPS_37"/>
    <x v="0"/>
    <x v="18"/>
    <n v="102.146144743693"/>
    <n v="37283.342831447902"/>
    <n v="134220.03419321199"/>
  </r>
  <r>
    <x v="0"/>
    <x v="0"/>
    <x v="0"/>
    <x v="8"/>
    <x v="18"/>
    <s v="SE3_OTHER"/>
    <x v="7"/>
    <s v="GBPR_WOODCHIPS_37"/>
    <x v="0"/>
    <x v="19"/>
    <n v="102.146144743693"/>
    <n v="37283.342831447902"/>
    <n v="134220.03419321199"/>
  </r>
  <r>
    <x v="0"/>
    <x v="0"/>
    <x v="0"/>
    <x v="8"/>
    <x v="18"/>
    <s v="SE3_OTHER"/>
    <x v="7"/>
    <s v="GBPR_WOODCHIPS_37"/>
    <x v="0"/>
    <x v="20"/>
    <n v="102.146144743693"/>
    <n v="37283.342831447902"/>
    <n v="134220.03419321199"/>
  </r>
  <r>
    <x v="0"/>
    <x v="0"/>
    <x v="0"/>
    <x v="8"/>
    <x v="18"/>
    <s v="SE3_OTHER"/>
    <x v="7"/>
    <s v="GBPR_WOODCHIPS_37"/>
    <x v="0"/>
    <x v="21"/>
    <n v="102.146144743693"/>
    <n v="37283.342831447902"/>
    <n v="134220.03419321199"/>
  </r>
  <r>
    <x v="0"/>
    <x v="0"/>
    <x v="0"/>
    <x v="8"/>
    <x v="18"/>
    <s v="SE3_OTHER"/>
    <x v="7"/>
    <s v="GBPR_WOODCHIPS_37"/>
    <x v="0"/>
    <x v="22"/>
    <n v="102.146144743693"/>
    <n v="37283.342831447902"/>
    <n v="134220.03419321199"/>
  </r>
  <r>
    <x v="0"/>
    <x v="0"/>
    <x v="0"/>
    <x v="8"/>
    <x v="18"/>
    <s v="SE3_OTHER"/>
    <x v="7"/>
    <s v="GBPR_WOODCHIPS_37"/>
    <x v="0"/>
    <x v="23"/>
    <n v="102.146144743693"/>
    <n v="37283.342831447902"/>
    <n v="134220.03419321199"/>
  </r>
  <r>
    <x v="0"/>
    <x v="0"/>
    <x v="0"/>
    <x v="8"/>
    <x v="18"/>
    <s v="SE3_OTHER"/>
    <x v="9"/>
    <s v="GBPR_WOODWASTE_25"/>
    <x v="0"/>
    <x v="0"/>
    <n v="597.44325120840597"/>
    <n v="218066.786691068"/>
    <n v="785040.43208784598"/>
  </r>
  <r>
    <x v="0"/>
    <x v="0"/>
    <x v="0"/>
    <x v="8"/>
    <x v="18"/>
    <s v="SE3_OTHER"/>
    <x v="9"/>
    <s v="GBPR_WOODWASTE_25"/>
    <x v="0"/>
    <x v="1"/>
    <n v="597.44325120840597"/>
    <n v="218066.786691068"/>
    <n v="785040.43208784598"/>
  </r>
  <r>
    <x v="0"/>
    <x v="0"/>
    <x v="0"/>
    <x v="8"/>
    <x v="18"/>
    <s v="SE3_OTHER"/>
    <x v="9"/>
    <s v="GBPR_WOODWASTE_25"/>
    <x v="0"/>
    <x v="2"/>
    <n v="597.44325120840597"/>
    <n v="218066.786691068"/>
    <n v="785040.43208784598"/>
  </r>
  <r>
    <x v="0"/>
    <x v="0"/>
    <x v="0"/>
    <x v="8"/>
    <x v="18"/>
    <s v="SE3_OTHER"/>
    <x v="9"/>
    <s v="GBPR_WOODWASTE_25"/>
    <x v="0"/>
    <x v="3"/>
    <n v="597.44325120840597"/>
    <n v="218066.786691068"/>
    <n v="785040.43208784598"/>
  </r>
  <r>
    <x v="0"/>
    <x v="0"/>
    <x v="0"/>
    <x v="8"/>
    <x v="18"/>
    <s v="SE3_OTHER"/>
    <x v="9"/>
    <s v="GBPR_WOODWASTE_25"/>
    <x v="0"/>
    <x v="4"/>
    <n v="597.44325120840597"/>
    <n v="218066.786691068"/>
    <n v="785040.43208784598"/>
  </r>
  <r>
    <x v="0"/>
    <x v="0"/>
    <x v="0"/>
    <x v="8"/>
    <x v="18"/>
    <s v="SE3_OTHER"/>
    <x v="9"/>
    <s v="GBPR_WOODWASTE_25"/>
    <x v="0"/>
    <x v="5"/>
    <n v="597.44325120840597"/>
    <n v="218066.786691068"/>
    <n v="785040.43208784598"/>
  </r>
  <r>
    <x v="0"/>
    <x v="0"/>
    <x v="0"/>
    <x v="8"/>
    <x v="18"/>
    <s v="SE3_OTHER"/>
    <x v="9"/>
    <s v="GBPR_WOODWASTE_25"/>
    <x v="0"/>
    <x v="6"/>
    <n v="597.44325120840597"/>
    <n v="218066.786691068"/>
    <n v="785040.43208784598"/>
  </r>
  <r>
    <x v="0"/>
    <x v="0"/>
    <x v="0"/>
    <x v="8"/>
    <x v="18"/>
    <s v="SE3_OTHER"/>
    <x v="9"/>
    <s v="GBPR_WOODWASTE_25"/>
    <x v="0"/>
    <x v="7"/>
    <n v="597.44325120840597"/>
    <n v="218066.786691068"/>
    <n v="785040.43208784598"/>
  </r>
  <r>
    <x v="0"/>
    <x v="0"/>
    <x v="0"/>
    <x v="8"/>
    <x v="18"/>
    <s v="SE3_OTHER"/>
    <x v="9"/>
    <s v="GBPR_WOODWASTE_25"/>
    <x v="0"/>
    <x v="8"/>
    <n v="597.44325120840597"/>
    <n v="218066.786691068"/>
    <n v="785040.43208784598"/>
  </r>
  <r>
    <x v="0"/>
    <x v="0"/>
    <x v="0"/>
    <x v="8"/>
    <x v="18"/>
    <s v="SE3_OTHER"/>
    <x v="9"/>
    <s v="GBPR_WOODWASTE_25"/>
    <x v="0"/>
    <x v="9"/>
    <n v="597.44325120840597"/>
    <n v="218066.786691068"/>
    <n v="785040.43208784598"/>
  </r>
  <r>
    <x v="0"/>
    <x v="0"/>
    <x v="0"/>
    <x v="8"/>
    <x v="18"/>
    <s v="SE3_OTHER"/>
    <x v="9"/>
    <s v="GBPR_WOODWASTE_25"/>
    <x v="0"/>
    <x v="10"/>
    <n v="597.44325120840597"/>
    <n v="218066.786691068"/>
    <n v="785040.43208784598"/>
  </r>
  <r>
    <x v="0"/>
    <x v="0"/>
    <x v="0"/>
    <x v="8"/>
    <x v="18"/>
    <s v="SE3_OTHER"/>
    <x v="9"/>
    <s v="GBPR_WOODWASTE_25"/>
    <x v="0"/>
    <x v="11"/>
    <n v="597.44325120840597"/>
    <n v="218066.786691068"/>
    <n v="785040.43208784598"/>
  </r>
  <r>
    <x v="0"/>
    <x v="0"/>
    <x v="0"/>
    <x v="8"/>
    <x v="18"/>
    <s v="SE3_OTHER"/>
    <x v="9"/>
    <s v="GBPR_WOODWASTE_25"/>
    <x v="0"/>
    <x v="12"/>
    <n v="597.44325120840597"/>
    <n v="218066.786691068"/>
    <n v="785040.43208784598"/>
  </r>
  <r>
    <x v="0"/>
    <x v="0"/>
    <x v="0"/>
    <x v="8"/>
    <x v="18"/>
    <s v="SE3_OTHER"/>
    <x v="9"/>
    <s v="GBPR_WOODWASTE_25"/>
    <x v="0"/>
    <x v="13"/>
    <n v="597.44325120840597"/>
    <n v="218066.786691068"/>
    <n v="785040.43208784598"/>
  </r>
  <r>
    <x v="0"/>
    <x v="0"/>
    <x v="0"/>
    <x v="8"/>
    <x v="18"/>
    <s v="SE3_OTHER"/>
    <x v="9"/>
    <s v="GBPR_WOODWASTE_25"/>
    <x v="0"/>
    <x v="14"/>
    <n v="597.44325120840597"/>
    <n v="218066.786691068"/>
    <n v="785040.43208784598"/>
  </r>
  <r>
    <x v="0"/>
    <x v="0"/>
    <x v="0"/>
    <x v="8"/>
    <x v="18"/>
    <s v="SE3_OTHER"/>
    <x v="9"/>
    <s v="GBPR_WOODWASTE_25"/>
    <x v="0"/>
    <x v="15"/>
    <n v="597.44325120840597"/>
    <n v="218066.786691068"/>
    <n v="785040.43208784598"/>
  </r>
  <r>
    <x v="0"/>
    <x v="0"/>
    <x v="0"/>
    <x v="8"/>
    <x v="18"/>
    <s v="SE3_OTHER"/>
    <x v="9"/>
    <s v="GBPR_WOODWASTE_25"/>
    <x v="0"/>
    <x v="16"/>
    <n v="597.44325120840597"/>
    <n v="218066.786691068"/>
    <n v="785040.43208784598"/>
  </r>
  <r>
    <x v="0"/>
    <x v="0"/>
    <x v="0"/>
    <x v="8"/>
    <x v="18"/>
    <s v="SE3_OTHER"/>
    <x v="9"/>
    <s v="GBPR_WOODWASTE_25"/>
    <x v="0"/>
    <x v="17"/>
    <n v="597.44325120840597"/>
    <n v="218066.786691068"/>
    <n v="785040.43208784598"/>
  </r>
  <r>
    <x v="0"/>
    <x v="0"/>
    <x v="0"/>
    <x v="8"/>
    <x v="18"/>
    <s v="SE3_OTHER"/>
    <x v="9"/>
    <s v="GBPR_WOODWASTE_25"/>
    <x v="0"/>
    <x v="18"/>
    <n v="597.44325120840597"/>
    <n v="218066.786691068"/>
    <n v="785040.43208784598"/>
  </r>
  <r>
    <x v="0"/>
    <x v="0"/>
    <x v="0"/>
    <x v="8"/>
    <x v="18"/>
    <s v="SE3_OTHER"/>
    <x v="9"/>
    <s v="GBPR_WOODWASTE_25"/>
    <x v="0"/>
    <x v="19"/>
    <n v="597.44325120840597"/>
    <n v="218066.786691068"/>
    <n v="785040.43208784598"/>
  </r>
  <r>
    <x v="0"/>
    <x v="0"/>
    <x v="0"/>
    <x v="8"/>
    <x v="18"/>
    <s v="SE3_OTHER"/>
    <x v="9"/>
    <s v="GBPR_WOODWASTE_25"/>
    <x v="0"/>
    <x v="20"/>
    <n v="597.44325120840597"/>
    <n v="218066.786691068"/>
    <n v="785040.43208784598"/>
  </r>
  <r>
    <x v="0"/>
    <x v="0"/>
    <x v="0"/>
    <x v="8"/>
    <x v="18"/>
    <s v="SE3_OTHER"/>
    <x v="9"/>
    <s v="GBPR_WOODWASTE_25"/>
    <x v="0"/>
    <x v="21"/>
    <n v="597.44325120840597"/>
    <n v="218066.786691068"/>
    <n v="785040.43208784598"/>
  </r>
  <r>
    <x v="0"/>
    <x v="0"/>
    <x v="0"/>
    <x v="8"/>
    <x v="18"/>
    <s v="SE3_OTHER"/>
    <x v="9"/>
    <s v="GBPR_WOODWASTE_25"/>
    <x v="0"/>
    <x v="22"/>
    <n v="597.44325120840597"/>
    <n v="218066.786691068"/>
    <n v="785040.43208784598"/>
  </r>
  <r>
    <x v="0"/>
    <x v="0"/>
    <x v="0"/>
    <x v="8"/>
    <x v="18"/>
    <s v="SE3_OTHER"/>
    <x v="9"/>
    <s v="GBPR_WOODWASTE_25"/>
    <x v="0"/>
    <x v="23"/>
    <n v="597.44325120840597"/>
    <n v="218066.786691068"/>
    <n v="785040.43208784598"/>
  </r>
  <r>
    <x v="0"/>
    <x v="0"/>
    <x v="0"/>
    <x v="8"/>
    <x v="18"/>
    <s v="SE3_OTHER"/>
    <x v="9"/>
    <s v="GHOB_WOODWASTE"/>
    <x v="0"/>
    <x v="5"/>
    <n v="88.9978842614168"/>
    <n v="32484.227755417101"/>
    <n v="116943.21991950199"/>
  </r>
  <r>
    <x v="0"/>
    <x v="0"/>
    <x v="0"/>
    <x v="8"/>
    <x v="18"/>
    <s v="SE3_OTHER"/>
    <x v="9"/>
    <s v="GHOB_WOODWASTE"/>
    <x v="0"/>
    <x v="6"/>
    <n v="324.80706853856498"/>
    <n v="118554.580016576"/>
    <n v="426796.48805967398"/>
  </r>
  <r>
    <x v="0"/>
    <x v="0"/>
    <x v="0"/>
    <x v="8"/>
    <x v="18"/>
    <s v="SE3_OTHER"/>
    <x v="9"/>
    <s v="GHOB_WOODWASTE"/>
    <x v="0"/>
    <x v="7"/>
    <n v="398.43782963222401"/>
    <n v="145429.807815762"/>
    <n v="523547.30813674198"/>
  </r>
  <r>
    <x v="0"/>
    <x v="0"/>
    <x v="0"/>
    <x v="8"/>
    <x v="18"/>
    <s v="SE3_OTHER"/>
    <x v="9"/>
    <s v="GHOB_WOODWASTE"/>
    <x v="0"/>
    <x v="8"/>
    <n v="398.43782963222401"/>
    <n v="145429.807815762"/>
    <n v="523547.30813674198"/>
  </r>
  <r>
    <x v="0"/>
    <x v="0"/>
    <x v="0"/>
    <x v="8"/>
    <x v="18"/>
    <s v="SE3_OTHER"/>
    <x v="9"/>
    <s v="GHOB_WOODWASTE"/>
    <x v="0"/>
    <x v="9"/>
    <n v="398.43782963222401"/>
    <n v="145429.807815762"/>
    <n v="523547.30813674198"/>
  </r>
  <r>
    <x v="0"/>
    <x v="0"/>
    <x v="0"/>
    <x v="8"/>
    <x v="18"/>
    <s v="SE3_OTHER"/>
    <x v="9"/>
    <s v="GHOB_WOODWASTE"/>
    <x v="0"/>
    <x v="10"/>
    <n v="385.53688328159302"/>
    <n v="140720.962397781"/>
    <n v="506595.464632013"/>
  </r>
  <r>
    <x v="0"/>
    <x v="0"/>
    <x v="0"/>
    <x v="8"/>
    <x v="18"/>
    <s v="SE3_OTHER"/>
    <x v="9"/>
    <s v="GHOB_WOODWASTE"/>
    <x v="0"/>
    <x v="11"/>
    <n v="327.60650157453603"/>
    <n v="119576.373074706"/>
    <n v="430474.94306894002"/>
  </r>
  <r>
    <x v="0"/>
    <x v="0"/>
    <x v="0"/>
    <x v="8"/>
    <x v="18"/>
    <s v="SE3_OTHER"/>
    <x v="9"/>
    <s v="GHOB_WOODWASTE"/>
    <x v="0"/>
    <x v="12"/>
    <n v="281.244592585661"/>
    <n v="102654.276293766"/>
    <n v="369555.39465755899"/>
  </r>
  <r>
    <x v="0"/>
    <x v="0"/>
    <x v="0"/>
    <x v="8"/>
    <x v="18"/>
    <s v="SE3_OTHER"/>
    <x v="9"/>
    <s v="GHOB_WOODWASTE"/>
    <x v="0"/>
    <x v="13"/>
    <n v="243.742253085008"/>
    <n v="88965.922376027898"/>
    <n v="320277.32055369997"/>
  </r>
  <r>
    <x v="0"/>
    <x v="0"/>
    <x v="0"/>
    <x v="8"/>
    <x v="18"/>
    <s v="SE3_OTHER"/>
    <x v="9"/>
    <s v="GHOB_WOODWASTE"/>
    <x v="0"/>
    <x v="14"/>
    <n v="208.07602172925701"/>
    <n v="75947.747931178907"/>
    <n v="273411.89255224401"/>
  </r>
  <r>
    <x v="0"/>
    <x v="0"/>
    <x v="0"/>
    <x v="8"/>
    <x v="18"/>
    <s v="SE3_OTHER"/>
    <x v="9"/>
    <s v="GHOB_WOODWASTE"/>
    <x v="0"/>
    <x v="15"/>
    <n v="193.96418788597401"/>
    <n v="70796.928578380597"/>
    <n v="254868.94288217"/>
  </r>
  <r>
    <x v="0"/>
    <x v="0"/>
    <x v="0"/>
    <x v="8"/>
    <x v="18"/>
    <s v="SE3_OTHER"/>
    <x v="9"/>
    <s v="GHOB_WOODWASTE"/>
    <x v="0"/>
    <x v="16"/>
    <n v="119.250311177917"/>
    <n v="43526.363579939803"/>
    <n v="156694.90888778301"/>
  </r>
  <r>
    <x v="0"/>
    <x v="0"/>
    <x v="0"/>
    <x v="8"/>
    <x v="18"/>
    <s v="SE3_OTHER"/>
    <x v="9"/>
    <s v="GHOB_WOODWASTE"/>
    <x v="0"/>
    <x v="17"/>
    <n v="51.244546838152402"/>
    <n v="18704.2595959256"/>
    <n v="67335.334545332196"/>
  </r>
  <r>
    <x v="0"/>
    <x v="0"/>
    <x v="0"/>
    <x v="8"/>
    <x v="18"/>
    <s v="SE3_OTHER"/>
    <x v="9"/>
    <s v="GHOB_WOODWASTE"/>
    <x v="0"/>
    <x v="18"/>
    <n v="1.2344756253818301"/>
    <n v="450.583603264369"/>
    <n v="1622.10097175173"/>
  </r>
  <r>
    <x v="0"/>
    <x v="0"/>
    <x v="0"/>
    <x v="8"/>
    <x v="18"/>
    <s v="SE3_STO"/>
    <x v="1"/>
    <s v="GHOB_BIOOIL"/>
    <x v="0"/>
    <x v="5"/>
    <n v="53.648394110289097"/>
    <n v="19581.6638502555"/>
    <n v="70493.989860919901"/>
  </r>
  <r>
    <x v="0"/>
    <x v="0"/>
    <x v="0"/>
    <x v="8"/>
    <x v="18"/>
    <s v="SE3_STO"/>
    <x v="1"/>
    <s v="GHOB_BIOOIL"/>
    <x v="0"/>
    <x v="6"/>
    <n v="200.231062925392"/>
    <n v="73084.337967768006"/>
    <n v="263103.61668396503"/>
  </r>
  <r>
    <x v="0"/>
    <x v="0"/>
    <x v="0"/>
    <x v="8"/>
    <x v="18"/>
    <s v="SE3_STO"/>
    <x v="1"/>
    <s v="GHOB_BIOOIL"/>
    <x v="0"/>
    <x v="7"/>
    <n v="50.447091554103501"/>
    <n v="18413.188417247798"/>
    <n v="66287.478302092"/>
  </r>
  <r>
    <x v="0"/>
    <x v="0"/>
    <x v="0"/>
    <x v="8"/>
    <x v="18"/>
    <s v="SE3_STO"/>
    <x v="1"/>
    <s v="GHOB_BIOOIL"/>
    <x v="0"/>
    <x v="8"/>
    <n v="269.84923246720399"/>
    <n v="98494.969850529596"/>
    <n v="354581.89146190701"/>
  </r>
  <r>
    <x v="0"/>
    <x v="0"/>
    <x v="0"/>
    <x v="8"/>
    <x v="18"/>
    <s v="SE3_STO"/>
    <x v="1"/>
    <s v="GHOB_BIOOIL"/>
    <x v="0"/>
    <x v="9"/>
    <n v="258.70043615731799"/>
    <n v="94425.659197421206"/>
    <n v="339932.373110716"/>
  </r>
  <r>
    <x v="0"/>
    <x v="0"/>
    <x v="0"/>
    <x v="8"/>
    <x v="18"/>
    <s v="SE3_STO"/>
    <x v="1"/>
    <s v="GHOB_BIOOIL"/>
    <x v="0"/>
    <x v="10"/>
    <n v="235.14819637887101"/>
    <n v="85829.091678287805"/>
    <n v="308984.73004183598"/>
  </r>
  <r>
    <x v="0"/>
    <x v="0"/>
    <x v="0"/>
    <x v="8"/>
    <x v="18"/>
    <s v="SE3_STO"/>
    <x v="1"/>
    <s v="GHOB_BIOOIL"/>
    <x v="0"/>
    <x v="11"/>
    <n v="197.354543874874"/>
    <n v="72034.408514328898"/>
    <n v="259323.870651584"/>
  </r>
  <r>
    <x v="0"/>
    <x v="0"/>
    <x v="0"/>
    <x v="8"/>
    <x v="18"/>
    <s v="SE3_STO"/>
    <x v="1"/>
    <s v="GHOB_BIOOIL"/>
    <x v="0"/>
    <x v="12"/>
    <n v="211.07984780598801"/>
    <n v="77044.144449185696"/>
    <n v="277358.92001706897"/>
  </r>
  <r>
    <x v="0"/>
    <x v="0"/>
    <x v="0"/>
    <x v="8"/>
    <x v="18"/>
    <s v="SE3_STO"/>
    <x v="1"/>
    <s v="GHOB_BIOOIL"/>
    <x v="0"/>
    <x v="13"/>
    <n v="214.21264371254901"/>
    <n v="78187.6149550806"/>
    <n v="281475.41383829003"/>
  </r>
  <r>
    <x v="0"/>
    <x v="0"/>
    <x v="0"/>
    <x v="8"/>
    <x v="18"/>
    <s v="SE3_STO"/>
    <x v="1"/>
    <s v="GHOB_BIOOIL"/>
    <x v="0"/>
    <x v="14"/>
    <n v="214.61283980067901"/>
    <n v="78333.686527247701"/>
    <n v="282001.27149809198"/>
  </r>
  <r>
    <x v="0"/>
    <x v="0"/>
    <x v="0"/>
    <x v="8"/>
    <x v="18"/>
    <s v="SE3_STO"/>
    <x v="1"/>
    <s v="GHOB_BIOOIL"/>
    <x v="0"/>
    <x v="15"/>
    <n v="225.85276166181299"/>
    <n v="82436.258006561606"/>
    <n v="296770.52882362198"/>
  </r>
  <r>
    <x v="0"/>
    <x v="0"/>
    <x v="0"/>
    <x v="8"/>
    <x v="18"/>
    <s v="SE3_STO"/>
    <x v="1"/>
    <s v="GHOB_BIOOIL"/>
    <x v="0"/>
    <x v="16"/>
    <n v="219.78774606688401"/>
    <n v="80222.527314412699"/>
    <n v="288801.09833188599"/>
  </r>
  <r>
    <x v="0"/>
    <x v="0"/>
    <x v="0"/>
    <x v="8"/>
    <x v="18"/>
    <s v="SE3_STO"/>
    <x v="1"/>
    <s v="GHOB_BIOOIL"/>
    <x v="0"/>
    <x v="17"/>
    <n v="200.226092738603"/>
    <n v="73082.523849589896"/>
    <n v="263097.08585852402"/>
  </r>
  <r>
    <x v="0"/>
    <x v="0"/>
    <x v="0"/>
    <x v="8"/>
    <x v="18"/>
    <s v="SE3_STO"/>
    <x v="1"/>
    <s v="GHOB_BIOOIL"/>
    <x v="0"/>
    <x v="18"/>
    <n v="184.75260294035499"/>
    <n v="67434.700073229498"/>
    <n v="242764.920263626"/>
  </r>
  <r>
    <x v="0"/>
    <x v="0"/>
    <x v="0"/>
    <x v="8"/>
    <x v="18"/>
    <s v="SE3_STO"/>
    <x v="1"/>
    <s v="GHOB_BIOOIL"/>
    <x v="0"/>
    <x v="19"/>
    <n v="160.82133556150501"/>
    <n v="58699.7874799493"/>
    <n v="211319.23492781699"/>
  </r>
  <r>
    <x v="0"/>
    <x v="0"/>
    <x v="0"/>
    <x v="8"/>
    <x v="18"/>
    <s v="SE3_STO"/>
    <x v="1"/>
    <s v="GHOB_BIOOIL"/>
    <x v="0"/>
    <x v="20"/>
    <n v="127.48592350633299"/>
    <n v="46532.362079811603"/>
    <n v="167516.50348732201"/>
  </r>
  <r>
    <x v="0"/>
    <x v="0"/>
    <x v="0"/>
    <x v="8"/>
    <x v="18"/>
    <s v="SE3_STO"/>
    <x v="1"/>
    <s v="GHOB_BIOOIL"/>
    <x v="0"/>
    <x v="21"/>
    <n v="99.516028907538896"/>
    <n v="36323.3505512517"/>
    <n v="130764.061984506"/>
  </r>
  <r>
    <x v="0"/>
    <x v="0"/>
    <x v="0"/>
    <x v="8"/>
    <x v="18"/>
    <s v="SE3_STO"/>
    <x v="1"/>
    <s v="GHOB_BIOOIL"/>
    <x v="0"/>
    <x v="22"/>
    <n v="54.512499040740501"/>
    <n v="19897.0621498703"/>
    <n v="71629.4237395331"/>
  </r>
  <r>
    <x v="0"/>
    <x v="0"/>
    <x v="0"/>
    <x v="8"/>
    <x v="18"/>
    <s v="SE3_STO"/>
    <x v="2"/>
    <s v="GNR_HS_HEAT_WTR-TANK_LS_E-95_Y-2010"/>
    <x v="0"/>
    <x v="7"/>
    <n v="219.01373109127701"/>
    <n v="79940.011848316193"/>
    <n v="287784.042653938"/>
  </r>
  <r>
    <x v="0"/>
    <x v="0"/>
    <x v="0"/>
    <x v="8"/>
    <x v="18"/>
    <s v="SE3_STO"/>
    <x v="2"/>
    <s v="GNR_HS_HEAT_WTR-TANK_LS_E-95_Y-2010"/>
    <x v="0"/>
    <x v="11"/>
    <n v="18.121136106730301"/>
    <n v="6614.2146789565704"/>
    <n v="23811.1728442436"/>
  </r>
  <r>
    <x v="0"/>
    <x v="0"/>
    <x v="0"/>
    <x v="8"/>
    <x v="18"/>
    <s v="SE3_STO"/>
    <x v="3"/>
    <s v="GBPR_MUNIWASTE_HOGDALEN"/>
    <x v="0"/>
    <x v="0"/>
    <n v="119.49986243319501"/>
    <n v="43617.449788116202"/>
    <n v="157022.81923721801"/>
  </r>
  <r>
    <x v="0"/>
    <x v="0"/>
    <x v="0"/>
    <x v="8"/>
    <x v="18"/>
    <s v="SE3_STO"/>
    <x v="3"/>
    <s v="GBPR_MUNIWASTE_HOGDALEN"/>
    <x v="0"/>
    <x v="1"/>
    <n v="119.49986243319501"/>
    <n v="43617.449788116202"/>
    <n v="157022.81923721801"/>
  </r>
  <r>
    <x v="0"/>
    <x v="0"/>
    <x v="0"/>
    <x v="8"/>
    <x v="18"/>
    <s v="SE3_STO"/>
    <x v="3"/>
    <s v="GBPR_MUNIWASTE_HOGDALEN"/>
    <x v="0"/>
    <x v="2"/>
    <n v="119.49986243319501"/>
    <n v="43617.449788116202"/>
    <n v="157022.81923721801"/>
  </r>
  <r>
    <x v="0"/>
    <x v="0"/>
    <x v="0"/>
    <x v="8"/>
    <x v="18"/>
    <s v="SE3_STO"/>
    <x v="3"/>
    <s v="GBPR_MUNIWASTE_HOGDALEN"/>
    <x v="0"/>
    <x v="3"/>
    <n v="119.49986243319501"/>
    <n v="43617.449788116202"/>
    <n v="157022.81923721801"/>
  </r>
  <r>
    <x v="0"/>
    <x v="0"/>
    <x v="0"/>
    <x v="8"/>
    <x v="18"/>
    <s v="SE3_STO"/>
    <x v="3"/>
    <s v="GBPR_MUNIWASTE_HOGDALEN"/>
    <x v="0"/>
    <x v="4"/>
    <n v="119.49986243319501"/>
    <n v="43617.449788116202"/>
    <n v="157022.81923721801"/>
  </r>
  <r>
    <x v="0"/>
    <x v="0"/>
    <x v="0"/>
    <x v="8"/>
    <x v="18"/>
    <s v="SE3_STO"/>
    <x v="3"/>
    <s v="GBPR_MUNIWASTE_HOGDALEN"/>
    <x v="0"/>
    <x v="5"/>
    <n v="119.49986243319501"/>
    <n v="43617.449788116202"/>
    <n v="157022.81923721801"/>
  </r>
  <r>
    <x v="0"/>
    <x v="0"/>
    <x v="0"/>
    <x v="8"/>
    <x v="18"/>
    <s v="SE3_STO"/>
    <x v="3"/>
    <s v="GBPR_MUNIWASTE_HOGDALEN"/>
    <x v="0"/>
    <x v="6"/>
    <n v="119.49986243319501"/>
    <n v="43617.449788116202"/>
    <n v="157022.81923721801"/>
  </r>
  <r>
    <x v="0"/>
    <x v="0"/>
    <x v="0"/>
    <x v="8"/>
    <x v="18"/>
    <s v="SE3_STO"/>
    <x v="3"/>
    <s v="GBPR_MUNIWASTE_HOGDALEN"/>
    <x v="0"/>
    <x v="7"/>
    <n v="119.49986243319501"/>
    <n v="43617.449788116202"/>
    <n v="157022.81923721801"/>
  </r>
  <r>
    <x v="0"/>
    <x v="0"/>
    <x v="0"/>
    <x v="8"/>
    <x v="18"/>
    <s v="SE3_STO"/>
    <x v="3"/>
    <s v="GBPR_MUNIWASTE_HOGDALEN"/>
    <x v="0"/>
    <x v="8"/>
    <n v="119.49986243319501"/>
    <n v="43617.449788116202"/>
    <n v="157022.81923721801"/>
  </r>
  <r>
    <x v="0"/>
    <x v="0"/>
    <x v="0"/>
    <x v="8"/>
    <x v="18"/>
    <s v="SE3_STO"/>
    <x v="3"/>
    <s v="GBPR_MUNIWASTE_HOGDALEN"/>
    <x v="0"/>
    <x v="9"/>
    <n v="119.49986243319501"/>
    <n v="43617.449788116202"/>
    <n v="157022.81923721801"/>
  </r>
  <r>
    <x v="0"/>
    <x v="0"/>
    <x v="0"/>
    <x v="8"/>
    <x v="18"/>
    <s v="SE3_STO"/>
    <x v="3"/>
    <s v="GBPR_MUNIWASTE_HOGDALEN"/>
    <x v="0"/>
    <x v="10"/>
    <n v="119.49986243319501"/>
    <n v="43617.449788116202"/>
    <n v="157022.81923721801"/>
  </r>
  <r>
    <x v="0"/>
    <x v="0"/>
    <x v="0"/>
    <x v="8"/>
    <x v="18"/>
    <s v="SE3_STO"/>
    <x v="3"/>
    <s v="GBPR_MUNIWASTE_HOGDALEN"/>
    <x v="0"/>
    <x v="11"/>
    <n v="119.49986243319501"/>
    <n v="43617.449788116202"/>
    <n v="157022.81923721801"/>
  </r>
  <r>
    <x v="0"/>
    <x v="0"/>
    <x v="0"/>
    <x v="8"/>
    <x v="18"/>
    <s v="SE3_STO"/>
    <x v="3"/>
    <s v="GBPR_MUNIWASTE_HOGDALEN"/>
    <x v="0"/>
    <x v="12"/>
    <n v="119.49986243319501"/>
    <n v="43617.449788116202"/>
    <n v="157022.81923721801"/>
  </r>
  <r>
    <x v="0"/>
    <x v="0"/>
    <x v="0"/>
    <x v="8"/>
    <x v="18"/>
    <s v="SE3_STO"/>
    <x v="3"/>
    <s v="GBPR_MUNIWASTE_HOGDALEN"/>
    <x v="0"/>
    <x v="13"/>
    <n v="119.49986243319501"/>
    <n v="43617.449788116202"/>
    <n v="157022.81923721801"/>
  </r>
  <r>
    <x v="0"/>
    <x v="0"/>
    <x v="0"/>
    <x v="8"/>
    <x v="18"/>
    <s v="SE3_STO"/>
    <x v="3"/>
    <s v="GBPR_MUNIWASTE_HOGDALEN"/>
    <x v="0"/>
    <x v="14"/>
    <n v="119.49986243319501"/>
    <n v="43617.449788116202"/>
    <n v="157022.81923721801"/>
  </r>
  <r>
    <x v="0"/>
    <x v="0"/>
    <x v="0"/>
    <x v="8"/>
    <x v="18"/>
    <s v="SE3_STO"/>
    <x v="3"/>
    <s v="GBPR_MUNIWASTE_HOGDALEN"/>
    <x v="0"/>
    <x v="15"/>
    <n v="119.49986243319501"/>
    <n v="43617.449788116202"/>
    <n v="157022.81923721801"/>
  </r>
  <r>
    <x v="0"/>
    <x v="0"/>
    <x v="0"/>
    <x v="8"/>
    <x v="18"/>
    <s v="SE3_STO"/>
    <x v="3"/>
    <s v="GBPR_MUNIWASTE_HOGDALEN"/>
    <x v="0"/>
    <x v="16"/>
    <n v="119.49986243319501"/>
    <n v="43617.449788116202"/>
    <n v="157022.81923721801"/>
  </r>
  <r>
    <x v="0"/>
    <x v="0"/>
    <x v="0"/>
    <x v="8"/>
    <x v="18"/>
    <s v="SE3_STO"/>
    <x v="3"/>
    <s v="GBPR_MUNIWASTE_HOGDALEN"/>
    <x v="0"/>
    <x v="17"/>
    <n v="119.49986243319501"/>
    <n v="43617.449788116202"/>
    <n v="157022.81923721801"/>
  </r>
  <r>
    <x v="0"/>
    <x v="0"/>
    <x v="0"/>
    <x v="8"/>
    <x v="18"/>
    <s v="SE3_STO"/>
    <x v="3"/>
    <s v="GBPR_MUNIWASTE_HOGDALEN"/>
    <x v="0"/>
    <x v="18"/>
    <n v="119.49986243319501"/>
    <n v="43617.449788116202"/>
    <n v="157022.81923721801"/>
  </r>
  <r>
    <x v="0"/>
    <x v="0"/>
    <x v="0"/>
    <x v="8"/>
    <x v="18"/>
    <s v="SE3_STO"/>
    <x v="3"/>
    <s v="GBPR_MUNIWASTE_HOGDALEN"/>
    <x v="0"/>
    <x v="19"/>
    <n v="119.49986243319501"/>
    <n v="43617.449788116202"/>
    <n v="157022.81923721801"/>
  </r>
  <r>
    <x v="0"/>
    <x v="0"/>
    <x v="0"/>
    <x v="8"/>
    <x v="18"/>
    <s v="SE3_STO"/>
    <x v="3"/>
    <s v="GBPR_MUNIWASTE_HOGDALEN"/>
    <x v="0"/>
    <x v="20"/>
    <n v="119.49986243319501"/>
    <n v="43617.449788116202"/>
    <n v="157022.81923721801"/>
  </r>
  <r>
    <x v="0"/>
    <x v="0"/>
    <x v="0"/>
    <x v="8"/>
    <x v="18"/>
    <s v="SE3_STO"/>
    <x v="3"/>
    <s v="GBPR_MUNIWASTE_HOGDALEN"/>
    <x v="0"/>
    <x v="21"/>
    <n v="119.49986243319501"/>
    <n v="43617.449788116202"/>
    <n v="157022.81923721801"/>
  </r>
  <r>
    <x v="0"/>
    <x v="0"/>
    <x v="0"/>
    <x v="8"/>
    <x v="18"/>
    <s v="SE3_STO"/>
    <x v="3"/>
    <s v="GBPR_MUNIWASTE_HOGDALEN"/>
    <x v="0"/>
    <x v="22"/>
    <n v="119.49986243319501"/>
    <n v="43617.449788116202"/>
    <n v="157022.81923721801"/>
  </r>
  <r>
    <x v="0"/>
    <x v="0"/>
    <x v="0"/>
    <x v="8"/>
    <x v="18"/>
    <s v="SE3_STO"/>
    <x v="3"/>
    <s v="GBPR_MUNIWASTE_HOGDALEN"/>
    <x v="0"/>
    <x v="23"/>
    <n v="119.49986243319501"/>
    <n v="43617.449788116202"/>
    <n v="157022.81923721801"/>
  </r>
  <r>
    <x v="0"/>
    <x v="0"/>
    <x v="0"/>
    <x v="8"/>
    <x v="18"/>
    <s v="SE3_STO"/>
    <x v="3"/>
    <s v="GHOB_MUNIWASTE"/>
    <x v="0"/>
    <x v="0"/>
    <n v="113.670600851088"/>
    <n v="41489.769310647098"/>
    <n v="149363.16951832999"/>
  </r>
  <r>
    <x v="0"/>
    <x v="0"/>
    <x v="0"/>
    <x v="8"/>
    <x v="18"/>
    <s v="SE3_STO"/>
    <x v="3"/>
    <s v="GHOB_MUNIWASTE"/>
    <x v="0"/>
    <x v="1"/>
    <n v="113.670600851088"/>
    <n v="41489.769310647098"/>
    <n v="149363.16951832999"/>
  </r>
  <r>
    <x v="0"/>
    <x v="0"/>
    <x v="0"/>
    <x v="8"/>
    <x v="18"/>
    <s v="SE3_STO"/>
    <x v="3"/>
    <s v="GHOB_MUNIWASTE"/>
    <x v="0"/>
    <x v="2"/>
    <n v="113.670600851088"/>
    <n v="41489.769310647098"/>
    <n v="149363.16951832999"/>
  </r>
  <r>
    <x v="0"/>
    <x v="0"/>
    <x v="0"/>
    <x v="8"/>
    <x v="18"/>
    <s v="SE3_STO"/>
    <x v="3"/>
    <s v="GHOB_MUNIWASTE"/>
    <x v="0"/>
    <x v="3"/>
    <n v="113.670600851088"/>
    <n v="41489.769310647098"/>
    <n v="149363.16951832999"/>
  </r>
  <r>
    <x v="0"/>
    <x v="0"/>
    <x v="0"/>
    <x v="8"/>
    <x v="18"/>
    <s v="SE3_STO"/>
    <x v="3"/>
    <s v="GHOB_MUNIWASTE"/>
    <x v="0"/>
    <x v="4"/>
    <n v="113.670600851088"/>
    <n v="41489.769310647098"/>
    <n v="149363.16951832999"/>
  </r>
  <r>
    <x v="0"/>
    <x v="0"/>
    <x v="0"/>
    <x v="8"/>
    <x v="18"/>
    <s v="SE3_STO"/>
    <x v="3"/>
    <s v="GHOB_MUNIWASTE"/>
    <x v="0"/>
    <x v="5"/>
    <n v="113.670600851088"/>
    <n v="41489.769310647098"/>
    <n v="149363.16951832999"/>
  </r>
  <r>
    <x v="0"/>
    <x v="0"/>
    <x v="0"/>
    <x v="8"/>
    <x v="18"/>
    <s v="SE3_STO"/>
    <x v="3"/>
    <s v="GHOB_MUNIWASTE"/>
    <x v="0"/>
    <x v="6"/>
    <n v="113.670600851088"/>
    <n v="41489.769310647098"/>
    <n v="149363.16951832999"/>
  </r>
  <r>
    <x v="0"/>
    <x v="0"/>
    <x v="0"/>
    <x v="8"/>
    <x v="18"/>
    <s v="SE3_STO"/>
    <x v="3"/>
    <s v="GHOB_MUNIWASTE"/>
    <x v="0"/>
    <x v="7"/>
    <n v="113.670600851088"/>
    <n v="41489.769310647098"/>
    <n v="149363.16951832999"/>
  </r>
  <r>
    <x v="0"/>
    <x v="0"/>
    <x v="0"/>
    <x v="8"/>
    <x v="18"/>
    <s v="SE3_STO"/>
    <x v="3"/>
    <s v="GHOB_MUNIWASTE"/>
    <x v="0"/>
    <x v="8"/>
    <n v="113.670600851088"/>
    <n v="41489.769310647098"/>
    <n v="149363.16951832999"/>
  </r>
  <r>
    <x v="0"/>
    <x v="0"/>
    <x v="0"/>
    <x v="8"/>
    <x v="18"/>
    <s v="SE3_STO"/>
    <x v="3"/>
    <s v="GHOB_MUNIWASTE"/>
    <x v="0"/>
    <x v="9"/>
    <n v="113.670600851088"/>
    <n v="41489.769310647098"/>
    <n v="149363.16951832999"/>
  </r>
  <r>
    <x v="0"/>
    <x v="0"/>
    <x v="0"/>
    <x v="8"/>
    <x v="18"/>
    <s v="SE3_STO"/>
    <x v="3"/>
    <s v="GHOB_MUNIWASTE"/>
    <x v="0"/>
    <x v="10"/>
    <n v="113.670600851088"/>
    <n v="41489.769310647098"/>
    <n v="149363.16951832999"/>
  </r>
  <r>
    <x v="0"/>
    <x v="0"/>
    <x v="0"/>
    <x v="8"/>
    <x v="18"/>
    <s v="SE3_STO"/>
    <x v="3"/>
    <s v="GHOB_MUNIWASTE"/>
    <x v="0"/>
    <x v="11"/>
    <n v="113.670600851088"/>
    <n v="41489.769310647098"/>
    <n v="149363.16951832999"/>
  </r>
  <r>
    <x v="0"/>
    <x v="0"/>
    <x v="0"/>
    <x v="8"/>
    <x v="18"/>
    <s v="SE3_STO"/>
    <x v="3"/>
    <s v="GHOB_MUNIWASTE"/>
    <x v="0"/>
    <x v="12"/>
    <n v="113.670600851088"/>
    <n v="41489.769310647098"/>
    <n v="149363.16951832999"/>
  </r>
  <r>
    <x v="0"/>
    <x v="0"/>
    <x v="0"/>
    <x v="8"/>
    <x v="18"/>
    <s v="SE3_STO"/>
    <x v="3"/>
    <s v="GHOB_MUNIWASTE"/>
    <x v="0"/>
    <x v="13"/>
    <n v="113.670600851088"/>
    <n v="41489.769310647098"/>
    <n v="149363.16951832999"/>
  </r>
  <r>
    <x v="0"/>
    <x v="0"/>
    <x v="0"/>
    <x v="8"/>
    <x v="18"/>
    <s v="SE3_STO"/>
    <x v="3"/>
    <s v="GHOB_MUNIWASTE"/>
    <x v="0"/>
    <x v="14"/>
    <n v="113.670600851088"/>
    <n v="41489.769310647098"/>
    <n v="149363.16951832999"/>
  </r>
  <r>
    <x v="0"/>
    <x v="0"/>
    <x v="0"/>
    <x v="8"/>
    <x v="18"/>
    <s v="SE3_STO"/>
    <x v="3"/>
    <s v="GHOB_MUNIWASTE"/>
    <x v="0"/>
    <x v="15"/>
    <n v="113.670600851088"/>
    <n v="41489.769310647098"/>
    <n v="149363.16951832999"/>
  </r>
  <r>
    <x v="0"/>
    <x v="0"/>
    <x v="0"/>
    <x v="8"/>
    <x v="18"/>
    <s v="SE3_STO"/>
    <x v="3"/>
    <s v="GHOB_MUNIWASTE"/>
    <x v="0"/>
    <x v="16"/>
    <n v="113.670600851088"/>
    <n v="41489.769310647098"/>
    <n v="149363.16951832999"/>
  </r>
  <r>
    <x v="0"/>
    <x v="0"/>
    <x v="0"/>
    <x v="8"/>
    <x v="18"/>
    <s v="SE3_STO"/>
    <x v="3"/>
    <s v="GHOB_MUNIWASTE"/>
    <x v="0"/>
    <x v="17"/>
    <n v="113.670600851088"/>
    <n v="41489.769310647098"/>
    <n v="149363.16951832999"/>
  </r>
  <r>
    <x v="0"/>
    <x v="0"/>
    <x v="0"/>
    <x v="8"/>
    <x v="18"/>
    <s v="SE3_STO"/>
    <x v="3"/>
    <s v="GHOB_MUNIWASTE"/>
    <x v="0"/>
    <x v="18"/>
    <n v="113.670600851088"/>
    <n v="41489.769310647098"/>
    <n v="149363.16951832999"/>
  </r>
  <r>
    <x v="0"/>
    <x v="0"/>
    <x v="0"/>
    <x v="8"/>
    <x v="18"/>
    <s v="SE3_STO"/>
    <x v="3"/>
    <s v="GHOB_MUNIWASTE"/>
    <x v="0"/>
    <x v="19"/>
    <n v="113.670600851088"/>
    <n v="41489.769310647098"/>
    <n v="149363.16951832999"/>
  </r>
  <r>
    <x v="0"/>
    <x v="0"/>
    <x v="0"/>
    <x v="8"/>
    <x v="18"/>
    <s v="SE3_STO"/>
    <x v="3"/>
    <s v="GHOB_MUNIWASTE"/>
    <x v="0"/>
    <x v="20"/>
    <n v="113.670600851088"/>
    <n v="41489.769310647098"/>
    <n v="149363.16951832999"/>
  </r>
  <r>
    <x v="0"/>
    <x v="0"/>
    <x v="0"/>
    <x v="8"/>
    <x v="18"/>
    <s v="SE3_STO"/>
    <x v="3"/>
    <s v="GHOB_MUNIWASTE"/>
    <x v="0"/>
    <x v="21"/>
    <n v="113.670600851088"/>
    <n v="41489.769310647098"/>
    <n v="149363.16951832999"/>
  </r>
  <r>
    <x v="0"/>
    <x v="0"/>
    <x v="0"/>
    <x v="8"/>
    <x v="18"/>
    <s v="SE3_STO"/>
    <x v="3"/>
    <s v="GHOB_MUNIWASTE"/>
    <x v="0"/>
    <x v="22"/>
    <n v="113.670600851088"/>
    <n v="41489.769310647098"/>
    <n v="149363.16951832999"/>
  </r>
  <r>
    <x v="0"/>
    <x v="0"/>
    <x v="0"/>
    <x v="8"/>
    <x v="18"/>
    <s v="SE3_STO"/>
    <x v="3"/>
    <s v="GHOB_MUNIWASTE"/>
    <x v="0"/>
    <x v="23"/>
    <n v="113.670600851088"/>
    <n v="41489.769310647098"/>
    <n v="149363.16951832999"/>
  </r>
  <r>
    <x v="0"/>
    <x v="0"/>
    <x v="0"/>
    <x v="8"/>
    <x v="18"/>
    <s v="SE3_STO"/>
    <x v="8"/>
    <s v="GBPR_WOODPELLETS_HASSELBY"/>
    <x v="0"/>
    <x v="0"/>
    <n v="197.36842105263199"/>
    <n v="72039.473684210505"/>
    <n v="259342.10526315801"/>
  </r>
  <r>
    <x v="0"/>
    <x v="0"/>
    <x v="0"/>
    <x v="8"/>
    <x v="18"/>
    <s v="SE3_STO"/>
    <x v="8"/>
    <s v="GBPR_WOODPELLETS_HASSELBY"/>
    <x v="0"/>
    <x v="1"/>
    <n v="197.36842105263199"/>
    <n v="72039.473684210505"/>
    <n v="259342.10526315801"/>
  </r>
  <r>
    <x v="0"/>
    <x v="0"/>
    <x v="0"/>
    <x v="8"/>
    <x v="18"/>
    <s v="SE3_STO"/>
    <x v="8"/>
    <s v="GBPR_WOODPELLETS_HASSELBY"/>
    <x v="0"/>
    <x v="2"/>
    <n v="197.36842105263199"/>
    <n v="72039.473684210505"/>
    <n v="259342.10526315801"/>
  </r>
  <r>
    <x v="0"/>
    <x v="0"/>
    <x v="0"/>
    <x v="8"/>
    <x v="18"/>
    <s v="SE3_STO"/>
    <x v="8"/>
    <s v="GBPR_WOODPELLETS_HASSELBY"/>
    <x v="0"/>
    <x v="3"/>
    <n v="197.36842105263199"/>
    <n v="72039.473684210505"/>
    <n v="259342.10526315801"/>
  </r>
  <r>
    <x v="0"/>
    <x v="0"/>
    <x v="0"/>
    <x v="8"/>
    <x v="18"/>
    <s v="SE3_STO"/>
    <x v="8"/>
    <s v="GBPR_WOODPELLETS_HASSELBY"/>
    <x v="0"/>
    <x v="4"/>
    <n v="197.36842105263199"/>
    <n v="72039.473684210505"/>
    <n v="259342.10526315801"/>
  </r>
  <r>
    <x v="0"/>
    <x v="0"/>
    <x v="0"/>
    <x v="8"/>
    <x v="18"/>
    <s v="SE3_STO"/>
    <x v="8"/>
    <s v="GBPR_WOODPELLETS_HASSELBY"/>
    <x v="0"/>
    <x v="5"/>
    <n v="197.36842105263199"/>
    <n v="72039.473684210505"/>
    <n v="259342.10526315801"/>
  </r>
  <r>
    <x v="0"/>
    <x v="0"/>
    <x v="0"/>
    <x v="8"/>
    <x v="18"/>
    <s v="SE3_STO"/>
    <x v="8"/>
    <s v="GBPR_WOODPELLETS_HASSELBY"/>
    <x v="0"/>
    <x v="6"/>
    <n v="197.36842105263199"/>
    <n v="72039.473684210505"/>
    <n v="259342.10526315801"/>
  </r>
  <r>
    <x v="0"/>
    <x v="0"/>
    <x v="0"/>
    <x v="8"/>
    <x v="18"/>
    <s v="SE3_STO"/>
    <x v="8"/>
    <s v="GBPR_WOODPELLETS_HASSELBY"/>
    <x v="0"/>
    <x v="7"/>
    <n v="197.36842105263199"/>
    <n v="72039.473684210505"/>
    <n v="259342.10526315801"/>
  </r>
  <r>
    <x v="0"/>
    <x v="0"/>
    <x v="0"/>
    <x v="8"/>
    <x v="18"/>
    <s v="SE3_STO"/>
    <x v="8"/>
    <s v="GBPR_WOODPELLETS_HASSELBY"/>
    <x v="0"/>
    <x v="8"/>
    <n v="197.36842105263199"/>
    <n v="72039.473684210505"/>
    <n v="259342.10526315801"/>
  </r>
  <r>
    <x v="0"/>
    <x v="0"/>
    <x v="0"/>
    <x v="8"/>
    <x v="18"/>
    <s v="SE3_STO"/>
    <x v="8"/>
    <s v="GBPR_WOODPELLETS_HASSELBY"/>
    <x v="0"/>
    <x v="9"/>
    <n v="197.36842105263199"/>
    <n v="72039.473684210505"/>
    <n v="259342.10526315801"/>
  </r>
  <r>
    <x v="0"/>
    <x v="0"/>
    <x v="0"/>
    <x v="8"/>
    <x v="18"/>
    <s v="SE3_STO"/>
    <x v="8"/>
    <s v="GBPR_WOODPELLETS_HASSELBY"/>
    <x v="0"/>
    <x v="10"/>
    <n v="197.36842105263199"/>
    <n v="72039.473684210505"/>
    <n v="259342.10526315801"/>
  </r>
  <r>
    <x v="0"/>
    <x v="0"/>
    <x v="0"/>
    <x v="8"/>
    <x v="18"/>
    <s v="SE3_STO"/>
    <x v="8"/>
    <s v="GBPR_WOODPELLETS_HASSELBY"/>
    <x v="0"/>
    <x v="11"/>
    <n v="197.36842105263199"/>
    <n v="72039.473684210505"/>
    <n v="259342.10526315801"/>
  </r>
  <r>
    <x v="0"/>
    <x v="0"/>
    <x v="0"/>
    <x v="8"/>
    <x v="18"/>
    <s v="SE3_STO"/>
    <x v="8"/>
    <s v="GBPR_WOODPELLETS_HASSELBY"/>
    <x v="0"/>
    <x v="12"/>
    <n v="197.36842105263199"/>
    <n v="72039.473684210505"/>
    <n v="259342.10526315801"/>
  </r>
  <r>
    <x v="0"/>
    <x v="0"/>
    <x v="0"/>
    <x v="8"/>
    <x v="18"/>
    <s v="SE3_STO"/>
    <x v="8"/>
    <s v="GBPR_WOODPELLETS_HASSELBY"/>
    <x v="0"/>
    <x v="13"/>
    <n v="197.36842105263199"/>
    <n v="72039.473684210505"/>
    <n v="259342.10526315801"/>
  </r>
  <r>
    <x v="0"/>
    <x v="0"/>
    <x v="0"/>
    <x v="8"/>
    <x v="18"/>
    <s v="SE3_STO"/>
    <x v="8"/>
    <s v="GBPR_WOODPELLETS_HASSELBY"/>
    <x v="0"/>
    <x v="14"/>
    <n v="197.36842105263199"/>
    <n v="72039.473684210505"/>
    <n v="259342.10526315801"/>
  </r>
  <r>
    <x v="0"/>
    <x v="0"/>
    <x v="0"/>
    <x v="8"/>
    <x v="18"/>
    <s v="SE3_STO"/>
    <x v="8"/>
    <s v="GBPR_WOODPELLETS_HASSELBY"/>
    <x v="0"/>
    <x v="15"/>
    <n v="197.36842105263199"/>
    <n v="72039.473684210505"/>
    <n v="259342.10526315801"/>
  </r>
  <r>
    <x v="0"/>
    <x v="0"/>
    <x v="0"/>
    <x v="8"/>
    <x v="18"/>
    <s v="SE3_STO"/>
    <x v="8"/>
    <s v="GBPR_WOODPELLETS_HASSELBY"/>
    <x v="0"/>
    <x v="16"/>
    <n v="197.36842105263199"/>
    <n v="72039.473684210505"/>
    <n v="259342.10526315801"/>
  </r>
  <r>
    <x v="0"/>
    <x v="0"/>
    <x v="0"/>
    <x v="8"/>
    <x v="18"/>
    <s v="SE3_STO"/>
    <x v="8"/>
    <s v="GBPR_WOODPELLETS_HASSELBY"/>
    <x v="0"/>
    <x v="17"/>
    <n v="197.36842105263199"/>
    <n v="72039.473684210505"/>
    <n v="259342.10526315801"/>
  </r>
  <r>
    <x v="0"/>
    <x v="0"/>
    <x v="0"/>
    <x v="8"/>
    <x v="18"/>
    <s v="SE3_STO"/>
    <x v="8"/>
    <s v="GBPR_WOODPELLETS_HASSELBY"/>
    <x v="0"/>
    <x v="18"/>
    <n v="197.36842105263199"/>
    <n v="72039.473684210505"/>
    <n v="259342.10526315801"/>
  </r>
  <r>
    <x v="0"/>
    <x v="0"/>
    <x v="0"/>
    <x v="8"/>
    <x v="18"/>
    <s v="SE3_STO"/>
    <x v="8"/>
    <s v="GBPR_WOODPELLETS_HASSELBY"/>
    <x v="0"/>
    <x v="19"/>
    <n v="197.36842105263199"/>
    <n v="72039.473684210505"/>
    <n v="259342.10526315801"/>
  </r>
  <r>
    <x v="0"/>
    <x v="0"/>
    <x v="0"/>
    <x v="8"/>
    <x v="18"/>
    <s v="SE3_STO"/>
    <x v="8"/>
    <s v="GBPR_WOODPELLETS_HASSELBY"/>
    <x v="0"/>
    <x v="20"/>
    <n v="197.36842105263199"/>
    <n v="72039.473684210505"/>
    <n v="259342.10526315801"/>
  </r>
  <r>
    <x v="0"/>
    <x v="0"/>
    <x v="0"/>
    <x v="8"/>
    <x v="18"/>
    <s v="SE3_STO"/>
    <x v="8"/>
    <s v="GBPR_WOODPELLETS_HASSELBY"/>
    <x v="0"/>
    <x v="21"/>
    <n v="197.36842105263199"/>
    <n v="72039.473684210505"/>
    <n v="259342.10526315801"/>
  </r>
  <r>
    <x v="0"/>
    <x v="0"/>
    <x v="0"/>
    <x v="8"/>
    <x v="18"/>
    <s v="SE3_STO"/>
    <x v="8"/>
    <s v="GBPR_WOODPELLETS_HASSELBY"/>
    <x v="0"/>
    <x v="22"/>
    <n v="197.36842105263199"/>
    <n v="72039.473684210505"/>
    <n v="259342.10526315801"/>
  </r>
  <r>
    <x v="0"/>
    <x v="0"/>
    <x v="0"/>
    <x v="8"/>
    <x v="18"/>
    <s v="SE3_STO"/>
    <x v="8"/>
    <s v="GBPR_WOODPELLETS_HASSELBY"/>
    <x v="0"/>
    <x v="23"/>
    <n v="197.36842105263199"/>
    <n v="72039.473684210505"/>
    <n v="259342.10526315801"/>
  </r>
  <r>
    <x v="0"/>
    <x v="0"/>
    <x v="0"/>
    <x v="8"/>
    <x v="18"/>
    <s v="SE3_STO"/>
    <x v="9"/>
    <s v="GBPR_WOODWASTE"/>
    <x v="0"/>
    <x v="0"/>
    <n v="198.143535930637"/>
    <n v="72322.390614682299"/>
    <n v="260360.60621285599"/>
  </r>
  <r>
    <x v="0"/>
    <x v="0"/>
    <x v="0"/>
    <x v="8"/>
    <x v="18"/>
    <s v="SE3_STO"/>
    <x v="9"/>
    <s v="GBPR_WOODWASTE"/>
    <x v="0"/>
    <x v="1"/>
    <n v="198.143535930637"/>
    <n v="72322.390614682299"/>
    <n v="260360.60621285599"/>
  </r>
  <r>
    <x v="0"/>
    <x v="0"/>
    <x v="0"/>
    <x v="8"/>
    <x v="18"/>
    <s v="SE3_STO"/>
    <x v="9"/>
    <s v="GBPR_WOODWASTE"/>
    <x v="0"/>
    <x v="2"/>
    <n v="198.143535930637"/>
    <n v="72322.390614682299"/>
    <n v="260360.60621285599"/>
  </r>
  <r>
    <x v="0"/>
    <x v="0"/>
    <x v="0"/>
    <x v="8"/>
    <x v="18"/>
    <s v="SE3_STO"/>
    <x v="9"/>
    <s v="GBPR_WOODWASTE"/>
    <x v="0"/>
    <x v="3"/>
    <n v="198.143535930637"/>
    <n v="72322.390614682299"/>
    <n v="260360.60621285599"/>
  </r>
  <r>
    <x v="0"/>
    <x v="0"/>
    <x v="0"/>
    <x v="8"/>
    <x v="18"/>
    <s v="SE3_STO"/>
    <x v="9"/>
    <s v="GBPR_WOODWASTE"/>
    <x v="0"/>
    <x v="4"/>
    <n v="198.143535930637"/>
    <n v="72322.390614682299"/>
    <n v="260360.60621285599"/>
  </r>
  <r>
    <x v="0"/>
    <x v="0"/>
    <x v="0"/>
    <x v="8"/>
    <x v="18"/>
    <s v="SE3_STO"/>
    <x v="9"/>
    <s v="GBPR_WOODWASTE"/>
    <x v="0"/>
    <x v="5"/>
    <n v="198.143535930637"/>
    <n v="72322.390614682299"/>
    <n v="260360.60621285599"/>
  </r>
  <r>
    <x v="0"/>
    <x v="0"/>
    <x v="0"/>
    <x v="8"/>
    <x v="18"/>
    <s v="SE3_STO"/>
    <x v="9"/>
    <s v="GBPR_WOODWASTE"/>
    <x v="0"/>
    <x v="6"/>
    <n v="198.143535930637"/>
    <n v="72322.390614682299"/>
    <n v="260360.60621285599"/>
  </r>
  <r>
    <x v="0"/>
    <x v="0"/>
    <x v="0"/>
    <x v="8"/>
    <x v="18"/>
    <s v="SE3_STO"/>
    <x v="9"/>
    <s v="GBPR_WOODWASTE"/>
    <x v="0"/>
    <x v="7"/>
    <n v="198.143535930637"/>
    <n v="72322.390614682299"/>
    <n v="260360.60621285599"/>
  </r>
  <r>
    <x v="0"/>
    <x v="0"/>
    <x v="0"/>
    <x v="8"/>
    <x v="18"/>
    <s v="SE3_STO"/>
    <x v="9"/>
    <s v="GBPR_WOODWASTE"/>
    <x v="0"/>
    <x v="8"/>
    <n v="198.143535930637"/>
    <n v="72322.390614682299"/>
    <n v="260360.60621285599"/>
  </r>
  <r>
    <x v="0"/>
    <x v="0"/>
    <x v="0"/>
    <x v="8"/>
    <x v="18"/>
    <s v="SE3_STO"/>
    <x v="9"/>
    <s v="GBPR_WOODWASTE"/>
    <x v="0"/>
    <x v="9"/>
    <n v="198.143535930637"/>
    <n v="72322.390614682299"/>
    <n v="260360.60621285599"/>
  </r>
  <r>
    <x v="0"/>
    <x v="0"/>
    <x v="0"/>
    <x v="8"/>
    <x v="18"/>
    <s v="SE3_STO"/>
    <x v="9"/>
    <s v="GBPR_WOODWASTE"/>
    <x v="0"/>
    <x v="10"/>
    <n v="198.143535930637"/>
    <n v="72322.390614682299"/>
    <n v="260360.60621285599"/>
  </r>
  <r>
    <x v="0"/>
    <x v="0"/>
    <x v="0"/>
    <x v="8"/>
    <x v="18"/>
    <s v="SE3_STO"/>
    <x v="9"/>
    <s v="GBPR_WOODWASTE"/>
    <x v="0"/>
    <x v="11"/>
    <n v="198.143535930637"/>
    <n v="72322.390614682299"/>
    <n v="260360.60621285599"/>
  </r>
  <r>
    <x v="0"/>
    <x v="0"/>
    <x v="0"/>
    <x v="8"/>
    <x v="18"/>
    <s v="SE3_STO"/>
    <x v="9"/>
    <s v="GBPR_WOODWASTE"/>
    <x v="0"/>
    <x v="12"/>
    <n v="198.143535930637"/>
    <n v="72322.390614682299"/>
    <n v="260360.60621285599"/>
  </r>
  <r>
    <x v="0"/>
    <x v="0"/>
    <x v="0"/>
    <x v="8"/>
    <x v="18"/>
    <s v="SE3_STO"/>
    <x v="9"/>
    <s v="GBPR_WOODWASTE"/>
    <x v="0"/>
    <x v="13"/>
    <n v="198.143535930637"/>
    <n v="72322.390614682299"/>
    <n v="260360.60621285599"/>
  </r>
  <r>
    <x v="0"/>
    <x v="0"/>
    <x v="0"/>
    <x v="8"/>
    <x v="18"/>
    <s v="SE3_STO"/>
    <x v="9"/>
    <s v="GBPR_WOODWASTE"/>
    <x v="0"/>
    <x v="14"/>
    <n v="198.143535930637"/>
    <n v="72322.390614682299"/>
    <n v="260360.60621285599"/>
  </r>
  <r>
    <x v="0"/>
    <x v="0"/>
    <x v="0"/>
    <x v="8"/>
    <x v="18"/>
    <s v="SE3_STO"/>
    <x v="9"/>
    <s v="GBPR_WOODWASTE"/>
    <x v="0"/>
    <x v="15"/>
    <n v="198.143535930637"/>
    <n v="72322.390614682299"/>
    <n v="260360.60621285599"/>
  </r>
  <r>
    <x v="0"/>
    <x v="0"/>
    <x v="0"/>
    <x v="8"/>
    <x v="18"/>
    <s v="SE3_STO"/>
    <x v="9"/>
    <s v="GBPR_WOODWASTE"/>
    <x v="0"/>
    <x v="16"/>
    <n v="198.143535930637"/>
    <n v="72322.390614682299"/>
    <n v="260360.60621285599"/>
  </r>
  <r>
    <x v="0"/>
    <x v="0"/>
    <x v="0"/>
    <x v="8"/>
    <x v="18"/>
    <s v="SE3_STO"/>
    <x v="9"/>
    <s v="GBPR_WOODWASTE"/>
    <x v="0"/>
    <x v="17"/>
    <n v="198.143535930637"/>
    <n v="72322.390614682299"/>
    <n v="260360.60621285599"/>
  </r>
  <r>
    <x v="0"/>
    <x v="0"/>
    <x v="0"/>
    <x v="8"/>
    <x v="18"/>
    <s v="SE3_STO"/>
    <x v="9"/>
    <s v="GBPR_WOODWASTE"/>
    <x v="0"/>
    <x v="18"/>
    <n v="198.143535930637"/>
    <n v="72322.390614682299"/>
    <n v="260360.60621285599"/>
  </r>
  <r>
    <x v="0"/>
    <x v="0"/>
    <x v="0"/>
    <x v="8"/>
    <x v="18"/>
    <s v="SE3_STO"/>
    <x v="9"/>
    <s v="GBPR_WOODWASTE"/>
    <x v="0"/>
    <x v="19"/>
    <n v="198.143535930637"/>
    <n v="72322.390614682299"/>
    <n v="260360.60621285599"/>
  </r>
  <r>
    <x v="0"/>
    <x v="0"/>
    <x v="0"/>
    <x v="8"/>
    <x v="18"/>
    <s v="SE3_STO"/>
    <x v="9"/>
    <s v="GBPR_WOODWASTE"/>
    <x v="0"/>
    <x v="20"/>
    <n v="198.143535930637"/>
    <n v="72322.390614682299"/>
    <n v="260360.60621285599"/>
  </r>
  <r>
    <x v="0"/>
    <x v="0"/>
    <x v="0"/>
    <x v="8"/>
    <x v="18"/>
    <s v="SE3_STO"/>
    <x v="9"/>
    <s v="GBPR_WOODWASTE"/>
    <x v="0"/>
    <x v="21"/>
    <n v="198.143535930637"/>
    <n v="72322.390614682299"/>
    <n v="260360.60621285599"/>
  </r>
  <r>
    <x v="0"/>
    <x v="0"/>
    <x v="0"/>
    <x v="8"/>
    <x v="18"/>
    <s v="SE3_STO"/>
    <x v="9"/>
    <s v="GBPR_WOODWASTE"/>
    <x v="0"/>
    <x v="22"/>
    <n v="198.143535930637"/>
    <n v="72322.390614682299"/>
    <n v="260360.60621285599"/>
  </r>
  <r>
    <x v="0"/>
    <x v="0"/>
    <x v="0"/>
    <x v="8"/>
    <x v="18"/>
    <s v="SE3_STO"/>
    <x v="9"/>
    <s v="GBPR_WOODWASTE"/>
    <x v="0"/>
    <x v="23"/>
    <n v="198.143535930637"/>
    <n v="72322.390614682299"/>
    <n v="260360.60621285599"/>
  </r>
  <r>
    <x v="0"/>
    <x v="0"/>
    <x v="0"/>
    <x v="8"/>
    <x v="18"/>
    <s v="SE3_STO"/>
    <x v="9"/>
    <s v="GBPR_WOODWASTE_BRISTA"/>
    <x v="0"/>
    <x v="0"/>
    <n v="122.385290770653"/>
    <n v="44670.631131288399"/>
    <n v="160814.27207263801"/>
  </r>
  <r>
    <x v="0"/>
    <x v="0"/>
    <x v="0"/>
    <x v="8"/>
    <x v="18"/>
    <s v="SE3_STO"/>
    <x v="9"/>
    <s v="GBPR_WOODWASTE_BRISTA"/>
    <x v="0"/>
    <x v="1"/>
    <n v="122.385290770653"/>
    <n v="44670.631131288399"/>
    <n v="160814.27207263801"/>
  </r>
  <r>
    <x v="0"/>
    <x v="0"/>
    <x v="0"/>
    <x v="8"/>
    <x v="18"/>
    <s v="SE3_STO"/>
    <x v="9"/>
    <s v="GBPR_WOODWASTE_BRISTA"/>
    <x v="0"/>
    <x v="2"/>
    <n v="122.385290770653"/>
    <n v="44670.631131288399"/>
    <n v="160814.27207263801"/>
  </r>
  <r>
    <x v="0"/>
    <x v="0"/>
    <x v="0"/>
    <x v="8"/>
    <x v="18"/>
    <s v="SE3_STO"/>
    <x v="9"/>
    <s v="GBPR_WOODWASTE_BRISTA"/>
    <x v="0"/>
    <x v="3"/>
    <n v="122.385290770653"/>
    <n v="44670.631131288399"/>
    <n v="160814.27207263801"/>
  </r>
  <r>
    <x v="0"/>
    <x v="0"/>
    <x v="0"/>
    <x v="8"/>
    <x v="18"/>
    <s v="SE3_STO"/>
    <x v="9"/>
    <s v="GBPR_WOODWASTE_BRISTA"/>
    <x v="0"/>
    <x v="4"/>
    <n v="122.385290770653"/>
    <n v="44670.631131288399"/>
    <n v="160814.27207263801"/>
  </r>
  <r>
    <x v="0"/>
    <x v="0"/>
    <x v="0"/>
    <x v="8"/>
    <x v="18"/>
    <s v="SE3_STO"/>
    <x v="9"/>
    <s v="GBPR_WOODWASTE_BRISTA"/>
    <x v="0"/>
    <x v="5"/>
    <n v="122.385290770653"/>
    <n v="44670.631131288399"/>
    <n v="160814.27207263801"/>
  </r>
  <r>
    <x v="0"/>
    <x v="0"/>
    <x v="0"/>
    <x v="8"/>
    <x v="18"/>
    <s v="SE3_STO"/>
    <x v="9"/>
    <s v="GBPR_WOODWASTE_BRISTA"/>
    <x v="0"/>
    <x v="6"/>
    <n v="122.385290770653"/>
    <n v="44670.631131288399"/>
    <n v="160814.27207263801"/>
  </r>
  <r>
    <x v="0"/>
    <x v="0"/>
    <x v="0"/>
    <x v="8"/>
    <x v="18"/>
    <s v="SE3_STO"/>
    <x v="9"/>
    <s v="GBPR_WOODWASTE_BRISTA"/>
    <x v="0"/>
    <x v="7"/>
    <n v="122.385290770653"/>
    <n v="44670.631131288399"/>
    <n v="160814.27207263801"/>
  </r>
  <r>
    <x v="0"/>
    <x v="0"/>
    <x v="0"/>
    <x v="8"/>
    <x v="18"/>
    <s v="SE3_STO"/>
    <x v="9"/>
    <s v="GBPR_WOODWASTE_BRISTA"/>
    <x v="0"/>
    <x v="8"/>
    <n v="122.385290770653"/>
    <n v="44670.631131288399"/>
    <n v="160814.27207263801"/>
  </r>
  <r>
    <x v="0"/>
    <x v="0"/>
    <x v="0"/>
    <x v="8"/>
    <x v="18"/>
    <s v="SE3_STO"/>
    <x v="9"/>
    <s v="GBPR_WOODWASTE_BRISTA"/>
    <x v="0"/>
    <x v="9"/>
    <n v="122.385290770653"/>
    <n v="44670.631131288399"/>
    <n v="160814.27207263801"/>
  </r>
  <r>
    <x v="0"/>
    <x v="0"/>
    <x v="0"/>
    <x v="8"/>
    <x v="18"/>
    <s v="SE3_STO"/>
    <x v="9"/>
    <s v="GBPR_WOODWASTE_BRISTA"/>
    <x v="0"/>
    <x v="10"/>
    <n v="122.385290770653"/>
    <n v="44670.631131288399"/>
    <n v="160814.27207263801"/>
  </r>
  <r>
    <x v="0"/>
    <x v="0"/>
    <x v="0"/>
    <x v="8"/>
    <x v="18"/>
    <s v="SE3_STO"/>
    <x v="9"/>
    <s v="GBPR_WOODWASTE_BRISTA"/>
    <x v="0"/>
    <x v="11"/>
    <n v="122.385290770653"/>
    <n v="44670.631131288399"/>
    <n v="160814.27207263801"/>
  </r>
  <r>
    <x v="0"/>
    <x v="0"/>
    <x v="0"/>
    <x v="8"/>
    <x v="18"/>
    <s v="SE3_STO"/>
    <x v="9"/>
    <s v="GBPR_WOODWASTE_BRISTA"/>
    <x v="0"/>
    <x v="12"/>
    <n v="122.385290770653"/>
    <n v="44670.631131288399"/>
    <n v="160814.27207263801"/>
  </r>
  <r>
    <x v="0"/>
    <x v="0"/>
    <x v="0"/>
    <x v="8"/>
    <x v="18"/>
    <s v="SE3_STO"/>
    <x v="9"/>
    <s v="GBPR_WOODWASTE_BRISTA"/>
    <x v="0"/>
    <x v="13"/>
    <n v="122.385290770653"/>
    <n v="44670.631131288399"/>
    <n v="160814.27207263801"/>
  </r>
  <r>
    <x v="0"/>
    <x v="0"/>
    <x v="0"/>
    <x v="8"/>
    <x v="18"/>
    <s v="SE3_STO"/>
    <x v="9"/>
    <s v="GBPR_WOODWASTE_BRISTA"/>
    <x v="0"/>
    <x v="14"/>
    <n v="122.385290770653"/>
    <n v="44670.631131288399"/>
    <n v="160814.27207263801"/>
  </r>
  <r>
    <x v="0"/>
    <x v="0"/>
    <x v="0"/>
    <x v="8"/>
    <x v="18"/>
    <s v="SE3_STO"/>
    <x v="9"/>
    <s v="GBPR_WOODWASTE_BRISTA"/>
    <x v="0"/>
    <x v="15"/>
    <n v="122.385290770653"/>
    <n v="44670.631131288399"/>
    <n v="160814.27207263801"/>
  </r>
  <r>
    <x v="0"/>
    <x v="0"/>
    <x v="0"/>
    <x v="8"/>
    <x v="18"/>
    <s v="SE3_STO"/>
    <x v="9"/>
    <s v="GBPR_WOODWASTE_BRISTA"/>
    <x v="0"/>
    <x v="16"/>
    <n v="122.385290770653"/>
    <n v="44670.631131288399"/>
    <n v="160814.27207263801"/>
  </r>
  <r>
    <x v="0"/>
    <x v="0"/>
    <x v="0"/>
    <x v="8"/>
    <x v="18"/>
    <s v="SE3_STO"/>
    <x v="9"/>
    <s v="GBPR_WOODWASTE_BRISTA"/>
    <x v="0"/>
    <x v="17"/>
    <n v="122.385290770653"/>
    <n v="44670.631131288399"/>
    <n v="160814.27207263801"/>
  </r>
  <r>
    <x v="0"/>
    <x v="0"/>
    <x v="0"/>
    <x v="8"/>
    <x v="18"/>
    <s v="SE3_STO"/>
    <x v="9"/>
    <s v="GBPR_WOODWASTE_BRISTA"/>
    <x v="0"/>
    <x v="18"/>
    <n v="122.385290770653"/>
    <n v="44670.631131288399"/>
    <n v="160814.27207263801"/>
  </r>
  <r>
    <x v="0"/>
    <x v="0"/>
    <x v="0"/>
    <x v="8"/>
    <x v="18"/>
    <s v="SE3_STO"/>
    <x v="9"/>
    <s v="GBPR_WOODWASTE_BRISTA"/>
    <x v="0"/>
    <x v="19"/>
    <n v="122.385290770653"/>
    <n v="44670.631131288399"/>
    <n v="160814.27207263801"/>
  </r>
  <r>
    <x v="0"/>
    <x v="0"/>
    <x v="0"/>
    <x v="8"/>
    <x v="18"/>
    <s v="SE3_STO"/>
    <x v="9"/>
    <s v="GBPR_WOODWASTE_BRISTA"/>
    <x v="0"/>
    <x v="20"/>
    <n v="122.385290770653"/>
    <n v="44670.631131288399"/>
    <n v="160814.27207263801"/>
  </r>
  <r>
    <x v="0"/>
    <x v="0"/>
    <x v="0"/>
    <x v="8"/>
    <x v="18"/>
    <s v="SE3_STO"/>
    <x v="9"/>
    <s v="GBPR_WOODWASTE_BRISTA"/>
    <x v="0"/>
    <x v="21"/>
    <n v="122.385290770653"/>
    <n v="44670.631131288399"/>
    <n v="160814.27207263801"/>
  </r>
  <r>
    <x v="0"/>
    <x v="0"/>
    <x v="0"/>
    <x v="8"/>
    <x v="18"/>
    <s v="SE3_STO"/>
    <x v="9"/>
    <s v="GBPR_WOODWASTE_BRISTA"/>
    <x v="0"/>
    <x v="22"/>
    <n v="122.385290770653"/>
    <n v="44670.631131288399"/>
    <n v="160814.27207263801"/>
  </r>
  <r>
    <x v="0"/>
    <x v="0"/>
    <x v="0"/>
    <x v="8"/>
    <x v="18"/>
    <s v="SE3_STO"/>
    <x v="9"/>
    <s v="GBPR_WOODWASTE_BRISTA"/>
    <x v="0"/>
    <x v="23"/>
    <n v="122.385290770653"/>
    <n v="44670.631131288399"/>
    <n v="160814.27207263801"/>
  </r>
  <r>
    <x v="0"/>
    <x v="0"/>
    <x v="0"/>
    <x v="8"/>
    <x v="19"/>
    <s v="SE4A"/>
    <x v="10"/>
    <s v="GBPR_IND_BIO"/>
    <x v="0"/>
    <x v="0"/>
    <n v="588.40909090909099"/>
    <n v="214769.318181818"/>
    <n v="773169.54545454495"/>
  </r>
  <r>
    <x v="0"/>
    <x v="0"/>
    <x v="0"/>
    <x v="8"/>
    <x v="19"/>
    <s v="SE4A"/>
    <x v="10"/>
    <s v="GBPR_IND_BIO"/>
    <x v="0"/>
    <x v="1"/>
    <n v="588.40909090909099"/>
    <n v="214769.318181818"/>
    <n v="773169.54545454495"/>
  </r>
  <r>
    <x v="0"/>
    <x v="0"/>
    <x v="0"/>
    <x v="8"/>
    <x v="19"/>
    <s v="SE4A"/>
    <x v="10"/>
    <s v="GBPR_IND_BIO"/>
    <x v="0"/>
    <x v="2"/>
    <n v="588.40909090909099"/>
    <n v="214769.318181818"/>
    <n v="773169.54545454495"/>
  </r>
  <r>
    <x v="0"/>
    <x v="0"/>
    <x v="0"/>
    <x v="8"/>
    <x v="19"/>
    <s v="SE4A"/>
    <x v="10"/>
    <s v="GBPR_IND_BIO"/>
    <x v="0"/>
    <x v="3"/>
    <n v="588.40909090909099"/>
    <n v="214769.318181818"/>
    <n v="773169.54545454495"/>
  </r>
  <r>
    <x v="0"/>
    <x v="0"/>
    <x v="0"/>
    <x v="8"/>
    <x v="19"/>
    <s v="SE4A"/>
    <x v="10"/>
    <s v="GBPR_IND_BIO"/>
    <x v="0"/>
    <x v="4"/>
    <n v="588.40909090909099"/>
    <n v="214769.318181818"/>
    <n v="773169.54545454495"/>
  </r>
  <r>
    <x v="0"/>
    <x v="0"/>
    <x v="0"/>
    <x v="8"/>
    <x v="19"/>
    <s v="SE4A"/>
    <x v="10"/>
    <s v="GBPR_IND_BIO"/>
    <x v="0"/>
    <x v="5"/>
    <n v="588.40909090909099"/>
    <n v="214769.318181818"/>
    <n v="773169.54545454495"/>
  </r>
  <r>
    <x v="0"/>
    <x v="0"/>
    <x v="0"/>
    <x v="8"/>
    <x v="19"/>
    <s v="SE4A"/>
    <x v="10"/>
    <s v="GBPR_IND_BIO"/>
    <x v="0"/>
    <x v="6"/>
    <n v="588.40909090909099"/>
    <n v="214769.318181818"/>
    <n v="773169.54545454495"/>
  </r>
  <r>
    <x v="0"/>
    <x v="0"/>
    <x v="0"/>
    <x v="8"/>
    <x v="19"/>
    <s v="SE4A"/>
    <x v="10"/>
    <s v="GBPR_IND_BIO"/>
    <x v="0"/>
    <x v="7"/>
    <n v="588.40909090909099"/>
    <n v="214769.318181818"/>
    <n v="773169.54545454495"/>
  </r>
  <r>
    <x v="0"/>
    <x v="0"/>
    <x v="0"/>
    <x v="8"/>
    <x v="19"/>
    <s v="SE4A"/>
    <x v="10"/>
    <s v="GBPR_IND_BIO"/>
    <x v="0"/>
    <x v="8"/>
    <n v="588.40909090909099"/>
    <n v="214769.318181818"/>
    <n v="773169.54545454495"/>
  </r>
  <r>
    <x v="0"/>
    <x v="0"/>
    <x v="0"/>
    <x v="8"/>
    <x v="19"/>
    <s v="SE4A"/>
    <x v="10"/>
    <s v="GBPR_IND_BIO"/>
    <x v="0"/>
    <x v="9"/>
    <n v="588.40909090909099"/>
    <n v="214769.318181818"/>
    <n v="773169.54545454495"/>
  </r>
  <r>
    <x v="0"/>
    <x v="0"/>
    <x v="0"/>
    <x v="8"/>
    <x v="19"/>
    <s v="SE4A"/>
    <x v="10"/>
    <s v="GBPR_IND_BIO"/>
    <x v="0"/>
    <x v="10"/>
    <n v="588.40909090909099"/>
    <n v="214769.318181818"/>
    <n v="773169.54545454495"/>
  </r>
  <r>
    <x v="0"/>
    <x v="0"/>
    <x v="0"/>
    <x v="8"/>
    <x v="19"/>
    <s v="SE4A"/>
    <x v="10"/>
    <s v="GBPR_IND_BIO"/>
    <x v="0"/>
    <x v="11"/>
    <n v="588.40909090909099"/>
    <n v="214769.318181818"/>
    <n v="773169.54545454495"/>
  </r>
  <r>
    <x v="0"/>
    <x v="0"/>
    <x v="0"/>
    <x v="8"/>
    <x v="19"/>
    <s v="SE4A"/>
    <x v="10"/>
    <s v="GBPR_IND_BIO"/>
    <x v="0"/>
    <x v="12"/>
    <n v="588.40909090909099"/>
    <n v="214769.318181818"/>
    <n v="773169.54545454495"/>
  </r>
  <r>
    <x v="0"/>
    <x v="0"/>
    <x v="0"/>
    <x v="8"/>
    <x v="19"/>
    <s v="SE4A"/>
    <x v="10"/>
    <s v="GBPR_IND_BIO"/>
    <x v="0"/>
    <x v="13"/>
    <n v="588.40909090909099"/>
    <n v="214769.318181818"/>
    <n v="773169.54545454495"/>
  </r>
  <r>
    <x v="0"/>
    <x v="0"/>
    <x v="0"/>
    <x v="8"/>
    <x v="19"/>
    <s v="SE4A"/>
    <x v="10"/>
    <s v="GBPR_IND_BIO"/>
    <x v="0"/>
    <x v="14"/>
    <n v="588.40909090909099"/>
    <n v="214769.318181818"/>
    <n v="773169.54545454495"/>
  </r>
  <r>
    <x v="0"/>
    <x v="0"/>
    <x v="0"/>
    <x v="8"/>
    <x v="19"/>
    <s v="SE4A"/>
    <x v="10"/>
    <s v="GBPR_IND_BIO"/>
    <x v="0"/>
    <x v="15"/>
    <n v="588.40909090909099"/>
    <n v="214769.318181818"/>
    <n v="773169.54545454495"/>
  </r>
  <r>
    <x v="0"/>
    <x v="0"/>
    <x v="0"/>
    <x v="8"/>
    <x v="19"/>
    <s v="SE4A"/>
    <x v="10"/>
    <s v="GBPR_IND_BIO"/>
    <x v="0"/>
    <x v="16"/>
    <n v="588.40909090909099"/>
    <n v="214769.318181818"/>
    <n v="773169.54545454495"/>
  </r>
  <r>
    <x v="0"/>
    <x v="0"/>
    <x v="0"/>
    <x v="8"/>
    <x v="19"/>
    <s v="SE4A"/>
    <x v="10"/>
    <s v="GBPR_IND_BIO"/>
    <x v="0"/>
    <x v="17"/>
    <n v="588.40909090909099"/>
    <n v="214769.318181818"/>
    <n v="773169.54545454495"/>
  </r>
  <r>
    <x v="0"/>
    <x v="0"/>
    <x v="0"/>
    <x v="8"/>
    <x v="19"/>
    <s v="SE4A"/>
    <x v="10"/>
    <s v="GBPR_IND_BIO"/>
    <x v="0"/>
    <x v="18"/>
    <n v="588.40909090909099"/>
    <n v="214769.318181818"/>
    <n v="773169.54545454495"/>
  </r>
  <r>
    <x v="0"/>
    <x v="0"/>
    <x v="0"/>
    <x v="8"/>
    <x v="19"/>
    <s v="SE4A"/>
    <x v="10"/>
    <s v="GBPR_IND_BIO"/>
    <x v="0"/>
    <x v="19"/>
    <n v="588.40909090909099"/>
    <n v="214769.318181818"/>
    <n v="773169.54545454495"/>
  </r>
  <r>
    <x v="0"/>
    <x v="0"/>
    <x v="0"/>
    <x v="8"/>
    <x v="19"/>
    <s v="SE4A"/>
    <x v="10"/>
    <s v="GBPR_IND_BIO"/>
    <x v="0"/>
    <x v="20"/>
    <n v="588.40909090909099"/>
    <n v="214769.318181818"/>
    <n v="773169.54545454495"/>
  </r>
  <r>
    <x v="0"/>
    <x v="0"/>
    <x v="0"/>
    <x v="8"/>
    <x v="19"/>
    <s v="SE4A"/>
    <x v="10"/>
    <s v="GBPR_IND_BIO"/>
    <x v="0"/>
    <x v="21"/>
    <n v="588.40909090909099"/>
    <n v="214769.318181818"/>
    <n v="773169.54545454495"/>
  </r>
  <r>
    <x v="0"/>
    <x v="0"/>
    <x v="0"/>
    <x v="8"/>
    <x v="19"/>
    <s v="SE4A"/>
    <x v="10"/>
    <s v="GBPR_IND_BIO"/>
    <x v="0"/>
    <x v="22"/>
    <n v="588.40909090909099"/>
    <n v="214769.318181818"/>
    <n v="773169.54545454495"/>
  </r>
  <r>
    <x v="0"/>
    <x v="0"/>
    <x v="0"/>
    <x v="8"/>
    <x v="19"/>
    <s v="SE4A"/>
    <x v="10"/>
    <s v="GBPR_IND_BIO"/>
    <x v="0"/>
    <x v="23"/>
    <n v="588.40909090909099"/>
    <n v="214769.318181818"/>
    <n v="773169.54545454495"/>
  </r>
  <r>
    <x v="0"/>
    <x v="0"/>
    <x v="0"/>
    <x v="8"/>
    <x v="19"/>
    <s v="SE4_EL"/>
    <x v="2"/>
    <s v="GNR_HS_HEAT_WTR-TANK_LS_E-95_Y-2010"/>
    <x v="0"/>
    <x v="5"/>
    <n v="0.44190186542447402"/>
    <n v="161.29418087993301"/>
    <n v="580.659051167759"/>
  </r>
  <r>
    <x v="0"/>
    <x v="0"/>
    <x v="0"/>
    <x v="8"/>
    <x v="19"/>
    <s v="SE4_EL"/>
    <x v="2"/>
    <s v="GNR_HS_HEAT_WTR-TANK_LS_E-95_Y-2010"/>
    <x v="0"/>
    <x v="6"/>
    <n v="9.0791715467475296"/>
    <n v="3313.8976145628499"/>
    <n v="11930.0314124263"/>
  </r>
  <r>
    <x v="0"/>
    <x v="0"/>
    <x v="0"/>
    <x v="8"/>
    <x v="19"/>
    <s v="SE4_EL"/>
    <x v="2"/>
    <s v="GNR_HS_HEAT_WTR-TANK_LS_E-95_Y-2010"/>
    <x v="0"/>
    <x v="7"/>
    <n v="35.523519167485702"/>
    <n v="12966.0844961323"/>
    <n v="46677.904186076099"/>
  </r>
  <r>
    <x v="0"/>
    <x v="0"/>
    <x v="0"/>
    <x v="8"/>
    <x v="19"/>
    <s v="SE4_EL"/>
    <x v="2"/>
    <s v="GNR_HS_HEAT_WTR-TANK_LS_E-95_Y-2010"/>
    <x v="0"/>
    <x v="8"/>
    <n v="34.9423201001064"/>
    <n v="12753.9468365388"/>
    <n v="45914.208611539798"/>
  </r>
  <r>
    <x v="0"/>
    <x v="0"/>
    <x v="0"/>
    <x v="8"/>
    <x v="19"/>
    <s v="SE4_EL"/>
    <x v="2"/>
    <s v="GNR_HS_HEAT_WTR-TANK_LS_E-95_Y-2010"/>
    <x v="0"/>
    <x v="9"/>
    <n v="29.8410797692149"/>
    <n v="10891.9941157635"/>
    <n v="39211.178816748397"/>
  </r>
  <r>
    <x v="0"/>
    <x v="0"/>
    <x v="0"/>
    <x v="8"/>
    <x v="19"/>
    <s v="SE4_EL"/>
    <x v="2"/>
    <s v="GNR_HS_HEAT_WTR-TANK_LS_E-95_Y-2010"/>
    <x v="0"/>
    <x v="10"/>
    <n v="22.252908550676"/>
    <n v="8122.3116209967502"/>
    <n v="29240.3218355883"/>
  </r>
  <r>
    <x v="0"/>
    <x v="0"/>
    <x v="0"/>
    <x v="8"/>
    <x v="19"/>
    <s v="SE4_EL"/>
    <x v="2"/>
    <s v="GNR_HS_HEAT_WTR-TANK_LS_E-95_Y-2010"/>
    <x v="0"/>
    <x v="11"/>
    <n v="16.844062081524701"/>
    <n v="6148.0826597565001"/>
    <n v="22133.0975751234"/>
  </r>
  <r>
    <x v="0"/>
    <x v="0"/>
    <x v="0"/>
    <x v="8"/>
    <x v="19"/>
    <s v="SE4_EL"/>
    <x v="2"/>
    <s v="GNR_HS_HEAT_WTR-TANK_LS_E-95_Y-2010"/>
    <x v="0"/>
    <x v="12"/>
    <n v="12.1160637919634"/>
    <n v="4422.3632840666296"/>
    <n v="15920.5078226399"/>
  </r>
  <r>
    <x v="0"/>
    <x v="0"/>
    <x v="0"/>
    <x v="8"/>
    <x v="19"/>
    <s v="SE4_EL"/>
    <x v="2"/>
    <s v="GNR_HS_HEAT_WTR-TANK_LS_E-95_Y-2010"/>
    <x v="0"/>
    <x v="14"/>
    <n v="8.0223020678476402"/>
    <n v="2928.1402547643902"/>
    <n v="10541.3049171518"/>
  </r>
  <r>
    <x v="0"/>
    <x v="0"/>
    <x v="0"/>
    <x v="8"/>
    <x v="19"/>
    <s v="SE4_EL"/>
    <x v="2"/>
    <s v="GNR_HS_HEAT_WTR-TANK_LS_E-95_Y-2010"/>
    <x v="0"/>
    <x v="15"/>
    <n v="8.0263007529350894"/>
    <n v="2929.5997748213099"/>
    <n v="10546.5591893567"/>
  </r>
  <r>
    <x v="0"/>
    <x v="0"/>
    <x v="0"/>
    <x v="8"/>
    <x v="19"/>
    <s v="SE4_EL"/>
    <x v="2"/>
    <s v="GNR_HS_HEAT_WTR-TANK_LS_E-95_Y-2010"/>
    <x v="0"/>
    <x v="16"/>
    <n v="4.7499261280140601"/>
    <n v="1733.72303672513"/>
    <n v="6241.4029322104698"/>
  </r>
  <r>
    <x v="0"/>
    <x v="0"/>
    <x v="0"/>
    <x v="8"/>
    <x v="19"/>
    <s v="SE4_EL"/>
    <x v="15"/>
    <s v="GBPR_RECYCLEDWOOD"/>
    <x v="0"/>
    <x v="0"/>
    <n v="49.2739836602289"/>
    <n v="17985.0040359835"/>
    <n v="64746.014529540698"/>
  </r>
  <r>
    <x v="0"/>
    <x v="0"/>
    <x v="0"/>
    <x v="8"/>
    <x v="19"/>
    <s v="SE4_EL"/>
    <x v="15"/>
    <s v="GBPR_RECYCLEDWOOD"/>
    <x v="0"/>
    <x v="1"/>
    <n v="49.2739836602289"/>
    <n v="17985.0040359835"/>
    <n v="64746.014529540698"/>
  </r>
  <r>
    <x v="0"/>
    <x v="0"/>
    <x v="0"/>
    <x v="8"/>
    <x v="19"/>
    <s v="SE4_EL"/>
    <x v="15"/>
    <s v="GBPR_RECYCLEDWOOD"/>
    <x v="0"/>
    <x v="2"/>
    <n v="49.2739836602289"/>
    <n v="17985.0040359835"/>
    <n v="64746.014529540698"/>
  </r>
  <r>
    <x v="0"/>
    <x v="0"/>
    <x v="0"/>
    <x v="8"/>
    <x v="19"/>
    <s v="SE4_EL"/>
    <x v="15"/>
    <s v="GBPR_RECYCLEDWOOD"/>
    <x v="0"/>
    <x v="3"/>
    <n v="49.2739836602289"/>
    <n v="17985.0040359835"/>
    <n v="64746.014529540698"/>
  </r>
  <r>
    <x v="0"/>
    <x v="0"/>
    <x v="0"/>
    <x v="8"/>
    <x v="19"/>
    <s v="SE4_EL"/>
    <x v="15"/>
    <s v="GBPR_RECYCLEDWOOD"/>
    <x v="0"/>
    <x v="4"/>
    <n v="49.2739836602289"/>
    <n v="17985.0040359835"/>
    <n v="64746.014529540698"/>
  </r>
  <r>
    <x v="0"/>
    <x v="0"/>
    <x v="0"/>
    <x v="8"/>
    <x v="19"/>
    <s v="SE4_EL"/>
    <x v="15"/>
    <s v="GBPR_RECYCLEDWOOD"/>
    <x v="0"/>
    <x v="5"/>
    <n v="49.2739836602289"/>
    <n v="17985.0040359835"/>
    <n v="64746.014529540698"/>
  </r>
  <r>
    <x v="0"/>
    <x v="0"/>
    <x v="0"/>
    <x v="8"/>
    <x v="19"/>
    <s v="SE4_EL"/>
    <x v="15"/>
    <s v="GBPR_RECYCLEDWOOD"/>
    <x v="0"/>
    <x v="6"/>
    <n v="49.2739836602289"/>
    <n v="17985.0040359835"/>
    <n v="64746.014529540698"/>
  </r>
  <r>
    <x v="0"/>
    <x v="0"/>
    <x v="0"/>
    <x v="8"/>
    <x v="19"/>
    <s v="SE4_EL"/>
    <x v="15"/>
    <s v="GBPR_RECYCLEDWOOD"/>
    <x v="0"/>
    <x v="7"/>
    <n v="49.2739836602289"/>
    <n v="17985.0040359835"/>
    <n v="64746.014529540698"/>
  </r>
  <r>
    <x v="0"/>
    <x v="0"/>
    <x v="0"/>
    <x v="8"/>
    <x v="19"/>
    <s v="SE4_EL"/>
    <x v="15"/>
    <s v="GBPR_RECYCLEDWOOD"/>
    <x v="0"/>
    <x v="8"/>
    <n v="49.2739836602289"/>
    <n v="17985.0040359835"/>
    <n v="64746.014529540698"/>
  </r>
  <r>
    <x v="0"/>
    <x v="0"/>
    <x v="0"/>
    <x v="8"/>
    <x v="19"/>
    <s v="SE4_EL"/>
    <x v="15"/>
    <s v="GBPR_RECYCLEDWOOD"/>
    <x v="0"/>
    <x v="9"/>
    <n v="49.2739836602289"/>
    <n v="17985.0040359835"/>
    <n v="64746.014529540698"/>
  </r>
  <r>
    <x v="0"/>
    <x v="0"/>
    <x v="0"/>
    <x v="8"/>
    <x v="19"/>
    <s v="SE4_EL"/>
    <x v="15"/>
    <s v="GBPR_RECYCLEDWOOD"/>
    <x v="0"/>
    <x v="10"/>
    <n v="49.2739836602289"/>
    <n v="17985.0040359835"/>
    <n v="64746.014529540698"/>
  </r>
  <r>
    <x v="0"/>
    <x v="0"/>
    <x v="0"/>
    <x v="8"/>
    <x v="19"/>
    <s v="SE4_EL"/>
    <x v="15"/>
    <s v="GBPR_RECYCLEDWOOD"/>
    <x v="0"/>
    <x v="11"/>
    <n v="49.2739836602289"/>
    <n v="17985.0040359835"/>
    <n v="64746.014529540698"/>
  </r>
  <r>
    <x v="0"/>
    <x v="0"/>
    <x v="0"/>
    <x v="8"/>
    <x v="19"/>
    <s v="SE4_EL"/>
    <x v="15"/>
    <s v="GBPR_RECYCLEDWOOD"/>
    <x v="0"/>
    <x v="12"/>
    <n v="49.2739836602289"/>
    <n v="17985.0040359835"/>
    <n v="64746.014529540698"/>
  </r>
  <r>
    <x v="0"/>
    <x v="0"/>
    <x v="0"/>
    <x v="8"/>
    <x v="19"/>
    <s v="SE4_EL"/>
    <x v="15"/>
    <s v="GBPR_RECYCLEDWOOD"/>
    <x v="0"/>
    <x v="13"/>
    <n v="49.2739836602289"/>
    <n v="17985.0040359835"/>
    <n v="64746.014529540698"/>
  </r>
  <r>
    <x v="0"/>
    <x v="0"/>
    <x v="0"/>
    <x v="8"/>
    <x v="19"/>
    <s v="SE4_EL"/>
    <x v="15"/>
    <s v="GBPR_RECYCLEDWOOD"/>
    <x v="0"/>
    <x v="14"/>
    <n v="49.2739836602289"/>
    <n v="17985.0040359835"/>
    <n v="64746.014529540698"/>
  </r>
  <r>
    <x v="0"/>
    <x v="0"/>
    <x v="0"/>
    <x v="8"/>
    <x v="19"/>
    <s v="SE4_EL"/>
    <x v="15"/>
    <s v="GBPR_RECYCLEDWOOD"/>
    <x v="0"/>
    <x v="15"/>
    <n v="49.2739836602289"/>
    <n v="17985.0040359835"/>
    <n v="64746.014529540698"/>
  </r>
  <r>
    <x v="0"/>
    <x v="0"/>
    <x v="0"/>
    <x v="8"/>
    <x v="19"/>
    <s v="SE4_EL"/>
    <x v="15"/>
    <s v="GBPR_RECYCLEDWOOD"/>
    <x v="0"/>
    <x v="16"/>
    <n v="49.2739836602289"/>
    <n v="17985.0040359835"/>
    <n v="64746.014529540698"/>
  </r>
  <r>
    <x v="0"/>
    <x v="0"/>
    <x v="0"/>
    <x v="8"/>
    <x v="19"/>
    <s v="SE4_EL"/>
    <x v="15"/>
    <s v="GBPR_RECYCLEDWOOD"/>
    <x v="0"/>
    <x v="17"/>
    <n v="49.2739836602289"/>
    <n v="17985.0040359835"/>
    <n v="64746.014529540698"/>
  </r>
  <r>
    <x v="0"/>
    <x v="0"/>
    <x v="0"/>
    <x v="8"/>
    <x v="19"/>
    <s v="SE4_EL"/>
    <x v="15"/>
    <s v="GBPR_RECYCLEDWOOD"/>
    <x v="0"/>
    <x v="18"/>
    <n v="49.2739836602289"/>
    <n v="17985.0040359835"/>
    <n v="64746.014529540698"/>
  </r>
  <r>
    <x v="0"/>
    <x v="0"/>
    <x v="0"/>
    <x v="8"/>
    <x v="19"/>
    <s v="SE4_EL"/>
    <x v="15"/>
    <s v="GBPR_RECYCLEDWOOD"/>
    <x v="0"/>
    <x v="19"/>
    <n v="49.2739836602289"/>
    <n v="17985.0040359835"/>
    <n v="64746.014529540698"/>
  </r>
  <r>
    <x v="0"/>
    <x v="0"/>
    <x v="0"/>
    <x v="8"/>
    <x v="19"/>
    <s v="SE4_EL"/>
    <x v="15"/>
    <s v="GBPR_RECYCLEDWOOD"/>
    <x v="0"/>
    <x v="20"/>
    <n v="49.2739836602289"/>
    <n v="17985.0040359835"/>
    <n v="64746.014529540698"/>
  </r>
  <r>
    <x v="0"/>
    <x v="0"/>
    <x v="0"/>
    <x v="8"/>
    <x v="19"/>
    <s v="SE4_EL"/>
    <x v="15"/>
    <s v="GBPR_RECYCLEDWOOD"/>
    <x v="0"/>
    <x v="21"/>
    <n v="49.2739836602289"/>
    <n v="17985.0040359835"/>
    <n v="64746.014529540698"/>
  </r>
  <r>
    <x v="0"/>
    <x v="0"/>
    <x v="0"/>
    <x v="8"/>
    <x v="19"/>
    <s v="SE4_EL"/>
    <x v="15"/>
    <s v="GBPR_RECYCLEDWOOD"/>
    <x v="0"/>
    <x v="22"/>
    <n v="49.2739836602289"/>
    <n v="17985.0040359835"/>
    <n v="64746.014529540698"/>
  </r>
  <r>
    <x v="0"/>
    <x v="0"/>
    <x v="0"/>
    <x v="8"/>
    <x v="19"/>
    <s v="SE4_EL"/>
    <x v="15"/>
    <s v="GBPR_RECYCLEDWOOD"/>
    <x v="0"/>
    <x v="23"/>
    <n v="49.2739836602289"/>
    <n v="17985.0040359835"/>
    <n v="64746.014529540698"/>
  </r>
  <r>
    <x v="0"/>
    <x v="0"/>
    <x v="0"/>
    <x v="8"/>
    <x v="19"/>
    <s v="SE4_EL"/>
    <x v="15"/>
    <s v="GBPR_RECYCLEDWOOD_SE4EL"/>
    <x v="0"/>
    <x v="0"/>
    <n v="7.4955144427247999"/>
    <n v="2735.8627715945499"/>
    <n v="9849.1059777403898"/>
  </r>
  <r>
    <x v="0"/>
    <x v="0"/>
    <x v="0"/>
    <x v="8"/>
    <x v="19"/>
    <s v="SE4_EL"/>
    <x v="15"/>
    <s v="GBPR_RECYCLEDWOOD_SE4EL"/>
    <x v="0"/>
    <x v="1"/>
    <n v="7.4955144427247999"/>
    <n v="2735.8627715945499"/>
    <n v="9849.1059777403898"/>
  </r>
  <r>
    <x v="0"/>
    <x v="0"/>
    <x v="0"/>
    <x v="8"/>
    <x v="19"/>
    <s v="SE4_EL"/>
    <x v="15"/>
    <s v="GBPR_RECYCLEDWOOD_SE4EL"/>
    <x v="0"/>
    <x v="2"/>
    <n v="7.4955144427247999"/>
    <n v="2735.8627715945499"/>
    <n v="9849.1059777403898"/>
  </r>
  <r>
    <x v="0"/>
    <x v="0"/>
    <x v="0"/>
    <x v="8"/>
    <x v="19"/>
    <s v="SE4_EL"/>
    <x v="15"/>
    <s v="GBPR_RECYCLEDWOOD_SE4EL"/>
    <x v="0"/>
    <x v="3"/>
    <n v="7.4955144427247999"/>
    <n v="2735.8627715945499"/>
    <n v="9849.1059777403898"/>
  </r>
  <r>
    <x v="0"/>
    <x v="0"/>
    <x v="0"/>
    <x v="8"/>
    <x v="19"/>
    <s v="SE4_EL"/>
    <x v="15"/>
    <s v="GBPR_RECYCLEDWOOD_SE4EL"/>
    <x v="0"/>
    <x v="4"/>
    <n v="7.4955144427247999"/>
    <n v="2735.8627715945499"/>
    <n v="9849.1059777403898"/>
  </r>
  <r>
    <x v="0"/>
    <x v="0"/>
    <x v="0"/>
    <x v="8"/>
    <x v="19"/>
    <s v="SE4_EL"/>
    <x v="15"/>
    <s v="GBPR_RECYCLEDWOOD_SE4EL"/>
    <x v="0"/>
    <x v="5"/>
    <n v="7.4955144427247999"/>
    <n v="2735.8627715945499"/>
    <n v="9849.1059777403898"/>
  </r>
  <r>
    <x v="0"/>
    <x v="0"/>
    <x v="0"/>
    <x v="8"/>
    <x v="19"/>
    <s v="SE4_EL"/>
    <x v="15"/>
    <s v="GBPR_RECYCLEDWOOD_SE4EL"/>
    <x v="0"/>
    <x v="6"/>
    <n v="7.4955144427247999"/>
    <n v="2735.8627715945499"/>
    <n v="9849.1059777403898"/>
  </r>
  <r>
    <x v="0"/>
    <x v="0"/>
    <x v="0"/>
    <x v="8"/>
    <x v="19"/>
    <s v="SE4_EL"/>
    <x v="15"/>
    <s v="GBPR_RECYCLEDWOOD_SE4EL"/>
    <x v="0"/>
    <x v="7"/>
    <n v="7.4955144427247999"/>
    <n v="2735.8627715945499"/>
    <n v="9849.1059777403898"/>
  </r>
  <r>
    <x v="0"/>
    <x v="0"/>
    <x v="0"/>
    <x v="8"/>
    <x v="19"/>
    <s v="SE4_EL"/>
    <x v="15"/>
    <s v="GBPR_RECYCLEDWOOD_SE4EL"/>
    <x v="0"/>
    <x v="8"/>
    <n v="7.4955144427247999"/>
    <n v="2735.8627715945499"/>
    <n v="9849.1059777403898"/>
  </r>
  <r>
    <x v="0"/>
    <x v="0"/>
    <x v="0"/>
    <x v="8"/>
    <x v="19"/>
    <s v="SE4_EL"/>
    <x v="15"/>
    <s v="GBPR_RECYCLEDWOOD_SE4EL"/>
    <x v="0"/>
    <x v="9"/>
    <n v="7.4955144427247999"/>
    <n v="2735.8627715945499"/>
    <n v="9849.1059777403898"/>
  </r>
  <r>
    <x v="0"/>
    <x v="0"/>
    <x v="0"/>
    <x v="8"/>
    <x v="19"/>
    <s v="SE4_EL"/>
    <x v="15"/>
    <s v="GBPR_RECYCLEDWOOD_SE4EL"/>
    <x v="0"/>
    <x v="10"/>
    <n v="7.4955144427247999"/>
    <n v="2735.8627715945499"/>
    <n v="9849.1059777403898"/>
  </r>
  <r>
    <x v="0"/>
    <x v="0"/>
    <x v="0"/>
    <x v="8"/>
    <x v="19"/>
    <s v="SE4_EL"/>
    <x v="15"/>
    <s v="GBPR_RECYCLEDWOOD_SE4EL"/>
    <x v="0"/>
    <x v="11"/>
    <n v="7.4955144427247999"/>
    <n v="2735.8627715945499"/>
    <n v="9849.1059777403898"/>
  </r>
  <r>
    <x v="0"/>
    <x v="0"/>
    <x v="0"/>
    <x v="8"/>
    <x v="19"/>
    <s v="SE4_EL"/>
    <x v="15"/>
    <s v="GBPR_RECYCLEDWOOD_SE4EL"/>
    <x v="0"/>
    <x v="12"/>
    <n v="7.4955144427247999"/>
    <n v="2735.8627715945499"/>
    <n v="9849.1059777403898"/>
  </r>
  <r>
    <x v="0"/>
    <x v="0"/>
    <x v="0"/>
    <x v="8"/>
    <x v="19"/>
    <s v="SE4_EL"/>
    <x v="15"/>
    <s v="GBPR_RECYCLEDWOOD_SE4EL"/>
    <x v="0"/>
    <x v="13"/>
    <n v="7.4955144427247999"/>
    <n v="2735.8627715945499"/>
    <n v="9849.1059777403898"/>
  </r>
  <r>
    <x v="0"/>
    <x v="0"/>
    <x v="0"/>
    <x v="8"/>
    <x v="19"/>
    <s v="SE4_EL"/>
    <x v="15"/>
    <s v="GBPR_RECYCLEDWOOD_SE4EL"/>
    <x v="0"/>
    <x v="14"/>
    <n v="7.4955144427247999"/>
    <n v="2735.8627715945499"/>
    <n v="9849.1059777403898"/>
  </r>
  <r>
    <x v="0"/>
    <x v="0"/>
    <x v="0"/>
    <x v="8"/>
    <x v="19"/>
    <s v="SE4_EL"/>
    <x v="15"/>
    <s v="GBPR_RECYCLEDWOOD_SE4EL"/>
    <x v="0"/>
    <x v="15"/>
    <n v="7.4955144427247999"/>
    <n v="2735.8627715945499"/>
    <n v="9849.1059777403898"/>
  </r>
  <r>
    <x v="0"/>
    <x v="0"/>
    <x v="0"/>
    <x v="8"/>
    <x v="19"/>
    <s v="SE4_EL"/>
    <x v="15"/>
    <s v="GBPR_RECYCLEDWOOD_SE4EL"/>
    <x v="0"/>
    <x v="16"/>
    <n v="7.4955144427247999"/>
    <n v="2735.8627715945499"/>
    <n v="9849.1059777403898"/>
  </r>
  <r>
    <x v="0"/>
    <x v="0"/>
    <x v="0"/>
    <x v="8"/>
    <x v="19"/>
    <s v="SE4_EL"/>
    <x v="15"/>
    <s v="GBPR_RECYCLEDWOOD_SE4EL"/>
    <x v="0"/>
    <x v="17"/>
    <n v="7.4955144427247999"/>
    <n v="2735.8627715945499"/>
    <n v="9849.1059777403898"/>
  </r>
  <r>
    <x v="0"/>
    <x v="0"/>
    <x v="0"/>
    <x v="8"/>
    <x v="19"/>
    <s v="SE4_EL"/>
    <x v="15"/>
    <s v="GBPR_RECYCLEDWOOD_SE4EL"/>
    <x v="0"/>
    <x v="18"/>
    <n v="7.4955144427247999"/>
    <n v="2735.8627715945499"/>
    <n v="9849.1059777403898"/>
  </r>
  <r>
    <x v="0"/>
    <x v="0"/>
    <x v="0"/>
    <x v="8"/>
    <x v="19"/>
    <s v="SE4_EL"/>
    <x v="15"/>
    <s v="GBPR_RECYCLEDWOOD_SE4EL"/>
    <x v="0"/>
    <x v="19"/>
    <n v="7.4955144427247999"/>
    <n v="2735.8627715945499"/>
    <n v="9849.1059777403898"/>
  </r>
  <r>
    <x v="0"/>
    <x v="0"/>
    <x v="0"/>
    <x v="8"/>
    <x v="19"/>
    <s v="SE4_EL"/>
    <x v="15"/>
    <s v="GBPR_RECYCLEDWOOD_SE4EL"/>
    <x v="0"/>
    <x v="20"/>
    <n v="7.4955144427247999"/>
    <n v="2735.8627715945499"/>
    <n v="9849.1059777403898"/>
  </r>
  <r>
    <x v="0"/>
    <x v="0"/>
    <x v="0"/>
    <x v="8"/>
    <x v="19"/>
    <s v="SE4_EL"/>
    <x v="15"/>
    <s v="GBPR_RECYCLEDWOOD_SE4EL"/>
    <x v="0"/>
    <x v="21"/>
    <n v="7.4955144427247999"/>
    <n v="2735.8627715945499"/>
    <n v="9849.1059777403898"/>
  </r>
  <r>
    <x v="0"/>
    <x v="0"/>
    <x v="0"/>
    <x v="8"/>
    <x v="19"/>
    <s v="SE4_EL"/>
    <x v="15"/>
    <s v="GBPR_RECYCLEDWOOD_SE4EL"/>
    <x v="0"/>
    <x v="22"/>
    <n v="7.4955144427247999"/>
    <n v="2735.8627715945499"/>
    <n v="9849.1059777403898"/>
  </r>
  <r>
    <x v="0"/>
    <x v="0"/>
    <x v="0"/>
    <x v="8"/>
    <x v="19"/>
    <s v="SE4_EL"/>
    <x v="15"/>
    <s v="GBPR_RECYCLEDWOOD_SE4EL"/>
    <x v="0"/>
    <x v="23"/>
    <n v="7.4955144427247999"/>
    <n v="2735.8627715945499"/>
    <n v="9849.1059777403898"/>
  </r>
  <r>
    <x v="0"/>
    <x v="0"/>
    <x v="0"/>
    <x v="8"/>
    <x v="19"/>
    <s v="SE4_EL"/>
    <x v="15"/>
    <s v="GHOB_RECYCLEDWOOD"/>
    <x v="0"/>
    <x v="0"/>
    <n v="3.9549141856392298"/>
    <n v="1443.54367775832"/>
    <n v="5196.7572399299497"/>
  </r>
  <r>
    <x v="0"/>
    <x v="0"/>
    <x v="0"/>
    <x v="8"/>
    <x v="19"/>
    <s v="SE4_EL"/>
    <x v="15"/>
    <s v="GHOB_RECYCLEDWOOD"/>
    <x v="0"/>
    <x v="1"/>
    <n v="3.9549141856392298"/>
    <n v="1443.54367775832"/>
    <n v="5196.7572399299497"/>
  </r>
  <r>
    <x v="0"/>
    <x v="0"/>
    <x v="0"/>
    <x v="8"/>
    <x v="19"/>
    <s v="SE4_EL"/>
    <x v="15"/>
    <s v="GHOB_RECYCLEDWOOD"/>
    <x v="0"/>
    <x v="2"/>
    <n v="3.9549141856392298"/>
    <n v="1443.54367775832"/>
    <n v="5196.7572399299497"/>
  </r>
  <r>
    <x v="0"/>
    <x v="0"/>
    <x v="0"/>
    <x v="8"/>
    <x v="19"/>
    <s v="SE4_EL"/>
    <x v="15"/>
    <s v="GHOB_RECYCLEDWOOD"/>
    <x v="0"/>
    <x v="3"/>
    <n v="3.9549141856392298"/>
    <n v="1443.54367775832"/>
    <n v="5196.7572399299497"/>
  </r>
  <r>
    <x v="0"/>
    <x v="0"/>
    <x v="0"/>
    <x v="8"/>
    <x v="19"/>
    <s v="SE4_EL"/>
    <x v="15"/>
    <s v="GHOB_RECYCLEDWOOD"/>
    <x v="0"/>
    <x v="4"/>
    <n v="3.9549141856392298"/>
    <n v="1443.54367775832"/>
    <n v="5196.7572399299497"/>
  </r>
  <r>
    <x v="0"/>
    <x v="0"/>
    <x v="0"/>
    <x v="8"/>
    <x v="19"/>
    <s v="SE4_EL"/>
    <x v="15"/>
    <s v="GHOB_RECYCLEDWOOD"/>
    <x v="0"/>
    <x v="5"/>
    <n v="3.9549141856392298"/>
    <n v="1443.54367775832"/>
    <n v="5196.7572399299497"/>
  </r>
  <r>
    <x v="0"/>
    <x v="0"/>
    <x v="0"/>
    <x v="8"/>
    <x v="19"/>
    <s v="SE4_EL"/>
    <x v="15"/>
    <s v="GHOB_RECYCLEDWOOD"/>
    <x v="0"/>
    <x v="6"/>
    <n v="3.9549141856392298"/>
    <n v="1443.54367775832"/>
    <n v="5196.7572399299497"/>
  </r>
  <r>
    <x v="0"/>
    <x v="0"/>
    <x v="0"/>
    <x v="8"/>
    <x v="19"/>
    <s v="SE4_EL"/>
    <x v="15"/>
    <s v="GHOB_RECYCLEDWOOD"/>
    <x v="0"/>
    <x v="7"/>
    <n v="3.9549141856392298"/>
    <n v="1443.54367775832"/>
    <n v="5196.7572399299497"/>
  </r>
  <r>
    <x v="0"/>
    <x v="0"/>
    <x v="0"/>
    <x v="8"/>
    <x v="19"/>
    <s v="SE4_EL"/>
    <x v="15"/>
    <s v="GHOB_RECYCLEDWOOD"/>
    <x v="0"/>
    <x v="8"/>
    <n v="3.9549141856392298"/>
    <n v="1443.54367775832"/>
    <n v="5196.7572399299497"/>
  </r>
  <r>
    <x v="0"/>
    <x v="0"/>
    <x v="0"/>
    <x v="8"/>
    <x v="19"/>
    <s v="SE4_EL"/>
    <x v="15"/>
    <s v="GHOB_RECYCLEDWOOD"/>
    <x v="0"/>
    <x v="9"/>
    <n v="3.9549141856392298"/>
    <n v="1443.54367775832"/>
    <n v="5196.7572399299497"/>
  </r>
  <r>
    <x v="0"/>
    <x v="0"/>
    <x v="0"/>
    <x v="8"/>
    <x v="19"/>
    <s v="SE4_EL"/>
    <x v="15"/>
    <s v="GHOB_RECYCLEDWOOD"/>
    <x v="0"/>
    <x v="10"/>
    <n v="3.9549141856392298"/>
    <n v="1443.54367775832"/>
    <n v="5196.7572399299497"/>
  </r>
  <r>
    <x v="0"/>
    <x v="0"/>
    <x v="0"/>
    <x v="8"/>
    <x v="19"/>
    <s v="SE4_EL"/>
    <x v="15"/>
    <s v="GHOB_RECYCLEDWOOD"/>
    <x v="0"/>
    <x v="11"/>
    <n v="3.9549141856392298"/>
    <n v="1443.54367775832"/>
    <n v="5196.7572399299497"/>
  </r>
  <r>
    <x v="0"/>
    <x v="0"/>
    <x v="0"/>
    <x v="8"/>
    <x v="19"/>
    <s v="SE4_EL"/>
    <x v="15"/>
    <s v="GHOB_RECYCLEDWOOD"/>
    <x v="0"/>
    <x v="12"/>
    <n v="3.9549141856392298"/>
    <n v="1443.54367775832"/>
    <n v="5196.7572399299497"/>
  </r>
  <r>
    <x v="0"/>
    <x v="0"/>
    <x v="0"/>
    <x v="8"/>
    <x v="19"/>
    <s v="SE4_EL"/>
    <x v="15"/>
    <s v="GHOB_RECYCLEDWOOD"/>
    <x v="0"/>
    <x v="13"/>
    <n v="3.9549141856392298"/>
    <n v="1443.54367775832"/>
    <n v="5196.7572399299497"/>
  </r>
  <r>
    <x v="0"/>
    <x v="0"/>
    <x v="0"/>
    <x v="8"/>
    <x v="19"/>
    <s v="SE4_EL"/>
    <x v="15"/>
    <s v="GHOB_RECYCLEDWOOD"/>
    <x v="0"/>
    <x v="14"/>
    <n v="3.9549141856392298"/>
    <n v="1443.54367775832"/>
    <n v="5196.7572399299497"/>
  </r>
  <r>
    <x v="0"/>
    <x v="0"/>
    <x v="0"/>
    <x v="8"/>
    <x v="19"/>
    <s v="SE4_EL"/>
    <x v="15"/>
    <s v="GHOB_RECYCLEDWOOD"/>
    <x v="0"/>
    <x v="15"/>
    <n v="3.9549141856392298"/>
    <n v="1443.54367775832"/>
    <n v="5196.7572399299497"/>
  </r>
  <r>
    <x v="0"/>
    <x v="0"/>
    <x v="0"/>
    <x v="8"/>
    <x v="19"/>
    <s v="SE4_EL"/>
    <x v="15"/>
    <s v="GHOB_RECYCLEDWOOD"/>
    <x v="0"/>
    <x v="16"/>
    <n v="3.9549141856392298"/>
    <n v="1443.54367775832"/>
    <n v="5196.7572399299497"/>
  </r>
  <r>
    <x v="0"/>
    <x v="0"/>
    <x v="0"/>
    <x v="8"/>
    <x v="19"/>
    <s v="SE4_EL"/>
    <x v="15"/>
    <s v="GHOB_RECYCLEDWOOD"/>
    <x v="0"/>
    <x v="17"/>
    <n v="3.9549141856392298"/>
    <n v="1443.54367775832"/>
    <n v="5196.7572399299497"/>
  </r>
  <r>
    <x v="0"/>
    <x v="0"/>
    <x v="0"/>
    <x v="8"/>
    <x v="19"/>
    <s v="SE4_EL"/>
    <x v="15"/>
    <s v="GHOB_RECYCLEDWOOD"/>
    <x v="0"/>
    <x v="18"/>
    <n v="3.9549141856392298"/>
    <n v="1443.54367775832"/>
    <n v="5196.7572399299497"/>
  </r>
  <r>
    <x v="0"/>
    <x v="0"/>
    <x v="0"/>
    <x v="8"/>
    <x v="19"/>
    <s v="SE4_EL"/>
    <x v="15"/>
    <s v="GHOB_RECYCLEDWOOD"/>
    <x v="0"/>
    <x v="19"/>
    <n v="3.9549141856392298"/>
    <n v="1443.54367775832"/>
    <n v="5196.7572399299497"/>
  </r>
  <r>
    <x v="0"/>
    <x v="0"/>
    <x v="0"/>
    <x v="8"/>
    <x v="19"/>
    <s v="SE4_EL"/>
    <x v="15"/>
    <s v="GHOB_RECYCLEDWOOD"/>
    <x v="0"/>
    <x v="20"/>
    <n v="3.9549141856392298"/>
    <n v="1443.54367775832"/>
    <n v="5196.7572399299497"/>
  </r>
  <r>
    <x v="0"/>
    <x v="0"/>
    <x v="0"/>
    <x v="8"/>
    <x v="19"/>
    <s v="SE4_EL"/>
    <x v="15"/>
    <s v="GHOB_RECYCLEDWOOD"/>
    <x v="0"/>
    <x v="21"/>
    <n v="3.9549141856392298"/>
    <n v="1443.54367775832"/>
    <n v="5196.7572399299497"/>
  </r>
  <r>
    <x v="0"/>
    <x v="0"/>
    <x v="0"/>
    <x v="8"/>
    <x v="19"/>
    <s v="SE4_EL"/>
    <x v="15"/>
    <s v="GHOB_RECYCLEDWOOD"/>
    <x v="0"/>
    <x v="22"/>
    <n v="3.9549141856392298"/>
    <n v="1443.54367775832"/>
    <n v="5196.7572399299497"/>
  </r>
  <r>
    <x v="0"/>
    <x v="0"/>
    <x v="0"/>
    <x v="8"/>
    <x v="19"/>
    <s v="SE4_EL"/>
    <x v="15"/>
    <s v="GHOB_RECYCLEDWOOD"/>
    <x v="0"/>
    <x v="23"/>
    <n v="3.9549141856392298"/>
    <n v="1443.54367775832"/>
    <n v="5196.7572399299497"/>
  </r>
  <r>
    <x v="0"/>
    <x v="0"/>
    <x v="0"/>
    <x v="8"/>
    <x v="19"/>
    <s v="SE4_EL"/>
    <x v="5"/>
    <s v="GHOB_STRAW"/>
    <x v="0"/>
    <x v="0"/>
    <n v="2.5"/>
    <n v="912.5"/>
    <n v="3285"/>
  </r>
  <r>
    <x v="0"/>
    <x v="0"/>
    <x v="0"/>
    <x v="8"/>
    <x v="19"/>
    <s v="SE4_EL"/>
    <x v="5"/>
    <s v="GHOB_STRAW"/>
    <x v="0"/>
    <x v="1"/>
    <n v="2.5"/>
    <n v="912.5"/>
    <n v="3285"/>
  </r>
  <r>
    <x v="0"/>
    <x v="0"/>
    <x v="0"/>
    <x v="8"/>
    <x v="19"/>
    <s v="SE4_EL"/>
    <x v="5"/>
    <s v="GHOB_STRAW"/>
    <x v="0"/>
    <x v="2"/>
    <n v="2.5"/>
    <n v="912.5"/>
    <n v="3285"/>
  </r>
  <r>
    <x v="0"/>
    <x v="0"/>
    <x v="0"/>
    <x v="8"/>
    <x v="19"/>
    <s v="SE4_EL"/>
    <x v="5"/>
    <s v="GHOB_STRAW"/>
    <x v="0"/>
    <x v="3"/>
    <n v="2.5"/>
    <n v="912.5"/>
    <n v="3285"/>
  </r>
  <r>
    <x v="0"/>
    <x v="0"/>
    <x v="0"/>
    <x v="8"/>
    <x v="19"/>
    <s v="SE4_EL"/>
    <x v="5"/>
    <s v="GHOB_STRAW"/>
    <x v="0"/>
    <x v="4"/>
    <n v="2.5"/>
    <n v="912.5"/>
    <n v="3285"/>
  </r>
  <r>
    <x v="0"/>
    <x v="0"/>
    <x v="0"/>
    <x v="8"/>
    <x v="19"/>
    <s v="SE4_EL"/>
    <x v="5"/>
    <s v="GHOB_STRAW"/>
    <x v="0"/>
    <x v="5"/>
    <n v="2.5"/>
    <n v="912.5"/>
    <n v="3285"/>
  </r>
  <r>
    <x v="0"/>
    <x v="0"/>
    <x v="0"/>
    <x v="8"/>
    <x v="19"/>
    <s v="SE4_EL"/>
    <x v="5"/>
    <s v="GHOB_STRAW"/>
    <x v="0"/>
    <x v="6"/>
    <n v="2.5"/>
    <n v="912.5"/>
    <n v="3285"/>
  </r>
  <r>
    <x v="0"/>
    <x v="0"/>
    <x v="0"/>
    <x v="8"/>
    <x v="19"/>
    <s v="SE4_EL"/>
    <x v="5"/>
    <s v="GHOB_STRAW"/>
    <x v="0"/>
    <x v="7"/>
    <n v="2.5"/>
    <n v="912.5"/>
    <n v="3285"/>
  </r>
  <r>
    <x v="0"/>
    <x v="0"/>
    <x v="0"/>
    <x v="8"/>
    <x v="19"/>
    <s v="SE4_EL"/>
    <x v="5"/>
    <s v="GHOB_STRAW"/>
    <x v="0"/>
    <x v="8"/>
    <n v="2.5"/>
    <n v="912.5"/>
    <n v="3285"/>
  </r>
  <r>
    <x v="0"/>
    <x v="0"/>
    <x v="0"/>
    <x v="8"/>
    <x v="19"/>
    <s v="SE4_EL"/>
    <x v="5"/>
    <s v="GHOB_STRAW"/>
    <x v="0"/>
    <x v="9"/>
    <n v="2.5"/>
    <n v="912.5"/>
    <n v="3285"/>
  </r>
  <r>
    <x v="0"/>
    <x v="0"/>
    <x v="0"/>
    <x v="8"/>
    <x v="19"/>
    <s v="SE4_EL"/>
    <x v="5"/>
    <s v="GHOB_STRAW"/>
    <x v="0"/>
    <x v="10"/>
    <n v="2.5"/>
    <n v="912.5"/>
    <n v="3285"/>
  </r>
  <r>
    <x v="0"/>
    <x v="0"/>
    <x v="0"/>
    <x v="8"/>
    <x v="19"/>
    <s v="SE4_EL"/>
    <x v="5"/>
    <s v="GHOB_STRAW"/>
    <x v="0"/>
    <x v="11"/>
    <n v="2.5"/>
    <n v="912.5"/>
    <n v="3285"/>
  </r>
  <r>
    <x v="0"/>
    <x v="0"/>
    <x v="0"/>
    <x v="8"/>
    <x v="19"/>
    <s v="SE4_EL"/>
    <x v="5"/>
    <s v="GHOB_STRAW"/>
    <x v="0"/>
    <x v="12"/>
    <n v="2.5"/>
    <n v="912.5"/>
    <n v="3285"/>
  </r>
  <r>
    <x v="0"/>
    <x v="0"/>
    <x v="0"/>
    <x v="8"/>
    <x v="19"/>
    <s v="SE4_EL"/>
    <x v="5"/>
    <s v="GHOB_STRAW"/>
    <x v="0"/>
    <x v="13"/>
    <n v="2.5"/>
    <n v="912.5"/>
    <n v="3285"/>
  </r>
  <r>
    <x v="0"/>
    <x v="0"/>
    <x v="0"/>
    <x v="8"/>
    <x v="19"/>
    <s v="SE4_EL"/>
    <x v="5"/>
    <s v="GHOB_STRAW"/>
    <x v="0"/>
    <x v="14"/>
    <n v="2.5"/>
    <n v="912.5"/>
    <n v="3285"/>
  </r>
  <r>
    <x v="0"/>
    <x v="0"/>
    <x v="0"/>
    <x v="8"/>
    <x v="19"/>
    <s v="SE4_EL"/>
    <x v="5"/>
    <s v="GHOB_STRAW"/>
    <x v="0"/>
    <x v="15"/>
    <n v="2.5"/>
    <n v="912.5"/>
    <n v="3285"/>
  </r>
  <r>
    <x v="0"/>
    <x v="0"/>
    <x v="0"/>
    <x v="8"/>
    <x v="19"/>
    <s v="SE4_EL"/>
    <x v="5"/>
    <s v="GHOB_STRAW"/>
    <x v="0"/>
    <x v="16"/>
    <n v="2.5"/>
    <n v="912.5"/>
    <n v="3285"/>
  </r>
  <r>
    <x v="0"/>
    <x v="0"/>
    <x v="0"/>
    <x v="8"/>
    <x v="19"/>
    <s v="SE4_EL"/>
    <x v="5"/>
    <s v="GHOB_STRAW"/>
    <x v="0"/>
    <x v="17"/>
    <n v="2.5"/>
    <n v="912.5"/>
    <n v="3285"/>
  </r>
  <r>
    <x v="0"/>
    <x v="0"/>
    <x v="0"/>
    <x v="8"/>
    <x v="19"/>
    <s v="SE4_EL"/>
    <x v="5"/>
    <s v="GHOB_STRAW"/>
    <x v="0"/>
    <x v="18"/>
    <n v="2.5"/>
    <n v="912.5"/>
    <n v="3285"/>
  </r>
  <r>
    <x v="0"/>
    <x v="0"/>
    <x v="0"/>
    <x v="8"/>
    <x v="19"/>
    <s v="SE4_EL"/>
    <x v="5"/>
    <s v="GHOB_STRAW"/>
    <x v="0"/>
    <x v="19"/>
    <n v="2.5"/>
    <n v="912.5"/>
    <n v="3285"/>
  </r>
  <r>
    <x v="0"/>
    <x v="0"/>
    <x v="0"/>
    <x v="8"/>
    <x v="19"/>
    <s v="SE4_EL"/>
    <x v="5"/>
    <s v="GHOB_STRAW"/>
    <x v="0"/>
    <x v="20"/>
    <n v="2.5"/>
    <n v="912.5"/>
    <n v="3285"/>
  </r>
  <r>
    <x v="0"/>
    <x v="0"/>
    <x v="0"/>
    <x v="8"/>
    <x v="19"/>
    <s v="SE4_EL"/>
    <x v="5"/>
    <s v="GHOB_STRAW"/>
    <x v="0"/>
    <x v="21"/>
    <n v="2.5"/>
    <n v="912.5"/>
    <n v="3285"/>
  </r>
  <r>
    <x v="0"/>
    <x v="0"/>
    <x v="0"/>
    <x v="8"/>
    <x v="19"/>
    <s v="SE4_EL"/>
    <x v="5"/>
    <s v="GHOB_STRAW"/>
    <x v="0"/>
    <x v="22"/>
    <n v="2.5"/>
    <n v="912.5"/>
    <n v="3285"/>
  </r>
  <r>
    <x v="0"/>
    <x v="0"/>
    <x v="0"/>
    <x v="8"/>
    <x v="19"/>
    <s v="SE4_EL"/>
    <x v="5"/>
    <s v="GHOB_STRAW"/>
    <x v="0"/>
    <x v="23"/>
    <n v="2.5"/>
    <n v="912.5"/>
    <n v="3285"/>
  </r>
  <r>
    <x v="0"/>
    <x v="0"/>
    <x v="0"/>
    <x v="8"/>
    <x v="19"/>
    <s v="SE4_EL"/>
    <x v="6"/>
    <s v="GHOB_WASTEHEAT"/>
    <x v="0"/>
    <x v="0"/>
    <n v="10.4166666666666"/>
    <n v="3802.0833333333198"/>
    <n v="13687.4999999999"/>
  </r>
  <r>
    <x v="0"/>
    <x v="0"/>
    <x v="0"/>
    <x v="8"/>
    <x v="19"/>
    <s v="SE4_EL"/>
    <x v="6"/>
    <s v="GHOB_WASTEHEAT"/>
    <x v="0"/>
    <x v="1"/>
    <n v="10.4166666666666"/>
    <n v="3802.0833333333198"/>
    <n v="13687.4999999999"/>
  </r>
  <r>
    <x v="0"/>
    <x v="0"/>
    <x v="0"/>
    <x v="8"/>
    <x v="19"/>
    <s v="SE4_EL"/>
    <x v="6"/>
    <s v="GHOB_WASTEHEAT"/>
    <x v="0"/>
    <x v="2"/>
    <n v="10.4166666666666"/>
    <n v="3802.0833333333198"/>
    <n v="13687.4999999999"/>
  </r>
  <r>
    <x v="0"/>
    <x v="0"/>
    <x v="0"/>
    <x v="8"/>
    <x v="19"/>
    <s v="SE4_EL"/>
    <x v="6"/>
    <s v="GHOB_WASTEHEAT"/>
    <x v="0"/>
    <x v="3"/>
    <n v="10.4166666666666"/>
    <n v="3802.0833333333198"/>
    <n v="13687.4999999999"/>
  </r>
  <r>
    <x v="0"/>
    <x v="0"/>
    <x v="0"/>
    <x v="8"/>
    <x v="19"/>
    <s v="SE4_EL"/>
    <x v="6"/>
    <s v="GHOB_WASTEHEAT"/>
    <x v="0"/>
    <x v="4"/>
    <n v="10.4166666666666"/>
    <n v="3802.0833333333198"/>
    <n v="13687.4999999999"/>
  </r>
  <r>
    <x v="0"/>
    <x v="0"/>
    <x v="0"/>
    <x v="8"/>
    <x v="19"/>
    <s v="SE4_EL"/>
    <x v="6"/>
    <s v="GHOB_WASTEHEAT"/>
    <x v="0"/>
    <x v="5"/>
    <n v="10.4166666666666"/>
    <n v="3802.0833333333198"/>
    <n v="13687.4999999999"/>
  </r>
  <r>
    <x v="0"/>
    <x v="0"/>
    <x v="0"/>
    <x v="8"/>
    <x v="19"/>
    <s v="SE4_EL"/>
    <x v="6"/>
    <s v="GHOB_WASTEHEAT"/>
    <x v="0"/>
    <x v="6"/>
    <n v="10.4166666666666"/>
    <n v="3802.0833333333198"/>
    <n v="13687.4999999999"/>
  </r>
  <r>
    <x v="0"/>
    <x v="0"/>
    <x v="0"/>
    <x v="8"/>
    <x v="19"/>
    <s v="SE4_EL"/>
    <x v="6"/>
    <s v="GHOB_WASTEHEAT"/>
    <x v="0"/>
    <x v="7"/>
    <n v="10.4166666666666"/>
    <n v="3802.0833333333198"/>
    <n v="13687.4999999999"/>
  </r>
  <r>
    <x v="0"/>
    <x v="0"/>
    <x v="0"/>
    <x v="8"/>
    <x v="19"/>
    <s v="SE4_EL"/>
    <x v="6"/>
    <s v="GHOB_WASTEHEAT"/>
    <x v="0"/>
    <x v="8"/>
    <n v="10.4166666666666"/>
    <n v="3802.0833333333198"/>
    <n v="13687.4999999999"/>
  </r>
  <r>
    <x v="0"/>
    <x v="0"/>
    <x v="0"/>
    <x v="8"/>
    <x v="19"/>
    <s v="SE4_EL"/>
    <x v="6"/>
    <s v="GHOB_WASTEHEAT"/>
    <x v="0"/>
    <x v="9"/>
    <n v="10.4166666666666"/>
    <n v="3802.0833333333198"/>
    <n v="13687.4999999999"/>
  </r>
  <r>
    <x v="0"/>
    <x v="0"/>
    <x v="0"/>
    <x v="8"/>
    <x v="19"/>
    <s v="SE4_EL"/>
    <x v="6"/>
    <s v="GHOB_WASTEHEAT"/>
    <x v="0"/>
    <x v="10"/>
    <n v="10.4166666666666"/>
    <n v="3802.0833333333198"/>
    <n v="13687.4999999999"/>
  </r>
  <r>
    <x v="0"/>
    <x v="0"/>
    <x v="0"/>
    <x v="8"/>
    <x v="19"/>
    <s v="SE4_EL"/>
    <x v="6"/>
    <s v="GHOB_WASTEHEAT"/>
    <x v="0"/>
    <x v="11"/>
    <n v="10.4166666666666"/>
    <n v="3802.0833333333198"/>
    <n v="13687.4999999999"/>
  </r>
  <r>
    <x v="0"/>
    <x v="0"/>
    <x v="0"/>
    <x v="8"/>
    <x v="19"/>
    <s v="SE4_EL"/>
    <x v="6"/>
    <s v="GHOB_WASTEHEAT"/>
    <x v="0"/>
    <x v="12"/>
    <n v="10.4166666666666"/>
    <n v="3802.0833333333198"/>
    <n v="13687.4999999999"/>
  </r>
  <r>
    <x v="0"/>
    <x v="0"/>
    <x v="0"/>
    <x v="8"/>
    <x v="19"/>
    <s v="SE4_EL"/>
    <x v="6"/>
    <s v="GHOB_WASTEHEAT"/>
    <x v="0"/>
    <x v="13"/>
    <n v="10.4166666666666"/>
    <n v="3802.0833333333198"/>
    <n v="13687.4999999999"/>
  </r>
  <r>
    <x v="0"/>
    <x v="0"/>
    <x v="0"/>
    <x v="8"/>
    <x v="19"/>
    <s v="SE4_EL"/>
    <x v="6"/>
    <s v="GHOB_WASTEHEAT"/>
    <x v="0"/>
    <x v="14"/>
    <n v="10.4166666666666"/>
    <n v="3802.0833333333198"/>
    <n v="13687.4999999999"/>
  </r>
  <r>
    <x v="0"/>
    <x v="0"/>
    <x v="0"/>
    <x v="8"/>
    <x v="19"/>
    <s v="SE4_EL"/>
    <x v="6"/>
    <s v="GHOB_WASTEHEAT"/>
    <x v="0"/>
    <x v="15"/>
    <n v="10.4166666666666"/>
    <n v="3802.0833333333198"/>
    <n v="13687.4999999999"/>
  </r>
  <r>
    <x v="0"/>
    <x v="0"/>
    <x v="0"/>
    <x v="8"/>
    <x v="19"/>
    <s v="SE4_EL"/>
    <x v="6"/>
    <s v="GHOB_WASTEHEAT"/>
    <x v="0"/>
    <x v="16"/>
    <n v="10.4166666666666"/>
    <n v="3802.0833333333198"/>
    <n v="13687.4999999999"/>
  </r>
  <r>
    <x v="0"/>
    <x v="0"/>
    <x v="0"/>
    <x v="8"/>
    <x v="19"/>
    <s v="SE4_EL"/>
    <x v="6"/>
    <s v="GHOB_WASTEHEAT"/>
    <x v="0"/>
    <x v="17"/>
    <n v="10.4166666666666"/>
    <n v="3802.0833333333198"/>
    <n v="13687.4999999999"/>
  </r>
  <r>
    <x v="0"/>
    <x v="0"/>
    <x v="0"/>
    <x v="8"/>
    <x v="19"/>
    <s v="SE4_EL"/>
    <x v="6"/>
    <s v="GHOB_WASTEHEAT"/>
    <x v="0"/>
    <x v="18"/>
    <n v="10.4166666666666"/>
    <n v="3802.0833333333198"/>
    <n v="13687.4999999999"/>
  </r>
  <r>
    <x v="0"/>
    <x v="0"/>
    <x v="0"/>
    <x v="8"/>
    <x v="19"/>
    <s v="SE4_EL"/>
    <x v="6"/>
    <s v="GHOB_WASTEHEAT"/>
    <x v="0"/>
    <x v="19"/>
    <n v="10.4166666666666"/>
    <n v="3802.0833333333198"/>
    <n v="13687.4999999999"/>
  </r>
  <r>
    <x v="0"/>
    <x v="0"/>
    <x v="0"/>
    <x v="8"/>
    <x v="19"/>
    <s v="SE4_EL"/>
    <x v="6"/>
    <s v="GHOB_WASTEHEAT"/>
    <x v="0"/>
    <x v="20"/>
    <n v="10.4166666666666"/>
    <n v="3802.0833333333198"/>
    <n v="13687.4999999999"/>
  </r>
  <r>
    <x v="0"/>
    <x v="0"/>
    <x v="0"/>
    <x v="8"/>
    <x v="19"/>
    <s v="SE4_EL"/>
    <x v="6"/>
    <s v="GHOB_WASTEHEAT"/>
    <x v="0"/>
    <x v="21"/>
    <n v="10.4166666666666"/>
    <n v="3802.0833333333198"/>
    <n v="13687.4999999999"/>
  </r>
  <r>
    <x v="0"/>
    <x v="0"/>
    <x v="0"/>
    <x v="8"/>
    <x v="19"/>
    <s v="SE4_EL"/>
    <x v="6"/>
    <s v="GHOB_WASTEHEAT"/>
    <x v="0"/>
    <x v="22"/>
    <n v="10.4166666666666"/>
    <n v="3802.0833333333198"/>
    <n v="13687.4999999999"/>
  </r>
  <r>
    <x v="0"/>
    <x v="0"/>
    <x v="0"/>
    <x v="8"/>
    <x v="19"/>
    <s v="SE4_EL"/>
    <x v="6"/>
    <s v="GHOB_WASTEHEAT"/>
    <x v="0"/>
    <x v="23"/>
    <n v="10.4166666666666"/>
    <n v="3802.0833333333198"/>
    <n v="13687.4999999999"/>
  </r>
  <r>
    <x v="0"/>
    <x v="0"/>
    <x v="0"/>
    <x v="8"/>
    <x v="19"/>
    <s v="SE4_EL"/>
    <x v="8"/>
    <s v="GHOB_WOODPELLETS"/>
    <x v="0"/>
    <x v="6"/>
    <n v="14"/>
    <n v="5110"/>
    <n v="18396"/>
  </r>
  <r>
    <x v="0"/>
    <x v="0"/>
    <x v="0"/>
    <x v="8"/>
    <x v="19"/>
    <s v="SE4_EL"/>
    <x v="8"/>
    <s v="GHOB_WOODPELLETS"/>
    <x v="0"/>
    <x v="10"/>
    <n v="0.93582491486769204"/>
    <n v="341.57609392670798"/>
    <n v="1229.6739381361499"/>
  </r>
  <r>
    <x v="0"/>
    <x v="0"/>
    <x v="0"/>
    <x v="8"/>
    <x v="19"/>
    <s v="SE4_EL"/>
    <x v="8"/>
    <s v="GHOB_WOODPELLETS"/>
    <x v="0"/>
    <x v="13"/>
    <n v="9.6943715622220292"/>
    <n v="3538.44562021104"/>
    <n v="12738.4042327598"/>
  </r>
  <r>
    <x v="0"/>
    <x v="0"/>
    <x v="0"/>
    <x v="8"/>
    <x v="19"/>
    <s v="SE4_EL"/>
    <x v="9"/>
    <s v="GHOB_WOODWASTE"/>
    <x v="0"/>
    <x v="0"/>
    <n v="55.121616462346701"/>
    <n v="20119.3900087566"/>
    <n v="72429.804031523599"/>
  </r>
  <r>
    <x v="0"/>
    <x v="0"/>
    <x v="0"/>
    <x v="8"/>
    <x v="19"/>
    <s v="SE4_EL"/>
    <x v="9"/>
    <s v="GHOB_WOODWASTE"/>
    <x v="0"/>
    <x v="1"/>
    <n v="55.121616462346701"/>
    <n v="20119.3900087566"/>
    <n v="72429.804031523599"/>
  </r>
  <r>
    <x v="0"/>
    <x v="0"/>
    <x v="0"/>
    <x v="8"/>
    <x v="19"/>
    <s v="SE4_EL"/>
    <x v="9"/>
    <s v="GHOB_WOODWASTE"/>
    <x v="0"/>
    <x v="2"/>
    <n v="55.121616462346701"/>
    <n v="20119.3900087566"/>
    <n v="72429.804031523599"/>
  </r>
  <r>
    <x v="0"/>
    <x v="0"/>
    <x v="0"/>
    <x v="8"/>
    <x v="19"/>
    <s v="SE4_EL"/>
    <x v="9"/>
    <s v="GHOB_WOODWASTE"/>
    <x v="0"/>
    <x v="3"/>
    <n v="55.121616462346701"/>
    <n v="20119.3900087566"/>
    <n v="72429.804031523599"/>
  </r>
  <r>
    <x v="0"/>
    <x v="0"/>
    <x v="0"/>
    <x v="8"/>
    <x v="19"/>
    <s v="SE4_EL"/>
    <x v="9"/>
    <s v="GHOB_WOODWASTE"/>
    <x v="0"/>
    <x v="4"/>
    <n v="55.121616462346701"/>
    <n v="20119.3900087566"/>
    <n v="72429.804031523599"/>
  </r>
  <r>
    <x v="0"/>
    <x v="0"/>
    <x v="0"/>
    <x v="8"/>
    <x v="19"/>
    <s v="SE4_EL"/>
    <x v="9"/>
    <s v="GHOB_WOODWASTE"/>
    <x v="0"/>
    <x v="5"/>
    <n v="55.121616462346701"/>
    <n v="20119.3900087566"/>
    <n v="72429.804031523599"/>
  </r>
  <r>
    <x v="0"/>
    <x v="0"/>
    <x v="0"/>
    <x v="8"/>
    <x v="19"/>
    <s v="SE4_EL"/>
    <x v="9"/>
    <s v="GHOB_WOODWASTE"/>
    <x v="0"/>
    <x v="6"/>
    <n v="55.121616462346701"/>
    <n v="20119.3900087566"/>
    <n v="72429.804031523599"/>
  </r>
  <r>
    <x v="0"/>
    <x v="0"/>
    <x v="0"/>
    <x v="8"/>
    <x v="19"/>
    <s v="SE4_EL"/>
    <x v="9"/>
    <s v="GHOB_WOODWASTE"/>
    <x v="0"/>
    <x v="7"/>
    <n v="55.121616462346701"/>
    <n v="20119.3900087566"/>
    <n v="72429.804031523599"/>
  </r>
  <r>
    <x v="0"/>
    <x v="0"/>
    <x v="0"/>
    <x v="8"/>
    <x v="19"/>
    <s v="SE4_EL"/>
    <x v="9"/>
    <s v="GHOB_WOODWASTE"/>
    <x v="0"/>
    <x v="8"/>
    <n v="55.121616462346701"/>
    <n v="20119.3900087566"/>
    <n v="72429.804031523599"/>
  </r>
  <r>
    <x v="0"/>
    <x v="0"/>
    <x v="0"/>
    <x v="8"/>
    <x v="19"/>
    <s v="SE4_EL"/>
    <x v="9"/>
    <s v="GHOB_WOODWASTE"/>
    <x v="0"/>
    <x v="9"/>
    <n v="55.121616462346701"/>
    <n v="20119.3900087566"/>
    <n v="72429.804031523599"/>
  </r>
  <r>
    <x v="0"/>
    <x v="0"/>
    <x v="0"/>
    <x v="8"/>
    <x v="19"/>
    <s v="SE4_EL"/>
    <x v="9"/>
    <s v="GHOB_WOODWASTE"/>
    <x v="0"/>
    <x v="10"/>
    <n v="55.121616462346701"/>
    <n v="20119.3900087566"/>
    <n v="72429.804031523599"/>
  </r>
  <r>
    <x v="0"/>
    <x v="0"/>
    <x v="0"/>
    <x v="8"/>
    <x v="19"/>
    <s v="SE4_EL"/>
    <x v="9"/>
    <s v="GHOB_WOODWASTE"/>
    <x v="0"/>
    <x v="11"/>
    <n v="55.121616462346701"/>
    <n v="20119.3900087566"/>
    <n v="72429.804031523599"/>
  </r>
  <r>
    <x v="0"/>
    <x v="0"/>
    <x v="0"/>
    <x v="8"/>
    <x v="19"/>
    <s v="SE4_EL"/>
    <x v="9"/>
    <s v="GHOB_WOODWASTE"/>
    <x v="0"/>
    <x v="12"/>
    <n v="55.121616462346701"/>
    <n v="20119.3900087566"/>
    <n v="72429.804031523599"/>
  </r>
  <r>
    <x v="0"/>
    <x v="0"/>
    <x v="0"/>
    <x v="8"/>
    <x v="19"/>
    <s v="SE4_EL"/>
    <x v="9"/>
    <s v="GHOB_WOODWASTE"/>
    <x v="0"/>
    <x v="13"/>
    <n v="55.121616462346701"/>
    <n v="20119.3900087566"/>
    <n v="72429.804031523599"/>
  </r>
  <r>
    <x v="0"/>
    <x v="0"/>
    <x v="0"/>
    <x v="8"/>
    <x v="19"/>
    <s v="SE4_EL"/>
    <x v="9"/>
    <s v="GHOB_WOODWASTE"/>
    <x v="0"/>
    <x v="14"/>
    <n v="55.121616462346701"/>
    <n v="20119.3900087566"/>
    <n v="72429.804031523599"/>
  </r>
  <r>
    <x v="0"/>
    <x v="0"/>
    <x v="0"/>
    <x v="8"/>
    <x v="19"/>
    <s v="SE4_EL"/>
    <x v="9"/>
    <s v="GHOB_WOODWASTE"/>
    <x v="0"/>
    <x v="15"/>
    <n v="55.121616462346701"/>
    <n v="20119.3900087566"/>
    <n v="72429.804031523599"/>
  </r>
  <r>
    <x v="0"/>
    <x v="0"/>
    <x v="0"/>
    <x v="8"/>
    <x v="19"/>
    <s v="SE4_EL"/>
    <x v="9"/>
    <s v="GHOB_WOODWASTE"/>
    <x v="0"/>
    <x v="16"/>
    <n v="55.121616462346701"/>
    <n v="20119.3900087566"/>
    <n v="72429.804031523599"/>
  </r>
  <r>
    <x v="0"/>
    <x v="0"/>
    <x v="0"/>
    <x v="8"/>
    <x v="19"/>
    <s v="SE4_EL"/>
    <x v="9"/>
    <s v="GHOB_WOODWASTE"/>
    <x v="0"/>
    <x v="17"/>
    <n v="55.121616462346701"/>
    <n v="20119.3900087566"/>
    <n v="72429.804031523599"/>
  </r>
  <r>
    <x v="0"/>
    <x v="0"/>
    <x v="0"/>
    <x v="8"/>
    <x v="19"/>
    <s v="SE4_EL"/>
    <x v="9"/>
    <s v="GHOB_WOODWASTE"/>
    <x v="0"/>
    <x v="18"/>
    <n v="55.121616462346701"/>
    <n v="20119.3900087566"/>
    <n v="72429.804031523599"/>
  </r>
  <r>
    <x v="0"/>
    <x v="0"/>
    <x v="0"/>
    <x v="8"/>
    <x v="19"/>
    <s v="SE4_EL"/>
    <x v="9"/>
    <s v="GHOB_WOODWASTE"/>
    <x v="0"/>
    <x v="19"/>
    <n v="55.121616462346701"/>
    <n v="20119.3900087566"/>
    <n v="72429.804031523599"/>
  </r>
  <r>
    <x v="0"/>
    <x v="0"/>
    <x v="0"/>
    <x v="8"/>
    <x v="19"/>
    <s v="SE4_EL"/>
    <x v="9"/>
    <s v="GHOB_WOODWASTE"/>
    <x v="0"/>
    <x v="20"/>
    <n v="55.121616462346701"/>
    <n v="20119.3900087566"/>
    <n v="72429.804031523599"/>
  </r>
  <r>
    <x v="0"/>
    <x v="0"/>
    <x v="0"/>
    <x v="8"/>
    <x v="19"/>
    <s v="SE4_EL"/>
    <x v="9"/>
    <s v="GHOB_WOODWASTE"/>
    <x v="0"/>
    <x v="21"/>
    <n v="55.121616462346701"/>
    <n v="20119.3900087566"/>
    <n v="72429.804031523599"/>
  </r>
  <r>
    <x v="0"/>
    <x v="0"/>
    <x v="0"/>
    <x v="8"/>
    <x v="19"/>
    <s v="SE4_EL"/>
    <x v="9"/>
    <s v="GHOB_WOODWASTE"/>
    <x v="0"/>
    <x v="22"/>
    <n v="55.121616462346701"/>
    <n v="20119.3900087566"/>
    <n v="72429.804031523599"/>
  </r>
  <r>
    <x v="0"/>
    <x v="0"/>
    <x v="0"/>
    <x v="8"/>
    <x v="19"/>
    <s v="SE4_EL"/>
    <x v="9"/>
    <s v="GHOB_WOODWASTE"/>
    <x v="0"/>
    <x v="23"/>
    <n v="55.121616462346701"/>
    <n v="20119.3900087566"/>
    <n v="72429.804031523599"/>
  </r>
  <r>
    <x v="0"/>
    <x v="0"/>
    <x v="0"/>
    <x v="8"/>
    <x v="19"/>
    <s v="SE4_HP"/>
    <x v="2"/>
    <s v="GNR_HS_HEAT_WTR-TANK_LS_E-95_Y-2010"/>
    <x v="0"/>
    <x v="0"/>
    <n v="852.80790022644499"/>
    <n v="311274.88358265202"/>
    <n v="1120589.5808975501"/>
  </r>
  <r>
    <x v="0"/>
    <x v="0"/>
    <x v="0"/>
    <x v="8"/>
    <x v="19"/>
    <s v="SE4_HP"/>
    <x v="2"/>
    <s v="GNR_HS_HEAT_WTR-TANK_LS_E-95_Y-2010"/>
    <x v="0"/>
    <x v="1"/>
    <n v="852.10707179037502"/>
    <n v="311019.081203487"/>
    <n v="1119668.69233255"/>
  </r>
  <r>
    <x v="0"/>
    <x v="0"/>
    <x v="0"/>
    <x v="8"/>
    <x v="19"/>
    <s v="SE4_HP"/>
    <x v="2"/>
    <s v="GNR_HS_HEAT_WTR-TANK_LS_E-95_Y-2010"/>
    <x v="0"/>
    <x v="2"/>
    <n v="851.63752800418501"/>
    <n v="310847.69772152702"/>
    <n v="1119051.7117975"/>
  </r>
  <r>
    <x v="0"/>
    <x v="0"/>
    <x v="0"/>
    <x v="8"/>
    <x v="19"/>
    <s v="SE4_HP"/>
    <x v="2"/>
    <s v="GNR_HS_HEAT_WTR-TANK_LS_E-95_Y-2010"/>
    <x v="0"/>
    <x v="3"/>
    <n v="853.30167855935099"/>
    <n v="311455.11267416301"/>
    <n v="1121238.4056269899"/>
  </r>
  <r>
    <x v="0"/>
    <x v="0"/>
    <x v="0"/>
    <x v="8"/>
    <x v="19"/>
    <s v="SE4_HP"/>
    <x v="2"/>
    <s v="GNR_HS_HEAT_WTR-TANK_LS_E-95_Y-2010"/>
    <x v="0"/>
    <x v="4"/>
    <n v="857.24470991237501"/>
    <n v="312894.31911801698"/>
    <n v="1126419.54882486"/>
  </r>
  <r>
    <x v="0"/>
    <x v="0"/>
    <x v="0"/>
    <x v="8"/>
    <x v="19"/>
    <s v="SE4_HP"/>
    <x v="2"/>
    <s v="GNR_HS_HEAT_WTR-TANK_LS_E-95_Y-2010"/>
    <x v="0"/>
    <x v="5"/>
    <n v="868.16300781548898"/>
    <n v="316879.49785265297"/>
    <n v="1140766.1922695499"/>
  </r>
  <r>
    <x v="0"/>
    <x v="0"/>
    <x v="0"/>
    <x v="8"/>
    <x v="19"/>
    <s v="SE4_HP"/>
    <x v="2"/>
    <s v="GNR_HS_HEAT_WTR-TANK_LS_E-95_Y-2010"/>
    <x v="0"/>
    <x v="6"/>
    <n v="891.19053333596401"/>
    <n v="325284.54466762702"/>
    <n v="1171024.36080346"/>
  </r>
  <r>
    <x v="0"/>
    <x v="0"/>
    <x v="0"/>
    <x v="8"/>
    <x v="19"/>
    <s v="SE4_HP"/>
    <x v="2"/>
    <s v="GNR_HS_HEAT_WTR-TANK_LS_E-95_Y-2010"/>
    <x v="0"/>
    <x v="7"/>
    <n v="900.28161478989398"/>
    <n v="328602.789398311"/>
    <n v="1182970.0418339199"/>
  </r>
  <r>
    <x v="0"/>
    <x v="0"/>
    <x v="0"/>
    <x v="8"/>
    <x v="19"/>
    <s v="SE4_HP"/>
    <x v="2"/>
    <s v="GNR_HS_HEAT_WTR-TANK_LS_E-95_Y-2010"/>
    <x v="0"/>
    <x v="8"/>
    <n v="898.63290388782696"/>
    <n v="328001.00991905702"/>
    <n v="1180803.6357086"/>
  </r>
  <r>
    <x v="0"/>
    <x v="0"/>
    <x v="0"/>
    <x v="8"/>
    <x v="19"/>
    <s v="SE4_HP"/>
    <x v="2"/>
    <s v="GNR_HS_HEAT_WTR-TANK_LS_E-95_Y-2010"/>
    <x v="0"/>
    <x v="9"/>
    <n v="894.69370624388398"/>
    <n v="326563.20277901797"/>
    <n v="1175627.5300044599"/>
  </r>
  <r>
    <x v="0"/>
    <x v="0"/>
    <x v="0"/>
    <x v="8"/>
    <x v="19"/>
    <s v="SE4_HP"/>
    <x v="2"/>
    <s v="GNR_HS_HEAT_WTR-TANK_LS_E-95_Y-2010"/>
    <x v="0"/>
    <x v="10"/>
    <n v="891.32450474542804"/>
    <n v="325333.444232081"/>
    <n v="1171200.39923549"/>
  </r>
  <r>
    <x v="0"/>
    <x v="0"/>
    <x v="0"/>
    <x v="8"/>
    <x v="19"/>
    <s v="SE4_HP"/>
    <x v="2"/>
    <s v="GNR_HS_HEAT_WTR-TANK_LS_E-95_Y-2010"/>
    <x v="0"/>
    <x v="11"/>
    <n v="886.37057514916899"/>
    <n v="323525.25992944703"/>
    <n v="1164690.9357460099"/>
  </r>
  <r>
    <x v="0"/>
    <x v="0"/>
    <x v="0"/>
    <x v="8"/>
    <x v="19"/>
    <s v="SE4_HP"/>
    <x v="2"/>
    <s v="GNR_HS_HEAT_WTR-TANK_LS_E-95_Y-2010"/>
    <x v="0"/>
    <x v="12"/>
    <n v="881.27169027956995"/>
    <n v="321664.16695204302"/>
    <n v="1157991.0010273601"/>
  </r>
  <r>
    <x v="0"/>
    <x v="0"/>
    <x v="0"/>
    <x v="8"/>
    <x v="19"/>
    <s v="SE4_HP"/>
    <x v="2"/>
    <s v="GNR_HS_HEAT_WTR-TANK_LS_E-95_Y-2010"/>
    <x v="0"/>
    <x v="13"/>
    <n v="880.73607833404799"/>
    <n v="321468.66859192698"/>
    <n v="1157287.20693094"/>
  </r>
  <r>
    <x v="0"/>
    <x v="0"/>
    <x v="0"/>
    <x v="8"/>
    <x v="19"/>
    <s v="SE4_HP"/>
    <x v="2"/>
    <s v="GNR_HS_HEAT_WTR-TANK_LS_E-95_Y-2010"/>
    <x v="0"/>
    <x v="14"/>
    <n v="879.335977654663"/>
    <n v="320957.631843952"/>
    <n v="1155447.4746382299"/>
  </r>
  <r>
    <x v="0"/>
    <x v="0"/>
    <x v="0"/>
    <x v="8"/>
    <x v="19"/>
    <s v="SE4_HP"/>
    <x v="2"/>
    <s v="GNR_HS_HEAT_WTR-TANK_LS_E-95_Y-2010"/>
    <x v="0"/>
    <x v="15"/>
    <n v="879.33240698452096"/>
    <n v="320956.32854934997"/>
    <n v="1155442.7827776601"/>
  </r>
  <r>
    <x v="0"/>
    <x v="0"/>
    <x v="0"/>
    <x v="8"/>
    <x v="19"/>
    <s v="SE4_HP"/>
    <x v="2"/>
    <s v="GNR_HS_HEAT_WTR-TANK_LS_E-95_Y-2010"/>
    <x v="0"/>
    <x v="16"/>
    <n v="878.67105627954504"/>
    <n v="320714.93554203399"/>
    <n v="1154573.7679513199"/>
  </r>
  <r>
    <x v="0"/>
    <x v="0"/>
    <x v="0"/>
    <x v="8"/>
    <x v="19"/>
    <s v="SE4_HP"/>
    <x v="2"/>
    <s v="GNR_HS_HEAT_WTR-TANK_LS_E-95_Y-2010"/>
    <x v="0"/>
    <x v="17"/>
    <n v="873.50503656714704"/>
    <n v="318829.33834700898"/>
    <n v="1147785.61804923"/>
  </r>
  <r>
    <x v="0"/>
    <x v="0"/>
    <x v="0"/>
    <x v="8"/>
    <x v="19"/>
    <s v="SE4_HP"/>
    <x v="2"/>
    <s v="GNR_HS_HEAT_WTR-TANK_LS_E-95_Y-2010"/>
    <x v="0"/>
    <x v="18"/>
    <n v="869.78425171917502"/>
    <n v="317471.25187749899"/>
    <n v="1142896.506759"/>
  </r>
  <r>
    <x v="0"/>
    <x v="0"/>
    <x v="0"/>
    <x v="8"/>
    <x v="19"/>
    <s v="SE4_HP"/>
    <x v="2"/>
    <s v="GNR_HS_HEAT_WTR-TANK_LS_E-95_Y-2010"/>
    <x v="0"/>
    <x v="19"/>
    <n v="866.11643046595998"/>
    <n v="316132.49712007499"/>
    <n v="1138076.9896322701"/>
  </r>
  <r>
    <x v="0"/>
    <x v="0"/>
    <x v="0"/>
    <x v="8"/>
    <x v="19"/>
    <s v="SE4_HP"/>
    <x v="2"/>
    <s v="GNR_HS_HEAT_WTR-TANK_LS_E-95_Y-2010"/>
    <x v="0"/>
    <x v="20"/>
    <n v="861.52307970573202"/>
    <n v="314455.92409259197"/>
    <n v="1132041.32673333"/>
  </r>
  <r>
    <x v="0"/>
    <x v="0"/>
    <x v="0"/>
    <x v="8"/>
    <x v="19"/>
    <s v="SE4_HP"/>
    <x v="2"/>
    <s v="GNR_HS_HEAT_WTR-TANK_LS_E-95_Y-2010"/>
    <x v="0"/>
    <x v="21"/>
    <n v="854.57543114973998"/>
    <n v="311920.03236965497"/>
    <n v="1122912.11653076"/>
  </r>
  <r>
    <x v="0"/>
    <x v="0"/>
    <x v="0"/>
    <x v="8"/>
    <x v="19"/>
    <s v="SE4_HP"/>
    <x v="2"/>
    <s v="GNR_HS_HEAT_WTR-TANK_LS_E-95_Y-2010"/>
    <x v="0"/>
    <x v="22"/>
    <n v="849.010062285294"/>
    <n v="309888.67273413198"/>
    <n v="1115599.2218428799"/>
  </r>
  <r>
    <x v="0"/>
    <x v="0"/>
    <x v="0"/>
    <x v="8"/>
    <x v="19"/>
    <s v="SE4_HP"/>
    <x v="2"/>
    <s v="GNR_HS_HEAT_WTR-TANK_LS_E-95_Y-2010"/>
    <x v="0"/>
    <x v="23"/>
    <n v="835.99690546359"/>
    <n v="305138.87049421098"/>
    <n v="1098499.93377916"/>
  </r>
  <r>
    <x v="0"/>
    <x v="0"/>
    <x v="0"/>
    <x v="8"/>
    <x v="19"/>
    <s v="SE4_HP"/>
    <x v="3"/>
    <s v="GBPR_MUNIWASTE_65"/>
    <x v="0"/>
    <x v="0"/>
    <n v="28.571428571428601"/>
    <n v="10428.5714285714"/>
    <n v="37542.857142857101"/>
  </r>
  <r>
    <x v="0"/>
    <x v="0"/>
    <x v="0"/>
    <x v="8"/>
    <x v="19"/>
    <s v="SE4_HP"/>
    <x v="3"/>
    <s v="GBPR_MUNIWASTE_65"/>
    <x v="0"/>
    <x v="1"/>
    <n v="28.571428571428601"/>
    <n v="10428.5714285714"/>
    <n v="37542.857142857101"/>
  </r>
  <r>
    <x v="0"/>
    <x v="0"/>
    <x v="0"/>
    <x v="8"/>
    <x v="19"/>
    <s v="SE4_HP"/>
    <x v="3"/>
    <s v="GBPR_MUNIWASTE_65"/>
    <x v="0"/>
    <x v="2"/>
    <n v="28.571428571428601"/>
    <n v="10428.5714285714"/>
    <n v="37542.857142857101"/>
  </r>
  <r>
    <x v="0"/>
    <x v="0"/>
    <x v="0"/>
    <x v="8"/>
    <x v="19"/>
    <s v="SE4_HP"/>
    <x v="3"/>
    <s v="GBPR_MUNIWASTE_65"/>
    <x v="0"/>
    <x v="3"/>
    <n v="28.571428571428601"/>
    <n v="10428.5714285714"/>
    <n v="37542.857142857101"/>
  </r>
  <r>
    <x v="0"/>
    <x v="0"/>
    <x v="0"/>
    <x v="8"/>
    <x v="19"/>
    <s v="SE4_HP"/>
    <x v="3"/>
    <s v="GBPR_MUNIWASTE_65"/>
    <x v="0"/>
    <x v="4"/>
    <n v="28.571428571428601"/>
    <n v="10428.5714285714"/>
    <n v="37542.857142857101"/>
  </r>
  <r>
    <x v="0"/>
    <x v="0"/>
    <x v="0"/>
    <x v="8"/>
    <x v="19"/>
    <s v="SE4_HP"/>
    <x v="3"/>
    <s v="GBPR_MUNIWASTE_65"/>
    <x v="0"/>
    <x v="5"/>
    <n v="28.571428571428601"/>
    <n v="10428.5714285714"/>
    <n v="37542.857142857101"/>
  </r>
  <r>
    <x v="0"/>
    <x v="0"/>
    <x v="0"/>
    <x v="8"/>
    <x v="19"/>
    <s v="SE4_HP"/>
    <x v="3"/>
    <s v="GBPR_MUNIWASTE_65"/>
    <x v="0"/>
    <x v="6"/>
    <n v="28.571428571428601"/>
    <n v="10428.5714285714"/>
    <n v="37542.857142857101"/>
  </r>
  <r>
    <x v="0"/>
    <x v="0"/>
    <x v="0"/>
    <x v="8"/>
    <x v="19"/>
    <s v="SE4_HP"/>
    <x v="3"/>
    <s v="GBPR_MUNIWASTE_65"/>
    <x v="0"/>
    <x v="7"/>
    <n v="28.571428571428601"/>
    <n v="10428.5714285714"/>
    <n v="37542.857142857101"/>
  </r>
  <r>
    <x v="0"/>
    <x v="0"/>
    <x v="0"/>
    <x v="8"/>
    <x v="19"/>
    <s v="SE4_HP"/>
    <x v="3"/>
    <s v="GBPR_MUNIWASTE_65"/>
    <x v="0"/>
    <x v="8"/>
    <n v="28.571428571428601"/>
    <n v="10428.5714285714"/>
    <n v="37542.857142857101"/>
  </r>
  <r>
    <x v="0"/>
    <x v="0"/>
    <x v="0"/>
    <x v="8"/>
    <x v="19"/>
    <s v="SE4_HP"/>
    <x v="3"/>
    <s v="GBPR_MUNIWASTE_65"/>
    <x v="0"/>
    <x v="9"/>
    <n v="28.571428571428601"/>
    <n v="10428.5714285714"/>
    <n v="37542.857142857101"/>
  </r>
  <r>
    <x v="0"/>
    <x v="0"/>
    <x v="0"/>
    <x v="8"/>
    <x v="19"/>
    <s v="SE4_HP"/>
    <x v="3"/>
    <s v="GBPR_MUNIWASTE_65"/>
    <x v="0"/>
    <x v="10"/>
    <n v="28.571428571428601"/>
    <n v="10428.5714285714"/>
    <n v="37542.857142857101"/>
  </r>
  <r>
    <x v="0"/>
    <x v="0"/>
    <x v="0"/>
    <x v="8"/>
    <x v="19"/>
    <s v="SE4_HP"/>
    <x v="3"/>
    <s v="GBPR_MUNIWASTE_65"/>
    <x v="0"/>
    <x v="11"/>
    <n v="28.571428571428601"/>
    <n v="10428.5714285714"/>
    <n v="37542.857142857101"/>
  </r>
  <r>
    <x v="0"/>
    <x v="0"/>
    <x v="0"/>
    <x v="8"/>
    <x v="19"/>
    <s v="SE4_HP"/>
    <x v="3"/>
    <s v="GBPR_MUNIWASTE_65"/>
    <x v="0"/>
    <x v="12"/>
    <n v="28.571428571428601"/>
    <n v="10428.5714285714"/>
    <n v="37542.857142857101"/>
  </r>
  <r>
    <x v="0"/>
    <x v="0"/>
    <x v="0"/>
    <x v="8"/>
    <x v="19"/>
    <s v="SE4_HP"/>
    <x v="3"/>
    <s v="GBPR_MUNIWASTE_65"/>
    <x v="0"/>
    <x v="13"/>
    <n v="28.571428571428601"/>
    <n v="10428.5714285714"/>
    <n v="37542.857142857101"/>
  </r>
  <r>
    <x v="0"/>
    <x v="0"/>
    <x v="0"/>
    <x v="8"/>
    <x v="19"/>
    <s v="SE4_HP"/>
    <x v="3"/>
    <s v="GBPR_MUNIWASTE_65"/>
    <x v="0"/>
    <x v="14"/>
    <n v="28.571428571428601"/>
    <n v="10428.5714285714"/>
    <n v="37542.857142857101"/>
  </r>
  <r>
    <x v="0"/>
    <x v="0"/>
    <x v="0"/>
    <x v="8"/>
    <x v="19"/>
    <s v="SE4_HP"/>
    <x v="3"/>
    <s v="GBPR_MUNIWASTE_65"/>
    <x v="0"/>
    <x v="15"/>
    <n v="28.571428571428601"/>
    <n v="10428.5714285714"/>
    <n v="37542.857142857101"/>
  </r>
  <r>
    <x v="0"/>
    <x v="0"/>
    <x v="0"/>
    <x v="8"/>
    <x v="19"/>
    <s v="SE4_HP"/>
    <x v="3"/>
    <s v="GBPR_MUNIWASTE_65"/>
    <x v="0"/>
    <x v="16"/>
    <n v="28.571428571428601"/>
    <n v="10428.5714285714"/>
    <n v="37542.857142857101"/>
  </r>
  <r>
    <x v="0"/>
    <x v="0"/>
    <x v="0"/>
    <x v="8"/>
    <x v="19"/>
    <s v="SE4_HP"/>
    <x v="3"/>
    <s v="GBPR_MUNIWASTE_65"/>
    <x v="0"/>
    <x v="17"/>
    <n v="28.571428571428601"/>
    <n v="10428.5714285714"/>
    <n v="37542.857142857101"/>
  </r>
  <r>
    <x v="0"/>
    <x v="0"/>
    <x v="0"/>
    <x v="8"/>
    <x v="19"/>
    <s v="SE4_HP"/>
    <x v="3"/>
    <s v="GBPR_MUNIWASTE_65"/>
    <x v="0"/>
    <x v="18"/>
    <n v="28.571428571428601"/>
    <n v="10428.5714285714"/>
    <n v="37542.857142857101"/>
  </r>
  <r>
    <x v="0"/>
    <x v="0"/>
    <x v="0"/>
    <x v="8"/>
    <x v="19"/>
    <s v="SE4_HP"/>
    <x v="3"/>
    <s v="GBPR_MUNIWASTE_65"/>
    <x v="0"/>
    <x v="19"/>
    <n v="28.571428571428601"/>
    <n v="10428.5714285714"/>
    <n v="37542.857142857101"/>
  </r>
  <r>
    <x v="0"/>
    <x v="0"/>
    <x v="0"/>
    <x v="8"/>
    <x v="19"/>
    <s v="SE4_HP"/>
    <x v="3"/>
    <s v="GBPR_MUNIWASTE_65"/>
    <x v="0"/>
    <x v="20"/>
    <n v="28.571428571428601"/>
    <n v="10428.5714285714"/>
    <n v="37542.857142857101"/>
  </r>
  <r>
    <x v="0"/>
    <x v="0"/>
    <x v="0"/>
    <x v="8"/>
    <x v="19"/>
    <s v="SE4_HP"/>
    <x v="3"/>
    <s v="GBPR_MUNIWASTE_65"/>
    <x v="0"/>
    <x v="21"/>
    <n v="28.571428571428601"/>
    <n v="10428.5714285714"/>
    <n v="37542.857142857101"/>
  </r>
  <r>
    <x v="0"/>
    <x v="0"/>
    <x v="0"/>
    <x v="8"/>
    <x v="19"/>
    <s v="SE4_HP"/>
    <x v="3"/>
    <s v="GBPR_MUNIWASTE_65"/>
    <x v="0"/>
    <x v="22"/>
    <n v="28.571428571428601"/>
    <n v="10428.5714285714"/>
    <n v="37542.857142857101"/>
  </r>
  <r>
    <x v="0"/>
    <x v="0"/>
    <x v="0"/>
    <x v="8"/>
    <x v="19"/>
    <s v="SE4_HP"/>
    <x v="3"/>
    <s v="GBPR_MUNIWASTE_65"/>
    <x v="0"/>
    <x v="23"/>
    <n v="28.571428571428601"/>
    <n v="10428.5714285714"/>
    <n v="37542.857142857101"/>
  </r>
  <r>
    <x v="0"/>
    <x v="0"/>
    <x v="0"/>
    <x v="8"/>
    <x v="19"/>
    <s v="SE4_HP"/>
    <x v="8"/>
    <s v="GBPR_WOODPELLETS"/>
    <x v="0"/>
    <x v="0"/>
    <n v="141.393442622951"/>
    <n v="51608.606557377003"/>
    <n v="185790.98360655701"/>
  </r>
  <r>
    <x v="0"/>
    <x v="0"/>
    <x v="0"/>
    <x v="8"/>
    <x v="19"/>
    <s v="SE4_HP"/>
    <x v="8"/>
    <s v="GBPR_WOODPELLETS"/>
    <x v="0"/>
    <x v="1"/>
    <n v="141.393442622951"/>
    <n v="51608.606557377003"/>
    <n v="185790.98360655701"/>
  </r>
  <r>
    <x v="0"/>
    <x v="0"/>
    <x v="0"/>
    <x v="8"/>
    <x v="19"/>
    <s v="SE4_HP"/>
    <x v="8"/>
    <s v="GBPR_WOODPELLETS"/>
    <x v="0"/>
    <x v="2"/>
    <n v="141.393442622951"/>
    <n v="51608.606557377003"/>
    <n v="185790.98360655701"/>
  </r>
  <r>
    <x v="0"/>
    <x v="0"/>
    <x v="0"/>
    <x v="8"/>
    <x v="19"/>
    <s v="SE4_HP"/>
    <x v="8"/>
    <s v="GBPR_WOODPELLETS"/>
    <x v="0"/>
    <x v="3"/>
    <n v="141.393442622951"/>
    <n v="51608.606557377003"/>
    <n v="185790.98360655701"/>
  </r>
  <r>
    <x v="0"/>
    <x v="0"/>
    <x v="0"/>
    <x v="8"/>
    <x v="19"/>
    <s v="SE4_HP"/>
    <x v="8"/>
    <s v="GBPR_WOODPELLETS"/>
    <x v="0"/>
    <x v="4"/>
    <n v="141.393442622951"/>
    <n v="51608.606557377003"/>
    <n v="185790.98360655701"/>
  </r>
  <r>
    <x v="0"/>
    <x v="0"/>
    <x v="0"/>
    <x v="8"/>
    <x v="19"/>
    <s v="SE4_HP"/>
    <x v="8"/>
    <s v="GBPR_WOODPELLETS"/>
    <x v="0"/>
    <x v="5"/>
    <n v="141.393442622951"/>
    <n v="51608.606557377003"/>
    <n v="185790.98360655701"/>
  </r>
  <r>
    <x v="0"/>
    <x v="0"/>
    <x v="0"/>
    <x v="8"/>
    <x v="19"/>
    <s v="SE4_HP"/>
    <x v="8"/>
    <s v="GBPR_WOODPELLETS"/>
    <x v="0"/>
    <x v="6"/>
    <n v="141.393442622951"/>
    <n v="51608.606557377003"/>
    <n v="185790.98360655701"/>
  </r>
  <r>
    <x v="0"/>
    <x v="0"/>
    <x v="0"/>
    <x v="8"/>
    <x v="19"/>
    <s v="SE4_HP"/>
    <x v="8"/>
    <s v="GBPR_WOODPELLETS"/>
    <x v="0"/>
    <x v="7"/>
    <n v="141.393442622951"/>
    <n v="51608.606557377003"/>
    <n v="185790.98360655701"/>
  </r>
  <r>
    <x v="0"/>
    <x v="0"/>
    <x v="0"/>
    <x v="8"/>
    <x v="19"/>
    <s v="SE4_HP"/>
    <x v="8"/>
    <s v="GBPR_WOODPELLETS"/>
    <x v="0"/>
    <x v="8"/>
    <n v="141.393442622951"/>
    <n v="51608.606557377003"/>
    <n v="185790.98360655701"/>
  </r>
  <r>
    <x v="0"/>
    <x v="0"/>
    <x v="0"/>
    <x v="8"/>
    <x v="19"/>
    <s v="SE4_HP"/>
    <x v="8"/>
    <s v="GBPR_WOODPELLETS"/>
    <x v="0"/>
    <x v="9"/>
    <n v="141.393442622951"/>
    <n v="51608.606557377003"/>
    <n v="185790.98360655701"/>
  </r>
  <r>
    <x v="0"/>
    <x v="0"/>
    <x v="0"/>
    <x v="8"/>
    <x v="19"/>
    <s v="SE4_HP"/>
    <x v="8"/>
    <s v="GBPR_WOODPELLETS"/>
    <x v="0"/>
    <x v="10"/>
    <n v="141.393442622951"/>
    <n v="51608.606557377003"/>
    <n v="185790.98360655701"/>
  </r>
  <r>
    <x v="0"/>
    <x v="0"/>
    <x v="0"/>
    <x v="8"/>
    <x v="19"/>
    <s v="SE4_HP"/>
    <x v="8"/>
    <s v="GBPR_WOODPELLETS"/>
    <x v="0"/>
    <x v="11"/>
    <n v="141.393442622951"/>
    <n v="51608.606557377003"/>
    <n v="185790.98360655701"/>
  </r>
  <r>
    <x v="0"/>
    <x v="0"/>
    <x v="0"/>
    <x v="8"/>
    <x v="19"/>
    <s v="SE4_HP"/>
    <x v="8"/>
    <s v="GBPR_WOODPELLETS"/>
    <x v="0"/>
    <x v="12"/>
    <n v="141.393442622951"/>
    <n v="51608.606557377003"/>
    <n v="185790.98360655701"/>
  </r>
  <r>
    <x v="0"/>
    <x v="0"/>
    <x v="0"/>
    <x v="8"/>
    <x v="19"/>
    <s v="SE4_HP"/>
    <x v="8"/>
    <s v="GBPR_WOODPELLETS"/>
    <x v="0"/>
    <x v="13"/>
    <n v="141.393442622951"/>
    <n v="51608.606557377003"/>
    <n v="185790.98360655701"/>
  </r>
  <r>
    <x v="0"/>
    <x v="0"/>
    <x v="0"/>
    <x v="8"/>
    <x v="19"/>
    <s v="SE4_HP"/>
    <x v="8"/>
    <s v="GBPR_WOODPELLETS"/>
    <x v="0"/>
    <x v="14"/>
    <n v="141.393442622951"/>
    <n v="51608.606557377003"/>
    <n v="185790.98360655701"/>
  </r>
  <r>
    <x v="0"/>
    <x v="0"/>
    <x v="0"/>
    <x v="8"/>
    <x v="19"/>
    <s v="SE4_HP"/>
    <x v="8"/>
    <s v="GBPR_WOODPELLETS"/>
    <x v="0"/>
    <x v="15"/>
    <n v="141.393442622951"/>
    <n v="51608.606557377003"/>
    <n v="185790.98360655701"/>
  </r>
  <r>
    <x v="0"/>
    <x v="0"/>
    <x v="0"/>
    <x v="8"/>
    <x v="19"/>
    <s v="SE4_HP"/>
    <x v="8"/>
    <s v="GBPR_WOODPELLETS"/>
    <x v="0"/>
    <x v="16"/>
    <n v="141.393442622951"/>
    <n v="51608.606557377003"/>
    <n v="185790.98360655701"/>
  </r>
  <r>
    <x v="0"/>
    <x v="0"/>
    <x v="0"/>
    <x v="8"/>
    <x v="19"/>
    <s v="SE4_HP"/>
    <x v="8"/>
    <s v="GBPR_WOODPELLETS"/>
    <x v="0"/>
    <x v="17"/>
    <n v="141.393442622951"/>
    <n v="51608.606557377003"/>
    <n v="185790.98360655701"/>
  </r>
  <r>
    <x v="0"/>
    <x v="0"/>
    <x v="0"/>
    <x v="8"/>
    <x v="19"/>
    <s v="SE4_HP"/>
    <x v="8"/>
    <s v="GBPR_WOODPELLETS"/>
    <x v="0"/>
    <x v="18"/>
    <n v="141.393442622951"/>
    <n v="51608.606557377003"/>
    <n v="185790.98360655701"/>
  </r>
  <r>
    <x v="0"/>
    <x v="0"/>
    <x v="0"/>
    <x v="8"/>
    <x v="19"/>
    <s v="SE4_HP"/>
    <x v="8"/>
    <s v="GBPR_WOODPELLETS"/>
    <x v="0"/>
    <x v="19"/>
    <n v="141.393442622951"/>
    <n v="51608.606557377003"/>
    <n v="185790.98360655701"/>
  </r>
  <r>
    <x v="0"/>
    <x v="0"/>
    <x v="0"/>
    <x v="8"/>
    <x v="19"/>
    <s v="SE4_HP"/>
    <x v="8"/>
    <s v="GBPR_WOODPELLETS"/>
    <x v="0"/>
    <x v="20"/>
    <n v="141.393442622951"/>
    <n v="51608.606557377003"/>
    <n v="185790.98360655701"/>
  </r>
  <r>
    <x v="0"/>
    <x v="0"/>
    <x v="0"/>
    <x v="8"/>
    <x v="19"/>
    <s v="SE4_HP"/>
    <x v="8"/>
    <s v="GBPR_WOODPELLETS"/>
    <x v="0"/>
    <x v="21"/>
    <n v="141.393442622951"/>
    <n v="51608.606557377003"/>
    <n v="185790.98360655701"/>
  </r>
  <r>
    <x v="0"/>
    <x v="0"/>
    <x v="0"/>
    <x v="8"/>
    <x v="19"/>
    <s v="SE4_HP"/>
    <x v="8"/>
    <s v="GBPR_WOODPELLETS"/>
    <x v="0"/>
    <x v="22"/>
    <n v="141.393442622951"/>
    <n v="51608.606557377003"/>
    <n v="185790.98360655701"/>
  </r>
  <r>
    <x v="0"/>
    <x v="0"/>
    <x v="0"/>
    <x v="8"/>
    <x v="19"/>
    <s v="SE4_HP"/>
    <x v="8"/>
    <s v="GBPR_WOODPELLETS"/>
    <x v="0"/>
    <x v="23"/>
    <n v="141.393442622951"/>
    <n v="51608.606557377003"/>
    <n v="185790.98360655701"/>
  </r>
  <r>
    <x v="0"/>
    <x v="0"/>
    <x v="0"/>
    <x v="8"/>
    <x v="19"/>
    <s v="SE4_MAL"/>
    <x v="2"/>
    <s v="GNR_HS_HEAT_WTR-TANK_LS_E-95_Y-2010"/>
    <x v="0"/>
    <x v="7"/>
    <n v="61.593792391039798"/>
    <n v="22481.734222729501"/>
    <n v="80934.243201826306"/>
  </r>
  <r>
    <x v="0"/>
    <x v="0"/>
    <x v="0"/>
    <x v="8"/>
    <x v="19"/>
    <s v="SE4_MAL"/>
    <x v="2"/>
    <s v="GNR_HS_HEAT_WTR-TANK_LS_E-95_Y-2010"/>
    <x v="0"/>
    <x v="8"/>
    <n v="56.884303868456598"/>
    <n v="20762.770911986601"/>
    <n v="74745.9752831519"/>
  </r>
  <r>
    <x v="0"/>
    <x v="0"/>
    <x v="0"/>
    <x v="8"/>
    <x v="19"/>
    <s v="SE4_MAL"/>
    <x v="2"/>
    <s v="GNR_HS_HEAT_WTR-TANK_LS_E-95_Y-2010"/>
    <x v="0"/>
    <x v="9"/>
    <n v="50.856046596244802"/>
    <n v="18562.457007629298"/>
    <n v="66824.845227465703"/>
  </r>
  <r>
    <x v="0"/>
    <x v="0"/>
    <x v="0"/>
    <x v="8"/>
    <x v="19"/>
    <s v="SE4_MAL"/>
    <x v="2"/>
    <s v="GNR_HS_HEAT_WTR-TANK_LS_E-95_Y-2010"/>
    <x v="0"/>
    <x v="10"/>
    <n v="40.372149614604702"/>
    <n v="14735.834609330699"/>
    <n v="53049.004593590602"/>
  </r>
  <r>
    <x v="0"/>
    <x v="0"/>
    <x v="0"/>
    <x v="8"/>
    <x v="19"/>
    <s v="SE4_MAL"/>
    <x v="3"/>
    <s v="GBPR_MUNIWASTE_24"/>
    <x v="0"/>
    <x v="0"/>
    <n v="105.54643063947999"/>
    <n v="38524.447183410302"/>
    <n v="138688.009860277"/>
  </r>
  <r>
    <x v="0"/>
    <x v="0"/>
    <x v="0"/>
    <x v="8"/>
    <x v="19"/>
    <s v="SE4_MAL"/>
    <x v="3"/>
    <s v="GBPR_MUNIWASTE_24"/>
    <x v="0"/>
    <x v="1"/>
    <n v="105.54643063947999"/>
    <n v="38524.447183410302"/>
    <n v="138688.009860277"/>
  </r>
  <r>
    <x v="0"/>
    <x v="0"/>
    <x v="0"/>
    <x v="8"/>
    <x v="19"/>
    <s v="SE4_MAL"/>
    <x v="3"/>
    <s v="GBPR_MUNIWASTE_24"/>
    <x v="0"/>
    <x v="2"/>
    <n v="105.54643063947999"/>
    <n v="38524.447183410302"/>
    <n v="138688.009860277"/>
  </r>
  <r>
    <x v="0"/>
    <x v="0"/>
    <x v="0"/>
    <x v="8"/>
    <x v="19"/>
    <s v="SE4_MAL"/>
    <x v="3"/>
    <s v="GBPR_MUNIWASTE_24"/>
    <x v="0"/>
    <x v="3"/>
    <n v="105.54643063947999"/>
    <n v="38524.447183410302"/>
    <n v="138688.009860277"/>
  </r>
  <r>
    <x v="0"/>
    <x v="0"/>
    <x v="0"/>
    <x v="8"/>
    <x v="19"/>
    <s v="SE4_MAL"/>
    <x v="3"/>
    <s v="GBPR_MUNIWASTE_24"/>
    <x v="0"/>
    <x v="4"/>
    <n v="105.54643063947999"/>
    <n v="38524.447183410302"/>
    <n v="138688.009860277"/>
  </r>
  <r>
    <x v="0"/>
    <x v="0"/>
    <x v="0"/>
    <x v="8"/>
    <x v="19"/>
    <s v="SE4_MAL"/>
    <x v="3"/>
    <s v="GBPR_MUNIWASTE_24"/>
    <x v="0"/>
    <x v="5"/>
    <n v="105.54643063947999"/>
    <n v="38524.447183410302"/>
    <n v="138688.009860277"/>
  </r>
  <r>
    <x v="0"/>
    <x v="0"/>
    <x v="0"/>
    <x v="8"/>
    <x v="19"/>
    <s v="SE4_MAL"/>
    <x v="3"/>
    <s v="GBPR_MUNIWASTE_24"/>
    <x v="0"/>
    <x v="6"/>
    <n v="105.54643063947999"/>
    <n v="38524.447183410302"/>
    <n v="138688.009860277"/>
  </r>
  <r>
    <x v="0"/>
    <x v="0"/>
    <x v="0"/>
    <x v="8"/>
    <x v="19"/>
    <s v="SE4_MAL"/>
    <x v="3"/>
    <s v="GBPR_MUNIWASTE_24"/>
    <x v="0"/>
    <x v="7"/>
    <n v="105.54643063947999"/>
    <n v="38524.447183410302"/>
    <n v="138688.009860277"/>
  </r>
  <r>
    <x v="0"/>
    <x v="0"/>
    <x v="0"/>
    <x v="8"/>
    <x v="19"/>
    <s v="SE4_MAL"/>
    <x v="3"/>
    <s v="GBPR_MUNIWASTE_24"/>
    <x v="0"/>
    <x v="8"/>
    <n v="105.54643063947999"/>
    <n v="38524.447183410302"/>
    <n v="138688.009860277"/>
  </r>
  <r>
    <x v="0"/>
    <x v="0"/>
    <x v="0"/>
    <x v="8"/>
    <x v="19"/>
    <s v="SE4_MAL"/>
    <x v="3"/>
    <s v="GBPR_MUNIWASTE_24"/>
    <x v="0"/>
    <x v="9"/>
    <n v="105.54643063947999"/>
    <n v="38524.447183410302"/>
    <n v="138688.009860277"/>
  </r>
  <r>
    <x v="0"/>
    <x v="0"/>
    <x v="0"/>
    <x v="8"/>
    <x v="19"/>
    <s v="SE4_MAL"/>
    <x v="3"/>
    <s v="GBPR_MUNIWASTE_24"/>
    <x v="0"/>
    <x v="10"/>
    <n v="105.54643063947999"/>
    <n v="38524.447183410302"/>
    <n v="138688.009860277"/>
  </r>
  <r>
    <x v="0"/>
    <x v="0"/>
    <x v="0"/>
    <x v="8"/>
    <x v="19"/>
    <s v="SE4_MAL"/>
    <x v="3"/>
    <s v="GBPR_MUNIWASTE_24"/>
    <x v="0"/>
    <x v="11"/>
    <n v="105.54643063947999"/>
    <n v="38524.447183410302"/>
    <n v="138688.009860277"/>
  </r>
  <r>
    <x v="0"/>
    <x v="0"/>
    <x v="0"/>
    <x v="8"/>
    <x v="19"/>
    <s v="SE4_MAL"/>
    <x v="3"/>
    <s v="GBPR_MUNIWASTE_24"/>
    <x v="0"/>
    <x v="12"/>
    <n v="105.54643063947999"/>
    <n v="38524.447183410302"/>
    <n v="138688.009860277"/>
  </r>
  <r>
    <x v="0"/>
    <x v="0"/>
    <x v="0"/>
    <x v="8"/>
    <x v="19"/>
    <s v="SE4_MAL"/>
    <x v="3"/>
    <s v="GBPR_MUNIWASTE_24"/>
    <x v="0"/>
    <x v="13"/>
    <n v="105.54643063947999"/>
    <n v="38524.447183410302"/>
    <n v="138688.009860277"/>
  </r>
  <r>
    <x v="0"/>
    <x v="0"/>
    <x v="0"/>
    <x v="8"/>
    <x v="19"/>
    <s v="SE4_MAL"/>
    <x v="3"/>
    <s v="GBPR_MUNIWASTE_24"/>
    <x v="0"/>
    <x v="14"/>
    <n v="105.54643063947999"/>
    <n v="38524.447183410302"/>
    <n v="138688.009860277"/>
  </r>
  <r>
    <x v="0"/>
    <x v="0"/>
    <x v="0"/>
    <x v="8"/>
    <x v="19"/>
    <s v="SE4_MAL"/>
    <x v="3"/>
    <s v="GBPR_MUNIWASTE_24"/>
    <x v="0"/>
    <x v="15"/>
    <n v="105.54643063947999"/>
    <n v="38524.447183410302"/>
    <n v="138688.009860277"/>
  </r>
  <r>
    <x v="0"/>
    <x v="0"/>
    <x v="0"/>
    <x v="8"/>
    <x v="19"/>
    <s v="SE4_MAL"/>
    <x v="3"/>
    <s v="GBPR_MUNIWASTE_24"/>
    <x v="0"/>
    <x v="16"/>
    <n v="105.54643063947999"/>
    <n v="38524.447183410302"/>
    <n v="138688.009860277"/>
  </r>
  <r>
    <x v="0"/>
    <x v="0"/>
    <x v="0"/>
    <x v="8"/>
    <x v="19"/>
    <s v="SE4_MAL"/>
    <x v="3"/>
    <s v="GBPR_MUNIWASTE_24"/>
    <x v="0"/>
    <x v="17"/>
    <n v="105.54643063947999"/>
    <n v="38524.447183410302"/>
    <n v="138688.009860277"/>
  </r>
  <r>
    <x v="0"/>
    <x v="0"/>
    <x v="0"/>
    <x v="8"/>
    <x v="19"/>
    <s v="SE4_MAL"/>
    <x v="3"/>
    <s v="GBPR_MUNIWASTE_24"/>
    <x v="0"/>
    <x v="18"/>
    <n v="105.54643063947999"/>
    <n v="38524.447183410302"/>
    <n v="138688.009860277"/>
  </r>
  <r>
    <x v="0"/>
    <x v="0"/>
    <x v="0"/>
    <x v="8"/>
    <x v="19"/>
    <s v="SE4_MAL"/>
    <x v="3"/>
    <s v="GBPR_MUNIWASTE_24"/>
    <x v="0"/>
    <x v="19"/>
    <n v="105.54643063947999"/>
    <n v="38524.447183410302"/>
    <n v="138688.009860277"/>
  </r>
  <r>
    <x v="0"/>
    <x v="0"/>
    <x v="0"/>
    <x v="8"/>
    <x v="19"/>
    <s v="SE4_MAL"/>
    <x v="3"/>
    <s v="GBPR_MUNIWASTE_24"/>
    <x v="0"/>
    <x v="20"/>
    <n v="105.54643063947999"/>
    <n v="38524.447183410302"/>
    <n v="138688.009860277"/>
  </r>
  <r>
    <x v="0"/>
    <x v="0"/>
    <x v="0"/>
    <x v="8"/>
    <x v="19"/>
    <s v="SE4_MAL"/>
    <x v="3"/>
    <s v="GBPR_MUNIWASTE_24"/>
    <x v="0"/>
    <x v="21"/>
    <n v="105.54643063947999"/>
    <n v="38524.447183410302"/>
    <n v="138688.009860277"/>
  </r>
  <r>
    <x v="0"/>
    <x v="0"/>
    <x v="0"/>
    <x v="8"/>
    <x v="19"/>
    <s v="SE4_MAL"/>
    <x v="3"/>
    <s v="GBPR_MUNIWASTE_24"/>
    <x v="0"/>
    <x v="22"/>
    <n v="105.54643063947999"/>
    <n v="38524.447183410302"/>
    <n v="138688.009860277"/>
  </r>
  <r>
    <x v="0"/>
    <x v="0"/>
    <x v="0"/>
    <x v="8"/>
    <x v="19"/>
    <s v="SE4_MAL"/>
    <x v="3"/>
    <s v="GBPR_MUNIWASTE_24"/>
    <x v="0"/>
    <x v="23"/>
    <n v="105.54643063947999"/>
    <n v="38524.447183410302"/>
    <n v="138688.009860277"/>
  </r>
  <r>
    <x v="0"/>
    <x v="0"/>
    <x v="0"/>
    <x v="8"/>
    <x v="19"/>
    <s v="SE4_MAL"/>
    <x v="3"/>
    <s v="GHOB_MUNIWASTE"/>
    <x v="0"/>
    <x v="0"/>
    <n v="48.715971793323398"/>
    <n v="17781.329704562999"/>
    <n v="64012.786936427001"/>
  </r>
  <r>
    <x v="0"/>
    <x v="0"/>
    <x v="0"/>
    <x v="8"/>
    <x v="19"/>
    <s v="SE4_MAL"/>
    <x v="3"/>
    <s v="GHOB_MUNIWASTE"/>
    <x v="0"/>
    <x v="1"/>
    <n v="48.715971793323398"/>
    <n v="17781.329704562999"/>
    <n v="64012.786936427001"/>
  </r>
  <r>
    <x v="0"/>
    <x v="0"/>
    <x v="0"/>
    <x v="8"/>
    <x v="19"/>
    <s v="SE4_MAL"/>
    <x v="3"/>
    <s v="GHOB_MUNIWASTE"/>
    <x v="0"/>
    <x v="2"/>
    <n v="48.715971793323398"/>
    <n v="17781.329704562999"/>
    <n v="64012.786936427001"/>
  </r>
  <r>
    <x v="0"/>
    <x v="0"/>
    <x v="0"/>
    <x v="8"/>
    <x v="19"/>
    <s v="SE4_MAL"/>
    <x v="3"/>
    <s v="GHOB_MUNIWASTE"/>
    <x v="0"/>
    <x v="3"/>
    <n v="48.715971793323398"/>
    <n v="17781.329704562999"/>
    <n v="64012.786936427001"/>
  </r>
  <r>
    <x v="0"/>
    <x v="0"/>
    <x v="0"/>
    <x v="8"/>
    <x v="19"/>
    <s v="SE4_MAL"/>
    <x v="3"/>
    <s v="GHOB_MUNIWASTE"/>
    <x v="0"/>
    <x v="4"/>
    <n v="48.715971793323398"/>
    <n v="17781.329704562999"/>
    <n v="64012.786936427001"/>
  </r>
  <r>
    <x v="0"/>
    <x v="0"/>
    <x v="0"/>
    <x v="8"/>
    <x v="19"/>
    <s v="SE4_MAL"/>
    <x v="3"/>
    <s v="GHOB_MUNIWASTE"/>
    <x v="0"/>
    <x v="5"/>
    <n v="48.715971793323398"/>
    <n v="17781.329704562999"/>
    <n v="64012.786936427001"/>
  </r>
  <r>
    <x v="0"/>
    <x v="0"/>
    <x v="0"/>
    <x v="8"/>
    <x v="19"/>
    <s v="SE4_MAL"/>
    <x v="3"/>
    <s v="GHOB_MUNIWASTE"/>
    <x v="0"/>
    <x v="6"/>
    <n v="48.715971793323398"/>
    <n v="17781.329704562999"/>
    <n v="64012.786936427001"/>
  </r>
  <r>
    <x v="0"/>
    <x v="0"/>
    <x v="0"/>
    <x v="8"/>
    <x v="19"/>
    <s v="SE4_MAL"/>
    <x v="3"/>
    <s v="GHOB_MUNIWASTE"/>
    <x v="0"/>
    <x v="7"/>
    <n v="48.715971793323398"/>
    <n v="17781.329704562999"/>
    <n v="64012.786936427001"/>
  </r>
  <r>
    <x v="0"/>
    <x v="0"/>
    <x v="0"/>
    <x v="8"/>
    <x v="19"/>
    <s v="SE4_MAL"/>
    <x v="3"/>
    <s v="GHOB_MUNIWASTE"/>
    <x v="0"/>
    <x v="8"/>
    <n v="48.715971793323398"/>
    <n v="17781.329704562999"/>
    <n v="64012.786936427001"/>
  </r>
  <r>
    <x v="0"/>
    <x v="0"/>
    <x v="0"/>
    <x v="8"/>
    <x v="19"/>
    <s v="SE4_MAL"/>
    <x v="3"/>
    <s v="GHOB_MUNIWASTE"/>
    <x v="0"/>
    <x v="9"/>
    <n v="48.715971793323398"/>
    <n v="17781.329704562999"/>
    <n v="64012.786936427001"/>
  </r>
  <r>
    <x v="0"/>
    <x v="0"/>
    <x v="0"/>
    <x v="8"/>
    <x v="19"/>
    <s v="SE4_MAL"/>
    <x v="3"/>
    <s v="GHOB_MUNIWASTE"/>
    <x v="0"/>
    <x v="10"/>
    <n v="48.715971793323398"/>
    <n v="17781.329704562999"/>
    <n v="64012.786936427001"/>
  </r>
  <r>
    <x v="0"/>
    <x v="0"/>
    <x v="0"/>
    <x v="8"/>
    <x v="19"/>
    <s v="SE4_MAL"/>
    <x v="3"/>
    <s v="GHOB_MUNIWASTE"/>
    <x v="0"/>
    <x v="11"/>
    <n v="48.715971793323398"/>
    <n v="17781.329704562999"/>
    <n v="64012.786936427001"/>
  </r>
  <r>
    <x v="0"/>
    <x v="0"/>
    <x v="0"/>
    <x v="8"/>
    <x v="19"/>
    <s v="SE4_MAL"/>
    <x v="3"/>
    <s v="GHOB_MUNIWASTE"/>
    <x v="0"/>
    <x v="12"/>
    <n v="48.715971793323398"/>
    <n v="17781.329704562999"/>
    <n v="64012.786936427001"/>
  </r>
  <r>
    <x v="0"/>
    <x v="0"/>
    <x v="0"/>
    <x v="8"/>
    <x v="19"/>
    <s v="SE4_MAL"/>
    <x v="3"/>
    <s v="GHOB_MUNIWASTE"/>
    <x v="0"/>
    <x v="13"/>
    <n v="48.715971793323398"/>
    <n v="17781.329704562999"/>
    <n v="64012.786936427001"/>
  </r>
  <r>
    <x v="0"/>
    <x v="0"/>
    <x v="0"/>
    <x v="8"/>
    <x v="19"/>
    <s v="SE4_MAL"/>
    <x v="3"/>
    <s v="GHOB_MUNIWASTE"/>
    <x v="0"/>
    <x v="14"/>
    <n v="48.715971793323398"/>
    <n v="17781.329704562999"/>
    <n v="64012.786936427001"/>
  </r>
  <r>
    <x v="0"/>
    <x v="0"/>
    <x v="0"/>
    <x v="8"/>
    <x v="19"/>
    <s v="SE4_MAL"/>
    <x v="3"/>
    <s v="GHOB_MUNIWASTE"/>
    <x v="0"/>
    <x v="15"/>
    <n v="48.715971793323398"/>
    <n v="17781.329704562999"/>
    <n v="64012.786936427001"/>
  </r>
  <r>
    <x v="0"/>
    <x v="0"/>
    <x v="0"/>
    <x v="8"/>
    <x v="19"/>
    <s v="SE4_MAL"/>
    <x v="3"/>
    <s v="GHOB_MUNIWASTE"/>
    <x v="0"/>
    <x v="16"/>
    <n v="48.715971793323398"/>
    <n v="17781.329704562999"/>
    <n v="64012.786936427001"/>
  </r>
  <r>
    <x v="0"/>
    <x v="0"/>
    <x v="0"/>
    <x v="8"/>
    <x v="19"/>
    <s v="SE4_MAL"/>
    <x v="3"/>
    <s v="GHOB_MUNIWASTE"/>
    <x v="0"/>
    <x v="17"/>
    <n v="48.715971793323398"/>
    <n v="17781.329704562999"/>
    <n v="64012.786936427001"/>
  </r>
  <r>
    <x v="0"/>
    <x v="0"/>
    <x v="0"/>
    <x v="8"/>
    <x v="19"/>
    <s v="SE4_MAL"/>
    <x v="3"/>
    <s v="GHOB_MUNIWASTE"/>
    <x v="0"/>
    <x v="18"/>
    <n v="48.715971793323398"/>
    <n v="17781.329704562999"/>
    <n v="64012.786936427001"/>
  </r>
  <r>
    <x v="0"/>
    <x v="0"/>
    <x v="0"/>
    <x v="8"/>
    <x v="19"/>
    <s v="SE4_MAL"/>
    <x v="3"/>
    <s v="GHOB_MUNIWASTE"/>
    <x v="0"/>
    <x v="19"/>
    <n v="48.715971793323398"/>
    <n v="17781.329704562999"/>
    <n v="64012.786936427001"/>
  </r>
  <r>
    <x v="0"/>
    <x v="0"/>
    <x v="0"/>
    <x v="8"/>
    <x v="19"/>
    <s v="SE4_MAL"/>
    <x v="3"/>
    <s v="GHOB_MUNIWASTE"/>
    <x v="0"/>
    <x v="20"/>
    <n v="48.715971793323398"/>
    <n v="17781.329704562999"/>
    <n v="64012.786936427001"/>
  </r>
  <r>
    <x v="0"/>
    <x v="0"/>
    <x v="0"/>
    <x v="8"/>
    <x v="19"/>
    <s v="SE4_MAL"/>
    <x v="3"/>
    <s v="GHOB_MUNIWASTE"/>
    <x v="0"/>
    <x v="21"/>
    <n v="48.715971793323398"/>
    <n v="17781.329704562999"/>
    <n v="64012.786936427001"/>
  </r>
  <r>
    <x v="0"/>
    <x v="0"/>
    <x v="0"/>
    <x v="8"/>
    <x v="19"/>
    <s v="SE4_MAL"/>
    <x v="3"/>
    <s v="GHOB_MUNIWASTE"/>
    <x v="0"/>
    <x v="22"/>
    <n v="48.715971793323398"/>
    <n v="17781.329704562999"/>
    <n v="64012.786936427001"/>
  </r>
  <r>
    <x v="0"/>
    <x v="0"/>
    <x v="0"/>
    <x v="8"/>
    <x v="19"/>
    <s v="SE4_MAL"/>
    <x v="3"/>
    <s v="GHOB_MUNIWASTE"/>
    <x v="0"/>
    <x v="23"/>
    <n v="48.715971793323398"/>
    <n v="17781.329704562999"/>
    <n v="64012.786936427001"/>
  </r>
  <r>
    <x v="0"/>
    <x v="0"/>
    <x v="0"/>
    <x v="8"/>
    <x v="19"/>
    <s v="SE4_MAL"/>
    <x v="4"/>
    <s v="GEXT_NATGAS_ORESUND"/>
    <x v="0"/>
    <x v="5"/>
    <n v="0.72408614356189105"/>
    <n v="264.29144240008998"/>
    <n v="951.44919264032501"/>
  </r>
  <r>
    <x v="0"/>
    <x v="0"/>
    <x v="0"/>
    <x v="8"/>
    <x v="19"/>
    <s v="SE4_MAL"/>
    <x v="4"/>
    <s v="GEXT_NATGAS_ORESUND"/>
    <x v="0"/>
    <x v="6"/>
    <n v="45.1337049884606"/>
    <n v="16473.802320788101"/>
    <n v="59305.688354837199"/>
  </r>
  <r>
    <x v="0"/>
    <x v="0"/>
    <x v="0"/>
    <x v="8"/>
    <x v="19"/>
    <s v="SE4_MAL"/>
    <x v="4"/>
    <s v="GEXT_NATGAS_ORESUND"/>
    <x v="0"/>
    <x v="10"/>
    <n v="3.5717249943800899"/>
    <n v="1303.67962294873"/>
    <n v="4693.2466426154397"/>
  </r>
  <r>
    <x v="0"/>
    <x v="0"/>
    <x v="0"/>
    <x v="8"/>
    <x v="19"/>
    <s v="SE4_MAL"/>
    <x v="4"/>
    <s v="GEXT_NATGAS_ORESUND"/>
    <x v="0"/>
    <x v="11"/>
    <n v="34.040536483219"/>
    <n v="12424.795816374901"/>
    <n v="44729.264938949702"/>
  </r>
  <r>
    <x v="0"/>
    <x v="0"/>
    <x v="0"/>
    <x v="8"/>
    <x v="19"/>
    <s v="SE4_MAL"/>
    <x v="4"/>
    <s v="GEXT_NATGAS_ORESUND"/>
    <x v="0"/>
    <x v="12"/>
    <n v="24.315427402186199"/>
    <n v="8875.1310017979595"/>
    <n v="31950.4716064727"/>
  </r>
  <r>
    <x v="0"/>
    <x v="0"/>
    <x v="0"/>
    <x v="8"/>
    <x v="19"/>
    <s v="SE4_MAL"/>
    <x v="4"/>
    <s v="GEXT_NATGAS_ORESUND"/>
    <x v="0"/>
    <x v="13"/>
    <n v="22.658825242131499"/>
    <n v="8270.4712133780104"/>
    <n v="29773.696368160799"/>
  </r>
  <r>
    <x v="0"/>
    <x v="0"/>
    <x v="0"/>
    <x v="8"/>
    <x v="19"/>
    <s v="SE4_MAL"/>
    <x v="4"/>
    <s v="GEXT_NATGAS_ORESUND"/>
    <x v="0"/>
    <x v="14"/>
    <n v="22.124598383999398"/>
    <n v="8075.4784101597897"/>
    <n v="29071.722276575201"/>
  </r>
  <r>
    <x v="0"/>
    <x v="0"/>
    <x v="0"/>
    <x v="8"/>
    <x v="19"/>
    <s v="SE4_MAL"/>
    <x v="4"/>
    <s v="GEXT_NATGAS_ORESUND"/>
    <x v="0"/>
    <x v="15"/>
    <n v="24.804858697253501"/>
    <n v="9053.77342449754"/>
    <n v="32593.5843281911"/>
  </r>
  <r>
    <x v="0"/>
    <x v="0"/>
    <x v="0"/>
    <x v="8"/>
    <x v="19"/>
    <s v="SE4_MAL"/>
    <x v="4"/>
    <s v="GEXT_NATGAS_ORESUND"/>
    <x v="0"/>
    <x v="16"/>
    <n v="25.2668004722765"/>
    <n v="9222.3821723809106"/>
    <n v="33200.575820571299"/>
  </r>
  <r>
    <x v="0"/>
    <x v="0"/>
    <x v="0"/>
    <x v="8"/>
    <x v="19"/>
    <s v="SE4_MAL"/>
    <x v="4"/>
    <s v="GEXT_NATGAS_ORESUND"/>
    <x v="0"/>
    <x v="17"/>
    <n v="19.481862650248601"/>
    <n v="7110.87986734073"/>
    <n v="25599.1675224266"/>
  </r>
  <r>
    <x v="0"/>
    <x v="0"/>
    <x v="0"/>
    <x v="8"/>
    <x v="19"/>
    <s v="SE4_MAL"/>
    <x v="4"/>
    <s v="GEXT_NATGAS_ORESUND"/>
    <x v="0"/>
    <x v="18"/>
    <n v="13.730214795603899"/>
    <n v="5011.5284003954102"/>
    <n v="18041.502241423499"/>
  </r>
  <r>
    <x v="0"/>
    <x v="0"/>
    <x v="0"/>
    <x v="8"/>
    <x v="19"/>
    <s v="SE4_MAL"/>
    <x v="4"/>
    <s v="GEXT_NATGAS_ORESUND"/>
    <x v="0"/>
    <x v="19"/>
    <n v="7.8520710946940797"/>
    <n v="2866.00594956334"/>
    <n v="10317.621418428"/>
  </r>
  <r>
    <x v="0"/>
    <x v="0"/>
    <x v="0"/>
    <x v="8"/>
    <x v="19"/>
    <s v="SE4_MAL"/>
    <x v="6"/>
    <s v="GHOB_WASTEHEAT"/>
    <x v="0"/>
    <x v="0"/>
    <n v="12.362637362637299"/>
    <n v="4512.3626373626203"/>
    <n v="16244.5054945054"/>
  </r>
  <r>
    <x v="0"/>
    <x v="0"/>
    <x v="0"/>
    <x v="8"/>
    <x v="19"/>
    <s v="SE4_MAL"/>
    <x v="6"/>
    <s v="GHOB_WASTEHEAT"/>
    <x v="0"/>
    <x v="1"/>
    <n v="12.362637362637299"/>
    <n v="4512.3626373626203"/>
    <n v="16244.5054945054"/>
  </r>
  <r>
    <x v="0"/>
    <x v="0"/>
    <x v="0"/>
    <x v="8"/>
    <x v="19"/>
    <s v="SE4_MAL"/>
    <x v="6"/>
    <s v="GHOB_WASTEHEAT"/>
    <x v="0"/>
    <x v="2"/>
    <n v="12.362637362637299"/>
    <n v="4512.3626373626203"/>
    <n v="16244.5054945054"/>
  </r>
  <r>
    <x v="0"/>
    <x v="0"/>
    <x v="0"/>
    <x v="8"/>
    <x v="19"/>
    <s v="SE4_MAL"/>
    <x v="6"/>
    <s v="GHOB_WASTEHEAT"/>
    <x v="0"/>
    <x v="3"/>
    <n v="12.362637362637299"/>
    <n v="4512.3626373626203"/>
    <n v="16244.5054945054"/>
  </r>
  <r>
    <x v="0"/>
    <x v="0"/>
    <x v="0"/>
    <x v="8"/>
    <x v="19"/>
    <s v="SE4_MAL"/>
    <x v="6"/>
    <s v="GHOB_WASTEHEAT"/>
    <x v="0"/>
    <x v="4"/>
    <n v="12.362637362637299"/>
    <n v="4512.3626373626203"/>
    <n v="16244.5054945054"/>
  </r>
  <r>
    <x v="0"/>
    <x v="0"/>
    <x v="0"/>
    <x v="8"/>
    <x v="19"/>
    <s v="SE4_MAL"/>
    <x v="6"/>
    <s v="GHOB_WASTEHEAT"/>
    <x v="0"/>
    <x v="5"/>
    <n v="12.362637362637299"/>
    <n v="4512.3626373626203"/>
    <n v="16244.5054945054"/>
  </r>
  <r>
    <x v="0"/>
    <x v="0"/>
    <x v="0"/>
    <x v="8"/>
    <x v="19"/>
    <s v="SE4_MAL"/>
    <x v="6"/>
    <s v="GHOB_WASTEHEAT"/>
    <x v="0"/>
    <x v="6"/>
    <n v="12.362637362637299"/>
    <n v="4512.3626373626203"/>
    <n v="16244.5054945054"/>
  </r>
  <r>
    <x v="0"/>
    <x v="0"/>
    <x v="0"/>
    <x v="8"/>
    <x v="19"/>
    <s v="SE4_MAL"/>
    <x v="6"/>
    <s v="GHOB_WASTEHEAT"/>
    <x v="0"/>
    <x v="7"/>
    <n v="12.362637362637299"/>
    <n v="4512.3626373626203"/>
    <n v="16244.5054945054"/>
  </r>
  <r>
    <x v="0"/>
    <x v="0"/>
    <x v="0"/>
    <x v="8"/>
    <x v="19"/>
    <s v="SE4_MAL"/>
    <x v="6"/>
    <s v="GHOB_WASTEHEAT"/>
    <x v="0"/>
    <x v="8"/>
    <n v="12.362637362637299"/>
    <n v="4512.3626373626203"/>
    <n v="16244.5054945054"/>
  </r>
  <r>
    <x v="0"/>
    <x v="0"/>
    <x v="0"/>
    <x v="8"/>
    <x v="19"/>
    <s v="SE4_MAL"/>
    <x v="6"/>
    <s v="GHOB_WASTEHEAT"/>
    <x v="0"/>
    <x v="9"/>
    <n v="12.362637362637299"/>
    <n v="4512.3626373626203"/>
    <n v="16244.5054945054"/>
  </r>
  <r>
    <x v="0"/>
    <x v="0"/>
    <x v="0"/>
    <x v="8"/>
    <x v="19"/>
    <s v="SE4_MAL"/>
    <x v="6"/>
    <s v="GHOB_WASTEHEAT"/>
    <x v="0"/>
    <x v="10"/>
    <n v="12.362637362637299"/>
    <n v="4512.3626373626203"/>
    <n v="16244.5054945054"/>
  </r>
  <r>
    <x v="0"/>
    <x v="0"/>
    <x v="0"/>
    <x v="8"/>
    <x v="19"/>
    <s v="SE4_MAL"/>
    <x v="6"/>
    <s v="GHOB_WASTEHEAT"/>
    <x v="0"/>
    <x v="11"/>
    <n v="12.362637362637299"/>
    <n v="4512.3626373626203"/>
    <n v="16244.5054945054"/>
  </r>
  <r>
    <x v="0"/>
    <x v="0"/>
    <x v="0"/>
    <x v="8"/>
    <x v="19"/>
    <s v="SE4_MAL"/>
    <x v="6"/>
    <s v="GHOB_WASTEHEAT"/>
    <x v="0"/>
    <x v="12"/>
    <n v="12.362637362637299"/>
    <n v="4512.3626373626203"/>
    <n v="16244.5054945054"/>
  </r>
  <r>
    <x v="0"/>
    <x v="0"/>
    <x v="0"/>
    <x v="8"/>
    <x v="19"/>
    <s v="SE4_MAL"/>
    <x v="6"/>
    <s v="GHOB_WASTEHEAT"/>
    <x v="0"/>
    <x v="13"/>
    <n v="12.362637362637299"/>
    <n v="4512.3626373626203"/>
    <n v="16244.5054945054"/>
  </r>
  <r>
    <x v="0"/>
    <x v="0"/>
    <x v="0"/>
    <x v="8"/>
    <x v="19"/>
    <s v="SE4_MAL"/>
    <x v="6"/>
    <s v="GHOB_WASTEHEAT"/>
    <x v="0"/>
    <x v="14"/>
    <n v="12.362637362637299"/>
    <n v="4512.3626373626203"/>
    <n v="16244.5054945054"/>
  </r>
  <r>
    <x v="0"/>
    <x v="0"/>
    <x v="0"/>
    <x v="8"/>
    <x v="19"/>
    <s v="SE4_MAL"/>
    <x v="6"/>
    <s v="GHOB_WASTEHEAT"/>
    <x v="0"/>
    <x v="15"/>
    <n v="12.362637362637299"/>
    <n v="4512.3626373626203"/>
    <n v="16244.5054945054"/>
  </r>
  <r>
    <x v="0"/>
    <x v="0"/>
    <x v="0"/>
    <x v="8"/>
    <x v="19"/>
    <s v="SE4_MAL"/>
    <x v="6"/>
    <s v="GHOB_WASTEHEAT"/>
    <x v="0"/>
    <x v="16"/>
    <n v="12.362637362637299"/>
    <n v="4512.3626373626203"/>
    <n v="16244.5054945054"/>
  </r>
  <r>
    <x v="0"/>
    <x v="0"/>
    <x v="0"/>
    <x v="8"/>
    <x v="19"/>
    <s v="SE4_MAL"/>
    <x v="6"/>
    <s v="GHOB_WASTEHEAT"/>
    <x v="0"/>
    <x v="17"/>
    <n v="12.362637362637299"/>
    <n v="4512.3626373626203"/>
    <n v="16244.5054945054"/>
  </r>
  <r>
    <x v="0"/>
    <x v="0"/>
    <x v="0"/>
    <x v="8"/>
    <x v="19"/>
    <s v="SE4_MAL"/>
    <x v="6"/>
    <s v="GHOB_WASTEHEAT"/>
    <x v="0"/>
    <x v="18"/>
    <n v="12.362637362637299"/>
    <n v="4512.3626373626203"/>
    <n v="16244.5054945054"/>
  </r>
  <r>
    <x v="0"/>
    <x v="0"/>
    <x v="0"/>
    <x v="8"/>
    <x v="19"/>
    <s v="SE4_MAL"/>
    <x v="6"/>
    <s v="GHOB_WASTEHEAT"/>
    <x v="0"/>
    <x v="19"/>
    <n v="12.362637362637299"/>
    <n v="4512.3626373626203"/>
    <n v="16244.5054945054"/>
  </r>
  <r>
    <x v="0"/>
    <x v="0"/>
    <x v="0"/>
    <x v="8"/>
    <x v="19"/>
    <s v="SE4_MAL"/>
    <x v="6"/>
    <s v="GHOB_WASTEHEAT"/>
    <x v="0"/>
    <x v="20"/>
    <n v="12.362637362637299"/>
    <n v="4512.3626373626203"/>
    <n v="16244.5054945054"/>
  </r>
  <r>
    <x v="0"/>
    <x v="0"/>
    <x v="0"/>
    <x v="8"/>
    <x v="19"/>
    <s v="SE4_MAL"/>
    <x v="6"/>
    <s v="GHOB_WASTEHEAT"/>
    <x v="0"/>
    <x v="21"/>
    <n v="12.362637362637299"/>
    <n v="4512.3626373626203"/>
    <n v="16244.5054945054"/>
  </r>
  <r>
    <x v="0"/>
    <x v="0"/>
    <x v="0"/>
    <x v="8"/>
    <x v="19"/>
    <s v="SE4_MAL"/>
    <x v="6"/>
    <s v="GHOB_WASTEHEAT"/>
    <x v="0"/>
    <x v="22"/>
    <n v="12.362637362637299"/>
    <n v="4512.3626373626203"/>
    <n v="16244.5054945054"/>
  </r>
  <r>
    <x v="0"/>
    <x v="0"/>
    <x v="0"/>
    <x v="8"/>
    <x v="19"/>
    <s v="SE4_MAL"/>
    <x v="6"/>
    <s v="GHOB_WASTEHEAT"/>
    <x v="0"/>
    <x v="23"/>
    <n v="12.362637362637299"/>
    <n v="4512.3626373626203"/>
    <n v="16244.5054945054"/>
  </r>
  <r>
    <x v="0"/>
    <x v="0"/>
    <x v="0"/>
    <x v="8"/>
    <x v="19"/>
    <s v="SE4_MAL"/>
    <x v="7"/>
    <s v="GHOB_WOODCHIPS"/>
    <x v="0"/>
    <x v="0"/>
    <n v="70"/>
    <n v="25550"/>
    <n v="91980"/>
  </r>
  <r>
    <x v="0"/>
    <x v="0"/>
    <x v="0"/>
    <x v="8"/>
    <x v="19"/>
    <s v="SE4_MAL"/>
    <x v="7"/>
    <s v="GHOB_WOODCHIPS"/>
    <x v="0"/>
    <x v="1"/>
    <n v="70"/>
    <n v="25550"/>
    <n v="91980"/>
  </r>
  <r>
    <x v="0"/>
    <x v="0"/>
    <x v="0"/>
    <x v="8"/>
    <x v="19"/>
    <s v="SE4_MAL"/>
    <x v="7"/>
    <s v="GHOB_WOODCHIPS"/>
    <x v="0"/>
    <x v="2"/>
    <n v="70"/>
    <n v="25550"/>
    <n v="91980"/>
  </r>
  <r>
    <x v="0"/>
    <x v="0"/>
    <x v="0"/>
    <x v="8"/>
    <x v="19"/>
    <s v="SE4_MAL"/>
    <x v="7"/>
    <s v="GHOB_WOODCHIPS"/>
    <x v="0"/>
    <x v="3"/>
    <n v="70"/>
    <n v="25550"/>
    <n v="91980"/>
  </r>
  <r>
    <x v="0"/>
    <x v="0"/>
    <x v="0"/>
    <x v="8"/>
    <x v="19"/>
    <s v="SE4_MAL"/>
    <x v="7"/>
    <s v="GHOB_WOODCHIPS"/>
    <x v="0"/>
    <x v="4"/>
    <n v="70"/>
    <n v="25550"/>
    <n v="91980"/>
  </r>
  <r>
    <x v="0"/>
    <x v="0"/>
    <x v="0"/>
    <x v="8"/>
    <x v="19"/>
    <s v="SE4_MAL"/>
    <x v="7"/>
    <s v="GHOB_WOODCHIPS"/>
    <x v="0"/>
    <x v="5"/>
    <n v="70"/>
    <n v="25550"/>
    <n v="91980"/>
  </r>
  <r>
    <x v="0"/>
    <x v="0"/>
    <x v="0"/>
    <x v="8"/>
    <x v="19"/>
    <s v="SE4_MAL"/>
    <x v="7"/>
    <s v="GHOB_WOODCHIPS"/>
    <x v="0"/>
    <x v="6"/>
    <n v="70"/>
    <n v="25550"/>
    <n v="91980"/>
  </r>
  <r>
    <x v="0"/>
    <x v="0"/>
    <x v="0"/>
    <x v="8"/>
    <x v="19"/>
    <s v="SE4_MAL"/>
    <x v="7"/>
    <s v="GHOB_WOODCHIPS"/>
    <x v="0"/>
    <x v="7"/>
    <n v="70"/>
    <n v="25550"/>
    <n v="91980"/>
  </r>
  <r>
    <x v="0"/>
    <x v="0"/>
    <x v="0"/>
    <x v="8"/>
    <x v="19"/>
    <s v="SE4_MAL"/>
    <x v="7"/>
    <s v="GHOB_WOODCHIPS"/>
    <x v="0"/>
    <x v="8"/>
    <n v="70"/>
    <n v="25550"/>
    <n v="91980"/>
  </r>
  <r>
    <x v="0"/>
    <x v="0"/>
    <x v="0"/>
    <x v="8"/>
    <x v="19"/>
    <s v="SE4_MAL"/>
    <x v="7"/>
    <s v="GHOB_WOODCHIPS"/>
    <x v="0"/>
    <x v="9"/>
    <n v="70"/>
    <n v="25550"/>
    <n v="91980"/>
  </r>
  <r>
    <x v="0"/>
    <x v="0"/>
    <x v="0"/>
    <x v="8"/>
    <x v="19"/>
    <s v="SE4_MAL"/>
    <x v="7"/>
    <s v="GHOB_WOODCHIPS"/>
    <x v="0"/>
    <x v="10"/>
    <n v="70"/>
    <n v="25550"/>
    <n v="91980"/>
  </r>
  <r>
    <x v="0"/>
    <x v="0"/>
    <x v="0"/>
    <x v="8"/>
    <x v="19"/>
    <s v="SE4_MAL"/>
    <x v="7"/>
    <s v="GHOB_WOODCHIPS"/>
    <x v="0"/>
    <x v="11"/>
    <n v="70"/>
    <n v="25550"/>
    <n v="91980"/>
  </r>
  <r>
    <x v="0"/>
    <x v="0"/>
    <x v="0"/>
    <x v="8"/>
    <x v="19"/>
    <s v="SE4_MAL"/>
    <x v="7"/>
    <s v="GHOB_WOODCHIPS"/>
    <x v="0"/>
    <x v="12"/>
    <n v="70"/>
    <n v="25550"/>
    <n v="91980"/>
  </r>
  <r>
    <x v="0"/>
    <x v="0"/>
    <x v="0"/>
    <x v="8"/>
    <x v="19"/>
    <s v="SE4_MAL"/>
    <x v="7"/>
    <s v="GHOB_WOODCHIPS"/>
    <x v="0"/>
    <x v="13"/>
    <n v="70"/>
    <n v="25550"/>
    <n v="91980"/>
  </r>
  <r>
    <x v="0"/>
    <x v="0"/>
    <x v="0"/>
    <x v="8"/>
    <x v="19"/>
    <s v="SE4_MAL"/>
    <x v="7"/>
    <s v="GHOB_WOODCHIPS"/>
    <x v="0"/>
    <x v="14"/>
    <n v="70"/>
    <n v="25550"/>
    <n v="91980"/>
  </r>
  <r>
    <x v="0"/>
    <x v="0"/>
    <x v="0"/>
    <x v="8"/>
    <x v="19"/>
    <s v="SE4_MAL"/>
    <x v="7"/>
    <s v="GHOB_WOODCHIPS"/>
    <x v="0"/>
    <x v="15"/>
    <n v="70"/>
    <n v="25550"/>
    <n v="91980"/>
  </r>
  <r>
    <x v="0"/>
    <x v="0"/>
    <x v="0"/>
    <x v="8"/>
    <x v="19"/>
    <s v="SE4_MAL"/>
    <x v="7"/>
    <s v="GHOB_WOODCHIPS"/>
    <x v="0"/>
    <x v="16"/>
    <n v="70"/>
    <n v="25550"/>
    <n v="91980"/>
  </r>
  <r>
    <x v="0"/>
    <x v="0"/>
    <x v="0"/>
    <x v="8"/>
    <x v="19"/>
    <s v="SE4_MAL"/>
    <x v="7"/>
    <s v="GHOB_WOODCHIPS"/>
    <x v="0"/>
    <x v="17"/>
    <n v="70"/>
    <n v="25550"/>
    <n v="91980"/>
  </r>
  <r>
    <x v="0"/>
    <x v="0"/>
    <x v="0"/>
    <x v="8"/>
    <x v="19"/>
    <s v="SE4_MAL"/>
    <x v="7"/>
    <s v="GHOB_WOODCHIPS"/>
    <x v="0"/>
    <x v="18"/>
    <n v="70"/>
    <n v="25550"/>
    <n v="91980"/>
  </r>
  <r>
    <x v="0"/>
    <x v="0"/>
    <x v="0"/>
    <x v="8"/>
    <x v="19"/>
    <s v="SE4_MAL"/>
    <x v="7"/>
    <s v="GHOB_WOODCHIPS"/>
    <x v="0"/>
    <x v="19"/>
    <n v="70"/>
    <n v="25550"/>
    <n v="91980"/>
  </r>
  <r>
    <x v="0"/>
    <x v="0"/>
    <x v="0"/>
    <x v="8"/>
    <x v="19"/>
    <s v="SE4_MAL"/>
    <x v="7"/>
    <s v="GHOB_WOODCHIPS"/>
    <x v="0"/>
    <x v="20"/>
    <n v="70"/>
    <n v="25550"/>
    <n v="91980"/>
  </r>
  <r>
    <x v="0"/>
    <x v="0"/>
    <x v="0"/>
    <x v="8"/>
    <x v="19"/>
    <s v="SE4_MAL"/>
    <x v="7"/>
    <s v="GHOB_WOODCHIPS"/>
    <x v="0"/>
    <x v="21"/>
    <n v="70"/>
    <n v="25550"/>
    <n v="91980"/>
  </r>
  <r>
    <x v="0"/>
    <x v="0"/>
    <x v="0"/>
    <x v="8"/>
    <x v="19"/>
    <s v="SE4_MAL"/>
    <x v="7"/>
    <s v="GHOB_WOODCHIPS"/>
    <x v="0"/>
    <x v="22"/>
    <n v="70"/>
    <n v="25550"/>
    <n v="91980"/>
  </r>
  <r>
    <x v="0"/>
    <x v="0"/>
    <x v="0"/>
    <x v="8"/>
    <x v="19"/>
    <s v="SE4_MAL"/>
    <x v="7"/>
    <s v="GHOB_WOODCHIPS"/>
    <x v="0"/>
    <x v="23"/>
    <n v="70"/>
    <n v="25550"/>
    <n v="91980"/>
  </r>
  <r>
    <x v="0"/>
    <x v="0"/>
    <x v="0"/>
    <x v="8"/>
    <x v="19"/>
    <s v="SE4_OTHER"/>
    <x v="2"/>
    <s v="GNR_HS_HEAT_WTR-TANK_LS_E-95_Y-2010"/>
    <x v="0"/>
    <x v="9"/>
    <n v="32.305929051897898"/>
    <n v="11791.6641039427"/>
    <n v="42449.9907741938"/>
  </r>
  <r>
    <x v="0"/>
    <x v="0"/>
    <x v="0"/>
    <x v="8"/>
    <x v="19"/>
    <s v="SE4_OTHER"/>
    <x v="2"/>
    <s v="GNR_HS_HEAT_WTR-TANK_LS_E-95_Y-2010"/>
    <x v="0"/>
    <x v="14"/>
    <n v="2.6729837188145602"/>
    <n v="975.63905736731499"/>
    <n v="3512.3006065223399"/>
  </r>
  <r>
    <x v="0"/>
    <x v="0"/>
    <x v="0"/>
    <x v="8"/>
    <x v="19"/>
    <s v="SE4_OTHER"/>
    <x v="3"/>
    <s v="GBPR_MUNIWASTE_19"/>
    <x v="0"/>
    <x v="0"/>
    <n v="60.738665158852299"/>
    <n v="22169.612782981101"/>
    <n v="79810.606018731996"/>
  </r>
  <r>
    <x v="0"/>
    <x v="0"/>
    <x v="0"/>
    <x v="8"/>
    <x v="19"/>
    <s v="SE4_OTHER"/>
    <x v="3"/>
    <s v="GBPR_MUNIWASTE_19"/>
    <x v="0"/>
    <x v="1"/>
    <n v="60.738665158852299"/>
    <n v="22169.612782981101"/>
    <n v="79810.606018731996"/>
  </r>
  <r>
    <x v="0"/>
    <x v="0"/>
    <x v="0"/>
    <x v="8"/>
    <x v="19"/>
    <s v="SE4_OTHER"/>
    <x v="3"/>
    <s v="GBPR_MUNIWASTE_19"/>
    <x v="0"/>
    <x v="2"/>
    <n v="60.738665158852299"/>
    <n v="22169.612782981101"/>
    <n v="79810.606018731996"/>
  </r>
  <r>
    <x v="0"/>
    <x v="0"/>
    <x v="0"/>
    <x v="8"/>
    <x v="19"/>
    <s v="SE4_OTHER"/>
    <x v="3"/>
    <s v="GBPR_MUNIWASTE_19"/>
    <x v="0"/>
    <x v="3"/>
    <n v="60.738665158852299"/>
    <n v="22169.612782981101"/>
    <n v="79810.606018731996"/>
  </r>
  <r>
    <x v="0"/>
    <x v="0"/>
    <x v="0"/>
    <x v="8"/>
    <x v="19"/>
    <s v="SE4_OTHER"/>
    <x v="3"/>
    <s v="GBPR_MUNIWASTE_19"/>
    <x v="0"/>
    <x v="4"/>
    <n v="60.738665158852299"/>
    <n v="22169.612782981101"/>
    <n v="79810.606018731996"/>
  </r>
  <r>
    <x v="0"/>
    <x v="0"/>
    <x v="0"/>
    <x v="8"/>
    <x v="19"/>
    <s v="SE4_OTHER"/>
    <x v="3"/>
    <s v="GBPR_MUNIWASTE_19"/>
    <x v="0"/>
    <x v="5"/>
    <n v="60.738665158852299"/>
    <n v="22169.612782981101"/>
    <n v="79810.606018731996"/>
  </r>
  <r>
    <x v="0"/>
    <x v="0"/>
    <x v="0"/>
    <x v="8"/>
    <x v="19"/>
    <s v="SE4_OTHER"/>
    <x v="3"/>
    <s v="GBPR_MUNIWASTE_19"/>
    <x v="0"/>
    <x v="6"/>
    <n v="60.738665158852299"/>
    <n v="22169.612782981101"/>
    <n v="79810.606018731996"/>
  </r>
  <r>
    <x v="0"/>
    <x v="0"/>
    <x v="0"/>
    <x v="8"/>
    <x v="19"/>
    <s v="SE4_OTHER"/>
    <x v="3"/>
    <s v="GBPR_MUNIWASTE_19"/>
    <x v="0"/>
    <x v="7"/>
    <n v="60.738665158852299"/>
    <n v="22169.612782981101"/>
    <n v="79810.606018731996"/>
  </r>
  <r>
    <x v="0"/>
    <x v="0"/>
    <x v="0"/>
    <x v="8"/>
    <x v="19"/>
    <s v="SE4_OTHER"/>
    <x v="3"/>
    <s v="GBPR_MUNIWASTE_19"/>
    <x v="0"/>
    <x v="8"/>
    <n v="60.738665158852299"/>
    <n v="22169.612782981101"/>
    <n v="79810.606018731996"/>
  </r>
  <r>
    <x v="0"/>
    <x v="0"/>
    <x v="0"/>
    <x v="8"/>
    <x v="19"/>
    <s v="SE4_OTHER"/>
    <x v="3"/>
    <s v="GBPR_MUNIWASTE_19"/>
    <x v="0"/>
    <x v="9"/>
    <n v="60.738665158852299"/>
    <n v="22169.612782981101"/>
    <n v="79810.606018731996"/>
  </r>
  <r>
    <x v="0"/>
    <x v="0"/>
    <x v="0"/>
    <x v="8"/>
    <x v="19"/>
    <s v="SE4_OTHER"/>
    <x v="3"/>
    <s v="GBPR_MUNIWASTE_19"/>
    <x v="0"/>
    <x v="10"/>
    <n v="60.738665158852299"/>
    <n v="22169.612782981101"/>
    <n v="79810.606018731996"/>
  </r>
  <r>
    <x v="0"/>
    <x v="0"/>
    <x v="0"/>
    <x v="8"/>
    <x v="19"/>
    <s v="SE4_OTHER"/>
    <x v="3"/>
    <s v="GBPR_MUNIWASTE_19"/>
    <x v="0"/>
    <x v="11"/>
    <n v="60.738665158852299"/>
    <n v="22169.612782981101"/>
    <n v="79810.606018731996"/>
  </r>
  <r>
    <x v="0"/>
    <x v="0"/>
    <x v="0"/>
    <x v="8"/>
    <x v="19"/>
    <s v="SE4_OTHER"/>
    <x v="3"/>
    <s v="GBPR_MUNIWASTE_19"/>
    <x v="0"/>
    <x v="12"/>
    <n v="60.738665158852299"/>
    <n v="22169.612782981101"/>
    <n v="79810.606018731996"/>
  </r>
  <r>
    <x v="0"/>
    <x v="0"/>
    <x v="0"/>
    <x v="8"/>
    <x v="19"/>
    <s v="SE4_OTHER"/>
    <x v="3"/>
    <s v="GBPR_MUNIWASTE_19"/>
    <x v="0"/>
    <x v="13"/>
    <n v="60.738665158852299"/>
    <n v="22169.612782981101"/>
    <n v="79810.606018731996"/>
  </r>
  <r>
    <x v="0"/>
    <x v="0"/>
    <x v="0"/>
    <x v="8"/>
    <x v="19"/>
    <s v="SE4_OTHER"/>
    <x v="3"/>
    <s v="GBPR_MUNIWASTE_19"/>
    <x v="0"/>
    <x v="14"/>
    <n v="60.738665158852299"/>
    <n v="22169.612782981101"/>
    <n v="79810.606018731996"/>
  </r>
  <r>
    <x v="0"/>
    <x v="0"/>
    <x v="0"/>
    <x v="8"/>
    <x v="19"/>
    <s v="SE4_OTHER"/>
    <x v="3"/>
    <s v="GBPR_MUNIWASTE_19"/>
    <x v="0"/>
    <x v="15"/>
    <n v="60.738665158852299"/>
    <n v="22169.612782981101"/>
    <n v="79810.606018731996"/>
  </r>
  <r>
    <x v="0"/>
    <x v="0"/>
    <x v="0"/>
    <x v="8"/>
    <x v="19"/>
    <s v="SE4_OTHER"/>
    <x v="3"/>
    <s v="GBPR_MUNIWASTE_19"/>
    <x v="0"/>
    <x v="16"/>
    <n v="60.738665158852299"/>
    <n v="22169.612782981101"/>
    <n v="79810.606018731996"/>
  </r>
  <r>
    <x v="0"/>
    <x v="0"/>
    <x v="0"/>
    <x v="8"/>
    <x v="19"/>
    <s v="SE4_OTHER"/>
    <x v="3"/>
    <s v="GBPR_MUNIWASTE_19"/>
    <x v="0"/>
    <x v="17"/>
    <n v="60.738665158852299"/>
    <n v="22169.612782981101"/>
    <n v="79810.606018731996"/>
  </r>
  <r>
    <x v="0"/>
    <x v="0"/>
    <x v="0"/>
    <x v="8"/>
    <x v="19"/>
    <s v="SE4_OTHER"/>
    <x v="3"/>
    <s v="GBPR_MUNIWASTE_19"/>
    <x v="0"/>
    <x v="18"/>
    <n v="60.738665158852299"/>
    <n v="22169.612782981101"/>
    <n v="79810.606018731996"/>
  </r>
  <r>
    <x v="0"/>
    <x v="0"/>
    <x v="0"/>
    <x v="8"/>
    <x v="19"/>
    <s v="SE4_OTHER"/>
    <x v="3"/>
    <s v="GBPR_MUNIWASTE_19"/>
    <x v="0"/>
    <x v="19"/>
    <n v="60.738665158852299"/>
    <n v="22169.612782981101"/>
    <n v="79810.606018731996"/>
  </r>
  <r>
    <x v="0"/>
    <x v="0"/>
    <x v="0"/>
    <x v="8"/>
    <x v="19"/>
    <s v="SE4_OTHER"/>
    <x v="3"/>
    <s v="GBPR_MUNIWASTE_19"/>
    <x v="0"/>
    <x v="20"/>
    <n v="60.738665158852299"/>
    <n v="22169.612782981101"/>
    <n v="79810.606018731996"/>
  </r>
  <r>
    <x v="0"/>
    <x v="0"/>
    <x v="0"/>
    <x v="8"/>
    <x v="19"/>
    <s v="SE4_OTHER"/>
    <x v="3"/>
    <s v="GBPR_MUNIWASTE_19"/>
    <x v="0"/>
    <x v="21"/>
    <n v="60.738665158852299"/>
    <n v="22169.612782981101"/>
    <n v="79810.606018731996"/>
  </r>
  <r>
    <x v="0"/>
    <x v="0"/>
    <x v="0"/>
    <x v="8"/>
    <x v="19"/>
    <s v="SE4_OTHER"/>
    <x v="3"/>
    <s v="GBPR_MUNIWASTE_19"/>
    <x v="0"/>
    <x v="22"/>
    <n v="60.738665158852299"/>
    <n v="22169.612782981101"/>
    <n v="79810.606018731996"/>
  </r>
  <r>
    <x v="0"/>
    <x v="0"/>
    <x v="0"/>
    <x v="8"/>
    <x v="19"/>
    <s v="SE4_OTHER"/>
    <x v="3"/>
    <s v="GBPR_MUNIWASTE_19"/>
    <x v="0"/>
    <x v="23"/>
    <n v="60.738665158852299"/>
    <n v="22169.612782981101"/>
    <n v="79810.606018731996"/>
  </r>
  <r>
    <x v="0"/>
    <x v="0"/>
    <x v="0"/>
    <x v="8"/>
    <x v="19"/>
    <s v="SE4_OTHER"/>
    <x v="3"/>
    <s v="GHOB_MUNIWASTE"/>
    <x v="0"/>
    <x v="3"/>
    <n v="8.0965521974588697"/>
    <n v="2955.2415520724899"/>
    <n v="10638.869587461"/>
  </r>
  <r>
    <x v="0"/>
    <x v="0"/>
    <x v="0"/>
    <x v="8"/>
    <x v="19"/>
    <s v="SE4_OTHER"/>
    <x v="3"/>
    <s v="GHOB_MUNIWASTE"/>
    <x v="0"/>
    <x v="4"/>
    <n v="13.1573720485134"/>
    <n v="4802.4407977073997"/>
    <n v="17288.786871746699"/>
  </r>
  <r>
    <x v="0"/>
    <x v="0"/>
    <x v="0"/>
    <x v="8"/>
    <x v="19"/>
    <s v="SE4_OTHER"/>
    <x v="3"/>
    <s v="GHOB_MUNIWASTE"/>
    <x v="0"/>
    <x v="5"/>
    <n v="13.1573720485134"/>
    <n v="4802.4407977073997"/>
    <n v="17288.786871746699"/>
  </r>
  <r>
    <x v="0"/>
    <x v="0"/>
    <x v="0"/>
    <x v="8"/>
    <x v="19"/>
    <s v="SE4_OTHER"/>
    <x v="3"/>
    <s v="GHOB_MUNIWASTE"/>
    <x v="0"/>
    <x v="6"/>
    <n v="13.1573720485134"/>
    <n v="4802.4407977073997"/>
    <n v="17288.786871746699"/>
  </r>
  <r>
    <x v="0"/>
    <x v="0"/>
    <x v="0"/>
    <x v="8"/>
    <x v="19"/>
    <s v="SE4_OTHER"/>
    <x v="3"/>
    <s v="GHOB_MUNIWASTE"/>
    <x v="0"/>
    <x v="7"/>
    <n v="13.1573720485134"/>
    <n v="4802.4407977073997"/>
    <n v="17288.786871746699"/>
  </r>
  <r>
    <x v="0"/>
    <x v="0"/>
    <x v="0"/>
    <x v="8"/>
    <x v="19"/>
    <s v="SE4_OTHER"/>
    <x v="3"/>
    <s v="GHOB_MUNIWASTE"/>
    <x v="0"/>
    <x v="8"/>
    <n v="13.1573720485134"/>
    <n v="4802.4407977073997"/>
    <n v="17288.786871746699"/>
  </r>
  <r>
    <x v="0"/>
    <x v="0"/>
    <x v="0"/>
    <x v="8"/>
    <x v="19"/>
    <s v="SE4_OTHER"/>
    <x v="3"/>
    <s v="GHOB_MUNIWASTE"/>
    <x v="0"/>
    <x v="9"/>
    <n v="13.1573720485134"/>
    <n v="4802.4407977073997"/>
    <n v="17288.786871746699"/>
  </r>
  <r>
    <x v="0"/>
    <x v="0"/>
    <x v="0"/>
    <x v="8"/>
    <x v="19"/>
    <s v="SE4_OTHER"/>
    <x v="3"/>
    <s v="GHOB_MUNIWASTE"/>
    <x v="0"/>
    <x v="10"/>
    <n v="13.1573720485134"/>
    <n v="4802.4407977073997"/>
    <n v="17288.786871746699"/>
  </r>
  <r>
    <x v="0"/>
    <x v="0"/>
    <x v="0"/>
    <x v="8"/>
    <x v="19"/>
    <s v="SE4_OTHER"/>
    <x v="3"/>
    <s v="GHOB_MUNIWASTE"/>
    <x v="0"/>
    <x v="11"/>
    <n v="13.1573720485134"/>
    <n v="4802.4407977073997"/>
    <n v="17288.786871746699"/>
  </r>
  <r>
    <x v="0"/>
    <x v="0"/>
    <x v="0"/>
    <x v="8"/>
    <x v="19"/>
    <s v="SE4_OTHER"/>
    <x v="3"/>
    <s v="GHOB_MUNIWASTE"/>
    <x v="0"/>
    <x v="12"/>
    <n v="13.1573720485134"/>
    <n v="4802.4407977073997"/>
    <n v="17288.786871746699"/>
  </r>
  <r>
    <x v="0"/>
    <x v="0"/>
    <x v="0"/>
    <x v="8"/>
    <x v="19"/>
    <s v="SE4_OTHER"/>
    <x v="3"/>
    <s v="GHOB_MUNIWASTE"/>
    <x v="0"/>
    <x v="13"/>
    <n v="13.1573720485134"/>
    <n v="4802.4407977073997"/>
    <n v="17288.786871746699"/>
  </r>
  <r>
    <x v="0"/>
    <x v="0"/>
    <x v="0"/>
    <x v="8"/>
    <x v="19"/>
    <s v="SE4_OTHER"/>
    <x v="3"/>
    <s v="GHOB_MUNIWASTE"/>
    <x v="0"/>
    <x v="14"/>
    <n v="13.1573720485134"/>
    <n v="4802.4407977073997"/>
    <n v="17288.786871746699"/>
  </r>
  <r>
    <x v="0"/>
    <x v="0"/>
    <x v="0"/>
    <x v="8"/>
    <x v="19"/>
    <s v="SE4_OTHER"/>
    <x v="3"/>
    <s v="GHOB_MUNIWASTE"/>
    <x v="0"/>
    <x v="15"/>
    <n v="13.1573720485134"/>
    <n v="4802.4407977073997"/>
    <n v="17288.786871746699"/>
  </r>
  <r>
    <x v="0"/>
    <x v="0"/>
    <x v="0"/>
    <x v="8"/>
    <x v="19"/>
    <s v="SE4_OTHER"/>
    <x v="3"/>
    <s v="GHOB_MUNIWASTE"/>
    <x v="0"/>
    <x v="16"/>
    <n v="13.1573720485134"/>
    <n v="4802.4407977073997"/>
    <n v="17288.786871746699"/>
  </r>
  <r>
    <x v="0"/>
    <x v="0"/>
    <x v="0"/>
    <x v="8"/>
    <x v="19"/>
    <s v="SE4_OTHER"/>
    <x v="3"/>
    <s v="GHOB_MUNIWASTE"/>
    <x v="0"/>
    <x v="17"/>
    <n v="13.1573720485134"/>
    <n v="4802.4407977073997"/>
    <n v="17288.786871746699"/>
  </r>
  <r>
    <x v="0"/>
    <x v="0"/>
    <x v="0"/>
    <x v="8"/>
    <x v="19"/>
    <s v="SE4_OTHER"/>
    <x v="3"/>
    <s v="GHOB_MUNIWASTE"/>
    <x v="0"/>
    <x v="18"/>
    <n v="13.1573720485134"/>
    <n v="4802.4407977073997"/>
    <n v="17288.786871746699"/>
  </r>
  <r>
    <x v="0"/>
    <x v="0"/>
    <x v="0"/>
    <x v="8"/>
    <x v="19"/>
    <s v="SE4_OTHER"/>
    <x v="3"/>
    <s v="GHOB_MUNIWASTE"/>
    <x v="0"/>
    <x v="19"/>
    <n v="13.1573720485134"/>
    <n v="4802.4407977073997"/>
    <n v="17288.786871746699"/>
  </r>
  <r>
    <x v="0"/>
    <x v="0"/>
    <x v="0"/>
    <x v="8"/>
    <x v="19"/>
    <s v="SE4_OTHER"/>
    <x v="3"/>
    <s v="GHOB_MUNIWASTE"/>
    <x v="0"/>
    <x v="20"/>
    <n v="13.1573720485134"/>
    <n v="4802.4407977073997"/>
    <n v="17288.786871746699"/>
  </r>
  <r>
    <x v="0"/>
    <x v="0"/>
    <x v="0"/>
    <x v="8"/>
    <x v="19"/>
    <s v="SE4_OTHER"/>
    <x v="6"/>
    <s v="GHOB_WASTEHEAT"/>
    <x v="0"/>
    <x v="0"/>
    <n v="53.979194178067701"/>
    <n v="19702.4058749947"/>
    <n v="70928.661149980995"/>
  </r>
  <r>
    <x v="0"/>
    <x v="0"/>
    <x v="0"/>
    <x v="8"/>
    <x v="19"/>
    <s v="SE4_OTHER"/>
    <x v="6"/>
    <s v="GHOB_WASTEHEAT"/>
    <x v="0"/>
    <x v="1"/>
    <n v="54.953067765567503"/>
    <n v="20057.869734432199"/>
    <n v="72208.331043955797"/>
  </r>
  <r>
    <x v="0"/>
    <x v="0"/>
    <x v="0"/>
    <x v="8"/>
    <x v="19"/>
    <s v="SE4_OTHER"/>
    <x v="6"/>
    <s v="GHOB_WASTEHEAT"/>
    <x v="0"/>
    <x v="2"/>
    <n v="51.614183484862799"/>
    <n v="18839.176971974899"/>
    <n v="67821.037099109701"/>
  </r>
  <r>
    <x v="0"/>
    <x v="0"/>
    <x v="0"/>
    <x v="8"/>
    <x v="19"/>
    <s v="SE4_OTHER"/>
    <x v="6"/>
    <s v="GHOB_WASTEHEAT"/>
    <x v="0"/>
    <x v="3"/>
    <n v="54.953067765567503"/>
    <n v="20057.869734432199"/>
    <n v="72208.331043955797"/>
  </r>
  <r>
    <x v="0"/>
    <x v="0"/>
    <x v="0"/>
    <x v="8"/>
    <x v="19"/>
    <s v="SE4_OTHER"/>
    <x v="6"/>
    <s v="GHOB_WASTEHEAT"/>
    <x v="0"/>
    <x v="4"/>
    <n v="54.953067765567503"/>
    <n v="20057.869734432199"/>
    <n v="72208.331043955797"/>
  </r>
  <r>
    <x v="0"/>
    <x v="0"/>
    <x v="0"/>
    <x v="8"/>
    <x v="19"/>
    <s v="SE4_OTHER"/>
    <x v="6"/>
    <s v="GHOB_WASTEHEAT"/>
    <x v="0"/>
    <x v="5"/>
    <n v="54.953067765567503"/>
    <n v="20057.869734432199"/>
    <n v="72208.331043955797"/>
  </r>
  <r>
    <x v="0"/>
    <x v="0"/>
    <x v="0"/>
    <x v="8"/>
    <x v="19"/>
    <s v="SE4_OTHER"/>
    <x v="6"/>
    <s v="GHOB_WASTEHEAT"/>
    <x v="0"/>
    <x v="6"/>
    <n v="54.953067765567503"/>
    <n v="20057.869734432199"/>
    <n v="72208.331043955797"/>
  </r>
  <r>
    <x v="0"/>
    <x v="0"/>
    <x v="0"/>
    <x v="8"/>
    <x v="19"/>
    <s v="SE4_OTHER"/>
    <x v="6"/>
    <s v="GHOB_WASTEHEAT"/>
    <x v="0"/>
    <x v="7"/>
    <n v="54.953067765567503"/>
    <n v="20057.869734432199"/>
    <n v="72208.331043955797"/>
  </r>
  <r>
    <x v="0"/>
    <x v="0"/>
    <x v="0"/>
    <x v="8"/>
    <x v="19"/>
    <s v="SE4_OTHER"/>
    <x v="6"/>
    <s v="GHOB_WASTEHEAT"/>
    <x v="0"/>
    <x v="8"/>
    <n v="54.953067765567503"/>
    <n v="20057.869734432199"/>
    <n v="72208.331043955797"/>
  </r>
  <r>
    <x v="0"/>
    <x v="0"/>
    <x v="0"/>
    <x v="8"/>
    <x v="19"/>
    <s v="SE4_OTHER"/>
    <x v="6"/>
    <s v="GHOB_WASTEHEAT"/>
    <x v="0"/>
    <x v="9"/>
    <n v="54.953067765567503"/>
    <n v="20057.869734432199"/>
    <n v="72208.331043955797"/>
  </r>
  <r>
    <x v="0"/>
    <x v="0"/>
    <x v="0"/>
    <x v="8"/>
    <x v="19"/>
    <s v="SE4_OTHER"/>
    <x v="6"/>
    <s v="GHOB_WASTEHEAT"/>
    <x v="0"/>
    <x v="10"/>
    <n v="54.953067765567503"/>
    <n v="20057.869734432199"/>
    <n v="72208.331043955797"/>
  </r>
  <r>
    <x v="0"/>
    <x v="0"/>
    <x v="0"/>
    <x v="8"/>
    <x v="19"/>
    <s v="SE4_OTHER"/>
    <x v="6"/>
    <s v="GHOB_WASTEHEAT"/>
    <x v="0"/>
    <x v="11"/>
    <n v="54.953067765567503"/>
    <n v="20057.869734432199"/>
    <n v="72208.331043955797"/>
  </r>
  <r>
    <x v="0"/>
    <x v="0"/>
    <x v="0"/>
    <x v="8"/>
    <x v="19"/>
    <s v="SE4_OTHER"/>
    <x v="6"/>
    <s v="GHOB_WASTEHEAT"/>
    <x v="0"/>
    <x v="12"/>
    <n v="54.953067765567503"/>
    <n v="20057.869734432199"/>
    <n v="72208.331043955797"/>
  </r>
  <r>
    <x v="0"/>
    <x v="0"/>
    <x v="0"/>
    <x v="8"/>
    <x v="19"/>
    <s v="SE4_OTHER"/>
    <x v="6"/>
    <s v="GHOB_WASTEHEAT"/>
    <x v="0"/>
    <x v="13"/>
    <n v="54.953067765567503"/>
    <n v="20057.869734432199"/>
    <n v="72208.331043955797"/>
  </r>
  <r>
    <x v="0"/>
    <x v="0"/>
    <x v="0"/>
    <x v="8"/>
    <x v="19"/>
    <s v="SE4_OTHER"/>
    <x v="6"/>
    <s v="GHOB_WASTEHEAT"/>
    <x v="0"/>
    <x v="14"/>
    <n v="54.953067765567503"/>
    <n v="20057.869734432199"/>
    <n v="72208.331043955797"/>
  </r>
  <r>
    <x v="0"/>
    <x v="0"/>
    <x v="0"/>
    <x v="8"/>
    <x v="19"/>
    <s v="SE4_OTHER"/>
    <x v="6"/>
    <s v="GHOB_WASTEHEAT"/>
    <x v="0"/>
    <x v="15"/>
    <n v="54.953067765567503"/>
    <n v="20057.869734432199"/>
    <n v="72208.331043955797"/>
  </r>
  <r>
    <x v="0"/>
    <x v="0"/>
    <x v="0"/>
    <x v="8"/>
    <x v="19"/>
    <s v="SE4_OTHER"/>
    <x v="6"/>
    <s v="GHOB_WASTEHEAT"/>
    <x v="0"/>
    <x v="16"/>
    <n v="54.953067765567503"/>
    <n v="20057.869734432199"/>
    <n v="72208.331043955797"/>
  </r>
  <r>
    <x v="0"/>
    <x v="0"/>
    <x v="0"/>
    <x v="8"/>
    <x v="19"/>
    <s v="SE4_OTHER"/>
    <x v="6"/>
    <s v="GHOB_WASTEHEAT"/>
    <x v="0"/>
    <x v="17"/>
    <n v="54.953067765567503"/>
    <n v="20057.869734432199"/>
    <n v="72208.331043955797"/>
  </r>
  <r>
    <x v="0"/>
    <x v="0"/>
    <x v="0"/>
    <x v="8"/>
    <x v="19"/>
    <s v="SE4_OTHER"/>
    <x v="6"/>
    <s v="GHOB_WASTEHEAT"/>
    <x v="0"/>
    <x v="18"/>
    <n v="54.953067765567503"/>
    <n v="20057.869734432199"/>
    <n v="72208.331043955797"/>
  </r>
  <r>
    <x v="0"/>
    <x v="0"/>
    <x v="0"/>
    <x v="8"/>
    <x v="19"/>
    <s v="SE4_OTHER"/>
    <x v="6"/>
    <s v="GHOB_WASTEHEAT"/>
    <x v="0"/>
    <x v="19"/>
    <n v="54.953067765567503"/>
    <n v="20057.869734432199"/>
    <n v="72208.331043955797"/>
  </r>
  <r>
    <x v="0"/>
    <x v="0"/>
    <x v="0"/>
    <x v="8"/>
    <x v="19"/>
    <s v="SE4_OTHER"/>
    <x v="6"/>
    <s v="GHOB_WASTEHEAT"/>
    <x v="0"/>
    <x v="20"/>
    <n v="54.953067765567503"/>
    <n v="20057.869734432199"/>
    <n v="72208.331043955797"/>
  </r>
  <r>
    <x v="0"/>
    <x v="0"/>
    <x v="0"/>
    <x v="8"/>
    <x v="19"/>
    <s v="SE4_OTHER"/>
    <x v="6"/>
    <s v="GHOB_WASTEHEAT"/>
    <x v="0"/>
    <x v="21"/>
    <n v="41.659048763066998"/>
    <n v="15205.5527985195"/>
    <n v="54739.990074670102"/>
  </r>
  <r>
    <x v="0"/>
    <x v="0"/>
    <x v="0"/>
    <x v="8"/>
    <x v="19"/>
    <s v="SE4_OTHER"/>
    <x v="6"/>
    <s v="GHOB_WASTEHEAT"/>
    <x v="0"/>
    <x v="22"/>
    <n v="17.896981677009101"/>
    <n v="6532.3983121083302"/>
    <n v="23516.633923590001"/>
  </r>
  <r>
    <x v="0"/>
    <x v="0"/>
    <x v="0"/>
    <x v="8"/>
    <x v="19"/>
    <s v="SE4_OTHER"/>
    <x v="7"/>
    <s v="GBPR_WOODCHIPS"/>
    <x v="0"/>
    <x v="0"/>
    <n v="61.090407969911801"/>
    <n v="22297.998909017799"/>
    <n v="80272.796072464203"/>
  </r>
  <r>
    <x v="0"/>
    <x v="0"/>
    <x v="0"/>
    <x v="8"/>
    <x v="19"/>
    <s v="SE4_OTHER"/>
    <x v="7"/>
    <s v="GBPR_WOODCHIPS"/>
    <x v="0"/>
    <x v="1"/>
    <n v="61.090407969911801"/>
    <n v="22297.998909017799"/>
    <n v="80272.796072464203"/>
  </r>
  <r>
    <x v="0"/>
    <x v="0"/>
    <x v="0"/>
    <x v="8"/>
    <x v="19"/>
    <s v="SE4_OTHER"/>
    <x v="7"/>
    <s v="GBPR_WOODCHIPS"/>
    <x v="0"/>
    <x v="2"/>
    <n v="61.090407969911801"/>
    <n v="22297.998909017799"/>
    <n v="80272.796072464203"/>
  </r>
  <r>
    <x v="0"/>
    <x v="0"/>
    <x v="0"/>
    <x v="8"/>
    <x v="19"/>
    <s v="SE4_OTHER"/>
    <x v="7"/>
    <s v="GBPR_WOODCHIPS"/>
    <x v="0"/>
    <x v="3"/>
    <n v="61.090407969911801"/>
    <n v="22297.998909017799"/>
    <n v="80272.796072464203"/>
  </r>
  <r>
    <x v="0"/>
    <x v="0"/>
    <x v="0"/>
    <x v="8"/>
    <x v="19"/>
    <s v="SE4_OTHER"/>
    <x v="7"/>
    <s v="GBPR_WOODCHIPS"/>
    <x v="0"/>
    <x v="4"/>
    <n v="61.090407969911801"/>
    <n v="22297.998909017799"/>
    <n v="80272.796072464203"/>
  </r>
  <r>
    <x v="0"/>
    <x v="0"/>
    <x v="0"/>
    <x v="8"/>
    <x v="19"/>
    <s v="SE4_OTHER"/>
    <x v="7"/>
    <s v="GBPR_WOODCHIPS"/>
    <x v="0"/>
    <x v="5"/>
    <n v="61.090407969911801"/>
    <n v="22297.998909017799"/>
    <n v="80272.796072464203"/>
  </r>
  <r>
    <x v="0"/>
    <x v="0"/>
    <x v="0"/>
    <x v="8"/>
    <x v="19"/>
    <s v="SE4_OTHER"/>
    <x v="7"/>
    <s v="GBPR_WOODCHIPS"/>
    <x v="0"/>
    <x v="6"/>
    <n v="61.090407969911801"/>
    <n v="22297.998909017799"/>
    <n v="80272.796072464203"/>
  </r>
  <r>
    <x v="0"/>
    <x v="0"/>
    <x v="0"/>
    <x v="8"/>
    <x v="19"/>
    <s v="SE4_OTHER"/>
    <x v="7"/>
    <s v="GBPR_WOODCHIPS"/>
    <x v="0"/>
    <x v="7"/>
    <n v="61.090407969911801"/>
    <n v="22297.998909017799"/>
    <n v="80272.796072464203"/>
  </r>
  <r>
    <x v="0"/>
    <x v="0"/>
    <x v="0"/>
    <x v="8"/>
    <x v="19"/>
    <s v="SE4_OTHER"/>
    <x v="7"/>
    <s v="GBPR_WOODCHIPS"/>
    <x v="0"/>
    <x v="8"/>
    <n v="61.090407969911801"/>
    <n v="22297.998909017799"/>
    <n v="80272.796072464203"/>
  </r>
  <r>
    <x v="0"/>
    <x v="0"/>
    <x v="0"/>
    <x v="8"/>
    <x v="19"/>
    <s v="SE4_OTHER"/>
    <x v="7"/>
    <s v="GBPR_WOODCHIPS"/>
    <x v="0"/>
    <x v="9"/>
    <n v="61.090407969911801"/>
    <n v="22297.998909017799"/>
    <n v="80272.796072464203"/>
  </r>
  <r>
    <x v="0"/>
    <x v="0"/>
    <x v="0"/>
    <x v="8"/>
    <x v="19"/>
    <s v="SE4_OTHER"/>
    <x v="7"/>
    <s v="GBPR_WOODCHIPS"/>
    <x v="0"/>
    <x v="10"/>
    <n v="61.090407969911801"/>
    <n v="22297.998909017799"/>
    <n v="80272.796072464203"/>
  </r>
  <r>
    <x v="0"/>
    <x v="0"/>
    <x v="0"/>
    <x v="8"/>
    <x v="19"/>
    <s v="SE4_OTHER"/>
    <x v="7"/>
    <s v="GBPR_WOODCHIPS"/>
    <x v="0"/>
    <x v="11"/>
    <n v="61.090407969911801"/>
    <n v="22297.998909017799"/>
    <n v="80272.796072464203"/>
  </r>
  <r>
    <x v="0"/>
    <x v="0"/>
    <x v="0"/>
    <x v="8"/>
    <x v="19"/>
    <s v="SE4_OTHER"/>
    <x v="7"/>
    <s v="GBPR_WOODCHIPS"/>
    <x v="0"/>
    <x v="12"/>
    <n v="61.090407969911801"/>
    <n v="22297.998909017799"/>
    <n v="80272.796072464203"/>
  </r>
  <r>
    <x v="0"/>
    <x v="0"/>
    <x v="0"/>
    <x v="8"/>
    <x v="19"/>
    <s v="SE4_OTHER"/>
    <x v="7"/>
    <s v="GBPR_WOODCHIPS"/>
    <x v="0"/>
    <x v="13"/>
    <n v="61.090407969911801"/>
    <n v="22297.998909017799"/>
    <n v="80272.796072464203"/>
  </r>
  <r>
    <x v="0"/>
    <x v="0"/>
    <x v="0"/>
    <x v="8"/>
    <x v="19"/>
    <s v="SE4_OTHER"/>
    <x v="7"/>
    <s v="GBPR_WOODCHIPS"/>
    <x v="0"/>
    <x v="14"/>
    <n v="61.090407969911801"/>
    <n v="22297.998909017799"/>
    <n v="80272.796072464203"/>
  </r>
  <r>
    <x v="0"/>
    <x v="0"/>
    <x v="0"/>
    <x v="8"/>
    <x v="19"/>
    <s v="SE4_OTHER"/>
    <x v="7"/>
    <s v="GBPR_WOODCHIPS"/>
    <x v="0"/>
    <x v="15"/>
    <n v="61.090407969911801"/>
    <n v="22297.998909017799"/>
    <n v="80272.796072464203"/>
  </r>
  <r>
    <x v="0"/>
    <x v="0"/>
    <x v="0"/>
    <x v="8"/>
    <x v="19"/>
    <s v="SE4_OTHER"/>
    <x v="7"/>
    <s v="GBPR_WOODCHIPS"/>
    <x v="0"/>
    <x v="16"/>
    <n v="61.090407969911801"/>
    <n v="22297.998909017799"/>
    <n v="80272.796072464203"/>
  </r>
  <r>
    <x v="0"/>
    <x v="0"/>
    <x v="0"/>
    <x v="8"/>
    <x v="19"/>
    <s v="SE4_OTHER"/>
    <x v="7"/>
    <s v="GBPR_WOODCHIPS"/>
    <x v="0"/>
    <x v="17"/>
    <n v="61.090407969911801"/>
    <n v="22297.998909017799"/>
    <n v="80272.796072464203"/>
  </r>
  <r>
    <x v="0"/>
    <x v="0"/>
    <x v="0"/>
    <x v="8"/>
    <x v="19"/>
    <s v="SE4_OTHER"/>
    <x v="7"/>
    <s v="GBPR_WOODCHIPS"/>
    <x v="0"/>
    <x v="18"/>
    <n v="61.090407969911801"/>
    <n v="22297.998909017799"/>
    <n v="80272.796072464203"/>
  </r>
  <r>
    <x v="0"/>
    <x v="0"/>
    <x v="0"/>
    <x v="8"/>
    <x v="19"/>
    <s v="SE4_OTHER"/>
    <x v="7"/>
    <s v="GBPR_WOODCHIPS"/>
    <x v="0"/>
    <x v="19"/>
    <n v="61.090407969911801"/>
    <n v="22297.998909017799"/>
    <n v="80272.796072464203"/>
  </r>
  <r>
    <x v="0"/>
    <x v="0"/>
    <x v="0"/>
    <x v="8"/>
    <x v="19"/>
    <s v="SE4_OTHER"/>
    <x v="7"/>
    <s v="GBPR_WOODCHIPS"/>
    <x v="0"/>
    <x v="20"/>
    <n v="61.090407969911801"/>
    <n v="22297.998909017799"/>
    <n v="80272.796072464203"/>
  </r>
  <r>
    <x v="0"/>
    <x v="0"/>
    <x v="0"/>
    <x v="8"/>
    <x v="19"/>
    <s v="SE4_OTHER"/>
    <x v="7"/>
    <s v="GBPR_WOODCHIPS"/>
    <x v="0"/>
    <x v="21"/>
    <n v="61.090407969911801"/>
    <n v="22297.998909017799"/>
    <n v="80272.796072464203"/>
  </r>
  <r>
    <x v="0"/>
    <x v="0"/>
    <x v="0"/>
    <x v="8"/>
    <x v="19"/>
    <s v="SE4_OTHER"/>
    <x v="7"/>
    <s v="GBPR_WOODCHIPS"/>
    <x v="0"/>
    <x v="22"/>
    <n v="61.090407969911801"/>
    <n v="22297.998909017799"/>
    <n v="80272.796072464203"/>
  </r>
  <r>
    <x v="0"/>
    <x v="0"/>
    <x v="0"/>
    <x v="8"/>
    <x v="19"/>
    <s v="SE4_OTHER"/>
    <x v="7"/>
    <s v="GBPR_WOODCHIPS"/>
    <x v="0"/>
    <x v="23"/>
    <n v="61.090407969911801"/>
    <n v="22297.998909017799"/>
    <n v="80272.796072464203"/>
  </r>
  <r>
    <x v="0"/>
    <x v="0"/>
    <x v="0"/>
    <x v="8"/>
    <x v="19"/>
    <s v="SE4_OTHER"/>
    <x v="7"/>
    <s v="GBPR_WOODCHIPS_25"/>
    <x v="0"/>
    <x v="0"/>
    <n v="92.217835376532307"/>
    <n v="33659.509912434303"/>
    <n v="121174.235684763"/>
  </r>
  <r>
    <x v="0"/>
    <x v="0"/>
    <x v="0"/>
    <x v="8"/>
    <x v="19"/>
    <s v="SE4_OTHER"/>
    <x v="7"/>
    <s v="GBPR_WOODCHIPS_25"/>
    <x v="0"/>
    <x v="1"/>
    <n v="92.217835376532307"/>
    <n v="33659.509912434303"/>
    <n v="121174.235684763"/>
  </r>
  <r>
    <x v="0"/>
    <x v="0"/>
    <x v="0"/>
    <x v="8"/>
    <x v="19"/>
    <s v="SE4_OTHER"/>
    <x v="7"/>
    <s v="GBPR_WOODCHIPS_25"/>
    <x v="0"/>
    <x v="2"/>
    <n v="92.217835376532307"/>
    <n v="33659.509912434303"/>
    <n v="121174.235684763"/>
  </r>
  <r>
    <x v="0"/>
    <x v="0"/>
    <x v="0"/>
    <x v="8"/>
    <x v="19"/>
    <s v="SE4_OTHER"/>
    <x v="7"/>
    <s v="GBPR_WOODCHIPS_25"/>
    <x v="0"/>
    <x v="3"/>
    <n v="92.217835376532307"/>
    <n v="33659.509912434303"/>
    <n v="121174.235684763"/>
  </r>
  <r>
    <x v="0"/>
    <x v="0"/>
    <x v="0"/>
    <x v="8"/>
    <x v="19"/>
    <s v="SE4_OTHER"/>
    <x v="7"/>
    <s v="GBPR_WOODCHIPS_25"/>
    <x v="0"/>
    <x v="4"/>
    <n v="92.217835376532307"/>
    <n v="33659.509912434303"/>
    <n v="121174.235684763"/>
  </r>
  <r>
    <x v="0"/>
    <x v="0"/>
    <x v="0"/>
    <x v="8"/>
    <x v="19"/>
    <s v="SE4_OTHER"/>
    <x v="7"/>
    <s v="GBPR_WOODCHIPS_25"/>
    <x v="0"/>
    <x v="5"/>
    <n v="92.217835376532307"/>
    <n v="33659.509912434303"/>
    <n v="121174.235684763"/>
  </r>
  <r>
    <x v="0"/>
    <x v="0"/>
    <x v="0"/>
    <x v="8"/>
    <x v="19"/>
    <s v="SE4_OTHER"/>
    <x v="7"/>
    <s v="GBPR_WOODCHIPS_25"/>
    <x v="0"/>
    <x v="6"/>
    <n v="92.217835376532307"/>
    <n v="33659.509912434303"/>
    <n v="121174.235684763"/>
  </r>
  <r>
    <x v="0"/>
    <x v="0"/>
    <x v="0"/>
    <x v="8"/>
    <x v="19"/>
    <s v="SE4_OTHER"/>
    <x v="7"/>
    <s v="GBPR_WOODCHIPS_25"/>
    <x v="0"/>
    <x v="7"/>
    <n v="92.217835376532307"/>
    <n v="33659.509912434303"/>
    <n v="121174.235684763"/>
  </r>
  <r>
    <x v="0"/>
    <x v="0"/>
    <x v="0"/>
    <x v="8"/>
    <x v="19"/>
    <s v="SE4_OTHER"/>
    <x v="7"/>
    <s v="GBPR_WOODCHIPS_25"/>
    <x v="0"/>
    <x v="8"/>
    <n v="92.217835376532307"/>
    <n v="33659.509912434303"/>
    <n v="121174.235684763"/>
  </r>
  <r>
    <x v="0"/>
    <x v="0"/>
    <x v="0"/>
    <x v="8"/>
    <x v="19"/>
    <s v="SE4_OTHER"/>
    <x v="7"/>
    <s v="GBPR_WOODCHIPS_25"/>
    <x v="0"/>
    <x v="9"/>
    <n v="92.217835376532307"/>
    <n v="33659.509912434303"/>
    <n v="121174.235684763"/>
  </r>
  <r>
    <x v="0"/>
    <x v="0"/>
    <x v="0"/>
    <x v="8"/>
    <x v="19"/>
    <s v="SE4_OTHER"/>
    <x v="7"/>
    <s v="GBPR_WOODCHIPS_25"/>
    <x v="0"/>
    <x v="10"/>
    <n v="92.217835376532307"/>
    <n v="33659.509912434303"/>
    <n v="121174.235684763"/>
  </r>
  <r>
    <x v="0"/>
    <x v="0"/>
    <x v="0"/>
    <x v="8"/>
    <x v="19"/>
    <s v="SE4_OTHER"/>
    <x v="7"/>
    <s v="GBPR_WOODCHIPS_25"/>
    <x v="0"/>
    <x v="11"/>
    <n v="92.217835376532307"/>
    <n v="33659.509912434303"/>
    <n v="121174.235684763"/>
  </r>
  <r>
    <x v="0"/>
    <x v="0"/>
    <x v="0"/>
    <x v="8"/>
    <x v="19"/>
    <s v="SE4_OTHER"/>
    <x v="7"/>
    <s v="GBPR_WOODCHIPS_25"/>
    <x v="0"/>
    <x v="12"/>
    <n v="92.217835376532307"/>
    <n v="33659.509912434303"/>
    <n v="121174.235684763"/>
  </r>
  <r>
    <x v="0"/>
    <x v="0"/>
    <x v="0"/>
    <x v="8"/>
    <x v="19"/>
    <s v="SE4_OTHER"/>
    <x v="7"/>
    <s v="GBPR_WOODCHIPS_25"/>
    <x v="0"/>
    <x v="13"/>
    <n v="92.217835376532307"/>
    <n v="33659.509912434303"/>
    <n v="121174.235684763"/>
  </r>
  <r>
    <x v="0"/>
    <x v="0"/>
    <x v="0"/>
    <x v="8"/>
    <x v="19"/>
    <s v="SE4_OTHER"/>
    <x v="7"/>
    <s v="GBPR_WOODCHIPS_25"/>
    <x v="0"/>
    <x v="14"/>
    <n v="92.217835376532307"/>
    <n v="33659.509912434303"/>
    <n v="121174.235684763"/>
  </r>
  <r>
    <x v="0"/>
    <x v="0"/>
    <x v="0"/>
    <x v="8"/>
    <x v="19"/>
    <s v="SE4_OTHER"/>
    <x v="7"/>
    <s v="GBPR_WOODCHIPS_25"/>
    <x v="0"/>
    <x v="15"/>
    <n v="92.217835376532307"/>
    <n v="33659.509912434303"/>
    <n v="121174.235684763"/>
  </r>
  <r>
    <x v="0"/>
    <x v="0"/>
    <x v="0"/>
    <x v="8"/>
    <x v="19"/>
    <s v="SE4_OTHER"/>
    <x v="7"/>
    <s v="GBPR_WOODCHIPS_25"/>
    <x v="0"/>
    <x v="16"/>
    <n v="92.217835376532307"/>
    <n v="33659.509912434303"/>
    <n v="121174.235684763"/>
  </r>
  <r>
    <x v="0"/>
    <x v="0"/>
    <x v="0"/>
    <x v="8"/>
    <x v="19"/>
    <s v="SE4_OTHER"/>
    <x v="7"/>
    <s v="GBPR_WOODCHIPS_25"/>
    <x v="0"/>
    <x v="17"/>
    <n v="92.217835376532307"/>
    <n v="33659.509912434303"/>
    <n v="121174.235684763"/>
  </r>
  <r>
    <x v="0"/>
    <x v="0"/>
    <x v="0"/>
    <x v="8"/>
    <x v="19"/>
    <s v="SE4_OTHER"/>
    <x v="7"/>
    <s v="GBPR_WOODCHIPS_25"/>
    <x v="0"/>
    <x v="18"/>
    <n v="92.217835376532307"/>
    <n v="33659.509912434303"/>
    <n v="121174.235684763"/>
  </r>
  <r>
    <x v="0"/>
    <x v="0"/>
    <x v="0"/>
    <x v="8"/>
    <x v="19"/>
    <s v="SE4_OTHER"/>
    <x v="7"/>
    <s v="GBPR_WOODCHIPS_25"/>
    <x v="0"/>
    <x v="19"/>
    <n v="92.217835376532307"/>
    <n v="33659.509912434303"/>
    <n v="121174.235684763"/>
  </r>
  <r>
    <x v="0"/>
    <x v="0"/>
    <x v="0"/>
    <x v="8"/>
    <x v="19"/>
    <s v="SE4_OTHER"/>
    <x v="7"/>
    <s v="GBPR_WOODCHIPS_25"/>
    <x v="0"/>
    <x v="20"/>
    <n v="92.217835376532307"/>
    <n v="33659.509912434303"/>
    <n v="121174.235684763"/>
  </r>
  <r>
    <x v="0"/>
    <x v="0"/>
    <x v="0"/>
    <x v="8"/>
    <x v="19"/>
    <s v="SE4_OTHER"/>
    <x v="7"/>
    <s v="GBPR_WOODCHIPS_25"/>
    <x v="0"/>
    <x v="21"/>
    <n v="92.217835376532307"/>
    <n v="33659.509912434303"/>
    <n v="121174.235684763"/>
  </r>
  <r>
    <x v="0"/>
    <x v="0"/>
    <x v="0"/>
    <x v="8"/>
    <x v="19"/>
    <s v="SE4_OTHER"/>
    <x v="7"/>
    <s v="GBPR_WOODCHIPS_25"/>
    <x v="0"/>
    <x v="22"/>
    <n v="92.217835376532307"/>
    <n v="33659.509912434303"/>
    <n v="121174.235684763"/>
  </r>
  <r>
    <x v="0"/>
    <x v="0"/>
    <x v="0"/>
    <x v="8"/>
    <x v="19"/>
    <s v="SE4_OTHER"/>
    <x v="7"/>
    <s v="GBPR_WOODCHIPS_25"/>
    <x v="0"/>
    <x v="23"/>
    <n v="92.217835376532307"/>
    <n v="33659.509912434303"/>
    <n v="121174.235684763"/>
  </r>
  <r>
    <x v="0"/>
    <x v="0"/>
    <x v="0"/>
    <x v="8"/>
    <x v="19"/>
    <s v="SE4_OTHER"/>
    <x v="9"/>
    <s v="GBPR_WOODWASTE_36"/>
    <x v="0"/>
    <x v="0"/>
    <n v="194.306363105663"/>
    <n v="70921.822533566898"/>
    <n v="255318.56112084101"/>
  </r>
  <r>
    <x v="0"/>
    <x v="0"/>
    <x v="0"/>
    <x v="8"/>
    <x v="19"/>
    <s v="SE4_OTHER"/>
    <x v="9"/>
    <s v="GBPR_WOODWASTE_36"/>
    <x v="0"/>
    <x v="1"/>
    <n v="194.306363105663"/>
    <n v="70921.822533566898"/>
    <n v="255318.56112084101"/>
  </r>
  <r>
    <x v="0"/>
    <x v="0"/>
    <x v="0"/>
    <x v="8"/>
    <x v="19"/>
    <s v="SE4_OTHER"/>
    <x v="9"/>
    <s v="GBPR_WOODWASTE_36"/>
    <x v="0"/>
    <x v="2"/>
    <n v="194.306363105663"/>
    <n v="70921.822533566898"/>
    <n v="255318.56112084101"/>
  </r>
  <r>
    <x v="0"/>
    <x v="0"/>
    <x v="0"/>
    <x v="8"/>
    <x v="19"/>
    <s v="SE4_OTHER"/>
    <x v="9"/>
    <s v="GBPR_WOODWASTE_36"/>
    <x v="0"/>
    <x v="3"/>
    <n v="194.306363105663"/>
    <n v="70921.822533566898"/>
    <n v="255318.56112084101"/>
  </r>
  <r>
    <x v="0"/>
    <x v="0"/>
    <x v="0"/>
    <x v="8"/>
    <x v="19"/>
    <s v="SE4_OTHER"/>
    <x v="9"/>
    <s v="GBPR_WOODWASTE_36"/>
    <x v="0"/>
    <x v="4"/>
    <n v="194.306363105663"/>
    <n v="70921.822533566898"/>
    <n v="255318.56112084101"/>
  </r>
  <r>
    <x v="0"/>
    <x v="0"/>
    <x v="0"/>
    <x v="8"/>
    <x v="19"/>
    <s v="SE4_OTHER"/>
    <x v="9"/>
    <s v="GBPR_WOODWASTE_36"/>
    <x v="0"/>
    <x v="5"/>
    <n v="194.306363105663"/>
    <n v="70921.822533566898"/>
    <n v="255318.56112084101"/>
  </r>
  <r>
    <x v="0"/>
    <x v="0"/>
    <x v="0"/>
    <x v="8"/>
    <x v="19"/>
    <s v="SE4_OTHER"/>
    <x v="9"/>
    <s v="GBPR_WOODWASTE_36"/>
    <x v="0"/>
    <x v="6"/>
    <n v="194.306363105663"/>
    <n v="70921.822533566898"/>
    <n v="255318.56112084101"/>
  </r>
  <r>
    <x v="0"/>
    <x v="0"/>
    <x v="0"/>
    <x v="8"/>
    <x v="19"/>
    <s v="SE4_OTHER"/>
    <x v="9"/>
    <s v="GBPR_WOODWASTE_36"/>
    <x v="0"/>
    <x v="7"/>
    <n v="194.306363105663"/>
    <n v="70921.822533566898"/>
    <n v="255318.56112084101"/>
  </r>
  <r>
    <x v="0"/>
    <x v="0"/>
    <x v="0"/>
    <x v="8"/>
    <x v="19"/>
    <s v="SE4_OTHER"/>
    <x v="9"/>
    <s v="GBPR_WOODWASTE_36"/>
    <x v="0"/>
    <x v="8"/>
    <n v="194.306363105663"/>
    <n v="70921.822533566898"/>
    <n v="255318.56112084101"/>
  </r>
  <r>
    <x v="0"/>
    <x v="0"/>
    <x v="0"/>
    <x v="8"/>
    <x v="19"/>
    <s v="SE4_OTHER"/>
    <x v="9"/>
    <s v="GBPR_WOODWASTE_36"/>
    <x v="0"/>
    <x v="9"/>
    <n v="194.306363105663"/>
    <n v="70921.822533566898"/>
    <n v="255318.56112084101"/>
  </r>
  <r>
    <x v="0"/>
    <x v="0"/>
    <x v="0"/>
    <x v="8"/>
    <x v="19"/>
    <s v="SE4_OTHER"/>
    <x v="9"/>
    <s v="GBPR_WOODWASTE_36"/>
    <x v="0"/>
    <x v="10"/>
    <n v="194.306363105663"/>
    <n v="70921.822533566898"/>
    <n v="255318.56112084101"/>
  </r>
  <r>
    <x v="0"/>
    <x v="0"/>
    <x v="0"/>
    <x v="8"/>
    <x v="19"/>
    <s v="SE4_OTHER"/>
    <x v="9"/>
    <s v="GBPR_WOODWASTE_36"/>
    <x v="0"/>
    <x v="11"/>
    <n v="194.306363105663"/>
    <n v="70921.822533566898"/>
    <n v="255318.56112084101"/>
  </r>
  <r>
    <x v="0"/>
    <x v="0"/>
    <x v="0"/>
    <x v="8"/>
    <x v="19"/>
    <s v="SE4_OTHER"/>
    <x v="9"/>
    <s v="GBPR_WOODWASTE_36"/>
    <x v="0"/>
    <x v="12"/>
    <n v="194.306363105663"/>
    <n v="70921.822533566898"/>
    <n v="255318.56112084101"/>
  </r>
  <r>
    <x v="0"/>
    <x v="0"/>
    <x v="0"/>
    <x v="8"/>
    <x v="19"/>
    <s v="SE4_OTHER"/>
    <x v="9"/>
    <s v="GBPR_WOODWASTE_36"/>
    <x v="0"/>
    <x v="13"/>
    <n v="194.306363105663"/>
    <n v="70921.822533566898"/>
    <n v="255318.56112084101"/>
  </r>
  <r>
    <x v="0"/>
    <x v="0"/>
    <x v="0"/>
    <x v="8"/>
    <x v="19"/>
    <s v="SE4_OTHER"/>
    <x v="9"/>
    <s v="GBPR_WOODWASTE_36"/>
    <x v="0"/>
    <x v="14"/>
    <n v="194.306363105663"/>
    <n v="70921.822533566898"/>
    <n v="255318.56112084101"/>
  </r>
  <r>
    <x v="0"/>
    <x v="0"/>
    <x v="0"/>
    <x v="8"/>
    <x v="19"/>
    <s v="SE4_OTHER"/>
    <x v="9"/>
    <s v="GBPR_WOODWASTE_36"/>
    <x v="0"/>
    <x v="15"/>
    <n v="194.306363105663"/>
    <n v="70921.822533566898"/>
    <n v="255318.56112084101"/>
  </r>
  <r>
    <x v="0"/>
    <x v="0"/>
    <x v="0"/>
    <x v="8"/>
    <x v="19"/>
    <s v="SE4_OTHER"/>
    <x v="9"/>
    <s v="GBPR_WOODWASTE_36"/>
    <x v="0"/>
    <x v="16"/>
    <n v="194.306363105663"/>
    <n v="70921.822533566898"/>
    <n v="255318.56112084101"/>
  </r>
  <r>
    <x v="0"/>
    <x v="0"/>
    <x v="0"/>
    <x v="8"/>
    <x v="19"/>
    <s v="SE4_OTHER"/>
    <x v="9"/>
    <s v="GBPR_WOODWASTE_36"/>
    <x v="0"/>
    <x v="17"/>
    <n v="194.306363105663"/>
    <n v="70921.822533566898"/>
    <n v="255318.56112084101"/>
  </r>
  <r>
    <x v="0"/>
    <x v="0"/>
    <x v="0"/>
    <x v="8"/>
    <x v="19"/>
    <s v="SE4_OTHER"/>
    <x v="9"/>
    <s v="GBPR_WOODWASTE_36"/>
    <x v="0"/>
    <x v="18"/>
    <n v="194.306363105663"/>
    <n v="70921.822533566898"/>
    <n v="255318.56112084101"/>
  </r>
  <r>
    <x v="0"/>
    <x v="0"/>
    <x v="0"/>
    <x v="8"/>
    <x v="19"/>
    <s v="SE4_OTHER"/>
    <x v="9"/>
    <s v="GBPR_WOODWASTE_36"/>
    <x v="0"/>
    <x v="19"/>
    <n v="194.306363105663"/>
    <n v="70921.822533566898"/>
    <n v="255318.56112084101"/>
  </r>
  <r>
    <x v="0"/>
    <x v="0"/>
    <x v="0"/>
    <x v="8"/>
    <x v="19"/>
    <s v="SE4_OTHER"/>
    <x v="9"/>
    <s v="GBPR_WOODWASTE_36"/>
    <x v="0"/>
    <x v="20"/>
    <n v="194.306363105663"/>
    <n v="70921.822533566898"/>
    <n v="255318.56112084101"/>
  </r>
  <r>
    <x v="0"/>
    <x v="0"/>
    <x v="0"/>
    <x v="8"/>
    <x v="19"/>
    <s v="SE4_OTHER"/>
    <x v="9"/>
    <s v="GBPR_WOODWASTE_36"/>
    <x v="0"/>
    <x v="21"/>
    <n v="194.306363105663"/>
    <n v="70921.822533566898"/>
    <n v="255318.56112084101"/>
  </r>
  <r>
    <x v="0"/>
    <x v="0"/>
    <x v="0"/>
    <x v="8"/>
    <x v="19"/>
    <s v="SE4_OTHER"/>
    <x v="9"/>
    <s v="GBPR_WOODWASTE_36"/>
    <x v="0"/>
    <x v="22"/>
    <n v="194.306363105663"/>
    <n v="70921.822533566898"/>
    <n v="255318.56112084101"/>
  </r>
  <r>
    <x v="0"/>
    <x v="0"/>
    <x v="0"/>
    <x v="8"/>
    <x v="19"/>
    <s v="SE4_OTHER"/>
    <x v="9"/>
    <s v="GBPR_WOODWASTE_36"/>
    <x v="0"/>
    <x v="23"/>
    <n v="194.306363105663"/>
    <n v="70921.822533566898"/>
    <n v="255318.56112084101"/>
  </r>
  <r>
    <x v="0"/>
    <x v="0"/>
    <x v="0"/>
    <x v="8"/>
    <x v="19"/>
    <s v="SE4_OTHER"/>
    <x v="9"/>
    <s v="GHOB_WOODWASTE"/>
    <x v="0"/>
    <x v="4"/>
    <n v="19.4711625898472"/>
    <n v="7106.9743452942403"/>
    <n v="25585.107643059298"/>
  </r>
  <r>
    <x v="0"/>
    <x v="0"/>
    <x v="0"/>
    <x v="8"/>
    <x v="19"/>
    <s v="SE4_OTHER"/>
    <x v="9"/>
    <s v="GHOB_WOODWASTE"/>
    <x v="0"/>
    <x v="5"/>
    <n v="67.740378215846107"/>
    <n v="24725.238048783802"/>
    <n v="89010.856975621806"/>
  </r>
  <r>
    <x v="0"/>
    <x v="0"/>
    <x v="0"/>
    <x v="8"/>
    <x v="19"/>
    <s v="SE4_OTHER"/>
    <x v="9"/>
    <s v="GHOB_WOODWASTE"/>
    <x v="0"/>
    <x v="6"/>
    <n v="169.446650340389"/>
    <n v="61848.027374241799"/>
    <n v="222652.898547271"/>
  </r>
  <r>
    <x v="0"/>
    <x v="0"/>
    <x v="0"/>
    <x v="8"/>
    <x v="19"/>
    <s v="SE4_OTHER"/>
    <x v="9"/>
    <s v="GHOB_WOODWASTE"/>
    <x v="0"/>
    <x v="7"/>
    <n v="218.814555890322"/>
    <n v="79867.312899967597"/>
    <n v="287522.32643988298"/>
  </r>
  <r>
    <x v="0"/>
    <x v="0"/>
    <x v="0"/>
    <x v="8"/>
    <x v="19"/>
    <s v="SE4_OTHER"/>
    <x v="9"/>
    <s v="GHOB_WOODWASTE"/>
    <x v="0"/>
    <x v="8"/>
    <n v="220.522962847473"/>
    <n v="80490.881439327597"/>
    <n v="289767.17318157898"/>
  </r>
  <r>
    <x v="0"/>
    <x v="0"/>
    <x v="0"/>
    <x v="8"/>
    <x v="19"/>
    <s v="SE4_OTHER"/>
    <x v="9"/>
    <s v="GHOB_WOODWASTE"/>
    <x v="0"/>
    <x v="9"/>
    <n v="169.335364672986"/>
    <n v="61807.408105639799"/>
    <n v="222506.669180303"/>
  </r>
  <r>
    <x v="0"/>
    <x v="0"/>
    <x v="0"/>
    <x v="8"/>
    <x v="19"/>
    <s v="SE4_OTHER"/>
    <x v="9"/>
    <s v="GHOB_WOODWASTE"/>
    <x v="0"/>
    <x v="10"/>
    <n v="184.95970381715199"/>
    <n v="67510.291893260495"/>
    <n v="243037.05081573801"/>
  </r>
  <r>
    <x v="0"/>
    <x v="0"/>
    <x v="0"/>
    <x v="8"/>
    <x v="19"/>
    <s v="SE4_OTHER"/>
    <x v="9"/>
    <s v="GHOB_WOODWASTE"/>
    <x v="0"/>
    <x v="11"/>
    <n v="161.21886877544799"/>
    <n v="58844.8871030386"/>
    <n v="211841.593570939"/>
  </r>
  <r>
    <x v="0"/>
    <x v="0"/>
    <x v="0"/>
    <x v="8"/>
    <x v="19"/>
    <s v="SE4_OTHER"/>
    <x v="9"/>
    <s v="GHOB_WOODWASTE"/>
    <x v="0"/>
    <x v="12"/>
    <n v="137.347084146691"/>
    <n v="50131.685713542101"/>
    <n v="180474.068568752"/>
  </r>
  <r>
    <x v="0"/>
    <x v="0"/>
    <x v="0"/>
    <x v="8"/>
    <x v="19"/>
    <s v="SE4_OTHER"/>
    <x v="9"/>
    <s v="GHOB_WOODWASTE"/>
    <x v="0"/>
    <x v="13"/>
    <n v="135.576405874345"/>
    <n v="49485.388144135999"/>
    <n v="178147.39731889"/>
  </r>
  <r>
    <x v="0"/>
    <x v="0"/>
    <x v="0"/>
    <x v="8"/>
    <x v="19"/>
    <s v="SE4_OTHER"/>
    <x v="9"/>
    <s v="GHOB_WOODWASTE"/>
    <x v="0"/>
    <x v="14"/>
    <n v="121.969443760079"/>
    <n v="44518.846972428699"/>
    <n v="160267.84910074301"/>
  </r>
  <r>
    <x v="0"/>
    <x v="0"/>
    <x v="0"/>
    <x v="8"/>
    <x v="19"/>
    <s v="SE4_OTHER"/>
    <x v="9"/>
    <s v="GHOB_WOODWASTE"/>
    <x v="0"/>
    <x v="15"/>
    <n v="116.848405257846"/>
    <n v="42649.667919113999"/>
    <n v="153538.80450880999"/>
  </r>
  <r>
    <x v="0"/>
    <x v="0"/>
    <x v="0"/>
    <x v="8"/>
    <x v="19"/>
    <s v="SE4_OTHER"/>
    <x v="9"/>
    <s v="GHOB_WOODWASTE"/>
    <x v="0"/>
    <x v="16"/>
    <n v="104.48527974136201"/>
    <n v="38137.127105596999"/>
    <n v="137293.65758014901"/>
  </r>
  <r>
    <x v="0"/>
    <x v="0"/>
    <x v="0"/>
    <x v="8"/>
    <x v="19"/>
    <s v="SE4_OTHER"/>
    <x v="9"/>
    <s v="GHOB_WOODWASTE"/>
    <x v="0"/>
    <x v="17"/>
    <n v="70.030220422066293"/>
    <n v="25561.030454054198"/>
    <n v="92019.709634595099"/>
  </r>
  <r>
    <x v="0"/>
    <x v="0"/>
    <x v="0"/>
    <x v="8"/>
    <x v="19"/>
    <s v="SE4_OTHER"/>
    <x v="9"/>
    <s v="GHOB_WOODWASTE"/>
    <x v="0"/>
    <x v="18"/>
    <n v="47.944809708693398"/>
    <n v="17499.8555436731"/>
    <n v="62999.479957223099"/>
  </r>
  <r>
    <x v="0"/>
    <x v="0"/>
    <x v="0"/>
    <x v="8"/>
    <x v="19"/>
    <s v="SE4_OTHER"/>
    <x v="9"/>
    <s v="GHOB_WOODWASTE"/>
    <x v="0"/>
    <x v="19"/>
    <n v="29.006100986076301"/>
    <n v="10587.226859917801"/>
    <n v="38114.016695704297"/>
  </r>
  <r>
    <x v="0"/>
    <x v="0"/>
    <x v="0"/>
    <x v="8"/>
    <x v="19"/>
    <s v="SE4_OTHER"/>
    <x v="9"/>
    <s v="GHOB_WOODWASTE"/>
    <x v="0"/>
    <x v="20"/>
    <n v="8.2100275763121804"/>
    <n v="2996.6600653539499"/>
    <n v="10787.9762352742"/>
  </r>
</pivotCacheRecords>
</file>

<file path=xl/pivotCache/pivotCacheRecords12.xml><?xml version="1.0" encoding="utf-8"?>
<pivotCacheRecords xmlns="http://schemas.openxmlformats.org/spreadsheetml/2006/main" xmlns:r="http://schemas.openxmlformats.org/officeDocument/2006/relationships" count="419">
  <r>
    <x v="0"/>
    <x v="0"/>
    <x v="0"/>
    <x v="0"/>
    <x v="0"/>
    <s v="DK1_Large"/>
    <x v="0"/>
    <x v="0"/>
    <s v="GNR_ENG_BGAS_BP_E-31"/>
    <n v="2.1900000000000001E-3"/>
    <n v="7.8840000000000004E-3"/>
  </r>
  <r>
    <x v="0"/>
    <x v="0"/>
    <x v="0"/>
    <x v="0"/>
    <x v="0"/>
    <s v="DK1_Large"/>
    <x v="0"/>
    <x v="0"/>
    <s v="GNR_ENG_BGAS_BP_E-36"/>
    <n v="7.0955999999999997E-3"/>
    <n v="2.554416E-2"/>
  </r>
  <r>
    <x v="0"/>
    <x v="0"/>
    <x v="0"/>
    <x v="0"/>
    <x v="0"/>
    <s v="DK1_Large"/>
    <x v="0"/>
    <x v="0"/>
    <s v="GNR_ENG_BGAS_BP_E-37"/>
    <n v="1.01616E-2"/>
    <n v="3.6581759999999998E-2"/>
  </r>
  <r>
    <x v="0"/>
    <x v="0"/>
    <x v="0"/>
    <x v="0"/>
    <x v="0"/>
    <s v="DK1_Large"/>
    <x v="0"/>
    <x v="0"/>
    <s v="GNR_ENG_BGAS_BP_E-39"/>
    <n v="3.60474E-2"/>
    <n v="0.12977063999999999"/>
  </r>
  <r>
    <x v="0"/>
    <x v="0"/>
    <x v="0"/>
    <x v="0"/>
    <x v="0"/>
    <s v="DK1_Large"/>
    <x v="0"/>
    <x v="0"/>
    <s v="GNR_ENG_BGAS_BP_E-40"/>
    <n v="1.088868E-2"/>
    <n v="3.9199247999999999E-2"/>
  </r>
  <r>
    <x v="0"/>
    <x v="0"/>
    <x v="0"/>
    <x v="0"/>
    <x v="0"/>
    <s v="DK1_Large"/>
    <x v="0"/>
    <x v="0"/>
    <s v="GNR_ENG_BGAS_BP_E-41"/>
    <n v="2.3450519999999999E-2"/>
    <n v="8.4421871999999995E-2"/>
  </r>
  <r>
    <x v="0"/>
    <x v="0"/>
    <x v="0"/>
    <x v="0"/>
    <x v="0"/>
    <s v="DK1_Large"/>
    <x v="0"/>
    <x v="0"/>
    <s v="GNR_ENG_BGAS_BP_E-42"/>
    <n v="2.6306280000000001E-2"/>
    <n v="9.4702607999999994E-2"/>
  </r>
  <r>
    <x v="0"/>
    <x v="0"/>
    <x v="0"/>
    <x v="0"/>
    <x v="0"/>
    <s v="DK1_Large"/>
    <x v="0"/>
    <x v="0"/>
    <s v="GNR_ENG_BGAS_BP_E-43"/>
    <n v="2.6691719999999999E-2"/>
    <n v="9.6090191999999894E-2"/>
  </r>
  <r>
    <x v="0"/>
    <x v="0"/>
    <x v="0"/>
    <x v="0"/>
    <x v="0"/>
    <s v="DK1_Large"/>
    <x v="1"/>
    <x v="0"/>
    <s v="GNR_ST_MSW_BP_E-18"/>
    <n v="2.4965999999999999E-2"/>
    <n v="8.9877600000000002E-2"/>
  </r>
  <r>
    <x v="0"/>
    <x v="0"/>
    <x v="0"/>
    <x v="0"/>
    <x v="0"/>
    <s v="DK1_Large"/>
    <x v="1"/>
    <x v="0"/>
    <s v="GNR_ST_MSW_BP_E-19"/>
    <n v="7.8839999999999993E-2"/>
    <n v="0.28382400000000002"/>
  </r>
  <r>
    <x v="0"/>
    <x v="0"/>
    <x v="0"/>
    <x v="0"/>
    <x v="0"/>
    <s v="DK1_Large"/>
    <x v="1"/>
    <x v="0"/>
    <s v="GNR_ST_MSW_BP_E-22"/>
    <n v="0.27156000000000002"/>
    <n v="0.97761600000000004"/>
  </r>
  <r>
    <x v="0"/>
    <x v="0"/>
    <x v="0"/>
    <x v="0"/>
    <x v="0"/>
    <s v="DK1_Large"/>
    <x v="1"/>
    <x v="0"/>
    <s v="GNR_ST_MSW_BP_E-23"/>
    <n v="0.31588559999999999"/>
    <n v="1.13718816"/>
  </r>
  <r>
    <x v="0"/>
    <x v="0"/>
    <x v="0"/>
    <x v="0"/>
    <x v="0"/>
    <s v="DK1_Large"/>
    <x v="1"/>
    <x v="0"/>
    <s v="GNR_ST_MSW_BP_E-27"/>
    <n v="0.156804"/>
    <n v="0.56449439999999995"/>
  </r>
  <r>
    <x v="0"/>
    <x v="0"/>
    <x v="0"/>
    <x v="0"/>
    <x v="0"/>
    <s v="DK1_Large"/>
    <x v="2"/>
    <x v="0"/>
    <s v="GNR_ENG_NGAS_BP_E-40"/>
    <n v="4.5639600000000002E-2"/>
    <n v="0.16430255999999999"/>
  </r>
  <r>
    <x v="0"/>
    <x v="0"/>
    <x v="0"/>
    <x v="0"/>
    <x v="0"/>
    <s v="DK1_Large"/>
    <x v="2"/>
    <x v="0"/>
    <s v="GNR_ENG_NGAS_BP_E-41"/>
    <n v="3.3287999999999998E-2"/>
    <n v="0.11983679999999999"/>
  </r>
  <r>
    <x v="0"/>
    <x v="0"/>
    <x v="0"/>
    <x v="0"/>
    <x v="0"/>
    <s v="DK1_Large"/>
    <x v="2"/>
    <x v="0"/>
    <s v="GNR_ENG_NGAS_BP_E-42"/>
    <n v="1.9797599999999999E-2"/>
    <n v="7.1271360000000006E-2"/>
  </r>
  <r>
    <x v="0"/>
    <x v="0"/>
    <x v="0"/>
    <x v="0"/>
    <x v="0"/>
    <s v="DK1_Large"/>
    <x v="2"/>
    <x v="0"/>
    <s v="GNR_ENG_NGAS_BP_E-43"/>
    <n v="7.87524E-2"/>
    <n v="0.28350863999999998"/>
  </r>
  <r>
    <x v="0"/>
    <x v="0"/>
    <x v="0"/>
    <x v="0"/>
    <x v="0"/>
    <s v="DK1_Large"/>
    <x v="2"/>
    <x v="0"/>
    <s v="GNR_ENG_NGAS_BP_E-44"/>
    <n v="2.75064E-2"/>
    <n v="9.9023040000000007E-2"/>
  </r>
  <r>
    <x v="0"/>
    <x v="0"/>
    <x v="0"/>
    <x v="0"/>
    <x v="0"/>
    <s v="DK1_Large"/>
    <x v="2"/>
    <x v="0"/>
    <s v="GNR_ENG_NGAS_BP_E-46"/>
    <n v="2.55792E-2"/>
    <n v="9.2085120000000006E-2"/>
  </r>
  <r>
    <x v="0"/>
    <x v="0"/>
    <x v="0"/>
    <x v="0"/>
    <x v="0"/>
    <s v="DK1_Large"/>
    <x v="2"/>
    <x v="1"/>
    <s v="GNR_ST_NGAS_EXT_E-47"/>
    <n v="0.27329219180627801"/>
    <n v="0.98385189050259902"/>
  </r>
  <r>
    <x v="0"/>
    <x v="0"/>
    <x v="0"/>
    <x v="0"/>
    <x v="0"/>
    <s v="DK1_Large"/>
    <x v="3"/>
    <x v="0"/>
    <s v="GNR_ST_STRW_BP_E-26"/>
    <n v="0.27156000000000002"/>
    <n v="0.97761600000000004"/>
  </r>
  <r>
    <x v="0"/>
    <x v="0"/>
    <x v="0"/>
    <x v="0"/>
    <x v="0"/>
    <s v="DK1_Large"/>
    <x v="4"/>
    <x v="0"/>
    <s v="GNR_ST_WOODCHI_BP_E-23"/>
    <n v="6.5699999999999995E-2"/>
    <n v="0.23652000000000001"/>
  </r>
  <r>
    <x v="0"/>
    <x v="0"/>
    <x v="0"/>
    <x v="0"/>
    <x v="0"/>
    <s v="DK1_MedSmall"/>
    <x v="0"/>
    <x v="0"/>
    <s v="GNR_ENG_BGAS_BP_E-33"/>
    <n v="1.4892E-3"/>
    <n v="5.3611199999999996E-3"/>
  </r>
  <r>
    <x v="0"/>
    <x v="0"/>
    <x v="0"/>
    <x v="0"/>
    <x v="0"/>
    <s v="DK1_MedSmall"/>
    <x v="0"/>
    <x v="0"/>
    <s v="GNR_ENG_BGAS_BP_E-38"/>
    <n v="1.4892E-3"/>
    <n v="5.3611199999999996E-3"/>
  </r>
  <r>
    <x v="0"/>
    <x v="0"/>
    <x v="0"/>
    <x v="0"/>
    <x v="0"/>
    <s v="DK1_MedSmall"/>
    <x v="1"/>
    <x v="0"/>
    <s v="GNR_ST_MSW_BP_E-17"/>
    <n v="2.1024000000000001E-2"/>
    <n v="7.5686400000000001E-2"/>
  </r>
  <r>
    <x v="0"/>
    <x v="0"/>
    <x v="0"/>
    <x v="0"/>
    <x v="0"/>
    <s v="DK1_MedSmall"/>
    <x v="1"/>
    <x v="0"/>
    <s v="GNR_ST_MSW_BP_E-20"/>
    <n v="2.8908E-2"/>
    <n v="0.1040688"/>
  </r>
  <r>
    <x v="0"/>
    <x v="0"/>
    <x v="0"/>
    <x v="0"/>
    <x v="0"/>
    <s v="DK1_MedSmall"/>
    <x v="1"/>
    <x v="0"/>
    <s v="GNR_ST_MSW_BP_E-21"/>
    <n v="8.7599999999999997E-2"/>
    <n v="0.31535999999999997"/>
  </r>
  <r>
    <x v="0"/>
    <x v="0"/>
    <x v="0"/>
    <x v="0"/>
    <x v="0"/>
    <s v="DK1_MedSmall"/>
    <x v="1"/>
    <x v="0"/>
    <s v="GNR_ST_MSW_BP_E-22"/>
    <n v="3.9419999999999997E-2"/>
    <n v="0.14191200000000001"/>
  </r>
  <r>
    <x v="0"/>
    <x v="0"/>
    <x v="0"/>
    <x v="0"/>
    <x v="0"/>
    <s v="DK1_MedSmall"/>
    <x v="1"/>
    <x v="0"/>
    <s v="GNR_ST_MSW_BP_E-26"/>
    <n v="6.132E-2"/>
    <n v="0.220752"/>
  </r>
  <r>
    <x v="0"/>
    <x v="0"/>
    <x v="0"/>
    <x v="0"/>
    <x v="0"/>
    <s v="DK1_MedSmall"/>
    <x v="3"/>
    <x v="0"/>
    <s v="GNR_ST_STRW_BP_E-21"/>
    <n v="0.15329999999999999"/>
    <n v="0.55188000000000004"/>
  </r>
  <r>
    <x v="0"/>
    <x v="0"/>
    <x v="0"/>
    <x v="0"/>
    <x v="0"/>
    <s v="DK1_Medium"/>
    <x v="0"/>
    <x v="0"/>
    <s v="GNR_ENG_BGAS_BP_E-32"/>
    <n v="2.5403999999999999E-3"/>
    <n v="9.1454399999999995E-3"/>
  </r>
  <r>
    <x v="0"/>
    <x v="0"/>
    <x v="0"/>
    <x v="0"/>
    <x v="0"/>
    <s v="DK1_Medium"/>
    <x v="0"/>
    <x v="0"/>
    <s v="GNR_ENG_BGAS_BP_E-34"/>
    <n v="5.6064000000000001E-3"/>
    <n v="2.0183039999999999E-2"/>
  </r>
  <r>
    <x v="0"/>
    <x v="0"/>
    <x v="0"/>
    <x v="0"/>
    <x v="0"/>
    <s v="DK1_Medium"/>
    <x v="0"/>
    <x v="0"/>
    <s v="GNR_ENG_BGAS_BP_E-35"/>
    <n v="3.3287999999999998E-3"/>
    <n v="1.198368E-2"/>
  </r>
  <r>
    <x v="0"/>
    <x v="0"/>
    <x v="0"/>
    <x v="0"/>
    <x v="0"/>
    <s v="DK1_Medium"/>
    <x v="0"/>
    <x v="0"/>
    <s v="GNR_ENG_BGAS_BP_E-37"/>
    <n v="2.1899999999999999E-2"/>
    <n v="7.8839999999999993E-2"/>
  </r>
  <r>
    <x v="0"/>
    <x v="0"/>
    <x v="0"/>
    <x v="0"/>
    <x v="0"/>
    <s v="DK1_Medium"/>
    <x v="0"/>
    <x v="0"/>
    <s v="GNR_ENG_BGAS_BP_E-39"/>
    <n v="5.5187999999999999E-3"/>
    <n v="1.9867679999999999E-2"/>
  </r>
  <r>
    <x v="0"/>
    <x v="0"/>
    <x v="0"/>
    <x v="0"/>
    <x v="0"/>
    <s v="DK1_Medium"/>
    <x v="0"/>
    <x v="0"/>
    <s v="GNR_ENG_BGAS_BP_E-41"/>
    <n v="2.905692E-2"/>
    <n v="0.10460491199999999"/>
  </r>
  <r>
    <x v="0"/>
    <x v="0"/>
    <x v="0"/>
    <x v="0"/>
    <x v="0"/>
    <s v="DK1_Medium"/>
    <x v="0"/>
    <x v="0"/>
    <s v="GNR_ENG_BGAS_BP_E-42"/>
    <n v="5.3436000000000004E-3"/>
    <n v="1.9236960000000001E-2"/>
  </r>
  <r>
    <x v="0"/>
    <x v="0"/>
    <x v="0"/>
    <x v="0"/>
    <x v="0"/>
    <s v="DK1_Medium"/>
    <x v="1"/>
    <x v="0"/>
    <s v="GNR_ST_MSW_BP_E-18"/>
    <n v="6.132E-2"/>
    <n v="0.220752"/>
  </r>
  <r>
    <x v="0"/>
    <x v="0"/>
    <x v="0"/>
    <x v="0"/>
    <x v="0"/>
    <s v="DK1_Medium"/>
    <x v="1"/>
    <x v="0"/>
    <s v="GNR_ST_MSW_BP_E-21"/>
    <n v="0.23652000000000001"/>
    <n v="0.85147200000000001"/>
  </r>
  <r>
    <x v="0"/>
    <x v="0"/>
    <x v="0"/>
    <x v="0"/>
    <x v="0"/>
    <s v="DK1_Medium"/>
    <x v="1"/>
    <x v="0"/>
    <s v="GNR_ST_MSW_BP_E-22"/>
    <n v="0.54837599999999997"/>
    <n v="1.9741536"/>
  </r>
  <r>
    <x v="0"/>
    <x v="0"/>
    <x v="0"/>
    <x v="0"/>
    <x v="0"/>
    <s v="DK1_Medium"/>
    <x v="2"/>
    <x v="0"/>
    <s v="GNR_GT_NGAS_BP_E-47"/>
    <n v="2.6450767424949801E-2"/>
    <n v="9.5222762729819194E-2"/>
  </r>
  <r>
    <x v="0"/>
    <x v="0"/>
    <x v="0"/>
    <x v="0"/>
    <x v="0"/>
    <s v="DK1_Medium"/>
    <x v="4"/>
    <x v="0"/>
    <s v="GNR_ST_WOODCHI_BP_E-27"/>
    <n v="0.45551999999999998"/>
    <n v="1.639872"/>
  </r>
  <r>
    <x v="0"/>
    <x v="0"/>
    <x v="0"/>
    <x v="0"/>
    <x v="0"/>
    <s v="DK1_Medium"/>
    <x v="4"/>
    <x v="0"/>
    <s v="GNR_ST_WOODCHI_BP_E-30"/>
    <n v="0.79190400000000005"/>
    <n v="2.8508543999999998"/>
  </r>
  <r>
    <x v="0"/>
    <x v="0"/>
    <x v="0"/>
    <x v="0"/>
    <x v="0"/>
    <s v="DK1_NoDH"/>
    <x v="0"/>
    <x v="0"/>
    <s v="GNR_ENG_BGAS_BP_E-30"/>
    <n v="3.7667999999999998E-3"/>
    <n v="1.356048E-2"/>
  </r>
  <r>
    <x v="0"/>
    <x v="0"/>
    <x v="0"/>
    <x v="0"/>
    <x v="0"/>
    <s v="DK1_NoDH"/>
    <x v="0"/>
    <x v="0"/>
    <s v="GNR_ENG_BGAS_BP_E-31"/>
    <n v="4.1171999999999997E-3"/>
    <n v="1.4821920000000001E-2"/>
  </r>
  <r>
    <x v="0"/>
    <x v="0"/>
    <x v="0"/>
    <x v="0"/>
    <x v="0"/>
    <s v="DK1_NoDH"/>
    <x v="0"/>
    <x v="0"/>
    <s v="GNR_ENG_BGAS_BP_E-32"/>
    <n v="1.04244E-2"/>
    <n v="3.752784E-2"/>
  </r>
  <r>
    <x v="0"/>
    <x v="0"/>
    <x v="0"/>
    <x v="0"/>
    <x v="0"/>
    <s v="DK1_NoDH"/>
    <x v="0"/>
    <x v="0"/>
    <s v="GNR_ENG_BGAS_BP_E-33"/>
    <n v="8.0592000000000007E-3"/>
    <n v="2.901312E-2"/>
  </r>
  <r>
    <x v="0"/>
    <x v="0"/>
    <x v="0"/>
    <x v="0"/>
    <x v="0"/>
    <s v="DK1_NoDH"/>
    <x v="0"/>
    <x v="0"/>
    <s v="GNR_ENG_BGAS_BP_E-34"/>
    <n v="2.5158719999999999E-2"/>
    <n v="9.0571392000000098E-2"/>
  </r>
  <r>
    <x v="0"/>
    <x v="0"/>
    <x v="0"/>
    <x v="0"/>
    <x v="0"/>
    <s v="DK1_NoDH"/>
    <x v="0"/>
    <x v="0"/>
    <s v="GNR_ENG_BGAS_BP_E-35"/>
    <n v="1.9184400000000001E-2"/>
    <n v="6.9063840000000001E-2"/>
  </r>
  <r>
    <x v="0"/>
    <x v="0"/>
    <x v="0"/>
    <x v="0"/>
    <x v="0"/>
    <s v="DK1_NoDH"/>
    <x v="0"/>
    <x v="0"/>
    <s v="GNR_ENG_BGAS_BP_E-36"/>
    <n v="1.8220799999999999E-2"/>
    <n v="6.5594879999999994E-2"/>
  </r>
  <r>
    <x v="0"/>
    <x v="0"/>
    <x v="0"/>
    <x v="0"/>
    <x v="0"/>
    <s v="DK1_NoDH"/>
    <x v="0"/>
    <x v="0"/>
    <s v="GNR_ENG_BGAS_BP_E-37"/>
    <n v="3.8114759999999998E-2"/>
    <n v="0.13721313600000001"/>
  </r>
  <r>
    <x v="0"/>
    <x v="0"/>
    <x v="0"/>
    <x v="0"/>
    <x v="0"/>
    <s v="DK1_NoDH"/>
    <x v="0"/>
    <x v="0"/>
    <s v="GNR_ENG_BGAS_BP_E-38"/>
    <n v="1.6643999999999999E-3"/>
    <n v="5.99184E-3"/>
  </r>
  <r>
    <x v="0"/>
    <x v="0"/>
    <x v="0"/>
    <x v="0"/>
    <x v="0"/>
    <s v="DK1_NoDH"/>
    <x v="0"/>
    <x v="0"/>
    <s v="GNR_ENG_BGAS_BP_E-39"/>
    <n v="1.01616E-2"/>
    <n v="3.6581759999999998E-2"/>
  </r>
  <r>
    <x v="0"/>
    <x v="0"/>
    <x v="0"/>
    <x v="0"/>
    <x v="0"/>
    <s v="DK1_NoDH"/>
    <x v="0"/>
    <x v="0"/>
    <s v="GNR_ENG_BGAS_BP_E-40"/>
    <n v="2.2776000000000001E-2"/>
    <n v="8.19936E-2"/>
  </r>
  <r>
    <x v="0"/>
    <x v="0"/>
    <x v="0"/>
    <x v="0"/>
    <x v="0"/>
    <s v="DK1_NoDH"/>
    <x v="0"/>
    <x v="0"/>
    <s v="GNR_ENG_BGAS_BP_E-42"/>
    <n v="1.2264000000000001E-2"/>
    <n v="4.4150399999999999E-2"/>
  </r>
  <r>
    <x v="0"/>
    <x v="0"/>
    <x v="0"/>
    <x v="0"/>
    <x v="0"/>
    <s v="DK1_NoDH"/>
    <x v="0"/>
    <x v="0"/>
    <s v="GNR_ENG_BGAS_BP_E-43"/>
    <n v="5.2560000000000003E-2"/>
    <n v="0.189216"/>
  </r>
  <r>
    <x v="0"/>
    <x v="0"/>
    <x v="0"/>
    <x v="0"/>
    <x v="0"/>
    <s v="DK1_NoDH"/>
    <x v="0"/>
    <x v="2"/>
    <s v="GNR_ENG_BGAS_CND_E-36"/>
    <n v="1.2264000000000001E-2"/>
    <n v="4.4150399999999999E-2"/>
  </r>
  <r>
    <x v="0"/>
    <x v="0"/>
    <x v="0"/>
    <x v="0"/>
    <x v="0"/>
    <s v="DK1_NoDH"/>
    <x v="0"/>
    <x v="2"/>
    <s v="GNR_ENG_BGAS_CND_E-42"/>
    <n v="3.0660000000000001E-3"/>
    <n v="1.10376E-2"/>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0"/>
    <x v="0"/>
    <s v="GNR_ENG_BGAS_BP_E-30"/>
    <n v="5.2560000000000003E-2"/>
    <n v="0.189216"/>
  </r>
  <r>
    <x v="0"/>
    <x v="0"/>
    <x v="0"/>
    <x v="0"/>
    <x v="0"/>
    <s v="DK1_Rural"/>
    <x v="0"/>
    <x v="0"/>
    <s v="GNR_ENG_BGAS_BP_E-34"/>
    <n v="9.0490799999999993E-3"/>
    <n v="3.2576687999999999E-2"/>
  </r>
  <r>
    <x v="0"/>
    <x v="0"/>
    <x v="0"/>
    <x v="0"/>
    <x v="0"/>
    <s v="DK1_Rural"/>
    <x v="0"/>
    <x v="0"/>
    <s v="GNR_ENG_BGAS_BP_E-35"/>
    <n v="9.1979999999999996E-3"/>
    <n v="3.3112799999999998E-2"/>
  </r>
  <r>
    <x v="0"/>
    <x v="0"/>
    <x v="0"/>
    <x v="0"/>
    <x v="0"/>
    <s v="DK1_Rural"/>
    <x v="0"/>
    <x v="0"/>
    <s v="GNR_ENG_BGAS_BP_E-37"/>
    <n v="4.3756200000000002E-2"/>
    <n v="0.15752231999999999"/>
  </r>
  <r>
    <x v="0"/>
    <x v="0"/>
    <x v="0"/>
    <x v="0"/>
    <x v="0"/>
    <s v="DK1_Rural"/>
    <x v="0"/>
    <x v="0"/>
    <s v="GNR_ENG_BGAS_BP_E-38"/>
    <n v="7.0080000000000003E-3"/>
    <n v="2.5228799999999999E-2"/>
  </r>
  <r>
    <x v="0"/>
    <x v="0"/>
    <x v="0"/>
    <x v="0"/>
    <x v="0"/>
    <s v="DK1_Rural"/>
    <x v="0"/>
    <x v="0"/>
    <s v="GNR_ENG_BGAS_BP_E-39"/>
    <n v="3.1711200000000002E-2"/>
    <n v="0.11416032"/>
  </r>
  <r>
    <x v="0"/>
    <x v="0"/>
    <x v="0"/>
    <x v="0"/>
    <x v="0"/>
    <s v="DK1_Rural"/>
    <x v="0"/>
    <x v="0"/>
    <s v="GNR_ENG_BGAS_BP_E-40"/>
    <n v="5.46624E-2"/>
    <n v="0.19678464000000001"/>
  </r>
  <r>
    <x v="0"/>
    <x v="0"/>
    <x v="0"/>
    <x v="0"/>
    <x v="0"/>
    <s v="DK1_Rural"/>
    <x v="0"/>
    <x v="0"/>
    <s v="GNR_ENG_BGAS_BP_E-41"/>
    <n v="1.8229559999999999E-2"/>
    <n v="6.5626416000000007E-2"/>
  </r>
  <r>
    <x v="0"/>
    <x v="0"/>
    <x v="0"/>
    <x v="0"/>
    <x v="0"/>
    <s v="DK1_Rural"/>
    <x v="0"/>
    <x v="0"/>
    <s v="GNR_ENG_BGAS_BP_E-42"/>
    <n v="7.4722800000000006E-2"/>
    <n v="0.26900207999999998"/>
  </r>
  <r>
    <x v="0"/>
    <x v="0"/>
    <x v="0"/>
    <x v="0"/>
    <x v="0"/>
    <s v="DK1_Rural"/>
    <x v="0"/>
    <x v="0"/>
    <s v="GNR_ENG_BGAS_BP_E-43"/>
    <n v="4.5026400000000001E-2"/>
    <n v="0.16209504"/>
  </r>
  <r>
    <x v="0"/>
    <x v="0"/>
    <x v="0"/>
    <x v="0"/>
    <x v="0"/>
    <s v="DK1_Rural"/>
    <x v="2"/>
    <x v="0"/>
    <s v="GNR_ENG_NGAS_BP_E-47"/>
    <n v="5.4019999999999997E-3"/>
    <n v="1.9447200000000001E-2"/>
  </r>
  <r>
    <x v="0"/>
    <x v="0"/>
    <x v="0"/>
    <x v="0"/>
    <x v="0"/>
    <s v="DK1_Rural"/>
    <x v="3"/>
    <x v="0"/>
    <s v="GNR_ST_STRW_BP_E-26"/>
    <n v="2.0147999999999999E-2"/>
    <n v="7.2532799999999995E-2"/>
  </r>
  <r>
    <x v="0"/>
    <x v="0"/>
    <x v="0"/>
    <x v="0"/>
    <x v="0"/>
    <s v="DK1_Rural"/>
    <x v="4"/>
    <x v="0"/>
    <s v="GNR_ST_WOODCHI_BP_E-17"/>
    <n v="6.5700000000000003E-3"/>
    <n v="2.3651999999999999E-2"/>
  </r>
  <r>
    <x v="0"/>
    <x v="0"/>
    <x v="0"/>
    <x v="0"/>
    <x v="0"/>
    <s v="DK1_Rural"/>
    <x v="4"/>
    <x v="0"/>
    <s v="GNR_ST_WOODCHI_BP_E-27"/>
    <n v="4.1172E-2"/>
    <n v="0.1482192"/>
  </r>
  <r>
    <x v="0"/>
    <x v="0"/>
    <x v="0"/>
    <x v="0"/>
    <x v="0"/>
    <s v="DK1_Rural"/>
    <x v="8"/>
    <x v="0"/>
    <s v="GNR_ST_WOODPEL_BP_E-30"/>
    <n v="1.6731599999999999E-2"/>
    <n v="6.0233759999999997E-2"/>
  </r>
  <r>
    <x v="0"/>
    <x v="0"/>
    <x v="0"/>
    <x v="0"/>
    <x v="0"/>
    <s v="DK1_Small"/>
    <x v="1"/>
    <x v="0"/>
    <s v="GNR_ST_MSW_BP_E-20"/>
    <n v="2.5316399999999999E-2"/>
    <n v="9.1139040000000004E-2"/>
  </r>
  <r>
    <x v="0"/>
    <x v="0"/>
    <x v="0"/>
    <x v="0"/>
    <x v="0"/>
    <s v="DK1_Small"/>
    <x v="4"/>
    <x v="0"/>
    <s v="GNR_ST_WOODCHI_BP_E-15"/>
    <n v="5.2560000000000003E-3"/>
    <n v="1.89216E-2"/>
  </r>
  <r>
    <x v="0"/>
    <x v="0"/>
    <x v="0"/>
    <x v="0"/>
    <x v="1"/>
    <s v="DK2_Large"/>
    <x v="0"/>
    <x v="0"/>
    <s v="GNR_ENG_BGAS_BP_E-38"/>
    <n v="5.2560000000000003E-3"/>
    <n v="1.89216E-2"/>
  </r>
  <r>
    <x v="0"/>
    <x v="0"/>
    <x v="0"/>
    <x v="0"/>
    <x v="1"/>
    <s v="DK2_Large"/>
    <x v="0"/>
    <x v="0"/>
    <s v="GNR_ENG_BGAS_BP_E-42"/>
    <n v="2.6691719999999999E-2"/>
    <n v="9.6090191999999894E-2"/>
  </r>
  <r>
    <x v="0"/>
    <x v="0"/>
    <x v="0"/>
    <x v="0"/>
    <x v="1"/>
    <s v="DK2_Large"/>
    <x v="1"/>
    <x v="0"/>
    <s v="GNR_ST_MSW_BP_E-16"/>
    <n v="0.24965999999999999"/>
    <n v="0.89877600000000002"/>
  </r>
  <r>
    <x v="0"/>
    <x v="0"/>
    <x v="0"/>
    <x v="0"/>
    <x v="1"/>
    <s v="DK2_Large"/>
    <x v="1"/>
    <x v="0"/>
    <s v="GNR_ST_MSW_BP_E-20"/>
    <n v="0.34164"/>
    <n v="1.2299040000000001"/>
  </r>
  <r>
    <x v="0"/>
    <x v="0"/>
    <x v="0"/>
    <x v="0"/>
    <x v="1"/>
    <s v="DK2_Large"/>
    <x v="1"/>
    <x v="0"/>
    <s v="GNR_ST_MSW_BP_E-21"/>
    <n v="0.12001199999999999"/>
    <n v="0.43204320000000002"/>
  </r>
  <r>
    <x v="0"/>
    <x v="0"/>
    <x v="0"/>
    <x v="0"/>
    <x v="1"/>
    <s v="DK2_Large"/>
    <x v="1"/>
    <x v="0"/>
    <s v="GNR_ST_MSW_BP_E-27"/>
    <n v="0.16994400000000001"/>
    <n v="0.61179839999999996"/>
  </r>
  <r>
    <x v="0"/>
    <x v="0"/>
    <x v="0"/>
    <x v="0"/>
    <x v="1"/>
    <s v="DK2_Large"/>
    <x v="2"/>
    <x v="0"/>
    <s v="GNR_ENG_NGAS_BP_E-40"/>
    <n v="3.6135E-2"/>
    <n v="0.13008600000000001"/>
  </r>
  <r>
    <x v="0"/>
    <x v="0"/>
    <x v="0"/>
    <x v="0"/>
    <x v="1"/>
    <s v="DK2_Large"/>
    <x v="2"/>
    <x v="0"/>
    <s v="GNR_ST_NGAS_BP_E-39"/>
    <n v="0.56867000000000001"/>
    <n v="2.047212"/>
  </r>
  <r>
    <x v="0"/>
    <x v="0"/>
    <x v="0"/>
    <x v="0"/>
    <x v="1"/>
    <s v="DK2_Large"/>
    <x v="4"/>
    <x v="0"/>
    <s v="GNR_ST_WOODCHI_BP_E-24"/>
    <n v="9.6360000000000001E-2"/>
    <n v="0.34689599999999998"/>
  </r>
  <r>
    <x v="0"/>
    <x v="0"/>
    <x v="0"/>
    <x v="0"/>
    <x v="1"/>
    <s v="DK2_Large"/>
    <x v="4"/>
    <x v="0"/>
    <s v="GNR_ST_WOODCHI_BP_E-27"/>
    <n v="0.13139999999999999"/>
    <n v="0.47304000000000002"/>
  </r>
  <r>
    <x v="0"/>
    <x v="0"/>
    <x v="0"/>
    <x v="0"/>
    <x v="1"/>
    <s v="DK2_Large"/>
    <x v="8"/>
    <x v="0"/>
    <s v="GNR_ST_WOODPEL_BP_E-18"/>
    <n v="0.56064000000000003"/>
    <n v="2.0183040000000001"/>
  </r>
  <r>
    <x v="0"/>
    <x v="0"/>
    <x v="0"/>
    <x v="0"/>
    <x v="1"/>
    <s v="DK2_Large"/>
    <x v="8"/>
    <x v="1"/>
    <s v="GNR_ST_WOODPEL_EXT_E-50"/>
    <n v="4.6564852346779197"/>
    <n v="16.763346844840498"/>
  </r>
  <r>
    <x v="0"/>
    <x v="0"/>
    <x v="0"/>
    <x v="0"/>
    <x v="1"/>
    <s v="DK2_MedSmall"/>
    <x v="0"/>
    <x v="0"/>
    <s v="GNR_ENG_BGAS_BP_E-38"/>
    <n v="2.1900000000000001E-3"/>
    <n v="7.8840000000000004E-3"/>
  </r>
  <r>
    <x v="0"/>
    <x v="0"/>
    <x v="0"/>
    <x v="0"/>
    <x v="1"/>
    <s v="DK2_MedSmall"/>
    <x v="1"/>
    <x v="0"/>
    <s v="GNR_ST_MSW_BP_E-21"/>
    <n v="5.8692000000000001E-2"/>
    <n v="0.21129120000000001"/>
  </r>
  <r>
    <x v="0"/>
    <x v="0"/>
    <x v="0"/>
    <x v="0"/>
    <x v="1"/>
    <s v="DK2_MedSmall"/>
    <x v="1"/>
    <x v="0"/>
    <s v="GNR_ST_MSW_BP_E-25"/>
    <n v="9.5483999999999999E-2"/>
    <n v="0.3437424"/>
  </r>
  <r>
    <x v="0"/>
    <x v="0"/>
    <x v="0"/>
    <x v="0"/>
    <x v="1"/>
    <s v="DK2_MedSmall"/>
    <x v="1"/>
    <x v="0"/>
    <s v="GNR_ST_MSW_BP_E-28"/>
    <n v="0.1129164"/>
    <n v="0.40649903999999998"/>
  </r>
  <r>
    <x v="0"/>
    <x v="0"/>
    <x v="0"/>
    <x v="0"/>
    <x v="1"/>
    <s v="DK2_Medium"/>
    <x v="1"/>
    <x v="0"/>
    <s v="GNR_ST_MSW_BP_E-23"/>
    <n v="7.0080000000000003E-2"/>
    <n v="0.25228800000000001"/>
  </r>
  <r>
    <x v="0"/>
    <x v="0"/>
    <x v="0"/>
    <x v="0"/>
    <x v="1"/>
    <s v="DK2_Medium"/>
    <x v="1"/>
    <x v="0"/>
    <s v="GNR_ST_MSW_BP_E-25"/>
    <n v="6.4824000000000007E-2"/>
    <n v="0.2333664"/>
  </r>
  <r>
    <x v="0"/>
    <x v="0"/>
    <x v="0"/>
    <x v="0"/>
    <x v="1"/>
    <s v="DK2_Medium"/>
    <x v="2"/>
    <x v="0"/>
    <s v="GNR_ENG_NGAS_BP_E-42"/>
    <n v="1.022E-2"/>
    <n v="3.6791999999999998E-2"/>
  </r>
  <r>
    <x v="0"/>
    <x v="0"/>
    <x v="0"/>
    <x v="0"/>
    <x v="1"/>
    <s v="DK2_Medium"/>
    <x v="2"/>
    <x v="0"/>
    <s v="GNR_GT_NGAS_BP_E-42"/>
    <n v="0.106440085273077"/>
    <n v="0.38318430698307698"/>
  </r>
  <r>
    <x v="0"/>
    <x v="0"/>
    <x v="0"/>
    <x v="0"/>
    <x v="1"/>
    <s v="DK2_Medium"/>
    <x v="2"/>
    <x v="0"/>
    <s v="GNR_GT_NGAS_BP_E-44"/>
    <n v="0.533995"/>
    <n v="1.922382"/>
  </r>
  <r>
    <x v="0"/>
    <x v="0"/>
    <x v="0"/>
    <x v="0"/>
    <x v="1"/>
    <s v="DK2_Medium"/>
    <x v="4"/>
    <x v="0"/>
    <s v="GNR_ST_WOODCHI_BP_E-27"/>
    <n v="2.8907999999999998E-3"/>
    <n v="1.040688E-2"/>
  </r>
  <r>
    <x v="0"/>
    <x v="0"/>
    <x v="0"/>
    <x v="0"/>
    <x v="1"/>
    <s v="DK2_NoDH"/>
    <x v="0"/>
    <x v="0"/>
    <s v="GNR_ENG_BGAS_BP_E-31"/>
    <n v="8.7600000000000004E-4"/>
    <n v="3.1535999999999999E-3"/>
  </r>
  <r>
    <x v="0"/>
    <x v="0"/>
    <x v="0"/>
    <x v="0"/>
    <x v="1"/>
    <s v="DK2_NoDH"/>
    <x v="0"/>
    <x v="0"/>
    <s v="GNR_ENG_BGAS_BP_E-32"/>
    <n v="9.636E-4"/>
    <n v="3.4689600000000001E-3"/>
  </r>
  <r>
    <x v="0"/>
    <x v="0"/>
    <x v="0"/>
    <x v="0"/>
    <x v="1"/>
    <s v="DK2_NoDH"/>
    <x v="0"/>
    <x v="0"/>
    <s v="GNR_ENG_BGAS_BP_E-33"/>
    <n v="2.0148000000000002E-3"/>
    <n v="7.25328E-3"/>
  </r>
  <r>
    <x v="0"/>
    <x v="0"/>
    <x v="0"/>
    <x v="0"/>
    <x v="1"/>
    <s v="DK2_NoDH"/>
    <x v="0"/>
    <x v="0"/>
    <s v="GNR_ENG_BGAS_BP_E-34"/>
    <n v="8.7600000000000004E-4"/>
    <n v="3.1535999999999999E-3"/>
  </r>
  <r>
    <x v="0"/>
    <x v="0"/>
    <x v="0"/>
    <x v="0"/>
    <x v="1"/>
    <s v="DK2_NoDH"/>
    <x v="0"/>
    <x v="0"/>
    <s v="GNR_ENG_BGAS_BP_E-35"/>
    <n v="1.9272E-3"/>
    <n v="6.9379200000000002E-3"/>
  </r>
  <r>
    <x v="0"/>
    <x v="0"/>
    <x v="0"/>
    <x v="0"/>
    <x v="1"/>
    <s v="DK2_NoDH"/>
    <x v="0"/>
    <x v="0"/>
    <s v="GNR_ENG_BGAS_BP_E-36"/>
    <n v="5.5188000000000004E-4"/>
    <n v="1.9867679999999999E-3"/>
  </r>
  <r>
    <x v="0"/>
    <x v="0"/>
    <x v="0"/>
    <x v="0"/>
    <x v="1"/>
    <s v="DK2_NoDH"/>
    <x v="0"/>
    <x v="0"/>
    <s v="GNR_ENG_BGAS_BP_E-37"/>
    <n v="8.7600000000000004E-4"/>
    <n v="3.1535999999999999E-3"/>
  </r>
  <r>
    <x v="0"/>
    <x v="0"/>
    <x v="0"/>
    <x v="0"/>
    <x v="1"/>
    <s v="DK2_NoDH"/>
    <x v="0"/>
    <x v="0"/>
    <s v="GNR_ENG_BGAS_BP_E-38"/>
    <n v="3.1798799999999999E-3"/>
    <n v="1.1447568E-2"/>
  </r>
  <r>
    <x v="0"/>
    <x v="0"/>
    <x v="0"/>
    <x v="0"/>
    <x v="1"/>
    <s v="DK2_NoDH"/>
    <x v="0"/>
    <x v="0"/>
    <s v="GNR_ENG_BGAS_BP_E-39"/>
    <n v="7.1831999999999998E-3"/>
    <n v="2.585952E-2"/>
  </r>
  <r>
    <x v="0"/>
    <x v="0"/>
    <x v="0"/>
    <x v="0"/>
    <x v="1"/>
    <s v="DK2_NoDH"/>
    <x v="0"/>
    <x v="0"/>
    <s v="GNR_ENG_BGAS_BP_E-40"/>
    <n v="3.5040000000000001E-4"/>
    <n v="1.26144E-3"/>
  </r>
  <r>
    <x v="0"/>
    <x v="0"/>
    <x v="0"/>
    <x v="0"/>
    <x v="1"/>
    <s v="DK2_NoDH"/>
    <x v="0"/>
    <x v="0"/>
    <s v="GNR_ENG_BGAS_BP_E-42"/>
    <n v="3.8544000000000002E-2"/>
    <n v="0.1387584"/>
  </r>
  <r>
    <x v="0"/>
    <x v="0"/>
    <x v="0"/>
    <x v="0"/>
    <x v="1"/>
    <s v="DK2_NoDH"/>
    <x v="0"/>
    <x v="2"/>
    <s v="GNR_ENG_BGAS_CND_E-32"/>
    <n v="1.1387999999999999E-3"/>
    <n v="4.0996799999999996E-3"/>
  </r>
  <r>
    <x v="0"/>
    <x v="0"/>
    <x v="0"/>
    <x v="0"/>
    <x v="1"/>
    <s v="DK2_NoDH"/>
    <x v="0"/>
    <x v="2"/>
    <s v="GNR_ENG_BGAS_CND_E-35"/>
    <n v="2.7155999999999999E-3"/>
    <n v="9.7761600000000008E-3"/>
  </r>
  <r>
    <x v="0"/>
    <x v="0"/>
    <x v="0"/>
    <x v="0"/>
    <x v="1"/>
    <s v="DK2_NoDH"/>
    <x v="2"/>
    <x v="0"/>
    <s v="GNR_ENG_NGAS_BP_E-46"/>
    <n v="5.9194703849199101E-2"/>
    <n v="0.21310093385711701"/>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0"/>
    <x v="0"/>
    <s v="GNR_ENG_BGAS_BP_E-34"/>
    <n v="6.6575999999999996E-3"/>
    <n v="2.396736E-2"/>
  </r>
  <r>
    <x v="0"/>
    <x v="0"/>
    <x v="0"/>
    <x v="0"/>
    <x v="1"/>
    <s v="DK2_Rural"/>
    <x v="0"/>
    <x v="0"/>
    <s v="GNR_ENG_BGAS_BP_E-39"/>
    <n v="8.8476000000000006E-3"/>
    <n v="3.1851360000000002E-2"/>
  </r>
  <r>
    <x v="0"/>
    <x v="0"/>
    <x v="0"/>
    <x v="0"/>
    <x v="1"/>
    <s v="DK2_Rural"/>
    <x v="0"/>
    <x v="0"/>
    <s v="GNR_ENG_BGAS_BP_E-40"/>
    <n v="4.6427999999999999E-3"/>
    <n v="1.6714079999999999E-2"/>
  </r>
  <r>
    <x v="0"/>
    <x v="0"/>
    <x v="0"/>
    <x v="0"/>
    <x v="1"/>
    <s v="DK2_Rural"/>
    <x v="0"/>
    <x v="0"/>
    <s v="GNR_ENG_BGAS_BP_E-41"/>
    <n v="1.7520000000000001E-2"/>
    <n v="6.3072000000000003E-2"/>
  </r>
  <r>
    <x v="0"/>
    <x v="0"/>
    <x v="0"/>
    <x v="0"/>
    <x v="1"/>
    <s v="DK2_Rural"/>
    <x v="0"/>
    <x v="0"/>
    <s v="GNR_ENG_BGAS_BP_E-42"/>
    <n v="5.0229839999999998E-2"/>
    <n v="0.18082742399999999"/>
  </r>
  <r>
    <x v="0"/>
    <x v="0"/>
    <x v="0"/>
    <x v="0"/>
    <x v="1"/>
    <s v="DK2_Rural"/>
    <x v="2"/>
    <x v="0"/>
    <s v="GNR_ENG_NGAS_BP_E-46"/>
    <n v="3.6135E-3"/>
    <n v="1.30086E-2"/>
  </r>
  <r>
    <x v="0"/>
    <x v="0"/>
    <x v="0"/>
    <x v="0"/>
    <x v="1"/>
    <s v="DK2_Rural"/>
    <x v="3"/>
    <x v="0"/>
    <s v="GNR_ST_STRW_BP_E-24"/>
    <n v="4.3799999999999999E-2"/>
    <n v="0.15767999999999999"/>
  </r>
  <r>
    <x v="0"/>
    <x v="0"/>
    <x v="0"/>
    <x v="0"/>
    <x v="1"/>
    <s v="DK2_Rural"/>
    <x v="3"/>
    <x v="0"/>
    <s v="GNR_ST_STRW_BP_E-27"/>
    <n v="8.7424799999999997E-2"/>
    <n v="0.31472928"/>
  </r>
  <r>
    <x v="0"/>
    <x v="0"/>
    <x v="0"/>
    <x v="0"/>
    <x v="1"/>
    <s v="DK2_Rural"/>
    <x v="3"/>
    <x v="0"/>
    <s v="GNR_ST_STRW_BP_E-28"/>
    <n v="0.10074"/>
    <n v="0.36266399999999999"/>
  </r>
  <r>
    <x v="0"/>
    <x v="0"/>
    <x v="0"/>
    <x v="0"/>
    <x v="1"/>
    <s v="DK2_Small"/>
    <x v="2"/>
    <x v="0"/>
    <s v="GNR_ENG_NGAS_BP_E-46"/>
    <n v="0.220129587132216"/>
    <n v="0.79246651367597698"/>
  </r>
  <r>
    <x v="0"/>
    <x v="0"/>
    <x v="0"/>
    <x v="1"/>
    <x v="2"/>
    <s v="EE_Industry"/>
    <x v="0"/>
    <x v="1"/>
    <s v="GNR_ST_BGAS_EXT_E-38"/>
    <n v="8.7600000000000004E-4"/>
    <n v="3.1535999999999999E-3"/>
  </r>
  <r>
    <x v="0"/>
    <x v="0"/>
    <x v="0"/>
    <x v="1"/>
    <x v="2"/>
    <s v="EE_Industry"/>
    <x v="9"/>
    <x v="1"/>
    <s v="GNR_ENG_RETORT-GAS_E-44"/>
    <n v="0.67721707267120401"/>
    <n v="2.43798146161634"/>
  </r>
  <r>
    <x v="0"/>
    <x v="0"/>
    <x v="0"/>
    <x v="1"/>
    <x v="2"/>
    <s v="EE_Industry"/>
    <x v="10"/>
    <x v="0"/>
    <s v="IMAVERE_ST_WOOD_BP"/>
    <n v="8.7599999999999997E-2"/>
    <n v="0.31535999999999997"/>
  </r>
  <r>
    <x v="0"/>
    <x v="0"/>
    <x v="0"/>
    <x v="1"/>
    <x v="2"/>
    <s v="EE_Industry"/>
    <x v="10"/>
    <x v="0"/>
    <s v="OSULA_ST_WOOD_BP"/>
    <n v="8.7599999999999997E-2"/>
    <n v="0.31535999999999997"/>
  </r>
  <r>
    <x v="0"/>
    <x v="0"/>
    <x v="0"/>
    <x v="1"/>
    <x v="2"/>
    <s v="EE_Industry"/>
    <x v="11"/>
    <x v="0"/>
    <s v="GNR_ST_WOODWST_BP_E-53"/>
    <n v="0.11388"/>
    <n v="0.409968"/>
  </r>
  <r>
    <x v="0"/>
    <x v="0"/>
    <x v="0"/>
    <x v="1"/>
    <x v="2"/>
    <s v="EE_Kohtla_Jarve"/>
    <x v="2"/>
    <x v="1"/>
    <s v="GNR_ENG_NGAS_EXT_E-44"/>
    <n v="0.14016000000000001"/>
    <n v="0.50457600000000002"/>
  </r>
  <r>
    <x v="0"/>
    <x v="0"/>
    <x v="0"/>
    <x v="1"/>
    <x v="2"/>
    <s v="EE_Parnu"/>
    <x v="0"/>
    <x v="1"/>
    <s v="GNR_ST_BGAS_EXT_E-38"/>
    <n v="8.7600000000000004E-4"/>
    <n v="3.1535999999999999E-3"/>
  </r>
  <r>
    <x v="0"/>
    <x v="0"/>
    <x v="0"/>
    <x v="1"/>
    <x v="2"/>
    <s v="EE_Parnu"/>
    <x v="10"/>
    <x v="0"/>
    <s v="PARNU-1_ST_WOOD_BP"/>
    <n v="0.19272"/>
    <n v="0.69379199999999996"/>
  </r>
  <r>
    <x v="0"/>
    <x v="0"/>
    <x v="0"/>
    <x v="1"/>
    <x v="2"/>
    <s v="EE_Rural"/>
    <x v="0"/>
    <x v="1"/>
    <s v="GNR_ST_BGAS_EXT_E-38"/>
    <n v="2.8908E-2"/>
    <n v="0.1040688"/>
  </r>
  <r>
    <x v="0"/>
    <x v="0"/>
    <x v="0"/>
    <x v="1"/>
    <x v="2"/>
    <s v="EE_Rural"/>
    <x v="2"/>
    <x v="1"/>
    <s v="GNR_ENG_NGAS_EXT_E-44"/>
    <n v="1.0512000000000001E-2"/>
    <n v="3.78432E-2"/>
  </r>
  <r>
    <x v="0"/>
    <x v="0"/>
    <x v="0"/>
    <x v="1"/>
    <x v="2"/>
    <s v="EE_Rural"/>
    <x v="6"/>
    <x v="4"/>
    <s v="GNR_ROR_WTR"/>
    <n v="0.03"/>
    <n v="0.108"/>
  </r>
  <r>
    <x v="0"/>
    <x v="0"/>
    <x v="0"/>
    <x v="1"/>
    <x v="2"/>
    <s v="EE_Rural"/>
    <x v="7"/>
    <x v="5"/>
    <s v="GNR_WT_WIND_ONS"/>
    <n v="0.78061100000000005"/>
    <n v="2.8101995999999998"/>
  </r>
  <r>
    <x v="0"/>
    <x v="0"/>
    <x v="0"/>
    <x v="1"/>
    <x v="2"/>
    <s v="EE_Rural"/>
    <x v="11"/>
    <x v="0"/>
    <s v="EBAVERE_ST_WOODWST_BP"/>
    <n v="8.7599999999999997E-2"/>
    <n v="0.31535999999999997"/>
  </r>
  <r>
    <x v="0"/>
    <x v="0"/>
    <x v="0"/>
    <x v="1"/>
    <x v="2"/>
    <s v="EE_Sillamae"/>
    <x v="2"/>
    <x v="1"/>
    <s v="GNR_ENG_NGAS_EXT_E-44"/>
    <n v="8.7599999999999997E-2"/>
    <n v="0.31535999999999997"/>
  </r>
  <r>
    <x v="0"/>
    <x v="0"/>
    <x v="0"/>
    <x v="1"/>
    <x v="2"/>
    <s v="EE_Sillamae"/>
    <x v="10"/>
    <x v="0"/>
    <s v="SILLAMAE_ST_WOOD_BP"/>
    <n v="5.0807999999999999E-2"/>
    <n v="0.18290880000000001"/>
  </r>
  <r>
    <x v="0"/>
    <x v="0"/>
    <x v="0"/>
    <x v="1"/>
    <x v="2"/>
    <s v="EE_Tallinn"/>
    <x v="1"/>
    <x v="0"/>
    <s v="IRU_ST_MSW_BP"/>
    <n v="0.14892"/>
    <n v="0.53611200000000003"/>
  </r>
  <r>
    <x v="0"/>
    <x v="0"/>
    <x v="0"/>
    <x v="1"/>
    <x v="2"/>
    <s v="EE_Tallinn"/>
    <x v="2"/>
    <x v="0"/>
    <s v="IRU_ST_NGAS_BP"/>
    <n v="0.490911909230409"/>
    <n v="1.7672828732294701"/>
  </r>
  <r>
    <x v="0"/>
    <x v="0"/>
    <x v="0"/>
    <x v="1"/>
    <x v="2"/>
    <s v="EE_Tallinn"/>
    <x v="2"/>
    <x v="1"/>
    <s v="GNR_ENG_NGAS_EXT_E-44"/>
    <n v="1.3140000000000001E-2"/>
    <n v="4.7303999999999999E-2"/>
  </r>
  <r>
    <x v="0"/>
    <x v="0"/>
    <x v="0"/>
    <x v="1"/>
    <x v="2"/>
    <s v="EE_Tallinn"/>
    <x v="10"/>
    <x v="0"/>
    <s v="MUSTAMAE_ST_WOOD_BP"/>
    <n v="8.7599999999999997E-2"/>
    <n v="0.31535999999999997"/>
  </r>
  <r>
    <x v="0"/>
    <x v="0"/>
    <x v="0"/>
    <x v="1"/>
    <x v="2"/>
    <s v="EE_Tallinn"/>
    <x v="10"/>
    <x v="0"/>
    <s v="VAO-1_ST_WOOD_BP"/>
    <n v="0.219"/>
    <n v="0.78839999999999999"/>
  </r>
  <r>
    <x v="0"/>
    <x v="0"/>
    <x v="0"/>
    <x v="1"/>
    <x v="2"/>
    <s v="EE_Tallinn"/>
    <x v="10"/>
    <x v="0"/>
    <s v="VAO-2_ST_WOOD_BP"/>
    <n v="0.18396000000000001"/>
    <n v="0.66225599999999996"/>
  </r>
  <r>
    <x v="0"/>
    <x v="0"/>
    <x v="0"/>
    <x v="1"/>
    <x v="2"/>
    <s v="EE_Tartu"/>
    <x v="10"/>
    <x v="0"/>
    <s v="TARTU-1_ST_WOOD_BP"/>
    <n v="0.19272"/>
    <n v="0.69379199999999996"/>
  </r>
  <r>
    <x v="0"/>
    <x v="0"/>
    <x v="0"/>
    <x v="1"/>
    <x v="2"/>
    <s v="EE_Urban"/>
    <x v="0"/>
    <x v="1"/>
    <s v="GNR_ST_BGAS_EXT_E-38"/>
    <n v="8.7600000000000004E-4"/>
    <n v="3.1535999999999999E-3"/>
  </r>
  <r>
    <x v="0"/>
    <x v="0"/>
    <x v="0"/>
    <x v="1"/>
    <x v="2"/>
    <s v="EE_Urban"/>
    <x v="2"/>
    <x v="1"/>
    <s v="GNR_ENG_NGAS_EXT_E-44"/>
    <n v="7.8840000000000004E-3"/>
    <n v="2.8382399999999999E-2"/>
  </r>
  <r>
    <x v="0"/>
    <x v="0"/>
    <x v="0"/>
    <x v="1"/>
    <x v="2"/>
    <s v="EE_Urban"/>
    <x v="10"/>
    <x v="0"/>
    <s v="GNR_ST_WOOD_BP_E-53"/>
    <n v="0.10512000000000001"/>
    <n v="0.37843199999999999"/>
  </r>
  <r>
    <x v="0"/>
    <x v="0"/>
    <x v="0"/>
    <x v="2"/>
    <x v="3"/>
    <s v="FIN_EL"/>
    <x v="12"/>
    <x v="6"/>
    <s v="GETOH_ELECTRICBOILER"/>
    <n v="-0.36382543350704899"/>
    <n v="-1.3097715606253799"/>
  </r>
  <r>
    <x v="0"/>
    <x v="0"/>
    <x v="0"/>
    <x v="2"/>
    <x v="3"/>
    <s v="FIN_EL"/>
    <x v="4"/>
    <x v="0"/>
    <s v="GBPR_WOODCHIPS"/>
    <n v="0.41171999999999997"/>
    <n v="1.482192"/>
  </r>
  <r>
    <x v="0"/>
    <x v="0"/>
    <x v="0"/>
    <x v="2"/>
    <x v="3"/>
    <s v="FIN_EL"/>
    <x v="11"/>
    <x v="0"/>
    <s v="GBPR_WOODWASTE_FINEL"/>
    <n v="0.96360000000000001"/>
    <n v="3.46896"/>
  </r>
  <r>
    <x v="0"/>
    <x v="0"/>
    <x v="0"/>
    <x v="2"/>
    <x v="3"/>
    <s v="FIN_HELS"/>
    <x v="12"/>
    <x v="6"/>
    <s v="GETOH_HEATPUMP"/>
    <n v="-9.7333333333333397E-2"/>
    <n v="-0.35039999999999999"/>
  </r>
  <r>
    <x v="0"/>
    <x v="0"/>
    <x v="0"/>
    <x v="2"/>
    <x v="3"/>
    <s v="FIN_HELS"/>
    <x v="2"/>
    <x v="1"/>
    <s v="GEXT_NATGAS_VOUSAARI"/>
    <n v="0.188020898763778"/>
    <n v="0.67687523554960105"/>
  </r>
  <r>
    <x v="0"/>
    <x v="0"/>
    <x v="0"/>
    <x v="2"/>
    <x v="3"/>
    <s v="FIN_HP"/>
    <x v="12"/>
    <x v="6"/>
    <s v="GETOH_ELECTRICBOILER"/>
    <n v="-0.715102040816327"/>
    <n v="-2.57436734693878"/>
  </r>
  <r>
    <x v="0"/>
    <x v="0"/>
    <x v="0"/>
    <x v="2"/>
    <x v="3"/>
    <s v="FIN_HP"/>
    <x v="12"/>
    <x v="6"/>
    <s v="GETOH_HEATPUMP"/>
    <n v="-0.11096"/>
    <n v="-0.39945599999999998"/>
  </r>
  <r>
    <x v="0"/>
    <x v="0"/>
    <x v="0"/>
    <x v="2"/>
    <x v="3"/>
    <s v="FIN_OTHER"/>
    <x v="4"/>
    <x v="0"/>
    <s v="GBPR_WOODCHIPS_FINOTHER"/>
    <n v="1.850112"/>
    <n v="6.6604032000000002"/>
  </r>
  <r>
    <x v="0"/>
    <x v="0"/>
    <x v="0"/>
    <x v="2"/>
    <x v="3"/>
    <s v="FIN_OTHER"/>
    <x v="8"/>
    <x v="0"/>
    <s v="GBPR_WOODPELLETS"/>
    <n v="9.6360000000000005E-3"/>
    <n v="3.4689600000000001E-2"/>
  </r>
  <r>
    <x v="0"/>
    <x v="0"/>
    <x v="0"/>
    <x v="2"/>
    <x v="3"/>
    <s v="FIN_OTHER"/>
    <x v="11"/>
    <x v="0"/>
    <s v="GBPR_WOODWASTE_FINOTHER"/>
    <n v="0.64911600000000003"/>
    <n v="2.3368175999999998"/>
  </r>
  <r>
    <x v="0"/>
    <x v="0"/>
    <x v="0"/>
    <x v="2"/>
    <x v="3"/>
    <s v="FIN_TAMP"/>
    <x v="12"/>
    <x v="6"/>
    <s v="GETOH_ELECTRICBOILER"/>
    <n v="-0.178775510204082"/>
    <n v="-0.643591836734694"/>
  </r>
  <r>
    <x v="0"/>
    <x v="0"/>
    <x v="0"/>
    <x v="2"/>
    <x v="3"/>
    <s v="FIN_TAMP"/>
    <x v="2"/>
    <x v="1"/>
    <s v="GEXT_NATGAS_TAMPERE"/>
    <n v="1.5983956960000001"/>
    <n v="5.7542245055999999"/>
  </r>
  <r>
    <x v="0"/>
    <x v="0"/>
    <x v="0"/>
    <x v="2"/>
    <x v="3"/>
    <s v="FinA"/>
    <x v="13"/>
    <x v="2"/>
    <s v="GCND_NUCLEAR"/>
    <n v="25.401491136000001"/>
    <n v="91.445368089599995"/>
  </r>
  <r>
    <x v="0"/>
    <x v="0"/>
    <x v="0"/>
    <x v="2"/>
    <x v="3"/>
    <s v="FinA"/>
    <x v="6"/>
    <x v="4"/>
    <s v="GNR_ROR_WTR"/>
    <n v="8.0631208425029399"/>
    <n v="29.027235033010601"/>
  </r>
  <r>
    <x v="0"/>
    <x v="0"/>
    <x v="0"/>
    <x v="2"/>
    <x v="3"/>
    <s v="FinA"/>
    <x v="6"/>
    <x v="7"/>
    <s v="GNR_RES_WTR_NOPMP_MC-01"/>
    <n v="1.09980504752811"/>
    <n v="3.9592981711011799"/>
  </r>
  <r>
    <x v="0"/>
    <x v="0"/>
    <x v="0"/>
    <x v="2"/>
    <x v="3"/>
    <s v="FinA"/>
    <x v="6"/>
    <x v="7"/>
    <s v="GNR_RES_WTR_NOPMP_MC-02"/>
    <n v="1.04482087599216"/>
    <n v="3.7613551535717802"/>
  </r>
  <r>
    <x v="0"/>
    <x v="0"/>
    <x v="0"/>
    <x v="2"/>
    <x v="3"/>
    <s v="FinA"/>
    <x v="6"/>
    <x v="7"/>
    <s v="GNR_RES_WTR_NOPMP_MC-03"/>
    <n v="1.0311615000000001"/>
    <n v="3.7121814"/>
  </r>
  <r>
    <x v="0"/>
    <x v="0"/>
    <x v="0"/>
    <x v="2"/>
    <x v="3"/>
    <s v="FinA"/>
    <x v="6"/>
    <x v="7"/>
    <s v="GNR_RES_WTR_NOPMP_MC-04"/>
    <n v="1.0311615000000001"/>
    <n v="3.7121814"/>
  </r>
  <r>
    <x v="0"/>
    <x v="0"/>
    <x v="0"/>
    <x v="2"/>
    <x v="3"/>
    <s v="FinA"/>
    <x v="6"/>
    <x v="7"/>
    <s v="GNR_RES_WTR_NOPMP_MC-05"/>
    <n v="0.98831815207580898"/>
    <n v="3.5579453474729101"/>
  </r>
  <r>
    <x v="0"/>
    <x v="0"/>
    <x v="0"/>
    <x v="2"/>
    <x v="3"/>
    <s v="FinA"/>
    <x v="6"/>
    <x v="7"/>
    <s v="GNR_RES_WTR_NOPMP_MC-06"/>
    <n v="0.94281638234179899"/>
    <n v="3.3941389764304799"/>
  </r>
  <r>
    <x v="0"/>
    <x v="0"/>
    <x v="0"/>
    <x v="2"/>
    <x v="3"/>
    <s v="FinA"/>
    <x v="6"/>
    <x v="7"/>
    <s v="GNR_RES_WTR_NOPMP_MC-07"/>
    <n v="0.89984947517815295"/>
    <n v="3.2394581106413498"/>
  </r>
  <r>
    <x v="0"/>
    <x v="0"/>
    <x v="0"/>
    <x v="2"/>
    <x v="3"/>
    <s v="FinA"/>
    <x v="6"/>
    <x v="7"/>
    <s v="GNR_RES_WTR_NOPMP_MC-08"/>
    <n v="0.81150472922171601"/>
    <n v="2.9214170251981799"/>
  </r>
  <r>
    <x v="0"/>
    <x v="0"/>
    <x v="0"/>
    <x v="2"/>
    <x v="3"/>
    <s v="FinA"/>
    <x v="6"/>
    <x v="7"/>
    <s v="GNR_RES_WTR_NOPMP_MC-09"/>
    <n v="0.75823752639469399"/>
    <n v="2.7296550950209002"/>
  </r>
  <r>
    <x v="0"/>
    <x v="0"/>
    <x v="0"/>
    <x v="2"/>
    <x v="3"/>
    <s v="FinA"/>
    <x v="6"/>
    <x v="7"/>
    <s v="GNR_RES_WTR_NOPMP_MC-10"/>
    <n v="0.49542481126756799"/>
    <n v="1.7835293205632401"/>
  </r>
  <r>
    <x v="0"/>
    <x v="0"/>
    <x v="0"/>
    <x v="2"/>
    <x v="3"/>
    <s v="FinA"/>
    <x v="7"/>
    <x v="5"/>
    <s v="GNR_WT_WIND_ONS"/>
    <n v="2.967977935"/>
    <n v="10.684720565999999"/>
  </r>
  <r>
    <x v="0"/>
    <x v="0"/>
    <x v="0"/>
    <x v="2"/>
    <x v="3"/>
    <s v="FinA"/>
    <x v="10"/>
    <x v="0"/>
    <s v="GBPR_IND_BIO"/>
    <n v="2.6280000000000001"/>
    <n v="9.4608000000000008"/>
  </r>
  <r>
    <x v="0"/>
    <x v="0"/>
    <x v="0"/>
    <x v="2"/>
    <x v="3"/>
    <s v="FinA"/>
    <x v="10"/>
    <x v="0"/>
    <s v="GBPR_WOOD_IND"/>
    <n v="16.17972"/>
    <n v="58.246991999999999"/>
  </r>
  <r>
    <x v="0"/>
    <x v="0"/>
    <x v="0"/>
    <x v="2"/>
    <x v="3"/>
    <s v="FinA"/>
    <x v="10"/>
    <x v="2"/>
    <s v="GCND_COFIRING"/>
    <n v="2.850285"/>
    <n v="10.261025999999999"/>
  </r>
  <r>
    <x v="0"/>
    <x v="0"/>
    <x v="0"/>
    <x v="2"/>
    <x v="3"/>
    <s v="FinA"/>
    <x v="4"/>
    <x v="2"/>
    <s v="GCND_WOODCHIPS"/>
    <n v="4.8166269592476503E-2"/>
    <n v="0.17339857053291499"/>
  </r>
  <r>
    <x v="0"/>
    <x v="0"/>
    <x v="0"/>
    <x v="3"/>
    <x v="4"/>
    <s v="DE4-E_A"/>
    <x v="0"/>
    <x v="0"/>
    <s v="GNR_ENG_BGAS_BP_E-45"/>
    <n v="2.2513200000000001E-2"/>
    <n v="8.1047519999999998E-2"/>
  </r>
  <r>
    <x v="0"/>
    <x v="0"/>
    <x v="0"/>
    <x v="3"/>
    <x v="4"/>
    <s v="DE4-E_A"/>
    <x v="0"/>
    <x v="0"/>
    <s v="GNR_ST_BGAS_BP_E-38"/>
    <n v="2.0183040000000001"/>
    <n v="7.2658943999999996"/>
  </r>
  <r>
    <x v="0"/>
    <x v="0"/>
    <x v="0"/>
    <x v="3"/>
    <x v="4"/>
    <s v="DE4-E_A"/>
    <x v="0"/>
    <x v="2"/>
    <s v="GNR_ENG_BGAS_CND_E-44"/>
    <n v="16.009863599999999"/>
    <n v="57.635508960000003"/>
  </r>
  <r>
    <x v="0"/>
    <x v="0"/>
    <x v="0"/>
    <x v="3"/>
    <x v="4"/>
    <s v="DE4-E_A"/>
    <x v="0"/>
    <x v="2"/>
    <s v="GNR_ST_BGAS_CND_E-38"/>
    <n v="0.64648799999999995"/>
    <n v="2.3273568"/>
  </r>
  <r>
    <x v="0"/>
    <x v="0"/>
    <x v="0"/>
    <x v="3"/>
    <x v="4"/>
    <s v="DE4-E_A"/>
    <x v="12"/>
    <x v="8"/>
    <s v="AGG-DE4-E_RES_WTR_PMP"/>
    <n v="4.66092865211239"/>
    <n v="16.7793431476046"/>
  </r>
  <r>
    <x v="0"/>
    <x v="0"/>
    <x v="0"/>
    <x v="3"/>
    <x v="4"/>
    <s v="DE4-E_A"/>
    <x v="1"/>
    <x v="0"/>
    <s v="GNR_ST_MSW_BP_E-33"/>
    <n v="2.7935639999999999"/>
    <n v="10.056830400000001"/>
  </r>
  <r>
    <x v="0"/>
    <x v="0"/>
    <x v="0"/>
    <x v="3"/>
    <x v="4"/>
    <s v="DE4-E_A"/>
    <x v="1"/>
    <x v="2"/>
    <s v="GNR_ST_MSW_CND_E-33"/>
    <n v="0.57027600000000001"/>
    <n v="2.0529936000000002"/>
  </r>
  <r>
    <x v="0"/>
    <x v="0"/>
    <x v="0"/>
    <x v="3"/>
    <x v="4"/>
    <s v="DE4-E_A"/>
    <x v="5"/>
    <x v="3"/>
    <s v="GNR_PV_SUN"/>
    <n v="11.438265235278299"/>
    <n v="41.1777548470018"/>
  </r>
  <r>
    <x v="0"/>
    <x v="0"/>
    <x v="0"/>
    <x v="3"/>
    <x v="4"/>
    <s v="DE4-E_A"/>
    <x v="14"/>
    <x v="2"/>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0"/>
    <x v="0"/>
    <s v="GNR_ENG_BGAS_BP_E-45"/>
    <n v="4.2047999999999999E-3"/>
    <n v="1.5137279999999999E-2"/>
  </r>
  <r>
    <x v="0"/>
    <x v="0"/>
    <x v="0"/>
    <x v="3"/>
    <x v="5"/>
    <s v="DE4-N_A"/>
    <x v="0"/>
    <x v="0"/>
    <s v="GNR_ST_BGAS_BP_E-38"/>
    <n v="0.17519999999999999"/>
    <n v="0.63071999999999995"/>
  </r>
  <r>
    <x v="0"/>
    <x v="0"/>
    <x v="0"/>
    <x v="3"/>
    <x v="5"/>
    <s v="DE4-N_A"/>
    <x v="0"/>
    <x v="2"/>
    <s v="GNR_ENG_BGAS_CND_E-44"/>
    <n v="4.2426431999999998"/>
    <n v="15.27351552"/>
  </r>
  <r>
    <x v="0"/>
    <x v="0"/>
    <x v="0"/>
    <x v="3"/>
    <x v="5"/>
    <s v="DE4-N_A"/>
    <x v="12"/>
    <x v="8"/>
    <s v="AGG-DE4-N_RES_WTR_PMP"/>
    <n v="0.3225228"/>
    <n v="1.1610820799999999"/>
  </r>
  <r>
    <x v="0"/>
    <x v="0"/>
    <x v="0"/>
    <x v="3"/>
    <x v="5"/>
    <s v="DE4-N_A"/>
    <x v="1"/>
    <x v="0"/>
    <s v="GNR_ST_MSW_BP_E-33"/>
    <n v="0.35915999999999998"/>
    <n v="1.2929759999999999"/>
  </r>
  <r>
    <x v="0"/>
    <x v="0"/>
    <x v="0"/>
    <x v="3"/>
    <x v="5"/>
    <s v="DE4-N_A"/>
    <x v="2"/>
    <x v="0"/>
    <s v="GNR_CC_NGAS_BP_E-57"/>
    <n v="1.11252"/>
    <n v="4.0050720000000002"/>
  </r>
  <r>
    <x v="0"/>
    <x v="0"/>
    <x v="0"/>
    <x v="3"/>
    <x v="5"/>
    <s v="DE4-N_A"/>
    <x v="13"/>
    <x v="2"/>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0"/>
    <x v="0"/>
    <s v="GNR_ENG_BGAS_BP_E-45"/>
    <n v="0.41487360000000001"/>
    <n v="1.4935449599999999"/>
  </r>
  <r>
    <x v="0"/>
    <x v="0"/>
    <x v="0"/>
    <x v="3"/>
    <x v="6"/>
    <s v="DE4-S_A"/>
    <x v="0"/>
    <x v="0"/>
    <s v="GNR_ST_BGAS_BP_E-38"/>
    <n v="2.2881119999999999"/>
    <n v="8.2372032000000104"/>
  </r>
  <r>
    <x v="0"/>
    <x v="0"/>
    <x v="0"/>
    <x v="3"/>
    <x v="6"/>
    <s v="DE4-S_A"/>
    <x v="0"/>
    <x v="2"/>
    <s v="GNR_ENG_BGAS_CND_E-44"/>
    <n v="22.1339796"/>
    <n v="79.682326560000007"/>
  </r>
  <r>
    <x v="0"/>
    <x v="0"/>
    <x v="0"/>
    <x v="3"/>
    <x v="6"/>
    <s v="DE4-S_A"/>
    <x v="0"/>
    <x v="2"/>
    <s v="GNR_ST_BGAS_CND_E-38"/>
    <n v="0.35302800000000001"/>
    <n v="1.2709007999999999"/>
  </r>
  <r>
    <x v="0"/>
    <x v="0"/>
    <x v="0"/>
    <x v="3"/>
    <x v="6"/>
    <s v="DE4-S_A"/>
    <x v="12"/>
    <x v="8"/>
    <s v="AGG-DE4-S_RES_WTR_PMP"/>
    <n v="3.8193412053366398"/>
    <n v="13.749628339211901"/>
  </r>
  <r>
    <x v="0"/>
    <x v="0"/>
    <x v="0"/>
    <x v="3"/>
    <x v="6"/>
    <s v="DE4-S_A"/>
    <x v="1"/>
    <x v="0"/>
    <s v="GNR_ST_MSW_BP_E-33"/>
    <n v="3.5031240000000001"/>
    <n v="12.611246400000001"/>
  </r>
  <r>
    <x v="0"/>
    <x v="0"/>
    <x v="0"/>
    <x v="3"/>
    <x v="6"/>
    <s v="DE4-S_A"/>
    <x v="1"/>
    <x v="2"/>
    <s v="GNR_ST_MSW_CND_E-33"/>
    <n v="0.35039999999999999"/>
    <n v="1.2614399999999999"/>
  </r>
  <r>
    <x v="0"/>
    <x v="0"/>
    <x v="0"/>
    <x v="3"/>
    <x v="6"/>
    <s v="DE4-S_A"/>
    <x v="13"/>
    <x v="2"/>
    <s v="GNR_ST_NUCL_CND_E-33"/>
    <n v="58.63944"/>
    <n v="211.10198399999999"/>
  </r>
  <r>
    <x v="0"/>
    <x v="0"/>
    <x v="0"/>
    <x v="3"/>
    <x v="6"/>
    <s v="DE4-S_A"/>
    <x v="5"/>
    <x v="3"/>
    <s v="GNR_PV_SUN"/>
    <n v="21.7176092114785"/>
    <n v="78.183393161322698"/>
  </r>
  <r>
    <x v="0"/>
    <x v="0"/>
    <x v="0"/>
    <x v="3"/>
    <x v="6"/>
    <s v="DE4-S_A"/>
    <x v="14"/>
    <x v="2"/>
    <s v="GNR_GEO_HEAT_EO"/>
    <n v="0.39209759999999999"/>
    <n v="1.41155136"/>
  </r>
  <r>
    <x v="0"/>
    <x v="0"/>
    <x v="0"/>
    <x v="3"/>
    <x v="6"/>
    <s v="DE4-S_A"/>
    <x v="6"/>
    <x v="4"/>
    <s v="GNR_ROR_WTR"/>
    <n v="38.207127800000002"/>
    <n v="137.54566008"/>
  </r>
  <r>
    <x v="0"/>
    <x v="0"/>
    <x v="0"/>
    <x v="3"/>
    <x v="6"/>
    <s v="DE4-S_A"/>
    <x v="6"/>
    <x v="7"/>
    <s v="GNR_RES_WTR_NOPMP"/>
    <n v="0.59766271944701799"/>
    <n v="2.1515857900092699"/>
  </r>
  <r>
    <x v="0"/>
    <x v="0"/>
    <x v="0"/>
    <x v="3"/>
    <x v="6"/>
    <s v="DE4-S_A"/>
    <x v="7"/>
    <x v="5"/>
    <s v="GNR_WT_WIND_ONS"/>
    <n v="13.97148009"/>
    <n v="50.297328323999999"/>
  </r>
  <r>
    <x v="0"/>
    <x v="0"/>
    <x v="0"/>
    <x v="3"/>
    <x v="7"/>
    <s v="DE4-W_A"/>
    <x v="0"/>
    <x v="0"/>
    <s v="GNR_ENG_BGAS_BP_E-45"/>
    <n v="0.15408839999999999"/>
    <n v="0.55471824000000003"/>
  </r>
  <r>
    <x v="0"/>
    <x v="0"/>
    <x v="0"/>
    <x v="3"/>
    <x v="7"/>
    <s v="DE4-W_A"/>
    <x v="0"/>
    <x v="0"/>
    <s v="GNR_ST_BGAS_BP_E-33"/>
    <n v="0.29258400000000001"/>
    <n v="1.0533024"/>
  </r>
  <r>
    <x v="0"/>
    <x v="0"/>
    <x v="0"/>
    <x v="3"/>
    <x v="7"/>
    <s v="DE4-W_A"/>
    <x v="0"/>
    <x v="0"/>
    <s v="GNR_ST_BGAS_BP_E-38"/>
    <n v="1.1764680000000001"/>
    <n v="4.2352847999999996"/>
  </r>
  <r>
    <x v="0"/>
    <x v="0"/>
    <x v="0"/>
    <x v="3"/>
    <x v="7"/>
    <s v="DE4-W_A"/>
    <x v="0"/>
    <x v="2"/>
    <s v="GNR_ENG_BGAS_CND_E-44"/>
    <n v="22.263539999999999"/>
    <n v="80.148743999999994"/>
  </r>
  <r>
    <x v="0"/>
    <x v="0"/>
    <x v="0"/>
    <x v="3"/>
    <x v="7"/>
    <s v="DE4-W_A"/>
    <x v="0"/>
    <x v="2"/>
    <s v="GNR_ST_BGAS_CND_E-38"/>
    <n v="0.82782"/>
    <n v="2.9801519999999999"/>
  </r>
  <r>
    <x v="0"/>
    <x v="0"/>
    <x v="0"/>
    <x v="3"/>
    <x v="7"/>
    <s v="DE4-W_A"/>
    <x v="12"/>
    <x v="8"/>
    <s v="AGG-DE4-W_RES_WTR_PMP"/>
    <n v="2.5681859999999999"/>
    <n v="9.2454695999999998"/>
  </r>
  <r>
    <x v="0"/>
    <x v="0"/>
    <x v="0"/>
    <x v="3"/>
    <x v="7"/>
    <s v="DE4-W_A"/>
    <x v="1"/>
    <x v="0"/>
    <s v="GNR_ST_MSW_BP_E-33"/>
    <n v="5.0729160000000002"/>
    <n v="18.2624976"/>
  </r>
  <r>
    <x v="0"/>
    <x v="0"/>
    <x v="0"/>
    <x v="3"/>
    <x v="7"/>
    <s v="DE4-W_A"/>
    <x v="1"/>
    <x v="2"/>
    <s v="GNR_ST_MSW_CND_E-33"/>
    <n v="1.513728"/>
    <n v="5.4494208000000004"/>
  </r>
  <r>
    <x v="0"/>
    <x v="0"/>
    <x v="0"/>
    <x v="3"/>
    <x v="7"/>
    <s v="DE4-W_A"/>
    <x v="2"/>
    <x v="0"/>
    <s v="GNR_CC_NGAS_BP_E-55"/>
    <n v="1.6498273363146401"/>
    <n v="5.9393784107326901"/>
  </r>
  <r>
    <x v="0"/>
    <x v="0"/>
    <x v="0"/>
    <x v="3"/>
    <x v="7"/>
    <s v="DE4-W_A"/>
    <x v="13"/>
    <x v="2"/>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Other_DH"/>
    <x v="0"/>
    <x v="0"/>
    <s v="GNR_GT_BGAS_BP_E-30"/>
    <n v="0.54312000000000005"/>
    <n v="1.9552320000000001"/>
  </r>
  <r>
    <x v="0"/>
    <x v="0"/>
    <x v="0"/>
    <x v="4"/>
    <x v="8"/>
    <s v="LV_Other_DH"/>
    <x v="10"/>
    <x v="0"/>
    <s v="GNR_ST_WOOD_BP_E-30"/>
    <n v="0.47304000000000002"/>
    <n v="1.702944"/>
  </r>
  <r>
    <x v="0"/>
    <x v="0"/>
    <x v="0"/>
    <x v="4"/>
    <x v="8"/>
    <s v="LV_RigaR"/>
    <x v="2"/>
    <x v="1"/>
    <s v="RIGA-TEC2_CC_NGAS_EXT"/>
    <n v="2.82234105763518"/>
    <n v="10.160427807486601"/>
  </r>
  <r>
    <x v="0"/>
    <x v="0"/>
    <x v="0"/>
    <x v="4"/>
    <x v="8"/>
    <s v="LV_RigaR"/>
    <x v="6"/>
    <x v="7"/>
    <s v="GNR_RES_WTR_NOPMP"/>
    <n v="4.0200000000000001E-4"/>
    <n v="1.4472E-3"/>
  </r>
  <r>
    <x v="0"/>
    <x v="0"/>
    <x v="0"/>
    <x v="4"/>
    <x v="8"/>
    <s v="LV_Rural"/>
    <x v="7"/>
    <x v="5"/>
    <s v="GNR_WT_WIND_ONS"/>
    <n v="0.11622"/>
    <n v="0.41839199999999999"/>
  </r>
  <r>
    <x v="0"/>
    <x v="0"/>
    <x v="0"/>
    <x v="5"/>
    <x v="9"/>
    <s v="LT_KauU"/>
    <x v="1"/>
    <x v="0"/>
    <s v="KAUNAS_ST_MSW_BP"/>
    <n v="0.21024000000000001"/>
    <n v="0.75686399999999998"/>
  </r>
  <r>
    <x v="0"/>
    <x v="0"/>
    <x v="0"/>
    <x v="5"/>
    <x v="9"/>
    <s v="LT_KauU"/>
    <x v="6"/>
    <x v="4"/>
    <s v="GNR_ROR_WTR"/>
    <n v="0.61343999999999999"/>
    <n v="2.2083840000000001"/>
  </r>
  <r>
    <x v="0"/>
    <x v="0"/>
    <x v="0"/>
    <x v="5"/>
    <x v="9"/>
    <s v="LT_KlaU"/>
    <x v="5"/>
    <x v="3"/>
    <s v="GNR_PV_SUN"/>
    <n v="8.7830410424068805E-2"/>
    <n v="0.316189477526648"/>
  </r>
  <r>
    <x v="0"/>
    <x v="0"/>
    <x v="0"/>
    <x v="5"/>
    <x v="9"/>
    <s v="LT_KlaU"/>
    <x v="10"/>
    <x v="0"/>
    <s v="KLAIPEDA_ST_WOOD_BP"/>
    <n v="0.17519999999999999"/>
    <n v="0.63071999999999995"/>
  </r>
  <r>
    <x v="0"/>
    <x v="0"/>
    <x v="0"/>
    <x v="5"/>
    <x v="9"/>
    <s v="LT_Other_DH"/>
    <x v="0"/>
    <x v="1"/>
    <s v="GNR_ENG_BGAS_EXT_E-33"/>
    <n v="0.34164"/>
    <n v="1.2299040000000001"/>
  </r>
  <r>
    <x v="0"/>
    <x v="0"/>
    <x v="0"/>
    <x v="5"/>
    <x v="9"/>
    <s v="LT_Other_DH"/>
    <x v="15"/>
    <x v="0"/>
    <s v="LIFOSA_ST_HEAT_BP"/>
    <n v="0.32412000000000002"/>
    <n v="1.1668320000000001"/>
  </r>
  <r>
    <x v="0"/>
    <x v="0"/>
    <x v="0"/>
    <x v="5"/>
    <x v="9"/>
    <s v="LT_Other_DH"/>
    <x v="11"/>
    <x v="0"/>
    <s v="EBAVERE_ST_WOODWST_BP"/>
    <n v="9.1104000000000004E-2"/>
    <n v="0.3279744"/>
  </r>
  <r>
    <x v="0"/>
    <x v="0"/>
    <x v="0"/>
    <x v="5"/>
    <x v="9"/>
    <s v="LT_Panevezys"/>
    <x v="10"/>
    <x v="1"/>
    <s v="GNR_ST_WOOD_EXT_E-14"/>
    <n v="2.1899999999999999E-2"/>
    <n v="7.8839999999999993E-2"/>
  </r>
  <r>
    <x v="0"/>
    <x v="0"/>
    <x v="0"/>
    <x v="5"/>
    <x v="9"/>
    <s v="LT_Rural"/>
    <x v="7"/>
    <x v="5"/>
    <s v="GNR_WT_WIND_ONS"/>
    <n v="0.98593299999999995"/>
    <n v="3.5493587999999998"/>
  </r>
  <r>
    <x v="0"/>
    <x v="0"/>
    <x v="0"/>
    <x v="5"/>
    <x v="9"/>
    <s v="LT_SiaU"/>
    <x v="10"/>
    <x v="0"/>
    <s v="SIAULIAI_ST_WOOD_BP"/>
    <n v="9.4607999999999998E-2"/>
    <n v="0.34058880000000002"/>
  </r>
  <r>
    <x v="0"/>
    <x v="0"/>
    <x v="0"/>
    <x v="5"/>
    <x v="9"/>
    <s v="LT_VilU"/>
    <x v="1"/>
    <x v="0"/>
    <s v="VILNIUS_ST_MSW_BP"/>
    <n v="0.80591999999999997"/>
    <n v="2.9013119999999999"/>
  </r>
  <r>
    <x v="0"/>
    <x v="0"/>
    <x v="0"/>
    <x v="5"/>
    <x v="9"/>
    <s v="LT_VilU"/>
    <x v="2"/>
    <x v="2"/>
    <s v="GNR_CC_NGAS_CND_E-58"/>
    <n v="2.8718558130322802"/>
    <n v="10.338680926916201"/>
  </r>
  <r>
    <x v="0"/>
    <x v="0"/>
    <x v="0"/>
    <x v="5"/>
    <x v="9"/>
    <s v="LT_VilU"/>
    <x v="10"/>
    <x v="0"/>
    <s v="VILNIUS_ST_WOOD_BP"/>
    <n v="0.13139999999999999"/>
    <n v="0.47304000000000002"/>
  </r>
  <r>
    <x v="0"/>
    <x v="0"/>
    <x v="0"/>
    <x v="6"/>
    <x v="10"/>
    <s v="NL_A"/>
    <x v="1"/>
    <x v="2"/>
    <s v="GNR_ST_MSW_CND_E-40"/>
    <n v="5.9918399999999998"/>
    <n v="21.570623999999999"/>
  </r>
  <r>
    <x v="0"/>
    <x v="0"/>
    <x v="0"/>
    <x v="6"/>
    <x v="10"/>
    <s v="NL_A"/>
    <x v="2"/>
    <x v="2"/>
    <s v="GNR_CC_NGAS_CND_E-38"/>
    <n v="1.88156070509012"/>
    <n v="6.7736185383244196"/>
  </r>
  <r>
    <x v="0"/>
    <x v="0"/>
    <x v="0"/>
    <x v="6"/>
    <x v="10"/>
    <s v="NL_A"/>
    <x v="13"/>
    <x v="2"/>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0"/>
    <x v="2"/>
    <s v="GNR_ST_WOOD_CND_E-50"/>
    <n v="3.504"/>
    <n v="12.6144"/>
  </r>
  <r>
    <x v="0"/>
    <x v="0"/>
    <x v="0"/>
    <x v="7"/>
    <x v="11"/>
    <s v="NO1_A1"/>
    <x v="1"/>
    <x v="0"/>
    <s v="GBPR_MUNIWASTE"/>
    <n v="7.1831999999999993E-2"/>
    <n v="0.25859520000000003"/>
  </r>
  <r>
    <x v="0"/>
    <x v="0"/>
    <x v="0"/>
    <x v="7"/>
    <x v="11"/>
    <s v="NO1_A1"/>
    <x v="6"/>
    <x v="4"/>
    <s v="GNR_ROR_WTR"/>
    <n v="8.2207838348424804"/>
    <n v="29.5948218054329"/>
  </r>
  <r>
    <x v="0"/>
    <x v="0"/>
    <x v="0"/>
    <x v="7"/>
    <x v="11"/>
    <s v="NO1_A1"/>
    <x v="6"/>
    <x v="7"/>
    <s v="GNR_RES_WTR_NOPMP_MC-01"/>
    <n v="1.3431999999999999"/>
    <n v="4.8355199999999998"/>
  </r>
  <r>
    <x v="0"/>
    <x v="0"/>
    <x v="0"/>
    <x v="7"/>
    <x v="11"/>
    <s v="NO1_A1"/>
    <x v="6"/>
    <x v="7"/>
    <s v="GNR_RES_WTR_NOPMP_MC-02"/>
    <n v="1.1869057559729199"/>
    <n v="4.2728607215025098"/>
  </r>
  <r>
    <x v="0"/>
    <x v="0"/>
    <x v="0"/>
    <x v="7"/>
    <x v="11"/>
    <s v="NO1_A1"/>
    <x v="6"/>
    <x v="7"/>
    <s v="GNR_RES_WTR_NOPMP_MC-03"/>
    <n v="0.91875899047755205"/>
    <n v="3.3075323657191902"/>
  </r>
  <r>
    <x v="0"/>
    <x v="0"/>
    <x v="0"/>
    <x v="7"/>
    <x v="11"/>
    <s v="NO1_A1"/>
    <x v="6"/>
    <x v="7"/>
    <s v="GNR_RES_WTR_NOPMP_MC-04"/>
    <n v="0.81759999999999999"/>
    <n v="2.9433600000000002"/>
  </r>
  <r>
    <x v="0"/>
    <x v="0"/>
    <x v="0"/>
    <x v="7"/>
    <x v="11"/>
    <s v="NO1_A1"/>
    <x v="6"/>
    <x v="7"/>
    <s v="GNR_RES_WTR_NOPMP_MC-05"/>
    <n v="0.30944596466419999"/>
    <n v="1.1140054727911199"/>
  </r>
  <r>
    <x v="0"/>
    <x v="0"/>
    <x v="0"/>
    <x v="7"/>
    <x v="11"/>
    <s v="NO1_A1"/>
    <x v="6"/>
    <x v="7"/>
    <s v="GNR_RES_WTR_NOPMP_MC-06"/>
    <n v="0.23297499935071"/>
    <n v="0.83870999766255705"/>
  </r>
  <r>
    <x v="0"/>
    <x v="0"/>
    <x v="0"/>
    <x v="7"/>
    <x v="11"/>
    <s v="NO1_A1"/>
    <x v="6"/>
    <x v="7"/>
    <s v="GNR_RES_WTR_NOPMP_MC-07"/>
    <n v="1.9571925116313501E-2"/>
    <n v="7.0458930418728805E-2"/>
  </r>
  <r>
    <x v="0"/>
    <x v="0"/>
    <x v="0"/>
    <x v="7"/>
    <x v="11"/>
    <s v="NO1_A2"/>
    <x v="1"/>
    <x v="0"/>
    <s v="GBPR_MUNIWASTE"/>
    <n v="9.7177599999998795E-2"/>
    <n v="0.34983935999999599"/>
  </r>
  <r>
    <x v="0"/>
    <x v="0"/>
    <x v="0"/>
    <x v="7"/>
    <x v="12"/>
    <s v="NO2_A1"/>
    <x v="1"/>
    <x v="0"/>
    <s v="GBPR_MUNIWASTE"/>
    <n v="9.4607999999999998E-2"/>
    <n v="0.34058880000000002"/>
  </r>
  <r>
    <x v="0"/>
    <x v="0"/>
    <x v="0"/>
    <x v="7"/>
    <x v="12"/>
    <s v="NO2_A1"/>
    <x v="6"/>
    <x v="4"/>
    <s v="GNR_ROR_WTR"/>
    <n v="9.2743043586350105"/>
    <n v="33.3874956910861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7718024084082398"/>
    <n v="27.978488670269702"/>
  </r>
  <r>
    <x v="0"/>
    <x v="0"/>
    <x v="0"/>
    <x v="7"/>
    <x v="12"/>
    <s v="NO2_A1"/>
    <x v="6"/>
    <x v="7"/>
    <s v="GNR_RES_WTR_NOPMP_MC-04"/>
    <n v="7.7718024084082398"/>
    <n v="27.978488670269702"/>
  </r>
  <r>
    <x v="0"/>
    <x v="0"/>
    <x v="0"/>
    <x v="7"/>
    <x v="12"/>
    <s v="NO2_A1"/>
    <x v="6"/>
    <x v="7"/>
    <s v="GNR_RES_WTR_NOPMP_MC-05"/>
    <n v="5.7423086895111499"/>
    <n v="20.672311282240099"/>
  </r>
  <r>
    <x v="0"/>
    <x v="0"/>
    <x v="0"/>
    <x v="7"/>
    <x v="12"/>
    <s v="NO2_A1"/>
    <x v="6"/>
    <x v="7"/>
    <s v="GNR_RES_WTR_NOPMP_MC-06"/>
    <n v="0.65270088227285605"/>
    <n v="2.3497231761822799"/>
  </r>
  <r>
    <x v="0"/>
    <x v="0"/>
    <x v="0"/>
    <x v="7"/>
    <x v="12"/>
    <s v="NO2_A1"/>
    <x v="6"/>
    <x v="7"/>
    <s v="GNR_RES_WTR_PMP_MC-01"/>
    <n v="4.5552000000000001"/>
    <n v="16.398720000000001"/>
  </r>
  <r>
    <x v="0"/>
    <x v="0"/>
    <x v="0"/>
    <x v="7"/>
    <x v="12"/>
    <s v="NO2_A1"/>
    <x v="7"/>
    <x v="5"/>
    <s v="GNR_WT_WIND_ONS"/>
    <n v="1.5001477000000001"/>
    <n v="5.40053172"/>
  </r>
  <r>
    <x v="0"/>
    <x v="0"/>
    <x v="0"/>
    <x v="7"/>
    <x v="13"/>
    <s v="NO3_A1"/>
    <x v="1"/>
    <x v="0"/>
    <s v="GBPR_MUNIWASTE"/>
    <n v="3.75804E-2"/>
    <n v="0.13528944000000001"/>
  </r>
  <r>
    <x v="0"/>
    <x v="0"/>
    <x v="0"/>
    <x v="7"/>
    <x v="13"/>
    <s v="NO3_A1"/>
    <x v="2"/>
    <x v="2"/>
    <s v="GCND_NATGAS4"/>
    <n v="1.41015600557549"/>
    <n v="5.0765616200717698"/>
  </r>
  <r>
    <x v="0"/>
    <x v="0"/>
    <x v="0"/>
    <x v="7"/>
    <x v="13"/>
    <s v="NO3_A1"/>
    <x v="6"/>
    <x v="4"/>
    <s v="GNR_ROR_WTR"/>
    <n v="6.0353824559844602"/>
    <n v="21.727376841544"/>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2.11656972333979"/>
    <n v="7.6196510040232504"/>
  </r>
  <r>
    <x v="0"/>
    <x v="0"/>
    <x v="0"/>
    <x v="7"/>
    <x v="13"/>
    <s v="NO3_A1"/>
    <x v="6"/>
    <x v="7"/>
    <s v="GNR_RES_WTR_NOPMP_MC-05"/>
    <n v="1.5576211851681701"/>
    <n v="5.6074362666054096"/>
  </r>
  <r>
    <x v="0"/>
    <x v="0"/>
    <x v="0"/>
    <x v="7"/>
    <x v="13"/>
    <s v="NO3_A1"/>
    <x v="6"/>
    <x v="7"/>
    <s v="GNR_RES_WTR_NOPMP_MC-06"/>
    <n v="0.67755989970377395"/>
    <n v="2.4392156389335899"/>
  </r>
  <r>
    <x v="0"/>
    <x v="0"/>
    <x v="0"/>
    <x v="7"/>
    <x v="13"/>
    <s v="NO3_A1"/>
    <x v="6"/>
    <x v="7"/>
    <s v="GNR_RES_WTR_NOPMP_MC-07"/>
    <n v="0.45570227982794098"/>
    <n v="1.64052820738059"/>
  </r>
  <r>
    <x v="0"/>
    <x v="0"/>
    <x v="0"/>
    <x v="7"/>
    <x v="13"/>
    <s v="NO3_A1"/>
    <x v="6"/>
    <x v="7"/>
    <s v="GNR_RES_WTR_NOPMP_MC-08"/>
    <n v="0.30895043245808201"/>
    <n v="1.1122215568491001"/>
  </r>
  <r>
    <x v="0"/>
    <x v="0"/>
    <x v="0"/>
    <x v="7"/>
    <x v="13"/>
    <s v="NO3_A1"/>
    <x v="6"/>
    <x v="7"/>
    <s v="GNR_RES_WTR_PMP_MC-01"/>
    <n v="0.52822800000000003"/>
    <n v="1.9016207999999999"/>
  </r>
  <r>
    <x v="0"/>
    <x v="0"/>
    <x v="0"/>
    <x v="7"/>
    <x v="13"/>
    <s v="NO3_A1"/>
    <x v="7"/>
    <x v="5"/>
    <s v="GNR_WT_WIND_ONS"/>
    <n v="1.0027718999999999"/>
    <n v="3.6099788400000001"/>
  </r>
  <r>
    <x v="0"/>
    <x v="0"/>
    <x v="0"/>
    <x v="7"/>
    <x v="14"/>
    <s v="NO4_A1"/>
    <x v="1"/>
    <x v="0"/>
    <s v="GBPR_MUNIWASTE"/>
    <n v="1.4569632E-3"/>
    <n v="5.2450675199999996E-3"/>
  </r>
  <r>
    <x v="0"/>
    <x v="0"/>
    <x v="0"/>
    <x v="7"/>
    <x v="14"/>
    <s v="NO4_A1"/>
    <x v="6"/>
    <x v="4"/>
    <s v="GNR_ROR_WTR"/>
    <n v="3.2123587841587899"/>
    <n v="11.5644916229716"/>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3.4131249571627"/>
    <n v="12.2872498457857"/>
  </r>
  <r>
    <x v="0"/>
    <x v="0"/>
    <x v="0"/>
    <x v="7"/>
    <x v="14"/>
    <s v="NO4_A1"/>
    <x v="6"/>
    <x v="7"/>
    <s v="GNR_RES_WTR_NOPMP_MC-06"/>
    <n v="2.7064931038584601"/>
    <n v="9.7433751738904508"/>
  </r>
  <r>
    <x v="0"/>
    <x v="0"/>
    <x v="0"/>
    <x v="7"/>
    <x v="14"/>
    <s v="NO4_A1"/>
    <x v="6"/>
    <x v="7"/>
    <s v="GNR_RES_WTR_NOPMP_MC-07"/>
    <n v="0.25046052482479703"/>
    <n v="0.90165788936926805"/>
  </r>
  <r>
    <x v="0"/>
    <x v="0"/>
    <x v="0"/>
    <x v="7"/>
    <x v="14"/>
    <s v="NO4_A1"/>
    <x v="7"/>
    <x v="5"/>
    <s v="GNR_WT_WIND_ONS"/>
    <n v="0.819936"/>
    <n v="2.9517696"/>
  </r>
  <r>
    <x v="0"/>
    <x v="0"/>
    <x v="0"/>
    <x v="7"/>
    <x v="15"/>
    <s v="NO5_A1"/>
    <x v="12"/>
    <x v="6"/>
    <s v="GETOH_HEATPUMP"/>
    <n v="-2.4333333333333299E-3"/>
    <n v="-8.7600000000000004E-3"/>
  </r>
  <r>
    <x v="0"/>
    <x v="0"/>
    <x v="0"/>
    <x v="7"/>
    <x v="15"/>
    <s v="NO5_A1"/>
    <x v="1"/>
    <x v="0"/>
    <s v="GBPR_MUNIWASTE"/>
    <n v="7.0080000000000003E-2"/>
    <n v="0.25228800000000001"/>
  </r>
  <r>
    <x v="0"/>
    <x v="0"/>
    <x v="0"/>
    <x v="7"/>
    <x v="15"/>
    <s v="NO5_A1"/>
    <x v="6"/>
    <x v="4"/>
    <s v="GNR_ROR_WTR"/>
    <n v="9.43591967443969"/>
    <n v="33.969310827982902"/>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896"/>
    <n v="15.473869501619101"/>
  </r>
  <r>
    <x v="0"/>
    <x v="0"/>
    <x v="0"/>
    <x v="7"/>
    <x v="15"/>
    <s v="NO5_A1"/>
    <x v="6"/>
    <x v="7"/>
    <s v="GNR_RES_WTR_NOPMP_MC-06"/>
    <n v="0.14343428250611401"/>
    <n v="0.51636341702201005"/>
  </r>
  <r>
    <x v="0"/>
    <x v="0"/>
    <x v="0"/>
    <x v="7"/>
    <x v="15"/>
    <s v="NO5_A1"/>
    <x v="6"/>
    <x v="7"/>
    <s v="GNR_RES_WTR_PMP_MC-01"/>
    <n v="3.88944"/>
    <n v="14.001984"/>
  </r>
  <r>
    <x v="0"/>
    <x v="0"/>
    <x v="0"/>
    <x v="8"/>
    <x v="16"/>
    <s v="PL_A"/>
    <x v="0"/>
    <x v="2"/>
    <s v="GNR_ST_BGAS_CND_E-37"/>
    <n v="3.1886399999999999"/>
    <n v="11.479104"/>
  </r>
  <r>
    <x v="0"/>
    <x v="0"/>
    <x v="0"/>
    <x v="8"/>
    <x v="16"/>
    <s v="PL_A"/>
    <x v="1"/>
    <x v="1"/>
    <s v="GNR_ST_MSW_BP_E-15"/>
    <n v="0.29783999999999999"/>
    <n v="1.0722240000000001"/>
  </r>
  <r>
    <x v="0"/>
    <x v="0"/>
    <x v="0"/>
    <x v="8"/>
    <x v="16"/>
    <s v="PL_A"/>
    <x v="2"/>
    <x v="0"/>
    <s v="NOWA-1_ST_NGAS_BP"/>
    <n v="0.97345499999999996"/>
    <n v="3.5044379999999999"/>
  </r>
  <r>
    <x v="0"/>
    <x v="0"/>
    <x v="0"/>
    <x v="8"/>
    <x v="16"/>
    <s v="PL_A"/>
    <x v="2"/>
    <x v="0"/>
    <s v="RZES-2_ST_NGAS_BP"/>
    <n v="0.24528"/>
    <n v="0.88300800000000002"/>
  </r>
  <r>
    <x v="0"/>
    <x v="0"/>
    <x v="0"/>
    <x v="8"/>
    <x v="16"/>
    <s v="PL_A"/>
    <x v="2"/>
    <x v="0"/>
    <s v="ZIEL-1_ST_NGAS_BP"/>
    <n v="8.0299999999999996E-2"/>
    <n v="0.28908"/>
  </r>
  <r>
    <x v="0"/>
    <x v="0"/>
    <x v="0"/>
    <x v="8"/>
    <x v="16"/>
    <s v="PL_A"/>
    <x v="2"/>
    <x v="0"/>
    <s v="ZIEL-3_ST_NGAS_BP"/>
    <n v="0.92912899286987605"/>
    <n v="3.3448643743315598"/>
  </r>
  <r>
    <x v="0"/>
    <x v="0"/>
    <x v="0"/>
    <x v="8"/>
    <x v="16"/>
    <s v="PL_A"/>
    <x v="3"/>
    <x v="0"/>
    <s v="BIAL-1_ST_STRAW_BP"/>
    <n v="1.1212800000000001"/>
    <n v="4.0366080000000002"/>
  </r>
  <r>
    <x v="0"/>
    <x v="0"/>
    <x v="0"/>
    <x v="8"/>
    <x v="16"/>
    <s v="PL_A"/>
    <x v="3"/>
    <x v="0"/>
    <s v="GNR_ST_STRAW_BP_E-15"/>
    <n v="0.71831999999999996"/>
    <n v="2.5859519999999998"/>
  </r>
  <r>
    <x v="0"/>
    <x v="0"/>
    <x v="0"/>
    <x v="8"/>
    <x v="16"/>
    <s v="PL_A"/>
    <x v="3"/>
    <x v="1"/>
    <s v="LODZ-3_ST_STRAW_EXT"/>
    <n v="0.77088000000000001"/>
    <n v="2.7751679999999999"/>
  </r>
  <r>
    <x v="0"/>
    <x v="0"/>
    <x v="0"/>
    <x v="8"/>
    <x v="16"/>
    <s v="PL_A"/>
    <x v="5"/>
    <x v="3"/>
    <s v="GNR_PV_SUN"/>
    <n v="1.09788013030086E-3"/>
    <n v="3.9523684690831E-3"/>
  </r>
  <r>
    <x v="0"/>
    <x v="0"/>
    <x v="0"/>
    <x v="8"/>
    <x v="16"/>
    <s v="PL_A"/>
    <x v="7"/>
    <x v="5"/>
    <s v="GNR_WT_WIND_ONS"/>
    <n v="6.9265800000000004"/>
    <n v="24.935687999999999"/>
  </r>
  <r>
    <x v="0"/>
    <x v="0"/>
    <x v="0"/>
    <x v="8"/>
    <x v="16"/>
    <s v="PL_A"/>
    <x v="10"/>
    <x v="1"/>
    <s v="GNR_ST_WOOD_EXT_E-45"/>
    <n v="10.3368"/>
    <n v="37.212479999999999"/>
  </r>
  <r>
    <x v="0"/>
    <x v="0"/>
    <x v="0"/>
    <x v="8"/>
    <x v="16"/>
    <s v="PL_Rural"/>
    <x v="6"/>
    <x v="4"/>
    <s v="GNR_ROR_WTR"/>
    <n v="2.3110249999999999"/>
    <n v="8.3196899999999996"/>
  </r>
  <r>
    <x v="0"/>
    <x v="0"/>
    <x v="0"/>
    <x v="9"/>
    <x v="17"/>
    <s v="SE1A"/>
    <x v="6"/>
    <x v="4"/>
    <s v="GNR_ROR_WTR"/>
    <n v="4.9412659291283996"/>
    <n v="17.788557344862198"/>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3.5521799999999999"/>
    <n v="12.787848"/>
  </r>
  <r>
    <x v="0"/>
    <x v="0"/>
    <x v="0"/>
    <x v="9"/>
    <x v="17"/>
    <s v="SE1A"/>
    <x v="6"/>
    <x v="7"/>
    <s v="GNR_RES_WTR_NOPMP_MC-04"/>
    <n v="2.3623238019699202"/>
    <n v="8.5043656870917204"/>
  </r>
  <r>
    <x v="0"/>
    <x v="0"/>
    <x v="0"/>
    <x v="9"/>
    <x v="17"/>
    <s v="SE1A"/>
    <x v="6"/>
    <x v="7"/>
    <s v="GNR_RES_WTR_NOPMP_MC-05"/>
    <n v="0.283509411613732"/>
    <n v="1.02063388180944"/>
  </r>
  <r>
    <x v="0"/>
    <x v="0"/>
    <x v="0"/>
    <x v="9"/>
    <x v="17"/>
    <s v="SE1A"/>
    <x v="7"/>
    <x v="5"/>
    <s v="GNR_WT_WIND_ONS"/>
    <n v="1.3272919999999999"/>
    <n v="4.7782511999999997"/>
  </r>
  <r>
    <x v="0"/>
    <x v="0"/>
    <x v="0"/>
    <x v="9"/>
    <x v="17"/>
    <s v="SE1A"/>
    <x v="10"/>
    <x v="0"/>
    <s v="GBPR_IND_BIO"/>
    <n v="1.1300399999999999"/>
    <n v="4.0681440000000002"/>
  </r>
  <r>
    <x v="0"/>
    <x v="0"/>
    <x v="0"/>
    <x v="9"/>
    <x v="17"/>
    <s v="SE1_EL"/>
    <x v="1"/>
    <x v="0"/>
    <s v="GBPR_MUNIWASTE"/>
    <n v="3.4468423734999101E-2"/>
    <n v="0.124086325445997"/>
  </r>
  <r>
    <x v="0"/>
    <x v="0"/>
    <x v="0"/>
    <x v="9"/>
    <x v="17"/>
    <s v="SE1_EL"/>
    <x v="11"/>
    <x v="0"/>
    <s v="GBPR_WOODWASTE_25"/>
    <n v="1.9730177179305398E-2"/>
    <n v="7.1028637845499495E-2"/>
  </r>
  <r>
    <x v="0"/>
    <x v="0"/>
    <x v="0"/>
    <x v="9"/>
    <x v="17"/>
    <s v="SE1_OTHER"/>
    <x v="4"/>
    <x v="0"/>
    <s v="GBPR_WOODCHIPS_25"/>
    <n v="2.5272983537653199E-2"/>
    <n v="9.0982740735551695E-2"/>
  </r>
  <r>
    <x v="0"/>
    <x v="0"/>
    <x v="0"/>
    <x v="9"/>
    <x v="17"/>
    <s v="SE1_OTHER"/>
    <x v="11"/>
    <x v="0"/>
    <s v="GBPR_WOODWASTE"/>
    <n v="0.246148329246935"/>
    <n v="0.88613398528896703"/>
  </r>
  <r>
    <x v="0"/>
    <x v="0"/>
    <x v="0"/>
    <x v="9"/>
    <x v="18"/>
    <s v="SE2A"/>
    <x v="6"/>
    <x v="4"/>
    <s v="GNR_ROR_WTR"/>
    <n v="14.6401234618342"/>
    <n v="52.704444462603199"/>
  </r>
  <r>
    <x v="0"/>
    <x v="0"/>
    <x v="0"/>
    <x v="9"/>
    <x v="18"/>
    <s v="SE2A"/>
    <x v="6"/>
    <x v="7"/>
    <s v="GNR_RES_WTR_NOPMP_MC-01"/>
    <n v="3.5695705432814999"/>
    <n v="12.8504539558134"/>
  </r>
  <r>
    <x v="0"/>
    <x v="0"/>
    <x v="0"/>
    <x v="9"/>
    <x v="18"/>
    <s v="SE2A"/>
    <x v="6"/>
    <x v="7"/>
    <s v="GNR_RES_WTR_NOPMP_MC-02"/>
    <n v="4.32749843731143"/>
    <n v="15.5789943743212"/>
  </r>
  <r>
    <x v="0"/>
    <x v="0"/>
    <x v="0"/>
    <x v="9"/>
    <x v="18"/>
    <s v="SE2A"/>
    <x v="6"/>
    <x v="7"/>
    <s v="GNR_RES_WTR_NOPMP_MC-03"/>
    <n v="4.32749843731143"/>
    <n v="15.5789943743212"/>
  </r>
  <r>
    <x v="0"/>
    <x v="0"/>
    <x v="0"/>
    <x v="9"/>
    <x v="18"/>
    <s v="SE2A"/>
    <x v="6"/>
    <x v="7"/>
    <s v="GNR_RES_WTR_NOPMP_MC-04"/>
    <n v="3.7940795757579902"/>
    <n v="13.6586864727288"/>
  </r>
  <r>
    <x v="0"/>
    <x v="0"/>
    <x v="0"/>
    <x v="9"/>
    <x v="18"/>
    <s v="SE2A"/>
    <x v="6"/>
    <x v="7"/>
    <s v="GNR_RES_WTR_NOPMP_MC-05"/>
    <n v="2.8222815895509301"/>
    <n v="10.1602137223834"/>
  </r>
  <r>
    <x v="0"/>
    <x v="0"/>
    <x v="0"/>
    <x v="9"/>
    <x v="18"/>
    <s v="SE2A"/>
    <x v="6"/>
    <x v="7"/>
    <s v="GNR_RES_WTR_NOPMP_MC-06"/>
    <n v="1.9791447777753099"/>
    <n v="7.1249211999911299"/>
  </r>
  <r>
    <x v="0"/>
    <x v="0"/>
    <x v="0"/>
    <x v="9"/>
    <x v="18"/>
    <s v="SE2A"/>
    <x v="6"/>
    <x v="7"/>
    <s v="GNR_RES_WTR_NOPMP_MC-07"/>
    <n v="0.86229237831776095"/>
    <n v="3.1042525619439401"/>
  </r>
  <r>
    <x v="0"/>
    <x v="0"/>
    <x v="0"/>
    <x v="9"/>
    <x v="18"/>
    <s v="SE2A"/>
    <x v="6"/>
    <x v="7"/>
    <s v="GNR_RES_WTR_NOPMP_MC-08"/>
    <n v="0.26623934132303101"/>
    <n v="0.95846162876291197"/>
  </r>
  <r>
    <x v="0"/>
    <x v="0"/>
    <x v="0"/>
    <x v="9"/>
    <x v="18"/>
    <s v="SE2A"/>
    <x v="6"/>
    <x v="7"/>
    <s v="GNR_RES_WTR_PMP_MC-01"/>
    <n v="0.94608000000000003"/>
    <n v="3.405888"/>
  </r>
  <r>
    <x v="0"/>
    <x v="0"/>
    <x v="0"/>
    <x v="9"/>
    <x v="18"/>
    <s v="SE2A"/>
    <x v="7"/>
    <x v="5"/>
    <s v="GNR_WT_WIND_ONS"/>
    <n v="5.7980369999999999"/>
    <n v="20.872933199999999"/>
  </r>
  <r>
    <x v="0"/>
    <x v="0"/>
    <x v="0"/>
    <x v="9"/>
    <x v="18"/>
    <s v="SE2A"/>
    <x v="10"/>
    <x v="0"/>
    <s v="GBPR_IND_BIO"/>
    <n v="3.1947719999999999"/>
    <n v="11.501179199999999"/>
  </r>
  <r>
    <x v="0"/>
    <x v="0"/>
    <x v="0"/>
    <x v="9"/>
    <x v="18"/>
    <s v="SE2_EL"/>
    <x v="1"/>
    <x v="0"/>
    <s v="GBPR_MUNIWASTE_24"/>
    <n v="0.365518704532238"/>
    <n v="1.31586733631606"/>
  </r>
  <r>
    <x v="0"/>
    <x v="0"/>
    <x v="0"/>
    <x v="9"/>
    <x v="18"/>
    <s v="SE2_EL"/>
    <x v="4"/>
    <x v="0"/>
    <s v="GBPR_WOODCHIPS_37"/>
    <n v="8.5589973851614695E-2"/>
    <n v="0.30812390586581301"/>
  </r>
  <r>
    <x v="0"/>
    <x v="0"/>
    <x v="0"/>
    <x v="9"/>
    <x v="18"/>
    <s v="SE2_EL"/>
    <x v="11"/>
    <x v="0"/>
    <s v="GBPR_WOODWASTE_25"/>
    <n v="0.40519466915976499"/>
    <n v="1.4587008089751501"/>
  </r>
  <r>
    <x v="0"/>
    <x v="0"/>
    <x v="0"/>
    <x v="9"/>
    <x v="18"/>
    <s v="SE2_EL"/>
    <x v="11"/>
    <x v="1"/>
    <s v="GEXT_WOODWASTE_HORNEBORG"/>
    <n v="0.29682592644483402"/>
    <n v="1.0685733352014"/>
  </r>
  <r>
    <x v="0"/>
    <x v="0"/>
    <x v="0"/>
    <x v="9"/>
    <x v="18"/>
    <s v="SE2_OTHER"/>
    <x v="1"/>
    <x v="0"/>
    <s v="GBPR_MUNIWASTE_24"/>
    <n v="2.7706086360374398E-2"/>
    <n v="9.9741910897347699E-2"/>
  </r>
  <r>
    <x v="0"/>
    <x v="0"/>
    <x v="0"/>
    <x v="9"/>
    <x v="18"/>
    <s v="SE2_OTHER"/>
    <x v="4"/>
    <x v="0"/>
    <s v="GBPR_WOODCHIPS_37"/>
    <n v="6.7394622767075293E-2"/>
    <n v="0.24262064196147101"/>
  </r>
  <r>
    <x v="0"/>
    <x v="0"/>
    <x v="0"/>
    <x v="9"/>
    <x v="18"/>
    <s v="SE2_OTHER"/>
    <x v="11"/>
    <x v="0"/>
    <s v="GBPR_WOODWASTE_36"/>
    <n v="0.38173381430577402"/>
    <n v="1.37424173150079"/>
  </r>
  <r>
    <x v="0"/>
    <x v="0"/>
    <x v="0"/>
    <x v="9"/>
    <x v="19"/>
    <s v="SE3A"/>
    <x v="13"/>
    <x v="2"/>
    <s v="GCND_NUCLEAR"/>
    <n v="63.724488272511699"/>
    <n v="229.40815778104201"/>
  </r>
  <r>
    <x v="0"/>
    <x v="0"/>
    <x v="0"/>
    <x v="9"/>
    <x v="19"/>
    <s v="SE3A"/>
    <x v="6"/>
    <x v="4"/>
    <s v="GNR_ROR_WTR"/>
    <n v="5.3666576747457002"/>
    <n v="19.319967629084498"/>
  </r>
  <r>
    <x v="0"/>
    <x v="0"/>
    <x v="0"/>
    <x v="9"/>
    <x v="19"/>
    <s v="SE3A"/>
    <x v="6"/>
    <x v="7"/>
    <s v="GNR_RES_WTR_NOPMP_MC-01"/>
    <n v="1.15222202856694"/>
    <n v="4.1479993028409803"/>
  </r>
  <r>
    <x v="0"/>
    <x v="0"/>
    <x v="0"/>
    <x v="9"/>
    <x v="19"/>
    <s v="SE3A"/>
    <x v="6"/>
    <x v="7"/>
    <s v="GNR_RES_WTR_NOPMP_MC-02"/>
    <n v="1.1047819999999999"/>
    <n v="3.9772151999999998"/>
  </r>
  <r>
    <x v="0"/>
    <x v="0"/>
    <x v="0"/>
    <x v="9"/>
    <x v="19"/>
    <s v="SE3A"/>
    <x v="6"/>
    <x v="7"/>
    <s v="GNR_RES_WTR_NOPMP_MC-03"/>
    <n v="1.1047819999999999"/>
    <n v="3.9772151999999998"/>
  </r>
  <r>
    <x v="0"/>
    <x v="0"/>
    <x v="0"/>
    <x v="9"/>
    <x v="19"/>
    <s v="SE3A"/>
    <x v="6"/>
    <x v="7"/>
    <s v="GNR_RES_WTR_NOPMP_MC-04"/>
    <n v="0.81657800000000003"/>
    <n v="2.9396808000000001"/>
  </r>
  <r>
    <x v="0"/>
    <x v="0"/>
    <x v="0"/>
    <x v="9"/>
    <x v="19"/>
    <s v="SE3A"/>
    <x v="6"/>
    <x v="7"/>
    <s v="GNR_RES_WTR_NOPMP_MC-05"/>
    <n v="0.71155524798011804"/>
    <n v="2.5615988927284201"/>
  </r>
  <r>
    <x v="0"/>
    <x v="0"/>
    <x v="0"/>
    <x v="9"/>
    <x v="19"/>
    <s v="SE3A"/>
    <x v="6"/>
    <x v="7"/>
    <s v="GNR_RES_WTR_NOPMP_MC-06"/>
    <n v="0.28820400000000002"/>
    <n v="1.0375344"/>
  </r>
  <r>
    <x v="0"/>
    <x v="0"/>
    <x v="0"/>
    <x v="9"/>
    <x v="19"/>
    <s v="SE3A"/>
    <x v="6"/>
    <x v="7"/>
    <s v="GNR_RES_WTR_NOPMP_MC-07"/>
    <n v="0.18853439819864201"/>
    <n v="0.67872383351511201"/>
  </r>
  <r>
    <x v="0"/>
    <x v="0"/>
    <x v="0"/>
    <x v="9"/>
    <x v="19"/>
    <s v="SE3A"/>
    <x v="7"/>
    <x v="5"/>
    <s v="GNR_WT_WIND_ONS"/>
    <n v="4.6407759999999998"/>
    <n v="16.706793600000001"/>
  </r>
  <r>
    <x v="0"/>
    <x v="0"/>
    <x v="0"/>
    <x v="9"/>
    <x v="19"/>
    <s v="SE3A"/>
    <x v="10"/>
    <x v="0"/>
    <s v="GBPR_IND_BIO"/>
    <n v="4.9739279999999999"/>
    <n v="17.906140799999999"/>
  </r>
  <r>
    <x v="0"/>
    <x v="0"/>
    <x v="0"/>
    <x v="9"/>
    <x v="19"/>
    <s v="SE3_EL"/>
    <x v="1"/>
    <x v="0"/>
    <s v="GBPR_MUNIWASTE_24"/>
    <n v="0.40490514728197602"/>
    <n v="1.4576585302151099"/>
  </r>
  <r>
    <x v="0"/>
    <x v="0"/>
    <x v="0"/>
    <x v="9"/>
    <x v="19"/>
    <s v="SE3_EL"/>
    <x v="1"/>
    <x v="0"/>
    <s v="GBPR_MUNIWASTE_LINK"/>
    <n v="0.24740668592010501"/>
    <n v="0.89066406931237796"/>
  </r>
  <r>
    <x v="0"/>
    <x v="0"/>
    <x v="0"/>
    <x v="9"/>
    <x v="19"/>
    <s v="SE3_EL"/>
    <x v="16"/>
    <x v="0"/>
    <s v="GBPR_RECYCLEDWOOD_SE3EL"/>
    <n v="0.558173560242612"/>
    <n v="2.0094248168734001"/>
  </r>
  <r>
    <x v="0"/>
    <x v="0"/>
    <x v="0"/>
    <x v="9"/>
    <x v="19"/>
    <s v="SE3_EL"/>
    <x v="4"/>
    <x v="0"/>
    <s v="GBPR_WOODCHIPS_25"/>
    <n v="0.13387731012835399"/>
    <n v="0.48195831646207399"/>
  </r>
  <r>
    <x v="0"/>
    <x v="0"/>
    <x v="0"/>
    <x v="9"/>
    <x v="19"/>
    <s v="SE3_EL"/>
    <x v="11"/>
    <x v="0"/>
    <s v="GBPR_WOODWASTE_25"/>
    <n v="0.47376313723292501"/>
    <n v="1.7055472940385299"/>
  </r>
  <r>
    <x v="0"/>
    <x v="0"/>
    <x v="0"/>
    <x v="9"/>
    <x v="19"/>
    <s v="SE3_EL"/>
    <x v="11"/>
    <x v="0"/>
    <s v="GBPR_WOODWASTE_ABY"/>
    <n v="0.89297875166374796"/>
    <n v="3.2147235059894901"/>
  </r>
  <r>
    <x v="0"/>
    <x v="0"/>
    <x v="0"/>
    <x v="9"/>
    <x v="19"/>
    <s v="SE3_GOT"/>
    <x v="1"/>
    <x v="0"/>
    <s v="GBPR_MUNIWASTE_24"/>
    <n v="0.35565600000000003"/>
    <n v="1.2803616"/>
  </r>
  <r>
    <x v="0"/>
    <x v="0"/>
    <x v="0"/>
    <x v="9"/>
    <x v="19"/>
    <s v="SE3_GOT"/>
    <x v="11"/>
    <x v="0"/>
    <s v="GBPR_WOODWASTE_GOT"/>
    <n v="9.4115537653240003E-2"/>
    <n v="0.338815935551664"/>
  </r>
  <r>
    <x v="0"/>
    <x v="0"/>
    <x v="0"/>
    <x v="9"/>
    <x v="19"/>
    <s v="SE3_HP"/>
    <x v="1"/>
    <x v="0"/>
    <s v="GBPR_MUNIWASTE_24"/>
    <n v="0.29056026619586001"/>
    <n v="1.0460169583051"/>
  </r>
  <r>
    <x v="0"/>
    <x v="0"/>
    <x v="0"/>
    <x v="9"/>
    <x v="19"/>
    <s v="SE3_HP"/>
    <x v="4"/>
    <x v="0"/>
    <s v="GBPR_WOODCHIPS_08"/>
    <n v="4.5122580050059001E-3"/>
    <n v="1.6244128818021199E-2"/>
  </r>
  <r>
    <x v="0"/>
    <x v="0"/>
    <x v="0"/>
    <x v="9"/>
    <x v="19"/>
    <s v="SE3_HP"/>
    <x v="11"/>
    <x v="0"/>
    <s v="GBPR_WOODWASTE_36"/>
    <n v="0.217189702276707"/>
    <n v="0.78188292819614802"/>
  </r>
  <r>
    <x v="0"/>
    <x v="0"/>
    <x v="0"/>
    <x v="9"/>
    <x v="19"/>
    <s v="SE3_HP"/>
    <x v="11"/>
    <x v="1"/>
    <s v="GEXT_WOODWASTE"/>
    <n v="1.4739873189982"/>
    <n v="5.3063543483935103"/>
  </r>
  <r>
    <x v="0"/>
    <x v="0"/>
    <x v="0"/>
    <x v="9"/>
    <x v="19"/>
    <s v="SE3_OTHER"/>
    <x v="1"/>
    <x v="0"/>
    <s v="GBPR_MUNIWASTE_24"/>
    <n v="0.25331735453864601"/>
    <n v="0.91194247633912595"/>
  </r>
  <r>
    <x v="0"/>
    <x v="0"/>
    <x v="0"/>
    <x v="9"/>
    <x v="19"/>
    <s v="SE3_OTHER"/>
    <x v="16"/>
    <x v="0"/>
    <s v="GBPR_RECYCLEDWOOD_SE3OTHER"/>
    <n v="0.336076733547712"/>
    <n v="1.20987624077176"/>
  </r>
  <r>
    <x v="0"/>
    <x v="0"/>
    <x v="0"/>
    <x v="9"/>
    <x v="19"/>
    <s v="SE3_OTHER"/>
    <x v="4"/>
    <x v="0"/>
    <s v="GBPR_WOODCHIPS_25"/>
    <n v="0.12440196751058399"/>
    <n v="0.447847083038103"/>
  </r>
  <r>
    <x v="0"/>
    <x v="0"/>
    <x v="0"/>
    <x v="9"/>
    <x v="19"/>
    <s v="SE3_OTHER"/>
    <x v="4"/>
    <x v="0"/>
    <s v="GBPR_WOODCHIPS_37"/>
    <n v="0.33107608434325703"/>
    <n v="1.19187390363573"/>
  </r>
  <r>
    <x v="0"/>
    <x v="0"/>
    <x v="0"/>
    <x v="9"/>
    <x v="19"/>
    <s v="SE3_OTHER"/>
    <x v="11"/>
    <x v="0"/>
    <s v="GBPR_WOODWASTE_25"/>
    <n v="1.3084007201464101"/>
    <n v="4.7102425925270799"/>
  </r>
  <r>
    <x v="0"/>
    <x v="0"/>
    <x v="0"/>
    <x v="9"/>
    <x v="19"/>
    <s v="SE3_STO"/>
    <x v="17"/>
    <x v="1"/>
    <s v="GEXT_BIOOIL_VARTAN"/>
    <n v="1.6644000000000001"/>
    <n v="5.9918399999999998"/>
  </r>
  <r>
    <x v="0"/>
    <x v="0"/>
    <x v="0"/>
    <x v="9"/>
    <x v="19"/>
    <s v="SE3_STO"/>
    <x v="1"/>
    <x v="0"/>
    <s v="GBPR_MUNIWASTE_HOGDALEN"/>
    <n v="0.43966389386421101"/>
    <n v="1.58279001791116"/>
  </r>
  <r>
    <x v="0"/>
    <x v="0"/>
    <x v="0"/>
    <x v="9"/>
    <x v="19"/>
    <s v="SE3_STO"/>
    <x v="8"/>
    <x v="0"/>
    <s v="GBPR_WOODPELLETS_HASSELBY"/>
    <n v="0.65700000000000003"/>
    <n v="2.3652000000000002"/>
  </r>
  <r>
    <x v="0"/>
    <x v="0"/>
    <x v="0"/>
    <x v="9"/>
    <x v="19"/>
    <s v="SE3_STO"/>
    <x v="11"/>
    <x v="0"/>
    <s v="GBPR_WOODWASTE"/>
    <n v="0.84703983887916001"/>
    <n v="3.0493434199649698"/>
  </r>
  <r>
    <x v="0"/>
    <x v="0"/>
    <x v="0"/>
    <x v="9"/>
    <x v="19"/>
    <s v="SE3_STO"/>
    <x v="11"/>
    <x v="0"/>
    <s v="GBPR_WOODWASTE_BRISTA"/>
    <n v="0.353821769527146"/>
    <n v="1.27375837029772"/>
  </r>
  <r>
    <x v="0"/>
    <x v="0"/>
    <x v="0"/>
    <x v="9"/>
    <x v="20"/>
    <s v="SE4A"/>
    <x v="6"/>
    <x v="4"/>
    <s v="GNR_ROR_WTR"/>
    <n v="0.89790717004695797"/>
    <n v="3.2324658121690502"/>
  </r>
  <r>
    <x v="0"/>
    <x v="0"/>
    <x v="0"/>
    <x v="9"/>
    <x v="20"/>
    <s v="SE4A"/>
    <x v="6"/>
    <x v="7"/>
    <s v="GNR_RES_WTR_NOPMP_MC-01"/>
    <n v="0.133916753811192"/>
    <n v="0.482100313720292"/>
  </r>
  <r>
    <x v="0"/>
    <x v="0"/>
    <x v="0"/>
    <x v="9"/>
    <x v="20"/>
    <s v="SE4A"/>
    <x v="6"/>
    <x v="7"/>
    <s v="GNR_RES_WTR_NOPMP_MC-02"/>
    <n v="0.12833688906905899"/>
    <n v="0.462012800648613"/>
  </r>
  <r>
    <x v="0"/>
    <x v="0"/>
    <x v="0"/>
    <x v="9"/>
    <x v="20"/>
    <s v="SE4A"/>
    <x v="6"/>
    <x v="7"/>
    <s v="GNR_RES_WTR_NOPMP_MC-03"/>
    <n v="0.12833688906905899"/>
    <n v="0.462012800648613"/>
  </r>
  <r>
    <x v="0"/>
    <x v="0"/>
    <x v="0"/>
    <x v="9"/>
    <x v="20"/>
    <s v="SE4A"/>
    <x v="6"/>
    <x v="7"/>
    <s v="GNR_RES_WTR_NOPMP_MC-04"/>
    <n v="9.4857700616261101E-2"/>
    <n v="0.34148772221854001"/>
  </r>
  <r>
    <x v="0"/>
    <x v="0"/>
    <x v="0"/>
    <x v="9"/>
    <x v="20"/>
    <s v="SE4A"/>
    <x v="6"/>
    <x v="7"/>
    <s v="GNR_RES_WTR_NOPMP_MC-05"/>
    <n v="8.3697971131995105E-2"/>
    <n v="0.30131269607518202"/>
  </r>
  <r>
    <x v="0"/>
    <x v="0"/>
    <x v="0"/>
    <x v="9"/>
    <x v="20"/>
    <s v="SE4A"/>
    <x v="6"/>
    <x v="7"/>
    <s v="GNR_RES_WTR_NOPMP_MC-06"/>
    <n v="7.4143408217385104E-2"/>
    <n v="0.26691626958258602"/>
  </r>
  <r>
    <x v="0"/>
    <x v="0"/>
    <x v="0"/>
    <x v="9"/>
    <x v="20"/>
    <s v="SE4A"/>
    <x v="6"/>
    <x v="7"/>
    <s v="GNR_RES_WTR_NOPMP_MC-07"/>
    <n v="2.7899323710664999E-2"/>
    <n v="0.100437565358394"/>
  </r>
  <r>
    <x v="0"/>
    <x v="0"/>
    <x v="0"/>
    <x v="9"/>
    <x v="20"/>
    <s v="SE4A"/>
    <x v="6"/>
    <x v="7"/>
    <s v="GNR_RES_WTR_NOPMP_MC-08"/>
    <n v="1.6739594226399E-2"/>
    <n v="6.0262539215036499E-2"/>
  </r>
  <r>
    <x v="0"/>
    <x v="0"/>
    <x v="0"/>
    <x v="9"/>
    <x v="20"/>
    <s v="SE4A"/>
    <x v="7"/>
    <x v="5"/>
    <s v="GNR_WT_WIND_ONS"/>
    <n v="2.8917470000000001"/>
    <n v="10.410289199999999"/>
  </r>
  <r>
    <x v="0"/>
    <x v="0"/>
    <x v="0"/>
    <x v="9"/>
    <x v="20"/>
    <s v="SE4A"/>
    <x v="10"/>
    <x v="0"/>
    <s v="GBPR_IND_BIO"/>
    <n v="2.2679640000000001"/>
    <n v="8.1646704000000003"/>
  </r>
  <r>
    <x v="0"/>
    <x v="0"/>
    <x v="0"/>
    <x v="9"/>
    <x v="20"/>
    <s v="SE4_EL"/>
    <x v="16"/>
    <x v="0"/>
    <s v="GBPR_RECYCLEDWOOD"/>
    <n v="0.21064036726943899"/>
    <n v="0.75830532216998103"/>
  </r>
  <r>
    <x v="0"/>
    <x v="0"/>
    <x v="0"/>
    <x v="9"/>
    <x v="20"/>
    <s v="SE4_EL"/>
    <x v="16"/>
    <x v="0"/>
    <s v="GBPR_RECYCLEDWOOD_SE4EL"/>
    <n v="2.1884713482539099E-2"/>
    <n v="7.8784968537140898E-2"/>
  </r>
  <r>
    <x v="0"/>
    <x v="0"/>
    <x v="0"/>
    <x v="9"/>
    <x v="20"/>
    <s v="SE4_HP"/>
    <x v="1"/>
    <x v="0"/>
    <s v="GBPR_MUNIWASTE_65"/>
    <n v="0.15767999999999999"/>
    <n v="0.56764800000000004"/>
  </r>
  <r>
    <x v="0"/>
    <x v="0"/>
    <x v="0"/>
    <x v="9"/>
    <x v="20"/>
    <s v="SE4_HP"/>
    <x v="8"/>
    <x v="0"/>
    <s v="GBPR_WOODPELLETS"/>
    <n v="0.60443999999999998"/>
    <n v="2.1759840000000001"/>
  </r>
  <r>
    <x v="0"/>
    <x v="0"/>
    <x v="0"/>
    <x v="9"/>
    <x v="20"/>
    <s v="SE4_MAL"/>
    <x v="1"/>
    <x v="0"/>
    <s v="GBPR_MUNIWASTE_24"/>
    <n v="0.22190081577644299"/>
    <n v="0.79884293679519602"/>
  </r>
  <r>
    <x v="0"/>
    <x v="0"/>
    <x v="0"/>
    <x v="9"/>
    <x v="20"/>
    <s v="SE4_MAL"/>
    <x v="2"/>
    <x v="1"/>
    <s v="GEXT_NATGAS_ORESUND"/>
    <n v="2.7090791916982302"/>
    <n v="9.7526850901136495"/>
  </r>
  <r>
    <x v="0"/>
    <x v="0"/>
    <x v="0"/>
    <x v="9"/>
    <x v="20"/>
    <s v="SE4_OTHER"/>
    <x v="1"/>
    <x v="0"/>
    <s v="GBPR_MUNIWASTE_19"/>
    <n v="0.101093434290394"/>
    <n v="0.36393636344541802"/>
  </r>
  <r>
    <x v="0"/>
    <x v="0"/>
    <x v="0"/>
    <x v="9"/>
    <x v="20"/>
    <s v="SE4_OTHER"/>
    <x v="4"/>
    <x v="0"/>
    <s v="GBPR_WOODCHIPS"/>
    <n v="0.26115416322241702"/>
    <n v="0.94015498760070004"/>
  </r>
  <r>
    <x v="0"/>
    <x v="0"/>
    <x v="0"/>
    <x v="9"/>
    <x v="20"/>
    <s v="SE4_OTHER"/>
    <x v="4"/>
    <x v="0"/>
    <s v="GBPR_WOODCHIPS_25"/>
    <n v="0.20195705947460599"/>
    <n v="0.72704541410858103"/>
  </r>
  <r>
    <x v="0"/>
    <x v="0"/>
    <x v="0"/>
    <x v="9"/>
    <x v="20"/>
    <s v="SE4_OTHER"/>
    <x v="11"/>
    <x v="0"/>
    <s v="GBPR_WOODWASTE_36"/>
    <n v="0.61276454669001801"/>
    <n v="2.20595236808406"/>
  </r>
  <r>
    <x v="0"/>
    <x v="0"/>
    <x v="0"/>
    <x v="10"/>
    <x v="21"/>
    <s v="UK_A"/>
    <x v="0"/>
    <x v="2"/>
    <s v="GNR_ST_BGAS_CND_E-40"/>
    <n v="10.76604"/>
    <n v="38.757744000000002"/>
  </r>
  <r>
    <x v="0"/>
    <x v="0"/>
    <x v="0"/>
    <x v="10"/>
    <x v="21"/>
    <s v="UK_A"/>
    <x v="0"/>
    <x v="2"/>
    <s v="GNR_ST_BGAS_CND_E-45"/>
    <n v="21.03276"/>
    <n v="75.717935999999995"/>
  </r>
  <r>
    <x v="0"/>
    <x v="0"/>
    <x v="0"/>
    <x v="10"/>
    <x v="21"/>
    <s v="UK_A"/>
    <x v="1"/>
    <x v="2"/>
    <s v="GNR_ST_MSW_CND_E-40"/>
    <n v="7.0605599999999997"/>
    <n v="25.418016000000001"/>
  </r>
  <r>
    <x v="0"/>
    <x v="0"/>
    <x v="0"/>
    <x v="10"/>
    <x v="21"/>
    <s v="UK_A"/>
    <x v="2"/>
    <x v="2"/>
    <s v="GNR_CC_NGAS_CND_E-56"/>
    <n v="2.7728263022380699"/>
    <n v="9.9821746880570394"/>
  </r>
  <r>
    <x v="0"/>
    <x v="0"/>
    <x v="0"/>
    <x v="10"/>
    <x v="21"/>
    <s v="UK_A"/>
    <x v="13"/>
    <x v="2"/>
    <s v="GNR_ST_NUCL_CND_E-33"/>
    <n v="82.352760000000004"/>
    <n v="296.46993600000002"/>
  </r>
  <r>
    <x v="0"/>
    <x v="0"/>
    <x v="0"/>
    <x v="10"/>
    <x v="21"/>
    <s v="UK_A"/>
    <x v="5"/>
    <x v="3"/>
    <s v="GNR_PV_SUN"/>
    <n v="5.7649489919999999"/>
    <n v="20.753816371199999"/>
  </r>
  <r>
    <x v="0"/>
    <x v="0"/>
    <x v="0"/>
    <x v="10"/>
    <x v="21"/>
    <s v="UK_A"/>
    <x v="6"/>
    <x v="4"/>
    <s v="GNR_ROR_WTR"/>
    <n v="5.28207359972677"/>
    <n v="19.015464959016398"/>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13.xml><?xml version="1.0" encoding="utf-8"?>
<pivotCacheRecords xmlns="http://schemas.openxmlformats.org/spreadsheetml/2006/main" xmlns:r="http://schemas.openxmlformats.org/officeDocument/2006/relationships" count="402">
  <r>
    <x v="0"/>
    <x v="0"/>
    <x v="0"/>
    <x v="0"/>
    <x v="0"/>
    <s v="DK1_Large"/>
    <x v="0"/>
    <s v="GNR_BO_BGAS_E-90"/>
    <n v="3.3112800000000002E-3"/>
    <n v="1.1920607999999999E-2"/>
  </r>
  <r>
    <x v="0"/>
    <x v="0"/>
    <x v="0"/>
    <x v="0"/>
    <x v="0"/>
    <s v="DK1_Large"/>
    <x v="0"/>
    <s v="GNR_BO_BGAS_E-95"/>
    <n v="8.2343999999999994E-3"/>
    <n v="2.9643840000000001E-2"/>
  </r>
  <r>
    <x v="0"/>
    <x v="0"/>
    <x v="0"/>
    <x v="0"/>
    <x v="0"/>
    <s v="DK1_Large"/>
    <x v="0"/>
    <s v="GNR_ENG_BGAS_BP_E-31"/>
    <n v="2.6707317073170699E-3"/>
    <n v="9.6146341463414602E-3"/>
  </r>
  <r>
    <x v="0"/>
    <x v="0"/>
    <x v="0"/>
    <x v="0"/>
    <x v="0"/>
    <s v="DK1_Large"/>
    <x v="0"/>
    <s v="GNR_ENG_BGAS_BP_E-36"/>
    <n v="8.6531707317073197E-3"/>
    <n v="3.11514146341463E-2"/>
  </r>
  <r>
    <x v="0"/>
    <x v="0"/>
    <x v="0"/>
    <x v="0"/>
    <x v="0"/>
    <s v="DK1_Large"/>
    <x v="0"/>
    <s v="GNR_ENG_BGAS_BP_E-37"/>
    <n v="1.2392195121951201E-2"/>
    <n v="4.4611902439024402E-2"/>
  </r>
  <r>
    <x v="0"/>
    <x v="0"/>
    <x v="0"/>
    <x v="0"/>
    <x v="0"/>
    <s v="DK1_Large"/>
    <x v="0"/>
    <s v="GNR_ENG_BGAS_BP_E-39"/>
    <n v="4.3960243902439002E-2"/>
    <n v="0.15825687804878"/>
  </r>
  <r>
    <x v="0"/>
    <x v="0"/>
    <x v="0"/>
    <x v="0"/>
    <x v="0"/>
    <s v="DK1_Large"/>
    <x v="0"/>
    <s v="GNR_ENG_BGAS_BP_E-40"/>
    <n v="1.32788780487805E-2"/>
    <n v="4.7803960975609697E-2"/>
  </r>
  <r>
    <x v="0"/>
    <x v="0"/>
    <x v="0"/>
    <x v="0"/>
    <x v="0"/>
    <s v="DK1_Large"/>
    <x v="0"/>
    <s v="GNR_ENG_BGAS_BP_E-41"/>
    <n v="2.8598195121951199E-2"/>
    <n v="0.102953502439024"/>
  </r>
  <r>
    <x v="0"/>
    <x v="0"/>
    <x v="0"/>
    <x v="0"/>
    <x v="0"/>
    <s v="DK1_Large"/>
    <x v="0"/>
    <s v="GNR_ENG_BGAS_BP_E-42"/>
    <n v="3.2080829268292699E-2"/>
    <n v="0.115490985365854"/>
  </r>
  <r>
    <x v="0"/>
    <x v="0"/>
    <x v="0"/>
    <x v="0"/>
    <x v="0"/>
    <s v="DK1_Large"/>
    <x v="0"/>
    <s v="GNR_ENG_BGAS_BP_E-43"/>
    <n v="3.2550878048780499E-2"/>
    <n v="0.11718316097561"/>
  </r>
  <r>
    <x v="0"/>
    <x v="0"/>
    <x v="0"/>
    <x v="0"/>
    <x v="0"/>
    <s v="DK1_Large"/>
    <x v="1"/>
    <s v="GNR_BO_BIOIL_E-79"/>
    <n v="4.8180000000000001E-2"/>
    <n v="0.17344799999999999"/>
  </r>
  <r>
    <x v="0"/>
    <x v="0"/>
    <x v="0"/>
    <x v="0"/>
    <x v="0"/>
    <s v="DK1_Large"/>
    <x v="1"/>
    <s v="GNR_BO_BIOIL_E-85"/>
    <n v="0.96272400000000002"/>
    <n v="3.4658064"/>
  </r>
  <r>
    <x v="0"/>
    <x v="0"/>
    <x v="0"/>
    <x v="0"/>
    <x v="0"/>
    <s v="DK1_Large"/>
    <x v="1"/>
    <s v="GNR_BO_BIOIL_E-93"/>
    <n v="0.203232"/>
    <n v="0.73163520000000004"/>
  </r>
  <r>
    <x v="0"/>
    <x v="0"/>
    <x v="0"/>
    <x v="0"/>
    <x v="0"/>
    <s v="DK1_Large"/>
    <x v="1"/>
    <s v="GNR_BO_BIOIL_E-94"/>
    <n v="0.876"/>
    <n v="3.1536"/>
  </r>
  <r>
    <x v="0"/>
    <x v="0"/>
    <x v="0"/>
    <x v="0"/>
    <x v="0"/>
    <s v="DK1_Large"/>
    <x v="2"/>
    <s v="GNR_HS_HEAT-E-100"/>
    <n v="0.31009577872785399"/>
    <n v="1.1163448034202701"/>
  </r>
  <r>
    <x v="0"/>
    <x v="0"/>
    <x v="0"/>
    <x v="0"/>
    <x v="0"/>
    <s v="DK1_Large"/>
    <x v="3"/>
    <s v="GNR_BO_MSW_E-105"/>
    <n v="0.33288000000000001"/>
    <n v="1.1983680000000001"/>
  </r>
  <r>
    <x v="0"/>
    <x v="0"/>
    <x v="0"/>
    <x v="0"/>
    <x v="0"/>
    <s v="DK1_Large"/>
    <x v="3"/>
    <s v="GNR_ST_MSW_BP_E-18"/>
    <n v="8.4412835387342997E-2"/>
    <n v="0.303886207394435"/>
  </r>
  <r>
    <x v="0"/>
    <x v="0"/>
    <x v="0"/>
    <x v="0"/>
    <x v="0"/>
    <s v="DK1_Large"/>
    <x v="3"/>
    <s v="GNR_ST_MSW_BP_E-19"/>
    <n v="0.26656684859161001"/>
    <n v="0.959640654929794"/>
  </r>
  <r>
    <x v="0"/>
    <x v="0"/>
    <x v="0"/>
    <x v="0"/>
    <x v="0"/>
    <s v="DK1_Large"/>
    <x v="3"/>
    <s v="GNR_ST_MSW_BP_E-22"/>
    <n v="0.91817470070443397"/>
    <n v="3.3054289225359601"/>
  </r>
  <r>
    <x v="0"/>
    <x v="0"/>
    <x v="0"/>
    <x v="0"/>
    <x v="0"/>
    <s v="DK1_Large"/>
    <x v="3"/>
    <s v="GNR_ST_MSW_BP_E-23"/>
    <n v="1.0680445066903801"/>
    <n v="3.84496022408538"/>
  </r>
  <r>
    <x v="0"/>
    <x v="0"/>
    <x v="0"/>
    <x v="0"/>
    <x v="0"/>
    <s v="DK1_Large"/>
    <x v="3"/>
    <s v="GNR_ST_MSW_BP_E-27"/>
    <n v="0.53017184330997902"/>
    <n v="1.9086186359159301"/>
  </r>
  <r>
    <x v="0"/>
    <x v="0"/>
    <x v="0"/>
    <x v="0"/>
    <x v="0"/>
    <s v="DK1_Large"/>
    <x v="4"/>
    <s v="GNR_ENG_NGAS_BP_E-40"/>
    <n v="5.0710666666666702E-2"/>
    <n v="0.18255840000000001"/>
  </r>
  <r>
    <x v="0"/>
    <x v="0"/>
    <x v="0"/>
    <x v="0"/>
    <x v="0"/>
    <s v="DK1_Large"/>
    <x v="4"/>
    <s v="GNR_ENG_NGAS_BP_E-41"/>
    <n v="3.6986666666666702E-2"/>
    <n v="0.13315199999999999"/>
  </r>
  <r>
    <x v="0"/>
    <x v="0"/>
    <x v="0"/>
    <x v="0"/>
    <x v="0"/>
    <s v="DK1_Large"/>
    <x v="4"/>
    <s v="GNR_ENG_NGAS_BP_E-42"/>
    <n v="2.1997333333333299E-2"/>
    <n v="7.9190399999999994E-2"/>
  </r>
  <r>
    <x v="0"/>
    <x v="0"/>
    <x v="0"/>
    <x v="0"/>
    <x v="0"/>
    <s v="DK1_Large"/>
    <x v="4"/>
    <s v="GNR_ENG_NGAS_BP_E-43"/>
    <n v="8.7502666666666604E-2"/>
    <n v="0.3150096"/>
  </r>
  <r>
    <x v="0"/>
    <x v="0"/>
    <x v="0"/>
    <x v="0"/>
    <x v="0"/>
    <s v="DK1_Large"/>
    <x v="4"/>
    <s v="GNR_ENG_NGAS_BP_E-44"/>
    <n v="3.05626666666667E-2"/>
    <n v="0.1100256"/>
  </r>
  <r>
    <x v="0"/>
    <x v="0"/>
    <x v="0"/>
    <x v="0"/>
    <x v="0"/>
    <s v="DK1_Large"/>
    <x v="4"/>
    <s v="GNR_ENG_NGAS_BP_E-46"/>
    <n v="2.8421333333333298E-2"/>
    <n v="0.1023168"/>
  </r>
  <r>
    <x v="0"/>
    <x v="0"/>
    <x v="0"/>
    <x v="0"/>
    <x v="0"/>
    <s v="DK1_Large"/>
    <x v="4"/>
    <s v="GNR_ST_NGAS_EXT_E-47"/>
    <n v="0.28643174987277997"/>
    <n v="1.03115429954201"/>
  </r>
  <r>
    <x v="0"/>
    <x v="0"/>
    <x v="0"/>
    <x v="0"/>
    <x v="0"/>
    <s v="DK1_Large"/>
    <x v="5"/>
    <s v="GNR_BO_STRW_E-100"/>
    <n v="9.4432799999999997E-2"/>
    <n v="0.33995808"/>
  </r>
  <r>
    <x v="0"/>
    <x v="0"/>
    <x v="0"/>
    <x v="0"/>
    <x v="0"/>
    <s v="DK1_Large"/>
    <x v="5"/>
    <s v="GNR_BO_STRW_E-102"/>
    <n v="5.5188000000000001E-2"/>
    <n v="0.19867679999999999"/>
  </r>
  <r>
    <x v="0"/>
    <x v="0"/>
    <x v="0"/>
    <x v="0"/>
    <x v="0"/>
    <s v="DK1_Large"/>
    <x v="5"/>
    <s v="GNR_ST_STRW_BP_E-26"/>
    <n v="0.61071864604127302"/>
    <n v="2.1985871257485798"/>
  </r>
  <r>
    <x v="0"/>
    <x v="0"/>
    <x v="0"/>
    <x v="0"/>
    <x v="0"/>
    <s v="DK1_Large"/>
    <x v="6"/>
    <s v="GNR_EH_HEAT"/>
    <n v="1.5254664"/>
    <n v="5.4916790400000002"/>
  </r>
  <r>
    <x v="0"/>
    <x v="0"/>
    <x v="0"/>
    <x v="0"/>
    <x v="0"/>
    <s v="DK1_Large"/>
    <x v="7"/>
    <s v="GNR_BO_WOODCHI_E-100"/>
    <n v="0.17519999999999999"/>
    <n v="0.63071999999999995"/>
  </r>
  <r>
    <x v="0"/>
    <x v="0"/>
    <x v="0"/>
    <x v="0"/>
    <x v="0"/>
    <s v="DK1_Large"/>
    <x v="7"/>
    <s v="GNR_ST_WOODCHI_BP_E-23"/>
    <n v="0.19323529411764701"/>
    <n v="0.69564705882352895"/>
  </r>
  <r>
    <x v="0"/>
    <x v="0"/>
    <x v="0"/>
    <x v="0"/>
    <x v="0"/>
    <s v="DK1_Large"/>
    <x v="8"/>
    <s v="GNR_BO_WOODPEL_E-100"/>
    <n v="0.11693724"/>
    <n v="0.42097406399999998"/>
  </r>
  <r>
    <x v="0"/>
    <x v="0"/>
    <x v="0"/>
    <x v="0"/>
    <x v="0"/>
    <s v="DK1_Large"/>
    <x v="8"/>
    <s v="GNR_BO_WOODPEL_E-102"/>
    <n v="1.5768000000000001E-2"/>
    <n v="5.6764799999999997E-2"/>
  </r>
  <r>
    <x v="0"/>
    <x v="0"/>
    <x v="0"/>
    <x v="0"/>
    <x v="0"/>
    <s v="DK1_MedSmall"/>
    <x v="0"/>
    <s v="GNR_BO_BGAS_E-100"/>
    <n v="5.1684000000000001E-3"/>
    <n v="1.860624E-2"/>
  </r>
  <r>
    <x v="0"/>
    <x v="0"/>
    <x v="0"/>
    <x v="0"/>
    <x v="0"/>
    <s v="DK1_MedSmall"/>
    <x v="0"/>
    <s v="GNR_BO_BGAS_E-95"/>
    <n v="2.555E-3"/>
    <n v="9.1979999999999996E-3"/>
  </r>
  <r>
    <x v="0"/>
    <x v="0"/>
    <x v="0"/>
    <x v="0"/>
    <x v="0"/>
    <s v="DK1_MedSmall"/>
    <x v="0"/>
    <s v="GNR_ENG_BGAS_BP_E-33"/>
    <n v="1.81609756097561E-3"/>
    <n v="6.5379512195122003E-3"/>
  </r>
  <r>
    <x v="0"/>
    <x v="0"/>
    <x v="0"/>
    <x v="0"/>
    <x v="0"/>
    <s v="DK1_MedSmall"/>
    <x v="0"/>
    <s v="GNR_ENG_BGAS_BP_E-38"/>
    <n v="1.81609756097561E-3"/>
    <n v="6.5379512195122003E-3"/>
  </r>
  <r>
    <x v="0"/>
    <x v="0"/>
    <x v="0"/>
    <x v="0"/>
    <x v="0"/>
    <s v="DK1_MedSmall"/>
    <x v="1"/>
    <s v="GNR_BO_BIOIL_E-113"/>
    <n v="0.153269825365698"/>
    <n v="0.55177137131651499"/>
  </r>
  <r>
    <x v="0"/>
    <x v="0"/>
    <x v="0"/>
    <x v="0"/>
    <x v="0"/>
    <s v="DK1_MedSmall"/>
    <x v="2"/>
    <s v="GNR_HS_HEAT-E-100"/>
    <n v="0.15890216956294301"/>
    <n v="0.57204781042659503"/>
  </r>
  <r>
    <x v="0"/>
    <x v="0"/>
    <x v="0"/>
    <x v="0"/>
    <x v="0"/>
    <s v="DK1_MedSmall"/>
    <x v="3"/>
    <s v="GNR_BO_MSW_E-100"/>
    <n v="5.6939999999999998E-2"/>
    <n v="0.204984"/>
  </r>
  <r>
    <x v="0"/>
    <x v="0"/>
    <x v="0"/>
    <x v="0"/>
    <x v="0"/>
    <s v="DK1_MedSmall"/>
    <x v="3"/>
    <s v="GNR_ST_MSW_BP_E-17"/>
    <n v="7.1084492957762493E-2"/>
    <n v="0.25590417464794502"/>
  </r>
  <r>
    <x v="0"/>
    <x v="0"/>
    <x v="0"/>
    <x v="0"/>
    <x v="0"/>
    <s v="DK1_MedSmall"/>
    <x v="3"/>
    <s v="GNR_ST_MSW_BP_E-20"/>
    <n v="9.77411778169235E-2"/>
    <n v="0.35186824014092499"/>
  </r>
  <r>
    <x v="0"/>
    <x v="0"/>
    <x v="0"/>
    <x v="0"/>
    <x v="0"/>
    <s v="DK1_MedSmall"/>
    <x v="3"/>
    <s v="GNR_ST_MSW_BP_E-21"/>
    <n v="0.29618538732401101"/>
    <n v="1.06626739436644"/>
  </r>
  <r>
    <x v="0"/>
    <x v="0"/>
    <x v="0"/>
    <x v="0"/>
    <x v="0"/>
    <s v="DK1_MedSmall"/>
    <x v="3"/>
    <s v="GNR_ST_MSW_BP_E-22"/>
    <n v="0.133283424295805"/>
    <n v="0.479820327464897"/>
  </r>
  <r>
    <x v="0"/>
    <x v="0"/>
    <x v="0"/>
    <x v="0"/>
    <x v="0"/>
    <s v="DK1_MedSmall"/>
    <x v="3"/>
    <s v="GNR_ST_MSW_BP_E-26"/>
    <n v="0.207329771126808"/>
    <n v="0.74638717605650695"/>
  </r>
  <r>
    <x v="0"/>
    <x v="0"/>
    <x v="0"/>
    <x v="0"/>
    <x v="0"/>
    <s v="DK1_MedSmall"/>
    <x v="5"/>
    <s v="GNR_BO_STRW_E-102"/>
    <n v="9.3994800000000003E-2"/>
    <n v="0.33838128000000001"/>
  </r>
  <r>
    <x v="0"/>
    <x v="0"/>
    <x v="0"/>
    <x v="0"/>
    <x v="0"/>
    <s v="DK1_MedSmall"/>
    <x v="5"/>
    <s v="GNR_ST_STRW_BP_E-21"/>
    <n v="0.34476052599104101"/>
    <n v="1.24113789356775"/>
  </r>
  <r>
    <x v="0"/>
    <x v="0"/>
    <x v="0"/>
    <x v="0"/>
    <x v="0"/>
    <s v="DK1_MedSmall"/>
    <x v="6"/>
    <s v="GNR_EH_HEAT"/>
    <n v="0.1095"/>
    <n v="0.39419999999999999"/>
  </r>
  <r>
    <x v="0"/>
    <x v="0"/>
    <x v="0"/>
    <x v="0"/>
    <x v="0"/>
    <s v="DK1_MedSmall"/>
    <x v="6"/>
    <s v="GNR_GEO_HEAT_HO"/>
    <n v="7.2707999999999995E-2"/>
    <n v="0.2617488"/>
  </r>
  <r>
    <x v="0"/>
    <x v="0"/>
    <x v="0"/>
    <x v="0"/>
    <x v="0"/>
    <s v="DK1_MedSmall"/>
    <x v="7"/>
    <s v="GNR_BO_WOODCHI_E-100"/>
    <n v="1.8395999999999999E-2"/>
    <n v="6.6225599999999996E-2"/>
  </r>
  <r>
    <x v="0"/>
    <x v="0"/>
    <x v="0"/>
    <x v="0"/>
    <x v="0"/>
    <s v="DK1_MedSmall"/>
    <x v="7"/>
    <s v="GNR_BO_WOODCHI_E-110"/>
    <n v="0.14892"/>
    <n v="0.53611200000000003"/>
  </r>
  <r>
    <x v="0"/>
    <x v="0"/>
    <x v="0"/>
    <x v="0"/>
    <x v="0"/>
    <s v="DK1_MedSmall"/>
    <x v="8"/>
    <s v="GNR_BO_WOODPEL_E-100"/>
    <n v="3.5040000000000002E-2"/>
    <n v="0.12614400000000001"/>
  </r>
  <r>
    <x v="0"/>
    <x v="0"/>
    <x v="0"/>
    <x v="0"/>
    <x v="0"/>
    <s v="DK1_Medium"/>
    <x v="0"/>
    <s v="GNR_ENG_BGAS_BP_E-32"/>
    <n v="3.0980487804878102E-3"/>
    <n v="1.1152975609756101E-2"/>
  </r>
  <r>
    <x v="0"/>
    <x v="0"/>
    <x v="0"/>
    <x v="0"/>
    <x v="0"/>
    <s v="DK1_Medium"/>
    <x v="0"/>
    <s v="GNR_ENG_BGAS_BP_E-34"/>
    <n v="6.83707317073171E-3"/>
    <n v="2.46134634146341E-2"/>
  </r>
  <r>
    <x v="0"/>
    <x v="0"/>
    <x v="0"/>
    <x v="0"/>
    <x v="0"/>
    <s v="DK1_Medium"/>
    <x v="0"/>
    <s v="GNR_ENG_BGAS_BP_E-35"/>
    <n v="4.0595121951219502E-3"/>
    <n v="1.4614243902438999E-2"/>
  </r>
  <r>
    <x v="0"/>
    <x v="0"/>
    <x v="0"/>
    <x v="0"/>
    <x v="0"/>
    <s v="DK1_Medium"/>
    <x v="0"/>
    <s v="GNR_ENG_BGAS_BP_E-37"/>
    <n v="2.67073170731707E-2"/>
    <n v="9.6146341463414706E-2"/>
  </r>
  <r>
    <x v="0"/>
    <x v="0"/>
    <x v="0"/>
    <x v="0"/>
    <x v="0"/>
    <s v="DK1_Medium"/>
    <x v="0"/>
    <s v="GNR_ENG_BGAS_BP_E-39"/>
    <n v="6.7302439024390197E-3"/>
    <n v="2.4228878048780499E-2"/>
  </r>
  <r>
    <x v="0"/>
    <x v="0"/>
    <x v="0"/>
    <x v="0"/>
    <x v="0"/>
    <s v="DK1_Medium"/>
    <x v="0"/>
    <s v="GNR_ENG_BGAS_BP_E-41"/>
    <n v="3.5435268292682898E-2"/>
    <n v="0.12756696585365901"/>
  </r>
  <r>
    <x v="0"/>
    <x v="0"/>
    <x v="0"/>
    <x v="0"/>
    <x v="0"/>
    <s v="DK1_Medium"/>
    <x v="0"/>
    <s v="GNR_ENG_BGAS_BP_E-42"/>
    <n v="6.51658536585366E-3"/>
    <n v="2.3459707317073201E-2"/>
  </r>
  <r>
    <x v="0"/>
    <x v="0"/>
    <x v="0"/>
    <x v="0"/>
    <x v="0"/>
    <s v="DK1_Medium"/>
    <x v="2"/>
    <s v="GNR_HS_HEAT_WTR-TANK_LS_E-95_Y-2010"/>
    <n v="52.158171500071397"/>
    <n v="187.769417400257"/>
  </r>
  <r>
    <x v="0"/>
    <x v="0"/>
    <x v="0"/>
    <x v="0"/>
    <x v="0"/>
    <s v="DK1_Medium"/>
    <x v="3"/>
    <s v="GNR_ST_MSW_BP_E-18"/>
    <n v="0.207329771126808"/>
    <n v="0.74638717605650695"/>
  </r>
  <r>
    <x v="0"/>
    <x v="0"/>
    <x v="0"/>
    <x v="0"/>
    <x v="0"/>
    <s v="DK1_Medium"/>
    <x v="3"/>
    <s v="GNR_ST_MSW_BP_E-21"/>
    <n v="0.79970054577482896"/>
    <n v="2.87892196478938"/>
  </r>
  <r>
    <x v="0"/>
    <x v="0"/>
    <x v="0"/>
    <x v="0"/>
    <x v="0"/>
    <s v="DK1_Medium"/>
    <x v="3"/>
    <s v="GNR_ST_MSW_BP_E-22"/>
    <n v="1.8541205246483099"/>
    <n v="6.67483388873391"/>
  </r>
  <r>
    <x v="0"/>
    <x v="0"/>
    <x v="0"/>
    <x v="0"/>
    <x v="0"/>
    <s v="DK1_Medium"/>
    <x v="4"/>
    <s v="GNR_GT_NGAS_BP_E-47"/>
    <n v="2.7842913078894499E-2"/>
    <n v="0.10023448708402"/>
  </r>
  <r>
    <x v="0"/>
    <x v="0"/>
    <x v="0"/>
    <x v="0"/>
    <x v="0"/>
    <s v="DK1_Medium"/>
    <x v="7"/>
    <s v="GNR_ST_WOODCHI_BP_E-27"/>
    <n v="1.3397647058823501"/>
    <n v="4.8231529411764704"/>
  </r>
  <r>
    <x v="0"/>
    <x v="0"/>
    <x v="0"/>
    <x v="0"/>
    <x v="0"/>
    <s v="DK1_Medium"/>
    <x v="7"/>
    <s v="GNR_ST_WOODCHI_BP_E-30"/>
    <n v="2.3291294117647099"/>
    <n v="8.3848658823529405"/>
  </r>
  <r>
    <x v="0"/>
    <x v="0"/>
    <x v="0"/>
    <x v="0"/>
    <x v="0"/>
    <s v="DK1_NoDH"/>
    <x v="0"/>
    <s v="GNR_ENG_BGAS_BP_E-30"/>
    <n v="4.5936585365853703E-3"/>
    <n v="1.6537170731707299E-2"/>
  </r>
  <r>
    <x v="0"/>
    <x v="0"/>
    <x v="0"/>
    <x v="0"/>
    <x v="0"/>
    <s v="DK1_NoDH"/>
    <x v="0"/>
    <s v="GNR_ENG_BGAS_BP_E-31"/>
    <n v="5.0209756097561002E-3"/>
    <n v="1.8075512195122E-2"/>
  </r>
  <r>
    <x v="0"/>
    <x v="0"/>
    <x v="0"/>
    <x v="0"/>
    <x v="0"/>
    <s v="DK1_NoDH"/>
    <x v="0"/>
    <s v="GNR_ENG_BGAS_BP_E-32"/>
    <n v="1.27126829268293E-2"/>
    <n v="4.5765658536585298E-2"/>
  </r>
  <r>
    <x v="0"/>
    <x v="0"/>
    <x v="0"/>
    <x v="0"/>
    <x v="0"/>
    <s v="DK1_NoDH"/>
    <x v="0"/>
    <s v="GNR_ENG_BGAS_BP_E-33"/>
    <n v="9.8282926829268303E-3"/>
    <n v="3.5381853658536598E-2"/>
  </r>
  <r>
    <x v="0"/>
    <x v="0"/>
    <x v="0"/>
    <x v="0"/>
    <x v="0"/>
    <s v="DK1_NoDH"/>
    <x v="0"/>
    <s v="GNR_ENG_BGAS_BP_E-34"/>
    <n v="3.0681365853658601E-2"/>
    <n v="0.11045291707317099"/>
  </r>
  <r>
    <x v="0"/>
    <x v="0"/>
    <x v="0"/>
    <x v="0"/>
    <x v="0"/>
    <s v="DK1_NoDH"/>
    <x v="0"/>
    <s v="GNR_ENG_BGAS_BP_E-35"/>
    <n v="2.3395609756097599E-2"/>
    <n v="8.4224195121951201E-2"/>
  </r>
  <r>
    <x v="0"/>
    <x v="0"/>
    <x v="0"/>
    <x v="0"/>
    <x v="0"/>
    <s v="DK1_NoDH"/>
    <x v="0"/>
    <s v="GNR_ENG_BGAS_BP_E-36"/>
    <n v="2.2220487804878002E-2"/>
    <n v="7.9993756097561E-2"/>
  </r>
  <r>
    <x v="0"/>
    <x v="0"/>
    <x v="0"/>
    <x v="0"/>
    <x v="0"/>
    <s v="DK1_NoDH"/>
    <x v="0"/>
    <s v="GNR_ENG_BGAS_BP_E-37"/>
    <n v="4.6481414634146297E-2"/>
    <n v="0.16733309268292701"/>
  </r>
  <r>
    <x v="0"/>
    <x v="0"/>
    <x v="0"/>
    <x v="0"/>
    <x v="0"/>
    <s v="DK1_NoDH"/>
    <x v="0"/>
    <s v="GNR_ENG_BGAS_BP_E-38"/>
    <n v="2.0297560975609799E-3"/>
    <n v="7.30712195121951E-3"/>
  </r>
  <r>
    <x v="0"/>
    <x v="0"/>
    <x v="0"/>
    <x v="0"/>
    <x v="0"/>
    <s v="DK1_NoDH"/>
    <x v="0"/>
    <s v="GNR_ENG_BGAS_BP_E-39"/>
    <n v="1.2392195121951201E-2"/>
    <n v="4.4611902439024402E-2"/>
  </r>
  <r>
    <x v="0"/>
    <x v="0"/>
    <x v="0"/>
    <x v="0"/>
    <x v="0"/>
    <s v="DK1_NoDH"/>
    <x v="0"/>
    <s v="GNR_ENG_BGAS_BP_E-40"/>
    <n v="2.7775609756097601E-2"/>
    <n v="9.9992195121951205E-2"/>
  </r>
  <r>
    <x v="0"/>
    <x v="0"/>
    <x v="0"/>
    <x v="0"/>
    <x v="0"/>
    <s v="DK1_NoDH"/>
    <x v="0"/>
    <s v="GNR_ENG_BGAS_BP_E-42"/>
    <n v="1.4956097560975601E-2"/>
    <n v="5.3841951219512199E-2"/>
  </r>
  <r>
    <x v="0"/>
    <x v="0"/>
    <x v="0"/>
    <x v="0"/>
    <x v="0"/>
    <s v="DK1_NoDH"/>
    <x v="0"/>
    <s v="GNR_ENG_BGAS_BP_E-43"/>
    <n v="6.4097560975609799E-2"/>
    <n v="0.23075121951219499"/>
  </r>
  <r>
    <x v="0"/>
    <x v="0"/>
    <x v="0"/>
    <x v="0"/>
    <x v="0"/>
    <s v="DK1_Rural"/>
    <x v="0"/>
    <s v="GNR_ENG_BGAS_BP_E-30"/>
    <n v="6.4097560975609799E-2"/>
    <n v="0.23075121951219499"/>
  </r>
  <r>
    <x v="0"/>
    <x v="0"/>
    <x v="0"/>
    <x v="0"/>
    <x v="0"/>
    <s v="DK1_Rural"/>
    <x v="0"/>
    <s v="GNR_ENG_BGAS_BP_E-34"/>
    <n v="1.10354634146341E-2"/>
    <n v="3.9727668292682899E-2"/>
  </r>
  <r>
    <x v="0"/>
    <x v="0"/>
    <x v="0"/>
    <x v="0"/>
    <x v="0"/>
    <s v="DK1_Rural"/>
    <x v="0"/>
    <s v="GNR_ENG_BGAS_BP_E-35"/>
    <n v="1.1217073170731701E-2"/>
    <n v="4.0381463414634201E-2"/>
  </r>
  <r>
    <x v="0"/>
    <x v="0"/>
    <x v="0"/>
    <x v="0"/>
    <x v="0"/>
    <s v="DK1_Rural"/>
    <x v="0"/>
    <s v="GNR_ENG_BGAS_BP_E-37"/>
    <n v="5.33612195121951E-2"/>
    <n v="0.19210039024390299"/>
  </r>
  <r>
    <x v="0"/>
    <x v="0"/>
    <x v="0"/>
    <x v="0"/>
    <x v="0"/>
    <s v="DK1_Rural"/>
    <x v="0"/>
    <s v="GNR_ENG_BGAS_BP_E-38"/>
    <n v="8.5463414634146303E-3"/>
    <n v="3.07668292682927E-2"/>
  </r>
  <r>
    <x v="0"/>
    <x v="0"/>
    <x v="0"/>
    <x v="0"/>
    <x v="0"/>
    <s v="DK1_Rural"/>
    <x v="0"/>
    <s v="GNR_ENG_BGAS_BP_E-39"/>
    <n v="3.8672195121951199E-2"/>
    <n v="0.13921990243902399"/>
  </r>
  <r>
    <x v="0"/>
    <x v="0"/>
    <x v="0"/>
    <x v="0"/>
    <x v="0"/>
    <s v="DK1_Rural"/>
    <x v="0"/>
    <s v="GNR_ENG_BGAS_BP_E-40"/>
    <n v="6.6661463414634206E-2"/>
    <n v="0.23998126829268299"/>
  </r>
  <r>
    <x v="0"/>
    <x v="0"/>
    <x v="0"/>
    <x v="0"/>
    <x v="0"/>
    <s v="DK1_Rural"/>
    <x v="0"/>
    <s v="GNR_ENG_BGAS_BP_E-41"/>
    <n v="2.22311707317073E-2"/>
    <n v="8.0032214634146406E-2"/>
  </r>
  <r>
    <x v="0"/>
    <x v="0"/>
    <x v="0"/>
    <x v="0"/>
    <x v="0"/>
    <s v="DK1_Rural"/>
    <x v="0"/>
    <s v="GNR_ENG_BGAS_BP_E-42"/>
    <n v="9.1125365853658505E-2"/>
    <n v="0.32805131707317098"/>
  </r>
  <r>
    <x v="0"/>
    <x v="0"/>
    <x v="0"/>
    <x v="0"/>
    <x v="0"/>
    <s v="DK1_Rural"/>
    <x v="0"/>
    <s v="GNR_ENG_BGAS_BP_E-43"/>
    <n v="5.4910243902439003E-2"/>
    <n v="0.19767687804878101"/>
  </r>
  <r>
    <x v="0"/>
    <x v="0"/>
    <x v="0"/>
    <x v="0"/>
    <x v="0"/>
    <s v="DK1_Rural"/>
    <x v="2"/>
    <s v="GNR_HS_HEAT-E-100"/>
    <n v="0.35898404500379599"/>
    <n v="1.2923425620136699"/>
  </r>
  <r>
    <x v="0"/>
    <x v="0"/>
    <x v="0"/>
    <x v="0"/>
    <x v="0"/>
    <s v="DK1_Rural"/>
    <x v="4"/>
    <s v="GNR_ENG_NGAS_BP_E-47"/>
    <n v="6.0022222222222204E-3"/>
    <n v="2.1607999999999999E-2"/>
  </r>
  <r>
    <x v="0"/>
    <x v="0"/>
    <x v="0"/>
    <x v="0"/>
    <x v="0"/>
    <s v="DK1_Rural"/>
    <x v="5"/>
    <s v="GNR_BO_STRW_E-100"/>
    <n v="1.1683212000000001"/>
    <n v="4.2059563200000003"/>
  </r>
  <r>
    <x v="0"/>
    <x v="0"/>
    <x v="0"/>
    <x v="0"/>
    <x v="0"/>
    <s v="DK1_Rural"/>
    <x v="5"/>
    <s v="GNR_BO_STRW_E-102"/>
    <n v="0.49896960000000001"/>
    <n v="1.7962905600000001"/>
  </r>
  <r>
    <x v="0"/>
    <x v="0"/>
    <x v="0"/>
    <x v="0"/>
    <x v="0"/>
    <s v="DK1_Rural"/>
    <x v="5"/>
    <s v="GNR_ST_STRW_BP_E-26"/>
    <n v="4.5311383415965398E-2"/>
    <n v="0.16312098029747499"/>
  </r>
  <r>
    <x v="0"/>
    <x v="0"/>
    <x v="0"/>
    <x v="0"/>
    <x v="0"/>
    <s v="DK1_Rural"/>
    <x v="6"/>
    <s v="GNR_EH_HEAT"/>
    <n v="0.76220759999999999"/>
    <n v="2.7439473599999999"/>
  </r>
  <r>
    <x v="0"/>
    <x v="0"/>
    <x v="0"/>
    <x v="0"/>
    <x v="0"/>
    <s v="DK1_Rural"/>
    <x v="7"/>
    <s v="GNR_BO_WOODCHI_E-107"/>
    <n v="2.6360302162180799E-2"/>
    <n v="9.4897087783850795E-2"/>
  </r>
  <r>
    <x v="0"/>
    <x v="0"/>
    <x v="0"/>
    <x v="0"/>
    <x v="0"/>
    <s v="DK1_Rural"/>
    <x v="7"/>
    <s v="GNR_BO_WOODCHI_E-108"/>
    <n v="1.7885000000000002E-2"/>
    <n v="6.4385999999999999E-2"/>
  </r>
  <r>
    <x v="0"/>
    <x v="0"/>
    <x v="0"/>
    <x v="0"/>
    <x v="0"/>
    <s v="DK1_Rural"/>
    <x v="7"/>
    <s v="GNR_BO_WOODCHI_E-110"/>
    <n v="0.83332677378769904"/>
    <n v="2.99997638563572"/>
  </r>
  <r>
    <x v="0"/>
    <x v="0"/>
    <x v="0"/>
    <x v="0"/>
    <x v="0"/>
    <s v="DK1_Rural"/>
    <x v="7"/>
    <s v="GNR_BO_WOODCHI_E-112"/>
    <n v="0.14034392123373299"/>
    <n v="0.50523811644143701"/>
  </r>
  <r>
    <x v="0"/>
    <x v="0"/>
    <x v="0"/>
    <x v="0"/>
    <x v="0"/>
    <s v="DK1_Rural"/>
    <x v="7"/>
    <s v="GNR_BO_WOODCHI_E-113"/>
    <n v="4.1702652558400298E-2"/>
    <n v="0.15012954921024099"/>
  </r>
  <r>
    <x v="0"/>
    <x v="0"/>
    <x v="0"/>
    <x v="0"/>
    <x v="0"/>
    <s v="DK1_Rural"/>
    <x v="7"/>
    <s v="GNR_BO_WOODCHI_E-114"/>
    <n v="0.18396000000000001"/>
    <n v="0.66225599999999996"/>
  </r>
  <r>
    <x v="0"/>
    <x v="0"/>
    <x v="0"/>
    <x v="0"/>
    <x v="0"/>
    <s v="DK1_Rural"/>
    <x v="7"/>
    <s v="GNR_BO_WOODCHI_E-117"/>
    <n v="0.17519999999999999"/>
    <n v="0.63071999999999995"/>
  </r>
  <r>
    <x v="0"/>
    <x v="0"/>
    <x v="0"/>
    <x v="0"/>
    <x v="0"/>
    <s v="DK1_Rural"/>
    <x v="7"/>
    <s v="GNR_BO_WOODCHI_E-120"/>
    <n v="0.21024000000000001"/>
    <n v="0.75686399999999998"/>
  </r>
  <r>
    <x v="0"/>
    <x v="0"/>
    <x v="0"/>
    <x v="0"/>
    <x v="0"/>
    <s v="DK1_Rural"/>
    <x v="7"/>
    <s v="GNR_ST_WOODCHI_BP_E-17"/>
    <n v="1.9323529411764701E-2"/>
    <n v="6.9564705882352904E-2"/>
  </r>
  <r>
    <x v="0"/>
    <x v="0"/>
    <x v="0"/>
    <x v="0"/>
    <x v="0"/>
    <s v="DK1_Rural"/>
    <x v="7"/>
    <s v="GNR_ST_WOODCHI_BP_E-27"/>
    <n v="0.121094117647059"/>
    <n v="0.43593882352941199"/>
  </r>
  <r>
    <x v="0"/>
    <x v="0"/>
    <x v="0"/>
    <x v="0"/>
    <x v="0"/>
    <s v="DK1_Rural"/>
    <x v="8"/>
    <s v="GNR_ST_WOODPEL_BP_E-30"/>
    <n v="3.3463199999999999E-2"/>
    <n v="0.12046751999999999"/>
  </r>
  <r>
    <x v="0"/>
    <x v="0"/>
    <x v="0"/>
    <x v="0"/>
    <x v="0"/>
    <s v="DK1_Rural"/>
    <x v="9"/>
    <s v="GNR_BO_WOODWST_E-100"/>
    <n v="0.26937"/>
    <n v="0.96973200000000004"/>
  </r>
  <r>
    <x v="0"/>
    <x v="0"/>
    <x v="0"/>
    <x v="0"/>
    <x v="0"/>
    <s v="DK1_Rural"/>
    <x v="9"/>
    <s v="GNR_BO_WOODWST_E-113"/>
    <n v="3.5040000000000002E-2"/>
    <n v="0.12614400000000001"/>
  </r>
  <r>
    <x v="0"/>
    <x v="0"/>
    <x v="0"/>
    <x v="0"/>
    <x v="0"/>
    <s v="DK1_Rural"/>
    <x v="9"/>
    <s v="GNR_BO_WOODWST_E-84"/>
    <n v="5.0895599999999999E-2"/>
    <n v="0.18322416"/>
  </r>
  <r>
    <x v="0"/>
    <x v="0"/>
    <x v="0"/>
    <x v="0"/>
    <x v="0"/>
    <s v="DK1_Rural"/>
    <x v="9"/>
    <s v="GNR_BO_WOODWST_E-86"/>
    <n v="2.6280000000000001E-2"/>
    <n v="9.4607999999999998E-2"/>
  </r>
  <r>
    <x v="0"/>
    <x v="0"/>
    <x v="0"/>
    <x v="0"/>
    <x v="0"/>
    <s v="DK1_Rural"/>
    <x v="9"/>
    <s v="GNR_BO_WOODWST_E-89"/>
    <n v="6.132E-2"/>
    <n v="0.220752"/>
  </r>
  <r>
    <x v="0"/>
    <x v="0"/>
    <x v="0"/>
    <x v="0"/>
    <x v="0"/>
    <s v="DK1_Rural"/>
    <x v="9"/>
    <s v="GNR_BO_WOODWST_E-90"/>
    <n v="7.8839999999999993E-2"/>
    <n v="0.28382400000000002"/>
  </r>
  <r>
    <x v="0"/>
    <x v="0"/>
    <x v="0"/>
    <x v="0"/>
    <x v="0"/>
    <s v="DK1_Rural"/>
    <x v="9"/>
    <s v="GNR_BO_WOODWST_E-91"/>
    <n v="2.7594E-2"/>
    <n v="9.9338400000000104E-2"/>
  </r>
  <r>
    <x v="0"/>
    <x v="0"/>
    <x v="0"/>
    <x v="0"/>
    <x v="0"/>
    <s v="DK1_Rural"/>
    <x v="9"/>
    <s v="GNR_BO_WOODWST_E-94"/>
    <n v="8.1467999999999992E-3"/>
    <n v="2.9328480000000001E-2"/>
  </r>
  <r>
    <x v="0"/>
    <x v="0"/>
    <x v="0"/>
    <x v="0"/>
    <x v="0"/>
    <s v="DK1_Small"/>
    <x v="3"/>
    <s v="GNR_BO_MSW_E-105"/>
    <n v="0.20042931953394899"/>
    <n v="0.72154555032221701"/>
  </r>
  <r>
    <x v="0"/>
    <x v="0"/>
    <x v="0"/>
    <x v="0"/>
    <x v="0"/>
    <s v="DK1_Small"/>
    <x v="3"/>
    <s v="GNR_ST_MSW_BP_E-20"/>
    <n v="8.5597576936639094E-2"/>
    <n v="0.30815127697190098"/>
  </r>
  <r>
    <x v="0"/>
    <x v="0"/>
    <x v="0"/>
    <x v="0"/>
    <x v="0"/>
    <s v="DK1_Small"/>
    <x v="6"/>
    <s v="GNR_EH_HEAT"/>
    <n v="0.12264"/>
    <n v="0.44150400000000001"/>
  </r>
  <r>
    <x v="0"/>
    <x v="0"/>
    <x v="0"/>
    <x v="0"/>
    <x v="0"/>
    <s v="DK1_Small"/>
    <x v="7"/>
    <s v="GNR_ST_WOODCHI_BP_E-15"/>
    <n v="1.5458823529411801E-2"/>
    <n v="5.5651764705882303E-2"/>
  </r>
  <r>
    <x v="0"/>
    <x v="0"/>
    <x v="0"/>
    <x v="0"/>
    <x v="0"/>
    <s v="DK1_Small"/>
    <x v="9"/>
    <s v="GNR_BO_WOODWST_E-100"/>
    <n v="1.533E-2"/>
    <n v="5.5188000000000001E-2"/>
  </r>
  <r>
    <x v="0"/>
    <x v="0"/>
    <x v="0"/>
    <x v="0"/>
    <x v="0"/>
    <s v="DK1_Small"/>
    <x v="9"/>
    <s v="GNR_BO_WOODWST_E-89"/>
    <n v="1.557528E-2"/>
    <n v="5.6071007999999999E-2"/>
  </r>
  <r>
    <x v="0"/>
    <x v="0"/>
    <x v="0"/>
    <x v="0"/>
    <x v="1"/>
    <s v="DK2_Large"/>
    <x v="0"/>
    <s v="GNR_BO_BGAS_E-90"/>
    <n v="0.10512000000000001"/>
    <n v="0.37843199999999999"/>
  </r>
  <r>
    <x v="0"/>
    <x v="0"/>
    <x v="0"/>
    <x v="0"/>
    <x v="1"/>
    <s v="DK2_Large"/>
    <x v="0"/>
    <s v="GNR_BO_BGAS_E-95"/>
    <n v="6.6575999999999996E-3"/>
    <n v="2.396736E-2"/>
  </r>
  <r>
    <x v="0"/>
    <x v="0"/>
    <x v="0"/>
    <x v="0"/>
    <x v="1"/>
    <s v="DK2_Large"/>
    <x v="0"/>
    <s v="GNR_ENG_BGAS_BP_E-38"/>
    <n v="6.4097560975609697E-3"/>
    <n v="2.30751219512195E-2"/>
  </r>
  <r>
    <x v="0"/>
    <x v="0"/>
    <x v="0"/>
    <x v="0"/>
    <x v="1"/>
    <s v="DK2_Large"/>
    <x v="0"/>
    <s v="GNR_ENG_BGAS_BP_E-42"/>
    <n v="3.2550878048780499E-2"/>
    <n v="0.11718316097561"/>
  </r>
  <r>
    <x v="0"/>
    <x v="0"/>
    <x v="0"/>
    <x v="0"/>
    <x v="1"/>
    <s v="DK2_Large"/>
    <x v="2"/>
    <s v="GNR_HS_HEAT-E-100"/>
    <n v="1.5437046724218899"/>
    <n v="5.5573368207187999"/>
  </r>
  <r>
    <x v="0"/>
    <x v="0"/>
    <x v="0"/>
    <x v="0"/>
    <x v="1"/>
    <s v="DK2_Large"/>
    <x v="3"/>
    <s v="GNR_ST_MSW_BP_E-16"/>
    <n v="0.84412835387343099"/>
    <n v="3.0388620739443502"/>
  </r>
  <r>
    <x v="0"/>
    <x v="0"/>
    <x v="0"/>
    <x v="0"/>
    <x v="1"/>
    <s v="DK2_Large"/>
    <x v="3"/>
    <s v="GNR_ST_MSW_BP_E-20"/>
    <n v="1.1551230105636401"/>
    <n v="4.1584428380291101"/>
  </r>
  <r>
    <x v="0"/>
    <x v="0"/>
    <x v="0"/>
    <x v="0"/>
    <x v="1"/>
    <s v="DK2_Large"/>
    <x v="3"/>
    <s v="GNR_ST_MSW_BP_E-21"/>
    <n v="0.40577398063389503"/>
    <n v="1.4607863302820201"/>
  </r>
  <r>
    <x v="0"/>
    <x v="0"/>
    <x v="0"/>
    <x v="0"/>
    <x v="1"/>
    <s v="DK2_Large"/>
    <x v="3"/>
    <s v="GNR_ST_MSW_BP_E-27"/>
    <n v="0.57459965140858105"/>
    <n v="2.0685587450708902"/>
  </r>
  <r>
    <x v="0"/>
    <x v="0"/>
    <x v="0"/>
    <x v="0"/>
    <x v="1"/>
    <s v="DK2_Large"/>
    <x v="4"/>
    <s v="GNR_ENG_NGAS_BP_E-40"/>
    <n v="4.0149999999999998E-2"/>
    <n v="0.14454"/>
  </r>
  <r>
    <x v="0"/>
    <x v="0"/>
    <x v="0"/>
    <x v="0"/>
    <x v="1"/>
    <s v="DK2_Large"/>
    <x v="4"/>
    <s v="GNR_ST_NGAS_BP_E-39"/>
    <n v="0.81238571428571404"/>
    <n v="2.9245885714285702"/>
  </r>
  <r>
    <x v="0"/>
    <x v="0"/>
    <x v="0"/>
    <x v="0"/>
    <x v="1"/>
    <s v="DK2_Large"/>
    <x v="6"/>
    <s v="GNR_GEO_HEAT_HO"/>
    <n v="0.12264"/>
    <n v="0.44150400000000001"/>
  </r>
  <r>
    <x v="0"/>
    <x v="0"/>
    <x v="0"/>
    <x v="0"/>
    <x v="1"/>
    <s v="DK2_Large"/>
    <x v="7"/>
    <s v="GNR_ST_WOODCHI_BP_E-24"/>
    <n v="0.28341176470588197"/>
    <n v="1.02028235294118"/>
  </r>
  <r>
    <x v="0"/>
    <x v="0"/>
    <x v="0"/>
    <x v="0"/>
    <x v="1"/>
    <s v="DK2_Large"/>
    <x v="7"/>
    <s v="GNR_ST_WOODCHI_BP_E-27"/>
    <n v="0.38647058823529401"/>
    <n v="1.3912941176470599"/>
  </r>
  <r>
    <x v="0"/>
    <x v="0"/>
    <x v="0"/>
    <x v="0"/>
    <x v="1"/>
    <s v="DK2_Large"/>
    <x v="8"/>
    <s v="GNR_BO_WOODPEL_E-100"/>
    <n v="0.28908"/>
    <n v="1.0406880000000001"/>
  </r>
  <r>
    <x v="0"/>
    <x v="0"/>
    <x v="0"/>
    <x v="0"/>
    <x v="1"/>
    <s v="DK2_Large"/>
    <x v="8"/>
    <s v="GNR_ST_WOODPEL_BP_E-18"/>
    <n v="1.1212800000000001"/>
    <n v="4.0366080000000002"/>
  </r>
  <r>
    <x v="0"/>
    <x v="0"/>
    <x v="0"/>
    <x v="0"/>
    <x v="1"/>
    <s v="DK2_Large"/>
    <x v="8"/>
    <s v="GNR_ST_WOODPEL_EXT_E-50"/>
    <n v="2.1279651021472201"/>
    <n v="7.6606743677299898"/>
  </r>
  <r>
    <x v="0"/>
    <x v="0"/>
    <x v="0"/>
    <x v="0"/>
    <x v="1"/>
    <s v="DK2_Large"/>
    <x v="9"/>
    <s v="GNR_BO_WOODWST_E-90"/>
    <n v="5.83416E-2"/>
    <n v="0.21002976000000001"/>
  </r>
  <r>
    <x v="0"/>
    <x v="0"/>
    <x v="0"/>
    <x v="0"/>
    <x v="1"/>
    <s v="DK2_MedSmall"/>
    <x v="0"/>
    <s v="GNR_ENG_BGAS_BP_E-38"/>
    <n v="2.6707317073170699E-3"/>
    <n v="9.6146341463414602E-3"/>
  </r>
  <r>
    <x v="0"/>
    <x v="0"/>
    <x v="0"/>
    <x v="0"/>
    <x v="1"/>
    <s v="DK2_MedSmall"/>
    <x v="2"/>
    <s v="GNR_HS_HEAT_WTR-TANK_LS_E-95_Y-2010"/>
    <n v="4.8148655755062997"/>
    <n v="17.3335160718227"/>
  </r>
  <r>
    <x v="0"/>
    <x v="0"/>
    <x v="0"/>
    <x v="0"/>
    <x v="1"/>
    <s v="DK2_MedSmall"/>
    <x v="3"/>
    <s v="GNR_ST_MSW_BP_E-21"/>
    <n v="0.19844420950708699"/>
    <n v="0.71439915422551403"/>
  </r>
  <r>
    <x v="0"/>
    <x v="0"/>
    <x v="0"/>
    <x v="0"/>
    <x v="1"/>
    <s v="DK2_MedSmall"/>
    <x v="3"/>
    <s v="GNR_ST_MSW_BP_E-25"/>
    <n v="0.32284207218317201"/>
    <n v="1.1622314598594199"/>
  </r>
  <r>
    <x v="0"/>
    <x v="0"/>
    <x v="0"/>
    <x v="0"/>
    <x v="1"/>
    <s v="DK2_MedSmall"/>
    <x v="3"/>
    <s v="GNR_ST_MSW_BP_E-28"/>
    <n v="0.38178296426065"/>
    <n v="1.3744186713383399"/>
  </r>
  <r>
    <x v="0"/>
    <x v="0"/>
    <x v="0"/>
    <x v="0"/>
    <x v="1"/>
    <s v="DK2_Medium"/>
    <x v="0"/>
    <s v="GNR_BO_BGAS_E-100"/>
    <n v="3.5040000000000002E-3"/>
    <n v="1.26144E-2"/>
  </r>
  <r>
    <x v="0"/>
    <x v="0"/>
    <x v="0"/>
    <x v="0"/>
    <x v="1"/>
    <s v="DK2_Medium"/>
    <x v="0"/>
    <s v="GNR_BO_BGAS_E-99"/>
    <n v="2.5403999999999999E-3"/>
    <n v="9.1454399999999995E-3"/>
  </r>
  <r>
    <x v="0"/>
    <x v="0"/>
    <x v="0"/>
    <x v="0"/>
    <x v="1"/>
    <s v="DK2_Medium"/>
    <x v="2"/>
    <s v="GNR_HS_HEAT-E-100"/>
    <n v="0.17918200756157701"/>
    <n v="0.64505522722167796"/>
  </r>
  <r>
    <x v="0"/>
    <x v="0"/>
    <x v="0"/>
    <x v="0"/>
    <x v="1"/>
    <s v="DK2_Medium"/>
    <x v="3"/>
    <s v="GNR_BO_MSW_E-105"/>
    <n v="0.18396000000000001"/>
    <n v="0.66225599999999996"/>
  </r>
  <r>
    <x v="0"/>
    <x v="0"/>
    <x v="0"/>
    <x v="0"/>
    <x v="1"/>
    <s v="DK2_Medium"/>
    <x v="3"/>
    <s v="GNR_ST_MSW_BP_E-23"/>
    <n v="0.23694830985920901"/>
    <n v="0.85301391549315098"/>
  </r>
  <r>
    <x v="0"/>
    <x v="0"/>
    <x v="0"/>
    <x v="0"/>
    <x v="1"/>
    <s v="DK2_Medium"/>
    <x v="3"/>
    <s v="GNR_ST_MSW_BP_E-25"/>
    <n v="0.21917718661976801"/>
    <n v="0.78903787183116403"/>
  </r>
  <r>
    <x v="0"/>
    <x v="0"/>
    <x v="0"/>
    <x v="0"/>
    <x v="1"/>
    <s v="DK2_Medium"/>
    <x v="4"/>
    <s v="GNR_ENG_NGAS_BP_E-42"/>
    <n v="1.13555555555556E-2"/>
    <n v="4.088E-2"/>
  </r>
  <r>
    <x v="0"/>
    <x v="0"/>
    <x v="0"/>
    <x v="0"/>
    <x v="1"/>
    <s v="DK2_Medium"/>
    <x v="4"/>
    <s v="GNR_GT_NGAS_BP_E-42"/>
    <n v="0.112042195024291"/>
    <n v="0.40335190208744898"/>
  </r>
  <r>
    <x v="0"/>
    <x v="0"/>
    <x v="0"/>
    <x v="0"/>
    <x v="1"/>
    <s v="DK2_Medium"/>
    <x v="4"/>
    <s v="GNR_GT_NGAS_BP_E-44"/>
    <n v="0.56210000000000004"/>
    <n v="2.0235599999999998"/>
  </r>
  <r>
    <x v="0"/>
    <x v="0"/>
    <x v="0"/>
    <x v="0"/>
    <x v="1"/>
    <s v="DK2_Medium"/>
    <x v="6"/>
    <s v="GNR_EH_HEAT"/>
    <n v="1.7520000000000001E-2"/>
    <n v="6.3072000000000003E-2"/>
  </r>
  <r>
    <x v="0"/>
    <x v="0"/>
    <x v="0"/>
    <x v="0"/>
    <x v="1"/>
    <s v="DK2_Medium"/>
    <x v="7"/>
    <s v="GNR_BO_WOODCHI_E-100"/>
    <n v="4.8705600000000002E-2"/>
    <n v="0.17534015999999999"/>
  </r>
  <r>
    <x v="0"/>
    <x v="0"/>
    <x v="0"/>
    <x v="0"/>
    <x v="1"/>
    <s v="DK2_Medium"/>
    <x v="7"/>
    <s v="GNR_BO_WOODCHI_E-110"/>
    <n v="0.12824640000000001"/>
    <n v="0.46168703999999999"/>
  </r>
  <r>
    <x v="0"/>
    <x v="0"/>
    <x v="0"/>
    <x v="0"/>
    <x v="1"/>
    <s v="DK2_Medium"/>
    <x v="7"/>
    <s v="GNR_ST_WOODCHI_BP_E-27"/>
    <n v="8.5023529411764696E-3"/>
    <n v="3.0608470588235299E-2"/>
  </r>
  <r>
    <x v="0"/>
    <x v="0"/>
    <x v="0"/>
    <x v="0"/>
    <x v="1"/>
    <s v="DK2_Medium"/>
    <x v="8"/>
    <s v="GNR_BO_WOODPEL_E-100"/>
    <n v="8.7600000000000004E-3"/>
    <n v="3.1536000000000002E-2"/>
  </r>
  <r>
    <x v="0"/>
    <x v="0"/>
    <x v="0"/>
    <x v="0"/>
    <x v="1"/>
    <s v="DK2_Medium"/>
    <x v="8"/>
    <s v="GNR_BO_WOODPEL_E-102"/>
    <n v="8.3220000000000002E-2"/>
    <n v="0.29959200000000002"/>
  </r>
  <r>
    <x v="0"/>
    <x v="0"/>
    <x v="0"/>
    <x v="0"/>
    <x v="1"/>
    <s v="DK2_Medium"/>
    <x v="9"/>
    <s v="GNR_BO_WOODWST_E-82"/>
    <n v="6.1320000000000003E-3"/>
    <n v="2.20752E-2"/>
  </r>
  <r>
    <x v="0"/>
    <x v="0"/>
    <x v="0"/>
    <x v="0"/>
    <x v="1"/>
    <s v="DK2_NoDH"/>
    <x v="0"/>
    <s v="GNR_ENG_BGAS_BP_E-31"/>
    <n v="1.0682926829268301E-3"/>
    <n v="3.84585365853659E-3"/>
  </r>
  <r>
    <x v="0"/>
    <x v="0"/>
    <x v="0"/>
    <x v="0"/>
    <x v="1"/>
    <s v="DK2_NoDH"/>
    <x v="0"/>
    <s v="GNR_ENG_BGAS_BP_E-32"/>
    <n v="1.17512195121951E-3"/>
    <n v="4.2304390243902397E-3"/>
  </r>
  <r>
    <x v="0"/>
    <x v="0"/>
    <x v="0"/>
    <x v="0"/>
    <x v="1"/>
    <s v="DK2_NoDH"/>
    <x v="0"/>
    <s v="GNR_ENG_BGAS_BP_E-33"/>
    <n v="2.4570731707317102E-3"/>
    <n v="8.8454634146341495E-3"/>
  </r>
  <r>
    <x v="0"/>
    <x v="0"/>
    <x v="0"/>
    <x v="0"/>
    <x v="1"/>
    <s v="DK2_NoDH"/>
    <x v="0"/>
    <s v="GNR_ENG_BGAS_BP_E-34"/>
    <n v="1.0682926829268301E-3"/>
    <n v="3.84585365853659E-3"/>
  </r>
  <r>
    <x v="0"/>
    <x v="0"/>
    <x v="0"/>
    <x v="0"/>
    <x v="1"/>
    <s v="DK2_NoDH"/>
    <x v="0"/>
    <s v="GNR_ENG_BGAS_BP_E-35"/>
    <n v="2.3502439024390199E-3"/>
    <n v="8.4608780487804899E-3"/>
  </r>
  <r>
    <x v="0"/>
    <x v="0"/>
    <x v="0"/>
    <x v="0"/>
    <x v="1"/>
    <s v="DK2_NoDH"/>
    <x v="0"/>
    <s v="GNR_ENG_BGAS_BP_E-36"/>
    <n v="6.7302439024390299E-4"/>
    <n v="2.4228878048780499E-3"/>
  </r>
  <r>
    <x v="0"/>
    <x v="0"/>
    <x v="0"/>
    <x v="0"/>
    <x v="1"/>
    <s v="DK2_NoDH"/>
    <x v="0"/>
    <s v="GNR_ENG_BGAS_BP_E-37"/>
    <n v="1.0682926829268301E-3"/>
    <n v="3.84585365853659E-3"/>
  </r>
  <r>
    <x v="0"/>
    <x v="0"/>
    <x v="0"/>
    <x v="0"/>
    <x v="1"/>
    <s v="DK2_NoDH"/>
    <x v="0"/>
    <s v="GNR_ENG_BGAS_BP_E-38"/>
    <n v="3.8779024390243901E-3"/>
    <n v="1.39604487804878E-2"/>
  </r>
  <r>
    <x v="0"/>
    <x v="0"/>
    <x v="0"/>
    <x v="0"/>
    <x v="1"/>
    <s v="DK2_NoDH"/>
    <x v="0"/>
    <s v="GNR_ENG_BGAS_BP_E-39"/>
    <n v="8.7600000000000004E-3"/>
    <n v="3.1536000000000002E-2"/>
  </r>
  <r>
    <x v="0"/>
    <x v="0"/>
    <x v="0"/>
    <x v="0"/>
    <x v="1"/>
    <s v="DK2_NoDH"/>
    <x v="0"/>
    <s v="GNR_ENG_BGAS_BP_E-40"/>
    <n v="4.2731707317073198E-4"/>
    <n v="1.5383414634146299E-3"/>
  </r>
  <r>
    <x v="0"/>
    <x v="0"/>
    <x v="0"/>
    <x v="0"/>
    <x v="1"/>
    <s v="DK2_NoDH"/>
    <x v="0"/>
    <s v="GNR_ENG_BGAS_BP_E-42"/>
    <n v="4.70048780487805E-2"/>
    <n v="0.16921756097561"/>
  </r>
  <r>
    <x v="0"/>
    <x v="0"/>
    <x v="0"/>
    <x v="0"/>
    <x v="1"/>
    <s v="DK2_NoDH"/>
    <x v="4"/>
    <s v="GNR_ENG_NGAS_BP_E-46"/>
    <n v="6.5771893165776696E-2"/>
    <n v="0.23677881539679599"/>
  </r>
  <r>
    <x v="0"/>
    <x v="0"/>
    <x v="0"/>
    <x v="0"/>
    <x v="1"/>
    <s v="DK2_Rural"/>
    <x v="0"/>
    <s v="GNR_ENG_BGAS_BP_E-34"/>
    <n v="8.1190243902439004E-3"/>
    <n v="2.9228487804877998E-2"/>
  </r>
  <r>
    <x v="0"/>
    <x v="0"/>
    <x v="0"/>
    <x v="0"/>
    <x v="1"/>
    <s v="DK2_Rural"/>
    <x v="0"/>
    <s v="GNR_ENG_BGAS_BP_E-39"/>
    <n v="1.0789756097561E-2"/>
    <n v="3.88431219512195E-2"/>
  </r>
  <r>
    <x v="0"/>
    <x v="0"/>
    <x v="0"/>
    <x v="0"/>
    <x v="1"/>
    <s v="DK2_Rural"/>
    <x v="0"/>
    <s v="GNR_ENG_BGAS_BP_E-40"/>
    <n v="5.6619512195122002E-3"/>
    <n v="2.0383024390243899E-2"/>
  </r>
  <r>
    <x v="0"/>
    <x v="0"/>
    <x v="0"/>
    <x v="0"/>
    <x v="1"/>
    <s v="DK2_Rural"/>
    <x v="0"/>
    <s v="GNR_ENG_BGAS_BP_E-41"/>
    <n v="2.1365853658536601E-2"/>
    <n v="7.6917073170731695E-2"/>
  </r>
  <r>
    <x v="0"/>
    <x v="0"/>
    <x v="0"/>
    <x v="0"/>
    <x v="1"/>
    <s v="DK2_Rural"/>
    <x v="0"/>
    <s v="GNR_ENG_BGAS_BP_E-42"/>
    <n v="6.1255902439024401E-2"/>
    <n v="0.22052124878048801"/>
  </r>
  <r>
    <x v="0"/>
    <x v="0"/>
    <x v="0"/>
    <x v="0"/>
    <x v="1"/>
    <s v="DK2_Rural"/>
    <x v="2"/>
    <s v="GNR_HS_HEAT-E-100"/>
    <n v="4.1740327285415102E-2"/>
    <n v="0.150265178227494"/>
  </r>
  <r>
    <x v="0"/>
    <x v="0"/>
    <x v="0"/>
    <x v="0"/>
    <x v="1"/>
    <s v="DK2_Rural"/>
    <x v="3"/>
    <s v="GNR_BO_MSW_E-105"/>
    <n v="6.132E-2"/>
    <n v="0.220752"/>
  </r>
  <r>
    <x v="0"/>
    <x v="0"/>
    <x v="0"/>
    <x v="0"/>
    <x v="1"/>
    <s v="DK2_Rural"/>
    <x v="4"/>
    <s v="GNR_ENG_NGAS_BP_E-46"/>
    <n v="4.0150000000000003E-3"/>
    <n v="1.4454E-2"/>
  </r>
  <r>
    <x v="0"/>
    <x v="0"/>
    <x v="0"/>
    <x v="0"/>
    <x v="1"/>
    <s v="DK2_Rural"/>
    <x v="5"/>
    <s v="GNR_BO_STRW_E-100"/>
    <n v="0.583028747097735"/>
    <n v="2.0989034895518501"/>
  </r>
  <r>
    <x v="0"/>
    <x v="0"/>
    <x v="0"/>
    <x v="0"/>
    <x v="1"/>
    <s v="DK2_Rural"/>
    <x v="5"/>
    <s v="GNR_BO_STRW_E-102"/>
    <n v="0.41660699772929699"/>
    <n v="1.4997851918254701"/>
  </r>
  <r>
    <x v="0"/>
    <x v="0"/>
    <x v="0"/>
    <x v="0"/>
    <x v="1"/>
    <s v="DK2_Rural"/>
    <x v="5"/>
    <s v="GNR_ST_STRW_BP_E-24"/>
    <n v="9.8503007426011702E-2"/>
    <n v="0.35461082673364203"/>
  </r>
  <r>
    <x v="0"/>
    <x v="0"/>
    <x v="0"/>
    <x v="0"/>
    <x v="1"/>
    <s v="DK2_Rural"/>
    <x v="5"/>
    <s v="GNR_ST_STRW_BP_E-27"/>
    <n v="0.19661200282232"/>
    <n v="0.70780321016035097"/>
  </r>
  <r>
    <x v="0"/>
    <x v="0"/>
    <x v="0"/>
    <x v="0"/>
    <x v="1"/>
    <s v="DK2_Rural"/>
    <x v="5"/>
    <s v="GNR_ST_STRW_BP_E-28"/>
    <n v="0.226556917079827"/>
    <n v="0.81560490148737697"/>
  </r>
  <r>
    <x v="0"/>
    <x v="0"/>
    <x v="0"/>
    <x v="0"/>
    <x v="1"/>
    <s v="DK2_Rural"/>
    <x v="6"/>
    <s v="GNR_EH_HEAT"/>
    <n v="0.14454"/>
    <n v="0.52034400000000003"/>
  </r>
  <r>
    <x v="0"/>
    <x v="0"/>
    <x v="0"/>
    <x v="0"/>
    <x v="1"/>
    <s v="DK2_Rural"/>
    <x v="7"/>
    <s v="GNR_BO_WOODCHI_E-119"/>
    <n v="1.4751840039931101E-2"/>
    <n v="5.3106624143752001E-2"/>
  </r>
  <r>
    <x v="0"/>
    <x v="0"/>
    <x v="0"/>
    <x v="0"/>
    <x v="1"/>
    <s v="DK2_Rural"/>
    <x v="9"/>
    <s v="GNR_BO_WOODWST_E-100"/>
    <n v="5.5188000000000001E-2"/>
    <n v="0.19867679999999999"/>
  </r>
  <r>
    <x v="0"/>
    <x v="0"/>
    <x v="0"/>
    <x v="0"/>
    <x v="1"/>
    <s v="DK2_Small"/>
    <x v="2"/>
    <s v="GNR_HS_HEAT-E-100"/>
    <n v="5.2328411354974399E-3"/>
    <n v="1.8838228087790801E-2"/>
  </r>
  <r>
    <x v="0"/>
    <x v="0"/>
    <x v="0"/>
    <x v="0"/>
    <x v="1"/>
    <s v="DK2_Small"/>
    <x v="2"/>
    <s v="GNR_HS_HEAT_WTR-TANK_LS_E-95_Y-2010"/>
    <n v="1.7352591727912301"/>
    <n v="6.2469330220484203"/>
  </r>
  <r>
    <x v="0"/>
    <x v="0"/>
    <x v="0"/>
    <x v="0"/>
    <x v="1"/>
    <s v="DK2_Small"/>
    <x v="4"/>
    <s v="GNR_ENG_NGAS_BP_E-46"/>
    <n v="0.24458843014690701"/>
    <n v="0.88051834852886302"/>
  </r>
  <r>
    <x v="0"/>
    <x v="0"/>
    <x v="0"/>
    <x v="1"/>
    <x v="2"/>
    <s v="EE_Industry"/>
    <x v="2"/>
    <s v="GNR_HS_HEAT_WTR-TANK_LS_E-95_Y-2010"/>
    <n v="19.165860986409999"/>
    <n v="68.997099551076104"/>
  </r>
  <r>
    <x v="0"/>
    <x v="0"/>
    <x v="0"/>
    <x v="1"/>
    <x v="2"/>
    <s v="EE_Industry"/>
    <x v="10"/>
    <s v="IMAVERE_ST_WOOD_BP"/>
    <n v="0.26280026280026297"/>
    <n v="0.94608094608094695"/>
  </r>
  <r>
    <x v="0"/>
    <x v="0"/>
    <x v="0"/>
    <x v="1"/>
    <x v="2"/>
    <s v="EE_Industry"/>
    <x v="10"/>
    <s v="OSULA_ST_WOOD_BP"/>
    <n v="0.26280026280026297"/>
    <n v="0.94608094608094695"/>
  </r>
  <r>
    <x v="0"/>
    <x v="0"/>
    <x v="0"/>
    <x v="1"/>
    <x v="2"/>
    <s v="EE_Industry"/>
    <x v="9"/>
    <s v="GNR_ST_WOODWST_BP_E-53"/>
    <n v="0.876"/>
    <n v="3.1536"/>
  </r>
  <r>
    <x v="0"/>
    <x v="0"/>
    <x v="0"/>
    <x v="1"/>
    <x v="2"/>
    <s v="EE_Kohtla_Jarve"/>
    <x v="4"/>
    <s v="GNR_BO_NGAS_HO_E-85"/>
    <n v="0.17874966666670999"/>
    <n v="0.64349880000015502"/>
  </r>
  <r>
    <x v="0"/>
    <x v="0"/>
    <x v="0"/>
    <x v="1"/>
    <x v="2"/>
    <s v="EE_Kohtla_Jarve"/>
    <x v="4"/>
    <s v="GNR_ENG_NGAS_EXT_E-44"/>
    <n v="0.155733333333333"/>
    <n v="0.56064000000000003"/>
  </r>
  <r>
    <x v="0"/>
    <x v="0"/>
    <x v="0"/>
    <x v="1"/>
    <x v="2"/>
    <s v="EE_Narva"/>
    <x v="11"/>
    <s v="GNR_BO_FUELOIL_HO_E-85"/>
    <n v="0.49676973122525198"/>
    <n v="1.7883710324109101"/>
  </r>
  <r>
    <x v="0"/>
    <x v="0"/>
    <x v="0"/>
    <x v="1"/>
    <x v="2"/>
    <s v="EE_Narva"/>
    <x v="2"/>
    <s v="GNR_HS_HEAT_WTR-TANK_LS_E-95_Y-2010"/>
    <n v="2.21868932789164E-2"/>
    <n v="7.9872815804098996E-2"/>
  </r>
  <r>
    <x v="0"/>
    <x v="0"/>
    <x v="0"/>
    <x v="1"/>
    <x v="2"/>
    <s v="EE_Parnu"/>
    <x v="2"/>
    <s v="GNR_HS_HEAT_WTR-TANK_LS_E-95_Y-2010"/>
    <n v="4.2355048102730004"/>
    <n v="15.2478173169828"/>
  </r>
  <r>
    <x v="0"/>
    <x v="0"/>
    <x v="0"/>
    <x v="1"/>
    <x v="2"/>
    <s v="EE_Parnu"/>
    <x v="10"/>
    <s v="PARNU-1_ST_WOOD_BP"/>
    <n v="0.42048030580385898"/>
    <n v="1.51372910089389"/>
  </r>
  <r>
    <x v="0"/>
    <x v="0"/>
    <x v="0"/>
    <x v="1"/>
    <x v="2"/>
    <s v="EE_Rural"/>
    <x v="4"/>
    <s v="GNR_ENG_NGAS_EXT_E-44"/>
    <n v="1.1679999999999999E-2"/>
    <n v="4.2048000000000002E-2"/>
  </r>
  <r>
    <x v="0"/>
    <x v="0"/>
    <x v="0"/>
    <x v="1"/>
    <x v="2"/>
    <s v="EE_Rural"/>
    <x v="9"/>
    <s v="EBAVERE_ST_WOODWST_BP"/>
    <n v="0.230526315789474"/>
    <n v="0.82989473684210502"/>
  </r>
  <r>
    <x v="0"/>
    <x v="0"/>
    <x v="0"/>
    <x v="1"/>
    <x v="2"/>
    <s v="EE_Sillamae"/>
    <x v="4"/>
    <s v="GNR_ENG_NGAS_EXT_E-44"/>
    <n v="9.7333333333333397E-2"/>
    <n v="0.35039999999999999"/>
  </r>
  <r>
    <x v="0"/>
    <x v="0"/>
    <x v="0"/>
    <x v="1"/>
    <x v="2"/>
    <s v="EE_Sillamae"/>
    <x v="10"/>
    <s v="SILLAMAE_ST_WOOD_BP"/>
    <n v="0.438"/>
    <n v="1.5768"/>
  </r>
  <r>
    <x v="0"/>
    <x v="0"/>
    <x v="0"/>
    <x v="1"/>
    <x v="2"/>
    <s v="EE_Tallinn"/>
    <x v="3"/>
    <s v="IRU_ST_MSW_BP"/>
    <n v="0.29783999999999999"/>
    <n v="1.0722240000000001"/>
  </r>
  <r>
    <x v="0"/>
    <x v="0"/>
    <x v="0"/>
    <x v="1"/>
    <x v="2"/>
    <s v="EE_Tallinn"/>
    <x v="4"/>
    <s v="GNR_ENG_NGAS_EXT_E-44"/>
    <n v="1.46E-2"/>
    <n v="5.2560000000000003E-2"/>
  </r>
  <r>
    <x v="0"/>
    <x v="0"/>
    <x v="0"/>
    <x v="1"/>
    <x v="2"/>
    <s v="EE_Tallinn"/>
    <x v="4"/>
    <s v="IRU_ST_NGAS_BP"/>
    <n v="0.57754342262401004"/>
    <n v="2.0791563214464399"/>
  </r>
  <r>
    <x v="0"/>
    <x v="0"/>
    <x v="0"/>
    <x v="1"/>
    <x v="2"/>
    <s v="EE_Tallinn"/>
    <x v="10"/>
    <s v="MUSTAMAE_ST_WOOD_BP"/>
    <n v="0.28908028908028899"/>
    <n v="1.0406890406890399"/>
  </r>
  <r>
    <x v="0"/>
    <x v="0"/>
    <x v="0"/>
    <x v="1"/>
    <x v="2"/>
    <s v="EE_Tallinn"/>
    <x v="10"/>
    <s v="VAO-1_ST_WOOD_BP"/>
    <n v="0.36792005886720902"/>
    <n v="1.3245122119219499"/>
  </r>
  <r>
    <x v="0"/>
    <x v="0"/>
    <x v="0"/>
    <x v="1"/>
    <x v="2"/>
    <s v="EE_Tallinn"/>
    <x v="10"/>
    <s v="VAO-2_ST_WOOD_BP"/>
    <n v="0.48180022942868"/>
    <n v="1.73448082594325"/>
  </r>
  <r>
    <x v="0"/>
    <x v="0"/>
    <x v="0"/>
    <x v="1"/>
    <x v="2"/>
    <s v="EE_Tartu"/>
    <x v="4"/>
    <s v="GNR_BO_NGAS_HO_E-85"/>
    <n v="9.7534694196187002E-2"/>
    <n v="0.35112489910627298"/>
  </r>
  <r>
    <x v="0"/>
    <x v="0"/>
    <x v="0"/>
    <x v="1"/>
    <x v="2"/>
    <s v="EE_Tartu"/>
    <x v="10"/>
    <s v="TARTU-1_ST_WOOD_BP"/>
    <n v="0.42048030580385898"/>
    <n v="1.51372910089389"/>
  </r>
  <r>
    <x v="0"/>
    <x v="0"/>
    <x v="0"/>
    <x v="1"/>
    <x v="2"/>
    <s v="EE_Urban"/>
    <x v="4"/>
    <s v="GNR_ENG_NGAS_EXT_E-44"/>
    <n v="8.7600000000000004E-3"/>
    <n v="3.1536000000000002E-2"/>
  </r>
  <r>
    <x v="0"/>
    <x v="0"/>
    <x v="0"/>
    <x v="1"/>
    <x v="2"/>
    <s v="EE_Urban"/>
    <x v="10"/>
    <s v="GNR_ST_WOOD_BP_E-53"/>
    <n v="0.10512000000000001"/>
    <n v="0.37843199999999999"/>
  </r>
  <r>
    <x v="0"/>
    <x v="0"/>
    <x v="0"/>
    <x v="2"/>
    <x v="3"/>
    <s v="FIN_EL"/>
    <x v="12"/>
    <s v="GETOH_ELECTRICBOILER"/>
    <n v="0.35654892483690798"/>
    <n v="1.28357612941287"/>
  </r>
  <r>
    <x v="0"/>
    <x v="0"/>
    <x v="0"/>
    <x v="2"/>
    <x v="3"/>
    <s v="FIN_EL"/>
    <x v="2"/>
    <s v="GNR_HS_HEAT_WTR-TANK_LS_E-95_Y-2010"/>
    <n v="8.7978539114368606E-2"/>
    <n v="0.31672274081172702"/>
  </r>
  <r>
    <x v="0"/>
    <x v="0"/>
    <x v="0"/>
    <x v="2"/>
    <x v="3"/>
    <s v="FIN_EL"/>
    <x v="7"/>
    <s v="GBPR_WOODCHIPS"/>
    <n v="0.84368852459016397"/>
    <n v="3.0372786885245899"/>
  </r>
  <r>
    <x v="0"/>
    <x v="0"/>
    <x v="0"/>
    <x v="2"/>
    <x v="3"/>
    <s v="FIN_EL"/>
    <x v="7"/>
    <s v="GHOB_WOODCHIPS"/>
    <n v="0.26279999999999998"/>
    <n v="0.94608000000000003"/>
  </r>
  <r>
    <x v="0"/>
    <x v="0"/>
    <x v="0"/>
    <x v="2"/>
    <x v="3"/>
    <s v="FIN_EL"/>
    <x v="9"/>
    <s v="GBPR_WOODWASTE_FINEL"/>
    <n v="1.752"/>
    <n v="6.3071999999999999"/>
  </r>
  <r>
    <x v="0"/>
    <x v="0"/>
    <x v="0"/>
    <x v="2"/>
    <x v="3"/>
    <s v="FIN_ESPOO"/>
    <x v="13"/>
    <s v="GHOB_NATGAS_EXETS"/>
    <n v="0.17519999999999999"/>
    <n v="0.63071999999999995"/>
  </r>
  <r>
    <x v="0"/>
    <x v="0"/>
    <x v="0"/>
    <x v="2"/>
    <x v="3"/>
    <s v="FIN_GAS"/>
    <x v="13"/>
    <s v="GHOB_NATGAS_EXETS"/>
    <n v="1.5241750000000001"/>
    <n v="5.4870299999999999"/>
  </r>
  <r>
    <x v="0"/>
    <x v="0"/>
    <x v="0"/>
    <x v="2"/>
    <x v="3"/>
    <s v="FIN_HELS"/>
    <x v="12"/>
    <s v="GETOH_HEATPUMP"/>
    <n v="0.26279999999999998"/>
    <n v="0.94608000000000003"/>
  </r>
  <r>
    <x v="0"/>
    <x v="0"/>
    <x v="0"/>
    <x v="2"/>
    <x v="3"/>
    <s v="FIN_HELS"/>
    <x v="4"/>
    <s v="GEXT_NATGAS_VOUSAARI"/>
    <n v="0.20526298991678801"/>
    <n v="0.73894676370043799"/>
  </r>
  <r>
    <x v="0"/>
    <x v="0"/>
    <x v="0"/>
    <x v="2"/>
    <x v="3"/>
    <s v="FIN_HP"/>
    <x v="0"/>
    <s v="GHOB_BIOGAS"/>
    <n v="3.5040000000000002E-2"/>
    <n v="0.12614400000000001"/>
  </r>
  <r>
    <x v="0"/>
    <x v="0"/>
    <x v="0"/>
    <x v="2"/>
    <x v="3"/>
    <s v="FIN_HP"/>
    <x v="12"/>
    <s v="GETOH_ELECTRICBOILER"/>
    <n v="0.70079999999999998"/>
    <n v="2.5228799999999998"/>
  </r>
  <r>
    <x v="0"/>
    <x v="0"/>
    <x v="0"/>
    <x v="2"/>
    <x v="3"/>
    <s v="FIN_HP"/>
    <x v="12"/>
    <s v="GETOH_HEATPUMP"/>
    <n v="0.29959200000000002"/>
    <n v="1.0785312"/>
  </r>
  <r>
    <x v="0"/>
    <x v="0"/>
    <x v="0"/>
    <x v="2"/>
    <x v="3"/>
    <s v="FIN_HP"/>
    <x v="6"/>
    <s v="GHOB_WASTEHEAT"/>
    <n v="4.6126373626373403E-2"/>
    <n v="0.166054945054944"/>
  </r>
  <r>
    <x v="0"/>
    <x v="0"/>
    <x v="0"/>
    <x v="2"/>
    <x v="3"/>
    <s v="FIN_HP"/>
    <x v="7"/>
    <s v="GHOB_WOODCHIPS"/>
    <n v="0.76036800000000004"/>
    <n v="2.7373248000000001"/>
  </r>
  <r>
    <x v="0"/>
    <x v="0"/>
    <x v="0"/>
    <x v="2"/>
    <x v="3"/>
    <s v="FIN_HP"/>
    <x v="8"/>
    <s v="GHOB_WOODPELLETS"/>
    <n v="1.4892000000000001E-2"/>
    <n v="5.3611199999999998E-2"/>
  </r>
  <r>
    <x v="0"/>
    <x v="0"/>
    <x v="0"/>
    <x v="2"/>
    <x v="3"/>
    <s v="FIN_HP"/>
    <x v="9"/>
    <s v="GHOB_WOODWASTE"/>
    <n v="0.25841999999999998"/>
    <n v="0.93031200000000003"/>
  </r>
  <r>
    <x v="0"/>
    <x v="0"/>
    <x v="0"/>
    <x v="2"/>
    <x v="3"/>
    <s v="FIN_OTHER"/>
    <x v="0"/>
    <s v="GHOB_BIOGAS"/>
    <n v="7.3583999999999997E-2"/>
    <n v="0.26490239999999998"/>
  </r>
  <r>
    <x v="0"/>
    <x v="0"/>
    <x v="0"/>
    <x v="2"/>
    <x v="3"/>
    <s v="FIN_OTHER"/>
    <x v="2"/>
    <s v="GNR_HS_HEAT_WTR-TANK_LS_E-95_Y-2010"/>
    <n v="9.3142373249152505E-3"/>
    <n v="3.3531254369694903E-2"/>
  </r>
  <r>
    <x v="0"/>
    <x v="0"/>
    <x v="0"/>
    <x v="2"/>
    <x v="3"/>
    <s v="FIN_OTHER"/>
    <x v="13"/>
    <s v="GHOB_NATGAS_EXETS"/>
    <n v="1.2702"/>
    <n v="4.5727200000000003"/>
  </r>
  <r>
    <x v="0"/>
    <x v="0"/>
    <x v="0"/>
    <x v="2"/>
    <x v="3"/>
    <s v="FIN_OTHER"/>
    <x v="6"/>
    <s v="GHOB_WASTEHEAT"/>
    <n v="1.8822568681318601"/>
    <n v="6.7761247252747001"/>
  </r>
  <r>
    <x v="0"/>
    <x v="0"/>
    <x v="0"/>
    <x v="2"/>
    <x v="3"/>
    <s v="FIN_OTHER"/>
    <x v="7"/>
    <s v="GBPR_WOODCHIPS_FINOTHER"/>
    <n v="4.6957157360406097"/>
    <n v="16.9045766497462"/>
  </r>
  <r>
    <x v="0"/>
    <x v="0"/>
    <x v="0"/>
    <x v="2"/>
    <x v="3"/>
    <s v="FIN_OTHER"/>
    <x v="7"/>
    <s v="GHOB_WOODCHIPS"/>
    <n v="4.5972479999999996"/>
    <n v="16.550092800000002"/>
  </r>
  <r>
    <x v="0"/>
    <x v="0"/>
    <x v="0"/>
    <x v="2"/>
    <x v="3"/>
    <s v="FIN_OTHER"/>
    <x v="8"/>
    <s v="GBPR_WOODPELLETS"/>
    <n v="1.9745901639344299E-2"/>
    <n v="7.1085245901639296E-2"/>
  </r>
  <r>
    <x v="0"/>
    <x v="0"/>
    <x v="0"/>
    <x v="2"/>
    <x v="3"/>
    <s v="FIN_OTHER"/>
    <x v="8"/>
    <s v="GHOB_WOODPELLETS"/>
    <n v="0.50282400000000005"/>
    <n v="1.8101664"/>
  </r>
  <r>
    <x v="0"/>
    <x v="0"/>
    <x v="0"/>
    <x v="2"/>
    <x v="3"/>
    <s v="FIN_OTHER"/>
    <x v="9"/>
    <s v="GBPR_WOODWASTE_FINOTHER"/>
    <n v="2.6712592592592599"/>
    <n v="9.6165333333333294"/>
  </r>
  <r>
    <x v="0"/>
    <x v="0"/>
    <x v="0"/>
    <x v="2"/>
    <x v="3"/>
    <s v="FIN_OTHER"/>
    <x v="9"/>
    <s v="GHOB_WOODWASTE"/>
    <n v="1.461168"/>
    <n v="5.2602048000000003"/>
  </r>
  <r>
    <x v="0"/>
    <x v="0"/>
    <x v="0"/>
    <x v="2"/>
    <x v="3"/>
    <s v="FIN_TAMP"/>
    <x v="12"/>
    <s v="GETOH_ELECTRICBOILER"/>
    <n v="0.17519999999999999"/>
    <n v="0.63071999999999995"/>
  </r>
  <r>
    <x v="0"/>
    <x v="0"/>
    <x v="0"/>
    <x v="2"/>
    <x v="3"/>
    <s v="FIN_TAMP"/>
    <x v="4"/>
    <s v="GEXT_NATGAS_TAMPERE"/>
    <n v="2.5697679999999998"/>
    <n v="9.2511647999999997"/>
  </r>
  <r>
    <x v="0"/>
    <x v="0"/>
    <x v="0"/>
    <x v="2"/>
    <x v="3"/>
    <s v="FIN_TAMP"/>
    <x v="13"/>
    <s v="GHOB_NATGAS_EXETS"/>
    <n v="0.19272"/>
    <n v="0.69379199999999996"/>
  </r>
  <r>
    <x v="0"/>
    <x v="0"/>
    <x v="0"/>
    <x v="2"/>
    <x v="3"/>
    <s v="FinA"/>
    <x v="10"/>
    <s v="GBPR_IND_BIO"/>
    <n v="5.97272727272727"/>
    <n v="21.501818181818201"/>
  </r>
  <r>
    <x v="0"/>
    <x v="0"/>
    <x v="0"/>
    <x v="2"/>
    <x v="3"/>
    <s v="FinA"/>
    <x v="10"/>
    <s v="GBPR_WOOD_IND"/>
    <n v="21.864486486486499"/>
    <n v="78.712151351351395"/>
  </r>
  <r>
    <x v="0"/>
    <x v="0"/>
    <x v="0"/>
    <x v="3"/>
    <x v="4"/>
    <s v="DE4-E_A"/>
    <x v="0"/>
    <s v="GNR_ENG_BGAS_BP_E-45"/>
    <n v="2.7455121951219501E-2"/>
    <n v="9.8838439024390295E-2"/>
  </r>
  <r>
    <x v="0"/>
    <x v="0"/>
    <x v="0"/>
    <x v="3"/>
    <x v="4"/>
    <s v="DE4-E_A"/>
    <x v="0"/>
    <s v="GNR_ST_BGAS_BP_E-38"/>
    <n v="2.8832914285714302"/>
    <n v="10.3798491428571"/>
  </r>
  <r>
    <x v="0"/>
    <x v="0"/>
    <x v="0"/>
    <x v="3"/>
    <x v="4"/>
    <s v="DE4-E_A"/>
    <x v="3"/>
    <s v="GNR_ST_MSW_BP_E-33"/>
    <n v="9.4453520017627"/>
    <n v="34.003267206345697"/>
  </r>
  <r>
    <x v="0"/>
    <x v="0"/>
    <x v="0"/>
    <x v="3"/>
    <x v="5"/>
    <s v="DE4-N_A"/>
    <x v="0"/>
    <s v="GNR_BO_BGAS_E-80"/>
    <n v="1.7520000000000001E-3"/>
    <n v="6.3071999999999998E-3"/>
  </r>
  <r>
    <x v="0"/>
    <x v="0"/>
    <x v="0"/>
    <x v="3"/>
    <x v="5"/>
    <s v="DE4-N_A"/>
    <x v="0"/>
    <s v="GNR_ENG_BGAS_BP_E-45"/>
    <n v="5.1278048780487801E-3"/>
    <n v="1.8460097560975601E-2"/>
  </r>
  <r>
    <x v="0"/>
    <x v="0"/>
    <x v="0"/>
    <x v="3"/>
    <x v="5"/>
    <s v="DE4-N_A"/>
    <x v="0"/>
    <s v="GNR_ST_BGAS_BP_E-38"/>
    <n v="0.250285714285714"/>
    <n v="0.90102857142857096"/>
  </r>
  <r>
    <x v="0"/>
    <x v="0"/>
    <x v="0"/>
    <x v="3"/>
    <x v="5"/>
    <s v="DE4-N_A"/>
    <x v="3"/>
    <s v="GNR_BO_MSW_E-80"/>
    <n v="2.7155999999999999E-3"/>
    <n v="9.7761600000000008E-3"/>
  </r>
  <r>
    <x v="0"/>
    <x v="0"/>
    <x v="0"/>
    <x v="3"/>
    <x v="5"/>
    <s v="DE4-N_A"/>
    <x v="3"/>
    <s v="GNR_ST_MSW_BP_E-33"/>
    <n v="1.21436008802844"/>
    <n v="4.3716963169024003"/>
  </r>
  <r>
    <x v="0"/>
    <x v="0"/>
    <x v="0"/>
    <x v="3"/>
    <x v="5"/>
    <s v="DE4-N_A"/>
    <x v="4"/>
    <s v="GNR_CC_NGAS_BP_E-57"/>
    <n v="0.92710000000000004"/>
    <n v="3.3375599999999999"/>
  </r>
  <r>
    <x v="0"/>
    <x v="0"/>
    <x v="0"/>
    <x v="3"/>
    <x v="6"/>
    <s v="DE4-S_A"/>
    <x v="0"/>
    <s v="GNR_ENG_BGAS_BP_E-45"/>
    <n v="0.50594341463414605"/>
    <n v="1.8213962926829299"/>
  </r>
  <r>
    <x v="0"/>
    <x v="0"/>
    <x v="0"/>
    <x v="3"/>
    <x v="6"/>
    <s v="DE4-S_A"/>
    <x v="0"/>
    <s v="GNR_ST_BGAS_BP_E-38"/>
    <n v="3.2687314285714302"/>
    <n v="11.767433142857101"/>
  </r>
  <r>
    <x v="0"/>
    <x v="0"/>
    <x v="0"/>
    <x v="3"/>
    <x v="6"/>
    <s v="DE4-S_A"/>
    <x v="3"/>
    <s v="GNR_ST_MSW_BP_E-33"/>
    <n v="11.844453639087201"/>
    <n v="42.6400331007139"/>
  </r>
  <r>
    <x v="0"/>
    <x v="0"/>
    <x v="0"/>
    <x v="3"/>
    <x v="7"/>
    <s v="DE4-W_A"/>
    <x v="0"/>
    <s v="GNR_BO_BGAS_E-80"/>
    <n v="1.1388000000000001E-2"/>
    <n v="4.09968E-2"/>
  </r>
  <r>
    <x v="0"/>
    <x v="0"/>
    <x v="0"/>
    <x v="3"/>
    <x v="7"/>
    <s v="DE4-W_A"/>
    <x v="0"/>
    <s v="GNR_ENG_BGAS_BP_E-45"/>
    <n v="0.187912682926829"/>
    <n v="0.67648565853658504"/>
  </r>
  <r>
    <x v="0"/>
    <x v="0"/>
    <x v="0"/>
    <x v="3"/>
    <x v="7"/>
    <s v="DE4-W_A"/>
    <x v="0"/>
    <s v="GNR_ST_BGAS_BP_E-33"/>
    <n v="0.41797714285714299"/>
    <n v="1.50471771428571"/>
  </r>
  <r>
    <x v="0"/>
    <x v="0"/>
    <x v="0"/>
    <x v="3"/>
    <x v="7"/>
    <s v="DE4-W_A"/>
    <x v="0"/>
    <s v="GNR_ST_BGAS_BP_E-38"/>
    <n v="1.6806685714285701"/>
    <n v="6.0504068571428604"/>
  </r>
  <r>
    <x v="0"/>
    <x v="0"/>
    <x v="0"/>
    <x v="3"/>
    <x v="7"/>
    <s v="DE4-W_A"/>
    <x v="3"/>
    <s v="GNR_BO_MSW_E-80"/>
    <n v="3.8193600000000001E-2"/>
    <n v="0.13749696"/>
  </r>
  <r>
    <x v="0"/>
    <x v="0"/>
    <x v="0"/>
    <x v="3"/>
    <x v="7"/>
    <s v="DE4-W_A"/>
    <x v="3"/>
    <s v="GNR_ST_MSW_BP_E-33"/>
    <n v="17.1520957799335"/>
    <n v="61.747544807760399"/>
  </r>
  <r>
    <x v="0"/>
    <x v="0"/>
    <x v="0"/>
    <x v="3"/>
    <x v="7"/>
    <s v="DE4-W_A"/>
    <x v="4"/>
    <s v="GNR_CC_NGAS_BP_E-55"/>
    <n v="1.3748561135955299"/>
    <n v="4.9494820089439102"/>
  </r>
  <r>
    <x v="0"/>
    <x v="0"/>
    <x v="0"/>
    <x v="4"/>
    <x v="8"/>
    <s v="LV_Other_DH"/>
    <x v="0"/>
    <s v="GNR_GT_BGAS_BP_E-30"/>
    <n v="1.0649411764705901"/>
    <n v="3.8337882352941199"/>
  </r>
  <r>
    <x v="0"/>
    <x v="0"/>
    <x v="0"/>
    <x v="4"/>
    <x v="8"/>
    <s v="LV_Other_DH"/>
    <x v="10"/>
    <s v="GNR_ST_WOOD_BP_E-30"/>
    <n v="0.92752941176470505"/>
    <n v="3.33910588235294"/>
  </r>
  <r>
    <x v="0"/>
    <x v="0"/>
    <x v="0"/>
    <x v="5"/>
    <x v="9"/>
    <s v="LT_KauU"/>
    <x v="3"/>
    <s v="KAUNAS_ST_MSW_BP"/>
    <n v="0.595681985606619"/>
    <n v="2.1444551481838299"/>
  </r>
  <r>
    <x v="0"/>
    <x v="0"/>
    <x v="0"/>
    <x v="5"/>
    <x v="9"/>
    <s v="LT_KlaU"/>
    <x v="10"/>
    <s v="KLAIPEDA_ST_WOOD_BP"/>
    <n v="1.1711386515862501"/>
    <n v="4.2160991457105004"/>
  </r>
  <r>
    <x v="0"/>
    <x v="0"/>
    <x v="0"/>
    <x v="5"/>
    <x v="9"/>
    <s v="LT_Other_DH"/>
    <x v="2"/>
    <s v="LIFOSA_ST_HEAT_BP"/>
    <n v="0.438"/>
    <n v="1.5768"/>
  </r>
  <r>
    <x v="0"/>
    <x v="0"/>
    <x v="0"/>
    <x v="5"/>
    <x v="9"/>
    <s v="LT_Other_DH"/>
    <x v="9"/>
    <s v="EBAVERE_ST_WOODWST_BP"/>
    <n v="0.23974736842105299"/>
    <n v="0.86309052631578997"/>
  </r>
  <r>
    <x v="0"/>
    <x v="0"/>
    <x v="0"/>
    <x v="5"/>
    <x v="9"/>
    <s v="LT_SiaU"/>
    <x v="10"/>
    <s v="SIAULIAI_ST_WOOD_BP"/>
    <n v="0.32623448275862099"/>
    <n v="1.17444413793103"/>
  </r>
  <r>
    <x v="0"/>
    <x v="0"/>
    <x v="0"/>
    <x v="5"/>
    <x v="9"/>
    <s v="LT_VilU"/>
    <x v="3"/>
    <s v="VILNIUS_ST_MSW_BP"/>
    <n v="1.98850206025315"/>
    <n v="7.1586074169113401"/>
  </r>
  <r>
    <x v="0"/>
    <x v="0"/>
    <x v="0"/>
    <x v="5"/>
    <x v="9"/>
    <s v="LT_VilU"/>
    <x v="10"/>
    <s v="VILNIUS_ST_WOOD_BP"/>
    <n v="0.54749999999999999"/>
    <n v="1.9710000000000001"/>
  </r>
  <r>
    <x v="0"/>
    <x v="0"/>
    <x v="0"/>
    <x v="6"/>
    <x v="10"/>
    <s v="NO1_A1"/>
    <x v="2"/>
    <s v="GNR_HS_HEAT_WTR-TANK_LS_E-95_Y-2010"/>
    <n v="1.5145733676969499E-2"/>
    <n v="5.45246412370902E-2"/>
  </r>
  <r>
    <x v="0"/>
    <x v="0"/>
    <x v="0"/>
    <x v="6"/>
    <x v="10"/>
    <s v="NO1_A1"/>
    <x v="3"/>
    <s v="GBPR_MUNIWASTE"/>
    <n v="0.23171612903225799"/>
    <n v="0.83417806451612897"/>
  </r>
  <r>
    <x v="0"/>
    <x v="0"/>
    <x v="0"/>
    <x v="6"/>
    <x v="10"/>
    <s v="NO1_A1"/>
    <x v="3"/>
    <s v="GHOB_MUNIWASTE"/>
    <n v="6.5209439999999994E-2"/>
    <n v="0.234753984"/>
  </r>
  <r>
    <x v="0"/>
    <x v="0"/>
    <x v="0"/>
    <x v="6"/>
    <x v="10"/>
    <s v="NO1_A1"/>
    <x v="6"/>
    <s v="GHOB_WASTEHEAT"/>
    <n v="2.5974162087911999E-2"/>
    <n v="9.3506983516483094E-2"/>
  </r>
  <r>
    <x v="0"/>
    <x v="0"/>
    <x v="0"/>
    <x v="6"/>
    <x v="10"/>
    <s v="NO1_A1"/>
    <x v="7"/>
    <s v="GHOB_WOODCHIPS"/>
    <n v="0.51951241275756499"/>
    <n v="1.8702446859272399"/>
  </r>
  <r>
    <x v="0"/>
    <x v="0"/>
    <x v="0"/>
    <x v="6"/>
    <x v="10"/>
    <s v="NO1_A1"/>
    <x v="9"/>
    <s v="GHOB_WOODWASTE"/>
    <n v="0.46428000000000003"/>
    <n v="1.671408"/>
  </r>
  <r>
    <x v="0"/>
    <x v="0"/>
    <x v="0"/>
    <x v="6"/>
    <x v="10"/>
    <s v="NO1_A2"/>
    <x v="1"/>
    <s v="GHOB_BIOOIL"/>
    <n v="0.44784587096774597"/>
    <n v="1.61224513548388"/>
  </r>
  <r>
    <x v="0"/>
    <x v="0"/>
    <x v="0"/>
    <x v="6"/>
    <x v="10"/>
    <s v="NO1_A2"/>
    <x v="3"/>
    <s v="GBPR_MUNIWASTE"/>
    <n v="0.31347612903225403"/>
    <n v="1.12851406451612"/>
  </r>
  <r>
    <x v="0"/>
    <x v="0"/>
    <x v="0"/>
    <x v="6"/>
    <x v="10"/>
    <s v="NO1_A2"/>
    <x v="3"/>
    <s v="GHOB_MUNIWASTE"/>
    <n v="0.28032000000000001"/>
    <n v="1.009152"/>
  </r>
  <r>
    <x v="0"/>
    <x v="0"/>
    <x v="0"/>
    <x v="6"/>
    <x v="10"/>
    <s v="NO1_A2"/>
    <x v="8"/>
    <s v="GHOB_WOODPELLETS"/>
    <n v="0.49056"/>
    <n v="1.766016"/>
  </r>
  <r>
    <x v="0"/>
    <x v="0"/>
    <x v="0"/>
    <x v="6"/>
    <x v="10"/>
    <s v="NO1_A2"/>
    <x v="9"/>
    <s v="GHOB_WOODWASTE"/>
    <n v="0.14016000000000001"/>
    <n v="0.50457600000000002"/>
  </r>
  <r>
    <x v="0"/>
    <x v="0"/>
    <x v="0"/>
    <x v="6"/>
    <x v="11"/>
    <s v="NO2_A1"/>
    <x v="2"/>
    <s v="GNR_HS_HEAT_WTR-TANK_LS_E-95_Y-2010"/>
    <n v="2.4374705998737602E-3"/>
    <n v="8.7748941595455297E-3"/>
  </r>
  <r>
    <x v="0"/>
    <x v="0"/>
    <x v="0"/>
    <x v="6"/>
    <x v="11"/>
    <s v="NO2_A1"/>
    <x v="3"/>
    <s v="GBPR_MUNIWASTE"/>
    <n v="0.30518709677419398"/>
    <n v="1.0986735483871"/>
  </r>
  <r>
    <x v="0"/>
    <x v="0"/>
    <x v="0"/>
    <x v="6"/>
    <x v="11"/>
    <s v="NO2_A1"/>
    <x v="6"/>
    <s v="GHOB_WASTEHEAT"/>
    <n v="3.7727902169053001E-2"/>
    <n v="0.13582044780859101"/>
  </r>
  <r>
    <x v="0"/>
    <x v="0"/>
    <x v="0"/>
    <x v="6"/>
    <x v="11"/>
    <s v="NO2_A1"/>
    <x v="9"/>
    <s v="GHOB_WOODWASTE"/>
    <n v="4.3752288983062597E-2"/>
    <n v="0.157508240339025"/>
  </r>
  <r>
    <x v="0"/>
    <x v="0"/>
    <x v="0"/>
    <x v="6"/>
    <x v="12"/>
    <s v="NO3_A1"/>
    <x v="2"/>
    <s v="GNR_HS_HEAT_WTR-TANK_LS_E-95_Y-2010"/>
    <n v="9.5092503774834702E-3"/>
    <n v="3.4233301358940503E-2"/>
  </r>
  <r>
    <x v="0"/>
    <x v="0"/>
    <x v="0"/>
    <x v="6"/>
    <x v="12"/>
    <s v="NO3_A1"/>
    <x v="3"/>
    <s v="GBPR_MUNIWASTE"/>
    <n v="0.12122709677419399"/>
    <n v="0.43641754838709701"/>
  </r>
  <r>
    <x v="0"/>
    <x v="0"/>
    <x v="0"/>
    <x v="6"/>
    <x v="12"/>
    <s v="NO3_A1"/>
    <x v="6"/>
    <s v="GHOB_WASTEHEAT"/>
    <n v="3.7702293956043798E-2"/>
    <n v="0.13572825824175799"/>
  </r>
  <r>
    <x v="0"/>
    <x v="0"/>
    <x v="0"/>
    <x v="6"/>
    <x v="12"/>
    <s v="NO3_A1"/>
    <x v="7"/>
    <s v="GHOB_WOODCHIPS"/>
    <n v="6.2676096131735498E-2"/>
    <n v="0.225633946074248"/>
  </r>
  <r>
    <x v="0"/>
    <x v="0"/>
    <x v="0"/>
    <x v="6"/>
    <x v="12"/>
    <s v="NO3_A2"/>
    <x v="2"/>
    <s v="GNR_HS_HEAT_WTR-TANK_LS_E-95_Y-2010"/>
    <n v="4.6059253375673202E-2"/>
    <n v="0.16581331215242401"/>
  </r>
  <r>
    <x v="0"/>
    <x v="0"/>
    <x v="0"/>
    <x v="6"/>
    <x v="12"/>
    <s v="NO3_A2"/>
    <x v="3"/>
    <s v="GHOB_MUNIWASTE"/>
    <n v="0.61319999999999997"/>
    <n v="2.2075200000000001"/>
  </r>
  <r>
    <x v="0"/>
    <x v="0"/>
    <x v="0"/>
    <x v="6"/>
    <x v="12"/>
    <s v="NO3_A2"/>
    <x v="7"/>
    <s v="GHOB_WOODCHIPS"/>
    <n v="1.1460171230298501E-2"/>
    <n v="4.1256616429074799E-2"/>
  </r>
  <r>
    <x v="0"/>
    <x v="0"/>
    <x v="0"/>
    <x v="6"/>
    <x v="13"/>
    <s v="NO4_A1"/>
    <x v="2"/>
    <s v="GNR_HS_HEAT_WTR-TANK_LS_E-95_Y-2010"/>
    <n v="1.41546681299821E-2"/>
    <n v="5.0956805267935702E-2"/>
  </r>
  <r>
    <x v="0"/>
    <x v="0"/>
    <x v="0"/>
    <x v="6"/>
    <x v="13"/>
    <s v="NO4_A1"/>
    <x v="3"/>
    <s v="GBPR_MUNIWASTE"/>
    <n v="4.6998812903225797E-3"/>
    <n v="1.69195726451613E-2"/>
  </r>
  <r>
    <x v="0"/>
    <x v="0"/>
    <x v="0"/>
    <x v="6"/>
    <x v="13"/>
    <s v="NO4_A1"/>
    <x v="3"/>
    <s v="GHOB_MUNIWASTE"/>
    <n v="0.14016000000000001"/>
    <n v="0.50457600000000002"/>
  </r>
  <r>
    <x v="0"/>
    <x v="0"/>
    <x v="0"/>
    <x v="6"/>
    <x v="13"/>
    <s v="NO4_A1"/>
    <x v="6"/>
    <s v="GHOB_WASTEHEAT"/>
    <n v="8.7987060439560102E-2"/>
    <n v="0.31675341758241599"/>
  </r>
  <r>
    <x v="0"/>
    <x v="0"/>
    <x v="0"/>
    <x v="6"/>
    <x v="13"/>
    <s v="NO4_A1"/>
    <x v="7"/>
    <s v="GHOB_WOODCHIPS"/>
    <n v="1.3868040803274299E-2"/>
    <n v="4.99249468917876E-2"/>
  </r>
  <r>
    <x v="0"/>
    <x v="0"/>
    <x v="0"/>
    <x v="6"/>
    <x v="14"/>
    <s v="NO5_A1"/>
    <x v="12"/>
    <s v="GETOH_HEATPUMP"/>
    <n v="6.5700000000000003E-3"/>
    <n v="2.3651999999999999E-2"/>
  </r>
  <r>
    <x v="0"/>
    <x v="0"/>
    <x v="0"/>
    <x v="6"/>
    <x v="14"/>
    <s v="NO5_A1"/>
    <x v="14"/>
    <s v="GHOB_LPG"/>
    <n v="6.7158483870967706E-2"/>
    <n v="0.241770541935484"/>
  </r>
  <r>
    <x v="0"/>
    <x v="0"/>
    <x v="0"/>
    <x v="6"/>
    <x v="14"/>
    <s v="NO5_A1"/>
    <x v="3"/>
    <s v="GBPR_MUNIWASTE"/>
    <n v="0.226064516129032"/>
    <n v="0.81383225806451598"/>
  </r>
  <r>
    <x v="0"/>
    <x v="0"/>
    <x v="0"/>
    <x v="7"/>
    <x v="15"/>
    <s v="PL_A"/>
    <x v="3"/>
    <s v="GNR_ST_MSW_BP_E-15"/>
    <n v="1.4892000000000001"/>
    <n v="5.3611199999999997"/>
  </r>
  <r>
    <x v="0"/>
    <x v="0"/>
    <x v="0"/>
    <x v="7"/>
    <x v="15"/>
    <s v="PL_A"/>
    <x v="4"/>
    <s v="NOWA-1_ST_NGAS_BP"/>
    <n v="0.97345499999999996"/>
    <n v="3.5044379999999999"/>
  </r>
  <r>
    <x v="0"/>
    <x v="0"/>
    <x v="0"/>
    <x v="7"/>
    <x v="15"/>
    <s v="PL_A"/>
    <x v="4"/>
    <s v="RZES-2_ST_NGAS_BP"/>
    <n v="0.24528"/>
    <n v="0.88300800000000002"/>
  </r>
  <r>
    <x v="0"/>
    <x v="0"/>
    <x v="0"/>
    <x v="7"/>
    <x v="15"/>
    <s v="PL_A"/>
    <x v="4"/>
    <s v="ZIEL-1_ST_NGAS_BP"/>
    <n v="8.0299999999999996E-2"/>
    <n v="0.28908"/>
  </r>
  <r>
    <x v="0"/>
    <x v="0"/>
    <x v="0"/>
    <x v="7"/>
    <x v="15"/>
    <s v="PL_A"/>
    <x v="4"/>
    <s v="ZIEL-3_ST_NGAS_BP"/>
    <n v="0.92912899286987605"/>
    <n v="3.3448643743315598"/>
  </r>
  <r>
    <x v="0"/>
    <x v="0"/>
    <x v="0"/>
    <x v="7"/>
    <x v="15"/>
    <s v="PL_A"/>
    <x v="5"/>
    <s v="BIAL-1_ST_STRAW_BP"/>
    <n v="2.8031999999999999"/>
    <n v="10.091519999999999"/>
  </r>
  <r>
    <x v="0"/>
    <x v="0"/>
    <x v="0"/>
    <x v="7"/>
    <x v="15"/>
    <s v="PL_A"/>
    <x v="5"/>
    <s v="GNR_BO_STRAW_HO_E-100"/>
    <n v="50.1832119238316"/>
    <n v="180.65956292579401"/>
  </r>
  <r>
    <x v="0"/>
    <x v="0"/>
    <x v="0"/>
    <x v="7"/>
    <x v="15"/>
    <s v="PL_A"/>
    <x v="5"/>
    <s v="GNR_ST_STRAW_BP_E-15"/>
    <n v="3.5916000000000001"/>
    <n v="12.92976"/>
  </r>
  <r>
    <x v="0"/>
    <x v="0"/>
    <x v="0"/>
    <x v="7"/>
    <x v="15"/>
    <s v="PL_A"/>
    <x v="10"/>
    <s v="GNR_BO_WOOD_HO_E-100"/>
    <n v="0.92068246561461198"/>
    <n v="3.3144568762126001"/>
  </r>
  <r>
    <x v="0"/>
    <x v="0"/>
    <x v="0"/>
    <x v="8"/>
    <x v="16"/>
    <s v="SE1A"/>
    <x v="10"/>
    <s v="GBPR_IND_BIO"/>
    <n v="2.5682727272727299"/>
    <n v="9.2457818181818094"/>
  </r>
  <r>
    <x v="0"/>
    <x v="0"/>
    <x v="0"/>
    <x v="8"/>
    <x v="16"/>
    <s v="SE1_EL"/>
    <x v="3"/>
    <s v="GBPR_MUNIWASTE"/>
    <n v="0.111188463661287"/>
    <n v="0.40027846918063498"/>
  </r>
  <r>
    <x v="0"/>
    <x v="0"/>
    <x v="0"/>
    <x v="8"/>
    <x v="16"/>
    <s v="SE1_EL"/>
    <x v="6"/>
    <s v="GHOB_WASTEHEAT"/>
    <n v="1.0020238276214899"/>
    <n v="3.6072857794373698"/>
  </r>
  <r>
    <x v="0"/>
    <x v="0"/>
    <x v="0"/>
    <x v="8"/>
    <x v="16"/>
    <s v="SE1_EL"/>
    <x v="9"/>
    <s v="GBPR_WOODWASTE_25"/>
    <n v="7.8920708717221705E-2"/>
    <n v="0.28411455138199798"/>
  </r>
  <r>
    <x v="0"/>
    <x v="0"/>
    <x v="0"/>
    <x v="8"/>
    <x v="16"/>
    <s v="SE1_OTHER"/>
    <x v="2"/>
    <s v="GNR_HS_HEAT_WTR-TANK_LS_E-95_Y-2010"/>
    <n v="3.9510092217894199E-2"/>
    <n v="0.14223633198441901"/>
  </r>
  <r>
    <x v="0"/>
    <x v="0"/>
    <x v="0"/>
    <x v="8"/>
    <x v="16"/>
    <s v="SE1_OTHER"/>
    <x v="6"/>
    <s v="GHOB_WASTEHEAT"/>
    <n v="0.31385989010988902"/>
    <n v="1.1298956043956001"/>
  </r>
  <r>
    <x v="0"/>
    <x v="0"/>
    <x v="0"/>
    <x v="8"/>
    <x v="16"/>
    <s v="SE1_OTHER"/>
    <x v="7"/>
    <s v="GBPR_WOODCHIPS_25"/>
    <n v="0.101091934150613"/>
    <n v="0.363930962942207"/>
  </r>
  <r>
    <x v="0"/>
    <x v="0"/>
    <x v="0"/>
    <x v="8"/>
    <x v="16"/>
    <s v="SE1_OTHER"/>
    <x v="9"/>
    <s v="GBPR_WOODWASTE"/>
    <n v="0.50440231403060498"/>
    <n v="1.81584833051018"/>
  </r>
  <r>
    <x v="0"/>
    <x v="0"/>
    <x v="0"/>
    <x v="8"/>
    <x v="16"/>
    <s v="SE1_OTHER"/>
    <x v="9"/>
    <s v="GHOB_WOODWASTE"/>
    <n v="0.175895340246677"/>
    <n v="0.63322322488803695"/>
  </r>
  <r>
    <x v="0"/>
    <x v="0"/>
    <x v="0"/>
    <x v="8"/>
    <x v="17"/>
    <s v="SE2A"/>
    <x v="10"/>
    <s v="GBPR_IND_BIO"/>
    <n v="7.2608454545454597"/>
    <n v="26.139043636363599"/>
  </r>
  <r>
    <x v="0"/>
    <x v="0"/>
    <x v="0"/>
    <x v="8"/>
    <x v="17"/>
    <s v="SE2_EL"/>
    <x v="2"/>
    <s v="GNR_HS_HEAT_WTR-TANK_LS_E-95_Y-2010"/>
    <n v="15.716278117684899"/>
    <n v="56.578601223665501"/>
  </r>
  <r>
    <x v="0"/>
    <x v="0"/>
    <x v="0"/>
    <x v="8"/>
    <x v="17"/>
    <s v="SE2_EL"/>
    <x v="3"/>
    <s v="GBPR_MUNIWASTE_24"/>
    <n v="1.5229946022176599"/>
    <n v="5.4827805679835704"/>
  </r>
  <r>
    <x v="0"/>
    <x v="0"/>
    <x v="0"/>
    <x v="8"/>
    <x v="17"/>
    <s v="SE2_EL"/>
    <x v="7"/>
    <s v="GBPR_WOODCHIPS_37"/>
    <n v="0.23132425365301201"/>
    <n v="0.83276731315084496"/>
  </r>
  <r>
    <x v="0"/>
    <x v="0"/>
    <x v="0"/>
    <x v="8"/>
    <x v="17"/>
    <s v="SE2_EL"/>
    <x v="9"/>
    <s v="GBPR_WOODWASTE_25"/>
    <n v="1.6207786766390599"/>
    <n v="5.8348032359006101"/>
  </r>
  <r>
    <x v="0"/>
    <x v="0"/>
    <x v="0"/>
    <x v="8"/>
    <x v="17"/>
    <s v="SE2_OTHER"/>
    <x v="3"/>
    <s v="GBPR_MUNIWASTE_24"/>
    <n v="0.11544202650156001"/>
    <n v="0.41559129540561601"/>
  </r>
  <r>
    <x v="0"/>
    <x v="0"/>
    <x v="0"/>
    <x v="8"/>
    <x v="17"/>
    <s v="SE2_OTHER"/>
    <x v="6"/>
    <s v="GHOB_WASTEHEAT"/>
    <n v="0.13128808170756701"/>
    <n v="0.47263709414724198"/>
  </r>
  <r>
    <x v="0"/>
    <x v="0"/>
    <x v="0"/>
    <x v="8"/>
    <x v="17"/>
    <s v="SE2_OTHER"/>
    <x v="7"/>
    <s v="GBPR_WOODCHIPS_37"/>
    <n v="0.18214762910020399"/>
    <n v="0.65573146476073296"/>
  </r>
  <r>
    <x v="0"/>
    <x v="0"/>
    <x v="0"/>
    <x v="8"/>
    <x v="17"/>
    <s v="SE2_OTHER"/>
    <x v="9"/>
    <s v="GBPR_WOODWASTE_36"/>
    <n v="1.0603717064049301"/>
    <n v="3.81733814305773"/>
  </r>
  <r>
    <x v="0"/>
    <x v="0"/>
    <x v="0"/>
    <x v="8"/>
    <x v="17"/>
    <s v="SE2_OTHER"/>
    <x v="9"/>
    <s v="GHOB_WOODWASTE"/>
    <n v="0.29533455628574201"/>
    <n v="1.06320440262867"/>
  </r>
  <r>
    <x v="0"/>
    <x v="0"/>
    <x v="0"/>
    <x v="8"/>
    <x v="18"/>
    <s v="SE3A"/>
    <x v="10"/>
    <s v="GBPR_IND_BIO"/>
    <n v="11.304381818181801"/>
    <n v="40.695774545454597"/>
  </r>
  <r>
    <x v="0"/>
    <x v="0"/>
    <x v="0"/>
    <x v="8"/>
    <x v="18"/>
    <s v="SE3_EL"/>
    <x v="2"/>
    <s v="GNR_HS_HEAT_WTR-TANK_LS_E-95_Y-2010"/>
    <n v="0.677775724713085"/>
    <n v="2.4399926089671098"/>
  </r>
  <r>
    <x v="0"/>
    <x v="0"/>
    <x v="0"/>
    <x v="8"/>
    <x v="18"/>
    <s v="SE3_EL"/>
    <x v="3"/>
    <s v="GBPR_MUNIWASTE_24"/>
    <n v="1.68710478034157"/>
    <n v="6.0735772092296401"/>
  </r>
  <r>
    <x v="0"/>
    <x v="0"/>
    <x v="0"/>
    <x v="8"/>
    <x v="18"/>
    <s v="SE3_EL"/>
    <x v="3"/>
    <s v="GBPR_MUNIWASTE_LINK"/>
    <n v="1.6493779061340299"/>
    <n v="5.9377604620825197"/>
  </r>
  <r>
    <x v="0"/>
    <x v="0"/>
    <x v="0"/>
    <x v="8"/>
    <x v="18"/>
    <s v="SE3_EL"/>
    <x v="3"/>
    <s v="GHOB_MUNIWASTE"/>
    <n v="1.55757335680091"/>
    <n v="5.6072640844832602"/>
  </r>
  <r>
    <x v="0"/>
    <x v="0"/>
    <x v="0"/>
    <x v="8"/>
    <x v="18"/>
    <s v="SE3_EL"/>
    <x v="15"/>
    <s v="GBPR_RECYCLEDWOOD_SE3EL"/>
    <n v="1.19882637509152"/>
    <n v="4.3157749503294696"/>
  </r>
  <r>
    <x v="0"/>
    <x v="0"/>
    <x v="0"/>
    <x v="8"/>
    <x v="18"/>
    <s v="SE3_EL"/>
    <x v="15"/>
    <s v="GHOB_RECYCLEDWOOD"/>
    <n v="7.3138200191022296E-2"/>
    <n v="0.26329752068767998"/>
  </r>
  <r>
    <x v="0"/>
    <x v="0"/>
    <x v="0"/>
    <x v="8"/>
    <x v="18"/>
    <s v="SE3_EL"/>
    <x v="6"/>
    <s v="GHOB_WASTEHEAT"/>
    <n v="0.23845329670329601"/>
    <n v="0.85843186813186501"/>
  </r>
  <r>
    <x v="0"/>
    <x v="0"/>
    <x v="0"/>
    <x v="8"/>
    <x v="18"/>
    <s v="SE3_EL"/>
    <x v="7"/>
    <s v="GBPR_WOODCHIPS_25"/>
    <n v="0.53550924051341497"/>
    <n v="1.92783326584829"/>
  </r>
  <r>
    <x v="0"/>
    <x v="0"/>
    <x v="0"/>
    <x v="8"/>
    <x v="18"/>
    <s v="SE3_EL"/>
    <x v="9"/>
    <s v="GBPR_WOODWASTE_25"/>
    <n v="1.8950525489317001"/>
    <n v="6.8221891761541196"/>
  </r>
  <r>
    <x v="0"/>
    <x v="0"/>
    <x v="0"/>
    <x v="8"/>
    <x v="18"/>
    <s v="SE3_EL"/>
    <x v="9"/>
    <s v="GBPR_WOODWASTE_ABY"/>
    <n v="0.79188681751313095"/>
    <n v="2.85079254304727"/>
  </r>
  <r>
    <x v="0"/>
    <x v="0"/>
    <x v="0"/>
    <x v="8"/>
    <x v="18"/>
    <s v="SE3_EL"/>
    <x v="9"/>
    <s v="GHOB_WOODWASTE"/>
    <n v="0.500187884343258"/>
    <n v="1.80067638363573"/>
  </r>
  <r>
    <x v="0"/>
    <x v="0"/>
    <x v="0"/>
    <x v="8"/>
    <x v="18"/>
    <s v="SE3_GOT"/>
    <x v="2"/>
    <s v="GNR_HS_HEAT_WTR-TANK_LS_E-95_Y-2010"/>
    <n v="0.232869485235807"/>
    <n v="0.83833014684890494"/>
  </r>
  <r>
    <x v="0"/>
    <x v="0"/>
    <x v="0"/>
    <x v="8"/>
    <x v="18"/>
    <s v="SE3_GOT"/>
    <x v="3"/>
    <s v="GBPR_MUNIWASTE_24"/>
    <n v="1.4819"/>
    <n v="5.3348399999999998"/>
  </r>
  <r>
    <x v="0"/>
    <x v="0"/>
    <x v="0"/>
    <x v="8"/>
    <x v="18"/>
    <s v="SE3_GOT"/>
    <x v="6"/>
    <s v="GHOB_WASTEHEAT"/>
    <n v="1.03583791208791"/>
    <n v="3.7290164835164701"/>
  </r>
  <r>
    <x v="0"/>
    <x v="0"/>
    <x v="0"/>
    <x v="8"/>
    <x v="18"/>
    <s v="SE3_GOT"/>
    <x v="8"/>
    <s v="GHOB_WOODPELLETS"/>
    <n v="0.90206945701356001"/>
    <n v="3.24745004524882"/>
  </r>
  <r>
    <x v="0"/>
    <x v="0"/>
    <x v="0"/>
    <x v="8"/>
    <x v="18"/>
    <s v="SE3_GOT"/>
    <x v="9"/>
    <s v="GBPR_WOODWASTE_GOT"/>
    <n v="0.68776791959515304"/>
    <n v="2.4759645105425498"/>
  </r>
  <r>
    <x v="0"/>
    <x v="0"/>
    <x v="0"/>
    <x v="8"/>
    <x v="18"/>
    <s v="SE3_HP"/>
    <x v="1"/>
    <s v="GHOB_BIOOIL"/>
    <n v="4.0936590004076498E-2"/>
    <n v="0.14737172401467499"/>
  </r>
  <r>
    <x v="0"/>
    <x v="0"/>
    <x v="0"/>
    <x v="8"/>
    <x v="18"/>
    <s v="SE3_HP"/>
    <x v="2"/>
    <s v="GNR_HS_HEAT_WTR-TANK_LS_E-95_Y-2010"/>
    <n v="0.230816070142116"/>
    <n v="0.830937852511619"/>
  </r>
  <r>
    <x v="0"/>
    <x v="0"/>
    <x v="0"/>
    <x v="8"/>
    <x v="18"/>
    <s v="SE3_HP"/>
    <x v="3"/>
    <s v="GBPR_MUNIWASTE_24"/>
    <n v="1.21066777581608"/>
    <n v="4.3584039929378999"/>
  </r>
  <r>
    <x v="0"/>
    <x v="0"/>
    <x v="0"/>
    <x v="8"/>
    <x v="18"/>
    <s v="SE3_HP"/>
    <x v="6"/>
    <s v="GHOB_WASTEHEAT"/>
    <n v="3.0082417582417501E-5"/>
    <n v="1.08296703296703E-4"/>
  </r>
  <r>
    <x v="0"/>
    <x v="0"/>
    <x v="0"/>
    <x v="8"/>
    <x v="18"/>
    <s v="SE3_HP"/>
    <x v="7"/>
    <s v="GBPR_WOODCHIPS_08"/>
    <n v="5.6403225062573802E-2"/>
    <n v="0.20305161022526599"/>
  </r>
  <r>
    <x v="0"/>
    <x v="0"/>
    <x v="0"/>
    <x v="8"/>
    <x v="18"/>
    <s v="SE3_HP"/>
    <x v="7"/>
    <s v="GHOB_WOODCHIPS"/>
    <n v="0.11388"/>
    <n v="0.409968"/>
  </r>
  <r>
    <x v="0"/>
    <x v="0"/>
    <x v="0"/>
    <x v="8"/>
    <x v="18"/>
    <s v="SE3_HP"/>
    <x v="8"/>
    <s v="GHOB_WOODPELLETS"/>
    <n v="1.7538396000000001"/>
    <n v="6.3138225600000002"/>
  </r>
  <r>
    <x v="0"/>
    <x v="0"/>
    <x v="0"/>
    <x v="8"/>
    <x v="18"/>
    <s v="SE3_HP"/>
    <x v="9"/>
    <s v="GBPR_WOODWASTE_36"/>
    <n v="0.60330472854641004"/>
    <n v="2.17189702276707"/>
  </r>
  <r>
    <x v="0"/>
    <x v="0"/>
    <x v="0"/>
    <x v="8"/>
    <x v="18"/>
    <s v="SE3_HP"/>
    <x v="9"/>
    <s v="GHOB_WOODWASTE"/>
    <n v="0.152438212371278"/>
    <n v="0.54877756453660198"/>
  </r>
  <r>
    <x v="0"/>
    <x v="0"/>
    <x v="0"/>
    <x v="8"/>
    <x v="18"/>
    <s v="SE3_OTHER"/>
    <x v="2"/>
    <s v="GNR_HS_HEAT_WTR-TANK_LS_E-95_Y-2010"/>
    <n v="7.5803668311837893E-2"/>
    <n v="0.27289320592261601"/>
  </r>
  <r>
    <x v="0"/>
    <x v="0"/>
    <x v="0"/>
    <x v="8"/>
    <x v="18"/>
    <s v="SE3_OTHER"/>
    <x v="3"/>
    <s v="GBPR_MUNIWASTE_24"/>
    <n v="1.0554889772443601"/>
    <n v="3.7997603180796902"/>
  </r>
  <r>
    <x v="0"/>
    <x v="0"/>
    <x v="0"/>
    <x v="8"/>
    <x v="18"/>
    <s v="SE3_OTHER"/>
    <x v="3"/>
    <s v="GHOB_MUNIWASTE"/>
    <n v="0.681495537054155"/>
    <n v="2.4533839333949601"/>
  </r>
  <r>
    <x v="0"/>
    <x v="0"/>
    <x v="0"/>
    <x v="8"/>
    <x v="18"/>
    <s v="SE3_OTHER"/>
    <x v="15"/>
    <s v="GBPR_RECYCLEDWOOD_SE3OTHER"/>
    <n v="1.0918672304993899"/>
    <n v="3.9307220297978001"/>
  </r>
  <r>
    <x v="0"/>
    <x v="0"/>
    <x v="0"/>
    <x v="8"/>
    <x v="18"/>
    <s v="SE3_OTHER"/>
    <x v="6"/>
    <s v="GHOB_WASTEHEAT"/>
    <n v="1.1178602947223699"/>
    <n v="4.0242970610005502"/>
  </r>
  <r>
    <x v="0"/>
    <x v="0"/>
    <x v="0"/>
    <x v="8"/>
    <x v="18"/>
    <s v="SE3_OTHER"/>
    <x v="7"/>
    <s v="GBPR_WOODCHIPS_25"/>
    <n v="0.49760787004233598"/>
    <n v="1.79138833215241"/>
  </r>
  <r>
    <x v="0"/>
    <x v="0"/>
    <x v="0"/>
    <x v="8"/>
    <x v="18"/>
    <s v="SE3_OTHER"/>
    <x v="7"/>
    <s v="GBPR_WOODCHIPS_37"/>
    <n v="0.89480022795474901"/>
    <n v="3.2212808206371002"/>
  </r>
  <r>
    <x v="0"/>
    <x v="0"/>
    <x v="0"/>
    <x v="8"/>
    <x v="18"/>
    <s v="SE3_OTHER"/>
    <x v="9"/>
    <s v="GBPR_WOODWASTE_25"/>
    <n v="5.2336028805856403"/>
    <n v="18.840970370108298"/>
  </r>
  <r>
    <x v="0"/>
    <x v="0"/>
    <x v="0"/>
    <x v="8"/>
    <x v="18"/>
    <s v="SE3_OTHER"/>
    <x v="9"/>
    <s v="GHOB_WOODWASTE"/>
    <n v="1.24867164865025"/>
    <n v="4.4952179351409001"/>
  </r>
  <r>
    <x v="0"/>
    <x v="0"/>
    <x v="0"/>
    <x v="8"/>
    <x v="18"/>
    <s v="SE3_STO"/>
    <x v="1"/>
    <s v="GHOB_BIOOIL"/>
    <n v="1.1600573369120299"/>
    <n v="4.1762064128833103"/>
  </r>
  <r>
    <x v="0"/>
    <x v="0"/>
    <x v="0"/>
    <x v="8"/>
    <x v="18"/>
    <s v="SE3_STO"/>
    <x v="2"/>
    <s v="GNR_HS_HEAT_WTR-TANK_LS_E-95_Y-2010"/>
    <n v="8.6554226527272807E-2"/>
    <n v="0.31159521549818198"/>
  </r>
  <r>
    <x v="0"/>
    <x v="0"/>
    <x v="0"/>
    <x v="8"/>
    <x v="18"/>
    <s v="SE3_STO"/>
    <x v="3"/>
    <s v="GBPR_MUNIWASTE_HOGDALEN"/>
    <n v="1.04681879491479"/>
    <n v="3.7685476616932401"/>
  </r>
  <r>
    <x v="0"/>
    <x v="0"/>
    <x v="0"/>
    <x v="8"/>
    <x v="18"/>
    <s v="SE3_STO"/>
    <x v="3"/>
    <s v="GHOB_MUNIWASTE"/>
    <n v="0.99575446345552998"/>
    <n v="3.58471606843991"/>
  </r>
  <r>
    <x v="0"/>
    <x v="0"/>
    <x v="0"/>
    <x v="8"/>
    <x v="18"/>
    <s v="SE3_STO"/>
    <x v="8"/>
    <s v="GBPR_WOODPELLETS_HASSELBY"/>
    <n v="1.7289473684210499"/>
    <n v="6.2242105263157903"/>
  </r>
  <r>
    <x v="0"/>
    <x v="0"/>
    <x v="0"/>
    <x v="8"/>
    <x v="18"/>
    <s v="SE3_STO"/>
    <x v="9"/>
    <s v="GBPR_WOODWASTE"/>
    <n v="1.7357373747523801"/>
    <n v="6.2486545491085499"/>
  </r>
  <r>
    <x v="0"/>
    <x v="0"/>
    <x v="0"/>
    <x v="8"/>
    <x v="18"/>
    <s v="SE3_STO"/>
    <x v="9"/>
    <s v="GBPR_WOODWASTE_BRISTA"/>
    <n v="1.0720951471509199"/>
    <n v="3.8595425297433099"/>
  </r>
  <r>
    <x v="0"/>
    <x v="0"/>
    <x v="0"/>
    <x v="8"/>
    <x v="19"/>
    <s v="SE4A"/>
    <x v="10"/>
    <s v="GBPR_IND_BIO"/>
    <n v="5.1544636363636398"/>
    <n v="18.556069090909102"/>
  </r>
  <r>
    <x v="0"/>
    <x v="0"/>
    <x v="0"/>
    <x v="8"/>
    <x v="19"/>
    <s v="SE4_EL"/>
    <x v="2"/>
    <s v="GNR_HS_HEAT_WTR-TANK_LS_E-95_Y-2010"/>
    <n v="6.6371437875008002E-2"/>
    <n v="0.23893717635002901"/>
  </r>
  <r>
    <x v="0"/>
    <x v="0"/>
    <x v="0"/>
    <x v="8"/>
    <x v="19"/>
    <s v="SE4_EL"/>
    <x v="15"/>
    <s v="GBPR_RECYCLEDWOOD"/>
    <n v="0.43164009686360499"/>
    <n v="1.5539043487089801"/>
  </r>
  <r>
    <x v="0"/>
    <x v="0"/>
    <x v="0"/>
    <x v="8"/>
    <x v="19"/>
    <s v="SE4_EL"/>
    <x v="15"/>
    <s v="GBPR_RECYCLEDWOOD_SE4EL"/>
    <n v="6.5660706518269205E-2"/>
    <n v="0.236378543465769"/>
  </r>
  <r>
    <x v="0"/>
    <x v="0"/>
    <x v="0"/>
    <x v="8"/>
    <x v="19"/>
    <s v="SE4_EL"/>
    <x v="15"/>
    <s v="GHOB_RECYCLEDWOOD"/>
    <n v="3.4645048266199602E-2"/>
    <n v="0.124722173758319"/>
  </r>
  <r>
    <x v="0"/>
    <x v="0"/>
    <x v="0"/>
    <x v="8"/>
    <x v="19"/>
    <s v="SE4_EL"/>
    <x v="5"/>
    <s v="GHOB_STRAW"/>
    <n v="2.1899999999999999E-2"/>
    <n v="7.8839999999999993E-2"/>
  </r>
  <r>
    <x v="0"/>
    <x v="0"/>
    <x v="0"/>
    <x v="8"/>
    <x v="19"/>
    <s v="SE4_EL"/>
    <x v="6"/>
    <s v="GHOB_WASTEHEAT"/>
    <n v="9.1249999999999595E-2"/>
    <n v="0.32849999999999902"/>
  </r>
  <r>
    <x v="0"/>
    <x v="0"/>
    <x v="0"/>
    <x v="8"/>
    <x v="19"/>
    <s v="SE4_EL"/>
    <x v="8"/>
    <s v="GHOB_WOODPELLETS"/>
    <n v="8.9900217141377498E-3"/>
    <n v="3.2364078170895899E-2"/>
  </r>
  <r>
    <x v="0"/>
    <x v="0"/>
    <x v="0"/>
    <x v="8"/>
    <x v="19"/>
    <s v="SE4_EL"/>
    <x v="9"/>
    <s v="GHOB_WOODWASTE"/>
    <n v="0.48286536021015802"/>
    <n v="1.73831529675657"/>
  </r>
  <r>
    <x v="0"/>
    <x v="0"/>
    <x v="0"/>
    <x v="8"/>
    <x v="19"/>
    <s v="SE4_HP"/>
    <x v="2"/>
    <s v="GNR_HS_HEAT_WTR-TANK_LS_E-95_Y-2010"/>
    <n v="7.63127916159252"/>
    <n v="27.472604981733099"/>
  </r>
  <r>
    <x v="0"/>
    <x v="0"/>
    <x v="0"/>
    <x v="8"/>
    <x v="19"/>
    <s v="SE4_HP"/>
    <x v="3"/>
    <s v="GBPR_MUNIWASTE_65"/>
    <n v="0.250285714285714"/>
    <n v="0.90102857142857096"/>
  </r>
  <r>
    <x v="0"/>
    <x v="0"/>
    <x v="0"/>
    <x v="8"/>
    <x v="19"/>
    <s v="SE4_HP"/>
    <x v="8"/>
    <s v="GBPR_WOODPELLETS"/>
    <n v="1.2386065573770499"/>
    <n v="4.4589836065573802"/>
  </r>
  <r>
    <x v="0"/>
    <x v="0"/>
    <x v="0"/>
    <x v="8"/>
    <x v="19"/>
    <s v="SE4_MAL"/>
    <x v="2"/>
    <s v="GNR_HS_HEAT_WTR-TANK_LS_E-95_Y-2010"/>
    <n v="7.6542796751676204E-2"/>
    <n v="0.27555406830603402"/>
  </r>
  <r>
    <x v="0"/>
    <x v="0"/>
    <x v="0"/>
    <x v="8"/>
    <x v="19"/>
    <s v="SE4_MAL"/>
    <x v="3"/>
    <s v="GBPR_MUNIWASTE_24"/>
    <n v="0.92458673240184697"/>
    <n v="3.3285122366466502"/>
  </r>
  <r>
    <x v="0"/>
    <x v="0"/>
    <x v="0"/>
    <x v="8"/>
    <x v="19"/>
    <s v="SE4_MAL"/>
    <x v="3"/>
    <s v="GHOB_MUNIWASTE"/>
    <n v="0.42675191290951298"/>
    <n v="1.53630688647425"/>
  </r>
  <r>
    <x v="0"/>
    <x v="0"/>
    <x v="0"/>
    <x v="8"/>
    <x v="19"/>
    <s v="SE4_MAL"/>
    <x v="4"/>
    <s v="GEXT_NATGAS_ORESUND"/>
    <n v="8.8952219642025501E-2"/>
    <n v="0.32022799071129199"/>
  </r>
  <r>
    <x v="0"/>
    <x v="0"/>
    <x v="0"/>
    <x v="8"/>
    <x v="19"/>
    <s v="SE4_MAL"/>
    <x v="6"/>
    <s v="GHOB_WASTEHEAT"/>
    <n v="0.108296703296703"/>
    <n v="0.38986813186813102"/>
  </r>
  <r>
    <x v="0"/>
    <x v="0"/>
    <x v="0"/>
    <x v="8"/>
    <x v="19"/>
    <s v="SE4_MAL"/>
    <x v="7"/>
    <s v="GHOB_WOODCHIPS"/>
    <n v="0.61319999999999997"/>
    <n v="2.2075200000000001"/>
  </r>
  <r>
    <x v="0"/>
    <x v="0"/>
    <x v="0"/>
    <x v="8"/>
    <x v="19"/>
    <s v="SE4_OTHER"/>
    <x v="2"/>
    <s v="GNR_HS_HEAT_WTR-TANK_LS_E-95_Y-2010"/>
    <n v="1.2767303161310001E-2"/>
    <n v="4.59622913807161E-2"/>
  </r>
  <r>
    <x v="0"/>
    <x v="0"/>
    <x v="0"/>
    <x v="8"/>
    <x v="19"/>
    <s v="SE4_OTHER"/>
    <x v="3"/>
    <s v="GBPR_MUNIWASTE_19"/>
    <n v="0.532070706791547"/>
    <n v="1.9154545444495701"/>
  </r>
  <r>
    <x v="0"/>
    <x v="0"/>
    <x v="0"/>
    <x v="8"/>
    <x v="19"/>
    <s v="SE4_OTHER"/>
    <x v="3"/>
    <s v="GHOB_MUNIWASTE"/>
    <n v="8.4596735113098398E-2"/>
    <n v="0.304548246407154"/>
  </r>
  <r>
    <x v="0"/>
    <x v="0"/>
    <x v="0"/>
    <x v="8"/>
    <x v="19"/>
    <s v="SE4_OTHER"/>
    <x v="6"/>
    <s v="GHOB_WASTEHEAT"/>
    <n v="0.44137905891180801"/>
    <n v="1.5889646120825101"/>
  </r>
  <r>
    <x v="0"/>
    <x v="0"/>
    <x v="0"/>
    <x v="8"/>
    <x v="19"/>
    <s v="SE4_OTHER"/>
    <x v="7"/>
    <s v="GBPR_WOODCHIPS"/>
    <n v="0.53515197381642798"/>
    <n v="1.9265471057391399"/>
  </r>
  <r>
    <x v="0"/>
    <x v="0"/>
    <x v="0"/>
    <x v="8"/>
    <x v="19"/>
    <s v="SE4_OTHER"/>
    <x v="7"/>
    <s v="GBPR_WOODCHIPS_25"/>
    <n v="0.80782823789842295"/>
    <n v="2.9081816564343201"/>
  </r>
  <r>
    <x v="0"/>
    <x v="0"/>
    <x v="0"/>
    <x v="8"/>
    <x v="19"/>
    <s v="SE4_OTHER"/>
    <x v="9"/>
    <s v="GBPR_WOODWASTE_36"/>
    <n v="1.7021237408056"/>
    <n v="6.1276454669001703"/>
  </r>
  <r>
    <x v="0"/>
    <x v="0"/>
    <x v="0"/>
    <x v="8"/>
    <x v="19"/>
    <s v="SE4_OTHER"/>
    <x v="9"/>
    <s v="GHOB_WOODWASTE"/>
    <n v="0.72376850998737097"/>
    <n v="2.6055666359545402"/>
  </r>
</pivotCacheRecords>
</file>

<file path=xl/pivotCache/pivotCacheRecords14.xml><?xml version="1.0" encoding="utf-8"?>
<pivotCacheRecords xmlns="http://schemas.openxmlformats.org/spreadsheetml/2006/main" xmlns:r="http://schemas.openxmlformats.org/officeDocument/2006/relationships" count="9101">
  <r>
    <x v="0"/>
    <x v="0"/>
    <x v="0"/>
    <x v="0"/>
    <x v="0"/>
    <s v="DK1_Large"/>
    <x v="0"/>
    <x v="0"/>
    <s v="GNR_ENG_BGAS_BP_E-31"/>
    <x v="0"/>
    <x v="0"/>
    <n v="0.25"/>
    <n v="91.25"/>
    <n v="328.5"/>
  </r>
  <r>
    <x v="0"/>
    <x v="0"/>
    <x v="0"/>
    <x v="0"/>
    <x v="0"/>
    <s v="DK1_Large"/>
    <x v="0"/>
    <x v="0"/>
    <s v="GNR_ENG_BGAS_BP_E-31"/>
    <x v="0"/>
    <x v="1"/>
    <n v="0.25"/>
    <n v="91.25"/>
    <n v="328.5"/>
  </r>
  <r>
    <x v="0"/>
    <x v="0"/>
    <x v="0"/>
    <x v="0"/>
    <x v="0"/>
    <s v="DK1_Large"/>
    <x v="0"/>
    <x v="0"/>
    <s v="GNR_ENG_BGAS_BP_E-31"/>
    <x v="0"/>
    <x v="2"/>
    <n v="0.25"/>
    <n v="91.25"/>
    <n v="328.5"/>
  </r>
  <r>
    <x v="0"/>
    <x v="0"/>
    <x v="0"/>
    <x v="0"/>
    <x v="0"/>
    <s v="DK1_Large"/>
    <x v="0"/>
    <x v="0"/>
    <s v="GNR_ENG_BGAS_BP_E-31"/>
    <x v="0"/>
    <x v="3"/>
    <n v="0.25"/>
    <n v="91.25"/>
    <n v="328.5"/>
  </r>
  <r>
    <x v="0"/>
    <x v="0"/>
    <x v="0"/>
    <x v="0"/>
    <x v="0"/>
    <s v="DK1_Large"/>
    <x v="0"/>
    <x v="0"/>
    <s v="GNR_ENG_BGAS_BP_E-31"/>
    <x v="0"/>
    <x v="4"/>
    <n v="0.25"/>
    <n v="91.25"/>
    <n v="328.5"/>
  </r>
  <r>
    <x v="0"/>
    <x v="0"/>
    <x v="0"/>
    <x v="0"/>
    <x v="0"/>
    <s v="DK1_Large"/>
    <x v="0"/>
    <x v="0"/>
    <s v="GNR_ENG_BGAS_BP_E-31"/>
    <x v="0"/>
    <x v="5"/>
    <n v="0.25"/>
    <n v="91.25"/>
    <n v="328.5"/>
  </r>
  <r>
    <x v="0"/>
    <x v="0"/>
    <x v="0"/>
    <x v="0"/>
    <x v="0"/>
    <s v="DK1_Large"/>
    <x v="0"/>
    <x v="0"/>
    <s v="GNR_ENG_BGAS_BP_E-31"/>
    <x v="0"/>
    <x v="6"/>
    <n v="0.25"/>
    <n v="91.25"/>
    <n v="328.5"/>
  </r>
  <r>
    <x v="0"/>
    <x v="0"/>
    <x v="0"/>
    <x v="0"/>
    <x v="0"/>
    <s v="DK1_Large"/>
    <x v="0"/>
    <x v="0"/>
    <s v="GNR_ENG_BGAS_BP_E-31"/>
    <x v="0"/>
    <x v="7"/>
    <n v="0.25"/>
    <n v="91.25"/>
    <n v="328.5"/>
  </r>
  <r>
    <x v="0"/>
    <x v="0"/>
    <x v="0"/>
    <x v="0"/>
    <x v="0"/>
    <s v="DK1_Large"/>
    <x v="0"/>
    <x v="0"/>
    <s v="GNR_ENG_BGAS_BP_E-31"/>
    <x v="0"/>
    <x v="8"/>
    <n v="0.25"/>
    <n v="91.25"/>
    <n v="328.5"/>
  </r>
  <r>
    <x v="0"/>
    <x v="0"/>
    <x v="0"/>
    <x v="0"/>
    <x v="0"/>
    <s v="DK1_Large"/>
    <x v="0"/>
    <x v="0"/>
    <s v="GNR_ENG_BGAS_BP_E-31"/>
    <x v="0"/>
    <x v="9"/>
    <n v="0.25"/>
    <n v="91.25"/>
    <n v="328.5"/>
  </r>
  <r>
    <x v="0"/>
    <x v="0"/>
    <x v="0"/>
    <x v="0"/>
    <x v="0"/>
    <s v="DK1_Large"/>
    <x v="0"/>
    <x v="0"/>
    <s v="GNR_ENG_BGAS_BP_E-31"/>
    <x v="0"/>
    <x v="10"/>
    <n v="0.25"/>
    <n v="91.25"/>
    <n v="328.5"/>
  </r>
  <r>
    <x v="0"/>
    <x v="0"/>
    <x v="0"/>
    <x v="0"/>
    <x v="0"/>
    <s v="DK1_Large"/>
    <x v="0"/>
    <x v="0"/>
    <s v="GNR_ENG_BGAS_BP_E-31"/>
    <x v="0"/>
    <x v="11"/>
    <n v="0.25"/>
    <n v="91.25"/>
    <n v="328.5"/>
  </r>
  <r>
    <x v="0"/>
    <x v="0"/>
    <x v="0"/>
    <x v="0"/>
    <x v="0"/>
    <s v="DK1_Large"/>
    <x v="0"/>
    <x v="0"/>
    <s v="GNR_ENG_BGAS_BP_E-31"/>
    <x v="0"/>
    <x v="12"/>
    <n v="0.25"/>
    <n v="91.25"/>
    <n v="328.5"/>
  </r>
  <r>
    <x v="0"/>
    <x v="0"/>
    <x v="0"/>
    <x v="0"/>
    <x v="0"/>
    <s v="DK1_Large"/>
    <x v="0"/>
    <x v="0"/>
    <s v="GNR_ENG_BGAS_BP_E-31"/>
    <x v="0"/>
    <x v="13"/>
    <n v="0.25"/>
    <n v="91.25"/>
    <n v="328.5"/>
  </r>
  <r>
    <x v="0"/>
    <x v="0"/>
    <x v="0"/>
    <x v="0"/>
    <x v="0"/>
    <s v="DK1_Large"/>
    <x v="0"/>
    <x v="0"/>
    <s v="GNR_ENG_BGAS_BP_E-31"/>
    <x v="0"/>
    <x v="14"/>
    <n v="0.25"/>
    <n v="91.25"/>
    <n v="328.5"/>
  </r>
  <r>
    <x v="0"/>
    <x v="0"/>
    <x v="0"/>
    <x v="0"/>
    <x v="0"/>
    <s v="DK1_Large"/>
    <x v="0"/>
    <x v="0"/>
    <s v="GNR_ENG_BGAS_BP_E-31"/>
    <x v="0"/>
    <x v="15"/>
    <n v="0.25"/>
    <n v="91.25"/>
    <n v="328.5"/>
  </r>
  <r>
    <x v="0"/>
    <x v="0"/>
    <x v="0"/>
    <x v="0"/>
    <x v="0"/>
    <s v="DK1_Large"/>
    <x v="0"/>
    <x v="0"/>
    <s v="GNR_ENG_BGAS_BP_E-31"/>
    <x v="0"/>
    <x v="16"/>
    <n v="0.25"/>
    <n v="91.25"/>
    <n v="328.5"/>
  </r>
  <r>
    <x v="0"/>
    <x v="0"/>
    <x v="0"/>
    <x v="0"/>
    <x v="0"/>
    <s v="DK1_Large"/>
    <x v="0"/>
    <x v="0"/>
    <s v="GNR_ENG_BGAS_BP_E-31"/>
    <x v="0"/>
    <x v="17"/>
    <n v="0.25"/>
    <n v="91.25"/>
    <n v="328.5"/>
  </r>
  <r>
    <x v="0"/>
    <x v="0"/>
    <x v="0"/>
    <x v="0"/>
    <x v="0"/>
    <s v="DK1_Large"/>
    <x v="0"/>
    <x v="0"/>
    <s v="GNR_ENG_BGAS_BP_E-31"/>
    <x v="0"/>
    <x v="18"/>
    <n v="0.25"/>
    <n v="91.25"/>
    <n v="328.5"/>
  </r>
  <r>
    <x v="0"/>
    <x v="0"/>
    <x v="0"/>
    <x v="0"/>
    <x v="0"/>
    <s v="DK1_Large"/>
    <x v="0"/>
    <x v="0"/>
    <s v="GNR_ENG_BGAS_BP_E-31"/>
    <x v="0"/>
    <x v="19"/>
    <n v="0.25"/>
    <n v="91.25"/>
    <n v="328.5"/>
  </r>
  <r>
    <x v="0"/>
    <x v="0"/>
    <x v="0"/>
    <x v="0"/>
    <x v="0"/>
    <s v="DK1_Large"/>
    <x v="0"/>
    <x v="0"/>
    <s v="GNR_ENG_BGAS_BP_E-31"/>
    <x v="0"/>
    <x v="20"/>
    <n v="0.25"/>
    <n v="91.25"/>
    <n v="328.5"/>
  </r>
  <r>
    <x v="0"/>
    <x v="0"/>
    <x v="0"/>
    <x v="0"/>
    <x v="0"/>
    <s v="DK1_Large"/>
    <x v="0"/>
    <x v="0"/>
    <s v="GNR_ENG_BGAS_BP_E-31"/>
    <x v="0"/>
    <x v="21"/>
    <n v="0.25"/>
    <n v="91.25"/>
    <n v="328.5"/>
  </r>
  <r>
    <x v="0"/>
    <x v="0"/>
    <x v="0"/>
    <x v="0"/>
    <x v="0"/>
    <s v="DK1_Large"/>
    <x v="0"/>
    <x v="0"/>
    <s v="GNR_ENG_BGAS_BP_E-31"/>
    <x v="0"/>
    <x v="22"/>
    <n v="0.25"/>
    <n v="91.25"/>
    <n v="328.5"/>
  </r>
  <r>
    <x v="0"/>
    <x v="0"/>
    <x v="0"/>
    <x v="0"/>
    <x v="0"/>
    <s v="DK1_Large"/>
    <x v="0"/>
    <x v="0"/>
    <s v="GNR_ENG_BGAS_BP_E-31"/>
    <x v="0"/>
    <x v="23"/>
    <n v="0.25"/>
    <n v="91.25"/>
    <n v="328.5"/>
  </r>
  <r>
    <x v="0"/>
    <x v="0"/>
    <x v="0"/>
    <x v="0"/>
    <x v="0"/>
    <s v="DK1_Large"/>
    <x v="0"/>
    <x v="0"/>
    <s v="GNR_ENG_BGAS_BP_E-36"/>
    <x v="0"/>
    <x v="0"/>
    <n v="0.81"/>
    <n v="295.64999999999998"/>
    <n v="1064.3399999999999"/>
  </r>
  <r>
    <x v="0"/>
    <x v="0"/>
    <x v="0"/>
    <x v="0"/>
    <x v="0"/>
    <s v="DK1_Large"/>
    <x v="0"/>
    <x v="0"/>
    <s v="GNR_ENG_BGAS_BP_E-36"/>
    <x v="0"/>
    <x v="1"/>
    <n v="0.81"/>
    <n v="295.64999999999998"/>
    <n v="1064.3399999999999"/>
  </r>
  <r>
    <x v="0"/>
    <x v="0"/>
    <x v="0"/>
    <x v="0"/>
    <x v="0"/>
    <s v="DK1_Large"/>
    <x v="0"/>
    <x v="0"/>
    <s v="GNR_ENG_BGAS_BP_E-36"/>
    <x v="0"/>
    <x v="2"/>
    <n v="0.81"/>
    <n v="295.64999999999998"/>
    <n v="1064.3399999999999"/>
  </r>
  <r>
    <x v="0"/>
    <x v="0"/>
    <x v="0"/>
    <x v="0"/>
    <x v="0"/>
    <s v="DK1_Large"/>
    <x v="0"/>
    <x v="0"/>
    <s v="GNR_ENG_BGAS_BP_E-36"/>
    <x v="0"/>
    <x v="3"/>
    <n v="0.81"/>
    <n v="295.64999999999998"/>
    <n v="1064.3399999999999"/>
  </r>
  <r>
    <x v="0"/>
    <x v="0"/>
    <x v="0"/>
    <x v="0"/>
    <x v="0"/>
    <s v="DK1_Large"/>
    <x v="0"/>
    <x v="0"/>
    <s v="GNR_ENG_BGAS_BP_E-36"/>
    <x v="0"/>
    <x v="4"/>
    <n v="0.81"/>
    <n v="295.64999999999998"/>
    <n v="1064.3399999999999"/>
  </r>
  <r>
    <x v="0"/>
    <x v="0"/>
    <x v="0"/>
    <x v="0"/>
    <x v="0"/>
    <s v="DK1_Large"/>
    <x v="0"/>
    <x v="0"/>
    <s v="GNR_ENG_BGAS_BP_E-36"/>
    <x v="0"/>
    <x v="5"/>
    <n v="0.81"/>
    <n v="295.64999999999998"/>
    <n v="1064.3399999999999"/>
  </r>
  <r>
    <x v="0"/>
    <x v="0"/>
    <x v="0"/>
    <x v="0"/>
    <x v="0"/>
    <s v="DK1_Large"/>
    <x v="0"/>
    <x v="0"/>
    <s v="GNR_ENG_BGAS_BP_E-36"/>
    <x v="0"/>
    <x v="6"/>
    <n v="0.81"/>
    <n v="295.64999999999998"/>
    <n v="1064.3399999999999"/>
  </r>
  <r>
    <x v="0"/>
    <x v="0"/>
    <x v="0"/>
    <x v="0"/>
    <x v="0"/>
    <s v="DK1_Large"/>
    <x v="0"/>
    <x v="0"/>
    <s v="GNR_ENG_BGAS_BP_E-36"/>
    <x v="0"/>
    <x v="7"/>
    <n v="0.81"/>
    <n v="295.64999999999998"/>
    <n v="1064.3399999999999"/>
  </r>
  <r>
    <x v="0"/>
    <x v="0"/>
    <x v="0"/>
    <x v="0"/>
    <x v="0"/>
    <s v="DK1_Large"/>
    <x v="0"/>
    <x v="0"/>
    <s v="GNR_ENG_BGAS_BP_E-36"/>
    <x v="0"/>
    <x v="8"/>
    <n v="0.81"/>
    <n v="295.64999999999998"/>
    <n v="1064.3399999999999"/>
  </r>
  <r>
    <x v="0"/>
    <x v="0"/>
    <x v="0"/>
    <x v="0"/>
    <x v="0"/>
    <s v="DK1_Large"/>
    <x v="0"/>
    <x v="0"/>
    <s v="GNR_ENG_BGAS_BP_E-36"/>
    <x v="0"/>
    <x v="9"/>
    <n v="0.81"/>
    <n v="295.64999999999998"/>
    <n v="1064.3399999999999"/>
  </r>
  <r>
    <x v="0"/>
    <x v="0"/>
    <x v="0"/>
    <x v="0"/>
    <x v="0"/>
    <s v="DK1_Large"/>
    <x v="0"/>
    <x v="0"/>
    <s v="GNR_ENG_BGAS_BP_E-36"/>
    <x v="0"/>
    <x v="10"/>
    <n v="0.81"/>
    <n v="295.64999999999998"/>
    <n v="1064.3399999999999"/>
  </r>
  <r>
    <x v="0"/>
    <x v="0"/>
    <x v="0"/>
    <x v="0"/>
    <x v="0"/>
    <s v="DK1_Large"/>
    <x v="0"/>
    <x v="0"/>
    <s v="GNR_ENG_BGAS_BP_E-36"/>
    <x v="0"/>
    <x v="11"/>
    <n v="0.81"/>
    <n v="295.64999999999998"/>
    <n v="1064.3399999999999"/>
  </r>
  <r>
    <x v="0"/>
    <x v="0"/>
    <x v="0"/>
    <x v="0"/>
    <x v="0"/>
    <s v="DK1_Large"/>
    <x v="0"/>
    <x v="0"/>
    <s v="GNR_ENG_BGAS_BP_E-36"/>
    <x v="0"/>
    <x v="12"/>
    <n v="0.81"/>
    <n v="295.64999999999998"/>
    <n v="1064.3399999999999"/>
  </r>
  <r>
    <x v="0"/>
    <x v="0"/>
    <x v="0"/>
    <x v="0"/>
    <x v="0"/>
    <s v="DK1_Large"/>
    <x v="0"/>
    <x v="0"/>
    <s v="GNR_ENG_BGAS_BP_E-36"/>
    <x v="0"/>
    <x v="13"/>
    <n v="0.81"/>
    <n v="295.64999999999998"/>
    <n v="1064.3399999999999"/>
  </r>
  <r>
    <x v="0"/>
    <x v="0"/>
    <x v="0"/>
    <x v="0"/>
    <x v="0"/>
    <s v="DK1_Large"/>
    <x v="0"/>
    <x v="0"/>
    <s v="GNR_ENG_BGAS_BP_E-36"/>
    <x v="0"/>
    <x v="14"/>
    <n v="0.81"/>
    <n v="295.64999999999998"/>
    <n v="1064.3399999999999"/>
  </r>
  <r>
    <x v="0"/>
    <x v="0"/>
    <x v="0"/>
    <x v="0"/>
    <x v="0"/>
    <s v="DK1_Large"/>
    <x v="0"/>
    <x v="0"/>
    <s v="GNR_ENG_BGAS_BP_E-36"/>
    <x v="0"/>
    <x v="15"/>
    <n v="0.81"/>
    <n v="295.64999999999998"/>
    <n v="1064.3399999999999"/>
  </r>
  <r>
    <x v="0"/>
    <x v="0"/>
    <x v="0"/>
    <x v="0"/>
    <x v="0"/>
    <s v="DK1_Large"/>
    <x v="0"/>
    <x v="0"/>
    <s v="GNR_ENG_BGAS_BP_E-36"/>
    <x v="0"/>
    <x v="16"/>
    <n v="0.81"/>
    <n v="295.64999999999998"/>
    <n v="1064.3399999999999"/>
  </r>
  <r>
    <x v="0"/>
    <x v="0"/>
    <x v="0"/>
    <x v="0"/>
    <x v="0"/>
    <s v="DK1_Large"/>
    <x v="0"/>
    <x v="0"/>
    <s v="GNR_ENG_BGAS_BP_E-36"/>
    <x v="0"/>
    <x v="17"/>
    <n v="0.81"/>
    <n v="295.64999999999998"/>
    <n v="1064.3399999999999"/>
  </r>
  <r>
    <x v="0"/>
    <x v="0"/>
    <x v="0"/>
    <x v="0"/>
    <x v="0"/>
    <s v="DK1_Large"/>
    <x v="0"/>
    <x v="0"/>
    <s v="GNR_ENG_BGAS_BP_E-36"/>
    <x v="0"/>
    <x v="18"/>
    <n v="0.81"/>
    <n v="295.64999999999998"/>
    <n v="1064.3399999999999"/>
  </r>
  <r>
    <x v="0"/>
    <x v="0"/>
    <x v="0"/>
    <x v="0"/>
    <x v="0"/>
    <s v="DK1_Large"/>
    <x v="0"/>
    <x v="0"/>
    <s v="GNR_ENG_BGAS_BP_E-36"/>
    <x v="0"/>
    <x v="19"/>
    <n v="0.81"/>
    <n v="295.64999999999998"/>
    <n v="1064.3399999999999"/>
  </r>
  <r>
    <x v="0"/>
    <x v="0"/>
    <x v="0"/>
    <x v="0"/>
    <x v="0"/>
    <s v="DK1_Large"/>
    <x v="0"/>
    <x v="0"/>
    <s v="GNR_ENG_BGAS_BP_E-36"/>
    <x v="0"/>
    <x v="20"/>
    <n v="0.81"/>
    <n v="295.64999999999998"/>
    <n v="1064.3399999999999"/>
  </r>
  <r>
    <x v="0"/>
    <x v="0"/>
    <x v="0"/>
    <x v="0"/>
    <x v="0"/>
    <s v="DK1_Large"/>
    <x v="0"/>
    <x v="0"/>
    <s v="GNR_ENG_BGAS_BP_E-36"/>
    <x v="0"/>
    <x v="21"/>
    <n v="0.81"/>
    <n v="295.64999999999998"/>
    <n v="1064.3399999999999"/>
  </r>
  <r>
    <x v="0"/>
    <x v="0"/>
    <x v="0"/>
    <x v="0"/>
    <x v="0"/>
    <s v="DK1_Large"/>
    <x v="0"/>
    <x v="0"/>
    <s v="GNR_ENG_BGAS_BP_E-36"/>
    <x v="0"/>
    <x v="22"/>
    <n v="0.81"/>
    <n v="295.64999999999998"/>
    <n v="1064.3399999999999"/>
  </r>
  <r>
    <x v="0"/>
    <x v="0"/>
    <x v="0"/>
    <x v="0"/>
    <x v="0"/>
    <s v="DK1_Large"/>
    <x v="0"/>
    <x v="0"/>
    <s v="GNR_ENG_BGAS_BP_E-36"/>
    <x v="0"/>
    <x v="23"/>
    <n v="0.81"/>
    <n v="295.64999999999998"/>
    <n v="1064.3399999999999"/>
  </r>
  <r>
    <x v="0"/>
    <x v="0"/>
    <x v="0"/>
    <x v="0"/>
    <x v="0"/>
    <s v="DK1_Large"/>
    <x v="0"/>
    <x v="0"/>
    <s v="GNR_ENG_BGAS_BP_E-37"/>
    <x v="0"/>
    <x v="0"/>
    <n v="1.1599999999999999"/>
    <n v="423.4"/>
    <n v="1524.24"/>
  </r>
  <r>
    <x v="0"/>
    <x v="0"/>
    <x v="0"/>
    <x v="0"/>
    <x v="0"/>
    <s v="DK1_Large"/>
    <x v="0"/>
    <x v="0"/>
    <s v="GNR_ENG_BGAS_BP_E-37"/>
    <x v="0"/>
    <x v="1"/>
    <n v="1.1599999999999999"/>
    <n v="423.4"/>
    <n v="1524.24"/>
  </r>
  <r>
    <x v="0"/>
    <x v="0"/>
    <x v="0"/>
    <x v="0"/>
    <x v="0"/>
    <s v="DK1_Large"/>
    <x v="0"/>
    <x v="0"/>
    <s v="GNR_ENG_BGAS_BP_E-37"/>
    <x v="0"/>
    <x v="2"/>
    <n v="1.1599999999999999"/>
    <n v="423.4"/>
    <n v="1524.24"/>
  </r>
  <r>
    <x v="0"/>
    <x v="0"/>
    <x v="0"/>
    <x v="0"/>
    <x v="0"/>
    <s v="DK1_Large"/>
    <x v="0"/>
    <x v="0"/>
    <s v="GNR_ENG_BGAS_BP_E-37"/>
    <x v="0"/>
    <x v="3"/>
    <n v="1.1599999999999999"/>
    <n v="423.4"/>
    <n v="1524.24"/>
  </r>
  <r>
    <x v="0"/>
    <x v="0"/>
    <x v="0"/>
    <x v="0"/>
    <x v="0"/>
    <s v="DK1_Large"/>
    <x v="0"/>
    <x v="0"/>
    <s v="GNR_ENG_BGAS_BP_E-37"/>
    <x v="0"/>
    <x v="4"/>
    <n v="1.1599999999999999"/>
    <n v="423.4"/>
    <n v="1524.24"/>
  </r>
  <r>
    <x v="0"/>
    <x v="0"/>
    <x v="0"/>
    <x v="0"/>
    <x v="0"/>
    <s v="DK1_Large"/>
    <x v="0"/>
    <x v="0"/>
    <s v="GNR_ENG_BGAS_BP_E-37"/>
    <x v="0"/>
    <x v="5"/>
    <n v="1.1599999999999999"/>
    <n v="423.4"/>
    <n v="1524.24"/>
  </r>
  <r>
    <x v="0"/>
    <x v="0"/>
    <x v="0"/>
    <x v="0"/>
    <x v="0"/>
    <s v="DK1_Large"/>
    <x v="0"/>
    <x v="0"/>
    <s v="GNR_ENG_BGAS_BP_E-37"/>
    <x v="0"/>
    <x v="6"/>
    <n v="1.1599999999999999"/>
    <n v="423.4"/>
    <n v="1524.24"/>
  </r>
  <r>
    <x v="0"/>
    <x v="0"/>
    <x v="0"/>
    <x v="0"/>
    <x v="0"/>
    <s v="DK1_Large"/>
    <x v="0"/>
    <x v="0"/>
    <s v="GNR_ENG_BGAS_BP_E-37"/>
    <x v="0"/>
    <x v="7"/>
    <n v="1.1599999999999999"/>
    <n v="423.4"/>
    <n v="1524.24"/>
  </r>
  <r>
    <x v="0"/>
    <x v="0"/>
    <x v="0"/>
    <x v="0"/>
    <x v="0"/>
    <s v="DK1_Large"/>
    <x v="0"/>
    <x v="0"/>
    <s v="GNR_ENG_BGAS_BP_E-37"/>
    <x v="0"/>
    <x v="8"/>
    <n v="1.1599999999999999"/>
    <n v="423.4"/>
    <n v="1524.24"/>
  </r>
  <r>
    <x v="0"/>
    <x v="0"/>
    <x v="0"/>
    <x v="0"/>
    <x v="0"/>
    <s v="DK1_Large"/>
    <x v="0"/>
    <x v="0"/>
    <s v="GNR_ENG_BGAS_BP_E-37"/>
    <x v="0"/>
    <x v="9"/>
    <n v="1.1599999999999999"/>
    <n v="423.4"/>
    <n v="1524.24"/>
  </r>
  <r>
    <x v="0"/>
    <x v="0"/>
    <x v="0"/>
    <x v="0"/>
    <x v="0"/>
    <s v="DK1_Large"/>
    <x v="0"/>
    <x v="0"/>
    <s v="GNR_ENG_BGAS_BP_E-37"/>
    <x v="0"/>
    <x v="10"/>
    <n v="1.1599999999999999"/>
    <n v="423.4"/>
    <n v="1524.24"/>
  </r>
  <r>
    <x v="0"/>
    <x v="0"/>
    <x v="0"/>
    <x v="0"/>
    <x v="0"/>
    <s v="DK1_Large"/>
    <x v="0"/>
    <x v="0"/>
    <s v="GNR_ENG_BGAS_BP_E-37"/>
    <x v="0"/>
    <x v="11"/>
    <n v="1.1599999999999999"/>
    <n v="423.4"/>
    <n v="1524.24"/>
  </r>
  <r>
    <x v="0"/>
    <x v="0"/>
    <x v="0"/>
    <x v="0"/>
    <x v="0"/>
    <s v="DK1_Large"/>
    <x v="0"/>
    <x v="0"/>
    <s v="GNR_ENG_BGAS_BP_E-37"/>
    <x v="0"/>
    <x v="12"/>
    <n v="1.1599999999999999"/>
    <n v="423.4"/>
    <n v="1524.24"/>
  </r>
  <r>
    <x v="0"/>
    <x v="0"/>
    <x v="0"/>
    <x v="0"/>
    <x v="0"/>
    <s v="DK1_Large"/>
    <x v="0"/>
    <x v="0"/>
    <s v="GNR_ENG_BGAS_BP_E-37"/>
    <x v="0"/>
    <x v="13"/>
    <n v="1.1599999999999999"/>
    <n v="423.4"/>
    <n v="1524.24"/>
  </r>
  <r>
    <x v="0"/>
    <x v="0"/>
    <x v="0"/>
    <x v="0"/>
    <x v="0"/>
    <s v="DK1_Large"/>
    <x v="0"/>
    <x v="0"/>
    <s v="GNR_ENG_BGAS_BP_E-37"/>
    <x v="0"/>
    <x v="14"/>
    <n v="1.1599999999999999"/>
    <n v="423.4"/>
    <n v="1524.24"/>
  </r>
  <r>
    <x v="0"/>
    <x v="0"/>
    <x v="0"/>
    <x v="0"/>
    <x v="0"/>
    <s v="DK1_Large"/>
    <x v="0"/>
    <x v="0"/>
    <s v="GNR_ENG_BGAS_BP_E-37"/>
    <x v="0"/>
    <x v="15"/>
    <n v="1.1599999999999999"/>
    <n v="423.4"/>
    <n v="1524.24"/>
  </r>
  <r>
    <x v="0"/>
    <x v="0"/>
    <x v="0"/>
    <x v="0"/>
    <x v="0"/>
    <s v="DK1_Large"/>
    <x v="0"/>
    <x v="0"/>
    <s v="GNR_ENG_BGAS_BP_E-37"/>
    <x v="0"/>
    <x v="16"/>
    <n v="1.1599999999999999"/>
    <n v="423.4"/>
    <n v="1524.24"/>
  </r>
  <r>
    <x v="0"/>
    <x v="0"/>
    <x v="0"/>
    <x v="0"/>
    <x v="0"/>
    <s v="DK1_Large"/>
    <x v="0"/>
    <x v="0"/>
    <s v="GNR_ENG_BGAS_BP_E-37"/>
    <x v="0"/>
    <x v="17"/>
    <n v="1.1599999999999999"/>
    <n v="423.4"/>
    <n v="1524.24"/>
  </r>
  <r>
    <x v="0"/>
    <x v="0"/>
    <x v="0"/>
    <x v="0"/>
    <x v="0"/>
    <s v="DK1_Large"/>
    <x v="0"/>
    <x v="0"/>
    <s v="GNR_ENG_BGAS_BP_E-37"/>
    <x v="0"/>
    <x v="18"/>
    <n v="1.1599999999999999"/>
    <n v="423.4"/>
    <n v="1524.24"/>
  </r>
  <r>
    <x v="0"/>
    <x v="0"/>
    <x v="0"/>
    <x v="0"/>
    <x v="0"/>
    <s v="DK1_Large"/>
    <x v="0"/>
    <x v="0"/>
    <s v="GNR_ENG_BGAS_BP_E-37"/>
    <x v="0"/>
    <x v="19"/>
    <n v="1.1599999999999999"/>
    <n v="423.4"/>
    <n v="1524.24"/>
  </r>
  <r>
    <x v="0"/>
    <x v="0"/>
    <x v="0"/>
    <x v="0"/>
    <x v="0"/>
    <s v="DK1_Large"/>
    <x v="0"/>
    <x v="0"/>
    <s v="GNR_ENG_BGAS_BP_E-37"/>
    <x v="0"/>
    <x v="20"/>
    <n v="1.1599999999999999"/>
    <n v="423.4"/>
    <n v="1524.24"/>
  </r>
  <r>
    <x v="0"/>
    <x v="0"/>
    <x v="0"/>
    <x v="0"/>
    <x v="0"/>
    <s v="DK1_Large"/>
    <x v="0"/>
    <x v="0"/>
    <s v="GNR_ENG_BGAS_BP_E-37"/>
    <x v="0"/>
    <x v="21"/>
    <n v="1.1599999999999999"/>
    <n v="423.4"/>
    <n v="1524.24"/>
  </r>
  <r>
    <x v="0"/>
    <x v="0"/>
    <x v="0"/>
    <x v="0"/>
    <x v="0"/>
    <s v="DK1_Large"/>
    <x v="0"/>
    <x v="0"/>
    <s v="GNR_ENG_BGAS_BP_E-37"/>
    <x v="0"/>
    <x v="22"/>
    <n v="1.1599999999999999"/>
    <n v="423.4"/>
    <n v="1524.24"/>
  </r>
  <r>
    <x v="0"/>
    <x v="0"/>
    <x v="0"/>
    <x v="0"/>
    <x v="0"/>
    <s v="DK1_Large"/>
    <x v="0"/>
    <x v="0"/>
    <s v="GNR_ENG_BGAS_BP_E-37"/>
    <x v="0"/>
    <x v="23"/>
    <n v="1.1599999999999999"/>
    <n v="423.4"/>
    <n v="1524.24"/>
  </r>
  <r>
    <x v="0"/>
    <x v="0"/>
    <x v="0"/>
    <x v="0"/>
    <x v="0"/>
    <s v="DK1_Large"/>
    <x v="0"/>
    <x v="0"/>
    <s v="GNR_ENG_BGAS_BP_E-39"/>
    <x v="0"/>
    <x v="0"/>
    <n v="4.1150000000000002"/>
    <n v="1501.9749999999999"/>
    <n v="5407.11"/>
  </r>
  <r>
    <x v="0"/>
    <x v="0"/>
    <x v="0"/>
    <x v="0"/>
    <x v="0"/>
    <s v="DK1_Large"/>
    <x v="0"/>
    <x v="0"/>
    <s v="GNR_ENG_BGAS_BP_E-39"/>
    <x v="0"/>
    <x v="1"/>
    <n v="4.1150000000000002"/>
    <n v="1501.9749999999999"/>
    <n v="5407.11"/>
  </r>
  <r>
    <x v="0"/>
    <x v="0"/>
    <x v="0"/>
    <x v="0"/>
    <x v="0"/>
    <s v="DK1_Large"/>
    <x v="0"/>
    <x v="0"/>
    <s v="GNR_ENG_BGAS_BP_E-39"/>
    <x v="0"/>
    <x v="2"/>
    <n v="4.1150000000000002"/>
    <n v="1501.9749999999999"/>
    <n v="5407.11"/>
  </r>
  <r>
    <x v="0"/>
    <x v="0"/>
    <x v="0"/>
    <x v="0"/>
    <x v="0"/>
    <s v="DK1_Large"/>
    <x v="0"/>
    <x v="0"/>
    <s v="GNR_ENG_BGAS_BP_E-39"/>
    <x v="0"/>
    <x v="3"/>
    <n v="4.1150000000000002"/>
    <n v="1501.9749999999999"/>
    <n v="5407.11"/>
  </r>
  <r>
    <x v="0"/>
    <x v="0"/>
    <x v="0"/>
    <x v="0"/>
    <x v="0"/>
    <s v="DK1_Large"/>
    <x v="0"/>
    <x v="0"/>
    <s v="GNR_ENG_BGAS_BP_E-39"/>
    <x v="0"/>
    <x v="4"/>
    <n v="4.1150000000000002"/>
    <n v="1501.9749999999999"/>
    <n v="5407.11"/>
  </r>
  <r>
    <x v="0"/>
    <x v="0"/>
    <x v="0"/>
    <x v="0"/>
    <x v="0"/>
    <s v="DK1_Large"/>
    <x v="0"/>
    <x v="0"/>
    <s v="GNR_ENG_BGAS_BP_E-39"/>
    <x v="0"/>
    <x v="5"/>
    <n v="4.1150000000000002"/>
    <n v="1501.9749999999999"/>
    <n v="5407.11"/>
  </r>
  <r>
    <x v="0"/>
    <x v="0"/>
    <x v="0"/>
    <x v="0"/>
    <x v="0"/>
    <s v="DK1_Large"/>
    <x v="0"/>
    <x v="0"/>
    <s v="GNR_ENG_BGAS_BP_E-39"/>
    <x v="0"/>
    <x v="6"/>
    <n v="4.1150000000000002"/>
    <n v="1501.9749999999999"/>
    <n v="5407.11"/>
  </r>
  <r>
    <x v="0"/>
    <x v="0"/>
    <x v="0"/>
    <x v="0"/>
    <x v="0"/>
    <s v="DK1_Large"/>
    <x v="0"/>
    <x v="0"/>
    <s v="GNR_ENG_BGAS_BP_E-39"/>
    <x v="0"/>
    <x v="7"/>
    <n v="4.1150000000000002"/>
    <n v="1501.9749999999999"/>
    <n v="5407.11"/>
  </r>
  <r>
    <x v="0"/>
    <x v="0"/>
    <x v="0"/>
    <x v="0"/>
    <x v="0"/>
    <s v="DK1_Large"/>
    <x v="0"/>
    <x v="0"/>
    <s v="GNR_ENG_BGAS_BP_E-39"/>
    <x v="0"/>
    <x v="8"/>
    <n v="4.1150000000000002"/>
    <n v="1501.9749999999999"/>
    <n v="5407.11"/>
  </r>
  <r>
    <x v="0"/>
    <x v="0"/>
    <x v="0"/>
    <x v="0"/>
    <x v="0"/>
    <s v="DK1_Large"/>
    <x v="0"/>
    <x v="0"/>
    <s v="GNR_ENG_BGAS_BP_E-39"/>
    <x v="0"/>
    <x v="9"/>
    <n v="4.1150000000000002"/>
    <n v="1501.9749999999999"/>
    <n v="5407.11"/>
  </r>
  <r>
    <x v="0"/>
    <x v="0"/>
    <x v="0"/>
    <x v="0"/>
    <x v="0"/>
    <s v="DK1_Large"/>
    <x v="0"/>
    <x v="0"/>
    <s v="GNR_ENG_BGAS_BP_E-39"/>
    <x v="0"/>
    <x v="10"/>
    <n v="4.1150000000000002"/>
    <n v="1501.9749999999999"/>
    <n v="5407.11"/>
  </r>
  <r>
    <x v="0"/>
    <x v="0"/>
    <x v="0"/>
    <x v="0"/>
    <x v="0"/>
    <s v="DK1_Large"/>
    <x v="0"/>
    <x v="0"/>
    <s v="GNR_ENG_BGAS_BP_E-39"/>
    <x v="0"/>
    <x v="11"/>
    <n v="4.1150000000000002"/>
    <n v="1501.9749999999999"/>
    <n v="5407.11"/>
  </r>
  <r>
    <x v="0"/>
    <x v="0"/>
    <x v="0"/>
    <x v="0"/>
    <x v="0"/>
    <s v="DK1_Large"/>
    <x v="0"/>
    <x v="0"/>
    <s v="GNR_ENG_BGAS_BP_E-39"/>
    <x v="0"/>
    <x v="12"/>
    <n v="4.1150000000000002"/>
    <n v="1501.9749999999999"/>
    <n v="5407.11"/>
  </r>
  <r>
    <x v="0"/>
    <x v="0"/>
    <x v="0"/>
    <x v="0"/>
    <x v="0"/>
    <s v="DK1_Large"/>
    <x v="0"/>
    <x v="0"/>
    <s v="GNR_ENG_BGAS_BP_E-39"/>
    <x v="0"/>
    <x v="13"/>
    <n v="4.1150000000000002"/>
    <n v="1501.9749999999999"/>
    <n v="5407.11"/>
  </r>
  <r>
    <x v="0"/>
    <x v="0"/>
    <x v="0"/>
    <x v="0"/>
    <x v="0"/>
    <s v="DK1_Large"/>
    <x v="0"/>
    <x v="0"/>
    <s v="GNR_ENG_BGAS_BP_E-39"/>
    <x v="0"/>
    <x v="14"/>
    <n v="4.1150000000000002"/>
    <n v="1501.9749999999999"/>
    <n v="5407.11"/>
  </r>
  <r>
    <x v="0"/>
    <x v="0"/>
    <x v="0"/>
    <x v="0"/>
    <x v="0"/>
    <s v="DK1_Large"/>
    <x v="0"/>
    <x v="0"/>
    <s v="GNR_ENG_BGAS_BP_E-39"/>
    <x v="0"/>
    <x v="15"/>
    <n v="4.1150000000000002"/>
    <n v="1501.9749999999999"/>
    <n v="5407.11"/>
  </r>
  <r>
    <x v="0"/>
    <x v="0"/>
    <x v="0"/>
    <x v="0"/>
    <x v="0"/>
    <s v="DK1_Large"/>
    <x v="0"/>
    <x v="0"/>
    <s v="GNR_ENG_BGAS_BP_E-39"/>
    <x v="0"/>
    <x v="16"/>
    <n v="4.1150000000000002"/>
    <n v="1501.9749999999999"/>
    <n v="5407.11"/>
  </r>
  <r>
    <x v="0"/>
    <x v="0"/>
    <x v="0"/>
    <x v="0"/>
    <x v="0"/>
    <s v="DK1_Large"/>
    <x v="0"/>
    <x v="0"/>
    <s v="GNR_ENG_BGAS_BP_E-39"/>
    <x v="0"/>
    <x v="17"/>
    <n v="4.1150000000000002"/>
    <n v="1501.9749999999999"/>
    <n v="5407.11"/>
  </r>
  <r>
    <x v="0"/>
    <x v="0"/>
    <x v="0"/>
    <x v="0"/>
    <x v="0"/>
    <s v="DK1_Large"/>
    <x v="0"/>
    <x v="0"/>
    <s v="GNR_ENG_BGAS_BP_E-39"/>
    <x v="0"/>
    <x v="18"/>
    <n v="4.1150000000000002"/>
    <n v="1501.9749999999999"/>
    <n v="5407.11"/>
  </r>
  <r>
    <x v="0"/>
    <x v="0"/>
    <x v="0"/>
    <x v="0"/>
    <x v="0"/>
    <s v="DK1_Large"/>
    <x v="0"/>
    <x v="0"/>
    <s v="GNR_ENG_BGAS_BP_E-39"/>
    <x v="0"/>
    <x v="19"/>
    <n v="4.1150000000000002"/>
    <n v="1501.9749999999999"/>
    <n v="5407.11"/>
  </r>
  <r>
    <x v="0"/>
    <x v="0"/>
    <x v="0"/>
    <x v="0"/>
    <x v="0"/>
    <s v="DK1_Large"/>
    <x v="0"/>
    <x v="0"/>
    <s v="GNR_ENG_BGAS_BP_E-39"/>
    <x v="0"/>
    <x v="20"/>
    <n v="4.1150000000000002"/>
    <n v="1501.9749999999999"/>
    <n v="5407.11"/>
  </r>
  <r>
    <x v="0"/>
    <x v="0"/>
    <x v="0"/>
    <x v="0"/>
    <x v="0"/>
    <s v="DK1_Large"/>
    <x v="0"/>
    <x v="0"/>
    <s v="GNR_ENG_BGAS_BP_E-39"/>
    <x v="0"/>
    <x v="21"/>
    <n v="4.1150000000000002"/>
    <n v="1501.9749999999999"/>
    <n v="5407.11"/>
  </r>
  <r>
    <x v="0"/>
    <x v="0"/>
    <x v="0"/>
    <x v="0"/>
    <x v="0"/>
    <s v="DK1_Large"/>
    <x v="0"/>
    <x v="0"/>
    <s v="GNR_ENG_BGAS_BP_E-39"/>
    <x v="0"/>
    <x v="22"/>
    <n v="4.1150000000000002"/>
    <n v="1501.9749999999999"/>
    <n v="5407.11"/>
  </r>
  <r>
    <x v="0"/>
    <x v="0"/>
    <x v="0"/>
    <x v="0"/>
    <x v="0"/>
    <s v="DK1_Large"/>
    <x v="0"/>
    <x v="0"/>
    <s v="GNR_ENG_BGAS_BP_E-39"/>
    <x v="0"/>
    <x v="23"/>
    <n v="4.1150000000000002"/>
    <n v="1501.9749999999999"/>
    <n v="5407.11"/>
  </r>
  <r>
    <x v="0"/>
    <x v="0"/>
    <x v="0"/>
    <x v="0"/>
    <x v="0"/>
    <s v="DK1_Large"/>
    <x v="0"/>
    <x v="0"/>
    <s v="GNR_ENG_BGAS_BP_E-40"/>
    <x v="0"/>
    <x v="0"/>
    <n v="1.2430000000000001"/>
    <n v="453.69499999999999"/>
    <n v="1633.3019999999999"/>
  </r>
  <r>
    <x v="0"/>
    <x v="0"/>
    <x v="0"/>
    <x v="0"/>
    <x v="0"/>
    <s v="DK1_Large"/>
    <x v="0"/>
    <x v="0"/>
    <s v="GNR_ENG_BGAS_BP_E-40"/>
    <x v="0"/>
    <x v="1"/>
    <n v="1.2430000000000001"/>
    <n v="453.69499999999999"/>
    <n v="1633.3019999999999"/>
  </r>
  <r>
    <x v="0"/>
    <x v="0"/>
    <x v="0"/>
    <x v="0"/>
    <x v="0"/>
    <s v="DK1_Large"/>
    <x v="0"/>
    <x v="0"/>
    <s v="GNR_ENG_BGAS_BP_E-40"/>
    <x v="0"/>
    <x v="2"/>
    <n v="1.2430000000000001"/>
    <n v="453.69499999999999"/>
    <n v="1633.3019999999999"/>
  </r>
  <r>
    <x v="0"/>
    <x v="0"/>
    <x v="0"/>
    <x v="0"/>
    <x v="0"/>
    <s v="DK1_Large"/>
    <x v="0"/>
    <x v="0"/>
    <s v="GNR_ENG_BGAS_BP_E-40"/>
    <x v="0"/>
    <x v="3"/>
    <n v="1.2430000000000001"/>
    <n v="453.69499999999999"/>
    <n v="1633.3019999999999"/>
  </r>
  <r>
    <x v="0"/>
    <x v="0"/>
    <x v="0"/>
    <x v="0"/>
    <x v="0"/>
    <s v="DK1_Large"/>
    <x v="0"/>
    <x v="0"/>
    <s v="GNR_ENG_BGAS_BP_E-40"/>
    <x v="0"/>
    <x v="4"/>
    <n v="1.2430000000000001"/>
    <n v="453.69499999999999"/>
    <n v="1633.3019999999999"/>
  </r>
  <r>
    <x v="0"/>
    <x v="0"/>
    <x v="0"/>
    <x v="0"/>
    <x v="0"/>
    <s v="DK1_Large"/>
    <x v="0"/>
    <x v="0"/>
    <s v="GNR_ENG_BGAS_BP_E-40"/>
    <x v="0"/>
    <x v="5"/>
    <n v="1.2430000000000001"/>
    <n v="453.69499999999999"/>
    <n v="1633.3019999999999"/>
  </r>
  <r>
    <x v="0"/>
    <x v="0"/>
    <x v="0"/>
    <x v="0"/>
    <x v="0"/>
    <s v="DK1_Large"/>
    <x v="0"/>
    <x v="0"/>
    <s v="GNR_ENG_BGAS_BP_E-40"/>
    <x v="0"/>
    <x v="6"/>
    <n v="1.2430000000000001"/>
    <n v="453.69499999999999"/>
    <n v="1633.3019999999999"/>
  </r>
  <r>
    <x v="0"/>
    <x v="0"/>
    <x v="0"/>
    <x v="0"/>
    <x v="0"/>
    <s v="DK1_Large"/>
    <x v="0"/>
    <x v="0"/>
    <s v="GNR_ENG_BGAS_BP_E-40"/>
    <x v="0"/>
    <x v="7"/>
    <n v="1.2430000000000001"/>
    <n v="453.69499999999999"/>
    <n v="1633.3019999999999"/>
  </r>
  <r>
    <x v="0"/>
    <x v="0"/>
    <x v="0"/>
    <x v="0"/>
    <x v="0"/>
    <s v="DK1_Large"/>
    <x v="0"/>
    <x v="0"/>
    <s v="GNR_ENG_BGAS_BP_E-40"/>
    <x v="0"/>
    <x v="8"/>
    <n v="1.2430000000000001"/>
    <n v="453.69499999999999"/>
    <n v="1633.3019999999999"/>
  </r>
  <r>
    <x v="0"/>
    <x v="0"/>
    <x v="0"/>
    <x v="0"/>
    <x v="0"/>
    <s v="DK1_Large"/>
    <x v="0"/>
    <x v="0"/>
    <s v="GNR_ENG_BGAS_BP_E-40"/>
    <x v="0"/>
    <x v="9"/>
    <n v="1.2430000000000001"/>
    <n v="453.69499999999999"/>
    <n v="1633.3019999999999"/>
  </r>
  <r>
    <x v="0"/>
    <x v="0"/>
    <x v="0"/>
    <x v="0"/>
    <x v="0"/>
    <s v="DK1_Large"/>
    <x v="0"/>
    <x v="0"/>
    <s v="GNR_ENG_BGAS_BP_E-40"/>
    <x v="0"/>
    <x v="10"/>
    <n v="1.2430000000000001"/>
    <n v="453.69499999999999"/>
    <n v="1633.3019999999999"/>
  </r>
  <r>
    <x v="0"/>
    <x v="0"/>
    <x v="0"/>
    <x v="0"/>
    <x v="0"/>
    <s v="DK1_Large"/>
    <x v="0"/>
    <x v="0"/>
    <s v="GNR_ENG_BGAS_BP_E-40"/>
    <x v="0"/>
    <x v="11"/>
    <n v="1.2430000000000001"/>
    <n v="453.69499999999999"/>
    <n v="1633.3019999999999"/>
  </r>
  <r>
    <x v="0"/>
    <x v="0"/>
    <x v="0"/>
    <x v="0"/>
    <x v="0"/>
    <s v="DK1_Large"/>
    <x v="0"/>
    <x v="0"/>
    <s v="GNR_ENG_BGAS_BP_E-40"/>
    <x v="0"/>
    <x v="12"/>
    <n v="1.2430000000000001"/>
    <n v="453.69499999999999"/>
    <n v="1633.3019999999999"/>
  </r>
  <r>
    <x v="0"/>
    <x v="0"/>
    <x v="0"/>
    <x v="0"/>
    <x v="0"/>
    <s v="DK1_Large"/>
    <x v="0"/>
    <x v="0"/>
    <s v="GNR_ENG_BGAS_BP_E-40"/>
    <x v="0"/>
    <x v="13"/>
    <n v="1.2430000000000001"/>
    <n v="453.69499999999999"/>
    <n v="1633.3019999999999"/>
  </r>
  <r>
    <x v="0"/>
    <x v="0"/>
    <x v="0"/>
    <x v="0"/>
    <x v="0"/>
    <s v="DK1_Large"/>
    <x v="0"/>
    <x v="0"/>
    <s v="GNR_ENG_BGAS_BP_E-40"/>
    <x v="0"/>
    <x v="14"/>
    <n v="1.2430000000000001"/>
    <n v="453.69499999999999"/>
    <n v="1633.3019999999999"/>
  </r>
  <r>
    <x v="0"/>
    <x v="0"/>
    <x v="0"/>
    <x v="0"/>
    <x v="0"/>
    <s v="DK1_Large"/>
    <x v="0"/>
    <x v="0"/>
    <s v="GNR_ENG_BGAS_BP_E-40"/>
    <x v="0"/>
    <x v="15"/>
    <n v="1.2430000000000001"/>
    <n v="453.69499999999999"/>
    <n v="1633.3019999999999"/>
  </r>
  <r>
    <x v="0"/>
    <x v="0"/>
    <x v="0"/>
    <x v="0"/>
    <x v="0"/>
    <s v="DK1_Large"/>
    <x v="0"/>
    <x v="0"/>
    <s v="GNR_ENG_BGAS_BP_E-40"/>
    <x v="0"/>
    <x v="16"/>
    <n v="1.2430000000000001"/>
    <n v="453.69499999999999"/>
    <n v="1633.3019999999999"/>
  </r>
  <r>
    <x v="0"/>
    <x v="0"/>
    <x v="0"/>
    <x v="0"/>
    <x v="0"/>
    <s v="DK1_Large"/>
    <x v="0"/>
    <x v="0"/>
    <s v="GNR_ENG_BGAS_BP_E-40"/>
    <x v="0"/>
    <x v="17"/>
    <n v="1.2430000000000001"/>
    <n v="453.69499999999999"/>
    <n v="1633.3019999999999"/>
  </r>
  <r>
    <x v="0"/>
    <x v="0"/>
    <x v="0"/>
    <x v="0"/>
    <x v="0"/>
    <s v="DK1_Large"/>
    <x v="0"/>
    <x v="0"/>
    <s v="GNR_ENG_BGAS_BP_E-40"/>
    <x v="0"/>
    <x v="18"/>
    <n v="1.2430000000000001"/>
    <n v="453.69499999999999"/>
    <n v="1633.3019999999999"/>
  </r>
  <r>
    <x v="0"/>
    <x v="0"/>
    <x v="0"/>
    <x v="0"/>
    <x v="0"/>
    <s v="DK1_Large"/>
    <x v="0"/>
    <x v="0"/>
    <s v="GNR_ENG_BGAS_BP_E-40"/>
    <x v="0"/>
    <x v="19"/>
    <n v="1.2430000000000001"/>
    <n v="453.69499999999999"/>
    <n v="1633.3019999999999"/>
  </r>
  <r>
    <x v="0"/>
    <x v="0"/>
    <x v="0"/>
    <x v="0"/>
    <x v="0"/>
    <s v="DK1_Large"/>
    <x v="0"/>
    <x v="0"/>
    <s v="GNR_ENG_BGAS_BP_E-40"/>
    <x v="0"/>
    <x v="20"/>
    <n v="1.2430000000000001"/>
    <n v="453.69499999999999"/>
    <n v="1633.3019999999999"/>
  </r>
  <r>
    <x v="0"/>
    <x v="0"/>
    <x v="0"/>
    <x v="0"/>
    <x v="0"/>
    <s v="DK1_Large"/>
    <x v="0"/>
    <x v="0"/>
    <s v="GNR_ENG_BGAS_BP_E-40"/>
    <x v="0"/>
    <x v="21"/>
    <n v="1.2430000000000001"/>
    <n v="453.69499999999999"/>
    <n v="1633.3019999999999"/>
  </r>
  <r>
    <x v="0"/>
    <x v="0"/>
    <x v="0"/>
    <x v="0"/>
    <x v="0"/>
    <s v="DK1_Large"/>
    <x v="0"/>
    <x v="0"/>
    <s v="GNR_ENG_BGAS_BP_E-40"/>
    <x v="0"/>
    <x v="22"/>
    <n v="1.2430000000000001"/>
    <n v="453.69499999999999"/>
    <n v="1633.3019999999999"/>
  </r>
  <r>
    <x v="0"/>
    <x v="0"/>
    <x v="0"/>
    <x v="0"/>
    <x v="0"/>
    <s v="DK1_Large"/>
    <x v="0"/>
    <x v="0"/>
    <s v="GNR_ENG_BGAS_BP_E-40"/>
    <x v="0"/>
    <x v="23"/>
    <n v="1.2430000000000001"/>
    <n v="453.69499999999999"/>
    <n v="1633.3019999999999"/>
  </r>
  <r>
    <x v="0"/>
    <x v="0"/>
    <x v="0"/>
    <x v="0"/>
    <x v="0"/>
    <s v="DK1_Large"/>
    <x v="0"/>
    <x v="0"/>
    <s v="GNR_ENG_BGAS_BP_E-41"/>
    <x v="0"/>
    <x v="0"/>
    <n v="2.677"/>
    <n v="977.10500000000002"/>
    <n v="3517.578"/>
  </r>
  <r>
    <x v="0"/>
    <x v="0"/>
    <x v="0"/>
    <x v="0"/>
    <x v="0"/>
    <s v="DK1_Large"/>
    <x v="0"/>
    <x v="0"/>
    <s v="GNR_ENG_BGAS_BP_E-41"/>
    <x v="0"/>
    <x v="1"/>
    <n v="2.677"/>
    <n v="977.10500000000002"/>
    <n v="3517.578"/>
  </r>
  <r>
    <x v="0"/>
    <x v="0"/>
    <x v="0"/>
    <x v="0"/>
    <x v="0"/>
    <s v="DK1_Large"/>
    <x v="0"/>
    <x v="0"/>
    <s v="GNR_ENG_BGAS_BP_E-41"/>
    <x v="0"/>
    <x v="2"/>
    <n v="2.677"/>
    <n v="977.10500000000002"/>
    <n v="3517.578"/>
  </r>
  <r>
    <x v="0"/>
    <x v="0"/>
    <x v="0"/>
    <x v="0"/>
    <x v="0"/>
    <s v="DK1_Large"/>
    <x v="0"/>
    <x v="0"/>
    <s v="GNR_ENG_BGAS_BP_E-41"/>
    <x v="0"/>
    <x v="3"/>
    <n v="2.677"/>
    <n v="977.10500000000002"/>
    <n v="3517.578"/>
  </r>
  <r>
    <x v="0"/>
    <x v="0"/>
    <x v="0"/>
    <x v="0"/>
    <x v="0"/>
    <s v="DK1_Large"/>
    <x v="0"/>
    <x v="0"/>
    <s v="GNR_ENG_BGAS_BP_E-41"/>
    <x v="0"/>
    <x v="4"/>
    <n v="2.677"/>
    <n v="977.10500000000002"/>
    <n v="3517.578"/>
  </r>
  <r>
    <x v="0"/>
    <x v="0"/>
    <x v="0"/>
    <x v="0"/>
    <x v="0"/>
    <s v="DK1_Large"/>
    <x v="0"/>
    <x v="0"/>
    <s v="GNR_ENG_BGAS_BP_E-41"/>
    <x v="0"/>
    <x v="5"/>
    <n v="2.677"/>
    <n v="977.10500000000002"/>
    <n v="3517.578"/>
  </r>
  <r>
    <x v="0"/>
    <x v="0"/>
    <x v="0"/>
    <x v="0"/>
    <x v="0"/>
    <s v="DK1_Large"/>
    <x v="0"/>
    <x v="0"/>
    <s v="GNR_ENG_BGAS_BP_E-41"/>
    <x v="0"/>
    <x v="6"/>
    <n v="2.677"/>
    <n v="977.10500000000002"/>
    <n v="3517.578"/>
  </r>
  <r>
    <x v="0"/>
    <x v="0"/>
    <x v="0"/>
    <x v="0"/>
    <x v="0"/>
    <s v="DK1_Large"/>
    <x v="0"/>
    <x v="0"/>
    <s v="GNR_ENG_BGAS_BP_E-41"/>
    <x v="0"/>
    <x v="7"/>
    <n v="2.677"/>
    <n v="977.10500000000002"/>
    <n v="3517.578"/>
  </r>
  <r>
    <x v="0"/>
    <x v="0"/>
    <x v="0"/>
    <x v="0"/>
    <x v="0"/>
    <s v="DK1_Large"/>
    <x v="0"/>
    <x v="0"/>
    <s v="GNR_ENG_BGAS_BP_E-41"/>
    <x v="0"/>
    <x v="8"/>
    <n v="2.677"/>
    <n v="977.10500000000002"/>
    <n v="3517.578"/>
  </r>
  <r>
    <x v="0"/>
    <x v="0"/>
    <x v="0"/>
    <x v="0"/>
    <x v="0"/>
    <s v="DK1_Large"/>
    <x v="0"/>
    <x v="0"/>
    <s v="GNR_ENG_BGAS_BP_E-41"/>
    <x v="0"/>
    <x v="9"/>
    <n v="2.677"/>
    <n v="977.10500000000002"/>
    <n v="3517.578"/>
  </r>
  <r>
    <x v="0"/>
    <x v="0"/>
    <x v="0"/>
    <x v="0"/>
    <x v="0"/>
    <s v="DK1_Large"/>
    <x v="0"/>
    <x v="0"/>
    <s v="GNR_ENG_BGAS_BP_E-41"/>
    <x v="0"/>
    <x v="10"/>
    <n v="2.677"/>
    <n v="977.10500000000002"/>
    <n v="3517.578"/>
  </r>
  <r>
    <x v="0"/>
    <x v="0"/>
    <x v="0"/>
    <x v="0"/>
    <x v="0"/>
    <s v="DK1_Large"/>
    <x v="0"/>
    <x v="0"/>
    <s v="GNR_ENG_BGAS_BP_E-41"/>
    <x v="0"/>
    <x v="11"/>
    <n v="2.677"/>
    <n v="977.10500000000002"/>
    <n v="3517.578"/>
  </r>
  <r>
    <x v="0"/>
    <x v="0"/>
    <x v="0"/>
    <x v="0"/>
    <x v="0"/>
    <s v="DK1_Large"/>
    <x v="0"/>
    <x v="0"/>
    <s v="GNR_ENG_BGAS_BP_E-41"/>
    <x v="0"/>
    <x v="12"/>
    <n v="2.677"/>
    <n v="977.10500000000002"/>
    <n v="3517.578"/>
  </r>
  <r>
    <x v="0"/>
    <x v="0"/>
    <x v="0"/>
    <x v="0"/>
    <x v="0"/>
    <s v="DK1_Large"/>
    <x v="0"/>
    <x v="0"/>
    <s v="GNR_ENG_BGAS_BP_E-41"/>
    <x v="0"/>
    <x v="13"/>
    <n v="2.677"/>
    <n v="977.10500000000002"/>
    <n v="3517.578"/>
  </r>
  <r>
    <x v="0"/>
    <x v="0"/>
    <x v="0"/>
    <x v="0"/>
    <x v="0"/>
    <s v="DK1_Large"/>
    <x v="0"/>
    <x v="0"/>
    <s v="GNR_ENG_BGAS_BP_E-41"/>
    <x v="0"/>
    <x v="14"/>
    <n v="2.677"/>
    <n v="977.10500000000002"/>
    <n v="3517.578"/>
  </r>
  <r>
    <x v="0"/>
    <x v="0"/>
    <x v="0"/>
    <x v="0"/>
    <x v="0"/>
    <s v="DK1_Large"/>
    <x v="0"/>
    <x v="0"/>
    <s v="GNR_ENG_BGAS_BP_E-41"/>
    <x v="0"/>
    <x v="15"/>
    <n v="2.677"/>
    <n v="977.10500000000002"/>
    <n v="3517.578"/>
  </r>
  <r>
    <x v="0"/>
    <x v="0"/>
    <x v="0"/>
    <x v="0"/>
    <x v="0"/>
    <s v="DK1_Large"/>
    <x v="0"/>
    <x v="0"/>
    <s v="GNR_ENG_BGAS_BP_E-41"/>
    <x v="0"/>
    <x v="16"/>
    <n v="2.677"/>
    <n v="977.10500000000002"/>
    <n v="3517.578"/>
  </r>
  <r>
    <x v="0"/>
    <x v="0"/>
    <x v="0"/>
    <x v="0"/>
    <x v="0"/>
    <s v="DK1_Large"/>
    <x v="0"/>
    <x v="0"/>
    <s v="GNR_ENG_BGAS_BP_E-41"/>
    <x v="0"/>
    <x v="17"/>
    <n v="2.677"/>
    <n v="977.10500000000002"/>
    <n v="3517.578"/>
  </r>
  <r>
    <x v="0"/>
    <x v="0"/>
    <x v="0"/>
    <x v="0"/>
    <x v="0"/>
    <s v="DK1_Large"/>
    <x v="0"/>
    <x v="0"/>
    <s v="GNR_ENG_BGAS_BP_E-41"/>
    <x v="0"/>
    <x v="18"/>
    <n v="2.677"/>
    <n v="977.10500000000002"/>
    <n v="3517.578"/>
  </r>
  <r>
    <x v="0"/>
    <x v="0"/>
    <x v="0"/>
    <x v="0"/>
    <x v="0"/>
    <s v="DK1_Large"/>
    <x v="0"/>
    <x v="0"/>
    <s v="GNR_ENG_BGAS_BP_E-41"/>
    <x v="0"/>
    <x v="19"/>
    <n v="2.677"/>
    <n v="977.10500000000002"/>
    <n v="3517.578"/>
  </r>
  <r>
    <x v="0"/>
    <x v="0"/>
    <x v="0"/>
    <x v="0"/>
    <x v="0"/>
    <s v="DK1_Large"/>
    <x v="0"/>
    <x v="0"/>
    <s v="GNR_ENG_BGAS_BP_E-41"/>
    <x v="0"/>
    <x v="20"/>
    <n v="2.677"/>
    <n v="977.10500000000002"/>
    <n v="3517.578"/>
  </r>
  <r>
    <x v="0"/>
    <x v="0"/>
    <x v="0"/>
    <x v="0"/>
    <x v="0"/>
    <s v="DK1_Large"/>
    <x v="0"/>
    <x v="0"/>
    <s v="GNR_ENG_BGAS_BP_E-41"/>
    <x v="0"/>
    <x v="21"/>
    <n v="2.677"/>
    <n v="977.10500000000002"/>
    <n v="3517.578"/>
  </r>
  <r>
    <x v="0"/>
    <x v="0"/>
    <x v="0"/>
    <x v="0"/>
    <x v="0"/>
    <s v="DK1_Large"/>
    <x v="0"/>
    <x v="0"/>
    <s v="GNR_ENG_BGAS_BP_E-41"/>
    <x v="0"/>
    <x v="22"/>
    <n v="2.677"/>
    <n v="977.10500000000002"/>
    <n v="3517.578"/>
  </r>
  <r>
    <x v="0"/>
    <x v="0"/>
    <x v="0"/>
    <x v="0"/>
    <x v="0"/>
    <s v="DK1_Large"/>
    <x v="0"/>
    <x v="0"/>
    <s v="GNR_ENG_BGAS_BP_E-41"/>
    <x v="0"/>
    <x v="23"/>
    <n v="2.677"/>
    <n v="977.10500000000002"/>
    <n v="3517.578"/>
  </r>
  <r>
    <x v="0"/>
    <x v="0"/>
    <x v="0"/>
    <x v="0"/>
    <x v="0"/>
    <s v="DK1_Large"/>
    <x v="0"/>
    <x v="0"/>
    <s v="GNR_ENG_BGAS_BP_E-42"/>
    <x v="0"/>
    <x v="0"/>
    <n v="3.0030000000000001"/>
    <n v="1096.095"/>
    <n v="3945.942"/>
  </r>
  <r>
    <x v="0"/>
    <x v="0"/>
    <x v="0"/>
    <x v="0"/>
    <x v="0"/>
    <s v="DK1_Large"/>
    <x v="0"/>
    <x v="0"/>
    <s v="GNR_ENG_BGAS_BP_E-42"/>
    <x v="0"/>
    <x v="1"/>
    <n v="3.0030000000000001"/>
    <n v="1096.095"/>
    <n v="3945.942"/>
  </r>
  <r>
    <x v="0"/>
    <x v="0"/>
    <x v="0"/>
    <x v="0"/>
    <x v="0"/>
    <s v="DK1_Large"/>
    <x v="0"/>
    <x v="0"/>
    <s v="GNR_ENG_BGAS_BP_E-42"/>
    <x v="0"/>
    <x v="2"/>
    <n v="3.0030000000000001"/>
    <n v="1096.095"/>
    <n v="3945.942"/>
  </r>
  <r>
    <x v="0"/>
    <x v="0"/>
    <x v="0"/>
    <x v="0"/>
    <x v="0"/>
    <s v="DK1_Large"/>
    <x v="0"/>
    <x v="0"/>
    <s v="GNR_ENG_BGAS_BP_E-42"/>
    <x v="0"/>
    <x v="3"/>
    <n v="3.0030000000000001"/>
    <n v="1096.095"/>
    <n v="3945.942"/>
  </r>
  <r>
    <x v="0"/>
    <x v="0"/>
    <x v="0"/>
    <x v="0"/>
    <x v="0"/>
    <s v="DK1_Large"/>
    <x v="0"/>
    <x v="0"/>
    <s v="GNR_ENG_BGAS_BP_E-42"/>
    <x v="0"/>
    <x v="4"/>
    <n v="3.0030000000000001"/>
    <n v="1096.095"/>
    <n v="3945.942"/>
  </r>
  <r>
    <x v="0"/>
    <x v="0"/>
    <x v="0"/>
    <x v="0"/>
    <x v="0"/>
    <s v="DK1_Large"/>
    <x v="0"/>
    <x v="0"/>
    <s v="GNR_ENG_BGAS_BP_E-42"/>
    <x v="0"/>
    <x v="5"/>
    <n v="3.0030000000000001"/>
    <n v="1096.095"/>
    <n v="3945.942"/>
  </r>
  <r>
    <x v="0"/>
    <x v="0"/>
    <x v="0"/>
    <x v="0"/>
    <x v="0"/>
    <s v="DK1_Large"/>
    <x v="0"/>
    <x v="0"/>
    <s v="GNR_ENG_BGAS_BP_E-42"/>
    <x v="0"/>
    <x v="6"/>
    <n v="3.0030000000000001"/>
    <n v="1096.095"/>
    <n v="3945.942"/>
  </r>
  <r>
    <x v="0"/>
    <x v="0"/>
    <x v="0"/>
    <x v="0"/>
    <x v="0"/>
    <s v="DK1_Large"/>
    <x v="0"/>
    <x v="0"/>
    <s v="GNR_ENG_BGAS_BP_E-42"/>
    <x v="0"/>
    <x v="7"/>
    <n v="3.0030000000000001"/>
    <n v="1096.095"/>
    <n v="3945.942"/>
  </r>
  <r>
    <x v="0"/>
    <x v="0"/>
    <x v="0"/>
    <x v="0"/>
    <x v="0"/>
    <s v="DK1_Large"/>
    <x v="0"/>
    <x v="0"/>
    <s v="GNR_ENG_BGAS_BP_E-42"/>
    <x v="0"/>
    <x v="8"/>
    <n v="3.0030000000000001"/>
    <n v="1096.095"/>
    <n v="3945.942"/>
  </r>
  <r>
    <x v="0"/>
    <x v="0"/>
    <x v="0"/>
    <x v="0"/>
    <x v="0"/>
    <s v="DK1_Large"/>
    <x v="0"/>
    <x v="0"/>
    <s v="GNR_ENG_BGAS_BP_E-42"/>
    <x v="0"/>
    <x v="9"/>
    <n v="3.0030000000000001"/>
    <n v="1096.095"/>
    <n v="3945.942"/>
  </r>
  <r>
    <x v="0"/>
    <x v="0"/>
    <x v="0"/>
    <x v="0"/>
    <x v="0"/>
    <s v="DK1_Large"/>
    <x v="0"/>
    <x v="0"/>
    <s v="GNR_ENG_BGAS_BP_E-42"/>
    <x v="0"/>
    <x v="10"/>
    <n v="3.0030000000000001"/>
    <n v="1096.095"/>
    <n v="3945.942"/>
  </r>
  <r>
    <x v="0"/>
    <x v="0"/>
    <x v="0"/>
    <x v="0"/>
    <x v="0"/>
    <s v="DK1_Large"/>
    <x v="0"/>
    <x v="0"/>
    <s v="GNR_ENG_BGAS_BP_E-42"/>
    <x v="0"/>
    <x v="11"/>
    <n v="3.0030000000000001"/>
    <n v="1096.095"/>
    <n v="3945.942"/>
  </r>
  <r>
    <x v="0"/>
    <x v="0"/>
    <x v="0"/>
    <x v="0"/>
    <x v="0"/>
    <s v="DK1_Large"/>
    <x v="0"/>
    <x v="0"/>
    <s v="GNR_ENG_BGAS_BP_E-42"/>
    <x v="0"/>
    <x v="12"/>
    <n v="3.0030000000000001"/>
    <n v="1096.095"/>
    <n v="3945.942"/>
  </r>
  <r>
    <x v="0"/>
    <x v="0"/>
    <x v="0"/>
    <x v="0"/>
    <x v="0"/>
    <s v="DK1_Large"/>
    <x v="0"/>
    <x v="0"/>
    <s v="GNR_ENG_BGAS_BP_E-42"/>
    <x v="0"/>
    <x v="13"/>
    <n v="3.0030000000000001"/>
    <n v="1096.095"/>
    <n v="3945.942"/>
  </r>
  <r>
    <x v="0"/>
    <x v="0"/>
    <x v="0"/>
    <x v="0"/>
    <x v="0"/>
    <s v="DK1_Large"/>
    <x v="0"/>
    <x v="0"/>
    <s v="GNR_ENG_BGAS_BP_E-42"/>
    <x v="0"/>
    <x v="14"/>
    <n v="3.0030000000000001"/>
    <n v="1096.095"/>
    <n v="3945.942"/>
  </r>
  <r>
    <x v="0"/>
    <x v="0"/>
    <x v="0"/>
    <x v="0"/>
    <x v="0"/>
    <s v="DK1_Large"/>
    <x v="0"/>
    <x v="0"/>
    <s v="GNR_ENG_BGAS_BP_E-42"/>
    <x v="0"/>
    <x v="15"/>
    <n v="3.0030000000000001"/>
    <n v="1096.095"/>
    <n v="3945.942"/>
  </r>
  <r>
    <x v="0"/>
    <x v="0"/>
    <x v="0"/>
    <x v="0"/>
    <x v="0"/>
    <s v="DK1_Large"/>
    <x v="0"/>
    <x v="0"/>
    <s v="GNR_ENG_BGAS_BP_E-42"/>
    <x v="0"/>
    <x v="16"/>
    <n v="3.0030000000000001"/>
    <n v="1096.095"/>
    <n v="3945.942"/>
  </r>
  <r>
    <x v="0"/>
    <x v="0"/>
    <x v="0"/>
    <x v="0"/>
    <x v="0"/>
    <s v="DK1_Large"/>
    <x v="0"/>
    <x v="0"/>
    <s v="GNR_ENG_BGAS_BP_E-42"/>
    <x v="0"/>
    <x v="17"/>
    <n v="3.0030000000000001"/>
    <n v="1096.095"/>
    <n v="3945.942"/>
  </r>
  <r>
    <x v="0"/>
    <x v="0"/>
    <x v="0"/>
    <x v="0"/>
    <x v="0"/>
    <s v="DK1_Large"/>
    <x v="0"/>
    <x v="0"/>
    <s v="GNR_ENG_BGAS_BP_E-42"/>
    <x v="0"/>
    <x v="18"/>
    <n v="3.0030000000000001"/>
    <n v="1096.095"/>
    <n v="3945.942"/>
  </r>
  <r>
    <x v="0"/>
    <x v="0"/>
    <x v="0"/>
    <x v="0"/>
    <x v="0"/>
    <s v="DK1_Large"/>
    <x v="0"/>
    <x v="0"/>
    <s v="GNR_ENG_BGAS_BP_E-42"/>
    <x v="0"/>
    <x v="19"/>
    <n v="3.0030000000000001"/>
    <n v="1096.095"/>
    <n v="3945.942"/>
  </r>
  <r>
    <x v="0"/>
    <x v="0"/>
    <x v="0"/>
    <x v="0"/>
    <x v="0"/>
    <s v="DK1_Large"/>
    <x v="0"/>
    <x v="0"/>
    <s v="GNR_ENG_BGAS_BP_E-42"/>
    <x v="0"/>
    <x v="20"/>
    <n v="3.0030000000000001"/>
    <n v="1096.095"/>
    <n v="3945.942"/>
  </r>
  <r>
    <x v="0"/>
    <x v="0"/>
    <x v="0"/>
    <x v="0"/>
    <x v="0"/>
    <s v="DK1_Large"/>
    <x v="0"/>
    <x v="0"/>
    <s v="GNR_ENG_BGAS_BP_E-42"/>
    <x v="0"/>
    <x v="21"/>
    <n v="3.0030000000000001"/>
    <n v="1096.095"/>
    <n v="3945.942"/>
  </r>
  <r>
    <x v="0"/>
    <x v="0"/>
    <x v="0"/>
    <x v="0"/>
    <x v="0"/>
    <s v="DK1_Large"/>
    <x v="0"/>
    <x v="0"/>
    <s v="GNR_ENG_BGAS_BP_E-42"/>
    <x v="0"/>
    <x v="22"/>
    <n v="3.0030000000000001"/>
    <n v="1096.095"/>
    <n v="3945.942"/>
  </r>
  <r>
    <x v="0"/>
    <x v="0"/>
    <x v="0"/>
    <x v="0"/>
    <x v="0"/>
    <s v="DK1_Large"/>
    <x v="0"/>
    <x v="0"/>
    <s v="GNR_ENG_BGAS_BP_E-42"/>
    <x v="0"/>
    <x v="23"/>
    <n v="3.0030000000000001"/>
    <n v="1096.095"/>
    <n v="3945.942"/>
  </r>
  <r>
    <x v="0"/>
    <x v="0"/>
    <x v="0"/>
    <x v="0"/>
    <x v="0"/>
    <s v="DK1_Large"/>
    <x v="0"/>
    <x v="0"/>
    <s v="GNR_ENG_BGAS_BP_E-43"/>
    <x v="0"/>
    <x v="0"/>
    <n v="3.0470000000000002"/>
    <n v="1112.155"/>
    <n v="4003.7579999999998"/>
  </r>
  <r>
    <x v="0"/>
    <x v="0"/>
    <x v="0"/>
    <x v="0"/>
    <x v="0"/>
    <s v="DK1_Large"/>
    <x v="0"/>
    <x v="0"/>
    <s v="GNR_ENG_BGAS_BP_E-43"/>
    <x v="0"/>
    <x v="1"/>
    <n v="3.0470000000000002"/>
    <n v="1112.155"/>
    <n v="4003.7579999999998"/>
  </r>
  <r>
    <x v="0"/>
    <x v="0"/>
    <x v="0"/>
    <x v="0"/>
    <x v="0"/>
    <s v="DK1_Large"/>
    <x v="0"/>
    <x v="0"/>
    <s v="GNR_ENG_BGAS_BP_E-43"/>
    <x v="0"/>
    <x v="2"/>
    <n v="3.0470000000000002"/>
    <n v="1112.155"/>
    <n v="4003.7579999999998"/>
  </r>
  <r>
    <x v="0"/>
    <x v="0"/>
    <x v="0"/>
    <x v="0"/>
    <x v="0"/>
    <s v="DK1_Large"/>
    <x v="0"/>
    <x v="0"/>
    <s v="GNR_ENG_BGAS_BP_E-43"/>
    <x v="0"/>
    <x v="3"/>
    <n v="3.0470000000000002"/>
    <n v="1112.155"/>
    <n v="4003.7579999999998"/>
  </r>
  <r>
    <x v="0"/>
    <x v="0"/>
    <x v="0"/>
    <x v="0"/>
    <x v="0"/>
    <s v="DK1_Large"/>
    <x v="0"/>
    <x v="0"/>
    <s v="GNR_ENG_BGAS_BP_E-43"/>
    <x v="0"/>
    <x v="4"/>
    <n v="3.0470000000000002"/>
    <n v="1112.155"/>
    <n v="4003.7579999999998"/>
  </r>
  <r>
    <x v="0"/>
    <x v="0"/>
    <x v="0"/>
    <x v="0"/>
    <x v="0"/>
    <s v="DK1_Large"/>
    <x v="0"/>
    <x v="0"/>
    <s v="GNR_ENG_BGAS_BP_E-43"/>
    <x v="0"/>
    <x v="5"/>
    <n v="3.0470000000000002"/>
    <n v="1112.155"/>
    <n v="4003.7579999999998"/>
  </r>
  <r>
    <x v="0"/>
    <x v="0"/>
    <x v="0"/>
    <x v="0"/>
    <x v="0"/>
    <s v="DK1_Large"/>
    <x v="0"/>
    <x v="0"/>
    <s v="GNR_ENG_BGAS_BP_E-43"/>
    <x v="0"/>
    <x v="6"/>
    <n v="3.0470000000000002"/>
    <n v="1112.155"/>
    <n v="4003.7579999999998"/>
  </r>
  <r>
    <x v="0"/>
    <x v="0"/>
    <x v="0"/>
    <x v="0"/>
    <x v="0"/>
    <s v="DK1_Large"/>
    <x v="0"/>
    <x v="0"/>
    <s v="GNR_ENG_BGAS_BP_E-43"/>
    <x v="0"/>
    <x v="7"/>
    <n v="3.0470000000000002"/>
    <n v="1112.155"/>
    <n v="4003.7579999999998"/>
  </r>
  <r>
    <x v="0"/>
    <x v="0"/>
    <x v="0"/>
    <x v="0"/>
    <x v="0"/>
    <s v="DK1_Large"/>
    <x v="0"/>
    <x v="0"/>
    <s v="GNR_ENG_BGAS_BP_E-43"/>
    <x v="0"/>
    <x v="8"/>
    <n v="3.0470000000000002"/>
    <n v="1112.155"/>
    <n v="4003.7579999999998"/>
  </r>
  <r>
    <x v="0"/>
    <x v="0"/>
    <x v="0"/>
    <x v="0"/>
    <x v="0"/>
    <s v="DK1_Large"/>
    <x v="0"/>
    <x v="0"/>
    <s v="GNR_ENG_BGAS_BP_E-43"/>
    <x v="0"/>
    <x v="9"/>
    <n v="3.0470000000000002"/>
    <n v="1112.155"/>
    <n v="4003.7579999999998"/>
  </r>
  <r>
    <x v="0"/>
    <x v="0"/>
    <x v="0"/>
    <x v="0"/>
    <x v="0"/>
    <s v="DK1_Large"/>
    <x v="0"/>
    <x v="0"/>
    <s v="GNR_ENG_BGAS_BP_E-43"/>
    <x v="0"/>
    <x v="10"/>
    <n v="3.0470000000000002"/>
    <n v="1112.155"/>
    <n v="4003.7579999999998"/>
  </r>
  <r>
    <x v="0"/>
    <x v="0"/>
    <x v="0"/>
    <x v="0"/>
    <x v="0"/>
    <s v="DK1_Large"/>
    <x v="0"/>
    <x v="0"/>
    <s v="GNR_ENG_BGAS_BP_E-43"/>
    <x v="0"/>
    <x v="11"/>
    <n v="3.0470000000000002"/>
    <n v="1112.155"/>
    <n v="4003.7579999999998"/>
  </r>
  <r>
    <x v="0"/>
    <x v="0"/>
    <x v="0"/>
    <x v="0"/>
    <x v="0"/>
    <s v="DK1_Large"/>
    <x v="0"/>
    <x v="0"/>
    <s v="GNR_ENG_BGAS_BP_E-43"/>
    <x v="0"/>
    <x v="12"/>
    <n v="3.0470000000000002"/>
    <n v="1112.155"/>
    <n v="4003.7579999999998"/>
  </r>
  <r>
    <x v="0"/>
    <x v="0"/>
    <x v="0"/>
    <x v="0"/>
    <x v="0"/>
    <s v="DK1_Large"/>
    <x v="0"/>
    <x v="0"/>
    <s v="GNR_ENG_BGAS_BP_E-43"/>
    <x v="0"/>
    <x v="13"/>
    <n v="3.0470000000000002"/>
    <n v="1112.155"/>
    <n v="4003.7579999999998"/>
  </r>
  <r>
    <x v="0"/>
    <x v="0"/>
    <x v="0"/>
    <x v="0"/>
    <x v="0"/>
    <s v="DK1_Large"/>
    <x v="0"/>
    <x v="0"/>
    <s v="GNR_ENG_BGAS_BP_E-43"/>
    <x v="0"/>
    <x v="14"/>
    <n v="3.0470000000000002"/>
    <n v="1112.155"/>
    <n v="4003.7579999999998"/>
  </r>
  <r>
    <x v="0"/>
    <x v="0"/>
    <x v="0"/>
    <x v="0"/>
    <x v="0"/>
    <s v="DK1_Large"/>
    <x v="0"/>
    <x v="0"/>
    <s v="GNR_ENG_BGAS_BP_E-43"/>
    <x v="0"/>
    <x v="15"/>
    <n v="3.0470000000000002"/>
    <n v="1112.155"/>
    <n v="4003.7579999999998"/>
  </r>
  <r>
    <x v="0"/>
    <x v="0"/>
    <x v="0"/>
    <x v="0"/>
    <x v="0"/>
    <s v="DK1_Large"/>
    <x v="0"/>
    <x v="0"/>
    <s v="GNR_ENG_BGAS_BP_E-43"/>
    <x v="0"/>
    <x v="16"/>
    <n v="3.0470000000000002"/>
    <n v="1112.155"/>
    <n v="4003.7579999999998"/>
  </r>
  <r>
    <x v="0"/>
    <x v="0"/>
    <x v="0"/>
    <x v="0"/>
    <x v="0"/>
    <s v="DK1_Large"/>
    <x v="0"/>
    <x v="0"/>
    <s v="GNR_ENG_BGAS_BP_E-43"/>
    <x v="0"/>
    <x v="17"/>
    <n v="3.0470000000000002"/>
    <n v="1112.155"/>
    <n v="4003.7579999999998"/>
  </r>
  <r>
    <x v="0"/>
    <x v="0"/>
    <x v="0"/>
    <x v="0"/>
    <x v="0"/>
    <s v="DK1_Large"/>
    <x v="0"/>
    <x v="0"/>
    <s v="GNR_ENG_BGAS_BP_E-43"/>
    <x v="0"/>
    <x v="18"/>
    <n v="3.0470000000000002"/>
    <n v="1112.155"/>
    <n v="4003.7579999999998"/>
  </r>
  <r>
    <x v="0"/>
    <x v="0"/>
    <x v="0"/>
    <x v="0"/>
    <x v="0"/>
    <s v="DK1_Large"/>
    <x v="0"/>
    <x v="0"/>
    <s v="GNR_ENG_BGAS_BP_E-43"/>
    <x v="0"/>
    <x v="19"/>
    <n v="3.0470000000000002"/>
    <n v="1112.155"/>
    <n v="4003.7579999999998"/>
  </r>
  <r>
    <x v="0"/>
    <x v="0"/>
    <x v="0"/>
    <x v="0"/>
    <x v="0"/>
    <s v="DK1_Large"/>
    <x v="0"/>
    <x v="0"/>
    <s v="GNR_ENG_BGAS_BP_E-43"/>
    <x v="0"/>
    <x v="20"/>
    <n v="3.0470000000000002"/>
    <n v="1112.155"/>
    <n v="4003.7579999999998"/>
  </r>
  <r>
    <x v="0"/>
    <x v="0"/>
    <x v="0"/>
    <x v="0"/>
    <x v="0"/>
    <s v="DK1_Large"/>
    <x v="0"/>
    <x v="0"/>
    <s v="GNR_ENG_BGAS_BP_E-43"/>
    <x v="0"/>
    <x v="21"/>
    <n v="3.0470000000000002"/>
    <n v="1112.155"/>
    <n v="4003.7579999999998"/>
  </r>
  <r>
    <x v="0"/>
    <x v="0"/>
    <x v="0"/>
    <x v="0"/>
    <x v="0"/>
    <s v="DK1_Large"/>
    <x v="0"/>
    <x v="0"/>
    <s v="GNR_ENG_BGAS_BP_E-43"/>
    <x v="0"/>
    <x v="22"/>
    <n v="3.0470000000000002"/>
    <n v="1112.155"/>
    <n v="4003.7579999999998"/>
  </r>
  <r>
    <x v="0"/>
    <x v="0"/>
    <x v="0"/>
    <x v="0"/>
    <x v="0"/>
    <s v="DK1_Large"/>
    <x v="0"/>
    <x v="0"/>
    <s v="GNR_ENG_BGAS_BP_E-43"/>
    <x v="0"/>
    <x v="23"/>
    <n v="3.0470000000000002"/>
    <n v="1112.155"/>
    <n v="4003.7579999999998"/>
  </r>
  <r>
    <x v="0"/>
    <x v="0"/>
    <x v="0"/>
    <x v="0"/>
    <x v="0"/>
    <s v="DK1_Large"/>
    <x v="1"/>
    <x v="0"/>
    <s v="GNR_ST_MSW_BP_E-18"/>
    <x v="0"/>
    <x v="0"/>
    <n v="2.85"/>
    <n v="1040.25"/>
    <n v="3744.9"/>
  </r>
  <r>
    <x v="0"/>
    <x v="0"/>
    <x v="0"/>
    <x v="0"/>
    <x v="0"/>
    <s v="DK1_Large"/>
    <x v="1"/>
    <x v="0"/>
    <s v="GNR_ST_MSW_BP_E-18"/>
    <x v="0"/>
    <x v="1"/>
    <n v="2.85"/>
    <n v="1040.25"/>
    <n v="3744.9"/>
  </r>
  <r>
    <x v="0"/>
    <x v="0"/>
    <x v="0"/>
    <x v="0"/>
    <x v="0"/>
    <s v="DK1_Large"/>
    <x v="1"/>
    <x v="0"/>
    <s v="GNR_ST_MSW_BP_E-18"/>
    <x v="0"/>
    <x v="2"/>
    <n v="2.85"/>
    <n v="1040.25"/>
    <n v="3744.9"/>
  </r>
  <r>
    <x v="0"/>
    <x v="0"/>
    <x v="0"/>
    <x v="0"/>
    <x v="0"/>
    <s v="DK1_Large"/>
    <x v="1"/>
    <x v="0"/>
    <s v="GNR_ST_MSW_BP_E-18"/>
    <x v="0"/>
    <x v="3"/>
    <n v="2.85"/>
    <n v="1040.25"/>
    <n v="3744.9"/>
  </r>
  <r>
    <x v="0"/>
    <x v="0"/>
    <x v="0"/>
    <x v="0"/>
    <x v="0"/>
    <s v="DK1_Large"/>
    <x v="1"/>
    <x v="0"/>
    <s v="GNR_ST_MSW_BP_E-18"/>
    <x v="0"/>
    <x v="4"/>
    <n v="2.85"/>
    <n v="1040.25"/>
    <n v="3744.9"/>
  </r>
  <r>
    <x v="0"/>
    <x v="0"/>
    <x v="0"/>
    <x v="0"/>
    <x v="0"/>
    <s v="DK1_Large"/>
    <x v="1"/>
    <x v="0"/>
    <s v="GNR_ST_MSW_BP_E-18"/>
    <x v="0"/>
    <x v="5"/>
    <n v="2.85"/>
    <n v="1040.25"/>
    <n v="3744.9"/>
  </r>
  <r>
    <x v="0"/>
    <x v="0"/>
    <x v="0"/>
    <x v="0"/>
    <x v="0"/>
    <s v="DK1_Large"/>
    <x v="1"/>
    <x v="0"/>
    <s v="GNR_ST_MSW_BP_E-18"/>
    <x v="0"/>
    <x v="6"/>
    <n v="2.85"/>
    <n v="1040.25"/>
    <n v="3744.9"/>
  </r>
  <r>
    <x v="0"/>
    <x v="0"/>
    <x v="0"/>
    <x v="0"/>
    <x v="0"/>
    <s v="DK1_Large"/>
    <x v="1"/>
    <x v="0"/>
    <s v="GNR_ST_MSW_BP_E-18"/>
    <x v="0"/>
    <x v="7"/>
    <n v="2.85"/>
    <n v="1040.25"/>
    <n v="3744.9"/>
  </r>
  <r>
    <x v="0"/>
    <x v="0"/>
    <x v="0"/>
    <x v="0"/>
    <x v="0"/>
    <s v="DK1_Large"/>
    <x v="1"/>
    <x v="0"/>
    <s v="GNR_ST_MSW_BP_E-18"/>
    <x v="0"/>
    <x v="8"/>
    <n v="2.85"/>
    <n v="1040.25"/>
    <n v="3744.9"/>
  </r>
  <r>
    <x v="0"/>
    <x v="0"/>
    <x v="0"/>
    <x v="0"/>
    <x v="0"/>
    <s v="DK1_Large"/>
    <x v="1"/>
    <x v="0"/>
    <s v="GNR_ST_MSW_BP_E-18"/>
    <x v="0"/>
    <x v="9"/>
    <n v="2.85"/>
    <n v="1040.25"/>
    <n v="3744.9"/>
  </r>
  <r>
    <x v="0"/>
    <x v="0"/>
    <x v="0"/>
    <x v="0"/>
    <x v="0"/>
    <s v="DK1_Large"/>
    <x v="1"/>
    <x v="0"/>
    <s v="GNR_ST_MSW_BP_E-18"/>
    <x v="0"/>
    <x v="10"/>
    <n v="2.85"/>
    <n v="1040.25"/>
    <n v="3744.9"/>
  </r>
  <r>
    <x v="0"/>
    <x v="0"/>
    <x v="0"/>
    <x v="0"/>
    <x v="0"/>
    <s v="DK1_Large"/>
    <x v="1"/>
    <x v="0"/>
    <s v="GNR_ST_MSW_BP_E-18"/>
    <x v="0"/>
    <x v="11"/>
    <n v="2.85"/>
    <n v="1040.25"/>
    <n v="3744.9"/>
  </r>
  <r>
    <x v="0"/>
    <x v="0"/>
    <x v="0"/>
    <x v="0"/>
    <x v="0"/>
    <s v="DK1_Large"/>
    <x v="1"/>
    <x v="0"/>
    <s v="GNR_ST_MSW_BP_E-18"/>
    <x v="0"/>
    <x v="12"/>
    <n v="2.85"/>
    <n v="1040.25"/>
    <n v="3744.9"/>
  </r>
  <r>
    <x v="0"/>
    <x v="0"/>
    <x v="0"/>
    <x v="0"/>
    <x v="0"/>
    <s v="DK1_Large"/>
    <x v="1"/>
    <x v="0"/>
    <s v="GNR_ST_MSW_BP_E-18"/>
    <x v="0"/>
    <x v="13"/>
    <n v="2.85"/>
    <n v="1040.25"/>
    <n v="3744.9"/>
  </r>
  <r>
    <x v="0"/>
    <x v="0"/>
    <x v="0"/>
    <x v="0"/>
    <x v="0"/>
    <s v="DK1_Large"/>
    <x v="1"/>
    <x v="0"/>
    <s v="GNR_ST_MSW_BP_E-18"/>
    <x v="0"/>
    <x v="14"/>
    <n v="2.85"/>
    <n v="1040.25"/>
    <n v="3744.9"/>
  </r>
  <r>
    <x v="0"/>
    <x v="0"/>
    <x v="0"/>
    <x v="0"/>
    <x v="0"/>
    <s v="DK1_Large"/>
    <x v="1"/>
    <x v="0"/>
    <s v="GNR_ST_MSW_BP_E-18"/>
    <x v="0"/>
    <x v="15"/>
    <n v="2.85"/>
    <n v="1040.25"/>
    <n v="3744.9"/>
  </r>
  <r>
    <x v="0"/>
    <x v="0"/>
    <x v="0"/>
    <x v="0"/>
    <x v="0"/>
    <s v="DK1_Large"/>
    <x v="1"/>
    <x v="0"/>
    <s v="GNR_ST_MSW_BP_E-18"/>
    <x v="0"/>
    <x v="16"/>
    <n v="2.85"/>
    <n v="1040.25"/>
    <n v="3744.9"/>
  </r>
  <r>
    <x v="0"/>
    <x v="0"/>
    <x v="0"/>
    <x v="0"/>
    <x v="0"/>
    <s v="DK1_Large"/>
    <x v="1"/>
    <x v="0"/>
    <s v="GNR_ST_MSW_BP_E-18"/>
    <x v="0"/>
    <x v="17"/>
    <n v="2.85"/>
    <n v="1040.25"/>
    <n v="3744.9"/>
  </r>
  <r>
    <x v="0"/>
    <x v="0"/>
    <x v="0"/>
    <x v="0"/>
    <x v="0"/>
    <s v="DK1_Large"/>
    <x v="1"/>
    <x v="0"/>
    <s v="GNR_ST_MSW_BP_E-18"/>
    <x v="0"/>
    <x v="18"/>
    <n v="2.85"/>
    <n v="1040.25"/>
    <n v="3744.9"/>
  </r>
  <r>
    <x v="0"/>
    <x v="0"/>
    <x v="0"/>
    <x v="0"/>
    <x v="0"/>
    <s v="DK1_Large"/>
    <x v="1"/>
    <x v="0"/>
    <s v="GNR_ST_MSW_BP_E-18"/>
    <x v="0"/>
    <x v="19"/>
    <n v="2.85"/>
    <n v="1040.25"/>
    <n v="3744.9"/>
  </r>
  <r>
    <x v="0"/>
    <x v="0"/>
    <x v="0"/>
    <x v="0"/>
    <x v="0"/>
    <s v="DK1_Large"/>
    <x v="1"/>
    <x v="0"/>
    <s v="GNR_ST_MSW_BP_E-18"/>
    <x v="0"/>
    <x v="20"/>
    <n v="2.85"/>
    <n v="1040.25"/>
    <n v="3744.9"/>
  </r>
  <r>
    <x v="0"/>
    <x v="0"/>
    <x v="0"/>
    <x v="0"/>
    <x v="0"/>
    <s v="DK1_Large"/>
    <x v="1"/>
    <x v="0"/>
    <s v="GNR_ST_MSW_BP_E-18"/>
    <x v="0"/>
    <x v="21"/>
    <n v="2.85"/>
    <n v="1040.25"/>
    <n v="3744.9"/>
  </r>
  <r>
    <x v="0"/>
    <x v="0"/>
    <x v="0"/>
    <x v="0"/>
    <x v="0"/>
    <s v="DK1_Large"/>
    <x v="1"/>
    <x v="0"/>
    <s v="GNR_ST_MSW_BP_E-18"/>
    <x v="0"/>
    <x v="22"/>
    <n v="2.85"/>
    <n v="1040.25"/>
    <n v="3744.9"/>
  </r>
  <r>
    <x v="0"/>
    <x v="0"/>
    <x v="0"/>
    <x v="0"/>
    <x v="0"/>
    <s v="DK1_Large"/>
    <x v="1"/>
    <x v="0"/>
    <s v="GNR_ST_MSW_BP_E-18"/>
    <x v="0"/>
    <x v="23"/>
    <n v="2.85"/>
    <n v="1040.25"/>
    <n v="3744.9"/>
  </r>
  <r>
    <x v="0"/>
    <x v="0"/>
    <x v="0"/>
    <x v="0"/>
    <x v="0"/>
    <s v="DK1_Large"/>
    <x v="1"/>
    <x v="0"/>
    <s v="GNR_ST_MSW_BP_E-19"/>
    <x v="0"/>
    <x v="0"/>
    <n v="9"/>
    <n v="3285"/>
    <n v="11826"/>
  </r>
  <r>
    <x v="0"/>
    <x v="0"/>
    <x v="0"/>
    <x v="0"/>
    <x v="0"/>
    <s v="DK1_Large"/>
    <x v="1"/>
    <x v="0"/>
    <s v="GNR_ST_MSW_BP_E-19"/>
    <x v="0"/>
    <x v="1"/>
    <n v="9"/>
    <n v="3285"/>
    <n v="11826"/>
  </r>
  <r>
    <x v="0"/>
    <x v="0"/>
    <x v="0"/>
    <x v="0"/>
    <x v="0"/>
    <s v="DK1_Large"/>
    <x v="1"/>
    <x v="0"/>
    <s v="GNR_ST_MSW_BP_E-19"/>
    <x v="0"/>
    <x v="2"/>
    <n v="9"/>
    <n v="3285"/>
    <n v="11826"/>
  </r>
  <r>
    <x v="0"/>
    <x v="0"/>
    <x v="0"/>
    <x v="0"/>
    <x v="0"/>
    <s v="DK1_Large"/>
    <x v="1"/>
    <x v="0"/>
    <s v="GNR_ST_MSW_BP_E-19"/>
    <x v="0"/>
    <x v="3"/>
    <n v="9"/>
    <n v="3285"/>
    <n v="11826"/>
  </r>
  <r>
    <x v="0"/>
    <x v="0"/>
    <x v="0"/>
    <x v="0"/>
    <x v="0"/>
    <s v="DK1_Large"/>
    <x v="1"/>
    <x v="0"/>
    <s v="GNR_ST_MSW_BP_E-19"/>
    <x v="0"/>
    <x v="4"/>
    <n v="9"/>
    <n v="3285"/>
    <n v="11826"/>
  </r>
  <r>
    <x v="0"/>
    <x v="0"/>
    <x v="0"/>
    <x v="0"/>
    <x v="0"/>
    <s v="DK1_Large"/>
    <x v="1"/>
    <x v="0"/>
    <s v="GNR_ST_MSW_BP_E-19"/>
    <x v="0"/>
    <x v="5"/>
    <n v="9"/>
    <n v="3285"/>
    <n v="11826"/>
  </r>
  <r>
    <x v="0"/>
    <x v="0"/>
    <x v="0"/>
    <x v="0"/>
    <x v="0"/>
    <s v="DK1_Large"/>
    <x v="1"/>
    <x v="0"/>
    <s v="GNR_ST_MSW_BP_E-19"/>
    <x v="0"/>
    <x v="6"/>
    <n v="9"/>
    <n v="3285"/>
    <n v="11826"/>
  </r>
  <r>
    <x v="0"/>
    <x v="0"/>
    <x v="0"/>
    <x v="0"/>
    <x v="0"/>
    <s v="DK1_Large"/>
    <x v="1"/>
    <x v="0"/>
    <s v="GNR_ST_MSW_BP_E-19"/>
    <x v="0"/>
    <x v="7"/>
    <n v="9"/>
    <n v="3285"/>
    <n v="11826"/>
  </r>
  <r>
    <x v="0"/>
    <x v="0"/>
    <x v="0"/>
    <x v="0"/>
    <x v="0"/>
    <s v="DK1_Large"/>
    <x v="1"/>
    <x v="0"/>
    <s v="GNR_ST_MSW_BP_E-19"/>
    <x v="0"/>
    <x v="8"/>
    <n v="9"/>
    <n v="3285"/>
    <n v="11826"/>
  </r>
  <r>
    <x v="0"/>
    <x v="0"/>
    <x v="0"/>
    <x v="0"/>
    <x v="0"/>
    <s v="DK1_Large"/>
    <x v="1"/>
    <x v="0"/>
    <s v="GNR_ST_MSW_BP_E-19"/>
    <x v="0"/>
    <x v="9"/>
    <n v="9"/>
    <n v="3285"/>
    <n v="11826"/>
  </r>
  <r>
    <x v="0"/>
    <x v="0"/>
    <x v="0"/>
    <x v="0"/>
    <x v="0"/>
    <s v="DK1_Large"/>
    <x v="1"/>
    <x v="0"/>
    <s v="GNR_ST_MSW_BP_E-19"/>
    <x v="0"/>
    <x v="10"/>
    <n v="9"/>
    <n v="3285"/>
    <n v="11826"/>
  </r>
  <r>
    <x v="0"/>
    <x v="0"/>
    <x v="0"/>
    <x v="0"/>
    <x v="0"/>
    <s v="DK1_Large"/>
    <x v="1"/>
    <x v="0"/>
    <s v="GNR_ST_MSW_BP_E-19"/>
    <x v="0"/>
    <x v="11"/>
    <n v="9"/>
    <n v="3285"/>
    <n v="11826"/>
  </r>
  <r>
    <x v="0"/>
    <x v="0"/>
    <x v="0"/>
    <x v="0"/>
    <x v="0"/>
    <s v="DK1_Large"/>
    <x v="1"/>
    <x v="0"/>
    <s v="GNR_ST_MSW_BP_E-19"/>
    <x v="0"/>
    <x v="12"/>
    <n v="9"/>
    <n v="3285"/>
    <n v="11826"/>
  </r>
  <r>
    <x v="0"/>
    <x v="0"/>
    <x v="0"/>
    <x v="0"/>
    <x v="0"/>
    <s v="DK1_Large"/>
    <x v="1"/>
    <x v="0"/>
    <s v="GNR_ST_MSW_BP_E-19"/>
    <x v="0"/>
    <x v="13"/>
    <n v="9"/>
    <n v="3285"/>
    <n v="11826"/>
  </r>
  <r>
    <x v="0"/>
    <x v="0"/>
    <x v="0"/>
    <x v="0"/>
    <x v="0"/>
    <s v="DK1_Large"/>
    <x v="1"/>
    <x v="0"/>
    <s v="GNR_ST_MSW_BP_E-19"/>
    <x v="0"/>
    <x v="14"/>
    <n v="9"/>
    <n v="3285"/>
    <n v="11826"/>
  </r>
  <r>
    <x v="0"/>
    <x v="0"/>
    <x v="0"/>
    <x v="0"/>
    <x v="0"/>
    <s v="DK1_Large"/>
    <x v="1"/>
    <x v="0"/>
    <s v="GNR_ST_MSW_BP_E-19"/>
    <x v="0"/>
    <x v="15"/>
    <n v="9"/>
    <n v="3285"/>
    <n v="11826"/>
  </r>
  <r>
    <x v="0"/>
    <x v="0"/>
    <x v="0"/>
    <x v="0"/>
    <x v="0"/>
    <s v="DK1_Large"/>
    <x v="1"/>
    <x v="0"/>
    <s v="GNR_ST_MSW_BP_E-19"/>
    <x v="0"/>
    <x v="16"/>
    <n v="9"/>
    <n v="3285"/>
    <n v="11826"/>
  </r>
  <r>
    <x v="0"/>
    <x v="0"/>
    <x v="0"/>
    <x v="0"/>
    <x v="0"/>
    <s v="DK1_Large"/>
    <x v="1"/>
    <x v="0"/>
    <s v="GNR_ST_MSW_BP_E-19"/>
    <x v="0"/>
    <x v="17"/>
    <n v="9"/>
    <n v="3285"/>
    <n v="11826"/>
  </r>
  <r>
    <x v="0"/>
    <x v="0"/>
    <x v="0"/>
    <x v="0"/>
    <x v="0"/>
    <s v="DK1_Large"/>
    <x v="1"/>
    <x v="0"/>
    <s v="GNR_ST_MSW_BP_E-19"/>
    <x v="0"/>
    <x v="18"/>
    <n v="9"/>
    <n v="3285"/>
    <n v="11826"/>
  </r>
  <r>
    <x v="0"/>
    <x v="0"/>
    <x v="0"/>
    <x v="0"/>
    <x v="0"/>
    <s v="DK1_Large"/>
    <x v="1"/>
    <x v="0"/>
    <s v="GNR_ST_MSW_BP_E-19"/>
    <x v="0"/>
    <x v="19"/>
    <n v="9"/>
    <n v="3285"/>
    <n v="11826"/>
  </r>
  <r>
    <x v="0"/>
    <x v="0"/>
    <x v="0"/>
    <x v="0"/>
    <x v="0"/>
    <s v="DK1_Large"/>
    <x v="1"/>
    <x v="0"/>
    <s v="GNR_ST_MSW_BP_E-19"/>
    <x v="0"/>
    <x v="20"/>
    <n v="9"/>
    <n v="3285"/>
    <n v="11826"/>
  </r>
  <r>
    <x v="0"/>
    <x v="0"/>
    <x v="0"/>
    <x v="0"/>
    <x v="0"/>
    <s v="DK1_Large"/>
    <x v="1"/>
    <x v="0"/>
    <s v="GNR_ST_MSW_BP_E-19"/>
    <x v="0"/>
    <x v="21"/>
    <n v="9"/>
    <n v="3285"/>
    <n v="11826"/>
  </r>
  <r>
    <x v="0"/>
    <x v="0"/>
    <x v="0"/>
    <x v="0"/>
    <x v="0"/>
    <s v="DK1_Large"/>
    <x v="1"/>
    <x v="0"/>
    <s v="GNR_ST_MSW_BP_E-19"/>
    <x v="0"/>
    <x v="22"/>
    <n v="9"/>
    <n v="3285"/>
    <n v="11826"/>
  </r>
  <r>
    <x v="0"/>
    <x v="0"/>
    <x v="0"/>
    <x v="0"/>
    <x v="0"/>
    <s v="DK1_Large"/>
    <x v="1"/>
    <x v="0"/>
    <s v="GNR_ST_MSW_BP_E-19"/>
    <x v="0"/>
    <x v="23"/>
    <n v="9"/>
    <n v="3285"/>
    <n v="11826"/>
  </r>
  <r>
    <x v="0"/>
    <x v="0"/>
    <x v="0"/>
    <x v="0"/>
    <x v="0"/>
    <s v="DK1_Large"/>
    <x v="1"/>
    <x v="0"/>
    <s v="GNR_ST_MSW_BP_E-22"/>
    <x v="0"/>
    <x v="0"/>
    <n v="31"/>
    <n v="11315"/>
    <n v="40734"/>
  </r>
  <r>
    <x v="0"/>
    <x v="0"/>
    <x v="0"/>
    <x v="0"/>
    <x v="0"/>
    <s v="DK1_Large"/>
    <x v="1"/>
    <x v="0"/>
    <s v="GNR_ST_MSW_BP_E-22"/>
    <x v="0"/>
    <x v="1"/>
    <n v="31"/>
    <n v="11315"/>
    <n v="40734"/>
  </r>
  <r>
    <x v="0"/>
    <x v="0"/>
    <x v="0"/>
    <x v="0"/>
    <x v="0"/>
    <s v="DK1_Large"/>
    <x v="1"/>
    <x v="0"/>
    <s v="GNR_ST_MSW_BP_E-22"/>
    <x v="0"/>
    <x v="2"/>
    <n v="31"/>
    <n v="11315"/>
    <n v="40734"/>
  </r>
  <r>
    <x v="0"/>
    <x v="0"/>
    <x v="0"/>
    <x v="0"/>
    <x v="0"/>
    <s v="DK1_Large"/>
    <x v="1"/>
    <x v="0"/>
    <s v="GNR_ST_MSW_BP_E-22"/>
    <x v="0"/>
    <x v="3"/>
    <n v="31"/>
    <n v="11315"/>
    <n v="40734"/>
  </r>
  <r>
    <x v="0"/>
    <x v="0"/>
    <x v="0"/>
    <x v="0"/>
    <x v="0"/>
    <s v="DK1_Large"/>
    <x v="1"/>
    <x v="0"/>
    <s v="GNR_ST_MSW_BP_E-22"/>
    <x v="0"/>
    <x v="4"/>
    <n v="31"/>
    <n v="11315"/>
    <n v="40734"/>
  </r>
  <r>
    <x v="0"/>
    <x v="0"/>
    <x v="0"/>
    <x v="0"/>
    <x v="0"/>
    <s v="DK1_Large"/>
    <x v="1"/>
    <x v="0"/>
    <s v="GNR_ST_MSW_BP_E-22"/>
    <x v="0"/>
    <x v="5"/>
    <n v="31"/>
    <n v="11315"/>
    <n v="40734"/>
  </r>
  <r>
    <x v="0"/>
    <x v="0"/>
    <x v="0"/>
    <x v="0"/>
    <x v="0"/>
    <s v="DK1_Large"/>
    <x v="1"/>
    <x v="0"/>
    <s v="GNR_ST_MSW_BP_E-22"/>
    <x v="0"/>
    <x v="6"/>
    <n v="31"/>
    <n v="11315"/>
    <n v="40734"/>
  </r>
  <r>
    <x v="0"/>
    <x v="0"/>
    <x v="0"/>
    <x v="0"/>
    <x v="0"/>
    <s v="DK1_Large"/>
    <x v="1"/>
    <x v="0"/>
    <s v="GNR_ST_MSW_BP_E-22"/>
    <x v="0"/>
    <x v="7"/>
    <n v="31"/>
    <n v="11315"/>
    <n v="40734"/>
  </r>
  <r>
    <x v="0"/>
    <x v="0"/>
    <x v="0"/>
    <x v="0"/>
    <x v="0"/>
    <s v="DK1_Large"/>
    <x v="1"/>
    <x v="0"/>
    <s v="GNR_ST_MSW_BP_E-22"/>
    <x v="0"/>
    <x v="8"/>
    <n v="31"/>
    <n v="11315"/>
    <n v="40734"/>
  </r>
  <r>
    <x v="0"/>
    <x v="0"/>
    <x v="0"/>
    <x v="0"/>
    <x v="0"/>
    <s v="DK1_Large"/>
    <x v="1"/>
    <x v="0"/>
    <s v="GNR_ST_MSW_BP_E-22"/>
    <x v="0"/>
    <x v="9"/>
    <n v="31"/>
    <n v="11315"/>
    <n v="40734"/>
  </r>
  <r>
    <x v="0"/>
    <x v="0"/>
    <x v="0"/>
    <x v="0"/>
    <x v="0"/>
    <s v="DK1_Large"/>
    <x v="1"/>
    <x v="0"/>
    <s v="GNR_ST_MSW_BP_E-22"/>
    <x v="0"/>
    <x v="10"/>
    <n v="31"/>
    <n v="11315"/>
    <n v="40734"/>
  </r>
  <r>
    <x v="0"/>
    <x v="0"/>
    <x v="0"/>
    <x v="0"/>
    <x v="0"/>
    <s v="DK1_Large"/>
    <x v="1"/>
    <x v="0"/>
    <s v="GNR_ST_MSW_BP_E-22"/>
    <x v="0"/>
    <x v="11"/>
    <n v="31"/>
    <n v="11315"/>
    <n v="40734"/>
  </r>
  <r>
    <x v="0"/>
    <x v="0"/>
    <x v="0"/>
    <x v="0"/>
    <x v="0"/>
    <s v="DK1_Large"/>
    <x v="1"/>
    <x v="0"/>
    <s v="GNR_ST_MSW_BP_E-22"/>
    <x v="0"/>
    <x v="12"/>
    <n v="31"/>
    <n v="11315"/>
    <n v="40734"/>
  </r>
  <r>
    <x v="0"/>
    <x v="0"/>
    <x v="0"/>
    <x v="0"/>
    <x v="0"/>
    <s v="DK1_Large"/>
    <x v="1"/>
    <x v="0"/>
    <s v="GNR_ST_MSW_BP_E-22"/>
    <x v="0"/>
    <x v="13"/>
    <n v="31"/>
    <n v="11315"/>
    <n v="40734"/>
  </r>
  <r>
    <x v="0"/>
    <x v="0"/>
    <x v="0"/>
    <x v="0"/>
    <x v="0"/>
    <s v="DK1_Large"/>
    <x v="1"/>
    <x v="0"/>
    <s v="GNR_ST_MSW_BP_E-22"/>
    <x v="0"/>
    <x v="14"/>
    <n v="31"/>
    <n v="11315"/>
    <n v="40734"/>
  </r>
  <r>
    <x v="0"/>
    <x v="0"/>
    <x v="0"/>
    <x v="0"/>
    <x v="0"/>
    <s v="DK1_Large"/>
    <x v="1"/>
    <x v="0"/>
    <s v="GNR_ST_MSW_BP_E-22"/>
    <x v="0"/>
    <x v="15"/>
    <n v="31"/>
    <n v="11315"/>
    <n v="40734"/>
  </r>
  <r>
    <x v="0"/>
    <x v="0"/>
    <x v="0"/>
    <x v="0"/>
    <x v="0"/>
    <s v="DK1_Large"/>
    <x v="1"/>
    <x v="0"/>
    <s v="GNR_ST_MSW_BP_E-22"/>
    <x v="0"/>
    <x v="16"/>
    <n v="31"/>
    <n v="11315"/>
    <n v="40734"/>
  </r>
  <r>
    <x v="0"/>
    <x v="0"/>
    <x v="0"/>
    <x v="0"/>
    <x v="0"/>
    <s v="DK1_Large"/>
    <x v="1"/>
    <x v="0"/>
    <s v="GNR_ST_MSW_BP_E-22"/>
    <x v="0"/>
    <x v="17"/>
    <n v="31"/>
    <n v="11315"/>
    <n v="40734"/>
  </r>
  <r>
    <x v="0"/>
    <x v="0"/>
    <x v="0"/>
    <x v="0"/>
    <x v="0"/>
    <s v="DK1_Large"/>
    <x v="1"/>
    <x v="0"/>
    <s v="GNR_ST_MSW_BP_E-22"/>
    <x v="0"/>
    <x v="18"/>
    <n v="31"/>
    <n v="11315"/>
    <n v="40734"/>
  </r>
  <r>
    <x v="0"/>
    <x v="0"/>
    <x v="0"/>
    <x v="0"/>
    <x v="0"/>
    <s v="DK1_Large"/>
    <x v="1"/>
    <x v="0"/>
    <s v="GNR_ST_MSW_BP_E-22"/>
    <x v="0"/>
    <x v="19"/>
    <n v="31"/>
    <n v="11315"/>
    <n v="40734"/>
  </r>
  <r>
    <x v="0"/>
    <x v="0"/>
    <x v="0"/>
    <x v="0"/>
    <x v="0"/>
    <s v="DK1_Large"/>
    <x v="1"/>
    <x v="0"/>
    <s v="GNR_ST_MSW_BP_E-22"/>
    <x v="0"/>
    <x v="20"/>
    <n v="31"/>
    <n v="11315"/>
    <n v="40734"/>
  </r>
  <r>
    <x v="0"/>
    <x v="0"/>
    <x v="0"/>
    <x v="0"/>
    <x v="0"/>
    <s v="DK1_Large"/>
    <x v="1"/>
    <x v="0"/>
    <s v="GNR_ST_MSW_BP_E-22"/>
    <x v="0"/>
    <x v="21"/>
    <n v="31"/>
    <n v="11315"/>
    <n v="40734"/>
  </r>
  <r>
    <x v="0"/>
    <x v="0"/>
    <x v="0"/>
    <x v="0"/>
    <x v="0"/>
    <s v="DK1_Large"/>
    <x v="1"/>
    <x v="0"/>
    <s v="GNR_ST_MSW_BP_E-22"/>
    <x v="0"/>
    <x v="22"/>
    <n v="31"/>
    <n v="11315"/>
    <n v="40734"/>
  </r>
  <r>
    <x v="0"/>
    <x v="0"/>
    <x v="0"/>
    <x v="0"/>
    <x v="0"/>
    <s v="DK1_Large"/>
    <x v="1"/>
    <x v="0"/>
    <s v="GNR_ST_MSW_BP_E-22"/>
    <x v="0"/>
    <x v="23"/>
    <n v="31"/>
    <n v="11315"/>
    <n v="40734"/>
  </r>
  <r>
    <x v="0"/>
    <x v="0"/>
    <x v="0"/>
    <x v="0"/>
    <x v="0"/>
    <s v="DK1_Large"/>
    <x v="1"/>
    <x v="0"/>
    <s v="GNR_ST_MSW_BP_E-23"/>
    <x v="0"/>
    <x v="0"/>
    <n v="36.06"/>
    <n v="13161.9"/>
    <n v="47382.84"/>
  </r>
  <r>
    <x v="0"/>
    <x v="0"/>
    <x v="0"/>
    <x v="0"/>
    <x v="0"/>
    <s v="DK1_Large"/>
    <x v="1"/>
    <x v="0"/>
    <s v="GNR_ST_MSW_BP_E-23"/>
    <x v="0"/>
    <x v="1"/>
    <n v="36.06"/>
    <n v="13161.9"/>
    <n v="47382.84"/>
  </r>
  <r>
    <x v="0"/>
    <x v="0"/>
    <x v="0"/>
    <x v="0"/>
    <x v="0"/>
    <s v="DK1_Large"/>
    <x v="1"/>
    <x v="0"/>
    <s v="GNR_ST_MSW_BP_E-23"/>
    <x v="0"/>
    <x v="2"/>
    <n v="36.06"/>
    <n v="13161.9"/>
    <n v="47382.84"/>
  </r>
  <r>
    <x v="0"/>
    <x v="0"/>
    <x v="0"/>
    <x v="0"/>
    <x v="0"/>
    <s v="DK1_Large"/>
    <x v="1"/>
    <x v="0"/>
    <s v="GNR_ST_MSW_BP_E-23"/>
    <x v="0"/>
    <x v="3"/>
    <n v="36.06"/>
    <n v="13161.9"/>
    <n v="47382.84"/>
  </r>
  <r>
    <x v="0"/>
    <x v="0"/>
    <x v="0"/>
    <x v="0"/>
    <x v="0"/>
    <s v="DK1_Large"/>
    <x v="1"/>
    <x v="0"/>
    <s v="GNR_ST_MSW_BP_E-23"/>
    <x v="0"/>
    <x v="4"/>
    <n v="36.06"/>
    <n v="13161.9"/>
    <n v="47382.84"/>
  </r>
  <r>
    <x v="0"/>
    <x v="0"/>
    <x v="0"/>
    <x v="0"/>
    <x v="0"/>
    <s v="DK1_Large"/>
    <x v="1"/>
    <x v="0"/>
    <s v="GNR_ST_MSW_BP_E-23"/>
    <x v="0"/>
    <x v="5"/>
    <n v="36.06"/>
    <n v="13161.9"/>
    <n v="47382.84"/>
  </r>
  <r>
    <x v="0"/>
    <x v="0"/>
    <x v="0"/>
    <x v="0"/>
    <x v="0"/>
    <s v="DK1_Large"/>
    <x v="1"/>
    <x v="0"/>
    <s v="GNR_ST_MSW_BP_E-23"/>
    <x v="0"/>
    <x v="6"/>
    <n v="36.06"/>
    <n v="13161.9"/>
    <n v="47382.84"/>
  </r>
  <r>
    <x v="0"/>
    <x v="0"/>
    <x v="0"/>
    <x v="0"/>
    <x v="0"/>
    <s v="DK1_Large"/>
    <x v="1"/>
    <x v="0"/>
    <s v="GNR_ST_MSW_BP_E-23"/>
    <x v="0"/>
    <x v="7"/>
    <n v="36.06"/>
    <n v="13161.9"/>
    <n v="47382.84"/>
  </r>
  <r>
    <x v="0"/>
    <x v="0"/>
    <x v="0"/>
    <x v="0"/>
    <x v="0"/>
    <s v="DK1_Large"/>
    <x v="1"/>
    <x v="0"/>
    <s v="GNR_ST_MSW_BP_E-23"/>
    <x v="0"/>
    <x v="8"/>
    <n v="36.06"/>
    <n v="13161.9"/>
    <n v="47382.84"/>
  </r>
  <r>
    <x v="0"/>
    <x v="0"/>
    <x v="0"/>
    <x v="0"/>
    <x v="0"/>
    <s v="DK1_Large"/>
    <x v="1"/>
    <x v="0"/>
    <s v="GNR_ST_MSW_BP_E-23"/>
    <x v="0"/>
    <x v="9"/>
    <n v="36.06"/>
    <n v="13161.9"/>
    <n v="47382.84"/>
  </r>
  <r>
    <x v="0"/>
    <x v="0"/>
    <x v="0"/>
    <x v="0"/>
    <x v="0"/>
    <s v="DK1_Large"/>
    <x v="1"/>
    <x v="0"/>
    <s v="GNR_ST_MSW_BP_E-23"/>
    <x v="0"/>
    <x v="10"/>
    <n v="36.06"/>
    <n v="13161.9"/>
    <n v="47382.84"/>
  </r>
  <r>
    <x v="0"/>
    <x v="0"/>
    <x v="0"/>
    <x v="0"/>
    <x v="0"/>
    <s v="DK1_Large"/>
    <x v="1"/>
    <x v="0"/>
    <s v="GNR_ST_MSW_BP_E-23"/>
    <x v="0"/>
    <x v="11"/>
    <n v="36.06"/>
    <n v="13161.9"/>
    <n v="47382.84"/>
  </r>
  <r>
    <x v="0"/>
    <x v="0"/>
    <x v="0"/>
    <x v="0"/>
    <x v="0"/>
    <s v="DK1_Large"/>
    <x v="1"/>
    <x v="0"/>
    <s v="GNR_ST_MSW_BP_E-23"/>
    <x v="0"/>
    <x v="12"/>
    <n v="36.06"/>
    <n v="13161.9"/>
    <n v="47382.84"/>
  </r>
  <r>
    <x v="0"/>
    <x v="0"/>
    <x v="0"/>
    <x v="0"/>
    <x v="0"/>
    <s v="DK1_Large"/>
    <x v="1"/>
    <x v="0"/>
    <s v="GNR_ST_MSW_BP_E-23"/>
    <x v="0"/>
    <x v="13"/>
    <n v="36.06"/>
    <n v="13161.9"/>
    <n v="47382.84"/>
  </r>
  <r>
    <x v="0"/>
    <x v="0"/>
    <x v="0"/>
    <x v="0"/>
    <x v="0"/>
    <s v="DK1_Large"/>
    <x v="1"/>
    <x v="0"/>
    <s v="GNR_ST_MSW_BP_E-23"/>
    <x v="0"/>
    <x v="14"/>
    <n v="36.06"/>
    <n v="13161.9"/>
    <n v="47382.84"/>
  </r>
  <r>
    <x v="0"/>
    <x v="0"/>
    <x v="0"/>
    <x v="0"/>
    <x v="0"/>
    <s v="DK1_Large"/>
    <x v="1"/>
    <x v="0"/>
    <s v="GNR_ST_MSW_BP_E-23"/>
    <x v="0"/>
    <x v="15"/>
    <n v="36.06"/>
    <n v="13161.9"/>
    <n v="47382.84"/>
  </r>
  <r>
    <x v="0"/>
    <x v="0"/>
    <x v="0"/>
    <x v="0"/>
    <x v="0"/>
    <s v="DK1_Large"/>
    <x v="1"/>
    <x v="0"/>
    <s v="GNR_ST_MSW_BP_E-23"/>
    <x v="0"/>
    <x v="16"/>
    <n v="36.06"/>
    <n v="13161.9"/>
    <n v="47382.84"/>
  </r>
  <r>
    <x v="0"/>
    <x v="0"/>
    <x v="0"/>
    <x v="0"/>
    <x v="0"/>
    <s v="DK1_Large"/>
    <x v="1"/>
    <x v="0"/>
    <s v="GNR_ST_MSW_BP_E-23"/>
    <x v="0"/>
    <x v="17"/>
    <n v="36.06"/>
    <n v="13161.9"/>
    <n v="47382.84"/>
  </r>
  <r>
    <x v="0"/>
    <x v="0"/>
    <x v="0"/>
    <x v="0"/>
    <x v="0"/>
    <s v="DK1_Large"/>
    <x v="1"/>
    <x v="0"/>
    <s v="GNR_ST_MSW_BP_E-23"/>
    <x v="0"/>
    <x v="18"/>
    <n v="36.06"/>
    <n v="13161.9"/>
    <n v="47382.84"/>
  </r>
  <r>
    <x v="0"/>
    <x v="0"/>
    <x v="0"/>
    <x v="0"/>
    <x v="0"/>
    <s v="DK1_Large"/>
    <x v="1"/>
    <x v="0"/>
    <s v="GNR_ST_MSW_BP_E-23"/>
    <x v="0"/>
    <x v="19"/>
    <n v="36.06"/>
    <n v="13161.9"/>
    <n v="47382.84"/>
  </r>
  <r>
    <x v="0"/>
    <x v="0"/>
    <x v="0"/>
    <x v="0"/>
    <x v="0"/>
    <s v="DK1_Large"/>
    <x v="1"/>
    <x v="0"/>
    <s v="GNR_ST_MSW_BP_E-23"/>
    <x v="0"/>
    <x v="20"/>
    <n v="36.06"/>
    <n v="13161.9"/>
    <n v="47382.84"/>
  </r>
  <r>
    <x v="0"/>
    <x v="0"/>
    <x v="0"/>
    <x v="0"/>
    <x v="0"/>
    <s v="DK1_Large"/>
    <x v="1"/>
    <x v="0"/>
    <s v="GNR_ST_MSW_BP_E-23"/>
    <x v="0"/>
    <x v="21"/>
    <n v="36.06"/>
    <n v="13161.9"/>
    <n v="47382.84"/>
  </r>
  <r>
    <x v="0"/>
    <x v="0"/>
    <x v="0"/>
    <x v="0"/>
    <x v="0"/>
    <s v="DK1_Large"/>
    <x v="1"/>
    <x v="0"/>
    <s v="GNR_ST_MSW_BP_E-23"/>
    <x v="0"/>
    <x v="22"/>
    <n v="36.06"/>
    <n v="13161.9"/>
    <n v="47382.84"/>
  </r>
  <r>
    <x v="0"/>
    <x v="0"/>
    <x v="0"/>
    <x v="0"/>
    <x v="0"/>
    <s v="DK1_Large"/>
    <x v="1"/>
    <x v="0"/>
    <s v="GNR_ST_MSW_BP_E-23"/>
    <x v="0"/>
    <x v="23"/>
    <n v="36.06"/>
    <n v="13161.9"/>
    <n v="47382.84"/>
  </r>
  <r>
    <x v="0"/>
    <x v="0"/>
    <x v="0"/>
    <x v="0"/>
    <x v="0"/>
    <s v="DK1_Large"/>
    <x v="1"/>
    <x v="0"/>
    <s v="GNR_ST_MSW_BP_E-27"/>
    <x v="0"/>
    <x v="0"/>
    <n v="17.899999999999999"/>
    <n v="6533.5"/>
    <n v="23520.6"/>
  </r>
  <r>
    <x v="0"/>
    <x v="0"/>
    <x v="0"/>
    <x v="0"/>
    <x v="0"/>
    <s v="DK1_Large"/>
    <x v="1"/>
    <x v="0"/>
    <s v="GNR_ST_MSW_BP_E-27"/>
    <x v="0"/>
    <x v="1"/>
    <n v="17.899999999999999"/>
    <n v="6533.5"/>
    <n v="23520.6"/>
  </r>
  <r>
    <x v="0"/>
    <x v="0"/>
    <x v="0"/>
    <x v="0"/>
    <x v="0"/>
    <s v="DK1_Large"/>
    <x v="1"/>
    <x v="0"/>
    <s v="GNR_ST_MSW_BP_E-27"/>
    <x v="0"/>
    <x v="2"/>
    <n v="17.899999999999999"/>
    <n v="6533.5"/>
    <n v="23520.6"/>
  </r>
  <r>
    <x v="0"/>
    <x v="0"/>
    <x v="0"/>
    <x v="0"/>
    <x v="0"/>
    <s v="DK1_Large"/>
    <x v="1"/>
    <x v="0"/>
    <s v="GNR_ST_MSW_BP_E-27"/>
    <x v="0"/>
    <x v="3"/>
    <n v="17.899999999999999"/>
    <n v="6533.5"/>
    <n v="23520.6"/>
  </r>
  <r>
    <x v="0"/>
    <x v="0"/>
    <x v="0"/>
    <x v="0"/>
    <x v="0"/>
    <s v="DK1_Large"/>
    <x v="1"/>
    <x v="0"/>
    <s v="GNR_ST_MSW_BP_E-27"/>
    <x v="0"/>
    <x v="4"/>
    <n v="17.899999999999999"/>
    <n v="6533.5"/>
    <n v="23520.6"/>
  </r>
  <r>
    <x v="0"/>
    <x v="0"/>
    <x v="0"/>
    <x v="0"/>
    <x v="0"/>
    <s v="DK1_Large"/>
    <x v="1"/>
    <x v="0"/>
    <s v="GNR_ST_MSW_BP_E-27"/>
    <x v="0"/>
    <x v="5"/>
    <n v="17.899999999999999"/>
    <n v="6533.5"/>
    <n v="23520.6"/>
  </r>
  <r>
    <x v="0"/>
    <x v="0"/>
    <x v="0"/>
    <x v="0"/>
    <x v="0"/>
    <s v="DK1_Large"/>
    <x v="1"/>
    <x v="0"/>
    <s v="GNR_ST_MSW_BP_E-27"/>
    <x v="0"/>
    <x v="6"/>
    <n v="17.899999999999999"/>
    <n v="6533.5"/>
    <n v="23520.6"/>
  </r>
  <r>
    <x v="0"/>
    <x v="0"/>
    <x v="0"/>
    <x v="0"/>
    <x v="0"/>
    <s v="DK1_Large"/>
    <x v="1"/>
    <x v="0"/>
    <s v="GNR_ST_MSW_BP_E-27"/>
    <x v="0"/>
    <x v="7"/>
    <n v="17.899999999999999"/>
    <n v="6533.5"/>
    <n v="23520.6"/>
  </r>
  <r>
    <x v="0"/>
    <x v="0"/>
    <x v="0"/>
    <x v="0"/>
    <x v="0"/>
    <s v="DK1_Large"/>
    <x v="1"/>
    <x v="0"/>
    <s v="GNR_ST_MSW_BP_E-27"/>
    <x v="0"/>
    <x v="8"/>
    <n v="17.899999999999999"/>
    <n v="6533.5"/>
    <n v="23520.6"/>
  </r>
  <r>
    <x v="0"/>
    <x v="0"/>
    <x v="0"/>
    <x v="0"/>
    <x v="0"/>
    <s v="DK1_Large"/>
    <x v="1"/>
    <x v="0"/>
    <s v="GNR_ST_MSW_BP_E-27"/>
    <x v="0"/>
    <x v="9"/>
    <n v="17.899999999999999"/>
    <n v="6533.5"/>
    <n v="23520.6"/>
  </r>
  <r>
    <x v="0"/>
    <x v="0"/>
    <x v="0"/>
    <x v="0"/>
    <x v="0"/>
    <s v="DK1_Large"/>
    <x v="1"/>
    <x v="0"/>
    <s v="GNR_ST_MSW_BP_E-27"/>
    <x v="0"/>
    <x v="10"/>
    <n v="17.899999999999999"/>
    <n v="6533.5"/>
    <n v="23520.6"/>
  </r>
  <r>
    <x v="0"/>
    <x v="0"/>
    <x v="0"/>
    <x v="0"/>
    <x v="0"/>
    <s v="DK1_Large"/>
    <x v="1"/>
    <x v="0"/>
    <s v="GNR_ST_MSW_BP_E-27"/>
    <x v="0"/>
    <x v="11"/>
    <n v="17.899999999999999"/>
    <n v="6533.5"/>
    <n v="23520.6"/>
  </r>
  <r>
    <x v="0"/>
    <x v="0"/>
    <x v="0"/>
    <x v="0"/>
    <x v="0"/>
    <s v="DK1_Large"/>
    <x v="1"/>
    <x v="0"/>
    <s v="GNR_ST_MSW_BP_E-27"/>
    <x v="0"/>
    <x v="12"/>
    <n v="17.899999999999999"/>
    <n v="6533.5"/>
    <n v="23520.6"/>
  </r>
  <r>
    <x v="0"/>
    <x v="0"/>
    <x v="0"/>
    <x v="0"/>
    <x v="0"/>
    <s v="DK1_Large"/>
    <x v="1"/>
    <x v="0"/>
    <s v="GNR_ST_MSW_BP_E-27"/>
    <x v="0"/>
    <x v="13"/>
    <n v="17.899999999999999"/>
    <n v="6533.5"/>
    <n v="23520.6"/>
  </r>
  <r>
    <x v="0"/>
    <x v="0"/>
    <x v="0"/>
    <x v="0"/>
    <x v="0"/>
    <s v="DK1_Large"/>
    <x v="1"/>
    <x v="0"/>
    <s v="GNR_ST_MSW_BP_E-27"/>
    <x v="0"/>
    <x v="14"/>
    <n v="17.899999999999999"/>
    <n v="6533.5"/>
    <n v="23520.6"/>
  </r>
  <r>
    <x v="0"/>
    <x v="0"/>
    <x v="0"/>
    <x v="0"/>
    <x v="0"/>
    <s v="DK1_Large"/>
    <x v="1"/>
    <x v="0"/>
    <s v="GNR_ST_MSW_BP_E-27"/>
    <x v="0"/>
    <x v="15"/>
    <n v="17.899999999999999"/>
    <n v="6533.5"/>
    <n v="23520.6"/>
  </r>
  <r>
    <x v="0"/>
    <x v="0"/>
    <x v="0"/>
    <x v="0"/>
    <x v="0"/>
    <s v="DK1_Large"/>
    <x v="1"/>
    <x v="0"/>
    <s v="GNR_ST_MSW_BP_E-27"/>
    <x v="0"/>
    <x v="16"/>
    <n v="17.899999999999999"/>
    <n v="6533.5"/>
    <n v="23520.6"/>
  </r>
  <r>
    <x v="0"/>
    <x v="0"/>
    <x v="0"/>
    <x v="0"/>
    <x v="0"/>
    <s v="DK1_Large"/>
    <x v="1"/>
    <x v="0"/>
    <s v="GNR_ST_MSW_BP_E-27"/>
    <x v="0"/>
    <x v="17"/>
    <n v="17.899999999999999"/>
    <n v="6533.5"/>
    <n v="23520.6"/>
  </r>
  <r>
    <x v="0"/>
    <x v="0"/>
    <x v="0"/>
    <x v="0"/>
    <x v="0"/>
    <s v="DK1_Large"/>
    <x v="1"/>
    <x v="0"/>
    <s v="GNR_ST_MSW_BP_E-27"/>
    <x v="0"/>
    <x v="18"/>
    <n v="17.899999999999999"/>
    <n v="6533.5"/>
    <n v="23520.6"/>
  </r>
  <r>
    <x v="0"/>
    <x v="0"/>
    <x v="0"/>
    <x v="0"/>
    <x v="0"/>
    <s v="DK1_Large"/>
    <x v="1"/>
    <x v="0"/>
    <s v="GNR_ST_MSW_BP_E-27"/>
    <x v="0"/>
    <x v="19"/>
    <n v="17.899999999999999"/>
    <n v="6533.5"/>
    <n v="23520.6"/>
  </r>
  <r>
    <x v="0"/>
    <x v="0"/>
    <x v="0"/>
    <x v="0"/>
    <x v="0"/>
    <s v="DK1_Large"/>
    <x v="1"/>
    <x v="0"/>
    <s v="GNR_ST_MSW_BP_E-27"/>
    <x v="0"/>
    <x v="20"/>
    <n v="17.899999999999999"/>
    <n v="6533.5"/>
    <n v="23520.6"/>
  </r>
  <r>
    <x v="0"/>
    <x v="0"/>
    <x v="0"/>
    <x v="0"/>
    <x v="0"/>
    <s v="DK1_Large"/>
    <x v="1"/>
    <x v="0"/>
    <s v="GNR_ST_MSW_BP_E-27"/>
    <x v="0"/>
    <x v="21"/>
    <n v="17.899999999999999"/>
    <n v="6533.5"/>
    <n v="23520.6"/>
  </r>
  <r>
    <x v="0"/>
    <x v="0"/>
    <x v="0"/>
    <x v="0"/>
    <x v="0"/>
    <s v="DK1_Large"/>
    <x v="1"/>
    <x v="0"/>
    <s v="GNR_ST_MSW_BP_E-27"/>
    <x v="0"/>
    <x v="22"/>
    <n v="17.899999999999999"/>
    <n v="6533.5"/>
    <n v="23520.6"/>
  </r>
  <r>
    <x v="0"/>
    <x v="0"/>
    <x v="0"/>
    <x v="0"/>
    <x v="0"/>
    <s v="DK1_Large"/>
    <x v="1"/>
    <x v="0"/>
    <s v="GNR_ST_MSW_BP_E-27"/>
    <x v="0"/>
    <x v="23"/>
    <n v="17.899999999999999"/>
    <n v="6533.5"/>
    <n v="23520.6"/>
  </r>
  <r>
    <x v="0"/>
    <x v="0"/>
    <x v="0"/>
    <x v="0"/>
    <x v="0"/>
    <s v="DK1_Large"/>
    <x v="2"/>
    <x v="0"/>
    <s v="GNR_ENG_NGAS_BP_E-40"/>
    <x v="0"/>
    <x v="0"/>
    <n v="5.21"/>
    <n v="1901.65"/>
    <n v="6845.94"/>
  </r>
  <r>
    <x v="0"/>
    <x v="0"/>
    <x v="0"/>
    <x v="0"/>
    <x v="0"/>
    <s v="DK1_Large"/>
    <x v="2"/>
    <x v="0"/>
    <s v="GNR_ENG_NGAS_BP_E-40"/>
    <x v="0"/>
    <x v="1"/>
    <n v="5.21"/>
    <n v="1901.65"/>
    <n v="6845.94"/>
  </r>
  <r>
    <x v="0"/>
    <x v="0"/>
    <x v="0"/>
    <x v="0"/>
    <x v="0"/>
    <s v="DK1_Large"/>
    <x v="2"/>
    <x v="0"/>
    <s v="GNR_ENG_NGAS_BP_E-40"/>
    <x v="0"/>
    <x v="2"/>
    <n v="5.21"/>
    <n v="1901.65"/>
    <n v="6845.94"/>
  </r>
  <r>
    <x v="0"/>
    <x v="0"/>
    <x v="0"/>
    <x v="0"/>
    <x v="0"/>
    <s v="DK1_Large"/>
    <x v="2"/>
    <x v="0"/>
    <s v="GNR_ENG_NGAS_BP_E-40"/>
    <x v="0"/>
    <x v="3"/>
    <n v="5.21"/>
    <n v="1901.65"/>
    <n v="6845.94"/>
  </r>
  <r>
    <x v="0"/>
    <x v="0"/>
    <x v="0"/>
    <x v="0"/>
    <x v="0"/>
    <s v="DK1_Large"/>
    <x v="2"/>
    <x v="0"/>
    <s v="GNR_ENG_NGAS_BP_E-40"/>
    <x v="0"/>
    <x v="4"/>
    <n v="5.21"/>
    <n v="1901.65"/>
    <n v="6845.94"/>
  </r>
  <r>
    <x v="0"/>
    <x v="0"/>
    <x v="0"/>
    <x v="0"/>
    <x v="0"/>
    <s v="DK1_Large"/>
    <x v="2"/>
    <x v="0"/>
    <s v="GNR_ENG_NGAS_BP_E-40"/>
    <x v="0"/>
    <x v="5"/>
    <n v="5.21"/>
    <n v="1901.65"/>
    <n v="6845.94"/>
  </r>
  <r>
    <x v="0"/>
    <x v="0"/>
    <x v="0"/>
    <x v="0"/>
    <x v="0"/>
    <s v="DK1_Large"/>
    <x v="2"/>
    <x v="0"/>
    <s v="GNR_ENG_NGAS_BP_E-40"/>
    <x v="0"/>
    <x v="6"/>
    <n v="5.21"/>
    <n v="1901.65"/>
    <n v="6845.94"/>
  </r>
  <r>
    <x v="0"/>
    <x v="0"/>
    <x v="0"/>
    <x v="0"/>
    <x v="0"/>
    <s v="DK1_Large"/>
    <x v="2"/>
    <x v="0"/>
    <s v="GNR_ENG_NGAS_BP_E-40"/>
    <x v="0"/>
    <x v="7"/>
    <n v="5.21"/>
    <n v="1901.65"/>
    <n v="6845.94"/>
  </r>
  <r>
    <x v="0"/>
    <x v="0"/>
    <x v="0"/>
    <x v="0"/>
    <x v="0"/>
    <s v="DK1_Large"/>
    <x v="2"/>
    <x v="0"/>
    <s v="GNR_ENG_NGAS_BP_E-40"/>
    <x v="0"/>
    <x v="8"/>
    <n v="5.21"/>
    <n v="1901.65"/>
    <n v="6845.94"/>
  </r>
  <r>
    <x v="0"/>
    <x v="0"/>
    <x v="0"/>
    <x v="0"/>
    <x v="0"/>
    <s v="DK1_Large"/>
    <x v="2"/>
    <x v="0"/>
    <s v="GNR_ENG_NGAS_BP_E-40"/>
    <x v="0"/>
    <x v="9"/>
    <n v="5.21"/>
    <n v="1901.65"/>
    <n v="6845.94"/>
  </r>
  <r>
    <x v="0"/>
    <x v="0"/>
    <x v="0"/>
    <x v="0"/>
    <x v="0"/>
    <s v="DK1_Large"/>
    <x v="2"/>
    <x v="0"/>
    <s v="GNR_ENG_NGAS_BP_E-40"/>
    <x v="0"/>
    <x v="10"/>
    <n v="5.21"/>
    <n v="1901.65"/>
    <n v="6845.94"/>
  </r>
  <r>
    <x v="0"/>
    <x v="0"/>
    <x v="0"/>
    <x v="0"/>
    <x v="0"/>
    <s v="DK1_Large"/>
    <x v="2"/>
    <x v="0"/>
    <s v="GNR_ENG_NGAS_BP_E-40"/>
    <x v="0"/>
    <x v="11"/>
    <n v="5.21"/>
    <n v="1901.65"/>
    <n v="6845.94"/>
  </r>
  <r>
    <x v="0"/>
    <x v="0"/>
    <x v="0"/>
    <x v="0"/>
    <x v="0"/>
    <s v="DK1_Large"/>
    <x v="2"/>
    <x v="0"/>
    <s v="GNR_ENG_NGAS_BP_E-40"/>
    <x v="0"/>
    <x v="12"/>
    <n v="5.21"/>
    <n v="1901.65"/>
    <n v="6845.94"/>
  </r>
  <r>
    <x v="0"/>
    <x v="0"/>
    <x v="0"/>
    <x v="0"/>
    <x v="0"/>
    <s v="DK1_Large"/>
    <x v="2"/>
    <x v="0"/>
    <s v="GNR_ENG_NGAS_BP_E-40"/>
    <x v="0"/>
    <x v="13"/>
    <n v="5.21"/>
    <n v="1901.65"/>
    <n v="6845.94"/>
  </r>
  <r>
    <x v="0"/>
    <x v="0"/>
    <x v="0"/>
    <x v="0"/>
    <x v="0"/>
    <s v="DK1_Large"/>
    <x v="2"/>
    <x v="0"/>
    <s v="GNR_ENG_NGAS_BP_E-40"/>
    <x v="0"/>
    <x v="14"/>
    <n v="5.21"/>
    <n v="1901.65"/>
    <n v="6845.94"/>
  </r>
  <r>
    <x v="0"/>
    <x v="0"/>
    <x v="0"/>
    <x v="0"/>
    <x v="0"/>
    <s v="DK1_Large"/>
    <x v="2"/>
    <x v="0"/>
    <s v="GNR_ENG_NGAS_BP_E-40"/>
    <x v="0"/>
    <x v="15"/>
    <n v="5.21"/>
    <n v="1901.65"/>
    <n v="6845.94"/>
  </r>
  <r>
    <x v="0"/>
    <x v="0"/>
    <x v="0"/>
    <x v="0"/>
    <x v="0"/>
    <s v="DK1_Large"/>
    <x v="2"/>
    <x v="0"/>
    <s v="GNR_ENG_NGAS_BP_E-40"/>
    <x v="0"/>
    <x v="16"/>
    <n v="5.21"/>
    <n v="1901.65"/>
    <n v="6845.94"/>
  </r>
  <r>
    <x v="0"/>
    <x v="0"/>
    <x v="0"/>
    <x v="0"/>
    <x v="0"/>
    <s v="DK1_Large"/>
    <x v="2"/>
    <x v="0"/>
    <s v="GNR_ENG_NGAS_BP_E-40"/>
    <x v="0"/>
    <x v="17"/>
    <n v="5.21"/>
    <n v="1901.65"/>
    <n v="6845.94"/>
  </r>
  <r>
    <x v="0"/>
    <x v="0"/>
    <x v="0"/>
    <x v="0"/>
    <x v="0"/>
    <s v="DK1_Large"/>
    <x v="2"/>
    <x v="0"/>
    <s v="GNR_ENG_NGAS_BP_E-40"/>
    <x v="0"/>
    <x v="18"/>
    <n v="5.21"/>
    <n v="1901.65"/>
    <n v="6845.94"/>
  </r>
  <r>
    <x v="0"/>
    <x v="0"/>
    <x v="0"/>
    <x v="0"/>
    <x v="0"/>
    <s v="DK1_Large"/>
    <x v="2"/>
    <x v="0"/>
    <s v="GNR_ENG_NGAS_BP_E-40"/>
    <x v="0"/>
    <x v="19"/>
    <n v="5.21"/>
    <n v="1901.65"/>
    <n v="6845.94"/>
  </r>
  <r>
    <x v="0"/>
    <x v="0"/>
    <x v="0"/>
    <x v="0"/>
    <x v="0"/>
    <s v="DK1_Large"/>
    <x v="2"/>
    <x v="0"/>
    <s v="GNR_ENG_NGAS_BP_E-40"/>
    <x v="0"/>
    <x v="20"/>
    <n v="5.21"/>
    <n v="1901.65"/>
    <n v="6845.94"/>
  </r>
  <r>
    <x v="0"/>
    <x v="0"/>
    <x v="0"/>
    <x v="0"/>
    <x v="0"/>
    <s v="DK1_Large"/>
    <x v="2"/>
    <x v="0"/>
    <s v="GNR_ENG_NGAS_BP_E-40"/>
    <x v="0"/>
    <x v="21"/>
    <n v="5.21"/>
    <n v="1901.65"/>
    <n v="6845.94"/>
  </r>
  <r>
    <x v="0"/>
    <x v="0"/>
    <x v="0"/>
    <x v="0"/>
    <x v="0"/>
    <s v="DK1_Large"/>
    <x v="2"/>
    <x v="0"/>
    <s v="GNR_ENG_NGAS_BP_E-40"/>
    <x v="0"/>
    <x v="22"/>
    <n v="5.21"/>
    <n v="1901.65"/>
    <n v="6845.94"/>
  </r>
  <r>
    <x v="0"/>
    <x v="0"/>
    <x v="0"/>
    <x v="0"/>
    <x v="0"/>
    <s v="DK1_Large"/>
    <x v="2"/>
    <x v="0"/>
    <s v="GNR_ENG_NGAS_BP_E-40"/>
    <x v="0"/>
    <x v="23"/>
    <n v="5.21"/>
    <n v="1901.65"/>
    <n v="6845.94"/>
  </r>
  <r>
    <x v="0"/>
    <x v="0"/>
    <x v="0"/>
    <x v="0"/>
    <x v="0"/>
    <s v="DK1_Large"/>
    <x v="2"/>
    <x v="0"/>
    <s v="GNR_ENG_NGAS_BP_E-41"/>
    <x v="0"/>
    <x v="0"/>
    <n v="3.8"/>
    <n v="1387"/>
    <n v="4993.2"/>
  </r>
  <r>
    <x v="0"/>
    <x v="0"/>
    <x v="0"/>
    <x v="0"/>
    <x v="0"/>
    <s v="DK1_Large"/>
    <x v="2"/>
    <x v="0"/>
    <s v="GNR_ENG_NGAS_BP_E-41"/>
    <x v="0"/>
    <x v="1"/>
    <n v="3.8"/>
    <n v="1387"/>
    <n v="4993.2"/>
  </r>
  <r>
    <x v="0"/>
    <x v="0"/>
    <x v="0"/>
    <x v="0"/>
    <x v="0"/>
    <s v="DK1_Large"/>
    <x v="2"/>
    <x v="0"/>
    <s v="GNR_ENG_NGAS_BP_E-41"/>
    <x v="0"/>
    <x v="2"/>
    <n v="3.8"/>
    <n v="1387"/>
    <n v="4993.2"/>
  </r>
  <r>
    <x v="0"/>
    <x v="0"/>
    <x v="0"/>
    <x v="0"/>
    <x v="0"/>
    <s v="DK1_Large"/>
    <x v="2"/>
    <x v="0"/>
    <s v="GNR_ENG_NGAS_BP_E-41"/>
    <x v="0"/>
    <x v="3"/>
    <n v="3.8"/>
    <n v="1387"/>
    <n v="4993.2"/>
  </r>
  <r>
    <x v="0"/>
    <x v="0"/>
    <x v="0"/>
    <x v="0"/>
    <x v="0"/>
    <s v="DK1_Large"/>
    <x v="2"/>
    <x v="0"/>
    <s v="GNR_ENG_NGAS_BP_E-41"/>
    <x v="0"/>
    <x v="4"/>
    <n v="3.8"/>
    <n v="1387"/>
    <n v="4993.2"/>
  </r>
  <r>
    <x v="0"/>
    <x v="0"/>
    <x v="0"/>
    <x v="0"/>
    <x v="0"/>
    <s v="DK1_Large"/>
    <x v="2"/>
    <x v="0"/>
    <s v="GNR_ENG_NGAS_BP_E-41"/>
    <x v="0"/>
    <x v="5"/>
    <n v="3.8"/>
    <n v="1387"/>
    <n v="4993.2"/>
  </r>
  <r>
    <x v="0"/>
    <x v="0"/>
    <x v="0"/>
    <x v="0"/>
    <x v="0"/>
    <s v="DK1_Large"/>
    <x v="2"/>
    <x v="0"/>
    <s v="GNR_ENG_NGAS_BP_E-41"/>
    <x v="0"/>
    <x v="6"/>
    <n v="3.8"/>
    <n v="1387"/>
    <n v="4993.2"/>
  </r>
  <r>
    <x v="0"/>
    <x v="0"/>
    <x v="0"/>
    <x v="0"/>
    <x v="0"/>
    <s v="DK1_Large"/>
    <x v="2"/>
    <x v="0"/>
    <s v="GNR_ENG_NGAS_BP_E-41"/>
    <x v="0"/>
    <x v="7"/>
    <n v="3.8"/>
    <n v="1387"/>
    <n v="4993.2"/>
  </r>
  <r>
    <x v="0"/>
    <x v="0"/>
    <x v="0"/>
    <x v="0"/>
    <x v="0"/>
    <s v="DK1_Large"/>
    <x v="2"/>
    <x v="0"/>
    <s v="GNR_ENG_NGAS_BP_E-41"/>
    <x v="0"/>
    <x v="8"/>
    <n v="3.8"/>
    <n v="1387"/>
    <n v="4993.2"/>
  </r>
  <r>
    <x v="0"/>
    <x v="0"/>
    <x v="0"/>
    <x v="0"/>
    <x v="0"/>
    <s v="DK1_Large"/>
    <x v="2"/>
    <x v="0"/>
    <s v="GNR_ENG_NGAS_BP_E-41"/>
    <x v="0"/>
    <x v="9"/>
    <n v="3.8"/>
    <n v="1387"/>
    <n v="4993.2"/>
  </r>
  <r>
    <x v="0"/>
    <x v="0"/>
    <x v="0"/>
    <x v="0"/>
    <x v="0"/>
    <s v="DK1_Large"/>
    <x v="2"/>
    <x v="0"/>
    <s v="GNR_ENG_NGAS_BP_E-41"/>
    <x v="0"/>
    <x v="10"/>
    <n v="3.8"/>
    <n v="1387"/>
    <n v="4993.2"/>
  </r>
  <r>
    <x v="0"/>
    <x v="0"/>
    <x v="0"/>
    <x v="0"/>
    <x v="0"/>
    <s v="DK1_Large"/>
    <x v="2"/>
    <x v="0"/>
    <s v="GNR_ENG_NGAS_BP_E-41"/>
    <x v="0"/>
    <x v="11"/>
    <n v="3.8"/>
    <n v="1387"/>
    <n v="4993.2"/>
  </r>
  <r>
    <x v="0"/>
    <x v="0"/>
    <x v="0"/>
    <x v="0"/>
    <x v="0"/>
    <s v="DK1_Large"/>
    <x v="2"/>
    <x v="0"/>
    <s v="GNR_ENG_NGAS_BP_E-41"/>
    <x v="0"/>
    <x v="12"/>
    <n v="3.8"/>
    <n v="1387"/>
    <n v="4993.2"/>
  </r>
  <r>
    <x v="0"/>
    <x v="0"/>
    <x v="0"/>
    <x v="0"/>
    <x v="0"/>
    <s v="DK1_Large"/>
    <x v="2"/>
    <x v="0"/>
    <s v="GNR_ENG_NGAS_BP_E-41"/>
    <x v="0"/>
    <x v="13"/>
    <n v="3.8"/>
    <n v="1387"/>
    <n v="4993.2"/>
  </r>
  <r>
    <x v="0"/>
    <x v="0"/>
    <x v="0"/>
    <x v="0"/>
    <x v="0"/>
    <s v="DK1_Large"/>
    <x v="2"/>
    <x v="0"/>
    <s v="GNR_ENG_NGAS_BP_E-41"/>
    <x v="0"/>
    <x v="14"/>
    <n v="3.8"/>
    <n v="1387"/>
    <n v="4993.2"/>
  </r>
  <r>
    <x v="0"/>
    <x v="0"/>
    <x v="0"/>
    <x v="0"/>
    <x v="0"/>
    <s v="DK1_Large"/>
    <x v="2"/>
    <x v="0"/>
    <s v="GNR_ENG_NGAS_BP_E-41"/>
    <x v="0"/>
    <x v="15"/>
    <n v="3.8"/>
    <n v="1387"/>
    <n v="4993.2"/>
  </r>
  <r>
    <x v="0"/>
    <x v="0"/>
    <x v="0"/>
    <x v="0"/>
    <x v="0"/>
    <s v="DK1_Large"/>
    <x v="2"/>
    <x v="0"/>
    <s v="GNR_ENG_NGAS_BP_E-41"/>
    <x v="0"/>
    <x v="16"/>
    <n v="3.8"/>
    <n v="1387"/>
    <n v="4993.2"/>
  </r>
  <r>
    <x v="0"/>
    <x v="0"/>
    <x v="0"/>
    <x v="0"/>
    <x v="0"/>
    <s v="DK1_Large"/>
    <x v="2"/>
    <x v="0"/>
    <s v="GNR_ENG_NGAS_BP_E-41"/>
    <x v="0"/>
    <x v="17"/>
    <n v="3.8"/>
    <n v="1387"/>
    <n v="4993.2"/>
  </r>
  <r>
    <x v="0"/>
    <x v="0"/>
    <x v="0"/>
    <x v="0"/>
    <x v="0"/>
    <s v="DK1_Large"/>
    <x v="2"/>
    <x v="0"/>
    <s v="GNR_ENG_NGAS_BP_E-41"/>
    <x v="0"/>
    <x v="18"/>
    <n v="3.8"/>
    <n v="1387"/>
    <n v="4993.2"/>
  </r>
  <r>
    <x v="0"/>
    <x v="0"/>
    <x v="0"/>
    <x v="0"/>
    <x v="0"/>
    <s v="DK1_Large"/>
    <x v="2"/>
    <x v="0"/>
    <s v="GNR_ENG_NGAS_BP_E-41"/>
    <x v="0"/>
    <x v="19"/>
    <n v="3.8"/>
    <n v="1387"/>
    <n v="4993.2"/>
  </r>
  <r>
    <x v="0"/>
    <x v="0"/>
    <x v="0"/>
    <x v="0"/>
    <x v="0"/>
    <s v="DK1_Large"/>
    <x v="2"/>
    <x v="0"/>
    <s v="GNR_ENG_NGAS_BP_E-41"/>
    <x v="0"/>
    <x v="20"/>
    <n v="3.8"/>
    <n v="1387"/>
    <n v="4993.2"/>
  </r>
  <r>
    <x v="0"/>
    <x v="0"/>
    <x v="0"/>
    <x v="0"/>
    <x v="0"/>
    <s v="DK1_Large"/>
    <x v="2"/>
    <x v="0"/>
    <s v="GNR_ENG_NGAS_BP_E-41"/>
    <x v="0"/>
    <x v="21"/>
    <n v="3.8"/>
    <n v="1387"/>
    <n v="4993.2"/>
  </r>
  <r>
    <x v="0"/>
    <x v="0"/>
    <x v="0"/>
    <x v="0"/>
    <x v="0"/>
    <s v="DK1_Large"/>
    <x v="2"/>
    <x v="0"/>
    <s v="GNR_ENG_NGAS_BP_E-41"/>
    <x v="0"/>
    <x v="22"/>
    <n v="3.8"/>
    <n v="1387"/>
    <n v="4993.2"/>
  </r>
  <r>
    <x v="0"/>
    <x v="0"/>
    <x v="0"/>
    <x v="0"/>
    <x v="0"/>
    <s v="DK1_Large"/>
    <x v="2"/>
    <x v="0"/>
    <s v="GNR_ENG_NGAS_BP_E-41"/>
    <x v="0"/>
    <x v="23"/>
    <n v="3.8"/>
    <n v="1387"/>
    <n v="4993.2"/>
  </r>
  <r>
    <x v="0"/>
    <x v="0"/>
    <x v="0"/>
    <x v="0"/>
    <x v="0"/>
    <s v="DK1_Large"/>
    <x v="2"/>
    <x v="0"/>
    <s v="GNR_ENG_NGAS_BP_E-42"/>
    <x v="0"/>
    <x v="0"/>
    <n v="2.2599999999999998"/>
    <n v="824.9"/>
    <n v="2969.64"/>
  </r>
  <r>
    <x v="0"/>
    <x v="0"/>
    <x v="0"/>
    <x v="0"/>
    <x v="0"/>
    <s v="DK1_Large"/>
    <x v="2"/>
    <x v="0"/>
    <s v="GNR_ENG_NGAS_BP_E-42"/>
    <x v="0"/>
    <x v="1"/>
    <n v="2.2599999999999998"/>
    <n v="824.9"/>
    <n v="2969.64"/>
  </r>
  <r>
    <x v="0"/>
    <x v="0"/>
    <x v="0"/>
    <x v="0"/>
    <x v="0"/>
    <s v="DK1_Large"/>
    <x v="2"/>
    <x v="0"/>
    <s v="GNR_ENG_NGAS_BP_E-42"/>
    <x v="0"/>
    <x v="2"/>
    <n v="2.2599999999999998"/>
    <n v="824.9"/>
    <n v="2969.64"/>
  </r>
  <r>
    <x v="0"/>
    <x v="0"/>
    <x v="0"/>
    <x v="0"/>
    <x v="0"/>
    <s v="DK1_Large"/>
    <x v="2"/>
    <x v="0"/>
    <s v="GNR_ENG_NGAS_BP_E-42"/>
    <x v="0"/>
    <x v="3"/>
    <n v="2.2599999999999998"/>
    <n v="824.9"/>
    <n v="2969.64"/>
  </r>
  <r>
    <x v="0"/>
    <x v="0"/>
    <x v="0"/>
    <x v="0"/>
    <x v="0"/>
    <s v="DK1_Large"/>
    <x v="2"/>
    <x v="0"/>
    <s v="GNR_ENG_NGAS_BP_E-42"/>
    <x v="0"/>
    <x v="4"/>
    <n v="2.2599999999999998"/>
    <n v="824.9"/>
    <n v="2969.64"/>
  </r>
  <r>
    <x v="0"/>
    <x v="0"/>
    <x v="0"/>
    <x v="0"/>
    <x v="0"/>
    <s v="DK1_Large"/>
    <x v="2"/>
    <x v="0"/>
    <s v="GNR_ENG_NGAS_BP_E-42"/>
    <x v="0"/>
    <x v="5"/>
    <n v="2.2599999999999998"/>
    <n v="824.9"/>
    <n v="2969.64"/>
  </r>
  <r>
    <x v="0"/>
    <x v="0"/>
    <x v="0"/>
    <x v="0"/>
    <x v="0"/>
    <s v="DK1_Large"/>
    <x v="2"/>
    <x v="0"/>
    <s v="GNR_ENG_NGAS_BP_E-42"/>
    <x v="0"/>
    <x v="6"/>
    <n v="2.2599999999999998"/>
    <n v="824.9"/>
    <n v="2969.64"/>
  </r>
  <r>
    <x v="0"/>
    <x v="0"/>
    <x v="0"/>
    <x v="0"/>
    <x v="0"/>
    <s v="DK1_Large"/>
    <x v="2"/>
    <x v="0"/>
    <s v="GNR_ENG_NGAS_BP_E-42"/>
    <x v="0"/>
    <x v="7"/>
    <n v="2.2599999999999998"/>
    <n v="824.9"/>
    <n v="2969.64"/>
  </r>
  <r>
    <x v="0"/>
    <x v="0"/>
    <x v="0"/>
    <x v="0"/>
    <x v="0"/>
    <s v="DK1_Large"/>
    <x v="2"/>
    <x v="0"/>
    <s v="GNR_ENG_NGAS_BP_E-42"/>
    <x v="0"/>
    <x v="8"/>
    <n v="2.2599999999999998"/>
    <n v="824.9"/>
    <n v="2969.64"/>
  </r>
  <r>
    <x v="0"/>
    <x v="0"/>
    <x v="0"/>
    <x v="0"/>
    <x v="0"/>
    <s v="DK1_Large"/>
    <x v="2"/>
    <x v="0"/>
    <s v="GNR_ENG_NGAS_BP_E-42"/>
    <x v="0"/>
    <x v="9"/>
    <n v="2.2599999999999998"/>
    <n v="824.9"/>
    <n v="2969.64"/>
  </r>
  <r>
    <x v="0"/>
    <x v="0"/>
    <x v="0"/>
    <x v="0"/>
    <x v="0"/>
    <s v="DK1_Large"/>
    <x v="2"/>
    <x v="0"/>
    <s v="GNR_ENG_NGAS_BP_E-42"/>
    <x v="0"/>
    <x v="10"/>
    <n v="2.2599999999999998"/>
    <n v="824.9"/>
    <n v="2969.64"/>
  </r>
  <r>
    <x v="0"/>
    <x v="0"/>
    <x v="0"/>
    <x v="0"/>
    <x v="0"/>
    <s v="DK1_Large"/>
    <x v="2"/>
    <x v="0"/>
    <s v="GNR_ENG_NGAS_BP_E-42"/>
    <x v="0"/>
    <x v="11"/>
    <n v="2.2599999999999998"/>
    <n v="824.9"/>
    <n v="2969.64"/>
  </r>
  <r>
    <x v="0"/>
    <x v="0"/>
    <x v="0"/>
    <x v="0"/>
    <x v="0"/>
    <s v="DK1_Large"/>
    <x v="2"/>
    <x v="0"/>
    <s v="GNR_ENG_NGAS_BP_E-42"/>
    <x v="0"/>
    <x v="12"/>
    <n v="2.2599999999999998"/>
    <n v="824.9"/>
    <n v="2969.64"/>
  </r>
  <r>
    <x v="0"/>
    <x v="0"/>
    <x v="0"/>
    <x v="0"/>
    <x v="0"/>
    <s v="DK1_Large"/>
    <x v="2"/>
    <x v="0"/>
    <s v="GNR_ENG_NGAS_BP_E-42"/>
    <x v="0"/>
    <x v="13"/>
    <n v="2.2599999999999998"/>
    <n v="824.9"/>
    <n v="2969.64"/>
  </r>
  <r>
    <x v="0"/>
    <x v="0"/>
    <x v="0"/>
    <x v="0"/>
    <x v="0"/>
    <s v="DK1_Large"/>
    <x v="2"/>
    <x v="0"/>
    <s v="GNR_ENG_NGAS_BP_E-42"/>
    <x v="0"/>
    <x v="14"/>
    <n v="2.2599999999999998"/>
    <n v="824.9"/>
    <n v="2969.64"/>
  </r>
  <r>
    <x v="0"/>
    <x v="0"/>
    <x v="0"/>
    <x v="0"/>
    <x v="0"/>
    <s v="DK1_Large"/>
    <x v="2"/>
    <x v="0"/>
    <s v="GNR_ENG_NGAS_BP_E-42"/>
    <x v="0"/>
    <x v="15"/>
    <n v="2.2599999999999998"/>
    <n v="824.9"/>
    <n v="2969.64"/>
  </r>
  <r>
    <x v="0"/>
    <x v="0"/>
    <x v="0"/>
    <x v="0"/>
    <x v="0"/>
    <s v="DK1_Large"/>
    <x v="2"/>
    <x v="0"/>
    <s v="GNR_ENG_NGAS_BP_E-42"/>
    <x v="0"/>
    <x v="16"/>
    <n v="2.2599999999999998"/>
    <n v="824.9"/>
    <n v="2969.64"/>
  </r>
  <r>
    <x v="0"/>
    <x v="0"/>
    <x v="0"/>
    <x v="0"/>
    <x v="0"/>
    <s v="DK1_Large"/>
    <x v="2"/>
    <x v="0"/>
    <s v="GNR_ENG_NGAS_BP_E-42"/>
    <x v="0"/>
    <x v="17"/>
    <n v="2.2599999999999998"/>
    <n v="824.9"/>
    <n v="2969.64"/>
  </r>
  <r>
    <x v="0"/>
    <x v="0"/>
    <x v="0"/>
    <x v="0"/>
    <x v="0"/>
    <s v="DK1_Large"/>
    <x v="2"/>
    <x v="0"/>
    <s v="GNR_ENG_NGAS_BP_E-42"/>
    <x v="0"/>
    <x v="18"/>
    <n v="2.2599999999999998"/>
    <n v="824.9"/>
    <n v="2969.64"/>
  </r>
  <r>
    <x v="0"/>
    <x v="0"/>
    <x v="0"/>
    <x v="0"/>
    <x v="0"/>
    <s v="DK1_Large"/>
    <x v="2"/>
    <x v="0"/>
    <s v="GNR_ENG_NGAS_BP_E-42"/>
    <x v="0"/>
    <x v="19"/>
    <n v="2.2599999999999998"/>
    <n v="824.9"/>
    <n v="2969.64"/>
  </r>
  <r>
    <x v="0"/>
    <x v="0"/>
    <x v="0"/>
    <x v="0"/>
    <x v="0"/>
    <s v="DK1_Large"/>
    <x v="2"/>
    <x v="0"/>
    <s v="GNR_ENG_NGAS_BP_E-42"/>
    <x v="0"/>
    <x v="20"/>
    <n v="2.2599999999999998"/>
    <n v="824.9"/>
    <n v="2969.64"/>
  </r>
  <r>
    <x v="0"/>
    <x v="0"/>
    <x v="0"/>
    <x v="0"/>
    <x v="0"/>
    <s v="DK1_Large"/>
    <x v="2"/>
    <x v="0"/>
    <s v="GNR_ENG_NGAS_BP_E-42"/>
    <x v="0"/>
    <x v="21"/>
    <n v="2.2599999999999998"/>
    <n v="824.9"/>
    <n v="2969.64"/>
  </r>
  <r>
    <x v="0"/>
    <x v="0"/>
    <x v="0"/>
    <x v="0"/>
    <x v="0"/>
    <s v="DK1_Large"/>
    <x v="2"/>
    <x v="0"/>
    <s v="GNR_ENG_NGAS_BP_E-42"/>
    <x v="0"/>
    <x v="22"/>
    <n v="2.2599999999999998"/>
    <n v="824.9"/>
    <n v="2969.64"/>
  </r>
  <r>
    <x v="0"/>
    <x v="0"/>
    <x v="0"/>
    <x v="0"/>
    <x v="0"/>
    <s v="DK1_Large"/>
    <x v="2"/>
    <x v="0"/>
    <s v="GNR_ENG_NGAS_BP_E-42"/>
    <x v="0"/>
    <x v="23"/>
    <n v="2.2599999999999998"/>
    <n v="824.9"/>
    <n v="2969.64"/>
  </r>
  <r>
    <x v="0"/>
    <x v="0"/>
    <x v="0"/>
    <x v="0"/>
    <x v="0"/>
    <s v="DK1_Large"/>
    <x v="2"/>
    <x v="0"/>
    <s v="GNR_ENG_NGAS_BP_E-43"/>
    <x v="0"/>
    <x v="0"/>
    <n v="8.99"/>
    <n v="3281.35"/>
    <n v="11812.86"/>
  </r>
  <r>
    <x v="0"/>
    <x v="0"/>
    <x v="0"/>
    <x v="0"/>
    <x v="0"/>
    <s v="DK1_Large"/>
    <x v="2"/>
    <x v="0"/>
    <s v="GNR_ENG_NGAS_BP_E-43"/>
    <x v="0"/>
    <x v="1"/>
    <n v="8.99"/>
    <n v="3281.35"/>
    <n v="11812.86"/>
  </r>
  <r>
    <x v="0"/>
    <x v="0"/>
    <x v="0"/>
    <x v="0"/>
    <x v="0"/>
    <s v="DK1_Large"/>
    <x v="2"/>
    <x v="0"/>
    <s v="GNR_ENG_NGAS_BP_E-43"/>
    <x v="0"/>
    <x v="2"/>
    <n v="8.99"/>
    <n v="3281.35"/>
    <n v="11812.86"/>
  </r>
  <r>
    <x v="0"/>
    <x v="0"/>
    <x v="0"/>
    <x v="0"/>
    <x v="0"/>
    <s v="DK1_Large"/>
    <x v="2"/>
    <x v="0"/>
    <s v="GNR_ENG_NGAS_BP_E-43"/>
    <x v="0"/>
    <x v="3"/>
    <n v="8.99"/>
    <n v="3281.35"/>
    <n v="11812.86"/>
  </r>
  <r>
    <x v="0"/>
    <x v="0"/>
    <x v="0"/>
    <x v="0"/>
    <x v="0"/>
    <s v="DK1_Large"/>
    <x v="2"/>
    <x v="0"/>
    <s v="GNR_ENG_NGAS_BP_E-43"/>
    <x v="0"/>
    <x v="4"/>
    <n v="8.99"/>
    <n v="3281.35"/>
    <n v="11812.86"/>
  </r>
  <r>
    <x v="0"/>
    <x v="0"/>
    <x v="0"/>
    <x v="0"/>
    <x v="0"/>
    <s v="DK1_Large"/>
    <x v="2"/>
    <x v="0"/>
    <s v="GNR_ENG_NGAS_BP_E-43"/>
    <x v="0"/>
    <x v="5"/>
    <n v="8.99"/>
    <n v="3281.35"/>
    <n v="11812.86"/>
  </r>
  <r>
    <x v="0"/>
    <x v="0"/>
    <x v="0"/>
    <x v="0"/>
    <x v="0"/>
    <s v="DK1_Large"/>
    <x v="2"/>
    <x v="0"/>
    <s v="GNR_ENG_NGAS_BP_E-43"/>
    <x v="0"/>
    <x v="6"/>
    <n v="8.99"/>
    <n v="3281.35"/>
    <n v="11812.86"/>
  </r>
  <r>
    <x v="0"/>
    <x v="0"/>
    <x v="0"/>
    <x v="0"/>
    <x v="0"/>
    <s v="DK1_Large"/>
    <x v="2"/>
    <x v="0"/>
    <s v="GNR_ENG_NGAS_BP_E-43"/>
    <x v="0"/>
    <x v="7"/>
    <n v="8.99"/>
    <n v="3281.35"/>
    <n v="11812.86"/>
  </r>
  <r>
    <x v="0"/>
    <x v="0"/>
    <x v="0"/>
    <x v="0"/>
    <x v="0"/>
    <s v="DK1_Large"/>
    <x v="2"/>
    <x v="0"/>
    <s v="GNR_ENG_NGAS_BP_E-43"/>
    <x v="0"/>
    <x v="8"/>
    <n v="8.99"/>
    <n v="3281.35"/>
    <n v="11812.86"/>
  </r>
  <r>
    <x v="0"/>
    <x v="0"/>
    <x v="0"/>
    <x v="0"/>
    <x v="0"/>
    <s v="DK1_Large"/>
    <x v="2"/>
    <x v="0"/>
    <s v="GNR_ENG_NGAS_BP_E-43"/>
    <x v="0"/>
    <x v="9"/>
    <n v="8.99"/>
    <n v="3281.35"/>
    <n v="11812.86"/>
  </r>
  <r>
    <x v="0"/>
    <x v="0"/>
    <x v="0"/>
    <x v="0"/>
    <x v="0"/>
    <s v="DK1_Large"/>
    <x v="2"/>
    <x v="0"/>
    <s v="GNR_ENG_NGAS_BP_E-43"/>
    <x v="0"/>
    <x v="10"/>
    <n v="8.99"/>
    <n v="3281.35"/>
    <n v="11812.86"/>
  </r>
  <r>
    <x v="0"/>
    <x v="0"/>
    <x v="0"/>
    <x v="0"/>
    <x v="0"/>
    <s v="DK1_Large"/>
    <x v="2"/>
    <x v="0"/>
    <s v="GNR_ENG_NGAS_BP_E-43"/>
    <x v="0"/>
    <x v="11"/>
    <n v="8.99"/>
    <n v="3281.35"/>
    <n v="11812.86"/>
  </r>
  <r>
    <x v="0"/>
    <x v="0"/>
    <x v="0"/>
    <x v="0"/>
    <x v="0"/>
    <s v="DK1_Large"/>
    <x v="2"/>
    <x v="0"/>
    <s v="GNR_ENG_NGAS_BP_E-43"/>
    <x v="0"/>
    <x v="12"/>
    <n v="8.99"/>
    <n v="3281.35"/>
    <n v="11812.86"/>
  </r>
  <r>
    <x v="0"/>
    <x v="0"/>
    <x v="0"/>
    <x v="0"/>
    <x v="0"/>
    <s v="DK1_Large"/>
    <x v="2"/>
    <x v="0"/>
    <s v="GNR_ENG_NGAS_BP_E-43"/>
    <x v="0"/>
    <x v="13"/>
    <n v="8.99"/>
    <n v="3281.35"/>
    <n v="11812.86"/>
  </r>
  <r>
    <x v="0"/>
    <x v="0"/>
    <x v="0"/>
    <x v="0"/>
    <x v="0"/>
    <s v="DK1_Large"/>
    <x v="2"/>
    <x v="0"/>
    <s v="GNR_ENG_NGAS_BP_E-43"/>
    <x v="0"/>
    <x v="14"/>
    <n v="8.99"/>
    <n v="3281.35"/>
    <n v="11812.86"/>
  </r>
  <r>
    <x v="0"/>
    <x v="0"/>
    <x v="0"/>
    <x v="0"/>
    <x v="0"/>
    <s v="DK1_Large"/>
    <x v="2"/>
    <x v="0"/>
    <s v="GNR_ENG_NGAS_BP_E-43"/>
    <x v="0"/>
    <x v="15"/>
    <n v="8.99"/>
    <n v="3281.35"/>
    <n v="11812.86"/>
  </r>
  <r>
    <x v="0"/>
    <x v="0"/>
    <x v="0"/>
    <x v="0"/>
    <x v="0"/>
    <s v="DK1_Large"/>
    <x v="2"/>
    <x v="0"/>
    <s v="GNR_ENG_NGAS_BP_E-43"/>
    <x v="0"/>
    <x v="16"/>
    <n v="8.99"/>
    <n v="3281.35"/>
    <n v="11812.86"/>
  </r>
  <r>
    <x v="0"/>
    <x v="0"/>
    <x v="0"/>
    <x v="0"/>
    <x v="0"/>
    <s v="DK1_Large"/>
    <x v="2"/>
    <x v="0"/>
    <s v="GNR_ENG_NGAS_BP_E-43"/>
    <x v="0"/>
    <x v="17"/>
    <n v="8.99"/>
    <n v="3281.35"/>
    <n v="11812.86"/>
  </r>
  <r>
    <x v="0"/>
    <x v="0"/>
    <x v="0"/>
    <x v="0"/>
    <x v="0"/>
    <s v="DK1_Large"/>
    <x v="2"/>
    <x v="0"/>
    <s v="GNR_ENG_NGAS_BP_E-43"/>
    <x v="0"/>
    <x v="18"/>
    <n v="8.99"/>
    <n v="3281.35"/>
    <n v="11812.86"/>
  </r>
  <r>
    <x v="0"/>
    <x v="0"/>
    <x v="0"/>
    <x v="0"/>
    <x v="0"/>
    <s v="DK1_Large"/>
    <x v="2"/>
    <x v="0"/>
    <s v="GNR_ENG_NGAS_BP_E-43"/>
    <x v="0"/>
    <x v="19"/>
    <n v="8.99"/>
    <n v="3281.35"/>
    <n v="11812.86"/>
  </r>
  <r>
    <x v="0"/>
    <x v="0"/>
    <x v="0"/>
    <x v="0"/>
    <x v="0"/>
    <s v="DK1_Large"/>
    <x v="2"/>
    <x v="0"/>
    <s v="GNR_ENG_NGAS_BP_E-43"/>
    <x v="0"/>
    <x v="20"/>
    <n v="8.99"/>
    <n v="3281.35"/>
    <n v="11812.86"/>
  </r>
  <r>
    <x v="0"/>
    <x v="0"/>
    <x v="0"/>
    <x v="0"/>
    <x v="0"/>
    <s v="DK1_Large"/>
    <x v="2"/>
    <x v="0"/>
    <s v="GNR_ENG_NGAS_BP_E-43"/>
    <x v="0"/>
    <x v="21"/>
    <n v="8.99"/>
    <n v="3281.35"/>
    <n v="11812.86"/>
  </r>
  <r>
    <x v="0"/>
    <x v="0"/>
    <x v="0"/>
    <x v="0"/>
    <x v="0"/>
    <s v="DK1_Large"/>
    <x v="2"/>
    <x v="0"/>
    <s v="GNR_ENG_NGAS_BP_E-43"/>
    <x v="0"/>
    <x v="22"/>
    <n v="8.99"/>
    <n v="3281.35"/>
    <n v="11812.86"/>
  </r>
  <r>
    <x v="0"/>
    <x v="0"/>
    <x v="0"/>
    <x v="0"/>
    <x v="0"/>
    <s v="DK1_Large"/>
    <x v="2"/>
    <x v="0"/>
    <s v="GNR_ENG_NGAS_BP_E-43"/>
    <x v="0"/>
    <x v="23"/>
    <n v="8.99"/>
    <n v="3281.35"/>
    <n v="11812.86"/>
  </r>
  <r>
    <x v="0"/>
    <x v="0"/>
    <x v="0"/>
    <x v="0"/>
    <x v="0"/>
    <s v="DK1_Large"/>
    <x v="2"/>
    <x v="0"/>
    <s v="GNR_ENG_NGAS_BP_E-44"/>
    <x v="0"/>
    <x v="0"/>
    <n v="3.14"/>
    <n v="1146.0999999999999"/>
    <n v="4125.96"/>
  </r>
  <r>
    <x v="0"/>
    <x v="0"/>
    <x v="0"/>
    <x v="0"/>
    <x v="0"/>
    <s v="DK1_Large"/>
    <x v="2"/>
    <x v="0"/>
    <s v="GNR_ENG_NGAS_BP_E-44"/>
    <x v="0"/>
    <x v="1"/>
    <n v="3.14"/>
    <n v="1146.0999999999999"/>
    <n v="4125.96"/>
  </r>
  <r>
    <x v="0"/>
    <x v="0"/>
    <x v="0"/>
    <x v="0"/>
    <x v="0"/>
    <s v="DK1_Large"/>
    <x v="2"/>
    <x v="0"/>
    <s v="GNR_ENG_NGAS_BP_E-44"/>
    <x v="0"/>
    <x v="2"/>
    <n v="3.14"/>
    <n v="1146.0999999999999"/>
    <n v="4125.96"/>
  </r>
  <r>
    <x v="0"/>
    <x v="0"/>
    <x v="0"/>
    <x v="0"/>
    <x v="0"/>
    <s v="DK1_Large"/>
    <x v="2"/>
    <x v="0"/>
    <s v="GNR_ENG_NGAS_BP_E-44"/>
    <x v="0"/>
    <x v="3"/>
    <n v="3.14"/>
    <n v="1146.0999999999999"/>
    <n v="4125.96"/>
  </r>
  <r>
    <x v="0"/>
    <x v="0"/>
    <x v="0"/>
    <x v="0"/>
    <x v="0"/>
    <s v="DK1_Large"/>
    <x v="2"/>
    <x v="0"/>
    <s v="GNR_ENG_NGAS_BP_E-44"/>
    <x v="0"/>
    <x v="4"/>
    <n v="3.14"/>
    <n v="1146.0999999999999"/>
    <n v="4125.96"/>
  </r>
  <r>
    <x v="0"/>
    <x v="0"/>
    <x v="0"/>
    <x v="0"/>
    <x v="0"/>
    <s v="DK1_Large"/>
    <x v="2"/>
    <x v="0"/>
    <s v="GNR_ENG_NGAS_BP_E-44"/>
    <x v="0"/>
    <x v="5"/>
    <n v="3.14"/>
    <n v="1146.0999999999999"/>
    <n v="4125.96"/>
  </r>
  <r>
    <x v="0"/>
    <x v="0"/>
    <x v="0"/>
    <x v="0"/>
    <x v="0"/>
    <s v="DK1_Large"/>
    <x v="2"/>
    <x v="0"/>
    <s v="GNR_ENG_NGAS_BP_E-44"/>
    <x v="0"/>
    <x v="6"/>
    <n v="3.14"/>
    <n v="1146.0999999999999"/>
    <n v="4125.96"/>
  </r>
  <r>
    <x v="0"/>
    <x v="0"/>
    <x v="0"/>
    <x v="0"/>
    <x v="0"/>
    <s v="DK1_Large"/>
    <x v="2"/>
    <x v="0"/>
    <s v="GNR_ENG_NGAS_BP_E-44"/>
    <x v="0"/>
    <x v="7"/>
    <n v="3.14"/>
    <n v="1146.0999999999999"/>
    <n v="4125.96"/>
  </r>
  <r>
    <x v="0"/>
    <x v="0"/>
    <x v="0"/>
    <x v="0"/>
    <x v="0"/>
    <s v="DK1_Large"/>
    <x v="2"/>
    <x v="0"/>
    <s v="GNR_ENG_NGAS_BP_E-44"/>
    <x v="0"/>
    <x v="8"/>
    <n v="3.14"/>
    <n v="1146.0999999999999"/>
    <n v="4125.96"/>
  </r>
  <r>
    <x v="0"/>
    <x v="0"/>
    <x v="0"/>
    <x v="0"/>
    <x v="0"/>
    <s v="DK1_Large"/>
    <x v="2"/>
    <x v="0"/>
    <s v="GNR_ENG_NGAS_BP_E-44"/>
    <x v="0"/>
    <x v="9"/>
    <n v="3.14"/>
    <n v="1146.0999999999999"/>
    <n v="4125.96"/>
  </r>
  <r>
    <x v="0"/>
    <x v="0"/>
    <x v="0"/>
    <x v="0"/>
    <x v="0"/>
    <s v="DK1_Large"/>
    <x v="2"/>
    <x v="0"/>
    <s v="GNR_ENG_NGAS_BP_E-44"/>
    <x v="0"/>
    <x v="10"/>
    <n v="3.14"/>
    <n v="1146.0999999999999"/>
    <n v="4125.96"/>
  </r>
  <r>
    <x v="0"/>
    <x v="0"/>
    <x v="0"/>
    <x v="0"/>
    <x v="0"/>
    <s v="DK1_Large"/>
    <x v="2"/>
    <x v="0"/>
    <s v="GNR_ENG_NGAS_BP_E-44"/>
    <x v="0"/>
    <x v="11"/>
    <n v="3.14"/>
    <n v="1146.0999999999999"/>
    <n v="4125.96"/>
  </r>
  <r>
    <x v="0"/>
    <x v="0"/>
    <x v="0"/>
    <x v="0"/>
    <x v="0"/>
    <s v="DK1_Large"/>
    <x v="2"/>
    <x v="0"/>
    <s v="GNR_ENG_NGAS_BP_E-44"/>
    <x v="0"/>
    <x v="12"/>
    <n v="3.14"/>
    <n v="1146.0999999999999"/>
    <n v="4125.96"/>
  </r>
  <r>
    <x v="0"/>
    <x v="0"/>
    <x v="0"/>
    <x v="0"/>
    <x v="0"/>
    <s v="DK1_Large"/>
    <x v="2"/>
    <x v="0"/>
    <s v="GNR_ENG_NGAS_BP_E-44"/>
    <x v="0"/>
    <x v="13"/>
    <n v="3.14"/>
    <n v="1146.0999999999999"/>
    <n v="4125.96"/>
  </r>
  <r>
    <x v="0"/>
    <x v="0"/>
    <x v="0"/>
    <x v="0"/>
    <x v="0"/>
    <s v="DK1_Large"/>
    <x v="2"/>
    <x v="0"/>
    <s v="GNR_ENG_NGAS_BP_E-44"/>
    <x v="0"/>
    <x v="14"/>
    <n v="3.14"/>
    <n v="1146.0999999999999"/>
    <n v="4125.96"/>
  </r>
  <r>
    <x v="0"/>
    <x v="0"/>
    <x v="0"/>
    <x v="0"/>
    <x v="0"/>
    <s v="DK1_Large"/>
    <x v="2"/>
    <x v="0"/>
    <s v="GNR_ENG_NGAS_BP_E-44"/>
    <x v="0"/>
    <x v="15"/>
    <n v="3.14"/>
    <n v="1146.0999999999999"/>
    <n v="4125.96"/>
  </r>
  <r>
    <x v="0"/>
    <x v="0"/>
    <x v="0"/>
    <x v="0"/>
    <x v="0"/>
    <s v="DK1_Large"/>
    <x v="2"/>
    <x v="0"/>
    <s v="GNR_ENG_NGAS_BP_E-44"/>
    <x v="0"/>
    <x v="16"/>
    <n v="3.14"/>
    <n v="1146.0999999999999"/>
    <n v="4125.96"/>
  </r>
  <r>
    <x v="0"/>
    <x v="0"/>
    <x v="0"/>
    <x v="0"/>
    <x v="0"/>
    <s v="DK1_Large"/>
    <x v="2"/>
    <x v="0"/>
    <s v="GNR_ENG_NGAS_BP_E-44"/>
    <x v="0"/>
    <x v="17"/>
    <n v="3.14"/>
    <n v="1146.0999999999999"/>
    <n v="4125.96"/>
  </r>
  <r>
    <x v="0"/>
    <x v="0"/>
    <x v="0"/>
    <x v="0"/>
    <x v="0"/>
    <s v="DK1_Large"/>
    <x v="2"/>
    <x v="0"/>
    <s v="GNR_ENG_NGAS_BP_E-44"/>
    <x v="0"/>
    <x v="18"/>
    <n v="3.14"/>
    <n v="1146.0999999999999"/>
    <n v="4125.96"/>
  </r>
  <r>
    <x v="0"/>
    <x v="0"/>
    <x v="0"/>
    <x v="0"/>
    <x v="0"/>
    <s v="DK1_Large"/>
    <x v="2"/>
    <x v="0"/>
    <s v="GNR_ENG_NGAS_BP_E-44"/>
    <x v="0"/>
    <x v="19"/>
    <n v="3.14"/>
    <n v="1146.0999999999999"/>
    <n v="4125.96"/>
  </r>
  <r>
    <x v="0"/>
    <x v="0"/>
    <x v="0"/>
    <x v="0"/>
    <x v="0"/>
    <s v="DK1_Large"/>
    <x v="2"/>
    <x v="0"/>
    <s v="GNR_ENG_NGAS_BP_E-44"/>
    <x v="0"/>
    <x v="20"/>
    <n v="3.14"/>
    <n v="1146.0999999999999"/>
    <n v="4125.96"/>
  </r>
  <r>
    <x v="0"/>
    <x v="0"/>
    <x v="0"/>
    <x v="0"/>
    <x v="0"/>
    <s v="DK1_Large"/>
    <x v="2"/>
    <x v="0"/>
    <s v="GNR_ENG_NGAS_BP_E-44"/>
    <x v="0"/>
    <x v="21"/>
    <n v="3.14"/>
    <n v="1146.0999999999999"/>
    <n v="4125.96"/>
  </r>
  <r>
    <x v="0"/>
    <x v="0"/>
    <x v="0"/>
    <x v="0"/>
    <x v="0"/>
    <s v="DK1_Large"/>
    <x v="2"/>
    <x v="0"/>
    <s v="GNR_ENG_NGAS_BP_E-44"/>
    <x v="0"/>
    <x v="22"/>
    <n v="3.14"/>
    <n v="1146.0999999999999"/>
    <n v="4125.96"/>
  </r>
  <r>
    <x v="0"/>
    <x v="0"/>
    <x v="0"/>
    <x v="0"/>
    <x v="0"/>
    <s v="DK1_Large"/>
    <x v="2"/>
    <x v="0"/>
    <s v="GNR_ENG_NGAS_BP_E-44"/>
    <x v="0"/>
    <x v="23"/>
    <n v="3.14"/>
    <n v="1146.0999999999999"/>
    <n v="4125.96"/>
  </r>
  <r>
    <x v="0"/>
    <x v="0"/>
    <x v="0"/>
    <x v="0"/>
    <x v="0"/>
    <s v="DK1_Large"/>
    <x v="2"/>
    <x v="0"/>
    <s v="GNR_ENG_NGAS_BP_E-46"/>
    <x v="0"/>
    <x v="0"/>
    <n v="2.92"/>
    <n v="1065.8"/>
    <n v="3836.88"/>
  </r>
  <r>
    <x v="0"/>
    <x v="0"/>
    <x v="0"/>
    <x v="0"/>
    <x v="0"/>
    <s v="DK1_Large"/>
    <x v="2"/>
    <x v="0"/>
    <s v="GNR_ENG_NGAS_BP_E-46"/>
    <x v="0"/>
    <x v="1"/>
    <n v="2.92"/>
    <n v="1065.8"/>
    <n v="3836.88"/>
  </r>
  <r>
    <x v="0"/>
    <x v="0"/>
    <x v="0"/>
    <x v="0"/>
    <x v="0"/>
    <s v="DK1_Large"/>
    <x v="2"/>
    <x v="0"/>
    <s v="GNR_ENG_NGAS_BP_E-46"/>
    <x v="0"/>
    <x v="2"/>
    <n v="2.92"/>
    <n v="1065.8"/>
    <n v="3836.88"/>
  </r>
  <r>
    <x v="0"/>
    <x v="0"/>
    <x v="0"/>
    <x v="0"/>
    <x v="0"/>
    <s v="DK1_Large"/>
    <x v="2"/>
    <x v="0"/>
    <s v="GNR_ENG_NGAS_BP_E-46"/>
    <x v="0"/>
    <x v="3"/>
    <n v="2.92"/>
    <n v="1065.8"/>
    <n v="3836.88"/>
  </r>
  <r>
    <x v="0"/>
    <x v="0"/>
    <x v="0"/>
    <x v="0"/>
    <x v="0"/>
    <s v="DK1_Large"/>
    <x v="2"/>
    <x v="0"/>
    <s v="GNR_ENG_NGAS_BP_E-46"/>
    <x v="0"/>
    <x v="4"/>
    <n v="2.92"/>
    <n v="1065.8"/>
    <n v="3836.88"/>
  </r>
  <r>
    <x v="0"/>
    <x v="0"/>
    <x v="0"/>
    <x v="0"/>
    <x v="0"/>
    <s v="DK1_Large"/>
    <x v="2"/>
    <x v="0"/>
    <s v="GNR_ENG_NGAS_BP_E-46"/>
    <x v="0"/>
    <x v="5"/>
    <n v="2.92"/>
    <n v="1065.8"/>
    <n v="3836.88"/>
  </r>
  <r>
    <x v="0"/>
    <x v="0"/>
    <x v="0"/>
    <x v="0"/>
    <x v="0"/>
    <s v="DK1_Large"/>
    <x v="2"/>
    <x v="0"/>
    <s v="GNR_ENG_NGAS_BP_E-46"/>
    <x v="0"/>
    <x v="6"/>
    <n v="2.92"/>
    <n v="1065.8"/>
    <n v="3836.88"/>
  </r>
  <r>
    <x v="0"/>
    <x v="0"/>
    <x v="0"/>
    <x v="0"/>
    <x v="0"/>
    <s v="DK1_Large"/>
    <x v="2"/>
    <x v="0"/>
    <s v="GNR_ENG_NGAS_BP_E-46"/>
    <x v="0"/>
    <x v="7"/>
    <n v="2.92"/>
    <n v="1065.8"/>
    <n v="3836.88"/>
  </r>
  <r>
    <x v="0"/>
    <x v="0"/>
    <x v="0"/>
    <x v="0"/>
    <x v="0"/>
    <s v="DK1_Large"/>
    <x v="2"/>
    <x v="0"/>
    <s v="GNR_ENG_NGAS_BP_E-46"/>
    <x v="0"/>
    <x v="8"/>
    <n v="2.92"/>
    <n v="1065.8"/>
    <n v="3836.88"/>
  </r>
  <r>
    <x v="0"/>
    <x v="0"/>
    <x v="0"/>
    <x v="0"/>
    <x v="0"/>
    <s v="DK1_Large"/>
    <x v="2"/>
    <x v="0"/>
    <s v="GNR_ENG_NGAS_BP_E-46"/>
    <x v="0"/>
    <x v="9"/>
    <n v="2.92"/>
    <n v="1065.8"/>
    <n v="3836.88"/>
  </r>
  <r>
    <x v="0"/>
    <x v="0"/>
    <x v="0"/>
    <x v="0"/>
    <x v="0"/>
    <s v="DK1_Large"/>
    <x v="2"/>
    <x v="0"/>
    <s v="GNR_ENG_NGAS_BP_E-46"/>
    <x v="0"/>
    <x v="10"/>
    <n v="2.92"/>
    <n v="1065.8"/>
    <n v="3836.88"/>
  </r>
  <r>
    <x v="0"/>
    <x v="0"/>
    <x v="0"/>
    <x v="0"/>
    <x v="0"/>
    <s v="DK1_Large"/>
    <x v="2"/>
    <x v="0"/>
    <s v="GNR_ENG_NGAS_BP_E-46"/>
    <x v="0"/>
    <x v="11"/>
    <n v="2.92"/>
    <n v="1065.8"/>
    <n v="3836.88"/>
  </r>
  <r>
    <x v="0"/>
    <x v="0"/>
    <x v="0"/>
    <x v="0"/>
    <x v="0"/>
    <s v="DK1_Large"/>
    <x v="2"/>
    <x v="0"/>
    <s v="GNR_ENG_NGAS_BP_E-46"/>
    <x v="0"/>
    <x v="12"/>
    <n v="2.92"/>
    <n v="1065.8"/>
    <n v="3836.88"/>
  </r>
  <r>
    <x v="0"/>
    <x v="0"/>
    <x v="0"/>
    <x v="0"/>
    <x v="0"/>
    <s v="DK1_Large"/>
    <x v="2"/>
    <x v="0"/>
    <s v="GNR_ENG_NGAS_BP_E-46"/>
    <x v="0"/>
    <x v="13"/>
    <n v="2.92"/>
    <n v="1065.8"/>
    <n v="3836.88"/>
  </r>
  <r>
    <x v="0"/>
    <x v="0"/>
    <x v="0"/>
    <x v="0"/>
    <x v="0"/>
    <s v="DK1_Large"/>
    <x v="2"/>
    <x v="0"/>
    <s v="GNR_ENG_NGAS_BP_E-46"/>
    <x v="0"/>
    <x v="14"/>
    <n v="2.92"/>
    <n v="1065.8"/>
    <n v="3836.88"/>
  </r>
  <r>
    <x v="0"/>
    <x v="0"/>
    <x v="0"/>
    <x v="0"/>
    <x v="0"/>
    <s v="DK1_Large"/>
    <x v="2"/>
    <x v="0"/>
    <s v="GNR_ENG_NGAS_BP_E-46"/>
    <x v="0"/>
    <x v="15"/>
    <n v="2.92"/>
    <n v="1065.8"/>
    <n v="3836.88"/>
  </r>
  <r>
    <x v="0"/>
    <x v="0"/>
    <x v="0"/>
    <x v="0"/>
    <x v="0"/>
    <s v="DK1_Large"/>
    <x v="2"/>
    <x v="0"/>
    <s v="GNR_ENG_NGAS_BP_E-46"/>
    <x v="0"/>
    <x v="16"/>
    <n v="2.92"/>
    <n v="1065.8"/>
    <n v="3836.88"/>
  </r>
  <r>
    <x v="0"/>
    <x v="0"/>
    <x v="0"/>
    <x v="0"/>
    <x v="0"/>
    <s v="DK1_Large"/>
    <x v="2"/>
    <x v="0"/>
    <s v="GNR_ENG_NGAS_BP_E-46"/>
    <x v="0"/>
    <x v="17"/>
    <n v="2.92"/>
    <n v="1065.8"/>
    <n v="3836.88"/>
  </r>
  <r>
    <x v="0"/>
    <x v="0"/>
    <x v="0"/>
    <x v="0"/>
    <x v="0"/>
    <s v="DK1_Large"/>
    <x v="2"/>
    <x v="0"/>
    <s v="GNR_ENG_NGAS_BP_E-46"/>
    <x v="0"/>
    <x v="18"/>
    <n v="2.92"/>
    <n v="1065.8"/>
    <n v="3836.88"/>
  </r>
  <r>
    <x v="0"/>
    <x v="0"/>
    <x v="0"/>
    <x v="0"/>
    <x v="0"/>
    <s v="DK1_Large"/>
    <x v="2"/>
    <x v="0"/>
    <s v="GNR_ENG_NGAS_BP_E-46"/>
    <x v="0"/>
    <x v="19"/>
    <n v="2.92"/>
    <n v="1065.8"/>
    <n v="3836.88"/>
  </r>
  <r>
    <x v="0"/>
    <x v="0"/>
    <x v="0"/>
    <x v="0"/>
    <x v="0"/>
    <s v="DK1_Large"/>
    <x v="2"/>
    <x v="0"/>
    <s v="GNR_ENG_NGAS_BP_E-46"/>
    <x v="0"/>
    <x v="20"/>
    <n v="2.92"/>
    <n v="1065.8"/>
    <n v="3836.88"/>
  </r>
  <r>
    <x v="0"/>
    <x v="0"/>
    <x v="0"/>
    <x v="0"/>
    <x v="0"/>
    <s v="DK1_Large"/>
    <x v="2"/>
    <x v="0"/>
    <s v="GNR_ENG_NGAS_BP_E-46"/>
    <x v="0"/>
    <x v="21"/>
    <n v="2.92"/>
    <n v="1065.8"/>
    <n v="3836.88"/>
  </r>
  <r>
    <x v="0"/>
    <x v="0"/>
    <x v="0"/>
    <x v="0"/>
    <x v="0"/>
    <s v="DK1_Large"/>
    <x v="2"/>
    <x v="0"/>
    <s v="GNR_ENG_NGAS_BP_E-46"/>
    <x v="0"/>
    <x v="22"/>
    <n v="2.92"/>
    <n v="1065.8"/>
    <n v="3836.88"/>
  </r>
  <r>
    <x v="0"/>
    <x v="0"/>
    <x v="0"/>
    <x v="0"/>
    <x v="0"/>
    <s v="DK1_Large"/>
    <x v="2"/>
    <x v="0"/>
    <s v="GNR_ENG_NGAS_BP_E-46"/>
    <x v="0"/>
    <x v="23"/>
    <n v="2.92"/>
    <n v="1065.8"/>
    <n v="3836.88"/>
  </r>
  <r>
    <x v="0"/>
    <x v="0"/>
    <x v="0"/>
    <x v="0"/>
    <x v="0"/>
    <s v="DK1_Large"/>
    <x v="2"/>
    <x v="1"/>
    <s v="GNR_ST_NGAS_EXT_E-47"/>
    <x v="0"/>
    <x v="6"/>
    <n v="46.978895434778501"/>
    <n v="17147.296833694101"/>
    <n v="61730.2686012989"/>
  </r>
  <r>
    <x v="0"/>
    <x v="0"/>
    <x v="0"/>
    <x v="0"/>
    <x v="0"/>
    <s v="DK1_Large"/>
    <x v="2"/>
    <x v="1"/>
    <s v="GNR_ST_NGAS_EXT_E-47"/>
    <x v="0"/>
    <x v="7"/>
    <n v="335.73320401903999"/>
    <n v="122542.61946695"/>
    <n v="441153.430081019"/>
  </r>
  <r>
    <x v="0"/>
    <x v="0"/>
    <x v="0"/>
    <x v="0"/>
    <x v="0"/>
    <s v="DK1_Large"/>
    <x v="2"/>
    <x v="1"/>
    <s v="GNR_ST_NGAS_EXT_E-47"/>
    <x v="0"/>
    <x v="8"/>
    <n v="334.03941248924599"/>
    <n v="121924.385558575"/>
    <n v="438927.788010869"/>
  </r>
  <r>
    <x v="0"/>
    <x v="0"/>
    <x v="0"/>
    <x v="0"/>
    <x v="0"/>
    <s v="DK1_Large"/>
    <x v="2"/>
    <x v="1"/>
    <s v="GNR_ST_NGAS_EXT_E-47"/>
    <x v="0"/>
    <x v="9"/>
    <n v="31.994219033038299"/>
    <n v="11677.889947059"/>
    <n v="42040.403809412303"/>
  </r>
  <r>
    <x v="0"/>
    <x v="0"/>
    <x v="0"/>
    <x v="0"/>
    <x v="0"/>
    <s v="DK1_Large"/>
    <x v="3"/>
    <x v="0"/>
    <s v="GNR_ST_STRW_BP_E-26"/>
    <x v="0"/>
    <x v="0"/>
    <n v="31"/>
    <n v="11315"/>
    <n v="40734"/>
  </r>
  <r>
    <x v="0"/>
    <x v="0"/>
    <x v="0"/>
    <x v="0"/>
    <x v="0"/>
    <s v="DK1_Large"/>
    <x v="3"/>
    <x v="0"/>
    <s v="GNR_ST_STRW_BP_E-26"/>
    <x v="0"/>
    <x v="1"/>
    <n v="31"/>
    <n v="11315"/>
    <n v="40734"/>
  </r>
  <r>
    <x v="0"/>
    <x v="0"/>
    <x v="0"/>
    <x v="0"/>
    <x v="0"/>
    <s v="DK1_Large"/>
    <x v="3"/>
    <x v="0"/>
    <s v="GNR_ST_STRW_BP_E-26"/>
    <x v="0"/>
    <x v="2"/>
    <n v="31"/>
    <n v="11315"/>
    <n v="40734"/>
  </r>
  <r>
    <x v="0"/>
    <x v="0"/>
    <x v="0"/>
    <x v="0"/>
    <x v="0"/>
    <s v="DK1_Large"/>
    <x v="3"/>
    <x v="0"/>
    <s v="GNR_ST_STRW_BP_E-26"/>
    <x v="0"/>
    <x v="3"/>
    <n v="31"/>
    <n v="11315"/>
    <n v="40734"/>
  </r>
  <r>
    <x v="0"/>
    <x v="0"/>
    <x v="0"/>
    <x v="0"/>
    <x v="0"/>
    <s v="DK1_Large"/>
    <x v="3"/>
    <x v="0"/>
    <s v="GNR_ST_STRW_BP_E-26"/>
    <x v="0"/>
    <x v="4"/>
    <n v="31"/>
    <n v="11315"/>
    <n v="40734"/>
  </r>
  <r>
    <x v="0"/>
    <x v="0"/>
    <x v="0"/>
    <x v="0"/>
    <x v="0"/>
    <s v="DK1_Large"/>
    <x v="3"/>
    <x v="0"/>
    <s v="GNR_ST_STRW_BP_E-26"/>
    <x v="0"/>
    <x v="5"/>
    <n v="31"/>
    <n v="11315"/>
    <n v="40734"/>
  </r>
  <r>
    <x v="0"/>
    <x v="0"/>
    <x v="0"/>
    <x v="0"/>
    <x v="0"/>
    <s v="DK1_Large"/>
    <x v="3"/>
    <x v="0"/>
    <s v="GNR_ST_STRW_BP_E-26"/>
    <x v="0"/>
    <x v="6"/>
    <n v="31"/>
    <n v="11315"/>
    <n v="40734"/>
  </r>
  <r>
    <x v="0"/>
    <x v="0"/>
    <x v="0"/>
    <x v="0"/>
    <x v="0"/>
    <s v="DK1_Large"/>
    <x v="3"/>
    <x v="0"/>
    <s v="GNR_ST_STRW_BP_E-26"/>
    <x v="0"/>
    <x v="7"/>
    <n v="31"/>
    <n v="11315"/>
    <n v="40734"/>
  </r>
  <r>
    <x v="0"/>
    <x v="0"/>
    <x v="0"/>
    <x v="0"/>
    <x v="0"/>
    <s v="DK1_Large"/>
    <x v="3"/>
    <x v="0"/>
    <s v="GNR_ST_STRW_BP_E-26"/>
    <x v="0"/>
    <x v="8"/>
    <n v="31"/>
    <n v="11315"/>
    <n v="40734"/>
  </r>
  <r>
    <x v="0"/>
    <x v="0"/>
    <x v="0"/>
    <x v="0"/>
    <x v="0"/>
    <s v="DK1_Large"/>
    <x v="3"/>
    <x v="0"/>
    <s v="GNR_ST_STRW_BP_E-26"/>
    <x v="0"/>
    <x v="9"/>
    <n v="31"/>
    <n v="11315"/>
    <n v="40734"/>
  </r>
  <r>
    <x v="0"/>
    <x v="0"/>
    <x v="0"/>
    <x v="0"/>
    <x v="0"/>
    <s v="DK1_Large"/>
    <x v="3"/>
    <x v="0"/>
    <s v="GNR_ST_STRW_BP_E-26"/>
    <x v="0"/>
    <x v="10"/>
    <n v="31"/>
    <n v="11315"/>
    <n v="40734"/>
  </r>
  <r>
    <x v="0"/>
    <x v="0"/>
    <x v="0"/>
    <x v="0"/>
    <x v="0"/>
    <s v="DK1_Large"/>
    <x v="3"/>
    <x v="0"/>
    <s v="GNR_ST_STRW_BP_E-26"/>
    <x v="0"/>
    <x v="11"/>
    <n v="31"/>
    <n v="11315"/>
    <n v="40734"/>
  </r>
  <r>
    <x v="0"/>
    <x v="0"/>
    <x v="0"/>
    <x v="0"/>
    <x v="0"/>
    <s v="DK1_Large"/>
    <x v="3"/>
    <x v="0"/>
    <s v="GNR_ST_STRW_BP_E-26"/>
    <x v="0"/>
    <x v="12"/>
    <n v="31"/>
    <n v="11315"/>
    <n v="40734"/>
  </r>
  <r>
    <x v="0"/>
    <x v="0"/>
    <x v="0"/>
    <x v="0"/>
    <x v="0"/>
    <s v="DK1_Large"/>
    <x v="3"/>
    <x v="0"/>
    <s v="GNR_ST_STRW_BP_E-26"/>
    <x v="0"/>
    <x v="13"/>
    <n v="31"/>
    <n v="11315"/>
    <n v="40734"/>
  </r>
  <r>
    <x v="0"/>
    <x v="0"/>
    <x v="0"/>
    <x v="0"/>
    <x v="0"/>
    <s v="DK1_Large"/>
    <x v="3"/>
    <x v="0"/>
    <s v="GNR_ST_STRW_BP_E-26"/>
    <x v="0"/>
    <x v="14"/>
    <n v="31"/>
    <n v="11315"/>
    <n v="40734"/>
  </r>
  <r>
    <x v="0"/>
    <x v="0"/>
    <x v="0"/>
    <x v="0"/>
    <x v="0"/>
    <s v="DK1_Large"/>
    <x v="3"/>
    <x v="0"/>
    <s v="GNR_ST_STRW_BP_E-26"/>
    <x v="0"/>
    <x v="15"/>
    <n v="31"/>
    <n v="11315"/>
    <n v="40734"/>
  </r>
  <r>
    <x v="0"/>
    <x v="0"/>
    <x v="0"/>
    <x v="0"/>
    <x v="0"/>
    <s v="DK1_Large"/>
    <x v="3"/>
    <x v="0"/>
    <s v="GNR_ST_STRW_BP_E-26"/>
    <x v="0"/>
    <x v="16"/>
    <n v="31"/>
    <n v="11315"/>
    <n v="40734"/>
  </r>
  <r>
    <x v="0"/>
    <x v="0"/>
    <x v="0"/>
    <x v="0"/>
    <x v="0"/>
    <s v="DK1_Large"/>
    <x v="3"/>
    <x v="0"/>
    <s v="GNR_ST_STRW_BP_E-26"/>
    <x v="0"/>
    <x v="17"/>
    <n v="31"/>
    <n v="11315"/>
    <n v="40734"/>
  </r>
  <r>
    <x v="0"/>
    <x v="0"/>
    <x v="0"/>
    <x v="0"/>
    <x v="0"/>
    <s v="DK1_Large"/>
    <x v="3"/>
    <x v="0"/>
    <s v="GNR_ST_STRW_BP_E-26"/>
    <x v="0"/>
    <x v="18"/>
    <n v="31"/>
    <n v="11315"/>
    <n v="40734"/>
  </r>
  <r>
    <x v="0"/>
    <x v="0"/>
    <x v="0"/>
    <x v="0"/>
    <x v="0"/>
    <s v="DK1_Large"/>
    <x v="3"/>
    <x v="0"/>
    <s v="GNR_ST_STRW_BP_E-26"/>
    <x v="0"/>
    <x v="19"/>
    <n v="31"/>
    <n v="11315"/>
    <n v="40734"/>
  </r>
  <r>
    <x v="0"/>
    <x v="0"/>
    <x v="0"/>
    <x v="0"/>
    <x v="0"/>
    <s v="DK1_Large"/>
    <x v="3"/>
    <x v="0"/>
    <s v="GNR_ST_STRW_BP_E-26"/>
    <x v="0"/>
    <x v="20"/>
    <n v="31"/>
    <n v="11315"/>
    <n v="40734"/>
  </r>
  <r>
    <x v="0"/>
    <x v="0"/>
    <x v="0"/>
    <x v="0"/>
    <x v="0"/>
    <s v="DK1_Large"/>
    <x v="3"/>
    <x v="0"/>
    <s v="GNR_ST_STRW_BP_E-26"/>
    <x v="0"/>
    <x v="21"/>
    <n v="31"/>
    <n v="11315"/>
    <n v="40734"/>
  </r>
  <r>
    <x v="0"/>
    <x v="0"/>
    <x v="0"/>
    <x v="0"/>
    <x v="0"/>
    <s v="DK1_Large"/>
    <x v="3"/>
    <x v="0"/>
    <s v="GNR_ST_STRW_BP_E-26"/>
    <x v="0"/>
    <x v="22"/>
    <n v="31"/>
    <n v="11315"/>
    <n v="40734"/>
  </r>
  <r>
    <x v="0"/>
    <x v="0"/>
    <x v="0"/>
    <x v="0"/>
    <x v="0"/>
    <s v="DK1_Large"/>
    <x v="3"/>
    <x v="0"/>
    <s v="GNR_ST_STRW_BP_E-26"/>
    <x v="0"/>
    <x v="23"/>
    <n v="31"/>
    <n v="11315"/>
    <n v="40734"/>
  </r>
  <r>
    <x v="0"/>
    <x v="0"/>
    <x v="0"/>
    <x v="0"/>
    <x v="0"/>
    <s v="DK1_Large"/>
    <x v="4"/>
    <x v="0"/>
    <s v="GNR_ST_WOODCHI_BP_E-23"/>
    <x v="0"/>
    <x v="0"/>
    <n v="7.5"/>
    <n v="2737.5"/>
    <n v="9855"/>
  </r>
  <r>
    <x v="0"/>
    <x v="0"/>
    <x v="0"/>
    <x v="0"/>
    <x v="0"/>
    <s v="DK1_Large"/>
    <x v="4"/>
    <x v="0"/>
    <s v="GNR_ST_WOODCHI_BP_E-23"/>
    <x v="0"/>
    <x v="1"/>
    <n v="7.5"/>
    <n v="2737.5"/>
    <n v="9855"/>
  </r>
  <r>
    <x v="0"/>
    <x v="0"/>
    <x v="0"/>
    <x v="0"/>
    <x v="0"/>
    <s v="DK1_Large"/>
    <x v="4"/>
    <x v="0"/>
    <s v="GNR_ST_WOODCHI_BP_E-23"/>
    <x v="0"/>
    <x v="2"/>
    <n v="7.5"/>
    <n v="2737.5"/>
    <n v="9855"/>
  </r>
  <r>
    <x v="0"/>
    <x v="0"/>
    <x v="0"/>
    <x v="0"/>
    <x v="0"/>
    <s v="DK1_Large"/>
    <x v="4"/>
    <x v="0"/>
    <s v="GNR_ST_WOODCHI_BP_E-23"/>
    <x v="0"/>
    <x v="3"/>
    <n v="7.5"/>
    <n v="2737.5"/>
    <n v="9855"/>
  </r>
  <r>
    <x v="0"/>
    <x v="0"/>
    <x v="0"/>
    <x v="0"/>
    <x v="0"/>
    <s v="DK1_Large"/>
    <x v="4"/>
    <x v="0"/>
    <s v="GNR_ST_WOODCHI_BP_E-23"/>
    <x v="0"/>
    <x v="4"/>
    <n v="7.5"/>
    <n v="2737.5"/>
    <n v="9855"/>
  </r>
  <r>
    <x v="0"/>
    <x v="0"/>
    <x v="0"/>
    <x v="0"/>
    <x v="0"/>
    <s v="DK1_Large"/>
    <x v="4"/>
    <x v="0"/>
    <s v="GNR_ST_WOODCHI_BP_E-23"/>
    <x v="0"/>
    <x v="5"/>
    <n v="7.5"/>
    <n v="2737.5"/>
    <n v="9855"/>
  </r>
  <r>
    <x v="0"/>
    <x v="0"/>
    <x v="0"/>
    <x v="0"/>
    <x v="0"/>
    <s v="DK1_Large"/>
    <x v="4"/>
    <x v="0"/>
    <s v="GNR_ST_WOODCHI_BP_E-23"/>
    <x v="0"/>
    <x v="6"/>
    <n v="7.5"/>
    <n v="2737.5"/>
    <n v="9855"/>
  </r>
  <r>
    <x v="0"/>
    <x v="0"/>
    <x v="0"/>
    <x v="0"/>
    <x v="0"/>
    <s v="DK1_Large"/>
    <x v="4"/>
    <x v="0"/>
    <s v="GNR_ST_WOODCHI_BP_E-23"/>
    <x v="0"/>
    <x v="7"/>
    <n v="7.5"/>
    <n v="2737.5"/>
    <n v="9855"/>
  </r>
  <r>
    <x v="0"/>
    <x v="0"/>
    <x v="0"/>
    <x v="0"/>
    <x v="0"/>
    <s v="DK1_Large"/>
    <x v="4"/>
    <x v="0"/>
    <s v="GNR_ST_WOODCHI_BP_E-23"/>
    <x v="0"/>
    <x v="8"/>
    <n v="7.5"/>
    <n v="2737.5"/>
    <n v="9855"/>
  </r>
  <r>
    <x v="0"/>
    <x v="0"/>
    <x v="0"/>
    <x v="0"/>
    <x v="0"/>
    <s v="DK1_Large"/>
    <x v="4"/>
    <x v="0"/>
    <s v="GNR_ST_WOODCHI_BP_E-23"/>
    <x v="0"/>
    <x v="9"/>
    <n v="7.5"/>
    <n v="2737.5"/>
    <n v="9855"/>
  </r>
  <r>
    <x v="0"/>
    <x v="0"/>
    <x v="0"/>
    <x v="0"/>
    <x v="0"/>
    <s v="DK1_Large"/>
    <x v="4"/>
    <x v="0"/>
    <s v="GNR_ST_WOODCHI_BP_E-23"/>
    <x v="0"/>
    <x v="10"/>
    <n v="7.5"/>
    <n v="2737.5"/>
    <n v="9855"/>
  </r>
  <r>
    <x v="0"/>
    <x v="0"/>
    <x v="0"/>
    <x v="0"/>
    <x v="0"/>
    <s v="DK1_Large"/>
    <x v="4"/>
    <x v="0"/>
    <s v="GNR_ST_WOODCHI_BP_E-23"/>
    <x v="0"/>
    <x v="11"/>
    <n v="7.5"/>
    <n v="2737.5"/>
    <n v="9855"/>
  </r>
  <r>
    <x v="0"/>
    <x v="0"/>
    <x v="0"/>
    <x v="0"/>
    <x v="0"/>
    <s v="DK1_Large"/>
    <x v="4"/>
    <x v="0"/>
    <s v="GNR_ST_WOODCHI_BP_E-23"/>
    <x v="0"/>
    <x v="12"/>
    <n v="7.5"/>
    <n v="2737.5"/>
    <n v="9855"/>
  </r>
  <r>
    <x v="0"/>
    <x v="0"/>
    <x v="0"/>
    <x v="0"/>
    <x v="0"/>
    <s v="DK1_Large"/>
    <x v="4"/>
    <x v="0"/>
    <s v="GNR_ST_WOODCHI_BP_E-23"/>
    <x v="0"/>
    <x v="13"/>
    <n v="7.5"/>
    <n v="2737.5"/>
    <n v="9855"/>
  </r>
  <r>
    <x v="0"/>
    <x v="0"/>
    <x v="0"/>
    <x v="0"/>
    <x v="0"/>
    <s v="DK1_Large"/>
    <x v="4"/>
    <x v="0"/>
    <s v="GNR_ST_WOODCHI_BP_E-23"/>
    <x v="0"/>
    <x v="14"/>
    <n v="7.5"/>
    <n v="2737.5"/>
    <n v="9855"/>
  </r>
  <r>
    <x v="0"/>
    <x v="0"/>
    <x v="0"/>
    <x v="0"/>
    <x v="0"/>
    <s v="DK1_Large"/>
    <x v="4"/>
    <x v="0"/>
    <s v="GNR_ST_WOODCHI_BP_E-23"/>
    <x v="0"/>
    <x v="15"/>
    <n v="7.5"/>
    <n v="2737.5"/>
    <n v="9855"/>
  </r>
  <r>
    <x v="0"/>
    <x v="0"/>
    <x v="0"/>
    <x v="0"/>
    <x v="0"/>
    <s v="DK1_Large"/>
    <x v="4"/>
    <x v="0"/>
    <s v="GNR_ST_WOODCHI_BP_E-23"/>
    <x v="0"/>
    <x v="16"/>
    <n v="7.5"/>
    <n v="2737.5"/>
    <n v="9855"/>
  </r>
  <r>
    <x v="0"/>
    <x v="0"/>
    <x v="0"/>
    <x v="0"/>
    <x v="0"/>
    <s v="DK1_Large"/>
    <x v="4"/>
    <x v="0"/>
    <s v="GNR_ST_WOODCHI_BP_E-23"/>
    <x v="0"/>
    <x v="17"/>
    <n v="7.5"/>
    <n v="2737.5"/>
    <n v="9855"/>
  </r>
  <r>
    <x v="0"/>
    <x v="0"/>
    <x v="0"/>
    <x v="0"/>
    <x v="0"/>
    <s v="DK1_Large"/>
    <x v="4"/>
    <x v="0"/>
    <s v="GNR_ST_WOODCHI_BP_E-23"/>
    <x v="0"/>
    <x v="18"/>
    <n v="7.5"/>
    <n v="2737.5"/>
    <n v="9855"/>
  </r>
  <r>
    <x v="0"/>
    <x v="0"/>
    <x v="0"/>
    <x v="0"/>
    <x v="0"/>
    <s v="DK1_Large"/>
    <x v="4"/>
    <x v="0"/>
    <s v="GNR_ST_WOODCHI_BP_E-23"/>
    <x v="0"/>
    <x v="19"/>
    <n v="7.5"/>
    <n v="2737.5"/>
    <n v="9855"/>
  </r>
  <r>
    <x v="0"/>
    <x v="0"/>
    <x v="0"/>
    <x v="0"/>
    <x v="0"/>
    <s v="DK1_Large"/>
    <x v="4"/>
    <x v="0"/>
    <s v="GNR_ST_WOODCHI_BP_E-23"/>
    <x v="0"/>
    <x v="20"/>
    <n v="7.5"/>
    <n v="2737.5"/>
    <n v="9855"/>
  </r>
  <r>
    <x v="0"/>
    <x v="0"/>
    <x v="0"/>
    <x v="0"/>
    <x v="0"/>
    <s v="DK1_Large"/>
    <x v="4"/>
    <x v="0"/>
    <s v="GNR_ST_WOODCHI_BP_E-23"/>
    <x v="0"/>
    <x v="21"/>
    <n v="7.5"/>
    <n v="2737.5"/>
    <n v="9855"/>
  </r>
  <r>
    <x v="0"/>
    <x v="0"/>
    <x v="0"/>
    <x v="0"/>
    <x v="0"/>
    <s v="DK1_Large"/>
    <x v="4"/>
    <x v="0"/>
    <s v="GNR_ST_WOODCHI_BP_E-23"/>
    <x v="0"/>
    <x v="22"/>
    <n v="7.5"/>
    <n v="2737.5"/>
    <n v="9855"/>
  </r>
  <r>
    <x v="0"/>
    <x v="0"/>
    <x v="0"/>
    <x v="0"/>
    <x v="0"/>
    <s v="DK1_Large"/>
    <x v="4"/>
    <x v="0"/>
    <s v="GNR_ST_WOODCHI_BP_E-23"/>
    <x v="0"/>
    <x v="23"/>
    <n v="7.5"/>
    <n v="2737.5"/>
    <n v="9855"/>
  </r>
  <r>
    <x v="0"/>
    <x v="0"/>
    <x v="0"/>
    <x v="0"/>
    <x v="0"/>
    <s v="DK1_MedSmall"/>
    <x v="0"/>
    <x v="0"/>
    <s v="GNR_ENG_BGAS_BP_E-33"/>
    <x v="0"/>
    <x v="0"/>
    <n v="0.17"/>
    <n v="62.05"/>
    <n v="223.38"/>
  </r>
  <r>
    <x v="0"/>
    <x v="0"/>
    <x v="0"/>
    <x v="0"/>
    <x v="0"/>
    <s v="DK1_MedSmall"/>
    <x v="0"/>
    <x v="0"/>
    <s v="GNR_ENG_BGAS_BP_E-33"/>
    <x v="0"/>
    <x v="1"/>
    <n v="0.17"/>
    <n v="62.05"/>
    <n v="223.38"/>
  </r>
  <r>
    <x v="0"/>
    <x v="0"/>
    <x v="0"/>
    <x v="0"/>
    <x v="0"/>
    <s v="DK1_MedSmall"/>
    <x v="0"/>
    <x v="0"/>
    <s v="GNR_ENG_BGAS_BP_E-33"/>
    <x v="0"/>
    <x v="2"/>
    <n v="0.17"/>
    <n v="62.05"/>
    <n v="223.38"/>
  </r>
  <r>
    <x v="0"/>
    <x v="0"/>
    <x v="0"/>
    <x v="0"/>
    <x v="0"/>
    <s v="DK1_MedSmall"/>
    <x v="0"/>
    <x v="0"/>
    <s v="GNR_ENG_BGAS_BP_E-33"/>
    <x v="0"/>
    <x v="3"/>
    <n v="0.17"/>
    <n v="62.05"/>
    <n v="223.38"/>
  </r>
  <r>
    <x v="0"/>
    <x v="0"/>
    <x v="0"/>
    <x v="0"/>
    <x v="0"/>
    <s v="DK1_MedSmall"/>
    <x v="0"/>
    <x v="0"/>
    <s v="GNR_ENG_BGAS_BP_E-33"/>
    <x v="0"/>
    <x v="4"/>
    <n v="0.17"/>
    <n v="62.05"/>
    <n v="223.38"/>
  </r>
  <r>
    <x v="0"/>
    <x v="0"/>
    <x v="0"/>
    <x v="0"/>
    <x v="0"/>
    <s v="DK1_MedSmall"/>
    <x v="0"/>
    <x v="0"/>
    <s v="GNR_ENG_BGAS_BP_E-33"/>
    <x v="0"/>
    <x v="5"/>
    <n v="0.17"/>
    <n v="62.05"/>
    <n v="223.38"/>
  </r>
  <r>
    <x v="0"/>
    <x v="0"/>
    <x v="0"/>
    <x v="0"/>
    <x v="0"/>
    <s v="DK1_MedSmall"/>
    <x v="0"/>
    <x v="0"/>
    <s v="GNR_ENG_BGAS_BP_E-33"/>
    <x v="0"/>
    <x v="6"/>
    <n v="0.17"/>
    <n v="62.05"/>
    <n v="223.38"/>
  </r>
  <r>
    <x v="0"/>
    <x v="0"/>
    <x v="0"/>
    <x v="0"/>
    <x v="0"/>
    <s v="DK1_MedSmall"/>
    <x v="0"/>
    <x v="0"/>
    <s v="GNR_ENG_BGAS_BP_E-33"/>
    <x v="0"/>
    <x v="7"/>
    <n v="0.17"/>
    <n v="62.05"/>
    <n v="223.38"/>
  </r>
  <r>
    <x v="0"/>
    <x v="0"/>
    <x v="0"/>
    <x v="0"/>
    <x v="0"/>
    <s v="DK1_MedSmall"/>
    <x v="0"/>
    <x v="0"/>
    <s v="GNR_ENG_BGAS_BP_E-33"/>
    <x v="0"/>
    <x v="8"/>
    <n v="0.17"/>
    <n v="62.05"/>
    <n v="223.38"/>
  </r>
  <r>
    <x v="0"/>
    <x v="0"/>
    <x v="0"/>
    <x v="0"/>
    <x v="0"/>
    <s v="DK1_MedSmall"/>
    <x v="0"/>
    <x v="0"/>
    <s v="GNR_ENG_BGAS_BP_E-33"/>
    <x v="0"/>
    <x v="9"/>
    <n v="0.17"/>
    <n v="62.05"/>
    <n v="223.38"/>
  </r>
  <r>
    <x v="0"/>
    <x v="0"/>
    <x v="0"/>
    <x v="0"/>
    <x v="0"/>
    <s v="DK1_MedSmall"/>
    <x v="0"/>
    <x v="0"/>
    <s v="GNR_ENG_BGAS_BP_E-33"/>
    <x v="0"/>
    <x v="10"/>
    <n v="0.17"/>
    <n v="62.05"/>
    <n v="223.38"/>
  </r>
  <r>
    <x v="0"/>
    <x v="0"/>
    <x v="0"/>
    <x v="0"/>
    <x v="0"/>
    <s v="DK1_MedSmall"/>
    <x v="0"/>
    <x v="0"/>
    <s v="GNR_ENG_BGAS_BP_E-33"/>
    <x v="0"/>
    <x v="11"/>
    <n v="0.17"/>
    <n v="62.05"/>
    <n v="223.38"/>
  </r>
  <r>
    <x v="0"/>
    <x v="0"/>
    <x v="0"/>
    <x v="0"/>
    <x v="0"/>
    <s v="DK1_MedSmall"/>
    <x v="0"/>
    <x v="0"/>
    <s v="GNR_ENG_BGAS_BP_E-33"/>
    <x v="0"/>
    <x v="12"/>
    <n v="0.17"/>
    <n v="62.05"/>
    <n v="223.38"/>
  </r>
  <r>
    <x v="0"/>
    <x v="0"/>
    <x v="0"/>
    <x v="0"/>
    <x v="0"/>
    <s v="DK1_MedSmall"/>
    <x v="0"/>
    <x v="0"/>
    <s v="GNR_ENG_BGAS_BP_E-33"/>
    <x v="0"/>
    <x v="13"/>
    <n v="0.17"/>
    <n v="62.05"/>
    <n v="223.38"/>
  </r>
  <r>
    <x v="0"/>
    <x v="0"/>
    <x v="0"/>
    <x v="0"/>
    <x v="0"/>
    <s v="DK1_MedSmall"/>
    <x v="0"/>
    <x v="0"/>
    <s v="GNR_ENG_BGAS_BP_E-33"/>
    <x v="0"/>
    <x v="14"/>
    <n v="0.17"/>
    <n v="62.05"/>
    <n v="223.38"/>
  </r>
  <r>
    <x v="0"/>
    <x v="0"/>
    <x v="0"/>
    <x v="0"/>
    <x v="0"/>
    <s v="DK1_MedSmall"/>
    <x v="0"/>
    <x v="0"/>
    <s v="GNR_ENG_BGAS_BP_E-33"/>
    <x v="0"/>
    <x v="15"/>
    <n v="0.17"/>
    <n v="62.05"/>
    <n v="223.38"/>
  </r>
  <r>
    <x v="0"/>
    <x v="0"/>
    <x v="0"/>
    <x v="0"/>
    <x v="0"/>
    <s v="DK1_MedSmall"/>
    <x v="0"/>
    <x v="0"/>
    <s v="GNR_ENG_BGAS_BP_E-33"/>
    <x v="0"/>
    <x v="16"/>
    <n v="0.17"/>
    <n v="62.05"/>
    <n v="223.38"/>
  </r>
  <r>
    <x v="0"/>
    <x v="0"/>
    <x v="0"/>
    <x v="0"/>
    <x v="0"/>
    <s v="DK1_MedSmall"/>
    <x v="0"/>
    <x v="0"/>
    <s v="GNR_ENG_BGAS_BP_E-33"/>
    <x v="0"/>
    <x v="17"/>
    <n v="0.17"/>
    <n v="62.05"/>
    <n v="223.38"/>
  </r>
  <r>
    <x v="0"/>
    <x v="0"/>
    <x v="0"/>
    <x v="0"/>
    <x v="0"/>
    <s v="DK1_MedSmall"/>
    <x v="0"/>
    <x v="0"/>
    <s v="GNR_ENG_BGAS_BP_E-33"/>
    <x v="0"/>
    <x v="18"/>
    <n v="0.17"/>
    <n v="62.05"/>
    <n v="223.38"/>
  </r>
  <r>
    <x v="0"/>
    <x v="0"/>
    <x v="0"/>
    <x v="0"/>
    <x v="0"/>
    <s v="DK1_MedSmall"/>
    <x v="0"/>
    <x v="0"/>
    <s v="GNR_ENG_BGAS_BP_E-33"/>
    <x v="0"/>
    <x v="19"/>
    <n v="0.17"/>
    <n v="62.05"/>
    <n v="223.38"/>
  </r>
  <r>
    <x v="0"/>
    <x v="0"/>
    <x v="0"/>
    <x v="0"/>
    <x v="0"/>
    <s v="DK1_MedSmall"/>
    <x v="0"/>
    <x v="0"/>
    <s v="GNR_ENG_BGAS_BP_E-33"/>
    <x v="0"/>
    <x v="20"/>
    <n v="0.17"/>
    <n v="62.05"/>
    <n v="223.38"/>
  </r>
  <r>
    <x v="0"/>
    <x v="0"/>
    <x v="0"/>
    <x v="0"/>
    <x v="0"/>
    <s v="DK1_MedSmall"/>
    <x v="0"/>
    <x v="0"/>
    <s v="GNR_ENG_BGAS_BP_E-33"/>
    <x v="0"/>
    <x v="21"/>
    <n v="0.17"/>
    <n v="62.05"/>
    <n v="223.38"/>
  </r>
  <r>
    <x v="0"/>
    <x v="0"/>
    <x v="0"/>
    <x v="0"/>
    <x v="0"/>
    <s v="DK1_MedSmall"/>
    <x v="0"/>
    <x v="0"/>
    <s v="GNR_ENG_BGAS_BP_E-33"/>
    <x v="0"/>
    <x v="22"/>
    <n v="0.17"/>
    <n v="62.05"/>
    <n v="223.38"/>
  </r>
  <r>
    <x v="0"/>
    <x v="0"/>
    <x v="0"/>
    <x v="0"/>
    <x v="0"/>
    <s v="DK1_MedSmall"/>
    <x v="0"/>
    <x v="0"/>
    <s v="GNR_ENG_BGAS_BP_E-33"/>
    <x v="0"/>
    <x v="23"/>
    <n v="0.17"/>
    <n v="62.05"/>
    <n v="223.38"/>
  </r>
  <r>
    <x v="0"/>
    <x v="0"/>
    <x v="0"/>
    <x v="0"/>
    <x v="0"/>
    <s v="DK1_MedSmall"/>
    <x v="0"/>
    <x v="0"/>
    <s v="GNR_ENG_BGAS_BP_E-38"/>
    <x v="0"/>
    <x v="0"/>
    <n v="0.17"/>
    <n v="62.05"/>
    <n v="223.38"/>
  </r>
  <r>
    <x v="0"/>
    <x v="0"/>
    <x v="0"/>
    <x v="0"/>
    <x v="0"/>
    <s v="DK1_MedSmall"/>
    <x v="0"/>
    <x v="0"/>
    <s v="GNR_ENG_BGAS_BP_E-38"/>
    <x v="0"/>
    <x v="1"/>
    <n v="0.17"/>
    <n v="62.05"/>
    <n v="223.38"/>
  </r>
  <r>
    <x v="0"/>
    <x v="0"/>
    <x v="0"/>
    <x v="0"/>
    <x v="0"/>
    <s v="DK1_MedSmall"/>
    <x v="0"/>
    <x v="0"/>
    <s v="GNR_ENG_BGAS_BP_E-38"/>
    <x v="0"/>
    <x v="2"/>
    <n v="0.17"/>
    <n v="62.05"/>
    <n v="223.38"/>
  </r>
  <r>
    <x v="0"/>
    <x v="0"/>
    <x v="0"/>
    <x v="0"/>
    <x v="0"/>
    <s v="DK1_MedSmall"/>
    <x v="0"/>
    <x v="0"/>
    <s v="GNR_ENG_BGAS_BP_E-38"/>
    <x v="0"/>
    <x v="3"/>
    <n v="0.17"/>
    <n v="62.05"/>
    <n v="223.38"/>
  </r>
  <r>
    <x v="0"/>
    <x v="0"/>
    <x v="0"/>
    <x v="0"/>
    <x v="0"/>
    <s v="DK1_MedSmall"/>
    <x v="0"/>
    <x v="0"/>
    <s v="GNR_ENG_BGAS_BP_E-38"/>
    <x v="0"/>
    <x v="4"/>
    <n v="0.17"/>
    <n v="62.05"/>
    <n v="223.38"/>
  </r>
  <r>
    <x v="0"/>
    <x v="0"/>
    <x v="0"/>
    <x v="0"/>
    <x v="0"/>
    <s v="DK1_MedSmall"/>
    <x v="0"/>
    <x v="0"/>
    <s v="GNR_ENG_BGAS_BP_E-38"/>
    <x v="0"/>
    <x v="5"/>
    <n v="0.17"/>
    <n v="62.05"/>
    <n v="223.38"/>
  </r>
  <r>
    <x v="0"/>
    <x v="0"/>
    <x v="0"/>
    <x v="0"/>
    <x v="0"/>
    <s v="DK1_MedSmall"/>
    <x v="0"/>
    <x v="0"/>
    <s v="GNR_ENG_BGAS_BP_E-38"/>
    <x v="0"/>
    <x v="6"/>
    <n v="0.17"/>
    <n v="62.05"/>
    <n v="223.38"/>
  </r>
  <r>
    <x v="0"/>
    <x v="0"/>
    <x v="0"/>
    <x v="0"/>
    <x v="0"/>
    <s v="DK1_MedSmall"/>
    <x v="0"/>
    <x v="0"/>
    <s v="GNR_ENG_BGAS_BP_E-38"/>
    <x v="0"/>
    <x v="7"/>
    <n v="0.17"/>
    <n v="62.05"/>
    <n v="223.38"/>
  </r>
  <r>
    <x v="0"/>
    <x v="0"/>
    <x v="0"/>
    <x v="0"/>
    <x v="0"/>
    <s v="DK1_MedSmall"/>
    <x v="0"/>
    <x v="0"/>
    <s v="GNR_ENG_BGAS_BP_E-38"/>
    <x v="0"/>
    <x v="8"/>
    <n v="0.17"/>
    <n v="62.05"/>
    <n v="223.38"/>
  </r>
  <r>
    <x v="0"/>
    <x v="0"/>
    <x v="0"/>
    <x v="0"/>
    <x v="0"/>
    <s v="DK1_MedSmall"/>
    <x v="0"/>
    <x v="0"/>
    <s v="GNR_ENG_BGAS_BP_E-38"/>
    <x v="0"/>
    <x v="9"/>
    <n v="0.17"/>
    <n v="62.05"/>
    <n v="223.38"/>
  </r>
  <r>
    <x v="0"/>
    <x v="0"/>
    <x v="0"/>
    <x v="0"/>
    <x v="0"/>
    <s v="DK1_MedSmall"/>
    <x v="0"/>
    <x v="0"/>
    <s v="GNR_ENG_BGAS_BP_E-38"/>
    <x v="0"/>
    <x v="10"/>
    <n v="0.17"/>
    <n v="62.05"/>
    <n v="223.38"/>
  </r>
  <r>
    <x v="0"/>
    <x v="0"/>
    <x v="0"/>
    <x v="0"/>
    <x v="0"/>
    <s v="DK1_MedSmall"/>
    <x v="0"/>
    <x v="0"/>
    <s v="GNR_ENG_BGAS_BP_E-38"/>
    <x v="0"/>
    <x v="11"/>
    <n v="0.17"/>
    <n v="62.05"/>
    <n v="223.38"/>
  </r>
  <r>
    <x v="0"/>
    <x v="0"/>
    <x v="0"/>
    <x v="0"/>
    <x v="0"/>
    <s v="DK1_MedSmall"/>
    <x v="0"/>
    <x v="0"/>
    <s v="GNR_ENG_BGAS_BP_E-38"/>
    <x v="0"/>
    <x v="12"/>
    <n v="0.17"/>
    <n v="62.05"/>
    <n v="223.38"/>
  </r>
  <r>
    <x v="0"/>
    <x v="0"/>
    <x v="0"/>
    <x v="0"/>
    <x v="0"/>
    <s v="DK1_MedSmall"/>
    <x v="0"/>
    <x v="0"/>
    <s v="GNR_ENG_BGAS_BP_E-38"/>
    <x v="0"/>
    <x v="13"/>
    <n v="0.17"/>
    <n v="62.05"/>
    <n v="223.38"/>
  </r>
  <r>
    <x v="0"/>
    <x v="0"/>
    <x v="0"/>
    <x v="0"/>
    <x v="0"/>
    <s v="DK1_MedSmall"/>
    <x v="0"/>
    <x v="0"/>
    <s v="GNR_ENG_BGAS_BP_E-38"/>
    <x v="0"/>
    <x v="14"/>
    <n v="0.17"/>
    <n v="62.05"/>
    <n v="223.38"/>
  </r>
  <r>
    <x v="0"/>
    <x v="0"/>
    <x v="0"/>
    <x v="0"/>
    <x v="0"/>
    <s v="DK1_MedSmall"/>
    <x v="0"/>
    <x v="0"/>
    <s v="GNR_ENG_BGAS_BP_E-38"/>
    <x v="0"/>
    <x v="15"/>
    <n v="0.17"/>
    <n v="62.05"/>
    <n v="223.38"/>
  </r>
  <r>
    <x v="0"/>
    <x v="0"/>
    <x v="0"/>
    <x v="0"/>
    <x v="0"/>
    <s v="DK1_MedSmall"/>
    <x v="0"/>
    <x v="0"/>
    <s v="GNR_ENG_BGAS_BP_E-38"/>
    <x v="0"/>
    <x v="16"/>
    <n v="0.17"/>
    <n v="62.05"/>
    <n v="223.38"/>
  </r>
  <r>
    <x v="0"/>
    <x v="0"/>
    <x v="0"/>
    <x v="0"/>
    <x v="0"/>
    <s v="DK1_MedSmall"/>
    <x v="0"/>
    <x v="0"/>
    <s v="GNR_ENG_BGAS_BP_E-38"/>
    <x v="0"/>
    <x v="17"/>
    <n v="0.17"/>
    <n v="62.05"/>
    <n v="223.38"/>
  </r>
  <r>
    <x v="0"/>
    <x v="0"/>
    <x v="0"/>
    <x v="0"/>
    <x v="0"/>
    <s v="DK1_MedSmall"/>
    <x v="0"/>
    <x v="0"/>
    <s v="GNR_ENG_BGAS_BP_E-38"/>
    <x v="0"/>
    <x v="18"/>
    <n v="0.17"/>
    <n v="62.05"/>
    <n v="223.38"/>
  </r>
  <r>
    <x v="0"/>
    <x v="0"/>
    <x v="0"/>
    <x v="0"/>
    <x v="0"/>
    <s v="DK1_MedSmall"/>
    <x v="0"/>
    <x v="0"/>
    <s v="GNR_ENG_BGAS_BP_E-38"/>
    <x v="0"/>
    <x v="19"/>
    <n v="0.17"/>
    <n v="62.05"/>
    <n v="223.38"/>
  </r>
  <r>
    <x v="0"/>
    <x v="0"/>
    <x v="0"/>
    <x v="0"/>
    <x v="0"/>
    <s v="DK1_MedSmall"/>
    <x v="0"/>
    <x v="0"/>
    <s v="GNR_ENG_BGAS_BP_E-38"/>
    <x v="0"/>
    <x v="20"/>
    <n v="0.17"/>
    <n v="62.05"/>
    <n v="223.38"/>
  </r>
  <r>
    <x v="0"/>
    <x v="0"/>
    <x v="0"/>
    <x v="0"/>
    <x v="0"/>
    <s v="DK1_MedSmall"/>
    <x v="0"/>
    <x v="0"/>
    <s v="GNR_ENG_BGAS_BP_E-38"/>
    <x v="0"/>
    <x v="21"/>
    <n v="0.17"/>
    <n v="62.05"/>
    <n v="223.38"/>
  </r>
  <r>
    <x v="0"/>
    <x v="0"/>
    <x v="0"/>
    <x v="0"/>
    <x v="0"/>
    <s v="DK1_MedSmall"/>
    <x v="0"/>
    <x v="0"/>
    <s v="GNR_ENG_BGAS_BP_E-38"/>
    <x v="0"/>
    <x v="22"/>
    <n v="0.17"/>
    <n v="62.05"/>
    <n v="223.38"/>
  </r>
  <r>
    <x v="0"/>
    <x v="0"/>
    <x v="0"/>
    <x v="0"/>
    <x v="0"/>
    <s v="DK1_MedSmall"/>
    <x v="0"/>
    <x v="0"/>
    <s v="GNR_ENG_BGAS_BP_E-38"/>
    <x v="0"/>
    <x v="23"/>
    <n v="0.17"/>
    <n v="62.05"/>
    <n v="223.38"/>
  </r>
  <r>
    <x v="0"/>
    <x v="0"/>
    <x v="0"/>
    <x v="0"/>
    <x v="0"/>
    <s v="DK1_MedSmall"/>
    <x v="1"/>
    <x v="0"/>
    <s v="GNR_ST_MSW_BP_E-17"/>
    <x v="0"/>
    <x v="0"/>
    <n v="2.4"/>
    <n v="876"/>
    <n v="3153.6"/>
  </r>
  <r>
    <x v="0"/>
    <x v="0"/>
    <x v="0"/>
    <x v="0"/>
    <x v="0"/>
    <s v="DK1_MedSmall"/>
    <x v="1"/>
    <x v="0"/>
    <s v="GNR_ST_MSW_BP_E-17"/>
    <x v="0"/>
    <x v="1"/>
    <n v="2.4"/>
    <n v="876"/>
    <n v="3153.6"/>
  </r>
  <r>
    <x v="0"/>
    <x v="0"/>
    <x v="0"/>
    <x v="0"/>
    <x v="0"/>
    <s v="DK1_MedSmall"/>
    <x v="1"/>
    <x v="0"/>
    <s v="GNR_ST_MSW_BP_E-17"/>
    <x v="0"/>
    <x v="2"/>
    <n v="2.4"/>
    <n v="876"/>
    <n v="3153.6"/>
  </r>
  <r>
    <x v="0"/>
    <x v="0"/>
    <x v="0"/>
    <x v="0"/>
    <x v="0"/>
    <s v="DK1_MedSmall"/>
    <x v="1"/>
    <x v="0"/>
    <s v="GNR_ST_MSW_BP_E-17"/>
    <x v="0"/>
    <x v="3"/>
    <n v="2.4"/>
    <n v="876"/>
    <n v="3153.6"/>
  </r>
  <r>
    <x v="0"/>
    <x v="0"/>
    <x v="0"/>
    <x v="0"/>
    <x v="0"/>
    <s v="DK1_MedSmall"/>
    <x v="1"/>
    <x v="0"/>
    <s v="GNR_ST_MSW_BP_E-17"/>
    <x v="0"/>
    <x v="4"/>
    <n v="2.4"/>
    <n v="876"/>
    <n v="3153.6"/>
  </r>
  <r>
    <x v="0"/>
    <x v="0"/>
    <x v="0"/>
    <x v="0"/>
    <x v="0"/>
    <s v="DK1_MedSmall"/>
    <x v="1"/>
    <x v="0"/>
    <s v="GNR_ST_MSW_BP_E-17"/>
    <x v="0"/>
    <x v="5"/>
    <n v="2.4"/>
    <n v="876"/>
    <n v="3153.6"/>
  </r>
  <r>
    <x v="0"/>
    <x v="0"/>
    <x v="0"/>
    <x v="0"/>
    <x v="0"/>
    <s v="DK1_MedSmall"/>
    <x v="1"/>
    <x v="0"/>
    <s v="GNR_ST_MSW_BP_E-17"/>
    <x v="0"/>
    <x v="6"/>
    <n v="2.4"/>
    <n v="876"/>
    <n v="3153.6"/>
  </r>
  <r>
    <x v="0"/>
    <x v="0"/>
    <x v="0"/>
    <x v="0"/>
    <x v="0"/>
    <s v="DK1_MedSmall"/>
    <x v="1"/>
    <x v="0"/>
    <s v="GNR_ST_MSW_BP_E-17"/>
    <x v="0"/>
    <x v="7"/>
    <n v="2.4"/>
    <n v="876"/>
    <n v="3153.6"/>
  </r>
  <r>
    <x v="0"/>
    <x v="0"/>
    <x v="0"/>
    <x v="0"/>
    <x v="0"/>
    <s v="DK1_MedSmall"/>
    <x v="1"/>
    <x v="0"/>
    <s v="GNR_ST_MSW_BP_E-17"/>
    <x v="0"/>
    <x v="8"/>
    <n v="2.4"/>
    <n v="876"/>
    <n v="3153.6"/>
  </r>
  <r>
    <x v="0"/>
    <x v="0"/>
    <x v="0"/>
    <x v="0"/>
    <x v="0"/>
    <s v="DK1_MedSmall"/>
    <x v="1"/>
    <x v="0"/>
    <s v="GNR_ST_MSW_BP_E-17"/>
    <x v="0"/>
    <x v="9"/>
    <n v="2.4"/>
    <n v="876"/>
    <n v="3153.6"/>
  </r>
  <r>
    <x v="0"/>
    <x v="0"/>
    <x v="0"/>
    <x v="0"/>
    <x v="0"/>
    <s v="DK1_MedSmall"/>
    <x v="1"/>
    <x v="0"/>
    <s v="GNR_ST_MSW_BP_E-17"/>
    <x v="0"/>
    <x v="10"/>
    <n v="2.4"/>
    <n v="876"/>
    <n v="3153.6"/>
  </r>
  <r>
    <x v="0"/>
    <x v="0"/>
    <x v="0"/>
    <x v="0"/>
    <x v="0"/>
    <s v="DK1_MedSmall"/>
    <x v="1"/>
    <x v="0"/>
    <s v="GNR_ST_MSW_BP_E-17"/>
    <x v="0"/>
    <x v="11"/>
    <n v="2.4"/>
    <n v="876"/>
    <n v="3153.6"/>
  </r>
  <r>
    <x v="0"/>
    <x v="0"/>
    <x v="0"/>
    <x v="0"/>
    <x v="0"/>
    <s v="DK1_MedSmall"/>
    <x v="1"/>
    <x v="0"/>
    <s v="GNR_ST_MSW_BP_E-17"/>
    <x v="0"/>
    <x v="12"/>
    <n v="2.4"/>
    <n v="876"/>
    <n v="3153.6"/>
  </r>
  <r>
    <x v="0"/>
    <x v="0"/>
    <x v="0"/>
    <x v="0"/>
    <x v="0"/>
    <s v="DK1_MedSmall"/>
    <x v="1"/>
    <x v="0"/>
    <s v="GNR_ST_MSW_BP_E-17"/>
    <x v="0"/>
    <x v="13"/>
    <n v="2.4"/>
    <n v="876"/>
    <n v="3153.6"/>
  </r>
  <r>
    <x v="0"/>
    <x v="0"/>
    <x v="0"/>
    <x v="0"/>
    <x v="0"/>
    <s v="DK1_MedSmall"/>
    <x v="1"/>
    <x v="0"/>
    <s v="GNR_ST_MSW_BP_E-17"/>
    <x v="0"/>
    <x v="14"/>
    <n v="2.4"/>
    <n v="876"/>
    <n v="3153.6"/>
  </r>
  <r>
    <x v="0"/>
    <x v="0"/>
    <x v="0"/>
    <x v="0"/>
    <x v="0"/>
    <s v="DK1_MedSmall"/>
    <x v="1"/>
    <x v="0"/>
    <s v="GNR_ST_MSW_BP_E-17"/>
    <x v="0"/>
    <x v="15"/>
    <n v="2.4"/>
    <n v="876"/>
    <n v="3153.6"/>
  </r>
  <r>
    <x v="0"/>
    <x v="0"/>
    <x v="0"/>
    <x v="0"/>
    <x v="0"/>
    <s v="DK1_MedSmall"/>
    <x v="1"/>
    <x v="0"/>
    <s v="GNR_ST_MSW_BP_E-17"/>
    <x v="0"/>
    <x v="16"/>
    <n v="2.4"/>
    <n v="876"/>
    <n v="3153.6"/>
  </r>
  <r>
    <x v="0"/>
    <x v="0"/>
    <x v="0"/>
    <x v="0"/>
    <x v="0"/>
    <s v="DK1_MedSmall"/>
    <x v="1"/>
    <x v="0"/>
    <s v="GNR_ST_MSW_BP_E-17"/>
    <x v="0"/>
    <x v="17"/>
    <n v="2.4"/>
    <n v="876"/>
    <n v="3153.6"/>
  </r>
  <r>
    <x v="0"/>
    <x v="0"/>
    <x v="0"/>
    <x v="0"/>
    <x v="0"/>
    <s v="DK1_MedSmall"/>
    <x v="1"/>
    <x v="0"/>
    <s v="GNR_ST_MSW_BP_E-17"/>
    <x v="0"/>
    <x v="18"/>
    <n v="2.4"/>
    <n v="876"/>
    <n v="3153.6"/>
  </r>
  <r>
    <x v="0"/>
    <x v="0"/>
    <x v="0"/>
    <x v="0"/>
    <x v="0"/>
    <s v="DK1_MedSmall"/>
    <x v="1"/>
    <x v="0"/>
    <s v="GNR_ST_MSW_BP_E-17"/>
    <x v="0"/>
    <x v="19"/>
    <n v="2.4"/>
    <n v="876"/>
    <n v="3153.6"/>
  </r>
  <r>
    <x v="0"/>
    <x v="0"/>
    <x v="0"/>
    <x v="0"/>
    <x v="0"/>
    <s v="DK1_MedSmall"/>
    <x v="1"/>
    <x v="0"/>
    <s v="GNR_ST_MSW_BP_E-17"/>
    <x v="0"/>
    <x v="20"/>
    <n v="2.4"/>
    <n v="876"/>
    <n v="3153.6"/>
  </r>
  <r>
    <x v="0"/>
    <x v="0"/>
    <x v="0"/>
    <x v="0"/>
    <x v="0"/>
    <s v="DK1_MedSmall"/>
    <x v="1"/>
    <x v="0"/>
    <s v="GNR_ST_MSW_BP_E-17"/>
    <x v="0"/>
    <x v="21"/>
    <n v="2.4"/>
    <n v="876"/>
    <n v="3153.6"/>
  </r>
  <r>
    <x v="0"/>
    <x v="0"/>
    <x v="0"/>
    <x v="0"/>
    <x v="0"/>
    <s v="DK1_MedSmall"/>
    <x v="1"/>
    <x v="0"/>
    <s v="GNR_ST_MSW_BP_E-17"/>
    <x v="0"/>
    <x v="22"/>
    <n v="2.4"/>
    <n v="876"/>
    <n v="3153.6"/>
  </r>
  <r>
    <x v="0"/>
    <x v="0"/>
    <x v="0"/>
    <x v="0"/>
    <x v="0"/>
    <s v="DK1_MedSmall"/>
    <x v="1"/>
    <x v="0"/>
    <s v="GNR_ST_MSW_BP_E-17"/>
    <x v="0"/>
    <x v="23"/>
    <n v="2.4"/>
    <n v="876"/>
    <n v="3153.6"/>
  </r>
  <r>
    <x v="0"/>
    <x v="0"/>
    <x v="0"/>
    <x v="0"/>
    <x v="0"/>
    <s v="DK1_MedSmall"/>
    <x v="1"/>
    <x v="0"/>
    <s v="GNR_ST_MSW_BP_E-20"/>
    <x v="0"/>
    <x v="0"/>
    <n v="3.3"/>
    <n v="1204.5"/>
    <n v="4336.2"/>
  </r>
  <r>
    <x v="0"/>
    <x v="0"/>
    <x v="0"/>
    <x v="0"/>
    <x v="0"/>
    <s v="DK1_MedSmall"/>
    <x v="1"/>
    <x v="0"/>
    <s v="GNR_ST_MSW_BP_E-20"/>
    <x v="0"/>
    <x v="1"/>
    <n v="3.3"/>
    <n v="1204.5"/>
    <n v="4336.2"/>
  </r>
  <r>
    <x v="0"/>
    <x v="0"/>
    <x v="0"/>
    <x v="0"/>
    <x v="0"/>
    <s v="DK1_MedSmall"/>
    <x v="1"/>
    <x v="0"/>
    <s v="GNR_ST_MSW_BP_E-20"/>
    <x v="0"/>
    <x v="2"/>
    <n v="3.3"/>
    <n v="1204.5"/>
    <n v="4336.2"/>
  </r>
  <r>
    <x v="0"/>
    <x v="0"/>
    <x v="0"/>
    <x v="0"/>
    <x v="0"/>
    <s v="DK1_MedSmall"/>
    <x v="1"/>
    <x v="0"/>
    <s v="GNR_ST_MSW_BP_E-20"/>
    <x v="0"/>
    <x v="3"/>
    <n v="3.3"/>
    <n v="1204.5"/>
    <n v="4336.2"/>
  </r>
  <r>
    <x v="0"/>
    <x v="0"/>
    <x v="0"/>
    <x v="0"/>
    <x v="0"/>
    <s v="DK1_MedSmall"/>
    <x v="1"/>
    <x v="0"/>
    <s v="GNR_ST_MSW_BP_E-20"/>
    <x v="0"/>
    <x v="4"/>
    <n v="3.3"/>
    <n v="1204.5"/>
    <n v="4336.2"/>
  </r>
  <r>
    <x v="0"/>
    <x v="0"/>
    <x v="0"/>
    <x v="0"/>
    <x v="0"/>
    <s v="DK1_MedSmall"/>
    <x v="1"/>
    <x v="0"/>
    <s v="GNR_ST_MSW_BP_E-20"/>
    <x v="0"/>
    <x v="5"/>
    <n v="3.3"/>
    <n v="1204.5"/>
    <n v="4336.2"/>
  </r>
  <r>
    <x v="0"/>
    <x v="0"/>
    <x v="0"/>
    <x v="0"/>
    <x v="0"/>
    <s v="DK1_MedSmall"/>
    <x v="1"/>
    <x v="0"/>
    <s v="GNR_ST_MSW_BP_E-20"/>
    <x v="0"/>
    <x v="6"/>
    <n v="3.3"/>
    <n v="1204.5"/>
    <n v="4336.2"/>
  </r>
  <r>
    <x v="0"/>
    <x v="0"/>
    <x v="0"/>
    <x v="0"/>
    <x v="0"/>
    <s v="DK1_MedSmall"/>
    <x v="1"/>
    <x v="0"/>
    <s v="GNR_ST_MSW_BP_E-20"/>
    <x v="0"/>
    <x v="7"/>
    <n v="3.3"/>
    <n v="1204.5"/>
    <n v="4336.2"/>
  </r>
  <r>
    <x v="0"/>
    <x v="0"/>
    <x v="0"/>
    <x v="0"/>
    <x v="0"/>
    <s v="DK1_MedSmall"/>
    <x v="1"/>
    <x v="0"/>
    <s v="GNR_ST_MSW_BP_E-20"/>
    <x v="0"/>
    <x v="8"/>
    <n v="3.3"/>
    <n v="1204.5"/>
    <n v="4336.2"/>
  </r>
  <r>
    <x v="0"/>
    <x v="0"/>
    <x v="0"/>
    <x v="0"/>
    <x v="0"/>
    <s v="DK1_MedSmall"/>
    <x v="1"/>
    <x v="0"/>
    <s v="GNR_ST_MSW_BP_E-20"/>
    <x v="0"/>
    <x v="9"/>
    <n v="3.3"/>
    <n v="1204.5"/>
    <n v="4336.2"/>
  </r>
  <r>
    <x v="0"/>
    <x v="0"/>
    <x v="0"/>
    <x v="0"/>
    <x v="0"/>
    <s v="DK1_MedSmall"/>
    <x v="1"/>
    <x v="0"/>
    <s v="GNR_ST_MSW_BP_E-20"/>
    <x v="0"/>
    <x v="10"/>
    <n v="3.3"/>
    <n v="1204.5"/>
    <n v="4336.2"/>
  </r>
  <r>
    <x v="0"/>
    <x v="0"/>
    <x v="0"/>
    <x v="0"/>
    <x v="0"/>
    <s v="DK1_MedSmall"/>
    <x v="1"/>
    <x v="0"/>
    <s v="GNR_ST_MSW_BP_E-20"/>
    <x v="0"/>
    <x v="11"/>
    <n v="3.3"/>
    <n v="1204.5"/>
    <n v="4336.2"/>
  </r>
  <r>
    <x v="0"/>
    <x v="0"/>
    <x v="0"/>
    <x v="0"/>
    <x v="0"/>
    <s v="DK1_MedSmall"/>
    <x v="1"/>
    <x v="0"/>
    <s v="GNR_ST_MSW_BP_E-20"/>
    <x v="0"/>
    <x v="12"/>
    <n v="3.3"/>
    <n v="1204.5"/>
    <n v="4336.2"/>
  </r>
  <r>
    <x v="0"/>
    <x v="0"/>
    <x v="0"/>
    <x v="0"/>
    <x v="0"/>
    <s v="DK1_MedSmall"/>
    <x v="1"/>
    <x v="0"/>
    <s v="GNR_ST_MSW_BP_E-20"/>
    <x v="0"/>
    <x v="13"/>
    <n v="3.3"/>
    <n v="1204.5"/>
    <n v="4336.2"/>
  </r>
  <r>
    <x v="0"/>
    <x v="0"/>
    <x v="0"/>
    <x v="0"/>
    <x v="0"/>
    <s v="DK1_MedSmall"/>
    <x v="1"/>
    <x v="0"/>
    <s v="GNR_ST_MSW_BP_E-20"/>
    <x v="0"/>
    <x v="14"/>
    <n v="3.3"/>
    <n v="1204.5"/>
    <n v="4336.2"/>
  </r>
  <r>
    <x v="0"/>
    <x v="0"/>
    <x v="0"/>
    <x v="0"/>
    <x v="0"/>
    <s v="DK1_MedSmall"/>
    <x v="1"/>
    <x v="0"/>
    <s v="GNR_ST_MSW_BP_E-20"/>
    <x v="0"/>
    <x v="15"/>
    <n v="3.3"/>
    <n v="1204.5"/>
    <n v="4336.2"/>
  </r>
  <r>
    <x v="0"/>
    <x v="0"/>
    <x v="0"/>
    <x v="0"/>
    <x v="0"/>
    <s v="DK1_MedSmall"/>
    <x v="1"/>
    <x v="0"/>
    <s v="GNR_ST_MSW_BP_E-20"/>
    <x v="0"/>
    <x v="16"/>
    <n v="3.3"/>
    <n v="1204.5"/>
    <n v="4336.2"/>
  </r>
  <r>
    <x v="0"/>
    <x v="0"/>
    <x v="0"/>
    <x v="0"/>
    <x v="0"/>
    <s v="DK1_MedSmall"/>
    <x v="1"/>
    <x v="0"/>
    <s v="GNR_ST_MSW_BP_E-20"/>
    <x v="0"/>
    <x v="17"/>
    <n v="3.3"/>
    <n v="1204.5"/>
    <n v="4336.2"/>
  </r>
  <r>
    <x v="0"/>
    <x v="0"/>
    <x v="0"/>
    <x v="0"/>
    <x v="0"/>
    <s v="DK1_MedSmall"/>
    <x v="1"/>
    <x v="0"/>
    <s v="GNR_ST_MSW_BP_E-20"/>
    <x v="0"/>
    <x v="18"/>
    <n v="3.3"/>
    <n v="1204.5"/>
    <n v="4336.2"/>
  </r>
  <r>
    <x v="0"/>
    <x v="0"/>
    <x v="0"/>
    <x v="0"/>
    <x v="0"/>
    <s v="DK1_MedSmall"/>
    <x v="1"/>
    <x v="0"/>
    <s v="GNR_ST_MSW_BP_E-20"/>
    <x v="0"/>
    <x v="19"/>
    <n v="3.3"/>
    <n v="1204.5"/>
    <n v="4336.2"/>
  </r>
  <r>
    <x v="0"/>
    <x v="0"/>
    <x v="0"/>
    <x v="0"/>
    <x v="0"/>
    <s v="DK1_MedSmall"/>
    <x v="1"/>
    <x v="0"/>
    <s v="GNR_ST_MSW_BP_E-20"/>
    <x v="0"/>
    <x v="20"/>
    <n v="3.3"/>
    <n v="1204.5"/>
    <n v="4336.2"/>
  </r>
  <r>
    <x v="0"/>
    <x v="0"/>
    <x v="0"/>
    <x v="0"/>
    <x v="0"/>
    <s v="DK1_MedSmall"/>
    <x v="1"/>
    <x v="0"/>
    <s v="GNR_ST_MSW_BP_E-20"/>
    <x v="0"/>
    <x v="21"/>
    <n v="3.3"/>
    <n v="1204.5"/>
    <n v="4336.2"/>
  </r>
  <r>
    <x v="0"/>
    <x v="0"/>
    <x v="0"/>
    <x v="0"/>
    <x v="0"/>
    <s v="DK1_MedSmall"/>
    <x v="1"/>
    <x v="0"/>
    <s v="GNR_ST_MSW_BP_E-20"/>
    <x v="0"/>
    <x v="22"/>
    <n v="3.3"/>
    <n v="1204.5"/>
    <n v="4336.2"/>
  </r>
  <r>
    <x v="0"/>
    <x v="0"/>
    <x v="0"/>
    <x v="0"/>
    <x v="0"/>
    <s v="DK1_MedSmall"/>
    <x v="1"/>
    <x v="0"/>
    <s v="GNR_ST_MSW_BP_E-20"/>
    <x v="0"/>
    <x v="23"/>
    <n v="3.3"/>
    <n v="1204.5"/>
    <n v="4336.2"/>
  </r>
  <r>
    <x v="0"/>
    <x v="0"/>
    <x v="0"/>
    <x v="0"/>
    <x v="0"/>
    <s v="DK1_MedSmall"/>
    <x v="1"/>
    <x v="0"/>
    <s v="GNR_ST_MSW_BP_E-21"/>
    <x v="0"/>
    <x v="0"/>
    <n v="10"/>
    <n v="3650"/>
    <n v="13140"/>
  </r>
  <r>
    <x v="0"/>
    <x v="0"/>
    <x v="0"/>
    <x v="0"/>
    <x v="0"/>
    <s v="DK1_MedSmall"/>
    <x v="1"/>
    <x v="0"/>
    <s v="GNR_ST_MSW_BP_E-21"/>
    <x v="0"/>
    <x v="1"/>
    <n v="10"/>
    <n v="3650"/>
    <n v="13140"/>
  </r>
  <r>
    <x v="0"/>
    <x v="0"/>
    <x v="0"/>
    <x v="0"/>
    <x v="0"/>
    <s v="DK1_MedSmall"/>
    <x v="1"/>
    <x v="0"/>
    <s v="GNR_ST_MSW_BP_E-21"/>
    <x v="0"/>
    <x v="2"/>
    <n v="10"/>
    <n v="3650"/>
    <n v="13140"/>
  </r>
  <r>
    <x v="0"/>
    <x v="0"/>
    <x v="0"/>
    <x v="0"/>
    <x v="0"/>
    <s v="DK1_MedSmall"/>
    <x v="1"/>
    <x v="0"/>
    <s v="GNR_ST_MSW_BP_E-21"/>
    <x v="0"/>
    <x v="3"/>
    <n v="10"/>
    <n v="3650"/>
    <n v="13140"/>
  </r>
  <r>
    <x v="0"/>
    <x v="0"/>
    <x v="0"/>
    <x v="0"/>
    <x v="0"/>
    <s v="DK1_MedSmall"/>
    <x v="1"/>
    <x v="0"/>
    <s v="GNR_ST_MSW_BP_E-21"/>
    <x v="0"/>
    <x v="4"/>
    <n v="10"/>
    <n v="3650"/>
    <n v="13140"/>
  </r>
  <r>
    <x v="0"/>
    <x v="0"/>
    <x v="0"/>
    <x v="0"/>
    <x v="0"/>
    <s v="DK1_MedSmall"/>
    <x v="1"/>
    <x v="0"/>
    <s v="GNR_ST_MSW_BP_E-21"/>
    <x v="0"/>
    <x v="5"/>
    <n v="10"/>
    <n v="3650"/>
    <n v="13140"/>
  </r>
  <r>
    <x v="0"/>
    <x v="0"/>
    <x v="0"/>
    <x v="0"/>
    <x v="0"/>
    <s v="DK1_MedSmall"/>
    <x v="1"/>
    <x v="0"/>
    <s v="GNR_ST_MSW_BP_E-21"/>
    <x v="0"/>
    <x v="6"/>
    <n v="10"/>
    <n v="3650"/>
    <n v="13140"/>
  </r>
  <r>
    <x v="0"/>
    <x v="0"/>
    <x v="0"/>
    <x v="0"/>
    <x v="0"/>
    <s v="DK1_MedSmall"/>
    <x v="1"/>
    <x v="0"/>
    <s v="GNR_ST_MSW_BP_E-21"/>
    <x v="0"/>
    <x v="7"/>
    <n v="10"/>
    <n v="3650"/>
    <n v="13140"/>
  </r>
  <r>
    <x v="0"/>
    <x v="0"/>
    <x v="0"/>
    <x v="0"/>
    <x v="0"/>
    <s v="DK1_MedSmall"/>
    <x v="1"/>
    <x v="0"/>
    <s v="GNR_ST_MSW_BP_E-21"/>
    <x v="0"/>
    <x v="8"/>
    <n v="10"/>
    <n v="3650"/>
    <n v="13140"/>
  </r>
  <r>
    <x v="0"/>
    <x v="0"/>
    <x v="0"/>
    <x v="0"/>
    <x v="0"/>
    <s v="DK1_MedSmall"/>
    <x v="1"/>
    <x v="0"/>
    <s v="GNR_ST_MSW_BP_E-21"/>
    <x v="0"/>
    <x v="9"/>
    <n v="10"/>
    <n v="3650"/>
    <n v="13140"/>
  </r>
  <r>
    <x v="0"/>
    <x v="0"/>
    <x v="0"/>
    <x v="0"/>
    <x v="0"/>
    <s v="DK1_MedSmall"/>
    <x v="1"/>
    <x v="0"/>
    <s v="GNR_ST_MSW_BP_E-21"/>
    <x v="0"/>
    <x v="10"/>
    <n v="10"/>
    <n v="3650"/>
    <n v="13140"/>
  </r>
  <r>
    <x v="0"/>
    <x v="0"/>
    <x v="0"/>
    <x v="0"/>
    <x v="0"/>
    <s v="DK1_MedSmall"/>
    <x v="1"/>
    <x v="0"/>
    <s v="GNR_ST_MSW_BP_E-21"/>
    <x v="0"/>
    <x v="11"/>
    <n v="10"/>
    <n v="3650"/>
    <n v="13140"/>
  </r>
  <r>
    <x v="0"/>
    <x v="0"/>
    <x v="0"/>
    <x v="0"/>
    <x v="0"/>
    <s v="DK1_MedSmall"/>
    <x v="1"/>
    <x v="0"/>
    <s v="GNR_ST_MSW_BP_E-21"/>
    <x v="0"/>
    <x v="12"/>
    <n v="10"/>
    <n v="3650"/>
    <n v="13140"/>
  </r>
  <r>
    <x v="0"/>
    <x v="0"/>
    <x v="0"/>
    <x v="0"/>
    <x v="0"/>
    <s v="DK1_MedSmall"/>
    <x v="1"/>
    <x v="0"/>
    <s v="GNR_ST_MSW_BP_E-21"/>
    <x v="0"/>
    <x v="13"/>
    <n v="10"/>
    <n v="3650"/>
    <n v="13140"/>
  </r>
  <r>
    <x v="0"/>
    <x v="0"/>
    <x v="0"/>
    <x v="0"/>
    <x v="0"/>
    <s v="DK1_MedSmall"/>
    <x v="1"/>
    <x v="0"/>
    <s v="GNR_ST_MSW_BP_E-21"/>
    <x v="0"/>
    <x v="14"/>
    <n v="10"/>
    <n v="3650"/>
    <n v="13140"/>
  </r>
  <r>
    <x v="0"/>
    <x v="0"/>
    <x v="0"/>
    <x v="0"/>
    <x v="0"/>
    <s v="DK1_MedSmall"/>
    <x v="1"/>
    <x v="0"/>
    <s v="GNR_ST_MSW_BP_E-21"/>
    <x v="0"/>
    <x v="15"/>
    <n v="10"/>
    <n v="3650"/>
    <n v="13140"/>
  </r>
  <r>
    <x v="0"/>
    <x v="0"/>
    <x v="0"/>
    <x v="0"/>
    <x v="0"/>
    <s v="DK1_MedSmall"/>
    <x v="1"/>
    <x v="0"/>
    <s v="GNR_ST_MSW_BP_E-21"/>
    <x v="0"/>
    <x v="16"/>
    <n v="10"/>
    <n v="3650"/>
    <n v="13140"/>
  </r>
  <r>
    <x v="0"/>
    <x v="0"/>
    <x v="0"/>
    <x v="0"/>
    <x v="0"/>
    <s v="DK1_MedSmall"/>
    <x v="1"/>
    <x v="0"/>
    <s v="GNR_ST_MSW_BP_E-21"/>
    <x v="0"/>
    <x v="17"/>
    <n v="10"/>
    <n v="3650"/>
    <n v="13140"/>
  </r>
  <r>
    <x v="0"/>
    <x v="0"/>
    <x v="0"/>
    <x v="0"/>
    <x v="0"/>
    <s v="DK1_MedSmall"/>
    <x v="1"/>
    <x v="0"/>
    <s v="GNR_ST_MSW_BP_E-21"/>
    <x v="0"/>
    <x v="18"/>
    <n v="10"/>
    <n v="3650"/>
    <n v="13140"/>
  </r>
  <r>
    <x v="0"/>
    <x v="0"/>
    <x v="0"/>
    <x v="0"/>
    <x v="0"/>
    <s v="DK1_MedSmall"/>
    <x v="1"/>
    <x v="0"/>
    <s v="GNR_ST_MSW_BP_E-21"/>
    <x v="0"/>
    <x v="19"/>
    <n v="10"/>
    <n v="3650"/>
    <n v="13140"/>
  </r>
  <r>
    <x v="0"/>
    <x v="0"/>
    <x v="0"/>
    <x v="0"/>
    <x v="0"/>
    <s v="DK1_MedSmall"/>
    <x v="1"/>
    <x v="0"/>
    <s v="GNR_ST_MSW_BP_E-21"/>
    <x v="0"/>
    <x v="20"/>
    <n v="10"/>
    <n v="3650"/>
    <n v="13140"/>
  </r>
  <r>
    <x v="0"/>
    <x v="0"/>
    <x v="0"/>
    <x v="0"/>
    <x v="0"/>
    <s v="DK1_MedSmall"/>
    <x v="1"/>
    <x v="0"/>
    <s v="GNR_ST_MSW_BP_E-21"/>
    <x v="0"/>
    <x v="21"/>
    <n v="10"/>
    <n v="3650"/>
    <n v="13140"/>
  </r>
  <r>
    <x v="0"/>
    <x v="0"/>
    <x v="0"/>
    <x v="0"/>
    <x v="0"/>
    <s v="DK1_MedSmall"/>
    <x v="1"/>
    <x v="0"/>
    <s v="GNR_ST_MSW_BP_E-21"/>
    <x v="0"/>
    <x v="22"/>
    <n v="10"/>
    <n v="3650"/>
    <n v="13140"/>
  </r>
  <r>
    <x v="0"/>
    <x v="0"/>
    <x v="0"/>
    <x v="0"/>
    <x v="0"/>
    <s v="DK1_MedSmall"/>
    <x v="1"/>
    <x v="0"/>
    <s v="GNR_ST_MSW_BP_E-21"/>
    <x v="0"/>
    <x v="23"/>
    <n v="10"/>
    <n v="3650"/>
    <n v="13140"/>
  </r>
  <r>
    <x v="0"/>
    <x v="0"/>
    <x v="0"/>
    <x v="0"/>
    <x v="0"/>
    <s v="DK1_MedSmall"/>
    <x v="1"/>
    <x v="0"/>
    <s v="GNR_ST_MSW_BP_E-22"/>
    <x v="0"/>
    <x v="0"/>
    <n v="4.5"/>
    <n v="1642.5"/>
    <n v="5913"/>
  </r>
  <r>
    <x v="0"/>
    <x v="0"/>
    <x v="0"/>
    <x v="0"/>
    <x v="0"/>
    <s v="DK1_MedSmall"/>
    <x v="1"/>
    <x v="0"/>
    <s v="GNR_ST_MSW_BP_E-22"/>
    <x v="0"/>
    <x v="1"/>
    <n v="4.5"/>
    <n v="1642.5"/>
    <n v="5913"/>
  </r>
  <r>
    <x v="0"/>
    <x v="0"/>
    <x v="0"/>
    <x v="0"/>
    <x v="0"/>
    <s v="DK1_MedSmall"/>
    <x v="1"/>
    <x v="0"/>
    <s v="GNR_ST_MSW_BP_E-22"/>
    <x v="0"/>
    <x v="2"/>
    <n v="4.5"/>
    <n v="1642.5"/>
    <n v="5913"/>
  </r>
  <r>
    <x v="0"/>
    <x v="0"/>
    <x v="0"/>
    <x v="0"/>
    <x v="0"/>
    <s v="DK1_MedSmall"/>
    <x v="1"/>
    <x v="0"/>
    <s v="GNR_ST_MSW_BP_E-22"/>
    <x v="0"/>
    <x v="3"/>
    <n v="4.5"/>
    <n v="1642.5"/>
    <n v="5913"/>
  </r>
  <r>
    <x v="0"/>
    <x v="0"/>
    <x v="0"/>
    <x v="0"/>
    <x v="0"/>
    <s v="DK1_MedSmall"/>
    <x v="1"/>
    <x v="0"/>
    <s v="GNR_ST_MSW_BP_E-22"/>
    <x v="0"/>
    <x v="4"/>
    <n v="4.5"/>
    <n v="1642.5"/>
    <n v="5913"/>
  </r>
  <r>
    <x v="0"/>
    <x v="0"/>
    <x v="0"/>
    <x v="0"/>
    <x v="0"/>
    <s v="DK1_MedSmall"/>
    <x v="1"/>
    <x v="0"/>
    <s v="GNR_ST_MSW_BP_E-22"/>
    <x v="0"/>
    <x v="5"/>
    <n v="4.5"/>
    <n v="1642.5"/>
    <n v="5913"/>
  </r>
  <r>
    <x v="0"/>
    <x v="0"/>
    <x v="0"/>
    <x v="0"/>
    <x v="0"/>
    <s v="DK1_MedSmall"/>
    <x v="1"/>
    <x v="0"/>
    <s v="GNR_ST_MSW_BP_E-22"/>
    <x v="0"/>
    <x v="6"/>
    <n v="4.5"/>
    <n v="1642.5"/>
    <n v="5913"/>
  </r>
  <r>
    <x v="0"/>
    <x v="0"/>
    <x v="0"/>
    <x v="0"/>
    <x v="0"/>
    <s v="DK1_MedSmall"/>
    <x v="1"/>
    <x v="0"/>
    <s v="GNR_ST_MSW_BP_E-22"/>
    <x v="0"/>
    <x v="7"/>
    <n v="4.5"/>
    <n v="1642.5"/>
    <n v="5913"/>
  </r>
  <r>
    <x v="0"/>
    <x v="0"/>
    <x v="0"/>
    <x v="0"/>
    <x v="0"/>
    <s v="DK1_MedSmall"/>
    <x v="1"/>
    <x v="0"/>
    <s v="GNR_ST_MSW_BP_E-22"/>
    <x v="0"/>
    <x v="8"/>
    <n v="4.5"/>
    <n v="1642.5"/>
    <n v="5913"/>
  </r>
  <r>
    <x v="0"/>
    <x v="0"/>
    <x v="0"/>
    <x v="0"/>
    <x v="0"/>
    <s v="DK1_MedSmall"/>
    <x v="1"/>
    <x v="0"/>
    <s v="GNR_ST_MSW_BP_E-22"/>
    <x v="0"/>
    <x v="9"/>
    <n v="4.5"/>
    <n v="1642.5"/>
    <n v="5913"/>
  </r>
  <r>
    <x v="0"/>
    <x v="0"/>
    <x v="0"/>
    <x v="0"/>
    <x v="0"/>
    <s v="DK1_MedSmall"/>
    <x v="1"/>
    <x v="0"/>
    <s v="GNR_ST_MSW_BP_E-22"/>
    <x v="0"/>
    <x v="10"/>
    <n v="4.5"/>
    <n v="1642.5"/>
    <n v="5913"/>
  </r>
  <r>
    <x v="0"/>
    <x v="0"/>
    <x v="0"/>
    <x v="0"/>
    <x v="0"/>
    <s v="DK1_MedSmall"/>
    <x v="1"/>
    <x v="0"/>
    <s v="GNR_ST_MSW_BP_E-22"/>
    <x v="0"/>
    <x v="11"/>
    <n v="4.5"/>
    <n v="1642.5"/>
    <n v="5913"/>
  </r>
  <r>
    <x v="0"/>
    <x v="0"/>
    <x v="0"/>
    <x v="0"/>
    <x v="0"/>
    <s v="DK1_MedSmall"/>
    <x v="1"/>
    <x v="0"/>
    <s v="GNR_ST_MSW_BP_E-22"/>
    <x v="0"/>
    <x v="12"/>
    <n v="4.5"/>
    <n v="1642.5"/>
    <n v="5913"/>
  </r>
  <r>
    <x v="0"/>
    <x v="0"/>
    <x v="0"/>
    <x v="0"/>
    <x v="0"/>
    <s v="DK1_MedSmall"/>
    <x v="1"/>
    <x v="0"/>
    <s v="GNR_ST_MSW_BP_E-22"/>
    <x v="0"/>
    <x v="13"/>
    <n v="4.5"/>
    <n v="1642.5"/>
    <n v="5913"/>
  </r>
  <r>
    <x v="0"/>
    <x v="0"/>
    <x v="0"/>
    <x v="0"/>
    <x v="0"/>
    <s v="DK1_MedSmall"/>
    <x v="1"/>
    <x v="0"/>
    <s v="GNR_ST_MSW_BP_E-22"/>
    <x v="0"/>
    <x v="14"/>
    <n v="4.5"/>
    <n v="1642.5"/>
    <n v="5913"/>
  </r>
  <r>
    <x v="0"/>
    <x v="0"/>
    <x v="0"/>
    <x v="0"/>
    <x v="0"/>
    <s v="DK1_MedSmall"/>
    <x v="1"/>
    <x v="0"/>
    <s v="GNR_ST_MSW_BP_E-22"/>
    <x v="0"/>
    <x v="15"/>
    <n v="4.5"/>
    <n v="1642.5"/>
    <n v="5913"/>
  </r>
  <r>
    <x v="0"/>
    <x v="0"/>
    <x v="0"/>
    <x v="0"/>
    <x v="0"/>
    <s v="DK1_MedSmall"/>
    <x v="1"/>
    <x v="0"/>
    <s v="GNR_ST_MSW_BP_E-22"/>
    <x v="0"/>
    <x v="16"/>
    <n v="4.5"/>
    <n v="1642.5"/>
    <n v="5913"/>
  </r>
  <r>
    <x v="0"/>
    <x v="0"/>
    <x v="0"/>
    <x v="0"/>
    <x v="0"/>
    <s v="DK1_MedSmall"/>
    <x v="1"/>
    <x v="0"/>
    <s v="GNR_ST_MSW_BP_E-22"/>
    <x v="0"/>
    <x v="17"/>
    <n v="4.5"/>
    <n v="1642.5"/>
    <n v="5913"/>
  </r>
  <r>
    <x v="0"/>
    <x v="0"/>
    <x v="0"/>
    <x v="0"/>
    <x v="0"/>
    <s v="DK1_MedSmall"/>
    <x v="1"/>
    <x v="0"/>
    <s v="GNR_ST_MSW_BP_E-22"/>
    <x v="0"/>
    <x v="18"/>
    <n v="4.5"/>
    <n v="1642.5"/>
    <n v="5913"/>
  </r>
  <r>
    <x v="0"/>
    <x v="0"/>
    <x v="0"/>
    <x v="0"/>
    <x v="0"/>
    <s v="DK1_MedSmall"/>
    <x v="1"/>
    <x v="0"/>
    <s v="GNR_ST_MSW_BP_E-22"/>
    <x v="0"/>
    <x v="19"/>
    <n v="4.5"/>
    <n v="1642.5"/>
    <n v="5913"/>
  </r>
  <r>
    <x v="0"/>
    <x v="0"/>
    <x v="0"/>
    <x v="0"/>
    <x v="0"/>
    <s v="DK1_MedSmall"/>
    <x v="1"/>
    <x v="0"/>
    <s v="GNR_ST_MSW_BP_E-22"/>
    <x v="0"/>
    <x v="20"/>
    <n v="4.5"/>
    <n v="1642.5"/>
    <n v="5913"/>
  </r>
  <r>
    <x v="0"/>
    <x v="0"/>
    <x v="0"/>
    <x v="0"/>
    <x v="0"/>
    <s v="DK1_MedSmall"/>
    <x v="1"/>
    <x v="0"/>
    <s v="GNR_ST_MSW_BP_E-22"/>
    <x v="0"/>
    <x v="21"/>
    <n v="4.5"/>
    <n v="1642.5"/>
    <n v="5913"/>
  </r>
  <r>
    <x v="0"/>
    <x v="0"/>
    <x v="0"/>
    <x v="0"/>
    <x v="0"/>
    <s v="DK1_MedSmall"/>
    <x v="1"/>
    <x v="0"/>
    <s v="GNR_ST_MSW_BP_E-22"/>
    <x v="0"/>
    <x v="22"/>
    <n v="4.5"/>
    <n v="1642.5"/>
    <n v="5913"/>
  </r>
  <r>
    <x v="0"/>
    <x v="0"/>
    <x v="0"/>
    <x v="0"/>
    <x v="0"/>
    <s v="DK1_MedSmall"/>
    <x v="1"/>
    <x v="0"/>
    <s v="GNR_ST_MSW_BP_E-22"/>
    <x v="0"/>
    <x v="23"/>
    <n v="4.5"/>
    <n v="1642.5"/>
    <n v="5913"/>
  </r>
  <r>
    <x v="0"/>
    <x v="0"/>
    <x v="0"/>
    <x v="0"/>
    <x v="0"/>
    <s v="DK1_MedSmall"/>
    <x v="1"/>
    <x v="0"/>
    <s v="GNR_ST_MSW_BP_E-26"/>
    <x v="0"/>
    <x v="0"/>
    <n v="7"/>
    <n v="2555"/>
    <n v="9198"/>
  </r>
  <r>
    <x v="0"/>
    <x v="0"/>
    <x v="0"/>
    <x v="0"/>
    <x v="0"/>
    <s v="DK1_MedSmall"/>
    <x v="1"/>
    <x v="0"/>
    <s v="GNR_ST_MSW_BP_E-26"/>
    <x v="0"/>
    <x v="1"/>
    <n v="7"/>
    <n v="2555"/>
    <n v="9198"/>
  </r>
  <r>
    <x v="0"/>
    <x v="0"/>
    <x v="0"/>
    <x v="0"/>
    <x v="0"/>
    <s v="DK1_MedSmall"/>
    <x v="1"/>
    <x v="0"/>
    <s v="GNR_ST_MSW_BP_E-26"/>
    <x v="0"/>
    <x v="2"/>
    <n v="7"/>
    <n v="2555"/>
    <n v="9198"/>
  </r>
  <r>
    <x v="0"/>
    <x v="0"/>
    <x v="0"/>
    <x v="0"/>
    <x v="0"/>
    <s v="DK1_MedSmall"/>
    <x v="1"/>
    <x v="0"/>
    <s v="GNR_ST_MSW_BP_E-26"/>
    <x v="0"/>
    <x v="3"/>
    <n v="7"/>
    <n v="2555"/>
    <n v="9198"/>
  </r>
  <r>
    <x v="0"/>
    <x v="0"/>
    <x v="0"/>
    <x v="0"/>
    <x v="0"/>
    <s v="DK1_MedSmall"/>
    <x v="1"/>
    <x v="0"/>
    <s v="GNR_ST_MSW_BP_E-26"/>
    <x v="0"/>
    <x v="4"/>
    <n v="7"/>
    <n v="2555"/>
    <n v="9198"/>
  </r>
  <r>
    <x v="0"/>
    <x v="0"/>
    <x v="0"/>
    <x v="0"/>
    <x v="0"/>
    <s v="DK1_MedSmall"/>
    <x v="1"/>
    <x v="0"/>
    <s v="GNR_ST_MSW_BP_E-26"/>
    <x v="0"/>
    <x v="5"/>
    <n v="7"/>
    <n v="2555"/>
    <n v="9198"/>
  </r>
  <r>
    <x v="0"/>
    <x v="0"/>
    <x v="0"/>
    <x v="0"/>
    <x v="0"/>
    <s v="DK1_MedSmall"/>
    <x v="1"/>
    <x v="0"/>
    <s v="GNR_ST_MSW_BP_E-26"/>
    <x v="0"/>
    <x v="6"/>
    <n v="7"/>
    <n v="2555"/>
    <n v="9198"/>
  </r>
  <r>
    <x v="0"/>
    <x v="0"/>
    <x v="0"/>
    <x v="0"/>
    <x v="0"/>
    <s v="DK1_MedSmall"/>
    <x v="1"/>
    <x v="0"/>
    <s v="GNR_ST_MSW_BP_E-26"/>
    <x v="0"/>
    <x v="7"/>
    <n v="7"/>
    <n v="2555"/>
    <n v="9198"/>
  </r>
  <r>
    <x v="0"/>
    <x v="0"/>
    <x v="0"/>
    <x v="0"/>
    <x v="0"/>
    <s v="DK1_MedSmall"/>
    <x v="1"/>
    <x v="0"/>
    <s v="GNR_ST_MSW_BP_E-26"/>
    <x v="0"/>
    <x v="8"/>
    <n v="7"/>
    <n v="2555"/>
    <n v="9198"/>
  </r>
  <r>
    <x v="0"/>
    <x v="0"/>
    <x v="0"/>
    <x v="0"/>
    <x v="0"/>
    <s v="DK1_MedSmall"/>
    <x v="1"/>
    <x v="0"/>
    <s v="GNR_ST_MSW_BP_E-26"/>
    <x v="0"/>
    <x v="9"/>
    <n v="7"/>
    <n v="2555"/>
    <n v="9198"/>
  </r>
  <r>
    <x v="0"/>
    <x v="0"/>
    <x v="0"/>
    <x v="0"/>
    <x v="0"/>
    <s v="DK1_MedSmall"/>
    <x v="1"/>
    <x v="0"/>
    <s v="GNR_ST_MSW_BP_E-26"/>
    <x v="0"/>
    <x v="10"/>
    <n v="7"/>
    <n v="2555"/>
    <n v="9198"/>
  </r>
  <r>
    <x v="0"/>
    <x v="0"/>
    <x v="0"/>
    <x v="0"/>
    <x v="0"/>
    <s v="DK1_MedSmall"/>
    <x v="1"/>
    <x v="0"/>
    <s v="GNR_ST_MSW_BP_E-26"/>
    <x v="0"/>
    <x v="11"/>
    <n v="7"/>
    <n v="2555"/>
    <n v="9198"/>
  </r>
  <r>
    <x v="0"/>
    <x v="0"/>
    <x v="0"/>
    <x v="0"/>
    <x v="0"/>
    <s v="DK1_MedSmall"/>
    <x v="1"/>
    <x v="0"/>
    <s v="GNR_ST_MSW_BP_E-26"/>
    <x v="0"/>
    <x v="12"/>
    <n v="7"/>
    <n v="2555"/>
    <n v="9198"/>
  </r>
  <r>
    <x v="0"/>
    <x v="0"/>
    <x v="0"/>
    <x v="0"/>
    <x v="0"/>
    <s v="DK1_MedSmall"/>
    <x v="1"/>
    <x v="0"/>
    <s v="GNR_ST_MSW_BP_E-26"/>
    <x v="0"/>
    <x v="13"/>
    <n v="7"/>
    <n v="2555"/>
    <n v="9198"/>
  </r>
  <r>
    <x v="0"/>
    <x v="0"/>
    <x v="0"/>
    <x v="0"/>
    <x v="0"/>
    <s v="DK1_MedSmall"/>
    <x v="1"/>
    <x v="0"/>
    <s v="GNR_ST_MSW_BP_E-26"/>
    <x v="0"/>
    <x v="14"/>
    <n v="7"/>
    <n v="2555"/>
    <n v="9198"/>
  </r>
  <r>
    <x v="0"/>
    <x v="0"/>
    <x v="0"/>
    <x v="0"/>
    <x v="0"/>
    <s v="DK1_MedSmall"/>
    <x v="1"/>
    <x v="0"/>
    <s v="GNR_ST_MSW_BP_E-26"/>
    <x v="0"/>
    <x v="15"/>
    <n v="7"/>
    <n v="2555"/>
    <n v="9198"/>
  </r>
  <r>
    <x v="0"/>
    <x v="0"/>
    <x v="0"/>
    <x v="0"/>
    <x v="0"/>
    <s v="DK1_MedSmall"/>
    <x v="1"/>
    <x v="0"/>
    <s v="GNR_ST_MSW_BP_E-26"/>
    <x v="0"/>
    <x v="16"/>
    <n v="7"/>
    <n v="2555"/>
    <n v="9198"/>
  </r>
  <r>
    <x v="0"/>
    <x v="0"/>
    <x v="0"/>
    <x v="0"/>
    <x v="0"/>
    <s v="DK1_MedSmall"/>
    <x v="1"/>
    <x v="0"/>
    <s v="GNR_ST_MSW_BP_E-26"/>
    <x v="0"/>
    <x v="17"/>
    <n v="7"/>
    <n v="2555"/>
    <n v="9198"/>
  </r>
  <r>
    <x v="0"/>
    <x v="0"/>
    <x v="0"/>
    <x v="0"/>
    <x v="0"/>
    <s v="DK1_MedSmall"/>
    <x v="1"/>
    <x v="0"/>
    <s v="GNR_ST_MSW_BP_E-26"/>
    <x v="0"/>
    <x v="18"/>
    <n v="7"/>
    <n v="2555"/>
    <n v="9198"/>
  </r>
  <r>
    <x v="0"/>
    <x v="0"/>
    <x v="0"/>
    <x v="0"/>
    <x v="0"/>
    <s v="DK1_MedSmall"/>
    <x v="1"/>
    <x v="0"/>
    <s v="GNR_ST_MSW_BP_E-26"/>
    <x v="0"/>
    <x v="19"/>
    <n v="7"/>
    <n v="2555"/>
    <n v="9198"/>
  </r>
  <r>
    <x v="0"/>
    <x v="0"/>
    <x v="0"/>
    <x v="0"/>
    <x v="0"/>
    <s v="DK1_MedSmall"/>
    <x v="1"/>
    <x v="0"/>
    <s v="GNR_ST_MSW_BP_E-26"/>
    <x v="0"/>
    <x v="20"/>
    <n v="7"/>
    <n v="2555"/>
    <n v="9198"/>
  </r>
  <r>
    <x v="0"/>
    <x v="0"/>
    <x v="0"/>
    <x v="0"/>
    <x v="0"/>
    <s v="DK1_MedSmall"/>
    <x v="1"/>
    <x v="0"/>
    <s v="GNR_ST_MSW_BP_E-26"/>
    <x v="0"/>
    <x v="21"/>
    <n v="7"/>
    <n v="2555"/>
    <n v="9198"/>
  </r>
  <r>
    <x v="0"/>
    <x v="0"/>
    <x v="0"/>
    <x v="0"/>
    <x v="0"/>
    <s v="DK1_MedSmall"/>
    <x v="1"/>
    <x v="0"/>
    <s v="GNR_ST_MSW_BP_E-26"/>
    <x v="0"/>
    <x v="22"/>
    <n v="7"/>
    <n v="2555"/>
    <n v="9198"/>
  </r>
  <r>
    <x v="0"/>
    <x v="0"/>
    <x v="0"/>
    <x v="0"/>
    <x v="0"/>
    <s v="DK1_MedSmall"/>
    <x v="1"/>
    <x v="0"/>
    <s v="GNR_ST_MSW_BP_E-26"/>
    <x v="0"/>
    <x v="23"/>
    <n v="7"/>
    <n v="2555"/>
    <n v="9198"/>
  </r>
  <r>
    <x v="0"/>
    <x v="0"/>
    <x v="0"/>
    <x v="0"/>
    <x v="0"/>
    <s v="DK1_MedSmall"/>
    <x v="3"/>
    <x v="0"/>
    <s v="GNR_ST_STRW_BP_E-21"/>
    <x v="0"/>
    <x v="0"/>
    <n v="17.5"/>
    <n v="6387.5"/>
    <n v="22995"/>
  </r>
  <r>
    <x v="0"/>
    <x v="0"/>
    <x v="0"/>
    <x v="0"/>
    <x v="0"/>
    <s v="DK1_MedSmall"/>
    <x v="3"/>
    <x v="0"/>
    <s v="GNR_ST_STRW_BP_E-21"/>
    <x v="0"/>
    <x v="1"/>
    <n v="17.5"/>
    <n v="6387.5"/>
    <n v="22995"/>
  </r>
  <r>
    <x v="0"/>
    <x v="0"/>
    <x v="0"/>
    <x v="0"/>
    <x v="0"/>
    <s v="DK1_MedSmall"/>
    <x v="3"/>
    <x v="0"/>
    <s v="GNR_ST_STRW_BP_E-21"/>
    <x v="0"/>
    <x v="2"/>
    <n v="17.5"/>
    <n v="6387.5"/>
    <n v="22995"/>
  </r>
  <r>
    <x v="0"/>
    <x v="0"/>
    <x v="0"/>
    <x v="0"/>
    <x v="0"/>
    <s v="DK1_MedSmall"/>
    <x v="3"/>
    <x v="0"/>
    <s v="GNR_ST_STRW_BP_E-21"/>
    <x v="0"/>
    <x v="3"/>
    <n v="17.5"/>
    <n v="6387.5"/>
    <n v="22995"/>
  </r>
  <r>
    <x v="0"/>
    <x v="0"/>
    <x v="0"/>
    <x v="0"/>
    <x v="0"/>
    <s v="DK1_MedSmall"/>
    <x v="3"/>
    <x v="0"/>
    <s v="GNR_ST_STRW_BP_E-21"/>
    <x v="0"/>
    <x v="4"/>
    <n v="17.5"/>
    <n v="6387.5"/>
    <n v="22995"/>
  </r>
  <r>
    <x v="0"/>
    <x v="0"/>
    <x v="0"/>
    <x v="0"/>
    <x v="0"/>
    <s v="DK1_MedSmall"/>
    <x v="3"/>
    <x v="0"/>
    <s v="GNR_ST_STRW_BP_E-21"/>
    <x v="0"/>
    <x v="5"/>
    <n v="17.5"/>
    <n v="6387.5"/>
    <n v="22995"/>
  </r>
  <r>
    <x v="0"/>
    <x v="0"/>
    <x v="0"/>
    <x v="0"/>
    <x v="0"/>
    <s v="DK1_MedSmall"/>
    <x v="3"/>
    <x v="0"/>
    <s v="GNR_ST_STRW_BP_E-21"/>
    <x v="0"/>
    <x v="6"/>
    <n v="17.5"/>
    <n v="6387.5"/>
    <n v="22995"/>
  </r>
  <r>
    <x v="0"/>
    <x v="0"/>
    <x v="0"/>
    <x v="0"/>
    <x v="0"/>
    <s v="DK1_MedSmall"/>
    <x v="3"/>
    <x v="0"/>
    <s v="GNR_ST_STRW_BP_E-21"/>
    <x v="0"/>
    <x v="7"/>
    <n v="17.5"/>
    <n v="6387.5"/>
    <n v="22995"/>
  </r>
  <r>
    <x v="0"/>
    <x v="0"/>
    <x v="0"/>
    <x v="0"/>
    <x v="0"/>
    <s v="DK1_MedSmall"/>
    <x v="3"/>
    <x v="0"/>
    <s v="GNR_ST_STRW_BP_E-21"/>
    <x v="0"/>
    <x v="8"/>
    <n v="17.5"/>
    <n v="6387.5"/>
    <n v="22995"/>
  </r>
  <r>
    <x v="0"/>
    <x v="0"/>
    <x v="0"/>
    <x v="0"/>
    <x v="0"/>
    <s v="DK1_MedSmall"/>
    <x v="3"/>
    <x v="0"/>
    <s v="GNR_ST_STRW_BP_E-21"/>
    <x v="0"/>
    <x v="9"/>
    <n v="17.5"/>
    <n v="6387.5"/>
    <n v="22995"/>
  </r>
  <r>
    <x v="0"/>
    <x v="0"/>
    <x v="0"/>
    <x v="0"/>
    <x v="0"/>
    <s v="DK1_MedSmall"/>
    <x v="3"/>
    <x v="0"/>
    <s v="GNR_ST_STRW_BP_E-21"/>
    <x v="0"/>
    <x v="10"/>
    <n v="17.5"/>
    <n v="6387.5"/>
    <n v="22995"/>
  </r>
  <r>
    <x v="0"/>
    <x v="0"/>
    <x v="0"/>
    <x v="0"/>
    <x v="0"/>
    <s v="DK1_MedSmall"/>
    <x v="3"/>
    <x v="0"/>
    <s v="GNR_ST_STRW_BP_E-21"/>
    <x v="0"/>
    <x v="11"/>
    <n v="17.5"/>
    <n v="6387.5"/>
    <n v="22995"/>
  </r>
  <r>
    <x v="0"/>
    <x v="0"/>
    <x v="0"/>
    <x v="0"/>
    <x v="0"/>
    <s v="DK1_MedSmall"/>
    <x v="3"/>
    <x v="0"/>
    <s v="GNR_ST_STRW_BP_E-21"/>
    <x v="0"/>
    <x v="12"/>
    <n v="17.5"/>
    <n v="6387.5"/>
    <n v="22995"/>
  </r>
  <r>
    <x v="0"/>
    <x v="0"/>
    <x v="0"/>
    <x v="0"/>
    <x v="0"/>
    <s v="DK1_MedSmall"/>
    <x v="3"/>
    <x v="0"/>
    <s v="GNR_ST_STRW_BP_E-21"/>
    <x v="0"/>
    <x v="13"/>
    <n v="17.5"/>
    <n v="6387.5"/>
    <n v="22995"/>
  </r>
  <r>
    <x v="0"/>
    <x v="0"/>
    <x v="0"/>
    <x v="0"/>
    <x v="0"/>
    <s v="DK1_MedSmall"/>
    <x v="3"/>
    <x v="0"/>
    <s v="GNR_ST_STRW_BP_E-21"/>
    <x v="0"/>
    <x v="14"/>
    <n v="17.5"/>
    <n v="6387.5"/>
    <n v="22995"/>
  </r>
  <r>
    <x v="0"/>
    <x v="0"/>
    <x v="0"/>
    <x v="0"/>
    <x v="0"/>
    <s v="DK1_MedSmall"/>
    <x v="3"/>
    <x v="0"/>
    <s v="GNR_ST_STRW_BP_E-21"/>
    <x v="0"/>
    <x v="15"/>
    <n v="17.5"/>
    <n v="6387.5"/>
    <n v="22995"/>
  </r>
  <r>
    <x v="0"/>
    <x v="0"/>
    <x v="0"/>
    <x v="0"/>
    <x v="0"/>
    <s v="DK1_MedSmall"/>
    <x v="3"/>
    <x v="0"/>
    <s v="GNR_ST_STRW_BP_E-21"/>
    <x v="0"/>
    <x v="16"/>
    <n v="17.5"/>
    <n v="6387.5"/>
    <n v="22995"/>
  </r>
  <r>
    <x v="0"/>
    <x v="0"/>
    <x v="0"/>
    <x v="0"/>
    <x v="0"/>
    <s v="DK1_MedSmall"/>
    <x v="3"/>
    <x v="0"/>
    <s v="GNR_ST_STRW_BP_E-21"/>
    <x v="0"/>
    <x v="17"/>
    <n v="17.5"/>
    <n v="6387.5"/>
    <n v="22995"/>
  </r>
  <r>
    <x v="0"/>
    <x v="0"/>
    <x v="0"/>
    <x v="0"/>
    <x v="0"/>
    <s v="DK1_MedSmall"/>
    <x v="3"/>
    <x v="0"/>
    <s v="GNR_ST_STRW_BP_E-21"/>
    <x v="0"/>
    <x v="18"/>
    <n v="17.5"/>
    <n v="6387.5"/>
    <n v="22995"/>
  </r>
  <r>
    <x v="0"/>
    <x v="0"/>
    <x v="0"/>
    <x v="0"/>
    <x v="0"/>
    <s v="DK1_MedSmall"/>
    <x v="3"/>
    <x v="0"/>
    <s v="GNR_ST_STRW_BP_E-21"/>
    <x v="0"/>
    <x v="19"/>
    <n v="17.5"/>
    <n v="6387.5"/>
    <n v="22995"/>
  </r>
  <r>
    <x v="0"/>
    <x v="0"/>
    <x v="0"/>
    <x v="0"/>
    <x v="0"/>
    <s v="DK1_MedSmall"/>
    <x v="3"/>
    <x v="0"/>
    <s v="GNR_ST_STRW_BP_E-21"/>
    <x v="0"/>
    <x v="20"/>
    <n v="17.5"/>
    <n v="6387.5"/>
    <n v="22995"/>
  </r>
  <r>
    <x v="0"/>
    <x v="0"/>
    <x v="0"/>
    <x v="0"/>
    <x v="0"/>
    <s v="DK1_MedSmall"/>
    <x v="3"/>
    <x v="0"/>
    <s v="GNR_ST_STRW_BP_E-21"/>
    <x v="0"/>
    <x v="21"/>
    <n v="17.5"/>
    <n v="6387.5"/>
    <n v="22995"/>
  </r>
  <r>
    <x v="0"/>
    <x v="0"/>
    <x v="0"/>
    <x v="0"/>
    <x v="0"/>
    <s v="DK1_MedSmall"/>
    <x v="3"/>
    <x v="0"/>
    <s v="GNR_ST_STRW_BP_E-21"/>
    <x v="0"/>
    <x v="22"/>
    <n v="17.5"/>
    <n v="6387.5"/>
    <n v="22995"/>
  </r>
  <r>
    <x v="0"/>
    <x v="0"/>
    <x v="0"/>
    <x v="0"/>
    <x v="0"/>
    <s v="DK1_MedSmall"/>
    <x v="3"/>
    <x v="0"/>
    <s v="GNR_ST_STRW_BP_E-21"/>
    <x v="0"/>
    <x v="23"/>
    <n v="17.5"/>
    <n v="6387.5"/>
    <n v="22995"/>
  </r>
  <r>
    <x v="0"/>
    <x v="0"/>
    <x v="0"/>
    <x v="0"/>
    <x v="0"/>
    <s v="DK1_Medium"/>
    <x v="0"/>
    <x v="0"/>
    <s v="GNR_ENG_BGAS_BP_E-32"/>
    <x v="0"/>
    <x v="0"/>
    <n v="0.28999999999999998"/>
    <n v="105.85"/>
    <n v="381.06"/>
  </r>
  <r>
    <x v="0"/>
    <x v="0"/>
    <x v="0"/>
    <x v="0"/>
    <x v="0"/>
    <s v="DK1_Medium"/>
    <x v="0"/>
    <x v="0"/>
    <s v="GNR_ENG_BGAS_BP_E-32"/>
    <x v="0"/>
    <x v="1"/>
    <n v="0.28999999999999998"/>
    <n v="105.85"/>
    <n v="381.06"/>
  </r>
  <r>
    <x v="0"/>
    <x v="0"/>
    <x v="0"/>
    <x v="0"/>
    <x v="0"/>
    <s v="DK1_Medium"/>
    <x v="0"/>
    <x v="0"/>
    <s v="GNR_ENG_BGAS_BP_E-32"/>
    <x v="0"/>
    <x v="2"/>
    <n v="0.28999999999999998"/>
    <n v="105.85"/>
    <n v="381.06"/>
  </r>
  <r>
    <x v="0"/>
    <x v="0"/>
    <x v="0"/>
    <x v="0"/>
    <x v="0"/>
    <s v="DK1_Medium"/>
    <x v="0"/>
    <x v="0"/>
    <s v="GNR_ENG_BGAS_BP_E-32"/>
    <x v="0"/>
    <x v="3"/>
    <n v="0.28999999999999998"/>
    <n v="105.85"/>
    <n v="381.06"/>
  </r>
  <r>
    <x v="0"/>
    <x v="0"/>
    <x v="0"/>
    <x v="0"/>
    <x v="0"/>
    <s v="DK1_Medium"/>
    <x v="0"/>
    <x v="0"/>
    <s v="GNR_ENG_BGAS_BP_E-32"/>
    <x v="0"/>
    <x v="4"/>
    <n v="0.28999999999999998"/>
    <n v="105.85"/>
    <n v="381.06"/>
  </r>
  <r>
    <x v="0"/>
    <x v="0"/>
    <x v="0"/>
    <x v="0"/>
    <x v="0"/>
    <s v="DK1_Medium"/>
    <x v="0"/>
    <x v="0"/>
    <s v="GNR_ENG_BGAS_BP_E-32"/>
    <x v="0"/>
    <x v="5"/>
    <n v="0.28999999999999998"/>
    <n v="105.85"/>
    <n v="381.06"/>
  </r>
  <r>
    <x v="0"/>
    <x v="0"/>
    <x v="0"/>
    <x v="0"/>
    <x v="0"/>
    <s v="DK1_Medium"/>
    <x v="0"/>
    <x v="0"/>
    <s v="GNR_ENG_BGAS_BP_E-32"/>
    <x v="0"/>
    <x v="6"/>
    <n v="0.28999999999999998"/>
    <n v="105.85"/>
    <n v="381.06"/>
  </r>
  <r>
    <x v="0"/>
    <x v="0"/>
    <x v="0"/>
    <x v="0"/>
    <x v="0"/>
    <s v="DK1_Medium"/>
    <x v="0"/>
    <x v="0"/>
    <s v="GNR_ENG_BGAS_BP_E-32"/>
    <x v="0"/>
    <x v="7"/>
    <n v="0.28999999999999998"/>
    <n v="105.85"/>
    <n v="381.06"/>
  </r>
  <r>
    <x v="0"/>
    <x v="0"/>
    <x v="0"/>
    <x v="0"/>
    <x v="0"/>
    <s v="DK1_Medium"/>
    <x v="0"/>
    <x v="0"/>
    <s v="GNR_ENG_BGAS_BP_E-32"/>
    <x v="0"/>
    <x v="8"/>
    <n v="0.28999999999999998"/>
    <n v="105.85"/>
    <n v="381.06"/>
  </r>
  <r>
    <x v="0"/>
    <x v="0"/>
    <x v="0"/>
    <x v="0"/>
    <x v="0"/>
    <s v="DK1_Medium"/>
    <x v="0"/>
    <x v="0"/>
    <s v="GNR_ENG_BGAS_BP_E-32"/>
    <x v="0"/>
    <x v="9"/>
    <n v="0.28999999999999998"/>
    <n v="105.85"/>
    <n v="381.06"/>
  </r>
  <r>
    <x v="0"/>
    <x v="0"/>
    <x v="0"/>
    <x v="0"/>
    <x v="0"/>
    <s v="DK1_Medium"/>
    <x v="0"/>
    <x v="0"/>
    <s v="GNR_ENG_BGAS_BP_E-32"/>
    <x v="0"/>
    <x v="10"/>
    <n v="0.28999999999999998"/>
    <n v="105.85"/>
    <n v="381.06"/>
  </r>
  <r>
    <x v="0"/>
    <x v="0"/>
    <x v="0"/>
    <x v="0"/>
    <x v="0"/>
    <s v="DK1_Medium"/>
    <x v="0"/>
    <x v="0"/>
    <s v="GNR_ENG_BGAS_BP_E-32"/>
    <x v="0"/>
    <x v="11"/>
    <n v="0.28999999999999998"/>
    <n v="105.85"/>
    <n v="381.06"/>
  </r>
  <r>
    <x v="0"/>
    <x v="0"/>
    <x v="0"/>
    <x v="0"/>
    <x v="0"/>
    <s v="DK1_Medium"/>
    <x v="0"/>
    <x v="0"/>
    <s v="GNR_ENG_BGAS_BP_E-32"/>
    <x v="0"/>
    <x v="12"/>
    <n v="0.28999999999999998"/>
    <n v="105.85"/>
    <n v="381.06"/>
  </r>
  <r>
    <x v="0"/>
    <x v="0"/>
    <x v="0"/>
    <x v="0"/>
    <x v="0"/>
    <s v="DK1_Medium"/>
    <x v="0"/>
    <x v="0"/>
    <s v="GNR_ENG_BGAS_BP_E-32"/>
    <x v="0"/>
    <x v="13"/>
    <n v="0.28999999999999998"/>
    <n v="105.85"/>
    <n v="381.06"/>
  </r>
  <r>
    <x v="0"/>
    <x v="0"/>
    <x v="0"/>
    <x v="0"/>
    <x v="0"/>
    <s v="DK1_Medium"/>
    <x v="0"/>
    <x v="0"/>
    <s v="GNR_ENG_BGAS_BP_E-32"/>
    <x v="0"/>
    <x v="14"/>
    <n v="0.28999999999999998"/>
    <n v="105.85"/>
    <n v="381.06"/>
  </r>
  <r>
    <x v="0"/>
    <x v="0"/>
    <x v="0"/>
    <x v="0"/>
    <x v="0"/>
    <s v="DK1_Medium"/>
    <x v="0"/>
    <x v="0"/>
    <s v="GNR_ENG_BGAS_BP_E-32"/>
    <x v="0"/>
    <x v="15"/>
    <n v="0.28999999999999998"/>
    <n v="105.85"/>
    <n v="381.06"/>
  </r>
  <r>
    <x v="0"/>
    <x v="0"/>
    <x v="0"/>
    <x v="0"/>
    <x v="0"/>
    <s v="DK1_Medium"/>
    <x v="0"/>
    <x v="0"/>
    <s v="GNR_ENG_BGAS_BP_E-32"/>
    <x v="0"/>
    <x v="16"/>
    <n v="0.28999999999999998"/>
    <n v="105.85"/>
    <n v="381.06"/>
  </r>
  <r>
    <x v="0"/>
    <x v="0"/>
    <x v="0"/>
    <x v="0"/>
    <x v="0"/>
    <s v="DK1_Medium"/>
    <x v="0"/>
    <x v="0"/>
    <s v="GNR_ENG_BGAS_BP_E-32"/>
    <x v="0"/>
    <x v="17"/>
    <n v="0.28999999999999998"/>
    <n v="105.85"/>
    <n v="381.06"/>
  </r>
  <r>
    <x v="0"/>
    <x v="0"/>
    <x v="0"/>
    <x v="0"/>
    <x v="0"/>
    <s v="DK1_Medium"/>
    <x v="0"/>
    <x v="0"/>
    <s v="GNR_ENG_BGAS_BP_E-32"/>
    <x v="0"/>
    <x v="18"/>
    <n v="0.28999999999999998"/>
    <n v="105.85"/>
    <n v="381.06"/>
  </r>
  <r>
    <x v="0"/>
    <x v="0"/>
    <x v="0"/>
    <x v="0"/>
    <x v="0"/>
    <s v="DK1_Medium"/>
    <x v="0"/>
    <x v="0"/>
    <s v="GNR_ENG_BGAS_BP_E-32"/>
    <x v="0"/>
    <x v="19"/>
    <n v="0.28999999999999998"/>
    <n v="105.85"/>
    <n v="381.06"/>
  </r>
  <r>
    <x v="0"/>
    <x v="0"/>
    <x v="0"/>
    <x v="0"/>
    <x v="0"/>
    <s v="DK1_Medium"/>
    <x v="0"/>
    <x v="0"/>
    <s v="GNR_ENG_BGAS_BP_E-32"/>
    <x v="0"/>
    <x v="20"/>
    <n v="0.28999999999999998"/>
    <n v="105.85"/>
    <n v="381.06"/>
  </r>
  <r>
    <x v="0"/>
    <x v="0"/>
    <x v="0"/>
    <x v="0"/>
    <x v="0"/>
    <s v="DK1_Medium"/>
    <x v="0"/>
    <x v="0"/>
    <s v="GNR_ENG_BGAS_BP_E-32"/>
    <x v="0"/>
    <x v="21"/>
    <n v="0.28999999999999998"/>
    <n v="105.85"/>
    <n v="381.06"/>
  </r>
  <r>
    <x v="0"/>
    <x v="0"/>
    <x v="0"/>
    <x v="0"/>
    <x v="0"/>
    <s v="DK1_Medium"/>
    <x v="0"/>
    <x v="0"/>
    <s v="GNR_ENG_BGAS_BP_E-32"/>
    <x v="0"/>
    <x v="22"/>
    <n v="0.28999999999999998"/>
    <n v="105.85"/>
    <n v="381.06"/>
  </r>
  <r>
    <x v="0"/>
    <x v="0"/>
    <x v="0"/>
    <x v="0"/>
    <x v="0"/>
    <s v="DK1_Medium"/>
    <x v="0"/>
    <x v="0"/>
    <s v="GNR_ENG_BGAS_BP_E-32"/>
    <x v="0"/>
    <x v="23"/>
    <n v="0.28999999999999998"/>
    <n v="105.85"/>
    <n v="381.06"/>
  </r>
  <r>
    <x v="0"/>
    <x v="0"/>
    <x v="0"/>
    <x v="0"/>
    <x v="0"/>
    <s v="DK1_Medium"/>
    <x v="0"/>
    <x v="0"/>
    <s v="GNR_ENG_BGAS_BP_E-34"/>
    <x v="0"/>
    <x v="0"/>
    <n v="0.64"/>
    <n v="233.6"/>
    <n v="840.96"/>
  </r>
  <r>
    <x v="0"/>
    <x v="0"/>
    <x v="0"/>
    <x v="0"/>
    <x v="0"/>
    <s v="DK1_Medium"/>
    <x v="0"/>
    <x v="0"/>
    <s v="GNR_ENG_BGAS_BP_E-34"/>
    <x v="0"/>
    <x v="1"/>
    <n v="0.64"/>
    <n v="233.6"/>
    <n v="840.96"/>
  </r>
  <r>
    <x v="0"/>
    <x v="0"/>
    <x v="0"/>
    <x v="0"/>
    <x v="0"/>
    <s v="DK1_Medium"/>
    <x v="0"/>
    <x v="0"/>
    <s v="GNR_ENG_BGAS_BP_E-34"/>
    <x v="0"/>
    <x v="2"/>
    <n v="0.64"/>
    <n v="233.6"/>
    <n v="840.96"/>
  </r>
  <r>
    <x v="0"/>
    <x v="0"/>
    <x v="0"/>
    <x v="0"/>
    <x v="0"/>
    <s v="DK1_Medium"/>
    <x v="0"/>
    <x v="0"/>
    <s v="GNR_ENG_BGAS_BP_E-34"/>
    <x v="0"/>
    <x v="3"/>
    <n v="0.64"/>
    <n v="233.6"/>
    <n v="840.96"/>
  </r>
  <r>
    <x v="0"/>
    <x v="0"/>
    <x v="0"/>
    <x v="0"/>
    <x v="0"/>
    <s v="DK1_Medium"/>
    <x v="0"/>
    <x v="0"/>
    <s v="GNR_ENG_BGAS_BP_E-34"/>
    <x v="0"/>
    <x v="4"/>
    <n v="0.64"/>
    <n v="233.6"/>
    <n v="840.96"/>
  </r>
  <r>
    <x v="0"/>
    <x v="0"/>
    <x v="0"/>
    <x v="0"/>
    <x v="0"/>
    <s v="DK1_Medium"/>
    <x v="0"/>
    <x v="0"/>
    <s v="GNR_ENG_BGAS_BP_E-34"/>
    <x v="0"/>
    <x v="5"/>
    <n v="0.64"/>
    <n v="233.6"/>
    <n v="840.96"/>
  </r>
  <r>
    <x v="0"/>
    <x v="0"/>
    <x v="0"/>
    <x v="0"/>
    <x v="0"/>
    <s v="DK1_Medium"/>
    <x v="0"/>
    <x v="0"/>
    <s v="GNR_ENG_BGAS_BP_E-34"/>
    <x v="0"/>
    <x v="6"/>
    <n v="0.64"/>
    <n v="233.6"/>
    <n v="840.96"/>
  </r>
  <r>
    <x v="0"/>
    <x v="0"/>
    <x v="0"/>
    <x v="0"/>
    <x v="0"/>
    <s v="DK1_Medium"/>
    <x v="0"/>
    <x v="0"/>
    <s v="GNR_ENG_BGAS_BP_E-34"/>
    <x v="0"/>
    <x v="7"/>
    <n v="0.64"/>
    <n v="233.6"/>
    <n v="840.96"/>
  </r>
  <r>
    <x v="0"/>
    <x v="0"/>
    <x v="0"/>
    <x v="0"/>
    <x v="0"/>
    <s v="DK1_Medium"/>
    <x v="0"/>
    <x v="0"/>
    <s v="GNR_ENG_BGAS_BP_E-34"/>
    <x v="0"/>
    <x v="8"/>
    <n v="0.64"/>
    <n v="233.6"/>
    <n v="840.96"/>
  </r>
  <r>
    <x v="0"/>
    <x v="0"/>
    <x v="0"/>
    <x v="0"/>
    <x v="0"/>
    <s v="DK1_Medium"/>
    <x v="0"/>
    <x v="0"/>
    <s v="GNR_ENG_BGAS_BP_E-34"/>
    <x v="0"/>
    <x v="9"/>
    <n v="0.64"/>
    <n v="233.6"/>
    <n v="840.96"/>
  </r>
  <r>
    <x v="0"/>
    <x v="0"/>
    <x v="0"/>
    <x v="0"/>
    <x v="0"/>
    <s v="DK1_Medium"/>
    <x v="0"/>
    <x v="0"/>
    <s v="GNR_ENG_BGAS_BP_E-34"/>
    <x v="0"/>
    <x v="10"/>
    <n v="0.64"/>
    <n v="233.6"/>
    <n v="840.96"/>
  </r>
  <r>
    <x v="0"/>
    <x v="0"/>
    <x v="0"/>
    <x v="0"/>
    <x v="0"/>
    <s v="DK1_Medium"/>
    <x v="0"/>
    <x v="0"/>
    <s v="GNR_ENG_BGAS_BP_E-34"/>
    <x v="0"/>
    <x v="11"/>
    <n v="0.64"/>
    <n v="233.6"/>
    <n v="840.96"/>
  </r>
  <r>
    <x v="0"/>
    <x v="0"/>
    <x v="0"/>
    <x v="0"/>
    <x v="0"/>
    <s v="DK1_Medium"/>
    <x v="0"/>
    <x v="0"/>
    <s v="GNR_ENG_BGAS_BP_E-34"/>
    <x v="0"/>
    <x v="12"/>
    <n v="0.64"/>
    <n v="233.6"/>
    <n v="840.96"/>
  </r>
  <r>
    <x v="0"/>
    <x v="0"/>
    <x v="0"/>
    <x v="0"/>
    <x v="0"/>
    <s v="DK1_Medium"/>
    <x v="0"/>
    <x v="0"/>
    <s v="GNR_ENG_BGAS_BP_E-34"/>
    <x v="0"/>
    <x v="13"/>
    <n v="0.64"/>
    <n v="233.6"/>
    <n v="840.96"/>
  </r>
  <r>
    <x v="0"/>
    <x v="0"/>
    <x v="0"/>
    <x v="0"/>
    <x v="0"/>
    <s v="DK1_Medium"/>
    <x v="0"/>
    <x v="0"/>
    <s v="GNR_ENG_BGAS_BP_E-34"/>
    <x v="0"/>
    <x v="14"/>
    <n v="0.64"/>
    <n v="233.6"/>
    <n v="840.96"/>
  </r>
  <r>
    <x v="0"/>
    <x v="0"/>
    <x v="0"/>
    <x v="0"/>
    <x v="0"/>
    <s v="DK1_Medium"/>
    <x v="0"/>
    <x v="0"/>
    <s v="GNR_ENG_BGAS_BP_E-34"/>
    <x v="0"/>
    <x v="15"/>
    <n v="0.64"/>
    <n v="233.6"/>
    <n v="840.96"/>
  </r>
  <r>
    <x v="0"/>
    <x v="0"/>
    <x v="0"/>
    <x v="0"/>
    <x v="0"/>
    <s v="DK1_Medium"/>
    <x v="0"/>
    <x v="0"/>
    <s v="GNR_ENG_BGAS_BP_E-34"/>
    <x v="0"/>
    <x v="16"/>
    <n v="0.64"/>
    <n v="233.6"/>
    <n v="840.96"/>
  </r>
  <r>
    <x v="0"/>
    <x v="0"/>
    <x v="0"/>
    <x v="0"/>
    <x v="0"/>
    <s v="DK1_Medium"/>
    <x v="0"/>
    <x v="0"/>
    <s v="GNR_ENG_BGAS_BP_E-34"/>
    <x v="0"/>
    <x v="17"/>
    <n v="0.64"/>
    <n v="233.6"/>
    <n v="840.96"/>
  </r>
  <r>
    <x v="0"/>
    <x v="0"/>
    <x v="0"/>
    <x v="0"/>
    <x v="0"/>
    <s v="DK1_Medium"/>
    <x v="0"/>
    <x v="0"/>
    <s v="GNR_ENG_BGAS_BP_E-34"/>
    <x v="0"/>
    <x v="18"/>
    <n v="0.64"/>
    <n v="233.6"/>
    <n v="840.96"/>
  </r>
  <r>
    <x v="0"/>
    <x v="0"/>
    <x v="0"/>
    <x v="0"/>
    <x v="0"/>
    <s v="DK1_Medium"/>
    <x v="0"/>
    <x v="0"/>
    <s v="GNR_ENG_BGAS_BP_E-34"/>
    <x v="0"/>
    <x v="19"/>
    <n v="0.64"/>
    <n v="233.6"/>
    <n v="840.96"/>
  </r>
  <r>
    <x v="0"/>
    <x v="0"/>
    <x v="0"/>
    <x v="0"/>
    <x v="0"/>
    <s v="DK1_Medium"/>
    <x v="0"/>
    <x v="0"/>
    <s v="GNR_ENG_BGAS_BP_E-34"/>
    <x v="0"/>
    <x v="20"/>
    <n v="0.64"/>
    <n v="233.6"/>
    <n v="840.96"/>
  </r>
  <r>
    <x v="0"/>
    <x v="0"/>
    <x v="0"/>
    <x v="0"/>
    <x v="0"/>
    <s v="DK1_Medium"/>
    <x v="0"/>
    <x v="0"/>
    <s v="GNR_ENG_BGAS_BP_E-34"/>
    <x v="0"/>
    <x v="21"/>
    <n v="0.64"/>
    <n v="233.6"/>
    <n v="840.96"/>
  </r>
  <r>
    <x v="0"/>
    <x v="0"/>
    <x v="0"/>
    <x v="0"/>
    <x v="0"/>
    <s v="DK1_Medium"/>
    <x v="0"/>
    <x v="0"/>
    <s v="GNR_ENG_BGAS_BP_E-34"/>
    <x v="0"/>
    <x v="22"/>
    <n v="0.64"/>
    <n v="233.6"/>
    <n v="840.96"/>
  </r>
  <r>
    <x v="0"/>
    <x v="0"/>
    <x v="0"/>
    <x v="0"/>
    <x v="0"/>
    <s v="DK1_Medium"/>
    <x v="0"/>
    <x v="0"/>
    <s v="GNR_ENG_BGAS_BP_E-34"/>
    <x v="0"/>
    <x v="23"/>
    <n v="0.64"/>
    <n v="233.6"/>
    <n v="840.96"/>
  </r>
  <r>
    <x v="0"/>
    <x v="0"/>
    <x v="0"/>
    <x v="0"/>
    <x v="0"/>
    <s v="DK1_Medium"/>
    <x v="0"/>
    <x v="0"/>
    <s v="GNR_ENG_BGAS_BP_E-35"/>
    <x v="0"/>
    <x v="0"/>
    <n v="0.38"/>
    <n v="138.69999999999999"/>
    <n v="499.32"/>
  </r>
  <r>
    <x v="0"/>
    <x v="0"/>
    <x v="0"/>
    <x v="0"/>
    <x v="0"/>
    <s v="DK1_Medium"/>
    <x v="0"/>
    <x v="0"/>
    <s v="GNR_ENG_BGAS_BP_E-35"/>
    <x v="0"/>
    <x v="1"/>
    <n v="0.38"/>
    <n v="138.69999999999999"/>
    <n v="499.32"/>
  </r>
  <r>
    <x v="0"/>
    <x v="0"/>
    <x v="0"/>
    <x v="0"/>
    <x v="0"/>
    <s v="DK1_Medium"/>
    <x v="0"/>
    <x v="0"/>
    <s v="GNR_ENG_BGAS_BP_E-35"/>
    <x v="0"/>
    <x v="2"/>
    <n v="0.38"/>
    <n v="138.69999999999999"/>
    <n v="499.32"/>
  </r>
  <r>
    <x v="0"/>
    <x v="0"/>
    <x v="0"/>
    <x v="0"/>
    <x v="0"/>
    <s v="DK1_Medium"/>
    <x v="0"/>
    <x v="0"/>
    <s v="GNR_ENG_BGAS_BP_E-35"/>
    <x v="0"/>
    <x v="3"/>
    <n v="0.38"/>
    <n v="138.69999999999999"/>
    <n v="499.32"/>
  </r>
  <r>
    <x v="0"/>
    <x v="0"/>
    <x v="0"/>
    <x v="0"/>
    <x v="0"/>
    <s v="DK1_Medium"/>
    <x v="0"/>
    <x v="0"/>
    <s v="GNR_ENG_BGAS_BP_E-35"/>
    <x v="0"/>
    <x v="4"/>
    <n v="0.38"/>
    <n v="138.69999999999999"/>
    <n v="499.32"/>
  </r>
  <r>
    <x v="0"/>
    <x v="0"/>
    <x v="0"/>
    <x v="0"/>
    <x v="0"/>
    <s v="DK1_Medium"/>
    <x v="0"/>
    <x v="0"/>
    <s v="GNR_ENG_BGAS_BP_E-35"/>
    <x v="0"/>
    <x v="5"/>
    <n v="0.38"/>
    <n v="138.69999999999999"/>
    <n v="499.32"/>
  </r>
  <r>
    <x v="0"/>
    <x v="0"/>
    <x v="0"/>
    <x v="0"/>
    <x v="0"/>
    <s v="DK1_Medium"/>
    <x v="0"/>
    <x v="0"/>
    <s v="GNR_ENG_BGAS_BP_E-35"/>
    <x v="0"/>
    <x v="6"/>
    <n v="0.38"/>
    <n v="138.69999999999999"/>
    <n v="499.32"/>
  </r>
  <r>
    <x v="0"/>
    <x v="0"/>
    <x v="0"/>
    <x v="0"/>
    <x v="0"/>
    <s v="DK1_Medium"/>
    <x v="0"/>
    <x v="0"/>
    <s v="GNR_ENG_BGAS_BP_E-35"/>
    <x v="0"/>
    <x v="7"/>
    <n v="0.38"/>
    <n v="138.69999999999999"/>
    <n v="499.32"/>
  </r>
  <r>
    <x v="0"/>
    <x v="0"/>
    <x v="0"/>
    <x v="0"/>
    <x v="0"/>
    <s v="DK1_Medium"/>
    <x v="0"/>
    <x v="0"/>
    <s v="GNR_ENG_BGAS_BP_E-35"/>
    <x v="0"/>
    <x v="8"/>
    <n v="0.38"/>
    <n v="138.69999999999999"/>
    <n v="499.32"/>
  </r>
  <r>
    <x v="0"/>
    <x v="0"/>
    <x v="0"/>
    <x v="0"/>
    <x v="0"/>
    <s v="DK1_Medium"/>
    <x v="0"/>
    <x v="0"/>
    <s v="GNR_ENG_BGAS_BP_E-35"/>
    <x v="0"/>
    <x v="9"/>
    <n v="0.38"/>
    <n v="138.69999999999999"/>
    <n v="499.32"/>
  </r>
  <r>
    <x v="0"/>
    <x v="0"/>
    <x v="0"/>
    <x v="0"/>
    <x v="0"/>
    <s v="DK1_Medium"/>
    <x v="0"/>
    <x v="0"/>
    <s v="GNR_ENG_BGAS_BP_E-35"/>
    <x v="0"/>
    <x v="10"/>
    <n v="0.38"/>
    <n v="138.69999999999999"/>
    <n v="499.32"/>
  </r>
  <r>
    <x v="0"/>
    <x v="0"/>
    <x v="0"/>
    <x v="0"/>
    <x v="0"/>
    <s v="DK1_Medium"/>
    <x v="0"/>
    <x v="0"/>
    <s v="GNR_ENG_BGAS_BP_E-35"/>
    <x v="0"/>
    <x v="11"/>
    <n v="0.38"/>
    <n v="138.69999999999999"/>
    <n v="499.32"/>
  </r>
  <r>
    <x v="0"/>
    <x v="0"/>
    <x v="0"/>
    <x v="0"/>
    <x v="0"/>
    <s v="DK1_Medium"/>
    <x v="0"/>
    <x v="0"/>
    <s v="GNR_ENG_BGAS_BP_E-35"/>
    <x v="0"/>
    <x v="12"/>
    <n v="0.38"/>
    <n v="138.69999999999999"/>
    <n v="499.32"/>
  </r>
  <r>
    <x v="0"/>
    <x v="0"/>
    <x v="0"/>
    <x v="0"/>
    <x v="0"/>
    <s v="DK1_Medium"/>
    <x v="0"/>
    <x v="0"/>
    <s v="GNR_ENG_BGAS_BP_E-35"/>
    <x v="0"/>
    <x v="13"/>
    <n v="0.38"/>
    <n v="138.69999999999999"/>
    <n v="499.32"/>
  </r>
  <r>
    <x v="0"/>
    <x v="0"/>
    <x v="0"/>
    <x v="0"/>
    <x v="0"/>
    <s v="DK1_Medium"/>
    <x v="0"/>
    <x v="0"/>
    <s v="GNR_ENG_BGAS_BP_E-35"/>
    <x v="0"/>
    <x v="14"/>
    <n v="0.38"/>
    <n v="138.69999999999999"/>
    <n v="499.32"/>
  </r>
  <r>
    <x v="0"/>
    <x v="0"/>
    <x v="0"/>
    <x v="0"/>
    <x v="0"/>
    <s v="DK1_Medium"/>
    <x v="0"/>
    <x v="0"/>
    <s v="GNR_ENG_BGAS_BP_E-35"/>
    <x v="0"/>
    <x v="15"/>
    <n v="0.38"/>
    <n v="138.69999999999999"/>
    <n v="499.32"/>
  </r>
  <r>
    <x v="0"/>
    <x v="0"/>
    <x v="0"/>
    <x v="0"/>
    <x v="0"/>
    <s v="DK1_Medium"/>
    <x v="0"/>
    <x v="0"/>
    <s v="GNR_ENG_BGAS_BP_E-35"/>
    <x v="0"/>
    <x v="16"/>
    <n v="0.38"/>
    <n v="138.69999999999999"/>
    <n v="499.32"/>
  </r>
  <r>
    <x v="0"/>
    <x v="0"/>
    <x v="0"/>
    <x v="0"/>
    <x v="0"/>
    <s v="DK1_Medium"/>
    <x v="0"/>
    <x v="0"/>
    <s v="GNR_ENG_BGAS_BP_E-35"/>
    <x v="0"/>
    <x v="17"/>
    <n v="0.38"/>
    <n v="138.69999999999999"/>
    <n v="499.32"/>
  </r>
  <r>
    <x v="0"/>
    <x v="0"/>
    <x v="0"/>
    <x v="0"/>
    <x v="0"/>
    <s v="DK1_Medium"/>
    <x v="0"/>
    <x v="0"/>
    <s v="GNR_ENG_BGAS_BP_E-35"/>
    <x v="0"/>
    <x v="18"/>
    <n v="0.38"/>
    <n v="138.69999999999999"/>
    <n v="499.32"/>
  </r>
  <r>
    <x v="0"/>
    <x v="0"/>
    <x v="0"/>
    <x v="0"/>
    <x v="0"/>
    <s v="DK1_Medium"/>
    <x v="0"/>
    <x v="0"/>
    <s v="GNR_ENG_BGAS_BP_E-35"/>
    <x v="0"/>
    <x v="19"/>
    <n v="0.38"/>
    <n v="138.69999999999999"/>
    <n v="499.32"/>
  </r>
  <r>
    <x v="0"/>
    <x v="0"/>
    <x v="0"/>
    <x v="0"/>
    <x v="0"/>
    <s v="DK1_Medium"/>
    <x v="0"/>
    <x v="0"/>
    <s v="GNR_ENG_BGAS_BP_E-35"/>
    <x v="0"/>
    <x v="20"/>
    <n v="0.38"/>
    <n v="138.69999999999999"/>
    <n v="499.32"/>
  </r>
  <r>
    <x v="0"/>
    <x v="0"/>
    <x v="0"/>
    <x v="0"/>
    <x v="0"/>
    <s v="DK1_Medium"/>
    <x v="0"/>
    <x v="0"/>
    <s v="GNR_ENG_BGAS_BP_E-35"/>
    <x v="0"/>
    <x v="21"/>
    <n v="0.38"/>
    <n v="138.69999999999999"/>
    <n v="499.32"/>
  </r>
  <r>
    <x v="0"/>
    <x v="0"/>
    <x v="0"/>
    <x v="0"/>
    <x v="0"/>
    <s v="DK1_Medium"/>
    <x v="0"/>
    <x v="0"/>
    <s v="GNR_ENG_BGAS_BP_E-35"/>
    <x v="0"/>
    <x v="22"/>
    <n v="0.38"/>
    <n v="138.69999999999999"/>
    <n v="499.32"/>
  </r>
  <r>
    <x v="0"/>
    <x v="0"/>
    <x v="0"/>
    <x v="0"/>
    <x v="0"/>
    <s v="DK1_Medium"/>
    <x v="0"/>
    <x v="0"/>
    <s v="GNR_ENG_BGAS_BP_E-35"/>
    <x v="0"/>
    <x v="23"/>
    <n v="0.38"/>
    <n v="138.69999999999999"/>
    <n v="499.32"/>
  </r>
  <r>
    <x v="0"/>
    <x v="0"/>
    <x v="0"/>
    <x v="0"/>
    <x v="0"/>
    <s v="DK1_Medium"/>
    <x v="0"/>
    <x v="0"/>
    <s v="GNR_ENG_BGAS_BP_E-37"/>
    <x v="0"/>
    <x v="0"/>
    <n v="2.5"/>
    <n v="912.5"/>
    <n v="3285"/>
  </r>
  <r>
    <x v="0"/>
    <x v="0"/>
    <x v="0"/>
    <x v="0"/>
    <x v="0"/>
    <s v="DK1_Medium"/>
    <x v="0"/>
    <x v="0"/>
    <s v="GNR_ENG_BGAS_BP_E-37"/>
    <x v="0"/>
    <x v="1"/>
    <n v="2.5"/>
    <n v="912.5"/>
    <n v="3285"/>
  </r>
  <r>
    <x v="0"/>
    <x v="0"/>
    <x v="0"/>
    <x v="0"/>
    <x v="0"/>
    <s v="DK1_Medium"/>
    <x v="0"/>
    <x v="0"/>
    <s v="GNR_ENG_BGAS_BP_E-37"/>
    <x v="0"/>
    <x v="2"/>
    <n v="2.5"/>
    <n v="912.5"/>
    <n v="3285"/>
  </r>
  <r>
    <x v="0"/>
    <x v="0"/>
    <x v="0"/>
    <x v="0"/>
    <x v="0"/>
    <s v="DK1_Medium"/>
    <x v="0"/>
    <x v="0"/>
    <s v="GNR_ENG_BGAS_BP_E-37"/>
    <x v="0"/>
    <x v="3"/>
    <n v="2.5"/>
    <n v="912.5"/>
    <n v="3285"/>
  </r>
  <r>
    <x v="0"/>
    <x v="0"/>
    <x v="0"/>
    <x v="0"/>
    <x v="0"/>
    <s v="DK1_Medium"/>
    <x v="0"/>
    <x v="0"/>
    <s v="GNR_ENG_BGAS_BP_E-37"/>
    <x v="0"/>
    <x v="4"/>
    <n v="2.5"/>
    <n v="912.5"/>
    <n v="3285"/>
  </r>
  <r>
    <x v="0"/>
    <x v="0"/>
    <x v="0"/>
    <x v="0"/>
    <x v="0"/>
    <s v="DK1_Medium"/>
    <x v="0"/>
    <x v="0"/>
    <s v="GNR_ENG_BGAS_BP_E-37"/>
    <x v="0"/>
    <x v="5"/>
    <n v="2.5"/>
    <n v="912.5"/>
    <n v="3285"/>
  </r>
  <r>
    <x v="0"/>
    <x v="0"/>
    <x v="0"/>
    <x v="0"/>
    <x v="0"/>
    <s v="DK1_Medium"/>
    <x v="0"/>
    <x v="0"/>
    <s v="GNR_ENG_BGAS_BP_E-37"/>
    <x v="0"/>
    <x v="6"/>
    <n v="2.5"/>
    <n v="912.5"/>
    <n v="3285"/>
  </r>
  <r>
    <x v="0"/>
    <x v="0"/>
    <x v="0"/>
    <x v="0"/>
    <x v="0"/>
    <s v="DK1_Medium"/>
    <x v="0"/>
    <x v="0"/>
    <s v="GNR_ENG_BGAS_BP_E-37"/>
    <x v="0"/>
    <x v="7"/>
    <n v="2.5"/>
    <n v="912.5"/>
    <n v="3285"/>
  </r>
  <r>
    <x v="0"/>
    <x v="0"/>
    <x v="0"/>
    <x v="0"/>
    <x v="0"/>
    <s v="DK1_Medium"/>
    <x v="0"/>
    <x v="0"/>
    <s v="GNR_ENG_BGAS_BP_E-37"/>
    <x v="0"/>
    <x v="8"/>
    <n v="2.5"/>
    <n v="912.5"/>
    <n v="3285"/>
  </r>
  <r>
    <x v="0"/>
    <x v="0"/>
    <x v="0"/>
    <x v="0"/>
    <x v="0"/>
    <s v="DK1_Medium"/>
    <x v="0"/>
    <x v="0"/>
    <s v="GNR_ENG_BGAS_BP_E-37"/>
    <x v="0"/>
    <x v="9"/>
    <n v="2.5"/>
    <n v="912.5"/>
    <n v="3285"/>
  </r>
  <r>
    <x v="0"/>
    <x v="0"/>
    <x v="0"/>
    <x v="0"/>
    <x v="0"/>
    <s v="DK1_Medium"/>
    <x v="0"/>
    <x v="0"/>
    <s v="GNR_ENG_BGAS_BP_E-37"/>
    <x v="0"/>
    <x v="10"/>
    <n v="2.5"/>
    <n v="912.5"/>
    <n v="3285"/>
  </r>
  <r>
    <x v="0"/>
    <x v="0"/>
    <x v="0"/>
    <x v="0"/>
    <x v="0"/>
    <s v="DK1_Medium"/>
    <x v="0"/>
    <x v="0"/>
    <s v="GNR_ENG_BGAS_BP_E-37"/>
    <x v="0"/>
    <x v="11"/>
    <n v="2.5"/>
    <n v="912.5"/>
    <n v="3285"/>
  </r>
  <r>
    <x v="0"/>
    <x v="0"/>
    <x v="0"/>
    <x v="0"/>
    <x v="0"/>
    <s v="DK1_Medium"/>
    <x v="0"/>
    <x v="0"/>
    <s v="GNR_ENG_BGAS_BP_E-37"/>
    <x v="0"/>
    <x v="12"/>
    <n v="2.5"/>
    <n v="912.5"/>
    <n v="3285"/>
  </r>
  <r>
    <x v="0"/>
    <x v="0"/>
    <x v="0"/>
    <x v="0"/>
    <x v="0"/>
    <s v="DK1_Medium"/>
    <x v="0"/>
    <x v="0"/>
    <s v="GNR_ENG_BGAS_BP_E-37"/>
    <x v="0"/>
    <x v="13"/>
    <n v="2.5"/>
    <n v="912.5"/>
    <n v="3285"/>
  </r>
  <r>
    <x v="0"/>
    <x v="0"/>
    <x v="0"/>
    <x v="0"/>
    <x v="0"/>
    <s v="DK1_Medium"/>
    <x v="0"/>
    <x v="0"/>
    <s v="GNR_ENG_BGAS_BP_E-37"/>
    <x v="0"/>
    <x v="14"/>
    <n v="2.5"/>
    <n v="912.5"/>
    <n v="3285"/>
  </r>
  <r>
    <x v="0"/>
    <x v="0"/>
    <x v="0"/>
    <x v="0"/>
    <x v="0"/>
    <s v="DK1_Medium"/>
    <x v="0"/>
    <x v="0"/>
    <s v="GNR_ENG_BGAS_BP_E-37"/>
    <x v="0"/>
    <x v="15"/>
    <n v="2.5"/>
    <n v="912.5"/>
    <n v="3285"/>
  </r>
  <r>
    <x v="0"/>
    <x v="0"/>
    <x v="0"/>
    <x v="0"/>
    <x v="0"/>
    <s v="DK1_Medium"/>
    <x v="0"/>
    <x v="0"/>
    <s v="GNR_ENG_BGAS_BP_E-37"/>
    <x v="0"/>
    <x v="16"/>
    <n v="2.5"/>
    <n v="912.5"/>
    <n v="3285"/>
  </r>
  <r>
    <x v="0"/>
    <x v="0"/>
    <x v="0"/>
    <x v="0"/>
    <x v="0"/>
    <s v="DK1_Medium"/>
    <x v="0"/>
    <x v="0"/>
    <s v="GNR_ENG_BGAS_BP_E-37"/>
    <x v="0"/>
    <x v="17"/>
    <n v="2.5"/>
    <n v="912.5"/>
    <n v="3285"/>
  </r>
  <r>
    <x v="0"/>
    <x v="0"/>
    <x v="0"/>
    <x v="0"/>
    <x v="0"/>
    <s v="DK1_Medium"/>
    <x v="0"/>
    <x v="0"/>
    <s v="GNR_ENG_BGAS_BP_E-37"/>
    <x v="0"/>
    <x v="18"/>
    <n v="2.5"/>
    <n v="912.5"/>
    <n v="3285"/>
  </r>
  <r>
    <x v="0"/>
    <x v="0"/>
    <x v="0"/>
    <x v="0"/>
    <x v="0"/>
    <s v="DK1_Medium"/>
    <x v="0"/>
    <x v="0"/>
    <s v="GNR_ENG_BGAS_BP_E-37"/>
    <x v="0"/>
    <x v="19"/>
    <n v="2.5"/>
    <n v="912.5"/>
    <n v="3285"/>
  </r>
  <r>
    <x v="0"/>
    <x v="0"/>
    <x v="0"/>
    <x v="0"/>
    <x v="0"/>
    <s v="DK1_Medium"/>
    <x v="0"/>
    <x v="0"/>
    <s v="GNR_ENG_BGAS_BP_E-37"/>
    <x v="0"/>
    <x v="20"/>
    <n v="2.5"/>
    <n v="912.5"/>
    <n v="3285"/>
  </r>
  <r>
    <x v="0"/>
    <x v="0"/>
    <x v="0"/>
    <x v="0"/>
    <x v="0"/>
    <s v="DK1_Medium"/>
    <x v="0"/>
    <x v="0"/>
    <s v="GNR_ENG_BGAS_BP_E-37"/>
    <x v="0"/>
    <x v="21"/>
    <n v="2.5"/>
    <n v="912.5"/>
    <n v="3285"/>
  </r>
  <r>
    <x v="0"/>
    <x v="0"/>
    <x v="0"/>
    <x v="0"/>
    <x v="0"/>
    <s v="DK1_Medium"/>
    <x v="0"/>
    <x v="0"/>
    <s v="GNR_ENG_BGAS_BP_E-37"/>
    <x v="0"/>
    <x v="22"/>
    <n v="2.5"/>
    <n v="912.5"/>
    <n v="3285"/>
  </r>
  <r>
    <x v="0"/>
    <x v="0"/>
    <x v="0"/>
    <x v="0"/>
    <x v="0"/>
    <s v="DK1_Medium"/>
    <x v="0"/>
    <x v="0"/>
    <s v="GNR_ENG_BGAS_BP_E-37"/>
    <x v="0"/>
    <x v="23"/>
    <n v="2.5"/>
    <n v="912.5"/>
    <n v="3285"/>
  </r>
  <r>
    <x v="0"/>
    <x v="0"/>
    <x v="0"/>
    <x v="0"/>
    <x v="0"/>
    <s v="DK1_Medium"/>
    <x v="0"/>
    <x v="0"/>
    <s v="GNR_ENG_BGAS_BP_E-39"/>
    <x v="0"/>
    <x v="0"/>
    <n v="0.63"/>
    <n v="229.95"/>
    <n v="827.82"/>
  </r>
  <r>
    <x v="0"/>
    <x v="0"/>
    <x v="0"/>
    <x v="0"/>
    <x v="0"/>
    <s v="DK1_Medium"/>
    <x v="0"/>
    <x v="0"/>
    <s v="GNR_ENG_BGAS_BP_E-39"/>
    <x v="0"/>
    <x v="1"/>
    <n v="0.63"/>
    <n v="229.95"/>
    <n v="827.82"/>
  </r>
  <r>
    <x v="0"/>
    <x v="0"/>
    <x v="0"/>
    <x v="0"/>
    <x v="0"/>
    <s v="DK1_Medium"/>
    <x v="0"/>
    <x v="0"/>
    <s v="GNR_ENG_BGAS_BP_E-39"/>
    <x v="0"/>
    <x v="2"/>
    <n v="0.63"/>
    <n v="229.95"/>
    <n v="827.82"/>
  </r>
  <r>
    <x v="0"/>
    <x v="0"/>
    <x v="0"/>
    <x v="0"/>
    <x v="0"/>
    <s v="DK1_Medium"/>
    <x v="0"/>
    <x v="0"/>
    <s v="GNR_ENG_BGAS_BP_E-39"/>
    <x v="0"/>
    <x v="3"/>
    <n v="0.63"/>
    <n v="229.95"/>
    <n v="827.82"/>
  </r>
  <r>
    <x v="0"/>
    <x v="0"/>
    <x v="0"/>
    <x v="0"/>
    <x v="0"/>
    <s v="DK1_Medium"/>
    <x v="0"/>
    <x v="0"/>
    <s v="GNR_ENG_BGAS_BP_E-39"/>
    <x v="0"/>
    <x v="4"/>
    <n v="0.63"/>
    <n v="229.95"/>
    <n v="827.82"/>
  </r>
  <r>
    <x v="0"/>
    <x v="0"/>
    <x v="0"/>
    <x v="0"/>
    <x v="0"/>
    <s v="DK1_Medium"/>
    <x v="0"/>
    <x v="0"/>
    <s v="GNR_ENG_BGAS_BP_E-39"/>
    <x v="0"/>
    <x v="5"/>
    <n v="0.63"/>
    <n v="229.95"/>
    <n v="827.82"/>
  </r>
  <r>
    <x v="0"/>
    <x v="0"/>
    <x v="0"/>
    <x v="0"/>
    <x v="0"/>
    <s v="DK1_Medium"/>
    <x v="0"/>
    <x v="0"/>
    <s v="GNR_ENG_BGAS_BP_E-39"/>
    <x v="0"/>
    <x v="6"/>
    <n v="0.63"/>
    <n v="229.95"/>
    <n v="827.82"/>
  </r>
  <r>
    <x v="0"/>
    <x v="0"/>
    <x v="0"/>
    <x v="0"/>
    <x v="0"/>
    <s v="DK1_Medium"/>
    <x v="0"/>
    <x v="0"/>
    <s v="GNR_ENG_BGAS_BP_E-39"/>
    <x v="0"/>
    <x v="7"/>
    <n v="0.63"/>
    <n v="229.95"/>
    <n v="827.82"/>
  </r>
  <r>
    <x v="0"/>
    <x v="0"/>
    <x v="0"/>
    <x v="0"/>
    <x v="0"/>
    <s v="DK1_Medium"/>
    <x v="0"/>
    <x v="0"/>
    <s v="GNR_ENG_BGAS_BP_E-39"/>
    <x v="0"/>
    <x v="8"/>
    <n v="0.63"/>
    <n v="229.95"/>
    <n v="827.82"/>
  </r>
  <r>
    <x v="0"/>
    <x v="0"/>
    <x v="0"/>
    <x v="0"/>
    <x v="0"/>
    <s v="DK1_Medium"/>
    <x v="0"/>
    <x v="0"/>
    <s v="GNR_ENG_BGAS_BP_E-39"/>
    <x v="0"/>
    <x v="9"/>
    <n v="0.63"/>
    <n v="229.95"/>
    <n v="827.82"/>
  </r>
  <r>
    <x v="0"/>
    <x v="0"/>
    <x v="0"/>
    <x v="0"/>
    <x v="0"/>
    <s v="DK1_Medium"/>
    <x v="0"/>
    <x v="0"/>
    <s v="GNR_ENG_BGAS_BP_E-39"/>
    <x v="0"/>
    <x v="10"/>
    <n v="0.63"/>
    <n v="229.95"/>
    <n v="827.82"/>
  </r>
  <r>
    <x v="0"/>
    <x v="0"/>
    <x v="0"/>
    <x v="0"/>
    <x v="0"/>
    <s v="DK1_Medium"/>
    <x v="0"/>
    <x v="0"/>
    <s v="GNR_ENG_BGAS_BP_E-39"/>
    <x v="0"/>
    <x v="11"/>
    <n v="0.63"/>
    <n v="229.95"/>
    <n v="827.82"/>
  </r>
  <r>
    <x v="0"/>
    <x v="0"/>
    <x v="0"/>
    <x v="0"/>
    <x v="0"/>
    <s v="DK1_Medium"/>
    <x v="0"/>
    <x v="0"/>
    <s v="GNR_ENG_BGAS_BP_E-39"/>
    <x v="0"/>
    <x v="12"/>
    <n v="0.63"/>
    <n v="229.95"/>
    <n v="827.82"/>
  </r>
  <r>
    <x v="0"/>
    <x v="0"/>
    <x v="0"/>
    <x v="0"/>
    <x v="0"/>
    <s v="DK1_Medium"/>
    <x v="0"/>
    <x v="0"/>
    <s v="GNR_ENG_BGAS_BP_E-39"/>
    <x v="0"/>
    <x v="13"/>
    <n v="0.63"/>
    <n v="229.95"/>
    <n v="827.82"/>
  </r>
  <r>
    <x v="0"/>
    <x v="0"/>
    <x v="0"/>
    <x v="0"/>
    <x v="0"/>
    <s v="DK1_Medium"/>
    <x v="0"/>
    <x v="0"/>
    <s v="GNR_ENG_BGAS_BP_E-39"/>
    <x v="0"/>
    <x v="14"/>
    <n v="0.63"/>
    <n v="229.95"/>
    <n v="827.82"/>
  </r>
  <r>
    <x v="0"/>
    <x v="0"/>
    <x v="0"/>
    <x v="0"/>
    <x v="0"/>
    <s v="DK1_Medium"/>
    <x v="0"/>
    <x v="0"/>
    <s v="GNR_ENG_BGAS_BP_E-39"/>
    <x v="0"/>
    <x v="15"/>
    <n v="0.63"/>
    <n v="229.95"/>
    <n v="827.82"/>
  </r>
  <r>
    <x v="0"/>
    <x v="0"/>
    <x v="0"/>
    <x v="0"/>
    <x v="0"/>
    <s v="DK1_Medium"/>
    <x v="0"/>
    <x v="0"/>
    <s v="GNR_ENG_BGAS_BP_E-39"/>
    <x v="0"/>
    <x v="16"/>
    <n v="0.63"/>
    <n v="229.95"/>
    <n v="827.82"/>
  </r>
  <r>
    <x v="0"/>
    <x v="0"/>
    <x v="0"/>
    <x v="0"/>
    <x v="0"/>
    <s v="DK1_Medium"/>
    <x v="0"/>
    <x v="0"/>
    <s v="GNR_ENG_BGAS_BP_E-39"/>
    <x v="0"/>
    <x v="17"/>
    <n v="0.63"/>
    <n v="229.95"/>
    <n v="827.82"/>
  </r>
  <r>
    <x v="0"/>
    <x v="0"/>
    <x v="0"/>
    <x v="0"/>
    <x v="0"/>
    <s v="DK1_Medium"/>
    <x v="0"/>
    <x v="0"/>
    <s v="GNR_ENG_BGAS_BP_E-39"/>
    <x v="0"/>
    <x v="18"/>
    <n v="0.63"/>
    <n v="229.95"/>
    <n v="827.82"/>
  </r>
  <r>
    <x v="0"/>
    <x v="0"/>
    <x v="0"/>
    <x v="0"/>
    <x v="0"/>
    <s v="DK1_Medium"/>
    <x v="0"/>
    <x v="0"/>
    <s v="GNR_ENG_BGAS_BP_E-39"/>
    <x v="0"/>
    <x v="19"/>
    <n v="0.63"/>
    <n v="229.95"/>
    <n v="827.82"/>
  </r>
  <r>
    <x v="0"/>
    <x v="0"/>
    <x v="0"/>
    <x v="0"/>
    <x v="0"/>
    <s v="DK1_Medium"/>
    <x v="0"/>
    <x v="0"/>
    <s v="GNR_ENG_BGAS_BP_E-39"/>
    <x v="0"/>
    <x v="20"/>
    <n v="0.63"/>
    <n v="229.95"/>
    <n v="827.82"/>
  </r>
  <r>
    <x v="0"/>
    <x v="0"/>
    <x v="0"/>
    <x v="0"/>
    <x v="0"/>
    <s v="DK1_Medium"/>
    <x v="0"/>
    <x v="0"/>
    <s v="GNR_ENG_BGAS_BP_E-39"/>
    <x v="0"/>
    <x v="21"/>
    <n v="0.63"/>
    <n v="229.95"/>
    <n v="827.82"/>
  </r>
  <r>
    <x v="0"/>
    <x v="0"/>
    <x v="0"/>
    <x v="0"/>
    <x v="0"/>
    <s v="DK1_Medium"/>
    <x v="0"/>
    <x v="0"/>
    <s v="GNR_ENG_BGAS_BP_E-39"/>
    <x v="0"/>
    <x v="22"/>
    <n v="0.63"/>
    <n v="229.95"/>
    <n v="827.82"/>
  </r>
  <r>
    <x v="0"/>
    <x v="0"/>
    <x v="0"/>
    <x v="0"/>
    <x v="0"/>
    <s v="DK1_Medium"/>
    <x v="0"/>
    <x v="0"/>
    <s v="GNR_ENG_BGAS_BP_E-39"/>
    <x v="0"/>
    <x v="23"/>
    <n v="0.63"/>
    <n v="229.95"/>
    <n v="827.82"/>
  </r>
  <r>
    <x v="0"/>
    <x v="0"/>
    <x v="0"/>
    <x v="0"/>
    <x v="0"/>
    <s v="DK1_Medium"/>
    <x v="0"/>
    <x v="0"/>
    <s v="GNR_ENG_BGAS_BP_E-41"/>
    <x v="0"/>
    <x v="0"/>
    <n v="3.3170000000000002"/>
    <n v="1210.7049999999999"/>
    <n v="4358.5379999999996"/>
  </r>
  <r>
    <x v="0"/>
    <x v="0"/>
    <x v="0"/>
    <x v="0"/>
    <x v="0"/>
    <s v="DK1_Medium"/>
    <x v="0"/>
    <x v="0"/>
    <s v="GNR_ENG_BGAS_BP_E-41"/>
    <x v="0"/>
    <x v="1"/>
    <n v="3.3170000000000002"/>
    <n v="1210.7049999999999"/>
    <n v="4358.5379999999996"/>
  </r>
  <r>
    <x v="0"/>
    <x v="0"/>
    <x v="0"/>
    <x v="0"/>
    <x v="0"/>
    <s v="DK1_Medium"/>
    <x v="0"/>
    <x v="0"/>
    <s v="GNR_ENG_BGAS_BP_E-41"/>
    <x v="0"/>
    <x v="2"/>
    <n v="3.3170000000000002"/>
    <n v="1210.7049999999999"/>
    <n v="4358.5379999999996"/>
  </r>
  <r>
    <x v="0"/>
    <x v="0"/>
    <x v="0"/>
    <x v="0"/>
    <x v="0"/>
    <s v="DK1_Medium"/>
    <x v="0"/>
    <x v="0"/>
    <s v="GNR_ENG_BGAS_BP_E-41"/>
    <x v="0"/>
    <x v="3"/>
    <n v="3.3170000000000002"/>
    <n v="1210.7049999999999"/>
    <n v="4358.5379999999996"/>
  </r>
  <r>
    <x v="0"/>
    <x v="0"/>
    <x v="0"/>
    <x v="0"/>
    <x v="0"/>
    <s v="DK1_Medium"/>
    <x v="0"/>
    <x v="0"/>
    <s v="GNR_ENG_BGAS_BP_E-41"/>
    <x v="0"/>
    <x v="4"/>
    <n v="3.3170000000000002"/>
    <n v="1210.7049999999999"/>
    <n v="4358.5379999999996"/>
  </r>
  <r>
    <x v="0"/>
    <x v="0"/>
    <x v="0"/>
    <x v="0"/>
    <x v="0"/>
    <s v="DK1_Medium"/>
    <x v="0"/>
    <x v="0"/>
    <s v="GNR_ENG_BGAS_BP_E-41"/>
    <x v="0"/>
    <x v="5"/>
    <n v="3.3170000000000002"/>
    <n v="1210.7049999999999"/>
    <n v="4358.5379999999996"/>
  </r>
  <r>
    <x v="0"/>
    <x v="0"/>
    <x v="0"/>
    <x v="0"/>
    <x v="0"/>
    <s v="DK1_Medium"/>
    <x v="0"/>
    <x v="0"/>
    <s v="GNR_ENG_BGAS_BP_E-41"/>
    <x v="0"/>
    <x v="6"/>
    <n v="3.3170000000000002"/>
    <n v="1210.7049999999999"/>
    <n v="4358.5379999999996"/>
  </r>
  <r>
    <x v="0"/>
    <x v="0"/>
    <x v="0"/>
    <x v="0"/>
    <x v="0"/>
    <s v="DK1_Medium"/>
    <x v="0"/>
    <x v="0"/>
    <s v="GNR_ENG_BGAS_BP_E-41"/>
    <x v="0"/>
    <x v="7"/>
    <n v="3.3170000000000002"/>
    <n v="1210.7049999999999"/>
    <n v="4358.5379999999996"/>
  </r>
  <r>
    <x v="0"/>
    <x v="0"/>
    <x v="0"/>
    <x v="0"/>
    <x v="0"/>
    <s v="DK1_Medium"/>
    <x v="0"/>
    <x v="0"/>
    <s v="GNR_ENG_BGAS_BP_E-41"/>
    <x v="0"/>
    <x v="8"/>
    <n v="3.3170000000000002"/>
    <n v="1210.7049999999999"/>
    <n v="4358.5379999999996"/>
  </r>
  <r>
    <x v="0"/>
    <x v="0"/>
    <x v="0"/>
    <x v="0"/>
    <x v="0"/>
    <s v="DK1_Medium"/>
    <x v="0"/>
    <x v="0"/>
    <s v="GNR_ENG_BGAS_BP_E-41"/>
    <x v="0"/>
    <x v="9"/>
    <n v="3.3170000000000002"/>
    <n v="1210.7049999999999"/>
    <n v="4358.5379999999996"/>
  </r>
  <r>
    <x v="0"/>
    <x v="0"/>
    <x v="0"/>
    <x v="0"/>
    <x v="0"/>
    <s v="DK1_Medium"/>
    <x v="0"/>
    <x v="0"/>
    <s v="GNR_ENG_BGAS_BP_E-41"/>
    <x v="0"/>
    <x v="10"/>
    <n v="3.3170000000000002"/>
    <n v="1210.7049999999999"/>
    <n v="4358.5379999999996"/>
  </r>
  <r>
    <x v="0"/>
    <x v="0"/>
    <x v="0"/>
    <x v="0"/>
    <x v="0"/>
    <s v="DK1_Medium"/>
    <x v="0"/>
    <x v="0"/>
    <s v="GNR_ENG_BGAS_BP_E-41"/>
    <x v="0"/>
    <x v="11"/>
    <n v="3.3170000000000002"/>
    <n v="1210.7049999999999"/>
    <n v="4358.5379999999996"/>
  </r>
  <r>
    <x v="0"/>
    <x v="0"/>
    <x v="0"/>
    <x v="0"/>
    <x v="0"/>
    <s v="DK1_Medium"/>
    <x v="0"/>
    <x v="0"/>
    <s v="GNR_ENG_BGAS_BP_E-41"/>
    <x v="0"/>
    <x v="12"/>
    <n v="3.3170000000000002"/>
    <n v="1210.7049999999999"/>
    <n v="4358.5379999999996"/>
  </r>
  <r>
    <x v="0"/>
    <x v="0"/>
    <x v="0"/>
    <x v="0"/>
    <x v="0"/>
    <s v="DK1_Medium"/>
    <x v="0"/>
    <x v="0"/>
    <s v="GNR_ENG_BGAS_BP_E-41"/>
    <x v="0"/>
    <x v="13"/>
    <n v="3.3170000000000002"/>
    <n v="1210.7049999999999"/>
    <n v="4358.5379999999996"/>
  </r>
  <r>
    <x v="0"/>
    <x v="0"/>
    <x v="0"/>
    <x v="0"/>
    <x v="0"/>
    <s v="DK1_Medium"/>
    <x v="0"/>
    <x v="0"/>
    <s v="GNR_ENG_BGAS_BP_E-41"/>
    <x v="0"/>
    <x v="14"/>
    <n v="3.3170000000000002"/>
    <n v="1210.7049999999999"/>
    <n v="4358.5379999999996"/>
  </r>
  <r>
    <x v="0"/>
    <x v="0"/>
    <x v="0"/>
    <x v="0"/>
    <x v="0"/>
    <s v="DK1_Medium"/>
    <x v="0"/>
    <x v="0"/>
    <s v="GNR_ENG_BGAS_BP_E-41"/>
    <x v="0"/>
    <x v="15"/>
    <n v="3.3170000000000002"/>
    <n v="1210.7049999999999"/>
    <n v="4358.5379999999996"/>
  </r>
  <r>
    <x v="0"/>
    <x v="0"/>
    <x v="0"/>
    <x v="0"/>
    <x v="0"/>
    <s v="DK1_Medium"/>
    <x v="0"/>
    <x v="0"/>
    <s v="GNR_ENG_BGAS_BP_E-41"/>
    <x v="0"/>
    <x v="16"/>
    <n v="3.3170000000000002"/>
    <n v="1210.7049999999999"/>
    <n v="4358.5379999999996"/>
  </r>
  <r>
    <x v="0"/>
    <x v="0"/>
    <x v="0"/>
    <x v="0"/>
    <x v="0"/>
    <s v="DK1_Medium"/>
    <x v="0"/>
    <x v="0"/>
    <s v="GNR_ENG_BGAS_BP_E-41"/>
    <x v="0"/>
    <x v="17"/>
    <n v="3.3170000000000002"/>
    <n v="1210.7049999999999"/>
    <n v="4358.5379999999996"/>
  </r>
  <r>
    <x v="0"/>
    <x v="0"/>
    <x v="0"/>
    <x v="0"/>
    <x v="0"/>
    <s v="DK1_Medium"/>
    <x v="0"/>
    <x v="0"/>
    <s v="GNR_ENG_BGAS_BP_E-41"/>
    <x v="0"/>
    <x v="18"/>
    <n v="3.3170000000000002"/>
    <n v="1210.7049999999999"/>
    <n v="4358.5379999999996"/>
  </r>
  <r>
    <x v="0"/>
    <x v="0"/>
    <x v="0"/>
    <x v="0"/>
    <x v="0"/>
    <s v="DK1_Medium"/>
    <x v="0"/>
    <x v="0"/>
    <s v="GNR_ENG_BGAS_BP_E-41"/>
    <x v="0"/>
    <x v="19"/>
    <n v="3.3170000000000002"/>
    <n v="1210.7049999999999"/>
    <n v="4358.5379999999996"/>
  </r>
  <r>
    <x v="0"/>
    <x v="0"/>
    <x v="0"/>
    <x v="0"/>
    <x v="0"/>
    <s v="DK1_Medium"/>
    <x v="0"/>
    <x v="0"/>
    <s v="GNR_ENG_BGAS_BP_E-41"/>
    <x v="0"/>
    <x v="20"/>
    <n v="3.3170000000000002"/>
    <n v="1210.7049999999999"/>
    <n v="4358.5379999999996"/>
  </r>
  <r>
    <x v="0"/>
    <x v="0"/>
    <x v="0"/>
    <x v="0"/>
    <x v="0"/>
    <s v="DK1_Medium"/>
    <x v="0"/>
    <x v="0"/>
    <s v="GNR_ENG_BGAS_BP_E-41"/>
    <x v="0"/>
    <x v="21"/>
    <n v="3.3170000000000002"/>
    <n v="1210.7049999999999"/>
    <n v="4358.5379999999996"/>
  </r>
  <r>
    <x v="0"/>
    <x v="0"/>
    <x v="0"/>
    <x v="0"/>
    <x v="0"/>
    <s v="DK1_Medium"/>
    <x v="0"/>
    <x v="0"/>
    <s v="GNR_ENG_BGAS_BP_E-41"/>
    <x v="0"/>
    <x v="22"/>
    <n v="3.3170000000000002"/>
    <n v="1210.7049999999999"/>
    <n v="4358.5379999999996"/>
  </r>
  <r>
    <x v="0"/>
    <x v="0"/>
    <x v="0"/>
    <x v="0"/>
    <x v="0"/>
    <s v="DK1_Medium"/>
    <x v="0"/>
    <x v="0"/>
    <s v="GNR_ENG_BGAS_BP_E-41"/>
    <x v="0"/>
    <x v="23"/>
    <n v="3.3170000000000002"/>
    <n v="1210.7049999999999"/>
    <n v="4358.5379999999996"/>
  </r>
  <r>
    <x v="0"/>
    <x v="0"/>
    <x v="0"/>
    <x v="0"/>
    <x v="0"/>
    <s v="DK1_Medium"/>
    <x v="0"/>
    <x v="0"/>
    <s v="GNR_ENG_BGAS_BP_E-42"/>
    <x v="0"/>
    <x v="0"/>
    <n v="0.61"/>
    <n v="222.65"/>
    <n v="801.54"/>
  </r>
  <r>
    <x v="0"/>
    <x v="0"/>
    <x v="0"/>
    <x v="0"/>
    <x v="0"/>
    <s v="DK1_Medium"/>
    <x v="0"/>
    <x v="0"/>
    <s v="GNR_ENG_BGAS_BP_E-42"/>
    <x v="0"/>
    <x v="1"/>
    <n v="0.61"/>
    <n v="222.65"/>
    <n v="801.54"/>
  </r>
  <r>
    <x v="0"/>
    <x v="0"/>
    <x v="0"/>
    <x v="0"/>
    <x v="0"/>
    <s v="DK1_Medium"/>
    <x v="0"/>
    <x v="0"/>
    <s v="GNR_ENG_BGAS_BP_E-42"/>
    <x v="0"/>
    <x v="2"/>
    <n v="0.61"/>
    <n v="222.65"/>
    <n v="801.54"/>
  </r>
  <r>
    <x v="0"/>
    <x v="0"/>
    <x v="0"/>
    <x v="0"/>
    <x v="0"/>
    <s v="DK1_Medium"/>
    <x v="0"/>
    <x v="0"/>
    <s v="GNR_ENG_BGAS_BP_E-42"/>
    <x v="0"/>
    <x v="3"/>
    <n v="0.61"/>
    <n v="222.65"/>
    <n v="801.54"/>
  </r>
  <r>
    <x v="0"/>
    <x v="0"/>
    <x v="0"/>
    <x v="0"/>
    <x v="0"/>
    <s v="DK1_Medium"/>
    <x v="0"/>
    <x v="0"/>
    <s v="GNR_ENG_BGAS_BP_E-42"/>
    <x v="0"/>
    <x v="4"/>
    <n v="0.61"/>
    <n v="222.65"/>
    <n v="801.54"/>
  </r>
  <r>
    <x v="0"/>
    <x v="0"/>
    <x v="0"/>
    <x v="0"/>
    <x v="0"/>
    <s v="DK1_Medium"/>
    <x v="0"/>
    <x v="0"/>
    <s v="GNR_ENG_BGAS_BP_E-42"/>
    <x v="0"/>
    <x v="5"/>
    <n v="0.61"/>
    <n v="222.65"/>
    <n v="801.54"/>
  </r>
  <r>
    <x v="0"/>
    <x v="0"/>
    <x v="0"/>
    <x v="0"/>
    <x v="0"/>
    <s v="DK1_Medium"/>
    <x v="0"/>
    <x v="0"/>
    <s v="GNR_ENG_BGAS_BP_E-42"/>
    <x v="0"/>
    <x v="6"/>
    <n v="0.61"/>
    <n v="222.65"/>
    <n v="801.54"/>
  </r>
  <r>
    <x v="0"/>
    <x v="0"/>
    <x v="0"/>
    <x v="0"/>
    <x v="0"/>
    <s v="DK1_Medium"/>
    <x v="0"/>
    <x v="0"/>
    <s v="GNR_ENG_BGAS_BP_E-42"/>
    <x v="0"/>
    <x v="7"/>
    <n v="0.61"/>
    <n v="222.65"/>
    <n v="801.54"/>
  </r>
  <r>
    <x v="0"/>
    <x v="0"/>
    <x v="0"/>
    <x v="0"/>
    <x v="0"/>
    <s v="DK1_Medium"/>
    <x v="0"/>
    <x v="0"/>
    <s v="GNR_ENG_BGAS_BP_E-42"/>
    <x v="0"/>
    <x v="8"/>
    <n v="0.61"/>
    <n v="222.65"/>
    <n v="801.54"/>
  </r>
  <r>
    <x v="0"/>
    <x v="0"/>
    <x v="0"/>
    <x v="0"/>
    <x v="0"/>
    <s v="DK1_Medium"/>
    <x v="0"/>
    <x v="0"/>
    <s v="GNR_ENG_BGAS_BP_E-42"/>
    <x v="0"/>
    <x v="9"/>
    <n v="0.61"/>
    <n v="222.65"/>
    <n v="801.54"/>
  </r>
  <r>
    <x v="0"/>
    <x v="0"/>
    <x v="0"/>
    <x v="0"/>
    <x v="0"/>
    <s v="DK1_Medium"/>
    <x v="0"/>
    <x v="0"/>
    <s v="GNR_ENG_BGAS_BP_E-42"/>
    <x v="0"/>
    <x v="10"/>
    <n v="0.61"/>
    <n v="222.65"/>
    <n v="801.54"/>
  </r>
  <r>
    <x v="0"/>
    <x v="0"/>
    <x v="0"/>
    <x v="0"/>
    <x v="0"/>
    <s v="DK1_Medium"/>
    <x v="0"/>
    <x v="0"/>
    <s v="GNR_ENG_BGAS_BP_E-42"/>
    <x v="0"/>
    <x v="11"/>
    <n v="0.61"/>
    <n v="222.65"/>
    <n v="801.54"/>
  </r>
  <r>
    <x v="0"/>
    <x v="0"/>
    <x v="0"/>
    <x v="0"/>
    <x v="0"/>
    <s v="DK1_Medium"/>
    <x v="0"/>
    <x v="0"/>
    <s v="GNR_ENG_BGAS_BP_E-42"/>
    <x v="0"/>
    <x v="12"/>
    <n v="0.61"/>
    <n v="222.65"/>
    <n v="801.54"/>
  </r>
  <r>
    <x v="0"/>
    <x v="0"/>
    <x v="0"/>
    <x v="0"/>
    <x v="0"/>
    <s v="DK1_Medium"/>
    <x v="0"/>
    <x v="0"/>
    <s v="GNR_ENG_BGAS_BP_E-42"/>
    <x v="0"/>
    <x v="13"/>
    <n v="0.61"/>
    <n v="222.65"/>
    <n v="801.54"/>
  </r>
  <r>
    <x v="0"/>
    <x v="0"/>
    <x v="0"/>
    <x v="0"/>
    <x v="0"/>
    <s v="DK1_Medium"/>
    <x v="0"/>
    <x v="0"/>
    <s v="GNR_ENG_BGAS_BP_E-42"/>
    <x v="0"/>
    <x v="14"/>
    <n v="0.61"/>
    <n v="222.65"/>
    <n v="801.54"/>
  </r>
  <r>
    <x v="0"/>
    <x v="0"/>
    <x v="0"/>
    <x v="0"/>
    <x v="0"/>
    <s v="DK1_Medium"/>
    <x v="0"/>
    <x v="0"/>
    <s v="GNR_ENG_BGAS_BP_E-42"/>
    <x v="0"/>
    <x v="15"/>
    <n v="0.61"/>
    <n v="222.65"/>
    <n v="801.54"/>
  </r>
  <r>
    <x v="0"/>
    <x v="0"/>
    <x v="0"/>
    <x v="0"/>
    <x v="0"/>
    <s v="DK1_Medium"/>
    <x v="0"/>
    <x v="0"/>
    <s v="GNR_ENG_BGAS_BP_E-42"/>
    <x v="0"/>
    <x v="16"/>
    <n v="0.61"/>
    <n v="222.65"/>
    <n v="801.54"/>
  </r>
  <r>
    <x v="0"/>
    <x v="0"/>
    <x v="0"/>
    <x v="0"/>
    <x v="0"/>
    <s v="DK1_Medium"/>
    <x v="0"/>
    <x v="0"/>
    <s v="GNR_ENG_BGAS_BP_E-42"/>
    <x v="0"/>
    <x v="17"/>
    <n v="0.61"/>
    <n v="222.65"/>
    <n v="801.54"/>
  </r>
  <r>
    <x v="0"/>
    <x v="0"/>
    <x v="0"/>
    <x v="0"/>
    <x v="0"/>
    <s v="DK1_Medium"/>
    <x v="0"/>
    <x v="0"/>
    <s v="GNR_ENG_BGAS_BP_E-42"/>
    <x v="0"/>
    <x v="18"/>
    <n v="0.61"/>
    <n v="222.65"/>
    <n v="801.54"/>
  </r>
  <r>
    <x v="0"/>
    <x v="0"/>
    <x v="0"/>
    <x v="0"/>
    <x v="0"/>
    <s v="DK1_Medium"/>
    <x v="0"/>
    <x v="0"/>
    <s v="GNR_ENG_BGAS_BP_E-42"/>
    <x v="0"/>
    <x v="19"/>
    <n v="0.61"/>
    <n v="222.65"/>
    <n v="801.54"/>
  </r>
  <r>
    <x v="0"/>
    <x v="0"/>
    <x v="0"/>
    <x v="0"/>
    <x v="0"/>
    <s v="DK1_Medium"/>
    <x v="0"/>
    <x v="0"/>
    <s v="GNR_ENG_BGAS_BP_E-42"/>
    <x v="0"/>
    <x v="20"/>
    <n v="0.61"/>
    <n v="222.65"/>
    <n v="801.54"/>
  </r>
  <r>
    <x v="0"/>
    <x v="0"/>
    <x v="0"/>
    <x v="0"/>
    <x v="0"/>
    <s v="DK1_Medium"/>
    <x v="0"/>
    <x v="0"/>
    <s v="GNR_ENG_BGAS_BP_E-42"/>
    <x v="0"/>
    <x v="21"/>
    <n v="0.61"/>
    <n v="222.65"/>
    <n v="801.54"/>
  </r>
  <r>
    <x v="0"/>
    <x v="0"/>
    <x v="0"/>
    <x v="0"/>
    <x v="0"/>
    <s v="DK1_Medium"/>
    <x v="0"/>
    <x v="0"/>
    <s v="GNR_ENG_BGAS_BP_E-42"/>
    <x v="0"/>
    <x v="22"/>
    <n v="0.61"/>
    <n v="222.65"/>
    <n v="801.54"/>
  </r>
  <r>
    <x v="0"/>
    <x v="0"/>
    <x v="0"/>
    <x v="0"/>
    <x v="0"/>
    <s v="DK1_Medium"/>
    <x v="0"/>
    <x v="0"/>
    <s v="GNR_ENG_BGAS_BP_E-42"/>
    <x v="0"/>
    <x v="23"/>
    <n v="0.61"/>
    <n v="222.65"/>
    <n v="801.54"/>
  </r>
  <r>
    <x v="0"/>
    <x v="0"/>
    <x v="0"/>
    <x v="0"/>
    <x v="0"/>
    <s v="DK1_Medium"/>
    <x v="1"/>
    <x v="0"/>
    <s v="GNR_ST_MSW_BP_E-18"/>
    <x v="0"/>
    <x v="0"/>
    <n v="7"/>
    <n v="2555"/>
    <n v="9198"/>
  </r>
  <r>
    <x v="0"/>
    <x v="0"/>
    <x v="0"/>
    <x v="0"/>
    <x v="0"/>
    <s v="DK1_Medium"/>
    <x v="1"/>
    <x v="0"/>
    <s v="GNR_ST_MSW_BP_E-18"/>
    <x v="0"/>
    <x v="1"/>
    <n v="7"/>
    <n v="2555"/>
    <n v="9198"/>
  </r>
  <r>
    <x v="0"/>
    <x v="0"/>
    <x v="0"/>
    <x v="0"/>
    <x v="0"/>
    <s v="DK1_Medium"/>
    <x v="1"/>
    <x v="0"/>
    <s v="GNR_ST_MSW_BP_E-18"/>
    <x v="0"/>
    <x v="2"/>
    <n v="7"/>
    <n v="2555"/>
    <n v="9198"/>
  </r>
  <r>
    <x v="0"/>
    <x v="0"/>
    <x v="0"/>
    <x v="0"/>
    <x v="0"/>
    <s v="DK1_Medium"/>
    <x v="1"/>
    <x v="0"/>
    <s v="GNR_ST_MSW_BP_E-18"/>
    <x v="0"/>
    <x v="3"/>
    <n v="7"/>
    <n v="2555"/>
    <n v="9198"/>
  </r>
  <r>
    <x v="0"/>
    <x v="0"/>
    <x v="0"/>
    <x v="0"/>
    <x v="0"/>
    <s v="DK1_Medium"/>
    <x v="1"/>
    <x v="0"/>
    <s v="GNR_ST_MSW_BP_E-18"/>
    <x v="0"/>
    <x v="4"/>
    <n v="7"/>
    <n v="2555"/>
    <n v="9198"/>
  </r>
  <r>
    <x v="0"/>
    <x v="0"/>
    <x v="0"/>
    <x v="0"/>
    <x v="0"/>
    <s v="DK1_Medium"/>
    <x v="1"/>
    <x v="0"/>
    <s v="GNR_ST_MSW_BP_E-18"/>
    <x v="0"/>
    <x v="5"/>
    <n v="7"/>
    <n v="2555"/>
    <n v="9198"/>
  </r>
  <r>
    <x v="0"/>
    <x v="0"/>
    <x v="0"/>
    <x v="0"/>
    <x v="0"/>
    <s v="DK1_Medium"/>
    <x v="1"/>
    <x v="0"/>
    <s v="GNR_ST_MSW_BP_E-18"/>
    <x v="0"/>
    <x v="6"/>
    <n v="7"/>
    <n v="2555"/>
    <n v="9198"/>
  </r>
  <r>
    <x v="0"/>
    <x v="0"/>
    <x v="0"/>
    <x v="0"/>
    <x v="0"/>
    <s v="DK1_Medium"/>
    <x v="1"/>
    <x v="0"/>
    <s v="GNR_ST_MSW_BP_E-18"/>
    <x v="0"/>
    <x v="7"/>
    <n v="7"/>
    <n v="2555"/>
    <n v="9198"/>
  </r>
  <r>
    <x v="0"/>
    <x v="0"/>
    <x v="0"/>
    <x v="0"/>
    <x v="0"/>
    <s v="DK1_Medium"/>
    <x v="1"/>
    <x v="0"/>
    <s v="GNR_ST_MSW_BP_E-18"/>
    <x v="0"/>
    <x v="8"/>
    <n v="7"/>
    <n v="2555"/>
    <n v="9198"/>
  </r>
  <r>
    <x v="0"/>
    <x v="0"/>
    <x v="0"/>
    <x v="0"/>
    <x v="0"/>
    <s v="DK1_Medium"/>
    <x v="1"/>
    <x v="0"/>
    <s v="GNR_ST_MSW_BP_E-18"/>
    <x v="0"/>
    <x v="9"/>
    <n v="7"/>
    <n v="2555"/>
    <n v="9198"/>
  </r>
  <r>
    <x v="0"/>
    <x v="0"/>
    <x v="0"/>
    <x v="0"/>
    <x v="0"/>
    <s v="DK1_Medium"/>
    <x v="1"/>
    <x v="0"/>
    <s v="GNR_ST_MSW_BP_E-18"/>
    <x v="0"/>
    <x v="10"/>
    <n v="7"/>
    <n v="2555"/>
    <n v="9198"/>
  </r>
  <r>
    <x v="0"/>
    <x v="0"/>
    <x v="0"/>
    <x v="0"/>
    <x v="0"/>
    <s v="DK1_Medium"/>
    <x v="1"/>
    <x v="0"/>
    <s v="GNR_ST_MSW_BP_E-18"/>
    <x v="0"/>
    <x v="11"/>
    <n v="7"/>
    <n v="2555"/>
    <n v="9198"/>
  </r>
  <r>
    <x v="0"/>
    <x v="0"/>
    <x v="0"/>
    <x v="0"/>
    <x v="0"/>
    <s v="DK1_Medium"/>
    <x v="1"/>
    <x v="0"/>
    <s v="GNR_ST_MSW_BP_E-18"/>
    <x v="0"/>
    <x v="12"/>
    <n v="7"/>
    <n v="2555"/>
    <n v="9198"/>
  </r>
  <r>
    <x v="0"/>
    <x v="0"/>
    <x v="0"/>
    <x v="0"/>
    <x v="0"/>
    <s v="DK1_Medium"/>
    <x v="1"/>
    <x v="0"/>
    <s v="GNR_ST_MSW_BP_E-18"/>
    <x v="0"/>
    <x v="13"/>
    <n v="7"/>
    <n v="2555"/>
    <n v="9198"/>
  </r>
  <r>
    <x v="0"/>
    <x v="0"/>
    <x v="0"/>
    <x v="0"/>
    <x v="0"/>
    <s v="DK1_Medium"/>
    <x v="1"/>
    <x v="0"/>
    <s v="GNR_ST_MSW_BP_E-18"/>
    <x v="0"/>
    <x v="14"/>
    <n v="7"/>
    <n v="2555"/>
    <n v="9198"/>
  </r>
  <r>
    <x v="0"/>
    <x v="0"/>
    <x v="0"/>
    <x v="0"/>
    <x v="0"/>
    <s v="DK1_Medium"/>
    <x v="1"/>
    <x v="0"/>
    <s v="GNR_ST_MSW_BP_E-18"/>
    <x v="0"/>
    <x v="15"/>
    <n v="7"/>
    <n v="2555"/>
    <n v="9198"/>
  </r>
  <r>
    <x v="0"/>
    <x v="0"/>
    <x v="0"/>
    <x v="0"/>
    <x v="0"/>
    <s v="DK1_Medium"/>
    <x v="1"/>
    <x v="0"/>
    <s v="GNR_ST_MSW_BP_E-18"/>
    <x v="0"/>
    <x v="16"/>
    <n v="7"/>
    <n v="2555"/>
    <n v="9198"/>
  </r>
  <r>
    <x v="0"/>
    <x v="0"/>
    <x v="0"/>
    <x v="0"/>
    <x v="0"/>
    <s v="DK1_Medium"/>
    <x v="1"/>
    <x v="0"/>
    <s v="GNR_ST_MSW_BP_E-18"/>
    <x v="0"/>
    <x v="17"/>
    <n v="7"/>
    <n v="2555"/>
    <n v="9198"/>
  </r>
  <r>
    <x v="0"/>
    <x v="0"/>
    <x v="0"/>
    <x v="0"/>
    <x v="0"/>
    <s v="DK1_Medium"/>
    <x v="1"/>
    <x v="0"/>
    <s v="GNR_ST_MSW_BP_E-18"/>
    <x v="0"/>
    <x v="18"/>
    <n v="7"/>
    <n v="2555"/>
    <n v="9198"/>
  </r>
  <r>
    <x v="0"/>
    <x v="0"/>
    <x v="0"/>
    <x v="0"/>
    <x v="0"/>
    <s v="DK1_Medium"/>
    <x v="1"/>
    <x v="0"/>
    <s v="GNR_ST_MSW_BP_E-18"/>
    <x v="0"/>
    <x v="19"/>
    <n v="7"/>
    <n v="2555"/>
    <n v="9198"/>
  </r>
  <r>
    <x v="0"/>
    <x v="0"/>
    <x v="0"/>
    <x v="0"/>
    <x v="0"/>
    <s v="DK1_Medium"/>
    <x v="1"/>
    <x v="0"/>
    <s v="GNR_ST_MSW_BP_E-18"/>
    <x v="0"/>
    <x v="20"/>
    <n v="7"/>
    <n v="2555"/>
    <n v="9198"/>
  </r>
  <r>
    <x v="0"/>
    <x v="0"/>
    <x v="0"/>
    <x v="0"/>
    <x v="0"/>
    <s v="DK1_Medium"/>
    <x v="1"/>
    <x v="0"/>
    <s v="GNR_ST_MSW_BP_E-18"/>
    <x v="0"/>
    <x v="21"/>
    <n v="7"/>
    <n v="2555"/>
    <n v="9198"/>
  </r>
  <r>
    <x v="0"/>
    <x v="0"/>
    <x v="0"/>
    <x v="0"/>
    <x v="0"/>
    <s v="DK1_Medium"/>
    <x v="1"/>
    <x v="0"/>
    <s v="GNR_ST_MSW_BP_E-18"/>
    <x v="0"/>
    <x v="22"/>
    <n v="7"/>
    <n v="2555"/>
    <n v="9198"/>
  </r>
  <r>
    <x v="0"/>
    <x v="0"/>
    <x v="0"/>
    <x v="0"/>
    <x v="0"/>
    <s v="DK1_Medium"/>
    <x v="1"/>
    <x v="0"/>
    <s v="GNR_ST_MSW_BP_E-18"/>
    <x v="0"/>
    <x v="23"/>
    <n v="7"/>
    <n v="2555"/>
    <n v="9198"/>
  </r>
  <r>
    <x v="0"/>
    <x v="0"/>
    <x v="0"/>
    <x v="0"/>
    <x v="0"/>
    <s v="DK1_Medium"/>
    <x v="1"/>
    <x v="0"/>
    <s v="GNR_ST_MSW_BP_E-21"/>
    <x v="0"/>
    <x v="0"/>
    <n v="27"/>
    <n v="9855"/>
    <n v="35478"/>
  </r>
  <r>
    <x v="0"/>
    <x v="0"/>
    <x v="0"/>
    <x v="0"/>
    <x v="0"/>
    <s v="DK1_Medium"/>
    <x v="1"/>
    <x v="0"/>
    <s v="GNR_ST_MSW_BP_E-21"/>
    <x v="0"/>
    <x v="1"/>
    <n v="27"/>
    <n v="9855"/>
    <n v="35478"/>
  </r>
  <r>
    <x v="0"/>
    <x v="0"/>
    <x v="0"/>
    <x v="0"/>
    <x v="0"/>
    <s v="DK1_Medium"/>
    <x v="1"/>
    <x v="0"/>
    <s v="GNR_ST_MSW_BP_E-21"/>
    <x v="0"/>
    <x v="2"/>
    <n v="27"/>
    <n v="9855"/>
    <n v="35478"/>
  </r>
  <r>
    <x v="0"/>
    <x v="0"/>
    <x v="0"/>
    <x v="0"/>
    <x v="0"/>
    <s v="DK1_Medium"/>
    <x v="1"/>
    <x v="0"/>
    <s v="GNR_ST_MSW_BP_E-21"/>
    <x v="0"/>
    <x v="3"/>
    <n v="27"/>
    <n v="9855"/>
    <n v="35478"/>
  </r>
  <r>
    <x v="0"/>
    <x v="0"/>
    <x v="0"/>
    <x v="0"/>
    <x v="0"/>
    <s v="DK1_Medium"/>
    <x v="1"/>
    <x v="0"/>
    <s v="GNR_ST_MSW_BP_E-21"/>
    <x v="0"/>
    <x v="4"/>
    <n v="27"/>
    <n v="9855"/>
    <n v="35478"/>
  </r>
  <r>
    <x v="0"/>
    <x v="0"/>
    <x v="0"/>
    <x v="0"/>
    <x v="0"/>
    <s v="DK1_Medium"/>
    <x v="1"/>
    <x v="0"/>
    <s v="GNR_ST_MSW_BP_E-21"/>
    <x v="0"/>
    <x v="5"/>
    <n v="27"/>
    <n v="9855"/>
    <n v="35478"/>
  </r>
  <r>
    <x v="0"/>
    <x v="0"/>
    <x v="0"/>
    <x v="0"/>
    <x v="0"/>
    <s v="DK1_Medium"/>
    <x v="1"/>
    <x v="0"/>
    <s v="GNR_ST_MSW_BP_E-21"/>
    <x v="0"/>
    <x v="6"/>
    <n v="27"/>
    <n v="9855"/>
    <n v="35478"/>
  </r>
  <r>
    <x v="0"/>
    <x v="0"/>
    <x v="0"/>
    <x v="0"/>
    <x v="0"/>
    <s v="DK1_Medium"/>
    <x v="1"/>
    <x v="0"/>
    <s v="GNR_ST_MSW_BP_E-21"/>
    <x v="0"/>
    <x v="7"/>
    <n v="27"/>
    <n v="9855"/>
    <n v="35478"/>
  </r>
  <r>
    <x v="0"/>
    <x v="0"/>
    <x v="0"/>
    <x v="0"/>
    <x v="0"/>
    <s v="DK1_Medium"/>
    <x v="1"/>
    <x v="0"/>
    <s v="GNR_ST_MSW_BP_E-21"/>
    <x v="0"/>
    <x v="8"/>
    <n v="27"/>
    <n v="9855"/>
    <n v="35478"/>
  </r>
  <r>
    <x v="0"/>
    <x v="0"/>
    <x v="0"/>
    <x v="0"/>
    <x v="0"/>
    <s v="DK1_Medium"/>
    <x v="1"/>
    <x v="0"/>
    <s v="GNR_ST_MSW_BP_E-21"/>
    <x v="0"/>
    <x v="9"/>
    <n v="27"/>
    <n v="9855"/>
    <n v="35478"/>
  </r>
  <r>
    <x v="0"/>
    <x v="0"/>
    <x v="0"/>
    <x v="0"/>
    <x v="0"/>
    <s v="DK1_Medium"/>
    <x v="1"/>
    <x v="0"/>
    <s v="GNR_ST_MSW_BP_E-21"/>
    <x v="0"/>
    <x v="10"/>
    <n v="27"/>
    <n v="9855"/>
    <n v="35478"/>
  </r>
  <r>
    <x v="0"/>
    <x v="0"/>
    <x v="0"/>
    <x v="0"/>
    <x v="0"/>
    <s v="DK1_Medium"/>
    <x v="1"/>
    <x v="0"/>
    <s v="GNR_ST_MSW_BP_E-21"/>
    <x v="0"/>
    <x v="11"/>
    <n v="27"/>
    <n v="9855"/>
    <n v="35478"/>
  </r>
  <r>
    <x v="0"/>
    <x v="0"/>
    <x v="0"/>
    <x v="0"/>
    <x v="0"/>
    <s v="DK1_Medium"/>
    <x v="1"/>
    <x v="0"/>
    <s v="GNR_ST_MSW_BP_E-21"/>
    <x v="0"/>
    <x v="12"/>
    <n v="27"/>
    <n v="9855"/>
    <n v="35478"/>
  </r>
  <r>
    <x v="0"/>
    <x v="0"/>
    <x v="0"/>
    <x v="0"/>
    <x v="0"/>
    <s v="DK1_Medium"/>
    <x v="1"/>
    <x v="0"/>
    <s v="GNR_ST_MSW_BP_E-21"/>
    <x v="0"/>
    <x v="13"/>
    <n v="27"/>
    <n v="9855"/>
    <n v="35478"/>
  </r>
  <r>
    <x v="0"/>
    <x v="0"/>
    <x v="0"/>
    <x v="0"/>
    <x v="0"/>
    <s v="DK1_Medium"/>
    <x v="1"/>
    <x v="0"/>
    <s v="GNR_ST_MSW_BP_E-21"/>
    <x v="0"/>
    <x v="14"/>
    <n v="27"/>
    <n v="9855"/>
    <n v="35478"/>
  </r>
  <r>
    <x v="0"/>
    <x v="0"/>
    <x v="0"/>
    <x v="0"/>
    <x v="0"/>
    <s v="DK1_Medium"/>
    <x v="1"/>
    <x v="0"/>
    <s v="GNR_ST_MSW_BP_E-21"/>
    <x v="0"/>
    <x v="15"/>
    <n v="27"/>
    <n v="9855"/>
    <n v="35478"/>
  </r>
  <r>
    <x v="0"/>
    <x v="0"/>
    <x v="0"/>
    <x v="0"/>
    <x v="0"/>
    <s v="DK1_Medium"/>
    <x v="1"/>
    <x v="0"/>
    <s v="GNR_ST_MSW_BP_E-21"/>
    <x v="0"/>
    <x v="16"/>
    <n v="27"/>
    <n v="9855"/>
    <n v="35478"/>
  </r>
  <r>
    <x v="0"/>
    <x v="0"/>
    <x v="0"/>
    <x v="0"/>
    <x v="0"/>
    <s v="DK1_Medium"/>
    <x v="1"/>
    <x v="0"/>
    <s v="GNR_ST_MSW_BP_E-21"/>
    <x v="0"/>
    <x v="17"/>
    <n v="27"/>
    <n v="9855"/>
    <n v="35478"/>
  </r>
  <r>
    <x v="0"/>
    <x v="0"/>
    <x v="0"/>
    <x v="0"/>
    <x v="0"/>
    <s v="DK1_Medium"/>
    <x v="1"/>
    <x v="0"/>
    <s v="GNR_ST_MSW_BP_E-21"/>
    <x v="0"/>
    <x v="18"/>
    <n v="27"/>
    <n v="9855"/>
    <n v="35478"/>
  </r>
  <r>
    <x v="0"/>
    <x v="0"/>
    <x v="0"/>
    <x v="0"/>
    <x v="0"/>
    <s v="DK1_Medium"/>
    <x v="1"/>
    <x v="0"/>
    <s v="GNR_ST_MSW_BP_E-21"/>
    <x v="0"/>
    <x v="19"/>
    <n v="27"/>
    <n v="9855"/>
    <n v="35478"/>
  </r>
  <r>
    <x v="0"/>
    <x v="0"/>
    <x v="0"/>
    <x v="0"/>
    <x v="0"/>
    <s v="DK1_Medium"/>
    <x v="1"/>
    <x v="0"/>
    <s v="GNR_ST_MSW_BP_E-21"/>
    <x v="0"/>
    <x v="20"/>
    <n v="27"/>
    <n v="9855"/>
    <n v="35478"/>
  </r>
  <r>
    <x v="0"/>
    <x v="0"/>
    <x v="0"/>
    <x v="0"/>
    <x v="0"/>
    <s v="DK1_Medium"/>
    <x v="1"/>
    <x v="0"/>
    <s v="GNR_ST_MSW_BP_E-21"/>
    <x v="0"/>
    <x v="21"/>
    <n v="27"/>
    <n v="9855"/>
    <n v="35478"/>
  </r>
  <r>
    <x v="0"/>
    <x v="0"/>
    <x v="0"/>
    <x v="0"/>
    <x v="0"/>
    <s v="DK1_Medium"/>
    <x v="1"/>
    <x v="0"/>
    <s v="GNR_ST_MSW_BP_E-21"/>
    <x v="0"/>
    <x v="22"/>
    <n v="27"/>
    <n v="9855"/>
    <n v="35478"/>
  </r>
  <r>
    <x v="0"/>
    <x v="0"/>
    <x v="0"/>
    <x v="0"/>
    <x v="0"/>
    <s v="DK1_Medium"/>
    <x v="1"/>
    <x v="0"/>
    <s v="GNR_ST_MSW_BP_E-21"/>
    <x v="0"/>
    <x v="23"/>
    <n v="27"/>
    <n v="9855"/>
    <n v="35478"/>
  </r>
  <r>
    <x v="0"/>
    <x v="0"/>
    <x v="0"/>
    <x v="0"/>
    <x v="0"/>
    <s v="DK1_Medium"/>
    <x v="1"/>
    <x v="0"/>
    <s v="GNR_ST_MSW_BP_E-22"/>
    <x v="0"/>
    <x v="0"/>
    <n v="62.6"/>
    <n v="22849"/>
    <n v="82256.399999999994"/>
  </r>
  <r>
    <x v="0"/>
    <x v="0"/>
    <x v="0"/>
    <x v="0"/>
    <x v="0"/>
    <s v="DK1_Medium"/>
    <x v="1"/>
    <x v="0"/>
    <s v="GNR_ST_MSW_BP_E-22"/>
    <x v="0"/>
    <x v="1"/>
    <n v="62.6"/>
    <n v="22849"/>
    <n v="82256.399999999994"/>
  </r>
  <r>
    <x v="0"/>
    <x v="0"/>
    <x v="0"/>
    <x v="0"/>
    <x v="0"/>
    <s v="DK1_Medium"/>
    <x v="1"/>
    <x v="0"/>
    <s v="GNR_ST_MSW_BP_E-22"/>
    <x v="0"/>
    <x v="2"/>
    <n v="62.6"/>
    <n v="22849"/>
    <n v="82256.399999999994"/>
  </r>
  <r>
    <x v="0"/>
    <x v="0"/>
    <x v="0"/>
    <x v="0"/>
    <x v="0"/>
    <s v="DK1_Medium"/>
    <x v="1"/>
    <x v="0"/>
    <s v="GNR_ST_MSW_BP_E-22"/>
    <x v="0"/>
    <x v="3"/>
    <n v="62.6"/>
    <n v="22849"/>
    <n v="82256.399999999994"/>
  </r>
  <r>
    <x v="0"/>
    <x v="0"/>
    <x v="0"/>
    <x v="0"/>
    <x v="0"/>
    <s v="DK1_Medium"/>
    <x v="1"/>
    <x v="0"/>
    <s v="GNR_ST_MSW_BP_E-22"/>
    <x v="0"/>
    <x v="4"/>
    <n v="62.6"/>
    <n v="22849"/>
    <n v="82256.399999999994"/>
  </r>
  <r>
    <x v="0"/>
    <x v="0"/>
    <x v="0"/>
    <x v="0"/>
    <x v="0"/>
    <s v="DK1_Medium"/>
    <x v="1"/>
    <x v="0"/>
    <s v="GNR_ST_MSW_BP_E-22"/>
    <x v="0"/>
    <x v="5"/>
    <n v="62.6"/>
    <n v="22849"/>
    <n v="82256.399999999994"/>
  </r>
  <r>
    <x v="0"/>
    <x v="0"/>
    <x v="0"/>
    <x v="0"/>
    <x v="0"/>
    <s v="DK1_Medium"/>
    <x v="1"/>
    <x v="0"/>
    <s v="GNR_ST_MSW_BP_E-22"/>
    <x v="0"/>
    <x v="6"/>
    <n v="62.6"/>
    <n v="22849"/>
    <n v="82256.399999999994"/>
  </r>
  <r>
    <x v="0"/>
    <x v="0"/>
    <x v="0"/>
    <x v="0"/>
    <x v="0"/>
    <s v="DK1_Medium"/>
    <x v="1"/>
    <x v="0"/>
    <s v="GNR_ST_MSW_BP_E-22"/>
    <x v="0"/>
    <x v="7"/>
    <n v="62.6"/>
    <n v="22849"/>
    <n v="82256.399999999994"/>
  </r>
  <r>
    <x v="0"/>
    <x v="0"/>
    <x v="0"/>
    <x v="0"/>
    <x v="0"/>
    <s v="DK1_Medium"/>
    <x v="1"/>
    <x v="0"/>
    <s v="GNR_ST_MSW_BP_E-22"/>
    <x v="0"/>
    <x v="8"/>
    <n v="62.6"/>
    <n v="22849"/>
    <n v="82256.399999999994"/>
  </r>
  <r>
    <x v="0"/>
    <x v="0"/>
    <x v="0"/>
    <x v="0"/>
    <x v="0"/>
    <s v="DK1_Medium"/>
    <x v="1"/>
    <x v="0"/>
    <s v="GNR_ST_MSW_BP_E-22"/>
    <x v="0"/>
    <x v="9"/>
    <n v="62.6"/>
    <n v="22849"/>
    <n v="82256.399999999994"/>
  </r>
  <r>
    <x v="0"/>
    <x v="0"/>
    <x v="0"/>
    <x v="0"/>
    <x v="0"/>
    <s v="DK1_Medium"/>
    <x v="1"/>
    <x v="0"/>
    <s v="GNR_ST_MSW_BP_E-22"/>
    <x v="0"/>
    <x v="10"/>
    <n v="62.6"/>
    <n v="22849"/>
    <n v="82256.399999999994"/>
  </r>
  <r>
    <x v="0"/>
    <x v="0"/>
    <x v="0"/>
    <x v="0"/>
    <x v="0"/>
    <s v="DK1_Medium"/>
    <x v="1"/>
    <x v="0"/>
    <s v="GNR_ST_MSW_BP_E-22"/>
    <x v="0"/>
    <x v="11"/>
    <n v="62.6"/>
    <n v="22849"/>
    <n v="82256.399999999994"/>
  </r>
  <r>
    <x v="0"/>
    <x v="0"/>
    <x v="0"/>
    <x v="0"/>
    <x v="0"/>
    <s v="DK1_Medium"/>
    <x v="1"/>
    <x v="0"/>
    <s v="GNR_ST_MSW_BP_E-22"/>
    <x v="0"/>
    <x v="12"/>
    <n v="62.6"/>
    <n v="22849"/>
    <n v="82256.399999999994"/>
  </r>
  <r>
    <x v="0"/>
    <x v="0"/>
    <x v="0"/>
    <x v="0"/>
    <x v="0"/>
    <s v="DK1_Medium"/>
    <x v="1"/>
    <x v="0"/>
    <s v="GNR_ST_MSW_BP_E-22"/>
    <x v="0"/>
    <x v="13"/>
    <n v="62.6"/>
    <n v="22849"/>
    <n v="82256.399999999994"/>
  </r>
  <r>
    <x v="0"/>
    <x v="0"/>
    <x v="0"/>
    <x v="0"/>
    <x v="0"/>
    <s v="DK1_Medium"/>
    <x v="1"/>
    <x v="0"/>
    <s v="GNR_ST_MSW_BP_E-22"/>
    <x v="0"/>
    <x v="14"/>
    <n v="62.6"/>
    <n v="22849"/>
    <n v="82256.399999999994"/>
  </r>
  <r>
    <x v="0"/>
    <x v="0"/>
    <x v="0"/>
    <x v="0"/>
    <x v="0"/>
    <s v="DK1_Medium"/>
    <x v="1"/>
    <x v="0"/>
    <s v="GNR_ST_MSW_BP_E-22"/>
    <x v="0"/>
    <x v="15"/>
    <n v="62.6"/>
    <n v="22849"/>
    <n v="82256.399999999994"/>
  </r>
  <r>
    <x v="0"/>
    <x v="0"/>
    <x v="0"/>
    <x v="0"/>
    <x v="0"/>
    <s v="DK1_Medium"/>
    <x v="1"/>
    <x v="0"/>
    <s v="GNR_ST_MSW_BP_E-22"/>
    <x v="0"/>
    <x v="16"/>
    <n v="62.6"/>
    <n v="22849"/>
    <n v="82256.399999999994"/>
  </r>
  <r>
    <x v="0"/>
    <x v="0"/>
    <x v="0"/>
    <x v="0"/>
    <x v="0"/>
    <s v="DK1_Medium"/>
    <x v="1"/>
    <x v="0"/>
    <s v="GNR_ST_MSW_BP_E-22"/>
    <x v="0"/>
    <x v="17"/>
    <n v="62.6"/>
    <n v="22849"/>
    <n v="82256.399999999994"/>
  </r>
  <r>
    <x v="0"/>
    <x v="0"/>
    <x v="0"/>
    <x v="0"/>
    <x v="0"/>
    <s v="DK1_Medium"/>
    <x v="1"/>
    <x v="0"/>
    <s v="GNR_ST_MSW_BP_E-22"/>
    <x v="0"/>
    <x v="18"/>
    <n v="62.6"/>
    <n v="22849"/>
    <n v="82256.399999999994"/>
  </r>
  <r>
    <x v="0"/>
    <x v="0"/>
    <x v="0"/>
    <x v="0"/>
    <x v="0"/>
    <s v="DK1_Medium"/>
    <x v="1"/>
    <x v="0"/>
    <s v="GNR_ST_MSW_BP_E-22"/>
    <x v="0"/>
    <x v="19"/>
    <n v="62.6"/>
    <n v="22849"/>
    <n v="82256.399999999994"/>
  </r>
  <r>
    <x v="0"/>
    <x v="0"/>
    <x v="0"/>
    <x v="0"/>
    <x v="0"/>
    <s v="DK1_Medium"/>
    <x v="1"/>
    <x v="0"/>
    <s v="GNR_ST_MSW_BP_E-22"/>
    <x v="0"/>
    <x v="20"/>
    <n v="62.6"/>
    <n v="22849"/>
    <n v="82256.399999999994"/>
  </r>
  <r>
    <x v="0"/>
    <x v="0"/>
    <x v="0"/>
    <x v="0"/>
    <x v="0"/>
    <s v="DK1_Medium"/>
    <x v="1"/>
    <x v="0"/>
    <s v="GNR_ST_MSW_BP_E-22"/>
    <x v="0"/>
    <x v="21"/>
    <n v="62.6"/>
    <n v="22849"/>
    <n v="82256.399999999994"/>
  </r>
  <r>
    <x v="0"/>
    <x v="0"/>
    <x v="0"/>
    <x v="0"/>
    <x v="0"/>
    <s v="DK1_Medium"/>
    <x v="1"/>
    <x v="0"/>
    <s v="GNR_ST_MSW_BP_E-22"/>
    <x v="0"/>
    <x v="22"/>
    <n v="62.6"/>
    <n v="22849"/>
    <n v="82256.399999999994"/>
  </r>
  <r>
    <x v="0"/>
    <x v="0"/>
    <x v="0"/>
    <x v="0"/>
    <x v="0"/>
    <s v="DK1_Medium"/>
    <x v="1"/>
    <x v="0"/>
    <s v="GNR_ST_MSW_BP_E-22"/>
    <x v="0"/>
    <x v="23"/>
    <n v="62.6"/>
    <n v="22849"/>
    <n v="82256.399999999994"/>
  </r>
  <r>
    <x v="0"/>
    <x v="0"/>
    <x v="0"/>
    <x v="0"/>
    <x v="0"/>
    <s v="DK1_Medium"/>
    <x v="2"/>
    <x v="0"/>
    <s v="GNR_GT_NGAS_BP_E-47"/>
    <x v="0"/>
    <x v="7"/>
    <n v="63.2671826304136"/>
    <n v="23092.521660101"/>
    <n v="83133.077976363493"/>
  </r>
  <r>
    <x v="0"/>
    <x v="0"/>
    <x v="0"/>
    <x v="0"/>
    <x v="0"/>
    <s v="DK1_Medium"/>
    <x v="2"/>
    <x v="0"/>
    <s v="GNR_GT_NGAS_BP_E-47"/>
    <x v="0"/>
    <x v="8"/>
    <n v="9.2006733283528899"/>
    <n v="3358.2457648487998"/>
    <n v="12089.6847534557"/>
  </r>
  <r>
    <x v="0"/>
    <x v="0"/>
    <x v="0"/>
    <x v="0"/>
    <x v="0"/>
    <s v="DK1_Medium"/>
    <x v="4"/>
    <x v="0"/>
    <s v="GNR_ST_WOODCHI_BP_E-27"/>
    <x v="0"/>
    <x v="0"/>
    <n v="52"/>
    <n v="18980"/>
    <n v="68328"/>
  </r>
  <r>
    <x v="0"/>
    <x v="0"/>
    <x v="0"/>
    <x v="0"/>
    <x v="0"/>
    <s v="DK1_Medium"/>
    <x v="4"/>
    <x v="0"/>
    <s v="GNR_ST_WOODCHI_BP_E-27"/>
    <x v="0"/>
    <x v="1"/>
    <n v="52"/>
    <n v="18980"/>
    <n v="68328"/>
  </r>
  <r>
    <x v="0"/>
    <x v="0"/>
    <x v="0"/>
    <x v="0"/>
    <x v="0"/>
    <s v="DK1_Medium"/>
    <x v="4"/>
    <x v="0"/>
    <s v="GNR_ST_WOODCHI_BP_E-27"/>
    <x v="0"/>
    <x v="2"/>
    <n v="52"/>
    <n v="18980"/>
    <n v="68328"/>
  </r>
  <r>
    <x v="0"/>
    <x v="0"/>
    <x v="0"/>
    <x v="0"/>
    <x v="0"/>
    <s v="DK1_Medium"/>
    <x v="4"/>
    <x v="0"/>
    <s v="GNR_ST_WOODCHI_BP_E-27"/>
    <x v="0"/>
    <x v="3"/>
    <n v="52"/>
    <n v="18980"/>
    <n v="68328"/>
  </r>
  <r>
    <x v="0"/>
    <x v="0"/>
    <x v="0"/>
    <x v="0"/>
    <x v="0"/>
    <s v="DK1_Medium"/>
    <x v="4"/>
    <x v="0"/>
    <s v="GNR_ST_WOODCHI_BP_E-27"/>
    <x v="0"/>
    <x v="4"/>
    <n v="52"/>
    <n v="18980"/>
    <n v="68328"/>
  </r>
  <r>
    <x v="0"/>
    <x v="0"/>
    <x v="0"/>
    <x v="0"/>
    <x v="0"/>
    <s v="DK1_Medium"/>
    <x v="4"/>
    <x v="0"/>
    <s v="GNR_ST_WOODCHI_BP_E-27"/>
    <x v="0"/>
    <x v="5"/>
    <n v="52"/>
    <n v="18980"/>
    <n v="68328"/>
  </r>
  <r>
    <x v="0"/>
    <x v="0"/>
    <x v="0"/>
    <x v="0"/>
    <x v="0"/>
    <s v="DK1_Medium"/>
    <x v="4"/>
    <x v="0"/>
    <s v="GNR_ST_WOODCHI_BP_E-27"/>
    <x v="0"/>
    <x v="6"/>
    <n v="52"/>
    <n v="18980"/>
    <n v="68328"/>
  </r>
  <r>
    <x v="0"/>
    <x v="0"/>
    <x v="0"/>
    <x v="0"/>
    <x v="0"/>
    <s v="DK1_Medium"/>
    <x v="4"/>
    <x v="0"/>
    <s v="GNR_ST_WOODCHI_BP_E-27"/>
    <x v="0"/>
    <x v="7"/>
    <n v="52"/>
    <n v="18980"/>
    <n v="68328"/>
  </r>
  <r>
    <x v="0"/>
    <x v="0"/>
    <x v="0"/>
    <x v="0"/>
    <x v="0"/>
    <s v="DK1_Medium"/>
    <x v="4"/>
    <x v="0"/>
    <s v="GNR_ST_WOODCHI_BP_E-27"/>
    <x v="0"/>
    <x v="8"/>
    <n v="52"/>
    <n v="18980"/>
    <n v="68328"/>
  </r>
  <r>
    <x v="0"/>
    <x v="0"/>
    <x v="0"/>
    <x v="0"/>
    <x v="0"/>
    <s v="DK1_Medium"/>
    <x v="4"/>
    <x v="0"/>
    <s v="GNR_ST_WOODCHI_BP_E-27"/>
    <x v="0"/>
    <x v="9"/>
    <n v="52"/>
    <n v="18980"/>
    <n v="68328"/>
  </r>
  <r>
    <x v="0"/>
    <x v="0"/>
    <x v="0"/>
    <x v="0"/>
    <x v="0"/>
    <s v="DK1_Medium"/>
    <x v="4"/>
    <x v="0"/>
    <s v="GNR_ST_WOODCHI_BP_E-27"/>
    <x v="0"/>
    <x v="10"/>
    <n v="52"/>
    <n v="18980"/>
    <n v="68328"/>
  </r>
  <r>
    <x v="0"/>
    <x v="0"/>
    <x v="0"/>
    <x v="0"/>
    <x v="0"/>
    <s v="DK1_Medium"/>
    <x v="4"/>
    <x v="0"/>
    <s v="GNR_ST_WOODCHI_BP_E-27"/>
    <x v="0"/>
    <x v="11"/>
    <n v="52"/>
    <n v="18980"/>
    <n v="68328"/>
  </r>
  <r>
    <x v="0"/>
    <x v="0"/>
    <x v="0"/>
    <x v="0"/>
    <x v="0"/>
    <s v="DK1_Medium"/>
    <x v="4"/>
    <x v="0"/>
    <s v="GNR_ST_WOODCHI_BP_E-27"/>
    <x v="0"/>
    <x v="12"/>
    <n v="52"/>
    <n v="18980"/>
    <n v="68328"/>
  </r>
  <r>
    <x v="0"/>
    <x v="0"/>
    <x v="0"/>
    <x v="0"/>
    <x v="0"/>
    <s v="DK1_Medium"/>
    <x v="4"/>
    <x v="0"/>
    <s v="GNR_ST_WOODCHI_BP_E-27"/>
    <x v="0"/>
    <x v="13"/>
    <n v="52"/>
    <n v="18980"/>
    <n v="68328"/>
  </r>
  <r>
    <x v="0"/>
    <x v="0"/>
    <x v="0"/>
    <x v="0"/>
    <x v="0"/>
    <s v="DK1_Medium"/>
    <x v="4"/>
    <x v="0"/>
    <s v="GNR_ST_WOODCHI_BP_E-27"/>
    <x v="0"/>
    <x v="14"/>
    <n v="52"/>
    <n v="18980"/>
    <n v="68328"/>
  </r>
  <r>
    <x v="0"/>
    <x v="0"/>
    <x v="0"/>
    <x v="0"/>
    <x v="0"/>
    <s v="DK1_Medium"/>
    <x v="4"/>
    <x v="0"/>
    <s v="GNR_ST_WOODCHI_BP_E-27"/>
    <x v="0"/>
    <x v="15"/>
    <n v="52"/>
    <n v="18980"/>
    <n v="68328"/>
  </r>
  <r>
    <x v="0"/>
    <x v="0"/>
    <x v="0"/>
    <x v="0"/>
    <x v="0"/>
    <s v="DK1_Medium"/>
    <x v="4"/>
    <x v="0"/>
    <s v="GNR_ST_WOODCHI_BP_E-27"/>
    <x v="0"/>
    <x v="16"/>
    <n v="52"/>
    <n v="18980"/>
    <n v="68328"/>
  </r>
  <r>
    <x v="0"/>
    <x v="0"/>
    <x v="0"/>
    <x v="0"/>
    <x v="0"/>
    <s v="DK1_Medium"/>
    <x v="4"/>
    <x v="0"/>
    <s v="GNR_ST_WOODCHI_BP_E-27"/>
    <x v="0"/>
    <x v="17"/>
    <n v="52"/>
    <n v="18980"/>
    <n v="68328"/>
  </r>
  <r>
    <x v="0"/>
    <x v="0"/>
    <x v="0"/>
    <x v="0"/>
    <x v="0"/>
    <s v="DK1_Medium"/>
    <x v="4"/>
    <x v="0"/>
    <s v="GNR_ST_WOODCHI_BP_E-27"/>
    <x v="0"/>
    <x v="18"/>
    <n v="52"/>
    <n v="18980"/>
    <n v="68328"/>
  </r>
  <r>
    <x v="0"/>
    <x v="0"/>
    <x v="0"/>
    <x v="0"/>
    <x v="0"/>
    <s v="DK1_Medium"/>
    <x v="4"/>
    <x v="0"/>
    <s v="GNR_ST_WOODCHI_BP_E-27"/>
    <x v="0"/>
    <x v="19"/>
    <n v="52"/>
    <n v="18980"/>
    <n v="68328"/>
  </r>
  <r>
    <x v="0"/>
    <x v="0"/>
    <x v="0"/>
    <x v="0"/>
    <x v="0"/>
    <s v="DK1_Medium"/>
    <x v="4"/>
    <x v="0"/>
    <s v="GNR_ST_WOODCHI_BP_E-27"/>
    <x v="0"/>
    <x v="20"/>
    <n v="52"/>
    <n v="18980"/>
    <n v="68328"/>
  </r>
  <r>
    <x v="0"/>
    <x v="0"/>
    <x v="0"/>
    <x v="0"/>
    <x v="0"/>
    <s v="DK1_Medium"/>
    <x v="4"/>
    <x v="0"/>
    <s v="GNR_ST_WOODCHI_BP_E-27"/>
    <x v="0"/>
    <x v="21"/>
    <n v="52"/>
    <n v="18980"/>
    <n v="68328"/>
  </r>
  <r>
    <x v="0"/>
    <x v="0"/>
    <x v="0"/>
    <x v="0"/>
    <x v="0"/>
    <s v="DK1_Medium"/>
    <x v="4"/>
    <x v="0"/>
    <s v="GNR_ST_WOODCHI_BP_E-27"/>
    <x v="0"/>
    <x v="22"/>
    <n v="52"/>
    <n v="18980"/>
    <n v="68328"/>
  </r>
  <r>
    <x v="0"/>
    <x v="0"/>
    <x v="0"/>
    <x v="0"/>
    <x v="0"/>
    <s v="DK1_Medium"/>
    <x v="4"/>
    <x v="0"/>
    <s v="GNR_ST_WOODCHI_BP_E-27"/>
    <x v="0"/>
    <x v="23"/>
    <n v="52"/>
    <n v="18980"/>
    <n v="68328"/>
  </r>
  <r>
    <x v="0"/>
    <x v="0"/>
    <x v="0"/>
    <x v="0"/>
    <x v="0"/>
    <s v="DK1_Medium"/>
    <x v="4"/>
    <x v="0"/>
    <s v="GNR_ST_WOODCHI_BP_E-30"/>
    <x v="0"/>
    <x v="0"/>
    <n v="90.4"/>
    <n v="32996"/>
    <n v="118785.60000000001"/>
  </r>
  <r>
    <x v="0"/>
    <x v="0"/>
    <x v="0"/>
    <x v="0"/>
    <x v="0"/>
    <s v="DK1_Medium"/>
    <x v="4"/>
    <x v="0"/>
    <s v="GNR_ST_WOODCHI_BP_E-30"/>
    <x v="0"/>
    <x v="1"/>
    <n v="90.4"/>
    <n v="32996"/>
    <n v="118785.60000000001"/>
  </r>
  <r>
    <x v="0"/>
    <x v="0"/>
    <x v="0"/>
    <x v="0"/>
    <x v="0"/>
    <s v="DK1_Medium"/>
    <x v="4"/>
    <x v="0"/>
    <s v="GNR_ST_WOODCHI_BP_E-30"/>
    <x v="0"/>
    <x v="2"/>
    <n v="90.4"/>
    <n v="32996"/>
    <n v="118785.60000000001"/>
  </r>
  <r>
    <x v="0"/>
    <x v="0"/>
    <x v="0"/>
    <x v="0"/>
    <x v="0"/>
    <s v="DK1_Medium"/>
    <x v="4"/>
    <x v="0"/>
    <s v="GNR_ST_WOODCHI_BP_E-30"/>
    <x v="0"/>
    <x v="3"/>
    <n v="90.4"/>
    <n v="32996"/>
    <n v="118785.60000000001"/>
  </r>
  <r>
    <x v="0"/>
    <x v="0"/>
    <x v="0"/>
    <x v="0"/>
    <x v="0"/>
    <s v="DK1_Medium"/>
    <x v="4"/>
    <x v="0"/>
    <s v="GNR_ST_WOODCHI_BP_E-30"/>
    <x v="0"/>
    <x v="4"/>
    <n v="90.4"/>
    <n v="32996"/>
    <n v="118785.60000000001"/>
  </r>
  <r>
    <x v="0"/>
    <x v="0"/>
    <x v="0"/>
    <x v="0"/>
    <x v="0"/>
    <s v="DK1_Medium"/>
    <x v="4"/>
    <x v="0"/>
    <s v="GNR_ST_WOODCHI_BP_E-30"/>
    <x v="0"/>
    <x v="5"/>
    <n v="90.4"/>
    <n v="32996"/>
    <n v="118785.60000000001"/>
  </r>
  <r>
    <x v="0"/>
    <x v="0"/>
    <x v="0"/>
    <x v="0"/>
    <x v="0"/>
    <s v="DK1_Medium"/>
    <x v="4"/>
    <x v="0"/>
    <s v="GNR_ST_WOODCHI_BP_E-30"/>
    <x v="0"/>
    <x v="6"/>
    <n v="90.4"/>
    <n v="32996"/>
    <n v="118785.60000000001"/>
  </r>
  <r>
    <x v="0"/>
    <x v="0"/>
    <x v="0"/>
    <x v="0"/>
    <x v="0"/>
    <s v="DK1_Medium"/>
    <x v="4"/>
    <x v="0"/>
    <s v="GNR_ST_WOODCHI_BP_E-30"/>
    <x v="0"/>
    <x v="7"/>
    <n v="90.4"/>
    <n v="32996"/>
    <n v="118785.60000000001"/>
  </r>
  <r>
    <x v="0"/>
    <x v="0"/>
    <x v="0"/>
    <x v="0"/>
    <x v="0"/>
    <s v="DK1_Medium"/>
    <x v="4"/>
    <x v="0"/>
    <s v="GNR_ST_WOODCHI_BP_E-30"/>
    <x v="0"/>
    <x v="8"/>
    <n v="90.4"/>
    <n v="32996"/>
    <n v="118785.60000000001"/>
  </r>
  <r>
    <x v="0"/>
    <x v="0"/>
    <x v="0"/>
    <x v="0"/>
    <x v="0"/>
    <s v="DK1_Medium"/>
    <x v="4"/>
    <x v="0"/>
    <s v="GNR_ST_WOODCHI_BP_E-30"/>
    <x v="0"/>
    <x v="9"/>
    <n v="90.4"/>
    <n v="32996"/>
    <n v="118785.60000000001"/>
  </r>
  <r>
    <x v="0"/>
    <x v="0"/>
    <x v="0"/>
    <x v="0"/>
    <x v="0"/>
    <s v="DK1_Medium"/>
    <x v="4"/>
    <x v="0"/>
    <s v="GNR_ST_WOODCHI_BP_E-30"/>
    <x v="0"/>
    <x v="10"/>
    <n v="90.4"/>
    <n v="32996"/>
    <n v="118785.60000000001"/>
  </r>
  <r>
    <x v="0"/>
    <x v="0"/>
    <x v="0"/>
    <x v="0"/>
    <x v="0"/>
    <s v="DK1_Medium"/>
    <x v="4"/>
    <x v="0"/>
    <s v="GNR_ST_WOODCHI_BP_E-30"/>
    <x v="0"/>
    <x v="11"/>
    <n v="90.4"/>
    <n v="32996"/>
    <n v="118785.60000000001"/>
  </r>
  <r>
    <x v="0"/>
    <x v="0"/>
    <x v="0"/>
    <x v="0"/>
    <x v="0"/>
    <s v="DK1_Medium"/>
    <x v="4"/>
    <x v="0"/>
    <s v="GNR_ST_WOODCHI_BP_E-30"/>
    <x v="0"/>
    <x v="12"/>
    <n v="90.4"/>
    <n v="32996"/>
    <n v="118785.60000000001"/>
  </r>
  <r>
    <x v="0"/>
    <x v="0"/>
    <x v="0"/>
    <x v="0"/>
    <x v="0"/>
    <s v="DK1_Medium"/>
    <x v="4"/>
    <x v="0"/>
    <s v="GNR_ST_WOODCHI_BP_E-30"/>
    <x v="0"/>
    <x v="13"/>
    <n v="90.4"/>
    <n v="32996"/>
    <n v="118785.60000000001"/>
  </r>
  <r>
    <x v="0"/>
    <x v="0"/>
    <x v="0"/>
    <x v="0"/>
    <x v="0"/>
    <s v="DK1_Medium"/>
    <x v="4"/>
    <x v="0"/>
    <s v="GNR_ST_WOODCHI_BP_E-30"/>
    <x v="0"/>
    <x v="14"/>
    <n v="90.4"/>
    <n v="32996"/>
    <n v="118785.60000000001"/>
  </r>
  <r>
    <x v="0"/>
    <x v="0"/>
    <x v="0"/>
    <x v="0"/>
    <x v="0"/>
    <s v="DK1_Medium"/>
    <x v="4"/>
    <x v="0"/>
    <s v="GNR_ST_WOODCHI_BP_E-30"/>
    <x v="0"/>
    <x v="15"/>
    <n v="90.4"/>
    <n v="32996"/>
    <n v="118785.60000000001"/>
  </r>
  <r>
    <x v="0"/>
    <x v="0"/>
    <x v="0"/>
    <x v="0"/>
    <x v="0"/>
    <s v="DK1_Medium"/>
    <x v="4"/>
    <x v="0"/>
    <s v="GNR_ST_WOODCHI_BP_E-30"/>
    <x v="0"/>
    <x v="16"/>
    <n v="90.4"/>
    <n v="32996"/>
    <n v="118785.60000000001"/>
  </r>
  <r>
    <x v="0"/>
    <x v="0"/>
    <x v="0"/>
    <x v="0"/>
    <x v="0"/>
    <s v="DK1_Medium"/>
    <x v="4"/>
    <x v="0"/>
    <s v="GNR_ST_WOODCHI_BP_E-30"/>
    <x v="0"/>
    <x v="17"/>
    <n v="90.4"/>
    <n v="32996"/>
    <n v="118785.60000000001"/>
  </r>
  <r>
    <x v="0"/>
    <x v="0"/>
    <x v="0"/>
    <x v="0"/>
    <x v="0"/>
    <s v="DK1_Medium"/>
    <x v="4"/>
    <x v="0"/>
    <s v="GNR_ST_WOODCHI_BP_E-30"/>
    <x v="0"/>
    <x v="18"/>
    <n v="90.4"/>
    <n v="32996"/>
    <n v="118785.60000000001"/>
  </r>
  <r>
    <x v="0"/>
    <x v="0"/>
    <x v="0"/>
    <x v="0"/>
    <x v="0"/>
    <s v="DK1_Medium"/>
    <x v="4"/>
    <x v="0"/>
    <s v="GNR_ST_WOODCHI_BP_E-30"/>
    <x v="0"/>
    <x v="19"/>
    <n v="90.4"/>
    <n v="32996"/>
    <n v="118785.60000000001"/>
  </r>
  <r>
    <x v="0"/>
    <x v="0"/>
    <x v="0"/>
    <x v="0"/>
    <x v="0"/>
    <s v="DK1_Medium"/>
    <x v="4"/>
    <x v="0"/>
    <s v="GNR_ST_WOODCHI_BP_E-30"/>
    <x v="0"/>
    <x v="20"/>
    <n v="90.4"/>
    <n v="32996"/>
    <n v="118785.60000000001"/>
  </r>
  <r>
    <x v="0"/>
    <x v="0"/>
    <x v="0"/>
    <x v="0"/>
    <x v="0"/>
    <s v="DK1_Medium"/>
    <x v="4"/>
    <x v="0"/>
    <s v="GNR_ST_WOODCHI_BP_E-30"/>
    <x v="0"/>
    <x v="21"/>
    <n v="90.4"/>
    <n v="32996"/>
    <n v="118785.60000000001"/>
  </r>
  <r>
    <x v="0"/>
    <x v="0"/>
    <x v="0"/>
    <x v="0"/>
    <x v="0"/>
    <s v="DK1_Medium"/>
    <x v="4"/>
    <x v="0"/>
    <s v="GNR_ST_WOODCHI_BP_E-30"/>
    <x v="0"/>
    <x v="22"/>
    <n v="90.4"/>
    <n v="32996"/>
    <n v="118785.60000000001"/>
  </r>
  <r>
    <x v="0"/>
    <x v="0"/>
    <x v="0"/>
    <x v="0"/>
    <x v="0"/>
    <s v="DK1_Medium"/>
    <x v="4"/>
    <x v="0"/>
    <s v="GNR_ST_WOODCHI_BP_E-30"/>
    <x v="0"/>
    <x v="23"/>
    <n v="90.4"/>
    <n v="32996"/>
    <n v="118785.60000000001"/>
  </r>
  <r>
    <x v="0"/>
    <x v="0"/>
    <x v="0"/>
    <x v="0"/>
    <x v="0"/>
    <s v="DK1_NoDH"/>
    <x v="0"/>
    <x v="0"/>
    <s v="GNR_ENG_BGAS_BP_E-30"/>
    <x v="0"/>
    <x v="0"/>
    <n v="0.43"/>
    <n v="156.94999999999999"/>
    <n v="565.02"/>
  </r>
  <r>
    <x v="0"/>
    <x v="0"/>
    <x v="0"/>
    <x v="0"/>
    <x v="0"/>
    <s v="DK1_NoDH"/>
    <x v="0"/>
    <x v="0"/>
    <s v="GNR_ENG_BGAS_BP_E-30"/>
    <x v="0"/>
    <x v="1"/>
    <n v="0.43"/>
    <n v="156.94999999999999"/>
    <n v="565.02"/>
  </r>
  <r>
    <x v="0"/>
    <x v="0"/>
    <x v="0"/>
    <x v="0"/>
    <x v="0"/>
    <s v="DK1_NoDH"/>
    <x v="0"/>
    <x v="0"/>
    <s v="GNR_ENG_BGAS_BP_E-30"/>
    <x v="0"/>
    <x v="2"/>
    <n v="0.43"/>
    <n v="156.94999999999999"/>
    <n v="565.02"/>
  </r>
  <r>
    <x v="0"/>
    <x v="0"/>
    <x v="0"/>
    <x v="0"/>
    <x v="0"/>
    <s v="DK1_NoDH"/>
    <x v="0"/>
    <x v="0"/>
    <s v="GNR_ENG_BGAS_BP_E-30"/>
    <x v="0"/>
    <x v="3"/>
    <n v="0.43"/>
    <n v="156.94999999999999"/>
    <n v="565.02"/>
  </r>
  <r>
    <x v="0"/>
    <x v="0"/>
    <x v="0"/>
    <x v="0"/>
    <x v="0"/>
    <s v="DK1_NoDH"/>
    <x v="0"/>
    <x v="0"/>
    <s v="GNR_ENG_BGAS_BP_E-30"/>
    <x v="0"/>
    <x v="4"/>
    <n v="0.43"/>
    <n v="156.94999999999999"/>
    <n v="565.02"/>
  </r>
  <r>
    <x v="0"/>
    <x v="0"/>
    <x v="0"/>
    <x v="0"/>
    <x v="0"/>
    <s v="DK1_NoDH"/>
    <x v="0"/>
    <x v="0"/>
    <s v="GNR_ENG_BGAS_BP_E-30"/>
    <x v="0"/>
    <x v="5"/>
    <n v="0.43"/>
    <n v="156.94999999999999"/>
    <n v="565.02"/>
  </r>
  <r>
    <x v="0"/>
    <x v="0"/>
    <x v="0"/>
    <x v="0"/>
    <x v="0"/>
    <s v="DK1_NoDH"/>
    <x v="0"/>
    <x v="0"/>
    <s v="GNR_ENG_BGAS_BP_E-30"/>
    <x v="0"/>
    <x v="6"/>
    <n v="0.43"/>
    <n v="156.94999999999999"/>
    <n v="565.02"/>
  </r>
  <r>
    <x v="0"/>
    <x v="0"/>
    <x v="0"/>
    <x v="0"/>
    <x v="0"/>
    <s v="DK1_NoDH"/>
    <x v="0"/>
    <x v="0"/>
    <s v="GNR_ENG_BGAS_BP_E-30"/>
    <x v="0"/>
    <x v="7"/>
    <n v="0.43"/>
    <n v="156.94999999999999"/>
    <n v="565.02"/>
  </r>
  <r>
    <x v="0"/>
    <x v="0"/>
    <x v="0"/>
    <x v="0"/>
    <x v="0"/>
    <s v="DK1_NoDH"/>
    <x v="0"/>
    <x v="0"/>
    <s v="GNR_ENG_BGAS_BP_E-30"/>
    <x v="0"/>
    <x v="8"/>
    <n v="0.43"/>
    <n v="156.94999999999999"/>
    <n v="565.02"/>
  </r>
  <r>
    <x v="0"/>
    <x v="0"/>
    <x v="0"/>
    <x v="0"/>
    <x v="0"/>
    <s v="DK1_NoDH"/>
    <x v="0"/>
    <x v="0"/>
    <s v="GNR_ENG_BGAS_BP_E-30"/>
    <x v="0"/>
    <x v="9"/>
    <n v="0.43"/>
    <n v="156.94999999999999"/>
    <n v="565.02"/>
  </r>
  <r>
    <x v="0"/>
    <x v="0"/>
    <x v="0"/>
    <x v="0"/>
    <x v="0"/>
    <s v="DK1_NoDH"/>
    <x v="0"/>
    <x v="0"/>
    <s v="GNR_ENG_BGAS_BP_E-30"/>
    <x v="0"/>
    <x v="10"/>
    <n v="0.43"/>
    <n v="156.94999999999999"/>
    <n v="565.02"/>
  </r>
  <r>
    <x v="0"/>
    <x v="0"/>
    <x v="0"/>
    <x v="0"/>
    <x v="0"/>
    <s v="DK1_NoDH"/>
    <x v="0"/>
    <x v="0"/>
    <s v="GNR_ENG_BGAS_BP_E-30"/>
    <x v="0"/>
    <x v="11"/>
    <n v="0.43"/>
    <n v="156.94999999999999"/>
    <n v="565.02"/>
  </r>
  <r>
    <x v="0"/>
    <x v="0"/>
    <x v="0"/>
    <x v="0"/>
    <x v="0"/>
    <s v="DK1_NoDH"/>
    <x v="0"/>
    <x v="0"/>
    <s v="GNR_ENG_BGAS_BP_E-30"/>
    <x v="0"/>
    <x v="12"/>
    <n v="0.43"/>
    <n v="156.94999999999999"/>
    <n v="565.02"/>
  </r>
  <r>
    <x v="0"/>
    <x v="0"/>
    <x v="0"/>
    <x v="0"/>
    <x v="0"/>
    <s v="DK1_NoDH"/>
    <x v="0"/>
    <x v="0"/>
    <s v="GNR_ENG_BGAS_BP_E-30"/>
    <x v="0"/>
    <x v="13"/>
    <n v="0.43"/>
    <n v="156.94999999999999"/>
    <n v="565.02"/>
  </r>
  <r>
    <x v="0"/>
    <x v="0"/>
    <x v="0"/>
    <x v="0"/>
    <x v="0"/>
    <s v="DK1_NoDH"/>
    <x v="0"/>
    <x v="0"/>
    <s v="GNR_ENG_BGAS_BP_E-30"/>
    <x v="0"/>
    <x v="14"/>
    <n v="0.43"/>
    <n v="156.94999999999999"/>
    <n v="565.02"/>
  </r>
  <r>
    <x v="0"/>
    <x v="0"/>
    <x v="0"/>
    <x v="0"/>
    <x v="0"/>
    <s v="DK1_NoDH"/>
    <x v="0"/>
    <x v="0"/>
    <s v="GNR_ENG_BGAS_BP_E-30"/>
    <x v="0"/>
    <x v="15"/>
    <n v="0.43"/>
    <n v="156.94999999999999"/>
    <n v="565.02"/>
  </r>
  <r>
    <x v="0"/>
    <x v="0"/>
    <x v="0"/>
    <x v="0"/>
    <x v="0"/>
    <s v="DK1_NoDH"/>
    <x v="0"/>
    <x v="0"/>
    <s v="GNR_ENG_BGAS_BP_E-30"/>
    <x v="0"/>
    <x v="16"/>
    <n v="0.43"/>
    <n v="156.94999999999999"/>
    <n v="565.02"/>
  </r>
  <r>
    <x v="0"/>
    <x v="0"/>
    <x v="0"/>
    <x v="0"/>
    <x v="0"/>
    <s v="DK1_NoDH"/>
    <x v="0"/>
    <x v="0"/>
    <s v="GNR_ENG_BGAS_BP_E-30"/>
    <x v="0"/>
    <x v="17"/>
    <n v="0.43"/>
    <n v="156.94999999999999"/>
    <n v="565.02"/>
  </r>
  <r>
    <x v="0"/>
    <x v="0"/>
    <x v="0"/>
    <x v="0"/>
    <x v="0"/>
    <s v="DK1_NoDH"/>
    <x v="0"/>
    <x v="0"/>
    <s v="GNR_ENG_BGAS_BP_E-30"/>
    <x v="0"/>
    <x v="18"/>
    <n v="0.43"/>
    <n v="156.94999999999999"/>
    <n v="565.02"/>
  </r>
  <r>
    <x v="0"/>
    <x v="0"/>
    <x v="0"/>
    <x v="0"/>
    <x v="0"/>
    <s v="DK1_NoDH"/>
    <x v="0"/>
    <x v="0"/>
    <s v="GNR_ENG_BGAS_BP_E-30"/>
    <x v="0"/>
    <x v="19"/>
    <n v="0.43"/>
    <n v="156.94999999999999"/>
    <n v="565.02"/>
  </r>
  <r>
    <x v="0"/>
    <x v="0"/>
    <x v="0"/>
    <x v="0"/>
    <x v="0"/>
    <s v="DK1_NoDH"/>
    <x v="0"/>
    <x v="0"/>
    <s v="GNR_ENG_BGAS_BP_E-30"/>
    <x v="0"/>
    <x v="20"/>
    <n v="0.43"/>
    <n v="156.94999999999999"/>
    <n v="565.02"/>
  </r>
  <r>
    <x v="0"/>
    <x v="0"/>
    <x v="0"/>
    <x v="0"/>
    <x v="0"/>
    <s v="DK1_NoDH"/>
    <x v="0"/>
    <x v="0"/>
    <s v="GNR_ENG_BGAS_BP_E-30"/>
    <x v="0"/>
    <x v="21"/>
    <n v="0.43"/>
    <n v="156.94999999999999"/>
    <n v="565.02"/>
  </r>
  <r>
    <x v="0"/>
    <x v="0"/>
    <x v="0"/>
    <x v="0"/>
    <x v="0"/>
    <s v="DK1_NoDH"/>
    <x v="0"/>
    <x v="0"/>
    <s v="GNR_ENG_BGAS_BP_E-30"/>
    <x v="0"/>
    <x v="22"/>
    <n v="0.43"/>
    <n v="156.94999999999999"/>
    <n v="565.02"/>
  </r>
  <r>
    <x v="0"/>
    <x v="0"/>
    <x v="0"/>
    <x v="0"/>
    <x v="0"/>
    <s v="DK1_NoDH"/>
    <x v="0"/>
    <x v="0"/>
    <s v="GNR_ENG_BGAS_BP_E-30"/>
    <x v="0"/>
    <x v="23"/>
    <n v="0.43"/>
    <n v="156.94999999999999"/>
    <n v="565.02"/>
  </r>
  <r>
    <x v="0"/>
    <x v="0"/>
    <x v="0"/>
    <x v="0"/>
    <x v="0"/>
    <s v="DK1_NoDH"/>
    <x v="0"/>
    <x v="0"/>
    <s v="GNR_ENG_BGAS_BP_E-31"/>
    <x v="0"/>
    <x v="0"/>
    <n v="0.47"/>
    <n v="171.55"/>
    <n v="617.58000000000004"/>
  </r>
  <r>
    <x v="0"/>
    <x v="0"/>
    <x v="0"/>
    <x v="0"/>
    <x v="0"/>
    <s v="DK1_NoDH"/>
    <x v="0"/>
    <x v="0"/>
    <s v="GNR_ENG_BGAS_BP_E-31"/>
    <x v="0"/>
    <x v="1"/>
    <n v="0.47"/>
    <n v="171.55"/>
    <n v="617.58000000000004"/>
  </r>
  <r>
    <x v="0"/>
    <x v="0"/>
    <x v="0"/>
    <x v="0"/>
    <x v="0"/>
    <s v="DK1_NoDH"/>
    <x v="0"/>
    <x v="0"/>
    <s v="GNR_ENG_BGAS_BP_E-31"/>
    <x v="0"/>
    <x v="2"/>
    <n v="0.47"/>
    <n v="171.55"/>
    <n v="617.58000000000004"/>
  </r>
  <r>
    <x v="0"/>
    <x v="0"/>
    <x v="0"/>
    <x v="0"/>
    <x v="0"/>
    <s v="DK1_NoDH"/>
    <x v="0"/>
    <x v="0"/>
    <s v="GNR_ENG_BGAS_BP_E-31"/>
    <x v="0"/>
    <x v="3"/>
    <n v="0.47"/>
    <n v="171.55"/>
    <n v="617.58000000000004"/>
  </r>
  <r>
    <x v="0"/>
    <x v="0"/>
    <x v="0"/>
    <x v="0"/>
    <x v="0"/>
    <s v="DK1_NoDH"/>
    <x v="0"/>
    <x v="0"/>
    <s v="GNR_ENG_BGAS_BP_E-31"/>
    <x v="0"/>
    <x v="4"/>
    <n v="0.47"/>
    <n v="171.55"/>
    <n v="617.58000000000004"/>
  </r>
  <r>
    <x v="0"/>
    <x v="0"/>
    <x v="0"/>
    <x v="0"/>
    <x v="0"/>
    <s v="DK1_NoDH"/>
    <x v="0"/>
    <x v="0"/>
    <s v="GNR_ENG_BGAS_BP_E-31"/>
    <x v="0"/>
    <x v="5"/>
    <n v="0.47"/>
    <n v="171.55"/>
    <n v="617.58000000000004"/>
  </r>
  <r>
    <x v="0"/>
    <x v="0"/>
    <x v="0"/>
    <x v="0"/>
    <x v="0"/>
    <s v="DK1_NoDH"/>
    <x v="0"/>
    <x v="0"/>
    <s v="GNR_ENG_BGAS_BP_E-31"/>
    <x v="0"/>
    <x v="6"/>
    <n v="0.47"/>
    <n v="171.55"/>
    <n v="617.58000000000004"/>
  </r>
  <r>
    <x v="0"/>
    <x v="0"/>
    <x v="0"/>
    <x v="0"/>
    <x v="0"/>
    <s v="DK1_NoDH"/>
    <x v="0"/>
    <x v="0"/>
    <s v="GNR_ENG_BGAS_BP_E-31"/>
    <x v="0"/>
    <x v="7"/>
    <n v="0.47"/>
    <n v="171.55"/>
    <n v="617.58000000000004"/>
  </r>
  <r>
    <x v="0"/>
    <x v="0"/>
    <x v="0"/>
    <x v="0"/>
    <x v="0"/>
    <s v="DK1_NoDH"/>
    <x v="0"/>
    <x v="0"/>
    <s v="GNR_ENG_BGAS_BP_E-31"/>
    <x v="0"/>
    <x v="8"/>
    <n v="0.47"/>
    <n v="171.55"/>
    <n v="617.58000000000004"/>
  </r>
  <r>
    <x v="0"/>
    <x v="0"/>
    <x v="0"/>
    <x v="0"/>
    <x v="0"/>
    <s v="DK1_NoDH"/>
    <x v="0"/>
    <x v="0"/>
    <s v="GNR_ENG_BGAS_BP_E-31"/>
    <x v="0"/>
    <x v="9"/>
    <n v="0.47"/>
    <n v="171.55"/>
    <n v="617.58000000000004"/>
  </r>
  <r>
    <x v="0"/>
    <x v="0"/>
    <x v="0"/>
    <x v="0"/>
    <x v="0"/>
    <s v="DK1_NoDH"/>
    <x v="0"/>
    <x v="0"/>
    <s v="GNR_ENG_BGAS_BP_E-31"/>
    <x v="0"/>
    <x v="10"/>
    <n v="0.47"/>
    <n v="171.55"/>
    <n v="617.58000000000004"/>
  </r>
  <r>
    <x v="0"/>
    <x v="0"/>
    <x v="0"/>
    <x v="0"/>
    <x v="0"/>
    <s v="DK1_NoDH"/>
    <x v="0"/>
    <x v="0"/>
    <s v="GNR_ENG_BGAS_BP_E-31"/>
    <x v="0"/>
    <x v="11"/>
    <n v="0.47"/>
    <n v="171.55"/>
    <n v="617.58000000000004"/>
  </r>
  <r>
    <x v="0"/>
    <x v="0"/>
    <x v="0"/>
    <x v="0"/>
    <x v="0"/>
    <s v="DK1_NoDH"/>
    <x v="0"/>
    <x v="0"/>
    <s v="GNR_ENG_BGAS_BP_E-31"/>
    <x v="0"/>
    <x v="12"/>
    <n v="0.47"/>
    <n v="171.55"/>
    <n v="617.58000000000004"/>
  </r>
  <r>
    <x v="0"/>
    <x v="0"/>
    <x v="0"/>
    <x v="0"/>
    <x v="0"/>
    <s v="DK1_NoDH"/>
    <x v="0"/>
    <x v="0"/>
    <s v="GNR_ENG_BGAS_BP_E-31"/>
    <x v="0"/>
    <x v="13"/>
    <n v="0.47"/>
    <n v="171.55"/>
    <n v="617.58000000000004"/>
  </r>
  <r>
    <x v="0"/>
    <x v="0"/>
    <x v="0"/>
    <x v="0"/>
    <x v="0"/>
    <s v="DK1_NoDH"/>
    <x v="0"/>
    <x v="0"/>
    <s v="GNR_ENG_BGAS_BP_E-31"/>
    <x v="0"/>
    <x v="14"/>
    <n v="0.47"/>
    <n v="171.55"/>
    <n v="617.58000000000004"/>
  </r>
  <r>
    <x v="0"/>
    <x v="0"/>
    <x v="0"/>
    <x v="0"/>
    <x v="0"/>
    <s v="DK1_NoDH"/>
    <x v="0"/>
    <x v="0"/>
    <s v="GNR_ENG_BGAS_BP_E-31"/>
    <x v="0"/>
    <x v="15"/>
    <n v="0.47"/>
    <n v="171.55"/>
    <n v="617.58000000000004"/>
  </r>
  <r>
    <x v="0"/>
    <x v="0"/>
    <x v="0"/>
    <x v="0"/>
    <x v="0"/>
    <s v="DK1_NoDH"/>
    <x v="0"/>
    <x v="0"/>
    <s v="GNR_ENG_BGAS_BP_E-31"/>
    <x v="0"/>
    <x v="16"/>
    <n v="0.47"/>
    <n v="171.55"/>
    <n v="617.58000000000004"/>
  </r>
  <r>
    <x v="0"/>
    <x v="0"/>
    <x v="0"/>
    <x v="0"/>
    <x v="0"/>
    <s v="DK1_NoDH"/>
    <x v="0"/>
    <x v="0"/>
    <s v="GNR_ENG_BGAS_BP_E-31"/>
    <x v="0"/>
    <x v="17"/>
    <n v="0.47"/>
    <n v="171.55"/>
    <n v="617.58000000000004"/>
  </r>
  <r>
    <x v="0"/>
    <x v="0"/>
    <x v="0"/>
    <x v="0"/>
    <x v="0"/>
    <s v="DK1_NoDH"/>
    <x v="0"/>
    <x v="0"/>
    <s v="GNR_ENG_BGAS_BP_E-31"/>
    <x v="0"/>
    <x v="18"/>
    <n v="0.47"/>
    <n v="171.55"/>
    <n v="617.58000000000004"/>
  </r>
  <r>
    <x v="0"/>
    <x v="0"/>
    <x v="0"/>
    <x v="0"/>
    <x v="0"/>
    <s v="DK1_NoDH"/>
    <x v="0"/>
    <x v="0"/>
    <s v="GNR_ENG_BGAS_BP_E-31"/>
    <x v="0"/>
    <x v="19"/>
    <n v="0.47"/>
    <n v="171.55"/>
    <n v="617.58000000000004"/>
  </r>
  <r>
    <x v="0"/>
    <x v="0"/>
    <x v="0"/>
    <x v="0"/>
    <x v="0"/>
    <s v="DK1_NoDH"/>
    <x v="0"/>
    <x v="0"/>
    <s v="GNR_ENG_BGAS_BP_E-31"/>
    <x v="0"/>
    <x v="20"/>
    <n v="0.47"/>
    <n v="171.55"/>
    <n v="617.58000000000004"/>
  </r>
  <r>
    <x v="0"/>
    <x v="0"/>
    <x v="0"/>
    <x v="0"/>
    <x v="0"/>
    <s v="DK1_NoDH"/>
    <x v="0"/>
    <x v="0"/>
    <s v="GNR_ENG_BGAS_BP_E-31"/>
    <x v="0"/>
    <x v="21"/>
    <n v="0.47"/>
    <n v="171.55"/>
    <n v="617.58000000000004"/>
  </r>
  <r>
    <x v="0"/>
    <x v="0"/>
    <x v="0"/>
    <x v="0"/>
    <x v="0"/>
    <s v="DK1_NoDH"/>
    <x v="0"/>
    <x v="0"/>
    <s v="GNR_ENG_BGAS_BP_E-31"/>
    <x v="0"/>
    <x v="22"/>
    <n v="0.47"/>
    <n v="171.55"/>
    <n v="617.58000000000004"/>
  </r>
  <r>
    <x v="0"/>
    <x v="0"/>
    <x v="0"/>
    <x v="0"/>
    <x v="0"/>
    <s v="DK1_NoDH"/>
    <x v="0"/>
    <x v="0"/>
    <s v="GNR_ENG_BGAS_BP_E-31"/>
    <x v="0"/>
    <x v="23"/>
    <n v="0.47"/>
    <n v="171.55"/>
    <n v="617.58000000000004"/>
  </r>
  <r>
    <x v="0"/>
    <x v="0"/>
    <x v="0"/>
    <x v="0"/>
    <x v="0"/>
    <s v="DK1_NoDH"/>
    <x v="0"/>
    <x v="0"/>
    <s v="GNR_ENG_BGAS_BP_E-32"/>
    <x v="0"/>
    <x v="0"/>
    <n v="1.19"/>
    <n v="434.35"/>
    <n v="1563.66"/>
  </r>
  <r>
    <x v="0"/>
    <x v="0"/>
    <x v="0"/>
    <x v="0"/>
    <x v="0"/>
    <s v="DK1_NoDH"/>
    <x v="0"/>
    <x v="0"/>
    <s v="GNR_ENG_BGAS_BP_E-32"/>
    <x v="0"/>
    <x v="1"/>
    <n v="1.19"/>
    <n v="434.35"/>
    <n v="1563.66"/>
  </r>
  <r>
    <x v="0"/>
    <x v="0"/>
    <x v="0"/>
    <x v="0"/>
    <x v="0"/>
    <s v="DK1_NoDH"/>
    <x v="0"/>
    <x v="0"/>
    <s v="GNR_ENG_BGAS_BP_E-32"/>
    <x v="0"/>
    <x v="2"/>
    <n v="1.19"/>
    <n v="434.35"/>
    <n v="1563.66"/>
  </r>
  <r>
    <x v="0"/>
    <x v="0"/>
    <x v="0"/>
    <x v="0"/>
    <x v="0"/>
    <s v="DK1_NoDH"/>
    <x v="0"/>
    <x v="0"/>
    <s v="GNR_ENG_BGAS_BP_E-32"/>
    <x v="0"/>
    <x v="3"/>
    <n v="1.19"/>
    <n v="434.35"/>
    <n v="1563.66"/>
  </r>
  <r>
    <x v="0"/>
    <x v="0"/>
    <x v="0"/>
    <x v="0"/>
    <x v="0"/>
    <s v="DK1_NoDH"/>
    <x v="0"/>
    <x v="0"/>
    <s v="GNR_ENG_BGAS_BP_E-32"/>
    <x v="0"/>
    <x v="4"/>
    <n v="1.19"/>
    <n v="434.35"/>
    <n v="1563.66"/>
  </r>
  <r>
    <x v="0"/>
    <x v="0"/>
    <x v="0"/>
    <x v="0"/>
    <x v="0"/>
    <s v="DK1_NoDH"/>
    <x v="0"/>
    <x v="0"/>
    <s v="GNR_ENG_BGAS_BP_E-32"/>
    <x v="0"/>
    <x v="5"/>
    <n v="1.19"/>
    <n v="434.35"/>
    <n v="1563.66"/>
  </r>
  <r>
    <x v="0"/>
    <x v="0"/>
    <x v="0"/>
    <x v="0"/>
    <x v="0"/>
    <s v="DK1_NoDH"/>
    <x v="0"/>
    <x v="0"/>
    <s v="GNR_ENG_BGAS_BP_E-32"/>
    <x v="0"/>
    <x v="6"/>
    <n v="1.19"/>
    <n v="434.35"/>
    <n v="1563.66"/>
  </r>
  <r>
    <x v="0"/>
    <x v="0"/>
    <x v="0"/>
    <x v="0"/>
    <x v="0"/>
    <s v="DK1_NoDH"/>
    <x v="0"/>
    <x v="0"/>
    <s v="GNR_ENG_BGAS_BP_E-32"/>
    <x v="0"/>
    <x v="7"/>
    <n v="1.19"/>
    <n v="434.35"/>
    <n v="1563.66"/>
  </r>
  <r>
    <x v="0"/>
    <x v="0"/>
    <x v="0"/>
    <x v="0"/>
    <x v="0"/>
    <s v="DK1_NoDH"/>
    <x v="0"/>
    <x v="0"/>
    <s v="GNR_ENG_BGAS_BP_E-32"/>
    <x v="0"/>
    <x v="8"/>
    <n v="1.19"/>
    <n v="434.35"/>
    <n v="1563.66"/>
  </r>
  <r>
    <x v="0"/>
    <x v="0"/>
    <x v="0"/>
    <x v="0"/>
    <x v="0"/>
    <s v="DK1_NoDH"/>
    <x v="0"/>
    <x v="0"/>
    <s v="GNR_ENG_BGAS_BP_E-32"/>
    <x v="0"/>
    <x v="9"/>
    <n v="1.19"/>
    <n v="434.35"/>
    <n v="1563.66"/>
  </r>
  <r>
    <x v="0"/>
    <x v="0"/>
    <x v="0"/>
    <x v="0"/>
    <x v="0"/>
    <s v="DK1_NoDH"/>
    <x v="0"/>
    <x v="0"/>
    <s v="GNR_ENG_BGAS_BP_E-32"/>
    <x v="0"/>
    <x v="10"/>
    <n v="1.19"/>
    <n v="434.35"/>
    <n v="1563.66"/>
  </r>
  <r>
    <x v="0"/>
    <x v="0"/>
    <x v="0"/>
    <x v="0"/>
    <x v="0"/>
    <s v="DK1_NoDH"/>
    <x v="0"/>
    <x v="0"/>
    <s v="GNR_ENG_BGAS_BP_E-32"/>
    <x v="0"/>
    <x v="11"/>
    <n v="1.19"/>
    <n v="434.35"/>
    <n v="1563.66"/>
  </r>
  <r>
    <x v="0"/>
    <x v="0"/>
    <x v="0"/>
    <x v="0"/>
    <x v="0"/>
    <s v="DK1_NoDH"/>
    <x v="0"/>
    <x v="0"/>
    <s v="GNR_ENG_BGAS_BP_E-32"/>
    <x v="0"/>
    <x v="12"/>
    <n v="1.19"/>
    <n v="434.35"/>
    <n v="1563.66"/>
  </r>
  <r>
    <x v="0"/>
    <x v="0"/>
    <x v="0"/>
    <x v="0"/>
    <x v="0"/>
    <s v="DK1_NoDH"/>
    <x v="0"/>
    <x v="0"/>
    <s v="GNR_ENG_BGAS_BP_E-32"/>
    <x v="0"/>
    <x v="13"/>
    <n v="1.19"/>
    <n v="434.35"/>
    <n v="1563.66"/>
  </r>
  <r>
    <x v="0"/>
    <x v="0"/>
    <x v="0"/>
    <x v="0"/>
    <x v="0"/>
    <s v="DK1_NoDH"/>
    <x v="0"/>
    <x v="0"/>
    <s v="GNR_ENG_BGAS_BP_E-32"/>
    <x v="0"/>
    <x v="14"/>
    <n v="1.19"/>
    <n v="434.35"/>
    <n v="1563.66"/>
  </r>
  <r>
    <x v="0"/>
    <x v="0"/>
    <x v="0"/>
    <x v="0"/>
    <x v="0"/>
    <s v="DK1_NoDH"/>
    <x v="0"/>
    <x v="0"/>
    <s v="GNR_ENG_BGAS_BP_E-32"/>
    <x v="0"/>
    <x v="15"/>
    <n v="1.19"/>
    <n v="434.35"/>
    <n v="1563.66"/>
  </r>
  <r>
    <x v="0"/>
    <x v="0"/>
    <x v="0"/>
    <x v="0"/>
    <x v="0"/>
    <s v="DK1_NoDH"/>
    <x v="0"/>
    <x v="0"/>
    <s v="GNR_ENG_BGAS_BP_E-32"/>
    <x v="0"/>
    <x v="16"/>
    <n v="1.19"/>
    <n v="434.35"/>
    <n v="1563.66"/>
  </r>
  <r>
    <x v="0"/>
    <x v="0"/>
    <x v="0"/>
    <x v="0"/>
    <x v="0"/>
    <s v="DK1_NoDH"/>
    <x v="0"/>
    <x v="0"/>
    <s v="GNR_ENG_BGAS_BP_E-32"/>
    <x v="0"/>
    <x v="17"/>
    <n v="1.19"/>
    <n v="434.35"/>
    <n v="1563.66"/>
  </r>
  <r>
    <x v="0"/>
    <x v="0"/>
    <x v="0"/>
    <x v="0"/>
    <x v="0"/>
    <s v="DK1_NoDH"/>
    <x v="0"/>
    <x v="0"/>
    <s v="GNR_ENG_BGAS_BP_E-32"/>
    <x v="0"/>
    <x v="18"/>
    <n v="1.19"/>
    <n v="434.35"/>
    <n v="1563.66"/>
  </r>
  <r>
    <x v="0"/>
    <x v="0"/>
    <x v="0"/>
    <x v="0"/>
    <x v="0"/>
    <s v="DK1_NoDH"/>
    <x v="0"/>
    <x v="0"/>
    <s v="GNR_ENG_BGAS_BP_E-32"/>
    <x v="0"/>
    <x v="19"/>
    <n v="1.19"/>
    <n v="434.35"/>
    <n v="1563.66"/>
  </r>
  <r>
    <x v="0"/>
    <x v="0"/>
    <x v="0"/>
    <x v="0"/>
    <x v="0"/>
    <s v="DK1_NoDH"/>
    <x v="0"/>
    <x v="0"/>
    <s v="GNR_ENG_BGAS_BP_E-32"/>
    <x v="0"/>
    <x v="20"/>
    <n v="1.19"/>
    <n v="434.35"/>
    <n v="1563.66"/>
  </r>
  <r>
    <x v="0"/>
    <x v="0"/>
    <x v="0"/>
    <x v="0"/>
    <x v="0"/>
    <s v="DK1_NoDH"/>
    <x v="0"/>
    <x v="0"/>
    <s v="GNR_ENG_BGAS_BP_E-32"/>
    <x v="0"/>
    <x v="21"/>
    <n v="1.19"/>
    <n v="434.35"/>
    <n v="1563.66"/>
  </r>
  <r>
    <x v="0"/>
    <x v="0"/>
    <x v="0"/>
    <x v="0"/>
    <x v="0"/>
    <s v="DK1_NoDH"/>
    <x v="0"/>
    <x v="0"/>
    <s v="GNR_ENG_BGAS_BP_E-32"/>
    <x v="0"/>
    <x v="22"/>
    <n v="1.19"/>
    <n v="434.35"/>
    <n v="1563.66"/>
  </r>
  <r>
    <x v="0"/>
    <x v="0"/>
    <x v="0"/>
    <x v="0"/>
    <x v="0"/>
    <s v="DK1_NoDH"/>
    <x v="0"/>
    <x v="0"/>
    <s v="GNR_ENG_BGAS_BP_E-32"/>
    <x v="0"/>
    <x v="23"/>
    <n v="1.19"/>
    <n v="434.35"/>
    <n v="1563.66"/>
  </r>
  <r>
    <x v="0"/>
    <x v="0"/>
    <x v="0"/>
    <x v="0"/>
    <x v="0"/>
    <s v="DK1_NoDH"/>
    <x v="0"/>
    <x v="0"/>
    <s v="GNR_ENG_BGAS_BP_E-33"/>
    <x v="0"/>
    <x v="0"/>
    <n v="0.92"/>
    <n v="335.8"/>
    <n v="1208.8800000000001"/>
  </r>
  <r>
    <x v="0"/>
    <x v="0"/>
    <x v="0"/>
    <x v="0"/>
    <x v="0"/>
    <s v="DK1_NoDH"/>
    <x v="0"/>
    <x v="0"/>
    <s v="GNR_ENG_BGAS_BP_E-33"/>
    <x v="0"/>
    <x v="1"/>
    <n v="0.92"/>
    <n v="335.8"/>
    <n v="1208.8800000000001"/>
  </r>
  <r>
    <x v="0"/>
    <x v="0"/>
    <x v="0"/>
    <x v="0"/>
    <x v="0"/>
    <s v="DK1_NoDH"/>
    <x v="0"/>
    <x v="0"/>
    <s v="GNR_ENG_BGAS_BP_E-33"/>
    <x v="0"/>
    <x v="2"/>
    <n v="0.92"/>
    <n v="335.8"/>
    <n v="1208.8800000000001"/>
  </r>
  <r>
    <x v="0"/>
    <x v="0"/>
    <x v="0"/>
    <x v="0"/>
    <x v="0"/>
    <s v="DK1_NoDH"/>
    <x v="0"/>
    <x v="0"/>
    <s v="GNR_ENG_BGAS_BP_E-33"/>
    <x v="0"/>
    <x v="3"/>
    <n v="0.92"/>
    <n v="335.8"/>
    <n v="1208.8800000000001"/>
  </r>
  <r>
    <x v="0"/>
    <x v="0"/>
    <x v="0"/>
    <x v="0"/>
    <x v="0"/>
    <s v="DK1_NoDH"/>
    <x v="0"/>
    <x v="0"/>
    <s v="GNR_ENG_BGAS_BP_E-33"/>
    <x v="0"/>
    <x v="4"/>
    <n v="0.92"/>
    <n v="335.8"/>
    <n v="1208.8800000000001"/>
  </r>
  <r>
    <x v="0"/>
    <x v="0"/>
    <x v="0"/>
    <x v="0"/>
    <x v="0"/>
    <s v="DK1_NoDH"/>
    <x v="0"/>
    <x v="0"/>
    <s v="GNR_ENG_BGAS_BP_E-33"/>
    <x v="0"/>
    <x v="5"/>
    <n v="0.92"/>
    <n v="335.8"/>
    <n v="1208.8800000000001"/>
  </r>
  <r>
    <x v="0"/>
    <x v="0"/>
    <x v="0"/>
    <x v="0"/>
    <x v="0"/>
    <s v="DK1_NoDH"/>
    <x v="0"/>
    <x v="0"/>
    <s v="GNR_ENG_BGAS_BP_E-33"/>
    <x v="0"/>
    <x v="6"/>
    <n v="0.92"/>
    <n v="335.8"/>
    <n v="1208.8800000000001"/>
  </r>
  <r>
    <x v="0"/>
    <x v="0"/>
    <x v="0"/>
    <x v="0"/>
    <x v="0"/>
    <s v="DK1_NoDH"/>
    <x v="0"/>
    <x v="0"/>
    <s v="GNR_ENG_BGAS_BP_E-33"/>
    <x v="0"/>
    <x v="7"/>
    <n v="0.92"/>
    <n v="335.8"/>
    <n v="1208.8800000000001"/>
  </r>
  <r>
    <x v="0"/>
    <x v="0"/>
    <x v="0"/>
    <x v="0"/>
    <x v="0"/>
    <s v="DK1_NoDH"/>
    <x v="0"/>
    <x v="0"/>
    <s v="GNR_ENG_BGAS_BP_E-33"/>
    <x v="0"/>
    <x v="8"/>
    <n v="0.92"/>
    <n v="335.8"/>
    <n v="1208.8800000000001"/>
  </r>
  <r>
    <x v="0"/>
    <x v="0"/>
    <x v="0"/>
    <x v="0"/>
    <x v="0"/>
    <s v="DK1_NoDH"/>
    <x v="0"/>
    <x v="0"/>
    <s v="GNR_ENG_BGAS_BP_E-33"/>
    <x v="0"/>
    <x v="9"/>
    <n v="0.92"/>
    <n v="335.8"/>
    <n v="1208.8800000000001"/>
  </r>
  <r>
    <x v="0"/>
    <x v="0"/>
    <x v="0"/>
    <x v="0"/>
    <x v="0"/>
    <s v="DK1_NoDH"/>
    <x v="0"/>
    <x v="0"/>
    <s v="GNR_ENG_BGAS_BP_E-33"/>
    <x v="0"/>
    <x v="10"/>
    <n v="0.92"/>
    <n v="335.8"/>
    <n v="1208.8800000000001"/>
  </r>
  <r>
    <x v="0"/>
    <x v="0"/>
    <x v="0"/>
    <x v="0"/>
    <x v="0"/>
    <s v="DK1_NoDH"/>
    <x v="0"/>
    <x v="0"/>
    <s v="GNR_ENG_BGAS_BP_E-33"/>
    <x v="0"/>
    <x v="11"/>
    <n v="0.92"/>
    <n v="335.8"/>
    <n v="1208.8800000000001"/>
  </r>
  <r>
    <x v="0"/>
    <x v="0"/>
    <x v="0"/>
    <x v="0"/>
    <x v="0"/>
    <s v="DK1_NoDH"/>
    <x v="0"/>
    <x v="0"/>
    <s v="GNR_ENG_BGAS_BP_E-33"/>
    <x v="0"/>
    <x v="12"/>
    <n v="0.92"/>
    <n v="335.8"/>
    <n v="1208.8800000000001"/>
  </r>
  <r>
    <x v="0"/>
    <x v="0"/>
    <x v="0"/>
    <x v="0"/>
    <x v="0"/>
    <s v="DK1_NoDH"/>
    <x v="0"/>
    <x v="0"/>
    <s v="GNR_ENG_BGAS_BP_E-33"/>
    <x v="0"/>
    <x v="13"/>
    <n v="0.92"/>
    <n v="335.8"/>
    <n v="1208.8800000000001"/>
  </r>
  <r>
    <x v="0"/>
    <x v="0"/>
    <x v="0"/>
    <x v="0"/>
    <x v="0"/>
    <s v="DK1_NoDH"/>
    <x v="0"/>
    <x v="0"/>
    <s v="GNR_ENG_BGAS_BP_E-33"/>
    <x v="0"/>
    <x v="14"/>
    <n v="0.92"/>
    <n v="335.8"/>
    <n v="1208.8800000000001"/>
  </r>
  <r>
    <x v="0"/>
    <x v="0"/>
    <x v="0"/>
    <x v="0"/>
    <x v="0"/>
    <s v="DK1_NoDH"/>
    <x v="0"/>
    <x v="0"/>
    <s v="GNR_ENG_BGAS_BP_E-33"/>
    <x v="0"/>
    <x v="15"/>
    <n v="0.92"/>
    <n v="335.8"/>
    <n v="1208.8800000000001"/>
  </r>
  <r>
    <x v="0"/>
    <x v="0"/>
    <x v="0"/>
    <x v="0"/>
    <x v="0"/>
    <s v="DK1_NoDH"/>
    <x v="0"/>
    <x v="0"/>
    <s v="GNR_ENG_BGAS_BP_E-33"/>
    <x v="0"/>
    <x v="16"/>
    <n v="0.92"/>
    <n v="335.8"/>
    <n v="1208.8800000000001"/>
  </r>
  <r>
    <x v="0"/>
    <x v="0"/>
    <x v="0"/>
    <x v="0"/>
    <x v="0"/>
    <s v="DK1_NoDH"/>
    <x v="0"/>
    <x v="0"/>
    <s v="GNR_ENG_BGAS_BP_E-33"/>
    <x v="0"/>
    <x v="17"/>
    <n v="0.92"/>
    <n v="335.8"/>
    <n v="1208.8800000000001"/>
  </r>
  <r>
    <x v="0"/>
    <x v="0"/>
    <x v="0"/>
    <x v="0"/>
    <x v="0"/>
    <s v="DK1_NoDH"/>
    <x v="0"/>
    <x v="0"/>
    <s v="GNR_ENG_BGAS_BP_E-33"/>
    <x v="0"/>
    <x v="18"/>
    <n v="0.92"/>
    <n v="335.8"/>
    <n v="1208.8800000000001"/>
  </r>
  <r>
    <x v="0"/>
    <x v="0"/>
    <x v="0"/>
    <x v="0"/>
    <x v="0"/>
    <s v="DK1_NoDH"/>
    <x v="0"/>
    <x v="0"/>
    <s v="GNR_ENG_BGAS_BP_E-33"/>
    <x v="0"/>
    <x v="19"/>
    <n v="0.92"/>
    <n v="335.8"/>
    <n v="1208.8800000000001"/>
  </r>
  <r>
    <x v="0"/>
    <x v="0"/>
    <x v="0"/>
    <x v="0"/>
    <x v="0"/>
    <s v="DK1_NoDH"/>
    <x v="0"/>
    <x v="0"/>
    <s v="GNR_ENG_BGAS_BP_E-33"/>
    <x v="0"/>
    <x v="20"/>
    <n v="0.92"/>
    <n v="335.8"/>
    <n v="1208.8800000000001"/>
  </r>
  <r>
    <x v="0"/>
    <x v="0"/>
    <x v="0"/>
    <x v="0"/>
    <x v="0"/>
    <s v="DK1_NoDH"/>
    <x v="0"/>
    <x v="0"/>
    <s v="GNR_ENG_BGAS_BP_E-33"/>
    <x v="0"/>
    <x v="21"/>
    <n v="0.92"/>
    <n v="335.8"/>
    <n v="1208.8800000000001"/>
  </r>
  <r>
    <x v="0"/>
    <x v="0"/>
    <x v="0"/>
    <x v="0"/>
    <x v="0"/>
    <s v="DK1_NoDH"/>
    <x v="0"/>
    <x v="0"/>
    <s v="GNR_ENG_BGAS_BP_E-33"/>
    <x v="0"/>
    <x v="22"/>
    <n v="0.92"/>
    <n v="335.8"/>
    <n v="1208.8800000000001"/>
  </r>
  <r>
    <x v="0"/>
    <x v="0"/>
    <x v="0"/>
    <x v="0"/>
    <x v="0"/>
    <s v="DK1_NoDH"/>
    <x v="0"/>
    <x v="0"/>
    <s v="GNR_ENG_BGAS_BP_E-33"/>
    <x v="0"/>
    <x v="23"/>
    <n v="0.92"/>
    <n v="335.8"/>
    <n v="1208.8800000000001"/>
  </r>
  <r>
    <x v="0"/>
    <x v="0"/>
    <x v="0"/>
    <x v="0"/>
    <x v="0"/>
    <s v="DK1_NoDH"/>
    <x v="0"/>
    <x v="0"/>
    <s v="GNR_ENG_BGAS_BP_E-34"/>
    <x v="0"/>
    <x v="0"/>
    <n v="2.8719999999999999"/>
    <n v="1048.28"/>
    <n v="3773.808"/>
  </r>
  <r>
    <x v="0"/>
    <x v="0"/>
    <x v="0"/>
    <x v="0"/>
    <x v="0"/>
    <s v="DK1_NoDH"/>
    <x v="0"/>
    <x v="0"/>
    <s v="GNR_ENG_BGAS_BP_E-34"/>
    <x v="0"/>
    <x v="1"/>
    <n v="2.8719999999999999"/>
    <n v="1048.28"/>
    <n v="3773.808"/>
  </r>
  <r>
    <x v="0"/>
    <x v="0"/>
    <x v="0"/>
    <x v="0"/>
    <x v="0"/>
    <s v="DK1_NoDH"/>
    <x v="0"/>
    <x v="0"/>
    <s v="GNR_ENG_BGAS_BP_E-34"/>
    <x v="0"/>
    <x v="2"/>
    <n v="2.8719999999999999"/>
    <n v="1048.28"/>
    <n v="3773.808"/>
  </r>
  <r>
    <x v="0"/>
    <x v="0"/>
    <x v="0"/>
    <x v="0"/>
    <x v="0"/>
    <s v="DK1_NoDH"/>
    <x v="0"/>
    <x v="0"/>
    <s v="GNR_ENG_BGAS_BP_E-34"/>
    <x v="0"/>
    <x v="3"/>
    <n v="2.8719999999999999"/>
    <n v="1048.28"/>
    <n v="3773.808"/>
  </r>
  <r>
    <x v="0"/>
    <x v="0"/>
    <x v="0"/>
    <x v="0"/>
    <x v="0"/>
    <s v="DK1_NoDH"/>
    <x v="0"/>
    <x v="0"/>
    <s v="GNR_ENG_BGAS_BP_E-34"/>
    <x v="0"/>
    <x v="4"/>
    <n v="2.8719999999999999"/>
    <n v="1048.28"/>
    <n v="3773.808"/>
  </r>
  <r>
    <x v="0"/>
    <x v="0"/>
    <x v="0"/>
    <x v="0"/>
    <x v="0"/>
    <s v="DK1_NoDH"/>
    <x v="0"/>
    <x v="0"/>
    <s v="GNR_ENG_BGAS_BP_E-34"/>
    <x v="0"/>
    <x v="5"/>
    <n v="2.8719999999999999"/>
    <n v="1048.28"/>
    <n v="3773.808"/>
  </r>
  <r>
    <x v="0"/>
    <x v="0"/>
    <x v="0"/>
    <x v="0"/>
    <x v="0"/>
    <s v="DK1_NoDH"/>
    <x v="0"/>
    <x v="0"/>
    <s v="GNR_ENG_BGAS_BP_E-34"/>
    <x v="0"/>
    <x v="6"/>
    <n v="2.8719999999999999"/>
    <n v="1048.28"/>
    <n v="3773.808"/>
  </r>
  <r>
    <x v="0"/>
    <x v="0"/>
    <x v="0"/>
    <x v="0"/>
    <x v="0"/>
    <s v="DK1_NoDH"/>
    <x v="0"/>
    <x v="0"/>
    <s v="GNR_ENG_BGAS_BP_E-34"/>
    <x v="0"/>
    <x v="7"/>
    <n v="2.8719999999999999"/>
    <n v="1048.28"/>
    <n v="3773.808"/>
  </r>
  <r>
    <x v="0"/>
    <x v="0"/>
    <x v="0"/>
    <x v="0"/>
    <x v="0"/>
    <s v="DK1_NoDH"/>
    <x v="0"/>
    <x v="0"/>
    <s v="GNR_ENG_BGAS_BP_E-34"/>
    <x v="0"/>
    <x v="8"/>
    <n v="2.8719999999999999"/>
    <n v="1048.28"/>
    <n v="3773.808"/>
  </r>
  <r>
    <x v="0"/>
    <x v="0"/>
    <x v="0"/>
    <x v="0"/>
    <x v="0"/>
    <s v="DK1_NoDH"/>
    <x v="0"/>
    <x v="0"/>
    <s v="GNR_ENG_BGAS_BP_E-34"/>
    <x v="0"/>
    <x v="9"/>
    <n v="2.8719999999999999"/>
    <n v="1048.28"/>
    <n v="3773.808"/>
  </r>
  <r>
    <x v="0"/>
    <x v="0"/>
    <x v="0"/>
    <x v="0"/>
    <x v="0"/>
    <s v="DK1_NoDH"/>
    <x v="0"/>
    <x v="0"/>
    <s v="GNR_ENG_BGAS_BP_E-34"/>
    <x v="0"/>
    <x v="10"/>
    <n v="2.8719999999999999"/>
    <n v="1048.28"/>
    <n v="3773.808"/>
  </r>
  <r>
    <x v="0"/>
    <x v="0"/>
    <x v="0"/>
    <x v="0"/>
    <x v="0"/>
    <s v="DK1_NoDH"/>
    <x v="0"/>
    <x v="0"/>
    <s v="GNR_ENG_BGAS_BP_E-34"/>
    <x v="0"/>
    <x v="11"/>
    <n v="2.8719999999999999"/>
    <n v="1048.28"/>
    <n v="3773.808"/>
  </r>
  <r>
    <x v="0"/>
    <x v="0"/>
    <x v="0"/>
    <x v="0"/>
    <x v="0"/>
    <s v="DK1_NoDH"/>
    <x v="0"/>
    <x v="0"/>
    <s v="GNR_ENG_BGAS_BP_E-34"/>
    <x v="0"/>
    <x v="12"/>
    <n v="2.8719999999999999"/>
    <n v="1048.28"/>
    <n v="3773.808"/>
  </r>
  <r>
    <x v="0"/>
    <x v="0"/>
    <x v="0"/>
    <x v="0"/>
    <x v="0"/>
    <s v="DK1_NoDH"/>
    <x v="0"/>
    <x v="0"/>
    <s v="GNR_ENG_BGAS_BP_E-34"/>
    <x v="0"/>
    <x v="13"/>
    <n v="2.8719999999999999"/>
    <n v="1048.28"/>
    <n v="3773.808"/>
  </r>
  <r>
    <x v="0"/>
    <x v="0"/>
    <x v="0"/>
    <x v="0"/>
    <x v="0"/>
    <s v="DK1_NoDH"/>
    <x v="0"/>
    <x v="0"/>
    <s v="GNR_ENG_BGAS_BP_E-34"/>
    <x v="0"/>
    <x v="14"/>
    <n v="2.8719999999999999"/>
    <n v="1048.28"/>
    <n v="3773.808"/>
  </r>
  <r>
    <x v="0"/>
    <x v="0"/>
    <x v="0"/>
    <x v="0"/>
    <x v="0"/>
    <s v="DK1_NoDH"/>
    <x v="0"/>
    <x v="0"/>
    <s v="GNR_ENG_BGAS_BP_E-34"/>
    <x v="0"/>
    <x v="15"/>
    <n v="2.8719999999999999"/>
    <n v="1048.28"/>
    <n v="3773.808"/>
  </r>
  <r>
    <x v="0"/>
    <x v="0"/>
    <x v="0"/>
    <x v="0"/>
    <x v="0"/>
    <s v="DK1_NoDH"/>
    <x v="0"/>
    <x v="0"/>
    <s v="GNR_ENG_BGAS_BP_E-34"/>
    <x v="0"/>
    <x v="16"/>
    <n v="2.8719999999999999"/>
    <n v="1048.28"/>
    <n v="3773.808"/>
  </r>
  <r>
    <x v="0"/>
    <x v="0"/>
    <x v="0"/>
    <x v="0"/>
    <x v="0"/>
    <s v="DK1_NoDH"/>
    <x v="0"/>
    <x v="0"/>
    <s v="GNR_ENG_BGAS_BP_E-34"/>
    <x v="0"/>
    <x v="17"/>
    <n v="2.8719999999999999"/>
    <n v="1048.28"/>
    <n v="3773.808"/>
  </r>
  <r>
    <x v="0"/>
    <x v="0"/>
    <x v="0"/>
    <x v="0"/>
    <x v="0"/>
    <s v="DK1_NoDH"/>
    <x v="0"/>
    <x v="0"/>
    <s v="GNR_ENG_BGAS_BP_E-34"/>
    <x v="0"/>
    <x v="18"/>
    <n v="2.8719999999999999"/>
    <n v="1048.28"/>
    <n v="3773.808"/>
  </r>
  <r>
    <x v="0"/>
    <x v="0"/>
    <x v="0"/>
    <x v="0"/>
    <x v="0"/>
    <s v="DK1_NoDH"/>
    <x v="0"/>
    <x v="0"/>
    <s v="GNR_ENG_BGAS_BP_E-34"/>
    <x v="0"/>
    <x v="19"/>
    <n v="2.8719999999999999"/>
    <n v="1048.28"/>
    <n v="3773.808"/>
  </r>
  <r>
    <x v="0"/>
    <x v="0"/>
    <x v="0"/>
    <x v="0"/>
    <x v="0"/>
    <s v="DK1_NoDH"/>
    <x v="0"/>
    <x v="0"/>
    <s v="GNR_ENG_BGAS_BP_E-34"/>
    <x v="0"/>
    <x v="20"/>
    <n v="2.8719999999999999"/>
    <n v="1048.28"/>
    <n v="3773.808"/>
  </r>
  <r>
    <x v="0"/>
    <x v="0"/>
    <x v="0"/>
    <x v="0"/>
    <x v="0"/>
    <s v="DK1_NoDH"/>
    <x v="0"/>
    <x v="0"/>
    <s v="GNR_ENG_BGAS_BP_E-34"/>
    <x v="0"/>
    <x v="21"/>
    <n v="2.8719999999999999"/>
    <n v="1048.28"/>
    <n v="3773.808"/>
  </r>
  <r>
    <x v="0"/>
    <x v="0"/>
    <x v="0"/>
    <x v="0"/>
    <x v="0"/>
    <s v="DK1_NoDH"/>
    <x v="0"/>
    <x v="0"/>
    <s v="GNR_ENG_BGAS_BP_E-34"/>
    <x v="0"/>
    <x v="22"/>
    <n v="2.8719999999999999"/>
    <n v="1048.28"/>
    <n v="3773.808"/>
  </r>
  <r>
    <x v="0"/>
    <x v="0"/>
    <x v="0"/>
    <x v="0"/>
    <x v="0"/>
    <s v="DK1_NoDH"/>
    <x v="0"/>
    <x v="0"/>
    <s v="GNR_ENG_BGAS_BP_E-34"/>
    <x v="0"/>
    <x v="23"/>
    <n v="2.8719999999999999"/>
    <n v="1048.28"/>
    <n v="3773.808"/>
  </r>
  <r>
    <x v="0"/>
    <x v="0"/>
    <x v="0"/>
    <x v="0"/>
    <x v="0"/>
    <s v="DK1_NoDH"/>
    <x v="0"/>
    <x v="0"/>
    <s v="GNR_ENG_BGAS_BP_E-35"/>
    <x v="0"/>
    <x v="0"/>
    <n v="2.19"/>
    <n v="799.35"/>
    <n v="2877.66"/>
  </r>
  <r>
    <x v="0"/>
    <x v="0"/>
    <x v="0"/>
    <x v="0"/>
    <x v="0"/>
    <s v="DK1_NoDH"/>
    <x v="0"/>
    <x v="0"/>
    <s v="GNR_ENG_BGAS_BP_E-35"/>
    <x v="0"/>
    <x v="1"/>
    <n v="2.19"/>
    <n v="799.35"/>
    <n v="2877.66"/>
  </r>
  <r>
    <x v="0"/>
    <x v="0"/>
    <x v="0"/>
    <x v="0"/>
    <x v="0"/>
    <s v="DK1_NoDH"/>
    <x v="0"/>
    <x v="0"/>
    <s v="GNR_ENG_BGAS_BP_E-35"/>
    <x v="0"/>
    <x v="2"/>
    <n v="2.19"/>
    <n v="799.35"/>
    <n v="2877.66"/>
  </r>
  <r>
    <x v="0"/>
    <x v="0"/>
    <x v="0"/>
    <x v="0"/>
    <x v="0"/>
    <s v="DK1_NoDH"/>
    <x v="0"/>
    <x v="0"/>
    <s v="GNR_ENG_BGAS_BP_E-35"/>
    <x v="0"/>
    <x v="3"/>
    <n v="2.19"/>
    <n v="799.35"/>
    <n v="2877.66"/>
  </r>
  <r>
    <x v="0"/>
    <x v="0"/>
    <x v="0"/>
    <x v="0"/>
    <x v="0"/>
    <s v="DK1_NoDH"/>
    <x v="0"/>
    <x v="0"/>
    <s v="GNR_ENG_BGAS_BP_E-35"/>
    <x v="0"/>
    <x v="4"/>
    <n v="2.19"/>
    <n v="799.35"/>
    <n v="2877.66"/>
  </r>
  <r>
    <x v="0"/>
    <x v="0"/>
    <x v="0"/>
    <x v="0"/>
    <x v="0"/>
    <s v="DK1_NoDH"/>
    <x v="0"/>
    <x v="0"/>
    <s v="GNR_ENG_BGAS_BP_E-35"/>
    <x v="0"/>
    <x v="5"/>
    <n v="2.19"/>
    <n v="799.35"/>
    <n v="2877.66"/>
  </r>
  <r>
    <x v="0"/>
    <x v="0"/>
    <x v="0"/>
    <x v="0"/>
    <x v="0"/>
    <s v="DK1_NoDH"/>
    <x v="0"/>
    <x v="0"/>
    <s v="GNR_ENG_BGAS_BP_E-35"/>
    <x v="0"/>
    <x v="6"/>
    <n v="2.19"/>
    <n v="799.35"/>
    <n v="2877.66"/>
  </r>
  <r>
    <x v="0"/>
    <x v="0"/>
    <x v="0"/>
    <x v="0"/>
    <x v="0"/>
    <s v="DK1_NoDH"/>
    <x v="0"/>
    <x v="0"/>
    <s v="GNR_ENG_BGAS_BP_E-35"/>
    <x v="0"/>
    <x v="7"/>
    <n v="2.19"/>
    <n v="799.35"/>
    <n v="2877.66"/>
  </r>
  <r>
    <x v="0"/>
    <x v="0"/>
    <x v="0"/>
    <x v="0"/>
    <x v="0"/>
    <s v="DK1_NoDH"/>
    <x v="0"/>
    <x v="0"/>
    <s v="GNR_ENG_BGAS_BP_E-35"/>
    <x v="0"/>
    <x v="8"/>
    <n v="2.19"/>
    <n v="799.35"/>
    <n v="2877.66"/>
  </r>
  <r>
    <x v="0"/>
    <x v="0"/>
    <x v="0"/>
    <x v="0"/>
    <x v="0"/>
    <s v="DK1_NoDH"/>
    <x v="0"/>
    <x v="0"/>
    <s v="GNR_ENG_BGAS_BP_E-35"/>
    <x v="0"/>
    <x v="9"/>
    <n v="2.19"/>
    <n v="799.35"/>
    <n v="2877.66"/>
  </r>
  <r>
    <x v="0"/>
    <x v="0"/>
    <x v="0"/>
    <x v="0"/>
    <x v="0"/>
    <s v="DK1_NoDH"/>
    <x v="0"/>
    <x v="0"/>
    <s v="GNR_ENG_BGAS_BP_E-35"/>
    <x v="0"/>
    <x v="10"/>
    <n v="2.19"/>
    <n v="799.35"/>
    <n v="2877.66"/>
  </r>
  <r>
    <x v="0"/>
    <x v="0"/>
    <x v="0"/>
    <x v="0"/>
    <x v="0"/>
    <s v="DK1_NoDH"/>
    <x v="0"/>
    <x v="0"/>
    <s v="GNR_ENG_BGAS_BP_E-35"/>
    <x v="0"/>
    <x v="11"/>
    <n v="2.19"/>
    <n v="799.35"/>
    <n v="2877.66"/>
  </r>
  <r>
    <x v="0"/>
    <x v="0"/>
    <x v="0"/>
    <x v="0"/>
    <x v="0"/>
    <s v="DK1_NoDH"/>
    <x v="0"/>
    <x v="0"/>
    <s v="GNR_ENG_BGAS_BP_E-35"/>
    <x v="0"/>
    <x v="12"/>
    <n v="2.19"/>
    <n v="799.35"/>
    <n v="2877.66"/>
  </r>
  <r>
    <x v="0"/>
    <x v="0"/>
    <x v="0"/>
    <x v="0"/>
    <x v="0"/>
    <s v="DK1_NoDH"/>
    <x v="0"/>
    <x v="0"/>
    <s v="GNR_ENG_BGAS_BP_E-35"/>
    <x v="0"/>
    <x v="13"/>
    <n v="2.19"/>
    <n v="799.35"/>
    <n v="2877.66"/>
  </r>
  <r>
    <x v="0"/>
    <x v="0"/>
    <x v="0"/>
    <x v="0"/>
    <x v="0"/>
    <s v="DK1_NoDH"/>
    <x v="0"/>
    <x v="0"/>
    <s v="GNR_ENG_BGAS_BP_E-35"/>
    <x v="0"/>
    <x v="14"/>
    <n v="2.19"/>
    <n v="799.35"/>
    <n v="2877.66"/>
  </r>
  <r>
    <x v="0"/>
    <x v="0"/>
    <x v="0"/>
    <x v="0"/>
    <x v="0"/>
    <s v="DK1_NoDH"/>
    <x v="0"/>
    <x v="0"/>
    <s v="GNR_ENG_BGAS_BP_E-35"/>
    <x v="0"/>
    <x v="15"/>
    <n v="2.19"/>
    <n v="799.35"/>
    <n v="2877.66"/>
  </r>
  <r>
    <x v="0"/>
    <x v="0"/>
    <x v="0"/>
    <x v="0"/>
    <x v="0"/>
    <s v="DK1_NoDH"/>
    <x v="0"/>
    <x v="0"/>
    <s v="GNR_ENG_BGAS_BP_E-35"/>
    <x v="0"/>
    <x v="16"/>
    <n v="2.19"/>
    <n v="799.35"/>
    <n v="2877.66"/>
  </r>
  <r>
    <x v="0"/>
    <x v="0"/>
    <x v="0"/>
    <x v="0"/>
    <x v="0"/>
    <s v="DK1_NoDH"/>
    <x v="0"/>
    <x v="0"/>
    <s v="GNR_ENG_BGAS_BP_E-35"/>
    <x v="0"/>
    <x v="17"/>
    <n v="2.19"/>
    <n v="799.35"/>
    <n v="2877.66"/>
  </r>
  <r>
    <x v="0"/>
    <x v="0"/>
    <x v="0"/>
    <x v="0"/>
    <x v="0"/>
    <s v="DK1_NoDH"/>
    <x v="0"/>
    <x v="0"/>
    <s v="GNR_ENG_BGAS_BP_E-35"/>
    <x v="0"/>
    <x v="18"/>
    <n v="2.19"/>
    <n v="799.35"/>
    <n v="2877.66"/>
  </r>
  <r>
    <x v="0"/>
    <x v="0"/>
    <x v="0"/>
    <x v="0"/>
    <x v="0"/>
    <s v="DK1_NoDH"/>
    <x v="0"/>
    <x v="0"/>
    <s v="GNR_ENG_BGAS_BP_E-35"/>
    <x v="0"/>
    <x v="19"/>
    <n v="2.19"/>
    <n v="799.35"/>
    <n v="2877.66"/>
  </r>
  <r>
    <x v="0"/>
    <x v="0"/>
    <x v="0"/>
    <x v="0"/>
    <x v="0"/>
    <s v="DK1_NoDH"/>
    <x v="0"/>
    <x v="0"/>
    <s v="GNR_ENG_BGAS_BP_E-35"/>
    <x v="0"/>
    <x v="20"/>
    <n v="2.19"/>
    <n v="799.35"/>
    <n v="2877.66"/>
  </r>
  <r>
    <x v="0"/>
    <x v="0"/>
    <x v="0"/>
    <x v="0"/>
    <x v="0"/>
    <s v="DK1_NoDH"/>
    <x v="0"/>
    <x v="0"/>
    <s v="GNR_ENG_BGAS_BP_E-35"/>
    <x v="0"/>
    <x v="21"/>
    <n v="2.19"/>
    <n v="799.35"/>
    <n v="2877.66"/>
  </r>
  <r>
    <x v="0"/>
    <x v="0"/>
    <x v="0"/>
    <x v="0"/>
    <x v="0"/>
    <s v="DK1_NoDH"/>
    <x v="0"/>
    <x v="0"/>
    <s v="GNR_ENG_BGAS_BP_E-35"/>
    <x v="0"/>
    <x v="22"/>
    <n v="2.19"/>
    <n v="799.35"/>
    <n v="2877.66"/>
  </r>
  <r>
    <x v="0"/>
    <x v="0"/>
    <x v="0"/>
    <x v="0"/>
    <x v="0"/>
    <s v="DK1_NoDH"/>
    <x v="0"/>
    <x v="0"/>
    <s v="GNR_ENG_BGAS_BP_E-35"/>
    <x v="0"/>
    <x v="23"/>
    <n v="2.19"/>
    <n v="799.35"/>
    <n v="2877.66"/>
  </r>
  <r>
    <x v="0"/>
    <x v="0"/>
    <x v="0"/>
    <x v="0"/>
    <x v="0"/>
    <s v="DK1_NoDH"/>
    <x v="0"/>
    <x v="0"/>
    <s v="GNR_ENG_BGAS_BP_E-36"/>
    <x v="0"/>
    <x v="0"/>
    <n v="2.08"/>
    <n v="759.2"/>
    <n v="2733.12"/>
  </r>
  <r>
    <x v="0"/>
    <x v="0"/>
    <x v="0"/>
    <x v="0"/>
    <x v="0"/>
    <s v="DK1_NoDH"/>
    <x v="0"/>
    <x v="0"/>
    <s v="GNR_ENG_BGAS_BP_E-36"/>
    <x v="0"/>
    <x v="1"/>
    <n v="2.08"/>
    <n v="759.2"/>
    <n v="2733.12"/>
  </r>
  <r>
    <x v="0"/>
    <x v="0"/>
    <x v="0"/>
    <x v="0"/>
    <x v="0"/>
    <s v="DK1_NoDH"/>
    <x v="0"/>
    <x v="0"/>
    <s v="GNR_ENG_BGAS_BP_E-36"/>
    <x v="0"/>
    <x v="2"/>
    <n v="2.08"/>
    <n v="759.2"/>
    <n v="2733.12"/>
  </r>
  <r>
    <x v="0"/>
    <x v="0"/>
    <x v="0"/>
    <x v="0"/>
    <x v="0"/>
    <s v="DK1_NoDH"/>
    <x v="0"/>
    <x v="0"/>
    <s v="GNR_ENG_BGAS_BP_E-36"/>
    <x v="0"/>
    <x v="3"/>
    <n v="2.08"/>
    <n v="759.2"/>
    <n v="2733.12"/>
  </r>
  <r>
    <x v="0"/>
    <x v="0"/>
    <x v="0"/>
    <x v="0"/>
    <x v="0"/>
    <s v="DK1_NoDH"/>
    <x v="0"/>
    <x v="0"/>
    <s v="GNR_ENG_BGAS_BP_E-36"/>
    <x v="0"/>
    <x v="4"/>
    <n v="2.08"/>
    <n v="759.2"/>
    <n v="2733.12"/>
  </r>
  <r>
    <x v="0"/>
    <x v="0"/>
    <x v="0"/>
    <x v="0"/>
    <x v="0"/>
    <s v="DK1_NoDH"/>
    <x v="0"/>
    <x v="0"/>
    <s v="GNR_ENG_BGAS_BP_E-36"/>
    <x v="0"/>
    <x v="5"/>
    <n v="2.08"/>
    <n v="759.2"/>
    <n v="2733.12"/>
  </r>
  <r>
    <x v="0"/>
    <x v="0"/>
    <x v="0"/>
    <x v="0"/>
    <x v="0"/>
    <s v="DK1_NoDH"/>
    <x v="0"/>
    <x v="0"/>
    <s v="GNR_ENG_BGAS_BP_E-36"/>
    <x v="0"/>
    <x v="6"/>
    <n v="2.08"/>
    <n v="759.2"/>
    <n v="2733.12"/>
  </r>
  <r>
    <x v="0"/>
    <x v="0"/>
    <x v="0"/>
    <x v="0"/>
    <x v="0"/>
    <s v="DK1_NoDH"/>
    <x v="0"/>
    <x v="0"/>
    <s v="GNR_ENG_BGAS_BP_E-36"/>
    <x v="0"/>
    <x v="7"/>
    <n v="2.08"/>
    <n v="759.2"/>
    <n v="2733.12"/>
  </r>
  <r>
    <x v="0"/>
    <x v="0"/>
    <x v="0"/>
    <x v="0"/>
    <x v="0"/>
    <s v="DK1_NoDH"/>
    <x v="0"/>
    <x v="0"/>
    <s v="GNR_ENG_BGAS_BP_E-36"/>
    <x v="0"/>
    <x v="8"/>
    <n v="2.08"/>
    <n v="759.2"/>
    <n v="2733.12"/>
  </r>
  <r>
    <x v="0"/>
    <x v="0"/>
    <x v="0"/>
    <x v="0"/>
    <x v="0"/>
    <s v="DK1_NoDH"/>
    <x v="0"/>
    <x v="0"/>
    <s v="GNR_ENG_BGAS_BP_E-36"/>
    <x v="0"/>
    <x v="9"/>
    <n v="2.08"/>
    <n v="759.2"/>
    <n v="2733.12"/>
  </r>
  <r>
    <x v="0"/>
    <x v="0"/>
    <x v="0"/>
    <x v="0"/>
    <x v="0"/>
    <s v="DK1_NoDH"/>
    <x v="0"/>
    <x v="0"/>
    <s v="GNR_ENG_BGAS_BP_E-36"/>
    <x v="0"/>
    <x v="10"/>
    <n v="2.08"/>
    <n v="759.2"/>
    <n v="2733.12"/>
  </r>
  <r>
    <x v="0"/>
    <x v="0"/>
    <x v="0"/>
    <x v="0"/>
    <x v="0"/>
    <s v="DK1_NoDH"/>
    <x v="0"/>
    <x v="0"/>
    <s v="GNR_ENG_BGAS_BP_E-36"/>
    <x v="0"/>
    <x v="11"/>
    <n v="2.08"/>
    <n v="759.2"/>
    <n v="2733.12"/>
  </r>
  <r>
    <x v="0"/>
    <x v="0"/>
    <x v="0"/>
    <x v="0"/>
    <x v="0"/>
    <s v="DK1_NoDH"/>
    <x v="0"/>
    <x v="0"/>
    <s v="GNR_ENG_BGAS_BP_E-36"/>
    <x v="0"/>
    <x v="12"/>
    <n v="2.08"/>
    <n v="759.2"/>
    <n v="2733.12"/>
  </r>
  <r>
    <x v="0"/>
    <x v="0"/>
    <x v="0"/>
    <x v="0"/>
    <x v="0"/>
    <s v="DK1_NoDH"/>
    <x v="0"/>
    <x v="0"/>
    <s v="GNR_ENG_BGAS_BP_E-36"/>
    <x v="0"/>
    <x v="13"/>
    <n v="2.08"/>
    <n v="759.2"/>
    <n v="2733.12"/>
  </r>
  <r>
    <x v="0"/>
    <x v="0"/>
    <x v="0"/>
    <x v="0"/>
    <x v="0"/>
    <s v="DK1_NoDH"/>
    <x v="0"/>
    <x v="0"/>
    <s v="GNR_ENG_BGAS_BP_E-36"/>
    <x v="0"/>
    <x v="14"/>
    <n v="2.08"/>
    <n v="759.2"/>
    <n v="2733.12"/>
  </r>
  <r>
    <x v="0"/>
    <x v="0"/>
    <x v="0"/>
    <x v="0"/>
    <x v="0"/>
    <s v="DK1_NoDH"/>
    <x v="0"/>
    <x v="0"/>
    <s v="GNR_ENG_BGAS_BP_E-36"/>
    <x v="0"/>
    <x v="15"/>
    <n v="2.08"/>
    <n v="759.2"/>
    <n v="2733.12"/>
  </r>
  <r>
    <x v="0"/>
    <x v="0"/>
    <x v="0"/>
    <x v="0"/>
    <x v="0"/>
    <s v="DK1_NoDH"/>
    <x v="0"/>
    <x v="0"/>
    <s v="GNR_ENG_BGAS_BP_E-36"/>
    <x v="0"/>
    <x v="16"/>
    <n v="2.08"/>
    <n v="759.2"/>
    <n v="2733.12"/>
  </r>
  <r>
    <x v="0"/>
    <x v="0"/>
    <x v="0"/>
    <x v="0"/>
    <x v="0"/>
    <s v="DK1_NoDH"/>
    <x v="0"/>
    <x v="0"/>
    <s v="GNR_ENG_BGAS_BP_E-36"/>
    <x v="0"/>
    <x v="17"/>
    <n v="2.08"/>
    <n v="759.2"/>
    <n v="2733.12"/>
  </r>
  <r>
    <x v="0"/>
    <x v="0"/>
    <x v="0"/>
    <x v="0"/>
    <x v="0"/>
    <s v="DK1_NoDH"/>
    <x v="0"/>
    <x v="0"/>
    <s v="GNR_ENG_BGAS_BP_E-36"/>
    <x v="0"/>
    <x v="18"/>
    <n v="2.08"/>
    <n v="759.2"/>
    <n v="2733.12"/>
  </r>
  <r>
    <x v="0"/>
    <x v="0"/>
    <x v="0"/>
    <x v="0"/>
    <x v="0"/>
    <s v="DK1_NoDH"/>
    <x v="0"/>
    <x v="0"/>
    <s v="GNR_ENG_BGAS_BP_E-36"/>
    <x v="0"/>
    <x v="19"/>
    <n v="2.08"/>
    <n v="759.2"/>
    <n v="2733.12"/>
  </r>
  <r>
    <x v="0"/>
    <x v="0"/>
    <x v="0"/>
    <x v="0"/>
    <x v="0"/>
    <s v="DK1_NoDH"/>
    <x v="0"/>
    <x v="0"/>
    <s v="GNR_ENG_BGAS_BP_E-36"/>
    <x v="0"/>
    <x v="20"/>
    <n v="2.08"/>
    <n v="759.2"/>
    <n v="2733.12"/>
  </r>
  <r>
    <x v="0"/>
    <x v="0"/>
    <x v="0"/>
    <x v="0"/>
    <x v="0"/>
    <s v="DK1_NoDH"/>
    <x v="0"/>
    <x v="0"/>
    <s v="GNR_ENG_BGAS_BP_E-36"/>
    <x v="0"/>
    <x v="21"/>
    <n v="2.08"/>
    <n v="759.2"/>
    <n v="2733.12"/>
  </r>
  <r>
    <x v="0"/>
    <x v="0"/>
    <x v="0"/>
    <x v="0"/>
    <x v="0"/>
    <s v="DK1_NoDH"/>
    <x v="0"/>
    <x v="0"/>
    <s v="GNR_ENG_BGAS_BP_E-36"/>
    <x v="0"/>
    <x v="22"/>
    <n v="2.08"/>
    <n v="759.2"/>
    <n v="2733.12"/>
  </r>
  <r>
    <x v="0"/>
    <x v="0"/>
    <x v="0"/>
    <x v="0"/>
    <x v="0"/>
    <s v="DK1_NoDH"/>
    <x v="0"/>
    <x v="0"/>
    <s v="GNR_ENG_BGAS_BP_E-36"/>
    <x v="0"/>
    <x v="23"/>
    <n v="2.08"/>
    <n v="759.2"/>
    <n v="2733.12"/>
  </r>
  <r>
    <x v="0"/>
    <x v="0"/>
    <x v="0"/>
    <x v="0"/>
    <x v="0"/>
    <s v="DK1_NoDH"/>
    <x v="0"/>
    <x v="0"/>
    <s v="GNR_ENG_BGAS_BP_E-37"/>
    <x v="0"/>
    <x v="0"/>
    <n v="4.351"/>
    <n v="1588.115"/>
    <n v="5717.2139999999999"/>
  </r>
  <r>
    <x v="0"/>
    <x v="0"/>
    <x v="0"/>
    <x v="0"/>
    <x v="0"/>
    <s v="DK1_NoDH"/>
    <x v="0"/>
    <x v="0"/>
    <s v="GNR_ENG_BGAS_BP_E-37"/>
    <x v="0"/>
    <x v="1"/>
    <n v="4.351"/>
    <n v="1588.115"/>
    <n v="5717.2139999999999"/>
  </r>
  <r>
    <x v="0"/>
    <x v="0"/>
    <x v="0"/>
    <x v="0"/>
    <x v="0"/>
    <s v="DK1_NoDH"/>
    <x v="0"/>
    <x v="0"/>
    <s v="GNR_ENG_BGAS_BP_E-37"/>
    <x v="0"/>
    <x v="2"/>
    <n v="4.351"/>
    <n v="1588.115"/>
    <n v="5717.2139999999999"/>
  </r>
  <r>
    <x v="0"/>
    <x v="0"/>
    <x v="0"/>
    <x v="0"/>
    <x v="0"/>
    <s v="DK1_NoDH"/>
    <x v="0"/>
    <x v="0"/>
    <s v="GNR_ENG_BGAS_BP_E-37"/>
    <x v="0"/>
    <x v="3"/>
    <n v="4.351"/>
    <n v="1588.115"/>
    <n v="5717.2139999999999"/>
  </r>
  <r>
    <x v="0"/>
    <x v="0"/>
    <x v="0"/>
    <x v="0"/>
    <x v="0"/>
    <s v="DK1_NoDH"/>
    <x v="0"/>
    <x v="0"/>
    <s v="GNR_ENG_BGAS_BP_E-37"/>
    <x v="0"/>
    <x v="4"/>
    <n v="4.351"/>
    <n v="1588.115"/>
    <n v="5717.2139999999999"/>
  </r>
  <r>
    <x v="0"/>
    <x v="0"/>
    <x v="0"/>
    <x v="0"/>
    <x v="0"/>
    <s v="DK1_NoDH"/>
    <x v="0"/>
    <x v="0"/>
    <s v="GNR_ENG_BGAS_BP_E-37"/>
    <x v="0"/>
    <x v="5"/>
    <n v="4.351"/>
    <n v="1588.115"/>
    <n v="5717.2139999999999"/>
  </r>
  <r>
    <x v="0"/>
    <x v="0"/>
    <x v="0"/>
    <x v="0"/>
    <x v="0"/>
    <s v="DK1_NoDH"/>
    <x v="0"/>
    <x v="0"/>
    <s v="GNR_ENG_BGAS_BP_E-37"/>
    <x v="0"/>
    <x v="6"/>
    <n v="4.351"/>
    <n v="1588.115"/>
    <n v="5717.2139999999999"/>
  </r>
  <r>
    <x v="0"/>
    <x v="0"/>
    <x v="0"/>
    <x v="0"/>
    <x v="0"/>
    <s v="DK1_NoDH"/>
    <x v="0"/>
    <x v="0"/>
    <s v="GNR_ENG_BGAS_BP_E-37"/>
    <x v="0"/>
    <x v="7"/>
    <n v="4.351"/>
    <n v="1588.115"/>
    <n v="5717.2139999999999"/>
  </r>
  <r>
    <x v="0"/>
    <x v="0"/>
    <x v="0"/>
    <x v="0"/>
    <x v="0"/>
    <s v="DK1_NoDH"/>
    <x v="0"/>
    <x v="0"/>
    <s v="GNR_ENG_BGAS_BP_E-37"/>
    <x v="0"/>
    <x v="8"/>
    <n v="4.351"/>
    <n v="1588.115"/>
    <n v="5717.2139999999999"/>
  </r>
  <r>
    <x v="0"/>
    <x v="0"/>
    <x v="0"/>
    <x v="0"/>
    <x v="0"/>
    <s v="DK1_NoDH"/>
    <x v="0"/>
    <x v="0"/>
    <s v="GNR_ENG_BGAS_BP_E-37"/>
    <x v="0"/>
    <x v="9"/>
    <n v="4.351"/>
    <n v="1588.115"/>
    <n v="5717.2139999999999"/>
  </r>
  <r>
    <x v="0"/>
    <x v="0"/>
    <x v="0"/>
    <x v="0"/>
    <x v="0"/>
    <s v="DK1_NoDH"/>
    <x v="0"/>
    <x v="0"/>
    <s v="GNR_ENG_BGAS_BP_E-37"/>
    <x v="0"/>
    <x v="10"/>
    <n v="4.351"/>
    <n v="1588.115"/>
    <n v="5717.2139999999999"/>
  </r>
  <r>
    <x v="0"/>
    <x v="0"/>
    <x v="0"/>
    <x v="0"/>
    <x v="0"/>
    <s v="DK1_NoDH"/>
    <x v="0"/>
    <x v="0"/>
    <s v="GNR_ENG_BGAS_BP_E-37"/>
    <x v="0"/>
    <x v="11"/>
    <n v="4.351"/>
    <n v="1588.115"/>
    <n v="5717.2139999999999"/>
  </r>
  <r>
    <x v="0"/>
    <x v="0"/>
    <x v="0"/>
    <x v="0"/>
    <x v="0"/>
    <s v="DK1_NoDH"/>
    <x v="0"/>
    <x v="0"/>
    <s v="GNR_ENG_BGAS_BP_E-37"/>
    <x v="0"/>
    <x v="12"/>
    <n v="4.351"/>
    <n v="1588.115"/>
    <n v="5717.2139999999999"/>
  </r>
  <r>
    <x v="0"/>
    <x v="0"/>
    <x v="0"/>
    <x v="0"/>
    <x v="0"/>
    <s v="DK1_NoDH"/>
    <x v="0"/>
    <x v="0"/>
    <s v="GNR_ENG_BGAS_BP_E-37"/>
    <x v="0"/>
    <x v="13"/>
    <n v="4.351"/>
    <n v="1588.115"/>
    <n v="5717.2139999999999"/>
  </r>
  <r>
    <x v="0"/>
    <x v="0"/>
    <x v="0"/>
    <x v="0"/>
    <x v="0"/>
    <s v="DK1_NoDH"/>
    <x v="0"/>
    <x v="0"/>
    <s v="GNR_ENG_BGAS_BP_E-37"/>
    <x v="0"/>
    <x v="14"/>
    <n v="4.351"/>
    <n v="1588.115"/>
    <n v="5717.2139999999999"/>
  </r>
  <r>
    <x v="0"/>
    <x v="0"/>
    <x v="0"/>
    <x v="0"/>
    <x v="0"/>
    <s v="DK1_NoDH"/>
    <x v="0"/>
    <x v="0"/>
    <s v="GNR_ENG_BGAS_BP_E-37"/>
    <x v="0"/>
    <x v="15"/>
    <n v="4.351"/>
    <n v="1588.115"/>
    <n v="5717.2139999999999"/>
  </r>
  <r>
    <x v="0"/>
    <x v="0"/>
    <x v="0"/>
    <x v="0"/>
    <x v="0"/>
    <s v="DK1_NoDH"/>
    <x v="0"/>
    <x v="0"/>
    <s v="GNR_ENG_BGAS_BP_E-37"/>
    <x v="0"/>
    <x v="16"/>
    <n v="4.351"/>
    <n v="1588.115"/>
    <n v="5717.2139999999999"/>
  </r>
  <r>
    <x v="0"/>
    <x v="0"/>
    <x v="0"/>
    <x v="0"/>
    <x v="0"/>
    <s v="DK1_NoDH"/>
    <x v="0"/>
    <x v="0"/>
    <s v="GNR_ENG_BGAS_BP_E-37"/>
    <x v="0"/>
    <x v="17"/>
    <n v="4.351"/>
    <n v="1588.115"/>
    <n v="5717.2139999999999"/>
  </r>
  <r>
    <x v="0"/>
    <x v="0"/>
    <x v="0"/>
    <x v="0"/>
    <x v="0"/>
    <s v="DK1_NoDH"/>
    <x v="0"/>
    <x v="0"/>
    <s v="GNR_ENG_BGAS_BP_E-37"/>
    <x v="0"/>
    <x v="18"/>
    <n v="4.351"/>
    <n v="1588.115"/>
    <n v="5717.2139999999999"/>
  </r>
  <r>
    <x v="0"/>
    <x v="0"/>
    <x v="0"/>
    <x v="0"/>
    <x v="0"/>
    <s v="DK1_NoDH"/>
    <x v="0"/>
    <x v="0"/>
    <s v="GNR_ENG_BGAS_BP_E-37"/>
    <x v="0"/>
    <x v="19"/>
    <n v="4.351"/>
    <n v="1588.115"/>
    <n v="5717.2139999999999"/>
  </r>
  <r>
    <x v="0"/>
    <x v="0"/>
    <x v="0"/>
    <x v="0"/>
    <x v="0"/>
    <s v="DK1_NoDH"/>
    <x v="0"/>
    <x v="0"/>
    <s v="GNR_ENG_BGAS_BP_E-37"/>
    <x v="0"/>
    <x v="20"/>
    <n v="4.351"/>
    <n v="1588.115"/>
    <n v="5717.2139999999999"/>
  </r>
  <r>
    <x v="0"/>
    <x v="0"/>
    <x v="0"/>
    <x v="0"/>
    <x v="0"/>
    <s v="DK1_NoDH"/>
    <x v="0"/>
    <x v="0"/>
    <s v="GNR_ENG_BGAS_BP_E-37"/>
    <x v="0"/>
    <x v="21"/>
    <n v="4.351"/>
    <n v="1588.115"/>
    <n v="5717.2139999999999"/>
  </r>
  <r>
    <x v="0"/>
    <x v="0"/>
    <x v="0"/>
    <x v="0"/>
    <x v="0"/>
    <s v="DK1_NoDH"/>
    <x v="0"/>
    <x v="0"/>
    <s v="GNR_ENG_BGAS_BP_E-37"/>
    <x v="0"/>
    <x v="22"/>
    <n v="4.351"/>
    <n v="1588.115"/>
    <n v="5717.2139999999999"/>
  </r>
  <r>
    <x v="0"/>
    <x v="0"/>
    <x v="0"/>
    <x v="0"/>
    <x v="0"/>
    <s v="DK1_NoDH"/>
    <x v="0"/>
    <x v="0"/>
    <s v="GNR_ENG_BGAS_BP_E-37"/>
    <x v="0"/>
    <x v="23"/>
    <n v="4.351"/>
    <n v="1588.115"/>
    <n v="5717.2139999999999"/>
  </r>
  <r>
    <x v="0"/>
    <x v="0"/>
    <x v="0"/>
    <x v="0"/>
    <x v="0"/>
    <s v="DK1_NoDH"/>
    <x v="0"/>
    <x v="0"/>
    <s v="GNR_ENG_BGAS_BP_E-38"/>
    <x v="0"/>
    <x v="0"/>
    <n v="0.19"/>
    <n v="69.349999999999994"/>
    <n v="249.66"/>
  </r>
  <r>
    <x v="0"/>
    <x v="0"/>
    <x v="0"/>
    <x v="0"/>
    <x v="0"/>
    <s v="DK1_NoDH"/>
    <x v="0"/>
    <x v="0"/>
    <s v="GNR_ENG_BGAS_BP_E-38"/>
    <x v="0"/>
    <x v="1"/>
    <n v="0.19"/>
    <n v="69.349999999999994"/>
    <n v="249.66"/>
  </r>
  <r>
    <x v="0"/>
    <x v="0"/>
    <x v="0"/>
    <x v="0"/>
    <x v="0"/>
    <s v="DK1_NoDH"/>
    <x v="0"/>
    <x v="0"/>
    <s v="GNR_ENG_BGAS_BP_E-38"/>
    <x v="0"/>
    <x v="2"/>
    <n v="0.19"/>
    <n v="69.349999999999994"/>
    <n v="249.66"/>
  </r>
  <r>
    <x v="0"/>
    <x v="0"/>
    <x v="0"/>
    <x v="0"/>
    <x v="0"/>
    <s v="DK1_NoDH"/>
    <x v="0"/>
    <x v="0"/>
    <s v="GNR_ENG_BGAS_BP_E-38"/>
    <x v="0"/>
    <x v="3"/>
    <n v="0.19"/>
    <n v="69.349999999999994"/>
    <n v="249.66"/>
  </r>
  <r>
    <x v="0"/>
    <x v="0"/>
    <x v="0"/>
    <x v="0"/>
    <x v="0"/>
    <s v="DK1_NoDH"/>
    <x v="0"/>
    <x v="0"/>
    <s v="GNR_ENG_BGAS_BP_E-38"/>
    <x v="0"/>
    <x v="4"/>
    <n v="0.19"/>
    <n v="69.349999999999994"/>
    <n v="249.66"/>
  </r>
  <r>
    <x v="0"/>
    <x v="0"/>
    <x v="0"/>
    <x v="0"/>
    <x v="0"/>
    <s v="DK1_NoDH"/>
    <x v="0"/>
    <x v="0"/>
    <s v="GNR_ENG_BGAS_BP_E-38"/>
    <x v="0"/>
    <x v="5"/>
    <n v="0.19"/>
    <n v="69.349999999999994"/>
    <n v="249.66"/>
  </r>
  <r>
    <x v="0"/>
    <x v="0"/>
    <x v="0"/>
    <x v="0"/>
    <x v="0"/>
    <s v="DK1_NoDH"/>
    <x v="0"/>
    <x v="0"/>
    <s v="GNR_ENG_BGAS_BP_E-38"/>
    <x v="0"/>
    <x v="6"/>
    <n v="0.19"/>
    <n v="69.349999999999994"/>
    <n v="249.66"/>
  </r>
  <r>
    <x v="0"/>
    <x v="0"/>
    <x v="0"/>
    <x v="0"/>
    <x v="0"/>
    <s v="DK1_NoDH"/>
    <x v="0"/>
    <x v="0"/>
    <s v="GNR_ENG_BGAS_BP_E-38"/>
    <x v="0"/>
    <x v="7"/>
    <n v="0.19"/>
    <n v="69.349999999999994"/>
    <n v="249.66"/>
  </r>
  <r>
    <x v="0"/>
    <x v="0"/>
    <x v="0"/>
    <x v="0"/>
    <x v="0"/>
    <s v="DK1_NoDH"/>
    <x v="0"/>
    <x v="0"/>
    <s v="GNR_ENG_BGAS_BP_E-38"/>
    <x v="0"/>
    <x v="8"/>
    <n v="0.19"/>
    <n v="69.349999999999994"/>
    <n v="249.66"/>
  </r>
  <r>
    <x v="0"/>
    <x v="0"/>
    <x v="0"/>
    <x v="0"/>
    <x v="0"/>
    <s v="DK1_NoDH"/>
    <x v="0"/>
    <x v="0"/>
    <s v="GNR_ENG_BGAS_BP_E-38"/>
    <x v="0"/>
    <x v="9"/>
    <n v="0.19"/>
    <n v="69.349999999999994"/>
    <n v="249.66"/>
  </r>
  <r>
    <x v="0"/>
    <x v="0"/>
    <x v="0"/>
    <x v="0"/>
    <x v="0"/>
    <s v="DK1_NoDH"/>
    <x v="0"/>
    <x v="0"/>
    <s v="GNR_ENG_BGAS_BP_E-38"/>
    <x v="0"/>
    <x v="10"/>
    <n v="0.19"/>
    <n v="69.349999999999994"/>
    <n v="249.66"/>
  </r>
  <r>
    <x v="0"/>
    <x v="0"/>
    <x v="0"/>
    <x v="0"/>
    <x v="0"/>
    <s v="DK1_NoDH"/>
    <x v="0"/>
    <x v="0"/>
    <s v="GNR_ENG_BGAS_BP_E-38"/>
    <x v="0"/>
    <x v="11"/>
    <n v="0.19"/>
    <n v="69.349999999999994"/>
    <n v="249.66"/>
  </r>
  <r>
    <x v="0"/>
    <x v="0"/>
    <x v="0"/>
    <x v="0"/>
    <x v="0"/>
    <s v="DK1_NoDH"/>
    <x v="0"/>
    <x v="0"/>
    <s v="GNR_ENG_BGAS_BP_E-38"/>
    <x v="0"/>
    <x v="12"/>
    <n v="0.19"/>
    <n v="69.349999999999994"/>
    <n v="249.66"/>
  </r>
  <r>
    <x v="0"/>
    <x v="0"/>
    <x v="0"/>
    <x v="0"/>
    <x v="0"/>
    <s v="DK1_NoDH"/>
    <x v="0"/>
    <x v="0"/>
    <s v="GNR_ENG_BGAS_BP_E-38"/>
    <x v="0"/>
    <x v="13"/>
    <n v="0.19"/>
    <n v="69.349999999999994"/>
    <n v="249.66"/>
  </r>
  <r>
    <x v="0"/>
    <x v="0"/>
    <x v="0"/>
    <x v="0"/>
    <x v="0"/>
    <s v="DK1_NoDH"/>
    <x v="0"/>
    <x v="0"/>
    <s v="GNR_ENG_BGAS_BP_E-38"/>
    <x v="0"/>
    <x v="14"/>
    <n v="0.19"/>
    <n v="69.349999999999994"/>
    <n v="249.66"/>
  </r>
  <r>
    <x v="0"/>
    <x v="0"/>
    <x v="0"/>
    <x v="0"/>
    <x v="0"/>
    <s v="DK1_NoDH"/>
    <x v="0"/>
    <x v="0"/>
    <s v="GNR_ENG_BGAS_BP_E-38"/>
    <x v="0"/>
    <x v="15"/>
    <n v="0.19"/>
    <n v="69.349999999999994"/>
    <n v="249.66"/>
  </r>
  <r>
    <x v="0"/>
    <x v="0"/>
    <x v="0"/>
    <x v="0"/>
    <x v="0"/>
    <s v="DK1_NoDH"/>
    <x v="0"/>
    <x v="0"/>
    <s v="GNR_ENG_BGAS_BP_E-38"/>
    <x v="0"/>
    <x v="16"/>
    <n v="0.19"/>
    <n v="69.349999999999994"/>
    <n v="249.66"/>
  </r>
  <r>
    <x v="0"/>
    <x v="0"/>
    <x v="0"/>
    <x v="0"/>
    <x v="0"/>
    <s v="DK1_NoDH"/>
    <x v="0"/>
    <x v="0"/>
    <s v="GNR_ENG_BGAS_BP_E-38"/>
    <x v="0"/>
    <x v="17"/>
    <n v="0.19"/>
    <n v="69.349999999999994"/>
    <n v="249.66"/>
  </r>
  <r>
    <x v="0"/>
    <x v="0"/>
    <x v="0"/>
    <x v="0"/>
    <x v="0"/>
    <s v="DK1_NoDH"/>
    <x v="0"/>
    <x v="0"/>
    <s v="GNR_ENG_BGAS_BP_E-38"/>
    <x v="0"/>
    <x v="18"/>
    <n v="0.19"/>
    <n v="69.349999999999994"/>
    <n v="249.66"/>
  </r>
  <r>
    <x v="0"/>
    <x v="0"/>
    <x v="0"/>
    <x v="0"/>
    <x v="0"/>
    <s v="DK1_NoDH"/>
    <x v="0"/>
    <x v="0"/>
    <s v="GNR_ENG_BGAS_BP_E-38"/>
    <x v="0"/>
    <x v="19"/>
    <n v="0.19"/>
    <n v="69.349999999999994"/>
    <n v="249.66"/>
  </r>
  <r>
    <x v="0"/>
    <x v="0"/>
    <x v="0"/>
    <x v="0"/>
    <x v="0"/>
    <s v="DK1_NoDH"/>
    <x v="0"/>
    <x v="0"/>
    <s v="GNR_ENG_BGAS_BP_E-38"/>
    <x v="0"/>
    <x v="20"/>
    <n v="0.19"/>
    <n v="69.349999999999994"/>
    <n v="249.66"/>
  </r>
  <r>
    <x v="0"/>
    <x v="0"/>
    <x v="0"/>
    <x v="0"/>
    <x v="0"/>
    <s v="DK1_NoDH"/>
    <x v="0"/>
    <x v="0"/>
    <s v="GNR_ENG_BGAS_BP_E-38"/>
    <x v="0"/>
    <x v="21"/>
    <n v="0.19"/>
    <n v="69.349999999999994"/>
    <n v="249.66"/>
  </r>
  <r>
    <x v="0"/>
    <x v="0"/>
    <x v="0"/>
    <x v="0"/>
    <x v="0"/>
    <s v="DK1_NoDH"/>
    <x v="0"/>
    <x v="0"/>
    <s v="GNR_ENG_BGAS_BP_E-38"/>
    <x v="0"/>
    <x v="22"/>
    <n v="0.19"/>
    <n v="69.349999999999994"/>
    <n v="249.66"/>
  </r>
  <r>
    <x v="0"/>
    <x v="0"/>
    <x v="0"/>
    <x v="0"/>
    <x v="0"/>
    <s v="DK1_NoDH"/>
    <x v="0"/>
    <x v="0"/>
    <s v="GNR_ENG_BGAS_BP_E-38"/>
    <x v="0"/>
    <x v="23"/>
    <n v="0.19"/>
    <n v="69.349999999999994"/>
    <n v="249.66"/>
  </r>
  <r>
    <x v="0"/>
    <x v="0"/>
    <x v="0"/>
    <x v="0"/>
    <x v="0"/>
    <s v="DK1_NoDH"/>
    <x v="0"/>
    <x v="0"/>
    <s v="GNR_ENG_BGAS_BP_E-39"/>
    <x v="0"/>
    <x v="0"/>
    <n v="1.1599999999999999"/>
    <n v="423.4"/>
    <n v="1524.24"/>
  </r>
  <r>
    <x v="0"/>
    <x v="0"/>
    <x v="0"/>
    <x v="0"/>
    <x v="0"/>
    <s v="DK1_NoDH"/>
    <x v="0"/>
    <x v="0"/>
    <s v="GNR_ENG_BGAS_BP_E-39"/>
    <x v="0"/>
    <x v="1"/>
    <n v="1.1599999999999999"/>
    <n v="423.4"/>
    <n v="1524.24"/>
  </r>
  <r>
    <x v="0"/>
    <x v="0"/>
    <x v="0"/>
    <x v="0"/>
    <x v="0"/>
    <s v="DK1_NoDH"/>
    <x v="0"/>
    <x v="0"/>
    <s v="GNR_ENG_BGAS_BP_E-39"/>
    <x v="0"/>
    <x v="2"/>
    <n v="1.1599999999999999"/>
    <n v="423.4"/>
    <n v="1524.24"/>
  </r>
  <r>
    <x v="0"/>
    <x v="0"/>
    <x v="0"/>
    <x v="0"/>
    <x v="0"/>
    <s v="DK1_NoDH"/>
    <x v="0"/>
    <x v="0"/>
    <s v="GNR_ENG_BGAS_BP_E-39"/>
    <x v="0"/>
    <x v="3"/>
    <n v="1.1599999999999999"/>
    <n v="423.4"/>
    <n v="1524.24"/>
  </r>
  <r>
    <x v="0"/>
    <x v="0"/>
    <x v="0"/>
    <x v="0"/>
    <x v="0"/>
    <s v="DK1_NoDH"/>
    <x v="0"/>
    <x v="0"/>
    <s v="GNR_ENG_BGAS_BP_E-39"/>
    <x v="0"/>
    <x v="4"/>
    <n v="1.1599999999999999"/>
    <n v="423.4"/>
    <n v="1524.24"/>
  </r>
  <r>
    <x v="0"/>
    <x v="0"/>
    <x v="0"/>
    <x v="0"/>
    <x v="0"/>
    <s v="DK1_NoDH"/>
    <x v="0"/>
    <x v="0"/>
    <s v="GNR_ENG_BGAS_BP_E-39"/>
    <x v="0"/>
    <x v="5"/>
    <n v="1.1599999999999999"/>
    <n v="423.4"/>
    <n v="1524.24"/>
  </r>
  <r>
    <x v="0"/>
    <x v="0"/>
    <x v="0"/>
    <x v="0"/>
    <x v="0"/>
    <s v="DK1_NoDH"/>
    <x v="0"/>
    <x v="0"/>
    <s v="GNR_ENG_BGAS_BP_E-39"/>
    <x v="0"/>
    <x v="6"/>
    <n v="1.1599999999999999"/>
    <n v="423.4"/>
    <n v="1524.24"/>
  </r>
  <r>
    <x v="0"/>
    <x v="0"/>
    <x v="0"/>
    <x v="0"/>
    <x v="0"/>
    <s v="DK1_NoDH"/>
    <x v="0"/>
    <x v="0"/>
    <s v="GNR_ENG_BGAS_BP_E-39"/>
    <x v="0"/>
    <x v="7"/>
    <n v="1.1599999999999999"/>
    <n v="423.4"/>
    <n v="1524.24"/>
  </r>
  <r>
    <x v="0"/>
    <x v="0"/>
    <x v="0"/>
    <x v="0"/>
    <x v="0"/>
    <s v="DK1_NoDH"/>
    <x v="0"/>
    <x v="0"/>
    <s v="GNR_ENG_BGAS_BP_E-39"/>
    <x v="0"/>
    <x v="8"/>
    <n v="1.1599999999999999"/>
    <n v="423.4"/>
    <n v="1524.24"/>
  </r>
  <r>
    <x v="0"/>
    <x v="0"/>
    <x v="0"/>
    <x v="0"/>
    <x v="0"/>
    <s v="DK1_NoDH"/>
    <x v="0"/>
    <x v="0"/>
    <s v="GNR_ENG_BGAS_BP_E-39"/>
    <x v="0"/>
    <x v="9"/>
    <n v="1.1599999999999999"/>
    <n v="423.4"/>
    <n v="1524.24"/>
  </r>
  <r>
    <x v="0"/>
    <x v="0"/>
    <x v="0"/>
    <x v="0"/>
    <x v="0"/>
    <s v="DK1_NoDH"/>
    <x v="0"/>
    <x v="0"/>
    <s v="GNR_ENG_BGAS_BP_E-39"/>
    <x v="0"/>
    <x v="10"/>
    <n v="1.1599999999999999"/>
    <n v="423.4"/>
    <n v="1524.24"/>
  </r>
  <r>
    <x v="0"/>
    <x v="0"/>
    <x v="0"/>
    <x v="0"/>
    <x v="0"/>
    <s v="DK1_NoDH"/>
    <x v="0"/>
    <x v="0"/>
    <s v="GNR_ENG_BGAS_BP_E-39"/>
    <x v="0"/>
    <x v="11"/>
    <n v="1.1599999999999999"/>
    <n v="423.4"/>
    <n v="1524.24"/>
  </r>
  <r>
    <x v="0"/>
    <x v="0"/>
    <x v="0"/>
    <x v="0"/>
    <x v="0"/>
    <s v="DK1_NoDH"/>
    <x v="0"/>
    <x v="0"/>
    <s v="GNR_ENG_BGAS_BP_E-39"/>
    <x v="0"/>
    <x v="12"/>
    <n v="1.1599999999999999"/>
    <n v="423.4"/>
    <n v="1524.24"/>
  </r>
  <r>
    <x v="0"/>
    <x v="0"/>
    <x v="0"/>
    <x v="0"/>
    <x v="0"/>
    <s v="DK1_NoDH"/>
    <x v="0"/>
    <x v="0"/>
    <s v="GNR_ENG_BGAS_BP_E-39"/>
    <x v="0"/>
    <x v="13"/>
    <n v="1.1599999999999999"/>
    <n v="423.4"/>
    <n v="1524.24"/>
  </r>
  <r>
    <x v="0"/>
    <x v="0"/>
    <x v="0"/>
    <x v="0"/>
    <x v="0"/>
    <s v="DK1_NoDH"/>
    <x v="0"/>
    <x v="0"/>
    <s v="GNR_ENG_BGAS_BP_E-39"/>
    <x v="0"/>
    <x v="14"/>
    <n v="1.1599999999999999"/>
    <n v="423.4"/>
    <n v="1524.24"/>
  </r>
  <r>
    <x v="0"/>
    <x v="0"/>
    <x v="0"/>
    <x v="0"/>
    <x v="0"/>
    <s v="DK1_NoDH"/>
    <x v="0"/>
    <x v="0"/>
    <s v="GNR_ENG_BGAS_BP_E-39"/>
    <x v="0"/>
    <x v="15"/>
    <n v="1.1599999999999999"/>
    <n v="423.4"/>
    <n v="1524.24"/>
  </r>
  <r>
    <x v="0"/>
    <x v="0"/>
    <x v="0"/>
    <x v="0"/>
    <x v="0"/>
    <s v="DK1_NoDH"/>
    <x v="0"/>
    <x v="0"/>
    <s v="GNR_ENG_BGAS_BP_E-39"/>
    <x v="0"/>
    <x v="16"/>
    <n v="1.1599999999999999"/>
    <n v="423.4"/>
    <n v="1524.24"/>
  </r>
  <r>
    <x v="0"/>
    <x v="0"/>
    <x v="0"/>
    <x v="0"/>
    <x v="0"/>
    <s v="DK1_NoDH"/>
    <x v="0"/>
    <x v="0"/>
    <s v="GNR_ENG_BGAS_BP_E-39"/>
    <x v="0"/>
    <x v="17"/>
    <n v="1.1599999999999999"/>
    <n v="423.4"/>
    <n v="1524.24"/>
  </r>
  <r>
    <x v="0"/>
    <x v="0"/>
    <x v="0"/>
    <x v="0"/>
    <x v="0"/>
    <s v="DK1_NoDH"/>
    <x v="0"/>
    <x v="0"/>
    <s v="GNR_ENG_BGAS_BP_E-39"/>
    <x v="0"/>
    <x v="18"/>
    <n v="1.1599999999999999"/>
    <n v="423.4"/>
    <n v="1524.24"/>
  </r>
  <r>
    <x v="0"/>
    <x v="0"/>
    <x v="0"/>
    <x v="0"/>
    <x v="0"/>
    <s v="DK1_NoDH"/>
    <x v="0"/>
    <x v="0"/>
    <s v="GNR_ENG_BGAS_BP_E-39"/>
    <x v="0"/>
    <x v="19"/>
    <n v="1.1599999999999999"/>
    <n v="423.4"/>
    <n v="1524.24"/>
  </r>
  <r>
    <x v="0"/>
    <x v="0"/>
    <x v="0"/>
    <x v="0"/>
    <x v="0"/>
    <s v="DK1_NoDH"/>
    <x v="0"/>
    <x v="0"/>
    <s v="GNR_ENG_BGAS_BP_E-39"/>
    <x v="0"/>
    <x v="20"/>
    <n v="1.1599999999999999"/>
    <n v="423.4"/>
    <n v="1524.24"/>
  </r>
  <r>
    <x v="0"/>
    <x v="0"/>
    <x v="0"/>
    <x v="0"/>
    <x v="0"/>
    <s v="DK1_NoDH"/>
    <x v="0"/>
    <x v="0"/>
    <s v="GNR_ENG_BGAS_BP_E-39"/>
    <x v="0"/>
    <x v="21"/>
    <n v="1.1599999999999999"/>
    <n v="423.4"/>
    <n v="1524.24"/>
  </r>
  <r>
    <x v="0"/>
    <x v="0"/>
    <x v="0"/>
    <x v="0"/>
    <x v="0"/>
    <s v="DK1_NoDH"/>
    <x v="0"/>
    <x v="0"/>
    <s v="GNR_ENG_BGAS_BP_E-39"/>
    <x v="0"/>
    <x v="22"/>
    <n v="1.1599999999999999"/>
    <n v="423.4"/>
    <n v="1524.24"/>
  </r>
  <r>
    <x v="0"/>
    <x v="0"/>
    <x v="0"/>
    <x v="0"/>
    <x v="0"/>
    <s v="DK1_NoDH"/>
    <x v="0"/>
    <x v="0"/>
    <s v="GNR_ENG_BGAS_BP_E-39"/>
    <x v="0"/>
    <x v="23"/>
    <n v="1.1599999999999999"/>
    <n v="423.4"/>
    <n v="1524.24"/>
  </r>
  <r>
    <x v="0"/>
    <x v="0"/>
    <x v="0"/>
    <x v="0"/>
    <x v="0"/>
    <s v="DK1_NoDH"/>
    <x v="0"/>
    <x v="0"/>
    <s v="GNR_ENG_BGAS_BP_E-40"/>
    <x v="0"/>
    <x v="0"/>
    <n v="2.6"/>
    <n v="949"/>
    <n v="3416.4"/>
  </r>
  <r>
    <x v="0"/>
    <x v="0"/>
    <x v="0"/>
    <x v="0"/>
    <x v="0"/>
    <s v="DK1_NoDH"/>
    <x v="0"/>
    <x v="0"/>
    <s v="GNR_ENG_BGAS_BP_E-40"/>
    <x v="0"/>
    <x v="1"/>
    <n v="2.6"/>
    <n v="949"/>
    <n v="3416.4"/>
  </r>
  <r>
    <x v="0"/>
    <x v="0"/>
    <x v="0"/>
    <x v="0"/>
    <x v="0"/>
    <s v="DK1_NoDH"/>
    <x v="0"/>
    <x v="0"/>
    <s v="GNR_ENG_BGAS_BP_E-40"/>
    <x v="0"/>
    <x v="2"/>
    <n v="2.6"/>
    <n v="949"/>
    <n v="3416.4"/>
  </r>
  <r>
    <x v="0"/>
    <x v="0"/>
    <x v="0"/>
    <x v="0"/>
    <x v="0"/>
    <s v="DK1_NoDH"/>
    <x v="0"/>
    <x v="0"/>
    <s v="GNR_ENG_BGAS_BP_E-40"/>
    <x v="0"/>
    <x v="3"/>
    <n v="2.6"/>
    <n v="949"/>
    <n v="3416.4"/>
  </r>
  <r>
    <x v="0"/>
    <x v="0"/>
    <x v="0"/>
    <x v="0"/>
    <x v="0"/>
    <s v="DK1_NoDH"/>
    <x v="0"/>
    <x v="0"/>
    <s v="GNR_ENG_BGAS_BP_E-40"/>
    <x v="0"/>
    <x v="4"/>
    <n v="2.6"/>
    <n v="949"/>
    <n v="3416.4"/>
  </r>
  <r>
    <x v="0"/>
    <x v="0"/>
    <x v="0"/>
    <x v="0"/>
    <x v="0"/>
    <s v="DK1_NoDH"/>
    <x v="0"/>
    <x v="0"/>
    <s v="GNR_ENG_BGAS_BP_E-40"/>
    <x v="0"/>
    <x v="5"/>
    <n v="2.6"/>
    <n v="949"/>
    <n v="3416.4"/>
  </r>
  <r>
    <x v="0"/>
    <x v="0"/>
    <x v="0"/>
    <x v="0"/>
    <x v="0"/>
    <s v="DK1_NoDH"/>
    <x v="0"/>
    <x v="0"/>
    <s v="GNR_ENG_BGAS_BP_E-40"/>
    <x v="0"/>
    <x v="6"/>
    <n v="2.6"/>
    <n v="949"/>
    <n v="3416.4"/>
  </r>
  <r>
    <x v="0"/>
    <x v="0"/>
    <x v="0"/>
    <x v="0"/>
    <x v="0"/>
    <s v="DK1_NoDH"/>
    <x v="0"/>
    <x v="0"/>
    <s v="GNR_ENG_BGAS_BP_E-40"/>
    <x v="0"/>
    <x v="7"/>
    <n v="2.6"/>
    <n v="949"/>
    <n v="3416.4"/>
  </r>
  <r>
    <x v="0"/>
    <x v="0"/>
    <x v="0"/>
    <x v="0"/>
    <x v="0"/>
    <s v="DK1_NoDH"/>
    <x v="0"/>
    <x v="0"/>
    <s v="GNR_ENG_BGAS_BP_E-40"/>
    <x v="0"/>
    <x v="8"/>
    <n v="2.6"/>
    <n v="949"/>
    <n v="3416.4"/>
  </r>
  <r>
    <x v="0"/>
    <x v="0"/>
    <x v="0"/>
    <x v="0"/>
    <x v="0"/>
    <s v="DK1_NoDH"/>
    <x v="0"/>
    <x v="0"/>
    <s v="GNR_ENG_BGAS_BP_E-40"/>
    <x v="0"/>
    <x v="9"/>
    <n v="2.6"/>
    <n v="949"/>
    <n v="3416.4"/>
  </r>
  <r>
    <x v="0"/>
    <x v="0"/>
    <x v="0"/>
    <x v="0"/>
    <x v="0"/>
    <s v="DK1_NoDH"/>
    <x v="0"/>
    <x v="0"/>
    <s v="GNR_ENG_BGAS_BP_E-40"/>
    <x v="0"/>
    <x v="10"/>
    <n v="2.6"/>
    <n v="949"/>
    <n v="3416.4"/>
  </r>
  <r>
    <x v="0"/>
    <x v="0"/>
    <x v="0"/>
    <x v="0"/>
    <x v="0"/>
    <s v="DK1_NoDH"/>
    <x v="0"/>
    <x v="0"/>
    <s v="GNR_ENG_BGAS_BP_E-40"/>
    <x v="0"/>
    <x v="11"/>
    <n v="2.6"/>
    <n v="949"/>
    <n v="3416.4"/>
  </r>
  <r>
    <x v="0"/>
    <x v="0"/>
    <x v="0"/>
    <x v="0"/>
    <x v="0"/>
    <s v="DK1_NoDH"/>
    <x v="0"/>
    <x v="0"/>
    <s v="GNR_ENG_BGAS_BP_E-40"/>
    <x v="0"/>
    <x v="12"/>
    <n v="2.6"/>
    <n v="949"/>
    <n v="3416.4"/>
  </r>
  <r>
    <x v="0"/>
    <x v="0"/>
    <x v="0"/>
    <x v="0"/>
    <x v="0"/>
    <s v="DK1_NoDH"/>
    <x v="0"/>
    <x v="0"/>
    <s v="GNR_ENG_BGAS_BP_E-40"/>
    <x v="0"/>
    <x v="13"/>
    <n v="2.6"/>
    <n v="949"/>
    <n v="3416.4"/>
  </r>
  <r>
    <x v="0"/>
    <x v="0"/>
    <x v="0"/>
    <x v="0"/>
    <x v="0"/>
    <s v="DK1_NoDH"/>
    <x v="0"/>
    <x v="0"/>
    <s v="GNR_ENG_BGAS_BP_E-40"/>
    <x v="0"/>
    <x v="14"/>
    <n v="2.6"/>
    <n v="949"/>
    <n v="3416.4"/>
  </r>
  <r>
    <x v="0"/>
    <x v="0"/>
    <x v="0"/>
    <x v="0"/>
    <x v="0"/>
    <s v="DK1_NoDH"/>
    <x v="0"/>
    <x v="0"/>
    <s v="GNR_ENG_BGAS_BP_E-40"/>
    <x v="0"/>
    <x v="15"/>
    <n v="2.6"/>
    <n v="949"/>
    <n v="3416.4"/>
  </r>
  <r>
    <x v="0"/>
    <x v="0"/>
    <x v="0"/>
    <x v="0"/>
    <x v="0"/>
    <s v="DK1_NoDH"/>
    <x v="0"/>
    <x v="0"/>
    <s v="GNR_ENG_BGAS_BP_E-40"/>
    <x v="0"/>
    <x v="16"/>
    <n v="2.6"/>
    <n v="949"/>
    <n v="3416.4"/>
  </r>
  <r>
    <x v="0"/>
    <x v="0"/>
    <x v="0"/>
    <x v="0"/>
    <x v="0"/>
    <s v="DK1_NoDH"/>
    <x v="0"/>
    <x v="0"/>
    <s v="GNR_ENG_BGAS_BP_E-40"/>
    <x v="0"/>
    <x v="17"/>
    <n v="2.6"/>
    <n v="949"/>
    <n v="3416.4"/>
  </r>
  <r>
    <x v="0"/>
    <x v="0"/>
    <x v="0"/>
    <x v="0"/>
    <x v="0"/>
    <s v="DK1_NoDH"/>
    <x v="0"/>
    <x v="0"/>
    <s v="GNR_ENG_BGAS_BP_E-40"/>
    <x v="0"/>
    <x v="18"/>
    <n v="2.6"/>
    <n v="949"/>
    <n v="3416.4"/>
  </r>
  <r>
    <x v="0"/>
    <x v="0"/>
    <x v="0"/>
    <x v="0"/>
    <x v="0"/>
    <s v="DK1_NoDH"/>
    <x v="0"/>
    <x v="0"/>
    <s v="GNR_ENG_BGAS_BP_E-40"/>
    <x v="0"/>
    <x v="19"/>
    <n v="2.6"/>
    <n v="949"/>
    <n v="3416.4"/>
  </r>
  <r>
    <x v="0"/>
    <x v="0"/>
    <x v="0"/>
    <x v="0"/>
    <x v="0"/>
    <s v="DK1_NoDH"/>
    <x v="0"/>
    <x v="0"/>
    <s v="GNR_ENG_BGAS_BP_E-40"/>
    <x v="0"/>
    <x v="20"/>
    <n v="2.6"/>
    <n v="949"/>
    <n v="3416.4"/>
  </r>
  <r>
    <x v="0"/>
    <x v="0"/>
    <x v="0"/>
    <x v="0"/>
    <x v="0"/>
    <s v="DK1_NoDH"/>
    <x v="0"/>
    <x v="0"/>
    <s v="GNR_ENG_BGAS_BP_E-40"/>
    <x v="0"/>
    <x v="21"/>
    <n v="2.6"/>
    <n v="949"/>
    <n v="3416.4"/>
  </r>
  <r>
    <x v="0"/>
    <x v="0"/>
    <x v="0"/>
    <x v="0"/>
    <x v="0"/>
    <s v="DK1_NoDH"/>
    <x v="0"/>
    <x v="0"/>
    <s v="GNR_ENG_BGAS_BP_E-40"/>
    <x v="0"/>
    <x v="22"/>
    <n v="2.6"/>
    <n v="949"/>
    <n v="3416.4"/>
  </r>
  <r>
    <x v="0"/>
    <x v="0"/>
    <x v="0"/>
    <x v="0"/>
    <x v="0"/>
    <s v="DK1_NoDH"/>
    <x v="0"/>
    <x v="0"/>
    <s v="GNR_ENG_BGAS_BP_E-40"/>
    <x v="0"/>
    <x v="23"/>
    <n v="2.6"/>
    <n v="949"/>
    <n v="3416.4"/>
  </r>
  <r>
    <x v="0"/>
    <x v="0"/>
    <x v="0"/>
    <x v="0"/>
    <x v="0"/>
    <s v="DK1_NoDH"/>
    <x v="0"/>
    <x v="0"/>
    <s v="GNR_ENG_BGAS_BP_E-42"/>
    <x v="0"/>
    <x v="0"/>
    <n v="1.4"/>
    <n v="511"/>
    <n v="1839.6"/>
  </r>
  <r>
    <x v="0"/>
    <x v="0"/>
    <x v="0"/>
    <x v="0"/>
    <x v="0"/>
    <s v="DK1_NoDH"/>
    <x v="0"/>
    <x v="0"/>
    <s v="GNR_ENG_BGAS_BP_E-42"/>
    <x v="0"/>
    <x v="1"/>
    <n v="1.4"/>
    <n v="511"/>
    <n v="1839.6"/>
  </r>
  <r>
    <x v="0"/>
    <x v="0"/>
    <x v="0"/>
    <x v="0"/>
    <x v="0"/>
    <s v="DK1_NoDH"/>
    <x v="0"/>
    <x v="0"/>
    <s v="GNR_ENG_BGAS_BP_E-42"/>
    <x v="0"/>
    <x v="2"/>
    <n v="1.4"/>
    <n v="511"/>
    <n v="1839.6"/>
  </r>
  <r>
    <x v="0"/>
    <x v="0"/>
    <x v="0"/>
    <x v="0"/>
    <x v="0"/>
    <s v="DK1_NoDH"/>
    <x v="0"/>
    <x v="0"/>
    <s v="GNR_ENG_BGAS_BP_E-42"/>
    <x v="0"/>
    <x v="3"/>
    <n v="1.4"/>
    <n v="511"/>
    <n v="1839.6"/>
  </r>
  <r>
    <x v="0"/>
    <x v="0"/>
    <x v="0"/>
    <x v="0"/>
    <x v="0"/>
    <s v="DK1_NoDH"/>
    <x v="0"/>
    <x v="0"/>
    <s v="GNR_ENG_BGAS_BP_E-42"/>
    <x v="0"/>
    <x v="4"/>
    <n v="1.4"/>
    <n v="511"/>
    <n v="1839.6"/>
  </r>
  <r>
    <x v="0"/>
    <x v="0"/>
    <x v="0"/>
    <x v="0"/>
    <x v="0"/>
    <s v="DK1_NoDH"/>
    <x v="0"/>
    <x v="0"/>
    <s v="GNR_ENG_BGAS_BP_E-42"/>
    <x v="0"/>
    <x v="5"/>
    <n v="1.4"/>
    <n v="511"/>
    <n v="1839.6"/>
  </r>
  <r>
    <x v="0"/>
    <x v="0"/>
    <x v="0"/>
    <x v="0"/>
    <x v="0"/>
    <s v="DK1_NoDH"/>
    <x v="0"/>
    <x v="0"/>
    <s v="GNR_ENG_BGAS_BP_E-42"/>
    <x v="0"/>
    <x v="6"/>
    <n v="1.4"/>
    <n v="511"/>
    <n v="1839.6"/>
  </r>
  <r>
    <x v="0"/>
    <x v="0"/>
    <x v="0"/>
    <x v="0"/>
    <x v="0"/>
    <s v="DK1_NoDH"/>
    <x v="0"/>
    <x v="0"/>
    <s v="GNR_ENG_BGAS_BP_E-42"/>
    <x v="0"/>
    <x v="7"/>
    <n v="1.4"/>
    <n v="511"/>
    <n v="1839.6"/>
  </r>
  <r>
    <x v="0"/>
    <x v="0"/>
    <x v="0"/>
    <x v="0"/>
    <x v="0"/>
    <s v="DK1_NoDH"/>
    <x v="0"/>
    <x v="0"/>
    <s v="GNR_ENG_BGAS_BP_E-42"/>
    <x v="0"/>
    <x v="8"/>
    <n v="1.4"/>
    <n v="511"/>
    <n v="1839.6"/>
  </r>
  <r>
    <x v="0"/>
    <x v="0"/>
    <x v="0"/>
    <x v="0"/>
    <x v="0"/>
    <s v="DK1_NoDH"/>
    <x v="0"/>
    <x v="0"/>
    <s v="GNR_ENG_BGAS_BP_E-42"/>
    <x v="0"/>
    <x v="9"/>
    <n v="1.4"/>
    <n v="511"/>
    <n v="1839.6"/>
  </r>
  <r>
    <x v="0"/>
    <x v="0"/>
    <x v="0"/>
    <x v="0"/>
    <x v="0"/>
    <s v="DK1_NoDH"/>
    <x v="0"/>
    <x v="0"/>
    <s v="GNR_ENG_BGAS_BP_E-42"/>
    <x v="0"/>
    <x v="10"/>
    <n v="1.4"/>
    <n v="511"/>
    <n v="1839.6"/>
  </r>
  <r>
    <x v="0"/>
    <x v="0"/>
    <x v="0"/>
    <x v="0"/>
    <x v="0"/>
    <s v="DK1_NoDH"/>
    <x v="0"/>
    <x v="0"/>
    <s v="GNR_ENG_BGAS_BP_E-42"/>
    <x v="0"/>
    <x v="11"/>
    <n v="1.4"/>
    <n v="511"/>
    <n v="1839.6"/>
  </r>
  <r>
    <x v="0"/>
    <x v="0"/>
    <x v="0"/>
    <x v="0"/>
    <x v="0"/>
    <s v="DK1_NoDH"/>
    <x v="0"/>
    <x v="0"/>
    <s v="GNR_ENG_BGAS_BP_E-42"/>
    <x v="0"/>
    <x v="12"/>
    <n v="1.4"/>
    <n v="511"/>
    <n v="1839.6"/>
  </r>
  <r>
    <x v="0"/>
    <x v="0"/>
    <x v="0"/>
    <x v="0"/>
    <x v="0"/>
    <s v="DK1_NoDH"/>
    <x v="0"/>
    <x v="0"/>
    <s v="GNR_ENG_BGAS_BP_E-42"/>
    <x v="0"/>
    <x v="13"/>
    <n v="1.4"/>
    <n v="511"/>
    <n v="1839.6"/>
  </r>
  <r>
    <x v="0"/>
    <x v="0"/>
    <x v="0"/>
    <x v="0"/>
    <x v="0"/>
    <s v="DK1_NoDH"/>
    <x v="0"/>
    <x v="0"/>
    <s v="GNR_ENG_BGAS_BP_E-42"/>
    <x v="0"/>
    <x v="14"/>
    <n v="1.4"/>
    <n v="511"/>
    <n v="1839.6"/>
  </r>
  <r>
    <x v="0"/>
    <x v="0"/>
    <x v="0"/>
    <x v="0"/>
    <x v="0"/>
    <s v="DK1_NoDH"/>
    <x v="0"/>
    <x v="0"/>
    <s v="GNR_ENG_BGAS_BP_E-42"/>
    <x v="0"/>
    <x v="15"/>
    <n v="1.4"/>
    <n v="511"/>
    <n v="1839.6"/>
  </r>
  <r>
    <x v="0"/>
    <x v="0"/>
    <x v="0"/>
    <x v="0"/>
    <x v="0"/>
    <s v="DK1_NoDH"/>
    <x v="0"/>
    <x v="0"/>
    <s v="GNR_ENG_BGAS_BP_E-42"/>
    <x v="0"/>
    <x v="16"/>
    <n v="1.4"/>
    <n v="511"/>
    <n v="1839.6"/>
  </r>
  <r>
    <x v="0"/>
    <x v="0"/>
    <x v="0"/>
    <x v="0"/>
    <x v="0"/>
    <s v="DK1_NoDH"/>
    <x v="0"/>
    <x v="0"/>
    <s v="GNR_ENG_BGAS_BP_E-42"/>
    <x v="0"/>
    <x v="17"/>
    <n v="1.4"/>
    <n v="511"/>
    <n v="1839.6"/>
  </r>
  <r>
    <x v="0"/>
    <x v="0"/>
    <x v="0"/>
    <x v="0"/>
    <x v="0"/>
    <s v="DK1_NoDH"/>
    <x v="0"/>
    <x v="0"/>
    <s v="GNR_ENG_BGAS_BP_E-42"/>
    <x v="0"/>
    <x v="18"/>
    <n v="1.4"/>
    <n v="511"/>
    <n v="1839.6"/>
  </r>
  <r>
    <x v="0"/>
    <x v="0"/>
    <x v="0"/>
    <x v="0"/>
    <x v="0"/>
    <s v="DK1_NoDH"/>
    <x v="0"/>
    <x v="0"/>
    <s v="GNR_ENG_BGAS_BP_E-42"/>
    <x v="0"/>
    <x v="19"/>
    <n v="1.4"/>
    <n v="511"/>
    <n v="1839.6"/>
  </r>
  <r>
    <x v="0"/>
    <x v="0"/>
    <x v="0"/>
    <x v="0"/>
    <x v="0"/>
    <s v="DK1_NoDH"/>
    <x v="0"/>
    <x v="0"/>
    <s v="GNR_ENG_BGAS_BP_E-42"/>
    <x v="0"/>
    <x v="20"/>
    <n v="1.4"/>
    <n v="511"/>
    <n v="1839.6"/>
  </r>
  <r>
    <x v="0"/>
    <x v="0"/>
    <x v="0"/>
    <x v="0"/>
    <x v="0"/>
    <s v="DK1_NoDH"/>
    <x v="0"/>
    <x v="0"/>
    <s v="GNR_ENG_BGAS_BP_E-42"/>
    <x v="0"/>
    <x v="21"/>
    <n v="1.4"/>
    <n v="511"/>
    <n v="1839.6"/>
  </r>
  <r>
    <x v="0"/>
    <x v="0"/>
    <x v="0"/>
    <x v="0"/>
    <x v="0"/>
    <s v="DK1_NoDH"/>
    <x v="0"/>
    <x v="0"/>
    <s v="GNR_ENG_BGAS_BP_E-42"/>
    <x v="0"/>
    <x v="22"/>
    <n v="1.4"/>
    <n v="511"/>
    <n v="1839.6"/>
  </r>
  <r>
    <x v="0"/>
    <x v="0"/>
    <x v="0"/>
    <x v="0"/>
    <x v="0"/>
    <s v="DK1_NoDH"/>
    <x v="0"/>
    <x v="0"/>
    <s v="GNR_ENG_BGAS_BP_E-42"/>
    <x v="0"/>
    <x v="23"/>
    <n v="1.4"/>
    <n v="511"/>
    <n v="1839.6"/>
  </r>
  <r>
    <x v="0"/>
    <x v="0"/>
    <x v="0"/>
    <x v="0"/>
    <x v="0"/>
    <s v="DK1_NoDH"/>
    <x v="0"/>
    <x v="0"/>
    <s v="GNR_ENG_BGAS_BP_E-43"/>
    <x v="0"/>
    <x v="0"/>
    <n v="6"/>
    <n v="2190"/>
    <n v="7884"/>
  </r>
  <r>
    <x v="0"/>
    <x v="0"/>
    <x v="0"/>
    <x v="0"/>
    <x v="0"/>
    <s v="DK1_NoDH"/>
    <x v="0"/>
    <x v="0"/>
    <s v="GNR_ENG_BGAS_BP_E-43"/>
    <x v="0"/>
    <x v="1"/>
    <n v="6"/>
    <n v="2190"/>
    <n v="7884"/>
  </r>
  <r>
    <x v="0"/>
    <x v="0"/>
    <x v="0"/>
    <x v="0"/>
    <x v="0"/>
    <s v="DK1_NoDH"/>
    <x v="0"/>
    <x v="0"/>
    <s v="GNR_ENG_BGAS_BP_E-43"/>
    <x v="0"/>
    <x v="2"/>
    <n v="6"/>
    <n v="2190"/>
    <n v="7884"/>
  </r>
  <r>
    <x v="0"/>
    <x v="0"/>
    <x v="0"/>
    <x v="0"/>
    <x v="0"/>
    <s v="DK1_NoDH"/>
    <x v="0"/>
    <x v="0"/>
    <s v="GNR_ENG_BGAS_BP_E-43"/>
    <x v="0"/>
    <x v="3"/>
    <n v="6"/>
    <n v="2190"/>
    <n v="7884"/>
  </r>
  <r>
    <x v="0"/>
    <x v="0"/>
    <x v="0"/>
    <x v="0"/>
    <x v="0"/>
    <s v="DK1_NoDH"/>
    <x v="0"/>
    <x v="0"/>
    <s v="GNR_ENG_BGAS_BP_E-43"/>
    <x v="0"/>
    <x v="4"/>
    <n v="6"/>
    <n v="2190"/>
    <n v="7884"/>
  </r>
  <r>
    <x v="0"/>
    <x v="0"/>
    <x v="0"/>
    <x v="0"/>
    <x v="0"/>
    <s v="DK1_NoDH"/>
    <x v="0"/>
    <x v="0"/>
    <s v="GNR_ENG_BGAS_BP_E-43"/>
    <x v="0"/>
    <x v="5"/>
    <n v="6"/>
    <n v="2190"/>
    <n v="7884"/>
  </r>
  <r>
    <x v="0"/>
    <x v="0"/>
    <x v="0"/>
    <x v="0"/>
    <x v="0"/>
    <s v="DK1_NoDH"/>
    <x v="0"/>
    <x v="0"/>
    <s v="GNR_ENG_BGAS_BP_E-43"/>
    <x v="0"/>
    <x v="6"/>
    <n v="6"/>
    <n v="2190"/>
    <n v="7884"/>
  </r>
  <r>
    <x v="0"/>
    <x v="0"/>
    <x v="0"/>
    <x v="0"/>
    <x v="0"/>
    <s v="DK1_NoDH"/>
    <x v="0"/>
    <x v="0"/>
    <s v="GNR_ENG_BGAS_BP_E-43"/>
    <x v="0"/>
    <x v="7"/>
    <n v="6"/>
    <n v="2190"/>
    <n v="7884"/>
  </r>
  <r>
    <x v="0"/>
    <x v="0"/>
    <x v="0"/>
    <x v="0"/>
    <x v="0"/>
    <s v="DK1_NoDH"/>
    <x v="0"/>
    <x v="0"/>
    <s v="GNR_ENG_BGAS_BP_E-43"/>
    <x v="0"/>
    <x v="8"/>
    <n v="6"/>
    <n v="2190"/>
    <n v="7884"/>
  </r>
  <r>
    <x v="0"/>
    <x v="0"/>
    <x v="0"/>
    <x v="0"/>
    <x v="0"/>
    <s v="DK1_NoDH"/>
    <x v="0"/>
    <x v="0"/>
    <s v="GNR_ENG_BGAS_BP_E-43"/>
    <x v="0"/>
    <x v="9"/>
    <n v="6"/>
    <n v="2190"/>
    <n v="7884"/>
  </r>
  <r>
    <x v="0"/>
    <x v="0"/>
    <x v="0"/>
    <x v="0"/>
    <x v="0"/>
    <s v="DK1_NoDH"/>
    <x v="0"/>
    <x v="0"/>
    <s v="GNR_ENG_BGAS_BP_E-43"/>
    <x v="0"/>
    <x v="10"/>
    <n v="6"/>
    <n v="2190"/>
    <n v="7884"/>
  </r>
  <r>
    <x v="0"/>
    <x v="0"/>
    <x v="0"/>
    <x v="0"/>
    <x v="0"/>
    <s v="DK1_NoDH"/>
    <x v="0"/>
    <x v="0"/>
    <s v="GNR_ENG_BGAS_BP_E-43"/>
    <x v="0"/>
    <x v="11"/>
    <n v="6"/>
    <n v="2190"/>
    <n v="7884"/>
  </r>
  <r>
    <x v="0"/>
    <x v="0"/>
    <x v="0"/>
    <x v="0"/>
    <x v="0"/>
    <s v="DK1_NoDH"/>
    <x v="0"/>
    <x v="0"/>
    <s v="GNR_ENG_BGAS_BP_E-43"/>
    <x v="0"/>
    <x v="12"/>
    <n v="6"/>
    <n v="2190"/>
    <n v="7884"/>
  </r>
  <r>
    <x v="0"/>
    <x v="0"/>
    <x v="0"/>
    <x v="0"/>
    <x v="0"/>
    <s v="DK1_NoDH"/>
    <x v="0"/>
    <x v="0"/>
    <s v="GNR_ENG_BGAS_BP_E-43"/>
    <x v="0"/>
    <x v="13"/>
    <n v="6"/>
    <n v="2190"/>
    <n v="7884"/>
  </r>
  <r>
    <x v="0"/>
    <x v="0"/>
    <x v="0"/>
    <x v="0"/>
    <x v="0"/>
    <s v="DK1_NoDH"/>
    <x v="0"/>
    <x v="0"/>
    <s v="GNR_ENG_BGAS_BP_E-43"/>
    <x v="0"/>
    <x v="14"/>
    <n v="6"/>
    <n v="2190"/>
    <n v="7884"/>
  </r>
  <r>
    <x v="0"/>
    <x v="0"/>
    <x v="0"/>
    <x v="0"/>
    <x v="0"/>
    <s v="DK1_NoDH"/>
    <x v="0"/>
    <x v="0"/>
    <s v="GNR_ENG_BGAS_BP_E-43"/>
    <x v="0"/>
    <x v="15"/>
    <n v="6"/>
    <n v="2190"/>
    <n v="7884"/>
  </r>
  <r>
    <x v="0"/>
    <x v="0"/>
    <x v="0"/>
    <x v="0"/>
    <x v="0"/>
    <s v="DK1_NoDH"/>
    <x v="0"/>
    <x v="0"/>
    <s v="GNR_ENG_BGAS_BP_E-43"/>
    <x v="0"/>
    <x v="16"/>
    <n v="6"/>
    <n v="2190"/>
    <n v="7884"/>
  </r>
  <r>
    <x v="0"/>
    <x v="0"/>
    <x v="0"/>
    <x v="0"/>
    <x v="0"/>
    <s v="DK1_NoDH"/>
    <x v="0"/>
    <x v="0"/>
    <s v="GNR_ENG_BGAS_BP_E-43"/>
    <x v="0"/>
    <x v="17"/>
    <n v="6"/>
    <n v="2190"/>
    <n v="7884"/>
  </r>
  <r>
    <x v="0"/>
    <x v="0"/>
    <x v="0"/>
    <x v="0"/>
    <x v="0"/>
    <s v="DK1_NoDH"/>
    <x v="0"/>
    <x v="0"/>
    <s v="GNR_ENG_BGAS_BP_E-43"/>
    <x v="0"/>
    <x v="18"/>
    <n v="6"/>
    <n v="2190"/>
    <n v="7884"/>
  </r>
  <r>
    <x v="0"/>
    <x v="0"/>
    <x v="0"/>
    <x v="0"/>
    <x v="0"/>
    <s v="DK1_NoDH"/>
    <x v="0"/>
    <x v="0"/>
    <s v="GNR_ENG_BGAS_BP_E-43"/>
    <x v="0"/>
    <x v="19"/>
    <n v="6"/>
    <n v="2190"/>
    <n v="7884"/>
  </r>
  <r>
    <x v="0"/>
    <x v="0"/>
    <x v="0"/>
    <x v="0"/>
    <x v="0"/>
    <s v="DK1_NoDH"/>
    <x v="0"/>
    <x v="0"/>
    <s v="GNR_ENG_BGAS_BP_E-43"/>
    <x v="0"/>
    <x v="20"/>
    <n v="6"/>
    <n v="2190"/>
    <n v="7884"/>
  </r>
  <r>
    <x v="0"/>
    <x v="0"/>
    <x v="0"/>
    <x v="0"/>
    <x v="0"/>
    <s v="DK1_NoDH"/>
    <x v="0"/>
    <x v="0"/>
    <s v="GNR_ENG_BGAS_BP_E-43"/>
    <x v="0"/>
    <x v="21"/>
    <n v="6"/>
    <n v="2190"/>
    <n v="7884"/>
  </r>
  <r>
    <x v="0"/>
    <x v="0"/>
    <x v="0"/>
    <x v="0"/>
    <x v="0"/>
    <s v="DK1_NoDH"/>
    <x v="0"/>
    <x v="0"/>
    <s v="GNR_ENG_BGAS_BP_E-43"/>
    <x v="0"/>
    <x v="22"/>
    <n v="6"/>
    <n v="2190"/>
    <n v="7884"/>
  </r>
  <r>
    <x v="0"/>
    <x v="0"/>
    <x v="0"/>
    <x v="0"/>
    <x v="0"/>
    <s v="DK1_NoDH"/>
    <x v="0"/>
    <x v="0"/>
    <s v="GNR_ENG_BGAS_BP_E-43"/>
    <x v="0"/>
    <x v="23"/>
    <n v="6"/>
    <n v="2190"/>
    <n v="7884"/>
  </r>
  <r>
    <x v="0"/>
    <x v="0"/>
    <x v="0"/>
    <x v="0"/>
    <x v="0"/>
    <s v="DK1_NoDH"/>
    <x v="0"/>
    <x v="2"/>
    <s v="GNR_ENG_BGAS_CND_E-36"/>
    <x v="0"/>
    <x v="0"/>
    <n v="1.4"/>
    <n v="511"/>
    <n v="1839.6"/>
  </r>
  <r>
    <x v="0"/>
    <x v="0"/>
    <x v="0"/>
    <x v="0"/>
    <x v="0"/>
    <s v="DK1_NoDH"/>
    <x v="0"/>
    <x v="2"/>
    <s v="GNR_ENG_BGAS_CND_E-36"/>
    <x v="0"/>
    <x v="1"/>
    <n v="1.4"/>
    <n v="511"/>
    <n v="1839.6"/>
  </r>
  <r>
    <x v="0"/>
    <x v="0"/>
    <x v="0"/>
    <x v="0"/>
    <x v="0"/>
    <s v="DK1_NoDH"/>
    <x v="0"/>
    <x v="2"/>
    <s v="GNR_ENG_BGAS_CND_E-36"/>
    <x v="0"/>
    <x v="2"/>
    <n v="1.4"/>
    <n v="511"/>
    <n v="1839.6"/>
  </r>
  <r>
    <x v="0"/>
    <x v="0"/>
    <x v="0"/>
    <x v="0"/>
    <x v="0"/>
    <s v="DK1_NoDH"/>
    <x v="0"/>
    <x v="2"/>
    <s v="GNR_ENG_BGAS_CND_E-36"/>
    <x v="0"/>
    <x v="3"/>
    <n v="1.4"/>
    <n v="511"/>
    <n v="1839.6"/>
  </r>
  <r>
    <x v="0"/>
    <x v="0"/>
    <x v="0"/>
    <x v="0"/>
    <x v="0"/>
    <s v="DK1_NoDH"/>
    <x v="0"/>
    <x v="2"/>
    <s v="GNR_ENG_BGAS_CND_E-36"/>
    <x v="0"/>
    <x v="4"/>
    <n v="1.4"/>
    <n v="511"/>
    <n v="1839.6"/>
  </r>
  <r>
    <x v="0"/>
    <x v="0"/>
    <x v="0"/>
    <x v="0"/>
    <x v="0"/>
    <s v="DK1_NoDH"/>
    <x v="0"/>
    <x v="2"/>
    <s v="GNR_ENG_BGAS_CND_E-36"/>
    <x v="0"/>
    <x v="5"/>
    <n v="1.4"/>
    <n v="511"/>
    <n v="1839.6"/>
  </r>
  <r>
    <x v="0"/>
    <x v="0"/>
    <x v="0"/>
    <x v="0"/>
    <x v="0"/>
    <s v="DK1_NoDH"/>
    <x v="0"/>
    <x v="2"/>
    <s v="GNR_ENG_BGAS_CND_E-36"/>
    <x v="0"/>
    <x v="6"/>
    <n v="1.4"/>
    <n v="511"/>
    <n v="1839.6"/>
  </r>
  <r>
    <x v="0"/>
    <x v="0"/>
    <x v="0"/>
    <x v="0"/>
    <x v="0"/>
    <s v="DK1_NoDH"/>
    <x v="0"/>
    <x v="2"/>
    <s v="GNR_ENG_BGAS_CND_E-36"/>
    <x v="0"/>
    <x v="7"/>
    <n v="1.4"/>
    <n v="511"/>
    <n v="1839.6"/>
  </r>
  <r>
    <x v="0"/>
    <x v="0"/>
    <x v="0"/>
    <x v="0"/>
    <x v="0"/>
    <s v="DK1_NoDH"/>
    <x v="0"/>
    <x v="2"/>
    <s v="GNR_ENG_BGAS_CND_E-36"/>
    <x v="0"/>
    <x v="8"/>
    <n v="1.4"/>
    <n v="511"/>
    <n v="1839.6"/>
  </r>
  <r>
    <x v="0"/>
    <x v="0"/>
    <x v="0"/>
    <x v="0"/>
    <x v="0"/>
    <s v="DK1_NoDH"/>
    <x v="0"/>
    <x v="2"/>
    <s v="GNR_ENG_BGAS_CND_E-36"/>
    <x v="0"/>
    <x v="9"/>
    <n v="1.4"/>
    <n v="511"/>
    <n v="1839.6"/>
  </r>
  <r>
    <x v="0"/>
    <x v="0"/>
    <x v="0"/>
    <x v="0"/>
    <x v="0"/>
    <s v="DK1_NoDH"/>
    <x v="0"/>
    <x v="2"/>
    <s v="GNR_ENG_BGAS_CND_E-36"/>
    <x v="0"/>
    <x v="10"/>
    <n v="1.4"/>
    <n v="511"/>
    <n v="1839.6"/>
  </r>
  <r>
    <x v="0"/>
    <x v="0"/>
    <x v="0"/>
    <x v="0"/>
    <x v="0"/>
    <s v="DK1_NoDH"/>
    <x v="0"/>
    <x v="2"/>
    <s v="GNR_ENG_BGAS_CND_E-36"/>
    <x v="0"/>
    <x v="11"/>
    <n v="1.4"/>
    <n v="511"/>
    <n v="1839.6"/>
  </r>
  <r>
    <x v="0"/>
    <x v="0"/>
    <x v="0"/>
    <x v="0"/>
    <x v="0"/>
    <s v="DK1_NoDH"/>
    <x v="0"/>
    <x v="2"/>
    <s v="GNR_ENG_BGAS_CND_E-36"/>
    <x v="0"/>
    <x v="12"/>
    <n v="1.4"/>
    <n v="511"/>
    <n v="1839.6"/>
  </r>
  <r>
    <x v="0"/>
    <x v="0"/>
    <x v="0"/>
    <x v="0"/>
    <x v="0"/>
    <s v="DK1_NoDH"/>
    <x v="0"/>
    <x v="2"/>
    <s v="GNR_ENG_BGAS_CND_E-36"/>
    <x v="0"/>
    <x v="13"/>
    <n v="1.4"/>
    <n v="511"/>
    <n v="1839.6"/>
  </r>
  <r>
    <x v="0"/>
    <x v="0"/>
    <x v="0"/>
    <x v="0"/>
    <x v="0"/>
    <s v="DK1_NoDH"/>
    <x v="0"/>
    <x v="2"/>
    <s v="GNR_ENG_BGAS_CND_E-36"/>
    <x v="0"/>
    <x v="14"/>
    <n v="1.4"/>
    <n v="511"/>
    <n v="1839.6"/>
  </r>
  <r>
    <x v="0"/>
    <x v="0"/>
    <x v="0"/>
    <x v="0"/>
    <x v="0"/>
    <s v="DK1_NoDH"/>
    <x v="0"/>
    <x v="2"/>
    <s v="GNR_ENG_BGAS_CND_E-36"/>
    <x v="0"/>
    <x v="15"/>
    <n v="1.4"/>
    <n v="511"/>
    <n v="1839.6"/>
  </r>
  <r>
    <x v="0"/>
    <x v="0"/>
    <x v="0"/>
    <x v="0"/>
    <x v="0"/>
    <s v="DK1_NoDH"/>
    <x v="0"/>
    <x v="2"/>
    <s v="GNR_ENG_BGAS_CND_E-36"/>
    <x v="0"/>
    <x v="16"/>
    <n v="1.4"/>
    <n v="511"/>
    <n v="1839.6"/>
  </r>
  <r>
    <x v="0"/>
    <x v="0"/>
    <x v="0"/>
    <x v="0"/>
    <x v="0"/>
    <s v="DK1_NoDH"/>
    <x v="0"/>
    <x v="2"/>
    <s v="GNR_ENG_BGAS_CND_E-36"/>
    <x v="0"/>
    <x v="17"/>
    <n v="1.4"/>
    <n v="511"/>
    <n v="1839.6"/>
  </r>
  <r>
    <x v="0"/>
    <x v="0"/>
    <x v="0"/>
    <x v="0"/>
    <x v="0"/>
    <s v="DK1_NoDH"/>
    <x v="0"/>
    <x v="2"/>
    <s v="GNR_ENG_BGAS_CND_E-36"/>
    <x v="0"/>
    <x v="18"/>
    <n v="1.4"/>
    <n v="511"/>
    <n v="1839.6"/>
  </r>
  <r>
    <x v="0"/>
    <x v="0"/>
    <x v="0"/>
    <x v="0"/>
    <x v="0"/>
    <s v="DK1_NoDH"/>
    <x v="0"/>
    <x v="2"/>
    <s v="GNR_ENG_BGAS_CND_E-36"/>
    <x v="0"/>
    <x v="19"/>
    <n v="1.4"/>
    <n v="511"/>
    <n v="1839.6"/>
  </r>
  <r>
    <x v="0"/>
    <x v="0"/>
    <x v="0"/>
    <x v="0"/>
    <x v="0"/>
    <s v="DK1_NoDH"/>
    <x v="0"/>
    <x v="2"/>
    <s v="GNR_ENG_BGAS_CND_E-36"/>
    <x v="0"/>
    <x v="20"/>
    <n v="1.4"/>
    <n v="511"/>
    <n v="1839.6"/>
  </r>
  <r>
    <x v="0"/>
    <x v="0"/>
    <x v="0"/>
    <x v="0"/>
    <x v="0"/>
    <s v="DK1_NoDH"/>
    <x v="0"/>
    <x v="2"/>
    <s v="GNR_ENG_BGAS_CND_E-36"/>
    <x v="0"/>
    <x v="21"/>
    <n v="1.4"/>
    <n v="511"/>
    <n v="1839.6"/>
  </r>
  <r>
    <x v="0"/>
    <x v="0"/>
    <x v="0"/>
    <x v="0"/>
    <x v="0"/>
    <s v="DK1_NoDH"/>
    <x v="0"/>
    <x v="2"/>
    <s v="GNR_ENG_BGAS_CND_E-36"/>
    <x v="0"/>
    <x v="22"/>
    <n v="1.4"/>
    <n v="511"/>
    <n v="1839.6"/>
  </r>
  <r>
    <x v="0"/>
    <x v="0"/>
    <x v="0"/>
    <x v="0"/>
    <x v="0"/>
    <s v="DK1_NoDH"/>
    <x v="0"/>
    <x v="2"/>
    <s v="GNR_ENG_BGAS_CND_E-36"/>
    <x v="0"/>
    <x v="23"/>
    <n v="1.4"/>
    <n v="511"/>
    <n v="1839.6"/>
  </r>
  <r>
    <x v="0"/>
    <x v="0"/>
    <x v="0"/>
    <x v="0"/>
    <x v="0"/>
    <s v="DK1_NoDH"/>
    <x v="0"/>
    <x v="2"/>
    <s v="GNR_ENG_BGAS_CND_E-42"/>
    <x v="0"/>
    <x v="0"/>
    <n v="0.35"/>
    <n v="127.75"/>
    <n v="459.9"/>
  </r>
  <r>
    <x v="0"/>
    <x v="0"/>
    <x v="0"/>
    <x v="0"/>
    <x v="0"/>
    <s v="DK1_NoDH"/>
    <x v="0"/>
    <x v="2"/>
    <s v="GNR_ENG_BGAS_CND_E-42"/>
    <x v="0"/>
    <x v="1"/>
    <n v="0.35"/>
    <n v="127.75"/>
    <n v="459.9"/>
  </r>
  <r>
    <x v="0"/>
    <x v="0"/>
    <x v="0"/>
    <x v="0"/>
    <x v="0"/>
    <s v="DK1_NoDH"/>
    <x v="0"/>
    <x v="2"/>
    <s v="GNR_ENG_BGAS_CND_E-42"/>
    <x v="0"/>
    <x v="2"/>
    <n v="0.35"/>
    <n v="127.75"/>
    <n v="459.9"/>
  </r>
  <r>
    <x v="0"/>
    <x v="0"/>
    <x v="0"/>
    <x v="0"/>
    <x v="0"/>
    <s v="DK1_NoDH"/>
    <x v="0"/>
    <x v="2"/>
    <s v="GNR_ENG_BGAS_CND_E-42"/>
    <x v="0"/>
    <x v="3"/>
    <n v="0.35"/>
    <n v="127.75"/>
    <n v="459.9"/>
  </r>
  <r>
    <x v="0"/>
    <x v="0"/>
    <x v="0"/>
    <x v="0"/>
    <x v="0"/>
    <s v="DK1_NoDH"/>
    <x v="0"/>
    <x v="2"/>
    <s v="GNR_ENG_BGAS_CND_E-42"/>
    <x v="0"/>
    <x v="4"/>
    <n v="0.35"/>
    <n v="127.75"/>
    <n v="459.9"/>
  </r>
  <r>
    <x v="0"/>
    <x v="0"/>
    <x v="0"/>
    <x v="0"/>
    <x v="0"/>
    <s v="DK1_NoDH"/>
    <x v="0"/>
    <x v="2"/>
    <s v="GNR_ENG_BGAS_CND_E-42"/>
    <x v="0"/>
    <x v="5"/>
    <n v="0.35"/>
    <n v="127.75"/>
    <n v="459.9"/>
  </r>
  <r>
    <x v="0"/>
    <x v="0"/>
    <x v="0"/>
    <x v="0"/>
    <x v="0"/>
    <s v="DK1_NoDH"/>
    <x v="0"/>
    <x v="2"/>
    <s v="GNR_ENG_BGAS_CND_E-42"/>
    <x v="0"/>
    <x v="6"/>
    <n v="0.35"/>
    <n v="127.75"/>
    <n v="459.9"/>
  </r>
  <r>
    <x v="0"/>
    <x v="0"/>
    <x v="0"/>
    <x v="0"/>
    <x v="0"/>
    <s v="DK1_NoDH"/>
    <x v="0"/>
    <x v="2"/>
    <s v="GNR_ENG_BGAS_CND_E-42"/>
    <x v="0"/>
    <x v="7"/>
    <n v="0.35"/>
    <n v="127.75"/>
    <n v="459.9"/>
  </r>
  <r>
    <x v="0"/>
    <x v="0"/>
    <x v="0"/>
    <x v="0"/>
    <x v="0"/>
    <s v="DK1_NoDH"/>
    <x v="0"/>
    <x v="2"/>
    <s v="GNR_ENG_BGAS_CND_E-42"/>
    <x v="0"/>
    <x v="8"/>
    <n v="0.35"/>
    <n v="127.75"/>
    <n v="459.9"/>
  </r>
  <r>
    <x v="0"/>
    <x v="0"/>
    <x v="0"/>
    <x v="0"/>
    <x v="0"/>
    <s v="DK1_NoDH"/>
    <x v="0"/>
    <x v="2"/>
    <s v="GNR_ENG_BGAS_CND_E-42"/>
    <x v="0"/>
    <x v="9"/>
    <n v="0.35"/>
    <n v="127.75"/>
    <n v="459.9"/>
  </r>
  <r>
    <x v="0"/>
    <x v="0"/>
    <x v="0"/>
    <x v="0"/>
    <x v="0"/>
    <s v="DK1_NoDH"/>
    <x v="0"/>
    <x v="2"/>
    <s v="GNR_ENG_BGAS_CND_E-42"/>
    <x v="0"/>
    <x v="10"/>
    <n v="0.35"/>
    <n v="127.75"/>
    <n v="459.9"/>
  </r>
  <r>
    <x v="0"/>
    <x v="0"/>
    <x v="0"/>
    <x v="0"/>
    <x v="0"/>
    <s v="DK1_NoDH"/>
    <x v="0"/>
    <x v="2"/>
    <s v="GNR_ENG_BGAS_CND_E-42"/>
    <x v="0"/>
    <x v="11"/>
    <n v="0.35"/>
    <n v="127.75"/>
    <n v="459.9"/>
  </r>
  <r>
    <x v="0"/>
    <x v="0"/>
    <x v="0"/>
    <x v="0"/>
    <x v="0"/>
    <s v="DK1_NoDH"/>
    <x v="0"/>
    <x v="2"/>
    <s v="GNR_ENG_BGAS_CND_E-42"/>
    <x v="0"/>
    <x v="12"/>
    <n v="0.35"/>
    <n v="127.75"/>
    <n v="459.9"/>
  </r>
  <r>
    <x v="0"/>
    <x v="0"/>
    <x v="0"/>
    <x v="0"/>
    <x v="0"/>
    <s v="DK1_NoDH"/>
    <x v="0"/>
    <x v="2"/>
    <s v="GNR_ENG_BGAS_CND_E-42"/>
    <x v="0"/>
    <x v="13"/>
    <n v="0.35"/>
    <n v="127.75"/>
    <n v="459.9"/>
  </r>
  <r>
    <x v="0"/>
    <x v="0"/>
    <x v="0"/>
    <x v="0"/>
    <x v="0"/>
    <s v="DK1_NoDH"/>
    <x v="0"/>
    <x v="2"/>
    <s v="GNR_ENG_BGAS_CND_E-42"/>
    <x v="0"/>
    <x v="14"/>
    <n v="0.35"/>
    <n v="127.75"/>
    <n v="459.9"/>
  </r>
  <r>
    <x v="0"/>
    <x v="0"/>
    <x v="0"/>
    <x v="0"/>
    <x v="0"/>
    <s v="DK1_NoDH"/>
    <x v="0"/>
    <x v="2"/>
    <s v="GNR_ENG_BGAS_CND_E-42"/>
    <x v="0"/>
    <x v="15"/>
    <n v="0.35"/>
    <n v="127.75"/>
    <n v="459.9"/>
  </r>
  <r>
    <x v="0"/>
    <x v="0"/>
    <x v="0"/>
    <x v="0"/>
    <x v="0"/>
    <s v="DK1_NoDH"/>
    <x v="0"/>
    <x v="2"/>
    <s v="GNR_ENG_BGAS_CND_E-42"/>
    <x v="0"/>
    <x v="16"/>
    <n v="0.35"/>
    <n v="127.75"/>
    <n v="459.9"/>
  </r>
  <r>
    <x v="0"/>
    <x v="0"/>
    <x v="0"/>
    <x v="0"/>
    <x v="0"/>
    <s v="DK1_NoDH"/>
    <x v="0"/>
    <x v="2"/>
    <s v="GNR_ENG_BGAS_CND_E-42"/>
    <x v="0"/>
    <x v="17"/>
    <n v="0.35"/>
    <n v="127.75"/>
    <n v="459.9"/>
  </r>
  <r>
    <x v="0"/>
    <x v="0"/>
    <x v="0"/>
    <x v="0"/>
    <x v="0"/>
    <s v="DK1_NoDH"/>
    <x v="0"/>
    <x v="2"/>
    <s v="GNR_ENG_BGAS_CND_E-42"/>
    <x v="0"/>
    <x v="18"/>
    <n v="0.35"/>
    <n v="127.75"/>
    <n v="459.9"/>
  </r>
  <r>
    <x v="0"/>
    <x v="0"/>
    <x v="0"/>
    <x v="0"/>
    <x v="0"/>
    <s v="DK1_NoDH"/>
    <x v="0"/>
    <x v="2"/>
    <s v="GNR_ENG_BGAS_CND_E-42"/>
    <x v="0"/>
    <x v="19"/>
    <n v="0.35"/>
    <n v="127.75"/>
    <n v="459.9"/>
  </r>
  <r>
    <x v="0"/>
    <x v="0"/>
    <x v="0"/>
    <x v="0"/>
    <x v="0"/>
    <s v="DK1_NoDH"/>
    <x v="0"/>
    <x v="2"/>
    <s v="GNR_ENG_BGAS_CND_E-42"/>
    <x v="0"/>
    <x v="20"/>
    <n v="0.35"/>
    <n v="127.75"/>
    <n v="459.9"/>
  </r>
  <r>
    <x v="0"/>
    <x v="0"/>
    <x v="0"/>
    <x v="0"/>
    <x v="0"/>
    <s v="DK1_NoDH"/>
    <x v="0"/>
    <x v="2"/>
    <s v="GNR_ENG_BGAS_CND_E-42"/>
    <x v="0"/>
    <x v="21"/>
    <n v="0.35"/>
    <n v="127.75"/>
    <n v="459.9"/>
  </r>
  <r>
    <x v="0"/>
    <x v="0"/>
    <x v="0"/>
    <x v="0"/>
    <x v="0"/>
    <s v="DK1_NoDH"/>
    <x v="0"/>
    <x v="2"/>
    <s v="GNR_ENG_BGAS_CND_E-42"/>
    <x v="0"/>
    <x v="22"/>
    <n v="0.35"/>
    <n v="127.75"/>
    <n v="459.9"/>
  </r>
  <r>
    <x v="0"/>
    <x v="0"/>
    <x v="0"/>
    <x v="0"/>
    <x v="0"/>
    <s v="DK1_NoDH"/>
    <x v="0"/>
    <x v="2"/>
    <s v="GNR_ENG_BGAS_CND_E-42"/>
    <x v="0"/>
    <x v="23"/>
    <n v="0.35"/>
    <n v="127.75"/>
    <n v="459.9"/>
  </r>
  <r>
    <x v="0"/>
    <x v="0"/>
    <x v="0"/>
    <x v="0"/>
    <x v="0"/>
    <s v="DK1_NoDH"/>
    <x v="5"/>
    <x v="3"/>
    <s v="GNR_PV_SUN"/>
    <x v="0"/>
    <x v="8"/>
    <n v="11.5255572480597"/>
    <n v="4206.8283955417901"/>
    <n v="15144.5822239504"/>
  </r>
  <r>
    <x v="0"/>
    <x v="0"/>
    <x v="0"/>
    <x v="0"/>
    <x v="0"/>
    <s v="DK1_NoDH"/>
    <x v="5"/>
    <x v="3"/>
    <s v="GNR_PV_SUN"/>
    <x v="0"/>
    <x v="9"/>
    <n v="86.766759180264799"/>
    <n v="31669.867100796699"/>
    <n v="114011.521562868"/>
  </r>
  <r>
    <x v="0"/>
    <x v="0"/>
    <x v="0"/>
    <x v="0"/>
    <x v="0"/>
    <s v="DK1_NoDH"/>
    <x v="5"/>
    <x v="3"/>
    <s v="GNR_PV_SUN"/>
    <x v="0"/>
    <x v="10"/>
    <n v="200.426485272669"/>
    <n v="73155.667124524203"/>
    <n v="263360.40164828702"/>
  </r>
  <r>
    <x v="0"/>
    <x v="0"/>
    <x v="0"/>
    <x v="0"/>
    <x v="0"/>
    <s v="DK1_NoDH"/>
    <x v="5"/>
    <x v="3"/>
    <s v="GNR_PV_SUN"/>
    <x v="0"/>
    <x v="11"/>
    <n v="305.22039809733502"/>
    <n v="111405.445305527"/>
    <n v="401059.60309989803"/>
  </r>
  <r>
    <x v="0"/>
    <x v="0"/>
    <x v="0"/>
    <x v="0"/>
    <x v="0"/>
    <s v="DK1_NoDH"/>
    <x v="5"/>
    <x v="3"/>
    <s v="GNR_PV_SUN"/>
    <x v="0"/>
    <x v="12"/>
    <n v="347.00793129927399"/>
    <n v="126657.89492423501"/>
    <n v="455968.42172724602"/>
  </r>
  <r>
    <x v="0"/>
    <x v="0"/>
    <x v="0"/>
    <x v="0"/>
    <x v="0"/>
    <s v="DK1_NoDH"/>
    <x v="5"/>
    <x v="3"/>
    <s v="GNR_PV_SUN"/>
    <x v="0"/>
    <x v="13"/>
    <n v="301.73317821202397"/>
    <n v="110132.610047389"/>
    <n v="396477.39617060003"/>
  </r>
  <r>
    <x v="0"/>
    <x v="0"/>
    <x v="0"/>
    <x v="0"/>
    <x v="0"/>
    <s v="DK1_NoDH"/>
    <x v="5"/>
    <x v="3"/>
    <s v="GNR_PV_SUN"/>
    <x v="0"/>
    <x v="14"/>
    <n v="196.348211169509"/>
    <n v="71667.097076870894"/>
    <n v="258001.549476735"/>
  </r>
  <r>
    <x v="0"/>
    <x v="0"/>
    <x v="0"/>
    <x v="0"/>
    <x v="0"/>
    <s v="DK1_NoDH"/>
    <x v="5"/>
    <x v="3"/>
    <s v="GNR_PV_SUN"/>
    <x v="0"/>
    <x v="15"/>
    <n v="99.415319442238001"/>
    <n v="36286.591596416903"/>
    <n v="130631.729747101"/>
  </r>
  <r>
    <x v="0"/>
    <x v="0"/>
    <x v="0"/>
    <x v="0"/>
    <x v="0"/>
    <s v="DK1_NoDH"/>
    <x v="5"/>
    <x v="3"/>
    <s v="GNR_PV_SUN"/>
    <x v="0"/>
    <x v="16"/>
    <n v="12.944087370897799"/>
    <n v="4724.5918903777001"/>
    <n v="17008.5308053597"/>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2"/>
    <n v="3.81847406923176"/>
    <n v="1393.7430352695901"/>
    <n v="5017.4749269705299"/>
  </r>
  <r>
    <x v="0"/>
    <x v="0"/>
    <x v="0"/>
    <x v="0"/>
    <x v="0"/>
    <s v="DK1_NoDH"/>
    <x v="6"/>
    <x v="4"/>
    <s v="GNR_ROR_WTR"/>
    <x v="0"/>
    <x v="3"/>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8"/>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0"/>
    <n v="30.762561377727302"/>
    <n v="11228.3349028705"/>
    <n v="40422.005650333696"/>
  </r>
  <r>
    <x v="0"/>
    <x v="0"/>
    <x v="0"/>
    <x v="0"/>
    <x v="0"/>
    <s v="DK1_NoDH"/>
    <x v="7"/>
    <x v="5"/>
    <s v="GNR_WT_WIND_ONS"/>
    <x v="0"/>
    <x v="1"/>
    <n v="28.087556040533599"/>
    <n v="10251.9579547948"/>
    <n v="36907.048637261199"/>
  </r>
  <r>
    <x v="0"/>
    <x v="0"/>
    <x v="0"/>
    <x v="0"/>
    <x v="0"/>
    <s v="DK1_NoDH"/>
    <x v="7"/>
    <x v="5"/>
    <s v="GNR_WT_WIND_ONS"/>
    <x v="0"/>
    <x v="2"/>
    <n v="13.3750266859684"/>
    <n v="4881.8847403784603"/>
    <n v="17574.785065362499"/>
  </r>
  <r>
    <x v="0"/>
    <x v="0"/>
    <x v="0"/>
    <x v="0"/>
    <x v="0"/>
    <s v="DK1_NoDH"/>
    <x v="7"/>
    <x v="5"/>
    <s v="GNR_WT_WIND_ONS"/>
    <x v="0"/>
    <x v="3"/>
    <n v="14.7125293545652"/>
    <n v="5370.0732144163103"/>
    <n v="19332.2635718987"/>
  </r>
  <r>
    <x v="0"/>
    <x v="0"/>
    <x v="0"/>
    <x v="0"/>
    <x v="0"/>
    <s v="DK1_NoDH"/>
    <x v="7"/>
    <x v="5"/>
    <s v="GNR_WT_WIND_ONS"/>
    <x v="0"/>
    <x v="4"/>
    <n v="26.750053371936801"/>
    <n v="9763.7694807569205"/>
    <n v="35149.570130724896"/>
  </r>
  <r>
    <x v="0"/>
    <x v="0"/>
    <x v="0"/>
    <x v="0"/>
    <x v="0"/>
    <s v="DK1_NoDH"/>
    <x v="7"/>
    <x v="5"/>
    <s v="GNR_WT_WIND_ONS"/>
    <x v="0"/>
    <x v="5"/>
    <n v="46.812593400889398"/>
    <n v="17086.5965913246"/>
    <n v="61511.747728768598"/>
  </r>
  <r>
    <x v="0"/>
    <x v="0"/>
    <x v="0"/>
    <x v="0"/>
    <x v="0"/>
    <s v="DK1_NoDH"/>
    <x v="7"/>
    <x v="5"/>
    <s v="GNR_WT_WIND_ONS"/>
    <x v="0"/>
    <x v="6"/>
    <n v="94.962689470375594"/>
    <n v="34661.381656687103"/>
    <n v="124780.973964073"/>
  </r>
  <r>
    <x v="0"/>
    <x v="0"/>
    <x v="0"/>
    <x v="0"/>
    <x v="0"/>
    <s v="DK1_NoDH"/>
    <x v="7"/>
    <x v="5"/>
    <s v="GNR_WT_WIND_ONS"/>
    <x v="0"/>
    <x v="7"/>
    <n v="197.950394952332"/>
    <n v="72251.8941576012"/>
    <n v="260106.818967364"/>
  </r>
  <r>
    <x v="0"/>
    <x v="0"/>
    <x v="0"/>
    <x v="0"/>
    <x v="0"/>
    <s v="DK1_NoDH"/>
    <x v="7"/>
    <x v="5"/>
    <s v="GNR_WT_WIND_ONS"/>
    <x v="0"/>
    <x v="8"/>
    <n v="327.68815380622601"/>
    <n v="119606.17613927199"/>
    <n v="430582.23410137999"/>
  </r>
  <r>
    <x v="0"/>
    <x v="0"/>
    <x v="0"/>
    <x v="0"/>
    <x v="0"/>
    <s v="DK1_NoDH"/>
    <x v="7"/>
    <x v="5"/>
    <s v="GNR_WT_WIND_ONS"/>
    <x v="0"/>
    <x v="9"/>
    <n v="484.17596603205601"/>
    <n v="176724.2276017"/>
    <n v="636207.21936612099"/>
  </r>
  <r>
    <x v="0"/>
    <x v="0"/>
    <x v="0"/>
    <x v="0"/>
    <x v="0"/>
    <s v="DK1_NoDH"/>
    <x v="7"/>
    <x v="5"/>
    <s v="GNR_WT_WIND_ONS"/>
    <x v="0"/>
    <x v="10"/>
    <n v="643.33878359507901"/>
    <n v="234818.65601220401"/>
    <n v="845347.16164393397"/>
  </r>
  <r>
    <x v="0"/>
    <x v="0"/>
    <x v="0"/>
    <x v="0"/>
    <x v="0"/>
    <s v="DK1_NoDH"/>
    <x v="7"/>
    <x v="5"/>
    <s v="GNR_WT_WIND_ONS"/>
    <x v="0"/>
    <x v="11"/>
    <n v="787.78907180353804"/>
    <n v="287543.01120829099"/>
    <n v="1035154.84034985"/>
  </r>
  <r>
    <x v="0"/>
    <x v="0"/>
    <x v="0"/>
    <x v="0"/>
    <x v="0"/>
    <s v="DK1_NoDH"/>
    <x v="7"/>
    <x v="5"/>
    <s v="GNR_WT_WIND_ONS"/>
    <x v="0"/>
    <x v="12"/>
    <n v="872.05173992513903"/>
    <n v="318298.885072676"/>
    <n v="1145875.98626163"/>
  </r>
  <r>
    <x v="0"/>
    <x v="0"/>
    <x v="0"/>
    <x v="0"/>
    <x v="0"/>
    <s v="DK1_NoDH"/>
    <x v="7"/>
    <x v="5"/>
    <s v="GNR_WT_WIND_ONS"/>
    <x v="0"/>
    <x v="13"/>
    <n v="1031.2145574881599"/>
    <n v="376393.31348317902"/>
    <n v="1355015.92853945"/>
  </r>
  <r>
    <x v="0"/>
    <x v="0"/>
    <x v="0"/>
    <x v="0"/>
    <x v="0"/>
    <s v="DK1_NoDH"/>
    <x v="7"/>
    <x v="5"/>
    <s v="GNR_WT_WIND_ONS"/>
    <x v="0"/>
    <x v="14"/>
    <n v="1172.98984035943"/>
    <n v="428141.29173119098"/>
    <n v="1541308.6502322899"/>
  </r>
  <r>
    <x v="0"/>
    <x v="0"/>
    <x v="0"/>
    <x v="0"/>
    <x v="0"/>
    <s v="DK1_NoDH"/>
    <x v="7"/>
    <x v="5"/>
    <s v="GNR_WT_WIND_ONS"/>
    <x v="0"/>
    <x v="15"/>
    <n v="1404.37780202668"/>
    <n v="512597.89773973898"/>
    <n v="1845352.43186306"/>
  </r>
  <r>
    <x v="0"/>
    <x v="0"/>
    <x v="0"/>
    <x v="0"/>
    <x v="0"/>
    <s v="DK1_NoDH"/>
    <x v="7"/>
    <x v="5"/>
    <s v="GNR_WT_WIND_ONS"/>
    <x v="0"/>
    <x v="16"/>
    <n v="1746.7784851874701"/>
    <n v="637574.14709342702"/>
    <n v="2295266.9295363398"/>
  </r>
  <r>
    <x v="0"/>
    <x v="0"/>
    <x v="0"/>
    <x v="0"/>
    <x v="0"/>
    <s v="DK1_NoDH"/>
    <x v="7"/>
    <x v="5"/>
    <s v="GNR_WT_WIND_ONS"/>
    <x v="0"/>
    <x v="17"/>
    <n v="2201.5293925104002"/>
    <n v="803558.22826629505"/>
    <n v="2892809.6217586598"/>
  </r>
  <r>
    <x v="0"/>
    <x v="0"/>
    <x v="0"/>
    <x v="0"/>
    <x v="0"/>
    <s v="DK1_NoDH"/>
    <x v="7"/>
    <x v="5"/>
    <s v="GNR_WT_WIND_ONS"/>
    <x v="0"/>
    <x v="18"/>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0"/>
    <n v="10.826956579742401"/>
    <n v="3951.8391516059701"/>
    <n v="14226.6209457815"/>
  </r>
  <r>
    <x v="0"/>
    <x v="0"/>
    <x v="0"/>
    <x v="0"/>
    <x v="0"/>
    <s v="DK1_Offshore"/>
    <x v="7"/>
    <x v="5"/>
    <s v="GNR_WT_WIND_OFF"/>
    <x v="0"/>
    <x v="1"/>
    <n v="9.88548209454739"/>
    <n v="3608.2009645098001"/>
    <n v="12989.5234722353"/>
  </r>
  <r>
    <x v="0"/>
    <x v="0"/>
    <x v="0"/>
    <x v="0"/>
    <x v="0"/>
    <s v="DK1_Offshore"/>
    <x v="7"/>
    <x v="5"/>
    <s v="GNR_WT_WIND_OFF"/>
    <x v="0"/>
    <x v="2"/>
    <n v="4.7073724259749499"/>
    <n v="1718.1909354808599"/>
    <n v="6185.4873677310798"/>
  </r>
  <r>
    <x v="0"/>
    <x v="0"/>
    <x v="0"/>
    <x v="0"/>
    <x v="0"/>
    <s v="DK1_Offshore"/>
    <x v="7"/>
    <x v="5"/>
    <s v="GNR_WT_WIND_OFF"/>
    <x v="0"/>
    <x v="3"/>
    <n v="5.1781096685724401"/>
    <n v="1890.0100290289399"/>
    <n v="6804.03610450419"/>
  </r>
  <r>
    <x v="0"/>
    <x v="0"/>
    <x v="0"/>
    <x v="0"/>
    <x v="0"/>
    <s v="DK1_Offshore"/>
    <x v="7"/>
    <x v="5"/>
    <s v="GNR_WT_WIND_OFF"/>
    <x v="0"/>
    <x v="4"/>
    <n v="9.4147448519498997"/>
    <n v="3436.3818709617099"/>
    <n v="12370.9747354622"/>
  </r>
  <r>
    <x v="0"/>
    <x v="0"/>
    <x v="0"/>
    <x v="0"/>
    <x v="0"/>
    <s v="DK1_Offshore"/>
    <x v="7"/>
    <x v="5"/>
    <s v="GNR_WT_WIND_OFF"/>
    <x v="0"/>
    <x v="5"/>
    <n v="16.475803490912298"/>
    <n v="6013.668274183"/>
    <n v="21649.2057870588"/>
  </r>
  <r>
    <x v="0"/>
    <x v="0"/>
    <x v="0"/>
    <x v="0"/>
    <x v="0"/>
    <s v="DK1_Offshore"/>
    <x v="7"/>
    <x v="5"/>
    <s v="GNR_WT_WIND_OFF"/>
    <x v="0"/>
    <x v="6"/>
    <n v="33.422344224422098"/>
    <n v="12199.1556419141"/>
    <n v="43916.960310890703"/>
  </r>
  <r>
    <x v="0"/>
    <x v="0"/>
    <x v="0"/>
    <x v="0"/>
    <x v="0"/>
    <s v="DK1_Offshore"/>
    <x v="7"/>
    <x v="5"/>
    <s v="GNR_WT_WIND_OFF"/>
    <x v="0"/>
    <x v="7"/>
    <n v="69.669111904429201"/>
    <n v="25429.2258451167"/>
    <n v="91545.21304242"/>
  </r>
  <r>
    <x v="0"/>
    <x v="0"/>
    <x v="0"/>
    <x v="0"/>
    <x v="0"/>
    <s v="DK1_Offshore"/>
    <x v="7"/>
    <x v="5"/>
    <s v="GNR_WT_WIND_OFF"/>
    <x v="0"/>
    <x v="8"/>
    <n v="115.330624436386"/>
    <n v="42095.677919280999"/>
    <n v="151544.440509412"/>
  </r>
  <r>
    <x v="0"/>
    <x v="0"/>
    <x v="0"/>
    <x v="0"/>
    <x v="0"/>
    <s v="DK1_Offshore"/>
    <x v="7"/>
    <x v="5"/>
    <s v="GNR_WT_WIND_OFF"/>
    <x v="0"/>
    <x v="9"/>
    <n v="170.40688182029299"/>
    <n v="62198.511864407003"/>
    <n v="223914.64271186499"/>
  </r>
  <r>
    <x v="0"/>
    <x v="0"/>
    <x v="0"/>
    <x v="0"/>
    <x v="0"/>
    <s v="DK1_Offshore"/>
    <x v="7"/>
    <x v="5"/>
    <s v="GNR_WT_WIND_OFF"/>
    <x v="0"/>
    <x v="10"/>
    <n v="226.42461368939499"/>
    <n v="82644.983996629206"/>
    <n v="297521.94238786498"/>
  </r>
  <r>
    <x v="0"/>
    <x v="0"/>
    <x v="0"/>
    <x v="0"/>
    <x v="0"/>
    <s v="DK1_Offshore"/>
    <x v="7"/>
    <x v="5"/>
    <s v="GNR_WT_WIND_OFF"/>
    <x v="0"/>
    <x v="11"/>
    <n v="277.26423588992498"/>
    <n v="101201.446099822"/>
    <n v="364325.20595936099"/>
  </r>
  <r>
    <x v="0"/>
    <x v="0"/>
    <x v="0"/>
    <x v="0"/>
    <x v="0"/>
    <s v="DK1_Offshore"/>
    <x v="7"/>
    <x v="5"/>
    <s v="GNR_WT_WIND_OFF"/>
    <x v="0"/>
    <x v="12"/>
    <n v="306.920682173567"/>
    <n v="112026.048993352"/>
    <n v="403293.77637606702"/>
  </r>
  <r>
    <x v="0"/>
    <x v="0"/>
    <x v="0"/>
    <x v="0"/>
    <x v="0"/>
    <s v="DK1_Offshore"/>
    <x v="7"/>
    <x v="5"/>
    <s v="GNR_WT_WIND_OFF"/>
    <x v="0"/>
    <x v="13"/>
    <n v="362.93841404266902"/>
    <n v="132472.52112557401"/>
    <n v="476901.076052066"/>
  </r>
  <r>
    <x v="0"/>
    <x v="0"/>
    <x v="0"/>
    <x v="0"/>
    <x v="0"/>
    <s v="DK1_Offshore"/>
    <x v="7"/>
    <x v="5"/>
    <s v="GNR_WT_WIND_OFF"/>
    <x v="0"/>
    <x v="14"/>
    <n v="412.83656175800297"/>
    <n v="150685.34504167101"/>
    <n v="542467.24215001601"/>
  </r>
  <r>
    <x v="0"/>
    <x v="0"/>
    <x v="0"/>
    <x v="0"/>
    <x v="0"/>
    <s v="DK1_Offshore"/>
    <x v="7"/>
    <x v="5"/>
    <s v="GNR_WT_WIND_OFF"/>
    <x v="0"/>
    <x v="15"/>
    <n v="494.27410472737"/>
    <n v="180410.04822549"/>
    <n v="649476.17361176398"/>
  </r>
  <r>
    <x v="0"/>
    <x v="0"/>
    <x v="0"/>
    <x v="0"/>
    <x v="0"/>
    <s v="DK1_Offshore"/>
    <x v="7"/>
    <x v="5"/>
    <s v="GNR_WT_WIND_OFF"/>
    <x v="0"/>
    <x v="16"/>
    <n v="614.78283883232803"/>
    <n v="224395.73617379999"/>
    <n v="807824.65022567997"/>
  </r>
  <r>
    <x v="0"/>
    <x v="0"/>
    <x v="0"/>
    <x v="0"/>
    <x v="0"/>
    <s v="DK1_Offshore"/>
    <x v="7"/>
    <x v="5"/>
    <s v="GNR_WT_WIND_OFF"/>
    <x v="0"/>
    <x v="17"/>
    <n v="774.83350131547695"/>
    <n v="282814.22798014898"/>
    <n v="1018131.22072854"/>
  </r>
  <r>
    <x v="0"/>
    <x v="0"/>
    <x v="0"/>
    <x v="0"/>
    <x v="0"/>
    <s v="DK1_Offshore"/>
    <x v="7"/>
    <x v="5"/>
    <s v="GNR_WT_WIND_OFF"/>
    <x v="0"/>
    <x v="18"/>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0"/>
    <x v="0"/>
    <s v="GNR_ENG_BGAS_BP_E-30"/>
    <x v="0"/>
    <x v="0"/>
    <n v="6"/>
    <n v="2190"/>
    <n v="7884"/>
  </r>
  <r>
    <x v="0"/>
    <x v="0"/>
    <x v="0"/>
    <x v="0"/>
    <x v="0"/>
    <s v="DK1_Rural"/>
    <x v="0"/>
    <x v="0"/>
    <s v="GNR_ENG_BGAS_BP_E-30"/>
    <x v="0"/>
    <x v="1"/>
    <n v="6"/>
    <n v="2190"/>
    <n v="7884"/>
  </r>
  <r>
    <x v="0"/>
    <x v="0"/>
    <x v="0"/>
    <x v="0"/>
    <x v="0"/>
    <s v="DK1_Rural"/>
    <x v="0"/>
    <x v="0"/>
    <s v="GNR_ENG_BGAS_BP_E-30"/>
    <x v="0"/>
    <x v="2"/>
    <n v="6"/>
    <n v="2190"/>
    <n v="7884"/>
  </r>
  <r>
    <x v="0"/>
    <x v="0"/>
    <x v="0"/>
    <x v="0"/>
    <x v="0"/>
    <s v="DK1_Rural"/>
    <x v="0"/>
    <x v="0"/>
    <s v="GNR_ENG_BGAS_BP_E-30"/>
    <x v="0"/>
    <x v="3"/>
    <n v="6"/>
    <n v="2190"/>
    <n v="7884"/>
  </r>
  <r>
    <x v="0"/>
    <x v="0"/>
    <x v="0"/>
    <x v="0"/>
    <x v="0"/>
    <s v="DK1_Rural"/>
    <x v="0"/>
    <x v="0"/>
    <s v="GNR_ENG_BGAS_BP_E-30"/>
    <x v="0"/>
    <x v="4"/>
    <n v="6"/>
    <n v="2190"/>
    <n v="7884"/>
  </r>
  <r>
    <x v="0"/>
    <x v="0"/>
    <x v="0"/>
    <x v="0"/>
    <x v="0"/>
    <s v="DK1_Rural"/>
    <x v="0"/>
    <x v="0"/>
    <s v="GNR_ENG_BGAS_BP_E-30"/>
    <x v="0"/>
    <x v="5"/>
    <n v="6"/>
    <n v="2190"/>
    <n v="7884"/>
  </r>
  <r>
    <x v="0"/>
    <x v="0"/>
    <x v="0"/>
    <x v="0"/>
    <x v="0"/>
    <s v="DK1_Rural"/>
    <x v="0"/>
    <x v="0"/>
    <s v="GNR_ENG_BGAS_BP_E-30"/>
    <x v="0"/>
    <x v="6"/>
    <n v="6"/>
    <n v="2190"/>
    <n v="7884"/>
  </r>
  <r>
    <x v="0"/>
    <x v="0"/>
    <x v="0"/>
    <x v="0"/>
    <x v="0"/>
    <s v="DK1_Rural"/>
    <x v="0"/>
    <x v="0"/>
    <s v="GNR_ENG_BGAS_BP_E-30"/>
    <x v="0"/>
    <x v="7"/>
    <n v="6"/>
    <n v="2190"/>
    <n v="7884"/>
  </r>
  <r>
    <x v="0"/>
    <x v="0"/>
    <x v="0"/>
    <x v="0"/>
    <x v="0"/>
    <s v="DK1_Rural"/>
    <x v="0"/>
    <x v="0"/>
    <s v="GNR_ENG_BGAS_BP_E-30"/>
    <x v="0"/>
    <x v="8"/>
    <n v="6"/>
    <n v="2190"/>
    <n v="7884"/>
  </r>
  <r>
    <x v="0"/>
    <x v="0"/>
    <x v="0"/>
    <x v="0"/>
    <x v="0"/>
    <s v="DK1_Rural"/>
    <x v="0"/>
    <x v="0"/>
    <s v="GNR_ENG_BGAS_BP_E-30"/>
    <x v="0"/>
    <x v="9"/>
    <n v="6"/>
    <n v="2190"/>
    <n v="7884"/>
  </r>
  <r>
    <x v="0"/>
    <x v="0"/>
    <x v="0"/>
    <x v="0"/>
    <x v="0"/>
    <s v="DK1_Rural"/>
    <x v="0"/>
    <x v="0"/>
    <s v="GNR_ENG_BGAS_BP_E-30"/>
    <x v="0"/>
    <x v="10"/>
    <n v="6"/>
    <n v="2190"/>
    <n v="7884"/>
  </r>
  <r>
    <x v="0"/>
    <x v="0"/>
    <x v="0"/>
    <x v="0"/>
    <x v="0"/>
    <s v="DK1_Rural"/>
    <x v="0"/>
    <x v="0"/>
    <s v="GNR_ENG_BGAS_BP_E-30"/>
    <x v="0"/>
    <x v="11"/>
    <n v="6"/>
    <n v="2190"/>
    <n v="7884"/>
  </r>
  <r>
    <x v="0"/>
    <x v="0"/>
    <x v="0"/>
    <x v="0"/>
    <x v="0"/>
    <s v="DK1_Rural"/>
    <x v="0"/>
    <x v="0"/>
    <s v="GNR_ENG_BGAS_BP_E-30"/>
    <x v="0"/>
    <x v="12"/>
    <n v="6"/>
    <n v="2190"/>
    <n v="7884"/>
  </r>
  <r>
    <x v="0"/>
    <x v="0"/>
    <x v="0"/>
    <x v="0"/>
    <x v="0"/>
    <s v="DK1_Rural"/>
    <x v="0"/>
    <x v="0"/>
    <s v="GNR_ENG_BGAS_BP_E-30"/>
    <x v="0"/>
    <x v="13"/>
    <n v="6"/>
    <n v="2190"/>
    <n v="7884"/>
  </r>
  <r>
    <x v="0"/>
    <x v="0"/>
    <x v="0"/>
    <x v="0"/>
    <x v="0"/>
    <s v="DK1_Rural"/>
    <x v="0"/>
    <x v="0"/>
    <s v="GNR_ENG_BGAS_BP_E-30"/>
    <x v="0"/>
    <x v="14"/>
    <n v="6"/>
    <n v="2190"/>
    <n v="7884"/>
  </r>
  <r>
    <x v="0"/>
    <x v="0"/>
    <x v="0"/>
    <x v="0"/>
    <x v="0"/>
    <s v="DK1_Rural"/>
    <x v="0"/>
    <x v="0"/>
    <s v="GNR_ENG_BGAS_BP_E-30"/>
    <x v="0"/>
    <x v="15"/>
    <n v="6"/>
    <n v="2190"/>
    <n v="7884"/>
  </r>
  <r>
    <x v="0"/>
    <x v="0"/>
    <x v="0"/>
    <x v="0"/>
    <x v="0"/>
    <s v="DK1_Rural"/>
    <x v="0"/>
    <x v="0"/>
    <s v="GNR_ENG_BGAS_BP_E-30"/>
    <x v="0"/>
    <x v="16"/>
    <n v="6"/>
    <n v="2190"/>
    <n v="7884"/>
  </r>
  <r>
    <x v="0"/>
    <x v="0"/>
    <x v="0"/>
    <x v="0"/>
    <x v="0"/>
    <s v="DK1_Rural"/>
    <x v="0"/>
    <x v="0"/>
    <s v="GNR_ENG_BGAS_BP_E-30"/>
    <x v="0"/>
    <x v="17"/>
    <n v="6"/>
    <n v="2190"/>
    <n v="7884"/>
  </r>
  <r>
    <x v="0"/>
    <x v="0"/>
    <x v="0"/>
    <x v="0"/>
    <x v="0"/>
    <s v="DK1_Rural"/>
    <x v="0"/>
    <x v="0"/>
    <s v="GNR_ENG_BGAS_BP_E-30"/>
    <x v="0"/>
    <x v="18"/>
    <n v="6"/>
    <n v="2190"/>
    <n v="7884"/>
  </r>
  <r>
    <x v="0"/>
    <x v="0"/>
    <x v="0"/>
    <x v="0"/>
    <x v="0"/>
    <s v="DK1_Rural"/>
    <x v="0"/>
    <x v="0"/>
    <s v="GNR_ENG_BGAS_BP_E-30"/>
    <x v="0"/>
    <x v="19"/>
    <n v="6"/>
    <n v="2190"/>
    <n v="7884"/>
  </r>
  <r>
    <x v="0"/>
    <x v="0"/>
    <x v="0"/>
    <x v="0"/>
    <x v="0"/>
    <s v="DK1_Rural"/>
    <x v="0"/>
    <x v="0"/>
    <s v="GNR_ENG_BGAS_BP_E-30"/>
    <x v="0"/>
    <x v="20"/>
    <n v="6"/>
    <n v="2190"/>
    <n v="7884"/>
  </r>
  <r>
    <x v="0"/>
    <x v="0"/>
    <x v="0"/>
    <x v="0"/>
    <x v="0"/>
    <s v="DK1_Rural"/>
    <x v="0"/>
    <x v="0"/>
    <s v="GNR_ENG_BGAS_BP_E-30"/>
    <x v="0"/>
    <x v="21"/>
    <n v="6"/>
    <n v="2190"/>
    <n v="7884"/>
  </r>
  <r>
    <x v="0"/>
    <x v="0"/>
    <x v="0"/>
    <x v="0"/>
    <x v="0"/>
    <s v="DK1_Rural"/>
    <x v="0"/>
    <x v="0"/>
    <s v="GNR_ENG_BGAS_BP_E-30"/>
    <x v="0"/>
    <x v="22"/>
    <n v="6"/>
    <n v="2190"/>
    <n v="7884"/>
  </r>
  <r>
    <x v="0"/>
    <x v="0"/>
    <x v="0"/>
    <x v="0"/>
    <x v="0"/>
    <s v="DK1_Rural"/>
    <x v="0"/>
    <x v="0"/>
    <s v="GNR_ENG_BGAS_BP_E-30"/>
    <x v="0"/>
    <x v="23"/>
    <n v="6"/>
    <n v="2190"/>
    <n v="7884"/>
  </r>
  <r>
    <x v="0"/>
    <x v="0"/>
    <x v="0"/>
    <x v="0"/>
    <x v="0"/>
    <s v="DK1_Rural"/>
    <x v="0"/>
    <x v="0"/>
    <s v="GNR_ENG_BGAS_BP_E-34"/>
    <x v="0"/>
    <x v="0"/>
    <n v="1.0329999999999999"/>
    <n v="377.04500000000002"/>
    <n v="1357.3620000000001"/>
  </r>
  <r>
    <x v="0"/>
    <x v="0"/>
    <x v="0"/>
    <x v="0"/>
    <x v="0"/>
    <s v="DK1_Rural"/>
    <x v="0"/>
    <x v="0"/>
    <s v="GNR_ENG_BGAS_BP_E-34"/>
    <x v="0"/>
    <x v="1"/>
    <n v="1.0329999999999999"/>
    <n v="377.04500000000002"/>
    <n v="1357.3620000000001"/>
  </r>
  <r>
    <x v="0"/>
    <x v="0"/>
    <x v="0"/>
    <x v="0"/>
    <x v="0"/>
    <s v="DK1_Rural"/>
    <x v="0"/>
    <x v="0"/>
    <s v="GNR_ENG_BGAS_BP_E-34"/>
    <x v="0"/>
    <x v="2"/>
    <n v="1.0329999999999999"/>
    <n v="377.04500000000002"/>
    <n v="1357.3620000000001"/>
  </r>
  <r>
    <x v="0"/>
    <x v="0"/>
    <x v="0"/>
    <x v="0"/>
    <x v="0"/>
    <s v="DK1_Rural"/>
    <x v="0"/>
    <x v="0"/>
    <s v="GNR_ENG_BGAS_BP_E-34"/>
    <x v="0"/>
    <x v="3"/>
    <n v="1.0329999999999999"/>
    <n v="377.04500000000002"/>
    <n v="1357.3620000000001"/>
  </r>
  <r>
    <x v="0"/>
    <x v="0"/>
    <x v="0"/>
    <x v="0"/>
    <x v="0"/>
    <s v="DK1_Rural"/>
    <x v="0"/>
    <x v="0"/>
    <s v="GNR_ENG_BGAS_BP_E-34"/>
    <x v="0"/>
    <x v="4"/>
    <n v="1.0329999999999999"/>
    <n v="377.04500000000002"/>
    <n v="1357.3620000000001"/>
  </r>
  <r>
    <x v="0"/>
    <x v="0"/>
    <x v="0"/>
    <x v="0"/>
    <x v="0"/>
    <s v="DK1_Rural"/>
    <x v="0"/>
    <x v="0"/>
    <s v="GNR_ENG_BGAS_BP_E-34"/>
    <x v="0"/>
    <x v="5"/>
    <n v="1.0329999999999999"/>
    <n v="377.04500000000002"/>
    <n v="1357.3620000000001"/>
  </r>
  <r>
    <x v="0"/>
    <x v="0"/>
    <x v="0"/>
    <x v="0"/>
    <x v="0"/>
    <s v="DK1_Rural"/>
    <x v="0"/>
    <x v="0"/>
    <s v="GNR_ENG_BGAS_BP_E-34"/>
    <x v="0"/>
    <x v="6"/>
    <n v="1.0329999999999999"/>
    <n v="377.04500000000002"/>
    <n v="1357.3620000000001"/>
  </r>
  <r>
    <x v="0"/>
    <x v="0"/>
    <x v="0"/>
    <x v="0"/>
    <x v="0"/>
    <s v="DK1_Rural"/>
    <x v="0"/>
    <x v="0"/>
    <s v="GNR_ENG_BGAS_BP_E-34"/>
    <x v="0"/>
    <x v="7"/>
    <n v="1.0329999999999999"/>
    <n v="377.04500000000002"/>
    <n v="1357.3620000000001"/>
  </r>
  <r>
    <x v="0"/>
    <x v="0"/>
    <x v="0"/>
    <x v="0"/>
    <x v="0"/>
    <s v="DK1_Rural"/>
    <x v="0"/>
    <x v="0"/>
    <s v="GNR_ENG_BGAS_BP_E-34"/>
    <x v="0"/>
    <x v="8"/>
    <n v="1.0329999999999999"/>
    <n v="377.04500000000002"/>
    <n v="1357.3620000000001"/>
  </r>
  <r>
    <x v="0"/>
    <x v="0"/>
    <x v="0"/>
    <x v="0"/>
    <x v="0"/>
    <s v="DK1_Rural"/>
    <x v="0"/>
    <x v="0"/>
    <s v="GNR_ENG_BGAS_BP_E-34"/>
    <x v="0"/>
    <x v="9"/>
    <n v="1.0329999999999999"/>
    <n v="377.04500000000002"/>
    <n v="1357.3620000000001"/>
  </r>
  <r>
    <x v="0"/>
    <x v="0"/>
    <x v="0"/>
    <x v="0"/>
    <x v="0"/>
    <s v="DK1_Rural"/>
    <x v="0"/>
    <x v="0"/>
    <s v="GNR_ENG_BGAS_BP_E-34"/>
    <x v="0"/>
    <x v="10"/>
    <n v="1.0329999999999999"/>
    <n v="377.04500000000002"/>
    <n v="1357.3620000000001"/>
  </r>
  <r>
    <x v="0"/>
    <x v="0"/>
    <x v="0"/>
    <x v="0"/>
    <x v="0"/>
    <s v="DK1_Rural"/>
    <x v="0"/>
    <x v="0"/>
    <s v="GNR_ENG_BGAS_BP_E-34"/>
    <x v="0"/>
    <x v="11"/>
    <n v="1.0329999999999999"/>
    <n v="377.04500000000002"/>
    <n v="1357.3620000000001"/>
  </r>
  <r>
    <x v="0"/>
    <x v="0"/>
    <x v="0"/>
    <x v="0"/>
    <x v="0"/>
    <s v="DK1_Rural"/>
    <x v="0"/>
    <x v="0"/>
    <s v="GNR_ENG_BGAS_BP_E-34"/>
    <x v="0"/>
    <x v="12"/>
    <n v="1.0329999999999999"/>
    <n v="377.04500000000002"/>
    <n v="1357.3620000000001"/>
  </r>
  <r>
    <x v="0"/>
    <x v="0"/>
    <x v="0"/>
    <x v="0"/>
    <x v="0"/>
    <s v="DK1_Rural"/>
    <x v="0"/>
    <x v="0"/>
    <s v="GNR_ENG_BGAS_BP_E-34"/>
    <x v="0"/>
    <x v="13"/>
    <n v="1.0329999999999999"/>
    <n v="377.04500000000002"/>
    <n v="1357.3620000000001"/>
  </r>
  <r>
    <x v="0"/>
    <x v="0"/>
    <x v="0"/>
    <x v="0"/>
    <x v="0"/>
    <s v="DK1_Rural"/>
    <x v="0"/>
    <x v="0"/>
    <s v="GNR_ENG_BGAS_BP_E-34"/>
    <x v="0"/>
    <x v="14"/>
    <n v="1.0329999999999999"/>
    <n v="377.04500000000002"/>
    <n v="1357.3620000000001"/>
  </r>
  <r>
    <x v="0"/>
    <x v="0"/>
    <x v="0"/>
    <x v="0"/>
    <x v="0"/>
    <s v="DK1_Rural"/>
    <x v="0"/>
    <x v="0"/>
    <s v="GNR_ENG_BGAS_BP_E-34"/>
    <x v="0"/>
    <x v="15"/>
    <n v="1.0329999999999999"/>
    <n v="377.04500000000002"/>
    <n v="1357.3620000000001"/>
  </r>
  <r>
    <x v="0"/>
    <x v="0"/>
    <x v="0"/>
    <x v="0"/>
    <x v="0"/>
    <s v="DK1_Rural"/>
    <x v="0"/>
    <x v="0"/>
    <s v="GNR_ENG_BGAS_BP_E-34"/>
    <x v="0"/>
    <x v="16"/>
    <n v="1.0329999999999999"/>
    <n v="377.04500000000002"/>
    <n v="1357.3620000000001"/>
  </r>
  <r>
    <x v="0"/>
    <x v="0"/>
    <x v="0"/>
    <x v="0"/>
    <x v="0"/>
    <s v="DK1_Rural"/>
    <x v="0"/>
    <x v="0"/>
    <s v="GNR_ENG_BGAS_BP_E-34"/>
    <x v="0"/>
    <x v="17"/>
    <n v="1.0329999999999999"/>
    <n v="377.04500000000002"/>
    <n v="1357.3620000000001"/>
  </r>
  <r>
    <x v="0"/>
    <x v="0"/>
    <x v="0"/>
    <x v="0"/>
    <x v="0"/>
    <s v="DK1_Rural"/>
    <x v="0"/>
    <x v="0"/>
    <s v="GNR_ENG_BGAS_BP_E-34"/>
    <x v="0"/>
    <x v="18"/>
    <n v="1.0329999999999999"/>
    <n v="377.04500000000002"/>
    <n v="1357.3620000000001"/>
  </r>
  <r>
    <x v="0"/>
    <x v="0"/>
    <x v="0"/>
    <x v="0"/>
    <x v="0"/>
    <s v="DK1_Rural"/>
    <x v="0"/>
    <x v="0"/>
    <s v="GNR_ENG_BGAS_BP_E-34"/>
    <x v="0"/>
    <x v="19"/>
    <n v="1.0329999999999999"/>
    <n v="377.04500000000002"/>
    <n v="1357.3620000000001"/>
  </r>
  <r>
    <x v="0"/>
    <x v="0"/>
    <x v="0"/>
    <x v="0"/>
    <x v="0"/>
    <s v="DK1_Rural"/>
    <x v="0"/>
    <x v="0"/>
    <s v="GNR_ENG_BGAS_BP_E-34"/>
    <x v="0"/>
    <x v="20"/>
    <n v="1.0329999999999999"/>
    <n v="377.04500000000002"/>
    <n v="1357.3620000000001"/>
  </r>
  <r>
    <x v="0"/>
    <x v="0"/>
    <x v="0"/>
    <x v="0"/>
    <x v="0"/>
    <s v="DK1_Rural"/>
    <x v="0"/>
    <x v="0"/>
    <s v="GNR_ENG_BGAS_BP_E-34"/>
    <x v="0"/>
    <x v="21"/>
    <n v="1.0329999999999999"/>
    <n v="377.04500000000002"/>
    <n v="1357.3620000000001"/>
  </r>
  <r>
    <x v="0"/>
    <x v="0"/>
    <x v="0"/>
    <x v="0"/>
    <x v="0"/>
    <s v="DK1_Rural"/>
    <x v="0"/>
    <x v="0"/>
    <s v="GNR_ENG_BGAS_BP_E-34"/>
    <x v="0"/>
    <x v="22"/>
    <n v="1.0329999999999999"/>
    <n v="377.04500000000002"/>
    <n v="1357.3620000000001"/>
  </r>
  <r>
    <x v="0"/>
    <x v="0"/>
    <x v="0"/>
    <x v="0"/>
    <x v="0"/>
    <s v="DK1_Rural"/>
    <x v="0"/>
    <x v="0"/>
    <s v="GNR_ENG_BGAS_BP_E-34"/>
    <x v="0"/>
    <x v="23"/>
    <n v="1.0329999999999999"/>
    <n v="377.04500000000002"/>
    <n v="1357.3620000000001"/>
  </r>
  <r>
    <x v="0"/>
    <x v="0"/>
    <x v="0"/>
    <x v="0"/>
    <x v="0"/>
    <s v="DK1_Rural"/>
    <x v="0"/>
    <x v="0"/>
    <s v="GNR_ENG_BGAS_BP_E-35"/>
    <x v="0"/>
    <x v="0"/>
    <n v="1.05"/>
    <n v="383.25"/>
    <n v="1379.7"/>
  </r>
  <r>
    <x v="0"/>
    <x v="0"/>
    <x v="0"/>
    <x v="0"/>
    <x v="0"/>
    <s v="DK1_Rural"/>
    <x v="0"/>
    <x v="0"/>
    <s v="GNR_ENG_BGAS_BP_E-35"/>
    <x v="0"/>
    <x v="1"/>
    <n v="1.05"/>
    <n v="383.25"/>
    <n v="1379.7"/>
  </r>
  <r>
    <x v="0"/>
    <x v="0"/>
    <x v="0"/>
    <x v="0"/>
    <x v="0"/>
    <s v="DK1_Rural"/>
    <x v="0"/>
    <x v="0"/>
    <s v="GNR_ENG_BGAS_BP_E-35"/>
    <x v="0"/>
    <x v="2"/>
    <n v="1.05"/>
    <n v="383.25"/>
    <n v="1379.7"/>
  </r>
  <r>
    <x v="0"/>
    <x v="0"/>
    <x v="0"/>
    <x v="0"/>
    <x v="0"/>
    <s v="DK1_Rural"/>
    <x v="0"/>
    <x v="0"/>
    <s v="GNR_ENG_BGAS_BP_E-35"/>
    <x v="0"/>
    <x v="3"/>
    <n v="1.05"/>
    <n v="383.25"/>
    <n v="1379.7"/>
  </r>
  <r>
    <x v="0"/>
    <x v="0"/>
    <x v="0"/>
    <x v="0"/>
    <x v="0"/>
    <s v="DK1_Rural"/>
    <x v="0"/>
    <x v="0"/>
    <s v="GNR_ENG_BGAS_BP_E-35"/>
    <x v="0"/>
    <x v="4"/>
    <n v="1.05"/>
    <n v="383.25"/>
    <n v="1379.7"/>
  </r>
  <r>
    <x v="0"/>
    <x v="0"/>
    <x v="0"/>
    <x v="0"/>
    <x v="0"/>
    <s v="DK1_Rural"/>
    <x v="0"/>
    <x v="0"/>
    <s v="GNR_ENG_BGAS_BP_E-35"/>
    <x v="0"/>
    <x v="5"/>
    <n v="1.05"/>
    <n v="383.25"/>
    <n v="1379.7"/>
  </r>
  <r>
    <x v="0"/>
    <x v="0"/>
    <x v="0"/>
    <x v="0"/>
    <x v="0"/>
    <s v="DK1_Rural"/>
    <x v="0"/>
    <x v="0"/>
    <s v="GNR_ENG_BGAS_BP_E-35"/>
    <x v="0"/>
    <x v="6"/>
    <n v="1.05"/>
    <n v="383.25"/>
    <n v="1379.7"/>
  </r>
  <r>
    <x v="0"/>
    <x v="0"/>
    <x v="0"/>
    <x v="0"/>
    <x v="0"/>
    <s v="DK1_Rural"/>
    <x v="0"/>
    <x v="0"/>
    <s v="GNR_ENG_BGAS_BP_E-35"/>
    <x v="0"/>
    <x v="7"/>
    <n v="1.05"/>
    <n v="383.25"/>
    <n v="1379.7"/>
  </r>
  <r>
    <x v="0"/>
    <x v="0"/>
    <x v="0"/>
    <x v="0"/>
    <x v="0"/>
    <s v="DK1_Rural"/>
    <x v="0"/>
    <x v="0"/>
    <s v="GNR_ENG_BGAS_BP_E-35"/>
    <x v="0"/>
    <x v="8"/>
    <n v="1.05"/>
    <n v="383.25"/>
    <n v="1379.7"/>
  </r>
  <r>
    <x v="0"/>
    <x v="0"/>
    <x v="0"/>
    <x v="0"/>
    <x v="0"/>
    <s v="DK1_Rural"/>
    <x v="0"/>
    <x v="0"/>
    <s v="GNR_ENG_BGAS_BP_E-35"/>
    <x v="0"/>
    <x v="9"/>
    <n v="1.05"/>
    <n v="383.25"/>
    <n v="1379.7"/>
  </r>
  <r>
    <x v="0"/>
    <x v="0"/>
    <x v="0"/>
    <x v="0"/>
    <x v="0"/>
    <s v="DK1_Rural"/>
    <x v="0"/>
    <x v="0"/>
    <s v="GNR_ENG_BGAS_BP_E-35"/>
    <x v="0"/>
    <x v="10"/>
    <n v="1.05"/>
    <n v="383.25"/>
    <n v="1379.7"/>
  </r>
  <r>
    <x v="0"/>
    <x v="0"/>
    <x v="0"/>
    <x v="0"/>
    <x v="0"/>
    <s v="DK1_Rural"/>
    <x v="0"/>
    <x v="0"/>
    <s v="GNR_ENG_BGAS_BP_E-35"/>
    <x v="0"/>
    <x v="11"/>
    <n v="1.05"/>
    <n v="383.25"/>
    <n v="1379.7"/>
  </r>
  <r>
    <x v="0"/>
    <x v="0"/>
    <x v="0"/>
    <x v="0"/>
    <x v="0"/>
    <s v="DK1_Rural"/>
    <x v="0"/>
    <x v="0"/>
    <s v="GNR_ENG_BGAS_BP_E-35"/>
    <x v="0"/>
    <x v="12"/>
    <n v="1.05"/>
    <n v="383.25"/>
    <n v="1379.7"/>
  </r>
  <r>
    <x v="0"/>
    <x v="0"/>
    <x v="0"/>
    <x v="0"/>
    <x v="0"/>
    <s v="DK1_Rural"/>
    <x v="0"/>
    <x v="0"/>
    <s v="GNR_ENG_BGAS_BP_E-35"/>
    <x v="0"/>
    <x v="13"/>
    <n v="1.05"/>
    <n v="383.25"/>
    <n v="1379.7"/>
  </r>
  <r>
    <x v="0"/>
    <x v="0"/>
    <x v="0"/>
    <x v="0"/>
    <x v="0"/>
    <s v="DK1_Rural"/>
    <x v="0"/>
    <x v="0"/>
    <s v="GNR_ENG_BGAS_BP_E-35"/>
    <x v="0"/>
    <x v="14"/>
    <n v="1.05"/>
    <n v="383.25"/>
    <n v="1379.7"/>
  </r>
  <r>
    <x v="0"/>
    <x v="0"/>
    <x v="0"/>
    <x v="0"/>
    <x v="0"/>
    <s v="DK1_Rural"/>
    <x v="0"/>
    <x v="0"/>
    <s v="GNR_ENG_BGAS_BP_E-35"/>
    <x v="0"/>
    <x v="15"/>
    <n v="1.05"/>
    <n v="383.25"/>
    <n v="1379.7"/>
  </r>
  <r>
    <x v="0"/>
    <x v="0"/>
    <x v="0"/>
    <x v="0"/>
    <x v="0"/>
    <s v="DK1_Rural"/>
    <x v="0"/>
    <x v="0"/>
    <s v="GNR_ENG_BGAS_BP_E-35"/>
    <x v="0"/>
    <x v="16"/>
    <n v="1.05"/>
    <n v="383.25"/>
    <n v="1379.7"/>
  </r>
  <r>
    <x v="0"/>
    <x v="0"/>
    <x v="0"/>
    <x v="0"/>
    <x v="0"/>
    <s v="DK1_Rural"/>
    <x v="0"/>
    <x v="0"/>
    <s v="GNR_ENG_BGAS_BP_E-35"/>
    <x v="0"/>
    <x v="17"/>
    <n v="1.05"/>
    <n v="383.25"/>
    <n v="1379.7"/>
  </r>
  <r>
    <x v="0"/>
    <x v="0"/>
    <x v="0"/>
    <x v="0"/>
    <x v="0"/>
    <s v="DK1_Rural"/>
    <x v="0"/>
    <x v="0"/>
    <s v="GNR_ENG_BGAS_BP_E-35"/>
    <x v="0"/>
    <x v="18"/>
    <n v="1.05"/>
    <n v="383.25"/>
    <n v="1379.7"/>
  </r>
  <r>
    <x v="0"/>
    <x v="0"/>
    <x v="0"/>
    <x v="0"/>
    <x v="0"/>
    <s v="DK1_Rural"/>
    <x v="0"/>
    <x v="0"/>
    <s v="GNR_ENG_BGAS_BP_E-35"/>
    <x v="0"/>
    <x v="19"/>
    <n v="1.05"/>
    <n v="383.25"/>
    <n v="1379.7"/>
  </r>
  <r>
    <x v="0"/>
    <x v="0"/>
    <x v="0"/>
    <x v="0"/>
    <x v="0"/>
    <s v="DK1_Rural"/>
    <x v="0"/>
    <x v="0"/>
    <s v="GNR_ENG_BGAS_BP_E-35"/>
    <x v="0"/>
    <x v="20"/>
    <n v="1.05"/>
    <n v="383.25"/>
    <n v="1379.7"/>
  </r>
  <r>
    <x v="0"/>
    <x v="0"/>
    <x v="0"/>
    <x v="0"/>
    <x v="0"/>
    <s v="DK1_Rural"/>
    <x v="0"/>
    <x v="0"/>
    <s v="GNR_ENG_BGAS_BP_E-35"/>
    <x v="0"/>
    <x v="21"/>
    <n v="1.05"/>
    <n v="383.25"/>
    <n v="1379.7"/>
  </r>
  <r>
    <x v="0"/>
    <x v="0"/>
    <x v="0"/>
    <x v="0"/>
    <x v="0"/>
    <s v="DK1_Rural"/>
    <x v="0"/>
    <x v="0"/>
    <s v="GNR_ENG_BGAS_BP_E-35"/>
    <x v="0"/>
    <x v="22"/>
    <n v="1.05"/>
    <n v="383.25"/>
    <n v="1379.7"/>
  </r>
  <r>
    <x v="0"/>
    <x v="0"/>
    <x v="0"/>
    <x v="0"/>
    <x v="0"/>
    <s v="DK1_Rural"/>
    <x v="0"/>
    <x v="0"/>
    <s v="GNR_ENG_BGAS_BP_E-35"/>
    <x v="0"/>
    <x v="23"/>
    <n v="1.05"/>
    <n v="383.25"/>
    <n v="1379.7"/>
  </r>
  <r>
    <x v="0"/>
    <x v="0"/>
    <x v="0"/>
    <x v="0"/>
    <x v="0"/>
    <s v="DK1_Rural"/>
    <x v="0"/>
    <x v="0"/>
    <s v="GNR_ENG_BGAS_BP_E-37"/>
    <x v="0"/>
    <x v="0"/>
    <n v="4.9950000000000001"/>
    <n v="1823.175"/>
    <n v="6563.43"/>
  </r>
  <r>
    <x v="0"/>
    <x v="0"/>
    <x v="0"/>
    <x v="0"/>
    <x v="0"/>
    <s v="DK1_Rural"/>
    <x v="0"/>
    <x v="0"/>
    <s v="GNR_ENG_BGAS_BP_E-37"/>
    <x v="0"/>
    <x v="1"/>
    <n v="4.9950000000000001"/>
    <n v="1823.175"/>
    <n v="6563.43"/>
  </r>
  <r>
    <x v="0"/>
    <x v="0"/>
    <x v="0"/>
    <x v="0"/>
    <x v="0"/>
    <s v="DK1_Rural"/>
    <x v="0"/>
    <x v="0"/>
    <s v="GNR_ENG_BGAS_BP_E-37"/>
    <x v="0"/>
    <x v="2"/>
    <n v="4.9950000000000001"/>
    <n v="1823.175"/>
    <n v="6563.43"/>
  </r>
  <r>
    <x v="0"/>
    <x v="0"/>
    <x v="0"/>
    <x v="0"/>
    <x v="0"/>
    <s v="DK1_Rural"/>
    <x v="0"/>
    <x v="0"/>
    <s v="GNR_ENG_BGAS_BP_E-37"/>
    <x v="0"/>
    <x v="3"/>
    <n v="4.9950000000000001"/>
    <n v="1823.175"/>
    <n v="6563.43"/>
  </r>
  <r>
    <x v="0"/>
    <x v="0"/>
    <x v="0"/>
    <x v="0"/>
    <x v="0"/>
    <s v="DK1_Rural"/>
    <x v="0"/>
    <x v="0"/>
    <s v="GNR_ENG_BGAS_BP_E-37"/>
    <x v="0"/>
    <x v="4"/>
    <n v="4.9950000000000001"/>
    <n v="1823.175"/>
    <n v="6563.43"/>
  </r>
  <r>
    <x v="0"/>
    <x v="0"/>
    <x v="0"/>
    <x v="0"/>
    <x v="0"/>
    <s v="DK1_Rural"/>
    <x v="0"/>
    <x v="0"/>
    <s v="GNR_ENG_BGAS_BP_E-37"/>
    <x v="0"/>
    <x v="5"/>
    <n v="4.9950000000000001"/>
    <n v="1823.175"/>
    <n v="6563.43"/>
  </r>
  <r>
    <x v="0"/>
    <x v="0"/>
    <x v="0"/>
    <x v="0"/>
    <x v="0"/>
    <s v="DK1_Rural"/>
    <x v="0"/>
    <x v="0"/>
    <s v="GNR_ENG_BGAS_BP_E-37"/>
    <x v="0"/>
    <x v="6"/>
    <n v="4.9950000000000001"/>
    <n v="1823.175"/>
    <n v="6563.43"/>
  </r>
  <r>
    <x v="0"/>
    <x v="0"/>
    <x v="0"/>
    <x v="0"/>
    <x v="0"/>
    <s v="DK1_Rural"/>
    <x v="0"/>
    <x v="0"/>
    <s v="GNR_ENG_BGAS_BP_E-37"/>
    <x v="0"/>
    <x v="7"/>
    <n v="4.9950000000000001"/>
    <n v="1823.175"/>
    <n v="6563.43"/>
  </r>
  <r>
    <x v="0"/>
    <x v="0"/>
    <x v="0"/>
    <x v="0"/>
    <x v="0"/>
    <s v="DK1_Rural"/>
    <x v="0"/>
    <x v="0"/>
    <s v="GNR_ENG_BGAS_BP_E-37"/>
    <x v="0"/>
    <x v="8"/>
    <n v="4.9950000000000001"/>
    <n v="1823.175"/>
    <n v="6563.43"/>
  </r>
  <r>
    <x v="0"/>
    <x v="0"/>
    <x v="0"/>
    <x v="0"/>
    <x v="0"/>
    <s v="DK1_Rural"/>
    <x v="0"/>
    <x v="0"/>
    <s v="GNR_ENG_BGAS_BP_E-37"/>
    <x v="0"/>
    <x v="9"/>
    <n v="4.9950000000000001"/>
    <n v="1823.175"/>
    <n v="6563.43"/>
  </r>
  <r>
    <x v="0"/>
    <x v="0"/>
    <x v="0"/>
    <x v="0"/>
    <x v="0"/>
    <s v="DK1_Rural"/>
    <x v="0"/>
    <x v="0"/>
    <s v="GNR_ENG_BGAS_BP_E-37"/>
    <x v="0"/>
    <x v="10"/>
    <n v="4.9950000000000001"/>
    <n v="1823.175"/>
    <n v="6563.43"/>
  </r>
  <r>
    <x v="0"/>
    <x v="0"/>
    <x v="0"/>
    <x v="0"/>
    <x v="0"/>
    <s v="DK1_Rural"/>
    <x v="0"/>
    <x v="0"/>
    <s v="GNR_ENG_BGAS_BP_E-37"/>
    <x v="0"/>
    <x v="11"/>
    <n v="4.9950000000000001"/>
    <n v="1823.175"/>
    <n v="6563.43"/>
  </r>
  <r>
    <x v="0"/>
    <x v="0"/>
    <x v="0"/>
    <x v="0"/>
    <x v="0"/>
    <s v="DK1_Rural"/>
    <x v="0"/>
    <x v="0"/>
    <s v="GNR_ENG_BGAS_BP_E-37"/>
    <x v="0"/>
    <x v="12"/>
    <n v="4.9950000000000001"/>
    <n v="1823.175"/>
    <n v="6563.43"/>
  </r>
  <r>
    <x v="0"/>
    <x v="0"/>
    <x v="0"/>
    <x v="0"/>
    <x v="0"/>
    <s v="DK1_Rural"/>
    <x v="0"/>
    <x v="0"/>
    <s v="GNR_ENG_BGAS_BP_E-37"/>
    <x v="0"/>
    <x v="13"/>
    <n v="4.9950000000000001"/>
    <n v="1823.175"/>
    <n v="6563.43"/>
  </r>
  <r>
    <x v="0"/>
    <x v="0"/>
    <x v="0"/>
    <x v="0"/>
    <x v="0"/>
    <s v="DK1_Rural"/>
    <x v="0"/>
    <x v="0"/>
    <s v="GNR_ENG_BGAS_BP_E-37"/>
    <x v="0"/>
    <x v="14"/>
    <n v="4.9950000000000001"/>
    <n v="1823.175"/>
    <n v="6563.43"/>
  </r>
  <r>
    <x v="0"/>
    <x v="0"/>
    <x v="0"/>
    <x v="0"/>
    <x v="0"/>
    <s v="DK1_Rural"/>
    <x v="0"/>
    <x v="0"/>
    <s v="GNR_ENG_BGAS_BP_E-37"/>
    <x v="0"/>
    <x v="15"/>
    <n v="4.9950000000000001"/>
    <n v="1823.175"/>
    <n v="6563.43"/>
  </r>
  <r>
    <x v="0"/>
    <x v="0"/>
    <x v="0"/>
    <x v="0"/>
    <x v="0"/>
    <s v="DK1_Rural"/>
    <x v="0"/>
    <x v="0"/>
    <s v="GNR_ENG_BGAS_BP_E-37"/>
    <x v="0"/>
    <x v="16"/>
    <n v="4.9950000000000001"/>
    <n v="1823.175"/>
    <n v="6563.43"/>
  </r>
  <r>
    <x v="0"/>
    <x v="0"/>
    <x v="0"/>
    <x v="0"/>
    <x v="0"/>
    <s v="DK1_Rural"/>
    <x v="0"/>
    <x v="0"/>
    <s v="GNR_ENG_BGAS_BP_E-37"/>
    <x v="0"/>
    <x v="17"/>
    <n v="4.9950000000000001"/>
    <n v="1823.175"/>
    <n v="6563.43"/>
  </r>
  <r>
    <x v="0"/>
    <x v="0"/>
    <x v="0"/>
    <x v="0"/>
    <x v="0"/>
    <s v="DK1_Rural"/>
    <x v="0"/>
    <x v="0"/>
    <s v="GNR_ENG_BGAS_BP_E-37"/>
    <x v="0"/>
    <x v="18"/>
    <n v="4.9950000000000001"/>
    <n v="1823.175"/>
    <n v="6563.43"/>
  </r>
  <r>
    <x v="0"/>
    <x v="0"/>
    <x v="0"/>
    <x v="0"/>
    <x v="0"/>
    <s v="DK1_Rural"/>
    <x v="0"/>
    <x v="0"/>
    <s v="GNR_ENG_BGAS_BP_E-37"/>
    <x v="0"/>
    <x v="19"/>
    <n v="4.9950000000000001"/>
    <n v="1823.175"/>
    <n v="6563.43"/>
  </r>
  <r>
    <x v="0"/>
    <x v="0"/>
    <x v="0"/>
    <x v="0"/>
    <x v="0"/>
    <s v="DK1_Rural"/>
    <x v="0"/>
    <x v="0"/>
    <s v="GNR_ENG_BGAS_BP_E-37"/>
    <x v="0"/>
    <x v="20"/>
    <n v="4.9950000000000001"/>
    <n v="1823.175"/>
    <n v="6563.43"/>
  </r>
  <r>
    <x v="0"/>
    <x v="0"/>
    <x v="0"/>
    <x v="0"/>
    <x v="0"/>
    <s v="DK1_Rural"/>
    <x v="0"/>
    <x v="0"/>
    <s v="GNR_ENG_BGAS_BP_E-37"/>
    <x v="0"/>
    <x v="21"/>
    <n v="4.9950000000000001"/>
    <n v="1823.175"/>
    <n v="6563.43"/>
  </r>
  <r>
    <x v="0"/>
    <x v="0"/>
    <x v="0"/>
    <x v="0"/>
    <x v="0"/>
    <s v="DK1_Rural"/>
    <x v="0"/>
    <x v="0"/>
    <s v="GNR_ENG_BGAS_BP_E-37"/>
    <x v="0"/>
    <x v="22"/>
    <n v="4.9950000000000001"/>
    <n v="1823.175"/>
    <n v="6563.43"/>
  </r>
  <r>
    <x v="0"/>
    <x v="0"/>
    <x v="0"/>
    <x v="0"/>
    <x v="0"/>
    <s v="DK1_Rural"/>
    <x v="0"/>
    <x v="0"/>
    <s v="GNR_ENG_BGAS_BP_E-37"/>
    <x v="0"/>
    <x v="23"/>
    <n v="4.9950000000000001"/>
    <n v="1823.175"/>
    <n v="6563.43"/>
  </r>
  <r>
    <x v="0"/>
    <x v="0"/>
    <x v="0"/>
    <x v="0"/>
    <x v="0"/>
    <s v="DK1_Rural"/>
    <x v="0"/>
    <x v="0"/>
    <s v="GNR_ENG_BGAS_BP_E-38"/>
    <x v="0"/>
    <x v="0"/>
    <n v="0.8"/>
    <n v="292"/>
    <n v="1051.2"/>
  </r>
  <r>
    <x v="0"/>
    <x v="0"/>
    <x v="0"/>
    <x v="0"/>
    <x v="0"/>
    <s v="DK1_Rural"/>
    <x v="0"/>
    <x v="0"/>
    <s v="GNR_ENG_BGAS_BP_E-38"/>
    <x v="0"/>
    <x v="1"/>
    <n v="0.8"/>
    <n v="292"/>
    <n v="1051.2"/>
  </r>
  <r>
    <x v="0"/>
    <x v="0"/>
    <x v="0"/>
    <x v="0"/>
    <x v="0"/>
    <s v="DK1_Rural"/>
    <x v="0"/>
    <x v="0"/>
    <s v="GNR_ENG_BGAS_BP_E-38"/>
    <x v="0"/>
    <x v="2"/>
    <n v="0.8"/>
    <n v="292"/>
    <n v="1051.2"/>
  </r>
  <r>
    <x v="0"/>
    <x v="0"/>
    <x v="0"/>
    <x v="0"/>
    <x v="0"/>
    <s v="DK1_Rural"/>
    <x v="0"/>
    <x v="0"/>
    <s v="GNR_ENG_BGAS_BP_E-38"/>
    <x v="0"/>
    <x v="3"/>
    <n v="0.8"/>
    <n v="292"/>
    <n v="1051.2"/>
  </r>
  <r>
    <x v="0"/>
    <x v="0"/>
    <x v="0"/>
    <x v="0"/>
    <x v="0"/>
    <s v="DK1_Rural"/>
    <x v="0"/>
    <x v="0"/>
    <s v="GNR_ENG_BGAS_BP_E-38"/>
    <x v="0"/>
    <x v="4"/>
    <n v="0.8"/>
    <n v="292"/>
    <n v="1051.2"/>
  </r>
  <r>
    <x v="0"/>
    <x v="0"/>
    <x v="0"/>
    <x v="0"/>
    <x v="0"/>
    <s v="DK1_Rural"/>
    <x v="0"/>
    <x v="0"/>
    <s v="GNR_ENG_BGAS_BP_E-38"/>
    <x v="0"/>
    <x v="5"/>
    <n v="0.8"/>
    <n v="292"/>
    <n v="1051.2"/>
  </r>
  <r>
    <x v="0"/>
    <x v="0"/>
    <x v="0"/>
    <x v="0"/>
    <x v="0"/>
    <s v="DK1_Rural"/>
    <x v="0"/>
    <x v="0"/>
    <s v="GNR_ENG_BGAS_BP_E-38"/>
    <x v="0"/>
    <x v="6"/>
    <n v="0.8"/>
    <n v="292"/>
    <n v="1051.2"/>
  </r>
  <r>
    <x v="0"/>
    <x v="0"/>
    <x v="0"/>
    <x v="0"/>
    <x v="0"/>
    <s v="DK1_Rural"/>
    <x v="0"/>
    <x v="0"/>
    <s v="GNR_ENG_BGAS_BP_E-38"/>
    <x v="0"/>
    <x v="7"/>
    <n v="0.8"/>
    <n v="292"/>
    <n v="1051.2"/>
  </r>
  <r>
    <x v="0"/>
    <x v="0"/>
    <x v="0"/>
    <x v="0"/>
    <x v="0"/>
    <s v="DK1_Rural"/>
    <x v="0"/>
    <x v="0"/>
    <s v="GNR_ENG_BGAS_BP_E-38"/>
    <x v="0"/>
    <x v="8"/>
    <n v="0.8"/>
    <n v="292"/>
    <n v="1051.2"/>
  </r>
  <r>
    <x v="0"/>
    <x v="0"/>
    <x v="0"/>
    <x v="0"/>
    <x v="0"/>
    <s v="DK1_Rural"/>
    <x v="0"/>
    <x v="0"/>
    <s v="GNR_ENG_BGAS_BP_E-38"/>
    <x v="0"/>
    <x v="9"/>
    <n v="0.8"/>
    <n v="292"/>
    <n v="1051.2"/>
  </r>
  <r>
    <x v="0"/>
    <x v="0"/>
    <x v="0"/>
    <x v="0"/>
    <x v="0"/>
    <s v="DK1_Rural"/>
    <x v="0"/>
    <x v="0"/>
    <s v="GNR_ENG_BGAS_BP_E-38"/>
    <x v="0"/>
    <x v="10"/>
    <n v="0.8"/>
    <n v="292"/>
    <n v="1051.2"/>
  </r>
  <r>
    <x v="0"/>
    <x v="0"/>
    <x v="0"/>
    <x v="0"/>
    <x v="0"/>
    <s v="DK1_Rural"/>
    <x v="0"/>
    <x v="0"/>
    <s v="GNR_ENG_BGAS_BP_E-38"/>
    <x v="0"/>
    <x v="11"/>
    <n v="0.8"/>
    <n v="292"/>
    <n v="1051.2"/>
  </r>
  <r>
    <x v="0"/>
    <x v="0"/>
    <x v="0"/>
    <x v="0"/>
    <x v="0"/>
    <s v="DK1_Rural"/>
    <x v="0"/>
    <x v="0"/>
    <s v="GNR_ENG_BGAS_BP_E-38"/>
    <x v="0"/>
    <x v="12"/>
    <n v="0.8"/>
    <n v="292"/>
    <n v="1051.2"/>
  </r>
  <r>
    <x v="0"/>
    <x v="0"/>
    <x v="0"/>
    <x v="0"/>
    <x v="0"/>
    <s v="DK1_Rural"/>
    <x v="0"/>
    <x v="0"/>
    <s v="GNR_ENG_BGAS_BP_E-38"/>
    <x v="0"/>
    <x v="13"/>
    <n v="0.8"/>
    <n v="292"/>
    <n v="1051.2"/>
  </r>
  <r>
    <x v="0"/>
    <x v="0"/>
    <x v="0"/>
    <x v="0"/>
    <x v="0"/>
    <s v="DK1_Rural"/>
    <x v="0"/>
    <x v="0"/>
    <s v="GNR_ENG_BGAS_BP_E-38"/>
    <x v="0"/>
    <x v="14"/>
    <n v="0.8"/>
    <n v="292"/>
    <n v="1051.2"/>
  </r>
  <r>
    <x v="0"/>
    <x v="0"/>
    <x v="0"/>
    <x v="0"/>
    <x v="0"/>
    <s v="DK1_Rural"/>
    <x v="0"/>
    <x v="0"/>
    <s v="GNR_ENG_BGAS_BP_E-38"/>
    <x v="0"/>
    <x v="15"/>
    <n v="0.8"/>
    <n v="292"/>
    <n v="1051.2"/>
  </r>
  <r>
    <x v="0"/>
    <x v="0"/>
    <x v="0"/>
    <x v="0"/>
    <x v="0"/>
    <s v="DK1_Rural"/>
    <x v="0"/>
    <x v="0"/>
    <s v="GNR_ENG_BGAS_BP_E-38"/>
    <x v="0"/>
    <x v="16"/>
    <n v="0.8"/>
    <n v="292"/>
    <n v="1051.2"/>
  </r>
  <r>
    <x v="0"/>
    <x v="0"/>
    <x v="0"/>
    <x v="0"/>
    <x v="0"/>
    <s v="DK1_Rural"/>
    <x v="0"/>
    <x v="0"/>
    <s v="GNR_ENG_BGAS_BP_E-38"/>
    <x v="0"/>
    <x v="17"/>
    <n v="0.8"/>
    <n v="292"/>
    <n v="1051.2"/>
  </r>
  <r>
    <x v="0"/>
    <x v="0"/>
    <x v="0"/>
    <x v="0"/>
    <x v="0"/>
    <s v="DK1_Rural"/>
    <x v="0"/>
    <x v="0"/>
    <s v="GNR_ENG_BGAS_BP_E-38"/>
    <x v="0"/>
    <x v="18"/>
    <n v="0.8"/>
    <n v="292"/>
    <n v="1051.2"/>
  </r>
  <r>
    <x v="0"/>
    <x v="0"/>
    <x v="0"/>
    <x v="0"/>
    <x v="0"/>
    <s v="DK1_Rural"/>
    <x v="0"/>
    <x v="0"/>
    <s v="GNR_ENG_BGAS_BP_E-38"/>
    <x v="0"/>
    <x v="19"/>
    <n v="0.8"/>
    <n v="292"/>
    <n v="1051.2"/>
  </r>
  <r>
    <x v="0"/>
    <x v="0"/>
    <x v="0"/>
    <x v="0"/>
    <x v="0"/>
    <s v="DK1_Rural"/>
    <x v="0"/>
    <x v="0"/>
    <s v="GNR_ENG_BGAS_BP_E-38"/>
    <x v="0"/>
    <x v="20"/>
    <n v="0.8"/>
    <n v="292"/>
    <n v="1051.2"/>
  </r>
  <r>
    <x v="0"/>
    <x v="0"/>
    <x v="0"/>
    <x v="0"/>
    <x v="0"/>
    <s v="DK1_Rural"/>
    <x v="0"/>
    <x v="0"/>
    <s v="GNR_ENG_BGAS_BP_E-38"/>
    <x v="0"/>
    <x v="21"/>
    <n v="0.8"/>
    <n v="292"/>
    <n v="1051.2"/>
  </r>
  <r>
    <x v="0"/>
    <x v="0"/>
    <x v="0"/>
    <x v="0"/>
    <x v="0"/>
    <s v="DK1_Rural"/>
    <x v="0"/>
    <x v="0"/>
    <s v="GNR_ENG_BGAS_BP_E-38"/>
    <x v="0"/>
    <x v="22"/>
    <n v="0.8"/>
    <n v="292"/>
    <n v="1051.2"/>
  </r>
  <r>
    <x v="0"/>
    <x v="0"/>
    <x v="0"/>
    <x v="0"/>
    <x v="0"/>
    <s v="DK1_Rural"/>
    <x v="0"/>
    <x v="0"/>
    <s v="GNR_ENG_BGAS_BP_E-38"/>
    <x v="0"/>
    <x v="23"/>
    <n v="0.8"/>
    <n v="292"/>
    <n v="1051.2"/>
  </r>
  <r>
    <x v="0"/>
    <x v="0"/>
    <x v="0"/>
    <x v="0"/>
    <x v="0"/>
    <s v="DK1_Rural"/>
    <x v="0"/>
    <x v="0"/>
    <s v="GNR_ENG_BGAS_BP_E-39"/>
    <x v="0"/>
    <x v="0"/>
    <n v="3.62"/>
    <n v="1321.3"/>
    <n v="4756.68"/>
  </r>
  <r>
    <x v="0"/>
    <x v="0"/>
    <x v="0"/>
    <x v="0"/>
    <x v="0"/>
    <s v="DK1_Rural"/>
    <x v="0"/>
    <x v="0"/>
    <s v="GNR_ENG_BGAS_BP_E-39"/>
    <x v="0"/>
    <x v="1"/>
    <n v="3.62"/>
    <n v="1321.3"/>
    <n v="4756.68"/>
  </r>
  <r>
    <x v="0"/>
    <x v="0"/>
    <x v="0"/>
    <x v="0"/>
    <x v="0"/>
    <s v="DK1_Rural"/>
    <x v="0"/>
    <x v="0"/>
    <s v="GNR_ENG_BGAS_BP_E-39"/>
    <x v="0"/>
    <x v="2"/>
    <n v="3.62"/>
    <n v="1321.3"/>
    <n v="4756.68"/>
  </r>
  <r>
    <x v="0"/>
    <x v="0"/>
    <x v="0"/>
    <x v="0"/>
    <x v="0"/>
    <s v="DK1_Rural"/>
    <x v="0"/>
    <x v="0"/>
    <s v="GNR_ENG_BGAS_BP_E-39"/>
    <x v="0"/>
    <x v="3"/>
    <n v="3.62"/>
    <n v="1321.3"/>
    <n v="4756.68"/>
  </r>
  <r>
    <x v="0"/>
    <x v="0"/>
    <x v="0"/>
    <x v="0"/>
    <x v="0"/>
    <s v="DK1_Rural"/>
    <x v="0"/>
    <x v="0"/>
    <s v="GNR_ENG_BGAS_BP_E-39"/>
    <x v="0"/>
    <x v="4"/>
    <n v="3.62"/>
    <n v="1321.3"/>
    <n v="4756.68"/>
  </r>
  <r>
    <x v="0"/>
    <x v="0"/>
    <x v="0"/>
    <x v="0"/>
    <x v="0"/>
    <s v="DK1_Rural"/>
    <x v="0"/>
    <x v="0"/>
    <s v="GNR_ENG_BGAS_BP_E-39"/>
    <x v="0"/>
    <x v="5"/>
    <n v="3.62"/>
    <n v="1321.3"/>
    <n v="4756.68"/>
  </r>
  <r>
    <x v="0"/>
    <x v="0"/>
    <x v="0"/>
    <x v="0"/>
    <x v="0"/>
    <s v="DK1_Rural"/>
    <x v="0"/>
    <x v="0"/>
    <s v="GNR_ENG_BGAS_BP_E-39"/>
    <x v="0"/>
    <x v="6"/>
    <n v="3.62"/>
    <n v="1321.3"/>
    <n v="4756.68"/>
  </r>
  <r>
    <x v="0"/>
    <x v="0"/>
    <x v="0"/>
    <x v="0"/>
    <x v="0"/>
    <s v="DK1_Rural"/>
    <x v="0"/>
    <x v="0"/>
    <s v="GNR_ENG_BGAS_BP_E-39"/>
    <x v="0"/>
    <x v="7"/>
    <n v="3.62"/>
    <n v="1321.3"/>
    <n v="4756.68"/>
  </r>
  <r>
    <x v="0"/>
    <x v="0"/>
    <x v="0"/>
    <x v="0"/>
    <x v="0"/>
    <s v="DK1_Rural"/>
    <x v="0"/>
    <x v="0"/>
    <s v="GNR_ENG_BGAS_BP_E-39"/>
    <x v="0"/>
    <x v="8"/>
    <n v="3.62"/>
    <n v="1321.3"/>
    <n v="4756.68"/>
  </r>
  <r>
    <x v="0"/>
    <x v="0"/>
    <x v="0"/>
    <x v="0"/>
    <x v="0"/>
    <s v="DK1_Rural"/>
    <x v="0"/>
    <x v="0"/>
    <s v="GNR_ENG_BGAS_BP_E-39"/>
    <x v="0"/>
    <x v="9"/>
    <n v="3.62"/>
    <n v="1321.3"/>
    <n v="4756.68"/>
  </r>
  <r>
    <x v="0"/>
    <x v="0"/>
    <x v="0"/>
    <x v="0"/>
    <x v="0"/>
    <s v="DK1_Rural"/>
    <x v="0"/>
    <x v="0"/>
    <s v="GNR_ENG_BGAS_BP_E-39"/>
    <x v="0"/>
    <x v="10"/>
    <n v="3.62"/>
    <n v="1321.3"/>
    <n v="4756.68"/>
  </r>
  <r>
    <x v="0"/>
    <x v="0"/>
    <x v="0"/>
    <x v="0"/>
    <x v="0"/>
    <s v="DK1_Rural"/>
    <x v="0"/>
    <x v="0"/>
    <s v="GNR_ENG_BGAS_BP_E-39"/>
    <x v="0"/>
    <x v="11"/>
    <n v="3.62"/>
    <n v="1321.3"/>
    <n v="4756.68"/>
  </r>
  <r>
    <x v="0"/>
    <x v="0"/>
    <x v="0"/>
    <x v="0"/>
    <x v="0"/>
    <s v="DK1_Rural"/>
    <x v="0"/>
    <x v="0"/>
    <s v="GNR_ENG_BGAS_BP_E-39"/>
    <x v="0"/>
    <x v="12"/>
    <n v="3.62"/>
    <n v="1321.3"/>
    <n v="4756.68"/>
  </r>
  <r>
    <x v="0"/>
    <x v="0"/>
    <x v="0"/>
    <x v="0"/>
    <x v="0"/>
    <s v="DK1_Rural"/>
    <x v="0"/>
    <x v="0"/>
    <s v="GNR_ENG_BGAS_BP_E-39"/>
    <x v="0"/>
    <x v="13"/>
    <n v="3.62"/>
    <n v="1321.3"/>
    <n v="4756.68"/>
  </r>
  <r>
    <x v="0"/>
    <x v="0"/>
    <x v="0"/>
    <x v="0"/>
    <x v="0"/>
    <s v="DK1_Rural"/>
    <x v="0"/>
    <x v="0"/>
    <s v="GNR_ENG_BGAS_BP_E-39"/>
    <x v="0"/>
    <x v="14"/>
    <n v="3.62"/>
    <n v="1321.3"/>
    <n v="4756.68"/>
  </r>
  <r>
    <x v="0"/>
    <x v="0"/>
    <x v="0"/>
    <x v="0"/>
    <x v="0"/>
    <s v="DK1_Rural"/>
    <x v="0"/>
    <x v="0"/>
    <s v="GNR_ENG_BGAS_BP_E-39"/>
    <x v="0"/>
    <x v="15"/>
    <n v="3.62"/>
    <n v="1321.3"/>
    <n v="4756.68"/>
  </r>
  <r>
    <x v="0"/>
    <x v="0"/>
    <x v="0"/>
    <x v="0"/>
    <x v="0"/>
    <s v="DK1_Rural"/>
    <x v="0"/>
    <x v="0"/>
    <s v="GNR_ENG_BGAS_BP_E-39"/>
    <x v="0"/>
    <x v="16"/>
    <n v="3.62"/>
    <n v="1321.3"/>
    <n v="4756.68"/>
  </r>
  <r>
    <x v="0"/>
    <x v="0"/>
    <x v="0"/>
    <x v="0"/>
    <x v="0"/>
    <s v="DK1_Rural"/>
    <x v="0"/>
    <x v="0"/>
    <s v="GNR_ENG_BGAS_BP_E-39"/>
    <x v="0"/>
    <x v="17"/>
    <n v="3.62"/>
    <n v="1321.3"/>
    <n v="4756.68"/>
  </r>
  <r>
    <x v="0"/>
    <x v="0"/>
    <x v="0"/>
    <x v="0"/>
    <x v="0"/>
    <s v="DK1_Rural"/>
    <x v="0"/>
    <x v="0"/>
    <s v="GNR_ENG_BGAS_BP_E-39"/>
    <x v="0"/>
    <x v="18"/>
    <n v="3.62"/>
    <n v="1321.3"/>
    <n v="4756.68"/>
  </r>
  <r>
    <x v="0"/>
    <x v="0"/>
    <x v="0"/>
    <x v="0"/>
    <x v="0"/>
    <s v="DK1_Rural"/>
    <x v="0"/>
    <x v="0"/>
    <s v="GNR_ENG_BGAS_BP_E-39"/>
    <x v="0"/>
    <x v="19"/>
    <n v="3.62"/>
    <n v="1321.3"/>
    <n v="4756.68"/>
  </r>
  <r>
    <x v="0"/>
    <x v="0"/>
    <x v="0"/>
    <x v="0"/>
    <x v="0"/>
    <s v="DK1_Rural"/>
    <x v="0"/>
    <x v="0"/>
    <s v="GNR_ENG_BGAS_BP_E-39"/>
    <x v="0"/>
    <x v="20"/>
    <n v="3.62"/>
    <n v="1321.3"/>
    <n v="4756.68"/>
  </r>
  <r>
    <x v="0"/>
    <x v="0"/>
    <x v="0"/>
    <x v="0"/>
    <x v="0"/>
    <s v="DK1_Rural"/>
    <x v="0"/>
    <x v="0"/>
    <s v="GNR_ENG_BGAS_BP_E-39"/>
    <x v="0"/>
    <x v="21"/>
    <n v="3.62"/>
    <n v="1321.3"/>
    <n v="4756.68"/>
  </r>
  <r>
    <x v="0"/>
    <x v="0"/>
    <x v="0"/>
    <x v="0"/>
    <x v="0"/>
    <s v="DK1_Rural"/>
    <x v="0"/>
    <x v="0"/>
    <s v="GNR_ENG_BGAS_BP_E-39"/>
    <x v="0"/>
    <x v="22"/>
    <n v="3.62"/>
    <n v="1321.3"/>
    <n v="4756.68"/>
  </r>
  <r>
    <x v="0"/>
    <x v="0"/>
    <x v="0"/>
    <x v="0"/>
    <x v="0"/>
    <s v="DK1_Rural"/>
    <x v="0"/>
    <x v="0"/>
    <s v="GNR_ENG_BGAS_BP_E-39"/>
    <x v="0"/>
    <x v="23"/>
    <n v="3.62"/>
    <n v="1321.3"/>
    <n v="4756.68"/>
  </r>
  <r>
    <x v="0"/>
    <x v="0"/>
    <x v="0"/>
    <x v="0"/>
    <x v="0"/>
    <s v="DK1_Rural"/>
    <x v="0"/>
    <x v="0"/>
    <s v="GNR_ENG_BGAS_BP_E-40"/>
    <x v="0"/>
    <x v="0"/>
    <n v="6.24"/>
    <n v="2277.6"/>
    <n v="8199.36"/>
  </r>
  <r>
    <x v="0"/>
    <x v="0"/>
    <x v="0"/>
    <x v="0"/>
    <x v="0"/>
    <s v="DK1_Rural"/>
    <x v="0"/>
    <x v="0"/>
    <s v="GNR_ENG_BGAS_BP_E-40"/>
    <x v="0"/>
    <x v="1"/>
    <n v="6.24"/>
    <n v="2277.6"/>
    <n v="8199.36"/>
  </r>
  <r>
    <x v="0"/>
    <x v="0"/>
    <x v="0"/>
    <x v="0"/>
    <x v="0"/>
    <s v="DK1_Rural"/>
    <x v="0"/>
    <x v="0"/>
    <s v="GNR_ENG_BGAS_BP_E-40"/>
    <x v="0"/>
    <x v="2"/>
    <n v="6.24"/>
    <n v="2277.6"/>
    <n v="8199.36"/>
  </r>
  <r>
    <x v="0"/>
    <x v="0"/>
    <x v="0"/>
    <x v="0"/>
    <x v="0"/>
    <s v="DK1_Rural"/>
    <x v="0"/>
    <x v="0"/>
    <s v="GNR_ENG_BGAS_BP_E-40"/>
    <x v="0"/>
    <x v="3"/>
    <n v="6.24"/>
    <n v="2277.6"/>
    <n v="8199.36"/>
  </r>
  <r>
    <x v="0"/>
    <x v="0"/>
    <x v="0"/>
    <x v="0"/>
    <x v="0"/>
    <s v="DK1_Rural"/>
    <x v="0"/>
    <x v="0"/>
    <s v="GNR_ENG_BGAS_BP_E-40"/>
    <x v="0"/>
    <x v="4"/>
    <n v="6.24"/>
    <n v="2277.6"/>
    <n v="8199.36"/>
  </r>
  <r>
    <x v="0"/>
    <x v="0"/>
    <x v="0"/>
    <x v="0"/>
    <x v="0"/>
    <s v="DK1_Rural"/>
    <x v="0"/>
    <x v="0"/>
    <s v="GNR_ENG_BGAS_BP_E-40"/>
    <x v="0"/>
    <x v="5"/>
    <n v="6.24"/>
    <n v="2277.6"/>
    <n v="8199.36"/>
  </r>
  <r>
    <x v="0"/>
    <x v="0"/>
    <x v="0"/>
    <x v="0"/>
    <x v="0"/>
    <s v="DK1_Rural"/>
    <x v="0"/>
    <x v="0"/>
    <s v="GNR_ENG_BGAS_BP_E-40"/>
    <x v="0"/>
    <x v="6"/>
    <n v="6.24"/>
    <n v="2277.6"/>
    <n v="8199.36"/>
  </r>
  <r>
    <x v="0"/>
    <x v="0"/>
    <x v="0"/>
    <x v="0"/>
    <x v="0"/>
    <s v="DK1_Rural"/>
    <x v="0"/>
    <x v="0"/>
    <s v="GNR_ENG_BGAS_BP_E-40"/>
    <x v="0"/>
    <x v="7"/>
    <n v="6.24"/>
    <n v="2277.6"/>
    <n v="8199.36"/>
  </r>
  <r>
    <x v="0"/>
    <x v="0"/>
    <x v="0"/>
    <x v="0"/>
    <x v="0"/>
    <s v="DK1_Rural"/>
    <x v="0"/>
    <x v="0"/>
    <s v="GNR_ENG_BGAS_BP_E-40"/>
    <x v="0"/>
    <x v="8"/>
    <n v="6.24"/>
    <n v="2277.6"/>
    <n v="8199.36"/>
  </r>
  <r>
    <x v="0"/>
    <x v="0"/>
    <x v="0"/>
    <x v="0"/>
    <x v="0"/>
    <s v="DK1_Rural"/>
    <x v="0"/>
    <x v="0"/>
    <s v="GNR_ENG_BGAS_BP_E-40"/>
    <x v="0"/>
    <x v="9"/>
    <n v="6.24"/>
    <n v="2277.6"/>
    <n v="8199.36"/>
  </r>
  <r>
    <x v="0"/>
    <x v="0"/>
    <x v="0"/>
    <x v="0"/>
    <x v="0"/>
    <s v="DK1_Rural"/>
    <x v="0"/>
    <x v="0"/>
    <s v="GNR_ENG_BGAS_BP_E-40"/>
    <x v="0"/>
    <x v="10"/>
    <n v="6.24"/>
    <n v="2277.6"/>
    <n v="8199.36"/>
  </r>
  <r>
    <x v="0"/>
    <x v="0"/>
    <x v="0"/>
    <x v="0"/>
    <x v="0"/>
    <s v="DK1_Rural"/>
    <x v="0"/>
    <x v="0"/>
    <s v="GNR_ENG_BGAS_BP_E-40"/>
    <x v="0"/>
    <x v="11"/>
    <n v="6.24"/>
    <n v="2277.6"/>
    <n v="8199.36"/>
  </r>
  <r>
    <x v="0"/>
    <x v="0"/>
    <x v="0"/>
    <x v="0"/>
    <x v="0"/>
    <s v="DK1_Rural"/>
    <x v="0"/>
    <x v="0"/>
    <s v="GNR_ENG_BGAS_BP_E-40"/>
    <x v="0"/>
    <x v="12"/>
    <n v="6.24"/>
    <n v="2277.6"/>
    <n v="8199.36"/>
  </r>
  <r>
    <x v="0"/>
    <x v="0"/>
    <x v="0"/>
    <x v="0"/>
    <x v="0"/>
    <s v="DK1_Rural"/>
    <x v="0"/>
    <x v="0"/>
    <s v="GNR_ENG_BGAS_BP_E-40"/>
    <x v="0"/>
    <x v="13"/>
    <n v="6.24"/>
    <n v="2277.6"/>
    <n v="8199.36"/>
  </r>
  <r>
    <x v="0"/>
    <x v="0"/>
    <x v="0"/>
    <x v="0"/>
    <x v="0"/>
    <s v="DK1_Rural"/>
    <x v="0"/>
    <x v="0"/>
    <s v="GNR_ENG_BGAS_BP_E-40"/>
    <x v="0"/>
    <x v="14"/>
    <n v="6.24"/>
    <n v="2277.6"/>
    <n v="8199.36"/>
  </r>
  <r>
    <x v="0"/>
    <x v="0"/>
    <x v="0"/>
    <x v="0"/>
    <x v="0"/>
    <s v="DK1_Rural"/>
    <x v="0"/>
    <x v="0"/>
    <s v="GNR_ENG_BGAS_BP_E-40"/>
    <x v="0"/>
    <x v="15"/>
    <n v="6.24"/>
    <n v="2277.6"/>
    <n v="8199.36"/>
  </r>
  <r>
    <x v="0"/>
    <x v="0"/>
    <x v="0"/>
    <x v="0"/>
    <x v="0"/>
    <s v="DK1_Rural"/>
    <x v="0"/>
    <x v="0"/>
    <s v="GNR_ENG_BGAS_BP_E-40"/>
    <x v="0"/>
    <x v="16"/>
    <n v="6.24"/>
    <n v="2277.6"/>
    <n v="8199.36"/>
  </r>
  <r>
    <x v="0"/>
    <x v="0"/>
    <x v="0"/>
    <x v="0"/>
    <x v="0"/>
    <s v="DK1_Rural"/>
    <x v="0"/>
    <x v="0"/>
    <s v="GNR_ENG_BGAS_BP_E-40"/>
    <x v="0"/>
    <x v="17"/>
    <n v="6.24"/>
    <n v="2277.6"/>
    <n v="8199.36"/>
  </r>
  <r>
    <x v="0"/>
    <x v="0"/>
    <x v="0"/>
    <x v="0"/>
    <x v="0"/>
    <s v="DK1_Rural"/>
    <x v="0"/>
    <x v="0"/>
    <s v="GNR_ENG_BGAS_BP_E-40"/>
    <x v="0"/>
    <x v="18"/>
    <n v="6.24"/>
    <n v="2277.6"/>
    <n v="8199.36"/>
  </r>
  <r>
    <x v="0"/>
    <x v="0"/>
    <x v="0"/>
    <x v="0"/>
    <x v="0"/>
    <s v="DK1_Rural"/>
    <x v="0"/>
    <x v="0"/>
    <s v="GNR_ENG_BGAS_BP_E-40"/>
    <x v="0"/>
    <x v="19"/>
    <n v="6.24"/>
    <n v="2277.6"/>
    <n v="8199.36"/>
  </r>
  <r>
    <x v="0"/>
    <x v="0"/>
    <x v="0"/>
    <x v="0"/>
    <x v="0"/>
    <s v="DK1_Rural"/>
    <x v="0"/>
    <x v="0"/>
    <s v="GNR_ENG_BGAS_BP_E-40"/>
    <x v="0"/>
    <x v="20"/>
    <n v="6.24"/>
    <n v="2277.6"/>
    <n v="8199.36"/>
  </r>
  <r>
    <x v="0"/>
    <x v="0"/>
    <x v="0"/>
    <x v="0"/>
    <x v="0"/>
    <s v="DK1_Rural"/>
    <x v="0"/>
    <x v="0"/>
    <s v="GNR_ENG_BGAS_BP_E-40"/>
    <x v="0"/>
    <x v="21"/>
    <n v="6.24"/>
    <n v="2277.6"/>
    <n v="8199.36"/>
  </r>
  <r>
    <x v="0"/>
    <x v="0"/>
    <x v="0"/>
    <x v="0"/>
    <x v="0"/>
    <s v="DK1_Rural"/>
    <x v="0"/>
    <x v="0"/>
    <s v="GNR_ENG_BGAS_BP_E-40"/>
    <x v="0"/>
    <x v="22"/>
    <n v="6.24"/>
    <n v="2277.6"/>
    <n v="8199.36"/>
  </r>
  <r>
    <x v="0"/>
    <x v="0"/>
    <x v="0"/>
    <x v="0"/>
    <x v="0"/>
    <s v="DK1_Rural"/>
    <x v="0"/>
    <x v="0"/>
    <s v="GNR_ENG_BGAS_BP_E-40"/>
    <x v="0"/>
    <x v="23"/>
    <n v="6.24"/>
    <n v="2277.6"/>
    <n v="8199.36"/>
  </r>
  <r>
    <x v="0"/>
    <x v="0"/>
    <x v="0"/>
    <x v="0"/>
    <x v="0"/>
    <s v="DK1_Rural"/>
    <x v="0"/>
    <x v="0"/>
    <s v="GNR_ENG_BGAS_BP_E-41"/>
    <x v="0"/>
    <x v="0"/>
    <n v="2.081"/>
    <n v="759.56500000000005"/>
    <n v="2734.4340000000002"/>
  </r>
  <r>
    <x v="0"/>
    <x v="0"/>
    <x v="0"/>
    <x v="0"/>
    <x v="0"/>
    <s v="DK1_Rural"/>
    <x v="0"/>
    <x v="0"/>
    <s v="GNR_ENG_BGAS_BP_E-41"/>
    <x v="0"/>
    <x v="1"/>
    <n v="2.081"/>
    <n v="759.56500000000005"/>
    <n v="2734.4340000000002"/>
  </r>
  <r>
    <x v="0"/>
    <x v="0"/>
    <x v="0"/>
    <x v="0"/>
    <x v="0"/>
    <s v="DK1_Rural"/>
    <x v="0"/>
    <x v="0"/>
    <s v="GNR_ENG_BGAS_BP_E-41"/>
    <x v="0"/>
    <x v="2"/>
    <n v="2.081"/>
    <n v="759.56500000000005"/>
    <n v="2734.4340000000002"/>
  </r>
  <r>
    <x v="0"/>
    <x v="0"/>
    <x v="0"/>
    <x v="0"/>
    <x v="0"/>
    <s v="DK1_Rural"/>
    <x v="0"/>
    <x v="0"/>
    <s v="GNR_ENG_BGAS_BP_E-41"/>
    <x v="0"/>
    <x v="3"/>
    <n v="2.081"/>
    <n v="759.56500000000005"/>
    <n v="2734.4340000000002"/>
  </r>
  <r>
    <x v="0"/>
    <x v="0"/>
    <x v="0"/>
    <x v="0"/>
    <x v="0"/>
    <s v="DK1_Rural"/>
    <x v="0"/>
    <x v="0"/>
    <s v="GNR_ENG_BGAS_BP_E-41"/>
    <x v="0"/>
    <x v="4"/>
    <n v="2.081"/>
    <n v="759.56500000000005"/>
    <n v="2734.4340000000002"/>
  </r>
  <r>
    <x v="0"/>
    <x v="0"/>
    <x v="0"/>
    <x v="0"/>
    <x v="0"/>
    <s v="DK1_Rural"/>
    <x v="0"/>
    <x v="0"/>
    <s v="GNR_ENG_BGAS_BP_E-41"/>
    <x v="0"/>
    <x v="5"/>
    <n v="2.081"/>
    <n v="759.56500000000005"/>
    <n v="2734.4340000000002"/>
  </r>
  <r>
    <x v="0"/>
    <x v="0"/>
    <x v="0"/>
    <x v="0"/>
    <x v="0"/>
    <s v="DK1_Rural"/>
    <x v="0"/>
    <x v="0"/>
    <s v="GNR_ENG_BGAS_BP_E-41"/>
    <x v="0"/>
    <x v="6"/>
    <n v="2.081"/>
    <n v="759.56500000000005"/>
    <n v="2734.4340000000002"/>
  </r>
  <r>
    <x v="0"/>
    <x v="0"/>
    <x v="0"/>
    <x v="0"/>
    <x v="0"/>
    <s v="DK1_Rural"/>
    <x v="0"/>
    <x v="0"/>
    <s v="GNR_ENG_BGAS_BP_E-41"/>
    <x v="0"/>
    <x v="7"/>
    <n v="2.081"/>
    <n v="759.56500000000005"/>
    <n v="2734.4340000000002"/>
  </r>
  <r>
    <x v="0"/>
    <x v="0"/>
    <x v="0"/>
    <x v="0"/>
    <x v="0"/>
    <s v="DK1_Rural"/>
    <x v="0"/>
    <x v="0"/>
    <s v="GNR_ENG_BGAS_BP_E-41"/>
    <x v="0"/>
    <x v="8"/>
    <n v="2.081"/>
    <n v="759.56500000000005"/>
    <n v="2734.4340000000002"/>
  </r>
  <r>
    <x v="0"/>
    <x v="0"/>
    <x v="0"/>
    <x v="0"/>
    <x v="0"/>
    <s v="DK1_Rural"/>
    <x v="0"/>
    <x v="0"/>
    <s v="GNR_ENG_BGAS_BP_E-41"/>
    <x v="0"/>
    <x v="9"/>
    <n v="2.081"/>
    <n v="759.56500000000005"/>
    <n v="2734.4340000000002"/>
  </r>
  <r>
    <x v="0"/>
    <x v="0"/>
    <x v="0"/>
    <x v="0"/>
    <x v="0"/>
    <s v="DK1_Rural"/>
    <x v="0"/>
    <x v="0"/>
    <s v="GNR_ENG_BGAS_BP_E-41"/>
    <x v="0"/>
    <x v="10"/>
    <n v="2.081"/>
    <n v="759.56500000000005"/>
    <n v="2734.4340000000002"/>
  </r>
  <r>
    <x v="0"/>
    <x v="0"/>
    <x v="0"/>
    <x v="0"/>
    <x v="0"/>
    <s v="DK1_Rural"/>
    <x v="0"/>
    <x v="0"/>
    <s v="GNR_ENG_BGAS_BP_E-41"/>
    <x v="0"/>
    <x v="11"/>
    <n v="2.081"/>
    <n v="759.56500000000005"/>
    <n v="2734.4340000000002"/>
  </r>
  <r>
    <x v="0"/>
    <x v="0"/>
    <x v="0"/>
    <x v="0"/>
    <x v="0"/>
    <s v="DK1_Rural"/>
    <x v="0"/>
    <x v="0"/>
    <s v="GNR_ENG_BGAS_BP_E-41"/>
    <x v="0"/>
    <x v="12"/>
    <n v="2.081"/>
    <n v="759.56500000000005"/>
    <n v="2734.4340000000002"/>
  </r>
  <r>
    <x v="0"/>
    <x v="0"/>
    <x v="0"/>
    <x v="0"/>
    <x v="0"/>
    <s v="DK1_Rural"/>
    <x v="0"/>
    <x v="0"/>
    <s v="GNR_ENG_BGAS_BP_E-41"/>
    <x v="0"/>
    <x v="13"/>
    <n v="2.081"/>
    <n v="759.56500000000005"/>
    <n v="2734.4340000000002"/>
  </r>
  <r>
    <x v="0"/>
    <x v="0"/>
    <x v="0"/>
    <x v="0"/>
    <x v="0"/>
    <s v="DK1_Rural"/>
    <x v="0"/>
    <x v="0"/>
    <s v="GNR_ENG_BGAS_BP_E-41"/>
    <x v="0"/>
    <x v="14"/>
    <n v="2.081"/>
    <n v="759.56500000000005"/>
    <n v="2734.4340000000002"/>
  </r>
  <r>
    <x v="0"/>
    <x v="0"/>
    <x v="0"/>
    <x v="0"/>
    <x v="0"/>
    <s v="DK1_Rural"/>
    <x v="0"/>
    <x v="0"/>
    <s v="GNR_ENG_BGAS_BP_E-41"/>
    <x v="0"/>
    <x v="15"/>
    <n v="2.081"/>
    <n v="759.56500000000005"/>
    <n v="2734.4340000000002"/>
  </r>
  <r>
    <x v="0"/>
    <x v="0"/>
    <x v="0"/>
    <x v="0"/>
    <x v="0"/>
    <s v="DK1_Rural"/>
    <x v="0"/>
    <x v="0"/>
    <s v="GNR_ENG_BGAS_BP_E-41"/>
    <x v="0"/>
    <x v="16"/>
    <n v="2.081"/>
    <n v="759.56500000000005"/>
    <n v="2734.4340000000002"/>
  </r>
  <r>
    <x v="0"/>
    <x v="0"/>
    <x v="0"/>
    <x v="0"/>
    <x v="0"/>
    <s v="DK1_Rural"/>
    <x v="0"/>
    <x v="0"/>
    <s v="GNR_ENG_BGAS_BP_E-41"/>
    <x v="0"/>
    <x v="17"/>
    <n v="2.081"/>
    <n v="759.56500000000005"/>
    <n v="2734.4340000000002"/>
  </r>
  <r>
    <x v="0"/>
    <x v="0"/>
    <x v="0"/>
    <x v="0"/>
    <x v="0"/>
    <s v="DK1_Rural"/>
    <x v="0"/>
    <x v="0"/>
    <s v="GNR_ENG_BGAS_BP_E-41"/>
    <x v="0"/>
    <x v="18"/>
    <n v="2.081"/>
    <n v="759.56500000000005"/>
    <n v="2734.4340000000002"/>
  </r>
  <r>
    <x v="0"/>
    <x v="0"/>
    <x v="0"/>
    <x v="0"/>
    <x v="0"/>
    <s v="DK1_Rural"/>
    <x v="0"/>
    <x v="0"/>
    <s v="GNR_ENG_BGAS_BP_E-41"/>
    <x v="0"/>
    <x v="19"/>
    <n v="2.081"/>
    <n v="759.56500000000005"/>
    <n v="2734.4340000000002"/>
  </r>
  <r>
    <x v="0"/>
    <x v="0"/>
    <x v="0"/>
    <x v="0"/>
    <x v="0"/>
    <s v="DK1_Rural"/>
    <x v="0"/>
    <x v="0"/>
    <s v="GNR_ENG_BGAS_BP_E-41"/>
    <x v="0"/>
    <x v="20"/>
    <n v="2.081"/>
    <n v="759.56500000000005"/>
    <n v="2734.4340000000002"/>
  </r>
  <r>
    <x v="0"/>
    <x v="0"/>
    <x v="0"/>
    <x v="0"/>
    <x v="0"/>
    <s v="DK1_Rural"/>
    <x v="0"/>
    <x v="0"/>
    <s v="GNR_ENG_BGAS_BP_E-41"/>
    <x v="0"/>
    <x v="21"/>
    <n v="2.081"/>
    <n v="759.56500000000005"/>
    <n v="2734.4340000000002"/>
  </r>
  <r>
    <x v="0"/>
    <x v="0"/>
    <x v="0"/>
    <x v="0"/>
    <x v="0"/>
    <s v="DK1_Rural"/>
    <x v="0"/>
    <x v="0"/>
    <s v="GNR_ENG_BGAS_BP_E-41"/>
    <x v="0"/>
    <x v="22"/>
    <n v="2.081"/>
    <n v="759.56500000000005"/>
    <n v="2734.4340000000002"/>
  </r>
  <r>
    <x v="0"/>
    <x v="0"/>
    <x v="0"/>
    <x v="0"/>
    <x v="0"/>
    <s v="DK1_Rural"/>
    <x v="0"/>
    <x v="0"/>
    <s v="GNR_ENG_BGAS_BP_E-41"/>
    <x v="0"/>
    <x v="23"/>
    <n v="2.081"/>
    <n v="759.56500000000005"/>
    <n v="2734.4340000000002"/>
  </r>
  <r>
    <x v="0"/>
    <x v="0"/>
    <x v="0"/>
    <x v="0"/>
    <x v="0"/>
    <s v="DK1_Rural"/>
    <x v="0"/>
    <x v="0"/>
    <s v="GNR_ENG_BGAS_BP_E-42"/>
    <x v="0"/>
    <x v="0"/>
    <n v="8.5299999999999994"/>
    <n v="3113.45"/>
    <n v="11208.42"/>
  </r>
  <r>
    <x v="0"/>
    <x v="0"/>
    <x v="0"/>
    <x v="0"/>
    <x v="0"/>
    <s v="DK1_Rural"/>
    <x v="0"/>
    <x v="0"/>
    <s v="GNR_ENG_BGAS_BP_E-42"/>
    <x v="0"/>
    <x v="1"/>
    <n v="8.5299999999999994"/>
    <n v="3113.45"/>
    <n v="11208.42"/>
  </r>
  <r>
    <x v="0"/>
    <x v="0"/>
    <x v="0"/>
    <x v="0"/>
    <x v="0"/>
    <s v="DK1_Rural"/>
    <x v="0"/>
    <x v="0"/>
    <s v="GNR_ENG_BGAS_BP_E-42"/>
    <x v="0"/>
    <x v="2"/>
    <n v="8.5299999999999994"/>
    <n v="3113.45"/>
    <n v="11208.42"/>
  </r>
  <r>
    <x v="0"/>
    <x v="0"/>
    <x v="0"/>
    <x v="0"/>
    <x v="0"/>
    <s v="DK1_Rural"/>
    <x v="0"/>
    <x v="0"/>
    <s v="GNR_ENG_BGAS_BP_E-42"/>
    <x v="0"/>
    <x v="3"/>
    <n v="8.5299999999999994"/>
    <n v="3113.45"/>
    <n v="11208.42"/>
  </r>
  <r>
    <x v="0"/>
    <x v="0"/>
    <x v="0"/>
    <x v="0"/>
    <x v="0"/>
    <s v="DK1_Rural"/>
    <x v="0"/>
    <x v="0"/>
    <s v="GNR_ENG_BGAS_BP_E-42"/>
    <x v="0"/>
    <x v="4"/>
    <n v="8.5299999999999994"/>
    <n v="3113.45"/>
    <n v="11208.42"/>
  </r>
  <r>
    <x v="0"/>
    <x v="0"/>
    <x v="0"/>
    <x v="0"/>
    <x v="0"/>
    <s v="DK1_Rural"/>
    <x v="0"/>
    <x v="0"/>
    <s v="GNR_ENG_BGAS_BP_E-42"/>
    <x v="0"/>
    <x v="5"/>
    <n v="8.5299999999999994"/>
    <n v="3113.45"/>
    <n v="11208.42"/>
  </r>
  <r>
    <x v="0"/>
    <x v="0"/>
    <x v="0"/>
    <x v="0"/>
    <x v="0"/>
    <s v="DK1_Rural"/>
    <x v="0"/>
    <x v="0"/>
    <s v="GNR_ENG_BGAS_BP_E-42"/>
    <x v="0"/>
    <x v="6"/>
    <n v="8.5299999999999994"/>
    <n v="3113.45"/>
    <n v="11208.42"/>
  </r>
  <r>
    <x v="0"/>
    <x v="0"/>
    <x v="0"/>
    <x v="0"/>
    <x v="0"/>
    <s v="DK1_Rural"/>
    <x v="0"/>
    <x v="0"/>
    <s v="GNR_ENG_BGAS_BP_E-42"/>
    <x v="0"/>
    <x v="7"/>
    <n v="8.5299999999999994"/>
    <n v="3113.45"/>
    <n v="11208.42"/>
  </r>
  <r>
    <x v="0"/>
    <x v="0"/>
    <x v="0"/>
    <x v="0"/>
    <x v="0"/>
    <s v="DK1_Rural"/>
    <x v="0"/>
    <x v="0"/>
    <s v="GNR_ENG_BGAS_BP_E-42"/>
    <x v="0"/>
    <x v="8"/>
    <n v="8.5299999999999994"/>
    <n v="3113.45"/>
    <n v="11208.42"/>
  </r>
  <r>
    <x v="0"/>
    <x v="0"/>
    <x v="0"/>
    <x v="0"/>
    <x v="0"/>
    <s v="DK1_Rural"/>
    <x v="0"/>
    <x v="0"/>
    <s v="GNR_ENG_BGAS_BP_E-42"/>
    <x v="0"/>
    <x v="9"/>
    <n v="8.5299999999999994"/>
    <n v="3113.45"/>
    <n v="11208.42"/>
  </r>
  <r>
    <x v="0"/>
    <x v="0"/>
    <x v="0"/>
    <x v="0"/>
    <x v="0"/>
    <s v="DK1_Rural"/>
    <x v="0"/>
    <x v="0"/>
    <s v="GNR_ENG_BGAS_BP_E-42"/>
    <x v="0"/>
    <x v="10"/>
    <n v="8.5299999999999994"/>
    <n v="3113.45"/>
    <n v="11208.42"/>
  </r>
  <r>
    <x v="0"/>
    <x v="0"/>
    <x v="0"/>
    <x v="0"/>
    <x v="0"/>
    <s v="DK1_Rural"/>
    <x v="0"/>
    <x v="0"/>
    <s v="GNR_ENG_BGAS_BP_E-42"/>
    <x v="0"/>
    <x v="11"/>
    <n v="8.5299999999999994"/>
    <n v="3113.45"/>
    <n v="11208.42"/>
  </r>
  <r>
    <x v="0"/>
    <x v="0"/>
    <x v="0"/>
    <x v="0"/>
    <x v="0"/>
    <s v="DK1_Rural"/>
    <x v="0"/>
    <x v="0"/>
    <s v="GNR_ENG_BGAS_BP_E-42"/>
    <x v="0"/>
    <x v="12"/>
    <n v="8.5299999999999994"/>
    <n v="3113.45"/>
    <n v="11208.42"/>
  </r>
  <r>
    <x v="0"/>
    <x v="0"/>
    <x v="0"/>
    <x v="0"/>
    <x v="0"/>
    <s v="DK1_Rural"/>
    <x v="0"/>
    <x v="0"/>
    <s v="GNR_ENG_BGAS_BP_E-42"/>
    <x v="0"/>
    <x v="13"/>
    <n v="8.5299999999999994"/>
    <n v="3113.45"/>
    <n v="11208.42"/>
  </r>
  <r>
    <x v="0"/>
    <x v="0"/>
    <x v="0"/>
    <x v="0"/>
    <x v="0"/>
    <s v="DK1_Rural"/>
    <x v="0"/>
    <x v="0"/>
    <s v="GNR_ENG_BGAS_BP_E-42"/>
    <x v="0"/>
    <x v="14"/>
    <n v="8.5299999999999994"/>
    <n v="3113.45"/>
    <n v="11208.42"/>
  </r>
  <r>
    <x v="0"/>
    <x v="0"/>
    <x v="0"/>
    <x v="0"/>
    <x v="0"/>
    <s v="DK1_Rural"/>
    <x v="0"/>
    <x v="0"/>
    <s v="GNR_ENG_BGAS_BP_E-42"/>
    <x v="0"/>
    <x v="15"/>
    <n v="8.5299999999999994"/>
    <n v="3113.45"/>
    <n v="11208.42"/>
  </r>
  <r>
    <x v="0"/>
    <x v="0"/>
    <x v="0"/>
    <x v="0"/>
    <x v="0"/>
    <s v="DK1_Rural"/>
    <x v="0"/>
    <x v="0"/>
    <s v="GNR_ENG_BGAS_BP_E-42"/>
    <x v="0"/>
    <x v="16"/>
    <n v="8.5299999999999994"/>
    <n v="3113.45"/>
    <n v="11208.42"/>
  </r>
  <r>
    <x v="0"/>
    <x v="0"/>
    <x v="0"/>
    <x v="0"/>
    <x v="0"/>
    <s v="DK1_Rural"/>
    <x v="0"/>
    <x v="0"/>
    <s v="GNR_ENG_BGAS_BP_E-42"/>
    <x v="0"/>
    <x v="17"/>
    <n v="8.5299999999999994"/>
    <n v="3113.45"/>
    <n v="11208.42"/>
  </r>
  <r>
    <x v="0"/>
    <x v="0"/>
    <x v="0"/>
    <x v="0"/>
    <x v="0"/>
    <s v="DK1_Rural"/>
    <x v="0"/>
    <x v="0"/>
    <s v="GNR_ENG_BGAS_BP_E-42"/>
    <x v="0"/>
    <x v="18"/>
    <n v="8.5299999999999994"/>
    <n v="3113.45"/>
    <n v="11208.42"/>
  </r>
  <r>
    <x v="0"/>
    <x v="0"/>
    <x v="0"/>
    <x v="0"/>
    <x v="0"/>
    <s v="DK1_Rural"/>
    <x v="0"/>
    <x v="0"/>
    <s v="GNR_ENG_BGAS_BP_E-42"/>
    <x v="0"/>
    <x v="19"/>
    <n v="8.5299999999999994"/>
    <n v="3113.45"/>
    <n v="11208.42"/>
  </r>
  <r>
    <x v="0"/>
    <x v="0"/>
    <x v="0"/>
    <x v="0"/>
    <x v="0"/>
    <s v="DK1_Rural"/>
    <x v="0"/>
    <x v="0"/>
    <s v="GNR_ENG_BGAS_BP_E-42"/>
    <x v="0"/>
    <x v="20"/>
    <n v="8.5299999999999994"/>
    <n v="3113.45"/>
    <n v="11208.42"/>
  </r>
  <r>
    <x v="0"/>
    <x v="0"/>
    <x v="0"/>
    <x v="0"/>
    <x v="0"/>
    <s v="DK1_Rural"/>
    <x v="0"/>
    <x v="0"/>
    <s v="GNR_ENG_BGAS_BP_E-42"/>
    <x v="0"/>
    <x v="21"/>
    <n v="8.5299999999999994"/>
    <n v="3113.45"/>
    <n v="11208.42"/>
  </r>
  <r>
    <x v="0"/>
    <x v="0"/>
    <x v="0"/>
    <x v="0"/>
    <x v="0"/>
    <s v="DK1_Rural"/>
    <x v="0"/>
    <x v="0"/>
    <s v="GNR_ENG_BGAS_BP_E-42"/>
    <x v="0"/>
    <x v="22"/>
    <n v="8.5299999999999994"/>
    <n v="3113.45"/>
    <n v="11208.42"/>
  </r>
  <r>
    <x v="0"/>
    <x v="0"/>
    <x v="0"/>
    <x v="0"/>
    <x v="0"/>
    <s v="DK1_Rural"/>
    <x v="0"/>
    <x v="0"/>
    <s v="GNR_ENG_BGAS_BP_E-42"/>
    <x v="0"/>
    <x v="23"/>
    <n v="8.5299999999999994"/>
    <n v="3113.45"/>
    <n v="11208.42"/>
  </r>
  <r>
    <x v="0"/>
    <x v="0"/>
    <x v="0"/>
    <x v="0"/>
    <x v="0"/>
    <s v="DK1_Rural"/>
    <x v="0"/>
    <x v="0"/>
    <s v="GNR_ENG_BGAS_BP_E-43"/>
    <x v="0"/>
    <x v="0"/>
    <n v="5.14"/>
    <n v="1876.1"/>
    <n v="6753.96"/>
  </r>
  <r>
    <x v="0"/>
    <x v="0"/>
    <x v="0"/>
    <x v="0"/>
    <x v="0"/>
    <s v="DK1_Rural"/>
    <x v="0"/>
    <x v="0"/>
    <s v="GNR_ENG_BGAS_BP_E-43"/>
    <x v="0"/>
    <x v="1"/>
    <n v="5.14"/>
    <n v="1876.1"/>
    <n v="6753.96"/>
  </r>
  <r>
    <x v="0"/>
    <x v="0"/>
    <x v="0"/>
    <x v="0"/>
    <x v="0"/>
    <s v="DK1_Rural"/>
    <x v="0"/>
    <x v="0"/>
    <s v="GNR_ENG_BGAS_BP_E-43"/>
    <x v="0"/>
    <x v="2"/>
    <n v="5.14"/>
    <n v="1876.1"/>
    <n v="6753.96"/>
  </r>
  <r>
    <x v="0"/>
    <x v="0"/>
    <x v="0"/>
    <x v="0"/>
    <x v="0"/>
    <s v="DK1_Rural"/>
    <x v="0"/>
    <x v="0"/>
    <s v="GNR_ENG_BGAS_BP_E-43"/>
    <x v="0"/>
    <x v="3"/>
    <n v="5.14"/>
    <n v="1876.1"/>
    <n v="6753.96"/>
  </r>
  <r>
    <x v="0"/>
    <x v="0"/>
    <x v="0"/>
    <x v="0"/>
    <x v="0"/>
    <s v="DK1_Rural"/>
    <x v="0"/>
    <x v="0"/>
    <s v="GNR_ENG_BGAS_BP_E-43"/>
    <x v="0"/>
    <x v="4"/>
    <n v="5.14"/>
    <n v="1876.1"/>
    <n v="6753.96"/>
  </r>
  <r>
    <x v="0"/>
    <x v="0"/>
    <x v="0"/>
    <x v="0"/>
    <x v="0"/>
    <s v="DK1_Rural"/>
    <x v="0"/>
    <x v="0"/>
    <s v="GNR_ENG_BGAS_BP_E-43"/>
    <x v="0"/>
    <x v="5"/>
    <n v="5.14"/>
    <n v="1876.1"/>
    <n v="6753.96"/>
  </r>
  <r>
    <x v="0"/>
    <x v="0"/>
    <x v="0"/>
    <x v="0"/>
    <x v="0"/>
    <s v="DK1_Rural"/>
    <x v="0"/>
    <x v="0"/>
    <s v="GNR_ENG_BGAS_BP_E-43"/>
    <x v="0"/>
    <x v="6"/>
    <n v="5.14"/>
    <n v="1876.1"/>
    <n v="6753.96"/>
  </r>
  <r>
    <x v="0"/>
    <x v="0"/>
    <x v="0"/>
    <x v="0"/>
    <x v="0"/>
    <s v="DK1_Rural"/>
    <x v="0"/>
    <x v="0"/>
    <s v="GNR_ENG_BGAS_BP_E-43"/>
    <x v="0"/>
    <x v="7"/>
    <n v="5.14"/>
    <n v="1876.1"/>
    <n v="6753.96"/>
  </r>
  <r>
    <x v="0"/>
    <x v="0"/>
    <x v="0"/>
    <x v="0"/>
    <x v="0"/>
    <s v="DK1_Rural"/>
    <x v="0"/>
    <x v="0"/>
    <s v="GNR_ENG_BGAS_BP_E-43"/>
    <x v="0"/>
    <x v="8"/>
    <n v="5.14"/>
    <n v="1876.1"/>
    <n v="6753.96"/>
  </r>
  <r>
    <x v="0"/>
    <x v="0"/>
    <x v="0"/>
    <x v="0"/>
    <x v="0"/>
    <s v="DK1_Rural"/>
    <x v="0"/>
    <x v="0"/>
    <s v="GNR_ENG_BGAS_BP_E-43"/>
    <x v="0"/>
    <x v="9"/>
    <n v="5.14"/>
    <n v="1876.1"/>
    <n v="6753.96"/>
  </r>
  <r>
    <x v="0"/>
    <x v="0"/>
    <x v="0"/>
    <x v="0"/>
    <x v="0"/>
    <s v="DK1_Rural"/>
    <x v="0"/>
    <x v="0"/>
    <s v="GNR_ENG_BGAS_BP_E-43"/>
    <x v="0"/>
    <x v="10"/>
    <n v="5.14"/>
    <n v="1876.1"/>
    <n v="6753.96"/>
  </r>
  <r>
    <x v="0"/>
    <x v="0"/>
    <x v="0"/>
    <x v="0"/>
    <x v="0"/>
    <s v="DK1_Rural"/>
    <x v="0"/>
    <x v="0"/>
    <s v="GNR_ENG_BGAS_BP_E-43"/>
    <x v="0"/>
    <x v="11"/>
    <n v="5.14"/>
    <n v="1876.1"/>
    <n v="6753.96"/>
  </r>
  <r>
    <x v="0"/>
    <x v="0"/>
    <x v="0"/>
    <x v="0"/>
    <x v="0"/>
    <s v="DK1_Rural"/>
    <x v="0"/>
    <x v="0"/>
    <s v="GNR_ENG_BGAS_BP_E-43"/>
    <x v="0"/>
    <x v="12"/>
    <n v="5.14"/>
    <n v="1876.1"/>
    <n v="6753.96"/>
  </r>
  <r>
    <x v="0"/>
    <x v="0"/>
    <x v="0"/>
    <x v="0"/>
    <x v="0"/>
    <s v="DK1_Rural"/>
    <x v="0"/>
    <x v="0"/>
    <s v="GNR_ENG_BGAS_BP_E-43"/>
    <x v="0"/>
    <x v="13"/>
    <n v="5.14"/>
    <n v="1876.1"/>
    <n v="6753.96"/>
  </r>
  <r>
    <x v="0"/>
    <x v="0"/>
    <x v="0"/>
    <x v="0"/>
    <x v="0"/>
    <s v="DK1_Rural"/>
    <x v="0"/>
    <x v="0"/>
    <s v="GNR_ENG_BGAS_BP_E-43"/>
    <x v="0"/>
    <x v="14"/>
    <n v="5.14"/>
    <n v="1876.1"/>
    <n v="6753.96"/>
  </r>
  <r>
    <x v="0"/>
    <x v="0"/>
    <x v="0"/>
    <x v="0"/>
    <x v="0"/>
    <s v="DK1_Rural"/>
    <x v="0"/>
    <x v="0"/>
    <s v="GNR_ENG_BGAS_BP_E-43"/>
    <x v="0"/>
    <x v="15"/>
    <n v="5.14"/>
    <n v="1876.1"/>
    <n v="6753.96"/>
  </r>
  <r>
    <x v="0"/>
    <x v="0"/>
    <x v="0"/>
    <x v="0"/>
    <x v="0"/>
    <s v="DK1_Rural"/>
    <x v="0"/>
    <x v="0"/>
    <s v="GNR_ENG_BGAS_BP_E-43"/>
    <x v="0"/>
    <x v="16"/>
    <n v="5.14"/>
    <n v="1876.1"/>
    <n v="6753.96"/>
  </r>
  <r>
    <x v="0"/>
    <x v="0"/>
    <x v="0"/>
    <x v="0"/>
    <x v="0"/>
    <s v="DK1_Rural"/>
    <x v="0"/>
    <x v="0"/>
    <s v="GNR_ENG_BGAS_BP_E-43"/>
    <x v="0"/>
    <x v="17"/>
    <n v="5.14"/>
    <n v="1876.1"/>
    <n v="6753.96"/>
  </r>
  <r>
    <x v="0"/>
    <x v="0"/>
    <x v="0"/>
    <x v="0"/>
    <x v="0"/>
    <s v="DK1_Rural"/>
    <x v="0"/>
    <x v="0"/>
    <s v="GNR_ENG_BGAS_BP_E-43"/>
    <x v="0"/>
    <x v="18"/>
    <n v="5.14"/>
    <n v="1876.1"/>
    <n v="6753.96"/>
  </r>
  <r>
    <x v="0"/>
    <x v="0"/>
    <x v="0"/>
    <x v="0"/>
    <x v="0"/>
    <s v="DK1_Rural"/>
    <x v="0"/>
    <x v="0"/>
    <s v="GNR_ENG_BGAS_BP_E-43"/>
    <x v="0"/>
    <x v="19"/>
    <n v="5.14"/>
    <n v="1876.1"/>
    <n v="6753.96"/>
  </r>
  <r>
    <x v="0"/>
    <x v="0"/>
    <x v="0"/>
    <x v="0"/>
    <x v="0"/>
    <s v="DK1_Rural"/>
    <x v="0"/>
    <x v="0"/>
    <s v="GNR_ENG_BGAS_BP_E-43"/>
    <x v="0"/>
    <x v="20"/>
    <n v="5.14"/>
    <n v="1876.1"/>
    <n v="6753.96"/>
  </r>
  <r>
    <x v="0"/>
    <x v="0"/>
    <x v="0"/>
    <x v="0"/>
    <x v="0"/>
    <s v="DK1_Rural"/>
    <x v="0"/>
    <x v="0"/>
    <s v="GNR_ENG_BGAS_BP_E-43"/>
    <x v="0"/>
    <x v="21"/>
    <n v="5.14"/>
    <n v="1876.1"/>
    <n v="6753.96"/>
  </r>
  <r>
    <x v="0"/>
    <x v="0"/>
    <x v="0"/>
    <x v="0"/>
    <x v="0"/>
    <s v="DK1_Rural"/>
    <x v="0"/>
    <x v="0"/>
    <s v="GNR_ENG_BGAS_BP_E-43"/>
    <x v="0"/>
    <x v="22"/>
    <n v="5.14"/>
    <n v="1876.1"/>
    <n v="6753.96"/>
  </r>
  <r>
    <x v="0"/>
    <x v="0"/>
    <x v="0"/>
    <x v="0"/>
    <x v="0"/>
    <s v="DK1_Rural"/>
    <x v="0"/>
    <x v="0"/>
    <s v="GNR_ENG_BGAS_BP_E-43"/>
    <x v="0"/>
    <x v="23"/>
    <n v="5.14"/>
    <n v="1876.1"/>
    <n v="6753.96"/>
  </r>
  <r>
    <x v="0"/>
    <x v="0"/>
    <x v="0"/>
    <x v="0"/>
    <x v="0"/>
    <s v="DK1_Rural"/>
    <x v="2"/>
    <x v="0"/>
    <s v="GNR_ENG_NGAS_BP_E-47"/>
    <x v="0"/>
    <x v="6"/>
    <n v="3.7"/>
    <n v="1350.5"/>
    <n v="4861.8"/>
  </r>
  <r>
    <x v="0"/>
    <x v="0"/>
    <x v="0"/>
    <x v="0"/>
    <x v="0"/>
    <s v="DK1_Rural"/>
    <x v="2"/>
    <x v="0"/>
    <s v="GNR_ENG_NGAS_BP_E-47"/>
    <x v="0"/>
    <x v="7"/>
    <n v="3.7"/>
    <n v="1350.5"/>
    <n v="4861.8"/>
  </r>
  <r>
    <x v="0"/>
    <x v="0"/>
    <x v="0"/>
    <x v="0"/>
    <x v="0"/>
    <s v="DK1_Rural"/>
    <x v="2"/>
    <x v="0"/>
    <s v="GNR_ENG_NGAS_BP_E-47"/>
    <x v="0"/>
    <x v="8"/>
    <n v="3.7"/>
    <n v="1350.5"/>
    <n v="4861.8"/>
  </r>
  <r>
    <x v="0"/>
    <x v="0"/>
    <x v="0"/>
    <x v="0"/>
    <x v="0"/>
    <s v="DK1_Rural"/>
    <x v="2"/>
    <x v="0"/>
    <s v="GNR_ENG_NGAS_BP_E-47"/>
    <x v="0"/>
    <x v="9"/>
    <n v="3.7"/>
    <n v="1350.5"/>
    <n v="4861.8"/>
  </r>
  <r>
    <x v="0"/>
    <x v="0"/>
    <x v="0"/>
    <x v="0"/>
    <x v="0"/>
    <s v="DK1_Rural"/>
    <x v="3"/>
    <x v="0"/>
    <s v="GNR_ST_STRW_BP_E-26"/>
    <x v="0"/>
    <x v="0"/>
    <n v="2.2999999999999998"/>
    <n v="839.5"/>
    <n v="3022.2"/>
  </r>
  <r>
    <x v="0"/>
    <x v="0"/>
    <x v="0"/>
    <x v="0"/>
    <x v="0"/>
    <s v="DK1_Rural"/>
    <x v="3"/>
    <x v="0"/>
    <s v="GNR_ST_STRW_BP_E-26"/>
    <x v="0"/>
    <x v="1"/>
    <n v="2.2999999999999998"/>
    <n v="839.5"/>
    <n v="3022.2"/>
  </r>
  <r>
    <x v="0"/>
    <x v="0"/>
    <x v="0"/>
    <x v="0"/>
    <x v="0"/>
    <s v="DK1_Rural"/>
    <x v="3"/>
    <x v="0"/>
    <s v="GNR_ST_STRW_BP_E-26"/>
    <x v="0"/>
    <x v="2"/>
    <n v="2.2999999999999998"/>
    <n v="839.5"/>
    <n v="3022.2"/>
  </r>
  <r>
    <x v="0"/>
    <x v="0"/>
    <x v="0"/>
    <x v="0"/>
    <x v="0"/>
    <s v="DK1_Rural"/>
    <x v="3"/>
    <x v="0"/>
    <s v="GNR_ST_STRW_BP_E-26"/>
    <x v="0"/>
    <x v="3"/>
    <n v="2.2999999999999998"/>
    <n v="839.5"/>
    <n v="3022.2"/>
  </r>
  <r>
    <x v="0"/>
    <x v="0"/>
    <x v="0"/>
    <x v="0"/>
    <x v="0"/>
    <s v="DK1_Rural"/>
    <x v="3"/>
    <x v="0"/>
    <s v="GNR_ST_STRW_BP_E-26"/>
    <x v="0"/>
    <x v="4"/>
    <n v="2.2999999999999998"/>
    <n v="839.5"/>
    <n v="3022.2"/>
  </r>
  <r>
    <x v="0"/>
    <x v="0"/>
    <x v="0"/>
    <x v="0"/>
    <x v="0"/>
    <s v="DK1_Rural"/>
    <x v="3"/>
    <x v="0"/>
    <s v="GNR_ST_STRW_BP_E-26"/>
    <x v="0"/>
    <x v="5"/>
    <n v="2.2999999999999998"/>
    <n v="839.5"/>
    <n v="3022.2"/>
  </r>
  <r>
    <x v="0"/>
    <x v="0"/>
    <x v="0"/>
    <x v="0"/>
    <x v="0"/>
    <s v="DK1_Rural"/>
    <x v="3"/>
    <x v="0"/>
    <s v="GNR_ST_STRW_BP_E-26"/>
    <x v="0"/>
    <x v="6"/>
    <n v="2.2999999999999998"/>
    <n v="839.5"/>
    <n v="3022.2"/>
  </r>
  <r>
    <x v="0"/>
    <x v="0"/>
    <x v="0"/>
    <x v="0"/>
    <x v="0"/>
    <s v="DK1_Rural"/>
    <x v="3"/>
    <x v="0"/>
    <s v="GNR_ST_STRW_BP_E-26"/>
    <x v="0"/>
    <x v="7"/>
    <n v="2.2999999999999998"/>
    <n v="839.5"/>
    <n v="3022.2"/>
  </r>
  <r>
    <x v="0"/>
    <x v="0"/>
    <x v="0"/>
    <x v="0"/>
    <x v="0"/>
    <s v="DK1_Rural"/>
    <x v="3"/>
    <x v="0"/>
    <s v="GNR_ST_STRW_BP_E-26"/>
    <x v="0"/>
    <x v="8"/>
    <n v="2.2999999999999998"/>
    <n v="839.5"/>
    <n v="3022.2"/>
  </r>
  <r>
    <x v="0"/>
    <x v="0"/>
    <x v="0"/>
    <x v="0"/>
    <x v="0"/>
    <s v="DK1_Rural"/>
    <x v="3"/>
    <x v="0"/>
    <s v="GNR_ST_STRW_BP_E-26"/>
    <x v="0"/>
    <x v="9"/>
    <n v="2.2999999999999998"/>
    <n v="839.5"/>
    <n v="3022.2"/>
  </r>
  <r>
    <x v="0"/>
    <x v="0"/>
    <x v="0"/>
    <x v="0"/>
    <x v="0"/>
    <s v="DK1_Rural"/>
    <x v="3"/>
    <x v="0"/>
    <s v="GNR_ST_STRW_BP_E-26"/>
    <x v="0"/>
    <x v="10"/>
    <n v="2.2999999999999998"/>
    <n v="839.5"/>
    <n v="3022.2"/>
  </r>
  <r>
    <x v="0"/>
    <x v="0"/>
    <x v="0"/>
    <x v="0"/>
    <x v="0"/>
    <s v="DK1_Rural"/>
    <x v="3"/>
    <x v="0"/>
    <s v="GNR_ST_STRW_BP_E-26"/>
    <x v="0"/>
    <x v="11"/>
    <n v="2.2999999999999998"/>
    <n v="839.5"/>
    <n v="3022.2"/>
  </r>
  <r>
    <x v="0"/>
    <x v="0"/>
    <x v="0"/>
    <x v="0"/>
    <x v="0"/>
    <s v="DK1_Rural"/>
    <x v="3"/>
    <x v="0"/>
    <s v="GNR_ST_STRW_BP_E-26"/>
    <x v="0"/>
    <x v="12"/>
    <n v="2.2999999999999998"/>
    <n v="839.5"/>
    <n v="3022.2"/>
  </r>
  <r>
    <x v="0"/>
    <x v="0"/>
    <x v="0"/>
    <x v="0"/>
    <x v="0"/>
    <s v="DK1_Rural"/>
    <x v="3"/>
    <x v="0"/>
    <s v="GNR_ST_STRW_BP_E-26"/>
    <x v="0"/>
    <x v="13"/>
    <n v="2.2999999999999998"/>
    <n v="839.5"/>
    <n v="3022.2"/>
  </r>
  <r>
    <x v="0"/>
    <x v="0"/>
    <x v="0"/>
    <x v="0"/>
    <x v="0"/>
    <s v="DK1_Rural"/>
    <x v="3"/>
    <x v="0"/>
    <s v="GNR_ST_STRW_BP_E-26"/>
    <x v="0"/>
    <x v="14"/>
    <n v="2.2999999999999998"/>
    <n v="839.5"/>
    <n v="3022.2"/>
  </r>
  <r>
    <x v="0"/>
    <x v="0"/>
    <x v="0"/>
    <x v="0"/>
    <x v="0"/>
    <s v="DK1_Rural"/>
    <x v="3"/>
    <x v="0"/>
    <s v="GNR_ST_STRW_BP_E-26"/>
    <x v="0"/>
    <x v="15"/>
    <n v="2.2999999999999998"/>
    <n v="839.5"/>
    <n v="3022.2"/>
  </r>
  <r>
    <x v="0"/>
    <x v="0"/>
    <x v="0"/>
    <x v="0"/>
    <x v="0"/>
    <s v="DK1_Rural"/>
    <x v="3"/>
    <x v="0"/>
    <s v="GNR_ST_STRW_BP_E-26"/>
    <x v="0"/>
    <x v="16"/>
    <n v="2.2999999999999998"/>
    <n v="839.5"/>
    <n v="3022.2"/>
  </r>
  <r>
    <x v="0"/>
    <x v="0"/>
    <x v="0"/>
    <x v="0"/>
    <x v="0"/>
    <s v="DK1_Rural"/>
    <x v="3"/>
    <x v="0"/>
    <s v="GNR_ST_STRW_BP_E-26"/>
    <x v="0"/>
    <x v="17"/>
    <n v="2.2999999999999998"/>
    <n v="839.5"/>
    <n v="3022.2"/>
  </r>
  <r>
    <x v="0"/>
    <x v="0"/>
    <x v="0"/>
    <x v="0"/>
    <x v="0"/>
    <s v="DK1_Rural"/>
    <x v="3"/>
    <x v="0"/>
    <s v="GNR_ST_STRW_BP_E-26"/>
    <x v="0"/>
    <x v="18"/>
    <n v="2.2999999999999998"/>
    <n v="839.5"/>
    <n v="3022.2"/>
  </r>
  <r>
    <x v="0"/>
    <x v="0"/>
    <x v="0"/>
    <x v="0"/>
    <x v="0"/>
    <s v="DK1_Rural"/>
    <x v="3"/>
    <x v="0"/>
    <s v="GNR_ST_STRW_BP_E-26"/>
    <x v="0"/>
    <x v="19"/>
    <n v="2.2999999999999998"/>
    <n v="839.5"/>
    <n v="3022.2"/>
  </r>
  <r>
    <x v="0"/>
    <x v="0"/>
    <x v="0"/>
    <x v="0"/>
    <x v="0"/>
    <s v="DK1_Rural"/>
    <x v="3"/>
    <x v="0"/>
    <s v="GNR_ST_STRW_BP_E-26"/>
    <x v="0"/>
    <x v="20"/>
    <n v="2.2999999999999998"/>
    <n v="839.5"/>
    <n v="3022.2"/>
  </r>
  <r>
    <x v="0"/>
    <x v="0"/>
    <x v="0"/>
    <x v="0"/>
    <x v="0"/>
    <s v="DK1_Rural"/>
    <x v="3"/>
    <x v="0"/>
    <s v="GNR_ST_STRW_BP_E-26"/>
    <x v="0"/>
    <x v="21"/>
    <n v="2.2999999999999998"/>
    <n v="839.5"/>
    <n v="3022.2"/>
  </r>
  <r>
    <x v="0"/>
    <x v="0"/>
    <x v="0"/>
    <x v="0"/>
    <x v="0"/>
    <s v="DK1_Rural"/>
    <x v="3"/>
    <x v="0"/>
    <s v="GNR_ST_STRW_BP_E-26"/>
    <x v="0"/>
    <x v="22"/>
    <n v="2.2999999999999998"/>
    <n v="839.5"/>
    <n v="3022.2"/>
  </r>
  <r>
    <x v="0"/>
    <x v="0"/>
    <x v="0"/>
    <x v="0"/>
    <x v="0"/>
    <s v="DK1_Rural"/>
    <x v="3"/>
    <x v="0"/>
    <s v="GNR_ST_STRW_BP_E-26"/>
    <x v="0"/>
    <x v="23"/>
    <n v="2.2999999999999998"/>
    <n v="839.5"/>
    <n v="3022.2"/>
  </r>
  <r>
    <x v="0"/>
    <x v="0"/>
    <x v="0"/>
    <x v="0"/>
    <x v="0"/>
    <s v="DK1_Rural"/>
    <x v="4"/>
    <x v="0"/>
    <s v="GNR_ST_WOODCHI_BP_E-17"/>
    <x v="0"/>
    <x v="0"/>
    <n v="0.75"/>
    <n v="273.75"/>
    <n v="985.5"/>
  </r>
  <r>
    <x v="0"/>
    <x v="0"/>
    <x v="0"/>
    <x v="0"/>
    <x v="0"/>
    <s v="DK1_Rural"/>
    <x v="4"/>
    <x v="0"/>
    <s v="GNR_ST_WOODCHI_BP_E-17"/>
    <x v="0"/>
    <x v="1"/>
    <n v="0.75"/>
    <n v="273.75"/>
    <n v="985.5"/>
  </r>
  <r>
    <x v="0"/>
    <x v="0"/>
    <x v="0"/>
    <x v="0"/>
    <x v="0"/>
    <s v="DK1_Rural"/>
    <x v="4"/>
    <x v="0"/>
    <s v="GNR_ST_WOODCHI_BP_E-17"/>
    <x v="0"/>
    <x v="2"/>
    <n v="0.75"/>
    <n v="273.75"/>
    <n v="985.5"/>
  </r>
  <r>
    <x v="0"/>
    <x v="0"/>
    <x v="0"/>
    <x v="0"/>
    <x v="0"/>
    <s v="DK1_Rural"/>
    <x v="4"/>
    <x v="0"/>
    <s v="GNR_ST_WOODCHI_BP_E-17"/>
    <x v="0"/>
    <x v="3"/>
    <n v="0.75"/>
    <n v="273.75"/>
    <n v="985.5"/>
  </r>
  <r>
    <x v="0"/>
    <x v="0"/>
    <x v="0"/>
    <x v="0"/>
    <x v="0"/>
    <s v="DK1_Rural"/>
    <x v="4"/>
    <x v="0"/>
    <s v="GNR_ST_WOODCHI_BP_E-17"/>
    <x v="0"/>
    <x v="4"/>
    <n v="0.75"/>
    <n v="273.75"/>
    <n v="985.5"/>
  </r>
  <r>
    <x v="0"/>
    <x v="0"/>
    <x v="0"/>
    <x v="0"/>
    <x v="0"/>
    <s v="DK1_Rural"/>
    <x v="4"/>
    <x v="0"/>
    <s v="GNR_ST_WOODCHI_BP_E-17"/>
    <x v="0"/>
    <x v="5"/>
    <n v="0.75"/>
    <n v="273.75"/>
    <n v="985.5"/>
  </r>
  <r>
    <x v="0"/>
    <x v="0"/>
    <x v="0"/>
    <x v="0"/>
    <x v="0"/>
    <s v="DK1_Rural"/>
    <x v="4"/>
    <x v="0"/>
    <s v="GNR_ST_WOODCHI_BP_E-17"/>
    <x v="0"/>
    <x v="6"/>
    <n v="0.75"/>
    <n v="273.75"/>
    <n v="985.5"/>
  </r>
  <r>
    <x v="0"/>
    <x v="0"/>
    <x v="0"/>
    <x v="0"/>
    <x v="0"/>
    <s v="DK1_Rural"/>
    <x v="4"/>
    <x v="0"/>
    <s v="GNR_ST_WOODCHI_BP_E-17"/>
    <x v="0"/>
    <x v="7"/>
    <n v="0.75"/>
    <n v="273.75"/>
    <n v="985.5"/>
  </r>
  <r>
    <x v="0"/>
    <x v="0"/>
    <x v="0"/>
    <x v="0"/>
    <x v="0"/>
    <s v="DK1_Rural"/>
    <x v="4"/>
    <x v="0"/>
    <s v="GNR_ST_WOODCHI_BP_E-17"/>
    <x v="0"/>
    <x v="8"/>
    <n v="0.75"/>
    <n v="273.75"/>
    <n v="985.5"/>
  </r>
  <r>
    <x v="0"/>
    <x v="0"/>
    <x v="0"/>
    <x v="0"/>
    <x v="0"/>
    <s v="DK1_Rural"/>
    <x v="4"/>
    <x v="0"/>
    <s v="GNR_ST_WOODCHI_BP_E-17"/>
    <x v="0"/>
    <x v="9"/>
    <n v="0.75"/>
    <n v="273.75"/>
    <n v="985.5"/>
  </r>
  <r>
    <x v="0"/>
    <x v="0"/>
    <x v="0"/>
    <x v="0"/>
    <x v="0"/>
    <s v="DK1_Rural"/>
    <x v="4"/>
    <x v="0"/>
    <s v="GNR_ST_WOODCHI_BP_E-17"/>
    <x v="0"/>
    <x v="10"/>
    <n v="0.75"/>
    <n v="273.75"/>
    <n v="985.5"/>
  </r>
  <r>
    <x v="0"/>
    <x v="0"/>
    <x v="0"/>
    <x v="0"/>
    <x v="0"/>
    <s v="DK1_Rural"/>
    <x v="4"/>
    <x v="0"/>
    <s v="GNR_ST_WOODCHI_BP_E-17"/>
    <x v="0"/>
    <x v="11"/>
    <n v="0.75"/>
    <n v="273.75"/>
    <n v="985.5"/>
  </r>
  <r>
    <x v="0"/>
    <x v="0"/>
    <x v="0"/>
    <x v="0"/>
    <x v="0"/>
    <s v="DK1_Rural"/>
    <x v="4"/>
    <x v="0"/>
    <s v="GNR_ST_WOODCHI_BP_E-17"/>
    <x v="0"/>
    <x v="12"/>
    <n v="0.75"/>
    <n v="273.75"/>
    <n v="985.5"/>
  </r>
  <r>
    <x v="0"/>
    <x v="0"/>
    <x v="0"/>
    <x v="0"/>
    <x v="0"/>
    <s v="DK1_Rural"/>
    <x v="4"/>
    <x v="0"/>
    <s v="GNR_ST_WOODCHI_BP_E-17"/>
    <x v="0"/>
    <x v="13"/>
    <n v="0.75"/>
    <n v="273.75"/>
    <n v="985.5"/>
  </r>
  <r>
    <x v="0"/>
    <x v="0"/>
    <x v="0"/>
    <x v="0"/>
    <x v="0"/>
    <s v="DK1_Rural"/>
    <x v="4"/>
    <x v="0"/>
    <s v="GNR_ST_WOODCHI_BP_E-17"/>
    <x v="0"/>
    <x v="14"/>
    <n v="0.75"/>
    <n v="273.75"/>
    <n v="985.5"/>
  </r>
  <r>
    <x v="0"/>
    <x v="0"/>
    <x v="0"/>
    <x v="0"/>
    <x v="0"/>
    <s v="DK1_Rural"/>
    <x v="4"/>
    <x v="0"/>
    <s v="GNR_ST_WOODCHI_BP_E-17"/>
    <x v="0"/>
    <x v="15"/>
    <n v="0.75"/>
    <n v="273.75"/>
    <n v="985.5"/>
  </r>
  <r>
    <x v="0"/>
    <x v="0"/>
    <x v="0"/>
    <x v="0"/>
    <x v="0"/>
    <s v="DK1_Rural"/>
    <x v="4"/>
    <x v="0"/>
    <s v="GNR_ST_WOODCHI_BP_E-17"/>
    <x v="0"/>
    <x v="16"/>
    <n v="0.75"/>
    <n v="273.75"/>
    <n v="985.5"/>
  </r>
  <r>
    <x v="0"/>
    <x v="0"/>
    <x v="0"/>
    <x v="0"/>
    <x v="0"/>
    <s v="DK1_Rural"/>
    <x v="4"/>
    <x v="0"/>
    <s v="GNR_ST_WOODCHI_BP_E-17"/>
    <x v="0"/>
    <x v="17"/>
    <n v="0.75"/>
    <n v="273.75"/>
    <n v="985.5"/>
  </r>
  <r>
    <x v="0"/>
    <x v="0"/>
    <x v="0"/>
    <x v="0"/>
    <x v="0"/>
    <s v="DK1_Rural"/>
    <x v="4"/>
    <x v="0"/>
    <s v="GNR_ST_WOODCHI_BP_E-17"/>
    <x v="0"/>
    <x v="18"/>
    <n v="0.75"/>
    <n v="273.75"/>
    <n v="985.5"/>
  </r>
  <r>
    <x v="0"/>
    <x v="0"/>
    <x v="0"/>
    <x v="0"/>
    <x v="0"/>
    <s v="DK1_Rural"/>
    <x v="4"/>
    <x v="0"/>
    <s v="GNR_ST_WOODCHI_BP_E-17"/>
    <x v="0"/>
    <x v="19"/>
    <n v="0.75"/>
    <n v="273.75"/>
    <n v="985.5"/>
  </r>
  <r>
    <x v="0"/>
    <x v="0"/>
    <x v="0"/>
    <x v="0"/>
    <x v="0"/>
    <s v="DK1_Rural"/>
    <x v="4"/>
    <x v="0"/>
    <s v="GNR_ST_WOODCHI_BP_E-17"/>
    <x v="0"/>
    <x v="20"/>
    <n v="0.75"/>
    <n v="273.75"/>
    <n v="985.5"/>
  </r>
  <r>
    <x v="0"/>
    <x v="0"/>
    <x v="0"/>
    <x v="0"/>
    <x v="0"/>
    <s v="DK1_Rural"/>
    <x v="4"/>
    <x v="0"/>
    <s v="GNR_ST_WOODCHI_BP_E-17"/>
    <x v="0"/>
    <x v="21"/>
    <n v="0.75"/>
    <n v="273.75"/>
    <n v="985.5"/>
  </r>
  <r>
    <x v="0"/>
    <x v="0"/>
    <x v="0"/>
    <x v="0"/>
    <x v="0"/>
    <s v="DK1_Rural"/>
    <x v="4"/>
    <x v="0"/>
    <s v="GNR_ST_WOODCHI_BP_E-17"/>
    <x v="0"/>
    <x v="22"/>
    <n v="0.75"/>
    <n v="273.75"/>
    <n v="985.5"/>
  </r>
  <r>
    <x v="0"/>
    <x v="0"/>
    <x v="0"/>
    <x v="0"/>
    <x v="0"/>
    <s v="DK1_Rural"/>
    <x v="4"/>
    <x v="0"/>
    <s v="GNR_ST_WOODCHI_BP_E-17"/>
    <x v="0"/>
    <x v="23"/>
    <n v="0.75"/>
    <n v="273.75"/>
    <n v="985.5"/>
  </r>
  <r>
    <x v="0"/>
    <x v="0"/>
    <x v="0"/>
    <x v="0"/>
    <x v="0"/>
    <s v="DK1_Rural"/>
    <x v="4"/>
    <x v="0"/>
    <s v="GNR_ST_WOODCHI_BP_E-27"/>
    <x v="0"/>
    <x v="0"/>
    <n v="4.7"/>
    <n v="1715.5"/>
    <n v="6175.8"/>
  </r>
  <r>
    <x v="0"/>
    <x v="0"/>
    <x v="0"/>
    <x v="0"/>
    <x v="0"/>
    <s v="DK1_Rural"/>
    <x v="4"/>
    <x v="0"/>
    <s v="GNR_ST_WOODCHI_BP_E-27"/>
    <x v="0"/>
    <x v="1"/>
    <n v="4.7"/>
    <n v="1715.5"/>
    <n v="6175.8"/>
  </r>
  <r>
    <x v="0"/>
    <x v="0"/>
    <x v="0"/>
    <x v="0"/>
    <x v="0"/>
    <s v="DK1_Rural"/>
    <x v="4"/>
    <x v="0"/>
    <s v="GNR_ST_WOODCHI_BP_E-27"/>
    <x v="0"/>
    <x v="2"/>
    <n v="4.7"/>
    <n v="1715.5"/>
    <n v="6175.8"/>
  </r>
  <r>
    <x v="0"/>
    <x v="0"/>
    <x v="0"/>
    <x v="0"/>
    <x v="0"/>
    <s v="DK1_Rural"/>
    <x v="4"/>
    <x v="0"/>
    <s v="GNR_ST_WOODCHI_BP_E-27"/>
    <x v="0"/>
    <x v="3"/>
    <n v="4.7"/>
    <n v="1715.5"/>
    <n v="6175.8"/>
  </r>
  <r>
    <x v="0"/>
    <x v="0"/>
    <x v="0"/>
    <x v="0"/>
    <x v="0"/>
    <s v="DK1_Rural"/>
    <x v="4"/>
    <x v="0"/>
    <s v="GNR_ST_WOODCHI_BP_E-27"/>
    <x v="0"/>
    <x v="4"/>
    <n v="4.7"/>
    <n v="1715.5"/>
    <n v="6175.8"/>
  </r>
  <r>
    <x v="0"/>
    <x v="0"/>
    <x v="0"/>
    <x v="0"/>
    <x v="0"/>
    <s v="DK1_Rural"/>
    <x v="4"/>
    <x v="0"/>
    <s v="GNR_ST_WOODCHI_BP_E-27"/>
    <x v="0"/>
    <x v="5"/>
    <n v="4.7"/>
    <n v="1715.5"/>
    <n v="6175.8"/>
  </r>
  <r>
    <x v="0"/>
    <x v="0"/>
    <x v="0"/>
    <x v="0"/>
    <x v="0"/>
    <s v="DK1_Rural"/>
    <x v="4"/>
    <x v="0"/>
    <s v="GNR_ST_WOODCHI_BP_E-27"/>
    <x v="0"/>
    <x v="6"/>
    <n v="4.7"/>
    <n v="1715.5"/>
    <n v="6175.8"/>
  </r>
  <r>
    <x v="0"/>
    <x v="0"/>
    <x v="0"/>
    <x v="0"/>
    <x v="0"/>
    <s v="DK1_Rural"/>
    <x v="4"/>
    <x v="0"/>
    <s v="GNR_ST_WOODCHI_BP_E-27"/>
    <x v="0"/>
    <x v="7"/>
    <n v="4.7"/>
    <n v="1715.5"/>
    <n v="6175.8"/>
  </r>
  <r>
    <x v="0"/>
    <x v="0"/>
    <x v="0"/>
    <x v="0"/>
    <x v="0"/>
    <s v="DK1_Rural"/>
    <x v="4"/>
    <x v="0"/>
    <s v="GNR_ST_WOODCHI_BP_E-27"/>
    <x v="0"/>
    <x v="8"/>
    <n v="4.7"/>
    <n v="1715.5"/>
    <n v="6175.8"/>
  </r>
  <r>
    <x v="0"/>
    <x v="0"/>
    <x v="0"/>
    <x v="0"/>
    <x v="0"/>
    <s v="DK1_Rural"/>
    <x v="4"/>
    <x v="0"/>
    <s v="GNR_ST_WOODCHI_BP_E-27"/>
    <x v="0"/>
    <x v="9"/>
    <n v="4.7"/>
    <n v="1715.5"/>
    <n v="6175.8"/>
  </r>
  <r>
    <x v="0"/>
    <x v="0"/>
    <x v="0"/>
    <x v="0"/>
    <x v="0"/>
    <s v="DK1_Rural"/>
    <x v="4"/>
    <x v="0"/>
    <s v="GNR_ST_WOODCHI_BP_E-27"/>
    <x v="0"/>
    <x v="10"/>
    <n v="4.7"/>
    <n v="1715.5"/>
    <n v="6175.8"/>
  </r>
  <r>
    <x v="0"/>
    <x v="0"/>
    <x v="0"/>
    <x v="0"/>
    <x v="0"/>
    <s v="DK1_Rural"/>
    <x v="4"/>
    <x v="0"/>
    <s v="GNR_ST_WOODCHI_BP_E-27"/>
    <x v="0"/>
    <x v="11"/>
    <n v="4.7"/>
    <n v="1715.5"/>
    <n v="6175.8"/>
  </r>
  <r>
    <x v="0"/>
    <x v="0"/>
    <x v="0"/>
    <x v="0"/>
    <x v="0"/>
    <s v="DK1_Rural"/>
    <x v="4"/>
    <x v="0"/>
    <s v="GNR_ST_WOODCHI_BP_E-27"/>
    <x v="0"/>
    <x v="12"/>
    <n v="4.7"/>
    <n v="1715.5"/>
    <n v="6175.8"/>
  </r>
  <r>
    <x v="0"/>
    <x v="0"/>
    <x v="0"/>
    <x v="0"/>
    <x v="0"/>
    <s v="DK1_Rural"/>
    <x v="4"/>
    <x v="0"/>
    <s v="GNR_ST_WOODCHI_BP_E-27"/>
    <x v="0"/>
    <x v="13"/>
    <n v="4.7"/>
    <n v="1715.5"/>
    <n v="6175.8"/>
  </r>
  <r>
    <x v="0"/>
    <x v="0"/>
    <x v="0"/>
    <x v="0"/>
    <x v="0"/>
    <s v="DK1_Rural"/>
    <x v="4"/>
    <x v="0"/>
    <s v="GNR_ST_WOODCHI_BP_E-27"/>
    <x v="0"/>
    <x v="14"/>
    <n v="4.7"/>
    <n v="1715.5"/>
    <n v="6175.8"/>
  </r>
  <r>
    <x v="0"/>
    <x v="0"/>
    <x v="0"/>
    <x v="0"/>
    <x v="0"/>
    <s v="DK1_Rural"/>
    <x v="4"/>
    <x v="0"/>
    <s v="GNR_ST_WOODCHI_BP_E-27"/>
    <x v="0"/>
    <x v="15"/>
    <n v="4.7"/>
    <n v="1715.5"/>
    <n v="6175.8"/>
  </r>
  <r>
    <x v="0"/>
    <x v="0"/>
    <x v="0"/>
    <x v="0"/>
    <x v="0"/>
    <s v="DK1_Rural"/>
    <x v="4"/>
    <x v="0"/>
    <s v="GNR_ST_WOODCHI_BP_E-27"/>
    <x v="0"/>
    <x v="16"/>
    <n v="4.7"/>
    <n v="1715.5"/>
    <n v="6175.8"/>
  </r>
  <r>
    <x v="0"/>
    <x v="0"/>
    <x v="0"/>
    <x v="0"/>
    <x v="0"/>
    <s v="DK1_Rural"/>
    <x v="4"/>
    <x v="0"/>
    <s v="GNR_ST_WOODCHI_BP_E-27"/>
    <x v="0"/>
    <x v="17"/>
    <n v="4.7"/>
    <n v="1715.5"/>
    <n v="6175.8"/>
  </r>
  <r>
    <x v="0"/>
    <x v="0"/>
    <x v="0"/>
    <x v="0"/>
    <x v="0"/>
    <s v="DK1_Rural"/>
    <x v="4"/>
    <x v="0"/>
    <s v="GNR_ST_WOODCHI_BP_E-27"/>
    <x v="0"/>
    <x v="18"/>
    <n v="4.7"/>
    <n v="1715.5"/>
    <n v="6175.8"/>
  </r>
  <r>
    <x v="0"/>
    <x v="0"/>
    <x v="0"/>
    <x v="0"/>
    <x v="0"/>
    <s v="DK1_Rural"/>
    <x v="4"/>
    <x v="0"/>
    <s v="GNR_ST_WOODCHI_BP_E-27"/>
    <x v="0"/>
    <x v="19"/>
    <n v="4.7"/>
    <n v="1715.5"/>
    <n v="6175.8"/>
  </r>
  <r>
    <x v="0"/>
    <x v="0"/>
    <x v="0"/>
    <x v="0"/>
    <x v="0"/>
    <s v="DK1_Rural"/>
    <x v="4"/>
    <x v="0"/>
    <s v="GNR_ST_WOODCHI_BP_E-27"/>
    <x v="0"/>
    <x v="20"/>
    <n v="4.7"/>
    <n v="1715.5"/>
    <n v="6175.8"/>
  </r>
  <r>
    <x v="0"/>
    <x v="0"/>
    <x v="0"/>
    <x v="0"/>
    <x v="0"/>
    <s v="DK1_Rural"/>
    <x v="4"/>
    <x v="0"/>
    <s v="GNR_ST_WOODCHI_BP_E-27"/>
    <x v="0"/>
    <x v="21"/>
    <n v="4.7"/>
    <n v="1715.5"/>
    <n v="6175.8"/>
  </r>
  <r>
    <x v="0"/>
    <x v="0"/>
    <x v="0"/>
    <x v="0"/>
    <x v="0"/>
    <s v="DK1_Rural"/>
    <x v="4"/>
    <x v="0"/>
    <s v="GNR_ST_WOODCHI_BP_E-27"/>
    <x v="0"/>
    <x v="22"/>
    <n v="4.7"/>
    <n v="1715.5"/>
    <n v="6175.8"/>
  </r>
  <r>
    <x v="0"/>
    <x v="0"/>
    <x v="0"/>
    <x v="0"/>
    <x v="0"/>
    <s v="DK1_Rural"/>
    <x v="4"/>
    <x v="0"/>
    <s v="GNR_ST_WOODCHI_BP_E-27"/>
    <x v="0"/>
    <x v="23"/>
    <n v="4.7"/>
    <n v="1715.5"/>
    <n v="6175.8"/>
  </r>
  <r>
    <x v="0"/>
    <x v="0"/>
    <x v="0"/>
    <x v="0"/>
    <x v="0"/>
    <s v="DK1_Rural"/>
    <x v="8"/>
    <x v="0"/>
    <s v="GNR_ST_WOODPEL_BP_E-30"/>
    <x v="0"/>
    <x v="0"/>
    <n v="1.91"/>
    <n v="697.15"/>
    <n v="2509.7399999999998"/>
  </r>
  <r>
    <x v="0"/>
    <x v="0"/>
    <x v="0"/>
    <x v="0"/>
    <x v="0"/>
    <s v="DK1_Rural"/>
    <x v="8"/>
    <x v="0"/>
    <s v="GNR_ST_WOODPEL_BP_E-30"/>
    <x v="0"/>
    <x v="1"/>
    <n v="1.91"/>
    <n v="697.15"/>
    <n v="2509.7399999999998"/>
  </r>
  <r>
    <x v="0"/>
    <x v="0"/>
    <x v="0"/>
    <x v="0"/>
    <x v="0"/>
    <s v="DK1_Rural"/>
    <x v="8"/>
    <x v="0"/>
    <s v="GNR_ST_WOODPEL_BP_E-30"/>
    <x v="0"/>
    <x v="2"/>
    <n v="1.91"/>
    <n v="697.15"/>
    <n v="2509.7399999999998"/>
  </r>
  <r>
    <x v="0"/>
    <x v="0"/>
    <x v="0"/>
    <x v="0"/>
    <x v="0"/>
    <s v="DK1_Rural"/>
    <x v="8"/>
    <x v="0"/>
    <s v="GNR_ST_WOODPEL_BP_E-30"/>
    <x v="0"/>
    <x v="3"/>
    <n v="1.91"/>
    <n v="697.15"/>
    <n v="2509.7399999999998"/>
  </r>
  <r>
    <x v="0"/>
    <x v="0"/>
    <x v="0"/>
    <x v="0"/>
    <x v="0"/>
    <s v="DK1_Rural"/>
    <x v="8"/>
    <x v="0"/>
    <s v="GNR_ST_WOODPEL_BP_E-30"/>
    <x v="0"/>
    <x v="4"/>
    <n v="1.91"/>
    <n v="697.15"/>
    <n v="2509.7399999999998"/>
  </r>
  <r>
    <x v="0"/>
    <x v="0"/>
    <x v="0"/>
    <x v="0"/>
    <x v="0"/>
    <s v="DK1_Rural"/>
    <x v="8"/>
    <x v="0"/>
    <s v="GNR_ST_WOODPEL_BP_E-30"/>
    <x v="0"/>
    <x v="5"/>
    <n v="1.91"/>
    <n v="697.15"/>
    <n v="2509.7399999999998"/>
  </r>
  <r>
    <x v="0"/>
    <x v="0"/>
    <x v="0"/>
    <x v="0"/>
    <x v="0"/>
    <s v="DK1_Rural"/>
    <x v="8"/>
    <x v="0"/>
    <s v="GNR_ST_WOODPEL_BP_E-30"/>
    <x v="0"/>
    <x v="6"/>
    <n v="1.91"/>
    <n v="697.15"/>
    <n v="2509.7399999999998"/>
  </r>
  <r>
    <x v="0"/>
    <x v="0"/>
    <x v="0"/>
    <x v="0"/>
    <x v="0"/>
    <s v="DK1_Rural"/>
    <x v="8"/>
    <x v="0"/>
    <s v="GNR_ST_WOODPEL_BP_E-30"/>
    <x v="0"/>
    <x v="7"/>
    <n v="1.91"/>
    <n v="697.15"/>
    <n v="2509.7399999999998"/>
  </r>
  <r>
    <x v="0"/>
    <x v="0"/>
    <x v="0"/>
    <x v="0"/>
    <x v="0"/>
    <s v="DK1_Rural"/>
    <x v="8"/>
    <x v="0"/>
    <s v="GNR_ST_WOODPEL_BP_E-30"/>
    <x v="0"/>
    <x v="8"/>
    <n v="1.91"/>
    <n v="697.15"/>
    <n v="2509.7399999999998"/>
  </r>
  <r>
    <x v="0"/>
    <x v="0"/>
    <x v="0"/>
    <x v="0"/>
    <x v="0"/>
    <s v="DK1_Rural"/>
    <x v="8"/>
    <x v="0"/>
    <s v="GNR_ST_WOODPEL_BP_E-30"/>
    <x v="0"/>
    <x v="9"/>
    <n v="1.91"/>
    <n v="697.15"/>
    <n v="2509.7399999999998"/>
  </r>
  <r>
    <x v="0"/>
    <x v="0"/>
    <x v="0"/>
    <x v="0"/>
    <x v="0"/>
    <s v="DK1_Rural"/>
    <x v="8"/>
    <x v="0"/>
    <s v="GNR_ST_WOODPEL_BP_E-30"/>
    <x v="0"/>
    <x v="10"/>
    <n v="1.91"/>
    <n v="697.15"/>
    <n v="2509.7399999999998"/>
  </r>
  <r>
    <x v="0"/>
    <x v="0"/>
    <x v="0"/>
    <x v="0"/>
    <x v="0"/>
    <s v="DK1_Rural"/>
    <x v="8"/>
    <x v="0"/>
    <s v="GNR_ST_WOODPEL_BP_E-30"/>
    <x v="0"/>
    <x v="11"/>
    <n v="1.91"/>
    <n v="697.15"/>
    <n v="2509.7399999999998"/>
  </r>
  <r>
    <x v="0"/>
    <x v="0"/>
    <x v="0"/>
    <x v="0"/>
    <x v="0"/>
    <s v="DK1_Rural"/>
    <x v="8"/>
    <x v="0"/>
    <s v="GNR_ST_WOODPEL_BP_E-30"/>
    <x v="0"/>
    <x v="12"/>
    <n v="1.91"/>
    <n v="697.15"/>
    <n v="2509.7399999999998"/>
  </r>
  <r>
    <x v="0"/>
    <x v="0"/>
    <x v="0"/>
    <x v="0"/>
    <x v="0"/>
    <s v="DK1_Rural"/>
    <x v="8"/>
    <x v="0"/>
    <s v="GNR_ST_WOODPEL_BP_E-30"/>
    <x v="0"/>
    <x v="13"/>
    <n v="1.91"/>
    <n v="697.15"/>
    <n v="2509.7399999999998"/>
  </r>
  <r>
    <x v="0"/>
    <x v="0"/>
    <x v="0"/>
    <x v="0"/>
    <x v="0"/>
    <s v="DK1_Rural"/>
    <x v="8"/>
    <x v="0"/>
    <s v="GNR_ST_WOODPEL_BP_E-30"/>
    <x v="0"/>
    <x v="14"/>
    <n v="1.91"/>
    <n v="697.15"/>
    <n v="2509.7399999999998"/>
  </r>
  <r>
    <x v="0"/>
    <x v="0"/>
    <x v="0"/>
    <x v="0"/>
    <x v="0"/>
    <s v="DK1_Rural"/>
    <x v="8"/>
    <x v="0"/>
    <s v="GNR_ST_WOODPEL_BP_E-30"/>
    <x v="0"/>
    <x v="15"/>
    <n v="1.91"/>
    <n v="697.15"/>
    <n v="2509.7399999999998"/>
  </r>
  <r>
    <x v="0"/>
    <x v="0"/>
    <x v="0"/>
    <x v="0"/>
    <x v="0"/>
    <s v="DK1_Rural"/>
    <x v="8"/>
    <x v="0"/>
    <s v="GNR_ST_WOODPEL_BP_E-30"/>
    <x v="0"/>
    <x v="16"/>
    <n v="1.91"/>
    <n v="697.15"/>
    <n v="2509.7399999999998"/>
  </r>
  <r>
    <x v="0"/>
    <x v="0"/>
    <x v="0"/>
    <x v="0"/>
    <x v="0"/>
    <s v="DK1_Rural"/>
    <x v="8"/>
    <x v="0"/>
    <s v="GNR_ST_WOODPEL_BP_E-30"/>
    <x v="0"/>
    <x v="17"/>
    <n v="1.91"/>
    <n v="697.15"/>
    <n v="2509.7399999999998"/>
  </r>
  <r>
    <x v="0"/>
    <x v="0"/>
    <x v="0"/>
    <x v="0"/>
    <x v="0"/>
    <s v="DK1_Rural"/>
    <x v="8"/>
    <x v="0"/>
    <s v="GNR_ST_WOODPEL_BP_E-30"/>
    <x v="0"/>
    <x v="18"/>
    <n v="1.91"/>
    <n v="697.15"/>
    <n v="2509.7399999999998"/>
  </r>
  <r>
    <x v="0"/>
    <x v="0"/>
    <x v="0"/>
    <x v="0"/>
    <x v="0"/>
    <s v="DK1_Rural"/>
    <x v="8"/>
    <x v="0"/>
    <s v="GNR_ST_WOODPEL_BP_E-30"/>
    <x v="0"/>
    <x v="19"/>
    <n v="1.91"/>
    <n v="697.15"/>
    <n v="2509.7399999999998"/>
  </r>
  <r>
    <x v="0"/>
    <x v="0"/>
    <x v="0"/>
    <x v="0"/>
    <x v="0"/>
    <s v="DK1_Rural"/>
    <x v="8"/>
    <x v="0"/>
    <s v="GNR_ST_WOODPEL_BP_E-30"/>
    <x v="0"/>
    <x v="20"/>
    <n v="1.91"/>
    <n v="697.15"/>
    <n v="2509.7399999999998"/>
  </r>
  <r>
    <x v="0"/>
    <x v="0"/>
    <x v="0"/>
    <x v="0"/>
    <x v="0"/>
    <s v="DK1_Rural"/>
    <x v="8"/>
    <x v="0"/>
    <s v="GNR_ST_WOODPEL_BP_E-30"/>
    <x v="0"/>
    <x v="21"/>
    <n v="1.91"/>
    <n v="697.15"/>
    <n v="2509.7399999999998"/>
  </r>
  <r>
    <x v="0"/>
    <x v="0"/>
    <x v="0"/>
    <x v="0"/>
    <x v="0"/>
    <s v="DK1_Rural"/>
    <x v="8"/>
    <x v="0"/>
    <s v="GNR_ST_WOODPEL_BP_E-30"/>
    <x v="0"/>
    <x v="22"/>
    <n v="1.91"/>
    <n v="697.15"/>
    <n v="2509.7399999999998"/>
  </r>
  <r>
    <x v="0"/>
    <x v="0"/>
    <x v="0"/>
    <x v="0"/>
    <x v="0"/>
    <s v="DK1_Rural"/>
    <x v="8"/>
    <x v="0"/>
    <s v="GNR_ST_WOODPEL_BP_E-30"/>
    <x v="0"/>
    <x v="23"/>
    <n v="1.91"/>
    <n v="697.15"/>
    <n v="2509.7399999999998"/>
  </r>
  <r>
    <x v="0"/>
    <x v="0"/>
    <x v="0"/>
    <x v="0"/>
    <x v="0"/>
    <s v="DK1_Small"/>
    <x v="1"/>
    <x v="0"/>
    <s v="GNR_ST_MSW_BP_E-20"/>
    <x v="0"/>
    <x v="0"/>
    <n v="2.89"/>
    <n v="1054.8499999999999"/>
    <n v="3797.46"/>
  </r>
  <r>
    <x v="0"/>
    <x v="0"/>
    <x v="0"/>
    <x v="0"/>
    <x v="0"/>
    <s v="DK1_Small"/>
    <x v="1"/>
    <x v="0"/>
    <s v="GNR_ST_MSW_BP_E-20"/>
    <x v="0"/>
    <x v="1"/>
    <n v="2.89"/>
    <n v="1054.8499999999999"/>
    <n v="3797.46"/>
  </r>
  <r>
    <x v="0"/>
    <x v="0"/>
    <x v="0"/>
    <x v="0"/>
    <x v="0"/>
    <s v="DK1_Small"/>
    <x v="1"/>
    <x v="0"/>
    <s v="GNR_ST_MSW_BP_E-20"/>
    <x v="0"/>
    <x v="2"/>
    <n v="2.89"/>
    <n v="1054.8499999999999"/>
    <n v="3797.46"/>
  </r>
  <r>
    <x v="0"/>
    <x v="0"/>
    <x v="0"/>
    <x v="0"/>
    <x v="0"/>
    <s v="DK1_Small"/>
    <x v="1"/>
    <x v="0"/>
    <s v="GNR_ST_MSW_BP_E-20"/>
    <x v="0"/>
    <x v="3"/>
    <n v="2.89"/>
    <n v="1054.8499999999999"/>
    <n v="3797.46"/>
  </r>
  <r>
    <x v="0"/>
    <x v="0"/>
    <x v="0"/>
    <x v="0"/>
    <x v="0"/>
    <s v="DK1_Small"/>
    <x v="1"/>
    <x v="0"/>
    <s v="GNR_ST_MSW_BP_E-20"/>
    <x v="0"/>
    <x v="4"/>
    <n v="2.89"/>
    <n v="1054.8499999999999"/>
    <n v="3797.46"/>
  </r>
  <r>
    <x v="0"/>
    <x v="0"/>
    <x v="0"/>
    <x v="0"/>
    <x v="0"/>
    <s v="DK1_Small"/>
    <x v="1"/>
    <x v="0"/>
    <s v="GNR_ST_MSW_BP_E-20"/>
    <x v="0"/>
    <x v="5"/>
    <n v="2.89"/>
    <n v="1054.8499999999999"/>
    <n v="3797.46"/>
  </r>
  <r>
    <x v="0"/>
    <x v="0"/>
    <x v="0"/>
    <x v="0"/>
    <x v="0"/>
    <s v="DK1_Small"/>
    <x v="1"/>
    <x v="0"/>
    <s v="GNR_ST_MSW_BP_E-20"/>
    <x v="0"/>
    <x v="6"/>
    <n v="2.89"/>
    <n v="1054.8499999999999"/>
    <n v="3797.46"/>
  </r>
  <r>
    <x v="0"/>
    <x v="0"/>
    <x v="0"/>
    <x v="0"/>
    <x v="0"/>
    <s v="DK1_Small"/>
    <x v="1"/>
    <x v="0"/>
    <s v="GNR_ST_MSW_BP_E-20"/>
    <x v="0"/>
    <x v="7"/>
    <n v="2.89"/>
    <n v="1054.8499999999999"/>
    <n v="3797.46"/>
  </r>
  <r>
    <x v="0"/>
    <x v="0"/>
    <x v="0"/>
    <x v="0"/>
    <x v="0"/>
    <s v="DK1_Small"/>
    <x v="1"/>
    <x v="0"/>
    <s v="GNR_ST_MSW_BP_E-20"/>
    <x v="0"/>
    <x v="8"/>
    <n v="2.89"/>
    <n v="1054.8499999999999"/>
    <n v="3797.46"/>
  </r>
  <r>
    <x v="0"/>
    <x v="0"/>
    <x v="0"/>
    <x v="0"/>
    <x v="0"/>
    <s v="DK1_Small"/>
    <x v="1"/>
    <x v="0"/>
    <s v="GNR_ST_MSW_BP_E-20"/>
    <x v="0"/>
    <x v="9"/>
    <n v="2.89"/>
    <n v="1054.8499999999999"/>
    <n v="3797.46"/>
  </r>
  <r>
    <x v="0"/>
    <x v="0"/>
    <x v="0"/>
    <x v="0"/>
    <x v="0"/>
    <s v="DK1_Small"/>
    <x v="1"/>
    <x v="0"/>
    <s v="GNR_ST_MSW_BP_E-20"/>
    <x v="0"/>
    <x v="10"/>
    <n v="2.89"/>
    <n v="1054.8499999999999"/>
    <n v="3797.46"/>
  </r>
  <r>
    <x v="0"/>
    <x v="0"/>
    <x v="0"/>
    <x v="0"/>
    <x v="0"/>
    <s v="DK1_Small"/>
    <x v="1"/>
    <x v="0"/>
    <s v="GNR_ST_MSW_BP_E-20"/>
    <x v="0"/>
    <x v="11"/>
    <n v="2.89"/>
    <n v="1054.8499999999999"/>
    <n v="3797.46"/>
  </r>
  <r>
    <x v="0"/>
    <x v="0"/>
    <x v="0"/>
    <x v="0"/>
    <x v="0"/>
    <s v="DK1_Small"/>
    <x v="1"/>
    <x v="0"/>
    <s v="GNR_ST_MSW_BP_E-20"/>
    <x v="0"/>
    <x v="12"/>
    <n v="2.89"/>
    <n v="1054.8499999999999"/>
    <n v="3797.46"/>
  </r>
  <r>
    <x v="0"/>
    <x v="0"/>
    <x v="0"/>
    <x v="0"/>
    <x v="0"/>
    <s v="DK1_Small"/>
    <x v="1"/>
    <x v="0"/>
    <s v="GNR_ST_MSW_BP_E-20"/>
    <x v="0"/>
    <x v="13"/>
    <n v="2.89"/>
    <n v="1054.8499999999999"/>
    <n v="3797.46"/>
  </r>
  <r>
    <x v="0"/>
    <x v="0"/>
    <x v="0"/>
    <x v="0"/>
    <x v="0"/>
    <s v="DK1_Small"/>
    <x v="1"/>
    <x v="0"/>
    <s v="GNR_ST_MSW_BP_E-20"/>
    <x v="0"/>
    <x v="14"/>
    <n v="2.89"/>
    <n v="1054.8499999999999"/>
    <n v="3797.46"/>
  </r>
  <r>
    <x v="0"/>
    <x v="0"/>
    <x v="0"/>
    <x v="0"/>
    <x v="0"/>
    <s v="DK1_Small"/>
    <x v="1"/>
    <x v="0"/>
    <s v="GNR_ST_MSW_BP_E-20"/>
    <x v="0"/>
    <x v="15"/>
    <n v="2.89"/>
    <n v="1054.8499999999999"/>
    <n v="3797.46"/>
  </r>
  <r>
    <x v="0"/>
    <x v="0"/>
    <x v="0"/>
    <x v="0"/>
    <x v="0"/>
    <s v="DK1_Small"/>
    <x v="1"/>
    <x v="0"/>
    <s v="GNR_ST_MSW_BP_E-20"/>
    <x v="0"/>
    <x v="16"/>
    <n v="2.89"/>
    <n v="1054.8499999999999"/>
    <n v="3797.46"/>
  </r>
  <r>
    <x v="0"/>
    <x v="0"/>
    <x v="0"/>
    <x v="0"/>
    <x v="0"/>
    <s v="DK1_Small"/>
    <x v="1"/>
    <x v="0"/>
    <s v="GNR_ST_MSW_BP_E-20"/>
    <x v="0"/>
    <x v="17"/>
    <n v="2.89"/>
    <n v="1054.8499999999999"/>
    <n v="3797.46"/>
  </r>
  <r>
    <x v="0"/>
    <x v="0"/>
    <x v="0"/>
    <x v="0"/>
    <x v="0"/>
    <s v="DK1_Small"/>
    <x v="1"/>
    <x v="0"/>
    <s v="GNR_ST_MSW_BP_E-20"/>
    <x v="0"/>
    <x v="18"/>
    <n v="2.89"/>
    <n v="1054.8499999999999"/>
    <n v="3797.46"/>
  </r>
  <r>
    <x v="0"/>
    <x v="0"/>
    <x v="0"/>
    <x v="0"/>
    <x v="0"/>
    <s v="DK1_Small"/>
    <x v="1"/>
    <x v="0"/>
    <s v="GNR_ST_MSW_BP_E-20"/>
    <x v="0"/>
    <x v="19"/>
    <n v="2.89"/>
    <n v="1054.8499999999999"/>
    <n v="3797.46"/>
  </r>
  <r>
    <x v="0"/>
    <x v="0"/>
    <x v="0"/>
    <x v="0"/>
    <x v="0"/>
    <s v="DK1_Small"/>
    <x v="1"/>
    <x v="0"/>
    <s v="GNR_ST_MSW_BP_E-20"/>
    <x v="0"/>
    <x v="20"/>
    <n v="2.89"/>
    <n v="1054.8499999999999"/>
    <n v="3797.46"/>
  </r>
  <r>
    <x v="0"/>
    <x v="0"/>
    <x v="0"/>
    <x v="0"/>
    <x v="0"/>
    <s v="DK1_Small"/>
    <x v="1"/>
    <x v="0"/>
    <s v="GNR_ST_MSW_BP_E-20"/>
    <x v="0"/>
    <x v="21"/>
    <n v="2.89"/>
    <n v="1054.8499999999999"/>
    <n v="3797.46"/>
  </r>
  <r>
    <x v="0"/>
    <x v="0"/>
    <x v="0"/>
    <x v="0"/>
    <x v="0"/>
    <s v="DK1_Small"/>
    <x v="1"/>
    <x v="0"/>
    <s v="GNR_ST_MSW_BP_E-20"/>
    <x v="0"/>
    <x v="22"/>
    <n v="2.89"/>
    <n v="1054.8499999999999"/>
    <n v="3797.46"/>
  </r>
  <r>
    <x v="0"/>
    <x v="0"/>
    <x v="0"/>
    <x v="0"/>
    <x v="0"/>
    <s v="DK1_Small"/>
    <x v="1"/>
    <x v="0"/>
    <s v="GNR_ST_MSW_BP_E-20"/>
    <x v="0"/>
    <x v="23"/>
    <n v="2.89"/>
    <n v="1054.8499999999999"/>
    <n v="3797.46"/>
  </r>
  <r>
    <x v="0"/>
    <x v="0"/>
    <x v="0"/>
    <x v="0"/>
    <x v="0"/>
    <s v="DK1_Small"/>
    <x v="4"/>
    <x v="0"/>
    <s v="GNR_ST_WOODCHI_BP_E-15"/>
    <x v="0"/>
    <x v="0"/>
    <n v="0.6"/>
    <n v="219"/>
    <n v="788.4"/>
  </r>
  <r>
    <x v="0"/>
    <x v="0"/>
    <x v="0"/>
    <x v="0"/>
    <x v="0"/>
    <s v="DK1_Small"/>
    <x v="4"/>
    <x v="0"/>
    <s v="GNR_ST_WOODCHI_BP_E-15"/>
    <x v="0"/>
    <x v="1"/>
    <n v="0.6"/>
    <n v="219"/>
    <n v="788.4"/>
  </r>
  <r>
    <x v="0"/>
    <x v="0"/>
    <x v="0"/>
    <x v="0"/>
    <x v="0"/>
    <s v="DK1_Small"/>
    <x v="4"/>
    <x v="0"/>
    <s v="GNR_ST_WOODCHI_BP_E-15"/>
    <x v="0"/>
    <x v="2"/>
    <n v="0.6"/>
    <n v="219"/>
    <n v="788.4"/>
  </r>
  <r>
    <x v="0"/>
    <x v="0"/>
    <x v="0"/>
    <x v="0"/>
    <x v="0"/>
    <s v="DK1_Small"/>
    <x v="4"/>
    <x v="0"/>
    <s v="GNR_ST_WOODCHI_BP_E-15"/>
    <x v="0"/>
    <x v="3"/>
    <n v="0.6"/>
    <n v="219"/>
    <n v="788.4"/>
  </r>
  <r>
    <x v="0"/>
    <x v="0"/>
    <x v="0"/>
    <x v="0"/>
    <x v="0"/>
    <s v="DK1_Small"/>
    <x v="4"/>
    <x v="0"/>
    <s v="GNR_ST_WOODCHI_BP_E-15"/>
    <x v="0"/>
    <x v="4"/>
    <n v="0.6"/>
    <n v="219"/>
    <n v="788.4"/>
  </r>
  <r>
    <x v="0"/>
    <x v="0"/>
    <x v="0"/>
    <x v="0"/>
    <x v="0"/>
    <s v="DK1_Small"/>
    <x v="4"/>
    <x v="0"/>
    <s v="GNR_ST_WOODCHI_BP_E-15"/>
    <x v="0"/>
    <x v="5"/>
    <n v="0.6"/>
    <n v="219"/>
    <n v="788.4"/>
  </r>
  <r>
    <x v="0"/>
    <x v="0"/>
    <x v="0"/>
    <x v="0"/>
    <x v="0"/>
    <s v="DK1_Small"/>
    <x v="4"/>
    <x v="0"/>
    <s v="GNR_ST_WOODCHI_BP_E-15"/>
    <x v="0"/>
    <x v="6"/>
    <n v="0.6"/>
    <n v="219"/>
    <n v="788.4"/>
  </r>
  <r>
    <x v="0"/>
    <x v="0"/>
    <x v="0"/>
    <x v="0"/>
    <x v="0"/>
    <s v="DK1_Small"/>
    <x v="4"/>
    <x v="0"/>
    <s v="GNR_ST_WOODCHI_BP_E-15"/>
    <x v="0"/>
    <x v="7"/>
    <n v="0.6"/>
    <n v="219"/>
    <n v="788.4"/>
  </r>
  <r>
    <x v="0"/>
    <x v="0"/>
    <x v="0"/>
    <x v="0"/>
    <x v="0"/>
    <s v="DK1_Small"/>
    <x v="4"/>
    <x v="0"/>
    <s v="GNR_ST_WOODCHI_BP_E-15"/>
    <x v="0"/>
    <x v="8"/>
    <n v="0.6"/>
    <n v="219"/>
    <n v="788.4"/>
  </r>
  <r>
    <x v="0"/>
    <x v="0"/>
    <x v="0"/>
    <x v="0"/>
    <x v="0"/>
    <s v="DK1_Small"/>
    <x v="4"/>
    <x v="0"/>
    <s v="GNR_ST_WOODCHI_BP_E-15"/>
    <x v="0"/>
    <x v="9"/>
    <n v="0.6"/>
    <n v="219"/>
    <n v="788.4"/>
  </r>
  <r>
    <x v="0"/>
    <x v="0"/>
    <x v="0"/>
    <x v="0"/>
    <x v="0"/>
    <s v="DK1_Small"/>
    <x v="4"/>
    <x v="0"/>
    <s v="GNR_ST_WOODCHI_BP_E-15"/>
    <x v="0"/>
    <x v="10"/>
    <n v="0.6"/>
    <n v="219"/>
    <n v="788.4"/>
  </r>
  <r>
    <x v="0"/>
    <x v="0"/>
    <x v="0"/>
    <x v="0"/>
    <x v="0"/>
    <s v="DK1_Small"/>
    <x v="4"/>
    <x v="0"/>
    <s v="GNR_ST_WOODCHI_BP_E-15"/>
    <x v="0"/>
    <x v="11"/>
    <n v="0.6"/>
    <n v="219"/>
    <n v="788.4"/>
  </r>
  <r>
    <x v="0"/>
    <x v="0"/>
    <x v="0"/>
    <x v="0"/>
    <x v="0"/>
    <s v="DK1_Small"/>
    <x v="4"/>
    <x v="0"/>
    <s v="GNR_ST_WOODCHI_BP_E-15"/>
    <x v="0"/>
    <x v="12"/>
    <n v="0.6"/>
    <n v="219"/>
    <n v="788.4"/>
  </r>
  <r>
    <x v="0"/>
    <x v="0"/>
    <x v="0"/>
    <x v="0"/>
    <x v="0"/>
    <s v="DK1_Small"/>
    <x v="4"/>
    <x v="0"/>
    <s v="GNR_ST_WOODCHI_BP_E-15"/>
    <x v="0"/>
    <x v="13"/>
    <n v="0.6"/>
    <n v="219"/>
    <n v="788.4"/>
  </r>
  <r>
    <x v="0"/>
    <x v="0"/>
    <x v="0"/>
    <x v="0"/>
    <x v="0"/>
    <s v="DK1_Small"/>
    <x v="4"/>
    <x v="0"/>
    <s v="GNR_ST_WOODCHI_BP_E-15"/>
    <x v="0"/>
    <x v="14"/>
    <n v="0.6"/>
    <n v="219"/>
    <n v="788.4"/>
  </r>
  <r>
    <x v="0"/>
    <x v="0"/>
    <x v="0"/>
    <x v="0"/>
    <x v="0"/>
    <s v="DK1_Small"/>
    <x v="4"/>
    <x v="0"/>
    <s v="GNR_ST_WOODCHI_BP_E-15"/>
    <x v="0"/>
    <x v="15"/>
    <n v="0.6"/>
    <n v="219"/>
    <n v="788.4"/>
  </r>
  <r>
    <x v="0"/>
    <x v="0"/>
    <x v="0"/>
    <x v="0"/>
    <x v="0"/>
    <s v="DK1_Small"/>
    <x v="4"/>
    <x v="0"/>
    <s v="GNR_ST_WOODCHI_BP_E-15"/>
    <x v="0"/>
    <x v="16"/>
    <n v="0.6"/>
    <n v="219"/>
    <n v="788.4"/>
  </r>
  <r>
    <x v="0"/>
    <x v="0"/>
    <x v="0"/>
    <x v="0"/>
    <x v="0"/>
    <s v="DK1_Small"/>
    <x v="4"/>
    <x v="0"/>
    <s v="GNR_ST_WOODCHI_BP_E-15"/>
    <x v="0"/>
    <x v="17"/>
    <n v="0.6"/>
    <n v="219"/>
    <n v="788.4"/>
  </r>
  <r>
    <x v="0"/>
    <x v="0"/>
    <x v="0"/>
    <x v="0"/>
    <x v="0"/>
    <s v="DK1_Small"/>
    <x v="4"/>
    <x v="0"/>
    <s v="GNR_ST_WOODCHI_BP_E-15"/>
    <x v="0"/>
    <x v="18"/>
    <n v="0.6"/>
    <n v="219"/>
    <n v="788.4"/>
  </r>
  <r>
    <x v="0"/>
    <x v="0"/>
    <x v="0"/>
    <x v="0"/>
    <x v="0"/>
    <s v="DK1_Small"/>
    <x v="4"/>
    <x v="0"/>
    <s v="GNR_ST_WOODCHI_BP_E-15"/>
    <x v="0"/>
    <x v="19"/>
    <n v="0.6"/>
    <n v="219"/>
    <n v="788.4"/>
  </r>
  <r>
    <x v="0"/>
    <x v="0"/>
    <x v="0"/>
    <x v="0"/>
    <x v="0"/>
    <s v="DK1_Small"/>
    <x v="4"/>
    <x v="0"/>
    <s v="GNR_ST_WOODCHI_BP_E-15"/>
    <x v="0"/>
    <x v="20"/>
    <n v="0.6"/>
    <n v="219"/>
    <n v="788.4"/>
  </r>
  <r>
    <x v="0"/>
    <x v="0"/>
    <x v="0"/>
    <x v="0"/>
    <x v="0"/>
    <s v="DK1_Small"/>
    <x v="4"/>
    <x v="0"/>
    <s v="GNR_ST_WOODCHI_BP_E-15"/>
    <x v="0"/>
    <x v="21"/>
    <n v="0.6"/>
    <n v="219"/>
    <n v="788.4"/>
  </r>
  <r>
    <x v="0"/>
    <x v="0"/>
    <x v="0"/>
    <x v="0"/>
    <x v="0"/>
    <s v="DK1_Small"/>
    <x v="4"/>
    <x v="0"/>
    <s v="GNR_ST_WOODCHI_BP_E-15"/>
    <x v="0"/>
    <x v="22"/>
    <n v="0.6"/>
    <n v="219"/>
    <n v="788.4"/>
  </r>
  <r>
    <x v="0"/>
    <x v="0"/>
    <x v="0"/>
    <x v="0"/>
    <x v="0"/>
    <s v="DK1_Small"/>
    <x v="4"/>
    <x v="0"/>
    <s v="GNR_ST_WOODCHI_BP_E-15"/>
    <x v="0"/>
    <x v="23"/>
    <n v="0.6"/>
    <n v="219"/>
    <n v="788.4"/>
  </r>
  <r>
    <x v="0"/>
    <x v="0"/>
    <x v="0"/>
    <x v="0"/>
    <x v="1"/>
    <s v="DK2_Large"/>
    <x v="0"/>
    <x v="0"/>
    <s v="GNR_ENG_BGAS_BP_E-38"/>
    <x v="0"/>
    <x v="0"/>
    <n v="0.6"/>
    <n v="219"/>
    <n v="788.4"/>
  </r>
  <r>
    <x v="0"/>
    <x v="0"/>
    <x v="0"/>
    <x v="0"/>
    <x v="1"/>
    <s v="DK2_Large"/>
    <x v="0"/>
    <x v="0"/>
    <s v="GNR_ENG_BGAS_BP_E-38"/>
    <x v="0"/>
    <x v="1"/>
    <n v="0.6"/>
    <n v="219"/>
    <n v="788.4"/>
  </r>
  <r>
    <x v="0"/>
    <x v="0"/>
    <x v="0"/>
    <x v="0"/>
    <x v="1"/>
    <s v="DK2_Large"/>
    <x v="0"/>
    <x v="0"/>
    <s v="GNR_ENG_BGAS_BP_E-38"/>
    <x v="0"/>
    <x v="2"/>
    <n v="0.6"/>
    <n v="219"/>
    <n v="788.4"/>
  </r>
  <r>
    <x v="0"/>
    <x v="0"/>
    <x v="0"/>
    <x v="0"/>
    <x v="1"/>
    <s v="DK2_Large"/>
    <x v="0"/>
    <x v="0"/>
    <s v="GNR_ENG_BGAS_BP_E-38"/>
    <x v="0"/>
    <x v="3"/>
    <n v="0.6"/>
    <n v="219"/>
    <n v="788.4"/>
  </r>
  <r>
    <x v="0"/>
    <x v="0"/>
    <x v="0"/>
    <x v="0"/>
    <x v="1"/>
    <s v="DK2_Large"/>
    <x v="0"/>
    <x v="0"/>
    <s v="GNR_ENG_BGAS_BP_E-38"/>
    <x v="0"/>
    <x v="4"/>
    <n v="0.6"/>
    <n v="219"/>
    <n v="788.4"/>
  </r>
  <r>
    <x v="0"/>
    <x v="0"/>
    <x v="0"/>
    <x v="0"/>
    <x v="1"/>
    <s v="DK2_Large"/>
    <x v="0"/>
    <x v="0"/>
    <s v="GNR_ENG_BGAS_BP_E-38"/>
    <x v="0"/>
    <x v="5"/>
    <n v="0.6"/>
    <n v="219"/>
    <n v="788.4"/>
  </r>
  <r>
    <x v="0"/>
    <x v="0"/>
    <x v="0"/>
    <x v="0"/>
    <x v="1"/>
    <s v="DK2_Large"/>
    <x v="0"/>
    <x v="0"/>
    <s v="GNR_ENG_BGAS_BP_E-38"/>
    <x v="0"/>
    <x v="6"/>
    <n v="0.6"/>
    <n v="219"/>
    <n v="788.4"/>
  </r>
  <r>
    <x v="0"/>
    <x v="0"/>
    <x v="0"/>
    <x v="0"/>
    <x v="1"/>
    <s v="DK2_Large"/>
    <x v="0"/>
    <x v="0"/>
    <s v="GNR_ENG_BGAS_BP_E-38"/>
    <x v="0"/>
    <x v="7"/>
    <n v="0.6"/>
    <n v="219"/>
    <n v="788.4"/>
  </r>
  <r>
    <x v="0"/>
    <x v="0"/>
    <x v="0"/>
    <x v="0"/>
    <x v="1"/>
    <s v="DK2_Large"/>
    <x v="0"/>
    <x v="0"/>
    <s v="GNR_ENG_BGAS_BP_E-38"/>
    <x v="0"/>
    <x v="8"/>
    <n v="0.6"/>
    <n v="219"/>
    <n v="788.4"/>
  </r>
  <r>
    <x v="0"/>
    <x v="0"/>
    <x v="0"/>
    <x v="0"/>
    <x v="1"/>
    <s v="DK2_Large"/>
    <x v="0"/>
    <x v="0"/>
    <s v="GNR_ENG_BGAS_BP_E-38"/>
    <x v="0"/>
    <x v="9"/>
    <n v="0.6"/>
    <n v="219"/>
    <n v="788.4"/>
  </r>
  <r>
    <x v="0"/>
    <x v="0"/>
    <x v="0"/>
    <x v="0"/>
    <x v="1"/>
    <s v="DK2_Large"/>
    <x v="0"/>
    <x v="0"/>
    <s v="GNR_ENG_BGAS_BP_E-38"/>
    <x v="0"/>
    <x v="10"/>
    <n v="0.6"/>
    <n v="219"/>
    <n v="788.4"/>
  </r>
  <r>
    <x v="0"/>
    <x v="0"/>
    <x v="0"/>
    <x v="0"/>
    <x v="1"/>
    <s v="DK2_Large"/>
    <x v="0"/>
    <x v="0"/>
    <s v="GNR_ENG_BGAS_BP_E-38"/>
    <x v="0"/>
    <x v="11"/>
    <n v="0.6"/>
    <n v="219"/>
    <n v="788.4"/>
  </r>
  <r>
    <x v="0"/>
    <x v="0"/>
    <x v="0"/>
    <x v="0"/>
    <x v="1"/>
    <s v="DK2_Large"/>
    <x v="0"/>
    <x v="0"/>
    <s v="GNR_ENG_BGAS_BP_E-38"/>
    <x v="0"/>
    <x v="12"/>
    <n v="0.6"/>
    <n v="219"/>
    <n v="788.4"/>
  </r>
  <r>
    <x v="0"/>
    <x v="0"/>
    <x v="0"/>
    <x v="0"/>
    <x v="1"/>
    <s v="DK2_Large"/>
    <x v="0"/>
    <x v="0"/>
    <s v="GNR_ENG_BGAS_BP_E-38"/>
    <x v="0"/>
    <x v="13"/>
    <n v="0.6"/>
    <n v="219"/>
    <n v="788.4"/>
  </r>
  <r>
    <x v="0"/>
    <x v="0"/>
    <x v="0"/>
    <x v="0"/>
    <x v="1"/>
    <s v="DK2_Large"/>
    <x v="0"/>
    <x v="0"/>
    <s v="GNR_ENG_BGAS_BP_E-38"/>
    <x v="0"/>
    <x v="14"/>
    <n v="0.6"/>
    <n v="219"/>
    <n v="788.4"/>
  </r>
  <r>
    <x v="0"/>
    <x v="0"/>
    <x v="0"/>
    <x v="0"/>
    <x v="1"/>
    <s v="DK2_Large"/>
    <x v="0"/>
    <x v="0"/>
    <s v="GNR_ENG_BGAS_BP_E-38"/>
    <x v="0"/>
    <x v="15"/>
    <n v="0.6"/>
    <n v="219"/>
    <n v="788.4"/>
  </r>
  <r>
    <x v="0"/>
    <x v="0"/>
    <x v="0"/>
    <x v="0"/>
    <x v="1"/>
    <s v="DK2_Large"/>
    <x v="0"/>
    <x v="0"/>
    <s v="GNR_ENG_BGAS_BP_E-38"/>
    <x v="0"/>
    <x v="16"/>
    <n v="0.6"/>
    <n v="219"/>
    <n v="788.4"/>
  </r>
  <r>
    <x v="0"/>
    <x v="0"/>
    <x v="0"/>
    <x v="0"/>
    <x v="1"/>
    <s v="DK2_Large"/>
    <x v="0"/>
    <x v="0"/>
    <s v="GNR_ENG_BGAS_BP_E-38"/>
    <x v="0"/>
    <x v="17"/>
    <n v="0.6"/>
    <n v="219"/>
    <n v="788.4"/>
  </r>
  <r>
    <x v="0"/>
    <x v="0"/>
    <x v="0"/>
    <x v="0"/>
    <x v="1"/>
    <s v="DK2_Large"/>
    <x v="0"/>
    <x v="0"/>
    <s v="GNR_ENG_BGAS_BP_E-38"/>
    <x v="0"/>
    <x v="18"/>
    <n v="0.6"/>
    <n v="219"/>
    <n v="788.4"/>
  </r>
  <r>
    <x v="0"/>
    <x v="0"/>
    <x v="0"/>
    <x v="0"/>
    <x v="1"/>
    <s v="DK2_Large"/>
    <x v="0"/>
    <x v="0"/>
    <s v="GNR_ENG_BGAS_BP_E-38"/>
    <x v="0"/>
    <x v="19"/>
    <n v="0.6"/>
    <n v="219"/>
    <n v="788.4"/>
  </r>
  <r>
    <x v="0"/>
    <x v="0"/>
    <x v="0"/>
    <x v="0"/>
    <x v="1"/>
    <s v="DK2_Large"/>
    <x v="0"/>
    <x v="0"/>
    <s v="GNR_ENG_BGAS_BP_E-38"/>
    <x v="0"/>
    <x v="20"/>
    <n v="0.6"/>
    <n v="219"/>
    <n v="788.4"/>
  </r>
  <r>
    <x v="0"/>
    <x v="0"/>
    <x v="0"/>
    <x v="0"/>
    <x v="1"/>
    <s v="DK2_Large"/>
    <x v="0"/>
    <x v="0"/>
    <s v="GNR_ENG_BGAS_BP_E-38"/>
    <x v="0"/>
    <x v="21"/>
    <n v="0.6"/>
    <n v="219"/>
    <n v="788.4"/>
  </r>
  <r>
    <x v="0"/>
    <x v="0"/>
    <x v="0"/>
    <x v="0"/>
    <x v="1"/>
    <s v="DK2_Large"/>
    <x v="0"/>
    <x v="0"/>
    <s v="GNR_ENG_BGAS_BP_E-38"/>
    <x v="0"/>
    <x v="22"/>
    <n v="0.6"/>
    <n v="219"/>
    <n v="788.4"/>
  </r>
  <r>
    <x v="0"/>
    <x v="0"/>
    <x v="0"/>
    <x v="0"/>
    <x v="1"/>
    <s v="DK2_Large"/>
    <x v="0"/>
    <x v="0"/>
    <s v="GNR_ENG_BGAS_BP_E-38"/>
    <x v="0"/>
    <x v="23"/>
    <n v="0.6"/>
    <n v="219"/>
    <n v="788.4"/>
  </r>
  <r>
    <x v="0"/>
    <x v="0"/>
    <x v="0"/>
    <x v="0"/>
    <x v="1"/>
    <s v="DK2_Large"/>
    <x v="0"/>
    <x v="0"/>
    <s v="GNR_ENG_BGAS_BP_E-42"/>
    <x v="0"/>
    <x v="0"/>
    <n v="3.0470000000000002"/>
    <n v="1112.155"/>
    <n v="4003.7579999999998"/>
  </r>
  <r>
    <x v="0"/>
    <x v="0"/>
    <x v="0"/>
    <x v="0"/>
    <x v="1"/>
    <s v="DK2_Large"/>
    <x v="0"/>
    <x v="0"/>
    <s v="GNR_ENG_BGAS_BP_E-42"/>
    <x v="0"/>
    <x v="1"/>
    <n v="3.0470000000000002"/>
    <n v="1112.155"/>
    <n v="4003.7579999999998"/>
  </r>
  <r>
    <x v="0"/>
    <x v="0"/>
    <x v="0"/>
    <x v="0"/>
    <x v="1"/>
    <s v="DK2_Large"/>
    <x v="0"/>
    <x v="0"/>
    <s v="GNR_ENG_BGAS_BP_E-42"/>
    <x v="0"/>
    <x v="2"/>
    <n v="3.0470000000000002"/>
    <n v="1112.155"/>
    <n v="4003.7579999999998"/>
  </r>
  <r>
    <x v="0"/>
    <x v="0"/>
    <x v="0"/>
    <x v="0"/>
    <x v="1"/>
    <s v="DK2_Large"/>
    <x v="0"/>
    <x v="0"/>
    <s v="GNR_ENG_BGAS_BP_E-42"/>
    <x v="0"/>
    <x v="3"/>
    <n v="3.0470000000000002"/>
    <n v="1112.155"/>
    <n v="4003.7579999999998"/>
  </r>
  <r>
    <x v="0"/>
    <x v="0"/>
    <x v="0"/>
    <x v="0"/>
    <x v="1"/>
    <s v="DK2_Large"/>
    <x v="0"/>
    <x v="0"/>
    <s v="GNR_ENG_BGAS_BP_E-42"/>
    <x v="0"/>
    <x v="4"/>
    <n v="3.0470000000000002"/>
    <n v="1112.155"/>
    <n v="4003.7579999999998"/>
  </r>
  <r>
    <x v="0"/>
    <x v="0"/>
    <x v="0"/>
    <x v="0"/>
    <x v="1"/>
    <s v="DK2_Large"/>
    <x v="0"/>
    <x v="0"/>
    <s v="GNR_ENG_BGAS_BP_E-42"/>
    <x v="0"/>
    <x v="5"/>
    <n v="3.0470000000000002"/>
    <n v="1112.155"/>
    <n v="4003.7579999999998"/>
  </r>
  <r>
    <x v="0"/>
    <x v="0"/>
    <x v="0"/>
    <x v="0"/>
    <x v="1"/>
    <s v="DK2_Large"/>
    <x v="0"/>
    <x v="0"/>
    <s v="GNR_ENG_BGAS_BP_E-42"/>
    <x v="0"/>
    <x v="6"/>
    <n v="3.0470000000000002"/>
    <n v="1112.155"/>
    <n v="4003.7579999999998"/>
  </r>
  <r>
    <x v="0"/>
    <x v="0"/>
    <x v="0"/>
    <x v="0"/>
    <x v="1"/>
    <s v="DK2_Large"/>
    <x v="0"/>
    <x v="0"/>
    <s v="GNR_ENG_BGAS_BP_E-42"/>
    <x v="0"/>
    <x v="7"/>
    <n v="3.0470000000000002"/>
    <n v="1112.155"/>
    <n v="4003.7579999999998"/>
  </r>
  <r>
    <x v="0"/>
    <x v="0"/>
    <x v="0"/>
    <x v="0"/>
    <x v="1"/>
    <s v="DK2_Large"/>
    <x v="0"/>
    <x v="0"/>
    <s v="GNR_ENG_BGAS_BP_E-42"/>
    <x v="0"/>
    <x v="8"/>
    <n v="3.0470000000000002"/>
    <n v="1112.155"/>
    <n v="4003.7579999999998"/>
  </r>
  <r>
    <x v="0"/>
    <x v="0"/>
    <x v="0"/>
    <x v="0"/>
    <x v="1"/>
    <s v="DK2_Large"/>
    <x v="0"/>
    <x v="0"/>
    <s v="GNR_ENG_BGAS_BP_E-42"/>
    <x v="0"/>
    <x v="9"/>
    <n v="3.0470000000000002"/>
    <n v="1112.155"/>
    <n v="4003.7579999999998"/>
  </r>
  <r>
    <x v="0"/>
    <x v="0"/>
    <x v="0"/>
    <x v="0"/>
    <x v="1"/>
    <s v="DK2_Large"/>
    <x v="0"/>
    <x v="0"/>
    <s v="GNR_ENG_BGAS_BP_E-42"/>
    <x v="0"/>
    <x v="10"/>
    <n v="3.0470000000000002"/>
    <n v="1112.155"/>
    <n v="4003.7579999999998"/>
  </r>
  <r>
    <x v="0"/>
    <x v="0"/>
    <x v="0"/>
    <x v="0"/>
    <x v="1"/>
    <s v="DK2_Large"/>
    <x v="0"/>
    <x v="0"/>
    <s v="GNR_ENG_BGAS_BP_E-42"/>
    <x v="0"/>
    <x v="11"/>
    <n v="3.0470000000000002"/>
    <n v="1112.155"/>
    <n v="4003.7579999999998"/>
  </r>
  <r>
    <x v="0"/>
    <x v="0"/>
    <x v="0"/>
    <x v="0"/>
    <x v="1"/>
    <s v="DK2_Large"/>
    <x v="0"/>
    <x v="0"/>
    <s v="GNR_ENG_BGAS_BP_E-42"/>
    <x v="0"/>
    <x v="12"/>
    <n v="3.0470000000000002"/>
    <n v="1112.155"/>
    <n v="4003.7579999999998"/>
  </r>
  <r>
    <x v="0"/>
    <x v="0"/>
    <x v="0"/>
    <x v="0"/>
    <x v="1"/>
    <s v="DK2_Large"/>
    <x v="0"/>
    <x v="0"/>
    <s v="GNR_ENG_BGAS_BP_E-42"/>
    <x v="0"/>
    <x v="13"/>
    <n v="3.0470000000000002"/>
    <n v="1112.155"/>
    <n v="4003.7579999999998"/>
  </r>
  <r>
    <x v="0"/>
    <x v="0"/>
    <x v="0"/>
    <x v="0"/>
    <x v="1"/>
    <s v="DK2_Large"/>
    <x v="0"/>
    <x v="0"/>
    <s v="GNR_ENG_BGAS_BP_E-42"/>
    <x v="0"/>
    <x v="14"/>
    <n v="3.0470000000000002"/>
    <n v="1112.155"/>
    <n v="4003.7579999999998"/>
  </r>
  <r>
    <x v="0"/>
    <x v="0"/>
    <x v="0"/>
    <x v="0"/>
    <x v="1"/>
    <s v="DK2_Large"/>
    <x v="0"/>
    <x v="0"/>
    <s v="GNR_ENG_BGAS_BP_E-42"/>
    <x v="0"/>
    <x v="15"/>
    <n v="3.0470000000000002"/>
    <n v="1112.155"/>
    <n v="4003.7579999999998"/>
  </r>
  <r>
    <x v="0"/>
    <x v="0"/>
    <x v="0"/>
    <x v="0"/>
    <x v="1"/>
    <s v="DK2_Large"/>
    <x v="0"/>
    <x v="0"/>
    <s v="GNR_ENG_BGAS_BP_E-42"/>
    <x v="0"/>
    <x v="16"/>
    <n v="3.0470000000000002"/>
    <n v="1112.155"/>
    <n v="4003.7579999999998"/>
  </r>
  <r>
    <x v="0"/>
    <x v="0"/>
    <x v="0"/>
    <x v="0"/>
    <x v="1"/>
    <s v="DK2_Large"/>
    <x v="0"/>
    <x v="0"/>
    <s v="GNR_ENG_BGAS_BP_E-42"/>
    <x v="0"/>
    <x v="17"/>
    <n v="3.0470000000000002"/>
    <n v="1112.155"/>
    <n v="4003.7579999999998"/>
  </r>
  <r>
    <x v="0"/>
    <x v="0"/>
    <x v="0"/>
    <x v="0"/>
    <x v="1"/>
    <s v="DK2_Large"/>
    <x v="0"/>
    <x v="0"/>
    <s v="GNR_ENG_BGAS_BP_E-42"/>
    <x v="0"/>
    <x v="18"/>
    <n v="3.0470000000000002"/>
    <n v="1112.155"/>
    <n v="4003.7579999999998"/>
  </r>
  <r>
    <x v="0"/>
    <x v="0"/>
    <x v="0"/>
    <x v="0"/>
    <x v="1"/>
    <s v="DK2_Large"/>
    <x v="0"/>
    <x v="0"/>
    <s v="GNR_ENG_BGAS_BP_E-42"/>
    <x v="0"/>
    <x v="19"/>
    <n v="3.0470000000000002"/>
    <n v="1112.155"/>
    <n v="4003.7579999999998"/>
  </r>
  <r>
    <x v="0"/>
    <x v="0"/>
    <x v="0"/>
    <x v="0"/>
    <x v="1"/>
    <s v="DK2_Large"/>
    <x v="0"/>
    <x v="0"/>
    <s v="GNR_ENG_BGAS_BP_E-42"/>
    <x v="0"/>
    <x v="20"/>
    <n v="3.0470000000000002"/>
    <n v="1112.155"/>
    <n v="4003.7579999999998"/>
  </r>
  <r>
    <x v="0"/>
    <x v="0"/>
    <x v="0"/>
    <x v="0"/>
    <x v="1"/>
    <s v="DK2_Large"/>
    <x v="0"/>
    <x v="0"/>
    <s v="GNR_ENG_BGAS_BP_E-42"/>
    <x v="0"/>
    <x v="21"/>
    <n v="3.0470000000000002"/>
    <n v="1112.155"/>
    <n v="4003.7579999999998"/>
  </r>
  <r>
    <x v="0"/>
    <x v="0"/>
    <x v="0"/>
    <x v="0"/>
    <x v="1"/>
    <s v="DK2_Large"/>
    <x v="0"/>
    <x v="0"/>
    <s v="GNR_ENG_BGAS_BP_E-42"/>
    <x v="0"/>
    <x v="22"/>
    <n v="3.0470000000000002"/>
    <n v="1112.155"/>
    <n v="4003.7579999999998"/>
  </r>
  <r>
    <x v="0"/>
    <x v="0"/>
    <x v="0"/>
    <x v="0"/>
    <x v="1"/>
    <s v="DK2_Large"/>
    <x v="0"/>
    <x v="0"/>
    <s v="GNR_ENG_BGAS_BP_E-42"/>
    <x v="0"/>
    <x v="23"/>
    <n v="3.0470000000000002"/>
    <n v="1112.155"/>
    <n v="4003.7579999999998"/>
  </r>
  <r>
    <x v="0"/>
    <x v="0"/>
    <x v="0"/>
    <x v="0"/>
    <x v="1"/>
    <s v="DK2_Large"/>
    <x v="1"/>
    <x v="0"/>
    <s v="GNR_ST_MSW_BP_E-16"/>
    <x v="0"/>
    <x v="0"/>
    <n v="28.5"/>
    <n v="10402.5"/>
    <n v="37449"/>
  </r>
  <r>
    <x v="0"/>
    <x v="0"/>
    <x v="0"/>
    <x v="0"/>
    <x v="1"/>
    <s v="DK2_Large"/>
    <x v="1"/>
    <x v="0"/>
    <s v="GNR_ST_MSW_BP_E-16"/>
    <x v="0"/>
    <x v="1"/>
    <n v="28.5"/>
    <n v="10402.5"/>
    <n v="37449"/>
  </r>
  <r>
    <x v="0"/>
    <x v="0"/>
    <x v="0"/>
    <x v="0"/>
    <x v="1"/>
    <s v="DK2_Large"/>
    <x v="1"/>
    <x v="0"/>
    <s v="GNR_ST_MSW_BP_E-16"/>
    <x v="0"/>
    <x v="2"/>
    <n v="28.5"/>
    <n v="10402.5"/>
    <n v="37449"/>
  </r>
  <r>
    <x v="0"/>
    <x v="0"/>
    <x v="0"/>
    <x v="0"/>
    <x v="1"/>
    <s v="DK2_Large"/>
    <x v="1"/>
    <x v="0"/>
    <s v="GNR_ST_MSW_BP_E-16"/>
    <x v="0"/>
    <x v="3"/>
    <n v="28.5"/>
    <n v="10402.5"/>
    <n v="37449"/>
  </r>
  <r>
    <x v="0"/>
    <x v="0"/>
    <x v="0"/>
    <x v="0"/>
    <x v="1"/>
    <s v="DK2_Large"/>
    <x v="1"/>
    <x v="0"/>
    <s v="GNR_ST_MSW_BP_E-16"/>
    <x v="0"/>
    <x v="4"/>
    <n v="28.5"/>
    <n v="10402.5"/>
    <n v="37449"/>
  </r>
  <r>
    <x v="0"/>
    <x v="0"/>
    <x v="0"/>
    <x v="0"/>
    <x v="1"/>
    <s v="DK2_Large"/>
    <x v="1"/>
    <x v="0"/>
    <s v="GNR_ST_MSW_BP_E-16"/>
    <x v="0"/>
    <x v="5"/>
    <n v="28.5"/>
    <n v="10402.5"/>
    <n v="37449"/>
  </r>
  <r>
    <x v="0"/>
    <x v="0"/>
    <x v="0"/>
    <x v="0"/>
    <x v="1"/>
    <s v="DK2_Large"/>
    <x v="1"/>
    <x v="0"/>
    <s v="GNR_ST_MSW_BP_E-16"/>
    <x v="0"/>
    <x v="6"/>
    <n v="28.5"/>
    <n v="10402.5"/>
    <n v="37449"/>
  </r>
  <r>
    <x v="0"/>
    <x v="0"/>
    <x v="0"/>
    <x v="0"/>
    <x v="1"/>
    <s v="DK2_Large"/>
    <x v="1"/>
    <x v="0"/>
    <s v="GNR_ST_MSW_BP_E-16"/>
    <x v="0"/>
    <x v="7"/>
    <n v="28.5"/>
    <n v="10402.5"/>
    <n v="37449"/>
  </r>
  <r>
    <x v="0"/>
    <x v="0"/>
    <x v="0"/>
    <x v="0"/>
    <x v="1"/>
    <s v="DK2_Large"/>
    <x v="1"/>
    <x v="0"/>
    <s v="GNR_ST_MSW_BP_E-16"/>
    <x v="0"/>
    <x v="8"/>
    <n v="28.5"/>
    <n v="10402.5"/>
    <n v="37449"/>
  </r>
  <r>
    <x v="0"/>
    <x v="0"/>
    <x v="0"/>
    <x v="0"/>
    <x v="1"/>
    <s v="DK2_Large"/>
    <x v="1"/>
    <x v="0"/>
    <s v="GNR_ST_MSW_BP_E-16"/>
    <x v="0"/>
    <x v="9"/>
    <n v="28.5"/>
    <n v="10402.5"/>
    <n v="37449"/>
  </r>
  <r>
    <x v="0"/>
    <x v="0"/>
    <x v="0"/>
    <x v="0"/>
    <x v="1"/>
    <s v="DK2_Large"/>
    <x v="1"/>
    <x v="0"/>
    <s v="GNR_ST_MSW_BP_E-16"/>
    <x v="0"/>
    <x v="10"/>
    <n v="28.5"/>
    <n v="10402.5"/>
    <n v="37449"/>
  </r>
  <r>
    <x v="0"/>
    <x v="0"/>
    <x v="0"/>
    <x v="0"/>
    <x v="1"/>
    <s v="DK2_Large"/>
    <x v="1"/>
    <x v="0"/>
    <s v="GNR_ST_MSW_BP_E-16"/>
    <x v="0"/>
    <x v="11"/>
    <n v="28.5"/>
    <n v="10402.5"/>
    <n v="37449"/>
  </r>
  <r>
    <x v="0"/>
    <x v="0"/>
    <x v="0"/>
    <x v="0"/>
    <x v="1"/>
    <s v="DK2_Large"/>
    <x v="1"/>
    <x v="0"/>
    <s v="GNR_ST_MSW_BP_E-16"/>
    <x v="0"/>
    <x v="12"/>
    <n v="28.5"/>
    <n v="10402.5"/>
    <n v="37449"/>
  </r>
  <r>
    <x v="0"/>
    <x v="0"/>
    <x v="0"/>
    <x v="0"/>
    <x v="1"/>
    <s v="DK2_Large"/>
    <x v="1"/>
    <x v="0"/>
    <s v="GNR_ST_MSW_BP_E-16"/>
    <x v="0"/>
    <x v="13"/>
    <n v="28.5"/>
    <n v="10402.5"/>
    <n v="37449"/>
  </r>
  <r>
    <x v="0"/>
    <x v="0"/>
    <x v="0"/>
    <x v="0"/>
    <x v="1"/>
    <s v="DK2_Large"/>
    <x v="1"/>
    <x v="0"/>
    <s v="GNR_ST_MSW_BP_E-16"/>
    <x v="0"/>
    <x v="14"/>
    <n v="28.5"/>
    <n v="10402.5"/>
    <n v="37449"/>
  </r>
  <r>
    <x v="0"/>
    <x v="0"/>
    <x v="0"/>
    <x v="0"/>
    <x v="1"/>
    <s v="DK2_Large"/>
    <x v="1"/>
    <x v="0"/>
    <s v="GNR_ST_MSW_BP_E-16"/>
    <x v="0"/>
    <x v="15"/>
    <n v="28.5"/>
    <n v="10402.5"/>
    <n v="37449"/>
  </r>
  <r>
    <x v="0"/>
    <x v="0"/>
    <x v="0"/>
    <x v="0"/>
    <x v="1"/>
    <s v="DK2_Large"/>
    <x v="1"/>
    <x v="0"/>
    <s v="GNR_ST_MSW_BP_E-16"/>
    <x v="0"/>
    <x v="16"/>
    <n v="28.5"/>
    <n v="10402.5"/>
    <n v="37449"/>
  </r>
  <r>
    <x v="0"/>
    <x v="0"/>
    <x v="0"/>
    <x v="0"/>
    <x v="1"/>
    <s v="DK2_Large"/>
    <x v="1"/>
    <x v="0"/>
    <s v="GNR_ST_MSW_BP_E-16"/>
    <x v="0"/>
    <x v="17"/>
    <n v="28.5"/>
    <n v="10402.5"/>
    <n v="37449"/>
  </r>
  <r>
    <x v="0"/>
    <x v="0"/>
    <x v="0"/>
    <x v="0"/>
    <x v="1"/>
    <s v="DK2_Large"/>
    <x v="1"/>
    <x v="0"/>
    <s v="GNR_ST_MSW_BP_E-16"/>
    <x v="0"/>
    <x v="18"/>
    <n v="28.5"/>
    <n v="10402.5"/>
    <n v="37449"/>
  </r>
  <r>
    <x v="0"/>
    <x v="0"/>
    <x v="0"/>
    <x v="0"/>
    <x v="1"/>
    <s v="DK2_Large"/>
    <x v="1"/>
    <x v="0"/>
    <s v="GNR_ST_MSW_BP_E-16"/>
    <x v="0"/>
    <x v="19"/>
    <n v="28.5"/>
    <n v="10402.5"/>
    <n v="37449"/>
  </r>
  <r>
    <x v="0"/>
    <x v="0"/>
    <x v="0"/>
    <x v="0"/>
    <x v="1"/>
    <s v="DK2_Large"/>
    <x v="1"/>
    <x v="0"/>
    <s v="GNR_ST_MSW_BP_E-16"/>
    <x v="0"/>
    <x v="20"/>
    <n v="28.5"/>
    <n v="10402.5"/>
    <n v="37449"/>
  </r>
  <r>
    <x v="0"/>
    <x v="0"/>
    <x v="0"/>
    <x v="0"/>
    <x v="1"/>
    <s v="DK2_Large"/>
    <x v="1"/>
    <x v="0"/>
    <s v="GNR_ST_MSW_BP_E-16"/>
    <x v="0"/>
    <x v="21"/>
    <n v="28.5"/>
    <n v="10402.5"/>
    <n v="37449"/>
  </r>
  <r>
    <x v="0"/>
    <x v="0"/>
    <x v="0"/>
    <x v="0"/>
    <x v="1"/>
    <s v="DK2_Large"/>
    <x v="1"/>
    <x v="0"/>
    <s v="GNR_ST_MSW_BP_E-16"/>
    <x v="0"/>
    <x v="22"/>
    <n v="28.5"/>
    <n v="10402.5"/>
    <n v="37449"/>
  </r>
  <r>
    <x v="0"/>
    <x v="0"/>
    <x v="0"/>
    <x v="0"/>
    <x v="1"/>
    <s v="DK2_Large"/>
    <x v="1"/>
    <x v="0"/>
    <s v="GNR_ST_MSW_BP_E-16"/>
    <x v="0"/>
    <x v="23"/>
    <n v="28.5"/>
    <n v="10402.5"/>
    <n v="37449"/>
  </r>
  <r>
    <x v="0"/>
    <x v="0"/>
    <x v="0"/>
    <x v="0"/>
    <x v="1"/>
    <s v="DK2_Large"/>
    <x v="1"/>
    <x v="0"/>
    <s v="GNR_ST_MSW_BP_E-20"/>
    <x v="0"/>
    <x v="0"/>
    <n v="39"/>
    <n v="14235"/>
    <n v="51246"/>
  </r>
  <r>
    <x v="0"/>
    <x v="0"/>
    <x v="0"/>
    <x v="0"/>
    <x v="1"/>
    <s v="DK2_Large"/>
    <x v="1"/>
    <x v="0"/>
    <s v="GNR_ST_MSW_BP_E-20"/>
    <x v="0"/>
    <x v="1"/>
    <n v="39"/>
    <n v="14235"/>
    <n v="51246"/>
  </r>
  <r>
    <x v="0"/>
    <x v="0"/>
    <x v="0"/>
    <x v="0"/>
    <x v="1"/>
    <s v="DK2_Large"/>
    <x v="1"/>
    <x v="0"/>
    <s v="GNR_ST_MSW_BP_E-20"/>
    <x v="0"/>
    <x v="2"/>
    <n v="39"/>
    <n v="14235"/>
    <n v="51246"/>
  </r>
  <r>
    <x v="0"/>
    <x v="0"/>
    <x v="0"/>
    <x v="0"/>
    <x v="1"/>
    <s v="DK2_Large"/>
    <x v="1"/>
    <x v="0"/>
    <s v="GNR_ST_MSW_BP_E-20"/>
    <x v="0"/>
    <x v="3"/>
    <n v="39"/>
    <n v="14235"/>
    <n v="51246"/>
  </r>
  <r>
    <x v="0"/>
    <x v="0"/>
    <x v="0"/>
    <x v="0"/>
    <x v="1"/>
    <s v="DK2_Large"/>
    <x v="1"/>
    <x v="0"/>
    <s v="GNR_ST_MSW_BP_E-20"/>
    <x v="0"/>
    <x v="4"/>
    <n v="39"/>
    <n v="14235"/>
    <n v="51246"/>
  </r>
  <r>
    <x v="0"/>
    <x v="0"/>
    <x v="0"/>
    <x v="0"/>
    <x v="1"/>
    <s v="DK2_Large"/>
    <x v="1"/>
    <x v="0"/>
    <s v="GNR_ST_MSW_BP_E-20"/>
    <x v="0"/>
    <x v="5"/>
    <n v="39"/>
    <n v="14235"/>
    <n v="51246"/>
  </r>
  <r>
    <x v="0"/>
    <x v="0"/>
    <x v="0"/>
    <x v="0"/>
    <x v="1"/>
    <s v="DK2_Large"/>
    <x v="1"/>
    <x v="0"/>
    <s v="GNR_ST_MSW_BP_E-20"/>
    <x v="0"/>
    <x v="6"/>
    <n v="39"/>
    <n v="14235"/>
    <n v="51246"/>
  </r>
  <r>
    <x v="0"/>
    <x v="0"/>
    <x v="0"/>
    <x v="0"/>
    <x v="1"/>
    <s v="DK2_Large"/>
    <x v="1"/>
    <x v="0"/>
    <s v="GNR_ST_MSW_BP_E-20"/>
    <x v="0"/>
    <x v="7"/>
    <n v="39"/>
    <n v="14235"/>
    <n v="51246"/>
  </r>
  <r>
    <x v="0"/>
    <x v="0"/>
    <x v="0"/>
    <x v="0"/>
    <x v="1"/>
    <s v="DK2_Large"/>
    <x v="1"/>
    <x v="0"/>
    <s v="GNR_ST_MSW_BP_E-20"/>
    <x v="0"/>
    <x v="8"/>
    <n v="39"/>
    <n v="14235"/>
    <n v="51246"/>
  </r>
  <r>
    <x v="0"/>
    <x v="0"/>
    <x v="0"/>
    <x v="0"/>
    <x v="1"/>
    <s v="DK2_Large"/>
    <x v="1"/>
    <x v="0"/>
    <s v="GNR_ST_MSW_BP_E-20"/>
    <x v="0"/>
    <x v="9"/>
    <n v="39"/>
    <n v="14235"/>
    <n v="51246"/>
  </r>
  <r>
    <x v="0"/>
    <x v="0"/>
    <x v="0"/>
    <x v="0"/>
    <x v="1"/>
    <s v="DK2_Large"/>
    <x v="1"/>
    <x v="0"/>
    <s v="GNR_ST_MSW_BP_E-20"/>
    <x v="0"/>
    <x v="10"/>
    <n v="39"/>
    <n v="14235"/>
    <n v="51246"/>
  </r>
  <r>
    <x v="0"/>
    <x v="0"/>
    <x v="0"/>
    <x v="0"/>
    <x v="1"/>
    <s v="DK2_Large"/>
    <x v="1"/>
    <x v="0"/>
    <s v="GNR_ST_MSW_BP_E-20"/>
    <x v="0"/>
    <x v="11"/>
    <n v="39"/>
    <n v="14235"/>
    <n v="51246"/>
  </r>
  <r>
    <x v="0"/>
    <x v="0"/>
    <x v="0"/>
    <x v="0"/>
    <x v="1"/>
    <s v="DK2_Large"/>
    <x v="1"/>
    <x v="0"/>
    <s v="GNR_ST_MSW_BP_E-20"/>
    <x v="0"/>
    <x v="12"/>
    <n v="39"/>
    <n v="14235"/>
    <n v="51246"/>
  </r>
  <r>
    <x v="0"/>
    <x v="0"/>
    <x v="0"/>
    <x v="0"/>
    <x v="1"/>
    <s v="DK2_Large"/>
    <x v="1"/>
    <x v="0"/>
    <s v="GNR_ST_MSW_BP_E-20"/>
    <x v="0"/>
    <x v="13"/>
    <n v="39"/>
    <n v="14235"/>
    <n v="51246"/>
  </r>
  <r>
    <x v="0"/>
    <x v="0"/>
    <x v="0"/>
    <x v="0"/>
    <x v="1"/>
    <s v="DK2_Large"/>
    <x v="1"/>
    <x v="0"/>
    <s v="GNR_ST_MSW_BP_E-20"/>
    <x v="0"/>
    <x v="14"/>
    <n v="39"/>
    <n v="14235"/>
    <n v="51246"/>
  </r>
  <r>
    <x v="0"/>
    <x v="0"/>
    <x v="0"/>
    <x v="0"/>
    <x v="1"/>
    <s v="DK2_Large"/>
    <x v="1"/>
    <x v="0"/>
    <s v="GNR_ST_MSW_BP_E-20"/>
    <x v="0"/>
    <x v="15"/>
    <n v="39"/>
    <n v="14235"/>
    <n v="51246"/>
  </r>
  <r>
    <x v="0"/>
    <x v="0"/>
    <x v="0"/>
    <x v="0"/>
    <x v="1"/>
    <s v="DK2_Large"/>
    <x v="1"/>
    <x v="0"/>
    <s v="GNR_ST_MSW_BP_E-20"/>
    <x v="0"/>
    <x v="16"/>
    <n v="39"/>
    <n v="14235"/>
    <n v="51246"/>
  </r>
  <r>
    <x v="0"/>
    <x v="0"/>
    <x v="0"/>
    <x v="0"/>
    <x v="1"/>
    <s v="DK2_Large"/>
    <x v="1"/>
    <x v="0"/>
    <s v="GNR_ST_MSW_BP_E-20"/>
    <x v="0"/>
    <x v="17"/>
    <n v="39"/>
    <n v="14235"/>
    <n v="51246"/>
  </r>
  <r>
    <x v="0"/>
    <x v="0"/>
    <x v="0"/>
    <x v="0"/>
    <x v="1"/>
    <s v="DK2_Large"/>
    <x v="1"/>
    <x v="0"/>
    <s v="GNR_ST_MSW_BP_E-20"/>
    <x v="0"/>
    <x v="18"/>
    <n v="39"/>
    <n v="14235"/>
    <n v="51246"/>
  </r>
  <r>
    <x v="0"/>
    <x v="0"/>
    <x v="0"/>
    <x v="0"/>
    <x v="1"/>
    <s v="DK2_Large"/>
    <x v="1"/>
    <x v="0"/>
    <s v="GNR_ST_MSW_BP_E-20"/>
    <x v="0"/>
    <x v="19"/>
    <n v="39"/>
    <n v="14235"/>
    <n v="51246"/>
  </r>
  <r>
    <x v="0"/>
    <x v="0"/>
    <x v="0"/>
    <x v="0"/>
    <x v="1"/>
    <s v="DK2_Large"/>
    <x v="1"/>
    <x v="0"/>
    <s v="GNR_ST_MSW_BP_E-20"/>
    <x v="0"/>
    <x v="20"/>
    <n v="39"/>
    <n v="14235"/>
    <n v="51246"/>
  </r>
  <r>
    <x v="0"/>
    <x v="0"/>
    <x v="0"/>
    <x v="0"/>
    <x v="1"/>
    <s v="DK2_Large"/>
    <x v="1"/>
    <x v="0"/>
    <s v="GNR_ST_MSW_BP_E-20"/>
    <x v="0"/>
    <x v="21"/>
    <n v="39"/>
    <n v="14235"/>
    <n v="51246"/>
  </r>
  <r>
    <x v="0"/>
    <x v="0"/>
    <x v="0"/>
    <x v="0"/>
    <x v="1"/>
    <s v="DK2_Large"/>
    <x v="1"/>
    <x v="0"/>
    <s v="GNR_ST_MSW_BP_E-20"/>
    <x v="0"/>
    <x v="22"/>
    <n v="39"/>
    <n v="14235"/>
    <n v="51246"/>
  </r>
  <r>
    <x v="0"/>
    <x v="0"/>
    <x v="0"/>
    <x v="0"/>
    <x v="1"/>
    <s v="DK2_Large"/>
    <x v="1"/>
    <x v="0"/>
    <s v="GNR_ST_MSW_BP_E-20"/>
    <x v="0"/>
    <x v="23"/>
    <n v="39"/>
    <n v="14235"/>
    <n v="51246"/>
  </r>
  <r>
    <x v="0"/>
    <x v="0"/>
    <x v="0"/>
    <x v="0"/>
    <x v="1"/>
    <s v="DK2_Large"/>
    <x v="1"/>
    <x v="0"/>
    <s v="GNR_ST_MSW_BP_E-21"/>
    <x v="0"/>
    <x v="0"/>
    <n v="13.7"/>
    <n v="5000.5"/>
    <n v="18001.8"/>
  </r>
  <r>
    <x v="0"/>
    <x v="0"/>
    <x v="0"/>
    <x v="0"/>
    <x v="1"/>
    <s v="DK2_Large"/>
    <x v="1"/>
    <x v="0"/>
    <s v="GNR_ST_MSW_BP_E-21"/>
    <x v="0"/>
    <x v="1"/>
    <n v="13.7"/>
    <n v="5000.5"/>
    <n v="18001.8"/>
  </r>
  <r>
    <x v="0"/>
    <x v="0"/>
    <x v="0"/>
    <x v="0"/>
    <x v="1"/>
    <s v="DK2_Large"/>
    <x v="1"/>
    <x v="0"/>
    <s v="GNR_ST_MSW_BP_E-21"/>
    <x v="0"/>
    <x v="2"/>
    <n v="13.7"/>
    <n v="5000.5"/>
    <n v="18001.8"/>
  </r>
  <r>
    <x v="0"/>
    <x v="0"/>
    <x v="0"/>
    <x v="0"/>
    <x v="1"/>
    <s v="DK2_Large"/>
    <x v="1"/>
    <x v="0"/>
    <s v="GNR_ST_MSW_BP_E-21"/>
    <x v="0"/>
    <x v="3"/>
    <n v="13.7"/>
    <n v="5000.5"/>
    <n v="18001.8"/>
  </r>
  <r>
    <x v="0"/>
    <x v="0"/>
    <x v="0"/>
    <x v="0"/>
    <x v="1"/>
    <s v="DK2_Large"/>
    <x v="1"/>
    <x v="0"/>
    <s v="GNR_ST_MSW_BP_E-21"/>
    <x v="0"/>
    <x v="4"/>
    <n v="13.7"/>
    <n v="5000.5"/>
    <n v="18001.8"/>
  </r>
  <r>
    <x v="0"/>
    <x v="0"/>
    <x v="0"/>
    <x v="0"/>
    <x v="1"/>
    <s v="DK2_Large"/>
    <x v="1"/>
    <x v="0"/>
    <s v="GNR_ST_MSW_BP_E-21"/>
    <x v="0"/>
    <x v="5"/>
    <n v="13.7"/>
    <n v="5000.5"/>
    <n v="18001.8"/>
  </r>
  <r>
    <x v="0"/>
    <x v="0"/>
    <x v="0"/>
    <x v="0"/>
    <x v="1"/>
    <s v="DK2_Large"/>
    <x v="1"/>
    <x v="0"/>
    <s v="GNR_ST_MSW_BP_E-21"/>
    <x v="0"/>
    <x v="6"/>
    <n v="13.7"/>
    <n v="5000.5"/>
    <n v="18001.8"/>
  </r>
  <r>
    <x v="0"/>
    <x v="0"/>
    <x v="0"/>
    <x v="0"/>
    <x v="1"/>
    <s v="DK2_Large"/>
    <x v="1"/>
    <x v="0"/>
    <s v="GNR_ST_MSW_BP_E-21"/>
    <x v="0"/>
    <x v="7"/>
    <n v="13.7"/>
    <n v="5000.5"/>
    <n v="18001.8"/>
  </r>
  <r>
    <x v="0"/>
    <x v="0"/>
    <x v="0"/>
    <x v="0"/>
    <x v="1"/>
    <s v="DK2_Large"/>
    <x v="1"/>
    <x v="0"/>
    <s v="GNR_ST_MSW_BP_E-21"/>
    <x v="0"/>
    <x v="8"/>
    <n v="13.7"/>
    <n v="5000.5"/>
    <n v="18001.8"/>
  </r>
  <r>
    <x v="0"/>
    <x v="0"/>
    <x v="0"/>
    <x v="0"/>
    <x v="1"/>
    <s v="DK2_Large"/>
    <x v="1"/>
    <x v="0"/>
    <s v="GNR_ST_MSW_BP_E-21"/>
    <x v="0"/>
    <x v="9"/>
    <n v="13.7"/>
    <n v="5000.5"/>
    <n v="18001.8"/>
  </r>
  <r>
    <x v="0"/>
    <x v="0"/>
    <x v="0"/>
    <x v="0"/>
    <x v="1"/>
    <s v="DK2_Large"/>
    <x v="1"/>
    <x v="0"/>
    <s v="GNR_ST_MSW_BP_E-21"/>
    <x v="0"/>
    <x v="10"/>
    <n v="13.7"/>
    <n v="5000.5"/>
    <n v="18001.8"/>
  </r>
  <r>
    <x v="0"/>
    <x v="0"/>
    <x v="0"/>
    <x v="0"/>
    <x v="1"/>
    <s v="DK2_Large"/>
    <x v="1"/>
    <x v="0"/>
    <s v="GNR_ST_MSW_BP_E-21"/>
    <x v="0"/>
    <x v="11"/>
    <n v="13.7"/>
    <n v="5000.5"/>
    <n v="18001.8"/>
  </r>
  <r>
    <x v="0"/>
    <x v="0"/>
    <x v="0"/>
    <x v="0"/>
    <x v="1"/>
    <s v="DK2_Large"/>
    <x v="1"/>
    <x v="0"/>
    <s v="GNR_ST_MSW_BP_E-21"/>
    <x v="0"/>
    <x v="12"/>
    <n v="13.7"/>
    <n v="5000.5"/>
    <n v="18001.8"/>
  </r>
  <r>
    <x v="0"/>
    <x v="0"/>
    <x v="0"/>
    <x v="0"/>
    <x v="1"/>
    <s v="DK2_Large"/>
    <x v="1"/>
    <x v="0"/>
    <s v="GNR_ST_MSW_BP_E-21"/>
    <x v="0"/>
    <x v="13"/>
    <n v="13.7"/>
    <n v="5000.5"/>
    <n v="18001.8"/>
  </r>
  <r>
    <x v="0"/>
    <x v="0"/>
    <x v="0"/>
    <x v="0"/>
    <x v="1"/>
    <s v="DK2_Large"/>
    <x v="1"/>
    <x v="0"/>
    <s v="GNR_ST_MSW_BP_E-21"/>
    <x v="0"/>
    <x v="14"/>
    <n v="13.7"/>
    <n v="5000.5"/>
    <n v="18001.8"/>
  </r>
  <r>
    <x v="0"/>
    <x v="0"/>
    <x v="0"/>
    <x v="0"/>
    <x v="1"/>
    <s v="DK2_Large"/>
    <x v="1"/>
    <x v="0"/>
    <s v="GNR_ST_MSW_BP_E-21"/>
    <x v="0"/>
    <x v="15"/>
    <n v="13.7"/>
    <n v="5000.5"/>
    <n v="18001.8"/>
  </r>
  <r>
    <x v="0"/>
    <x v="0"/>
    <x v="0"/>
    <x v="0"/>
    <x v="1"/>
    <s v="DK2_Large"/>
    <x v="1"/>
    <x v="0"/>
    <s v="GNR_ST_MSW_BP_E-21"/>
    <x v="0"/>
    <x v="16"/>
    <n v="13.7"/>
    <n v="5000.5"/>
    <n v="18001.8"/>
  </r>
  <r>
    <x v="0"/>
    <x v="0"/>
    <x v="0"/>
    <x v="0"/>
    <x v="1"/>
    <s v="DK2_Large"/>
    <x v="1"/>
    <x v="0"/>
    <s v="GNR_ST_MSW_BP_E-21"/>
    <x v="0"/>
    <x v="17"/>
    <n v="13.7"/>
    <n v="5000.5"/>
    <n v="18001.8"/>
  </r>
  <r>
    <x v="0"/>
    <x v="0"/>
    <x v="0"/>
    <x v="0"/>
    <x v="1"/>
    <s v="DK2_Large"/>
    <x v="1"/>
    <x v="0"/>
    <s v="GNR_ST_MSW_BP_E-21"/>
    <x v="0"/>
    <x v="18"/>
    <n v="13.7"/>
    <n v="5000.5"/>
    <n v="18001.8"/>
  </r>
  <r>
    <x v="0"/>
    <x v="0"/>
    <x v="0"/>
    <x v="0"/>
    <x v="1"/>
    <s v="DK2_Large"/>
    <x v="1"/>
    <x v="0"/>
    <s v="GNR_ST_MSW_BP_E-21"/>
    <x v="0"/>
    <x v="19"/>
    <n v="13.7"/>
    <n v="5000.5"/>
    <n v="18001.8"/>
  </r>
  <r>
    <x v="0"/>
    <x v="0"/>
    <x v="0"/>
    <x v="0"/>
    <x v="1"/>
    <s v="DK2_Large"/>
    <x v="1"/>
    <x v="0"/>
    <s v="GNR_ST_MSW_BP_E-21"/>
    <x v="0"/>
    <x v="20"/>
    <n v="13.7"/>
    <n v="5000.5"/>
    <n v="18001.8"/>
  </r>
  <r>
    <x v="0"/>
    <x v="0"/>
    <x v="0"/>
    <x v="0"/>
    <x v="1"/>
    <s v="DK2_Large"/>
    <x v="1"/>
    <x v="0"/>
    <s v="GNR_ST_MSW_BP_E-21"/>
    <x v="0"/>
    <x v="21"/>
    <n v="13.7"/>
    <n v="5000.5"/>
    <n v="18001.8"/>
  </r>
  <r>
    <x v="0"/>
    <x v="0"/>
    <x v="0"/>
    <x v="0"/>
    <x v="1"/>
    <s v="DK2_Large"/>
    <x v="1"/>
    <x v="0"/>
    <s v="GNR_ST_MSW_BP_E-21"/>
    <x v="0"/>
    <x v="22"/>
    <n v="13.7"/>
    <n v="5000.5"/>
    <n v="18001.8"/>
  </r>
  <r>
    <x v="0"/>
    <x v="0"/>
    <x v="0"/>
    <x v="0"/>
    <x v="1"/>
    <s v="DK2_Large"/>
    <x v="1"/>
    <x v="0"/>
    <s v="GNR_ST_MSW_BP_E-21"/>
    <x v="0"/>
    <x v="23"/>
    <n v="13.7"/>
    <n v="5000.5"/>
    <n v="18001.8"/>
  </r>
  <r>
    <x v="0"/>
    <x v="0"/>
    <x v="0"/>
    <x v="0"/>
    <x v="1"/>
    <s v="DK2_Large"/>
    <x v="1"/>
    <x v="0"/>
    <s v="GNR_ST_MSW_BP_E-27"/>
    <x v="0"/>
    <x v="0"/>
    <n v="19.399999999999999"/>
    <n v="7081"/>
    <n v="25491.599999999999"/>
  </r>
  <r>
    <x v="0"/>
    <x v="0"/>
    <x v="0"/>
    <x v="0"/>
    <x v="1"/>
    <s v="DK2_Large"/>
    <x v="1"/>
    <x v="0"/>
    <s v="GNR_ST_MSW_BP_E-27"/>
    <x v="0"/>
    <x v="1"/>
    <n v="19.399999999999999"/>
    <n v="7081"/>
    <n v="25491.599999999999"/>
  </r>
  <r>
    <x v="0"/>
    <x v="0"/>
    <x v="0"/>
    <x v="0"/>
    <x v="1"/>
    <s v="DK2_Large"/>
    <x v="1"/>
    <x v="0"/>
    <s v="GNR_ST_MSW_BP_E-27"/>
    <x v="0"/>
    <x v="2"/>
    <n v="19.399999999999999"/>
    <n v="7081"/>
    <n v="25491.599999999999"/>
  </r>
  <r>
    <x v="0"/>
    <x v="0"/>
    <x v="0"/>
    <x v="0"/>
    <x v="1"/>
    <s v="DK2_Large"/>
    <x v="1"/>
    <x v="0"/>
    <s v="GNR_ST_MSW_BP_E-27"/>
    <x v="0"/>
    <x v="3"/>
    <n v="19.399999999999999"/>
    <n v="7081"/>
    <n v="25491.599999999999"/>
  </r>
  <r>
    <x v="0"/>
    <x v="0"/>
    <x v="0"/>
    <x v="0"/>
    <x v="1"/>
    <s v="DK2_Large"/>
    <x v="1"/>
    <x v="0"/>
    <s v="GNR_ST_MSW_BP_E-27"/>
    <x v="0"/>
    <x v="4"/>
    <n v="19.399999999999999"/>
    <n v="7081"/>
    <n v="25491.599999999999"/>
  </r>
  <r>
    <x v="0"/>
    <x v="0"/>
    <x v="0"/>
    <x v="0"/>
    <x v="1"/>
    <s v="DK2_Large"/>
    <x v="1"/>
    <x v="0"/>
    <s v="GNR_ST_MSW_BP_E-27"/>
    <x v="0"/>
    <x v="5"/>
    <n v="19.399999999999999"/>
    <n v="7081"/>
    <n v="25491.599999999999"/>
  </r>
  <r>
    <x v="0"/>
    <x v="0"/>
    <x v="0"/>
    <x v="0"/>
    <x v="1"/>
    <s v="DK2_Large"/>
    <x v="1"/>
    <x v="0"/>
    <s v="GNR_ST_MSW_BP_E-27"/>
    <x v="0"/>
    <x v="6"/>
    <n v="19.399999999999999"/>
    <n v="7081"/>
    <n v="25491.599999999999"/>
  </r>
  <r>
    <x v="0"/>
    <x v="0"/>
    <x v="0"/>
    <x v="0"/>
    <x v="1"/>
    <s v="DK2_Large"/>
    <x v="1"/>
    <x v="0"/>
    <s v="GNR_ST_MSW_BP_E-27"/>
    <x v="0"/>
    <x v="7"/>
    <n v="19.399999999999999"/>
    <n v="7081"/>
    <n v="25491.599999999999"/>
  </r>
  <r>
    <x v="0"/>
    <x v="0"/>
    <x v="0"/>
    <x v="0"/>
    <x v="1"/>
    <s v="DK2_Large"/>
    <x v="1"/>
    <x v="0"/>
    <s v="GNR_ST_MSW_BP_E-27"/>
    <x v="0"/>
    <x v="8"/>
    <n v="19.399999999999999"/>
    <n v="7081"/>
    <n v="25491.599999999999"/>
  </r>
  <r>
    <x v="0"/>
    <x v="0"/>
    <x v="0"/>
    <x v="0"/>
    <x v="1"/>
    <s v="DK2_Large"/>
    <x v="1"/>
    <x v="0"/>
    <s v="GNR_ST_MSW_BP_E-27"/>
    <x v="0"/>
    <x v="9"/>
    <n v="19.399999999999999"/>
    <n v="7081"/>
    <n v="25491.599999999999"/>
  </r>
  <r>
    <x v="0"/>
    <x v="0"/>
    <x v="0"/>
    <x v="0"/>
    <x v="1"/>
    <s v="DK2_Large"/>
    <x v="1"/>
    <x v="0"/>
    <s v="GNR_ST_MSW_BP_E-27"/>
    <x v="0"/>
    <x v="10"/>
    <n v="19.399999999999999"/>
    <n v="7081"/>
    <n v="25491.599999999999"/>
  </r>
  <r>
    <x v="0"/>
    <x v="0"/>
    <x v="0"/>
    <x v="0"/>
    <x v="1"/>
    <s v="DK2_Large"/>
    <x v="1"/>
    <x v="0"/>
    <s v="GNR_ST_MSW_BP_E-27"/>
    <x v="0"/>
    <x v="11"/>
    <n v="19.399999999999999"/>
    <n v="7081"/>
    <n v="25491.599999999999"/>
  </r>
  <r>
    <x v="0"/>
    <x v="0"/>
    <x v="0"/>
    <x v="0"/>
    <x v="1"/>
    <s v="DK2_Large"/>
    <x v="1"/>
    <x v="0"/>
    <s v="GNR_ST_MSW_BP_E-27"/>
    <x v="0"/>
    <x v="12"/>
    <n v="19.399999999999999"/>
    <n v="7081"/>
    <n v="25491.599999999999"/>
  </r>
  <r>
    <x v="0"/>
    <x v="0"/>
    <x v="0"/>
    <x v="0"/>
    <x v="1"/>
    <s v="DK2_Large"/>
    <x v="1"/>
    <x v="0"/>
    <s v="GNR_ST_MSW_BP_E-27"/>
    <x v="0"/>
    <x v="13"/>
    <n v="19.399999999999999"/>
    <n v="7081"/>
    <n v="25491.599999999999"/>
  </r>
  <r>
    <x v="0"/>
    <x v="0"/>
    <x v="0"/>
    <x v="0"/>
    <x v="1"/>
    <s v="DK2_Large"/>
    <x v="1"/>
    <x v="0"/>
    <s v="GNR_ST_MSW_BP_E-27"/>
    <x v="0"/>
    <x v="14"/>
    <n v="19.399999999999999"/>
    <n v="7081"/>
    <n v="25491.599999999999"/>
  </r>
  <r>
    <x v="0"/>
    <x v="0"/>
    <x v="0"/>
    <x v="0"/>
    <x v="1"/>
    <s v="DK2_Large"/>
    <x v="1"/>
    <x v="0"/>
    <s v="GNR_ST_MSW_BP_E-27"/>
    <x v="0"/>
    <x v="15"/>
    <n v="19.399999999999999"/>
    <n v="7081"/>
    <n v="25491.599999999999"/>
  </r>
  <r>
    <x v="0"/>
    <x v="0"/>
    <x v="0"/>
    <x v="0"/>
    <x v="1"/>
    <s v="DK2_Large"/>
    <x v="1"/>
    <x v="0"/>
    <s v="GNR_ST_MSW_BP_E-27"/>
    <x v="0"/>
    <x v="16"/>
    <n v="19.399999999999999"/>
    <n v="7081"/>
    <n v="25491.599999999999"/>
  </r>
  <r>
    <x v="0"/>
    <x v="0"/>
    <x v="0"/>
    <x v="0"/>
    <x v="1"/>
    <s v="DK2_Large"/>
    <x v="1"/>
    <x v="0"/>
    <s v="GNR_ST_MSW_BP_E-27"/>
    <x v="0"/>
    <x v="17"/>
    <n v="19.399999999999999"/>
    <n v="7081"/>
    <n v="25491.599999999999"/>
  </r>
  <r>
    <x v="0"/>
    <x v="0"/>
    <x v="0"/>
    <x v="0"/>
    <x v="1"/>
    <s v="DK2_Large"/>
    <x v="1"/>
    <x v="0"/>
    <s v="GNR_ST_MSW_BP_E-27"/>
    <x v="0"/>
    <x v="18"/>
    <n v="19.399999999999999"/>
    <n v="7081"/>
    <n v="25491.599999999999"/>
  </r>
  <r>
    <x v="0"/>
    <x v="0"/>
    <x v="0"/>
    <x v="0"/>
    <x v="1"/>
    <s v="DK2_Large"/>
    <x v="1"/>
    <x v="0"/>
    <s v="GNR_ST_MSW_BP_E-27"/>
    <x v="0"/>
    <x v="19"/>
    <n v="19.399999999999999"/>
    <n v="7081"/>
    <n v="25491.599999999999"/>
  </r>
  <r>
    <x v="0"/>
    <x v="0"/>
    <x v="0"/>
    <x v="0"/>
    <x v="1"/>
    <s v="DK2_Large"/>
    <x v="1"/>
    <x v="0"/>
    <s v="GNR_ST_MSW_BP_E-27"/>
    <x v="0"/>
    <x v="20"/>
    <n v="19.399999999999999"/>
    <n v="7081"/>
    <n v="25491.599999999999"/>
  </r>
  <r>
    <x v="0"/>
    <x v="0"/>
    <x v="0"/>
    <x v="0"/>
    <x v="1"/>
    <s v="DK2_Large"/>
    <x v="1"/>
    <x v="0"/>
    <s v="GNR_ST_MSW_BP_E-27"/>
    <x v="0"/>
    <x v="21"/>
    <n v="19.399999999999999"/>
    <n v="7081"/>
    <n v="25491.599999999999"/>
  </r>
  <r>
    <x v="0"/>
    <x v="0"/>
    <x v="0"/>
    <x v="0"/>
    <x v="1"/>
    <s v="DK2_Large"/>
    <x v="1"/>
    <x v="0"/>
    <s v="GNR_ST_MSW_BP_E-27"/>
    <x v="0"/>
    <x v="22"/>
    <n v="19.399999999999999"/>
    <n v="7081"/>
    <n v="25491.599999999999"/>
  </r>
  <r>
    <x v="0"/>
    <x v="0"/>
    <x v="0"/>
    <x v="0"/>
    <x v="1"/>
    <s v="DK2_Large"/>
    <x v="1"/>
    <x v="0"/>
    <s v="GNR_ST_MSW_BP_E-27"/>
    <x v="0"/>
    <x v="23"/>
    <n v="19.399999999999999"/>
    <n v="7081"/>
    <n v="25491.599999999999"/>
  </r>
  <r>
    <x v="0"/>
    <x v="0"/>
    <x v="0"/>
    <x v="0"/>
    <x v="1"/>
    <s v="DK2_Large"/>
    <x v="2"/>
    <x v="0"/>
    <s v="GNR_ENG_NGAS_BP_E-40"/>
    <x v="0"/>
    <x v="0"/>
    <n v="5.5"/>
    <n v="2007.5"/>
    <n v="7227"/>
  </r>
  <r>
    <x v="0"/>
    <x v="0"/>
    <x v="0"/>
    <x v="0"/>
    <x v="1"/>
    <s v="DK2_Large"/>
    <x v="2"/>
    <x v="0"/>
    <s v="GNR_ENG_NGAS_BP_E-40"/>
    <x v="0"/>
    <x v="1"/>
    <n v="5.5"/>
    <n v="2007.5"/>
    <n v="7227"/>
  </r>
  <r>
    <x v="0"/>
    <x v="0"/>
    <x v="0"/>
    <x v="0"/>
    <x v="1"/>
    <s v="DK2_Large"/>
    <x v="2"/>
    <x v="0"/>
    <s v="GNR_ENG_NGAS_BP_E-40"/>
    <x v="0"/>
    <x v="3"/>
    <n v="5.5"/>
    <n v="2007.5"/>
    <n v="7227"/>
  </r>
  <r>
    <x v="0"/>
    <x v="0"/>
    <x v="0"/>
    <x v="0"/>
    <x v="1"/>
    <s v="DK2_Large"/>
    <x v="2"/>
    <x v="0"/>
    <s v="GNR_ENG_NGAS_BP_E-40"/>
    <x v="0"/>
    <x v="4"/>
    <n v="5.5"/>
    <n v="2007.5"/>
    <n v="7227"/>
  </r>
  <r>
    <x v="0"/>
    <x v="0"/>
    <x v="0"/>
    <x v="0"/>
    <x v="1"/>
    <s v="DK2_Large"/>
    <x v="2"/>
    <x v="0"/>
    <s v="GNR_ENG_NGAS_BP_E-40"/>
    <x v="0"/>
    <x v="5"/>
    <n v="5.5"/>
    <n v="2007.5"/>
    <n v="7227"/>
  </r>
  <r>
    <x v="0"/>
    <x v="0"/>
    <x v="0"/>
    <x v="0"/>
    <x v="1"/>
    <s v="DK2_Large"/>
    <x v="2"/>
    <x v="0"/>
    <s v="GNR_ENG_NGAS_BP_E-40"/>
    <x v="0"/>
    <x v="6"/>
    <n v="5.5"/>
    <n v="2007.5"/>
    <n v="7227"/>
  </r>
  <r>
    <x v="0"/>
    <x v="0"/>
    <x v="0"/>
    <x v="0"/>
    <x v="1"/>
    <s v="DK2_Large"/>
    <x v="2"/>
    <x v="0"/>
    <s v="GNR_ENG_NGAS_BP_E-40"/>
    <x v="0"/>
    <x v="7"/>
    <n v="5.5"/>
    <n v="2007.5"/>
    <n v="7227"/>
  </r>
  <r>
    <x v="0"/>
    <x v="0"/>
    <x v="0"/>
    <x v="0"/>
    <x v="1"/>
    <s v="DK2_Large"/>
    <x v="2"/>
    <x v="0"/>
    <s v="GNR_ENG_NGAS_BP_E-40"/>
    <x v="0"/>
    <x v="8"/>
    <n v="5.5"/>
    <n v="2007.5"/>
    <n v="7227"/>
  </r>
  <r>
    <x v="0"/>
    <x v="0"/>
    <x v="0"/>
    <x v="0"/>
    <x v="1"/>
    <s v="DK2_Large"/>
    <x v="2"/>
    <x v="0"/>
    <s v="GNR_ENG_NGAS_BP_E-40"/>
    <x v="0"/>
    <x v="9"/>
    <n v="5.5"/>
    <n v="2007.5"/>
    <n v="7227"/>
  </r>
  <r>
    <x v="0"/>
    <x v="0"/>
    <x v="0"/>
    <x v="0"/>
    <x v="1"/>
    <s v="DK2_Large"/>
    <x v="2"/>
    <x v="0"/>
    <s v="GNR_ENG_NGAS_BP_E-40"/>
    <x v="0"/>
    <x v="10"/>
    <n v="5.5"/>
    <n v="2007.5"/>
    <n v="7227"/>
  </r>
  <r>
    <x v="0"/>
    <x v="0"/>
    <x v="0"/>
    <x v="0"/>
    <x v="1"/>
    <s v="DK2_Large"/>
    <x v="2"/>
    <x v="0"/>
    <s v="GNR_ENG_NGAS_BP_E-40"/>
    <x v="0"/>
    <x v="11"/>
    <n v="5.5"/>
    <n v="2007.5"/>
    <n v="7227"/>
  </r>
  <r>
    <x v="0"/>
    <x v="0"/>
    <x v="0"/>
    <x v="0"/>
    <x v="1"/>
    <s v="DK2_Large"/>
    <x v="2"/>
    <x v="0"/>
    <s v="GNR_ENG_NGAS_BP_E-40"/>
    <x v="0"/>
    <x v="12"/>
    <n v="5.5"/>
    <n v="2007.5"/>
    <n v="7227"/>
  </r>
  <r>
    <x v="0"/>
    <x v="0"/>
    <x v="0"/>
    <x v="0"/>
    <x v="1"/>
    <s v="DK2_Large"/>
    <x v="2"/>
    <x v="0"/>
    <s v="GNR_ENG_NGAS_BP_E-40"/>
    <x v="0"/>
    <x v="13"/>
    <n v="5.5"/>
    <n v="2007.5"/>
    <n v="7227"/>
  </r>
  <r>
    <x v="0"/>
    <x v="0"/>
    <x v="0"/>
    <x v="0"/>
    <x v="1"/>
    <s v="DK2_Large"/>
    <x v="2"/>
    <x v="0"/>
    <s v="GNR_ENG_NGAS_BP_E-40"/>
    <x v="0"/>
    <x v="14"/>
    <n v="5.5"/>
    <n v="2007.5"/>
    <n v="7227"/>
  </r>
  <r>
    <x v="0"/>
    <x v="0"/>
    <x v="0"/>
    <x v="0"/>
    <x v="1"/>
    <s v="DK2_Large"/>
    <x v="2"/>
    <x v="0"/>
    <s v="GNR_ENG_NGAS_BP_E-40"/>
    <x v="0"/>
    <x v="15"/>
    <n v="5.5"/>
    <n v="2007.5"/>
    <n v="7227"/>
  </r>
  <r>
    <x v="0"/>
    <x v="0"/>
    <x v="0"/>
    <x v="0"/>
    <x v="1"/>
    <s v="DK2_Large"/>
    <x v="2"/>
    <x v="0"/>
    <s v="GNR_ENG_NGAS_BP_E-40"/>
    <x v="0"/>
    <x v="16"/>
    <n v="5.5"/>
    <n v="2007.5"/>
    <n v="7227"/>
  </r>
  <r>
    <x v="0"/>
    <x v="0"/>
    <x v="0"/>
    <x v="0"/>
    <x v="1"/>
    <s v="DK2_Large"/>
    <x v="2"/>
    <x v="0"/>
    <s v="GNR_ENG_NGAS_BP_E-40"/>
    <x v="0"/>
    <x v="17"/>
    <n v="5.5"/>
    <n v="2007.5"/>
    <n v="7227"/>
  </r>
  <r>
    <x v="0"/>
    <x v="0"/>
    <x v="0"/>
    <x v="0"/>
    <x v="1"/>
    <s v="DK2_Large"/>
    <x v="2"/>
    <x v="0"/>
    <s v="GNR_ENG_NGAS_BP_E-40"/>
    <x v="0"/>
    <x v="18"/>
    <n v="5.5"/>
    <n v="2007.5"/>
    <n v="7227"/>
  </r>
  <r>
    <x v="0"/>
    <x v="0"/>
    <x v="0"/>
    <x v="0"/>
    <x v="1"/>
    <s v="DK2_Large"/>
    <x v="2"/>
    <x v="0"/>
    <s v="GNR_ST_NGAS_BP_E-39"/>
    <x v="0"/>
    <x v="0"/>
    <n v="82"/>
    <n v="29930"/>
    <n v="107748"/>
  </r>
  <r>
    <x v="0"/>
    <x v="0"/>
    <x v="0"/>
    <x v="0"/>
    <x v="1"/>
    <s v="DK2_Large"/>
    <x v="2"/>
    <x v="0"/>
    <s v="GNR_ST_NGAS_BP_E-39"/>
    <x v="0"/>
    <x v="1"/>
    <n v="82"/>
    <n v="29930"/>
    <n v="107748"/>
  </r>
  <r>
    <x v="0"/>
    <x v="0"/>
    <x v="0"/>
    <x v="0"/>
    <x v="1"/>
    <s v="DK2_Large"/>
    <x v="2"/>
    <x v="0"/>
    <s v="GNR_ST_NGAS_BP_E-39"/>
    <x v="0"/>
    <x v="2"/>
    <n v="82"/>
    <n v="29930"/>
    <n v="107748"/>
  </r>
  <r>
    <x v="0"/>
    <x v="0"/>
    <x v="0"/>
    <x v="0"/>
    <x v="1"/>
    <s v="DK2_Large"/>
    <x v="2"/>
    <x v="0"/>
    <s v="GNR_ST_NGAS_BP_E-39"/>
    <x v="0"/>
    <x v="3"/>
    <n v="82"/>
    <n v="29930"/>
    <n v="107748"/>
  </r>
  <r>
    <x v="0"/>
    <x v="0"/>
    <x v="0"/>
    <x v="0"/>
    <x v="1"/>
    <s v="DK2_Large"/>
    <x v="2"/>
    <x v="0"/>
    <s v="GNR_ST_NGAS_BP_E-39"/>
    <x v="0"/>
    <x v="4"/>
    <n v="82"/>
    <n v="29930"/>
    <n v="107748"/>
  </r>
  <r>
    <x v="0"/>
    <x v="0"/>
    <x v="0"/>
    <x v="0"/>
    <x v="1"/>
    <s v="DK2_Large"/>
    <x v="2"/>
    <x v="0"/>
    <s v="GNR_ST_NGAS_BP_E-39"/>
    <x v="0"/>
    <x v="5"/>
    <n v="82"/>
    <n v="29930"/>
    <n v="107748"/>
  </r>
  <r>
    <x v="0"/>
    <x v="0"/>
    <x v="0"/>
    <x v="0"/>
    <x v="1"/>
    <s v="DK2_Large"/>
    <x v="2"/>
    <x v="0"/>
    <s v="GNR_ST_NGAS_BP_E-39"/>
    <x v="0"/>
    <x v="6"/>
    <n v="82"/>
    <n v="29930"/>
    <n v="107748"/>
  </r>
  <r>
    <x v="0"/>
    <x v="0"/>
    <x v="0"/>
    <x v="0"/>
    <x v="1"/>
    <s v="DK2_Large"/>
    <x v="2"/>
    <x v="0"/>
    <s v="GNR_ST_NGAS_BP_E-39"/>
    <x v="0"/>
    <x v="7"/>
    <n v="82"/>
    <n v="29930"/>
    <n v="107748"/>
  </r>
  <r>
    <x v="0"/>
    <x v="0"/>
    <x v="0"/>
    <x v="0"/>
    <x v="1"/>
    <s v="DK2_Large"/>
    <x v="2"/>
    <x v="0"/>
    <s v="GNR_ST_NGAS_BP_E-39"/>
    <x v="0"/>
    <x v="8"/>
    <n v="82"/>
    <n v="29930"/>
    <n v="107748"/>
  </r>
  <r>
    <x v="0"/>
    <x v="0"/>
    <x v="0"/>
    <x v="0"/>
    <x v="1"/>
    <s v="DK2_Large"/>
    <x v="2"/>
    <x v="0"/>
    <s v="GNR_ST_NGAS_BP_E-39"/>
    <x v="0"/>
    <x v="9"/>
    <n v="82"/>
    <n v="29930"/>
    <n v="107748"/>
  </r>
  <r>
    <x v="0"/>
    <x v="0"/>
    <x v="0"/>
    <x v="0"/>
    <x v="1"/>
    <s v="DK2_Large"/>
    <x v="2"/>
    <x v="0"/>
    <s v="GNR_ST_NGAS_BP_E-39"/>
    <x v="0"/>
    <x v="10"/>
    <n v="82"/>
    <n v="29930"/>
    <n v="107748"/>
  </r>
  <r>
    <x v="0"/>
    <x v="0"/>
    <x v="0"/>
    <x v="0"/>
    <x v="1"/>
    <s v="DK2_Large"/>
    <x v="2"/>
    <x v="0"/>
    <s v="GNR_ST_NGAS_BP_E-39"/>
    <x v="0"/>
    <x v="11"/>
    <n v="82"/>
    <n v="29930"/>
    <n v="107748"/>
  </r>
  <r>
    <x v="0"/>
    <x v="0"/>
    <x v="0"/>
    <x v="0"/>
    <x v="1"/>
    <s v="DK2_Large"/>
    <x v="2"/>
    <x v="0"/>
    <s v="GNR_ST_NGAS_BP_E-39"/>
    <x v="0"/>
    <x v="12"/>
    <n v="82"/>
    <n v="29930"/>
    <n v="107748"/>
  </r>
  <r>
    <x v="0"/>
    <x v="0"/>
    <x v="0"/>
    <x v="0"/>
    <x v="1"/>
    <s v="DK2_Large"/>
    <x v="2"/>
    <x v="0"/>
    <s v="GNR_ST_NGAS_BP_E-39"/>
    <x v="0"/>
    <x v="13"/>
    <n v="82"/>
    <n v="29930"/>
    <n v="107748"/>
  </r>
  <r>
    <x v="0"/>
    <x v="0"/>
    <x v="0"/>
    <x v="0"/>
    <x v="1"/>
    <s v="DK2_Large"/>
    <x v="2"/>
    <x v="0"/>
    <s v="GNR_ST_NGAS_BP_E-39"/>
    <x v="0"/>
    <x v="14"/>
    <n v="82"/>
    <n v="29930"/>
    <n v="107748"/>
  </r>
  <r>
    <x v="0"/>
    <x v="0"/>
    <x v="0"/>
    <x v="0"/>
    <x v="1"/>
    <s v="DK2_Large"/>
    <x v="2"/>
    <x v="0"/>
    <s v="GNR_ST_NGAS_BP_E-39"/>
    <x v="0"/>
    <x v="15"/>
    <n v="82"/>
    <n v="29930"/>
    <n v="107748"/>
  </r>
  <r>
    <x v="0"/>
    <x v="0"/>
    <x v="0"/>
    <x v="0"/>
    <x v="1"/>
    <s v="DK2_Large"/>
    <x v="2"/>
    <x v="0"/>
    <s v="GNR_ST_NGAS_BP_E-39"/>
    <x v="0"/>
    <x v="16"/>
    <n v="82"/>
    <n v="29930"/>
    <n v="107748"/>
  </r>
  <r>
    <x v="0"/>
    <x v="0"/>
    <x v="0"/>
    <x v="0"/>
    <x v="1"/>
    <s v="DK2_Large"/>
    <x v="2"/>
    <x v="0"/>
    <s v="GNR_ST_NGAS_BP_E-39"/>
    <x v="0"/>
    <x v="17"/>
    <n v="82"/>
    <n v="29930"/>
    <n v="107748"/>
  </r>
  <r>
    <x v="0"/>
    <x v="0"/>
    <x v="0"/>
    <x v="0"/>
    <x v="1"/>
    <s v="DK2_Large"/>
    <x v="2"/>
    <x v="0"/>
    <s v="GNR_ST_NGAS_BP_E-39"/>
    <x v="0"/>
    <x v="18"/>
    <n v="82"/>
    <n v="29930"/>
    <n v="107748"/>
  </r>
  <r>
    <x v="0"/>
    <x v="0"/>
    <x v="0"/>
    <x v="0"/>
    <x v="1"/>
    <s v="DK2_Large"/>
    <x v="4"/>
    <x v="0"/>
    <s v="GNR_ST_WOODCHI_BP_E-24"/>
    <x v="0"/>
    <x v="0"/>
    <n v="11"/>
    <n v="4015"/>
    <n v="14454"/>
  </r>
  <r>
    <x v="0"/>
    <x v="0"/>
    <x v="0"/>
    <x v="0"/>
    <x v="1"/>
    <s v="DK2_Large"/>
    <x v="4"/>
    <x v="0"/>
    <s v="GNR_ST_WOODCHI_BP_E-24"/>
    <x v="0"/>
    <x v="1"/>
    <n v="11"/>
    <n v="4015"/>
    <n v="14454"/>
  </r>
  <r>
    <x v="0"/>
    <x v="0"/>
    <x v="0"/>
    <x v="0"/>
    <x v="1"/>
    <s v="DK2_Large"/>
    <x v="4"/>
    <x v="0"/>
    <s v="GNR_ST_WOODCHI_BP_E-24"/>
    <x v="0"/>
    <x v="2"/>
    <n v="11"/>
    <n v="4015"/>
    <n v="14454"/>
  </r>
  <r>
    <x v="0"/>
    <x v="0"/>
    <x v="0"/>
    <x v="0"/>
    <x v="1"/>
    <s v="DK2_Large"/>
    <x v="4"/>
    <x v="0"/>
    <s v="GNR_ST_WOODCHI_BP_E-24"/>
    <x v="0"/>
    <x v="3"/>
    <n v="11"/>
    <n v="4015"/>
    <n v="14454"/>
  </r>
  <r>
    <x v="0"/>
    <x v="0"/>
    <x v="0"/>
    <x v="0"/>
    <x v="1"/>
    <s v="DK2_Large"/>
    <x v="4"/>
    <x v="0"/>
    <s v="GNR_ST_WOODCHI_BP_E-24"/>
    <x v="0"/>
    <x v="4"/>
    <n v="11"/>
    <n v="4015"/>
    <n v="14454"/>
  </r>
  <r>
    <x v="0"/>
    <x v="0"/>
    <x v="0"/>
    <x v="0"/>
    <x v="1"/>
    <s v="DK2_Large"/>
    <x v="4"/>
    <x v="0"/>
    <s v="GNR_ST_WOODCHI_BP_E-24"/>
    <x v="0"/>
    <x v="5"/>
    <n v="11"/>
    <n v="4015"/>
    <n v="14454"/>
  </r>
  <r>
    <x v="0"/>
    <x v="0"/>
    <x v="0"/>
    <x v="0"/>
    <x v="1"/>
    <s v="DK2_Large"/>
    <x v="4"/>
    <x v="0"/>
    <s v="GNR_ST_WOODCHI_BP_E-24"/>
    <x v="0"/>
    <x v="6"/>
    <n v="11"/>
    <n v="4015"/>
    <n v="14454"/>
  </r>
  <r>
    <x v="0"/>
    <x v="0"/>
    <x v="0"/>
    <x v="0"/>
    <x v="1"/>
    <s v="DK2_Large"/>
    <x v="4"/>
    <x v="0"/>
    <s v="GNR_ST_WOODCHI_BP_E-24"/>
    <x v="0"/>
    <x v="7"/>
    <n v="11"/>
    <n v="4015"/>
    <n v="14454"/>
  </r>
  <r>
    <x v="0"/>
    <x v="0"/>
    <x v="0"/>
    <x v="0"/>
    <x v="1"/>
    <s v="DK2_Large"/>
    <x v="4"/>
    <x v="0"/>
    <s v="GNR_ST_WOODCHI_BP_E-24"/>
    <x v="0"/>
    <x v="8"/>
    <n v="11"/>
    <n v="4015"/>
    <n v="14454"/>
  </r>
  <r>
    <x v="0"/>
    <x v="0"/>
    <x v="0"/>
    <x v="0"/>
    <x v="1"/>
    <s v="DK2_Large"/>
    <x v="4"/>
    <x v="0"/>
    <s v="GNR_ST_WOODCHI_BP_E-24"/>
    <x v="0"/>
    <x v="9"/>
    <n v="11"/>
    <n v="4015"/>
    <n v="14454"/>
  </r>
  <r>
    <x v="0"/>
    <x v="0"/>
    <x v="0"/>
    <x v="0"/>
    <x v="1"/>
    <s v="DK2_Large"/>
    <x v="4"/>
    <x v="0"/>
    <s v="GNR_ST_WOODCHI_BP_E-24"/>
    <x v="0"/>
    <x v="10"/>
    <n v="11"/>
    <n v="4015"/>
    <n v="14454"/>
  </r>
  <r>
    <x v="0"/>
    <x v="0"/>
    <x v="0"/>
    <x v="0"/>
    <x v="1"/>
    <s v="DK2_Large"/>
    <x v="4"/>
    <x v="0"/>
    <s v="GNR_ST_WOODCHI_BP_E-24"/>
    <x v="0"/>
    <x v="11"/>
    <n v="11"/>
    <n v="4015"/>
    <n v="14454"/>
  </r>
  <r>
    <x v="0"/>
    <x v="0"/>
    <x v="0"/>
    <x v="0"/>
    <x v="1"/>
    <s v="DK2_Large"/>
    <x v="4"/>
    <x v="0"/>
    <s v="GNR_ST_WOODCHI_BP_E-24"/>
    <x v="0"/>
    <x v="12"/>
    <n v="11"/>
    <n v="4015"/>
    <n v="14454"/>
  </r>
  <r>
    <x v="0"/>
    <x v="0"/>
    <x v="0"/>
    <x v="0"/>
    <x v="1"/>
    <s v="DK2_Large"/>
    <x v="4"/>
    <x v="0"/>
    <s v="GNR_ST_WOODCHI_BP_E-24"/>
    <x v="0"/>
    <x v="13"/>
    <n v="11"/>
    <n v="4015"/>
    <n v="14454"/>
  </r>
  <r>
    <x v="0"/>
    <x v="0"/>
    <x v="0"/>
    <x v="0"/>
    <x v="1"/>
    <s v="DK2_Large"/>
    <x v="4"/>
    <x v="0"/>
    <s v="GNR_ST_WOODCHI_BP_E-24"/>
    <x v="0"/>
    <x v="14"/>
    <n v="11"/>
    <n v="4015"/>
    <n v="14454"/>
  </r>
  <r>
    <x v="0"/>
    <x v="0"/>
    <x v="0"/>
    <x v="0"/>
    <x v="1"/>
    <s v="DK2_Large"/>
    <x v="4"/>
    <x v="0"/>
    <s v="GNR_ST_WOODCHI_BP_E-24"/>
    <x v="0"/>
    <x v="15"/>
    <n v="11"/>
    <n v="4015"/>
    <n v="14454"/>
  </r>
  <r>
    <x v="0"/>
    <x v="0"/>
    <x v="0"/>
    <x v="0"/>
    <x v="1"/>
    <s v="DK2_Large"/>
    <x v="4"/>
    <x v="0"/>
    <s v="GNR_ST_WOODCHI_BP_E-24"/>
    <x v="0"/>
    <x v="16"/>
    <n v="11"/>
    <n v="4015"/>
    <n v="14454"/>
  </r>
  <r>
    <x v="0"/>
    <x v="0"/>
    <x v="0"/>
    <x v="0"/>
    <x v="1"/>
    <s v="DK2_Large"/>
    <x v="4"/>
    <x v="0"/>
    <s v="GNR_ST_WOODCHI_BP_E-24"/>
    <x v="0"/>
    <x v="17"/>
    <n v="11"/>
    <n v="4015"/>
    <n v="14454"/>
  </r>
  <r>
    <x v="0"/>
    <x v="0"/>
    <x v="0"/>
    <x v="0"/>
    <x v="1"/>
    <s v="DK2_Large"/>
    <x v="4"/>
    <x v="0"/>
    <s v="GNR_ST_WOODCHI_BP_E-24"/>
    <x v="0"/>
    <x v="18"/>
    <n v="11"/>
    <n v="4015"/>
    <n v="14454"/>
  </r>
  <r>
    <x v="0"/>
    <x v="0"/>
    <x v="0"/>
    <x v="0"/>
    <x v="1"/>
    <s v="DK2_Large"/>
    <x v="4"/>
    <x v="0"/>
    <s v="GNR_ST_WOODCHI_BP_E-24"/>
    <x v="0"/>
    <x v="19"/>
    <n v="11"/>
    <n v="4015"/>
    <n v="14454"/>
  </r>
  <r>
    <x v="0"/>
    <x v="0"/>
    <x v="0"/>
    <x v="0"/>
    <x v="1"/>
    <s v="DK2_Large"/>
    <x v="4"/>
    <x v="0"/>
    <s v="GNR_ST_WOODCHI_BP_E-24"/>
    <x v="0"/>
    <x v="20"/>
    <n v="11"/>
    <n v="4015"/>
    <n v="14454"/>
  </r>
  <r>
    <x v="0"/>
    <x v="0"/>
    <x v="0"/>
    <x v="0"/>
    <x v="1"/>
    <s v="DK2_Large"/>
    <x v="4"/>
    <x v="0"/>
    <s v="GNR_ST_WOODCHI_BP_E-24"/>
    <x v="0"/>
    <x v="21"/>
    <n v="11"/>
    <n v="4015"/>
    <n v="14454"/>
  </r>
  <r>
    <x v="0"/>
    <x v="0"/>
    <x v="0"/>
    <x v="0"/>
    <x v="1"/>
    <s v="DK2_Large"/>
    <x v="4"/>
    <x v="0"/>
    <s v="GNR_ST_WOODCHI_BP_E-24"/>
    <x v="0"/>
    <x v="22"/>
    <n v="11"/>
    <n v="4015"/>
    <n v="14454"/>
  </r>
  <r>
    <x v="0"/>
    <x v="0"/>
    <x v="0"/>
    <x v="0"/>
    <x v="1"/>
    <s v="DK2_Large"/>
    <x v="4"/>
    <x v="0"/>
    <s v="GNR_ST_WOODCHI_BP_E-24"/>
    <x v="0"/>
    <x v="23"/>
    <n v="11"/>
    <n v="4015"/>
    <n v="14454"/>
  </r>
  <r>
    <x v="0"/>
    <x v="0"/>
    <x v="0"/>
    <x v="0"/>
    <x v="1"/>
    <s v="DK2_Large"/>
    <x v="4"/>
    <x v="0"/>
    <s v="GNR_ST_WOODCHI_BP_E-27"/>
    <x v="0"/>
    <x v="0"/>
    <n v="15"/>
    <n v="5475"/>
    <n v="19710"/>
  </r>
  <r>
    <x v="0"/>
    <x v="0"/>
    <x v="0"/>
    <x v="0"/>
    <x v="1"/>
    <s v="DK2_Large"/>
    <x v="4"/>
    <x v="0"/>
    <s v="GNR_ST_WOODCHI_BP_E-27"/>
    <x v="0"/>
    <x v="1"/>
    <n v="15"/>
    <n v="5475"/>
    <n v="19710"/>
  </r>
  <r>
    <x v="0"/>
    <x v="0"/>
    <x v="0"/>
    <x v="0"/>
    <x v="1"/>
    <s v="DK2_Large"/>
    <x v="4"/>
    <x v="0"/>
    <s v="GNR_ST_WOODCHI_BP_E-27"/>
    <x v="0"/>
    <x v="2"/>
    <n v="15"/>
    <n v="5475"/>
    <n v="19710"/>
  </r>
  <r>
    <x v="0"/>
    <x v="0"/>
    <x v="0"/>
    <x v="0"/>
    <x v="1"/>
    <s v="DK2_Large"/>
    <x v="4"/>
    <x v="0"/>
    <s v="GNR_ST_WOODCHI_BP_E-27"/>
    <x v="0"/>
    <x v="3"/>
    <n v="15"/>
    <n v="5475"/>
    <n v="19710"/>
  </r>
  <r>
    <x v="0"/>
    <x v="0"/>
    <x v="0"/>
    <x v="0"/>
    <x v="1"/>
    <s v="DK2_Large"/>
    <x v="4"/>
    <x v="0"/>
    <s v="GNR_ST_WOODCHI_BP_E-27"/>
    <x v="0"/>
    <x v="4"/>
    <n v="15"/>
    <n v="5475"/>
    <n v="19710"/>
  </r>
  <r>
    <x v="0"/>
    <x v="0"/>
    <x v="0"/>
    <x v="0"/>
    <x v="1"/>
    <s v="DK2_Large"/>
    <x v="4"/>
    <x v="0"/>
    <s v="GNR_ST_WOODCHI_BP_E-27"/>
    <x v="0"/>
    <x v="5"/>
    <n v="15"/>
    <n v="5475"/>
    <n v="19710"/>
  </r>
  <r>
    <x v="0"/>
    <x v="0"/>
    <x v="0"/>
    <x v="0"/>
    <x v="1"/>
    <s v="DK2_Large"/>
    <x v="4"/>
    <x v="0"/>
    <s v="GNR_ST_WOODCHI_BP_E-27"/>
    <x v="0"/>
    <x v="6"/>
    <n v="15"/>
    <n v="5475"/>
    <n v="19710"/>
  </r>
  <r>
    <x v="0"/>
    <x v="0"/>
    <x v="0"/>
    <x v="0"/>
    <x v="1"/>
    <s v="DK2_Large"/>
    <x v="4"/>
    <x v="0"/>
    <s v="GNR_ST_WOODCHI_BP_E-27"/>
    <x v="0"/>
    <x v="7"/>
    <n v="15"/>
    <n v="5475"/>
    <n v="19710"/>
  </r>
  <r>
    <x v="0"/>
    <x v="0"/>
    <x v="0"/>
    <x v="0"/>
    <x v="1"/>
    <s v="DK2_Large"/>
    <x v="4"/>
    <x v="0"/>
    <s v="GNR_ST_WOODCHI_BP_E-27"/>
    <x v="0"/>
    <x v="8"/>
    <n v="15"/>
    <n v="5475"/>
    <n v="19710"/>
  </r>
  <r>
    <x v="0"/>
    <x v="0"/>
    <x v="0"/>
    <x v="0"/>
    <x v="1"/>
    <s v="DK2_Large"/>
    <x v="4"/>
    <x v="0"/>
    <s v="GNR_ST_WOODCHI_BP_E-27"/>
    <x v="0"/>
    <x v="9"/>
    <n v="15"/>
    <n v="5475"/>
    <n v="19710"/>
  </r>
  <r>
    <x v="0"/>
    <x v="0"/>
    <x v="0"/>
    <x v="0"/>
    <x v="1"/>
    <s v="DK2_Large"/>
    <x v="4"/>
    <x v="0"/>
    <s v="GNR_ST_WOODCHI_BP_E-27"/>
    <x v="0"/>
    <x v="10"/>
    <n v="15"/>
    <n v="5475"/>
    <n v="19710"/>
  </r>
  <r>
    <x v="0"/>
    <x v="0"/>
    <x v="0"/>
    <x v="0"/>
    <x v="1"/>
    <s v="DK2_Large"/>
    <x v="4"/>
    <x v="0"/>
    <s v="GNR_ST_WOODCHI_BP_E-27"/>
    <x v="0"/>
    <x v="11"/>
    <n v="15"/>
    <n v="5475"/>
    <n v="19710"/>
  </r>
  <r>
    <x v="0"/>
    <x v="0"/>
    <x v="0"/>
    <x v="0"/>
    <x v="1"/>
    <s v="DK2_Large"/>
    <x v="4"/>
    <x v="0"/>
    <s v="GNR_ST_WOODCHI_BP_E-27"/>
    <x v="0"/>
    <x v="12"/>
    <n v="15"/>
    <n v="5475"/>
    <n v="19710"/>
  </r>
  <r>
    <x v="0"/>
    <x v="0"/>
    <x v="0"/>
    <x v="0"/>
    <x v="1"/>
    <s v="DK2_Large"/>
    <x v="4"/>
    <x v="0"/>
    <s v="GNR_ST_WOODCHI_BP_E-27"/>
    <x v="0"/>
    <x v="13"/>
    <n v="15"/>
    <n v="5475"/>
    <n v="19710"/>
  </r>
  <r>
    <x v="0"/>
    <x v="0"/>
    <x v="0"/>
    <x v="0"/>
    <x v="1"/>
    <s v="DK2_Large"/>
    <x v="4"/>
    <x v="0"/>
    <s v="GNR_ST_WOODCHI_BP_E-27"/>
    <x v="0"/>
    <x v="14"/>
    <n v="15"/>
    <n v="5475"/>
    <n v="19710"/>
  </r>
  <r>
    <x v="0"/>
    <x v="0"/>
    <x v="0"/>
    <x v="0"/>
    <x v="1"/>
    <s v="DK2_Large"/>
    <x v="4"/>
    <x v="0"/>
    <s v="GNR_ST_WOODCHI_BP_E-27"/>
    <x v="0"/>
    <x v="15"/>
    <n v="15"/>
    <n v="5475"/>
    <n v="19710"/>
  </r>
  <r>
    <x v="0"/>
    <x v="0"/>
    <x v="0"/>
    <x v="0"/>
    <x v="1"/>
    <s v="DK2_Large"/>
    <x v="4"/>
    <x v="0"/>
    <s v="GNR_ST_WOODCHI_BP_E-27"/>
    <x v="0"/>
    <x v="16"/>
    <n v="15"/>
    <n v="5475"/>
    <n v="19710"/>
  </r>
  <r>
    <x v="0"/>
    <x v="0"/>
    <x v="0"/>
    <x v="0"/>
    <x v="1"/>
    <s v="DK2_Large"/>
    <x v="4"/>
    <x v="0"/>
    <s v="GNR_ST_WOODCHI_BP_E-27"/>
    <x v="0"/>
    <x v="17"/>
    <n v="15"/>
    <n v="5475"/>
    <n v="19710"/>
  </r>
  <r>
    <x v="0"/>
    <x v="0"/>
    <x v="0"/>
    <x v="0"/>
    <x v="1"/>
    <s v="DK2_Large"/>
    <x v="4"/>
    <x v="0"/>
    <s v="GNR_ST_WOODCHI_BP_E-27"/>
    <x v="0"/>
    <x v="18"/>
    <n v="15"/>
    <n v="5475"/>
    <n v="19710"/>
  </r>
  <r>
    <x v="0"/>
    <x v="0"/>
    <x v="0"/>
    <x v="0"/>
    <x v="1"/>
    <s v="DK2_Large"/>
    <x v="4"/>
    <x v="0"/>
    <s v="GNR_ST_WOODCHI_BP_E-27"/>
    <x v="0"/>
    <x v="19"/>
    <n v="15"/>
    <n v="5475"/>
    <n v="19710"/>
  </r>
  <r>
    <x v="0"/>
    <x v="0"/>
    <x v="0"/>
    <x v="0"/>
    <x v="1"/>
    <s v="DK2_Large"/>
    <x v="4"/>
    <x v="0"/>
    <s v="GNR_ST_WOODCHI_BP_E-27"/>
    <x v="0"/>
    <x v="20"/>
    <n v="15"/>
    <n v="5475"/>
    <n v="19710"/>
  </r>
  <r>
    <x v="0"/>
    <x v="0"/>
    <x v="0"/>
    <x v="0"/>
    <x v="1"/>
    <s v="DK2_Large"/>
    <x v="4"/>
    <x v="0"/>
    <s v="GNR_ST_WOODCHI_BP_E-27"/>
    <x v="0"/>
    <x v="21"/>
    <n v="15"/>
    <n v="5475"/>
    <n v="19710"/>
  </r>
  <r>
    <x v="0"/>
    <x v="0"/>
    <x v="0"/>
    <x v="0"/>
    <x v="1"/>
    <s v="DK2_Large"/>
    <x v="4"/>
    <x v="0"/>
    <s v="GNR_ST_WOODCHI_BP_E-27"/>
    <x v="0"/>
    <x v="22"/>
    <n v="15"/>
    <n v="5475"/>
    <n v="19710"/>
  </r>
  <r>
    <x v="0"/>
    <x v="0"/>
    <x v="0"/>
    <x v="0"/>
    <x v="1"/>
    <s v="DK2_Large"/>
    <x v="4"/>
    <x v="0"/>
    <s v="GNR_ST_WOODCHI_BP_E-27"/>
    <x v="0"/>
    <x v="23"/>
    <n v="15"/>
    <n v="5475"/>
    <n v="19710"/>
  </r>
  <r>
    <x v="0"/>
    <x v="0"/>
    <x v="0"/>
    <x v="0"/>
    <x v="1"/>
    <s v="DK2_Large"/>
    <x v="8"/>
    <x v="0"/>
    <s v="GNR_ST_WOODPEL_BP_E-18"/>
    <x v="0"/>
    <x v="0"/>
    <n v="64"/>
    <n v="23360"/>
    <n v="84096"/>
  </r>
  <r>
    <x v="0"/>
    <x v="0"/>
    <x v="0"/>
    <x v="0"/>
    <x v="1"/>
    <s v="DK2_Large"/>
    <x v="8"/>
    <x v="0"/>
    <s v="GNR_ST_WOODPEL_BP_E-18"/>
    <x v="0"/>
    <x v="1"/>
    <n v="64"/>
    <n v="23360"/>
    <n v="84096"/>
  </r>
  <r>
    <x v="0"/>
    <x v="0"/>
    <x v="0"/>
    <x v="0"/>
    <x v="1"/>
    <s v="DK2_Large"/>
    <x v="8"/>
    <x v="0"/>
    <s v="GNR_ST_WOODPEL_BP_E-18"/>
    <x v="0"/>
    <x v="2"/>
    <n v="64"/>
    <n v="23360"/>
    <n v="84096"/>
  </r>
  <r>
    <x v="0"/>
    <x v="0"/>
    <x v="0"/>
    <x v="0"/>
    <x v="1"/>
    <s v="DK2_Large"/>
    <x v="8"/>
    <x v="0"/>
    <s v="GNR_ST_WOODPEL_BP_E-18"/>
    <x v="0"/>
    <x v="3"/>
    <n v="64"/>
    <n v="23360"/>
    <n v="84096"/>
  </r>
  <r>
    <x v="0"/>
    <x v="0"/>
    <x v="0"/>
    <x v="0"/>
    <x v="1"/>
    <s v="DK2_Large"/>
    <x v="8"/>
    <x v="0"/>
    <s v="GNR_ST_WOODPEL_BP_E-18"/>
    <x v="0"/>
    <x v="4"/>
    <n v="64"/>
    <n v="23360"/>
    <n v="84096"/>
  </r>
  <r>
    <x v="0"/>
    <x v="0"/>
    <x v="0"/>
    <x v="0"/>
    <x v="1"/>
    <s v="DK2_Large"/>
    <x v="8"/>
    <x v="0"/>
    <s v="GNR_ST_WOODPEL_BP_E-18"/>
    <x v="0"/>
    <x v="5"/>
    <n v="64"/>
    <n v="23360"/>
    <n v="84096"/>
  </r>
  <r>
    <x v="0"/>
    <x v="0"/>
    <x v="0"/>
    <x v="0"/>
    <x v="1"/>
    <s v="DK2_Large"/>
    <x v="8"/>
    <x v="0"/>
    <s v="GNR_ST_WOODPEL_BP_E-18"/>
    <x v="0"/>
    <x v="6"/>
    <n v="64"/>
    <n v="23360"/>
    <n v="84096"/>
  </r>
  <r>
    <x v="0"/>
    <x v="0"/>
    <x v="0"/>
    <x v="0"/>
    <x v="1"/>
    <s v="DK2_Large"/>
    <x v="8"/>
    <x v="0"/>
    <s v="GNR_ST_WOODPEL_BP_E-18"/>
    <x v="0"/>
    <x v="7"/>
    <n v="64"/>
    <n v="23360"/>
    <n v="84096"/>
  </r>
  <r>
    <x v="0"/>
    <x v="0"/>
    <x v="0"/>
    <x v="0"/>
    <x v="1"/>
    <s v="DK2_Large"/>
    <x v="8"/>
    <x v="0"/>
    <s v="GNR_ST_WOODPEL_BP_E-18"/>
    <x v="0"/>
    <x v="8"/>
    <n v="64"/>
    <n v="23360"/>
    <n v="84096"/>
  </r>
  <r>
    <x v="0"/>
    <x v="0"/>
    <x v="0"/>
    <x v="0"/>
    <x v="1"/>
    <s v="DK2_Large"/>
    <x v="8"/>
    <x v="0"/>
    <s v="GNR_ST_WOODPEL_BP_E-18"/>
    <x v="0"/>
    <x v="9"/>
    <n v="64"/>
    <n v="23360"/>
    <n v="84096"/>
  </r>
  <r>
    <x v="0"/>
    <x v="0"/>
    <x v="0"/>
    <x v="0"/>
    <x v="1"/>
    <s v="DK2_Large"/>
    <x v="8"/>
    <x v="0"/>
    <s v="GNR_ST_WOODPEL_BP_E-18"/>
    <x v="0"/>
    <x v="10"/>
    <n v="64"/>
    <n v="23360"/>
    <n v="84096"/>
  </r>
  <r>
    <x v="0"/>
    <x v="0"/>
    <x v="0"/>
    <x v="0"/>
    <x v="1"/>
    <s v="DK2_Large"/>
    <x v="8"/>
    <x v="0"/>
    <s v="GNR_ST_WOODPEL_BP_E-18"/>
    <x v="0"/>
    <x v="11"/>
    <n v="64"/>
    <n v="23360"/>
    <n v="84096"/>
  </r>
  <r>
    <x v="0"/>
    <x v="0"/>
    <x v="0"/>
    <x v="0"/>
    <x v="1"/>
    <s v="DK2_Large"/>
    <x v="8"/>
    <x v="0"/>
    <s v="GNR_ST_WOODPEL_BP_E-18"/>
    <x v="0"/>
    <x v="12"/>
    <n v="64"/>
    <n v="23360"/>
    <n v="84096"/>
  </r>
  <r>
    <x v="0"/>
    <x v="0"/>
    <x v="0"/>
    <x v="0"/>
    <x v="1"/>
    <s v="DK2_Large"/>
    <x v="8"/>
    <x v="0"/>
    <s v="GNR_ST_WOODPEL_BP_E-18"/>
    <x v="0"/>
    <x v="13"/>
    <n v="64"/>
    <n v="23360"/>
    <n v="84096"/>
  </r>
  <r>
    <x v="0"/>
    <x v="0"/>
    <x v="0"/>
    <x v="0"/>
    <x v="1"/>
    <s v="DK2_Large"/>
    <x v="8"/>
    <x v="0"/>
    <s v="GNR_ST_WOODPEL_BP_E-18"/>
    <x v="0"/>
    <x v="14"/>
    <n v="64"/>
    <n v="23360"/>
    <n v="84096"/>
  </r>
  <r>
    <x v="0"/>
    <x v="0"/>
    <x v="0"/>
    <x v="0"/>
    <x v="1"/>
    <s v="DK2_Large"/>
    <x v="8"/>
    <x v="0"/>
    <s v="GNR_ST_WOODPEL_BP_E-18"/>
    <x v="0"/>
    <x v="15"/>
    <n v="64"/>
    <n v="23360"/>
    <n v="84096"/>
  </r>
  <r>
    <x v="0"/>
    <x v="0"/>
    <x v="0"/>
    <x v="0"/>
    <x v="1"/>
    <s v="DK2_Large"/>
    <x v="8"/>
    <x v="0"/>
    <s v="GNR_ST_WOODPEL_BP_E-18"/>
    <x v="0"/>
    <x v="16"/>
    <n v="64"/>
    <n v="23360"/>
    <n v="84096"/>
  </r>
  <r>
    <x v="0"/>
    <x v="0"/>
    <x v="0"/>
    <x v="0"/>
    <x v="1"/>
    <s v="DK2_Large"/>
    <x v="8"/>
    <x v="0"/>
    <s v="GNR_ST_WOODPEL_BP_E-18"/>
    <x v="0"/>
    <x v="17"/>
    <n v="64"/>
    <n v="23360"/>
    <n v="84096"/>
  </r>
  <r>
    <x v="0"/>
    <x v="0"/>
    <x v="0"/>
    <x v="0"/>
    <x v="1"/>
    <s v="DK2_Large"/>
    <x v="8"/>
    <x v="0"/>
    <s v="GNR_ST_WOODPEL_BP_E-18"/>
    <x v="0"/>
    <x v="18"/>
    <n v="64"/>
    <n v="23360"/>
    <n v="84096"/>
  </r>
  <r>
    <x v="0"/>
    <x v="0"/>
    <x v="0"/>
    <x v="0"/>
    <x v="1"/>
    <s v="DK2_Large"/>
    <x v="8"/>
    <x v="0"/>
    <s v="GNR_ST_WOODPEL_BP_E-18"/>
    <x v="0"/>
    <x v="19"/>
    <n v="64"/>
    <n v="23360"/>
    <n v="84096"/>
  </r>
  <r>
    <x v="0"/>
    <x v="0"/>
    <x v="0"/>
    <x v="0"/>
    <x v="1"/>
    <s v="DK2_Large"/>
    <x v="8"/>
    <x v="0"/>
    <s v="GNR_ST_WOODPEL_BP_E-18"/>
    <x v="0"/>
    <x v="20"/>
    <n v="64"/>
    <n v="23360"/>
    <n v="84096"/>
  </r>
  <r>
    <x v="0"/>
    <x v="0"/>
    <x v="0"/>
    <x v="0"/>
    <x v="1"/>
    <s v="DK2_Large"/>
    <x v="8"/>
    <x v="0"/>
    <s v="GNR_ST_WOODPEL_BP_E-18"/>
    <x v="0"/>
    <x v="21"/>
    <n v="64"/>
    <n v="23360"/>
    <n v="84096"/>
  </r>
  <r>
    <x v="0"/>
    <x v="0"/>
    <x v="0"/>
    <x v="0"/>
    <x v="1"/>
    <s v="DK2_Large"/>
    <x v="8"/>
    <x v="0"/>
    <s v="GNR_ST_WOODPEL_BP_E-18"/>
    <x v="0"/>
    <x v="22"/>
    <n v="64"/>
    <n v="23360"/>
    <n v="84096"/>
  </r>
  <r>
    <x v="0"/>
    <x v="0"/>
    <x v="0"/>
    <x v="0"/>
    <x v="1"/>
    <s v="DK2_Large"/>
    <x v="8"/>
    <x v="0"/>
    <s v="GNR_ST_WOODPEL_BP_E-18"/>
    <x v="0"/>
    <x v="23"/>
    <n v="64"/>
    <n v="23360"/>
    <n v="84096"/>
  </r>
  <r>
    <x v="0"/>
    <x v="0"/>
    <x v="0"/>
    <x v="0"/>
    <x v="1"/>
    <s v="DK2_Large"/>
    <x v="8"/>
    <x v="1"/>
    <s v="GNR_ST_WOODPEL_EXT_E-50"/>
    <x v="0"/>
    <x v="0"/>
    <n v="531.29417299167199"/>
    <n v="193922.37314196001"/>
    <n v="698120.54331105703"/>
  </r>
  <r>
    <x v="0"/>
    <x v="0"/>
    <x v="0"/>
    <x v="0"/>
    <x v="1"/>
    <s v="DK2_Large"/>
    <x v="8"/>
    <x v="1"/>
    <s v="GNR_ST_WOODPEL_EXT_E-50"/>
    <x v="0"/>
    <x v="1"/>
    <n v="473.33333333333297"/>
    <n v="172766.66666666701"/>
    <n v="621960"/>
  </r>
  <r>
    <x v="0"/>
    <x v="0"/>
    <x v="0"/>
    <x v="0"/>
    <x v="1"/>
    <s v="DK2_Large"/>
    <x v="8"/>
    <x v="1"/>
    <s v="GNR_ST_WOODPEL_EXT_E-50"/>
    <x v="0"/>
    <x v="2"/>
    <n v="473.33333333333297"/>
    <n v="172766.66666666701"/>
    <n v="621960"/>
  </r>
  <r>
    <x v="0"/>
    <x v="0"/>
    <x v="0"/>
    <x v="0"/>
    <x v="1"/>
    <s v="DK2_Large"/>
    <x v="8"/>
    <x v="1"/>
    <s v="GNR_ST_WOODPEL_EXT_E-50"/>
    <x v="0"/>
    <x v="3"/>
    <n v="473.33333333333297"/>
    <n v="172766.66666666701"/>
    <n v="621960"/>
  </r>
  <r>
    <x v="0"/>
    <x v="0"/>
    <x v="0"/>
    <x v="0"/>
    <x v="1"/>
    <s v="DK2_Large"/>
    <x v="8"/>
    <x v="1"/>
    <s v="GNR_ST_WOODPEL_EXT_E-50"/>
    <x v="0"/>
    <x v="4"/>
    <n v="487.53295397979002"/>
    <n v="177949.52820262301"/>
    <n v="640618.30152944406"/>
  </r>
  <r>
    <x v="0"/>
    <x v="0"/>
    <x v="0"/>
    <x v="0"/>
    <x v="1"/>
    <s v="DK2_Large"/>
    <x v="8"/>
    <x v="1"/>
    <s v="GNR_ST_WOODPEL_EXT_E-50"/>
    <x v="0"/>
    <x v="5"/>
    <n v="568"/>
    <n v="207320"/>
    <n v="746352"/>
  </r>
  <r>
    <x v="0"/>
    <x v="0"/>
    <x v="0"/>
    <x v="0"/>
    <x v="1"/>
    <s v="DK2_Large"/>
    <x v="8"/>
    <x v="1"/>
    <s v="GNR_ST_WOODPEL_EXT_E-50"/>
    <x v="0"/>
    <x v="6"/>
    <n v="568"/>
    <n v="207320"/>
    <n v="746352"/>
  </r>
  <r>
    <x v="0"/>
    <x v="0"/>
    <x v="0"/>
    <x v="0"/>
    <x v="1"/>
    <s v="DK2_Large"/>
    <x v="8"/>
    <x v="1"/>
    <s v="GNR_ST_WOODPEL_EXT_E-50"/>
    <x v="0"/>
    <x v="7"/>
    <n v="568"/>
    <n v="207320"/>
    <n v="746352"/>
  </r>
  <r>
    <x v="0"/>
    <x v="0"/>
    <x v="0"/>
    <x v="0"/>
    <x v="1"/>
    <s v="DK2_Large"/>
    <x v="8"/>
    <x v="1"/>
    <s v="GNR_ST_WOODPEL_EXT_E-50"/>
    <x v="0"/>
    <x v="8"/>
    <n v="568"/>
    <n v="207320"/>
    <n v="746352"/>
  </r>
  <r>
    <x v="0"/>
    <x v="0"/>
    <x v="0"/>
    <x v="0"/>
    <x v="1"/>
    <s v="DK2_Large"/>
    <x v="8"/>
    <x v="1"/>
    <s v="GNR_ST_WOODPEL_EXT_E-50"/>
    <x v="0"/>
    <x v="9"/>
    <n v="568"/>
    <n v="207320"/>
    <n v="746352"/>
  </r>
  <r>
    <x v="0"/>
    <x v="0"/>
    <x v="0"/>
    <x v="0"/>
    <x v="1"/>
    <s v="DK2_Large"/>
    <x v="8"/>
    <x v="1"/>
    <s v="GNR_ST_WOODPEL_EXT_E-50"/>
    <x v="0"/>
    <x v="10"/>
    <n v="568"/>
    <n v="207320"/>
    <n v="746352"/>
  </r>
  <r>
    <x v="0"/>
    <x v="0"/>
    <x v="0"/>
    <x v="0"/>
    <x v="1"/>
    <s v="DK2_Large"/>
    <x v="8"/>
    <x v="1"/>
    <s v="GNR_ST_WOODPEL_EXT_E-50"/>
    <x v="0"/>
    <x v="11"/>
    <n v="568"/>
    <n v="207320"/>
    <n v="746352"/>
  </r>
  <r>
    <x v="0"/>
    <x v="0"/>
    <x v="0"/>
    <x v="0"/>
    <x v="1"/>
    <s v="DK2_Large"/>
    <x v="8"/>
    <x v="1"/>
    <s v="GNR_ST_WOODPEL_EXT_E-50"/>
    <x v="0"/>
    <x v="12"/>
    <n v="568"/>
    <n v="207320"/>
    <n v="746352"/>
  </r>
  <r>
    <x v="0"/>
    <x v="0"/>
    <x v="0"/>
    <x v="0"/>
    <x v="1"/>
    <s v="DK2_Large"/>
    <x v="8"/>
    <x v="1"/>
    <s v="GNR_ST_WOODPEL_EXT_E-50"/>
    <x v="0"/>
    <x v="13"/>
    <n v="568"/>
    <n v="207320"/>
    <n v="746352"/>
  </r>
  <r>
    <x v="0"/>
    <x v="0"/>
    <x v="0"/>
    <x v="0"/>
    <x v="1"/>
    <s v="DK2_Large"/>
    <x v="8"/>
    <x v="1"/>
    <s v="GNR_ST_WOODPEL_EXT_E-50"/>
    <x v="0"/>
    <x v="14"/>
    <n v="568"/>
    <n v="207320"/>
    <n v="746352"/>
  </r>
  <r>
    <x v="0"/>
    <x v="0"/>
    <x v="0"/>
    <x v="0"/>
    <x v="1"/>
    <s v="DK2_Large"/>
    <x v="8"/>
    <x v="1"/>
    <s v="GNR_ST_WOODPEL_EXT_E-50"/>
    <x v="0"/>
    <x v="15"/>
    <n v="568"/>
    <n v="207320"/>
    <n v="746352"/>
  </r>
  <r>
    <x v="0"/>
    <x v="0"/>
    <x v="0"/>
    <x v="0"/>
    <x v="1"/>
    <s v="DK2_Large"/>
    <x v="8"/>
    <x v="1"/>
    <s v="GNR_ST_WOODPEL_EXT_E-50"/>
    <x v="0"/>
    <x v="16"/>
    <n v="568"/>
    <n v="207320"/>
    <n v="746352"/>
  </r>
  <r>
    <x v="0"/>
    <x v="0"/>
    <x v="0"/>
    <x v="0"/>
    <x v="1"/>
    <s v="DK2_Large"/>
    <x v="8"/>
    <x v="1"/>
    <s v="GNR_ST_WOODPEL_EXT_E-50"/>
    <x v="0"/>
    <x v="17"/>
    <n v="568"/>
    <n v="207320"/>
    <n v="746352"/>
  </r>
  <r>
    <x v="0"/>
    <x v="0"/>
    <x v="0"/>
    <x v="0"/>
    <x v="1"/>
    <s v="DK2_Large"/>
    <x v="8"/>
    <x v="1"/>
    <s v="GNR_ST_WOODPEL_EXT_E-50"/>
    <x v="0"/>
    <x v="18"/>
    <n v="568"/>
    <n v="207320"/>
    <n v="746352"/>
  </r>
  <r>
    <x v="0"/>
    <x v="0"/>
    <x v="0"/>
    <x v="0"/>
    <x v="1"/>
    <s v="DK2_Large"/>
    <x v="8"/>
    <x v="1"/>
    <s v="GNR_ST_WOODPEL_EXT_E-50"/>
    <x v="0"/>
    <x v="19"/>
    <n v="473.33333333333297"/>
    <n v="172766.66666666701"/>
    <n v="621960"/>
  </r>
  <r>
    <x v="0"/>
    <x v="0"/>
    <x v="0"/>
    <x v="0"/>
    <x v="1"/>
    <s v="DK2_Large"/>
    <x v="8"/>
    <x v="1"/>
    <s v="GNR_ST_WOODPEL_EXT_E-50"/>
    <x v="0"/>
    <x v="20"/>
    <n v="473.33333333333297"/>
    <n v="172766.66666666701"/>
    <n v="621960"/>
  </r>
  <r>
    <x v="0"/>
    <x v="0"/>
    <x v="0"/>
    <x v="0"/>
    <x v="1"/>
    <s v="DK2_Large"/>
    <x v="8"/>
    <x v="1"/>
    <s v="GNR_ST_WOODPEL_EXT_E-50"/>
    <x v="0"/>
    <x v="21"/>
    <n v="473.33333333333297"/>
    <n v="172766.66666666701"/>
    <n v="621960"/>
  </r>
  <r>
    <x v="0"/>
    <x v="0"/>
    <x v="0"/>
    <x v="0"/>
    <x v="1"/>
    <s v="DK2_Large"/>
    <x v="8"/>
    <x v="1"/>
    <s v="GNR_ST_WOODPEL_EXT_E-50"/>
    <x v="0"/>
    <x v="22"/>
    <n v="473.33333333333297"/>
    <n v="172766.66666666701"/>
    <n v="621960"/>
  </r>
  <r>
    <x v="0"/>
    <x v="0"/>
    <x v="0"/>
    <x v="0"/>
    <x v="1"/>
    <s v="DK2_Large"/>
    <x v="8"/>
    <x v="1"/>
    <s v="GNR_ST_WOODPEL_EXT_E-50"/>
    <x v="0"/>
    <x v="23"/>
    <n v="473.33333333333297"/>
    <n v="172766.66666666701"/>
    <n v="621960"/>
  </r>
  <r>
    <x v="0"/>
    <x v="0"/>
    <x v="0"/>
    <x v="0"/>
    <x v="1"/>
    <s v="DK2_MedSmall"/>
    <x v="0"/>
    <x v="0"/>
    <s v="GNR_ENG_BGAS_BP_E-38"/>
    <x v="0"/>
    <x v="0"/>
    <n v="0.25"/>
    <n v="91.25"/>
    <n v="328.5"/>
  </r>
  <r>
    <x v="0"/>
    <x v="0"/>
    <x v="0"/>
    <x v="0"/>
    <x v="1"/>
    <s v="DK2_MedSmall"/>
    <x v="0"/>
    <x v="0"/>
    <s v="GNR_ENG_BGAS_BP_E-38"/>
    <x v="0"/>
    <x v="1"/>
    <n v="0.25"/>
    <n v="91.25"/>
    <n v="328.5"/>
  </r>
  <r>
    <x v="0"/>
    <x v="0"/>
    <x v="0"/>
    <x v="0"/>
    <x v="1"/>
    <s v="DK2_MedSmall"/>
    <x v="0"/>
    <x v="0"/>
    <s v="GNR_ENG_BGAS_BP_E-38"/>
    <x v="0"/>
    <x v="2"/>
    <n v="0.25"/>
    <n v="91.25"/>
    <n v="328.5"/>
  </r>
  <r>
    <x v="0"/>
    <x v="0"/>
    <x v="0"/>
    <x v="0"/>
    <x v="1"/>
    <s v="DK2_MedSmall"/>
    <x v="0"/>
    <x v="0"/>
    <s v="GNR_ENG_BGAS_BP_E-38"/>
    <x v="0"/>
    <x v="3"/>
    <n v="0.25"/>
    <n v="91.25"/>
    <n v="328.5"/>
  </r>
  <r>
    <x v="0"/>
    <x v="0"/>
    <x v="0"/>
    <x v="0"/>
    <x v="1"/>
    <s v="DK2_MedSmall"/>
    <x v="0"/>
    <x v="0"/>
    <s v="GNR_ENG_BGAS_BP_E-38"/>
    <x v="0"/>
    <x v="4"/>
    <n v="0.25"/>
    <n v="91.25"/>
    <n v="328.5"/>
  </r>
  <r>
    <x v="0"/>
    <x v="0"/>
    <x v="0"/>
    <x v="0"/>
    <x v="1"/>
    <s v="DK2_MedSmall"/>
    <x v="0"/>
    <x v="0"/>
    <s v="GNR_ENG_BGAS_BP_E-38"/>
    <x v="0"/>
    <x v="5"/>
    <n v="0.25"/>
    <n v="91.25"/>
    <n v="328.5"/>
  </r>
  <r>
    <x v="0"/>
    <x v="0"/>
    <x v="0"/>
    <x v="0"/>
    <x v="1"/>
    <s v="DK2_MedSmall"/>
    <x v="0"/>
    <x v="0"/>
    <s v="GNR_ENG_BGAS_BP_E-38"/>
    <x v="0"/>
    <x v="6"/>
    <n v="0.25"/>
    <n v="91.25"/>
    <n v="328.5"/>
  </r>
  <r>
    <x v="0"/>
    <x v="0"/>
    <x v="0"/>
    <x v="0"/>
    <x v="1"/>
    <s v="DK2_MedSmall"/>
    <x v="0"/>
    <x v="0"/>
    <s v="GNR_ENG_BGAS_BP_E-38"/>
    <x v="0"/>
    <x v="7"/>
    <n v="0.25"/>
    <n v="91.25"/>
    <n v="328.5"/>
  </r>
  <r>
    <x v="0"/>
    <x v="0"/>
    <x v="0"/>
    <x v="0"/>
    <x v="1"/>
    <s v="DK2_MedSmall"/>
    <x v="0"/>
    <x v="0"/>
    <s v="GNR_ENG_BGAS_BP_E-38"/>
    <x v="0"/>
    <x v="8"/>
    <n v="0.25"/>
    <n v="91.25"/>
    <n v="328.5"/>
  </r>
  <r>
    <x v="0"/>
    <x v="0"/>
    <x v="0"/>
    <x v="0"/>
    <x v="1"/>
    <s v="DK2_MedSmall"/>
    <x v="0"/>
    <x v="0"/>
    <s v="GNR_ENG_BGAS_BP_E-38"/>
    <x v="0"/>
    <x v="9"/>
    <n v="0.25"/>
    <n v="91.25"/>
    <n v="328.5"/>
  </r>
  <r>
    <x v="0"/>
    <x v="0"/>
    <x v="0"/>
    <x v="0"/>
    <x v="1"/>
    <s v="DK2_MedSmall"/>
    <x v="0"/>
    <x v="0"/>
    <s v="GNR_ENG_BGAS_BP_E-38"/>
    <x v="0"/>
    <x v="10"/>
    <n v="0.25"/>
    <n v="91.25"/>
    <n v="328.5"/>
  </r>
  <r>
    <x v="0"/>
    <x v="0"/>
    <x v="0"/>
    <x v="0"/>
    <x v="1"/>
    <s v="DK2_MedSmall"/>
    <x v="0"/>
    <x v="0"/>
    <s v="GNR_ENG_BGAS_BP_E-38"/>
    <x v="0"/>
    <x v="11"/>
    <n v="0.25"/>
    <n v="91.25"/>
    <n v="328.5"/>
  </r>
  <r>
    <x v="0"/>
    <x v="0"/>
    <x v="0"/>
    <x v="0"/>
    <x v="1"/>
    <s v="DK2_MedSmall"/>
    <x v="0"/>
    <x v="0"/>
    <s v="GNR_ENG_BGAS_BP_E-38"/>
    <x v="0"/>
    <x v="12"/>
    <n v="0.25"/>
    <n v="91.25"/>
    <n v="328.5"/>
  </r>
  <r>
    <x v="0"/>
    <x v="0"/>
    <x v="0"/>
    <x v="0"/>
    <x v="1"/>
    <s v="DK2_MedSmall"/>
    <x v="0"/>
    <x v="0"/>
    <s v="GNR_ENG_BGAS_BP_E-38"/>
    <x v="0"/>
    <x v="13"/>
    <n v="0.25"/>
    <n v="91.25"/>
    <n v="328.5"/>
  </r>
  <r>
    <x v="0"/>
    <x v="0"/>
    <x v="0"/>
    <x v="0"/>
    <x v="1"/>
    <s v="DK2_MedSmall"/>
    <x v="0"/>
    <x v="0"/>
    <s v="GNR_ENG_BGAS_BP_E-38"/>
    <x v="0"/>
    <x v="14"/>
    <n v="0.25"/>
    <n v="91.25"/>
    <n v="328.5"/>
  </r>
  <r>
    <x v="0"/>
    <x v="0"/>
    <x v="0"/>
    <x v="0"/>
    <x v="1"/>
    <s v="DK2_MedSmall"/>
    <x v="0"/>
    <x v="0"/>
    <s v="GNR_ENG_BGAS_BP_E-38"/>
    <x v="0"/>
    <x v="15"/>
    <n v="0.25"/>
    <n v="91.25"/>
    <n v="328.5"/>
  </r>
  <r>
    <x v="0"/>
    <x v="0"/>
    <x v="0"/>
    <x v="0"/>
    <x v="1"/>
    <s v="DK2_MedSmall"/>
    <x v="0"/>
    <x v="0"/>
    <s v="GNR_ENG_BGAS_BP_E-38"/>
    <x v="0"/>
    <x v="16"/>
    <n v="0.25"/>
    <n v="91.25"/>
    <n v="328.5"/>
  </r>
  <r>
    <x v="0"/>
    <x v="0"/>
    <x v="0"/>
    <x v="0"/>
    <x v="1"/>
    <s v="DK2_MedSmall"/>
    <x v="0"/>
    <x v="0"/>
    <s v="GNR_ENG_BGAS_BP_E-38"/>
    <x v="0"/>
    <x v="17"/>
    <n v="0.25"/>
    <n v="91.25"/>
    <n v="328.5"/>
  </r>
  <r>
    <x v="0"/>
    <x v="0"/>
    <x v="0"/>
    <x v="0"/>
    <x v="1"/>
    <s v="DK2_MedSmall"/>
    <x v="0"/>
    <x v="0"/>
    <s v="GNR_ENG_BGAS_BP_E-38"/>
    <x v="0"/>
    <x v="18"/>
    <n v="0.25"/>
    <n v="91.25"/>
    <n v="328.5"/>
  </r>
  <r>
    <x v="0"/>
    <x v="0"/>
    <x v="0"/>
    <x v="0"/>
    <x v="1"/>
    <s v="DK2_MedSmall"/>
    <x v="0"/>
    <x v="0"/>
    <s v="GNR_ENG_BGAS_BP_E-38"/>
    <x v="0"/>
    <x v="19"/>
    <n v="0.25"/>
    <n v="91.25"/>
    <n v="328.5"/>
  </r>
  <r>
    <x v="0"/>
    <x v="0"/>
    <x v="0"/>
    <x v="0"/>
    <x v="1"/>
    <s v="DK2_MedSmall"/>
    <x v="0"/>
    <x v="0"/>
    <s v="GNR_ENG_BGAS_BP_E-38"/>
    <x v="0"/>
    <x v="20"/>
    <n v="0.25"/>
    <n v="91.25"/>
    <n v="328.5"/>
  </r>
  <r>
    <x v="0"/>
    <x v="0"/>
    <x v="0"/>
    <x v="0"/>
    <x v="1"/>
    <s v="DK2_MedSmall"/>
    <x v="0"/>
    <x v="0"/>
    <s v="GNR_ENG_BGAS_BP_E-38"/>
    <x v="0"/>
    <x v="21"/>
    <n v="0.25"/>
    <n v="91.25"/>
    <n v="328.5"/>
  </r>
  <r>
    <x v="0"/>
    <x v="0"/>
    <x v="0"/>
    <x v="0"/>
    <x v="1"/>
    <s v="DK2_MedSmall"/>
    <x v="0"/>
    <x v="0"/>
    <s v="GNR_ENG_BGAS_BP_E-38"/>
    <x v="0"/>
    <x v="22"/>
    <n v="0.25"/>
    <n v="91.25"/>
    <n v="328.5"/>
  </r>
  <r>
    <x v="0"/>
    <x v="0"/>
    <x v="0"/>
    <x v="0"/>
    <x v="1"/>
    <s v="DK2_MedSmall"/>
    <x v="0"/>
    <x v="0"/>
    <s v="GNR_ENG_BGAS_BP_E-38"/>
    <x v="0"/>
    <x v="23"/>
    <n v="0.25"/>
    <n v="91.25"/>
    <n v="328.5"/>
  </r>
  <r>
    <x v="0"/>
    <x v="0"/>
    <x v="0"/>
    <x v="0"/>
    <x v="1"/>
    <s v="DK2_MedSmall"/>
    <x v="1"/>
    <x v="0"/>
    <s v="GNR_ST_MSW_BP_E-21"/>
    <x v="0"/>
    <x v="0"/>
    <n v="6.7"/>
    <n v="2445.5"/>
    <n v="8803.7999999999993"/>
  </r>
  <r>
    <x v="0"/>
    <x v="0"/>
    <x v="0"/>
    <x v="0"/>
    <x v="1"/>
    <s v="DK2_MedSmall"/>
    <x v="1"/>
    <x v="0"/>
    <s v="GNR_ST_MSW_BP_E-21"/>
    <x v="0"/>
    <x v="1"/>
    <n v="6.7"/>
    <n v="2445.5"/>
    <n v="8803.7999999999993"/>
  </r>
  <r>
    <x v="0"/>
    <x v="0"/>
    <x v="0"/>
    <x v="0"/>
    <x v="1"/>
    <s v="DK2_MedSmall"/>
    <x v="1"/>
    <x v="0"/>
    <s v="GNR_ST_MSW_BP_E-21"/>
    <x v="0"/>
    <x v="2"/>
    <n v="6.7"/>
    <n v="2445.5"/>
    <n v="8803.7999999999993"/>
  </r>
  <r>
    <x v="0"/>
    <x v="0"/>
    <x v="0"/>
    <x v="0"/>
    <x v="1"/>
    <s v="DK2_MedSmall"/>
    <x v="1"/>
    <x v="0"/>
    <s v="GNR_ST_MSW_BP_E-21"/>
    <x v="0"/>
    <x v="3"/>
    <n v="6.7"/>
    <n v="2445.5"/>
    <n v="8803.7999999999993"/>
  </r>
  <r>
    <x v="0"/>
    <x v="0"/>
    <x v="0"/>
    <x v="0"/>
    <x v="1"/>
    <s v="DK2_MedSmall"/>
    <x v="1"/>
    <x v="0"/>
    <s v="GNR_ST_MSW_BP_E-21"/>
    <x v="0"/>
    <x v="4"/>
    <n v="6.7"/>
    <n v="2445.5"/>
    <n v="8803.7999999999993"/>
  </r>
  <r>
    <x v="0"/>
    <x v="0"/>
    <x v="0"/>
    <x v="0"/>
    <x v="1"/>
    <s v="DK2_MedSmall"/>
    <x v="1"/>
    <x v="0"/>
    <s v="GNR_ST_MSW_BP_E-21"/>
    <x v="0"/>
    <x v="5"/>
    <n v="6.7"/>
    <n v="2445.5"/>
    <n v="8803.7999999999993"/>
  </r>
  <r>
    <x v="0"/>
    <x v="0"/>
    <x v="0"/>
    <x v="0"/>
    <x v="1"/>
    <s v="DK2_MedSmall"/>
    <x v="1"/>
    <x v="0"/>
    <s v="GNR_ST_MSW_BP_E-21"/>
    <x v="0"/>
    <x v="6"/>
    <n v="6.7"/>
    <n v="2445.5"/>
    <n v="8803.7999999999993"/>
  </r>
  <r>
    <x v="0"/>
    <x v="0"/>
    <x v="0"/>
    <x v="0"/>
    <x v="1"/>
    <s v="DK2_MedSmall"/>
    <x v="1"/>
    <x v="0"/>
    <s v="GNR_ST_MSW_BP_E-21"/>
    <x v="0"/>
    <x v="7"/>
    <n v="6.7"/>
    <n v="2445.5"/>
    <n v="8803.7999999999993"/>
  </r>
  <r>
    <x v="0"/>
    <x v="0"/>
    <x v="0"/>
    <x v="0"/>
    <x v="1"/>
    <s v="DK2_MedSmall"/>
    <x v="1"/>
    <x v="0"/>
    <s v="GNR_ST_MSW_BP_E-21"/>
    <x v="0"/>
    <x v="8"/>
    <n v="6.7"/>
    <n v="2445.5"/>
    <n v="8803.7999999999993"/>
  </r>
  <r>
    <x v="0"/>
    <x v="0"/>
    <x v="0"/>
    <x v="0"/>
    <x v="1"/>
    <s v="DK2_MedSmall"/>
    <x v="1"/>
    <x v="0"/>
    <s v="GNR_ST_MSW_BP_E-21"/>
    <x v="0"/>
    <x v="9"/>
    <n v="6.7"/>
    <n v="2445.5"/>
    <n v="8803.7999999999993"/>
  </r>
  <r>
    <x v="0"/>
    <x v="0"/>
    <x v="0"/>
    <x v="0"/>
    <x v="1"/>
    <s v="DK2_MedSmall"/>
    <x v="1"/>
    <x v="0"/>
    <s v="GNR_ST_MSW_BP_E-21"/>
    <x v="0"/>
    <x v="10"/>
    <n v="6.7"/>
    <n v="2445.5"/>
    <n v="8803.7999999999993"/>
  </r>
  <r>
    <x v="0"/>
    <x v="0"/>
    <x v="0"/>
    <x v="0"/>
    <x v="1"/>
    <s v="DK2_MedSmall"/>
    <x v="1"/>
    <x v="0"/>
    <s v="GNR_ST_MSW_BP_E-21"/>
    <x v="0"/>
    <x v="11"/>
    <n v="6.7"/>
    <n v="2445.5"/>
    <n v="8803.7999999999993"/>
  </r>
  <r>
    <x v="0"/>
    <x v="0"/>
    <x v="0"/>
    <x v="0"/>
    <x v="1"/>
    <s v="DK2_MedSmall"/>
    <x v="1"/>
    <x v="0"/>
    <s v="GNR_ST_MSW_BP_E-21"/>
    <x v="0"/>
    <x v="12"/>
    <n v="6.7"/>
    <n v="2445.5"/>
    <n v="8803.7999999999993"/>
  </r>
  <r>
    <x v="0"/>
    <x v="0"/>
    <x v="0"/>
    <x v="0"/>
    <x v="1"/>
    <s v="DK2_MedSmall"/>
    <x v="1"/>
    <x v="0"/>
    <s v="GNR_ST_MSW_BP_E-21"/>
    <x v="0"/>
    <x v="13"/>
    <n v="6.7"/>
    <n v="2445.5"/>
    <n v="8803.7999999999993"/>
  </r>
  <r>
    <x v="0"/>
    <x v="0"/>
    <x v="0"/>
    <x v="0"/>
    <x v="1"/>
    <s v="DK2_MedSmall"/>
    <x v="1"/>
    <x v="0"/>
    <s v="GNR_ST_MSW_BP_E-21"/>
    <x v="0"/>
    <x v="14"/>
    <n v="6.7"/>
    <n v="2445.5"/>
    <n v="8803.7999999999993"/>
  </r>
  <r>
    <x v="0"/>
    <x v="0"/>
    <x v="0"/>
    <x v="0"/>
    <x v="1"/>
    <s v="DK2_MedSmall"/>
    <x v="1"/>
    <x v="0"/>
    <s v="GNR_ST_MSW_BP_E-21"/>
    <x v="0"/>
    <x v="15"/>
    <n v="6.7"/>
    <n v="2445.5"/>
    <n v="8803.7999999999993"/>
  </r>
  <r>
    <x v="0"/>
    <x v="0"/>
    <x v="0"/>
    <x v="0"/>
    <x v="1"/>
    <s v="DK2_MedSmall"/>
    <x v="1"/>
    <x v="0"/>
    <s v="GNR_ST_MSW_BP_E-21"/>
    <x v="0"/>
    <x v="16"/>
    <n v="6.7"/>
    <n v="2445.5"/>
    <n v="8803.7999999999993"/>
  </r>
  <r>
    <x v="0"/>
    <x v="0"/>
    <x v="0"/>
    <x v="0"/>
    <x v="1"/>
    <s v="DK2_MedSmall"/>
    <x v="1"/>
    <x v="0"/>
    <s v="GNR_ST_MSW_BP_E-21"/>
    <x v="0"/>
    <x v="17"/>
    <n v="6.7"/>
    <n v="2445.5"/>
    <n v="8803.7999999999993"/>
  </r>
  <r>
    <x v="0"/>
    <x v="0"/>
    <x v="0"/>
    <x v="0"/>
    <x v="1"/>
    <s v="DK2_MedSmall"/>
    <x v="1"/>
    <x v="0"/>
    <s v="GNR_ST_MSW_BP_E-21"/>
    <x v="0"/>
    <x v="18"/>
    <n v="6.7"/>
    <n v="2445.5"/>
    <n v="8803.7999999999993"/>
  </r>
  <r>
    <x v="0"/>
    <x v="0"/>
    <x v="0"/>
    <x v="0"/>
    <x v="1"/>
    <s v="DK2_MedSmall"/>
    <x v="1"/>
    <x v="0"/>
    <s v="GNR_ST_MSW_BP_E-21"/>
    <x v="0"/>
    <x v="19"/>
    <n v="6.7"/>
    <n v="2445.5"/>
    <n v="8803.7999999999993"/>
  </r>
  <r>
    <x v="0"/>
    <x v="0"/>
    <x v="0"/>
    <x v="0"/>
    <x v="1"/>
    <s v="DK2_MedSmall"/>
    <x v="1"/>
    <x v="0"/>
    <s v="GNR_ST_MSW_BP_E-21"/>
    <x v="0"/>
    <x v="20"/>
    <n v="6.7"/>
    <n v="2445.5"/>
    <n v="8803.7999999999993"/>
  </r>
  <r>
    <x v="0"/>
    <x v="0"/>
    <x v="0"/>
    <x v="0"/>
    <x v="1"/>
    <s v="DK2_MedSmall"/>
    <x v="1"/>
    <x v="0"/>
    <s v="GNR_ST_MSW_BP_E-21"/>
    <x v="0"/>
    <x v="21"/>
    <n v="6.7"/>
    <n v="2445.5"/>
    <n v="8803.7999999999993"/>
  </r>
  <r>
    <x v="0"/>
    <x v="0"/>
    <x v="0"/>
    <x v="0"/>
    <x v="1"/>
    <s v="DK2_MedSmall"/>
    <x v="1"/>
    <x v="0"/>
    <s v="GNR_ST_MSW_BP_E-21"/>
    <x v="0"/>
    <x v="22"/>
    <n v="6.7"/>
    <n v="2445.5"/>
    <n v="8803.7999999999993"/>
  </r>
  <r>
    <x v="0"/>
    <x v="0"/>
    <x v="0"/>
    <x v="0"/>
    <x v="1"/>
    <s v="DK2_MedSmall"/>
    <x v="1"/>
    <x v="0"/>
    <s v="GNR_ST_MSW_BP_E-21"/>
    <x v="0"/>
    <x v="23"/>
    <n v="6.7"/>
    <n v="2445.5"/>
    <n v="8803.7999999999993"/>
  </r>
  <r>
    <x v="0"/>
    <x v="0"/>
    <x v="0"/>
    <x v="0"/>
    <x v="1"/>
    <s v="DK2_MedSmall"/>
    <x v="1"/>
    <x v="0"/>
    <s v="GNR_ST_MSW_BP_E-25"/>
    <x v="0"/>
    <x v="0"/>
    <n v="10.9"/>
    <n v="3978.5"/>
    <n v="14322.6"/>
  </r>
  <r>
    <x v="0"/>
    <x v="0"/>
    <x v="0"/>
    <x v="0"/>
    <x v="1"/>
    <s v="DK2_MedSmall"/>
    <x v="1"/>
    <x v="0"/>
    <s v="GNR_ST_MSW_BP_E-25"/>
    <x v="0"/>
    <x v="1"/>
    <n v="10.9"/>
    <n v="3978.5"/>
    <n v="14322.6"/>
  </r>
  <r>
    <x v="0"/>
    <x v="0"/>
    <x v="0"/>
    <x v="0"/>
    <x v="1"/>
    <s v="DK2_MedSmall"/>
    <x v="1"/>
    <x v="0"/>
    <s v="GNR_ST_MSW_BP_E-25"/>
    <x v="0"/>
    <x v="2"/>
    <n v="10.9"/>
    <n v="3978.5"/>
    <n v="14322.6"/>
  </r>
  <r>
    <x v="0"/>
    <x v="0"/>
    <x v="0"/>
    <x v="0"/>
    <x v="1"/>
    <s v="DK2_MedSmall"/>
    <x v="1"/>
    <x v="0"/>
    <s v="GNR_ST_MSW_BP_E-25"/>
    <x v="0"/>
    <x v="3"/>
    <n v="10.9"/>
    <n v="3978.5"/>
    <n v="14322.6"/>
  </r>
  <r>
    <x v="0"/>
    <x v="0"/>
    <x v="0"/>
    <x v="0"/>
    <x v="1"/>
    <s v="DK2_MedSmall"/>
    <x v="1"/>
    <x v="0"/>
    <s v="GNR_ST_MSW_BP_E-25"/>
    <x v="0"/>
    <x v="4"/>
    <n v="10.9"/>
    <n v="3978.5"/>
    <n v="14322.6"/>
  </r>
  <r>
    <x v="0"/>
    <x v="0"/>
    <x v="0"/>
    <x v="0"/>
    <x v="1"/>
    <s v="DK2_MedSmall"/>
    <x v="1"/>
    <x v="0"/>
    <s v="GNR_ST_MSW_BP_E-25"/>
    <x v="0"/>
    <x v="5"/>
    <n v="10.9"/>
    <n v="3978.5"/>
    <n v="14322.6"/>
  </r>
  <r>
    <x v="0"/>
    <x v="0"/>
    <x v="0"/>
    <x v="0"/>
    <x v="1"/>
    <s v="DK2_MedSmall"/>
    <x v="1"/>
    <x v="0"/>
    <s v="GNR_ST_MSW_BP_E-25"/>
    <x v="0"/>
    <x v="6"/>
    <n v="10.9"/>
    <n v="3978.5"/>
    <n v="14322.6"/>
  </r>
  <r>
    <x v="0"/>
    <x v="0"/>
    <x v="0"/>
    <x v="0"/>
    <x v="1"/>
    <s v="DK2_MedSmall"/>
    <x v="1"/>
    <x v="0"/>
    <s v="GNR_ST_MSW_BP_E-25"/>
    <x v="0"/>
    <x v="7"/>
    <n v="10.9"/>
    <n v="3978.5"/>
    <n v="14322.6"/>
  </r>
  <r>
    <x v="0"/>
    <x v="0"/>
    <x v="0"/>
    <x v="0"/>
    <x v="1"/>
    <s v="DK2_MedSmall"/>
    <x v="1"/>
    <x v="0"/>
    <s v="GNR_ST_MSW_BP_E-25"/>
    <x v="0"/>
    <x v="8"/>
    <n v="10.9"/>
    <n v="3978.5"/>
    <n v="14322.6"/>
  </r>
  <r>
    <x v="0"/>
    <x v="0"/>
    <x v="0"/>
    <x v="0"/>
    <x v="1"/>
    <s v="DK2_MedSmall"/>
    <x v="1"/>
    <x v="0"/>
    <s v="GNR_ST_MSW_BP_E-25"/>
    <x v="0"/>
    <x v="9"/>
    <n v="10.9"/>
    <n v="3978.5"/>
    <n v="14322.6"/>
  </r>
  <r>
    <x v="0"/>
    <x v="0"/>
    <x v="0"/>
    <x v="0"/>
    <x v="1"/>
    <s v="DK2_MedSmall"/>
    <x v="1"/>
    <x v="0"/>
    <s v="GNR_ST_MSW_BP_E-25"/>
    <x v="0"/>
    <x v="10"/>
    <n v="10.9"/>
    <n v="3978.5"/>
    <n v="14322.6"/>
  </r>
  <r>
    <x v="0"/>
    <x v="0"/>
    <x v="0"/>
    <x v="0"/>
    <x v="1"/>
    <s v="DK2_MedSmall"/>
    <x v="1"/>
    <x v="0"/>
    <s v="GNR_ST_MSW_BP_E-25"/>
    <x v="0"/>
    <x v="11"/>
    <n v="10.9"/>
    <n v="3978.5"/>
    <n v="14322.6"/>
  </r>
  <r>
    <x v="0"/>
    <x v="0"/>
    <x v="0"/>
    <x v="0"/>
    <x v="1"/>
    <s v="DK2_MedSmall"/>
    <x v="1"/>
    <x v="0"/>
    <s v="GNR_ST_MSW_BP_E-25"/>
    <x v="0"/>
    <x v="12"/>
    <n v="10.9"/>
    <n v="3978.5"/>
    <n v="14322.6"/>
  </r>
  <r>
    <x v="0"/>
    <x v="0"/>
    <x v="0"/>
    <x v="0"/>
    <x v="1"/>
    <s v="DK2_MedSmall"/>
    <x v="1"/>
    <x v="0"/>
    <s v="GNR_ST_MSW_BP_E-25"/>
    <x v="0"/>
    <x v="13"/>
    <n v="10.9"/>
    <n v="3978.5"/>
    <n v="14322.6"/>
  </r>
  <r>
    <x v="0"/>
    <x v="0"/>
    <x v="0"/>
    <x v="0"/>
    <x v="1"/>
    <s v="DK2_MedSmall"/>
    <x v="1"/>
    <x v="0"/>
    <s v="GNR_ST_MSW_BP_E-25"/>
    <x v="0"/>
    <x v="14"/>
    <n v="10.9"/>
    <n v="3978.5"/>
    <n v="14322.6"/>
  </r>
  <r>
    <x v="0"/>
    <x v="0"/>
    <x v="0"/>
    <x v="0"/>
    <x v="1"/>
    <s v="DK2_MedSmall"/>
    <x v="1"/>
    <x v="0"/>
    <s v="GNR_ST_MSW_BP_E-25"/>
    <x v="0"/>
    <x v="15"/>
    <n v="10.9"/>
    <n v="3978.5"/>
    <n v="14322.6"/>
  </r>
  <r>
    <x v="0"/>
    <x v="0"/>
    <x v="0"/>
    <x v="0"/>
    <x v="1"/>
    <s v="DK2_MedSmall"/>
    <x v="1"/>
    <x v="0"/>
    <s v="GNR_ST_MSW_BP_E-25"/>
    <x v="0"/>
    <x v="16"/>
    <n v="10.9"/>
    <n v="3978.5"/>
    <n v="14322.6"/>
  </r>
  <r>
    <x v="0"/>
    <x v="0"/>
    <x v="0"/>
    <x v="0"/>
    <x v="1"/>
    <s v="DK2_MedSmall"/>
    <x v="1"/>
    <x v="0"/>
    <s v="GNR_ST_MSW_BP_E-25"/>
    <x v="0"/>
    <x v="17"/>
    <n v="10.9"/>
    <n v="3978.5"/>
    <n v="14322.6"/>
  </r>
  <r>
    <x v="0"/>
    <x v="0"/>
    <x v="0"/>
    <x v="0"/>
    <x v="1"/>
    <s v="DK2_MedSmall"/>
    <x v="1"/>
    <x v="0"/>
    <s v="GNR_ST_MSW_BP_E-25"/>
    <x v="0"/>
    <x v="18"/>
    <n v="10.9"/>
    <n v="3978.5"/>
    <n v="14322.6"/>
  </r>
  <r>
    <x v="0"/>
    <x v="0"/>
    <x v="0"/>
    <x v="0"/>
    <x v="1"/>
    <s v="DK2_MedSmall"/>
    <x v="1"/>
    <x v="0"/>
    <s v="GNR_ST_MSW_BP_E-25"/>
    <x v="0"/>
    <x v="19"/>
    <n v="10.9"/>
    <n v="3978.5"/>
    <n v="14322.6"/>
  </r>
  <r>
    <x v="0"/>
    <x v="0"/>
    <x v="0"/>
    <x v="0"/>
    <x v="1"/>
    <s v="DK2_MedSmall"/>
    <x v="1"/>
    <x v="0"/>
    <s v="GNR_ST_MSW_BP_E-25"/>
    <x v="0"/>
    <x v="20"/>
    <n v="10.9"/>
    <n v="3978.5"/>
    <n v="14322.6"/>
  </r>
  <r>
    <x v="0"/>
    <x v="0"/>
    <x v="0"/>
    <x v="0"/>
    <x v="1"/>
    <s v="DK2_MedSmall"/>
    <x v="1"/>
    <x v="0"/>
    <s v="GNR_ST_MSW_BP_E-25"/>
    <x v="0"/>
    <x v="21"/>
    <n v="10.9"/>
    <n v="3978.5"/>
    <n v="14322.6"/>
  </r>
  <r>
    <x v="0"/>
    <x v="0"/>
    <x v="0"/>
    <x v="0"/>
    <x v="1"/>
    <s v="DK2_MedSmall"/>
    <x v="1"/>
    <x v="0"/>
    <s v="GNR_ST_MSW_BP_E-25"/>
    <x v="0"/>
    <x v="22"/>
    <n v="10.9"/>
    <n v="3978.5"/>
    <n v="14322.6"/>
  </r>
  <r>
    <x v="0"/>
    <x v="0"/>
    <x v="0"/>
    <x v="0"/>
    <x v="1"/>
    <s v="DK2_MedSmall"/>
    <x v="1"/>
    <x v="0"/>
    <s v="GNR_ST_MSW_BP_E-25"/>
    <x v="0"/>
    <x v="23"/>
    <n v="10.9"/>
    <n v="3978.5"/>
    <n v="14322.6"/>
  </r>
  <r>
    <x v="0"/>
    <x v="0"/>
    <x v="0"/>
    <x v="0"/>
    <x v="1"/>
    <s v="DK2_MedSmall"/>
    <x v="1"/>
    <x v="0"/>
    <s v="GNR_ST_MSW_BP_E-28"/>
    <x v="0"/>
    <x v="0"/>
    <n v="12.89"/>
    <n v="4704.8500000000004"/>
    <n v="16937.46"/>
  </r>
  <r>
    <x v="0"/>
    <x v="0"/>
    <x v="0"/>
    <x v="0"/>
    <x v="1"/>
    <s v="DK2_MedSmall"/>
    <x v="1"/>
    <x v="0"/>
    <s v="GNR_ST_MSW_BP_E-28"/>
    <x v="0"/>
    <x v="1"/>
    <n v="12.89"/>
    <n v="4704.8500000000004"/>
    <n v="16937.46"/>
  </r>
  <r>
    <x v="0"/>
    <x v="0"/>
    <x v="0"/>
    <x v="0"/>
    <x v="1"/>
    <s v="DK2_MedSmall"/>
    <x v="1"/>
    <x v="0"/>
    <s v="GNR_ST_MSW_BP_E-28"/>
    <x v="0"/>
    <x v="2"/>
    <n v="12.89"/>
    <n v="4704.8500000000004"/>
    <n v="16937.46"/>
  </r>
  <r>
    <x v="0"/>
    <x v="0"/>
    <x v="0"/>
    <x v="0"/>
    <x v="1"/>
    <s v="DK2_MedSmall"/>
    <x v="1"/>
    <x v="0"/>
    <s v="GNR_ST_MSW_BP_E-28"/>
    <x v="0"/>
    <x v="3"/>
    <n v="12.89"/>
    <n v="4704.8500000000004"/>
    <n v="16937.46"/>
  </r>
  <r>
    <x v="0"/>
    <x v="0"/>
    <x v="0"/>
    <x v="0"/>
    <x v="1"/>
    <s v="DK2_MedSmall"/>
    <x v="1"/>
    <x v="0"/>
    <s v="GNR_ST_MSW_BP_E-28"/>
    <x v="0"/>
    <x v="4"/>
    <n v="12.89"/>
    <n v="4704.8500000000004"/>
    <n v="16937.46"/>
  </r>
  <r>
    <x v="0"/>
    <x v="0"/>
    <x v="0"/>
    <x v="0"/>
    <x v="1"/>
    <s v="DK2_MedSmall"/>
    <x v="1"/>
    <x v="0"/>
    <s v="GNR_ST_MSW_BP_E-28"/>
    <x v="0"/>
    <x v="5"/>
    <n v="12.89"/>
    <n v="4704.8500000000004"/>
    <n v="16937.46"/>
  </r>
  <r>
    <x v="0"/>
    <x v="0"/>
    <x v="0"/>
    <x v="0"/>
    <x v="1"/>
    <s v="DK2_MedSmall"/>
    <x v="1"/>
    <x v="0"/>
    <s v="GNR_ST_MSW_BP_E-28"/>
    <x v="0"/>
    <x v="6"/>
    <n v="12.89"/>
    <n v="4704.8500000000004"/>
    <n v="16937.46"/>
  </r>
  <r>
    <x v="0"/>
    <x v="0"/>
    <x v="0"/>
    <x v="0"/>
    <x v="1"/>
    <s v="DK2_MedSmall"/>
    <x v="1"/>
    <x v="0"/>
    <s v="GNR_ST_MSW_BP_E-28"/>
    <x v="0"/>
    <x v="7"/>
    <n v="12.89"/>
    <n v="4704.8500000000004"/>
    <n v="16937.46"/>
  </r>
  <r>
    <x v="0"/>
    <x v="0"/>
    <x v="0"/>
    <x v="0"/>
    <x v="1"/>
    <s v="DK2_MedSmall"/>
    <x v="1"/>
    <x v="0"/>
    <s v="GNR_ST_MSW_BP_E-28"/>
    <x v="0"/>
    <x v="8"/>
    <n v="12.89"/>
    <n v="4704.8500000000004"/>
    <n v="16937.46"/>
  </r>
  <r>
    <x v="0"/>
    <x v="0"/>
    <x v="0"/>
    <x v="0"/>
    <x v="1"/>
    <s v="DK2_MedSmall"/>
    <x v="1"/>
    <x v="0"/>
    <s v="GNR_ST_MSW_BP_E-28"/>
    <x v="0"/>
    <x v="9"/>
    <n v="12.89"/>
    <n v="4704.8500000000004"/>
    <n v="16937.46"/>
  </r>
  <r>
    <x v="0"/>
    <x v="0"/>
    <x v="0"/>
    <x v="0"/>
    <x v="1"/>
    <s v="DK2_MedSmall"/>
    <x v="1"/>
    <x v="0"/>
    <s v="GNR_ST_MSW_BP_E-28"/>
    <x v="0"/>
    <x v="10"/>
    <n v="12.89"/>
    <n v="4704.8500000000004"/>
    <n v="16937.46"/>
  </r>
  <r>
    <x v="0"/>
    <x v="0"/>
    <x v="0"/>
    <x v="0"/>
    <x v="1"/>
    <s v="DK2_MedSmall"/>
    <x v="1"/>
    <x v="0"/>
    <s v="GNR_ST_MSW_BP_E-28"/>
    <x v="0"/>
    <x v="11"/>
    <n v="12.89"/>
    <n v="4704.8500000000004"/>
    <n v="16937.46"/>
  </r>
  <r>
    <x v="0"/>
    <x v="0"/>
    <x v="0"/>
    <x v="0"/>
    <x v="1"/>
    <s v="DK2_MedSmall"/>
    <x v="1"/>
    <x v="0"/>
    <s v="GNR_ST_MSW_BP_E-28"/>
    <x v="0"/>
    <x v="12"/>
    <n v="12.89"/>
    <n v="4704.8500000000004"/>
    <n v="16937.46"/>
  </r>
  <r>
    <x v="0"/>
    <x v="0"/>
    <x v="0"/>
    <x v="0"/>
    <x v="1"/>
    <s v="DK2_MedSmall"/>
    <x v="1"/>
    <x v="0"/>
    <s v="GNR_ST_MSW_BP_E-28"/>
    <x v="0"/>
    <x v="13"/>
    <n v="12.89"/>
    <n v="4704.8500000000004"/>
    <n v="16937.46"/>
  </r>
  <r>
    <x v="0"/>
    <x v="0"/>
    <x v="0"/>
    <x v="0"/>
    <x v="1"/>
    <s v="DK2_MedSmall"/>
    <x v="1"/>
    <x v="0"/>
    <s v="GNR_ST_MSW_BP_E-28"/>
    <x v="0"/>
    <x v="14"/>
    <n v="12.89"/>
    <n v="4704.8500000000004"/>
    <n v="16937.46"/>
  </r>
  <r>
    <x v="0"/>
    <x v="0"/>
    <x v="0"/>
    <x v="0"/>
    <x v="1"/>
    <s v="DK2_MedSmall"/>
    <x v="1"/>
    <x v="0"/>
    <s v="GNR_ST_MSW_BP_E-28"/>
    <x v="0"/>
    <x v="15"/>
    <n v="12.89"/>
    <n v="4704.8500000000004"/>
    <n v="16937.46"/>
  </r>
  <r>
    <x v="0"/>
    <x v="0"/>
    <x v="0"/>
    <x v="0"/>
    <x v="1"/>
    <s v="DK2_MedSmall"/>
    <x v="1"/>
    <x v="0"/>
    <s v="GNR_ST_MSW_BP_E-28"/>
    <x v="0"/>
    <x v="16"/>
    <n v="12.89"/>
    <n v="4704.8500000000004"/>
    <n v="16937.46"/>
  </r>
  <r>
    <x v="0"/>
    <x v="0"/>
    <x v="0"/>
    <x v="0"/>
    <x v="1"/>
    <s v="DK2_MedSmall"/>
    <x v="1"/>
    <x v="0"/>
    <s v="GNR_ST_MSW_BP_E-28"/>
    <x v="0"/>
    <x v="17"/>
    <n v="12.89"/>
    <n v="4704.8500000000004"/>
    <n v="16937.46"/>
  </r>
  <r>
    <x v="0"/>
    <x v="0"/>
    <x v="0"/>
    <x v="0"/>
    <x v="1"/>
    <s v="DK2_MedSmall"/>
    <x v="1"/>
    <x v="0"/>
    <s v="GNR_ST_MSW_BP_E-28"/>
    <x v="0"/>
    <x v="18"/>
    <n v="12.89"/>
    <n v="4704.8500000000004"/>
    <n v="16937.46"/>
  </r>
  <r>
    <x v="0"/>
    <x v="0"/>
    <x v="0"/>
    <x v="0"/>
    <x v="1"/>
    <s v="DK2_MedSmall"/>
    <x v="1"/>
    <x v="0"/>
    <s v="GNR_ST_MSW_BP_E-28"/>
    <x v="0"/>
    <x v="19"/>
    <n v="12.89"/>
    <n v="4704.8500000000004"/>
    <n v="16937.46"/>
  </r>
  <r>
    <x v="0"/>
    <x v="0"/>
    <x v="0"/>
    <x v="0"/>
    <x v="1"/>
    <s v="DK2_MedSmall"/>
    <x v="1"/>
    <x v="0"/>
    <s v="GNR_ST_MSW_BP_E-28"/>
    <x v="0"/>
    <x v="20"/>
    <n v="12.89"/>
    <n v="4704.8500000000004"/>
    <n v="16937.46"/>
  </r>
  <r>
    <x v="0"/>
    <x v="0"/>
    <x v="0"/>
    <x v="0"/>
    <x v="1"/>
    <s v="DK2_MedSmall"/>
    <x v="1"/>
    <x v="0"/>
    <s v="GNR_ST_MSW_BP_E-28"/>
    <x v="0"/>
    <x v="21"/>
    <n v="12.89"/>
    <n v="4704.8500000000004"/>
    <n v="16937.46"/>
  </r>
  <r>
    <x v="0"/>
    <x v="0"/>
    <x v="0"/>
    <x v="0"/>
    <x v="1"/>
    <s v="DK2_MedSmall"/>
    <x v="1"/>
    <x v="0"/>
    <s v="GNR_ST_MSW_BP_E-28"/>
    <x v="0"/>
    <x v="22"/>
    <n v="12.89"/>
    <n v="4704.8500000000004"/>
    <n v="16937.46"/>
  </r>
  <r>
    <x v="0"/>
    <x v="0"/>
    <x v="0"/>
    <x v="0"/>
    <x v="1"/>
    <s v="DK2_MedSmall"/>
    <x v="1"/>
    <x v="0"/>
    <s v="GNR_ST_MSW_BP_E-28"/>
    <x v="0"/>
    <x v="23"/>
    <n v="12.89"/>
    <n v="4704.8500000000004"/>
    <n v="16937.46"/>
  </r>
  <r>
    <x v="0"/>
    <x v="0"/>
    <x v="0"/>
    <x v="0"/>
    <x v="1"/>
    <s v="DK2_Medium"/>
    <x v="1"/>
    <x v="0"/>
    <s v="GNR_ST_MSW_BP_E-23"/>
    <x v="0"/>
    <x v="0"/>
    <n v="8"/>
    <n v="2920"/>
    <n v="10512"/>
  </r>
  <r>
    <x v="0"/>
    <x v="0"/>
    <x v="0"/>
    <x v="0"/>
    <x v="1"/>
    <s v="DK2_Medium"/>
    <x v="1"/>
    <x v="0"/>
    <s v="GNR_ST_MSW_BP_E-23"/>
    <x v="0"/>
    <x v="1"/>
    <n v="8"/>
    <n v="2920"/>
    <n v="10512"/>
  </r>
  <r>
    <x v="0"/>
    <x v="0"/>
    <x v="0"/>
    <x v="0"/>
    <x v="1"/>
    <s v="DK2_Medium"/>
    <x v="1"/>
    <x v="0"/>
    <s v="GNR_ST_MSW_BP_E-23"/>
    <x v="0"/>
    <x v="2"/>
    <n v="8"/>
    <n v="2920"/>
    <n v="10512"/>
  </r>
  <r>
    <x v="0"/>
    <x v="0"/>
    <x v="0"/>
    <x v="0"/>
    <x v="1"/>
    <s v="DK2_Medium"/>
    <x v="1"/>
    <x v="0"/>
    <s v="GNR_ST_MSW_BP_E-23"/>
    <x v="0"/>
    <x v="3"/>
    <n v="8"/>
    <n v="2920"/>
    <n v="10512"/>
  </r>
  <r>
    <x v="0"/>
    <x v="0"/>
    <x v="0"/>
    <x v="0"/>
    <x v="1"/>
    <s v="DK2_Medium"/>
    <x v="1"/>
    <x v="0"/>
    <s v="GNR_ST_MSW_BP_E-23"/>
    <x v="0"/>
    <x v="4"/>
    <n v="8"/>
    <n v="2920"/>
    <n v="10512"/>
  </r>
  <r>
    <x v="0"/>
    <x v="0"/>
    <x v="0"/>
    <x v="0"/>
    <x v="1"/>
    <s v="DK2_Medium"/>
    <x v="1"/>
    <x v="0"/>
    <s v="GNR_ST_MSW_BP_E-23"/>
    <x v="0"/>
    <x v="5"/>
    <n v="8"/>
    <n v="2920"/>
    <n v="10512"/>
  </r>
  <r>
    <x v="0"/>
    <x v="0"/>
    <x v="0"/>
    <x v="0"/>
    <x v="1"/>
    <s v="DK2_Medium"/>
    <x v="1"/>
    <x v="0"/>
    <s v="GNR_ST_MSW_BP_E-23"/>
    <x v="0"/>
    <x v="6"/>
    <n v="8"/>
    <n v="2920"/>
    <n v="10512"/>
  </r>
  <r>
    <x v="0"/>
    <x v="0"/>
    <x v="0"/>
    <x v="0"/>
    <x v="1"/>
    <s v="DK2_Medium"/>
    <x v="1"/>
    <x v="0"/>
    <s v="GNR_ST_MSW_BP_E-23"/>
    <x v="0"/>
    <x v="7"/>
    <n v="8"/>
    <n v="2920"/>
    <n v="10512"/>
  </r>
  <r>
    <x v="0"/>
    <x v="0"/>
    <x v="0"/>
    <x v="0"/>
    <x v="1"/>
    <s v="DK2_Medium"/>
    <x v="1"/>
    <x v="0"/>
    <s v="GNR_ST_MSW_BP_E-23"/>
    <x v="0"/>
    <x v="8"/>
    <n v="8"/>
    <n v="2920"/>
    <n v="10512"/>
  </r>
  <r>
    <x v="0"/>
    <x v="0"/>
    <x v="0"/>
    <x v="0"/>
    <x v="1"/>
    <s v="DK2_Medium"/>
    <x v="1"/>
    <x v="0"/>
    <s v="GNR_ST_MSW_BP_E-23"/>
    <x v="0"/>
    <x v="9"/>
    <n v="8"/>
    <n v="2920"/>
    <n v="10512"/>
  </r>
  <r>
    <x v="0"/>
    <x v="0"/>
    <x v="0"/>
    <x v="0"/>
    <x v="1"/>
    <s v="DK2_Medium"/>
    <x v="1"/>
    <x v="0"/>
    <s v="GNR_ST_MSW_BP_E-23"/>
    <x v="0"/>
    <x v="10"/>
    <n v="8"/>
    <n v="2920"/>
    <n v="10512"/>
  </r>
  <r>
    <x v="0"/>
    <x v="0"/>
    <x v="0"/>
    <x v="0"/>
    <x v="1"/>
    <s v="DK2_Medium"/>
    <x v="1"/>
    <x v="0"/>
    <s v="GNR_ST_MSW_BP_E-23"/>
    <x v="0"/>
    <x v="11"/>
    <n v="8"/>
    <n v="2920"/>
    <n v="10512"/>
  </r>
  <r>
    <x v="0"/>
    <x v="0"/>
    <x v="0"/>
    <x v="0"/>
    <x v="1"/>
    <s v="DK2_Medium"/>
    <x v="1"/>
    <x v="0"/>
    <s v="GNR_ST_MSW_BP_E-23"/>
    <x v="0"/>
    <x v="12"/>
    <n v="8"/>
    <n v="2920"/>
    <n v="10512"/>
  </r>
  <r>
    <x v="0"/>
    <x v="0"/>
    <x v="0"/>
    <x v="0"/>
    <x v="1"/>
    <s v="DK2_Medium"/>
    <x v="1"/>
    <x v="0"/>
    <s v="GNR_ST_MSW_BP_E-23"/>
    <x v="0"/>
    <x v="13"/>
    <n v="8"/>
    <n v="2920"/>
    <n v="10512"/>
  </r>
  <r>
    <x v="0"/>
    <x v="0"/>
    <x v="0"/>
    <x v="0"/>
    <x v="1"/>
    <s v="DK2_Medium"/>
    <x v="1"/>
    <x v="0"/>
    <s v="GNR_ST_MSW_BP_E-23"/>
    <x v="0"/>
    <x v="14"/>
    <n v="8"/>
    <n v="2920"/>
    <n v="10512"/>
  </r>
  <r>
    <x v="0"/>
    <x v="0"/>
    <x v="0"/>
    <x v="0"/>
    <x v="1"/>
    <s v="DK2_Medium"/>
    <x v="1"/>
    <x v="0"/>
    <s v="GNR_ST_MSW_BP_E-23"/>
    <x v="0"/>
    <x v="15"/>
    <n v="8"/>
    <n v="2920"/>
    <n v="10512"/>
  </r>
  <r>
    <x v="0"/>
    <x v="0"/>
    <x v="0"/>
    <x v="0"/>
    <x v="1"/>
    <s v="DK2_Medium"/>
    <x v="1"/>
    <x v="0"/>
    <s v="GNR_ST_MSW_BP_E-23"/>
    <x v="0"/>
    <x v="16"/>
    <n v="8"/>
    <n v="2920"/>
    <n v="10512"/>
  </r>
  <r>
    <x v="0"/>
    <x v="0"/>
    <x v="0"/>
    <x v="0"/>
    <x v="1"/>
    <s v="DK2_Medium"/>
    <x v="1"/>
    <x v="0"/>
    <s v="GNR_ST_MSW_BP_E-23"/>
    <x v="0"/>
    <x v="17"/>
    <n v="8"/>
    <n v="2920"/>
    <n v="10512"/>
  </r>
  <r>
    <x v="0"/>
    <x v="0"/>
    <x v="0"/>
    <x v="0"/>
    <x v="1"/>
    <s v="DK2_Medium"/>
    <x v="1"/>
    <x v="0"/>
    <s v="GNR_ST_MSW_BP_E-23"/>
    <x v="0"/>
    <x v="18"/>
    <n v="8"/>
    <n v="2920"/>
    <n v="10512"/>
  </r>
  <r>
    <x v="0"/>
    <x v="0"/>
    <x v="0"/>
    <x v="0"/>
    <x v="1"/>
    <s v="DK2_Medium"/>
    <x v="1"/>
    <x v="0"/>
    <s v="GNR_ST_MSW_BP_E-23"/>
    <x v="0"/>
    <x v="19"/>
    <n v="8"/>
    <n v="2920"/>
    <n v="10512"/>
  </r>
  <r>
    <x v="0"/>
    <x v="0"/>
    <x v="0"/>
    <x v="0"/>
    <x v="1"/>
    <s v="DK2_Medium"/>
    <x v="1"/>
    <x v="0"/>
    <s v="GNR_ST_MSW_BP_E-23"/>
    <x v="0"/>
    <x v="20"/>
    <n v="8"/>
    <n v="2920"/>
    <n v="10512"/>
  </r>
  <r>
    <x v="0"/>
    <x v="0"/>
    <x v="0"/>
    <x v="0"/>
    <x v="1"/>
    <s v="DK2_Medium"/>
    <x v="1"/>
    <x v="0"/>
    <s v="GNR_ST_MSW_BP_E-23"/>
    <x v="0"/>
    <x v="21"/>
    <n v="8"/>
    <n v="2920"/>
    <n v="10512"/>
  </r>
  <r>
    <x v="0"/>
    <x v="0"/>
    <x v="0"/>
    <x v="0"/>
    <x v="1"/>
    <s v="DK2_Medium"/>
    <x v="1"/>
    <x v="0"/>
    <s v="GNR_ST_MSW_BP_E-23"/>
    <x v="0"/>
    <x v="22"/>
    <n v="8"/>
    <n v="2920"/>
    <n v="10512"/>
  </r>
  <r>
    <x v="0"/>
    <x v="0"/>
    <x v="0"/>
    <x v="0"/>
    <x v="1"/>
    <s v="DK2_Medium"/>
    <x v="1"/>
    <x v="0"/>
    <s v="GNR_ST_MSW_BP_E-23"/>
    <x v="0"/>
    <x v="23"/>
    <n v="8"/>
    <n v="2920"/>
    <n v="10512"/>
  </r>
  <r>
    <x v="0"/>
    <x v="0"/>
    <x v="0"/>
    <x v="0"/>
    <x v="1"/>
    <s v="DK2_Medium"/>
    <x v="1"/>
    <x v="0"/>
    <s v="GNR_ST_MSW_BP_E-25"/>
    <x v="0"/>
    <x v="0"/>
    <n v="7.4"/>
    <n v="2701"/>
    <n v="9723.6"/>
  </r>
  <r>
    <x v="0"/>
    <x v="0"/>
    <x v="0"/>
    <x v="0"/>
    <x v="1"/>
    <s v="DK2_Medium"/>
    <x v="1"/>
    <x v="0"/>
    <s v="GNR_ST_MSW_BP_E-25"/>
    <x v="0"/>
    <x v="1"/>
    <n v="7.4"/>
    <n v="2701"/>
    <n v="9723.6"/>
  </r>
  <r>
    <x v="0"/>
    <x v="0"/>
    <x v="0"/>
    <x v="0"/>
    <x v="1"/>
    <s v="DK2_Medium"/>
    <x v="1"/>
    <x v="0"/>
    <s v="GNR_ST_MSW_BP_E-25"/>
    <x v="0"/>
    <x v="2"/>
    <n v="7.4"/>
    <n v="2701"/>
    <n v="9723.6"/>
  </r>
  <r>
    <x v="0"/>
    <x v="0"/>
    <x v="0"/>
    <x v="0"/>
    <x v="1"/>
    <s v="DK2_Medium"/>
    <x v="1"/>
    <x v="0"/>
    <s v="GNR_ST_MSW_BP_E-25"/>
    <x v="0"/>
    <x v="3"/>
    <n v="7.4"/>
    <n v="2701"/>
    <n v="9723.6"/>
  </r>
  <r>
    <x v="0"/>
    <x v="0"/>
    <x v="0"/>
    <x v="0"/>
    <x v="1"/>
    <s v="DK2_Medium"/>
    <x v="1"/>
    <x v="0"/>
    <s v="GNR_ST_MSW_BP_E-25"/>
    <x v="0"/>
    <x v="4"/>
    <n v="7.4"/>
    <n v="2701"/>
    <n v="9723.6"/>
  </r>
  <r>
    <x v="0"/>
    <x v="0"/>
    <x v="0"/>
    <x v="0"/>
    <x v="1"/>
    <s v="DK2_Medium"/>
    <x v="1"/>
    <x v="0"/>
    <s v="GNR_ST_MSW_BP_E-25"/>
    <x v="0"/>
    <x v="5"/>
    <n v="7.4"/>
    <n v="2701"/>
    <n v="9723.6"/>
  </r>
  <r>
    <x v="0"/>
    <x v="0"/>
    <x v="0"/>
    <x v="0"/>
    <x v="1"/>
    <s v="DK2_Medium"/>
    <x v="1"/>
    <x v="0"/>
    <s v="GNR_ST_MSW_BP_E-25"/>
    <x v="0"/>
    <x v="6"/>
    <n v="7.4"/>
    <n v="2701"/>
    <n v="9723.6"/>
  </r>
  <r>
    <x v="0"/>
    <x v="0"/>
    <x v="0"/>
    <x v="0"/>
    <x v="1"/>
    <s v="DK2_Medium"/>
    <x v="1"/>
    <x v="0"/>
    <s v="GNR_ST_MSW_BP_E-25"/>
    <x v="0"/>
    <x v="7"/>
    <n v="7.4"/>
    <n v="2701"/>
    <n v="9723.6"/>
  </r>
  <r>
    <x v="0"/>
    <x v="0"/>
    <x v="0"/>
    <x v="0"/>
    <x v="1"/>
    <s v="DK2_Medium"/>
    <x v="1"/>
    <x v="0"/>
    <s v="GNR_ST_MSW_BP_E-25"/>
    <x v="0"/>
    <x v="8"/>
    <n v="7.4"/>
    <n v="2701"/>
    <n v="9723.6"/>
  </r>
  <r>
    <x v="0"/>
    <x v="0"/>
    <x v="0"/>
    <x v="0"/>
    <x v="1"/>
    <s v="DK2_Medium"/>
    <x v="1"/>
    <x v="0"/>
    <s v="GNR_ST_MSW_BP_E-25"/>
    <x v="0"/>
    <x v="9"/>
    <n v="7.4"/>
    <n v="2701"/>
    <n v="9723.6"/>
  </r>
  <r>
    <x v="0"/>
    <x v="0"/>
    <x v="0"/>
    <x v="0"/>
    <x v="1"/>
    <s v="DK2_Medium"/>
    <x v="1"/>
    <x v="0"/>
    <s v="GNR_ST_MSW_BP_E-25"/>
    <x v="0"/>
    <x v="10"/>
    <n v="7.4"/>
    <n v="2701"/>
    <n v="9723.6"/>
  </r>
  <r>
    <x v="0"/>
    <x v="0"/>
    <x v="0"/>
    <x v="0"/>
    <x v="1"/>
    <s v="DK2_Medium"/>
    <x v="1"/>
    <x v="0"/>
    <s v="GNR_ST_MSW_BP_E-25"/>
    <x v="0"/>
    <x v="11"/>
    <n v="7.4"/>
    <n v="2701"/>
    <n v="9723.6"/>
  </r>
  <r>
    <x v="0"/>
    <x v="0"/>
    <x v="0"/>
    <x v="0"/>
    <x v="1"/>
    <s v="DK2_Medium"/>
    <x v="1"/>
    <x v="0"/>
    <s v="GNR_ST_MSW_BP_E-25"/>
    <x v="0"/>
    <x v="12"/>
    <n v="7.4"/>
    <n v="2701"/>
    <n v="9723.6"/>
  </r>
  <r>
    <x v="0"/>
    <x v="0"/>
    <x v="0"/>
    <x v="0"/>
    <x v="1"/>
    <s v="DK2_Medium"/>
    <x v="1"/>
    <x v="0"/>
    <s v="GNR_ST_MSW_BP_E-25"/>
    <x v="0"/>
    <x v="13"/>
    <n v="7.4"/>
    <n v="2701"/>
    <n v="9723.6"/>
  </r>
  <r>
    <x v="0"/>
    <x v="0"/>
    <x v="0"/>
    <x v="0"/>
    <x v="1"/>
    <s v="DK2_Medium"/>
    <x v="1"/>
    <x v="0"/>
    <s v="GNR_ST_MSW_BP_E-25"/>
    <x v="0"/>
    <x v="14"/>
    <n v="7.4"/>
    <n v="2701"/>
    <n v="9723.6"/>
  </r>
  <r>
    <x v="0"/>
    <x v="0"/>
    <x v="0"/>
    <x v="0"/>
    <x v="1"/>
    <s v="DK2_Medium"/>
    <x v="1"/>
    <x v="0"/>
    <s v="GNR_ST_MSW_BP_E-25"/>
    <x v="0"/>
    <x v="15"/>
    <n v="7.4"/>
    <n v="2701"/>
    <n v="9723.6"/>
  </r>
  <r>
    <x v="0"/>
    <x v="0"/>
    <x v="0"/>
    <x v="0"/>
    <x v="1"/>
    <s v="DK2_Medium"/>
    <x v="1"/>
    <x v="0"/>
    <s v="GNR_ST_MSW_BP_E-25"/>
    <x v="0"/>
    <x v="16"/>
    <n v="7.4"/>
    <n v="2701"/>
    <n v="9723.6"/>
  </r>
  <r>
    <x v="0"/>
    <x v="0"/>
    <x v="0"/>
    <x v="0"/>
    <x v="1"/>
    <s v="DK2_Medium"/>
    <x v="1"/>
    <x v="0"/>
    <s v="GNR_ST_MSW_BP_E-25"/>
    <x v="0"/>
    <x v="17"/>
    <n v="7.4"/>
    <n v="2701"/>
    <n v="9723.6"/>
  </r>
  <r>
    <x v="0"/>
    <x v="0"/>
    <x v="0"/>
    <x v="0"/>
    <x v="1"/>
    <s v="DK2_Medium"/>
    <x v="1"/>
    <x v="0"/>
    <s v="GNR_ST_MSW_BP_E-25"/>
    <x v="0"/>
    <x v="18"/>
    <n v="7.4"/>
    <n v="2701"/>
    <n v="9723.6"/>
  </r>
  <r>
    <x v="0"/>
    <x v="0"/>
    <x v="0"/>
    <x v="0"/>
    <x v="1"/>
    <s v="DK2_Medium"/>
    <x v="1"/>
    <x v="0"/>
    <s v="GNR_ST_MSW_BP_E-25"/>
    <x v="0"/>
    <x v="19"/>
    <n v="7.4"/>
    <n v="2701"/>
    <n v="9723.6"/>
  </r>
  <r>
    <x v="0"/>
    <x v="0"/>
    <x v="0"/>
    <x v="0"/>
    <x v="1"/>
    <s v="DK2_Medium"/>
    <x v="1"/>
    <x v="0"/>
    <s v="GNR_ST_MSW_BP_E-25"/>
    <x v="0"/>
    <x v="20"/>
    <n v="7.4"/>
    <n v="2701"/>
    <n v="9723.6"/>
  </r>
  <r>
    <x v="0"/>
    <x v="0"/>
    <x v="0"/>
    <x v="0"/>
    <x v="1"/>
    <s v="DK2_Medium"/>
    <x v="1"/>
    <x v="0"/>
    <s v="GNR_ST_MSW_BP_E-25"/>
    <x v="0"/>
    <x v="21"/>
    <n v="7.4"/>
    <n v="2701"/>
    <n v="9723.6"/>
  </r>
  <r>
    <x v="0"/>
    <x v="0"/>
    <x v="0"/>
    <x v="0"/>
    <x v="1"/>
    <s v="DK2_Medium"/>
    <x v="1"/>
    <x v="0"/>
    <s v="GNR_ST_MSW_BP_E-25"/>
    <x v="0"/>
    <x v="22"/>
    <n v="7.4"/>
    <n v="2701"/>
    <n v="9723.6"/>
  </r>
  <r>
    <x v="0"/>
    <x v="0"/>
    <x v="0"/>
    <x v="0"/>
    <x v="1"/>
    <s v="DK2_Medium"/>
    <x v="1"/>
    <x v="0"/>
    <s v="GNR_ST_MSW_BP_E-25"/>
    <x v="0"/>
    <x v="23"/>
    <n v="7.4"/>
    <n v="2701"/>
    <n v="9723.6"/>
  </r>
  <r>
    <x v="0"/>
    <x v="0"/>
    <x v="0"/>
    <x v="0"/>
    <x v="1"/>
    <s v="DK2_Medium"/>
    <x v="2"/>
    <x v="0"/>
    <s v="GNR_ENG_NGAS_BP_E-42"/>
    <x v="0"/>
    <x v="5"/>
    <n v="2"/>
    <n v="730"/>
    <n v="2628"/>
  </r>
  <r>
    <x v="0"/>
    <x v="0"/>
    <x v="0"/>
    <x v="0"/>
    <x v="1"/>
    <s v="DK2_Medium"/>
    <x v="2"/>
    <x v="0"/>
    <s v="GNR_ENG_NGAS_BP_E-42"/>
    <x v="0"/>
    <x v="6"/>
    <n v="2"/>
    <n v="730"/>
    <n v="2628"/>
  </r>
  <r>
    <x v="0"/>
    <x v="0"/>
    <x v="0"/>
    <x v="0"/>
    <x v="1"/>
    <s v="DK2_Medium"/>
    <x v="2"/>
    <x v="0"/>
    <s v="GNR_ENG_NGAS_BP_E-42"/>
    <x v="0"/>
    <x v="7"/>
    <n v="2"/>
    <n v="730"/>
    <n v="2628"/>
  </r>
  <r>
    <x v="0"/>
    <x v="0"/>
    <x v="0"/>
    <x v="0"/>
    <x v="1"/>
    <s v="DK2_Medium"/>
    <x v="2"/>
    <x v="0"/>
    <s v="GNR_ENG_NGAS_BP_E-42"/>
    <x v="0"/>
    <x v="8"/>
    <n v="2"/>
    <n v="730"/>
    <n v="2628"/>
  </r>
  <r>
    <x v="0"/>
    <x v="0"/>
    <x v="0"/>
    <x v="0"/>
    <x v="1"/>
    <s v="DK2_Medium"/>
    <x v="2"/>
    <x v="0"/>
    <s v="GNR_ENG_NGAS_BP_E-42"/>
    <x v="0"/>
    <x v="9"/>
    <n v="2"/>
    <n v="730"/>
    <n v="2628"/>
  </r>
  <r>
    <x v="0"/>
    <x v="0"/>
    <x v="0"/>
    <x v="0"/>
    <x v="1"/>
    <s v="DK2_Medium"/>
    <x v="2"/>
    <x v="0"/>
    <s v="GNR_ENG_NGAS_BP_E-42"/>
    <x v="0"/>
    <x v="10"/>
    <n v="2"/>
    <n v="730"/>
    <n v="2628"/>
  </r>
  <r>
    <x v="0"/>
    <x v="0"/>
    <x v="0"/>
    <x v="0"/>
    <x v="1"/>
    <s v="DK2_Medium"/>
    <x v="2"/>
    <x v="0"/>
    <s v="GNR_ENG_NGAS_BP_E-42"/>
    <x v="0"/>
    <x v="11"/>
    <n v="2"/>
    <n v="730"/>
    <n v="2628"/>
  </r>
  <r>
    <x v="0"/>
    <x v="0"/>
    <x v="0"/>
    <x v="0"/>
    <x v="1"/>
    <s v="DK2_Medium"/>
    <x v="2"/>
    <x v="0"/>
    <s v="GNR_ENG_NGAS_BP_E-42"/>
    <x v="0"/>
    <x v="12"/>
    <n v="2"/>
    <n v="730"/>
    <n v="2628"/>
  </r>
  <r>
    <x v="0"/>
    <x v="0"/>
    <x v="0"/>
    <x v="0"/>
    <x v="1"/>
    <s v="DK2_Medium"/>
    <x v="2"/>
    <x v="0"/>
    <s v="GNR_ENG_NGAS_BP_E-42"/>
    <x v="0"/>
    <x v="13"/>
    <n v="2"/>
    <n v="730"/>
    <n v="2628"/>
  </r>
  <r>
    <x v="0"/>
    <x v="0"/>
    <x v="0"/>
    <x v="0"/>
    <x v="1"/>
    <s v="DK2_Medium"/>
    <x v="2"/>
    <x v="0"/>
    <s v="GNR_ENG_NGAS_BP_E-42"/>
    <x v="0"/>
    <x v="14"/>
    <n v="2"/>
    <n v="730"/>
    <n v="2628"/>
  </r>
  <r>
    <x v="0"/>
    <x v="0"/>
    <x v="0"/>
    <x v="0"/>
    <x v="1"/>
    <s v="DK2_Medium"/>
    <x v="2"/>
    <x v="0"/>
    <s v="GNR_ENG_NGAS_BP_E-42"/>
    <x v="0"/>
    <x v="15"/>
    <n v="2"/>
    <n v="730"/>
    <n v="2628"/>
  </r>
  <r>
    <x v="0"/>
    <x v="0"/>
    <x v="0"/>
    <x v="0"/>
    <x v="1"/>
    <s v="DK2_Medium"/>
    <x v="2"/>
    <x v="0"/>
    <s v="GNR_ENG_NGAS_BP_E-42"/>
    <x v="0"/>
    <x v="16"/>
    <n v="2"/>
    <n v="730"/>
    <n v="2628"/>
  </r>
  <r>
    <x v="0"/>
    <x v="0"/>
    <x v="0"/>
    <x v="0"/>
    <x v="1"/>
    <s v="DK2_Medium"/>
    <x v="2"/>
    <x v="0"/>
    <s v="GNR_ENG_NGAS_BP_E-42"/>
    <x v="0"/>
    <x v="17"/>
    <n v="2"/>
    <n v="730"/>
    <n v="2628"/>
  </r>
  <r>
    <x v="0"/>
    <x v="0"/>
    <x v="0"/>
    <x v="0"/>
    <x v="1"/>
    <s v="DK2_Medium"/>
    <x v="2"/>
    <x v="0"/>
    <s v="GNR_ENG_NGAS_BP_E-42"/>
    <x v="0"/>
    <x v="18"/>
    <n v="2"/>
    <n v="730"/>
    <n v="2628"/>
  </r>
  <r>
    <x v="0"/>
    <x v="0"/>
    <x v="0"/>
    <x v="0"/>
    <x v="1"/>
    <s v="DK2_Medium"/>
    <x v="2"/>
    <x v="0"/>
    <s v="GNR_GT_NGAS_BP_E-42"/>
    <x v="0"/>
    <x v="8"/>
    <n v="59"/>
    <n v="21535"/>
    <n v="77526"/>
  </r>
  <r>
    <x v="0"/>
    <x v="0"/>
    <x v="0"/>
    <x v="0"/>
    <x v="1"/>
    <s v="DK2_Medium"/>
    <x v="2"/>
    <x v="0"/>
    <s v="GNR_GT_NGAS_BP_E-42"/>
    <x v="0"/>
    <x v="9"/>
    <n v="17.1033315598111"/>
    <n v="6242.7160193310601"/>
    <n v="22473.7776695918"/>
  </r>
  <r>
    <x v="0"/>
    <x v="0"/>
    <x v="0"/>
    <x v="0"/>
    <x v="1"/>
    <s v="DK2_Medium"/>
    <x v="2"/>
    <x v="0"/>
    <s v="GNR_GT_NGAS_BP_E-42"/>
    <x v="0"/>
    <x v="10"/>
    <n v="19.733147413658202"/>
    <n v="7202.5988059852298"/>
    <n v="25929.3557015468"/>
  </r>
  <r>
    <x v="0"/>
    <x v="0"/>
    <x v="0"/>
    <x v="0"/>
    <x v="1"/>
    <s v="DK2_Medium"/>
    <x v="2"/>
    <x v="0"/>
    <s v="GNR_GT_NGAS_BP_E-42"/>
    <x v="0"/>
    <x v="12"/>
    <n v="15.9981223038836"/>
    <n v="5839.3146409175297"/>
    <n v="21021.5327073031"/>
  </r>
  <r>
    <x v="0"/>
    <x v="0"/>
    <x v="0"/>
    <x v="0"/>
    <x v="1"/>
    <s v="DK2_Medium"/>
    <x v="2"/>
    <x v="0"/>
    <s v="GNR_GT_NGAS_BP_E-42"/>
    <x v="0"/>
    <x v="13"/>
    <n v="59"/>
    <n v="21535"/>
    <n v="77526"/>
  </r>
  <r>
    <x v="0"/>
    <x v="0"/>
    <x v="0"/>
    <x v="0"/>
    <x v="1"/>
    <s v="DK2_Medium"/>
    <x v="2"/>
    <x v="0"/>
    <s v="GNR_GT_NGAS_BP_E-42"/>
    <x v="0"/>
    <x v="14"/>
    <n v="59"/>
    <n v="21535"/>
    <n v="77526"/>
  </r>
  <r>
    <x v="0"/>
    <x v="0"/>
    <x v="0"/>
    <x v="0"/>
    <x v="1"/>
    <s v="DK2_Medium"/>
    <x v="2"/>
    <x v="0"/>
    <s v="GNR_GT_NGAS_BP_E-42"/>
    <x v="0"/>
    <x v="15"/>
    <n v="11.300982966191899"/>
    <n v="4124.8587826600397"/>
    <n v="14849.491617576199"/>
  </r>
  <r>
    <x v="0"/>
    <x v="0"/>
    <x v="0"/>
    <x v="0"/>
    <x v="1"/>
    <s v="DK2_Medium"/>
    <x v="2"/>
    <x v="0"/>
    <s v="GNR_GT_NGAS_BP_E-42"/>
    <x v="0"/>
    <x v="16"/>
    <n v="12.9587968500831"/>
    <n v="4729.9608502803403"/>
    <n v="17027.8590610092"/>
  </r>
  <r>
    <x v="0"/>
    <x v="0"/>
    <x v="0"/>
    <x v="0"/>
    <x v="1"/>
    <s v="DK2_Medium"/>
    <x v="2"/>
    <x v="0"/>
    <s v="GNR_GT_NGAS_BP_E-42"/>
    <x v="0"/>
    <x v="17"/>
    <n v="17.9322385017567"/>
    <n v="6545.2670531411904"/>
    <n v="23562.961391308301"/>
  </r>
  <r>
    <x v="0"/>
    <x v="0"/>
    <x v="0"/>
    <x v="0"/>
    <x v="1"/>
    <s v="DK2_Medium"/>
    <x v="2"/>
    <x v="0"/>
    <s v="GNR_GT_NGAS_BP_E-42"/>
    <x v="0"/>
    <x v="18"/>
    <n v="19.590052385647901"/>
    <n v="7150.3691207614902"/>
    <n v="25741.328834741402"/>
  </r>
  <r>
    <x v="0"/>
    <x v="0"/>
    <x v="0"/>
    <x v="0"/>
    <x v="1"/>
    <s v="DK2_Medium"/>
    <x v="2"/>
    <x v="0"/>
    <s v="GNR_GT_NGAS_BP_E-44"/>
    <x v="0"/>
    <x v="0"/>
    <n v="77"/>
    <n v="28105"/>
    <n v="101178"/>
  </r>
  <r>
    <x v="0"/>
    <x v="0"/>
    <x v="0"/>
    <x v="0"/>
    <x v="1"/>
    <s v="DK2_Medium"/>
    <x v="2"/>
    <x v="0"/>
    <s v="GNR_GT_NGAS_BP_E-44"/>
    <x v="0"/>
    <x v="1"/>
    <n v="77"/>
    <n v="28105"/>
    <n v="101178"/>
  </r>
  <r>
    <x v="0"/>
    <x v="0"/>
    <x v="0"/>
    <x v="0"/>
    <x v="1"/>
    <s v="DK2_Medium"/>
    <x v="2"/>
    <x v="0"/>
    <s v="GNR_GT_NGAS_BP_E-44"/>
    <x v="0"/>
    <x v="2"/>
    <n v="77"/>
    <n v="28105"/>
    <n v="101178"/>
  </r>
  <r>
    <x v="0"/>
    <x v="0"/>
    <x v="0"/>
    <x v="0"/>
    <x v="1"/>
    <s v="DK2_Medium"/>
    <x v="2"/>
    <x v="0"/>
    <s v="GNR_GT_NGAS_BP_E-44"/>
    <x v="0"/>
    <x v="3"/>
    <n v="77"/>
    <n v="28105"/>
    <n v="101178"/>
  </r>
  <r>
    <x v="0"/>
    <x v="0"/>
    <x v="0"/>
    <x v="0"/>
    <x v="1"/>
    <s v="DK2_Medium"/>
    <x v="2"/>
    <x v="0"/>
    <s v="GNR_GT_NGAS_BP_E-44"/>
    <x v="0"/>
    <x v="4"/>
    <n v="77"/>
    <n v="28105"/>
    <n v="101178"/>
  </r>
  <r>
    <x v="0"/>
    <x v="0"/>
    <x v="0"/>
    <x v="0"/>
    <x v="1"/>
    <s v="DK2_Medium"/>
    <x v="2"/>
    <x v="0"/>
    <s v="GNR_GT_NGAS_BP_E-44"/>
    <x v="0"/>
    <x v="5"/>
    <n v="77"/>
    <n v="28105"/>
    <n v="101178"/>
  </r>
  <r>
    <x v="0"/>
    <x v="0"/>
    <x v="0"/>
    <x v="0"/>
    <x v="1"/>
    <s v="DK2_Medium"/>
    <x v="2"/>
    <x v="0"/>
    <s v="GNR_GT_NGAS_BP_E-44"/>
    <x v="0"/>
    <x v="6"/>
    <n v="77"/>
    <n v="28105"/>
    <n v="101178"/>
  </r>
  <r>
    <x v="0"/>
    <x v="0"/>
    <x v="0"/>
    <x v="0"/>
    <x v="1"/>
    <s v="DK2_Medium"/>
    <x v="2"/>
    <x v="0"/>
    <s v="GNR_GT_NGAS_BP_E-44"/>
    <x v="0"/>
    <x v="7"/>
    <n v="77"/>
    <n v="28105"/>
    <n v="101178"/>
  </r>
  <r>
    <x v="0"/>
    <x v="0"/>
    <x v="0"/>
    <x v="0"/>
    <x v="1"/>
    <s v="DK2_Medium"/>
    <x v="2"/>
    <x v="0"/>
    <s v="GNR_GT_NGAS_BP_E-44"/>
    <x v="0"/>
    <x v="8"/>
    <n v="77"/>
    <n v="28105"/>
    <n v="101178"/>
  </r>
  <r>
    <x v="0"/>
    <x v="0"/>
    <x v="0"/>
    <x v="0"/>
    <x v="1"/>
    <s v="DK2_Medium"/>
    <x v="2"/>
    <x v="0"/>
    <s v="GNR_GT_NGAS_BP_E-44"/>
    <x v="0"/>
    <x v="9"/>
    <n v="77"/>
    <n v="28105"/>
    <n v="101178"/>
  </r>
  <r>
    <x v="0"/>
    <x v="0"/>
    <x v="0"/>
    <x v="0"/>
    <x v="1"/>
    <s v="DK2_Medium"/>
    <x v="2"/>
    <x v="0"/>
    <s v="GNR_GT_NGAS_BP_E-44"/>
    <x v="0"/>
    <x v="10"/>
    <n v="77"/>
    <n v="28105"/>
    <n v="101178"/>
  </r>
  <r>
    <x v="0"/>
    <x v="0"/>
    <x v="0"/>
    <x v="0"/>
    <x v="1"/>
    <s v="DK2_Medium"/>
    <x v="2"/>
    <x v="0"/>
    <s v="GNR_GT_NGAS_BP_E-44"/>
    <x v="0"/>
    <x v="11"/>
    <n v="77"/>
    <n v="28105"/>
    <n v="101178"/>
  </r>
  <r>
    <x v="0"/>
    <x v="0"/>
    <x v="0"/>
    <x v="0"/>
    <x v="1"/>
    <s v="DK2_Medium"/>
    <x v="2"/>
    <x v="0"/>
    <s v="GNR_GT_NGAS_BP_E-44"/>
    <x v="0"/>
    <x v="12"/>
    <n v="77"/>
    <n v="28105"/>
    <n v="101178"/>
  </r>
  <r>
    <x v="0"/>
    <x v="0"/>
    <x v="0"/>
    <x v="0"/>
    <x v="1"/>
    <s v="DK2_Medium"/>
    <x v="2"/>
    <x v="0"/>
    <s v="GNR_GT_NGAS_BP_E-44"/>
    <x v="0"/>
    <x v="13"/>
    <n v="77"/>
    <n v="28105"/>
    <n v="101178"/>
  </r>
  <r>
    <x v="0"/>
    <x v="0"/>
    <x v="0"/>
    <x v="0"/>
    <x v="1"/>
    <s v="DK2_Medium"/>
    <x v="2"/>
    <x v="0"/>
    <s v="GNR_GT_NGAS_BP_E-44"/>
    <x v="0"/>
    <x v="14"/>
    <n v="77"/>
    <n v="28105"/>
    <n v="101178"/>
  </r>
  <r>
    <x v="0"/>
    <x v="0"/>
    <x v="0"/>
    <x v="0"/>
    <x v="1"/>
    <s v="DK2_Medium"/>
    <x v="2"/>
    <x v="0"/>
    <s v="GNR_GT_NGAS_BP_E-44"/>
    <x v="0"/>
    <x v="15"/>
    <n v="77"/>
    <n v="28105"/>
    <n v="101178"/>
  </r>
  <r>
    <x v="0"/>
    <x v="0"/>
    <x v="0"/>
    <x v="0"/>
    <x v="1"/>
    <s v="DK2_Medium"/>
    <x v="2"/>
    <x v="0"/>
    <s v="GNR_GT_NGAS_BP_E-44"/>
    <x v="0"/>
    <x v="16"/>
    <n v="77"/>
    <n v="28105"/>
    <n v="101178"/>
  </r>
  <r>
    <x v="0"/>
    <x v="0"/>
    <x v="0"/>
    <x v="0"/>
    <x v="1"/>
    <s v="DK2_Medium"/>
    <x v="2"/>
    <x v="0"/>
    <s v="GNR_GT_NGAS_BP_E-44"/>
    <x v="0"/>
    <x v="17"/>
    <n v="77"/>
    <n v="28105"/>
    <n v="101178"/>
  </r>
  <r>
    <x v="0"/>
    <x v="0"/>
    <x v="0"/>
    <x v="0"/>
    <x v="1"/>
    <s v="DK2_Medium"/>
    <x v="2"/>
    <x v="0"/>
    <s v="GNR_GT_NGAS_BP_E-44"/>
    <x v="0"/>
    <x v="18"/>
    <n v="77"/>
    <n v="28105"/>
    <n v="101178"/>
  </r>
  <r>
    <x v="0"/>
    <x v="0"/>
    <x v="0"/>
    <x v="0"/>
    <x v="1"/>
    <s v="DK2_Medium"/>
    <x v="4"/>
    <x v="0"/>
    <s v="GNR_ST_WOODCHI_BP_E-27"/>
    <x v="0"/>
    <x v="0"/>
    <n v="0.33"/>
    <n v="120.45"/>
    <n v="433.62"/>
  </r>
  <r>
    <x v="0"/>
    <x v="0"/>
    <x v="0"/>
    <x v="0"/>
    <x v="1"/>
    <s v="DK2_Medium"/>
    <x v="4"/>
    <x v="0"/>
    <s v="GNR_ST_WOODCHI_BP_E-27"/>
    <x v="0"/>
    <x v="1"/>
    <n v="0.33"/>
    <n v="120.45"/>
    <n v="433.62"/>
  </r>
  <r>
    <x v="0"/>
    <x v="0"/>
    <x v="0"/>
    <x v="0"/>
    <x v="1"/>
    <s v="DK2_Medium"/>
    <x v="4"/>
    <x v="0"/>
    <s v="GNR_ST_WOODCHI_BP_E-27"/>
    <x v="0"/>
    <x v="2"/>
    <n v="0.33"/>
    <n v="120.45"/>
    <n v="433.62"/>
  </r>
  <r>
    <x v="0"/>
    <x v="0"/>
    <x v="0"/>
    <x v="0"/>
    <x v="1"/>
    <s v="DK2_Medium"/>
    <x v="4"/>
    <x v="0"/>
    <s v="GNR_ST_WOODCHI_BP_E-27"/>
    <x v="0"/>
    <x v="3"/>
    <n v="0.33"/>
    <n v="120.45"/>
    <n v="433.62"/>
  </r>
  <r>
    <x v="0"/>
    <x v="0"/>
    <x v="0"/>
    <x v="0"/>
    <x v="1"/>
    <s v="DK2_Medium"/>
    <x v="4"/>
    <x v="0"/>
    <s v="GNR_ST_WOODCHI_BP_E-27"/>
    <x v="0"/>
    <x v="4"/>
    <n v="0.33"/>
    <n v="120.45"/>
    <n v="433.62"/>
  </r>
  <r>
    <x v="0"/>
    <x v="0"/>
    <x v="0"/>
    <x v="0"/>
    <x v="1"/>
    <s v="DK2_Medium"/>
    <x v="4"/>
    <x v="0"/>
    <s v="GNR_ST_WOODCHI_BP_E-27"/>
    <x v="0"/>
    <x v="5"/>
    <n v="0.33"/>
    <n v="120.45"/>
    <n v="433.62"/>
  </r>
  <r>
    <x v="0"/>
    <x v="0"/>
    <x v="0"/>
    <x v="0"/>
    <x v="1"/>
    <s v="DK2_Medium"/>
    <x v="4"/>
    <x v="0"/>
    <s v="GNR_ST_WOODCHI_BP_E-27"/>
    <x v="0"/>
    <x v="6"/>
    <n v="0.33"/>
    <n v="120.45"/>
    <n v="433.62"/>
  </r>
  <r>
    <x v="0"/>
    <x v="0"/>
    <x v="0"/>
    <x v="0"/>
    <x v="1"/>
    <s v="DK2_Medium"/>
    <x v="4"/>
    <x v="0"/>
    <s v="GNR_ST_WOODCHI_BP_E-27"/>
    <x v="0"/>
    <x v="7"/>
    <n v="0.33"/>
    <n v="120.45"/>
    <n v="433.62"/>
  </r>
  <r>
    <x v="0"/>
    <x v="0"/>
    <x v="0"/>
    <x v="0"/>
    <x v="1"/>
    <s v="DK2_Medium"/>
    <x v="4"/>
    <x v="0"/>
    <s v="GNR_ST_WOODCHI_BP_E-27"/>
    <x v="0"/>
    <x v="8"/>
    <n v="0.33"/>
    <n v="120.45"/>
    <n v="433.62"/>
  </r>
  <r>
    <x v="0"/>
    <x v="0"/>
    <x v="0"/>
    <x v="0"/>
    <x v="1"/>
    <s v="DK2_Medium"/>
    <x v="4"/>
    <x v="0"/>
    <s v="GNR_ST_WOODCHI_BP_E-27"/>
    <x v="0"/>
    <x v="9"/>
    <n v="0.33"/>
    <n v="120.45"/>
    <n v="433.62"/>
  </r>
  <r>
    <x v="0"/>
    <x v="0"/>
    <x v="0"/>
    <x v="0"/>
    <x v="1"/>
    <s v="DK2_Medium"/>
    <x v="4"/>
    <x v="0"/>
    <s v="GNR_ST_WOODCHI_BP_E-27"/>
    <x v="0"/>
    <x v="10"/>
    <n v="0.33"/>
    <n v="120.45"/>
    <n v="433.62"/>
  </r>
  <r>
    <x v="0"/>
    <x v="0"/>
    <x v="0"/>
    <x v="0"/>
    <x v="1"/>
    <s v="DK2_Medium"/>
    <x v="4"/>
    <x v="0"/>
    <s v="GNR_ST_WOODCHI_BP_E-27"/>
    <x v="0"/>
    <x v="11"/>
    <n v="0.33"/>
    <n v="120.45"/>
    <n v="433.62"/>
  </r>
  <r>
    <x v="0"/>
    <x v="0"/>
    <x v="0"/>
    <x v="0"/>
    <x v="1"/>
    <s v="DK2_Medium"/>
    <x v="4"/>
    <x v="0"/>
    <s v="GNR_ST_WOODCHI_BP_E-27"/>
    <x v="0"/>
    <x v="12"/>
    <n v="0.33"/>
    <n v="120.45"/>
    <n v="433.62"/>
  </r>
  <r>
    <x v="0"/>
    <x v="0"/>
    <x v="0"/>
    <x v="0"/>
    <x v="1"/>
    <s v="DK2_Medium"/>
    <x v="4"/>
    <x v="0"/>
    <s v="GNR_ST_WOODCHI_BP_E-27"/>
    <x v="0"/>
    <x v="13"/>
    <n v="0.33"/>
    <n v="120.45"/>
    <n v="433.62"/>
  </r>
  <r>
    <x v="0"/>
    <x v="0"/>
    <x v="0"/>
    <x v="0"/>
    <x v="1"/>
    <s v="DK2_Medium"/>
    <x v="4"/>
    <x v="0"/>
    <s v="GNR_ST_WOODCHI_BP_E-27"/>
    <x v="0"/>
    <x v="14"/>
    <n v="0.33"/>
    <n v="120.45"/>
    <n v="433.62"/>
  </r>
  <r>
    <x v="0"/>
    <x v="0"/>
    <x v="0"/>
    <x v="0"/>
    <x v="1"/>
    <s v="DK2_Medium"/>
    <x v="4"/>
    <x v="0"/>
    <s v="GNR_ST_WOODCHI_BP_E-27"/>
    <x v="0"/>
    <x v="15"/>
    <n v="0.33"/>
    <n v="120.45"/>
    <n v="433.62"/>
  </r>
  <r>
    <x v="0"/>
    <x v="0"/>
    <x v="0"/>
    <x v="0"/>
    <x v="1"/>
    <s v="DK2_Medium"/>
    <x v="4"/>
    <x v="0"/>
    <s v="GNR_ST_WOODCHI_BP_E-27"/>
    <x v="0"/>
    <x v="16"/>
    <n v="0.33"/>
    <n v="120.45"/>
    <n v="433.62"/>
  </r>
  <r>
    <x v="0"/>
    <x v="0"/>
    <x v="0"/>
    <x v="0"/>
    <x v="1"/>
    <s v="DK2_Medium"/>
    <x v="4"/>
    <x v="0"/>
    <s v="GNR_ST_WOODCHI_BP_E-27"/>
    <x v="0"/>
    <x v="17"/>
    <n v="0.33"/>
    <n v="120.45"/>
    <n v="433.62"/>
  </r>
  <r>
    <x v="0"/>
    <x v="0"/>
    <x v="0"/>
    <x v="0"/>
    <x v="1"/>
    <s v="DK2_Medium"/>
    <x v="4"/>
    <x v="0"/>
    <s v="GNR_ST_WOODCHI_BP_E-27"/>
    <x v="0"/>
    <x v="18"/>
    <n v="0.33"/>
    <n v="120.45"/>
    <n v="433.62"/>
  </r>
  <r>
    <x v="0"/>
    <x v="0"/>
    <x v="0"/>
    <x v="0"/>
    <x v="1"/>
    <s v="DK2_Medium"/>
    <x v="4"/>
    <x v="0"/>
    <s v="GNR_ST_WOODCHI_BP_E-27"/>
    <x v="0"/>
    <x v="19"/>
    <n v="0.33"/>
    <n v="120.45"/>
    <n v="433.62"/>
  </r>
  <r>
    <x v="0"/>
    <x v="0"/>
    <x v="0"/>
    <x v="0"/>
    <x v="1"/>
    <s v="DK2_Medium"/>
    <x v="4"/>
    <x v="0"/>
    <s v="GNR_ST_WOODCHI_BP_E-27"/>
    <x v="0"/>
    <x v="20"/>
    <n v="0.33"/>
    <n v="120.45"/>
    <n v="433.62"/>
  </r>
  <r>
    <x v="0"/>
    <x v="0"/>
    <x v="0"/>
    <x v="0"/>
    <x v="1"/>
    <s v="DK2_Medium"/>
    <x v="4"/>
    <x v="0"/>
    <s v="GNR_ST_WOODCHI_BP_E-27"/>
    <x v="0"/>
    <x v="21"/>
    <n v="0.33"/>
    <n v="120.45"/>
    <n v="433.62"/>
  </r>
  <r>
    <x v="0"/>
    <x v="0"/>
    <x v="0"/>
    <x v="0"/>
    <x v="1"/>
    <s v="DK2_Medium"/>
    <x v="4"/>
    <x v="0"/>
    <s v="GNR_ST_WOODCHI_BP_E-27"/>
    <x v="0"/>
    <x v="22"/>
    <n v="0.33"/>
    <n v="120.45"/>
    <n v="433.62"/>
  </r>
  <r>
    <x v="0"/>
    <x v="0"/>
    <x v="0"/>
    <x v="0"/>
    <x v="1"/>
    <s v="DK2_Medium"/>
    <x v="4"/>
    <x v="0"/>
    <s v="GNR_ST_WOODCHI_BP_E-27"/>
    <x v="0"/>
    <x v="23"/>
    <n v="0.33"/>
    <n v="120.45"/>
    <n v="433.62"/>
  </r>
  <r>
    <x v="0"/>
    <x v="0"/>
    <x v="0"/>
    <x v="0"/>
    <x v="1"/>
    <s v="DK2_NoDH"/>
    <x v="0"/>
    <x v="0"/>
    <s v="GNR_ENG_BGAS_BP_E-31"/>
    <x v="0"/>
    <x v="0"/>
    <n v="0.1"/>
    <n v="36.5"/>
    <n v="131.4"/>
  </r>
  <r>
    <x v="0"/>
    <x v="0"/>
    <x v="0"/>
    <x v="0"/>
    <x v="1"/>
    <s v="DK2_NoDH"/>
    <x v="0"/>
    <x v="0"/>
    <s v="GNR_ENG_BGAS_BP_E-31"/>
    <x v="0"/>
    <x v="1"/>
    <n v="0.1"/>
    <n v="36.5"/>
    <n v="131.4"/>
  </r>
  <r>
    <x v="0"/>
    <x v="0"/>
    <x v="0"/>
    <x v="0"/>
    <x v="1"/>
    <s v="DK2_NoDH"/>
    <x v="0"/>
    <x v="0"/>
    <s v="GNR_ENG_BGAS_BP_E-31"/>
    <x v="0"/>
    <x v="2"/>
    <n v="0.1"/>
    <n v="36.5"/>
    <n v="131.4"/>
  </r>
  <r>
    <x v="0"/>
    <x v="0"/>
    <x v="0"/>
    <x v="0"/>
    <x v="1"/>
    <s v="DK2_NoDH"/>
    <x v="0"/>
    <x v="0"/>
    <s v="GNR_ENG_BGAS_BP_E-31"/>
    <x v="0"/>
    <x v="3"/>
    <n v="0.1"/>
    <n v="36.5"/>
    <n v="131.4"/>
  </r>
  <r>
    <x v="0"/>
    <x v="0"/>
    <x v="0"/>
    <x v="0"/>
    <x v="1"/>
    <s v="DK2_NoDH"/>
    <x v="0"/>
    <x v="0"/>
    <s v="GNR_ENG_BGAS_BP_E-31"/>
    <x v="0"/>
    <x v="4"/>
    <n v="0.1"/>
    <n v="36.5"/>
    <n v="131.4"/>
  </r>
  <r>
    <x v="0"/>
    <x v="0"/>
    <x v="0"/>
    <x v="0"/>
    <x v="1"/>
    <s v="DK2_NoDH"/>
    <x v="0"/>
    <x v="0"/>
    <s v="GNR_ENG_BGAS_BP_E-31"/>
    <x v="0"/>
    <x v="5"/>
    <n v="0.1"/>
    <n v="36.5"/>
    <n v="131.4"/>
  </r>
  <r>
    <x v="0"/>
    <x v="0"/>
    <x v="0"/>
    <x v="0"/>
    <x v="1"/>
    <s v="DK2_NoDH"/>
    <x v="0"/>
    <x v="0"/>
    <s v="GNR_ENG_BGAS_BP_E-31"/>
    <x v="0"/>
    <x v="6"/>
    <n v="0.1"/>
    <n v="36.5"/>
    <n v="131.4"/>
  </r>
  <r>
    <x v="0"/>
    <x v="0"/>
    <x v="0"/>
    <x v="0"/>
    <x v="1"/>
    <s v="DK2_NoDH"/>
    <x v="0"/>
    <x v="0"/>
    <s v="GNR_ENG_BGAS_BP_E-31"/>
    <x v="0"/>
    <x v="7"/>
    <n v="0.1"/>
    <n v="36.5"/>
    <n v="131.4"/>
  </r>
  <r>
    <x v="0"/>
    <x v="0"/>
    <x v="0"/>
    <x v="0"/>
    <x v="1"/>
    <s v="DK2_NoDH"/>
    <x v="0"/>
    <x v="0"/>
    <s v="GNR_ENG_BGAS_BP_E-31"/>
    <x v="0"/>
    <x v="8"/>
    <n v="0.1"/>
    <n v="36.5"/>
    <n v="131.4"/>
  </r>
  <r>
    <x v="0"/>
    <x v="0"/>
    <x v="0"/>
    <x v="0"/>
    <x v="1"/>
    <s v="DK2_NoDH"/>
    <x v="0"/>
    <x v="0"/>
    <s v="GNR_ENG_BGAS_BP_E-31"/>
    <x v="0"/>
    <x v="9"/>
    <n v="0.1"/>
    <n v="36.5"/>
    <n v="131.4"/>
  </r>
  <r>
    <x v="0"/>
    <x v="0"/>
    <x v="0"/>
    <x v="0"/>
    <x v="1"/>
    <s v="DK2_NoDH"/>
    <x v="0"/>
    <x v="0"/>
    <s v="GNR_ENG_BGAS_BP_E-31"/>
    <x v="0"/>
    <x v="10"/>
    <n v="0.1"/>
    <n v="36.5"/>
    <n v="131.4"/>
  </r>
  <r>
    <x v="0"/>
    <x v="0"/>
    <x v="0"/>
    <x v="0"/>
    <x v="1"/>
    <s v="DK2_NoDH"/>
    <x v="0"/>
    <x v="0"/>
    <s v="GNR_ENG_BGAS_BP_E-31"/>
    <x v="0"/>
    <x v="11"/>
    <n v="0.1"/>
    <n v="36.5"/>
    <n v="131.4"/>
  </r>
  <r>
    <x v="0"/>
    <x v="0"/>
    <x v="0"/>
    <x v="0"/>
    <x v="1"/>
    <s v="DK2_NoDH"/>
    <x v="0"/>
    <x v="0"/>
    <s v="GNR_ENG_BGAS_BP_E-31"/>
    <x v="0"/>
    <x v="12"/>
    <n v="0.1"/>
    <n v="36.5"/>
    <n v="131.4"/>
  </r>
  <r>
    <x v="0"/>
    <x v="0"/>
    <x v="0"/>
    <x v="0"/>
    <x v="1"/>
    <s v="DK2_NoDH"/>
    <x v="0"/>
    <x v="0"/>
    <s v="GNR_ENG_BGAS_BP_E-31"/>
    <x v="0"/>
    <x v="13"/>
    <n v="0.1"/>
    <n v="36.5"/>
    <n v="131.4"/>
  </r>
  <r>
    <x v="0"/>
    <x v="0"/>
    <x v="0"/>
    <x v="0"/>
    <x v="1"/>
    <s v="DK2_NoDH"/>
    <x v="0"/>
    <x v="0"/>
    <s v="GNR_ENG_BGAS_BP_E-31"/>
    <x v="0"/>
    <x v="14"/>
    <n v="0.1"/>
    <n v="36.5"/>
    <n v="131.4"/>
  </r>
  <r>
    <x v="0"/>
    <x v="0"/>
    <x v="0"/>
    <x v="0"/>
    <x v="1"/>
    <s v="DK2_NoDH"/>
    <x v="0"/>
    <x v="0"/>
    <s v="GNR_ENG_BGAS_BP_E-31"/>
    <x v="0"/>
    <x v="15"/>
    <n v="0.1"/>
    <n v="36.5"/>
    <n v="131.4"/>
  </r>
  <r>
    <x v="0"/>
    <x v="0"/>
    <x v="0"/>
    <x v="0"/>
    <x v="1"/>
    <s v="DK2_NoDH"/>
    <x v="0"/>
    <x v="0"/>
    <s v="GNR_ENG_BGAS_BP_E-31"/>
    <x v="0"/>
    <x v="16"/>
    <n v="0.1"/>
    <n v="36.5"/>
    <n v="131.4"/>
  </r>
  <r>
    <x v="0"/>
    <x v="0"/>
    <x v="0"/>
    <x v="0"/>
    <x v="1"/>
    <s v="DK2_NoDH"/>
    <x v="0"/>
    <x v="0"/>
    <s v="GNR_ENG_BGAS_BP_E-31"/>
    <x v="0"/>
    <x v="17"/>
    <n v="0.1"/>
    <n v="36.5"/>
    <n v="131.4"/>
  </r>
  <r>
    <x v="0"/>
    <x v="0"/>
    <x v="0"/>
    <x v="0"/>
    <x v="1"/>
    <s v="DK2_NoDH"/>
    <x v="0"/>
    <x v="0"/>
    <s v="GNR_ENG_BGAS_BP_E-31"/>
    <x v="0"/>
    <x v="18"/>
    <n v="0.1"/>
    <n v="36.5"/>
    <n v="131.4"/>
  </r>
  <r>
    <x v="0"/>
    <x v="0"/>
    <x v="0"/>
    <x v="0"/>
    <x v="1"/>
    <s v="DK2_NoDH"/>
    <x v="0"/>
    <x v="0"/>
    <s v="GNR_ENG_BGAS_BP_E-31"/>
    <x v="0"/>
    <x v="19"/>
    <n v="0.1"/>
    <n v="36.5"/>
    <n v="131.4"/>
  </r>
  <r>
    <x v="0"/>
    <x v="0"/>
    <x v="0"/>
    <x v="0"/>
    <x v="1"/>
    <s v="DK2_NoDH"/>
    <x v="0"/>
    <x v="0"/>
    <s v="GNR_ENG_BGAS_BP_E-31"/>
    <x v="0"/>
    <x v="20"/>
    <n v="0.1"/>
    <n v="36.5"/>
    <n v="131.4"/>
  </r>
  <r>
    <x v="0"/>
    <x v="0"/>
    <x v="0"/>
    <x v="0"/>
    <x v="1"/>
    <s v="DK2_NoDH"/>
    <x v="0"/>
    <x v="0"/>
    <s v="GNR_ENG_BGAS_BP_E-31"/>
    <x v="0"/>
    <x v="21"/>
    <n v="0.1"/>
    <n v="36.5"/>
    <n v="131.4"/>
  </r>
  <r>
    <x v="0"/>
    <x v="0"/>
    <x v="0"/>
    <x v="0"/>
    <x v="1"/>
    <s v="DK2_NoDH"/>
    <x v="0"/>
    <x v="0"/>
    <s v="GNR_ENG_BGAS_BP_E-31"/>
    <x v="0"/>
    <x v="22"/>
    <n v="0.1"/>
    <n v="36.5"/>
    <n v="131.4"/>
  </r>
  <r>
    <x v="0"/>
    <x v="0"/>
    <x v="0"/>
    <x v="0"/>
    <x v="1"/>
    <s v="DK2_NoDH"/>
    <x v="0"/>
    <x v="0"/>
    <s v="GNR_ENG_BGAS_BP_E-31"/>
    <x v="0"/>
    <x v="23"/>
    <n v="0.1"/>
    <n v="36.5"/>
    <n v="131.4"/>
  </r>
  <r>
    <x v="0"/>
    <x v="0"/>
    <x v="0"/>
    <x v="0"/>
    <x v="1"/>
    <s v="DK2_NoDH"/>
    <x v="0"/>
    <x v="0"/>
    <s v="GNR_ENG_BGAS_BP_E-32"/>
    <x v="0"/>
    <x v="0"/>
    <n v="0.11"/>
    <n v="40.15"/>
    <n v="144.54"/>
  </r>
  <r>
    <x v="0"/>
    <x v="0"/>
    <x v="0"/>
    <x v="0"/>
    <x v="1"/>
    <s v="DK2_NoDH"/>
    <x v="0"/>
    <x v="0"/>
    <s v="GNR_ENG_BGAS_BP_E-32"/>
    <x v="0"/>
    <x v="1"/>
    <n v="0.11"/>
    <n v="40.15"/>
    <n v="144.54"/>
  </r>
  <r>
    <x v="0"/>
    <x v="0"/>
    <x v="0"/>
    <x v="0"/>
    <x v="1"/>
    <s v="DK2_NoDH"/>
    <x v="0"/>
    <x v="0"/>
    <s v="GNR_ENG_BGAS_BP_E-32"/>
    <x v="0"/>
    <x v="2"/>
    <n v="0.11"/>
    <n v="40.15"/>
    <n v="144.54"/>
  </r>
  <r>
    <x v="0"/>
    <x v="0"/>
    <x v="0"/>
    <x v="0"/>
    <x v="1"/>
    <s v="DK2_NoDH"/>
    <x v="0"/>
    <x v="0"/>
    <s v="GNR_ENG_BGAS_BP_E-32"/>
    <x v="0"/>
    <x v="3"/>
    <n v="0.11"/>
    <n v="40.15"/>
    <n v="144.54"/>
  </r>
  <r>
    <x v="0"/>
    <x v="0"/>
    <x v="0"/>
    <x v="0"/>
    <x v="1"/>
    <s v="DK2_NoDH"/>
    <x v="0"/>
    <x v="0"/>
    <s v="GNR_ENG_BGAS_BP_E-32"/>
    <x v="0"/>
    <x v="4"/>
    <n v="0.11"/>
    <n v="40.15"/>
    <n v="144.54"/>
  </r>
  <r>
    <x v="0"/>
    <x v="0"/>
    <x v="0"/>
    <x v="0"/>
    <x v="1"/>
    <s v="DK2_NoDH"/>
    <x v="0"/>
    <x v="0"/>
    <s v="GNR_ENG_BGAS_BP_E-32"/>
    <x v="0"/>
    <x v="5"/>
    <n v="0.11"/>
    <n v="40.15"/>
    <n v="144.54"/>
  </r>
  <r>
    <x v="0"/>
    <x v="0"/>
    <x v="0"/>
    <x v="0"/>
    <x v="1"/>
    <s v="DK2_NoDH"/>
    <x v="0"/>
    <x v="0"/>
    <s v="GNR_ENG_BGAS_BP_E-32"/>
    <x v="0"/>
    <x v="6"/>
    <n v="0.11"/>
    <n v="40.15"/>
    <n v="144.54"/>
  </r>
  <r>
    <x v="0"/>
    <x v="0"/>
    <x v="0"/>
    <x v="0"/>
    <x v="1"/>
    <s v="DK2_NoDH"/>
    <x v="0"/>
    <x v="0"/>
    <s v="GNR_ENG_BGAS_BP_E-32"/>
    <x v="0"/>
    <x v="7"/>
    <n v="0.11"/>
    <n v="40.15"/>
    <n v="144.54"/>
  </r>
  <r>
    <x v="0"/>
    <x v="0"/>
    <x v="0"/>
    <x v="0"/>
    <x v="1"/>
    <s v="DK2_NoDH"/>
    <x v="0"/>
    <x v="0"/>
    <s v="GNR_ENG_BGAS_BP_E-32"/>
    <x v="0"/>
    <x v="8"/>
    <n v="0.11"/>
    <n v="40.15"/>
    <n v="144.54"/>
  </r>
  <r>
    <x v="0"/>
    <x v="0"/>
    <x v="0"/>
    <x v="0"/>
    <x v="1"/>
    <s v="DK2_NoDH"/>
    <x v="0"/>
    <x v="0"/>
    <s v="GNR_ENG_BGAS_BP_E-32"/>
    <x v="0"/>
    <x v="9"/>
    <n v="0.11"/>
    <n v="40.15"/>
    <n v="144.54"/>
  </r>
  <r>
    <x v="0"/>
    <x v="0"/>
    <x v="0"/>
    <x v="0"/>
    <x v="1"/>
    <s v="DK2_NoDH"/>
    <x v="0"/>
    <x v="0"/>
    <s v="GNR_ENG_BGAS_BP_E-32"/>
    <x v="0"/>
    <x v="10"/>
    <n v="0.11"/>
    <n v="40.15"/>
    <n v="144.54"/>
  </r>
  <r>
    <x v="0"/>
    <x v="0"/>
    <x v="0"/>
    <x v="0"/>
    <x v="1"/>
    <s v="DK2_NoDH"/>
    <x v="0"/>
    <x v="0"/>
    <s v="GNR_ENG_BGAS_BP_E-32"/>
    <x v="0"/>
    <x v="11"/>
    <n v="0.11"/>
    <n v="40.15"/>
    <n v="144.54"/>
  </r>
  <r>
    <x v="0"/>
    <x v="0"/>
    <x v="0"/>
    <x v="0"/>
    <x v="1"/>
    <s v="DK2_NoDH"/>
    <x v="0"/>
    <x v="0"/>
    <s v="GNR_ENG_BGAS_BP_E-32"/>
    <x v="0"/>
    <x v="12"/>
    <n v="0.11"/>
    <n v="40.15"/>
    <n v="144.54"/>
  </r>
  <r>
    <x v="0"/>
    <x v="0"/>
    <x v="0"/>
    <x v="0"/>
    <x v="1"/>
    <s v="DK2_NoDH"/>
    <x v="0"/>
    <x v="0"/>
    <s v="GNR_ENG_BGAS_BP_E-32"/>
    <x v="0"/>
    <x v="13"/>
    <n v="0.11"/>
    <n v="40.15"/>
    <n v="144.54"/>
  </r>
  <r>
    <x v="0"/>
    <x v="0"/>
    <x v="0"/>
    <x v="0"/>
    <x v="1"/>
    <s v="DK2_NoDH"/>
    <x v="0"/>
    <x v="0"/>
    <s v="GNR_ENG_BGAS_BP_E-32"/>
    <x v="0"/>
    <x v="14"/>
    <n v="0.11"/>
    <n v="40.15"/>
    <n v="144.54"/>
  </r>
  <r>
    <x v="0"/>
    <x v="0"/>
    <x v="0"/>
    <x v="0"/>
    <x v="1"/>
    <s v="DK2_NoDH"/>
    <x v="0"/>
    <x v="0"/>
    <s v="GNR_ENG_BGAS_BP_E-32"/>
    <x v="0"/>
    <x v="15"/>
    <n v="0.11"/>
    <n v="40.15"/>
    <n v="144.54"/>
  </r>
  <r>
    <x v="0"/>
    <x v="0"/>
    <x v="0"/>
    <x v="0"/>
    <x v="1"/>
    <s v="DK2_NoDH"/>
    <x v="0"/>
    <x v="0"/>
    <s v="GNR_ENG_BGAS_BP_E-32"/>
    <x v="0"/>
    <x v="16"/>
    <n v="0.11"/>
    <n v="40.15"/>
    <n v="144.54"/>
  </r>
  <r>
    <x v="0"/>
    <x v="0"/>
    <x v="0"/>
    <x v="0"/>
    <x v="1"/>
    <s v="DK2_NoDH"/>
    <x v="0"/>
    <x v="0"/>
    <s v="GNR_ENG_BGAS_BP_E-32"/>
    <x v="0"/>
    <x v="17"/>
    <n v="0.11"/>
    <n v="40.15"/>
    <n v="144.54"/>
  </r>
  <r>
    <x v="0"/>
    <x v="0"/>
    <x v="0"/>
    <x v="0"/>
    <x v="1"/>
    <s v="DK2_NoDH"/>
    <x v="0"/>
    <x v="0"/>
    <s v="GNR_ENG_BGAS_BP_E-32"/>
    <x v="0"/>
    <x v="18"/>
    <n v="0.11"/>
    <n v="40.15"/>
    <n v="144.54"/>
  </r>
  <r>
    <x v="0"/>
    <x v="0"/>
    <x v="0"/>
    <x v="0"/>
    <x v="1"/>
    <s v="DK2_NoDH"/>
    <x v="0"/>
    <x v="0"/>
    <s v="GNR_ENG_BGAS_BP_E-32"/>
    <x v="0"/>
    <x v="19"/>
    <n v="0.11"/>
    <n v="40.15"/>
    <n v="144.54"/>
  </r>
  <r>
    <x v="0"/>
    <x v="0"/>
    <x v="0"/>
    <x v="0"/>
    <x v="1"/>
    <s v="DK2_NoDH"/>
    <x v="0"/>
    <x v="0"/>
    <s v="GNR_ENG_BGAS_BP_E-32"/>
    <x v="0"/>
    <x v="20"/>
    <n v="0.11"/>
    <n v="40.15"/>
    <n v="144.54"/>
  </r>
  <r>
    <x v="0"/>
    <x v="0"/>
    <x v="0"/>
    <x v="0"/>
    <x v="1"/>
    <s v="DK2_NoDH"/>
    <x v="0"/>
    <x v="0"/>
    <s v="GNR_ENG_BGAS_BP_E-32"/>
    <x v="0"/>
    <x v="21"/>
    <n v="0.11"/>
    <n v="40.15"/>
    <n v="144.54"/>
  </r>
  <r>
    <x v="0"/>
    <x v="0"/>
    <x v="0"/>
    <x v="0"/>
    <x v="1"/>
    <s v="DK2_NoDH"/>
    <x v="0"/>
    <x v="0"/>
    <s v="GNR_ENG_BGAS_BP_E-32"/>
    <x v="0"/>
    <x v="22"/>
    <n v="0.11"/>
    <n v="40.15"/>
    <n v="144.54"/>
  </r>
  <r>
    <x v="0"/>
    <x v="0"/>
    <x v="0"/>
    <x v="0"/>
    <x v="1"/>
    <s v="DK2_NoDH"/>
    <x v="0"/>
    <x v="0"/>
    <s v="GNR_ENG_BGAS_BP_E-32"/>
    <x v="0"/>
    <x v="23"/>
    <n v="0.11"/>
    <n v="40.15"/>
    <n v="144.54"/>
  </r>
  <r>
    <x v="0"/>
    <x v="0"/>
    <x v="0"/>
    <x v="0"/>
    <x v="1"/>
    <s v="DK2_NoDH"/>
    <x v="0"/>
    <x v="0"/>
    <s v="GNR_ENG_BGAS_BP_E-33"/>
    <x v="0"/>
    <x v="0"/>
    <n v="0.23"/>
    <n v="83.95"/>
    <n v="302.22000000000003"/>
  </r>
  <r>
    <x v="0"/>
    <x v="0"/>
    <x v="0"/>
    <x v="0"/>
    <x v="1"/>
    <s v="DK2_NoDH"/>
    <x v="0"/>
    <x v="0"/>
    <s v="GNR_ENG_BGAS_BP_E-33"/>
    <x v="0"/>
    <x v="1"/>
    <n v="0.23"/>
    <n v="83.95"/>
    <n v="302.22000000000003"/>
  </r>
  <r>
    <x v="0"/>
    <x v="0"/>
    <x v="0"/>
    <x v="0"/>
    <x v="1"/>
    <s v="DK2_NoDH"/>
    <x v="0"/>
    <x v="0"/>
    <s v="GNR_ENG_BGAS_BP_E-33"/>
    <x v="0"/>
    <x v="2"/>
    <n v="0.23"/>
    <n v="83.95"/>
    <n v="302.22000000000003"/>
  </r>
  <r>
    <x v="0"/>
    <x v="0"/>
    <x v="0"/>
    <x v="0"/>
    <x v="1"/>
    <s v="DK2_NoDH"/>
    <x v="0"/>
    <x v="0"/>
    <s v="GNR_ENG_BGAS_BP_E-33"/>
    <x v="0"/>
    <x v="3"/>
    <n v="0.23"/>
    <n v="83.95"/>
    <n v="302.22000000000003"/>
  </r>
  <r>
    <x v="0"/>
    <x v="0"/>
    <x v="0"/>
    <x v="0"/>
    <x v="1"/>
    <s v="DK2_NoDH"/>
    <x v="0"/>
    <x v="0"/>
    <s v="GNR_ENG_BGAS_BP_E-33"/>
    <x v="0"/>
    <x v="4"/>
    <n v="0.23"/>
    <n v="83.95"/>
    <n v="302.22000000000003"/>
  </r>
  <r>
    <x v="0"/>
    <x v="0"/>
    <x v="0"/>
    <x v="0"/>
    <x v="1"/>
    <s v="DK2_NoDH"/>
    <x v="0"/>
    <x v="0"/>
    <s v="GNR_ENG_BGAS_BP_E-33"/>
    <x v="0"/>
    <x v="5"/>
    <n v="0.23"/>
    <n v="83.95"/>
    <n v="302.22000000000003"/>
  </r>
  <r>
    <x v="0"/>
    <x v="0"/>
    <x v="0"/>
    <x v="0"/>
    <x v="1"/>
    <s v="DK2_NoDH"/>
    <x v="0"/>
    <x v="0"/>
    <s v="GNR_ENG_BGAS_BP_E-33"/>
    <x v="0"/>
    <x v="6"/>
    <n v="0.23"/>
    <n v="83.95"/>
    <n v="302.22000000000003"/>
  </r>
  <r>
    <x v="0"/>
    <x v="0"/>
    <x v="0"/>
    <x v="0"/>
    <x v="1"/>
    <s v="DK2_NoDH"/>
    <x v="0"/>
    <x v="0"/>
    <s v="GNR_ENG_BGAS_BP_E-33"/>
    <x v="0"/>
    <x v="7"/>
    <n v="0.23"/>
    <n v="83.95"/>
    <n v="302.22000000000003"/>
  </r>
  <r>
    <x v="0"/>
    <x v="0"/>
    <x v="0"/>
    <x v="0"/>
    <x v="1"/>
    <s v="DK2_NoDH"/>
    <x v="0"/>
    <x v="0"/>
    <s v="GNR_ENG_BGAS_BP_E-33"/>
    <x v="0"/>
    <x v="8"/>
    <n v="0.23"/>
    <n v="83.95"/>
    <n v="302.22000000000003"/>
  </r>
  <r>
    <x v="0"/>
    <x v="0"/>
    <x v="0"/>
    <x v="0"/>
    <x v="1"/>
    <s v="DK2_NoDH"/>
    <x v="0"/>
    <x v="0"/>
    <s v="GNR_ENG_BGAS_BP_E-33"/>
    <x v="0"/>
    <x v="9"/>
    <n v="0.23"/>
    <n v="83.95"/>
    <n v="302.22000000000003"/>
  </r>
  <r>
    <x v="0"/>
    <x v="0"/>
    <x v="0"/>
    <x v="0"/>
    <x v="1"/>
    <s v="DK2_NoDH"/>
    <x v="0"/>
    <x v="0"/>
    <s v="GNR_ENG_BGAS_BP_E-33"/>
    <x v="0"/>
    <x v="10"/>
    <n v="0.23"/>
    <n v="83.95"/>
    <n v="302.22000000000003"/>
  </r>
  <r>
    <x v="0"/>
    <x v="0"/>
    <x v="0"/>
    <x v="0"/>
    <x v="1"/>
    <s v="DK2_NoDH"/>
    <x v="0"/>
    <x v="0"/>
    <s v="GNR_ENG_BGAS_BP_E-33"/>
    <x v="0"/>
    <x v="11"/>
    <n v="0.23"/>
    <n v="83.95"/>
    <n v="302.22000000000003"/>
  </r>
  <r>
    <x v="0"/>
    <x v="0"/>
    <x v="0"/>
    <x v="0"/>
    <x v="1"/>
    <s v="DK2_NoDH"/>
    <x v="0"/>
    <x v="0"/>
    <s v="GNR_ENG_BGAS_BP_E-33"/>
    <x v="0"/>
    <x v="12"/>
    <n v="0.23"/>
    <n v="83.95"/>
    <n v="302.22000000000003"/>
  </r>
  <r>
    <x v="0"/>
    <x v="0"/>
    <x v="0"/>
    <x v="0"/>
    <x v="1"/>
    <s v="DK2_NoDH"/>
    <x v="0"/>
    <x v="0"/>
    <s v="GNR_ENG_BGAS_BP_E-33"/>
    <x v="0"/>
    <x v="13"/>
    <n v="0.23"/>
    <n v="83.95"/>
    <n v="302.22000000000003"/>
  </r>
  <r>
    <x v="0"/>
    <x v="0"/>
    <x v="0"/>
    <x v="0"/>
    <x v="1"/>
    <s v="DK2_NoDH"/>
    <x v="0"/>
    <x v="0"/>
    <s v="GNR_ENG_BGAS_BP_E-33"/>
    <x v="0"/>
    <x v="14"/>
    <n v="0.23"/>
    <n v="83.95"/>
    <n v="302.22000000000003"/>
  </r>
  <r>
    <x v="0"/>
    <x v="0"/>
    <x v="0"/>
    <x v="0"/>
    <x v="1"/>
    <s v="DK2_NoDH"/>
    <x v="0"/>
    <x v="0"/>
    <s v="GNR_ENG_BGAS_BP_E-33"/>
    <x v="0"/>
    <x v="15"/>
    <n v="0.23"/>
    <n v="83.95"/>
    <n v="302.22000000000003"/>
  </r>
  <r>
    <x v="0"/>
    <x v="0"/>
    <x v="0"/>
    <x v="0"/>
    <x v="1"/>
    <s v="DK2_NoDH"/>
    <x v="0"/>
    <x v="0"/>
    <s v="GNR_ENG_BGAS_BP_E-33"/>
    <x v="0"/>
    <x v="16"/>
    <n v="0.23"/>
    <n v="83.95"/>
    <n v="302.22000000000003"/>
  </r>
  <r>
    <x v="0"/>
    <x v="0"/>
    <x v="0"/>
    <x v="0"/>
    <x v="1"/>
    <s v="DK2_NoDH"/>
    <x v="0"/>
    <x v="0"/>
    <s v="GNR_ENG_BGAS_BP_E-33"/>
    <x v="0"/>
    <x v="17"/>
    <n v="0.23"/>
    <n v="83.95"/>
    <n v="302.22000000000003"/>
  </r>
  <r>
    <x v="0"/>
    <x v="0"/>
    <x v="0"/>
    <x v="0"/>
    <x v="1"/>
    <s v="DK2_NoDH"/>
    <x v="0"/>
    <x v="0"/>
    <s v="GNR_ENG_BGAS_BP_E-33"/>
    <x v="0"/>
    <x v="18"/>
    <n v="0.23"/>
    <n v="83.95"/>
    <n v="302.22000000000003"/>
  </r>
  <r>
    <x v="0"/>
    <x v="0"/>
    <x v="0"/>
    <x v="0"/>
    <x v="1"/>
    <s v="DK2_NoDH"/>
    <x v="0"/>
    <x v="0"/>
    <s v="GNR_ENG_BGAS_BP_E-33"/>
    <x v="0"/>
    <x v="19"/>
    <n v="0.23"/>
    <n v="83.95"/>
    <n v="302.22000000000003"/>
  </r>
  <r>
    <x v="0"/>
    <x v="0"/>
    <x v="0"/>
    <x v="0"/>
    <x v="1"/>
    <s v="DK2_NoDH"/>
    <x v="0"/>
    <x v="0"/>
    <s v="GNR_ENG_BGAS_BP_E-33"/>
    <x v="0"/>
    <x v="20"/>
    <n v="0.23"/>
    <n v="83.95"/>
    <n v="302.22000000000003"/>
  </r>
  <r>
    <x v="0"/>
    <x v="0"/>
    <x v="0"/>
    <x v="0"/>
    <x v="1"/>
    <s v="DK2_NoDH"/>
    <x v="0"/>
    <x v="0"/>
    <s v="GNR_ENG_BGAS_BP_E-33"/>
    <x v="0"/>
    <x v="21"/>
    <n v="0.23"/>
    <n v="83.95"/>
    <n v="302.22000000000003"/>
  </r>
  <r>
    <x v="0"/>
    <x v="0"/>
    <x v="0"/>
    <x v="0"/>
    <x v="1"/>
    <s v="DK2_NoDH"/>
    <x v="0"/>
    <x v="0"/>
    <s v="GNR_ENG_BGAS_BP_E-33"/>
    <x v="0"/>
    <x v="22"/>
    <n v="0.23"/>
    <n v="83.95"/>
    <n v="302.22000000000003"/>
  </r>
  <r>
    <x v="0"/>
    <x v="0"/>
    <x v="0"/>
    <x v="0"/>
    <x v="1"/>
    <s v="DK2_NoDH"/>
    <x v="0"/>
    <x v="0"/>
    <s v="GNR_ENG_BGAS_BP_E-33"/>
    <x v="0"/>
    <x v="23"/>
    <n v="0.23"/>
    <n v="83.95"/>
    <n v="302.22000000000003"/>
  </r>
  <r>
    <x v="0"/>
    <x v="0"/>
    <x v="0"/>
    <x v="0"/>
    <x v="1"/>
    <s v="DK2_NoDH"/>
    <x v="0"/>
    <x v="0"/>
    <s v="GNR_ENG_BGAS_BP_E-34"/>
    <x v="0"/>
    <x v="0"/>
    <n v="0.1"/>
    <n v="36.5"/>
    <n v="131.4"/>
  </r>
  <r>
    <x v="0"/>
    <x v="0"/>
    <x v="0"/>
    <x v="0"/>
    <x v="1"/>
    <s v="DK2_NoDH"/>
    <x v="0"/>
    <x v="0"/>
    <s v="GNR_ENG_BGAS_BP_E-34"/>
    <x v="0"/>
    <x v="1"/>
    <n v="0.1"/>
    <n v="36.5"/>
    <n v="131.4"/>
  </r>
  <r>
    <x v="0"/>
    <x v="0"/>
    <x v="0"/>
    <x v="0"/>
    <x v="1"/>
    <s v="DK2_NoDH"/>
    <x v="0"/>
    <x v="0"/>
    <s v="GNR_ENG_BGAS_BP_E-34"/>
    <x v="0"/>
    <x v="2"/>
    <n v="0.1"/>
    <n v="36.5"/>
    <n v="131.4"/>
  </r>
  <r>
    <x v="0"/>
    <x v="0"/>
    <x v="0"/>
    <x v="0"/>
    <x v="1"/>
    <s v="DK2_NoDH"/>
    <x v="0"/>
    <x v="0"/>
    <s v="GNR_ENG_BGAS_BP_E-34"/>
    <x v="0"/>
    <x v="3"/>
    <n v="0.1"/>
    <n v="36.5"/>
    <n v="131.4"/>
  </r>
  <r>
    <x v="0"/>
    <x v="0"/>
    <x v="0"/>
    <x v="0"/>
    <x v="1"/>
    <s v="DK2_NoDH"/>
    <x v="0"/>
    <x v="0"/>
    <s v="GNR_ENG_BGAS_BP_E-34"/>
    <x v="0"/>
    <x v="4"/>
    <n v="0.1"/>
    <n v="36.5"/>
    <n v="131.4"/>
  </r>
  <r>
    <x v="0"/>
    <x v="0"/>
    <x v="0"/>
    <x v="0"/>
    <x v="1"/>
    <s v="DK2_NoDH"/>
    <x v="0"/>
    <x v="0"/>
    <s v="GNR_ENG_BGAS_BP_E-34"/>
    <x v="0"/>
    <x v="5"/>
    <n v="0.1"/>
    <n v="36.5"/>
    <n v="131.4"/>
  </r>
  <r>
    <x v="0"/>
    <x v="0"/>
    <x v="0"/>
    <x v="0"/>
    <x v="1"/>
    <s v="DK2_NoDH"/>
    <x v="0"/>
    <x v="0"/>
    <s v="GNR_ENG_BGAS_BP_E-34"/>
    <x v="0"/>
    <x v="6"/>
    <n v="0.1"/>
    <n v="36.5"/>
    <n v="131.4"/>
  </r>
  <r>
    <x v="0"/>
    <x v="0"/>
    <x v="0"/>
    <x v="0"/>
    <x v="1"/>
    <s v="DK2_NoDH"/>
    <x v="0"/>
    <x v="0"/>
    <s v="GNR_ENG_BGAS_BP_E-34"/>
    <x v="0"/>
    <x v="7"/>
    <n v="0.1"/>
    <n v="36.5"/>
    <n v="131.4"/>
  </r>
  <r>
    <x v="0"/>
    <x v="0"/>
    <x v="0"/>
    <x v="0"/>
    <x v="1"/>
    <s v="DK2_NoDH"/>
    <x v="0"/>
    <x v="0"/>
    <s v="GNR_ENG_BGAS_BP_E-34"/>
    <x v="0"/>
    <x v="8"/>
    <n v="0.1"/>
    <n v="36.5"/>
    <n v="131.4"/>
  </r>
  <r>
    <x v="0"/>
    <x v="0"/>
    <x v="0"/>
    <x v="0"/>
    <x v="1"/>
    <s v="DK2_NoDH"/>
    <x v="0"/>
    <x v="0"/>
    <s v="GNR_ENG_BGAS_BP_E-34"/>
    <x v="0"/>
    <x v="9"/>
    <n v="0.1"/>
    <n v="36.5"/>
    <n v="131.4"/>
  </r>
  <r>
    <x v="0"/>
    <x v="0"/>
    <x v="0"/>
    <x v="0"/>
    <x v="1"/>
    <s v="DK2_NoDH"/>
    <x v="0"/>
    <x v="0"/>
    <s v="GNR_ENG_BGAS_BP_E-34"/>
    <x v="0"/>
    <x v="10"/>
    <n v="0.1"/>
    <n v="36.5"/>
    <n v="131.4"/>
  </r>
  <r>
    <x v="0"/>
    <x v="0"/>
    <x v="0"/>
    <x v="0"/>
    <x v="1"/>
    <s v="DK2_NoDH"/>
    <x v="0"/>
    <x v="0"/>
    <s v="GNR_ENG_BGAS_BP_E-34"/>
    <x v="0"/>
    <x v="11"/>
    <n v="0.1"/>
    <n v="36.5"/>
    <n v="131.4"/>
  </r>
  <r>
    <x v="0"/>
    <x v="0"/>
    <x v="0"/>
    <x v="0"/>
    <x v="1"/>
    <s v="DK2_NoDH"/>
    <x v="0"/>
    <x v="0"/>
    <s v="GNR_ENG_BGAS_BP_E-34"/>
    <x v="0"/>
    <x v="12"/>
    <n v="0.1"/>
    <n v="36.5"/>
    <n v="131.4"/>
  </r>
  <r>
    <x v="0"/>
    <x v="0"/>
    <x v="0"/>
    <x v="0"/>
    <x v="1"/>
    <s v="DK2_NoDH"/>
    <x v="0"/>
    <x v="0"/>
    <s v="GNR_ENG_BGAS_BP_E-34"/>
    <x v="0"/>
    <x v="13"/>
    <n v="0.1"/>
    <n v="36.5"/>
    <n v="131.4"/>
  </r>
  <r>
    <x v="0"/>
    <x v="0"/>
    <x v="0"/>
    <x v="0"/>
    <x v="1"/>
    <s v="DK2_NoDH"/>
    <x v="0"/>
    <x v="0"/>
    <s v="GNR_ENG_BGAS_BP_E-34"/>
    <x v="0"/>
    <x v="14"/>
    <n v="0.1"/>
    <n v="36.5"/>
    <n v="131.4"/>
  </r>
  <r>
    <x v="0"/>
    <x v="0"/>
    <x v="0"/>
    <x v="0"/>
    <x v="1"/>
    <s v="DK2_NoDH"/>
    <x v="0"/>
    <x v="0"/>
    <s v="GNR_ENG_BGAS_BP_E-34"/>
    <x v="0"/>
    <x v="15"/>
    <n v="0.1"/>
    <n v="36.5"/>
    <n v="131.4"/>
  </r>
  <r>
    <x v="0"/>
    <x v="0"/>
    <x v="0"/>
    <x v="0"/>
    <x v="1"/>
    <s v="DK2_NoDH"/>
    <x v="0"/>
    <x v="0"/>
    <s v="GNR_ENG_BGAS_BP_E-34"/>
    <x v="0"/>
    <x v="16"/>
    <n v="0.1"/>
    <n v="36.5"/>
    <n v="131.4"/>
  </r>
  <r>
    <x v="0"/>
    <x v="0"/>
    <x v="0"/>
    <x v="0"/>
    <x v="1"/>
    <s v="DK2_NoDH"/>
    <x v="0"/>
    <x v="0"/>
    <s v="GNR_ENG_BGAS_BP_E-34"/>
    <x v="0"/>
    <x v="17"/>
    <n v="0.1"/>
    <n v="36.5"/>
    <n v="131.4"/>
  </r>
  <r>
    <x v="0"/>
    <x v="0"/>
    <x v="0"/>
    <x v="0"/>
    <x v="1"/>
    <s v="DK2_NoDH"/>
    <x v="0"/>
    <x v="0"/>
    <s v="GNR_ENG_BGAS_BP_E-34"/>
    <x v="0"/>
    <x v="18"/>
    <n v="0.1"/>
    <n v="36.5"/>
    <n v="131.4"/>
  </r>
  <r>
    <x v="0"/>
    <x v="0"/>
    <x v="0"/>
    <x v="0"/>
    <x v="1"/>
    <s v="DK2_NoDH"/>
    <x v="0"/>
    <x v="0"/>
    <s v="GNR_ENG_BGAS_BP_E-34"/>
    <x v="0"/>
    <x v="19"/>
    <n v="0.1"/>
    <n v="36.5"/>
    <n v="131.4"/>
  </r>
  <r>
    <x v="0"/>
    <x v="0"/>
    <x v="0"/>
    <x v="0"/>
    <x v="1"/>
    <s v="DK2_NoDH"/>
    <x v="0"/>
    <x v="0"/>
    <s v="GNR_ENG_BGAS_BP_E-34"/>
    <x v="0"/>
    <x v="20"/>
    <n v="0.1"/>
    <n v="36.5"/>
    <n v="131.4"/>
  </r>
  <r>
    <x v="0"/>
    <x v="0"/>
    <x v="0"/>
    <x v="0"/>
    <x v="1"/>
    <s v="DK2_NoDH"/>
    <x v="0"/>
    <x v="0"/>
    <s v="GNR_ENG_BGAS_BP_E-34"/>
    <x v="0"/>
    <x v="21"/>
    <n v="0.1"/>
    <n v="36.5"/>
    <n v="131.4"/>
  </r>
  <r>
    <x v="0"/>
    <x v="0"/>
    <x v="0"/>
    <x v="0"/>
    <x v="1"/>
    <s v="DK2_NoDH"/>
    <x v="0"/>
    <x v="0"/>
    <s v="GNR_ENG_BGAS_BP_E-34"/>
    <x v="0"/>
    <x v="22"/>
    <n v="0.1"/>
    <n v="36.5"/>
    <n v="131.4"/>
  </r>
  <r>
    <x v="0"/>
    <x v="0"/>
    <x v="0"/>
    <x v="0"/>
    <x v="1"/>
    <s v="DK2_NoDH"/>
    <x v="0"/>
    <x v="0"/>
    <s v="GNR_ENG_BGAS_BP_E-34"/>
    <x v="0"/>
    <x v="23"/>
    <n v="0.1"/>
    <n v="36.5"/>
    <n v="131.4"/>
  </r>
  <r>
    <x v="0"/>
    <x v="0"/>
    <x v="0"/>
    <x v="0"/>
    <x v="1"/>
    <s v="DK2_NoDH"/>
    <x v="0"/>
    <x v="0"/>
    <s v="GNR_ENG_BGAS_BP_E-35"/>
    <x v="0"/>
    <x v="0"/>
    <n v="0.22"/>
    <n v="80.3"/>
    <n v="289.08"/>
  </r>
  <r>
    <x v="0"/>
    <x v="0"/>
    <x v="0"/>
    <x v="0"/>
    <x v="1"/>
    <s v="DK2_NoDH"/>
    <x v="0"/>
    <x v="0"/>
    <s v="GNR_ENG_BGAS_BP_E-35"/>
    <x v="0"/>
    <x v="1"/>
    <n v="0.22"/>
    <n v="80.3"/>
    <n v="289.08"/>
  </r>
  <r>
    <x v="0"/>
    <x v="0"/>
    <x v="0"/>
    <x v="0"/>
    <x v="1"/>
    <s v="DK2_NoDH"/>
    <x v="0"/>
    <x v="0"/>
    <s v="GNR_ENG_BGAS_BP_E-35"/>
    <x v="0"/>
    <x v="2"/>
    <n v="0.22"/>
    <n v="80.3"/>
    <n v="289.08"/>
  </r>
  <r>
    <x v="0"/>
    <x v="0"/>
    <x v="0"/>
    <x v="0"/>
    <x v="1"/>
    <s v="DK2_NoDH"/>
    <x v="0"/>
    <x v="0"/>
    <s v="GNR_ENG_BGAS_BP_E-35"/>
    <x v="0"/>
    <x v="3"/>
    <n v="0.22"/>
    <n v="80.3"/>
    <n v="289.08"/>
  </r>
  <r>
    <x v="0"/>
    <x v="0"/>
    <x v="0"/>
    <x v="0"/>
    <x v="1"/>
    <s v="DK2_NoDH"/>
    <x v="0"/>
    <x v="0"/>
    <s v="GNR_ENG_BGAS_BP_E-35"/>
    <x v="0"/>
    <x v="4"/>
    <n v="0.22"/>
    <n v="80.3"/>
    <n v="289.08"/>
  </r>
  <r>
    <x v="0"/>
    <x v="0"/>
    <x v="0"/>
    <x v="0"/>
    <x v="1"/>
    <s v="DK2_NoDH"/>
    <x v="0"/>
    <x v="0"/>
    <s v="GNR_ENG_BGAS_BP_E-35"/>
    <x v="0"/>
    <x v="5"/>
    <n v="0.22"/>
    <n v="80.3"/>
    <n v="289.08"/>
  </r>
  <r>
    <x v="0"/>
    <x v="0"/>
    <x v="0"/>
    <x v="0"/>
    <x v="1"/>
    <s v="DK2_NoDH"/>
    <x v="0"/>
    <x v="0"/>
    <s v="GNR_ENG_BGAS_BP_E-35"/>
    <x v="0"/>
    <x v="6"/>
    <n v="0.22"/>
    <n v="80.3"/>
    <n v="289.08"/>
  </r>
  <r>
    <x v="0"/>
    <x v="0"/>
    <x v="0"/>
    <x v="0"/>
    <x v="1"/>
    <s v="DK2_NoDH"/>
    <x v="0"/>
    <x v="0"/>
    <s v="GNR_ENG_BGAS_BP_E-35"/>
    <x v="0"/>
    <x v="7"/>
    <n v="0.22"/>
    <n v="80.3"/>
    <n v="289.08"/>
  </r>
  <r>
    <x v="0"/>
    <x v="0"/>
    <x v="0"/>
    <x v="0"/>
    <x v="1"/>
    <s v="DK2_NoDH"/>
    <x v="0"/>
    <x v="0"/>
    <s v="GNR_ENG_BGAS_BP_E-35"/>
    <x v="0"/>
    <x v="8"/>
    <n v="0.22"/>
    <n v="80.3"/>
    <n v="289.08"/>
  </r>
  <r>
    <x v="0"/>
    <x v="0"/>
    <x v="0"/>
    <x v="0"/>
    <x v="1"/>
    <s v="DK2_NoDH"/>
    <x v="0"/>
    <x v="0"/>
    <s v="GNR_ENG_BGAS_BP_E-35"/>
    <x v="0"/>
    <x v="9"/>
    <n v="0.22"/>
    <n v="80.3"/>
    <n v="289.08"/>
  </r>
  <r>
    <x v="0"/>
    <x v="0"/>
    <x v="0"/>
    <x v="0"/>
    <x v="1"/>
    <s v="DK2_NoDH"/>
    <x v="0"/>
    <x v="0"/>
    <s v="GNR_ENG_BGAS_BP_E-35"/>
    <x v="0"/>
    <x v="10"/>
    <n v="0.22"/>
    <n v="80.3"/>
    <n v="289.08"/>
  </r>
  <r>
    <x v="0"/>
    <x v="0"/>
    <x v="0"/>
    <x v="0"/>
    <x v="1"/>
    <s v="DK2_NoDH"/>
    <x v="0"/>
    <x v="0"/>
    <s v="GNR_ENG_BGAS_BP_E-35"/>
    <x v="0"/>
    <x v="11"/>
    <n v="0.22"/>
    <n v="80.3"/>
    <n v="289.08"/>
  </r>
  <r>
    <x v="0"/>
    <x v="0"/>
    <x v="0"/>
    <x v="0"/>
    <x v="1"/>
    <s v="DK2_NoDH"/>
    <x v="0"/>
    <x v="0"/>
    <s v="GNR_ENG_BGAS_BP_E-35"/>
    <x v="0"/>
    <x v="12"/>
    <n v="0.22"/>
    <n v="80.3"/>
    <n v="289.08"/>
  </r>
  <r>
    <x v="0"/>
    <x v="0"/>
    <x v="0"/>
    <x v="0"/>
    <x v="1"/>
    <s v="DK2_NoDH"/>
    <x v="0"/>
    <x v="0"/>
    <s v="GNR_ENG_BGAS_BP_E-35"/>
    <x v="0"/>
    <x v="13"/>
    <n v="0.22"/>
    <n v="80.3"/>
    <n v="289.08"/>
  </r>
  <r>
    <x v="0"/>
    <x v="0"/>
    <x v="0"/>
    <x v="0"/>
    <x v="1"/>
    <s v="DK2_NoDH"/>
    <x v="0"/>
    <x v="0"/>
    <s v="GNR_ENG_BGAS_BP_E-35"/>
    <x v="0"/>
    <x v="14"/>
    <n v="0.22"/>
    <n v="80.3"/>
    <n v="289.08"/>
  </r>
  <r>
    <x v="0"/>
    <x v="0"/>
    <x v="0"/>
    <x v="0"/>
    <x v="1"/>
    <s v="DK2_NoDH"/>
    <x v="0"/>
    <x v="0"/>
    <s v="GNR_ENG_BGAS_BP_E-35"/>
    <x v="0"/>
    <x v="15"/>
    <n v="0.22"/>
    <n v="80.3"/>
    <n v="289.08"/>
  </r>
  <r>
    <x v="0"/>
    <x v="0"/>
    <x v="0"/>
    <x v="0"/>
    <x v="1"/>
    <s v="DK2_NoDH"/>
    <x v="0"/>
    <x v="0"/>
    <s v="GNR_ENG_BGAS_BP_E-35"/>
    <x v="0"/>
    <x v="16"/>
    <n v="0.22"/>
    <n v="80.3"/>
    <n v="289.08"/>
  </r>
  <r>
    <x v="0"/>
    <x v="0"/>
    <x v="0"/>
    <x v="0"/>
    <x v="1"/>
    <s v="DK2_NoDH"/>
    <x v="0"/>
    <x v="0"/>
    <s v="GNR_ENG_BGAS_BP_E-35"/>
    <x v="0"/>
    <x v="17"/>
    <n v="0.22"/>
    <n v="80.3"/>
    <n v="289.08"/>
  </r>
  <r>
    <x v="0"/>
    <x v="0"/>
    <x v="0"/>
    <x v="0"/>
    <x v="1"/>
    <s v="DK2_NoDH"/>
    <x v="0"/>
    <x v="0"/>
    <s v="GNR_ENG_BGAS_BP_E-35"/>
    <x v="0"/>
    <x v="18"/>
    <n v="0.22"/>
    <n v="80.3"/>
    <n v="289.08"/>
  </r>
  <r>
    <x v="0"/>
    <x v="0"/>
    <x v="0"/>
    <x v="0"/>
    <x v="1"/>
    <s v="DK2_NoDH"/>
    <x v="0"/>
    <x v="0"/>
    <s v="GNR_ENG_BGAS_BP_E-35"/>
    <x v="0"/>
    <x v="19"/>
    <n v="0.22"/>
    <n v="80.3"/>
    <n v="289.08"/>
  </r>
  <r>
    <x v="0"/>
    <x v="0"/>
    <x v="0"/>
    <x v="0"/>
    <x v="1"/>
    <s v="DK2_NoDH"/>
    <x v="0"/>
    <x v="0"/>
    <s v="GNR_ENG_BGAS_BP_E-35"/>
    <x v="0"/>
    <x v="20"/>
    <n v="0.22"/>
    <n v="80.3"/>
    <n v="289.08"/>
  </r>
  <r>
    <x v="0"/>
    <x v="0"/>
    <x v="0"/>
    <x v="0"/>
    <x v="1"/>
    <s v="DK2_NoDH"/>
    <x v="0"/>
    <x v="0"/>
    <s v="GNR_ENG_BGAS_BP_E-35"/>
    <x v="0"/>
    <x v="21"/>
    <n v="0.22"/>
    <n v="80.3"/>
    <n v="289.08"/>
  </r>
  <r>
    <x v="0"/>
    <x v="0"/>
    <x v="0"/>
    <x v="0"/>
    <x v="1"/>
    <s v="DK2_NoDH"/>
    <x v="0"/>
    <x v="0"/>
    <s v="GNR_ENG_BGAS_BP_E-35"/>
    <x v="0"/>
    <x v="22"/>
    <n v="0.22"/>
    <n v="80.3"/>
    <n v="289.08"/>
  </r>
  <r>
    <x v="0"/>
    <x v="0"/>
    <x v="0"/>
    <x v="0"/>
    <x v="1"/>
    <s v="DK2_NoDH"/>
    <x v="0"/>
    <x v="0"/>
    <s v="GNR_ENG_BGAS_BP_E-35"/>
    <x v="0"/>
    <x v="23"/>
    <n v="0.22"/>
    <n v="80.3"/>
    <n v="289.08"/>
  </r>
  <r>
    <x v="0"/>
    <x v="0"/>
    <x v="0"/>
    <x v="0"/>
    <x v="1"/>
    <s v="DK2_NoDH"/>
    <x v="0"/>
    <x v="0"/>
    <s v="GNR_ENG_BGAS_BP_E-36"/>
    <x v="0"/>
    <x v="0"/>
    <n v="6.3E-2"/>
    <n v="22.995000000000001"/>
    <n v="82.781999999999996"/>
  </r>
  <r>
    <x v="0"/>
    <x v="0"/>
    <x v="0"/>
    <x v="0"/>
    <x v="1"/>
    <s v="DK2_NoDH"/>
    <x v="0"/>
    <x v="0"/>
    <s v="GNR_ENG_BGAS_BP_E-36"/>
    <x v="0"/>
    <x v="1"/>
    <n v="6.3E-2"/>
    <n v="22.995000000000001"/>
    <n v="82.781999999999996"/>
  </r>
  <r>
    <x v="0"/>
    <x v="0"/>
    <x v="0"/>
    <x v="0"/>
    <x v="1"/>
    <s v="DK2_NoDH"/>
    <x v="0"/>
    <x v="0"/>
    <s v="GNR_ENG_BGAS_BP_E-36"/>
    <x v="0"/>
    <x v="2"/>
    <n v="6.3E-2"/>
    <n v="22.995000000000001"/>
    <n v="82.781999999999996"/>
  </r>
  <r>
    <x v="0"/>
    <x v="0"/>
    <x v="0"/>
    <x v="0"/>
    <x v="1"/>
    <s v="DK2_NoDH"/>
    <x v="0"/>
    <x v="0"/>
    <s v="GNR_ENG_BGAS_BP_E-36"/>
    <x v="0"/>
    <x v="3"/>
    <n v="6.3E-2"/>
    <n v="22.995000000000001"/>
    <n v="82.781999999999996"/>
  </r>
  <r>
    <x v="0"/>
    <x v="0"/>
    <x v="0"/>
    <x v="0"/>
    <x v="1"/>
    <s v="DK2_NoDH"/>
    <x v="0"/>
    <x v="0"/>
    <s v="GNR_ENG_BGAS_BP_E-36"/>
    <x v="0"/>
    <x v="4"/>
    <n v="6.3E-2"/>
    <n v="22.995000000000001"/>
    <n v="82.781999999999996"/>
  </r>
  <r>
    <x v="0"/>
    <x v="0"/>
    <x v="0"/>
    <x v="0"/>
    <x v="1"/>
    <s v="DK2_NoDH"/>
    <x v="0"/>
    <x v="0"/>
    <s v="GNR_ENG_BGAS_BP_E-36"/>
    <x v="0"/>
    <x v="5"/>
    <n v="6.3E-2"/>
    <n v="22.995000000000001"/>
    <n v="82.781999999999996"/>
  </r>
  <r>
    <x v="0"/>
    <x v="0"/>
    <x v="0"/>
    <x v="0"/>
    <x v="1"/>
    <s v="DK2_NoDH"/>
    <x v="0"/>
    <x v="0"/>
    <s v="GNR_ENG_BGAS_BP_E-36"/>
    <x v="0"/>
    <x v="6"/>
    <n v="6.3E-2"/>
    <n v="22.995000000000001"/>
    <n v="82.781999999999996"/>
  </r>
  <r>
    <x v="0"/>
    <x v="0"/>
    <x v="0"/>
    <x v="0"/>
    <x v="1"/>
    <s v="DK2_NoDH"/>
    <x v="0"/>
    <x v="0"/>
    <s v="GNR_ENG_BGAS_BP_E-36"/>
    <x v="0"/>
    <x v="7"/>
    <n v="6.3E-2"/>
    <n v="22.995000000000001"/>
    <n v="82.781999999999996"/>
  </r>
  <r>
    <x v="0"/>
    <x v="0"/>
    <x v="0"/>
    <x v="0"/>
    <x v="1"/>
    <s v="DK2_NoDH"/>
    <x v="0"/>
    <x v="0"/>
    <s v="GNR_ENG_BGAS_BP_E-36"/>
    <x v="0"/>
    <x v="8"/>
    <n v="6.3E-2"/>
    <n v="22.995000000000001"/>
    <n v="82.781999999999996"/>
  </r>
  <r>
    <x v="0"/>
    <x v="0"/>
    <x v="0"/>
    <x v="0"/>
    <x v="1"/>
    <s v="DK2_NoDH"/>
    <x v="0"/>
    <x v="0"/>
    <s v="GNR_ENG_BGAS_BP_E-36"/>
    <x v="0"/>
    <x v="9"/>
    <n v="6.3E-2"/>
    <n v="22.995000000000001"/>
    <n v="82.781999999999996"/>
  </r>
  <r>
    <x v="0"/>
    <x v="0"/>
    <x v="0"/>
    <x v="0"/>
    <x v="1"/>
    <s v="DK2_NoDH"/>
    <x v="0"/>
    <x v="0"/>
    <s v="GNR_ENG_BGAS_BP_E-36"/>
    <x v="0"/>
    <x v="10"/>
    <n v="6.3E-2"/>
    <n v="22.995000000000001"/>
    <n v="82.781999999999996"/>
  </r>
  <r>
    <x v="0"/>
    <x v="0"/>
    <x v="0"/>
    <x v="0"/>
    <x v="1"/>
    <s v="DK2_NoDH"/>
    <x v="0"/>
    <x v="0"/>
    <s v="GNR_ENG_BGAS_BP_E-36"/>
    <x v="0"/>
    <x v="11"/>
    <n v="6.3E-2"/>
    <n v="22.995000000000001"/>
    <n v="82.781999999999996"/>
  </r>
  <r>
    <x v="0"/>
    <x v="0"/>
    <x v="0"/>
    <x v="0"/>
    <x v="1"/>
    <s v="DK2_NoDH"/>
    <x v="0"/>
    <x v="0"/>
    <s v="GNR_ENG_BGAS_BP_E-36"/>
    <x v="0"/>
    <x v="12"/>
    <n v="6.3E-2"/>
    <n v="22.995000000000001"/>
    <n v="82.781999999999996"/>
  </r>
  <r>
    <x v="0"/>
    <x v="0"/>
    <x v="0"/>
    <x v="0"/>
    <x v="1"/>
    <s v="DK2_NoDH"/>
    <x v="0"/>
    <x v="0"/>
    <s v="GNR_ENG_BGAS_BP_E-36"/>
    <x v="0"/>
    <x v="13"/>
    <n v="6.3E-2"/>
    <n v="22.995000000000001"/>
    <n v="82.781999999999996"/>
  </r>
  <r>
    <x v="0"/>
    <x v="0"/>
    <x v="0"/>
    <x v="0"/>
    <x v="1"/>
    <s v="DK2_NoDH"/>
    <x v="0"/>
    <x v="0"/>
    <s v="GNR_ENG_BGAS_BP_E-36"/>
    <x v="0"/>
    <x v="14"/>
    <n v="6.3E-2"/>
    <n v="22.995000000000001"/>
    <n v="82.781999999999996"/>
  </r>
  <r>
    <x v="0"/>
    <x v="0"/>
    <x v="0"/>
    <x v="0"/>
    <x v="1"/>
    <s v="DK2_NoDH"/>
    <x v="0"/>
    <x v="0"/>
    <s v="GNR_ENG_BGAS_BP_E-36"/>
    <x v="0"/>
    <x v="15"/>
    <n v="6.3E-2"/>
    <n v="22.995000000000001"/>
    <n v="82.781999999999996"/>
  </r>
  <r>
    <x v="0"/>
    <x v="0"/>
    <x v="0"/>
    <x v="0"/>
    <x v="1"/>
    <s v="DK2_NoDH"/>
    <x v="0"/>
    <x v="0"/>
    <s v="GNR_ENG_BGAS_BP_E-36"/>
    <x v="0"/>
    <x v="16"/>
    <n v="6.3E-2"/>
    <n v="22.995000000000001"/>
    <n v="82.781999999999996"/>
  </r>
  <r>
    <x v="0"/>
    <x v="0"/>
    <x v="0"/>
    <x v="0"/>
    <x v="1"/>
    <s v="DK2_NoDH"/>
    <x v="0"/>
    <x v="0"/>
    <s v="GNR_ENG_BGAS_BP_E-36"/>
    <x v="0"/>
    <x v="17"/>
    <n v="6.3E-2"/>
    <n v="22.995000000000001"/>
    <n v="82.781999999999996"/>
  </r>
  <r>
    <x v="0"/>
    <x v="0"/>
    <x v="0"/>
    <x v="0"/>
    <x v="1"/>
    <s v="DK2_NoDH"/>
    <x v="0"/>
    <x v="0"/>
    <s v="GNR_ENG_BGAS_BP_E-36"/>
    <x v="0"/>
    <x v="18"/>
    <n v="6.3E-2"/>
    <n v="22.995000000000001"/>
    <n v="82.781999999999996"/>
  </r>
  <r>
    <x v="0"/>
    <x v="0"/>
    <x v="0"/>
    <x v="0"/>
    <x v="1"/>
    <s v="DK2_NoDH"/>
    <x v="0"/>
    <x v="0"/>
    <s v="GNR_ENG_BGAS_BP_E-36"/>
    <x v="0"/>
    <x v="19"/>
    <n v="6.3E-2"/>
    <n v="22.995000000000001"/>
    <n v="82.781999999999996"/>
  </r>
  <r>
    <x v="0"/>
    <x v="0"/>
    <x v="0"/>
    <x v="0"/>
    <x v="1"/>
    <s v="DK2_NoDH"/>
    <x v="0"/>
    <x v="0"/>
    <s v="GNR_ENG_BGAS_BP_E-36"/>
    <x v="0"/>
    <x v="20"/>
    <n v="6.3E-2"/>
    <n v="22.995000000000001"/>
    <n v="82.781999999999996"/>
  </r>
  <r>
    <x v="0"/>
    <x v="0"/>
    <x v="0"/>
    <x v="0"/>
    <x v="1"/>
    <s v="DK2_NoDH"/>
    <x v="0"/>
    <x v="0"/>
    <s v="GNR_ENG_BGAS_BP_E-36"/>
    <x v="0"/>
    <x v="21"/>
    <n v="6.3E-2"/>
    <n v="22.995000000000001"/>
    <n v="82.781999999999996"/>
  </r>
  <r>
    <x v="0"/>
    <x v="0"/>
    <x v="0"/>
    <x v="0"/>
    <x v="1"/>
    <s v="DK2_NoDH"/>
    <x v="0"/>
    <x v="0"/>
    <s v="GNR_ENG_BGAS_BP_E-36"/>
    <x v="0"/>
    <x v="22"/>
    <n v="6.3E-2"/>
    <n v="22.995000000000001"/>
    <n v="82.781999999999996"/>
  </r>
  <r>
    <x v="0"/>
    <x v="0"/>
    <x v="0"/>
    <x v="0"/>
    <x v="1"/>
    <s v="DK2_NoDH"/>
    <x v="0"/>
    <x v="0"/>
    <s v="GNR_ENG_BGAS_BP_E-36"/>
    <x v="0"/>
    <x v="23"/>
    <n v="6.3E-2"/>
    <n v="22.995000000000001"/>
    <n v="82.781999999999996"/>
  </r>
  <r>
    <x v="0"/>
    <x v="0"/>
    <x v="0"/>
    <x v="0"/>
    <x v="1"/>
    <s v="DK2_NoDH"/>
    <x v="0"/>
    <x v="0"/>
    <s v="GNR_ENG_BGAS_BP_E-37"/>
    <x v="0"/>
    <x v="0"/>
    <n v="0.1"/>
    <n v="36.5"/>
    <n v="131.4"/>
  </r>
  <r>
    <x v="0"/>
    <x v="0"/>
    <x v="0"/>
    <x v="0"/>
    <x v="1"/>
    <s v="DK2_NoDH"/>
    <x v="0"/>
    <x v="0"/>
    <s v="GNR_ENG_BGAS_BP_E-37"/>
    <x v="0"/>
    <x v="1"/>
    <n v="0.1"/>
    <n v="36.5"/>
    <n v="131.4"/>
  </r>
  <r>
    <x v="0"/>
    <x v="0"/>
    <x v="0"/>
    <x v="0"/>
    <x v="1"/>
    <s v="DK2_NoDH"/>
    <x v="0"/>
    <x v="0"/>
    <s v="GNR_ENG_BGAS_BP_E-37"/>
    <x v="0"/>
    <x v="2"/>
    <n v="0.1"/>
    <n v="36.5"/>
    <n v="131.4"/>
  </r>
  <r>
    <x v="0"/>
    <x v="0"/>
    <x v="0"/>
    <x v="0"/>
    <x v="1"/>
    <s v="DK2_NoDH"/>
    <x v="0"/>
    <x v="0"/>
    <s v="GNR_ENG_BGAS_BP_E-37"/>
    <x v="0"/>
    <x v="3"/>
    <n v="0.1"/>
    <n v="36.5"/>
    <n v="131.4"/>
  </r>
  <r>
    <x v="0"/>
    <x v="0"/>
    <x v="0"/>
    <x v="0"/>
    <x v="1"/>
    <s v="DK2_NoDH"/>
    <x v="0"/>
    <x v="0"/>
    <s v="GNR_ENG_BGAS_BP_E-37"/>
    <x v="0"/>
    <x v="4"/>
    <n v="0.1"/>
    <n v="36.5"/>
    <n v="131.4"/>
  </r>
  <r>
    <x v="0"/>
    <x v="0"/>
    <x v="0"/>
    <x v="0"/>
    <x v="1"/>
    <s v="DK2_NoDH"/>
    <x v="0"/>
    <x v="0"/>
    <s v="GNR_ENG_BGAS_BP_E-37"/>
    <x v="0"/>
    <x v="5"/>
    <n v="0.1"/>
    <n v="36.5"/>
    <n v="131.4"/>
  </r>
  <r>
    <x v="0"/>
    <x v="0"/>
    <x v="0"/>
    <x v="0"/>
    <x v="1"/>
    <s v="DK2_NoDH"/>
    <x v="0"/>
    <x v="0"/>
    <s v="GNR_ENG_BGAS_BP_E-37"/>
    <x v="0"/>
    <x v="6"/>
    <n v="0.1"/>
    <n v="36.5"/>
    <n v="131.4"/>
  </r>
  <r>
    <x v="0"/>
    <x v="0"/>
    <x v="0"/>
    <x v="0"/>
    <x v="1"/>
    <s v="DK2_NoDH"/>
    <x v="0"/>
    <x v="0"/>
    <s v="GNR_ENG_BGAS_BP_E-37"/>
    <x v="0"/>
    <x v="7"/>
    <n v="0.1"/>
    <n v="36.5"/>
    <n v="131.4"/>
  </r>
  <r>
    <x v="0"/>
    <x v="0"/>
    <x v="0"/>
    <x v="0"/>
    <x v="1"/>
    <s v="DK2_NoDH"/>
    <x v="0"/>
    <x v="0"/>
    <s v="GNR_ENG_BGAS_BP_E-37"/>
    <x v="0"/>
    <x v="8"/>
    <n v="0.1"/>
    <n v="36.5"/>
    <n v="131.4"/>
  </r>
  <r>
    <x v="0"/>
    <x v="0"/>
    <x v="0"/>
    <x v="0"/>
    <x v="1"/>
    <s v="DK2_NoDH"/>
    <x v="0"/>
    <x v="0"/>
    <s v="GNR_ENG_BGAS_BP_E-37"/>
    <x v="0"/>
    <x v="9"/>
    <n v="0.1"/>
    <n v="36.5"/>
    <n v="131.4"/>
  </r>
  <r>
    <x v="0"/>
    <x v="0"/>
    <x v="0"/>
    <x v="0"/>
    <x v="1"/>
    <s v="DK2_NoDH"/>
    <x v="0"/>
    <x v="0"/>
    <s v="GNR_ENG_BGAS_BP_E-37"/>
    <x v="0"/>
    <x v="10"/>
    <n v="0.1"/>
    <n v="36.5"/>
    <n v="131.4"/>
  </r>
  <r>
    <x v="0"/>
    <x v="0"/>
    <x v="0"/>
    <x v="0"/>
    <x v="1"/>
    <s v="DK2_NoDH"/>
    <x v="0"/>
    <x v="0"/>
    <s v="GNR_ENG_BGAS_BP_E-37"/>
    <x v="0"/>
    <x v="11"/>
    <n v="0.1"/>
    <n v="36.5"/>
    <n v="131.4"/>
  </r>
  <r>
    <x v="0"/>
    <x v="0"/>
    <x v="0"/>
    <x v="0"/>
    <x v="1"/>
    <s v="DK2_NoDH"/>
    <x v="0"/>
    <x v="0"/>
    <s v="GNR_ENG_BGAS_BP_E-37"/>
    <x v="0"/>
    <x v="12"/>
    <n v="0.1"/>
    <n v="36.5"/>
    <n v="131.4"/>
  </r>
  <r>
    <x v="0"/>
    <x v="0"/>
    <x v="0"/>
    <x v="0"/>
    <x v="1"/>
    <s v="DK2_NoDH"/>
    <x v="0"/>
    <x v="0"/>
    <s v="GNR_ENG_BGAS_BP_E-37"/>
    <x v="0"/>
    <x v="13"/>
    <n v="0.1"/>
    <n v="36.5"/>
    <n v="131.4"/>
  </r>
  <r>
    <x v="0"/>
    <x v="0"/>
    <x v="0"/>
    <x v="0"/>
    <x v="1"/>
    <s v="DK2_NoDH"/>
    <x v="0"/>
    <x v="0"/>
    <s v="GNR_ENG_BGAS_BP_E-37"/>
    <x v="0"/>
    <x v="14"/>
    <n v="0.1"/>
    <n v="36.5"/>
    <n v="131.4"/>
  </r>
  <r>
    <x v="0"/>
    <x v="0"/>
    <x v="0"/>
    <x v="0"/>
    <x v="1"/>
    <s v="DK2_NoDH"/>
    <x v="0"/>
    <x v="0"/>
    <s v="GNR_ENG_BGAS_BP_E-37"/>
    <x v="0"/>
    <x v="15"/>
    <n v="0.1"/>
    <n v="36.5"/>
    <n v="131.4"/>
  </r>
  <r>
    <x v="0"/>
    <x v="0"/>
    <x v="0"/>
    <x v="0"/>
    <x v="1"/>
    <s v="DK2_NoDH"/>
    <x v="0"/>
    <x v="0"/>
    <s v="GNR_ENG_BGAS_BP_E-37"/>
    <x v="0"/>
    <x v="16"/>
    <n v="0.1"/>
    <n v="36.5"/>
    <n v="131.4"/>
  </r>
  <r>
    <x v="0"/>
    <x v="0"/>
    <x v="0"/>
    <x v="0"/>
    <x v="1"/>
    <s v="DK2_NoDH"/>
    <x v="0"/>
    <x v="0"/>
    <s v="GNR_ENG_BGAS_BP_E-37"/>
    <x v="0"/>
    <x v="17"/>
    <n v="0.1"/>
    <n v="36.5"/>
    <n v="131.4"/>
  </r>
  <r>
    <x v="0"/>
    <x v="0"/>
    <x v="0"/>
    <x v="0"/>
    <x v="1"/>
    <s v="DK2_NoDH"/>
    <x v="0"/>
    <x v="0"/>
    <s v="GNR_ENG_BGAS_BP_E-37"/>
    <x v="0"/>
    <x v="18"/>
    <n v="0.1"/>
    <n v="36.5"/>
    <n v="131.4"/>
  </r>
  <r>
    <x v="0"/>
    <x v="0"/>
    <x v="0"/>
    <x v="0"/>
    <x v="1"/>
    <s v="DK2_NoDH"/>
    <x v="0"/>
    <x v="0"/>
    <s v="GNR_ENG_BGAS_BP_E-37"/>
    <x v="0"/>
    <x v="19"/>
    <n v="0.1"/>
    <n v="36.5"/>
    <n v="131.4"/>
  </r>
  <r>
    <x v="0"/>
    <x v="0"/>
    <x v="0"/>
    <x v="0"/>
    <x v="1"/>
    <s v="DK2_NoDH"/>
    <x v="0"/>
    <x v="0"/>
    <s v="GNR_ENG_BGAS_BP_E-37"/>
    <x v="0"/>
    <x v="20"/>
    <n v="0.1"/>
    <n v="36.5"/>
    <n v="131.4"/>
  </r>
  <r>
    <x v="0"/>
    <x v="0"/>
    <x v="0"/>
    <x v="0"/>
    <x v="1"/>
    <s v="DK2_NoDH"/>
    <x v="0"/>
    <x v="0"/>
    <s v="GNR_ENG_BGAS_BP_E-37"/>
    <x v="0"/>
    <x v="21"/>
    <n v="0.1"/>
    <n v="36.5"/>
    <n v="131.4"/>
  </r>
  <r>
    <x v="0"/>
    <x v="0"/>
    <x v="0"/>
    <x v="0"/>
    <x v="1"/>
    <s v="DK2_NoDH"/>
    <x v="0"/>
    <x v="0"/>
    <s v="GNR_ENG_BGAS_BP_E-37"/>
    <x v="0"/>
    <x v="22"/>
    <n v="0.1"/>
    <n v="36.5"/>
    <n v="131.4"/>
  </r>
  <r>
    <x v="0"/>
    <x v="0"/>
    <x v="0"/>
    <x v="0"/>
    <x v="1"/>
    <s v="DK2_NoDH"/>
    <x v="0"/>
    <x v="0"/>
    <s v="GNR_ENG_BGAS_BP_E-37"/>
    <x v="0"/>
    <x v="23"/>
    <n v="0.1"/>
    <n v="36.5"/>
    <n v="131.4"/>
  </r>
  <r>
    <x v="0"/>
    <x v="0"/>
    <x v="0"/>
    <x v="0"/>
    <x v="1"/>
    <s v="DK2_NoDH"/>
    <x v="0"/>
    <x v="0"/>
    <s v="GNR_ENG_BGAS_BP_E-38"/>
    <x v="0"/>
    <x v="0"/>
    <n v="0.36299999999999999"/>
    <n v="132.495"/>
    <n v="476.98200000000003"/>
  </r>
  <r>
    <x v="0"/>
    <x v="0"/>
    <x v="0"/>
    <x v="0"/>
    <x v="1"/>
    <s v="DK2_NoDH"/>
    <x v="0"/>
    <x v="0"/>
    <s v="GNR_ENG_BGAS_BP_E-38"/>
    <x v="0"/>
    <x v="1"/>
    <n v="0.36299999999999999"/>
    <n v="132.495"/>
    <n v="476.98200000000003"/>
  </r>
  <r>
    <x v="0"/>
    <x v="0"/>
    <x v="0"/>
    <x v="0"/>
    <x v="1"/>
    <s v="DK2_NoDH"/>
    <x v="0"/>
    <x v="0"/>
    <s v="GNR_ENG_BGAS_BP_E-38"/>
    <x v="0"/>
    <x v="2"/>
    <n v="0.36299999999999999"/>
    <n v="132.495"/>
    <n v="476.98200000000003"/>
  </r>
  <r>
    <x v="0"/>
    <x v="0"/>
    <x v="0"/>
    <x v="0"/>
    <x v="1"/>
    <s v="DK2_NoDH"/>
    <x v="0"/>
    <x v="0"/>
    <s v="GNR_ENG_BGAS_BP_E-38"/>
    <x v="0"/>
    <x v="3"/>
    <n v="0.36299999999999999"/>
    <n v="132.495"/>
    <n v="476.98200000000003"/>
  </r>
  <r>
    <x v="0"/>
    <x v="0"/>
    <x v="0"/>
    <x v="0"/>
    <x v="1"/>
    <s v="DK2_NoDH"/>
    <x v="0"/>
    <x v="0"/>
    <s v="GNR_ENG_BGAS_BP_E-38"/>
    <x v="0"/>
    <x v="4"/>
    <n v="0.36299999999999999"/>
    <n v="132.495"/>
    <n v="476.98200000000003"/>
  </r>
  <r>
    <x v="0"/>
    <x v="0"/>
    <x v="0"/>
    <x v="0"/>
    <x v="1"/>
    <s v="DK2_NoDH"/>
    <x v="0"/>
    <x v="0"/>
    <s v="GNR_ENG_BGAS_BP_E-38"/>
    <x v="0"/>
    <x v="5"/>
    <n v="0.36299999999999999"/>
    <n v="132.495"/>
    <n v="476.98200000000003"/>
  </r>
  <r>
    <x v="0"/>
    <x v="0"/>
    <x v="0"/>
    <x v="0"/>
    <x v="1"/>
    <s v="DK2_NoDH"/>
    <x v="0"/>
    <x v="0"/>
    <s v="GNR_ENG_BGAS_BP_E-38"/>
    <x v="0"/>
    <x v="6"/>
    <n v="0.36299999999999999"/>
    <n v="132.495"/>
    <n v="476.98200000000003"/>
  </r>
  <r>
    <x v="0"/>
    <x v="0"/>
    <x v="0"/>
    <x v="0"/>
    <x v="1"/>
    <s v="DK2_NoDH"/>
    <x v="0"/>
    <x v="0"/>
    <s v="GNR_ENG_BGAS_BP_E-38"/>
    <x v="0"/>
    <x v="7"/>
    <n v="0.36299999999999999"/>
    <n v="132.495"/>
    <n v="476.98200000000003"/>
  </r>
  <r>
    <x v="0"/>
    <x v="0"/>
    <x v="0"/>
    <x v="0"/>
    <x v="1"/>
    <s v="DK2_NoDH"/>
    <x v="0"/>
    <x v="0"/>
    <s v="GNR_ENG_BGAS_BP_E-38"/>
    <x v="0"/>
    <x v="8"/>
    <n v="0.36299999999999999"/>
    <n v="132.495"/>
    <n v="476.98200000000003"/>
  </r>
  <r>
    <x v="0"/>
    <x v="0"/>
    <x v="0"/>
    <x v="0"/>
    <x v="1"/>
    <s v="DK2_NoDH"/>
    <x v="0"/>
    <x v="0"/>
    <s v="GNR_ENG_BGAS_BP_E-38"/>
    <x v="0"/>
    <x v="9"/>
    <n v="0.36299999999999999"/>
    <n v="132.495"/>
    <n v="476.98200000000003"/>
  </r>
  <r>
    <x v="0"/>
    <x v="0"/>
    <x v="0"/>
    <x v="0"/>
    <x v="1"/>
    <s v="DK2_NoDH"/>
    <x v="0"/>
    <x v="0"/>
    <s v="GNR_ENG_BGAS_BP_E-38"/>
    <x v="0"/>
    <x v="10"/>
    <n v="0.36299999999999999"/>
    <n v="132.495"/>
    <n v="476.98200000000003"/>
  </r>
  <r>
    <x v="0"/>
    <x v="0"/>
    <x v="0"/>
    <x v="0"/>
    <x v="1"/>
    <s v="DK2_NoDH"/>
    <x v="0"/>
    <x v="0"/>
    <s v="GNR_ENG_BGAS_BP_E-38"/>
    <x v="0"/>
    <x v="11"/>
    <n v="0.36299999999999999"/>
    <n v="132.495"/>
    <n v="476.98200000000003"/>
  </r>
  <r>
    <x v="0"/>
    <x v="0"/>
    <x v="0"/>
    <x v="0"/>
    <x v="1"/>
    <s v="DK2_NoDH"/>
    <x v="0"/>
    <x v="0"/>
    <s v="GNR_ENG_BGAS_BP_E-38"/>
    <x v="0"/>
    <x v="12"/>
    <n v="0.36299999999999999"/>
    <n v="132.495"/>
    <n v="476.98200000000003"/>
  </r>
  <r>
    <x v="0"/>
    <x v="0"/>
    <x v="0"/>
    <x v="0"/>
    <x v="1"/>
    <s v="DK2_NoDH"/>
    <x v="0"/>
    <x v="0"/>
    <s v="GNR_ENG_BGAS_BP_E-38"/>
    <x v="0"/>
    <x v="13"/>
    <n v="0.36299999999999999"/>
    <n v="132.495"/>
    <n v="476.98200000000003"/>
  </r>
  <r>
    <x v="0"/>
    <x v="0"/>
    <x v="0"/>
    <x v="0"/>
    <x v="1"/>
    <s v="DK2_NoDH"/>
    <x v="0"/>
    <x v="0"/>
    <s v="GNR_ENG_BGAS_BP_E-38"/>
    <x v="0"/>
    <x v="14"/>
    <n v="0.36299999999999999"/>
    <n v="132.495"/>
    <n v="476.98200000000003"/>
  </r>
  <r>
    <x v="0"/>
    <x v="0"/>
    <x v="0"/>
    <x v="0"/>
    <x v="1"/>
    <s v="DK2_NoDH"/>
    <x v="0"/>
    <x v="0"/>
    <s v="GNR_ENG_BGAS_BP_E-38"/>
    <x v="0"/>
    <x v="15"/>
    <n v="0.36299999999999999"/>
    <n v="132.495"/>
    <n v="476.98200000000003"/>
  </r>
  <r>
    <x v="0"/>
    <x v="0"/>
    <x v="0"/>
    <x v="0"/>
    <x v="1"/>
    <s v="DK2_NoDH"/>
    <x v="0"/>
    <x v="0"/>
    <s v="GNR_ENG_BGAS_BP_E-38"/>
    <x v="0"/>
    <x v="16"/>
    <n v="0.36299999999999999"/>
    <n v="132.495"/>
    <n v="476.98200000000003"/>
  </r>
  <r>
    <x v="0"/>
    <x v="0"/>
    <x v="0"/>
    <x v="0"/>
    <x v="1"/>
    <s v="DK2_NoDH"/>
    <x v="0"/>
    <x v="0"/>
    <s v="GNR_ENG_BGAS_BP_E-38"/>
    <x v="0"/>
    <x v="17"/>
    <n v="0.36299999999999999"/>
    <n v="132.495"/>
    <n v="476.98200000000003"/>
  </r>
  <r>
    <x v="0"/>
    <x v="0"/>
    <x v="0"/>
    <x v="0"/>
    <x v="1"/>
    <s v="DK2_NoDH"/>
    <x v="0"/>
    <x v="0"/>
    <s v="GNR_ENG_BGAS_BP_E-38"/>
    <x v="0"/>
    <x v="18"/>
    <n v="0.36299999999999999"/>
    <n v="132.495"/>
    <n v="476.98200000000003"/>
  </r>
  <r>
    <x v="0"/>
    <x v="0"/>
    <x v="0"/>
    <x v="0"/>
    <x v="1"/>
    <s v="DK2_NoDH"/>
    <x v="0"/>
    <x v="0"/>
    <s v="GNR_ENG_BGAS_BP_E-38"/>
    <x v="0"/>
    <x v="19"/>
    <n v="0.36299999999999999"/>
    <n v="132.495"/>
    <n v="476.98200000000003"/>
  </r>
  <r>
    <x v="0"/>
    <x v="0"/>
    <x v="0"/>
    <x v="0"/>
    <x v="1"/>
    <s v="DK2_NoDH"/>
    <x v="0"/>
    <x v="0"/>
    <s v="GNR_ENG_BGAS_BP_E-38"/>
    <x v="0"/>
    <x v="20"/>
    <n v="0.36299999999999999"/>
    <n v="132.495"/>
    <n v="476.98200000000003"/>
  </r>
  <r>
    <x v="0"/>
    <x v="0"/>
    <x v="0"/>
    <x v="0"/>
    <x v="1"/>
    <s v="DK2_NoDH"/>
    <x v="0"/>
    <x v="0"/>
    <s v="GNR_ENG_BGAS_BP_E-38"/>
    <x v="0"/>
    <x v="21"/>
    <n v="0.36299999999999999"/>
    <n v="132.495"/>
    <n v="476.98200000000003"/>
  </r>
  <r>
    <x v="0"/>
    <x v="0"/>
    <x v="0"/>
    <x v="0"/>
    <x v="1"/>
    <s v="DK2_NoDH"/>
    <x v="0"/>
    <x v="0"/>
    <s v="GNR_ENG_BGAS_BP_E-38"/>
    <x v="0"/>
    <x v="22"/>
    <n v="0.36299999999999999"/>
    <n v="132.495"/>
    <n v="476.98200000000003"/>
  </r>
  <r>
    <x v="0"/>
    <x v="0"/>
    <x v="0"/>
    <x v="0"/>
    <x v="1"/>
    <s v="DK2_NoDH"/>
    <x v="0"/>
    <x v="0"/>
    <s v="GNR_ENG_BGAS_BP_E-38"/>
    <x v="0"/>
    <x v="23"/>
    <n v="0.36299999999999999"/>
    <n v="132.495"/>
    <n v="476.98200000000003"/>
  </r>
  <r>
    <x v="0"/>
    <x v="0"/>
    <x v="0"/>
    <x v="0"/>
    <x v="1"/>
    <s v="DK2_NoDH"/>
    <x v="0"/>
    <x v="0"/>
    <s v="GNR_ENG_BGAS_BP_E-39"/>
    <x v="0"/>
    <x v="0"/>
    <n v="0.82"/>
    <n v="299.3"/>
    <n v="1077.48"/>
  </r>
  <r>
    <x v="0"/>
    <x v="0"/>
    <x v="0"/>
    <x v="0"/>
    <x v="1"/>
    <s v="DK2_NoDH"/>
    <x v="0"/>
    <x v="0"/>
    <s v="GNR_ENG_BGAS_BP_E-39"/>
    <x v="0"/>
    <x v="1"/>
    <n v="0.82"/>
    <n v="299.3"/>
    <n v="1077.48"/>
  </r>
  <r>
    <x v="0"/>
    <x v="0"/>
    <x v="0"/>
    <x v="0"/>
    <x v="1"/>
    <s v="DK2_NoDH"/>
    <x v="0"/>
    <x v="0"/>
    <s v="GNR_ENG_BGAS_BP_E-39"/>
    <x v="0"/>
    <x v="2"/>
    <n v="0.82"/>
    <n v="299.3"/>
    <n v="1077.48"/>
  </r>
  <r>
    <x v="0"/>
    <x v="0"/>
    <x v="0"/>
    <x v="0"/>
    <x v="1"/>
    <s v="DK2_NoDH"/>
    <x v="0"/>
    <x v="0"/>
    <s v="GNR_ENG_BGAS_BP_E-39"/>
    <x v="0"/>
    <x v="3"/>
    <n v="0.82"/>
    <n v="299.3"/>
    <n v="1077.48"/>
  </r>
  <r>
    <x v="0"/>
    <x v="0"/>
    <x v="0"/>
    <x v="0"/>
    <x v="1"/>
    <s v="DK2_NoDH"/>
    <x v="0"/>
    <x v="0"/>
    <s v="GNR_ENG_BGAS_BP_E-39"/>
    <x v="0"/>
    <x v="4"/>
    <n v="0.82"/>
    <n v="299.3"/>
    <n v="1077.48"/>
  </r>
  <r>
    <x v="0"/>
    <x v="0"/>
    <x v="0"/>
    <x v="0"/>
    <x v="1"/>
    <s v="DK2_NoDH"/>
    <x v="0"/>
    <x v="0"/>
    <s v="GNR_ENG_BGAS_BP_E-39"/>
    <x v="0"/>
    <x v="5"/>
    <n v="0.82"/>
    <n v="299.3"/>
    <n v="1077.48"/>
  </r>
  <r>
    <x v="0"/>
    <x v="0"/>
    <x v="0"/>
    <x v="0"/>
    <x v="1"/>
    <s v="DK2_NoDH"/>
    <x v="0"/>
    <x v="0"/>
    <s v="GNR_ENG_BGAS_BP_E-39"/>
    <x v="0"/>
    <x v="6"/>
    <n v="0.82"/>
    <n v="299.3"/>
    <n v="1077.48"/>
  </r>
  <r>
    <x v="0"/>
    <x v="0"/>
    <x v="0"/>
    <x v="0"/>
    <x v="1"/>
    <s v="DK2_NoDH"/>
    <x v="0"/>
    <x v="0"/>
    <s v="GNR_ENG_BGAS_BP_E-39"/>
    <x v="0"/>
    <x v="7"/>
    <n v="0.82"/>
    <n v="299.3"/>
    <n v="1077.48"/>
  </r>
  <r>
    <x v="0"/>
    <x v="0"/>
    <x v="0"/>
    <x v="0"/>
    <x v="1"/>
    <s v="DK2_NoDH"/>
    <x v="0"/>
    <x v="0"/>
    <s v="GNR_ENG_BGAS_BP_E-39"/>
    <x v="0"/>
    <x v="8"/>
    <n v="0.82"/>
    <n v="299.3"/>
    <n v="1077.48"/>
  </r>
  <r>
    <x v="0"/>
    <x v="0"/>
    <x v="0"/>
    <x v="0"/>
    <x v="1"/>
    <s v="DK2_NoDH"/>
    <x v="0"/>
    <x v="0"/>
    <s v="GNR_ENG_BGAS_BP_E-39"/>
    <x v="0"/>
    <x v="9"/>
    <n v="0.82"/>
    <n v="299.3"/>
    <n v="1077.48"/>
  </r>
  <r>
    <x v="0"/>
    <x v="0"/>
    <x v="0"/>
    <x v="0"/>
    <x v="1"/>
    <s v="DK2_NoDH"/>
    <x v="0"/>
    <x v="0"/>
    <s v="GNR_ENG_BGAS_BP_E-39"/>
    <x v="0"/>
    <x v="10"/>
    <n v="0.82"/>
    <n v="299.3"/>
    <n v="1077.48"/>
  </r>
  <r>
    <x v="0"/>
    <x v="0"/>
    <x v="0"/>
    <x v="0"/>
    <x v="1"/>
    <s v="DK2_NoDH"/>
    <x v="0"/>
    <x v="0"/>
    <s v="GNR_ENG_BGAS_BP_E-39"/>
    <x v="0"/>
    <x v="11"/>
    <n v="0.82"/>
    <n v="299.3"/>
    <n v="1077.48"/>
  </r>
  <r>
    <x v="0"/>
    <x v="0"/>
    <x v="0"/>
    <x v="0"/>
    <x v="1"/>
    <s v="DK2_NoDH"/>
    <x v="0"/>
    <x v="0"/>
    <s v="GNR_ENG_BGAS_BP_E-39"/>
    <x v="0"/>
    <x v="12"/>
    <n v="0.82"/>
    <n v="299.3"/>
    <n v="1077.48"/>
  </r>
  <r>
    <x v="0"/>
    <x v="0"/>
    <x v="0"/>
    <x v="0"/>
    <x v="1"/>
    <s v="DK2_NoDH"/>
    <x v="0"/>
    <x v="0"/>
    <s v="GNR_ENG_BGAS_BP_E-39"/>
    <x v="0"/>
    <x v="13"/>
    <n v="0.82"/>
    <n v="299.3"/>
    <n v="1077.48"/>
  </r>
  <r>
    <x v="0"/>
    <x v="0"/>
    <x v="0"/>
    <x v="0"/>
    <x v="1"/>
    <s v="DK2_NoDH"/>
    <x v="0"/>
    <x v="0"/>
    <s v="GNR_ENG_BGAS_BP_E-39"/>
    <x v="0"/>
    <x v="14"/>
    <n v="0.82"/>
    <n v="299.3"/>
    <n v="1077.48"/>
  </r>
  <r>
    <x v="0"/>
    <x v="0"/>
    <x v="0"/>
    <x v="0"/>
    <x v="1"/>
    <s v="DK2_NoDH"/>
    <x v="0"/>
    <x v="0"/>
    <s v="GNR_ENG_BGAS_BP_E-39"/>
    <x v="0"/>
    <x v="15"/>
    <n v="0.82"/>
    <n v="299.3"/>
    <n v="1077.48"/>
  </r>
  <r>
    <x v="0"/>
    <x v="0"/>
    <x v="0"/>
    <x v="0"/>
    <x v="1"/>
    <s v="DK2_NoDH"/>
    <x v="0"/>
    <x v="0"/>
    <s v="GNR_ENG_BGAS_BP_E-39"/>
    <x v="0"/>
    <x v="16"/>
    <n v="0.82"/>
    <n v="299.3"/>
    <n v="1077.48"/>
  </r>
  <r>
    <x v="0"/>
    <x v="0"/>
    <x v="0"/>
    <x v="0"/>
    <x v="1"/>
    <s v="DK2_NoDH"/>
    <x v="0"/>
    <x v="0"/>
    <s v="GNR_ENG_BGAS_BP_E-39"/>
    <x v="0"/>
    <x v="17"/>
    <n v="0.82"/>
    <n v="299.3"/>
    <n v="1077.48"/>
  </r>
  <r>
    <x v="0"/>
    <x v="0"/>
    <x v="0"/>
    <x v="0"/>
    <x v="1"/>
    <s v="DK2_NoDH"/>
    <x v="0"/>
    <x v="0"/>
    <s v="GNR_ENG_BGAS_BP_E-39"/>
    <x v="0"/>
    <x v="18"/>
    <n v="0.82"/>
    <n v="299.3"/>
    <n v="1077.48"/>
  </r>
  <r>
    <x v="0"/>
    <x v="0"/>
    <x v="0"/>
    <x v="0"/>
    <x v="1"/>
    <s v="DK2_NoDH"/>
    <x v="0"/>
    <x v="0"/>
    <s v="GNR_ENG_BGAS_BP_E-39"/>
    <x v="0"/>
    <x v="19"/>
    <n v="0.82"/>
    <n v="299.3"/>
    <n v="1077.48"/>
  </r>
  <r>
    <x v="0"/>
    <x v="0"/>
    <x v="0"/>
    <x v="0"/>
    <x v="1"/>
    <s v="DK2_NoDH"/>
    <x v="0"/>
    <x v="0"/>
    <s v="GNR_ENG_BGAS_BP_E-39"/>
    <x v="0"/>
    <x v="20"/>
    <n v="0.82"/>
    <n v="299.3"/>
    <n v="1077.48"/>
  </r>
  <r>
    <x v="0"/>
    <x v="0"/>
    <x v="0"/>
    <x v="0"/>
    <x v="1"/>
    <s v="DK2_NoDH"/>
    <x v="0"/>
    <x v="0"/>
    <s v="GNR_ENG_BGAS_BP_E-39"/>
    <x v="0"/>
    <x v="21"/>
    <n v="0.82"/>
    <n v="299.3"/>
    <n v="1077.48"/>
  </r>
  <r>
    <x v="0"/>
    <x v="0"/>
    <x v="0"/>
    <x v="0"/>
    <x v="1"/>
    <s v="DK2_NoDH"/>
    <x v="0"/>
    <x v="0"/>
    <s v="GNR_ENG_BGAS_BP_E-39"/>
    <x v="0"/>
    <x v="22"/>
    <n v="0.82"/>
    <n v="299.3"/>
    <n v="1077.48"/>
  </r>
  <r>
    <x v="0"/>
    <x v="0"/>
    <x v="0"/>
    <x v="0"/>
    <x v="1"/>
    <s v="DK2_NoDH"/>
    <x v="0"/>
    <x v="0"/>
    <s v="GNR_ENG_BGAS_BP_E-39"/>
    <x v="0"/>
    <x v="23"/>
    <n v="0.82"/>
    <n v="299.3"/>
    <n v="1077.48"/>
  </r>
  <r>
    <x v="0"/>
    <x v="0"/>
    <x v="0"/>
    <x v="0"/>
    <x v="1"/>
    <s v="DK2_NoDH"/>
    <x v="0"/>
    <x v="0"/>
    <s v="GNR_ENG_BGAS_BP_E-40"/>
    <x v="0"/>
    <x v="0"/>
    <n v="0.04"/>
    <n v="14.6"/>
    <n v="52.56"/>
  </r>
  <r>
    <x v="0"/>
    <x v="0"/>
    <x v="0"/>
    <x v="0"/>
    <x v="1"/>
    <s v="DK2_NoDH"/>
    <x v="0"/>
    <x v="0"/>
    <s v="GNR_ENG_BGAS_BP_E-40"/>
    <x v="0"/>
    <x v="1"/>
    <n v="0.04"/>
    <n v="14.6"/>
    <n v="52.56"/>
  </r>
  <r>
    <x v="0"/>
    <x v="0"/>
    <x v="0"/>
    <x v="0"/>
    <x v="1"/>
    <s v="DK2_NoDH"/>
    <x v="0"/>
    <x v="0"/>
    <s v="GNR_ENG_BGAS_BP_E-40"/>
    <x v="0"/>
    <x v="2"/>
    <n v="0.04"/>
    <n v="14.6"/>
    <n v="52.56"/>
  </r>
  <r>
    <x v="0"/>
    <x v="0"/>
    <x v="0"/>
    <x v="0"/>
    <x v="1"/>
    <s v="DK2_NoDH"/>
    <x v="0"/>
    <x v="0"/>
    <s v="GNR_ENG_BGAS_BP_E-40"/>
    <x v="0"/>
    <x v="3"/>
    <n v="0.04"/>
    <n v="14.6"/>
    <n v="52.56"/>
  </r>
  <r>
    <x v="0"/>
    <x v="0"/>
    <x v="0"/>
    <x v="0"/>
    <x v="1"/>
    <s v="DK2_NoDH"/>
    <x v="0"/>
    <x v="0"/>
    <s v="GNR_ENG_BGAS_BP_E-40"/>
    <x v="0"/>
    <x v="4"/>
    <n v="0.04"/>
    <n v="14.6"/>
    <n v="52.56"/>
  </r>
  <r>
    <x v="0"/>
    <x v="0"/>
    <x v="0"/>
    <x v="0"/>
    <x v="1"/>
    <s v="DK2_NoDH"/>
    <x v="0"/>
    <x v="0"/>
    <s v="GNR_ENG_BGAS_BP_E-40"/>
    <x v="0"/>
    <x v="5"/>
    <n v="0.04"/>
    <n v="14.6"/>
    <n v="52.56"/>
  </r>
  <r>
    <x v="0"/>
    <x v="0"/>
    <x v="0"/>
    <x v="0"/>
    <x v="1"/>
    <s v="DK2_NoDH"/>
    <x v="0"/>
    <x v="0"/>
    <s v="GNR_ENG_BGAS_BP_E-40"/>
    <x v="0"/>
    <x v="6"/>
    <n v="0.04"/>
    <n v="14.6"/>
    <n v="52.56"/>
  </r>
  <r>
    <x v="0"/>
    <x v="0"/>
    <x v="0"/>
    <x v="0"/>
    <x v="1"/>
    <s v="DK2_NoDH"/>
    <x v="0"/>
    <x v="0"/>
    <s v="GNR_ENG_BGAS_BP_E-40"/>
    <x v="0"/>
    <x v="7"/>
    <n v="0.04"/>
    <n v="14.6"/>
    <n v="52.56"/>
  </r>
  <r>
    <x v="0"/>
    <x v="0"/>
    <x v="0"/>
    <x v="0"/>
    <x v="1"/>
    <s v="DK2_NoDH"/>
    <x v="0"/>
    <x v="0"/>
    <s v="GNR_ENG_BGAS_BP_E-40"/>
    <x v="0"/>
    <x v="8"/>
    <n v="0.04"/>
    <n v="14.6"/>
    <n v="52.56"/>
  </r>
  <r>
    <x v="0"/>
    <x v="0"/>
    <x v="0"/>
    <x v="0"/>
    <x v="1"/>
    <s v="DK2_NoDH"/>
    <x v="0"/>
    <x v="0"/>
    <s v="GNR_ENG_BGAS_BP_E-40"/>
    <x v="0"/>
    <x v="9"/>
    <n v="0.04"/>
    <n v="14.6"/>
    <n v="52.56"/>
  </r>
  <r>
    <x v="0"/>
    <x v="0"/>
    <x v="0"/>
    <x v="0"/>
    <x v="1"/>
    <s v="DK2_NoDH"/>
    <x v="0"/>
    <x v="0"/>
    <s v="GNR_ENG_BGAS_BP_E-40"/>
    <x v="0"/>
    <x v="10"/>
    <n v="0.04"/>
    <n v="14.6"/>
    <n v="52.56"/>
  </r>
  <r>
    <x v="0"/>
    <x v="0"/>
    <x v="0"/>
    <x v="0"/>
    <x v="1"/>
    <s v="DK2_NoDH"/>
    <x v="0"/>
    <x v="0"/>
    <s v="GNR_ENG_BGAS_BP_E-40"/>
    <x v="0"/>
    <x v="11"/>
    <n v="0.04"/>
    <n v="14.6"/>
    <n v="52.56"/>
  </r>
  <r>
    <x v="0"/>
    <x v="0"/>
    <x v="0"/>
    <x v="0"/>
    <x v="1"/>
    <s v="DK2_NoDH"/>
    <x v="0"/>
    <x v="0"/>
    <s v="GNR_ENG_BGAS_BP_E-40"/>
    <x v="0"/>
    <x v="12"/>
    <n v="0.04"/>
    <n v="14.6"/>
    <n v="52.56"/>
  </r>
  <r>
    <x v="0"/>
    <x v="0"/>
    <x v="0"/>
    <x v="0"/>
    <x v="1"/>
    <s v="DK2_NoDH"/>
    <x v="0"/>
    <x v="0"/>
    <s v="GNR_ENG_BGAS_BP_E-40"/>
    <x v="0"/>
    <x v="13"/>
    <n v="0.04"/>
    <n v="14.6"/>
    <n v="52.56"/>
  </r>
  <r>
    <x v="0"/>
    <x v="0"/>
    <x v="0"/>
    <x v="0"/>
    <x v="1"/>
    <s v="DK2_NoDH"/>
    <x v="0"/>
    <x v="0"/>
    <s v="GNR_ENG_BGAS_BP_E-40"/>
    <x v="0"/>
    <x v="14"/>
    <n v="0.04"/>
    <n v="14.6"/>
    <n v="52.56"/>
  </r>
  <r>
    <x v="0"/>
    <x v="0"/>
    <x v="0"/>
    <x v="0"/>
    <x v="1"/>
    <s v="DK2_NoDH"/>
    <x v="0"/>
    <x v="0"/>
    <s v="GNR_ENG_BGAS_BP_E-40"/>
    <x v="0"/>
    <x v="15"/>
    <n v="0.04"/>
    <n v="14.6"/>
    <n v="52.56"/>
  </r>
  <r>
    <x v="0"/>
    <x v="0"/>
    <x v="0"/>
    <x v="0"/>
    <x v="1"/>
    <s v="DK2_NoDH"/>
    <x v="0"/>
    <x v="0"/>
    <s v="GNR_ENG_BGAS_BP_E-40"/>
    <x v="0"/>
    <x v="16"/>
    <n v="0.04"/>
    <n v="14.6"/>
    <n v="52.56"/>
  </r>
  <r>
    <x v="0"/>
    <x v="0"/>
    <x v="0"/>
    <x v="0"/>
    <x v="1"/>
    <s v="DK2_NoDH"/>
    <x v="0"/>
    <x v="0"/>
    <s v="GNR_ENG_BGAS_BP_E-40"/>
    <x v="0"/>
    <x v="17"/>
    <n v="0.04"/>
    <n v="14.6"/>
    <n v="52.56"/>
  </r>
  <r>
    <x v="0"/>
    <x v="0"/>
    <x v="0"/>
    <x v="0"/>
    <x v="1"/>
    <s v="DK2_NoDH"/>
    <x v="0"/>
    <x v="0"/>
    <s v="GNR_ENG_BGAS_BP_E-40"/>
    <x v="0"/>
    <x v="18"/>
    <n v="0.04"/>
    <n v="14.6"/>
    <n v="52.56"/>
  </r>
  <r>
    <x v="0"/>
    <x v="0"/>
    <x v="0"/>
    <x v="0"/>
    <x v="1"/>
    <s v="DK2_NoDH"/>
    <x v="0"/>
    <x v="0"/>
    <s v="GNR_ENG_BGAS_BP_E-40"/>
    <x v="0"/>
    <x v="19"/>
    <n v="0.04"/>
    <n v="14.6"/>
    <n v="52.56"/>
  </r>
  <r>
    <x v="0"/>
    <x v="0"/>
    <x v="0"/>
    <x v="0"/>
    <x v="1"/>
    <s v="DK2_NoDH"/>
    <x v="0"/>
    <x v="0"/>
    <s v="GNR_ENG_BGAS_BP_E-40"/>
    <x v="0"/>
    <x v="20"/>
    <n v="0.04"/>
    <n v="14.6"/>
    <n v="52.56"/>
  </r>
  <r>
    <x v="0"/>
    <x v="0"/>
    <x v="0"/>
    <x v="0"/>
    <x v="1"/>
    <s v="DK2_NoDH"/>
    <x v="0"/>
    <x v="0"/>
    <s v="GNR_ENG_BGAS_BP_E-40"/>
    <x v="0"/>
    <x v="21"/>
    <n v="0.04"/>
    <n v="14.6"/>
    <n v="52.56"/>
  </r>
  <r>
    <x v="0"/>
    <x v="0"/>
    <x v="0"/>
    <x v="0"/>
    <x v="1"/>
    <s v="DK2_NoDH"/>
    <x v="0"/>
    <x v="0"/>
    <s v="GNR_ENG_BGAS_BP_E-40"/>
    <x v="0"/>
    <x v="22"/>
    <n v="0.04"/>
    <n v="14.6"/>
    <n v="52.56"/>
  </r>
  <r>
    <x v="0"/>
    <x v="0"/>
    <x v="0"/>
    <x v="0"/>
    <x v="1"/>
    <s v="DK2_NoDH"/>
    <x v="0"/>
    <x v="0"/>
    <s v="GNR_ENG_BGAS_BP_E-40"/>
    <x v="0"/>
    <x v="23"/>
    <n v="0.04"/>
    <n v="14.6"/>
    <n v="52.56"/>
  </r>
  <r>
    <x v="0"/>
    <x v="0"/>
    <x v="0"/>
    <x v="0"/>
    <x v="1"/>
    <s v="DK2_NoDH"/>
    <x v="0"/>
    <x v="0"/>
    <s v="GNR_ENG_BGAS_BP_E-42"/>
    <x v="0"/>
    <x v="0"/>
    <n v="4.4000000000000004"/>
    <n v="1606"/>
    <n v="5781.6"/>
  </r>
  <r>
    <x v="0"/>
    <x v="0"/>
    <x v="0"/>
    <x v="0"/>
    <x v="1"/>
    <s v="DK2_NoDH"/>
    <x v="0"/>
    <x v="0"/>
    <s v="GNR_ENG_BGAS_BP_E-42"/>
    <x v="0"/>
    <x v="1"/>
    <n v="4.4000000000000004"/>
    <n v="1606"/>
    <n v="5781.6"/>
  </r>
  <r>
    <x v="0"/>
    <x v="0"/>
    <x v="0"/>
    <x v="0"/>
    <x v="1"/>
    <s v="DK2_NoDH"/>
    <x v="0"/>
    <x v="0"/>
    <s v="GNR_ENG_BGAS_BP_E-42"/>
    <x v="0"/>
    <x v="2"/>
    <n v="4.4000000000000004"/>
    <n v="1606"/>
    <n v="5781.6"/>
  </r>
  <r>
    <x v="0"/>
    <x v="0"/>
    <x v="0"/>
    <x v="0"/>
    <x v="1"/>
    <s v="DK2_NoDH"/>
    <x v="0"/>
    <x v="0"/>
    <s v="GNR_ENG_BGAS_BP_E-42"/>
    <x v="0"/>
    <x v="3"/>
    <n v="4.4000000000000004"/>
    <n v="1606"/>
    <n v="5781.6"/>
  </r>
  <r>
    <x v="0"/>
    <x v="0"/>
    <x v="0"/>
    <x v="0"/>
    <x v="1"/>
    <s v="DK2_NoDH"/>
    <x v="0"/>
    <x v="0"/>
    <s v="GNR_ENG_BGAS_BP_E-42"/>
    <x v="0"/>
    <x v="4"/>
    <n v="4.4000000000000004"/>
    <n v="1606"/>
    <n v="5781.6"/>
  </r>
  <r>
    <x v="0"/>
    <x v="0"/>
    <x v="0"/>
    <x v="0"/>
    <x v="1"/>
    <s v="DK2_NoDH"/>
    <x v="0"/>
    <x v="0"/>
    <s v="GNR_ENG_BGAS_BP_E-42"/>
    <x v="0"/>
    <x v="5"/>
    <n v="4.4000000000000004"/>
    <n v="1606"/>
    <n v="5781.6"/>
  </r>
  <r>
    <x v="0"/>
    <x v="0"/>
    <x v="0"/>
    <x v="0"/>
    <x v="1"/>
    <s v="DK2_NoDH"/>
    <x v="0"/>
    <x v="0"/>
    <s v="GNR_ENG_BGAS_BP_E-42"/>
    <x v="0"/>
    <x v="6"/>
    <n v="4.4000000000000004"/>
    <n v="1606"/>
    <n v="5781.6"/>
  </r>
  <r>
    <x v="0"/>
    <x v="0"/>
    <x v="0"/>
    <x v="0"/>
    <x v="1"/>
    <s v="DK2_NoDH"/>
    <x v="0"/>
    <x v="0"/>
    <s v="GNR_ENG_BGAS_BP_E-42"/>
    <x v="0"/>
    <x v="7"/>
    <n v="4.4000000000000004"/>
    <n v="1606"/>
    <n v="5781.6"/>
  </r>
  <r>
    <x v="0"/>
    <x v="0"/>
    <x v="0"/>
    <x v="0"/>
    <x v="1"/>
    <s v="DK2_NoDH"/>
    <x v="0"/>
    <x v="0"/>
    <s v="GNR_ENG_BGAS_BP_E-42"/>
    <x v="0"/>
    <x v="8"/>
    <n v="4.4000000000000004"/>
    <n v="1606"/>
    <n v="5781.6"/>
  </r>
  <r>
    <x v="0"/>
    <x v="0"/>
    <x v="0"/>
    <x v="0"/>
    <x v="1"/>
    <s v="DK2_NoDH"/>
    <x v="0"/>
    <x v="0"/>
    <s v="GNR_ENG_BGAS_BP_E-42"/>
    <x v="0"/>
    <x v="9"/>
    <n v="4.4000000000000004"/>
    <n v="1606"/>
    <n v="5781.6"/>
  </r>
  <r>
    <x v="0"/>
    <x v="0"/>
    <x v="0"/>
    <x v="0"/>
    <x v="1"/>
    <s v="DK2_NoDH"/>
    <x v="0"/>
    <x v="0"/>
    <s v="GNR_ENG_BGAS_BP_E-42"/>
    <x v="0"/>
    <x v="10"/>
    <n v="4.4000000000000004"/>
    <n v="1606"/>
    <n v="5781.6"/>
  </r>
  <r>
    <x v="0"/>
    <x v="0"/>
    <x v="0"/>
    <x v="0"/>
    <x v="1"/>
    <s v="DK2_NoDH"/>
    <x v="0"/>
    <x v="0"/>
    <s v="GNR_ENG_BGAS_BP_E-42"/>
    <x v="0"/>
    <x v="11"/>
    <n v="4.4000000000000004"/>
    <n v="1606"/>
    <n v="5781.6"/>
  </r>
  <r>
    <x v="0"/>
    <x v="0"/>
    <x v="0"/>
    <x v="0"/>
    <x v="1"/>
    <s v="DK2_NoDH"/>
    <x v="0"/>
    <x v="0"/>
    <s v="GNR_ENG_BGAS_BP_E-42"/>
    <x v="0"/>
    <x v="12"/>
    <n v="4.4000000000000004"/>
    <n v="1606"/>
    <n v="5781.6"/>
  </r>
  <r>
    <x v="0"/>
    <x v="0"/>
    <x v="0"/>
    <x v="0"/>
    <x v="1"/>
    <s v="DK2_NoDH"/>
    <x v="0"/>
    <x v="0"/>
    <s v="GNR_ENG_BGAS_BP_E-42"/>
    <x v="0"/>
    <x v="13"/>
    <n v="4.4000000000000004"/>
    <n v="1606"/>
    <n v="5781.6"/>
  </r>
  <r>
    <x v="0"/>
    <x v="0"/>
    <x v="0"/>
    <x v="0"/>
    <x v="1"/>
    <s v="DK2_NoDH"/>
    <x v="0"/>
    <x v="0"/>
    <s v="GNR_ENG_BGAS_BP_E-42"/>
    <x v="0"/>
    <x v="14"/>
    <n v="4.4000000000000004"/>
    <n v="1606"/>
    <n v="5781.6"/>
  </r>
  <r>
    <x v="0"/>
    <x v="0"/>
    <x v="0"/>
    <x v="0"/>
    <x v="1"/>
    <s v="DK2_NoDH"/>
    <x v="0"/>
    <x v="0"/>
    <s v="GNR_ENG_BGAS_BP_E-42"/>
    <x v="0"/>
    <x v="15"/>
    <n v="4.4000000000000004"/>
    <n v="1606"/>
    <n v="5781.6"/>
  </r>
  <r>
    <x v="0"/>
    <x v="0"/>
    <x v="0"/>
    <x v="0"/>
    <x v="1"/>
    <s v="DK2_NoDH"/>
    <x v="0"/>
    <x v="0"/>
    <s v="GNR_ENG_BGAS_BP_E-42"/>
    <x v="0"/>
    <x v="16"/>
    <n v="4.4000000000000004"/>
    <n v="1606"/>
    <n v="5781.6"/>
  </r>
  <r>
    <x v="0"/>
    <x v="0"/>
    <x v="0"/>
    <x v="0"/>
    <x v="1"/>
    <s v="DK2_NoDH"/>
    <x v="0"/>
    <x v="0"/>
    <s v="GNR_ENG_BGAS_BP_E-42"/>
    <x v="0"/>
    <x v="17"/>
    <n v="4.4000000000000004"/>
    <n v="1606"/>
    <n v="5781.6"/>
  </r>
  <r>
    <x v="0"/>
    <x v="0"/>
    <x v="0"/>
    <x v="0"/>
    <x v="1"/>
    <s v="DK2_NoDH"/>
    <x v="0"/>
    <x v="0"/>
    <s v="GNR_ENG_BGAS_BP_E-42"/>
    <x v="0"/>
    <x v="18"/>
    <n v="4.4000000000000004"/>
    <n v="1606"/>
    <n v="5781.6"/>
  </r>
  <r>
    <x v="0"/>
    <x v="0"/>
    <x v="0"/>
    <x v="0"/>
    <x v="1"/>
    <s v="DK2_NoDH"/>
    <x v="0"/>
    <x v="0"/>
    <s v="GNR_ENG_BGAS_BP_E-42"/>
    <x v="0"/>
    <x v="19"/>
    <n v="4.4000000000000004"/>
    <n v="1606"/>
    <n v="5781.6"/>
  </r>
  <r>
    <x v="0"/>
    <x v="0"/>
    <x v="0"/>
    <x v="0"/>
    <x v="1"/>
    <s v="DK2_NoDH"/>
    <x v="0"/>
    <x v="0"/>
    <s v="GNR_ENG_BGAS_BP_E-42"/>
    <x v="0"/>
    <x v="20"/>
    <n v="4.4000000000000004"/>
    <n v="1606"/>
    <n v="5781.6"/>
  </r>
  <r>
    <x v="0"/>
    <x v="0"/>
    <x v="0"/>
    <x v="0"/>
    <x v="1"/>
    <s v="DK2_NoDH"/>
    <x v="0"/>
    <x v="0"/>
    <s v="GNR_ENG_BGAS_BP_E-42"/>
    <x v="0"/>
    <x v="21"/>
    <n v="4.4000000000000004"/>
    <n v="1606"/>
    <n v="5781.6"/>
  </r>
  <r>
    <x v="0"/>
    <x v="0"/>
    <x v="0"/>
    <x v="0"/>
    <x v="1"/>
    <s v="DK2_NoDH"/>
    <x v="0"/>
    <x v="0"/>
    <s v="GNR_ENG_BGAS_BP_E-42"/>
    <x v="0"/>
    <x v="22"/>
    <n v="4.4000000000000004"/>
    <n v="1606"/>
    <n v="5781.6"/>
  </r>
  <r>
    <x v="0"/>
    <x v="0"/>
    <x v="0"/>
    <x v="0"/>
    <x v="1"/>
    <s v="DK2_NoDH"/>
    <x v="0"/>
    <x v="0"/>
    <s v="GNR_ENG_BGAS_BP_E-42"/>
    <x v="0"/>
    <x v="23"/>
    <n v="4.4000000000000004"/>
    <n v="1606"/>
    <n v="5781.6"/>
  </r>
  <r>
    <x v="0"/>
    <x v="0"/>
    <x v="0"/>
    <x v="0"/>
    <x v="1"/>
    <s v="DK2_NoDH"/>
    <x v="0"/>
    <x v="2"/>
    <s v="GNR_ENG_BGAS_CND_E-32"/>
    <x v="0"/>
    <x v="0"/>
    <n v="0.13"/>
    <n v="47.45"/>
    <n v="170.82"/>
  </r>
  <r>
    <x v="0"/>
    <x v="0"/>
    <x v="0"/>
    <x v="0"/>
    <x v="1"/>
    <s v="DK2_NoDH"/>
    <x v="0"/>
    <x v="2"/>
    <s v="GNR_ENG_BGAS_CND_E-32"/>
    <x v="0"/>
    <x v="1"/>
    <n v="0.13"/>
    <n v="47.45"/>
    <n v="170.82"/>
  </r>
  <r>
    <x v="0"/>
    <x v="0"/>
    <x v="0"/>
    <x v="0"/>
    <x v="1"/>
    <s v="DK2_NoDH"/>
    <x v="0"/>
    <x v="2"/>
    <s v="GNR_ENG_BGAS_CND_E-32"/>
    <x v="0"/>
    <x v="2"/>
    <n v="0.13"/>
    <n v="47.45"/>
    <n v="170.82"/>
  </r>
  <r>
    <x v="0"/>
    <x v="0"/>
    <x v="0"/>
    <x v="0"/>
    <x v="1"/>
    <s v="DK2_NoDH"/>
    <x v="0"/>
    <x v="2"/>
    <s v="GNR_ENG_BGAS_CND_E-32"/>
    <x v="0"/>
    <x v="3"/>
    <n v="0.13"/>
    <n v="47.45"/>
    <n v="170.82"/>
  </r>
  <r>
    <x v="0"/>
    <x v="0"/>
    <x v="0"/>
    <x v="0"/>
    <x v="1"/>
    <s v="DK2_NoDH"/>
    <x v="0"/>
    <x v="2"/>
    <s v="GNR_ENG_BGAS_CND_E-32"/>
    <x v="0"/>
    <x v="4"/>
    <n v="0.13"/>
    <n v="47.45"/>
    <n v="170.82"/>
  </r>
  <r>
    <x v="0"/>
    <x v="0"/>
    <x v="0"/>
    <x v="0"/>
    <x v="1"/>
    <s v="DK2_NoDH"/>
    <x v="0"/>
    <x v="2"/>
    <s v="GNR_ENG_BGAS_CND_E-32"/>
    <x v="0"/>
    <x v="5"/>
    <n v="0.13"/>
    <n v="47.45"/>
    <n v="170.82"/>
  </r>
  <r>
    <x v="0"/>
    <x v="0"/>
    <x v="0"/>
    <x v="0"/>
    <x v="1"/>
    <s v="DK2_NoDH"/>
    <x v="0"/>
    <x v="2"/>
    <s v="GNR_ENG_BGAS_CND_E-32"/>
    <x v="0"/>
    <x v="6"/>
    <n v="0.13"/>
    <n v="47.45"/>
    <n v="170.82"/>
  </r>
  <r>
    <x v="0"/>
    <x v="0"/>
    <x v="0"/>
    <x v="0"/>
    <x v="1"/>
    <s v="DK2_NoDH"/>
    <x v="0"/>
    <x v="2"/>
    <s v="GNR_ENG_BGAS_CND_E-32"/>
    <x v="0"/>
    <x v="7"/>
    <n v="0.13"/>
    <n v="47.45"/>
    <n v="170.82"/>
  </r>
  <r>
    <x v="0"/>
    <x v="0"/>
    <x v="0"/>
    <x v="0"/>
    <x v="1"/>
    <s v="DK2_NoDH"/>
    <x v="0"/>
    <x v="2"/>
    <s v="GNR_ENG_BGAS_CND_E-32"/>
    <x v="0"/>
    <x v="8"/>
    <n v="0.13"/>
    <n v="47.45"/>
    <n v="170.82"/>
  </r>
  <r>
    <x v="0"/>
    <x v="0"/>
    <x v="0"/>
    <x v="0"/>
    <x v="1"/>
    <s v="DK2_NoDH"/>
    <x v="0"/>
    <x v="2"/>
    <s v="GNR_ENG_BGAS_CND_E-32"/>
    <x v="0"/>
    <x v="9"/>
    <n v="0.13"/>
    <n v="47.45"/>
    <n v="170.82"/>
  </r>
  <r>
    <x v="0"/>
    <x v="0"/>
    <x v="0"/>
    <x v="0"/>
    <x v="1"/>
    <s v="DK2_NoDH"/>
    <x v="0"/>
    <x v="2"/>
    <s v="GNR_ENG_BGAS_CND_E-32"/>
    <x v="0"/>
    <x v="10"/>
    <n v="0.13"/>
    <n v="47.45"/>
    <n v="170.82"/>
  </r>
  <r>
    <x v="0"/>
    <x v="0"/>
    <x v="0"/>
    <x v="0"/>
    <x v="1"/>
    <s v="DK2_NoDH"/>
    <x v="0"/>
    <x v="2"/>
    <s v="GNR_ENG_BGAS_CND_E-32"/>
    <x v="0"/>
    <x v="11"/>
    <n v="0.13"/>
    <n v="47.45"/>
    <n v="170.82"/>
  </r>
  <r>
    <x v="0"/>
    <x v="0"/>
    <x v="0"/>
    <x v="0"/>
    <x v="1"/>
    <s v="DK2_NoDH"/>
    <x v="0"/>
    <x v="2"/>
    <s v="GNR_ENG_BGAS_CND_E-32"/>
    <x v="0"/>
    <x v="12"/>
    <n v="0.13"/>
    <n v="47.45"/>
    <n v="170.82"/>
  </r>
  <r>
    <x v="0"/>
    <x v="0"/>
    <x v="0"/>
    <x v="0"/>
    <x v="1"/>
    <s v="DK2_NoDH"/>
    <x v="0"/>
    <x v="2"/>
    <s v="GNR_ENG_BGAS_CND_E-32"/>
    <x v="0"/>
    <x v="13"/>
    <n v="0.13"/>
    <n v="47.45"/>
    <n v="170.82"/>
  </r>
  <r>
    <x v="0"/>
    <x v="0"/>
    <x v="0"/>
    <x v="0"/>
    <x v="1"/>
    <s v="DK2_NoDH"/>
    <x v="0"/>
    <x v="2"/>
    <s v="GNR_ENG_BGAS_CND_E-32"/>
    <x v="0"/>
    <x v="14"/>
    <n v="0.13"/>
    <n v="47.45"/>
    <n v="170.82"/>
  </r>
  <r>
    <x v="0"/>
    <x v="0"/>
    <x v="0"/>
    <x v="0"/>
    <x v="1"/>
    <s v="DK2_NoDH"/>
    <x v="0"/>
    <x v="2"/>
    <s v="GNR_ENG_BGAS_CND_E-32"/>
    <x v="0"/>
    <x v="15"/>
    <n v="0.13"/>
    <n v="47.45"/>
    <n v="170.82"/>
  </r>
  <r>
    <x v="0"/>
    <x v="0"/>
    <x v="0"/>
    <x v="0"/>
    <x v="1"/>
    <s v="DK2_NoDH"/>
    <x v="0"/>
    <x v="2"/>
    <s v="GNR_ENG_BGAS_CND_E-32"/>
    <x v="0"/>
    <x v="16"/>
    <n v="0.13"/>
    <n v="47.45"/>
    <n v="170.82"/>
  </r>
  <r>
    <x v="0"/>
    <x v="0"/>
    <x v="0"/>
    <x v="0"/>
    <x v="1"/>
    <s v="DK2_NoDH"/>
    <x v="0"/>
    <x v="2"/>
    <s v="GNR_ENG_BGAS_CND_E-32"/>
    <x v="0"/>
    <x v="17"/>
    <n v="0.13"/>
    <n v="47.45"/>
    <n v="170.82"/>
  </r>
  <r>
    <x v="0"/>
    <x v="0"/>
    <x v="0"/>
    <x v="0"/>
    <x v="1"/>
    <s v="DK2_NoDH"/>
    <x v="0"/>
    <x v="2"/>
    <s v="GNR_ENG_BGAS_CND_E-32"/>
    <x v="0"/>
    <x v="18"/>
    <n v="0.13"/>
    <n v="47.45"/>
    <n v="170.82"/>
  </r>
  <r>
    <x v="0"/>
    <x v="0"/>
    <x v="0"/>
    <x v="0"/>
    <x v="1"/>
    <s v="DK2_NoDH"/>
    <x v="0"/>
    <x v="2"/>
    <s v="GNR_ENG_BGAS_CND_E-32"/>
    <x v="0"/>
    <x v="19"/>
    <n v="0.13"/>
    <n v="47.45"/>
    <n v="170.82"/>
  </r>
  <r>
    <x v="0"/>
    <x v="0"/>
    <x v="0"/>
    <x v="0"/>
    <x v="1"/>
    <s v="DK2_NoDH"/>
    <x v="0"/>
    <x v="2"/>
    <s v="GNR_ENG_BGAS_CND_E-32"/>
    <x v="0"/>
    <x v="20"/>
    <n v="0.13"/>
    <n v="47.45"/>
    <n v="170.82"/>
  </r>
  <r>
    <x v="0"/>
    <x v="0"/>
    <x v="0"/>
    <x v="0"/>
    <x v="1"/>
    <s v="DK2_NoDH"/>
    <x v="0"/>
    <x v="2"/>
    <s v="GNR_ENG_BGAS_CND_E-32"/>
    <x v="0"/>
    <x v="21"/>
    <n v="0.13"/>
    <n v="47.45"/>
    <n v="170.82"/>
  </r>
  <r>
    <x v="0"/>
    <x v="0"/>
    <x v="0"/>
    <x v="0"/>
    <x v="1"/>
    <s v="DK2_NoDH"/>
    <x v="0"/>
    <x v="2"/>
    <s v="GNR_ENG_BGAS_CND_E-32"/>
    <x v="0"/>
    <x v="22"/>
    <n v="0.13"/>
    <n v="47.45"/>
    <n v="170.82"/>
  </r>
  <r>
    <x v="0"/>
    <x v="0"/>
    <x v="0"/>
    <x v="0"/>
    <x v="1"/>
    <s v="DK2_NoDH"/>
    <x v="0"/>
    <x v="2"/>
    <s v="GNR_ENG_BGAS_CND_E-32"/>
    <x v="0"/>
    <x v="23"/>
    <n v="0.13"/>
    <n v="47.45"/>
    <n v="170.82"/>
  </r>
  <r>
    <x v="0"/>
    <x v="0"/>
    <x v="0"/>
    <x v="0"/>
    <x v="1"/>
    <s v="DK2_NoDH"/>
    <x v="0"/>
    <x v="2"/>
    <s v="GNR_ENG_BGAS_CND_E-35"/>
    <x v="0"/>
    <x v="0"/>
    <n v="0.31"/>
    <n v="113.15"/>
    <n v="407.34"/>
  </r>
  <r>
    <x v="0"/>
    <x v="0"/>
    <x v="0"/>
    <x v="0"/>
    <x v="1"/>
    <s v="DK2_NoDH"/>
    <x v="0"/>
    <x v="2"/>
    <s v="GNR_ENG_BGAS_CND_E-35"/>
    <x v="0"/>
    <x v="1"/>
    <n v="0.31"/>
    <n v="113.15"/>
    <n v="407.34"/>
  </r>
  <r>
    <x v="0"/>
    <x v="0"/>
    <x v="0"/>
    <x v="0"/>
    <x v="1"/>
    <s v="DK2_NoDH"/>
    <x v="0"/>
    <x v="2"/>
    <s v="GNR_ENG_BGAS_CND_E-35"/>
    <x v="0"/>
    <x v="2"/>
    <n v="0.31"/>
    <n v="113.15"/>
    <n v="407.34"/>
  </r>
  <r>
    <x v="0"/>
    <x v="0"/>
    <x v="0"/>
    <x v="0"/>
    <x v="1"/>
    <s v="DK2_NoDH"/>
    <x v="0"/>
    <x v="2"/>
    <s v="GNR_ENG_BGAS_CND_E-35"/>
    <x v="0"/>
    <x v="3"/>
    <n v="0.31"/>
    <n v="113.15"/>
    <n v="407.34"/>
  </r>
  <r>
    <x v="0"/>
    <x v="0"/>
    <x v="0"/>
    <x v="0"/>
    <x v="1"/>
    <s v="DK2_NoDH"/>
    <x v="0"/>
    <x v="2"/>
    <s v="GNR_ENG_BGAS_CND_E-35"/>
    <x v="0"/>
    <x v="4"/>
    <n v="0.31"/>
    <n v="113.15"/>
    <n v="407.34"/>
  </r>
  <r>
    <x v="0"/>
    <x v="0"/>
    <x v="0"/>
    <x v="0"/>
    <x v="1"/>
    <s v="DK2_NoDH"/>
    <x v="0"/>
    <x v="2"/>
    <s v="GNR_ENG_BGAS_CND_E-35"/>
    <x v="0"/>
    <x v="5"/>
    <n v="0.31"/>
    <n v="113.15"/>
    <n v="407.34"/>
  </r>
  <r>
    <x v="0"/>
    <x v="0"/>
    <x v="0"/>
    <x v="0"/>
    <x v="1"/>
    <s v="DK2_NoDH"/>
    <x v="0"/>
    <x v="2"/>
    <s v="GNR_ENG_BGAS_CND_E-35"/>
    <x v="0"/>
    <x v="6"/>
    <n v="0.31"/>
    <n v="113.15"/>
    <n v="407.34"/>
  </r>
  <r>
    <x v="0"/>
    <x v="0"/>
    <x v="0"/>
    <x v="0"/>
    <x v="1"/>
    <s v="DK2_NoDH"/>
    <x v="0"/>
    <x v="2"/>
    <s v="GNR_ENG_BGAS_CND_E-35"/>
    <x v="0"/>
    <x v="7"/>
    <n v="0.31"/>
    <n v="113.15"/>
    <n v="407.34"/>
  </r>
  <r>
    <x v="0"/>
    <x v="0"/>
    <x v="0"/>
    <x v="0"/>
    <x v="1"/>
    <s v="DK2_NoDH"/>
    <x v="0"/>
    <x v="2"/>
    <s v="GNR_ENG_BGAS_CND_E-35"/>
    <x v="0"/>
    <x v="8"/>
    <n v="0.31"/>
    <n v="113.15"/>
    <n v="407.34"/>
  </r>
  <r>
    <x v="0"/>
    <x v="0"/>
    <x v="0"/>
    <x v="0"/>
    <x v="1"/>
    <s v="DK2_NoDH"/>
    <x v="0"/>
    <x v="2"/>
    <s v="GNR_ENG_BGAS_CND_E-35"/>
    <x v="0"/>
    <x v="9"/>
    <n v="0.31"/>
    <n v="113.15"/>
    <n v="407.34"/>
  </r>
  <r>
    <x v="0"/>
    <x v="0"/>
    <x v="0"/>
    <x v="0"/>
    <x v="1"/>
    <s v="DK2_NoDH"/>
    <x v="0"/>
    <x v="2"/>
    <s v="GNR_ENG_BGAS_CND_E-35"/>
    <x v="0"/>
    <x v="10"/>
    <n v="0.31"/>
    <n v="113.15"/>
    <n v="407.34"/>
  </r>
  <r>
    <x v="0"/>
    <x v="0"/>
    <x v="0"/>
    <x v="0"/>
    <x v="1"/>
    <s v="DK2_NoDH"/>
    <x v="0"/>
    <x v="2"/>
    <s v="GNR_ENG_BGAS_CND_E-35"/>
    <x v="0"/>
    <x v="11"/>
    <n v="0.31"/>
    <n v="113.15"/>
    <n v="407.34"/>
  </r>
  <r>
    <x v="0"/>
    <x v="0"/>
    <x v="0"/>
    <x v="0"/>
    <x v="1"/>
    <s v="DK2_NoDH"/>
    <x v="0"/>
    <x v="2"/>
    <s v="GNR_ENG_BGAS_CND_E-35"/>
    <x v="0"/>
    <x v="12"/>
    <n v="0.31"/>
    <n v="113.15"/>
    <n v="407.34"/>
  </r>
  <r>
    <x v="0"/>
    <x v="0"/>
    <x v="0"/>
    <x v="0"/>
    <x v="1"/>
    <s v="DK2_NoDH"/>
    <x v="0"/>
    <x v="2"/>
    <s v="GNR_ENG_BGAS_CND_E-35"/>
    <x v="0"/>
    <x v="13"/>
    <n v="0.31"/>
    <n v="113.15"/>
    <n v="407.34"/>
  </r>
  <r>
    <x v="0"/>
    <x v="0"/>
    <x v="0"/>
    <x v="0"/>
    <x v="1"/>
    <s v="DK2_NoDH"/>
    <x v="0"/>
    <x v="2"/>
    <s v="GNR_ENG_BGAS_CND_E-35"/>
    <x v="0"/>
    <x v="14"/>
    <n v="0.31"/>
    <n v="113.15"/>
    <n v="407.34"/>
  </r>
  <r>
    <x v="0"/>
    <x v="0"/>
    <x v="0"/>
    <x v="0"/>
    <x v="1"/>
    <s v="DK2_NoDH"/>
    <x v="0"/>
    <x v="2"/>
    <s v="GNR_ENG_BGAS_CND_E-35"/>
    <x v="0"/>
    <x v="15"/>
    <n v="0.31"/>
    <n v="113.15"/>
    <n v="407.34"/>
  </r>
  <r>
    <x v="0"/>
    <x v="0"/>
    <x v="0"/>
    <x v="0"/>
    <x v="1"/>
    <s v="DK2_NoDH"/>
    <x v="0"/>
    <x v="2"/>
    <s v="GNR_ENG_BGAS_CND_E-35"/>
    <x v="0"/>
    <x v="16"/>
    <n v="0.31"/>
    <n v="113.15"/>
    <n v="407.34"/>
  </r>
  <r>
    <x v="0"/>
    <x v="0"/>
    <x v="0"/>
    <x v="0"/>
    <x v="1"/>
    <s v="DK2_NoDH"/>
    <x v="0"/>
    <x v="2"/>
    <s v="GNR_ENG_BGAS_CND_E-35"/>
    <x v="0"/>
    <x v="17"/>
    <n v="0.31"/>
    <n v="113.15"/>
    <n v="407.34"/>
  </r>
  <r>
    <x v="0"/>
    <x v="0"/>
    <x v="0"/>
    <x v="0"/>
    <x v="1"/>
    <s v="DK2_NoDH"/>
    <x v="0"/>
    <x v="2"/>
    <s v="GNR_ENG_BGAS_CND_E-35"/>
    <x v="0"/>
    <x v="18"/>
    <n v="0.31"/>
    <n v="113.15"/>
    <n v="407.34"/>
  </r>
  <r>
    <x v="0"/>
    <x v="0"/>
    <x v="0"/>
    <x v="0"/>
    <x v="1"/>
    <s v="DK2_NoDH"/>
    <x v="0"/>
    <x v="2"/>
    <s v="GNR_ENG_BGAS_CND_E-35"/>
    <x v="0"/>
    <x v="19"/>
    <n v="0.31"/>
    <n v="113.15"/>
    <n v="407.34"/>
  </r>
  <r>
    <x v="0"/>
    <x v="0"/>
    <x v="0"/>
    <x v="0"/>
    <x v="1"/>
    <s v="DK2_NoDH"/>
    <x v="0"/>
    <x v="2"/>
    <s v="GNR_ENG_BGAS_CND_E-35"/>
    <x v="0"/>
    <x v="20"/>
    <n v="0.31"/>
    <n v="113.15"/>
    <n v="407.34"/>
  </r>
  <r>
    <x v="0"/>
    <x v="0"/>
    <x v="0"/>
    <x v="0"/>
    <x v="1"/>
    <s v="DK2_NoDH"/>
    <x v="0"/>
    <x v="2"/>
    <s v="GNR_ENG_BGAS_CND_E-35"/>
    <x v="0"/>
    <x v="21"/>
    <n v="0.31"/>
    <n v="113.15"/>
    <n v="407.34"/>
  </r>
  <r>
    <x v="0"/>
    <x v="0"/>
    <x v="0"/>
    <x v="0"/>
    <x v="1"/>
    <s v="DK2_NoDH"/>
    <x v="0"/>
    <x v="2"/>
    <s v="GNR_ENG_BGAS_CND_E-35"/>
    <x v="0"/>
    <x v="22"/>
    <n v="0.31"/>
    <n v="113.15"/>
    <n v="407.34"/>
  </r>
  <r>
    <x v="0"/>
    <x v="0"/>
    <x v="0"/>
    <x v="0"/>
    <x v="1"/>
    <s v="DK2_NoDH"/>
    <x v="0"/>
    <x v="2"/>
    <s v="GNR_ENG_BGAS_CND_E-35"/>
    <x v="0"/>
    <x v="23"/>
    <n v="0.31"/>
    <n v="113.15"/>
    <n v="407.34"/>
  </r>
  <r>
    <x v="0"/>
    <x v="0"/>
    <x v="0"/>
    <x v="0"/>
    <x v="1"/>
    <s v="DK2_NoDH"/>
    <x v="2"/>
    <x v="0"/>
    <s v="GNR_ENG_NGAS_BP_E-46"/>
    <x v="0"/>
    <x v="0"/>
    <n v="9.44"/>
    <n v="3445.6"/>
    <n v="12404.16"/>
  </r>
  <r>
    <x v="0"/>
    <x v="0"/>
    <x v="0"/>
    <x v="0"/>
    <x v="1"/>
    <s v="DK2_NoDH"/>
    <x v="2"/>
    <x v="0"/>
    <s v="GNR_ENG_NGAS_BP_E-46"/>
    <x v="0"/>
    <x v="1"/>
    <n v="9.44"/>
    <n v="3445.6"/>
    <n v="12404.16"/>
  </r>
  <r>
    <x v="0"/>
    <x v="0"/>
    <x v="0"/>
    <x v="0"/>
    <x v="1"/>
    <s v="DK2_NoDH"/>
    <x v="2"/>
    <x v="0"/>
    <s v="GNR_ENG_NGAS_BP_E-46"/>
    <x v="0"/>
    <x v="3"/>
    <n v="1.6972708197234301"/>
    <n v="619.50384919905105"/>
    <n v="2230.2138571165801"/>
  </r>
  <r>
    <x v="0"/>
    <x v="0"/>
    <x v="0"/>
    <x v="0"/>
    <x v="1"/>
    <s v="DK2_NoDH"/>
    <x v="2"/>
    <x v="0"/>
    <s v="GNR_ENG_NGAS_BP_E-46"/>
    <x v="0"/>
    <x v="4"/>
    <n v="9.44"/>
    <n v="3445.6"/>
    <n v="12404.16"/>
  </r>
  <r>
    <x v="0"/>
    <x v="0"/>
    <x v="0"/>
    <x v="0"/>
    <x v="1"/>
    <s v="DK2_NoDH"/>
    <x v="2"/>
    <x v="0"/>
    <s v="GNR_ENG_NGAS_BP_E-46"/>
    <x v="0"/>
    <x v="5"/>
    <n v="9.44"/>
    <n v="3445.6"/>
    <n v="12404.16"/>
  </r>
  <r>
    <x v="0"/>
    <x v="0"/>
    <x v="0"/>
    <x v="0"/>
    <x v="1"/>
    <s v="DK2_NoDH"/>
    <x v="2"/>
    <x v="0"/>
    <s v="GNR_ENG_NGAS_BP_E-46"/>
    <x v="0"/>
    <x v="6"/>
    <n v="9.44"/>
    <n v="3445.6"/>
    <n v="12404.16"/>
  </r>
  <r>
    <x v="0"/>
    <x v="0"/>
    <x v="0"/>
    <x v="0"/>
    <x v="1"/>
    <s v="DK2_NoDH"/>
    <x v="2"/>
    <x v="0"/>
    <s v="GNR_ENG_NGAS_BP_E-46"/>
    <x v="0"/>
    <x v="7"/>
    <n v="9.44"/>
    <n v="3445.6"/>
    <n v="12404.16"/>
  </r>
  <r>
    <x v="0"/>
    <x v="0"/>
    <x v="0"/>
    <x v="0"/>
    <x v="1"/>
    <s v="DK2_NoDH"/>
    <x v="2"/>
    <x v="0"/>
    <s v="GNR_ENG_NGAS_BP_E-46"/>
    <x v="0"/>
    <x v="8"/>
    <n v="9.44"/>
    <n v="3445.6"/>
    <n v="12404.16"/>
  </r>
  <r>
    <x v="0"/>
    <x v="0"/>
    <x v="0"/>
    <x v="0"/>
    <x v="1"/>
    <s v="DK2_NoDH"/>
    <x v="2"/>
    <x v="0"/>
    <s v="GNR_ENG_NGAS_BP_E-46"/>
    <x v="0"/>
    <x v="9"/>
    <n v="9.44"/>
    <n v="3445.6"/>
    <n v="12404.16"/>
  </r>
  <r>
    <x v="0"/>
    <x v="0"/>
    <x v="0"/>
    <x v="0"/>
    <x v="1"/>
    <s v="DK2_NoDH"/>
    <x v="2"/>
    <x v="0"/>
    <s v="GNR_ENG_NGAS_BP_E-46"/>
    <x v="0"/>
    <x v="10"/>
    <n v="9.44"/>
    <n v="3445.6"/>
    <n v="12404.16"/>
  </r>
  <r>
    <x v="0"/>
    <x v="0"/>
    <x v="0"/>
    <x v="0"/>
    <x v="1"/>
    <s v="DK2_NoDH"/>
    <x v="2"/>
    <x v="0"/>
    <s v="GNR_ENG_NGAS_BP_E-46"/>
    <x v="0"/>
    <x v="11"/>
    <n v="9.44"/>
    <n v="3445.6"/>
    <n v="12404.16"/>
  </r>
  <r>
    <x v="0"/>
    <x v="0"/>
    <x v="0"/>
    <x v="0"/>
    <x v="1"/>
    <s v="DK2_NoDH"/>
    <x v="2"/>
    <x v="0"/>
    <s v="GNR_ENG_NGAS_BP_E-46"/>
    <x v="0"/>
    <x v="12"/>
    <n v="9.44"/>
    <n v="3445.6"/>
    <n v="12404.16"/>
  </r>
  <r>
    <x v="0"/>
    <x v="0"/>
    <x v="0"/>
    <x v="0"/>
    <x v="1"/>
    <s v="DK2_NoDH"/>
    <x v="2"/>
    <x v="0"/>
    <s v="GNR_ENG_NGAS_BP_E-46"/>
    <x v="0"/>
    <x v="13"/>
    <n v="9.44"/>
    <n v="3445.6"/>
    <n v="12404.16"/>
  </r>
  <r>
    <x v="0"/>
    <x v="0"/>
    <x v="0"/>
    <x v="0"/>
    <x v="1"/>
    <s v="DK2_NoDH"/>
    <x v="2"/>
    <x v="0"/>
    <s v="GNR_ENG_NGAS_BP_E-46"/>
    <x v="0"/>
    <x v="14"/>
    <n v="9.44"/>
    <n v="3445.6"/>
    <n v="12404.16"/>
  </r>
  <r>
    <x v="0"/>
    <x v="0"/>
    <x v="0"/>
    <x v="0"/>
    <x v="1"/>
    <s v="DK2_NoDH"/>
    <x v="2"/>
    <x v="0"/>
    <s v="GNR_ENG_NGAS_BP_E-46"/>
    <x v="0"/>
    <x v="15"/>
    <n v="9.44"/>
    <n v="3445.6"/>
    <n v="12404.16"/>
  </r>
  <r>
    <x v="0"/>
    <x v="0"/>
    <x v="0"/>
    <x v="0"/>
    <x v="1"/>
    <s v="DK2_NoDH"/>
    <x v="2"/>
    <x v="0"/>
    <s v="GNR_ENG_NGAS_BP_E-46"/>
    <x v="0"/>
    <x v="16"/>
    <n v="9.44"/>
    <n v="3445.6"/>
    <n v="12404.16"/>
  </r>
  <r>
    <x v="0"/>
    <x v="0"/>
    <x v="0"/>
    <x v="0"/>
    <x v="1"/>
    <s v="DK2_NoDH"/>
    <x v="2"/>
    <x v="0"/>
    <s v="GNR_ENG_NGAS_BP_E-46"/>
    <x v="0"/>
    <x v="17"/>
    <n v="9.44"/>
    <n v="3445.6"/>
    <n v="12404.16"/>
  </r>
  <r>
    <x v="0"/>
    <x v="0"/>
    <x v="0"/>
    <x v="0"/>
    <x v="1"/>
    <s v="DK2_NoDH"/>
    <x v="2"/>
    <x v="0"/>
    <s v="GNR_ENG_NGAS_BP_E-46"/>
    <x v="0"/>
    <x v="18"/>
    <n v="9.44"/>
    <n v="3445.6"/>
    <n v="12404.16"/>
  </r>
  <r>
    <x v="0"/>
    <x v="0"/>
    <x v="0"/>
    <x v="0"/>
    <x v="1"/>
    <s v="DK2_NoDH"/>
    <x v="5"/>
    <x v="3"/>
    <s v="GNR_PV_SUN"/>
    <x v="0"/>
    <x v="8"/>
    <n v="5.89448093338929"/>
    <n v="2151.4855406870902"/>
    <n v="7745.3479464735301"/>
  </r>
  <r>
    <x v="0"/>
    <x v="0"/>
    <x v="0"/>
    <x v="0"/>
    <x v="1"/>
    <s v="DK2_NoDH"/>
    <x v="5"/>
    <x v="3"/>
    <s v="GNR_PV_SUN"/>
    <x v="0"/>
    <x v="9"/>
    <n v="44.374861590848603"/>
    <n v="16196.824480659699"/>
    <n v="58308.568130375097"/>
  </r>
  <r>
    <x v="0"/>
    <x v="0"/>
    <x v="0"/>
    <x v="0"/>
    <x v="1"/>
    <s v="DK2_NoDH"/>
    <x v="5"/>
    <x v="3"/>
    <s v="GNR_PV_SUN"/>
    <x v="0"/>
    <x v="10"/>
    <n v="102.50351202627201"/>
    <n v="37413.781889589402"/>
    <n v="134689.614802522"/>
  </r>
  <r>
    <x v="0"/>
    <x v="0"/>
    <x v="0"/>
    <x v="0"/>
    <x v="1"/>
    <s v="DK2_NoDH"/>
    <x v="5"/>
    <x v="3"/>
    <s v="GNR_PV_SUN"/>
    <x v="0"/>
    <x v="11"/>
    <n v="156.09794635908901"/>
    <n v="56975.750421067401"/>
    <n v="205112.70151584299"/>
  </r>
  <r>
    <x v="0"/>
    <x v="0"/>
    <x v="0"/>
    <x v="0"/>
    <x v="1"/>
    <s v="DK2_NoDH"/>
    <x v="5"/>
    <x v="3"/>
    <s v="GNR_PV_SUN"/>
    <x v="0"/>
    <x v="12"/>
    <n v="177.469218256044"/>
    <n v="64776.264663456001"/>
    <n v="233194.55278844101"/>
  </r>
  <r>
    <x v="0"/>
    <x v="0"/>
    <x v="0"/>
    <x v="0"/>
    <x v="1"/>
    <s v="DK2_NoDH"/>
    <x v="5"/>
    <x v="3"/>
    <s v="GNR_PV_SUN"/>
    <x v="0"/>
    <x v="13"/>
    <n v="154.314488025397"/>
    <n v="56324.788129269698"/>
    <n v="202769.23726537099"/>
  </r>
  <r>
    <x v="0"/>
    <x v="0"/>
    <x v="0"/>
    <x v="0"/>
    <x v="1"/>
    <s v="DK2_NoDH"/>
    <x v="5"/>
    <x v="3"/>
    <s v="GNR_PV_SUN"/>
    <x v="0"/>
    <x v="14"/>
    <n v="100.41777261907301"/>
    <n v="36652.487005961601"/>
    <n v="131948.953221462"/>
  </r>
  <r>
    <x v="0"/>
    <x v="0"/>
    <x v="0"/>
    <x v="0"/>
    <x v="1"/>
    <s v="DK2_NoDH"/>
    <x v="5"/>
    <x v="3"/>
    <s v="GNR_PV_SUN"/>
    <x v="0"/>
    <x v="15"/>
    <n v="50.843676563901496"/>
    <n v="18557.941945824001"/>
    <n v="66808.591004966496"/>
  </r>
  <r>
    <x v="0"/>
    <x v="0"/>
    <x v="0"/>
    <x v="0"/>
    <x v="1"/>
    <s v="DK2_NoDH"/>
    <x v="5"/>
    <x v="3"/>
    <s v="GNR_PV_SUN"/>
    <x v="0"/>
    <x v="16"/>
    <n v="6.61995550980643"/>
    <n v="2416.2837610793499"/>
    <n v="8698.6215398856493"/>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2"/>
    <n v="8.2531860285989002E-3"/>
    <n v="3.0124129004386"/>
    <n v="10.844686441579"/>
  </r>
  <r>
    <x v="0"/>
    <x v="0"/>
    <x v="0"/>
    <x v="0"/>
    <x v="1"/>
    <s v="DK2_NoDH"/>
    <x v="6"/>
    <x v="4"/>
    <s v="GNR_ROR_WTR"/>
    <x v="0"/>
    <x v="3"/>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8"/>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0"/>
    <n v="56.727540341350497"/>
    <n v="20705.552224592899"/>
    <n v="74539.988008534594"/>
  </r>
  <r>
    <x v="0"/>
    <x v="0"/>
    <x v="0"/>
    <x v="0"/>
    <x v="1"/>
    <s v="DK2_NoDH"/>
    <x v="7"/>
    <x v="5"/>
    <s v="GNR_WT_WIND_ONS"/>
    <x v="0"/>
    <x v="1"/>
    <n v="68.073048409620696"/>
    <n v="24846.662669511501"/>
    <n v="89447.985610241507"/>
  </r>
  <r>
    <x v="0"/>
    <x v="0"/>
    <x v="0"/>
    <x v="0"/>
    <x v="1"/>
    <s v="DK2_NoDH"/>
    <x v="7"/>
    <x v="5"/>
    <s v="GNR_WT_WIND_ONS"/>
    <x v="0"/>
    <x v="2"/>
    <n v="66.452261542724898"/>
    <n v="24255.075463094599"/>
    <n v="87318.271667140594"/>
  </r>
  <r>
    <x v="0"/>
    <x v="0"/>
    <x v="0"/>
    <x v="0"/>
    <x v="1"/>
    <s v="DK2_NoDH"/>
    <x v="7"/>
    <x v="5"/>
    <s v="GNR_WT_WIND_ONS"/>
    <x v="0"/>
    <x v="3"/>
    <n v="62.400294375485601"/>
    <n v="22776.1074470522"/>
    <n v="81993.986809388094"/>
  </r>
  <r>
    <x v="0"/>
    <x v="0"/>
    <x v="0"/>
    <x v="0"/>
    <x v="1"/>
    <s v="DK2_NoDH"/>
    <x v="7"/>
    <x v="5"/>
    <s v="GNR_WT_WIND_ONS"/>
    <x v="0"/>
    <x v="4"/>
    <n v="46.192425706528297"/>
    <n v="16860.235382882802"/>
    <n v="60696.847378378203"/>
  </r>
  <r>
    <x v="0"/>
    <x v="0"/>
    <x v="0"/>
    <x v="0"/>
    <x v="1"/>
    <s v="DK2_NoDH"/>
    <x v="7"/>
    <x v="5"/>
    <s v="GNR_WT_WIND_ONS"/>
    <x v="0"/>
    <x v="5"/>
    <n v="26.7429833037795"/>
    <n v="9761.1889058795296"/>
    <n v="35140.280061166297"/>
  </r>
  <r>
    <x v="0"/>
    <x v="0"/>
    <x v="0"/>
    <x v="0"/>
    <x v="1"/>
    <s v="DK2_NoDH"/>
    <x v="7"/>
    <x v="5"/>
    <s v="GNR_WT_WIND_ONS"/>
    <x v="0"/>
    <x v="6"/>
    <n v="5.6727540341350497"/>
    <n v="2070.5552224592898"/>
    <n v="7453.9988008534601"/>
  </r>
  <r>
    <x v="0"/>
    <x v="0"/>
    <x v="0"/>
    <x v="0"/>
    <x v="1"/>
    <s v="DK2_NoDH"/>
    <x v="7"/>
    <x v="5"/>
    <s v="GNR_WT_WIND_ONS"/>
    <x v="0"/>
    <x v="7"/>
    <n v="4.0519671672393196"/>
    <n v="1478.96801604235"/>
    <n v="5324.2848577524701"/>
  </r>
  <r>
    <x v="0"/>
    <x v="0"/>
    <x v="0"/>
    <x v="0"/>
    <x v="1"/>
    <s v="DK2_NoDH"/>
    <x v="7"/>
    <x v="5"/>
    <s v="GNR_WT_WIND_ONS"/>
    <x v="0"/>
    <x v="8"/>
    <n v="5.6727540341350497"/>
    <n v="2070.5552224592898"/>
    <n v="7453.9988008534601"/>
  </r>
  <r>
    <x v="0"/>
    <x v="0"/>
    <x v="0"/>
    <x v="0"/>
    <x v="1"/>
    <s v="DK2_NoDH"/>
    <x v="7"/>
    <x v="5"/>
    <s v="GNR_WT_WIND_ONS"/>
    <x v="0"/>
    <x v="9"/>
    <n v="26.7429833037795"/>
    <n v="9761.1889058795296"/>
    <n v="35140.280061166297"/>
  </r>
  <r>
    <x v="0"/>
    <x v="0"/>
    <x v="0"/>
    <x v="0"/>
    <x v="1"/>
    <s v="DK2_NoDH"/>
    <x v="7"/>
    <x v="5"/>
    <s v="GNR_WT_WIND_ONS"/>
    <x v="0"/>
    <x v="10"/>
    <n v="62.400294375485601"/>
    <n v="22776.1074470522"/>
    <n v="81993.986809388094"/>
  </r>
  <r>
    <x v="0"/>
    <x v="0"/>
    <x v="0"/>
    <x v="0"/>
    <x v="1"/>
    <s v="DK2_NoDH"/>
    <x v="7"/>
    <x v="5"/>
    <s v="GNR_WT_WIND_ONS"/>
    <x v="0"/>
    <x v="11"/>
    <n v="96.436818580295906"/>
    <n v="35199.438781807999"/>
    <n v="126717.97961450899"/>
  </r>
  <r>
    <x v="0"/>
    <x v="0"/>
    <x v="0"/>
    <x v="0"/>
    <x v="1"/>
    <s v="DK2_NoDH"/>
    <x v="7"/>
    <x v="5"/>
    <s v="GNR_WT_WIND_ONS"/>
    <x v="0"/>
    <x v="12"/>
    <n v="111.834293815805"/>
    <n v="40819.517242768998"/>
    <n v="146950.26207396801"/>
  </r>
  <r>
    <x v="0"/>
    <x v="0"/>
    <x v="0"/>
    <x v="0"/>
    <x v="1"/>
    <s v="DK2_NoDH"/>
    <x v="7"/>
    <x v="5"/>
    <s v="GNR_WT_WIND_ONS"/>
    <x v="0"/>
    <x v="13"/>
    <n v="128.042162484763"/>
    <n v="46735.389306938399"/>
    <n v="168247.40150497801"/>
  </r>
  <r>
    <x v="0"/>
    <x v="0"/>
    <x v="0"/>
    <x v="0"/>
    <x v="1"/>
    <s v="DK2_NoDH"/>
    <x v="7"/>
    <x v="5"/>
    <s v="GNR_WT_WIND_ONS"/>
    <x v="0"/>
    <x v="14"/>
    <n v="128.042162484763"/>
    <n v="46735.389306938399"/>
    <n v="168247.40150497801"/>
  </r>
  <r>
    <x v="0"/>
    <x v="0"/>
    <x v="0"/>
    <x v="0"/>
    <x v="1"/>
    <s v="DK2_NoDH"/>
    <x v="7"/>
    <x v="5"/>
    <s v="GNR_WT_WIND_ONS"/>
    <x v="0"/>
    <x v="15"/>
    <n v="202.59835836196601"/>
    <n v="73948.4008021177"/>
    <n v="266214.24288762402"/>
  </r>
  <r>
    <x v="0"/>
    <x v="0"/>
    <x v="0"/>
    <x v="0"/>
    <x v="1"/>
    <s v="DK2_NoDH"/>
    <x v="7"/>
    <x v="5"/>
    <s v="GNR_WT_WIND_ONS"/>
    <x v="0"/>
    <x v="16"/>
    <n v="261.75707900366001"/>
    <n v="95541.333836335994"/>
    <n v="343948.80181080999"/>
  </r>
  <r>
    <x v="0"/>
    <x v="0"/>
    <x v="0"/>
    <x v="0"/>
    <x v="1"/>
    <s v="DK2_NoDH"/>
    <x v="7"/>
    <x v="5"/>
    <s v="GNR_WT_WIND_ONS"/>
    <x v="0"/>
    <x v="17"/>
    <n v="258.51550526986898"/>
    <n v="94358.159423502206"/>
    <n v="339689.37392460799"/>
  </r>
  <r>
    <x v="0"/>
    <x v="0"/>
    <x v="0"/>
    <x v="0"/>
    <x v="1"/>
    <s v="DK2_NoDH"/>
    <x v="7"/>
    <x v="5"/>
    <s v="GNR_WT_WIND_ONS"/>
    <x v="0"/>
    <x v="18"/>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0"/>
    <n v="59.000474158369002"/>
    <n v="21535.173067804699"/>
    <n v="77526.623044096894"/>
  </r>
  <r>
    <x v="0"/>
    <x v="0"/>
    <x v="0"/>
    <x v="0"/>
    <x v="1"/>
    <s v="DK2_Offshore"/>
    <x v="7"/>
    <x v="5"/>
    <s v="GNR_WT_WIND_OFF"/>
    <x v="0"/>
    <x v="1"/>
    <n v="70.800568990042805"/>
    <n v="25842.207681365599"/>
    <n v="93031.947652916293"/>
  </r>
  <r>
    <x v="0"/>
    <x v="0"/>
    <x v="0"/>
    <x v="0"/>
    <x v="1"/>
    <s v="DK2_Offshore"/>
    <x v="7"/>
    <x v="5"/>
    <s v="GNR_WT_WIND_OFF"/>
    <x v="0"/>
    <x v="2"/>
    <n v="69.114841156946596"/>
    <n v="25226.917022285499"/>
    <n v="90816.901280227801"/>
  </r>
  <r>
    <x v="0"/>
    <x v="0"/>
    <x v="0"/>
    <x v="0"/>
    <x v="1"/>
    <s v="DK2_Offshore"/>
    <x v="7"/>
    <x v="5"/>
    <s v="GNR_WT_WIND_OFF"/>
    <x v="0"/>
    <x v="3"/>
    <n v="64.900521574205897"/>
    <n v="23688.6903745852"/>
    <n v="85279.285348506601"/>
  </r>
  <r>
    <x v="0"/>
    <x v="0"/>
    <x v="0"/>
    <x v="0"/>
    <x v="1"/>
    <s v="DK2_Offshore"/>
    <x v="7"/>
    <x v="5"/>
    <s v="GNR_WT_WIND_OFF"/>
    <x v="0"/>
    <x v="4"/>
    <n v="48.043243243243403"/>
    <n v="17535.783783783801"/>
    <n v="63128.821621621799"/>
  </r>
  <r>
    <x v="0"/>
    <x v="0"/>
    <x v="0"/>
    <x v="0"/>
    <x v="1"/>
    <s v="DK2_Offshore"/>
    <x v="7"/>
    <x v="5"/>
    <s v="GNR_WT_WIND_OFF"/>
    <x v="0"/>
    <x v="5"/>
    <n v="27.814509246088299"/>
    <n v="10152.295874822201"/>
    <n v="36548.265149359999"/>
  </r>
  <r>
    <x v="0"/>
    <x v="0"/>
    <x v="0"/>
    <x v="0"/>
    <x v="1"/>
    <s v="DK2_Offshore"/>
    <x v="7"/>
    <x v="5"/>
    <s v="GNR_WT_WIND_OFF"/>
    <x v="0"/>
    <x v="6"/>
    <n v="5.9000474158368998"/>
    <n v="2153.5173067804699"/>
    <n v="7752.6623044096896"/>
  </r>
  <r>
    <x v="0"/>
    <x v="0"/>
    <x v="0"/>
    <x v="0"/>
    <x v="1"/>
    <s v="DK2_Offshore"/>
    <x v="7"/>
    <x v="5"/>
    <s v="GNR_WT_WIND_OFF"/>
    <x v="0"/>
    <x v="7"/>
    <n v="4.2143195827406403"/>
    <n v="1538.22664770034"/>
    <n v="5537.6159317212096"/>
  </r>
  <r>
    <x v="0"/>
    <x v="0"/>
    <x v="0"/>
    <x v="0"/>
    <x v="1"/>
    <s v="DK2_Offshore"/>
    <x v="7"/>
    <x v="5"/>
    <s v="GNR_WT_WIND_OFF"/>
    <x v="0"/>
    <x v="8"/>
    <n v="5.9000474158368998"/>
    <n v="2153.5173067804699"/>
    <n v="7752.6623044096896"/>
  </r>
  <r>
    <x v="0"/>
    <x v="0"/>
    <x v="0"/>
    <x v="0"/>
    <x v="1"/>
    <s v="DK2_Offshore"/>
    <x v="7"/>
    <x v="5"/>
    <s v="GNR_WT_WIND_OFF"/>
    <x v="0"/>
    <x v="9"/>
    <n v="27.814509246088299"/>
    <n v="10152.295874822201"/>
    <n v="36548.265149359999"/>
  </r>
  <r>
    <x v="0"/>
    <x v="0"/>
    <x v="0"/>
    <x v="0"/>
    <x v="1"/>
    <s v="DK2_Offshore"/>
    <x v="7"/>
    <x v="5"/>
    <s v="GNR_WT_WIND_OFF"/>
    <x v="0"/>
    <x v="10"/>
    <n v="64.900521574205897"/>
    <n v="23688.6903745852"/>
    <n v="85279.285348506601"/>
  </r>
  <r>
    <x v="0"/>
    <x v="0"/>
    <x v="0"/>
    <x v="0"/>
    <x v="1"/>
    <s v="DK2_Offshore"/>
    <x v="7"/>
    <x v="5"/>
    <s v="GNR_WT_WIND_OFF"/>
    <x v="0"/>
    <x v="11"/>
    <n v="100.30080606922699"/>
    <n v="36609.794215267997"/>
    <n v="131795.259174965"/>
  </r>
  <r>
    <x v="0"/>
    <x v="0"/>
    <x v="0"/>
    <x v="0"/>
    <x v="1"/>
    <s v="DK2_Offshore"/>
    <x v="7"/>
    <x v="5"/>
    <s v="GNR_WT_WIND_OFF"/>
    <x v="0"/>
    <x v="12"/>
    <n v="116.31522048364199"/>
    <n v="42455.055476529298"/>
    <n v="152838.199715505"/>
  </r>
  <r>
    <x v="0"/>
    <x v="0"/>
    <x v="0"/>
    <x v="0"/>
    <x v="1"/>
    <s v="DK2_Offshore"/>
    <x v="7"/>
    <x v="5"/>
    <s v="GNR_WT_WIND_OFF"/>
    <x v="0"/>
    <x v="13"/>
    <n v="133.17249881460401"/>
    <n v="48607.962067330598"/>
    <n v="174988.66344239001"/>
  </r>
  <r>
    <x v="0"/>
    <x v="0"/>
    <x v="0"/>
    <x v="0"/>
    <x v="1"/>
    <s v="DK2_Offshore"/>
    <x v="7"/>
    <x v="5"/>
    <s v="GNR_WT_WIND_OFF"/>
    <x v="0"/>
    <x v="14"/>
    <n v="133.17249881460401"/>
    <n v="48607.962067330598"/>
    <n v="174988.66344239001"/>
  </r>
  <r>
    <x v="0"/>
    <x v="0"/>
    <x v="0"/>
    <x v="0"/>
    <x v="1"/>
    <s v="DK2_Offshore"/>
    <x v="7"/>
    <x v="5"/>
    <s v="GNR_WT_WIND_OFF"/>
    <x v="0"/>
    <x v="15"/>
    <n v="210.71597913703201"/>
    <n v="76911.332385016794"/>
    <n v="276880.79658606002"/>
  </r>
  <r>
    <x v="0"/>
    <x v="0"/>
    <x v="0"/>
    <x v="0"/>
    <x v="1"/>
    <s v="DK2_Offshore"/>
    <x v="7"/>
    <x v="5"/>
    <s v="GNR_WT_WIND_OFF"/>
    <x v="0"/>
    <x v="16"/>
    <n v="272.24504504504603"/>
    <n v="99369.441441441697"/>
    <n v="357729.98918918998"/>
  </r>
  <r>
    <x v="0"/>
    <x v="0"/>
    <x v="0"/>
    <x v="0"/>
    <x v="1"/>
    <s v="DK2_Offshore"/>
    <x v="7"/>
    <x v="5"/>
    <s v="GNR_WT_WIND_OFF"/>
    <x v="0"/>
    <x v="17"/>
    <n v="268.87358937885301"/>
    <n v="98138.860123281396"/>
    <n v="353299.89644381299"/>
  </r>
  <r>
    <x v="0"/>
    <x v="0"/>
    <x v="0"/>
    <x v="0"/>
    <x v="1"/>
    <s v="DK2_Offshore"/>
    <x v="7"/>
    <x v="5"/>
    <s v="GNR_WT_WIND_OFF"/>
    <x v="0"/>
    <x v="18"/>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0"/>
    <x v="0"/>
    <s v="GNR_ENG_BGAS_BP_E-34"/>
    <x v="0"/>
    <x v="0"/>
    <n v="0.76"/>
    <n v="277.39999999999998"/>
    <n v="998.64"/>
  </r>
  <r>
    <x v="0"/>
    <x v="0"/>
    <x v="0"/>
    <x v="0"/>
    <x v="1"/>
    <s v="DK2_Rural"/>
    <x v="0"/>
    <x v="0"/>
    <s v="GNR_ENG_BGAS_BP_E-34"/>
    <x v="0"/>
    <x v="1"/>
    <n v="0.76"/>
    <n v="277.39999999999998"/>
    <n v="998.64"/>
  </r>
  <r>
    <x v="0"/>
    <x v="0"/>
    <x v="0"/>
    <x v="0"/>
    <x v="1"/>
    <s v="DK2_Rural"/>
    <x v="0"/>
    <x v="0"/>
    <s v="GNR_ENG_BGAS_BP_E-34"/>
    <x v="0"/>
    <x v="2"/>
    <n v="0.76"/>
    <n v="277.39999999999998"/>
    <n v="998.64"/>
  </r>
  <r>
    <x v="0"/>
    <x v="0"/>
    <x v="0"/>
    <x v="0"/>
    <x v="1"/>
    <s v="DK2_Rural"/>
    <x v="0"/>
    <x v="0"/>
    <s v="GNR_ENG_BGAS_BP_E-34"/>
    <x v="0"/>
    <x v="3"/>
    <n v="0.76"/>
    <n v="277.39999999999998"/>
    <n v="998.64"/>
  </r>
  <r>
    <x v="0"/>
    <x v="0"/>
    <x v="0"/>
    <x v="0"/>
    <x v="1"/>
    <s v="DK2_Rural"/>
    <x v="0"/>
    <x v="0"/>
    <s v="GNR_ENG_BGAS_BP_E-34"/>
    <x v="0"/>
    <x v="4"/>
    <n v="0.76"/>
    <n v="277.39999999999998"/>
    <n v="998.64"/>
  </r>
  <r>
    <x v="0"/>
    <x v="0"/>
    <x v="0"/>
    <x v="0"/>
    <x v="1"/>
    <s v="DK2_Rural"/>
    <x v="0"/>
    <x v="0"/>
    <s v="GNR_ENG_BGAS_BP_E-34"/>
    <x v="0"/>
    <x v="5"/>
    <n v="0.76"/>
    <n v="277.39999999999998"/>
    <n v="998.64"/>
  </r>
  <r>
    <x v="0"/>
    <x v="0"/>
    <x v="0"/>
    <x v="0"/>
    <x v="1"/>
    <s v="DK2_Rural"/>
    <x v="0"/>
    <x v="0"/>
    <s v="GNR_ENG_BGAS_BP_E-34"/>
    <x v="0"/>
    <x v="6"/>
    <n v="0.76"/>
    <n v="277.39999999999998"/>
    <n v="998.64"/>
  </r>
  <r>
    <x v="0"/>
    <x v="0"/>
    <x v="0"/>
    <x v="0"/>
    <x v="1"/>
    <s v="DK2_Rural"/>
    <x v="0"/>
    <x v="0"/>
    <s v="GNR_ENG_BGAS_BP_E-34"/>
    <x v="0"/>
    <x v="7"/>
    <n v="0.76"/>
    <n v="277.39999999999998"/>
    <n v="998.64"/>
  </r>
  <r>
    <x v="0"/>
    <x v="0"/>
    <x v="0"/>
    <x v="0"/>
    <x v="1"/>
    <s v="DK2_Rural"/>
    <x v="0"/>
    <x v="0"/>
    <s v="GNR_ENG_BGAS_BP_E-34"/>
    <x v="0"/>
    <x v="8"/>
    <n v="0.76"/>
    <n v="277.39999999999998"/>
    <n v="998.64"/>
  </r>
  <r>
    <x v="0"/>
    <x v="0"/>
    <x v="0"/>
    <x v="0"/>
    <x v="1"/>
    <s v="DK2_Rural"/>
    <x v="0"/>
    <x v="0"/>
    <s v="GNR_ENG_BGAS_BP_E-34"/>
    <x v="0"/>
    <x v="9"/>
    <n v="0.76"/>
    <n v="277.39999999999998"/>
    <n v="998.64"/>
  </r>
  <r>
    <x v="0"/>
    <x v="0"/>
    <x v="0"/>
    <x v="0"/>
    <x v="1"/>
    <s v="DK2_Rural"/>
    <x v="0"/>
    <x v="0"/>
    <s v="GNR_ENG_BGAS_BP_E-34"/>
    <x v="0"/>
    <x v="10"/>
    <n v="0.76"/>
    <n v="277.39999999999998"/>
    <n v="998.64"/>
  </r>
  <r>
    <x v="0"/>
    <x v="0"/>
    <x v="0"/>
    <x v="0"/>
    <x v="1"/>
    <s v="DK2_Rural"/>
    <x v="0"/>
    <x v="0"/>
    <s v="GNR_ENG_BGAS_BP_E-34"/>
    <x v="0"/>
    <x v="11"/>
    <n v="0.76"/>
    <n v="277.39999999999998"/>
    <n v="998.64"/>
  </r>
  <r>
    <x v="0"/>
    <x v="0"/>
    <x v="0"/>
    <x v="0"/>
    <x v="1"/>
    <s v="DK2_Rural"/>
    <x v="0"/>
    <x v="0"/>
    <s v="GNR_ENG_BGAS_BP_E-34"/>
    <x v="0"/>
    <x v="12"/>
    <n v="0.76"/>
    <n v="277.39999999999998"/>
    <n v="998.64"/>
  </r>
  <r>
    <x v="0"/>
    <x v="0"/>
    <x v="0"/>
    <x v="0"/>
    <x v="1"/>
    <s v="DK2_Rural"/>
    <x v="0"/>
    <x v="0"/>
    <s v="GNR_ENG_BGAS_BP_E-34"/>
    <x v="0"/>
    <x v="13"/>
    <n v="0.76"/>
    <n v="277.39999999999998"/>
    <n v="998.64"/>
  </r>
  <r>
    <x v="0"/>
    <x v="0"/>
    <x v="0"/>
    <x v="0"/>
    <x v="1"/>
    <s v="DK2_Rural"/>
    <x v="0"/>
    <x v="0"/>
    <s v="GNR_ENG_BGAS_BP_E-34"/>
    <x v="0"/>
    <x v="14"/>
    <n v="0.76"/>
    <n v="277.39999999999998"/>
    <n v="998.64"/>
  </r>
  <r>
    <x v="0"/>
    <x v="0"/>
    <x v="0"/>
    <x v="0"/>
    <x v="1"/>
    <s v="DK2_Rural"/>
    <x v="0"/>
    <x v="0"/>
    <s v="GNR_ENG_BGAS_BP_E-34"/>
    <x v="0"/>
    <x v="15"/>
    <n v="0.76"/>
    <n v="277.39999999999998"/>
    <n v="998.64"/>
  </r>
  <r>
    <x v="0"/>
    <x v="0"/>
    <x v="0"/>
    <x v="0"/>
    <x v="1"/>
    <s v="DK2_Rural"/>
    <x v="0"/>
    <x v="0"/>
    <s v="GNR_ENG_BGAS_BP_E-34"/>
    <x v="0"/>
    <x v="16"/>
    <n v="0.76"/>
    <n v="277.39999999999998"/>
    <n v="998.64"/>
  </r>
  <r>
    <x v="0"/>
    <x v="0"/>
    <x v="0"/>
    <x v="0"/>
    <x v="1"/>
    <s v="DK2_Rural"/>
    <x v="0"/>
    <x v="0"/>
    <s v="GNR_ENG_BGAS_BP_E-34"/>
    <x v="0"/>
    <x v="17"/>
    <n v="0.76"/>
    <n v="277.39999999999998"/>
    <n v="998.64"/>
  </r>
  <r>
    <x v="0"/>
    <x v="0"/>
    <x v="0"/>
    <x v="0"/>
    <x v="1"/>
    <s v="DK2_Rural"/>
    <x v="0"/>
    <x v="0"/>
    <s v="GNR_ENG_BGAS_BP_E-34"/>
    <x v="0"/>
    <x v="18"/>
    <n v="0.76"/>
    <n v="277.39999999999998"/>
    <n v="998.64"/>
  </r>
  <r>
    <x v="0"/>
    <x v="0"/>
    <x v="0"/>
    <x v="0"/>
    <x v="1"/>
    <s v="DK2_Rural"/>
    <x v="0"/>
    <x v="0"/>
    <s v="GNR_ENG_BGAS_BP_E-34"/>
    <x v="0"/>
    <x v="19"/>
    <n v="0.76"/>
    <n v="277.39999999999998"/>
    <n v="998.64"/>
  </r>
  <r>
    <x v="0"/>
    <x v="0"/>
    <x v="0"/>
    <x v="0"/>
    <x v="1"/>
    <s v="DK2_Rural"/>
    <x v="0"/>
    <x v="0"/>
    <s v="GNR_ENG_BGAS_BP_E-34"/>
    <x v="0"/>
    <x v="20"/>
    <n v="0.76"/>
    <n v="277.39999999999998"/>
    <n v="998.64"/>
  </r>
  <r>
    <x v="0"/>
    <x v="0"/>
    <x v="0"/>
    <x v="0"/>
    <x v="1"/>
    <s v="DK2_Rural"/>
    <x v="0"/>
    <x v="0"/>
    <s v="GNR_ENG_BGAS_BP_E-34"/>
    <x v="0"/>
    <x v="21"/>
    <n v="0.76"/>
    <n v="277.39999999999998"/>
    <n v="998.64"/>
  </r>
  <r>
    <x v="0"/>
    <x v="0"/>
    <x v="0"/>
    <x v="0"/>
    <x v="1"/>
    <s v="DK2_Rural"/>
    <x v="0"/>
    <x v="0"/>
    <s v="GNR_ENG_BGAS_BP_E-34"/>
    <x v="0"/>
    <x v="22"/>
    <n v="0.76"/>
    <n v="277.39999999999998"/>
    <n v="998.64"/>
  </r>
  <r>
    <x v="0"/>
    <x v="0"/>
    <x v="0"/>
    <x v="0"/>
    <x v="1"/>
    <s v="DK2_Rural"/>
    <x v="0"/>
    <x v="0"/>
    <s v="GNR_ENG_BGAS_BP_E-34"/>
    <x v="0"/>
    <x v="23"/>
    <n v="0.76"/>
    <n v="277.39999999999998"/>
    <n v="998.64"/>
  </r>
  <r>
    <x v="0"/>
    <x v="0"/>
    <x v="0"/>
    <x v="0"/>
    <x v="1"/>
    <s v="DK2_Rural"/>
    <x v="0"/>
    <x v="0"/>
    <s v="GNR_ENG_BGAS_BP_E-39"/>
    <x v="0"/>
    <x v="0"/>
    <n v="1.01"/>
    <n v="368.65"/>
    <n v="1327.14"/>
  </r>
  <r>
    <x v="0"/>
    <x v="0"/>
    <x v="0"/>
    <x v="0"/>
    <x v="1"/>
    <s v="DK2_Rural"/>
    <x v="0"/>
    <x v="0"/>
    <s v="GNR_ENG_BGAS_BP_E-39"/>
    <x v="0"/>
    <x v="1"/>
    <n v="1.01"/>
    <n v="368.65"/>
    <n v="1327.14"/>
  </r>
  <r>
    <x v="0"/>
    <x v="0"/>
    <x v="0"/>
    <x v="0"/>
    <x v="1"/>
    <s v="DK2_Rural"/>
    <x v="0"/>
    <x v="0"/>
    <s v="GNR_ENG_BGAS_BP_E-39"/>
    <x v="0"/>
    <x v="2"/>
    <n v="1.01"/>
    <n v="368.65"/>
    <n v="1327.14"/>
  </r>
  <r>
    <x v="0"/>
    <x v="0"/>
    <x v="0"/>
    <x v="0"/>
    <x v="1"/>
    <s v="DK2_Rural"/>
    <x v="0"/>
    <x v="0"/>
    <s v="GNR_ENG_BGAS_BP_E-39"/>
    <x v="0"/>
    <x v="3"/>
    <n v="1.01"/>
    <n v="368.65"/>
    <n v="1327.14"/>
  </r>
  <r>
    <x v="0"/>
    <x v="0"/>
    <x v="0"/>
    <x v="0"/>
    <x v="1"/>
    <s v="DK2_Rural"/>
    <x v="0"/>
    <x v="0"/>
    <s v="GNR_ENG_BGAS_BP_E-39"/>
    <x v="0"/>
    <x v="4"/>
    <n v="1.01"/>
    <n v="368.65"/>
    <n v="1327.14"/>
  </r>
  <r>
    <x v="0"/>
    <x v="0"/>
    <x v="0"/>
    <x v="0"/>
    <x v="1"/>
    <s v="DK2_Rural"/>
    <x v="0"/>
    <x v="0"/>
    <s v="GNR_ENG_BGAS_BP_E-39"/>
    <x v="0"/>
    <x v="5"/>
    <n v="1.01"/>
    <n v="368.65"/>
    <n v="1327.14"/>
  </r>
  <r>
    <x v="0"/>
    <x v="0"/>
    <x v="0"/>
    <x v="0"/>
    <x v="1"/>
    <s v="DK2_Rural"/>
    <x v="0"/>
    <x v="0"/>
    <s v="GNR_ENG_BGAS_BP_E-39"/>
    <x v="0"/>
    <x v="6"/>
    <n v="1.01"/>
    <n v="368.65"/>
    <n v="1327.14"/>
  </r>
  <r>
    <x v="0"/>
    <x v="0"/>
    <x v="0"/>
    <x v="0"/>
    <x v="1"/>
    <s v="DK2_Rural"/>
    <x v="0"/>
    <x v="0"/>
    <s v="GNR_ENG_BGAS_BP_E-39"/>
    <x v="0"/>
    <x v="7"/>
    <n v="1.01"/>
    <n v="368.65"/>
    <n v="1327.14"/>
  </r>
  <r>
    <x v="0"/>
    <x v="0"/>
    <x v="0"/>
    <x v="0"/>
    <x v="1"/>
    <s v="DK2_Rural"/>
    <x v="0"/>
    <x v="0"/>
    <s v="GNR_ENG_BGAS_BP_E-39"/>
    <x v="0"/>
    <x v="8"/>
    <n v="1.01"/>
    <n v="368.65"/>
    <n v="1327.14"/>
  </r>
  <r>
    <x v="0"/>
    <x v="0"/>
    <x v="0"/>
    <x v="0"/>
    <x v="1"/>
    <s v="DK2_Rural"/>
    <x v="0"/>
    <x v="0"/>
    <s v="GNR_ENG_BGAS_BP_E-39"/>
    <x v="0"/>
    <x v="9"/>
    <n v="1.01"/>
    <n v="368.65"/>
    <n v="1327.14"/>
  </r>
  <r>
    <x v="0"/>
    <x v="0"/>
    <x v="0"/>
    <x v="0"/>
    <x v="1"/>
    <s v="DK2_Rural"/>
    <x v="0"/>
    <x v="0"/>
    <s v="GNR_ENG_BGAS_BP_E-39"/>
    <x v="0"/>
    <x v="10"/>
    <n v="1.01"/>
    <n v="368.65"/>
    <n v="1327.14"/>
  </r>
  <r>
    <x v="0"/>
    <x v="0"/>
    <x v="0"/>
    <x v="0"/>
    <x v="1"/>
    <s v="DK2_Rural"/>
    <x v="0"/>
    <x v="0"/>
    <s v="GNR_ENG_BGAS_BP_E-39"/>
    <x v="0"/>
    <x v="11"/>
    <n v="1.01"/>
    <n v="368.65"/>
    <n v="1327.14"/>
  </r>
  <r>
    <x v="0"/>
    <x v="0"/>
    <x v="0"/>
    <x v="0"/>
    <x v="1"/>
    <s v="DK2_Rural"/>
    <x v="0"/>
    <x v="0"/>
    <s v="GNR_ENG_BGAS_BP_E-39"/>
    <x v="0"/>
    <x v="12"/>
    <n v="1.01"/>
    <n v="368.65"/>
    <n v="1327.14"/>
  </r>
  <r>
    <x v="0"/>
    <x v="0"/>
    <x v="0"/>
    <x v="0"/>
    <x v="1"/>
    <s v="DK2_Rural"/>
    <x v="0"/>
    <x v="0"/>
    <s v="GNR_ENG_BGAS_BP_E-39"/>
    <x v="0"/>
    <x v="13"/>
    <n v="1.01"/>
    <n v="368.65"/>
    <n v="1327.14"/>
  </r>
  <r>
    <x v="0"/>
    <x v="0"/>
    <x v="0"/>
    <x v="0"/>
    <x v="1"/>
    <s v="DK2_Rural"/>
    <x v="0"/>
    <x v="0"/>
    <s v="GNR_ENG_BGAS_BP_E-39"/>
    <x v="0"/>
    <x v="14"/>
    <n v="1.01"/>
    <n v="368.65"/>
    <n v="1327.14"/>
  </r>
  <r>
    <x v="0"/>
    <x v="0"/>
    <x v="0"/>
    <x v="0"/>
    <x v="1"/>
    <s v="DK2_Rural"/>
    <x v="0"/>
    <x v="0"/>
    <s v="GNR_ENG_BGAS_BP_E-39"/>
    <x v="0"/>
    <x v="15"/>
    <n v="1.01"/>
    <n v="368.65"/>
    <n v="1327.14"/>
  </r>
  <r>
    <x v="0"/>
    <x v="0"/>
    <x v="0"/>
    <x v="0"/>
    <x v="1"/>
    <s v="DK2_Rural"/>
    <x v="0"/>
    <x v="0"/>
    <s v="GNR_ENG_BGAS_BP_E-39"/>
    <x v="0"/>
    <x v="16"/>
    <n v="1.01"/>
    <n v="368.65"/>
    <n v="1327.14"/>
  </r>
  <r>
    <x v="0"/>
    <x v="0"/>
    <x v="0"/>
    <x v="0"/>
    <x v="1"/>
    <s v="DK2_Rural"/>
    <x v="0"/>
    <x v="0"/>
    <s v="GNR_ENG_BGAS_BP_E-39"/>
    <x v="0"/>
    <x v="17"/>
    <n v="1.01"/>
    <n v="368.65"/>
    <n v="1327.14"/>
  </r>
  <r>
    <x v="0"/>
    <x v="0"/>
    <x v="0"/>
    <x v="0"/>
    <x v="1"/>
    <s v="DK2_Rural"/>
    <x v="0"/>
    <x v="0"/>
    <s v="GNR_ENG_BGAS_BP_E-39"/>
    <x v="0"/>
    <x v="18"/>
    <n v="1.01"/>
    <n v="368.65"/>
    <n v="1327.14"/>
  </r>
  <r>
    <x v="0"/>
    <x v="0"/>
    <x v="0"/>
    <x v="0"/>
    <x v="1"/>
    <s v="DK2_Rural"/>
    <x v="0"/>
    <x v="0"/>
    <s v="GNR_ENG_BGAS_BP_E-39"/>
    <x v="0"/>
    <x v="19"/>
    <n v="1.01"/>
    <n v="368.65"/>
    <n v="1327.14"/>
  </r>
  <r>
    <x v="0"/>
    <x v="0"/>
    <x v="0"/>
    <x v="0"/>
    <x v="1"/>
    <s v="DK2_Rural"/>
    <x v="0"/>
    <x v="0"/>
    <s v="GNR_ENG_BGAS_BP_E-39"/>
    <x v="0"/>
    <x v="20"/>
    <n v="1.01"/>
    <n v="368.65"/>
    <n v="1327.14"/>
  </r>
  <r>
    <x v="0"/>
    <x v="0"/>
    <x v="0"/>
    <x v="0"/>
    <x v="1"/>
    <s v="DK2_Rural"/>
    <x v="0"/>
    <x v="0"/>
    <s v="GNR_ENG_BGAS_BP_E-39"/>
    <x v="0"/>
    <x v="21"/>
    <n v="1.01"/>
    <n v="368.65"/>
    <n v="1327.14"/>
  </r>
  <r>
    <x v="0"/>
    <x v="0"/>
    <x v="0"/>
    <x v="0"/>
    <x v="1"/>
    <s v="DK2_Rural"/>
    <x v="0"/>
    <x v="0"/>
    <s v="GNR_ENG_BGAS_BP_E-39"/>
    <x v="0"/>
    <x v="22"/>
    <n v="1.01"/>
    <n v="368.65"/>
    <n v="1327.14"/>
  </r>
  <r>
    <x v="0"/>
    <x v="0"/>
    <x v="0"/>
    <x v="0"/>
    <x v="1"/>
    <s v="DK2_Rural"/>
    <x v="0"/>
    <x v="0"/>
    <s v="GNR_ENG_BGAS_BP_E-39"/>
    <x v="0"/>
    <x v="23"/>
    <n v="1.01"/>
    <n v="368.65"/>
    <n v="1327.14"/>
  </r>
  <r>
    <x v="0"/>
    <x v="0"/>
    <x v="0"/>
    <x v="0"/>
    <x v="1"/>
    <s v="DK2_Rural"/>
    <x v="0"/>
    <x v="0"/>
    <s v="GNR_ENG_BGAS_BP_E-40"/>
    <x v="0"/>
    <x v="0"/>
    <n v="0.53"/>
    <n v="193.45"/>
    <n v="696.42"/>
  </r>
  <r>
    <x v="0"/>
    <x v="0"/>
    <x v="0"/>
    <x v="0"/>
    <x v="1"/>
    <s v="DK2_Rural"/>
    <x v="0"/>
    <x v="0"/>
    <s v="GNR_ENG_BGAS_BP_E-40"/>
    <x v="0"/>
    <x v="1"/>
    <n v="0.53"/>
    <n v="193.45"/>
    <n v="696.42"/>
  </r>
  <r>
    <x v="0"/>
    <x v="0"/>
    <x v="0"/>
    <x v="0"/>
    <x v="1"/>
    <s v="DK2_Rural"/>
    <x v="0"/>
    <x v="0"/>
    <s v="GNR_ENG_BGAS_BP_E-40"/>
    <x v="0"/>
    <x v="2"/>
    <n v="0.53"/>
    <n v="193.45"/>
    <n v="696.42"/>
  </r>
  <r>
    <x v="0"/>
    <x v="0"/>
    <x v="0"/>
    <x v="0"/>
    <x v="1"/>
    <s v="DK2_Rural"/>
    <x v="0"/>
    <x v="0"/>
    <s v="GNR_ENG_BGAS_BP_E-40"/>
    <x v="0"/>
    <x v="3"/>
    <n v="0.53"/>
    <n v="193.45"/>
    <n v="696.42"/>
  </r>
  <r>
    <x v="0"/>
    <x v="0"/>
    <x v="0"/>
    <x v="0"/>
    <x v="1"/>
    <s v="DK2_Rural"/>
    <x v="0"/>
    <x v="0"/>
    <s v="GNR_ENG_BGAS_BP_E-40"/>
    <x v="0"/>
    <x v="4"/>
    <n v="0.53"/>
    <n v="193.45"/>
    <n v="696.42"/>
  </r>
  <r>
    <x v="0"/>
    <x v="0"/>
    <x v="0"/>
    <x v="0"/>
    <x v="1"/>
    <s v="DK2_Rural"/>
    <x v="0"/>
    <x v="0"/>
    <s v="GNR_ENG_BGAS_BP_E-40"/>
    <x v="0"/>
    <x v="5"/>
    <n v="0.53"/>
    <n v="193.45"/>
    <n v="696.42"/>
  </r>
  <r>
    <x v="0"/>
    <x v="0"/>
    <x v="0"/>
    <x v="0"/>
    <x v="1"/>
    <s v="DK2_Rural"/>
    <x v="0"/>
    <x v="0"/>
    <s v="GNR_ENG_BGAS_BP_E-40"/>
    <x v="0"/>
    <x v="6"/>
    <n v="0.53"/>
    <n v="193.45"/>
    <n v="696.42"/>
  </r>
  <r>
    <x v="0"/>
    <x v="0"/>
    <x v="0"/>
    <x v="0"/>
    <x v="1"/>
    <s v="DK2_Rural"/>
    <x v="0"/>
    <x v="0"/>
    <s v="GNR_ENG_BGAS_BP_E-40"/>
    <x v="0"/>
    <x v="7"/>
    <n v="0.53"/>
    <n v="193.45"/>
    <n v="696.42"/>
  </r>
  <r>
    <x v="0"/>
    <x v="0"/>
    <x v="0"/>
    <x v="0"/>
    <x v="1"/>
    <s v="DK2_Rural"/>
    <x v="0"/>
    <x v="0"/>
    <s v="GNR_ENG_BGAS_BP_E-40"/>
    <x v="0"/>
    <x v="8"/>
    <n v="0.53"/>
    <n v="193.45"/>
    <n v="696.42"/>
  </r>
  <r>
    <x v="0"/>
    <x v="0"/>
    <x v="0"/>
    <x v="0"/>
    <x v="1"/>
    <s v="DK2_Rural"/>
    <x v="0"/>
    <x v="0"/>
    <s v="GNR_ENG_BGAS_BP_E-40"/>
    <x v="0"/>
    <x v="9"/>
    <n v="0.53"/>
    <n v="193.45"/>
    <n v="696.42"/>
  </r>
  <r>
    <x v="0"/>
    <x v="0"/>
    <x v="0"/>
    <x v="0"/>
    <x v="1"/>
    <s v="DK2_Rural"/>
    <x v="0"/>
    <x v="0"/>
    <s v="GNR_ENG_BGAS_BP_E-40"/>
    <x v="0"/>
    <x v="10"/>
    <n v="0.53"/>
    <n v="193.45"/>
    <n v="696.42"/>
  </r>
  <r>
    <x v="0"/>
    <x v="0"/>
    <x v="0"/>
    <x v="0"/>
    <x v="1"/>
    <s v="DK2_Rural"/>
    <x v="0"/>
    <x v="0"/>
    <s v="GNR_ENG_BGAS_BP_E-40"/>
    <x v="0"/>
    <x v="11"/>
    <n v="0.53"/>
    <n v="193.45"/>
    <n v="696.42"/>
  </r>
  <r>
    <x v="0"/>
    <x v="0"/>
    <x v="0"/>
    <x v="0"/>
    <x v="1"/>
    <s v="DK2_Rural"/>
    <x v="0"/>
    <x v="0"/>
    <s v="GNR_ENG_BGAS_BP_E-40"/>
    <x v="0"/>
    <x v="12"/>
    <n v="0.53"/>
    <n v="193.45"/>
    <n v="696.42"/>
  </r>
  <r>
    <x v="0"/>
    <x v="0"/>
    <x v="0"/>
    <x v="0"/>
    <x v="1"/>
    <s v="DK2_Rural"/>
    <x v="0"/>
    <x v="0"/>
    <s v="GNR_ENG_BGAS_BP_E-40"/>
    <x v="0"/>
    <x v="13"/>
    <n v="0.53"/>
    <n v="193.45"/>
    <n v="696.42"/>
  </r>
  <r>
    <x v="0"/>
    <x v="0"/>
    <x v="0"/>
    <x v="0"/>
    <x v="1"/>
    <s v="DK2_Rural"/>
    <x v="0"/>
    <x v="0"/>
    <s v="GNR_ENG_BGAS_BP_E-40"/>
    <x v="0"/>
    <x v="14"/>
    <n v="0.53"/>
    <n v="193.45"/>
    <n v="696.42"/>
  </r>
  <r>
    <x v="0"/>
    <x v="0"/>
    <x v="0"/>
    <x v="0"/>
    <x v="1"/>
    <s v="DK2_Rural"/>
    <x v="0"/>
    <x v="0"/>
    <s v="GNR_ENG_BGAS_BP_E-40"/>
    <x v="0"/>
    <x v="15"/>
    <n v="0.53"/>
    <n v="193.45"/>
    <n v="696.42"/>
  </r>
  <r>
    <x v="0"/>
    <x v="0"/>
    <x v="0"/>
    <x v="0"/>
    <x v="1"/>
    <s v="DK2_Rural"/>
    <x v="0"/>
    <x v="0"/>
    <s v="GNR_ENG_BGAS_BP_E-40"/>
    <x v="0"/>
    <x v="16"/>
    <n v="0.53"/>
    <n v="193.45"/>
    <n v="696.42"/>
  </r>
  <r>
    <x v="0"/>
    <x v="0"/>
    <x v="0"/>
    <x v="0"/>
    <x v="1"/>
    <s v="DK2_Rural"/>
    <x v="0"/>
    <x v="0"/>
    <s v="GNR_ENG_BGAS_BP_E-40"/>
    <x v="0"/>
    <x v="17"/>
    <n v="0.53"/>
    <n v="193.45"/>
    <n v="696.42"/>
  </r>
  <r>
    <x v="0"/>
    <x v="0"/>
    <x v="0"/>
    <x v="0"/>
    <x v="1"/>
    <s v="DK2_Rural"/>
    <x v="0"/>
    <x v="0"/>
    <s v="GNR_ENG_BGAS_BP_E-40"/>
    <x v="0"/>
    <x v="18"/>
    <n v="0.53"/>
    <n v="193.45"/>
    <n v="696.42"/>
  </r>
  <r>
    <x v="0"/>
    <x v="0"/>
    <x v="0"/>
    <x v="0"/>
    <x v="1"/>
    <s v="DK2_Rural"/>
    <x v="0"/>
    <x v="0"/>
    <s v="GNR_ENG_BGAS_BP_E-40"/>
    <x v="0"/>
    <x v="19"/>
    <n v="0.53"/>
    <n v="193.45"/>
    <n v="696.42"/>
  </r>
  <r>
    <x v="0"/>
    <x v="0"/>
    <x v="0"/>
    <x v="0"/>
    <x v="1"/>
    <s v="DK2_Rural"/>
    <x v="0"/>
    <x v="0"/>
    <s v="GNR_ENG_BGAS_BP_E-40"/>
    <x v="0"/>
    <x v="20"/>
    <n v="0.53"/>
    <n v="193.45"/>
    <n v="696.42"/>
  </r>
  <r>
    <x v="0"/>
    <x v="0"/>
    <x v="0"/>
    <x v="0"/>
    <x v="1"/>
    <s v="DK2_Rural"/>
    <x v="0"/>
    <x v="0"/>
    <s v="GNR_ENG_BGAS_BP_E-40"/>
    <x v="0"/>
    <x v="21"/>
    <n v="0.53"/>
    <n v="193.45"/>
    <n v="696.42"/>
  </r>
  <r>
    <x v="0"/>
    <x v="0"/>
    <x v="0"/>
    <x v="0"/>
    <x v="1"/>
    <s v="DK2_Rural"/>
    <x v="0"/>
    <x v="0"/>
    <s v="GNR_ENG_BGAS_BP_E-40"/>
    <x v="0"/>
    <x v="22"/>
    <n v="0.53"/>
    <n v="193.45"/>
    <n v="696.42"/>
  </r>
  <r>
    <x v="0"/>
    <x v="0"/>
    <x v="0"/>
    <x v="0"/>
    <x v="1"/>
    <s v="DK2_Rural"/>
    <x v="0"/>
    <x v="0"/>
    <s v="GNR_ENG_BGAS_BP_E-40"/>
    <x v="0"/>
    <x v="23"/>
    <n v="0.53"/>
    <n v="193.45"/>
    <n v="696.42"/>
  </r>
  <r>
    <x v="0"/>
    <x v="0"/>
    <x v="0"/>
    <x v="0"/>
    <x v="1"/>
    <s v="DK2_Rural"/>
    <x v="0"/>
    <x v="0"/>
    <s v="GNR_ENG_BGAS_BP_E-41"/>
    <x v="0"/>
    <x v="0"/>
    <n v="2"/>
    <n v="730"/>
    <n v="2628"/>
  </r>
  <r>
    <x v="0"/>
    <x v="0"/>
    <x v="0"/>
    <x v="0"/>
    <x v="1"/>
    <s v="DK2_Rural"/>
    <x v="0"/>
    <x v="0"/>
    <s v="GNR_ENG_BGAS_BP_E-41"/>
    <x v="0"/>
    <x v="1"/>
    <n v="2"/>
    <n v="730"/>
    <n v="2628"/>
  </r>
  <r>
    <x v="0"/>
    <x v="0"/>
    <x v="0"/>
    <x v="0"/>
    <x v="1"/>
    <s v="DK2_Rural"/>
    <x v="0"/>
    <x v="0"/>
    <s v="GNR_ENG_BGAS_BP_E-41"/>
    <x v="0"/>
    <x v="2"/>
    <n v="2"/>
    <n v="730"/>
    <n v="2628"/>
  </r>
  <r>
    <x v="0"/>
    <x v="0"/>
    <x v="0"/>
    <x v="0"/>
    <x v="1"/>
    <s v="DK2_Rural"/>
    <x v="0"/>
    <x v="0"/>
    <s v="GNR_ENG_BGAS_BP_E-41"/>
    <x v="0"/>
    <x v="3"/>
    <n v="2"/>
    <n v="730"/>
    <n v="2628"/>
  </r>
  <r>
    <x v="0"/>
    <x v="0"/>
    <x v="0"/>
    <x v="0"/>
    <x v="1"/>
    <s v="DK2_Rural"/>
    <x v="0"/>
    <x v="0"/>
    <s v="GNR_ENG_BGAS_BP_E-41"/>
    <x v="0"/>
    <x v="4"/>
    <n v="2"/>
    <n v="730"/>
    <n v="2628"/>
  </r>
  <r>
    <x v="0"/>
    <x v="0"/>
    <x v="0"/>
    <x v="0"/>
    <x v="1"/>
    <s v="DK2_Rural"/>
    <x v="0"/>
    <x v="0"/>
    <s v="GNR_ENG_BGAS_BP_E-41"/>
    <x v="0"/>
    <x v="5"/>
    <n v="2"/>
    <n v="730"/>
    <n v="2628"/>
  </r>
  <r>
    <x v="0"/>
    <x v="0"/>
    <x v="0"/>
    <x v="0"/>
    <x v="1"/>
    <s v="DK2_Rural"/>
    <x v="0"/>
    <x v="0"/>
    <s v="GNR_ENG_BGAS_BP_E-41"/>
    <x v="0"/>
    <x v="6"/>
    <n v="2"/>
    <n v="730"/>
    <n v="2628"/>
  </r>
  <r>
    <x v="0"/>
    <x v="0"/>
    <x v="0"/>
    <x v="0"/>
    <x v="1"/>
    <s v="DK2_Rural"/>
    <x v="0"/>
    <x v="0"/>
    <s v="GNR_ENG_BGAS_BP_E-41"/>
    <x v="0"/>
    <x v="7"/>
    <n v="2"/>
    <n v="730"/>
    <n v="2628"/>
  </r>
  <r>
    <x v="0"/>
    <x v="0"/>
    <x v="0"/>
    <x v="0"/>
    <x v="1"/>
    <s v="DK2_Rural"/>
    <x v="0"/>
    <x v="0"/>
    <s v="GNR_ENG_BGAS_BP_E-41"/>
    <x v="0"/>
    <x v="8"/>
    <n v="2"/>
    <n v="730"/>
    <n v="2628"/>
  </r>
  <r>
    <x v="0"/>
    <x v="0"/>
    <x v="0"/>
    <x v="0"/>
    <x v="1"/>
    <s v="DK2_Rural"/>
    <x v="0"/>
    <x v="0"/>
    <s v="GNR_ENG_BGAS_BP_E-41"/>
    <x v="0"/>
    <x v="9"/>
    <n v="2"/>
    <n v="730"/>
    <n v="2628"/>
  </r>
  <r>
    <x v="0"/>
    <x v="0"/>
    <x v="0"/>
    <x v="0"/>
    <x v="1"/>
    <s v="DK2_Rural"/>
    <x v="0"/>
    <x v="0"/>
    <s v="GNR_ENG_BGAS_BP_E-41"/>
    <x v="0"/>
    <x v="10"/>
    <n v="2"/>
    <n v="730"/>
    <n v="2628"/>
  </r>
  <r>
    <x v="0"/>
    <x v="0"/>
    <x v="0"/>
    <x v="0"/>
    <x v="1"/>
    <s v="DK2_Rural"/>
    <x v="0"/>
    <x v="0"/>
    <s v="GNR_ENG_BGAS_BP_E-41"/>
    <x v="0"/>
    <x v="11"/>
    <n v="2"/>
    <n v="730"/>
    <n v="2628"/>
  </r>
  <r>
    <x v="0"/>
    <x v="0"/>
    <x v="0"/>
    <x v="0"/>
    <x v="1"/>
    <s v="DK2_Rural"/>
    <x v="0"/>
    <x v="0"/>
    <s v="GNR_ENG_BGAS_BP_E-41"/>
    <x v="0"/>
    <x v="12"/>
    <n v="2"/>
    <n v="730"/>
    <n v="2628"/>
  </r>
  <r>
    <x v="0"/>
    <x v="0"/>
    <x v="0"/>
    <x v="0"/>
    <x v="1"/>
    <s v="DK2_Rural"/>
    <x v="0"/>
    <x v="0"/>
    <s v="GNR_ENG_BGAS_BP_E-41"/>
    <x v="0"/>
    <x v="13"/>
    <n v="2"/>
    <n v="730"/>
    <n v="2628"/>
  </r>
  <r>
    <x v="0"/>
    <x v="0"/>
    <x v="0"/>
    <x v="0"/>
    <x v="1"/>
    <s v="DK2_Rural"/>
    <x v="0"/>
    <x v="0"/>
    <s v="GNR_ENG_BGAS_BP_E-41"/>
    <x v="0"/>
    <x v="14"/>
    <n v="2"/>
    <n v="730"/>
    <n v="2628"/>
  </r>
  <r>
    <x v="0"/>
    <x v="0"/>
    <x v="0"/>
    <x v="0"/>
    <x v="1"/>
    <s v="DK2_Rural"/>
    <x v="0"/>
    <x v="0"/>
    <s v="GNR_ENG_BGAS_BP_E-41"/>
    <x v="0"/>
    <x v="15"/>
    <n v="2"/>
    <n v="730"/>
    <n v="2628"/>
  </r>
  <r>
    <x v="0"/>
    <x v="0"/>
    <x v="0"/>
    <x v="0"/>
    <x v="1"/>
    <s v="DK2_Rural"/>
    <x v="0"/>
    <x v="0"/>
    <s v="GNR_ENG_BGAS_BP_E-41"/>
    <x v="0"/>
    <x v="16"/>
    <n v="2"/>
    <n v="730"/>
    <n v="2628"/>
  </r>
  <r>
    <x v="0"/>
    <x v="0"/>
    <x v="0"/>
    <x v="0"/>
    <x v="1"/>
    <s v="DK2_Rural"/>
    <x v="0"/>
    <x v="0"/>
    <s v="GNR_ENG_BGAS_BP_E-41"/>
    <x v="0"/>
    <x v="17"/>
    <n v="2"/>
    <n v="730"/>
    <n v="2628"/>
  </r>
  <r>
    <x v="0"/>
    <x v="0"/>
    <x v="0"/>
    <x v="0"/>
    <x v="1"/>
    <s v="DK2_Rural"/>
    <x v="0"/>
    <x v="0"/>
    <s v="GNR_ENG_BGAS_BP_E-41"/>
    <x v="0"/>
    <x v="18"/>
    <n v="2"/>
    <n v="730"/>
    <n v="2628"/>
  </r>
  <r>
    <x v="0"/>
    <x v="0"/>
    <x v="0"/>
    <x v="0"/>
    <x v="1"/>
    <s v="DK2_Rural"/>
    <x v="0"/>
    <x v="0"/>
    <s v="GNR_ENG_BGAS_BP_E-41"/>
    <x v="0"/>
    <x v="19"/>
    <n v="2"/>
    <n v="730"/>
    <n v="2628"/>
  </r>
  <r>
    <x v="0"/>
    <x v="0"/>
    <x v="0"/>
    <x v="0"/>
    <x v="1"/>
    <s v="DK2_Rural"/>
    <x v="0"/>
    <x v="0"/>
    <s v="GNR_ENG_BGAS_BP_E-41"/>
    <x v="0"/>
    <x v="20"/>
    <n v="2"/>
    <n v="730"/>
    <n v="2628"/>
  </r>
  <r>
    <x v="0"/>
    <x v="0"/>
    <x v="0"/>
    <x v="0"/>
    <x v="1"/>
    <s v="DK2_Rural"/>
    <x v="0"/>
    <x v="0"/>
    <s v="GNR_ENG_BGAS_BP_E-41"/>
    <x v="0"/>
    <x v="21"/>
    <n v="2"/>
    <n v="730"/>
    <n v="2628"/>
  </r>
  <r>
    <x v="0"/>
    <x v="0"/>
    <x v="0"/>
    <x v="0"/>
    <x v="1"/>
    <s v="DK2_Rural"/>
    <x v="0"/>
    <x v="0"/>
    <s v="GNR_ENG_BGAS_BP_E-41"/>
    <x v="0"/>
    <x v="22"/>
    <n v="2"/>
    <n v="730"/>
    <n v="2628"/>
  </r>
  <r>
    <x v="0"/>
    <x v="0"/>
    <x v="0"/>
    <x v="0"/>
    <x v="1"/>
    <s v="DK2_Rural"/>
    <x v="0"/>
    <x v="0"/>
    <s v="GNR_ENG_BGAS_BP_E-41"/>
    <x v="0"/>
    <x v="23"/>
    <n v="2"/>
    <n v="730"/>
    <n v="2628"/>
  </r>
  <r>
    <x v="0"/>
    <x v="0"/>
    <x v="0"/>
    <x v="0"/>
    <x v="1"/>
    <s v="DK2_Rural"/>
    <x v="0"/>
    <x v="0"/>
    <s v="GNR_ENG_BGAS_BP_E-42"/>
    <x v="0"/>
    <x v="0"/>
    <n v="5.734"/>
    <n v="2092.91"/>
    <n v="7534.4759999999997"/>
  </r>
  <r>
    <x v="0"/>
    <x v="0"/>
    <x v="0"/>
    <x v="0"/>
    <x v="1"/>
    <s v="DK2_Rural"/>
    <x v="0"/>
    <x v="0"/>
    <s v="GNR_ENG_BGAS_BP_E-42"/>
    <x v="0"/>
    <x v="1"/>
    <n v="5.734"/>
    <n v="2092.91"/>
    <n v="7534.4759999999997"/>
  </r>
  <r>
    <x v="0"/>
    <x v="0"/>
    <x v="0"/>
    <x v="0"/>
    <x v="1"/>
    <s v="DK2_Rural"/>
    <x v="0"/>
    <x v="0"/>
    <s v="GNR_ENG_BGAS_BP_E-42"/>
    <x v="0"/>
    <x v="2"/>
    <n v="5.734"/>
    <n v="2092.91"/>
    <n v="7534.4759999999997"/>
  </r>
  <r>
    <x v="0"/>
    <x v="0"/>
    <x v="0"/>
    <x v="0"/>
    <x v="1"/>
    <s v="DK2_Rural"/>
    <x v="0"/>
    <x v="0"/>
    <s v="GNR_ENG_BGAS_BP_E-42"/>
    <x v="0"/>
    <x v="3"/>
    <n v="5.734"/>
    <n v="2092.91"/>
    <n v="7534.4759999999997"/>
  </r>
  <r>
    <x v="0"/>
    <x v="0"/>
    <x v="0"/>
    <x v="0"/>
    <x v="1"/>
    <s v="DK2_Rural"/>
    <x v="0"/>
    <x v="0"/>
    <s v="GNR_ENG_BGAS_BP_E-42"/>
    <x v="0"/>
    <x v="4"/>
    <n v="5.734"/>
    <n v="2092.91"/>
    <n v="7534.4759999999997"/>
  </r>
  <r>
    <x v="0"/>
    <x v="0"/>
    <x v="0"/>
    <x v="0"/>
    <x v="1"/>
    <s v="DK2_Rural"/>
    <x v="0"/>
    <x v="0"/>
    <s v="GNR_ENG_BGAS_BP_E-42"/>
    <x v="0"/>
    <x v="5"/>
    <n v="5.734"/>
    <n v="2092.91"/>
    <n v="7534.4759999999997"/>
  </r>
  <r>
    <x v="0"/>
    <x v="0"/>
    <x v="0"/>
    <x v="0"/>
    <x v="1"/>
    <s v="DK2_Rural"/>
    <x v="0"/>
    <x v="0"/>
    <s v="GNR_ENG_BGAS_BP_E-42"/>
    <x v="0"/>
    <x v="6"/>
    <n v="5.734"/>
    <n v="2092.91"/>
    <n v="7534.4759999999997"/>
  </r>
  <r>
    <x v="0"/>
    <x v="0"/>
    <x v="0"/>
    <x v="0"/>
    <x v="1"/>
    <s v="DK2_Rural"/>
    <x v="0"/>
    <x v="0"/>
    <s v="GNR_ENG_BGAS_BP_E-42"/>
    <x v="0"/>
    <x v="7"/>
    <n v="5.734"/>
    <n v="2092.91"/>
    <n v="7534.4759999999997"/>
  </r>
  <r>
    <x v="0"/>
    <x v="0"/>
    <x v="0"/>
    <x v="0"/>
    <x v="1"/>
    <s v="DK2_Rural"/>
    <x v="0"/>
    <x v="0"/>
    <s v="GNR_ENG_BGAS_BP_E-42"/>
    <x v="0"/>
    <x v="8"/>
    <n v="5.734"/>
    <n v="2092.91"/>
    <n v="7534.4759999999997"/>
  </r>
  <r>
    <x v="0"/>
    <x v="0"/>
    <x v="0"/>
    <x v="0"/>
    <x v="1"/>
    <s v="DK2_Rural"/>
    <x v="0"/>
    <x v="0"/>
    <s v="GNR_ENG_BGAS_BP_E-42"/>
    <x v="0"/>
    <x v="9"/>
    <n v="5.734"/>
    <n v="2092.91"/>
    <n v="7534.4759999999997"/>
  </r>
  <r>
    <x v="0"/>
    <x v="0"/>
    <x v="0"/>
    <x v="0"/>
    <x v="1"/>
    <s v="DK2_Rural"/>
    <x v="0"/>
    <x v="0"/>
    <s v="GNR_ENG_BGAS_BP_E-42"/>
    <x v="0"/>
    <x v="10"/>
    <n v="5.734"/>
    <n v="2092.91"/>
    <n v="7534.4759999999997"/>
  </r>
  <r>
    <x v="0"/>
    <x v="0"/>
    <x v="0"/>
    <x v="0"/>
    <x v="1"/>
    <s v="DK2_Rural"/>
    <x v="0"/>
    <x v="0"/>
    <s v="GNR_ENG_BGAS_BP_E-42"/>
    <x v="0"/>
    <x v="11"/>
    <n v="5.734"/>
    <n v="2092.91"/>
    <n v="7534.4759999999997"/>
  </r>
  <r>
    <x v="0"/>
    <x v="0"/>
    <x v="0"/>
    <x v="0"/>
    <x v="1"/>
    <s v="DK2_Rural"/>
    <x v="0"/>
    <x v="0"/>
    <s v="GNR_ENG_BGAS_BP_E-42"/>
    <x v="0"/>
    <x v="12"/>
    <n v="5.734"/>
    <n v="2092.91"/>
    <n v="7534.4759999999997"/>
  </r>
  <r>
    <x v="0"/>
    <x v="0"/>
    <x v="0"/>
    <x v="0"/>
    <x v="1"/>
    <s v="DK2_Rural"/>
    <x v="0"/>
    <x v="0"/>
    <s v="GNR_ENG_BGAS_BP_E-42"/>
    <x v="0"/>
    <x v="13"/>
    <n v="5.734"/>
    <n v="2092.91"/>
    <n v="7534.4759999999997"/>
  </r>
  <r>
    <x v="0"/>
    <x v="0"/>
    <x v="0"/>
    <x v="0"/>
    <x v="1"/>
    <s v="DK2_Rural"/>
    <x v="0"/>
    <x v="0"/>
    <s v="GNR_ENG_BGAS_BP_E-42"/>
    <x v="0"/>
    <x v="14"/>
    <n v="5.734"/>
    <n v="2092.91"/>
    <n v="7534.4759999999997"/>
  </r>
  <r>
    <x v="0"/>
    <x v="0"/>
    <x v="0"/>
    <x v="0"/>
    <x v="1"/>
    <s v="DK2_Rural"/>
    <x v="0"/>
    <x v="0"/>
    <s v="GNR_ENG_BGAS_BP_E-42"/>
    <x v="0"/>
    <x v="15"/>
    <n v="5.734"/>
    <n v="2092.91"/>
    <n v="7534.4759999999997"/>
  </r>
  <r>
    <x v="0"/>
    <x v="0"/>
    <x v="0"/>
    <x v="0"/>
    <x v="1"/>
    <s v="DK2_Rural"/>
    <x v="0"/>
    <x v="0"/>
    <s v="GNR_ENG_BGAS_BP_E-42"/>
    <x v="0"/>
    <x v="16"/>
    <n v="5.734"/>
    <n v="2092.91"/>
    <n v="7534.4759999999997"/>
  </r>
  <r>
    <x v="0"/>
    <x v="0"/>
    <x v="0"/>
    <x v="0"/>
    <x v="1"/>
    <s v="DK2_Rural"/>
    <x v="0"/>
    <x v="0"/>
    <s v="GNR_ENG_BGAS_BP_E-42"/>
    <x v="0"/>
    <x v="17"/>
    <n v="5.734"/>
    <n v="2092.91"/>
    <n v="7534.4759999999997"/>
  </r>
  <r>
    <x v="0"/>
    <x v="0"/>
    <x v="0"/>
    <x v="0"/>
    <x v="1"/>
    <s v="DK2_Rural"/>
    <x v="0"/>
    <x v="0"/>
    <s v="GNR_ENG_BGAS_BP_E-42"/>
    <x v="0"/>
    <x v="18"/>
    <n v="5.734"/>
    <n v="2092.91"/>
    <n v="7534.4759999999997"/>
  </r>
  <r>
    <x v="0"/>
    <x v="0"/>
    <x v="0"/>
    <x v="0"/>
    <x v="1"/>
    <s v="DK2_Rural"/>
    <x v="0"/>
    <x v="0"/>
    <s v="GNR_ENG_BGAS_BP_E-42"/>
    <x v="0"/>
    <x v="19"/>
    <n v="5.734"/>
    <n v="2092.91"/>
    <n v="7534.4759999999997"/>
  </r>
  <r>
    <x v="0"/>
    <x v="0"/>
    <x v="0"/>
    <x v="0"/>
    <x v="1"/>
    <s v="DK2_Rural"/>
    <x v="0"/>
    <x v="0"/>
    <s v="GNR_ENG_BGAS_BP_E-42"/>
    <x v="0"/>
    <x v="20"/>
    <n v="5.734"/>
    <n v="2092.91"/>
    <n v="7534.4759999999997"/>
  </r>
  <r>
    <x v="0"/>
    <x v="0"/>
    <x v="0"/>
    <x v="0"/>
    <x v="1"/>
    <s v="DK2_Rural"/>
    <x v="0"/>
    <x v="0"/>
    <s v="GNR_ENG_BGAS_BP_E-42"/>
    <x v="0"/>
    <x v="21"/>
    <n v="5.734"/>
    <n v="2092.91"/>
    <n v="7534.4759999999997"/>
  </r>
  <r>
    <x v="0"/>
    <x v="0"/>
    <x v="0"/>
    <x v="0"/>
    <x v="1"/>
    <s v="DK2_Rural"/>
    <x v="0"/>
    <x v="0"/>
    <s v="GNR_ENG_BGAS_BP_E-42"/>
    <x v="0"/>
    <x v="22"/>
    <n v="5.734"/>
    <n v="2092.91"/>
    <n v="7534.4759999999997"/>
  </r>
  <r>
    <x v="0"/>
    <x v="0"/>
    <x v="0"/>
    <x v="0"/>
    <x v="1"/>
    <s v="DK2_Rural"/>
    <x v="0"/>
    <x v="0"/>
    <s v="GNR_ENG_BGAS_BP_E-42"/>
    <x v="0"/>
    <x v="23"/>
    <n v="5.734"/>
    <n v="2092.91"/>
    <n v="7534.4759999999997"/>
  </r>
  <r>
    <x v="0"/>
    <x v="0"/>
    <x v="0"/>
    <x v="0"/>
    <x v="1"/>
    <s v="DK2_Rural"/>
    <x v="2"/>
    <x v="0"/>
    <s v="GNR_ENG_NGAS_BP_E-46"/>
    <x v="0"/>
    <x v="0"/>
    <n v="0.55000000000000004"/>
    <n v="200.75"/>
    <n v="722.7"/>
  </r>
  <r>
    <x v="0"/>
    <x v="0"/>
    <x v="0"/>
    <x v="0"/>
    <x v="1"/>
    <s v="DK2_Rural"/>
    <x v="2"/>
    <x v="0"/>
    <s v="GNR_ENG_NGAS_BP_E-46"/>
    <x v="0"/>
    <x v="1"/>
    <n v="0.55000000000000004"/>
    <n v="200.75"/>
    <n v="722.7"/>
  </r>
  <r>
    <x v="0"/>
    <x v="0"/>
    <x v="0"/>
    <x v="0"/>
    <x v="1"/>
    <s v="DK2_Rural"/>
    <x v="2"/>
    <x v="0"/>
    <s v="GNR_ENG_NGAS_BP_E-46"/>
    <x v="0"/>
    <x v="3"/>
    <n v="0.55000000000000004"/>
    <n v="200.75"/>
    <n v="722.7"/>
  </r>
  <r>
    <x v="0"/>
    <x v="0"/>
    <x v="0"/>
    <x v="0"/>
    <x v="1"/>
    <s v="DK2_Rural"/>
    <x v="2"/>
    <x v="0"/>
    <s v="GNR_ENG_NGAS_BP_E-46"/>
    <x v="0"/>
    <x v="4"/>
    <n v="0.55000000000000004"/>
    <n v="200.75"/>
    <n v="722.7"/>
  </r>
  <r>
    <x v="0"/>
    <x v="0"/>
    <x v="0"/>
    <x v="0"/>
    <x v="1"/>
    <s v="DK2_Rural"/>
    <x v="2"/>
    <x v="0"/>
    <s v="GNR_ENG_NGAS_BP_E-46"/>
    <x v="0"/>
    <x v="5"/>
    <n v="0.55000000000000004"/>
    <n v="200.75"/>
    <n v="722.7"/>
  </r>
  <r>
    <x v="0"/>
    <x v="0"/>
    <x v="0"/>
    <x v="0"/>
    <x v="1"/>
    <s v="DK2_Rural"/>
    <x v="2"/>
    <x v="0"/>
    <s v="GNR_ENG_NGAS_BP_E-46"/>
    <x v="0"/>
    <x v="6"/>
    <n v="0.55000000000000004"/>
    <n v="200.75"/>
    <n v="722.7"/>
  </r>
  <r>
    <x v="0"/>
    <x v="0"/>
    <x v="0"/>
    <x v="0"/>
    <x v="1"/>
    <s v="DK2_Rural"/>
    <x v="2"/>
    <x v="0"/>
    <s v="GNR_ENG_NGAS_BP_E-46"/>
    <x v="0"/>
    <x v="7"/>
    <n v="0.55000000000000004"/>
    <n v="200.75"/>
    <n v="722.7"/>
  </r>
  <r>
    <x v="0"/>
    <x v="0"/>
    <x v="0"/>
    <x v="0"/>
    <x v="1"/>
    <s v="DK2_Rural"/>
    <x v="2"/>
    <x v="0"/>
    <s v="GNR_ENG_NGAS_BP_E-46"/>
    <x v="0"/>
    <x v="8"/>
    <n v="0.55000000000000004"/>
    <n v="200.75"/>
    <n v="722.7"/>
  </r>
  <r>
    <x v="0"/>
    <x v="0"/>
    <x v="0"/>
    <x v="0"/>
    <x v="1"/>
    <s v="DK2_Rural"/>
    <x v="2"/>
    <x v="0"/>
    <s v="GNR_ENG_NGAS_BP_E-46"/>
    <x v="0"/>
    <x v="9"/>
    <n v="0.55000000000000004"/>
    <n v="200.75"/>
    <n v="722.7"/>
  </r>
  <r>
    <x v="0"/>
    <x v="0"/>
    <x v="0"/>
    <x v="0"/>
    <x v="1"/>
    <s v="DK2_Rural"/>
    <x v="2"/>
    <x v="0"/>
    <s v="GNR_ENG_NGAS_BP_E-46"/>
    <x v="0"/>
    <x v="10"/>
    <n v="0.55000000000000004"/>
    <n v="200.75"/>
    <n v="722.7"/>
  </r>
  <r>
    <x v="0"/>
    <x v="0"/>
    <x v="0"/>
    <x v="0"/>
    <x v="1"/>
    <s v="DK2_Rural"/>
    <x v="2"/>
    <x v="0"/>
    <s v="GNR_ENG_NGAS_BP_E-46"/>
    <x v="0"/>
    <x v="11"/>
    <n v="0.55000000000000004"/>
    <n v="200.75"/>
    <n v="722.7"/>
  </r>
  <r>
    <x v="0"/>
    <x v="0"/>
    <x v="0"/>
    <x v="0"/>
    <x v="1"/>
    <s v="DK2_Rural"/>
    <x v="2"/>
    <x v="0"/>
    <s v="GNR_ENG_NGAS_BP_E-46"/>
    <x v="0"/>
    <x v="12"/>
    <n v="0.55000000000000004"/>
    <n v="200.75"/>
    <n v="722.7"/>
  </r>
  <r>
    <x v="0"/>
    <x v="0"/>
    <x v="0"/>
    <x v="0"/>
    <x v="1"/>
    <s v="DK2_Rural"/>
    <x v="2"/>
    <x v="0"/>
    <s v="GNR_ENG_NGAS_BP_E-46"/>
    <x v="0"/>
    <x v="13"/>
    <n v="0.55000000000000004"/>
    <n v="200.75"/>
    <n v="722.7"/>
  </r>
  <r>
    <x v="0"/>
    <x v="0"/>
    <x v="0"/>
    <x v="0"/>
    <x v="1"/>
    <s v="DK2_Rural"/>
    <x v="2"/>
    <x v="0"/>
    <s v="GNR_ENG_NGAS_BP_E-46"/>
    <x v="0"/>
    <x v="14"/>
    <n v="0.55000000000000004"/>
    <n v="200.75"/>
    <n v="722.7"/>
  </r>
  <r>
    <x v="0"/>
    <x v="0"/>
    <x v="0"/>
    <x v="0"/>
    <x v="1"/>
    <s v="DK2_Rural"/>
    <x v="2"/>
    <x v="0"/>
    <s v="GNR_ENG_NGAS_BP_E-46"/>
    <x v="0"/>
    <x v="15"/>
    <n v="0.55000000000000004"/>
    <n v="200.75"/>
    <n v="722.7"/>
  </r>
  <r>
    <x v="0"/>
    <x v="0"/>
    <x v="0"/>
    <x v="0"/>
    <x v="1"/>
    <s v="DK2_Rural"/>
    <x v="2"/>
    <x v="0"/>
    <s v="GNR_ENG_NGAS_BP_E-46"/>
    <x v="0"/>
    <x v="16"/>
    <n v="0.55000000000000004"/>
    <n v="200.75"/>
    <n v="722.7"/>
  </r>
  <r>
    <x v="0"/>
    <x v="0"/>
    <x v="0"/>
    <x v="0"/>
    <x v="1"/>
    <s v="DK2_Rural"/>
    <x v="2"/>
    <x v="0"/>
    <s v="GNR_ENG_NGAS_BP_E-46"/>
    <x v="0"/>
    <x v="17"/>
    <n v="0.55000000000000004"/>
    <n v="200.75"/>
    <n v="722.7"/>
  </r>
  <r>
    <x v="0"/>
    <x v="0"/>
    <x v="0"/>
    <x v="0"/>
    <x v="1"/>
    <s v="DK2_Rural"/>
    <x v="2"/>
    <x v="0"/>
    <s v="GNR_ENG_NGAS_BP_E-46"/>
    <x v="0"/>
    <x v="18"/>
    <n v="0.55000000000000004"/>
    <n v="200.75"/>
    <n v="722.7"/>
  </r>
  <r>
    <x v="0"/>
    <x v="0"/>
    <x v="0"/>
    <x v="0"/>
    <x v="1"/>
    <s v="DK2_Rural"/>
    <x v="3"/>
    <x v="0"/>
    <s v="GNR_ST_STRW_BP_E-24"/>
    <x v="0"/>
    <x v="0"/>
    <n v="5"/>
    <n v="1825"/>
    <n v="6570"/>
  </r>
  <r>
    <x v="0"/>
    <x v="0"/>
    <x v="0"/>
    <x v="0"/>
    <x v="1"/>
    <s v="DK2_Rural"/>
    <x v="3"/>
    <x v="0"/>
    <s v="GNR_ST_STRW_BP_E-24"/>
    <x v="0"/>
    <x v="1"/>
    <n v="5"/>
    <n v="1825"/>
    <n v="6570"/>
  </r>
  <r>
    <x v="0"/>
    <x v="0"/>
    <x v="0"/>
    <x v="0"/>
    <x v="1"/>
    <s v="DK2_Rural"/>
    <x v="3"/>
    <x v="0"/>
    <s v="GNR_ST_STRW_BP_E-24"/>
    <x v="0"/>
    <x v="2"/>
    <n v="5"/>
    <n v="1825"/>
    <n v="6570"/>
  </r>
  <r>
    <x v="0"/>
    <x v="0"/>
    <x v="0"/>
    <x v="0"/>
    <x v="1"/>
    <s v="DK2_Rural"/>
    <x v="3"/>
    <x v="0"/>
    <s v="GNR_ST_STRW_BP_E-24"/>
    <x v="0"/>
    <x v="3"/>
    <n v="5"/>
    <n v="1825"/>
    <n v="6570"/>
  </r>
  <r>
    <x v="0"/>
    <x v="0"/>
    <x v="0"/>
    <x v="0"/>
    <x v="1"/>
    <s v="DK2_Rural"/>
    <x v="3"/>
    <x v="0"/>
    <s v="GNR_ST_STRW_BP_E-24"/>
    <x v="0"/>
    <x v="4"/>
    <n v="5"/>
    <n v="1825"/>
    <n v="6570"/>
  </r>
  <r>
    <x v="0"/>
    <x v="0"/>
    <x v="0"/>
    <x v="0"/>
    <x v="1"/>
    <s v="DK2_Rural"/>
    <x v="3"/>
    <x v="0"/>
    <s v="GNR_ST_STRW_BP_E-24"/>
    <x v="0"/>
    <x v="5"/>
    <n v="5"/>
    <n v="1825"/>
    <n v="6570"/>
  </r>
  <r>
    <x v="0"/>
    <x v="0"/>
    <x v="0"/>
    <x v="0"/>
    <x v="1"/>
    <s v="DK2_Rural"/>
    <x v="3"/>
    <x v="0"/>
    <s v="GNR_ST_STRW_BP_E-24"/>
    <x v="0"/>
    <x v="6"/>
    <n v="5"/>
    <n v="1825"/>
    <n v="6570"/>
  </r>
  <r>
    <x v="0"/>
    <x v="0"/>
    <x v="0"/>
    <x v="0"/>
    <x v="1"/>
    <s v="DK2_Rural"/>
    <x v="3"/>
    <x v="0"/>
    <s v="GNR_ST_STRW_BP_E-24"/>
    <x v="0"/>
    <x v="7"/>
    <n v="5"/>
    <n v="1825"/>
    <n v="6570"/>
  </r>
  <r>
    <x v="0"/>
    <x v="0"/>
    <x v="0"/>
    <x v="0"/>
    <x v="1"/>
    <s v="DK2_Rural"/>
    <x v="3"/>
    <x v="0"/>
    <s v="GNR_ST_STRW_BP_E-24"/>
    <x v="0"/>
    <x v="8"/>
    <n v="5"/>
    <n v="1825"/>
    <n v="6570"/>
  </r>
  <r>
    <x v="0"/>
    <x v="0"/>
    <x v="0"/>
    <x v="0"/>
    <x v="1"/>
    <s v="DK2_Rural"/>
    <x v="3"/>
    <x v="0"/>
    <s v="GNR_ST_STRW_BP_E-24"/>
    <x v="0"/>
    <x v="9"/>
    <n v="5"/>
    <n v="1825"/>
    <n v="6570"/>
  </r>
  <r>
    <x v="0"/>
    <x v="0"/>
    <x v="0"/>
    <x v="0"/>
    <x v="1"/>
    <s v="DK2_Rural"/>
    <x v="3"/>
    <x v="0"/>
    <s v="GNR_ST_STRW_BP_E-24"/>
    <x v="0"/>
    <x v="10"/>
    <n v="5"/>
    <n v="1825"/>
    <n v="6570"/>
  </r>
  <r>
    <x v="0"/>
    <x v="0"/>
    <x v="0"/>
    <x v="0"/>
    <x v="1"/>
    <s v="DK2_Rural"/>
    <x v="3"/>
    <x v="0"/>
    <s v="GNR_ST_STRW_BP_E-24"/>
    <x v="0"/>
    <x v="11"/>
    <n v="5"/>
    <n v="1825"/>
    <n v="6570"/>
  </r>
  <r>
    <x v="0"/>
    <x v="0"/>
    <x v="0"/>
    <x v="0"/>
    <x v="1"/>
    <s v="DK2_Rural"/>
    <x v="3"/>
    <x v="0"/>
    <s v="GNR_ST_STRW_BP_E-24"/>
    <x v="0"/>
    <x v="12"/>
    <n v="5"/>
    <n v="1825"/>
    <n v="6570"/>
  </r>
  <r>
    <x v="0"/>
    <x v="0"/>
    <x v="0"/>
    <x v="0"/>
    <x v="1"/>
    <s v="DK2_Rural"/>
    <x v="3"/>
    <x v="0"/>
    <s v="GNR_ST_STRW_BP_E-24"/>
    <x v="0"/>
    <x v="13"/>
    <n v="5"/>
    <n v="1825"/>
    <n v="6570"/>
  </r>
  <r>
    <x v="0"/>
    <x v="0"/>
    <x v="0"/>
    <x v="0"/>
    <x v="1"/>
    <s v="DK2_Rural"/>
    <x v="3"/>
    <x v="0"/>
    <s v="GNR_ST_STRW_BP_E-24"/>
    <x v="0"/>
    <x v="14"/>
    <n v="5"/>
    <n v="1825"/>
    <n v="6570"/>
  </r>
  <r>
    <x v="0"/>
    <x v="0"/>
    <x v="0"/>
    <x v="0"/>
    <x v="1"/>
    <s v="DK2_Rural"/>
    <x v="3"/>
    <x v="0"/>
    <s v="GNR_ST_STRW_BP_E-24"/>
    <x v="0"/>
    <x v="15"/>
    <n v="5"/>
    <n v="1825"/>
    <n v="6570"/>
  </r>
  <r>
    <x v="0"/>
    <x v="0"/>
    <x v="0"/>
    <x v="0"/>
    <x v="1"/>
    <s v="DK2_Rural"/>
    <x v="3"/>
    <x v="0"/>
    <s v="GNR_ST_STRW_BP_E-24"/>
    <x v="0"/>
    <x v="16"/>
    <n v="5"/>
    <n v="1825"/>
    <n v="6570"/>
  </r>
  <r>
    <x v="0"/>
    <x v="0"/>
    <x v="0"/>
    <x v="0"/>
    <x v="1"/>
    <s v="DK2_Rural"/>
    <x v="3"/>
    <x v="0"/>
    <s v="GNR_ST_STRW_BP_E-24"/>
    <x v="0"/>
    <x v="17"/>
    <n v="5"/>
    <n v="1825"/>
    <n v="6570"/>
  </r>
  <r>
    <x v="0"/>
    <x v="0"/>
    <x v="0"/>
    <x v="0"/>
    <x v="1"/>
    <s v="DK2_Rural"/>
    <x v="3"/>
    <x v="0"/>
    <s v="GNR_ST_STRW_BP_E-24"/>
    <x v="0"/>
    <x v="18"/>
    <n v="5"/>
    <n v="1825"/>
    <n v="6570"/>
  </r>
  <r>
    <x v="0"/>
    <x v="0"/>
    <x v="0"/>
    <x v="0"/>
    <x v="1"/>
    <s v="DK2_Rural"/>
    <x v="3"/>
    <x v="0"/>
    <s v="GNR_ST_STRW_BP_E-24"/>
    <x v="0"/>
    <x v="19"/>
    <n v="5"/>
    <n v="1825"/>
    <n v="6570"/>
  </r>
  <r>
    <x v="0"/>
    <x v="0"/>
    <x v="0"/>
    <x v="0"/>
    <x v="1"/>
    <s v="DK2_Rural"/>
    <x v="3"/>
    <x v="0"/>
    <s v="GNR_ST_STRW_BP_E-24"/>
    <x v="0"/>
    <x v="20"/>
    <n v="5"/>
    <n v="1825"/>
    <n v="6570"/>
  </r>
  <r>
    <x v="0"/>
    <x v="0"/>
    <x v="0"/>
    <x v="0"/>
    <x v="1"/>
    <s v="DK2_Rural"/>
    <x v="3"/>
    <x v="0"/>
    <s v="GNR_ST_STRW_BP_E-24"/>
    <x v="0"/>
    <x v="21"/>
    <n v="5"/>
    <n v="1825"/>
    <n v="6570"/>
  </r>
  <r>
    <x v="0"/>
    <x v="0"/>
    <x v="0"/>
    <x v="0"/>
    <x v="1"/>
    <s v="DK2_Rural"/>
    <x v="3"/>
    <x v="0"/>
    <s v="GNR_ST_STRW_BP_E-24"/>
    <x v="0"/>
    <x v="22"/>
    <n v="5"/>
    <n v="1825"/>
    <n v="6570"/>
  </r>
  <r>
    <x v="0"/>
    <x v="0"/>
    <x v="0"/>
    <x v="0"/>
    <x v="1"/>
    <s v="DK2_Rural"/>
    <x v="3"/>
    <x v="0"/>
    <s v="GNR_ST_STRW_BP_E-24"/>
    <x v="0"/>
    <x v="23"/>
    <n v="5"/>
    <n v="1825"/>
    <n v="6570"/>
  </r>
  <r>
    <x v="0"/>
    <x v="0"/>
    <x v="0"/>
    <x v="0"/>
    <x v="1"/>
    <s v="DK2_Rural"/>
    <x v="3"/>
    <x v="0"/>
    <s v="GNR_ST_STRW_BP_E-27"/>
    <x v="0"/>
    <x v="0"/>
    <n v="9.98"/>
    <n v="3642.7"/>
    <n v="13113.72"/>
  </r>
  <r>
    <x v="0"/>
    <x v="0"/>
    <x v="0"/>
    <x v="0"/>
    <x v="1"/>
    <s v="DK2_Rural"/>
    <x v="3"/>
    <x v="0"/>
    <s v="GNR_ST_STRW_BP_E-27"/>
    <x v="0"/>
    <x v="1"/>
    <n v="9.98"/>
    <n v="3642.7"/>
    <n v="13113.72"/>
  </r>
  <r>
    <x v="0"/>
    <x v="0"/>
    <x v="0"/>
    <x v="0"/>
    <x v="1"/>
    <s v="DK2_Rural"/>
    <x v="3"/>
    <x v="0"/>
    <s v="GNR_ST_STRW_BP_E-27"/>
    <x v="0"/>
    <x v="2"/>
    <n v="9.98"/>
    <n v="3642.7"/>
    <n v="13113.72"/>
  </r>
  <r>
    <x v="0"/>
    <x v="0"/>
    <x v="0"/>
    <x v="0"/>
    <x v="1"/>
    <s v="DK2_Rural"/>
    <x v="3"/>
    <x v="0"/>
    <s v="GNR_ST_STRW_BP_E-27"/>
    <x v="0"/>
    <x v="3"/>
    <n v="9.98"/>
    <n v="3642.7"/>
    <n v="13113.72"/>
  </r>
  <r>
    <x v="0"/>
    <x v="0"/>
    <x v="0"/>
    <x v="0"/>
    <x v="1"/>
    <s v="DK2_Rural"/>
    <x v="3"/>
    <x v="0"/>
    <s v="GNR_ST_STRW_BP_E-27"/>
    <x v="0"/>
    <x v="4"/>
    <n v="9.98"/>
    <n v="3642.7"/>
    <n v="13113.72"/>
  </r>
  <r>
    <x v="0"/>
    <x v="0"/>
    <x v="0"/>
    <x v="0"/>
    <x v="1"/>
    <s v="DK2_Rural"/>
    <x v="3"/>
    <x v="0"/>
    <s v="GNR_ST_STRW_BP_E-27"/>
    <x v="0"/>
    <x v="5"/>
    <n v="9.98"/>
    <n v="3642.7"/>
    <n v="13113.72"/>
  </r>
  <r>
    <x v="0"/>
    <x v="0"/>
    <x v="0"/>
    <x v="0"/>
    <x v="1"/>
    <s v="DK2_Rural"/>
    <x v="3"/>
    <x v="0"/>
    <s v="GNR_ST_STRW_BP_E-27"/>
    <x v="0"/>
    <x v="6"/>
    <n v="9.98"/>
    <n v="3642.7"/>
    <n v="13113.72"/>
  </r>
  <r>
    <x v="0"/>
    <x v="0"/>
    <x v="0"/>
    <x v="0"/>
    <x v="1"/>
    <s v="DK2_Rural"/>
    <x v="3"/>
    <x v="0"/>
    <s v="GNR_ST_STRW_BP_E-27"/>
    <x v="0"/>
    <x v="7"/>
    <n v="9.98"/>
    <n v="3642.7"/>
    <n v="13113.72"/>
  </r>
  <r>
    <x v="0"/>
    <x v="0"/>
    <x v="0"/>
    <x v="0"/>
    <x v="1"/>
    <s v="DK2_Rural"/>
    <x v="3"/>
    <x v="0"/>
    <s v="GNR_ST_STRW_BP_E-27"/>
    <x v="0"/>
    <x v="8"/>
    <n v="9.98"/>
    <n v="3642.7"/>
    <n v="13113.72"/>
  </r>
  <r>
    <x v="0"/>
    <x v="0"/>
    <x v="0"/>
    <x v="0"/>
    <x v="1"/>
    <s v="DK2_Rural"/>
    <x v="3"/>
    <x v="0"/>
    <s v="GNR_ST_STRW_BP_E-27"/>
    <x v="0"/>
    <x v="9"/>
    <n v="9.98"/>
    <n v="3642.7"/>
    <n v="13113.72"/>
  </r>
  <r>
    <x v="0"/>
    <x v="0"/>
    <x v="0"/>
    <x v="0"/>
    <x v="1"/>
    <s v="DK2_Rural"/>
    <x v="3"/>
    <x v="0"/>
    <s v="GNR_ST_STRW_BP_E-27"/>
    <x v="0"/>
    <x v="10"/>
    <n v="9.98"/>
    <n v="3642.7"/>
    <n v="13113.72"/>
  </r>
  <r>
    <x v="0"/>
    <x v="0"/>
    <x v="0"/>
    <x v="0"/>
    <x v="1"/>
    <s v="DK2_Rural"/>
    <x v="3"/>
    <x v="0"/>
    <s v="GNR_ST_STRW_BP_E-27"/>
    <x v="0"/>
    <x v="11"/>
    <n v="9.98"/>
    <n v="3642.7"/>
    <n v="13113.72"/>
  </r>
  <r>
    <x v="0"/>
    <x v="0"/>
    <x v="0"/>
    <x v="0"/>
    <x v="1"/>
    <s v="DK2_Rural"/>
    <x v="3"/>
    <x v="0"/>
    <s v="GNR_ST_STRW_BP_E-27"/>
    <x v="0"/>
    <x v="12"/>
    <n v="9.98"/>
    <n v="3642.7"/>
    <n v="13113.72"/>
  </r>
  <r>
    <x v="0"/>
    <x v="0"/>
    <x v="0"/>
    <x v="0"/>
    <x v="1"/>
    <s v="DK2_Rural"/>
    <x v="3"/>
    <x v="0"/>
    <s v="GNR_ST_STRW_BP_E-27"/>
    <x v="0"/>
    <x v="13"/>
    <n v="9.98"/>
    <n v="3642.7"/>
    <n v="13113.72"/>
  </r>
  <r>
    <x v="0"/>
    <x v="0"/>
    <x v="0"/>
    <x v="0"/>
    <x v="1"/>
    <s v="DK2_Rural"/>
    <x v="3"/>
    <x v="0"/>
    <s v="GNR_ST_STRW_BP_E-27"/>
    <x v="0"/>
    <x v="14"/>
    <n v="9.98"/>
    <n v="3642.7"/>
    <n v="13113.72"/>
  </r>
  <r>
    <x v="0"/>
    <x v="0"/>
    <x v="0"/>
    <x v="0"/>
    <x v="1"/>
    <s v="DK2_Rural"/>
    <x v="3"/>
    <x v="0"/>
    <s v="GNR_ST_STRW_BP_E-27"/>
    <x v="0"/>
    <x v="15"/>
    <n v="9.98"/>
    <n v="3642.7"/>
    <n v="13113.72"/>
  </r>
  <r>
    <x v="0"/>
    <x v="0"/>
    <x v="0"/>
    <x v="0"/>
    <x v="1"/>
    <s v="DK2_Rural"/>
    <x v="3"/>
    <x v="0"/>
    <s v="GNR_ST_STRW_BP_E-27"/>
    <x v="0"/>
    <x v="16"/>
    <n v="9.98"/>
    <n v="3642.7"/>
    <n v="13113.72"/>
  </r>
  <r>
    <x v="0"/>
    <x v="0"/>
    <x v="0"/>
    <x v="0"/>
    <x v="1"/>
    <s v="DK2_Rural"/>
    <x v="3"/>
    <x v="0"/>
    <s v="GNR_ST_STRW_BP_E-27"/>
    <x v="0"/>
    <x v="17"/>
    <n v="9.98"/>
    <n v="3642.7"/>
    <n v="13113.72"/>
  </r>
  <r>
    <x v="0"/>
    <x v="0"/>
    <x v="0"/>
    <x v="0"/>
    <x v="1"/>
    <s v="DK2_Rural"/>
    <x v="3"/>
    <x v="0"/>
    <s v="GNR_ST_STRW_BP_E-27"/>
    <x v="0"/>
    <x v="18"/>
    <n v="9.98"/>
    <n v="3642.7"/>
    <n v="13113.72"/>
  </r>
  <r>
    <x v="0"/>
    <x v="0"/>
    <x v="0"/>
    <x v="0"/>
    <x v="1"/>
    <s v="DK2_Rural"/>
    <x v="3"/>
    <x v="0"/>
    <s v="GNR_ST_STRW_BP_E-27"/>
    <x v="0"/>
    <x v="19"/>
    <n v="9.98"/>
    <n v="3642.7"/>
    <n v="13113.72"/>
  </r>
  <r>
    <x v="0"/>
    <x v="0"/>
    <x v="0"/>
    <x v="0"/>
    <x v="1"/>
    <s v="DK2_Rural"/>
    <x v="3"/>
    <x v="0"/>
    <s v="GNR_ST_STRW_BP_E-27"/>
    <x v="0"/>
    <x v="20"/>
    <n v="9.98"/>
    <n v="3642.7"/>
    <n v="13113.72"/>
  </r>
  <r>
    <x v="0"/>
    <x v="0"/>
    <x v="0"/>
    <x v="0"/>
    <x v="1"/>
    <s v="DK2_Rural"/>
    <x v="3"/>
    <x v="0"/>
    <s v="GNR_ST_STRW_BP_E-27"/>
    <x v="0"/>
    <x v="21"/>
    <n v="9.98"/>
    <n v="3642.7"/>
    <n v="13113.72"/>
  </r>
  <r>
    <x v="0"/>
    <x v="0"/>
    <x v="0"/>
    <x v="0"/>
    <x v="1"/>
    <s v="DK2_Rural"/>
    <x v="3"/>
    <x v="0"/>
    <s v="GNR_ST_STRW_BP_E-27"/>
    <x v="0"/>
    <x v="22"/>
    <n v="9.98"/>
    <n v="3642.7"/>
    <n v="13113.72"/>
  </r>
  <r>
    <x v="0"/>
    <x v="0"/>
    <x v="0"/>
    <x v="0"/>
    <x v="1"/>
    <s v="DK2_Rural"/>
    <x v="3"/>
    <x v="0"/>
    <s v="GNR_ST_STRW_BP_E-27"/>
    <x v="0"/>
    <x v="23"/>
    <n v="9.98"/>
    <n v="3642.7"/>
    <n v="13113.72"/>
  </r>
  <r>
    <x v="0"/>
    <x v="0"/>
    <x v="0"/>
    <x v="0"/>
    <x v="1"/>
    <s v="DK2_Rural"/>
    <x v="3"/>
    <x v="0"/>
    <s v="GNR_ST_STRW_BP_E-28"/>
    <x v="0"/>
    <x v="0"/>
    <n v="11.5"/>
    <n v="4197.5"/>
    <n v="15111"/>
  </r>
  <r>
    <x v="0"/>
    <x v="0"/>
    <x v="0"/>
    <x v="0"/>
    <x v="1"/>
    <s v="DK2_Rural"/>
    <x v="3"/>
    <x v="0"/>
    <s v="GNR_ST_STRW_BP_E-28"/>
    <x v="0"/>
    <x v="1"/>
    <n v="11.5"/>
    <n v="4197.5"/>
    <n v="15111"/>
  </r>
  <r>
    <x v="0"/>
    <x v="0"/>
    <x v="0"/>
    <x v="0"/>
    <x v="1"/>
    <s v="DK2_Rural"/>
    <x v="3"/>
    <x v="0"/>
    <s v="GNR_ST_STRW_BP_E-28"/>
    <x v="0"/>
    <x v="2"/>
    <n v="11.5"/>
    <n v="4197.5"/>
    <n v="15111"/>
  </r>
  <r>
    <x v="0"/>
    <x v="0"/>
    <x v="0"/>
    <x v="0"/>
    <x v="1"/>
    <s v="DK2_Rural"/>
    <x v="3"/>
    <x v="0"/>
    <s v="GNR_ST_STRW_BP_E-28"/>
    <x v="0"/>
    <x v="3"/>
    <n v="11.5"/>
    <n v="4197.5"/>
    <n v="15111"/>
  </r>
  <r>
    <x v="0"/>
    <x v="0"/>
    <x v="0"/>
    <x v="0"/>
    <x v="1"/>
    <s v="DK2_Rural"/>
    <x v="3"/>
    <x v="0"/>
    <s v="GNR_ST_STRW_BP_E-28"/>
    <x v="0"/>
    <x v="4"/>
    <n v="11.5"/>
    <n v="4197.5"/>
    <n v="15111"/>
  </r>
  <r>
    <x v="0"/>
    <x v="0"/>
    <x v="0"/>
    <x v="0"/>
    <x v="1"/>
    <s v="DK2_Rural"/>
    <x v="3"/>
    <x v="0"/>
    <s v="GNR_ST_STRW_BP_E-28"/>
    <x v="0"/>
    <x v="5"/>
    <n v="11.5"/>
    <n v="4197.5"/>
    <n v="15111"/>
  </r>
  <r>
    <x v="0"/>
    <x v="0"/>
    <x v="0"/>
    <x v="0"/>
    <x v="1"/>
    <s v="DK2_Rural"/>
    <x v="3"/>
    <x v="0"/>
    <s v="GNR_ST_STRW_BP_E-28"/>
    <x v="0"/>
    <x v="6"/>
    <n v="11.5"/>
    <n v="4197.5"/>
    <n v="15111"/>
  </r>
  <r>
    <x v="0"/>
    <x v="0"/>
    <x v="0"/>
    <x v="0"/>
    <x v="1"/>
    <s v="DK2_Rural"/>
    <x v="3"/>
    <x v="0"/>
    <s v="GNR_ST_STRW_BP_E-28"/>
    <x v="0"/>
    <x v="7"/>
    <n v="11.5"/>
    <n v="4197.5"/>
    <n v="15111"/>
  </r>
  <r>
    <x v="0"/>
    <x v="0"/>
    <x v="0"/>
    <x v="0"/>
    <x v="1"/>
    <s v="DK2_Rural"/>
    <x v="3"/>
    <x v="0"/>
    <s v="GNR_ST_STRW_BP_E-28"/>
    <x v="0"/>
    <x v="8"/>
    <n v="11.5"/>
    <n v="4197.5"/>
    <n v="15111"/>
  </r>
  <r>
    <x v="0"/>
    <x v="0"/>
    <x v="0"/>
    <x v="0"/>
    <x v="1"/>
    <s v="DK2_Rural"/>
    <x v="3"/>
    <x v="0"/>
    <s v="GNR_ST_STRW_BP_E-28"/>
    <x v="0"/>
    <x v="9"/>
    <n v="11.5"/>
    <n v="4197.5"/>
    <n v="15111"/>
  </r>
  <r>
    <x v="0"/>
    <x v="0"/>
    <x v="0"/>
    <x v="0"/>
    <x v="1"/>
    <s v="DK2_Rural"/>
    <x v="3"/>
    <x v="0"/>
    <s v="GNR_ST_STRW_BP_E-28"/>
    <x v="0"/>
    <x v="10"/>
    <n v="11.5"/>
    <n v="4197.5"/>
    <n v="15111"/>
  </r>
  <r>
    <x v="0"/>
    <x v="0"/>
    <x v="0"/>
    <x v="0"/>
    <x v="1"/>
    <s v="DK2_Rural"/>
    <x v="3"/>
    <x v="0"/>
    <s v="GNR_ST_STRW_BP_E-28"/>
    <x v="0"/>
    <x v="11"/>
    <n v="11.5"/>
    <n v="4197.5"/>
    <n v="15111"/>
  </r>
  <r>
    <x v="0"/>
    <x v="0"/>
    <x v="0"/>
    <x v="0"/>
    <x v="1"/>
    <s v="DK2_Rural"/>
    <x v="3"/>
    <x v="0"/>
    <s v="GNR_ST_STRW_BP_E-28"/>
    <x v="0"/>
    <x v="12"/>
    <n v="11.5"/>
    <n v="4197.5"/>
    <n v="15111"/>
  </r>
  <r>
    <x v="0"/>
    <x v="0"/>
    <x v="0"/>
    <x v="0"/>
    <x v="1"/>
    <s v="DK2_Rural"/>
    <x v="3"/>
    <x v="0"/>
    <s v="GNR_ST_STRW_BP_E-28"/>
    <x v="0"/>
    <x v="13"/>
    <n v="11.5"/>
    <n v="4197.5"/>
    <n v="15111"/>
  </r>
  <r>
    <x v="0"/>
    <x v="0"/>
    <x v="0"/>
    <x v="0"/>
    <x v="1"/>
    <s v="DK2_Rural"/>
    <x v="3"/>
    <x v="0"/>
    <s v="GNR_ST_STRW_BP_E-28"/>
    <x v="0"/>
    <x v="14"/>
    <n v="11.5"/>
    <n v="4197.5"/>
    <n v="15111"/>
  </r>
  <r>
    <x v="0"/>
    <x v="0"/>
    <x v="0"/>
    <x v="0"/>
    <x v="1"/>
    <s v="DK2_Rural"/>
    <x v="3"/>
    <x v="0"/>
    <s v="GNR_ST_STRW_BP_E-28"/>
    <x v="0"/>
    <x v="15"/>
    <n v="11.5"/>
    <n v="4197.5"/>
    <n v="15111"/>
  </r>
  <r>
    <x v="0"/>
    <x v="0"/>
    <x v="0"/>
    <x v="0"/>
    <x v="1"/>
    <s v="DK2_Rural"/>
    <x v="3"/>
    <x v="0"/>
    <s v="GNR_ST_STRW_BP_E-28"/>
    <x v="0"/>
    <x v="16"/>
    <n v="11.5"/>
    <n v="4197.5"/>
    <n v="15111"/>
  </r>
  <r>
    <x v="0"/>
    <x v="0"/>
    <x v="0"/>
    <x v="0"/>
    <x v="1"/>
    <s v="DK2_Rural"/>
    <x v="3"/>
    <x v="0"/>
    <s v="GNR_ST_STRW_BP_E-28"/>
    <x v="0"/>
    <x v="17"/>
    <n v="11.5"/>
    <n v="4197.5"/>
    <n v="15111"/>
  </r>
  <r>
    <x v="0"/>
    <x v="0"/>
    <x v="0"/>
    <x v="0"/>
    <x v="1"/>
    <s v="DK2_Rural"/>
    <x v="3"/>
    <x v="0"/>
    <s v="GNR_ST_STRW_BP_E-28"/>
    <x v="0"/>
    <x v="18"/>
    <n v="11.5"/>
    <n v="4197.5"/>
    <n v="15111"/>
  </r>
  <r>
    <x v="0"/>
    <x v="0"/>
    <x v="0"/>
    <x v="0"/>
    <x v="1"/>
    <s v="DK2_Rural"/>
    <x v="3"/>
    <x v="0"/>
    <s v="GNR_ST_STRW_BP_E-28"/>
    <x v="0"/>
    <x v="19"/>
    <n v="11.5"/>
    <n v="4197.5"/>
    <n v="15111"/>
  </r>
  <r>
    <x v="0"/>
    <x v="0"/>
    <x v="0"/>
    <x v="0"/>
    <x v="1"/>
    <s v="DK2_Rural"/>
    <x v="3"/>
    <x v="0"/>
    <s v="GNR_ST_STRW_BP_E-28"/>
    <x v="0"/>
    <x v="20"/>
    <n v="11.5"/>
    <n v="4197.5"/>
    <n v="15111"/>
  </r>
  <r>
    <x v="0"/>
    <x v="0"/>
    <x v="0"/>
    <x v="0"/>
    <x v="1"/>
    <s v="DK2_Rural"/>
    <x v="3"/>
    <x v="0"/>
    <s v="GNR_ST_STRW_BP_E-28"/>
    <x v="0"/>
    <x v="21"/>
    <n v="11.5"/>
    <n v="4197.5"/>
    <n v="15111"/>
  </r>
  <r>
    <x v="0"/>
    <x v="0"/>
    <x v="0"/>
    <x v="0"/>
    <x v="1"/>
    <s v="DK2_Rural"/>
    <x v="3"/>
    <x v="0"/>
    <s v="GNR_ST_STRW_BP_E-28"/>
    <x v="0"/>
    <x v="22"/>
    <n v="11.5"/>
    <n v="4197.5"/>
    <n v="15111"/>
  </r>
  <r>
    <x v="0"/>
    <x v="0"/>
    <x v="0"/>
    <x v="0"/>
    <x v="1"/>
    <s v="DK2_Rural"/>
    <x v="3"/>
    <x v="0"/>
    <s v="GNR_ST_STRW_BP_E-28"/>
    <x v="0"/>
    <x v="23"/>
    <n v="11.5"/>
    <n v="4197.5"/>
    <n v="15111"/>
  </r>
  <r>
    <x v="0"/>
    <x v="0"/>
    <x v="0"/>
    <x v="0"/>
    <x v="1"/>
    <s v="DK2_Small"/>
    <x v="2"/>
    <x v="0"/>
    <s v="GNR_ENG_NGAS_BP_E-46"/>
    <x v="0"/>
    <x v="0"/>
    <n v="22.3643581568648"/>
    <n v="8162.9907272556602"/>
    <n v="29386.7666181204"/>
  </r>
  <r>
    <x v="0"/>
    <x v="0"/>
    <x v="0"/>
    <x v="0"/>
    <x v="1"/>
    <s v="DK2_Small"/>
    <x v="2"/>
    <x v="0"/>
    <s v="GNR_ENG_NGAS_BP_E-46"/>
    <x v="0"/>
    <x v="1"/>
    <n v="3.2304011094800602"/>
    <n v="1179.0964049602201"/>
    <n v="4244.74705785679"/>
  </r>
  <r>
    <x v="0"/>
    <x v="0"/>
    <x v="0"/>
    <x v="0"/>
    <x v="1"/>
    <s v="DK2_Small"/>
    <x v="2"/>
    <x v="0"/>
    <s v="GNR_ENG_NGAS_BP_E-46"/>
    <x v="0"/>
    <x v="4"/>
    <n v="38.5"/>
    <n v="14052.5"/>
    <n v="50589"/>
  </r>
  <r>
    <x v="0"/>
    <x v="0"/>
    <x v="0"/>
    <x v="0"/>
    <x v="1"/>
    <s v="DK2_Small"/>
    <x v="2"/>
    <x v="0"/>
    <s v="GNR_ENG_NGAS_BP_E-46"/>
    <x v="0"/>
    <x v="5"/>
    <n v="38.5"/>
    <n v="14052.5"/>
    <n v="50589"/>
  </r>
  <r>
    <x v="0"/>
    <x v="0"/>
    <x v="0"/>
    <x v="0"/>
    <x v="1"/>
    <s v="DK2_Small"/>
    <x v="2"/>
    <x v="0"/>
    <s v="GNR_ENG_NGAS_BP_E-46"/>
    <x v="0"/>
    <x v="6"/>
    <n v="38.5"/>
    <n v="14052.5"/>
    <n v="50589"/>
  </r>
  <r>
    <x v="0"/>
    <x v="0"/>
    <x v="0"/>
    <x v="0"/>
    <x v="1"/>
    <s v="DK2_Small"/>
    <x v="2"/>
    <x v="0"/>
    <s v="GNR_ENG_NGAS_BP_E-46"/>
    <x v="0"/>
    <x v="7"/>
    <n v="38.5"/>
    <n v="14052.5"/>
    <n v="50589"/>
  </r>
  <r>
    <x v="0"/>
    <x v="0"/>
    <x v="0"/>
    <x v="0"/>
    <x v="1"/>
    <s v="DK2_Small"/>
    <x v="2"/>
    <x v="0"/>
    <s v="GNR_ENG_NGAS_BP_E-46"/>
    <x v="0"/>
    <x v="8"/>
    <n v="38.5"/>
    <n v="14052.5"/>
    <n v="50589"/>
  </r>
  <r>
    <x v="0"/>
    <x v="0"/>
    <x v="0"/>
    <x v="0"/>
    <x v="1"/>
    <s v="DK2_Small"/>
    <x v="2"/>
    <x v="0"/>
    <s v="GNR_ENG_NGAS_BP_E-46"/>
    <x v="0"/>
    <x v="9"/>
    <n v="38.5"/>
    <n v="14052.5"/>
    <n v="50589"/>
  </r>
  <r>
    <x v="0"/>
    <x v="0"/>
    <x v="0"/>
    <x v="0"/>
    <x v="1"/>
    <s v="DK2_Small"/>
    <x v="2"/>
    <x v="0"/>
    <s v="GNR_ENG_NGAS_BP_E-46"/>
    <x v="0"/>
    <x v="10"/>
    <n v="38.5"/>
    <n v="14052.5"/>
    <n v="50589"/>
  </r>
  <r>
    <x v="0"/>
    <x v="0"/>
    <x v="0"/>
    <x v="0"/>
    <x v="1"/>
    <s v="DK2_Small"/>
    <x v="2"/>
    <x v="0"/>
    <s v="GNR_ENG_NGAS_BP_E-46"/>
    <x v="0"/>
    <x v="11"/>
    <n v="38.5"/>
    <n v="14052.5"/>
    <n v="50589"/>
  </r>
  <r>
    <x v="0"/>
    <x v="0"/>
    <x v="0"/>
    <x v="0"/>
    <x v="1"/>
    <s v="DK2_Small"/>
    <x v="2"/>
    <x v="0"/>
    <s v="GNR_ENG_NGAS_BP_E-46"/>
    <x v="0"/>
    <x v="12"/>
    <n v="38.5"/>
    <n v="14052.5"/>
    <n v="50589"/>
  </r>
  <r>
    <x v="0"/>
    <x v="0"/>
    <x v="0"/>
    <x v="0"/>
    <x v="1"/>
    <s v="DK2_Small"/>
    <x v="2"/>
    <x v="0"/>
    <s v="GNR_ENG_NGAS_BP_E-46"/>
    <x v="0"/>
    <x v="13"/>
    <n v="38.5"/>
    <n v="14052.5"/>
    <n v="50589"/>
  </r>
  <r>
    <x v="0"/>
    <x v="0"/>
    <x v="0"/>
    <x v="0"/>
    <x v="1"/>
    <s v="DK2_Small"/>
    <x v="2"/>
    <x v="0"/>
    <s v="GNR_ENG_NGAS_BP_E-46"/>
    <x v="0"/>
    <x v="14"/>
    <n v="38.5"/>
    <n v="14052.5"/>
    <n v="50589"/>
  </r>
  <r>
    <x v="0"/>
    <x v="0"/>
    <x v="0"/>
    <x v="0"/>
    <x v="1"/>
    <s v="DK2_Small"/>
    <x v="2"/>
    <x v="0"/>
    <s v="GNR_ENG_NGAS_BP_E-46"/>
    <x v="0"/>
    <x v="15"/>
    <n v="38.5"/>
    <n v="14052.5"/>
    <n v="50589"/>
  </r>
  <r>
    <x v="0"/>
    <x v="0"/>
    <x v="0"/>
    <x v="0"/>
    <x v="1"/>
    <s v="DK2_Small"/>
    <x v="2"/>
    <x v="0"/>
    <s v="GNR_ENG_NGAS_BP_E-46"/>
    <x v="0"/>
    <x v="16"/>
    <n v="38.5"/>
    <n v="14052.5"/>
    <n v="50589"/>
  </r>
  <r>
    <x v="0"/>
    <x v="0"/>
    <x v="0"/>
    <x v="0"/>
    <x v="1"/>
    <s v="DK2_Small"/>
    <x v="2"/>
    <x v="0"/>
    <s v="GNR_ENG_NGAS_BP_E-46"/>
    <x v="0"/>
    <x v="17"/>
    <n v="38.5"/>
    <n v="14052.5"/>
    <n v="50589"/>
  </r>
  <r>
    <x v="0"/>
    <x v="0"/>
    <x v="0"/>
    <x v="0"/>
    <x v="1"/>
    <s v="DK2_Small"/>
    <x v="2"/>
    <x v="0"/>
    <s v="GNR_ENG_NGAS_BP_E-46"/>
    <x v="0"/>
    <x v="18"/>
    <n v="38.5"/>
    <n v="14052.5"/>
    <n v="50589"/>
  </r>
  <r>
    <x v="0"/>
    <x v="0"/>
    <x v="0"/>
    <x v="1"/>
    <x v="2"/>
    <s v="EE_Industry"/>
    <x v="0"/>
    <x v="1"/>
    <s v="GNR_ST_BGAS_EXT_E-38"/>
    <x v="0"/>
    <x v="0"/>
    <n v="0.1"/>
    <n v="36.5"/>
    <n v="131.4"/>
  </r>
  <r>
    <x v="0"/>
    <x v="0"/>
    <x v="0"/>
    <x v="1"/>
    <x v="2"/>
    <s v="EE_Industry"/>
    <x v="0"/>
    <x v="1"/>
    <s v="GNR_ST_BGAS_EXT_E-38"/>
    <x v="0"/>
    <x v="1"/>
    <n v="0.1"/>
    <n v="36.5"/>
    <n v="131.4"/>
  </r>
  <r>
    <x v="0"/>
    <x v="0"/>
    <x v="0"/>
    <x v="1"/>
    <x v="2"/>
    <s v="EE_Industry"/>
    <x v="0"/>
    <x v="1"/>
    <s v="GNR_ST_BGAS_EXT_E-38"/>
    <x v="0"/>
    <x v="2"/>
    <n v="0.1"/>
    <n v="36.5"/>
    <n v="131.4"/>
  </r>
  <r>
    <x v="0"/>
    <x v="0"/>
    <x v="0"/>
    <x v="1"/>
    <x v="2"/>
    <s v="EE_Industry"/>
    <x v="0"/>
    <x v="1"/>
    <s v="GNR_ST_BGAS_EXT_E-38"/>
    <x v="0"/>
    <x v="3"/>
    <n v="0.1"/>
    <n v="36.5"/>
    <n v="131.4"/>
  </r>
  <r>
    <x v="0"/>
    <x v="0"/>
    <x v="0"/>
    <x v="1"/>
    <x v="2"/>
    <s v="EE_Industry"/>
    <x v="0"/>
    <x v="1"/>
    <s v="GNR_ST_BGAS_EXT_E-38"/>
    <x v="0"/>
    <x v="4"/>
    <n v="0.1"/>
    <n v="36.5"/>
    <n v="131.4"/>
  </r>
  <r>
    <x v="0"/>
    <x v="0"/>
    <x v="0"/>
    <x v="1"/>
    <x v="2"/>
    <s v="EE_Industry"/>
    <x v="0"/>
    <x v="1"/>
    <s v="GNR_ST_BGAS_EXT_E-38"/>
    <x v="0"/>
    <x v="5"/>
    <n v="0.1"/>
    <n v="36.5"/>
    <n v="131.4"/>
  </r>
  <r>
    <x v="0"/>
    <x v="0"/>
    <x v="0"/>
    <x v="1"/>
    <x v="2"/>
    <s v="EE_Industry"/>
    <x v="0"/>
    <x v="1"/>
    <s v="GNR_ST_BGAS_EXT_E-38"/>
    <x v="0"/>
    <x v="6"/>
    <n v="0.1"/>
    <n v="36.5"/>
    <n v="131.4"/>
  </r>
  <r>
    <x v="0"/>
    <x v="0"/>
    <x v="0"/>
    <x v="1"/>
    <x v="2"/>
    <s v="EE_Industry"/>
    <x v="0"/>
    <x v="1"/>
    <s v="GNR_ST_BGAS_EXT_E-38"/>
    <x v="0"/>
    <x v="7"/>
    <n v="0.1"/>
    <n v="36.5"/>
    <n v="131.4"/>
  </r>
  <r>
    <x v="0"/>
    <x v="0"/>
    <x v="0"/>
    <x v="1"/>
    <x v="2"/>
    <s v="EE_Industry"/>
    <x v="0"/>
    <x v="1"/>
    <s v="GNR_ST_BGAS_EXT_E-38"/>
    <x v="0"/>
    <x v="8"/>
    <n v="0.1"/>
    <n v="36.5"/>
    <n v="131.4"/>
  </r>
  <r>
    <x v="0"/>
    <x v="0"/>
    <x v="0"/>
    <x v="1"/>
    <x v="2"/>
    <s v="EE_Industry"/>
    <x v="0"/>
    <x v="1"/>
    <s v="GNR_ST_BGAS_EXT_E-38"/>
    <x v="0"/>
    <x v="9"/>
    <n v="0.1"/>
    <n v="36.5"/>
    <n v="131.4"/>
  </r>
  <r>
    <x v="0"/>
    <x v="0"/>
    <x v="0"/>
    <x v="1"/>
    <x v="2"/>
    <s v="EE_Industry"/>
    <x v="0"/>
    <x v="1"/>
    <s v="GNR_ST_BGAS_EXT_E-38"/>
    <x v="0"/>
    <x v="10"/>
    <n v="0.1"/>
    <n v="36.5"/>
    <n v="131.4"/>
  </r>
  <r>
    <x v="0"/>
    <x v="0"/>
    <x v="0"/>
    <x v="1"/>
    <x v="2"/>
    <s v="EE_Industry"/>
    <x v="0"/>
    <x v="1"/>
    <s v="GNR_ST_BGAS_EXT_E-38"/>
    <x v="0"/>
    <x v="11"/>
    <n v="0.1"/>
    <n v="36.5"/>
    <n v="131.4"/>
  </r>
  <r>
    <x v="0"/>
    <x v="0"/>
    <x v="0"/>
    <x v="1"/>
    <x v="2"/>
    <s v="EE_Industry"/>
    <x v="0"/>
    <x v="1"/>
    <s v="GNR_ST_BGAS_EXT_E-38"/>
    <x v="0"/>
    <x v="12"/>
    <n v="0.1"/>
    <n v="36.5"/>
    <n v="131.4"/>
  </r>
  <r>
    <x v="0"/>
    <x v="0"/>
    <x v="0"/>
    <x v="1"/>
    <x v="2"/>
    <s v="EE_Industry"/>
    <x v="0"/>
    <x v="1"/>
    <s v="GNR_ST_BGAS_EXT_E-38"/>
    <x v="0"/>
    <x v="13"/>
    <n v="0.1"/>
    <n v="36.5"/>
    <n v="131.4"/>
  </r>
  <r>
    <x v="0"/>
    <x v="0"/>
    <x v="0"/>
    <x v="1"/>
    <x v="2"/>
    <s v="EE_Industry"/>
    <x v="0"/>
    <x v="1"/>
    <s v="GNR_ST_BGAS_EXT_E-38"/>
    <x v="0"/>
    <x v="14"/>
    <n v="0.1"/>
    <n v="36.5"/>
    <n v="131.4"/>
  </r>
  <r>
    <x v="0"/>
    <x v="0"/>
    <x v="0"/>
    <x v="1"/>
    <x v="2"/>
    <s v="EE_Industry"/>
    <x v="0"/>
    <x v="1"/>
    <s v="GNR_ST_BGAS_EXT_E-38"/>
    <x v="0"/>
    <x v="15"/>
    <n v="0.1"/>
    <n v="36.5"/>
    <n v="131.4"/>
  </r>
  <r>
    <x v="0"/>
    <x v="0"/>
    <x v="0"/>
    <x v="1"/>
    <x v="2"/>
    <s v="EE_Industry"/>
    <x v="0"/>
    <x v="1"/>
    <s v="GNR_ST_BGAS_EXT_E-38"/>
    <x v="0"/>
    <x v="16"/>
    <n v="0.1"/>
    <n v="36.5"/>
    <n v="131.4"/>
  </r>
  <r>
    <x v="0"/>
    <x v="0"/>
    <x v="0"/>
    <x v="1"/>
    <x v="2"/>
    <s v="EE_Industry"/>
    <x v="0"/>
    <x v="1"/>
    <s v="GNR_ST_BGAS_EXT_E-38"/>
    <x v="0"/>
    <x v="17"/>
    <n v="0.1"/>
    <n v="36.5"/>
    <n v="131.4"/>
  </r>
  <r>
    <x v="0"/>
    <x v="0"/>
    <x v="0"/>
    <x v="1"/>
    <x v="2"/>
    <s v="EE_Industry"/>
    <x v="0"/>
    <x v="1"/>
    <s v="GNR_ST_BGAS_EXT_E-38"/>
    <x v="0"/>
    <x v="18"/>
    <n v="0.1"/>
    <n v="36.5"/>
    <n v="131.4"/>
  </r>
  <r>
    <x v="0"/>
    <x v="0"/>
    <x v="0"/>
    <x v="1"/>
    <x v="2"/>
    <s v="EE_Industry"/>
    <x v="0"/>
    <x v="1"/>
    <s v="GNR_ST_BGAS_EXT_E-38"/>
    <x v="0"/>
    <x v="19"/>
    <n v="0.1"/>
    <n v="36.5"/>
    <n v="131.4"/>
  </r>
  <r>
    <x v="0"/>
    <x v="0"/>
    <x v="0"/>
    <x v="1"/>
    <x v="2"/>
    <s v="EE_Industry"/>
    <x v="0"/>
    <x v="1"/>
    <s v="GNR_ST_BGAS_EXT_E-38"/>
    <x v="0"/>
    <x v="20"/>
    <n v="0.1"/>
    <n v="36.5"/>
    <n v="131.4"/>
  </r>
  <r>
    <x v="0"/>
    <x v="0"/>
    <x v="0"/>
    <x v="1"/>
    <x v="2"/>
    <s v="EE_Industry"/>
    <x v="0"/>
    <x v="1"/>
    <s v="GNR_ST_BGAS_EXT_E-38"/>
    <x v="0"/>
    <x v="21"/>
    <n v="0.1"/>
    <n v="36.5"/>
    <n v="131.4"/>
  </r>
  <r>
    <x v="0"/>
    <x v="0"/>
    <x v="0"/>
    <x v="1"/>
    <x v="2"/>
    <s v="EE_Industry"/>
    <x v="0"/>
    <x v="1"/>
    <s v="GNR_ST_BGAS_EXT_E-38"/>
    <x v="0"/>
    <x v="22"/>
    <n v="0.1"/>
    <n v="36.5"/>
    <n v="131.4"/>
  </r>
  <r>
    <x v="0"/>
    <x v="0"/>
    <x v="0"/>
    <x v="1"/>
    <x v="2"/>
    <s v="EE_Industry"/>
    <x v="0"/>
    <x v="1"/>
    <s v="GNR_ST_BGAS_EXT_E-38"/>
    <x v="0"/>
    <x v="23"/>
    <n v="0.1"/>
    <n v="36.5"/>
    <n v="131.4"/>
  </r>
  <r>
    <x v="0"/>
    <x v="0"/>
    <x v="0"/>
    <x v="1"/>
    <x v="2"/>
    <s v="EE_Industry"/>
    <x v="9"/>
    <x v="1"/>
    <s v="GNR_ENG_RETORT-GAS_E-44"/>
    <x v="0"/>
    <x v="4"/>
    <n v="50.3892401950798"/>
    <n v="18392.0726712041"/>
    <n v="66211.461616334898"/>
  </r>
  <r>
    <x v="0"/>
    <x v="0"/>
    <x v="0"/>
    <x v="1"/>
    <x v="2"/>
    <s v="EE_Industry"/>
    <x v="9"/>
    <x v="1"/>
    <s v="GNR_ENG_RETORT-GAS_E-44"/>
    <x v="0"/>
    <x v="5"/>
    <n v="95"/>
    <n v="34675"/>
    <n v="124830"/>
  </r>
  <r>
    <x v="0"/>
    <x v="0"/>
    <x v="0"/>
    <x v="1"/>
    <x v="2"/>
    <s v="EE_Industry"/>
    <x v="9"/>
    <x v="1"/>
    <s v="GNR_ENG_RETORT-GAS_E-44"/>
    <x v="0"/>
    <x v="6"/>
    <n v="95"/>
    <n v="34675"/>
    <n v="124830"/>
  </r>
  <r>
    <x v="0"/>
    <x v="0"/>
    <x v="0"/>
    <x v="1"/>
    <x v="2"/>
    <s v="EE_Industry"/>
    <x v="9"/>
    <x v="1"/>
    <s v="GNR_ENG_RETORT-GAS_E-44"/>
    <x v="0"/>
    <x v="7"/>
    <n v="95"/>
    <n v="34675"/>
    <n v="124830"/>
  </r>
  <r>
    <x v="0"/>
    <x v="0"/>
    <x v="0"/>
    <x v="1"/>
    <x v="2"/>
    <s v="EE_Industry"/>
    <x v="9"/>
    <x v="1"/>
    <s v="GNR_ENG_RETORT-GAS_E-44"/>
    <x v="0"/>
    <x v="8"/>
    <n v="95"/>
    <n v="34675"/>
    <n v="124830"/>
  </r>
  <r>
    <x v="0"/>
    <x v="0"/>
    <x v="0"/>
    <x v="1"/>
    <x v="2"/>
    <s v="EE_Industry"/>
    <x v="9"/>
    <x v="1"/>
    <s v="GNR_ENG_RETORT-GAS_E-44"/>
    <x v="0"/>
    <x v="9"/>
    <n v="95"/>
    <n v="34675"/>
    <n v="124830"/>
  </r>
  <r>
    <x v="0"/>
    <x v="0"/>
    <x v="0"/>
    <x v="1"/>
    <x v="2"/>
    <s v="EE_Industry"/>
    <x v="9"/>
    <x v="1"/>
    <s v="GNR_ENG_RETORT-GAS_E-44"/>
    <x v="0"/>
    <x v="10"/>
    <n v="95"/>
    <n v="34675"/>
    <n v="124830"/>
  </r>
  <r>
    <x v="0"/>
    <x v="0"/>
    <x v="0"/>
    <x v="1"/>
    <x v="2"/>
    <s v="EE_Industry"/>
    <x v="9"/>
    <x v="1"/>
    <s v="GNR_ENG_RETORT-GAS_E-44"/>
    <x v="0"/>
    <x v="11"/>
    <n v="95"/>
    <n v="34675"/>
    <n v="124830"/>
  </r>
  <r>
    <x v="0"/>
    <x v="0"/>
    <x v="0"/>
    <x v="1"/>
    <x v="2"/>
    <s v="EE_Industry"/>
    <x v="9"/>
    <x v="1"/>
    <s v="GNR_ENG_RETORT-GAS_E-44"/>
    <x v="0"/>
    <x v="12"/>
    <n v="95"/>
    <n v="34675"/>
    <n v="124830"/>
  </r>
  <r>
    <x v="0"/>
    <x v="0"/>
    <x v="0"/>
    <x v="1"/>
    <x v="2"/>
    <s v="EE_Industry"/>
    <x v="9"/>
    <x v="1"/>
    <s v="GNR_ENG_RETORT-GAS_E-44"/>
    <x v="0"/>
    <x v="13"/>
    <n v="95"/>
    <n v="34675"/>
    <n v="124830"/>
  </r>
  <r>
    <x v="0"/>
    <x v="0"/>
    <x v="0"/>
    <x v="1"/>
    <x v="2"/>
    <s v="EE_Industry"/>
    <x v="9"/>
    <x v="1"/>
    <s v="GNR_ENG_RETORT-GAS_E-44"/>
    <x v="0"/>
    <x v="14"/>
    <n v="95"/>
    <n v="34675"/>
    <n v="124830"/>
  </r>
  <r>
    <x v="0"/>
    <x v="0"/>
    <x v="0"/>
    <x v="1"/>
    <x v="2"/>
    <s v="EE_Industry"/>
    <x v="9"/>
    <x v="1"/>
    <s v="GNR_ENG_RETORT-GAS_E-44"/>
    <x v="0"/>
    <x v="15"/>
    <n v="95"/>
    <n v="34675"/>
    <n v="124830"/>
  </r>
  <r>
    <x v="0"/>
    <x v="0"/>
    <x v="0"/>
    <x v="1"/>
    <x v="2"/>
    <s v="EE_Industry"/>
    <x v="9"/>
    <x v="1"/>
    <s v="GNR_ENG_RETORT-GAS_E-44"/>
    <x v="0"/>
    <x v="16"/>
    <n v="95"/>
    <n v="34675"/>
    <n v="124830"/>
  </r>
  <r>
    <x v="0"/>
    <x v="0"/>
    <x v="0"/>
    <x v="1"/>
    <x v="2"/>
    <s v="EE_Industry"/>
    <x v="9"/>
    <x v="1"/>
    <s v="GNR_ENG_RETORT-GAS_E-44"/>
    <x v="0"/>
    <x v="17"/>
    <n v="95"/>
    <n v="34675"/>
    <n v="124830"/>
  </r>
  <r>
    <x v="0"/>
    <x v="0"/>
    <x v="0"/>
    <x v="1"/>
    <x v="2"/>
    <s v="EE_Industry"/>
    <x v="9"/>
    <x v="1"/>
    <s v="GNR_ENG_RETORT-GAS_E-44"/>
    <x v="0"/>
    <x v="18"/>
    <n v="95"/>
    <n v="34675"/>
    <n v="124830"/>
  </r>
  <r>
    <x v="0"/>
    <x v="0"/>
    <x v="0"/>
    <x v="1"/>
    <x v="2"/>
    <s v="EE_Industry"/>
    <x v="9"/>
    <x v="1"/>
    <s v="GNR_ENG_RETORT-GAS_E-44"/>
    <x v="0"/>
    <x v="19"/>
    <n v="95"/>
    <n v="34675"/>
    <n v="124830"/>
  </r>
  <r>
    <x v="0"/>
    <x v="0"/>
    <x v="0"/>
    <x v="1"/>
    <x v="2"/>
    <s v="EE_Industry"/>
    <x v="9"/>
    <x v="1"/>
    <s v="GNR_ENG_RETORT-GAS_E-44"/>
    <x v="0"/>
    <x v="20"/>
    <n v="95"/>
    <n v="34675"/>
    <n v="124830"/>
  </r>
  <r>
    <x v="0"/>
    <x v="0"/>
    <x v="0"/>
    <x v="1"/>
    <x v="2"/>
    <s v="EE_Industry"/>
    <x v="9"/>
    <x v="1"/>
    <s v="GNR_ENG_RETORT-GAS_E-44"/>
    <x v="0"/>
    <x v="21"/>
    <n v="95"/>
    <n v="34675"/>
    <n v="124830"/>
  </r>
  <r>
    <x v="0"/>
    <x v="0"/>
    <x v="0"/>
    <x v="1"/>
    <x v="2"/>
    <s v="EE_Industry"/>
    <x v="9"/>
    <x v="1"/>
    <s v="GNR_ENG_RETORT-GAS_E-44"/>
    <x v="0"/>
    <x v="22"/>
    <n v="95"/>
    <n v="34675"/>
    <n v="124830"/>
  </r>
  <r>
    <x v="0"/>
    <x v="0"/>
    <x v="0"/>
    <x v="1"/>
    <x v="2"/>
    <s v="EE_Industry"/>
    <x v="9"/>
    <x v="1"/>
    <s v="GNR_ENG_RETORT-GAS_E-44"/>
    <x v="0"/>
    <x v="23"/>
    <n v="95"/>
    <n v="34675"/>
    <n v="124830"/>
  </r>
  <r>
    <x v="0"/>
    <x v="0"/>
    <x v="0"/>
    <x v="1"/>
    <x v="2"/>
    <s v="EE_Industry"/>
    <x v="10"/>
    <x v="0"/>
    <s v="IMAVERE_ST_WOOD_BP"/>
    <x v="0"/>
    <x v="0"/>
    <n v="10"/>
    <n v="3650"/>
    <n v="13140"/>
  </r>
  <r>
    <x v="0"/>
    <x v="0"/>
    <x v="0"/>
    <x v="1"/>
    <x v="2"/>
    <s v="EE_Industry"/>
    <x v="10"/>
    <x v="0"/>
    <s v="IMAVERE_ST_WOOD_BP"/>
    <x v="0"/>
    <x v="1"/>
    <n v="10"/>
    <n v="3650"/>
    <n v="13140"/>
  </r>
  <r>
    <x v="0"/>
    <x v="0"/>
    <x v="0"/>
    <x v="1"/>
    <x v="2"/>
    <s v="EE_Industry"/>
    <x v="10"/>
    <x v="0"/>
    <s v="IMAVERE_ST_WOOD_BP"/>
    <x v="0"/>
    <x v="2"/>
    <n v="10"/>
    <n v="3650"/>
    <n v="13140"/>
  </r>
  <r>
    <x v="0"/>
    <x v="0"/>
    <x v="0"/>
    <x v="1"/>
    <x v="2"/>
    <s v="EE_Industry"/>
    <x v="10"/>
    <x v="0"/>
    <s v="IMAVERE_ST_WOOD_BP"/>
    <x v="0"/>
    <x v="3"/>
    <n v="10"/>
    <n v="3650"/>
    <n v="13140"/>
  </r>
  <r>
    <x v="0"/>
    <x v="0"/>
    <x v="0"/>
    <x v="1"/>
    <x v="2"/>
    <s v="EE_Industry"/>
    <x v="10"/>
    <x v="0"/>
    <s v="IMAVERE_ST_WOOD_BP"/>
    <x v="0"/>
    <x v="4"/>
    <n v="10"/>
    <n v="3650"/>
    <n v="13140"/>
  </r>
  <r>
    <x v="0"/>
    <x v="0"/>
    <x v="0"/>
    <x v="1"/>
    <x v="2"/>
    <s v="EE_Industry"/>
    <x v="10"/>
    <x v="0"/>
    <s v="IMAVERE_ST_WOOD_BP"/>
    <x v="0"/>
    <x v="5"/>
    <n v="10"/>
    <n v="3650"/>
    <n v="13140"/>
  </r>
  <r>
    <x v="0"/>
    <x v="0"/>
    <x v="0"/>
    <x v="1"/>
    <x v="2"/>
    <s v="EE_Industry"/>
    <x v="10"/>
    <x v="0"/>
    <s v="IMAVERE_ST_WOOD_BP"/>
    <x v="0"/>
    <x v="6"/>
    <n v="10"/>
    <n v="3650"/>
    <n v="13140"/>
  </r>
  <r>
    <x v="0"/>
    <x v="0"/>
    <x v="0"/>
    <x v="1"/>
    <x v="2"/>
    <s v="EE_Industry"/>
    <x v="10"/>
    <x v="0"/>
    <s v="IMAVERE_ST_WOOD_BP"/>
    <x v="0"/>
    <x v="7"/>
    <n v="10"/>
    <n v="3650"/>
    <n v="13140"/>
  </r>
  <r>
    <x v="0"/>
    <x v="0"/>
    <x v="0"/>
    <x v="1"/>
    <x v="2"/>
    <s v="EE_Industry"/>
    <x v="10"/>
    <x v="0"/>
    <s v="IMAVERE_ST_WOOD_BP"/>
    <x v="0"/>
    <x v="8"/>
    <n v="10"/>
    <n v="3650"/>
    <n v="13140"/>
  </r>
  <r>
    <x v="0"/>
    <x v="0"/>
    <x v="0"/>
    <x v="1"/>
    <x v="2"/>
    <s v="EE_Industry"/>
    <x v="10"/>
    <x v="0"/>
    <s v="IMAVERE_ST_WOOD_BP"/>
    <x v="0"/>
    <x v="9"/>
    <n v="10"/>
    <n v="3650"/>
    <n v="13140"/>
  </r>
  <r>
    <x v="0"/>
    <x v="0"/>
    <x v="0"/>
    <x v="1"/>
    <x v="2"/>
    <s v="EE_Industry"/>
    <x v="10"/>
    <x v="0"/>
    <s v="IMAVERE_ST_WOOD_BP"/>
    <x v="0"/>
    <x v="10"/>
    <n v="10"/>
    <n v="3650"/>
    <n v="13140"/>
  </r>
  <r>
    <x v="0"/>
    <x v="0"/>
    <x v="0"/>
    <x v="1"/>
    <x v="2"/>
    <s v="EE_Industry"/>
    <x v="10"/>
    <x v="0"/>
    <s v="IMAVERE_ST_WOOD_BP"/>
    <x v="0"/>
    <x v="11"/>
    <n v="10"/>
    <n v="3650"/>
    <n v="13140"/>
  </r>
  <r>
    <x v="0"/>
    <x v="0"/>
    <x v="0"/>
    <x v="1"/>
    <x v="2"/>
    <s v="EE_Industry"/>
    <x v="10"/>
    <x v="0"/>
    <s v="IMAVERE_ST_WOOD_BP"/>
    <x v="0"/>
    <x v="12"/>
    <n v="10"/>
    <n v="3650"/>
    <n v="13140"/>
  </r>
  <r>
    <x v="0"/>
    <x v="0"/>
    <x v="0"/>
    <x v="1"/>
    <x v="2"/>
    <s v="EE_Industry"/>
    <x v="10"/>
    <x v="0"/>
    <s v="IMAVERE_ST_WOOD_BP"/>
    <x v="0"/>
    <x v="13"/>
    <n v="10"/>
    <n v="3650"/>
    <n v="13140"/>
  </r>
  <r>
    <x v="0"/>
    <x v="0"/>
    <x v="0"/>
    <x v="1"/>
    <x v="2"/>
    <s v="EE_Industry"/>
    <x v="10"/>
    <x v="0"/>
    <s v="IMAVERE_ST_WOOD_BP"/>
    <x v="0"/>
    <x v="14"/>
    <n v="10"/>
    <n v="3650"/>
    <n v="13140"/>
  </r>
  <r>
    <x v="0"/>
    <x v="0"/>
    <x v="0"/>
    <x v="1"/>
    <x v="2"/>
    <s v="EE_Industry"/>
    <x v="10"/>
    <x v="0"/>
    <s v="IMAVERE_ST_WOOD_BP"/>
    <x v="0"/>
    <x v="15"/>
    <n v="10"/>
    <n v="3650"/>
    <n v="13140"/>
  </r>
  <r>
    <x v="0"/>
    <x v="0"/>
    <x v="0"/>
    <x v="1"/>
    <x v="2"/>
    <s v="EE_Industry"/>
    <x v="10"/>
    <x v="0"/>
    <s v="IMAVERE_ST_WOOD_BP"/>
    <x v="0"/>
    <x v="16"/>
    <n v="10"/>
    <n v="3650"/>
    <n v="13140"/>
  </r>
  <r>
    <x v="0"/>
    <x v="0"/>
    <x v="0"/>
    <x v="1"/>
    <x v="2"/>
    <s v="EE_Industry"/>
    <x v="10"/>
    <x v="0"/>
    <s v="IMAVERE_ST_WOOD_BP"/>
    <x v="0"/>
    <x v="17"/>
    <n v="10"/>
    <n v="3650"/>
    <n v="13140"/>
  </r>
  <r>
    <x v="0"/>
    <x v="0"/>
    <x v="0"/>
    <x v="1"/>
    <x v="2"/>
    <s v="EE_Industry"/>
    <x v="10"/>
    <x v="0"/>
    <s v="IMAVERE_ST_WOOD_BP"/>
    <x v="0"/>
    <x v="18"/>
    <n v="10"/>
    <n v="3650"/>
    <n v="13140"/>
  </r>
  <r>
    <x v="0"/>
    <x v="0"/>
    <x v="0"/>
    <x v="1"/>
    <x v="2"/>
    <s v="EE_Industry"/>
    <x v="10"/>
    <x v="0"/>
    <s v="IMAVERE_ST_WOOD_BP"/>
    <x v="0"/>
    <x v="19"/>
    <n v="10"/>
    <n v="3650"/>
    <n v="13140"/>
  </r>
  <r>
    <x v="0"/>
    <x v="0"/>
    <x v="0"/>
    <x v="1"/>
    <x v="2"/>
    <s v="EE_Industry"/>
    <x v="10"/>
    <x v="0"/>
    <s v="IMAVERE_ST_WOOD_BP"/>
    <x v="0"/>
    <x v="20"/>
    <n v="10"/>
    <n v="3650"/>
    <n v="13140"/>
  </r>
  <r>
    <x v="0"/>
    <x v="0"/>
    <x v="0"/>
    <x v="1"/>
    <x v="2"/>
    <s v="EE_Industry"/>
    <x v="10"/>
    <x v="0"/>
    <s v="IMAVERE_ST_WOOD_BP"/>
    <x v="0"/>
    <x v="21"/>
    <n v="10"/>
    <n v="3650"/>
    <n v="13140"/>
  </r>
  <r>
    <x v="0"/>
    <x v="0"/>
    <x v="0"/>
    <x v="1"/>
    <x v="2"/>
    <s v="EE_Industry"/>
    <x v="10"/>
    <x v="0"/>
    <s v="IMAVERE_ST_WOOD_BP"/>
    <x v="0"/>
    <x v="22"/>
    <n v="10"/>
    <n v="3650"/>
    <n v="13140"/>
  </r>
  <r>
    <x v="0"/>
    <x v="0"/>
    <x v="0"/>
    <x v="1"/>
    <x v="2"/>
    <s v="EE_Industry"/>
    <x v="10"/>
    <x v="0"/>
    <s v="IMAVERE_ST_WOOD_BP"/>
    <x v="0"/>
    <x v="23"/>
    <n v="10"/>
    <n v="3650"/>
    <n v="13140"/>
  </r>
  <r>
    <x v="0"/>
    <x v="0"/>
    <x v="0"/>
    <x v="1"/>
    <x v="2"/>
    <s v="EE_Industry"/>
    <x v="10"/>
    <x v="0"/>
    <s v="OSULA_ST_WOOD_BP"/>
    <x v="0"/>
    <x v="0"/>
    <n v="10"/>
    <n v="3650"/>
    <n v="13140"/>
  </r>
  <r>
    <x v="0"/>
    <x v="0"/>
    <x v="0"/>
    <x v="1"/>
    <x v="2"/>
    <s v="EE_Industry"/>
    <x v="10"/>
    <x v="0"/>
    <s v="OSULA_ST_WOOD_BP"/>
    <x v="0"/>
    <x v="1"/>
    <n v="10"/>
    <n v="3650"/>
    <n v="13140"/>
  </r>
  <r>
    <x v="0"/>
    <x v="0"/>
    <x v="0"/>
    <x v="1"/>
    <x v="2"/>
    <s v="EE_Industry"/>
    <x v="10"/>
    <x v="0"/>
    <s v="OSULA_ST_WOOD_BP"/>
    <x v="0"/>
    <x v="2"/>
    <n v="10"/>
    <n v="3650"/>
    <n v="13140"/>
  </r>
  <r>
    <x v="0"/>
    <x v="0"/>
    <x v="0"/>
    <x v="1"/>
    <x v="2"/>
    <s v="EE_Industry"/>
    <x v="10"/>
    <x v="0"/>
    <s v="OSULA_ST_WOOD_BP"/>
    <x v="0"/>
    <x v="3"/>
    <n v="10"/>
    <n v="3650"/>
    <n v="13140"/>
  </r>
  <r>
    <x v="0"/>
    <x v="0"/>
    <x v="0"/>
    <x v="1"/>
    <x v="2"/>
    <s v="EE_Industry"/>
    <x v="10"/>
    <x v="0"/>
    <s v="OSULA_ST_WOOD_BP"/>
    <x v="0"/>
    <x v="4"/>
    <n v="10"/>
    <n v="3650"/>
    <n v="13140"/>
  </r>
  <r>
    <x v="0"/>
    <x v="0"/>
    <x v="0"/>
    <x v="1"/>
    <x v="2"/>
    <s v="EE_Industry"/>
    <x v="10"/>
    <x v="0"/>
    <s v="OSULA_ST_WOOD_BP"/>
    <x v="0"/>
    <x v="5"/>
    <n v="10"/>
    <n v="3650"/>
    <n v="13140"/>
  </r>
  <r>
    <x v="0"/>
    <x v="0"/>
    <x v="0"/>
    <x v="1"/>
    <x v="2"/>
    <s v="EE_Industry"/>
    <x v="10"/>
    <x v="0"/>
    <s v="OSULA_ST_WOOD_BP"/>
    <x v="0"/>
    <x v="6"/>
    <n v="10"/>
    <n v="3650"/>
    <n v="13140"/>
  </r>
  <r>
    <x v="0"/>
    <x v="0"/>
    <x v="0"/>
    <x v="1"/>
    <x v="2"/>
    <s v="EE_Industry"/>
    <x v="10"/>
    <x v="0"/>
    <s v="OSULA_ST_WOOD_BP"/>
    <x v="0"/>
    <x v="7"/>
    <n v="10"/>
    <n v="3650"/>
    <n v="13140"/>
  </r>
  <r>
    <x v="0"/>
    <x v="0"/>
    <x v="0"/>
    <x v="1"/>
    <x v="2"/>
    <s v="EE_Industry"/>
    <x v="10"/>
    <x v="0"/>
    <s v="OSULA_ST_WOOD_BP"/>
    <x v="0"/>
    <x v="8"/>
    <n v="10"/>
    <n v="3650"/>
    <n v="13140"/>
  </r>
  <r>
    <x v="0"/>
    <x v="0"/>
    <x v="0"/>
    <x v="1"/>
    <x v="2"/>
    <s v="EE_Industry"/>
    <x v="10"/>
    <x v="0"/>
    <s v="OSULA_ST_WOOD_BP"/>
    <x v="0"/>
    <x v="9"/>
    <n v="10"/>
    <n v="3650"/>
    <n v="13140"/>
  </r>
  <r>
    <x v="0"/>
    <x v="0"/>
    <x v="0"/>
    <x v="1"/>
    <x v="2"/>
    <s v="EE_Industry"/>
    <x v="10"/>
    <x v="0"/>
    <s v="OSULA_ST_WOOD_BP"/>
    <x v="0"/>
    <x v="10"/>
    <n v="10"/>
    <n v="3650"/>
    <n v="13140"/>
  </r>
  <r>
    <x v="0"/>
    <x v="0"/>
    <x v="0"/>
    <x v="1"/>
    <x v="2"/>
    <s v="EE_Industry"/>
    <x v="10"/>
    <x v="0"/>
    <s v="OSULA_ST_WOOD_BP"/>
    <x v="0"/>
    <x v="11"/>
    <n v="10"/>
    <n v="3650"/>
    <n v="13140"/>
  </r>
  <r>
    <x v="0"/>
    <x v="0"/>
    <x v="0"/>
    <x v="1"/>
    <x v="2"/>
    <s v="EE_Industry"/>
    <x v="10"/>
    <x v="0"/>
    <s v="OSULA_ST_WOOD_BP"/>
    <x v="0"/>
    <x v="12"/>
    <n v="10"/>
    <n v="3650"/>
    <n v="13140"/>
  </r>
  <r>
    <x v="0"/>
    <x v="0"/>
    <x v="0"/>
    <x v="1"/>
    <x v="2"/>
    <s v="EE_Industry"/>
    <x v="10"/>
    <x v="0"/>
    <s v="OSULA_ST_WOOD_BP"/>
    <x v="0"/>
    <x v="13"/>
    <n v="10"/>
    <n v="3650"/>
    <n v="13140"/>
  </r>
  <r>
    <x v="0"/>
    <x v="0"/>
    <x v="0"/>
    <x v="1"/>
    <x v="2"/>
    <s v="EE_Industry"/>
    <x v="10"/>
    <x v="0"/>
    <s v="OSULA_ST_WOOD_BP"/>
    <x v="0"/>
    <x v="14"/>
    <n v="10"/>
    <n v="3650"/>
    <n v="13140"/>
  </r>
  <r>
    <x v="0"/>
    <x v="0"/>
    <x v="0"/>
    <x v="1"/>
    <x v="2"/>
    <s v="EE_Industry"/>
    <x v="10"/>
    <x v="0"/>
    <s v="OSULA_ST_WOOD_BP"/>
    <x v="0"/>
    <x v="15"/>
    <n v="10"/>
    <n v="3650"/>
    <n v="13140"/>
  </r>
  <r>
    <x v="0"/>
    <x v="0"/>
    <x v="0"/>
    <x v="1"/>
    <x v="2"/>
    <s v="EE_Industry"/>
    <x v="10"/>
    <x v="0"/>
    <s v="OSULA_ST_WOOD_BP"/>
    <x v="0"/>
    <x v="16"/>
    <n v="10"/>
    <n v="3650"/>
    <n v="13140"/>
  </r>
  <r>
    <x v="0"/>
    <x v="0"/>
    <x v="0"/>
    <x v="1"/>
    <x v="2"/>
    <s v="EE_Industry"/>
    <x v="10"/>
    <x v="0"/>
    <s v="OSULA_ST_WOOD_BP"/>
    <x v="0"/>
    <x v="17"/>
    <n v="10"/>
    <n v="3650"/>
    <n v="13140"/>
  </r>
  <r>
    <x v="0"/>
    <x v="0"/>
    <x v="0"/>
    <x v="1"/>
    <x v="2"/>
    <s v="EE_Industry"/>
    <x v="10"/>
    <x v="0"/>
    <s v="OSULA_ST_WOOD_BP"/>
    <x v="0"/>
    <x v="18"/>
    <n v="10"/>
    <n v="3650"/>
    <n v="13140"/>
  </r>
  <r>
    <x v="0"/>
    <x v="0"/>
    <x v="0"/>
    <x v="1"/>
    <x v="2"/>
    <s v="EE_Industry"/>
    <x v="10"/>
    <x v="0"/>
    <s v="OSULA_ST_WOOD_BP"/>
    <x v="0"/>
    <x v="19"/>
    <n v="10"/>
    <n v="3650"/>
    <n v="13140"/>
  </r>
  <r>
    <x v="0"/>
    <x v="0"/>
    <x v="0"/>
    <x v="1"/>
    <x v="2"/>
    <s v="EE_Industry"/>
    <x v="10"/>
    <x v="0"/>
    <s v="OSULA_ST_WOOD_BP"/>
    <x v="0"/>
    <x v="20"/>
    <n v="10"/>
    <n v="3650"/>
    <n v="13140"/>
  </r>
  <r>
    <x v="0"/>
    <x v="0"/>
    <x v="0"/>
    <x v="1"/>
    <x v="2"/>
    <s v="EE_Industry"/>
    <x v="10"/>
    <x v="0"/>
    <s v="OSULA_ST_WOOD_BP"/>
    <x v="0"/>
    <x v="21"/>
    <n v="10"/>
    <n v="3650"/>
    <n v="13140"/>
  </r>
  <r>
    <x v="0"/>
    <x v="0"/>
    <x v="0"/>
    <x v="1"/>
    <x v="2"/>
    <s v="EE_Industry"/>
    <x v="10"/>
    <x v="0"/>
    <s v="OSULA_ST_WOOD_BP"/>
    <x v="0"/>
    <x v="22"/>
    <n v="10"/>
    <n v="3650"/>
    <n v="13140"/>
  </r>
  <r>
    <x v="0"/>
    <x v="0"/>
    <x v="0"/>
    <x v="1"/>
    <x v="2"/>
    <s v="EE_Industry"/>
    <x v="10"/>
    <x v="0"/>
    <s v="OSULA_ST_WOOD_BP"/>
    <x v="0"/>
    <x v="23"/>
    <n v="10"/>
    <n v="3650"/>
    <n v="13140"/>
  </r>
  <r>
    <x v="0"/>
    <x v="0"/>
    <x v="0"/>
    <x v="1"/>
    <x v="2"/>
    <s v="EE_Industry"/>
    <x v="11"/>
    <x v="0"/>
    <s v="GNR_ST_WOODWST_BP_E-53"/>
    <x v="0"/>
    <x v="0"/>
    <n v="13"/>
    <n v="4745"/>
    <n v="17082"/>
  </r>
  <r>
    <x v="0"/>
    <x v="0"/>
    <x v="0"/>
    <x v="1"/>
    <x v="2"/>
    <s v="EE_Industry"/>
    <x v="11"/>
    <x v="0"/>
    <s v="GNR_ST_WOODWST_BP_E-53"/>
    <x v="0"/>
    <x v="1"/>
    <n v="13"/>
    <n v="4745"/>
    <n v="17082"/>
  </r>
  <r>
    <x v="0"/>
    <x v="0"/>
    <x v="0"/>
    <x v="1"/>
    <x v="2"/>
    <s v="EE_Industry"/>
    <x v="11"/>
    <x v="0"/>
    <s v="GNR_ST_WOODWST_BP_E-53"/>
    <x v="0"/>
    <x v="2"/>
    <n v="13"/>
    <n v="4745"/>
    <n v="17082"/>
  </r>
  <r>
    <x v="0"/>
    <x v="0"/>
    <x v="0"/>
    <x v="1"/>
    <x v="2"/>
    <s v="EE_Industry"/>
    <x v="11"/>
    <x v="0"/>
    <s v="GNR_ST_WOODWST_BP_E-53"/>
    <x v="0"/>
    <x v="3"/>
    <n v="13"/>
    <n v="4745"/>
    <n v="17082"/>
  </r>
  <r>
    <x v="0"/>
    <x v="0"/>
    <x v="0"/>
    <x v="1"/>
    <x v="2"/>
    <s v="EE_Industry"/>
    <x v="11"/>
    <x v="0"/>
    <s v="GNR_ST_WOODWST_BP_E-53"/>
    <x v="0"/>
    <x v="4"/>
    <n v="13"/>
    <n v="4745"/>
    <n v="17082"/>
  </r>
  <r>
    <x v="0"/>
    <x v="0"/>
    <x v="0"/>
    <x v="1"/>
    <x v="2"/>
    <s v="EE_Industry"/>
    <x v="11"/>
    <x v="0"/>
    <s v="GNR_ST_WOODWST_BP_E-53"/>
    <x v="0"/>
    <x v="5"/>
    <n v="13"/>
    <n v="4745"/>
    <n v="17082"/>
  </r>
  <r>
    <x v="0"/>
    <x v="0"/>
    <x v="0"/>
    <x v="1"/>
    <x v="2"/>
    <s v="EE_Industry"/>
    <x v="11"/>
    <x v="0"/>
    <s v="GNR_ST_WOODWST_BP_E-53"/>
    <x v="0"/>
    <x v="6"/>
    <n v="13"/>
    <n v="4745"/>
    <n v="17082"/>
  </r>
  <r>
    <x v="0"/>
    <x v="0"/>
    <x v="0"/>
    <x v="1"/>
    <x v="2"/>
    <s v="EE_Industry"/>
    <x v="11"/>
    <x v="0"/>
    <s v="GNR_ST_WOODWST_BP_E-53"/>
    <x v="0"/>
    <x v="7"/>
    <n v="13"/>
    <n v="4745"/>
    <n v="17082"/>
  </r>
  <r>
    <x v="0"/>
    <x v="0"/>
    <x v="0"/>
    <x v="1"/>
    <x v="2"/>
    <s v="EE_Industry"/>
    <x v="11"/>
    <x v="0"/>
    <s v="GNR_ST_WOODWST_BP_E-53"/>
    <x v="0"/>
    <x v="8"/>
    <n v="13"/>
    <n v="4745"/>
    <n v="17082"/>
  </r>
  <r>
    <x v="0"/>
    <x v="0"/>
    <x v="0"/>
    <x v="1"/>
    <x v="2"/>
    <s v="EE_Industry"/>
    <x v="11"/>
    <x v="0"/>
    <s v="GNR_ST_WOODWST_BP_E-53"/>
    <x v="0"/>
    <x v="9"/>
    <n v="13"/>
    <n v="4745"/>
    <n v="17082"/>
  </r>
  <r>
    <x v="0"/>
    <x v="0"/>
    <x v="0"/>
    <x v="1"/>
    <x v="2"/>
    <s v="EE_Industry"/>
    <x v="11"/>
    <x v="0"/>
    <s v="GNR_ST_WOODWST_BP_E-53"/>
    <x v="0"/>
    <x v="10"/>
    <n v="13"/>
    <n v="4745"/>
    <n v="17082"/>
  </r>
  <r>
    <x v="0"/>
    <x v="0"/>
    <x v="0"/>
    <x v="1"/>
    <x v="2"/>
    <s v="EE_Industry"/>
    <x v="11"/>
    <x v="0"/>
    <s v="GNR_ST_WOODWST_BP_E-53"/>
    <x v="0"/>
    <x v="11"/>
    <n v="13"/>
    <n v="4745"/>
    <n v="17082"/>
  </r>
  <r>
    <x v="0"/>
    <x v="0"/>
    <x v="0"/>
    <x v="1"/>
    <x v="2"/>
    <s v="EE_Industry"/>
    <x v="11"/>
    <x v="0"/>
    <s v="GNR_ST_WOODWST_BP_E-53"/>
    <x v="0"/>
    <x v="12"/>
    <n v="13"/>
    <n v="4745"/>
    <n v="17082"/>
  </r>
  <r>
    <x v="0"/>
    <x v="0"/>
    <x v="0"/>
    <x v="1"/>
    <x v="2"/>
    <s v="EE_Industry"/>
    <x v="11"/>
    <x v="0"/>
    <s v="GNR_ST_WOODWST_BP_E-53"/>
    <x v="0"/>
    <x v="13"/>
    <n v="13"/>
    <n v="4745"/>
    <n v="17082"/>
  </r>
  <r>
    <x v="0"/>
    <x v="0"/>
    <x v="0"/>
    <x v="1"/>
    <x v="2"/>
    <s v="EE_Industry"/>
    <x v="11"/>
    <x v="0"/>
    <s v="GNR_ST_WOODWST_BP_E-53"/>
    <x v="0"/>
    <x v="14"/>
    <n v="13"/>
    <n v="4745"/>
    <n v="17082"/>
  </r>
  <r>
    <x v="0"/>
    <x v="0"/>
    <x v="0"/>
    <x v="1"/>
    <x v="2"/>
    <s v="EE_Industry"/>
    <x v="11"/>
    <x v="0"/>
    <s v="GNR_ST_WOODWST_BP_E-53"/>
    <x v="0"/>
    <x v="15"/>
    <n v="13"/>
    <n v="4745"/>
    <n v="17082"/>
  </r>
  <r>
    <x v="0"/>
    <x v="0"/>
    <x v="0"/>
    <x v="1"/>
    <x v="2"/>
    <s v="EE_Industry"/>
    <x v="11"/>
    <x v="0"/>
    <s v="GNR_ST_WOODWST_BP_E-53"/>
    <x v="0"/>
    <x v="16"/>
    <n v="13"/>
    <n v="4745"/>
    <n v="17082"/>
  </r>
  <r>
    <x v="0"/>
    <x v="0"/>
    <x v="0"/>
    <x v="1"/>
    <x v="2"/>
    <s v="EE_Industry"/>
    <x v="11"/>
    <x v="0"/>
    <s v="GNR_ST_WOODWST_BP_E-53"/>
    <x v="0"/>
    <x v="17"/>
    <n v="13"/>
    <n v="4745"/>
    <n v="17082"/>
  </r>
  <r>
    <x v="0"/>
    <x v="0"/>
    <x v="0"/>
    <x v="1"/>
    <x v="2"/>
    <s v="EE_Industry"/>
    <x v="11"/>
    <x v="0"/>
    <s v="GNR_ST_WOODWST_BP_E-53"/>
    <x v="0"/>
    <x v="18"/>
    <n v="13"/>
    <n v="4745"/>
    <n v="17082"/>
  </r>
  <r>
    <x v="0"/>
    <x v="0"/>
    <x v="0"/>
    <x v="1"/>
    <x v="2"/>
    <s v="EE_Industry"/>
    <x v="11"/>
    <x v="0"/>
    <s v="GNR_ST_WOODWST_BP_E-53"/>
    <x v="0"/>
    <x v="19"/>
    <n v="13"/>
    <n v="4745"/>
    <n v="17082"/>
  </r>
  <r>
    <x v="0"/>
    <x v="0"/>
    <x v="0"/>
    <x v="1"/>
    <x v="2"/>
    <s v="EE_Industry"/>
    <x v="11"/>
    <x v="0"/>
    <s v="GNR_ST_WOODWST_BP_E-53"/>
    <x v="0"/>
    <x v="20"/>
    <n v="13"/>
    <n v="4745"/>
    <n v="17082"/>
  </r>
  <r>
    <x v="0"/>
    <x v="0"/>
    <x v="0"/>
    <x v="1"/>
    <x v="2"/>
    <s v="EE_Industry"/>
    <x v="11"/>
    <x v="0"/>
    <s v="GNR_ST_WOODWST_BP_E-53"/>
    <x v="0"/>
    <x v="21"/>
    <n v="13"/>
    <n v="4745"/>
    <n v="17082"/>
  </r>
  <r>
    <x v="0"/>
    <x v="0"/>
    <x v="0"/>
    <x v="1"/>
    <x v="2"/>
    <s v="EE_Industry"/>
    <x v="11"/>
    <x v="0"/>
    <s v="GNR_ST_WOODWST_BP_E-53"/>
    <x v="0"/>
    <x v="22"/>
    <n v="13"/>
    <n v="4745"/>
    <n v="17082"/>
  </r>
  <r>
    <x v="0"/>
    <x v="0"/>
    <x v="0"/>
    <x v="1"/>
    <x v="2"/>
    <s v="EE_Industry"/>
    <x v="11"/>
    <x v="0"/>
    <s v="GNR_ST_WOODWST_BP_E-53"/>
    <x v="0"/>
    <x v="23"/>
    <n v="13"/>
    <n v="4745"/>
    <n v="17082"/>
  </r>
  <r>
    <x v="0"/>
    <x v="0"/>
    <x v="0"/>
    <x v="1"/>
    <x v="2"/>
    <s v="EE_Kohtla_Jarve"/>
    <x v="2"/>
    <x v="1"/>
    <s v="GNR_ENG_NGAS_EXT_E-44"/>
    <x v="0"/>
    <x v="0"/>
    <n v="16"/>
    <n v="5840"/>
    <n v="21024"/>
  </r>
  <r>
    <x v="0"/>
    <x v="0"/>
    <x v="0"/>
    <x v="1"/>
    <x v="2"/>
    <s v="EE_Kohtla_Jarve"/>
    <x v="2"/>
    <x v="1"/>
    <s v="GNR_ENG_NGAS_EXT_E-44"/>
    <x v="0"/>
    <x v="1"/>
    <n v="16"/>
    <n v="5840"/>
    <n v="21024"/>
  </r>
  <r>
    <x v="0"/>
    <x v="0"/>
    <x v="0"/>
    <x v="1"/>
    <x v="2"/>
    <s v="EE_Kohtla_Jarve"/>
    <x v="2"/>
    <x v="1"/>
    <s v="GNR_ENG_NGAS_EXT_E-44"/>
    <x v="0"/>
    <x v="2"/>
    <n v="16"/>
    <n v="5840"/>
    <n v="21024"/>
  </r>
  <r>
    <x v="0"/>
    <x v="0"/>
    <x v="0"/>
    <x v="1"/>
    <x v="2"/>
    <s v="EE_Kohtla_Jarve"/>
    <x v="2"/>
    <x v="1"/>
    <s v="GNR_ENG_NGAS_EXT_E-44"/>
    <x v="0"/>
    <x v="3"/>
    <n v="16"/>
    <n v="5840"/>
    <n v="21024"/>
  </r>
  <r>
    <x v="0"/>
    <x v="0"/>
    <x v="0"/>
    <x v="1"/>
    <x v="2"/>
    <s v="EE_Kohtla_Jarve"/>
    <x v="2"/>
    <x v="1"/>
    <s v="GNR_ENG_NGAS_EXT_E-44"/>
    <x v="0"/>
    <x v="4"/>
    <n v="16"/>
    <n v="5840"/>
    <n v="21024"/>
  </r>
  <r>
    <x v="0"/>
    <x v="0"/>
    <x v="0"/>
    <x v="1"/>
    <x v="2"/>
    <s v="EE_Kohtla_Jarve"/>
    <x v="2"/>
    <x v="1"/>
    <s v="GNR_ENG_NGAS_EXT_E-44"/>
    <x v="0"/>
    <x v="5"/>
    <n v="16"/>
    <n v="5840"/>
    <n v="21024"/>
  </r>
  <r>
    <x v="0"/>
    <x v="0"/>
    <x v="0"/>
    <x v="1"/>
    <x v="2"/>
    <s v="EE_Kohtla_Jarve"/>
    <x v="2"/>
    <x v="1"/>
    <s v="GNR_ENG_NGAS_EXT_E-44"/>
    <x v="0"/>
    <x v="6"/>
    <n v="16"/>
    <n v="5840"/>
    <n v="21024"/>
  </r>
  <r>
    <x v="0"/>
    <x v="0"/>
    <x v="0"/>
    <x v="1"/>
    <x v="2"/>
    <s v="EE_Kohtla_Jarve"/>
    <x v="2"/>
    <x v="1"/>
    <s v="GNR_ENG_NGAS_EXT_E-44"/>
    <x v="0"/>
    <x v="7"/>
    <n v="16"/>
    <n v="5840"/>
    <n v="21024"/>
  </r>
  <r>
    <x v="0"/>
    <x v="0"/>
    <x v="0"/>
    <x v="1"/>
    <x v="2"/>
    <s v="EE_Kohtla_Jarve"/>
    <x v="2"/>
    <x v="1"/>
    <s v="GNR_ENG_NGAS_EXT_E-44"/>
    <x v="0"/>
    <x v="8"/>
    <n v="16"/>
    <n v="5840"/>
    <n v="21024"/>
  </r>
  <r>
    <x v="0"/>
    <x v="0"/>
    <x v="0"/>
    <x v="1"/>
    <x v="2"/>
    <s v="EE_Kohtla_Jarve"/>
    <x v="2"/>
    <x v="1"/>
    <s v="GNR_ENG_NGAS_EXT_E-44"/>
    <x v="0"/>
    <x v="9"/>
    <n v="16"/>
    <n v="5840"/>
    <n v="21024"/>
  </r>
  <r>
    <x v="0"/>
    <x v="0"/>
    <x v="0"/>
    <x v="1"/>
    <x v="2"/>
    <s v="EE_Kohtla_Jarve"/>
    <x v="2"/>
    <x v="1"/>
    <s v="GNR_ENG_NGAS_EXT_E-44"/>
    <x v="0"/>
    <x v="10"/>
    <n v="16"/>
    <n v="5840"/>
    <n v="21024"/>
  </r>
  <r>
    <x v="0"/>
    <x v="0"/>
    <x v="0"/>
    <x v="1"/>
    <x v="2"/>
    <s v="EE_Kohtla_Jarve"/>
    <x v="2"/>
    <x v="1"/>
    <s v="GNR_ENG_NGAS_EXT_E-44"/>
    <x v="0"/>
    <x v="11"/>
    <n v="16"/>
    <n v="5840"/>
    <n v="21024"/>
  </r>
  <r>
    <x v="0"/>
    <x v="0"/>
    <x v="0"/>
    <x v="1"/>
    <x v="2"/>
    <s v="EE_Kohtla_Jarve"/>
    <x v="2"/>
    <x v="1"/>
    <s v="GNR_ENG_NGAS_EXT_E-44"/>
    <x v="0"/>
    <x v="12"/>
    <n v="16"/>
    <n v="5840"/>
    <n v="21024"/>
  </r>
  <r>
    <x v="0"/>
    <x v="0"/>
    <x v="0"/>
    <x v="1"/>
    <x v="2"/>
    <s v="EE_Kohtla_Jarve"/>
    <x v="2"/>
    <x v="1"/>
    <s v="GNR_ENG_NGAS_EXT_E-44"/>
    <x v="0"/>
    <x v="13"/>
    <n v="16"/>
    <n v="5840"/>
    <n v="21024"/>
  </r>
  <r>
    <x v="0"/>
    <x v="0"/>
    <x v="0"/>
    <x v="1"/>
    <x v="2"/>
    <s v="EE_Kohtla_Jarve"/>
    <x v="2"/>
    <x v="1"/>
    <s v="GNR_ENG_NGAS_EXT_E-44"/>
    <x v="0"/>
    <x v="14"/>
    <n v="16"/>
    <n v="5840"/>
    <n v="21024"/>
  </r>
  <r>
    <x v="0"/>
    <x v="0"/>
    <x v="0"/>
    <x v="1"/>
    <x v="2"/>
    <s v="EE_Kohtla_Jarve"/>
    <x v="2"/>
    <x v="1"/>
    <s v="GNR_ENG_NGAS_EXT_E-44"/>
    <x v="0"/>
    <x v="15"/>
    <n v="16"/>
    <n v="5840"/>
    <n v="21024"/>
  </r>
  <r>
    <x v="0"/>
    <x v="0"/>
    <x v="0"/>
    <x v="1"/>
    <x v="2"/>
    <s v="EE_Kohtla_Jarve"/>
    <x v="2"/>
    <x v="1"/>
    <s v="GNR_ENG_NGAS_EXT_E-44"/>
    <x v="0"/>
    <x v="16"/>
    <n v="16"/>
    <n v="5840"/>
    <n v="21024"/>
  </r>
  <r>
    <x v="0"/>
    <x v="0"/>
    <x v="0"/>
    <x v="1"/>
    <x v="2"/>
    <s v="EE_Kohtla_Jarve"/>
    <x v="2"/>
    <x v="1"/>
    <s v="GNR_ENG_NGAS_EXT_E-44"/>
    <x v="0"/>
    <x v="17"/>
    <n v="16"/>
    <n v="5840"/>
    <n v="21024"/>
  </r>
  <r>
    <x v="0"/>
    <x v="0"/>
    <x v="0"/>
    <x v="1"/>
    <x v="2"/>
    <s v="EE_Kohtla_Jarve"/>
    <x v="2"/>
    <x v="1"/>
    <s v="GNR_ENG_NGAS_EXT_E-44"/>
    <x v="0"/>
    <x v="18"/>
    <n v="16"/>
    <n v="5840"/>
    <n v="21024"/>
  </r>
  <r>
    <x v="0"/>
    <x v="0"/>
    <x v="0"/>
    <x v="1"/>
    <x v="2"/>
    <s v="EE_Kohtla_Jarve"/>
    <x v="2"/>
    <x v="1"/>
    <s v="GNR_ENG_NGAS_EXT_E-44"/>
    <x v="0"/>
    <x v="19"/>
    <n v="16"/>
    <n v="5840"/>
    <n v="21024"/>
  </r>
  <r>
    <x v="0"/>
    <x v="0"/>
    <x v="0"/>
    <x v="1"/>
    <x v="2"/>
    <s v="EE_Kohtla_Jarve"/>
    <x v="2"/>
    <x v="1"/>
    <s v="GNR_ENG_NGAS_EXT_E-44"/>
    <x v="0"/>
    <x v="20"/>
    <n v="16"/>
    <n v="5840"/>
    <n v="21024"/>
  </r>
  <r>
    <x v="0"/>
    <x v="0"/>
    <x v="0"/>
    <x v="1"/>
    <x v="2"/>
    <s v="EE_Kohtla_Jarve"/>
    <x v="2"/>
    <x v="1"/>
    <s v="GNR_ENG_NGAS_EXT_E-44"/>
    <x v="0"/>
    <x v="21"/>
    <n v="16"/>
    <n v="5840"/>
    <n v="21024"/>
  </r>
  <r>
    <x v="0"/>
    <x v="0"/>
    <x v="0"/>
    <x v="1"/>
    <x v="2"/>
    <s v="EE_Kohtla_Jarve"/>
    <x v="2"/>
    <x v="1"/>
    <s v="GNR_ENG_NGAS_EXT_E-44"/>
    <x v="0"/>
    <x v="22"/>
    <n v="16"/>
    <n v="5840"/>
    <n v="21024"/>
  </r>
  <r>
    <x v="0"/>
    <x v="0"/>
    <x v="0"/>
    <x v="1"/>
    <x v="2"/>
    <s v="EE_Kohtla_Jarve"/>
    <x v="2"/>
    <x v="1"/>
    <s v="GNR_ENG_NGAS_EXT_E-44"/>
    <x v="0"/>
    <x v="23"/>
    <n v="16"/>
    <n v="5840"/>
    <n v="21024"/>
  </r>
  <r>
    <x v="0"/>
    <x v="0"/>
    <x v="0"/>
    <x v="1"/>
    <x v="2"/>
    <s v="EE_Parnu"/>
    <x v="0"/>
    <x v="1"/>
    <s v="GNR_ST_BGAS_EXT_E-38"/>
    <x v="0"/>
    <x v="0"/>
    <n v="0.1"/>
    <n v="36.5"/>
    <n v="131.4"/>
  </r>
  <r>
    <x v="0"/>
    <x v="0"/>
    <x v="0"/>
    <x v="1"/>
    <x v="2"/>
    <s v="EE_Parnu"/>
    <x v="0"/>
    <x v="1"/>
    <s v="GNR_ST_BGAS_EXT_E-38"/>
    <x v="0"/>
    <x v="1"/>
    <n v="0.1"/>
    <n v="36.5"/>
    <n v="131.4"/>
  </r>
  <r>
    <x v="0"/>
    <x v="0"/>
    <x v="0"/>
    <x v="1"/>
    <x v="2"/>
    <s v="EE_Parnu"/>
    <x v="0"/>
    <x v="1"/>
    <s v="GNR_ST_BGAS_EXT_E-38"/>
    <x v="0"/>
    <x v="2"/>
    <n v="0.1"/>
    <n v="36.5"/>
    <n v="131.4"/>
  </r>
  <r>
    <x v="0"/>
    <x v="0"/>
    <x v="0"/>
    <x v="1"/>
    <x v="2"/>
    <s v="EE_Parnu"/>
    <x v="0"/>
    <x v="1"/>
    <s v="GNR_ST_BGAS_EXT_E-38"/>
    <x v="0"/>
    <x v="3"/>
    <n v="0.1"/>
    <n v="36.5"/>
    <n v="131.4"/>
  </r>
  <r>
    <x v="0"/>
    <x v="0"/>
    <x v="0"/>
    <x v="1"/>
    <x v="2"/>
    <s v="EE_Parnu"/>
    <x v="0"/>
    <x v="1"/>
    <s v="GNR_ST_BGAS_EXT_E-38"/>
    <x v="0"/>
    <x v="4"/>
    <n v="0.1"/>
    <n v="36.5"/>
    <n v="131.4"/>
  </r>
  <r>
    <x v="0"/>
    <x v="0"/>
    <x v="0"/>
    <x v="1"/>
    <x v="2"/>
    <s v="EE_Parnu"/>
    <x v="0"/>
    <x v="1"/>
    <s v="GNR_ST_BGAS_EXT_E-38"/>
    <x v="0"/>
    <x v="5"/>
    <n v="0.1"/>
    <n v="36.5"/>
    <n v="131.4"/>
  </r>
  <r>
    <x v="0"/>
    <x v="0"/>
    <x v="0"/>
    <x v="1"/>
    <x v="2"/>
    <s v="EE_Parnu"/>
    <x v="0"/>
    <x v="1"/>
    <s v="GNR_ST_BGAS_EXT_E-38"/>
    <x v="0"/>
    <x v="6"/>
    <n v="0.1"/>
    <n v="36.5"/>
    <n v="131.4"/>
  </r>
  <r>
    <x v="0"/>
    <x v="0"/>
    <x v="0"/>
    <x v="1"/>
    <x v="2"/>
    <s v="EE_Parnu"/>
    <x v="0"/>
    <x v="1"/>
    <s v="GNR_ST_BGAS_EXT_E-38"/>
    <x v="0"/>
    <x v="7"/>
    <n v="0.1"/>
    <n v="36.5"/>
    <n v="131.4"/>
  </r>
  <r>
    <x v="0"/>
    <x v="0"/>
    <x v="0"/>
    <x v="1"/>
    <x v="2"/>
    <s v="EE_Parnu"/>
    <x v="0"/>
    <x v="1"/>
    <s v="GNR_ST_BGAS_EXT_E-38"/>
    <x v="0"/>
    <x v="8"/>
    <n v="0.1"/>
    <n v="36.5"/>
    <n v="131.4"/>
  </r>
  <r>
    <x v="0"/>
    <x v="0"/>
    <x v="0"/>
    <x v="1"/>
    <x v="2"/>
    <s v="EE_Parnu"/>
    <x v="0"/>
    <x v="1"/>
    <s v="GNR_ST_BGAS_EXT_E-38"/>
    <x v="0"/>
    <x v="9"/>
    <n v="0.1"/>
    <n v="36.5"/>
    <n v="131.4"/>
  </r>
  <r>
    <x v="0"/>
    <x v="0"/>
    <x v="0"/>
    <x v="1"/>
    <x v="2"/>
    <s v="EE_Parnu"/>
    <x v="0"/>
    <x v="1"/>
    <s v="GNR_ST_BGAS_EXT_E-38"/>
    <x v="0"/>
    <x v="10"/>
    <n v="0.1"/>
    <n v="36.5"/>
    <n v="131.4"/>
  </r>
  <r>
    <x v="0"/>
    <x v="0"/>
    <x v="0"/>
    <x v="1"/>
    <x v="2"/>
    <s v="EE_Parnu"/>
    <x v="0"/>
    <x v="1"/>
    <s v="GNR_ST_BGAS_EXT_E-38"/>
    <x v="0"/>
    <x v="11"/>
    <n v="0.1"/>
    <n v="36.5"/>
    <n v="131.4"/>
  </r>
  <r>
    <x v="0"/>
    <x v="0"/>
    <x v="0"/>
    <x v="1"/>
    <x v="2"/>
    <s v="EE_Parnu"/>
    <x v="0"/>
    <x v="1"/>
    <s v="GNR_ST_BGAS_EXT_E-38"/>
    <x v="0"/>
    <x v="12"/>
    <n v="0.1"/>
    <n v="36.5"/>
    <n v="131.4"/>
  </r>
  <r>
    <x v="0"/>
    <x v="0"/>
    <x v="0"/>
    <x v="1"/>
    <x v="2"/>
    <s v="EE_Parnu"/>
    <x v="0"/>
    <x v="1"/>
    <s v="GNR_ST_BGAS_EXT_E-38"/>
    <x v="0"/>
    <x v="13"/>
    <n v="0.1"/>
    <n v="36.5"/>
    <n v="131.4"/>
  </r>
  <r>
    <x v="0"/>
    <x v="0"/>
    <x v="0"/>
    <x v="1"/>
    <x v="2"/>
    <s v="EE_Parnu"/>
    <x v="0"/>
    <x v="1"/>
    <s v="GNR_ST_BGAS_EXT_E-38"/>
    <x v="0"/>
    <x v="14"/>
    <n v="0.1"/>
    <n v="36.5"/>
    <n v="131.4"/>
  </r>
  <r>
    <x v="0"/>
    <x v="0"/>
    <x v="0"/>
    <x v="1"/>
    <x v="2"/>
    <s v="EE_Parnu"/>
    <x v="0"/>
    <x v="1"/>
    <s v="GNR_ST_BGAS_EXT_E-38"/>
    <x v="0"/>
    <x v="15"/>
    <n v="0.1"/>
    <n v="36.5"/>
    <n v="131.4"/>
  </r>
  <r>
    <x v="0"/>
    <x v="0"/>
    <x v="0"/>
    <x v="1"/>
    <x v="2"/>
    <s v="EE_Parnu"/>
    <x v="0"/>
    <x v="1"/>
    <s v="GNR_ST_BGAS_EXT_E-38"/>
    <x v="0"/>
    <x v="16"/>
    <n v="0.1"/>
    <n v="36.5"/>
    <n v="131.4"/>
  </r>
  <r>
    <x v="0"/>
    <x v="0"/>
    <x v="0"/>
    <x v="1"/>
    <x v="2"/>
    <s v="EE_Parnu"/>
    <x v="0"/>
    <x v="1"/>
    <s v="GNR_ST_BGAS_EXT_E-38"/>
    <x v="0"/>
    <x v="17"/>
    <n v="0.1"/>
    <n v="36.5"/>
    <n v="131.4"/>
  </r>
  <r>
    <x v="0"/>
    <x v="0"/>
    <x v="0"/>
    <x v="1"/>
    <x v="2"/>
    <s v="EE_Parnu"/>
    <x v="0"/>
    <x v="1"/>
    <s v="GNR_ST_BGAS_EXT_E-38"/>
    <x v="0"/>
    <x v="18"/>
    <n v="0.1"/>
    <n v="36.5"/>
    <n v="131.4"/>
  </r>
  <r>
    <x v="0"/>
    <x v="0"/>
    <x v="0"/>
    <x v="1"/>
    <x v="2"/>
    <s v="EE_Parnu"/>
    <x v="0"/>
    <x v="1"/>
    <s v="GNR_ST_BGAS_EXT_E-38"/>
    <x v="0"/>
    <x v="19"/>
    <n v="0.1"/>
    <n v="36.5"/>
    <n v="131.4"/>
  </r>
  <r>
    <x v="0"/>
    <x v="0"/>
    <x v="0"/>
    <x v="1"/>
    <x v="2"/>
    <s v="EE_Parnu"/>
    <x v="0"/>
    <x v="1"/>
    <s v="GNR_ST_BGAS_EXT_E-38"/>
    <x v="0"/>
    <x v="20"/>
    <n v="0.1"/>
    <n v="36.5"/>
    <n v="131.4"/>
  </r>
  <r>
    <x v="0"/>
    <x v="0"/>
    <x v="0"/>
    <x v="1"/>
    <x v="2"/>
    <s v="EE_Parnu"/>
    <x v="0"/>
    <x v="1"/>
    <s v="GNR_ST_BGAS_EXT_E-38"/>
    <x v="0"/>
    <x v="21"/>
    <n v="0.1"/>
    <n v="36.5"/>
    <n v="131.4"/>
  </r>
  <r>
    <x v="0"/>
    <x v="0"/>
    <x v="0"/>
    <x v="1"/>
    <x v="2"/>
    <s v="EE_Parnu"/>
    <x v="0"/>
    <x v="1"/>
    <s v="GNR_ST_BGAS_EXT_E-38"/>
    <x v="0"/>
    <x v="22"/>
    <n v="0.1"/>
    <n v="36.5"/>
    <n v="131.4"/>
  </r>
  <r>
    <x v="0"/>
    <x v="0"/>
    <x v="0"/>
    <x v="1"/>
    <x v="2"/>
    <s v="EE_Parnu"/>
    <x v="0"/>
    <x v="1"/>
    <s v="GNR_ST_BGAS_EXT_E-38"/>
    <x v="0"/>
    <x v="23"/>
    <n v="0.1"/>
    <n v="36.5"/>
    <n v="131.4"/>
  </r>
  <r>
    <x v="0"/>
    <x v="0"/>
    <x v="0"/>
    <x v="1"/>
    <x v="2"/>
    <s v="EE_Parnu"/>
    <x v="10"/>
    <x v="0"/>
    <s v="PARNU-1_ST_WOOD_BP"/>
    <x v="0"/>
    <x v="0"/>
    <n v="22"/>
    <n v="8030"/>
    <n v="28908"/>
  </r>
  <r>
    <x v="0"/>
    <x v="0"/>
    <x v="0"/>
    <x v="1"/>
    <x v="2"/>
    <s v="EE_Parnu"/>
    <x v="10"/>
    <x v="0"/>
    <s v="PARNU-1_ST_WOOD_BP"/>
    <x v="0"/>
    <x v="1"/>
    <n v="22"/>
    <n v="8030"/>
    <n v="28908"/>
  </r>
  <r>
    <x v="0"/>
    <x v="0"/>
    <x v="0"/>
    <x v="1"/>
    <x v="2"/>
    <s v="EE_Parnu"/>
    <x v="10"/>
    <x v="0"/>
    <s v="PARNU-1_ST_WOOD_BP"/>
    <x v="0"/>
    <x v="2"/>
    <n v="22"/>
    <n v="8030"/>
    <n v="28908"/>
  </r>
  <r>
    <x v="0"/>
    <x v="0"/>
    <x v="0"/>
    <x v="1"/>
    <x v="2"/>
    <s v="EE_Parnu"/>
    <x v="10"/>
    <x v="0"/>
    <s v="PARNU-1_ST_WOOD_BP"/>
    <x v="0"/>
    <x v="3"/>
    <n v="22"/>
    <n v="8030"/>
    <n v="28908"/>
  </r>
  <r>
    <x v="0"/>
    <x v="0"/>
    <x v="0"/>
    <x v="1"/>
    <x v="2"/>
    <s v="EE_Parnu"/>
    <x v="10"/>
    <x v="0"/>
    <s v="PARNU-1_ST_WOOD_BP"/>
    <x v="0"/>
    <x v="4"/>
    <n v="22"/>
    <n v="8030"/>
    <n v="28908"/>
  </r>
  <r>
    <x v="0"/>
    <x v="0"/>
    <x v="0"/>
    <x v="1"/>
    <x v="2"/>
    <s v="EE_Parnu"/>
    <x v="10"/>
    <x v="0"/>
    <s v="PARNU-1_ST_WOOD_BP"/>
    <x v="0"/>
    <x v="5"/>
    <n v="22"/>
    <n v="8030"/>
    <n v="28908"/>
  </r>
  <r>
    <x v="0"/>
    <x v="0"/>
    <x v="0"/>
    <x v="1"/>
    <x v="2"/>
    <s v="EE_Parnu"/>
    <x v="10"/>
    <x v="0"/>
    <s v="PARNU-1_ST_WOOD_BP"/>
    <x v="0"/>
    <x v="6"/>
    <n v="22"/>
    <n v="8030"/>
    <n v="28908"/>
  </r>
  <r>
    <x v="0"/>
    <x v="0"/>
    <x v="0"/>
    <x v="1"/>
    <x v="2"/>
    <s v="EE_Parnu"/>
    <x v="10"/>
    <x v="0"/>
    <s v="PARNU-1_ST_WOOD_BP"/>
    <x v="0"/>
    <x v="7"/>
    <n v="22"/>
    <n v="8030"/>
    <n v="28908"/>
  </r>
  <r>
    <x v="0"/>
    <x v="0"/>
    <x v="0"/>
    <x v="1"/>
    <x v="2"/>
    <s v="EE_Parnu"/>
    <x v="10"/>
    <x v="0"/>
    <s v="PARNU-1_ST_WOOD_BP"/>
    <x v="0"/>
    <x v="8"/>
    <n v="22"/>
    <n v="8030"/>
    <n v="28908"/>
  </r>
  <r>
    <x v="0"/>
    <x v="0"/>
    <x v="0"/>
    <x v="1"/>
    <x v="2"/>
    <s v="EE_Parnu"/>
    <x v="10"/>
    <x v="0"/>
    <s v="PARNU-1_ST_WOOD_BP"/>
    <x v="0"/>
    <x v="9"/>
    <n v="22"/>
    <n v="8030"/>
    <n v="28908"/>
  </r>
  <r>
    <x v="0"/>
    <x v="0"/>
    <x v="0"/>
    <x v="1"/>
    <x v="2"/>
    <s v="EE_Parnu"/>
    <x v="10"/>
    <x v="0"/>
    <s v="PARNU-1_ST_WOOD_BP"/>
    <x v="0"/>
    <x v="10"/>
    <n v="22"/>
    <n v="8030"/>
    <n v="28908"/>
  </r>
  <r>
    <x v="0"/>
    <x v="0"/>
    <x v="0"/>
    <x v="1"/>
    <x v="2"/>
    <s v="EE_Parnu"/>
    <x v="10"/>
    <x v="0"/>
    <s v="PARNU-1_ST_WOOD_BP"/>
    <x v="0"/>
    <x v="11"/>
    <n v="22"/>
    <n v="8030"/>
    <n v="28908"/>
  </r>
  <r>
    <x v="0"/>
    <x v="0"/>
    <x v="0"/>
    <x v="1"/>
    <x v="2"/>
    <s v="EE_Parnu"/>
    <x v="10"/>
    <x v="0"/>
    <s v="PARNU-1_ST_WOOD_BP"/>
    <x v="0"/>
    <x v="12"/>
    <n v="22"/>
    <n v="8030"/>
    <n v="28908"/>
  </r>
  <r>
    <x v="0"/>
    <x v="0"/>
    <x v="0"/>
    <x v="1"/>
    <x v="2"/>
    <s v="EE_Parnu"/>
    <x v="10"/>
    <x v="0"/>
    <s v="PARNU-1_ST_WOOD_BP"/>
    <x v="0"/>
    <x v="13"/>
    <n v="22"/>
    <n v="8030"/>
    <n v="28908"/>
  </r>
  <r>
    <x v="0"/>
    <x v="0"/>
    <x v="0"/>
    <x v="1"/>
    <x v="2"/>
    <s v="EE_Parnu"/>
    <x v="10"/>
    <x v="0"/>
    <s v="PARNU-1_ST_WOOD_BP"/>
    <x v="0"/>
    <x v="14"/>
    <n v="22"/>
    <n v="8030"/>
    <n v="28908"/>
  </r>
  <r>
    <x v="0"/>
    <x v="0"/>
    <x v="0"/>
    <x v="1"/>
    <x v="2"/>
    <s v="EE_Parnu"/>
    <x v="10"/>
    <x v="0"/>
    <s v="PARNU-1_ST_WOOD_BP"/>
    <x v="0"/>
    <x v="15"/>
    <n v="22"/>
    <n v="8030"/>
    <n v="28908"/>
  </r>
  <r>
    <x v="0"/>
    <x v="0"/>
    <x v="0"/>
    <x v="1"/>
    <x v="2"/>
    <s v="EE_Parnu"/>
    <x v="10"/>
    <x v="0"/>
    <s v="PARNU-1_ST_WOOD_BP"/>
    <x v="0"/>
    <x v="16"/>
    <n v="22"/>
    <n v="8030"/>
    <n v="28908"/>
  </r>
  <r>
    <x v="0"/>
    <x v="0"/>
    <x v="0"/>
    <x v="1"/>
    <x v="2"/>
    <s v="EE_Parnu"/>
    <x v="10"/>
    <x v="0"/>
    <s v="PARNU-1_ST_WOOD_BP"/>
    <x v="0"/>
    <x v="17"/>
    <n v="22"/>
    <n v="8030"/>
    <n v="28908"/>
  </r>
  <r>
    <x v="0"/>
    <x v="0"/>
    <x v="0"/>
    <x v="1"/>
    <x v="2"/>
    <s v="EE_Parnu"/>
    <x v="10"/>
    <x v="0"/>
    <s v="PARNU-1_ST_WOOD_BP"/>
    <x v="0"/>
    <x v="18"/>
    <n v="22"/>
    <n v="8030"/>
    <n v="28908"/>
  </r>
  <r>
    <x v="0"/>
    <x v="0"/>
    <x v="0"/>
    <x v="1"/>
    <x v="2"/>
    <s v="EE_Parnu"/>
    <x v="10"/>
    <x v="0"/>
    <s v="PARNU-1_ST_WOOD_BP"/>
    <x v="0"/>
    <x v="19"/>
    <n v="22"/>
    <n v="8030"/>
    <n v="28908"/>
  </r>
  <r>
    <x v="0"/>
    <x v="0"/>
    <x v="0"/>
    <x v="1"/>
    <x v="2"/>
    <s v="EE_Parnu"/>
    <x v="10"/>
    <x v="0"/>
    <s v="PARNU-1_ST_WOOD_BP"/>
    <x v="0"/>
    <x v="20"/>
    <n v="22"/>
    <n v="8030"/>
    <n v="28908"/>
  </r>
  <r>
    <x v="0"/>
    <x v="0"/>
    <x v="0"/>
    <x v="1"/>
    <x v="2"/>
    <s v="EE_Parnu"/>
    <x v="10"/>
    <x v="0"/>
    <s v="PARNU-1_ST_WOOD_BP"/>
    <x v="0"/>
    <x v="21"/>
    <n v="22"/>
    <n v="8030"/>
    <n v="28908"/>
  </r>
  <r>
    <x v="0"/>
    <x v="0"/>
    <x v="0"/>
    <x v="1"/>
    <x v="2"/>
    <s v="EE_Parnu"/>
    <x v="10"/>
    <x v="0"/>
    <s v="PARNU-1_ST_WOOD_BP"/>
    <x v="0"/>
    <x v="22"/>
    <n v="22"/>
    <n v="8030"/>
    <n v="28908"/>
  </r>
  <r>
    <x v="0"/>
    <x v="0"/>
    <x v="0"/>
    <x v="1"/>
    <x v="2"/>
    <s v="EE_Parnu"/>
    <x v="10"/>
    <x v="0"/>
    <s v="PARNU-1_ST_WOOD_BP"/>
    <x v="0"/>
    <x v="23"/>
    <n v="22"/>
    <n v="8030"/>
    <n v="28908"/>
  </r>
  <r>
    <x v="0"/>
    <x v="0"/>
    <x v="0"/>
    <x v="1"/>
    <x v="2"/>
    <s v="EE_Rural"/>
    <x v="0"/>
    <x v="1"/>
    <s v="GNR_ST_BGAS_EXT_E-38"/>
    <x v="0"/>
    <x v="0"/>
    <n v="3.3"/>
    <n v="1204.5"/>
    <n v="4336.2"/>
  </r>
  <r>
    <x v="0"/>
    <x v="0"/>
    <x v="0"/>
    <x v="1"/>
    <x v="2"/>
    <s v="EE_Rural"/>
    <x v="0"/>
    <x v="1"/>
    <s v="GNR_ST_BGAS_EXT_E-38"/>
    <x v="0"/>
    <x v="1"/>
    <n v="3.3"/>
    <n v="1204.5"/>
    <n v="4336.2"/>
  </r>
  <r>
    <x v="0"/>
    <x v="0"/>
    <x v="0"/>
    <x v="1"/>
    <x v="2"/>
    <s v="EE_Rural"/>
    <x v="0"/>
    <x v="1"/>
    <s v="GNR_ST_BGAS_EXT_E-38"/>
    <x v="0"/>
    <x v="2"/>
    <n v="3.3"/>
    <n v="1204.5"/>
    <n v="4336.2"/>
  </r>
  <r>
    <x v="0"/>
    <x v="0"/>
    <x v="0"/>
    <x v="1"/>
    <x v="2"/>
    <s v="EE_Rural"/>
    <x v="0"/>
    <x v="1"/>
    <s v="GNR_ST_BGAS_EXT_E-38"/>
    <x v="0"/>
    <x v="3"/>
    <n v="3.3"/>
    <n v="1204.5"/>
    <n v="4336.2"/>
  </r>
  <r>
    <x v="0"/>
    <x v="0"/>
    <x v="0"/>
    <x v="1"/>
    <x v="2"/>
    <s v="EE_Rural"/>
    <x v="0"/>
    <x v="1"/>
    <s v="GNR_ST_BGAS_EXT_E-38"/>
    <x v="0"/>
    <x v="4"/>
    <n v="3.3"/>
    <n v="1204.5"/>
    <n v="4336.2"/>
  </r>
  <r>
    <x v="0"/>
    <x v="0"/>
    <x v="0"/>
    <x v="1"/>
    <x v="2"/>
    <s v="EE_Rural"/>
    <x v="0"/>
    <x v="1"/>
    <s v="GNR_ST_BGAS_EXT_E-38"/>
    <x v="0"/>
    <x v="5"/>
    <n v="3.3"/>
    <n v="1204.5"/>
    <n v="4336.2"/>
  </r>
  <r>
    <x v="0"/>
    <x v="0"/>
    <x v="0"/>
    <x v="1"/>
    <x v="2"/>
    <s v="EE_Rural"/>
    <x v="0"/>
    <x v="1"/>
    <s v="GNR_ST_BGAS_EXT_E-38"/>
    <x v="0"/>
    <x v="6"/>
    <n v="3.3"/>
    <n v="1204.5"/>
    <n v="4336.2"/>
  </r>
  <r>
    <x v="0"/>
    <x v="0"/>
    <x v="0"/>
    <x v="1"/>
    <x v="2"/>
    <s v="EE_Rural"/>
    <x v="0"/>
    <x v="1"/>
    <s v="GNR_ST_BGAS_EXT_E-38"/>
    <x v="0"/>
    <x v="7"/>
    <n v="3.3"/>
    <n v="1204.5"/>
    <n v="4336.2"/>
  </r>
  <r>
    <x v="0"/>
    <x v="0"/>
    <x v="0"/>
    <x v="1"/>
    <x v="2"/>
    <s v="EE_Rural"/>
    <x v="0"/>
    <x v="1"/>
    <s v="GNR_ST_BGAS_EXT_E-38"/>
    <x v="0"/>
    <x v="8"/>
    <n v="3.3"/>
    <n v="1204.5"/>
    <n v="4336.2"/>
  </r>
  <r>
    <x v="0"/>
    <x v="0"/>
    <x v="0"/>
    <x v="1"/>
    <x v="2"/>
    <s v="EE_Rural"/>
    <x v="0"/>
    <x v="1"/>
    <s v="GNR_ST_BGAS_EXT_E-38"/>
    <x v="0"/>
    <x v="9"/>
    <n v="3.3"/>
    <n v="1204.5"/>
    <n v="4336.2"/>
  </r>
  <r>
    <x v="0"/>
    <x v="0"/>
    <x v="0"/>
    <x v="1"/>
    <x v="2"/>
    <s v="EE_Rural"/>
    <x v="0"/>
    <x v="1"/>
    <s v="GNR_ST_BGAS_EXT_E-38"/>
    <x v="0"/>
    <x v="10"/>
    <n v="3.3"/>
    <n v="1204.5"/>
    <n v="4336.2"/>
  </r>
  <r>
    <x v="0"/>
    <x v="0"/>
    <x v="0"/>
    <x v="1"/>
    <x v="2"/>
    <s v="EE_Rural"/>
    <x v="0"/>
    <x v="1"/>
    <s v="GNR_ST_BGAS_EXT_E-38"/>
    <x v="0"/>
    <x v="11"/>
    <n v="3.3"/>
    <n v="1204.5"/>
    <n v="4336.2"/>
  </r>
  <r>
    <x v="0"/>
    <x v="0"/>
    <x v="0"/>
    <x v="1"/>
    <x v="2"/>
    <s v="EE_Rural"/>
    <x v="0"/>
    <x v="1"/>
    <s v="GNR_ST_BGAS_EXT_E-38"/>
    <x v="0"/>
    <x v="12"/>
    <n v="3.3"/>
    <n v="1204.5"/>
    <n v="4336.2"/>
  </r>
  <r>
    <x v="0"/>
    <x v="0"/>
    <x v="0"/>
    <x v="1"/>
    <x v="2"/>
    <s v="EE_Rural"/>
    <x v="0"/>
    <x v="1"/>
    <s v="GNR_ST_BGAS_EXT_E-38"/>
    <x v="0"/>
    <x v="13"/>
    <n v="3.3"/>
    <n v="1204.5"/>
    <n v="4336.2"/>
  </r>
  <r>
    <x v="0"/>
    <x v="0"/>
    <x v="0"/>
    <x v="1"/>
    <x v="2"/>
    <s v="EE_Rural"/>
    <x v="0"/>
    <x v="1"/>
    <s v="GNR_ST_BGAS_EXT_E-38"/>
    <x v="0"/>
    <x v="14"/>
    <n v="3.3"/>
    <n v="1204.5"/>
    <n v="4336.2"/>
  </r>
  <r>
    <x v="0"/>
    <x v="0"/>
    <x v="0"/>
    <x v="1"/>
    <x v="2"/>
    <s v="EE_Rural"/>
    <x v="0"/>
    <x v="1"/>
    <s v="GNR_ST_BGAS_EXT_E-38"/>
    <x v="0"/>
    <x v="15"/>
    <n v="3.3"/>
    <n v="1204.5"/>
    <n v="4336.2"/>
  </r>
  <r>
    <x v="0"/>
    <x v="0"/>
    <x v="0"/>
    <x v="1"/>
    <x v="2"/>
    <s v="EE_Rural"/>
    <x v="0"/>
    <x v="1"/>
    <s v="GNR_ST_BGAS_EXT_E-38"/>
    <x v="0"/>
    <x v="16"/>
    <n v="3.3"/>
    <n v="1204.5"/>
    <n v="4336.2"/>
  </r>
  <r>
    <x v="0"/>
    <x v="0"/>
    <x v="0"/>
    <x v="1"/>
    <x v="2"/>
    <s v="EE_Rural"/>
    <x v="0"/>
    <x v="1"/>
    <s v="GNR_ST_BGAS_EXT_E-38"/>
    <x v="0"/>
    <x v="17"/>
    <n v="3.3"/>
    <n v="1204.5"/>
    <n v="4336.2"/>
  </r>
  <r>
    <x v="0"/>
    <x v="0"/>
    <x v="0"/>
    <x v="1"/>
    <x v="2"/>
    <s v="EE_Rural"/>
    <x v="0"/>
    <x v="1"/>
    <s v="GNR_ST_BGAS_EXT_E-38"/>
    <x v="0"/>
    <x v="18"/>
    <n v="3.3"/>
    <n v="1204.5"/>
    <n v="4336.2"/>
  </r>
  <r>
    <x v="0"/>
    <x v="0"/>
    <x v="0"/>
    <x v="1"/>
    <x v="2"/>
    <s v="EE_Rural"/>
    <x v="0"/>
    <x v="1"/>
    <s v="GNR_ST_BGAS_EXT_E-38"/>
    <x v="0"/>
    <x v="19"/>
    <n v="3.3"/>
    <n v="1204.5"/>
    <n v="4336.2"/>
  </r>
  <r>
    <x v="0"/>
    <x v="0"/>
    <x v="0"/>
    <x v="1"/>
    <x v="2"/>
    <s v="EE_Rural"/>
    <x v="0"/>
    <x v="1"/>
    <s v="GNR_ST_BGAS_EXT_E-38"/>
    <x v="0"/>
    <x v="20"/>
    <n v="3.3"/>
    <n v="1204.5"/>
    <n v="4336.2"/>
  </r>
  <r>
    <x v="0"/>
    <x v="0"/>
    <x v="0"/>
    <x v="1"/>
    <x v="2"/>
    <s v="EE_Rural"/>
    <x v="0"/>
    <x v="1"/>
    <s v="GNR_ST_BGAS_EXT_E-38"/>
    <x v="0"/>
    <x v="21"/>
    <n v="3.3"/>
    <n v="1204.5"/>
    <n v="4336.2"/>
  </r>
  <r>
    <x v="0"/>
    <x v="0"/>
    <x v="0"/>
    <x v="1"/>
    <x v="2"/>
    <s v="EE_Rural"/>
    <x v="0"/>
    <x v="1"/>
    <s v="GNR_ST_BGAS_EXT_E-38"/>
    <x v="0"/>
    <x v="22"/>
    <n v="3.3"/>
    <n v="1204.5"/>
    <n v="4336.2"/>
  </r>
  <r>
    <x v="0"/>
    <x v="0"/>
    <x v="0"/>
    <x v="1"/>
    <x v="2"/>
    <s v="EE_Rural"/>
    <x v="0"/>
    <x v="1"/>
    <s v="GNR_ST_BGAS_EXT_E-38"/>
    <x v="0"/>
    <x v="23"/>
    <n v="3.3"/>
    <n v="1204.5"/>
    <n v="4336.2"/>
  </r>
  <r>
    <x v="0"/>
    <x v="0"/>
    <x v="0"/>
    <x v="1"/>
    <x v="2"/>
    <s v="EE_Rural"/>
    <x v="2"/>
    <x v="1"/>
    <s v="GNR_ENG_NGAS_EXT_E-44"/>
    <x v="0"/>
    <x v="0"/>
    <n v="1.2"/>
    <n v="438"/>
    <n v="1576.8"/>
  </r>
  <r>
    <x v="0"/>
    <x v="0"/>
    <x v="0"/>
    <x v="1"/>
    <x v="2"/>
    <s v="EE_Rural"/>
    <x v="2"/>
    <x v="1"/>
    <s v="GNR_ENG_NGAS_EXT_E-44"/>
    <x v="0"/>
    <x v="1"/>
    <n v="1.2"/>
    <n v="438"/>
    <n v="1576.8"/>
  </r>
  <r>
    <x v="0"/>
    <x v="0"/>
    <x v="0"/>
    <x v="1"/>
    <x v="2"/>
    <s v="EE_Rural"/>
    <x v="2"/>
    <x v="1"/>
    <s v="GNR_ENG_NGAS_EXT_E-44"/>
    <x v="0"/>
    <x v="2"/>
    <n v="1.2"/>
    <n v="438"/>
    <n v="1576.8"/>
  </r>
  <r>
    <x v="0"/>
    <x v="0"/>
    <x v="0"/>
    <x v="1"/>
    <x v="2"/>
    <s v="EE_Rural"/>
    <x v="2"/>
    <x v="1"/>
    <s v="GNR_ENG_NGAS_EXT_E-44"/>
    <x v="0"/>
    <x v="3"/>
    <n v="1.2"/>
    <n v="438"/>
    <n v="1576.8"/>
  </r>
  <r>
    <x v="0"/>
    <x v="0"/>
    <x v="0"/>
    <x v="1"/>
    <x v="2"/>
    <s v="EE_Rural"/>
    <x v="2"/>
    <x v="1"/>
    <s v="GNR_ENG_NGAS_EXT_E-44"/>
    <x v="0"/>
    <x v="4"/>
    <n v="1.2"/>
    <n v="438"/>
    <n v="1576.8"/>
  </r>
  <r>
    <x v="0"/>
    <x v="0"/>
    <x v="0"/>
    <x v="1"/>
    <x v="2"/>
    <s v="EE_Rural"/>
    <x v="2"/>
    <x v="1"/>
    <s v="GNR_ENG_NGAS_EXT_E-44"/>
    <x v="0"/>
    <x v="5"/>
    <n v="1.2"/>
    <n v="438"/>
    <n v="1576.8"/>
  </r>
  <r>
    <x v="0"/>
    <x v="0"/>
    <x v="0"/>
    <x v="1"/>
    <x v="2"/>
    <s v="EE_Rural"/>
    <x v="2"/>
    <x v="1"/>
    <s v="GNR_ENG_NGAS_EXT_E-44"/>
    <x v="0"/>
    <x v="6"/>
    <n v="1.2"/>
    <n v="438"/>
    <n v="1576.8"/>
  </r>
  <r>
    <x v="0"/>
    <x v="0"/>
    <x v="0"/>
    <x v="1"/>
    <x v="2"/>
    <s v="EE_Rural"/>
    <x v="2"/>
    <x v="1"/>
    <s v="GNR_ENG_NGAS_EXT_E-44"/>
    <x v="0"/>
    <x v="7"/>
    <n v="1.2"/>
    <n v="438"/>
    <n v="1576.8"/>
  </r>
  <r>
    <x v="0"/>
    <x v="0"/>
    <x v="0"/>
    <x v="1"/>
    <x v="2"/>
    <s v="EE_Rural"/>
    <x v="2"/>
    <x v="1"/>
    <s v="GNR_ENG_NGAS_EXT_E-44"/>
    <x v="0"/>
    <x v="8"/>
    <n v="1.2"/>
    <n v="438"/>
    <n v="1576.8"/>
  </r>
  <r>
    <x v="0"/>
    <x v="0"/>
    <x v="0"/>
    <x v="1"/>
    <x v="2"/>
    <s v="EE_Rural"/>
    <x v="2"/>
    <x v="1"/>
    <s v="GNR_ENG_NGAS_EXT_E-44"/>
    <x v="0"/>
    <x v="9"/>
    <n v="1.2"/>
    <n v="438"/>
    <n v="1576.8"/>
  </r>
  <r>
    <x v="0"/>
    <x v="0"/>
    <x v="0"/>
    <x v="1"/>
    <x v="2"/>
    <s v="EE_Rural"/>
    <x v="2"/>
    <x v="1"/>
    <s v="GNR_ENG_NGAS_EXT_E-44"/>
    <x v="0"/>
    <x v="10"/>
    <n v="1.2"/>
    <n v="438"/>
    <n v="1576.8"/>
  </r>
  <r>
    <x v="0"/>
    <x v="0"/>
    <x v="0"/>
    <x v="1"/>
    <x v="2"/>
    <s v="EE_Rural"/>
    <x v="2"/>
    <x v="1"/>
    <s v="GNR_ENG_NGAS_EXT_E-44"/>
    <x v="0"/>
    <x v="11"/>
    <n v="1.2"/>
    <n v="438"/>
    <n v="1576.8"/>
  </r>
  <r>
    <x v="0"/>
    <x v="0"/>
    <x v="0"/>
    <x v="1"/>
    <x v="2"/>
    <s v="EE_Rural"/>
    <x v="2"/>
    <x v="1"/>
    <s v="GNR_ENG_NGAS_EXT_E-44"/>
    <x v="0"/>
    <x v="12"/>
    <n v="1.2"/>
    <n v="438"/>
    <n v="1576.8"/>
  </r>
  <r>
    <x v="0"/>
    <x v="0"/>
    <x v="0"/>
    <x v="1"/>
    <x v="2"/>
    <s v="EE_Rural"/>
    <x v="2"/>
    <x v="1"/>
    <s v="GNR_ENG_NGAS_EXT_E-44"/>
    <x v="0"/>
    <x v="13"/>
    <n v="1.2"/>
    <n v="438"/>
    <n v="1576.8"/>
  </r>
  <r>
    <x v="0"/>
    <x v="0"/>
    <x v="0"/>
    <x v="1"/>
    <x v="2"/>
    <s v="EE_Rural"/>
    <x v="2"/>
    <x v="1"/>
    <s v="GNR_ENG_NGAS_EXT_E-44"/>
    <x v="0"/>
    <x v="14"/>
    <n v="1.2"/>
    <n v="438"/>
    <n v="1576.8"/>
  </r>
  <r>
    <x v="0"/>
    <x v="0"/>
    <x v="0"/>
    <x v="1"/>
    <x v="2"/>
    <s v="EE_Rural"/>
    <x v="2"/>
    <x v="1"/>
    <s v="GNR_ENG_NGAS_EXT_E-44"/>
    <x v="0"/>
    <x v="15"/>
    <n v="1.2"/>
    <n v="438"/>
    <n v="1576.8"/>
  </r>
  <r>
    <x v="0"/>
    <x v="0"/>
    <x v="0"/>
    <x v="1"/>
    <x v="2"/>
    <s v="EE_Rural"/>
    <x v="2"/>
    <x v="1"/>
    <s v="GNR_ENG_NGAS_EXT_E-44"/>
    <x v="0"/>
    <x v="16"/>
    <n v="1.2"/>
    <n v="438"/>
    <n v="1576.8"/>
  </r>
  <r>
    <x v="0"/>
    <x v="0"/>
    <x v="0"/>
    <x v="1"/>
    <x v="2"/>
    <s v="EE_Rural"/>
    <x v="2"/>
    <x v="1"/>
    <s v="GNR_ENG_NGAS_EXT_E-44"/>
    <x v="0"/>
    <x v="17"/>
    <n v="1.2"/>
    <n v="438"/>
    <n v="1576.8"/>
  </r>
  <r>
    <x v="0"/>
    <x v="0"/>
    <x v="0"/>
    <x v="1"/>
    <x v="2"/>
    <s v="EE_Rural"/>
    <x v="2"/>
    <x v="1"/>
    <s v="GNR_ENG_NGAS_EXT_E-44"/>
    <x v="0"/>
    <x v="18"/>
    <n v="1.2"/>
    <n v="438"/>
    <n v="1576.8"/>
  </r>
  <r>
    <x v="0"/>
    <x v="0"/>
    <x v="0"/>
    <x v="1"/>
    <x v="2"/>
    <s v="EE_Rural"/>
    <x v="2"/>
    <x v="1"/>
    <s v="GNR_ENG_NGAS_EXT_E-44"/>
    <x v="0"/>
    <x v="19"/>
    <n v="1.2"/>
    <n v="438"/>
    <n v="1576.8"/>
  </r>
  <r>
    <x v="0"/>
    <x v="0"/>
    <x v="0"/>
    <x v="1"/>
    <x v="2"/>
    <s v="EE_Rural"/>
    <x v="2"/>
    <x v="1"/>
    <s v="GNR_ENG_NGAS_EXT_E-44"/>
    <x v="0"/>
    <x v="20"/>
    <n v="1.2"/>
    <n v="438"/>
    <n v="1576.8"/>
  </r>
  <r>
    <x v="0"/>
    <x v="0"/>
    <x v="0"/>
    <x v="1"/>
    <x v="2"/>
    <s v="EE_Rural"/>
    <x v="2"/>
    <x v="1"/>
    <s v="GNR_ENG_NGAS_EXT_E-44"/>
    <x v="0"/>
    <x v="21"/>
    <n v="1.2"/>
    <n v="438"/>
    <n v="1576.8"/>
  </r>
  <r>
    <x v="0"/>
    <x v="0"/>
    <x v="0"/>
    <x v="1"/>
    <x v="2"/>
    <s v="EE_Rural"/>
    <x v="2"/>
    <x v="1"/>
    <s v="GNR_ENG_NGAS_EXT_E-44"/>
    <x v="0"/>
    <x v="22"/>
    <n v="1.2"/>
    <n v="438"/>
    <n v="1576.8"/>
  </r>
  <r>
    <x v="0"/>
    <x v="0"/>
    <x v="0"/>
    <x v="1"/>
    <x v="2"/>
    <s v="EE_Rural"/>
    <x v="2"/>
    <x v="1"/>
    <s v="GNR_ENG_NGAS_EXT_E-44"/>
    <x v="0"/>
    <x v="23"/>
    <n v="1.2"/>
    <n v="438"/>
    <n v="1576.8"/>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2"/>
    <n v="3.4246575342465699"/>
    <n v="1250"/>
    <n v="4500"/>
  </r>
  <r>
    <x v="0"/>
    <x v="0"/>
    <x v="0"/>
    <x v="1"/>
    <x v="2"/>
    <s v="EE_Rural"/>
    <x v="6"/>
    <x v="4"/>
    <s v="GNR_ROR_WTR"/>
    <x v="0"/>
    <x v="3"/>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8"/>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0"/>
    <n v="23.661485566316099"/>
    <n v="8636.4422317053904"/>
    <n v="31091.1920341394"/>
  </r>
  <r>
    <x v="0"/>
    <x v="0"/>
    <x v="0"/>
    <x v="1"/>
    <x v="2"/>
    <s v="EE_Rural"/>
    <x v="7"/>
    <x v="5"/>
    <s v="GNR_WT_WIND_ONS"/>
    <x v="0"/>
    <x v="1"/>
    <n v="28.393782679579399"/>
    <n v="10363.730678046501"/>
    <n v="37309.430440967299"/>
  </r>
  <r>
    <x v="0"/>
    <x v="0"/>
    <x v="0"/>
    <x v="1"/>
    <x v="2"/>
    <s v="EE_Rural"/>
    <x v="7"/>
    <x v="5"/>
    <s v="GNR_WT_WIND_ONS"/>
    <x v="0"/>
    <x v="2"/>
    <n v="27.717740234827499"/>
    <n v="10116.975185712001"/>
    <n v="36421.110668563299"/>
  </r>
  <r>
    <x v="0"/>
    <x v="0"/>
    <x v="0"/>
    <x v="1"/>
    <x v="2"/>
    <s v="EE_Rural"/>
    <x v="7"/>
    <x v="5"/>
    <s v="GNR_WT_WIND_ONS"/>
    <x v="0"/>
    <x v="3"/>
    <n v="26.027634122947699"/>
    <n v="9500.0864548759291"/>
    <n v="34200.311237553302"/>
  </r>
  <r>
    <x v="0"/>
    <x v="0"/>
    <x v="0"/>
    <x v="1"/>
    <x v="2"/>
    <s v="EE_Rural"/>
    <x v="7"/>
    <x v="5"/>
    <s v="GNR_WT_WIND_ONS"/>
    <x v="0"/>
    <x v="4"/>
    <n v="19.267209675428902"/>
    <n v="7032.5315315315302"/>
    <n v="25317.113513513501"/>
  </r>
  <r>
    <x v="0"/>
    <x v="0"/>
    <x v="0"/>
    <x v="1"/>
    <x v="2"/>
    <s v="EE_Rural"/>
    <x v="7"/>
    <x v="5"/>
    <s v="GNR_WT_WIND_ONS"/>
    <x v="0"/>
    <x v="5"/>
    <n v="11.154700338406199"/>
    <n v="4071.4656235182501"/>
    <n v="14657.2762446657"/>
  </r>
  <r>
    <x v="0"/>
    <x v="0"/>
    <x v="0"/>
    <x v="1"/>
    <x v="2"/>
    <s v="EE_Rural"/>
    <x v="7"/>
    <x v="5"/>
    <s v="GNR_WT_WIND_ONS"/>
    <x v="0"/>
    <x v="6"/>
    <n v="2.3661485566316101"/>
    <n v="863.64422317053902"/>
    <n v="3109.1192034139399"/>
  </r>
  <r>
    <x v="0"/>
    <x v="0"/>
    <x v="0"/>
    <x v="1"/>
    <x v="2"/>
    <s v="EE_Rural"/>
    <x v="7"/>
    <x v="5"/>
    <s v="GNR_WT_WIND_ONS"/>
    <x v="0"/>
    <x v="7"/>
    <n v="1.69010611187972"/>
    <n v="616.88873083609894"/>
    <n v="2220.7994310099598"/>
  </r>
  <r>
    <x v="0"/>
    <x v="0"/>
    <x v="0"/>
    <x v="1"/>
    <x v="2"/>
    <s v="EE_Rural"/>
    <x v="7"/>
    <x v="5"/>
    <s v="GNR_WT_WIND_ONS"/>
    <x v="0"/>
    <x v="8"/>
    <n v="2.3661485566316101"/>
    <n v="863.64422317053902"/>
    <n v="3109.1192034139399"/>
  </r>
  <r>
    <x v="0"/>
    <x v="0"/>
    <x v="0"/>
    <x v="1"/>
    <x v="2"/>
    <s v="EE_Rural"/>
    <x v="7"/>
    <x v="5"/>
    <s v="GNR_WT_WIND_ONS"/>
    <x v="0"/>
    <x v="9"/>
    <n v="11.154700338406199"/>
    <n v="4071.4656235182501"/>
    <n v="14657.2762446657"/>
  </r>
  <r>
    <x v="0"/>
    <x v="0"/>
    <x v="0"/>
    <x v="1"/>
    <x v="2"/>
    <s v="EE_Rural"/>
    <x v="7"/>
    <x v="5"/>
    <s v="GNR_WT_WIND_ONS"/>
    <x v="0"/>
    <x v="10"/>
    <n v="26.027634122947699"/>
    <n v="9500.0864548759291"/>
    <n v="34200.311237553302"/>
  </r>
  <r>
    <x v="0"/>
    <x v="0"/>
    <x v="0"/>
    <x v="1"/>
    <x v="2"/>
    <s v="EE_Rural"/>
    <x v="7"/>
    <x v="5"/>
    <s v="GNR_WT_WIND_ONS"/>
    <x v="0"/>
    <x v="11"/>
    <n v="40.224525462737397"/>
    <n v="14681.951793899199"/>
    <n v="52855.026458036999"/>
  </r>
  <r>
    <x v="0"/>
    <x v="0"/>
    <x v="0"/>
    <x v="1"/>
    <x v="2"/>
    <s v="EE_Rural"/>
    <x v="7"/>
    <x v="5"/>
    <s v="GNR_WT_WIND_ONS"/>
    <x v="0"/>
    <x v="12"/>
    <n v="46.646928687880397"/>
    <n v="17026.128971076301"/>
    <n v="61294.064295874799"/>
  </r>
  <r>
    <x v="0"/>
    <x v="0"/>
    <x v="0"/>
    <x v="1"/>
    <x v="2"/>
    <s v="EE_Rural"/>
    <x v="7"/>
    <x v="5"/>
    <s v="GNR_WT_WIND_ONS"/>
    <x v="0"/>
    <x v="13"/>
    <n v="53.407353135399298"/>
    <n v="19493.683894420701"/>
    <n v="70177.262019914706"/>
  </r>
  <r>
    <x v="0"/>
    <x v="0"/>
    <x v="0"/>
    <x v="1"/>
    <x v="2"/>
    <s v="EE_Rural"/>
    <x v="7"/>
    <x v="5"/>
    <s v="GNR_WT_WIND_ONS"/>
    <x v="0"/>
    <x v="14"/>
    <n v="53.407353135399298"/>
    <n v="19493.683894420701"/>
    <n v="70177.262019914706"/>
  </r>
  <r>
    <x v="0"/>
    <x v="0"/>
    <x v="0"/>
    <x v="1"/>
    <x v="2"/>
    <s v="EE_Rural"/>
    <x v="7"/>
    <x v="5"/>
    <s v="GNR_WT_WIND_ONS"/>
    <x v="0"/>
    <x v="15"/>
    <n v="84.505305593986193"/>
    <n v="30844.436541805"/>
    <n v="111039.971550498"/>
  </r>
  <r>
    <x v="0"/>
    <x v="0"/>
    <x v="0"/>
    <x v="1"/>
    <x v="2"/>
    <s v="EE_Rural"/>
    <x v="7"/>
    <x v="5"/>
    <s v="GNR_WT_WIND_ONS"/>
    <x v="0"/>
    <x v="16"/>
    <n v="109.18085482743"/>
    <n v="39851.012012011997"/>
    <n v="143463.64324324299"/>
  </r>
  <r>
    <x v="0"/>
    <x v="0"/>
    <x v="0"/>
    <x v="1"/>
    <x v="2"/>
    <s v="EE_Rural"/>
    <x v="7"/>
    <x v="5"/>
    <s v="GNR_WT_WIND_ONS"/>
    <x v="0"/>
    <x v="17"/>
    <n v="107.828769937926"/>
    <n v="39357.501027343103"/>
    <n v="141687.003698435"/>
  </r>
  <r>
    <x v="0"/>
    <x v="0"/>
    <x v="0"/>
    <x v="1"/>
    <x v="2"/>
    <s v="EE_Rural"/>
    <x v="7"/>
    <x v="5"/>
    <s v="GNR_WT_WIND_ONS"/>
    <x v="0"/>
    <x v="18"/>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1"/>
    <x v="0"/>
    <s v="EBAVERE_ST_WOODWST_BP"/>
    <x v="0"/>
    <x v="0"/>
    <n v="10"/>
    <n v="3650"/>
    <n v="13140"/>
  </r>
  <r>
    <x v="0"/>
    <x v="0"/>
    <x v="0"/>
    <x v="1"/>
    <x v="2"/>
    <s v="EE_Rural"/>
    <x v="11"/>
    <x v="0"/>
    <s v="EBAVERE_ST_WOODWST_BP"/>
    <x v="0"/>
    <x v="1"/>
    <n v="10"/>
    <n v="3650"/>
    <n v="13140"/>
  </r>
  <r>
    <x v="0"/>
    <x v="0"/>
    <x v="0"/>
    <x v="1"/>
    <x v="2"/>
    <s v="EE_Rural"/>
    <x v="11"/>
    <x v="0"/>
    <s v="EBAVERE_ST_WOODWST_BP"/>
    <x v="0"/>
    <x v="2"/>
    <n v="10"/>
    <n v="3650"/>
    <n v="13140"/>
  </r>
  <r>
    <x v="0"/>
    <x v="0"/>
    <x v="0"/>
    <x v="1"/>
    <x v="2"/>
    <s v="EE_Rural"/>
    <x v="11"/>
    <x v="0"/>
    <s v="EBAVERE_ST_WOODWST_BP"/>
    <x v="0"/>
    <x v="3"/>
    <n v="10"/>
    <n v="3650"/>
    <n v="13140"/>
  </r>
  <r>
    <x v="0"/>
    <x v="0"/>
    <x v="0"/>
    <x v="1"/>
    <x v="2"/>
    <s v="EE_Rural"/>
    <x v="11"/>
    <x v="0"/>
    <s v="EBAVERE_ST_WOODWST_BP"/>
    <x v="0"/>
    <x v="4"/>
    <n v="10"/>
    <n v="3650"/>
    <n v="13140"/>
  </r>
  <r>
    <x v="0"/>
    <x v="0"/>
    <x v="0"/>
    <x v="1"/>
    <x v="2"/>
    <s v="EE_Rural"/>
    <x v="11"/>
    <x v="0"/>
    <s v="EBAVERE_ST_WOODWST_BP"/>
    <x v="0"/>
    <x v="5"/>
    <n v="10"/>
    <n v="3650"/>
    <n v="13140"/>
  </r>
  <r>
    <x v="0"/>
    <x v="0"/>
    <x v="0"/>
    <x v="1"/>
    <x v="2"/>
    <s v="EE_Rural"/>
    <x v="11"/>
    <x v="0"/>
    <s v="EBAVERE_ST_WOODWST_BP"/>
    <x v="0"/>
    <x v="6"/>
    <n v="10"/>
    <n v="3650"/>
    <n v="13140"/>
  </r>
  <r>
    <x v="0"/>
    <x v="0"/>
    <x v="0"/>
    <x v="1"/>
    <x v="2"/>
    <s v="EE_Rural"/>
    <x v="11"/>
    <x v="0"/>
    <s v="EBAVERE_ST_WOODWST_BP"/>
    <x v="0"/>
    <x v="7"/>
    <n v="10"/>
    <n v="3650"/>
    <n v="13140"/>
  </r>
  <r>
    <x v="0"/>
    <x v="0"/>
    <x v="0"/>
    <x v="1"/>
    <x v="2"/>
    <s v="EE_Rural"/>
    <x v="11"/>
    <x v="0"/>
    <s v="EBAVERE_ST_WOODWST_BP"/>
    <x v="0"/>
    <x v="8"/>
    <n v="10"/>
    <n v="3650"/>
    <n v="13140"/>
  </r>
  <r>
    <x v="0"/>
    <x v="0"/>
    <x v="0"/>
    <x v="1"/>
    <x v="2"/>
    <s v="EE_Rural"/>
    <x v="11"/>
    <x v="0"/>
    <s v="EBAVERE_ST_WOODWST_BP"/>
    <x v="0"/>
    <x v="9"/>
    <n v="10"/>
    <n v="3650"/>
    <n v="13140"/>
  </r>
  <r>
    <x v="0"/>
    <x v="0"/>
    <x v="0"/>
    <x v="1"/>
    <x v="2"/>
    <s v="EE_Rural"/>
    <x v="11"/>
    <x v="0"/>
    <s v="EBAVERE_ST_WOODWST_BP"/>
    <x v="0"/>
    <x v="10"/>
    <n v="10"/>
    <n v="3650"/>
    <n v="13140"/>
  </r>
  <r>
    <x v="0"/>
    <x v="0"/>
    <x v="0"/>
    <x v="1"/>
    <x v="2"/>
    <s v="EE_Rural"/>
    <x v="11"/>
    <x v="0"/>
    <s v="EBAVERE_ST_WOODWST_BP"/>
    <x v="0"/>
    <x v="11"/>
    <n v="10"/>
    <n v="3650"/>
    <n v="13140"/>
  </r>
  <r>
    <x v="0"/>
    <x v="0"/>
    <x v="0"/>
    <x v="1"/>
    <x v="2"/>
    <s v="EE_Rural"/>
    <x v="11"/>
    <x v="0"/>
    <s v="EBAVERE_ST_WOODWST_BP"/>
    <x v="0"/>
    <x v="12"/>
    <n v="10"/>
    <n v="3650"/>
    <n v="13140"/>
  </r>
  <r>
    <x v="0"/>
    <x v="0"/>
    <x v="0"/>
    <x v="1"/>
    <x v="2"/>
    <s v="EE_Rural"/>
    <x v="11"/>
    <x v="0"/>
    <s v="EBAVERE_ST_WOODWST_BP"/>
    <x v="0"/>
    <x v="13"/>
    <n v="10"/>
    <n v="3650"/>
    <n v="13140"/>
  </r>
  <r>
    <x v="0"/>
    <x v="0"/>
    <x v="0"/>
    <x v="1"/>
    <x v="2"/>
    <s v="EE_Rural"/>
    <x v="11"/>
    <x v="0"/>
    <s v="EBAVERE_ST_WOODWST_BP"/>
    <x v="0"/>
    <x v="14"/>
    <n v="10"/>
    <n v="3650"/>
    <n v="13140"/>
  </r>
  <r>
    <x v="0"/>
    <x v="0"/>
    <x v="0"/>
    <x v="1"/>
    <x v="2"/>
    <s v="EE_Rural"/>
    <x v="11"/>
    <x v="0"/>
    <s v="EBAVERE_ST_WOODWST_BP"/>
    <x v="0"/>
    <x v="15"/>
    <n v="10"/>
    <n v="3650"/>
    <n v="13140"/>
  </r>
  <r>
    <x v="0"/>
    <x v="0"/>
    <x v="0"/>
    <x v="1"/>
    <x v="2"/>
    <s v="EE_Rural"/>
    <x v="11"/>
    <x v="0"/>
    <s v="EBAVERE_ST_WOODWST_BP"/>
    <x v="0"/>
    <x v="16"/>
    <n v="10"/>
    <n v="3650"/>
    <n v="13140"/>
  </r>
  <r>
    <x v="0"/>
    <x v="0"/>
    <x v="0"/>
    <x v="1"/>
    <x v="2"/>
    <s v="EE_Rural"/>
    <x v="11"/>
    <x v="0"/>
    <s v="EBAVERE_ST_WOODWST_BP"/>
    <x v="0"/>
    <x v="17"/>
    <n v="10"/>
    <n v="3650"/>
    <n v="13140"/>
  </r>
  <r>
    <x v="0"/>
    <x v="0"/>
    <x v="0"/>
    <x v="1"/>
    <x v="2"/>
    <s v="EE_Rural"/>
    <x v="11"/>
    <x v="0"/>
    <s v="EBAVERE_ST_WOODWST_BP"/>
    <x v="0"/>
    <x v="18"/>
    <n v="10"/>
    <n v="3650"/>
    <n v="13140"/>
  </r>
  <r>
    <x v="0"/>
    <x v="0"/>
    <x v="0"/>
    <x v="1"/>
    <x v="2"/>
    <s v="EE_Rural"/>
    <x v="11"/>
    <x v="0"/>
    <s v="EBAVERE_ST_WOODWST_BP"/>
    <x v="0"/>
    <x v="19"/>
    <n v="10"/>
    <n v="3650"/>
    <n v="13140"/>
  </r>
  <r>
    <x v="0"/>
    <x v="0"/>
    <x v="0"/>
    <x v="1"/>
    <x v="2"/>
    <s v="EE_Rural"/>
    <x v="11"/>
    <x v="0"/>
    <s v="EBAVERE_ST_WOODWST_BP"/>
    <x v="0"/>
    <x v="20"/>
    <n v="10"/>
    <n v="3650"/>
    <n v="13140"/>
  </r>
  <r>
    <x v="0"/>
    <x v="0"/>
    <x v="0"/>
    <x v="1"/>
    <x v="2"/>
    <s v="EE_Rural"/>
    <x v="11"/>
    <x v="0"/>
    <s v="EBAVERE_ST_WOODWST_BP"/>
    <x v="0"/>
    <x v="21"/>
    <n v="10"/>
    <n v="3650"/>
    <n v="13140"/>
  </r>
  <r>
    <x v="0"/>
    <x v="0"/>
    <x v="0"/>
    <x v="1"/>
    <x v="2"/>
    <s v="EE_Rural"/>
    <x v="11"/>
    <x v="0"/>
    <s v="EBAVERE_ST_WOODWST_BP"/>
    <x v="0"/>
    <x v="22"/>
    <n v="10"/>
    <n v="3650"/>
    <n v="13140"/>
  </r>
  <r>
    <x v="0"/>
    <x v="0"/>
    <x v="0"/>
    <x v="1"/>
    <x v="2"/>
    <s v="EE_Rural"/>
    <x v="11"/>
    <x v="0"/>
    <s v="EBAVERE_ST_WOODWST_BP"/>
    <x v="0"/>
    <x v="23"/>
    <n v="10"/>
    <n v="3650"/>
    <n v="13140"/>
  </r>
  <r>
    <x v="0"/>
    <x v="0"/>
    <x v="0"/>
    <x v="1"/>
    <x v="2"/>
    <s v="EE_Sillamae"/>
    <x v="2"/>
    <x v="1"/>
    <s v="GNR_ENG_NGAS_EXT_E-44"/>
    <x v="0"/>
    <x v="0"/>
    <n v="10"/>
    <n v="3650"/>
    <n v="13140"/>
  </r>
  <r>
    <x v="0"/>
    <x v="0"/>
    <x v="0"/>
    <x v="1"/>
    <x v="2"/>
    <s v="EE_Sillamae"/>
    <x v="2"/>
    <x v="1"/>
    <s v="GNR_ENG_NGAS_EXT_E-44"/>
    <x v="0"/>
    <x v="1"/>
    <n v="10"/>
    <n v="3650"/>
    <n v="13140"/>
  </r>
  <r>
    <x v="0"/>
    <x v="0"/>
    <x v="0"/>
    <x v="1"/>
    <x v="2"/>
    <s v="EE_Sillamae"/>
    <x v="2"/>
    <x v="1"/>
    <s v="GNR_ENG_NGAS_EXT_E-44"/>
    <x v="0"/>
    <x v="2"/>
    <n v="10"/>
    <n v="3650"/>
    <n v="13140"/>
  </r>
  <r>
    <x v="0"/>
    <x v="0"/>
    <x v="0"/>
    <x v="1"/>
    <x v="2"/>
    <s v="EE_Sillamae"/>
    <x v="2"/>
    <x v="1"/>
    <s v="GNR_ENG_NGAS_EXT_E-44"/>
    <x v="0"/>
    <x v="3"/>
    <n v="10"/>
    <n v="3650"/>
    <n v="13140"/>
  </r>
  <r>
    <x v="0"/>
    <x v="0"/>
    <x v="0"/>
    <x v="1"/>
    <x v="2"/>
    <s v="EE_Sillamae"/>
    <x v="2"/>
    <x v="1"/>
    <s v="GNR_ENG_NGAS_EXT_E-44"/>
    <x v="0"/>
    <x v="4"/>
    <n v="10"/>
    <n v="3650"/>
    <n v="13140"/>
  </r>
  <r>
    <x v="0"/>
    <x v="0"/>
    <x v="0"/>
    <x v="1"/>
    <x v="2"/>
    <s v="EE_Sillamae"/>
    <x v="2"/>
    <x v="1"/>
    <s v="GNR_ENG_NGAS_EXT_E-44"/>
    <x v="0"/>
    <x v="5"/>
    <n v="10"/>
    <n v="3650"/>
    <n v="13140"/>
  </r>
  <r>
    <x v="0"/>
    <x v="0"/>
    <x v="0"/>
    <x v="1"/>
    <x v="2"/>
    <s v="EE_Sillamae"/>
    <x v="2"/>
    <x v="1"/>
    <s v="GNR_ENG_NGAS_EXT_E-44"/>
    <x v="0"/>
    <x v="6"/>
    <n v="10"/>
    <n v="3650"/>
    <n v="13140"/>
  </r>
  <r>
    <x v="0"/>
    <x v="0"/>
    <x v="0"/>
    <x v="1"/>
    <x v="2"/>
    <s v="EE_Sillamae"/>
    <x v="2"/>
    <x v="1"/>
    <s v="GNR_ENG_NGAS_EXT_E-44"/>
    <x v="0"/>
    <x v="7"/>
    <n v="10"/>
    <n v="3650"/>
    <n v="13140"/>
  </r>
  <r>
    <x v="0"/>
    <x v="0"/>
    <x v="0"/>
    <x v="1"/>
    <x v="2"/>
    <s v="EE_Sillamae"/>
    <x v="2"/>
    <x v="1"/>
    <s v="GNR_ENG_NGAS_EXT_E-44"/>
    <x v="0"/>
    <x v="8"/>
    <n v="10"/>
    <n v="3650"/>
    <n v="13140"/>
  </r>
  <r>
    <x v="0"/>
    <x v="0"/>
    <x v="0"/>
    <x v="1"/>
    <x v="2"/>
    <s v="EE_Sillamae"/>
    <x v="2"/>
    <x v="1"/>
    <s v="GNR_ENG_NGAS_EXT_E-44"/>
    <x v="0"/>
    <x v="9"/>
    <n v="10"/>
    <n v="3650"/>
    <n v="13140"/>
  </r>
  <r>
    <x v="0"/>
    <x v="0"/>
    <x v="0"/>
    <x v="1"/>
    <x v="2"/>
    <s v="EE_Sillamae"/>
    <x v="2"/>
    <x v="1"/>
    <s v="GNR_ENG_NGAS_EXT_E-44"/>
    <x v="0"/>
    <x v="10"/>
    <n v="10"/>
    <n v="3650"/>
    <n v="13140"/>
  </r>
  <r>
    <x v="0"/>
    <x v="0"/>
    <x v="0"/>
    <x v="1"/>
    <x v="2"/>
    <s v="EE_Sillamae"/>
    <x v="2"/>
    <x v="1"/>
    <s v="GNR_ENG_NGAS_EXT_E-44"/>
    <x v="0"/>
    <x v="11"/>
    <n v="10"/>
    <n v="3650"/>
    <n v="13140"/>
  </r>
  <r>
    <x v="0"/>
    <x v="0"/>
    <x v="0"/>
    <x v="1"/>
    <x v="2"/>
    <s v="EE_Sillamae"/>
    <x v="2"/>
    <x v="1"/>
    <s v="GNR_ENG_NGAS_EXT_E-44"/>
    <x v="0"/>
    <x v="12"/>
    <n v="10"/>
    <n v="3650"/>
    <n v="13140"/>
  </r>
  <r>
    <x v="0"/>
    <x v="0"/>
    <x v="0"/>
    <x v="1"/>
    <x v="2"/>
    <s v="EE_Sillamae"/>
    <x v="2"/>
    <x v="1"/>
    <s v="GNR_ENG_NGAS_EXT_E-44"/>
    <x v="0"/>
    <x v="13"/>
    <n v="10"/>
    <n v="3650"/>
    <n v="13140"/>
  </r>
  <r>
    <x v="0"/>
    <x v="0"/>
    <x v="0"/>
    <x v="1"/>
    <x v="2"/>
    <s v="EE_Sillamae"/>
    <x v="2"/>
    <x v="1"/>
    <s v="GNR_ENG_NGAS_EXT_E-44"/>
    <x v="0"/>
    <x v="14"/>
    <n v="10"/>
    <n v="3650"/>
    <n v="13140"/>
  </r>
  <r>
    <x v="0"/>
    <x v="0"/>
    <x v="0"/>
    <x v="1"/>
    <x v="2"/>
    <s v="EE_Sillamae"/>
    <x v="2"/>
    <x v="1"/>
    <s v="GNR_ENG_NGAS_EXT_E-44"/>
    <x v="0"/>
    <x v="15"/>
    <n v="10"/>
    <n v="3650"/>
    <n v="13140"/>
  </r>
  <r>
    <x v="0"/>
    <x v="0"/>
    <x v="0"/>
    <x v="1"/>
    <x v="2"/>
    <s v="EE_Sillamae"/>
    <x v="2"/>
    <x v="1"/>
    <s v="GNR_ENG_NGAS_EXT_E-44"/>
    <x v="0"/>
    <x v="16"/>
    <n v="10"/>
    <n v="3650"/>
    <n v="13140"/>
  </r>
  <r>
    <x v="0"/>
    <x v="0"/>
    <x v="0"/>
    <x v="1"/>
    <x v="2"/>
    <s v="EE_Sillamae"/>
    <x v="2"/>
    <x v="1"/>
    <s v="GNR_ENG_NGAS_EXT_E-44"/>
    <x v="0"/>
    <x v="17"/>
    <n v="10"/>
    <n v="3650"/>
    <n v="13140"/>
  </r>
  <r>
    <x v="0"/>
    <x v="0"/>
    <x v="0"/>
    <x v="1"/>
    <x v="2"/>
    <s v="EE_Sillamae"/>
    <x v="2"/>
    <x v="1"/>
    <s v="GNR_ENG_NGAS_EXT_E-44"/>
    <x v="0"/>
    <x v="18"/>
    <n v="10"/>
    <n v="3650"/>
    <n v="13140"/>
  </r>
  <r>
    <x v="0"/>
    <x v="0"/>
    <x v="0"/>
    <x v="1"/>
    <x v="2"/>
    <s v="EE_Sillamae"/>
    <x v="2"/>
    <x v="1"/>
    <s v="GNR_ENG_NGAS_EXT_E-44"/>
    <x v="0"/>
    <x v="19"/>
    <n v="10"/>
    <n v="3650"/>
    <n v="13140"/>
  </r>
  <r>
    <x v="0"/>
    <x v="0"/>
    <x v="0"/>
    <x v="1"/>
    <x v="2"/>
    <s v="EE_Sillamae"/>
    <x v="2"/>
    <x v="1"/>
    <s v="GNR_ENG_NGAS_EXT_E-44"/>
    <x v="0"/>
    <x v="20"/>
    <n v="10"/>
    <n v="3650"/>
    <n v="13140"/>
  </r>
  <r>
    <x v="0"/>
    <x v="0"/>
    <x v="0"/>
    <x v="1"/>
    <x v="2"/>
    <s v="EE_Sillamae"/>
    <x v="2"/>
    <x v="1"/>
    <s v="GNR_ENG_NGAS_EXT_E-44"/>
    <x v="0"/>
    <x v="21"/>
    <n v="10"/>
    <n v="3650"/>
    <n v="13140"/>
  </r>
  <r>
    <x v="0"/>
    <x v="0"/>
    <x v="0"/>
    <x v="1"/>
    <x v="2"/>
    <s v="EE_Sillamae"/>
    <x v="2"/>
    <x v="1"/>
    <s v="GNR_ENG_NGAS_EXT_E-44"/>
    <x v="0"/>
    <x v="22"/>
    <n v="10"/>
    <n v="3650"/>
    <n v="13140"/>
  </r>
  <r>
    <x v="0"/>
    <x v="0"/>
    <x v="0"/>
    <x v="1"/>
    <x v="2"/>
    <s v="EE_Sillamae"/>
    <x v="2"/>
    <x v="1"/>
    <s v="GNR_ENG_NGAS_EXT_E-44"/>
    <x v="0"/>
    <x v="23"/>
    <n v="10"/>
    <n v="3650"/>
    <n v="13140"/>
  </r>
  <r>
    <x v="0"/>
    <x v="0"/>
    <x v="0"/>
    <x v="1"/>
    <x v="2"/>
    <s v="EE_Sillamae"/>
    <x v="10"/>
    <x v="0"/>
    <s v="SILLAMAE_ST_WOOD_BP"/>
    <x v="0"/>
    <x v="0"/>
    <n v="5.8"/>
    <n v="2117"/>
    <n v="7621.2"/>
  </r>
  <r>
    <x v="0"/>
    <x v="0"/>
    <x v="0"/>
    <x v="1"/>
    <x v="2"/>
    <s v="EE_Sillamae"/>
    <x v="10"/>
    <x v="0"/>
    <s v="SILLAMAE_ST_WOOD_BP"/>
    <x v="0"/>
    <x v="1"/>
    <n v="5.8"/>
    <n v="2117"/>
    <n v="7621.2"/>
  </r>
  <r>
    <x v="0"/>
    <x v="0"/>
    <x v="0"/>
    <x v="1"/>
    <x v="2"/>
    <s v="EE_Sillamae"/>
    <x v="10"/>
    <x v="0"/>
    <s v="SILLAMAE_ST_WOOD_BP"/>
    <x v="0"/>
    <x v="2"/>
    <n v="5.8"/>
    <n v="2117"/>
    <n v="7621.2"/>
  </r>
  <r>
    <x v="0"/>
    <x v="0"/>
    <x v="0"/>
    <x v="1"/>
    <x v="2"/>
    <s v="EE_Sillamae"/>
    <x v="10"/>
    <x v="0"/>
    <s v="SILLAMAE_ST_WOOD_BP"/>
    <x v="0"/>
    <x v="3"/>
    <n v="5.8"/>
    <n v="2117"/>
    <n v="7621.2"/>
  </r>
  <r>
    <x v="0"/>
    <x v="0"/>
    <x v="0"/>
    <x v="1"/>
    <x v="2"/>
    <s v="EE_Sillamae"/>
    <x v="10"/>
    <x v="0"/>
    <s v="SILLAMAE_ST_WOOD_BP"/>
    <x v="0"/>
    <x v="4"/>
    <n v="5.8"/>
    <n v="2117"/>
    <n v="7621.2"/>
  </r>
  <r>
    <x v="0"/>
    <x v="0"/>
    <x v="0"/>
    <x v="1"/>
    <x v="2"/>
    <s v="EE_Sillamae"/>
    <x v="10"/>
    <x v="0"/>
    <s v="SILLAMAE_ST_WOOD_BP"/>
    <x v="0"/>
    <x v="5"/>
    <n v="5.8"/>
    <n v="2117"/>
    <n v="7621.2"/>
  </r>
  <r>
    <x v="0"/>
    <x v="0"/>
    <x v="0"/>
    <x v="1"/>
    <x v="2"/>
    <s v="EE_Sillamae"/>
    <x v="10"/>
    <x v="0"/>
    <s v="SILLAMAE_ST_WOOD_BP"/>
    <x v="0"/>
    <x v="6"/>
    <n v="5.8"/>
    <n v="2117"/>
    <n v="7621.2"/>
  </r>
  <r>
    <x v="0"/>
    <x v="0"/>
    <x v="0"/>
    <x v="1"/>
    <x v="2"/>
    <s v="EE_Sillamae"/>
    <x v="10"/>
    <x v="0"/>
    <s v="SILLAMAE_ST_WOOD_BP"/>
    <x v="0"/>
    <x v="7"/>
    <n v="5.8"/>
    <n v="2117"/>
    <n v="7621.2"/>
  </r>
  <r>
    <x v="0"/>
    <x v="0"/>
    <x v="0"/>
    <x v="1"/>
    <x v="2"/>
    <s v="EE_Sillamae"/>
    <x v="10"/>
    <x v="0"/>
    <s v="SILLAMAE_ST_WOOD_BP"/>
    <x v="0"/>
    <x v="8"/>
    <n v="5.8"/>
    <n v="2117"/>
    <n v="7621.2"/>
  </r>
  <r>
    <x v="0"/>
    <x v="0"/>
    <x v="0"/>
    <x v="1"/>
    <x v="2"/>
    <s v="EE_Sillamae"/>
    <x v="10"/>
    <x v="0"/>
    <s v="SILLAMAE_ST_WOOD_BP"/>
    <x v="0"/>
    <x v="9"/>
    <n v="5.8"/>
    <n v="2117"/>
    <n v="7621.2"/>
  </r>
  <r>
    <x v="0"/>
    <x v="0"/>
    <x v="0"/>
    <x v="1"/>
    <x v="2"/>
    <s v="EE_Sillamae"/>
    <x v="10"/>
    <x v="0"/>
    <s v="SILLAMAE_ST_WOOD_BP"/>
    <x v="0"/>
    <x v="10"/>
    <n v="5.8"/>
    <n v="2117"/>
    <n v="7621.2"/>
  </r>
  <r>
    <x v="0"/>
    <x v="0"/>
    <x v="0"/>
    <x v="1"/>
    <x v="2"/>
    <s v="EE_Sillamae"/>
    <x v="10"/>
    <x v="0"/>
    <s v="SILLAMAE_ST_WOOD_BP"/>
    <x v="0"/>
    <x v="11"/>
    <n v="5.8"/>
    <n v="2117"/>
    <n v="7621.2"/>
  </r>
  <r>
    <x v="0"/>
    <x v="0"/>
    <x v="0"/>
    <x v="1"/>
    <x v="2"/>
    <s v="EE_Sillamae"/>
    <x v="10"/>
    <x v="0"/>
    <s v="SILLAMAE_ST_WOOD_BP"/>
    <x v="0"/>
    <x v="12"/>
    <n v="5.8"/>
    <n v="2117"/>
    <n v="7621.2"/>
  </r>
  <r>
    <x v="0"/>
    <x v="0"/>
    <x v="0"/>
    <x v="1"/>
    <x v="2"/>
    <s v="EE_Sillamae"/>
    <x v="10"/>
    <x v="0"/>
    <s v="SILLAMAE_ST_WOOD_BP"/>
    <x v="0"/>
    <x v="13"/>
    <n v="5.8"/>
    <n v="2117"/>
    <n v="7621.2"/>
  </r>
  <r>
    <x v="0"/>
    <x v="0"/>
    <x v="0"/>
    <x v="1"/>
    <x v="2"/>
    <s v="EE_Sillamae"/>
    <x v="10"/>
    <x v="0"/>
    <s v="SILLAMAE_ST_WOOD_BP"/>
    <x v="0"/>
    <x v="14"/>
    <n v="5.8"/>
    <n v="2117"/>
    <n v="7621.2"/>
  </r>
  <r>
    <x v="0"/>
    <x v="0"/>
    <x v="0"/>
    <x v="1"/>
    <x v="2"/>
    <s v="EE_Sillamae"/>
    <x v="10"/>
    <x v="0"/>
    <s v="SILLAMAE_ST_WOOD_BP"/>
    <x v="0"/>
    <x v="15"/>
    <n v="5.8"/>
    <n v="2117"/>
    <n v="7621.2"/>
  </r>
  <r>
    <x v="0"/>
    <x v="0"/>
    <x v="0"/>
    <x v="1"/>
    <x v="2"/>
    <s v="EE_Sillamae"/>
    <x v="10"/>
    <x v="0"/>
    <s v="SILLAMAE_ST_WOOD_BP"/>
    <x v="0"/>
    <x v="16"/>
    <n v="5.8"/>
    <n v="2117"/>
    <n v="7621.2"/>
  </r>
  <r>
    <x v="0"/>
    <x v="0"/>
    <x v="0"/>
    <x v="1"/>
    <x v="2"/>
    <s v="EE_Sillamae"/>
    <x v="10"/>
    <x v="0"/>
    <s v="SILLAMAE_ST_WOOD_BP"/>
    <x v="0"/>
    <x v="17"/>
    <n v="5.8"/>
    <n v="2117"/>
    <n v="7621.2"/>
  </r>
  <r>
    <x v="0"/>
    <x v="0"/>
    <x v="0"/>
    <x v="1"/>
    <x v="2"/>
    <s v="EE_Sillamae"/>
    <x v="10"/>
    <x v="0"/>
    <s v="SILLAMAE_ST_WOOD_BP"/>
    <x v="0"/>
    <x v="18"/>
    <n v="5.8"/>
    <n v="2117"/>
    <n v="7621.2"/>
  </r>
  <r>
    <x v="0"/>
    <x v="0"/>
    <x v="0"/>
    <x v="1"/>
    <x v="2"/>
    <s v="EE_Sillamae"/>
    <x v="10"/>
    <x v="0"/>
    <s v="SILLAMAE_ST_WOOD_BP"/>
    <x v="0"/>
    <x v="19"/>
    <n v="5.8"/>
    <n v="2117"/>
    <n v="7621.2"/>
  </r>
  <r>
    <x v="0"/>
    <x v="0"/>
    <x v="0"/>
    <x v="1"/>
    <x v="2"/>
    <s v="EE_Sillamae"/>
    <x v="10"/>
    <x v="0"/>
    <s v="SILLAMAE_ST_WOOD_BP"/>
    <x v="0"/>
    <x v="20"/>
    <n v="5.8"/>
    <n v="2117"/>
    <n v="7621.2"/>
  </r>
  <r>
    <x v="0"/>
    <x v="0"/>
    <x v="0"/>
    <x v="1"/>
    <x v="2"/>
    <s v="EE_Sillamae"/>
    <x v="10"/>
    <x v="0"/>
    <s v="SILLAMAE_ST_WOOD_BP"/>
    <x v="0"/>
    <x v="21"/>
    <n v="5.8"/>
    <n v="2117"/>
    <n v="7621.2"/>
  </r>
  <r>
    <x v="0"/>
    <x v="0"/>
    <x v="0"/>
    <x v="1"/>
    <x v="2"/>
    <s v="EE_Sillamae"/>
    <x v="10"/>
    <x v="0"/>
    <s v="SILLAMAE_ST_WOOD_BP"/>
    <x v="0"/>
    <x v="22"/>
    <n v="5.8"/>
    <n v="2117"/>
    <n v="7621.2"/>
  </r>
  <r>
    <x v="0"/>
    <x v="0"/>
    <x v="0"/>
    <x v="1"/>
    <x v="2"/>
    <s v="EE_Sillamae"/>
    <x v="10"/>
    <x v="0"/>
    <s v="SILLAMAE_ST_WOOD_BP"/>
    <x v="0"/>
    <x v="23"/>
    <n v="5.8"/>
    <n v="2117"/>
    <n v="7621.2"/>
  </r>
  <r>
    <x v="0"/>
    <x v="0"/>
    <x v="0"/>
    <x v="1"/>
    <x v="2"/>
    <s v="EE_Tallinn"/>
    <x v="1"/>
    <x v="0"/>
    <s v="IRU_ST_MSW_BP"/>
    <x v="0"/>
    <x v="0"/>
    <n v="17"/>
    <n v="6205"/>
    <n v="22338"/>
  </r>
  <r>
    <x v="0"/>
    <x v="0"/>
    <x v="0"/>
    <x v="1"/>
    <x v="2"/>
    <s v="EE_Tallinn"/>
    <x v="1"/>
    <x v="0"/>
    <s v="IRU_ST_MSW_BP"/>
    <x v="0"/>
    <x v="1"/>
    <n v="17"/>
    <n v="6205"/>
    <n v="22338"/>
  </r>
  <r>
    <x v="0"/>
    <x v="0"/>
    <x v="0"/>
    <x v="1"/>
    <x v="2"/>
    <s v="EE_Tallinn"/>
    <x v="1"/>
    <x v="0"/>
    <s v="IRU_ST_MSW_BP"/>
    <x v="0"/>
    <x v="2"/>
    <n v="17"/>
    <n v="6205"/>
    <n v="22338"/>
  </r>
  <r>
    <x v="0"/>
    <x v="0"/>
    <x v="0"/>
    <x v="1"/>
    <x v="2"/>
    <s v="EE_Tallinn"/>
    <x v="1"/>
    <x v="0"/>
    <s v="IRU_ST_MSW_BP"/>
    <x v="0"/>
    <x v="3"/>
    <n v="17"/>
    <n v="6205"/>
    <n v="22338"/>
  </r>
  <r>
    <x v="0"/>
    <x v="0"/>
    <x v="0"/>
    <x v="1"/>
    <x v="2"/>
    <s v="EE_Tallinn"/>
    <x v="1"/>
    <x v="0"/>
    <s v="IRU_ST_MSW_BP"/>
    <x v="0"/>
    <x v="4"/>
    <n v="17"/>
    <n v="6205"/>
    <n v="22338"/>
  </r>
  <r>
    <x v="0"/>
    <x v="0"/>
    <x v="0"/>
    <x v="1"/>
    <x v="2"/>
    <s v="EE_Tallinn"/>
    <x v="1"/>
    <x v="0"/>
    <s v="IRU_ST_MSW_BP"/>
    <x v="0"/>
    <x v="5"/>
    <n v="17"/>
    <n v="6205"/>
    <n v="22338"/>
  </r>
  <r>
    <x v="0"/>
    <x v="0"/>
    <x v="0"/>
    <x v="1"/>
    <x v="2"/>
    <s v="EE_Tallinn"/>
    <x v="1"/>
    <x v="0"/>
    <s v="IRU_ST_MSW_BP"/>
    <x v="0"/>
    <x v="6"/>
    <n v="17"/>
    <n v="6205"/>
    <n v="22338"/>
  </r>
  <r>
    <x v="0"/>
    <x v="0"/>
    <x v="0"/>
    <x v="1"/>
    <x v="2"/>
    <s v="EE_Tallinn"/>
    <x v="1"/>
    <x v="0"/>
    <s v="IRU_ST_MSW_BP"/>
    <x v="0"/>
    <x v="7"/>
    <n v="17"/>
    <n v="6205"/>
    <n v="22338"/>
  </r>
  <r>
    <x v="0"/>
    <x v="0"/>
    <x v="0"/>
    <x v="1"/>
    <x v="2"/>
    <s v="EE_Tallinn"/>
    <x v="1"/>
    <x v="0"/>
    <s v="IRU_ST_MSW_BP"/>
    <x v="0"/>
    <x v="8"/>
    <n v="17"/>
    <n v="6205"/>
    <n v="22338"/>
  </r>
  <r>
    <x v="0"/>
    <x v="0"/>
    <x v="0"/>
    <x v="1"/>
    <x v="2"/>
    <s v="EE_Tallinn"/>
    <x v="1"/>
    <x v="0"/>
    <s v="IRU_ST_MSW_BP"/>
    <x v="0"/>
    <x v="9"/>
    <n v="17"/>
    <n v="6205"/>
    <n v="22338"/>
  </r>
  <r>
    <x v="0"/>
    <x v="0"/>
    <x v="0"/>
    <x v="1"/>
    <x v="2"/>
    <s v="EE_Tallinn"/>
    <x v="1"/>
    <x v="0"/>
    <s v="IRU_ST_MSW_BP"/>
    <x v="0"/>
    <x v="10"/>
    <n v="17"/>
    <n v="6205"/>
    <n v="22338"/>
  </r>
  <r>
    <x v="0"/>
    <x v="0"/>
    <x v="0"/>
    <x v="1"/>
    <x v="2"/>
    <s v="EE_Tallinn"/>
    <x v="1"/>
    <x v="0"/>
    <s v="IRU_ST_MSW_BP"/>
    <x v="0"/>
    <x v="11"/>
    <n v="17"/>
    <n v="6205"/>
    <n v="22338"/>
  </r>
  <r>
    <x v="0"/>
    <x v="0"/>
    <x v="0"/>
    <x v="1"/>
    <x v="2"/>
    <s v="EE_Tallinn"/>
    <x v="1"/>
    <x v="0"/>
    <s v="IRU_ST_MSW_BP"/>
    <x v="0"/>
    <x v="12"/>
    <n v="17"/>
    <n v="6205"/>
    <n v="22338"/>
  </r>
  <r>
    <x v="0"/>
    <x v="0"/>
    <x v="0"/>
    <x v="1"/>
    <x v="2"/>
    <s v="EE_Tallinn"/>
    <x v="1"/>
    <x v="0"/>
    <s v="IRU_ST_MSW_BP"/>
    <x v="0"/>
    <x v="13"/>
    <n v="17"/>
    <n v="6205"/>
    <n v="22338"/>
  </r>
  <r>
    <x v="0"/>
    <x v="0"/>
    <x v="0"/>
    <x v="1"/>
    <x v="2"/>
    <s v="EE_Tallinn"/>
    <x v="1"/>
    <x v="0"/>
    <s v="IRU_ST_MSW_BP"/>
    <x v="0"/>
    <x v="14"/>
    <n v="17"/>
    <n v="6205"/>
    <n v="22338"/>
  </r>
  <r>
    <x v="0"/>
    <x v="0"/>
    <x v="0"/>
    <x v="1"/>
    <x v="2"/>
    <s v="EE_Tallinn"/>
    <x v="1"/>
    <x v="0"/>
    <s v="IRU_ST_MSW_BP"/>
    <x v="0"/>
    <x v="15"/>
    <n v="17"/>
    <n v="6205"/>
    <n v="22338"/>
  </r>
  <r>
    <x v="0"/>
    <x v="0"/>
    <x v="0"/>
    <x v="1"/>
    <x v="2"/>
    <s v="EE_Tallinn"/>
    <x v="1"/>
    <x v="0"/>
    <s v="IRU_ST_MSW_BP"/>
    <x v="0"/>
    <x v="16"/>
    <n v="17"/>
    <n v="6205"/>
    <n v="22338"/>
  </r>
  <r>
    <x v="0"/>
    <x v="0"/>
    <x v="0"/>
    <x v="1"/>
    <x v="2"/>
    <s v="EE_Tallinn"/>
    <x v="1"/>
    <x v="0"/>
    <s v="IRU_ST_MSW_BP"/>
    <x v="0"/>
    <x v="17"/>
    <n v="17"/>
    <n v="6205"/>
    <n v="22338"/>
  </r>
  <r>
    <x v="0"/>
    <x v="0"/>
    <x v="0"/>
    <x v="1"/>
    <x v="2"/>
    <s v="EE_Tallinn"/>
    <x v="1"/>
    <x v="0"/>
    <s v="IRU_ST_MSW_BP"/>
    <x v="0"/>
    <x v="18"/>
    <n v="17"/>
    <n v="6205"/>
    <n v="22338"/>
  </r>
  <r>
    <x v="0"/>
    <x v="0"/>
    <x v="0"/>
    <x v="1"/>
    <x v="2"/>
    <s v="EE_Tallinn"/>
    <x v="1"/>
    <x v="0"/>
    <s v="IRU_ST_MSW_BP"/>
    <x v="0"/>
    <x v="19"/>
    <n v="17"/>
    <n v="6205"/>
    <n v="22338"/>
  </r>
  <r>
    <x v="0"/>
    <x v="0"/>
    <x v="0"/>
    <x v="1"/>
    <x v="2"/>
    <s v="EE_Tallinn"/>
    <x v="1"/>
    <x v="0"/>
    <s v="IRU_ST_MSW_BP"/>
    <x v="0"/>
    <x v="20"/>
    <n v="17"/>
    <n v="6205"/>
    <n v="22338"/>
  </r>
  <r>
    <x v="0"/>
    <x v="0"/>
    <x v="0"/>
    <x v="1"/>
    <x v="2"/>
    <s v="EE_Tallinn"/>
    <x v="1"/>
    <x v="0"/>
    <s v="IRU_ST_MSW_BP"/>
    <x v="0"/>
    <x v="21"/>
    <n v="17"/>
    <n v="6205"/>
    <n v="22338"/>
  </r>
  <r>
    <x v="0"/>
    <x v="0"/>
    <x v="0"/>
    <x v="1"/>
    <x v="2"/>
    <s v="EE_Tallinn"/>
    <x v="1"/>
    <x v="0"/>
    <s v="IRU_ST_MSW_BP"/>
    <x v="0"/>
    <x v="22"/>
    <n v="17"/>
    <n v="6205"/>
    <n v="22338"/>
  </r>
  <r>
    <x v="0"/>
    <x v="0"/>
    <x v="0"/>
    <x v="1"/>
    <x v="2"/>
    <s v="EE_Tallinn"/>
    <x v="1"/>
    <x v="0"/>
    <s v="IRU_ST_MSW_BP"/>
    <x v="0"/>
    <x v="23"/>
    <n v="17"/>
    <n v="6205"/>
    <n v="22338"/>
  </r>
  <r>
    <x v="0"/>
    <x v="0"/>
    <x v="0"/>
    <x v="1"/>
    <x v="2"/>
    <s v="EE_Tallinn"/>
    <x v="2"/>
    <x v="1"/>
    <s v="GNR_ENG_NGAS_EXT_E-44"/>
    <x v="0"/>
    <x v="0"/>
    <n v="1.5"/>
    <n v="547.5"/>
    <n v="1971"/>
  </r>
  <r>
    <x v="0"/>
    <x v="0"/>
    <x v="0"/>
    <x v="1"/>
    <x v="2"/>
    <s v="EE_Tallinn"/>
    <x v="2"/>
    <x v="1"/>
    <s v="GNR_ENG_NGAS_EXT_E-44"/>
    <x v="0"/>
    <x v="1"/>
    <n v="1.5"/>
    <n v="547.5"/>
    <n v="1971"/>
  </r>
  <r>
    <x v="0"/>
    <x v="0"/>
    <x v="0"/>
    <x v="1"/>
    <x v="2"/>
    <s v="EE_Tallinn"/>
    <x v="2"/>
    <x v="1"/>
    <s v="GNR_ENG_NGAS_EXT_E-44"/>
    <x v="0"/>
    <x v="2"/>
    <n v="1.5"/>
    <n v="547.5"/>
    <n v="1971"/>
  </r>
  <r>
    <x v="0"/>
    <x v="0"/>
    <x v="0"/>
    <x v="1"/>
    <x v="2"/>
    <s v="EE_Tallinn"/>
    <x v="2"/>
    <x v="1"/>
    <s v="GNR_ENG_NGAS_EXT_E-44"/>
    <x v="0"/>
    <x v="3"/>
    <n v="1.5"/>
    <n v="547.5"/>
    <n v="1971"/>
  </r>
  <r>
    <x v="0"/>
    <x v="0"/>
    <x v="0"/>
    <x v="1"/>
    <x v="2"/>
    <s v="EE_Tallinn"/>
    <x v="2"/>
    <x v="1"/>
    <s v="GNR_ENG_NGAS_EXT_E-44"/>
    <x v="0"/>
    <x v="4"/>
    <n v="1.5"/>
    <n v="547.5"/>
    <n v="1971"/>
  </r>
  <r>
    <x v="0"/>
    <x v="0"/>
    <x v="0"/>
    <x v="1"/>
    <x v="2"/>
    <s v="EE_Tallinn"/>
    <x v="2"/>
    <x v="1"/>
    <s v="GNR_ENG_NGAS_EXT_E-44"/>
    <x v="0"/>
    <x v="5"/>
    <n v="1.5"/>
    <n v="547.5"/>
    <n v="1971"/>
  </r>
  <r>
    <x v="0"/>
    <x v="0"/>
    <x v="0"/>
    <x v="1"/>
    <x v="2"/>
    <s v="EE_Tallinn"/>
    <x v="2"/>
    <x v="1"/>
    <s v="GNR_ENG_NGAS_EXT_E-44"/>
    <x v="0"/>
    <x v="6"/>
    <n v="1.5"/>
    <n v="547.5"/>
    <n v="1971"/>
  </r>
  <r>
    <x v="0"/>
    <x v="0"/>
    <x v="0"/>
    <x v="1"/>
    <x v="2"/>
    <s v="EE_Tallinn"/>
    <x v="2"/>
    <x v="1"/>
    <s v="GNR_ENG_NGAS_EXT_E-44"/>
    <x v="0"/>
    <x v="7"/>
    <n v="1.5"/>
    <n v="547.5"/>
    <n v="1971"/>
  </r>
  <r>
    <x v="0"/>
    <x v="0"/>
    <x v="0"/>
    <x v="1"/>
    <x v="2"/>
    <s v="EE_Tallinn"/>
    <x v="2"/>
    <x v="1"/>
    <s v="GNR_ENG_NGAS_EXT_E-44"/>
    <x v="0"/>
    <x v="8"/>
    <n v="1.5"/>
    <n v="547.5"/>
    <n v="1971"/>
  </r>
  <r>
    <x v="0"/>
    <x v="0"/>
    <x v="0"/>
    <x v="1"/>
    <x v="2"/>
    <s v="EE_Tallinn"/>
    <x v="2"/>
    <x v="1"/>
    <s v="GNR_ENG_NGAS_EXT_E-44"/>
    <x v="0"/>
    <x v="9"/>
    <n v="1.5"/>
    <n v="547.5"/>
    <n v="1971"/>
  </r>
  <r>
    <x v="0"/>
    <x v="0"/>
    <x v="0"/>
    <x v="1"/>
    <x v="2"/>
    <s v="EE_Tallinn"/>
    <x v="2"/>
    <x v="1"/>
    <s v="GNR_ENG_NGAS_EXT_E-44"/>
    <x v="0"/>
    <x v="10"/>
    <n v="1.5"/>
    <n v="547.5"/>
    <n v="1971"/>
  </r>
  <r>
    <x v="0"/>
    <x v="0"/>
    <x v="0"/>
    <x v="1"/>
    <x v="2"/>
    <s v="EE_Tallinn"/>
    <x v="2"/>
    <x v="1"/>
    <s v="GNR_ENG_NGAS_EXT_E-44"/>
    <x v="0"/>
    <x v="11"/>
    <n v="1.5"/>
    <n v="547.5"/>
    <n v="1971"/>
  </r>
  <r>
    <x v="0"/>
    <x v="0"/>
    <x v="0"/>
    <x v="1"/>
    <x v="2"/>
    <s v="EE_Tallinn"/>
    <x v="2"/>
    <x v="1"/>
    <s v="GNR_ENG_NGAS_EXT_E-44"/>
    <x v="0"/>
    <x v="12"/>
    <n v="1.5"/>
    <n v="547.5"/>
    <n v="1971"/>
  </r>
  <r>
    <x v="0"/>
    <x v="0"/>
    <x v="0"/>
    <x v="1"/>
    <x v="2"/>
    <s v="EE_Tallinn"/>
    <x v="2"/>
    <x v="1"/>
    <s v="GNR_ENG_NGAS_EXT_E-44"/>
    <x v="0"/>
    <x v="13"/>
    <n v="1.5"/>
    <n v="547.5"/>
    <n v="1971"/>
  </r>
  <r>
    <x v="0"/>
    <x v="0"/>
    <x v="0"/>
    <x v="1"/>
    <x v="2"/>
    <s v="EE_Tallinn"/>
    <x v="2"/>
    <x v="1"/>
    <s v="GNR_ENG_NGAS_EXT_E-44"/>
    <x v="0"/>
    <x v="14"/>
    <n v="1.5"/>
    <n v="547.5"/>
    <n v="1971"/>
  </r>
  <r>
    <x v="0"/>
    <x v="0"/>
    <x v="0"/>
    <x v="1"/>
    <x v="2"/>
    <s v="EE_Tallinn"/>
    <x v="2"/>
    <x v="1"/>
    <s v="GNR_ENG_NGAS_EXT_E-44"/>
    <x v="0"/>
    <x v="15"/>
    <n v="1.5"/>
    <n v="547.5"/>
    <n v="1971"/>
  </r>
  <r>
    <x v="0"/>
    <x v="0"/>
    <x v="0"/>
    <x v="1"/>
    <x v="2"/>
    <s v="EE_Tallinn"/>
    <x v="2"/>
    <x v="1"/>
    <s v="GNR_ENG_NGAS_EXT_E-44"/>
    <x v="0"/>
    <x v="16"/>
    <n v="1.5"/>
    <n v="547.5"/>
    <n v="1971"/>
  </r>
  <r>
    <x v="0"/>
    <x v="0"/>
    <x v="0"/>
    <x v="1"/>
    <x v="2"/>
    <s v="EE_Tallinn"/>
    <x v="2"/>
    <x v="1"/>
    <s v="GNR_ENG_NGAS_EXT_E-44"/>
    <x v="0"/>
    <x v="17"/>
    <n v="1.5"/>
    <n v="547.5"/>
    <n v="1971"/>
  </r>
  <r>
    <x v="0"/>
    <x v="0"/>
    <x v="0"/>
    <x v="1"/>
    <x v="2"/>
    <s v="EE_Tallinn"/>
    <x v="2"/>
    <x v="1"/>
    <s v="GNR_ENG_NGAS_EXT_E-44"/>
    <x v="0"/>
    <x v="18"/>
    <n v="1.5"/>
    <n v="547.5"/>
    <n v="1971"/>
  </r>
  <r>
    <x v="0"/>
    <x v="0"/>
    <x v="0"/>
    <x v="1"/>
    <x v="2"/>
    <s v="EE_Tallinn"/>
    <x v="2"/>
    <x v="1"/>
    <s v="GNR_ENG_NGAS_EXT_E-44"/>
    <x v="0"/>
    <x v="19"/>
    <n v="1.5"/>
    <n v="547.5"/>
    <n v="1971"/>
  </r>
  <r>
    <x v="0"/>
    <x v="0"/>
    <x v="0"/>
    <x v="1"/>
    <x v="2"/>
    <s v="EE_Tallinn"/>
    <x v="2"/>
    <x v="1"/>
    <s v="GNR_ENG_NGAS_EXT_E-44"/>
    <x v="0"/>
    <x v="20"/>
    <n v="1.5"/>
    <n v="547.5"/>
    <n v="1971"/>
  </r>
  <r>
    <x v="0"/>
    <x v="0"/>
    <x v="0"/>
    <x v="1"/>
    <x v="2"/>
    <s v="EE_Tallinn"/>
    <x v="2"/>
    <x v="1"/>
    <s v="GNR_ENG_NGAS_EXT_E-44"/>
    <x v="0"/>
    <x v="21"/>
    <n v="1.5"/>
    <n v="547.5"/>
    <n v="1971"/>
  </r>
  <r>
    <x v="0"/>
    <x v="0"/>
    <x v="0"/>
    <x v="1"/>
    <x v="2"/>
    <s v="EE_Tallinn"/>
    <x v="2"/>
    <x v="1"/>
    <s v="GNR_ENG_NGAS_EXT_E-44"/>
    <x v="0"/>
    <x v="22"/>
    <n v="1.5"/>
    <n v="547.5"/>
    <n v="1971"/>
  </r>
  <r>
    <x v="0"/>
    <x v="0"/>
    <x v="0"/>
    <x v="1"/>
    <x v="2"/>
    <s v="EE_Tallinn"/>
    <x v="2"/>
    <x v="1"/>
    <s v="GNR_ENG_NGAS_EXT_E-44"/>
    <x v="0"/>
    <x v="23"/>
    <n v="1.5"/>
    <n v="547.5"/>
    <n v="1971"/>
  </r>
  <r>
    <x v="0"/>
    <x v="0"/>
    <x v="0"/>
    <x v="1"/>
    <x v="2"/>
    <s v="EE_Tallinn"/>
    <x v="2"/>
    <x v="0"/>
    <s v="IRU_ST_NGAS_BP"/>
    <x v="0"/>
    <x v="0"/>
    <n v="88.469280626037602"/>
    <n v="32291.2874285037"/>
    <n v="116248.63474261299"/>
  </r>
  <r>
    <x v="0"/>
    <x v="0"/>
    <x v="0"/>
    <x v="1"/>
    <x v="2"/>
    <s v="EE_Tallinn"/>
    <x v="2"/>
    <x v="0"/>
    <s v="IRU_ST_NGAS_BP"/>
    <x v="0"/>
    <x v="1"/>
    <n v="89.9250647740798"/>
    <n v="32822.648642539098"/>
    <n v="118161.535113141"/>
  </r>
  <r>
    <x v="0"/>
    <x v="0"/>
    <x v="0"/>
    <x v="1"/>
    <x v="2"/>
    <s v="EE_Tallinn"/>
    <x v="2"/>
    <x v="0"/>
    <s v="IRU_ST_NGAS_BP"/>
    <x v="0"/>
    <x v="2"/>
    <n v="90.379997320342994"/>
    <n v="32988.699021925197"/>
    <n v="118759.316478931"/>
  </r>
  <r>
    <x v="0"/>
    <x v="0"/>
    <x v="0"/>
    <x v="1"/>
    <x v="2"/>
    <s v="EE_Tallinn"/>
    <x v="2"/>
    <x v="0"/>
    <s v="IRU_ST_NGAS_BP"/>
    <x v="0"/>
    <x v="3"/>
    <n v="89.015199681553597"/>
    <n v="32490.547883767002"/>
    <n v="116965.97238156101"/>
  </r>
  <r>
    <x v="0"/>
    <x v="0"/>
    <x v="0"/>
    <x v="1"/>
    <x v="2"/>
    <s v="EE_Tallinn"/>
    <x v="2"/>
    <x v="0"/>
    <s v="IRU_ST_NGAS_BP"/>
    <x v="0"/>
    <x v="4"/>
    <n v="86.0126448762162"/>
    <n v="31394.615379818901"/>
    <n v="113020.615367348"/>
  </r>
  <r>
    <x v="0"/>
    <x v="0"/>
    <x v="0"/>
    <x v="1"/>
    <x v="2"/>
    <s v="EE_Tallinn"/>
    <x v="2"/>
    <x v="0"/>
    <s v="IRU_ST_NGAS_BP"/>
    <x v="0"/>
    <x v="5"/>
    <n v="81.645292432089406"/>
    <n v="29800.531737712601"/>
    <n v="107281.91425576599"/>
  </r>
  <r>
    <x v="0"/>
    <x v="0"/>
    <x v="0"/>
    <x v="1"/>
    <x v="2"/>
    <s v="EE_Tallinn"/>
    <x v="2"/>
    <x v="0"/>
    <s v="IRU_ST_NGAS_BP"/>
    <x v="0"/>
    <x v="6"/>
    <n v="76.0951153676789"/>
    <n v="27774.7171092028"/>
    <n v="99988.981593130098"/>
  </r>
  <r>
    <x v="0"/>
    <x v="0"/>
    <x v="0"/>
    <x v="1"/>
    <x v="2"/>
    <s v="EE_Tallinn"/>
    <x v="2"/>
    <x v="0"/>
    <s v="IRU_ST_NGAS_BP"/>
    <x v="0"/>
    <x v="7"/>
    <n v="69.271127173730804"/>
    <n v="25283.961418411702"/>
    <n v="91022.261106282298"/>
  </r>
  <r>
    <x v="0"/>
    <x v="0"/>
    <x v="0"/>
    <x v="1"/>
    <x v="2"/>
    <s v="EE_Tallinn"/>
    <x v="2"/>
    <x v="0"/>
    <s v="IRU_ST_NGAS_BP"/>
    <x v="0"/>
    <x v="8"/>
    <n v="63.3570040723095"/>
    <n v="23125.306486393001"/>
    <n v="83251.103351014593"/>
  </r>
  <r>
    <x v="0"/>
    <x v="0"/>
    <x v="0"/>
    <x v="1"/>
    <x v="2"/>
    <s v="EE_Tallinn"/>
    <x v="2"/>
    <x v="0"/>
    <s v="IRU_ST_NGAS_BP"/>
    <x v="0"/>
    <x v="9"/>
    <n v="57.988800026403503"/>
    <n v="21165.912009637301"/>
    <n v="76197.283234694303"/>
  </r>
  <r>
    <x v="0"/>
    <x v="0"/>
    <x v="0"/>
    <x v="1"/>
    <x v="2"/>
    <s v="EE_Tallinn"/>
    <x v="2"/>
    <x v="0"/>
    <s v="IRU_ST_NGAS_BP"/>
    <x v="0"/>
    <x v="10"/>
    <n v="53.1665150360136"/>
    <n v="19405.777988145001"/>
    <n v="69860.800757321893"/>
  </r>
  <r>
    <x v="0"/>
    <x v="0"/>
    <x v="0"/>
    <x v="1"/>
    <x v="2"/>
    <s v="EE_Tallinn"/>
    <x v="2"/>
    <x v="0"/>
    <s v="IRU_ST_NGAS_BP"/>
    <x v="0"/>
    <x v="11"/>
    <n v="49.163108628897703"/>
    <n v="17944.534649547699"/>
    <n v="64600.324738371601"/>
  </r>
  <r>
    <x v="0"/>
    <x v="0"/>
    <x v="0"/>
    <x v="1"/>
    <x v="2"/>
    <s v="EE_Tallinn"/>
    <x v="2"/>
    <x v="0"/>
    <s v="IRU_ST_NGAS_BP"/>
    <x v="0"/>
    <x v="12"/>
    <n v="45.705621277297801"/>
    <n v="16682.551766213699"/>
    <n v="60057.186358369298"/>
  </r>
  <r>
    <x v="0"/>
    <x v="0"/>
    <x v="0"/>
    <x v="1"/>
    <x v="2"/>
    <s v="EE_Tallinn"/>
    <x v="2"/>
    <x v="0"/>
    <s v="IRU_ST_NGAS_BP"/>
    <x v="0"/>
    <x v="13"/>
    <n v="42.885039490465502"/>
    <n v="15653.039414019901"/>
    <n v="56350.941890471702"/>
  </r>
  <r>
    <x v="0"/>
    <x v="0"/>
    <x v="0"/>
    <x v="1"/>
    <x v="2"/>
    <s v="EE_Tallinn"/>
    <x v="2"/>
    <x v="0"/>
    <s v="IRU_ST_NGAS_BP"/>
    <x v="0"/>
    <x v="14"/>
    <n v="41.156295814665903"/>
    <n v="15022.047972353001"/>
    <n v="54079.3727004709"/>
  </r>
  <r>
    <x v="0"/>
    <x v="0"/>
    <x v="0"/>
    <x v="1"/>
    <x v="2"/>
    <s v="EE_Tallinn"/>
    <x v="2"/>
    <x v="0"/>
    <s v="IRU_ST_NGAS_BP"/>
    <x v="0"/>
    <x v="15"/>
    <n v="39.882484685128702"/>
    <n v="14557.106910072"/>
    <n v="52405.584876259098"/>
  </r>
  <r>
    <x v="0"/>
    <x v="0"/>
    <x v="0"/>
    <x v="1"/>
    <x v="2"/>
    <s v="EE_Tallinn"/>
    <x v="2"/>
    <x v="0"/>
    <s v="IRU_ST_NGAS_BP"/>
    <x v="0"/>
    <x v="16"/>
    <n v="38.790646574096698"/>
    <n v="14158.585999545299"/>
    <n v="50970.909598363098"/>
  </r>
  <r>
    <x v="0"/>
    <x v="0"/>
    <x v="0"/>
    <x v="1"/>
    <x v="2"/>
    <s v="EE_Tallinn"/>
    <x v="2"/>
    <x v="0"/>
    <s v="IRU_ST_NGAS_BP"/>
    <x v="0"/>
    <x v="17"/>
    <n v="37.789794972318198"/>
    <n v="13793.2751648961"/>
    <n v="49655.790593626101"/>
  </r>
  <r>
    <x v="0"/>
    <x v="0"/>
    <x v="0"/>
    <x v="1"/>
    <x v="2"/>
    <s v="EE_Tallinn"/>
    <x v="2"/>
    <x v="0"/>
    <s v="IRU_ST_NGAS_BP"/>
    <x v="0"/>
    <x v="18"/>
    <n v="36.697956861286201"/>
    <n v="13394.7542543695"/>
    <n v="48221.115315730101"/>
  </r>
  <r>
    <x v="0"/>
    <x v="0"/>
    <x v="0"/>
    <x v="1"/>
    <x v="2"/>
    <s v="EE_Tallinn"/>
    <x v="2"/>
    <x v="0"/>
    <s v="IRU_ST_NGAS_BP"/>
    <x v="0"/>
    <x v="19"/>
    <n v="35.424145731749597"/>
    <n v="12929.813192088601"/>
    <n v="46547.327491518998"/>
  </r>
  <r>
    <x v="0"/>
    <x v="0"/>
    <x v="0"/>
    <x v="1"/>
    <x v="2"/>
    <s v="EE_Tallinn"/>
    <x v="2"/>
    <x v="0"/>
    <s v="IRU_ST_NGAS_BP"/>
    <x v="0"/>
    <x v="20"/>
    <n v="34.3323076207177"/>
    <n v="12531.292281562"/>
    <n v="45112.652213622998"/>
  </r>
  <r>
    <x v="0"/>
    <x v="0"/>
    <x v="0"/>
    <x v="1"/>
    <x v="2"/>
    <s v="EE_Tallinn"/>
    <x v="2"/>
    <x v="0"/>
    <s v="IRU_ST_NGAS_BP"/>
    <x v="0"/>
    <x v="21"/>
    <n v="33.2404695096862"/>
    <n v="12132.7713710355"/>
    <n v="43677.976935727696"/>
  </r>
  <r>
    <x v="0"/>
    <x v="0"/>
    <x v="0"/>
    <x v="1"/>
    <x v="2"/>
    <s v="EE_Tallinn"/>
    <x v="2"/>
    <x v="0"/>
    <s v="IRU_ST_NGAS_BP"/>
    <x v="0"/>
    <x v="22"/>
    <n v="32.4215909264123"/>
    <n v="11833.8806881405"/>
    <n v="42601.970477305702"/>
  </r>
  <r>
    <x v="0"/>
    <x v="0"/>
    <x v="0"/>
    <x v="1"/>
    <x v="2"/>
    <s v="EE_Tallinn"/>
    <x v="2"/>
    <x v="0"/>
    <s v="IRU_ST_NGAS_BP"/>
    <x v="0"/>
    <x v="23"/>
    <n v="32.148631398654302"/>
    <n v="11734.2504605088"/>
    <n v="42243.301657831697"/>
  </r>
  <r>
    <x v="0"/>
    <x v="0"/>
    <x v="0"/>
    <x v="1"/>
    <x v="2"/>
    <s v="EE_Tallinn"/>
    <x v="10"/>
    <x v="0"/>
    <s v="MUSTAMAE_ST_WOOD_BP"/>
    <x v="0"/>
    <x v="0"/>
    <n v="10"/>
    <n v="3650"/>
    <n v="13140"/>
  </r>
  <r>
    <x v="0"/>
    <x v="0"/>
    <x v="0"/>
    <x v="1"/>
    <x v="2"/>
    <s v="EE_Tallinn"/>
    <x v="10"/>
    <x v="0"/>
    <s v="MUSTAMAE_ST_WOOD_BP"/>
    <x v="0"/>
    <x v="1"/>
    <n v="10"/>
    <n v="3650"/>
    <n v="13140"/>
  </r>
  <r>
    <x v="0"/>
    <x v="0"/>
    <x v="0"/>
    <x v="1"/>
    <x v="2"/>
    <s v="EE_Tallinn"/>
    <x v="10"/>
    <x v="0"/>
    <s v="MUSTAMAE_ST_WOOD_BP"/>
    <x v="0"/>
    <x v="2"/>
    <n v="10"/>
    <n v="3650"/>
    <n v="13140"/>
  </r>
  <r>
    <x v="0"/>
    <x v="0"/>
    <x v="0"/>
    <x v="1"/>
    <x v="2"/>
    <s v="EE_Tallinn"/>
    <x v="10"/>
    <x v="0"/>
    <s v="MUSTAMAE_ST_WOOD_BP"/>
    <x v="0"/>
    <x v="3"/>
    <n v="10"/>
    <n v="3650"/>
    <n v="13140"/>
  </r>
  <r>
    <x v="0"/>
    <x v="0"/>
    <x v="0"/>
    <x v="1"/>
    <x v="2"/>
    <s v="EE_Tallinn"/>
    <x v="10"/>
    <x v="0"/>
    <s v="MUSTAMAE_ST_WOOD_BP"/>
    <x v="0"/>
    <x v="4"/>
    <n v="10"/>
    <n v="3650"/>
    <n v="13140"/>
  </r>
  <r>
    <x v="0"/>
    <x v="0"/>
    <x v="0"/>
    <x v="1"/>
    <x v="2"/>
    <s v="EE_Tallinn"/>
    <x v="10"/>
    <x v="0"/>
    <s v="MUSTAMAE_ST_WOOD_BP"/>
    <x v="0"/>
    <x v="5"/>
    <n v="10"/>
    <n v="3650"/>
    <n v="13140"/>
  </r>
  <r>
    <x v="0"/>
    <x v="0"/>
    <x v="0"/>
    <x v="1"/>
    <x v="2"/>
    <s v="EE_Tallinn"/>
    <x v="10"/>
    <x v="0"/>
    <s v="MUSTAMAE_ST_WOOD_BP"/>
    <x v="0"/>
    <x v="6"/>
    <n v="10"/>
    <n v="3650"/>
    <n v="13140"/>
  </r>
  <r>
    <x v="0"/>
    <x v="0"/>
    <x v="0"/>
    <x v="1"/>
    <x v="2"/>
    <s v="EE_Tallinn"/>
    <x v="10"/>
    <x v="0"/>
    <s v="MUSTAMAE_ST_WOOD_BP"/>
    <x v="0"/>
    <x v="7"/>
    <n v="10"/>
    <n v="3650"/>
    <n v="13140"/>
  </r>
  <r>
    <x v="0"/>
    <x v="0"/>
    <x v="0"/>
    <x v="1"/>
    <x v="2"/>
    <s v="EE_Tallinn"/>
    <x v="10"/>
    <x v="0"/>
    <s v="MUSTAMAE_ST_WOOD_BP"/>
    <x v="0"/>
    <x v="8"/>
    <n v="10"/>
    <n v="3650"/>
    <n v="13140"/>
  </r>
  <r>
    <x v="0"/>
    <x v="0"/>
    <x v="0"/>
    <x v="1"/>
    <x v="2"/>
    <s v="EE_Tallinn"/>
    <x v="10"/>
    <x v="0"/>
    <s v="MUSTAMAE_ST_WOOD_BP"/>
    <x v="0"/>
    <x v="9"/>
    <n v="10"/>
    <n v="3650"/>
    <n v="13140"/>
  </r>
  <r>
    <x v="0"/>
    <x v="0"/>
    <x v="0"/>
    <x v="1"/>
    <x v="2"/>
    <s v="EE_Tallinn"/>
    <x v="10"/>
    <x v="0"/>
    <s v="MUSTAMAE_ST_WOOD_BP"/>
    <x v="0"/>
    <x v="10"/>
    <n v="10"/>
    <n v="3650"/>
    <n v="13140"/>
  </r>
  <r>
    <x v="0"/>
    <x v="0"/>
    <x v="0"/>
    <x v="1"/>
    <x v="2"/>
    <s v="EE_Tallinn"/>
    <x v="10"/>
    <x v="0"/>
    <s v="MUSTAMAE_ST_WOOD_BP"/>
    <x v="0"/>
    <x v="11"/>
    <n v="10"/>
    <n v="3650"/>
    <n v="13140"/>
  </r>
  <r>
    <x v="0"/>
    <x v="0"/>
    <x v="0"/>
    <x v="1"/>
    <x v="2"/>
    <s v="EE_Tallinn"/>
    <x v="10"/>
    <x v="0"/>
    <s v="MUSTAMAE_ST_WOOD_BP"/>
    <x v="0"/>
    <x v="12"/>
    <n v="10"/>
    <n v="3650"/>
    <n v="13140"/>
  </r>
  <r>
    <x v="0"/>
    <x v="0"/>
    <x v="0"/>
    <x v="1"/>
    <x v="2"/>
    <s v="EE_Tallinn"/>
    <x v="10"/>
    <x v="0"/>
    <s v="MUSTAMAE_ST_WOOD_BP"/>
    <x v="0"/>
    <x v="13"/>
    <n v="10"/>
    <n v="3650"/>
    <n v="13140"/>
  </r>
  <r>
    <x v="0"/>
    <x v="0"/>
    <x v="0"/>
    <x v="1"/>
    <x v="2"/>
    <s v="EE_Tallinn"/>
    <x v="10"/>
    <x v="0"/>
    <s v="MUSTAMAE_ST_WOOD_BP"/>
    <x v="0"/>
    <x v="14"/>
    <n v="10"/>
    <n v="3650"/>
    <n v="13140"/>
  </r>
  <r>
    <x v="0"/>
    <x v="0"/>
    <x v="0"/>
    <x v="1"/>
    <x v="2"/>
    <s v="EE_Tallinn"/>
    <x v="10"/>
    <x v="0"/>
    <s v="MUSTAMAE_ST_WOOD_BP"/>
    <x v="0"/>
    <x v="15"/>
    <n v="10"/>
    <n v="3650"/>
    <n v="13140"/>
  </r>
  <r>
    <x v="0"/>
    <x v="0"/>
    <x v="0"/>
    <x v="1"/>
    <x v="2"/>
    <s v="EE_Tallinn"/>
    <x v="10"/>
    <x v="0"/>
    <s v="MUSTAMAE_ST_WOOD_BP"/>
    <x v="0"/>
    <x v="16"/>
    <n v="10"/>
    <n v="3650"/>
    <n v="13140"/>
  </r>
  <r>
    <x v="0"/>
    <x v="0"/>
    <x v="0"/>
    <x v="1"/>
    <x v="2"/>
    <s v="EE_Tallinn"/>
    <x v="10"/>
    <x v="0"/>
    <s v="MUSTAMAE_ST_WOOD_BP"/>
    <x v="0"/>
    <x v="17"/>
    <n v="10"/>
    <n v="3650"/>
    <n v="13140"/>
  </r>
  <r>
    <x v="0"/>
    <x v="0"/>
    <x v="0"/>
    <x v="1"/>
    <x v="2"/>
    <s v="EE_Tallinn"/>
    <x v="10"/>
    <x v="0"/>
    <s v="MUSTAMAE_ST_WOOD_BP"/>
    <x v="0"/>
    <x v="18"/>
    <n v="10"/>
    <n v="3650"/>
    <n v="13140"/>
  </r>
  <r>
    <x v="0"/>
    <x v="0"/>
    <x v="0"/>
    <x v="1"/>
    <x v="2"/>
    <s v="EE_Tallinn"/>
    <x v="10"/>
    <x v="0"/>
    <s v="MUSTAMAE_ST_WOOD_BP"/>
    <x v="0"/>
    <x v="19"/>
    <n v="10"/>
    <n v="3650"/>
    <n v="13140"/>
  </r>
  <r>
    <x v="0"/>
    <x v="0"/>
    <x v="0"/>
    <x v="1"/>
    <x v="2"/>
    <s v="EE_Tallinn"/>
    <x v="10"/>
    <x v="0"/>
    <s v="MUSTAMAE_ST_WOOD_BP"/>
    <x v="0"/>
    <x v="20"/>
    <n v="10"/>
    <n v="3650"/>
    <n v="13140"/>
  </r>
  <r>
    <x v="0"/>
    <x v="0"/>
    <x v="0"/>
    <x v="1"/>
    <x v="2"/>
    <s v="EE_Tallinn"/>
    <x v="10"/>
    <x v="0"/>
    <s v="MUSTAMAE_ST_WOOD_BP"/>
    <x v="0"/>
    <x v="21"/>
    <n v="10"/>
    <n v="3650"/>
    <n v="13140"/>
  </r>
  <r>
    <x v="0"/>
    <x v="0"/>
    <x v="0"/>
    <x v="1"/>
    <x v="2"/>
    <s v="EE_Tallinn"/>
    <x v="10"/>
    <x v="0"/>
    <s v="MUSTAMAE_ST_WOOD_BP"/>
    <x v="0"/>
    <x v="22"/>
    <n v="10"/>
    <n v="3650"/>
    <n v="13140"/>
  </r>
  <r>
    <x v="0"/>
    <x v="0"/>
    <x v="0"/>
    <x v="1"/>
    <x v="2"/>
    <s v="EE_Tallinn"/>
    <x v="10"/>
    <x v="0"/>
    <s v="MUSTAMAE_ST_WOOD_BP"/>
    <x v="0"/>
    <x v="23"/>
    <n v="10"/>
    <n v="3650"/>
    <n v="13140"/>
  </r>
  <r>
    <x v="0"/>
    <x v="0"/>
    <x v="0"/>
    <x v="1"/>
    <x v="2"/>
    <s v="EE_Tallinn"/>
    <x v="10"/>
    <x v="0"/>
    <s v="VAO-1_ST_WOOD_BP"/>
    <x v="0"/>
    <x v="0"/>
    <n v="25"/>
    <n v="9125"/>
    <n v="32850"/>
  </r>
  <r>
    <x v="0"/>
    <x v="0"/>
    <x v="0"/>
    <x v="1"/>
    <x v="2"/>
    <s v="EE_Tallinn"/>
    <x v="10"/>
    <x v="0"/>
    <s v="VAO-1_ST_WOOD_BP"/>
    <x v="0"/>
    <x v="1"/>
    <n v="25"/>
    <n v="9125"/>
    <n v="32850"/>
  </r>
  <r>
    <x v="0"/>
    <x v="0"/>
    <x v="0"/>
    <x v="1"/>
    <x v="2"/>
    <s v="EE_Tallinn"/>
    <x v="10"/>
    <x v="0"/>
    <s v="VAO-1_ST_WOOD_BP"/>
    <x v="0"/>
    <x v="2"/>
    <n v="25"/>
    <n v="9125"/>
    <n v="32850"/>
  </r>
  <r>
    <x v="0"/>
    <x v="0"/>
    <x v="0"/>
    <x v="1"/>
    <x v="2"/>
    <s v="EE_Tallinn"/>
    <x v="10"/>
    <x v="0"/>
    <s v="VAO-1_ST_WOOD_BP"/>
    <x v="0"/>
    <x v="3"/>
    <n v="25"/>
    <n v="9125"/>
    <n v="32850"/>
  </r>
  <r>
    <x v="0"/>
    <x v="0"/>
    <x v="0"/>
    <x v="1"/>
    <x v="2"/>
    <s v="EE_Tallinn"/>
    <x v="10"/>
    <x v="0"/>
    <s v="VAO-1_ST_WOOD_BP"/>
    <x v="0"/>
    <x v="4"/>
    <n v="25"/>
    <n v="9125"/>
    <n v="32850"/>
  </r>
  <r>
    <x v="0"/>
    <x v="0"/>
    <x v="0"/>
    <x v="1"/>
    <x v="2"/>
    <s v="EE_Tallinn"/>
    <x v="10"/>
    <x v="0"/>
    <s v="VAO-1_ST_WOOD_BP"/>
    <x v="0"/>
    <x v="5"/>
    <n v="25"/>
    <n v="9125"/>
    <n v="32850"/>
  </r>
  <r>
    <x v="0"/>
    <x v="0"/>
    <x v="0"/>
    <x v="1"/>
    <x v="2"/>
    <s v="EE_Tallinn"/>
    <x v="10"/>
    <x v="0"/>
    <s v="VAO-1_ST_WOOD_BP"/>
    <x v="0"/>
    <x v="6"/>
    <n v="25"/>
    <n v="9125"/>
    <n v="32850"/>
  </r>
  <r>
    <x v="0"/>
    <x v="0"/>
    <x v="0"/>
    <x v="1"/>
    <x v="2"/>
    <s v="EE_Tallinn"/>
    <x v="10"/>
    <x v="0"/>
    <s v="VAO-1_ST_WOOD_BP"/>
    <x v="0"/>
    <x v="7"/>
    <n v="25"/>
    <n v="9125"/>
    <n v="32850"/>
  </r>
  <r>
    <x v="0"/>
    <x v="0"/>
    <x v="0"/>
    <x v="1"/>
    <x v="2"/>
    <s v="EE_Tallinn"/>
    <x v="10"/>
    <x v="0"/>
    <s v="VAO-1_ST_WOOD_BP"/>
    <x v="0"/>
    <x v="8"/>
    <n v="25"/>
    <n v="9125"/>
    <n v="32850"/>
  </r>
  <r>
    <x v="0"/>
    <x v="0"/>
    <x v="0"/>
    <x v="1"/>
    <x v="2"/>
    <s v="EE_Tallinn"/>
    <x v="10"/>
    <x v="0"/>
    <s v="VAO-1_ST_WOOD_BP"/>
    <x v="0"/>
    <x v="9"/>
    <n v="25"/>
    <n v="9125"/>
    <n v="32850"/>
  </r>
  <r>
    <x v="0"/>
    <x v="0"/>
    <x v="0"/>
    <x v="1"/>
    <x v="2"/>
    <s v="EE_Tallinn"/>
    <x v="10"/>
    <x v="0"/>
    <s v="VAO-1_ST_WOOD_BP"/>
    <x v="0"/>
    <x v="10"/>
    <n v="25"/>
    <n v="9125"/>
    <n v="32850"/>
  </r>
  <r>
    <x v="0"/>
    <x v="0"/>
    <x v="0"/>
    <x v="1"/>
    <x v="2"/>
    <s v="EE_Tallinn"/>
    <x v="10"/>
    <x v="0"/>
    <s v="VAO-1_ST_WOOD_BP"/>
    <x v="0"/>
    <x v="11"/>
    <n v="25"/>
    <n v="9125"/>
    <n v="32850"/>
  </r>
  <r>
    <x v="0"/>
    <x v="0"/>
    <x v="0"/>
    <x v="1"/>
    <x v="2"/>
    <s v="EE_Tallinn"/>
    <x v="10"/>
    <x v="0"/>
    <s v="VAO-1_ST_WOOD_BP"/>
    <x v="0"/>
    <x v="12"/>
    <n v="25"/>
    <n v="9125"/>
    <n v="32850"/>
  </r>
  <r>
    <x v="0"/>
    <x v="0"/>
    <x v="0"/>
    <x v="1"/>
    <x v="2"/>
    <s v="EE_Tallinn"/>
    <x v="10"/>
    <x v="0"/>
    <s v="VAO-1_ST_WOOD_BP"/>
    <x v="0"/>
    <x v="13"/>
    <n v="25"/>
    <n v="9125"/>
    <n v="32850"/>
  </r>
  <r>
    <x v="0"/>
    <x v="0"/>
    <x v="0"/>
    <x v="1"/>
    <x v="2"/>
    <s v="EE_Tallinn"/>
    <x v="10"/>
    <x v="0"/>
    <s v="VAO-1_ST_WOOD_BP"/>
    <x v="0"/>
    <x v="14"/>
    <n v="25"/>
    <n v="9125"/>
    <n v="32850"/>
  </r>
  <r>
    <x v="0"/>
    <x v="0"/>
    <x v="0"/>
    <x v="1"/>
    <x v="2"/>
    <s v="EE_Tallinn"/>
    <x v="10"/>
    <x v="0"/>
    <s v="VAO-1_ST_WOOD_BP"/>
    <x v="0"/>
    <x v="15"/>
    <n v="25"/>
    <n v="9125"/>
    <n v="32850"/>
  </r>
  <r>
    <x v="0"/>
    <x v="0"/>
    <x v="0"/>
    <x v="1"/>
    <x v="2"/>
    <s v="EE_Tallinn"/>
    <x v="10"/>
    <x v="0"/>
    <s v="VAO-1_ST_WOOD_BP"/>
    <x v="0"/>
    <x v="16"/>
    <n v="25"/>
    <n v="9125"/>
    <n v="32850"/>
  </r>
  <r>
    <x v="0"/>
    <x v="0"/>
    <x v="0"/>
    <x v="1"/>
    <x v="2"/>
    <s v="EE_Tallinn"/>
    <x v="10"/>
    <x v="0"/>
    <s v="VAO-1_ST_WOOD_BP"/>
    <x v="0"/>
    <x v="17"/>
    <n v="25"/>
    <n v="9125"/>
    <n v="32850"/>
  </r>
  <r>
    <x v="0"/>
    <x v="0"/>
    <x v="0"/>
    <x v="1"/>
    <x v="2"/>
    <s v="EE_Tallinn"/>
    <x v="10"/>
    <x v="0"/>
    <s v="VAO-1_ST_WOOD_BP"/>
    <x v="0"/>
    <x v="18"/>
    <n v="25"/>
    <n v="9125"/>
    <n v="32850"/>
  </r>
  <r>
    <x v="0"/>
    <x v="0"/>
    <x v="0"/>
    <x v="1"/>
    <x v="2"/>
    <s v="EE_Tallinn"/>
    <x v="10"/>
    <x v="0"/>
    <s v="VAO-1_ST_WOOD_BP"/>
    <x v="0"/>
    <x v="19"/>
    <n v="25"/>
    <n v="9125"/>
    <n v="32850"/>
  </r>
  <r>
    <x v="0"/>
    <x v="0"/>
    <x v="0"/>
    <x v="1"/>
    <x v="2"/>
    <s v="EE_Tallinn"/>
    <x v="10"/>
    <x v="0"/>
    <s v="VAO-1_ST_WOOD_BP"/>
    <x v="0"/>
    <x v="20"/>
    <n v="25"/>
    <n v="9125"/>
    <n v="32850"/>
  </r>
  <r>
    <x v="0"/>
    <x v="0"/>
    <x v="0"/>
    <x v="1"/>
    <x v="2"/>
    <s v="EE_Tallinn"/>
    <x v="10"/>
    <x v="0"/>
    <s v="VAO-1_ST_WOOD_BP"/>
    <x v="0"/>
    <x v="21"/>
    <n v="25"/>
    <n v="9125"/>
    <n v="32850"/>
  </r>
  <r>
    <x v="0"/>
    <x v="0"/>
    <x v="0"/>
    <x v="1"/>
    <x v="2"/>
    <s v="EE_Tallinn"/>
    <x v="10"/>
    <x v="0"/>
    <s v="VAO-1_ST_WOOD_BP"/>
    <x v="0"/>
    <x v="22"/>
    <n v="25"/>
    <n v="9125"/>
    <n v="32850"/>
  </r>
  <r>
    <x v="0"/>
    <x v="0"/>
    <x v="0"/>
    <x v="1"/>
    <x v="2"/>
    <s v="EE_Tallinn"/>
    <x v="10"/>
    <x v="0"/>
    <s v="VAO-1_ST_WOOD_BP"/>
    <x v="0"/>
    <x v="23"/>
    <n v="25"/>
    <n v="9125"/>
    <n v="32850"/>
  </r>
  <r>
    <x v="0"/>
    <x v="0"/>
    <x v="0"/>
    <x v="1"/>
    <x v="2"/>
    <s v="EE_Tallinn"/>
    <x v="10"/>
    <x v="0"/>
    <s v="VAO-2_ST_WOOD_BP"/>
    <x v="0"/>
    <x v="0"/>
    <n v="21"/>
    <n v="7665"/>
    <n v="27594"/>
  </r>
  <r>
    <x v="0"/>
    <x v="0"/>
    <x v="0"/>
    <x v="1"/>
    <x v="2"/>
    <s v="EE_Tallinn"/>
    <x v="10"/>
    <x v="0"/>
    <s v="VAO-2_ST_WOOD_BP"/>
    <x v="0"/>
    <x v="1"/>
    <n v="21"/>
    <n v="7665"/>
    <n v="27594"/>
  </r>
  <r>
    <x v="0"/>
    <x v="0"/>
    <x v="0"/>
    <x v="1"/>
    <x v="2"/>
    <s v="EE_Tallinn"/>
    <x v="10"/>
    <x v="0"/>
    <s v="VAO-2_ST_WOOD_BP"/>
    <x v="0"/>
    <x v="2"/>
    <n v="21"/>
    <n v="7665"/>
    <n v="27594"/>
  </r>
  <r>
    <x v="0"/>
    <x v="0"/>
    <x v="0"/>
    <x v="1"/>
    <x v="2"/>
    <s v="EE_Tallinn"/>
    <x v="10"/>
    <x v="0"/>
    <s v="VAO-2_ST_WOOD_BP"/>
    <x v="0"/>
    <x v="3"/>
    <n v="21"/>
    <n v="7665"/>
    <n v="27594"/>
  </r>
  <r>
    <x v="0"/>
    <x v="0"/>
    <x v="0"/>
    <x v="1"/>
    <x v="2"/>
    <s v="EE_Tallinn"/>
    <x v="10"/>
    <x v="0"/>
    <s v="VAO-2_ST_WOOD_BP"/>
    <x v="0"/>
    <x v="4"/>
    <n v="21"/>
    <n v="7665"/>
    <n v="27594"/>
  </r>
  <r>
    <x v="0"/>
    <x v="0"/>
    <x v="0"/>
    <x v="1"/>
    <x v="2"/>
    <s v="EE_Tallinn"/>
    <x v="10"/>
    <x v="0"/>
    <s v="VAO-2_ST_WOOD_BP"/>
    <x v="0"/>
    <x v="5"/>
    <n v="21"/>
    <n v="7665"/>
    <n v="27594"/>
  </r>
  <r>
    <x v="0"/>
    <x v="0"/>
    <x v="0"/>
    <x v="1"/>
    <x v="2"/>
    <s v="EE_Tallinn"/>
    <x v="10"/>
    <x v="0"/>
    <s v="VAO-2_ST_WOOD_BP"/>
    <x v="0"/>
    <x v="6"/>
    <n v="21"/>
    <n v="7665"/>
    <n v="27594"/>
  </r>
  <r>
    <x v="0"/>
    <x v="0"/>
    <x v="0"/>
    <x v="1"/>
    <x v="2"/>
    <s v="EE_Tallinn"/>
    <x v="10"/>
    <x v="0"/>
    <s v="VAO-2_ST_WOOD_BP"/>
    <x v="0"/>
    <x v="7"/>
    <n v="21"/>
    <n v="7665"/>
    <n v="27594"/>
  </r>
  <r>
    <x v="0"/>
    <x v="0"/>
    <x v="0"/>
    <x v="1"/>
    <x v="2"/>
    <s v="EE_Tallinn"/>
    <x v="10"/>
    <x v="0"/>
    <s v="VAO-2_ST_WOOD_BP"/>
    <x v="0"/>
    <x v="8"/>
    <n v="21"/>
    <n v="7665"/>
    <n v="27594"/>
  </r>
  <r>
    <x v="0"/>
    <x v="0"/>
    <x v="0"/>
    <x v="1"/>
    <x v="2"/>
    <s v="EE_Tallinn"/>
    <x v="10"/>
    <x v="0"/>
    <s v="VAO-2_ST_WOOD_BP"/>
    <x v="0"/>
    <x v="9"/>
    <n v="21"/>
    <n v="7665"/>
    <n v="27594"/>
  </r>
  <r>
    <x v="0"/>
    <x v="0"/>
    <x v="0"/>
    <x v="1"/>
    <x v="2"/>
    <s v="EE_Tallinn"/>
    <x v="10"/>
    <x v="0"/>
    <s v="VAO-2_ST_WOOD_BP"/>
    <x v="0"/>
    <x v="10"/>
    <n v="21"/>
    <n v="7665"/>
    <n v="27594"/>
  </r>
  <r>
    <x v="0"/>
    <x v="0"/>
    <x v="0"/>
    <x v="1"/>
    <x v="2"/>
    <s v="EE_Tallinn"/>
    <x v="10"/>
    <x v="0"/>
    <s v="VAO-2_ST_WOOD_BP"/>
    <x v="0"/>
    <x v="11"/>
    <n v="21"/>
    <n v="7665"/>
    <n v="27594"/>
  </r>
  <r>
    <x v="0"/>
    <x v="0"/>
    <x v="0"/>
    <x v="1"/>
    <x v="2"/>
    <s v="EE_Tallinn"/>
    <x v="10"/>
    <x v="0"/>
    <s v="VAO-2_ST_WOOD_BP"/>
    <x v="0"/>
    <x v="12"/>
    <n v="21"/>
    <n v="7665"/>
    <n v="27594"/>
  </r>
  <r>
    <x v="0"/>
    <x v="0"/>
    <x v="0"/>
    <x v="1"/>
    <x v="2"/>
    <s v="EE_Tallinn"/>
    <x v="10"/>
    <x v="0"/>
    <s v="VAO-2_ST_WOOD_BP"/>
    <x v="0"/>
    <x v="13"/>
    <n v="21"/>
    <n v="7665"/>
    <n v="27594"/>
  </r>
  <r>
    <x v="0"/>
    <x v="0"/>
    <x v="0"/>
    <x v="1"/>
    <x v="2"/>
    <s v="EE_Tallinn"/>
    <x v="10"/>
    <x v="0"/>
    <s v="VAO-2_ST_WOOD_BP"/>
    <x v="0"/>
    <x v="14"/>
    <n v="21"/>
    <n v="7665"/>
    <n v="27594"/>
  </r>
  <r>
    <x v="0"/>
    <x v="0"/>
    <x v="0"/>
    <x v="1"/>
    <x v="2"/>
    <s v="EE_Tallinn"/>
    <x v="10"/>
    <x v="0"/>
    <s v="VAO-2_ST_WOOD_BP"/>
    <x v="0"/>
    <x v="15"/>
    <n v="21"/>
    <n v="7665"/>
    <n v="27594"/>
  </r>
  <r>
    <x v="0"/>
    <x v="0"/>
    <x v="0"/>
    <x v="1"/>
    <x v="2"/>
    <s v="EE_Tallinn"/>
    <x v="10"/>
    <x v="0"/>
    <s v="VAO-2_ST_WOOD_BP"/>
    <x v="0"/>
    <x v="16"/>
    <n v="21"/>
    <n v="7665"/>
    <n v="27594"/>
  </r>
  <r>
    <x v="0"/>
    <x v="0"/>
    <x v="0"/>
    <x v="1"/>
    <x v="2"/>
    <s v="EE_Tallinn"/>
    <x v="10"/>
    <x v="0"/>
    <s v="VAO-2_ST_WOOD_BP"/>
    <x v="0"/>
    <x v="17"/>
    <n v="21"/>
    <n v="7665"/>
    <n v="27594"/>
  </r>
  <r>
    <x v="0"/>
    <x v="0"/>
    <x v="0"/>
    <x v="1"/>
    <x v="2"/>
    <s v="EE_Tallinn"/>
    <x v="10"/>
    <x v="0"/>
    <s v="VAO-2_ST_WOOD_BP"/>
    <x v="0"/>
    <x v="18"/>
    <n v="21"/>
    <n v="7665"/>
    <n v="27594"/>
  </r>
  <r>
    <x v="0"/>
    <x v="0"/>
    <x v="0"/>
    <x v="1"/>
    <x v="2"/>
    <s v="EE_Tallinn"/>
    <x v="10"/>
    <x v="0"/>
    <s v="VAO-2_ST_WOOD_BP"/>
    <x v="0"/>
    <x v="19"/>
    <n v="21"/>
    <n v="7665"/>
    <n v="27594"/>
  </r>
  <r>
    <x v="0"/>
    <x v="0"/>
    <x v="0"/>
    <x v="1"/>
    <x v="2"/>
    <s v="EE_Tallinn"/>
    <x v="10"/>
    <x v="0"/>
    <s v="VAO-2_ST_WOOD_BP"/>
    <x v="0"/>
    <x v="20"/>
    <n v="21"/>
    <n v="7665"/>
    <n v="27594"/>
  </r>
  <r>
    <x v="0"/>
    <x v="0"/>
    <x v="0"/>
    <x v="1"/>
    <x v="2"/>
    <s v="EE_Tallinn"/>
    <x v="10"/>
    <x v="0"/>
    <s v="VAO-2_ST_WOOD_BP"/>
    <x v="0"/>
    <x v="21"/>
    <n v="21"/>
    <n v="7665"/>
    <n v="27594"/>
  </r>
  <r>
    <x v="0"/>
    <x v="0"/>
    <x v="0"/>
    <x v="1"/>
    <x v="2"/>
    <s v="EE_Tallinn"/>
    <x v="10"/>
    <x v="0"/>
    <s v="VAO-2_ST_WOOD_BP"/>
    <x v="0"/>
    <x v="22"/>
    <n v="21"/>
    <n v="7665"/>
    <n v="27594"/>
  </r>
  <r>
    <x v="0"/>
    <x v="0"/>
    <x v="0"/>
    <x v="1"/>
    <x v="2"/>
    <s v="EE_Tallinn"/>
    <x v="10"/>
    <x v="0"/>
    <s v="VAO-2_ST_WOOD_BP"/>
    <x v="0"/>
    <x v="23"/>
    <n v="21"/>
    <n v="7665"/>
    <n v="27594"/>
  </r>
  <r>
    <x v="0"/>
    <x v="0"/>
    <x v="0"/>
    <x v="1"/>
    <x v="2"/>
    <s v="EE_Tartu"/>
    <x v="10"/>
    <x v="0"/>
    <s v="TARTU-1_ST_WOOD_BP"/>
    <x v="0"/>
    <x v="0"/>
    <n v="22"/>
    <n v="8030"/>
    <n v="28908"/>
  </r>
  <r>
    <x v="0"/>
    <x v="0"/>
    <x v="0"/>
    <x v="1"/>
    <x v="2"/>
    <s v="EE_Tartu"/>
    <x v="10"/>
    <x v="0"/>
    <s v="TARTU-1_ST_WOOD_BP"/>
    <x v="0"/>
    <x v="1"/>
    <n v="22"/>
    <n v="8030"/>
    <n v="28908"/>
  </r>
  <r>
    <x v="0"/>
    <x v="0"/>
    <x v="0"/>
    <x v="1"/>
    <x v="2"/>
    <s v="EE_Tartu"/>
    <x v="10"/>
    <x v="0"/>
    <s v="TARTU-1_ST_WOOD_BP"/>
    <x v="0"/>
    <x v="2"/>
    <n v="22"/>
    <n v="8030"/>
    <n v="28908"/>
  </r>
  <r>
    <x v="0"/>
    <x v="0"/>
    <x v="0"/>
    <x v="1"/>
    <x v="2"/>
    <s v="EE_Tartu"/>
    <x v="10"/>
    <x v="0"/>
    <s v="TARTU-1_ST_WOOD_BP"/>
    <x v="0"/>
    <x v="3"/>
    <n v="22"/>
    <n v="8030"/>
    <n v="28908"/>
  </r>
  <r>
    <x v="0"/>
    <x v="0"/>
    <x v="0"/>
    <x v="1"/>
    <x v="2"/>
    <s v="EE_Tartu"/>
    <x v="10"/>
    <x v="0"/>
    <s v="TARTU-1_ST_WOOD_BP"/>
    <x v="0"/>
    <x v="4"/>
    <n v="22"/>
    <n v="8030"/>
    <n v="28908"/>
  </r>
  <r>
    <x v="0"/>
    <x v="0"/>
    <x v="0"/>
    <x v="1"/>
    <x v="2"/>
    <s v="EE_Tartu"/>
    <x v="10"/>
    <x v="0"/>
    <s v="TARTU-1_ST_WOOD_BP"/>
    <x v="0"/>
    <x v="5"/>
    <n v="22"/>
    <n v="8030"/>
    <n v="28908"/>
  </r>
  <r>
    <x v="0"/>
    <x v="0"/>
    <x v="0"/>
    <x v="1"/>
    <x v="2"/>
    <s v="EE_Tartu"/>
    <x v="10"/>
    <x v="0"/>
    <s v="TARTU-1_ST_WOOD_BP"/>
    <x v="0"/>
    <x v="6"/>
    <n v="22"/>
    <n v="8030"/>
    <n v="28908"/>
  </r>
  <r>
    <x v="0"/>
    <x v="0"/>
    <x v="0"/>
    <x v="1"/>
    <x v="2"/>
    <s v="EE_Tartu"/>
    <x v="10"/>
    <x v="0"/>
    <s v="TARTU-1_ST_WOOD_BP"/>
    <x v="0"/>
    <x v="7"/>
    <n v="22"/>
    <n v="8030"/>
    <n v="28908"/>
  </r>
  <r>
    <x v="0"/>
    <x v="0"/>
    <x v="0"/>
    <x v="1"/>
    <x v="2"/>
    <s v="EE_Tartu"/>
    <x v="10"/>
    <x v="0"/>
    <s v="TARTU-1_ST_WOOD_BP"/>
    <x v="0"/>
    <x v="8"/>
    <n v="22"/>
    <n v="8030"/>
    <n v="28908"/>
  </r>
  <r>
    <x v="0"/>
    <x v="0"/>
    <x v="0"/>
    <x v="1"/>
    <x v="2"/>
    <s v="EE_Tartu"/>
    <x v="10"/>
    <x v="0"/>
    <s v="TARTU-1_ST_WOOD_BP"/>
    <x v="0"/>
    <x v="9"/>
    <n v="22"/>
    <n v="8030"/>
    <n v="28908"/>
  </r>
  <r>
    <x v="0"/>
    <x v="0"/>
    <x v="0"/>
    <x v="1"/>
    <x v="2"/>
    <s v="EE_Tartu"/>
    <x v="10"/>
    <x v="0"/>
    <s v="TARTU-1_ST_WOOD_BP"/>
    <x v="0"/>
    <x v="10"/>
    <n v="22"/>
    <n v="8030"/>
    <n v="28908"/>
  </r>
  <r>
    <x v="0"/>
    <x v="0"/>
    <x v="0"/>
    <x v="1"/>
    <x v="2"/>
    <s v="EE_Tartu"/>
    <x v="10"/>
    <x v="0"/>
    <s v="TARTU-1_ST_WOOD_BP"/>
    <x v="0"/>
    <x v="11"/>
    <n v="22"/>
    <n v="8030"/>
    <n v="28908"/>
  </r>
  <r>
    <x v="0"/>
    <x v="0"/>
    <x v="0"/>
    <x v="1"/>
    <x v="2"/>
    <s v="EE_Tartu"/>
    <x v="10"/>
    <x v="0"/>
    <s v="TARTU-1_ST_WOOD_BP"/>
    <x v="0"/>
    <x v="12"/>
    <n v="22"/>
    <n v="8030"/>
    <n v="28908"/>
  </r>
  <r>
    <x v="0"/>
    <x v="0"/>
    <x v="0"/>
    <x v="1"/>
    <x v="2"/>
    <s v="EE_Tartu"/>
    <x v="10"/>
    <x v="0"/>
    <s v="TARTU-1_ST_WOOD_BP"/>
    <x v="0"/>
    <x v="13"/>
    <n v="22"/>
    <n v="8030"/>
    <n v="28908"/>
  </r>
  <r>
    <x v="0"/>
    <x v="0"/>
    <x v="0"/>
    <x v="1"/>
    <x v="2"/>
    <s v="EE_Tartu"/>
    <x v="10"/>
    <x v="0"/>
    <s v="TARTU-1_ST_WOOD_BP"/>
    <x v="0"/>
    <x v="14"/>
    <n v="22"/>
    <n v="8030"/>
    <n v="28908"/>
  </r>
  <r>
    <x v="0"/>
    <x v="0"/>
    <x v="0"/>
    <x v="1"/>
    <x v="2"/>
    <s v="EE_Tartu"/>
    <x v="10"/>
    <x v="0"/>
    <s v="TARTU-1_ST_WOOD_BP"/>
    <x v="0"/>
    <x v="15"/>
    <n v="22"/>
    <n v="8030"/>
    <n v="28908"/>
  </r>
  <r>
    <x v="0"/>
    <x v="0"/>
    <x v="0"/>
    <x v="1"/>
    <x v="2"/>
    <s v="EE_Tartu"/>
    <x v="10"/>
    <x v="0"/>
    <s v="TARTU-1_ST_WOOD_BP"/>
    <x v="0"/>
    <x v="16"/>
    <n v="22"/>
    <n v="8030"/>
    <n v="28908"/>
  </r>
  <r>
    <x v="0"/>
    <x v="0"/>
    <x v="0"/>
    <x v="1"/>
    <x v="2"/>
    <s v="EE_Tartu"/>
    <x v="10"/>
    <x v="0"/>
    <s v="TARTU-1_ST_WOOD_BP"/>
    <x v="0"/>
    <x v="17"/>
    <n v="22"/>
    <n v="8030"/>
    <n v="28908"/>
  </r>
  <r>
    <x v="0"/>
    <x v="0"/>
    <x v="0"/>
    <x v="1"/>
    <x v="2"/>
    <s v="EE_Tartu"/>
    <x v="10"/>
    <x v="0"/>
    <s v="TARTU-1_ST_WOOD_BP"/>
    <x v="0"/>
    <x v="18"/>
    <n v="22"/>
    <n v="8030"/>
    <n v="28908"/>
  </r>
  <r>
    <x v="0"/>
    <x v="0"/>
    <x v="0"/>
    <x v="1"/>
    <x v="2"/>
    <s v="EE_Tartu"/>
    <x v="10"/>
    <x v="0"/>
    <s v="TARTU-1_ST_WOOD_BP"/>
    <x v="0"/>
    <x v="19"/>
    <n v="22"/>
    <n v="8030"/>
    <n v="28908"/>
  </r>
  <r>
    <x v="0"/>
    <x v="0"/>
    <x v="0"/>
    <x v="1"/>
    <x v="2"/>
    <s v="EE_Tartu"/>
    <x v="10"/>
    <x v="0"/>
    <s v="TARTU-1_ST_WOOD_BP"/>
    <x v="0"/>
    <x v="20"/>
    <n v="22"/>
    <n v="8030"/>
    <n v="28908"/>
  </r>
  <r>
    <x v="0"/>
    <x v="0"/>
    <x v="0"/>
    <x v="1"/>
    <x v="2"/>
    <s v="EE_Tartu"/>
    <x v="10"/>
    <x v="0"/>
    <s v="TARTU-1_ST_WOOD_BP"/>
    <x v="0"/>
    <x v="21"/>
    <n v="22"/>
    <n v="8030"/>
    <n v="28908"/>
  </r>
  <r>
    <x v="0"/>
    <x v="0"/>
    <x v="0"/>
    <x v="1"/>
    <x v="2"/>
    <s v="EE_Tartu"/>
    <x v="10"/>
    <x v="0"/>
    <s v="TARTU-1_ST_WOOD_BP"/>
    <x v="0"/>
    <x v="22"/>
    <n v="22"/>
    <n v="8030"/>
    <n v="28908"/>
  </r>
  <r>
    <x v="0"/>
    <x v="0"/>
    <x v="0"/>
    <x v="1"/>
    <x v="2"/>
    <s v="EE_Tartu"/>
    <x v="10"/>
    <x v="0"/>
    <s v="TARTU-1_ST_WOOD_BP"/>
    <x v="0"/>
    <x v="23"/>
    <n v="22"/>
    <n v="8030"/>
    <n v="28908"/>
  </r>
  <r>
    <x v="0"/>
    <x v="0"/>
    <x v="0"/>
    <x v="1"/>
    <x v="2"/>
    <s v="EE_Urban"/>
    <x v="0"/>
    <x v="1"/>
    <s v="GNR_ST_BGAS_EXT_E-38"/>
    <x v="0"/>
    <x v="0"/>
    <n v="0.1"/>
    <n v="36.5"/>
    <n v="131.4"/>
  </r>
  <r>
    <x v="0"/>
    <x v="0"/>
    <x v="0"/>
    <x v="1"/>
    <x v="2"/>
    <s v="EE_Urban"/>
    <x v="0"/>
    <x v="1"/>
    <s v="GNR_ST_BGAS_EXT_E-38"/>
    <x v="0"/>
    <x v="1"/>
    <n v="0.1"/>
    <n v="36.5"/>
    <n v="131.4"/>
  </r>
  <r>
    <x v="0"/>
    <x v="0"/>
    <x v="0"/>
    <x v="1"/>
    <x v="2"/>
    <s v="EE_Urban"/>
    <x v="0"/>
    <x v="1"/>
    <s v="GNR_ST_BGAS_EXT_E-38"/>
    <x v="0"/>
    <x v="2"/>
    <n v="0.1"/>
    <n v="36.5"/>
    <n v="131.4"/>
  </r>
  <r>
    <x v="0"/>
    <x v="0"/>
    <x v="0"/>
    <x v="1"/>
    <x v="2"/>
    <s v="EE_Urban"/>
    <x v="0"/>
    <x v="1"/>
    <s v="GNR_ST_BGAS_EXT_E-38"/>
    <x v="0"/>
    <x v="3"/>
    <n v="0.1"/>
    <n v="36.5"/>
    <n v="131.4"/>
  </r>
  <r>
    <x v="0"/>
    <x v="0"/>
    <x v="0"/>
    <x v="1"/>
    <x v="2"/>
    <s v="EE_Urban"/>
    <x v="0"/>
    <x v="1"/>
    <s v="GNR_ST_BGAS_EXT_E-38"/>
    <x v="0"/>
    <x v="4"/>
    <n v="0.1"/>
    <n v="36.5"/>
    <n v="131.4"/>
  </r>
  <r>
    <x v="0"/>
    <x v="0"/>
    <x v="0"/>
    <x v="1"/>
    <x v="2"/>
    <s v="EE_Urban"/>
    <x v="0"/>
    <x v="1"/>
    <s v="GNR_ST_BGAS_EXT_E-38"/>
    <x v="0"/>
    <x v="5"/>
    <n v="0.1"/>
    <n v="36.5"/>
    <n v="131.4"/>
  </r>
  <r>
    <x v="0"/>
    <x v="0"/>
    <x v="0"/>
    <x v="1"/>
    <x v="2"/>
    <s v="EE_Urban"/>
    <x v="0"/>
    <x v="1"/>
    <s v="GNR_ST_BGAS_EXT_E-38"/>
    <x v="0"/>
    <x v="6"/>
    <n v="0.1"/>
    <n v="36.5"/>
    <n v="131.4"/>
  </r>
  <r>
    <x v="0"/>
    <x v="0"/>
    <x v="0"/>
    <x v="1"/>
    <x v="2"/>
    <s v="EE_Urban"/>
    <x v="0"/>
    <x v="1"/>
    <s v="GNR_ST_BGAS_EXT_E-38"/>
    <x v="0"/>
    <x v="7"/>
    <n v="0.1"/>
    <n v="36.5"/>
    <n v="131.4"/>
  </r>
  <r>
    <x v="0"/>
    <x v="0"/>
    <x v="0"/>
    <x v="1"/>
    <x v="2"/>
    <s v="EE_Urban"/>
    <x v="0"/>
    <x v="1"/>
    <s v="GNR_ST_BGAS_EXT_E-38"/>
    <x v="0"/>
    <x v="8"/>
    <n v="0.1"/>
    <n v="36.5"/>
    <n v="131.4"/>
  </r>
  <r>
    <x v="0"/>
    <x v="0"/>
    <x v="0"/>
    <x v="1"/>
    <x v="2"/>
    <s v="EE_Urban"/>
    <x v="0"/>
    <x v="1"/>
    <s v="GNR_ST_BGAS_EXT_E-38"/>
    <x v="0"/>
    <x v="9"/>
    <n v="0.1"/>
    <n v="36.5"/>
    <n v="131.4"/>
  </r>
  <r>
    <x v="0"/>
    <x v="0"/>
    <x v="0"/>
    <x v="1"/>
    <x v="2"/>
    <s v="EE_Urban"/>
    <x v="0"/>
    <x v="1"/>
    <s v="GNR_ST_BGAS_EXT_E-38"/>
    <x v="0"/>
    <x v="10"/>
    <n v="0.1"/>
    <n v="36.5"/>
    <n v="131.4"/>
  </r>
  <r>
    <x v="0"/>
    <x v="0"/>
    <x v="0"/>
    <x v="1"/>
    <x v="2"/>
    <s v="EE_Urban"/>
    <x v="0"/>
    <x v="1"/>
    <s v="GNR_ST_BGAS_EXT_E-38"/>
    <x v="0"/>
    <x v="11"/>
    <n v="0.1"/>
    <n v="36.5"/>
    <n v="131.4"/>
  </r>
  <r>
    <x v="0"/>
    <x v="0"/>
    <x v="0"/>
    <x v="1"/>
    <x v="2"/>
    <s v="EE_Urban"/>
    <x v="0"/>
    <x v="1"/>
    <s v="GNR_ST_BGAS_EXT_E-38"/>
    <x v="0"/>
    <x v="12"/>
    <n v="0.1"/>
    <n v="36.5"/>
    <n v="131.4"/>
  </r>
  <r>
    <x v="0"/>
    <x v="0"/>
    <x v="0"/>
    <x v="1"/>
    <x v="2"/>
    <s v="EE_Urban"/>
    <x v="0"/>
    <x v="1"/>
    <s v="GNR_ST_BGAS_EXT_E-38"/>
    <x v="0"/>
    <x v="13"/>
    <n v="0.1"/>
    <n v="36.5"/>
    <n v="131.4"/>
  </r>
  <r>
    <x v="0"/>
    <x v="0"/>
    <x v="0"/>
    <x v="1"/>
    <x v="2"/>
    <s v="EE_Urban"/>
    <x v="0"/>
    <x v="1"/>
    <s v="GNR_ST_BGAS_EXT_E-38"/>
    <x v="0"/>
    <x v="14"/>
    <n v="0.1"/>
    <n v="36.5"/>
    <n v="131.4"/>
  </r>
  <r>
    <x v="0"/>
    <x v="0"/>
    <x v="0"/>
    <x v="1"/>
    <x v="2"/>
    <s v="EE_Urban"/>
    <x v="0"/>
    <x v="1"/>
    <s v="GNR_ST_BGAS_EXT_E-38"/>
    <x v="0"/>
    <x v="15"/>
    <n v="0.1"/>
    <n v="36.5"/>
    <n v="131.4"/>
  </r>
  <r>
    <x v="0"/>
    <x v="0"/>
    <x v="0"/>
    <x v="1"/>
    <x v="2"/>
    <s v="EE_Urban"/>
    <x v="0"/>
    <x v="1"/>
    <s v="GNR_ST_BGAS_EXT_E-38"/>
    <x v="0"/>
    <x v="16"/>
    <n v="0.1"/>
    <n v="36.5"/>
    <n v="131.4"/>
  </r>
  <r>
    <x v="0"/>
    <x v="0"/>
    <x v="0"/>
    <x v="1"/>
    <x v="2"/>
    <s v="EE_Urban"/>
    <x v="0"/>
    <x v="1"/>
    <s v="GNR_ST_BGAS_EXT_E-38"/>
    <x v="0"/>
    <x v="17"/>
    <n v="0.1"/>
    <n v="36.5"/>
    <n v="131.4"/>
  </r>
  <r>
    <x v="0"/>
    <x v="0"/>
    <x v="0"/>
    <x v="1"/>
    <x v="2"/>
    <s v="EE_Urban"/>
    <x v="0"/>
    <x v="1"/>
    <s v="GNR_ST_BGAS_EXT_E-38"/>
    <x v="0"/>
    <x v="18"/>
    <n v="0.1"/>
    <n v="36.5"/>
    <n v="131.4"/>
  </r>
  <r>
    <x v="0"/>
    <x v="0"/>
    <x v="0"/>
    <x v="1"/>
    <x v="2"/>
    <s v="EE_Urban"/>
    <x v="0"/>
    <x v="1"/>
    <s v="GNR_ST_BGAS_EXT_E-38"/>
    <x v="0"/>
    <x v="19"/>
    <n v="0.1"/>
    <n v="36.5"/>
    <n v="131.4"/>
  </r>
  <r>
    <x v="0"/>
    <x v="0"/>
    <x v="0"/>
    <x v="1"/>
    <x v="2"/>
    <s v="EE_Urban"/>
    <x v="0"/>
    <x v="1"/>
    <s v="GNR_ST_BGAS_EXT_E-38"/>
    <x v="0"/>
    <x v="20"/>
    <n v="0.1"/>
    <n v="36.5"/>
    <n v="131.4"/>
  </r>
  <r>
    <x v="0"/>
    <x v="0"/>
    <x v="0"/>
    <x v="1"/>
    <x v="2"/>
    <s v="EE_Urban"/>
    <x v="0"/>
    <x v="1"/>
    <s v="GNR_ST_BGAS_EXT_E-38"/>
    <x v="0"/>
    <x v="21"/>
    <n v="0.1"/>
    <n v="36.5"/>
    <n v="131.4"/>
  </r>
  <r>
    <x v="0"/>
    <x v="0"/>
    <x v="0"/>
    <x v="1"/>
    <x v="2"/>
    <s v="EE_Urban"/>
    <x v="0"/>
    <x v="1"/>
    <s v="GNR_ST_BGAS_EXT_E-38"/>
    <x v="0"/>
    <x v="22"/>
    <n v="0.1"/>
    <n v="36.5"/>
    <n v="131.4"/>
  </r>
  <r>
    <x v="0"/>
    <x v="0"/>
    <x v="0"/>
    <x v="1"/>
    <x v="2"/>
    <s v="EE_Urban"/>
    <x v="0"/>
    <x v="1"/>
    <s v="GNR_ST_BGAS_EXT_E-38"/>
    <x v="0"/>
    <x v="23"/>
    <n v="0.1"/>
    <n v="36.5"/>
    <n v="131.4"/>
  </r>
  <r>
    <x v="0"/>
    <x v="0"/>
    <x v="0"/>
    <x v="1"/>
    <x v="2"/>
    <s v="EE_Urban"/>
    <x v="2"/>
    <x v="1"/>
    <s v="GNR_ENG_NGAS_EXT_E-44"/>
    <x v="0"/>
    <x v="0"/>
    <n v="0.9"/>
    <n v="328.5"/>
    <n v="1182.5999999999999"/>
  </r>
  <r>
    <x v="0"/>
    <x v="0"/>
    <x v="0"/>
    <x v="1"/>
    <x v="2"/>
    <s v="EE_Urban"/>
    <x v="2"/>
    <x v="1"/>
    <s v="GNR_ENG_NGAS_EXT_E-44"/>
    <x v="0"/>
    <x v="1"/>
    <n v="0.9"/>
    <n v="328.5"/>
    <n v="1182.5999999999999"/>
  </r>
  <r>
    <x v="0"/>
    <x v="0"/>
    <x v="0"/>
    <x v="1"/>
    <x v="2"/>
    <s v="EE_Urban"/>
    <x v="2"/>
    <x v="1"/>
    <s v="GNR_ENG_NGAS_EXT_E-44"/>
    <x v="0"/>
    <x v="2"/>
    <n v="0.9"/>
    <n v="328.5"/>
    <n v="1182.5999999999999"/>
  </r>
  <r>
    <x v="0"/>
    <x v="0"/>
    <x v="0"/>
    <x v="1"/>
    <x v="2"/>
    <s v="EE_Urban"/>
    <x v="2"/>
    <x v="1"/>
    <s v="GNR_ENG_NGAS_EXT_E-44"/>
    <x v="0"/>
    <x v="3"/>
    <n v="0.9"/>
    <n v="328.5"/>
    <n v="1182.5999999999999"/>
  </r>
  <r>
    <x v="0"/>
    <x v="0"/>
    <x v="0"/>
    <x v="1"/>
    <x v="2"/>
    <s v="EE_Urban"/>
    <x v="2"/>
    <x v="1"/>
    <s v="GNR_ENG_NGAS_EXT_E-44"/>
    <x v="0"/>
    <x v="4"/>
    <n v="0.9"/>
    <n v="328.5"/>
    <n v="1182.5999999999999"/>
  </r>
  <r>
    <x v="0"/>
    <x v="0"/>
    <x v="0"/>
    <x v="1"/>
    <x v="2"/>
    <s v="EE_Urban"/>
    <x v="2"/>
    <x v="1"/>
    <s v="GNR_ENG_NGAS_EXT_E-44"/>
    <x v="0"/>
    <x v="5"/>
    <n v="0.9"/>
    <n v="328.5"/>
    <n v="1182.5999999999999"/>
  </r>
  <r>
    <x v="0"/>
    <x v="0"/>
    <x v="0"/>
    <x v="1"/>
    <x v="2"/>
    <s v="EE_Urban"/>
    <x v="2"/>
    <x v="1"/>
    <s v="GNR_ENG_NGAS_EXT_E-44"/>
    <x v="0"/>
    <x v="6"/>
    <n v="0.9"/>
    <n v="328.5"/>
    <n v="1182.5999999999999"/>
  </r>
  <r>
    <x v="0"/>
    <x v="0"/>
    <x v="0"/>
    <x v="1"/>
    <x v="2"/>
    <s v="EE_Urban"/>
    <x v="2"/>
    <x v="1"/>
    <s v="GNR_ENG_NGAS_EXT_E-44"/>
    <x v="0"/>
    <x v="7"/>
    <n v="0.9"/>
    <n v="328.5"/>
    <n v="1182.5999999999999"/>
  </r>
  <r>
    <x v="0"/>
    <x v="0"/>
    <x v="0"/>
    <x v="1"/>
    <x v="2"/>
    <s v="EE_Urban"/>
    <x v="2"/>
    <x v="1"/>
    <s v="GNR_ENG_NGAS_EXT_E-44"/>
    <x v="0"/>
    <x v="8"/>
    <n v="0.9"/>
    <n v="328.5"/>
    <n v="1182.5999999999999"/>
  </r>
  <r>
    <x v="0"/>
    <x v="0"/>
    <x v="0"/>
    <x v="1"/>
    <x v="2"/>
    <s v="EE_Urban"/>
    <x v="2"/>
    <x v="1"/>
    <s v="GNR_ENG_NGAS_EXT_E-44"/>
    <x v="0"/>
    <x v="9"/>
    <n v="0.9"/>
    <n v="328.5"/>
    <n v="1182.5999999999999"/>
  </r>
  <r>
    <x v="0"/>
    <x v="0"/>
    <x v="0"/>
    <x v="1"/>
    <x v="2"/>
    <s v="EE_Urban"/>
    <x v="2"/>
    <x v="1"/>
    <s v="GNR_ENG_NGAS_EXT_E-44"/>
    <x v="0"/>
    <x v="10"/>
    <n v="0.9"/>
    <n v="328.5"/>
    <n v="1182.5999999999999"/>
  </r>
  <r>
    <x v="0"/>
    <x v="0"/>
    <x v="0"/>
    <x v="1"/>
    <x v="2"/>
    <s v="EE_Urban"/>
    <x v="2"/>
    <x v="1"/>
    <s v="GNR_ENG_NGAS_EXT_E-44"/>
    <x v="0"/>
    <x v="11"/>
    <n v="0.9"/>
    <n v="328.5"/>
    <n v="1182.5999999999999"/>
  </r>
  <r>
    <x v="0"/>
    <x v="0"/>
    <x v="0"/>
    <x v="1"/>
    <x v="2"/>
    <s v="EE_Urban"/>
    <x v="2"/>
    <x v="1"/>
    <s v="GNR_ENG_NGAS_EXT_E-44"/>
    <x v="0"/>
    <x v="12"/>
    <n v="0.9"/>
    <n v="328.5"/>
    <n v="1182.5999999999999"/>
  </r>
  <r>
    <x v="0"/>
    <x v="0"/>
    <x v="0"/>
    <x v="1"/>
    <x v="2"/>
    <s v="EE_Urban"/>
    <x v="2"/>
    <x v="1"/>
    <s v="GNR_ENG_NGAS_EXT_E-44"/>
    <x v="0"/>
    <x v="13"/>
    <n v="0.9"/>
    <n v="328.5"/>
    <n v="1182.5999999999999"/>
  </r>
  <r>
    <x v="0"/>
    <x v="0"/>
    <x v="0"/>
    <x v="1"/>
    <x v="2"/>
    <s v="EE_Urban"/>
    <x v="2"/>
    <x v="1"/>
    <s v="GNR_ENG_NGAS_EXT_E-44"/>
    <x v="0"/>
    <x v="14"/>
    <n v="0.9"/>
    <n v="328.5"/>
    <n v="1182.5999999999999"/>
  </r>
  <r>
    <x v="0"/>
    <x v="0"/>
    <x v="0"/>
    <x v="1"/>
    <x v="2"/>
    <s v="EE_Urban"/>
    <x v="2"/>
    <x v="1"/>
    <s v="GNR_ENG_NGAS_EXT_E-44"/>
    <x v="0"/>
    <x v="15"/>
    <n v="0.9"/>
    <n v="328.5"/>
    <n v="1182.5999999999999"/>
  </r>
  <r>
    <x v="0"/>
    <x v="0"/>
    <x v="0"/>
    <x v="1"/>
    <x v="2"/>
    <s v="EE_Urban"/>
    <x v="2"/>
    <x v="1"/>
    <s v="GNR_ENG_NGAS_EXT_E-44"/>
    <x v="0"/>
    <x v="16"/>
    <n v="0.9"/>
    <n v="328.5"/>
    <n v="1182.5999999999999"/>
  </r>
  <r>
    <x v="0"/>
    <x v="0"/>
    <x v="0"/>
    <x v="1"/>
    <x v="2"/>
    <s v="EE_Urban"/>
    <x v="2"/>
    <x v="1"/>
    <s v="GNR_ENG_NGAS_EXT_E-44"/>
    <x v="0"/>
    <x v="17"/>
    <n v="0.9"/>
    <n v="328.5"/>
    <n v="1182.5999999999999"/>
  </r>
  <r>
    <x v="0"/>
    <x v="0"/>
    <x v="0"/>
    <x v="1"/>
    <x v="2"/>
    <s v="EE_Urban"/>
    <x v="2"/>
    <x v="1"/>
    <s v="GNR_ENG_NGAS_EXT_E-44"/>
    <x v="0"/>
    <x v="18"/>
    <n v="0.9"/>
    <n v="328.5"/>
    <n v="1182.5999999999999"/>
  </r>
  <r>
    <x v="0"/>
    <x v="0"/>
    <x v="0"/>
    <x v="1"/>
    <x v="2"/>
    <s v="EE_Urban"/>
    <x v="2"/>
    <x v="1"/>
    <s v="GNR_ENG_NGAS_EXT_E-44"/>
    <x v="0"/>
    <x v="19"/>
    <n v="0.9"/>
    <n v="328.5"/>
    <n v="1182.5999999999999"/>
  </r>
  <r>
    <x v="0"/>
    <x v="0"/>
    <x v="0"/>
    <x v="1"/>
    <x v="2"/>
    <s v="EE_Urban"/>
    <x v="2"/>
    <x v="1"/>
    <s v="GNR_ENG_NGAS_EXT_E-44"/>
    <x v="0"/>
    <x v="20"/>
    <n v="0.9"/>
    <n v="328.5"/>
    <n v="1182.5999999999999"/>
  </r>
  <r>
    <x v="0"/>
    <x v="0"/>
    <x v="0"/>
    <x v="1"/>
    <x v="2"/>
    <s v="EE_Urban"/>
    <x v="2"/>
    <x v="1"/>
    <s v="GNR_ENG_NGAS_EXT_E-44"/>
    <x v="0"/>
    <x v="21"/>
    <n v="0.9"/>
    <n v="328.5"/>
    <n v="1182.5999999999999"/>
  </r>
  <r>
    <x v="0"/>
    <x v="0"/>
    <x v="0"/>
    <x v="1"/>
    <x v="2"/>
    <s v="EE_Urban"/>
    <x v="2"/>
    <x v="1"/>
    <s v="GNR_ENG_NGAS_EXT_E-44"/>
    <x v="0"/>
    <x v="22"/>
    <n v="0.9"/>
    <n v="328.5"/>
    <n v="1182.5999999999999"/>
  </r>
  <r>
    <x v="0"/>
    <x v="0"/>
    <x v="0"/>
    <x v="1"/>
    <x v="2"/>
    <s v="EE_Urban"/>
    <x v="2"/>
    <x v="1"/>
    <s v="GNR_ENG_NGAS_EXT_E-44"/>
    <x v="0"/>
    <x v="23"/>
    <n v="0.9"/>
    <n v="328.5"/>
    <n v="1182.5999999999999"/>
  </r>
  <r>
    <x v="0"/>
    <x v="0"/>
    <x v="0"/>
    <x v="1"/>
    <x v="2"/>
    <s v="EE_Urban"/>
    <x v="10"/>
    <x v="0"/>
    <s v="GNR_ST_WOOD_BP_E-53"/>
    <x v="0"/>
    <x v="0"/>
    <n v="12"/>
    <n v="4380"/>
    <n v="15768"/>
  </r>
  <r>
    <x v="0"/>
    <x v="0"/>
    <x v="0"/>
    <x v="1"/>
    <x v="2"/>
    <s v="EE_Urban"/>
    <x v="10"/>
    <x v="0"/>
    <s v="GNR_ST_WOOD_BP_E-53"/>
    <x v="0"/>
    <x v="1"/>
    <n v="12"/>
    <n v="4380"/>
    <n v="15768"/>
  </r>
  <r>
    <x v="0"/>
    <x v="0"/>
    <x v="0"/>
    <x v="1"/>
    <x v="2"/>
    <s v="EE_Urban"/>
    <x v="10"/>
    <x v="0"/>
    <s v="GNR_ST_WOOD_BP_E-53"/>
    <x v="0"/>
    <x v="2"/>
    <n v="12"/>
    <n v="4380"/>
    <n v="15768"/>
  </r>
  <r>
    <x v="0"/>
    <x v="0"/>
    <x v="0"/>
    <x v="1"/>
    <x v="2"/>
    <s v="EE_Urban"/>
    <x v="10"/>
    <x v="0"/>
    <s v="GNR_ST_WOOD_BP_E-53"/>
    <x v="0"/>
    <x v="3"/>
    <n v="12"/>
    <n v="4380"/>
    <n v="15768"/>
  </r>
  <r>
    <x v="0"/>
    <x v="0"/>
    <x v="0"/>
    <x v="1"/>
    <x v="2"/>
    <s v="EE_Urban"/>
    <x v="10"/>
    <x v="0"/>
    <s v="GNR_ST_WOOD_BP_E-53"/>
    <x v="0"/>
    <x v="4"/>
    <n v="12"/>
    <n v="4380"/>
    <n v="15768"/>
  </r>
  <r>
    <x v="0"/>
    <x v="0"/>
    <x v="0"/>
    <x v="1"/>
    <x v="2"/>
    <s v="EE_Urban"/>
    <x v="10"/>
    <x v="0"/>
    <s v="GNR_ST_WOOD_BP_E-53"/>
    <x v="0"/>
    <x v="5"/>
    <n v="12"/>
    <n v="4380"/>
    <n v="15768"/>
  </r>
  <r>
    <x v="0"/>
    <x v="0"/>
    <x v="0"/>
    <x v="1"/>
    <x v="2"/>
    <s v="EE_Urban"/>
    <x v="10"/>
    <x v="0"/>
    <s v="GNR_ST_WOOD_BP_E-53"/>
    <x v="0"/>
    <x v="6"/>
    <n v="12"/>
    <n v="4380"/>
    <n v="15768"/>
  </r>
  <r>
    <x v="0"/>
    <x v="0"/>
    <x v="0"/>
    <x v="1"/>
    <x v="2"/>
    <s v="EE_Urban"/>
    <x v="10"/>
    <x v="0"/>
    <s v="GNR_ST_WOOD_BP_E-53"/>
    <x v="0"/>
    <x v="7"/>
    <n v="12"/>
    <n v="4380"/>
    <n v="15768"/>
  </r>
  <r>
    <x v="0"/>
    <x v="0"/>
    <x v="0"/>
    <x v="1"/>
    <x v="2"/>
    <s v="EE_Urban"/>
    <x v="10"/>
    <x v="0"/>
    <s v="GNR_ST_WOOD_BP_E-53"/>
    <x v="0"/>
    <x v="8"/>
    <n v="12"/>
    <n v="4380"/>
    <n v="15768"/>
  </r>
  <r>
    <x v="0"/>
    <x v="0"/>
    <x v="0"/>
    <x v="1"/>
    <x v="2"/>
    <s v="EE_Urban"/>
    <x v="10"/>
    <x v="0"/>
    <s v="GNR_ST_WOOD_BP_E-53"/>
    <x v="0"/>
    <x v="9"/>
    <n v="12"/>
    <n v="4380"/>
    <n v="15768"/>
  </r>
  <r>
    <x v="0"/>
    <x v="0"/>
    <x v="0"/>
    <x v="1"/>
    <x v="2"/>
    <s v="EE_Urban"/>
    <x v="10"/>
    <x v="0"/>
    <s v="GNR_ST_WOOD_BP_E-53"/>
    <x v="0"/>
    <x v="10"/>
    <n v="12"/>
    <n v="4380"/>
    <n v="15768"/>
  </r>
  <r>
    <x v="0"/>
    <x v="0"/>
    <x v="0"/>
    <x v="1"/>
    <x v="2"/>
    <s v="EE_Urban"/>
    <x v="10"/>
    <x v="0"/>
    <s v="GNR_ST_WOOD_BP_E-53"/>
    <x v="0"/>
    <x v="11"/>
    <n v="12"/>
    <n v="4380"/>
    <n v="15768"/>
  </r>
  <r>
    <x v="0"/>
    <x v="0"/>
    <x v="0"/>
    <x v="1"/>
    <x v="2"/>
    <s v="EE_Urban"/>
    <x v="10"/>
    <x v="0"/>
    <s v="GNR_ST_WOOD_BP_E-53"/>
    <x v="0"/>
    <x v="12"/>
    <n v="12"/>
    <n v="4380"/>
    <n v="15768"/>
  </r>
  <r>
    <x v="0"/>
    <x v="0"/>
    <x v="0"/>
    <x v="1"/>
    <x v="2"/>
    <s v="EE_Urban"/>
    <x v="10"/>
    <x v="0"/>
    <s v="GNR_ST_WOOD_BP_E-53"/>
    <x v="0"/>
    <x v="13"/>
    <n v="12"/>
    <n v="4380"/>
    <n v="15768"/>
  </r>
  <r>
    <x v="0"/>
    <x v="0"/>
    <x v="0"/>
    <x v="1"/>
    <x v="2"/>
    <s v="EE_Urban"/>
    <x v="10"/>
    <x v="0"/>
    <s v="GNR_ST_WOOD_BP_E-53"/>
    <x v="0"/>
    <x v="14"/>
    <n v="12"/>
    <n v="4380"/>
    <n v="15768"/>
  </r>
  <r>
    <x v="0"/>
    <x v="0"/>
    <x v="0"/>
    <x v="1"/>
    <x v="2"/>
    <s v="EE_Urban"/>
    <x v="10"/>
    <x v="0"/>
    <s v="GNR_ST_WOOD_BP_E-53"/>
    <x v="0"/>
    <x v="15"/>
    <n v="12"/>
    <n v="4380"/>
    <n v="15768"/>
  </r>
  <r>
    <x v="0"/>
    <x v="0"/>
    <x v="0"/>
    <x v="1"/>
    <x v="2"/>
    <s v="EE_Urban"/>
    <x v="10"/>
    <x v="0"/>
    <s v="GNR_ST_WOOD_BP_E-53"/>
    <x v="0"/>
    <x v="16"/>
    <n v="12"/>
    <n v="4380"/>
    <n v="15768"/>
  </r>
  <r>
    <x v="0"/>
    <x v="0"/>
    <x v="0"/>
    <x v="1"/>
    <x v="2"/>
    <s v="EE_Urban"/>
    <x v="10"/>
    <x v="0"/>
    <s v="GNR_ST_WOOD_BP_E-53"/>
    <x v="0"/>
    <x v="17"/>
    <n v="12"/>
    <n v="4380"/>
    <n v="15768"/>
  </r>
  <r>
    <x v="0"/>
    <x v="0"/>
    <x v="0"/>
    <x v="1"/>
    <x v="2"/>
    <s v="EE_Urban"/>
    <x v="10"/>
    <x v="0"/>
    <s v="GNR_ST_WOOD_BP_E-53"/>
    <x v="0"/>
    <x v="18"/>
    <n v="12"/>
    <n v="4380"/>
    <n v="15768"/>
  </r>
  <r>
    <x v="0"/>
    <x v="0"/>
    <x v="0"/>
    <x v="1"/>
    <x v="2"/>
    <s v="EE_Urban"/>
    <x v="10"/>
    <x v="0"/>
    <s v="GNR_ST_WOOD_BP_E-53"/>
    <x v="0"/>
    <x v="19"/>
    <n v="12"/>
    <n v="4380"/>
    <n v="15768"/>
  </r>
  <r>
    <x v="0"/>
    <x v="0"/>
    <x v="0"/>
    <x v="1"/>
    <x v="2"/>
    <s v="EE_Urban"/>
    <x v="10"/>
    <x v="0"/>
    <s v="GNR_ST_WOOD_BP_E-53"/>
    <x v="0"/>
    <x v="20"/>
    <n v="12"/>
    <n v="4380"/>
    <n v="15768"/>
  </r>
  <r>
    <x v="0"/>
    <x v="0"/>
    <x v="0"/>
    <x v="1"/>
    <x v="2"/>
    <s v="EE_Urban"/>
    <x v="10"/>
    <x v="0"/>
    <s v="GNR_ST_WOOD_BP_E-53"/>
    <x v="0"/>
    <x v="21"/>
    <n v="12"/>
    <n v="4380"/>
    <n v="15768"/>
  </r>
  <r>
    <x v="0"/>
    <x v="0"/>
    <x v="0"/>
    <x v="1"/>
    <x v="2"/>
    <s v="EE_Urban"/>
    <x v="10"/>
    <x v="0"/>
    <s v="GNR_ST_WOOD_BP_E-53"/>
    <x v="0"/>
    <x v="22"/>
    <n v="12"/>
    <n v="4380"/>
    <n v="15768"/>
  </r>
  <r>
    <x v="0"/>
    <x v="0"/>
    <x v="0"/>
    <x v="1"/>
    <x v="2"/>
    <s v="EE_Urban"/>
    <x v="10"/>
    <x v="0"/>
    <s v="GNR_ST_WOOD_BP_E-53"/>
    <x v="0"/>
    <x v="23"/>
    <n v="12"/>
    <n v="4380"/>
    <n v="15768"/>
  </r>
  <r>
    <x v="0"/>
    <x v="0"/>
    <x v="0"/>
    <x v="2"/>
    <x v="3"/>
    <s v="FIN_EL"/>
    <x v="12"/>
    <x v="6"/>
    <s v="GETOH_ELECTRICBOILER"/>
    <x v="0"/>
    <x v="6"/>
    <n v="-55.543335408111297"/>
    <n v="-20273.317423960601"/>
    <n v="-72983.942726258305"/>
  </r>
  <r>
    <x v="0"/>
    <x v="0"/>
    <x v="0"/>
    <x v="2"/>
    <x v="3"/>
    <s v="FIN_EL"/>
    <x v="12"/>
    <x v="6"/>
    <s v="GETOH_ELECTRICBOILER"/>
    <x v="0"/>
    <x v="8"/>
    <n v="-97.551020408163296"/>
    <n v="-35606.1224489796"/>
    <n v="-128182.040816327"/>
  </r>
  <r>
    <x v="0"/>
    <x v="0"/>
    <x v="0"/>
    <x v="2"/>
    <x v="3"/>
    <s v="FIN_EL"/>
    <x v="12"/>
    <x v="6"/>
    <s v="GETOH_ELECTRICBOILER"/>
    <x v="0"/>
    <x v="9"/>
    <n v="-97.551020408163296"/>
    <n v="-35606.1224489796"/>
    <n v="-128182.040816327"/>
  </r>
  <r>
    <x v="0"/>
    <x v="0"/>
    <x v="0"/>
    <x v="2"/>
    <x v="3"/>
    <s v="FIN_EL"/>
    <x v="12"/>
    <x v="6"/>
    <s v="GETOH_ELECTRICBOILER"/>
    <x v="0"/>
    <x v="10"/>
    <n v="-89.152548486787197"/>
    <n v="-32540.680197677299"/>
    <n v="-117146.448711638"/>
  </r>
  <r>
    <x v="0"/>
    <x v="0"/>
    <x v="0"/>
    <x v="2"/>
    <x v="3"/>
    <s v="FIN_EL"/>
    <x v="12"/>
    <x v="6"/>
    <s v="GETOH_ELECTRICBOILER"/>
    <x v="0"/>
    <x v="11"/>
    <n v="-82.495404808838799"/>
    <n v="-30110.8227552262"/>
    <n v="-108398.96191881401"/>
  </r>
  <r>
    <x v="0"/>
    <x v="0"/>
    <x v="0"/>
    <x v="2"/>
    <x v="3"/>
    <s v="FIN_EL"/>
    <x v="12"/>
    <x v="6"/>
    <s v="GETOH_ELECTRICBOILER"/>
    <x v="0"/>
    <x v="12"/>
    <n v="-79.353267315568502"/>
    <n v="-28963.942570182498"/>
    <n v="-104270.193252657"/>
  </r>
  <r>
    <x v="0"/>
    <x v="0"/>
    <x v="0"/>
    <x v="2"/>
    <x v="3"/>
    <s v="FIN_EL"/>
    <x v="12"/>
    <x v="6"/>
    <s v="GETOH_ELECTRICBOILER"/>
    <x v="0"/>
    <x v="13"/>
    <n v="-78.437117311616802"/>
    <n v="-28629.547818740099"/>
    <n v="-103066.37214746499"/>
  </r>
  <r>
    <x v="0"/>
    <x v="0"/>
    <x v="0"/>
    <x v="2"/>
    <x v="3"/>
    <s v="FIN_EL"/>
    <x v="12"/>
    <x v="6"/>
    <s v="GETOH_ELECTRICBOILER"/>
    <x v="0"/>
    <x v="14"/>
    <n v="-80.207118815474701"/>
    <n v="-29275.598367648301"/>
    <n v="-105392.154123534"/>
  </r>
  <r>
    <x v="0"/>
    <x v="0"/>
    <x v="0"/>
    <x v="2"/>
    <x v="3"/>
    <s v="FIN_EL"/>
    <x v="12"/>
    <x v="6"/>
    <s v="GETOH_ELECTRICBOILER"/>
    <x v="0"/>
    <x v="15"/>
    <n v="-8.3921665587172907"/>
    <n v="-3063.1407939318101"/>
    <n v="-11027.306858154499"/>
  </r>
  <r>
    <x v="0"/>
    <x v="0"/>
    <x v="0"/>
    <x v="2"/>
    <x v="3"/>
    <s v="FIN_EL"/>
    <x v="12"/>
    <x v="6"/>
    <s v="GETOH_ELECTRICBOILER"/>
    <x v="0"/>
    <x v="16"/>
    <n v="-75.330563233402302"/>
    <n v="-27495.655580191898"/>
    <n v="-98984.360088690693"/>
  </r>
  <r>
    <x v="0"/>
    <x v="0"/>
    <x v="0"/>
    <x v="2"/>
    <x v="3"/>
    <s v="FIN_EL"/>
    <x v="12"/>
    <x v="6"/>
    <s v="GETOH_ELECTRICBOILER"/>
    <x v="0"/>
    <x v="17"/>
    <n v="-2.4020072136519302"/>
    <n v="-876.73263298295399"/>
    <n v="-3156.2374787386302"/>
  </r>
  <r>
    <x v="0"/>
    <x v="0"/>
    <x v="0"/>
    <x v="2"/>
    <x v="3"/>
    <s v="FIN_EL"/>
    <x v="12"/>
    <x v="6"/>
    <s v="GETOH_ELECTRICBOILER"/>
    <x v="0"/>
    <x v="18"/>
    <n v="-66.243162294396299"/>
    <n v="-24178.754237454599"/>
    <n v="-87043.515254836704"/>
  </r>
  <r>
    <x v="0"/>
    <x v="0"/>
    <x v="0"/>
    <x v="2"/>
    <x v="3"/>
    <s v="FIN_EL"/>
    <x v="12"/>
    <x v="6"/>
    <s v="GETOH_ELECTRICBOILER"/>
    <x v="0"/>
    <x v="19"/>
    <n v="-59.260719154956199"/>
    <n v="-21630.162491559"/>
    <n v="-77868.584969612406"/>
  </r>
  <r>
    <x v="0"/>
    <x v="0"/>
    <x v="0"/>
    <x v="2"/>
    <x v="3"/>
    <s v="FIN_EL"/>
    <x v="12"/>
    <x v="6"/>
    <s v="GETOH_ELECTRICBOILER"/>
    <x v="0"/>
    <x v="20"/>
    <n v="-50.070351772332302"/>
    <n v="-18275.678396901301"/>
    <n v="-65792.442228844593"/>
  </r>
  <r>
    <x v="0"/>
    <x v="0"/>
    <x v="0"/>
    <x v="2"/>
    <x v="3"/>
    <s v="FIN_EL"/>
    <x v="12"/>
    <x v="6"/>
    <s v="GETOH_ELECTRICBOILER"/>
    <x v="0"/>
    <x v="21"/>
    <n v="-44.176693177309303"/>
    <n v="-16124.4930097179"/>
    <n v="-58048.174834984398"/>
  </r>
  <r>
    <x v="0"/>
    <x v="0"/>
    <x v="0"/>
    <x v="2"/>
    <x v="3"/>
    <s v="FIN_EL"/>
    <x v="12"/>
    <x v="6"/>
    <s v="GETOH_ELECTRICBOILER"/>
    <x v="0"/>
    <x v="22"/>
    <n v="-24.347447068497601"/>
    <n v="-8886.81818000161"/>
    <n v="-31992.5454480058"/>
  </r>
  <r>
    <x v="0"/>
    <x v="0"/>
    <x v="0"/>
    <x v="2"/>
    <x v="3"/>
    <s v="FIN_EL"/>
    <x v="12"/>
    <x v="6"/>
    <s v="GETOH_ELECTRICBOILER"/>
    <x v="0"/>
    <x v="23"/>
    <n v="-6.2680661723667299"/>
    <n v="-2287.8441529138599"/>
    <n v="-8236.2389504898802"/>
  </r>
  <r>
    <x v="0"/>
    <x v="0"/>
    <x v="0"/>
    <x v="2"/>
    <x v="3"/>
    <s v="FIN_EL"/>
    <x v="4"/>
    <x v="0"/>
    <s v="GBPR_WOODCHIPS"/>
    <x v="0"/>
    <x v="0"/>
    <n v="47"/>
    <n v="17155"/>
    <n v="61758"/>
  </r>
  <r>
    <x v="0"/>
    <x v="0"/>
    <x v="0"/>
    <x v="2"/>
    <x v="3"/>
    <s v="FIN_EL"/>
    <x v="4"/>
    <x v="0"/>
    <s v="GBPR_WOODCHIPS"/>
    <x v="0"/>
    <x v="1"/>
    <n v="47"/>
    <n v="17155"/>
    <n v="61758"/>
  </r>
  <r>
    <x v="0"/>
    <x v="0"/>
    <x v="0"/>
    <x v="2"/>
    <x v="3"/>
    <s v="FIN_EL"/>
    <x v="4"/>
    <x v="0"/>
    <s v="GBPR_WOODCHIPS"/>
    <x v="0"/>
    <x v="2"/>
    <n v="47"/>
    <n v="17155"/>
    <n v="61758"/>
  </r>
  <r>
    <x v="0"/>
    <x v="0"/>
    <x v="0"/>
    <x v="2"/>
    <x v="3"/>
    <s v="FIN_EL"/>
    <x v="4"/>
    <x v="0"/>
    <s v="GBPR_WOODCHIPS"/>
    <x v="0"/>
    <x v="3"/>
    <n v="47"/>
    <n v="17155"/>
    <n v="61758"/>
  </r>
  <r>
    <x v="0"/>
    <x v="0"/>
    <x v="0"/>
    <x v="2"/>
    <x v="3"/>
    <s v="FIN_EL"/>
    <x v="4"/>
    <x v="0"/>
    <s v="GBPR_WOODCHIPS"/>
    <x v="0"/>
    <x v="4"/>
    <n v="47"/>
    <n v="17155"/>
    <n v="61758"/>
  </r>
  <r>
    <x v="0"/>
    <x v="0"/>
    <x v="0"/>
    <x v="2"/>
    <x v="3"/>
    <s v="FIN_EL"/>
    <x v="4"/>
    <x v="0"/>
    <s v="GBPR_WOODCHIPS"/>
    <x v="0"/>
    <x v="5"/>
    <n v="47"/>
    <n v="17155"/>
    <n v="61758"/>
  </r>
  <r>
    <x v="0"/>
    <x v="0"/>
    <x v="0"/>
    <x v="2"/>
    <x v="3"/>
    <s v="FIN_EL"/>
    <x v="4"/>
    <x v="0"/>
    <s v="GBPR_WOODCHIPS"/>
    <x v="0"/>
    <x v="6"/>
    <n v="47"/>
    <n v="17155"/>
    <n v="61758"/>
  </r>
  <r>
    <x v="0"/>
    <x v="0"/>
    <x v="0"/>
    <x v="2"/>
    <x v="3"/>
    <s v="FIN_EL"/>
    <x v="4"/>
    <x v="0"/>
    <s v="GBPR_WOODCHIPS"/>
    <x v="0"/>
    <x v="7"/>
    <n v="47"/>
    <n v="17155"/>
    <n v="61758"/>
  </r>
  <r>
    <x v="0"/>
    <x v="0"/>
    <x v="0"/>
    <x v="2"/>
    <x v="3"/>
    <s v="FIN_EL"/>
    <x v="4"/>
    <x v="0"/>
    <s v="GBPR_WOODCHIPS"/>
    <x v="0"/>
    <x v="8"/>
    <n v="47"/>
    <n v="17155"/>
    <n v="61758"/>
  </r>
  <r>
    <x v="0"/>
    <x v="0"/>
    <x v="0"/>
    <x v="2"/>
    <x v="3"/>
    <s v="FIN_EL"/>
    <x v="4"/>
    <x v="0"/>
    <s v="GBPR_WOODCHIPS"/>
    <x v="0"/>
    <x v="9"/>
    <n v="47"/>
    <n v="17155"/>
    <n v="61758"/>
  </r>
  <r>
    <x v="0"/>
    <x v="0"/>
    <x v="0"/>
    <x v="2"/>
    <x v="3"/>
    <s v="FIN_EL"/>
    <x v="4"/>
    <x v="0"/>
    <s v="GBPR_WOODCHIPS"/>
    <x v="0"/>
    <x v="10"/>
    <n v="47"/>
    <n v="17155"/>
    <n v="61758"/>
  </r>
  <r>
    <x v="0"/>
    <x v="0"/>
    <x v="0"/>
    <x v="2"/>
    <x v="3"/>
    <s v="FIN_EL"/>
    <x v="4"/>
    <x v="0"/>
    <s v="GBPR_WOODCHIPS"/>
    <x v="0"/>
    <x v="11"/>
    <n v="47"/>
    <n v="17155"/>
    <n v="61758"/>
  </r>
  <r>
    <x v="0"/>
    <x v="0"/>
    <x v="0"/>
    <x v="2"/>
    <x v="3"/>
    <s v="FIN_EL"/>
    <x v="4"/>
    <x v="0"/>
    <s v="GBPR_WOODCHIPS"/>
    <x v="0"/>
    <x v="12"/>
    <n v="47"/>
    <n v="17155"/>
    <n v="61758"/>
  </r>
  <r>
    <x v="0"/>
    <x v="0"/>
    <x v="0"/>
    <x v="2"/>
    <x v="3"/>
    <s v="FIN_EL"/>
    <x v="4"/>
    <x v="0"/>
    <s v="GBPR_WOODCHIPS"/>
    <x v="0"/>
    <x v="13"/>
    <n v="47"/>
    <n v="17155"/>
    <n v="61758"/>
  </r>
  <r>
    <x v="0"/>
    <x v="0"/>
    <x v="0"/>
    <x v="2"/>
    <x v="3"/>
    <s v="FIN_EL"/>
    <x v="4"/>
    <x v="0"/>
    <s v="GBPR_WOODCHIPS"/>
    <x v="0"/>
    <x v="14"/>
    <n v="47"/>
    <n v="17155"/>
    <n v="61758"/>
  </r>
  <r>
    <x v="0"/>
    <x v="0"/>
    <x v="0"/>
    <x v="2"/>
    <x v="3"/>
    <s v="FIN_EL"/>
    <x v="4"/>
    <x v="0"/>
    <s v="GBPR_WOODCHIPS"/>
    <x v="0"/>
    <x v="15"/>
    <n v="47"/>
    <n v="17155"/>
    <n v="61758"/>
  </r>
  <r>
    <x v="0"/>
    <x v="0"/>
    <x v="0"/>
    <x v="2"/>
    <x v="3"/>
    <s v="FIN_EL"/>
    <x v="4"/>
    <x v="0"/>
    <s v="GBPR_WOODCHIPS"/>
    <x v="0"/>
    <x v="16"/>
    <n v="47"/>
    <n v="17155"/>
    <n v="61758"/>
  </r>
  <r>
    <x v="0"/>
    <x v="0"/>
    <x v="0"/>
    <x v="2"/>
    <x v="3"/>
    <s v="FIN_EL"/>
    <x v="4"/>
    <x v="0"/>
    <s v="GBPR_WOODCHIPS"/>
    <x v="0"/>
    <x v="17"/>
    <n v="47"/>
    <n v="17155"/>
    <n v="61758"/>
  </r>
  <r>
    <x v="0"/>
    <x v="0"/>
    <x v="0"/>
    <x v="2"/>
    <x v="3"/>
    <s v="FIN_EL"/>
    <x v="4"/>
    <x v="0"/>
    <s v="GBPR_WOODCHIPS"/>
    <x v="0"/>
    <x v="18"/>
    <n v="47"/>
    <n v="17155"/>
    <n v="61758"/>
  </r>
  <r>
    <x v="0"/>
    <x v="0"/>
    <x v="0"/>
    <x v="2"/>
    <x v="3"/>
    <s v="FIN_EL"/>
    <x v="4"/>
    <x v="0"/>
    <s v="GBPR_WOODCHIPS"/>
    <x v="0"/>
    <x v="19"/>
    <n v="47"/>
    <n v="17155"/>
    <n v="61758"/>
  </r>
  <r>
    <x v="0"/>
    <x v="0"/>
    <x v="0"/>
    <x v="2"/>
    <x v="3"/>
    <s v="FIN_EL"/>
    <x v="4"/>
    <x v="0"/>
    <s v="GBPR_WOODCHIPS"/>
    <x v="0"/>
    <x v="20"/>
    <n v="47"/>
    <n v="17155"/>
    <n v="61758"/>
  </r>
  <r>
    <x v="0"/>
    <x v="0"/>
    <x v="0"/>
    <x v="2"/>
    <x v="3"/>
    <s v="FIN_EL"/>
    <x v="4"/>
    <x v="0"/>
    <s v="GBPR_WOODCHIPS"/>
    <x v="0"/>
    <x v="21"/>
    <n v="47"/>
    <n v="17155"/>
    <n v="61758"/>
  </r>
  <r>
    <x v="0"/>
    <x v="0"/>
    <x v="0"/>
    <x v="2"/>
    <x v="3"/>
    <s v="FIN_EL"/>
    <x v="4"/>
    <x v="0"/>
    <s v="GBPR_WOODCHIPS"/>
    <x v="0"/>
    <x v="22"/>
    <n v="47"/>
    <n v="17155"/>
    <n v="61758"/>
  </r>
  <r>
    <x v="0"/>
    <x v="0"/>
    <x v="0"/>
    <x v="2"/>
    <x v="3"/>
    <s v="FIN_EL"/>
    <x v="4"/>
    <x v="0"/>
    <s v="GBPR_WOODCHIPS"/>
    <x v="0"/>
    <x v="23"/>
    <n v="47"/>
    <n v="17155"/>
    <n v="61758"/>
  </r>
  <r>
    <x v="0"/>
    <x v="0"/>
    <x v="0"/>
    <x v="2"/>
    <x v="3"/>
    <s v="FIN_EL"/>
    <x v="11"/>
    <x v="0"/>
    <s v="GBPR_WOODWASTE_FINEL"/>
    <x v="0"/>
    <x v="0"/>
    <n v="110"/>
    <n v="40150"/>
    <n v="144540"/>
  </r>
  <r>
    <x v="0"/>
    <x v="0"/>
    <x v="0"/>
    <x v="2"/>
    <x v="3"/>
    <s v="FIN_EL"/>
    <x v="11"/>
    <x v="0"/>
    <s v="GBPR_WOODWASTE_FINEL"/>
    <x v="0"/>
    <x v="1"/>
    <n v="110"/>
    <n v="40150"/>
    <n v="144540"/>
  </r>
  <r>
    <x v="0"/>
    <x v="0"/>
    <x v="0"/>
    <x v="2"/>
    <x v="3"/>
    <s v="FIN_EL"/>
    <x v="11"/>
    <x v="0"/>
    <s v="GBPR_WOODWASTE_FINEL"/>
    <x v="0"/>
    <x v="2"/>
    <n v="110"/>
    <n v="40150"/>
    <n v="144540"/>
  </r>
  <r>
    <x v="0"/>
    <x v="0"/>
    <x v="0"/>
    <x v="2"/>
    <x v="3"/>
    <s v="FIN_EL"/>
    <x v="11"/>
    <x v="0"/>
    <s v="GBPR_WOODWASTE_FINEL"/>
    <x v="0"/>
    <x v="3"/>
    <n v="110"/>
    <n v="40150"/>
    <n v="144540"/>
  </r>
  <r>
    <x v="0"/>
    <x v="0"/>
    <x v="0"/>
    <x v="2"/>
    <x v="3"/>
    <s v="FIN_EL"/>
    <x v="11"/>
    <x v="0"/>
    <s v="GBPR_WOODWASTE_FINEL"/>
    <x v="0"/>
    <x v="4"/>
    <n v="110"/>
    <n v="40150"/>
    <n v="144540"/>
  </r>
  <r>
    <x v="0"/>
    <x v="0"/>
    <x v="0"/>
    <x v="2"/>
    <x v="3"/>
    <s v="FIN_EL"/>
    <x v="11"/>
    <x v="0"/>
    <s v="GBPR_WOODWASTE_FINEL"/>
    <x v="0"/>
    <x v="5"/>
    <n v="110"/>
    <n v="40150"/>
    <n v="144540"/>
  </r>
  <r>
    <x v="0"/>
    <x v="0"/>
    <x v="0"/>
    <x v="2"/>
    <x v="3"/>
    <s v="FIN_EL"/>
    <x v="11"/>
    <x v="0"/>
    <s v="GBPR_WOODWASTE_FINEL"/>
    <x v="0"/>
    <x v="6"/>
    <n v="110"/>
    <n v="40150"/>
    <n v="144540"/>
  </r>
  <r>
    <x v="0"/>
    <x v="0"/>
    <x v="0"/>
    <x v="2"/>
    <x v="3"/>
    <s v="FIN_EL"/>
    <x v="11"/>
    <x v="0"/>
    <s v="GBPR_WOODWASTE_FINEL"/>
    <x v="0"/>
    <x v="7"/>
    <n v="110"/>
    <n v="40150"/>
    <n v="144540"/>
  </r>
  <r>
    <x v="0"/>
    <x v="0"/>
    <x v="0"/>
    <x v="2"/>
    <x v="3"/>
    <s v="FIN_EL"/>
    <x v="11"/>
    <x v="0"/>
    <s v="GBPR_WOODWASTE_FINEL"/>
    <x v="0"/>
    <x v="8"/>
    <n v="110"/>
    <n v="40150"/>
    <n v="144540"/>
  </r>
  <r>
    <x v="0"/>
    <x v="0"/>
    <x v="0"/>
    <x v="2"/>
    <x v="3"/>
    <s v="FIN_EL"/>
    <x v="11"/>
    <x v="0"/>
    <s v="GBPR_WOODWASTE_FINEL"/>
    <x v="0"/>
    <x v="9"/>
    <n v="110"/>
    <n v="40150"/>
    <n v="144540"/>
  </r>
  <r>
    <x v="0"/>
    <x v="0"/>
    <x v="0"/>
    <x v="2"/>
    <x v="3"/>
    <s v="FIN_EL"/>
    <x v="11"/>
    <x v="0"/>
    <s v="GBPR_WOODWASTE_FINEL"/>
    <x v="0"/>
    <x v="10"/>
    <n v="110"/>
    <n v="40150"/>
    <n v="144540"/>
  </r>
  <r>
    <x v="0"/>
    <x v="0"/>
    <x v="0"/>
    <x v="2"/>
    <x v="3"/>
    <s v="FIN_EL"/>
    <x v="11"/>
    <x v="0"/>
    <s v="GBPR_WOODWASTE_FINEL"/>
    <x v="0"/>
    <x v="11"/>
    <n v="110"/>
    <n v="40150"/>
    <n v="144540"/>
  </r>
  <r>
    <x v="0"/>
    <x v="0"/>
    <x v="0"/>
    <x v="2"/>
    <x v="3"/>
    <s v="FIN_EL"/>
    <x v="11"/>
    <x v="0"/>
    <s v="GBPR_WOODWASTE_FINEL"/>
    <x v="0"/>
    <x v="12"/>
    <n v="110"/>
    <n v="40150"/>
    <n v="144540"/>
  </r>
  <r>
    <x v="0"/>
    <x v="0"/>
    <x v="0"/>
    <x v="2"/>
    <x v="3"/>
    <s v="FIN_EL"/>
    <x v="11"/>
    <x v="0"/>
    <s v="GBPR_WOODWASTE_FINEL"/>
    <x v="0"/>
    <x v="13"/>
    <n v="110"/>
    <n v="40150"/>
    <n v="144540"/>
  </r>
  <r>
    <x v="0"/>
    <x v="0"/>
    <x v="0"/>
    <x v="2"/>
    <x v="3"/>
    <s v="FIN_EL"/>
    <x v="11"/>
    <x v="0"/>
    <s v="GBPR_WOODWASTE_FINEL"/>
    <x v="0"/>
    <x v="14"/>
    <n v="110"/>
    <n v="40150"/>
    <n v="144540"/>
  </r>
  <r>
    <x v="0"/>
    <x v="0"/>
    <x v="0"/>
    <x v="2"/>
    <x v="3"/>
    <s v="FIN_EL"/>
    <x v="11"/>
    <x v="0"/>
    <s v="GBPR_WOODWASTE_FINEL"/>
    <x v="0"/>
    <x v="15"/>
    <n v="110"/>
    <n v="40150"/>
    <n v="144540"/>
  </r>
  <r>
    <x v="0"/>
    <x v="0"/>
    <x v="0"/>
    <x v="2"/>
    <x v="3"/>
    <s v="FIN_EL"/>
    <x v="11"/>
    <x v="0"/>
    <s v="GBPR_WOODWASTE_FINEL"/>
    <x v="0"/>
    <x v="16"/>
    <n v="110"/>
    <n v="40150"/>
    <n v="144540"/>
  </r>
  <r>
    <x v="0"/>
    <x v="0"/>
    <x v="0"/>
    <x v="2"/>
    <x v="3"/>
    <s v="FIN_EL"/>
    <x v="11"/>
    <x v="0"/>
    <s v="GBPR_WOODWASTE_FINEL"/>
    <x v="0"/>
    <x v="17"/>
    <n v="110"/>
    <n v="40150"/>
    <n v="144540"/>
  </r>
  <r>
    <x v="0"/>
    <x v="0"/>
    <x v="0"/>
    <x v="2"/>
    <x v="3"/>
    <s v="FIN_EL"/>
    <x v="11"/>
    <x v="0"/>
    <s v="GBPR_WOODWASTE_FINEL"/>
    <x v="0"/>
    <x v="18"/>
    <n v="110"/>
    <n v="40150"/>
    <n v="144540"/>
  </r>
  <r>
    <x v="0"/>
    <x v="0"/>
    <x v="0"/>
    <x v="2"/>
    <x v="3"/>
    <s v="FIN_EL"/>
    <x v="11"/>
    <x v="0"/>
    <s v="GBPR_WOODWASTE_FINEL"/>
    <x v="0"/>
    <x v="19"/>
    <n v="110"/>
    <n v="40150"/>
    <n v="144540"/>
  </r>
  <r>
    <x v="0"/>
    <x v="0"/>
    <x v="0"/>
    <x v="2"/>
    <x v="3"/>
    <s v="FIN_EL"/>
    <x v="11"/>
    <x v="0"/>
    <s v="GBPR_WOODWASTE_FINEL"/>
    <x v="0"/>
    <x v="20"/>
    <n v="110"/>
    <n v="40150"/>
    <n v="144540"/>
  </r>
  <r>
    <x v="0"/>
    <x v="0"/>
    <x v="0"/>
    <x v="2"/>
    <x v="3"/>
    <s v="FIN_EL"/>
    <x v="11"/>
    <x v="0"/>
    <s v="GBPR_WOODWASTE_FINEL"/>
    <x v="0"/>
    <x v="21"/>
    <n v="110"/>
    <n v="40150"/>
    <n v="144540"/>
  </r>
  <r>
    <x v="0"/>
    <x v="0"/>
    <x v="0"/>
    <x v="2"/>
    <x v="3"/>
    <s v="FIN_EL"/>
    <x v="11"/>
    <x v="0"/>
    <s v="GBPR_WOODWASTE_FINEL"/>
    <x v="0"/>
    <x v="22"/>
    <n v="110"/>
    <n v="40150"/>
    <n v="144540"/>
  </r>
  <r>
    <x v="0"/>
    <x v="0"/>
    <x v="0"/>
    <x v="2"/>
    <x v="3"/>
    <s v="FIN_EL"/>
    <x v="11"/>
    <x v="0"/>
    <s v="GBPR_WOODWASTE_FINEL"/>
    <x v="0"/>
    <x v="23"/>
    <n v="110"/>
    <n v="40150"/>
    <n v="144540"/>
  </r>
  <r>
    <x v="0"/>
    <x v="0"/>
    <x v="0"/>
    <x v="2"/>
    <x v="3"/>
    <s v="FIN_HELS"/>
    <x v="12"/>
    <x v="6"/>
    <s v="GETOH_HEATPUMP"/>
    <x v="0"/>
    <x v="0"/>
    <n v="-11.1111111111111"/>
    <n v="-4055.5555555555602"/>
    <n v="-14600"/>
  </r>
  <r>
    <x v="0"/>
    <x v="0"/>
    <x v="0"/>
    <x v="2"/>
    <x v="3"/>
    <s v="FIN_HELS"/>
    <x v="12"/>
    <x v="6"/>
    <s v="GETOH_HEATPUMP"/>
    <x v="0"/>
    <x v="1"/>
    <n v="-11.1111111111111"/>
    <n v="-4055.5555555555602"/>
    <n v="-14600"/>
  </r>
  <r>
    <x v="0"/>
    <x v="0"/>
    <x v="0"/>
    <x v="2"/>
    <x v="3"/>
    <s v="FIN_HELS"/>
    <x v="12"/>
    <x v="6"/>
    <s v="GETOH_HEATPUMP"/>
    <x v="0"/>
    <x v="2"/>
    <n v="-11.1111111111111"/>
    <n v="-4055.5555555555602"/>
    <n v="-14600"/>
  </r>
  <r>
    <x v="0"/>
    <x v="0"/>
    <x v="0"/>
    <x v="2"/>
    <x v="3"/>
    <s v="FIN_HELS"/>
    <x v="12"/>
    <x v="6"/>
    <s v="GETOH_HEATPUMP"/>
    <x v="0"/>
    <x v="3"/>
    <n v="-11.1111111111111"/>
    <n v="-4055.5555555555602"/>
    <n v="-14600"/>
  </r>
  <r>
    <x v="0"/>
    <x v="0"/>
    <x v="0"/>
    <x v="2"/>
    <x v="3"/>
    <s v="FIN_HELS"/>
    <x v="12"/>
    <x v="6"/>
    <s v="GETOH_HEATPUMP"/>
    <x v="0"/>
    <x v="4"/>
    <n v="-11.1111111111111"/>
    <n v="-4055.5555555555602"/>
    <n v="-14600"/>
  </r>
  <r>
    <x v="0"/>
    <x v="0"/>
    <x v="0"/>
    <x v="2"/>
    <x v="3"/>
    <s v="FIN_HELS"/>
    <x v="12"/>
    <x v="6"/>
    <s v="GETOH_HEATPUMP"/>
    <x v="0"/>
    <x v="5"/>
    <n v="-11.1111111111111"/>
    <n v="-4055.5555555555602"/>
    <n v="-14600"/>
  </r>
  <r>
    <x v="0"/>
    <x v="0"/>
    <x v="0"/>
    <x v="2"/>
    <x v="3"/>
    <s v="FIN_HELS"/>
    <x v="12"/>
    <x v="6"/>
    <s v="GETOH_HEATPUMP"/>
    <x v="0"/>
    <x v="6"/>
    <n v="-11.1111111111111"/>
    <n v="-4055.5555555555602"/>
    <n v="-14600"/>
  </r>
  <r>
    <x v="0"/>
    <x v="0"/>
    <x v="0"/>
    <x v="2"/>
    <x v="3"/>
    <s v="FIN_HELS"/>
    <x v="12"/>
    <x v="6"/>
    <s v="GETOH_HEATPUMP"/>
    <x v="0"/>
    <x v="7"/>
    <n v="-11.1111111111111"/>
    <n v="-4055.5555555555602"/>
    <n v="-14600"/>
  </r>
  <r>
    <x v="0"/>
    <x v="0"/>
    <x v="0"/>
    <x v="2"/>
    <x v="3"/>
    <s v="FIN_HELS"/>
    <x v="12"/>
    <x v="6"/>
    <s v="GETOH_HEATPUMP"/>
    <x v="0"/>
    <x v="8"/>
    <n v="-11.1111111111111"/>
    <n v="-4055.5555555555602"/>
    <n v="-14600"/>
  </r>
  <r>
    <x v="0"/>
    <x v="0"/>
    <x v="0"/>
    <x v="2"/>
    <x v="3"/>
    <s v="FIN_HELS"/>
    <x v="12"/>
    <x v="6"/>
    <s v="GETOH_HEATPUMP"/>
    <x v="0"/>
    <x v="9"/>
    <n v="-11.1111111111111"/>
    <n v="-4055.5555555555602"/>
    <n v="-14600"/>
  </r>
  <r>
    <x v="0"/>
    <x v="0"/>
    <x v="0"/>
    <x v="2"/>
    <x v="3"/>
    <s v="FIN_HELS"/>
    <x v="12"/>
    <x v="6"/>
    <s v="GETOH_HEATPUMP"/>
    <x v="0"/>
    <x v="10"/>
    <n v="-11.1111111111111"/>
    <n v="-4055.5555555555602"/>
    <n v="-14600"/>
  </r>
  <r>
    <x v="0"/>
    <x v="0"/>
    <x v="0"/>
    <x v="2"/>
    <x v="3"/>
    <s v="FIN_HELS"/>
    <x v="12"/>
    <x v="6"/>
    <s v="GETOH_HEATPUMP"/>
    <x v="0"/>
    <x v="11"/>
    <n v="-11.1111111111111"/>
    <n v="-4055.5555555555602"/>
    <n v="-14600"/>
  </r>
  <r>
    <x v="0"/>
    <x v="0"/>
    <x v="0"/>
    <x v="2"/>
    <x v="3"/>
    <s v="FIN_HELS"/>
    <x v="12"/>
    <x v="6"/>
    <s v="GETOH_HEATPUMP"/>
    <x v="0"/>
    <x v="12"/>
    <n v="-11.1111111111111"/>
    <n v="-4055.5555555555602"/>
    <n v="-14600"/>
  </r>
  <r>
    <x v="0"/>
    <x v="0"/>
    <x v="0"/>
    <x v="2"/>
    <x v="3"/>
    <s v="FIN_HELS"/>
    <x v="12"/>
    <x v="6"/>
    <s v="GETOH_HEATPUMP"/>
    <x v="0"/>
    <x v="13"/>
    <n v="-11.1111111111111"/>
    <n v="-4055.5555555555602"/>
    <n v="-14600"/>
  </r>
  <r>
    <x v="0"/>
    <x v="0"/>
    <x v="0"/>
    <x v="2"/>
    <x v="3"/>
    <s v="FIN_HELS"/>
    <x v="12"/>
    <x v="6"/>
    <s v="GETOH_HEATPUMP"/>
    <x v="0"/>
    <x v="14"/>
    <n v="-11.1111111111111"/>
    <n v="-4055.5555555555602"/>
    <n v="-14600"/>
  </r>
  <r>
    <x v="0"/>
    <x v="0"/>
    <x v="0"/>
    <x v="2"/>
    <x v="3"/>
    <s v="FIN_HELS"/>
    <x v="12"/>
    <x v="6"/>
    <s v="GETOH_HEATPUMP"/>
    <x v="0"/>
    <x v="15"/>
    <n v="-11.1111111111111"/>
    <n v="-4055.5555555555602"/>
    <n v="-14600"/>
  </r>
  <r>
    <x v="0"/>
    <x v="0"/>
    <x v="0"/>
    <x v="2"/>
    <x v="3"/>
    <s v="FIN_HELS"/>
    <x v="12"/>
    <x v="6"/>
    <s v="GETOH_HEATPUMP"/>
    <x v="0"/>
    <x v="16"/>
    <n v="-11.1111111111111"/>
    <n v="-4055.5555555555602"/>
    <n v="-14600"/>
  </r>
  <r>
    <x v="0"/>
    <x v="0"/>
    <x v="0"/>
    <x v="2"/>
    <x v="3"/>
    <s v="FIN_HELS"/>
    <x v="12"/>
    <x v="6"/>
    <s v="GETOH_HEATPUMP"/>
    <x v="0"/>
    <x v="17"/>
    <n v="-11.1111111111111"/>
    <n v="-4055.5555555555602"/>
    <n v="-14600"/>
  </r>
  <r>
    <x v="0"/>
    <x v="0"/>
    <x v="0"/>
    <x v="2"/>
    <x v="3"/>
    <s v="FIN_HELS"/>
    <x v="12"/>
    <x v="6"/>
    <s v="GETOH_HEATPUMP"/>
    <x v="0"/>
    <x v="18"/>
    <n v="-11.1111111111111"/>
    <n v="-4055.5555555555602"/>
    <n v="-14600"/>
  </r>
  <r>
    <x v="0"/>
    <x v="0"/>
    <x v="0"/>
    <x v="2"/>
    <x v="3"/>
    <s v="FIN_HELS"/>
    <x v="12"/>
    <x v="6"/>
    <s v="GETOH_HEATPUMP"/>
    <x v="0"/>
    <x v="19"/>
    <n v="-11.1111111111111"/>
    <n v="-4055.5555555555602"/>
    <n v="-14600"/>
  </r>
  <r>
    <x v="0"/>
    <x v="0"/>
    <x v="0"/>
    <x v="2"/>
    <x v="3"/>
    <s v="FIN_HELS"/>
    <x v="12"/>
    <x v="6"/>
    <s v="GETOH_HEATPUMP"/>
    <x v="0"/>
    <x v="20"/>
    <n v="-11.1111111111111"/>
    <n v="-4055.5555555555602"/>
    <n v="-14600"/>
  </r>
  <r>
    <x v="0"/>
    <x v="0"/>
    <x v="0"/>
    <x v="2"/>
    <x v="3"/>
    <s v="FIN_HELS"/>
    <x v="12"/>
    <x v="6"/>
    <s v="GETOH_HEATPUMP"/>
    <x v="0"/>
    <x v="21"/>
    <n v="-11.1111111111111"/>
    <n v="-4055.5555555555602"/>
    <n v="-14600"/>
  </r>
  <r>
    <x v="0"/>
    <x v="0"/>
    <x v="0"/>
    <x v="2"/>
    <x v="3"/>
    <s v="FIN_HELS"/>
    <x v="12"/>
    <x v="6"/>
    <s v="GETOH_HEATPUMP"/>
    <x v="0"/>
    <x v="22"/>
    <n v="-11.1111111111111"/>
    <n v="-4055.5555555555602"/>
    <n v="-14600"/>
  </r>
  <r>
    <x v="0"/>
    <x v="0"/>
    <x v="0"/>
    <x v="2"/>
    <x v="3"/>
    <s v="FIN_HELS"/>
    <x v="12"/>
    <x v="6"/>
    <s v="GETOH_HEATPUMP"/>
    <x v="0"/>
    <x v="23"/>
    <n v="-11.1111111111111"/>
    <n v="-4055.5555555555602"/>
    <n v="-14600"/>
  </r>
  <r>
    <x v="0"/>
    <x v="0"/>
    <x v="0"/>
    <x v="2"/>
    <x v="3"/>
    <s v="FIN_HELS"/>
    <x v="2"/>
    <x v="1"/>
    <s v="GEXT_NATGAS_VOUSAARI"/>
    <x v="0"/>
    <x v="7"/>
    <n v="162.614335330806"/>
    <n v="59354.232395744199"/>
    <n v="213675.236624679"/>
  </r>
  <r>
    <x v="0"/>
    <x v="0"/>
    <x v="0"/>
    <x v="2"/>
    <x v="3"/>
    <s v="FIN_HELS"/>
    <x v="2"/>
    <x v="1"/>
    <s v="GEXT_NATGAS_VOUSAARI"/>
    <x v="0"/>
    <x v="8"/>
    <n v="70.858350837286693"/>
    <n v="25863.298055609601"/>
    <n v="93107.873000194697"/>
  </r>
  <r>
    <x v="0"/>
    <x v="0"/>
    <x v="0"/>
    <x v="2"/>
    <x v="3"/>
    <s v="FIN_HELS"/>
    <x v="2"/>
    <x v="1"/>
    <s v="GEXT_NATGAS_VOUSAARI"/>
    <x v="0"/>
    <x v="9"/>
    <n v="11.777425735202099"/>
    <n v="4298.7603933487599"/>
    <n v="15475.5374160555"/>
  </r>
  <r>
    <x v="0"/>
    <x v="0"/>
    <x v="0"/>
    <x v="2"/>
    <x v="3"/>
    <s v="FIN_HELS"/>
    <x v="2"/>
    <x v="1"/>
    <s v="GEXT_NATGAS_VOUSAARI"/>
    <x v="0"/>
    <x v="10"/>
    <n v="95.510440881410702"/>
    <n v="34861.310921714903"/>
    <n v="125500.719318174"/>
  </r>
  <r>
    <x v="0"/>
    <x v="0"/>
    <x v="0"/>
    <x v="2"/>
    <x v="3"/>
    <s v="FIN_HELS"/>
    <x v="2"/>
    <x v="1"/>
    <s v="GEXT_NATGAS_VOUSAARI"/>
    <x v="0"/>
    <x v="16"/>
    <n v="92.510694360998301"/>
    <n v="33766.4034417644"/>
    <n v="121559.05239035199"/>
  </r>
  <r>
    <x v="0"/>
    <x v="0"/>
    <x v="0"/>
    <x v="2"/>
    <x v="3"/>
    <s v="FIN_HELS"/>
    <x v="2"/>
    <x v="1"/>
    <s v="GEXT_NATGAS_VOUSAARI"/>
    <x v="0"/>
    <x v="18"/>
    <n v="81.854502892044593"/>
    <n v="29876.8935555963"/>
    <n v="107556.816800147"/>
  </r>
  <r>
    <x v="0"/>
    <x v="0"/>
    <x v="0"/>
    <x v="2"/>
    <x v="3"/>
    <s v="FIN_HP"/>
    <x v="12"/>
    <x v="6"/>
    <s v="GETOH_ELECTRICBOILER"/>
    <x v="0"/>
    <x v="0"/>
    <n v="-81.632653061224502"/>
    <n v="-29795.918367346902"/>
    <n v="-107265.30612244899"/>
  </r>
  <r>
    <x v="0"/>
    <x v="0"/>
    <x v="0"/>
    <x v="2"/>
    <x v="3"/>
    <s v="FIN_HP"/>
    <x v="12"/>
    <x v="6"/>
    <s v="GETOH_ELECTRICBOILER"/>
    <x v="0"/>
    <x v="1"/>
    <n v="-81.632653061224502"/>
    <n v="-29795.918367346902"/>
    <n v="-107265.30612244899"/>
  </r>
  <r>
    <x v="0"/>
    <x v="0"/>
    <x v="0"/>
    <x v="2"/>
    <x v="3"/>
    <s v="FIN_HP"/>
    <x v="12"/>
    <x v="6"/>
    <s v="GETOH_ELECTRICBOILER"/>
    <x v="0"/>
    <x v="2"/>
    <n v="-81.632653061224502"/>
    <n v="-29795.918367346902"/>
    <n v="-107265.30612244899"/>
  </r>
  <r>
    <x v="0"/>
    <x v="0"/>
    <x v="0"/>
    <x v="2"/>
    <x v="3"/>
    <s v="FIN_HP"/>
    <x v="12"/>
    <x v="6"/>
    <s v="GETOH_ELECTRICBOILER"/>
    <x v="0"/>
    <x v="3"/>
    <n v="-81.632653061224502"/>
    <n v="-29795.918367346902"/>
    <n v="-107265.30612244899"/>
  </r>
  <r>
    <x v="0"/>
    <x v="0"/>
    <x v="0"/>
    <x v="2"/>
    <x v="3"/>
    <s v="FIN_HP"/>
    <x v="12"/>
    <x v="6"/>
    <s v="GETOH_ELECTRICBOILER"/>
    <x v="0"/>
    <x v="4"/>
    <n v="-81.632653061224502"/>
    <n v="-29795.918367346902"/>
    <n v="-107265.30612244899"/>
  </r>
  <r>
    <x v="0"/>
    <x v="0"/>
    <x v="0"/>
    <x v="2"/>
    <x v="3"/>
    <s v="FIN_HP"/>
    <x v="12"/>
    <x v="6"/>
    <s v="GETOH_ELECTRICBOILER"/>
    <x v="0"/>
    <x v="5"/>
    <n v="-81.632653061224502"/>
    <n v="-29795.918367346902"/>
    <n v="-107265.30612244899"/>
  </r>
  <r>
    <x v="0"/>
    <x v="0"/>
    <x v="0"/>
    <x v="2"/>
    <x v="3"/>
    <s v="FIN_HP"/>
    <x v="12"/>
    <x v="6"/>
    <s v="GETOH_ELECTRICBOILER"/>
    <x v="0"/>
    <x v="6"/>
    <n v="-81.632653061224502"/>
    <n v="-29795.918367346902"/>
    <n v="-107265.30612244899"/>
  </r>
  <r>
    <x v="0"/>
    <x v="0"/>
    <x v="0"/>
    <x v="2"/>
    <x v="3"/>
    <s v="FIN_HP"/>
    <x v="12"/>
    <x v="6"/>
    <s v="GETOH_ELECTRICBOILER"/>
    <x v="0"/>
    <x v="7"/>
    <n v="-81.632653061224502"/>
    <n v="-29795.918367346902"/>
    <n v="-107265.30612244899"/>
  </r>
  <r>
    <x v="0"/>
    <x v="0"/>
    <x v="0"/>
    <x v="2"/>
    <x v="3"/>
    <s v="FIN_HP"/>
    <x v="12"/>
    <x v="6"/>
    <s v="GETOH_ELECTRICBOILER"/>
    <x v="0"/>
    <x v="8"/>
    <n v="-81.632653061224502"/>
    <n v="-29795.918367346902"/>
    <n v="-107265.30612244899"/>
  </r>
  <r>
    <x v="0"/>
    <x v="0"/>
    <x v="0"/>
    <x v="2"/>
    <x v="3"/>
    <s v="FIN_HP"/>
    <x v="12"/>
    <x v="6"/>
    <s v="GETOH_ELECTRICBOILER"/>
    <x v="0"/>
    <x v="9"/>
    <n v="-81.632653061224502"/>
    <n v="-29795.918367346902"/>
    <n v="-107265.30612244899"/>
  </r>
  <r>
    <x v="0"/>
    <x v="0"/>
    <x v="0"/>
    <x v="2"/>
    <x v="3"/>
    <s v="FIN_HP"/>
    <x v="12"/>
    <x v="6"/>
    <s v="GETOH_ELECTRICBOILER"/>
    <x v="0"/>
    <x v="10"/>
    <n v="-81.632653061224502"/>
    <n v="-29795.918367346902"/>
    <n v="-107265.30612244899"/>
  </r>
  <r>
    <x v="0"/>
    <x v="0"/>
    <x v="0"/>
    <x v="2"/>
    <x v="3"/>
    <s v="FIN_HP"/>
    <x v="12"/>
    <x v="6"/>
    <s v="GETOH_ELECTRICBOILER"/>
    <x v="0"/>
    <x v="11"/>
    <n v="-81.632653061224502"/>
    <n v="-29795.918367346902"/>
    <n v="-107265.30612244899"/>
  </r>
  <r>
    <x v="0"/>
    <x v="0"/>
    <x v="0"/>
    <x v="2"/>
    <x v="3"/>
    <s v="FIN_HP"/>
    <x v="12"/>
    <x v="6"/>
    <s v="GETOH_ELECTRICBOILER"/>
    <x v="0"/>
    <x v="12"/>
    <n v="-81.632653061224502"/>
    <n v="-29795.918367346902"/>
    <n v="-107265.30612244899"/>
  </r>
  <r>
    <x v="0"/>
    <x v="0"/>
    <x v="0"/>
    <x v="2"/>
    <x v="3"/>
    <s v="FIN_HP"/>
    <x v="12"/>
    <x v="6"/>
    <s v="GETOH_ELECTRICBOILER"/>
    <x v="0"/>
    <x v="13"/>
    <n v="-81.632653061224502"/>
    <n v="-29795.918367346902"/>
    <n v="-107265.30612244899"/>
  </r>
  <r>
    <x v="0"/>
    <x v="0"/>
    <x v="0"/>
    <x v="2"/>
    <x v="3"/>
    <s v="FIN_HP"/>
    <x v="12"/>
    <x v="6"/>
    <s v="GETOH_ELECTRICBOILER"/>
    <x v="0"/>
    <x v="14"/>
    <n v="-81.632653061224502"/>
    <n v="-29795.918367346902"/>
    <n v="-107265.30612244899"/>
  </r>
  <r>
    <x v="0"/>
    <x v="0"/>
    <x v="0"/>
    <x v="2"/>
    <x v="3"/>
    <s v="FIN_HP"/>
    <x v="12"/>
    <x v="6"/>
    <s v="GETOH_ELECTRICBOILER"/>
    <x v="0"/>
    <x v="15"/>
    <n v="-81.632653061224502"/>
    <n v="-29795.918367346902"/>
    <n v="-107265.30612244899"/>
  </r>
  <r>
    <x v="0"/>
    <x v="0"/>
    <x v="0"/>
    <x v="2"/>
    <x v="3"/>
    <s v="FIN_HP"/>
    <x v="12"/>
    <x v="6"/>
    <s v="GETOH_ELECTRICBOILER"/>
    <x v="0"/>
    <x v="16"/>
    <n v="-81.632653061224502"/>
    <n v="-29795.918367346902"/>
    <n v="-107265.30612244899"/>
  </r>
  <r>
    <x v="0"/>
    <x v="0"/>
    <x v="0"/>
    <x v="2"/>
    <x v="3"/>
    <s v="FIN_HP"/>
    <x v="12"/>
    <x v="6"/>
    <s v="GETOH_ELECTRICBOILER"/>
    <x v="0"/>
    <x v="17"/>
    <n v="-81.632653061224502"/>
    <n v="-29795.918367346902"/>
    <n v="-107265.30612244899"/>
  </r>
  <r>
    <x v="0"/>
    <x v="0"/>
    <x v="0"/>
    <x v="2"/>
    <x v="3"/>
    <s v="FIN_HP"/>
    <x v="12"/>
    <x v="6"/>
    <s v="GETOH_ELECTRICBOILER"/>
    <x v="0"/>
    <x v="18"/>
    <n v="-81.632653061224502"/>
    <n v="-29795.918367346902"/>
    <n v="-107265.30612244899"/>
  </r>
  <r>
    <x v="0"/>
    <x v="0"/>
    <x v="0"/>
    <x v="2"/>
    <x v="3"/>
    <s v="FIN_HP"/>
    <x v="12"/>
    <x v="6"/>
    <s v="GETOH_ELECTRICBOILER"/>
    <x v="0"/>
    <x v="19"/>
    <n v="-81.632653061224502"/>
    <n v="-29795.918367346902"/>
    <n v="-107265.30612244899"/>
  </r>
  <r>
    <x v="0"/>
    <x v="0"/>
    <x v="0"/>
    <x v="2"/>
    <x v="3"/>
    <s v="FIN_HP"/>
    <x v="12"/>
    <x v="6"/>
    <s v="GETOH_ELECTRICBOILER"/>
    <x v="0"/>
    <x v="20"/>
    <n v="-81.632653061224502"/>
    <n v="-29795.918367346902"/>
    <n v="-107265.30612244899"/>
  </r>
  <r>
    <x v="0"/>
    <x v="0"/>
    <x v="0"/>
    <x v="2"/>
    <x v="3"/>
    <s v="FIN_HP"/>
    <x v="12"/>
    <x v="6"/>
    <s v="GETOH_ELECTRICBOILER"/>
    <x v="0"/>
    <x v="21"/>
    <n v="-81.632653061224502"/>
    <n v="-29795.918367346902"/>
    <n v="-107265.30612244899"/>
  </r>
  <r>
    <x v="0"/>
    <x v="0"/>
    <x v="0"/>
    <x v="2"/>
    <x v="3"/>
    <s v="FIN_HP"/>
    <x v="12"/>
    <x v="6"/>
    <s v="GETOH_ELECTRICBOILER"/>
    <x v="0"/>
    <x v="22"/>
    <n v="-81.632653061224502"/>
    <n v="-29795.918367346902"/>
    <n v="-107265.30612244899"/>
  </r>
  <r>
    <x v="0"/>
    <x v="0"/>
    <x v="0"/>
    <x v="2"/>
    <x v="3"/>
    <s v="FIN_HP"/>
    <x v="12"/>
    <x v="6"/>
    <s v="GETOH_ELECTRICBOILER"/>
    <x v="0"/>
    <x v="23"/>
    <n v="-81.632653061224502"/>
    <n v="-29795.918367346902"/>
    <n v="-107265.30612244899"/>
  </r>
  <r>
    <x v="0"/>
    <x v="0"/>
    <x v="0"/>
    <x v="2"/>
    <x v="3"/>
    <s v="FIN_HP"/>
    <x v="12"/>
    <x v="6"/>
    <s v="GETOH_HEATPUMP"/>
    <x v="0"/>
    <x v="0"/>
    <n v="-12.6666666666667"/>
    <n v="-4623.3333333333303"/>
    <n v="-16644"/>
  </r>
  <r>
    <x v="0"/>
    <x v="0"/>
    <x v="0"/>
    <x v="2"/>
    <x v="3"/>
    <s v="FIN_HP"/>
    <x v="12"/>
    <x v="6"/>
    <s v="GETOH_HEATPUMP"/>
    <x v="0"/>
    <x v="1"/>
    <n v="-12.6666666666667"/>
    <n v="-4623.3333333333303"/>
    <n v="-16644"/>
  </r>
  <r>
    <x v="0"/>
    <x v="0"/>
    <x v="0"/>
    <x v="2"/>
    <x v="3"/>
    <s v="FIN_HP"/>
    <x v="12"/>
    <x v="6"/>
    <s v="GETOH_HEATPUMP"/>
    <x v="0"/>
    <x v="2"/>
    <n v="-12.6666666666667"/>
    <n v="-4623.3333333333303"/>
    <n v="-16644"/>
  </r>
  <r>
    <x v="0"/>
    <x v="0"/>
    <x v="0"/>
    <x v="2"/>
    <x v="3"/>
    <s v="FIN_HP"/>
    <x v="12"/>
    <x v="6"/>
    <s v="GETOH_HEATPUMP"/>
    <x v="0"/>
    <x v="3"/>
    <n v="-12.6666666666667"/>
    <n v="-4623.3333333333303"/>
    <n v="-16644"/>
  </r>
  <r>
    <x v="0"/>
    <x v="0"/>
    <x v="0"/>
    <x v="2"/>
    <x v="3"/>
    <s v="FIN_HP"/>
    <x v="12"/>
    <x v="6"/>
    <s v="GETOH_HEATPUMP"/>
    <x v="0"/>
    <x v="4"/>
    <n v="-12.6666666666667"/>
    <n v="-4623.3333333333303"/>
    <n v="-16644"/>
  </r>
  <r>
    <x v="0"/>
    <x v="0"/>
    <x v="0"/>
    <x v="2"/>
    <x v="3"/>
    <s v="FIN_HP"/>
    <x v="12"/>
    <x v="6"/>
    <s v="GETOH_HEATPUMP"/>
    <x v="0"/>
    <x v="5"/>
    <n v="-12.6666666666667"/>
    <n v="-4623.3333333333303"/>
    <n v="-16644"/>
  </r>
  <r>
    <x v="0"/>
    <x v="0"/>
    <x v="0"/>
    <x v="2"/>
    <x v="3"/>
    <s v="FIN_HP"/>
    <x v="12"/>
    <x v="6"/>
    <s v="GETOH_HEATPUMP"/>
    <x v="0"/>
    <x v="6"/>
    <n v="-12.6666666666667"/>
    <n v="-4623.3333333333303"/>
    <n v="-16644"/>
  </r>
  <r>
    <x v="0"/>
    <x v="0"/>
    <x v="0"/>
    <x v="2"/>
    <x v="3"/>
    <s v="FIN_HP"/>
    <x v="12"/>
    <x v="6"/>
    <s v="GETOH_HEATPUMP"/>
    <x v="0"/>
    <x v="7"/>
    <n v="-12.6666666666667"/>
    <n v="-4623.3333333333303"/>
    <n v="-16644"/>
  </r>
  <r>
    <x v="0"/>
    <x v="0"/>
    <x v="0"/>
    <x v="2"/>
    <x v="3"/>
    <s v="FIN_HP"/>
    <x v="12"/>
    <x v="6"/>
    <s v="GETOH_HEATPUMP"/>
    <x v="0"/>
    <x v="8"/>
    <n v="-12.6666666666667"/>
    <n v="-4623.3333333333303"/>
    <n v="-16644"/>
  </r>
  <r>
    <x v="0"/>
    <x v="0"/>
    <x v="0"/>
    <x v="2"/>
    <x v="3"/>
    <s v="FIN_HP"/>
    <x v="12"/>
    <x v="6"/>
    <s v="GETOH_HEATPUMP"/>
    <x v="0"/>
    <x v="9"/>
    <n v="-12.6666666666667"/>
    <n v="-4623.3333333333303"/>
    <n v="-16644"/>
  </r>
  <r>
    <x v="0"/>
    <x v="0"/>
    <x v="0"/>
    <x v="2"/>
    <x v="3"/>
    <s v="FIN_HP"/>
    <x v="12"/>
    <x v="6"/>
    <s v="GETOH_HEATPUMP"/>
    <x v="0"/>
    <x v="10"/>
    <n v="-12.6666666666667"/>
    <n v="-4623.3333333333303"/>
    <n v="-16644"/>
  </r>
  <r>
    <x v="0"/>
    <x v="0"/>
    <x v="0"/>
    <x v="2"/>
    <x v="3"/>
    <s v="FIN_HP"/>
    <x v="12"/>
    <x v="6"/>
    <s v="GETOH_HEATPUMP"/>
    <x v="0"/>
    <x v="11"/>
    <n v="-12.6666666666667"/>
    <n v="-4623.3333333333303"/>
    <n v="-16644"/>
  </r>
  <r>
    <x v="0"/>
    <x v="0"/>
    <x v="0"/>
    <x v="2"/>
    <x v="3"/>
    <s v="FIN_HP"/>
    <x v="12"/>
    <x v="6"/>
    <s v="GETOH_HEATPUMP"/>
    <x v="0"/>
    <x v="12"/>
    <n v="-12.6666666666667"/>
    <n v="-4623.3333333333303"/>
    <n v="-16644"/>
  </r>
  <r>
    <x v="0"/>
    <x v="0"/>
    <x v="0"/>
    <x v="2"/>
    <x v="3"/>
    <s v="FIN_HP"/>
    <x v="12"/>
    <x v="6"/>
    <s v="GETOH_HEATPUMP"/>
    <x v="0"/>
    <x v="13"/>
    <n v="-12.6666666666667"/>
    <n v="-4623.3333333333303"/>
    <n v="-16644"/>
  </r>
  <r>
    <x v="0"/>
    <x v="0"/>
    <x v="0"/>
    <x v="2"/>
    <x v="3"/>
    <s v="FIN_HP"/>
    <x v="12"/>
    <x v="6"/>
    <s v="GETOH_HEATPUMP"/>
    <x v="0"/>
    <x v="14"/>
    <n v="-12.6666666666667"/>
    <n v="-4623.3333333333303"/>
    <n v="-16644"/>
  </r>
  <r>
    <x v="0"/>
    <x v="0"/>
    <x v="0"/>
    <x v="2"/>
    <x v="3"/>
    <s v="FIN_HP"/>
    <x v="12"/>
    <x v="6"/>
    <s v="GETOH_HEATPUMP"/>
    <x v="0"/>
    <x v="15"/>
    <n v="-12.6666666666667"/>
    <n v="-4623.3333333333303"/>
    <n v="-16644"/>
  </r>
  <r>
    <x v="0"/>
    <x v="0"/>
    <x v="0"/>
    <x v="2"/>
    <x v="3"/>
    <s v="FIN_HP"/>
    <x v="12"/>
    <x v="6"/>
    <s v="GETOH_HEATPUMP"/>
    <x v="0"/>
    <x v="16"/>
    <n v="-12.6666666666667"/>
    <n v="-4623.3333333333303"/>
    <n v="-16644"/>
  </r>
  <r>
    <x v="0"/>
    <x v="0"/>
    <x v="0"/>
    <x v="2"/>
    <x v="3"/>
    <s v="FIN_HP"/>
    <x v="12"/>
    <x v="6"/>
    <s v="GETOH_HEATPUMP"/>
    <x v="0"/>
    <x v="17"/>
    <n v="-12.6666666666667"/>
    <n v="-4623.3333333333303"/>
    <n v="-16644"/>
  </r>
  <r>
    <x v="0"/>
    <x v="0"/>
    <x v="0"/>
    <x v="2"/>
    <x v="3"/>
    <s v="FIN_HP"/>
    <x v="12"/>
    <x v="6"/>
    <s v="GETOH_HEATPUMP"/>
    <x v="0"/>
    <x v="18"/>
    <n v="-12.6666666666667"/>
    <n v="-4623.3333333333303"/>
    <n v="-16644"/>
  </r>
  <r>
    <x v="0"/>
    <x v="0"/>
    <x v="0"/>
    <x v="2"/>
    <x v="3"/>
    <s v="FIN_HP"/>
    <x v="12"/>
    <x v="6"/>
    <s v="GETOH_HEATPUMP"/>
    <x v="0"/>
    <x v="19"/>
    <n v="-12.6666666666667"/>
    <n v="-4623.3333333333303"/>
    <n v="-16644"/>
  </r>
  <r>
    <x v="0"/>
    <x v="0"/>
    <x v="0"/>
    <x v="2"/>
    <x v="3"/>
    <s v="FIN_HP"/>
    <x v="12"/>
    <x v="6"/>
    <s v="GETOH_HEATPUMP"/>
    <x v="0"/>
    <x v="20"/>
    <n v="-12.6666666666667"/>
    <n v="-4623.3333333333303"/>
    <n v="-16644"/>
  </r>
  <r>
    <x v="0"/>
    <x v="0"/>
    <x v="0"/>
    <x v="2"/>
    <x v="3"/>
    <s v="FIN_HP"/>
    <x v="12"/>
    <x v="6"/>
    <s v="GETOH_HEATPUMP"/>
    <x v="0"/>
    <x v="21"/>
    <n v="-12.6666666666667"/>
    <n v="-4623.3333333333303"/>
    <n v="-16644"/>
  </r>
  <r>
    <x v="0"/>
    <x v="0"/>
    <x v="0"/>
    <x v="2"/>
    <x v="3"/>
    <s v="FIN_HP"/>
    <x v="12"/>
    <x v="6"/>
    <s v="GETOH_HEATPUMP"/>
    <x v="0"/>
    <x v="22"/>
    <n v="-12.6666666666667"/>
    <n v="-4623.3333333333303"/>
    <n v="-16644"/>
  </r>
  <r>
    <x v="0"/>
    <x v="0"/>
    <x v="0"/>
    <x v="2"/>
    <x v="3"/>
    <s v="FIN_HP"/>
    <x v="12"/>
    <x v="6"/>
    <s v="GETOH_HEATPUMP"/>
    <x v="0"/>
    <x v="23"/>
    <n v="-12.6666666666667"/>
    <n v="-4623.3333333333303"/>
    <n v="-16644"/>
  </r>
  <r>
    <x v="0"/>
    <x v="0"/>
    <x v="0"/>
    <x v="2"/>
    <x v="3"/>
    <s v="FIN_OTHER"/>
    <x v="4"/>
    <x v="0"/>
    <s v="GBPR_WOODCHIPS_FINOTHER"/>
    <x v="0"/>
    <x v="0"/>
    <n v="211.2"/>
    <n v="77088"/>
    <n v="277516.79999999999"/>
  </r>
  <r>
    <x v="0"/>
    <x v="0"/>
    <x v="0"/>
    <x v="2"/>
    <x v="3"/>
    <s v="FIN_OTHER"/>
    <x v="4"/>
    <x v="0"/>
    <s v="GBPR_WOODCHIPS_FINOTHER"/>
    <x v="0"/>
    <x v="1"/>
    <n v="211.2"/>
    <n v="77088"/>
    <n v="277516.79999999999"/>
  </r>
  <r>
    <x v="0"/>
    <x v="0"/>
    <x v="0"/>
    <x v="2"/>
    <x v="3"/>
    <s v="FIN_OTHER"/>
    <x v="4"/>
    <x v="0"/>
    <s v="GBPR_WOODCHIPS_FINOTHER"/>
    <x v="0"/>
    <x v="2"/>
    <n v="211.2"/>
    <n v="77088"/>
    <n v="277516.79999999999"/>
  </r>
  <r>
    <x v="0"/>
    <x v="0"/>
    <x v="0"/>
    <x v="2"/>
    <x v="3"/>
    <s v="FIN_OTHER"/>
    <x v="4"/>
    <x v="0"/>
    <s v="GBPR_WOODCHIPS_FINOTHER"/>
    <x v="0"/>
    <x v="3"/>
    <n v="211.2"/>
    <n v="77088"/>
    <n v="277516.79999999999"/>
  </r>
  <r>
    <x v="0"/>
    <x v="0"/>
    <x v="0"/>
    <x v="2"/>
    <x v="3"/>
    <s v="FIN_OTHER"/>
    <x v="4"/>
    <x v="0"/>
    <s v="GBPR_WOODCHIPS_FINOTHER"/>
    <x v="0"/>
    <x v="4"/>
    <n v="211.2"/>
    <n v="77088"/>
    <n v="277516.79999999999"/>
  </r>
  <r>
    <x v="0"/>
    <x v="0"/>
    <x v="0"/>
    <x v="2"/>
    <x v="3"/>
    <s v="FIN_OTHER"/>
    <x v="4"/>
    <x v="0"/>
    <s v="GBPR_WOODCHIPS_FINOTHER"/>
    <x v="0"/>
    <x v="5"/>
    <n v="211.2"/>
    <n v="77088"/>
    <n v="277516.79999999999"/>
  </r>
  <r>
    <x v="0"/>
    <x v="0"/>
    <x v="0"/>
    <x v="2"/>
    <x v="3"/>
    <s v="FIN_OTHER"/>
    <x v="4"/>
    <x v="0"/>
    <s v="GBPR_WOODCHIPS_FINOTHER"/>
    <x v="0"/>
    <x v="6"/>
    <n v="211.2"/>
    <n v="77088"/>
    <n v="277516.79999999999"/>
  </r>
  <r>
    <x v="0"/>
    <x v="0"/>
    <x v="0"/>
    <x v="2"/>
    <x v="3"/>
    <s v="FIN_OTHER"/>
    <x v="4"/>
    <x v="0"/>
    <s v="GBPR_WOODCHIPS_FINOTHER"/>
    <x v="0"/>
    <x v="7"/>
    <n v="211.2"/>
    <n v="77088"/>
    <n v="277516.79999999999"/>
  </r>
  <r>
    <x v="0"/>
    <x v="0"/>
    <x v="0"/>
    <x v="2"/>
    <x v="3"/>
    <s v="FIN_OTHER"/>
    <x v="4"/>
    <x v="0"/>
    <s v="GBPR_WOODCHIPS_FINOTHER"/>
    <x v="0"/>
    <x v="8"/>
    <n v="211.2"/>
    <n v="77088"/>
    <n v="277516.79999999999"/>
  </r>
  <r>
    <x v="0"/>
    <x v="0"/>
    <x v="0"/>
    <x v="2"/>
    <x v="3"/>
    <s v="FIN_OTHER"/>
    <x v="4"/>
    <x v="0"/>
    <s v="GBPR_WOODCHIPS_FINOTHER"/>
    <x v="0"/>
    <x v="9"/>
    <n v="211.2"/>
    <n v="77088"/>
    <n v="277516.79999999999"/>
  </r>
  <r>
    <x v="0"/>
    <x v="0"/>
    <x v="0"/>
    <x v="2"/>
    <x v="3"/>
    <s v="FIN_OTHER"/>
    <x v="4"/>
    <x v="0"/>
    <s v="GBPR_WOODCHIPS_FINOTHER"/>
    <x v="0"/>
    <x v="10"/>
    <n v="211.2"/>
    <n v="77088"/>
    <n v="277516.79999999999"/>
  </r>
  <r>
    <x v="0"/>
    <x v="0"/>
    <x v="0"/>
    <x v="2"/>
    <x v="3"/>
    <s v="FIN_OTHER"/>
    <x v="4"/>
    <x v="0"/>
    <s v="GBPR_WOODCHIPS_FINOTHER"/>
    <x v="0"/>
    <x v="11"/>
    <n v="211.2"/>
    <n v="77088"/>
    <n v="277516.79999999999"/>
  </r>
  <r>
    <x v="0"/>
    <x v="0"/>
    <x v="0"/>
    <x v="2"/>
    <x v="3"/>
    <s v="FIN_OTHER"/>
    <x v="4"/>
    <x v="0"/>
    <s v="GBPR_WOODCHIPS_FINOTHER"/>
    <x v="0"/>
    <x v="12"/>
    <n v="211.2"/>
    <n v="77088"/>
    <n v="277516.79999999999"/>
  </r>
  <r>
    <x v="0"/>
    <x v="0"/>
    <x v="0"/>
    <x v="2"/>
    <x v="3"/>
    <s v="FIN_OTHER"/>
    <x v="4"/>
    <x v="0"/>
    <s v="GBPR_WOODCHIPS_FINOTHER"/>
    <x v="0"/>
    <x v="13"/>
    <n v="211.2"/>
    <n v="77088"/>
    <n v="277516.79999999999"/>
  </r>
  <r>
    <x v="0"/>
    <x v="0"/>
    <x v="0"/>
    <x v="2"/>
    <x v="3"/>
    <s v="FIN_OTHER"/>
    <x v="4"/>
    <x v="0"/>
    <s v="GBPR_WOODCHIPS_FINOTHER"/>
    <x v="0"/>
    <x v="14"/>
    <n v="211.2"/>
    <n v="77088"/>
    <n v="277516.79999999999"/>
  </r>
  <r>
    <x v="0"/>
    <x v="0"/>
    <x v="0"/>
    <x v="2"/>
    <x v="3"/>
    <s v="FIN_OTHER"/>
    <x v="4"/>
    <x v="0"/>
    <s v="GBPR_WOODCHIPS_FINOTHER"/>
    <x v="0"/>
    <x v="15"/>
    <n v="211.2"/>
    <n v="77088"/>
    <n v="277516.79999999999"/>
  </r>
  <r>
    <x v="0"/>
    <x v="0"/>
    <x v="0"/>
    <x v="2"/>
    <x v="3"/>
    <s v="FIN_OTHER"/>
    <x v="4"/>
    <x v="0"/>
    <s v="GBPR_WOODCHIPS_FINOTHER"/>
    <x v="0"/>
    <x v="16"/>
    <n v="211.2"/>
    <n v="77088"/>
    <n v="277516.79999999999"/>
  </r>
  <r>
    <x v="0"/>
    <x v="0"/>
    <x v="0"/>
    <x v="2"/>
    <x v="3"/>
    <s v="FIN_OTHER"/>
    <x v="4"/>
    <x v="0"/>
    <s v="GBPR_WOODCHIPS_FINOTHER"/>
    <x v="0"/>
    <x v="17"/>
    <n v="211.2"/>
    <n v="77088"/>
    <n v="277516.79999999999"/>
  </r>
  <r>
    <x v="0"/>
    <x v="0"/>
    <x v="0"/>
    <x v="2"/>
    <x v="3"/>
    <s v="FIN_OTHER"/>
    <x v="4"/>
    <x v="0"/>
    <s v="GBPR_WOODCHIPS_FINOTHER"/>
    <x v="0"/>
    <x v="18"/>
    <n v="211.2"/>
    <n v="77088"/>
    <n v="277516.79999999999"/>
  </r>
  <r>
    <x v="0"/>
    <x v="0"/>
    <x v="0"/>
    <x v="2"/>
    <x v="3"/>
    <s v="FIN_OTHER"/>
    <x v="4"/>
    <x v="0"/>
    <s v="GBPR_WOODCHIPS_FINOTHER"/>
    <x v="0"/>
    <x v="19"/>
    <n v="211.2"/>
    <n v="77088"/>
    <n v="277516.79999999999"/>
  </r>
  <r>
    <x v="0"/>
    <x v="0"/>
    <x v="0"/>
    <x v="2"/>
    <x v="3"/>
    <s v="FIN_OTHER"/>
    <x v="4"/>
    <x v="0"/>
    <s v="GBPR_WOODCHIPS_FINOTHER"/>
    <x v="0"/>
    <x v="20"/>
    <n v="211.2"/>
    <n v="77088"/>
    <n v="277516.79999999999"/>
  </r>
  <r>
    <x v="0"/>
    <x v="0"/>
    <x v="0"/>
    <x v="2"/>
    <x v="3"/>
    <s v="FIN_OTHER"/>
    <x v="4"/>
    <x v="0"/>
    <s v="GBPR_WOODCHIPS_FINOTHER"/>
    <x v="0"/>
    <x v="21"/>
    <n v="211.2"/>
    <n v="77088"/>
    <n v="277516.79999999999"/>
  </r>
  <r>
    <x v="0"/>
    <x v="0"/>
    <x v="0"/>
    <x v="2"/>
    <x v="3"/>
    <s v="FIN_OTHER"/>
    <x v="4"/>
    <x v="0"/>
    <s v="GBPR_WOODCHIPS_FINOTHER"/>
    <x v="0"/>
    <x v="22"/>
    <n v="211.2"/>
    <n v="77088"/>
    <n v="277516.79999999999"/>
  </r>
  <r>
    <x v="0"/>
    <x v="0"/>
    <x v="0"/>
    <x v="2"/>
    <x v="3"/>
    <s v="FIN_OTHER"/>
    <x v="4"/>
    <x v="0"/>
    <s v="GBPR_WOODCHIPS_FINOTHER"/>
    <x v="0"/>
    <x v="23"/>
    <n v="211.2"/>
    <n v="77088"/>
    <n v="277516.79999999999"/>
  </r>
  <r>
    <x v="0"/>
    <x v="0"/>
    <x v="0"/>
    <x v="2"/>
    <x v="3"/>
    <s v="FIN_OTHER"/>
    <x v="8"/>
    <x v="0"/>
    <s v="GBPR_WOODPELLETS"/>
    <x v="0"/>
    <x v="0"/>
    <n v="1.1000000000000001"/>
    <n v="401.5"/>
    <n v="1445.4"/>
  </r>
  <r>
    <x v="0"/>
    <x v="0"/>
    <x v="0"/>
    <x v="2"/>
    <x v="3"/>
    <s v="FIN_OTHER"/>
    <x v="8"/>
    <x v="0"/>
    <s v="GBPR_WOODPELLETS"/>
    <x v="0"/>
    <x v="1"/>
    <n v="1.1000000000000001"/>
    <n v="401.5"/>
    <n v="1445.4"/>
  </r>
  <r>
    <x v="0"/>
    <x v="0"/>
    <x v="0"/>
    <x v="2"/>
    <x v="3"/>
    <s v="FIN_OTHER"/>
    <x v="8"/>
    <x v="0"/>
    <s v="GBPR_WOODPELLETS"/>
    <x v="0"/>
    <x v="2"/>
    <n v="1.1000000000000001"/>
    <n v="401.5"/>
    <n v="1445.4"/>
  </r>
  <r>
    <x v="0"/>
    <x v="0"/>
    <x v="0"/>
    <x v="2"/>
    <x v="3"/>
    <s v="FIN_OTHER"/>
    <x v="8"/>
    <x v="0"/>
    <s v="GBPR_WOODPELLETS"/>
    <x v="0"/>
    <x v="3"/>
    <n v="1.1000000000000001"/>
    <n v="401.5"/>
    <n v="1445.4"/>
  </r>
  <r>
    <x v="0"/>
    <x v="0"/>
    <x v="0"/>
    <x v="2"/>
    <x v="3"/>
    <s v="FIN_OTHER"/>
    <x v="8"/>
    <x v="0"/>
    <s v="GBPR_WOODPELLETS"/>
    <x v="0"/>
    <x v="4"/>
    <n v="1.1000000000000001"/>
    <n v="401.5"/>
    <n v="1445.4"/>
  </r>
  <r>
    <x v="0"/>
    <x v="0"/>
    <x v="0"/>
    <x v="2"/>
    <x v="3"/>
    <s v="FIN_OTHER"/>
    <x v="8"/>
    <x v="0"/>
    <s v="GBPR_WOODPELLETS"/>
    <x v="0"/>
    <x v="5"/>
    <n v="1.1000000000000001"/>
    <n v="401.5"/>
    <n v="1445.4"/>
  </r>
  <r>
    <x v="0"/>
    <x v="0"/>
    <x v="0"/>
    <x v="2"/>
    <x v="3"/>
    <s v="FIN_OTHER"/>
    <x v="8"/>
    <x v="0"/>
    <s v="GBPR_WOODPELLETS"/>
    <x v="0"/>
    <x v="6"/>
    <n v="1.1000000000000001"/>
    <n v="401.5"/>
    <n v="1445.4"/>
  </r>
  <r>
    <x v="0"/>
    <x v="0"/>
    <x v="0"/>
    <x v="2"/>
    <x v="3"/>
    <s v="FIN_OTHER"/>
    <x v="8"/>
    <x v="0"/>
    <s v="GBPR_WOODPELLETS"/>
    <x v="0"/>
    <x v="7"/>
    <n v="1.1000000000000001"/>
    <n v="401.5"/>
    <n v="1445.4"/>
  </r>
  <r>
    <x v="0"/>
    <x v="0"/>
    <x v="0"/>
    <x v="2"/>
    <x v="3"/>
    <s v="FIN_OTHER"/>
    <x v="8"/>
    <x v="0"/>
    <s v="GBPR_WOODPELLETS"/>
    <x v="0"/>
    <x v="8"/>
    <n v="1.1000000000000001"/>
    <n v="401.5"/>
    <n v="1445.4"/>
  </r>
  <r>
    <x v="0"/>
    <x v="0"/>
    <x v="0"/>
    <x v="2"/>
    <x v="3"/>
    <s v="FIN_OTHER"/>
    <x v="8"/>
    <x v="0"/>
    <s v="GBPR_WOODPELLETS"/>
    <x v="0"/>
    <x v="9"/>
    <n v="1.1000000000000001"/>
    <n v="401.5"/>
    <n v="1445.4"/>
  </r>
  <r>
    <x v="0"/>
    <x v="0"/>
    <x v="0"/>
    <x v="2"/>
    <x v="3"/>
    <s v="FIN_OTHER"/>
    <x v="8"/>
    <x v="0"/>
    <s v="GBPR_WOODPELLETS"/>
    <x v="0"/>
    <x v="10"/>
    <n v="1.1000000000000001"/>
    <n v="401.5"/>
    <n v="1445.4"/>
  </r>
  <r>
    <x v="0"/>
    <x v="0"/>
    <x v="0"/>
    <x v="2"/>
    <x v="3"/>
    <s v="FIN_OTHER"/>
    <x v="8"/>
    <x v="0"/>
    <s v="GBPR_WOODPELLETS"/>
    <x v="0"/>
    <x v="11"/>
    <n v="1.1000000000000001"/>
    <n v="401.5"/>
    <n v="1445.4"/>
  </r>
  <r>
    <x v="0"/>
    <x v="0"/>
    <x v="0"/>
    <x v="2"/>
    <x v="3"/>
    <s v="FIN_OTHER"/>
    <x v="8"/>
    <x v="0"/>
    <s v="GBPR_WOODPELLETS"/>
    <x v="0"/>
    <x v="12"/>
    <n v="1.1000000000000001"/>
    <n v="401.5"/>
    <n v="1445.4"/>
  </r>
  <r>
    <x v="0"/>
    <x v="0"/>
    <x v="0"/>
    <x v="2"/>
    <x v="3"/>
    <s v="FIN_OTHER"/>
    <x v="8"/>
    <x v="0"/>
    <s v="GBPR_WOODPELLETS"/>
    <x v="0"/>
    <x v="13"/>
    <n v="1.1000000000000001"/>
    <n v="401.5"/>
    <n v="1445.4"/>
  </r>
  <r>
    <x v="0"/>
    <x v="0"/>
    <x v="0"/>
    <x v="2"/>
    <x v="3"/>
    <s v="FIN_OTHER"/>
    <x v="8"/>
    <x v="0"/>
    <s v="GBPR_WOODPELLETS"/>
    <x v="0"/>
    <x v="14"/>
    <n v="1.1000000000000001"/>
    <n v="401.5"/>
    <n v="1445.4"/>
  </r>
  <r>
    <x v="0"/>
    <x v="0"/>
    <x v="0"/>
    <x v="2"/>
    <x v="3"/>
    <s v="FIN_OTHER"/>
    <x v="8"/>
    <x v="0"/>
    <s v="GBPR_WOODPELLETS"/>
    <x v="0"/>
    <x v="15"/>
    <n v="1.1000000000000001"/>
    <n v="401.5"/>
    <n v="1445.4"/>
  </r>
  <r>
    <x v="0"/>
    <x v="0"/>
    <x v="0"/>
    <x v="2"/>
    <x v="3"/>
    <s v="FIN_OTHER"/>
    <x v="8"/>
    <x v="0"/>
    <s v="GBPR_WOODPELLETS"/>
    <x v="0"/>
    <x v="16"/>
    <n v="1.1000000000000001"/>
    <n v="401.5"/>
    <n v="1445.4"/>
  </r>
  <r>
    <x v="0"/>
    <x v="0"/>
    <x v="0"/>
    <x v="2"/>
    <x v="3"/>
    <s v="FIN_OTHER"/>
    <x v="8"/>
    <x v="0"/>
    <s v="GBPR_WOODPELLETS"/>
    <x v="0"/>
    <x v="17"/>
    <n v="1.1000000000000001"/>
    <n v="401.5"/>
    <n v="1445.4"/>
  </r>
  <r>
    <x v="0"/>
    <x v="0"/>
    <x v="0"/>
    <x v="2"/>
    <x v="3"/>
    <s v="FIN_OTHER"/>
    <x v="8"/>
    <x v="0"/>
    <s v="GBPR_WOODPELLETS"/>
    <x v="0"/>
    <x v="18"/>
    <n v="1.1000000000000001"/>
    <n v="401.5"/>
    <n v="1445.4"/>
  </r>
  <r>
    <x v="0"/>
    <x v="0"/>
    <x v="0"/>
    <x v="2"/>
    <x v="3"/>
    <s v="FIN_OTHER"/>
    <x v="8"/>
    <x v="0"/>
    <s v="GBPR_WOODPELLETS"/>
    <x v="0"/>
    <x v="19"/>
    <n v="1.1000000000000001"/>
    <n v="401.5"/>
    <n v="1445.4"/>
  </r>
  <r>
    <x v="0"/>
    <x v="0"/>
    <x v="0"/>
    <x v="2"/>
    <x v="3"/>
    <s v="FIN_OTHER"/>
    <x v="8"/>
    <x v="0"/>
    <s v="GBPR_WOODPELLETS"/>
    <x v="0"/>
    <x v="20"/>
    <n v="1.1000000000000001"/>
    <n v="401.5"/>
    <n v="1445.4"/>
  </r>
  <r>
    <x v="0"/>
    <x v="0"/>
    <x v="0"/>
    <x v="2"/>
    <x v="3"/>
    <s v="FIN_OTHER"/>
    <x v="8"/>
    <x v="0"/>
    <s v="GBPR_WOODPELLETS"/>
    <x v="0"/>
    <x v="21"/>
    <n v="1.1000000000000001"/>
    <n v="401.5"/>
    <n v="1445.4"/>
  </r>
  <r>
    <x v="0"/>
    <x v="0"/>
    <x v="0"/>
    <x v="2"/>
    <x v="3"/>
    <s v="FIN_OTHER"/>
    <x v="8"/>
    <x v="0"/>
    <s v="GBPR_WOODPELLETS"/>
    <x v="0"/>
    <x v="22"/>
    <n v="1.1000000000000001"/>
    <n v="401.5"/>
    <n v="1445.4"/>
  </r>
  <r>
    <x v="0"/>
    <x v="0"/>
    <x v="0"/>
    <x v="2"/>
    <x v="3"/>
    <s v="FIN_OTHER"/>
    <x v="8"/>
    <x v="0"/>
    <s v="GBPR_WOODPELLETS"/>
    <x v="0"/>
    <x v="23"/>
    <n v="1.1000000000000001"/>
    <n v="401.5"/>
    <n v="1445.4"/>
  </r>
  <r>
    <x v="0"/>
    <x v="0"/>
    <x v="0"/>
    <x v="2"/>
    <x v="3"/>
    <s v="FIN_OTHER"/>
    <x v="11"/>
    <x v="0"/>
    <s v="GBPR_WOODWASTE_FINOTHER"/>
    <x v="0"/>
    <x v="0"/>
    <n v="74.099999999999994"/>
    <n v="27046.5"/>
    <n v="97367.4"/>
  </r>
  <r>
    <x v="0"/>
    <x v="0"/>
    <x v="0"/>
    <x v="2"/>
    <x v="3"/>
    <s v="FIN_OTHER"/>
    <x v="11"/>
    <x v="0"/>
    <s v="GBPR_WOODWASTE_FINOTHER"/>
    <x v="0"/>
    <x v="1"/>
    <n v="74.099999999999994"/>
    <n v="27046.5"/>
    <n v="97367.4"/>
  </r>
  <r>
    <x v="0"/>
    <x v="0"/>
    <x v="0"/>
    <x v="2"/>
    <x v="3"/>
    <s v="FIN_OTHER"/>
    <x v="11"/>
    <x v="0"/>
    <s v="GBPR_WOODWASTE_FINOTHER"/>
    <x v="0"/>
    <x v="2"/>
    <n v="74.099999999999994"/>
    <n v="27046.5"/>
    <n v="97367.4"/>
  </r>
  <r>
    <x v="0"/>
    <x v="0"/>
    <x v="0"/>
    <x v="2"/>
    <x v="3"/>
    <s v="FIN_OTHER"/>
    <x v="11"/>
    <x v="0"/>
    <s v="GBPR_WOODWASTE_FINOTHER"/>
    <x v="0"/>
    <x v="3"/>
    <n v="74.099999999999994"/>
    <n v="27046.5"/>
    <n v="97367.4"/>
  </r>
  <r>
    <x v="0"/>
    <x v="0"/>
    <x v="0"/>
    <x v="2"/>
    <x v="3"/>
    <s v="FIN_OTHER"/>
    <x v="11"/>
    <x v="0"/>
    <s v="GBPR_WOODWASTE_FINOTHER"/>
    <x v="0"/>
    <x v="4"/>
    <n v="74.099999999999994"/>
    <n v="27046.5"/>
    <n v="97367.4"/>
  </r>
  <r>
    <x v="0"/>
    <x v="0"/>
    <x v="0"/>
    <x v="2"/>
    <x v="3"/>
    <s v="FIN_OTHER"/>
    <x v="11"/>
    <x v="0"/>
    <s v="GBPR_WOODWASTE_FINOTHER"/>
    <x v="0"/>
    <x v="5"/>
    <n v="74.099999999999994"/>
    <n v="27046.5"/>
    <n v="97367.4"/>
  </r>
  <r>
    <x v="0"/>
    <x v="0"/>
    <x v="0"/>
    <x v="2"/>
    <x v="3"/>
    <s v="FIN_OTHER"/>
    <x v="11"/>
    <x v="0"/>
    <s v="GBPR_WOODWASTE_FINOTHER"/>
    <x v="0"/>
    <x v="6"/>
    <n v="74.099999999999994"/>
    <n v="27046.5"/>
    <n v="97367.4"/>
  </r>
  <r>
    <x v="0"/>
    <x v="0"/>
    <x v="0"/>
    <x v="2"/>
    <x v="3"/>
    <s v="FIN_OTHER"/>
    <x v="11"/>
    <x v="0"/>
    <s v="GBPR_WOODWASTE_FINOTHER"/>
    <x v="0"/>
    <x v="7"/>
    <n v="74.099999999999994"/>
    <n v="27046.5"/>
    <n v="97367.4"/>
  </r>
  <r>
    <x v="0"/>
    <x v="0"/>
    <x v="0"/>
    <x v="2"/>
    <x v="3"/>
    <s v="FIN_OTHER"/>
    <x v="11"/>
    <x v="0"/>
    <s v="GBPR_WOODWASTE_FINOTHER"/>
    <x v="0"/>
    <x v="8"/>
    <n v="74.099999999999994"/>
    <n v="27046.5"/>
    <n v="97367.4"/>
  </r>
  <r>
    <x v="0"/>
    <x v="0"/>
    <x v="0"/>
    <x v="2"/>
    <x v="3"/>
    <s v="FIN_OTHER"/>
    <x v="11"/>
    <x v="0"/>
    <s v="GBPR_WOODWASTE_FINOTHER"/>
    <x v="0"/>
    <x v="9"/>
    <n v="74.099999999999994"/>
    <n v="27046.5"/>
    <n v="97367.4"/>
  </r>
  <r>
    <x v="0"/>
    <x v="0"/>
    <x v="0"/>
    <x v="2"/>
    <x v="3"/>
    <s v="FIN_OTHER"/>
    <x v="11"/>
    <x v="0"/>
    <s v="GBPR_WOODWASTE_FINOTHER"/>
    <x v="0"/>
    <x v="10"/>
    <n v="74.099999999999994"/>
    <n v="27046.5"/>
    <n v="97367.4"/>
  </r>
  <r>
    <x v="0"/>
    <x v="0"/>
    <x v="0"/>
    <x v="2"/>
    <x v="3"/>
    <s v="FIN_OTHER"/>
    <x v="11"/>
    <x v="0"/>
    <s v="GBPR_WOODWASTE_FINOTHER"/>
    <x v="0"/>
    <x v="11"/>
    <n v="74.099999999999994"/>
    <n v="27046.5"/>
    <n v="97367.4"/>
  </r>
  <r>
    <x v="0"/>
    <x v="0"/>
    <x v="0"/>
    <x v="2"/>
    <x v="3"/>
    <s v="FIN_OTHER"/>
    <x v="11"/>
    <x v="0"/>
    <s v="GBPR_WOODWASTE_FINOTHER"/>
    <x v="0"/>
    <x v="12"/>
    <n v="74.099999999999994"/>
    <n v="27046.5"/>
    <n v="97367.4"/>
  </r>
  <r>
    <x v="0"/>
    <x v="0"/>
    <x v="0"/>
    <x v="2"/>
    <x v="3"/>
    <s v="FIN_OTHER"/>
    <x v="11"/>
    <x v="0"/>
    <s v="GBPR_WOODWASTE_FINOTHER"/>
    <x v="0"/>
    <x v="13"/>
    <n v="74.099999999999994"/>
    <n v="27046.5"/>
    <n v="97367.4"/>
  </r>
  <r>
    <x v="0"/>
    <x v="0"/>
    <x v="0"/>
    <x v="2"/>
    <x v="3"/>
    <s v="FIN_OTHER"/>
    <x v="11"/>
    <x v="0"/>
    <s v="GBPR_WOODWASTE_FINOTHER"/>
    <x v="0"/>
    <x v="14"/>
    <n v="74.099999999999994"/>
    <n v="27046.5"/>
    <n v="97367.4"/>
  </r>
  <r>
    <x v="0"/>
    <x v="0"/>
    <x v="0"/>
    <x v="2"/>
    <x v="3"/>
    <s v="FIN_OTHER"/>
    <x v="11"/>
    <x v="0"/>
    <s v="GBPR_WOODWASTE_FINOTHER"/>
    <x v="0"/>
    <x v="15"/>
    <n v="74.099999999999994"/>
    <n v="27046.5"/>
    <n v="97367.4"/>
  </r>
  <r>
    <x v="0"/>
    <x v="0"/>
    <x v="0"/>
    <x v="2"/>
    <x v="3"/>
    <s v="FIN_OTHER"/>
    <x v="11"/>
    <x v="0"/>
    <s v="GBPR_WOODWASTE_FINOTHER"/>
    <x v="0"/>
    <x v="16"/>
    <n v="74.099999999999994"/>
    <n v="27046.5"/>
    <n v="97367.4"/>
  </r>
  <r>
    <x v="0"/>
    <x v="0"/>
    <x v="0"/>
    <x v="2"/>
    <x v="3"/>
    <s v="FIN_OTHER"/>
    <x v="11"/>
    <x v="0"/>
    <s v="GBPR_WOODWASTE_FINOTHER"/>
    <x v="0"/>
    <x v="17"/>
    <n v="74.099999999999994"/>
    <n v="27046.5"/>
    <n v="97367.4"/>
  </r>
  <r>
    <x v="0"/>
    <x v="0"/>
    <x v="0"/>
    <x v="2"/>
    <x v="3"/>
    <s v="FIN_OTHER"/>
    <x v="11"/>
    <x v="0"/>
    <s v="GBPR_WOODWASTE_FINOTHER"/>
    <x v="0"/>
    <x v="18"/>
    <n v="74.099999999999994"/>
    <n v="27046.5"/>
    <n v="97367.4"/>
  </r>
  <r>
    <x v="0"/>
    <x v="0"/>
    <x v="0"/>
    <x v="2"/>
    <x v="3"/>
    <s v="FIN_OTHER"/>
    <x v="11"/>
    <x v="0"/>
    <s v="GBPR_WOODWASTE_FINOTHER"/>
    <x v="0"/>
    <x v="19"/>
    <n v="74.099999999999994"/>
    <n v="27046.5"/>
    <n v="97367.4"/>
  </r>
  <r>
    <x v="0"/>
    <x v="0"/>
    <x v="0"/>
    <x v="2"/>
    <x v="3"/>
    <s v="FIN_OTHER"/>
    <x v="11"/>
    <x v="0"/>
    <s v="GBPR_WOODWASTE_FINOTHER"/>
    <x v="0"/>
    <x v="20"/>
    <n v="74.099999999999994"/>
    <n v="27046.5"/>
    <n v="97367.4"/>
  </r>
  <r>
    <x v="0"/>
    <x v="0"/>
    <x v="0"/>
    <x v="2"/>
    <x v="3"/>
    <s v="FIN_OTHER"/>
    <x v="11"/>
    <x v="0"/>
    <s v="GBPR_WOODWASTE_FINOTHER"/>
    <x v="0"/>
    <x v="21"/>
    <n v="74.099999999999994"/>
    <n v="27046.5"/>
    <n v="97367.4"/>
  </r>
  <r>
    <x v="0"/>
    <x v="0"/>
    <x v="0"/>
    <x v="2"/>
    <x v="3"/>
    <s v="FIN_OTHER"/>
    <x v="11"/>
    <x v="0"/>
    <s v="GBPR_WOODWASTE_FINOTHER"/>
    <x v="0"/>
    <x v="22"/>
    <n v="74.099999999999994"/>
    <n v="27046.5"/>
    <n v="97367.4"/>
  </r>
  <r>
    <x v="0"/>
    <x v="0"/>
    <x v="0"/>
    <x v="2"/>
    <x v="3"/>
    <s v="FIN_OTHER"/>
    <x v="11"/>
    <x v="0"/>
    <s v="GBPR_WOODWASTE_FINOTHER"/>
    <x v="0"/>
    <x v="23"/>
    <n v="74.099999999999994"/>
    <n v="27046.5"/>
    <n v="97367.4"/>
  </r>
  <r>
    <x v="0"/>
    <x v="0"/>
    <x v="0"/>
    <x v="2"/>
    <x v="3"/>
    <s v="FIN_TAMP"/>
    <x v="12"/>
    <x v="6"/>
    <s v="GETOH_ELECTRICBOILER"/>
    <x v="0"/>
    <x v="0"/>
    <n v="-20.408163265306101"/>
    <n v="-7448.9795918367299"/>
    <n v="-26816.326530612201"/>
  </r>
  <r>
    <x v="0"/>
    <x v="0"/>
    <x v="0"/>
    <x v="2"/>
    <x v="3"/>
    <s v="FIN_TAMP"/>
    <x v="12"/>
    <x v="6"/>
    <s v="GETOH_ELECTRICBOILER"/>
    <x v="0"/>
    <x v="1"/>
    <n v="-20.408163265306101"/>
    <n v="-7448.9795918367299"/>
    <n v="-26816.326530612201"/>
  </r>
  <r>
    <x v="0"/>
    <x v="0"/>
    <x v="0"/>
    <x v="2"/>
    <x v="3"/>
    <s v="FIN_TAMP"/>
    <x v="12"/>
    <x v="6"/>
    <s v="GETOH_ELECTRICBOILER"/>
    <x v="0"/>
    <x v="2"/>
    <n v="-20.408163265306101"/>
    <n v="-7448.9795918367299"/>
    <n v="-26816.326530612201"/>
  </r>
  <r>
    <x v="0"/>
    <x v="0"/>
    <x v="0"/>
    <x v="2"/>
    <x v="3"/>
    <s v="FIN_TAMP"/>
    <x v="12"/>
    <x v="6"/>
    <s v="GETOH_ELECTRICBOILER"/>
    <x v="0"/>
    <x v="3"/>
    <n v="-20.408163265306101"/>
    <n v="-7448.9795918367299"/>
    <n v="-26816.326530612201"/>
  </r>
  <r>
    <x v="0"/>
    <x v="0"/>
    <x v="0"/>
    <x v="2"/>
    <x v="3"/>
    <s v="FIN_TAMP"/>
    <x v="12"/>
    <x v="6"/>
    <s v="GETOH_ELECTRICBOILER"/>
    <x v="0"/>
    <x v="4"/>
    <n v="-20.408163265306101"/>
    <n v="-7448.9795918367299"/>
    <n v="-26816.326530612201"/>
  </r>
  <r>
    <x v="0"/>
    <x v="0"/>
    <x v="0"/>
    <x v="2"/>
    <x v="3"/>
    <s v="FIN_TAMP"/>
    <x v="12"/>
    <x v="6"/>
    <s v="GETOH_ELECTRICBOILER"/>
    <x v="0"/>
    <x v="5"/>
    <n v="-20.408163265306101"/>
    <n v="-7448.9795918367299"/>
    <n v="-26816.326530612201"/>
  </r>
  <r>
    <x v="0"/>
    <x v="0"/>
    <x v="0"/>
    <x v="2"/>
    <x v="3"/>
    <s v="FIN_TAMP"/>
    <x v="12"/>
    <x v="6"/>
    <s v="GETOH_ELECTRICBOILER"/>
    <x v="0"/>
    <x v="6"/>
    <n v="-20.408163265306101"/>
    <n v="-7448.9795918367299"/>
    <n v="-26816.326530612201"/>
  </r>
  <r>
    <x v="0"/>
    <x v="0"/>
    <x v="0"/>
    <x v="2"/>
    <x v="3"/>
    <s v="FIN_TAMP"/>
    <x v="12"/>
    <x v="6"/>
    <s v="GETOH_ELECTRICBOILER"/>
    <x v="0"/>
    <x v="7"/>
    <n v="-20.408163265306101"/>
    <n v="-7448.9795918367299"/>
    <n v="-26816.326530612201"/>
  </r>
  <r>
    <x v="0"/>
    <x v="0"/>
    <x v="0"/>
    <x v="2"/>
    <x v="3"/>
    <s v="FIN_TAMP"/>
    <x v="12"/>
    <x v="6"/>
    <s v="GETOH_ELECTRICBOILER"/>
    <x v="0"/>
    <x v="8"/>
    <n v="-20.408163265306101"/>
    <n v="-7448.9795918367299"/>
    <n v="-26816.326530612201"/>
  </r>
  <r>
    <x v="0"/>
    <x v="0"/>
    <x v="0"/>
    <x v="2"/>
    <x v="3"/>
    <s v="FIN_TAMP"/>
    <x v="12"/>
    <x v="6"/>
    <s v="GETOH_ELECTRICBOILER"/>
    <x v="0"/>
    <x v="9"/>
    <n v="-20.408163265306101"/>
    <n v="-7448.9795918367299"/>
    <n v="-26816.326530612201"/>
  </r>
  <r>
    <x v="0"/>
    <x v="0"/>
    <x v="0"/>
    <x v="2"/>
    <x v="3"/>
    <s v="FIN_TAMP"/>
    <x v="12"/>
    <x v="6"/>
    <s v="GETOH_ELECTRICBOILER"/>
    <x v="0"/>
    <x v="10"/>
    <n v="-20.408163265306101"/>
    <n v="-7448.9795918367299"/>
    <n v="-26816.326530612201"/>
  </r>
  <r>
    <x v="0"/>
    <x v="0"/>
    <x v="0"/>
    <x v="2"/>
    <x v="3"/>
    <s v="FIN_TAMP"/>
    <x v="12"/>
    <x v="6"/>
    <s v="GETOH_ELECTRICBOILER"/>
    <x v="0"/>
    <x v="11"/>
    <n v="-20.408163265306101"/>
    <n v="-7448.9795918367299"/>
    <n v="-26816.326530612201"/>
  </r>
  <r>
    <x v="0"/>
    <x v="0"/>
    <x v="0"/>
    <x v="2"/>
    <x v="3"/>
    <s v="FIN_TAMP"/>
    <x v="12"/>
    <x v="6"/>
    <s v="GETOH_ELECTRICBOILER"/>
    <x v="0"/>
    <x v="12"/>
    <n v="-20.408163265306101"/>
    <n v="-7448.9795918367299"/>
    <n v="-26816.326530612201"/>
  </r>
  <r>
    <x v="0"/>
    <x v="0"/>
    <x v="0"/>
    <x v="2"/>
    <x v="3"/>
    <s v="FIN_TAMP"/>
    <x v="12"/>
    <x v="6"/>
    <s v="GETOH_ELECTRICBOILER"/>
    <x v="0"/>
    <x v="13"/>
    <n v="-20.408163265306101"/>
    <n v="-7448.9795918367299"/>
    <n v="-26816.326530612201"/>
  </r>
  <r>
    <x v="0"/>
    <x v="0"/>
    <x v="0"/>
    <x v="2"/>
    <x v="3"/>
    <s v="FIN_TAMP"/>
    <x v="12"/>
    <x v="6"/>
    <s v="GETOH_ELECTRICBOILER"/>
    <x v="0"/>
    <x v="14"/>
    <n v="-20.408163265306101"/>
    <n v="-7448.9795918367299"/>
    <n v="-26816.326530612201"/>
  </r>
  <r>
    <x v="0"/>
    <x v="0"/>
    <x v="0"/>
    <x v="2"/>
    <x v="3"/>
    <s v="FIN_TAMP"/>
    <x v="12"/>
    <x v="6"/>
    <s v="GETOH_ELECTRICBOILER"/>
    <x v="0"/>
    <x v="15"/>
    <n v="-20.408163265306101"/>
    <n v="-7448.9795918367299"/>
    <n v="-26816.326530612201"/>
  </r>
  <r>
    <x v="0"/>
    <x v="0"/>
    <x v="0"/>
    <x v="2"/>
    <x v="3"/>
    <s v="FIN_TAMP"/>
    <x v="12"/>
    <x v="6"/>
    <s v="GETOH_ELECTRICBOILER"/>
    <x v="0"/>
    <x v="16"/>
    <n v="-20.408163265306101"/>
    <n v="-7448.9795918367299"/>
    <n v="-26816.326530612201"/>
  </r>
  <r>
    <x v="0"/>
    <x v="0"/>
    <x v="0"/>
    <x v="2"/>
    <x v="3"/>
    <s v="FIN_TAMP"/>
    <x v="12"/>
    <x v="6"/>
    <s v="GETOH_ELECTRICBOILER"/>
    <x v="0"/>
    <x v="17"/>
    <n v="-20.408163265306101"/>
    <n v="-7448.9795918367299"/>
    <n v="-26816.326530612201"/>
  </r>
  <r>
    <x v="0"/>
    <x v="0"/>
    <x v="0"/>
    <x v="2"/>
    <x v="3"/>
    <s v="FIN_TAMP"/>
    <x v="12"/>
    <x v="6"/>
    <s v="GETOH_ELECTRICBOILER"/>
    <x v="0"/>
    <x v="18"/>
    <n v="-20.408163265306101"/>
    <n v="-7448.9795918367299"/>
    <n v="-26816.326530612201"/>
  </r>
  <r>
    <x v="0"/>
    <x v="0"/>
    <x v="0"/>
    <x v="2"/>
    <x v="3"/>
    <s v="FIN_TAMP"/>
    <x v="12"/>
    <x v="6"/>
    <s v="GETOH_ELECTRICBOILER"/>
    <x v="0"/>
    <x v="19"/>
    <n v="-20.408163265306101"/>
    <n v="-7448.9795918367299"/>
    <n v="-26816.326530612201"/>
  </r>
  <r>
    <x v="0"/>
    <x v="0"/>
    <x v="0"/>
    <x v="2"/>
    <x v="3"/>
    <s v="FIN_TAMP"/>
    <x v="12"/>
    <x v="6"/>
    <s v="GETOH_ELECTRICBOILER"/>
    <x v="0"/>
    <x v="20"/>
    <n v="-20.408163265306101"/>
    <n v="-7448.9795918367299"/>
    <n v="-26816.326530612201"/>
  </r>
  <r>
    <x v="0"/>
    <x v="0"/>
    <x v="0"/>
    <x v="2"/>
    <x v="3"/>
    <s v="FIN_TAMP"/>
    <x v="12"/>
    <x v="6"/>
    <s v="GETOH_ELECTRICBOILER"/>
    <x v="0"/>
    <x v="21"/>
    <n v="-20.408163265306101"/>
    <n v="-7448.9795918367299"/>
    <n v="-26816.326530612201"/>
  </r>
  <r>
    <x v="0"/>
    <x v="0"/>
    <x v="0"/>
    <x v="2"/>
    <x v="3"/>
    <s v="FIN_TAMP"/>
    <x v="12"/>
    <x v="6"/>
    <s v="GETOH_ELECTRICBOILER"/>
    <x v="0"/>
    <x v="22"/>
    <n v="-20.408163265306101"/>
    <n v="-7448.9795918367299"/>
    <n v="-26816.326530612201"/>
  </r>
  <r>
    <x v="0"/>
    <x v="0"/>
    <x v="0"/>
    <x v="2"/>
    <x v="3"/>
    <s v="FIN_TAMP"/>
    <x v="12"/>
    <x v="6"/>
    <s v="GETOH_ELECTRICBOILER"/>
    <x v="0"/>
    <x v="23"/>
    <n v="-20.408163265306101"/>
    <n v="-7448.9795918367299"/>
    <n v="-26816.326530612201"/>
  </r>
  <r>
    <x v="0"/>
    <x v="0"/>
    <x v="0"/>
    <x v="2"/>
    <x v="3"/>
    <s v="FIN_TAMP"/>
    <x v="2"/>
    <x v="1"/>
    <s v="GEXT_NATGAS_TAMPERE"/>
    <x v="0"/>
    <x v="0"/>
    <n v="129.03443648296201"/>
    <n v="47097.569316280998"/>
    <n v="169551.24953861101"/>
  </r>
  <r>
    <x v="0"/>
    <x v="0"/>
    <x v="0"/>
    <x v="2"/>
    <x v="3"/>
    <s v="FIN_TAMP"/>
    <x v="2"/>
    <x v="1"/>
    <s v="GEXT_NATGAS_TAMPERE"/>
    <x v="0"/>
    <x v="1"/>
    <n v="127.347398349179"/>
    <n v="46481.800397450403"/>
    <n v="167334.481430821"/>
  </r>
  <r>
    <x v="0"/>
    <x v="0"/>
    <x v="0"/>
    <x v="2"/>
    <x v="3"/>
    <s v="FIN_TAMP"/>
    <x v="2"/>
    <x v="1"/>
    <s v="GEXT_NATGAS_TAMPERE"/>
    <x v="0"/>
    <x v="2"/>
    <n v="128.382790655317"/>
    <n v="46859.718589190503"/>
    <n v="168694.98692108601"/>
  </r>
  <r>
    <x v="0"/>
    <x v="0"/>
    <x v="0"/>
    <x v="2"/>
    <x v="3"/>
    <s v="FIN_TAMP"/>
    <x v="2"/>
    <x v="1"/>
    <s v="GEXT_NATGAS_TAMPERE"/>
    <x v="0"/>
    <x v="3"/>
    <n v="132.411854530006"/>
    <n v="48330.326903451998"/>
    <n v="173989.17685242699"/>
  </r>
  <r>
    <x v="0"/>
    <x v="0"/>
    <x v="0"/>
    <x v="2"/>
    <x v="3"/>
    <s v="FIN_TAMP"/>
    <x v="2"/>
    <x v="1"/>
    <s v="GEXT_NATGAS_TAMPERE"/>
    <x v="0"/>
    <x v="4"/>
    <n v="141.811391888299"/>
    <n v="51761.158039228998"/>
    <n v="186340.16894122399"/>
  </r>
  <r>
    <x v="0"/>
    <x v="0"/>
    <x v="0"/>
    <x v="2"/>
    <x v="3"/>
    <s v="FIN_TAMP"/>
    <x v="2"/>
    <x v="1"/>
    <s v="GEXT_NATGAS_TAMPERE"/>
    <x v="0"/>
    <x v="5"/>
    <n v="157.384909499364"/>
    <n v="57445.491967267699"/>
    <n v="206803.77108216399"/>
  </r>
  <r>
    <x v="0"/>
    <x v="0"/>
    <x v="0"/>
    <x v="2"/>
    <x v="3"/>
    <s v="FIN_TAMP"/>
    <x v="2"/>
    <x v="1"/>
    <s v="GEXT_NATGAS_TAMPERE"/>
    <x v="0"/>
    <x v="6"/>
    <n v="190.190001053179"/>
    <n v="69419.350384410296"/>
    <n v="249909.66138387701"/>
  </r>
  <r>
    <x v="0"/>
    <x v="0"/>
    <x v="0"/>
    <x v="2"/>
    <x v="3"/>
    <s v="FIN_TAMP"/>
    <x v="2"/>
    <x v="1"/>
    <s v="GEXT_NATGAS_TAMPERE"/>
    <x v="0"/>
    <x v="7"/>
    <n v="209.392329324283"/>
    <n v="76428.200203363405"/>
    <n v="275141.52073210798"/>
  </r>
  <r>
    <x v="0"/>
    <x v="0"/>
    <x v="0"/>
    <x v="2"/>
    <x v="3"/>
    <s v="FIN_TAMP"/>
    <x v="2"/>
    <x v="1"/>
    <s v="GEXT_NATGAS_TAMPERE"/>
    <x v="0"/>
    <x v="8"/>
    <n v="213.21194475545499"/>
    <n v="77822.359835741197"/>
    <n v="280160.49540866801"/>
  </r>
  <r>
    <x v="0"/>
    <x v="0"/>
    <x v="0"/>
    <x v="2"/>
    <x v="3"/>
    <s v="FIN_TAMP"/>
    <x v="2"/>
    <x v="1"/>
    <s v="GEXT_NATGAS_TAMPERE"/>
    <x v="0"/>
    <x v="9"/>
    <n v="214.601734034575"/>
    <n v="78329.632922619901"/>
    <n v="281986.67852143198"/>
  </r>
  <r>
    <x v="0"/>
    <x v="0"/>
    <x v="0"/>
    <x v="2"/>
    <x v="3"/>
    <s v="FIN_TAMP"/>
    <x v="2"/>
    <x v="1"/>
    <s v="GEXT_NATGAS_TAMPERE"/>
    <x v="0"/>
    <x v="10"/>
    <n v="207.56244304072999"/>
    <n v="75760.291709866404"/>
    <n v="272737.05015551898"/>
  </r>
  <r>
    <x v="0"/>
    <x v="0"/>
    <x v="0"/>
    <x v="2"/>
    <x v="3"/>
    <s v="FIN_TAMP"/>
    <x v="2"/>
    <x v="1"/>
    <s v="GEXT_NATGAS_TAMPERE"/>
    <x v="0"/>
    <x v="11"/>
    <n v="203.39615379290299"/>
    <n v="74239.596134409498"/>
    <n v="267262.54608387401"/>
  </r>
  <r>
    <x v="0"/>
    <x v="0"/>
    <x v="0"/>
    <x v="2"/>
    <x v="3"/>
    <s v="FIN_TAMP"/>
    <x v="2"/>
    <x v="1"/>
    <s v="GEXT_NATGAS_TAMPERE"/>
    <x v="0"/>
    <x v="12"/>
    <n v="201.733938399191"/>
    <n v="73632.887515704802"/>
    <n v="265078.395056537"/>
  </r>
  <r>
    <x v="0"/>
    <x v="0"/>
    <x v="0"/>
    <x v="2"/>
    <x v="3"/>
    <s v="FIN_TAMP"/>
    <x v="2"/>
    <x v="1"/>
    <s v="GEXT_NATGAS_TAMPERE"/>
    <x v="0"/>
    <x v="13"/>
    <n v="201.33056627581999"/>
    <n v="73485.656690674296"/>
    <n v="264548.36408642703"/>
  </r>
  <r>
    <x v="0"/>
    <x v="0"/>
    <x v="0"/>
    <x v="2"/>
    <x v="3"/>
    <s v="FIN_TAMP"/>
    <x v="2"/>
    <x v="1"/>
    <s v="GEXT_NATGAS_TAMPERE"/>
    <x v="0"/>
    <x v="14"/>
    <n v="202.54519415343501"/>
    <n v="73928.995866003897"/>
    <n v="266144.385117614"/>
  </r>
  <r>
    <x v="0"/>
    <x v="0"/>
    <x v="0"/>
    <x v="2"/>
    <x v="3"/>
    <s v="FIN_TAMP"/>
    <x v="2"/>
    <x v="1"/>
    <s v="GEXT_NATGAS_TAMPERE"/>
    <x v="0"/>
    <x v="15"/>
    <n v="210.36891079035499"/>
    <n v="76784.652438479403"/>
    <n v="276424.74877852597"/>
  </r>
  <r>
    <x v="0"/>
    <x v="0"/>
    <x v="0"/>
    <x v="2"/>
    <x v="3"/>
    <s v="FIN_TAMP"/>
    <x v="2"/>
    <x v="1"/>
    <s v="GEXT_NATGAS_TAMPERE"/>
    <x v="0"/>
    <x v="16"/>
    <n v="202.37996414804701"/>
    <n v="73868.686914037098"/>
    <n v="265927.27289053402"/>
  </r>
  <r>
    <x v="0"/>
    <x v="0"/>
    <x v="0"/>
    <x v="2"/>
    <x v="3"/>
    <s v="FIN_TAMP"/>
    <x v="2"/>
    <x v="1"/>
    <s v="GEXT_NATGAS_TAMPERE"/>
    <x v="0"/>
    <x v="17"/>
    <n v="196.98331608072399"/>
    <n v="71898.910369464196"/>
    <n v="258836.07733007101"/>
  </r>
  <r>
    <x v="0"/>
    <x v="0"/>
    <x v="0"/>
    <x v="2"/>
    <x v="3"/>
    <s v="FIN_TAMP"/>
    <x v="2"/>
    <x v="1"/>
    <s v="GEXT_NATGAS_TAMPERE"/>
    <x v="0"/>
    <x v="18"/>
    <n v="198.18021281814401"/>
    <n v="72335.777678622704"/>
    <n v="260408.799643042"/>
  </r>
  <r>
    <x v="0"/>
    <x v="0"/>
    <x v="0"/>
    <x v="2"/>
    <x v="3"/>
    <s v="FIN_TAMP"/>
    <x v="2"/>
    <x v="1"/>
    <s v="GEXT_NATGAS_TAMPERE"/>
    <x v="0"/>
    <x v="19"/>
    <n v="194.61183396892801"/>
    <n v="71033.319398658801"/>
    <n v="255719.94983517201"/>
  </r>
  <r>
    <x v="0"/>
    <x v="0"/>
    <x v="0"/>
    <x v="2"/>
    <x v="3"/>
    <s v="FIN_TAMP"/>
    <x v="2"/>
    <x v="1"/>
    <s v="GEXT_NATGAS_TAMPERE"/>
    <x v="0"/>
    <x v="20"/>
    <n v="189.69185421934"/>
    <n v="69237.526790058997"/>
    <n v="249255.09644421301"/>
  </r>
  <r>
    <x v="0"/>
    <x v="0"/>
    <x v="0"/>
    <x v="2"/>
    <x v="3"/>
    <s v="FIN_TAMP"/>
    <x v="2"/>
    <x v="1"/>
    <s v="GEXT_NATGAS_TAMPERE"/>
    <x v="0"/>
    <x v="21"/>
    <n v="186.291714964975"/>
    <n v="67996.475962215802"/>
    <n v="244787.31346397701"/>
  </r>
  <r>
    <x v="0"/>
    <x v="0"/>
    <x v="0"/>
    <x v="2"/>
    <x v="3"/>
    <s v="FIN_TAMP"/>
    <x v="2"/>
    <x v="1"/>
    <s v="GEXT_NATGAS_TAMPERE"/>
    <x v="0"/>
    <x v="22"/>
    <n v="175.30111339289499"/>
    <n v="63984.906388406598"/>
    <n v="230345.66299826399"/>
  </r>
  <r>
    <x v="0"/>
    <x v="0"/>
    <x v="0"/>
    <x v="2"/>
    <x v="3"/>
    <s v="FIN_TAMP"/>
    <x v="2"/>
    <x v="1"/>
    <s v="GEXT_NATGAS_TAMPERE"/>
    <x v="0"/>
    <x v="23"/>
    <n v="165.020283792855"/>
    <n v="60232.403584391999"/>
    <n v="216836.65290381099"/>
  </r>
  <r>
    <x v="0"/>
    <x v="0"/>
    <x v="0"/>
    <x v="2"/>
    <x v="3"/>
    <s v="FinA"/>
    <x v="13"/>
    <x v="2"/>
    <s v="GCND_NUCLEAR"/>
    <x v="0"/>
    <x v="0"/>
    <n v="2899.7136"/>
    <n v="1058395.4639999999"/>
    <n v="3810223.6704000002"/>
  </r>
  <r>
    <x v="0"/>
    <x v="0"/>
    <x v="0"/>
    <x v="2"/>
    <x v="3"/>
    <s v="FinA"/>
    <x v="13"/>
    <x v="2"/>
    <s v="GCND_NUCLEAR"/>
    <x v="0"/>
    <x v="1"/>
    <n v="2899.7136"/>
    <n v="1058395.4639999999"/>
    <n v="3810223.6704000002"/>
  </r>
  <r>
    <x v="0"/>
    <x v="0"/>
    <x v="0"/>
    <x v="2"/>
    <x v="3"/>
    <s v="FinA"/>
    <x v="13"/>
    <x v="2"/>
    <s v="GCND_NUCLEAR"/>
    <x v="0"/>
    <x v="2"/>
    <n v="2899.7136"/>
    <n v="1058395.4639999999"/>
    <n v="3810223.6704000002"/>
  </r>
  <r>
    <x v="0"/>
    <x v="0"/>
    <x v="0"/>
    <x v="2"/>
    <x v="3"/>
    <s v="FinA"/>
    <x v="13"/>
    <x v="2"/>
    <s v="GCND_NUCLEAR"/>
    <x v="0"/>
    <x v="3"/>
    <n v="2899.7136"/>
    <n v="1058395.4639999999"/>
    <n v="3810223.6704000002"/>
  </r>
  <r>
    <x v="0"/>
    <x v="0"/>
    <x v="0"/>
    <x v="2"/>
    <x v="3"/>
    <s v="FinA"/>
    <x v="13"/>
    <x v="2"/>
    <s v="GCND_NUCLEAR"/>
    <x v="0"/>
    <x v="4"/>
    <n v="2899.7136"/>
    <n v="1058395.4639999999"/>
    <n v="3810223.6704000002"/>
  </r>
  <r>
    <x v="0"/>
    <x v="0"/>
    <x v="0"/>
    <x v="2"/>
    <x v="3"/>
    <s v="FinA"/>
    <x v="13"/>
    <x v="2"/>
    <s v="GCND_NUCLEAR"/>
    <x v="0"/>
    <x v="5"/>
    <n v="2899.7136"/>
    <n v="1058395.4639999999"/>
    <n v="3810223.6704000002"/>
  </r>
  <r>
    <x v="0"/>
    <x v="0"/>
    <x v="0"/>
    <x v="2"/>
    <x v="3"/>
    <s v="FinA"/>
    <x v="13"/>
    <x v="2"/>
    <s v="GCND_NUCLEAR"/>
    <x v="0"/>
    <x v="6"/>
    <n v="2899.7136"/>
    <n v="1058395.4639999999"/>
    <n v="3810223.6704000002"/>
  </r>
  <r>
    <x v="0"/>
    <x v="0"/>
    <x v="0"/>
    <x v="2"/>
    <x v="3"/>
    <s v="FinA"/>
    <x v="13"/>
    <x v="2"/>
    <s v="GCND_NUCLEAR"/>
    <x v="0"/>
    <x v="7"/>
    <n v="2899.7136"/>
    <n v="1058395.4639999999"/>
    <n v="3810223.6704000002"/>
  </r>
  <r>
    <x v="0"/>
    <x v="0"/>
    <x v="0"/>
    <x v="2"/>
    <x v="3"/>
    <s v="FinA"/>
    <x v="13"/>
    <x v="2"/>
    <s v="GCND_NUCLEAR"/>
    <x v="0"/>
    <x v="8"/>
    <n v="2899.7136"/>
    <n v="1058395.4639999999"/>
    <n v="3810223.6704000002"/>
  </r>
  <r>
    <x v="0"/>
    <x v="0"/>
    <x v="0"/>
    <x v="2"/>
    <x v="3"/>
    <s v="FinA"/>
    <x v="13"/>
    <x v="2"/>
    <s v="GCND_NUCLEAR"/>
    <x v="0"/>
    <x v="9"/>
    <n v="2899.7136"/>
    <n v="1058395.4639999999"/>
    <n v="3810223.6704000002"/>
  </r>
  <r>
    <x v="0"/>
    <x v="0"/>
    <x v="0"/>
    <x v="2"/>
    <x v="3"/>
    <s v="FinA"/>
    <x v="13"/>
    <x v="2"/>
    <s v="GCND_NUCLEAR"/>
    <x v="0"/>
    <x v="10"/>
    <n v="2899.7136"/>
    <n v="1058395.4639999999"/>
    <n v="3810223.6704000002"/>
  </r>
  <r>
    <x v="0"/>
    <x v="0"/>
    <x v="0"/>
    <x v="2"/>
    <x v="3"/>
    <s v="FinA"/>
    <x v="13"/>
    <x v="2"/>
    <s v="GCND_NUCLEAR"/>
    <x v="0"/>
    <x v="11"/>
    <n v="2899.7136"/>
    <n v="1058395.4639999999"/>
    <n v="3810223.6704000002"/>
  </r>
  <r>
    <x v="0"/>
    <x v="0"/>
    <x v="0"/>
    <x v="2"/>
    <x v="3"/>
    <s v="FinA"/>
    <x v="13"/>
    <x v="2"/>
    <s v="GCND_NUCLEAR"/>
    <x v="0"/>
    <x v="12"/>
    <n v="2899.7136"/>
    <n v="1058395.4639999999"/>
    <n v="3810223.6704000002"/>
  </r>
  <r>
    <x v="0"/>
    <x v="0"/>
    <x v="0"/>
    <x v="2"/>
    <x v="3"/>
    <s v="FinA"/>
    <x v="13"/>
    <x v="2"/>
    <s v="GCND_NUCLEAR"/>
    <x v="0"/>
    <x v="13"/>
    <n v="2899.7136"/>
    <n v="1058395.4639999999"/>
    <n v="3810223.6704000002"/>
  </r>
  <r>
    <x v="0"/>
    <x v="0"/>
    <x v="0"/>
    <x v="2"/>
    <x v="3"/>
    <s v="FinA"/>
    <x v="13"/>
    <x v="2"/>
    <s v="GCND_NUCLEAR"/>
    <x v="0"/>
    <x v="14"/>
    <n v="2899.7136"/>
    <n v="1058395.4639999999"/>
    <n v="3810223.6704000002"/>
  </r>
  <r>
    <x v="0"/>
    <x v="0"/>
    <x v="0"/>
    <x v="2"/>
    <x v="3"/>
    <s v="FinA"/>
    <x v="13"/>
    <x v="2"/>
    <s v="GCND_NUCLEAR"/>
    <x v="0"/>
    <x v="15"/>
    <n v="2899.7136"/>
    <n v="1058395.4639999999"/>
    <n v="3810223.6704000002"/>
  </r>
  <r>
    <x v="0"/>
    <x v="0"/>
    <x v="0"/>
    <x v="2"/>
    <x v="3"/>
    <s v="FinA"/>
    <x v="13"/>
    <x v="2"/>
    <s v="GCND_NUCLEAR"/>
    <x v="0"/>
    <x v="16"/>
    <n v="2899.7136"/>
    <n v="1058395.4639999999"/>
    <n v="3810223.6704000002"/>
  </r>
  <r>
    <x v="0"/>
    <x v="0"/>
    <x v="0"/>
    <x v="2"/>
    <x v="3"/>
    <s v="FinA"/>
    <x v="13"/>
    <x v="2"/>
    <s v="GCND_NUCLEAR"/>
    <x v="0"/>
    <x v="17"/>
    <n v="2899.7136"/>
    <n v="1058395.4639999999"/>
    <n v="3810223.6704000002"/>
  </r>
  <r>
    <x v="0"/>
    <x v="0"/>
    <x v="0"/>
    <x v="2"/>
    <x v="3"/>
    <s v="FinA"/>
    <x v="13"/>
    <x v="2"/>
    <s v="GCND_NUCLEAR"/>
    <x v="0"/>
    <x v="18"/>
    <n v="2899.7136"/>
    <n v="1058395.4639999999"/>
    <n v="3810223.6704000002"/>
  </r>
  <r>
    <x v="0"/>
    <x v="0"/>
    <x v="0"/>
    <x v="2"/>
    <x v="3"/>
    <s v="FinA"/>
    <x v="13"/>
    <x v="2"/>
    <s v="GCND_NUCLEAR"/>
    <x v="0"/>
    <x v="19"/>
    <n v="2899.7136"/>
    <n v="1058395.4639999999"/>
    <n v="3810223.6704000002"/>
  </r>
  <r>
    <x v="0"/>
    <x v="0"/>
    <x v="0"/>
    <x v="2"/>
    <x v="3"/>
    <s v="FinA"/>
    <x v="13"/>
    <x v="2"/>
    <s v="GCND_NUCLEAR"/>
    <x v="0"/>
    <x v="20"/>
    <n v="2899.7136"/>
    <n v="1058395.4639999999"/>
    <n v="3810223.6704000002"/>
  </r>
  <r>
    <x v="0"/>
    <x v="0"/>
    <x v="0"/>
    <x v="2"/>
    <x v="3"/>
    <s v="FinA"/>
    <x v="13"/>
    <x v="2"/>
    <s v="GCND_NUCLEAR"/>
    <x v="0"/>
    <x v="21"/>
    <n v="2899.7136"/>
    <n v="1058395.4639999999"/>
    <n v="3810223.6704000002"/>
  </r>
  <r>
    <x v="0"/>
    <x v="0"/>
    <x v="0"/>
    <x v="2"/>
    <x v="3"/>
    <s v="FinA"/>
    <x v="13"/>
    <x v="2"/>
    <s v="GCND_NUCLEAR"/>
    <x v="0"/>
    <x v="22"/>
    <n v="2899.7136"/>
    <n v="1058395.4639999999"/>
    <n v="3810223.6704000002"/>
  </r>
  <r>
    <x v="0"/>
    <x v="0"/>
    <x v="0"/>
    <x v="2"/>
    <x v="3"/>
    <s v="FinA"/>
    <x v="13"/>
    <x v="2"/>
    <s v="GCND_NUCLEAR"/>
    <x v="0"/>
    <x v="23"/>
    <n v="2899.7136"/>
    <n v="1058395.4639999999"/>
    <n v="3810223.6704000002"/>
  </r>
  <r>
    <x v="0"/>
    <x v="0"/>
    <x v="0"/>
    <x v="2"/>
    <x v="3"/>
    <s v="FinA"/>
    <x v="6"/>
    <x v="7"/>
    <s v="GNR_RES_WTR_NOPMP_MC-01"/>
    <x v="0"/>
    <x v="4"/>
    <n v="31.114513775632101"/>
    <n v="11356.797528105701"/>
    <n v="40884.471101180497"/>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8"/>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8"/>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37.422947923728799"/>
    <n v="13659.375992161"/>
    <n v="49173.753571779598"/>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8"/>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8"/>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8"/>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39.570964591259298"/>
    <n v="14443.402075809699"/>
    <n v="51996.247472914802"/>
  </r>
  <r>
    <x v="0"/>
    <x v="0"/>
    <x v="0"/>
    <x v="2"/>
    <x v="3"/>
    <s v="FinA"/>
    <x v="6"/>
    <x v="7"/>
    <s v="GNR_RES_WTR_NOPMP_MC-06"/>
    <x v="0"/>
    <x v="5"/>
    <n v="71.858581758353694"/>
    <n v="26228.382341799101"/>
    <n v="94422.1764304768"/>
  </r>
  <r>
    <x v="0"/>
    <x v="0"/>
    <x v="0"/>
    <x v="2"/>
    <x v="3"/>
    <s v="FinA"/>
    <x v="6"/>
    <x v="7"/>
    <s v="GNR_RES_WTR_NOPMP_MC-06"/>
    <x v="0"/>
    <x v="6"/>
    <n v="156.94999999999999"/>
    <n v="57286.75"/>
    <n v="206232.3"/>
  </r>
  <r>
    <x v="0"/>
    <x v="0"/>
    <x v="0"/>
    <x v="2"/>
    <x v="3"/>
    <s v="FinA"/>
    <x v="6"/>
    <x v="7"/>
    <s v="GNR_RES_WTR_NOPMP_MC-06"/>
    <x v="0"/>
    <x v="7"/>
    <n v="156.94999999999999"/>
    <n v="57286.75"/>
    <n v="206232.3"/>
  </r>
  <r>
    <x v="0"/>
    <x v="0"/>
    <x v="0"/>
    <x v="2"/>
    <x v="3"/>
    <s v="FinA"/>
    <x v="6"/>
    <x v="7"/>
    <s v="GNR_RES_WTR_NOPMP_MC-06"/>
    <x v="0"/>
    <x v="8"/>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8"/>
    <n v="156.94999999999999"/>
    <n v="57286.75"/>
    <n v="206232.3"/>
  </r>
  <r>
    <x v="0"/>
    <x v="0"/>
    <x v="0"/>
    <x v="2"/>
    <x v="3"/>
    <s v="FinA"/>
    <x v="6"/>
    <x v="7"/>
    <s v="GNR_RES_WTR_NOPMP_MC-06"/>
    <x v="0"/>
    <x v="19"/>
    <n v="156.94999999999999"/>
    <n v="57286.75"/>
    <n v="206232.3"/>
  </r>
  <r>
    <x v="0"/>
    <x v="0"/>
    <x v="0"/>
    <x v="2"/>
    <x v="3"/>
    <s v="FinA"/>
    <x v="6"/>
    <x v="7"/>
    <s v="GNR_RES_WTR_NOPMP_MC-06"/>
    <x v="0"/>
    <x v="20"/>
    <n v="156.94999999999999"/>
    <n v="57286.75"/>
    <n v="206232.3"/>
  </r>
  <r>
    <x v="0"/>
    <x v="0"/>
    <x v="0"/>
    <x v="2"/>
    <x v="3"/>
    <s v="FinA"/>
    <x v="6"/>
    <x v="7"/>
    <s v="GNR_RES_WTR_NOPMP_MC-06"/>
    <x v="0"/>
    <x v="21"/>
    <n v="156.94999999999999"/>
    <n v="57286.75"/>
    <n v="206232.3"/>
  </r>
  <r>
    <x v="0"/>
    <x v="0"/>
    <x v="0"/>
    <x v="2"/>
    <x v="3"/>
    <s v="FinA"/>
    <x v="6"/>
    <x v="7"/>
    <s v="GNR_RES_WTR_NOPMP_MC-07"/>
    <x v="0"/>
    <x v="6"/>
    <n v="156.94999999999999"/>
    <n v="57286.75"/>
    <n v="206232.3"/>
  </r>
  <r>
    <x v="0"/>
    <x v="0"/>
    <x v="0"/>
    <x v="2"/>
    <x v="3"/>
    <s v="FinA"/>
    <x v="6"/>
    <x v="7"/>
    <s v="GNR_RES_WTR_NOPMP_MC-07"/>
    <x v="0"/>
    <x v="7"/>
    <n v="156.94999999999999"/>
    <n v="57286.75"/>
    <n v="206232.3"/>
  </r>
  <r>
    <x v="0"/>
    <x v="0"/>
    <x v="0"/>
    <x v="2"/>
    <x v="3"/>
    <s v="FinA"/>
    <x v="6"/>
    <x v="7"/>
    <s v="GNR_RES_WTR_NOPMP_MC-07"/>
    <x v="0"/>
    <x v="8"/>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8"/>
    <n v="156.94999999999999"/>
    <n v="57286.75"/>
    <n v="206232.3"/>
  </r>
  <r>
    <x v="0"/>
    <x v="0"/>
    <x v="0"/>
    <x v="2"/>
    <x v="3"/>
    <s v="FinA"/>
    <x v="6"/>
    <x v="7"/>
    <s v="GNR_RES_WTR_NOPMP_MC-07"/>
    <x v="0"/>
    <x v="19"/>
    <n v="156.94999999999999"/>
    <n v="57286.75"/>
    <n v="206232.3"/>
  </r>
  <r>
    <x v="0"/>
    <x v="0"/>
    <x v="0"/>
    <x v="2"/>
    <x v="3"/>
    <s v="FinA"/>
    <x v="6"/>
    <x v="7"/>
    <s v="GNR_RES_WTR_NOPMP_MC-07"/>
    <x v="0"/>
    <x v="20"/>
    <n v="111.091027885353"/>
    <n v="40548.2251781538"/>
    <n v="145973.610641354"/>
  </r>
  <r>
    <x v="0"/>
    <x v="0"/>
    <x v="0"/>
    <x v="2"/>
    <x v="3"/>
    <s v="FinA"/>
    <x v="6"/>
    <x v="7"/>
    <s v="GNR_RES_WTR_NOPMP_MC-07"/>
    <x v="0"/>
    <x v="21"/>
    <n v="156.94999999999999"/>
    <n v="57286.75"/>
    <n v="206232.3"/>
  </r>
  <r>
    <x v="0"/>
    <x v="0"/>
    <x v="0"/>
    <x v="2"/>
    <x v="3"/>
    <s v="FinA"/>
    <x v="6"/>
    <x v="7"/>
    <s v="GNR_RES_WTR_NOPMP_MC-08"/>
    <x v="0"/>
    <x v="6"/>
    <n v="156.94999999999999"/>
    <n v="57286.75"/>
    <n v="206232.3"/>
  </r>
  <r>
    <x v="0"/>
    <x v="0"/>
    <x v="0"/>
    <x v="2"/>
    <x v="3"/>
    <s v="FinA"/>
    <x v="6"/>
    <x v="7"/>
    <s v="GNR_RES_WTR_NOPMP_MC-08"/>
    <x v="0"/>
    <x v="7"/>
    <n v="156.94999999999999"/>
    <n v="57286.75"/>
    <n v="206232.3"/>
  </r>
  <r>
    <x v="0"/>
    <x v="0"/>
    <x v="0"/>
    <x v="2"/>
    <x v="3"/>
    <s v="FinA"/>
    <x v="6"/>
    <x v="7"/>
    <s v="GNR_RES_WTR_NOPMP_MC-08"/>
    <x v="0"/>
    <x v="8"/>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1"/>
    <n v="156.94999999999999"/>
    <n v="57286.75"/>
    <n v="206232.3"/>
  </r>
  <r>
    <x v="0"/>
    <x v="0"/>
    <x v="0"/>
    <x v="2"/>
    <x v="3"/>
    <s v="FinA"/>
    <x v="6"/>
    <x v="7"/>
    <s v="GNR_RES_WTR_NOPMP_MC-08"/>
    <x v="0"/>
    <x v="12"/>
    <n v="156.94999999999999"/>
    <n v="57286.75"/>
    <n v="206232.3"/>
  </r>
  <r>
    <x v="0"/>
    <x v="0"/>
    <x v="0"/>
    <x v="2"/>
    <x v="3"/>
    <s v="FinA"/>
    <x v="6"/>
    <x v="7"/>
    <s v="GNR_RES_WTR_NOPMP_MC-08"/>
    <x v="0"/>
    <x v="13"/>
    <n v="156.94999999999999"/>
    <n v="57286.75"/>
    <n v="206232.3"/>
  </r>
  <r>
    <x v="0"/>
    <x v="0"/>
    <x v="0"/>
    <x v="2"/>
    <x v="3"/>
    <s v="FinA"/>
    <x v="6"/>
    <x v="7"/>
    <s v="GNR_RES_WTR_NOPMP_MC-08"/>
    <x v="0"/>
    <x v="14"/>
    <n v="156.94999999999999"/>
    <n v="57286.75"/>
    <n v="206232.3"/>
  </r>
  <r>
    <x v="0"/>
    <x v="0"/>
    <x v="0"/>
    <x v="2"/>
    <x v="3"/>
    <s v="FinA"/>
    <x v="6"/>
    <x v="7"/>
    <s v="GNR_RES_WTR_NOPMP_MC-08"/>
    <x v="0"/>
    <x v="15"/>
    <n v="156.94999999999999"/>
    <n v="57286.75"/>
    <n v="206232.3"/>
  </r>
  <r>
    <x v="0"/>
    <x v="0"/>
    <x v="0"/>
    <x v="2"/>
    <x v="3"/>
    <s v="FinA"/>
    <x v="6"/>
    <x v="7"/>
    <s v="GNR_RES_WTR_NOPMP_MC-08"/>
    <x v="0"/>
    <x v="16"/>
    <n v="156.94999999999999"/>
    <n v="57286.75"/>
    <n v="206232.3"/>
  </r>
  <r>
    <x v="0"/>
    <x v="0"/>
    <x v="0"/>
    <x v="2"/>
    <x v="3"/>
    <s v="FinA"/>
    <x v="6"/>
    <x v="7"/>
    <s v="GNR_RES_WTR_NOPMP_MC-08"/>
    <x v="0"/>
    <x v="17"/>
    <n v="156.94999999999999"/>
    <n v="57286.75"/>
    <n v="206232.3"/>
  </r>
  <r>
    <x v="0"/>
    <x v="0"/>
    <x v="0"/>
    <x v="2"/>
    <x v="3"/>
    <s v="FinA"/>
    <x v="6"/>
    <x v="7"/>
    <s v="GNR_RES_WTR_NOPMP_MC-08"/>
    <x v="0"/>
    <x v="18"/>
    <n v="156.94999999999999"/>
    <n v="57286.75"/>
    <n v="206232.3"/>
  </r>
  <r>
    <x v="0"/>
    <x v="0"/>
    <x v="0"/>
    <x v="2"/>
    <x v="3"/>
    <s v="FinA"/>
    <x v="6"/>
    <x v="7"/>
    <s v="GNR_RES_WTR_NOPMP_MC-08"/>
    <x v="0"/>
    <x v="19"/>
    <n v="156.94999999999999"/>
    <n v="57286.75"/>
    <n v="206232.3"/>
  </r>
  <r>
    <x v="0"/>
    <x v="0"/>
    <x v="0"/>
    <x v="2"/>
    <x v="3"/>
    <s v="FinA"/>
    <x v="6"/>
    <x v="7"/>
    <s v="GNR_RES_WTR_NOPMP_MC-08"/>
    <x v="0"/>
    <x v="21"/>
    <n v="26.0006280047023"/>
    <n v="9490.2292217163504"/>
    <n v="34164.825198178798"/>
  </r>
  <r>
    <x v="0"/>
    <x v="0"/>
    <x v="0"/>
    <x v="2"/>
    <x v="3"/>
    <s v="FinA"/>
    <x v="6"/>
    <x v="7"/>
    <s v="GNR_RES_WTR_NOPMP_MC-09"/>
    <x v="0"/>
    <x v="6"/>
    <n v="85.081576240748504"/>
    <n v="31054.775327873202"/>
    <n v="111797.191180344"/>
  </r>
  <r>
    <x v="0"/>
    <x v="0"/>
    <x v="0"/>
    <x v="2"/>
    <x v="3"/>
    <s v="FinA"/>
    <x v="6"/>
    <x v="7"/>
    <s v="GNR_RES_WTR_NOPMP_MC-09"/>
    <x v="0"/>
    <x v="7"/>
    <n v="156.94999999999999"/>
    <n v="57286.75"/>
    <n v="206232.3"/>
  </r>
  <r>
    <x v="0"/>
    <x v="0"/>
    <x v="0"/>
    <x v="2"/>
    <x v="3"/>
    <s v="FinA"/>
    <x v="6"/>
    <x v="7"/>
    <s v="GNR_RES_WTR_NOPMP_MC-09"/>
    <x v="0"/>
    <x v="8"/>
    <n v="156.94999999999999"/>
    <n v="57286.75"/>
    <n v="206232.3"/>
  </r>
  <r>
    <x v="0"/>
    <x v="0"/>
    <x v="0"/>
    <x v="2"/>
    <x v="3"/>
    <s v="FinA"/>
    <x v="6"/>
    <x v="7"/>
    <s v="GNR_RES_WTR_NOPMP_MC-09"/>
    <x v="0"/>
    <x v="9"/>
    <n v="156.94999999999999"/>
    <n v="57286.75"/>
    <n v="206232.3"/>
  </r>
  <r>
    <x v="0"/>
    <x v="0"/>
    <x v="0"/>
    <x v="2"/>
    <x v="3"/>
    <s v="FinA"/>
    <x v="6"/>
    <x v="7"/>
    <s v="GNR_RES_WTR_NOPMP_MC-09"/>
    <x v="0"/>
    <x v="10"/>
    <n v="156.94999999999999"/>
    <n v="57286.75"/>
    <n v="206232.3"/>
  </r>
  <r>
    <x v="0"/>
    <x v="0"/>
    <x v="0"/>
    <x v="2"/>
    <x v="3"/>
    <s v="FinA"/>
    <x v="6"/>
    <x v="7"/>
    <s v="GNR_RES_WTR_NOPMP_MC-09"/>
    <x v="0"/>
    <x v="11"/>
    <n v="156.94999999999999"/>
    <n v="57286.75"/>
    <n v="206232.3"/>
  </r>
  <r>
    <x v="0"/>
    <x v="0"/>
    <x v="0"/>
    <x v="2"/>
    <x v="3"/>
    <s v="FinA"/>
    <x v="6"/>
    <x v="7"/>
    <s v="GNR_RES_WTR_NOPMP_MC-09"/>
    <x v="0"/>
    <x v="12"/>
    <n v="156.94999999999999"/>
    <n v="57286.75"/>
    <n v="206232.3"/>
  </r>
  <r>
    <x v="0"/>
    <x v="0"/>
    <x v="0"/>
    <x v="2"/>
    <x v="3"/>
    <s v="FinA"/>
    <x v="6"/>
    <x v="7"/>
    <s v="GNR_RES_WTR_NOPMP_MC-09"/>
    <x v="0"/>
    <x v="13"/>
    <n v="108.881509772112"/>
    <n v="39741.7510668209"/>
    <n v="143070.30384055499"/>
  </r>
  <r>
    <x v="0"/>
    <x v="0"/>
    <x v="0"/>
    <x v="2"/>
    <x v="3"/>
    <s v="FinA"/>
    <x v="6"/>
    <x v="7"/>
    <s v="GNR_RES_WTR_NOPMP_MC-09"/>
    <x v="0"/>
    <x v="14"/>
    <n v="156.94999999999999"/>
    <n v="57286.75"/>
    <n v="206232.3"/>
  </r>
  <r>
    <x v="0"/>
    <x v="0"/>
    <x v="0"/>
    <x v="2"/>
    <x v="3"/>
    <s v="FinA"/>
    <x v="6"/>
    <x v="7"/>
    <s v="GNR_RES_WTR_NOPMP_MC-09"/>
    <x v="0"/>
    <x v="15"/>
    <n v="156.94999999999999"/>
    <n v="57286.75"/>
    <n v="206232.3"/>
  </r>
  <r>
    <x v="0"/>
    <x v="0"/>
    <x v="0"/>
    <x v="2"/>
    <x v="3"/>
    <s v="FinA"/>
    <x v="6"/>
    <x v="7"/>
    <s v="GNR_RES_WTR_NOPMP_MC-09"/>
    <x v="0"/>
    <x v="16"/>
    <n v="156.94999999999999"/>
    <n v="57286.75"/>
    <n v="206232.3"/>
  </r>
  <r>
    <x v="0"/>
    <x v="0"/>
    <x v="0"/>
    <x v="2"/>
    <x v="3"/>
    <s v="FinA"/>
    <x v="6"/>
    <x v="7"/>
    <s v="GNR_RES_WTR_NOPMP_MC-09"/>
    <x v="0"/>
    <x v="17"/>
    <n v="156.94999999999999"/>
    <n v="57286.75"/>
    <n v="206232.3"/>
  </r>
  <r>
    <x v="0"/>
    <x v="0"/>
    <x v="0"/>
    <x v="2"/>
    <x v="3"/>
    <s v="FinA"/>
    <x v="6"/>
    <x v="7"/>
    <s v="GNR_RES_WTR_NOPMP_MC-09"/>
    <x v="0"/>
    <x v="18"/>
    <n v="156.94999999999999"/>
    <n v="57286.75"/>
    <n v="206232.3"/>
  </r>
  <r>
    <x v="0"/>
    <x v="0"/>
    <x v="0"/>
    <x v="2"/>
    <x v="3"/>
    <s v="FinA"/>
    <x v="6"/>
    <x v="7"/>
    <s v="GNR_RES_WTR_NOPMP_MC-09"/>
    <x v="0"/>
    <x v="19"/>
    <n v="156.94999999999999"/>
    <n v="57286.75"/>
    <n v="206232.3"/>
  </r>
  <r>
    <x v="0"/>
    <x v="0"/>
    <x v="0"/>
    <x v="2"/>
    <x v="3"/>
    <s v="FinA"/>
    <x v="6"/>
    <x v="7"/>
    <s v="GNR_RES_WTR_NOPMP_MC-10"/>
    <x v="0"/>
    <x v="7"/>
    <n v="31.9320211818263"/>
    <n v="11655.187731366599"/>
    <n v="41958.675832919696"/>
  </r>
  <r>
    <x v="0"/>
    <x v="0"/>
    <x v="0"/>
    <x v="2"/>
    <x v="3"/>
    <s v="FinA"/>
    <x v="6"/>
    <x v="7"/>
    <s v="GNR_RES_WTR_NOPMP_MC-10"/>
    <x v="0"/>
    <x v="8"/>
    <n v="156.94999999999999"/>
    <n v="57286.75"/>
    <n v="206232.3"/>
  </r>
  <r>
    <x v="0"/>
    <x v="0"/>
    <x v="0"/>
    <x v="2"/>
    <x v="3"/>
    <s v="FinA"/>
    <x v="6"/>
    <x v="7"/>
    <s v="GNR_RES_WTR_NOPMP_MC-10"/>
    <x v="0"/>
    <x v="9"/>
    <n v="156.94999999999999"/>
    <n v="57286.75"/>
    <n v="206232.3"/>
  </r>
  <r>
    <x v="0"/>
    <x v="0"/>
    <x v="0"/>
    <x v="2"/>
    <x v="3"/>
    <s v="FinA"/>
    <x v="6"/>
    <x v="7"/>
    <s v="GNR_RES_WTR_NOPMP_MC-10"/>
    <x v="0"/>
    <x v="10"/>
    <n v="156.94999999999999"/>
    <n v="57286.75"/>
    <n v="206232.3"/>
  </r>
  <r>
    <x v="0"/>
    <x v="0"/>
    <x v="0"/>
    <x v="2"/>
    <x v="3"/>
    <s v="FinA"/>
    <x v="6"/>
    <x v="7"/>
    <s v="GNR_RES_WTR_NOPMP_MC-10"/>
    <x v="0"/>
    <x v="11"/>
    <n v="74.234955684941497"/>
    <n v="27095.758825003599"/>
    <n v="97544.731770013095"/>
  </r>
  <r>
    <x v="0"/>
    <x v="0"/>
    <x v="0"/>
    <x v="2"/>
    <x v="3"/>
    <s v="FinA"/>
    <x v="6"/>
    <x v="7"/>
    <s v="GNR_RES_WTR_NOPMP_MC-10"/>
    <x v="0"/>
    <x v="12"/>
    <n v="12.5309124468422"/>
    <n v="4573.7830430974"/>
    <n v="16465.6189551506"/>
  </r>
  <r>
    <x v="0"/>
    <x v="0"/>
    <x v="0"/>
    <x v="2"/>
    <x v="3"/>
    <s v="FinA"/>
    <x v="6"/>
    <x v="7"/>
    <s v="GNR_RES_WTR_NOPMP_MC-10"/>
    <x v="0"/>
    <x v="14"/>
    <n v="80.010182496154997"/>
    <n v="29203.716611096599"/>
    <n v="105133.379799948"/>
  </r>
  <r>
    <x v="0"/>
    <x v="0"/>
    <x v="0"/>
    <x v="2"/>
    <x v="3"/>
    <s v="FinA"/>
    <x v="6"/>
    <x v="7"/>
    <s v="GNR_RES_WTR_NOPMP_MC-10"/>
    <x v="0"/>
    <x v="15"/>
    <n v="103.27461714575099"/>
    <n v="37695.235258199202"/>
    <n v="135702.84692951699"/>
  </r>
  <r>
    <x v="0"/>
    <x v="0"/>
    <x v="0"/>
    <x v="2"/>
    <x v="3"/>
    <s v="FinA"/>
    <x v="6"/>
    <x v="7"/>
    <s v="GNR_RES_WTR_NOPMP_MC-10"/>
    <x v="0"/>
    <x v="16"/>
    <n v="156.94999999999999"/>
    <n v="57286.75"/>
    <n v="206232.3"/>
  </r>
  <r>
    <x v="0"/>
    <x v="0"/>
    <x v="0"/>
    <x v="2"/>
    <x v="3"/>
    <s v="FinA"/>
    <x v="6"/>
    <x v="7"/>
    <s v="GNR_RES_WTR_NOPMP_MC-10"/>
    <x v="0"/>
    <x v="17"/>
    <n v="156.94999999999999"/>
    <n v="57286.75"/>
    <n v="206232.3"/>
  </r>
  <r>
    <x v="0"/>
    <x v="0"/>
    <x v="0"/>
    <x v="2"/>
    <x v="3"/>
    <s v="FinA"/>
    <x v="6"/>
    <x v="7"/>
    <s v="GNR_RES_WTR_NOPMP_MC-10"/>
    <x v="0"/>
    <x v="18"/>
    <n v="156.94999999999999"/>
    <n v="57286.75"/>
    <n v="206232.3"/>
  </r>
  <r>
    <x v="0"/>
    <x v="0"/>
    <x v="0"/>
    <x v="2"/>
    <x v="3"/>
    <s v="FinA"/>
    <x v="6"/>
    <x v="7"/>
    <s v="GNR_RES_WTR_NOPMP_MC-10"/>
    <x v="0"/>
    <x v="19"/>
    <n v="113.645561092615"/>
    <n v="41480.629798804599"/>
    <n v="149330.26727569601"/>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2"/>
    <n v="920.44758476060997"/>
    <n v="335963.36843762302"/>
    <n v="1209468.12637544"/>
  </r>
  <r>
    <x v="0"/>
    <x v="0"/>
    <x v="0"/>
    <x v="2"/>
    <x v="3"/>
    <s v="FinA"/>
    <x v="6"/>
    <x v="4"/>
    <s v="GNR_ROR_WTR"/>
    <x v="0"/>
    <x v="3"/>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8"/>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0"/>
    <n v="411.74149233805298"/>
    <n v="150285.644703389"/>
    <n v="541028.32093220204"/>
  </r>
  <r>
    <x v="0"/>
    <x v="0"/>
    <x v="0"/>
    <x v="2"/>
    <x v="3"/>
    <s v="FinA"/>
    <x v="7"/>
    <x v="5"/>
    <s v="GNR_WT_WIND_ONS"/>
    <x v="0"/>
    <x v="1"/>
    <n v="380.51871296754302"/>
    <n v="138889.33023315301"/>
    <n v="500001.58883935102"/>
  </r>
  <r>
    <x v="0"/>
    <x v="0"/>
    <x v="0"/>
    <x v="2"/>
    <x v="3"/>
    <s v="FinA"/>
    <x v="7"/>
    <x v="5"/>
    <s v="GNR_WT_WIND_ONS"/>
    <x v="0"/>
    <x v="2"/>
    <n v="389.78574794052503"/>
    <n v="142271.79799829199"/>
    <n v="512178.47279385"/>
  </r>
  <r>
    <x v="0"/>
    <x v="0"/>
    <x v="0"/>
    <x v="2"/>
    <x v="3"/>
    <s v="FinA"/>
    <x v="7"/>
    <x v="5"/>
    <s v="GNR_WT_WIND_ONS"/>
    <x v="0"/>
    <x v="3"/>
    <n v="289.82397289129898"/>
    <n v="105785.750105324"/>
    <n v="380828.70037916698"/>
  </r>
  <r>
    <x v="0"/>
    <x v="0"/>
    <x v="0"/>
    <x v="2"/>
    <x v="3"/>
    <s v="FinA"/>
    <x v="7"/>
    <x v="5"/>
    <s v="GNR_WT_WIND_ONS"/>
    <x v="0"/>
    <x v="4"/>
    <n v="286.89110907567402"/>
    <n v="104715.254812621"/>
    <n v="376974.91732543497"/>
  </r>
  <r>
    <x v="0"/>
    <x v="0"/>
    <x v="0"/>
    <x v="2"/>
    <x v="3"/>
    <s v="FinA"/>
    <x v="7"/>
    <x v="5"/>
    <s v="GNR_WT_WIND_ONS"/>
    <x v="0"/>
    <x v="5"/>
    <n v="334.46867764026098"/>
    <n v="122081.06733869499"/>
    <n v="439491.84241930197"/>
  </r>
  <r>
    <x v="0"/>
    <x v="0"/>
    <x v="0"/>
    <x v="2"/>
    <x v="3"/>
    <s v="FinA"/>
    <x v="7"/>
    <x v="5"/>
    <s v="GNR_WT_WIND_ONS"/>
    <x v="0"/>
    <x v="6"/>
    <n v="380.84458672483402"/>
    <n v="139008.27415456501"/>
    <n v="500429.78695643198"/>
  </r>
  <r>
    <x v="0"/>
    <x v="0"/>
    <x v="0"/>
    <x v="2"/>
    <x v="3"/>
    <s v="FinA"/>
    <x v="7"/>
    <x v="5"/>
    <s v="GNR_WT_WIND_ONS"/>
    <x v="0"/>
    <x v="7"/>
    <n v="371.74048863049802"/>
    <n v="135685.27835013199"/>
    <n v="488467.00206047401"/>
  </r>
  <r>
    <x v="0"/>
    <x v="0"/>
    <x v="0"/>
    <x v="2"/>
    <x v="3"/>
    <s v="FinA"/>
    <x v="7"/>
    <x v="5"/>
    <s v="GNR_WT_WIND_ONS"/>
    <x v="0"/>
    <x v="8"/>
    <n v="366.03769787789298"/>
    <n v="133603.75972543101"/>
    <n v="480973.53501155198"/>
  </r>
  <r>
    <x v="0"/>
    <x v="0"/>
    <x v="0"/>
    <x v="2"/>
    <x v="3"/>
    <s v="FinA"/>
    <x v="7"/>
    <x v="5"/>
    <s v="GNR_WT_WIND_ONS"/>
    <x v="0"/>
    <x v="9"/>
    <n v="345.263245850548"/>
    <n v="126021.08473545"/>
    <n v="453675.90504762001"/>
  </r>
  <r>
    <x v="0"/>
    <x v="0"/>
    <x v="0"/>
    <x v="2"/>
    <x v="3"/>
    <s v="FinA"/>
    <x v="7"/>
    <x v="5"/>
    <s v="GNR_WT_WIND_ONS"/>
    <x v="0"/>
    <x v="10"/>
    <n v="291.43297456792601"/>
    <n v="106373.03571729299"/>
    <n v="382942.92858225497"/>
  </r>
  <r>
    <x v="0"/>
    <x v="0"/>
    <x v="0"/>
    <x v="2"/>
    <x v="3"/>
    <s v="FinA"/>
    <x v="7"/>
    <x v="5"/>
    <s v="GNR_WT_WIND_ONS"/>
    <x v="0"/>
    <x v="11"/>
    <n v="377.97282423870098"/>
    <n v="137960.080847126"/>
    <n v="496656.29104965401"/>
  </r>
  <r>
    <x v="0"/>
    <x v="0"/>
    <x v="0"/>
    <x v="2"/>
    <x v="3"/>
    <s v="FinA"/>
    <x v="7"/>
    <x v="5"/>
    <s v="GNR_WT_WIND_ONS"/>
    <x v="0"/>
    <x v="12"/>
    <n v="353.02311469605598"/>
    <n v="128853.436864061"/>
    <n v="463872.37271061802"/>
  </r>
  <r>
    <x v="0"/>
    <x v="0"/>
    <x v="0"/>
    <x v="2"/>
    <x v="3"/>
    <s v="FinA"/>
    <x v="7"/>
    <x v="5"/>
    <s v="GNR_WT_WIND_ONS"/>
    <x v="0"/>
    <x v="13"/>
    <n v="344.08195348036497"/>
    <n v="125589.913020333"/>
    <n v="452123.6868732"/>
  </r>
  <r>
    <x v="0"/>
    <x v="0"/>
    <x v="0"/>
    <x v="2"/>
    <x v="3"/>
    <s v="FinA"/>
    <x v="7"/>
    <x v="5"/>
    <s v="GNR_WT_WIND_ONS"/>
    <x v="0"/>
    <x v="14"/>
    <n v="335.71107133993502"/>
    <n v="122534.54103907599"/>
    <n v="441124.34774067497"/>
  </r>
  <r>
    <x v="0"/>
    <x v="0"/>
    <x v="0"/>
    <x v="2"/>
    <x v="3"/>
    <s v="FinA"/>
    <x v="7"/>
    <x v="5"/>
    <s v="GNR_WT_WIND_ONS"/>
    <x v="0"/>
    <x v="15"/>
    <n v="351.49558145875102"/>
    <n v="128295.887232444"/>
    <n v="461865.19403679902"/>
  </r>
  <r>
    <x v="0"/>
    <x v="0"/>
    <x v="0"/>
    <x v="2"/>
    <x v="3"/>
    <s v="FinA"/>
    <x v="7"/>
    <x v="5"/>
    <s v="GNR_WT_WIND_ONS"/>
    <x v="0"/>
    <x v="16"/>
    <n v="393.73696724768701"/>
    <n v="143713.99304540601"/>
    <n v="517370.37496346101"/>
  </r>
  <r>
    <x v="0"/>
    <x v="0"/>
    <x v="0"/>
    <x v="2"/>
    <x v="3"/>
    <s v="FinA"/>
    <x v="7"/>
    <x v="5"/>
    <s v="GNR_WT_WIND_ONS"/>
    <x v="0"/>
    <x v="17"/>
    <n v="421.25293262900402"/>
    <n v="153757.320409587"/>
    <n v="553526.353474512"/>
  </r>
  <r>
    <x v="0"/>
    <x v="0"/>
    <x v="0"/>
    <x v="2"/>
    <x v="3"/>
    <s v="FinA"/>
    <x v="7"/>
    <x v="5"/>
    <s v="GNR_WT_WIND_ONS"/>
    <x v="0"/>
    <x v="18"/>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2"/>
    <x v="3"/>
    <s v="FinA"/>
    <x v="10"/>
    <x v="0"/>
    <s v="GBPR_IND_BIO"/>
    <x v="0"/>
    <x v="0"/>
    <n v="300"/>
    <n v="109500"/>
    <n v="394200"/>
  </r>
  <r>
    <x v="0"/>
    <x v="0"/>
    <x v="0"/>
    <x v="2"/>
    <x v="3"/>
    <s v="FinA"/>
    <x v="10"/>
    <x v="0"/>
    <s v="GBPR_IND_BIO"/>
    <x v="0"/>
    <x v="1"/>
    <n v="300"/>
    <n v="109500"/>
    <n v="394200"/>
  </r>
  <r>
    <x v="0"/>
    <x v="0"/>
    <x v="0"/>
    <x v="2"/>
    <x v="3"/>
    <s v="FinA"/>
    <x v="10"/>
    <x v="0"/>
    <s v="GBPR_IND_BIO"/>
    <x v="0"/>
    <x v="2"/>
    <n v="300"/>
    <n v="109500"/>
    <n v="394200"/>
  </r>
  <r>
    <x v="0"/>
    <x v="0"/>
    <x v="0"/>
    <x v="2"/>
    <x v="3"/>
    <s v="FinA"/>
    <x v="10"/>
    <x v="0"/>
    <s v="GBPR_IND_BIO"/>
    <x v="0"/>
    <x v="3"/>
    <n v="300"/>
    <n v="109500"/>
    <n v="394200"/>
  </r>
  <r>
    <x v="0"/>
    <x v="0"/>
    <x v="0"/>
    <x v="2"/>
    <x v="3"/>
    <s v="FinA"/>
    <x v="10"/>
    <x v="0"/>
    <s v="GBPR_IND_BIO"/>
    <x v="0"/>
    <x v="4"/>
    <n v="300"/>
    <n v="109500"/>
    <n v="394200"/>
  </r>
  <r>
    <x v="0"/>
    <x v="0"/>
    <x v="0"/>
    <x v="2"/>
    <x v="3"/>
    <s v="FinA"/>
    <x v="10"/>
    <x v="0"/>
    <s v="GBPR_IND_BIO"/>
    <x v="0"/>
    <x v="5"/>
    <n v="300"/>
    <n v="109500"/>
    <n v="394200"/>
  </r>
  <r>
    <x v="0"/>
    <x v="0"/>
    <x v="0"/>
    <x v="2"/>
    <x v="3"/>
    <s v="FinA"/>
    <x v="10"/>
    <x v="0"/>
    <s v="GBPR_IND_BIO"/>
    <x v="0"/>
    <x v="6"/>
    <n v="300"/>
    <n v="109500"/>
    <n v="394200"/>
  </r>
  <r>
    <x v="0"/>
    <x v="0"/>
    <x v="0"/>
    <x v="2"/>
    <x v="3"/>
    <s v="FinA"/>
    <x v="10"/>
    <x v="0"/>
    <s v="GBPR_IND_BIO"/>
    <x v="0"/>
    <x v="7"/>
    <n v="300"/>
    <n v="109500"/>
    <n v="394200"/>
  </r>
  <r>
    <x v="0"/>
    <x v="0"/>
    <x v="0"/>
    <x v="2"/>
    <x v="3"/>
    <s v="FinA"/>
    <x v="10"/>
    <x v="0"/>
    <s v="GBPR_IND_BIO"/>
    <x v="0"/>
    <x v="8"/>
    <n v="300"/>
    <n v="109500"/>
    <n v="394200"/>
  </r>
  <r>
    <x v="0"/>
    <x v="0"/>
    <x v="0"/>
    <x v="2"/>
    <x v="3"/>
    <s v="FinA"/>
    <x v="10"/>
    <x v="0"/>
    <s v="GBPR_IND_BIO"/>
    <x v="0"/>
    <x v="9"/>
    <n v="300"/>
    <n v="109500"/>
    <n v="394200"/>
  </r>
  <r>
    <x v="0"/>
    <x v="0"/>
    <x v="0"/>
    <x v="2"/>
    <x v="3"/>
    <s v="FinA"/>
    <x v="10"/>
    <x v="0"/>
    <s v="GBPR_IND_BIO"/>
    <x v="0"/>
    <x v="10"/>
    <n v="300"/>
    <n v="109500"/>
    <n v="394200"/>
  </r>
  <r>
    <x v="0"/>
    <x v="0"/>
    <x v="0"/>
    <x v="2"/>
    <x v="3"/>
    <s v="FinA"/>
    <x v="10"/>
    <x v="0"/>
    <s v="GBPR_IND_BIO"/>
    <x v="0"/>
    <x v="11"/>
    <n v="300"/>
    <n v="109500"/>
    <n v="394200"/>
  </r>
  <r>
    <x v="0"/>
    <x v="0"/>
    <x v="0"/>
    <x v="2"/>
    <x v="3"/>
    <s v="FinA"/>
    <x v="10"/>
    <x v="0"/>
    <s v="GBPR_IND_BIO"/>
    <x v="0"/>
    <x v="12"/>
    <n v="300"/>
    <n v="109500"/>
    <n v="394200"/>
  </r>
  <r>
    <x v="0"/>
    <x v="0"/>
    <x v="0"/>
    <x v="2"/>
    <x v="3"/>
    <s v="FinA"/>
    <x v="10"/>
    <x v="0"/>
    <s v="GBPR_IND_BIO"/>
    <x v="0"/>
    <x v="13"/>
    <n v="300"/>
    <n v="109500"/>
    <n v="394200"/>
  </r>
  <r>
    <x v="0"/>
    <x v="0"/>
    <x v="0"/>
    <x v="2"/>
    <x v="3"/>
    <s v="FinA"/>
    <x v="10"/>
    <x v="0"/>
    <s v="GBPR_IND_BIO"/>
    <x v="0"/>
    <x v="14"/>
    <n v="300"/>
    <n v="109500"/>
    <n v="394200"/>
  </r>
  <r>
    <x v="0"/>
    <x v="0"/>
    <x v="0"/>
    <x v="2"/>
    <x v="3"/>
    <s v="FinA"/>
    <x v="10"/>
    <x v="0"/>
    <s v="GBPR_IND_BIO"/>
    <x v="0"/>
    <x v="15"/>
    <n v="300"/>
    <n v="109500"/>
    <n v="394200"/>
  </r>
  <r>
    <x v="0"/>
    <x v="0"/>
    <x v="0"/>
    <x v="2"/>
    <x v="3"/>
    <s v="FinA"/>
    <x v="10"/>
    <x v="0"/>
    <s v="GBPR_IND_BIO"/>
    <x v="0"/>
    <x v="16"/>
    <n v="300"/>
    <n v="109500"/>
    <n v="394200"/>
  </r>
  <r>
    <x v="0"/>
    <x v="0"/>
    <x v="0"/>
    <x v="2"/>
    <x v="3"/>
    <s v="FinA"/>
    <x v="10"/>
    <x v="0"/>
    <s v="GBPR_IND_BIO"/>
    <x v="0"/>
    <x v="17"/>
    <n v="300"/>
    <n v="109500"/>
    <n v="394200"/>
  </r>
  <r>
    <x v="0"/>
    <x v="0"/>
    <x v="0"/>
    <x v="2"/>
    <x v="3"/>
    <s v="FinA"/>
    <x v="10"/>
    <x v="0"/>
    <s v="GBPR_IND_BIO"/>
    <x v="0"/>
    <x v="18"/>
    <n v="300"/>
    <n v="109500"/>
    <n v="394200"/>
  </r>
  <r>
    <x v="0"/>
    <x v="0"/>
    <x v="0"/>
    <x v="2"/>
    <x v="3"/>
    <s v="FinA"/>
    <x v="10"/>
    <x v="0"/>
    <s v="GBPR_IND_BIO"/>
    <x v="0"/>
    <x v="19"/>
    <n v="300"/>
    <n v="109500"/>
    <n v="394200"/>
  </r>
  <r>
    <x v="0"/>
    <x v="0"/>
    <x v="0"/>
    <x v="2"/>
    <x v="3"/>
    <s v="FinA"/>
    <x v="10"/>
    <x v="0"/>
    <s v="GBPR_IND_BIO"/>
    <x v="0"/>
    <x v="20"/>
    <n v="300"/>
    <n v="109500"/>
    <n v="394200"/>
  </r>
  <r>
    <x v="0"/>
    <x v="0"/>
    <x v="0"/>
    <x v="2"/>
    <x v="3"/>
    <s v="FinA"/>
    <x v="10"/>
    <x v="0"/>
    <s v="GBPR_IND_BIO"/>
    <x v="0"/>
    <x v="21"/>
    <n v="300"/>
    <n v="109500"/>
    <n v="394200"/>
  </r>
  <r>
    <x v="0"/>
    <x v="0"/>
    <x v="0"/>
    <x v="2"/>
    <x v="3"/>
    <s v="FinA"/>
    <x v="10"/>
    <x v="0"/>
    <s v="GBPR_IND_BIO"/>
    <x v="0"/>
    <x v="22"/>
    <n v="300"/>
    <n v="109500"/>
    <n v="394200"/>
  </r>
  <r>
    <x v="0"/>
    <x v="0"/>
    <x v="0"/>
    <x v="2"/>
    <x v="3"/>
    <s v="FinA"/>
    <x v="10"/>
    <x v="0"/>
    <s v="GBPR_IND_BIO"/>
    <x v="0"/>
    <x v="23"/>
    <n v="300"/>
    <n v="109500"/>
    <n v="394200"/>
  </r>
  <r>
    <x v="0"/>
    <x v="0"/>
    <x v="0"/>
    <x v="2"/>
    <x v="3"/>
    <s v="FinA"/>
    <x v="10"/>
    <x v="0"/>
    <s v="GBPR_WOOD_IND"/>
    <x v="0"/>
    <x v="0"/>
    <n v="1847"/>
    <n v="674155"/>
    <n v="2426958"/>
  </r>
  <r>
    <x v="0"/>
    <x v="0"/>
    <x v="0"/>
    <x v="2"/>
    <x v="3"/>
    <s v="FinA"/>
    <x v="10"/>
    <x v="0"/>
    <s v="GBPR_WOOD_IND"/>
    <x v="0"/>
    <x v="1"/>
    <n v="1847"/>
    <n v="674155"/>
    <n v="2426958"/>
  </r>
  <r>
    <x v="0"/>
    <x v="0"/>
    <x v="0"/>
    <x v="2"/>
    <x v="3"/>
    <s v="FinA"/>
    <x v="10"/>
    <x v="0"/>
    <s v="GBPR_WOOD_IND"/>
    <x v="0"/>
    <x v="2"/>
    <n v="1847"/>
    <n v="674155"/>
    <n v="2426958"/>
  </r>
  <r>
    <x v="0"/>
    <x v="0"/>
    <x v="0"/>
    <x v="2"/>
    <x v="3"/>
    <s v="FinA"/>
    <x v="10"/>
    <x v="0"/>
    <s v="GBPR_WOOD_IND"/>
    <x v="0"/>
    <x v="3"/>
    <n v="1847"/>
    <n v="674155"/>
    <n v="2426958"/>
  </r>
  <r>
    <x v="0"/>
    <x v="0"/>
    <x v="0"/>
    <x v="2"/>
    <x v="3"/>
    <s v="FinA"/>
    <x v="10"/>
    <x v="0"/>
    <s v="GBPR_WOOD_IND"/>
    <x v="0"/>
    <x v="4"/>
    <n v="1847"/>
    <n v="674155"/>
    <n v="2426958"/>
  </r>
  <r>
    <x v="0"/>
    <x v="0"/>
    <x v="0"/>
    <x v="2"/>
    <x v="3"/>
    <s v="FinA"/>
    <x v="10"/>
    <x v="0"/>
    <s v="GBPR_WOOD_IND"/>
    <x v="0"/>
    <x v="5"/>
    <n v="1847"/>
    <n v="674155"/>
    <n v="2426958"/>
  </r>
  <r>
    <x v="0"/>
    <x v="0"/>
    <x v="0"/>
    <x v="2"/>
    <x v="3"/>
    <s v="FinA"/>
    <x v="10"/>
    <x v="0"/>
    <s v="GBPR_WOOD_IND"/>
    <x v="0"/>
    <x v="6"/>
    <n v="1847"/>
    <n v="674155"/>
    <n v="2426958"/>
  </r>
  <r>
    <x v="0"/>
    <x v="0"/>
    <x v="0"/>
    <x v="2"/>
    <x v="3"/>
    <s v="FinA"/>
    <x v="10"/>
    <x v="0"/>
    <s v="GBPR_WOOD_IND"/>
    <x v="0"/>
    <x v="7"/>
    <n v="1847"/>
    <n v="674155"/>
    <n v="2426958"/>
  </r>
  <r>
    <x v="0"/>
    <x v="0"/>
    <x v="0"/>
    <x v="2"/>
    <x v="3"/>
    <s v="FinA"/>
    <x v="10"/>
    <x v="0"/>
    <s v="GBPR_WOOD_IND"/>
    <x v="0"/>
    <x v="8"/>
    <n v="1847"/>
    <n v="674155"/>
    <n v="2426958"/>
  </r>
  <r>
    <x v="0"/>
    <x v="0"/>
    <x v="0"/>
    <x v="2"/>
    <x v="3"/>
    <s v="FinA"/>
    <x v="10"/>
    <x v="0"/>
    <s v="GBPR_WOOD_IND"/>
    <x v="0"/>
    <x v="9"/>
    <n v="1847"/>
    <n v="674155"/>
    <n v="2426958"/>
  </r>
  <r>
    <x v="0"/>
    <x v="0"/>
    <x v="0"/>
    <x v="2"/>
    <x v="3"/>
    <s v="FinA"/>
    <x v="10"/>
    <x v="0"/>
    <s v="GBPR_WOOD_IND"/>
    <x v="0"/>
    <x v="10"/>
    <n v="1847"/>
    <n v="674155"/>
    <n v="2426958"/>
  </r>
  <r>
    <x v="0"/>
    <x v="0"/>
    <x v="0"/>
    <x v="2"/>
    <x v="3"/>
    <s v="FinA"/>
    <x v="10"/>
    <x v="0"/>
    <s v="GBPR_WOOD_IND"/>
    <x v="0"/>
    <x v="11"/>
    <n v="1847"/>
    <n v="674155"/>
    <n v="2426958"/>
  </r>
  <r>
    <x v="0"/>
    <x v="0"/>
    <x v="0"/>
    <x v="2"/>
    <x v="3"/>
    <s v="FinA"/>
    <x v="10"/>
    <x v="0"/>
    <s v="GBPR_WOOD_IND"/>
    <x v="0"/>
    <x v="12"/>
    <n v="1847"/>
    <n v="674155"/>
    <n v="2426958"/>
  </r>
  <r>
    <x v="0"/>
    <x v="0"/>
    <x v="0"/>
    <x v="2"/>
    <x v="3"/>
    <s v="FinA"/>
    <x v="10"/>
    <x v="0"/>
    <s v="GBPR_WOOD_IND"/>
    <x v="0"/>
    <x v="13"/>
    <n v="1847"/>
    <n v="674155"/>
    <n v="2426958"/>
  </r>
  <r>
    <x v="0"/>
    <x v="0"/>
    <x v="0"/>
    <x v="2"/>
    <x v="3"/>
    <s v="FinA"/>
    <x v="10"/>
    <x v="0"/>
    <s v="GBPR_WOOD_IND"/>
    <x v="0"/>
    <x v="14"/>
    <n v="1847"/>
    <n v="674155"/>
    <n v="2426958"/>
  </r>
  <r>
    <x v="0"/>
    <x v="0"/>
    <x v="0"/>
    <x v="2"/>
    <x v="3"/>
    <s v="FinA"/>
    <x v="10"/>
    <x v="0"/>
    <s v="GBPR_WOOD_IND"/>
    <x v="0"/>
    <x v="15"/>
    <n v="1847"/>
    <n v="674155"/>
    <n v="2426958"/>
  </r>
  <r>
    <x v="0"/>
    <x v="0"/>
    <x v="0"/>
    <x v="2"/>
    <x v="3"/>
    <s v="FinA"/>
    <x v="10"/>
    <x v="0"/>
    <s v="GBPR_WOOD_IND"/>
    <x v="0"/>
    <x v="16"/>
    <n v="1847"/>
    <n v="674155"/>
    <n v="2426958"/>
  </r>
  <r>
    <x v="0"/>
    <x v="0"/>
    <x v="0"/>
    <x v="2"/>
    <x v="3"/>
    <s v="FinA"/>
    <x v="10"/>
    <x v="0"/>
    <s v="GBPR_WOOD_IND"/>
    <x v="0"/>
    <x v="17"/>
    <n v="1847"/>
    <n v="674155"/>
    <n v="2426958"/>
  </r>
  <r>
    <x v="0"/>
    <x v="0"/>
    <x v="0"/>
    <x v="2"/>
    <x v="3"/>
    <s v="FinA"/>
    <x v="10"/>
    <x v="0"/>
    <s v="GBPR_WOOD_IND"/>
    <x v="0"/>
    <x v="18"/>
    <n v="1847"/>
    <n v="674155"/>
    <n v="2426958"/>
  </r>
  <r>
    <x v="0"/>
    <x v="0"/>
    <x v="0"/>
    <x v="2"/>
    <x v="3"/>
    <s v="FinA"/>
    <x v="10"/>
    <x v="0"/>
    <s v="GBPR_WOOD_IND"/>
    <x v="0"/>
    <x v="19"/>
    <n v="1847"/>
    <n v="674155"/>
    <n v="2426958"/>
  </r>
  <r>
    <x v="0"/>
    <x v="0"/>
    <x v="0"/>
    <x v="2"/>
    <x v="3"/>
    <s v="FinA"/>
    <x v="10"/>
    <x v="0"/>
    <s v="GBPR_WOOD_IND"/>
    <x v="0"/>
    <x v="20"/>
    <n v="1847"/>
    <n v="674155"/>
    <n v="2426958"/>
  </r>
  <r>
    <x v="0"/>
    <x v="0"/>
    <x v="0"/>
    <x v="2"/>
    <x v="3"/>
    <s v="FinA"/>
    <x v="10"/>
    <x v="0"/>
    <s v="GBPR_WOOD_IND"/>
    <x v="0"/>
    <x v="21"/>
    <n v="1847"/>
    <n v="674155"/>
    <n v="2426958"/>
  </r>
  <r>
    <x v="0"/>
    <x v="0"/>
    <x v="0"/>
    <x v="2"/>
    <x v="3"/>
    <s v="FinA"/>
    <x v="10"/>
    <x v="0"/>
    <s v="GBPR_WOOD_IND"/>
    <x v="0"/>
    <x v="22"/>
    <n v="1847"/>
    <n v="674155"/>
    <n v="2426958"/>
  </r>
  <r>
    <x v="0"/>
    <x v="0"/>
    <x v="0"/>
    <x v="2"/>
    <x v="3"/>
    <s v="FinA"/>
    <x v="10"/>
    <x v="0"/>
    <s v="GBPR_WOOD_IND"/>
    <x v="0"/>
    <x v="23"/>
    <n v="1847"/>
    <n v="674155"/>
    <n v="2426958"/>
  </r>
  <r>
    <x v="0"/>
    <x v="0"/>
    <x v="0"/>
    <x v="2"/>
    <x v="3"/>
    <s v="FinA"/>
    <x v="10"/>
    <x v="2"/>
    <s v="GCND_COFIRING"/>
    <x v="0"/>
    <x v="0"/>
    <n v="325.375"/>
    <n v="118761.875"/>
    <n v="427542.75"/>
  </r>
  <r>
    <x v="0"/>
    <x v="0"/>
    <x v="0"/>
    <x v="2"/>
    <x v="3"/>
    <s v="FinA"/>
    <x v="10"/>
    <x v="2"/>
    <s v="GCND_COFIRING"/>
    <x v="0"/>
    <x v="1"/>
    <n v="325.375"/>
    <n v="118761.875"/>
    <n v="427542.75"/>
  </r>
  <r>
    <x v="0"/>
    <x v="0"/>
    <x v="0"/>
    <x v="2"/>
    <x v="3"/>
    <s v="FinA"/>
    <x v="10"/>
    <x v="2"/>
    <s v="GCND_COFIRING"/>
    <x v="0"/>
    <x v="2"/>
    <n v="325.375"/>
    <n v="118761.875"/>
    <n v="427542.75"/>
  </r>
  <r>
    <x v="0"/>
    <x v="0"/>
    <x v="0"/>
    <x v="2"/>
    <x v="3"/>
    <s v="FinA"/>
    <x v="10"/>
    <x v="2"/>
    <s v="GCND_COFIRING"/>
    <x v="0"/>
    <x v="3"/>
    <n v="325.375"/>
    <n v="118761.875"/>
    <n v="427542.75"/>
  </r>
  <r>
    <x v="0"/>
    <x v="0"/>
    <x v="0"/>
    <x v="2"/>
    <x v="3"/>
    <s v="FinA"/>
    <x v="10"/>
    <x v="2"/>
    <s v="GCND_COFIRING"/>
    <x v="0"/>
    <x v="4"/>
    <n v="325.375"/>
    <n v="118761.875"/>
    <n v="427542.75"/>
  </r>
  <r>
    <x v="0"/>
    <x v="0"/>
    <x v="0"/>
    <x v="2"/>
    <x v="3"/>
    <s v="FinA"/>
    <x v="10"/>
    <x v="2"/>
    <s v="GCND_COFIRING"/>
    <x v="0"/>
    <x v="5"/>
    <n v="325.375"/>
    <n v="118761.875"/>
    <n v="427542.75"/>
  </r>
  <r>
    <x v="0"/>
    <x v="0"/>
    <x v="0"/>
    <x v="2"/>
    <x v="3"/>
    <s v="FinA"/>
    <x v="10"/>
    <x v="2"/>
    <s v="GCND_COFIRING"/>
    <x v="0"/>
    <x v="6"/>
    <n v="325.375"/>
    <n v="118761.875"/>
    <n v="427542.75"/>
  </r>
  <r>
    <x v="0"/>
    <x v="0"/>
    <x v="0"/>
    <x v="2"/>
    <x v="3"/>
    <s v="FinA"/>
    <x v="10"/>
    <x v="2"/>
    <s v="GCND_COFIRING"/>
    <x v="0"/>
    <x v="7"/>
    <n v="325.375"/>
    <n v="118761.875"/>
    <n v="427542.75"/>
  </r>
  <r>
    <x v="0"/>
    <x v="0"/>
    <x v="0"/>
    <x v="2"/>
    <x v="3"/>
    <s v="FinA"/>
    <x v="10"/>
    <x v="2"/>
    <s v="GCND_COFIRING"/>
    <x v="0"/>
    <x v="8"/>
    <n v="325.375"/>
    <n v="118761.875"/>
    <n v="427542.75"/>
  </r>
  <r>
    <x v="0"/>
    <x v="0"/>
    <x v="0"/>
    <x v="2"/>
    <x v="3"/>
    <s v="FinA"/>
    <x v="10"/>
    <x v="2"/>
    <s v="GCND_COFIRING"/>
    <x v="0"/>
    <x v="9"/>
    <n v="325.375"/>
    <n v="118761.875"/>
    <n v="427542.75"/>
  </r>
  <r>
    <x v="0"/>
    <x v="0"/>
    <x v="0"/>
    <x v="2"/>
    <x v="3"/>
    <s v="FinA"/>
    <x v="10"/>
    <x v="2"/>
    <s v="GCND_COFIRING"/>
    <x v="0"/>
    <x v="10"/>
    <n v="325.375"/>
    <n v="118761.875"/>
    <n v="427542.75"/>
  </r>
  <r>
    <x v="0"/>
    <x v="0"/>
    <x v="0"/>
    <x v="2"/>
    <x v="3"/>
    <s v="FinA"/>
    <x v="10"/>
    <x v="2"/>
    <s v="GCND_COFIRING"/>
    <x v="0"/>
    <x v="11"/>
    <n v="325.375"/>
    <n v="118761.875"/>
    <n v="427542.75"/>
  </r>
  <r>
    <x v="0"/>
    <x v="0"/>
    <x v="0"/>
    <x v="2"/>
    <x v="3"/>
    <s v="FinA"/>
    <x v="10"/>
    <x v="2"/>
    <s v="GCND_COFIRING"/>
    <x v="0"/>
    <x v="12"/>
    <n v="325.375"/>
    <n v="118761.875"/>
    <n v="427542.75"/>
  </r>
  <r>
    <x v="0"/>
    <x v="0"/>
    <x v="0"/>
    <x v="2"/>
    <x v="3"/>
    <s v="FinA"/>
    <x v="10"/>
    <x v="2"/>
    <s v="GCND_COFIRING"/>
    <x v="0"/>
    <x v="13"/>
    <n v="325.375"/>
    <n v="118761.875"/>
    <n v="427542.75"/>
  </r>
  <r>
    <x v="0"/>
    <x v="0"/>
    <x v="0"/>
    <x v="2"/>
    <x v="3"/>
    <s v="FinA"/>
    <x v="10"/>
    <x v="2"/>
    <s v="GCND_COFIRING"/>
    <x v="0"/>
    <x v="14"/>
    <n v="325.375"/>
    <n v="118761.875"/>
    <n v="427542.75"/>
  </r>
  <r>
    <x v="0"/>
    <x v="0"/>
    <x v="0"/>
    <x v="2"/>
    <x v="3"/>
    <s v="FinA"/>
    <x v="10"/>
    <x v="2"/>
    <s v="GCND_COFIRING"/>
    <x v="0"/>
    <x v="15"/>
    <n v="325.375"/>
    <n v="118761.875"/>
    <n v="427542.75"/>
  </r>
  <r>
    <x v="0"/>
    <x v="0"/>
    <x v="0"/>
    <x v="2"/>
    <x v="3"/>
    <s v="FinA"/>
    <x v="10"/>
    <x v="2"/>
    <s v="GCND_COFIRING"/>
    <x v="0"/>
    <x v="16"/>
    <n v="325.375"/>
    <n v="118761.875"/>
    <n v="427542.75"/>
  </r>
  <r>
    <x v="0"/>
    <x v="0"/>
    <x v="0"/>
    <x v="2"/>
    <x v="3"/>
    <s v="FinA"/>
    <x v="10"/>
    <x v="2"/>
    <s v="GCND_COFIRING"/>
    <x v="0"/>
    <x v="17"/>
    <n v="325.375"/>
    <n v="118761.875"/>
    <n v="427542.75"/>
  </r>
  <r>
    <x v="0"/>
    <x v="0"/>
    <x v="0"/>
    <x v="2"/>
    <x v="3"/>
    <s v="FinA"/>
    <x v="10"/>
    <x v="2"/>
    <s v="GCND_COFIRING"/>
    <x v="0"/>
    <x v="18"/>
    <n v="325.375"/>
    <n v="118761.875"/>
    <n v="427542.75"/>
  </r>
  <r>
    <x v="0"/>
    <x v="0"/>
    <x v="0"/>
    <x v="2"/>
    <x v="3"/>
    <s v="FinA"/>
    <x v="10"/>
    <x v="2"/>
    <s v="GCND_COFIRING"/>
    <x v="0"/>
    <x v="19"/>
    <n v="325.375"/>
    <n v="118761.875"/>
    <n v="427542.75"/>
  </r>
  <r>
    <x v="0"/>
    <x v="0"/>
    <x v="0"/>
    <x v="2"/>
    <x v="3"/>
    <s v="FinA"/>
    <x v="10"/>
    <x v="2"/>
    <s v="GCND_COFIRING"/>
    <x v="0"/>
    <x v="20"/>
    <n v="325.375"/>
    <n v="118761.875"/>
    <n v="427542.75"/>
  </r>
  <r>
    <x v="0"/>
    <x v="0"/>
    <x v="0"/>
    <x v="2"/>
    <x v="3"/>
    <s v="FinA"/>
    <x v="10"/>
    <x v="2"/>
    <s v="GCND_COFIRING"/>
    <x v="0"/>
    <x v="21"/>
    <n v="325.375"/>
    <n v="118761.875"/>
    <n v="427542.75"/>
  </r>
  <r>
    <x v="0"/>
    <x v="0"/>
    <x v="0"/>
    <x v="2"/>
    <x v="3"/>
    <s v="FinA"/>
    <x v="10"/>
    <x v="2"/>
    <s v="GCND_COFIRING"/>
    <x v="0"/>
    <x v="22"/>
    <n v="325.375"/>
    <n v="118761.875"/>
    <n v="427542.75"/>
  </r>
  <r>
    <x v="0"/>
    <x v="0"/>
    <x v="0"/>
    <x v="2"/>
    <x v="3"/>
    <s v="FinA"/>
    <x v="10"/>
    <x v="2"/>
    <s v="GCND_COFIRING"/>
    <x v="0"/>
    <x v="23"/>
    <n v="325.375"/>
    <n v="118761.875"/>
    <n v="427542.75"/>
  </r>
  <r>
    <x v="0"/>
    <x v="0"/>
    <x v="0"/>
    <x v="2"/>
    <x v="3"/>
    <s v="FinA"/>
    <x v="4"/>
    <x v="2"/>
    <s v="GCND_WOODCHIPS"/>
    <x v="0"/>
    <x v="0"/>
    <n v="5.4984326018808796"/>
    <n v="2006.92789968652"/>
    <n v="7224.9404388714802"/>
  </r>
  <r>
    <x v="0"/>
    <x v="0"/>
    <x v="0"/>
    <x v="2"/>
    <x v="3"/>
    <s v="FinA"/>
    <x v="4"/>
    <x v="2"/>
    <s v="GCND_WOODCHIPS"/>
    <x v="0"/>
    <x v="1"/>
    <n v="5.4984326018808796"/>
    <n v="2006.92789968652"/>
    <n v="7224.9404388714802"/>
  </r>
  <r>
    <x v="0"/>
    <x v="0"/>
    <x v="0"/>
    <x v="2"/>
    <x v="3"/>
    <s v="FinA"/>
    <x v="4"/>
    <x v="2"/>
    <s v="GCND_WOODCHIPS"/>
    <x v="0"/>
    <x v="2"/>
    <n v="5.4984326018808796"/>
    <n v="2006.92789968652"/>
    <n v="7224.9404388714802"/>
  </r>
  <r>
    <x v="0"/>
    <x v="0"/>
    <x v="0"/>
    <x v="2"/>
    <x v="3"/>
    <s v="FinA"/>
    <x v="4"/>
    <x v="2"/>
    <s v="GCND_WOODCHIPS"/>
    <x v="0"/>
    <x v="3"/>
    <n v="5.4984326018808796"/>
    <n v="2006.92789968652"/>
    <n v="7224.9404388714802"/>
  </r>
  <r>
    <x v="0"/>
    <x v="0"/>
    <x v="0"/>
    <x v="2"/>
    <x v="3"/>
    <s v="FinA"/>
    <x v="4"/>
    <x v="2"/>
    <s v="GCND_WOODCHIPS"/>
    <x v="0"/>
    <x v="4"/>
    <n v="5.4984326018808796"/>
    <n v="2006.92789968652"/>
    <n v="7224.9404388714802"/>
  </r>
  <r>
    <x v="0"/>
    <x v="0"/>
    <x v="0"/>
    <x v="2"/>
    <x v="3"/>
    <s v="FinA"/>
    <x v="4"/>
    <x v="2"/>
    <s v="GCND_WOODCHIPS"/>
    <x v="0"/>
    <x v="5"/>
    <n v="5.4984326018808796"/>
    <n v="2006.92789968652"/>
    <n v="7224.9404388714802"/>
  </r>
  <r>
    <x v="0"/>
    <x v="0"/>
    <x v="0"/>
    <x v="2"/>
    <x v="3"/>
    <s v="FinA"/>
    <x v="4"/>
    <x v="2"/>
    <s v="GCND_WOODCHIPS"/>
    <x v="0"/>
    <x v="6"/>
    <n v="5.4984326018808796"/>
    <n v="2006.92789968652"/>
    <n v="7224.9404388714802"/>
  </r>
  <r>
    <x v="0"/>
    <x v="0"/>
    <x v="0"/>
    <x v="2"/>
    <x v="3"/>
    <s v="FinA"/>
    <x v="4"/>
    <x v="2"/>
    <s v="GCND_WOODCHIPS"/>
    <x v="0"/>
    <x v="7"/>
    <n v="5.4984326018808796"/>
    <n v="2006.92789968652"/>
    <n v="7224.9404388714802"/>
  </r>
  <r>
    <x v="0"/>
    <x v="0"/>
    <x v="0"/>
    <x v="2"/>
    <x v="3"/>
    <s v="FinA"/>
    <x v="4"/>
    <x v="2"/>
    <s v="GCND_WOODCHIPS"/>
    <x v="0"/>
    <x v="8"/>
    <n v="5.4984326018808796"/>
    <n v="2006.92789968652"/>
    <n v="7224.9404388714802"/>
  </r>
  <r>
    <x v="0"/>
    <x v="0"/>
    <x v="0"/>
    <x v="2"/>
    <x v="3"/>
    <s v="FinA"/>
    <x v="4"/>
    <x v="2"/>
    <s v="GCND_WOODCHIPS"/>
    <x v="0"/>
    <x v="9"/>
    <n v="5.4984326018808796"/>
    <n v="2006.92789968652"/>
    <n v="7224.9404388714802"/>
  </r>
  <r>
    <x v="0"/>
    <x v="0"/>
    <x v="0"/>
    <x v="2"/>
    <x v="3"/>
    <s v="FinA"/>
    <x v="4"/>
    <x v="2"/>
    <s v="GCND_WOODCHIPS"/>
    <x v="0"/>
    <x v="10"/>
    <n v="5.4984326018808796"/>
    <n v="2006.92789968652"/>
    <n v="7224.9404388714802"/>
  </r>
  <r>
    <x v="0"/>
    <x v="0"/>
    <x v="0"/>
    <x v="2"/>
    <x v="3"/>
    <s v="FinA"/>
    <x v="4"/>
    <x v="2"/>
    <s v="GCND_WOODCHIPS"/>
    <x v="0"/>
    <x v="11"/>
    <n v="5.4984326018808796"/>
    <n v="2006.92789968652"/>
    <n v="7224.9404388714802"/>
  </r>
  <r>
    <x v="0"/>
    <x v="0"/>
    <x v="0"/>
    <x v="2"/>
    <x v="3"/>
    <s v="FinA"/>
    <x v="4"/>
    <x v="2"/>
    <s v="GCND_WOODCHIPS"/>
    <x v="0"/>
    <x v="12"/>
    <n v="5.4984326018808796"/>
    <n v="2006.92789968652"/>
    <n v="7224.9404388714802"/>
  </r>
  <r>
    <x v="0"/>
    <x v="0"/>
    <x v="0"/>
    <x v="2"/>
    <x v="3"/>
    <s v="FinA"/>
    <x v="4"/>
    <x v="2"/>
    <s v="GCND_WOODCHIPS"/>
    <x v="0"/>
    <x v="13"/>
    <n v="5.4984326018808796"/>
    <n v="2006.92789968652"/>
    <n v="7224.9404388714802"/>
  </r>
  <r>
    <x v="0"/>
    <x v="0"/>
    <x v="0"/>
    <x v="2"/>
    <x v="3"/>
    <s v="FinA"/>
    <x v="4"/>
    <x v="2"/>
    <s v="GCND_WOODCHIPS"/>
    <x v="0"/>
    <x v="14"/>
    <n v="5.4984326018808796"/>
    <n v="2006.92789968652"/>
    <n v="7224.9404388714802"/>
  </r>
  <r>
    <x v="0"/>
    <x v="0"/>
    <x v="0"/>
    <x v="2"/>
    <x v="3"/>
    <s v="FinA"/>
    <x v="4"/>
    <x v="2"/>
    <s v="GCND_WOODCHIPS"/>
    <x v="0"/>
    <x v="15"/>
    <n v="5.4984326018808796"/>
    <n v="2006.92789968652"/>
    <n v="7224.9404388714802"/>
  </r>
  <r>
    <x v="0"/>
    <x v="0"/>
    <x v="0"/>
    <x v="2"/>
    <x v="3"/>
    <s v="FinA"/>
    <x v="4"/>
    <x v="2"/>
    <s v="GCND_WOODCHIPS"/>
    <x v="0"/>
    <x v="16"/>
    <n v="5.4984326018808796"/>
    <n v="2006.92789968652"/>
    <n v="7224.9404388714802"/>
  </r>
  <r>
    <x v="0"/>
    <x v="0"/>
    <x v="0"/>
    <x v="2"/>
    <x v="3"/>
    <s v="FinA"/>
    <x v="4"/>
    <x v="2"/>
    <s v="GCND_WOODCHIPS"/>
    <x v="0"/>
    <x v="17"/>
    <n v="5.4984326018808796"/>
    <n v="2006.92789968652"/>
    <n v="7224.9404388714802"/>
  </r>
  <r>
    <x v="0"/>
    <x v="0"/>
    <x v="0"/>
    <x v="2"/>
    <x v="3"/>
    <s v="FinA"/>
    <x v="4"/>
    <x v="2"/>
    <s v="GCND_WOODCHIPS"/>
    <x v="0"/>
    <x v="18"/>
    <n v="5.4984326018808796"/>
    <n v="2006.92789968652"/>
    <n v="7224.9404388714802"/>
  </r>
  <r>
    <x v="0"/>
    <x v="0"/>
    <x v="0"/>
    <x v="2"/>
    <x v="3"/>
    <s v="FinA"/>
    <x v="4"/>
    <x v="2"/>
    <s v="GCND_WOODCHIPS"/>
    <x v="0"/>
    <x v="19"/>
    <n v="5.4984326018808796"/>
    <n v="2006.92789968652"/>
    <n v="7224.9404388714802"/>
  </r>
  <r>
    <x v="0"/>
    <x v="0"/>
    <x v="0"/>
    <x v="2"/>
    <x v="3"/>
    <s v="FinA"/>
    <x v="4"/>
    <x v="2"/>
    <s v="GCND_WOODCHIPS"/>
    <x v="0"/>
    <x v="20"/>
    <n v="5.4984326018808796"/>
    <n v="2006.92789968652"/>
    <n v="7224.9404388714802"/>
  </r>
  <r>
    <x v="0"/>
    <x v="0"/>
    <x v="0"/>
    <x v="2"/>
    <x v="3"/>
    <s v="FinA"/>
    <x v="4"/>
    <x v="2"/>
    <s v="GCND_WOODCHIPS"/>
    <x v="0"/>
    <x v="21"/>
    <n v="5.4984326018808796"/>
    <n v="2006.92789968652"/>
    <n v="7224.9404388714802"/>
  </r>
  <r>
    <x v="0"/>
    <x v="0"/>
    <x v="0"/>
    <x v="2"/>
    <x v="3"/>
    <s v="FinA"/>
    <x v="4"/>
    <x v="2"/>
    <s v="GCND_WOODCHIPS"/>
    <x v="0"/>
    <x v="22"/>
    <n v="5.4984326018808796"/>
    <n v="2006.92789968652"/>
    <n v="7224.9404388714802"/>
  </r>
  <r>
    <x v="0"/>
    <x v="0"/>
    <x v="0"/>
    <x v="2"/>
    <x v="3"/>
    <s v="FinA"/>
    <x v="4"/>
    <x v="2"/>
    <s v="GCND_WOODCHIPS"/>
    <x v="0"/>
    <x v="23"/>
    <n v="5.4984326018808796"/>
    <n v="2006.92789968652"/>
    <n v="7224.9404388714802"/>
  </r>
  <r>
    <x v="0"/>
    <x v="0"/>
    <x v="0"/>
    <x v="3"/>
    <x v="4"/>
    <s v="DE4-E_A"/>
    <x v="0"/>
    <x v="0"/>
    <s v="GNR_ENG_BGAS_BP_E-45"/>
    <x v="0"/>
    <x v="0"/>
    <n v="2.57"/>
    <n v="938.05"/>
    <n v="3376.98"/>
  </r>
  <r>
    <x v="0"/>
    <x v="0"/>
    <x v="0"/>
    <x v="3"/>
    <x v="4"/>
    <s v="DE4-E_A"/>
    <x v="0"/>
    <x v="0"/>
    <s v="GNR_ENG_BGAS_BP_E-45"/>
    <x v="0"/>
    <x v="1"/>
    <n v="2.57"/>
    <n v="938.05"/>
    <n v="3376.98"/>
  </r>
  <r>
    <x v="0"/>
    <x v="0"/>
    <x v="0"/>
    <x v="3"/>
    <x v="4"/>
    <s v="DE4-E_A"/>
    <x v="0"/>
    <x v="0"/>
    <s v="GNR_ENG_BGAS_BP_E-45"/>
    <x v="0"/>
    <x v="2"/>
    <n v="2.57"/>
    <n v="938.05"/>
    <n v="3376.98"/>
  </r>
  <r>
    <x v="0"/>
    <x v="0"/>
    <x v="0"/>
    <x v="3"/>
    <x v="4"/>
    <s v="DE4-E_A"/>
    <x v="0"/>
    <x v="0"/>
    <s v="GNR_ENG_BGAS_BP_E-45"/>
    <x v="0"/>
    <x v="3"/>
    <n v="2.57"/>
    <n v="938.05"/>
    <n v="3376.98"/>
  </r>
  <r>
    <x v="0"/>
    <x v="0"/>
    <x v="0"/>
    <x v="3"/>
    <x v="4"/>
    <s v="DE4-E_A"/>
    <x v="0"/>
    <x v="0"/>
    <s v="GNR_ENG_BGAS_BP_E-45"/>
    <x v="0"/>
    <x v="4"/>
    <n v="2.57"/>
    <n v="938.05"/>
    <n v="3376.98"/>
  </r>
  <r>
    <x v="0"/>
    <x v="0"/>
    <x v="0"/>
    <x v="3"/>
    <x v="4"/>
    <s v="DE4-E_A"/>
    <x v="0"/>
    <x v="0"/>
    <s v="GNR_ENG_BGAS_BP_E-45"/>
    <x v="0"/>
    <x v="5"/>
    <n v="2.57"/>
    <n v="938.05"/>
    <n v="3376.98"/>
  </r>
  <r>
    <x v="0"/>
    <x v="0"/>
    <x v="0"/>
    <x v="3"/>
    <x v="4"/>
    <s v="DE4-E_A"/>
    <x v="0"/>
    <x v="0"/>
    <s v="GNR_ENG_BGAS_BP_E-45"/>
    <x v="0"/>
    <x v="6"/>
    <n v="2.57"/>
    <n v="938.05"/>
    <n v="3376.98"/>
  </r>
  <r>
    <x v="0"/>
    <x v="0"/>
    <x v="0"/>
    <x v="3"/>
    <x v="4"/>
    <s v="DE4-E_A"/>
    <x v="0"/>
    <x v="0"/>
    <s v="GNR_ENG_BGAS_BP_E-45"/>
    <x v="0"/>
    <x v="7"/>
    <n v="2.57"/>
    <n v="938.05"/>
    <n v="3376.98"/>
  </r>
  <r>
    <x v="0"/>
    <x v="0"/>
    <x v="0"/>
    <x v="3"/>
    <x v="4"/>
    <s v="DE4-E_A"/>
    <x v="0"/>
    <x v="0"/>
    <s v="GNR_ENG_BGAS_BP_E-45"/>
    <x v="0"/>
    <x v="8"/>
    <n v="2.57"/>
    <n v="938.05"/>
    <n v="3376.98"/>
  </r>
  <r>
    <x v="0"/>
    <x v="0"/>
    <x v="0"/>
    <x v="3"/>
    <x v="4"/>
    <s v="DE4-E_A"/>
    <x v="0"/>
    <x v="0"/>
    <s v="GNR_ENG_BGAS_BP_E-45"/>
    <x v="0"/>
    <x v="9"/>
    <n v="2.57"/>
    <n v="938.05"/>
    <n v="3376.98"/>
  </r>
  <r>
    <x v="0"/>
    <x v="0"/>
    <x v="0"/>
    <x v="3"/>
    <x v="4"/>
    <s v="DE4-E_A"/>
    <x v="0"/>
    <x v="0"/>
    <s v="GNR_ENG_BGAS_BP_E-45"/>
    <x v="0"/>
    <x v="10"/>
    <n v="2.57"/>
    <n v="938.05"/>
    <n v="3376.98"/>
  </r>
  <r>
    <x v="0"/>
    <x v="0"/>
    <x v="0"/>
    <x v="3"/>
    <x v="4"/>
    <s v="DE4-E_A"/>
    <x v="0"/>
    <x v="0"/>
    <s v="GNR_ENG_BGAS_BP_E-45"/>
    <x v="0"/>
    <x v="11"/>
    <n v="2.57"/>
    <n v="938.05"/>
    <n v="3376.98"/>
  </r>
  <r>
    <x v="0"/>
    <x v="0"/>
    <x v="0"/>
    <x v="3"/>
    <x v="4"/>
    <s v="DE4-E_A"/>
    <x v="0"/>
    <x v="0"/>
    <s v="GNR_ENG_BGAS_BP_E-45"/>
    <x v="0"/>
    <x v="12"/>
    <n v="2.57"/>
    <n v="938.05"/>
    <n v="3376.98"/>
  </r>
  <r>
    <x v="0"/>
    <x v="0"/>
    <x v="0"/>
    <x v="3"/>
    <x v="4"/>
    <s v="DE4-E_A"/>
    <x v="0"/>
    <x v="0"/>
    <s v="GNR_ENG_BGAS_BP_E-45"/>
    <x v="0"/>
    <x v="13"/>
    <n v="2.57"/>
    <n v="938.05"/>
    <n v="3376.98"/>
  </r>
  <r>
    <x v="0"/>
    <x v="0"/>
    <x v="0"/>
    <x v="3"/>
    <x v="4"/>
    <s v="DE4-E_A"/>
    <x v="0"/>
    <x v="0"/>
    <s v="GNR_ENG_BGAS_BP_E-45"/>
    <x v="0"/>
    <x v="14"/>
    <n v="2.57"/>
    <n v="938.05"/>
    <n v="3376.98"/>
  </r>
  <r>
    <x v="0"/>
    <x v="0"/>
    <x v="0"/>
    <x v="3"/>
    <x v="4"/>
    <s v="DE4-E_A"/>
    <x v="0"/>
    <x v="0"/>
    <s v="GNR_ENG_BGAS_BP_E-45"/>
    <x v="0"/>
    <x v="15"/>
    <n v="2.57"/>
    <n v="938.05"/>
    <n v="3376.98"/>
  </r>
  <r>
    <x v="0"/>
    <x v="0"/>
    <x v="0"/>
    <x v="3"/>
    <x v="4"/>
    <s v="DE4-E_A"/>
    <x v="0"/>
    <x v="0"/>
    <s v="GNR_ENG_BGAS_BP_E-45"/>
    <x v="0"/>
    <x v="16"/>
    <n v="2.57"/>
    <n v="938.05"/>
    <n v="3376.98"/>
  </r>
  <r>
    <x v="0"/>
    <x v="0"/>
    <x v="0"/>
    <x v="3"/>
    <x v="4"/>
    <s v="DE4-E_A"/>
    <x v="0"/>
    <x v="0"/>
    <s v="GNR_ENG_BGAS_BP_E-45"/>
    <x v="0"/>
    <x v="17"/>
    <n v="2.57"/>
    <n v="938.05"/>
    <n v="3376.98"/>
  </r>
  <r>
    <x v="0"/>
    <x v="0"/>
    <x v="0"/>
    <x v="3"/>
    <x v="4"/>
    <s v="DE4-E_A"/>
    <x v="0"/>
    <x v="0"/>
    <s v="GNR_ENG_BGAS_BP_E-45"/>
    <x v="0"/>
    <x v="18"/>
    <n v="2.57"/>
    <n v="938.05"/>
    <n v="3376.98"/>
  </r>
  <r>
    <x v="0"/>
    <x v="0"/>
    <x v="0"/>
    <x v="3"/>
    <x v="4"/>
    <s v="DE4-E_A"/>
    <x v="0"/>
    <x v="0"/>
    <s v="GNR_ENG_BGAS_BP_E-45"/>
    <x v="0"/>
    <x v="19"/>
    <n v="2.57"/>
    <n v="938.05"/>
    <n v="3376.98"/>
  </r>
  <r>
    <x v="0"/>
    <x v="0"/>
    <x v="0"/>
    <x v="3"/>
    <x v="4"/>
    <s v="DE4-E_A"/>
    <x v="0"/>
    <x v="0"/>
    <s v="GNR_ENG_BGAS_BP_E-45"/>
    <x v="0"/>
    <x v="20"/>
    <n v="2.57"/>
    <n v="938.05"/>
    <n v="3376.98"/>
  </r>
  <r>
    <x v="0"/>
    <x v="0"/>
    <x v="0"/>
    <x v="3"/>
    <x v="4"/>
    <s v="DE4-E_A"/>
    <x v="0"/>
    <x v="0"/>
    <s v="GNR_ENG_BGAS_BP_E-45"/>
    <x v="0"/>
    <x v="21"/>
    <n v="2.57"/>
    <n v="938.05"/>
    <n v="3376.98"/>
  </r>
  <r>
    <x v="0"/>
    <x v="0"/>
    <x v="0"/>
    <x v="3"/>
    <x v="4"/>
    <s v="DE4-E_A"/>
    <x v="0"/>
    <x v="0"/>
    <s v="GNR_ENG_BGAS_BP_E-45"/>
    <x v="0"/>
    <x v="22"/>
    <n v="2.57"/>
    <n v="938.05"/>
    <n v="3376.98"/>
  </r>
  <r>
    <x v="0"/>
    <x v="0"/>
    <x v="0"/>
    <x v="3"/>
    <x v="4"/>
    <s v="DE4-E_A"/>
    <x v="0"/>
    <x v="0"/>
    <s v="GNR_ENG_BGAS_BP_E-45"/>
    <x v="0"/>
    <x v="23"/>
    <n v="2.57"/>
    <n v="938.05"/>
    <n v="3376.98"/>
  </r>
  <r>
    <x v="0"/>
    <x v="0"/>
    <x v="0"/>
    <x v="3"/>
    <x v="4"/>
    <s v="DE4-E_A"/>
    <x v="0"/>
    <x v="2"/>
    <s v="GNR_ENG_BGAS_CND_E-44"/>
    <x v="0"/>
    <x v="0"/>
    <n v="1827.61"/>
    <n v="667077.65"/>
    <n v="2401479.54"/>
  </r>
  <r>
    <x v="0"/>
    <x v="0"/>
    <x v="0"/>
    <x v="3"/>
    <x v="4"/>
    <s v="DE4-E_A"/>
    <x v="0"/>
    <x v="2"/>
    <s v="GNR_ENG_BGAS_CND_E-44"/>
    <x v="0"/>
    <x v="1"/>
    <n v="1827.61"/>
    <n v="667077.65"/>
    <n v="2401479.54"/>
  </r>
  <r>
    <x v="0"/>
    <x v="0"/>
    <x v="0"/>
    <x v="3"/>
    <x v="4"/>
    <s v="DE4-E_A"/>
    <x v="0"/>
    <x v="2"/>
    <s v="GNR_ENG_BGAS_CND_E-44"/>
    <x v="0"/>
    <x v="2"/>
    <n v="1827.61"/>
    <n v="667077.65"/>
    <n v="2401479.54"/>
  </r>
  <r>
    <x v="0"/>
    <x v="0"/>
    <x v="0"/>
    <x v="3"/>
    <x v="4"/>
    <s v="DE4-E_A"/>
    <x v="0"/>
    <x v="2"/>
    <s v="GNR_ENG_BGAS_CND_E-44"/>
    <x v="0"/>
    <x v="3"/>
    <n v="1827.61"/>
    <n v="667077.65"/>
    <n v="2401479.54"/>
  </r>
  <r>
    <x v="0"/>
    <x v="0"/>
    <x v="0"/>
    <x v="3"/>
    <x v="4"/>
    <s v="DE4-E_A"/>
    <x v="0"/>
    <x v="2"/>
    <s v="GNR_ENG_BGAS_CND_E-44"/>
    <x v="0"/>
    <x v="4"/>
    <n v="1827.61"/>
    <n v="667077.65"/>
    <n v="2401479.54"/>
  </r>
  <r>
    <x v="0"/>
    <x v="0"/>
    <x v="0"/>
    <x v="3"/>
    <x v="4"/>
    <s v="DE4-E_A"/>
    <x v="0"/>
    <x v="2"/>
    <s v="GNR_ENG_BGAS_CND_E-44"/>
    <x v="0"/>
    <x v="5"/>
    <n v="1827.61"/>
    <n v="667077.65"/>
    <n v="2401479.54"/>
  </r>
  <r>
    <x v="0"/>
    <x v="0"/>
    <x v="0"/>
    <x v="3"/>
    <x v="4"/>
    <s v="DE4-E_A"/>
    <x v="0"/>
    <x v="2"/>
    <s v="GNR_ENG_BGAS_CND_E-44"/>
    <x v="0"/>
    <x v="6"/>
    <n v="1827.61"/>
    <n v="667077.65"/>
    <n v="2401479.54"/>
  </r>
  <r>
    <x v="0"/>
    <x v="0"/>
    <x v="0"/>
    <x v="3"/>
    <x v="4"/>
    <s v="DE4-E_A"/>
    <x v="0"/>
    <x v="2"/>
    <s v="GNR_ENG_BGAS_CND_E-44"/>
    <x v="0"/>
    <x v="7"/>
    <n v="1827.61"/>
    <n v="667077.65"/>
    <n v="2401479.54"/>
  </r>
  <r>
    <x v="0"/>
    <x v="0"/>
    <x v="0"/>
    <x v="3"/>
    <x v="4"/>
    <s v="DE4-E_A"/>
    <x v="0"/>
    <x v="2"/>
    <s v="GNR_ENG_BGAS_CND_E-44"/>
    <x v="0"/>
    <x v="8"/>
    <n v="1827.61"/>
    <n v="667077.65"/>
    <n v="2401479.54"/>
  </r>
  <r>
    <x v="0"/>
    <x v="0"/>
    <x v="0"/>
    <x v="3"/>
    <x v="4"/>
    <s v="DE4-E_A"/>
    <x v="0"/>
    <x v="2"/>
    <s v="GNR_ENG_BGAS_CND_E-44"/>
    <x v="0"/>
    <x v="9"/>
    <n v="1827.61"/>
    <n v="667077.65"/>
    <n v="2401479.54"/>
  </r>
  <r>
    <x v="0"/>
    <x v="0"/>
    <x v="0"/>
    <x v="3"/>
    <x v="4"/>
    <s v="DE4-E_A"/>
    <x v="0"/>
    <x v="2"/>
    <s v="GNR_ENG_BGAS_CND_E-44"/>
    <x v="0"/>
    <x v="10"/>
    <n v="1827.61"/>
    <n v="667077.65"/>
    <n v="2401479.54"/>
  </r>
  <r>
    <x v="0"/>
    <x v="0"/>
    <x v="0"/>
    <x v="3"/>
    <x v="4"/>
    <s v="DE4-E_A"/>
    <x v="0"/>
    <x v="2"/>
    <s v="GNR_ENG_BGAS_CND_E-44"/>
    <x v="0"/>
    <x v="11"/>
    <n v="1827.61"/>
    <n v="667077.65"/>
    <n v="2401479.54"/>
  </r>
  <r>
    <x v="0"/>
    <x v="0"/>
    <x v="0"/>
    <x v="3"/>
    <x v="4"/>
    <s v="DE4-E_A"/>
    <x v="0"/>
    <x v="2"/>
    <s v="GNR_ENG_BGAS_CND_E-44"/>
    <x v="0"/>
    <x v="12"/>
    <n v="1827.61"/>
    <n v="667077.65"/>
    <n v="2401479.54"/>
  </r>
  <r>
    <x v="0"/>
    <x v="0"/>
    <x v="0"/>
    <x v="3"/>
    <x v="4"/>
    <s v="DE4-E_A"/>
    <x v="0"/>
    <x v="2"/>
    <s v="GNR_ENG_BGAS_CND_E-44"/>
    <x v="0"/>
    <x v="13"/>
    <n v="1827.61"/>
    <n v="667077.65"/>
    <n v="2401479.54"/>
  </r>
  <r>
    <x v="0"/>
    <x v="0"/>
    <x v="0"/>
    <x v="3"/>
    <x v="4"/>
    <s v="DE4-E_A"/>
    <x v="0"/>
    <x v="2"/>
    <s v="GNR_ENG_BGAS_CND_E-44"/>
    <x v="0"/>
    <x v="14"/>
    <n v="1827.61"/>
    <n v="667077.65"/>
    <n v="2401479.54"/>
  </r>
  <r>
    <x v="0"/>
    <x v="0"/>
    <x v="0"/>
    <x v="3"/>
    <x v="4"/>
    <s v="DE4-E_A"/>
    <x v="0"/>
    <x v="2"/>
    <s v="GNR_ENG_BGAS_CND_E-44"/>
    <x v="0"/>
    <x v="15"/>
    <n v="1827.61"/>
    <n v="667077.65"/>
    <n v="2401479.54"/>
  </r>
  <r>
    <x v="0"/>
    <x v="0"/>
    <x v="0"/>
    <x v="3"/>
    <x v="4"/>
    <s v="DE4-E_A"/>
    <x v="0"/>
    <x v="2"/>
    <s v="GNR_ENG_BGAS_CND_E-44"/>
    <x v="0"/>
    <x v="16"/>
    <n v="1827.61"/>
    <n v="667077.65"/>
    <n v="2401479.54"/>
  </r>
  <r>
    <x v="0"/>
    <x v="0"/>
    <x v="0"/>
    <x v="3"/>
    <x v="4"/>
    <s v="DE4-E_A"/>
    <x v="0"/>
    <x v="2"/>
    <s v="GNR_ENG_BGAS_CND_E-44"/>
    <x v="0"/>
    <x v="17"/>
    <n v="1827.61"/>
    <n v="667077.65"/>
    <n v="2401479.54"/>
  </r>
  <r>
    <x v="0"/>
    <x v="0"/>
    <x v="0"/>
    <x v="3"/>
    <x v="4"/>
    <s v="DE4-E_A"/>
    <x v="0"/>
    <x v="2"/>
    <s v="GNR_ENG_BGAS_CND_E-44"/>
    <x v="0"/>
    <x v="18"/>
    <n v="1827.61"/>
    <n v="667077.65"/>
    <n v="2401479.54"/>
  </r>
  <r>
    <x v="0"/>
    <x v="0"/>
    <x v="0"/>
    <x v="3"/>
    <x v="4"/>
    <s v="DE4-E_A"/>
    <x v="0"/>
    <x v="2"/>
    <s v="GNR_ENG_BGAS_CND_E-44"/>
    <x v="0"/>
    <x v="19"/>
    <n v="1827.61"/>
    <n v="667077.65"/>
    <n v="2401479.54"/>
  </r>
  <r>
    <x v="0"/>
    <x v="0"/>
    <x v="0"/>
    <x v="3"/>
    <x v="4"/>
    <s v="DE4-E_A"/>
    <x v="0"/>
    <x v="2"/>
    <s v="GNR_ENG_BGAS_CND_E-44"/>
    <x v="0"/>
    <x v="20"/>
    <n v="1827.61"/>
    <n v="667077.65"/>
    <n v="2401479.54"/>
  </r>
  <r>
    <x v="0"/>
    <x v="0"/>
    <x v="0"/>
    <x v="3"/>
    <x v="4"/>
    <s v="DE4-E_A"/>
    <x v="0"/>
    <x v="2"/>
    <s v="GNR_ENG_BGAS_CND_E-44"/>
    <x v="0"/>
    <x v="21"/>
    <n v="1827.61"/>
    <n v="667077.65"/>
    <n v="2401479.54"/>
  </r>
  <r>
    <x v="0"/>
    <x v="0"/>
    <x v="0"/>
    <x v="3"/>
    <x v="4"/>
    <s v="DE4-E_A"/>
    <x v="0"/>
    <x v="2"/>
    <s v="GNR_ENG_BGAS_CND_E-44"/>
    <x v="0"/>
    <x v="22"/>
    <n v="1827.61"/>
    <n v="667077.65"/>
    <n v="2401479.54"/>
  </r>
  <r>
    <x v="0"/>
    <x v="0"/>
    <x v="0"/>
    <x v="3"/>
    <x v="4"/>
    <s v="DE4-E_A"/>
    <x v="0"/>
    <x v="2"/>
    <s v="GNR_ENG_BGAS_CND_E-44"/>
    <x v="0"/>
    <x v="23"/>
    <n v="1827.61"/>
    <n v="667077.65"/>
    <n v="2401479.54"/>
  </r>
  <r>
    <x v="0"/>
    <x v="0"/>
    <x v="0"/>
    <x v="3"/>
    <x v="4"/>
    <s v="DE4-E_A"/>
    <x v="0"/>
    <x v="0"/>
    <s v="GNR_ST_BGAS_BP_E-38"/>
    <x v="0"/>
    <x v="0"/>
    <n v="230.4"/>
    <n v="84096"/>
    <n v="302745.59999999998"/>
  </r>
  <r>
    <x v="0"/>
    <x v="0"/>
    <x v="0"/>
    <x v="3"/>
    <x v="4"/>
    <s v="DE4-E_A"/>
    <x v="0"/>
    <x v="0"/>
    <s v="GNR_ST_BGAS_BP_E-38"/>
    <x v="0"/>
    <x v="1"/>
    <n v="230.4"/>
    <n v="84096"/>
    <n v="302745.59999999998"/>
  </r>
  <r>
    <x v="0"/>
    <x v="0"/>
    <x v="0"/>
    <x v="3"/>
    <x v="4"/>
    <s v="DE4-E_A"/>
    <x v="0"/>
    <x v="0"/>
    <s v="GNR_ST_BGAS_BP_E-38"/>
    <x v="0"/>
    <x v="2"/>
    <n v="230.4"/>
    <n v="84096"/>
    <n v="302745.59999999998"/>
  </r>
  <r>
    <x v="0"/>
    <x v="0"/>
    <x v="0"/>
    <x v="3"/>
    <x v="4"/>
    <s v="DE4-E_A"/>
    <x v="0"/>
    <x v="0"/>
    <s v="GNR_ST_BGAS_BP_E-38"/>
    <x v="0"/>
    <x v="3"/>
    <n v="230.4"/>
    <n v="84096"/>
    <n v="302745.59999999998"/>
  </r>
  <r>
    <x v="0"/>
    <x v="0"/>
    <x v="0"/>
    <x v="3"/>
    <x v="4"/>
    <s v="DE4-E_A"/>
    <x v="0"/>
    <x v="0"/>
    <s v="GNR_ST_BGAS_BP_E-38"/>
    <x v="0"/>
    <x v="4"/>
    <n v="230.4"/>
    <n v="84096"/>
    <n v="302745.59999999998"/>
  </r>
  <r>
    <x v="0"/>
    <x v="0"/>
    <x v="0"/>
    <x v="3"/>
    <x v="4"/>
    <s v="DE4-E_A"/>
    <x v="0"/>
    <x v="0"/>
    <s v="GNR_ST_BGAS_BP_E-38"/>
    <x v="0"/>
    <x v="5"/>
    <n v="230.4"/>
    <n v="84096"/>
    <n v="302745.59999999998"/>
  </r>
  <r>
    <x v="0"/>
    <x v="0"/>
    <x v="0"/>
    <x v="3"/>
    <x v="4"/>
    <s v="DE4-E_A"/>
    <x v="0"/>
    <x v="0"/>
    <s v="GNR_ST_BGAS_BP_E-38"/>
    <x v="0"/>
    <x v="6"/>
    <n v="230.4"/>
    <n v="84096"/>
    <n v="302745.59999999998"/>
  </r>
  <r>
    <x v="0"/>
    <x v="0"/>
    <x v="0"/>
    <x v="3"/>
    <x v="4"/>
    <s v="DE4-E_A"/>
    <x v="0"/>
    <x v="0"/>
    <s v="GNR_ST_BGAS_BP_E-38"/>
    <x v="0"/>
    <x v="7"/>
    <n v="230.4"/>
    <n v="84096"/>
    <n v="302745.59999999998"/>
  </r>
  <r>
    <x v="0"/>
    <x v="0"/>
    <x v="0"/>
    <x v="3"/>
    <x v="4"/>
    <s v="DE4-E_A"/>
    <x v="0"/>
    <x v="0"/>
    <s v="GNR_ST_BGAS_BP_E-38"/>
    <x v="0"/>
    <x v="8"/>
    <n v="230.4"/>
    <n v="84096"/>
    <n v="302745.59999999998"/>
  </r>
  <r>
    <x v="0"/>
    <x v="0"/>
    <x v="0"/>
    <x v="3"/>
    <x v="4"/>
    <s v="DE4-E_A"/>
    <x v="0"/>
    <x v="0"/>
    <s v="GNR_ST_BGAS_BP_E-38"/>
    <x v="0"/>
    <x v="9"/>
    <n v="230.4"/>
    <n v="84096"/>
    <n v="302745.59999999998"/>
  </r>
  <r>
    <x v="0"/>
    <x v="0"/>
    <x v="0"/>
    <x v="3"/>
    <x v="4"/>
    <s v="DE4-E_A"/>
    <x v="0"/>
    <x v="0"/>
    <s v="GNR_ST_BGAS_BP_E-38"/>
    <x v="0"/>
    <x v="10"/>
    <n v="230.4"/>
    <n v="84096"/>
    <n v="302745.59999999998"/>
  </r>
  <r>
    <x v="0"/>
    <x v="0"/>
    <x v="0"/>
    <x v="3"/>
    <x v="4"/>
    <s v="DE4-E_A"/>
    <x v="0"/>
    <x v="0"/>
    <s v="GNR_ST_BGAS_BP_E-38"/>
    <x v="0"/>
    <x v="11"/>
    <n v="230.4"/>
    <n v="84096"/>
    <n v="302745.59999999998"/>
  </r>
  <r>
    <x v="0"/>
    <x v="0"/>
    <x v="0"/>
    <x v="3"/>
    <x v="4"/>
    <s v="DE4-E_A"/>
    <x v="0"/>
    <x v="0"/>
    <s v="GNR_ST_BGAS_BP_E-38"/>
    <x v="0"/>
    <x v="12"/>
    <n v="230.4"/>
    <n v="84096"/>
    <n v="302745.59999999998"/>
  </r>
  <r>
    <x v="0"/>
    <x v="0"/>
    <x v="0"/>
    <x v="3"/>
    <x v="4"/>
    <s v="DE4-E_A"/>
    <x v="0"/>
    <x v="0"/>
    <s v="GNR_ST_BGAS_BP_E-38"/>
    <x v="0"/>
    <x v="13"/>
    <n v="230.4"/>
    <n v="84096"/>
    <n v="302745.59999999998"/>
  </r>
  <r>
    <x v="0"/>
    <x v="0"/>
    <x v="0"/>
    <x v="3"/>
    <x v="4"/>
    <s v="DE4-E_A"/>
    <x v="0"/>
    <x v="0"/>
    <s v="GNR_ST_BGAS_BP_E-38"/>
    <x v="0"/>
    <x v="14"/>
    <n v="230.4"/>
    <n v="84096"/>
    <n v="302745.59999999998"/>
  </r>
  <r>
    <x v="0"/>
    <x v="0"/>
    <x v="0"/>
    <x v="3"/>
    <x v="4"/>
    <s v="DE4-E_A"/>
    <x v="0"/>
    <x v="0"/>
    <s v="GNR_ST_BGAS_BP_E-38"/>
    <x v="0"/>
    <x v="15"/>
    <n v="230.4"/>
    <n v="84096"/>
    <n v="302745.59999999998"/>
  </r>
  <r>
    <x v="0"/>
    <x v="0"/>
    <x v="0"/>
    <x v="3"/>
    <x v="4"/>
    <s v="DE4-E_A"/>
    <x v="0"/>
    <x v="0"/>
    <s v="GNR_ST_BGAS_BP_E-38"/>
    <x v="0"/>
    <x v="16"/>
    <n v="230.4"/>
    <n v="84096"/>
    <n v="302745.59999999998"/>
  </r>
  <r>
    <x v="0"/>
    <x v="0"/>
    <x v="0"/>
    <x v="3"/>
    <x v="4"/>
    <s v="DE4-E_A"/>
    <x v="0"/>
    <x v="0"/>
    <s v="GNR_ST_BGAS_BP_E-38"/>
    <x v="0"/>
    <x v="17"/>
    <n v="230.4"/>
    <n v="84096"/>
    <n v="302745.59999999998"/>
  </r>
  <r>
    <x v="0"/>
    <x v="0"/>
    <x v="0"/>
    <x v="3"/>
    <x v="4"/>
    <s v="DE4-E_A"/>
    <x v="0"/>
    <x v="0"/>
    <s v="GNR_ST_BGAS_BP_E-38"/>
    <x v="0"/>
    <x v="18"/>
    <n v="230.4"/>
    <n v="84096"/>
    <n v="302745.59999999998"/>
  </r>
  <r>
    <x v="0"/>
    <x v="0"/>
    <x v="0"/>
    <x v="3"/>
    <x v="4"/>
    <s v="DE4-E_A"/>
    <x v="0"/>
    <x v="0"/>
    <s v="GNR_ST_BGAS_BP_E-38"/>
    <x v="0"/>
    <x v="19"/>
    <n v="230.4"/>
    <n v="84096"/>
    <n v="302745.59999999998"/>
  </r>
  <r>
    <x v="0"/>
    <x v="0"/>
    <x v="0"/>
    <x v="3"/>
    <x v="4"/>
    <s v="DE4-E_A"/>
    <x v="0"/>
    <x v="0"/>
    <s v="GNR_ST_BGAS_BP_E-38"/>
    <x v="0"/>
    <x v="20"/>
    <n v="230.4"/>
    <n v="84096"/>
    <n v="302745.59999999998"/>
  </r>
  <r>
    <x v="0"/>
    <x v="0"/>
    <x v="0"/>
    <x v="3"/>
    <x v="4"/>
    <s v="DE4-E_A"/>
    <x v="0"/>
    <x v="0"/>
    <s v="GNR_ST_BGAS_BP_E-38"/>
    <x v="0"/>
    <x v="21"/>
    <n v="230.4"/>
    <n v="84096"/>
    <n v="302745.59999999998"/>
  </r>
  <r>
    <x v="0"/>
    <x v="0"/>
    <x v="0"/>
    <x v="3"/>
    <x v="4"/>
    <s v="DE4-E_A"/>
    <x v="0"/>
    <x v="0"/>
    <s v="GNR_ST_BGAS_BP_E-38"/>
    <x v="0"/>
    <x v="22"/>
    <n v="230.4"/>
    <n v="84096"/>
    <n v="302745.59999999998"/>
  </r>
  <r>
    <x v="0"/>
    <x v="0"/>
    <x v="0"/>
    <x v="3"/>
    <x v="4"/>
    <s v="DE4-E_A"/>
    <x v="0"/>
    <x v="0"/>
    <s v="GNR_ST_BGAS_BP_E-38"/>
    <x v="0"/>
    <x v="23"/>
    <n v="230.4"/>
    <n v="84096"/>
    <n v="302745.59999999998"/>
  </r>
  <r>
    <x v="0"/>
    <x v="0"/>
    <x v="0"/>
    <x v="3"/>
    <x v="4"/>
    <s v="DE4-E_A"/>
    <x v="0"/>
    <x v="2"/>
    <s v="GNR_ST_BGAS_CND_E-38"/>
    <x v="0"/>
    <x v="0"/>
    <n v="73.8"/>
    <n v="26937"/>
    <n v="96973.2"/>
  </r>
  <r>
    <x v="0"/>
    <x v="0"/>
    <x v="0"/>
    <x v="3"/>
    <x v="4"/>
    <s v="DE4-E_A"/>
    <x v="0"/>
    <x v="2"/>
    <s v="GNR_ST_BGAS_CND_E-38"/>
    <x v="0"/>
    <x v="1"/>
    <n v="73.8"/>
    <n v="26937"/>
    <n v="96973.2"/>
  </r>
  <r>
    <x v="0"/>
    <x v="0"/>
    <x v="0"/>
    <x v="3"/>
    <x v="4"/>
    <s v="DE4-E_A"/>
    <x v="0"/>
    <x v="2"/>
    <s v="GNR_ST_BGAS_CND_E-38"/>
    <x v="0"/>
    <x v="2"/>
    <n v="73.8"/>
    <n v="26937"/>
    <n v="96973.2"/>
  </r>
  <r>
    <x v="0"/>
    <x v="0"/>
    <x v="0"/>
    <x v="3"/>
    <x v="4"/>
    <s v="DE4-E_A"/>
    <x v="0"/>
    <x v="2"/>
    <s v="GNR_ST_BGAS_CND_E-38"/>
    <x v="0"/>
    <x v="3"/>
    <n v="73.8"/>
    <n v="26937"/>
    <n v="96973.2"/>
  </r>
  <r>
    <x v="0"/>
    <x v="0"/>
    <x v="0"/>
    <x v="3"/>
    <x v="4"/>
    <s v="DE4-E_A"/>
    <x v="0"/>
    <x v="2"/>
    <s v="GNR_ST_BGAS_CND_E-38"/>
    <x v="0"/>
    <x v="4"/>
    <n v="73.8"/>
    <n v="26937"/>
    <n v="96973.2"/>
  </r>
  <r>
    <x v="0"/>
    <x v="0"/>
    <x v="0"/>
    <x v="3"/>
    <x v="4"/>
    <s v="DE4-E_A"/>
    <x v="0"/>
    <x v="2"/>
    <s v="GNR_ST_BGAS_CND_E-38"/>
    <x v="0"/>
    <x v="5"/>
    <n v="73.8"/>
    <n v="26937"/>
    <n v="96973.2"/>
  </r>
  <r>
    <x v="0"/>
    <x v="0"/>
    <x v="0"/>
    <x v="3"/>
    <x v="4"/>
    <s v="DE4-E_A"/>
    <x v="0"/>
    <x v="2"/>
    <s v="GNR_ST_BGAS_CND_E-38"/>
    <x v="0"/>
    <x v="6"/>
    <n v="73.8"/>
    <n v="26937"/>
    <n v="96973.2"/>
  </r>
  <r>
    <x v="0"/>
    <x v="0"/>
    <x v="0"/>
    <x v="3"/>
    <x v="4"/>
    <s v="DE4-E_A"/>
    <x v="0"/>
    <x v="2"/>
    <s v="GNR_ST_BGAS_CND_E-38"/>
    <x v="0"/>
    <x v="7"/>
    <n v="73.8"/>
    <n v="26937"/>
    <n v="96973.2"/>
  </r>
  <r>
    <x v="0"/>
    <x v="0"/>
    <x v="0"/>
    <x v="3"/>
    <x v="4"/>
    <s v="DE4-E_A"/>
    <x v="0"/>
    <x v="2"/>
    <s v="GNR_ST_BGAS_CND_E-38"/>
    <x v="0"/>
    <x v="8"/>
    <n v="73.8"/>
    <n v="26937"/>
    <n v="96973.2"/>
  </r>
  <r>
    <x v="0"/>
    <x v="0"/>
    <x v="0"/>
    <x v="3"/>
    <x v="4"/>
    <s v="DE4-E_A"/>
    <x v="0"/>
    <x v="2"/>
    <s v="GNR_ST_BGAS_CND_E-38"/>
    <x v="0"/>
    <x v="9"/>
    <n v="73.8"/>
    <n v="26937"/>
    <n v="96973.2"/>
  </r>
  <r>
    <x v="0"/>
    <x v="0"/>
    <x v="0"/>
    <x v="3"/>
    <x v="4"/>
    <s v="DE4-E_A"/>
    <x v="0"/>
    <x v="2"/>
    <s v="GNR_ST_BGAS_CND_E-38"/>
    <x v="0"/>
    <x v="10"/>
    <n v="73.8"/>
    <n v="26937"/>
    <n v="96973.2"/>
  </r>
  <r>
    <x v="0"/>
    <x v="0"/>
    <x v="0"/>
    <x v="3"/>
    <x v="4"/>
    <s v="DE4-E_A"/>
    <x v="0"/>
    <x v="2"/>
    <s v="GNR_ST_BGAS_CND_E-38"/>
    <x v="0"/>
    <x v="11"/>
    <n v="73.8"/>
    <n v="26937"/>
    <n v="96973.2"/>
  </r>
  <r>
    <x v="0"/>
    <x v="0"/>
    <x v="0"/>
    <x v="3"/>
    <x v="4"/>
    <s v="DE4-E_A"/>
    <x v="0"/>
    <x v="2"/>
    <s v="GNR_ST_BGAS_CND_E-38"/>
    <x v="0"/>
    <x v="12"/>
    <n v="73.8"/>
    <n v="26937"/>
    <n v="96973.2"/>
  </r>
  <r>
    <x v="0"/>
    <x v="0"/>
    <x v="0"/>
    <x v="3"/>
    <x v="4"/>
    <s v="DE4-E_A"/>
    <x v="0"/>
    <x v="2"/>
    <s v="GNR_ST_BGAS_CND_E-38"/>
    <x v="0"/>
    <x v="13"/>
    <n v="73.8"/>
    <n v="26937"/>
    <n v="96973.2"/>
  </r>
  <r>
    <x v="0"/>
    <x v="0"/>
    <x v="0"/>
    <x v="3"/>
    <x v="4"/>
    <s v="DE4-E_A"/>
    <x v="0"/>
    <x v="2"/>
    <s v="GNR_ST_BGAS_CND_E-38"/>
    <x v="0"/>
    <x v="14"/>
    <n v="73.8"/>
    <n v="26937"/>
    <n v="96973.2"/>
  </r>
  <r>
    <x v="0"/>
    <x v="0"/>
    <x v="0"/>
    <x v="3"/>
    <x v="4"/>
    <s v="DE4-E_A"/>
    <x v="0"/>
    <x v="2"/>
    <s v="GNR_ST_BGAS_CND_E-38"/>
    <x v="0"/>
    <x v="15"/>
    <n v="73.8"/>
    <n v="26937"/>
    <n v="96973.2"/>
  </r>
  <r>
    <x v="0"/>
    <x v="0"/>
    <x v="0"/>
    <x v="3"/>
    <x v="4"/>
    <s v="DE4-E_A"/>
    <x v="0"/>
    <x v="2"/>
    <s v="GNR_ST_BGAS_CND_E-38"/>
    <x v="0"/>
    <x v="16"/>
    <n v="73.8"/>
    <n v="26937"/>
    <n v="96973.2"/>
  </r>
  <r>
    <x v="0"/>
    <x v="0"/>
    <x v="0"/>
    <x v="3"/>
    <x v="4"/>
    <s v="DE4-E_A"/>
    <x v="0"/>
    <x v="2"/>
    <s v="GNR_ST_BGAS_CND_E-38"/>
    <x v="0"/>
    <x v="17"/>
    <n v="73.8"/>
    <n v="26937"/>
    <n v="96973.2"/>
  </r>
  <r>
    <x v="0"/>
    <x v="0"/>
    <x v="0"/>
    <x v="3"/>
    <x v="4"/>
    <s v="DE4-E_A"/>
    <x v="0"/>
    <x v="2"/>
    <s v="GNR_ST_BGAS_CND_E-38"/>
    <x v="0"/>
    <x v="18"/>
    <n v="73.8"/>
    <n v="26937"/>
    <n v="96973.2"/>
  </r>
  <r>
    <x v="0"/>
    <x v="0"/>
    <x v="0"/>
    <x v="3"/>
    <x v="4"/>
    <s v="DE4-E_A"/>
    <x v="0"/>
    <x v="2"/>
    <s v="GNR_ST_BGAS_CND_E-38"/>
    <x v="0"/>
    <x v="19"/>
    <n v="73.8"/>
    <n v="26937"/>
    <n v="96973.2"/>
  </r>
  <r>
    <x v="0"/>
    <x v="0"/>
    <x v="0"/>
    <x v="3"/>
    <x v="4"/>
    <s v="DE4-E_A"/>
    <x v="0"/>
    <x v="2"/>
    <s v="GNR_ST_BGAS_CND_E-38"/>
    <x v="0"/>
    <x v="20"/>
    <n v="73.8"/>
    <n v="26937"/>
    <n v="96973.2"/>
  </r>
  <r>
    <x v="0"/>
    <x v="0"/>
    <x v="0"/>
    <x v="3"/>
    <x v="4"/>
    <s v="DE4-E_A"/>
    <x v="0"/>
    <x v="2"/>
    <s v="GNR_ST_BGAS_CND_E-38"/>
    <x v="0"/>
    <x v="21"/>
    <n v="73.8"/>
    <n v="26937"/>
    <n v="96973.2"/>
  </r>
  <r>
    <x v="0"/>
    <x v="0"/>
    <x v="0"/>
    <x v="3"/>
    <x v="4"/>
    <s v="DE4-E_A"/>
    <x v="0"/>
    <x v="2"/>
    <s v="GNR_ST_BGAS_CND_E-38"/>
    <x v="0"/>
    <x v="22"/>
    <n v="73.8"/>
    <n v="26937"/>
    <n v="96973.2"/>
  </r>
  <r>
    <x v="0"/>
    <x v="0"/>
    <x v="0"/>
    <x v="3"/>
    <x v="4"/>
    <s v="DE4-E_A"/>
    <x v="0"/>
    <x v="2"/>
    <s v="GNR_ST_BGAS_CND_E-38"/>
    <x v="0"/>
    <x v="23"/>
    <n v="73.8"/>
    <n v="26937"/>
    <n v="96973.2"/>
  </r>
  <r>
    <x v="0"/>
    <x v="0"/>
    <x v="0"/>
    <x v="3"/>
    <x v="4"/>
    <s v="DE4-E_A"/>
    <x v="12"/>
    <x v="8"/>
    <s v="AGG-DE4-E_RES_WTR_PMP"/>
    <x v="0"/>
    <x v="0"/>
    <n v="776.04453414684303"/>
    <n v="283256.25496359798"/>
    <n v="1019722.51786895"/>
  </r>
  <r>
    <x v="0"/>
    <x v="0"/>
    <x v="0"/>
    <x v="3"/>
    <x v="4"/>
    <s v="DE4-E_A"/>
    <x v="12"/>
    <x v="8"/>
    <s v="AGG-DE4-E_RES_WTR_PMP"/>
    <x v="0"/>
    <x v="1"/>
    <n v="563.95633531305396"/>
    <n v="205844.06238926499"/>
    <n v="741038.62460135296"/>
  </r>
  <r>
    <x v="0"/>
    <x v="0"/>
    <x v="0"/>
    <x v="3"/>
    <x v="4"/>
    <s v="DE4-E_A"/>
    <x v="12"/>
    <x v="8"/>
    <s v="AGG-DE4-E_RES_WTR_PMP"/>
    <x v="0"/>
    <x v="2"/>
    <n v="532.49087745827501"/>
    <n v="194359.17027227001"/>
    <n v="699693.01298017404"/>
  </r>
  <r>
    <x v="0"/>
    <x v="0"/>
    <x v="0"/>
    <x v="3"/>
    <x v="4"/>
    <s v="DE4-E_A"/>
    <x v="12"/>
    <x v="8"/>
    <s v="AGG-DE4-E_RES_WTR_PMP"/>
    <x v="0"/>
    <x v="4"/>
    <n v="1238.2560722431499"/>
    <n v="451963.46636874799"/>
    <n v="1627068.4789274901"/>
  </r>
  <r>
    <x v="0"/>
    <x v="0"/>
    <x v="0"/>
    <x v="3"/>
    <x v="4"/>
    <s v="DE4-E_A"/>
    <x v="12"/>
    <x v="8"/>
    <s v="AGG-DE4-E_RES_WTR_PMP"/>
    <x v="0"/>
    <x v="5"/>
    <n v="1176.7439277568501"/>
    <n v="429511.53363125201"/>
    <n v="1546241.5210725099"/>
  </r>
  <r>
    <x v="0"/>
    <x v="0"/>
    <x v="0"/>
    <x v="3"/>
    <x v="4"/>
    <s v="DE4-E_A"/>
    <x v="12"/>
    <x v="8"/>
    <s v="AGG-DE4-E_RES_WTR_PMP"/>
    <x v="0"/>
    <x v="7"/>
    <n v="2415"/>
    <n v="881475"/>
    <n v="3173310"/>
  </r>
  <r>
    <x v="0"/>
    <x v="0"/>
    <x v="0"/>
    <x v="3"/>
    <x v="4"/>
    <s v="DE4-E_A"/>
    <x v="12"/>
    <x v="8"/>
    <s v="AGG-DE4-E_RES_WTR_PMP"/>
    <x v="0"/>
    <x v="9"/>
    <n v="2415"/>
    <n v="881475"/>
    <n v="3173310"/>
  </r>
  <r>
    <x v="0"/>
    <x v="0"/>
    <x v="0"/>
    <x v="3"/>
    <x v="4"/>
    <s v="DE4-E_A"/>
    <x v="12"/>
    <x v="8"/>
    <s v="AGG-DE4-E_RES_WTR_PMP"/>
    <x v="0"/>
    <x v="13"/>
    <n v="899.73743695138296"/>
    <n v="328404.16448725498"/>
    <n v="1182254.99215412"/>
  </r>
  <r>
    <x v="0"/>
    <x v="0"/>
    <x v="0"/>
    <x v="3"/>
    <x v="4"/>
    <s v="DE4-E_A"/>
    <x v="12"/>
    <x v="8"/>
    <s v="AGG-DE4-E_RES_WTR_PMP"/>
    <x v="0"/>
    <x v="15"/>
    <n v="364.77133298230501"/>
    <n v="133141.536538541"/>
    <n v="479309.531538749"/>
  </r>
  <r>
    <x v="0"/>
    <x v="0"/>
    <x v="0"/>
    <x v="3"/>
    <x v="4"/>
    <s v="DE4-E_A"/>
    <x v="12"/>
    <x v="8"/>
    <s v="AGG-DE4-E_RES_WTR_PMP"/>
    <x v="0"/>
    <x v="16"/>
    <n v="1250.83724470328"/>
    <n v="456555.594316695"/>
    <n v="1643600.1395401"/>
  </r>
  <r>
    <x v="0"/>
    <x v="0"/>
    <x v="0"/>
    <x v="3"/>
    <x v="4"/>
    <s v="DE4-E_A"/>
    <x v="12"/>
    <x v="8"/>
    <s v="AGG-DE4-E_RES_WTR_PMP"/>
    <x v="0"/>
    <x v="17"/>
    <n v="1052.48075415678"/>
    <n v="384155.47526722599"/>
    <n v="1382959.7109620101"/>
  </r>
  <r>
    <x v="0"/>
    <x v="0"/>
    <x v="0"/>
    <x v="3"/>
    <x v="4"/>
    <s v="DE4-E_A"/>
    <x v="12"/>
    <x v="8"/>
    <s v="AGG-DE4-E_RES_WTR_PMP"/>
    <x v="0"/>
    <x v="18"/>
    <n v="84.349024322019702"/>
    <n v="30787.393877537201"/>
    <n v="110834.617959134"/>
  </r>
  <r>
    <x v="0"/>
    <x v="0"/>
    <x v="0"/>
    <x v="3"/>
    <x v="4"/>
    <s v="DE4-E_A"/>
    <x v="1"/>
    <x v="0"/>
    <s v="GNR_ST_MSW_BP_E-33"/>
    <x v="0"/>
    <x v="0"/>
    <n v="318.89999999999998"/>
    <n v="116398.5"/>
    <n v="419034.6"/>
  </r>
  <r>
    <x v="0"/>
    <x v="0"/>
    <x v="0"/>
    <x v="3"/>
    <x v="4"/>
    <s v="DE4-E_A"/>
    <x v="1"/>
    <x v="0"/>
    <s v="GNR_ST_MSW_BP_E-33"/>
    <x v="0"/>
    <x v="1"/>
    <n v="318.89999999999998"/>
    <n v="116398.5"/>
    <n v="419034.6"/>
  </r>
  <r>
    <x v="0"/>
    <x v="0"/>
    <x v="0"/>
    <x v="3"/>
    <x v="4"/>
    <s v="DE4-E_A"/>
    <x v="1"/>
    <x v="0"/>
    <s v="GNR_ST_MSW_BP_E-33"/>
    <x v="0"/>
    <x v="2"/>
    <n v="318.89999999999998"/>
    <n v="116398.5"/>
    <n v="419034.6"/>
  </r>
  <r>
    <x v="0"/>
    <x v="0"/>
    <x v="0"/>
    <x v="3"/>
    <x v="4"/>
    <s v="DE4-E_A"/>
    <x v="1"/>
    <x v="0"/>
    <s v="GNR_ST_MSW_BP_E-33"/>
    <x v="0"/>
    <x v="3"/>
    <n v="318.89999999999998"/>
    <n v="116398.5"/>
    <n v="419034.6"/>
  </r>
  <r>
    <x v="0"/>
    <x v="0"/>
    <x v="0"/>
    <x v="3"/>
    <x v="4"/>
    <s v="DE4-E_A"/>
    <x v="1"/>
    <x v="0"/>
    <s v="GNR_ST_MSW_BP_E-33"/>
    <x v="0"/>
    <x v="4"/>
    <n v="318.89999999999998"/>
    <n v="116398.5"/>
    <n v="419034.6"/>
  </r>
  <r>
    <x v="0"/>
    <x v="0"/>
    <x v="0"/>
    <x v="3"/>
    <x v="4"/>
    <s v="DE4-E_A"/>
    <x v="1"/>
    <x v="0"/>
    <s v="GNR_ST_MSW_BP_E-33"/>
    <x v="0"/>
    <x v="5"/>
    <n v="318.89999999999998"/>
    <n v="116398.5"/>
    <n v="419034.6"/>
  </r>
  <r>
    <x v="0"/>
    <x v="0"/>
    <x v="0"/>
    <x v="3"/>
    <x v="4"/>
    <s v="DE4-E_A"/>
    <x v="1"/>
    <x v="0"/>
    <s v="GNR_ST_MSW_BP_E-33"/>
    <x v="0"/>
    <x v="6"/>
    <n v="318.89999999999998"/>
    <n v="116398.5"/>
    <n v="419034.6"/>
  </r>
  <r>
    <x v="0"/>
    <x v="0"/>
    <x v="0"/>
    <x v="3"/>
    <x v="4"/>
    <s v="DE4-E_A"/>
    <x v="1"/>
    <x v="0"/>
    <s v="GNR_ST_MSW_BP_E-33"/>
    <x v="0"/>
    <x v="7"/>
    <n v="318.89999999999998"/>
    <n v="116398.5"/>
    <n v="419034.6"/>
  </r>
  <r>
    <x v="0"/>
    <x v="0"/>
    <x v="0"/>
    <x v="3"/>
    <x v="4"/>
    <s v="DE4-E_A"/>
    <x v="1"/>
    <x v="0"/>
    <s v="GNR_ST_MSW_BP_E-33"/>
    <x v="0"/>
    <x v="8"/>
    <n v="318.89999999999998"/>
    <n v="116398.5"/>
    <n v="419034.6"/>
  </r>
  <r>
    <x v="0"/>
    <x v="0"/>
    <x v="0"/>
    <x v="3"/>
    <x v="4"/>
    <s v="DE4-E_A"/>
    <x v="1"/>
    <x v="0"/>
    <s v="GNR_ST_MSW_BP_E-33"/>
    <x v="0"/>
    <x v="9"/>
    <n v="318.89999999999998"/>
    <n v="116398.5"/>
    <n v="419034.6"/>
  </r>
  <r>
    <x v="0"/>
    <x v="0"/>
    <x v="0"/>
    <x v="3"/>
    <x v="4"/>
    <s v="DE4-E_A"/>
    <x v="1"/>
    <x v="0"/>
    <s v="GNR_ST_MSW_BP_E-33"/>
    <x v="0"/>
    <x v="10"/>
    <n v="318.89999999999998"/>
    <n v="116398.5"/>
    <n v="419034.6"/>
  </r>
  <r>
    <x v="0"/>
    <x v="0"/>
    <x v="0"/>
    <x v="3"/>
    <x v="4"/>
    <s v="DE4-E_A"/>
    <x v="1"/>
    <x v="0"/>
    <s v="GNR_ST_MSW_BP_E-33"/>
    <x v="0"/>
    <x v="11"/>
    <n v="318.89999999999998"/>
    <n v="116398.5"/>
    <n v="419034.6"/>
  </r>
  <r>
    <x v="0"/>
    <x v="0"/>
    <x v="0"/>
    <x v="3"/>
    <x v="4"/>
    <s v="DE4-E_A"/>
    <x v="1"/>
    <x v="0"/>
    <s v="GNR_ST_MSW_BP_E-33"/>
    <x v="0"/>
    <x v="12"/>
    <n v="318.89999999999998"/>
    <n v="116398.5"/>
    <n v="419034.6"/>
  </r>
  <r>
    <x v="0"/>
    <x v="0"/>
    <x v="0"/>
    <x v="3"/>
    <x v="4"/>
    <s v="DE4-E_A"/>
    <x v="1"/>
    <x v="0"/>
    <s v="GNR_ST_MSW_BP_E-33"/>
    <x v="0"/>
    <x v="13"/>
    <n v="318.89999999999998"/>
    <n v="116398.5"/>
    <n v="419034.6"/>
  </r>
  <r>
    <x v="0"/>
    <x v="0"/>
    <x v="0"/>
    <x v="3"/>
    <x v="4"/>
    <s v="DE4-E_A"/>
    <x v="1"/>
    <x v="0"/>
    <s v="GNR_ST_MSW_BP_E-33"/>
    <x v="0"/>
    <x v="14"/>
    <n v="318.89999999999998"/>
    <n v="116398.5"/>
    <n v="419034.6"/>
  </r>
  <r>
    <x v="0"/>
    <x v="0"/>
    <x v="0"/>
    <x v="3"/>
    <x v="4"/>
    <s v="DE4-E_A"/>
    <x v="1"/>
    <x v="0"/>
    <s v="GNR_ST_MSW_BP_E-33"/>
    <x v="0"/>
    <x v="15"/>
    <n v="318.89999999999998"/>
    <n v="116398.5"/>
    <n v="419034.6"/>
  </r>
  <r>
    <x v="0"/>
    <x v="0"/>
    <x v="0"/>
    <x v="3"/>
    <x v="4"/>
    <s v="DE4-E_A"/>
    <x v="1"/>
    <x v="0"/>
    <s v="GNR_ST_MSW_BP_E-33"/>
    <x v="0"/>
    <x v="16"/>
    <n v="318.89999999999998"/>
    <n v="116398.5"/>
    <n v="419034.6"/>
  </r>
  <r>
    <x v="0"/>
    <x v="0"/>
    <x v="0"/>
    <x v="3"/>
    <x v="4"/>
    <s v="DE4-E_A"/>
    <x v="1"/>
    <x v="0"/>
    <s v="GNR_ST_MSW_BP_E-33"/>
    <x v="0"/>
    <x v="17"/>
    <n v="318.89999999999998"/>
    <n v="116398.5"/>
    <n v="419034.6"/>
  </r>
  <r>
    <x v="0"/>
    <x v="0"/>
    <x v="0"/>
    <x v="3"/>
    <x v="4"/>
    <s v="DE4-E_A"/>
    <x v="1"/>
    <x v="0"/>
    <s v="GNR_ST_MSW_BP_E-33"/>
    <x v="0"/>
    <x v="18"/>
    <n v="318.89999999999998"/>
    <n v="116398.5"/>
    <n v="419034.6"/>
  </r>
  <r>
    <x v="0"/>
    <x v="0"/>
    <x v="0"/>
    <x v="3"/>
    <x v="4"/>
    <s v="DE4-E_A"/>
    <x v="1"/>
    <x v="0"/>
    <s v="GNR_ST_MSW_BP_E-33"/>
    <x v="0"/>
    <x v="19"/>
    <n v="318.89999999999998"/>
    <n v="116398.5"/>
    <n v="419034.6"/>
  </r>
  <r>
    <x v="0"/>
    <x v="0"/>
    <x v="0"/>
    <x v="3"/>
    <x v="4"/>
    <s v="DE4-E_A"/>
    <x v="1"/>
    <x v="0"/>
    <s v="GNR_ST_MSW_BP_E-33"/>
    <x v="0"/>
    <x v="20"/>
    <n v="318.89999999999998"/>
    <n v="116398.5"/>
    <n v="419034.6"/>
  </r>
  <r>
    <x v="0"/>
    <x v="0"/>
    <x v="0"/>
    <x v="3"/>
    <x v="4"/>
    <s v="DE4-E_A"/>
    <x v="1"/>
    <x v="0"/>
    <s v="GNR_ST_MSW_BP_E-33"/>
    <x v="0"/>
    <x v="21"/>
    <n v="318.89999999999998"/>
    <n v="116398.5"/>
    <n v="419034.6"/>
  </r>
  <r>
    <x v="0"/>
    <x v="0"/>
    <x v="0"/>
    <x v="3"/>
    <x v="4"/>
    <s v="DE4-E_A"/>
    <x v="1"/>
    <x v="0"/>
    <s v="GNR_ST_MSW_BP_E-33"/>
    <x v="0"/>
    <x v="22"/>
    <n v="318.89999999999998"/>
    <n v="116398.5"/>
    <n v="419034.6"/>
  </r>
  <r>
    <x v="0"/>
    <x v="0"/>
    <x v="0"/>
    <x v="3"/>
    <x v="4"/>
    <s v="DE4-E_A"/>
    <x v="1"/>
    <x v="0"/>
    <s v="GNR_ST_MSW_BP_E-33"/>
    <x v="0"/>
    <x v="23"/>
    <n v="318.89999999999998"/>
    <n v="116398.5"/>
    <n v="419034.6"/>
  </r>
  <r>
    <x v="0"/>
    <x v="0"/>
    <x v="0"/>
    <x v="3"/>
    <x v="4"/>
    <s v="DE4-E_A"/>
    <x v="1"/>
    <x v="2"/>
    <s v="GNR_ST_MSW_CND_E-33"/>
    <x v="0"/>
    <x v="0"/>
    <n v="65.099999999999994"/>
    <n v="23761.5"/>
    <n v="85541.4"/>
  </r>
  <r>
    <x v="0"/>
    <x v="0"/>
    <x v="0"/>
    <x v="3"/>
    <x v="4"/>
    <s v="DE4-E_A"/>
    <x v="1"/>
    <x v="2"/>
    <s v="GNR_ST_MSW_CND_E-33"/>
    <x v="0"/>
    <x v="1"/>
    <n v="65.099999999999994"/>
    <n v="23761.5"/>
    <n v="85541.4"/>
  </r>
  <r>
    <x v="0"/>
    <x v="0"/>
    <x v="0"/>
    <x v="3"/>
    <x v="4"/>
    <s v="DE4-E_A"/>
    <x v="1"/>
    <x v="2"/>
    <s v="GNR_ST_MSW_CND_E-33"/>
    <x v="0"/>
    <x v="2"/>
    <n v="65.099999999999994"/>
    <n v="23761.5"/>
    <n v="85541.4"/>
  </r>
  <r>
    <x v="0"/>
    <x v="0"/>
    <x v="0"/>
    <x v="3"/>
    <x v="4"/>
    <s v="DE4-E_A"/>
    <x v="1"/>
    <x v="2"/>
    <s v="GNR_ST_MSW_CND_E-33"/>
    <x v="0"/>
    <x v="3"/>
    <n v="65.099999999999994"/>
    <n v="23761.5"/>
    <n v="85541.4"/>
  </r>
  <r>
    <x v="0"/>
    <x v="0"/>
    <x v="0"/>
    <x v="3"/>
    <x v="4"/>
    <s v="DE4-E_A"/>
    <x v="1"/>
    <x v="2"/>
    <s v="GNR_ST_MSW_CND_E-33"/>
    <x v="0"/>
    <x v="4"/>
    <n v="65.099999999999994"/>
    <n v="23761.5"/>
    <n v="85541.4"/>
  </r>
  <r>
    <x v="0"/>
    <x v="0"/>
    <x v="0"/>
    <x v="3"/>
    <x v="4"/>
    <s v="DE4-E_A"/>
    <x v="1"/>
    <x v="2"/>
    <s v="GNR_ST_MSW_CND_E-33"/>
    <x v="0"/>
    <x v="5"/>
    <n v="65.099999999999994"/>
    <n v="23761.5"/>
    <n v="85541.4"/>
  </r>
  <r>
    <x v="0"/>
    <x v="0"/>
    <x v="0"/>
    <x v="3"/>
    <x v="4"/>
    <s v="DE4-E_A"/>
    <x v="1"/>
    <x v="2"/>
    <s v="GNR_ST_MSW_CND_E-33"/>
    <x v="0"/>
    <x v="6"/>
    <n v="65.099999999999994"/>
    <n v="23761.5"/>
    <n v="85541.4"/>
  </r>
  <r>
    <x v="0"/>
    <x v="0"/>
    <x v="0"/>
    <x v="3"/>
    <x v="4"/>
    <s v="DE4-E_A"/>
    <x v="1"/>
    <x v="2"/>
    <s v="GNR_ST_MSW_CND_E-33"/>
    <x v="0"/>
    <x v="7"/>
    <n v="65.099999999999994"/>
    <n v="23761.5"/>
    <n v="85541.4"/>
  </r>
  <r>
    <x v="0"/>
    <x v="0"/>
    <x v="0"/>
    <x v="3"/>
    <x v="4"/>
    <s v="DE4-E_A"/>
    <x v="1"/>
    <x v="2"/>
    <s v="GNR_ST_MSW_CND_E-33"/>
    <x v="0"/>
    <x v="8"/>
    <n v="65.099999999999994"/>
    <n v="23761.5"/>
    <n v="85541.4"/>
  </r>
  <r>
    <x v="0"/>
    <x v="0"/>
    <x v="0"/>
    <x v="3"/>
    <x v="4"/>
    <s v="DE4-E_A"/>
    <x v="1"/>
    <x v="2"/>
    <s v="GNR_ST_MSW_CND_E-33"/>
    <x v="0"/>
    <x v="9"/>
    <n v="65.099999999999994"/>
    <n v="23761.5"/>
    <n v="85541.4"/>
  </r>
  <r>
    <x v="0"/>
    <x v="0"/>
    <x v="0"/>
    <x v="3"/>
    <x v="4"/>
    <s v="DE4-E_A"/>
    <x v="1"/>
    <x v="2"/>
    <s v="GNR_ST_MSW_CND_E-33"/>
    <x v="0"/>
    <x v="10"/>
    <n v="65.099999999999994"/>
    <n v="23761.5"/>
    <n v="85541.4"/>
  </r>
  <r>
    <x v="0"/>
    <x v="0"/>
    <x v="0"/>
    <x v="3"/>
    <x v="4"/>
    <s v="DE4-E_A"/>
    <x v="1"/>
    <x v="2"/>
    <s v="GNR_ST_MSW_CND_E-33"/>
    <x v="0"/>
    <x v="11"/>
    <n v="65.099999999999994"/>
    <n v="23761.5"/>
    <n v="85541.4"/>
  </r>
  <r>
    <x v="0"/>
    <x v="0"/>
    <x v="0"/>
    <x v="3"/>
    <x v="4"/>
    <s v="DE4-E_A"/>
    <x v="1"/>
    <x v="2"/>
    <s v="GNR_ST_MSW_CND_E-33"/>
    <x v="0"/>
    <x v="12"/>
    <n v="65.099999999999994"/>
    <n v="23761.5"/>
    <n v="85541.4"/>
  </r>
  <r>
    <x v="0"/>
    <x v="0"/>
    <x v="0"/>
    <x v="3"/>
    <x v="4"/>
    <s v="DE4-E_A"/>
    <x v="1"/>
    <x v="2"/>
    <s v="GNR_ST_MSW_CND_E-33"/>
    <x v="0"/>
    <x v="13"/>
    <n v="65.099999999999994"/>
    <n v="23761.5"/>
    <n v="85541.4"/>
  </r>
  <r>
    <x v="0"/>
    <x v="0"/>
    <x v="0"/>
    <x v="3"/>
    <x v="4"/>
    <s v="DE4-E_A"/>
    <x v="1"/>
    <x v="2"/>
    <s v="GNR_ST_MSW_CND_E-33"/>
    <x v="0"/>
    <x v="14"/>
    <n v="65.099999999999994"/>
    <n v="23761.5"/>
    <n v="85541.4"/>
  </r>
  <r>
    <x v="0"/>
    <x v="0"/>
    <x v="0"/>
    <x v="3"/>
    <x v="4"/>
    <s v="DE4-E_A"/>
    <x v="1"/>
    <x v="2"/>
    <s v="GNR_ST_MSW_CND_E-33"/>
    <x v="0"/>
    <x v="15"/>
    <n v="65.099999999999994"/>
    <n v="23761.5"/>
    <n v="85541.4"/>
  </r>
  <r>
    <x v="0"/>
    <x v="0"/>
    <x v="0"/>
    <x v="3"/>
    <x v="4"/>
    <s v="DE4-E_A"/>
    <x v="1"/>
    <x v="2"/>
    <s v="GNR_ST_MSW_CND_E-33"/>
    <x v="0"/>
    <x v="16"/>
    <n v="65.099999999999994"/>
    <n v="23761.5"/>
    <n v="85541.4"/>
  </r>
  <r>
    <x v="0"/>
    <x v="0"/>
    <x v="0"/>
    <x v="3"/>
    <x v="4"/>
    <s v="DE4-E_A"/>
    <x v="1"/>
    <x v="2"/>
    <s v="GNR_ST_MSW_CND_E-33"/>
    <x v="0"/>
    <x v="17"/>
    <n v="65.099999999999994"/>
    <n v="23761.5"/>
    <n v="85541.4"/>
  </r>
  <r>
    <x v="0"/>
    <x v="0"/>
    <x v="0"/>
    <x v="3"/>
    <x v="4"/>
    <s v="DE4-E_A"/>
    <x v="1"/>
    <x v="2"/>
    <s v="GNR_ST_MSW_CND_E-33"/>
    <x v="0"/>
    <x v="18"/>
    <n v="65.099999999999994"/>
    <n v="23761.5"/>
    <n v="85541.4"/>
  </r>
  <r>
    <x v="0"/>
    <x v="0"/>
    <x v="0"/>
    <x v="3"/>
    <x v="4"/>
    <s v="DE4-E_A"/>
    <x v="1"/>
    <x v="2"/>
    <s v="GNR_ST_MSW_CND_E-33"/>
    <x v="0"/>
    <x v="19"/>
    <n v="65.099999999999994"/>
    <n v="23761.5"/>
    <n v="85541.4"/>
  </r>
  <r>
    <x v="0"/>
    <x v="0"/>
    <x v="0"/>
    <x v="3"/>
    <x v="4"/>
    <s v="DE4-E_A"/>
    <x v="1"/>
    <x v="2"/>
    <s v="GNR_ST_MSW_CND_E-33"/>
    <x v="0"/>
    <x v="20"/>
    <n v="65.099999999999994"/>
    <n v="23761.5"/>
    <n v="85541.4"/>
  </r>
  <r>
    <x v="0"/>
    <x v="0"/>
    <x v="0"/>
    <x v="3"/>
    <x v="4"/>
    <s v="DE4-E_A"/>
    <x v="1"/>
    <x v="2"/>
    <s v="GNR_ST_MSW_CND_E-33"/>
    <x v="0"/>
    <x v="21"/>
    <n v="65.099999999999994"/>
    <n v="23761.5"/>
    <n v="85541.4"/>
  </r>
  <r>
    <x v="0"/>
    <x v="0"/>
    <x v="0"/>
    <x v="3"/>
    <x v="4"/>
    <s v="DE4-E_A"/>
    <x v="1"/>
    <x v="2"/>
    <s v="GNR_ST_MSW_CND_E-33"/>
    <x v="0"/>
    <x v="22"/>
    <n v="65.099999999999994"/>
    <n v="23761.5"/>
    <n v="85541.4"/>
  </r>
  <r>
    <x v="0"/>
    <x v="0"/>
    <x v="0"/>
    <x v="3"/>
    <x v="4"/>
    <s v="DE4-E_A"/>
    <x v="1"/>
    <x v="2"/>
    <s v="GNR_ST_MSW_CND_E-33"/>
    <x v="0"/>
    <x v="23"/>
    <n v="65.099999999999994"/>
    <n v="23761.5"/>
    <n v="85541.4"/>
  </r>
  <r>
    <x v="0"/>
    <x v="0"/>
    <x v="0"/>
    <x v="3"/>
    <x v="4"/>
    <s v="DE4-E_A"/>
    <x v="5"/>
    <x v="3"/>
    <s v="GNR_PV_SUN"/>
    <x v="0"/>
    <x v="8"/>
    <n v="231.322785698838"/>
    <n v="84432.816780075897"/>
    <n v="303958.14040827297"/>
  </r>
  <r>
    <x v="0"/>
    <x v="0"/>
    <x v="0"/>
    <x v="3"/>
    <x v="4"/>
    <s v="DE4-E_A"/>
    <x v="5"/>
    <x v="3"/>
    <s v="GNR_PV_SUN"/>
    <x v="0"/>
    <x v="9"/>
    <n v="1741.44538156869"/>
    <n v="635627.56427257101"/>
    <n v="2288259.2313812599"/>
  </r>
  <r>
    <x v="0"/>
    <x v="0"/>
    <x v="0"/>
    <x v="3"/>
    <x v="4"/>
    <s v="DE4-E_A"/>
    <x v="5"/>
    <x v="3"/>
    <s v="GNR_PV_SUN"/>
    <x v="0"/>
    <x v="10"/>
    <n v="4022.6439297679999"/>
    <n v="1468265.0343653201"/>
    <n v="5285754.1237151502"/>
  </r>
  <r>
    <x v="0"/>
    <x v="0"/>
    <x v="0"/>
    <x v="3"/>
    <x v="4"/>
    <s v="DE4-E_A"/>
    <x v="5"/>
    <x v="3"/>
    <s v="GNR_PV_SUN"/>
    <x v="0"/>
    <x v="11"/>
    <n v="6125.9018735835898"/>
    <n v="2235954.18385801"/>
    <n v="8049435.06188884"/>
  </r>
  <r>
    <x v="0"/>
    <x v="0"/>
    <x v="0"/>
    <x v="3"/>
    <x v="4"/>
    <s v="DE4-E_A"/>
    <x v="5"/>
    <x v="3"/>
    <s v="GNR_PV_SUN"/>
    <x v="0"/>
    <x v="12"/>
    <n v="6964.5952555788699"/>
    <n v="2542077.2682862901"/>
    <n v="9151478.1658306308"/>
  </r>
  <r>
    <x v="0"/>
    <x v="0"/>
    <x v="0"/>
    <x v="3"/>
    <x v="4"/>
    <s v="DE4-E_A"/>
    <x v="5"/>
    <x v="3"/>
    <s v="GNR_PV_SUN"/>
    <x v="0"/>
    <x v="13"/>
    <n v="6055.9119025259897"/>
    <n v="2210407.8444219902"/>
    <n v="7957468.2399191502"/>
  </r>
  <r>
    <x v="0"/>
    <x v="0"/>
    <x v="0"/>
    <x v="3"/>
    <x v="4"/>
    <s v="DE4-E_A"/>
    <x v="5"/>
    <x v="3"/>
    <s v="GNR_PV_SUN"/>
    <x v="0"/>
    <x v="14"/>
    <n v="3940.7912517514901"/>
    <n v="1438388.80688929"/>
    <n v="5178199.7048014598"/>
  </r>
  <r>
    <x v="0"/>
    <x v="0"/>
    <x v="0"/>
    <x v="3"/>
    <x v="4"/>
    <s v="DE4-E_A"/>
    <x v="5"/>
    <x v="3"/>
    <s v="GNR_PV_SUN"/>
    <x v="0"/>
    <x v="15"/>
    <n v="1995.30731048947"/>
    <n v="728287.16832865495"/>
    <n v="2621833.8059831602"/>
  </r>
  <r>
    <x v="0"/>
    <x v="0"/>
    <x v="0"/>
    <x v="3"/>
    <x v="4"/>
    <s v="DE4-E_A"/>
    <x v="5"/>
    <x v="3"/>
    <s v="GNR_PV_SUN"/>
    <x v="0"/>
    <x v="16"/>
    <n v="259.79328240023398"/>
    <n v="94824.548076085295"/>
    <n v="341368.37307390699"/>
  </r>
  <r>
    <x v="0"/>
    <x v="0"/>
    <x v="0"/>
    <x v="3"/>
    <x v="4"/>
    <s v="DE4-E_A"/>
    <x v="14"/>
    <x v="2"/>
    <s v="GNR_GEO_HEAT_EO"/>
    <x v="0"/>
    <x v="0"/>
    <n v="0.22"/>
    <n v="80.3"/>
    <n v="289.08"/>
  </r>
  <r>
    <x v="0"/>
    <x v="0"/>
    <x v="0"/>
    <x v="3"/>
    <x v="4"/>
    <s v="DE4-E_A"/>
    <x v="14"/>
    <x v="2"/>
    <s v="GNR_GEO_HEAT_EO"/>
    <x v="0"/>
    <x v="1"/>
    <n v="0.22"/>
    <n v="80.3"/>
    <n v="289.08"/>
  </r>
  <r>
    <x v="0"/>
    <x v="0"/>
    <x v="0"/>
    <x v="3"/>
    <x v="4"/>
    <s v="DE4-E_A"/>
    <x v="14"/>
    <x v="2"/>
    <s v="GNR_GEO_HEAT_EO"/>
    <x v="0"/>
    <x v="2"/>
    <n v="0.22"/>
    <n v="80.3"/>
    <n v="289.08"/>
  </r>
  <r>
    <x v="0"/>
    <x v="0"/>
    <x v="0"/>
    <x v="3"/>
    <x v="4"/>
    <s v="DE4-E_A"/>
    <x v="14"/>
    <x v="2"/>
    <s v="GNR_GEO_HEAT_EO"/>
    <x v="0"/>
    <x v="3"/>
    <n v="0.22"/>
    <n v="80.3"/>
    <n v="289.08"/>
  </r>
  <r>
    <x v="0"/>
    <x v="0"/>
    <x v="0"/>
    <x v="3"/>
    <x v="4"/>
    <s v="DE4-E_A"/>
    <x v="14"/>
    <x v="2"/>
    <s v="GNR_GEO_HEAT_EO"/>
    <x v="0"/>
    <x v="4"/>
    <n v="0.22"/>
    <n v="80.3"/>
    <n v="289.08"/>
  </r>
  <r>
    <x v="0"/>
    <x v="0"/>
    <x v="0"/>
    <x v="3"/>
    <x v="4"/>
    <s v="DE4-E_A"/>
    <x v="14"/>
    <x v="2"/>
    <s v="GNR_GEO_HEAT_EO"/>
    <x v="0"/>
    <x v="5"/>
    <n v="0.22"/>
    <n v="80.3"/>
    <n v="289.08"/>
  </r>
  <r>
    <x v="0"/>
    <x v="0"/>
    <x v="0"/>
    <x v="3"/>
    <x v="4"/>
    <s v="DE4-E_A"/>
    <x v="14"/>
    <x v="2"/>
    <s v="GNR_GEO_HEAT_EO"/>
    <x v="0"/>
    <x v="6"/>
    <n v="0.22"/>
    <n v="80.3"/>
    <n v="289.08"/>
  </r>
  <r>
    <x v="0"/>
    <x v="0"/>
    <x v="0"/>
    <x v="3"/>
    <x v="4"/>
    <s v="DE4-E_A"/>
    <x v="14"/>
    <x v="2"/>
    <s v="GNR_GEO_HEAT_EO"/>
    <x v="0"/>
    <x v="7"/>
    <n v="0.22"/>
    <n v="80.3"/>
    <n v="289.08"/>
  </r>
  <r>
    <x v="0"/>
    <x v="0"/>
    <x v="0"/>
    <x v="3"/>
    <x v="4"/>
    <s v="DE4-E_A"/>
    <x v="14"/>
    <x v="2"/>
    <s v="GNR_GEO_HEAT_EO"/>
    <x v="0"/>
    <x v="8"/>
    <n v="0.22"/>
    <n v="80.3"/>
    <n v="289.08"/>
  </r>
  <r>
    <x v="0"/>
    <x v="0"/>
    <x v="0"/>
    <x v="3"/>
    <x v="4"/>
    <s v="DE4-E_A"/>
    <x v="14"/>
    <x v="2"/>
    <s v="GNR_GEO_HEAT_EO"/>
    <x v="0"/>
    <x v="9"/>
    <n v="0.22"/>
    <n v="80.3"/>
    <n v="289.08"/>
  </r>
  <r>
    <x v="0"/>
    <x v="0"/>
    <x v="0"/>
    <x v="3"/>
    <x v="4"/>
    <s v="DE4-E_A"/>
    <x v="14"/>
    <x v="2"/>
    <s v="GNR_GEO_HEAT_EO"/>
    <x v="0"/>
    <x v="10"/>
    <n v="0.22"/>
    <n v="80.3"/>
    <n v="289.08"/>
  </r>
  <r>
    <x v="0"/>
    <x v="0"/>
    <x v="0"/>
    <x v="3"/>
    <x v="4"/>
    <s v="DE4-E_A"/>
    <x v="14"/>
    <x v="2"/>
    <s v="GNR_GEO_HEAT_EO"/>
    <x v="0"/>
    <x v="11"/>
    <n v="0.22"/>
    <n v="80.3"/>
    <n v="289.08"/>
  </r>
  <r>
    <x v="0"/>
    <x v="0"/>
    <x v="0"/>
    <x v="3"/>
    <x v="4"/>
    <s v="DE4-E_A"/>
    <x v="14"/>
    <x v="2"/>
    <s v="GNR_GEO_HEAT_EO"/>
    <x v="0"/>
    <x v="12"/>
    <n v="0.22"/>
    <n v="80.3"/>
    <n v="289.08"/>
  </r>
  <r>
    <x v="0"/>
    <x v="0"/>
    <x v="0"/>
    <x v="3"/>
    <x v="4"/>
    <s v="DE4-E_A"/>
    <x v="14"/>
    <x v="2"/>
    <s v="GNR_GEO_HEAT_EO"/>
    <x v="0"/>
    <x v="13"/>
    <n v="0.22"/>
    <n v="80.3"/>
    <n v="289.08"/>
  </r>
  <r>
    <x v="0"/>
    <x v="0"/>
    <x v="0"/>
    <x v="3"/>
    <x v="4"/>
    <s v="DE4-E_A"/>
    <x v="14"/>
    <x v="2"/>
    <s v="GNR_GEO_HEAT_EO"/>
    <x v="0"/>
    <x v="14"/>
    <n v="0.22"/>
    <n v="80.3"/>
    <n v="289.08"/>
  </r>
  <r>
    <x v="0"/>
    <x v="0"/>
    <x v="0"/>
    <x v="3"/>
    <x v="4"/>
    <s v="DE4-E_A"/>
    <x v="14"/>
    <x v="2"/>
    <s v="GNR_GEO_HEAT_EO"/>
    <x v="0"/>
    <x v="15"/>
    <n v="0.22"/>
    <n v="80.3"/>
    <n v="289.08"/>
  </r>
  <r>
    <x v="0"/>
    <x v="0"/>
    <x v="0"/>
    <x v="3"/>
    <x v="4"/>
    <s v="DE4-E_A"/>
    <x v="14"/>
    <x v="2"/>
    <s v="GNR_GEO_HEAT_EO"/>
    <x v="0"/>
    <x v="16"/>
    <n v="0.22"/>
    <n v="80.3"/>
    <n v="289.08"/>
  </r>
  <r>
    <x v="0"/>
    <x v="0"/>
    <x v="0"/>
    <x v="3"/>
    <x v="4"/>
    <s v="DE4-E_A"/>
    <x v="14"/>
    <x v="2"/>
    <s v="GNR_GEO_HEAT_EO"/>
    <x v="0"/>
    <x v="17"/>
    <n v="0.22"/>
    <n v="80.3"/>
    <n v="289.08"/>
  </r>
  <r>
    <x v="0"/>
    <x v="0"/>
    <x v="0"/>
    <x v="3"/>
    <x v="4"/>
    <s v="DE4-E_A"/>
    <x v="14"/>
    <x v="2"/>
    <s v="GNR_GEO_HEAT_EO"/>
    <x v="0"/>
    <x v="18"/>
    <n v="0.22"/>
    <n v="80.3"/>
    <n v="289.08"/>
  </r>
  <r>
    <x v="0"/>
    <x v="0"/>
    <x v="0"/>
    <x v="3"/>
    <x v="4"/>
    <s v="DE4-E_A"/>
    <x v="14"/>
    <x v="2"/>
    <s v="GNR_GEO_HEAT_EO"/>
    <x v="0"/>
    <x v="19"/>
    <n v="0.22"/>
    <n v="80.3"/>
    <n v="289.08"/>
  </r>
  <r>
    <x v="0"/>
    <x v="0"/>
    <x v="0"/>
    <x v="3"/>
    <x v="4"/>
    <s v="DE4-E_A"/>
    <x v="14"/>
    <x v="2"/>
    <s v="GNR_GEO_HEAT_EO"/>
    <x v="0"/>
    <x v="20"/>
    <n v="0.22"/>
    <n v="80.3"/>
    <n v="289.08"/>
  </r>
  <r>
    <x v="0"/>
    <x v="0"/>
    <x v="0"/>
    <x v="3"/>
    <x v="4"/>
    <s v="DE4-E_A"/>
    <x v="14"/>
    <x v="2"/>
    <s v="GNR_GEO_HEAT_EO"/>
    <x v="0"/>
    <x v="21"/>
    <n v="0.22"/>
    <n v="80.3"/>
    <n v="289.08"/>
  </r>
  <r>
    <x v="0"/>
    <x v="0"/>
    <x v="0"/>
    <x v="3"/>
    <x v="4"/>
    <s v="DE4-E_A"/>
    <x v="14"/>
    <x v="2"/>
    <s v="GNR_GEO_HEAT_EO"/>
    <x v="0"/>
    <x v="22"/>
    <n v="0.22"/>
    <n v="80.3"/>
    <n v="289.08"/>
  </r>
  <r>
    <x v="0"/>
    <x v="0"/>
    <x v="0"/>
    <x v="3"/>
    <x v="4"/>
    <s v="DE4-E_A"/>
    <x v="14"/>
    <x v="2"/>
    <s v="GNR_GEO_HEAT_EO"/>
    <x v="0"/>
    <x v="23"/>
    <n v="0.22"/>
    <n v="80.3"/>
    <n v="289.08"/>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2"/>
    <n v="302.85891450546501"/>
    <n v="110543.503794495"/>
    <n v="397956.613660181"/>
  </r>
  <r>
    <x v="0"/>
    <x v="0"/>
    <x v="0"/>
    <x v="3"/>
    <x v="4"/>
    <s v="DE4-E_A"/>
    <x v="6"/>
    <x v="4"/>
    <s v="GNR_ROR_WTR"/>
    <x v="0"/>
    <x v="3"/>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8"/>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0"/>
    <n v="2948.4392652654901"/>
    <n v="1076180.3318219001"/>
    <n v="3874249.1945588598"/>
  </r>
  <r>
    <x v="0"/>
    <x v="0"/>
    <x v="0"/>
    <x v="3"/>
    <x v="4"/>
    <s v="DE4-E_A"/>
    <x v="7"/>
    <x v="5"/>
    <s v="GNR_WT_WIND_ONS"/>
    <x v="0"/>
    <x v="1"/>
    <n v="2852.88526764892"/>
    <n v="1041303.1226918499"/>
    <n v="3748691.2416906701"/>
  </r>
  <r>
    <x v="0"/>
    <x v="0"/>
    <x v="0"/>
    <x v="3"/>
    <x v="4"/>
    <s v="DE4-E_A"/>
    <x v="7"/>
    <x v="5"/>
    <s v="GNR_WT_WIND_ONS"/>
    <x v="0"/>
    <x v="2"/>
    <n v="2771.4583497621002"/>
    <n v="1011582.29766317"/>
    <n v="3641696.2715874002"/>
  </r>
  <r>
    <x v="0"/>
    <x v="0"/>
    <x v="0"/>
    <x v="3"/>
    <x v="4"/>
    <s v="DE4-E_A"/>
    <x v="7"/>
    <x v="5"/>
    <s v="GNR_WT_WIND_ONS"/>
    <x v="0"/>
    <x v="3"/>
    <n v="2631.7572279900201"/>
    <n v="960591.38821635698"/>
    <n v="3458128.9975788901"/>
  </r>
  <r>
    <x v="0"/>
    <x v="0"/>
    <x v="0"/>
    <x v="3"/>
    <x v="4"/>
    <s v="DE4-E_A"/>
    <x v="7"/>
    <x v="5"/>
    <s v="GNR_WT_WIND_ONS"/>
    <x v="0"/>
    <x v="4"/>
    <n v="2397.28694636413"/>
    <n v="875009.73542290705"/>
    <n v="3150035.0475224699"/>
  </r>
  <r>
    <x v="0"/>
    <x v="0"/>
    <x v="0"/>
    <x v="3"/>
    <x v="4"/>
    <s v="DE4-E_A"/>
    <x v="7"/>
    <x v="5"/>
    <s v="GNR_WT_WIND_ONS"/>
    <x v="0"/>
    <x v="5"/>
    <n v="2187.5390542653199"/>
    <n v="798451.75480684196"/>
    <n v="2874426.3173046298"/>
  </r>
  <r>
    <x v="0"/>
    <x v="0"/>
    <x v="0"/>
    <x v="3"/>
    <x v="4"/>
    <s v="DE4-E_A"/>
    <x v="7"/>
    <x v="5"/>
    <s v="GNR_WT_WIND_ONS"/>
    <x v="0"/>
    <x v="6"/>
    <n v="1803.1647599514099"/>
    <n v="658155.13738226495"/>
    <n v="2369358.4945761599"/>
  </r>
  <r>
    <x v="0"/>
    <x v="0"/>
    <x v="0"/>
    <x v="3"/>
    <x v="4"/>
    <s v="DE4-E_A"/>
    <x v="7"/>
    <x v="5"/>
    <s v="GNR_WT_WIND_ONS"/>
    <x v="0"/>
    <x v="7"/>
    <n v="1743.7132994220001"/>
    <n v="636455.35428903101"/>
    <n v="2291239.2754405099"/>
  </r>
  <r>
    <x v="0"/>
    <x v="0"/>
    <x v="0"/>
    <x v="3"/>
    <x v="4"/>
    <s v="DE4-E_A"/>
    <x v="7"/>
    <x v="5"/>
    <s v="GNR_WT_WIND_ONS"/>
    <x v="0"/>
    <x v="8"/>
    <n v="1874.5849963629801"/>
    <n v="684223.52367248805"/>
    <n v="2463204.6852209601"/>
  </r>
  <r>
    <x v="0"/>
    <x v="0"/>
    <x v="0"/>
    <x v="3"/>
    <x v="4"/>
    <s v="DE4-E_A"/>
    <x v="7"/>
    <x v="5"/>
    <s v="GNR_WT_WIND_ONS"/>
    <x v="0"/>
    <x v="9"/>
    <n v="2021.9382863220101"/>
    <n v="738007.47450753499"/>
    <n v="2656826.9082271298"/>
  </r>
  <r>
    <x v="0"/>
    <x v="0"/>
    <x v="0"/>
    <x v="3"/>
    <x v="4"/>
    <s v="DE4-E_A"/>
    <x v="7"/>
    <x v="5"/>
    <s v="GNR_WT_WIND_ONS"/>
    <x v="0"/>
    <x v="10"/>
    <n v="2332.9302498174402"/>
    <n v="851519.54118336597"/>
    <n v="3065470.34826012"/>
  </r>
  <r>
    <x v="0"/>
    <x v="0"/>
    <x v="0"/>
    <x v="3"/>
    <x v="4"/>
    <s v="DE4-E_A"/>
    <x v="7"/>
    <x v="5"/>
    <s v="GNR_WT_WIND_ONS"/>
    <x v="0"/>
    <x v="11"/>
    <n v="2569.9512541723202"/>
    <n v="938032.20777289604"/>
    <n v="3376915.9479824202"/>
  </r>
  <r>
    <x v="0"/>
    <x v="0"/>
    <x v="0"/>
    <x v="3"/>
    <x v="4"/>
    <s v="DE4-E_A"/>
    <x v="7"/>
    <x v="5"/>
    <s v="GNR_WT_WIND_ONS"/>
    <x v="0"/>
    <x v="12"/>
    <n v="3162.50376505951"/>
    <n v="1154313.87424672"/>
    <n v="4155529.94728819"/>
  </r>
  <r>
    <x v="0"/>
    <x v="0"/>
    <x v="0"/>
    <x v="3"/>
    <x v="4"/>
    <s v="DE4-E_A"/>
    <x v="7"/>
    <x v="5"/>
    <s v="GNR_WT_WIND_ONS"/>
    <x v="0"/>
    <x v="13"/>
    <n v="3695.60481541728"/>
    <n v="1348895.75762731"/>
    <n v="4856024.7274583103"/>
  </r>
  <r>
    <x v="0"/>
    <x v="0"/>
    <x v="0"/>
    <x v="3"/>
    <x v="4"/>
    <s v="DE4-E_A"/>
    <x v="7"/>
    <x v="5"/>
    <s v="GNR_WT_WIND_ONS"/>
    <x v="0"/>
    <x v="14"/>
    <n v="4303.0692437970001"/>
    <n v="1570620.2739859"/>
    <n v="5654232.9863492604"/>
  </r>
  <r>
    <x v="0"/>
    <x v="0"/>
    <x v="0"/>
    <x v="3"/>
    <x v="4"/>
    <s v="DE4-E_A"/>
    <x v="7"/>
    <x v="5"/>
    <s v="GNR_WT_WIND_ONS"/>
    <x v="0"/>
    <x v="15"/>
    <n v="4902.68529454907"/>
    <n v="1789480.1325104099"/>
    <n v="6442128.4770374699"/>
  </r>
  <r>
    <x v="0"/>
    <x v="0"/>
    <x v="0"/>
    <x v="3"/>
    <x v="4"/>
    <s v="DE4-E_A"/>
    <x v="7"/>
    <x v="5"/>
    <s v="GNR_WT_WIND_ONS"/>
    <x v="0"/>
    <x v="16"/>
    <n v="5703.2198125688501"/>
    <n v="2081675.23158763"/>
    <n v="7494030.8337154603"/>
  </r>
  <r>
    <x v="0"/>
    <x v="0"/>
    <x v="0"/>
    <x v="3"/>
    <x v="4"/>
    <s v="DE4-E_A"/>
    <x v="7"/>
    <x v="5"/>
    <s v="GNR_WT_WIND_ONS"/>
    <x v="0"/>
    <x v="17"/>
    <n v="6434.4923980246604"/>
    <n v="2348589.7252790001"/>
    <n v="8454923.0110043995"/>
  </r>
  <r>
    <x v="0"/>
    <x v="0"/>
    <x v="0"/>
    <x v="3"/>
    <x v="4"/>
    <s v="DE4-E_A"/>
    <x v="7"/>
    <x v="5"/>
    <s v="GNR_WT_WIND_ONS"/>
    <x v="0"/>
    <x v="18"/>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0"/>
    <n v="107.223932542749"/>
    <n v="39136.735378103302"/>
    <n v="140892.24736117199"/>
  </r>
  <r>
    <x v="0"/>
    <x v="0"/>
    <x v="0"/>
    <x v="3"/>
    <x v="4"/>
    <s v="DE4-E_Offshore_A"/>
    <x v="7"/>
    <x v="5"/>
    <s v="GNR_WT_WIND_OFF"/>
    <x v="0"/>
    <x v="1"/>
    <n v="103.748983773978"/>
    <n v="37868.379077501901"/>
    <n v="136326.16467900699"/>
  </r>
  <r>
    <x v="0"/>
    <x v="0"/>
    <x v="0"/>
    <x v="3"/>
    <x v="4"/>
    <s v="DE4-E_Offshore_A"/>
    <x v="7"/>
    <x v="5"/>
    <s v="GNR_WT_WIND_OFF"/>
    <x v="0"/>
    <x v="2"/>
    <n v="100.787785131186"/>
    <n v="36787.541572882699"/>
    <n v="132435.14966237801"/>
  </r>
  <r>
    <x v="0"/>
    <x v="0"/>
    <x v="0"/>
    <x v="3"/>
    <x v="4"/>
    <s v="DE4-E_Offshore_A"/>
    <x v="7"/>
    <x v="5"/>
    <s v="GNR_WT_WIND_OFF"/>
    <x v="0"/>
    <x v="3"/>
    <n v="95.707367218732202"/>
    <n v="34933.189034837204"/>
    <n v="125759.48052541399"/>
  </r>
  <r>
    <x v="0"/>
    <x v="0"/>
    <x v="0"/>
    <x v="3"/>
    <x v="4"/>
    <s v="DE4-E_Offshore_A"/>
    <x v="7"/>
    <x v="5"/>
    <s v="GNR_WT_WIND_OFF"/>
    <x v="0"/>
    <x v="4"/>
    <n v="87.180542211173403"/>
    <n v="31820.897907078299"/>
    <n v="114555.232465482"/>
  </r>
  <r>
    <x v="0"/>
    <x v="0"/>
    <x v="0"/>
    <x v="3"/>
    <x v="4"/>
    <s v="DE4-E_Offshore_A"/>
    <x v="7"/>
    <x v="5"/>
    <s v="GNR_WT_WIND_OFF"/>
    <x v="0"/>
    <x v="5"/>
    <n v="79.552779924077001"/>
    <n v="29036.7646722881"/>
    <n v="104532.35282023701"/>
  </r>
  <r>
    <x v="0"/>
    <x v="0"/>
    <x v="0"/>
    <x v="3"/>
    <x v="4"/>
    <s v="DE4-E_Offshore_A"/>
    <x v="7"/>
    <x v="5"/>
    <s v="GNR_WT_WIND_OFF"/>
    <x v="0"/>
    <x v="6"/>
    <n v="65.574495246413804"/>
    <n v="23934.690764940999"/>
    <n v="86164.886753787796"/>
  </r>
  <r>
    <x v="0"/>
    <x v="0"/>
    <x v="0"/>
    <x v="3"/>
    <x v="4"/>
    <s v="DE4-E_Offshore_A"/>
    <x v="7"/>
    <x v="5"/>
    <s v="GNR_WT_WIND_OFF"/>
    <x v="0"/>
    <x v="7"/>
    <n v="63.4124634662546"/>
    <n v="23145.5491651829"/>
    <n v="83323.9769946585"/>
  </r>
  <r>
    <x v="0"/>
    <x v="0"/>
    <x v="0"/>
    <x v="3"/>
    <x v="4"/>
    <s v="DE4-E_Offshore_A"/>
    <x v="7"/>
    <x v="5"/>
    <s v="GNR_WT_WIND_OFF"/>
    <x v="0"/>
    <x v="8"/>
    <n v="68.171787549971398"/>
    <n v="24882.7024557396"/>
    <n v="89577.728840662501"/>
  </r>
  <r>
    <x v="0"/>
    <x v="0"/>
    <x v="0"/>
    <x v="3"/>
    <x v="4"/>
    <s v="DE4-E_Offshore_A"/>
    <x v="7"/>
    <x v="5"/>
    <s v="GNR_WT_WIND_OFF"/>
    <x v="0"/>
    <x v="9"/>
    <n v="73.530486780663196"/>
    <n v="26838.627674942101"/>
    <n v="96619.059629791402"/>
  </r>
  <r>
    <x v="0"/>
    <x v="0"/>
    <x v="0"/>
    <x v="3"/>
    <x v="4"/>
    <s v="DE4-E_Offshore_A"/>
    <x v="7"/>
    <x v="5"/>
    <s v="GNR_WT_WIND_OFF"/>
    <x v="0"/>
    <x v="10"/>
    <n v="84.840124970605004"/>
    <n v="30966.645614270801"/>
    <n v="111479.92421137499"/>
  </r>
  <r>
    <x v="0"/>
    <x v="0"/>
    <x v="0"/>
    <x v="3"/>
    <x v="4"/>
    <s v="DE4-E_Offshore_A"/>
    <x v="7"/>
    <x v="5"/>
    <s v="GNR_WT_WIND_OFF"/>
    <x v="0"/>
    <x v="11"/>
    <n v="93.459710417576503"/>
    <n v="34112.794302415401"/>
    <n v="122806.059488696"/>
  </r>
  <r>
    <x v="0"/>
    <x v="0"/>
    <x v="0"/>
    <x v="3"/>
    <x v="4"/>
    <s v="DE4-E_Offshore_A"/>
    <x v="7"/>
    <x v="5"/>
    <s v="GNR_WT_WIND_OFF"/>
    <x v="0"/>
    <x v="12"/>
    <n v="115.008674035005"/>
    <n v="41978.166022776903"/>
    <n v="151121.39768199701"/>
  </r>
  <r>
    <x v="0"/>
    <x v="0"/>
    <x v="0"/>
    <x v="3"/>
    <x v="4"/>
    <s v="DE4-E_Offshore_A"/>
    <x v="7"/>
    <x v="5"/>
    <s v="GNR_WT_WIND_OFF"/>
    <x v="0"/>
    <x v="13"/>
    <n v="134.39560587227501"/>
    <n v="49054.396143380298"/>
    <n v="176595.82611616899"/>
  </r>
  <r>
    <x v="0"/>
    <x v="0"/>
    <x v="0"/>
    <x v="3"/>
    <x v="4"/>
    <s v="DE4-E_Offshore_A"/>
    <x v="7"/>
    <x v="5"/>
    <s v="GNR_WT_WIND_OFF"/>
    <x v="0"/>
    <x v="14"/>
    <n v="156.48686128934699"/>
    <n v="57117.704370611798"/>
    <n v="205623.735734202"/>
  </r>
  <r>
    <x v="0"/>
    <x v="0"/>
    <x v="0"/>
    <x v="3"/>
    <x v="4"/>
    <s v="DE4-E_Offshore_A"/>
    <x v="7"/>
    <x v="5"/>
    <s v="GNR_WT_WIND_OFF"/>
    <x v="0"/>
    <x v="15"/>
    <n v="178.29269996976501"/>
    <n v="65076.835488964301"/>
    <n v="234276.607760271"/>
  </r>
  <r>
    <x v="0"/>
    <x v="0"/>
    <x v="0"/>
    <x v="3"/>
    <x v="4"/>
    <s v="DE4-E_Offshore_A"/>
    <x v="7"/>
    <x v="5"/>
    <s v="GNR_WT_WIND_OFF"/>
    <x v="0"/>
    <x v="16"/>
    <n v="207.40520710854301"/>
    <n v="75702.900594618201"/>
    <n v="272530.44214062602"/>
  </r>
  <r>
    <x v="0"/>
    <x v="0"/>
    <x v="0"/>
    <x v="3"/>
    <x v="4"/>
    <s v="DE4-E_Offshore_A"/>
    <x v="7"/>
    <x v="5"/>
    <s v="GNR_WT_WIND_OFF"/>
    <x v="0"/>
    <x v="17"/>
    <n v="233.99891154634301"/>
    <n v="85409.602714415305"/>
    <n v="307474.56977189501"/>
  </r>
  <r>
    <x v="0"/>
    <x v="0"/>
    <x v="0"/>
    <x v="3"/>
    <x v="4"/>
    <s v="DE4-E_Offshore_A"/>
    <x v="7"/>
    <x v="5"/>
    <s v="GNR_WT_WIND_OFF"/>
    <x v="0"/>
    <x v="18"/>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0"/>
    <x v="0"/>
    <s v="GNR_ENG_BGAS_BP_E-45"/>
    <x v="0"/>
    <x v="0"/>
    <n v="0.48"/>
    <n v="175.2"/>
    <n v="630.72"/>
  </r>
  <r>
    <x v="0"/>
    <x v="0"/>
    <x v="0"/>
    <x v="3"/>
    <x v="5"/>
    <s v="DE4-N_A"/>
    <x v="0"/>
    <x v="0"/>
    <s v="GNR_ENG_BGAS_BP_E-45"/>
    <x v="0"/>
    <x v="1"/>
    <n v="0.48"/>
    <n v="175.2"/>
    <n v="630.72"/>
  </r>
  <r>
    <x v="0"/>
    <x v="0"/>
    <x v="0"/>
    <x v="3"/>
    <x v="5"/>
    <s v="DE4-N_A"/>
    <x v="0"/>
    <x v="0"/>
    <s v="GNR_ENG_BGAS_BP_E-45"/>
    <x v="0"/>
    <x v="2"/>
    <n v="0.48"/>
    <n v="175.2"/>
    <n v="630.72"/>
  </r>
  <r>
    <x v="0"/>
    <x v="0"/>
    <x v="0"/>
    <x v="3"/>
    <x v="5"/>
    <s v="DE4-N_A"/>
    <x v="0"/>
    <x v="0"/>
    <s v="GNR_ENG_BGAS_BP_E-45"/>
    <x v="0"/>
    <x v="3"/>
    <n v="0.48"/>
    <n v="175.2"/>
    <n v="630.72"/>
  </r>
  <r>
    <x v="0"/>
    <x v="0"/>
    <x v="0"/>
    <x v="3"/>
    <x v="5"/>
    <s v="DE4-N_A"/>
    <x v="0"/>
    <x v="0"/>
    <s v="GNR_ENG_BGAS_BP_E-45"/>
    <x v="0"/>
    <x v="4"/>
    <n v="0.48"/>
    <n v="175.2"/>
    <n v="630.72"/>
  </r>
  <r>
    <x v="0"/>
    <x v="0"/>
    <x v="0"/>
    <x v="3"/>
    <x v="5"/>
    <s v="DE4-N_A"/>
    <x v="0"/>
    <x v="0"/>
    <s v="GNR_ENG_BGAS_BP_E-45"/>
    <x v="0"/>
    <x v="5"/>
    <n v="0.48"/>
    <n v="175.2"/>
    <n v="630.72"/>
  </r>
  <r>
    <x v="0"/>
    <x v="0"/>
    <x v="0"/>
    <x v="3"/>
    <x v="5"/>
    <s v="DE4-N_A"/>
    <x v="0"/>
    <x v="0"/>
    <s v="GNR_ENG_BGAS_BP_E-45"/>
    <x v="0"/>
    <x v="6"/>
    <n v="0.48"/>
    <n v="175.2"/>
    <n v="630.72"/>
  </r>
  <r>
    <x v="0"/>
    <x v="0"/>
    <x v="0"/>
    <x v="3"/>
    <x v="5"/>
    <s v="DE4-N_A"/>
    <x v="0"/>
    <x v="0"/>
    <s v="GNR_ENG_BGAS_BP_E-45"/>
    <x v="0"/>
    <x v="7"/>
    <n v="0.48"/>
    <n v="175.2"/>
    <n v="630.72"/>
  </r>
  <r>
    <x v="0"/>
    <x v="0"/>
    <x v="0"/>
    <x v="3"/>
    <x v="5"/>
    <s v="DE4-N_A"/>
    <x v="0"/>
    <x v="0"/>
    <s v="GNR_ENG_BGAS_BP_E-45"/>
    <x v="0"/>
    <x v="8"/>
    <n v="0.48"/>
    <n v="175.2"/>
    <n v="630.72"/>
  </r>
  <r>
    <x v="0"/>
    <x v="0"/>
    <x v="0"/>
    <x v="3"/>
    <x v="5"/>
    <s v="DE4-N_A"/>
    <x v="0"/>
    <x v="0"/>
    <s v="GNR_ENG_BGAS_BP_E-45"/>
    <x v="0"/>
    <x v="9"/>
    <n v="0.48"/>
    <n v="175.2"/>
    <n v="630.72"/>
  </r>
  <r>
    <x v="0"/>
    <x v="0"/>
    <x v="0"/>
    <x v="3"/>
    <x v="5"/>
    <s v="DE4-N_A"/>
    <x v="0"/>
    <x v="0"/>
    <s v="GNR_ENG_BGAS_BP_E-45"/>
    <x v="0"/>
    <x v="10"/>
    <n v="0.48"/>
    <n v="175.2"/>
    <n v="630.72"/>
  </r>
  <r>
    <x v="0"/>
    <x v="0"/>
    <x v="0"/>
    <x v="3"/>
    <x v="5"/>
    <s v="DE4-N_A"/>
    <x v="0"/>
    <x v="0"/>
    <s v="GNR_ENG_BGAS_BP_E-45"/>
    <x v="0"/>
    <x v="11"/>
    <n v="0.48"/>
    <n v="175.2"/>
    <n v="630.72"/>
  </r>
  <r>
    <x v="0"/>
    <x v="0"/>
    <x v="0"/>
    <x v="3"/>
    <x v="5"/>
    <s v="DE4-N_A"/>
    <x v="0"/>
    <x v="0"/>
    <s v="GNR_ENG_BGAS_BP_E-45"/>
    <x v="0"/>
    <x v="12"/>
    <n v="0.48"/>
    <n v="175.2"/>
    <n v="630.72"/>
  </r>
  <r>
    <x v="0"/>
    <x v="0"/>
    <x v="0"/>
    <x v="3"/>
    <x v="5"/>
    <s v="DE4-N_A"/>
    <x v="0"/>
    <x v="0"/>
    <s v="GNR_ENG_BGAS_BP_E-45"/>
    <x v="0"/>
    <x v="13"/>
    <n v="0.48"/>
    <n v="175.2"/>
    <n v="630.72"/>
  </r>
  <r>
    <x v="0"/>
    <x v="0"/>
    <x v="0"/>
    <x v="3"/>
    <x v="5"/>
    <s v="DE4-N_A"/>
    <x v="0"/>
    <x v="0"/>
    <s v="GNR_ENG_BGAS_BP_E-45"/>
    <x v="0"/>
    <x v="14"/>
    <n v="0.48"/>
    <n v="175.2"/>
    <n v="630.72"/>
  </r>
  <r>
    <x v="0"/>
    <x v="0"/>
    <x v="0"/>
    <x v="3"/>
    <x v="5"/>
    <s v="DE4-N_A"/>
    <x v="0"/>
    <x v="0"/>
    <s v="GNR_ENG_BGAS_BP_E-45"/>
    <x v="0"/>
    <x v="15"/>
    <n v="0.48"/>
    <n v="175.2"/>
    <n v="630.72"/>
  </r>
  <r>
    <x v="0"/>
    <x v="0"/>
    <x v="0"/>
    <x v="3"/>
    <x v="5"/>
    <s v="DE4-N_A"/>
    <x v="0"/>
    <x v="0"/>
    <s v="GNR_ENG_BGAS_BP_E-45"/>
    <x v="0"/>
    <x v="16"/>
    <n v="0.48"/>
    <n v="175.2"/>
    <n v="630.72"/>
  </r>
  <r>
    <x v="0"/>
    <x v="0"/>
    <x v="0"/>
    <x v="3"/>
    <x v="5"/>
    <s v="DE4-N_A"/>
    <x v="0"/>
    <x v="0"/>
    <s v="GNR_ENG_BGAS_BP_E-45"/>
    <x v="0"/>
    <x v="17"/>
    <n v="0.48"/>
    <n v="175.2"/>
    <n v="630.72"/>
  </r>
  <r>
    <x v="0"/>
    <x v="0"/>
    <x v="0"/>
    <x v="3"/>
    <x v="5"/>
    <s v="DE4-N_A"/>
    <x v="0"/>
    <x v="0"/>
    <s v="GNR_ENG_BGAS_BP_E-45"/>
    <x v="0"/>
    <x v="18"/>
    <n v="0.48"/>
    <n v="175.2"/>
    <n v="630.72"/>
  </r>
  <r>
    <x v="0"/>
    <x v="0"/>
    <x v="0"/>
    <x v="3"/>
    <x v="5"/>
    <s v="DE4-N_A"/>
    <x v="0"/>
    <x v="0"/>
    <s v="GNR_ENG_BGAS_BP_E-45"/>
    <x v="0"/>
    <x v="19"/>
    <n v="0.48"/>
    <n v="175.2"/>
    <n v="630.72"/>
  </r>
  <r>
    <x v="0"/>
    <x v="0"/>
    <x v="0"/>
    <x v="3"/>
    <x v="5"/>
    <s v="DE4-N_A"/>
    <x v="0"/>
    <x v="0"/>
    <s v="GNR_ENG_BGAS_BP_E-45"/>
    <x v="0"/>
    <x v="20"/>
    <n v="0.48"/>
    <n v="175.2"/>
    <n v="630.72"/>
  </r>
  <r>
    <x v="0"/>
    <x v="0"/>
    <x v="0"/>
    <x v="3"/>
    <x v="5"/>
    <s v="DE4-N_A"/>
    <x v="0"/>
    <x v="0"/>
    <s v="GNR_ENG_BGAS_BP_E-45"/>
    <x v="0"/>
    <x v="21"/>
    <n v="0.48"/>
    <n v="175.2"/>
    <n v="630.72"/>
  </r>
  <r>
    <x v="0"/>
    <x v="0"/>
    <x v="0"/>
    <x v="3"/>
    <x v="5"/>
    <s v="DE4-N_A"/>
    <x v="0"/>
    <x v="0"/>
    <s v="GNR_ENG_BGAS_BP_E-45"/>
    <x v="0"/>
    <x v="22"/>
    <n v="0.48"/>
    <n v="175.2"/>
    <n v="630.72"/>
  </r>
  <r>
    <x v="0"/>
    <x v="0"/>
    <x v="0"/>
    <x v="3"/>
    <x v="5"/>
    <s v="DE4-N_A"/>
    <x v="0"/>
    <x v="0"/>
    <s v="GNR_ENG_BGAS_BP_E-45"/>
    <x v="0"/>
    <x v="23"/>
    <n v="0.48"/>
    <n v="175.2"/>
    <n v="630.72"/>
  </r>
  <r>
    <x v="0"/>
    <x v="0"/>
    <x v="0"/>
    <x v="3"/>
    <x v="5"/>
    <s v="DE4-N_A"/>
    <x v="0"/>
    <x v="2"/>
    <s v="GNR_ENG_BGAS_CND_E-44"/>
    <x v="0"/>
    <x v="0"/>
    <n v="484.32"/>
    <n v="176776.8"/>
    <n v="636396.48"/>
  </r>
  <r>
    <x v="0"/>
    <x v="0"/>
    <x v="0"/>
    <x v="3"/>
    <x v="5"/>
    <s v="DE4-N_A"/>
    <x v="0"/>
    <x v="2"/>
    <s v="GNR_ENG_BGAS_CND_E-44"/>
    <x v="0"/>
    <x v="1"/>
    <n v="484.32"/>
    <n v="176776.8"/>
    <n v="636396.48"/>
  </r>
  <r>
    <x v="0"/>
    <x v="0"/>
    <x v="0"/>
    <x v="3"/>
    <x v="5"/>
    <s v="DE4-N_A"/>
    <x v="0"/>
    <x v="2"/>
    <s v="GNR_ENG_BGAS_CND_E-44"/>
    <x v="0"/>
    <x v="2"/>
    <n v="484.32"/>
    <n v="176776.8"/>
    <n v="636396.48"/>
  </r>
  <r>
    <x v="0"/>
    <x v="0"/>
    <x v="0"/>
    <x v="3"/>
    <x v="5"/>
    <s v="DE4-N_A"/>
    <x v="0"/>
    <x v="2"/>
    <s v="GNR_ENG_BGAS_CND_E-44"/>
    <x v="0"/>
    <x v="3"/>
    <n v="484.32"/>
    <n v="176776.8"/>
    <n v="636396.48"/>
  </r>
  <r>
    <x v="0"/>
    <x v="0"/>
    <x v="0"/>
    <x v="3"/>
    <x v="5"/>
    <s v="DE4-N_A"/>
    <x v="0"/>
    <x v="2"/>
    <s v="GNR_ENG_BGAS_CND_E-44"/>
    <x v="0"/>
    <x v="4"/>
    <n v="484.32"/>
    <n v="176776.8"/>
    <n v="636396.48"/>
  </r>
  <r>
    <x v="0"/>
    <x v="0"/>
    <x v="0"/>
    <x v="3"/>
    <x v="5"/>
    <s v="DE4-N_A"/>
    <x v="0"/>
    <x v="2"/>
    <s v="GNR_ENG_BGAS_CND_E-44"/>
    <x v="0"/>
    <x v="5"/>
    <n v="484.32"/>
    <n v="176776.8"/>
    <n v="636396.48"/>
  </r>
  <r>
    <x v="0"/>
    <x v="0"/>
    <x v="0"/>
    <x v="3"/>
    <x v="5"/>
    <s v="DE4-N_A"/>
    <x v="0"/>
    <x v="2"/>
    <s v="GNR_ENG_BGAS_CND_E-44"/>
    <x v="0"/>
    <x v="6"/>
    <n v="484.32"/>
    <n v="176776.8"/>
    <n v="636396.48"/>
  </r>
  <r>
    <x v="0"/>
    <x v="0"/>
    <x v="0"/>
    <x v="3"/>
    <x v="5"/>
    <s v="DE4-N_A"/>
    <x v="0"/>
    <x v="2"/>
    <s v="GNR_ENG_BGAS_CND_E-44"/>
    <x v="0"/>
    <x v="7"/>
    <n v="484.32"/>
    <n v="176776.8"/>
    <n v="636396.48"/>
  </r>
  <r>
    <x v="0"/>
    <x v="0"/>
    <x v="0"/>
    <x v="3"/>
    <x v="5"/>
    <s v="DE4-N_A"/>
    <x v="0"/>
    <x v="2"/>
    <s v="GNR_ENG_BGAS_CND_E-44"/>
    <x v="0"/>
    <x v="8"/>
    <n v="484.32"/>
    <n v="176776.8"/>
    <n v="636396.48"/>
  </r>
  <r>
    <x v="0"/>
    <x v="0"/>
    <x v="0"/>
    <x v="3"/>
    <x v="5"/>
    <s v="DE4-N_A"/>
    <x v="0"/>
    <x v="2"/>
    <s v="GNR_ENG_BGAS_CND_E-44"/>
    <x v="0"/>
    <x v="9"/>
    <n v="484.32"/>
    <n v="176776.8"/>
    <n v="636396.48"/>
  </r>
  <r>
    <x v="0"/>
    <x v="0"/>
    <x v="0"/>
    <x v="3"/>
    <x v="5"/>
    <s v="DE4-N_A"/>
    <x v="0"/>
    <x v="2"/>
    <s v="GNR_ENG_BGAS_CND_E-44"/>
    <x v="0"/>
    <x v="10"/>
    <n v="484.32"/>
    <n v="176776.8"/>
    <n v="636396.48"/>
  </r>
  <r>
    <x v="0"/>
    <x v="0"/>
    <x v="0"/>
    <x v="3"/>
    <x v="5"/>
    <s v="DE4-N_A"/>
    <x v="0"/>
    <x v="2"/>
    <s v="GNR_ENG_BGAS_CND_E-44"/>
    <x v="0"/>
    <x v="11"/>
    <n v="484.32"/>
    <n v="176776.8"/>
    <n v="636396.48"/>
  </r>
  <r>
    <x v="0"/>
    <x v="0"/>
    <x v="0"/>
    <x v="3"/>
    <x v="5"/>
    <s v="DE4-N_A"/>
    <x v="0"/>
    <x v="2"/>
    <s v="GNR_ENG_BGAS_CND_E-44"/>
    <x v="0"/>
    <x v="12"/>
    <n v="484.32"/>
    <n v="176776.8"/>
    <n v="636396.48"/>
  </r>
  <r>
    <x v="0"/>
    <x v="0"/>
    <x v="0"/>
    <x v="3"/>
    <x v="5"/>
    <s v="DE4-N_A"/>
    <x v="0"/>
    <x v="2"/>
    <s v="GNR_ENG_BGAS_CND_E-44"/>
    <x v="0"/>
    <x v="13"/>
    <n v="484.32"/>
    <n v="176776.8"/>
    <n v="636396.48"/>
  </r>
  <r>
    <x v="0"/>
    <x v="0"/>
    <x v="0"/>
    <x v="3"/>
    <x v="5"/>
    <s v="DE4-N_A"/>
    <x v="0"/>
    <x v="2"/>
    <s v="GNR_ENG_BGAS_CND_E-44"/>
    <x v="0"/>
    <x v="14"/>
    <n v="484.32"/>
    <n v="176776.8"/>
    <n v="636396.48"/>
  </r>
  <r>
    <x v="0"/>
    <x v="0"/>
    <x v="0"/>
    <x v="3"/>
    <x v="5"/>
    <s v="DE4-N_A"/>
    <x v="0"/>
    <x v="2"/>
    <s v="GNR_ENG_BGAS_CND_E-44"/>
    <x v="0"/>
    <x v="15"/>
    <n v="484.32"/>
    <n v="176776.8"/>
    <n v="636396.48"/>
  </r>
  <r>
    <x v="0"/>
    <x v="0"/>
    <x v="0"/>
    <x v="3"/>
    <x v="5"/>
    <s v="DE4-N_A"/>
    <x v="0"/>
    <x v="2"/>
    <s v="GNR_ENG_BGAS_CND_E-44"/>
    <x v="0"/>
    <x v="16"/>
    <n v="484.32"/>
    <n v="176776.8"/>
    <n v="636396.48"/>
  </r>
  <r>
    <x v="0"/>
    <x v="0"/>
    <x v="0"/>
    <x v="3"/>
    <x v="5"/>
    <s v="DE4-N_A"/>
    <x v="0"/>
    <x v="2"/>
    <s v="GNR_ENG_BGAS_CND_E-44"/>
    <x v="0"/>
    <x v="17"/>
    <n v="484.32"/>
    <n v="176776.8"/>
    <n v="636396.48"/>
  </r>
  <r>
    <x v="0"/>
    <x v="0"/>
    <x v="0"/>
    <x v="3"/>
    <x v="5"/>
    <s v="DE4-N_A"/>
    <x v="0"/>
    <x v="2"/>
    <s v="GNR_ENG_BGAS_CND_E-44"/>
    <x v="0"/>
    <x v="18"/>
    <n v="484.32"/>
    <n v="176776.8"/>
    <n v="636396.48"/>
  </r>
  <r>
    <x v="0"/>
    <x v="0"/>
    <x v="0"/>
    <x v="3"/>
    <x v="5"/>
    <s v="DE4-N_A"/>
    <x v="0"/>
    <x v="2"/>
    <s v="GNR_ENG_BGAS_CND_E-44"/>
    <x v="0"/>
    <x v="19"/>
    <n v="484.32"/>
    <n v="176776.8"/>
    <n v="636396.48"/>
  </r>
  <r>
    <x v="0"/>
    <x v="0"/>
    <x v="0"/>
    <x v="3"/>
    <x v="5"/>
    <s v="DE4-N_A"/>
    <x v="0"/>
    <x v="2"/>
    <s v="GNR_ENG_BGAS_CND_E-44"/>
    <x v="0"/>
    <x v="20"/>
    <n v="484.32"/>
    <n v="176776.8"/>
    <n v="636396.48"/>
  </r>
  <r>
    <x v="0"/>
    <x v="0"/>
    <x v="0"/>
    <x v="3"/>
    <x v="5"/>
    <s v="DE4-N_A"/>
    <x v="0"/>
    <x v="2"/>
    <s v="GNR_ENG_BGAS_CND_E-44"/>
    <x v="0"/>
    <x v="21"/>
    <n v="484.32"/>
    <n v="176776.8"/>
    <n v="636396.48"/>
  </r>
  <r>
    <x v="0"/>
    <x v="0"/>
    <x v="0"/>
    <x v="3"/>
    <x v="5"/>
    <s v="DE4-N_A"/>
    <x v="0"/>
    <x v="2"/>
    <s v="GNR_ENG_BGAS_CND_E-44"/>
    <x v="0"/>
    <x v="22"/>
    <n v="484.32"/>
    <n v="176776.8"/>
    <n v="636396.48"/>
  </r>
  <r>
    <x v="0"/>
    <x v="0"/>
    <x v="0"/>
    <x v="3"/>
    <x v="5"/>
    <s v="DE4-N_A"/>
    <x v="0"/>
    <x v="2"/>
    <s v="GNR_ENG_BGAS_CND_E-44"/>
    <x v="0"/>
    <x v="23"/>
    <n v="484.32"/>
    <n v="176776.8"/>
    <n v="636396.48"/>
  </r>
  <r>
    <x v="0"/>
    <x v="0"/>
    <x v="0"/>
    <x v="3"/>
    <x v="5"/>
    <s v="DE4-N_A"/>
    <x v="0"/>
    <x v="0"/>
    <s v="GNR_ST_BGAS_BP_E-38"/>
    <x v="0"/>
    <x v="0"/>
    <n v="20"/>
    <n v="7300"/>
    <n v="26280"/>
  </r>
  <r>
    <x v="0"/>
    <x v="0"/>
    <x v="0"/>
    <x v="3"/>
    <x v="5"/>
    <s v="DE4-N_A"/>
    <x v="0"/>
    <x v="0"/>
    <s v="GNR_ST_BGAS_BP_E-38"/>
    <x v="0"/>
    <x v="1"/>
    <n v="20"/>
    <n v="7300"/>
    <n v="26280"/>
  </r>
  <r>
    <x v="0"/>
    <x v="0"/>
    <x v="0"/>
    <x v="3"/>
    <x v="5"/>
    <s v="DE4-N_A"/>
    <x v="0"/>
    <x v="0"/>
    <s v="GNR_ST_BGAS_BP_E-38"/>
    <x v="0"/>
    <x v="2"/>
    <n v="20"/>
    <n v="7300"/>
    <n v="26280"/>
  </r>
  <r>
    <x v="0"/>
    <x v="0"/>
    <x v="0"/>
    <x v="3"/>
    <x v="5"/>
    <s v="DE4-N_A"/>
    <x v="0"/>
    <x v="0"/>
    <s v="GNR_ST_BGAS_BP_E-38"/>
    <x v="0"/>
    <x v="3"/>
    <n v="20"/>
    <n v="7300"/>
    <n v="26280"/>
  </r>
  <r>
    <x v="0"/>
    <x v="0"/>
    <x v="0"/>
    <x v="3"/>
    <x v="5"/>
    <s v="DE4-N_A"/>
    <x v="0"/>
    <x v="0"/>
    <s v="GNR_ST_BGAS_BP_E-38"/>
    <x v="0"/>
    <x v="4"/>
    <n v="20"/>
    <n v="7300"/>
    <n v="26280"/>
  </r>
  <r>
    <x v="0"/>
    <x v="0"/>
    <x v="0"/>
    <x v="3"/>
    <x v="5"/>
    <s v="DE4-N_A"/>
    <x v="0"/>
    <x v="0"/>
    <s v="GNR_ST_BGAS_BP_E-38"/>
    <x v="0"/>
    <x v="5"/>
    <n v="20"/>
    <n v="7300"/>
    <n v="26280"/>
  </r>
  <r>
    <x v="0"/>
    <x v="0"/>
    <x v="0"/>
    <x v="3"/>
    <x v="5"/>
    <s v="DE4-N_A"/>
    <x v="0"/>
    <x v="0"/>
    <s v="GNR_ST_BGAS_BP_E-38"/>
    <x v="0"/>
    <x v="6"/>
    <n v="20"/>
    <n v="7300"/>
    <n v="26280"/>
  </r>
  <r>
    <x v="0"/>
    <x v="0"/>
    <x v="0"/>
    <x v="3"/>
    <x v="5"/>
    <s v="DE4-N_A"/>
    <x v="0"/>
    <x v="0"/>
    <s v="GNR_ST_BGAS_BP_E-38"/>
    <x v="0"/>
    <x v="7"/>
    <n v="20"/>
    <n v="7300"/>
    <n v="26280"/>
  </r>
  <r>
    <x v="0"/>
    <x v="0"/>
    <x v="0"/>
    <x v="3"/>
    <x v="5"/>
    <s v="DE4-N_A"/>
    <x v="0"/>
    <x v="0"/>
    <s v="GNR_ST_BGAS_BP_E-38"/>
    <x v="0"/>
    <x v="8"/>
    <n v="20"/>
    <n v="7300"/>
    <n v="26280"/>
  </r>
  <r>
    <x v="0"/>
    <x v="0"/>
    <x v="0"/>
    <x v="3"/>
    <x v="5"/>
    <s v="DE4-N_A"/>
    <x v="0"/>
    <x v="0"/>
    <s v="GNR_ST_BGAS_BP_E-38"/>
    <x v="0"/>
    <x v="9"/>
    <n v="20"/>
    <n v="7300"/>
    <n v="26280"/>
  </r>
  <r>
    <x v="0"/>
    <x v="0"/>
    <x v="0"/>
    <x v="3"/>
    <x v="5"/>
    <s v="DE4-N_A"/>
    <x v="0"/>
    <x v="0"/>
    <s v="GNR_ST_BGAS_BP_E-38"/>
    <x v="0"/>
    <x v="10"/>
    <n v="20"/>
    <n v="7300"/>
    <n v="26280"/>
  </r>
  <r>
    <x v="0"/>
    <x v="0"/>
    <x v="0"/>
    <x v="3"/>
    <x v="5"/>
    <s v="DE4-N_A"/>
    <x v="0"/>
    <x v="0"/>
    <s v="GNR_ST_BGAS_BP_E-38"/>
    <x v="0"/>
    <x v="11"/>
    <n v="20"/>
    <n v="7300"/>
    <n v="26280"/>
  </r>
  <r>
    <x v="0"/>
    <x v="0"/>
    <x v="0"/>
    <x v="3"/>
    <x v="5"/>
    <s v="DE4-N_A"/>
    <x v="0"/>
    <x v="0"/>
    <s v="GNR_ST_BGAS_BP_E-38"/>
    <x v="0"/>
    <x v="12"/>
    <n v="20"/>
    <n v="7300"/>
    <n v="26280"/>
  </r>
  <r>
    <x v="0"/>
    <x v="0"/>
    <x v="0"/>
    <x v="3"/>
    <x v="5"/>
    <s v="DE4-N_A"/>
    <x v="0"/>
    <x v="0"/>
    <s v="GNR_ST_BGAS_BP_E-38"/>
    <x v="0"/>
    <x v="13"/>
    <n v="20"/>
    <n v="7300"/>
    <n v="26280"/>
  </r>
  <r>
    <x v="0"/>
    <x v="0"/>
    <x v="0"/>
    <x v="3"/>
    <x v="5"/>
    <s v="DE4-N_A"/>
    <x v="0"/>
    <x v="0"/>
    <s v="GNR_ST_BGAS_BP_E-38"/>
    <x v="0"/>
    <x v="14"/>
    <n v="20"/>
    <n v="7300"/>
    <n v="26280"/>
  </r>
  <r>
    <x v="0"/>
    <x v="0"/>
    <x v="0"/>
    <x v="3"/>
    <x v="5"/>
    <s v="DE4-N_A"/>
    <x v="0"/>
    <x v="0"/>
    <s v="GNR_ST_BGAS_BP_E-38"/>
    <x v="0"/>
    <x v="15"/>
    <n v="20"/>
    <n v="7300"/>
    <n v="26280"/>
  </r>
  <r>
    <x v="0"/>
    <x v="0"/>
    <x v="0"/>
    <x v="3"/>
    <x v="5"/>
    <s v="DE4-N_A"/>
    <x v="0"/>
    <x v="0"/>
    <s v="GNR_ST_BGAS_BP_E-38"/>
    <x v="0"/>
    <x v="16"/>
    <n v="20"/>
    <n v="7300"/>
    <n v="26280"/>
  </r>
  <r>
    <x v="0"/>
    <x v="0"/>
    <x v="0"/>
    <x v="3"/>
    <x v="5"/>
    <s v="DE4-N_A"/>
    <x v="0"/>
    <x v="0"/>
    <s v="GNR_ST_BGAS_BP_E-38"/>
    <x v="0"/>
    <x v="17"/>
    <n v="20"/>
    <n v="7300"/>
    <n v="26280"/>
  </r>
  <r>
    <x v="0"/>
    <x v="0"/>
    <x v="0"/>
    <x v="3"/>
    <x v="5"/>
    <s v="DE4-N_A"/>
    <x v="0"/>
    <x v="0"/>
    <s v="GNR_ST_BGAS_BP_E-38"/>
    <x v="0"/>
    <x v="18"/>
    <n v="20"/>
    <n v="7300"/>
    <n v="26280"/>
  </r>
  <r>
    <x v="0"/>
    <x v="0"/>
    <x v="0"/>
    <x v="3"/>
    <x v="5"/>
    <s v="DE4-N_A"/>
    <x v="0"/>
    <x v="0"/>
    <s v="GNR_ST_BGAS_BP_E-38"/>
    <x v="0"/>
    <x v="19"/>
    <n v="20"/>
    <n v="7300"/>
    <n v="26280"/>
  </r>
  <r>
    <x v="0"/>
    <x v="0"/>
    <x v="0"/>
    <x v="3"/>
    <x v="5"/>
    <s v="DE4-N_A"/>
    <x v="0"/>
    <x v="0"/>
    <s v="GNR_ST_BGAS_BP_E-38"/>
    <x v="0"/>
    <x v="20"/>
    <n v="20"/>
    <n v="7300"/>
    <n v="26280"/>
  </r>
  <r>
    <x v="0"/>
    <x v="0"/>
    <x v="0"/>
    <x v="3"/>
    <x v="5"/>
    <s v="DE4-N_A"/>
    <x v="0"/>
    <x v="0"/>
    <s v="GNR_ST_BGAS_BP_E-38"/>
    <x v="0"/>
    <x v="21"/>
    <n v="20"/>
    <n v="7300"/>
    <n v="26280"/>
  </r>
  <r>
    <x v="0"/>
    <x v="0"/>
    <x v="0"/>
    <x v="3"/>
    <x v="5"/>
    <s v="DE4-N_A"/>
    <x v="0"/>
    <x v="0"/>
    <s v="GNR_ST_BGAS_BP_E-38"/>
    <x v="0"/>
    <x v="22"/>
    <n v="20"/>
    <n v="7300"/>
    <n v="26280"/>
  </r>
  <r>
    <x v="0"/>
    <x v="0"/>
    <x v="0"/>
    <x v="3"/>
    <x v="5"/>
    <s v="DE4-N_A"/>
    <x v="0"/>
    <x v="0"/>
    <s v="GNR_ST_BGAS_BP_E-38"/>
    <x v="0"/>
    <x v="23"/>
    <n v="20"/>
    <n v="7300"/>
    <n v="26280"/>
  </r>
  <r>
    <x v="0"/>
    <x v="0"/>
    <x v="0"/>
    <x v="3"/>
    <x v="5"/>
    <s v="DE4-N_A"/>
    <x v="12"/>
    <x v="8"/>
    <s v="AGG-DE4-N_RES_WTR_PMP"/>
    <x v="0"/>
    <x v="1"/>
    <n v="119.1"/>
    <n v="43471.5"/>
    <n v="156497.4"/>
  </r>
  <r>
    <x v="0"/>
    <x v="0"/>
    <x v="0"/>
    <x v="3"/>
    <x v="5"/>
    <s v="DE4-N_A"/>
    <x v="12"/>
    <x v="8"/>
    <s v="AGG-DE4-N_RES_WTR_PMP"/>
    <x v="0"/>
    <x v="3"/>
    <n v="119.1"/>
    <n v="43471.5"/>
    <n v="156497.4"/>
  </r>
  <r>
    <x v="0"/>
    <x v="0"/>
    <x v="0"/>
    <x v="3"/>
    <x v="5"/>
    <s v="DE4-N_A"/>
    <x v="12"/>
    <x v="8"/>
    <s v="AGG-DE4-N_RES_WTR_PMP"/>
    <x v="0"/>
    <x v="4"/>
    <n v="16.641369863013701"/>
    <n v="6074.1"/>
    <n v="21866.76"/>
  </r>
  <r>
    <x v="0"/>
    <x v="0"/>
    <x v="0"/>
    <x v="3"/>
    <x v="5"/>
    <s v="DE4-N_A"/>
    <x v="12"/>
    <x v="8"/>
    <s v="AGG-DE4-N_RES_WTR_PMP"/>
    <x v="0"/>
    <x v="8"/>
    <n v="119.1"/>
    <n v="43471.5"/>
    <n v="156497.4"/>
  </r>
  <r>
    <x v="0"/>
    <x v="0"/>
    <x v="0"/>
    <x v="3"/>
    <x v="5"/>
    <s v="DE4-N_A"/>
    <x v="12"/>
    <x v="8"/>
    <s v="AGG-DE4-N_RES_WTR_PMP"/>
    <x v="0"/>
    <x v="10"/>
    <n v="16.641369863013701"/>
    <n v="6074.0999999999904"/>
    <n v="21866.76"/>
  </r>
  <r>
    <x v="0"/>
    <x v="0"/>
    <x v="0"/>
    <x v="3"/>
    <x v="5"/>
    <s v="DE4-N_A"/>
    <x v="12"/>
    <x v="8"/>
    <s v="AGG-DE4-N_RES_WTR_PMP"/>
    <x v="0"/>
    <x v="11"/>
    <n v="119.1"/>
    <n v="43471.5"/>
    <n v="156497.4"/>
  </r>
  <r>
    <x v="0"/>
    <x v="0"/>
    <x v="0"/>
    <x v="3"/>
    <x v="5"/>
    <s v="DE4-N_A"/>
    <x v="12"/>
    <x v="8"/>
    <s v="AGG-DE4-N_RES_WTR_PMP"/>
    <x v="0"/>
    <x v="13"/>
    <n v="119.1"/>
    <n v="43471.5"/>
    <n v="156497.4"/>
  </r>
  <r>
    <x v="0"/>
    <x v="0"/>
    <x v="0"/>
    <x v="3"/>
    <x v="5"/>
    <s v="DE4-N_A"/>
    <x v="12"/>
    <x v="8"/>
    <s v="AGG-DE4-N_RES_WTR_PMP"/>
    <x v="0"/>
    <x v="17"/>
    <n v="119.1"/>
    <n v="43471.5"/>
    <n v="156497.4"/>
  </r>
  <r>
    <x v="0"/>
    <x v="0"/>
    <x v="0"/>
    <x v="3"/>
    <x v="5"/>
    <s v="DE4-N_A"/>
    <x v="12"/>
    <x v="8"/>
    <s v="AGG-DE4-N_RES_WTR_PMP"/>
    <x v="0"/>
    <x v="18"/>
    <n v="16.641369863013701"/>
    <n v="6074.1"/>
    <n v="21866.76"/>
  </r>
  <r>
    <x v="0"/>
    <x v="0"/>
    <x v="0"/>
    <x v="3"/>
    <x v="5"/>
    <s v="DE4-N_A"/>
    <x v="12"/>
    <x v="8"/>
    <s v="AGG-DE4-N_RES_WTR_PMP"/>
    <x v="0"/>
    <x v="20"/>
    <n v="119.1"/>
    <n v="43471.5"/>
    <n v="156497.4"/>
  </r>
  <r>
    <x v="0"/>
    <x v="0"/>
    <x v="0"/>
    <x v="3"/>
    <x v="5"/>
    <s v="DE4-N_A"/>
    <x v="1"/>
    <x v="0"/>
    <s v="GNR_ST_MSW_BP_E-33"/>
    <x v="0"/>
    <x v="0"/>
    <n v="41"/>
    <n v="14965"/>
    <n v="53874"/>
  </r>
  <r>
    <x v="0"/>
    <x v="0"/>
    <x v="0"/>
    <x v="3"/>
    <x v="5"/>
    <s v="DE4-N_A"/>
    <x v="1"/>
    <x v="0"/>
    <s v="GNR_ST_MSW_BP_E-33"/>
    <x v="0"/>
    <x v="1"/>
    <n v="41"/>
    <n v="14965"/>
    <n v="53874"/>
  </r>
  <r>
    <x v="0"/>
    <x v="0"/>
    <x v="0"/>
    <x v="3"/>
    <x v="5"/>
    <s v="DE4-N_A"/>
    <x v="1"/>
    <x v="0"/>
    <s v="GNR_ST_MSW_BP_E-33"/>
    <x v="0"/>
    <x v="2"/>
    <n v="41"/>
    <n v="14965"/>
    <n v="53874"/>
  </r>
  <r>
    <x v="0"/>
    <x v="0"/>
    <x v="0"/>
    <x v="3"/>
    <x v="5"/>
    <s v="DE4-N_A"/>
    <x v="1"/>
    <x v="0"/>
    <s v="GNR_ST_MSW_BP_E-33"/>
    <x v="0"/>
    <x v="3"/>
    <n v="41"/>
    <n v="14965"/>
    <n v="53874"/>
  </r>
  <r>
    <x v="0"/>
    <x v="0"/>
    <x v="0"/>
    <x v="3"/>
    <x v="5"/>
    <s v="DE4-N_A"/>
    <x v="1"/>
    <x v="0"/>
    <s v="GNR_ST_MSW_BP_E-33"/>
    <x v="0"/>
    <x v="4"/>
    <n v="41"/>
    <n v="14965"/>
    <n v="53874"/>
  </r>
  <r>
    <x v="0"/>
    <x v="0"/>
    <x v="0"/>
    <x v="3"/>
    <x v="5"/>
    <s v="DE4-N_A"/>
    <x v="1"/>
    <x v="0"/>
    <s v="GNR_ST_MSW_BP_E-33"/>
    <x v="0"/>
    <x v="5"/>
    <n v="41"/>
    <n v="14965"/>
    <n v="53874"/>
  </r>
  <r>
    <x v="0"/>
    <x v="0"/>
    <x v="0"/>
    <x v="3"/>
    <x v="5"/>
    <s v="DE4-N_A"/>
    <x v="1"/>
    <x v="0"/>
    <s v="GNR_ST_MSW_BP_E-33"/>
    <x v="0"/>
    <x v="6"/>
    <n v="41"/>
    <n v="14965"/>
    <n v="53874"/>
  </r>
  <r>
    <x v="0"/>
    <x v="0"/>
    <x v="0"/>
    <x v="3"/>
    <x v="5"/>
    <s v="DE4-N_A"/>
    <x v="1"/>
    <x v="0"/>
    <s v="GNR_ST_MSW_BP_E-33"/>
    <x v="0"/>
    <x v="7"/>
    <n v="41"/>
    <n v="14965"/>
    <n v="53874"/>
  </r>
  <r>
    <x v="0"/>
    <x v="0"/>
    <x v="0"/>
    <x v="3"/>
    <x v="5"/>
    <s v="DE4-N_A"/>
    <x v="1"/>
    <x v="0"/>
    <s v="GNR_ST_MSW_BP_E-33"/>
    <x v="0"/>
    <x v="8"/>
    <n v="41"/>
    <n v="14965"/>
    <n v="53874"/>
  </r>
  <r>
    <x v="0"/>
    <x v="0"/>
    <x v="0"/>
    <x v="3"/>
    <x v="5"/>
    <s v="DE4-N_A"/>
    <x v="1"/>
    <x v="0"/>
    <s v="GNR_ST_MSW_BP_E-33"/>
    <x v="0"/>
    <x v="9"/>
    <n v="41"/>
    <n v="14965"/>
    <n v="53874"/>
  </r>
  <r>
    <x v="0"/>
    <x v="0"/>
    <x v="0"/>
    <x v="3"/>
    <x v="5"/>
    <s v="DE4-N_A"/>
    <x v="1"/>
    <x v="0"/>
    <s v="GNR_ST_MSW_BP_E-33"/>
    <x v="0"/>
    <x v="10"/>
    <n v="41"/>
    <n v="14965"/>
    <n v="53874"/>
  </r>
  <r>
    <x v="0"/>
    <x v="0"/>
    <x v="0"/>
    <x v="3"/>
    <x v="5"/>
    <s v="DE4-N_A"/>
    <x v="1"/>
    <x v="0"/>
    <s v="GNR_ST_MSW_BP_E-33"/>
    <x v="0"/>
    <x v="11"/>
    <n v="41"/>
    <n v="14965"/>
    <n v="53874"/>
  </r>
  <r>
    <x v="0"/>
    <x v="0"/>
    <x v="0"/>
    <x v="3"/>
    <x v="5"/>
    <s v="DE4-N_A"/>
    <x v="1"/>
    <x v="0"/>
    <s v="GNR_ST_MSW_BP_E-33"/>
    <x v="0"/>
    <x v="12"/>
    <n v="41"/>
    <n v="14965"/>
    <n v="53874"/>
  </r>
  <r>
    <x v="0"/>
    <x v="0"/>
    <x v="0"/>
    <x v="3"/>
    <x v="5"/>
    <s v="DE4-N_A"/>
    <x v="1"/>
    <x v="0"/>
    <s v="GNR_ST_MSW_BP_E-33"/>
    <x v="0"/>
    <x v="13"/>
    <n v="41"/>
    <n v="14965"/>
    <n v="53874"/>
  </r>
  <r>
    <x v="0"/>
    <x v="0"/>
    <x v="0"/>
    <x v="3"/>
    <x v="5"/>
    <s v="DE4-N_A"/>
    <x v="1"/>
    <x v="0"/>
    <s v="GNR_ST_MSW_BP_E-33"/>
    <x v="0"/>
    <x v="14"/>
    <n v="41"/>
    <n v="14965"/>
    <n v="53874"/>
  </r>
  <r>
    <x v="0"/>
    <x v="0"/>
    <x v="0"/>
    <x v="3"/>
    <x v="5"/>
    <s v="DE4-N_A"/>
    <x v="1"/>
    <x v="0"/>
    <s v="GNR_ST_MSW_BP_E-33"/>
    <x v="0"/>
    <x v="15"/>
    <n v="41"/>
    <n v="14965"/>
    <n v="53874"/>
  </r>
  <r>
    <x v="0"/>
    <x v="0"/>
    <x v="0"/>
    <x v="3"/>
    <x v="5"/>
    <s v="DE4-N_A"/>
    <x v="1"/>
    <x v="0"/>
    <s v="GNR_ST_MSW_BP_E-33"/>
    <x v="0"/>
    <x v="16"/>
    <n v="41"/>
    <n v="14965"/>
    <n v="53874"/>
  </r>
  <r>
    <x v="0"/>
    <x v="0"/>
    <x v="0"/>
    <x v="3"/>
    <x v="5"/>
    <s v="DE4-N_A"/>
    <x v="1"/>
    <x v="0"/>
    <s v="GNR_ST_MSW_BP_E-33"/>
    <x v="0"/>
    <x v="17"/>
    <n v="41"/>
    <n v="14965"/>
    <n v="53874"/>
  </r>
  <r>
    <x v="0"/>
    <x v="0"/>
    <x v="0"/>
    <x v="3"/>
    <x v="5"/>
    <s v="DE4-N_A"/>
    <x v="1"/>
    <x v="0"/>
    <s v="GNR_ST_MSW_BP_E-33"/>
    <x v="0"/>
    <x v="18"/>
    <n v="41"/>
    <n v="14965"/>
    <n v="53874"/>
  </r>
  <r>
    <x v="0"/>
    <x v="0"/>
    <x v="0"/>
    <x v="3"/>
    <x v="5"/>
    <s v="DE4-N_A"/>
    <x v="1"/>
    <x v="0"/>
    <s v="GNR_ST_MSW_BP_E-33"/>
    <x v="0"/>
    <x v="19"/>
    <n v="41"/>
    <n v="14965"/>
    <n v="53874"/>
  </r>
  <r>
    <x v="0"/>
    <x v="0"/>
    <x v="0"/>
    <x v="3"/>
    <x v="5"/>
    <s v="DE4-N_A"/>
    <x v="1"/>
    <x v="0"/>
    <s v="GNR_ST_MSW_BP_E-33"/>
    <x v="0"/>
    <x v="20"/>
    <n v="41"/>
    <n v="14965"/>
    <n v="53874"/>
  </r>
  <r>
    <x v="0"/>
    <x v="0"/>
    <x v="0"/>
    <x v="3"/>
    <x v="5"/>
    <s v="DE4-N_A"/>
    <x v="1"/>
    <x v="0"/>
    <s v="GNR_ST_MSW_BP_E-33"/>
    <x v="0"/>
    <x v="21"/>
    <n v="41"/>
    <n v="14965"/>
    <n v="53874"/>
  </r>
  <r>
    <x v="0"/>
    <x v="0"/>
    <x v="0"/>
    <x v="3"/>
    <x v="5"/>
    <s v="DE4-N_A"/>
    <x v="1"/>
    <x v="0"/>
    <s v="GNR_ST_MSW_BP_E-33"/>
    <x v="0"/>
    <x v="22"/>
    <n v="41"/>
    <n v="14965"/>
    <n v="53874"/>
  </r>
  <r>
    <x v="0"/>
    <x v="0"/>
    <x v="0"/>
    <x v="3"/>
    <x v="5"/>
    <s v="DE4-N_A"/>
    <x v="1"/>
    <x v="0"/>
    <s v="GNR_ST_MSW_BP_E-33"/>
    <x v="0"/>
    <x v="23"/>
    <n v="41"/>
    <n v="14965"/>
    <n v="53874"/>
  </r>
  <r>
    <x v="0"/>
    <x v="0"/>
    <x v="0"/>
    <x v="3"/>
    <x v="5"/>
    <s v="DE4-N_A"/>
    <x v="2"/>
    <x v="0"/>
    <s v="GNR_CC_NGAS_BP_E-57"/>
    <x v="0"/>
    <x v="0"/>
    <n v="127"/>
    <n v="46355"/>
    <n v="166878"/>
  </r>
  <r>
    <x v="0"/>
    <x v="0"/>
    <x v="0"/>
    <x v="3"/>
    <x v="5"/>
    <s v="DE4-N_A"/>
    <x v="2"/>
    <x v="0"/>
    <s v="GNR_CC_NGAS_BP_E-57"/>
    <x v="0"/>
    <x v="1"/>
    <n v="127"/>
    <n v="46355"/>
    <n v="166878"/>
  </r>
  <r>
    <x v="0"/>
    <x v="0"/>
    <x v="0"/>
    <x v="3"/>
    <x v="5"/>
    <s v="DE4-N_A"/>
    <x v="2"/>
    <x v="0"/>
    <s v="GNR_CC_NGAS_BP_E-57"/>
    <x v="0"/>
    <x v="2"/>
    <n v="127"/>
    <n v="46355"/>
    <n v="166878"/>
  </r>
  <r>
    <x v="0"/>
    <x v="0"/>
    <x v="0"/>
    <x v="3"/>
    <x v="5"/>
    <s v="DE4-N_A"/>
    <x v="2"/>
    <x v="0"/>
    <s v="GNR_CC_NGAS_BP_E-57"/>
    <x v="0"/>
    <x v="3"/>
    <n v="127"/>
    <n v="46355"/>
    <n v="166878"/>
  </r>
  <r>
    <x v="0"/>
    <x v="0"/>
    <x v="0"/>
    <x v="3"/>
    <x v="5"/>
    <s v="DE4-N_A"/>
    <x v="2"/>
    <x v="0"/>
    <s v="GNR_CC_NGAS_BP_E-57"/>
    <x v="0"/>
    <x v="4"/>
    <n v="127"/>
    <n v="46355"/>
    <n v="166878"/>
  </r>
  <r>
    <x v="0"/>
    <x v="0"/>
    <x v="0"/>
    <x v="3"/>
    <x v="5"/>
    <s v="DE4-N_A"/>
    <x v="2"/>
    <x v="0"/>
    <s v="GNR_CC_NGAS_BP_E-57"/>
    <x v="0"/>
    <x v="5"/>
    <n v="127"/>
    <n v="46355"/>
    <n v="166878"/>
  </r>
  <r>
    <x v="0"/>
    <x v="0"/>
    <x v="0"/>
    <x v="3"/>
    <x v="5"/>
    <s v="DE4-N_A"/>
    <x v="2"/>
    <x v="0"/>
    <s v="GNR_CC_NGAS_BP_E-57"/>
    <x v="0"/>
    <x v="6"/>
    <n v="127"/>
    <n v="46355"/>
    <n v="166878"/>
  </r>
  <r>
    <x v="0"/>
    <x v="0"/>
    <x v="0"/>
    <x v="3"/>
    <x v="5"/>
    <s v="DE4-N_A"/>
    <x v="2"/>
    <x v="0"/>
    <s v="GNR_CC_NGAS_BP_E-57"/>
    <x v="0"/>
    <x v="7"/>
    <n v="127"/>
    <n v="46355"/>
    <n v="166878"/>
  </r>
  <r>
    <x v="0"/>
    <x v="0"/>
    <x v="0"/>
    <x v="3"/>
    <x v="5"/>
    <s v="DE4-N_A"/>
    <x v="2"/>
    <x v="0"/>
    <s v="GNR_CC_NGAS_BP_E-57"/>
    <x v="0"/>
    <x v="8"/>
    <n v="127"/>
    <n v="46355"/>
    <n v="166878"/>
  </r>
  <r>
    <x v="0"/>
    <x v="0"/>
    <x v="0"/>
    <x v="3"/>
    <x v="5"/>
    <s v="DE4-N_A"/>
    <x v="2"/>
    <x v="0"/>
    <s v="GNR_CC_NGAS_BP_E-57"/>
    <x v="0"/>
    <x v="9"/>
    <n v="127"/>
    <n v="46355"/>
    <n v="166878"/>
  </r>
  <r>
    <x v="0"/>
    <x v="0"/>
    <x v="0"/>
    <x v="3"/>
    <x v="5"/>
    <s v="DE4-N_A"/>
    <x v="2"/>
    <x v="0"/>
    <s v="GNR_CC_NGAS_BP_E-57"/>
    <x v="0"/>
    <x v="10"/>
    <n v="127"/>
    <n v="46355"/>
    <n v="166878"/>
  </r>
  <r>
    <x v="0"/>
    <x v="0"/>
    <x v="0"/>
    <x v="3"/>
    <x v="5"/>
    <s v="DE4-N_A"/>
    <x v="2"/>
    <x v="0"/>
    <s v="GNR_CC_NGAS_BP_E-57"/>
    <x v="0"/>
    <x v="11"/>
    <n v="127"/>
    <n v="46355"/>
    <n v="166878"/>
  </r>
  <r>
    <x v="0"/>
    <x v="0"/>
    <x v="0"/>
    <x v="3"/>
    <x v="5"/>
    <s v="DE4-N_A"/>
    <x v="2"/>
    <x v="0"/>
    <s v="GNR_CC_NGAS_BP_E-57"/>
    <x v="0"/>
    <x v="12"/>
    <n v="127"/>
    <n v="46355"/>
    <n v="166878"/>
  </r>
  <r>
    <x v="0"/>
    <x v="0"/>
    <x v="0"/>
    <x v="3"/>
    <x v="5"/>
    <s v="DE4-N_A"/>
    <x v="2"/>
    <x v="0"/>
    <s v="GNR_CC_NGAS_BP_E-57"/>
    <x v="0"/>
    <x v="13"/>
    <n v="127"/>
    <n v="46355"/>
    <n v="166878"/>
  </r>
  <r>
    <x v="0"/>
    <x v="0"/>
    <x v="0"/>
    <x v="3"/>
    <x v="5"/>
    <s v="DE4-N_A"/>
    <x v="2"/>
    <x v="0"/>
    <s v="GNR_CC_NGAS_BP_E-57"/>
    <x v="0"/>
    <x v="14"/>
    <n v="127"/>
    <n v="46355"/>
    <n v="166878"/>
  </r>
  <r>
    <x v="0"/>
    <x v="0"/>
    <x v="0"/>
    <x v="3"/>
    <x v="5"/>
    <s v="DE4-N_A"/>
    <x v="2"/>
    <x v="0"/>
    <s v="GNR_CC_NGAS_BP_E-57"/>
    <x v="0"/>
    <x v="15"/>
    <n v="127"/>
    <n v="46355"/>
    <n v="166878"/>
  </r>
  <r>
    <x v="0"/>
    <x v="0"/>
    <x v="0"/>
    <x v="3"/>
    <x v="5"/>
    <s v="DE4-N_A"/>
    <x v="2"/>
    <x v="0"/>
    <s v="GNR_CC_NGAS_BP_E-57"/>
    <x v="0"/>
    <x v="16"/>
    <n v="127"/>
    <n v="46355"/>
    <n v="166878"/>
  </r>
  <r>
    <x v="0"/>
    <x v="0"/>
    <x v="0"/>
    <x v="3"/>
    <x v="5"/>
    <s v="DE4-N_A"/>
    <x v="2"/>
    <x v="0"/>
    <s v="GNR_CC_NGAS_BP_E-57"/>
    <x v="0"/>
    <x v="17"/>
    <n v="127"/>
    <n v="46355"/>
    <n v="166878"/>
  </r>
  <r>
    <x v="0"/>
    <x v="0"/>
    <x v="0"/>
    <x v="3"/>
    <x v="5"/>
    <s v="DE4-N_A"/>
    <x v="2"/>
    <x v="0"/>
    <s v="GNR_CC_NGAS_BP_E-57"/>
    <x v="0"/>
    <x v="18"/>
    <n v="127"/>
    <n v="46355"/>
    <n v="166878"/>
  </r>
  <r>
    <x v="0"/>
    <x v="0"/>
    <x v="0"/>
    <x v="3"/>
    <x v="5"/>
    <s v="DE4-N_A"/>
    <x v="2"/>
    <x v="0"/>
    <s v="GNR_CC_NGAS_BP_E-57"/>
    <x v="0"/>
    <x v="19"/>
    <n v="127"/>
    <n v="46355"/>
    <n v="166878"/>
  </r>
  <r>
    <x v="0"/>
    <x v="0"/>
    <x v="0"/>
    <x v="3"/>
    <x v="5"/>
    <s v="DE4-N_A"/>
    <x v="2"/>
    <x v="0"/>
    <s v="GNR_CC_NGAS_BP_E-57"/>
    <x v="0"/>
    <x v="20"/>
    <n v="127"/>
    <n v="46355"/>
    <n v="166878"/>
  </r>
  <r>
    <x v="0"/>
    <x v="0"/>
    <x v="0"/>
    <x v="3"/>
    <x v="5"/>
    <s v="DE4-N_A"/>
    <x v="2"/>
    <x v="0"/>
    <s v="GNR_CC_NGAS_BP_E-57"/>
    <x v="0"/>
    <x v="21"/>
    <n v="127"/>
    <n v="46355"/>
    <n v="166878"/>
  </r>
  <r>
    <x v="0"/>
    <x v="0"/>
    <x v="0"/>
    <x v="3"/>
    <x v="5"/>
    <s v="DE4-N_A"/>
    <x v="2"/>
    <x v="0"/>
    <s v="GNR_CC_NGAS_BP_E-57"/>
    <x v="0"/>
    <x v="22"/>
    <n v="127"/>
    <n v="46355"/>
    <n v="166878"/>
  </r>
  <r>
    <x v="0"/>
    <x v="0"/>
    <x v="0"/>
    <x v="3"/>
    <x v="5"/>
    <s v="DE4-N_A"/>
    <x v="2"/>
    <x v="0"/>
    <s v="GNR_CC_NGAS_BP_E-57"/>
    <x v="0"/>
    <x v="23"/>
    <n v="127"/>
    <n v="46355"/>
    <n v="166878"/>
  </r>
  <r>
    <x v="0"/>
    <x v="0"/>
    <x v="0"/>
    <x v="3"/>
    <x v="5"/>
    <s v="DE4-N_A"/>
    <x v="13"/>
    <x v="2"/>
    <s v="GNR_ST_NUCL_CND_E-33"/>
    <x v="0"/>
    <x v="0"/>
    <n v="1410"/>
    <n v="514650"/>
    <n v="1852740"/>
  </r>
  <r>
    <x v="0"/>
    <x v="0"/>
    <x v="0"/>
    <x v="3"/>
    <x v="5"/>
    <s v="DE4-N_A"/>
    <x v="13"/>
    <x v="2"/>
    <s v="GNR_ST_NUCL_CND_E-33"/>
    <x v="0"/>
    <x v="1"/>
    <n v="1410"/>
    <n v="514650"/>
    <n v="1852740"/>
  </r>
  <r>
    <x v="0"/>
    <x v="0"/>
    <x v="0"/>
    <x v="3"/>
    <x v="5"/>
    <s v="DE4-N_A"/>
    <x v="13"/>
    <x v="2"/>
    <s v="GNR_ST_NUCL_CND_E-33"/>
    <x v="0"/>
    <x v="2"/>
    <n v="1410"/>
    <n v="514650"/>
    <n v="1852740"/>
  </r>
  <r>
    <x v="0"/>
    <x v="0"/>
    <x v="0"/>
    <x v="3"/>
    <x v="5"/>
    <s v="DE4-N_A"/>
    <x v="13"/>
    <x v="2"/>
    <s v="GNR_ST_NUCL_CND_E-33"/>
    <x v="0"/>
    <x v="3"/>
    <n v="1410"/>
    <n v="514650"/>
    <n v="1852740"/>
  </r>
  <r>
    <x v="0"/>
    <x v="0"/>
    <x v="0"/>
    <x v="3"/>
    <x v="5"/>
    <s v="DE4-N_A"/>
    <x v="13"/>
    <x v="2"/>
    <s v="GNR_ST_NUCL_CND_E-33"/>
    <x v="0"/>
    <x v="4"/>
    <n v="1410"/>
    <n v="514650"/>
    <n v="1852740"/>
  </r>
  <r>
    <x v="0"/>
    <x v="0"/>
    <x v="0"/>
    <x v="3"/>
    <x v="5"/>
    <s v="DE4-N_A"/>
    <x v="13"/>
    <x v="2"/>
    <s v="GNR_ST_NUCL_CND_E-33"/>
    <x v="0"/>
    <x v="5"/>
    <n v="1410"/>
    <n v="514650"/>
    <n v="1852740"/>
  </r>
  <r>
    <x v="0"/>
    <x v="0"/>
    <x v="0"/>
    <x v="3"/>
    <x v="5"/>
    <s v="DE4-N_A"/>
    <x v="13"/>
    <x v="2"/>
    <s v="GNR_ST_NUCL_CND_E-33"/>
    <x v="0"/>
    <x v="6"/>
    <n v="1410"/>
    <n v="514650"/>
    <n v="1852740"/>
  </r>
  <r>
    <x v="0"/>
    <x v="0"/>
    <x v="0"/>
    <x v="3"/>
    <x v="5"/>
    <s v="DE4-N_A"/>
    <x v="13"/>
    <x v="2"/>
    <s v="GNR_ST_NUCL_CND_E-33"/>
    <x v="0"/>
    <x v="7"/>
    <n v="1410"/>
    <n v="514650"/>
    <n v="1852740"/>
  </r>
  <r>
    <x v="0"/>
    <x v="0"/>
    <x v="0"/>
    <x v="3"/>
    <x v="5"/>
    <s v="DE4-N_A"/>
    <x v="13"/>
    <x v="2"/>
    <s v="GNR_ST_NUCL_CND_E-33"/>
    <x v="0"/>
    <x v="8"/>
    <n v="1410"/>
    <n v="514650"/>
    <n v="1852740"/>
  </r>
  <r>
    <x v="0"/>
    <x v="0"/>
    <x v="0"/>
    <x v="3"/>
    <x v="5"/>
    <s v="DE4-N_A"/>
    <x v="13"/>
    <x v="2"/>
    <s v="GNR_ST_NUCL_CND_E-33"/>
    <x v="0"/>
    <x v="9"/>
    <n v="1410"/>
    <n v="514650"/>
    <n v="1852740"/>
  </r>
  <r>
    <x v="0"/>
    <x v="0"/>
    <x v="0"/>
    <x v="3"/>
    <x v="5"/>
    <s v="DE4-N_A"/>
    <x v="13"/>
    <x v="2"/>
    <s v="GNR_ST_NUCL_CND_E-33"/>
    <x v="0"/>
    <x v="10"/>
    <n v="1410"/>
    <n v="514650"/>
    <n v="1852740"/>
  </r>
  <r>
    <x v="0"/>
    <x v="0"/>
    <x v="0"/>
    <x v="3"/>
    <x v="5"/>
    <s v="DE4-N_A"/>
    <x v="13"/>
    <x v="2"/>
    <s v="GNR_ST_NUCL_CND_E-33"/>
    <x v="0"/>
    <x v="11"/>
    <n v="1410"/>
    <n v="514650"/>
    <n v="1852740"/>
  </r>
  <r>
    <x v="0"/>
    <x v="0"/>
    <x v="0"/>
    <x v="3"/>
    <x v="5"/>
    <s v="DE4-N_A"/>
    <x v="13"/>
    <x v="2"/>
    <s v="GNR_ST_NUCL_CND_E-33"/>
    <x v="0"/>
    <x v="12"/>
    <n v="1410"/>
    <n v="514650"/>
    <n v="1852740"/>
  </r>
  <r>
    <x v="0"/>
    <x v="0"/>
    <x v="0"/>
    <x v="3"/>
    <x v="5"/>
    <s v="DE4-N_A"/>
    <x v="13"/>
    <x v="2"/>
    <s v="GNR_ST_NUCL_CND_E-33"/>
    <x v="0"/>
    <x v="13"/>
    <n v="1410"/>
    <n v="514650"/>
    <n v="1852740"/>
  </r>
  <r>
    <x v="0"/>
    <x v="0"/>
    <x v="0"/>
    <x v="3"/>
    <x v="5"/>
    <s v="DE4-N_A"/>
    <x v="13"/>
    <x v="2"/>
    <s v="GNR_ST_NUCL_CND_E-33"/>
    <x v="0"/>
    <x v="14"/>
    <n v="1410"/>
    <n v="514650"/>
    <n v="1852740"/>
  </r>
  <r>
    <x v="0"/>
    <x v="0"/>
    <x v="0"/>
    <x v="3"/>
    <x v="5"/>
    <s v="DE4-N_A"/>
    <x v="13"/>
    <x v="2"/>
    <s v="GNR_ST_NUCL_CND_E-33"/>
    <x v="0"/>
    <x v="15"/>
    <n v="1410"/>
    <n v="514650"/>
    <n v="1852740"/>
  </r>
  <r>
    <x v="0"/>
    <x v="0"/>
    <x v="0"/>
    <x v="3"/>
    <x v="5"/>
    <s v="DE4-N_A"/>
    <x v="13"/>
    <x v="2"/>
    <s v="GNR_ST_NUCL_CND_E-33"/>
    <x v="0"/>
    <x v="16"/>
    <n v="1410"/>
    <n v="514650"/>
    <n v="1852740"/>
  </r>
  <r>
    <x v="0"/>
    <x v="0"/>
    <x v="0"/>
    <x v="3"/>
    <x v="5"/>
    <s v="DE4-N_A"/>
    <x v="13"/>
    <x v="2"/>
    <s v="GNR_ST_NUCL_CND_E-33"/>
    <x v="0"/>
    <x v="17"/>
    <n v="1410"/>
    <n v="514650"/>
    <n v="1852740"/>
  </r>
  <r>
    <x v="0"/>
    <x v="0"/>
    <x v="0"/>
    <x v="3"/>
    <x v="5"/>
    <s v="DE4-N_A"/>
    <x v="13"/>
    <x v="2"/>
    <s v="GNR_ST_NUCL_CND_E-33"/>
    <x v="0"/>
    <x v="18"/>
    <n v="1410"/>
    <n v="514650"/>
    <n v="1852740"/>
  </r>
  <r>
    <x v="0"/>
    <x v="0"/>
    <x v="0"/>
    <x v="3"/>
    <x v="5"/>
    <s v="DE4-N_A"/>
    <x v="13"/>
    <x v="2"/>
    <s v="GNR_ST_NUCL_CND_E-33"/>
    <x v="0"/>
    <x v="19"/>
    <n v="1410"/>
    <n v="514650"/>
    <n v="1852740"/>
  </r>
  <r>
    <x v="0"/>
    <x v="0"/>
    <x v="0"/>
    <x v="3"/>
    <x v="5"/>
    <s v="DE4-N_A"/>
    <x v="13"/>
    <x v="2"/>
    <s v="GNR_ST_NUCL_CND_E-33"/>
    <x v="0"/>
    <x v="20"/>
    <n v="1410"/>
    <n v="514650"/>
    <n v="1852740"/>
  </r>
  <r>
    <x v="0"/>
    <x v="0"/>
    <x v="0"/>
    <x v="3"/>
    <x v="5"/>
    <s v="DE4-N_A"/>
    <x v="13"/>
    <x v="2"/>
    <s v="GNR_ST_NUCL_CND_E-33"/>
    <x v="0"/>
    <x v="21"/>
    <n v="1410"/>
    <n v="514650"/>
    <n v="1852740"/>
  </r>
  <r>
    <x v="0"/>
    <x v="0"/>
    <x v="0"/>
    <x v="3"/>
    <x v="5"/>
    <s v="DE4-N_A"/>
    <x v="13"/>
    <x v="2"/>
    <s v="GNR_ST_NUCL_CND_E-33"/>
    <x v="0"/>
    <x v="22"/>
    <n v="1410"/>
    <n v="514650"/>
    <n v="1852740"/>
  </r>
  <r>
    <x v="0"/>
    <x v="0"/>
    <x v="0"/>
    <x v="3"/>
    <x v="5"/>
    <s v="DE4-N_A"/>
    <x v="13"/>
    <x v="2"/>
    <s v="GNR_ST_NUCL_CND_E-33"/>
    <x v="0"/>
    <x v="23"/>
    <n v="1410"/>
    <n v="514650"/>
    <n v="1852740"/>
  </r>
  <r>
    <x v="0"/>
    <x v="0"/>
    <x v="0"/>
    <x v="3"/>
    <x v="5"/>
    <s v="DE4-N_A"/>
    <x v="5"/>
    <x v="3"/>
    <s v="GNR_PV_SUN"/>
    <x v="0"/>
    <x v="8"/>
    <n v="33.982254946418202"/>
    <n v="12403.5230554426"/>
    <n v="44652.682999593497"/>
  </r>
  <r>
    <x v="0"/>
    <x v="0"/>
    <x v="0"/>
    <x v="3"/>
    <x v="5"/>
    <s v="DE4-N_A"/>
    <x v="5"/>
    <x v="3"/>
    <s v="GNR_PV_SUN"/>
    <x v="0"/>
    <x v="9"/>
    <n v="255.82538595560001"/>
    <n v="93376.265873793804"/>
    <n v="336154.55714565801"/>
  </r>
  <r>
    <x v="0"/>
    <x v="0"/>
    <x v="0"/>
    <x v="3"/>
    <x v="5"/>
    <s v="DE4-N_A"/>
    <x v="5"/>
    <x v="3"/>
    <s v="GNR_PV_SUN"/>
    <x v="0"/>
    <x v="10"/>
    <n v="590.942700119508"/>
    <n v="215694.08554361999"/>
    <n v="776498.707957034"/>
  </r>
  <r>
    <x v="0"/>
    <x v="0"/>
    <x v="0"/>
    <x v="3"/>
    <x v="5"/>
    <s v="DE4-N_A"/>
    <x v="5"/>
    <x v="3"/>
    <s v="GNR_PV_SUN"/>
    <x v="0"/>
    <x v="11"/>
    <n v="899.91981817078704"/>
    <n v="328470.73363233701"/>
    <n v="1182494.64107641"/>
  </r>
  <r>
    <x v="0"/>
    <x v="0"/>
    <x v="0"/>
    <x v="3"/>
    <x v="5"/>
    <s v="DE4-N_A"/>
    <x v="5"/>
    <x v="3"/>
    <s v="GNR_PV_SUN"/>
    <x v="0"/>
    <x v="12"/>
    <n v="1023.12727584831"/>
    <n v="373441.45568463497"/>
    <n v="1344389.2404646799"/>
  </r>
  <r>
    <x v="0"/>
    <x v="0"/>
    <x v="0"/>
    <x v="3"/>
    <x v="5"/>
    <s v="DE4-N_A"/>
    <x v="5"/>
    <x v="3"/>
    <s v="GNR_PV_SUN"/>
    <x v="0"/>
    <x v="13"/>
    <n v="889.63800769982004"/>
    <n v="324717.87281043403"/>
    <n v="1168984.3421175601"/>
  </r>
  <r>
    <x v="0"/>
    <x v="0"/>
    <x v="0"/>
    <x v="3"/>
    <x v="5"/>
    <s v="DE4-N_A"/>
    <x v="5"/>
    <x v="3"/>
    <s v="GNR_PV_SUN"/>
    <x v="0"/>
    <x v="14"/>
    <n v="578.91820990769895"/>
    <n v="211305.14661631"/>
    <n v="760698.52781871601"/>
  </r>
  <r>
    <x v="0"/>
    <x v="0"/>
    <x v="0"/>
    <x v="3"/>
    <x v="5"/>
    <s v="DE4-N_A"/>
    <x v="5"/>
    <x v="3"/>
    <s v="GNR_PV_SUN"/>
    <x v="0"/>
    <x v="15"/>
    <n v="293.118732409617"/>
    <n v="106988.33732951"/>
    <n v="385158.01438623702"/>
  </r>
  <r>
    <x v="0"/>
    <x v="0"/>
    <x v="0"/>
    <x v="3"/>
    <x v="5"/>
    <s v="DE4-N_A"/>
    <x v="5"/>
    <x v="3"/>
    <s v="GNR_PV_SUN"/>
    <x v="0"/>
    <x v="16"/>
    <n v="38.164686324438897"/>
    <n v="13930.110508420201"/>
    <n v="50148.397830312701"/>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2"/>
    <n v="2.66860730593607"/>
    <n v="974.04166666666595"/>
    <n v="3506.55"/>
  </r>
  <r>
    <x v="0"/>
    <x v="0"/>
    <x v="0"/>
    <x v="3"/>
    <x v="5"/>
    <s v="DE4-N_A"/>
    <x v="6"/>
    <x v="4"/>
    <s v="GNR_ROR_WTR"/>
    <x v="0"/>
    <x v="3"/>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8"/>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0"/>
    <n v="1247.1653136443599"/>
    <n v="455215.339480191"/>
    <n v="1638775.22212869"/>
  </r>
  <r>
    <x v="0"/>
    <x v="0"/>
    <x v="0"/>
    <x v="3"/>
    <x v="5"/>
    <s v="DE4-N_A"/>
    <x v="7"/>
    <x v="5"/>
    <s v="GNR_WT_WIND_ONS"/>
    <x v="0"/>
    <x v="1"/>
    <n v="1206.74676651287"/>
    <n v="440462.56977719901"/>
    <n v="1585665.2511979199"/>
  </r>
  <r>
    <x v="0"/>
    <x v="0"/>
    <x v="0"/>
    <x v="3"/>
    <x v="5"/>
    <s v="DE4-N_A"/>
    <x v="7"/>
    <x v="5"/>
    <s v="GNR_WT_WIND_ONS"/>
    <x v="0"/>
    <x v="2"/>
    <n v="1172.30385673964"/>
    <n v="427890.90770996897"/>
    <n v="1540407.26775589"/>
  </r>
  <r>
    <x v="0"/>
    <x v="0"/>
    <x v="0"/>
    <x v="3"/>
    <x v="5"/>
    <s v="DE4-N_A"/>
    <x v="7"/>
    <x v="5"/>
    <s v="GNR_WT_WIND_ONS"/>
    <x v="0"/>
    <x v="3"/>
    <n v="1113.2114428636301"/>
    <n v="406322.17664522497"/>
    <n v="1462759.83592281"/>
  </r>
  <r>
    <x v="0"/>
    <x v="0"/>
    <x v="0"/>
    <x v="3"/>
    <x v="5"/>
    <s v="DE4-N_A"/>
    <x v="7"/>
    <x v="5"/>
    <s v="GNR_WT_WIND_ONS"/>
    <x v="0"/>
    <x v="4"/>
    <n v="1014.03246170937"/>
    <n v="370121.84852392197"/>
    <n v="1332438.6546861201"/>
  </r>
  <r>
    <x v="0"/>
    <x v="0"/>
    <x v="0"/>
    <x v="3"/>
    <x v="5"/>
    <s v="DE4-N_A"/>
    <x v="7"/>
    <x v="5"/>
    <s v="GNR_WT_WIND_ONS"/>
    <x v="0"/>
    <x v="5"/>
    <n v="925.31084593205298"/>
    <n v="337738.458765199"/>
    <n v="1215858.4515547201"/>
  </r>
  <r>
    <x v="0"/>
    <x v="0"/>
    <x v="0"/>
    <x v="3"/>
    <x v="5"/>
    <s v="DE4-N_A"/>
    <x v="7"/>
    <x v="5"/>
    <s v="GNR_WT_WIND_ONS"/>
    <x v="0"/>
    <x v="6"/>
    <n v="762.72371280972004"/>
    <n v="278394.15517554799"/>
    <n v="1002218.95863197"/>
  </r>
  <r>
    <x v="0"/>
    <x v="0"/>
    <x v="0"/>
    <x v="3"/>
    <x v="5"/>
    <s v="DE4-N_A"/>
    <x v="7"/>
    <x v="5"/>
    <s v="GNR_WT_WIND_ONS"/>
    <x v="0"/>
    <x v="7"/>
    <n v="737.57623892709205"/>
    <n v="269215.327208389"/>
    <n v="969175.17795019899"/>
  </r>
  <r>
    <x v="0"/>
    <x v="0"/>
    <x v="0"/>
    <x v="3"/>
    <x v="5"/>
    <s v="DE4-N_A"/>
    <x v="7"/>
    <x v="5"/>
    <s v="GNR_WT_WIND_ONS"/>
    <x v="0"/>
    <x v="8"/>
    <n v="792.93387945419602"/>
    <n v="289420.86600078101"/>
    <n v="1041915.11760281"/>
  </r>
  <r>
    <x v="0"/>
    <x v="0"/>
    <x v="0"/>
    <x v="3"/>
    <x v="5"/>
    <s v="DE4-N_A"/>
    <x v="7"/>
    <x v="5"/>
    <s v="GNR_WT_WIND_ONS"/>
    <x v="0"/>
    <x v="9"/>
    <n v="855.26309689925597"/>
    <n v="312171.03036822798"/>
    <n v="1123815.70932562"/>
  </r>
  <r>
    <x v="0"/>
    <x v="0"/>
    <x v="0"/>
    <x v="3"/>
    <x v="5"/>
    <s v="DE4-N_A"/>
    <x v="7"/>
    <x v="5"/>
    <s v="GNR_WT_WIND_ONS"/>
    <x v="0"/>
    <x v="10"/>
    <n v="986.81011374402203"/>
    <n v="360185.69151656801"/>
    <n v="1296668.4894596499"/>
  </r>
  <r>
    <x v="0"/>
    <x v="0"/>
    <x v="0"/>
    <x v="3"/>
    <x v="5"/>
    <s v="DE4-N_A"/>
    <x v="7"/>
    <x v="5"/>
    <s v="GNR_WT_WIND_ONS"/>
    <x v="0"/>
    <x v="11"/>
    <n v="1087.0680294213"/>
    <n v="396779.83073877299"/>
    <n v="1428407.39065958"/>
  </r>
  <r>
    <x v="0"/>
    <x v="0"/>
    <x v="0"/>
    <x v="3"/>
    <x v="5"/>
    <s v="DE4-N_A"/>
    <x v="7"/>
    <x v="5"/>
    <s v="GNR_WT_WIND_ONS"/>
    <x v="0"/>
    <x v="12"/>
    <n v="1337.7128186144801"/>
    <n v="488265.17879428499"/>
    <n v="1757754.6436594201"/>
  </r>
  <r>
    <x v="0"/>
    <x v="0"/>
    <x v="0"/>
    <x v="3"/>
    <x v="5"/>
    <s v="DE4-N_A"/>
    <x v="7"/>
    <x v="5"/>
    <s v="GNR_WT_WIND_ONS"/>
    <x v="0"/>
    <x v="13"/>
    <n v="1563.21013392503"/>
    <n v="570571.69888263801"/>
    <n v="2054058.1159775001"/>
  </r>
  <r>
    <x v="0"/>
    <x v="0"/>
    <x v="0"/>
    <x v="3"/>
    <x v="5"/>
    <s v="DE4-N_A"/>
    <x v="7"/>
    <x v="5"/>
    <s v="GNR_WT_WIND_ONS"/>
    <x v="0"/>
    <x v="14"/>
    <n v="1820.1625403297001"/>
    <n v="664359.32722034096"/>
    <n v="2391693.57799323"/>
  </r>
  <r>
    <x v="0"/>
    <x v="0"/>
    <x v="0"/>
    <x v="3"/>
    <x v="5"/>
    <s v="DE4-N_A"/>
    <x v="7"/>
    <x v="5"/>
    <s v="GNR_WT_WIND_ONS"/>
    <x v="0"/>
    <x v="15"/>
    <n v="2073.7951482020098"/>
    <n v="756935.22909373301"/>
    <n v="2724966.8247374399"/>
  </r>
  <r>
    <x v="0"/>
    <x v="0"/>
    <x v="0"/>
    <x v="3"/>
    <x v="5"/>
    <s v="DE4-N_A"/>
    <x v="7"/>
    <x v="5"/>
    <s v="GNR_WT_WIND_ONS"/>
    <x v="0"/>
    <x v="16"/>
    <n v="2412.4145985027299"/>
    <n v="880531.32845349796"/>
    <n v="3169912.7824325901"/>
  </r>
  <r>
    <x v="0"/>
    <x v="0"/>
    <x v="0"/>
    <x v="3"/>
    <x v="5"/>
    <s v="DE4-N_A"/>
    <x v="7"/>
    <x v="5"/>
    <s v="GNR_WT_WIND_ONS"/>
    <x v="0"/>
    <x v="17"/>
    <n v="2721.7368267553802"/>
    <n v="993433.94176571397"/>
    <n v="3576362.1903565698"/>
  </r>
  <r>
    <x v="0"/>
    <x v="0"/>
    <x v="0"/>
    <x v="3"/>
    <x v="5"/>
    <s v="DE4-N_A"/>
    <x v="7"/>
    <x v="5"/>
    <s v="GNR_WT_WIND_ONS"/>
    <x v="0"/>
    <x v="18"/>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0"/>
    <n v="293.30560164840898"/>
    <n v="107056.544601669"/>
    <n v="385403.56056601001"/>
  </r>
  <r>
    <x v="0"/>
    <x v="0"/>
    <x v="0"/>
    <x v="3"/>
    <x v="5"/>
    <s v="DE4-N_Offshore_A"/>
    <x v="7"/>
    <x v="5"/>
    <s v="GNR_WT_WIND_OFF"/>
    <x v="0"/>
    <x v="1"/>
    <n v="283.800056429618"/>
    <n v="103587.02059681099"/>
    <n v="372913.27414851799"/>
  </r>
  <r>
    <x v="0"/>
    <x v="0"/>
    <x v="0"/>
    <x v="3"/>
    <x v="5"/>
    <s v="DE4-N_Offshore_A"/>
    <x v="7"/>
    <x v="5"/>
    <s v="GNR_WT_WIND_OFF"/>
    <x v="0"/>
    <x v="2"/>
    <n v="275.69984849163399"/>
    <n v="100630.444699446"/>
    <n v="362269.60091800703"/>
  </r>
  <r>
    <x v="0"/>
    <x v="0"/>
    <x v="0"/>
    <x v="3"/>
    <x v="5"/>
    <s v="DE4-N_Offshore_A"/>
    <x v="7"/>
    <x v="5"/>
    <s v="GNR_WT_WIND_OFF"/>
    <x v="0"/>
    <x v="3"/>
    <n v="261.80262427032102"/>
    <n v="95557.9578586672"/>
    <n v="344008.64829120197"/>
  </r>
  <r>
    <x v="0"/>
    <x v="0"/>
    <x v="0"/>
    <x v="3"/>
    <x v="5"/>
    <s v="DE4-N_Offshore_A"/>
    <x v="7"/>
    <x v="5"/>
    <s v="GNR_WT_WIND_OFF"/>
    <x v="0"/>
    <x v="4"/>
    <n v="238.477929123595"/>
    <n v="87044.444130112301"/>
    <n v="313359.99886840401"/>
  </r>
  <r>
    <x v="0"/>
    <x v="0"/>
    <x v="0"/>
    <x v="3"/>
    <x v="5"/>
    <s v="DE4-N_Offshore_A"/>
    <x v="7"/>
    <x v="5"/>
    <s v="GNR_WT_WIND_OFF"/>
    <x v="0"/>
    <x v="5"/>
    <n v="217.61257421828199"/>
    <n v="79428.589589672803"/>
    <n v="285942.92252282199"/>
  </r>
  <r>
    <x v="0"/>
    <x v="0"/>
    <x v="0"/>
    <x v="3"/>
    <x v="5"/>
    <s v="DE4-N_Offshore_A"/>
    <x v="7"/>
    <x v="5"/>
    <s v="GNR_WT_WIND_OFF"/>
    <x v="0"/>
    <x v="6"/>
    <n v="179.375689036327"/>
    <n v="65472.126498259298"/>
    <n v="235699.655393733"/>
  </r>
  <r>
    <x v="0"/>
    <x v="0"/>
    <x v="0"/>
    <x v="3"/>
    <x v="5"/>
    <s v="DE4-N_Offshore_A"/>
    <x v="7"/>
    <x v="5"/>
    <s v="GNR_WT_WIND_OFF"/>
    <x v="0"/>
    <x v="7"/>
    <n v="173.461561312931"/>
    <n v="63313.469879219803"/>
    <n v="227928.49156519101"/>
  </r>
  <r>
    <x v="0"/>
    <x v="0"/>
    <x v="0"/>
    <x v="3"/>
    <x v="5"/>
    <s v="DE4-N_Offshore_A"/>
    <x v="7"/>
    <x v="5"/>
    <s v="GNR_WT_WIND_OFF"/>
    <x v="0"/>
    <x v="8"/>
    <n v="186.48044973373999"/>
    <n v="68065.364152814902"/>
    <n v="245035.31095013401"/>
  </r>
  <r>
    <x v="0"/>
    <x v="0"/>
    <x v="0"/>
    <x v="3"/>
    <x v="5"/>
    <s v="DE4-N_Offshore_A"/>
    <x v="7"/>
    <x v="5"/>
    <s v="GNR_WT_WIND_OFF"/>
    <x v="0"/>
    <x v="9"/>
    <n v="201.138898315489"/>
    <n v="73415.697885153597"/>
    <n v="264296.51238655299"/>
  </r>
  <r>
    <x v="0"/>
    <x v="0"/>
    <x v="0"/>
    <x v="3"/>
    <x v="5"/>
    <s v="DE4-N_Offshore_A"/>
    <x v="7"/>
    <x v="5"/>
    <s v="GNR_WT_WIND_OFF"/>
    <x v="0"/>
    <x v="10"/>
    <n v="232.07583706658599"/>
    <n v="84707.680529303907"/>
    <n v="304947.64990549401"/>
  </r>
  <r>
    <x v="0"/>
    <x v="0"/>
    <x v="0"/>
    <x v="3"/>
    <x v="5"/>
    <s v="DE4-N_Offshore_A"/>
    <x v="7"/>
    <x v="5"/>
    <s v="GNR_WT_WIND_OFF"/>
    <x v="0"/>
    <x v="11"/>
    <n v="255.654273666791"/>
    <n v="93313.809888378702"/>
    <n v="335929.71559816302"/>
  </r>
  <r>
    <x v="0"/>
    <x v="0"/>
    <x v="0"/>
    <x v="3"/>
    <x v="5"/>
    <s v="DE4-N_Offshore_A"/>
    <x v="7"/>
    <x v="5"/>
    <s v="GNR_WT_WIND_OFF"/>
    <x v="0"/>
    <x v="12"/>
    <n v="314.60036516730298"/>
    <n v="114829.133286066"/>
    <n v="413384.87982983602"/>
  </r>
  <r>
    <x v="0"/>
    <x v="0"/>
    <x v="0"/>
    <x v="3"/>
    <x v="5"/>
    <s v="DE4-N_Offshore_A"/>
    <x v="7"/>
    <x v="5"/>
    <s v="GNR_WT_WIND_OFF"/>
    <x v="0"/>
    <x v="13"/>
    <n v="367.63232894442001"/>
    <n v="134185.800064713"/>
    <n v="483068.88023296703"/>
  </r>
  <r>
    <x v="0"/>
    <x v="0"/>
    <x v="0"/>
    <x v="3"/>
    <x v="5"/>
    <s v="DE4-N_Offshore_A"/>
    <x v="7"/>
    <x v="5"/>
    <s v="GNR_WT_WIND_OFF"/>
    <x v="0"/>
    <x v="14"/>
    <n v="428.06183201911699"/>
    <n v="156242.56868697799"/>
    <n v="562473.24727311998"/>
  </r>
  <r>
    <x v="0"/>
    <x v="0"/>
    <x v="0"/>
    <x v="3"/>
    <x v="5"/>
    <s v="DE4-N_Offshore_A"/>
    <x v="7"/>
    <x v="5"/>
    <s v="GNR_WT_WIND_OFF"/>
    <x v="0"/>
    <x v="15"/>
    <n v="487.71059216003198"/>
    <n v="178014.36613841201"/>
    <n v="640851.71809828305"/>
  </r>
  <r>
    <x v="0"/>
    <x v="0"/>
    <x v="0"/>
    <x v="3"/>
    <x v="5"/>
    <s v="DE4-N_Offshore_A"/>
    <x v="7"/>
    <x v="5"/>
    <s v="GNR_WT_WIND_OFF"/>
    <x v="0"/>
    <x v="16"/>
    <n v="567.34637140575796"/>
    <n v="207081.42556310099"/>
    <n v="745493.13202716503"/>
  </r>
  <r>
    <x v="0"/>
    <x v="0"/>
    <x v="0"/>
    <x v="3"/>
    <x v="5"/>
    <s v="DE4-N_Offshore_A"/>
    <x v="7"/>
    <x v="5"/>
    <s v="GNR_WT_WIND_OFF"/>
    <x v="0"/>
    <x v="17"/>
    <n v="640.09209426085999"/>
    <n v="233633.614405214"/>
    <n v="841081.01185877004"/>
  </r>
  <r>
    <x v="0"/>
    <x v="0"/>
    <x v="0"/>
    <x v="3"/>
    <x v="5"/>
    <s v="DE4-N_Offshore_A"/>
    <x v="7"/>
    <x v="5"/>
    <s v="GNR_WT_WIND_OFF"/>
    <x v="0"/>
    <x v="18"/>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0"/>
    <x v="0"/>
    <s v="GNR_ENG_BGAS_BP_E-45"/>
    <x v="0"/>
    <x v="0"/>
    <n v="47.36"/>
    <n v="17286.400000000001"/>
    <n v="62231.040000000001"/>
  </r>
  <r>
    <x v="0"/>
    <x v="0"/>
    <x v="0"/>
    <x v="3"/>
    <x v="6"/>
    <s v="DE4-S_A"/>
    <x v="0"/>
    <x v="0"/>
    <s v="GNR_ENG_BGAS_BP_E-45"/>
    <x v="0"/>
    <x v="1"/>
    <n v="47.36"/>
    <n v="17286.400000000001"/>
    <n v="62231.040000000001"/>
  </r>
  <r>
    <x v="0"/>
    <x v="0"/>
    <x v="0"/>
    <x v="3"/>
    <x v="6"/>
    <s v="DE4-S_A"/>
    <x v="0"/>
    <x v="0"/>
    <s v="GNR_ENG_BGAS_BP_E-45"/>
    <x v="0"/>
    <x v="2"/>
    <n v="47.36"/>
    <n v="17286.400000000001"/>
    <n v="62231.040000000001"/>
  </r>
  <r>
    <x v="0"/>
    <x v="0"/>
    <x v="0"/>
    <x v="3"/>
    <x v="6"/>
    <s v="DE4-S_A"/>
    <x v="0"/>
    <x v="0"/>
    <s v="GNR_ENG_BGAS_BP_E-45"/>
    <x v="0"/>
    <x v="3"/>
    <n v="47.36"/>
    <n v="17286.400000000001"/>
    <n v="62231.040000000001"/>
  </r>
  <r>
    <x v="0"/>
    <x v="0"/>
    <x v="0"/>
    <x v="3"/>
    <x v="6"/>
    <s v="DE4-S_A"/>
    <x v="0"/>
    <x v="0"/>
    <s v="GNR_ENG_BGAS_BP_E-45"/>
    <x v="0"/>
    <x v="4"/>
    <n v="47.36"/>
    <n v="17286.400000000001"/>
    <n v="62231.040000000001"/>
  </r>
  <r>
    <x v="0"/>
    <x v="0"/>
    <x v="0"/>
    <x v="3"/>
    <x v="6"/>
    <s v="DE4-S_A"/>
    <x v="0"/>
    <x v="0"/>
    <s v="GNR_ENG_BGAS_BP_E-45"/>
    <x v="0"/>
    <x v="5"/>
    <n v="47.36"/>
    <n v="17286.400000000001"/>
    <n v="62231.040000000001"/>
  </r>
  <r>
    <x v="0"/>
    <x v="0"/>
    <x v="0"/>
    <x v="3"/>
    <x v="6"/>
    <s v="DE4-S_A"/>
    <x v="0"/>
    <x v="0"/>
    <s v="GNR_ENG_BGAS_BP_E-45"/>
    <x v="0"/>
    <x v="6"/>
    <n v="47.36"/>
    <n v="17286.400000000001"/>
    <n v="62231.040000000001"/>
  </r>
  <r>
    <x v="0"/>
    <x v="0"/>
    <x v="0"/>
    <x v="3"/>
    <x v="6"/>
    <s v="DE4-S_A"/>
    <x v="0"/>
    <x v="0"/>
    <s v="GNR_ENG_BGAS_BP_E-45"/>
    <x v="0"/>
    <x v="7"/>
    <n v="47.36"/>
    <n v="17286.400000000001"/>
    <n v="62231.040000000001"/>
  </r>
  <r>
    <x v="0"/>
    <x v="0"/>
    <x v="0"/>
    <x v="3"/>
    <x v="6"/>
    <s v="DE4-S_A"/>
    <x v="0"/>
    <x v="0"/>
    <s v="GNR_ENG_BGAS_BP_E-45"/>
    <x v="0"/>
    <x v="8"/>
    <n v="47.36"/>
    <n v="17286.400000000001"/>
    <n v="62231.040000000001"/>
  </r>
  <r>
    <x v="0"/>
    <x v="0"/>
    <x v="0"/>
    <x v="3"/>
    <x v="6"/>
    <s v="DE4-S_A"/>
    <x v="0"/>
    <x v="0"/>
    <s v="GNR_ENG_BGAS_BP_E-45"/>
    <x v="0"/>
    <x v="9"/>
    <n v="47.36"/>
    <n v="17286.400000000001"/>
    <n v="62231.040000000001"/>
  </r>
  <r>
    <x v="0"/>
    <x v="0"/>
    <x v="0"/>
    <x v="3"/>
    <x v="6"/>
    <s v="DE4-S_A"/>
    <x v="0"/>
    <x v="0"/>
    <s v="GNR_ENG_BGAS_BP_E-45"/>
    <x v="0"/>
    <x v="10"/>
    <n v="47.36"/>
    <n v="17286.400000000001"/>
    <n v="62231.040000000001"/>
  </r>
  <r>
    <x v="0"/>
    <x v="0"/>
    <x v="0"/>
    <x v="3"/>
    <x v="6"/>
    <s v="DE4-S_A"/>
    <x v="0"/>
    <x v="0"/>
    <s v="GNR_ENG_BGAS_BP_E-45"/>
    <x v="0"/>
    <x v="11"/>
    <n v="47.36"/>
    <n v="17286.400000000001"/>
    <n v="62231.040000000001"/>
  </r>
  <r>
    <x v="0"/>
    <x v="0"/>
    <x v="0"/>
    <x v="3"/>
    <x v="6"/>
    <s v="DE4-S_A"/>
    <x v="0"/>
    <x v="0"/>
    <s v="GNR_ENG_BGAS_BP_E-45"/>
    <x v="0"/>
    <x v="12"/>
    <n v="47.36"/>
    <n v="17286.400000000001"/>
    <n v="62231.040000000001"/>
  </r>
  <r>
    <x v="0"/>
    <x v="0"/>
    <x v="0"/>
    <x v="3"/>
    <x v="6"/>
    <s v="DE4-S_A"/>
    <x v="0"/>
    <x v="0"/>
    <s v="GNR_ENG_BGAS_BP_E-45"/>
    <x v="0"/>
    <x v="13"/>
    <n v="47.36"/>
    <n v="17286.400000000001"/>
    <n v="62231.040000000001"/>
  </r>
  <r>
    <x v="0"/>
    <x v="0"/>
    <x v="0"/>
    <x v="3"/>
    <x v="6"/>
    <s v="DE4-S_A"/>
    <x v="0"/>
    <x v="0"/>
    <s v="GNR_ENG_BGAS_BP_E-45"/>
    <x v="0"/>
    <x v="14"/>
    <n v="47.36"/>
    <n v="17286.400000000001"/>
    <n v="62231.040000000001"/>
  </r>
  <r>
    <x v="0"/>
    <x v="0"/>
    <x v="0"/>
    <x v="3"/>
    <x v="6"/>
    <s v="DE4-S_A"/>
    <x v="0"/>
    <x v="0"/>
    <s v="GNR_ENG_BGAS_BP_E-45"/>
    <x v="0"/>
    <x v="15"/>
    <n v="47.36"/>
    <n v="17286.400000000001"/>
    <n v="62231.040000000001"/>
  </r>
  <r>
    <x v="0"/>
    <x v="0"/>
    <x v="0"/>
    <x v="3"/>
    <x v="6"/>
    <s v="DE4-S_A"/>
    <x v="0"/>
    <x v="0"/>
    <s v="GNR_ENG_BGAS_BP_E-45"/>
    <x v="0"/>
    <x v="16"/>
    <n v="47.36"/>
    <n v="17286.400000000001"/>
    <n v="62231.040000000001"/>
  </r>
  <r>
    <x v="0"/>
    <x v="0"/>
    <x v="0"/>
    <x v="3"/>
    <x v="6"/>
    <s v="DE4-S_A"/>
    <x v="0"/>
    <x v="0"/>
    <s v="GNR_ENG_BGAS_BP_E-45"/>
    <x v="0"/>
    <x v="17"/>
    <n v="47.36"/>
    <n v="17286.400000000001"/>
    <n v="62231.040000000001"/>
  </r>
  <r>
    <x v="0"/>
    <x v="0"/>
    <x v="0"/>
    <x v="3"/>
    <x v="6"/>
    <s v="DE4-S_A"/>
    <x v="0"/>
    <x v="0"/>
    <s v="GNR_ENG_BGAS_BP_E-45"/>
    <x v="0"/>
    <x v="18"/>
    <n v="47.36"/>
    <n v="17286.400000000001"/>
    <n v="62231.040000000001"/>
  </r>
  <r>
    <x v="0"/>
    <x v="0"/>
    <x v="0"/>
    <x v="3"/>
    <x v="6"/>
    <s v="DE4-S_A"/>
    <x v="0"/>
    <x v="0"/>
    <s v="GNR_ENG_BGAS_BP_E-45"/>
    <x v="0"/>
    <x v="19"/>
    <n v="47.36"/>
    <n v="17286.400000000001"/>
    <n v="62231.040000000001"/>
  </r>
  <r>
    <x v="0"/>
    <x v="0"/>
    <x v="0"/>
    <x v="3"/>
    <x v="6"/>
    <s v="DE4-S_A"/>
    <x v="0"/>
    <x v="0"/>
    <s v="GNR_ENG_BGAS_BP_E-45"/>
    <x v="0"/>
    <x v="20"/>
    <n v="47.36"/>
    <n v="17286.400000000001"/>
    <n v="62231.040000000001"/>
  </r>
  <r>
    <x v="0"/>
    <x v="0"/>
    <x v="0"/>
    <x v="3"/>
    <x v="6"/>
    <s v="DE4-S_A"/>
    <x v="0"/>
    <x v="0"/>
    <s v="GNR_ENG_BGAS_BP_E-45"/>
    <x v="0"/>
    <x v="21"/>
    <n v="47.36"/>
    <n v="17286.400000000001"/>
    <n v="62231.040000000001"/>
  </r>
  <r>
    <x v="0"/>
    <x v="0"/>
    <x v="0"/>
    <x v="3"/>
    <x v="6"/>
    <s v="DE4-S_A"/>
    <x v="0"/>
    <x v="0"/>
    <s v="GNR_ENG_BGAS_BP_E-45"/>
    <x v="0"/>
    <x v="22"/>
    <n v="47.36"/>
    <n v="17286.400000000001"/>
    <n v="62231.040000000001"/>
  </r>
  <r>
    <x v="0"/>
    <x v="0"/>
    <x v="0"/>
    <x v="3"/>
    <x v="6"/>
    <s v="DE4-S_A"/>
    <x v="0"/>
    <x v="0"/>
    <s v="GNR_ENG_BGAS_BP_E-45"/>
    <x v="0"/>
    <x v="23"/>
    <n v="47.36"/>
    <n v="17286.400000000001"/>
    <n v="62231.040000000001"/>
  </r>
  <r>
    <x v="0"/>
    <x v="0"/>
    <x v="0"/>
    <x v="3"/>
    <x v="6"/>
    <s v="DE4-S_A"/>
    <x v="0"/>
    <x v="2"/>
    <s v="GNR_ENG_BGAS_CND_E-44"/>
    <x v="0"/>
    <x v="0"/>
    <n v="2526.71"/>
    <n v="922249.15"/>
    <n v="3320096.94"/>
  </r>
  <r>
    <x v="0"/>
    <x v="0"/>
    <x v="0"/>
    <x v="3"/>
    <x v="6"/>
    <s v="DE4-S_A"/>
    <x v="0"/>
    <x v="2"/>
    <s v="GNR_ENG_BGAS_CND_E-44"/>
    <x v="0"/>
    <x v="1"/>
    <n v="2526.71"/>
    <n v="922249.15"/>
    <n v="3320096.94"/>
  </r>
  <r>
    <x v="0"/>
    <x v="0"/>
    <x v="0"/>
    <x v="3"/>
    <x v="6"/>
    <s v="DE4-S_A"/>
    <x v="0"/>
    <x v="2"/>
    <s v="GNR_ENG_BGAS_CND_E-44"/>
    <x v="0"/>
    <x v="2"/>
    <n v="2526.71"/>
    <n v="922249.15"/>
    <n v="3320096.94"/>
  </r>
  <r>
    <x v="0"/>
    <x v="0"/>
    <x v="0"/>
    <x v="3"/>
    <x v="6"/>
    <s v="DE4-S_A"/>
    <x v="0"/>
    <x v="2"/>
    <s v="GNR_ENG_BGAS_CND_E-44"/>
    <x v="0"/>
    <x v="3"/>
    <n v="2526.71"/>
    <n v="922249.15"/>
    <n v="3320096.94"/>
  </r>
  <r>
    <x v="0"/>
    <x v="0"/>
    <x v="0"/>
    <x v="3"/>
    <x v="6"/>
    <s v="DE4-S_A"/>
    <x v="0"/>
    <x v="2"/>
    <s v="GNR_ENG_BGAS_CND_E-44"/>
    <x v="0"/>
    <x v="4"/>
    <n v="2526.71"/>
    <n v="922249.15"/>
    <n v="3320096.94"/>
  </r>
  <r>
    <x v="0"/>
    <x v="0"/>
    <x v="0"/>
    <x v="3"/>
    <x v="6"/>
    <s v="DE4-S_A"/>
    <x v="0"/>
    <x v="2"/>
    <s v="GNR_ENG_BGAS_CND_E-44"/>
    <x v="0"/>
    <x v="5"/>
    <n v="2526.71"/>
    <n v="922249.15"/>
    <n v="3320096.94"/>
  </r>
  <r>
    <x v="0"/>
    <x v="0"/>
    <x v="0"/>
    <x v="3"/>
    <x v="6"/>
    <s v="DE4-S_A"/>
    <x v="0"/>
    <x v="2"/>
    <s v="GNR_ENG_BGAS_CND_E-44"/>
    <x v="0"/>
    <x v="6"/>
    <n v="2526.71"/>
    <n v="922249.15"/>
    <n v="3320096.94"/>
  </r>
  <r>
    <x v="0"/>
    <x v="0"/>
    <x v="0"/>
    <x v="3"/>
    <x v="6"/>
    <s v="DE4-S_A"/>
    <x v="0"/>
    <x v="2"/>
    <s v="GNR_ENG_BGAS_CND_E-44"/>
    <x v="0"/>
    <x v="7"/>
    <n v="2526.71"/>
    <n v="922249.15"/>
    <n v="3320096.94"/>
  </r>
  <r>
    <x v="0"/>
    <x v="0"/>
    <x v="0"/>
    <x v="3"/>
    <x v="6"/>
    <s v="DE4-S_A"/>
    <x v="0"/>
    <x v="2"/>
    <s v="GNR_ENG_BGAS_CND_E-44"/>
    <x v="0"/>
    <x v="8"/>
    <n v="2526.71"/>
    <n v="922249.15"/>
    <n v="3320096.94"/>
  </r>
  <r>
    <x v="0"/>
    <x v="0"/>
    <x v="0"/>
    <x v="3"/>
    <x v="6"/>
    <s v="DE4-S_A"/>
    <x v="0"/>
    <x v="2"/>
    <s v="GNR_ENG_BGAS_CND_E-44"/>
    <x v="0"/>
    <x v="9"/>
    <n v="2526.71"/>
    <n v="922249.15"/>
    <n v="3320096.94"/>
  </r>
  <r>
    <x v="0"/>
    <x v="0"/>
    <x v="0"/>
    <x v="3"/>
    <x v="6"/>
    <s v="DE4-S_A"/>
    <x v="0"/>
    <x v="2"/>
    <s v="GNR_ENG_BGAS_CND_E-44"/>
    <x v="0"/>
    <x v="10"/>
    <n v="2526.71"/>
    <n v="922249.15"/>
    <n v="3320096.94"/>
  </r>
  <r>
    <x v="0"/>
    <x v="0"/>
    <x v="0"/>
    <x v="3"/>
    <x v="6"/>
    <s v="DE4-S_A"/>
    <x v="0"/>
    <x v="2"/>
    <s v="GNR_ENG_BGAS_CND_E-44"/>
    <x v="0"/>
    <x v="11"/>
    <n v="2526.71"/>
    <n v="922249.15"/>
    <n v="3320096.94"/>
  </r>
  <r>
    <x v="0"/>
    <x v="0"/>
    <x v="0"/>
    <x v="3"/>
    <x v="6"/>
    <s v="DE4-S_A"/>
    <x v="0"/>
    <x v="2"/>
    <s v="GNR_ENG_BGAS_CND_E-44"/>
    <x v="0"/>
    <x v="12"/>
    <n v="2526.71"/>
    <n v="922249.15"/>
    <n v="3320096.94"/>
  </r>
  <r>
    <x v="0"/>
    <x v="0"/>
    <x v="0"/>
    <x v="3"/>
    <x v="6"/>
    <s v="DE4-S_A"/>
    <x v="0"/>
    <x v="2"/>
    <s v="GNR_ENG_BGAS_CND_E-44"/>
    <x v="0"/>
    <x v="13"/>
    <n v="2526.71"/>
    <n v="922249.15"/>
    <n v="3320096.94"/>
  </r>
  <r>
    <x v="0"/>
    <x v="0"/>
    <x v="0"/>
    <x v="3"/>
    <x v="6"/>
    <s v="DE4-S_A"/>
    <x v="0"/>
    <x v="2"/>
    <s v="GNR_ENG_BGAS_CND_E-44"/>
    <x v="0"/>
    <x v="14"/>
    <n v="2526.71"/>
    <n v="922249.15"/>
    <n v="3320096.94"/>
  </r>
  <r>
    <x v="0"/>
    <x v="0"/>
    <x v="0"/>
    <x v="3"/>
    <x v="6"/>
    <s v="DE4-S_A"/>
    <x v="0"/>
    <x v="2"/>
    <s v="GNR_ENG_BGAS_CND_E-44"/>
    <x v="0"/>
    <x v="15"/>
    <n v="2526.71"/>
    <n v="922249.15"/>
    <n v="3320096.94"/>
  </r>
  <r>
    <x v="0"/>
    <x v="0"/>
    <x v="0"/>
    <x v="3"/>
    <x v="6"/>
    <s v="DE4-S_A"/>
    <x v="0"/>
    <x v="2"/>
    <s v="GNR_ENG_BGAS_CND_E-44"/>
    <x v="0"/>
    <x v="16"/>
    <n v="2526.71"/>
    <n v="922249.15"/>
    <n v="3320096.94"/>
  </r>
  <r>
    <x v="0"/>
    <x v="0"/>
    <x v="0"/>
    <x v="3"/>
    <x v="6"/>
    <s v="DE4-S_A"/>
    <x v="0"/>
    <x v="2"/>
    <s v="GNR_ENG_BGAS_CND_E-44"/>
    <x v="0"/>
    <x v="17"/>
    <n v="2526.71"/>
    <n v="922249.15"/>
    <n v="3320096.94"/>
  </r>
  <r>
    <x v="0"/>
    <x v="0"/>
    <x v="0"/>
    <x v="3"/>
    <x v="6"/>
    <s v="DE4-S_A"/>
    <x v="0"/>
    <x v="2"/>
    <s v="GNR_ENG_BGAS_CND_E-44"/>
    <x v="0"/>
    <x v="18"/>
    <n v="2526.71"/>
    <n v="922249.15"/>
    <n v="3320096.94"/>
  </r>
  <r>
    <x v="0"/>
    <x v="0"/>
    <x v="0"/>
    <x v="3"/>
    <x v="6"/>
    <s v="DE4-S_A"/>
    <x v="0"/>
    <x v="2"/>
    <s v="GNR_ENG_BGAS_CND_E-44"/>
    <x v="0"/>
    <x v="19"/>
    <n v="2526.71"/>
    <n v="922249.15"/>
    <n v="3320096.94"/>
  </r>
  <r>
    <x v="0"/>
    <x v="0"/>
    <x v="0"/>
    <x v="3"/>
    <x v="6"/>
    <s v="DE4-S_A"/>
    <x v="0"/>
    <x v="2"/>
    <s v="GNR_ENG_BGAS_CND_E-44"/>
    <x v="0"/>
    <x v="20"/>
    <n v="2526.71"/>
    <n v="922249.15"/>
    <n v="3320096.94"/>
  </r>
  <r>
    <x v="0"/>
    <x v="0"/>
    <x v="0"/>
    <x v="3"/>
    <x v="6"/>
    <s v="DE4-S_A"/>
    <x v="0"/>
    <x v="2"/>
    <s v="GNR_ENG_BGAS_CND_E-44"/>
    <x v="0"/>
    <x v="21"/>
    <n v="2526.71"/>
    <n v="922249.15"/>
    <n v="3320096.94"/>
  </r>
  <r>
    <x v="0"/>
    <x v="0"/>
    <x v="0"/>
    <x v="3"/>
    <x v="6"/>
    <s v="DE4-S_A"/>
    <x v="0"/>
    <x v="2"/>
    <s v="GNR_ENG_BGAS_CND_E-44"/>
    <x v="0"/>
    <x v="22"/>
    <n v="2526.71"/>
    <n v="922249.15"/>
    <n v="3320096.94"/>
  </r>
  <r>
    <x v="0"/>
    <x v="0"/>
    <x v="0"/>
    <x v="3"/>
    <x v="6"/>
    <s v="DE4-S_A"/>
    <x v="0"/>
    <x v="2"/>
    <s v="GNR_ENG_BGAS_CND_E-44"/>
    <x v="0"/>
    <x v="23"/>
    <n v="2526.71"/>
    <n v="922249.15"/>
    <n v="3320096.94"/>
  </r>
  <r>
    <x v="0"/>
    <x v="0"/>
    <x v="0"/>
    <x v="3"/>
    <x v="6"/>
    <s v="DE4-S_A"/>
    <x v="0"/>
    <x v="0"/>
    <s v="GNR_ST_BGAS_BP_E-38"/>
    <x v="0"/>
    <x v="0"/>
    <n v="261.2"/>
    <n v="95338"/>
    <n v="343216.8"/>
  </r>
  <r>
    <x v="0"/>
    <x v="0"/>
    <x v="0"/>
    <x v="3"/>
    <x v="6"/>
    <s v="DE4-S_A"/>
    <x v="0"/>
    <x v="0"/>
    <s v="GNR_ST_BGAS_BP_E-38"/>
    <x v="0"/>
    <x v="1"/>
    <n v="261.2"/>
    <n v="95338"/>
    <n v="343216.8"/>
  </r>
  <r>
    <x v="0"/>
    <x v="0"/>
    <x v="0"/>
    <x v="3"/>
    <x v="6"/>
    <s v="DE4-S_A"/>
    <x v="0"/>
    <x v="0"/>
    <s v="GNR_ST_BGAS_BP_E-38"/>
    <x v="0"/>
    <x v="2"/>
    <n v="261.2"/>
    <n v="95338"/>
    <n v="343216.8"/>
  </r>
  <r>
    <x v="0"/>
    <x v="0"/>
    <x v="0"/>
    <x v="3"/>
    <x v="6"/>
    <s v="DE4-S_A"/>
    <x v="0"/>
    <x v="0"/>
    <s v="GNR_ST_BGAS_BP_E-38"/>
    <x v="0"/>
    <x v="3"/>
    <n v="261.2"/>
    <n v="95338"/>
    <n v="343216.8"/>
  </r>
  <r>
    <x v="0"/>
    <x v="0"/>
    <x v="0"/>
    <x v="3"/>
    <x v="6"/>
    <s v="DE4-S_A"/>
    <x v="0"/>
    <x v="0"/>
    <s v="GNR_ST_BGAS_BP_E-38"/>
    <x v="0"/>
    <x v="4"/>
    <n v="261.2"/>
    <n v="95338"/>
    <n v="343216.8"/>
  </r>
  <r>
    <x v="0"/>
    <x v="0"/>
    <x v="0"/>
    <x v="3"/>
    <x v="6"/>
    <s v="DE4-S_A"/>
    <x v="0"/>
    <x v="0"/>
    <s v="GNR_ST_BGAS_BP_E-38"/>
    <x v="0"/>
    <x v="5"/>
    <n v="261.2"/>
    <n v="95338"/>
    <n v="343216.8"/>
  </r>
  <r>
    <x v="0"/>
    <x v="0"/>
    <x v="0"/>
    <x v="3"/>
    <x v="6"/>
    <s v="DE4-S_A"/>
    <x v="0"/>
    <x v="0"/>
    <s v="GNR_ST_BGAS_BP_E-38"/>
    <x v="0"/>
    <x v="6"/>
    <n v="261.2"/>
    <n v="95338"/>
    <n v="343216.8"/>
  </r>
  <r>
    <x v="0"/>
    <x v="0"/>
    <x v="0"/>
    <x v="3"/>
    <x v="6"/>
    <s v="DE4-S_A"/>
    <x v="0"/>
    <x v="0"/>
    <s v="GNR_ST_BGAS_BP_E-38"/>
    <x v="0"/>
    <x v="7"/>
    <n v="261.2"/>
    <n v="95338"/>
    <n v="343216.8"/>
  </r>
  <r>
    <x v="0"/>
    <x v="0"/>
    <x v="0"/>
    <x v="3"/>
    <x v="6"/>
    <s v="DE4-S_A"/>
    <x v="0"/>
    <x v="0"/>
    <s v="GNR_ST_BGAS_BP_E-38"/>
    <x v="0"/>
    <x v="8"/>
    <n v="261.2"/>
    <n v="95338"/>
    <n v="343216.8"/>
  </r>
  <r>
    <x v="0"/>
    <x v="0"/>
    <x v="0"/>
    <x v="3"/>
    <x v="6"/>
    <s v="DE4-S_A"/>
    <x v="0"/>
    <x v="0"/>
    <s v="GNR_ST_BGAS_BP_E-38"/>
    <x v="0"/>
    <x v="9"/>
    <n v="261.2"/>
    <n v="95338"/>
    <n v="343216.8"/>
  </r>
  <r>
    <x v="0"/>
    <x v="0"/>
    <x v="0"/>
    <x v="3"/>
    <x v="6"/>
    <s v="DE4-S_A"/>
    <x v="0"/>
    <x v="0"/>
    <s v="GNR_ST_BGAS_BP_E-38"/>
    <x v="0"/>
    <x v="10"/>
    <n v="261.2"/>
    <n v="95338"/>
    <n v="343216.8"/>
  </r>
  <r>
    <x v="0"/>
    <x v="0"/>
    <x v="0"/>
    <x v="3"/>
    <x v="6"/>
    <s v="DE4-S_A"/>
    <x v="0"/>
    <x v="0"/>
    <s v="GNR_ST_BGAS_BP_E-38"/>
    <x v="0"/>
    <x v="11"/>
    <n v="261.2"/>
    <n v="95338"/>
    <n v="343216.8"/>
  </r>
  <r>
    <x v="0"/>
    <x v="0"/>
    <x v="0"/>
    <x v="3"/>
    <x v="6"/>
    <s v="DE4-S_A"/>
    <x v="0"/>
    <x v="0"/>
    <s v="GNR_ST_BGAS_BP_E-38"/>
    <x v="0"/>
    <x v="12"/>
    <n v="261.2"/>
    <n v="95338"/>
    <n v="343216.8"/>
  </r>
  <r>
    <x v="0"/>
    <x v="0"/>
    <x v="0"/>
    <x v="3"/>
    <x v="6"/>
    <s v="DE4-S_A"/>
    <x v="0"/>
    <x v="0"/>
    <s v="GNR_ST_BGAS_BP_E-38"/>
    <x v="0"/>
    <x v="13"/>
    <n v="261.2"/>
    <n v="95338"/>
    <n v="343216.8"/>
  </r>
  <r>
    <x v="0"/>
    <x v="0"/>
    <x v="0"/>
    <x v="3"/>
    <x v="6"/>
    <s v="DE4-S_A"/>
    <x v="0"/>
    <x v="0"/>
    <s v="GNR_ST_BGAS_BP_E-38"/>
    <x v="0"/>
    <x v="14"/>
    <n v="261.2"/>
    <n v="95338"/>
    <n v="343216.8"/>
  </r>
  <r>
    <x v="0"/>
    <x v="0"/>
    <x v="0"/>
    <x v="3"/>
    <x v="6"/>
    <s v="DE4-S_A"/>
    <x v="0"/>
    <x v="0"/>
    <s v="GNR_ST_BGAS_BP_E-38"/>
    <x v="0"/>
    <x v="15"/>
    <n v="261.2"/>
    <n v="95338"/>
    <n v="343216.8"/>
  </r>
  <r>
    <x v="0"/>
    <x v="0"/>
    <x v="0"/>
    <x v="3"/>
    <x v="6"/>
    <s v="DE4-S_A"/>
    <x v="0"/>
    <x v="0"/>
    <s v="GNR_ST_BGAS_BP_E-38"/>
    <x v="0"/>
    <x v="16"/>
    <n v="261.2"/>
    <n v="95338"/>
    <n v="343216.8"/>
  </r>
  <r>
    <x v="0"/>
    <x v="0"/>
    <x v="0"/>
    <x v="3"/>
    <x v="6"/>
    <s v="DE4-S_A"/>
    <x v="0"/>
    <x v="0"/>
    <s v="GNR_ST_BGAS_BP_E-38"/>
    <x v="0"/>
    <x v="17"/>
    <n v="261.2"/>
    <n v="95338"/>
    <n v="343216.8"/>
  </r>
  <r>
    <x v="0"/>
    <x v="0"/>
    <x v="0"/>
    <x v="3"/>
    <x v="6"/>
    <s v="DE4-S_A"/>
    <x v="0"/>
    <x v="0"/>
    <s v="GNR_ST_BGAS_BP_E-38"/>
    <x v="0"/>
    <x v="18"/>
    <n v="261.2"/>
    <n v="95338"/>
    <n v="343216.8"/>
  </r>
  <r>
    <x v="0"/>
    <x v="0"/>
    <x v="0"/>
    <x v="3"/>
    <x v="6"/>
    <s v="DE4-S_A"/>
    <x v="0"/>
    <x v="0"/>
    <s v="GNR_ST_BGAS_BP_E-38"/>
    <x v="0"/>
    <x v="19"/>
    <n v="261.2"/>
    <n v="95338"/>
    <n v="343216.8"/>
  </r>
  <r>
    <x v="0"/>
    <x v="0"/>
    <x v="0"/>
    <x v="3"/>
    <x v="6"/>
    <s v="DE4-S_A"/>
    <x v="0"/>
    <x v="0"/>
    <s v="GNR_ST_BGAS_BP_E-38"/>
    <x v="0"/>
    <x v="20"/>
    <n v="261.2"/>
    <n v="95338"/>
    <n v="343216.8"/>
  </r>
  <r>
    <x v="0"/>
    <x v="0"/>
    <x v="0"/>
    <x v="3"/>
    <x v="6"/>
    <s v="DE4-S_A"/>
    <x v="0"/>
    <x v="0"/>
    <s v="GNR_ST_BGAS_BP_E-38"/>
    <x v="0"/>
    <x v="21"/>
    <n v="261.2"/>
    <n v="95338"/>
    <n v="343216.8"/>
  </r>
  <r>
    <x v="0"/>
    <x v="0"/>
    <x v="0"/>
    <x v="3"/>
    <x v="6"/>
    <s v="DE4-S_A"/>
    <x v="0"/>
    <x v="0"/>
    <s v="GNR_ST_BGAS_BP_E-38"/>
    <x v="0"/>
    <x v="22"/>
    <n v="261.2"/>
    <n v="95338"/>
    <n v="343216.8"/>
  </r>
  <r>
    <x v="0"/>
    <x v="0"/>
    <x v="0"/>
    <x v="3"/>
    <x v="6"/>
    <s v="DE4-S_A"/>
    <x v="0"/>
    <x v="0"/>
    <s v="GNR_ST_BGAS_BP_E-38"/>
    <x v="0"/>
    <x v="23"/>
    <n v="261.2"/>
    <n v="95338"/>
    <n v="343216.8"/>
  </r>
  <r>
    <x v="0"/>
    <x v="0"/>
    <x v="0"/>
    <x v="3"/>
    <x v="6"/>
    <s v="DE4-S_A"/>
    <x v="0"/>
    <x v="2"/>
    <s v="GNR_ST_BGAS_CND_E-38"/>
    <x v="0"/>
    <x v="0"/>
    <n v="40.299999999999997"/>
    <n v="14709.5"/>
    <n v="52954.2"/>
  </r>
  <r>
    <x v="0"/>
    <x v="0"/>
    <x v="0"/>
    <x v="3"/>
    <x v="6"/>
    <s v="DE4-S_A"/>
    <x v="0"/>
    <x v="2"/>
    <s v="GNR_ST_BGAS_CND_E-38"/>
    <x v="0"/>
    <x v="1"/>
    <n v="40.299999999999997"/>
    <n v="14709.5"/>
    <n v="52954.2"/>
  </r>
  <r>
    <x v="0"/>
    <x v="0"/>
    <x v="0"/>
    <x v="3"/>
    <x v="6"/>
    <s v="DE4-S_A"/>
    <x v="0"/>
    <x v="2"/>
    <s v="GNR_ST_BGAS_CND_E-38"/>
    <x v="0"/>
    <x v="2"/>
    <n v="40.299999999999997"/>
    <n v="14709.5"/>
    <n v="52954.2"/>
  </r>
  <r>
    <x v="0"/>
    <x v="0"/>
    <x v="0"/>
    <x v="3"/>
    <x v="6"/>
    <s v="DE4-S_A"/>
    <x v="0"/>
    <x v="2"/>
    <s v="GNR_ST_BGAS_CND_E-38"/>
    <x v="0"/>
    <x v="3"/>
    <n v="40.299999999999997"/>
    <n v="14709.5"/>
    <n v="52954.2"/>
  </r>
  <r>
    <x v="0"/>
    <x v="0"/>
    <x v="0"/>
    <x v="3"/>
    <x v="6"/>
    <s v="DE4-S_A"/>
    <x v="0"/>
    <x v="2"/>
    <s v="GNR_ST_BGAS_CND_E-38"/>
    <x v="0"/>
    <x v="4"/>
    <n v="40.299999999999997"/>
    <n v="14709.5"/>
    <n v="52954.2"/>
  </r>
  <r>
    <x v="0"/>
    <x v="0"/>
    <x v="0"/>
    <x v="3"/>
    <x v="6"/>
    <s v="DE4-S_A"/>
    <x v="0"/>
    <x v="2"/>
    <s v="GNR_ST_BGAS_CND_E-38"/>
    <x v="0"/>
    <x v="5"/>
    <n v="40.299999999999997"/>
    <n v="14709.5"/>
    <n v="52954.2"/>
  </r>
  <r>
    <x v="0"/>
    <x v="0"/>
    <x v="0"/>
    <x v="3"/>
    <x v="6"/>
    <s v="DE4-S_A"/>
    <x v="0"/>
    <x v="2"/>
    <s v="GNR_ST_BGAS_CND_E-38"/>
    <x v="0"/>
    <x v="6"/>
    <n v="40.299999999999997"/>
    <n v="14709.5"/>
    <n v="52954.2"/>
  </r>
  <r>
    <x v="0"/>
    <x v="0"/>
    <x v="0"/>
    <x v="3"/>
    <x v="6"/>
    <s v="DE4-S_A"/>
    <x v="0"/>
    <x v="2"/>
    <s v="GNR_ST_BGAS_CND_E-38"/>
    <x v="0"/>
    <x v="7"/>
    <n v="40.299999999999997"/>
    <n v="14709.5"/>
    <n v="52954.2"/>
  </r>
  <r>
    <x v="0"/>
    <x v="0"/>
    <x v="0"/>
    <x v="3"/>
    <x v="6"/>
    <s v="DE4-S_A"/>
    <x v="0"/>
    <x v="2"/>
    <s v="GNR_ST_BGAS_CND_E-38"/>
    <x v="0"/>
    <x v="8"/>
    <n v="40.299999999999997"/>
    <n v="14709.5"/>
    <n v="52954.2"/>
  </r>
  <r>
    <x v="0"/>
    <x v="0"/>
    <x v="0"/>
    <x v="3"/>
    <x v="6"/>
    <s v="DE4-S_A"/>
    <x v="0"/>
    <x v="2"/>
    <s v="GNR_ST_BGAS_CND_E-38"/>
    <x v="0"/>
    <x v="9"/>
    <n v="40.299999999999997"/>
    <n v="14709.5"/>
    <n v="52954.2"/>
  </r>
  <r>
    <x v="0"/>
    <x v="0"/>
    <x v="0"/>
    <x v="3"/>
    <x v="6"/>
    <s v="DE4-S_A"/>
    <x v="0"/>
    <x v="2"/>
    <s v="GNR_ST_BGAS_CND_E-38"/>
    <x v="0"/>
    <x v="10"/>
    <n v="40.299999999999997"/>
    <n v="14709.5"/>
    <n v="52954.2"/>
  </r>
  <r>
    <x v="0"/>
    <x v="0"/>
    <x v="0"/>
    <x v="3"/>
    <x v="6"/>
    <s v="DE4-S_A"/>
    <x v="0"/>
    <x v="2"/>
    <s v="GNR_ST_BGAS_CND_E-38"/>
    <x v="0"/>
    <x v="11"/>
    <n v="40.299999999999997"/>
    <n v="14709.5"/>
    <n v="52954.2"/>
  </r>
  <r>
    <x v="0"/>
    <x v="0"/>
    <x v="0"/>
    <x v="3"/>
    <x v="6"/>
    <s v="DE4-S_A"/>
    <x v="0"/>
    <x v="2"/>
    <s v="GNR_ST_BGAS_CND_E-38"/>
    <x v="0"/>
    <x v="12"/>
    <n v="40.299999999999997"/>
    <n v="14709.5"/>
    <n v="52954.2"/>
  </r>
  <r>
    <x v="0"/>
    <x v="0"/>
    <x v="0"/>
    <x v="3"/>
    <x v="6"/>
    <s v="DE4-S_A"/>
    <x v="0"/>
    <x v="2"/>
    <s v="GNR_ST_BGAS_CND_E-38"/>
    <x v="0"/>
    <x v="13"/>
    <n v="40.299999999999997"/>
    <n v="14709.5"/>
    <n v="52954.2"/>
  </r>
  <r>
    <x v="0"/>
    <x v="0"/>
    <x v="0"/>
    <x v="3"/>
    <x v="6"/>
    <s v="DE4-S_A"/>
    <x v="0"/>
    <x v="2"/>
    <s v="GNR_ST_BGAS_CND_E-38"/>
    <x v="0"/>
    <x v="14"/>
    <n v="40.299999999999997"/>
    <n v="14709.5"/>
    <n v="52954.2"/>
  </r>
  <r>
    <x v="0"/>
    <x v="0"/>
    <x v="0"/>
    <x v="3"/>
    <x v="6"/>
    <s v="DE4-S_A"/>
    <x v="0"/>
    <x v="2"/>
    <s v="GNR_ST_BGAS_CND_E-38"/>
    <x v="0"/>
    <x v="15"/>
    <n v="40.299999999999997"/>
    <n v="14709.5"/>
    <n v="52954.2"/>
  </r>
  <r>
    <x v="0"/>
    <x v="0"/>
    <x v="0"/>
    <x v="3"/>
    <x v="6"/>
    <s v="DE4-S_A"/>
    <x v="0"/>
    <x v="2"/>
    <s v="GNR_ST_BGAS_CND_E-38"/>
    <x v="0"/>
    <x v="16"/>
    <n v="40.299999999999997"/>
    <n v="14709.5"/>
    <n v="52954.2"/>
  </r>
  <r>
    <x v="0"/>
    <x v="0"/>
    <x v="0"/>
    <x v="3"/>
    <x v="6"/>
    <s v="DE4-S_A"/>
    <x v="0"/>
    <x v="2"/>
    <s v="GNR_ST_BGAS_CND_E-38"/>
    <x v="0"/>
    <x v="17"/>
    <n v="40.299999999999997"/>
    <n v="14709.5"/>
    <n v="52954.2"/>
  </r>
  <r>
    <x v="0"/>
    <x v="0"/>
    <x v="0"/>
    <x v="3"/>
    <x v="6"/>
    <s v="DE4-S_A"/>
    <x v="0"/>
    <x v="2"/>
    <s v="GNR_ST_BGAS_CND_E-38"/>
    <x v="0"/>
    <x v="18"/>
    <n v="40.299999999999997"/>
    <n v="14709.5"/>
    <n v="52954.2"/>
  </r>
  <r>
    <x v="0"/>
    <x v="0"/>
    <x v="0"/>
    <x v="3"/>
    <x v="6"/>
    <s v="DE4-S_A"/>
    <x v="0"/>
    <x v="2"/>
    <s v="GNR_ST_BGAS_CND_E-38"/>
    <x v="0"/>
    <x v="19"/>
    <n v="40.299999999999997"/>
    <n v="14709.5"/>
    <n v="52954.2"/>
  </r>
  <r>
    <x v="0"/>
    <x v="0"/>
    <x v="0"/>
    <x v="3"/>
    <x v="6"/>
    <s v="DE4-S_A"/>
    <x v="0"/>
    <x v="2"/>
    <s v="GNR_ST_BGAS_CND_E-38"/>
    <x v="0"/>
    <x v="20"/>
    <n v="40.299999999999997"/>
    <n v="14709.5"/>
    <n v="52954.2"/>
  </r>
  <r>
    <x v="0"/>
    <x v="0"/>
    <x v="0"/>
    <x v="3"/>
    <x v="6"/>
    <s v="DE4-S_A"/>
    <x v="0"/>
    <x v="2"/>
    <s v="GNR_ST_BGAS_CND_E-38"/>
    <x v="0"/>
    <x v="21"/>
    <n v="40.299999999999997"/>
    <n v="14709.5"/>
    <n v="52954.2"/>
  </r>
  <r>
    <x v="0"/>
    <x v="0"/>
    <x v="0"/>
    <x v="3"/>
    <x v="6"/>
    <s v="DE4-S_A"/>
    <x v="0"/>
    <x v="2"/>
    <s v="GNR_ST_BGAS_CND_E-38"/>
    <x v="0"/>
    <x v="22"/>
    <n v="40.299999999999997"/>
    <n v="14709.5"/>
    <n v="52954.2"/>
  </r>
  <r>
    <x v="0"/>
    <x v="0"/>
    <x v="0"/>
    <x v="3"/>
    <x v="6"/>
    <s v="DE4-S_A"/>
    <x v="0"/>
    <x v="2"/>
    <s v="GNR_ST_BGAS_CND_E-38"/>
    <x v="0"/>
    <x v="23"/>
    <n v="40.299999999999997"/>
    <n v="14709.5"/>
    <n v="52954.2"/>
  </r>
  <r>
    <x v="0"/>
    <x v="0"/>
    <x v="0"/>
    <x v="3"/>
    <x v="6"/>
    <s v="DE4-S_A"/>
    <x v="12"/>
    <x v="8"/>
    <s v="AGG-DE4-S_RES_WTR_PMP"/>
    <x v="0"/>
    <x v="2"/>
    <n v="1355.50502363753"/>
    <n v="494759.333627699"/>
    <n v="1781133.6010597199"/>
  </r>
  <r>
    <x v="0"/>
    <x v="0"/>
    <x v="0"/>
    <x v="3"/>
    <x v="6"/>
    <s v="DE4-S_A"/>
    <x v="12"/>
    <x v="8"/>
    <s v="AGG-DE4-S_RES_WTR_PMP"/>
    <x v="0"/>
    <x v="8"/>
    <n v="302.22739726027299"/>
    <n v="110313"/>
    <n v="397126.799999999"/>
  </r>
  <r>
    <x v="0"/>
    <x v="0"/>
    <x v="0"/>
    <x v="3"/>
    <x v="6"/>
    <s v="DE4-S_A"/>
    <x v="12"/>
    <x v="8"/>
    <s v="AGG-DE4-S_RES_WTR_PMP"/>
    <x v="0"/>
    <x v="9"/>
    <n v="2163"/>
    <n v="789495"/>
    <n v="2842182"/>
  </r>
  <r>
    <x v="0"/>
    <x v="0"/>
    <x v="0"/>
    <x v="3"/>
    <x v="6"/>
    <s v="DE4-S_A"/>
    <x v="12"/>
    <x v="8"/>
    <s v="AGG-DE4-S_RES_WTR_PMP"/>
    <x v="0"/>
    <x v="11"/>
    <n v="1542.7317488185399"/>
    <n v="563097.08831876703"/>
    <n v="2027149.5179475599"/>
  </r>
  <r>
    <x v="0"/>
    <x v="0"/>
    <x v="0"/>
    <x v="3"/>
    <x v="6"/>
    <s v="DE4-S_A"/>
    <x v="12"/>
    <x v="8"/>
    <s v="AGG-DE4-S_RES_WTR_PMP"/>
    <x v="0"/>
    <x v="13"/>
    <n v="472.25694079500897"/>
    <n v="172373.783390178"/>
    <n v="620545.620204643"/>
  </r>
  <r>
    <x v="0"/>
    <x v="0"/>
    <x v="0"/>
    <x v="3"/>
    <x v="6"/>
    <s v="DE4-S_A"/>
    <x v="12"/>
    <x v="8"/>
    <s v="AGG-DE4-S_RES_WTR_PMP"/>
    <x v="0"/>
    <x v="18"/>
    <n v="2163"/>
    <n v="789495"/>
    <n v="2842182"/>
  </r>
  <r>
    <x v="0"/>
    <x v="0"/>
    <x v="0"/>
    <x v="3"/>
    <x v="6"/>
    <s v="DE4-S_A"/>
    <x v="12"/>
    <x v="8"/>
    <s v="AGG-DE4-S_RES_WTR_PMP"/>
    <x v="0"/>
    <x v="21"/>
    <n v="2163"/>
    <n v="789495"/>
    <n v="2842182"/>
  </r>
  <r>
    <x v="0"/>
    <x v="0"/>
    <x v="0"/>
    <x v="3"/>
    <x v="6"/>
    <s v="DE4-S_A"/>
    <x v="12"/>
    <x v="8"/>
    <s v="AGG-DE4-S_RES_WTR_PMP"/>
    <x v="0"/>
    <x v="22"/>
    <n v="302.22739726027402"/>
    <n v="110313"/>
    <n v="397126.799999999"/>
  </r>
  <r>
    <x v="0"/>
    <x v="0"/>
    <x v="0"/>
    <x v="3"/>
    <x v="6"/>
    <s v="DE4-S_A"/>
    <x v="1"/>
    <x v="0"/>
    <s v="GNR_ST_MSW_BP_E-33"/>
    <x v="0"/>
    <x v="0"/>
    <n v="399.9"/>
    <n v="145963.5"/>
    <n v="525468.6"/>
  </r>
  <r>
    <x v="0"/>
    <x v="0"/>
    <x v="0"/>
    <x v="3"/>
    <x v="6"/>
    <s v="DE4-S_A"/>
    <x v="1"/>
    <x v="0"/>
    <s v="GNR_ST_MSW_BP_E-33"/>
    <x v="0"/>
    <x v="1"/>
    <n v="399.9"/>
    <n v="145963.5"/>
    <n v="525468.6"/>
  </r>
  <r>
    <x v="0"/>
    <x v="0"/>
    <x v="0"/>
    <x v="3"/>
    <x v="6"/>
    <s v="DE4-S_A"/>
    <x v="1"/>
    <x v="0"/>
    <s v="GNR_ST_MSW_BP_E-33"/>
    <x v="0"/>
    <x v="2"/>
    <n v="399.9"/>
    <n v="145963.5"/>
    <n v="525468.6"/>
  </r>
  <r>
    <x v="0"/>
    <x v="0"/>
    <x v="0"/>
    <x v="3"/>
    <x v="6"/>
    <s v="DE4-S_A"/>
    <x v="1"/>
    <x v="0"/>
    <s v="GNR_ST_MSW_BP_E-33"/>
    <x v="0"/>
    <x v="3"/>
    <n v="399.9"/>
    <n v="145963.5"/>
    <n v="525468.6"/>
  </r>
  <r>
    <x v="0"/>
    <x v="0"/>
    <x v="0"/>
    <x v="3"/>
    <x v="6"/>
    <s v="DE4-S_A"/>
    <x v="1"/>
    <x v="0"/>
    <s v="GNR_ST_MSW_BP_E-33"/>
    <x v="0"/>
    <x v="4"/>
    <n v="399.9"/>
    <n v="145963.5"/>
    <n v="525468.6"/>
  </r>
  <r>
    <x v="0"/>
    <x v="0"/>
    <x v="0"/>
    <x v="3"/>
    <x v="6"/>
    <s v="DE4-S_A"/>
    <x v="1"/>
    <x v="0"/>
    <s v="GNR_ST_MSW_BP_E-33"/>
    <x v="0"/>
    <x v="5"/>
    <n v="399.9"/>
    <n v="145963.5"/>
    <n v="525468.6"/>
  </r>
  <r>
    <x v="0"/>
    <x v="0"/>
    <x v="0"/>
    <x v="3"/>
    <x v="6"/>
    <s v="DE4-S_A"/>
    <x v="1"/>
    <x v="0"/>
    <s v="GNR_ST_MSW_BP_E-33"/>
    <x v="0"/>
    <x v="6"/>
    <n v="399.9"/>
    <n v="145963.5"/>
    <n v="525468.6"/>
  </r>
  <r>
    <x v="0"/>
    <x v="0"/>
    <x v="0"/>
    <x v="3"/>
    <x v="6"/>
    <s v="DE4-S_A"/>
    <x v="1"/>
    <x v="0"/>
    <s v="GNR_ST_MSW_BP_E-33"/>
    <x v="0"/>
    <x v="7"/>
    <n v="399.9"/>
    <n v="145963.5"/>
    <n v="525468.6"/>
  </r>
  <r>
    <x v="0"/>
    <x v="0"/>
    <x v="0"/>
    <x v="3"/>
    <x v="6"/>
    <s v="DE4-S_A"/>
    <x v="1"/>
    <x v="0"/>
    <s v="GNR_ST_MSW_BP_E-33"/>
    <x v="0"/>
    <x v="8"/>
    <n v="399.9"/>
    <n v="145963.5"/>
    <n v="525468.6"/>
  </r>
  <r>
    <x v="0"/>
    <x v="0"/>
    <x v="0"/>
    <x v="3"/>
    <x v="6"/>
    <s v="DE4-S_A"/>
    <x v="1"/>
    <x v="0"/>
    <s v="GNR_ST_MSW_BP_E-33"/>
    <x v="0"/>
    <x v="9"/>
    <n v="399.9"/>
    <n v="145963.5"/>
    <n v="525468.6"/>
  </r>
  <r>
    <x v="0"/>
    <x v="0"/>
    <x v="0"/>
    <x v="3"/>
    <x v="6"/>
    <s v="DE4-S_A"/>
    <x v="1"/>
    <x v="0"/>
    <s v="GNR_ST_MSW_BP_E-33"/>
    <x v="0"/>
    <x v="10"/>
    <n v="399.9"/>
    <n v="145963.5"/>
    <n v="525468.6"/>
  </r>
  <r>
    <x v="0"/>
    <x v="0"/>
    <x v="0"/>
    <x v="3"/>
    <x v="6"/>
    <s v="DE4-S_A"/>
    <x v="1"/>
    <x v="0"/>
    <s v="GNR_ST_MSW_BP_E-33"/>
    <x v="0"/>
    <x v="11"/>
    <n v="399.9"/>
    <n v="145963.5"/>
    <n v="525468.6"/>
  </r>
  <r>
    <x v="0"/>
    <x v="0"/>
    <x v="0"/>
    <x v="3"/>
    <x v="6"/>
    <s v="DE4-S_A"/>
    <x v="1"/>
    <x v="0"/>
    <s v="GNR_ST_MSW_BP_E-33"/>
    <x v="0"/>
    <x v="12"/>
    <n v="399.9"/>
    <n v="145963.5"/>
    <n v="525468.6"/>
  </r>
  <r>
    <x v="0"/>
    <x v="0"/>
    <x v="0"/>
    <x v="3"/>
    <x v="6"/>
    <s v="DE4-S_A"/>
    <x v="1"/>
    <x v="0"/>
    <s v="GNR_ST_MSW_BP_E-33"/>
    <x v="0"/>
    <x v="13"/>
    <n v="399.9"/>
    <n v="145963.5"/>
    <n v="525468.6"/>
  </r>
  <r>
    <x v="0"/>
    <x v="0"/>
    <x v="0"/>
    <x v="3"/>
    <x v="6"/>
    <s v="DE4-S_A"/>
    <x v="1"/>
    <x v="0"/>
    <s v="GNR_ST_MSW_BP_E-33"/>
    <x v="0"/>
    <x v="14"/>
    <n v="399.9"/>
    <n v="145963.5"/>
    <n v="525468.6"/>
  </r>
  <r>
    <x v="0"/>
    <x v="0"/>
    <x v="0"/>
    <x v="3"/>
    <x v="6"/>
    <s v="DE4-S_A"/>
    <x v="1"/>
    <x v="0"/>
    <s v="GNR_ST_MSW_BP_E-33"/>
    <x v="0"/>
    <x v="15"/>
    <n v="399.9"/>
    <n v="145963.5"/>
    <n v="525468.6"/>
  </r>
  <r>
    <x v="0"/>
    <x v="0"/>
    <x v="0"/>
    <x v="3"/>
    <x v="6"/>
    <s v="DE4-S_A"/>
    <x v="1"/>
    <x v="0"/>
    <s v="GNR_ST_MSW_BP_E-33"/>
    <x v="0"/>
    <x v="16"/>
    <n v="399.9"/>
    <n v="145963.5"/>
    <n v="525468.6"/>
  </r>
  <r>
    <x v="0"/>
    <x v="0"/>
    <x v="0"/>
    <x v="3"/>
    <x v="6"/>
    <s v="DE4-S_A"/>
    <x v="1"/>
    <x v="0"/>
    <s v="GNR_ST_MSW_BP_E-33"/>
    <x v="0"/>
    <x v="17"/>
    <n v="399.9"/>
    <n v="145963.5"/>
    <n v="525468.6"/>
  </r>
  <r>
    <x v="0"/>
    <x v="0"/>
    <x v="0"/>
    <x v="3"/>
    <x v="6"/>
    <s v="DE4-S_A"/>
    <x v="1"/>
    <x v="0"/>
    <s v="GNR_ST_MSW_BP_E-33"/>
    <x v="0"/>
    <x v="18"/>
    <n v="399.9"/>
    <n v="145963.5"/>
    <n v="525468.6"/>
  </r>
  <r>
    <x v="0"/>
    <x v="0"/>
    <x v="0"/>
    <x v="3"/>
    <x v="6"/>
    <s v="DE4-S_A"/>
    <x v="1"/>
    <x v="0"/>
    <s v="GNR_ST_MSW_BP_E-33"/>
    <x v="0"/>
    <x v="19"/>
    <n v="399.9"/>
    <n v="145963.5"/>
    <n v="525468.6"/>
  </r>
  <r>
    <x v="0"/>
    <x v="0"/>
    <x v="0"/>
    <x v="3"/>
    <x v="6"/>
    <s v="DE4-S_A"/>
    <x v="1"/>
    <x v="0"/>
    <s v="GNR_ST_MSW_BP_E-33"/>
    <x v="0"/>
    <x v="20"/>
    <n v="399.9"/>
    <n v="145963.5"/>
    <n v="525468.6"/>
  </r>
  <r>
    <x v="0"/>
    <x v="0"/>
    <x v="0"/>
    <x v="3"/>
    <x v="6"/>
    <s v="DE4-S_A"/>
    <x v="1"/>
    <x v="0"/>
    <s v="GNR_ST_MSW_BP_E-33"/>
    <x v="0"/>
    <x v="21"/>
    <n v="399.9"/>
    <n v="145963.5"/>
    <n v="525468.6"/>
  </r>
  <r>
    <x v="0"/>
    <x v="0"/>
    <x v="0"/>
    <x v="3"/>
    <x v="6"/>
    <s v="DE4-S_A"/>
    <x v="1"/>
    <x v="0"/>
    <s v="GNR_ST_MSW_BP_E-33"/>
    <x v="0"/>
    <x v="22"/>
    <n v="399.9"/>
    <n v="145963.5"/>
    <n v="525468.6"/>
  </r>
  <r>
    <x v="0"/>
    <x v="0"/>
    <x v="0"/>
    <x v="3"/>
    <x v="6"/>
    <s v="DE4-S_A"/>
    <x v="1"/>
    <x v="0"/>
    <s v="GNR_ST_MSW_BP_E-33"/>
    <x v="0"/>
    <x v="23"/>
    <n v="399.9"/>
    <n v="145963.5"/>
    <n v="525468.6"/>
  </r>
  <r>
    <x v="0"/>
    <x v="0"/>
    <x v="0"/>
    <x v="3"/>
    <x v="6"/>
    <s v="DE4-S_A"/>
    <x v="1"/>
    <x v="2"/>
    <s v="GNR_ST_MSW_CND_E-33"/>
    <x v="0"/>
    <x v="0"/>
    <n v="40"/>
    <n v="14600"/>
    <n v="52560"/>
  </r>
  <r>
    <x v="0"/>
    <x v="0"/>
    <x v="0"/>
    <x v="3"/>
    <x v="6"/>
    <s v="DE4-S_A"/>
    <x v="1"/>
    <x v="2"/>
    <s v="GNR_ST_MSW_CND_E-33"/>
    <x v="0"/>
    <x v="1"/>
    <n v="40"/>
    <n v="14600"/>
    <n v="52560"/>
  </r>
  <r>
    <x v="0"/>
    <x v="0"/>
    <x v="0"/>
    <x v="3"/>
    <x v="6"/>
    <s v="DE4-S_A"/>
    <x v="1"/>
    <x v="2"/>
    <s v="GNR_ST_MSW_CND_E-33"/>
    <x v="0"/>
    <x v="2"/>
    <n v="40"/>
    <n v="14600"/>
    <n v="52560"/>
  </r>
  <r>
    <x v="0"/>
    <x v="0"/>
    <x v="0"/>
    <x v="3"/>
    <x v="6"/>
    <s v="DE4-S_A"/>
    <x v="1"/>
    <x v="2"/>
    <s v="GNR_ST_MSW_CND_E-33"/>
    <x v="0"/>
    <x v="3"/>
    <n v="40"/>
    <n v="14600"/>
    <n v="52560"/>
  </r>
  <r>
    <x v="0"/>
    <x v="0"/>
    <x v="0"/>
    <x v="3"/>
    <x v="6"/>
    <s v="DE4-S_A"/>
    <x v="1"/>
    <x v="2"/>
    <s v="GNR_ST_MSW_CND_E-33"/>
    <x v="0"/>
    <x v="4"/>
    <n v="40"/>
    <n v="14600"/>
    <n v="52560"/>
  </r>
  <r>
    <x v="0"/>
    <x v="0"/>
    <x v="0"/>
    <x v="3"/>
    <x v="6"/>
    <s v="DE4-S_A"/>
    <x v="1"/>
    <x v="2"/>
    <s v="GNR_ST_MSW_CND_E-33"/>
    <x v="0"/>
    <x v="5"/>
    <n v="40"/>
    <n v="14600"/>
    <n v="52560"/>
  </r>
  <r>
    <x v="0"/>
    <x v="0"/>
    <x v="0"/>
    <x v="3"/>
    <x v="6"/>
    <s v="DE4-S_A"/>
    <x v="1"/>
    <x v="2"/>
    <s v="GNR_ST_MSW_CND_E-33"/>
    <x v="0"/>
    <x v="6"/>
    <n v="40"/>
    <n v="14600"/>
    <n v="52560"/>
  </r>
  <r>
    <x v="0"/>
    <x v="0"/>
    <x v="0"/>
    <x v="3"/>
    <x v="6"/>
    <s v="DE4-S_A"/>
    <x v="1"/>
    <x v="2"/>
    <s v="GNR_ST_MSW_CND_E-33"/>
    <x v="0"/>
    <x v="7"/>
    <n v="40"/>
    <n v="14600"/>
    <n v="52560"/>
  </r>
  <r>
    <x v="0"/>
    <x v="0"/>
    <x v="0"/>
    <x v="3"/>
    <x v="6"/>
    <s v="DE4-S_A"/>
    <x v="1"/>
    <x v="2"/>
    <s v="GNR_ST_MSW_CND_E-33"/>
    <x v="0"/>
    <x v="8"/>
    <n v="40"/>
    <n v="14600"/>
    <n v="52560"/>
  </r>
  <r>
    <x v="0"/>
    <x v="0"/>
    <x v="0"/>
    <x v="3"/>
    <x v="6"/>
    <s v="DE4-S_A"/>
    <x v="1"/>
    <x v="2"/>
    <s v="GNR_ST_MSW_CND_E-33"/>
    <x v="0"/>
    <x v="9"/>
    <n v="40"/>
    <n v="14600"/>
    <n v="52560"/>
  </r>
  <r>
    <x v="0"/>
    <x v="0"/>
    <x v="0"/>
    <x v="3"/>
    <x v="6"/>
    <s v="DE4-S_A"/>
    <x v="1"/>
    <x v="2"/>
    <s v="GNR_ST_MSW_CND_E-33"/>
    <x v="0"/>
    <x v="10"/>
    <n v="40"/>
    <n v="14600"/>
    <n v="52560"/>
  </r>
  <r>
    <x v="0"/>
    <x v="0"/>
    <x v="0"/>
    <x v="3"/>
    <x v="6"/>
    <s v="DE4-S_A"/>
    <x v="1"/>
    <x v="2"/>
    <s v="GNR_ST_MSW_CND_E-33"/>
    <x v="0"/>
    <x v="11"/>
    <n v="40"/>
    <n v="14600"/>
    <n v="52560"/>
  </r>
  <r>
    <x v="0"/>
    <x v="0"/>
    <x v="0"/>
    <x v="3"/>
    <x v="6"/>
    <s v="DE4-S_A"/>
    <x v="1"/>
    <x v="2"/>
    <s v="GNR_ST_MSW_CND_E-33"/>
    <x v="0"/>
    <x v="12"/>
    <n v="40"/>
    <n v="14600"/>
    <n v="52560"/>
  </r>
  <r>
    <x v="0"/>
    <x v="0"/>
    <x v="0"/>
    <x v="3"/>
    <x v="6"/>
    <s v="DE4-S_A"/>
    <x v="1"/>
    <x v="2"/>
    <s v="GNR_ST_MSW_CND_E-33"/>
    <x v="0"/>
    <x v="13"/>
    <n v="40"/>
    <n v="14600"/>
    <n v="52560"/>
  </r>
  <r>
    <x v="0"/>
    <x v="0"/>
    <x v="0"/>
    <x v="3"/>
    <x v="6"/>
    <s v="DE4-S_A"/>
    <x v="1"/>
    <x v="2"/>
    <s v="GNR_ST_MSW_CND_E-33"/>
    <x v="0"/>
    <x v="14"/>
    <n v="40"/>
    <n v="14600"/>
    <n v="52560"/>
  </r>
  <r>
    <x v="0"/>
    <x v="0"/>
    <x v="0"/>
    <x v="3"/>
    <x v="6"/>
    <s v="DE4-S_A"/>
    <x v="1"/>
    <x v="2"/>
    <s v="GNR_ST_MSW_CND_E-33"/>
    <x v="0"/>
    <x v="15"/>
    <n v="40"/>
    <n v="14600"/>
    <n v="52560"/>
  </r>
  <r>
    <x v="0"/>
    <x v="0"/>
    <x v="0"/>
    <x v="3"/>
    <x v="6"/>
    <s v="DE4-S_A"/>
    <x v="1"/>
    <x v="2"/>
    <s v="GNR_ST_MSW_CND_E-33"/>
    <x v="0"/>
    <x v="16"/>
    <n v="40"/>
    <n v="14600"/>
    <n v="52560"/>
  </r>
  <r>
    <x v="0"/>
    <x v="0"/>
    <x v="0"/>
    <x v="3"/>
    <x v="6"/>
    <s v="DE4-S_A"/>
    <x v="1"/>
    <x v="2"/>
    <s v="GNR_ST_MSW_CND_E-33"/>
    <x v="0"/>
    <x v="17"/>
    <n v="40"/>
    <n v="14600"/>
    <n v="52560"/>
  </r>
  <r>
    <x v="0"/>
    <x v="0"/>
    <x v="0"/>
    <x v="3"/>
    <x v="6"/>
    <s v="DE4-S_A"/>
    <x v="1"/>
    <x v="2"/>
    <s v="GNR_ST_MSW_CND_E-33"/>
    <x v="0"/>
    <x v="18"/>
    <n v="40"/>
    <n v="14600"/>
    <n v="52560"/>
  </r>
  <r>
    <x v="0"/>
    <x v="0"/>
    <x v="0"/>
    <x v="3"/>
    <x v="6"/>
    <s v="DE4-S_A"/>
    <x v="1"/>
    <x v="2"/>
    <s v="GNR_ST_MSW_CND_E-33"/>
    <x v="0"/>
    <x v="19"/>
    <n v="40"/>
    <n v="14600"/>
    <n v="52560"/>
  </r>
  <r>
    <x v="0"/>
    <x v="0"/>
    <x v="0"/>
    <x v="3"/>
    <x v="6"/>
    <s v="DE4-S_A"/>
    <x v="1"/>
    <x v="2"/>
    <s v="GNR_ST_MSW_CND_E-33"/>
    <x v="0"/>
    <x v="20"/>
    <n v="40"/>
    <n v="14600"/>
    <n v="52560"/>
  </r>
  <r>
    <x v="0"/>
    <x v="0"/>
    <x v="0"/>
    <x v="3"/>
    <x v="6"/>
    <s v="DE4-S_A"/>
    <x v="1"/>
    <x v="2"/>
    <s v="GNR_ST_MSW_CND_E-33"/>
    <x v="0"/>
    <x v="21"/>
    <n v="40"/>
    <n v="14600"/>
    <n v="52560"/>
  </r>
  <r>
    <x v="0"/>
    <x v="0"/>
    <x v="0"/>
    <x v="3"/>
    <x v="6"/>
    <s v="DE4-S_A"/>
    <x v="1"/>
    <x v="2"/>
    <s v="GNR_ST_MSW_CND_E-33"/>
    <x v="0"/>
    <x v="22"/>
    <n v="40"/>
    <n v="14600"/>
    <n v="52560"/>
  </r>
  <r>
    <x v="0"/>
    <x v="0"/>
    <x v="0"/>
    <x v="3"/>
    <x v="6"/>
    <s v="DE4-S_A"/>
    <x v="1"/>
    <x v="2"/>
    <s v="GNR_ST_MSW_CND_E-33"/>
    <x v="0"/>
    <x v="23"/>
    <n v="40"/>
    <n v="14600"/>
    <n v="52560"/>
  </r>
  <r>
    <x v="0"/>
    <x v="0"/>
    <x v="0"/>
    <x v="3"/>
    <x v="6"/>
    <s v="DE4-S_A"/>
    <x v="13"/>
    <x v="2"/>
    <s v="GNR_ST_NUCL_CND_E-33"/>
    <x v="0"/>
    <x v="0"/>
    <n v="6694"/>
    <n v="2443310"/>
    <n v="8795916"/>
  </r>
  <r>
    <x v="0"/>
    <x v="0"/>
    <x v="0"/>
    <x v="3"/>
    <x v="6"/>
    <s v="DE4-S_A"/>
    <x v="13"/>
    <x v="2"/>
    <s v="GNR_ST_NUCL_CND_E-33"/>
    <x v="0"/>
    <x v="1"/>
    <n v="6694"/>
    <n v="2443310"/>
    <n v="8795916"/>
  </r>
  <r>
    <x v="0"/>
    <x v="0"/>
    <x v="0"/>
    <x v="3"/>
    <x v="6"/>
    <s v="DE4-S_A"/>
    <x v="13"/>
    <x v="2"/>
    <s v="GNR_ST_NUCL_CND_E-33"/>
    <x v="0"/>
    <x v="2"/>
    <n v="6694"/>
    <n v="2443310"/>
    <n v="8795916"/>
  </r>
  <r>
    <x v="0"/>
    <x v="0"/>
    <x v="0"/>
    <x v="3"/>
    <x v="6"/>
    <s v="DE4-S_A"/>
    <x v="13"/>
    <x v="2"/>
    <s v="GNR_ST_NUCL_CND_E-33"/>
    <x v="0"/>
    <x v="3"/>
    <n v="6694"/>
    <n v="2443310"/>
    <n v="8795916"/>
  </r>
  <r>
    <x v="0"/>
    <x v="0"/>
    <x v="0"/>
    <x v="3"/>
    <x v="6"/>
    <s v="DE4-S_A"/>
    <x v="13"/>
    <x v="2"/>
    <s v="GNR_ST_NUCL_CND_E-33"/>
    <x v="0"/>
    <x v="4"/>
    <n v="6694"/>
    <n v="2443310"/>
    <n v="8795916"/>
  </r>
  <r>
    <x v="0"/>
    <x v="0"/>
    <x v="0"/>
    <x v="3"/>
    <x v="6"/>
    <s v="DE4-S_A"/>
    <x v="13"/>
    <x v="2"/>
    <s v="GNR_ST_NUCL_CND_E-33"/>
    <x v="0"/>
    <x v="5"/>
    <n v="6694"/>
    <n v="2443310"/>
    <n v="8795916"/>
  </r>
  <r>
    <x v="0"/>
    <x v="0"/>
    <x v="0"/>
    <x v="3"/>
    <x v="6"/>
    <s v="DE4-S_A"/>
    <x v="13"/>
    <x v="2"/>
    <s v="GNR_ST_NUCL_CND_E-33"/>
    <x v="0"/>
    <x v="6"/>
    <n v="6694"/>
    <n v="2443310"/>
    <n v="8795916"/>
  </r>
  <r>
    <x v="0"/>
    <x v="0"/>
    <x v="0"/>
    <x v="3"/>
    <x v="6"/>
    <s v="DE4-S_A"/>
    <x v="13"/>
    <x v="2"/>
    <s v="GNR_ST_NUCL_CND_E-33"/>
    <x v="0"/>
    <x v="7"/>
    <n v="6694"/>
    <n v="2443310"/>
    <n v="8795916"/>
  </r>
  <r>
    <x v="0"/>
    <x v="0"/>
    <x v="0"/>
    <x v="3"/>
    <x v="6"/>
    <s v="DE4-S_A"/>
    <x v="13"/>
    <x v="2"/>
    <s v="GNR_ST_NUCL_CND_E-33"/>
    <x v="0"/>
    <x v="8"/>
    <n v="6694"/>
    <n v="2443310"/>
    <n v="8795916"/>
  </r>
  <r>
    <x v="0"/>
    <x v="0"/>
    <x v="0"/>
    <x v="3"/>
    <x v="6"/>
    <s v="DE4-S_A"/>
    <x v="13"/>
    <x v="2"/>
    <s v="GNR_ST_NUCL_CND_E-33"/>
    <x v="0"/>
    <x v="9"/>
    <n v="6694"/>
    <n v="2443310"/>
    <n v="8795916"/>
  </r>
  <r>
    <x v="0"/>
    <x v="0"/>
    <x v="0"/>
    <x v="3"/>
    <x v="6"/>
    <s v="DE4-S_A"/>
    <x v="13"/>
    <x v="2"/>
    <s v="GNR_ST_NUCL_CND_E-33"/>
    <x v="0"/>
    <x v="10"/>
    <n v="6694"/>
    <n v="2443310"/>
    <n v="8795916"/>
  </r>
  <r>
    <x v="0"/>
    <x v="0"/>
    <x v="0"/>
    <x v="3"/>
    <x v="6"/>
    <s v="DE4-S_A"/>
    <x v="13"/>
    <x v="2"/>
    <s v="GNR_ST_NUCL_CND_E-33"/>
    <x v="0"/>
    <x v="11"/>
    <n v="6694"/>
    <n v="2443310"/>
    <n v="8795916"/>
  </r>
  <r>
    <x v="0"/>
    <x v="0"/>
    <x v="0"/>
    <x v="3"/>
    <x v="6"/>
    <s v="DE4-S_A"/>
    <x v="13"/>
    <x v="2"/>
    <s v="GNR_ST_NUCL_CND_E-33"/>
    <x v="0"/>
    <x v="12"/>
    <n v="6694"/>
    <n v="2443310"/>
    <n v="8795916"/>
  </r>
  <r>
    <x v="0"/>
    <x v="0"/>
    <x v="0"/>
    <x v="3"/>
    <x v="6"/>
    <s v="DE4-S_A"/>
    <x v="13"/>
    <x v="2"/>
    <s v="GNR_ST_NUCL_CND_E-33"/>
    <x v="0"/>
    <x v="13"/>
    <n v="6694"/>
    <n v="2443310"/>
    <n v="8795916"/>
  </r>
  <r>
    <x v="0"/>
    <x v="0"/>
    <x v="0"/>
    <x v="3"/>
    <x v="6"/>
    <s v="DE4-S_A"/>
    <x v="13"/>
    <x v="2"/>
    <s v="GNR_ST_NUCL_CND_E-33"/>
    <x v="0"/>
    <x v="14"/>
    <n v="6694"/>
    <n v="2443310"/>
    <n v="8795916"/>
  </r>
  <r>
    <x v="0"/>
    <x v="0"/>
    <x v="0"/>
    <x v="3"/>
    <x v="6"/>
    <s v="DE4-S_A"/>
    <x v="13"/>
    <x v="2"/>
    <s v="GNR_ST_NUCL_CND_E-33"/>
    <x v="0"/>
    <x v="15"/>
    <n v="6694"/>
    <n v="2443310"/>
    <n v="8795916"/>
  </r>
  <r>
    <x v="0"/>
    <x v="0"/>
    <x v="0"/>
    <x v="3"/>
    <x v="6"/>
    <s v="DE4-S_A"/>
    <x v="13"/>
    <x v="2"/>
    <s v="GNR_ST_NUCL_CND_E-33"/>
    <x v="0"/>
    <x v="16"/>
    <n v="6694"/>
    <n v="2443310"/>
    <n v="8795916"/>
  </r>
  <r>
    <x v="0"/>
    <x v="0"/>
    <x v="0"/>
    <x v="3"/>
    <x v="6"/>
    <s v="DE4-S_A"/>
    <x v="13"/>
    <x v="2"/>
    <s v="GNR_ST_NUCL_CND_E-33"/>
    <x v="0"/>
    <x v="17"/>
    <n v="6694"/>
    <n v="2443310"/>
    <n v="8795916"/>
  </r>
  <r>
    <x v="0"/>
    <x v="0"/>
    <x v="0"/>
    <x v="3"/>
    <x v="6"/>
    <s v="DE4-S_A"/>
    <x v="13"/>
    <x v="2"/>
    <s v="GNR_ST_NUCL_CND_E-33"/>
    <x v="0"/>
    <x v="18"/>
    <n v="6694"/>
    <n v="2443310"/>
    <n v="8795916"/>
  </r>
  <r>
    <x v="0"/>
    <x v="0"/>
    <x v="0"/>
    <x v="3"/>
    <x v="6"/>
    <s v="DE4-S_A"/>
    <x v="13"/>
    <x v="2"/>
    <s v="GNR_ST_NUCL_CND_E-33"/>
    <x v="0"/>
    <x v="19"/>
    <n v="6694"/>
    <n v="2443310"/>
    <n v="8795916"/>
  </r>
  <r>
    <x v="0"/>
    <x v="0"/>
    <x v="0"/>
    <x v="3"/>
    <x v="6"/>
    <s v="DE4-S_A"/>
    <x v="13"/>
    <x v="2"/>
    <s v="GNR_ST_NUCL_CND_E-33"/>
    <x v="0"/>
    <x v="20"/>
    <n v="6694"/>
    <n v="2443310"/>
    <n v="8795916"/>
  </r>
  <r>
    <x v="0"/>
    <x v="0"/>
    <x v="0"/>
    <x v="3"/>
    <x v="6"/>
    <s v="DE4-S_A"/>
    <x v="13"/>
    <x v="2"/>
    <s v="GNR_ST_NUCL_CND_E-33"/>
    <x v="0"/>
    <x v="21"/>
    <n v="6694"/>
    <n v="2443310"/>
    <n v="8795916"/>
  </r>
  <r>
    <x v="0"/>
    <x v="0"/>
    <x v="0"/>
    <x v="3"/>
    <x v="6"/>
    <s v="DE4-S_A"/>
    <x v="13"/>
    <x v="2"/>
    <s v="GNR_ST_NUCL_CND_E-33"/>
    <x v="0"/>
    <x v="22"/>
    <n v="6694"/>
    <n v="2443310"/>
    <n v="8795916"/>
  </r>
  <r>
    <x v="0"/>
    <x v="0"/>
    <x v="0"/>
    <x v="3"/>
    <x v="6"/>
    <s v="DE4-S_A"/>
    <x v="13"/>
    <x v="2"/>
    <s v="GNR_ST_NUCL_CND_E-33"/>
    <x v="0"/>
    <x v="23"/>
    <n v="6694"/>
    <n v="2443310"/>
    <n v="8795916"/>
  </r>
  <r>
    <x v="0"/>
    <x v="0"/>
    <x v="0"/>
    <x v="3"/>
    <x v="6"/>
    <s v="DE4-S_A"/>
    <x v="5"/>
    <x v="3"/>
    <s v="GNR_PV_SUN"/>
    <x v="0"/>
    <x v="8"/>
    <n v="439.20802308583097"/>
    <n v="160310.928426328"/>
    <n v="577119.34233478201"/>
  </r>
  <r>
    <x v="0"/>
    <x v="0"/>
    <x v="0"/>
    <x v="3"/>
    <x v="6"/>
    <s v="DE4-S_A"/>
    <x v="5"/>
    <x v="3"/>
    <s v="GNR_PV_SUN"/>
    <x v="0"/>
    <x v="9"/>
    <n v="3306.4480917435899"/>
    <n v="1206853.5534864101"/>
    <n v="4344672.7925510705"/>
  </r>
  <r>
    <x v="0"/>
    <x v="0"/>
    <x v="0"/>
    <x v="3"/>
    <x v="6"/>
    <s v="DE4-S_A"/>
    <x v="5"/>
    <x v="3"/>
    <s v="GNR_PV_SUN"/>
    <x v="0"/>
    <x v="10"/>
    <n v="7637.7149040207796"/>
    <n v="2787765.9399675801"/>
    <n v="10035957.383883299"/>
  </r>
  <r>
    <x v="0"/>
    <x v="0"/>
    <x v="0"/>
    <x v="3"/>
    <x v="6"/>
    <s v="DE4-S_A"/>
    <x v="5"/>
    <x v="3"/>
    <s v="GNR_PV_SUN"/>
    <x v="0"/>
    <x v="11"/>
    <n v="11631.1293908473"/>
    <n v="4245362.2276592804"/>
    <n v="15283304.0195734"/>
  </r>
  <r>
    <x v="0"/>
    <x v="0"/>
    <x v="0"/>
    <x v="3"/>
    <x v="6"/>
    <s v="DE4-S_A"/>
    <x v="5"/>
    <x v="3"/>
    <s v="GNR_PV_SUN"/>
    <x v="0"/>
    <x v="12"/>
    <n v="13223.540018137999"/>
    <n v="4826592.1066203704"/>
    <n v="17375731.5838333"/>
  </r>
  <r>
    <x v="0"/>
    <x v="0"/>
    <x v="0"/>
    <x v="3"/>
    <x v="6"/>
    <s v="DE4-S_A"/>
    <x v="5"/>
    <x v="3"/>
    <s v="GNR_PV_SUN"/>
    <x v="0"/>
    <x v="13"/>
    <n v="11498.240809503401"/>
    <n v="4196857.89546875"/>
    <n v="15108688.423687501"/>
  </r>
  <r>
    <x v="0"/>
    <x v="0"/>
    <x v="0"/>
    <x v="3"/>
    <x v="6"/>
    <s v="DE4-S_A"/>
    <x v="5"/>
    <x v="3"/>
    <s v="GNR_PV_SUN"/>
    <x v="0"/>
    <x v="14"/>
    <n v="7482.3028343134902"/>
    <n v="2731040.5345244198"/>
    <n v="9831745.9242879208"/>
  </r>
  <r>
    <x v="0"/>
    <x v="0"/>
    <x v="0"/>
    <x v="3"/>
    <x v="6"/>
    <s v="DE4-S_A"/>
    <x v="5"/>
    <x v="3"/>
    <s v="GNR_PV_SUN"/>
    <x v="0"/>
    <x v="15"/>
    <n v="3788.45074271983"/>
    <n v="1382784.5210927399"/>
    <n v="4978024.2759338599"/>
  </r>
  <r>
    <x v="0"/>
    <x v="0"/>
    <x v="0"/>
    <x v="3"/>
    <x v="6"/>
    <s v="DE4-S_A"/>
    <x v="5"/>
    <x v="3"/>
    <s v="GNR_PV_SUN"/>
    <x v="0"/>
    <x v="16"/>
    <n v="493.264395157933"/>
    <n v="180041.504232646"/>
    <n v="648149.41523752396"/>
  </r>
  <r>
    <x v="0"/>
    <x v="0"/>
    <x v="0"/>
    <x v="3"/>
    <x v="6"/>
    <s v="DE4-S_A"/>
    <x v="14"/>
    <x v="2"/>
    <s v="GNR_GEO_HEAT_EO"/>
    <x v="0"/>
    <x v="0"/>
    <n v="44.76"/>
    <n v="16337.4"/>
    <n v="58814.64"/>
  </r>
  <r>
    <x v="0"/>
    <x v="0"/>
    <x v="0"/>
    <x v="3"/>
    <x v="6"/>
    <s v="DE4-S_A"/>
    <x v="14"/>
    <x v="2"/>
    <s v="GNR_GEO_HEAT_EO"/>
    <x v="0"/>
    <x v="1"/>
    <n v="44.76"/>
    <n v="16337.4"/>
    <n v="58814.64"/>
  </r>
  <r>
    <x v="0"/>
    <x v="0"/>
    <x v="0"/>
    <x v="3"/>
    <x v="6"/>
    <s v="DE4-S_A"/>
    <x v="14"/>
    <x v="2"/>
    <s v="GNR_GEO_HEAT_EO"/>
    <x v="0"/>
    <x v="2"/>
    <n v="44.76"/>
    <n v="16337.4"/>
    <n v="58814.64"/>
  </r>
  <r>
    <x v="0"/>
    <x v="0"/>
    <x v="0"/>
    <x v="3"/>
    <x v="6"/>
    <s v="DE4-S_A"/>
    <x v="14"/>
    <x v="2"/>
    <s v="GNR_GEO_HEAT_EO"/>
    <x v="0"/>
    <x v="3"/>
    <n v="44.76"/>
    <n v="16337.4"/>
    <n v="58814.64"/>
  </r>
  <r>
    <x v="0"/>
    <x v="0"/>
    <x v="0"/>
    <x v="3"/>
    <x v="6"/>
    <s v="DE4-S_A"/>
    <x v="14"/>
    <x v="2"/>
    <s v="GNR_GEO_HEAT_EO"/>
    <x v="0"/>
    <x v="4"/>
    <n v="44.76"/>
    <n v="16337.4"/>
    <n v="58814.64"/>
  </r>
  <r>
    <x v="0"/>
    <x v="0"/>
    <x v="0"/>
    <x v="3"/>
    <x v="6"/>
    <s v="DE4-S_A"/>
    <x v="14"/>
    <x v="2"/>
    <s v="GNR_GEO_HEAT_EO"/>
    <x v="0"/>
    <x v="5"/>
    <n v="44.76"/>
    <n v="16337.4"/>
    <n v="58814.64"/>
  </r>
  <r>
    <x v="0"/>
    <x v="0"/>
    <x v="0"/>
    <x v="3"/>
    <x v="6"/>
    <s v="DE4-S_A"/>
    <x v="14"/>
    <x v="2"/>
    <s v="GNR_GEO_HEAT_EO"/>
    <x v="0"/>
    <x v="6"/>
    <n v="44.76"/>
    <n v="16337.4"/>
    <n v="58814.64"/>
  </r>
  <r>
    <x v="0"/>
    <x v="0"/>
    <x v="0"/>
    <x v="3"/>
    <x v="6"/>
    <s v="DE4-S_A"/>
    <x v="14"/>
    <x v="2"/>
    <s v="GNR_GEO_HEAT_EO"/>
    <x v="0"/>
    <x v="7"/>
    <n v="44.76"/>
    <n v="16337.4"/>
    <n v="58814.64"/>
  </r>
  <r>
    <x v="0"/>
    <x v="0"/>
    <x v="0"/>
    <x v="3"/>
    <x v="6"/>
    <s v="DE4-S_A"/>
    <x v="14"/>
    <x v="2"/>
    <s v="GNR_GEO_HEAT_EO"/>
    <x v="0"/>
    <x v="8"/>
    <n v="44.76"/>
    <n v="16337.4"/>
    <n v="58814.64"/>
  </r>
  <r>
    <x v="0"/>
    <x v="0"/>
    <x v="0"/>
    <x v="3"/>
    <x v="6"/>
    <s v="DE4-S_A"/>
    <x v="14"/>
    <x v="2"/>
    <s v="GNR_GEO_HEAT_EO"/>
    <x v="0"/>
    <x v="9"/>
    <n v="44.76"/>
    <n v="16337.4"/>
    <n v="58814.64"/>
  </r>
  <r>
    <x v="0"/>
    <x v="0"/>
    <x v="0"/>
    <x v="3"/>
    <x v="6"/>
    <s v="DE4-S_A"/>
    <x v="14"/>
    <x v="2"/>
    <s v="GNR_GEO_HEAT_EO"/>
    <x v="0"/>
    <x v="10"/>
    <n v="44.76"/>
    <n v="16337.4"/>
    <n v="58814.64"/>
  </r>
  <r>
    <x v="0"/>
    <x v="0"/>
    <x v="0"/>
    <x v="3"/>
    <x v="6"/>
    <s v="DE4-S_A"/>
    <x v="14"/>
    <x v="2"/>
    <s v="GNR_GEO_HEAT_EO"/>
    <x v="0"/>
    <x v="11"/>
    <n v="44.76"/>
    <n v="16337.4"/>
    <n v="58814.64"/>
  </r>
  <r>
    <x v="0"/>
    <x v="0"/>
    <x v="0"/>
    <x v="3"/>
    <x v="6"/>
    <s v="DE4-S_A"/>
    <x v="14"/>
    <x v="2"/>
    <s v="GNR_GEO_HEAT_EO"/>
    <x v="0"/>
    <x v="12"/>
    <n v="44.76"/>
    <n v="16337.4"/>
    <n v="58814.64"/>
  </r>
  <r>
    <x v="0"/>
    <x v="0"/>
    <x v="0"/>
    <x v="3"/>
    <x v="6"/>
    <s v="DE4-S_A"/>
    <x v="14"/>
    <x v="2"/>
    <s v="GNR_GEO_HEAT_EO"/>
    <x v="0"/>
    <x v="13"/>
    <n v="44.76"/>
    <n v="16337.4"/>
    <n v="58814.64"/>
  </r>
  <r>
    <x v="0"/>
    <x v="0"/>
    <x v="0"/>
    <x v="3"/>
    <x v="6"/>
    <s v="DE4-S_A"/>
    <x v="14"/>
    <x v="2"/>
    <s v="GNR_GEO_HEAT_EO"/>
    <x v="0"/>
    <x v="14"/>
    <n v="44.76"/>
    <n v="16337.4"/>
    <n v="58814.64"/>
  </r>
  <r>
    <x v="0"/>
    <x v="0"/>
    <x v="0"/>
    <x v="3"/>
    <x v="6"/>
    <s v="DE4-S_A"/>
    <x v="14"/>
    <x v="2"/>
    <s v="GNR_GEO_HEAT_EO"/>
    <x v="0"/>
    <x v="15"/>
    <n v="44.76"/>
    <n v="16337.4"/>
    <n v="58814.64"/>
  </r>
  <r>
    <x v="0"/>
    <x v="0"/>
    <x v="0"/>
    <x v="3"/>
    <x v="6"/>
    <s v="DE4-S_A"/>
    <x v="14"/>
    <x v="2"/>
    <s v="GNR_GEO_HEAT_EO"/>
    <x v="0"/>
    <x v="16"/>
    <n v="44.76"/>
    <n v="16337.4"/>
    <n v="58814.64"/>
  </r>
  <r>
    <x v="0"/>
    <x v="0"/>
    <x v="0"/>
    <x v="3"/>
    <x v="6"/>
    <s v="DE4-S_A"/>
    <x v="14"/>
    <x v="2"/>
    <s v="GNR_GEO_HEAT_EO"/>
    <x v="0"/>
    <x v="17"/>
    <n v="44.76"/>
    <n v="16337.4"/>
    <n v="58814.64"/>
  </r>
  <r>
    <x v="0"/>
    <x v="0"/>
    <x v="0"/>
    <x v="3"/>
    <x v="6"/>
    <s v="DE4-S_A"/>
    <x v="14"/>
    <x v="2"/>
    <s v="GNR_GEO_HEAT_EO"/>
    <x v="0"/>
    <x v="18"/>
    <n v="44.76"/>
    <n v="16337.4"/>
    <n v="58814.64"/>
  </r>
  <r>
    <x v="0"/>
    <x v="0"/>
    <x v="0"/>
    <x v="3"/>
    <x v="6"/>
    <s v="DE4-S_A"/>
    <x v="14"/>
    <x v="2"/>
    <s v="GNR_GEO_HEAT_EO"/>
    <x v="0"/>
    <x v="19"/>
    <n v="44.76"/>
    <n v="16337.4"/>
    <n v="58814.64"/>
  </r>
  <r>
    <x v="0"/>
    <x v="0"/>
    <x v="0"/>
    <x v="3"/>
    <x v="6"/>
    <s v="DE4-S_A"/>
    <x v="14"/>
    <x v="2"/>
    <s v="GNR_GEO_HEAT_EO"/>
    <x v="0"/>
    <x v="20"/>
    <n v="44.76"/>
    <n v="16337.4"/>
    <n v="58814.64"/>
  </r>
  <r>
    <x v="0"/>
    <x v="0"/>
    <x v="0"/>
    <x v="3"/>
    <x v="6"/>
    <s v="DE4-S_A"/>
    <x v="14"/>
    <x v="2"/>
    <s v="GNR_GEO_HEAT_EO"/>
    <x v="0"/>
    <x v="21"/>
    <n v="44.76"/>
    <n v="16337.4"/>
    <n v="58814.64"/>
  </r>
  <r>
    <x v="0"/>
    <x v="0"/>
    <x v="0"/>
    <x v="3"/>
    <x v="6"/>
    <s v="DE4-S_A"/>
    <x v="14"/>
    <x v="2"/>
    <s v="GNR_GEO_HEAT_EO"/>
    <x v="0"/>
    <x v="22"/>
    <n v="44.76"/>
    <n v="16337.4"/>
    <n v="58814.64"/>
  </r>
  <r>
    <x v="0"/>
    <x v="0"/>
    <x v="0"/>
    <x v="3"/>
    <x v="6"/>
    <s v="DE4-S_A"/>
    <x v="14"/>
    <x v="2"/>
    <s v="GNR_GEO_HEAT_EO"/>
    <x v="0"/>
    <x v="23"/>
    <n v="44.76"/>
    <n v="16337.4"/>
    <n v="58814.64"/>
  </r>
  <r>
    <x v="0"/>
    <x v="0"/>
    <x v="0"/>
    <x v="3"/>
    <x v="6"/>
    <s v="DE4-S_A"/>
    <x v="6"/>
    <x v="7"/>
    <s v="GNR_RES_WTR_NOPMP"/>
    <x v="0"/>
    <x v="0"/>
    <n v="124"/>
    <n v="45260"/>
    <n v="162936"/>
  </r>
  <r>
    <x v="0"/>
    <x v="0"/>
    <x v="0"/>
    <x v="3"/>
    <x v="6"/>
    <s v="DE4-S_A"/>
    <x v="6"/>
    <x v="7"/>
    <s v="GNR_RES_WTR_NOPMP"/>
    <x v="0"/>
    <x v="1"/>
    <n v="124"/>
    <n v="45260"/>
    <n v="162936"/>
  </r>
  <r>
    <x v="0"/>
    <x v="0"/>
    <x v="0"/>
    <x v="3"/>
    <x v="6"/>
    <s v="DE4-S_A"/>
    <x v="6"/>
    <x v="7"/>
    <s v="GNR_RES_WTR_NOPMP"/>
    <x v="0"/>
    <x v="2"/>
    <n v="124"/>
    <n v="45260"/>
    <n v="162936"/>
  </r>
  <r>
    <x v="0"/>
    <x v="0"/>
    <x v="0"/>
    <x v="3"/>
    <x v="6"/>
    <s v="DE4-S_A"/>
    <x v="6"/>
    <x v="7"/>
    <s v="GNR_RES_WTR_NOPMP"/>
    <x v="0"/>
    <x v="4"/>
    <n v="124"/>
    <n v="45260"/>
    <n v="162936"/>
  </r>
  <r>
    <x v="0"/>
    <x v="0"/>
    <x v="0"/>
    <x v="3"/>
    <x v="6"/>
    <s v="DE4-S_A"/>
    <x v="6"/>
    <x v="7"/>
    <s v="GNR_RES_WTR_NOPMP"/>
    <x v="0"/>
    <x v="6"/>
    <n v="25.432108074022501"/>
    <n v="9282.7194470182294"/>
    <n v="33417.790009265598"/>
  </r>
  <r>
    <x v="0"/>
    <x v="0"/>
    <x v="0"/>
    <x v="3"/>
    <x v="6"/>
    <s v="DE4-S_A"/>
    <x v="6"/>
    <x v="7"/>
    <s v="GNR_RES_WTR_NOPMP"/>
    <x v="0"/>
    <x v="10"/>
    <n v="124"/>
    <n v="45260"/>
    <n v="162936"/>
  </r>
  <r>
    <x v="0"/>
    <x v="0"/>
    <x v="0"/>
    <x v="3"/>
    <x v="6"/>
    <s v="DE4-S_A"/>
    <x v="6"/>
    <x v="7"/>
    <s v="GNR_RES_WTR_NOPMP"/>
    <x v="0"/>
    <x v="12"/>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8"/>
    <n v="124"/>
    <n v="45260"/>
    <n v="162936"/>
  </r>
  <r>
    <x v="0"/>
    <x v="0"/>
    <x v="0"/>
    <x v="3"/>
    <x v="6"/>
    <s v="DE4-S_A"/>
    <x v="6"/>
    <x v="7"/>
    <s v="GNR_RES_WTR_NOPMP"/>
    <x v="0"/>
    <x v="20"/>
    <n v="124"/>
    <n v="45260"/>
    <n v="162936"/>
  </r>
  <r>
    <x v="0"/>
    <x v="0"/>
    <x v="0"/>
    <x v="3"/>
    <x v="6"/>
    <s v="DE4-S_A"/>
    <x v="6"/>
    <x v="7"/>
    <s v="GNR_RES_WTR_NOPMP"/>
    <x v="0"/>
    <x v="21"/>
    <n v="124"/>
    <n v="45260"/>
    <n v="162936"/>
  </r>
  <r>
    <x v="0"/>
    <x v="0"/>
    <x v="0"/>
    <x v="3"/>
    <x v="6"/>
    <s v="DE4-S_A"/>
    <x v="6"/>
    <x v="7"/>
    <s v="GNR_RES_WTR_NOPMP"/>
    <x v="0"/>
    <x v="22"/>
    <n v="124"/>
    <n v="45260"/>
    <n v="162936"/>
  </r>
  <r>
    <x v="0"/>
    <x v="0"/>
    <x v="0"/>
    <x v="3"/>
    <x v="6"/>
    <s v="DE4-S_A"/>
    <x v="6"/>
    <x v="7"/>
    <s v="GNR_RES_WTR_NOPMP"/>
    <x v="0"/>
    <x v="23"/>
    <n v="124"/>
    <n v="45260"/>
    <n v="162936"/>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2"/>
    <n v="4361.5442694063904"/>
    <n v="1591963.6583333299"/>
    <n v="5731069.1699999999"/>
  </r>
  <r>
    <x v="0"/>
    <x v="0"/>
    <x v="0"/>
    <x v="3"/>
    <x v="6"/>
    <s v="DE4-S_A"/>
    <x v="6"/>
    <x v="4"/>
    <s v="GNR_ROR_WTR"/>
    <x v="0"/>
    <x v="3"/>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8"/>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0"/>
    <n v="1017.02860886909"/>
    <n v="371215.44223721803"/>
    <n v="1336375.5920539801"/>
  </r>
  <r>
    <x v="0"/>
    <x v="0"/>
    <x v="0"/>
    <x v="3"/>
    <x v="6"/>
    <s v="DE4-S_A"/>
    <x v="7"/>
    <x v="5"/>
    <s v="GNR_WT_WIND_ONS"/>
    <x v="0"/>
    <x v="1"/>
    <n v="984.06840839532595"/>
    <n v="359184.96906429401"/>
    <n v="1293065.88863146"/>
  </r>
  <r>
    <x v="0"/>
    <x v="0"/>
    <x v="0"/>
    <x v="3"/>
    <x v="6"/>
    <s v="DE4-S_A"/>
    <x v="7"/>
    <x v="5"/>
    <s v="GNR_WT_WIND_ONS"/>
    <x v="0"/>
    <x v="2"/>
    <n v="955.98117390536299"/>
    <n v="348933.12847545801"/>
    <n v="1256159.2625116501"/>
  </r>
  <r>
    <x v="0"/>
    <x v="0"/>
    <x v="0"/>
    <x v="3"/>
    <x v="6"/>
    <s v="DE4-S_A"/>
    <x v="7"/>
    <x v="5"/>
    <s v="GNR_WT_WIND_ONS"/>
    <x v="0"/>
    <x v="3"/>
    <n v="907.79295473222203"/>
    <n v="331344.42847726098"/>
    <n v="1192839.94251814"/>
  </r>
  <r>
    <x v="0"/>
    <x v="0"/>
    <x v="0"/>
    <x v="3"/>
    <x v="6"/>
    <s v="DE4-S_A"/>
    <x v="7"/>
    <x v="5"/>
    <s v="GNR_WT_WIND_ONS"/>
    <x v="0"/>
    <x v="4"/>
    <n v="826.91525541775104"/>
    <n v="301824.068227479"/>
    <n v="1086566.64561892"/>
  </r>
  <r>
    <x v="0"/>
    <x v="0"/>
    <x v="0"/>
    <x v="3"/>
    <x v="6"/>
    <s v="DE4-S_A"/>
    <x v="7"/>
    <x v="5"/>
    <s v="GNR_WT_WIND_ONS"/>
    <x v="0"/>
    <x v="5"/>
    <n v="754.56524657493105"/>
    <n v="275416.31499985"/>
    <n v="991498.73399945896"/>
  </r>
  <r>
    <x v="0"/>
    <x v="0"/>
    <x v="0"/>
    <x v="3"/>
    <x v="6"/>
    <s v="DE4-S_A"/>
    <x v="7"/>
    <x v="5"/>
    <s v="GNR_WT_WIND_ONS"/>
    <x v="0"/>
    <x v="6"/>
    <n v="621.97996376568403"/>
    <n v="227022.68677447501"/>
    <n v="817281.67238810903"/>
  </r>
  <r>
    <x v="0"/>
    <x v="0"/>
    <x v="0"/>
    <x v="3"/>
    <x v="6"/>
    <s v="DE4-S_A"/>
    <x v="7"/>
    <x v="5"/>
    <s v="GNR_WT_WIND_ONS"/>
    <x v="0"/>
    <x v="7"/>
    <n v="601.47289858385602"/>
    <n v="219537.60798310701"/>
    <n v="790335.38873918704"/>
  </r>
  <r>
    <x v="0"/>
    <x v="0"/>
    <x v="0"/>
    <x v="3"/>
    <x v="6"/>
    <s v="DE4-S_A"/>
    <x v="7"/>
    <x v="5"/>
    <s v="GNR_WT_WIND_ONS"/>
    <x v="0"/>
    <x v="8"/>
    <n v="646.615514017122"/>
    <n v="236014.662616249"/>
    <n v="849652.78541849798"/>
  </r>
  <r>
    <x v="0"/>
    <x v="0"/>
    <x v="0"/>
    <x v="3"/>
    <x v="6"/>
    <s v="DE4-S_A"/>
    <x v="7"/>
    <x v="5"/>
    <s v="GNR_WT_WIND_ONS"/>
    <x v="0"/>
    <x v="9"/>
    <n v="697.44325643148795"/>
    <n v="254566.788597493"/>
    <n v="916440.43895097601"/>
  </r>
  <r>
    <x v="0"/>
    <x v="0"/>
    <x v="0"/>
    <x v="3"/>
    <x v="6"/>
    <s v="DE4-S_A"/>
    <x v="7"/>
    <x v="5"/>
    <s v="GNR_WT_WIND_ONS"/>
    <x v="0"/>
    <x v="10"/>
    <n v="804.71618815821398"/>
    <n v="293721.408677748"/>
    <n v="1057397.0712398901"/>
  </r>
  <r>
    <x v="0"/>
    <x v="0"/>
    <x v="0"/>
    <x v="3"/>
    <x v="6"/>
    <s v="DE4-S_A"/>
    <x v="7"/>
    <x v="5"/>
    <s v="GNR_WT_WIND_ONS"/>
    <x v="0"/>
    <x v="11"/>
    <n v="886.47372855309402"/>
    <n v="323562.910921879"/>
    <n v="1164826.4793187701"/>
  </r>
  <r>
    <x v="0"/>
    <x v="0"/>
    <x v="0"/>
    <x v="3"/>
    <x v="6"/>
    <s v="DE4-S_A"/>
    <x v="7"/>
    <x v="5"/>
    <s v="GNR_WT_WIND_ONS"/>
    <x v="0"/>
    <x v="12"/>
    <n v="1090.8675795402901"/>
    <n v="398166.66653220699"/>
    <n v="1433399.99951595"/>
  </r>
  <r>
    <x v="0"/>
    <x v="0"/>
    <x v="0"/>
    <x v="3"/>
    <x v="6"/>
    <s v="DE4-S_A"/>
    <x v="7"/>
    <x v="5"/>
    <s v="GNR_WT_WIND_ONS"/>
    <x v="0"/>
    <x v="13"/>
    <n v="1274.7543653456701"/>
    <n v="465285.34335116798"/>
    <n v="1675027.2360642001"/>
  </r>
  <r>
    <x v="0"/>
    <x v="0"/>
    <x v="0"/>
    <x v="3"/>
    <x v="6"/>
    <s v="DE4-S_A"/>
    <x v="7"/>
    <x v="5"/>
    <s v="GNR_WT_WIND_ONS"/>
    <x v="0"/>
    <x v="14"/>
    <n v="1484.2919026490999"/>
    <n v="541766.54446692101"/>
    <n v="1950359.5600809201"/>
  </r>
  <r>
    <x v="0"/>
    <x v="0"/>
    <x v="0"/>
    <x v="3"/>
    <x v="6"/>
    <s v="DE4-S_A"/>
    <x v="7"/>
    <x v="5"/>
    <s v="GNR_WT_WIND_ONS"/>
    <x v="0"/>
    <x v="15"/>
    <n v="1691.1222366282"/>
    <n v="617259.61636929295"/>
    <n v="2222134.6189294499"/>
  </r>
  <r>
    <x v="0"/>
    <x v="0"/>
    <x v="0"/>
    <x v="3"/>
    <x v="6"/>
    <s v="DE4-S_A"/>
    <x v="7"/>
    <x v="5"/>
    <s v="GNR_WT_WIND_ONS"/>
    <x v="0"/>
    <x v="16"/>
    <n v="1967.2569757102401"/>
    <n v="718048.79613423895"/>
    <n v="2584975.66608326"/>
  </r>
  <r>
    <x v="0"/>
    <x v="0"/>
    <x v="0"/>
    <x v="3"/>
    <x v="6"/>
    <s v="DE4-S_A"/>
    <x v="7"/>
    <x v="5"/>
    <s v="GNR_WT_WIND_ONS"/>
    <x v="0"/>
    <x v="17"/>
    <n v="2219.5006454550398"/>
    <n v="810117.73559109098"/>
    <n v="2916423.84812793"/>
  </r>
  <r>
    <x v="0"/>
    <x v="0"/>
    <x v="0"/>
    <x v="3"/>
    <x v="6"/>
    <s v="DE4-S_A"/>
    <x v="7"/>
    <x v="5"/>
    <s v="GNR_WT_WIND_ONS"/>
    <x v="0"/>
    <x v="18"/>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0"/>
    <x v="0"/>
    <s v="GNR_ENG_BGAS_BP_E-45"/>
    <x v="0"/>
    <x v="0"/>
    <n v="17.59"/>
    <n v="6420.35"/>
    <n v="23113.26"/>
  </r>
  <r>
    <x v="0"/>
    <x v="0"/>
    <x v="0"/>
    <x v="3"/>
    <x v="7"/>
    <s v="DE4-W_A"/>
    <x v="0"/>
    <x v="0"/>
    <s v="GNR_ENG_BGAS_BP_E-45"/>
    <x v="0"/>
    <x v="1"/>
    <n v="17.59"/>
    <n v="6420.35"/>
    <n v="23113.26"/>
  </r>
  <r>
    <x v="0"/>
    <x v="0"/>
    <x v="0"/>
    <x v="3"/>
    <x v="7"/>
    <s v="DE4-W_A"/>
    <x v="0"/>
    <x v="0"/>
    <s v="GNR_ENG_BGAS_BP_E-45"/>
    <x v="0"/>
    <x v="2"/>
    <n v="17.59"/>
    <n v="6420.35"/>
    <n v="23113.26"/>
  </r>
  <r>
    <x v="0"/>
    <x v="0"/>
    <x v="0"/>
    <x v="3"/>
    <x v="7"/>
    <s v="DE4-W_A"/>
    <x v="0"/>
    <x v="0"/>
    <s v="GNR_ENG_BGAS_BP_E-45"/>
    <x v="0"/>
    <x v="3"/>
    <n v="17.59"/>
    <n v="6420.35"/>
    <n v="23113.26"/>
  </r>
  <r>
    <x v="0"/>
    <x v="0"/>
    <x v="0"/>
    <x v="3"/>
    <x v="7"/>
    <s v="DE4-W_A"/>
    <x v="0"/>
    <x v="0"/>
    <s v="GNR_ENG_BGAS_BP_E-45"/>
    <x v="0"/>
    <x v="4"/>
    <n v="17.59"/>
    <n v="6420.35"/>
    <n v="23113.26"/>
  </r>
  <r>
    <x v="0"/>
    <x v="0"/>
    <x v="0"/>
    <x v="3"/>
    <x v="7"/>
    <s v="DE4-W_A"/>
    <x v="0"/>
    <x v="0"/>
    <s v="GNR_ENG_BGAS_BP_E-45"/>
    <x v="0"/>
    <x v="5"/>
    <n v="17.59"/>
    <n v="6420.35"/>
    <n v="23113.26"/>
  </r>
  <r>
    <x v="0"/>
    <x v="0"/>
    <x v="0"/>
    <x v="3"/>
    <x v="7"/>
    <s v="DE4-W_A"/>
    <x v="0"/>
    <x v="0"/>
    <s v="GNR_ENG_BGAS_BP_E-45"/>
    <x v="0"/>
    <x v="6"/>
    <n v="17.59"/>
    <n v="6420.35"/>
    <n v="23113.26"/>
  </r>
  <r>
    <x v="0"/>
    <x v="0"/>
    <x v="0"/>
    <x v="3"/>
    <x v="7"/>
    <s v="DE4-W_A"/>
    <x v="0"/>
    <x v="0"/>
    <s v="GNR_ENG_BGAS_BP_E-45"/>
    <x v="0"/>
    <x v="7"/>
    <n v="17.59"/>
    <n v="6420.35"/>
    <n v="23113.26"/>
  </r>
  <r>
    <x v="0"/>
    <x v="0"/>
    <x v="0"/>
    <x v="3"/>
    <x v="7"/>
    <s v="DE4-W_A"/>
    <x v="0"/>
    <x v="0"/>
    <s v="GNR_ENG_BGAS_BP_E-45"/>
    <x v="0"/>
    <x v="8"/>
    <n v="17.59"/>
    <n v="6420.35"/>
    <n v="23113.26"/>
  </r>
  <r>
    <x v="0"/>
    <x v="0"/>
    <x v="0"/>
    <x v="3"/>
    <x v="7"/>
    <s v="DE4-W_A"/>
    <x v="0"/>
    <x v="0"/>
    <s v="GNR_ENG_BGAS_BP_E-45"/>
    <x v="0"/>
    <x v="9"/>
    <n v="17.59"/>
    <n v="6420.35"/>
    <n v="23113.26"/>
  </r>
  <r>
    <x v="0"/>
    <x v="0"/>
    <x v="0"/>
    <x v="3"/>
    <x v="7"/>
    <s v="DE4-W_A"/>
    <x v="0"/>
    <x v="0"/>
    <s v="GNR_ENG_BGAS_BP_E-45"/>
    <x v="0"/>
    <x v="10"/>
    <n v="17.59"/>
    <n v="6420.35"/>
    <n v="23113.26"/>
  </r>
  <r>
    <x v="0"/>
    <x v="0"/>
    <x v="0"/>
    <x v="3"/>
    <x v="7"/>
    <s v="DE4-W_A"/>
    <x v="0"/>
    <x v="0"/>
    <s v="GNR_ENG_BGAS_BP_E-45"/>
    <x v="0"/>
    <x v="11"/>
    <n v="17.59"/>
    <n v="6420.35"/>
    <n v="23113.26"/>
  </r>
  <r>
    <x v="0"/>
    <x v="0"/>
    <x v="0"/>
    <x v="3"/>
    <x v="7"/>
    <s v="DE4-W_A"/>
    <x v="0"/>
    <x v="0"/>
    <s v="GNR_ENG_BGAS_BP_E-45"/>
    <x v="0"/>
    <x v="12"/>
    <n v="17.59"/>
    <n v="6420.35"/>
    <n v="23113.26"/>
  </r>
  <r>
    <x v="0"/>
    <x v="0"/>
    <x v="0"/>
    <x v="3"/>
    <x v="7"/>
    <s v="DE4-W_A"/>
    <x v="0"/>
    <x v="0"/>
    <s v="GNR_ENG_BGAS_BP_E-45"/>
    <x v="0"/>
    <x v="13"/>
    <n v="17.59"/>
    <n v="6420.35"/>
    <n v="23113.26"/>
  </r>
  <r>
    <x v="0"/>
    <x v="0"/>
    <x v="0"/>
    <x v="3"/>
    <x v="7"/>
    <s v="DE4-W_A"/>
    <x v="0"/>
    <x v="0"/>
    <s v="GNR_ENG_BGAS_BP_E-45"/>
    <x v="0"/>
    <x v="14"/>
    <n v="17.59"/>
    <n v="6420.35"/>
    <n v="23113.26"/>
  </r>
  <r>
    <x v="0"/>
    <x v="0"/>
    <x v="0"/>
    <x v="3"/>
    <x v="7"/>
    <s v="DE4-W_A"/>
    <x v="0"/>
    <x v="0"/>
    <s v="GNR_ENG_BGAS_BP_E-45"/>
    <x v="0"/>
    <x v="15"/>
    <n v="17.59"/>
    <n v="6420.35"/>
    <n v="23113.26"/>
  </r>
  <r>
    <x v="0"/>
    <x v="0"/>
    <x v="0"/>
    <x v="3"/>
    <x v="7"/>
    <s v="DE4-W_A"/>
    <x v="0"/>
    <x v="0"/>
    <s v="GNR_ENG_BGAS_BP_E-45"/>
    <x v="0"/>
    <x v="16"/>
    <n v="17.59"/>
    <n v="6420.35"/>
    <n v="23113.26"/>
  </r>
  <r>
    <x v="0"/>
    <x v="0"/>
    <x v="0"/>
    <x v="3"/>
    <x v="7"/>
    <s v="DE4-W_A"/>
    <x v="0"/>
    <x v="0"/>
    <s v="GNR_ENG_BGAS_BP_E-45"/>
    <x v="0"/>
    <x v="17"/>
    <n v="17.59"/>
    <n v="6420.35"/>
    <n v="23113.26"/>
  </r>
  <r>
    <x v="0"/>
    <x v="0"/>
    <x v="0"/>
    <x v="3"/>
    <x v="7"/>
    <s v="DE4-W_A"/>
    <x v="0"/>
    <x v="0"/>
    <s v="GNR_ENG_BGAS_BP_E-45"/>
    <x v="0"/>
    <x v="18"/>
    <n v="17.59"/>
    <n v="6420.35"/>
    <n v="23113.26"/>
  </r>
  <r>
    <x v="0"/>
    <x v="0"/>
    <x v="0"/>
    <x v="3"/>
    <x v="7"/>
    <s v="DE4-W_A"/>
    <x v="0"/>
    <x v="0"/>
    <s v="GNR_ENG_BGAS_BP_E-45"/>
    <x v="0"/>
    <x v="19"/>
    <n v="17.59"/>
    <n v="6420.35"/>
    <n v="23113.26"/>
  </r>
  <r>
    <x v="0"/>
    <x v="0"/>
    <x v="0"/>
    <x v="3"/>
    <x v="7"/>
    <s v="DE4-W_A"/>
    <x v="0"/>
    <x v="0"/>
    <s v="GNR_ENG_BGAS_BP_E-45"/>
    <x v="0"/>
    <x v="20"/>
    <n v="17.59"/>
    <n v="6420.35"/>
    <n v="23113.26"/>
  </r>
  <r>
    <x v="0"/>
    <x v="0"/>
    <x v="0"/>
    <x v="3"/>
    <x v="7"/>
    <s v="DE4-W_A"/>
    <x v="0"/>
    <x v="0"/>
    <s v="GNR_ENG_BGAS_BP_E-45"/>
    <x v="0"/>
    <x v="21"/>
    <n v="17.59"/>
    <n v="6420.35"/>
    <n v="23113.26"/>
  </r>
  <r>
    <x v="0"/>
    <x v="0"/>
    <x v="0"/>
    <x v="3"/>
    <x v="7"/>
    <s v="DE4-W_A"/>
    <x v="0"/>
    <x v="0"/>
    <s v="GNR_ENG_BGAS_BP_E-45"/>
    <x v="0"/>
    <x v="22"/>
    <n v="17.59"/>
    <n v="6420.35"/>
    <n v="23113.26"/>
  </r>
  <r>
    <x v="0"/>
    <x v="0"/>
    <x v="0"/>
    <x v="3"/>
    <x v="7"/>
    <s v="DE4-W_A"/>
    <x v="0"/>
    <x v="0"/>
    <s v="GNR_ENG_BGAS_BP_E-45"/>
    <x v="0"/>
    <x v="23"/>
    <n v="17.59"/>
    <n v="6420.35"/>
    <n v="23113.26"/>
  </r>
  <r>
    <x v="0"/>
    <x v="0"/>
    <x v="0"/>
    <x v="3"/>
    <x v="7"/>
    <s v="DE4-W_A"/>
    <x v="0"/>
    <x v="2"/>
    <s v="GNR_ENG_BGAS_CND_E-44"/>
    <x v="0"/>
    <x v="0"/>
    <n v="2541.5"/>
    <n v="927647.5"/>
    <n v="3339531"/>
  </r>
  <r>
    <x v="0"/>
    <x v="0"/>
    <x v="0"/>
    <x v="3"/>
    <x v="7"/>
    <s v="DE4-W_A"/>
    <x v="0"/>
    <x v="2"/>
    <s v="GNR_ENG_BGAS_CND_E-44"/>
    <x v="0"/>
    <x v="1"/>
    <n v="2541.5"/>
    <n v="927647.5"/>
    <n v="3339531"/>
  </r>
  <r>
    <x v="0"/>
    <x v="0"/>
    <x v="0"/>
    <x v="3"/>
    <x v="7"/>
    <s v="DE4-W_A"/>
    <x v="0"/>
    <x v="2"/>
    <s v="GNR_ENG_BGAS_CND_E-44"/>
    <x v="0"/>
    <x v="2"/>
    <n v="2541.5"/>
    <n v="927647.5"/>
    <n v="3339531"/>
  </r>
  <r>
    <x v="0"/>
    <x v="0"/>
    <x v="0"/>
    <x v="3"/>
    <x v="7"/>
    <s v="DE4-W_A"/>
    <x v="0"/>
    <x v="2"/>
    <s v="GNR_ENG_BGAS_CND_E-44"/>
    <x v="0"/>
    <x v="3"/>
    <n v="2541.5"/>
    <n v="927647.5"/>
    <n v="3339531"/>
  </r>
  <r>
    <x v="0"/>
    <x v="0"/>
    <x v="0"/>
    <x v="3"/>
    <x v="7"/>
    <s v="DE4-W_A"/>
    <x v="0"/>
    <x v="2"/>
    <s v="GNR_ENG_BGAS_CND_E-44"/>
    <x v="0"/>
    <x v="4"/>
    <n v="2541.5"/>
    <n v="927647.5"/>
    <n v="3339531"/>
  </r>
  <r>
    <x v="0"/>
    <x v="0"/>
    <x v="0"/>
    <x v="3"/>
    <x v="7"/>
    <s v="DE4-W_A"/>
    <x v="0"/>
    <x v="2"/>
    <s v="GNR_ENG_BGAS_CND_E-44"/>
    <x v="0"/>
    <x v="5"/>
    <n v="2541.5"/>
    <n v="927647.5"/>
    <n v="3339531"/>
  </r>
  <r>
    <x v="0"/>
    <x v="0"/>
    <x v="0"/>
    <x v="3"/>
    <x v="7"/>
    <s v="DE4-W_A"/>
    <x v="0"/>
    <x v="2"/>
    <s v="GNR_ENG_BGAS_CND_E-44"/>
    <x v="0"/>
    <x v="6"/>
    <n v="2541.5"/>
    <n v="927647.5"/>
    <n v="3339531"/>
  </r>
  <r>
    <x v="0"/>
    <x v="0"/>
    <x v="0"/>
    <x v="3"/>
    <x v="7"/>
    <s v="DE4-W_A"/>
    <x v="0"/>
    <x v="2"/>
    <s v="GNR_ENG_BGAS_CND_E-44"/>
    <x v="0"/>
    <x v="7"/>
    <n v="2541.5"/>
    <n v="927647.5"/>
    <n v="3339531"/>
  </r>
  <r>
    <x v="0"/>
    <x v="0"/>
    <x v="0"/>
    <x v="3"/>
    <x v="7"/>
    <s v="DE4-W_A"/>
    <x v="0"/>
    <x v="2"/>
    <s v="GNR_ENG_BGAS_CND_E-44"/>
    <x v="0"/>
    <x v="8"/>
    <n v="2541.5"/>
    <n v="927647.5"/>
    <n v="3339531"/>
  </r>
  <r>
    <x v="0"/>
    <x v="0"/>
    <x v="0"/>
    <x v="3"/>
    <x v="7"/>
    <s v="DE4-W_A"/>
    <x v="0"/>
    <x v="2"/>
    <s v="GNR_ENG_BGAS_CND_E-44"/>
    <x v="0"/>
    <x v="9"/>
    <n v="2541.5"/>
    <n v="927647.5"/>
    <n v="3339531"/>
  </r>
  <r>
    <x v="0"/>
    <x v="0"/>
    <x v="0"/>
    <x v="3"/>
    <x v="7"/>
    <s v="DE4-W_A"/>
    <x v="0"/>
    <x v="2"/>
    <s v="GNR_ENG_BGAS_CND_E-44"/>
    <x v="0"/>
    <x v="10"/>
    <n v="2541.5"/>
    <n v="927647.5"/>
    <n v="3339531"/>
  </r>
  <r>
    <x v="0"/>
    <x v="0"/>
    <x v="0"/>
    <x v="3"/>
    <x v="7"/>
    <s v="DE4-W_A"/>
    <x v="0"/>
    <x v="2"/>
    <s v="GNR_ENG_BGAS_CND_E-44"/>
    <x v="0"/>
    <x v="11"/>
    <n v="2541.5"/>
    <n v="927647.5"/>
    <n v="3339531"/>
  </r>
  <r>
    <x v="0"/>
    <x v="0"/>
    <x v="0"/>
    <x v="3"/>
    <x v="7"/>
    <s v="DE4-W_A"/>
    <x v="0"/>
    <x v="2"/>
    <s v="GNR_ENG_BGAS_CND_E-44"/>
    <x v="0"/>
    <x v="12"/>
    <n v="2541.5"/>
    <n v="927647.5"/>
    <n v="3339531"/>
  </r>
  <r>
    <x v="0"/>
    <x v="0"/>
    <x v="0"/>
    <x v="3"/>
    <x v="7"/>
    <s v="DE4-W_A"/>
    <x v="0"/>
    <x v="2"/>
    <s v="GNR_ENG_BGAS_CND_E-44"/>
    <x v="0"/>
    <x v="13"/>
    <n v="2541.5"/>
    <n v="927647.5"/>
    <n v="3339531"/>
  </r>
  <r>
    <x v="0"/>
    <x v="0"/>
    <x v="0"/>
    <x v="3"/>
    <x v="7"/>
    <s v="DE4-W_A"/>
    <x v="0"/>
    <x v="2"/>
    <s v="GNR_ENG_BGAS_CND_E-44"/>
    <x v="0"/>
    <x v="14"/>
    <n v="2541.5"/>
    <n v="927647.5"/>
    <n v="3339531"/>
  </r>
  <r>
    <x v="0"/>
    <x v="0"/>
    <x v="0"/>
    <x v="3"/>
    <x v="7"/>
    <s v="DE4-W_A"/>
    <x v="0"/>
    <x v="2"/>
    <s v="GNR_ENG_BGAS_CND_E-44"/>
    <x v="0"/>
    <x v="15"/>
    <n v="2541.5"/>
    <n v="927647.5"/>
    <n v="3339531"/>
  </r>
  <r>
    <x v="0"/>
    <x v="0"/>
    <x v="0"/>
    <x v="3"/>
    <x v="7"/>
    <s v="DE4-W_A"/>
    <x v="0"/>
    <x v="2"/>
    <s v="GNR_ENG_BGAS_CND_E-44"/>
    <x v="0"/>
    <x v="16"/>
    <n v="2541.5"/>
    <n v="927647.5"/>
    <n v="3339531"/>
  </r>
  <r>
    <x v="0"/>
    <x v="0"/>
    <x v="0"/>
    <x v="3"/>
    <x v="7"/>
    <s v="DE4-W_A"/>
    <x v="0"/>
    <x v="2"/>
    <s v="GNR_ENG_BGAS_CND_E-44"/>
    <x v="0"/>
    <x v="17"/>
    <n v="2541.5"/>
    <n v="927647.5"/>
    <n v="3339531"/>
  </r>
  <r>
    <x v="0"/>
    <x v="0"/>
    <x v="0"/>
    <x v="3"/>
    <x v="7"/>
    <s v="DE4-W_A"/>
    <x v="0"/>
    <x v="2"/>
    <s v="GNR_ENG_BGAS_CND_E-44"/>
    <x v="0"/>
    <x v="18"/>
    <n v="2541.5"/>
    <n v="927647.5"/>
    <n v="3339531"/>
  </r>
  <r>
    <x v="0"/>
    <x v="0"/>
    <x v="0"/>
    <x v="3"/>
    <x v="7"/>
    <s v="DE4-W_A"/>
    <x v="0"/>
    <x v="2"/>
    <s v="GNR_ENG_BGAS_CND_E-44"/>
    <x v="0"/>
    <x v="19"/>
    <n v="2541.5"/>
    <n v="927647.5"/>
    <n v="3339531"/>
  </r>
  <r>
    <x v="0"/>
    <x v="0"/>
    <x v="0"/>
    <x v="3"/>
    <x v="7"/>
    <s v="DE4-W_A"/>
    <x v="0"/>
    <x v="2"/>
    <s v="GNR_ENG_BGAS_CND_E-44"/>
    <x v="0"/>
    <x v="20"/>
    <n v="2541.5"/>
    <n v="927647.5"/>
    <n v="3339531"/>
  </r>
  <r>
    <x v="0"/>
    <x v="0"/>
    <x v="0"/>
    <x v="3"/>
    <x v="7"/>
    <s v="DE4-W_A"/>
    <x v="0"/>
    <x v="2"/>
    <s v="GNR_ENG_BGAS_CND_E-44"/>
    <x v="0"/>
    <x v="21"/>
    <n v="2541.5"/>
    <n v="927647.5"/>
    <n v="3339531"/>
  </r>
  <r>
    <x v="0"/>
    <x v="0"/>
    <x v="0"/>
    <x v="3"/>
    <x v="7"/>
    <s v="DE4-W_A"/>
    <x v="0"/>
    <x v="2"/>
    <s v="GNR_ENG_BGAS_CND_E-44"/>
    <x v="0"/>
    <x v="22"/>
    <n v="2541.5"/>
    <n v="927647.5"/>
    <n v="3339531"/>
  </r>
  <r>
    <x v="0"/>
    <x v="0"/>
    <x v="0"/>
    <x v="3"/>
    <x v="7"/>
    <s v="DE4-W_A"/>
    <x v="0"/>
    <x v="2"/>
    <s v="GNR_ENG_BGAS_CND_E-44"/>
    <x v="0"/>
    <x v="23"/>
    <n v="2541.5"/>
    <n v="927647.5"/>
    <n v="3339531"/>
  </r>
  <r>
    <x v="0"/>
    <x v="0"/>
    <x v="0"/>
    <x v="3"/>
    <x v="7"/>
    <s v="DE4-W_A"/>
    <x v="0"/>
    <x v="0"/>
    <s v="GNR_ST_BGAS_BP_E-33"/>
    <x v="0"/>
    <x v="0"/>
    <n v="33.4"/>
    <n v="12191"/>
    <n v="43887.6"/>
  </r>
  <r>
    <x v="0"/>
    <x v="0"/>
    <x v="0"/>
    <x v="3"/>
    <x v="7"/>
    <s v="DE4-W_A"/>
    <x v="0"/>
    <x v="0"/>
    <s v="GNR_ST_BGAS_BP_E-33"/>
    <x v="0"/>
    <x v="1"/>
    <n v="33.4"/>
    <n v="12191"/>
    <n v="43887.6"/>
  </r>
  <r>
    <x v="0"/>
    <x v="0"/>
    <x v="0"/>
    <x v="3"/>
    <x v="7"/>
    <s v="DE4-W_A"/>
    <x v="0"/>
    <x v="0"/>
    <s v="GNR_ST_BGAS_BP_E-33"/>
    <x v="0"/>
    <x v="2"/>
    <n v="33.4"/>
    <n v="12191"/>
    <n v="43887.6"/>
  </r>
  <r>
    <x v="0"/>
    <x v="0"/>
    <x v="0"/>
    <x v="3"/>
    <x v="7"/>
    <s v="DE4-W_A"/>
    <x v="0"/>
    <x v="0"/>
    <s v="GNR_ST_BGAS_BP_E-33"/>
    <x v="0"/>
    <x v="3"/>
    <n v="33.4"/>
    <n v="12191"/>
    <n v="43887.6"/>
  </r>
  <r>
    <x v="0"/>
    <x v="0"/>
    <x v="0"/>
    <x v="3"/>
    <x v="7"/>
    <s v="DE4-W_A"/>
    <x v="0"/>
    <x v="0"/>
    <s v="GNR_ST_BGAS_BP_E-33"/>
    <x v="0"/>
    <x v="4"/>
    <n v="33.4"/>
    <n v="12191"/>
    <n v="43887.6"/>
  </r>
  <r>
    <x v="0"/>
    <x v="0"/>
    <x v="0"/>
    <x v="3"/>
    <x v="7"/>
    <s v="DE4-W_A"/>
    <x v="0"/>
    <x v="0"/>
    <s v="GNR_ST_BGAS_BP_E-33"/>
    <x v="0"/>
    <x v="5"/>
    <n v="33.4"/>
    <n v="12191"/>
    <n v="43887.6"/>
  </r>
  <r>
    <x v="0"/>
    <x v="0"/>
    <x v="0"/>
    <x v="3"/>
    <x v="7"/>
    <s v="DE4-W_A"/>
    <x v="0"/>
    <x v="0"/>
    <s v="GNR_ST_BGAS_BP_E-33"/>
    <x v="0"/>
    <x v="6"/>
    <n v="33.4"/>
    <n v="12191"/>
    <n v="43887.6"/>
  </r>
  <r>
    <x v="0"/>
    <x v="0"/>
    <x v="0"/>
    <x v="3"/>
    <x v="7"/>
    <s v="DE4-W_A"/>
    <x v="0"/>
    <x v="0"/>
    <s v="GNR_ST_BGAS_BP_E-33"/>
    <x v="0"/>
    <x v="7"/>
    <n v="33.4"/>
    <n v="12191"/>
    <n v="43887.6"/>
  </r>
  <r>
    <x v="0"/>
    <x v="0"/>
    <x v="0"/>
    <x v="3"/>
    <x v="7"/>
    <s v="DE4-W_A"/>
    <x v="0"/>
    <x v="0"/>
    <s v="GNR_ST_BGAS_BP_E-33"/>
    <x v="0"/>
    <x v="8"/>
    <n v="33.4"/>
    <n v="12191"/>
    <n v="43887.6"/>
  </r>
  <r>
    <x v="0"/>
    <x v="0"/>
    <x v="0"/>
    <x v="3"/>
    <x v="7"/>
    <s v="DE4-W_A"/>
    <x v="0"/>
    <x v="0"/>
    <s v="GNR_ST_BGAS_BP_E-33"/>
    <x v="0"/>
    <x v="9"/>
    <n v="33.4"/>
    <n v="12191"/>
    <n v="43887.6"/>
  </r>
  <r>
    <x v="0"/>
    <x v="0"/>
    <x v="0"/>
    <x v="3"/>
    <x v="7"/>
    <s v="DE4-W_A"/>
    <x v="0"/>
    <x v="0"/>
    <s v="GNR_ST_BGAS_BP_E-33"/>
    <x v="0"/>
    <x v="10"/>
    <n v="33.4"/>
    <n v="12191"/>
    <n v="43887.6"/>
  </r>
  <r>
    <x v="0"/>
    <x v="0"/>
    <x v="0"/>
    <x v="3"/>
    <x v="7"/>
    <s v="DE4-W_A"/>
    <x v="0"/>
    <x v="0"/>
    <s v="GNR_ST_BGAS_BP_E-33"/>
    <x v="0"/>
    <x v="11"/>
    <n v="33.4"/>
    <n v="12191"/>
    <n v="43887.6"/>
  </r>
  <r>
    <x v="0"/>
    <x v="0"/>
    <x v="0"/>
    <x v="3"/>
    <x v="7"/>
    <s v="DE4-W_A"/>
    <x v="0"/>
    <x v="0"/>
    <s v="GNR_ST_BGAS_BP_E-33"/>
    <x v="0"/>
    <x v="12"/>
    <n v="33.4"/>
    <n v="12191"/>
    <n v="43887.6"/>
  </r>
  <r>
    <x v="0"/>
    <x v="0"/>
    <x v="0"/>
    <x v="3"/>
    <x v="7"/>
    <s v="DE4-W_A"/>
    <x v="0"/>
    <x v="0"/>
    <s v="GNR_ST_BGAS_BP_E-33"/>
    <x v="0"/>
    <x v="13"/>
    <n v="33.4"/>
    <n v="12191"/>
    <n v="43887.6"/>
  </r>
  <r>
    <x v="0"/>
    <x v="0"/>
    <x v="0"/>
    <x v="3"/>
    <x v="7"/>
    <s v="DE4-W_A"/>
    <x v="0"/>
    <x v="0"/>
    <s v="GNR_ST_BGAS_BP_E-33"/>
    <x v="0"/>
    <x v="14"/>
    <n v="33.4"/>
    <n v="12191"/>
    <n v="43887.6"/>
  </r>
  <r>
    <x v="0"/>
    <x v="0"/>
    <x v="0"/>
    <x v="3"/>
    <x v="7"/>
    <s v="DE4-W_A"/>
    <x v="0"/>
    <x v="0"/>
    <s v="GNR_ST_BGAS_BP_E-33"/>
    <x v="0"/>
    <x v="15"/>
    <n v="33.4"/>
    <n v="12191"/>
    <n v="43887.6"/>
  </r>
  <r>
    <x v="0"/>
    <x v="0"/>
    <x v="0"/>
    <x v="3"/>
    <x v="7"/>
    <s v="DE4-W_A"/>
    <x v="0"/>
    <x v="0"/>
    <s v="GNR_ST_BGAS_BP_E-33"/>
    <x v="0"/>
    <x v="16"/>
    <n v="33.4"/>
    <n v="12191"/>
    <n v="43887.6"/>
  </r>
  <r>
    <x v="0"/>
    <x v="0"/>
    <x v="0"/>
    <x v="3"/>
    <x v="7"/>
    <s v="DE4-W_A"/>
    <x v="0"/>
    <x v="0"/>
    <s v="GNR_ST_BGAS_BP_E-33"/>
    <x v="0"/>
    <x v="17"/>
    <n v="33.4"/>
    <n v="12191"/>
    <n v="43887.6"/>
  </r>
  <r>
    <x v="0"/>
    <x v="0"/>
    <x v="0"/>
    <x v="3"/>
    <x v="7"/>
    <s v="DE4-W_A"/>
    <x v="0"/>
    <x v="0"/>
    <s v="GNR_ST_BGAS_BP_E-33"/>
    <x v="0"/>
    <x v="18"/>
    <n v="33.4"/>
    <n v="12191"/>
    <n v="43887.6"/>
  </r>
  <r>
    <x v="0"/>
    <x v="0"/>
    <x v="0"/>
    <x v="3"/>
    <x v="7"/>
    <s v="DE4-W_A"/>
    <x v="0"/>
    <x v="0"/>
    <s v="GNR_ST_BGAS_BP_E-33"/>
    <x v="0"/>
    <x v="19"/>
    <n v="33.4"/>
    <n v="12191"/>
    <n v="43887.6"/>
  </r>
  <r>
    <x v="0"/>
    <x v="0"/>
    <x v="0"/>
    <x v="3"/>
    <x v="7"/>
    <s v="DE4-W_A"/>
    <x v="0"/>
    <x v="0"/>
    <s v="GNR_ST_BGAS_BP_E-33"/>
    <x v="0"/>
    <x v="20"/>
    <n v="33.4"/>
    <n v="12191"/>
    <n v="43887.6"/>
  </r>
  <r>
    <x v="0"/>
    <x v="0"/>
    <x v="0"/>
    <x v="3"/>
    <x v="7"/>
    <s v="DE4-W_A"/>
    <x v="0"/>
    <x v="0"/>
    <s v="GNR_ST_BGAS_BP_E-33"/>
    <x v="0"/>
    <x v="21"/>
    <n v="33.4"/>
    <n v="12191"/>
    <n v="43887.6"/>
  </r>
  <r>
    <x v="0"/>
    <x v="0"/>
    <x v="0"/>
    <x v="3"/>
    <x v="7"/>
    <s v="DE4-W_A"/>
    <x v="0"/>
    <x v="0"/>
    <s v="GNR_ST_BGAS_BP_E-33"/>
    <x v="0"/>
    <x v="22"/>
    <n v="33.4"/>
    <n v="12191"/>
    <n v="43887.6"/>
  </r>
  <r>
    <x v="0"/>
    <x v="0"/>
    <x v="0"/>
    <x v="3"/>
    <x v="7"/>
    <s v="DE4-W_A"/>
    <x v="0"/>
    <x v="0"/>
    <s v="GNR_ST_BGAS_BP_E-33"/>
    <x v="0"/>
    <x v="23"/>
    <n v="33.4"/>
    <n v="12191"/>
    <n v="43887.6"/>
  </r>
  <r>
    <x v="0"/>
    <x v="0"/>
    <x v="0"/>
    <x v="3"/>
    <x v="7"/>
    <s v="DE4-W_A"/>
    <x v="0"/>
    <x v="0"/>
    <s v="GNR_ST_BGAS_BP_E-38"/>
    <x v="0"/>
    <x v="0"/>
    <n v="134.30000000000001"/>
    <n v="49019.5"/>
    <n v="176470.2"/>
  </r>
  <r>
    <x v="0"/>
    <x v="0"/>
    <x v="0"/>
    <x v="3"/>
    <x v="7"/>
    <s v="DE4-W_A"/>
    <x v="0"/>
    <x v="0"/>
    <s v="GNR_ST_BGAS_BP_E-38"/>
    <x v="0"/>
    <x v="1"/>
    <n v="134.30000000000001"/>
    <n v="49019.5"/>
    <n v="176470.2"/>
  </r>
  <r>
    <x v="0"/>
    <x v="0"/>
    <x v="0"/>
    <x v="3"/>
    <x v="7"/>
    <s v="DE4-W_A"/>
    <x v="0"/>
    <x v="0"/>
    <s v="GNR_ST_BGAS_BP_E-38"/>
    <x v="0"/>
    <x v="2"/>
    <n v="134.30000000000001"/>
    <n v="49019.5"/>
    <n v="176470.2"/>
  </r>
  <r>
    <x v="0"/>
    <x v="0"/>
    <x v="0"/>
    <x v="3"/>
    <x v="7"/>
    <s v="DE4-W_A"/>
    <x v="0"/>
    <x v="0"/>
    <s v="GNR_ST_BGAS_BP_E-38"/>
    <x v="0"/>
    <x v="3"/>
    <n v="134.30000000000001"/>
    <n v="49019.5"/>
    <n v="176470.2"/>
  </r>
  <r>
    <x v="0"/>
    <x v="0"/>
    <x v="0"/>
    <x v="3"/>
    <x v="7"/>
    <s v="DE4-W_A"/>
    <x v="0"/>
    <x v="0"/>
    <s v="GNR_ST_BGAS_BP_E-38"/>
    <x v="0"/>
    <x v="4"/>
    <n v="134.30000000000001"/>
    <n v="49019.5"/>
    <n v="176470.2"/>
  </r>
  <r>
    <x v="0"/>
    <x v="0"/>
    <x v="0"/>
    <x v="3"/>
    <x v="7"/>
    <s v="DE4-W_A"/>
    <x v="0"/>
    <x v="0"/>
    <s v="GNR_ST_BGAS_BP_E-38"/>
    <x v="0"/>
    <x v="5"/>
    <n v="134.30000000000001"/>
    <n v="49019.5"/>
    <n v="176470.2"/>
  </r>
  <r>
    <x v="0"/>
    <x v="0"/>
    <x v="0"/>
    <x v="3"/>
    <x v="7"/>
    <s v="DE4-W_A"/>
    <x v="0"/>
    <x v="0"/>
    <s v="GNR_ST_BGAS_BP_E-38"/>
    <x v="0"/>
    <x v="6"/>
    <n v="134.30000000000001"/>
    <n v="49019.5"/>
    <n v="176470.2"/>
  </r>
  <r>
    <x v="0"/>
    <x v="0"/>
    <x v="0"/>
    <x v="3"/>
    <x v="7"/>
    <s v="DE4-W_A"/>
    <x v="0"/>
    <x v="0"/>
    <s v="GNR_ST_BGAS_BP_E-38"/>
    <x v="0"/>
    <x v="7"/>
    <n v="134.30000000000001"/>
    <n v="49019.5"/>
    <n v="176470.2"/>
  </r>
  <r>
    <x v="0"/>
    <x v="0"/>
    <x v="0"/>
    <x v="3"/>
    <x v="7"/>
    <s v="DE4-W_A"/>
    <x v="0"/>
    <x v="0"/>
    <s v="GNR_ST_BGAS_BP_E-38"/>
    <x v="0"/>
    <x v="8"/>
    <n v="134.30000000000001"/>
    <n v="49019.5"/>
    <n v="176470.2"/>
  </r>
  <r>
    <x v="0"/>
    <x v="0"/>
    <x v="0"/>
    <x v="3"/>
    <x v="7"/>
    <s v="DE4-W_A"/>
    <x v="0"/>
    <x v="0"/>
    <s v="GNR_ST_BGAS_BP_E-38"/>
    <x v="0"/>
    <x v="9"/>
    <n v="134.30000000000001"/>
    <n v="49019.5"/>
    <n v="176470.2"/>
  </r>
  <r>
    <x v="0"/>
    <x v="0"/>
    <x v="0"/>
    <x v="3"/>
    <x v="7"/>
    <s v="DE4-W_A"/>
    <x v="0"/>
    <x v="0"/>
    <s v="GNR_ST_BGAS_BP_E-38"/>
    <x v="0"/>
    <x v="10"/>
    <n v="134.30000000000001"/>
    <n v="49019.5"/>
    <n v="176470.2"/>
  </r>
  <r>
    <x v="0"/>
    <x v="0"/>
    <x v="0"/>
    <x v="3"/>
    <x v="7"/>
    <s v="DE4-W_A"/>
    <x v="0"/>
    <x v="0"/>
    <s v="GNR_ST_BGAS_BP_E-38"/>
    <x v="0"/>
    <x v="11"/>
    <n v="134.30000000000001"/>
    <n v="49019.5"/>
    <n v="176470.2"/>
  </r>
  <r>
    <x v="0"/>
    <x v="0"/>
    <x v="0"/>
    <x v="3"/>
    <x v="7"/>
    <s v="DE4-W_A"/>
    <x v="0"/>
    <x v="0"/>
    <s v="GNR_ST_BGAS_BP_E-38"/>
    <x v="0"/>
    <x v="12"/>
    <n v="134.30000000000001"/>
    <n v="49019.5"/>
    <n v="176470.2"/>
  </r>
  <r>
    <x v="0"/>
    <x v="0"/>
    <x v="0"/>
    <x v="3"/>
    <x v="7"/>
    <s v="DE4-W_A"/>
    <x v="0"/>
    <x v="0"/>
    <s v="GNR_ST_BGAS_BP_E-38"/>
    <x v="0"/>
    <x v="13"/>
    <n v="134.30000000000001"/>
    <n v="49019.5"/>
    <n v="176470.2"/>
  </r>
  <r>
    <x v="0"/>
    <x v="0"/>
    <x v="0"/>
    <x v="3"/>
    <x v="7"/>
    <s v="DE4-W_A"/>
    <x v="0"/>
    <x v="0"/>
    <s v="GNR_ST_BGAS_BP_E-38"/>
    <x v="0"/>
    <x v="14"/>
    <n v="134.30000000000001"/>
    <n v="49019.5"/>
    <n v="176470.2"/>
  </r>
  <r>
    <x v="0"/>
    <x v="0"/>
    <x v="0"/>
    <x v="3"/>
    <x v="7"/>
    <s v="DE4-W_A"/>
    <x v="0"/>
    <x v="0"/>
    <s v="GNR_ST_BGAS_BP_E-38"/>
    <x v="0"/>
    <x v="15"/>
    <n v="134.30000000000001"/>
    <n v="49019.5"/>
    <n v="176470.2"/>
  </r>
  <r>
    <x v="0"/>
    <x v="0"/>
    <x v="0"/>
    <x v="3"/>
    <x v="7"/>
    <s v="DE4-W_A"/>
    <x v="0"/>
    <x v="0"/>
    <s v="GNR_ST_BGAS_BP_E-38"/>
    <x v="0"/>
    <x v="16"/>
    <n v="134.30000000000001"/>
    <n v="49019.5"/>
    <n v="176470.2"/>
  </r>
  <r>
    <x v="0"/>
    <x v="0"/>
    <x v="0"/>
    <x v="3"/>
    <x v="7"/>
    <s v="DE4-W_A"/>
    <x v="0"/>
    <x v="0"/>
    <s v="GNR_ST_BGAS_BP_E-38"/>
    <x v="0"/>
    <x v="17"/>
    <n v="134.30000000000001"/>
    <n v="49019.5"/>
    <n v="176470.2"/>
  </r>
  <r>
    <x v="0"/>
    <x v="0"/>
    <x v="0"/>
    <x v="3"/>
    <x v="7"/>
    <s v="DE4-W_A"/>
    <x v="0"/>
    <x v="0"/>
    <s v="GNR_ST_BGAS_BP_E-38"/>
    <x v="0"/>
    <x v="18"/>
    <n v="134.30000000000001"/>
    <n v="49019.5"/>
    <n v="176470.2"/>
  </r>
  <r>
    <x v="0"/>
    <x v="0"/>
    <x v="0"/>
    <x v="3"/>
    <x v="7"/>
    <s v="DE4-W_A"/>
    <x v="0"/>
    <x v="0"/>
    <s v="GNR_ST_BGAS_BP_E-38"/>
    <x v="0"/>
    <x v="19"/>
    <n v="134.30000000000001"/>
    <n v="49019.5"/>
    <n v="176470.2"/>
  </r>
  <r>
    <x v="0"/>
    <x v="0"/>
    <x v="0"/>
    <x v="3"/>
    <x v="7"/>
    <s v="DE4-W_A"/>
    <x v="0"/>
    <x v="0"/>
    <s v="GNR_ST_BGAS_BP_E-38"/>
    <x v="0"/>
    <x v="20"/>
    <n v="134.30000000000001"/>
    <n v="49019.5"/>
    <n v="176470.2"/>
  </r>
  <r>
    <x v="0"/>
    <x v="0"/>
    <x v="0"/>
    <x v="3"/>
    <x v="7"/>
    <s v="DE4-W_A"/>
    <x v="0"/>
    <x v="0"/>
    <s v="GNR_ST_BGAS_BP_E-38"/>
    <x v="0"/>
    <x v="21"/>
    <n v="134.30000000000001"/>
    <n v="49019.5"/>
    <n v="176470.2"/>
  </r>
  <r>
    <x v="0"/>
    <x v="0"/>
    <x v="0"/>
    <x v="3"/>
    <x v="7"/>
    <s v="DE4-W_A"/>
    <x v="0"/>
    <x v="0"/>
    <s v="GNR_ST_BGAS_BP_E-38"/>
    <x v="0"/>
    <x v="22"/>
    <n v="134.30000000000001"/>
    <n v="49019.5"/>
    <n v="176470.2"/>
  </r>
  <r>
    <x v="0"/>
    <x v="0"/>
    <x v="0"/>
    <x v="3"/>
    <x v="7"/>
    <s v="DE4-W_A"/>
    <x v="0"/>
    <x v="0"/>
    <s v="GNR_ST_BGAS_BP_E-38"/>
    <x v="0"/>
    <x v="23"/>
    <n v="134.30000000000001"/>
    <n v="49019.5"/>
    <n v="176470.2"/>
  </r>
  <r>
    <x v="0"/>
    <x v="0"/>
    <x v="0"/>
    <x v="3"/>
    <x v="7"/>
    <s v="DE4-W_A"/>
    <x v="0"/>
    <x v="2"/>
    <s v="GNR_ST_BGAS_CND_E-38"/>
    <x v="0"/>
    <x v="0"/>
    <n v="94.5"/>
    <n v="34492.5"/>
    <n v="124173"/>
  </r>
  <r>
    <x v="0"/>
    <x v="0"/>
    <x v="0"/>
    <x v="3"/>
    <x v="7"/>
    <s v="DE4-W_A"/>
    <x v="0"/>
    <x v="2"/>
    <s v="GNR_ST_BGAS_CND_E-38"/>
    <x v="0"/>
    <x v="1"/>
    <n v="94.5"/>
    <n v="34492.5"/>
    <n v="124173"/>
  </r>
  <r>
    <x v="0"/>
    <x v="0"/>
    <x v="0"/>
    <x v="3"/>
    <x v="7"/>
    <s v="DE4-W_A"/>
    <x v="0"/>
    <x v="2"/>
    <s v="GNR_ST_BGAS_CND_E-38"/>
    <x v="0"/>
    <x v="2"/>
    <n v="94.5"/>
    <n v="34492.5"/>
    <n v="124173"/>
  </r>
  <r>
    <x v="0"/>
    <x v="0"/>
    <x v="0"/>
    <x v="3"/>
    <x v="7"/>
    <s v="DE4-W_A"/>
    <x v="0"/>
    <x v="2"/>
    <s v="GNR_ST_BGAS_CND_E-38"/>
    <x v="0"/>
    <x v="3"/>
    <n v="94.5"/>
    <n v="34492.5"/>
    <n v="124173"/>
  </r>
  <r>
    <x v="0"/>
    <x v="0"/>
    <x v="0"/>
    <x v="3"/>
    <x v="7"/>
    <s v="DE4-W_A"/>
    <x v="0"/>
    <x v="2"/>
    <s v="GNR_ST_BGAS_CND_E-38"/>
    <x v="0"/>
    <x v="4"/>
    <n v="94.5"/>
    <n v="34492.5"/>
    <n v="124173"/>
  </r>
  <r>
    <x v="0"/>
    <x v="0"/>
    <x v="0"/>
    <x v="3"/>
    <x v="7"/>
    <s v="DE4-W_A"/>
    <x v="0"/>
    <x v="2"/>
    <s v="GNR_ST_BGAS_CND_E-38"/>
    <x v="0"/>
    <x v="5"/>
    <n v="94.5"/>
    <n v="34492.5"/>
    <n v="124173"/>
  </r>
  <r>
    <x v="0"/>
    <x v="0"/>
    <x v="0"/>
    <x v="3"/>
    <x v="7"/>
    <s v="DE4-W_A"/>
    <x v="0"/>
    <x v="2"/>
    <s v="GNR_ST_BGAS_CND_E-38"/>
    <x v="0"/>
    <x v="6"/>
    <n v="94.5"/>
    <n v="34492.5"/>
    <n v="124173"/>
  </r>
  <r>
    <x v="0"/>
    <x v="0"/>
    <x v="0"/>
    <x v="3"/>
    <x v="7"/>
    <s v="DE4-W_A"/>
    <x v="0"/>
    <x v="2"/>
    <s v="GNR_ST_BGAS_CND_E-38"/>
    <x v="0"/>
    <x v="7"/>
    <n v="94.5"/>
    <n v="34492.5"/>
    <n v="124173"/>
  </r>
  <r>
    <x v="0"/>
    <x v="0"/>
    <x v="0"/>
    <x v="3"/>
    <x v="7"/>
    <s v="DE4-W_A"/>
    <x v="0"/>
    <x v="2"/>
    <s v="GNR_ST_BGAS_CND_E-38"/>
    <x v="0"/>
    <x v="8"/>
    <n v="94.5"/>
    <n v="34492.5"/>
    <n v="124173"/>
  </r>
  <r>
    <x v="0"/>
    <x v="0"/>
    <x v="0"/>
    <x v="3"/>
    <x v="7"/>
    <s v="DE4-W_A"/>
    <x v="0"/>
    <x v="2"/>
    <s v="GNR_ST_BGAS_CND_E-38"/>
    <x v="0"/>
    <x v="9"/>
    <n v="94.5"/>
    <n v="34492.5"/>
    <n v="124173"/>
  </r>
  <r>
    <x v="0"/>
    <x v="0"/>
    <x v="0"/>
    <x v="3"/>
    <x v="7"/>
    <s v="DE4-W_A"/>
    <x v="0"/>
    <x v="2"/>
    <s v="GNR_ST_BGAS_CND_E-38"/>
    <x v="0"/>
    <x v="10"/>
    <n v="94.5"/>
    <n v="34492.5"/>
    <n v="124173"/>
  </r>
  <r>
    <x v="0"/>
    <x v="0"/>
    <x v="0"/>
    <x v="3"/>
    <x v="7"/>
    <s v="DE4-W_A"/>
    <x v="0"/>
    <x v="2"/>
    <s v="GNR_ST_BGAS_CND_E-38"/>
    <x v="0"/>
    <x v="11"/>
    <n v="94.5"/>
    <n v="34492.5"/>
    <n v="124173"/>
  </r>
  <r>
    <x v="0"/>
    <x v="0"/>
    <x v="0"/>
    <x v="3"/>
    <x v="7"/>
    <s v="DE4-W_A"/>
    <x v="0"/>
    <x v="2"/>
    <s v="GNR_ST_BGAS_CND_E-38"/>
    <x v="0"/>
    <x v="12"/>
    <n v="94.5"/>
    <n v="34492.5"/>
    <n v="124173"/>
  </r>
  <r>
    <x v="0"/>
    <x v="0"/>
    <x v="0"/>
    <x v="3"/>
    <x v="7"/>
    <s v="DE4-W_A"/>
    <x v="0"/>
    <x v="2"/>
    <s v="GNR_ST_BGAS_CND_E-38"/>
    <x v="0"/>
    <x v="13"/>
    <n v="94.5"/>
    <n v="34492.5"/>
    <n v="124173"/>
  </r>
  <r>
    <x v="0"/>
    <x v="0"/>
    <x v="0"/>
    <x v="3"/>
    <x v="7"/>
    <s v="DE4-W_A"/>
    <x v="0"/>
    <x v="2"/>
    <s v="GNR_ST_BGAS_CND_E-38"/>
    <x v="0"/>
    <x v="14"/>
    <n v="94.5"/>
    <n v="34492.5"/>
    <n v="124173"/>
  </r>
  <r>
    <x v="0"/>
    <x v="0"/>
    <x v="0"/>
    <x v="3"/>
    <x v="7"/>
    <s v="DE4-W_A"/>
    <x v="0"/>
    <x v="2"/>
    <s v="GNR_ST_BGAS_CND_E-38"/>
    <x v="0"/>
    <x v="15"/>
    <n v="94.5"/>
    <n v="34492.5"/>
    <n v="124173"/>
  </r>
  <r>
    <x v="0"/>
    <x v="0"/>
    <x v="0"/>
    <x v="3"/>
    <x v="7"/>
    <s v="DE4-W_A"/>
    <x v="0"/>
    <x v="2"/>
    <s v="GNR_ST_BGAS_CND_E-38"/>
    <x v="0"/>
    <x v="16"/>
    <n v="94.5"/>
    <n v="34492.5"/>
    <n v="124173"/>
  </r>
  <r>
    <x v="0"/>
    <x v="0"/>
    <x v="0"/>
    <x v="3"/>
    <x v="7"/>
    <s v="DE4-W_A"/>
    <x v="0"/>
    <x v="2"/>
    <s v="GNR_ST_BGAS_CND_E-38"/>
    <x v="0"/>
    <x v="17"/>
    <n v="94.5"/>
    <n v="34492.5"/>
    <n v="124173"/>
  </r>
  <r>
    <x v="0"/>
    <x v="0"/>
    <x v="0"/>
    <x v="3"/>
    <x v="7"/>
    <s v="DE4-W_A"/>
    <x v="0"/>
    <x v="2"/>
    <s v="GNR_ST_BGAS_CND_E-38"/>
    <x v="0"/>
    <x v="18"/>
    <n v="94.5"/>
    <n v="34492.5"/>
    <n v="124173"/>
  </r>
  <r>
    <x v="0"/>
    <x v="0"/>
    <x v="0"/>
    <x v="3"/>
    <x v="7"/>
    <s v="DE4-W_A"/>
    <x v="0"/>
    <x v="2"/>
    <s v="GNR_ST_BGAS_CND_E-38"/>
    <x v="0"/>
    <x v="19"/>
    <n v="94.5"/>
    <n v="34492.5"/>
    <n v="124173"/>
  </r>
  <r>
    <x v="0"/>
    <x v="0"/>
    <x v="0"/>
    <x v="3"/>
    <x v="7"/>
    <s v="DE4-W_A"/>
    <x v="0"/>
    <x v="2"/>
    <s v="GNR_ST_BGAS_CND_E-38"/>
    <x v="0"/>
    <x v="20"/>
    <n v="94.5"/>
    <n v="34492.5"/>
    <n v="124173"/>
  </r>
  <r>
    <x v="0"/>
    <x v="0"/>
    <x v="0"/>
    <x v="3"/>
    <x v="7"/>
    <s v="DE4-W_A"/>
    <x v="0"/>
    <x v="2"/>
    <s v="GNR_ST_BGAS_CND_E-38"/>
    <x v="0"/>
    <x v="21"/>
    <n v="94.5"/>
    <n v="34492.5"/>
    <n v="124173"/>
  </r>
  <r>
    <x v="0"/>
    <x v="0"/>
    <x v="0"/>
    <x v="3"/>
    <x v="7"/>
    <s v="DE4-W_A"/>
    <x v="0"/>
    <x v="2"/>
    <s v="GNR_ST_BGAS_CND_E-38"/>
    <x v="0"/>
    <x v="22"/>
    <n v="94.5"/>
    <n v="34492.5"/>
    <n v="124173"/>
  </r>
  <r>
    <x v="0"/>
    <x v="0"/>
    <x v="0"/>
    <x v="3"/>
    <x v="7"/>
    <s v="DE4-W_A"/>
    <x v="0"/>
    <x v="2"/>
    <s v="GNR_ST_BGAS_CND_E-38"/>
    <x v="0"/>
    <x v="23"/>
    <n v="94.5"/>
    <n v="34492.5"/>
    <n v="124173"/>
  </r>
  <r>
    <x v="0"/>
    <x v="0"/>
    <x v="0"/>
    <x v="3"/>
    <x v="7"/>
    <s v="DE4-W_A"/>
    <x v="12"/>
    <x v="8"/>
    <s v="AGG-DE4-W_RES_WTR_PMP"/>
    <x v="0"/>
    <x v="0"/>
    <n v="1146"/>
    <n v="418290"/>
    <n v="1505844"/>
  </r>
  <r>
    <x v="0"/>
    <x v="0"/>
    <x v="0"/>
    <x v="3"/>
    <x v="7"/>
    <s v="DE4-W_A"/>
    <x v="12"/>
    <x v="8"/>
    <s v="AGG-DE4-W_RES_WTR_PMP"/>
    <x v="0"/>
    <x v="6"/>
    <n v="1146"/>
    <n v="418290"/>
    <n v="1505844"/>
  </r>
  <r>
    <x v="0"/>
    <x v="0"/>
    <x v="0"/>
    <x v="3"/>
    <x v="7"/>
    <s v="DE4-W_A"/>
    <x v="12"/>
    <x v="8"/>
    <s v="AGG-DE4-W_RES_WTR_PMP"/>
    <x v="0"/>
    <x v="8"/>
    <n v="1146"/>
    <n v="418290"/>
    <n v="1505844"/>
  </r>
  <r>
    <x v="0"/>
    <x v="0"/>
    <x v="0"/>
    <x v="3"/>
    <x v="7"/>
    <s v="DE4-W_A"/>
    <x v="12"/>
    <x v="8"/>
    <s v="AGG-DE4-W_RES_WTR_PMP"/>
    <x v="0"/>
    <x v="12"/>
    <n v="1146"/>
    <n v="418290"/>
    <n v="1505844"/>
  </r>
  <r>
    <x v="0"/>
    <x v="0"/>
    <x v="0"/>
    <x v="3"/>
    <x v="7"/>
    <s v="DE4-W_A"/>
    <x v="12"/>
    <x v="8"/>
    <s v="AGG-DE4-W_RES_WTR_PMP"/>
    <x v="0"/>
    <x v="13"/>
    <n v="160.12602739726"/>
    <n v="58445.999999999898"/>
    <n v="210405.6"/>
  </r>
  <r>
    <x v="0"/>
    <x v="0"/>
    <x v="0"/>
    <x v="3"/>
    <x v="7"/>
    <s v="DE4-W_A"/>
    <x v="12"/>
    <x v="8"/>
    <s v="AGG-DE4-W_RES_WTR_PMP"/>
    <x v="0"/>
    <x v="17"/>
    <n v="1146"/>
    <n v="418290"/>
    <n v="1505844"/>
  </r>
  <r>
    <x v="0"/>
    <x v="0"/>
    <x v="0"/>
    <x v="3"/>
    <x v="7"/>
    <s v="DE4-W_A"/>
    <x v="12"/>
    <x v="8"/>
    <s v="AGG-DE4-W_RES_WTR_PMP"/>
    <x v="0"/>
    <x v="22"/>
    <n v="1146"/>
    <n v="418290"/>
    <n v="1505844"/>
  </r>
  <r>
    <x v="0"/>
    <x v="0"/>
    <x v="0"/>
    <x v="3"/>
    <x v="7"/>
    <s v="DE4-W_A"/>
    <x v="1"/>
    <x v="0"/>
    <s v="GNR_ST_MSW_BP_E-33"/>
    <x v="0"/>
    <x v="0"/>
    <n v="579.1"/>
    <n v="211371.5"/>
    <n v="760937.4"/>
  </r>
  <r>
    <x v="0"/>
    <x v="0"/>
    <x v="0"/>
    <x v="3"/>
    <x v="7"/>
    <s v="DE4-W_A"/>
    <x v="1"/>
    <x v="0"/>
    <s v="GNR_ST_MSW_BP_E-33"/>
    <x v="0"/>
    <x v="1"/>
    <n v="579.1"/>
    <n v="211371.5"/>
    <n v="760937.4"/>
  </r>
  <r>
    <x v="0"/>
    <x v="0"/>
    <x v="0"/>
    <x v="3"/>
    <x v="7"/>
    <s v="DE4-W_A"/>
    <x v="1"/>
    <x v="0"/>
    <s v="GNR_ST_MSW_BP_E-33"/>
    <x v="0"/>
    <x v="2"/>
    <n v="579.1"/>
    <n v="211371.5"/>
    <n v="760937.4"/>
  </r>
  <r>
    <x v="0"/>
    <x v="0"/>
    <x v="0"/>
    <x v="3"/>
    <x v="7"/>
    <s v="DE4-W_A"/>
    <x v="1"/>
    <x v="0"/>
    <s v="GNR_ST_MSW_BP_E-33"/>
    <x v="0"/>
    <x v="3"/>
    <n v="579.1"/>
    <n v="211371.5"/>
    <n v="760937.4"/>
  </r>
  <r>
    <x v="0"/>
    <x v="0"/>
    <x v="0"/>
    <x v="3"/>
    <x v="7"/>
    <s v="DE4-W_A"/>
    <x v="1"/>
    <x v="0"/>
    <s v="GNR_ST_MSW_BP_E-33"/>
    <x v="0"/>
    <x v="4"/>
    <n v="579.1"/>
    <n v="211371.5"/>
    <n v="760937.4"/>
  </r>
  <r>
    <x v="0"/>
    <x v="0"/>
    <x v="0"/>
    <x v="3"/>
    <x v="7"/>
    <s v="DE4-W_A"/>
    <x v="1"/>
    <x v="0"/>
    <s v="GNR_ST_MSW_BP_E-33"/>
    <x v="0"/>
    <x v="5"/>
    <n v="579.1"/>
    <n v="211371.5"/>
    <n v="760937.4"/>
  </r>
  <r>
    <x v="0"/>
    <x v="0"/>
    <x v="0"/>
    <x v="3"/>
    <x v="7"/>
    <s v="DE4-W_A"/>
    <x v="1"/>
    <x v="0"/>
    <s v="GNR_ST_MSW_BP_E-33"/>
    <x v="0"/>
    <x v="6"/>
    <n v="579.1"/>
    <n v="211371.5"/>
    <n v="760937.4"/>
  </r>
  <r>
    <x v="0"/>
    <x v="0"/>
    <x v="0"/>
    <x v="3"/>
    <x v="7"/>
    <s v="DE4-W_A"/>
    <x v="1"/>
    <x v="0"/>
    <s v="GNR_ST_MSW_BP_E-33"/>
    <x v="0"/>
    <x v="7"/>
    <n v="579.1"/>
    <n v="211371.5"/>
    <n v="760937.4"/>
  </r>
  <r>
    <x v="0"/>
    <x v="0"/>
    <x v="0"/>
    <x v="3"/>
    <x v="7"/>
    <s v="DE4-W_A"/>
    <x v="1"/>
    <x v="0"/>
    <s v="GNR_ST_MSW_BP_E-33"/>
    <x v="0"/>
    <x v="8"/>
    <n v="579.1"/>
    <n v="211371.5"/>
    <n v="760937.4"/>
  </r>
  <r>
    <x v="0"/>
    <x v="0"/>
    <x v="0"/>
    <x v="3"/>
    <x v="7"/>
    <s v="DE4-W_A"/>
    <x v="1"/>
    <x v="0"/>
    <s v="GNR_ST_MSW_BP_E-33"/>
    <x v="0"/>
    <x v="9"/>
    <n v="579.1"/>
    <n v="211371.5"/>
    <n v="760937.4"/>
  </r>
  <r>
    <x v="0"/>
    <x v="0"/>
    <x v="0"/>
    <x v="3"/>
    <x v="7"/>
    <s v="DE4-W_A"/>
    <x v="1"/>
    <x v="0"/>
    <s v="GNR_ST_MSW_BP_E-33"/>
    <x v="0"/>
    <x v="10"/>
    <n v="579.1"/>
    <n v="211371.5"/>
    <n v="760937.4"/>
  </r>
  <r>
    <x v="0"/>
    <x v="0"/>
    <x v="0"/>
    <x v="3"/>
    <x v="7"/>
    <s v="DE4-W_A"/>
    <x v="1"/>
    <x v="0"/>
    <s v="GNR_ST_MSW_BP_E-33"/>
    <x v="0"/>
    <x v="11"/>
    <n v="579.1"/>
    <n v="211371.5"/>
    <n v="760937.4"/>
  </r>
  <r>
    <x v="0"/>
    <x v="0"/>
    <x v="0"/>
    <x v="3"/>
    <x v="7"/>
    <s v="DE4-W_A"/>
    <x v="1"/>
    <x v="0"/>
    <s v="GNR_ST_MSW_BP_E-33"/>
    <x v="0"/>
    <x v="12"/>
    <n v="579.1"/>
    <n v="211371.5"/>
    <n v="760937.4"/>
  </r>
  <r>
    <x v="0"/>
    <x v="0"/>
    <x v="0"/>
    <x v="3"/>
    <x v="7"/>
    <s v="DE4-W_A"/>
    <x v="1"/>
    <x v="0"/>
    <s v="GNR_ST_MSW_BP_E-33"/>
    <x v="0"/>
    <x v="13"/>
    <n v="579.1"/>
    <n v="211371.5"/>
    <n v="760937.4"/>
  </r>
  <r>
    <x v="0"/>
    <x v="0"/>
    <x v="0"/>
    <x v="3"/>
    <x v="7"/>
    <s v="DE4-W_A"/>
    <x v="1"/>
    <x v="0"/>
    <s v="GNR_ST_MSW_BP_E-33"/>
    <x v="0"/>
    <x v="14"/>
    <n v="579.1"/>
    <n v="211371.5"/>
    <n v="760937.4"/>
  </r>
  <r>
    <x v="0"/>
    <x v="0"/>
    <x v="0"/>
    <x v="3"/>
    <x v="7"/>
    <s v="DE4-W_A"/>
    <x v="1"/>
    <x v="0"/>
    <s v="GNR_ST_MSW_BP_E-33"/>
    <x v="0"/>
    <x v="15"/>
    <n v="579.1"/>
    <n v="211371.5"/>
    <n v="760937.4"/>
  </r>
  <r>
    <x v="0"/>
    <x v="0"/>
    <x v="0"/>
    <x v="3"/>
    <x v="7"/>
    <s v="DE4-W_A"/>
    <x v="1"/>
    <x v="0"/>
    <s v="GNR_ST_MSW_BP_E-33"/>
    <x v="0"/>
    <x v="16"/>
    <n v="579.1"/>
    <n v="211371.5"/>
    <n v="760937.4"/>
  </r>
  <r>
    <x v="0"/>
    <x v="0"/>
    <x v="0"/>
    <x v="3"/>
    <x v="7"/>
    <s v="DE4-W_A"/>
    <x v="1"/>
    <x v="0"/>
    <s v="GNR_ST_MSW_BP_E-33"/>
    <x v="0"/>
    <x v="17"/>
    <n v="579.1"/>
    <n v="211371.5"/>
    <n v="760937.4"/>
  </r>
  <r>
    <x v="0"/>
    <x v="0"/>
    <x v="0"/>
    <x v="3"/>
    <x v="7"/>
    <s v="DE4-W_A"/>
    <x v="1"/>
    <x v="0"/>
    <s v="GNR_ST_MSW_BP_E-33"/>
    <x v="0"/>
    <x v="18"/>
    <n v="579.1"/>
    <n v="211371.5"/>
    <n v="760937.4"/>
  </r>
  <r>
    <x v="0"/>
    <x v="0"/>
    <x v="0"/>
    <x v="3"/>
    <x v="7"/>
    <s v="DE4-W_A"/>
    <x v="1"/>
    <x v="0"/>
    <s v="GNR_ST_MSW_BP_E-33"/>
    <x v="0"/>
    <x v="19"/>
    <n v="579.1"/>
    <n v="211371.5"/>
    <n v="760937.4"/>
  </r>
  <r>
    <x v="0"/>
    <x v="0"/>
    <x v="0"/>
    <x v="3"/>
    <x v="7"/>
    <s v="DE4-W_A"/>
    <x v="1"/>
    <x v="0"/>
    <s v="GNR_ST_MSW_BP_E-33"/>
    <x v="0"/>
    <x v="20"/>
    <n v="579.1"/>
    <n v="211371.5"/>
    <n v="760937.4"/>
  </r>
  <r>
    <x v="0"/>
    <x v="0"/>
    <x v="0"/>
    <x v="3"/>
    <x v="7"/>
    <s v="DE4-W_A"/>
    <x v="1"/>
    <x v="0"/>
    <s v="GNR_ST_MSW_BP_E-33"/>
    <x v="0"/>
    <x v="21"/>
    <n v="579.1"/>
    <n v="211371.5"/>
    <n v="760937.4"/>
  </r>
  <r>
    <x v="0"/>
    <x v="0"/>
    <x v="0"/>
    <x v="3"/>
    <x v="7"/>
    <s v="DE4-W_A"/>
    <x v="1"/>
    <x v="0"/>
    <s v="GNR_ST_MSW_BP_E-33"/>
    <x v="0"/>
    <x v="22"/>
    <n v="579.1"/>
    <n v="211371.5"/>
    <n v="760937.4"/>
  </r>
  <r>
    <x v="0"/>
    <x v="0"/>
    <x v="0"/>
    <x v="3"/>
    <x v="7"/>
    <s v="DE4-W_A"/>
    <x v="1"/>
    <x v="0"/>
    <s v="GNR_ST_MSW_BP_E-33"/>
    <x v="0"/>
    <x v="23"/>
    <n v="579.1"/>
    <n v="211371.5"/>
    <n v="760937.4"/>
  </r>
  <r>
    <x v="0"/>
    <x v="0"/>
    <x v="0"/>
    <x v="3"/>
    <x v="7"/>
    <s v="DE4-W_A"/>
    <x v="1"/>
    <x v="2"/>
    <s v="GNR_ST_MSW_CND_E-33"/>
    <x v="0"/>
    <x v="0"/>
    <n v="172.8"/>
    <n v="63072"/>
    <n v="227059.20000000001"/>
  </r>
  <r>
    <x v="0"/>
    <x v="0"/>
    <x v="0"/>
    <x v="3"/>
    <x v="7"/>
    <s v="DE4-W_A"/>
    <x v="1"/>
    <x v="2"/>
    <s v="GNR_ST_MSW_CND_E-33"/>
    <x v="0"/>
    <x v="1"/>
    <n v="172.8"/>
    <n v="63072"/>
    <n v="227059.20000000001"/>
  </r>
  <r>
    <x v="0"/>
    <x v="0"/>
    <x v="0"/>
    <x v="3"/>
    <x v="7"/>
    <s v="DE4-W_A"/>
    <x v="1"/>
    <x v="2"/>
    <s v="GNR_ST_MSW_CND_E-33"/>
    <x v="0"/>
    <x v="2"/>
    <n v="172.8"/>
    <n v="63072"/>
    <n v="227059.20000000001"/>
  </r>
  <r>
    <x v="0"/>
    <x v="0"/>
    <x v="0"/>
    <x v="3"/>
    <x v="7"/>
    <s v="DE4-W_A"/>
    <x v="1"/>
    <x v="2"/>
    <s v="GNR_ST_MSW_CND_E-33"/>
    <x v="0"/>
    <x v="3"/>
    <n v="172.8"/>
    <n v="63072"/>
    <n v="227059.20000000001"/>
  </r>
  <r>
    <x v="0"/>
    <x v="0"/>
    <x v="0"/>
    <x v="3"/>
    <x v="7"/>
    <s v="DE4-W_A"/>
    <x v="1"/>
    <x v="2"/>
    <s v="GNR_ST_MSW_CND_E-33"/>
    <x v="0"/>
    <x v="4"/>
    <n v="172.8"/>
    <n v="63072"/>
    <n v="227059.20000000001"/>
  </r>
  <r>
    <x v="0"/>
    <x v="0"/>
    <x v="0"/>
    <x v="3"/>
    <x v="7"/>
    <s v="DE4-W_A"/>
    <x v="1"/>
    <x v="2"/>
    <s v="GNR_ST_MSW_CND_E-33"/>
    <x v="0"/>
    <x v="5"/>
    <n v="172.8"/>
    <n v="63072"/>
    <n v="227059.20000000001"/>
  </r>
  <r>
    <x v="0"/>
    <x v="0"/>
    <x v="0"/>
    <x v="3"/>
    <x v="7"/>
    <s v="DE4-W_A"/>
    <x v="1"/>
    <x v="2"/>
    <s v="GNR_ST_MSW_CND_E-33"/>
    <x v="0"/>
    <x v="6"/>
    <n v="172.8"/>
    <n v="63072"/>
    <n v="227059.20000000001"/>
  </r>
  <r>
    <x v="0"/>
    <x v="0"/>
    <x v="0"/>
    <x v="3"/>
    <x v="7"/>
    <s v="DE4-W_A"/>
    <x v="1"/>
    <x v="2"/>
    <s v="GNR_ST_MSW_CND_E-33"/>
    <x v="0"/>
    <x v="7"/>
    <n v="172.8"/>
    <n v="63072"/>
    <n v="227059.20000000001"/>
  </r>
  <r>
    <x v="0"/>
    <x v="0"/>
    <x v="0"/>
    <x v="3"/>
    <x v="7"/>
    <s v="DE4-W_A"/>
    <x v="1"/>
    <x v="2"/>
    <s v="GNR_ST_MSW_CND_E-33"/>
    <x v="0"/>
    <x v="8"/>
    <n v="172.8"/>
    <n v="63072"/>
    <n v="227059.20000000001"/>
  </r>
  <r>
    <x v="0"/>
    <x v="0"/>
    <x v="0"/>
    <x v="3"/>
    <x v="7"/>
    <s v="DE4-W_A"/>
    <x v="1"/>
    <x v="2"/>
    <s v="GNR_ST_MSW_CND_E-33"/>
    <x v="0"/>
    <x v="9"/>
    <n v="172.8"/>
    <n v="63072"/>
    <n v="227059.20000000001"/>
  </r>
  <r>
    <x v="0"/>
    <x v="0"/>
    <x v="0"/>
    <x v="3"/>
    <x v="7"/>
    <s v="DE4-W_A"/>
    <x v="1"/>
    <x v="2"/>
    <s v="GNR_ST_MSW_CND_E-33"/>
    <x v="0"/>
    <x v="10"/>
    <n v="172.8"/>
    <n v="63072"/>
    <n v="227059.20000000001"/>
  </r>
  <r>
    <x v="0"/>
    <x v="0"/>
    <x v="0"/>
    <x v="3"/>
    <x v="7"/>
    <s v="DE4-W_A"/>
    <x v="1"/>
    <x v="2"/>
    <s v="GNR_ST_MSW_CND_E-33"/>
    <x v="0"/>
    <x v="11"/>
    <n v="172.8"/>
    <n v="63072"/>
    <n v="227059.20000000001"/>
  </r>
  <r>
    <x v="0"/>
    <x v="0"/>
    <x v="0"/>
    <x v="3"/>
    <x v="7"/>
    <s v="DE4-W_A"/>
    <x v="1"/>
    <x v="2"/>
    <s v="GNR_ST_MSW_CND_E-33"/>
    <x v="0"/>
    <x v="12"/>
    <n v="172.8"/>
    <n v="63072"/>
    <n v="227059.20000000001"/>
  </r>
  <r>
    <x v="0"/>
    <x v="0"/>
    <x v="0"/>
    <x v="3"/>
    <x v="7"/>
    <s v="DE4-W_A"/>
    <x v="1"/>
    <x v="2"/>
    <s v="GNR_ST_MSW_CND_E-33"/>
    <x v="0"/>
    <x v="13"/>
    <n v="172.8"/>
    <n v="63072"/>
    <n v="227059.20000000001"/>
  </r>
  <r>
    <x v="0"/>
    <x v="0"/>
    <x v="0"/>
    <x v="3"/>
    <x v="7"/>
    <s v="DE4-W_A"/>
    <x v="1"/>
    <x v="2"/>
    <s v="GNR_ST_MSW_CND_E-33"/>
    <x v="0"/>
    <x v="14"/>
    <n v="172.8"/>
    <n v="63072"/>
    <n v="227059.20000000001"/>
  </r>
  <r>
    <x v="0"/>
    <x v="0"/>
    <x v="0"/>
    <x v="3"/>
    <x v="7"/>
    <s v="DE4-W_A"/>
    <x v="1"/>
    <x v="2"/>
    <s v="GNR_ST_MSW_CND_E-33"/>
    <x v="0"/>
    <x v="15"/>
    <n v="172.8"/>
    <n v="63072"/>
    <n v="227059.20000000001"/>
  </r>
  <r>
    <x v="0"/>
    <x v="0"/>
    <x v="0"/>
    <x v="3"/>
    <x v="7"/>
    <s v="DE4-W_A"/>
    <x v="1"/>
    <x v="2"/>
    <s v="GNR_ST_MSW_CND_E-33"/>
    <x v="0"/>
    <x v="16"/>
    <n v="172.8"/>
    <n v="63072"/>
    <n v="227059.20000000001"/>
  </r>
  <r>
    <x v="0"/>
    <x v="0"/>
    <x v="0"/>
    <x v="3"/>
    <x v="7"/>
    <s v="DE4-W_A"/>
    <x v="1"/>
    <x v="2"/>
    <s v="GNR_ST_MSW_CND_E-33"/>
    <x v="0"/>
    <x v="17"/>
    <n v="172.8"/>
    <n v="63072"/>
    <n v="227059.20000000001"/>
  </r>
  <r>
    <x v="0"/>
    <x v="0"/>
    <x v="0"/>
    <x v="3"/>
    <x v="7"/>
    <s v="DE4-W_A"/>
    <x v="1"/>
    <x v="2"/>
    <s v="GNR_ST_MSW_CND_E-33"/>
    <x v="0"/>
    <x v="18"/>
    <n v="172.8"/>
    <n v="63072"/>
    <n v="227059.20000000001"/>
  </r>
  <r>
    <x v="0"/>
    <x v="0"/>
    <x v="0"/>
    <x v="3"/>
    <x v="7"/>
    <s v="DE4-W_A"/>
    <x v="1"/>
    <x v="2"/>
    <s v="GNR_ST_MSW_CND_E-33"/>
    <x v="0"/>
    <x v="19"/>
    <n v="172.8"/>
    <n v="63072"/>
    <n v="227059.20000000001"/>
  </r>
  <r>
    <x v="0"/>
    <x v="0"/>
    <x v="0"/>
    <x v="3"/>
    <x v="7"/>
    <s v="DE4-W_A"/>
    <x v="1"/>
    <x v="2"/>
    <s v="GNR_ST_MSW_CND_E-33"/>
    <x v="0"/>
    <x v="20"/>
    <n v="172.8"/>
    <n v="63072"/>
    <n v="227059.20000000001"/>
  </r>
  <r>
    <x v="0"/>
    <x v="0"/>
    <x v="0"/>
    <x v="3"/>
    <x v="7"/>
    <s v="DE4-W_A"/>
    <x v="1"/>
    <x v="2"/>
    <s v="GNR_ST_MSW_CND_E-33"/>
    <x v="0"/>
    <x v="21"/>
    <n v="172.8"/>
    <n v="63072"/>
    <n v="227059.20000000001"/>
  </r>
  <r>
    <x v="0"/>
    <x v="0"/>
    <x v="0"/>
    <x v="3"/>
    <x v="7"/>
    <s v="DE4-W_A"/>
    <x v="1"/>
    <x v="2"/>
    <s v="GNR_ST_MSW_CND_E-33"/>
    <x v="0"/>
    <x v="22"/>
    <n v="172.8"/>
    <n v="63072"/>
    <n v="227059.20000000001"/>
  </r>
  <r>
    <x v="0"/>
    <x v="0"/>
    <x v="0"/>
    <x v="3"/>
    <x v="7"/>
    <s v="DE4-W_A"/>
    <x v="1"/>
    <x v="2"/>
    <s v="GNR_ST_MSW_CND_E-33"/>
    <x v="0"/>
    <x v="23"/>
    <n v="172.8"/>
    <n v="63072"/>
    <n v="227059.20000000001"/>
  </r>
  <r>
    <x v="0"/>
    <x v="0"/>
    <x v="0"/>
    <x v="3"/>
    <x v="7"/>
    <s v="DE4-W_A"/>
    <x v="2"/>
    <x v="0"/>
    <s v="GNR_CC_NGAS_BP_E-55"/>
    <x v="0"/>
    <x v="4"/>
    <n v="566.05811019927796"/>
    <n v="206611.210222736"/>
    <n v="743800.35680185095"/>
  </r>
  <r>
    <x v="0"/>
    <x v="0"/>
    <x v="0"/>
    <x v="3"/>
    <x v="7"/>
    <s v="DE4-W_A"/>
    <x v="2"/>
    <x v="0"/>
    <s v="GNR_CC_NGAS_BP_E-55"/>
    <x v="0"/>
    <x v="13"/>
    <n v="3157.78953135339"/>
    <n v="1152593.17894399"/>
    <n v="4149335.4441983602"/>
  </r>
  <r>
    <x v="0"/>
    <x v="0"/>
    <x v="0"/>
    <x v="3"/>
    <x v="7"/>
    <s v="DE4-W_A"/>
    <x v="2"/>
    <x v="0"/>
    <s v="GNR_CC_NGAS_BP_E-55"/>
    <x v="0"/>
    <x v="19"/>
    <n v="796.22725246003404"/>
    <n v="290622.947147912"/>
    <n v="1046242.60973248"/>
  </r>
  <r>
    <x v="0"/>
    <x v="0"/>
    <x v="0"/>
    <x v="3"/>
    <x v="7"/>
    <s v="DE4-W_A"/>
    <x v="13"/>
    <x v="2"/>
    <s v="GNR_ST_NUCL_CND_E-33"/>
    <x v="0"/>
    <x v="0"/>
    <n v="2696"/>
    <n v="984040"/>
    <n v="3542544"/>
  </r>
  <r>
    <x v="0"/>
    <x v="0"/>
    <x v="0"/>
    <x v="3"/>
    <x v="7"/>
    <s v="DE4-W_A"/>
    <x v="13"/>
    <x v="2"/>
    <s v="GNR_ST_NUCL_CND_E-33"/>
    <x v="0"/>
    <x v="1"/>
    <n v="2696"/>
    <n v="984040"/>
    <n v="3542544"/>
  </r>
  <r>
    <x v="0"/>
    <x v="0"/>
    <x v="0"/>
    <x v="3"/>
    <x v="7"/>
    <s v="DE4-W_A"/>
    <x v="13"/>
    <x v="2"/>
    <s v="GNR_ST_NUCL_CND_E-33"/>
    <x v="0"/>
    <x v="2"/>
    <n v="2696"/>
    <n v="984040"/>
    <n v="3542544"/>
  </r>
  <r>
    <x v="0"/>
    <x v="0"/>
    <x v="0"/>
    <x v="3"/>
    <x v="7"/>
    <s v="DE4-W_A"/>
    <x v="13"/>
    <x v="2"/>
    <s v="GNR_ST_NUCL_CND_E-33"/>
    <x v="0"/>
    <x v="3"/>
    <n v="2696"/>
    <n v="984040"/>
    <n v="3542544"/>
  </r>
  <r>
    <x v="0"/>
    <x v="0"/>
    <x v="0"/>
    <x v="3"/>
    <x v="7"/>
    <s v="DE4-W_A"/>
    <x v="13"/>
    <x v="2"/>
    <s v="GNR_ST_NUCL_CND_E-33"/>
    <x v="0"/>
    <x v="4"/>
    <n v="2696"/>
    <n v="984040"/>
    <n v="3542544"/>
  </r>
  <r>
    <x v="0"/>
    <x v="0"/>
    <x v="0"/>
    <x v="3"/>
    <x v="7"/>
    <s v="DE4-W_A"/>
    <x v="13"/>
    <x v="2"/>
    <s v="GNR_ST_NUCL_CND_E-33"/>
    <x v="0"/>
    <x v="5"/>
    <n v="2696"/>
    <n v="984040"/>
    <n v="3542544"/>
  </r>
  <r>
    <x v="0"/>
    <x v="0"/>
    <x v="0"/>
    <x v="3"/>
    <x v="7"/>
    <s v="DE4-W_A"/>
    <x v="13"/>
    <x v="2"/>
    <s v="GNR_ST_NUCL_CND_E-33"/>
    <x v="0"/>
    <x v="6"/>
    <n v="2696"/>
    <n v="984040"/>
    <n v="3542544"/>
  </r>
  <r>
    <x v="0"/>
    <x v="0"/>
    <x v="0"/>
    <x v="3"/>
    <x v="7"/>
    <s v="DE4-W_A"/>
    <x v="13"/>
    <x v="2"/>
    <s v="GNR_ST_NUCL_CND_E-33"/>
    <x v="0"/>
    <x v="7"/>
    <n v="2696"/>
    <n v="984040"/>
    <n v="3542544"/>
  </r>
  <r>
    <x v="0"/>
    <x v="0"/>
    <x v="0"/>
    <x v="3"/>
    <x v="7"/>
    <s v="DE4-W_A"/>
    <x v="13"/>
    <x v="2"/>
    <s v="GNR_ST_NUCL_CND_E-33"/>
    <x v="0"/>
    <x v="8"/>
    <n v="2696"/>
    <n v="984040"/>
    <n v="3542544"/>
  </r>
  <r>
    <x v="0"/>
    <x v="0"/>
    <x v="0"/>
    <x v="3"/>
    <x v="7"/>
    <s v="DE4-W_A"/>
    <x v="13"/>
    <x v="2"/>
    <s v="GNR_ST_NUCL_CND_E-33"/>
    <x v="0"/>
    <x v="9"/>
    <n v="2696"/>
    <n v="984040"/>
    <n v="3542544"/>
  </r>
  <r>
    <x v="0"/>
    <x v="0"/>
    <x v="0"/>
    <x v="3"/>
    <x v="7"/>
    <s v="DE4-W_A"/>
    <x v="13"/>
    <x v="2"/>
    <s v="GNR_ST_NUCL_CND_E-33"/>
    <x v="0"/>
    <x v="10"/>
    <n v="2696"/>
    <n v="984040"/>
    <n v="3542544"/>
  </r>
  <r>
    <x v="0"/>
    <x v="0"/>
    <x v="0"/>
    <x v="3"/>
    <x v="7"/>
    <s v="DE4-W_A"/>
    <x v="13"/>
    <x v="2"/>
    <s v="GNR_ST_NUCL_CND_E-33"/>
    <x v="0"/>
    <x v="11"/>
    <n v="2696"/>
    <n v="984040"/>
    <n v="3542544"/>
  </r>
  <r>
    <x v="0"/>
    <x v="0"/>
    <x v="0"/>
    <x v="3"/>
    <x v="7"/>
    <s v="DE4-W_A"/>
    <x v="13"/>
    <x v="2"/>
    <s v="GNR_ST_NUCL_CND_E-33"/>
    <x v="0"/>
    <x v="12"/>
    <n v="2696"/>
    <n v="984040"/>
    <n v="3542544"/>
  </r>
  <r>
    <x v="0"/>
    <x v="0"/>
    <x v="0"/>
    <x v="3"/>
    <x v="7"/>
    <s v="DE4-W_A"/>
    <x v="13"/>
    <x v="2"/>
    <s v="GNR_ST_NUCL_CND_E-33"/>
    <x v="0"/>
    <x v="13"/>
    <n v="2696"/>
    <n v="984040"/>
    <n v="3542544"/>
  </r>
  <r>
    <x v="0"/>
    <x v="0"/>
    <x v="0"/>
    <x v="3"/>
    <x v="7"/>
    <s v="DE4-W_A"/>
    <x v="13"/>
    <x v="2"/>
    <s v="GNR_ST_NUCL_CND_E-33"/>
    <x v="0"/>
    <x v="14"/>
    <n v="2696"/>
    <n v="984040"/>
    <n v="3542544"/>
  </r>
  <r>
    <x v="0"/>
    <x v="0"/>
    <x v="0"/>
    <x v="3"/>
    <x v="7"/>
    <s v="DE4-W_A"/>
    <x v="13"/>
    <x v="2"/>
    <s v="GNR_ST_NUCL_CND_E-33"/>
    <x v="0"/>
    <x v="15"/>
    <n v="2696"/>
    <n v="984040"/>
    <n v="3542544"/>
  </r>
  <r>
    <x v="0"/>
    <x v="0"/>
    <x v="0"/>
    <x v="3"/>
    <x v="7"/>
    <s v="DE4-W_A"/>
    <x v="13"/>
    <x v="2"/>
    <s v="GNR_ST_NUCL_CND_E-33"/>
    <x v="0"/>
    <x v="16"/>
    <n v="2696"/>
    <n v="984040"/>
    <n v="3542544"/>
  </r>
  <r>
    <x v="0"/>
    <x v="0"/>
    <x v="0"/>
    <x v="3"/>
    <x v="7"/>
    <s v="DE4-W_A"/>
    <x v="13"/>
    <x v="2"/>
    <s v="GNR_ST_NUCL_CND_E-33"/>
    <x v="0"/>
    <x v="17"/>
    <n v="2696"/>
    <n v="984040"/>
    <n v="3542544"/>
  </r>
  <r>
    <x v="0"/>
    <x v="0"/>
    <x v="0"/>
    <x v="3"/>
    <x v="7"/>
    <s v="DE4-W_A"/>
    <x v="13"/>
    <x v="2"/>
    <s v="GNR_ST_NUCL_CND_E-33"/>
    <x v="0"/>
    <x v="18"/>
    <n v="2696"/>
    <n v="984040"/>
    <n v="3542544"/>
  </r>
  <r>
    <x v="0"/>
    <x v="0"/>
    <x v="0"/>
    <x v="3"/>
    <x v="7"/>
    <s v="DE4-W_A"/>
    <x v="13"/>
    <x v="2"/>
    <s v="GNR_ST_NUCL_CND_E-33"/>
    <x v="0"/>
    <x v="19"/>
    <n v="2696"/>
    <n v="984040"/>
    <n v="3542544"/>
  </r>
  <r>
    <x v="0"/>
    <x v="0"/>
    <x v="0"/>
    <x v="3"/>
    <x v="7"/>
    <s v="DE4-W_A"/>
    <x v="13"/>
    <x v="2"/>
    <s v="GNR_ST_NUCL_CND_E-33"/>
    <x v="0"/>
    <x v="20"/>
    <n v="2696"/>
    <n v="984040"/>
    <n v="3542544"/>
  </r>
  <r>
    <x v="0"/>
    <x v="0"/>
    <x v="0"/>
    <x v="3"/>
    <x v="7"/>
    <s v="DE4-W_A"/>
    <x v="13"/>
    <x v="2"/>
    <s v="GNR_ST_NUCL_CND_E-33"/>
    <x v="0"/>
    <x v="21"/>
    <n v="2696"/>
    <n v="984040"/>
    <n v="3542544"/>
  </r>
  <r>
    <x v="0"/>
    <x v="0"/>
    <x v="0"/>
    <x v="3"/>
    <x v="7"/>
    <s v="DE4-W_A"/>
    <x v="13"/>
    <x v="2"/>
    <s v="GNR_ST_NUCL_CND_E-33"/>
    <x v="0"/>
    <x v="22"/>
    <n v="2696"/>
    <n v="984040"/>
    <n v="3542544"/>
  </r>
  <r>
    <x v="0"/>
    <x v="0"/>
    <x v="0"/>
    <x v="3"/>
    <x v="7"/>
    <s v="DE4-W_A"/>
    <x v="13"/>
    <x v="2"/>
    <s v="GNR_ST_NUCL_CND_E-33"/>
    <x v="0"/>
    <x v="23"/>
    <n v="2696"/>
    <n v="984040"/>
    <n v="3542544"/>
  </r>
  <r>
    <x v="0"/>
    <x v="0"/>
    <x v="0"/>
    <x v="3"/>
    <x v="7"/>
    <s v="DE4-W_A"/>
    <x v="5"/>
    <x v="3"/>
    <s v="GNR_PV_SUN"/>
    <x v="0"/>
    <x v="8"/>
    <n v="214.82182741120599"/>
    <n v="78409.967005090104"/>
    <n v="282275.88121832401"/>
  </r>
  <r>
    <x v="0"/>
    <x v="0"/>
    <x v="0"/>
    <x v="3"/>
    <x v="7"/>
    <s v="DE4-W_A"/>
    <x v="5"/>
    <x v="3"/>
    <s v="GNR_PV_SUN"/>
    <x v="0"/>
    <x v="9"/>
    <n v="1617.2227827674401"/>
    <n v="590286.31571011397"/>
    <n v="2125030.7365564099"/>
  </r>
  <r>
    <x v="0"/>
    <x v="0"/>
    <x v="0"/>
    <x v="3"/>
    <x v="7"/>
    <s v="DE4-W_A"/>
    <x v="5"/>
    <x v="3"/>
    <s v="GNR_PV_SUN"/>
    <x v="0"/>
    <x v="10"/>
    <n v="3735.6964961610201"/>
    <n v="1363529.2210987699"/>
    <n v="4908705.1959555801"/>
  </r>
  <r>
    <x v="0"/>
    <x v="0"/>
    <x v="0"/>
    <x v="3"/>
    <x v="7"/>
    <s v="DE4-W_A"/>
    <x v="5"/>
    <x v="3"/>
    <s v="GNR_PV_SUN"/>
    <x v="0"/>
    <x v="11"/>
    <n v="5688.9226500075201"/>
    <n v="2076456.76725274"/>
    <n v="7475244.36210988"/>
  </r>
  <r>
    <x v="0"/>
    <x v="0"/>
    <x v="0"/>
    <x v="3"/>
    <x v="7"/>
    <s v="DE4-W_A"/>
    <x v="5"/>
    <x v="3"/>
    <s v="GNR_PV_SUN"/>
    <x v="0"/>
    <x v="12"/>
    <n v="6467.78948067276"/>
    <n v="2360743.1604455598"/>
    <n v="8498675.3776040096"/>
  </r>
  <r>
    <x v="0"/>
    <x v="0"/>
    <x v="0"/>
    <x v="3"/>
    <x v="7"/>
    <s v="DE4-W_A"/>
    <x v="5"/>
    <x v="3"/>
    <s v="GNR_PV_SUN"/>
    <x v="0"/>
    <x v="13"/>
    <n v="5623.92527658567"/>
    <n v="2052732.7259537701"/>
    <n v="7389837.8134335699"/>
  </r>
  <r>
    <x v="0"/>
    <x v="0"/>
    <x v="0"/>
    <x v="3"/>
    <x v="7"/>
    <s v="DE4-W_A"/>
    <x v="5"/>
    <x v="3"/>
    <s v="GNR_PV_SUN"/>
    <x v="0"/>
    <x v="14"/>
    <n v="3659.68261876936"/>
    <n v="1335784.15585082"/>
    <n v="4808822.9610629398"/>
  </r>
  <r>
    <x v="0"/>
    <x v="0"/>
    <x v="0"/>
    <x v="3"/>
    <x v="7"/>
    <s v="DE4-W_A"/>
    <x v="5"/>
    <x v="3"/>
    <s v="GNR_PV_SUN"/>
    <x v="0"/>
    <x v="15"/>
    <n v="1852.9759677212701"/>
    <n v="676336.22821826395"/>
    <n v="2434810.4215857498"/>
  </r>
  <r>
    <x v="0"/>
    <x v="0"/>
    <x v="0"/>
    <x v="3"/>
    <x v="7"/>
    <s v="DE4-W_A"/>
    <x v="5"/>
    <x v="3"/>
    <s v="GNR_PV_SUN"/>
    <x v="0"/>
    <x v="16"/>
    <n v="241.261436938739"/>
    <n v="88060.424482639603"/>
    <n v="317017.52813750302"/>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2"/>
    <n v="198.90753424657501"/>
    <n v="72601.25"/>
    <n v="261364.5"/>
  </r>
  <r>
    <x v="0"/>
    <x v="0"/>
    <x v="0"/>
    <x v="3"/>
    <x v="7"/>
    <s v="DE4-W_A"/>
    <x v="6"/>
    <x v="4"/>
    <s v="GNR_ROR_WTR"/>
    <x v="0"/>
    <x v="3"/>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8"/>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0"/>
    <n v="2767.70001359974"/>
    <n v="1010210.5049639"/>
    <n v="3636757.8178700502"/>
  </r>
  <r>
    <x v="0"/>
    <x v="0"/>
    <x v="0"/>
    <x v="3"/>
    <x v="7"/>
    <s v="DE4-W_A"/>
    <x v="7"/>
    <x v="5"/>
    <s v="GNR_WT_WIND_ONS"/>
    <x v="0"/>
    <x v="1"/>
    <n v="2678.0034735968702"/>
    <n v="977471.26786285802"/>
    <n v="3518896.5643062899"/>
  </r>
  <r>
    <x v="0"/>
    <x v="0"/>
    <x v="0"/>
    <x v="3"/>
    <x v="7"/>
    <s v="DE4-W_A"/>
    <x v="7"/>
    <x v="5"/>
    <s v="GNR_WT_WIND_ONS"/>
    <x v="0"/>
    <x v="2"/>
    <n v="2601.5680236971002"/>
    <n v="949572.32864943997"/>
    <n v="3418460.3831379898"/>
  </r>
  <r>
    <x v="0"/>
    <x v="0"/>
    <x v="0"/>
    <x v="3"/>
    <x v="7"/>
    <s v="DE4-W_A"/>
    <x v="7"/>
    <x v="5"/>
    <s v="GNR_WT_WIND_ONS"/>
    <x v="0"/>
    <x v="3"/>
    <n v="2470.4305771220702"/>
    <n v="901707.16064955399"/>
    <n v="3246145.7783383899"/>
  </r>
  <r>
    <x v="0"/>
    <x v="0"/>
    <x v="0"/>
    <x v="3"/>
    <x v="7"/>
    <s v="DE4-W_A"/>
    <x v="7"/>
    <x v="5"/>
    <s v="GNR_WT_WIND_ONS"/>
    <x v="0"/>
    <x v="4"/>
    <n v="2250.3333177721202"/>
    <n v="821371.66098682198"/>
    <n v="2956937.97955256"/>
  </r>
  <r>
    <x v="0"/>
    <x v="0"/>
    <x v="0"/>
    <x v="3"/>
    <x v="7"/>
    <s v="DE4-W_A"/>
    <x v="7"/>
    <x v="5"/>
    <s v="GNR_WT_WIND_ONS"/>
    <x v="0"/>
    <x v="5"/>
    <n v="2053.4429661025802"/>
    <n v="749506.68262744194"/>
    <n v="2698224.05745879"/>
  </r>
  <r>
    <x v="0"/>
    <x v="0"/>
    <x v="0"/>
    <x v="3"/>
    <x v="7"/>
    <s v="DE4-W_A"/>
    <x v="7"/>
    <x v="5"/>
    <s v="GNR_WT_WIND_ONS"/>
    <x v="0"/>
    <x v="6"/>
    <n v="1692.63080621425"/>
    <n v="617810.24426820199"/>
    <n v="2224116.8793655299"/>
  </r>
  <r>
    <x v="0"/>
    <x v="0"/>
    <x v="0"/>
    <x v="3"/>
    <x v="7"/>
    <s v="DE4-W_A"/>
    <x v="7"/>
    <x v="5"/>
    <s v="GNR_WT_WIND_ONS"/>
    <x v="0"/>
    <x v="7"/>
    <n v="1636.82371869707"/>
    <n v="597440.65732442995"/>
    <n v="2150786.3663679501"/>
  </r>
  <r>
    <x v="0"/>
    <x v="0"/>
    <x v="0"/>
    <x v="3"/>
    <x v="7"/>
    <s v="DE4-W_A"/>
    <x v="7"/>
    <x v="5"/>
    <s v="GNR_WT_WIND_ONS"/>
    <x v="0"/>
    <x v="8"/>
    <n v="1759.6729839576701"/>
    <n v="642280.63914454903"/>
    <n v="2312210.3009203798"/>
  </r>
  <r>
    <x v="0"/>
    <x v="0"/>
    <x v="0"/>
    <x v="3"/>
    <x v="7"/>
    <s v="DE4-W_A"/>
    <x v="7"/>
    <x v="5"/>
    <s v="GNR_WT_WIND_ONS"/>
    <x v="0"/>
    <x v="9"/>
    <n v="1897.9935210052099"/>
    <n v="692767.63516690198"/>
    <n v="2493963.4866008498"/>
  </r>
  <r>
    <x v="0"/>
    <x v="0"/>
    <x v="0"/>
    <x v="3"/>
    <x v="7"/>
    <s v="DE4-W_A"/>
    <x v="7"/>
    <x v="5"/>
    <s v="GNR_WT_WIND_ONS"/>
    <x v="0"/>
    <x v="10"/>
    <n v="2189.92168508025"/>
    <n v="799321.41505428997"/>
    <n v="2877557.0941954399"/>
  </r>
  <r>
    <x v="0"/>
    <x v="0"/>
    <x v="0"/>
    <x v="3"/>
    <x v="7"/>
    <s v="DE4-W_A"/>
    <x v="7"/>
    <x v="5"/>
    <s v="GNR_WT_WIND_ONS"/>
    <x v="0"/>
    <x v="11"/>
    <n v="2412.4133079210301"/>
    <n v="880530.85739117698"/>
    <n v="3169911.0866082399"/>
  </r>
  <r>
    <x v="0"/>
    <x v="0"/>
    <x v="0"/>
    <x v="3"/>
    <x v="7"/>
    <s v="DE4-W_A"/>
    <x v="7"/>
    <x v="5"/>
    <s v="GNR_WT_WIND_ONS"/>
    <x v="0"/>
    <x v="12"/>
    <n v="2968.6423650229999"/>
    <n v="1083554.4632333899"/>
    <n v="3900796.0676402198"/>
  </r>
  <r>
    <x v="0"/>
    <x v="0"/>
    <x v="0"/>
    <x v="3"/>
    <x v="7"/>
    <s v="DE4-W_A"/>
    <x v="7"/>
    <x v="5"/>
    <s v="GNR_WT_WIND_ONS"/>
    <x v="0"/>
    <x v="13"/>
    <n v="3469.06433460778"/>
    <n v="1266208.48213184"/>
    <n v="4558350.5356746204"/>
  </r>
  <r>
    <x v="0"/>
    <x v="0"/>
    <x v="0"/>
    <x v="3"/>
    <x v="7"/>
    <s v="DE4-W_A"/>
    <x v="7"/>
    <x v="5"/>
    <s v="GNR_WT_WIND_ONS"/>
    <x v="0"/>
    <x v="14"/>
    <n v="4039.2912090407799"/>
    <n v="1474341.29129989"/>
    <n v="5307628.6486795899"/>
  </r>
  <r>
    <x v="0"/>
    <x v="0"/>
    <x v="0"/>
    <x v="3"/>
    <x v="7"/>
    <s v="DE4-W_A"/>
    <x v="7"/>
    <x v="5"/>
    <s v="GNR_WT_WIND_ONS"/>
    <x v="0"/>
    <x v="15"/>
    <n v="4602.1508111942903"/>
    <n v="1679785.04608592"/>
    <n v="6047226.1659092996"/>
  </r>
  <r>
    <x v="0"/>
    <x v="0"/>
    <x v="0"/>
    <x v="3"/>
    <x v="7"/>
    <s v="DE4-W_A"/>
    <x v="7"/>
    <x v="5"/>
    <s v="GNR_WT_WIND_ONS"/>
    <x v="0"/>
    <x v="16"/>
    <n v="5353.6125837029003"/>
    <n v="1954068.59305156"/>
    <n v="7034646.93498562"/>
  </r>
  <r>
    <x v="0"/>
    <x v="0"/>
    <x v="0"/>
    <x v="3"/>
    <x v="7"/>
    <s v="DE4-W_A"/>
    <x v="7"/>
    <x v="5"/>
    <s v="GNR_WT_WIND_ONS"/>
    <x v="0"/>
    <x v="17"/>
    <n v="6040.0581783449597"/>
    <n v="2204621.2350959098"/>
    <n v="7936636.4463452799"/>
  </r>
  <r>
    <x v="0"/>
    <x v="0"/>
    <x v="0"/>
    <x v="3"/>
    <x v="7"/>
    <s v="DE4-W_A"/>
    <x v="7"/>
    <x v="5"/>
    <s v="GNR_WT_WIND_ONS"/>
    <x v="0"/>
    <x v="18"/>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0"/>
    <n v="36.174357536637203"/>
    <n v="13203.6405008726"/>
    <n v="47533.105803141203"/>
  </r>
  <r>
    <x v="0"/>
    <x v="0"/>
    <x v="0"/>
    <x v="3"/>
    <x v="7"/>
    <s v="DE4-W_Offshore_A"/>
    <x v="7"/>
    <x v="5"/>
    <s v="GNR_WT_WIND_OFF"/>
    <x v="0"/>
    <x v="1"/>
    <n v="35.002006959652903"/>
    <n v="12775.7325402733"/>
    <n v="45992.637144983899"/>
  </r>
  <r>
    <x v="0"/>
    <x v="0"/>
    <x v="0"/>
    <x v="3"/>
    <x v="7"/>
    <s v="DE4-W_Offshore_A"/>
    <x v="7"/>
    <x v="5"/>
    <s v="GNR_WT_WIND_OFF"/>
    <x v="0"/>
    <x v="2"/>
    <n v="34.002981313968199"/>
    <n v="12411.088179598401"/>
    <n v="44679.917446554202"/>
  </r>
  <r>
    <x v="0"/>
    <x v="0"/>
    <x v="0"/>
    <x v="3"/>
    <x v="7"/>
    <s v="DE4-W_Offshore_A"/>
    <x v="7"/>
    <x v="5"/>
    <s v="GNR_WT_WIND_OFF"/>
    <x v="0"/>
    <x v="3"/>
    <n v="32.288990326672902"/>
    <n v="11785.481469235599"/>
    <n v="42427.733289248303"/>
  </r>
  <r>
    <x v="0"/>
    <x v="0"/>
    <x v="0"/>
    <x v="3"/>
    <x v="7"/>
    <s v="DE4-W_Offshore_A"/>
    <x v="7"/>
    <x v="5"/>
    <s v="GNR_WT_WIND_OFF"/>
    <x v="0"/>
    <x v="4"/>
    <n v="29.412277925243401"/>
    <n v="10735.481442713801"/>
    <n v="38647.733193769898"/>
  </r>
  <r>
    <x v="0"/>
    <x v="0"/>
    <x v="0"/>
    <x v="3"/>
    <x v="7"/>
    <s v="DE4-W_Offshore_A"/>
    <x v="7"/>
    <x v="5"/>
    <s v="GNR_WT_WIND_OFF"/>
    <x v="0"/>
    <x v="5"/>
    <n v="26.838884153588101"/>
    <n v="9796.1927160596406"/>
    <n v="35266.293777814702"/>
  </r>
  <r>
    <x v="0"/>
    <x v="0"/>
    <x v="0"/>
    <x v="3"/>
    <x v="7"/>
    <s v="DE4-W_Offshore_A"/>
    <x v="7"/>
    <x v="5"/>
    <s v="GNR_WT_WIND_OFF"/>
    <x v="0"/>
    <x v="6"/>
    <n v="22.123001647813599"/>
    <n v="8074.8956014519799"/>
    <n v="29069.624165227098"/>
  </r>
  <r>
    <x v="0"/>
    <x v="0"/>
    <x v="0"/>
    <x v="3"/>
    <x v="7"/>
    <s v="DE4-W_Offshore_A"/>
    <x v="7"/>
    <x v="5"/>
    <s v="GNR_WT_WIND_OFF"/>
    <x v="0"/>
    <x v="7"/>
    <n v="21.393592561928202"/>
    <n v="7808.6612851037798"/>
    <n v="28111.1806263736"/>
  </r>
  <r>
    <x v="0"/>
    <x v="0"/>
    <x v="0"/>
    <x v="3"/>
    <x v="7"/>
    <s v="DE4-W_Offshore_A"/>
    <x v="7"/>
    <x v="5"/>
    <s v="GNR_WT_WIND_OFF"/>
    <x v="0"/>
    <x v="8"/>
    <n v="22.999255467161198"/>
    <n v="8394.7282455138393"/>
    <n v="30221.021683849802"/>
  </r>
  <r>
    <x v="0"/>
    <x v="0"/>
    <x v="0"/>
    <x v="3"/>
    <x v="7"/>
    <s v="DE4-W_Offshore_A"/>
    <x v="7"/>
    <x v="5"/>
    <s v="GNR_WT_WIND_OFF"/>
    <x v="0"/>
    <x v="9"/>
    <n v="24.807130792243701"/>
    <n v="9054.6027391689495"/>
    <n v="32596.5698610082"/>
  </r>
  <r>
    <x v="0"/>
    <x v="0"/>
    <x v="0"/>
    <x v="3"/>
    <x v="7"/>
    <s v="DE4-W_Offshore_A"/>
    <x v="7"/>
    <x v="5"/>
    <s v="GNR_WT_WIND_OFF"/>
    <x v="0"/>
    <x v="10"/>
    <n v="28.6226865715456"/>
    <n v="10447.280598614099"/>
    <n v="37610.2101550109"/>
  </r>
  <r>
    <x v="0"/>
    <x v="0"/>
    <x v="0"/>
    <x v="3"/>
    <x v="7"/>
    <s v="DE4-W_Offshore_A"/>
    <x v="7"/>
    <x v="5"/>
    <s v="GNR_WT_WIND_OFF"/>
    <x v="0"/>
    <x v="11"/>
    <n v="31.5306937522375"/>
    <n v="11508.7032195667"/>
    <n v="41431.331590440102"/>
  </r>
  <r>
    <x v="0"/>
    <x v="0"/>
    <x v="0"/>
    <x v="3"/>
    <x v="7"/>
    <s v="DE4-W_Offshore_A"/>
    <x v="7"/>
    <x v="5"/>
    <s v="GNR_WT_WIND_OFF"/>
    <x v="0"/>
    <x v="12"/>
    <n v="38.800711703967401"/>
    <n v="14162.2597719481"/>
    <n v="50984.135179013101"/>
  </r>
  <r>
    <x v="0"/>
    <x v="0"/>
    <x v="0"/>
    <x v="3"/>
    <x v="7"/>
    <s v="DE4-W_Offshore_A"/>
    <x v="7"/>
    <x v="5"/>
    <s v="GNR_WT_WIND_OFF"/>
    <x v="0"/>
    <x v="13"/>
    <n v="45.3413205698117"/>
    <n v="16549.582007981298"/>
    <n v="59578.495228732601"/>
  </r>
  <r>
    <x v="0"/>
    <x v="0"/>
    <x v="0"/>
    <x v="3"/>
    <x v="7"/>
    <s v="DE4-W_Offshore_A"/>
    <x v="7"/>
    <x v="5"/>
    <s v="GNR_WT_WIND_OFF"/>
    <x v="0"/>
    <x v="14"/>
    <n v="52.794292615691099"/>
    <n v="19269.9168047272"/>
    <n v="69371.700497018101"/>
  </r>
  <r>
    <x v="0"/>
    <x v="0"/>
    <x v="0"/>
    <x v="3"/>
    <x v="7"/>
    <s v="DE4-W_Offshore_A"/>
    <x v="7"/>
    <x v="5"/>
    <s v="GNR_WT_WIND_OFF"/>
    <x v="0"/>
    <x v="15"/>
    <n v="60.150973033070699"/>
    <n v="21955.1051570708"/>
    <n v="79038.378565454899"/>
  </r>
  <r>
    <x v="0"/>
    <x v="0"/>
    <x v="0"/>
    <x v="3"/>
    <x v="7"/>
    <s v="DE4-W_Offshore_A"/>
    <x v="7"/>
    <x v="5"/>
    <s v="GNR_WT_WIND_OFF"/>
    <x v="0"/>
    <x v="16"/>
    <n v="69.972719140043395"/>
    <n v="25540.042486115799"/>
    <n v="91944.152950017102"/>
  </r>
  <r>
    <x v="0"/>
    <x v="0"/>
    <x v="0"/>
    <x v="3"/>
    <x v="7"/>
    <s v="DE4-W_Offshore_A"/>
    <x v="7"/>
    <x v="5"/>
    <s v="GNR_WT_WIND_OFF"/>
    <x v="0"/>
    <x v="17"/>
    <n v="78.944691625505996"/>
    <n v="28814.8124433097"/>
    <n v="103733.324795915"/>
  </r>
  <r>
    <x v="0"/>
    <x v="0"/>
    <x v="0"/>
    <x v="3"/>
    <x v="7"/>
    <s v="DE4-W_Offshore_A"/>
    <x v="7"/>
    <x v="5"/>
    <s v="GNR_WT_WIND_OFF"/>
    <x v="0"/>
    <x v="18"/>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Other_DH"/>
    <x v="0"/>
    <x v="0"/>
    <s v="GNR_GT_BGAS_BP_E-30"/>
    <x v="0"/>
    <x v="0"/>
    <n v="62"/>
    <n v="22630"/>
    <n v="81468"/>
  </r>
  <r>
    <x v="0"/>
    <x v="0"/>
    <x v="0"/>
    <x v="4"/>
    <x v="8"/>
    <s v="LV_Other_DH"/>
    <x v="0"/>
    <x v="0"/>
    <s v="GNR_GT_BGAS_BP_E-30"/>
    <x v="0"/>
    <x v="1"/>
    <n v="62"/>
    <n v="22630"/>
    <n v="81468"/>
  </r>
  <r>
    <x v="0"/>
    <x v="0"/>
    <x v="0"/>
    <x v="4"/>
    <x v="8"/>
    <s v="LV_Other_DH"/>
    <x v="0"/>
    <x v="0"/>
    <s v="GNR_GT_BGAS_BP_E-30"/>
    <x v="0"/>
    <x v="2"/>
    <n v="62"/>
    <n v="22630"/>
    <n v="81468"/>
  </r>
  <r>
    <x v="0"/>
    <x v="0"/>
    <x v="0"/>
    <x v="4"/>
    <x v="8"/>
    <s v="LV_Other_DH"/>
    <x v="0"/>
    <x v="0"/>
    <s v="GNR_GT_BGAS_BP_E-30"/>
    <x v="0"/>
    <x v="3"/>
    <n v="62"/>
    <n v="22630"/>
    <n v="81468"/>
  </r>
  <r>
    <x v="0"/>
    <x v="0"/>
    <x v="0"/>
    <x v="4"/>
    <x v="8"/>
    <s v="LV_Other_DH"/>
    <x v="0"/>
    <x v="0"/>
    <s v="GNR_GT_BGAS_BP_E-30"/>
    <x v="0"/>
    <x v="4"/>
    <n v="62"/>
    <n v="22630"/>
    <n v="81468"/>
  </r>
  <r>
    <x v="0"/>
    <x v="0"/>
    <x v="0"/>
    <x v="4"/>
    <x v="8"/>
    <s v="LV_Other_DH"/>
    <x v="0"/>
    <x v="0"/>
    <s v="GNR_GT_BGAS_BP_E-30"/>
    <x v="0"/>
    <x v="5"/>
    <n v="62"/>
    <n v="22630"/>
    <n v="81468"/>
  </r>
  <r>
    <x v="0"/>
    <x v="0"/>
    <x v="0"/>
    <x v="4"/>
    <x v="8"/>
    <s v="LV_Other_DH"/>
    <x v="0"/>
    <x v="0"/>
    <s v="GNR_GT_BGAS_BP_E-30"/>
    <x v="0"/>
    <x v="6"/>
    <n v="62"/>
    <n v="22630"/>
    <n v="81468"/>
  </r>
  <r>
    <x v="0"/>
    <x v="0"/>
    <x v="0"/>
    <x v="4"/>
    <x v="8"/>
    <s v="LV_Other_DH"/>
    <x v="0"/>
    <x v="0"/>
    <s v="GNR_GT_BGAS_BP_E-30"/>
    <x v="0"/>
    <x v="7"/>
    <n v="62"/>
    <n v="22630"/>
    <n v="81468"/>
  </r>
  <r>
    <x v="0"/>
    <x v="0"/>
    <x v="0"/>
    <x v="4"/>
    <x v="8"/>
    <s v="LV_Other_DH"/>
    <x v="0"/>
    <x v="0"/>
    <s v="GNR_GT_BGAS_BP_E-30"/>
    <x v="0"/>
    <x v="8"/>
    <n v="62"/>
    <n v="22630"/>
    <n v="81468"/>
  </r>
  <r>
    <x v="0"/>
    <x v="0"/>
    <x v="0"/>
    <x v="4"/>
    <x v="8"/>
    <s v="LV_Other_DH"/>
    <x v="0"/>
    <x v="0"/>
    <s v="GNR_GT_BGAS_BP_E-30"/>
    <x v="0"/>
    <x v="9"/>
    <n v="62"/>
    <n v="22630"/>
    <n v="81468"/>
  </r>
  <r>
    <x v="0"/>
    <x v="0"/>
    <x v="0"/>
    <x v="4"/>
    <x v="8"/>
    <s v="LV_Other_DH"/>
    <x v="0"/>
    <x v="0"/>
    <s v="GNR_GT_BGAS_BP_E-30"/>
    <x v="0"/>
    <x v="10"/>
    <n v="62"/>
    <n v="22630"/>
    <n v="81468"/>
  </r>
  <r>
    <x v="0"/>
    <x v="0"/>
    <x v="0"/>
    <x v="4"/>
    <x v="8"/>
    <s v="LV_Other_DH"/>
    <x v="0"/>
    <x v="0"/>
    <s v="GNR_GT_BGAS_BP_E-30"/>
    <x v="0"/>
    <x v="11"/>
    <n v="62"/>
    <n v="22630"/>
    <n v="81468"/>
  </r>
  <r>
    <x v="0"/>
    <x v="0"/>
    <x v="0"/>
    <x v="4"/>
    <x v="8"/>
    <s v="LV_Other_DH"/>
    <x v="0"/>
    <x v="0"/>
    <s v="GNR_GT_BGAS_BP_E-30"/>
    <x v="0"/>
    <x v="12"/>
    <n v="62"/>
    <n v="22630"/>
    <n v="81468"/>
  </r>
  <r>
    <x v="0"/>
    <x v="0"/>
    <x v="0"/>
    <x v="4"/>
    <x v="8"/>
    <s v="LV_Other_DH"/>
    <x v="0"/>
    <x v="0"/>
    <s v="GNR_GT_BGAS_BP_E-30"/>
    <x v="0"/>
    <x v="13"/>
    <n v="62"/>
    <n v="22630"/>
    <n v="81468"/>
  </r>
  <r>
    <x v="0"/>
    <x v="0"/>
    <x v="0"/>
    <x v="4"/>
    <x v="8"/>
    <s v="LV_Other_DH"/>
    <x v="0"/>
    <x v="0"/>
    <s v="GNR_GT_BGAS_BP_E-30"/>
    <x v="0"/>
    <x v="14"/>
    <n v="62"/>
    <n v="22630"/>
    <n v="81468"/>
  </r>
  <r>
    <x v="0"/>
    <x v="0"/>
    <x v="0"/>
    <x v="4"/>
    <x v="8"/>
    <s v="LV_Other_DH"/>
    <x v="0"/>
    <x v="0"/>
    <s v="GNR_GT_BGAS_BP_E-30"/>
    <x v="0"/>
    <x v="15"/>
    <n v="62"/>
    <n v="22630"/>
    <n v="81468"/>
  </r>
  <r>
    <x v="0"/>
    <x v="0"/>
    <x v="0"/>
    <x v="4"/>
    <x v="8"/>
    <s v="LV_Other_DH"/>
    <x v="0"/>
    <x v="0"/>
    <s v="GNR_GT_BGAS_BP_E-30"/>
    <x v="0"/>
    <x v="16"/>
    <n v="62"/>
    <n v="22630"/>
    <n v="81468"/>
  </r>
  <r>
    <x v="0"/>
    <x v="0"/>
    <x v="0"/>
    <x v="4"/>
    <x v="8"/>
    <s v="LV_Other_DH"/>
    <x v="0"/>
    <x v="0"/>
    <s v="GNR_GT_BGAS_BP_E-30"/>
    <x v="0"/>
    <x v="17"/>
    <n v="62"/>
    <n v="22630"/>
    <n v="81468"/>
  </r>
  <r>
    <x v="0"/>
    <x v="0"/>
    <x v="0"/>
    <x v="4"/>
    <x v="8"/>
    <s v="LV_Other_DH"/>
    <x v="0"/>
    <x v="0"/>
    <s v="GNR_GT_BGAS_BP_E-30"/>
    <x v="0"/>
    <x v="18"/>
    <n v="62"/>
    <n v="22630"/>
    <n v="81468"/>
  </r>
  <r>
    <x v="0"/>
    <x v="0"/>
    <x v="0"/>
    <x v="4"/>
    <x v="8"/>
    <s v="LV_Other_DH"/>
    <x v="0"/>
    <x v="0"/>
    <s v="GNR_GT_BGAS_BP_E-30"/>
    <x v="0"/>
    <x v="19"/>
    <n v="62"/>
    <n v="22630"/>
    <n v="81468"/>
  </r>
  <r>
    <x v="0"/>
    <x v="0"/>
    <x v="0"/>
    <x v="4"/>
    <x v="8"/>
    <s v="LV_Other_DH"/>
    <x v="0"/>
    <x v="0"/>
    <s v="GNR_GT_BGAS_BP_E-30"/>
    <x v="0"/>
    <x v="20"/>
    <n v="62"/>
    <n v="22630"/>
    <n v="81468"/>
  </r>
  <r>
    <x v="0"/>
    <x v="0"/>
    <x v="0"/>
    <x v="4"/>
    <x v="8"/>
    <s v="LV_Other_DH"/>
    <x v="0"/>
    <x v="0"/>
    <s v="GNR_GT_BGAS_BP_E-30"/>
    <x v="0"/>
    <x v="21"/>
    <n v="62"/>
    <n v="22630"/>
    <n v="81468"/>
  </r>
  <r>
    <x v="0"/>
    <x v="0"/>
    <x v="0"/>
    <x v="4"/>
    <x v="8"/>
    <s v="LV_Other_DH"/>
    <x v="0"/>
    <x v="0"/>
    <s v="GNR_GT_BGAS_BP_E-30"/>
    <x v="0"/>
    <x v="22"/>
    <n v="62"/>
    <n v="22630"/>
    <n v="81468"/>
  </r>
  <r>
    <x v="0"/>
    <x v="0"/>
    <x v="0"/>
    <x v="4"/>
    <x v="8"/>
    <s v="LV_Other_DH"/>
    <x v="0"/>
    <x v="0"/>
    <s v="GNR_GT_BGAS_BP_E-30"/>
    <x v="0"/>
    <x v="23"/>
    <n v="62"/>
    <n v="22630"/>
    <n v="81468"/>
  </r>
  <r>
    <x v="0"/>
    <x v="0"/>
    <x v="0"/>
    <x v="4"/>
    <x v="8"/>
    <s v="LV_Other_DH"/>
    <x v="10"/>
    <x v="0"/>
    <s v="GNR_ST_WOOD_BP_E-30"/>
    <x v="0"/>
    <x v="0"/>
    <n v="54"/>
    <n v="19710"/>
    <n v="70956"/>
  </r>
  <r>
    <x v="0"/>
    <x v="0"/>
    <x v="0"/>
    <x v="4"/>
    <x v="8"/>
    <s v="LV_Other_DH"/>
    <x v="10"/>
    <x v="0"/>
    <s v="GNR_ST_WOOD_BP_E-30"/>
    <x v="0"/>
    <x v="1"/>
    <n v="54"/>
    <n v="19710"/>
    <n v="70956"/>
  </r>
  <r>
    <x v="0"/>
    <x v="0"/>
    <x v="0"/>
    <x v="4"/>
    <x v="8"/>
    <s v="LV_Other_DH"/>
    <x v="10"/>
    <x v="0"/>
    <s v="GNR_ST_WOOD_BP_E-30"/>
    <x v="0"/>
    <x v="2"/>
    <n v="54"/>
    <n v="19710"/>
    <n v="70956"/>
  </r>
  <r>
    <x v="0"/>
    <x v="0"/>
    <x v="0"/>
    <x v="4"/>
    <x v="8"/>
    <s v="LV_Other_DH"/>
    <x v="10"/>
    <x v="0"/>
    <s v="GNR_ST_WOOD_BP_E-30"/>
    <x v="0"/>
    <x v="3"/>
    <n v="54"/>
    <n v="19710"/>
    <n v="70956"/>
  </r>
  <r>
    <x v="0"/>
    <x v="0"/>
    <x v="0"/>
    <x v="4"/>
    <x v="8"/>
    <s v="LV_Other_DH"/>
    <x v="10"/>
    <x v="0"/>
    <s v="GNR_ST_WOOD_BP_E-30"/>
    <x v="0"/>
    <x v="4"/>
    <n v="54"/>
    <n v="19710"/>
    <n v="70956"/>
  </r>
  <r>
    <x v="0"/>
    <x v="0"/>
    <x v="0"/>
    <x v="4"/>
    <x v="8"/>
    <s v="LV_Other_DH"/>
    <x v="10"/>
    <x v="0"/>
    <s v="GNR_ST_WOOD_BP_E-30"/>
    <x v="0"/>
    <x v="5"/>
    <n v="54"/>
    <n v="19710"/>
    <n v="70956"/>
  </r>
  <r>
    <x v="0"/>
    <x v="0"/>
    <x v="0"/>
    <x v="4"/>
    <x v="8"/>
    <s v="LV_Other_DH"/>
    <x v="10"/>
    <x v="0"/>
    <s v="GNR_ST_WOOD_BP_E-30"/>
    <x v="0"/>
    <x v="6"/>
    <n v="54"/>
    <n v="19710"/>
    <n v="70956"/>
  </r>
  <r>
    <x v="0"/>
    <x v="0"/>
    <x v="0"/>
    <x v="4"/>
    <x v="8"/>
    <s v="LV_Other_DH"/>
    <x v="10"/>
    <x v="0"/>
    <s v="GNR_ST_WOOD_BP_E-30"/>
    <x v="0"/>
    <x v="7"/>
    <n v="54"/>
    <n v="19710"/>
    <n v="70956"/>
  </r>
  <r>
    <x v="0"/>
    <x v="0"/>
    <x v="0"/>
    <x v="4"/>
    <x v="8"/>
    <s v="LV_Other_DH"/>
    <x v="10"/>
    <x v="0"/>
    <s v="GNR_ST_WOOD_BP_E-30"/>
    <x v="0"/>
    <x v="8"/>
    <n v="54"/>
    <n v="19710"/>
    <n v="70956"/>
  </r>
  <r>
    <x v="0"/>
    <x v="0"/>
    <x v="0"/>
    <x v="4"/>
    <x v="8"/>
    <s v="LV_Other_DH"/>
    <x v="10"/>
    <x v="0"/>
    <s v="GNR_ST_WOOD_BP_E-30"/>
    <x v="0"/>
    <x v="9"/>
    <n v="54"/>
    <n v="19710"/>
    <n v="70956"/>
  </r>
  <r>
    <x v="0"/>
    <x v="0"/>
    <x v="0"/>
    <x v="4"/>
    <x v="8"/>
    <s v="LV_Other_DH"/>
    <x v="10"/>
    <x v="0"/>
    <s v="GNR_ST_WOOD_BP_E-30"/>
    <x v="0"/>
    <x v="10"/>
    <n v="54"/>
    <n v="19710"/>
    <n v="70956"/>
  </r>
  <r>
    <x v="0"/>
    <x v="0"/>
    <x v="0"/>
    <x v="4"/>
    <x v="8"/>
    <s v="LV_Other_DH"/>
    <x v="10"/>
    <x v="0"/>
    <s v="GNR_ST_WOOD_BP_E-30"/>
    <x v="0"/>
    <x v="11"/>
    <n v="54"/>
    <n v="19710"/>
    <n v="70956"/>
  </r>
  <r>
    <x v="0"/>
    <x v="0"/>
    <x v="0"/>
    <x v="4"/>
    <x v="8"/>
    <s v="LV_Other_DH"/>
    <x v="10"/>
    <x v="0"/>
    <s v="GNR_ST_WOOD_BP_E-30"/>
    <x v="0"/>
    <x v="12"/>
    <n v="54"/>
    <n v="19710"/>
    <n v="70956"/>
  </r>
  <r>
    <x v="0"/>
    <x v="0"/>
    <x v="0"/>
    <x v="4"/>
    <x v="8"/>
    <s v="LV_Other_DH"/>
    <x v="10"/>
    <x v="0"/>
    <s v="GNR_ST_WOOD_BP_E-30"/>
    <x v="0"/>
    <x v="13"/>
    <n v="54"/>
    <n v="19710"/>
    <n v="70956"/>
  </r>
  <r>
    <x v="0"/>
    <x v="0"/>
    <x v="0"/>
    <x v="4"/>
    <x v="8"/>
    <s v="LV_Other_DH"/>
    <x v="10"/>
    <x v="0"/>
    <s v="GNR_ST_WOOD_BP_E-30"/>
    <x v="0"/>
    <x v="14"/>
    <n v="54"/>
    <n v="19710"/>
    <n v="70956"/>
  </r>
  <r>
    <x v="0"/>
    <x v="0"/>
    <x v="0"/>
    <x v="4"/>
    <x v="8"/>
    <s v="LV_Other_DH"/>
    <x v="10"/>
    <x v="0"/>
    <s v="GNR_ST_WOOD_BP_E-30"/>
    <x v="0"/>
    <x v="15"/>
    <n v="54"/>
    <n v="19710"/>
    <n v="70956"/>
  </r>
  <r>
    <x v="0"/>
    <x v="0"/>
    <x v="0"/>
    <x v="4"/>
    <x v="8"/>
    <s v="LV_Other_DH"/>
    <x v="10"/>
    <x v="0"/>
    <s v="GNR_ST_WOOD_BP_E-30"/>
    <x v="0"/>
    <x v="16"/>
    <n v="54"/>
    <n v="19710"/>
    <n v="70956"/>
  </r>
  <r>
    <x v="0"/>
    <x v="0"/>
    <x v="0"/>
    <x v="4"/>
    <x v="8"/>
    <s v="LV_Other_DH"/>
    <x v="10"/>
    <x v="0"/>
    <s v="GNR_ST_WOOD_BP_E-30"/>
    <x v="0"/>
    <x v="17"/>
    <n v="54"/>
    <n v="19710"/>
    <n v="70956"/>
  </r>
  <r>
    <x v="0"/>
    <x v="0"/>
    <x v="0"/>
    <x v="4"/>
    <x v="8"/>
    <s v="LV_Other_DH"/>
    <x v="10"/>
    <x v="0"/>
    <s v="GNR_ST_WOOD_BP_E-30"/>
    <x v="0"/>
    <x v="18"/>
    <n v="54"/>
    <n v="19710"/>
    <n v="70956"/>
  </r>
  <r>
    <x v="0"/>
    <x v="0"/>
    <x v="0"/>
    <x v="4"/>
    <x v="8"/>
    <s v="LV_Other_DH"/>
    <x v="10"/>
    <x v="0"/>
    <s v="GNR_ST_WOOD_BP_E-30"/>
    <x v="0"/>
    <x v="19"/>
    <n v="54"/>
    <n v="19710"/>
    <n v="70956"/>
  </r>
  <r>
    <x v="0"/>
    <x v="0"/>
    <x v="0"/>
    <x v="4"/>
    <x v="8"/>
    <s v="LV_Other_DH"/>
    <x v="10"/>
    <x v="0"/>
    <s v="GNR_ST_WOOD_BP_E-30"/>
    <x v="0"/>
    <x v="20"/>
    <n v="54"/>
    <n v="19710"/>
    <n v="70956"/>
  </r>
  <r>
    <x v="0"/>
    <x v="0"/>
    <x v="0"/>
    <x v="4"/>
    <x v="8"/>
    <s v="LV_Other_DH"/>
    <x v="10"/>
    <x v="0"/>
    <s v="GNR_ST_WOOD_BP_E-30"/>
    <x v="0"/>
    <x v="21"/>
    <n v="54"/>
    <n v="19710"/>
    <n v="70956"/>
  </r>
  <r>
    <x v="0"/>
    <x v="0"/>
    <x v="0"/>
    <x v="4"/>
    <x v="8"/>
    <s v="LV_Other_DH"/>
    <x v="10"/>
    <x v="0"/>
    <s v="GNR_ST_WOOD_BP_E-30"/>
    <x v="0"/>
    <x v="22"/>
    <n v="54"/>
    <n v="19710"/>
    <n v="70956"/>
  </r>
  <r>
    <x v="0"/>
    <x v="0"/>
    <x v="0"/>
    <x v="4"/>
    <x v="8"/>
    <s v="LV_Other_DH"/>
    <x v="10"/>
    <x v="0"/>
    <s v="GNR_ST_WOOD_BP_E-30"/>
    <x v="0"/>
    <x v="23"/>
    <n v="54"/>
    <n v="19710"/>
    <n v="70956"/>
  </r>
  <r>
    <x v="0"/>
    <x v="0"/>
    <x v="0"/>
    <x v="4"/>
    <x v="8"/>
    <s v="LV_RigaR"/>
    <x v="2"/>
    <x v="1"/>
    <s v="RIGA-TEC2_CC_NGAS_EXT"/>
    <x v="0"/>
    <x v="0"/>
    <n v="50.866782986788699"/>
    <n v="18566.375790177899"/>
    <n v="66838.952844640298"/>
  </r>
  <r>
    <x v="0"/>
    <x v="0"/>
    <x v="0"/>
    <x v="4"/>
    <x v="8"/>
    <s v="LV_RigaR"/>
    <x v="2"/>
    <x v="1"/>
    <s v="RIGA-TEC2_CC_NGAS_EXT"/>
    <x v="0"/>
    <x v="5"/>
    <n v="24.855687277767998"/>
    <n v="9072.3258563853306"/>
    <n v="32660.3730829872"/>
  </r>
  <r>
    <x v="0"/>
    <x v="0"/>
    <x v="0"/>
    <x v="4"/>
    <x v="8"/>
    <s v="LV_RigaR"/>
    <x v="2"/>
    <x v="1"/>
    <s v="RIGA-TEC2_CC_NGAS_EXT"/>
    <x v="0"/>
    <x v="6"/>
    <n v="157.84075272351501"/>
    <n v="57611.874744082903"/>
    <n v="207402.74907869901"/>
  </r>
  <r>
    <x v="0"/>
    <x v="0"/>
    <x v="0"/>
    <x v="4"/>
    <x v="8"/>
    <s v="LV_RigaR"/>
    <x v="2"/>
    <x v="1"/>
    <s v="RIGA-TEC2_CC_NGAS_EXT"/>
    <x v="0"/>
    <x v="7"/>
    <n v="350.17001179221103"/>
    <n v="127812.05430415701"/>
    <n v="460123.39549496502"/>
  </r>
  <r>
    <x v="0"/>
    <x v="0"/>
    <x v="0"/>
    <x v="4"/>
    <x v="8"/>
    <s v="LV_RigaR"/>
    <x v="2"/>
    <x v="1"/>
    <s v="RIGA-TEC2_CC_NGAS_EXT"/>
    <x v="0"/>
    <x v="8"/>
    <n v="478.86252739562099"/>
    <n v="174784.82249940201"/>
    <n v="629225.360997846"/>
  </r>
  <r>
    <x v="0"/>
    <x v="0"/>
    <x v="0"/>
    <x v="4"/>
    <x v="8"/>
    <s v="LV_RigaR"/>
    <x v="2"/>
    <x v="1"/>
    <s v="RIGA-TEC2_CC_NGAS_EXT"/>
    <x v="0"/>
    <x v="9"/>
    <n v="512.97612372643698"/>
    <n v="187236.28516015"/>
    <n v="674050.62657653901"/>
  </r>
  <r>
    <x v="0"/>
    <x v="0"/>
    <x v="0"/>
    <x v="4"/>
    <x v="8"/>
    <s v="LV_RigaR"/>
    <x v="2"/>
    <x v="1"/>
    <s v="RIGA-TEC2_CC_NGAS_EXT"/>
    <x v="0"/>
    <x v="10"/>
    <n v="525.31916354723603"/>
    <n v="191741.49469474101"/>
    <n v="690269.38090106798"/>
  </r>
  <r>
    <x v="0"/>
    <x v="0"/>
    <x v="0"/>
    <x v="4"/>
    <x v="8"/>
    <s v="LV_RigaR"/>
    <x v="2"/>
    <x v="1"/>
    <s v="RIGA-TEC2_CC_NGAS_EXT"/>
    <x v="0"/>
    <x v="11"/>
    <n v="502.06033561977398"/>
    <n v="183252.022501217"/>
    <n v="659707.281004383"/>
  </r>
  <r>
    <x v="0"/>
    <x v="0"/>
    <x v="0"/>
    <x v="4"/>
    <x v="8"/>
    <s v="LV_RigaR"/>
    <x v="2"/>
    <x v="1"/>
    <s v="RIGA-TEC2_CC_NGAS_EXT"/>
    <x v="0"/>
    <x v="12"/>
    <n v="497.25957440223402"/>
    <n v="181499.74465681499"/>
    <n v="653399.080764535"/>
  </r>
  <r>
    <x v="0"/>
    <x v="0"/>
    <x v="0"/>
    <x v="4"/>
    <x v="8"/>
    <s v="LV_RigaR"/>
    <x v="2"/>
    <x v="1"/>
    <s v="RIGA-TEC2_CC_NGAS_EXT"/>
    <x v="0"/>
    <x v="13"/>
    <n v="491.44734440644999"/>
    <n v="179378.280708354"/>
    <n v="645761.81055007502"/>
  </r>
  <r>
    <x v="0"/>
    <x v="0"/>
    <x v="0"/>
    <x v="4"/>
    <x v="8"/>
    <s v="LV_RigaR"/>
    <x v="2"/>
    <x v="1"/>
    <s v="RIGA-TEC2_CC_NGAS_EXT"/>
    <x v="0"/>
    <x v="14"/>
    <n v="495.29191655821103"/>
    <n v="180781.54954374701"/>
    <n v="650813.57835749001"/>
  </r>
  <r>
    <x v="0"/>
    <x v="0"/>
    <x v="0"/>
    <x v="4"/>
    <x v="8"/>
    <s v="LV_RigaR"/>
    <x v="2"/>
    <x v="1"/>
    <s v="RIGA-TEC2_CC_NGAS_EXT"/>
    <x v="0"/>
    <x v="15"/>
    <n v="498.35109275375601"/>
    <n v="181898.14885512099"/>
    <n v="654833.33587843599"/>
  </r>
  <r>
    <x v="0"/>
    <x v="0"/>
    <x v="0"/>
    <x v="4"/>
    <x v="8"/>
    <s v="LV_RigaR"/>
    <x v="2"/>
    <x v="1"/>
    <s v="RIGA-TEC2_CC_NGAS_EXT"/>
    <x v="0"/>
    <x v="16"/>
    <n v="540.81217953269697"/>
    <n v="197396.445529435"/>
    <n v="710627.20390596497"/>
  </r>
  <r>
    <x v="0"/>
    <x v="0"/>
    <x v="0"/>
    <x v="4"/>
    <x v="8"/>
    <s v="LV_RigaR"/>
    <x v="2"/>
    <x v="1"/>
    <s v="RIGA-TEC2_CC_NGAS_EXT"/>
    <x v="0"/>
    <x v="17"/>
    <n v="532.36319515244998"/>
    <n v="194312.56623064401"/>
    <n v="699525.238430319"/>
  </r>
  <r>
    <x v="0"/>
    <x v="0"/>
    <x v="0"/>
    <x v="4"/>
    <x v="8"/>
    <s v="LV_RigaR"/>
    <x v="2"/>
    <x v="1"/>
    <s v="RIGA-TEC2_CC_NGAS_EXT"/>
    <x v="0"/>
    <x v="18"/>
    <n v="497.640792398656"/>
    <n v="181638.88922550899"/>
    <n v="653900.00121183402"/>
  </r>
  <r>
    <x v="0"/>
    <x v="0"/>
    <x v="0"/>
    <x v="4"/>
    <x v="8"/>
    <s v="LV_RigaR"/>
    <x v="2"/>
    <x v="1"/>
    <s v="RIGA-TEC2_CC_NGAS_EXT"/>
    <x v="0"/>
    <x v="19"/>
    <n v="446.55340212038197"/>
    <n v="162991.99177393899"/>
    <n v="586771.17038618203"/>
  </r>
  <r>
    <x v="0"/>
    <x v="0"/>
    <x v="0"/>
    <x v="4"/>
    <x v="8"/>
    <s v="LV_RigaR"/>
    <x v="2"/>
    <x v="1"/>
    <s v="RIGA-TEC2_CC_NGAS_EXT"/>
    <x v="0"/>
    <x v="20"/>
    <n v="403.88527238938099"/>
    <n v="147418.124422124"/>
    <n v="530705.24791964702"/>
  </r>
  <r>
    <x v="0"/>
    <x v="0"/>
    <x v="0"/>
    <x v="4"/>
    <x v="8"/>
    <s v="LV_RigaR"/>
    <x v="2"/>
    <x v="1"/>
    <s v="RIGA-TEC2_CC_NGAS_EXT"/>
    <x v="0"/>
    <x v="21"/>
    <n v="347.09204358677403"/>
    <n v="126688.595909173"/>
    <n v="456078.945273021"/>
  </r>
  <r>
    <x v="0"/>
    <x v="0"/>
    <x v="0"/>
    <x v="4"/>
    <x v="8"/>
    <s v="LV_RigaR"/>
    <x v="2"/>
    <x v="1"/>
    <s v="RIGA-TEC2_CC_NGAS_EXT"/>
    <x v="0"/>
    <x v="22"/>
    <n v="247.44007605495599"/>
    <n v="90315.627760058793"/>
    <n v="325136.25993621198"/>
  </r>
  <r>
    <x v="0"/>
    <x v="0"/>
    <x v="0"/>
    <x v="4"/>
    <x v="8"/>
    <s v="LV_RigaR"/>
    <x v="2"/>
    <x v="1"/>
    <s v="RIGA-TEC2_CC_NGAS_EXT"/>
    <x v="0"/>
    <x v="23"/>
    <n v="131.352979369704"/>
    <n v="47943.837469942002"/>
    <n v="172597.814891791"/>
  </r>
  <r>
    <x v="0"/>
    <x v="0"/>
    <x v="0"/>
    <x v="4"/>
    <x v="8"/>
    <s v="LV_RigaR"/>
    <x v="6"/>
    <x v="7"/>
    <s v="GNR_RES_WTR_NOPMP"/>
    <x v="0"/>
    <x v="9"/>
    <n v="1.1013698630137001"/>
    <n v="402"/>
    <n v="1447.2"/>
  </r>
  <r>
    <x v="0"/>
    <x v="0"/>
    <x v="0"/>
    <x v="4"/>
    <x v="8"/>
    <s v="LV_Rural"/>
    <x v="7"/>
    <x v="5"/>
    <s v="GNR_WT_WIND_ONS"/>
    <x v="0"/>
    <x v="0"/>
    <n v="3.5228018212877599"/>
    <n v="1285.8226647700301"/>
    <n v="4628.96159317212"/>
  </r>
  <r>
    <x v="0"/>
    <x v="0"/>
    <x v="0"/>
    <x v="4"/>
    <x v="8"/>
    <s v="LV_Rural"/>
    <x v="7"/>
    <x v="5"/>
    <s v="GNR_WT_WIND_ONS"/>
    <x v="0"/>
    <x v="1"/>
    <n v="4.2273621855453101"/>
    <n v="1542.98719772404"/>
    <n v="5554.7539118065397"/>
  </r>
  <r>
    <x v="0"/>
    <x v="0"/>
    <x v="0"/>
    <x v="4"/>
    <x v="8"/>
    <s v="LV_Rural"/>
    <x v="7"/>
    <x v="5"/>
    <s v="GNR_WT_WIND_ONS"/>
    <x v="0"/>
    <x v="2"/>
    <n v="4.1267107049370901"/>
    <n v="1506.24940730204"/>
    <n v="5422.49786628734"/>
  </r>
  <r>
    <x v="0"/>
    <x v="0"/>
    <x v="0"/>
    <x v="4"/>
    <x v="8"/>
    <s v="LV_Rural"/>
    <x v="7"/>
    <x v="5"/>
    <s v="GNR_WT_WIND_ONS"/>
    <x v="0"/>
    <x v="3"/>
    <n v="3.8750820034165399"/>
    <n v="1414.4049312470399"/>
    <n v="5091.8577524893299"/>
  </r>
  <r>
    <x v="0"/>
    <x v="0"/>
    <x v="0"/>
    <x v="4"/>
    <x v="8"/>
    <s v="LV_Rural"/>
    <x v="7"/>
    <x v="5"/>
    <s v="GNR_WT_WIND_ONS"/>
    <x v="0"/>
    <x v="4"/>
    <n v="2.8685671973343201"/>
    <n v="1047.02702702703"/>
    <n v="3769.2972972972998"/>
  </r>
  <r>
    <x v="0"/>
    <x v="0"/>
    <x v="0"/>
    <x v="4"/>
    <x v="8"/>
    <s v="LV_Rural"/>
    <x v="7"/>
    <x v="5"/>
    <s v="GNR_WT_WIND_ONS"/>
    <x v="0"/>
    <x v="5"/>
    <n v="1.66074943003566"/>
    <n v="606.17354196301596"/>
    <n v="2182.2247510668599"/>
  </r>
  <r>
    <x v="0"/>
    <x v="0"/>
    <x v="0"/>
    <x v="4"/>
    <x v="8"/>
    <s v="LV_Rural"/>
    <x v="7"/>
    <x v="5"/>
    <s v="GNR_WT_WIND_ONS"/>
    <x v="0"/>
    <x v="6"/>
    <n v="0.35228018212877599"/>
    <n v="128.582266477003"/>
    <n v="462.89615931721198"/>
  </r>
  <r>
    <x v="0"/>
    <x v="0"/>
    <x v="0"/>
    <x v="4"/>
    <x v="8"/>
    <s v="LV_Rural"/>
    <x v="7"/>
    <x v="5"/>
    <s v="GNR_WT_WIND_ONS"/>
    <x v="0"/>
    <x v="7"/>
    <n v="0.251628701520554"/>
    <n v="91.844476055002403"/>
    <n v="330.640113798009"/>
  </r>
  <r>
    <x v="0"/>
    <x v="0"/>
    <x v="0"/>
    <x v="4"/>
    <x v="8"/>
    <s v="LV_Rural"/>
    <x v="7"/>
    <x v="5"/>
    <s v="GNR_WT_WIND_ONS"/>
    <x v="0"/>
    <x v="8"/>
    <n v="0.35228018212877599"/>
    <n v="128.582266477003"/>
    <n v="462.89615931721198"/>
  </r>
  <r>
    <x v="0"/>
    <x v="0"/>
    <x v="0"/>
    <x v="4"/>
    <x v="8"/>
    <s v="LV_Rural"/>
    <x v="7"/>
    <x v="5"/>
    <s v="GNR_WT_WIND_ONS"/>
    <x v="0"/>
    <x v="9"/>
    <n v="1.66074943003566"/>
    <n v="606.17354196301596"/>
    <n v="2182.2247510668599"/>
  </r>
  <r>
    <x v="0"/>
    <x v="0"/>
    <x v="0"/>
    <x v="4"/>
    <x v="8"/>
    <s v="LV_Rural"/>
    <x v="7"/>
    <x v="5"/>
    <s v="GNR_WT_WIND_ONS"/>
    <x v="0"/>
    <x v="10"/>
    <n v="3.8750820034165399"/>
    <n v="1414.4049312470399"/>
    <n v="5091.8577524893299"/>
  </r>
  <r>
    <x v="0"/>
    <x v="0"/>
    <x v="0"/>
    <x v="4"/>
    <x v="8"/>
    <s v="LV_Rural"/>
    <x v="7"/>
    <x v="5"/>
    <s v="GNR_WT_WIND_ONS"/>
    <x v="0"/>
    <x v="11"/>
    <n v="5.9887630961892002"/>
    <n v="2185.8985301090602"/>
    <n v="7869.2347083925997"/>
  </r>
  <r>
    <x v="0"/>
    <x v="0"/>
    <x v="0"/>
    <x v="4"/>
    <x v="8"/>
    <s v="LV_Rural"/>
    <x v="7"/>
    <x v="5"/>
    <s v="GNR_WT_WIND_ONS"/>
    <x v="0"/>
    <x v="12"/>
    <n v="6.9449521619672998"/>
    <n v="2534.90753911807"/>
    <n v="9125.6671408250295"/>
  </r>
  <r>
    <x v="0"/>
    <x v="0"/>
    <x v="0"/>
    <x v="4"/>
    <x v="8"/>
    <s v="LV_Rural"/>
    <x v="7"/>
    <x v="5"/>
    <s v="GNR_WT_WIND_ONS"/>
    <x v="0"/>
    <x v="13"/>
    <n v="7.9514669680495196"/>
    <n v="2902.2854433380699"/>
    <n v="10448.227596017099"/>
  </r>
  <r>
    <x v="0"/>
    <x v="0"/>
    <x v="0"/>
    <x v="4"/>
    <x v="8"/>
    <s v="LV_Rural"/>
    <x v="7"/>
    <x v="5"/>
    <s v="GNR_WT_WIND_ONS"/>
    <x v="0"/>
    <x v="14"/>
    <n v="7.9514669680495196"/>
    <n v="2902.2854433380699"/>
    <n v="10448.227596017099"/>
  </r>
  <r>
    <x v="0"/>
    <x v="0"/>
    <x v="0"/>
    <x v="4"/>
    <x v="8"/>
    <s v="LV_Rural"/>
    <x v="7"/>
    <x v="5"/>
    <s v="GNR_WT_WIND_ONS"/>
    <x v="0"/>
    <x v="15"/>
    <n v="12.581435076027701"/>
    <n v="4592.2238027501198"/>
    <n v="16532.005689900401"/>
  </r>
  <r>
    <x v="0"/>
    <x v="0"/>
    <x v="0"/>
    <x v="4"/>
    <x v="8"/>
    <s v="LV_Rural"/>
    <x v="7"/>
    <x v="5"/>
    <s v="GNR_WT_WIND_ONS"/>
    <x v="0"/>
    <x v="16"/>
    <n v="16.255214118227801"/>
    <n v="5933.15315315315"/>
    <n v="21359.351351351299"/>
  </r>
  <r>
    <x v="0"/>
    <x v="0"/>
    <x v="0"/>
    <x v="4"/>
    <x v="8"/>
    <s v="LV_Rural"/>
    <x v="7"/>
    <x v="5"/>
    <s v="GNR_WT_WIND_ONS"/>
    <x v="0"/>
    <x v="17"/>
    <n v="16.053911157011399"/>
    <n v="5859.6775723091496"/>
    <n v="21094.8392603129"/>
  </r>
  <r>
    <x v="0"/>
    <x v="0"/>
    <x v="0"/>
    <x v="4"/>
    <x v="8"/>
    <s v="LV_Rural"/>
    <x v="7"/>
    <x v="5"/>
    <s v="GNR_WT_WIND_ONS"/>
    <x v="0"/>
    <x v="18"/>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1"/>
    <x v="0"/>
    <s v="KAUNAS_ST_MSW_BP"/>
    <x v="0"/>
    <x v="0"/>
    <n v="24"/>
    <n v="8760"/>
    <n v="31536"/>
  </r>
  <r>
    <x v="0"/>
    <x v="0"/>
    <x v="0"/>
    <x v="5"/>
    <x v="9"/>
    <s v="LT_KauU"/>
    <x v="1"/>
    <x v="0"/>
    <s v="KAUNAS_ST_MSW_BP"/>
    <x v="0"/>
    <x v="1"/>
    <n v="24"/>
    <n v="8760"/>
    <n v="31536"/>
  </r>
  <r>
    <x v="0"/>
    <x v="0"/>
    <x v="0"/>
    <x v="5"/>
    <x v="9"/>
    <s v="LT_KauU"/>
    <x v="1"/>
    <x v="0"/>
    <s v="KAUNAS_ST_MSW_BP"/>
    <x v="0"/>
    <x v="2"/>
    <n v="24"/>
    <n v="8760"/>
    <n v="31536"/>
  </r>
  <r>
    <x v="0"/>
    <x v="0"/>
    <x v="0"/>
    <x v="5"/>
    <x v="9"/>
    <s v="LT_KauU"/>
    <x v="1"/>
    <x v="0"/>
    <s v="KAUNAS_ST_MSW_BP"/>
    <x v="0"/>
    <x v="3"/>
    <n v="24"/>
    <n v="8760"/>
    <n v="31536"/>
  </r>
  <r>
    <x v="0"/>
    <x v="0"/>
    <x v="0"/>
    <x v="5"/>
    <x v="9"/>
    <s v="LT_KauU"/>
    <x v="1"/>
    <x v="0"/>
    <s v="KAUNAS_ST_MSW_BP"/>
    <x v="0"/>
    <x v="4"/>
    <n v="24"/>
    <n v="8760"/>
    <n v="31536"/>
  </r>
  <r>
    <x v="0"/>
    <x v="0"/>
    <x v="0"/>
    <x v="5"/>
    <x v="9"/>
    <s v="LT_KauU"/>
    <x v="1"/>
    <x v="0"/>
    <s v="KAUNAS_ST_MSW_BP"/>
    <x v="0"/>
    <x v="5"/>
    <n v="24"/>
    <n v="8760"/>
    <n v="31536"/>
  </r>
  <r>
    <x v="0"/>
    <x v="0"/>
    <x v="0"/>
    <x v="5"/>
    <x v="9"/>
    <s v="LT_KauU"/>
    <x v="1"/>
    <x v="0"/>
    <s v="KAUNAS_ST_MSW_BP"/>
    <x v="0"/>
    <x v="6"/>
    <n v="24"/>
    <n v="8760"/>
    <n v="31536"/>
  </r>
  <r>
    <x v="0"/>
    <x v="0"/>
    <x v="0"/>
    <x v="5"/>
    <x v="9"/>
    <s v="LT_KauU"/>
    <x v="1"/>
    <x v="0"/>
    <s v="KAUNAS_ST_MSW_BP"/>
    <x v="0"/>
    <x v="7"/>
    <n v="24"/>
    <n v="8760"/>
    <n v="31536"/>
  </r>
  <r>
    <x v="0"/>
    <x v="0"/>
    <x v="0"/>
    <x v="5"/>
    <x v="9"/>
    <s v="LT_KauU"/>
    <x v="1"/>
    <x v="0"/>
    <s v="KAUNAS_ST_MSW_BP"/>
    <x v="0"/>
    <x v="8"/>
    <n v="24"/>
    <n v="8760"/>
    <n v="31536"/>
  </r>
  <r>
    <x v="0"/>
    <x v="0"/>
    <x v="0"/>
    <x v="5"/>
    <x v="9"/>
    <s v="LT_KauU"/>
    <x v="1"/>
    <x v="0"/>
    <s v="KAUNAS_ST_MSW_BP"/>
    <x v="0"/>
    <x v="9"/>
    <n v="24"/>
    <n v="8760"/>
    <n v="31536"/>
  </r>
  <r>
    <x v="0"/>
    <x v="0"/>
    <x v="0"/>
    <x v="5"/>
    <x v="9"/>
    <s v="LT_KauU"/>
    <x v="1"/>
    <x v="0"/>
    <s v="KAUNAS_ST_MSW_BP"/>
    <x v="0"/>
    <x v="10"/>
    <n v="24"/>
    <n v="8760"/>
    <n v="31536"/>
  </r>
  <r>
    <x v="0"/>
    <x v="0"/>
    <x v="0"/>
    <x v="5"/>
    <x v="9"/>
    <s v="LT_KauU"/>
    <x v="1"/>
    <x v="0"/>
    <s v="KAUNAS_ST_MSW_BP"/>
    <x v="0"/>
    <x v="11"/>
    <n v="24"/>
    <n v="8760"/>
    <n v="31536"/>
  </r>
  <r>
    <x v="0"/>
    <x v="0"/>
    <x v="0"/>
    <x v="5"/>
    <x v="9"/>
    <s v="LT_KauU"/>
    <x v="1"/>
    <x v="0"/>
    <s v="KAUNAS_ST_MSW_BP"/>
    <x v="0"/>
    <x v="12"/>
    <n v="24"/>
    <n v="8760"/>
    <n v="31536"/>
  </r>
  <r>
    <x v="0"/>
    <x v="0"/>
    <x v="0"/>
    <x v="5"/>
    <x v="9"/>
    <s v="LT_KauU"/>
    <x v="1"/>
    <x v="0"/>
    <s v="KAUNAS_ST_MSW_BP"/>
    <x v="0"/>
    <x v="13"/>
    <n v="24"/>
    <n v="8760"/>
    <n v="31536"/>
  </r>
  <r>
    <x v="0"/>
    <x v="0"/>
    <x v="0"/>
    <x v="5"/>
    <x v="9"/>
    <s v="LT_KauU"/>
    <x v="1"/>
    <x v="0"/>
    <s v="KAUNAS_ST_MSW_BP"/>
    <x v="0"/>
    <x v="14"/>
    <n v="24"/>
    <n v="8760"/>
    <n v="31536"/>
  </r>
  <r>
    <x v="0"/>
    <x v="0"/>
    <x v="0"/>
    <x v="5"/>
    <x v="9"/>
    <s v="LT_KauU"/>
    <x v="1"/>
    <x v="0"/>
    <s v="KAUNAS_ST_MSW_BP"/>
    <x v="0"/>
    <x v="15"/>
    <n v="24"/>
    <n v="8760"/>
    <n v="31536"/>
  </r>
  <r>
    <x v="0"/>
    <x v="0"/>
    <x v="0"/>
    <x v="5"/>
    <x v="9"/>
    <s v="LT_KauU"/>
    <x v="1"/>
    <x v="0"/>
    <s v="KAUNAS_ST_MSW_BP"/>
    <x v="0"/>
    <x v="16"/>
    <n v="24"/>
    <n v="8760"/>
    <n v="31536"/>
  </r>
  <r>
    <x v="0"/>
    <x v="0"/>
    <x v="0"/>
    <x v="5"/>
    <x v="9"/>
    <s v="LT_KauU"/>
    <x v="1"/>
    <x v="0"/>
    <s v="KAUNAS_ST_MSW_BP"/>
    <x v="0"/>
    <x v="17"/>
    <n v="24"/>
    <n v="8760"/>
    <n v="31536"/>
  </r>
  <r>
    <x v="0"/>
    <x v="0"/>
    <x v="0"/>
    <x v="5"/>
    <x v="9"/>
    <s v="LT_KauU"/>
    <x v="1"/>
    <x v="0"/>
    <s v="KAUNAS_ST_MSW_BP"/>
    <x v="0"/>
    <x v="18"/>
    <n v="24"/>
    <n v="8760"/>
    <n v="31536"/>
  </r>
  <r>
    <x v="0"/>
    <x v="0"/>
    <x v="0"/>
    <x v="5"/>
    <x v="9"/>
    <s v="LT_KauU"/>
    <x v="1"/>
    <x v="0"/>
    <s v="KAUNAS_ST_MSW_BP"/>
    <x v="0"/>
    <x v="19"/>
    <n v="24"/>
    <n v="8760"/>
    <n v="31536"/>
  </r>
  <r>
    <x v="0"/>
    <x v="0"/>
    <x v="0"/>
    <x v="5"/>
    <x v="9"/>
    <s v="LT_KauU"/>
    <x v="1"/>
    <x v="0"/>
    <s v="KAUNAS_ST_MSW_BP"/>
    <x v="0"/>
    <x v="20"/>
    <n v="24"/>
    <n v="8760"/>
    <n v="31536"/>
  </r>
  <r>
    <x v="0"/>
    <x v="0"/>
    <x v="0"/>
    <x v="5"/>
    <x v="9"/>
    <s v="LT_KauU"/>
    <x v="1"/>
    <x v="0"/>
    <s v="KAUNAS_ST_MSW_BP"/>
    <x v="0"/>
    <x v="21"/>
    <n v="24"/>
    <n v="8760"/>
    <n v="31536"/>
  </r>
  <r>
    <x v="0"/>
    <x v="0"/>
    <x v="0"/>
    <x v="5"/>
    <x v="9"/>
    <s v="LT_KauU"/>
    <x v="1"/>
    <x v="0"/>
    <s v="KAUNAS_ST_MSW_BP"/>
    <x v="0"/>
    <x v="22"/>
    <n v="24"/>
    <n v="8760"/>
    <n v="31536"/>
  </r>
  <r>
    <x v="0"/>
    <x v="0"/>
    <x v="0"/>
    <x v="5"/>
    <x v="9"/>
    <s v="LT_KauU"/>
    <x v="1"/>
    <x v="0"/>
    <s v="KAUNAS_ST_MSW_BP"/>
    <x v="0"/>
    <x v="23"/>
    <n v="24"/>
    <n v="8760"/>
    <n v="3153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2"/>
    <n v="70.027397260273901"/>
    <n v="25560"/>
    <n v="92016"/>
  </r>
  <r>
    <x v="0"/>
    <x v="0"/>
    <x v="0"/>
    <x v="5"/>
    <x v="9"/>
    <s v="LT_KauU"/>
    <x v="6"/>
    <x v="4"/>
    <s v="GNR_ROR_WTR"/>
    <x v="0"/>
    <x v="3"/>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8"/>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8"/>
    <n v="1.7762462043374301"/>
    <n v="648.32986458316304"/>
    <n v="2333.98751249939"/>
  </r>
  <r>
    <x v="0"/>
    <x v="0"/>
    <x v="0"/>
    <x v="5"/>
    <x v="9"/>
    <s v="LT_KlaU"/>
    <x v="5"/>
    <x v="3"/>
    <s v="GNR_PV_SUN"/>
    <x v="0"/>
    <x v="9"/>
    <n v="13.371945784448"/>
    <n v="4880.7602113234998"/>
    <n v="17570.736760764601"/>
  </r>
  <r>
    <x v="0"/>
    <x v="0"/>
    <x v="0"/>
    <x v="5"/>
    <x v="9"/>
    <s v="LT_KlaU"/>
    <x v="5"/>
    <x v="3"/>
    <s v="GNR_PV_SUN"/>
    <x v="0"/>
    <x v="10"/>
    <n v="30.888466045683298"/>
    <n v="11274.2901066744"/>
    <n v="40587.444384027804"/>
  </r>
  <r>
    <x v="0"/>
    <x v="0"/>
    <x v="0"/>
    <x v="5"/>
    <x v="9"/>
    <s v="LT_KlaU"/>
    <x v="5"/>
    <x v="3"/>
    <s v="GNR_PV_SUN"/>
    <x v="0"/>
    <x v="11"/>
    <n v="47.038643072812803"/>
    <n v="17169.104721576699"/>
    <n v="61808.776997676097"/>
  </r>
  <r>
    <x v="0"/>
    <x v="0"/>
    <x v="0"/>
    <x v="5"/>
    <x v="9"/>
    <s v="LT_KlaU"/>
    <x v="5"/>
    <x v="3"/>
    <s v="GNR_PV_SUN"/>
    <x v="0"/>
    <x v="12"/>
    <n v="53.478674182897798"/>
    <n v="19519.716076757701"/>
    <n v="70270.977876327699"/>
  </r>
  <r>
    <x v="0"/>
    <x v="0"/>
    <x v="0"/>
    <x v="5"/>
    <x v="9"/>
    <s v="LT_KlaU"/>
    <x v="5"/>
    <x v="3"/>
    <s v="GNR_PV_SUN"/>
    <x v="0"/>
    <x v="13"/>
    <n v="46.501214734064597"/>
    <n v="16972.9433779336"/>
    <n v="61102.596160560897"/>
  </r>
  <r>
    <x v="0"/>
    <x v="0"/>
    <x v="0"/>
    <x v="5"/>
    <x v="9"/>
    <s v="LT_KlaU"/>
    <x v="5"/>
    <x v="3"/>
    <s v="GNR_PV_SUN"/>
    <x v="0"/>
    <x v="14"/>
    <n v="30.2599481579946"/>
    <n v="11044.881077668"/>
    <n v="39761.571879604897"/>
  </r>
  <r>
    <x v="0"/>
    <x v="0"/>
    <x v="0"/>
    <x v="5"/>
    <x v="9"/>
    <s v="LT_KlaU"/>
    <x v="5"/>
    <x v="3"/>
    <s v="GNR_PV_SUN"/>
    <x v="0"/>
    <x v="15"/>
    <n v="15.3212621317721"/>
    <n v="5592.2606780968199"/>
    <n v="20132.1384411486"/>
  </r>
  <r>
    <x v="0"/>
    <x v="0"/>
    <x v="0"/>
    <x v="5"/>
    <x v="9"/>
    <s v="LT_KlaU"/>
    <x v="5"/>
    <x v="3"/>
    <s v="GNR_PV_SUN"/>
    <x v="0"/>
    <x v="16"/>
    <n v="1.9948611217943499"/>
    <n v="728.12430945493702"/>
    <n v="2621.2475140377701"/>
  </r>
  <r>
    <x v="0"/>
    <x v="0"/>
    <x v="0"/>
    <x v="5"/>
    <x v="9"/>
    <s v="LT_KlaU"/>
    <x v="10"/>
    <x v="0"/>
    <s v="KLAIPEDA_ST_WOOD_BP"/>
    <x v="0"/>
    <x v="0"/>
    <n v="20"/>
    <n v="7300"/>
    <n v="26280"/>
  </r>
  <r>
    <x v="0"/>
    <x v="0"/>
    <x v="0"/>
    <x v="5"/>
    <x v="9"/>
    <s v="LT_KlaU"/>
    <x v="10"/>
    <x v="0"/>
    <s v="KLAIPEDA_ST_WOOD_BP"/>
    <x v="0"/>
    <x v="1"/>
    <n v="20"/>
    <n v="7300"/>
    <n v="26280"/>
  </r>
  <r>
    <x v="0"/>
    <x v="0"/>
    <x v="0"/>
    <x v="5"/>
    <x v="9"/>
    <s v="LT_KlaU"/>
    <x v="10"/>
    <x v="0"/>
    <s v="KLAIPEDA_ST_WOOD_BP"/>
    <x v="0"/>
    <x v="2"/>
    <n v="20"/>
    <n v="7300"/>
    <n v="26280"/>
  </r>
  <r>
    <x v="0"/>
    <x v="0"/>
    <x v="0"/>
    <x v="5"/>
    <x v="9"/>
    <s v="LT_KlaU"/>
    <x v="10"/>
    <x v="0"/>
    <s v="KLAIPEDA_ST_WOOD_BP"/>
    <x v="0"/>
    <x v="3"/>
    <n v="20"/>
    <n v="7300"/>
    <n v="26280"/>
  </r>
  <r>
    <x v="0"/>
    <x v="0"/>
    <x v="0"/>
    <x v="5"/>
    <x v="9"/>
    <s v="LT_KlaU"/>
    <x v="10"/>
    <x v="0"/>
    <s v="KLAIPEDA_ST_WOOD_BP"/>
    <x v="0"/>
    <x v="4"/>
    <n v="20"/>
    <n v="7300"/>
    <n v="26280"/>
  </r>
  <r>
    <x v="0"/>
    <x v="0"/>
    <x v="0"/>
    <x v="5"/>
    <x v="9"/>
    <s v="LT_KlaU"/>
    <x v="10"/>
    <x v="0"/>
    <s v="KLAIPEDA_ST_WOOD_BP"/>
    <x v="0"/>
    <x v="5"/>
    <n v="20"/>
    <n v="7300"/>
    <n v="26280"/>
  </r>
  <r>
    <x v="0"/>
    <x v="0"/>
    <x v="0"/>
    <x v="5"/>
    <x v="9"/>
    <s v="LT_KlaU"/>
    <x v="10"/>
    <x v="0"/>
    <s v="KLAIPEDA_ST_WOOD_BP"/>
    <x v="0"/>
    <x v="6"/>
    <n v="20"/>
    <n v="7300"/>
    <n v="26280"/>
  </r>
  <r>
    <x v="0"/>
    <x v="0"/>
    <x v="0"/>
    <x v="5"/>
    <x v="9"/>
    <s v="LT_KlaU"/>
    <x v="10"/>
    <x v="0"/>
    <s v="KLAIPEDA_ST_WOOD_BP"/>
    <x v="0"/>
    <x v="7"/>
    <n v="20"/>
    <n v="7300"/>
    <n v="26280"/>
  </r>
  <r>
    <x v="0"/>
    <x v="0"/>
    <x v="0"/>
    <x v="5"/>
    <x v="9"/>
    <s v="LT_KlaU"/>
    <x v="10"/>
    <x v="0"/>
    <s v="KLAIPEDA_ST_WOOD_BP"/>
    <x v="0"/>
    <x v="8"/>
    <n v="20"/>
    <n v="7300"/>
    <n v="26280"/>
  </r>
  <r>
    <x v="0"/>
    <x v="0"/>
    <x v="0"/>
    <x v="5"/>
    <x v="9"/>
    <s v="LT_KlaU"/>
    <x v="10"/>
    <x v="0"/>
    <s v="KLAIPEDA_ST_WOOD_BP"/>
    <x v="0"/>
    <x v="9"/>
    <n v="20"/>
    <n v="7300"/>
    <n v="26280"/>
  </r>
  <r>
    <x v="0"/>
    <x v="0"/>
    <x v="0"/>
    <x v="5"/>
    <x v="9"/>
    <s v="LT_KlaU"/>
    <x v="10"/>
    <x v="0"/>
    <s v="KLAIPEDA_ST_WOOD_BP"/>
    <x v="0"/>
    <x v="10"/>
    <n v="20"/>
    <n v="7300"/>
    <n v="26280"/>
  </r>
  <r>
    <x v="0"/>
    <x v="0"/>
    <x v="0"/>
    <x v="5"/>
    <x v="9"/>
    <s v="LT_KlaU"/>
    <x v="10"/>
    <x v="0"/>
    <s v="KLAIPEDA_ST_WOOD_BP"/>
    <x v="0"/>
    <x v="11"/>
    <n v="20"/>
    <n v="7300"/>
    <n v="26280"/>
  </r>
  <r>
    <x v="0"/>
    <x v="0"/>
    <x v="0"/>
    <x v="5"/>
    <x v="9"/>
    <s v="LT_KlaU"/>
    <x v="10"/>
    <x v="0"/>
    <s v="KLAIPEDA_ST_WOOD_BP"/>
    <x v="0"/>
    <x v="12"/>
    <n v="20"/>
    <n v="7300"/>
    <n v="26280"/>
  </r>
  <r>
    <x v="0"/>
    <x v="0"/>
    <x v="0"/>
    <x v="5"/>
    <x v="9"/>
    <s v="LT_KlaU"/>
    <x v="10"/>
    <x v="0"/>
    <s v="KLAIPEDA_ST_WOOD_BP"/>
    <x v="0"/>
    <x v="13"/>
    <n v="20"/>
    <n v="7300"/>
    <n v="26280"/>
  </r>
  <r>
    <x v="0"/>
    <x v="0"/>
    <x v="0"/>
    <x v="5"/>
    <x v="9"/>
    <s v="LT_KlaU"/>
    <x v="10"/>
    <x v="0"/>
    <s v="KLAIPEDA_ST_WOOD_BP"/>
    <x v="0"/>
    <x v="14"/>
    <n v="20"/>
    <n v="7300"/>
    <n v="26280"/>
  </r>
  <r>
    <x v="0"/>
    <x v="0"/>
    <x v="0"/>
    <x v="5"/>
    <x v="9"/>
    <s v="LT_KlaU"/>
    <x v="10"/>
    <x v="0"/>
    <s v="KLAIPEDA_ST_WOOD_BP"/>
    <x v="0"/>
    <x v="15"/>
    <n v="20"/>
    <n v="7300"/>
    <n v="26280"/>
  </r>
  <r>
    <x v="0"/>
    <x v="0"/>
    <x v="0"/>
    <x v="5"/>
    <x v="9"/>
    <s v="LT_KlaU"/>
    <x v="10"/>
    <x v="0"/>
    <s v="KLAIPEDA_ST_WOOD_BP"/>
    <x v="0"/>
    <x v="16"/>
    <n v="20"/>
    <n v="7300"/>
    <n v="26280"/>
  </r>
  <r>
    <x v="0"/>
    <x v="0"/>
    <x v="0"/>
    <x v="5"/>
    <x v="9"/>
    <s v="LT_KlaU"/>
    <x v="10"/>
    <x v="0"/>
    <s v="KLAIPEDA_ST_WOOD_BP"/>
    <x v="0"/>
    <x v="17"/>
    <n v="20"/>
    <n v="7300"/>
    <n v="26280"/>
  </r>
  <r>
    <x v="0"/>
    <x v="0"/>
    <x v="0"/>
    <x v="5"/>
    <x v="9"/>
    <s v="LT_KlaU"/>
    <x v="10"/>
    <x v="0"/>
    <s v="KLAIPEDA_ST_WOOD_BP"/>
    <x v="0"/>
    <x v="18"/>
    <n v="20"/>
    <n v="7300"/>
    <n v="26280"/>
  </r>
  <r>
    <x v="0"/>
    <x v="0"/>
    <x v="0"/>
    <x v="5"/>
    <x v="9"/>
    <s v="LT_KlaU"/>
    <x v="10"/>
    <x v="0"/>
    <s v="KLAIPEDA_ST_WOOD_BP"/>
    <x v="0"/>
    <x v="19"/>
    <n v="20"/>
    <n v="7300"/>
    <n v="26280"/>
  </r>
  <r>
    <x v="0"/>
    <x v="0"/>
    <x v="0"/>
    <x v="5"/>
    <x v="9"/>
    <s v="LT_KlaU"/>
    <x v="10"/>
    <x v="0"/>
    <s v="KLAIPEDA_ST_WOOD_BP"/>
    <x v="0"/>
    <x v="20"/>
    <n v="20"/>
    <n v="7300"/>
    <n v="26280"/>
  </r>
  <r>
    <x v="0"/>
    <x v="0"/>
    <x v="0"/>
    <x v="5"/>
    <x v="9"/>
    <s v="LT_KlaU"/>
    <x v="10"/>
    <x v="0"/>
    <s v="KLAIPEDA_ST_WOOD_BP"/>
    <x v="0"/>
    <x v="21"/>
    <n v="20"/>
    <n v="7300"/>
    <n v="26280"/>
  </r>
  <r>
    <x v="0"/>
    <x v="0"/>
    <x v="0"/>
    <x v="5"/>
    <x v="9"/>
    <s v="LT_KlaU"/>
    <x v="10"/>
    <x v="0"/>
    <s v="KLAIPEDA_ST_WOOD_BP"/>
    <x v="0"/>
    <x v="22"/>
    <n v="20"/>
    <n v="7300"/>
    <n v="26280"/>
  </r>
  <r>
    <x v="0"/>
    <x v="0"/>
    <x v="0"/>
    <x v="5"/>
    <x v="9"/>
    <s v="LT_KlaU"/>
    <x v="10"/>
    <x v="0"/>
    <s v="KLAIPEDA_ST_WOOD_BP"/>
    <x v="0"/>
    <x v="23"/>
    <n v="20"/>
    <n v="7300"/>
    <n v="26280"/>
  </r>
  <r>
    <x v="0"/>
    <x v="0"/>
    <x v="0"/>
    <x v="5"/>
    <x v="9"/>
    <s v="LT_Other_DH"/>
    <x v="0"/>
    <x v="1"/>
    <s v="GNR_ENG_BGAS_EXT_E-33"/>
    <x v="0"/>
    <x v="0"/>
    <n v="39"/>
    <n v="14235"/>
    <n v="51246"/>
  </r>
  <r>
    <x v="0"/>
    <x v="0"/>
    <x v="0"/>
    <x v="5"/>
    <x v="9"/>
    <s v="LT_Other_DH"/>
    <x v="0"/>
    <x v="1"/>
    <s v="GNR_ENG_BGAS_EXT_E-33"/>
    <x v="0"/>
    <x v="1"/>
    <n v="39"/>
    <n v="14235"/>
    <n v="51246"/>
  </r>
  <r>
    <x v="0"/>
    <x v="0"/>
    <x v="0"/>
    <x v="5"/>
    <x v="9"/>
    <s v="LT_Other_DH"/>
    <x v="0"/>
    <x v="1"/>
    <s v="GNR_ENG_BGAS_EXT_E-33"/>
    <x v="0"/>
    <x v="2"/>
    <n v="39"/>
    <n v="14235"/>
    <n v="51246"/>
  </r>
  <r>
    <x v="0"/>
    <x v="0"/>
    <x v="0"/>
    <x v="5"/>
    <x v="9"/>
    <s v="LT_Other_DH"/>
    <x v="0"/>
    <x v="1"/>
    <s v="GNR_ENG_BGAS_EXT_E-33"/>
    <x v="0"/>
    <x v="3"/>
    <n v="39"/>
    <n v="14235"/>
    <n v="51246"/>
  </r>
  <r>
    <x v="0"/>
    <x v="0"/>
    <x v="0"/>
    <x v="5"/>
    <x v="9"/>
    <s v="LT_Other_DH"/>
    <x v="0"/>
    <x v="1"/>
    <s v="GNR_ENG_BGAS_EXT_E-33"/>
    <x v="0"/>
    <x v="4"/>
    <n v="39"/>
    <n v="14235"/>
    <n v="51246"/>
  </r>
  <r>
    <x v="0"/>
    <x v="0"/>
    <x v="0"/>
    <x v="5"/>
    <x v="9"/>
    <s v="LT_Other_DH"/>
    <x v="0"/>
    <x v="1"/>
    <s v="GNR_ENG_BGAS_EXT_E-33"/>
    <x v="0"/>
    <x v="5"/>
    <n v="39"/>
    <n v="14235"/>
    <n v="51246"/>
  </r>
  <r>
    <x v="0"/>
    <x v="0"/>
    <x v="0"/>
    <x v="5"/>
    <x v="9"/>
    <s v="LT_Other_DH"/>
    <x v="0"/>
    <x v="1"/>
    <s v="GNR_ENG_BGAS_EXT_E-33"/>
    <x v="0"/>
    <x v="6"/>
    <n v="39"/>
    <n v="14235"/>
    <n v="51246"/>
  </r>
  <r>
    <x v="0"/>
    <x v="0"/>
    <x v="0"/>
    <x v="5"/>
    <x v="9"/>
    <s v="LT_Other_DH"/>
    <x v="0"/>
    <x v="1"/>
    <s v="GNR_ENG_BGAS_EXT_E-33"/>
    <x v="0"/>
    <x v="7"/>
    <n v="39"/>
    <n v="14235"/>
    <n v="51246"/>
  </r>
  <r>
    <x v="0"/>
    <x v="0"/>
    <x v="0"/>
    <x v="5"/>
    <x v="9"/>
    <s v="LT_Other_DH"/>
    <x v="0"/>
    <x v="1"/>
    <s v="GNR_ENG_BGAS_EXT_E-33"/>
    <x v="0"/>
    <x v="8"/>
    <n v="39"/>
    <n v="14235"/>
    <n v="51246"/>
  </r>
  <r>
    <x v="0"/>
    <x v="0"/>
    <x v="0"/>
    <x v="5"/>
    <x v="9"/>
    <s v="LT_Other_DH"/>
    <x v="0"/>
    <x v="1"/>
    <s v="GNR_ENG_BGAS_EXT_E-33"/>
    <x v="0"/>
    <x v="9"/>
    <n v="39"/>
    <n v="14235"/>
    <n v="51246"/>
  </r>
  <r>
    <x v="0"/>
    <x v="0"/>
    <x v="0"/>
    <x v="5"/>
    <x v="9"/>
    <s v="LT_Other_DH"/>
    <x v="0"/>
    <x v="1"/>
    <s v="GNR_ENG_BGAS_EXT_E-33"/>
    <x v="0"/>
    <x v="10"/>
    <n v="39"/>
    <n v="14235"/>
    <n v="51246"/>
  </r>
  <r>
    <x v="0"/>
    <x v="0"/>
    <x v="0"/>
    <x v="5"/>
    <x v="9"/>
    <s v="LT_Other_DH"/>
    <x v="0"/>
    <x v="1"/>
    <s v="GNR_ENG_BGAS_EXT_E-33"/>
    <x v="0"/>
    <x v="11"/>
    <n v="39"/>
    <n v="14235"/>
    <n v="51246"/>
  </r>
  <r>
    <x v="0"/>
    <x v="0"/>
    <x v="0"/>
    <x v="5"/>
    <x v="9"/>
    <s v="LT_Other_DH"/>
    <x v="0"/>
    <x v="1"/>
    <s v="GNR_ENG_BGAS_EXT_E-33"/>
    <x v="0"/>
    <x v="12"/>
    <n v="39"/>
    <n v="14235"/>
    <n v="51246"/>
  </r>
  <r>
    <x v="0"/>
    <x v="0"/>
    <x v="0"/>
    <x v="5"/>
    <x v="9"/>
    <s v="LT_Other_DH"/>
    <x v="0"/>
    <x v="1"/>
    <s v="GNR_ENG_BGAS_EXT_E-33"/>
    <x v="0"/>
    <x v="13"/>
    <n v="39"/>
    <n v="14235"/>
    <n v="51246"/>
  </r>
  <r>
    <x v="0"/>
    <x v="0"/>
    <x v="0"/>
    <x v="5"/>
    <x v="9"/>
    <s v="LT_Other_DH"/>
    <x v="0"/>
    <x v="1"/>
    <s v="GNR_ENG_BGAS_EXT_E-33"/>
    <x v="0"/>
    <x v="14"/>
    <n v="39"/>
    <n v="14235"/>
    <n v="51246"/>
  </r>
  <r>
    <x v="0"/>
    <x v="0"/>
    <x v="0"/>
    <x v="5"/>
    <x v="9"/>
    <s v="LT_Other_DH"/>
    <x v="0"/>
    <x v="1"/>
    <s v="GNR_ENG_BGAS_EXT_E-33"/>
    <x v="0"/>
    <x v="15"/>
    <n v="39"/>
    <n v="14235"/>
    <n v="51246"/>
  </r>
  <r>
    <x v="0"/>
    <x v="0"/>
    <x v="0"/>
    <x v="5"/>
    <x v="9"/>
    <s v="LT_Other_DH"/>
    <x v="0"/>
    <x v="1"/>
    <s v="GNR_ENG_BGAS_EXT_E-33"/>
    <x v="0"/>
    <x v="16"/>
    <n v="39"/>
    <n v="14235"/>
    <n v="51246"/>
  </r>
  <r>
    <x v="0"/>
    <x v="0"/>
    <x v="0"/>
    <x v="5"/>
    <x v="9"/>
    <s v="LT_Other_DH"/>
    <x v="0"/>
    <x v="1"/>
    <s v="GNR_ENG_BGAS_EXT_E-33"/>
    <x v="0"/>
    <x v="17"/>
    <n v="39"/>
    <n v="14235"/>
    <n v="51246"/>
  </r>
  <r>
    <x v="0"/>
    <x v="0"/>
    <x v="0"/>
    <x v="5"/>
    <x v="9"/>
    <s v="LT_Other_DH"/>
    <x v="0"/>
    <x v="1"/>
    <s v="GNR_ENG_BGAS_EXT_E-33"/>
    <x v="0"/>
    <x v="18"/>
    <n v="39"/>
    <n v="14235"/>
    <n v="51246"/>
  </r>
  <r>
    <x v="0"/>
    <x v="0"/>
    <x v="0"/>
    <x v="5"/>
    <x v="9"/>
    <s v="LT_Other_DH"/>
    <x v="0"/>
    <x v="1"/>
    <s v="GNR_ENG_BGAS_EXT_E-33"/>
    <x v="0"/>
    <x v="19"/>
    <n v="39"/>
    <n v="14235"/>
    <n v="51246"/>
  </r>
  <r>
    <x v="0"/>
    <x v="0"/>
    <x v="0"/>
    <x v="5"/>
    <x v="9"/>
    <s v="LT_Other_DH"/>
    <x v="0"/>
    <x v="1"/>
    <s v="GNR_ENG_BGAS_EXT_E-33"/>
    <x v="0"/>
    <x v="20"/>
    <n v="39"/>
    <n v="14235"/>
    <n v="51246"/>
  </r>
  <r>
    <x v="0"/>
    <x v="0"/>
    <x v="0"/>
    <x v="5"/>
    <x v="9"/>
    <s v="LT_Other_DH"/>
    <x v="0"/>
    <x v="1"/>
    <s v="GNR_ENG_BGAS_EXT_E-33"/>
    <x v="0"/>
    <x v="21"/>
    <n v="39"/>
    <n v="14235"/>
    <n v="51246"/>
  </r>
  <r>
    <x v="0"/>
    <x v="0"/>
    <x v="0"/>
    <x v="5"/>
    <x v="9"/>
    <s v="LT_Other_DH"/>
    <x v="0"/>
    <x v="1"/>
    <s v="GNR_ENG_BGAS_EXT_E-33"/>
    <x v="0"/>
    <x v="22"/>
    <n v="39"/>
    <n v="14235"/>
    <n v="51246"/>
  </r>
  <r>
    <x v="0"/>
    <x v="0"/>
    <x v="0"/>
    <x v="5"/>
    <x v="9"/>
    <s v="LT_Other_DH"/>
    <x v="0"/>
    <x v="1"/>
    <s v="GNR_ENG_BGAS_EXT_E-33"/>
    <x v="0"/>
    <x v="23"/>
    <n v="39"/>
    <n v="14235"/>
    <n v="51246"/>
  </r>
  <r>
    <x v="0"/>
    <x v="0"/>
    <x v="0"/>
    <x v="5"/>
    <x v="9"/>
    <s v="LT_Other_DH"/>
    <x v="15"/>
    <x v="0"/>
    <s v="LIFOSA_ST_HEAT_BP"/>
    <x v="0"/>
    <x v="0"/>
    <n v="37"/>
    <n v="13505"/>
    <n v="48618"/>
  </r>
  <r>
    <x v="0"/>
    <x v="0"/>
    <x v="0"/>
    <x v="5"/>
    <x v="9"/>
    <s v="LT_Other_DH"/>
    <x v="15"/>
    <x v="0"/>
    <s v="LIFOSA_ST_HEAT_BP"/>
    <x v="0"/>
    <x v="1"/>
    <n v="37"/>
    <n v="13505"/>
    <n v="48618"/>
  </r>
  <r>
    <x v="0"/>
    <x v="0"/>
    <x v="0"/>
    <x v="5"/>
    <x v="9"/>
    <s v="LT_Other_DH"/>
    <x v="15"/>
    <x v="0"/>
    <s v="LIFOSA_ST_HEAT_BP"/>
    <x v="0"/>
    <x v="2"/>
    <n v="37"/>
    <n v="13505"/>
    <n v="48618"/>
  </r>
  <r>
    <x v="0"/>
    <x v="0"/>
    <x v="0"/>
    <x v="5"/>
    <x v="9"/>
    <s v="LT_Other_DH"/>
    <x v="15"/>
    <x v="0"/>
    <s v="LIFOSA_ST_HEAT_BP"/>
    <x v="0"/>
    <x v="3"/>
    <n v="37"/>
    <n v="13505"/>
    <n v="48618"/>
  </r>
  <r>
    <x v="0"/>
    <x v="0"/>
    <x v="0"/>
    <x v="5"/>
    <x v="9"/>
    <s v="LT_Other_DH"/>
    <x v="15"/>
    <x v="0"/>
    <s v="LIFOSA_ST_HEAT_BP"/>
    <x v="0"/>
    <x v="4"/>
    <n v="37"/>
    <n v="13505"/>
    <n v="48618"/>
  </r>
  <r>
    <x v="0"/>
    <x v="0"/>
    <x v="0"/>
    <x v="5"/>
    <x v="9"/>
    <s v="LT_Other_DH"/>
    <x v="15"/>
    <x v="0"/>
    <s v="LIFOSA_ST_HEAT_BP"/>
    <x v="0"/>
    <x v="5"/>
    <n v="37"/>
    <n v="13505"/>
    <n v="48618"/>
  </r>
  <r>
    <x v="0"/>
    <x v="0"/>
    <x v="0"/>
    <x v="5"/>
    <x v="9"/>
    <s v="LT_Other_DH"/>
    <x v="15"/>
    <x v="0"/>
    <s v="LIFOSA_ST_HEAT_BP"/>
    <x v="0"/>
    <x v="6"/>
    <n v="37"/>
    <n v="13505"/>
    <n v="48618"/>
  </r>
  <r>
    <x v="0"/>
    <x v="0"/>
    <x v="0"/>
    <x v="5"/>
    <x v="9"/>
    <s v="LT_Other_DH"/>
    <x v="15"/>
    <x v="0"/>
    <s v="LIFOSA_ST_HEAT_BP"/>
    <x v="0"/>
    <x v="7"/>
    <n v="37"/>
    <n v="13505"/>
    <n v="48618"/>
  </r>
  <r>
    <x v="0"/>
    <x v="0"/>
    <x v="0"/>
    <x v="5"/>
    <x v="9"/>
    <s v="LT_Other_DH"/>
    <x v="15"/>
    <x v="0"/>
    <s v="LIFOSA_ST_HEAT_BP"/>
    <x v="0"/>
    <x v="8"/>
    <n v="37"/>
    <n v="13505"/>
    <n v="48618"/>
  </r>
  <r>
    <x v="0"/>
    <x v="0"/>
    <x v="0"/>
    <x v="5"/>
    <x v="9"/>
    <s v="LT_Other_DH"/>
    <x v="15"/>
    <x v="0"/>
    <s v="LIFOSA_ST_HEAT_BP"/>
    <x v="0"/>
    <x v="9"/>
    <n v="37"/>
    <n v="13505"/>
    <n v="48618"/>
  </r>
  <r>
    <x v="0"/>
    <x v="0"/>
    <x v="0"/>
    <x v="5"/>
    <x v="9"/>
    <s v="LT_Other_DH"/>
    <x v="15"/>
    <x v="0"/>
    <s v="LIFOSA_ST_HEAT_BP"/>
    <x v="0"/>
    <x v="10"/>
    <n v="37"/>
    <n v="13505"/>
    <n v="48618"/>
  </r>
  <r>
    <x v="0"/>
    <x v="0"/>
    <x v="0"/>
    <x v="5"/>
    <x v="9"/>
    <s v="LT_Other_DH"/>
    <x v="15"/>
    <x v="0"/>
    <s v="LIFOSA_ST_HEAT_BP"/>
    <x v="0"/>
    <x v="11"/>
    <n v="37"/>
    <n v="13505"/>
    <n v="48618"/>
  </r>
  <r>
    <x v="0"/>
    <x v="0"/>
    <x v="0"/>
    <x v="5"/>
    <x v="9"/>
    <s v="LT_Other_DH"/>
    <x v="15"/>
    <x v="0"/>
    <s v="LIFOSA_ST_HEAT_BP"/>
    <x v="0"/>
    <x v="12"/>
    <n v="37"/>
    <n v="13505"/>
    <n v="48618"/>
  </r>
  <r>
    <x v="0"/>
    <x v="0"/>
    <x v="0"/>
    <x v="5"/>
    <x v="9"/>
    <s v="LT_Other_DH"/>
    <x v="15"/>
    <x v="0"/>
    <s v="LIFOSA_ST_HEAT_BP"/>
    <x v="0"/>
    <x v="13"/>
    <n v="37"/>
    <n v="13505"/>
    <n v="48618"/>
  </r>
  <r>
    <x v="0"/>
    <x v="0"/>
    <x v="0"/>
    <x v="5"/>
    <x v="9"/>
    <s v="LT_Other_DH"/>
    <x v="15"/>
    <x v="0"/>
    <s v="LIFOSA_ST_HEAT_BP"/>
    <x v="0"/>
    <x v="14"/>
    <n v="37"/>
    <n v="13505"/>
    <n v="48618"/>
  </r>
  <r>
    <x v="0"/>
    <x v="0"/>
    <x v="0"/>
    <x v="5"/>
    <x v="9"/>
    <s v="LT_Other_DH"/>
    <x v="15"/>
    <x v="0"/>
    <s v="LIFOSA_ST_HEAT_BP"/>
    <x v="0"/>
    <x v="15"/>
    <n v="37"/>
    <n v="13505"/>
    <n v="48618"/>
  </r>
  <r>
    <x v="0"/>
    <x v="0"/>
    <x v="0"/>
    <x v="5"/>
    <x v="9"/>
    <s v="LT_Other_DH"/>
    <x v="15"/>
    <x v="0"/>
    <s v="LIFOSA_ST_HEAT_BP"/>
    <x v="0"/>
    <x v="16"/>
    <n v="37"/>
    <n v="13505"/>
    <n v="48618"/>
  </r>
  <r>
    <x v="0"/>
    <x v="0"/>
    <x v="0"/>
    <x v="5"/>
    <x v="9"/>
    <s v="LT_Other_DH"/>
    <x v="15"/>
    <x v="0"/>
    <s v="LIFOSA_ST_HEAT_BP"/>
    <x v="0"/>
    <x v="17"/>
    <n v="37"/>
    <n v="13505"/>
    <n v="48618"/>
  </r>
  <r>
    <x v="0"/>
    <x v="0"/>
    <x v="0"/>
    <x v="5"/>
    <x v="9"/>
    <s v="LT_Other_DH"/>
    <x v="15"/>
    <x v="0"/>
    <s v="LIFOSA_ST_HEAT_BP"/>
    <x v="0"/>
    <x v="18"/>
    <n v="37"/>
    <n v="13505"/>
    <n v="48618"/>
  </r>
  <r>
    <x v="0"/>
    <x v="0"/>
    <x v="0"/>
    <x v="5"/>
    <x v="9"/>
    <s v="LT_Other_DH"/>
    <x v="15"/>
    <x v="0"/>
    <s v="LIFOSA_ST_HEAT_BP"/>
    <x v="0"/>
    <x v="19"/>
    <n v="37"/>
    <n v="13505"/>
    <n v="48618"/>
  </r>
  <r>
    <x v="0"/>
    <x v="0"/>
    <x v="0"/>
    <x v="5"/>
    <x v="9"/>
    <s v="LT_Other_DH"/>
    <x v="15"/>
    <x v="0"/>
    <s v="LIFOSA_ST_HEAT_BP"/>
    <x v="0"/>
    <x v="20"/>
    <n v="37"/>
    <n v="13505"/>
    <n v="48618"/>
  </r>
  <r>
    <x v="0"/>
    <x v="0"/>
    <x v="0"/>
    <x v="5"/>
    <x v="9"/>
    <s v="LT_Other_DH"/>
    <x v="15"/>
    <x v="0"/>
    <s v="LIFOSA_ST_HEAT_BP"/>
    <x v="0"/>
    <x v="21"/>
    <n v="37"/>
    <n v="13505"/>
    <n v="48618"/>
  </r>
  <r>
    <x v="0"/>
    <x v="0"/>
    <x v="0"/>
    <x v="5"/>
    <x v="9"/>
    <s v="LT_Other_DH"/>
    <x v="15"/>
    <x v="0"/>
    <s v="LIFOSA_ST_HEAT_BP"/>
    <x v="0"/>
    <x v="22"/>
    <n v="37"/>
    <n v="13505"/>
    <n v="48618"/>
  </r>
  <r>
    <x v="0"/>
    <x v="0"/>
    <x v="0"/>
    <x v="5"/>
    <x v="9"/>
    <s v="LT_Other_DH"/>
    <x v="15"/>
    <x v="0"/>
    <s v="LIFOSA_ST_HEAT_BP"/>
    <x v="0"/>
    <x v="23"/>
    <n v="37"/>
    <n v="13505"/>
    <n v="48618"/>
  </r>
  <r>
    <x v="0"/>
    <x v="0"/>
    <x v="0"/>
    <x v="5"/>
    <x v="9"/>
    <s v="LT_Other_DH"/>
    <x v="11"/>
    <x v="0"/>
    <s v="EBAVERE_ST_WOODWST_BP"/>
    <x v="0"/>
    <x v="0"/>
    <n v="10.4"/>
    <n v="3796"/>
    <n v="13665.6"/>
  </r>
  <r>
    <x v="0"/>
    <x v="0"/>
    <x v="0"/>
    <x v="5"/>
    <x v="9"/>
    <s v="LT_Other_DH"/>
    <x v="11"/>
    <x v="0"/>
    <s v="EBAVERE_ST_WOODWST_BP"/>
    <x v="0"/>
    <x v="1"/>
    <n v="10.4"/>
    <n v="3796"/>
    <n v="13665.6"/>
  </r>
  <r>
    <x v="0"/>
    <x v="0"/>
    <x v="0"/>
    <x v="5"/>
    <x v="9"/>
    <s v="LT_Other_DH"/>
    <x v="11"/>
    <x v="0"/>
    <s v="EBAVERE_ST_WOODWST_BP"/>
    <x v="0"/>
    <x v="2"/>
    <n v="10.4"/>
    <n v="3796"/>
    <n v="13665.6"/>
  </r>
  <r>
    <x v="0"/>
    <x v="0"/>
    <x v="0"/>
    <x v="5"/>
    <x v="9"/>
    <s v="LT_Other_DH"/>
    <x v="11"/>
    <x v="0"/>
    <s v="EBAVERE_ST_WOODWST_BP"/>
    <x v="0"/>
    <x v="3"/>
    <n v="10.4"/>
    <n v="3796"/>
    <n v="13665.6"/>
  </r>
  <r>
    <x v="0"/>
    <x v="0"/>
    <x v="0"/>
    <x v="5"/>
    <x v="9"/>
    <s v="LT_Other_DH"/>
    <x v="11"/>
    <x v="0"/>
    <s v="EBAVERE_ST_WOODWST_BP"/>
    <x v="0"/>
    <x v="4"/>
    <n v="10.4"/>
    <n v="3796"/>
    <n v="13665.6"/>
  </r>
  <r>
    <x v="0"/>
    <x v="0"/>
    <x v="0"/>
    <x v="5"/>
    <x v="9"/>
    <s v="LT_Other_DH"/>
    <x v="11"/>
    <x v="0"/>
    <s v="EBAVERE_ST_WOODWST_BP"/>
    <x v="0"/>
    <x v="5"/>
    <n v="10.4"/>
    <n v="3796"/>
    <n v="13665.6"/>
  </r>
  <r>
    <x v="0"/>
    <x v="0"/>
    <x v="0"/>
    <x v="5"/>
    <x v="9"/>
    <s v="LT_Other_DH"/>
    <x v="11"/>
    <x v="0"/>
    <s v="EBAVERE_ST_WOODWST_BP"/>
    <x v="0"/>
    <x v="6"/>
    <n v="10.4"/>
    <n v="3796"/>
    <n v="13665.6"/>
  </r>
  <r>
    <x v="0"/>
    <x v="0"/>
    <x v="0"/>
    <x v="5"/>
    <x v="9"/>
    <s v="LT_Other_DH"/>
    <x v="11"/>
    <x v="0"/>
    <s v="EBAVERE_ST_WOODWST_BP"/>
    <x v="0"/>
    <x v="7"/>
    <n v="10.4"/>
    <n v="3796"/>
    <n v="13665.6"/>
  </r>
  <r>
    <x v="0"/>
    <x v="0"/>
    <x v="0"/>
    <x v="5"/>
    <x v="9"/>
    <s v="LT_Other_DH"/>
    <x v="11"/>
    <x v="0"/>
    <s v="EBAVERE_ST_WOODWST_BP"/>
    <x v="0"/>
    <x v="8"/>
    <n v="10.4"/>
    <n v="3796"/>
    <n v="13665.6"/>
  </r>
  <r>
    <x v="0"/>
    <x v="0"/>
    <x v="0"/>
    <x v="5"/>
    <x v="9"/>
    <s v="LT_Other_DH"/>
    <x v="11"/>
    <x v="0"/>
    <s v="EBAVERE_ST_WOODWST_BP"/>
    <x v="0"/>
    <x v="9"/>
    <n v="10.4"/>
    <n v="3796"/>
    <n v="13665.6"/>
  </r>
  <r>
    <x v="0"/>
    <x v="0"/>
    <x v="0"/>
    <x v="5"/>
    <x v="9"/>
    <s v="LT_Other_DH"/>
    <x v="11"/>
    <x v="0"/>
    <s v="EBAVERE_ST_WOODWST_BP"/>
    <x v="0"/>
    <x v="10"/>
    <n v="10.4"/>
    <n v="3796"/>
    <n v="13665.6"/>
  </r>
  <r>
    <x v="0"/>
    <x v="0"/>
    <x v="0"/>
    <x v="5"/>
    <x v="9"/>
    <s v="LT_Other_DH"/>
    <x v="11"/>
    <x v="0"/>
    <s v="EBAVERE_ST_WOODWST_BP"/>
    <x v="0"/>
    <x v="11"/>
    <n v="10.4"/>
    <n v="3796"/>
    <n v="13665.6"/>
  </r>
  <r>
    <x v="0"/>
    <x v="0"/>
    <x v="0"/>
    <x v="5"/>
    <x v="9"/>
    <s v="LT_Other_DH"/>
    <x v="11"/>
    <x v="0"/>
    <s v="EBAVERE_ST_WOODWST_BP"/>
    <x v="0"/>
    <x v="12"/>
    <n v="10.4"/>
    <n v="3796"/>
    <n v="13665.6"/>
  </r>
  <r>
    <x v="0"/>
    <x v="0"/>
    <x v="0"/>
    <x v="5"/>
    <x v="9"/>
    <s v="LT_Other_DH"/>
    <x v="11"/>
    <x v="0"/>
    <s v="EBAVERE_ST_WOODWST_BP"/>
    <x v="0"/>
    <x v="13"/>
    <n v="10.4"/>
    <n v="3796"/>
    <n v="13665.6"/>
  </r>
  <r>
    <x v="0"/>
    <x v="0"/>
    <x v="0"/>
    <x v="5"/>
    <x v="9"/>
    <s v="LT_Other_DH"/>
    <x v="11"/>
    <x v="0"/>
    <s v="EBAVERE_ST_WOODWST_BP"/>
    <x v="0"/>
    <x v="14"/>
    <n v="10.4"/>
    <n v="3796"/>
    <n v="13665.6"/>
  </r>
  <r>
    <x v="0"/>
    <x v="0"/>
    <x v="0"/>
    <x v="5"/>
    <x v="9"/>
    <s v="LT_Other_DH"/>
    <x v="11"/>
    <x v="0"/>
    <s v="EBAVERE_ST_WOODWST_BP"/>
    <x v="0"/>
    <x v="15"/>
    <n v="10.4"/>
    <n v="3796"/>
    <n v="13665.6"/>
  </r>
  <r>
    <x v="0"/>
    <x v="0"/>
    <x v="0"/>
    <x v="5"/>
    <x v="9"/>
    <s v="LT_Other_DH"/>
    <x v="11"/>
    <x v="0"/>
    <s v="EBAVERE_ST_WOODWST_BP"/>
    <x v="0"/>
    <x v="16"/>
    <n v="10.4"/>
    <n v="3796"/>
    <n v="13665.6"/>
  </r>
  <r>
    <x v="0"/>
    <x v="0"/>
    <x v="0"/>
    <x v="5"/>
    <x v="9"/>
    <s v="LT_Other_DH"/>
    <x v="11"/>
    <x v="0"/>
    <s v="EBAVERE_ST_WOODWST_BP"/>
    <x v="0"/>
    <x v="17"/>
    <n v="10.4"/>
    <n v="3796"/>
    <n v="13665.6"/>
  </r>
  <r>
    <x v="0"/>
    <x v="0"/>
    <x v="0"/>
    <x v="5"/>
    <x v="9"/>
    <s v="LT_Other_DH"/>
    <x v="11"/>
    <x v="0"/>
    <s v="EBAVERE_ST_WOODWST_BP"/>
    <x v="0"/>
    <x v="18"/>
    <n v="10.4"/>
    <n v="3796"/>
    <n v="13665.6"/>
  </r>
  <r>
    <x v="0"/>
    <x v="0"/>
    <x v="0"/>
    <x v="5"/>
    <x v="9"/>
    <s v="LT_Other_DH"/>
    <x v="11"/>
    <x v="0"/>
    <s v="EBAVERE_ST_WOODWST_BP"/>
    <x v="0"/>
    <x v="19"/>
    <n v="10.4"/>
    <n v="3796"/>
    <n v="13665.6"/>
  </r>
  <r>
    <x v="0"/>
    <x v="0"/>
    <x v="0"/>
    <x v="5"/>
    <x v="9"/>
    <s v="LT_Other_DH"/>
    <x v="11"/>
    <x v="0"/>
    <s v="EBAVERE_ST_WOODWST_BP"/>
    <x v="0"/>
    <x v="20"/>
    <n v="10.4"/>
    <n v="3796"/>
    <n v="13665.6"/>
  </r>
  <r>
    <x v="0"/>
    <x v="0"/>
    <x v="0"/>
    <x v="5"/>
    <x v="9"/>
    <s v="LT_Other_DH"/>
    <x v="11"/>
    <x v="0"/>
    <s v="EBAVERE_ST_WOODWST_BP"/>
    <x v="0"/>
    <x v="21"/>
    <n v="10.4"/>
    <n v="3796"/>
    <n v="13665.6"/>
  </r>
  <r>
    <x v="0"/>
    <x v="0"/>
    <x v="0"/>
    <x v="5"/>
    <x v="9"/>
    <s v="LT_Other_DH"/>
    <x v="11"/>
    <x v="0"/>
    <s v="EBAVERE_ST_WOODWST_BP"/>
    <x v="0"/>
    <x v="22"/>
    <n v="10.4"/>
    <n v="3796"/>
    <n v="13665.6"/>
  </r>
  <r>
    <x v="0"/>
    <x v="0"/>
    <x v="0"/>
    <x v="5"/>
    <x v="9"/>
    <s v="LT_Other_DH"/>
    <x v="11"/>
    <x v="0"/>
    <s v="EBAVERE_ST_WOODWST_BP"/>
    <x v="0"/>
    <x v="23"/>
    <n v="10.4"/>
    <n v="3796"/>
    <n v="13665.6"/>
  </r>
  <r>
    <x v="0"/>
    <x v="0"/>
    <x v="0"/>
    <x v="5"/>
    <x v="9"/>
    <s v="LT_Panevezys"/>
    <x v="10"/>
    <x v="1"/>
    <s v="GNR_ST_WOOD_EXT_E-14"/>
    <x v="0"/>
    <x v="0"/>
    <n v="2.5"/>
    <n v="912.5"/>
    <n v="3285"/>
  </r>
  <r>
    <x v="0"/>
    <x v="0"/>
    <x v="0"/>
    <x v="5"/>
    <x v="9"/>
    <s v="LT_Panevezys"/>
    <x v="10"/>
    <x v="1"/>
    <s v="GNR_ST_WOOD_EXT_E-14"/>
    <x v="0"/>
    <x v="1"/>
    <n v="2.5"/>
    <n v="912.5"/>
    <n v="3285"/>
  </r>
  <r>
    <x v="0"/>
    <x v="0"/>
    <x v="0"/>
    <x v="5"/>
    <x v="9"/>
    <s v="LT_Panevezys"/>
    <x v="10"/>
    <x v="1"/>
    <s v="GNR_ST_WOOD_EXT_E-14"/>
    <x v="0"/>
    <x v="2"/>
    <n v="2.5"/>
    <n v="912.5"/>
    <n v="3285"/>
  </r>
  <r>
    <x v="0"/>
    <x v="0"/>
    <x v="0"/>
    <x v="5"/>
    <x v="9"/>
    <s v="LT_Panevezys"/>
    <x v="10"/>
    <x v="1"/>
    <s v="GNR_ST_WOOD_EXT_E-14"/>
    <x v="0"/>
    <x v="3"/>
    <n v="2.5"/>
    <n v="912.5"/>
    <n v="3285"/>
  </r>
  <r>
    <x v="0"/>
    <x v="0"/>
    <x v="0"/>
    <x v="5"/>
    <x v="9"/>
    <s v="LT_Panevezys"/>
    <x v="10"/>
    <x v="1"/>
    <s v="GNR_ST_WOOD_EXT_E-14"/>
    <x v="0"/>
    <x v="4"/>
    <n v="2.5"/>
    <n v="912.5"/>
    <n v="3285"/>
  </r>
  <r>
    <x v="0"/>
    <x v="0"/>
    <x v="0"/>
    <x v="5"/>
    <x v="9"/>
    <s v="LT_Panevezys"/>
    <x v="10"/>
    <x v="1"/>
    <s v="GNR_ST_WOOD_EXT_E-14"/>
    <x v="0"/>
    <x v="5"/>
    <n v="2.5"/>
    <n v="912.5"/>
    <n v="3285"/>
  </r>
  <r>
    <x v="0"/>
    <x v="0"/>
    <x v="0"/>
    <x v="5"/>
    <x v="9"/>
    <s v="LT_Panevezys"/>
    <x v="10"/>
    <x v="1"/>
    <s v="GNR_ST_WOOD_EXT_E-14"/>
    <x v="0"/>
    <x v="6"/>
    <n v="2.5"/>
    <n v="912.5"/>
    <n v="3285"/>
  </r>
  <r>
    <x v="0"/>
    <x v="0"/>
    <x v="0"/>
    <x v="5"/>
    <x v="9"/>
    <s v="LT_Panevezys"/>
    <x v="10"/>
    <x v="1"/>
    <s v="GNR_ST_WOOD_EXT_E-14"/>
    <x v="0"/>
    <x v="7"/>
    <n v="2.5"/>
    <n v="912.5"/>
    <n v="3285"/>
  </r>
  <r>
    <x v="0"/>
    <x v="0"/>
    <x v="0"/>
    <x v="5"/>
    <x v="9"/>
    <s v="LT_Panevezys"/>
    <x v="10"/>
    <x v="1"/>
    <s v="GNR_ST_WOOD_EXT_E-14"/>
    <x v="0"/>
    <x v="8"/>
    <n v="2.5"/>
    <n v="912.5"/>
    <n v="3285"/>
  </r>
  <r>
    <x v="0"/>
    <x v="0"/>
    <x v="0"/>
    <x v="5"/>
    <x v="9"/>
    <s v="LT_Panevezys"/>
    <x v="10"/>
    <x v="1"/>
    <s v="GNR_ST_WOOD_EXT_E-14"/>
    <x v="0"/>
    <x v="9"/>
    <n v="2.5"/>
    <n v="912.5"/>
    <n v="3285"/>
  </r>
  <r>
    <x v="0"/>
    <x v="0"/>
    <x v="0"/>
    <x v="5"/>
    <x v="9"/>
    <s v="LT_Panevezys"/>
    <x v="10"/>
    <x v="1"/>
    <s v="GNR_ST_WOOD_EXT_E-14"/>
    <x v="0"/>
    <x v="10"/>
    <n v="2.5"/>
    <n v="912.5"/>
    <n v="3285"/>
  </r>
  <r>
    <x v="0"/>
    <x v="0"/>
    <x v="0"/>
    <x v="5"/>
    <x v="9"/>
    <s v="LT_Panevezys"/>
    <x v="10"/>
    <x v="1"/>
    <s v="GNR_ST_WOOD_EXT_E-14"/>
    <x v="0"/>
    <x v="11"/>
    <n v="2.5"/>
    <n v="912.5"/>
    <n v="3285"/>
  </r>
  <r>
    <x v="0"/>
    <x v="0"/>
    <x v="0"/>
    <x v="5"/>
    <x v="9"/>
    <s v="LT_Panevezys"/>
    <x v="10"/>
    <x v="1"/>
    <s v="GNR_ST_WOOD_EXT_E-14"/>
    <x v="0"/>
    <x v="12"/>
    <n v="2.5"/>
    <n v="912.5"/>
    <n v="3285"/>
  </r>
  <r>
    <x v="0"/>
    <x v="0"/>
    <x v="0"/>
    <x v="5"/>
    <x v="9"/>
    <s v="LT_Panevezys"/>
    <x v="10"/>
    <x v="1"/>
    <s v="GNR_ST_WOOD_EXT_E-14"/>
    <x v="0"/>
    <x v="13"/>
    <n v="2.5"/>
    <n v="912.5"/>
    <n v="3285"/>
  </r>
  <r>
    <x v="0"/>
    <x v="0"/>
    <x v="0"/>
    <x v="5"/>
    <x v="9"/>
    <s v="LT_Panevezys"/>
    <x v="10"/>
    <x v="1"/>
    <s v="GNR_ST_WOOD_EXT_E-14"/>
    <x v="0"/>
    <x v="14"/>
    <n v="2.5"/>
    <n v="912.5"/>
    <n v="3285"/>
  </r>
  <r>
    <x v="0"/>
    <x v="0"/>
    <x v="0"/>
    <x v="5"/>
    <x v="9"/>
    <s v="LT_Panevezys"/>
    <x v="10"/>
    <x v="1"/>
    <s v="GNR_ST_WOOD_EXT_E-14"/>
    <x v="0"/>
    <x v="15"/>
    <n v="2.5"/>
    <n v="912.5"/>
    <n v="3285"/>
  </r>
  <r>
    <x v="0"/>
    <x v="0"/>
    <x v="0"/>
    <x v="5"/>
    <x v="9"/>
    <s v="LT_Panevezys"/>
    <x v="10"/>
    <x v="1"/>
    <s v="GNR_ST_WOOD_EXT_E-14"/>
    <x v="0"/>
    <x v="16"/>
    <n v="2.5"/>
    <n v="912.5"/>
    <n v="3285"/>
  </r>
  <r>
    <x v="0"/>
    <x v="0"/>
    <x v="0"/>
    <x v="5"/>
    <x v="9"/>
    <s v="LT_Panevezys"/>
    <x v="10"/>
    <x v="1"/>
    <s v="GNR_ST_WOOD_EXT_E-14"/>
    <x v="0"/>
    <x v="17"/>
    <n v="2.5"/>
    <n v="912.5"/>
    <n v="3285"/>
  </r>
  <r>
    <x v="0"/>
    <x v="0"/>
    <x v="0"/>
    <x v="5"/>
    <x v="9"/>
    <s v="LT_Panevezys"/>
    <x v="10"/>
    <x v="1"/>
    <s v="GNR_ST_WOOD_EXT_E-14"/>
    <x v="0"/>
    <x v="18"/>
    <n v="2.5"/>
    <n v="912.5"/>
    <n v="3285"/>
  </r>
  <r>
    <x v="0"/>
    <x v="0"/>
    <x v="0"/>
    <x v="5"/>
    <x v="9"/>
    <s v="LT_Panevezys"/>
    <x v="10"/>
    <x v="1"/>
    <s v="GNR_ST_WOOD_EXT_E-14"/>
    <x v="0"/>
    <x v="19"/>
    <n v="2.5"/>
    <n v="912.5"/>
    <n v="3285"/>
  </r>
  <r>
    <x v="0"/>
    <x v="0"/>
    <x v="0"/>
    <x v="5"/>
    <x v="9"/>
    <s v="LT_Panevezys"/>
    <x v="10"/>
    <x v="1"/>
    <s v="GNR_ST_WOOD_EXT_E-14"/>
    <x v="0"/>
    <x v="20"/>
    <n v="2.5"/>
    <n v="912.5"/>
    <n v="3285"/>
  </r>
  <r>
    <x v="0"/>
    <x v="0"/>
    <x v="0"/>
    <x v="5"/>
    <x v="9"/>
    <s v="LT_Panevezys"/>
    <x v="10"/>
    <x v="1"/>
    <s v="GNR_ST_WOOD_EXT_E-14"/>
    <x v="0"/>
    <x v="21"/>
    <n v="2.5"/>
    <n v="912.5"/>
    <n v="3285"/>
  </r>
  <r>
    <x v="0"/>
    <x v="0"/>
    <x v="0"/>
    <x v="5"/>
    <x v="9"/>
    <s v="LT_Panevezys"/>
    <x v="10"/>
    <x v="1"/>
    <s v="GNR_ST_WOOD_EXT_E-14"/>
    <x v="0"/>
    <x v="22"/>
    <n v="2.5"/>
    <n v="912.5"/>
    <n v="3285"/>
  </r>
  <r>
    <x v="0"/>
    <x v="0"/>
    <x v="0"/>
    <x v="5"/>
    <x v="9"/>
    <s v="LT_Panevezys"/>
    <x v="10"/>
    <x v="1"/>
    <s v="GNR_ST_WOOD_EXT_E-14"/>
    <x v="0"/>
    <x v="23"/>
    <n v="2.5"/>
    <n v="912.5"/>
    <n v="3285"/>
  </r>
  <r>
    <x v="0"/>
    <x v="0"/>
    <x v="0"/>
    <x v="5"/>
    <x v="9"/>
    <s v="LT_Rural"/>
    <x v="7"/>
    <x v="5"/>
    <s v="GNR_WT_WIND_ONS"/>
    <x v="0"/>
    <x v="0"/>
    <n v="29.885102117257802"/>
    <n v="10908.062272799099"/>
    <n v="39269.024182076799"/>
  </r>
  <r>
    <x v="0"/>
    <x v="0"/>
    <x v="0"/>
    <x v="5"/>
    <x v="9"/>
    <s v="LT_Rural"/>
    <x v="7"/>
    <x v="5"/>
    <s v="GNR_WT_WIND_ONS"/>
    <x v="0"/>
    <x v="1"/>
    <n v="35.8621225407094"/>
    <n v="13089.674727358901"/>
    <n v="47122.829018492201"/>
  </r>
  <r>
    <x v="0"/>
    <x v="0"/>
    <x v="0"/>
    <x v="5"/>
    <x v="9"/>
    <s v="LT_Rural"/>
    <x v="7"/>
    <x v="5"/>
    <s v="GNR_WT_WIND_ONS"/>
    <x v="0"/>
    <x v="2"/>
    <n v="35.008262480216302"/>
    <n v="12778.015805278999"/>
    <n v="46000.856899004299"/>
  </r>
  <r>
    <x v="0"/>
    <x v="0"/>
    <x v="0"/>
    <x v="5"/>
    <x v="9"/>
    <s v="LT_Rural"/>
    <x v="7"/>
    <x v="5"/>
    <s v="GNR_WT_WIND_ONS"/>
    <x v="0"/>
    <x v="3"/>
    <n v="32.873612328983597"/>
    <n v="11998.868500078999"/>
    <n v="43195.926600284503"/>
  </r>
  <r>
    <x v="0"/>
    <x v="0"/>
    <x v="0"/>
    <x v="5"/>
    <x v="9"/>
    <s v="LT_Rural"/>
    <x v="7"/>
    <x v="5"/>
    <s v="GNR_WT_WIND_ONS"/>
    <x v="0"/>
    <x v="4"/>
    <n v="24.335011724052801"/>
    <n v="8882.2792792792807"/>
    <n v="31976.205405405399"/>
  </r>
  <r>
    <x v="0"/>
    <x v="0"/>
    <x v="0"/>
    <x v="5"/>
    <x v="9"/>
    <s v="LT_Rural"/>
    <x v="7"/>
    <x v="5"/>
    <s v="GNR_WT_WIND_ONS"/>
    <x v="0"/>
    <x v="5"/>
    <n v="14.0886909981358"/>
    <n v="5142.3722143195801"/>
    <n v="18512.539971550501"/>
  </r>
  <r>
    <x v="0"/>
    <x v="0"/>
    <x v="0"/>
    <x v="5"/>
    <x v="9"/>
    <s v="LT_Rural"/>
    <x v="7"/>
    <x v="5"/>
    <s v="GNR_WT_WIND_ONS"/>
    <x v="0"/>
    <x v="6"/>
    <n v="2.98851021172579"/>
    <n v="1090.80622727991"/>
    <n v="3926.9024182076801"/>
  </r>
  <r>
    <x v="0"/>
    <x v="0"/>
    <x v="0"/>
    <x v="5"/>
    <x v="9"/>
    <s v="LT_Rural"/>
    <x v="7"/>
    <x v="5"/>
    <s v="GNR_WT_WIND_ONS"/>
    <x v="0"/>
    <x v="7"/>
    <n v="2.1346501512326999"/>
    <n v="779.14730519993702"/>
    <n v="2804.9302987197698"/>
  </r>
  <r>
    <x v="0"/>
    <x v="0"/>
    <x v="0"/>
    <x v="5"/>
    <x v="9"/>
    <s v="LT_Rural"/>
    <x v="7"/>
    <x v="5"/>
    <s v="GNR_WT_WIND_ONS"/>
    <x v="0"/>
    <x v="8"/>
    <n v="2.98851021172579"/>
    <n v="1090.80622727991"/>
    <n v="3926.9024182076801"/>
  </r>
  <r>
    <x v="0"/>
    <x v="0"/>
    <x v="0"/>
    <x v="5"/>
    <x v="9"/>
    <s v="LT_Rural"/>
    <x v="7"/>
    <x v="5"/>
    <s v="GNR_WT_WIND_ONS"/>
    <x v="0"/>
    <x v="9"/>
    <n v="14.0886909981358"/>
    <n v="5142.3722143195801"/>
    <n v="18512.539971550501"/>
  </r>
  <r>
    <x v="0"/>
    <x v="0"/>
    <x v="0"/>
    <x v="5"/>
    <x v="9"/>
    <s v="LT_Rural"/>
    <x v="7"/>
    <x v="5"/>
    <s v="GNR_WT_WIND_ONS"/>
    <x v="0"/>
    <x v="10"/>
    <n v="32.873612328983597"/>
    <n v="11998.868500078999"/>
    <n v="43195.926600284503"/>
  </r>
  <r>
    <x v="0"/>
    <x v="0"/>
    <x v="0"/>
    <x v="5"/>
    <x v="9"/>
    <s v="LT_Rural"/>
    <x v="7"/>
    <x v="5"/>
    <s v="GNR_WT_WIND_ONS"/>
    <x v="0"/>
    <x v="11"/>
    <n v="50.804673599338301"/>
    <n v="18543.7058637585"/>
    <n v="66757.341109530593"/>
  </r>
  <r>
    <x v="0"/>
    <x v="0"/>
    <x v="0"/>
    <x v="5"/>
    <x v="9"/>
    <s v="LT_Rural"/>
    <x v="7"/>
    <x v="5"/>
    <s v="GNR_WT_WIND_ONS"/>
    <x v="0"/>
    <x v="12"/>
    <n v="58.916344174022598"/>
    <n v="21504.465623518299"/>
    <n v="77416.076244665703"/>
  </r>
  <r>
    <x v="0"/>
    <x v="0"/>
    <x v="0"/>
    <x v="5"/>
    <x v="9"/>
    <s v="LT_Rural"/>
    <x v="7"/>
    <x v="5"/>
    <s v="GNR_WT_WIND_ONS"/>
    <x v="0"/>
    <x v="13"/>
    <n v="67.454944778953404"/>
    <n v="24621.054844318001"/>
    <n v="88635.797439544796"/>
  </r>
  <r>
    <x v="0"/>
    <x v="0"/>
    <x v="0"/>
    <x v="5"/>
    <x v="9"/>
    <s v="LT_Rural"/>
    <x v="7"/>
    <x v="5"/>
    <s v="GNR_WT_WIND_ONS"/>
    <x v="0"/>
    <x v="14"/>
    <n v="67.454944778953404"/>
    <n v="24621.054844318001"/>
    <n v="88635.797439544796"/>
  </r>
  <r>
    <x v="0"/>
    <x v="0"/>
    <x v="0"/>
    <x v="5"/>
    <x v="9"/>
    <s v="LT_Rural"/>
    <x v="7"/>
    <x v="5"/>
    <s v="GNR_WT_WIND_ONS"/>
    <x v="0"/>
    <x v="15"/>
    <n v="106.732507561635"/>
    <n v="38957.365259996797"/>
    <n v="140246.51493598899"/>
  </r>
  <r>
    <x v="0"/>
    <x v="0"/>
    <x v="0"/>
    <x v="5"/>
    <x v="9"/>
    <s v="LT_Rural"/>
    <x v="7"/>
    <x v="5"/>
    <s v="GNR_WT_WIND_ONS"/>
    <x v="0"/>
    <x v="16"/>
    <n v="137.89839976963299"/>
    <n v="50332.915915915903"/>
    <n v="181198.497297297"/>
  </r>
  <r>
    <x v="0"/>
    <x v="0"/>
    <x v="0"/>
    <x v="5"/>
    <x v="9"/>
    <s v="LT_Rural"/>
    <x v="7"/>
    <x v="5"/>
    <s v="GNR_WT_WIND_ONS"/>
    <x v="0"/>
    <x v="17"/>
    <n v="136.19067964864601"/>
    <n v="49709.598071756001"/>
    <n v="178954.553058322"/>
  </r>
  <r>
    <x v="0"/>
    <x v="0"/>
    <x v="0"/>
    <x v="5"/>
    <x v="9"/>
    <s v="LT_Rural"/>
    <x v="7"/>
    <x v="5"/>
    <s v="GNR_WT_WIND_ONS"/>
    <x v="0"/>
    <x v="18"/>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SiaU"/>
    <x v="10"/>
    <x v="0"/>
    <s v="SIAULIAI_ST_WOOD_BP"/>
    <x v="0"/>
    <x v="0"/>
    <n v="10.8"/>
    <n v="3942"/>
    <n v="14191.2"/>
  </r>
  <r>
    <x v="0"/>
    <x v="0"/>
    <x v="0"/>
    <x v="5"/>
    <x v="9"/>
    <s v="LT_SiaU"/>
    <x v="10"/>
    <x v="0"/>
    <s v="SIAULIAI_ST_WOOD_BP"/>
    <x v="0"/>
    <x v="1"/>
    <n v="10.8"/>
    <n v="3942"/>
    <n v="14191.2"/>
  </r>
  <r>
    <x v="0"/>
    <x v="0"/>
    <x v="0"/>
    <x v="5"/>
    <x v="9"/>
    <s v="LT_SiaU"/>
    <x v="10"/>
    <x v="0"/>
    <s v="SIAULIAI_ST_WOOD_BP"/>
    <x v="0"/>
    <x v="2"/>
    <n v="10.8"/>
    <n v="3942"/>
    <n v="14191.2"/>
  </r>
  <r>
    <x v="0"/>
    <x v="0"/>
    <x v="0"/>
    <x v="5"/>
    <x v="9"/>
    <s v="LT_SiaU"/>
    <x v="10"/>
    <x v="0"/>
    <s v="SIAULIAI_ST_WOOD_BP"/>
    <x v="0"/>
    <x v="3"/>
    <n v="10.8"/>
    <n v="3942"/>
    <n v="14191.2"/>
  </r>
  <r>
    <x v="0"/>
    <x v="0"/>
    <x v="0"/>
    <x v="5"/>
    <x v="9"/>
    <s v="LT_SiaU"/>
    <x v="10"/>
    <x v="0"/>
    <s v="SIAULIAI_ST_WOOD_BP"/>
    <x v="0"/>
    <x v="4"/>
    <n v="10.8"/>
    <n v="3942"/>
    <n v="14191.2"/>
  </r>
  <r>
    <x v="0"/>
    <x v="0"/>
    <x v="0"/>
    <x v="5"/>
    <x v="9"/>
    <s v="LT_SiaU"/>
    <x v="10"/>
    <x v="0"/>
    <s v="SIAULIAI_ST_WOOD_BP"/>
    <x v="0"/>
    <x v="5"/>
    <n v="10.8"/>
    <n v="3942"/>
    <n v="14191.2"/>
  </r>
  <r>
    <x v="0"/>
    <x v="0"/>
    <x v="0"/>
    <x v="5"/>
    <x v="9"/>
    <s v="LT_SiaU"/>
    <x v="10"/>
    <x v="0"/>
    <s v="SIAULIAI_ST_WOOD_BP"/>
    <x v="0"/>
    <x v="6"/>
    <n v="10.8"/>
    <n v="3942"/>
    <n v="14191.2"/>
  </r>
  <r>
    <x v="0"/>
    <x v="0"/>
    <x v="0"/>
    <x v="5"/>
    <x v="9"/>
    <s v="LT_SiaU"/>
    <x v="10"/>
    <x v="0"/>
    <s v="SIAULIAI_ST_WOOD_BP"/>
    <x v="0"/>
    <x v="7"/>
    <n v="10.8"/>
    <n v="3942"/>
    <n v="14191.2"/>
  </r>
  <r>
    <x v="0"/>
    <x v="0"/>
    <x v="0"/>
    <x v="5"/>
    <x v="9"/>
    <s v="LT_SiaU"/>
    <x v="10"/>
    <x v="0"/>
    <s v="SIAULIAI_ST_WOOD_BP"/>
    <x v="0"/>
    <x v="8"/>
    <n v="10.8"/>
    <n v="3942"/>
    <n v="14191.2"/>
  </r>
  <r>
    <x v="0"/>
    <x v="0"/>
    <x v="0"/>
    <x v="5"/>
    <x v="9"/>
    <s v="LT_SiaU"/>
    <x v="10"/>
    <x v="0"/>
    <s v="SIAULIAI_ST_WOOD_BP"/>
    <x v="0"/>
    <x v="9"/>
    <n v="10.8"/>
    <n v="3942"/>
    <n v="14191.2"/>
  </r>
  <r>
    <x v="0"/>
    <x v="0"/>
    <x v="0"/>
    <x v="5"/>
    <x v="9"/>
    <s v="LT_SiaU"/>
    <x v="10"/>
    <x v="0"/>
    <s v="SIAULIAI_ST_WOOD_BP"/>
    <x v="0"/>
    <x v="10"/>
    <n v="10.8"/>
    <n v="3942"/>
    <n v="14191.2"/>
  </r>
  <r>
    <x v="0"/>
    <x v="0"/>
    <x v="0"/>
    <x v="5"/>
    <x v="9"/>
    <s v="LT_SiaU"/>
    <x v="10"/>
    <x v="0"/>
    <s v="SIAULIAI_ST_WOOD_BP"/>
    <x v="0"/>
    <x v="11"/>
    <n v="10.8"/>
    <n v="3942"/>
    <n v="14191.2"/>
  </r>
  <r>
    <x v="0"/>
    <x v="0"/>
    <x v="0"/>
    <x v="5"/>
    <x v="9"/>
    <s v="LT_SiaU"/>
    <x v="10"/>
    <x v="0"/>
    <s v="SIAULIAI_ST_WOOD_BP"/>
    <x v="0"/>
    <x v="12"/>
    <n v="10.8"/>
    <n v="3942"/>
    <n v="14191.2"/>
  </r>
  <r>
    <x v="0"/>
    <x v="0"/>
    <x v="0"/>
    <x v="5"/>
    <x v="9"/>
    <s v="LT_SiaU"/>
    <x v="10"/>
    <x v="0"/>
    <s v="SIAULIAI_ST_WOOD_BP"/>
    <x v="0"/>
    <x v="13"/>
    <n v="10.8"/>
    <n v="3942"/>
    <n v="14191.2"/>
  </r>
  <r>
    <x v="0"/>
    <x v="0"/>
    <x v="0"/>
    <x v="5"/>
    <x v="9"/>
    <s v="LT_SiaU"/>
    <x v="10"/>
    <x v="0"/>
    <s v="SIAULIAI_ST_WOOD_BP"/>
    <x v="0"/>
    <x v="14"/>
    <n v="10.8"/>
    <n v="3942"/>
    <n v="14191.2"/>
  </r>
  <r>
    <x v="0"/>
    <x v="0"/>
    <x v="0"/>
    <x v="5"/>
    <x v="9"/>
    <s v="LT_SiaU"/>
    <x v="10"/>
    <x v="0"/>
    <s v="SIAULIAI_ST_WOOD_BP"/>
    <x v="0"/>
    <x v="15"/>
    <n v="10.8"/>
    <n v="3942"/>
    <n v="14191.2"/>
  </r>
  <r>
    <x v="0"/>
    <x v="0"/>
    <x v="0"/>
    <x v="5"/>
    <x v="9"/>
    <s v="LT_SiaU"/>
    <x v="10"/>
    <x v="0"/>
    <s v="SIAULIAI_ST_WOOD_BP"/>
    <x v="0"/>
    <x v="16"/>
    <n v="10.8"/>
    <n v="3942"/>
    <n v="14191.2"/>
  </r>
  <r>
    <x v="0"/>
    <x v="0"/>
    <x v="0"/>
    <x v="5"/>
    <x v="9"/>
    <s v="LT_SiaU"/>
    <x v="10"/>
    <x v="0"/>
    <s v="SIAULIAI_ST_WOOD_BP"/>
    <x v="0"/>
    <x v="17"/>
    <n v="10.8"/>
    <n v="3942"/>
    <n v="14191.2"/>
  </r>
  <r>
    <x v="0"/>
    <x v="0"/>
    <x v="0"/>
    <x v="5"/>
    <x v="9"/>
    <s v="LT_SiaU"/>
    <x v="10"/>
    <x v="0"/>
    <s v="SIAULIAI_ST_WOOD_BP"/>
    <x v="0"/>
    <x v="18"/>
    <n v="10.8"/>
    <n v="3942"/>
    <n v="14191.2"/>
  </r>
  <r>
    <x v="0"/>
    <x v="0"/>
    <x v="0"/>
    <x v="5"/>
    <x v="9"/>
    <s v="LT_SiaU"/>
    <x v="10"/>
    <x v="0"/>
    <s v="SIAULIAI_ST_WOOD_BP"/>
    <x v="0"/>
    <x v="19"/>
    <n v="10.8"/>
    <n v="3942"/>
    <n v="14191.2"/>
  </r>
  <r>
    <x v="0"/>
    <x v="0"/>
    <x v="0"/>
    <x v="5"/>
    <x v="9"/>
    <s v="LT_SiaU"/>
    <x v="10"/>
    <x v="0"/>
    <s v="SIAULIAI_ST_WOOD_BP"/>
    <x v="0"/>
    <x v="20"/>
    <n v="10.8"/>
    <n v="3942"/>
    <n v="14191.2"/>
  </r>
  <r>
    <x v="0"/>
    <x v="0"/>
    <x v="0"/>
    <x v="5"/>
    <x v="9"/>
    <s v="LT_SiaU"/>
    <x v="10"/>
    <x v="0"/>
    <s v="SIAULIAI_ST_WOOD_BP"/>
    <x v="0"/>
    <x v="21"/>
    <n v="10.8"/>
    <n v="3942"/>
    <n v="14191.2"/>
  </r>
  <r>
    <x v="0"/>
    <x v="0"/>
    <x v="0"/>
    <x v="5"/>
    <x v="9"/>
    <s v="LT_SiaU"/>
    <x v="10"/>
    <x v="0"/>
    <s v="SIAULIAI_ST_WOOD_BP"/>
    <x v="0"/>
    <x v="22"/>
    <n v="10.8"/>
    <n v="3942"/>
    <n v="14191.2"/>
  </r>
  <r>
    <x v="0"/>
    <x v="0"/>
    <x v="0"/>
    <x v="5"/>
    <x v="9"/>
    <s v="LT_SiaU"/>
    <x v="10"/>
    <x v="0"/>
    <s v="SIAULIAI_ST_WOOD_BP"/>
    <x v="0"/>
    <x v="23"/>
    <n v="10.8"/>
    <n v="3942"/>
    <n v="14191.2"/>
  </r>
  <r>
    <x v="0"/>
    <x v="0"/>
    <x v="0"/>
    <x v="5"/>
    <x v="9"/>
    <s v="LT_VilU"/>
    <x v="1"/>
    <x v="0"/>
    <s v="VILNIUS_ST_MSW_BP"/>
    <x v="0"/>
    <x v="0"/>
    <n v="92"/>
    <n v="33580"/>
    <n v="120888"/>
  </r>
  <r>
    <x v="0"/>
    <x v="0"/>
    <x v="0"/>
    <x v="5"/>
    <x v="9"/>
    <s v="LT_VilU"/>
    <x v="1"/>
    <x v="0"/>
    <s v="VILNIUS_ST_MSW_BP"/>
    <x v="0"/>
    <x v="1"/>
    <n v="92"/>
    <n v="33580"/>
    <n v="120888"/>
  </r>
  <r>
    <x v="0"/>
    <x v="0"/>
    <x v="0"/>
    <x v="5"/>
    <x v="9"/>
    <s v="LT_VilU"/>
    <x v="1"/>
    <x v="0"/>
    <s v="VILNIUS_ST_MSW_BP"/>
    <x v="0"/>
    <x v="2"/>
    <n v="92"/>
    <n v="33580"/>
    <n v="120888"/>
  </r>
  <r>
    <x v="0"/>
    <x v="0"/>
    <x v="0"/>
    <x v="5"/>
    <x v="9"/>
    <s v="LT_VilU"/>
    <x v="1"/>
    <x v="0"/>
    <s v="VILNIUS_ST_MSW_BP"/>
    <x v="0"/>
    <x v="3"/>
    <n v="92"/>
    <n v="33580"/>
    <n v="120888"/>
  </r>
  <r>
    <x v="0"/>
    <x v="0"/>
    <x v="0"/>
    <x v="5"/>
    <x v="9"/>
    <s v="LT_VilU"/>
    <x v="1"/>
    <x v="0"/>
    <s v="VILNIUS_ST_MSW_BP"/>
    <x v="0"/>
    <x v="4"/>
    <n v="92"/>
    <n v="33580"/>
    <n v="120888"/>
  </r>
  <r>
    <x v="0"/>
    <x v="0"/>
    <x v="0"/>
    <x v="5"/>
    <x v="9"/>
    <s v="LT_VilU"/>
    <x v="1"/>
    <x v="0"/>
    <s v="VILNIUS_ST_MSW_BP"/>
    <x v="0"/>
    <x v="5"/>
    <n v="92"/>
    <n v="33580"/>
    <n v="120888"/>
  </r>
  <r>
    <x v="0"/>
    <x v="0"/>
    <x v="0"/>
    <x v="5"/>
    <x v="9"/>
    <s v="LT_VilU"/>
    <x v="1"/>
    <x v="0"/>
    <s v="VILNIUS_ST_MSW_BP"/>
    <x v="0"/>
    <x v="6"/>
    <n v="92"/>
    <n v="33580"/>
    <n v="120888"/>
  </r>
  <r>
    <x v="0"/>
    <x v="0"/>
    <x v="0"/>
    <x v="5"/>
    <x v="9"/>
    <s v="LT_VilU"/>
    <x v="1"/>
    <x v="0"/>
    <s v="VILNIUS_ST_MSW_BP"/>
    <x v="0"/>
    <x v="7"/>
    <n v="92"/>
    <n v="33580"/>
    <n v="120888"/>
  </r>
  <r>
    <x v="0"/>
    <x v="0"/>
    <x v="0"/>
    <x v="5"/>
    <x v="9"/>
    <s v="LT_VilU"/>
    <x v="1"/>
    <x v="0"/>
    <s v="VILNIUS_ST_MSW_BP"/>
    <x v="0"/>
    <x v="8"/>
    <n v="92"/>
    <n v="33580"/>
    <n v="120888"/>
  </r>
  <r>
    <x v="0"/>
    <x v="0"/>
    <x v="0"/>
    <x v="5"/>
    <x v="9"/>
    <s v="LT_VilU"/>
    <x v="1"/>
    <x v="0"/>
    <s v="VILNIUS_ST_MSW_BP"/>
    <x v="0"/>
    <x v="9"/>
    <n v="92"/>
    <n v="33580"/>
    <n v="120888"/>
  </r>
  <r>
    <x v="0"/>
    <x v="0"/>
    <x v="0"/>
    <x v="5"/>
    <x v="9"/>
    <s v="LT_VilU"/>
    <x v="1"/>
    <x v="0"/>
    <s v="VILNIUS_ST_MSW_BP"/>
    <x v="0"/>
    <x v="10"/>
    <n v="92"/>
    <n v="33580"/>
    <n v="120888"/>
  </r>
  <r>
    <x v="0"/>
    <x v="0"/>
    <x v="0"/>
    <x v="5"/>
    <x v="9"/>
    <s v="LT_VilU"/>
    <x v="1"/>
    <x v="0"/>
    <s v="VILNIUS_ST_MSW_BP"/>
    <x v="0"/>
    <x v="11"/>
    <n v="92"/>
    <n v="33580"/>
    <n v="120888"/>
  </r>
  <r>
    <x v="0"/>
    <x v="0"/>
    <x v="0"/>
    <x v="5"/>
    <x v="9"/>
    <s v="LT_VilU"/>
    <x v="1"/>
    <x v="0"/>
    <s v="VILNIUS_ST_MSW_BP"/>
    <x v="0"/>
    <x v="12"/>
    <n v="92"/>
    <n v="33580"/>
    <n v="120888"/>
  </r>
  <r>
    <x v="0"/>
    <x v="0"/>
    <x v="0"/>
    <x v="5"/>
    <x v="9"/>
    <s v="LT_VilU"/>
    <x v="1"/>
    <x v="0"/>
    <s v="VILNIUS_ST_MSW_BP"/>
    <x v="0"/>
    <x v="13"/>
    <n v="92"/>
    <n v="33580"/>
    <n v="120888"/>
  </r>
  <r>
    <x v="0"/>
    <x v="0"/>
    <x v="0"/>
    <x v="5"/>
    <x v="9"/>
    <s v="LT_VilU"/>
    <x v="1"/>
    <x v="0"/>
    <s v="VILNIUS_ST_MSW_BP"/>
    <x v="0"/>
    <x v="14"/>
    <n v="92"/>
    <n v="33580"/>
    <n v="120888"/>
  </r>
  <r>
    <x v="0"/>
    <x v="0"/>
    <x v="0"/>
    <x v="5"/>
    <x v="9"/>
    <s v="LT_VilU"/>
    <x v="1"/>
    <x v="0"/>
    <s v="VILNIUS_ST_MSW_BP"/>
    <x v="0"/>
    <x v="15"/>
    <n v="92"/>
    <n v="33580"/>
    <n v="120888"/>
  </r>
  <r>
    <x v="0"/>
    <x v="0"/>
    <x v="0"/>
    <x v="5"/>
    <x v="9"/>
    <s v="LT_VilU"/>
    <x v="1"/>
    <x v="0"/>
    <s v="VILNIUS_ST_MSW_BP"/>
    <x v="0"/>
    <x v="16"/>
    <n v="92"/>
    <n v="33580"/>
    <n v="120888"/>
  </r>
  <r>
    <x v="0"/>
    <x v="0"/>
    <x v="0"/>
    <x v="5"/>
    <x v="9"/>
    <s v="LT_VilU"/>
    <x v="1"/>
    <x v="0"/>
    <s v="VILNIUS_ST_MSW_BP"/>
    <x v="0"/>
    <x v="17"/>
    <n v="92"/>
    <n v="33580"/>
    <n v="120888"/>
  </r>
  <r>
    <x v="0"/>
    <x v="0"/>
    <x v="0"/>
    <x v="5"/>
    <x v="9"/>
    <s v="LT_VilU"/>
    <x v="1"/>
    <x v="0"/>
    <s v="VILNIUS_ST_MSW_BP"/>
    <x v="0"/>
    <x v="18"/>
    <n v="92"/>
    <n v="33580"/>
    <n v="120888"/>
  </r>
  <r>
    <x v="0"/>
    <x v="0"/>
    <x v="0"/>
    <x v="5"/>
    <x v="9"/>
    <s v="LT_VilU"/>
    <x v="1"/>
    <x v="0"/>
    <s v="VILNIUS_ST_MSW_BP"/>
    <x v="0"/>
    <x v="19"/>
    <n v="92"/>
    <n v="33580"/>
    <n v="120888"/>
  </r>
  <r>
    <x v="0"/>
    <x v="0"/>
    <x v="0"/>
    <x v="5"/>
    <x v="9"/>
    <s v="LT_VilU"/>
    <x v="1"/>
    <x v="0"/>
    <s v="VILNIUS_ST_MSW_BP"/>
    <x v="0"/>
    <x v="20"/>
    <n v="92"/>
    <n v="33580"/>
    <n v="120888"/>
  </r>
  <r>
    <x v="0"/>
    <x v="0"/>
    <x v="0"/>
    <x v="5"/>
    <x v="9"/>
    <s v="LT_VilU"/>
    <x v="1"/>
    <x v="0"/>
    <s v="VILNIUS_ST_MSW_BP"/>
    <x v="0"/>
    <x v="21"/>
    <n v="92"/>
    <n v="33580"/>
    <n v="120888"/>
  </r>
  <r>
    <x v="0"/>
    <x v="0"/>
    <x v="0"/>
    <x v="5"/>
    <x v="9"/>
    <s v="LT_VilU"/>
    <x v="1"/>
    <x v="0"/>
    <s v="VILNIUS_ST_MSW_BP"/>
    <x v="0"/>
    <x v="22"/>
    <n v="92"/>
    <n v="33580"/>
    <n v="120888"/>
  </r>
  <r>
    <x v="0"/>
    <x v="0"/>
    <x v="0"/>
    <x v="5"/>
    <x v="9"/>
    <s v="LT_VilU"/>
    <x v="1"/>
    <x v="0"/>
    <s v="VILNIUS_ST_MSW_BP"/>
    <x v="0"/>
    <x v="23"/>
    <n v="92"/>
    <n v="33580"/>
    <n v="120888"/>
  </r>
  <r>
    <x v="0"/>
    <x v="0"/>
    <x v="0"/>
    <x v="5"/>
    <x v="9"/>
    <s v="LT_VilU"/>
    <x v="2"/>
    <x v="2"/>
    <s v="GNR_CC_NGAS_CND_E-58"/>
    <x v="0"/>
    <x v="0"/>
    <n v="16.4717787562507"/>
    <n v="6012.1992460315196"/>
    <n v="21643.917285713502"/>
  </r>
  <r>
    <x v="0"/>
    <x v="0"/>
    <x v="0"/>
    <x v="5"/>
    <x v="9"/>
    <s v="LT_VilU"/>
    <x v="2"/>
    <x v="2"/>
    <s v="GNR_CC_NGAS_CND_E-58"/>
    <x v="0"/>
    <x v="4"/>
    <n v="116.62633914041599"/>
    <n v="42568.613786251903"/>
    <n v="153247.009630507"/>
  </r>
  <r>
    <x v="0"/>
    <x v="0"/>
    <x v="0"/>
    <x v="5"/>
    <x v="9"/>
    <s v="LT_VilU"/>
    <x v="2"/>
    <x v="2"/>
    <s v="GNR_CC_NGAS_CND_E-58"/>
    <x v="0"/>
    <x v="5"/>
    <n v="455"/>
    <n v="166075"/>
    <n v="597870"/>
  </r>
  <r>
    <x v="0"/>
    <x v="0"/>
    <x v="0"/>
    <x v="5"/>
    <x v="9"/>
    <s v="LT_VilU"/>
    <x v="2"/>
    <x v="2"/>
    <s v="GNR_CC_NGAS_CND_E-58"/>
    <x v="0"/>
    <x v="6"/>
    <n v="455"/>
    <n v="166075"/>
    <n v="597870"/>
  </r>
  <r>
    <x v="0"/>
    <x v="0"/>
    <x v="0"/>
    <x v="5"/>
    <x v="9"/>
    <s v="LT_VilU"/>
    <x v="2"/>
    <x v="2"/>
    <s v="GNR_CC_NGAS_CND_E-58"/>
    <x v="0"/>
    <x v="7"/>
    <n v="455"/>
    <n v="166075"/>
    <n v="597870"/>
  </r>
  <r>
    <x v="0"/>
    <x v="0"/>
    <x v="0"/>
    <x v="5"/>
    <x v="9"/>
    <s v="LT_VilU"/>
    <x v="2"/>
    <x v="2"/>
    <s v="GNR_CC_NGAS_CND_E-58"/>
    <x v="0"/>
    <x v="8"/>
    <n v="455"/>
    <n v="166075"/>
    <n v="597870"/>
  </r>
  <r>
    <x v="0"/>
    <x v="0"/>
    <x v="0"/>
    <x v="5"/>
    <x v="9"/>
    <s v="LT_VilU"/>
    <x v="2"/>
    <x v="2"/>
    <s v="GNR_CC_NGAS_CND_E-58"/>
    <x v="0"/>
    <x v="9"/>
    <n v="455"/>
    <n v="166075"/>
    <n v="597870"/>
  </r>
  <r>
    <x v="0"/>
    <x v="0"/>
    <x v="0"/>
    <x v="5"/>
    <x v="9"/>
    <s v="LT_VilU"/>
    <x v="2"/>
    <x v="2"/>
    <s v="GNR_CC_NGAS_CND_E-58"/>
    <x v="0"/>
    <x v="10"/>
    <n v="455"/>
    <n v="166075"/>
    <n v="597870"/>
  </r>
  <r>
    <x v="0"/>
    <x v="0"/>
    <x v="0"/>
    <x v="5"/>
    <x v="9"/>
    <s v="LT_VilU"/>
    <x v="2"/>
    <x v="2"/>
    <s v="GNR_CC_NGAS_CND_E-58"/>
    <x v="0"/>
    <x v="11"/>
    <n v="455"/>
    <n v="166075"/>
    <n v="597870"/>
  </r>
  <r>
    <x v="0"/>
    <x v="0"/>
    <x v="0"/>
    <x v="5"/>
    <x v="9"/>
    <s v="LT_VilU"/>
    <x v="2"/>
    <x v="2"/>
    <s v="GNR_CC_NGAS_CND_E-58"/>
    <x v="0"/>
    <x v="12"/>
    <n v="455"/>
    <n v="166075"/>
    <n v="597870"/>
  </r>
  <r>
    <x v="0"/>
    <x v="0"/>
    <x v="0"/>
    <x v="5"/>
    <x v="9"/>
    <s v="LT_VilU"/>
    <x v="2"/>
    <x v="2"/>
    <s v="GNR_CC_NGAS_CND_E-58"/>
    <x v="0"/>
    <x v="13"/>
    <n v="455"/>
    <n v="166075"/>
    <n v="597870"/>
  </r>
  <r>
    <x v="0"/>
    <x v="0"/>
    <x v="0"/>
    <x v="5"/>
    <x v="9"/>
    <s v="LT_VilU"/>
    <x v="2"/>
    <x v="2"/>
    <s v="GNR_CC_NGAS_CND_E-58"/>
    <x v="0"/>
    <x v="14"/>
    <n v="455"/>
    <n v="166075"/>
    <n v="597870"/>
  </r>
  <r>
    <x v="0"/>
    <x v="0"/>
    <x v="0"/>
    <x v="5"/>
    <x v="9"/>
    <s v="LT_VilU"/>
    <x v="2"/>
    <x v="2"/>
    <s v="GNR_CC_NGAS_CND_E-58"/>
    <x v="0"/>
    <x v="15"/>
    <n v="455"/>
    <n v="166075"/>
    <n v="597870"/>
  </r>
  <r>
    <x v="0"/>
    <x v="0"/>
    <x v="0"/>
    <x v="5"/>
    <x v="9"/>
    <s v="LT_VilU"/>
    <x v="2"/>
    <x v="2"/>
    <s v="GNR_CC_NGAS_CND_E-58"/>
    <x v="0"/>
    <x v="16"/>
    <n v="455"/>
    <n v="166075"/>
    <n v="597870"/>
  </r>
  <r>
    <x v="0"/>
    <x v="0"/>
    <x v="0"/>
    <x v="5"/>
    <x v="9"/>
    <s v="LT_VilU"/>
    <x v="2"/>
    <x v="2"/>
    <s v="GNR_CC_NGAS_CND_E-58"/>
    <x v="0"/>
    <x v="17"/>
    <n v="455"/>
    <n v="166075"/>
    <n v="597870"/>
  </r>
  <r>
    <x v="0"/>
    <x v="0"/>
    <x v="0"/>
    <x v="5"/>
    <x v="9"/>
    <s v="LT_VilU"/>
    <x v="2"/>
    <x v="2"/>
    <s v="GNR_CC_NGAS_CND_E-58"/>
    <x v="0"/>
    <x v="18"/>
    <n v="455"/>
    <n v="166075"/>
    <n v="597870"/>
  </r>
  <r>
    <x v="0"/>
    <x v="0"/>
    <x v="0"/>
    <x v="5"/>
    <x v="9"/>
    <s v="LT_VilU"/>
    <x v="2"/>
    <x v="2"/>
    <s v="GNR_CC_NGAS_CND_E-58"/>
    <x v="0"/>
    <x v="19"/>
    <n v="455"/>
    <n v="166075"/>
    <n v="597870"/>
  </r>
  <r>
    <x v="0"/>
    <x v="0"/>
    <x v="0"/>
    <x v="5"/>
    <x v="9"/>
    <s v="LT_VilU"/>
    <x v="2"/>
    <x v="2"/>
    <s v="GNR_CC_NGAS_CND_E-58"/>
    <x v="0"/>
    <x v="20"/>
    <n v="455"/>
    <n v="166075"/>
    <n v="597870"/>
  </r>
  <r>
    <x v="0"/>
    <x v="0"/>
    <x v="0"/>
    <x v="5"/>
    <x v="9"/>
    <s v="LT_VilU"/>
    <x v="2"/>
    <x v="2"/>
    <s v="GNR_CC_NGAS_CND_E-58"/>
    <x v="0"/>
    <x v="21"/>
    <n v="455"/>
    <n v="166075"/>
    <n v="597870"/>
  </r>
  <r>
    <x v="0"/>
    <x v="0"/>
    <x v="0"/>
    <x v="5"/>
    <x v="9"/>
    <s v="LT_VilU"/>
    <x v="10"/>
    <x v="0"/>
    <s v="VILNIUS_ST_WOOD_BP"/>
    <x v="0"/>
    <x v="0"/>
    <n v="15"/>
    <n v="5475"/>
    <n v="19710"/>
  </r>
  <r>
    <x v="0"/>
    <x v="0"/>
    <x v="0"/>
    <x v="5"/>
    <x v="9"/>
    <s v="LT_VilU"/>
    <x v="10"/>
    <x v="0"/>
    <s v="VILNIUS_ST_WOOD_BP"/>
    <x v="0"/>
    <x v="1"/>
    <n v="15"/>
    <n v="5475"/>
    <n v="19710"/>
  </r>
  <r>
    <x v="0"/>
    <x v="0"/>
    <x v="0"/>
    <x v="5"/>
    <x v="9"/>
    <s v="LT_VilU"/>
    <x v="10"/>
    <x v="0"/>
    <s v="VILNIUS_ST_WOOD_BP"/>
    <x v="0"/>
    <x v="2"/>
    <n v="15"/>
    <n v="5475"/>
    <n v="19710"/>
  </r>
  <r>
    <x v="0"/>
    <x v="0"/>
    <x v="0"/>
    <x v="5"/>
    <x v="9"/>
    <s v="LT_VilU"/>
    <x v="10"/>
    <x v="0"/>
    <s v="VILNIUS_ST_WOOD_BP"/>
    <x v="0"/>
    <x v="3"/>
    <n v="15"/>
    <n v="5475"/>
    <n v="19710"/>
  </r>
  <r>
    <x v="0"/>
    <x v="0"/>
    <x v="0"/>
    <x v="5"/>
    <x v="9"/>
    <s v="LT_VilU"/>
    <x v="10"/>
    <x v="0"/>
    <s v="VILNIUS_ST_WOOD_BP"/>
    <x v="0"/>
    <x v="4"/>
    <n v="15"/>
    <n v="5475"/>
    <n v="19710"/>
  </r>
  <r>
    <x v="0"/>
    <x v="0"/>
    <x v="0"/>
    <x v="5"/>
    <x v="9"/>
    <s v="LT_VilU"/>
    <x v="10"/>
    <x v="0"/>
    <s v="VILNIUS_ST_WOOD_BP"/>
    <x v="0"/>
    <x v="5"/>
    <n v="15"/>
    <n v="5475"/>
    <n v="19710"/>
  </r>
  <r>
    <x v="0"/>
    <x v="0"/>
    <x v="0"/>
    <x v="5"/>
    <x v="9"/>
    <s v="LT_VilU"/>
    <x v="10"/>
    <x v="0"/>
    <s v="VILNIUS_ST_WOOD_BP"/>
    <x v="0"/>
    <x v="6"/>
    <n v="15"/>
    <n v="5475"/>
    <n v="19710"/>
  </r>
  <r>
    <x v="0"/>
    <x v="0"/>
    <x v="0"/>
    <x v="5"/>
    <x v="9"/>
    <s v="LT_VilU"/>
    <x v="10"/>
    <x v="0"/>
    <s v="VILNIUS_ST_WOOD_BP"/>
    <x v="0"/>
    <x v="7"/>
    <n v="15"/>
    <n v="5475"/>
    <n v="19710"/>
  </r>
  <r>
    <x v="0"/>
    <x v="0"/>
    <x v="0"/>
    <x v="5"/>
    <x v="9"/>
    <s v="LT_VilU"/>
    <x v="10"/>
    <x v="0"/>
    <s v="VILNIUS_ST_WOOD_BP"/>
    <x v="0"/>
    <x v="8"/>
    <n v="15"/>
    <n v="5475"/>
    <n v="19710"/>
  </r>
  <r>
    <x v="0"/>
    <x v="0"/>
    <x v="0"/>
    <x v="5"/>
    <x v="9"/>
    <s v="LT_VilU"/>
    <x v="10"/>
    <x v="0"/>
    <s v="VILNIUS_ST_WOOD_BP"/>
    <x v="0"/>
    <x v="9"/>
    <n v="15"/>
    <n v="5475"/>
    <n v="19710"/>
  </r>
  <r>
    <x v="0"/>
    <x v="0"/>
    <x v="0"/>
    <x v="5"/>
    <x v="9"/>
    <s v="LT_VilU"/>
    <x v="10"/>
    <x v="0"/>
    <s v="VILNIUS_ST_WOOD_BP"/>
    <x v="0"/>
    <x v="10"/>
    <n v="15"/>
    <n v="5475"/>
    <n v="19710"/>
  </r>
  <r>
    <x v="0"/>
    <x v="0"/>
    <x v="0"/>
    <x v="5"/>
    <x v="9"/>
    <s v="LT_VilU"/>
    <x v="10"/>
    <x v="0"/>
    <s v="VILNIUS_ST_WOOD_BP"/>
    <x v="0"/>
    <x v="11"/>
    <n v="15"/>
    <n v="5475"/>
    <n v="19710"/>
  </r>
  <r>
    <x v="0"/>
    <x v="0"/>
    <x v="0"/>
    <x v="5"/>
    <x v="9"/>
    <s v="LT_VilU"/>
    <x v="10"/>
    <x v="0"/>
    <s v="VILNIUS_ST_WOOD_BP"/>
    <x v="0"/>
    <x v="12"/>
    <n v="15"/>
    <n v="5475"/>
    <n v="19710"/>
  </r>
  <r>
    <x v="0"/>
    <x v="0"/>
    <x v="0"/>
    <x v="5"/>
    <x v="9"/>
    <s v="LT_VilU"/>
    <x v="10"/>
    <x v="0"/>
    <s v="VILNIUS_ST_WOOD_BP"/>
    <x v="0"/>
    <x v="13"/>
    <n v="15"/>
    <n v="5475"/>
    <n v="19710"/>
  </r>
  <r>
    <x v="0"/>
    <x v="0"/>
    <x v="0"/>
    <x v="5"/>
    <x v="9"/>
    <s v="LT_VilU"/>
    <x v="10"/>
    <x v="0"/>
    <s v="VILNIUS_ST_WOOD_BP"/>
    <x v="0"/>
    <x v="14"/>
    <n v="15"/>
    <n v="5475"/>
    <n v="19710"/>
  </r>
  <r>
    <x v="0"/>
    <x v="0"/>
    <x v="0"/>
    <x v="5"/>
    <x v="9"/>
    <s v="LT_VilU"/>
    <x v="10"/>
    <x v="0"/>
    <s v="VILNIUS_ST_WOOD_BP"/>
    <x v="0"/>
    <x v="15"/>
    <n v="15"/>
    <n v="5475"/>
    <n v="19710"/>
  </r>
  <r>
    <x v="0"/>
    <x v="0"/>
    <x v="0"/>
    <x v="5"/>
    <x v="9"/>
    <s v="LT_VilU"/>
    <x v="10"/>
    <x v="0"/>
    <s v="VILNIUS_ST_WOOD_BP"/>
    <x v="0"/>
    <x v="16"/>
    <n v="15"/>
    <n v="5475"/>
    <n v="19710"/>
  </r>
  <r>
    <x v="0"/>
    <x v="0"/>
    <x v="0"/>
    <x v="5"/>
    <x v="9"/>
    <s v="LT_VilU"/>
    <x v="10"/>
    <x v="0"/>
    <s v="VILNIUS_ST_WOOD_BP"/>
    <x v="0"/>
    <x v="17"/>
    <n v="15"/>
    <n v="5475"/>
    <n v="19710"/>
  </r>
  <r>
    <x v="0"/>
    <x v="0"/>
    <x v="0"/>
    <x v="5"/>
    <x v="9"/>
    <s v="LT_VilU"/>
    <x v="10"/>
    <x v="0"/>
    <s v="VILNIUS_ST_WOOD_BP"/>
    <x v="0"/>
    <x v="18"/>
    <n v="15"/>
    <n v="5475"/>
    <n v="19710"/>
  </r>
  <r>
    <x v="0"/>
    <x v="0"/>
    <x v="0"/>
    <x v="5"/>
    <x v="9"/>
    <s v="LT_VilU"/>
    <x v="10"/>
    <x v="0"/>
    <s v="VILNIUS_ST_WOOD_BP"/>
    <x v="0"/>
    <x v="19"/>
    <n v="15"/>
    <n v="5475"/>
    <n v="19710"/>
  </r>
  <r>
    <x v="0"/>
    <x v="0"/>
    <x v="0"/>
    <x v="5"/>
    <x v="9"/>
    <s v="LT_VilU"/>
    <x v="10"/>
    <x v="0"/>
    <s v="VILNIUS_ST_WOOD_BP"/>
    <x v="0"/>
    <x v="20"/>
    <n v="15"/>
    <n v="5475"/>
    <n v="19710"/>
  </r>
  <r>
    <x v="0"/>
    <x v="0"/>
    <x v="0"/>
    <x v="5"/>
    <x v="9"/>
    <s v="LT_VilU"/>
    <x v="10"/>
    <x v="0"/>
    <s v="VILNIUS_ST_WOOD_BP"/>
    <x v="0"/>
    <x v="21"/>
    <n v="15"/>
    <n v="5475"/>
    <n v="19710"/>
  </r>
  <r>
    <x v="0"/>
    <x v="0"/>
    <x v="0"/>
    <x v="5"/>
    <x v="9"/>
    <s v="LT_VilU"/>
    <x v="10"/>
    <x v="0"/>
    <s v="VILNIUS_ST_WOOD_BP"/>
    <x v="0"/>
    <x v="22"/>
    <n v="15"/>
    <n v="5475"/>
    <n v="19710"/>
  </r>
  <r>
    <x v="0"/>
    <x v="0"/>
    <x v="0"/>
    <x v="5"/>
    <x v="9"/>
    <s v="LT_VilU"/>
    <x v="10"/>
    <x v="0"/>
    <s v="VILNIUS_ST_WOOD_BP"/>
    <x v="0"/>
    <x v="23"/>
    <n v="15"/>
    <n v="5475"/>
    <n v="19710"/>
  </r>
  <r>
    <x v="0"/>
    <x v="0"/>
    <x v="0"/>
    <x v="6"/>
    <x v="10"/>
    <s v="NL_A"/>
    <x v="1"/>
    <x v="2"/>
    <s v="GNR_ST_MSW_CND_E-40"/>
    <x v="0"/>
    <x v="0"/>
    <n v="684"/>
    <n v="249660"/>
    <n v="898776"/>
  </r>
  <r>
    <x v="0"/>
    <x v="0"/>
    <x v="0"/>
    <x v="6"/>
    <x v="10"/>
    <s v="NL_A"/>
    <x v="1"/>
    <x v="2"/>
    <s v="GNR_ST_MSW_CND_E-40"/>
    <x v="0"/>
    <x v="1"/>
    <n v="684"/>
    <n v="249660"/>
    <n v="898776"/>
  </r>
  <r>
    <x v="0"/>
    <x v="0"/>
    <x v="0"/>
    <x v="6"/>
    <x v="10"/>
    <s v="NL_A"/>
    <x v="1"/>
    <x v="2"/>
    <s v="GNR_ST_MSW_CND_E-40"/>
    <x v="0"/>
    <x v="2"/>
    <n v="684"/>
    <n v="249660"/>
    <n v="898776"/>
  </r>
  <r>
    <x v="0"/>
    <x v="0"/>
    <x v="0"/>
    <x v="6"/>
    <x v="10"/>
    <s v="NL_A"/>
    <x v="1"/>
    <x v="2"/>
    <s v="GNR_ST_MSW_CND_E-40"/>
    <x v="0"/>
    <x v="3"/>
    <n v="684"/>
    <n v="249660"/>
    <n v="898776"/>
  </r>
  <r>
    <x v="0"/>
    <x v="0"/>
    <x v="0"/>
    <x v="6"/>
    <x v="10"/>
    <s v="NL_A"/>
    <x v="1"/>
    <x v="2"/>
    <s v="GNR_ST_MSW_CND_E-40"/>
    <x v="0"/>
    <x v="4"/>
    <n v="684"/>
    <n v="249660"/>
    <n v="898776"/>
  </r>
  <r>
    <x v="0"/>
    <x v="0"/>
    <x v="0"/>
    <x v="6"/>
    <x v="10"/>
    <s v="NL_A"/>
    <x v="1"/>
    <x v="2"/>
    <s v="GNR_ST_MSW_CND_E-40"/>
    <x v="0"/>
    <x v="5"/>
    <n v="684"/>
    <n v="249660"/>
    <n v="898776"/>
  </r>
  <r>
    <x v="0"/>
    <x v="0"/>
    <x v="0"/>
    <x v="6"/>
    <x v="10"/>
    <s v="NL_A"/>
    <x v="1"/>
    <x v="2"/>
    <s v="GNR_ST_MSW_CND_E-40"/>
    <x v="0"/>
    <x v="6"/>
    <n v="684"/>
    <n v="249660"/>
    <n v="898776"/>
  </r>
  <r>
    <x v="0"/>
    <x v="0"/>
    <x v="0"/>
    <x v="6"/>
    <x v="10"/>
    <s v="NL_A"/>
    <x v="1"/>
    <x v="2"/>
    <s v="GNR_ST_MSW_CND_E-40"/>
    <x v="0"/>
    <x v="7"/>
    <n v="684"/>
    <n v="249660"/>
    <n v="898776"/>
  </r>
  <r>
    <x v="0"/>
    <x v="0"/>
    <x v="0"/>
    <x v="6"/>
    <x v="10"/>
    <s v="NL_A"/>
    <x v="1"/>
    <x v="2"/>
    <s v="GNR_ST_MSW_CND_E-40"/>
    <x v="0"/>
    <x v="8"/>
    <n v="684"/>
    <n v="249660"/>
    <n v="898776"/>
  </r>
  <r>
    <x v="0"/>
    <x v="0"/>
    <x v="0"/>
    <x v="6"/>
    <x v="10"/>
    <s v="NL_A"/>
    <x v="1"/>
    <x v="2"/>
    <s v="GNR_ST_MSW_CND_E-40"/>
    <x v="0"/>
    <x v="9"/>
    <n v="684"/>
    <n v="249660"/>
    <n v="898776"/>
  </r>
  <r>
    <x v="0"/>
    <x v="0"/>
    <x v="0"/>
    <x v="6"/>
    <x v="10"/>
    <s v="NL_A"/>
    <x v="1"/>
    <x v="2"/>
    <s v="GNR_ST_MSW_CND_E-40"/>
    <x v="0"/>
    <x v="10"/>
    <n v="684"/>
    <n v="249660"/>
    <n v="898776"/>
  </r>
  <r>
    <x v="0"/>
    <x v="0"/>
    <x v="0"/>
    <x v="6"/>
    <x v="10"/>
    <s v="NL_A"/>
    <x v="1"/>
    <x v="2"/>
    <s v="GNR_ST_MSW_CND_E-40"/>
    <x v="0"/>
    <x v="11"/>
    <n v="684"/>
    <n v="249660"/>
    <n v="898776"/>
  </r>
  <r>
    <x v="0"/>
    <x v="0"/>
    <x v="0"/>
    <x v="6"/>
    <x v="10"/>
    <s v="NL_A"/>
    <x v="1"/>
    <x v="2"/>
    <s v="GNR_ST_MSW_CND_E-40"/>
    <x v="0"/>
    <x v="12"/>
    <n v="684"/>
    <n v="249660"/>
    <n v="898776"/>
  </r>
  <r>
    <x v="0"/>
    <x v="0"/>
    <x v="0"/>
    <x v="6"/>
    <x v="10"/>
    <s v="NL_A"/>
    <x v="1"/>
    <x v="2"/>
    <s v="GNR_ST_MSW_CND_E-40"/>
    <x v="0"/>
    <x v="13"/>
    <n v="684"/>
    <n v="249660"/>
    <n v="898776"/>
  </r>
  <r>
    <x v="0"/>
    <x v="0"/>
    <x v="0"/>
    <x v="6"/>
    <x v="10"/>
    <s v="NL_A"/>
    <x v="1"/>
    <x v="2"/>
    <s v="GNR_ST_MSW_CND_E-40"/>
    <x v="0"/>
    <x v="14"/>
    <n v="684"/>
    <n v="249660"/>
    <n v="898776"/>
  </r>
  <r>
    <x v="0"/>
    <x v="0"/>
    <x v="0"/>
    <x v="6"/>
    <x v="10"/>
    <s v="NL_A"/>
    <x v="1"/>
    <x v="2"/>
    <s v="GNR_ST_MSW_CND_E-40"/>
    <x v="0"/>
    <x v="15"/>
    <n v="684"/>
    <n v="249660"/>
    <n v="898776"/>
  </r>
  <r>
    <x v="0"/>
    <x v="0"/>
    <x v="0"/>
    <x v="6"/>
    <x v="10"/>
    <s v="NL_A"/>
    <x v="1"/>
    <x v="2"/>
    <s v="GNR_ST_MSW_CND_E-40"/>
    <x v="0"/>
    <x v="16"/>
    <n v="684"/>
    <n v="249660"/>
    <n v="898776"/>
  </r>
  <r>
    <x v="0"/>
    <x v="0"/>
    <x v="0"/>
    <x v="6"/>
    <x v="10"/>
    <s v="NL_A"/>
    <x v="1"/>
    <x v="2"/>
    <s v="GNR_ST_MSW_CND_E-40"/>
    <x v="0"/>
    <x v="17"/>
    <n v="684"/>
    <n v="249660"/>
    <n v="898776"/>
  </r>
  <r>
    <x v="0"/>
    <x v="0"/>
    <x v="0"/>
    <x v="6"/>
    <x v="10"/>
    <s v="NL_A"/>
    <x v="1"/>
    <x v="2"/>
    <s v="GNR_ST_MSW_CND_E-40"/>
    <x v="0"/>
    <x v="18"/>
    <n v="684"/>
    <n v="249660"/>
    <n v="898776"/>
  </r>
  <r>
    <x v="0"/>
    <x v="0"/>
    <x v="0"/>
    <x v="6"/>
    <x v="10"/>
    <s v="NL_A"/>
    <x v="1"/>
    <x v="2"/>
    <s v="GNR_ST_MSW_CND_E-40"/>
    <x v="0"/>
    <x v="19"/>
    <n v="684"/>
    <n v="249660"/>
    <n v="898776"/>
  </r>
  <r>
    <x v="0"/>
    <x v="0"/>
    <x v="0"/>
    <x v="6"/>
    <x v="10"/>
    <s v="NL_A"/>
    <x v="1"/>
    <x v="2"/>
    <s v="GNR_ST_MSW_CND_E-40"/>
    <x v="0"/>
    <x v="20"/>
    <n v="684"/>
    <n v="249660"/>
    <n v="898776"/>
  </r>
  <r>
    <x v="0"/>
    <x v="0"/>
    <x v="0"/>
    <x v="6"/>
    <x v="10"/>
    <s v="NL_A"/>
    <x v="1"/>
    <x v="2"/>
    <s v="GNR_ST_MSW_CND_E-40"/>
    <x v="0"/>
    <x v="21"/>
    <n v="684"/>
    <n v="249660"/>
    <n v="898776"/>
  </r>
  <r>
    <x v="0"/>
    <x v="0"/>
    <x v="0"/>
    <x v="6"/>
    <x v="10"/>
    <s v="NL_A"/>
    <x v="1"/>
    <x v="2"/>
    <s v="GNR_ST_MSW_CND_E-40"/>
    <x v="0"/>
    <x v="22"/>
    <n v="684"/>
    <n v="249660"/>
    <n v="898776"/>
  </r>
  <r>
    <x v="0"/>
    <x v="0"/>
    <x v="0"/>
    <x v="6"/>
    <x v="10"/>
    <s v="NL_A"/>
    <x v="1"/>
    <x v="2"/>
    <s v="GNR_ST_MSW_CND_E-40"/>
    <x v="0"/>
    <x v="23"/>
    <n v="684"/>
    <n v="249660"/>
    <n v="898776"/>
  </r>
  <r>
    <x v="0"/>
    <x v="0"/>
    <x v="0"/>
    <x v="6"/>
    <x v="10"/>
    <s v="NL_A"/>
    <x v="2"/>
    <x v="2"/>
    <s v="GNR_CC_NGAS_CND_E-38"/>
    <x v="0"/>
    <x v="15"/>
    <n v="5154.9608358633304"/>
    <n v="1881560.70509012"/>
    <n v="6773618.5383244203"/>
  </r>
  <r>
    <x v="0"/>
    <x v="0"/>
    <x v="0"/>
    <x v="6"/>
    <x v="10"/>
    <s v="NL_A"/>
    <x v="13"/>
    <x v="2"/>
    <s v="GNR_ST_NUCL_CND_E-33"/>
    <x v="0"/>
    <x v="0"/>
    <n v="515"/>
    <n v="187975"/>
    <n v="676710"/>
  </r>
  <r>
    <x v="0"/>
    <x v="0"/>
    <x v="0"/>
    <x v="6"/>
    <x v="10"/>
    <s v="NL_A"/>
    <x v="13"/>
    <x v="2"/>
    <s v="GNR_ST_NUCL_CND_E-33"/>
    <x v="0"/>
    <x v="1"/>
    <n v="515"/>
    <n v="187975"/>
    <n v="676710"/>
  </r>
  <r>
    <x v="0"/>
    <x v="0"/>
    <x v="0"/>
    <x v="6"/>
    <x v="10"/>
    <s v="NL_A"/>
    <x v="13"/>
    <x v="2"/>
    <s v="GNR_ST_NUCL_CND_E-33"/>
    <x v="0"/>
    <x v="2"/>
    <n v="515"/>
    <n v="187975"/>
    <n v="676710"/>
  </r>
  <r>
    <x v="0"/>
    <x v="0"/>
    <x v="0"/>
    <x v="6"/>
    <x v="10"/>
    <s v="NL_A"/>
    <x v="13"/>
    <x v="2"/>
    <s v="GNR_ST_NUCL_CND_E-33"/>
    <x v="0"/>
    <x v="3"/>
    <n v="515"/>
    <n v="187975"/>
    <n v="676710"/>
  </r>
  <r>
    <x v="0"/>
    <x v="0"/>
    <x v="0"/>
    <x v="6"/>
    <x v="10"/>
    <s v="NL_A"/>
    <x v="13"/>
    <x v="2"/>
    <s v="GNR_ST_NUCL_CND_E-33"/>
    <x v="0"/>
    <x v="4"/>
    <n v="515"/>
    <n v="187975"/>
    <n v="676710"/>
  </r>
  <r>
    <x v="0"/>
    <x v="0"/>
    <x v="0"/>
    <x v="6"/>
    <x v="10"/>
    <s v="NL_A"/>
    <x v="13"/>
    <x v="2"/>
    <s v="GNR_ST_NUCL_CND_E-33"/>
    <x v="0"/>
    <x v="5"/>
    <n v="515"/>
    <n v="187975"/>
    <n v="676710"/>
  </r>
  <r>
    <x v="0"/>
    <x v="0"/>
    <x v="0"/>
    <x v="6"/>
    <x v="10"/>
    <s v="NL_A"/>
    <x v="13"/>
    <x v="2"/>
    <s v="GNR_ST_NUCL_CND_E-33"/>
    <x v="0"/>
    <x v="6"/>
    <n v="515"/>
    <n v="187975"/>
    <n v="676710"/>
  </r>
  <r>
    <x v="0"/>
    <x v="0"/>
    <x v="0"/>
    <x v="6"/>
    <x v="10"/>
    <s v="NL_A"/>
    <x v="13"/>
    <x v="2"/>
    <s v="GNR_ST_NUCL_CND_E-33"/>
    <x v="0"/>
    <x v="7"/>
    <n v="515"/>
    <n v="187975"/>
    <n v="676710"/>
  </r>
  <r>
    <x v="0"/>
    <x v="0"/>
    <x v="0"/>
    <x v="6"/>
    <x v="10"/>
    <s v="NL_A"/>
    <x v="13"/>
    <x v="2"/>
    <s v="GNR_ST_NUCL_CND_E-33"/>
    <x v="0"/>
    <x v="8"/>
    <n v="515"/>
    <n v="187975"/>
    <n v="676710"/>
  </r>
  <r>
    <x v="0"/>
    <x v="0"/>
    <x v="0"/>
    <x v="6"/>
    <x v="10"/>
    <s v="NL_A"/>
    <x v="13"/>
    <x v="2"/>
    <s v="GNR_ST_NUCL_CND_E-33"/>
    <x v="0"/>
    <x v="9"/>
    <n v="515"/>
    <n v="187975"/>
    <n v="676710"/>
  </r>
  <r>
    <x v="0"/>
    <x v="0"/>
    <x v="0"/>
    <x v="6"/>
    <x v="10"/>
    <s v="NL_A"/>
    <x v="13"/>
    <x v="2"/>
    <s v="GNR_ST_NUCL_CND_E-33"/>
    <x v="0"/>
    <x v="10"/>
    <n v="515"/>
    <n v="187975"/>
    <n v="676710"/>
  </r>
  <r>
    <x v="0"/>
    <x v="0"/>
    <x v="0"/>
    <x v="6"/>
    <x v="10"/>
    <s v="NL_A"/>
    <x v="13"/>
    <x v="2"/>
    <s v="GNR_ST_NUCL_CND_E-33"/>
    <x v="0"/>
    <x v="11"/>
    <n v="515"/>
    <n v="187975"/>
    <n v="676710"/>
  </r>
  <r>
    <x v="0"/>
    <x v="0"/>
    <x v="0"/>
    <x v="6"/>
    <x v="10"/>
    <s v="NL_A"/>
    <x v="13"/>
    <x v="2"/>
    <s v="GNR_ST_NUCL_CND_E-33"/>
    <x v="0"/>
    <x v="12"/>
    <n v="515"/>
    <n v="187975"/>
    <n v="676710"/>
  </r>
  <r>
    <x v="0"/>
    <x v="0"/>
    <x v="0"/>
    <x v="6"/>
    <x v="10"/>
    <s v="NL_A"/>
    <x v="13"/>
    <x v="2"/>
    <s v="GNR_ST_NUCL_CND_E-33"/>
    <x v="0"/>
    <x v="13"/>
    <n v="515"/>
    <n v="187975"/>
    <n v="676710"/>
  </r>
  <r>
    <x v="0"/>
    <x v="0"/>
    <x v="0"/>
    <x v="6"/>
    <x v="10"/>
    <s v="NL_A"/>
    <x v="13"/>
    <x v="2"/>
    <s v="GNR_ST_NUCL_CND_E-33"/>
    <x v="0"/>
    <x v="14"/>
    <n v="515"/>
    <n v="187975"/>
    <n v="676710"/>
  </r>
  <r>
    <x v="0"/>
    <x v="0"/>
    <x v="0"/>
    <x v="6"/>
    <x v="10"/>
    <s v="NL_A"/>
    <x v="13"/>
    <x v="2"/>
    <s v="GNR_ST_NUCL_CND_E-33"/>
    <x v="0"/>
    <x v="15"/>
    <n v="515"/>
    <n v="187975"/>
    <n v="676710"/>
  </r>
  <r>
    <x v="0"/>
    <x v="0"/>
    <x v="0"/>
    <x v="6"/>
    <x v="10"/>
    <s v="NL_A"/>
    <x v="13"/>
    <x v="2"/>
    <s v="GNR_ST_NUCL_CND_E-33"/>
    <x v="0"/>
    <x v="16"/>
    <n v="515"/>
    <n v="187975"/>
    <n v="676710"/>
  </r>
  <r>
    <x v="0"/>
    <x v="0"/>
    <x v="0"/>
    <x v="6"/>
    <x v="10"/>
    <s v="NL_A"/>
    <x v="13"/>
    <x v="2"/>
    <s v="GNR_ST_NUCL_CND_E-33"/>
    <x v="0"/>
    <x v="17"/>
    <n v="515"/>
    <n v="187975"/>
    <n v="676710"/>
  </r>
  <r>
    <x v="0"/>
    <x v="0"/>
    <x v="0"/>
    <x v="6"/>
    <x v="10"/>
    <s v="NL_A"/>
    <x v="13"/>
    <x v="2"/>
    <s v="GNR_ST_NUCL_CND_E-33"/>
    <x v="0"/>
    <x v="18"/>
    <n v="515"/>
    <n v="187975"/>
    <n v="676710"/>
  </r>
  <r>
    <x v="0"/>
    <x v="0"/>
    <x v="0"/>
    <x v="6"/>
    <x v="10"/>
    <s v="NL_A"/>
    <x v="13"/>
    <x v="2"/>
    <s v="GNR_ST_NUCL_CND_E-33"/>
    <x v="0"/>
    <x v="19"/>
    <n v="515"/>
    <n v="187975"/>
    <n v="676710"/>
  </r>
  <r>
    <x v="0"/>
    <x v="0"/>
    <x v="0"/>
    <x v="6"/>
    <x v="10"/>
    <s v="NL_A"/>
    <x v="13"/>
    <x v="2"/>
    <s v="GNR_ST_NUCL_CND_E-33"/>
    <x v="0"/>
    <x v="20"/>
    <n v="515"/>
    <n v="187975"/>
    <n v="676710"/>
  </r>
  <r>
    <x v="0"/>
    <x v="0"/>
    <x v="0"/>
    <x v="6"/>
    <x v="10"/>
    <s v="NL_A"/>
    <x v="13"/>
    <x v="2"/>
    <s v="GNR_ST_NUCL_CND_E-33"/>
    <x v="0"/>
    <x v="21"/>
    <n v="515"/>
    <n v="187975"/>
    <n v="676710"/>
  </r>
  <r>
    <x v="0"/>
    <x v="0"/>
    <x v="0"/>
    <x v="6"/>
    <x v="10"/>
    <s v="NL_A"/>
    <x v="13"/>
    <x v="2"/>
    <s v="GNR_ST_NUCL_CND_E-33"/>
    <x v="0"/>
    <x v="22"/>
    <n v="515"/>
    <n v="187975"/>
    <n v="676710"/>
  </r>
  <r>
    <x v="0"/>
    <x v="0"/>
    <x v="0"/>
    <x v="6"/>
    <x v="10"/>
    <s v="NL_A"/>
    <x v="13"/>
    <x v="2"/>
    <s v="GNR_ST_NUCL_CND_E-33"/>
    <x v="0"/>
    <x v="23"/>
    <n v="515"/>
    <n v="187975"/>
    <n v="676710"/>
  </r>
  <r>
    <x v="0"/>
    <x v="0"/>
    <x v="0"/>
    <x v="6"/>
    <x v="10"/>
    <s v="NL_A"/>
    <x v="5"/>
    <x v="3"/>
    <s v="GNR_PV_SUN"/>
    <x v="0"/>
    <x v="8"/>
    <n v="16.883927773781998"/>
    <n v="6162.6336374304401"/>
    <n v="22185.481094749601"/>
  </r>
  <r>
    <x v="0"/>
    <x v="0"/>
    <x v="0"/>
    <x v="6"/>
    <x v="10"/>
    <s v="NL_A"/>
    <x v="5"/>
    <x v="3"/>
    <s v="GNR_PV_SUN"/>
    <x v="0"/>
    <x v="9"/>
    <n v="127.105671650831"/>
    <n v="46393.5701525533"/>
    <n v="167016.852549192"/>
  </r>
  <r>
    <x v="0"/>
    <x v="0"/>
    <x v="0"/>
    <x v="6"/>
    <x v="10"/>
    <s v="NL_A"/>
    <x v="5"/>
    <x v="3"/>
    <s v="GNR_PV_SUN"/>
    <x v="0"/>
    <x v="10"/>
    <n v="293.60717477382002"/>
    <n v="107166.618792444"/>
    <n v="385799.82765279902"/>
  </r>
  <r>
    <x v="0"/>
    <x v="0"/>
    <x v="0"/>
    <x v="6"/>
    <x v="10"/>
    <s v="NL_A"/>
    <x v="5"/>
    <x v="3"/>
    <s v="GNR_PV_SUN"/>
    <x v="0"/>
    <x v="11"/>
    <n v="447.12104114774598"/>
    <n v="163199.180018927"/>
    <n v="587517.04806813796"/>
  </r>
  <r>
    <x v="0"/>
    <x v="0"/>
    <x v="0"/>
    <x v="6"/>
    <x v="10"/>
    <s v="NL_A"/>
    <x v="5"/>
    <x v="3"/>
    <s v="GNR_PV_SUN"/>
    <x v="0"/>
    <x v="12"/>
    <n v="508.33610235832998"/>
    <n v="185542.67736079"/>
    <n v="667953.63849884504"/>
  </r>
  <r>
    <x v="0"/>
    <x v="0"/>
    <x v="0"/>
    <x v="6"/>
    <x v="10"/>
    <s v="NL_A"/>
    <x v="5"/>
    <x v="3"/>
    <s v="GNR_PV_SUN"/>
    <x v="0"/>
    <x v="13"/>
    <n v="442.01257069311401"/>
    <n v="161334.58830298699"/>
    <n v="580804.51789075194"/>
  </r>
  <r>
    <x v="0"/>
    <x v="0"/>
    <x v="0"/>
    <x v="6"/>
    <x v="10"/>
    <s v="NL_A"/>
    <x v="5"/>
    <x v="3"/>
    <s v="GNR_PV_SUN"/>
    <x v="0"/>
    <x v="14"/>
    <n v="287.63286186925097"/>
    <n v="104985.994582277"/>
    <n v="377949.58049619599"/>
  </r>
  <r>
    <x v="0"/>
    <x v="0"/>
    <x v="0"/>
    <x v="6"/>
    <x v="10"/>
    <s v="NL_A"/>
    <x v="5"/>
    <x v="3"/>
    <s v="GNR_PV_SUN"/>
    <x v="0"/>
    <x v="15"/>
    <n v="145.634700079494"/>
    <n v="53156.665529015401"/>
    <n v="191363.99590445499"/>
  </r>
  <r>
    <x v="0"/>
    <x v="0"/>
    <x v="0"/>
    <x v="6"/>
    <x v="10"/>
    <s v="NL_A"/>
    <x v="5"/>
    <x v="3"/>
    <s v="GNR_PV_SUN"/>
    <x v="0"/>
    <x v="16"/>
    <n v="18.9619496536321"/>
    <n v="6921.1116235757299"/>
    <n v="24916.0018448726"/>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2"/>
    <n v="18.219178082191799"/>
    <n v="6650"/>
    <n v="23940"/>
  </r>
  <r>
    <x v="0"/>
    <x v="0"/>
    <x v="0"/>
    <x v="6"/>
    <x v="10"/>
    <s v="NL_A"/>
    <x v="6"/>
    <x v="4"/>
    <s v="GNR_ROR_WTR"/>
    <x v="0"/>
    <x v="3"/>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8"/>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0"/>
    <n v="55.210607732886402"/>
    <n v="20151.871822503501"/>
    <n v="72546.738561012695"/>
  </r>
  <r>
    <x v="0"/>
    <x v="0"/>
    <x v="0"/>
    <x v="6"/>
    <x v="10"/>
    <s v="NL_A"/>
    <x v="7"/>
    <x v="5"/>
    <s v="GNR_WT_WIND_OFF"/>
    <x v="0"/>
    <x v="1"/>
    <n v="65.846739402838594"/>
    <n v="24034.059882036101"/>
    <n v="86522.615575329895"/>
  </r>
  <r>
    <x v="0"/>
    <x v="0"/>
    <x v="0"/>
    <x v="6"/>
    <x v="10"/>
    <s v="NL_A"/>
    <x v="7"/>
    <x v="5"/>
    <s v="GNR_WT_WIND_OFF"/>
    <x v="0"/>
    <x v="2"/>
    <n v="62.482647804815798"/>
    <n v="22806.166448757798"/>
    <n v="82102.1992155279"/>
  </r>
  <r>
    <x v="0"/>
    <x v="0"/>
    <x v="0"/>
    <x v="6"/>
    <x v="10"/>
    <s v="NL_A"/>
    <x v="7"/>
    <x v="5"/>
    <s v="GNR_WT_WIND_OFF"/>
    <x v="0"/>
    <x v="3"/>
    <n v="65.283828522886694"/>
    <n v="23828.597410853701"/>
    <n v="85782.950679073198"/>
  </r>
  <r>
    <x v="0"/>
    <x v="0"/>
    <x v="0"/>
    <x v="6"/>
    <x v="10"/>
    <s v="NL_A"/>
    <x v="7"/>
    <x v="5"/>
    <s v="GNR_WT_WIND_OFF"/>
    <x v="0"/>
    <x v="4"/>
    <n v="66.024935285789894"/>
    <n v="24099.101379313299"/>
    <n v="86756.764965527997"/>
  </r>
  <r>
    <x v="0"/>
    <x v="0"/>
    <x v="0"/>
    <x v="6"/>
    <x v="10"/>
    <s v="NL_A"/>
    <x v="7"/>
    <x v="5"/>
    <s v="GNR_WT_WIND_OFF"/>
    <x v="0"/>
    <x v="5"/>
    <n v="72.629332161629904"/>
    <n v="26509.706238994899"/>
    <n v="95434.942460381702"/>
  </r>
  <r>
    <x v="0"/>
    <x v="0"/>
    <x v="0"/>
    <x v="6"/>
    <x v="10"/>
    <s v="NL_A"/>
    <x v="7"/>
    <x v="5"/>
    <s v="GNR_WT_WIND_OFF"/>
    <x v="0"/>
    <x v="6"/>
    <n v="73.046463281610897"/>
    <n v="26661.959097788"/>
    <n v="95983.052752036703"/>
  </r>
  <r>
    <x v="0"/>
    <x v="0"/>
    <x v="0"/>
    <x v="6"/>
    <x v="10"/>
    <s v="NL_A"/>
    <x v="7"/>
    <x v="5"/>
    <s v="GNR_WT_WIND_OFF"/>
    <x v="0"/>
    <x v="7"/>
    <n v="69.881411624717998"/>
    <n v="25506.715243022099"/>
    <n v="91824.174874879405"/>
  </r>
  <r>
    <x v="0"/>
    <x v="0"/>
    <x v="0"/>
    <x v="6"/>
    <x v="10"/>
    <s v="NL_A"/>
    <x v="7"/>
    <x v="5"/>
    <s v="GNR_WT_WIND_OFF"/>
    <x v="0"/>
    <x v="8"/>
    <n v="67.221960515529702"/>
    <n v="24536.015588168299"/>
    <n v="88329.656117406004"/>
  </r>
  <r>
    <x v="0"/>
    <x v="0"/>
    <x v="0"/>
    <x v="6"/>
    <x v="10"/>
    <s v="NL_A"/>
    <x v="7"/>
    <x v="5"/>
    <s v="GNR_WT_WIND_OFF"/>
    <x v="0"/>
    <x v="9"/>
    <n v="69.778271541859795"/>
    <n v="25469.069112778801"/>
    <n v="91688.648806003694"/>
  </r>
  <r>
    <x v="0"/>
    <x v="0"/>
    <x v="0"/>
    <x v="6"/>
    <x v="10"/>
    <s v="NL_A"/>
    <x v="7"/>
    <x v="5"/>
    <s v="GNR_WT_WIND_OFF"/>
    <x v="0"/>
    <x v="10"/>
    <n v="77.2823203335453"/>
    <n v="28208.046921744"/>
    <n v="101548.968918278"/>
  </r>
  <r>
    <x v="0"/>
    <x v="0"/>
    <x v="0"/>
    <x v="6"/>
    <x v="10"/>
    <s v="NL_A"/>
    <x v="7"/>
    <x v="5"/>
    <s v="GNR_WT_WIND_OFF"/>
    <x v="0"/>
    <x v="11"/>
    <n v="83.1641453175679"/>
    <n v="30354.913040912299"/>
    <n v="109277.686947284"/>
  </r>
  <r>
    <x v="0"/>
    <x v="0"/>
    <x v="0"/>
    <x v="6"/>
    <x v="10"/>
    <s v="NL_A"/>
    <x v="7"/>
    <x v="5"/>
    <s v="GNR_WT_WIND_OFF"/>
    <x v="0"/>
    <x v="12"/>
    <n v="96.015989647794797"/>
    <n v="35045.836221445097"/>
    <n v="126165.010397202"/>
  </r>
  <r>
    <x v="0"/>
    <x v="0"/>
    <x v="0"/>
    <x v="6"/>
    <x v="10"/>
    <s v="NL_A"/>
    <x v="7"/>
    <x v="5"/>
    <s v="GNR_WT_WIND_OFF"/>
    <x v="0"/>
    <x v="13"/>
    <n v="107.03100511983401"/>
    <n v="39066.316868739297"/>
    <n v="140638.74072746199"/>
  </r>
  <r>
    <x v="0"/>
    <x v="0"/>
    <x v="0"/>
    <x v="6"/>
    <x v="10"/>
    <s v="NL_A"/>
    <x v="7"/>
    <x v="5"/>
    <s v="GNR_WT_WIND_OFF"/>
    <x v="0"/>
    <x v="14"/>
    <n v="125.81943584469499"/>
    <n v="45924.094083313801"/>
    <n v="165326.73869992999"/>
  </r>
  <r>
    <x v="0"/>
    <x v="0"/>
    <x v="0"/>
    <x v="6"/>
    <x v="10"/>
    <s v="NL_A"/>
    <x v="7"/>
    <x v="5"/>
    <s v="GNR_WT_WIND_OFF"/>
    <x v="0"/>
    <x v="15"/>
    <n v="124.939008092262"/>
    <n v="45602.737953675503"/>
    <n v="164169.856633232"/>
  </r>
  <r>
    <x v="0"/>
    <x v="0"/>
    <x v="0"/>
    <x v="6"/>
    <x v="10"/>
    <s v="NL_A"/>
    <x v="7"/>
    <x v="5"/>
    <s v="GNR_WT_WIND_OFF"/>
    <x v="0"/>
    <x v="16"/>
    <n v="114.15703361553901"/>
    <n v="41667.317269671701"/>
    <n v="150002.34217081801"/>
  </r>
  <r>
    <x v="0"/>
    <x v="0"/>
    <x v="0"/>
    <x v="6"/>
    <x v="10"/>
    <s v="NL_A"/>
    <x v="7"/>
    <x v="5"/>
    <s v="GNR_WT_WIND_OFF"/>
    <x v="0"/>
    <x v="17"/>
    <n v="104.019552043614"/>
    <n v="37967.136495919302"/>
    <n v="136681.69138530901"/>
  </r>
  <r>
    <x v="0"/>
    <x v="0"/>
    <x v="0"/>
    <x v="6"/>
    <x v="10"/>
    <s v="NL_A"/>
    <x v="7"/>
    <x v="5"/>
    <s v="GNR_WT_WIND_OFF"/>
    <x v="0"/>
    <x v="18"/>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0"/>
    <n v="551.21197841821004"/>
    <n v="201192.37212264701"/>
    <n v="724292.53964152804"/>
  </r>
  <r>
    <x v="0"/>
    <x v="0"/>
    <x v="0"/>
    <x v="6"/>
    <x v="10"/>
    <s v="NL_A"/>
    <x v="7"/>
    <x v="5"/>
    <s v="GNR_WT_WIND_ONS"/>
    <x v="0"/>
    <x v="1"/>
    <n v="657.40105007044497"/>
    <n v="239951.383275712"/>
    <n v="863824.97979256499"/>
  </r>
  <r>
    <x v="0"/>
    <x v="0"/>
    <x v="0"/>
    <x v="6"/>
    <x v="10"/>
    <s v="NL_A"/>
    <x v="7"/>
    <x v="5"/>
    <s v="GNR_WT_WIND_ONS"/>
    <x v="0"/>
    <x v="2"/>
    <n v="623.81461330637899"/>
    <n v="227692.33385682901"/>
    <n v="819692.40188458306"/>
  </r>
  <r>
    <x v="0"/>
    <x v="0"/>
    <x v="0"/>
    <x v="6"/>
    <x v="10"/>
    <s v="NL_A"/>
    <x v="7"/>
    <x v="5"/>
    <s v="GNR_WT_WIND_ONS"/>
    <x v="0"/>
    <x v="3"/>
    <n v="651.78105723659405"/>
    <n v="237900.08589135701"/>
    <n v="856440.30920888402"/>
  </r>
  <r>
    <x v="0"/>
    <x v="0"/>
    <x v="0"/>
    <x v="6"/>
    <x v="10"/>
    <s v="NL_A"/>
    <x v="7"/>
    <x v="5"/>
    <s v="GNR_WT_WIND_ONS"/>
    <x v="0"/>
    <x v="4"/>
    <n v="659.18012313667202"/>
    <n v="240600.74494488499"/>
    <n v="866162.68180158699"/>
  </r>
  <r>
    <x v="0"/>
    <x v="0"/>
    <x v="0"/>
    <x v="6"/>
    <x v="10"/>
    <s v="NL_A"/>
    <x v="7"/>
    <x v="5"/>
    <s v="GNR_WT_WIND_ONS"/>
    <x v="0"/>
    <x v="5"/>
    <n v="725.11713809951095"/>
    <n v="264667.75540632202"/>
    <n v="952803.919462758"/>
  </r>
  <r>
    <x v="0"/>
    <x v="0"/>
    <x v="0"/>
    <x v="6"/>
    <x v="10"/>
    <s v="NL_A"/>
    <x v="7"/>
    <x v="5"/>
    <s v="GNR_WT_WIND_ONS"/>
    <x v="0"/>
    <x v="6"/>
    <n v="729.28169413948297"/>
    <n v="266187.81836091098"/>
    <n v="958276.14609928103"/>
  </r>
  <r>
    <x v="0"/>
    <x v="0"/>
    <x v="0"/>
    <x v="6"/>
    <x v="10"/>
    <s v="NL_A"/>
    <x v="7"/>
    <x v="5"/>
    <s v="GNR_WT_WIND_ONS"/>
    <x v="0"/>
    <x v="7"/>
    <n v="697.68243346783197"/>
    <n v="254654.08821575899"/>
    <n v="916754.71757673204"/>
  </r>
  <r>
    <x v="0"/>
    <x v="0"/>
    <x v="0"/>
    <x v="6"/>
    <x v="10"/>
    <s v="NL_A"/>
    <x v="7"/>
    <x v="5"/>
    <s v="GNR_WT_WIND_ONS"/>
    <x v="0"/>
    <x v="8"/>
    <n v="671.13099041010605"/>
    <n v="244962.81149968901"/>
    <n v="881866.12139887898"/>
  </r>
  <r>
    <x v="0"/>
    <x v="0"/>
    <x v="0"/>
    <x v="6"/>
    <x v="10"/>
    <s v="NL_A"/>
    <x v="7"/>
    <x v="5"/>
    <s v="GNR_WT_WIND_ONS"/>
    <x v="0"/>
    <x v="9"/>
    <n v="696.65270292399202"/>
    <n v="254278.236567257"/>
    <n v="915401.65164212603"/>
  </r>
  <r>
    <x v="0"/>
    <x v="0"/>
    <x v="0"/>
    <x v="6"/>
    <x v="10"/>
    <s v="NL_A"/>
    <x v="7"/>
    <x v="5"/>
    <s v="GNR_WT_WIND_ONS"/>
    <x v="0"/>
    <x v="10"/>
    <n v="771.57166778349199"/>
    <n v="281623.65874097502"/>
    <n v="1013845.1714675101"/>
  </r>
  <r>
    <x v="0"/>
    <x v="0"/>
    <x v="0"/>
    <x v="6"/>
    <x v="10"/>
    <s v="NL_A"/>
    <x v="7"/>
    <x v="5"/>
    <s v="GNR_WT_WIND_ONS"/>
    <x v="0"/>
    <x v="11"/>
    <n v="830.29466539725695"/>
    <n v="303057.55286999902"/>
    <n v="1091007.1903319999"/>
  </r>
  <r>
    <x v="0"/>
    <x v="0"/>
    <x v="0"/>
    <x v="6"/>
    <x v="10"/>
    <s v="NL_A"/>
    <x v="7"/>
    <x v="5"/>
    <s v="GNR_WT_WIND_ONS"/>
    <x v="0"/>
    <x v="12"/>
    <n v="958.60498166583704"/>
    <n v="349890.81830803101"/>
    <n v="1259606.9459089099"/>
  </r>
  <r>
    <x v="0"/>
    <x v="0"/>
    <x v="0"/>
    <x v="6"/>
    <x v="10"/>
    <s v="NL_A"/>
    <x v="7"/>
    <x v="5"/>
    <s v="GNR_WT_WIND_ONS"/>
    <x v="0"/>
    <x v="13"/>
    <n v="1068.5767555688701"/>
    <n v="390030.51578263601"/>
    <n v="1404109.85681749"/>
  </r>
  <r>
    <x v="0"/>
    <x v="0"/>
    <x v="0"/>
    <x v="6"/>
    <x v="10"/>
    <s v="NL_A"/>
    <x v="7"/>
    <x v="5"/>
    <s v="GNR_WT_WIND_ONS"/>
    <x v="0"/>
    <x v="14"/>
    <n v="1256.1567967328699"/>
    <n v="458497.23080749699"/>
    <n v="1650590.0309069899"/>
  </r>
  <r>
    <x v="0"/>
    <x v="0"/>
    <x v="0"/>
    <x v="6"/>
    <x v="10"/>
    <s v="NL_A"/>
    <x v="7"/>
    <x v="5"/>
    <s v="GNR_WT_WIND_ONS"/>
    <x v="0"/>
    <x v="15"/>
    <n v="1247.3667771478399"/>
    <n v="455288.87365896202"/>
    <n v="1639039.94517226"/>
  </r>
  <r>
    <x v="0"/>
    <x v="0"/>
    <x v="0"/>
    <x v="6"/>
    <x v="10"/>
    <s v="NL_A"/>
    <x v="7"/>
    <x v="5"/>
    <s v="GNR_WT_WIND_ONS"/>
    <x v="0"/>
    <x v="16"/>
    <n v="1139.72163925473"/>
    <n v="415998.39832797699"/>
    <n v="1497594.2339807199"/>
  </r>
  <r>
    <x v="0"/>
    <x v="0"/>
    <x v="0"/>
    <x v="6"/>
    <x v="10"/>
    <s v="NL_A"/>
    <x v="7"/>
    <x v="5"/>
    <s v="GNR_WT_WIND_ONS"/>
    <x v="0"/>
    <x v="17"/>
    <n v="1038.5109932775399"/>
    <n v="379056.51254630298"/>
    <n v="1364603.44516669"/>
  </r>
  <r>
    <x v="0"/>
    <x v="0"/>
    <x v="0"/>
    <x v="6"/>
    <x v="10"/>
    <s v="NL_A"/>
    <x v="7"/>
    <x v="5"/>
    <s v="GNR_WT_WIND_ONS"/>
    <x v="0"/>
    <x v="18"/>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0"/>
    <x v="2"/>
    <s v="GNR_ST_WOOD_CND_E-50"/>
    <x v="0"/>
    <x v="0"/>
    <n v="400"/>
    <n v="146000"/>
    <n v="525600"/>
  </r>
  <r>
    <x v="0"/>
    <x v="0"/>
    <x v="0"/>
    <x v="6"/>
    <x v="10"/>
    <s v="NL_A"/>
    <x v="10"/>
    <x v="2"/>
    <s v="GNR_ST_WOOD_CND_E-50"/>
    <x v="0"/>
    <x v="1"/>
    <n v="400"/>
    <n v="146000"/>
    <n v="525600"/>
  </r>
  <r>
    <x v="0"/>
    <x v="0"/>
    <x v="0"/>
    <x v="6"/>
    <x v="10"/>
    <s v="NL_A"/>
    <x v="10"/>
    <x v="2"/>
    <s v="GNR_ST_WOOD_CND_E-50"/>
    <x v="0"/>
    <x v="2"/>
    <n v="400"/>
    <n v="146000"/>
    <n v="525600"/>
  </r>
  <r>
    <x v="0"/>
    <x v="0"/>
    <x v="0"/>
    <x v="6"/>
    <x v="10"/>
    <s v="NL_A"/>
    <x v="10"/>
    <x v="2"/>
    <s v="GNR_ST_WOOD_CND_E-50"/>
    <x v="0"/>
    <x v="3"/>
    <n v="400"/>
    <n v="146000"/>
    <n v="525600"/>
  </r>
  <r>
    <x v="0"/>
    <x v="0"/>
    <x v="0"/>
    <x v="6"/>
    <x v="10"/>
    <s v="NL_A"/>
    <x v="10"/>
    <x v="2"/>
    <s v="GNR_ST_WOOD_CND_E-50"/>
    <x v="0"/>
    <x v="4"/>
    <n v="400"/>
    <n v="146000"/>
    <n v="525600"/>
  </r>
  <r>
    <x v="0"/>
    <x v="0"/>
    <x v="0"/>
    <x v="6"/>
    <x v="10"/>
    <s v="NL_A"/>
    <x v="10"/>
    <x v="2"/>
    <s v="GNR_ST_WOOD_CND_E-50"/>
    <x v="0"/>
    <x v="5"/>
    <n v="400"/>
    <n v="146000"/>
    <n v="525600"/>
  </r>
  <r>
    <x v="0"/>
    <x v="0"/>
    <x v="0"/>
    <x v="6"/>
    <x v="10"/>
    <s v="NL_A"/>
    <x v="10"/>
    <x v="2"/>
    <s v="GNR_ST_WOOD_CND_E-50"/>
    <x v="0"/>
    <x v="6"/>
    <n v="400"/>
    <n v="146000"/>
    <n v="525600"/>
  </r>
  <r>
    <x v="0"/>
    <x v="0"/>
    <x v="0"/>
    <x v="6"/>
    <x v="10"/>
    <s v="NL_A"/>
    <x v="10"/>
    <x v="2"/>
    <s v="GNR_ST_WOOD_CND_E-50"/>
    <x v="0"/>
    <x v="7"/>
    <n v="400"/>
    <n v="146000"/>
    <n v="525600"/>
  </r>
  <r>
    <x v="0"/>
    <x v="0"/>
    <x v="0"/>
    <x v="6"/>
    <x v="10"/>
    <s v="NL_A"/>
    <x v="10"/>
    <x v="2"/>
    <s v="GNR_ST_WOOD_CND_E-50"/>
    <x v="0"/>
    <x v="8"/>
    <n v="400"/>
    <n v="146000"/>
    <n v="525600"/>
  </r>
  <r>
    <x v="0"/>
    <x v="0"/>
    <x v="0"/>
    <x v="6"/>
    <x v="10"/>
    <s v="NL_A"/>
    <x v="10"/>
    <x v="2"/>
    <s v="GNR_ST_WOOD_CND_E-50"/>
    <x v="0"/>
    <x v="9"/>
    <n v="400"/>
    <n v="146000"/>
    <n v="525600"/>
  </r>
  <r>
    <x v="0"/>
    <x v="0"/>
    <x v="0"/>
    <x v="6"/>
    <x v="10"/>
    <s v="NL_A"/>
    <x v="10"/>
    <x v="2"/>
    <s v="GNR_ST_WOOD_CND_E-50"/>
    <x v="0"/>
    <x v="10"/>
    <n v="400"/>
    <n v="146000"/>
    <n v="525600"/>
  </r>
  <r>
    <x v="0"/>
    <x v="0"/>
    <x v="0"/>
    <x v="6"/>
    <x v="10"/>
    <s v="NL_A"/>
    <x v="10"/>
    <x v="2"/>
    <s v="GNR_ST_WOOD_CND_E-50"/>
    <x v="0"/>
    <x v="11"/>
    <n v="400"/>
    <n v="146000"/>
    <n v="525600"/>
  </r>
  <r>
    <x v="0"/>
    <x v="0"/>
    <x v="0"/>
    <x v="6"/>
    <x v="10"/>
    <s v="NL_A"/>
    <x v="10"/>
    <x v="2"/>
    <s v="GNR_ST_WOOD_CND_E-50"/>
    <x v="0"/>
    <x v="12"/>
    <n v="400"/>
    <n v="146000"/>
    <n v="525600"/>
  </r>
  <r>
    <x v="0"/>
    <x v="0"/>
    <x v="0"/>
    <x v="6"/>
    <x v="10"/>
    <s v="NL_A"/>
    <x v="10"/>
    <x v="2"/>
    <s v="GNR_ST_WOOD_CND_E-50"/>
    <x v="0"/>
    <x v="13"/>
    <n v="400"/>
    <n v="146000"/>
    <n v="525600"/>
  </r>
  <r>
    <x v="0"/>
    <x v="0"/>
    <x v="0"/>
    <x v="6"/>
    <x v="10"/>
    <s v="NL_A"/>
    <x v="10"/>
    <x v="2"/>
    <s v="GNR_ST_WOOD_CND_E-50"/>
    <x v="0"/>
    <x v="14"/>
    <n v="400"/>
    <n v="146000"/>
    <n v="525600"/>
  </r>
  <r>
    <x v="0"/>
    <x v="0"/>
    <x v="0"/>
    <x v="6"/>
    <x v="10"/>
    <s v="NL_A"/>
    <x v="10"/>
    <x v="2"/>
    <s v="GNR_ST_WOOD_CND_E-50"/>
    <x v="0"/>
    <x v="15"/>
    <n v="400"/>
    <n v="146000"/>
    <n v="525600"/>
  </r>
  <r>
    <x v="0"/>
    <x v="0"/>
    <x v="0"/>
    <x v="6"/>
    <x v="10"/>
    <s v="NL_A"/>
    <x v="10"/>
    <x v="2"/>
    <s v="GNR_ST_WOOD_CND_E-50"/>
    <x v="0"/>
    <x v="16"/>
    <n v="400"/>
    <n v="146000"/>
    <n v="525600"/>
  </r>
  <r>
    <x v="0"/>
    <x v="0"/>
    <x v="0"/>
    <x v="6"/>
    <x v="10"/>
    <s v="NL_A"/>
    <x v="10"/>
    <x v="2"/>
    <s v="GNR_ST_WOOD_CND_E-50"/>
    <x v="0"/>
    <x v="17"/>
    <n v="400"/>
    <n v="146000"/>
    <n v="525600"/>
  </r>
  <r>
    <x v="0"/>
    <x v="0"/>
    <x v="0"/>
    <x v="6"/>
    <x v="10"/>
    <s v="NL_A"/>
    <x v="10"/>
    <x v="2"/>
    <s v="GNR_ST_WOOD_CND_E-50"/>
    <x v="0"/>
    <x v="18"/>
    <n v="400"/>
    <n v="146000"/>
    <n v="525600"/>
  </r>
  <r>
    <x v="0"/>
    <x v="0"/>
    <x v="0"/>
    <x v="6"/>
    <x v="10"/>
    <s v="NL_A"/>
    <x v="10"/>
    <x v="2"/>
    <s v="GNR_ST_WOOD_CND_E-50"/>
    <x v="0"/>
    <x v="19"/>
    <n v="400"/>
    <n v="146000"/>
    <n v="525600"/>
  </r>
  <r>
    <x v="0"/>
    <x v="0"/>
    <x v="0"/>
    <x v="6"/>
    <x v="10"/>
    <s v="NL_A"/>
    <x v="10"/>
    <x v="2"/>
    <s v="GNR_ST_WOOD_CND_E-50"/>
    <x v="0"/>
    <x v="20"/>
    <n v="400"/>
    <n v="146000"/>
    <n v="525600"/>
  </r>
  <r>
    <x v="0"/>
    <x v="0"/>
    <x v="0"/>
    <x v="6"/>
    <x v="10"/>
    <s v="NL_A"/>
    <x v="10"/>
    <x v="2"/>
    <s v="GNR_ST_WOOD_CND_E-50"/>
    <x v="0"/>
    <x v="21"/>
    <n v="400"/>
    <n v="146000"/>
    <n v="525600"/>
  </r>
  <r>
    <x v="0"/>
    <x v="0"/>
    <x v="0"/>
    <x v="6"/>
    <x v="10"/>
    <s v="NL_A"/>
    <x v="10"/>
    <x v="2"/>
    <s v="GNR_ST_WOOD_CND_E-50"/>
    <x v="0"/>
    <x v="22"/>
    <n v="400"/>
    <n v="146000"/>
    <n v="525600"/>
  </r>
  <r>
    <x v="0"/>
    <x v="0"/>
    <x v="0"/>
    <x v="6"/>
    <x v="10"/>
    <s v="NL_A"/>
    <x v="10"/>
    <x v="2"/>
    <s v="GNR_ST_WOOD_CND_E-50"/>
    <x v="0"/>
    <x v="23"/>
    <n v="400"/>
    <n v="146000"/>
    <n v="525600"/>
  </r>
  <r>
    <x v="0"/>
    <x v="0"/>
    <x v="0"/>
    <x v="7"/>
    <x v="11"/>
    <s v="NO1_A1"/>
    <x v="1"/>
    <x v="0"/>
    <s v="GBPR_MUNIWASTE"/>
    <x v="0"/>
    <x v="0"/>
    <n v="8.1999999999999993"/>
    <n v="2993"/>
    <n v="10774.8"/>
  </r>
  <r>
    <x v="0"/>
    <x v="0"/>
    <x v="0"/>
    <x v="7"/>
    <x v="11"/>
    <s v="NO1_A1"/>
    <x v="1"/>
    <x v="0"/>
    <s v="GBPR_MUNIWASTE"/>
    <x v="0"/>
    <x v="1"/>
    <n v="8.1999999999999993"/>
    <n v="2993"/>
    <n v="10774.8"/>
  </r>
  <r>
    <x v="0"/>
    <x v="0"/>
    <x v="0"/>
    <x v="7"/>
    <x v="11"/>
    <s v="NO1_A1"/>
    <x v="1"/>
    <x v="0"/>
    <s v="GBPR_MUNIWASTE"/>
    <x v="0"/>
    <x v="2"/>
    <n v="8.1999999999999993"/>
    <n v="2993"/>
    <n v="10774.8"/>
  </r>
  <r>
    <x v="0"/>
    <x v="0"/>
    <x v="0"/>
    <x v="7"/>
    <x v="11"/>
    <s v="NO1_A1"/>
    <x v="1"/>
    <x v="0"/>
    <s v="GBPR_MUNIWASTE"/>
    <x v="0"/>
    <x v="3"/>
    <n v="8.1999999999999993"/>
    <n v="2993"/>
    <n v="10774.8"/>
  </r>
  <r>
    <x v="0"/>
    <x v="0"/>
    <x v="0"/>
    <x v="7"/>
    <x v="11"/>
    <s v="NO1_A1"/>
    <x v="1"/>
    <x v="0"/>
    <s v="GBPR_MUNIWASTE"/>
    <x v="0"/>
    <x v="4"/>
    <n v="8.1999999999999993"/>
    <n v="2993"/>
    <n v="10774.8"/>
  </r>
  <r>
    <x v="0"/>
    <x v="0"/>
    <x v="0"/>
    <x v="7"/>
    <x v="11"/>
    <s v="NO1_A1"/>
    <x v="1"/>
    <x v="0"/>
    <s v="GBPR_MUNIWASTE"/>
    <x v="0"/>
    <x v="5"/>
    <n v="8.1999999999999993"/>
    <n v="2993"/>
    <n v="10774.8"/>
  </r>
  <r>
    <x v="0"/>
    <x v="0"/>
    <x v="0"/>
    <x v="7"/>
    <x v="11"/>
    <s v="NO1_A1"/>
    <x v="1"/>
    <x v="0"/>
    <s v="GBPR_MUNIWASTE"/>
    <x v="0"/>
    <x v="6"/>
    <n v="8.1999999999999993"/>
    <n v="2993"/>
    <n v="10774.8"/>
  </r>
  <r>
    <x v="0"/>
    <x v="0"/>
    <x v="0"/>
    <x v="7"/>
    <x v="11"/>
    <s v="NO1_A1"/>
    <x v="1"/>
    <x v="0"/>
    <s v="GBPR_MUNIWASTE"/>
    <x v="0"/>
    <x v="7"/>
    <n v="8.1999999999999993"/>
    <n v="2993"/>
    <n v="10774.8"/>
  </r>
  <r>
    <x v="0"/>
    <x v="0"/>
    <x v="0"/>
    <x v="7"/>
    <x v="11"/>
    <s v="NO1_A1"/>
    <x v="1"/>
    <x v="0"/>
    <s v="GBPR_MUNIWASTE"/>
    <x v="0"/>
    <x v="8"/>
    <n v="8.1999999999999993"/>
    <n v="2993"/>
    <n v="10774.8"/>
  </r>
  <r>
    <x v="0"/>
    <x v="0"/>
    <x v="0"/>
    <x v="7"/>
    <x v="11"/>
    <s v="NO1_A1"/>
    <x v="1"/>
    <x v="0"/>
    <s v="GBPR_MUNIWASTE"/>
    <x v="0"/>
    <x v="9"/>
    <n v="8.1999999999999993"/>
    <n v="2993"/>
    <n v="10774.8"/>
  </r>
  <r>
    <x v="0"/>
    <x v="0"/>
    <x v="0"/>
    <x v="7"/>
    <x v="11"/>
    <s v="NO1_A1"/>
    <x v="1"/>
    <x v="0"/>
    <s v="GBPR_MUNIWASTE"/>
    <x v="0"/>
    <x v="10"/>
    <n v="8.1999999999999993"/>
    <n v="2993"/>
    <n v="10774.8"/>
  </r>
  <r>
    <x v="0"/>
    <x v="0"/>
    <x v="0"/>
    <x v="7"/>
    <x v="11"/>
    <s v="NO1_A1"/>
    <x v="1"/>
    <x v="0"/>
    <s v="GBPR_MUNIWASTE"/>
    <x v="0"/>
    <x v="11"/>
    <n v="8.1999999999999993"/>
    <n v="2993"/>
    <n v="10774.8"/>
  </r>
  <r>
    <x v="0"/>
    <x v="0"/>
    <x v="0"/>
    <x v="7"/>
    <x v="11"/>
    <s v="NO1_A1"/>
    <x v="1"/>
    <x v="0"/>
    <s v="GBPR_MUNIWASTE"/>
    <x v="0"/>
    <x v="12"/>
    <n v="8.1999999999999993"/>
    <n v="2993"/>
    <n v="10774.8"/>
  </r>
  <r>
    <x v="0"/>
    <x v="0"/>
    <x v="0"/>
    <x v="7"/>
    <x v="11"/>
    <s v="NO1_A1"/>
    <x v="1"/>
    <x v="0"/>
    <s v="GBPR_MUNIWASTE"/>
    <x v="0"/>
    <x v="13"/>
    <n v="8.1999999999999993"/>
    <n v="2993"/>
    <n v="10774.8"/>
  </r>
  <r>
    <x v="0"/>
    <x v="0"/>
    <x v="0"/>
    <x v="7"/>
    <x v="11"/>
    <s v="NO1_A1"/>
    <x v="1"/>
    <x v="0"/>
    <s v="GBPR_MUNIWASTE"/>
    <x v="0"/>
    <x v="14"/>
    <n v="8.1999999999999993"/>
    <n v="2993"/>
    <n v="10774.8"/>
  </r>
  <r>
    <x v="0"/>
    <x v="0"/>
    <x v="0"/>
    <x v="7"/>
    <x v="11"/>
    <s v="NO1_A1"/>
    <x v="1"/>
    <x v="0"/>
    <s v="GBPR_MUNIWASTE"/>
    <x v="0"/>
    <x v="15"/>
    <n v="8.1999999999999993"/>
    <n v="2993"/>
    <n v="10774.8"/>
  </r>
  <r>
    <x v="0"/>
    <x v="0"/>
    <x v="0"/>
    <x v="7"/>
    <x v="11"/>
    <s v="NO1_A1"/>
    <x v="1"/>
    <x v="0"/>
    <s v="GBPR_MUNIWASTE"/>
    <x v="0"/>
    <x v="16"/>
    <n v="8.1999999999999993"/>
    <n v="2993"/>
    <n v="10774.8"/>
  </r>
  <r>
    <x v="0"/>
    <x v="0"/>
    <x v="0"/>
    <x v="7"/>
    <x v="11"/>
    <s v="NO1_A1"/>
    <x v="1"/>
    <x v="0"/>
    <s v="GBPR_MUNIWASTE"/>
    <x v="0"/>
    <x v="17"/>
    <n v="8.1999999999999993"/>
    <n v="2993"/>
    <n v="10774.8"/>
  </r>
  <r>
    <x v="0"/>
    <x v="0"/>
    <x v="0"/>
    <x v="7"/>
    <x v="11"/>
    <s v="NO1_A1"/>
    <x v="1"/>
    <x v="0"/>
    <s v="GBPR_MUNIWASTE"/>
    <x v="0"/>
    <x v="18"/>
    <n v="8.1999999999999993"/>
    <n v="2993"/>
    <n v="10774.8"/>
  </r>
  <r>
    <x v="0"/>
    <x v="0"/>
    <x v="0"/>
    <x v="7"/>
    <x v="11"/>
    <s v="NO1_A1"/>
    <x v="1"/>
    <x v="0"/>
    <s v="GBPR_MUNIWASTE"/>
    <x v="0"/>
    <x v="19"/>
    <n v="8.1999999999999993"/>
    <n v="2993"/>
    <n v="10774.8"/>
  </r>
  <r>
    <x v="0"/>
    <x v="0"/>
    <x v="0"/>
    <x v="7"/>
    <x v="11"/>
    <s v="NO1_A1"/>
    <x v="1"/>
    <x v="0"/>
    <s v="GBPR_MUNIWASTE"/>
    <x v="0"/>
    <x v="20"/>
    <n v="8.1999999999999993"/>
    <n v="2993"/>
    <n v="10774.8"/>
  </r>
  <r>
    <x v="0"/>
    <x v="0"/>
    <x v="0"/>
    <x v="7"/>
    <x v="11"/>
    <s v="NO1_A1"/>
    <x v="1"/>
    <x v="0"/>
    <s v="GBPR_MUNIWASTE"/>
    <x v="0"/>
    <x v="21"/>
    <n v="8.1999999999999993"/>
    <n v="2993"/>
    <n v="10774.8"/>
  </r>
  <r>
    <x v="0"/>
    <x v="0"/>
    <x v="0"/>
    <x v="7"/>
    <x v="11"/>
    <s v="NO1_A1"/>
    <x v="1"/>
    <x v="0"/>
    <s v="GBPR_MUNIWASTE"/>
    <x v="0"/>
    <x v="22"/>
    <n v="8.1999999999999993"/>
    <n v="2993"/>
    <n v="10774.8"/>
  </r>
  <r>
    <x v="0"/>
    <x v="0"/>
    <x v="0"/>
    <x v="7"/>
    <x v="11"/>
    <s v="NO1_A1"/>
    <x v="1"/>
    <x v="0"/>
    <s v="GBPR_MUNIWASTE"/>
    <x v="0"/>
    <x v="23"/>
    <n v="8.1999999999999993"/>
    <n v="2993"/>
    <n v="10774.8"/>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2"/>
    <n v="160"/>
    <n v="58400"/>
    <n v="210240"/>
  </r>
  <r>
    <x v="0"/>
    <x v="0"/>
    <x v="0"/>
    <x v="7"/>
    <x v="11"/>
    <s v="NO1_A1"/>
    <x v="6"/>
    <x v="7"/>
    <s v="GNR_RES_WTR_NOPMP_MC-01"/>
    <x v="0"/>
    <x v="3"/>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8"/>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3"/>
    <n v="31.397871155640001"/>
    <n v="11460.2229718086"/>
    <n v="41256.802698510997"/>
  </r>
  <r>
    <x v="0"/>
    <x v="0"/>
    <x v="0"/>
    <x v="7"/>
    <x v="11"/>
    <s v="NO1_A1"/>
    <x v="6"/>
    <x v="7"/>
    <s v="GNR_RES_WTR_NOPMP_MC-02"/>
    <x v="0"/>
    <x v="4"/>
    <n v="160"/>
    <n v="58400"/>
    <n v="210240"/>
  </r>
  <r>
    <x v="0"/>
    <x v="0"/>
    <x v="0"/>
    <x v="7"/>
    <x v="11"/>
    <s v="NO1_A1"/>
    <x v="6"/>
    <x v="7"/>
    <s v="GNR_RES_WTR_NOPMP_MC-02"/>
    <x v="0"/>
    <x v="5"/>
    <n v="160"/>
    <n v="58400"/>
    <n v="210240"/>
  </r>
  <r>
    <x v="0"/>
    <x v="0"/>
    <x v="0"/>
    <x v="7"/>
    <x v="11"/>
    <s v="NO1_A1"/>
    <x v="6"/>
    <x v="7"/>
    <s v="GNR_RES_WTR_NOPMP_MC-02"/>
    <x v="0"/>
    <x v="6"/>
    <n v="160"/>
    <n v="58400"/>
    <n v="210240"/>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8"/>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160"/>
    <n v="58400"/>
    <n v="210240"/>
  </r>
  <r>
    <x v="0"/>
    <x v="0"/>
    <x v="0"/>
    <x v="7"/>
    <x v="11"/>
    <s v="NO1_A1"/>
    <x v="6"/>
    <x v="7"/>
    <s v="GNR_RES_WTR_NOPMP_MC-02"/>
    <x v="0"/>
    <x v="22"/>
    <n v="20.3987205509898"/>
    <n v="7445.5330011112801"/>
    <n v="26803.918804000601"/>
  </r>
  <r>
    <x v="0"/>
    <x v="0"/>
    <x v="0"/>
    <x v="7"/>
    <x v="11"/>
    <s v="NO1_A1"/>
    <x v="6"/>
    <x v="7"/>
    <s v="GNR_RES_WTR_NOPMP_MC-03"/>
    <x v="0"/>
    <x v="5"/>
    <n v="63.547445073629298"/>
    <n v="23194.8174518747"/>
    <n v="83501.342826748994"/>
  </r>
  <r>
    <x v="0"/>
    <x v="0"/>
    <x v="0"/>
    <x v="7"/>
    <x v="11"/>
    <s v="NO1_A1"/>
    <x v="6"/>
    <x v="7"/>
    <s v="GNR_RES_WTR_NOPMP_MC-03"/>
    <x v="0"/>
    <x v="6"/>
    <n v="160"/>
    <n v="58400"/>
    <n v="210240"/>
  </r>
  <r>
    <x v="0"/>
    <x v="0"/>
    <x v="0"/>
    <x v="7"/>
    <x v="11"/>
    <s v="NO1_A1"/>
    <x v="6"/>
    <x v="7"/>
    <s v="GNR_RES_WTR_NOPMP_MC-03"/>
    <x v="0"/>
    <x v="7"/>
    <n v="160"/>
    <n v="58400"/>
    <n v="210240"/>
  </r>
  <r>
    <x v="0"/>
    <x v="0"/>
    <x v="0"/>
    <x v="7"/>
    <x v="11"/>
    <s v="NO1_A1"/>
    <x v="6"/>
    <x v="7"/>
    <s v="GNR_RES_WTR_NOPMP_MC-03"/>
    <x v="0"/>
    <x v="8"/>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8"/>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3"/>
    <x v="0"/>
    <x v="21"/>
    <n v="53.600474042951099"/>
    <n v="19564.173025677101"/>
    <n v="70431.022892437701"/>
  </r>
  <r>
    <x v="0"/>
    <x v="0"/>
    <x v="0"/>
    <x v="7"/>
    <x v="11"/>
    <s v="NO1_A1"/>
    <x v="6"/>
    <x v="7"/>
    <s v="GNR_RES_WTR_NOPMP_MC-04"/>
    <x v="0"/>
    <x v="6"/>
    <n v="160"/>
    <n v="58400"/>
    <n v="210240"/>
  </r>
  <r>
    <x v="0"/>
    <x v="0"/>
    <x v="0"/>
    <x v="7"/>
    <x v="11"/>
    <s v="NO1_A1"/>
    <x v="6"/>
    <x v="7"/>
    <s v="GNR_RES_WTR_NOPMP_MC-04"/>
    <x v="0"/>
    <x v="7"/>
    <n v="160"/>
    <n v="58400"/>
    <n v="210240"/>
  </r>
  <r>
    <x v="0"/>
    <x v="0"/>
    <x v="0"/>
    <x v="7"/>
    <x v="11"/>
    <s v="NO1_A1"/>
    <x v="6"/>
    <x v="7"/>
    <s v="GNR_RES_WTR_NOPMP_MC-04"/>
    <x v="0"/>
    <x v="8"/>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4"/>
    <x v="0"/>
    <x v="18"/>
    <n v="160"/>
    <n v="58400"/>
    <n v="210240"/>
  </r>
  <r>
    <x v="0"/>
    <x v="0"/>
    <x v="0"/>
    <x v="7"/>
    <x v="11"/>
    <s v="NO1_A1"/>
    <x v="6"/>
    <x v="7"/>
    <s v="GNR_RES_WTR_NOPMP_MC-04"/>
    <x v="0"/>
    <x v="19"/>
    <n v="160"/>
    <n v="58400"/>
    <n v="210240"/>
  </r>
  <r>
    <x v="0"/>
    <x v="0"/>
    <x v="0"/>
    <x v="7"/>
    <x v="11"/>
    <s v="NO1_A1"/>
    <x v="6"/>
    <x v="7"/>
    <s v="GNR_RES_WTR_NOPMP_MC-05"/>
    <x v="0"/>
    <x v="7"/>
    <n v="160"/>
    <n v="58400"/>
    <n v="210240"/>
  </r>
  <r>
    <x v="0"/>
    <x v="0"/>
    <x v="0"/>
    <x v="7"/>
    <x v="11"/>
    <s v="NO1_A1"/>
    <x v="6"/>
    <x v="7"/>
    <s v="GNR_RES_WTR_NOPMP_MC-05"/>
    <x v="0"/>
    <x v="8"/>
    <n v="160"/>
    <n v="58400"/>
    <n v="210240"/>
  </r>
  <r>
    <x v="0"/>
    <x v="0"/>
    <x v="0"/>
    <x v="7"/>
    <x v="11"/>
    <s v="NO1_A1"/>
    <x v="6"/>
    <x v="7"/>
    <s v="GNR_RES_WTR_NOPMP_MC-05"/>
    <x v="0"/>
    <x v="9"/>
    <n v="160"/>
    <n v="58400"/>
    <n v="210240"/>
  </r>
  <r>
    <x v="0"/>
    <x v="0"/>
    <x v="0"/>
    <x v="7"/>
    <x v="11"/>
    <s v="NO1_A1"/>
    <x v="6"/>
    <x v="7"/>
    <s v="GNR_RES_WTR_NOPMP_MC-05"/>
    <x v="0"/>
    <x v="10"/>
    <n v="160"/>
    <n v="58400"/>
    <n v="210240"/>
  </r>
  <r>
    <x v="0"/>
    <x v="0"/>
    <x v="0"/>
    <x v="7"/>
    <x v="11"/>
    <s v="NO1_A1"/>
    <x v="6"/>
    <x v="7"/>
    <s v="GNR_RES_WTR_NOPMP_MC-05"/>
    <x v="0"/>
    <x v="11"/>
    <n v="160"/>
    <n v="58400"/>
    <n v="210240"/>
  </r>
  <r>
    <x v="0"/>
    <x v="0"/>
    <x v="0"/>
    <x v="7"/>
    <x v="11"/>
    <s v="NO1_A1"/>
    <x v="6"/>
    <x v="7"/>
    <s v="GNR_RES_WTR_NOPMP_MC-05"/>
    <x v="0"/>
    <x v="12"/>
    <n v="47.797163463561297"/>
    <n v="17445.964664199899"/>
    <n v="62805.4727911195"/>
  </r>
  <r>
    <x v="0"/>
    <x v="0"/>
    <x v="0"/>
    <x v="7"/>
    <x v="11"/>
    <s v="NO1_A1"/>
    <x v="6"/>
    <x v="7"/>
    <s v="GNR_RES_WTR_NOPMP_MC-06"/>
    <x v="0"/>
    <x v="7"/>
    <n v="160"/>
    <n v="58400"/>
    <n v="210240"/>
  </r>
  <r>
    <x v="0"/>
    <x v="0"/>
    <x v="0"/>
    <x v="7"/>
    <x v="11"/>
    <s v="NO1_A1"/>
    <x v="6"/>
    <x v="7"/>
    <s v="GNR_RES_WTR_NOPMP_MC-06"/>
    <x v="0"/>
    <x v="8"/>
    <n v="160"/>
    <n v="58400"/>
    <n v="210240"/>
  </r>
  <r>
    <x v="0"/>
    <x v="0"/>
    <x v="0"/>
    <x v="7"/>
    <x v="11"/>
    <s v="NO1_A1"/>
    <x v="6"/>
    <x v="7"/>
    <s v="GNR_RES_WTR_NOPMP_MC-06"/>
    <x v="0"/>
    <x v="9"/>
    <n v="160"/>
    <n v="58400"/>
    <n v="210240"/>
  </r>
  <r>
    <x v="0"/>
    <x v="0"/>
    <x v="0"/>
    <x v="7"/>
    <x v="11"/>
    <s v="NO1_A1"/>
    <x v="6"/>
    <x v="7"/>
    <s v="GNR_RES_WTR_NOPMP_MC-06"/>
    <x v="0"/>
    <x v="10"/>
    <n v="158.28766945400099"/>
    <n v="57774.999350710299"/>
    <n v="207989.997662557"/>
  </r>
  <r>
    <x v="0"/>
    <x v="0"/>
    <x v="0"/>
    <x v="7"/>
    <x v="11"/>
    <s v="NO1_A1"/>
    <x v="6"/>
    <x v="7"/>
    <s v="GNR_RES_WTR_NOPMP_MC-07"/>
    <x v="0"/>
    <x v="8"/>
    <n v="53.6217126474344"/>
    <n v="19571.925116313501"/>
    <n v="70458.930418728807"/>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2"/>
    <n v="938.44564324685803"/>
    <n v="342532.65978510299"/>
    <n v="1233117.57522637"/>
  </r>
  <r>
    <x v="0"/>
    <x v="0"/>
    <x v="0"/>
    <x v="7"/>
    <x v="11"/>
    <s v="NO1_A1"/>
    <x v="6"/>
    <x v="4"/>
    <s v="GNR_ROR_WTR"/>
    <x v="0"/>
    <x v="3"/>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8"/>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
    <x v="0"/>
    <s v="GBPR_MUNIWASTE"/>
    <x v="0"/>
    <x v="0"/>
    <n v="11.0933333333332"/>
    <n v="4049.0666666666202"/>
    <n v="14576.639999999799"/>
  </r>
  <r>
    <x v="0"/>
    <x v="0"/>
    <x v="0"/>
    <x v="7"/>
    <x v="11"/>
    <s v="NO1_A2"/>
    <x v="1"/>
    <x v="0"/>
    <s v="GBPR_MUNIWASTE"/>
    <x v="0"/>
    <x v="1"/>
    <n v="11.0933333333332"/>
    <n v="4049.0666666666202"/>
    <n v="14576.639999999799"/>
  </r>
  <r>
    <x v="0"/>
    <x v="0"/>
    <x v="0"/>
    <x v="7"/>
    <x v="11"/>
    <s v="NO1_A2"/>
    <x v="1"/>
    <x v="0"/>
    <s v="GBPR_MUNIWASTE"/>
    <x v="0"/>
    <x v="2"/>
    <n v="11.0933333333332"/>
    <n v="4049.0666666666202"/>
    <n v="14576.639999999799"/>
  </r>
  <r>
    <x v="0"/>
    <x v="0"/>
    <x v="0"/>
    <x v="7"/>
    <x v="11"/>
    <s v="NO1_A2"/>
    <x v="1"/>
    <x v="0"/>
    <s v="GBPR_MUNIWASTE"/>
    <x v="0"/>
    <x v="3"/>
    <n v="11.0933333333332"/>
    <n v="4049.0666666666202"/>
    <n v="14576.639999999799"/>
  </r>
  <r>
    <x v="0"/>
    <x v="0"/>
    <x v="0"/>
    <x v="7"/>
    <x v="11"/>
    <s v="NO1_A2"/>
    <x v="1"/>
    <x v="0"/>
    <s v="GBPR_MUNIWASTE"/>
    <x v="0"/>
    <x v="4"/>
    <n v="11.0933333333332"/>
    <n v="4049.0666666666202"/>
    <n v="14576.639999999799"/>
  </r>
  <r>
    <x v="0"/>
    <x v="0"/>
    <x v="0"/>
    <x v="7"/>
    <x v="11"/>
    <s v="NO1_A2"/>
    <x v="1"/>
    <x v="0"/>
    <s v="GBPR_MUNIWASTE"/>
    <x v="0"/>
    <x v="5"/>
    <n v="11.0933333333332"/>
    <n v="4049.0666666666202"/>
    <n v="14576.639999999799"/>
  </r>
  <r>
    <x v="0"/>
    <x v="0"/>
    <x v="0"/>
    <x v="7"/>
    <x v="11"/>
    <s v="NO1_A2"/>
    <x v="1"/>
    <x v="0"/>
    <s v="GBPR_MUNIWASTE"/>
    <x v="0"/>
    <x v="6"/>
    <n v="11.0933333333332"/>
    <n v="4049.0666666666202"/>
    <n v="14576.639999999799"/>
  </r>
  <r>
    <x v="0"/>
    <x v="0"/>
    <x v="0"/>
    <x v="7"/>
    <x v="11"/>
    <s v="NO1_A2"/>
    <x v="1"/>
    <x v="0"/>
    <s v="GBPR_MUNIWASTE"/>
    <x v="0"/>
    <x v="7"/>
    <n v="11.0933333333332"/>
    <n v="4049.0666666666202"/>
    <n v="14576.639999999799"/>
  </r>
  <r>
    <x v="0"/>
    <x v="0"/>
    <x v="0"/>
    <x v="7"/>
    <x v="11"/>
    <s v="NO1_A2"/>
    <x v="1"/>
    <x v="0"/>
    <s v="GBPR_MUNIWASTE"/>
    <x v="0"/>
    <x v="8"/>
    <n v="11.0933333333332"/>
    <n v="4049.0666666666202"/>
    <n v="14576.639999999799"/>
  </r>
  <r>
    <x v="0"/>
    <x v="0"/>
    <x v="0"/>
    <x v="7"/>
    <x v="11"/>
    <s v="NO1_A2"/>
    <x v="1"/>
    <x v="0"/>
    <s v="GBPR_MUNIWASTE"/>
    <x v="0"/>
    <x v="9"/>
    <n v="11.0933333333332"/>
    <n v="4049.0666666666202"/>
    <n v="14576.639999999799"/>
  </r>
  <r>
    <x v="0"/>
    <x v="0"/>
    <x v="0"/>
    <x v="7"/>
    <x v="11"/>
    <s v="NO1_A2"/>
    <x v="1"/>
    <x v="0"/>
    <s v="GBPR_MUNIWASTE"/>
    <x v="0"/>
    <x v="10"/>
    <n v="11.0933333333332"/>
    <n v="4049.0666666666202"/>
    <n v="14576.639999999799"/>
  </r>
  <r>
    <x v="0"/>
    <x v="0"/>
    <x v="0"/>
    <x v="7"/>
    <x v="11"/>
    <s v="NO1_A2"/>
    <x v="1"/>
    <x v="0"/>
    <s v="GBPR_MUNIWASTE"/>
    <x v="0"/>
    <x v="11"/>
    <n v="11.0933333333332"/>
    <n v="4049.0666666666202"/>
    <n v="14576.639999999799"/>
  </r>
  <r>
    <x v="0"/>
    <x v="0"/>
    <x v="0"/>
    <x v="7"/>
    <x v="11"/>
    <s v="NO1_A2"/>
    <x v="1"/>
    <x v="0"/>
    <s v="GBPR_MUNIWASTE"/>
    <x v="0"/>
    <x v="12"/>
    <n v="11.0933333333332"/>
    <n v="4049.0666666666202"/>
    <n v="14576.639999999799"/>
  </r>
  <r>
    <x v="0"/>
    <x v="0"/>
    <x v="0"/>
    <x v="7"/>
    <x v="11"/>
    <s v="NO1_A2"/>
    <x v="1"/>
    <x v="0"/>
    <s v="GBPR_MUNIWASTE"/>
    <x v="0"/>
    <x v="13"/>
    <n v="11.0933333333332"/>
    <n v="4049.0666666666202"/>
    <n v="14576.639999999799"/>
  </r>
  <r>
    <x v="0"/>
    <x v="0"/>
    <x v="0"/>
    <x v="7"/>
    <x v="11"/>
    <s v="NO1_A2"/>
    <x v="1"/>
    <x v="0"/>
    <s v="GBPR_MUNIWASTE"/>
    <x v="0"/>
    <x v="14"/>
    <n v="11.0933333333332"/>
    <n v="4049.0666666666202"/>
    <n v="14576.639999999799"/>
  </r>
  <r>
    <x v="0"/>
    <x v="0"/>
    <x v="0"/>
    <x v="7"/>
    <x v="11"/>
    <s v="NO1_A2"/>
    <x v="1"/>
    <x v="0"/>
    <s v="GBPR_MUNIWASTE"/>
    <x v="0"/>
    <x v="15"/>
    <n v="11.0933333333332"/>
    <n v="4049.0666666666202"/>
    <n v="14576.639999999799"/>
  </r>
  <r>
    <x v="0"/>
    <x v="0"/>
    <x v="0"/>
    <x v="7"/>
    <x v="11"/>
    <s v="NO1_A2"/>
    <x v="1"/>
    <x v="0"/>
    <s v="GBPR_MUNIWASTE"/>
    <x v="0"/>
    <x v="16"/>
    <n v="11.0933333333332"/>
    <n v="4049.0666666666202"/>
    <n v="14576.639999999799"/>
  </r>
  <r>
    <x v="0"/>
    <x v="0"/>
    <x v="0"/>
    <x v="7"/>
    <x v="11"/>
    <s v="NO1_A2"/>
    <x v="1"/>
    <x v="0"/>
    <s v="GBPR_MUNIWASTE"/>
    <x v="0"/>
    <x v="17"/>
    <n v="11.0933333333332"/>
    <n v="4049.0666666666202"/>
    <n v="14576.639999999799"/>
  </r>
  <r>
    <x v="0"/>
    <x v="0"/>
    <x v="0"/>
    <x v="7"/>
    <x v="11"/>
    <s v="NO1_A2"/>
    <x v="1"/>
    <x v="0"/>
    <s v="GBPR_MUNIWASTE"/>
    <x v="0"/>
    <x v="18"/>
    <n v="11.0933333333332"/>
    <n v="4049.0666666666202"/>
    <n v="14576.639999999799"/>
  </r>
  <r>
    <x v="0"/>
    <x v="0"/>
    <x v="0"/>
    <x v="7"/>
    <x v="11"/>
    <s v="NO1_A2"/>
    <x v="1"/>
    <x v="0"/>
    <s v="GBPR_MUNIWASTE"/>
    <x v="0"/>
    <x v="19"/>
    <n v="11.0933333333332"/>
    <n v="4049.0666666666202"/>
    <n v="14576.639999999799"/>
  </r>
  <r>
    <x v="0"/>
    <x v="0"/>
    <x v="0"/>
    <x v="7"/>
    <x v="11"/>
    <s v="NO1_A2"/>
    <x v="1"/>
    <x v="0"/>
    <s v="GBPR_MUNIWASTE"/>
    <x v="0"/>
    <x v="20"/>
    <n v="11.0933333333332"/>
    <n v="4049.0666666666202"/>
    <n v="14576.639999999799"/>
  </r>
  <r>
    <x v="0"/>
    <x v="0"/>
    <x v="0"/>
    <x v="7"/>
    <x v="11"/>
    <s v="NO1_A2"/>
    <x v="1"/>
    <x v="0"/>
    <s v="GBPR_MUNIWASTE"/>
    <x v="0"/>
    <x v="21"/>
    <n v="11.0933333333332"/>
    <n v="4049.0666666666202"/>
    <n v="14576.639999999799"/>
  </r>
  <r>
    <x v="0"/>
    <x v="0"/>
    <x v="0"/>
    <x v="7"/>
    <x v="11"/>
    <s v="NO1_A2"/>
    <x v="1"/>
    <x v="0"/>
    <s v="GBPR_MUNIWASTE"/>
    <x v="0"/>
    <x v="22"/>
    <n v="11.0933333333332"/>
    <n v="4049.0666666666202"/>
    <n v="14576.639999999799"/>
  </r>
  <r>
    <x v="0"/>
    <x v="0"/>
    <x v="0"/>
    <x v="7"/>
    <x v="11"/>
    <s v="NO1_A2"/>
    <x v="1"/>
    <x v="0"/>
    <s v="GBPR_MUNIWASTE"/>
    <x v="0"/>
    <x v="23"/>
    <n v="11.0933333333332"/>
    <n v="4049.0666666666202"/>
    <n v="14576.639999999799"/>
  </r>
  <r>
    <x v="0"/>
    <x v="0"/>
    <x v="0"/>
    <x v="7"/>
    <x v="12"/>
    <s v="NO2_A1"/>
    <x v="1"/>
    <x v="0"/>
    <s v="GBPR_MUNIWASTE"/>
    <x v="0"/>
    <x v="0"/>
    <n v="10.8"/>
    <n v="3942"/>
    <n v="14191.2"/>
  </r>
  <r>
    <x v="0"/>
    <x v="0"/>
    <x v="0"/>
    <x v="7"/>
    <x v="12"/>
    <s v="NO2_A1"/>
    <x v="1"/>
    <x v="0"/>
    <s v="GBPR_MUNIWASTE"/>
    <x v="0"/>
    <x v="1"/>
    <n v="10.8"/>
    <n v="3942"/>
    <n v="14191.2"/>
  </r>
  <r>
    <x v="0"/>
    <x v="0"/>
    <x v="0"/>
    <x v="7"/>
    <x v="12"/>
    <s v="NO2_A1"/>
    <x v="1"/>
    <x v="0"/>
    <s v="GBPR_MUNIWASTE"/>
    <x v="0"/>
    <x v="2"/>
    <n v="10.8"/>
    <n v="3942"/>
    <n v="14191.2"/>
  </r>
  <r>
    <x v="0"/>
    <x v="0"/>
    <x v="0"/>
    <x v="7"/>
    <x v="12"/>
    <s v="NO2_A1"/>
    <x v="1"/>
    <x v="0"/>
    <s v="GBPR_MUNIWASTE"/>
    <x v="0"/>
    <x v="3"/>
    <n v="10.8"/>
    <n v="3942"/>
    <n v="14191.2"/>
  </r>
  <r>
    <x v="0"/>
    <x v="0"/>
    <x v="0"/>
    <x v="7"/>
    <x v="12"/>
    <s v="NO2_A1"/>
    <x v="1"/>
    <x v="0"/>
    <s v="GBPR_MUNIWASTE"/>
    <x v="0"/>
    <x v="4"/>
    <n v="10.8"/>
    <n v="3942"/>
    <n v="14191.2"/>
  </r>
  <r>
    <x v="0"/>
    <x v="0"/>
    <x v="0"/>
    <x v="7"/>
    <x v="12"/>
    <s v="NO2_A1"/>
    <x v="1"/>
    <x v="0"/>
    <s v="GBPR_MUNIWASTE"/>
    <x v="0"/>
    <x v="5"/>
    <n v="10.8"/>
    <n v="3942"/>
    <n v="14191.2"/>
  </r>
  <r>
    <x v="0"/>
    <x v="0"/>
    <x v="0"/>
    <x v="7"/>
    <x v="12"/>
    <s v="NO2_A1"/>
    <x v="1"/>
    <x v="0"/>
    <s v="GBPR_MUNIWASTE"/>
    <x v="0"/>
    <x v="6"/>
    <n v="10.8"/>
    <n v="3942"/>
    <n v="14191.2"/>
  </r>
  <r>
    <x v="0"/>
    <x v="0"/>
    <x v="0"/>
    <x v="7"/>
    <x v="12"/>
    <s v="NO2_A1"/>
    <x v="1"/>
    <x v="0"/>
    <s v="GBPR_MUNIWASTE"/>
    <x v="0"/>
    <x v="7"/>
    <n v="10.8"/>
    <n v="3942"/>
    <n v="14191.2"/>
  </r>
  <r>
    <x v="0"/>
    <x v="0"/>
    <x v="0"/>
    <x v="7"/>
    <x v="12"/>
    <s v="NO2_A1"/>
    <x v="1"/>
    <x v="0"/>
    <s v="GBPR_MUNIWASTE"/>
    <x v="0"/>
    <x v="8"/>
    <n v="10.8"/>
    <n v="3942"/>
    <n v="14191.2"/>
  </r>
  <r>
    <x v="0"/>
    <x v="0"/>
    <x v="0"/>
    <x v="7"/>
    <x v="12"/>
    <s v="NO2_A1"/>
    <x v="1"/>
    <x v="0"/>
    <s v="GBPR_MUNIWASTE"/>
    <x v="0"/>
    <x v="9"/>
    <n v="10.8"/>
    <n v="3942"/>
    <n v="14191.2"/>
  </r>
  <r>
    <x v="0"/>
    <x v="0"/>
    <x v="0"/>
    <x v="7"/>
    <x v="12"/>
    <s v="NO2_A1"/>
    <x v="1"/>
    <x v="0"/>
    <s v="GBPR_MUNIWASTE"/>
    <x v="0"/>
    <x v="10"/>
    <n v="10.8"/>
    <n v="3942"/>
    <n v="14191.2"/>
  </r>
  <r>
    <x v="0"/>
    <x v="0"/>
    <x v="0"/>
    <x v="7"/>
    <x v="12"/>
    <s v="NO2_A1"/>
    <x v="1"/>
    <x v="0"/>
    <s v="GBPR_MUNIWASTE"/>
    <x v="0"/>
    <x v="11"/>
    <n v="10.8"/>
    <n v="3942"/>
    <n v="14191.2"/>
  </r>
  <r>
    <x v="0"/>
    <x v="0"/>
    <x v="0"/>
    <x v="7"/>
    <x v="12"/>
    <s v="NO2_A1"/>
    <x v="1"/>
    <x v="0"/>
    <s v="GBPR_MUNIWASTE"/>
    <x v="0"/>
    <x v="12"/>
    <n v="10.8"/>
    <n v="3942"/>
    <n v="14191.2"/>
  </r>
  <r>
    <x v="0"/>
    <x v="0"/>
    <x v="0"/>
    <x v="7"/>
    <x v="12"/>
    <s v="NO2_A1"/>
    <x v="1"/>
    <x v="0"/>
    <s v="GBPR_MUNIWASTE"/>
    <x v="0"/>
    <x v="13"/>
    <n v="10.8"/>
    <n v="3942"/>
    <n v="14191.2"/>
  </r>
  <r>
    <x v="0"/>
    <x v="0"/>
    <x v="0"/>
    <x v="7"/>
    <x v="12"/>
    <s v="NO2_A1"/>
    <x v="1"/>
    <x v="0"/>
    <s v="GBPR_MUNIWASTE"/>
    <x v="0"/>
    <x v="14"/>
    <n v="10.8"/>
    <n v="3942"/>
    <n v="14191.2"/>
  </r>
  <r>
    <x v="0"/>
    <x v="0"/>
    <x v="0"/>
    <x v="7"/>
    <x v="12"/>
    <s v="NO2_A1"/>
    <x v="1"/>
    <x v="0"/>
    <s v="GBPR_MUNIWASTE"/>
    <x v="0"/>
    <x v="15"/>
    <n v="10.8"/>
    <n v="3942"/>
    <n v="14191.2"/>
  </r>
  <r>
    <x v="0"/>
    <x v="0"/>
    <x v="0"/>
    <x v="7"/>
    <x v="12"/>
    <s v="NO2_A1"/>
    <x v="1"/>
    <x v="0"/>
    <s v="GBPR_MUNIWASTE"/>
    <x v="0"/>
    <x v="16"/>
    <n v="10.8"/>
    <n v="3942"/>
    <n v="14191.2"/>
  </r>
  <r>
    <x v="0"/>
    <x v="0"/>
    <x v="0"/>
    <x v="7"/>
    <x v="12"/>
    <s v="NO2_A1"/>
    <x v="1"/>
    <x v="0"/>
    <s v="GBPR_MUNIWASTE"/>
    <x v="0"/>
    <x v="17"/>
    <n v="10.8"/>
    <n v="3942"/>
    <n v="14191.2"/>
  </r>
  <r>
    <x v="0"/>
    <x v="0"/>
    <x v="0"/>
    <x v="7"/>
    <x v="12"/>
    <s v="NO2_A1"/>
    <x v="1"/>
    <x v="0"/>
    <s v="GBPR_MUNIWASTE"/>
    <x v="0"/>
    <x v="18"/>
    <n v="10.8"/>
    <n v="3942"/>
    <n v="14191.2"/>
  </r>
  <r>
    <x v="0"/>
    <x v="0"/>
    <x v="0"/>
    <x v="7"/>
    <x v="12"/>
    <s v="NO2_A1"/>
    <x v="1"/>
    <x v="0"/>
    <s v="GBPR_MUNIWASTE"/>
    <x v="0"/>
    <x v="19"/>
    <n v="10.8"/>
    <n v="3942"/>
    <n v="14191.2"/>
  </r>
  <r>
    <x v="0"/>
    <x v="0"/>
    <x v="0"/>
    <x v="7"/>
    <x v="12"/>
    <s v="NO2_A1"/>
    <x v="1"/>
    <x v="0"/>
    <s v="GBPR_MUNIWASTE"/>
    <x v="0"/>
    <x v="20"/>
    <n v="10.8"/>
    <n v="3942"/>
    <n v="14191.2"/>
  </r>
  <r>
    <x v="0"/>
    <x v="0"/>
    <x v="0"/>
    <x v="7"/>
    <x v="12"/>
    <s v="NO2_A1"/>
    <x v="1"/>
    <x v="0"/>
    <s v="GBPR_MUNIWASTE"/>
    <x v="0"/>
    <x v="21"/>
    <n v="10.8"/>
    <n v="3942"/>
    <n v="14191.2"/>
  </r>
  <r>
    <x v="0"/>
    <x v="0"/>
    <x v="0"/>
    <x v="7"/>
    <x v="12"/>
    <s v="NO2_A1"/>
    <x v="1"/>
    <x v="0"/>
    <s v="GBPR_MUNIWASTE"/>
    <x v="0"/>
    <x v="22"/>
    <n v="10.8"/>
    <n v="3942"/>
    <n v="14191.2"/>
  </r>
  <r>
    <x v="0"/>
    <x v="0"/>
    <x v="0"/>
    <x v="7"/>
    <x v="12"/>
    <s v="NO2_A1"/>
    <x v="1"/>
    <x v="0"/>
    <s v="GBPR_MUNIWASTE"/>
    <x v="0"/>
    <x v="23"/>
    <n v="10.8"/>
    <n v="3942"/>
    <n v="14191.2"/>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3"/>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3"/>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87.19205575436604"/>
    <n v="323825.10035034397"/>
    <n v="1165770.36126124"/>
  </r>
  <r>
    <x v="0"/>
    <x v="0"/>
    <x v="0"/>
    <x v="7"/>
    <x v="12"/>
    <s v="NO2_A1"/>
    <x v="6"/>
    <x v="7"/>
    <s v="GNR_RES_WTR_NOPMP_MC-03"/>
    <x v="0"/>
    <x v="6"/>
    <n v="887.19205575436604"/>
    <n v="323825.10035034397"/>
    <n v="1165770.36126124"/>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887.19205575436604"/>
    <n v="323825.10035034397"/>
    <n v="1165770.36126124"/>
  </r>
  <r>
    <x v="0"/>
    <x v="0"/>
    <x v="0"/>
    <x v="7"/>
    <x v="12"/>
    <s v="NO2_A1"/>
    <x v="6"/>
    <x v="7"/>
    <s v="GNR_RES_WTR_NOPMP_MC-03"/>
    <x v="0"/>
    <x v="22"/>
    <n v="887.19205575436604"/>
    <n v="323825.10035034397"/>
    <n v="1165770.36126124"/>
  </r>
  <r>
    <x v="0"/>
    <x v="0"/>
    <x v="0"/>
    <x v="7"/>
    <x v="12"/>
    <s v="NO2_A1"/>
    <x v="6"/>
    <x v="7"/>
    <s v="GNR_RES_WTR_NOPMP_MC-03"/>
    <x v="0"/>
    <x v="23"/>
    <n v="887.19205575436604"/>
    <n v="323825.10035034397"/>
    <n v="1165770.36126124"/>
  </r>
  <r>
    <x v="0"/>
    <x v="0"/>
    <x v="0"/>
    <x v="7"/>
    <x v="12"/>
    <s v="NO2_A1"/>
    <x v="6"/>
    <x v="7"/>
    <s v="GNR_RES_WTR_NOPMP_MC-04"/>
    <x v="0"/>
    <x v="0"/>
    <n v="887.19205575436604"/>
    <n v="323825.10035034397"/>
    <n v="1165770.36126124"/>
  </r>
  <r>
    <x v="0"/>
    <x v="0"/>
    <x v="0"/>
    <x v="7"/>
    <x v="12"/>
    <s v="NO2_A1"/>
    <x v="6"/>
    <x v="7"/>
    <s v="GNR_RES_WTR_NOPMP_MC-04"/>
    <x v="0"/>
    <x v="1"/>
    <n v="887.19205575436604"/>
    <n v="323825.10035034397"/>
    <n v="1165770.36126124"/>
  </r>
  <r>
    <x v="0"/>
    <x v="0"/>
    <x v="0"/>
    <x v="7"/>
    <x v="12"/>
    <s v="NO2_A1"/>
    <x v="6"/>
    <x v="7"/>
    <s v="GNR_RES_WTR_NOPMP_MC-04"/>
    <x v="0"/>
    <x v="2"/>
    <n v="887.19205575436604"/>
    <n v="323825.10035034397"/>
    <n v="1165770.36126124"/>
  </r>
  <r>
    <x v="0"/>
    <x v="0"/>
    <x v="0"/>
    <x v="7"/>
    <x v="12"/>
    <s v="NO2_A1"/>
    <x v="6"/>
    <x v="7"/>
    <s v="GNR_RES_WTR_NOPMP_MC-04"/>
    <x v="0"/>
    <x v="3"/>
    <n v="887.19205575436604"/>
    <n v="323825.10035034397"/>
    <n v="1165770.36126124"/>
  </r>
  <r>
    <x v="0"/>
    <x v="0"/>
    <x v="0"/>
    <x v="7"/>
    <x v="12"/>
    <s v="NO2_A1"/>
    <x v="6"/>
    <x v="7"/>
    <s v="GNR_RES_WTR_NOPMP_MC-04"/>
    <x v="0"/>
    <x v="4"/>
    <n v="887.19205575436604"/>
    <n v="323825.10035034397"/>
    <n v="1165770.36126124"/>
  </r>
  <r>
    <x v="0"/>
    <x v="0"/>
    <x v="0"/>
    <x v="7"/>
    <x v="12"/>
    <s v="NO2_A1"/>
    <x v="6"/>
    <x v="7"/>
    <s v="GNR_RES_WTR_NOPMP_MC-04"/>
    <x v="0"/>
    <x v="5"/>
    <n v="887.19205575436604"/>
    <n v="323825.10035034397"/>
    <n v="1165770.36126124"/>
  </r>
  <r>
    <x v="0"/>
    <x v="0"/>
    <x v="0"/>
    <x v="7"/>
    <x v="12"/>
    <s v="NO2_A1"/>
    <x v="6"/>
    <x v="7"/>
    <s v="GNR_RES_WTR_NOPMP_MC-04"/>
    <x v="0"/>
    <x v="6"/>
    <n v="887.19205575436604"/>
    <n v="323825.10035034397"/>
    <n v="1165770.36126124"/>
  </r>
  <r>
    <x v="0"/>
    <x v="0"/>
    <x v="0"/>
    <x v="7"/>
    <x v="12"/>
    <s v="NO2_A1"/>
    <x v="6"/>
    <x v="7"/>
    <s v="GNR_RES_WTR_NOPMP_MC-04"/>
    <x v="0"/>
    <x v="7"/>
    <n v="887.19205575436604"/>
    <n v="323825.10035034397"/>
    <n v="1165770.36126124"/>
  </r>
  <r>
    <x v="0"/>
    <x v="0"/>
    <x v="0"/>
    <x v="7"/>
    <x v="12"/>
    <s v="NO2_A1"/>
    <x v="6"/>
    <x v="7"/>
    <s v="GNR_RES_WTR_NOPMP_MC-04"/>
    <x v="0"/>
    <x v="8"/>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8"/>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4"/>
    <x v="0"/>
    <x v="21"/>
    <n v="887.19205575436604"/>
    <n v="323825.10035034397"/>
    <n v="1165770.36126124"/>
  </r>
  <r>
    <x v="0"/>
    <x v="0"/>
    <x v="0"/>
    <x v="7"/>
    <x v="12"/>
    <s v="NO2_A1"/>
    <x v="6"/>
    <x v="7"/>
    <s v="GNR_RES_WTR_NOPMP_MC-04"/>
    <x v="0"/>
    <x v="22"/>
    <n v="887.19205575436604"/>
    <n v="323825.10035034397"/>
    <n v="1165770.36126124"/>
  </r>
  <r>
    <x v="0"/>
    <x v="0"/>
    <x v="0"/>
    <x v="7"/>
    <x v="12"/>
    <s v="NO2_A1"/>
    <x v="6"/>
    <x v="7"/>
    <s v="GNR_RES_WTR_NOPMP_MC-04"/>
    <x v="0"/>
    <x v="23"/>
    <n v="887.19205575436604"/>
    <n v="323825.10035034397"/>
    <n v="1165770.36126124"/>
  </r>
  <r>
    <x v="0"/>
    <x v="0"/>
    <x v="0"/>
    <x v="7"/>
    <x v="12"/>
    <s v="NO2_A1"/>
    <x v="6"/>
    <x v="7"/>
    <s v="GNR_RES_WTR_NOPMP_MC-05"/>
    <x v="0"/>
    <x v="0"/>
    <n v="209.28438697334701"/>
    <n v="76388.801245271796"/>
    <n v="274999.68448297901"/>
  </r>
  <r>
    <x v="0"/>
    <x v="0"/>
    <x v="0"/>
    <x v="7"/>
    <x v="12"/>
    <s v="NO2_A1"/>
    <x v="6"/>
    <x v="7"/>
    <s v="GNR_RES_WTR_NOPMP_MC-05"/>
    <x v="0"/>
    <x v="1"/>
    <n v="118.46916183328401"/>
    <n v="43241.244069148503"/>
    <n v="155668.47864893501"/>
  </r>
  <r>
    <x v="0"/>
    <x v="0"/>
    <x v="0"/>
    <x v="7"/>
    <x v="12"/>
    <s v="NO2_A1"/>
    <x v="6"/>
    <x v="7"/>
    <s v="GNR_RES_WTR_NOPMP_MC-05"/>
    <x v="0"/>
    <x v="2"/>
    <n v="86.960873278324001"/>
    <n v="31740.7187465883"/>
    <n v="114266.587487718"/>
  </r>
  <r>
    <x v="0"/>
    <x v="0"/>
    <x v="0"/>
    <x v="7"/>
    <x v="12"/>
    <s v="NO2_A1"/>
    <x v="6"/>
    <x v="7"/>
    <s v="GNR_RES_WTR_NOPMP_MC-05"/>
    <x v="0"/>
    <x v="3"/>
    <n v="160.289822313146"/>
    <n v="58505.785144298497"/>
    <n v="210620.826519475"/>
  </r>
  <r>
    <x v="0"/>
    <x v="0"/>
    <x v="0"/>
    <x v="7"/>
    <x v="12"/>
    <s v="NO2_A1"/>
    <x v="6"/>
    <x v="7"/>
    <s v="GNR_RES_WTR_NOPMP_MC-05"/>
    <x v="0"/>
    <x v="4"/>
    <n v="228.05751172851399"/>
    <n v="83240.991780907701"/>
    <n v="299667.57041126798"/>
  </r>
  <r>
    <x v="0"/>
    <x v="0"/>
    <x v="0"/>
    <x v="7"/>
    <x v="12"/>
    <s v="NO2_A1"/>
    <x v="6"/>
    <x v="7"/>
    <s v="GNR_RES_WTR_NOPMP_MC-05"/>
    <x v="0"/>
    <x v="5"/>
    <n v="379.20909916432697"/>
    <n v="138411.32119497901"/>
    <n v="498280.75630192499"/>
  </r>
  <r>
    <x v="0"/>
    <x v="0"/>
    <x v="0"/>
    <x v="7"/>
    <x v="12"/>
    <s v="NO2_A1"/>
    <x v="6"/>
    <x v="7"/>
    <s v="GNR_RES_WTR_NOPMP_MC-05"/>
    <x v="0"/>
    <x v="6"/>
    <n v="688.92841251380298"/>
    <n v="251458.87056753799"/>
    <n v="905251.93404313701"/>
  </r>
  <r>
    <x v="0"/>
    <x v="0"/>
    <x v="0"/>
    <x v="7"/>
    <x v="12"/>
    <s v="NO2_A1"/>
    <x v="6"/>
    <x v="7"/>
    <s v="GNR_RES_WTR_NOPMP_MC-05"/>
    <x v="0"/>
    <x v="7"/>
    <n v="887.19205575436604"/>
    <n v="323825.10035034397"/>
    <n v="1165770.36126124"/>
  </r>
  <r>
    <x v="0"/>
    <x v="0"/>
    <x v="0"/>
    <x v="7"/>
    <x v="12"/>
    <s v="NO2_A1"/>
    <x v="6"/>
    <x v="7"/>
    <s v="GNR_RES_WTR_NOPMP_MC-05"/>
    <x v="0"/>
    <x v="8"/>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8"/>
    <n v="887.19205575436604"/>
    <n v="323825.10035034397"/>
    <n v="1165770.36126124"/>
  </r>
  <r>
    <x v="0"/>
    <x v="0"/>
    <x v="0"/>
    <x v="7"/>
    <x v="12"/>
    <s v="NO2_A1"/>
    <x v="6"/>
    <x v="7"/>
    <s v="GNR_RES_WTR_NOPMP_MC-05"/>
    <x v="0"/>
    <x v="19"/>
    <n v="869.09267002966999"/>
    <n v="317218.82456083002"/>
    <n v="1141987.7684189901"/>
  </r>
  <r>
    <x v="0"/>
    <x v="0"/>
    <x v="0"/>
    <x v="7"/>
    <x v="12"/>
    <s v="NO2_A1"/>
    <x v="6"/>
    <x v="7"/>
    <s v="GNR_RES_WTR_NOPMP_MC-05"/>
    <x v="0"/>
    <x v="20"/>
    <n v="783.31862714508304"/>
    <n v="285911.298907955"/>
    <n v="1029280.67606864"/>
  </r>
  <r>
    <x v="0"/>
    <x v="0"/>
    <x v="0"/>
    <x v="7"/>
    <x v="12"/>
    <s v="NO2_A1"/>
    <x v="6"/>
    <x v="7"/>
    <s v="GNR_RES_WTR_NOPMP_MC-05"/>
    <x v="0"/>
    <x v="21"/>
    <n v="661.05027648694499"/>
    <n v="241283.35091773499"/>
    <n v="868620.06330384605"/>
  </r>
  <r>
    <x v="0"/>
    <x v="0"/>
    <x v="0"/>
    <x v="7"/>
    <x v="12"/>
    <s v="NO2_A1"/>
    <x v="6"/>
    <x v="7"/>
    <s v="GNR_RES_WTR_NOPMP_MC-05"/>
    <x v="0"/>
    <x v="22"/>
    <n v="518.18536269529295"/>
    <n v="189137.657383782"/>
    <n v="680895.56658161501"/>
  </r>
  <r>
    <x v="0"/>
    <x v="0"/>
    <x v="0"/>
    <x v="7"/>
    <x v="12"/>
    <s v="NO2_A1"/>
    <x v="6"/>
    <x v="7"/>
    <s v="GNR_RES_WTR_NOPMP_MC-05"/>
    <x v="0"/>
    <x v="23"/>
    <n v="383.20170078901702"/>
    <n v="139868.62078799101"/>
    <n v="503527.034836768"/>
  </r>
  <r>
    <x v="0"/>
    <x v="0"/>
    <x v="0"/>
    <x v="7"/>
    <x v="12"/>
    <s v="NO2_A1"/>
    <x v="6"/>
    <x v="7"/>
    <s v="GNR_RES_WTR_NOPMP_MC-06"/>
    <x v="0"/>
    <x v="7"/>
    <n v="164.383667182111"/>
    <n v="60000.038521470502"/>
    <n v="216000.13867729399"/>
  </r>
  <r>
    <x v="0"/>
    <x v="0"/>
    <x v="0"/>
    <x v="7"/>
    <x v="12"/>
    <s v="NO2_A1"/>
    <x v="6"/>
    <x v="7"/>
    <s v="GNR_RES_WTR_NOPMP_MC-06"/>
    <x v="0"/>
    <x v="8"/>
    <n v="269.40618765896699"/>
    <n v="98333.258495522998"/>
    <n v="353999.73058388301"/>
  </r>
  <r>
    <x v="0"/>
    <x v="0"/>
    <x v="0"/>
    <x v="7"/>
    <x v="12"/>
    <s v="NO2_A1"/>
    <x v="6"/>
    <x v="7"/>
    <s v="GNR_RES_WTR_NOPMP_MC-06"/>
    <x v="0"/>
    <x v="9"/>
    <n v="263.52413896617202"/>
    <n v="96186.310722652895"/>
    <n v="346270.71860154998"/>
  </r>
  <r>
    <x v="0"/>
    <x v="0"/>
    <x v="0"/>
    <x v="7"/>
    <x v="12"/>
    <s v="NO2_A1"/>
    <x v="6"/>
    <x v="7"/>
    <s v="GNR_RES_WTR_NOPMP_MC-06"/>
    <x v="0"/>
    <x v="10"/>
    <n v="189.710180496525"/>
    <n v="69244.215881231794"/>
    <n v="249279.17717243399"/>
  </r>
  <r>
    <x v="0"/>
    <x v="0"/>
    <x v="0"/>
    <x v="7"/>
    <x v="12"/>
    <s v="NO2_A1"/>
    <x v="6"/>
    <x v="7"/>
    <s v="GNR_RES_WTR_NOPMP_MC-06"/>
    <x v="0"/>
    <x v="11"/>
    <n v="283.65476362070802"/>
    <n v="103533.98872155799"/>
    <n v="372722.35939761001"/>
  </r>
  <r>
    <x v="0"/>
    <x v="0"/>
    <x v="0"/>
    <x v="7"/>
    <x v="12"/>
    <s v="NO2_A1"/>
    <x v="6"/>
    <x v="7"/>
    <s v="GNR_RES_WTR_NOPMP_MC-06"/>
    <x v="0"/>
    <x v="12"/>
    <n v="208.56347772402299"/>
    <n v="76125.669369268406"/>
    <n v="274052.40972936602"/>
  </r>
  <r>
    <x v="0"/>
    <x v="0"/>
    <x v="0"/>
    <x v="7"/>
    <x v="12"/>
    <s v="NO2_A1"/>
    <x v="6"/>
    <x v="7"/>
    <s v="GNR_RES_WTR_NOPMP_MC-06"/>
    <x v="0"/>
    <x v="13"/>
    <n v="108.673215503292"/>
    <n v="39665.723658701703"/>
    <n v="142796.60517132599"/>
  </r>
  <r>
    <x v="0"/>
    <x v="0"/>
    <x v="0"/>
    <x v="7"/>
    <x v="12"/>
    <s v="NO2_A1"/>
    <x v="6"/>
    <x v="7"/>
    <s v="GNR_RES_WTR_NOPMP_MC-06"/>
    <x v="0"/>
    <x v="14"/>
    <n v="96.028708097714102"/>
    <n v="35050.478455665703"/>
    <n v="126181.722440396"/>
  </r>
  <r>
    <x v="0"/>
    <x v="0"/>
    <x v="0"/>
    <x v="7"/>
    <x v="12"/>
    <s v="NO2_A1"/>
    <x v="6"/>
    <x v="7"/>
    <s v="GNR_RES_WTR_NOPMP_MC-06"/>
    <x v="0"/>
    <x v="15"/>
    <n v="65.948395989108604"/>
    <n v="24071.1645360246"/>
    <n v="86656.192329688696"/>
  </r>
  <r>
    <x v="0"/>
    <x v="0"/>
    <x v="0"/>
    <x v="7"/>
    <x v="12"/>
    <s v="NO2_A1"/>
    <x v="6"/>
    <x v="7"/>
    <s v="GNR_RES_WTR_NOPMP_MC-06"/>
    <x v="0"/>
    <x v="16"/>
    <n v="124.52751232147"/>
    <n v="45452.541997336601"/>
    <n v="163629.151190412"/>
  </r>
  <r>
    <x v="0"/>
    <x v="0"/>
    <x v="0"/>
    <x v="7"/>
    <x v="12"/>
    <s v="NO2_A1"/>
    <x v="6"/>
    <x v="7"/>
    <s v="GNR_RES_WTR_NOPMP_MC-06"/>
    <x v="0"/>
    <x v="17"/>
    <n v="9.1010314915074595"/>
    <n v="3321.8764944002201"/>
    <n v="11958.755379840801"/>
  </r>
  <r>
    <x v="0"/>
    <x v="0"/>
    <x v="0"/>
    <x v="7"/>
    <x v="12"/>
    <s v="NO2_A1"/>
    <x v="6"/>
    <x v="7"/>
    <s v="GNR_RES_WTR_NOPMP_MC-06"/>
    <x v="0"/>
    <x v="18"/>
    <n v="4.70031621649923"/>
    <n v="1715.6154190222201"/>
    <n v="6176.2155084799897"/>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2"/>
    <n v="520"/>
    <n v="189800"/>
    <n v="683280"/>
  </r>
  <r>
    <x v="0"/>
    <x v="0"/>
    <x v="0"/>
    <x v="7"/>
    <x v="12"/>
    <s v="NO2_A1"/>
    <x v="6"/>
    <x v="7"/>
    <s v="GNR_RES_WTR_PMP_MC-01"/>
    <x v="0"/>
    <x v="3"/>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8"/>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2"/>
    <n v="1058.7105432231699"/>
    <n v="386429.34827645897"/>
    <n v="1391145.65379525"/>
  </r>
  <r>
    <x v="0"/>
    <x v="0"/>
    <x v="0"/>
    <x v="7"/>
    <x v="12"/>
    <s v="NO2_A1"/>
    <x v="6"/>
    <x v="4"/>
    <s v="GNR_ROR_WTR"/>
    <x v="0"/>
    <x v="3"/>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8"/>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0"/>
    <n v="188.37834895824599"/>
    <n v="68758.097369759693"/>
    <n v="247529.150531135"/>
  </r>
  <r>
    <x v="0"/>
    <x v="0"/>
    <x v="0"/>
    <x v="7"/>
    <x v="12"/>
    <s v="NO2_A1"/>
    <x v="7"/>
    <x v="5"/>
    <s v="GNR_WT_WIND_ONS"/>
    <x v="0"/>
    <x v="1"/>
    <n v="189.76088581393799"/>
    <n v="69262.723322087404"/>
    <n v="249345.803959515"/>
  </r>
  <r>
    <x v="0"/>
    <x v="0"/>
    <x v="0"/>
    <x v="7"/>
    <x v="12"/>
    <s v="NO2_A1"/>
    <x v="7"/>
    <x v="5"/>
    <s v="GNR_WT_WIND_ONS"/>
    <x v="0"/>
    <x v="2"/>
    <n v="191.45827827411401"/>
    <n v="69882.2715700517"/>
    <n v="251576.17765218599"/>
  </r>
  <r>
    <x v="0"/>
    <x v="0"/>
    <x v="0"/>
    <x v="7"/>
    <x v="12"/>
    <s v="NO2_A1"/>
    <x v="7"/>
    <x v="5"/>
    <s v="GNR_WT_WIND_ONS"/>
    <x v="0"/>
    <x v="3"/>
    <n v="193.48464992334701"/>
    <n v="70621.897222021493"/>
    <n v="254238.82999927699"/>
  </r>
  <r>
    <x v="0"/>
    <x v="0"/>
    <x v="0"/>
    <x v="7"/>
    <x v="12"/>
    <s v="NO2_A1"/>
    <x v="7"/>
    <x v="5"/>
    <s v="GNR_WT_WIND_ONS"/>
    <x v="0"/>
    <x v="4"/>
    <n v="193.619557168331"/>
    <n v="70671.138366440704"/>
    <n v="254416.09811918699"/>
  </r>
  <r>
    <x v="0"/>
    <x v="0"/>
    <x v="0"/>
    <x v="7"/>
    <x v="12"/>
    <s v="NO2_A1"/>
    <x v="7"/>
    <x v="5"/>
    <s v="GNR_WT_WIND_ONS"/>
    <x v="0"/>
    <x v="5"/>
    <n v="194.834771994775"/>
    <n v="71114.691778092805"/>
    <n v="256012.89040113401"/>
  </r>
  <r>
    <x v="0"/>
    <x v="0"/>
    <x v="0"/>
    <x v="7"/>
    <x v="12"/>
    <s v="NO2_A1"/>
    <x v="7"/>
    <x v="5"/>
    <s v="GNR_WT_WIND_ONS"/>
    <x v="0"/>
    <x v="6"/>
    <n v="194.81754585228001"/>
    <n v="71108.404236082293"/>
    <n v="255990.255249896"/>
  </r>
  <r>
    <x v="0"/>
    <x v="0"/>
    <x v="0"/>
    <x v="7"/>
    <x v="12"/>
    <s v="NO2_A1"/>
    <x v="7"/>
    <x v="5"/>
    <s v="GNR_WT_WIND_ONS"/>
    <x v="0"/>
    <x v="7"/>
    <n v="194.86947124954901"/>
    <n v="71127.357006085396"/>
    <n v="256058.485221907"/>
  </r>
  <r>
    <x v="0"/>
    <x v="0"/>
    <x v="0"/>
    <x v="7"/>
    <x v="12"/>
    <s v="NO2_A1"/>
    <x v="7"/>
    <x v="5"/>
    <s v="GNR_WT_WIND_ONS"/>
    <x v="0"/>
    <x v="8"/>
    <n v="194.18508710445599"/>
    <n v="70877.556793126394"/>
    <n v="255159.20445525501"/>
  </r>
  <r>
    <x v="0"/>
    <x v="0"/>
    <x v="0"/>
    <x v="7"/>
    <x v="12"/>
    <s v="NO2_A1"/>
    <x v="7"/>
    <x v="5"/>
    <s v="GNR_WT_WIND_ONS"/>
    <x v="0"/>
    <x v="9"/>
    <n v="191.78633132647701"/>
    <n v="70002.010934164093"/>
    <n v="252007.23936299101"/>
  </r>
  <r>
    <x v="0"/>
    <x v="0"/>
    <x v="0"/>
    <x v="7"/>
    <x v="12"/>
    <s v="NO2_A1"/>
    <x v="7"/>
    <x v="5"/>
    <s v="GNR_WT_WIND_ONS"/>
    <x v="0"/>
    <x v="10"/>
    <n v="152.153268546509"/>
    <n v="55535.943019475897"/>
    <n v="199929.394870113"/>
  </r>
  <r>
    <x v="0"/>
    <x v="0"/>
    <x v="0"/>
    <x v="7"/>
    <x v="12"/>
    <s v="NO2_A1"/>
    <x v="7"/>
    <x v="5"/>
    <s v="GNR_WT_WIND_ONS"/>
    <x v="0"/>
    <x v="11"/>
    <n v="49.927880951551899"/>
    <n v="18223.676547316401"/>
    <n v="65605.235570339195"/>
  </r>
  <r>
    <x v="0"/>
    <x v="0"/>
    <x v="0"/>
    <x v="7"/>
    <x v="12"/>
    <s v="NO2_A1"/>
    <x v="7"/>
    <x v="5"/>
    <s v="GNR_WT_WIND_ONS"/>
    <x v="0"/>
    <x v="12"/>
    <n v="62.913133317425697"/>
    <n v="22963.2936608604"/>
    <n v="82667.857179097293"/>
  </r>
  <r>
    <x v="0"/>
    <x v="0"/>
    <x v="0"/>
    <x v="7"/>
    <x v="12"/>
    <s v="NO2_A1"/>
    <x v="7"/>
    <x v="5"/>
    <s v="GNR_WT_WIND_ONS"/>
    <x v="0"/>
    <x v="13"/>
    <n v="181.02116537385601"/>
    <n v="66072.7253614574"/>
    <n v="237861.81130124701"/>
  </r>
  <r>
    <x v="0"/>
    <x v="0"/>
    <x v="0"/>
    <x v="7"/>
    <x v="12"/>
    <s v="NO2_A1"/>
    <x v="7"/>
    <x v="5"/>
    <s v="GNR_WT_WIND_ONS"/>
    <x v="0"/>
    <x v="14"/>
    <n v="186.21294875574401"/>
    <n v="67967.726295846602"/>
    <n v="244683.814665048"/>
  </r>
  <r>
    <x v="0"/>
    <x v="0"/>
    <x v="0"/>
    <x v="7"/>
    <x v="12"/>
    <s v="NO2_A1"/>
    <x v="7"/>
    <x v="5"/>
    <s v="GNR_WT_WIND_ONS"/>
    <x v="0"/>
    <x v="15"/>
    <n v="196.419330134489"/>
    <n v="71693.055499088601"/>
    <n v="258094.999796719"/>
  </r>
  <r>
    <x v="0"/>
    <x v="0"/>
    <x v="0"/>
    <x v="7"/>
    <x v="12"/>
    <s v="NO2_A1"/>
    <x v="7"/>
    <x v="5"/>
    <s v="GNR_WT_WIND_ONS"/>
    <x v="0"/>
    <x v="16"/>
    <n v="185.04079928553699"/>
    <n v="67539.891739220795"/>
    <n v="243143.61026119499"/>
  </r>
  <r>
    <x v="0"/>
    <x v="0"/>
    <x v="0"/>
    <x v="7"/>
    <x v="12"/>
    <s v="NO2_A1"/>
    <x v="7"/>
    <x v="5"/>
    <s v="GNR_WT_WIND_ONS"/>
    <x v="0"/>
    <x v="17"/>
    <n v="193.644902442503"/>
    <n v="70680.3893915136"/>
    <n v="254449.40180944899"/>
  </r>
  <r>
    <x v="0"/>
    <x v="0"/>
    <x v="0"/>
    <x v="7"/>
    <x v="12"/>
    <s v="NO2_A1"/>
    <x v="7"/>
    <x v="5"/>
    <s v="GNR_WT_WIND_ONS"/>
    <x v="0"/>
    <x v="18"/>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1"/>
    <x v="0"/>
    <s v="GBPR_MUNIWASTE"/>
    <x v="0"/>
    <x v="0"/>
    <n v="4.29"/>
    <n v="1565.85"/>
    <n v="5637.06"/>
  </r>
  <r>
    <x v="0"/>
    <x v="0"/>
    <x v="0"/>
    <x v="7"/>
    <x v="13"/>
    <s v="NO3_A1"/>
    <x v="1"/>
    <x v="0"/>
    <s v="GBPR_MUNIWASTE"/>
    <x v="0"/>
    <x v="1"/>
    <n v="4.29"/>
    <n v="1565.85"/>
    <n v="5637.06"/>
  </r>
  <r>
    <x v="0"/>
    <x v="0"/>
    <x v="0"/>
    <x v="7"/>
    <x v="13"/>
    <s v="NO3_A1"/>
    <x v="1"/>
    <x v="0"/>
    <s v="GBPR_MUNIWASTE"/>
    <x v="0"/>
    <x v="2"/>
    <n v="4.29"/>
    <n v="1565.85"/>
    <n v="5637.06"/>
  </r>
  <r>
    <x v="0"/>
    <x v="0"/>
    <x v="0"/>
    <x v="7"/>
    <x v="13"/>
    <s v="NO3_A1"/>
    <x v="1"/>
    <x v="0"/>
    <s v="GBPR_MUNIWASTE"/>
    <x v="0"/>
    <x v="3"/>
    <n v="4.29"/>
    <n v="1565.85"/>
    <n v="5637.06"/>
  </r>
  <r>
    <x v="0"/>
    <x v="0"/>
    <x v="0"/>
    <x v="7"/>
    <x v="13"/>
    <s v="NO3_A1"/>
    <x v="1"/>
    <x v="0"/>
    <s v="GBPR_MUNIWASTE"/>
    <x v="0"/>
    <x v="4"/>
    <n v="4.29"/>
    <n v="1565.85"/>
    <n v="5637.06"/>
  </r>
  <r>
    <x v="0"/>
    <x v="0"/>
    <x v="0"/>
    <x v="7"/>
    <x v="13"/>
    <s v="NO3_A1"/>
    <x v="1"/>
    <x v="0"/>
    <s v="GBPR_MUNIWASTE"/>
    <x v="0"/>
    <x v="5"/>
    <n v="4.29"/>
    <n v="1565.85"/>
    <n v="5637.06"/>
  </r>
  <r>
    <x v="0"/>
    <x v="0"/>
    <x v="0"/>
    <x v="7"/>
    <x v="13"/>
    <s v="NO3_A1"/>
    <x v="1"/>
    <x v="0"/>
    <s v="GBPR_MUNIWASTE"/>
    <x v="0"/>
    <x v="6"/>
    <n v="4.29"/>
    <n v="1565.85"/>
    <n v="5637.06"/>
  </r>
  <r>
    <x v="0"/>
    <x v="0"/>
    <x v="0"/>
    <x v="7"/>
    <x v="13"/>
    <s v="NO3_A1"/>
    <x v="1"/>
    <x v="0"/>
    <s v="GBPR_MUNIWASTE"/>
    <x v="0"/>
    <x v="7"/>
    <n v="4.29"/>
    <n v="1565.85"/>
    <n v="5637.06"/>
  </r>
  <r>
    <x v="0"/>
    <x v="0"/>
    <x v="0"/>
    <x v="7"/>
    <x v="13"/>
    <s v="NO3_A1"/>
    <x v="1"/>
    <x v="0"/>
    <s v="GBPR_MUNIWASTE"/>
    <x v="0"/>
    <x v="8"/>
    <n v="4.29"/>
    <n v="1565.85"/>
    <n v="5637.06"/>
  </r>
  <r>
    <x v="0"/>
    <x v="0"/>
    <x v="0"/>
    <x v="7"/>
    <x v="13"/>
    <s v="NO3_A1"/>
    <x v="1"/>
    <x v="0"/>
    <s v="GBPR_MUNIWASTE"/>
    <x v="0"/>
    <x v="9"/>
    <n v="4.29"/>
    <n v="1565.85"/>
    <n v="5637.06"/>
  </r>
  <r>
    <x v="0"/>
    <x v="0"/>
    <x v="0"/>
    <x v="7"/>
    <x v="13"/>
    <s v="NO3_A1"/>
    <x v="1"/>
    <x v="0"/>
    <s v="GBPR_MUNIWASTE"/>
    <x v="0"/>
    <x v="10"/>
    <n v="4.29"/>
    <n v="1565.85"/>
    <n v="5637.06"/>
  </r>
  <r>
    <x v="0"/>
    <x v="0"/>
    <x v="0"/>
    <x v="7"/>
    <x v="13"/>
    <s v="NO3_A1"/>
    <x v="1"/>
    <x v="0"/>
    <s v="GBPR_MUNIWASTE"/>
    <x v="0"/>
    <x v="11"/>
    <n v="4.29"/>
    <n v="1565.85"/>
    <n v="5637.06"/>
  </r>
  <r>
    <x v="0"/>
    <x v="0"/>
    <x v="0"/>
    <x v="7"/>
    <x v="13"/>
    <s v="NO3_A1"/>
    <x v="1"/>
    <x v="0"/>
    <s v="GBPR_MUNIWASTE"/>
    <x v="0"/>
    <x v="12"/>
    <n v="4.29"/>
    <n v="1565.85"/>
    <n v="5637.06"/>
  </r>
  <r>
    <x v="0"/>
    <x v="0"/>
    <x v="0"/>
    <x v="7"/>
    <x v="13"/>
    <s v="NO3_A1"/>
    <x v="1"/>
    <x v="0"/>
    <s v="GBPR_MUNIWASTE"/>
    <x v="0"/>
    <x v="13"/>
    <n v="4.29"/>
    <n v="1565.85"/>
    <n v="5637.06"/>
  </r>
  <r>
    <x v="0"/>
    <x v="0"/>
    <x v="0"/>
    <x v="7"/>
    <x v="13"/>
    <s v="NO3_A1"/>
    <x v="1"/>
    <x v="0"/>
    <s v="GBPR_MUNIWASTE"/>
    <x v="0"/>
    <x v="14"/>
    <n v="4.29"/>
    <n v="1565.85"/>
    <n v="5637.06"/>
  </r>
  <r>
    <x v="0"/>
    <x v="0"/>
    <x v="0"/>
    <x v="7"/>
    <x v="13"/>
    <s v="NO3_A1"/>
    <x v="1"/>
    <x v="0"/>
    <s v="GBPR_MUNIWASTE"/>
    <x v="0"/>
    <x v="15"/>
    <n v="4.29"/>
    <n v="1565.85"/>
    <n v="5637.06"/>
  </r>
  <r>
    <x v="0"/>
    <x v="0"/>
    <x v="0"/>
    <x v="7"/>
    <x v="13"/>
    <s v="NO3_A1"/>
    <x v="1"/>
    <x v="0"/>
    <s v="GBPR_MUNIWASTE"/>
    <x v="0"/>
    <x v="16"/>
    <n v="4.29"/>
    <n v="1565.85"/>
    <n v="5637.06"/>
  </r>
  <r>
    <x v="0"/>
    <x v="0"/>
    <x v="0"/>
    <x v="7"/>
    <x v="13"/>
    <s v="NO3_A1"/>
    <x v="1"/>
    <x v="0"/>
    <s v="GBPR_MUNIWASTE"/>
    <x v="0"/>
    <x v="17"/>
    <n v="4.29"/>
    <n v="1565.85"/>
    <n v="5637.06"/>
  </r>
  <r>
    <x v="0"/>
    <x v="0"/>
    <x v="0"/>
    <x v="7"/>
    <x v="13"/>
    <s v="NO3_A1"/>
    <x v="1"/>
    <x v="0"/>
    <s v="GBPR_MUNIWASTE"/>
    <x v="0"/>
    <x v="18"/>
    <n v="4.29"/>
    <n v="1565.85"/>
    <n v="5637.06"/>
  </r>
  <r>
    <x v="0"/>
    <x v="0"/>
    <x v="0"/>
    <x v="7"/>
    <x v="13"/>
    <s v="NO3_A1"/>
    <x v="1"/>
    <x v="0"/>
    <s v="GBPR_MUNIWASTE"/>
    <x v="0"/>
    <x v="19"/>
    <n v="4.29"/>
    <n v="1565.85"/>
    <n v="5637.06"/>
  </r>
  <r>
    <x v="0"/>
    <x v="0"/>
    <x v="0"/>
    <x v="7"/>
    <x v="13"/>
    <s v="NO3_A1"/>
    <x v="1"/>
    <x v="0"/>
    <s v="GBPR_MUNIWASTE"/>
    <x v="0"/>
    <x v="20"/>
    <n v="4.29"/>
    <n v="1565.85"/>
    <n v="5637.06"/>
  </r>
  <r>
    <x v="0"/>
    <x v="0"/>
    <x v="0"/>
    <x v="7"/>
    <x v="13"/>
    <s v="NO3_A1"/>
    <x v="1"/>
    <x v="0"/>
    <s v="GBPR_MUNIWASTE"/>
    <x v="0"/>
    <x v="21"/>
    <n v="4.29"/>
    <n v="1565.85"/>
    <n v="5637.06"/>
  </r>
  <r>
    <x v="0"/>
    <x v="0"/>
    <x v="0"/>
    <x v="7"/>
    <x v="13"/>
    <s v="NO3_A1"/>
    <x v="1"/>
    <x v="0"/>
    <s v="GBPR_MUNIWASTE"/>
    <x v="0"/>
    <x v="22"/>
    <n v="4.29"/>
    <n v="1565.85"/>
    <n v="5637.06"/>
  </r>
  <r>
    <x v="0"/>
    <x v="0"/>
    <x v="0"/>
    <x v="7"/>
    <x v="13"/>
    <s v="NO3_A1"/>
    <x v="1"/>
    <x v="0"/>
    <s v="GBPR_MUNIWASTE"/>
    <x v="0"/>
    <x v="23"/>
    <n v="4.29"/>
    <n v="1565.85"/>
    <n v="5637.06"/>
  </r>
  <r>
    <x v="0"/>
    <x v="0"/>
    <x v="0"/>
    <x v="7"/>
    <x v="13"/>
    <s v="NO3_A1"/>
    <x v="2"/>
    <x v="2"/>
    <s v="GCND_NATGAS4"/>
    <x v="0"/>
    <x v="6"/>
    <n v="300"/>
    <n v="109500"/>
    <n v="394200"/>
  </r>
  <r>
    <x v="0"/>
    <x v="0"/>
    <x v="0"/>
    <x v="7"/>
    <x v="13"/>
    <s v="NO3_A1"/>
    <x v="2"/>
    <x v="2"/>
    <s v="GCND_NATGAS4"/>
    <x v="0"/>
    <x v="7"/>
    <n v="300"/>
    <n v="109500"/>
    <n v="394200"/>
  </r>
  <r>
    <x v="0"/>
    <x v="0"/>
    <x v="0"/>
    <x v="7"/>
    <x v="13"/>
    <s v="NO3_A1"/>
    <x v="2"/>
    <x v="2"/>
    <s v="GCND_NATGAS4"/>
    <x v="0"/>
    <x v="8"/>
    <n v="300"/>
    <n v="109500"/>
    <n v="394200"/>
  </r>
  <r>
    <x v="0"/>
    <x v="0"/>
    <x v="0"/>
    <x v="7"/>
    <x v="13"/>
    <s v="NO3_A1"/>
    <x v="2"/>
    <x v="2"/>
    <s v="GCND_NATGAS4"/>
    <x v="0"/>
    <x v="9"/>
    <n v="300"/>
    <n v="109500"/>
    <n v="394200"/>
  </r>
  <r>
    <x v="0"/>
    <x v="0"/>
    <x v="0"/>
    <x v="7"/>
    <x v="13"/>
    <s v="NO3_A1"/>
    <x v="2"/>
    <x v="2"/>
    <s v="GCND_NATGAS4"/>
    <x v="0"/>
    <x v="10"/>
    <n v="300"/>
    <n v="109500"/>
    <n v="394200"/>
  </r>
  <r>
    <x v="0"/>
    <x v="0"/>
    <x v="0"/>
    <x v="7"/>
    <x v="13"/>
    <s v="NO3_A1"/>
    <x v="2"/>
    <x v="2"/>
    <s v="GCND_NATGAS4"/>
    <x v="0"/>
    <x v="11"/>
    <n v="300"/>
    <n v="109500"/>
    <n v="394200"/>
  </r>
  <r>
    <x v="0"/>
    <x v="0"/>
    <x v="0"/>
    <x v="7"/>
    <x v="13"/>
    <s v="NO3_A1"/>
    <x v="2"/>
    <x v="2"/>
    <s v="GCND_NATGAS4"/>
    <x v="0"/>
    <x v="12"/>
    <n v="300"/>
    <n v="109500"/>
    <n v="394200"/>
  </r>
  <r>
    <x v="0"/>
    <x v="0"/>
    <x v="0"/>
    <x v="7"/>
    <x v="13"/>
    <s v="NO3_A1"/>
    <x v="2"/>
    <x v="2"/>
    <s v="GCND_NATGAS4"/>
    <x v="0"/>
    <x v="13"/>
    <n v="300"/>
    <n v="109500"/>
    <n v="394200"/>
  </r>
  <r>
    <x v="0"/>
    <x v="0"/>
    <x v="0"/>
    <x v="7"/>
    <x v="13"/>
    <s v="NO3_A1"/>
    <x v="2"/>
    <x v="2"/>
    <s v="GCND_NATGAS4"/>
    <x v="0"/>
    <x v="14"/>
    <n v="300"/>
    <n v="109500"/>
    <n v="394200"/>
  </r>
  <r>
    <x v="0"/>
    <x v="0"/>
    <x v="0"/>
    <x v="7"/>
    <x v="13"/>
    <s v="NO3_A1"/>
    <x v="2"/>
    <x v="2"/>
    <s v="GCND_NATGAS4"/>
    <x v="0"/>
    <x v="15"/>
    <n v="300"/>
    <n v="109500"/>
    <n v="394200"/>
  </r>
  <r>
    <x v="0"/>
    <x v="0"/>
    <x v="0"/>
    <x v="7"/>
    <x v="13"/>
    <s v="NO3_A1"/>
    <x v="2"/>
    <x v="2"/>
    <s v="GCND_NATGAS4"/>
    <x v="0"/>
    <x v="16"/>
    <n v="300"/>
    <n v="109500"/>
    <n v="394200"/>
  </r>
  <r>
    <x v="0"/>
    <x v="0"/>
    <x v="0"/>
    <x v="7"/>
    <x v="13"/>
    <s v="NO3_A1"/>
    <x v="2"/>
    <x v="2"/>
    <s v="GCND_NATGAS4"/>
    <x v="0"/>
    <x v="17"/>
    <n v="300"/>
    <n v="109500"/>
    <n v="394200"/>
  </r>
  <r>
    <x v="0"/>
    <x v="0"/>
    <x v="0"/>
    <x v="7"/>
    <x v="13"/>
    <s v="NO3_A1"/>
    <x v="2"/>
    <x v="2"/>
    <s v="GCND_NATGAS4"/>
    <x v="0"/>
    <x v="18"/>
    <n v="263.44111116573299"/>
    <n v="96156.005575492498"/>
    <n v="346161.62007177301"/>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3"/>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3"/>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0"/>
    <n v="176.88208655094701"/>
    <n v="64561.961591095504"/>
    <n v="232423.061727944"/>
  </r>
  <r>
    <x v="0"/>
    <x v="0"/>
    <x v="0"/>
    <x v="7"/>
    <x v="13"/>
    <s v="NO3_A1"/>
    <x v="6"/>
    <x v="7"/>
    <s v="GNR_RES_WTR_NOPMP_MC-04"/>
    <x v="0"/>
    <x v="1"/>
    <n v="119.34683800467"/>
    <n v="43561.595871704601"/>
    <n v="156821.745138136"/>
  </r>
  <r>
    <x v="0"/>
    <x v="0"/>
    <x v="0"/>
    <x v="7"/>
    <x v="13"/>
    <s v="NO3_A1"/>
    <x v="6"/>
    <x v="7"/>
    <s v="GNR_RES_WTR_NOPMP_MC-04"/>
    <x v="0"/>
    <x v="2"/>
    <n v="87.536740316088597"/>
    <n v="31950.910215372402"/>
    <n v="115023.27677534"/>
  </r>
  <r>
    <x v="0"/>
    <x v="0"/>
    <x v="0"/>
    <x v="7"/>
    <x v="13"/>
    <s v="NO3_A1"/>
    <x v="6"/>
    <x v="7"/>
    <s v="GNR_RES_WTR_NOPMP_MC-04"/>
    <x v="0"/>
    <x v="3"/>
    <n v="56.214229440622702"/>
    <n v="20518.193745827299"/>
    <n v="73865.497484978201"/>
  </r>
  <r>
    <x v="0"/>
    <x v="0"/>
    <x v="0"/>
    <x v="7"/>
    <x v="13"/>
    <s v="NO3_A1"/>
    <x v="6"/>
    <x v="7"/>
    <s v="GNR_RES_WTR_NOPMP_MC-04"/>
    <x v="0"/>
    <x v="4"/>
    <n v="221.88442859013301"/>
    <n v="80987.816435398505"/>
    <n v="291556.139167435"/>
  </r>
  <r>
    <x v="0"/>
    <x v="0"/>
    <x v="0"/>
    <x v="7"/>
    <x v="13"/>
    <s v="NO3_A1"/>
    <x v="6"/>
    <x v="7"/>
    <s v="GNR_RES_WTR_NOPMP_MC-04"/>
    <x v="0"/>
    <x v="5"/>
    <n v="282.146513660349"/>
    <n v="102983.477486027"/>
    <n v="370740.51894969901"/>
  </r>
  <r>
    <x v="0"/>
    <x v="0"/>
    <x v="0"/>
    <x v="7"/>
    <x v="13"/>
    <s v="NO3_A1"/>
    <x v="6"/>
    <x v="7"/>
    <s v="GNR_RES_WTR_NOPMP_MC-04"/>
    <x v="0"/>
    <x v="6"/>
    <n v="282.146513660349"/>
    <n v="102983.477486027"/>
    <n v="370740.51894969901"/>
  </r>
  <r>
    <x v="0"/>
    <x v="0"/>
    <x v="0"/>
    <x v="7"/>
    <x v="13"/>
    <s v="NO3_A1"/>
    <x v="6"/>
    <x v="7"/>
    <s v="GNR_RES_WTR_NOPMP_MC-04"/>
    <x v="0"/>
    <x v="7"/>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4"/>
    <x v="0"/>
    <x v="21"/>
    <n v="282.146513660349"/>
    <n v="102983.477486027"/>
    <n v="370740.51894969901"/>
  </r>
  <r>
    <x v="0"/>
    <x v="0"/>
    <x v="0"/>
    <x v="7"/>
    <x v="13"/>
    <s v="NO3_A1"/>
    <x v="6"/>
    <x v="7"/>
    <s v="GNR_RES_WTR_NOPMP_MC-04"/>
    <x v="0"/>
    <x v="22"/>
    <n v="231.50691741267801"/>
    <n v="84500.0248556273"/>
    <n v="304200.089480258"/>
  </r>
  <r>
    <x v="0"/>
    <x v="0"/>
    <x v="0"/>
    <x v="7"/>
    <x v="13"/>
    <s v="NO3_A1"/>
    <x v="6"/>
    <x v="7"/>
    <s v="GNR_RES_WTR_NOPMP_MC-04"/>
    <x v="0"/>
    <x v="23"/>
    <n v="108.959187293971"/>
    <n v="39770.103362299298"/>
    <n v="143172.37210427699"/>
  </r>
  <r>
    <x v="0"/>
    <x v="0"/>
    <x v="0"/>
    <x v="7"/>
    <x v="13"/>
    <s v="NO3_A1"/>
    <x v="6"/>
    <x v="7"/>
    <s v="GNR_RES_WTR_NOPMP_MC-05"/>
    <x v="0"/>
    <x v="6"/>
    <n v="282.146513660349"/>
    <n v="102983.477486027"/>
    <n v="370740.51894969901"/>
  </r>
  <r>
    <x v="0"/>
    <x v="0"/>
    <x v="0"/>
    <x v="7"/>
    <x v="13"/>
    <s v="NO3_A1"/>
    <x v="6"/>
    <x v="7"/>
    <s v="GNR_RES_WTR_NOPMP_MC-05"/>
    <x v="0"/>
    <x v="7"/>
    <n v="282.146513660349"/>
    <n v="102983.477486027"/>
    <n v="370740.51894969901"/>
  </r>
  <r>
    <x v="0"/>
    <x v="0"/>
    <x v="0"/>
    <x v="7"/>
    <x v="13"/>
    <s v="NO3_A1"/>
    <x v="6"/>
    <x v="7"/>
    <s v="GNR_RES_WTR_NOPMP_MC-05"/>
    <x v="0"/>
    <x v="8"/>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8"/>
    <n v="282.146513660349"/>
    <n v="102983.477486027"/>
    <n v="370740.51894969901"/>
  </r>
  <r>
    <x v="0"/>
    <x v="0"/>
    <x v="0"/>
    <x v="7"/>
    <x v="13"/>
    <s v="NO3_A1"/>
    <x v="6"/>
    <x v="7"/>
    <s v="GNR_RES_WTR_NOPMP_MC-05"/>
    <x v="0"/>
    <x v="19"/>
    <n v="282.146513660349"/>
    <n v="102983.477486027"/>
    <n v="370740.51894969901"/>
  </r>
  <r>
    <x v="0"/>
    <x v="0"/>
    <x v="0"/>
    <x v="7"/>
    <x v="13"/>
    <s v="NO3_A1"/>
    <x v="6"/>
    <x v="7"/>
    <s v="GNR_RES_WTR_NOPMP_MC-05"/>
    <x v="0"/>
    <x v="20"/>
    <n v="282.146513660349"/>
    <n v="102983.477486027"/>
    <n v="370740.51894969901"/>
  </r>
  <r>
    <x v="0"/>
    <x v="0"/>
    <x v="0"/>
    <x v="7"/>
    <x v="13"/>
    <s v="NO3_A1"/>
    <x v="6"/>
    <x v="7"/>
    <s v="GNR_RES_WTR_NOPMP_MC-05"/>
    <x v="0"/>
    <x v="21"/>
    <n v="35.257596925361803"/>
    <n v="12869.022877757099"/>
    <n v="46328.482359925401"/>
  </r>
  <r>
    <x v="0"/>
    <x v="0"/>
    <x v="0"/>
    <x v="7"/>
    <x v="13"/>
    <s v="NO3_A1"/>
    <x v="6"/>
    <x v="7"/>
    <s v="GNR_RES_WTR_NOPMP_MC-06"/>
    <x v="0"/>
    <x v="6"/>
    <n v="163.44941037701099"/>
    <n v="59659.034787609198"/>
    <n v="214772.525235393"/>
  </r>
  <r>
    <x v="0"/>
    <x v="0"/>
    <x v="0"/>
    <x v="7"/>
    <x v="13"/>
    <s v="NO3_A1"/>
    <x v="6"/>
    <x v="7"/>
    <s v="GNR_RES_WTR_NOPMP_MC-06"/>
    <x v="0"/>
    <x v="7"/>
    <n v="282.146513660349"/>
    <n v="102983.477486027"/>
    <n v="370740.51894969901"/>
  </r>
  <r>
    <x v="0"/>
    <x v="0"/>
    <x v="0"/>
    <x v="7"/>
    <x v="13"/>
    <s v="NO3_A1"/>
    <x v="6"/>
    <x v="7"/>
    <s v="GNR_RES_WTR_NOPMP_MC-06"/>
    <x v="0"/>
    <x v="8"/>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1"/>
    <n v="282.146513660349"/>
    <n v="102983.477486027"/>
    <n v="370740.51894969901"/>
  </r>
  <r>
    <x v="0"/>
    <x v="0"/>
    <x v="0"/>
    <x v="7"/>
    <x v="13"/>
    <s v="NO3_A1"/>
    <x v="6"/>
    <x v="7"/>
    <s v="GNR_RES_WTR_NOPMP_MC-06"/>
    <x v="0"/>
    <x v="12"/>
    <n v="282.146513660349"/>
    <n v="102983.477486027"/>
    <n v="370740.51894969901"/>
  </r>
  <r>
    <x v="0"/>
    <x v="0"/>
    <x v="0"/>
    <x v="7"/>
    <x v="13"/>
    <s v="NO3_A1"/>
    <x v="6"/>
    <x v="7"/>
    <s v="GNR_RES_WTR_NOPMP_MC-07"/>
    <x v="0"/>
    <x v="7"/>
    <n v="282.146513660349"/>
    <n v="102983.477486027"/>
    <n v="370740.51894969901"/>
  </r>
  <r>
    <x v="0"/>
    <x v="0"/>
    <x v="0"/>
    <x v="7"/>
    <x v="13"/>
    <s v="NO3_A1"/>
    <x v="6"/>
    <x v="7"/>
    <s v="GNR_RES_WTR_NOPMP_MC-07"/>
    <x v="0"/>
    <x v="8"/>
    <n v="282.146513660349"/>
    <n v="102983.477486027"/>
    <n v="370740.51894969901"/>
  </r>
  <r>
    <x v="0"/>
    <x v="0"/>
    <x v="0"/>
    <x v="7"/>
    <x v="13"/>
    <s v="NO3_A1"/>
    <x v="6"/>
    <x v="7"/>
    <s v="GNR_RES_WTR_NOPMP_MC-07"/>
    <x v="0"/>
    <x v="9"/>
    <n v="282.146513660349"/>
    <n v="102983.477486027"/>
    <n v="370740.51894969901"/>
  </r>
  <r>
    <x v="0"/>
    <x v="0"/>
    <x v="0"/>
    <x v="7"/>
    <x v="13"/>
    <s v="NO3_A1"/>
    <x v="6"/>
    <x v="7"/>
    <s v="GNR_RES_WTR_NOPMP_MC-07"/>
    <x v="0"/>
    <x v="10"/>
    <n v="282.146513660349"/>
    <n v="102983.477486027"/>
    <n v="370740.51894969901"/>
  </r>
  <r>
    <x v="0"/>
    <x v="0"/>
    <x v="0"/>
    <x v="7"/>
    <x v="13"/>
    <s v="NO3_A1"/>
    <x v="6"/>
    <x v="7"/>
    <s v="GNR_RES_WTR_NOPMP_MC-07"/>
    <x v="0"/>
    <x v="11"/>
    <n v="119.913342147485"/>
    <n v="43768.369883831903"/>
    <n v="157566.13158179499"/>
  </r>
  <r>
    <x v="0"/>
    <x v="0"/>
    <x v="0"/>
    <x v="7"/>
    <x v="13"/>
    <s v="NO3_A1"/>
    <x v="6"/>
    <x v="7"/>
    <s v="GNR_RES_WTR_NOPMP_MC-08"/>
    <x v="0"/>
    <x v="7"/>
    <n v="282.146513660349"/>
    <n v="102983.477486027"/>
    <n v="370740.51894969901"/>
  </r>
  <r>
    <x v="0"/>
    <x v="0"/>
    <x v="0"/>
    <x v="7"/>
    <x v="13"/>
    <s v="NO3_A1"/>
    <x v="6"/>
    <x v="7"/>
    <s v="GNR_RES_WTR_NOPMP_MC-08"/>
    <x v="0"/>
    <x v="8"/>
    <n v="282.146513660349"/>
    <n v="102983.477486027"/>
    <n v="370740.51894969901"/>
  </r>
  <r>
    <x v="0"/>
    <x v="0"/>
    <x v="0"/>
    <x v="7"/>
    <x v="13"/>
    <s v="NO3_A1"/>
    <x v="6"/>
    <x v="7"/>
    <s v="GNR_RES_WTR_NOPMP_MC-08"/>
    <x v="0"/>
    <x v="9"/>
    <n v="282.146513660349"/>
    <n v="102983.477486027"/>
    <n v="370740.51894969901"/>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2"/>
    <n v="60.3"/>
    <n v="22009.5"/>
    <n v="79234.2"/>
  </r>
  <r>
    <x v="0"/>
    <x v="0"/>
    <x v="0"/>
    <x v="7"/>
    <x v="13"/>
    <s v="NO3_A1"/>
    <x v="6"/>
    <x v="7"/>
    <s v="GNR_RES_WTR_PMP_MC-01"/>
    <x v="0"/>
    <x v="3"/>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8"/>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2"/>
    <n v="688.97059999822602"/>
    <n v="251474.268999352"/>
    <n v="905307.36839766905"/>
  </r>
  <r>
    <x v="0"/>
    <x v="0"/>
    <x v="0"/>
    <x v="7"/>
    <x v="13"/>
    <s v="NO3_A1"/>
    <x v="6"/>
    <x v="4"/>
    <s v="GNR_ROR_WTR"/>
    <x v="0"/>
    <x v="3"/>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8"/>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0"/>
    <n v="42.407408621679998"/>
    <n v="15478.7041469132"/>
    <n v="55723.334928887503"/>
  </r>
  <r>
    <x v="0"/>
    <x v="0"/>
    <x v="0"/>
    <x v="7"/>
    <x v="13"/>
    <s v="NO3_A1"/>
    <x v="7"/>
    <x v="5"/>
    <s v="GNR_WT_WIND_ONS"/>
    <x v="0"/>
    <x v="1"/>
    <n v="55.434883861048"/>
    <n v="20233.732609282499"/>
    <n v="72841.437393417"/>
  </r>
  <r>
    <x v="0"/>
    <x v="0"/>
    <x v="0"/>
    <x v="7"/>
    <x v="13"/>
    <s v="NO3_A1"/>
    <x v="7"/>
    <x v="5"/>
    <s v="GNR_WT_WIND_ONS"/>
    <x v="0"/>
    <x v="2"/>
    <n v="59.087856686394701"/>
    <n v="21567.067690534099"/>
    <n v="77641.443685922597"/>
  </r>
  <r>
    <x v="0"/>
    <x v="0"/>
    <x v="0"/>
    <x v="7"/>
    <x v="13"/>
    <s v="NO3_A1"/>
    <x v="7"/>
    <x v="5"/>
    <s v="GNR_WT_WIND_ONS"/>
    <x v="0"/>
    <x v="3"/>
    <n v="67.831811775635103"/>
    <n v="24758.6112981068"/>
    <n v="89131.000673184593"/>
  </r>
  <r>
    <x v="0"/>
    <x v="0"/>
    <x v="0"/>
    <x v="7"/>
    <x v="13"/>
    <s v="NO3_A1"/>
    <x v="7"/>
    <x v="5"/>
    <s v="GNR_WT_WIND_ONS"/>
    <x v="0"/>
    <x v="4"/>
    <n v="77.100974162646196"/>
    <n v="28141.8555693659"/>
    <n v="101310.680049717"/>
  </r>
  <r>
    <x v="0"/>
    <x v="0"/>
    <x v="0"/>
    <x v="7"/>
    <x v="13"/>
    <s v="NO3_A1"/>
    <x v="7"/>
    <x v="5"/>
    <s v="GNR_WT_WIND_ONS"/>
    <x v="0"/>
    <x v="5"/>
    <n v="79.251338408944804"/>
    <n v="28926.7385192648"/>
    <n v="104136.258669353"/>
  </r>
  <r>
    <x v="0"/>
    <x v="0"/>
    <x v="0"/>
    <x v="7"/>
    <x v="13"/>
    <s v="NO3_A1"/>
    <x v="7"/>
    <x v="5"/>
    <s v="GNR_WT_WIND_ONS"/>
    <x v="0"/>
    <x v="6"/>
    <n v="55.665187939682802"/>
    <n v="20317.7935979842"/>
    <n v="73144.056952743194"/>
  </r>
  <r>
    <x v="0"/>
    <x v="0"/>
    <x v="0"/>
    <x v="7"/>
    <x v="13"/>
    <s v="NO3_A1"/>
    <x v="7"/>
    <x v="5"/>
    <s v="GNR_WT_WIND_ONS"/>
    <x v="0"/>
    <x v="7"/>
    <n v="63.054053915683099"/>
    <n v="23014.7296792243"/>
    <n v="82853.026845207598"/>
  </r>
  <r>
    <x v="0"/>
    <x v="0"/>
    <x v="0"/>
    <x v="7"/>
    <x v="13"/>
    <s v="NO3_A1"/>
    <x v="7"/>
    <x v="5"/>
    <s v="GNR_WT_WIND_ONS"/>
    <x v="0"/>
    <x v="8"/>
    <n v="93.745431277653196"/>
    <n v="34217.082416343401"/>
    <n v="123181.496698836"/>
  </r>
  <r>
    <x v="0"/>
    <x v="0"/>
    <x v="0"/>
    <x v="7"/>
    <x v="13"/>
    <s v="NO3_A1"/>
    <x v="7"/>
    <x v="5"/>
    <s v="GNR_WT_WIND_ONS"/>
    <x v="0"/>
    <x v="9"/>
    <n v="96.890038724002693"/>
    <n v="35364.864134260999"/>
    <n v="127313.510883339"/>
  </r>
  <r>
    <x v="0"/>
    <x v="0"/>
    <x v="0"/>
    <x v="7"/>
    <x v="13"/>
    <s v="NO3_A1"/>
    <x v="7"/>
    <x v="5"/>
    <s v="GNR_WT_WIND_ONS"/>
    <x v="0"/>
    <x v="10"/>
    <n v="100.156923114872"/>
    <n v="36557.276936928298"/>
    <n v="131606.19697294201"/>
  </r>
  <r>
    <x v="0"/>
    <x v="0"/>
    <x v="0"/>
    <x v="7"/>
    <x v="13"/>
    <s v="NO3_A1"/>
    <x v="7"/>
    <x v="5"/>
    <s v="GNR_WT_WIND_ONS"/>
    <x v="0"/>
    <x v="11"/>
    <n v="108.674170506199"/>
    <n v="39666.072234762498"/>
    <n v="142797.860045145"/>
  </r>
  <r>
    <x v="0"/>
    <x v="0"/>
    <x v="0"/>
    <x v="7"/>
    <x v="13"/>
    <s v="NO3_A1"/>
    <x v="7"/>
    <x v="5"/>
    <s v="GNR_WT_WIND_ONS"/>
    <x v="0"/>
    <x v="12"/>
    <n v="108.618718386853"/>
    <n v="39645.832211201203"/>
    <n v="142724.99596032401"/>
  </r>
  <r>
    <x v="0"/>
    <x v="0"/>
    <x v="0"/>
    <x v="7"/>
    <x v="13"/>
    <s v="NO3_A1"/>
    <x v="7"/>
    <x v="5"/>
    <s v="GNR_WT_WIND_ONS"/>
    <x v="0"/>
    <x v="13"/>
    <n v="161.41765874800399"/>
    <n v="58917.445443021599"/>
    <n v="212102.803594878"/>
  </r>
  <r>
    <x v="0"/>
    <x v="0"/>
    <x v="0"/>
    <x v="7"/>
    <x v="13"/>
    <s v="NO3_A1"/>
    <x v="7"/>
    <x v="5"/>
    <s v="GNR_WT_WIND_ONS"/>
    <x v="0"/>
    <x v="14"/>
    <n v="181.42893892418499"/>
    <n v="66221.562707327597"/>
    <n v="238397.625746379"/>
  </r>
  <r>
    <x v="0"/>
    <x v="0"/>
    <x v="0"/>
    <x v="7"/>
    <x v="13"/>
    <s v="NO3_A1"/>
    <x v="7"/>
    <x v="5"/>
    <s v="GNR_WT_WIND_ONS"/>
    <x v="0"/>
    <x v="15"/>
    <n v="174.38951901305001"/>
    <n v="63652.174439763403"/>
    <n v="229147.82798314799"/>
  </r>
  <r>
    <x v="0"/>
    <x v="0"/>
    <x v="0"/>
    <x v="7"/>
    <x v="13"/>
    <s v="NO3_A1"/>
    <x v="7"/>
    <x v="5"/>
    <s v="GNR_WT_WIND_ONS"/>
    <x v="0"/>
    <x v="16"/>
    <n v="162.25391905003599"/>
    <n v="59222.680453263201"/>
    <n v="213201.64963174699"/>
  </r>
  <r>
    <x v="0"/>
    <x v="0"/>
    <x v="0"/>
    <x v="7"/>
    <x v="13"/>
    <s v="NO3_A1"/>
    <x v="7"/>
    <x v="5"/>
    <s v="GNR_WT_WIND_ONS"/>
    <x v="0"/>
    <x v="17"/>
    <n v="174.71358684414801"/>
    <n v="63770.459198113902"/>
    <n v="229573.65311320999"/>
  </r>
  <r>
    <x v="0"/>
    <x v="0"/>
    <x v="0"/>
    <x v="7"/>
    <x v="13"/>
    <s v="NO3_A1"/>
    <x v="7"/>
    <x v="5"/>
    <s v="GNR_WT_WIND_ONS"/>
    <x v="0"/>
    <x v="18"/>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1"/>
    <x v="0"/>
    <s v="GBPR_MUNIWASTE"/>
    <x v="0"/>
    <x v="0"/>
    <n v="0.16632"/>
    <n v="60.706800000000001"/>
    <n v="218.54447999999999"/>
  </r>
  <r>
    <x v="0"/>
    <x v="0"/>
    <x v="0"/>
    <x v="7"/>
    <x v="14"/>
    <s v="NO4_A1"/>
    <x v="1"/>
    <x v="0"/>
    <s v="GBPR_MUNIWASTE"/>
    <x v="0"/>
    <x v="1"/>
    <n v="0.16632"/>
    <n v="60.706800000000001"/>
    <n v="218.54447999999999"/>
  </r>
  <r>
    <x v="0"/>
    <x v="0"/>
    <x v="0"/>
    <x v="7"/>
    <x v="14"/>
    <s v="NO4_A1"/>
    <x v="1"/>
    <x v="0"/>
    <s v="GBPR_MUNIWASTE"/>
    <x v="0"/>
    <x v="2"/>
    <n v="0.16632"/>
    <n v="60.706800000000001"/>
    <n v="218.54447999999999"/>
  </r>
  <r>
    <x v="0"/>
    <x v="0"/>
    <x v="0"/>
    <x v="7"/>
    <x v="14"/>
    <s v="NO4_A1"/>
    <x v="1"/>
    <x v="0"/>
    <s v="GBPR_MUNIWASTE"/>
    <x v="0"/>
    <x v="3"/>
    <n v="0.16632"/>
    <n v="60.706800000000001"/>
    <n v="218.54447999999999"/>
  </r>
  <r>
    <x v="0"/>
    <x v="0"/>
    <x v="0"/>
    <x v="7"/>
    <x v="14"/>
    <s v="NO4_A1"/>
    <x v="1"/>
    <x v="0"/>
    <s v="GBPR_MUNIWASTE"/>
    <x v="0"/>
    <x v="4"/>
    <n v="0.16632"/>
    <n v="60.706800000000001"/>
    <n v="218.54447999999999"/>
  </r>
  <r>
    <x v="0"/>
    <x v="0"/>
    <x v="0"/>
    <x v="7"/>
    <x v="14"/>
    <s v="NO4_A1"/>
    <x v="1"/>
    <x v="0"/>
    <s v="GBPR_MUNIWASTE"/>
    <x v="0"/>
    <x v="5"/>
    <n v="0.16632"/>
    <n v="60.706800000000001"/>
    <n v="218.54447999999999"/>
  </r>
  <r>
    <x v="0"/>
    <x v="0"/>
    <x v="0"/>
    <x v="7"/>
    <x v="14"/>
    <s v="NO4_A1"/>
    <x v="1"/>
    <x v="0"/>
    <s v="GBPR_MUNIWASTE"/>
    <x v="0"/>
    <x v="6"/>
    <n v="0.16632"/>
    <n v="60.706800000000001"/>
    <n v="218.54447999999999"/>
  </r>
  <r>
    <x v="0"/>
    <x v="0"/>
    <x v="0"/>
    <x v="7"/>
    <x v="14"/>
    <s v="NO4_A1"/>
    <x v="1"/>
    <x v="0"/>
    <s v="GBPR_MUNIWASTE"/>
    <x v="0"/>
    <x v="7"/>
    <n v="0.16632"/>
    <n v="60.706800000000001"/>
    <n v="218.54447999999999"/>
  </r>
  <r>
    <x v="0"/>
    <x v="0"/>
    <x v="0"/>
    <x v="7"/>
    <x v="14"/>
    <s v="NO4_A1"/>
    <x v="1"/>
    <x v="0"/>
    <s v="GBPR_MUNIWASTE"/>
    <x v="0"/>
    <x v="8"/>
    <n v="0.16632"/>
    <n v="60.706800000000001"/>
    <n v="218.54447999999999"/>
  </r>
  <r>
    <x v="0"/>
    <x v="0"/>
    <x v="0"/>
    <x v="7"/>
    <x v="14"/>
    <s v="NO4_A1"/>
    <x v="1"/>
    <x v="0"/>
    <s v="GBPR_MUNIWASTE"/>
    <x v="0"/>
    <x v="9"/>
    <n v="0.16632"/>
    <n v="60.706800000000001"/>
    <n v="218.54447999999999"/>
  </r>
  <r>
    <x v="0"/>
    <x v="0"/>
    <x v="0"/>
    <x v="7"/>
    <x v="14"/>
    <s v="NO4_A1"/>
    <x v="1"/>
    <x v="0"/>
    <s v="GBPR_MUNIWASTE"/>
    <x v="0"/>
    <x v="10"/>
    <n v="0.16632"/>
    <n v="60.706800000000001"/>
    <n v="218.54447999999999"/>
  </r>
  <r>
    <x v="0"/>
    <x v="0"/>
    <x v="0"/>
    <x v="7"/>
    <x v="14"/>
    <s v="NO4_A1"/>
    <x v="1"/>
    <x v="0"/>
    <s v="GBPR_MUNIWASTE"/>
    <x v="0"/>
    <x v="11"/>
    <n v="0.16632"/>
    <n v="60.706800000000001"/>
    <n v="218.54447999999999"/>
  </r>
  <r>
    <x v="0"/>
    <x v="0"/>
    <x v="0"/>
    <x v="7"/>
    <x v="14"/>
    <s v="NO4_A1"/>
    <x v="1"/>
    <x v="0"/>
    <s v="GBPR_MUNIWASTE"/>
    <x v="0"/>
    <x v="12"/>
    <n v="0.16632"/>
    <n v="60.706800000000001"/>
    <n v="218.54447999999999"/>
  </r>
  <r>
    <x v="0"/>
    <x v="0"/>
    <x v="0"/>
    <x v="7"/>
    <x v="14"/>
    <s v="NO4_A1"/>
    <x v="1"/>
    <x v="0"/>
    <s v="GBPR_MUNIWASTE"/>
    <x v="0"/>
    <x v="13"/>
    <n v="0.16632"/>
    <n v="60.706800000000001"/>
    <n v="218.54447999999999"/>
  </r>
  <r>
    <x v="0"/>
    <x v="0"/>
    <x v="0"/>
    <x v="7"/>
    <x v="14"/>
    <s v="NO4_A1"/>
    <x v="1"/>
    <x v="0"/>
    <s v="GBPR_MUNIWASTE"/>
    <x v="0"/>
    <x v="14"/>
    <n v="0.16632"/>
    <n v="60.706800000000001"/>
    <n v="218.54447999999999"/>
  </r>
  <r>
    <x v="0"/>
    <x v="0"/>
    <x v="0"/>
    <x v="7"/>
    <x v="14"/>
    <s v="NO4_A1"/>
    <x v="1"/>
    <x v="0"/>
    <s v="GBPR_MUNIWASTE"/>
    <x v="0"/>
    <x v="15"/>
    <n v="0.16632"/>
    <n v="60.706800000000001"/>
    <n v="218.54447999999999"/>
  </r>
  <r>
    <x v="0"/>
    <x v="0"/>
    <x v="0"/>
    <x v="7"/>
    <x v="14"/>
    <s v="NO4_A1"/>
    <x v="1"/>
    <x v="0"/>
    <s v="GBPR_MUNIWASTE"/>
    <x v="0"/>
    <x v="16"/>
    <n v="0.16632"/>
    <n v="60.706800000000001"/>
    <n v="218.54447999999999"/>
  </r>
  <r>
    <x v="0"/>
    <x v="0"/>
    <x v="0"/>
    <x v="7"/>
    <x v="14"/>
    <s v="NO4_A1"/>
    <x v="1"/>
    <x v="0"/>
    <s v="GBPR_MUNIWASTE"/>
    <x v="0"/>
    <x v="17"/>
    <n v="0.16632"/>
    <n v="60.706800000000001"/>
    <n v="218.54447999999999"/>
  </r>
  <r>
    <x v="0"/>
    <x v="0"/>
    <x v="0"/>
    <x v="7"/>
    <x v="14"/>
    <s v="NO4_A1"/>
    <x v="1"/>
    <x v="0"/>
    <s v="GBPR_MUNIWASTE"/>
    <x v="0"/>
    <x v="18"/>
    <n v="0.16632"/>
    <n v="60.706800000000001"/>
    <n v="218.54447999999999"/>
  </r>
  <r>
    <x v="0"/>
    <x v="0"/>
    <x v="0"/>
    <x v="7"/>
    <x v="14"/>
    <s v="NO4_A1"/>
    <x v="1"/>
    <x v="0"/>
    <s v="GBPR_MUNIWASTE"/>
    <x v="0"/>
    <x v="19"/>
    <n v="0.16632"/>
    <n v="60.706800000000001"/>
    <n v="218.54447999999999"/>
  </r>
  <r>
    <x v="0"/>
    <x v="0"/>
    <x v="0"/>
    <x v="7"/>
    <x v="14"/>
    <s v="NO4_A1"/>
    <x v="1"/>
    <x v="0"/>
    <s v="GBPR_MUNIWASTE"/>
    <x v="0"/>
    <x v="20"/>
    <n v="0.16632"/>
    <n v="60.706800000000001"/>
    <n v="218.54447999999999"/>
  </r>
  <r>
    <x v="0"/>
    <x v="0"/>
    <x v="0"/>
    <x v="7"/>
    <x v="14"/>
    <s v="NO4_A1"/>
    <x v="1"/>
    <x v="0"/>
    <s v="GBPR_MUNIWASTE"/>
    <x v="0"/>
    <x v="21"/>
    <n v="0.16632"/>
    <n v="60.706800000000001"/>
    <n v="218.54447999999999"/>
  </r>
  <r>
    <x v="0"/>
    <x v="0"/>
    <x v="0"/>
    <x v="7"/>
    <x v="14"/>
    <s v="NO4_A1"/>
    <x v="1"/>
    <x v="0"/>
    <s v="GBPR_MUNIWASTE"/>
    <x v="0"/>
    <x v="22"/>
    <n v="0.16632"/>
    <n v="60.706800000000001"/>
    <n v="218.54447999999999"/>
  </r>
  <r>
    <x v="0"/>
    <x v="0"/>
    <x v="0"/>
    <x v="7"/>
    <x v="14"/>
    <s v="NO4_A1"/>
    <x v="1"/>
    <x v="0"/>
    <s v="GBPR_MUNIWASTE"/>
    <x v="0"/>
    <x v="23"/>
    <n v="0.16632"/>
    <n v="60.706800000000001"/>
    <n v="218.54447999999999"/>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3"/>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181.95053308983799"/>
    <n v="66411.944577790797"/>
    <n v="239083.00048004699"/>
  </r>
  <r>
    <x v="0"/>
    <x v="0"/>
    <x v="0"/>
    <x v="7"/>
    <x v="14"/>
    <s v="NO4_A1"/>
    <x v="6"/>
    <x v="7"/>
    <s v="GNR_RES_WTR_NOPMP_MC-05"/>
    <x v="0"/>
    <x v="2"/>
    <n v="109.63377708717201"/>
    <n v="40016.328636817801"/>
    <n v="144058.78309254401"/>
  </r>
  <r>
    <x v="0"/>
    <x v="0"/>
    <x v="0"/>
    <x v="7"/>
    <x v="14"/>
    <s v="NO4_A1"/>
    <x v="6"/>
    <x v="7"/>
    <s v="GNR_RES_WTR_NOPMP_MC-05"/>
    <x v="0"/>
    <x v="3"/>
    <n v="248.60659734063299"/>
    <n v="90741.408029331098"/>
    <n v="326669.06890559202"/>
  </r>
  <r>
    <x v="0"/>
    <x v="0"/>
    <x v="0"/>
    <x v="7"/>
    <x v="14"/>
    <s v="NO4_A1"/>
    <x v="6"/>
    <x v="7"/>
    <s v="GNR_RES_WTR_NOPMP_MC-05"/>
    <x v="0"/>
    <x v="4"/>
    <n v="419.56363678000798"/>
    <n v="153140.72742470301"/>
    <n v="551306.61872893095"/>
  </r>
  <r>
    <x v="0"/>
    <x v="0"/>
    <x v="0"/>
    <x v="7"/>
    <x v="14"/>
    <s v="NO4_A1"/>
    <x v="6"/>
    <x v="7"/>
    <s v="GNR_RES_WTR_NOPMP_MC-05"/>
    <x v="0"/>
    <x v="5"/>
    <n v="419.56363678000798"/>
    <n v="153140.72742470301"/>
    <n v="551306.61872893095"/>
  </r>
  <r>
    <x v="0"/>
    <x v="0"/>
    <x v="0"/>
    <x v="7"/>
    <x v="14"/>
    <s v="NO4_A1"/>
    <x v="6"/>
    <x v="7"/>
    <s v="GNR_RES_WTR_NOPMP_MC-05"/>
    <x v="0"/>
    <x v="6"/>
    <n v="419.56363678000798"/>
    <n v="153140.72742470301"/>
    <n v="551306.61872893095"/>
  </r>
  <r>
    <x v="0"/>
    <x v="0"/>
    <x v="0"/>
    <x v="7"/>
    <x v="14"/>
    <s v="NO4_A1"/>
    <x v="6"/>
    <x v="7"/>
    <s v="GNR_RES_WTR_NOPMP_MC-05"/>
    <x v="0"/>
    <x v="7"/>
    <n v="419.56363678000798"/>
    <n v="153140.72742470301"/>
    <n v="551306.61872893095"/>
  </r>
  <r>
    <x v="0"/>
    <x v="0"/>
    <x v="0"/>
    <x v="7"/>
    <x v="14"/>
    <s v="NO4_A1"/>
    <x v="6"/>
    <x v="7"/>
    <s v="GNR_RES_WTR_NOPMP_MC-05"/>
    <x v="0"/>
    <x v="8"/>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419.56363678000798"/>
    <n v="153140.72742470301"/>
    <n v="551306.61872893095"/>
  </r>
  <r>
    <x v="0"/>
    <x v="0"/>
    <x v="0"/>
    <x v="7"/>
    <x v="14"/>
    <s v="NO4_A1"/>
    <x v="6"/>
    <x v="7"/>
    <s v="GNR_RES_WTR_NOPMP_MC-05"/>
    <x v="0"/>
    <x v="22"/>
    <n v="419.56363678000798"/>
    <n v="153140.72742470301"/>
    <n v="551306.61872893095"/>
  </r>
  <r>
    <x v="0"/>
    <x v="0"/>
    <x v="0"/>
    <x v="7"/>
    <x v="14"/>
    <s v="NO4_A1"/>
    <x v="6"/>
    <x v="7"/>
    <s v="GNR_RES_WTR_NOPMP_MC-05"/>
    <x v="0"/>
    <x v="23"/>
    <n v="419.56363678000798"/>
    <n v="153140.72742470301"/>
    <n v="551306.61872893095"/>
  </r>
  <r>
    <x v="0"/>
    <x v="0"/>
    <x v="0"/>
    <x v="7"/>
    <x v="14"/>
    <s v="NO4_A1"/>
    <x v="6"/>
    <x v="7"/>
    <s v="GNR_RES_WTR_NOPMP_MC-06"/>
    <x v="0"/>
    <x v="0"/>
    <n v="66.337560287060001"/>
    <n v="24213.2095047769"/>
    <n v="87167.554217196797"/>
  </r>
  <r>
    <x v="0"/>
    <x v="0"/>
    <x v="0"/>
    <x v="7"/>
    <x v="14"/>
    <s v="NO4_A1"/>
    <x v="6"/>
    <x v="7"/>
    <s v="GNR_RES_WTR_NOPMP_MC-06"/>
    <x v="0"/>
    <x v="4"/>
    <n v="144.50033824733799"/>
    <n v="52742.623460278199"/>
    <n v="189873.44445700201"/>
  </r>
  <r>
    <x v="0"/>
    <x v="0"/>
    <x v="0"/>
    <x v="7"/>
    <x v="14"/>
    <s v="NO4_A1"/>
    <x v="6"/>
    <x v="7"/>
    <s v="GNR_RES_WTR_NOPMP_MC-06"/>
    <x v="0"/>
    <x v="5"/>
    <n v="202.11556943965499"/>
    <n v="73772.182845474206"/>
    <n v="265579.85824370699"/>
  </r>
  <r>
    <x v="0"/>
    <x v="0"/>
    <x v="0"/>
    <x v="7"/>
    <x v="14"/>
    <s v="NO4_A1"/>
    <x v="6"/>
    <x v="7"/>
    <s v="GNR_RES_WTR_NOPMP_MC-06"/>
    <x v="0"/>
    <x v="6"/>
    <n v="286.86455408034999"/>
    <n v="104705.56223932801"/>
    <n v="376940.02406157902"/>
  </r>
  <r>
    <x v="0"/>
    <x v="0"/>
    <x v="0"/>
    <x v="7"/>
    <x v="14"/>
    <s v="NO4_A1"/>
    <x v="6"/>
    <x v="7"/>
    <s v="GNR_RES_WTR_NOPMP_MC-06"/>
    <x v="0"/>
    <x v="7"/>
    <n v="414.64758852495601"/>
    <n v="151346.36981160901"/>
    <n v="544846.93132179196"/>
  </r>
  <r>
    <x v="0"/>
    <x v="0"/>
    <x v="0"/>
    <x v="7"/>
    <x v="14"/>
    <s v="NO4_A1"/>
    <x v="6"/>
    <x v="7"/>
    <s v="GNR_RES_WTR_NOPMP_MC-06"/>
    <x v="0"/>
    <x v="8"/>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8"/>
    <n v="397.74515777773797"/>
    <n v="145176.982588874"/>
    <n v="522637.137319948"/>
  </r>
  <r>
    <x v="0"/>
    <x v="0"/>
    <x v="0"/>
    <x v="7"/>
    <x v="14"/>
    <s v="NO4_A1"/>
    <x v="6"/>
    <x v="7"/>
    <s v="GNR_RES_WTR_NOPMP_MC-06"/>
    <x v="0"/>
    <x v="19"/>
    <n v="402.74981604643699"/>
    <n v="147003.68285695001"/>
    <n v="529213.25828501803"/>
  </r>
  <r>
    <x v="0"/>
    <x v="0"/>
    <x v="0"/>
    <x v="7"/>
    <x v="14"/>
    <s v="NO4_A1"/>
    <x v="6"/>
    <x v="7"/>
    <s v="GNR_RES_WTR_NOPMP_MC-06"/>
    <x v="0"/>
    <x v="20"/>
    <n v="419.56363678000798"/>
    <n v="153140.72742470301"/>
    <n v="551306.61872893095"/>
  </r>
  <r>
    <x v="0"/>
    <x v="0"/>
    <x v="0"/>
    <x v="7"/>
    <x v="14"/>
    <s v="NO4_A1"/>
    <x v="6"/>
    <x v="7"/>
    <s v="GNR_RES_WTR_NOPMP_MC-06"/>
    <x v="0"/>
    <x v="21"/>
    <n v="390.50907823282103"/>
    <n v="142535.81355498001"/>
    <n v="513128.928797926"/>
  </r>
  <r>
    <x v="0"/>
    <x v="0"/>
    <x v="0"/>
    <x v="7"/>
    <x v="14"/>
    <s v="NO4_A1"/>
    <x v="6"/>
    <x v="7"/>
    <s v="GNR_RES_WTR_NOPMP_MC-06"/>
    <x v="0"/>
    <x v="22"/>
    <n v="251.77680990505101"/>
    <n v="91898.535615343499"/>
    <n v="330834.72821523697"/>
  </r>
  <r>
    <x v="0"/>
    <x v="0"/>
    <x v="0"/>
    <x v="7"/>
    <x v="14"/>
    <s v="NO4_A1"/>
    <x v="6"/>
    <x v="7"/>
    <s v="GNR_RES_WTR_NOPMP_MC-06"/>
    <x v="0"/>
    <x v="23"/>
    <n v="242.60312249071899"/>
    <n v="88550.139709112496"/>
    <n v="318780.50295280502"/>
  </r>
  <r>
    <x v="0"/>
    <x v="0"/>
    <x v="0"/>
    <x v="7"/>
    <x v="14"/>
    <s v="NO4_A1"/>
    <x v="6"/>
    <x v="7"/>
    <s v="GNR_RES_WTR_NOPMP_MC-07"/>
    <x v="0"/>
    <x v="8"/>
    <n v="120.496616660344"/>
    <n v="43981.265081025696"/>
    <n v="158332.554291693"/>
  </r>
  <r>
    <x v="0"/>
    <x v="0"/>
    <x v="0"/>
    <x v="7"/>
    <x v="14"/>
    <s v="NO4_A1"/>
    <x v="6"/>
    <x v="7"/>
    <s v="GNR_RES_WTR_NOPMP_MC-07"/>
    <x v="0"/>
    <x v="9"/>
    <n v="122.28072132459"/>
    <n v="44632.463283475401"/>
    <n v="160676.86782051099"/>
  </r>
  <r>
    <x v="0"/>
    <x v="0"/>
    <x v="0"/>
    <x v="7"/>
    <x v="14"/>
    <s v="NO4_A1"/>
    <x v="6"/>
    <x v="7"/>
    <s v="GNR_RES_WTR_NOPMP_MC-07"/>
    <x v="0"/>
    <x v="10"/>
    <n v="69.237550967969597"/>
    <n v="25271.706103308901"/>
    <n v="90978.141971912002"/>
  </r>
  <r>
    <x v="0"/>
    <x v="0"/>
    <x v="0"/>
    <x v="7"/>
    <x v="14"/>
    <s v="NO4_A1"/>
    <x v="6"/>
    <x v="7"/>
    <s v="GNR_RES_WTR_NOPMP_MC-07"/>
    <x v="0"/>
    <x v="11"/>
    <n v="42.429555415594201"/>
    <n v="15486.7877266919"/>
    <n v="55752.435816090801"/>
  </r>
  <r>
    <x v="0"/>
    <x v="0"/>
    <x v="0"/>
    <x v="7"/>
    <x v="14"/>
    <s v="NO4_A1"/>
    <x v="6"/>
    <x v="7"/>
    <s v="GNR_RES_WTR_NOPMP_MC-07"/>
    <x v="0"/>
    <x v="12"/>
    <n v="34.557638083605298"/>
    <n v="12613.537900515899"/>
    <n v="45408.7364418574"/>
  </r>
  <r>
    <x v="0"/>
    <x v="0"/>
    <x v="0"/>
    <x v="7"/>
    <x v="14"/>
    <s v="NO4_A1"/>
    <x v="6"/>
    <x v="7"/>
    <s v="GNR_RES_WTR_NOPMP_MC-07"/>
    <x v="0"/>
    <x v="13"/>
    <n v="53.541939471896498"/>
    <n v="19542.807907242201"/>
    <n v="70354.108466071993"/>
  </r>
  <r>
    <x v="0"/>
    <x v="0"/>
    <x v="0"/>
    <x v="7"/>
    <x v="14"/>
    <s v="NO4_A1"/>
    <x v="6"/>
    <x v="7"/>
    <s v="GNR_RES_WTR_NOPMP_MC-07"/>
    <x v="0"/>
    <x v="14"/>
    <n v="50.452043080412103"/>
    <n v="18414.9957243504"/>
    <n v="66293.984607661405"/>
  </r>
  <r>
    <x v="0"/>
    <x v="0"/>
    <x v="0"/>
    <x v="7"/>
    <x v="14"/>
    <s v="NO4_A1"/>
    <x v="6"/>
    <x v="7"/>
    <s v="GNR_RES_WTR_NOPMP_MC-07"/>
    <x v="0"/>
    <x v="15"/>
    <n v="90.043643833558207"/>
    <n v="32865.929999248801"/>
    <n v="118317.347997296"/>
  </r>
  <r>
    <x v="0"/>
    <x v="0"/>
    <x v="0"/>
    <x v="7"/>
    <x v="14"/>
    <s v="NO4_A1"/>
    <x v="6"/>
    <x v="7"/>
    <s v="GNR_RES_WTR_NOPMP_MC-07"/>
    <x v="0"/>
    <x v="16"/>
    <n v="70.221441641948999"/>
    <n v="25630.826199311399"/>
    <n v="92270.974317521002"/>
  </r>
  <r>
    <x v="0"/>
    <x v="0"/>
    <x v="0"/>
    <x v="7"/>
    <x v="14"/>
    <s v="NO4_A1"/>
    <x v="6"/>
    <x v="7"/>
    <s v="GNR_RES_WTR_NOPMP_MC-07"/>
    <x v="0"/>
    <x v="17"/>
    <n v="29.943492712398701"/>
    <n v="10929.374840025501"/>
    <n v="39345.749424091897"/>
  </r>
  <r>
    <x v="0"/>
    <x v="0"/>
    <x v="0"/>
    <x v="7"/>
    <x v="14"/>
    <s v="NO4_A1"/>
    <x v="6"/>
    <x v="7"/>
    <s v="GNR_RES_WTR_NOPMP_MC-07"/>
    <x v="0"/>
    <x v="20"/>
    <n v="2.98857550575485"/>
    <n v="1090.8300596005199"/>
    <n v="3926.9882145618799"/>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2"/>
    <n v="366.70762376241902"/>
    <n v="133848.28267328301"/>
    <n v="481853.81762381899"/>
  </r>
  <r>
    <x v="0"/>
    <x v="0"/>
    <x v="0"/>
    <x v="7"/>
    <x v="14"/>
    <s v="NO4_A1"/>
    <x v="6"/>
    <x v="4"/>
    <s v="GNR_ROR_WTR"/>
    <x v="0"/>
    <x v="3"/>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8"/>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0"/>
    <n v="24.637221848266801"/>
    <n v="8992.5859746173701"/>
    <n v="32373.3095086225"/>
  </r>
  <r>
    <x v="0"/>
    <x v="0"/>
    <x v="0"/>
    <x v="7"/>
    <x v="14"/>
    <s v="NO4_A1"/>
    <x v="7"/>
    <x v="5"/>
    <s v="GNR_WT_WIND_ONS"/>
    <x v="0"/>
    <x v="1"/>
    <n v="44.268222672135103"/>
    <n v="16157.901275329299"/>
    <n v="58168.4445911855"/>
  </r>
  <r>
    <x v="0"/>
    <x v="0"/>
    <x v="0"/>
    <x v="7"/>
    <x v="14"/>
    <s v="NO4_A1"/>
    <x v="7"/>
    <x v="5"/>
    <s v="GNR_WT_WIND_ONS"/>
    <x v="0"/>
    <x v="2"/>
    <n v="47.737199532540401"/>
    <n v="17424.077829377198"/>
    <n v="62726.680185758101"/>
  </r>
  <r>
    <x v="0"/>
    <x v="0"/>
    <x v="0"/>
    <x v="7"/>
    <x v="14"/>
    <s v="NO4_A1"/>
    <x v="7"/>
    <x v="5"/>
    <s v="GNR_WT_WIND_ONS"/>
    <x v="0"/>
    <x v="3"/>
    <n v="56.439331088370103"/>
    <n v="20600.355847255101"/>
    <n v="74161.281050118399"/>
  </r>
  <r>
    <x v="0"/>
    <x v="0"/>
    <x v="0"/>
    <x v="7"/>
    <x v="14"/>
    <s v="NO4_A1"/>
    <x v="7"/>
    <x v="5"/>
    <s v="GNR_WT_WIND_ONS"/>
    <x v="0"/>
    <x v="4"/>
    <n v="54.715549196856799"/>
    <n v="19971.175456852699"/>
    <n v="71896.231644669897"/>
  </r>
  <r>
    <x v="0"/>
    <x v="0"/>
    <x v="0"/>
    <x v="7"/>
    <x v="14"/>
    <s v="NO4_A1"/>
    <x v="7"/>
    <x v="5"/>
    <s v="GNR_WT_WIND_ONS"/>
    <x v="0"/>
    <x v="5"/>
    <n v="70.370703727425095"/>
    <n v="25685.306860510202"/>
    <n v="92467.104697836505"/>
  </r>
  <r>
    <x v="0"/>
    <x v="0"/>
    <x v="0"/>
    <x v="7"/>
    <x v="14"/>
    <s v="NO4_A1"/>
    <x v="7"/>
    <x v="5"/>
    <s v="GNR_WT_WIND_ONS"/>
    <x v="0"/>
    <x v="6"/>
    <n v="84.703263416542299"/>
    <n v="30916.691147037898"/>
    <n v="111300.088129337"/>
  </r>
  <r>
    <x v="0"/>
    <x v="0"/>
    <x v="0"/>
    <x v="7"/>
    <x v="14"/>
    <s v="NO4_A1"/>
    <x v="7"/>
    <x v="5"/>
    <s v="GNR_WT_WIND_ONS"/>
    <x v="0"/>
    <x v="7"/>
    <n v="107.62409051559899"/>
    <n v="39282.793038193697"/>
    <n v="141418.05493749701"/>
  </r>
  <r>
    <x v="0"/>
    <x v="0"/>
    <x v="0"/>
    <x v="7"/>
    <x v="14"/>
    <s v="NO4_A1"/>
    <x v="7"/>
    <x v="5"/>
    <s v="GNR_WT_WIND_ONS"/>
    <x v="0"/>
    <x v="8"/>
    <n v="102.941038439049"/>
    <n v="37573.479030252798"/>
    <n v="135264.52450890999"/>
  </r>
  <r>
    <x v="0"/>
    <x v="0"/>
    <x v="0"/>
    <x v="7"/>
    <x v="14"/>
    <s v="NO4_A1"/>
    <x v="7"/>
    <x v="5"/>
    <s v="GNR_WT_WIND_ONS"/>
    <x v="0"/>
    <x v="9"/>
    <n v="106.985259911851"/>
    <n v="39049.619867825597"/>
    <n v="140578.631524172"/>
  </r>
  <r>
    <x v="0"/>
    <x v="0"/>
    <x v="0"/>
    <x v="7"/>
    <x v="14"/>
    <s v="NO4_A1"/>
    <x v="7"/>
    <x v="5"/>
    <s v="GNR_WT_WIND_ONS"/>
    <x v="0"/>
    <x v="10"/>
    <n v="108.40611305461999"/>
    <n v="39568.231264936199"/>
    <n v="142445.63255377"/>
  </r>
  <r>
    <x v="0"/>
    <x v="0"/>
    <x v="0"/>
    <x v="7"/>
    <x v="14"/>
    <s v="NO4_A1"/>
    <x v="7"/>
    <x v="5"/>
    <s v="GNR_WT_WIND_ONS"/>
    <x v="0"/>
    <x v="11"/>
    <n v="99.411533765130798"/>
    <n v="36285.209824272803"/>
    <n v="130626.75536738199"/>
  </r>
  <r>
    <x v="0"/>
    <x v="0"/>
    <x v="0"/>
    <x v="7"/>
    <x v="14"/>
    <s v="NO4_A1"/>
    <x v="7"/>
    <x v="5"/>
    <s v="GNR_WT_WIND_ONS"/>
    <x v="0"/>
    <x v="12"/>
    <n v="98.957270901337296"/>
    <n v="36119.403878988101"/>
    <n v="130029.853964357"/>
  </r>
  <r>
    <x v="0"/>
    <x v="0"/>
    <x v="0"/>
    <x v="7"/>
    <x v="14"/>
    <s v="NO4_A1"/>
    <x v="7"/>
    <x v="5"/>
    <s v="GNR_WT_WIND_ONS"/>
    <x v="0"/>
    <x v="13"/>
    <n v="107.449364159128"/>
    <n v="39219.017918081801"/>
    <n v="141188.46450509501"/>
  </r>
  <r>
    <x v="0"/>
    <x v="0"/>
    <x v="0"/>
    <x v="7"/>
    <x v="14"/>
    <s v="NO4_A1"/>
    <x v="7"/>
    <x v="5"/>
    <s v="GNR_WT_WIND_ONS"/>
    <x v="0"/>
    <x v="14"/>
    <n v="123.028530844287"/>
    <n v="44905.413758164701"/>
    <n v="161659.489529393"/>
  </r>
  <r>
    <x v="0"/>
    <x v="0"/>
    <x v="0"/>
    <x v="7"/>
    <x v="14"/>
    <s v="NO4_A1"/>
    <x v="7"/>
    <x v="5"/>
    <s v="GNR_WT_WIND_ONS"/>
    <x v="0"/>
    <x v="15"/>
    <n v="126.733067109209"/>
    <n v="46257.5694948612"/>
    <n v="166527.25018150001"/>
  </r>
  <r>
    <x v="0"/>
    <x v="0"/>
    <x v="0"/>
    <x v="7"/>
    <x v="14"/>
    <s v="NO4_A1"/>
    <x v="7"/>
    <x v="5"/>
    <s v="GNR_WT_WIND_ONS"/>
    <x v="0"/>
    <x v="16"/>
    <n v="124.907200791783"/>
    <n v="45591.128289000902"/>
    <n v="164128.06184040301"/>
  </r>
  <r>
    <x v="0"/>
    <x v="0"/>
    <x v="0"/>
    <x v="7"/>
    <x v="14"/>
    <s v="NO4_A1"/>
    <x v="7"/>
    <x v="5"/>
    <s v="GNR_WT_WIND_ONS"/>
    <x v="0"/>
    <x v="17"/>
    <n v="110.23236042917"/>
    <n v="40234.811556646899"/>
    <n v="144845.32160392901"/>
  </r>
  <r>
    <x v="0"/>
    <x v="0"/>
    <x v="0"/>
    <x v="7"/>
    <x v="14"/>
    <s v="NO4_A1"/>
    <x v="7"/>
    <x v="5"/>
    <s v="GNR_WT_WIND_ONS"/>
    <x v="0"/>
    <x v="18"/>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12"/>
    <x v="6"/>
    <s v="GETOH_HEATPUMP"/>
    <x v="0"/>
    <x v="0"/>
    <n v="-0.27777777777777801"/>
    <n v="-101.388888888889"/>
    <n v="-365"/>
  </r>
  <r>
    <x v="0"/>
    <x v="0"/>
    <x v="0"/>
    <x v="7"/>
    <x v="15"/>
    <s v="NO5_A1"/>
    <x v="12"/>
    <x v="6"/>
    <s v="GETOH_HEATPUMP"/>
    <x v="0"/>
    <x v="1"/>
    <n v="-0.27777777777777801"/>
    <n v="-101.388888888889"/>
    <n v="-365"/>
  </r>
  <r>
    <x v="0"/>
    <x v="0"/>
    <x v="0"/>
    <x v="7"/>
    <x v="15"/>
    <s v="NO5_A1"/>
    <x v="12"/>
    <x v="6"/>
    <s v="GETOH_HEATPUMP"/>
    <x v="0"/>
    <x v="2"/>
    <n v="-0.27777777777777801"/>
    <n v="-101.388888888889"/>
    <n v="-365"/>
  </r>
  <r>
    <x v="0"/>
    <x v="0"/>
    <x v="0"/>
    <x v="7"/>
    <x v="15"/>
    <s v="NO5_A1"/>
    <x v="12"/>
    <x v="6"/>
    <s v="GETOH_HEATPUMP"/>
    <x v="0"/>
    <x v="3"/>
    <n v="-0.27777777777777801"/>
    <n v="-101.388888888889"/>
    <n v="-365"/>
  </r>
  <r>
    <x v="0"/>
    <x v="0"/>
    <x v="0"/>
    <x v="7"/>
    <x v="15"/>
    <s v="NO5_A1"/>
    <x v="12"/>
    <x v="6"/>
    <s v="GETOH_HEATPUMP"/>
    <x v="0"/>
    <x v="4"/>
    <n v="-0.27777777777777801"/>
    <n v="-101.388888888889"/>
    <n v="-365"/>
  </r>
  <r>
    <x v="0"/>
    <x v="0"/>
    <x v="0"/>
    <x v="7"/>
    <x v="15"/>
    <s v="NO5_A1"/>
    <x v="12"/>
    <x v="6"/>
    <s v="GETOH_HEATPUMP"/>
    <x v="0"/>
    <x v="5"/>
    <n v="-0.27777777777777801"/>
    <n v="-101.388888888889"/>
    <n v="-365"/>
  </r>
  <r>
    <x v="0"/>
    <x v="0"/>
    <x v="0"/>
    <x v="7"/>
    <x v="15"/>
    <s v="NO5_A1"/>
    <x v="12"/>
    <x v="6"/>
    <s v="GETOH_HEATPUMP"/>
    <x v="0"/>
    <x v="6"/>
    <n v="-0.27777777777777801"/>
    <n v="-101.388888888889"/>
    <n v="-365"/>
  </r>
  <r>
    <x v="0"/>
    <x v="0"/>
    <x v="0"/>
    <x v="7"/>
    <x v="15"/>
    <s v="NO5_A1"/>
    <x v="12"/>
    <x v="6"/>
    <s v="GETOH_HEATPUMP"/>
    <x v="0"/>
    <x v="7"/>
    <n v="-0.27777777777777801"/>
    <n v="-101.388888888889"/>
    <n v="-365"/>
  </r>
  <r>
    <x v="0"/>
    <x v="0"/>
    <x v="0"/>
    <x v="7"/>
    <x v="15"/>
    <s v="NO5_A1"/>
    <x v="12"/>
    <x v="6"/>
    <s v="GETOH_HEATPUMP"/>
    <x v="0"/>
    <x v="8"/>
    <n v="-0.27777777777777801"/>
    <n v="-101.388888888889"/>
    <n v="-365"/>
  </r>
  <r>
    <x v="0"/>
    <x v="0"/>
    <x v="0"/>
    <x v="7"/>
    <x v="15"/>
    <s v="NO5_A1"/>
    <x v="12"/>
    <x v="6"/>
    <s v="GETOH_HEATPUMP"/>
    <x v="0"/>
    <x v="9"/>
    <n v="-0.27777777777777801"/>
    <n v="-101.388888888889"/>
    <n v="-365"/>
  </r>
  <r>
    <x v="0"/>
    <x v="0"/>
    <x v="0"/>
    <x v="7"/>
    <x v="15"/>
    <s v="NO5_A1"/>
    <x v="12"/>
    <x v="6"/>
    <s v="GETOH_HEATPUMP"/>
    <x v="0"/>
    <x v="10"/>
    <n v="-0.27777777777777801"/>
    <n v="-101.388888888889"/>
    <n v="-365"/>
  </r>
  <r>
    <x v="0"/>
    <x v="0"/>
    <x v="0"/>
    <x v="7"/>
    <x v="15"/>
    <s v="NO5_A1"/>
    <x v="12"/>
    <x v="6"/>
    <s v="GETOH_HEATPUMP"/>
    <x v="0"/>
    <x v="11"/>
    <n v="-0.27777777777777801"/>
    <n v="-101.388888888889"/>
    <n v="-365"/>
  </r>
  <r>
    <x v="0"/>
    <x v="0"/>
    <x v="0"/>
    <x v="7"/>
    <x v="15"/>
    <s v="NO5_A1"/>
    <x v="12"/>
    <x v="6"/>
    <s v="GETOH_HEATPUMP"/>
    <x v="0"/>
    <x v="12"/>
    <n v="-0.27777777777777801"/>
    <n v="-101.388888888889"/>
    <n v="-365"/>
  </r>
  <r>
    <x v="0"/>
    <x v="0"/>
    <x v="0"/>
    <x v="7"/>
    <x v="15"/>
    <s v="NO5_A1"/>
    <x v="12"/>
    <x v="6"/>
    <s v="GETOH_HEATPUMP"/>
    <x v="0"/>
    <x v="13"/>
    <n v="-0.27777777777777801"/>
    <n v="-101.388888888889"/>
    <n v="-365"/>
  </r>
  <r>
    <x v="0"/>
    <x v="0"/>
    <x v="0"/>
    <x v="7"/>
    <x v="15"/>
    <s v="NO5_A1"/>
    <x v="12"/>
    <x v="6"/>
    <s v="GETOH_HEATPUMP"/>
    <x v="0"/>
    <x v="14"/>
    <n v="-0.27777777777777801"/>
    <n v="-101.388888888889"/>
    <n v="-365"/>
  </r>
  <r>
    <x v="0"/>
    <x v="0"/>
    <x v="0"/>
    <x v="7"/>
    <x v="15"/>
    <s v="NO5_A1"/>
    <x v="12"/>
    <x v="6"/>
    <s v="GETOH_HEATPUMP"/>
    <x v="0"/>
    <x v="15"/>
    <n v="-0.27777777777777801"/>
    <n v="-101.388888888889"/>
    <n v="-365"/>
  </r>
  <r>
    <x v="0"/>
    <x v="0"/>
    <x v="0"/>
    <x v="7"/>
    <x v="15"/>
    <s v="NO5_A1"/>
    <x v="12"/>
    <x v="6"/>
    <s v="GETOH_HEATPUMP"/>
    <x v="0"/>
    <x v="16"/>
    <n v="-0.27777777777777801"/>
    <n v="-101.388888888889"/>
    <n v="-365"/>
  </r>
  <r>
    <x v="0"/>
    <x v="0"/>
    <x v="0"/>
    <x v="7"/>
    <x v="15"/>
    <s v="NO5_A1"/>
    <x v="12"/>
    <x v="6"/>
    <s v="GETOH_HEATPUMP"/>
    <x v="0"/>
    <x v="17"/>
    <n v="-0.27777777777777801"/>
    <n v="-101.388888888889"/>
    <n v="-365"/>
  </r>
  <r>
    <x v="0"/>
    <x v="0"/>
    <x v="0"/>
    <x v="7"/>
    <x v="15"/>
    <s v="NO5_A1"/>
    <x v="12"/>
    <x v="6"/>
    <s v="GETOH_HEATPUMP"/>
    <x v="0"/>
    <x v="18"/>
    <n v="-0.27777777777777801"/>
    <n v="-101.388888888889"/>
    <n v="-365"/>
  </r>
  <r>
    <x v="0"/>
    <x v="0"/>
    <x v="0"/>
    <x v="7"/>
    <x v="15"/>
    <s v="NO5_A1"/>
    <x v="12"/>
    <x v="6"/>
    <s v="GETOH_HEATPUMP"/>
    <x v="0"/>
    <x v="19"/>
    <n v="-0.27777777777777801"/>
    <n v="-101.388888888889"/>
    <n v="-365"/>
  </r>
  <r>
    <x v="0"/>
    <x v="0"/>
    <x v="0"/>
    <x v="7"/>
    <x v="15"/>
    <s v="NO5_A1"/>
    <x v="12"/>
    <x v="6"/>
    <s v="GETOH_HEATPUMP"/>
    <x v="0"/>
    <x v="20"/>
    <n v="-0.27777777777777801"/>
    <n v="-101.388888888889"/>
    <n v="-365"/>
  </r>
  <r>
    <x v="0"/>
    <x v="0"/>
    <x v="0"/>
    <x v="7"/>
    <x v="15"/>
    <s v="NO5_A1"/>
    <x v="12"/>
    <x v="6"/>
    <s v="GETOH_HEATPUMP"/>
    <x v="0"/>
    <x v="21"/>
    <n v="-0.27777777777777801"/>
    <n v="-101.388888888889"/>
    <n v="-365"/>
  </r>
  <r>
    <x v="0"/>
    <x v="0"/>
    <x v="0"/>
    <x v="7"/>
    <x v="15"/>
    <s v="NO5_A1"/>
    <x v="12"/>
    <x v="6"/>
    <s v="GETOH_HEATPUMP"/>
    <x v="0"/>
    <x v="22"/>
    <n v="-0.27777777777777801"/>
    <n v="-101.388888888889"/>
    <n v="-365"/>
  </r>
  <r>
    <x v="0"/>
    <x v="0"/>
    <x v="0"/>
    <x v="7"/>
    <x v="15"/>
    <s v="NO5_A1"/>
    <x v="12"/>
    <x v="6"/>
    <s v="GETOH_HEATPUMP"/>
    <x v="0"/>
    <x v="23"/>
    <n v="-0.27777777777777801"/>
    <n v="-101.388888888889"/>
    <n v="-365"/>
  </r>
  <r>
    <x v="0"/>
    <x v="0"/>
    <x v="0"/>
    <x v="7"/>
    <x v="15"/>
    <s v="NO5_A1"/>
    <x v="1"/>
    <x v="0"/>
    <s v="GBPR_MUNIWASTE"/>
    <x v="0"/>
    <x v="0"/>
    <n v="8"/>
    <n v="2920"/>
    <n v="10512"/>
  </r>
  <r>
    <x v="0"/>
    <x v="0"/>
    <x v="0"/>
    <x v="7"/>
    <x v="15"/>
    <s v="NO5_A1"/>
    <x v="1"/>
    <x v="0"/>
    <s v="GBPR_MUNIWASTE"/>
    <x v="0"/>
    <x v="1"/>
    <n v="8"/>
    <n v="2920"/>
    <n v="10512"/>
  </r>
  <r>
    <x v="0"/>
    <x v="0"/>
    <x v="0"/>
    <x v="7"/>
    <x v="15"/>
    <s v="NO5_A1"/>
    <x v="1"/>
    <x v="0"/>
    <s v="GBPR_MUNIWASTE"/>
    <x v="0"/>
    <x v="2"/>
    <n v="8"/>
    <n v="2920"/>
    <n v="10512"/>
  </r>
  <r>
    <x v="0"/>
    <x v="0"/>
    <x v="0"/>
    <x v="7"/>
    <x v="15"/>
    <s v="NO5_A1"/>
    <x v="1"/>
    <x v="0"/>
    <s v="GBPR_MUNIWASTE"/>
    <x v="0"/>
    <x v="3"/>
    <n v="8"/>
    <n v="2920"/>
    <n v="10512"/>
  </r>
  <r>
    <x v="0"/>
    <x v="0"/>
    <x v="0"/>
    <x v="7"/>
    <x v="15"/>
    <s v="NO5_A1"/>
    <x v="1"/>
    <x v="0"/>
    <s v="GBPR_MUNIWASTE"/>
    <x v="0"/>
    <x v="4"/>
    <n v="8"/>
    <n v="2920"/>
    <n v="10512"/>
  </r>
  <r>
    <x v="0"/>
    <x v="0"/>
    <x v="0"/>
    <x v="7"/>
    <x v="15"/>
    <s v="NO5_A1"/>
    <x v="1"/>
    <x v="0"/>
    <s v="GBPR_MUNIWASTE"/>
    <x v="0"/>
    <x v="5"/>
    <n v="8"/>
    <n v="2920"/>
    <n v="10512"/>
  </r>
  <r>
    <x v="0"/>
    <x v="0"/>
    <x v="0"/>
    <x v="7"/>
    <x v="15"/>
    <s v="NO5_A1"/>
    <x v="1"/>
    <x v="0"/>
    <s v="GBPR_MUNIWASTE"/>
    <x v="0"/>
    <x v="6"/>
    <n v="8"/>
    <n v="2920"/>
    <n v="10512"/>
  </r>
  <r>
    <x v="0"/>
    <x v="0"/>
    <x v="0"/>
    <x v="7"/>
    <x v="15"/>
    <s v="NO5_A1"/>
    <x v="1"/>
    <x v="0"/>
    <s v="GBPR_MUNIWASTE"/>
    <x v="0"/>
    <x v="7"/>
    <n v="8"/>
    <n v="2920"/>
    <n v="10512"/>
  </r>
  <r>
    <x v="0"/>
    <x v="0"/>
    <x v="0"/>
    <x v="7"/>
    <x v="15"/>
    <s v="NO5_A1"/>
    <x v="1"/>
    <x v="0"/>
    <s v="GBPR_MUNIWASTE"/>
    <x v="0"/>
    <x v="8"/>
    <n v="8"/>
    <n v="2920"/>
    <n v="10512"/>
  </r>
  <r>
    <x v="0"/>
    <x v="0"/>
    <x v="0"/>
    <x v="7"/>
    <x v="15"/>
    <s v="NO5_A1"/>
    <x v="1"/>
    <x v="0"/>
    <s v="GBPR_MUNIWASTE"/>
    <x v="0"/>
    <x v="9"/>
    <n v="8"/>
    <n v="2920"/>
    <n v="10512"/>
  </r>
  <r>
    <x v="0"/>
    <x v="0"/>
    <x v="0"/>
    <x v="7"/>
    <x v="15"/>
    <s v="NO5_A1"/>
    <x v="1"/>
    <x v="0"/>
    <s v="GBPR_MUNIWASTE"/>
    <x v="0"/>
    <x v="10"/>
    <n v="8"/>
    <n v="2920"/>
    <n v="10512"/>
  </r>
  <r>
    <x v="0"/>
    <x v="0"/>
    <x v="0"/>
    <x v="7"/>
    <x v="15"/>
    <s v="NO5_A1"/>
    <x v="1"/>
    <x v="0"/>
    <s v="GBPR_MUNIWASTE"/>
    <x v="0"/>
    <x v="11"/>
    <n v="8"/>
    <n v="2920"/>
    <n v="10512"/>
  </r>
  <r>
    <x v="0"/>
    <x v="0"/>
    <x v="0"/>
    <x v="7"/>
    <x v="15"/>
    <s v="NO5_A1"/>
    <x v="1"/>
    <x v="0"/>
    <s v="GBPR_MUNIWASTE"/>
    <x v="0"/>
    <x v="12"/>
    <n v="8"/>
    <n v="2920"/>
    <n v="10512"/>
  </r>
  <r>
    <x v="0"/>
    <x v="0"/>
    <x v="0"/>
    <x v="7"/>
    <x v="15"/>
    <s v="NO5_A1"/>
    <x v="1"/>
    <x v="0"/>
    <s v="GBPR_MUNIWASTE"/>
    <x v="0"/>
    <x v="13"/>
    <n v="8"/>
    <n v="2920"/>
    <n v="10512"/>
  </r>
  <r>
    <x v="0"/>
    <x v="0"/>
    <x v="0"/>
    <x v="7"/>
    <x v="15"/>
    <s v="NO5_A1"/>
    <x v="1"/>
    <x v="0"/>
    <s v="GBPR_MUNIWASTE"/>
    <x v="0"/>
    <x v="14"/>
    <n v="8"/>
    <n v="2920"/>
    <n v="10512"/>
  </r>
  <r>
    <x v="0"/>
    <x v="0"/>
    <x v="0"/>
    <x v="7"/>
    <x v="15"/>
    <s v="NO5_A1"/>
    <x v="1"/>
    <x v="0"/>
    <s v="GBPR_MUNIWASTE"/>
    <x v="0"/>
    <x v="15"/>
    <n v="8"/>
    <n v="2920"/>
    <n v="10512"/>
  </r>
  <r>
    <x v="0"/>
    <x v="0"/>
    <x v="0"/>
    <x v="7"/>
    <x v="15"/>
    <s v="NO5_A1"/>
    <x v="1"/>
    <x v="0"/>
    <s v="GBPR_MUNIWASTE"/>
    <x v="0"/>
    <x v="16"/>
    <n v="8"/>
    <n v="2920"/>
    <n v="10512"/>
  </r>
  <r>
    <x v="0"/>
    <x v="0"/>
    <x v="0"/>
    <x v="7"/>
    <x v="15"/>
    <s v="NO5_A1"/>
    <x v="1"/>
    <x v="0"/>
    <s v="GBPR_MUNIWASTE"/>
    <x v="0"/>
    <x v="17"/>
    <n v="8"/>
    <n v="2920"/>
    <n v="10512"/>
  </r>
  <r>
    <x v="0"/>
    <x v="0"/>
    <x v="0"/>
    <x v="7"/>
    <x v="15"/>
    <s v="NO5_A1"/>
    <x v="1"/>
    <x v="0"/>
    <s v="GBPR_MUNIWASTE"/>
    <x v="0"/>
    <x v="18"/>
    <n v="8"/>
    <n v="2920"/>
    <n v="10512"/>
  </r>
  <r>
    <x v="0"/>
    <x v="0"/>
    <x v="0"/>
    <x v="7"/>
    <x v="15"/>
    <s v="NO5_A1"/>
    <x v="1"/>
    <x v="0"/>
    <s v="GBPR_MUNIWASTE"/>
    <x v="0"/>
    <x v="19"/>
    <n v="8"/>
    <n v="2920"/>
    <n v="10512"/>
  </r>
  <r>
    <x v="0"/>
    <x v="0"/>
    <x v="0"/>
    <x v="7"/>
    <x v="15"/>
    <s v="NO5_A1"/>
    <x v="1"/>
    <x v="0"/>
    <s v="GBPR_MUNIWASTE"/>
    <x v="0"/>
    <x v="20"/>
    <n v="8"/>
    <n v="2920"/>
    <n v="10512"/>
  </r>
  <r>
    <x v="0"/>
    <x v="0"/>
    <x v="0"/>
    <x v="7"/>
    <x v="15"/>
    <s v="NO5_A1"/>
    <x v="1"/>
    <x v="0"/>
    <s v="GBPR_MUNIWASTE"/>
    <x v="0"/>
    <x v="21"/>
    <n v="8"/>
    <n v="2920"/>
    <n v="10512"/>
  </r>
  <r>
    <x v="0"/>
    <x v="0"/>
    <x v="0"/>
    <x v="7"/>
    <x v="15"/>
    <s v="NO5_A1"/>
    <x v="1"/>
    <x v="0"/>
    <s v="GBPR_MUNIWASTE"/>
    <x v="0"/>
    <x v="22"/>
    <n v="8"/>
    <n v="2920"/>
    <n v="10512"/>
  </r>
  <r>
    <x v="0"/>
    <x v="0"/>
    <x v="0"/>
    <x v="7"/>
    <x v="15"/>
    <s v="NO5_A1"/>
    <x v="1"/>
    <x v="0"/>
    <s v="GBPR_MUNIWASTE"/>
    <x v="0"/>
    <x v="23"/>
    <n v="8"/>
    <n v="2920"/>
    <n v="10512"/>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3"/>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3"/>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0"/>
    <n v="317.036705651104"/>
    <n v="115718.397562653"/>
    <n v="416586.23122555099"/>
  </r>
  <r>
    <x v="0"/>
    <x v="0"/>
    <x v="0"/>
    <x v="7"/>
    <x v="15"/>
    <s v="NO5_A1"/>
    <x v="6"/>
    <x v="7"/>
    <s v="GNR_RES_WTR_NOPMP_MC-05"/>
    <x v="0"/>
    <x v="1"/>
    <n v="274.29378355475399"/>
    <n v="100117.23099748501"/>
    <n v="360422.03159094602"/>
  </r>
  <r>
    <x v="0"/>
    <x v="0"/>
    <x v="0"/>
    <x v="7"/>
    <x v="15"/>
    <s v="NO5_A1"/>
    <x v="6"/>
    <x v="7"/>
    <s v="GNR_RES_WTR_NOPMP_MC-05"/>
    <x v="0"/>
    <x v="2"/>
    <n v="258.21711652673798"/>
    <n v="94249.247532259396"/>
    <n v="339297.29111613397"/>
  </r>
  <r>
    <x v="0"/>
    <x v="0"/>
    <x v="0"/>
    <x v="7"/>
    <x v="15"/>
    <s v="NO5_A1"/>
    <x v="6"/>
    <x v="7"/>
    <s v="GNR_RES_WTR_NOPMP_MC-05"/>
    <x v="0"/>
    <x v="3"/>
    <n v="272.42827262900602"/>
    <n v="99436.319509587105"/>
    <n v="357970.75023451401"/>
  </r>
  <r>
    <x v="0"/>
    <x v="0"/>
    <x v="0"/>
    <x v="7"/>
    <x v="15"/>
    <s v="NO5_A1"/>
    <x v="6"/>
    <x v="7"/>
    <s v="GNR_RES_WTR_NOPMP_MC-05"/>
    <x v="0"/>
    <x v="4"/>
    <n v="302.66920442933502"/>
    <n v="110474.259616707"/>
    <n v="397707.33462014602"/>
  </r>
  <r>
    <x v="0"/>
    <x v="0"/>
    <x v="0"/>
    <x v="7"/>
    <x v="15"/>
    <s v="NO5_A1"/>
    <x v="6"/>
    <x v="7"/>
    <s v="GNR_RES_WTR_NOPMP_MC-05"/>
    <x v="0"/>
    <x v="5"/>
    <n v="364.81334250630402"/>
    <n v="133156.87001480101"/>
    <n v="479364.73205328302"/>
  </r>
  <r>
    <x v="0"/>
    <x v="0"/>
    <x v="0"/>
    <x v="7"/>
    <x v="15"/>
    <s v="NO5_A1"/>
    <x v="6"/>
    <x v="7"/>
    <s v="GNR_RES_WTR_NOPMP_MC-05"/>
    <x v="0"/>
    <x v="6"/>
    <n v="475.88260353387199"/>
    <n v="173697.150289863"/>
    <n v="625309.74104350805"/>
  </r>
  <r>
    <x v="0"/>
    <x v="0"/>
    <x v="0"/>
    <x v="7"/>
    <x v="15"/>
    <s v="NO5_A1"/>
    <x v="6"/>
    <x v="7"/>
    <s v="GNR_RES_WTR_NOPMP_MC-05"/>
    <x v="0"/>
    <x v="7"/>
    <n v="598.193241885916"/>
    <n v="218340.533288359"/>
    <n v="786025.91983809404"/>
  </r>
  <r>
    <x v="0"/>
    <x v="0"/>
    <x v="0"/>
    <x v="7"/>
    <x v="15"/>
    <s v="NO5_A1"/>
    <x v="6"/>
    <x v="7"/>
    <s v="GNR_RES_WTR_NOPMP_MC-05"/>
    <x v="0"/>
    <x v="8"/>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98.193241885916"/>
    <n v="218340.533288359"/>
    <n v="786025.91983809404"/>
  </r>
  <r>
    <x v="0"/>
    <x v="0"/>
    <x v="0"/>
    <x v="7"/>
    <x v="15"/>
    <s v="NO5_A1"/>
    <x v="6"/>
    <x v="7"/>
    <s v="GNR_RES_WTR_NOPMP_MC-05"/>
    <x v="0"/>
    <x v="17"/>
    <n v="585.74295431398696"/>
    <n v="213796.17832460499"/>
    <n v="769666.24196857901"/>
  </r>
  <r>
    <x v="0"/>
    <x v="0"/>
    <x v="0"/>
    <x v="7"/>
    <x v="15"/>
    <s v="NO5_A1"/>
    <x v="6"/>
    <x v="7"/>
    <s v="GNR_RES_WTR_NOPMP_MC-05"/>
    <x v="0"/>
    <x v="18"/>
    <n v="567.87894891996598"/>
    <n v="207275.81635578701"/>
    <n v="746192.93888083496"/>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702"/>
  </r>
  <r>
    <x v="0"/>
    <x v="0"/>
    <x v="0"/>
    <x v="7"/>
    <x v="15"/>
    <s v="NO5_A1"/>
    <x v="6"/>
    <x v="7"/>
    <s v="GNR_RES_WTR_NOPMP_MC-05"/>
    <x v="0"/>
    <x v="21"/>
    <n v="478.61833797763802"/>
    <n v="174695.693361838"/>
    <n v="628904.49610261596"/>
  </r>
  <r>
    <x v="0"/>
    <x v="0"/>
    <x v="0"/>
    <x v="7"/>
    <x v="15"/>
    <s v="NO5_A1"/>
    <x v="6"/>
    <x v="7"/>
    <s v="GNR_RES_WTR_NOPMP_MC-05"/>
    <x v="0"/>
    <x v="22"/>
    <n v="435.882716869224"/>
    <n v="159097.19165726699"/>
    <n v="572749.88996616099"/>
  </r>
  <r>
    <x v="0"/>
    <x v="0"/>
    <x v="0"/>
    <x v="7"/>
    <x v="15"/>
    <s v="NO5_A1"/>
    <x v="6"/>
    <x v="7"/>
    <s v="GNR_RES_WTR_NOPMP_MC-05"/>
    <x v="0"/>
    <x v="23"/>
    <n v="362.43926690953498"/>
    <n v="132290.33242198001"/>
    <n v="476245.19671912899"/>
  </r>
  <r>
    <x v="0"/>
    <x v="0"/>
    <x v="0"/>
    <x v="7"/>
    <x v="15"/>
    <s v="NO5_A1"/>
    <x v="6"/>
    <x v="7"/>
    <s v="GNR_RES_WTR_NOPMP_MC-06"/>
    <x v="0"/>
    <x v="7"/>
    <n v="33.753702910762499"/>
    <n v="12320.101562428301"/>
    <n v="44352.365624741899"/>
  </r>
  <r>
    <x v="0"/>
    <x v="0"/>
    <x v="0"/>
    <x v="7"/>
    <x v="15"/>
    <s v="NO5_A1"/>
    <x v="6"/>
    <x v="7"/>
    <s v="GNR_RES_WTR_NOPMP_MC-06"/>
    <x v="0"/>
    <x v="8"/>
    <n v="98.463697489904007"/>
    <n v="35939.249583814999"/>
    <n v="129381.298501734"/>
  </r>
  <r>
    <x v="0"/>
    <x v="0"/>
    <x v="0"/>
    <x v="7"/>
    <x v="15"/>
    <s v="NO5_A1"/>
    <x v="6"/>
    <x v="7"/>
    <s v="GNR_RES_WTR_NOPMP_MC-06"/>
    <x v="0"/>
    <x v="9"/>
    <n v="76.317368799525894"/>
    <n v="27855.839611826901"/>
    <n v="100281.022602577"/>
  </r>
  <r>
    <x v="0"/>
    <x v="0"/>
    <x v="0"/>
    <x v="7"/>
    <x v="15"/>
    <s v="NO5_A1"/>
    <x v="6"/>
    <x v="7"/>
    <s v="GNR_RES_WTR_NOPMP_MC-06"/>
    <x v="0"/>
    <x v="10"/>
    <n v="56.805690905077398"/>
    <n v="20734.077180353299"/>
    <n v="74642.677849271699"/>
  </r>
  <r>
    <x v="0"/>
    <x v="0"/>
    <x v="0"/>
    <x v="7"/>
    <x v="15"/>
    <s v="NO5_A1"/>
    <x v="6"/>
    <x v="7"/>
    <s v="GNR_RES_WTR_NOPMP_MC-06"/>
    <x v="0"/>
    <x v="11"/>
    <n v="45.211437191042002"/>
    <n v="16502.174574730299"/>
    <n v="59407.828469029198"/>
  </r>
  <r>
    <x v="0"/>
    <x v="0"/>
    <x v="0"/>
    <x v="7"/>
    <x v="15"/>
    <s v="NO5_A1"/>
    <x v="6"/>
    <x v="7"/>
    <s v="GNR_RES_WTR_NOPMP_MC-06"/>
    <x v="0"/>
    <x v="12"/>
    <n v="19.667610698190401"/>
    <n v="7178.6779048395001"/>
    <n v="25843.240457422198"/>
  </r>
  <r>
    <x v="0"/>
    <x v="0"/>
    <x v="0"/>
    <x v="7"/>
    <x v="15"/>
    <s v="NO5_A1"/>
    <x v="6"/>
    <x v="7"/>
    <s v="GNR_RES_WTR_NOPMP_MC-06"/>
    <x v="0"/>
    <x v="13"/>
    <n v="20.018822125435701"/>
    <n v="7306.8700757840297"/>
    <n v="26304.732272822501"/>
  </r>
  <r>
    <x v="0"/>
    <x v="0"/>
    <x v="0"/>
    <x v="7"/>
    <x v="15"/>
    <s v="NO5_A1"/>
    <x v="6"/>
    <x v="7"/>
    <s v="GNR_RES_WTR_NOPMP_MC-06"/>
    <x v="0"/>
    <x v="14"/>
    <n v="12.834032875527599"/>
    <n v="4684.4219995675603"/>
    <n v="16863.9191984432"/>
  </r>
  <r>
    <x v="0"/>
    <x v="0"/>
    <x v="0"/>
    <x v="7"/>
    <x v="15"/>
    <s v="NO5_A1"/>
    <x v="6"/>
    <x v="7"/>
    <s v="GNR_RES_WTR_NOPMP_MC-06"/>
    <x v="0"/>
    <x v="15"/>
    <n v="6.6184735134238499"/>
    <n v="2415.7428323997101"/>
    <n v="8696.67419663894"/>
  </r>
  <r>
    <x v="0"/>
    <x v="0"/>
    <x v="0"/>
    <x v="7"/>
    <x v="15"/>
    <s v="NO5_A1"/>
    <x v="6"/>
    <x v="7"/>
    <s v="GNR_RES_WTR_NOPMP_MC-06"/>
    <x v="0"/>
    <x v="16"/>
    <n v="23.279800494162401"/>
    <n v="8497.1271803692707"/>
    <n v="30589.6578493294"/>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2"/>
    <n v="444"/>
    <n v="162060"/>
    <n v="583416"/>
  </r>
  <r>
    <x v="0"/>
    <x v="0"/>
    <x v="0"/>
    <x v="7"/>
    <x v="15"/>
    <s v="NO5_A1"/>
    <x v="6"/>
    <x v="7"/>
    <s v="GNR_RES_WTR_PMP_MC-01"/>
    <x v="0"/>
    <x v="3"/>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8"/>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2"/>
    <n v="1077.1597801871801"/>
    <n v="393163.31976832001"/>
    <n v="1415387.9511659499"/>
  </r>
  <r>
    <x v="0"/>
    <x v="0"/>
    <x v="0"/>
    <x v="7"/>
    <x v="15"/>
    <s v="NO5_A1"/>
    <x v="6"/>
    <x v="4"/>
    <s v="GNR_ROR_WTR"/>
    <x v="0"/>
    <x v="3"/>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8"/>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0"/>
    <x v="2"/>
    <s v="GNR_ST_BGAS_CND_E-37"/>
    <x v="0"/>
    <x v="0"/>
    <n v="364"/>
    <n v="132860"/>
    <n v="478296"/>
  </r>
  <r>
    <x v="0"/>
    <x v="0"/>
    <x v="0"/>
    <x v="8"/>
    <x v="16"/>
    <s v="PL_A"/>
    <x v="0"/>
    <x v="2"/>
    <s v="GNR_ST_BGAS_CND_E-37"/>
    <x v="0"/>
    <x v="1"/>
    <n v="364"/>
    <n v="132860"/>
    <n v="478296"/>
  </r>
  <r>
    <x v="0"/>
    <x v="0"/>
    <x v="0"/>
    <x v="8"/>
    <x v="16"/>
    <s v="PL_A"/>
    <x v="0"/>
    <x v="2"/>
    <s v="GNR_ST_BGAS_CND_E-37"/>
    <x v="0"/>
    <x v="2"/>
    <n v="364"/>
    <n v="132860"/>
    <n v="478296"/>
  </r>
  <r>
    <x v="0"/>
    <x v="0"/>
    <x v="0"/>
    <x v="8"/>
    <x v="16"/>
    <s v="PL_A"/>
    <x v="0"/>
    <x v="2"/>
    <s v="GNR_ST_BGAS_CND_E-37"/>
    <x v="0"/>
    <x v="3"/>
    <n v="364"/>
    <n v="132860"/>
    <n v="478296"/>
  </r>
  <r>
    <x v="0"/>
    <x v="0"/>
    <x v="0"/>
    <x v="8"/>
    <x v="16"/>
    <s v="PL_A"/>
    <x v="0"/>
    <x v="2"/>
    <s v="GNR_ST_BGAS_CND_E-37"/>
    <x v="0"/>
    <x v="4"/>
    <n v="364"/>
    <n v="132860"/>
    <n v="478296"/>
  </r>
  <r>
    <x v="0"/>
    <x v="0"/>
    <x v="0"/>
    <x v="8"/>
    <x v="16"/>
    <s v="PL_A"/>
    <x v="0"/>
    <x v="2"/>
    <s v="GNR_ST_BGAS_CND_E-37"/>
    <x v="0"/>
    <x v="5"/>
    <n v="364"/>
    <n v="132860"/>
    <n v="478296"/>
  </r>
  <r>
    <x v="0"/>
    <x v="0"/>
    <x v="0"/>
    <x v="8"/>
    <x v="16"/>
    <s v="PL_A"/>
    <x v="0"/>
    <x v="2"/>
    <s v="GNR_ST_BGAS_CND_E-37"/>
    <x v="0"/>
    <x v="6"/>
    <n v="364"/>
    <n v="132860"/>
    <n v="478296"/>
  </r>
  <r>
    <x v="0"/>
    <x v="0"/>
    <x v="0"/>
    <x v="8"/>
    <x v="16"/>
    <s v="PL_A"/>
    <x v="0"/>
    <x v="2"/>
    <s v="GNR_ST_BGAS_CND_E-37"/>
    <x v="0"/>
    <x v="7"/>
    <n v="364"/>
    <n v="132860"/>
    <n v="478296"/>
  </r>
  <r>
    <x v="0"/>
    <x v="0"/>
    <x v="0"/>
    <x v="8"/>
    <x v="16"/>
    <s v="PL_A"/>
    <x v="0"/>
    <x v="2"/>
    <s v="GNR_ST_BGAS_CND_E-37"/>
    <x v="0"/>
    <x v="8"/>
    <n v="364"/>
    <n v="132860"/>
    <n v="478296"/>
  </r>
  <r>
    <x v="0"/>
    <x v="0"/>
    <x v="0"/>
    <x v="8"/>
    <x v="16"/>
    <s v="PL_A"/>
    <x v="0"/>
    <x v="2"/>
    <s v="GNR_ST_BGAS_CND_E-37"/>
    <x v="0"/>
    <x v="9"/>
    <n v="364"/>
    <n v="132860"/>
    <n v="478296"/>
  </r>
  <r>
    <x v="0"/>
    <x v="0"/>
    <x v="0"/>
    <x v="8"/>
    <x v="16"/>
    <s v="PL_A"/>
    <x v="0"/>
    <x v="2"/>
    <s v="GNR_ST_BGAS_CND_E-37"/>
    <x v="0"/>
    <x v="10"/>
    <n v="364"/>
    <n v="132860"/>
    <n v="478296"/>
  </r>
  <r>
    <x v="0"/>
    <x v="0"/>
    <x v="0"/>
    <x v="8"/>
    <x v="16"/>
    <s v="PL_A"/>
    <x v="0"/>
    <x v="2"/>
    <s v="GNR_ST_BGAS_CND_E-37"/>
    <x v="0"/>
    <x v="11"/>
    <n v="364"/>
    <n v="132860"/>
    <n v="478296"/>
  </r>
  <r>
    <x v="0"/>
    <x v="0"/>
    <x v="0"/>
    <x v="8"/>
    <x v="16"/>
    <s v="PL_A"/>
    <x v="0"/>
    <x v="2"/>
    <s v="GNR_ST_BGAS_CND_E-37"/>
    <x v="0"/>
    <x v="12"/>
    <n v="364"/>
    <n v="132860"/>
    <n v="478296"/>
  </r>
  <r>
    <x v="0"/>
    <x v="0"/>
    <x v="0"/>
    <x v="8"/>
    <x v="16"/>
    <s v="PL_A"/>
    <x v="0"/>
    <x v="2"/>
    <s v="GNR_ST_BGAS_CND_E-37"/>
    <x v="0"/>
    <x v="13"/>
    <n v="364"/>
    <n v="132860"/>
    <n v="478296"/>
  </r>
  <r>
    <x v="0"/>
    <x v="0"/>
    <x v="0"/>
    <x v="8"/>
    <x v="16"/>
    <s v="PL_A"/>
    <x v="0"/>
    <x v="2"/>
    <s v="GNR_ST_BGAS_CND_E-37"/>
    <x v="0"/>
    <x v="14"/>
    <n v="364"/>
    <n v="132860"/>
    <n v="478296"/>
  </r>
  <r>
    <x v="0"/>
    <x v="0"/>
    <x v="0"/>
    <x v="8"/>
    <x v="16"/>
    <s v="PL_A"/>
    <x v="0"/>
    <x v="2"/>
    <s v="GNR_ST_BGAS_CND_E-37"/>
    <x v="0"/>
    <x v="15"/>
    <n v="364"/>
    <n v="132860"/>
    <n v="478296"/>
  </r>
  <r>
    <x v="0"/>
    <x v="0"/>
    <x v="0"/>
    <x v="8"/>
    <x v="16"/>
    <s v="PL_A"/>
    <x v="0"/>
    <x v="2"/>
    <s v="GNR_ST_BGAS_CND_E-37"/>
    <x v="0"/>
    <x v="16"/>
    <n v="364"/>
    <n v="132860"/>
    <n v="478296"/>
  </r>
  <r>
    <x v="0"/>
    <x v="0"/>
    <x v="0"/>
    <x v="8"/>
    <x v="16"/>
    <s v="PL_A"/>
    <x v="0"/>
    <x v="2"/>
    <s v="GNR_ST_BGAS_CND_E-37"/>
    <x v="0"/>
    <x v="17"/>
    <n v="364"/>
    <n v="132860"/>
    <n v="478296"/>
  </r>
  <r>
    <x v="0"/>
    <x v="0"/>
    <x v="0"/>
    <x v="8"/>
    <x v="16"/>
    <s v="PL_A"/>
    <x v="0"/>
    <x v="2"/>
    <s v="GNR_ST_BGAS_CND_E-37"/>
    <x v="0"/>
    <x v="18"/>
    <n v="364"/>
    <n v="132860"/>
    <n v="478296"/>
  </r>
  <r>
    <x v="0"/>
    <x v="0"/>
    <x v="0"/>
    <x v="8"/>
    <x v="16"/>
    <s v="PL_A"/>
    <x v="0"/>
    <x v="2"/>
    <s v="GNR_ST_BGAS_CND_E-37"/>
    <x v="0"/>
    <x v="19"/>
    <n v="364"/>
    <n v="132860"/>
    <n v="478296"/>
  </r>
  <r>
    <x v="0"/>
    <x v="0"/>
    <x v="0"/>
    <x v="8"/>
    <x v="16"/>
    <s v="PL_A"/>
    <x v="0"/>
    <x v="2"/>
    <s v="GNR_ST_BGAS_CND_E-37"/>
    <x v="0"/>
    <x v="20"/>
    <n v="364"/>
    <n v="132860"/>
    <n v="478296"/>
  </r>
  <r>
    <x v="0"/>
    <x v="0"/>
    <x v="0"/>
    <x v="8"/>
    <x v="16"/>
    <s v="PL_A"/>
    <x v="0"/>
    <x v="2"/>
    <s v="GNR_ST_BGAS_CND_E-37"/>
    <x v="0"/>
    <x v="21"/>
    <n v="364"/>
    <n v="132860"/>
    <n v="478296"/>
  </r>
  <r>
    <x v="0"/>
    <x v="0"/>
    <x v="0"/>
    <x v="8"/>
    <x v="16"/>
    <s v="PL_A"/>
    <x v="0"/>
    <x v="2"/>
    <s v="GNR_ST_BGAS_CND_E-37"/>
    <x v="0"/>
    <x v="22"/>
    <n v="364"/>
    <n v="132860"/>
    <n v="478296"/>
  </r>
  <r>
    <x v="0"/>
    <x v="0"/>
    <x v="0"/>
    <x v="8"/>
    <x v="16"/>
    <s v="PL_A"/>
    <x v="0"/>
    <x v="2"/>
    <s v="GNR_ST_BGAS_CND_E-37"/>
    <x v="0"/>
    <x v="23"/>
    <n v="364"/>
    <n v="132860"/>
    <n v="478296"/>
  </r>
  <r>
    <x v="0"/>
    <x v="0"/>
    <x v="0"/>
    <x v="8"/>
    <x v="16"/>
    <s v="PL_A"/>
    <x v="1"/>
    <x v="1"/>
    <s v="GNR_ST_MSW_BP_E-15"/>
    <x v="0"/>
    <x v="0"/>
    <n v="34"/>
    <n v="12410"/>
    <n v="44676"/>
  </r>
  <r>
    <x v="0"/>
    <x v="0"/>
    <x v="0"/>
    <x v="8"/>
    <x v="16"/>
    <s v="PL_A"/>
    <x v="1"/>
    <x v="1"/>
    <s v="GNR_ST_MSW_BP_E-15"/>
    <x v="0"/>
    <x v="1"/>
    <n v="34"/>
    <n v="12410"/>
    <n v="44676"/>
  </r>
  <r>
    <x v="0"/>
    <x v="0"/>
    <x v="0"/>
    <x v="8"/>
    <x v="16"/>
    <s v="PL_A"/>
    <x v="1"/>
    <x v="1"/>
    <s v="GNR_ST_MSW_BP_E-15"/>
    <x v="0"/>
    <x v="2"/>
    <n v="34"/>
    <n v="12410"/>
    <n v="44676"/>
  </r>
  <r>
    <x v="0"/>
    <x v="0"/>
    <x v="0"/>
    <x v="8"/>
    <x v="16"/>
    <s v="PL_A"/>
    <x v="1"/>
    <x v="1"/>
    <s v="GNR_ST_MSW_BP_E-15"/>
    <x v="0"/>
    <x v="3"/>
    <n v="34"/>
    <n v="12410"/>
    <n v="44676"/>
  </r>
  <r>
    <x v="0"/>
    <x v="0"/>
    <x v="0"/>
    <x v="8"/>
    <x v="16"/>
    <s v="PL_A"/>
    <x v="1"/>
    <x v="1"/>
    <s v="GNR_ST_MSW_BP_E-15"/>
    <x v="0"/>
    <x v="4"/>
    <n v="34"/>
    <n v="12410"/>
    <n v="44676"/>
  </r>
  <r>
    <x v="0"/>
    <x v="0"/>
    <x v="0"/>
    <x v="8"/>
    <x v="16"/>
    <s v="PL_A"/>
    <x v="1"/>
    <x v="1"/>
    <s v="GNR_ST_MSW_BP_E-15"/>
    <x v="0"/>
    <x v="5"/>
    <n v="34"/>
    <n v="12410"/>
    <n v="44676"/>
  </r>
  <r>
    <x v="0"/>
    <x v="0"/>
    <x v="0"/>
    <x v="8"/>
    <x v="16"/>
    <s v="PL_A"/>
    <x v="1"/>
    <x v="1"/>
    <s v="GNR_ST_MSW_BP_E-15"/>
    <x v="0"/>
    <x v="6"/>
    <n v="34"/>
    <n v="12410"/>
    <n v="44676"/>
  </r>
  <r>
    <x v="0"/>
    <x v="0"/>
    <x v="0"/>
    <x v="8"/>
    <x v="16"/>
    <s v="PL_A"/>
    <x v="1"/>
    <x v="1"/>
    <s v="GNR_ST_MSW_BP_E-15"/>
    <x v="0"/>
    <x v="7"/>
    <n v="34"/>
    <n v="12410"/>
    <n v="44676"/>
  </r>
  <r>
    <x v="0"/>
    <x v="0"/>
    <x v="0"/>
    <x v="8"/>
    <x v="16"/>
    <s v="PL_A"/>
    <x v="1"/>
    <x v="1"/>
    <s v="GNR_ST_MSW_BP_E-15"/>
    <x v="0"/>
    <x v="8"/>
    <n v="34"/>
    <n v="12410"/>
    <n v="44676"/>
  </r>
  <r>
    <x v="0"/>
    <x v="0"/>
    <x v="0"/>
    <x v="8"/>
    <x v="16"/>
    <s v="PL_A"/>
    <x v="1"/>
    <x v="1"/>
    <s v="GNR_ST_MSW_BP_E-15"/>
    <x v="0"/>
    <x v="9"/>
    <n v="34"/>
    <n v="12410"/>
    <n v="44676"/>
  </r>
  <r>
    <x v="0"/>
    <x v="0"/>
    <x v="0"/>
    <x v="8"/>
    <x v="16"/>
    <s v="PL_A"/>
    <x v="1"/>
    <x v="1"/>
    <s v="GNR_ST_MSW_BP_E-15"/>
    <x v="0"/>
    <x v="10"/>
    <n v="34"/>
    <n v="12410"/>
    <n v="44676"/>
  </r>
  <r>
    <x v="0"/>
    <x v="0"/>
    <x v="0"/>
    <x v="8"/>
    <x v="16"/>
    <s v="PL_A"/>
    <x v="1"/>
    <x v="1"/>
    <s v="GNR_ST_MSW_BP_E-15"/>
    <x v="0"/>
    <x v="11"/>
    <n v="34"/>
    <n v="12410"/>
    <n v="44676"/>
  </r>
  <r>
    <x v="0"/>
    <x v="0"/>
    <x v="0"/>
    <x v="8"/>
    <x v="16"/>
    <s v="PL_A"/>
    <x v="1"/>
    <x v="1"/>
    <s v="GNR_ST_MSW_BP_E-15"/>
    <x v="0"/>
    <x v="12"/>
    <n v="34"/>
    <n v="12410"/>
    <n v="44676"/>
  </r>
  <r>
    <x v="0"/>
    <x v="0"/>
    <x v="0"/>
    <x v="8"/>
    <x v="16"/>
    <s v="PL_A"/>
    <x v="1"/>
    <x v="1"/>
    <s v="GNR_ST_MSW_BP_E-15"/>
    <x v="0"/>
    <x v="13"/>
    <n v="34"/>
    <n v="12410"/>
    <n v="44676"/>
  </r>
  <r>
    <x v="0"/>
    <x v="0"/>
    <x v="0"/>
    <x v="8"/>
    <x v="16"/>
    <s v="PL_A"/>
    <x v="1"/>
    <x v="1"/>
    <s v="GNR_ST_MSW_BP_E-15"/>
    <x v="0"/>
    <x v="14"/>
    <n v="34"/>
    <n v="12410"/>
    <n v="44676"/>
  </r>
  <r>
    <x v="0"/>
    <x v="0"/>
    <x v="0"/>
    <x v="8"/>
    <x v="16"/>
    <s v="PL_A"/>
    <x v="1"/>
    <x v="1"/>
    <s v="GNR_ST_MSW_BP_E-15"/>
    <x v="0"/>
    <x v="15"/>
    <n v="34"/>
    <n v="12410"/>
    <n v="44676"/>
  </r>
  <r>
    <x v="0"/>
    <x v="0"/>
    <x v="0"/>
    <x v="8"/>
    <x v="16"/>
    <s v="PL_A"/>
    <x v="1"/>
    <x v="1"/>
    <s v="GNR_ST_MSW_BP_E-15"/>
    <x v="0"/>
    <x v="16"/>
    <n v="34"/>
    <n v="12410"/>
    <n v="44676"/>
  </r>
  <r>
    <x v="0"/>
    <x v="0"/>
    <x v="0"/>
    <x v="8"/>
    <x v="16"/>
    <s v="PL_A"/>
    <x v="1"/>
    <x v="1"/>
    <s v="GNR_ST_MSW_BP_E-15"/>
    <x v="0"/>
    <x v="17"/>
    <n v="34"/>
    <n v="12410"/>
    <n v="44676"/>
  </r>
  <r>
    <x v="0"/>
    <x v="0"/>
    <x v="0"/>
    <x v="8"/>
    <x v="16"/>
    <s v="PL_A"/>
    <x v="1"/>
    <x v="1"/>
    <s v="GNR_ST_MSW_BP_E-15"/>
    <x v="0"/>
    <x v="18"/>
    <n v="34"/>
    <n v="12410"/>
    <n v="44676"/>
  </r>
  <r>
    <x v="0"/>
    <x v="0"/>
    <x v="0"/>
    <x v="8"/>
    <x v="16"/>
    <s v="PL_A"/>
    <x v="1"/>
    <x v="1"/>
    <s v="GNR_ST_MSW_BP_E-15"/>
    <x v="0"/>
    <x v="19"/>
    <n v="34"/>
    <n v="12410"/>
    <n v="44676"/>
  </r>
  <r>
    <x v="0"/>
    <x v="0"/>
    <x v="0"/>
    <x v="8"/>
    <x v="16"/>
    <s v="PL_A"/>
    <x v="1"/>
    <x v="1"/>
    <s v="GNR_ST_MSW_BP_E-15"/>
    <x v="0"/>
    <x v="20"/>
    <n v="34"/>
    <n v="12410"/>
    <n v="44676"/>
  </r>
  <r>
    <x v="0"/>
    <x v="0"/>
    <x v="0"/>
    <x v="8"/>
    <x v="16"/>
    <s v="PL_A"/>
    <x v="1"/>
    <x v="1"/>
    <s v="GNR_ST_MSW_BP_E-15"/>
    <x v="0"/>
    <x v="21"/>
    <n v="34"/>
    <n v="12410"/>
    <n v="44676"/>
  </r>
  <r>
    <x v="0"/>
    <x v="0"/>
    <x v="0"/>
    <x v="8"/>
    <x v="16"/>
    <s v="PL_A"/>
    <x v="1"/>
    <x v="1"/>
    <s v="GNR_ST_MSW_BP_E-15"/>
    <x v="0"/>
    <x v="22"/>
    <n v="34"/>
    <n v="12410"/>
    <n v="44676"/>
  </r>
  <r>
    <x v="0"/>
    <x v="0"/>
    <x v="0"/>
    <x v="8"/>
    <x v="16"/>
    <s v="PL_A"/>
    <x v="1"/>
    <x v="1"/>
    <s v="GNR_ST_MSW_BP_E-15"/>
    <x v="0"/>
    <x v="23"/>
    <n v="34"/>
    <n v="12410"/>
    <n v="44676"/>
  </r>
  <r>
    <x v="0"/>
    <x v="0"/>
    <x v="0"/>
    <x v="8"/>
    <x v="16"/>
    <s v="PL_A"/>
    <x v="2"/>
    <x v="0"/>
    <s v="NOWA-1_ST_NGAS_BP"/>
    <x v="0"/>
    <x v="0"/>
    <n v="127"/>
    <n v="46355"/>
    <n v="166878"/>
  </r>
  <r>
    <x v="0"/>
    <x v="0"/>
    <x v="0"/>
    <x v="8"/>
    <x v="16"/>
    <s v="PL_A"/>
    <x v="2"/>
    <x v="0"/>
    <s v="NOWA-1_ST_NGAS_BP"/>
    <x v="0"/>
    <x v="1"/>
    <n v="127"/>
    <n v="46355"/>
    <n v="166878"/>
  </r>
  <r>
    <x v="0"/>
    <x v="0"/>
    <x v="0"/>
    <x v="8"/>
    <x v="16"/>
    <s v="PL_A"/>
    <x v="2"/>
    <x v="0"/>
    <s v="NOWA-1_ST_NGAS_BP"/>
    <x v="0"/>
    <x v="2"/>
    <n v="127"/>
    <n v="46355"/>
    <n v="166878"/>
  </r>
  <r>
    <x v="0"/>
    <x v="0"/>
    <x v="0"/>
    <x v="8"/>
    <x v="16"/>
    <s v="PL_A"/>
    <x v="2"/>
    <x v="0"/>
    <s v="NOWA-1_ST_NGAS_BP"/>
    <x v="0"/>
    <x v="3"/>
    <n v="127"/>
    <n v="46355"/>
    <n v="166878"/>
  </r>
  <r>
    <x v="0"/>
    <x v="0"/>
    <x v="0"/>
    <x v="8"/>
    <x v="16"/>
    <s v="PL_A"/>
    <x v="2"/>
    <x v="0"/>
    <s v="NOWA-1_ST_NGAS_BP"/>
    <x v="0"/>
    <x v="4"/>
    <n v="127"/>
    <n v="46355"/>
    <n v="166878"/>
  </r>
  <r>
    <x v="0"/>
    <x v="0"/>
    <x v="0"/>
    <x v="8"/>
    <x v="16"/>
    <s v="PL_A"/>
    <x v="2"/>
    <x v="0"/>
    <s v="NOWA-1_ST_NGAS_BP"/>
    <x v="0"/>
    <x v="5"/>
    <n v="127"/>
    <n v="46355"/>
    <n v="166878"/>
  </r>
  <r>
    <x v="0"/>
    <x v="0"/>
    <x v="0"/>
    <x v="8"/>
    <x v="16"/>
    <s v="PL_A"/>
    <x v="2"/>
    <x v="0"/>
    <s v="NOWA-1_ST_NGAS_BP"/>
    <x v="0"/>
    <x v="6"/>
    <n v="127"/>
    <n v="46355"/>
    <n v="166878"/>
  </r>
  <r>
    <x v="0"/>
    <x v="0"/>
    <x v="0"/>
    <x v="8"/>
    <x v="16"/>
    <s v="PL_A"/>
    <x v="2"/>
    <x v="0"/>
    <s v="NOWA-1_ST_NGAS_BP"/>
    <x v="0"/>
    <x v="7"/>
    <n v="127"/>
    <n v="46355"/>
    <n v="166878"/>
  </r>
  <r>
    <x v="0"/>
    <x v="0"/>
    <x v="0"/>
    <x v="8"/>
    <x v="16"/>
    <s v="PL_A"/>
    <x v="2"/>
    <x v="0"/>
    <s v="NOWA-1_ST_NGAS_BP"/>
    <x v="0"/>
    <x v="8"/>
    <n v="127"/>
    <n v="46355"/>
    <n v="166878"/>
  </r>
  <r>
    <x v="0"/>
    <x v="0"/>
    <x v="0"/>
    <x v="8"/>
    <x v="16"/>
    <s v="PL_A"/>
    <x v="2"/>
    <x v="0"/>
    <s v="NOWA-1_ST_NGAS_BP"/>
    <x v="0"/>
    <x v="9"/>
    <n v="127"/>
    <n v="46355"/>
    <n v="166878"/>
  </r>
  <r>
    <x v="0"/>
    <x v="0"/>
    <x v="0"/>
    <x v="8"/>
    <x v="16"/>
    <s v="PL_A"/>
    <x v="2"/>
    <x v="0"/>
    <s v="NOWA-1_ST_NGAS_BP"/>
    <x v="0"/>
    <x v="11"/>
    <n v="127"/>
    <n v="46355"/>
    <n v="166878"/>
  </r>
  <r>
    <x v="0"/>
    <x v="0"/>
    <x v="0"/>
    <x v="8"/>
    <x v="16"/>
    <s v="PL_A"/>
    <x v="2"/>
    <x v="0"/>
    <s v="NOWA-1_ST_NGAS_BP"/>
    <x v="0"/>
    <x v="12"/>
    <n v="127"/>
    <n v="46355"/>
    <n v="166878"/>
  </r>
  <r>
    <x v="0"/>
    <x v="0"/>
    <x v="0"/>
    <x v="8"/>
    <x v="16"/>
    <s v="PL_A"/>
    <x v="2"/>
    <x v="0"/>
    <s v="NOWA-1_ST_NGAS_BP"/>
    <x v="0"/>
    <x v="13"/>
    <n v="127"/>
    <n v="46355"/>
    <n v="166878"/>
  </r>
  <r>
    <x v="0"/>
    <x v="0"/>
    <x v="0"/>
    <x v="8"/>
    <x v="16"/>
    <s v="PL_A"/>
    <x v="2"/>
    <x v="0"/>
    <s v="NOWA-1_ST_NGAS_BP"/>
    <x v="0"/>
    <x v="14"/>
    <n v="127"/>
    <n v="46355"/>
    <n v="166878"/>
  </r>
  <r>
    <x v="0"/>
    <x v="0"/>
    <x v="0"/>
    <x v="8"/>
    <x v="16"/>
    <s v="PL_A"/>
    <x v="2"/>
    <x v="0"/>
    <s v="NOWA-1_ST_NGAS_BP"/>
    <x v="0"/>
    <x v="15"/>
    <n v="127"/>
    <n v="46355"/>
    <n v="166878"/>
  </r>
  <r>
    <x v="0"/>
    <x v="0"/>
    <x v="0"/>
    <x v="8"/>
    <x v="16"/>
    <s v="PL_A"/>
    <x v="2"/>
    <x v="0"/>
    <s v="NOWA-1_ST_NGAS_BP"/>
    <x v="0"/>
    <x v="18"/>
    <n v="127"/>
    <n v="46355"/>
    <n v="166878"/>
  </r>
  <r>
    <x v="0"/>
    <x v="0"/>
    <x v="0"/>
    <x v="8"/>
    <x v="16"/>
    <s v="PL_A"/>
    <x v="2"/>
    <x v="0"/>
    <s v="NOWA-1_ST_NGAS_BP"/>
    <x v="0"/>
    <x v="19"/>
    <n v="127"/>
    <n v="46355"/>
    <n v="166878"/>
  </r>
  <r>
    <x v="0"/>
    <x v="0"/>
    <x v="0"/>
    <x v="8"/>
    <x v="16"/>
    <s v="PL_A"/>
    <x v="2"/>
    <x v="0"/>
    <s v="NOWA-1_ST_NGAS_BP"/>
    <x v="0"/>
    <x v="20"/>
    <n v="127"/>
    <n v="46355"/>
    <n v="166878"/>
  </r>
  <r>
    <x v="0"/>
    <x v="0"/>
    <x v="0"/>
    <x v="8"/>
    <x v="16"/>
    <s v="PL_A"/>
    <x v="2"/>
    <x v="0"/>
    <s v="NOWA-1_ST_NGAS_BP"/>
    <x v="0"/>
    <x v="21"/>
    <n v="127"/>
    <n v="46355"/>
    <n v="166878"/>
  </r>
  <r>
    <x v="0"/>
    <x v="0"/>
    <x v="0"/>
    <x v="8"/>
    <x v="16"/>
    <s v="PL_A"/>
    <x v="2"/>
    <x v="0"/>
    <s v="NOWA-1_ST_NGAS_BP"/>
    <x v="0"/>
    <x v="22"/>
    <n v="127"/>
    <n v="46355"/>
    <n v="166878"/>
  </r>
  <r>
    <x v="0"/>
    <x v="0"/>
    <x v="0"/>
    <x v="8"/>
    <x v="16"/>
    <s v="PL_A"/>
    <x v="2"/>
    <x v="0"/>
    <s v="NOWA-1_ST_NGAS_BP"/>
    <x v="0"/>
    <x v="23"/>
    <n v="127"/>
    <n v="46355"/>
    <n v="166878"/>
  </r>
  <r>
    <x v="0"/>
    <x v="0"/>
    <x v="0"/>
    <x v="8"/>
    <x v="16"/>
    <s v="PL_A"/>
    <x v="2"/>
    <x v="0"/>
    <s v="RZES-2_ST_NGAS_BP"/>
    <x v="0"/>
    <x v="0"/>
    <n v="32"/>
    <n v="11680"/>
    <n v="42048"/>
  </r>
  <r>
    <x v="0"/>
    <x v="0"/>
    <x v="0"/>
    <x v="8"/>
    <x v="16"/>
    <s v="PL_A"/>
    <x v="2"/>
    <x v="0"/>
    <s v="RZES-2_ST_NGAS_BP"/>
    <x v="0"/>
    <x v="1"/>
    <n v="32"/>
    <n v="11680"/>
    <n v="42048"/>
  </r>
  <r>
    <x v="0"/>
    <x v="0"/>
    <x v="0"/>
    <x v="8"/>
    <x v="16"/>
    <s v="PL_A"/>
    <x v="2"/>
    <x v="0"/>
    <s v="RZES-2_ST_NGAS_BP"/>
    <x v="0"/>
    <x v="2"/>
    <n v="32"/>
    <n v="11680"/>
    <n v="42048"/>
  </r>
  <r>
    <x v="0"/>
    <x v="0"/>
    <x v="0"/>
    <x v="8"/>
    <x v="16"/>
    <s v="PL_A"/>
    <x v="2"/>
    <x v="0"/>
    <s v="RZES-2_ST_NGAS_BP"/>
    <x v="0"/>
    <x v="3"/>
    <n v="32"/>
    <n v="11680"/>
    <n v="42048"/>
  </r>
  <r>
    <x v="0"/>
    <x v="0"/>
    <x v="0"/>
    <x v="8"/>
    <x v="16"/>
    <s v="PL_A"/>
    <x v="2"/>
    <x v="0"/>
    <s v="RZES-2_ST_NGAS_BP"/>
    <x v="0"/>
    <x v="4"/>
    <n v="32"/>
    <n v="11680"/>
    <n v="42048"/>
  </r>
  <r>
    <x v="0"/>
    <x v="0"/>
    <x v="0"/>
    <x v="8"/>
    <x v="16"/>
    <s v="PL_A"/>
    <x v="2"/>
    <x v="0"/>
    <s v="RZES-2_ST_NGAS_BP"/>
    <x v="0"/>
    <x v="5"/>
    <n v="32"/>
    <n v="11680"/>
    <n v="42048"/>
  </r>
  <r>
    <x v="0"/>
    <x v="0"/>
    <x v="0"/>
    <x v="8"/>
    <x v="16"/>
    <s v="PL_A"/>
    <x v="2"/>
    <x v="0"/>
    <s v="RZES-2_ST_NGAS_BP"/>
    <x v="0"/>
    <x v="6"/>
    <n v="32"/>
    <n v="11680"/>
    <n v="42048"/>
  </r>
  <r>
    <x v="0"/>
    <x v="0"/>
    <x v="0"/>
    <x v="8"/>
    <x v="16"/>
    <s v="PL_A"/>
    <x v="2"/>
    <x v="0"/>
    <s v="RZES-2_ST_NGAS_BP"/>
    <x v="0"/>
    <x v="7"/>
    <n v="32"/>
    <n v="11680"/>
    <n v="42048"/>
  </r>
  <r>
    <x v="0"/>
    <x v="0"/>
    <x v="0"/>
    <x v="8"/>
    <x v="16"/>
    <s v="PL_A"/>
    <x v="2"/>
    <x v="0"/>
    <s v="RZES-2_ST_NGAS_BP"/>
    <x v="0"/>
    <x v="8"/>
    <n v="32"/>
    <n v="11680"/>
    <n v="42048"/>
  </r>
  <r>
    <x v="0"/>
    <x v="0"/>
    <x v="0"/>
    <x v="8"/>
    <x v="16"/>
    <s v="PL_A"/>
    <x v="2"/>
    <x v="0"/>
    <s v="RZES-2_ST_NGAS_BP"/>
    <x v="0"/>
    <x v="9"/>
    <n v="32"/>
    <n v="11680"/>
    <n v="42048"/>
  </r>
  <r>
    <x v="0"/>
    <x v="0"/>
    <x v="0"/>
    <x v="8"/>
    <x v="16"/>
    <s v="PL_A"/>
    <x v="2"/>
    <x v="0"/>
    <s v="RZES-2_ST_NGAS_BP"/>
    <x v="0"/>
    <x v="11"/>
    <n v="32"/>
    <n v="11680"/>
    <n v="42048"/>
  </r>
  <r>
    <x v="0"/>
    <x v="0"/>
    <x v="0"/>
    <x v="8"/>
    <x v="16"/>
    <s v="PL_A"/>
    <x v="2"/>
    <x v="0"/>
    <s v="RZES-2_ST_NGAS_BP"/>
    <x v="0"/>
    <x v="12"/>
    <n v="32"/>
    <n v="11680"/>
    <n v="42048"/>
  </r>
  <r>
    <x v="0"/>
    <x v="0"/>
    <x v="0"/>
    <x v="8"/>
    <x v="16"/>
    <s v="PL_A"/>
    <x v="2"/>
    <x v="0"/>
    <s v="RZES-2_ST_NGAS_BP"/>
    <x v="0"/>
    <x v="13"/>
    <n v="32"/>
    <n v="11680"/>
    <n v="42048"/>
  </r>
  <r>
    <x v="0"/>
    <x v="0"/>
    <x v="0"/>
    <x v="8"/>
    <x v="16"/>
    <s v="PL_A"/>
    <x v="2"/>
    <x v="0"/>
    <s v="RZES-2_ST_NGAS_BP"/>
    <x v="0"/>
    <x v="14"/>
    <n v="32"/>
    <n v="11680"/>
    <n v="42048"/>
  </r>
  <r>
    <x v="0"/>
    <x v="0"/>
    <x v="0"/>
    <x v="8"/>
    <x v="16"/>
    <s v="PL_A"/>
    <x v="2"/>
    <x v="0"/>
    <s v="RZES-2_ST_NGAS_BP"/>
    <x v="0"/>
    <x v="15"/>
    <n v="32"/>
    <n v="11680"/>
    <n v="42048"/>
  </r>
  <r>
    <x v="0"/>
    <x v="0"/>
    <x v="0"/>
    <x v="8"/>
    <x v="16"/>
    <s v="PL_A"/>
    <x v="2"/>
    <x v="0"/>
    <s v="RZES-2_ST_NGAS_BP"/>
    <x v="0"/>
    <x v="18"/>
    <n v="32"/>
    <n v="11680"/>
    <n v="42048"/>
  </r>
  <r>
    <x v="0"/>
    <x v="0"/>
    <x v="0"/>
    <x v="8"/>
    <x v="16"/>
    <s v="PL_A"/>
    <x v="2"/>
    <x v="0"/>
    <s v="RZES-2_ST_NGAS_BP"/>
    <x v="0"/>
    <x v="19"/>
    <n v="32"/>
    <n v="11680"/>
    <n v="42048"/>
  </r>
  <r>
    <x v="0"/>
    <x v="0"/>
    <x v="0"/>
    <x v="8"/>
    <x v="16"/>
    <s v="PL_A"/>
    <x v="2"/>
    <x v="0"/>
    <s v="RZES-2_ST_NGAS_BP"/>
    <x v="0"/>
    <x v="20"/>
    <n v="32"/>
    <n v="11680"/>
    <n v="42048"/>
  </r>
  <r>
    <x v="0"/>
    <x v="0"/>
    <x v="0"/>
    <x v="8"/>
    <x v="16"/>
    <s v="PL_A"/>
    <x v="2"/>
    <x v="0"/>
    <s v="RZES-2_ST_NGAS_BP"/>
    <x v="0"/>
    <x v="21"/>
    <n v="32"/>
    <n v="11680"/>
    <n v="42048"/>
  </r>
  <r>
    <x v="0"/>
    <x v="0"/>
    <x v="0"/>
    <x v="8"/>
    <x v="16"/>
    <s v="PL_A"/>
    <x v="2"/>
    <x v="0"/>
    <s v="RZES-2_ST_NGAS_BP"/>
    <x v="0"/>
    <x v="22"/>
    <n v="32"/>
    <n v="11680"/>
    <n v="42048"/>
  </r>
  <r>
    <x v="0"/>
    <x v="0"/>
    <x v="0"/>
    <x v="8"/>
    <x v="16"/>
    <s v="PL_A"/>
    <x v="2"/>
    <x v="0"/>
    <s v="RZES-2_ST_NGAS_BP"/>
    <x v="0"/>
    <x v="23"/>
    <n v="32"/>
    <n v="11680"/>
    <n v="42048"/>
  </r>
  <r>
    <x v="0"/>
    <x v="0"/>
    <x v="0"/>
    <x v="8"/>
    <x v="16"/>
    <s v="PL_A"/>
    <x v="2"/>
    <x v="0"/>
    <s v="ZIEL-1_ST_NGAS_BP"/>
    <x v="0"/>
    <x v="0"/>
    <n v="10"/>
    <n v="3650"/>
    <n v="13140"/>
  </r>
  <r>
    <x v="0"/>
    <x v="0"/>
    <x v="0"/>
    <x v="8"/>
    <x v="16"/>
    <s v="PL_A"/>
    <x v="2"/>
    <x v="0"/>
    <s v="ZIEL-1_ST_NGAS_BP"/>
    <x v="0"/>
    <x v="1"/>
    <n v="10"/>
    <n v="3650"/>
    <n v="13140"/>
  </r>
  <r>
    <x v="0"/>
    <x v="0"/>
    <x v="0"/>
    <x v="8"/>
    <x v="16"/>
    <s v="PL_A"/>
    <x v="2"/>
    <x v="0"/>
    <s v="ZIEL-1_ST_NGAS_BP"/>
    <x v="0"/>
    <x v="2"/>
    <n v="10"/>
    <n v="3650"/>
    <n v="13140"/>
  </r>
  <r>
    <x v="0"/>
    <x v="0"/>
    <x v="0"/>
    <x v="8"/>
    <x v="16"/>
    <s v="PL_A"/>
    <x v="2"/>
    <x v="0"/>
    <s v="ZIEL-1_ST_NGAS_BP"/>
    <x v="0"/>
    <x v="3"/>
    <n v="10"/>
    <n v="3650"/>
    <n v="13140"/>
  </r>
  <r>
    <x v="0"/>
    <x v="0"/>
    <x v="0"/>
    <x v="8"/>
    <x v="16"/>
    <s v="PL_A"/>
    <x v="2"/>
    <x v="0"/>
    <s v="ZIEL-1_ST_NGAS_BP"/>
    <x v="0"/>
    <x v="4"/>
    <n v="10"/>
    <n v="3650"/>
    <n v="13140"/>
  </r>
  <r>
    <x v="0"/>
    <x v="0"/>
    <x v="0"/>
    <x v="8"/>
    <x v="16"/>
    <s v="PL_A"/>
    <x v="2"/>
    <x v="0"/>
    <s v="ZIEL-1_ST_NGAS_BP"/>
    <x v="0"/>
    <x v="5"/>
    <n v="10"/>
    <n v="3650"/>
    <n v="13140"/>
  </r>
  <r>
    <x v="0"/>
    <x v="0"/>
    <x v="0"/>
    <x v="8"/>
    <x v="16"/>
    <s v="PL_A"/>
    <x v="2"/>
    <x v="0"/>
    <s v="ZIEL-1_ST_NGAS_BP"/>
    <x v="0"/>
    <x v="6"/>
    <n v="10"/>
    <n v="3650"/>
    <n v="13140"/>
  </r>
  <r>
    <x v="0"/>
    <x v="0"/>
    <x v="0"/>
    <x v="8"/>
    <x v="16"/>
    <s v="PL_A"/>
    <x v="2"/>
    <x v="0"/>
    <s v="ZIEL-1_ST_NGAS_BP"/>
    <x v="0"/>
    <x v="7"/>
    <n v="10"/>
    <n v="3650"/>
    <n v="13140"/>
  </r>
  <r>
    <x v="0"/>
    <x v="0"/>
    <x v="0"/>
    <x v="8"/>
    <x v="16"/>
    <s v="PL_A"/>
    <x v="2"/>
    <x v="0"/>
    <s v="ZIEL-1_ST_NGAS_BP"/>
    <x v="0"/>
    <x v="8"/>
    <n v="10"/>
    <n v="3650"/>
    <n v="13140"/>
  </r>
  <r>
    <x v="0"/>
    <x v="0"/>
    <x v="0"/>
    <x v="8"/>
    <x v="16"/>
    <s v="PL_A"/>
    <x v="2"/>
    <x v="0"/>
    <s v="ZIEL-1_ST_NGAS_BP"/>
    <x v="0"/>
    <x v="9"/>
    <n v="10"/>
    <n v="3650"/>
    <n v="13140"/>
  </r>
  <r>
    <x v="0"/>
    <x v="0"/>
    <x v="0"/>
    <x v="8"/>
    <x v="16"/>
    <s v="PL_A"/>
    <x v="2"/>
    <x v="0"/>
    <s v="ZIEL-1_ST_NGAS_BP"/>
    <x v="0"/>
    <x v="11"/>
    <n v="10"/>
    <n v="3650"/>
    <n v="13140"/>
  </r>
  <r>
    <x v="0"/>
    <x v="0"/>
    <x v="0"/>
    <x v="8"/>
    <x v="16"/>
    <s v="PL_A"/>
    <x v="2"/>
    <x v="0"/>
    <s v="ZIEL-1_ST_NGAS_BP"/>
    <x v="0"/>
    <x v="12"/>
    <n v="10"/>
    <n v="3650"/>
    <n v="13140"/>
  </r>
  <r>
    <x v="0"/>
    <x v="0"/>
    <x v="0"/>
    <x v="8"/>
    <x v="16"/>
    <s v="PL_A"/>
    <x v="2"/>
    <x v="0"/>
    <s v="ZIEL-1_ST_NGAS_BP"/>
    <x v="0"/>
    <x v="13"/>
    <n v="10"/>
    <n v="3650"/>
    <n v="13140"/>
  </r>
  <r>
    <x v="0"/>
    <x v="0"/>
    <x v="0"/>
    <x v="8"/>
    <x v="16"/>
    <s v="PL_A"/>
    <x v="2"/>
    <x v="0"/>
    <s v="ZIEL-1_ST_NGAS_BP"/>
    <x v="0"/>
    <x v="14"/>
    <n v="10"/>
    <n v="3650"/>
    <n v="13140"/>
  </r>
  <r>
    <x v="0"/>
    <x v="0"/>
    <x v="0"/>
    <x v="8"/>
    <x v="16"/>
    <s v="PL_A"/>
    <x v="2"/>
    <x v="0"/>
    <s v="ZIEL-1_ST_NGAS_BP"/>
    <x v="0"/>
    <x v="15"/>
    <n v="10"/>
    <n v="3650"/>
    <n v="13140"/>
  </r>
  <r>
    <x v="0"/>
    <x v="0"/>
    <x v="0"/>
    <x v="8"/>
    <x v="16"/>
    <s v="PL_A"/>
    <x v="2"/>
    <x v="0"/>
    <s v="ZIEL-1_ST_NGAS_BP"/>
    <x v="0"/>
    <x v="16"/>
    <n v="10"/>
    <n v="3650"/>
    <n v="13140"/>
  </r>
  <r>
    <x v="0"/>
    <x v="0"/>
    <x v="0"/>
    <x v="8"/>
    <x v="16"/>
    <s v="PL_A"/>
    <x v="2"/>
    <x v="0"/>
    <s v="ZIEL-1_ST_NGAS_BP"/>
    <x v="0"/>
    <x v="18"/>
    <n v="10"/>
    <n v="3650"/>
    <n v="13140"/>
  </r>
  <r>
    <x v="0"/>
    <x v="0"/>
    <x v="0"/>
    <x v="8"/>
    <x v="16"/>
    <s v="PL_A"/>
    <x v="2"/>
    <x v="0"/>
    <s v="ZIEL-1_ST_NGAS_BP"/>
    <x v="0"/>
    <x v="19"/>
    <n v="10"/>
    <n v="3650"/>
    <n v="13140"/>
  </r>
  <r>
    <x v="0"/>
    <x v="0"/>
    <x v="0"/>
    <x v="8"/>
    <x v="16"/>
    <s v="PL_A"/>
    <x v="2"/>
    <x v="0"/>
    <s v="ZIEL-1_ST_NGAS_BP"/>
    <x v="0"/>
    <x v="20"/>
    <n v="10"/>
    <n v="3650"/>
    <n v="13140"/>
  </r>
  <r>
    <x v="0"/>
    <x v="0"/>
    <x v="0"/>
    <x v="8"/>
    <x v="16"/>
    <s v="PL_A"/>
    <x v="2"/>
    <x v="0"/>
    <s v="ZIEL-1_ST_NGAS_BP"/>
    <x v="0"/>
    <x v="21"/>
    <n v="10"/>
    <n v="3650"/>
    <n v="13140"/>
  </r>
  <r>
    <x v="0"/>
    <x v="0"/>
    <x v="0"/>
    <x v="8"/>
    <x v="16"/>
    <s v="PL_A"/>
    <x v="2"/>
    <x v="0"/>
    <s v="ZIEL-1_ST_NGAS_BP"/>
    <x v="0"/>
    <x v="22"/>
    <n v="10"/>
    <n v="3650"/>
    <n v="13140"/>
  </r>
  <r>
    <x v="0"/>
    <x v="0"/>
    <x v="0"/>
    <x v="8"/>
    <x v="16"/>
    <s v="PL_A"/>
    <x v="2"/>
    <x v="0"/>
    <s v="ZIEL-1_ST_NGAS_BP"/>
    <x v="0"/>
    <x v="23"/>
    <n v="10"/>
    <n v="3650"/>
    <n v="13140"/>
  </r>
  <r>
    <x v="0"/>
    <x v="0"/>
    <x v="0"/>
    <x v="8"/>
    <x v="16"/>
    <s v="PL_A"/>
    <x v="2"/>
    <x v="0"/>
    <s v="ZIEL-3_ST_NGAS_BP"/>
    <x v="0"/>
    <x v="0"/>
    <n v="120"/>
    <n v="43800"/>
    <n v="157680"/>
  </r>
  <r>
    <x v="0"/>
    <x v="0"/>
    <x v="0"/>
    <x v="8"/>
    <x v="16"/>
    <s v="PL_A"/>
    <x v="2"/>
    <x v="0"/>
    <s v="ZIEL-3_ST_NGAS_BP"/>
    <x v="0"/>
    <x v="1"/>
    <n v="120"/>
    <n v="43800"/>
    <n v="157680"/>
  </r>
  <r>
    <x v="0"/>
    <x v="0"/>
    <x v="0"/>
    <x v="8"/>
    <x v="16"/>
    <s v="PL_A"/>
    <x v="2"/>
    <x v="0"/>
    <s v="ZIEL-3_ST_NGAS_BP"/>
    <x v="0"/>
    <x v="2"/>
    <n v="120"/>
    <n v="43800"/>
    <n v="157680"/>
  </r>
  <r>
    <x v="0"/>
    <x v="0"/>
    <x v="0"/>
    <x v="8"/>
    <x v="16"/>
    <s v="PL_A"/>
    <x v="2"/>
    <x v="0"/>
    <s v="ZIEL-3_ST_NGAS_BP"/>
    <x v="0"/>
    <x v="3"/>
    <n v="120"/>
    <n v="43800"/>
    <n v="157680"/>
  </r>
  <r>
    <x v="0"/>
    <x v="0"/>
    <x v="0"/>
    <x v="8"/>
    <x v="16"/>
    <s v="PL_A"/>
    <x v="2"/>
    <x v="0"/>
    <s v="ZIEL-3_ST_NGAS_BP"/>
    <x v="0"/>
    <x v="4"/>
    <n v="120"/>
    <n v="43800"/>
    <n v="157680"/>
  </r>
  <r>
    <x v="0"/>
    <x v="0"/>
    <x v="0"/>
    <x v="8"/>
    <x v="16"/>
    <s v="PL_A"/>
    <x v="2"/>
    <x v="0"/>
    <s v="ZIEL-3_ST_NGAS_BP"/>
    <x v="0"/>
    <x v="5"/>
    <n v="120"/>
    <n v="43800"/>
    <n v="157680"/>
  </r>
  <r>
    <x v="0"/>
    <x v="0"/>
    <x v="0"/>
    <x v="8"/>
    <x v="16"/>
    <s v="PL_A"/>
    <x v="2"/>
    <x v="0"/>
    <s v="ZIEL-3_ST_NGAS_BP"/>
    <x v="0"/>
    <x v="6"/>
    <n v="120"/>
    <n v="43800"/>
    <n v="157680"/>
  </r>
  <r>
    <x v="0"/>
    <x v="0"/>
    <x v="0"/>
    <x v="8"/>
    <x v="16"/>
    <s v="PL_A"/>
    <x v="2"/>
    <x v="0"/>
    <s v="ZIEL-3_ST_NGAS_BP"/>
    <x v="0"/>
    <x v="7"/>
    <n v="120"/>
    <n v="43800"/>
    <n v="157680"/>
  </r>
  <r>
    <x v="0"/>
    <x v="0"/>
    <x v="0"/>
    <x v="8"/>
    <x v="16"/>
    <s v="PL_A"/>
    <x v="2"/>
    <x v="0"/>
    <s v="ZIEL-3_ST_NGAS_BP"/>
    <x v="0"/>
    <x v="8"/>
    <n v="120"/>
    <n v="43800"/>
    <n v="157680"/>
  </r>
  <r>
    <x v="0"/>
    <x v="0"/>
    <x v="0"/>
    <x v="8"/>
    <x v="16"/>
    <s v="PL_A"/>
    <x v="2"/>
    <x v="0"/>
    <s v="ZIEL-3_ST_NGAS_BP"/>
    <x v="0"/>
    <x v="9"/>
    <n v="120"/>
    <n v="43800"/>
    <n v="157680"/>
  </r>
  <r>
    <x v="0"/>
    <x v="0"/>
    <x v="0"/>
    <x v="8"/>
    <x v="16"/>
    <s v="PL_A"/>
    <x v="2"/>
    <x v="0"/>
    <s v="ZIEL-3_ST_NGAS_BP"/>
    <x v="0"/>
    <x v="11"/>
    <n v="120"/>
    <n v="43800"/>
    <n v="157680"/>
  </r>
  <r>
    <x v="0"/>
    <x v="0"/>
    <x v="0"/>
    <x v="8"/>
    <x v="16"/>
    <s v="PL_A"/>
    <x v="2"/>
    <x v="0"/>
    <s v="ZIEL-3_ST_NGAS_BP"/>
    <x v="0"/>
    <x v="12"/>
    <n v="120"/>
    <n v="43800"/>
    <n v="157680"/>
  </r>
  <r>
    <x v="0"/>
    <x v="0"/>
    <x v="0"/>
    <x v="8"/>
    <x v="16"/>
    <s v="PL_A"/>
    <x v="2"/>
    <x v="0"/>
    <s v="ZIEL-3_ST_NGAS_BP"/>
    <x v="0"/>
    <x v="13"/>
    <n v="120"/>
    <n v="43800"/>
    <n v="157680"/>
  </r>
  <r>
    <x v="0"/>
    <x v="0"/>
    <x v="0"/>
    <x v="8"/>
    <x v="16"/>
    <s v="PL_A"/>
    <x v="2"/>
    <x v="0"/>
    <s v="ZIEL-3_ST_NGAS_BP"/>
    <x v="0"/>
    <x v="14"/>
    <n v="120"/>
    <n v="43800"/>
    <n v="157680"/>
  </r>
  <r>
    <x v="0"/>
    <x v="0"/>
    <x v="0"/>
    <x v="8"/>
    <x v="16"/>
    <s v="PL_A"/>
    <x v="2"/>
    <x v="0"/>
    <s v="ZIEL-3_ST_NGAS_BP"/>
    <x v="0"/>
    <x v="15"/>
    <n v="120"/>
    <n v="43800"/>
    <n v="157680"/>
  </r>
  <r>
    <x v="0"/>
    <x v="0"/>
    <x v="0"/>
    <x v="8"/>
    <x v="16"/>
    <s v="PL_A"/>
    <x v="2"/>
    <x v="0"/>
    <s v="ZIEL-3_ST_NGAS_BP"/>
    <x v="0"/>
    <x v="16"/>
    <n v="25.558884575004999"/>
    <n v="9328.9928698768108"/>
    <n v="33584.374331556501"/>
  </r>
  <r>
    <x v="0"/>
    <x v="0"/>
    <x v="0"/>
    <x v="8"/>
    <x v="16"/>
    <s v="PL_A"/>
    <x v="2"/>
    <x v="0"/>
    <s v="ZIEL-3_ST_NGAS_BP"/>
    <x v="0"/>
    <x v="18"/>
    <n v="120"/>
    <n v="43800"/>
    <n v="157680"/>
  </r>
  <r>
    <x v="0"/>
    <x v="0"/>
    <x v="0"/>
    <x v="8"/>
    <x v="16"/>
    <s v="PL_A"/>
    <x v="2"/>
    <x v="0"/>
    <s v="ZIEL-3_ST_NGAS_BP"/>
    <x v="0"/>
    <x v="19"/>
    <n v="120"/>
    <n v="43800"/>
    <n v="157680"/>
  </r>
  <r>
    <x v="0"/>
    <x v="0"/>
    <x v="0"/>
    <x v="8"/>
    <x v="16"/>
    <s v="PL_A"/>
    <x v="2"/>
    <x v="0"/>
    <s v="ZIEL-3_ST_NGAS_BP"/>
    <x v="0"/>
    <x v="20"/>
    <n v="120"/>
    <n v="43800"/>
    <n v="157680"/>
  </r>
  <r>
    <x v="0"/>
    <x v="0"/>
    <x v="0"/>
    <x v="8"/>
    <x v="16"/>
    <s v="PL_A"/>
    <x v="2"/>
    <x v="0"/>
    <s v="ZIEL-3_ST_NGAS_BP"/>
    <x v="0"/>
    <x v="21"/>
    <n v="120"/>
    <n v="43800"/>
    <n v="157680"/>
  </r>
  <r>
    <x v="0"/>
    <x v="0"/>
    <x v="0"/>
    <x v="8"/>
    <x v="16"/>
    <s v="PL_A"/>
    <x v="2"/>
    <x v="0"/>
    <s v="ZIEL-3_ST_NGAS_BP"/>
    <x v="0"/>
    <x v="22"/>
    <n v="120"/>
    <n v="43800"/>
    <n v="157680"/>
  </r>
  <r>
    <x v="0"/>
    <x v="0"/>
    <x v="0"/>
    <x v="8"/>
    <x v="16"/>
    <s v="PL_A"/>
    <x v="2"/>
    <x v="0"/>
    <s v="ZIEL-3_ST_NGAS_BP"/>
    <x v="0"/>
    <x v="23"/>
    <n v="120"/>
    <n v="43800"/>
    <n v="157680"/>
  </r>
  <r>
    <x v="0"/>
    <x v="0"/>
    <x v="0"/>
    <x v="8"/>
    <x v="16"/>
    <s v="PL_A"/>
    <x v="3"/>
    <x v="0"/>
    <s v="BIAL-1_ST_STRAW_BP"/>
    <x v="0"/>
    <x v="0"/>
    <n v="128"/>
    <n v="46720"/>
    <n v="168192"/>
  </r>
  <r>
    <x v="0"/>
    <x v="0"/>
    <x v="0"/>
    <x v="8"/>
    <x v="16"/>
    <s v="PL_A"/>
    <x v="3"/>
    <x v="0"/>
    <s v="BIAL-1_ST_STRAW_BP"/>
    <x v="0"/>
    <x v="1"/>
    <n v="128"/>
    <n v="46720"/>
    <n v="168192"/>
  </r>
  <r>
    <x v="0"/>
    <x v="0"/>
    <x v="0"/>
    <x v="8"/>
    <x v="16"/>
    <s v="PL_A"/>
    <x v="3"/>
    <x v="0"/>
    <s v="BIAL-1_ST_STRAW_BP"/>
    <x v="0"/>
    <x v="2"/>
    <n v="128"/>
    <n v="46720"/>
    <n v="168192"/>
  </r>
  <r>
    <x v="0"/>
    <x v="0"/>
    <x v="0"/>
    <x v="8"/>
    <x v="16"/>
    <s v="PL_A"/>
    <x v="3"/>
    <x v="0"/>
    <s v="BIAL-1_ST_STRAW_BP"/>
    <x v="0"/>
    <x v="3"/>
    <n v="128"/>
    <n v="46720"/>
    <n v="168192"/>
  </r>
  <r>
    <x v="0"/>
    <x v="0"/>
    <x v="0"/>
    <x v="8"/>
    <x v="16"/>
    <s v="PL_A"/>
    <x v="3"/>
    <x v="0"/>
    <s v="BIAL-1_ST_STRAW_BP"/>
    <x v="0"/>
    <x v="4"/>
    <n v="128"/>
    <n v="46720"/>
    <n v="168192"/>
  </r>
  <r>
    <x v="0"/>
    <x v="0"/>
    <x v="0"/>
    <x v="8"/>
    <x v="16"/>
    <s v="PL_A"/>
    <x v="3"/>
    <x v="0"/>
    <s v="BIAL-1_ST_STRAW_BP"/>
    <x v="0"/>
    <x v="5"/>
    <n v="128"/>
    <n v="46720"/>
    <n v="168192"/>
  </r>
  <r>
    <x v="0"/>
    <x v="0"/>
    <x v="0"/>
    <x v="8"/>
    <x v="16"/>
    <s v="PL_A"/>
    <x v="3"/>
    <x v="0"/>
    <s v="BIAL-1_ST_STRAW_BP"/>
    <x v="0"/>
    <x v="6"/>
    <n v="128"/>
    <n v="46720"/>
    <n v="168192"/>
  </r>
  <r>
    <x v="0"/>
    <x v="0"/>
    <x v="0"/>
    <x v="8"/>
    <x v="16"/>
    <s v="PL_A"/>
    <x v="3"/>
    <x v="0"/>
    <s v="BIAL-1_ST_STRAW_BP"/>
    <x v="0"/>
    <x v="7"/>
    <n v="128"/>
    <n v="46720"/>
    <n v="168192"/>
  </r>
  <r>
    <x v="0"/>
    <x v="0"/>
    <x v="0"/>
    <x v="8"/>
    <x v="16"/>
    <s v="PL_A"/>
    <x v="3"/>
    <x v="0"/>
    <s v="BIAL-1_ST_STRAW_BP"/>
    <x v="0"/>
    <x v="8"/>
    <n v="128"/>
    <n v="46720"/>
    <n v="168192"/>
  </r>
  <r>
    <x v="0"/>
    <x v="0"/>
    <x v="0"/>
    <x v="8"/>
    <x v="16"/>
    <s v="PL_A"/>
    <x v="3"/>
    <x v="0"/>
    <s v="BIAL-1_ST_STRAW_BP"/>
    <x v="0"/>
    <x v="9"/>
    <n v="128"/>
    <n v="46720"/>
    <n v="168192"/>
  </r>
  <r>
    <x v="0"/>
    <x v="0"/>
    <x v="0"/>
    <x v="8"/>
    <x v="16"/>
    <s v="PL_A"/>
    <x v="3"/>
    <x v="0"/>
    <s v="BIAL-1_ST_STRAW_BP"/>
    <x v="0"/>
    <x v="10"/>
    <n v="128"/>
    <n v="46720"/>
    <n v="168192"/>
  </r>
  <r>
    <x v="0"/>
    <x v="0"/>
    <x v="0"/>
    <x v="8"/>
    <x v="16"/>
    <s v="PL_A"/>
    <x v="3"/>
    <x v="0"/>
    <s v="BIAL-1_ST_STRAW_BP"/>
    <x v="0"/>
    <x v="11"/>
    <n v="128"/>
    <n v="46720"/>
    <n v="168192"/>
  </r>
  <r>
    <x v="0"/>
    <x v="0"/>
    <x v="0"/>
    <x v="8"/>
    <x v="16"/>
    <s v="PL_A"/>
    <x v="3"/>
    <x v="0"/>
    <s v="BIAL-1_ST_STRAW_BP"/>
    <x v="0"/>
    <x v="12"/>
    <n v="128"/>
    <n v="46720"/>
    <n v="168192"/>
  </r>
  <r>
    <x v="0"/>
    <x v="0"/>
    <x v="0"/>
    <x v="8"/>
    <x v="16"/>
    <s v="PL_A"/>
    <x v="3"/>
    <x v="0"/>
    <s v="BIAL-1_ST_STRAW_BP"/>
    <x v="0"/>
    <x v="13"/>
    <n v="128"/>
    <n v="46720"/>
    <n v="168192"/>
  </r>
  <r>
    <x v="0"/>
    <x v="0"/>
    <x v="0"/>
    <x v="8"/>
    <x v="16"/>
    <s v="PL_A"/>
    <x v="3"/>
    <x v="0"/>
    <s v="BIAL-1_ST_STRAW_BP"/>
    <x v="0"/>
    <x v="14"/>
    <n v="128"/>
    <n v="46720"/>
    <n v="168192"/>
  </r>
  <r>
    <x v="0"/>
    <x v="0"/>
    <x v="0"/>
    <x v="8"/>
    <x v="16"/>
    <s v="PL_A"/>
    <x v="3"/>
    <x v="0"/>
    <s v="BIAL-1_ST_STRAW_BP"/>
    <x v="0"/>
    <x v="15"/>
    <n v="128"/>
    <n v="46720"/>
    <n v="168192"/>
  </r>
  <r>
    <x v="0"/>
    <x v="0"/>
    <x v="0"/>
    <x v="8"/>
    <x v="16"/>
    <s v="PL_A"/>
    <x v="3"/>
    <x v="0"/>
    <s v="BIAL-1_ST_STRAW_BP"/>
    <x v="0"/>
    <x v="16"/>
    <n v="128"/>
    <n v="46720"/>
    <n v="168192"/>
  </r>
  <r>
    <x v="0"/>
    <x v="0"/>
    <x v="0"/>
    <x v="8"/>
    <x v="16"/>
    <s v="PL_A"/>
    <x v="3"/>
    <x v="0"/>
    <s v="BIAL-1_ST_STRAW_BP"/>
    <x v="0"/>
    <x v="17"/>
    <n v="128"/>
    <n v="46720"/>
    <n v="168192"/>
  </r>
  <r>
    <x v="0"/>
    <x v="0"/>
    <x v="0"/>
    <x v="8"/>
    <x v="16"/>
    <s v="PL_A"/>
    <x v="3"/>
    <x v="0"/>
    <s v="BIAL-1_ST_STRAW_BP"/>
    <x v="0"/>
    <x v="18"/>
    <n v="128"/>
    <n v="46720"/>
    <n v="168192"/>
  </r>
  <r>
    <x v="0"/>
    <x v="0"/>
    <x v="0"/>
    <x v="8"/>
    <x v="16"/>
    <s v="PL_A"/>
    <x v="3"/>
    <x v="0"/>
    <s v="BIAL-1_ST_STRAW_BP"/>
    <x v="0"/>
    <x v="19"/>
    <n v="128"/>
    <n v="46720"/>
    <n v="168192"/>
  </r>
  <r>
    <x v="0"/>
    <x v="0"/>
    <x v="0"/>
    <x v="8"/>
    <x v="16"/>
    <s v="PL_A"/>
    <x v="3"/>
    <x v="0"/>
    <s v="BIAL-1_ST_STRAW_BP"/>
    <x v="0"/>
    <x v="20"/>
    <n v="128"/>
    <n v="46720"/>
    <n v="168192"/>
  </r>
  <r>
    <x v="0"/>
    <x v="0"/>
    <x v="0"/>
    <x v="8"/>
    <x v="16"/>
    <s v="PL_A"/>
    <x v="3"/>
    <x v="0"/>
    <s v="BIAL-1_ST_STRAW_BP"/>
    <x v="0"/>
    <x v="21"/>
    <n v="128"/>
    <n v="46720"/>
    <n v="168192"/>
  </r>
  <r>
    <x v="0"/>
    <x v="0"/>
    <x v="0"/>
    <x v="8"/>
    <x v="16"/>
    <s v="PL_A"/>
    <x v="3"/>
    <x v="0"/>
    <s v="BIAL-1_ST_STRAW_BP"/>
    <x v="0"/>
    <x v="22"/>
    <n v="128"/>
    <n v="46720"/>
    <n v="168192"/>
  </r>
  <r>
    <x v="0"/>
    <x v="0"/>
    <x v="0"/>
    <x v="8"/>
    <x v="16"/>
    <s v="PL_A"/>
    <x v="3"/>
    <x v="0"/>
    <s v="BIAL-1_ST_STRAW_BP"/>
    <x v="0"/>
    <x v="23"/>
    <n v="128"/>
    <n v="46720"/>
    <n v="168192"/>
  </r>
  <r>
    <x v="0"/>
    <x v="0"/>
    <x v="0"/>
    <x v="8"/>
    <x v="16"/>
    <s v="PL_A"/>
    <x v="3"/>
    <x v="0"/>
    <s v="GNR_ST_STRAW_BP_E-15"/>
    <x v="0"/>
    <x v="0"/>
    <n v="82"/>
    <n v="29930"/>
    <n v="107748"/>
  </r>
  <r>
    <x v="0"/>
    <x v="0"/>
    <x v="0"/>
    <x v="8"/>
    <x v="16"/>
    <s v="PL_A"/>
    <x v="3"/>
    <x v="0"/>
    <s v="GNR_ST_STRAW_BP_E-15"/>
    <x v="0"/>
    <x v="1"/>
    <n v="82"/>
    <n v="29930"/>
    <n v="107748"/>
  </r>
  <r>
    <x v="0"/>
    <x v="0"/>
    <x v="0"/>
    <x v="8"/>
    <x v="16"/>
    <s v="PL_A"/>
    <x v="3"/>
    <x v="0"/>
    <s v="GNR_ST_STRAW_BP_E-15"/>
    <x v="0"/>
    <x v="2"/>
    <n v="82"/>
    <n v="29930"/>
    <n v="107748"/>
  </r>
  <r>
    <x v="0"/>
    <x v="0"/>
    <x v="0"/>
    <x v="8"/>
    <x v="16"/>
    <s v="PL_A"/>
    <x v="3"/>
    <x v="0"/>
    <s v="GNR_ST_STRAW_BP_E-15"/>
    <x v="0"/>
    <x v="3"/>
    <n v="82"/>
    <n v="29930"/>
    <n v="107748"/>
  </r>
  <r>
    <x v="0"/>
    <x v="0"/>
    <x v="0"/>
    <x v="8"/>
    <x v="16"/>
    <s v="PL_A"/>
    <x v="3"/>
    <x v="0"/>
    <s v="GNR_ST_STRAW_BP_E-15"/>
    <x v="0"/>
    <x v="4"/>
    <n v="82"/>
    <n v="29930"/>
    <n v="107748"/>
  </r>
  <r>
    <x v="0"/>
    <x v="0"/>
    <x v="0"/>
    <x v="8"/>
    <x v="16"/>
    <s v="PL_A"/>
    <x v="3"/>
    <x v="0"/>
    <s v="GNR_ST_STRAW_BP_E-15"/>
    <x v="0"/>
    <x v="5"/>
    <n v="82"/>
    <n v="29930"/>
    <n v="107748"/>
  </r>
  <r>
    <x v="0"/>
    <x v="0"/>
    <x v="0"/>
    <x v="8"/>
    <x v="16"/>
    <s v="PL_A"/>
    <x v="3"/>
    <x v="0"/>
    <s v="GNR_ST_STRAW_BP_E-15"/>
    <x v="0"/>
    <x v="6"/>
    <n v="82"/>
    <n v="29930"/>
    <n v="107748"/>
  </r>
  <r>
    <x v="0"/>
    <x v="0"/>
    <x v="0"/>
    <x v="8"/>
    <x v="16"/>
    <s v="PL_A"/>
    <x v="3"/>
    <x v="0"/>
    <s v="GNR_ST_STRAW_BP_E-15"/>
    <x v="0"/>
    <x v="7"/>
    <n v="82"/>
    <n v="29930"/>
    <n v="107748"/>
  </r>
  <r>
    <x v="0"/>
    <x v="0"/>
    <x v="0"/>
    <x v="8"/>
    <x v="16"/>
    <s v="PL_A"/>
    <x v="3"/>
    <x v="0"/>
    <s v="GNR_ST_STRAW_BP_E-15"/>
    <x v="0"/>
    <x v="8"/>
    <n v="82"/>
    <n v="29930"/>
    <n v="107748"/>
  </r>
  <r>
    <x v="0"/>
    <x v="0"/>
    <x v="0"/>
    <x v="8"/>
    <x v="16"/>
    <s v="PL_A"/>
    <x v="3"/>
    <x v="0"/>
    <s v="GNR_ST_STRAW_BP_E-15"/>
    <x v="0"/>
    <x v="9"/>
    <n v="82"/>
    <n v="29930"/>
    <n v="107748"/>
  </r>
  <r>
    <x v="0"/>
    <x v="0"/>
    <x v="0"/>
    <x v="8"/>
    <x v="16"/>
    <s v="PL_A"/>
    <x v="3"/>
    <x v="0"/>
    <s v="GNR_ST_STRAW_BP_E-15"/>
    <x v="0"/>
    <x v="10"/>
    <n v="82"/>
    <n v="29930"/>
    <n v="107748"/>
  </r>
  <r>
    <x v="0"/>
    <x v="0"/>
    <x v="0"/>
    <x v="8"/>
    <x v="16"/>
    <s v="PL_A"/>
    <x v="3"/>
    <x v="0"/>
    <s v="GNR_ST_STRAW_BP_E-15"/>
    <x v="0"/>
    <x v="11"/>
    <n v="82"/>
    <n v="29930"/>
    <n v="107748"/>
  </r>
  <r>
    <x v="0"/>
    <x v="0"/>
    <x v="0"/>
    <x v="8"/>
    <x v="16"/>
    <s v="PL_A"/>
    <x v="3"/>
    <x v="0"/>
    <s v="GNR_ST_STRAW_BP_E-15"/>
    <x v="0"/>
    <x v="12"/>
    <n v="82"/>
    <n v="29930"/>
    <n v="107748"/>
  </r>
  <r>
    <x v="0"/>
    <x v="0"/>
    <x v="0"/>
    <x v="8"/>
    <x v="16"/>
    <s v="PL_A"/>
    <x v="3"/>
    <x v="0"/>
    <s v="GNR_ST_STRAW_BP_E-15"/>
    <x v="0"/>
    <x v="13"/>
    <n v="82"/>
    <n v="29930"/>
    <n v="107748"/>
  </r>
  <r>
    <x v="0"/>
    <x v="0"/>
    <x v="0"/>
    <x v="8"/>
    <x v="16"/>
    <s v="PL_A"/>
    <x v="3"/>
    <x v="0"/>
    <s v="GNR_ST_STRAW_BP_E-15"/>
    <x v="0"/>
    <x v="14"/>
    <n v="82"/>
    <n v="29930"/>
    <n v="107748"/>
  </r>
  <r>
    <x v="0"/>
    <x v="0"/>
    <x v="0"/>
    <x v="8"/>
    <x v="16"/>
    <s v="PL_A"/>
    <x v="3"/>
    <x v="0"/>
    <s v="GNR_ST_STRAW_BP_E-15"/>
    <x v="0"/>
    <x v="15"/>
    <n v="82"/>
    <n v="29930"/>
    <n v="107748"/>
  </r>
  <r>
    <x v="0"/>
    <x v="0"/>
    <x v="0"/>
    <x v="8"/>
    <x v="16"/>
    <s v="PL_A"/>
    <x v="3"/>
    <x v="0"/>
    <s v="GNR_ST_STRAW_BP_E-15"/>
    <x v="0"/>
    <x v="16"/>
    <n v="82"/>
    <n v="29930"/>
    <n v="107748"/>
  </r>
  <r>
    <x v="0"/>
    <x v="0"/>
    <x v="0"/>
    <x v="8"/>
    <x v="16"/>
    <s v="PL_A"/>
    <x v="3"/>
    <x v="0"/>
    <s v="GNR_ST_STRAW_BP_E-15"/>
    <x v="0"/>
    <x v="17"/>
    <n v="82"/>
    <n v="29930"/>
    <n v="107748"/>
  </r>
  <r>
    <x v="0"/>
    <x v="0"/>
    <x v="0"/>
    <x v="8"/>
    <x v="16"/>
    <s v="PL_A"/>
    <x v="3"/>
    <x v="0"/>
    <s v="GNR_ST_STRAW_BP_E-15"/>
    <x v="0"/>
    <x v="18"/>
    <n v="82"/>
    <n v="29930"/>
    <n v="107748"/>
  </r>
  <r>
    <x v="0"/>
    <x v="0"/>
    <x v="0"/>
    <x v="8"/>
    <x v="16"/>
    <s v="PL_A"/>
    <x v="3"/>
    <x v="0"/>
    <s v="GNR_ST_STRAW_BP_E-15"/>
    <x v="0"/>
    <x v="19"/>
    <n v="82"/>
    <n v="29930"/>
    <n v="107748"/>
  </r>
  <r>
    <x v="0"/>
    <x v="0"/>
    <x v="0"/>
    <x v="8"/>
    <x v="16"/>
    <s v="PL_A"/>
    <x v="3"/>
    <x v="0"/>
    <s v="GNR_ST_STRAW_BP_E-15"/>
    <x v="0"/>
    <x v="20"/>
    <n v="82"/>
    <n v="29930"/>
    <n v="107748"/>
  </r>
  <r>
    <x v="0"/>
    <x v="0"/>
    <x v="0"/>
    <x v="8"/>
    <x v="16"/>
    <s v="PL_A"/>
    <x v="3"/>
    <x v="0"/>
    <s v="GNR_ST_STRAW_BP_E-15"/>
    <x v="0"/>
    <x v="21"/>
    <n v="82"/>
    <n v="29930"/>
    <n v="107748"/>
  </r>
  <r>
    <x v="0"/>
    <x v="0"/>
    <x v="0"/>
    <x v="8"/>
    <x v="16"/>
    <s v="PL_A"/>
    <x v="3"/>
    <x v="0"/>
    <s v="GNR_ST_STRAW_BP_E-15"/>
    <x v="0"/>
    <x v="22"/>
    <n v="82"/>
    <n v="29930"/>
    <n v="107748"/>
  </r>
  <r>
    <x v="0"/>
    <x v="0"/>
    <x v="0"/>
    <x v="8"/>
    <x v="16"/>
    <s v="PL_A"/>
    <x v="3"/>
    <x v="0"/>
    <s v="GNR_ST_STRAW_BP_E-15"/>
    <x v="0"/>
    <x v="23"/>
    <n v="82"/>
    <n v="29930"/>
    <n v="107748"/>
  </r>
  <r>
    <x v="0"/>
    <x v="0"/>
    <x v="0"/>
    <x v="8"/>
    <x v="16"/>
    <s v="PL_A"/>
    <x v="3"/>
    <x v="1"/>
    <s v="LODZ-3_ST_STRAW_EXT"/>
    <x v="0"/>
    <x v="0"/>
    <n v="88"/>
    <n v="32120"/>
    <n v="115632"/>
  </r>
  <r>
    <x v="0"/>
    <x v="0"/>
    <x v="0"/>
    <x v="8"/>
    <x v="16"/>
    <s v="PL_A"/>
    <x v="3"/>
    <x v="1"/>
    <s v="LODZ-3_ST_STRAW_EXT"/>
    <x v="0"/>
    <x v="1"/>
    <n v="88"/>
    <n v="32120"/>
    <n v="115632"/>
  </r>
  <r>
    <x v="0"/>
    <x v="0"/>
    <x v="0"/>
    <x v="8"/>
    <x v="16"/>
    <s v="PL_A"/>
    <x v="3"/>
    <x v="1"/>
    <s v="LODZ-3_ST_STRAW_EXT"/>
    <x v="0"/>
    <x v="2"/>
    <n v="88"/>
    <n v="32120"/>
    <n v="115632"/>
  </r>
  <r>
    <x v="0"/>
    <x v="0"/>
    <x v="0"/>
    <x v="8"/>
    <x v="16"/>
    <s v="PL_A"/>
    <x v="3"/>
    <x v="1"/>
    <s v="LODZ-3_ST_STRAW_EXT"/>
    <x v="0"/>
    <x v="3"/>
    <n v="88"/>
    <n v="32120"/>
    <n v="115632"/>
  </r>
  <r>
    <x v="0"/>
    <x v="0"/>
    <x v="0"/>
    <x v="8"/>
    <x v="16"/>
    <s v="PL_A"/>
    <x v="3"/>
    <x v="1"/>
    <s v="LODZ-3_ST_STRAW_EXT"/>
    <x v="0"/>
    <x v="4"/>
    <n v="88"/>
    <n v="32120"/>
    <n v="115632"/>
  </r>
  <r>
    <x v="0"/>
    <x v="0"/>
    <x v="0"/>
    <x v="8"/>
    <x v="16"/>
    <s v="PL_A"/>
    <x v="3"/>
    <x v="1"/>
    <s v="LODZ-3_ST_STRAW_EXT"/>
    <x v="0"/>
    <x v="5"/>
    <n v="88"/>
    <n v="32120"/>
    <n v="115632"/>
  </r>
  <r>
    <x v="0"/>
    <x v="0"/>
    <x v="0"/>
    <x v="8"/>
    <x v="16"/>
    <s v="PL_A"/>
    <x v="3"/>
    <x v="1"/>
    <s v="LODZ-3_ST_STRAW_EXT"/>
    <x v="0"/>
    <x v="6"/>
    <n v="88"/>
    <n v="32120"/>
    <n v="115632"/>
  </r>
  <r>
    <x v="0"/>
    <x v="0"/>
    <x v="0"/>
    <x v="8"/>
    <x v="16"/>
    <s v="PL_A"/>
    <x v="3"/>
    <x v="1"/>
    <s v="LODZ-3_ST_STRAW_EXT"/>
    <x v="0"/>
    <x v="7"/>
    <n v="88"/>
    <n v="32120"/>
    <n v="115632"/>
  </r>
  <r>
    <x v="0"/>
    <x v="0"/>
    <x v="0"/>
    <x v="8"/>
    <x v="16"/>
    <s v="PL_A"/>
    <x v="3"/>
    <x v="1"/>
    <s v="LODZ-3_ST_STRAW_EXT"/>
    <x v="0"/>
    <x v="8"/>
    <n v="88"/>
    <n v="32120"/>
    <n v="115632"/>
  </r>
  <r>
    <x v="0"/>
    <x v="0"/>
    <x v="0"/>
    <x v="8"/>
    <x v="16"/>
    <s v="PL_A"/>
    <x v="3"/>
    <x v="1"/>
    <s v="LODZ-3_ST_STRAW_EXT"/>
    <x v="0"/>
    <x v="9"/>
    <n v="88"/>
    <n v="32120"/>
    <n v="115632"/>
  </r>
  <r>
    <x v="0"/>
    <x v="0"/>
    <x v="0"/>
    <x v="8"/>
    <x v="16"/>
    <s v="PL_A"/>
    <x v="3"/>
    <x v="1"/>
    <s v="LODZ-3_ST_STRAW_EXT"/>
    <x v="0"/>
    <x v="10"/>
    <n v="88"/>
    <n v="32120"/>
    <n v="115632"/>
  </r>
  <r>
    <x v="0"/>
    <x v="0"/>
    <x v="0"/>
    <x v="8"/>
    <x v="16"/>
    <s v="PL_A"/>
    <x v="3"/>
    <x v="1"/>
    <s v="LODZ-3_ST_STRAW_EXT"/>
    <x v="0"/>
    <x v="11"/>
    <n v="88"/>
    <n v="32120"/>
    <n v="115632"/>
  </r>
  <r>
    <x v="0"/>
    <x v="0"/>
    <x v="0"/>
    <x v="8"/>
    <x v="16"/>
    <s v="PL_A"/>
    <x v="3"/>
    <x v="1"/>
    <s v="LODZ-3_ST_STRAW_EXT"/>
    <x v="0"/>
    <x v="12"/>
    <n v="88"/>
    <n v="32120"/>
    <n v="115632"/>
  </r>
  <r>
    <x v="0"/>
    <x v="0"/>
    <x v="0"/>
    <x v="8"/>
    <x v="16"/>
    <s v="PL_A"/>
    <x v="3"/>
    <x v="1"/>
    <s v="LODZ-3_ST_STRAW_EXT"/>
    <x v="0"/>
    <x v="13"/>
    <n v="88"/>
    <n v="32120"/>
    <n v="115632"/>
  </r>
  <r>
    <x v="0"/>
    <x v="0"/>
    <x v="0"/>
    <x v="8"/>
    <x v="16"/>
    <s v="PL_A"/>
    <x v="3"/>
    <x v="1"/>
    <s v="LODZ-3_ST_STRAW_EXT"/>
    <x v="0"/>
    <x v="14"/>
    <n v="88"/>
    <n v="32120"/>
    <n v="115632"/>
  </r>
  <r>
    <x v="0"/>
    <x v="0"/>
    <x v="0"/>
    <x v="8"/>
    <x v="16"/>
    <s v="PL_A"/>
    <x v="3"/>
    <x v="1"/>
    <s v="LODZ-3_ST_STRAW_EXT"/>
    <x v="0"/>
    <x v="15"/>
    <n v="88"/>
    <n v="32120"/>
    <n v="115632"/>
  </r>
  <r>
    <x v="0"/>
    <x v="0"/>
    <x v="0"/>
    <x v="8"/>
    <x v="16"/>
    <s v="PL_A"/>
    <x v="3"/>
    <x v="1"/>
    <s v="LODZ-3_ST_STRAW_EXT"/>
    <x v="0"/>
    <x v="16"/>
    <n v="88"/>
    <n v="32120"/>
    <n v="115632"/>
  </r>
  <r>
    <x v="0"/>
    <x v="0"/>
    <x v="0"/>
    <x v="8"/>
    <x v="16"/>
    <s v="PL_A"/>
    <x v="3"/>
    <x v="1"/>
    <s v="LODZ-3_ST_STRAW_EXT"/>
    <x v="0"/>
    <x v="17"/>
    <n v="88"/>
    <n v="32120"/>
    <n v="115632"/>
  </r>
  <r>
    <x v="0"/>
    <x v="0"/>
    <x v="0"/>
    <x v="8"/>
    <x v="16"/>
    <s v="PL_A"/>
    <x v="3"/>
    <x v="1"/>
    <s v="LODZ-3_ST_STRAW_EXT"/>
    <x v="0"/>
    <x v="18"/>
    <n v="88"/>
    <n v="32120"/>
    <n v="115632"/>
  </r>
  <r>
    <x v="0"/>
    <x v="0"/>
    <x v="0"/>
    <x v="8"/>
    <x v="16"/>
    <s v="PL_A"/>
    <x v="3"/>
    <x v="1"/>
    <s v="LODZ-3_ST_STRAW_EXT"/>
    <x v="0"/>
    <x v="19"/>
    <n v="88"/>
    <n v="32120"/>
    <n v="115632"/>
  </r>
  <r>
    <x v="0"/>
    <x v="0"/>
    <x v="0"/>
    <x v="8"/>
    <x v="16"/>
    <s v="PL_A"/>
    <x v="3"/>
    <x v="1"/>
    <s v="LODZ-3_ST_STRAW_EXT"/>
    <x v="0"/>
    <x v="20"/>
    <n v="88"/>
    <n v="32120"/>
    <n v="115632"/>
  </r>
  <r>
    <x v="0"/>
    <x v="0"/>
    <x v="0"/>
    <x v="8"/>
    <x v="16"/>
    <s v="PL_A"/>
    <x v="3"/>
    <x v="1"/>
    <s v="LODZ-3_ST_STRAW_EXT"/>
    <x v="0"/>
    <x v="21"/>
    <n v="88"/>
    <n v="32120"/>
    <n v="115632"/>
  </r>
  <r>
    <x v="0"/>
    <x v="0"/>
    <x v="0"/>
    <x v="8"/>
    <x v="16"/>
    <s v="PL_A"/>
    <x v="3"/>
    <x v="1"/>
    <s v="LODZ-3_ST_STRAW_EXT"/>
    <x v="0"/>
    <x v="22"/>
    <n v="88"/>
    <n v="32120"/>
    <n v="115632"/>
  </r>
  <r>
    <x v="0"/>
    <x v="0"/>
    <x v="0"/>
    <x v="8"/>
    <x v="16"/>
    <s v="PL_A"/>
    <x v="3"/>
    <x v="1"/>
    <s v="LODZ-3_ST_STRAW_EXT"/>
    <x v="0"/>
    <x v="23"/>
    <n v="88"/>
    <n v="32120"/>
    <n v="115632"/>
  </r>
  <r>
    <x v="0"/>
    <x v="0"/>
    <x v="0"/>
    <x v="8"/>
    <x v="16"/>
    <s v="PL_A"/>
    <x v="5"/>
    <x v="3"/>
    <s v="GNR_PV_SUN"/>
    <x v="0"/>
    <x v="8"/>
    <n v="2.2203077554217899E-2"/>
    <n v="8.1041233072895391"/>
    <n v="29.174843906242302"/>
  </r>
  <r>
    <x v="0"/>
    <x v="0"/>
    <x v="0"/>
    <x v="8"/>
    <x v="16"/>
    <s v="PL_A"/>
    <x v="5"/>
    <x v="3"/>
    <s v="GNR_PV_SUN"/>
    <x v="0"/>
    <x v="9"/>
    <n v="0.16714932230559901"/>
    <n v="61.009502641543797"/>
    <n v="219.63420950955799"/>
  </r>
  <r>
    <x v="0"/>
    <x v="0"/>
    <x v="0"/>
    <x v="8"/>
    <x v="16"/>
    <s v="PL_A"/>
    <x v="5"/>
    <x v="3"/>
    <s v="GNR_PV_SUN"/>
    <x v="0"/>
    <x v="10"/>
    <n v="0.38610582557104101"/>
    <n v="140.92862633343"/>
    <n v="507.34305480034698"/>
  </r>
  <r>
    <x v="0"/>
    <x v="0"/>
    <x v="0"/>
    <x v="8"/>
    <x v="16"/>
    <s v="PL_A"/>
    <x v="5"/>
    <x v="3"/>
    <s v="GNR_PV_SUN"/>
    <x v="0"/>
    <x v="11"/>
    <n v="0.58798303841015997"/>
    <n v="214.61380901970901"/>
    <n v="772.60971247095097"/>
  </r>
  <r>
    <x v="0"/>
    <x v="0"/>
    <x v="0"/>
    <x v="8"/>
    <x v="16"/>
    <s v="PL_A"/>
    <x v="5"/>
    <x v="3"/>
    <s v="GNR_PV_SUN"/>
    <x v="0"/>
    <x v="12"/>
    <n v="0.66848342728622201"/>
    <n v="243.99645095947099"/>
    <n v="878.38722345409599"/>
  </r>
  <r>
    <x v="0"/>
    <x v="0"/>
    <x v="0"/>
    <x v="8"/>
    <x v="16"/>
    <s v="PL_A"/>
    <x v="5"/>
    <x v="3"/>
    <s v="GNR_PV_SUN"/>
    <x v="0"/>
    <x v="13"/>
    <n v="0.58126518417580697"/>
    <n v="212.16179222417"/>
    <n v="763.78245200701099"/>
  </r>
  <r>
    <x v="0"/>
    <x v="0"/>
    <x v="0"/>
    <x v="8"/>
    <x v="16"/>
    <s v="PL_A"/>
    <x v="5"/>
    <x v="3"/>
    <s v="GNR_PV_SUN"/>
    <x v="0"/>
    <x v="14"/>
    <n v="0.37824935197493298"/>
    <n v="138.06101347085001"/>
    <n v="497.01964849506197"/>
  </r>
  <r>
    <x v="0"/>
    <x v="0"/>
    <x v="0"/>
    <x v="8"/>
    <x v="16"/>
    <s v="PL_A"/>
    <x v="5"/>
    <x v="3"/>
    <s v="GNR_PV_SUN"/>
    <x v="0"/>
    <x v="15"/>
    <n v="0.191515776647151"/>
    <n v="69.903258476210297"/>
    <n v="251.65173051435701"/>
  </r>
  <r>
    <x v="0"/>
    <x v="0"/>
    <x v="0"/>
    <x v="8"/>
    <x v="16"/>
    <s v="PL_A"/>
    <x v="5"/>
    <x v="3"/>
    <s v="GNR_PV_SUN"/>
    <x v="0"/>
    <x v="16"/>
    <n v="2.4935764022429301E-2"/>
    <n v="9.1015538681867092"/>
    <n v="32.765593925472203"/>
  </r>
  <r>
    <x v="0"/>
    <x v="0"/>
    <x v="0"/>
    <x v="8"/>
    <x v="16"/>
    <s v="PL_A"/>
    <x v="7"/>
    <x v="5"/>
    <s v="GNR_WT_WIND_ONS"/>
    <x v="0"/>
    <x v="0"/>
    <n v="209.95498743155599"/>
    <n v="76633.570412517802"/>
    <n v="275880.853485064"/>
  </r>
  <r>
    <x v="0"/>
    <x v="0"/>
    <x v="0"/>
    <x v="8"/>
    <x v="16"/>
    <s v="PL_A"/>
    <x v="7"/>
    <x v="5"/>
    <s v="GNR_WT_WIND_ONS"/>
    <x v="0"/>
    <x v="1"/>
    <n v="251.94598491786701"/>
    <n v="91960.284495021304"/>
    <n v="331057.02418207697"/>
  </r>
  <r>
    <x v="0"/>
    <x v="0"/>
    <x v="0"/>
    <x v="8"/>
    <x v="16"/>
    <s v="PL_A"/>
    <x v="7"/>
    <x v="5"/>
    <s v="GNR_WT_WIND_ONS"/>
    <x v="0"/>
    <x v="2"/>
    <n v="245.947270991251"/>
    <n v="89770.753911806503"/>
    <n v="323174.71408250398"/>
  </r>
  <r>
    <x v="0"/>
    <x v="0"/>
    <x v="0"/>
    <x v="8"/>
    <x v="16"/>
    <s v="PL_A"/>
    <x v="7"/>
    <x v="5"/>
    <s v="GNR_WT_WIND_ONS"/>
    <x v="0"/>
    <x v="3"/>
    <n v="230.95048617471099"/>
    <n v="84296.927453769604"/>
    <n v="303468.93883356999"/>
  </r>
  <r>
    <x v="0"/>
    <x v="0"/>
    <x v="0"/>
    <x v="8"/>
    <x v="16"/>
    <s v="PL_A"/>
    <x v="7"/>
    <x v="5"/>
    <s v="GNR_WT_WIND_ONS"/>
    <x v="0"/>
    <x v="4"/>
    <n v="170.96334690855201"/>
    <n v="62401.621621621598"/>
    <n v="224645.83783783799"/>
  </r>
  <r>
    <x v="0"/>
    <x v="0"/>
    <x v="0"/>
    <x v="8"/>
    <x v="16"/>
    <s v="PL_A"/>
    <x v="7"/>
    <x v="5"/>
    <s v="GNR_WT_WIND_ONS"/>
    <x v="0"/>
    <x v="5"/>
    <n v="98.978779789161905"/>
    <n v="36127.2546230441"/>
    <n v="130058.11664295899"/>
  </r>
  <r>
    <x v="0"/>
    <x v="0"/>
    <x v="0"/>
    <x v="8"/>
    <x v="16"/>
    <s v="PL_A"/>
    <x v="7"/>
    <x v="5"/>
    <s v="GNR_WT_WIND_ONS"/>
    <x v="0"/>
    <x v="6"/>
    <n v="20.995498743155601"/>
    <n v="7663.3570412517802"/>
    <n v="27588.0853485064"/>
  </r>
  <r>
    <x v="0"/>
    <x v="0"/>
    <x v="0"/>
    <x v="8"/>
    <x v="16"/>
    <s v="PL_A"/>
    <x v="7"/>
    <x v="5"/>
    <s v="GNR_WT_WIND_ONS"/>
    <x v="0"/>
    <x v="7"/>
    <n v="14.9967848165397"/>
    <n v="5473.8264580369796"/>
    <n v="19705.7752489331"/>
  </r>
  <r>
    <x v="0"/>
    <x v="0"/>
    <x v="0"/>
    <x v="8"/>
    <x v="16"/>
    <s v="PL_A"/>
    <x v="7"/>
    <x v="5"/>
    <s v="GNR_WT_WIND_ONS"/>
    <x v="0"/>
    <x v="8"/>
    <n v="20.995498743155601"/>
    <n v="7663.3570412517802"/>
    <n v="27588.0853485064"/>
  </r>
  <r>
    <x v="0"/>
    <x v="0"/>
    <x v="0"/>
    <x v="8"/>
    <x v="16"/>
    <s v="PL_A"/>
    <x v="7"/>
    <x v="5"/>
    <s v="GNR_WT_WIND_ONS"/>
    <x v="0"/>
    <x v="9"/>
    <n v="98.978779789161905"/>
    <n v="36127.2546230441"/>
    <n v="130058.11664295899"/>
  </r>
  <r>
    <x v="0"/>
    <x v="0"/>
    <x v="0"/>
    <x v="8"/>
    <x v="16"/>
    <s v="PL_A"/>
    <x v="7"/>
    <x v="5"/>
    <s v="GNR_WT_WIND_ONS"/>
    <x v="0"/>
    <x v="10"/>
    <n v="230.95048617471099"/>
    <n v="84296.927453769604"/>
    <n v="303468.93883356999"/>
  </r>
  <r>
    <x v="0"/>
    <x v="0"/>
    <x v="0"/>
    <x v="8"/>
    <x v="16"/>
    <s v="PL_A"/>
    <x v="7"/>
    <x v="5"/>
    <s v="GNR_WT_WIND_ONS"/>
    <x v="0"/>
    <x v="11"/>
    <n v="356.92347863364398"/>
    <n v="130277.06970127999"/>
    <n v="468997.45092460897"/>
  </r>
  <r>
    <x v="0"/>
    <x v="0"/>
    <x v="0"/>
    <x v="8"/>
    <x v="16"/>
    <s v="PL_A"/>
    <x v="7"/>
    <x v="5"/>
    <s v="GNR_WT_WIND_ONS"/>
    <x v="0"/>
    <x v="12"/>
    <n v="413.91126093649501"/>
    <n v="151077.61024182101"/>
    <n v="543879.39687055501"/>
  </r>
  <r>
    <x v="0"/>
    <x v="0"/>
    <x v="0"/>
    <x v="8"/>
    <x v="16"/>
    <s v="PL_A"/>
    <x v="7"/>
    <x v="5"/>
    <s v="GNR_WT_WIND_ONS"/>
    <x v="0"/>
    <x v="13"/>
    <n v="473.89840020265399"/>
    <n v="172972.91607396901"/>
    <n v="622702.49786628701"/>
  </r>
  <r>
    <x v="0"/>
    <x v="0"/>
    <x v="0"/>
    <x v="8"/>
    <x v="16"/>
    <s v="PL_A"/>
    <x v="7"/>
    <x v="5"/>
    <s v="GNR_WT_WIND_ONS"/>
    <x v="0"/>
    <x v="14"/>
    <n v="473.89840020265399"/>
    <n v="172972.91607396901"/>
    <n v="622702.49786628701"/>
  </r>
  <r>
    <x v="0"/>
    <x v="0"/>
    <x v="0"/>
    <x v="8"/>
    <x v="16"/>
    <s v="PL_A"/>
    <x v="7"/>
    <x v="5"/>
    <s v="GNR_WT_WIND_ONS"/>
    <x v="0"/>
    <x v="15"/>
    <n v="749.839240826984"/>
    <n v="273691.32290184899"/>
    <n v="985288.76244665706"/>
  </r>
  <r>
    <x v="0"/>
    <x v="0"/>
    <x v="0"/>
    <x v="8"/>
    <x v="16"/>
    <s v="PL_A"/>
    <x v="7"/>
    <x v="5"/>
    <s v="GNR_WT_WIND_ONS"/>
    <x v="0"/>
    <x v="16"/>
    <n v="968.79229914846303"/>
    <n v="353609.189189189"/>
    <n v="1272993.08108108"/>
  </r>
  <r>
    <x v="0"/>
    <x v="0"/>
    <x v="0"/>
    <x v="8"/>
    <x v="16"/>
    <s v="PL_A"/>
    <x v="7"/>
    <x v="5"/>
    <s v="GNR_WT_WIND_ONS"/>
    <x v="0"/>
    <x v="17"/>
    <n v="956.79487129523204"/>
    <n v="349230.12802275998"/>
    <n v="1257228.4608819301"/>
  </r>
  <r>
    <x v="0"/>
    <x v="0"/>
    <x v="0"/>
    <x v="8"/>
    <x v="16"/>
    <s v="PL_A"/>
    <x v="7"/>
    <x v="5"/>
    <s v="GNR_WT_WIND_ONS"/>
    <x v="0"/>
    <x v="18"/>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A"/>
    <x v="10"/>
    <x v="1"/>
    <s v="GNR_ST_WOOD_EXT_E-45"/>
    <x v="0"/>
    <x v="0"/>
    <n v="1180"/>
    <n v="430700"/>
    <n v="1550520"/>
  </r>
  <r>
    <x v="0"/>
    <x v="0"/>
    <x v="0"/>
    <x v="8"/>
    <x v="16"/>
    <s v="PL_A"/>
    <x v="10"/>
    <x v="1"/>
    <s v="GNR_ST_WOOD_EXT_E-45"/>
    <x v="0"/>
    <x v="1"/>
    <n v="1180"/>
    <n v="430700"/>
    <n v="1550520"/>
  </r>
  <r>
    <x v="0"/>
    <x v="0"/>
    <x v="0"/>
    <x v="8"/>
    <x v="16"/>
    <s v="PL_A"/>
    <x v="10"/>
    <x v="1"/>
    <s v="GNR_ST_WOOD_EXT_E-45"/>
    <x v="0"/>
    <x v="2"/>
    <n v="1180"/>
    <n v="430700"/>
    <n v="1550520"/>
  </r>
  <r>
    <x v="0"/>
    <x v="0"/>
    <x v="0"/>
    <x v="8"/>
    <x v="16"/>
    <s v="PL_A"/>
    <x v="10"/>
    <x v="1"/>
    <s v="GNR_ST_WOOD_EXT_E-45"/>
    <x v="0"/>
    <x v="3"/>
    <n v="1180"/>
    <n v="430700"/>
    <n v="1550520"/>
  </r>
  <r>
    <x v="0"/>
    <x v="0"/>
    <x v="0"/>
    <x v="8"/>
    <x v="16"/>
    <s v="PL_A"/>
    <x v="10"/>
    <x v="1"/>
    <s v="GNR_ST_WOOD_EXT_E-45"/>
    <x v="0"/>
    <x v="4"/>
    <n v="1180"/>
    <n v="430700"/>
    <n v="1550520"/>
  </r>
  <r>
    <x v="0"/>
    <x v="0"/>
    <x v="0"/>
    <x v="8"/>
    <x v="16"/>
    <s v="PL_A"/>
    <x v="10"/>
    <x v="1"/>
    <s v="GNR_ST_WOOD_EXT_E-45"/>
    <x v="0"/>
    <x v="5"/>
    <n v="1180"/>
    <n v="430700"/>
    <n v="1550520"/>
  </r>
  <r>
    <x v="0"/>
    <x v="0"/>
    <x v="0"/>
    <x v="8"/>
    <x v="16"/>
    <s v="PL_A"/>
    <x v="10"/>
    <x v="1"/>
    <s v="GNR_ST_WOOD_EXT_E-45"/>
    <x v="0"/>
    <x v="6"/>
    <n v="1180"/>
    <n v="430700"/>
    <n v="1550520"/>
  </r>
  <r>
    <x v="0"/>
    <x v="0"/>
    <x v="0"/>
    <x v="8"/>
    <x v="16"/>
    <s v="PL_A"/>
    <x v="10"/>
    <x v="1"/>
    <s v="GNR_ST_WOOD_EXT_E-45"/>
    <x v="0"/>
    <x v="7"/>
    <n v="1180"/>
    <n v="430700"/>
    <n v="1550520"/>
  </r>
  <r>
    <x v="0"/>
    <x v="0"/>
    <x v="0"/>
    <x v="8"/>
    <x v="16"/>
    <s v="PL_A"/>
    <x v="10"/>
    <x v="1"/>
    <s v="GNR_ST_WOOD_EXT_E-45"/>
    <x v="0"/>
    <x v="8"/>
    <n v="1180"/>
    <n v="430700"/>
    <n v="1550520"/>
  </r>
  <r>
    <x v="0"/>
    <x v="0"/>
    <x v="0"/>
    <x v="8"/>
    <x v="16"/>
    <s v="PL_A"/>
    <x v="10"/>
    <x v="1"/>
    <s v="GNR_ST_WOOD_EXT_E-45"/>
    <x v="0"/>
    <x v="9"/>
    <n v="1180"/>
    <n v="430700"/>
    <n v="1550520"/>
  </r>
  <r>
    <x v="0"/>
    <x v="0"/>
    <x v="0"/>
    <x v="8"/>
    <x v="16"/>
    <s v="PL_A"/>
    <x v="10"/>
    <x v="1"/>
    <s v="GNR_ST_WOOD_EXT_E-45"/>
    <x v="0"/>
    <x v="10"/>
    <n v="1180"/>
    <n v="430700"/>
    <n v="1550520"/>
  </r>
  <r>
    <x v="0"/>
    <x v="0"/>
    <x v="0"/>
    <x v="8"/>
    <x v="16"/>
    <s v="PL_A"/>
    <x v="10"/>
    <x v="1"/>
    <s v="GNR_ST_WOOD_EXT_E-45"/>
    <x v="0"/>
    <x v="11"/>
    <n v="1180"/>
    <n v="430700"/>
    <n v="1550520"/>
  </r>
  <r>
    <x v="0"/>
    <x v="0"/>
    <x v="0"/>
    <x v="8"/>
    <x v="16"/>
    <s v="PL_A"/>
    <x v="10"/>
    <x v="1"/>
    <s v="GNR_ST_WOOD_EXT_E-45"/>
    <x v="0"/>
    <x v="12"/>
    <n v="1180"/>
    <n v="430700"/>
    <n v="1550520"/>
  </r>
  <r>
    <x v="0"/>
    <x v="0"/>
    <x v="0"/>
    <x v="8"/>
    <x v="16"/>
    <s v="PL_A"/>
    <x v="10"/>
    <x v="1"/>
    <s v="GNR_ST_WOOD_EXT_E-45"/>
    <x v="0"/>
    <x v="13"/>
    <n v="1180"/>
    <n v="430700"/>
    <n v="1550520"/>
  </r>
  <r>
    <x v="0"/>
    <x v="0"/>
    <x v="0"/>
    <x v="8"/>
    <x v="16"/>
    <s v="PL_A"/>
    <x v="10"/>
    <x v="1"/>
    <s v="GNR_ST_WOOD_EXT_E-45"/>
    <x v="0"/>
    <x v="14"/>
    <n v="1180"/>
    <n v="430700"/>
    <n v="1550520"/>
  </r>
  <r>
    <x v="0"/>
    <x v="0"/>
    <x v="0"/>
    <x v="8"/>
    <x v="16"/>
    <s v="PL_A"/>
    <x v="10"/>
    <x v="1"/>
    <s v="GNR_ST_WOOD_EXT_E-45"/>
    <x v="0"/>
    <x v="15"/>
    <n v="1180"/>
    <n v="430700"/>
    <n v="1550520"/>
  </r>
  <r>
    <x v="0"/>
    <x v="0"/>
    <x v="0"/>
    <x v="8"/>
    <x v="16"/>
    <s v="PL_A"/>
    <x v="10"/>
    <x v="1"/>
    <s v="GNR_ST_WOOD_EXT_E-45"/>
    <x v="0"/>
    <x v="16"/>
    <n v="1180"/>
    <n v="430700"/>
    <n v="1550520"/>
  </r>
  <r>
    <x v="0"/>
    <x v="0"/>
    <x v="0"/>
    <x v="8"/>
    <x v="16"/>
    <s v="PL_A"/>
    <x v="10"/>
    <x v="1"/>
    <s v="GNR_ST_WOOD_EXT_E-45"/>
    <x v="0"/>
    <x v="17"/>
    <n v="1180"/>
    <n v="430700"/>
    <n v="1550520"/>
  </r>
  <r>
    <x v="0"/>
    <x v="0"/>
    <x v="0"/>
    <x v="8"/>
    <x v="16"/>
    <s v="PL_A"/>
    <x v="10"/>
    <x v="1"/>
    <s v="GNR_ST_WOOD_EXT_E-45"/>
    <x v="0"/>
    <x v="18"/>
    <n v="1180"/>
    <n v="430700"/>
    <n v="1550520"/>
  </r>
  <r>
    <x v="0"/>
    <x v="0"/>
    <x v="0"/>
    <x v="8"/>
    <x v="16"/>
    <s v="PL_A"/>
    <x v="10"/>
    <x v="1"/>
    <s v="GNR_ST_WOOD_EXT_E-45"/>
    <x v="0"/>
    <x v="19"/>
    <n v="1180"/>
    <n v="430700"/>
    <n v="1550520"/>
  </r>
  <r>
    <x v="0"/>
    <x v="0"/>
    <x v="0"/>
    <x v="8"/>
    <x v="16"/>
    <s v="PL_A"/>
    <x v="10"/>
    <x v="1"/>
    <s v="GNR_ST_WOOD_EXT_E-45"/>
    <x v="0"/>
    <x v="20"/>
    <n v="1180"/>
    <n v="430700"/>
    <n v="1550520"/>
  </r>
  <r>
    <x v="0"/>
    <x v="0"/>
    <x v="0"/>
    <x v="8"/>
    <x v="16"/>
    <s v="PL_A"/>
    <x v="10"/>
    <x v="1"/>
    <s v="GNR_ST_WOOD_EXT_E-45"/>
    <x v="0"/>
    <x v="21"/>
    <n v="1180"/>
    <n v="430700"/>
    <n v="1550520"/>
  </r>
  <r>
    <x v="0"/>
    <x v="0"/>
    <x v="0"/>
    <x v="8"/>
    <x v="16"/>
    <s v="PL_A"/>
    <x v="10"/>
    <x v="1"/>
    <s v="GNR_ST_WOOD_EXT_E-45"/>
    <x v="0"/>
    <x v="22"/>
    <n v="1180"/>
    <n v="430700"/>
    <n v="1550520"/>
  </r>
  <r>
    <x v="0"/>
    <x v="0"/>
    <x v="0"/>
    <x v="8"/>
    <x v="16"/>
    <s v="PL_A"/>
    <x v="10"/>
    <x v="1"/>
    <s v="GNR_ST_WOOD_EXT_E-45"/>
    <x v="0"/>
    <x v="23"/>
    <n v="1180"/>
    <n v="430700"/>
    <n v="1550520"/>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2"/>
    <n v="263.81563926940601"/>
    <n v="96292.708333333299"/>
    <n v="346653.75"/>
  </r>
  <r>
    <x v="0"/>
    <x v="0"/>
    <x v="0"/>
    <x v="8"/>
    <x v="16"/>
    <s v="PL_Rural"/>
    <x v="6"/>
    <x v="4"/>
    <s v="GNR_ROR_WTR"/>
    <x v="0"/>
    <x v="3"/>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8"/>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2"/>
    <n v="405.5"/>
    <n v="148007.5"/>
    <n v="532827"/>
  </r>
  <r>
    <x v="0"/>
    <x v="0"/>
    <x v="0"/>
    <x v="9"/>
    <x v="17"/>
    <s v="SE1A"/>
    <x v="6"/>
    <x v="7"/>
    <s v="GNR_RES_WTR_NOPMP_MC-01"/>
    <x v="0"/>
    <x v="3"/>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8"/>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2"/>
    <n v="405.5"/>
    <n v="148007.5"/>
    <n v="532827"/>
  </r>
  <r>
    <x v="0"/>
    <x v="0"/>
    <x v="0"/>
    <x v="9"/>
    <x v="17"/>
    <s v="SE1A"/>
    <x v="6"/>
    <x v="7"/>
    <s v="GNR_RES_WTR_NOPMP_MC-02"/>
    <x v="0"/>
    <x v="3"/>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8"/>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2"/>
    <n v="405.5"/>
    <n v="148007.5"/>
    <n v="532827"/>
  </r>
  <r>
    <x v="0"/>
    <x v="0"/>
    <x v="0"/>
    <x v="9"/>
    <x v="17"/>
    <s v="SE1A"/>
    <x v="6"/>
    <x v="7"/>
    <s v="GNR_RES_WTR_NOPMP_MC-03"/>
    <x v="0"/>
    <x v="3"/>
    <n v="405.5"/>
    <n v="148007.5"/>
    <n v="532827"/>
  </r>
  <r>
    <x v="0"/>
    <x v="0"/>
    <x v="0"/>
    <x v="9"/>
    <x v="17"/>
    <s v="SE1A"/>
    <x v="6"/>
    <x v="7"/>
    <s v="GNR_RES_WTR_NOPMP_MC-03"/>
    <x v="0"/>
    <x v="4"/>
    <n v="405.5"/>
    <n v="148007.5"/>
    <n v="532827"/>
  </r>
  <r>
    <x v="0"/>
    <x v="0"/>
    <x v="0"/>
    <x v="9"/>
    <x v="17"/>
    <s v="SE1A"/>
    <x v="6"/>
    <x v="7"/>
    <s v="GNR_RES_WTR_NOPMP_MC-03"/>
    <x v="0"/>
    <x v="5"/>
    <n v="405.5"/>
    <n v="148007.5"/>
    <n v="532827"/>
  </r>
  <r>
    <x v="0"/>
    <x v="0"/>
    <x v="0"/>
    <x v="9"/>
    <x v="17"/>
    <s v="SE1A"/>
    <x v="6"/>
    <x v="7"/>
    <s v="GNR_RES_WTR_NOPMP_MC-03"/>
    <x v="0"/>
    <x v="6"/>
    <n v="405.5"/>
    <n v="148007.5"/>
    <n v="532827"/>
  </r>
  <r>
    <x v="0"/>
    <x v="0"/>
    <x v="0"/>
    <x v="9"/>
    <x v="17"/>
    <s v="SE1A"/>
    <x v="6"/>
    <x v="7"/>
    <s v="GNR_RES_WTR_NOPMP_MC-03"/>
    <x v="0"/>
    <x v="7"/>
    <n v="405.5"/>
    <n v="148007.5"/>
    <n v="532827"/>
  </r>
  <r>
    <x v="0"/>
    <x v="0"/>
    <x v="0"/>
    <x v="9"/>
    <x v="17"/>
    <s v="SE1A"/>
    <x v="6"/>
    <x v="7"/>
    <s v="GNR_RES_WTR_NOPMP_MC-03"/>
    <x v="0"/>
    <x v="8"/>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8"/>
    <n v="405.5"/>
    <n v="148007.5"/>
    <n v="532827"/>
  </r>
  <r>
    <x v="0"/>
    <x v="0"/>
    <x v="0"/>
    <x v="9"/>
    <x v="17"/>
    <s v="SE1A"/>
    <x v="6"/>
    <x v="7"/>
    <s v="GNR_RES_WTR_NOPMP_MC-03"/>
    <x v="0"/>
    <x v="19"/>
    <n v="405.5"/>
    <n v="148007.5"/>
    <n v="532827"/>
  </r>
  <r>
    <x v="0"/>
    <x v="0"/>
    <x v="0"/>
    <x v="9"/>
    <x v="17"/>
    <s v="SE1A"/>
    <x v="6"/>
    <x v="7"/>
    <s v="GNR_RES_WTR_NOPMP_MC-03"/>
    <x v="0"/>
    <x v="20"/>
    <n v="405.5"/>
    <n v="148007.5"/>
    <n v="532827"/>
  </r>
  <r>
    <x v="0"/>
    <x v="0"/>
    <x v="0"/>
    <x v="9"/>
    <x v="17"/>
    <s v="SE1A"/>
    <x v="6"/>
    <x v="7"/>
    <s v="GNR_RES_WTR_NOPMP_MC-03"/>
    <x v="0"/>
    <x v="21"/>
    <n v="405.5"/>
    <n v="148007.5"/>
    <n v="532827"/>
  </r>
  <r>
    <x v="0"/>
    <x v="0"/>
    <x v="0"/>
    <x v="9"/>
    <x v="17"/>
    <s v="SE1A"/>
    <x v="6"/>
    <x v="7"/>
    <s v="GNR_RES_WTR_NOPMP_MC-03"/>
    <x v="0"/>
    <x v="22"/>
    <n v="405.5"/>
    <n v="148007.5"/>
    <n v="532827"/>
  </r>
  <r>
    <x v="0"/>
    <x v="0"/>
    <x v="0"/>
    <x v="9"/>
    <x v="17"/>
    <s v="SE1A"/>
    <x v="6"/>
    <x v="7"/>
    <s v="GNR_RES_WTR_NOPMP_MC-03"/>
    <x v="0"/>
    <x v="23"/>
    <n v="405.5"/>
    <n v="148007.5"/>
    <n v="532827"/>
  </r>
  <r>
    <x v="0"/>
    <x v="0"/>
    <x v="0"/>
    <x v="9"/>
    <x v="17"/>
    <s v="SE1A"/>
    <x v="6"/>
    <x v="7"/>
    <s v="GNR_RES_WTR_NOPMP_MC-04"/>
    <x v="0"/>
    <x v="0"/>
    <n v="263.82486905367398"/>
    <n v="96296.077204590896"/>
    <n v="346665.87793652702"/>
  </r>
  <r>
    <x v="0"/>
    <x v="0"/>
    <x v="0"/>
    <x v="9"/>
    <x v="17"/>
    <s v="SE1A"/>
    <x v="6"/>
    <x v="7"/>
    <s v="GNR_RES_WTR_NOPMP_MC-04"/>
    <x v="0"/>
    <x v="1"/>
    <n v="230.96955559912601"/>
    <n v="84303.887793681104"/>
    <n v="303493.99605725199"/>
  </r>
  <r>
    <x v="0"/>
    <x v="0"/>
    <x v="0"/>
    <x v="9"/>
    <x v="17"/>
    <s v="SE1A"/>
    <x v="6"/>
    <x v="7"/>
    <s v="GNR_RES_WTR_NOPMP_MC-04"/>
    <x v="0"/>
    <x v="2"/>
    <n v="221.36153853863701"/>
    <n v="80796.961566602506"/>
    <n v="290869.061639769"/>
  </r>
  <r>
    <x v="0"/>
    <x v="0"/>
    <x v="0"/>
    <x v="9"/>
    <x v="17"/>
    <s v="SE1A"/>
    <x v="6"/>
    <x v="7"/>
    <s v="GNR_RES_WTR_NOPMP_MC-04"/>
    <x v="0"/>
    <x v="3"/>
    <n v="214.729149641075"/>
    <n v="78376.139618992296"/>
    <n v="282154.10262837203"/>
  </r>
  <r>
    <x v="0"/>
    <x v="0"/>
    <x v="0"/>
    <x v="9"/>
    <x v="17"/>
    <s v="SE1A"/>
    <x v="6"/>
    <x v="7"/>
    <s v="GNR_RES_WTR_NOPMP_MC-04"/>
    <x v="0"/>
    <x v="4"/>
    <n v="235.70462162333899"/>
    <n v="86032.186892518905"/>
    <n v="309715.87281306798"/>
  </r>
  <r>
    <x v="0"/>
    <x v="0"/>
    <x v="0"/>
    <x v="9"/>
    <x v="17"/>
    <s v="SE1A"/>
    <x v="6"/>
    <x v="7"/>
    <s v="GNR_RES_WTR_NOPMP_MC-04"/>
    <x v="0"/>
    <x v="5"/>
    <n v="220.74726130114499"/>
    <n v="80572.750374918105"/>
    <n v="290061.901349705"/>
  </r>
  <r>
    <x v="0"/>
    <x v="0"/>
    <x v="0"/>
    <x v="9"/>
    <x v="17"/>
    <s v="SE1A"/>
    <x v="6"/>
    <x v="7"/>
    <s v="GNR_RES_WTR_NOPMP_MC-04"/>
    <x v="0"/>
    <x v="6"/>
    <n v="405.5"/>
    <n v="148007.5"/>
    <n v="532827"/>
  </r>
  <r>
    <x v="0"/>
    <x v="0"/>
    <x v="0"/>
    <x v="9"/>
    <x v="17"/>
    <s v="SE1A"/>
    <x v="6"/>
    <x v="7"/>
    <s v="GNR_RES_WTR_NOPMP_MC-04"/>
    <x v="0"/>
    <x v="7"/>
    <n v="373.85229425896"/>
    <n v="136456.08740452101"/>
    <n v="491241.91465627402"/>
  </r>
  <r>
    <x v="0"/>
    <x v="0"/>
    <x v="0"/>
    <x v="9"/>
    <x v="17"/>
    <s v="SE1A"/>
    <x v="6"/>
    <x v="7"/>
    <s v="GNR_RES_WTR_NOPMP_MC-04"/>
    <x v="0"/>
    <x v="8"/>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361.23776138291203"/>
    <n v="131851.78290476301"/>
    <n v="474666.41845714703"/>
  </r>
  <r>
    <x v="0"/>
    <x v="0"/>
    <x v="0"/>
    <x v="9"/>
    <x v="17"/>
    <s v="SE1A"/>
    <x v="6"/>
    <x v="7"/>
    <s v="GNR_RES_WTR_NOPMP_MC-04"/>
    <x v="0"/>
    <x v="17"/>
    <n v="147.925545431138"/>
    <n v="53992.824082365303"/>
    <n v="194374.16669651499"/>
  </r>
  <r>
    <x v="0"/>
    <x v="0"/>
    <x v="0"/>
    <x v="9"/>
    <x v="17"/>
    <s v="SE1A"/>
    <x v="6"/>
    <x v="7"/>
    <s v="GNR_RES_WTR_NOPMP_MC-04"/>
    <x v="0"/>
    <x v="18"/>
    <n v="29.0545336885884"/>
    <n v="10604.9047963348"/>
    <n v="38177.657266805203"/>
  </r>
  <r>
    <x v="0"/>
    <x v="0"/>
    <x v="0"/>
    <x v="9"/>
    <x v="17"/>
    <s v="SE1A"/>
    <x v="6"/>
    <x v="7"/>
    <s v="GNR_RES_WTR_NOPMP_MC-04"/>
    <x v="0"/>
    <x v="19"/>
    <n v="195.80876106652201"/>
    <n v="71470.197789280399"/>
    <n v="257292.71204140899"/>
  </r>
  <r>
    <x v="0"/>
    <x v="0"/>
    <x v="0"/>
    <x v="9"/>
    <x v="17"/>
    <s v="SE1A"/>
    <x v="6"/>
    <x v="7"/>
    <s v="GNR_RES_WTR_NOPMP_MC-04"/>
    <x v="0"/>
    <x v="20"/>
    <n v="184.088171411286"/>
    <n v="67192.182565119394"/>
    <n v="241891.85723443"/>
  </r>
  <r>
    <x v="0"/>
    <x v="0"/>
    <x v="0"/>
    <x v="9"/>
    <x v="17"/>
    <s v="SE1A"/>
    <x v="6"/>
    <x v="7"/>
    <s v="GNR_RES_WTR_NOPMP_MC-04"/>
    <x v="0"/>
    <x v="21"/>
    <n v="91.455747945524806"/>
    <n v="33381.348000116501"/>
    <n v="120172.85280042001"/>
  </r>
  <r>
    <x v="0"/>
    <x v="0"/>
    <x v="0"/>
    <x v="9"/>
    <x v="17"/>
    <s v="SE1A"/>
    <x v="6"/>
    <x v="7"/>
    <s v="GNR_RES_WTR_NOPMP_MC-04"/>
    <x v="0"/>
    <x v="22"/>
    <n v="8.8540137433315103"/>
    <n v="3231.7150163159999"/>
    <n v="11634.174058737601"/>
  </r>
  <r>
    <x v="0"/>
    <x v="0"/>
    <x v="0"/>
    <x v="9"/>
    <x v="17"/>
    <s v="SE1A"/>
    <x v="6"/>
    <x v="7"/>
    <s v="GNR_RES_WTR_NOPMP_MC-04"/>
    <x v="0"/>
    <x v="23"/>
    <n v="43.006180711784097"/>
    <n v="15697.255959801199"/>
    <n v="56510.121455284301"/>
  </r>
  <r>
    <x v="0"/>
    <x v="0"/>
    <x v="0"/>
    <x v="9"/>
    <x v="17"/>
    <s v="SE1A"/>
    <x v="6"/>
    <x v="7"/>
    <s v="GNR_RES_WTR_NOPMP_MC-05"/>
    <x v="0"/>
    <x v="6"/>
    <n v="26.0002857965728"/>
    <n v="9490.1043157490803"/>
    <n v="34164.375536696702"/>
  </r>
  <r>
    <x v="0"/>
    <x v="0"/>
    <x v="0"/>
    <x v="9"/>
    <x v="17"/>
    <s v="SE1A"/>
    <x v="6"/>
    <x v="7"/>
    <s v="GNR_RES_WTR_NOPMP_MC-05"/>
    <x v="0"/>
    <x v="8"/>
    <n v="125.78814219823499"/>
    <n v="45912.671902355702"/>
    <n v="165285.61884847999"/>
  </r>
  <r>
    <x v="0"/>
    <x v="0"/>
    <x v="0"/>
    <x v="9"/>
    <x v="17"/>
    <s v="SE1A"/>
    <x v="6"/>
    <x v="7"/>
    <s v="GNR_RES_WTR_NOPMP_MC-05"/>
    <x v="0"/>
    <x v="9"/>
    <n v="63.038390238153902"/>
    <n v="23009.012436926201"/>
    <n v="82832.444772934206"/>
  </r>
  <r>
    <x v="0"/>
    <x v="0"/>
    <x v="0"/>
    <x v="9"/>
    <x v="17"/>
    <s v="SE1A"/>
    <x v="6"/>
    <x v="7"/>
    <s v="GNR_RES_WTR_NOPMP_MC-05"/>
    <x v="0"/>
    <x v="10"/>
    <n v="102.871016539472"/>
    <n v="37547.921036907399"/>
    <n v="135172.515732867"/>
  </r>
  <r>
    <x v="0"/>
    <x v="0"/>
    <x v="0"/>
    <x v="9"/>
    <x v="17"/>
    <s v="SE1A"/>
    <x v="6"/>
    <x v="7"/>
    <s v="GNR_RES_WTR_NOPMP_MC-05"/>
    <x v="0"/>
    <x v="11"/>
    <n v="56.195039642654102"/>
    <n v="20511.189469568799"/>
    <n v="73840.282090447494"/>
  </r>
  <r>
    <x v="0"/>
    <x v="0"/>
    <x v="0"/>
    <x v="9"/>
    <x v="17"/>
    <s v="SE1A"/>
    <x v="6"/>
    <x v="7"/>
    <s v="GNR_RES_WTR_NOPMP_MC-05"/>
    <x v="0"/>
    <x v="12"/>
    <n v="136.35258719382"/>
    <n v="49768.694325744298"/>
    <n v="179167.29957267901"/>
  </r>
  <r>
    <x v="0"/>
    <x v="0"/>
    <x v="0"/>
    <x v="9"/>
    <x v="17"/>
    <s v="SE1A"/>
    <x v="6"/>
    <x v="7"/>
    <s v="GNR_RES_WTR_NOPMP_MC-05"/>
    <x v="0"/>
    <x v="13"/>
    <n v="75.546383857041505"/>
    <n v="27574.430107820201"/>
    <n v="99267.948388152596"/>
  </r>
  <r>
    <x v="0"/>
    <x v="0"/>
    <x v="0"/>
    <x v="9"/>
    <x v="17"/>
    <s v="SE1A"/>
    <x v="6"/>
    <x v="7"/>
    <s v="GNR_RES_WTR_NOPMP_MC-05"/>
    <x v="0"/>
    <x v="14"/>
    <n v="146.477332795135"/>
    <n v="53464.226470224203"/>
    <n v="192471.215292807"/>
  </r>
  <r>
    <x v="0"/>
    <x v="0"/>
    <x v="0"/>
    <x v="9"/>
    <x v="17"/>
    <s v="SE1A"/>
    <x v="6"/>
    <x v="7"/>
    <s v="GNR_RES_WTR_NOPMP_MC-05"/>
    <x v="0"/>
    <x v="15"/>
    <n v="44.468935749141998"/>
    <n v="16231.161548436799"/>
    <n v="58432.181574372597"/>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2"/>
    <n v="564.07145309684904"/>
    <n v="205886.08038035"/>
    <n v="741189.88936926005"/>
  </r>
  <r>
    <x v="0"/>
    <x v="0"/>
    <x v="0"/>
    <x v="9"/>
    <x v="17"/>
    <s v="SE1A"/>
    <x v="6"/>
    <x v="4"/>
    <s v="GNR_ROR_WTR"/>
    <x v="0"/>
    <x v="3"/>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8"/>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0"/>
    <n v="12.6986819604206"/>
    <n v="4635.0189155535099"/>
    <n v="16686.068095992599"/>
  </r>
  <r>
    <x v="0"/>
    <x v="0"/>
    <x v="0"/>
    <x v="9"/>
    <x v="17"/>
    <s v="SE1A"/>
    <x v="7"/>
    <x v="5"/>
    <s v="GNR_WT_WIND_ONS"/>
    <x v="0"/>
    <x v="1"/>
    <n v="13.0260041018901"/>
    <n v="4754.4914971898697"/>
    <n v="17116.1693898835"/>
  </r>
  <r>
    <x v="0"/>
    <x v="0"/>
    <x v="0"/>
    <x v="9"/>
    <x v="17"/>
    <s v="SE1A"/>
    <x v="7"/>
    <x v="5"/>
    <s v="GNR_WT_WIND_ONS"/>
    <x v="0"/>
    <x v="2"/>
    <n v="17.789426711495501"/>
    <n v="6493.14074969585"/>
    <n v="23375.3066989051"/>
  </r>
  <r>
    <x v="0"/>
    <x v="0"/>
    <x v="0"/>
    <x v="9"/>
    <x v="17"/>
    <s v="SE1A"/>
    <x v="7"/>
    <x v="5"/>
    <s v="GNR_WT_WIND_ONS"/>
    <x v="0"/>
    <x v="3"/>
    <n v="29.958494981496301"/>
    <n v="10934.850668246099"/>
    <n v="39365.462405686099"/>
  </r>
  <r>
    <x v="0"/>
    <x v="0"/>
    <x v="0"/>
    <x v="9"/>
    <x v="17"/>
    <s v="SE1A"/>
    <x v="7"/>
    <x v="5"/>
    <s v="GNR_WT_WIND_ONS"/>
    <x v="0"/>
    <x v="4"/>
    <n v="14.519702371670601"/>
    <n v="5299.6913656597799"/>
    <n v="19078.888916375199"/>
  </r>
  <r>
    <x v="0"/>
    <x v="0"/>
    <x v="0"/>
    <x v="9"/>
    <x v="17"/>
    <s v="SE1A"/>
    <x v="7"/>
    <x v="5"/>
    <s v="GNR_WT_WIND_ONS"/>
    <x v="0"/>
    <x v="5"/>
    <n v="37.7820817525226"/>
    <n v="13790.459839670701"/>
    <n v="49645.655422814598"/>
  </r>
  <r>
    <x v="0"/>
    <x v="0"/>
    <x v="0"/>
    <x v="9"/>
    <x v="17"/>
    <s v="SE1A"/>
    <x v="7"/>
    <x v="5"/>
    <s v="GNR_WT_WIND_ONS"/>
    <x v="0"/>
    <x v="6"/>
    <n v="44.3437226253156"/>
    <n v="16185.4587582402"/>
    <n v="58267.651529664603"/>
  </r>
  <r>
    <x v="0"/>
    <x v="0"/>
    <x v="0"/>
    <x v="9"/>
    <x v="17"/>
    <s v="SE1A"/>
    <x v="7"/>
    <x v="5"/>
    <s v="GNR_WT_WIND_ONS"/>
    <x v="0"/>
    <x v="7"/>
    <n v="25.170287870340999"/>
    <n v="9187.1550726744608"/>
    <n v="33073.7582616281"/>
  </r>
  <r>
    <x v="0"/>
    <x v="0"/>
    <x v="0"/>
    <x v="9"/>
    <x v="17"/>
    <s v="SE1A"/>
    <x v="7"/>
    <x v="5"/>
    <s v="GNR_WT_WIND_ONS"/>
    <x v="0"/>
    <x v="8"/>
    <n v="19.993122673131801"/>
    <n v="7297.4897756930995"/>
    <n v="26270.963192495201"/>
  </r>
  <r>
    <x v="0"/>
    <x v="0"/>
    <x v="0"/>
    <x v="9"/>
    <x v="17"/>
    <s v="SE1A"/>
    <x v="7"/>
    <x v="5"/>
    <s v="GNR_WT_WIND_ONS"/>
    <x v="0"/>
    <x v="9"/>
    <n v="15.610637242392899"/>
    <n v="5697.8825934734105"/>
    <n v="20512.377336504302"/>
  </r>
  <r>
    <x v="0"/>
    <x v="0"/>
    <x v="0"/>
    <x v="9"/>
    <x v="17"/>
    <s v="SE1A"/>
    <x v="7"/>
    <x v="5"/>
    <s v="GNR_WT_WIND_ONS"/>
    <x v="0"/>
    <x v="10"/>
    <n v="11.7664268619263"/>
    <n v="4294.7458046031097"/>
    <n v="15461.084896571199"/>
  </r>
  <r>
    <x v="0"/>
    <x v="0"/>
    <x v="0"/>
    <x v="9"/>
    <x v="17"/>
    <s v="SE1A"/>
    <x v="7"/>
    <x v="5"/>
    <s v="GNR_WT_WIND_ONS"/>
    <x v="0"/>
    <x v="11"/>
    <n v="9.3043743283505993"/>
    <n v="3396.0966298479698"/>
    <n v="12225.9478674527"/>
  </r>
  <r>
    <x v="0"/>
    <x v="0"/>
    <x v="0"/>
    <x v="9"/>
    <x v="17"/>
    <s v="SE1A"/>
    <x v="7"/>
    <x v="5"/>
    <s v="GNR_WT_WIND_ONS"/>
    <x v="0"/>
    <x v="12"/>
    <n v="17.041611814649801"/>
    <n v="6220.1883123471798"/>
    <n v="22392.677924449799"/>
  </r>
  <r>
    <x v="0"/>
    <x v="0"/>
    <x v="0"/>
    <x v="9"/>
    <x v="17"/>
    <s v="SE1A"/>
    <x v="7"/>
    <x v="5"/>
    <s v="GNR_WT_WIND_ONS"/>
    <x v="0"/>
    <x v="13"/>
    <n v="62.621946877221497"/>
    <n v="22857.0106101858"/>
    <n v="82285.238196669001"/>
  </r>
  <r>
    <x v="0"/>
    <x v="0"/>
    <x v="0"/>
    <x v="9"/>
    <x v="17"/>
    <s v="SE1A"/>
    <x v="7"/>
    <x v="5"/>
    <s v="GNR_WT_WIND_ONS"/>
    <x v="0"/>
    <x v="14"/>
    <n v="134.95257670098101"/>
    <n v="49257.690495857903"/>
    <n v="177327.68578508799"/>
  </r>
  <r>
    <x v="0"/>
    <x v="0"/>
    <x v="0"/>
    <x v="9"/>
    <x v="17"/>
    <s v="SE1A"/>
    <x v="7"/>
    <x v="5"/>
    <s v="GNR_WT_WIND_ONS"/>
    <x v="0"/>
    <x v="15"/>
    <n v="194.051708610573"/>
    <n v="70828.873642859297"/>
    <n v="254983.94511429299"/>
  </r>
  <r>
    <x v="0"/>
    <x v="0"/>
    <x v="0"/>
    <x v="9"/>
    <x v="17"/>
    <s v="SE1A"/>
    <x v="7"/>
    <x v="5"/>
    <s v="GNR_WT_WIND_ONS"/>
    <x v="0"/>
    <x v="16"/>
    <n v="209.42188129198999"/>
    <n v="76438.986671576306"/>
    <n v="275180.352017675"/>
  </r>
  <r>
    <x v="0"/>
    <x v="0"/>
    <x v="0"/>
    <x v="9"/>
    <x v="17"/>
    <s v="SE1A"/>
    <x v="7"/>
    <x v="5"/>
    <s v="GNR_WT_WIND_ONS"/>
    <x v="0"/>
    <x v="17"/>
    <n v="392.28236069535097"/>
    <n v="143183.06165380299"/>
    <n v="515459.02195369097"/>
  </r>
  <r>
    <x v="0"/>
    <x v="0"/>
    <x v="0"/>
    <x v="9"/>
    <x v="17"/>
    <s v="SE1A"/>
    <x v="7"/>
    <x v="5"/>
    <s v="GNR_WT_WIND_ONS"/>
    <x v="0"/>
    <x v="18"/>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A"/>
    <x v="10"/>
    <x v="0"/>
    <s v="GBPR_IND_BIO"/>
    <x v="0"/>
    <x v="0"/>
    <n v="129"/>
    <n v="47085"/>
    <n v="169506"/>
  </r>
  <r>
    <x v="0"/>
    <x v="0"/>
    <x v="0"/>
    <x v="9"/>
    <x v="17"/>
    <s v="SE1A"/>
    <x v="10"/>
    <x v="0"/>
    <s v="GBPR_IND_BIO"/>
    <x v="0"/>
    <x v="1"/>
    <n v="129"/>
    <n v="47085"/>
    <n v="169506"/>
  </r>
  <r>
    <x v="0"/>
    <x v="0"/>
    <x v="0"/>
    <x v="9"/>
    <x v="17"/>
    <s v="SE1A"/>
    <x v="10"/>
    <x v="0"/>
    <s v="GBPR_IND_BIO"/>
    <x v="0"/>
    <x v="2"/>
    <n v="129"/>
    <n v="47085"/>
    <n v="169506"/>
  </r>
  <r>
    <x v="0"/>
    <x v="0"/>
    <x v="0"/>
    <x v="9"/>
    <x v="17"/>
    <s v="SE1A"/>
    <x v="10"/>
    <x v="0"/>
    <s v="GBPR_IND_BIO"/>
    <x v="0"/>
    <x v="3"/>
    <n v="129"/>
    <n v="47085"/>
    <n v="169506"/>
  </r>
  <r>
    <x v="0"/>
    <x v="0"/>
    <x v="0"/>
    <x v="9"/>
    <x v="17"/>
    <s v="SE1A"/>
    <x v="10"/>
    <x v="0"/>
    <s v="GBPR_IND_BIO"/>
    <x v="0"/>
    <x v="4"/>
    <n v="129"/>
    <n v="47085"/>
    <n v="169506"/>
  </r>
  <r>
    <x v="0"/>
    <x v="0"/>
    <x v="0"/>
    <x v="9"/>
    <x v="17"/>
    <s v="SE1A"/>
    <x v="10"/>
    <x v="0"/>
    <s v="GBPR_IND_BIO"/>
    <x v="0"/>
    <x v="5"/>
    <n v="129"/>
    <n v="47085"/>
    <n v="169506"/>
  </r>
  <r>
    <x v="0"/>
    <x v="0"/>
    <x v="0"/>
    <x v="9"/>
    <x v="17"/>
    <s v="SE1A"/>
    <x v="10"/>
    <x v="0"/>
    <s v="GBPR_IND_BIO"/>
    <x v="0"/>
    <x v="6"/>
    <n v="129"/>
    <n v="47085"/>
    <n v="169506"/>
  </r>
  <r>
    <x v="0"/>
    <x v="0"/>
    <x v="0"/>
    <x v="9"/>
    <x v="17"/>
    <s v="SE1A"/>
    <x v="10"/>
    <x v="0"/>
    <s v="GBPR_IND_BIO"/>
    <x v="0"/>
    <x v="7"/>
    <n v="129"/>
    <n v="47085"/>
    <n v="169506"/>
  </r>
  <r>
    <x v="0"/>
    <x v="0"/>
    <x v="0"/>
    <x v="9"/>
    <x v="17"/>
    <s v="SE1A"/>
    <x v="10"/>
    <x v="0"/>
    <s v="GBPR_IND_BIO"/>
    <x v="0"/>
    <x v="8"/>
    <n v="129"/>
    <n v="47085"/>
    <n v="169506"/>
  </r>
  <r>
    <x v="0"/>
    <x v="0"/>
    <x v="0"/>
    <x v="9"/>
    <x v="17"/>
    <s v="SE1A"/>
    <x v="10"/>
    <x v="0"/>
    <s v="GBPR_IND_BIO"/>
    <x v="0"/>
    <x v="9"/>
    <n v="129"/>
    <n v="47085"/>
    <n v="169506"/>
  </r>
  <r>
    <x v="0"/>
    <x v="0"/>
    <x v="0"/>
    <x v="9"/>
    <x v="17"/>
    <s v="SE1A"/>
    <x v="10"/>
    <x v="0"/>
    <s v="GBPR_IND_BIO"/>
    <x v="0"/>
    <x v="10"/>
    <n v="129"/>
    <n v="47085"/>
    <n v="169506"/>
  </r>
  <r>
    <x v="0"/>
    <x v="0"/>
    <x v="0"/>
    <x v="9"/>
    <x v="17"/>
    <s v="SE1A"/>
    <x v="10"/>
    <x v="0"/>
    <s v="GBPR_IND_BIO"/>
    <x v="0"/>
    <x v="11"/>
    <n v="129"/>
    <n v="47085"/>
    <n v="169506"/>
  </r>
  <r>
    <x v="0"/>
    <x v="0"/>
    <x v="0"/>
    <x v="9"/>
    <x v="17"/>
    <s v="SE1A"/>
    <x v="10"/>
    <x v="0"/>
    <s v="GBPR_IND_BIO"/>
    <x v="0"/>
    <x v="12"/>
    <n v="129"/>
    <n v="47085"/>
    <n v="169506"/>
  </r>
  <r>
    <x v="0"/>
    <x v="0"/>
    <x v="0"/>
    <x v="9"/>
    <x v="17"/>
    <s v="SE1A"/>
    <x v="10"/>
    <x v="0"/>
    <s v="GBPR_IND_BIO"/>
    <x v="0"/>
    <x v="13"/>
    <n v="129"/>
    <n v="47085"/>
    <n v="169506"/>
  </r>
  <r>
    <x v="0"/>
    <x v="0"/>
    <x v="0"/>
    <x v="9"/>
    <x v="17"/>
    <s v="SE1A"/>
    <x v="10"/>
    <x v="0"/>
    <s v="GBPR_IND_BIO"/>
    <x v="0"/>
    <x v="14"/>
    <n v="129"/>
    <n v="47085"/>
    <n v="169506"/>
  </r>
  <r>
    <x v="0"/>
    <x v="0"/>
    <x v="0"/>
    <x v="9"/>
    <x v="17"/>
    <s v="SE1A"/>
    <x v="10"/>
    <x v="0"/>
    <s v="GBPR_IND_BIO"/>
    <x v="0"/>
    <x v="15"/>
    <n v="129"/>
    <n v="47085"/>
    <n v="169506"/>
  </r>
  <r>
    <x v="0"/>
    <x v="0"/>
    <x v="0"/>
    <x v="9"/>
    <x v="17"/>
    <s v="SE1A"/>
    <x v="10"/>
    <x v="0"/>
    <s v="GBPR_IND_BIO"/>
    <x v="0"/>
    <x v="16"/>
    <n v="129"/>
    <n v="47085"/>
    <n v="169506"/>
  </r>
  <r>
    <x v="0"/>
    <x v="0"/>
    <x v="0"/>
    <x v="9"/>
    <x v="17"/>
    <s v="SE1A"/>
    <x v="10"/>
    <x v="0"/>
    <s v="GBPR_IND_BIO"/>
    <x v="0"/>
    <x v="17"/>
    <n v="129"/>
    <n v="47085"/>
    <n v="169506"/>
  </r>
  <r>
    <x v="0"/>
    <x v="0"/>
    <x v="0"/>
    <x v="9"/>
    <x v="17"/>
    <s v="SE1A"/>
    <x v="10"/>
    <x v="0"/>
    <s v="GBPR_IND_BIO"/>
    <x v="0"/>
    <x v="18"/>
    <n v="129"/>
    <n v="47085"/>
    <n v="169506"/>
  </r>
  <r>
    <x v="0"/>
    <x v="0"/>
    <x v="0"/>
    <x v="9"/>
    <x v="17"/>
    <s v="SE1A"/>
    <x v="10"/>
    <x v="0"/>
    <s v="GBPR_IND_BIO"/>
    <x v="0"/>
    <x v="19"/>
    <n v="129"/>
    <n v="47085"/>
    <n v="169506"/>
  </r>
  <r>
    <x v="0"/>
    <x v="0"/>
    <x v="0"/>
    <x v="9"/>
    <x v="17"/>
    <s v="SE1A"/>
    <x v="10"/>
    <x v="0"/>
    <s v="GBPR_IND_BIO"/>
    <x v="0"/>
    <x v="20"/>
    <n v="129"/>
    <n v="47085"/>
    <n v="169506"/>
  </r>
  <r>
    <x v="0"/>
    <x v="0"/>
    <x v="0"/>
    <x v="9"/>
    <x v="17"/>
    <s v="SE1A"/>
    <x v="10"/>
    <x v="0"/>
    <s v="GBPR_IND_BIO"/>
    <x v="0"/>
    <x v="21"/>
    <n v="129"/>
    <n v="47085"/>
    <n v="169506"/>
  </r>
  <r>
    <x v="0"/>
    <x v="0"/>
    <x v="0"/>
    <x v="9"/>
    <x v="17"/>
    <s v="SE1A"/>
    <x v="10"/>
    <x v="0"/>
    <s v="GBPR_IND_BIO"/>
    <x v="0"/>
    <x v="22"/>
    <n v="129"/>
    <n v="47085"/>
    <n v="169506"/>
  </r>
  <r>
    <x v="0"/>
    <x v="0"/>
    <x v="0"/>
    <x v="9"/>
    <x v="17"/>
    <s v="SE1A"/>
    <x v="10"/>
    <x v="0"/>
    <s v="GBPR_IND_BIO"/>
    <x v="0"/>
    <x v="23"/>
    <n v="129"/>
    <n v="47085"/>
    <n v="169506"/>
  </r>
  <r>
    <x v="0"/>
    <x v="0"/>
    <x v="0"/>
    <x v="9"/>
    <x v="17"/>
    <s v="SE1_EL"/>
    <x v="1"/>
    <x v="0"/>
    <s v="GBPR_MUNIWASTE"/>
    <x v="0"/>
    <x v="0"/>
    <n v="3.93475156792227"/>
    <n v="1436.18432229163"/>
    <n v="5170.2635602498704"/>
  </r>
  <r>
    <x v="0"/>
    <x v="0"/>
    <x v="0"/>
    <x v="9"/>
    <x v="17"/>
    <s v="SE1_EL"/>
    <x v="1"/>
    <x v="0"/>
    <s v="GBPR_MUNIWASTE"/>
    <x v="0"/>
    <x v="1"/>
    <n v="3.93475156792227"/>
    <n v="1436.18432229163"/>
    <n v="5170.2635602498704"/>
  </r>
  <r>
    <x v="0"/>
    <x v="0"/>
    <x v="0"/>
    <x v="9"/>
    <x v="17"/>
    <s v="SE1_EL"/>
    <x v="1"/>
    <x v="0"/>
    <s v="GBPR_MUNIWASTE"/>
    <x v="0"/>
    <x v="2"/>
    <n v="3.93475156792227"/>
    <n v="1436.18432229163"/>
    <n v="5170.2635602498704"/>
  </r>
  <r>
    <x v="0"/>
    <x v="0"/>
    <x v="0"/>
    <x v="9"/>
    <x v="17"/>
    <s v="SE1_EL"/>
    <x v="1"/>
    <x v="0"/>
    <s v="GBPR_MUNIWASTE"/>
    <x v="0"/>
    <x v="3"/>
    <n v="3.93475156792227"/>
    <n v="1436.18432229163"/>
    <n v="5170.2635602498704"/>
  </r>
  <r>
    <x v="0"/>
    <x v="0"/>
    <x v="0"/>
    <x v="9"/>
    <x v="17"/>
    <s v="SE1_EL"/>
    <x v="1"/>
    <x v="0"/>
    <s v="GBPR_MUNIWASTE"/>
    <x v="0"/>
    <x v="4"/>
    <n v="3.93475156792227"/>
    <n v="1436.18432229163"/>
    <n v="5170.2635602498704"/>
  </r>
  <r>
    <x v="0"/>
    <x v="0"/>
    <x v="0"/>
    <x v="9"/>
    <x v="17"/>
    <s v="SE1_EL"/>
    <x v="1"/>
    <x v="0"/>
    <s v="GBPR_MUNIWASTE"/>
    <x v="0"/>
    <x v="5"/>
    <n v="3.93475156792227"/>
    <n v="1436.18432229163"/>
    <n v="5170.2635602498704"/>
  </r>
  <r>
    <x v="0"/>
    <x v="0"/>
    <x v="0"/>
    <x v="9"/>
    <x v="17"/>
    <s v="SE1_EL"/>
    <x v="1"/>
    <x v="0"/>
    <s v="GBPR_MUNIWASTE"/>
    <x v="0"/>
    <x v="6"/>
    <n v="3.93475156792227"/>
    <n v="1436.18432229163"/>
    <n v="5170.2635602498704"/>
  </r>
  <r>
    <x v="0"/>
    <x v="0"/>
    <x v="0"/>
    <x v="9"/>
    <x v="17"/>
    <s v="SE1_EL"/>
    <x v="1"/>
    <x v="0"/>
    <s v="GBPR_MUNIWASTE"/>
    <x v="0"/>
    <x v="7"/>
    <n v="3.93475156792227"/>
    <n v="1436.18432229163"/>
    <n v="5170.2635602498704"/>
  </r>
  <r>
    <x v="0"/>
    <x v="0"/>
    <x v="0"/>
    <x v="9"/>
    <x v="17"/>
    <s v="SE1_EL"/>
    <x v="1"/>
    <x v="0"/>
    <s v="GBPR_MUNIWASTE"/>
    <x v="0"/>
    <x v="8"/>
    <n v="3.93475156792227"/>
    <n v="1436.18432229163"/>
    <n v="5170.2635602498704"/>
  </r>
  <r>
    <x v="0"/>
    <x v="0"/>
    <x v="0"/>
    <x v="9"/>
    <x v="17"/>
    <s v="SE1_EL"/>
    <x v="1"/>
    <x v="0"/>
    <s v="GBPR_MUNIWASTE"/>
    <x v="0"/>
    <x v="9"/>
    <n v="3.93475156792227"/>
    <n v="1436.18432229163"/>
    <n v="5170.2635602498704"/>
  </r>
  <r>
    <x v="0"/>
    <x v="0"/>
    <x v="0"/>
    <x v="9"/>
    <x v="17"/>
    <s v="SE1_EL"/>
    <x v="1"/>
    <x v="0"/>
    <s v="GBPR_MUNIWASTE"/>
    <x v="0"/>
    <x v="10"/>
    <n v="3.93475156792227"/>
    <n v="1436.18432229163"/>
    <n v="5170.2635602498704"/>
  </r>
  <r>
    <x v="0"/>
    <x v="0"/>
    <x v="0"/>
    <x v="9"/>
    <x v="17"/>
    <s v="SE1_EL"/>
    <x v="1"/>
    <x v="0"/>
    <s v="GBPR_MUNIWASTE"/>
    <x v="0"/>
    <x v="11"/>
    <n v="3.93475156792227"/>
    <n v="1436.18432229163"/>
    <n v="5170.2635602498704"/>
  </r>
  <r>
    <x v="0"/>
    <x v="0"/>
    <x v="0"/>
    <x v="9"/>
    <x v="17"/>
    <s v="SE1_EL"/>
    <x v="1"/>
    <x v="0"/>
    <s v="GBPR_MUNIWASTE"/>
    <x v="0"/>
    <x v="12"/>
    <n v="3.93475156792227"/>
    <n v="1436.18432229163"/>
    <n v="5170.2635602498704"/>
  </r>
  <r>
    <x v="0"/>
    <x v="0"/>
    <x v="0"/>
    <x v="9"/>
    <x v="17"/>
    <s v="SE1_EL"/>
    <x v="1"/>
    <x v="0"/>
    <s v="GBPR_MUNIWASTE"/>
    <x v="0"/>
    <x v="13"/>
    <n v="3.93475156792227"/>
    <n v="1436.18432229163"/>
    <n v="5170.2635602498704"/>
  </r>
  <r>
    <x v="0"/>
    <x v="0"/>
    <x v="0"/>
    <x v="9"/>
    <x v="17"/>
    <s v="SE1_EL"/>
    <x v="1"/>
    <x v="0"/>
    <s v="GBPR_MUNIWASTE"/>
    <x v="0"/>
    <x v="14"/>
    <n v="3.93475156792227"/>
    <n v="1436.18432229163"/>
    <n v="5170.2635602498704"/>
  </r>
  <r>
    <x v="0"/>
    <x v="0"/>
    <x v="0"/>
    <x v="9"/>
    <x v="17"/>
    <s v="SE1_EL"/>
    <x v="1"/>
    <x v="0"/>
    <s v="GBPR_MUNIWASTE"/>
    <x v="0"/>
    <x v="15"/>
    <n v="3.93475156792227"/>
    <n v="1436.18432229163"/>
    <n v="5170.2635602498704"/>
  </r>
  <r>
    <x v="0"/>
    <x v="0"/>
    <x v="0"/>
    <x v="9"/>
    <x v="17"/>
    <s v="SE1_EL"/>
    <x v="1"/>
    <x v="0"/>
    <s v="GBPR_MUNIWASTE"/>
    <x v="0"/>
    <x v="16"/>
    <n v="3.93475156792227"/>
    <n v="1436.18432229163"/>
    <n v="5170.2635602498704"/>
  </r>
  <r>
    <x v="0"/>
    <x v="0"/>
    <x v="0"/>
    <x v="9"/>
    <x v="17"/>
    <s v="SE1_EL"/>
    <x v="1"/>
    <x v="0"/>
    <s v="GBPR_MUNIWASTE"/>
    <x v="0"/>
    <x v="17"/>
    <n v="3.93475156792227"/>
    <n v="1436.18432229163"/>
    <n v="5170.2635602498704"/>
  </r>
  <r>
    <x v="0"/>
    <x v="0"/>
    <x v="0"/>
    <x v="9"/>
    <x v="17"/>
    <s v="SE1_EL"/>
    <x v="1"/>
    <x v="0"/>
    <s v="GBPR_MUNIWASTE"/>
    <x v="0"/>
    <x v="18"/>
    <n v="3.93475156792227"/>
    <n v="1436.18432229163"/>
    <n v="5170.2635602498704"/>
  </r>
  <r>
    <x v="0"/>
    <x v="0"/>
    <x v="0"/>
    <x v="9"/>
    <x v="17"/>
    <s v="SE1_EL"/>
    <x v="1"/>
    <x v="0"/>
    <s v="GBPR_MUNIWASTE"/>
    <x v="0"/>
    <x v="19"/>
    <n v="3.93475156792227"/>
    <n v="1436.18432229163"/>
    <n v="5170.2635602498704"/>
  </r>
  <r>
    <x v="0"/>
    <x v="0"/>
    <x v="0"/>
    <x v="9"/>
    <x v="17"/>
    <s v="SE1_EL"/>
    <x v="1"/>
    <x v="0"/>
    <s v="GBPR_MUNIWASTE"/>
    <x v="0"/>
    <x v="20"/>
    <n v="3.93475156792227"/>
    <n v="1436.18432229163"/>
    <n v="5170.2635602498704"/>
  </r>
  <r>
    <x v="0"/>
    <x v="0"/>
    <x v="0"/>
    <x v="9"/>
    <x v="17"/>
    <s v="SE1_EL"/>
    <x v="1"/>
    <x v="0"/>
    <s v="GBPR_MUNIWASTE"/>
    <x v="0"/>
    <x v="21"/>
    <n v="3.93475156792227"/>
    <n v="1436.18432229163"/>
    <n v="5170.2635602498704"/>
  </r>
  <r>
    <x v="0"/>
    <x v="0"/>
    <x v="0"/>
    <x v="9"/>
    <x v="17"/>
    <s v="SE1_EL"/>
    <x v="1"/>
    <x v="0"/>
    <s v="GBPR_MUNIWASTE"/>
    <x v="0"/>
    <x v="22"/>
    <n v="3.93475156792227"/>
    <n v="1436.18432229163"/>
    <n v="5170.2635602498704"/>
  </r>
  <r>
    <x v="0"/>
    <x v="0"/>
    <x v="0"/>
    <x v="9"/>
    <x v="17"/>
    <s v="SE1_EL"/>
    <x v="1"/>
    <x v="0"/>
    <s v="GBPR_MUNIWASTE"/>
    <x v="0"/>
    <x v="23"/>
    <n v="3.93475156792227"/>
    <n v="1436.18432229163"/>
    <n v="5170.2635602498704"/>
  </r>
  <r>
    <x v="0"/>
    <x v="0"/>
    <x v="0"/>
    <x v="9"/>
    <x v="17"/>
    <s v="SE1_EL"/>
    <x v="11"/>
    <x v="0"/>
    <s v="GBPR_WOODWASTE_25"/>
    <x v="0"/>
    <x v="0"/>
    <n v="2.2523033309709399"/>
    <n v="822.09071580439297"/>
    <n v="2959.5265768958202"/>
  </r>
  <r>
    <x v="0"/>
    <x v="0"/>
    <x v="0"/>
    <x v="9"/>
    <x v="17"/>
    <s v="SE1_EL"/>
    <x v="11"/>
    <x v="0"/>
    <s v="GBPR_WOODWASTE_25"/>
    <x v="0"/>
    <x v="1"/>
    <n v="2.2523033309709399"/>
    <n v="822.09071580439297"/>
    <n v="2959.5265768958202"/>
  </r>
  <r>
    <x v="0"/>
    <x v="0"/>
    <x v="0"/>
    <x v="9"/>
    <x v="17"/>
    <s v="SE1_EL"/>
    <x v="11"/>
    <x v="0"/>
    <s v="GBPR_WOODWASTE_25"/>
    <x v="0"/>
    <x v="2"/>
    <n v="2.2523033309709399"/>
    <n v="822.09071580439297"/>
    <n v="2959.5265768958202"/>
  </r>
  <r>
    <x v="0"/>
    <x v="0"/>
    <x v="0"/>
    <x v="9"/>
    <x v="17"/>
    <s v="SE1_EL"/>
    <x v="11"/>
    <x v="0"/>
    <s v="GBPR_WOODWASTE_25"/>
    <x v="0"/>
    <x v="3"/>
    <n v="2.2523033309709399"/>
    <n v="822.09071580439297"/>
    <n v="2959.5265768958202"/>
  </r>
  <r>
    <x v="0"/>
    <x v="0"/>
    <x v="0"/>
    <x v="9"/>
    <x v="17"/>
    <s v="SE1_EL"/>
    <x v="11"/>
    <x v="0"/>
    <s v="GBPR_WOODWASTE_25"/>
    <x v="0"/>
    <x v="4"/>
    <n v="2.2523033309709399"/>
    <n v="822.09071580439297"/>
    <n v="2959.5265768958202"/>
  </r>
  <r>
    <x v="0"/>
    <x v="0"/>
    <x v="0"/>
    <x v="9"/>
    <x v="17"/>
    <s v="SE1_EL"/>
    <x v="11"/>
    <x v="0"/>
    <s v="GBPR_WOODWASTE_25"/>
    <x v="0"/>
    <x v="5"/>
    <n v="2.2523033309709399"/>
    <n v="822.09071580439297"/>
    <n v="2959.5265768958202"/>
  </r>
  <r>
    <x v="0"/>
    <x v="0"/>
    <x v="0"/>
    <x v="9"/>
    <x v="17"/>
    <s v="SE1_EL"/>
    <x v="11"/>
    <x v="0"/>
    <s v="GBPR_WOODWASTE_25"/>
    <x v="0"/>
    <x v="6"/>
    <n v="2.2523033309709399"/>
    <n v="822.09071580439297"/>
    <n v="2959.5265768958202"/>
  </r>
  <r>
    <x v="0"/>
    <x v="0"/>
    <x v="0"/>
    <x v="9"/>
    <x v="17"/>
    <s v="SE1_EL"/>
    <x v="11"/>
    <x v="0"/>
    <s v="GBPR_WOODWASTE_25"/>
    <x v="0"/>
    <x v="7"/>
    <n v="2.2523033309709399"/>
    <n v="822.09071580439297"/>
    <n v="2959.5265768958202"/>
  </r>
  <r>
    <x v="0"/>
    <x v="0"/>
    <x v="0"/>
    <x v="9"/>
    <x v="17"/>
    <s v="SE1_EL"/>
    <x v="11"/>
    <x v="0"/>
    <s v="GBPR_WOODWASTE_25"/>
    <x v="0"/>
    <x v="8"/>
    <n v="2.2523033309709399"/>
    <n v="822.09071580439297"/>
    <n v="2959.5265768958202"/>
  </r>
  <r>
    <x v="0"/>
    <x v="0"/>
    <x v="0"/>
    <x v="9"/>
    <x v="17"/>
    <s v="SE1_EL"/>
    <x v="11"/>
    <x v="0"/>
    <s v="GBPR_WOODWASTE_25"/>
    <x v="0"/>
    <x v="9"/>
    <n v="2.2523033309709399"/>
    <n v="822.09071580439297"/>
    <n v="2959.5265768958202"/>
  </r>
  <r>
    <x v="0"/>
    <x v="0"/>
    <x v="0"/>
    <x v="9"/>
    <x v="17"/>
    <s v="SE1_EL"/>
    <x v="11"/>
    <x v="0"/>
    <s v="GBPR_WOODWASTE_25"/>
    <x v="0"/>
    <x v="10"/>
    <n v="2.2523033309709399"/>
    <n v="822.09071580439297"/>
    <n v="2959.5265768958202"/>
  </r>
  <r>
    <x v="0"/>
    <x v="0"/>
    <x v="0"/>
    <x v="9"/>
    <x v="17"/>
    <s v="SE1_EL"/>
    <x v="11"/>
    <x v="0"/>
    <s v="GBPR_WOODWASTE_25"/>
    <x v="0"/>
    <x v="11"/>
    <n v="2.2523033309709399"/>
    <n v="822.09071580439297"/>
    <n v="2959.5265768958202"/>
  </r>
  <r>
    <x v="0"/>
    <x v="0"/>
    <x v="0"/>
    <x v="9"/>
    <x v="17"/>
    <s v="SE1_EL"/>
    <x v="11"/>
    <x v="0"/>
    <s v="GBPR_WOODWASTE_25"/>
    <x v="0"/>
    <x v="12"/>
    <n v="2.2523033309709399"/>
    <n v="822.09071580439297"/>
    <n v="2959.5265768958202"/>
  </r>
  <r>
    <x v="0"/>
    <x v="0"/>
    <x v="0"/>
    <x v="9"/>
    <x v="17"/>
    <s v="SE1_EL"/>
    <x v="11"/>
    <x v="0"/>
    <s v="GBPR_WOODWASTE_25"/>
    <x v="0"/>
    <x v="13"/>
    <n v="2.2523033309709399"/>
    <n v="822.09071580439297"/>
    <n v="2959.5265768958202"/>
  </r>
  <r>
    <x v="0"/>
    <x v="0"/>
    <x v="0"/>
    <x v="9"/>
    <x v="17"/>
    <s v="SE1_EL"/>
    <x v="11"/>
    <x v="0"/>
    <s v="GBPR_WOODWASTE_25"/>
    <x v="0"/>
    <x v="14"/>
    <n v="2.2523033309709399"/>
    <n v="822.09071580439297"/>
    <n v="2959.5265768958202"/>
  </r>
  <r>
    <x v="0"/>
    <x v="0"/>
    <x v="0"/>
    <x v="9"/>
    <x v="17"/>
    <s v="SE1_EL"/>
    <x v="11"/>
    <x v="0"/>
    <s v="GBPR_WOODWASTE_25"/>
    <x v="0"/>
    <x v="15"/>
    <n v="2.2523033309709399"/>
    <n v="822.09071580439297"/>
    <n v="2959.5265768958202"/>
  </r>
  <r>
    <x v="0"/>
    <x v="0"/>
    <x v="0"/>
    <x v="9"/>
    <x v="17"/>
    <s v="SE1_EL"/>
    <x v="11"/>
    <x v="0"/>
    <s v="GBPR_WOODWASTE_25"/>
    <x v="0"/>
    <x v="16"/>
    <n v="2.2523033309709399"/>
    <n v="822.09071580439297"/>
    <n v="2959.5265768958202"/>
  </r>
  <r>
    <x v="0"/>
    <x v="0"/>
    <x v="0"/>
    <x v="9"/>
    <x v="17"/>
    <s v="SE1_EL"/>
    <x v="11"/>
    <x v="0"/>
    <s v="GBPR_WOODWASTE_25"/>
    <x v="0"/>
    <x v="17"/>
    <n v="2.2523033309709399"/>
    <n v="822.09071580439297"/>
    <n v="2959.5265768958202"/>
  </r>
  <r>
    <x v="0"/>
    <x v="0"/>
    <x v="0"/>
    <x v="9"/>
    <x v="17"/>
    <s v="SE1_EL"/>
    <x v="11"/>
    <x v="0"/>
    <s v="GBPR_WOODWASTE_25"/>
    <x v="0"/>
    <x v="18"/>
    <n v="2.2523033309709399"/>
    <n v="822.09071580439297"/>
    <n v="2959.5265768958202"/>
  </r>
  <r>
    <x v="0"/>
    <x v="0"/>
    <x v="0"/>
    <x v="9"/>
    <x v="17"/>
    <s v="SE1_EL"/>
    <x v="11"/>
    <x v="0"/>
    <s v="GBPR_WOODWASTE_25"/>
    <x v="0"/>
    <x v="19"/>
    <n v="2.2523033309709399"/>
    <n v="822.09071580439297"/>
    <n v="2959.5265768958202"/>
  </r>
  <r>
    <x v="0"/>
    <x v="0"/>
    <x v="0"/>
    <x v="9"/>
    <x v="17"/>
    <s v="SE1_EL"/>
    <x v="11"/>
    <x v="0"/>
    <s v="GBPR_WOODWASTE_25"/>
    <x v="0"/>
    <x v="20"/>
    <n v="2.2523033309709399"/>
    <n v="822.09071580439297"/>
    <n v="2959.5265768958202"/>
  </r>
  <r>
    <x v="0"/>
    <x v="0"/>
    <x v="0"/>
    <x v="9"/>
    <x v="17"/>
    <s v="SE1_EL"/>
    <x v="11"/>
    <x v="0"/>
    <s v="GBPR_WOODWASTE_25"/>
    <x v="0"/>
    <x v="21"/>
    <n v="2.2523033309709399"/>
    <n v="822.09071580439297"/>
    <n v="2959.5265768958202"/>
  </r>
  <r>
    <x v="0"/>
    <x v="0"/>
    <x v="0"/>
    <x v="9"/>
    <x v="17"/>
    <s v="SE1_EL"/>
    <x v="11"/>
    <x v="0"/>
    <s v="GBPR_WOODWASTE_25"/>
    <x v="0"/>
    <x v="22"/>
    <n v="2.2523033309709399"/>
    <n v="822.09071580439297"/>
    <n v="2959.5265768958202"/>
  </r>
  <r>
    <x v="0"/>
    <x v="0"/>
    <x v="0"/>
    <x v="9"/>
    <x v="17"/>
    <s v="SE1_EL"/>
    <x v="11"/>
    <x v="0"/>
    <s v="GBPR_WOODWASTE_25"/>
    <x v="0"/>
    <x v="23"/>
    <n v="2.2523033309709399"/>
    <n v="822.09071580439297"/>
    <n v="2959.5265768958202"/>
  </r>
  <r>
    <x v="0"/>
    <x v="0"/>
    <x v="0"/>
    <x v="9"/>
    <x v="17"/>
    <s v="SE1_OTHER"/>
    <x v="4"/>
    <x v="0"/>
    <s v="GBPR_WOODCHIPS_25"/>
    <x v="0"/>
    <x v="0"/>
    <n v="2.8850437828371298"/>
    <n v="1053.04098073555"/>
    <n v="3790.9475306479799"/>
  </r>
  <r>
    <x v="0"/>
    <x v="0"/>
    <x v="0"/>
    <x v="9"/>
    <x v="17"/>
    <s v="SE1_OTHER"/>
    <x v="4"/>
    <x v="0"/>
    <s v="GBPR_WOODCHIPS_25"/>
    <x v="0"/>
    <x v="1"/>
    <n v="2.8850437828371298"/>
    <n v="1053.04098073555"/>
    <n v="3790.9475306479799"/>
  </r>
  <r>
    <x v="0"/>
    <x v="0"/>
    <x v="0"/>
    <x v="9"/>
    <x v="17"/>
    <s v="SE1_OTHER"/>
    <x v="4"/>
    <x v="0"/>
    <s v="GBPR_WOODCHIPS_25"/>
    <x v="0"/>
    <x v="2"/>
    <n v="2.8850437828371298"/>
    <n v="1053.04098073555"/>
    <n v="3790.9475306479799"/>
  </r>
  <r>
    <x v="0"/>
    <x v="0"/>
    <x v="0"/>
    <x v="9"/>
    <x v="17"/>
    <s v="SE1_OTHER"/>
    <x v="4"/>
    <x v="0"/>
    <s v="GBPR_WOODCHIPS_25"/>
    <x v="0"/>
    <x v="3"/>
    <n v="2.8850437828371298"/>
    <n v="1053.04098073555"/>
    <n v="3790.9475306479799"/>
  </r>
  <r>
    <x v="0"/>
    <x v="0"/>
    <x v="0"/>
    <x v="9"/>
    <x v="17"/>
    <s v="SE1_OTHER"/>
    <x v="4"/>
    <x v="0"/>
    <s v="GBPR_WOODCHIPS_25"/>
    <x v="0"/>
    <x v="4"/>
    <n v="2.8850437828371298"/>
    <n v="1053.04098073555"/>
    <n v="3790.9475306479799"/>
  </r>
  <r>
    <x v="0"/>
    <x v="0"/>
    <x v="0"/>
    <x v="9"/>
    <x v="17"/>
    <s v="SE1_OTHER"/>
    <x v="4"/>
    <x v="0"/>
    <s v="GBPR_WOODCHIPS_25"/>
    <x v="0"/>
    <x v="5"/>
    <n v="2.8850437828371298"/>
    <n v="1053.04098073555"/>
    <n v="3790.9475306479799"/>
  </r>
  <r>
    <x v="0"/>
    <x v="0"/>
    <x v="0"/>
    <x v="9"/>
    <x v="17"/>
    <s v="SE1_OTHER"/>
    <x v="4"/>
    <x v="0"/>
    <s v="GBPR_WOODCHIPS_25"/>
    <x v="0"/>
    <x v="6"/>
    <n v="2.8850437828371298"/>
    <n v="1053.04098073555"/>
    <n v="3790.9475306479799"/>
  </r>
  <r>
    <x v="0"/>
    <x v="0"/>
    <x v="0"/>
    <x v="9"/>
    <x v="17"/>
    <s v="SE1_OTHER"/>
    <x v="4"/>
    <x v="0"/>
    <s v="GBPR_WOODCHIPS_25"/>
    <x v="0"/>
    <x v="7"/>
    <n v="2.8850437828371298"/>
    <n v="1053.04098073555"/>
    <n v="3790.9475306479799"/>
  </r>
  <r>
    <x v="0"/>
    <x v="0"/>
    <x v="0"/>
    <x v="9"/>
    <x v="17"/>
    <s v="SE1_OTHER"/>
    <x v="4"/>
    <x v="0"/>
    <s v="GBPR_WOODCHIPS_25"/>
    <x v="0"/>
    <x v="8"/>
    <n v="2.8850437828371298"/>
    <n v="1053.04098073555"/>
    <n v="3790.9475306479799"/>
  </r>
  <r>
    <x v="0"/>
    <x v="0"/>
    <x v="0"/>
    <x v="9"/>
    <x v="17"/>
    <s v="SE1_OTHER"/>
    <x v="4"/>
    <x v="0"/>
    <s v="GBPR_WOODCHIPS_25"/>
    <x v="0"/>
    <x v="9"/>
    <n v="2.8850437828371298"/>
    <n v="1053.04098073555"/>
    <n v="3790.9475306479799"/>
  </r>
  <r>
    <x v="0"/>
    <x v="0"/>
    <x v="0"/>
    <x v="9"/>
    <x v="17"/>
    <s v="SE1_OTHER"/>
    <x v="4"/>
    <x v="0"/>
    <s v="GBPR_WOODCHIPS_25"/>
    <x v="0"/>
    <x v="10"/>
    <n v="2.8850437828371298"/>
    <n v="1053.04098073555"/>
    <n v="3790.9475306479799"/>
  </r>
  <r>
    <x v="0"/>
    <x v="0"/>
    <x v="0"/>
    <x v="9"/>
    <x v="17"/>
    <s v="SE1_OTHER"/>
    <x v="4"/>
    <x v="0"/>
    <s v="GBPR_WOODCHIPS_25"/>
    <x v="0"/>
    <x v="11"/>
    <n v="2.8850437828371298"/>
    <n v="1053.04098073555"/>
    <n v="3790.9475306479799"/>
  </r>
  <r>
    <x v="0"/>
    <x v="0"/>
    <x v="0"/>
    <x v="9"/>
    <x v="17"/>
    <s v="SE1_OTHER"/>
    <x v="4"/>
    <x v="0"/>
    <s v="GBPR_WOODCHIPS_25"/>
    <x v="0"/>
    <x v="12"/>
    <n v="2.8850437828371298"/>
    <n v="1053.04098073555"/>
    <n v="3790.9475306479799"/>
  </r>
  <r>
    <x v="0"/>
    <x v="0"/>
    <x v="0"/>
    <x v="9"/>
    <x v="17"/>
    <s v="SE1_OTHER"/>
    <x v="4"/>
    <x v="0"/>
    <s v="GBPR_WOODCHIPS_25"/>
    <x v="0"/>
    <x v="13"/>
    <n v="2.8850437828371298"/>
    <n v="1053.04098073555"/>
    <n v="3790.9475306479799"/>
  </r>
  <r>
    <x v="0"/>
    <x v="0"/>
    <x v="0"/>
    <x v="9"/>
    <x v="17"/>
    <s v="SE1_OTHER"/>
    <x v="4"/>
    <x v="0"/>
    <s v="GBPR_WOODCHIPS_25"/>
    <x v="0"/>
    <x v="14"/>
    <n v="2.8850437828371298"/>
    <n v="1053.04098073555"/>
    <n v="3790.9475306479799"/>
  </r>
  <r>
    <x v="0"/>
    <x v="0"/>
    <x v="0"/>
    <x v="9"/>
    <x v="17"/>
    <s v="SE1_OTHER"/>
    <x v="4"/>
    <x v="0"/>
    <s v="GBPR_WOODCHIPS_25"/>
    <x v="0"/>
    <x v="15"/>
    <n v="2.8850437828371298"/>
    <n v="1053.04098073555"/>
    <n v="3790.9475306479799"/>
  </r>
  <r>
    <x v="0"/>
    <x v="0"/>
    <x v="0"/>
    <x v="9"/>
    <x v="17"/>
    <s v="SE1_OTHER"/>
    <x v="4"/>
    <x v="0"/>
    <s v="GBPR_WOODCHIPS_25"/>
    <x v="0"/>
    <x v="16"/>
    <n v="2.8850437828371298"/>
    <n v="1053.04098073555"/>
    <n v="3790.9475306479799"/>
  </r>
  <r>
    <x v="0"/>
    <x v="0"/>
    <x v="0"/>
    <x v="9"/>
    <x v="17"/>
    <s v="SE1_OTHER"/>
    <x v="4"/>
    <x v="0"/>
    <s v="GBPR_WOODCHIPS_25"/>
    <x v="0"/>
    <x v="17"/>
    <n v="2.8850437828371298"/>
    <n v="1053.04098073555"/>
    <n v="3790.9475306479799"/>
  </r>
  <r>
    <x v="0"/>
    <x v="0"/>
    <x v="0"/>
    <x v="9"/>
    <x v="17"/>
    <s v="SE1_OTHER"/>
    <x v="4"/>
    <x v="0"/>
    <s v="GBPR_WOODCHIPS_25"/>
    <x v="0"/>
    <x v="18"/>
    <n v="2.8850437828371298"/>
    <n v="1053.04098073555"/>
    <n v="3790.9475306479799"/>
  </r>
  <r>
    <x v="0"/>
    <x v="0"/>
    <x v="0"/>
    <x v="9"/>
    <x v="17"/>
    <s v="SE1_OTHER"/>
    <x v="4"/>
    <x v="0"/>
    <s v="GBPR_WOODCHIPS_25"/>
    <x v="0"/>
    <x v="19"/>
    <n v="2.8850437828371298"/>
    <n v="1053.04098073555"/>
    <n v="3790.9475306479799"/>
  </r>
  <r>
    <x v="0"/>
    <x v="0"/>
    <x v="0"/>
    <x v="9"/>
    <x v="17"/>
    <s v="SE1_OTHER"/>
    <x v="4"/>
    <x v="0"/>
    <s v="GBPR_WOODCHIPS_25"/>
    <x v="0"/>
    <x v="20"/>
    <n v="2.8850437828371298"/>
    <n v="1053.04098073555"/>
    <n v="3790.9475306479799"/>
  </r>
  <r>
    <x v="0"/>
    <x v="0"/>
    <x v="0"/>
    <x v="9"/>
    <x v="17"/>
    <s v="SE1_OTHER"/>
    <x v="4"/>
    <x v="0"/>
    <s v="GBPR_WOODCHIPS_25"/>
    <x v="0"/>
    <x v="21"/>
    <n v="2.8850437828371298"/>
    <n v="1053.04098073555"/>
    <n v="3790.9475306479799"/>
  </r>
  <r>
    <x v="0"/>
    <x v="0"/>
    <x v="0"/>
    <x v="9"/>
    <x v="17"/>
    <s v="SE1_OTHER"/>
    <x v="4"/>
    <x v="0"/>
    <s v="GBPR_WOODCHIPS_25"/>
    <x v="0"/>
    <x v="22"/>
    <n v="2.8850437828371298"/>
    <n v="1053.04098073555"/>
    <n v="3790.9475306479799"/>
  </r>
  <r>
    <x v="0"/>
    <x v="0"/>
    <x v="0"/>
    <x v="9"/>
    <x v="17"/>
    <s v="SE1_OTHER"/>
    <x v="4"/>
    <x v="0"/>
    <s v="GBPR_WOODCHIPS_25"/>
    <x v="0"/>
    <x v="23"/>
    <n v="2.8850437828371298"/>
    <n v="1053.04098073555"/>
    <n v="3790.9475306479799"/>
  </r>
  <r>
    <x v="0"/>
    <x v="0"/>
    <x v="0"/>
    <x v="9"/>
    <x v="17"/>
    <s v="SE1_OTHER"/>
    <x v="11"/>
    <x v="0"/>
    <s v="GBPR_WOODWASTE"/>
    <x v="0"/>
    <x v="0"/>
    <n v="28.099124343257401"/>
    <n v="10256.180385289001"/>
    <n v="36922.249387040298"/>
  </r>
  <r>
    <x v="0"/>
    <x v="0"/>
    <x v="0"/>
    <x v="9"/>
    <x v="17"/>
    <s v="SE1_OTHER"/>
    <x v="11"/>
    <x v="0"/>
    <s v="GBPR_WOODWASTE"/>
    <x v="0"/>
    <x v="1"/>
    <n v="28.099124343257401"/>
    <n v="10256.180385289001"/>
    <n v="36922.249387040298"/>
  </r>
  <r>
    <x v="0"/>
    <x v="0"/>
    <x v="0"/>
    <x v="9"/>
    <x v="17"/>
    <s v="SE1_OTHER"/>
    <x v="11"/>
    <x v="0"/>
    <s v="GBPR_WOODWASTE"/>
    <x v="0"/>
    <x v="2"/>
    <n v="28.099124343257401"/>
    <n v="10256.180385289001"/>
    <n v="36922.249387040298"/>
  </r>
  <r>
    <x v="0"/>
    <x v="0"/>
    <x v="0"/>
    <x v="9"/>
    <x v="17"/>
    <s v="SE1_OTHER"/>
    <x v="11"/>
    <x v="0"/>
    <s v="GBPR_WOODWASTE"/>
    <x v="0"/>
    <x v="3"/>
    <n v="28.099124343257401"/>
    <n v="10256.180385289001"/>
    <n v="36922.249387040298"/>
  </r>
  <r>
    <x v="0"/>
    <x v="0"/>
    <x v="0"/>
    <x v="9"/>
    <x v="17"/>
    <s v="SE1_OTHER"/>
    <x v="11"/>
    <x v="0"/>
    <s v="GBPR_WOODWASTE"/>
    <x v="0"/>
    <x v="4"/>
    <n v="28.099124343257401"/>
    <n v="10256.180385289001"/>
    <n v="36922.249387040298"/>
  </r>
  <r>
    <x v="0"/>
    <x v="0"/>
    <x v="0"/>
    <x v="9"/>
    <x v="17"/>
    <s v="SE1_OTHER"/>
    <x v="11"/>
    <x v="0"/>
    <s v="GBPR_WOODWASTE"/>
    <x v="0"/>
    <x v="5"/>
    <n v="28.099124343257401"/>
    <n v="10256.180385289001"/>
    <n v="36922.249387040298"/>
  </r>
  <r>
    <x v="0"/>
    <x v="0"/>
    <x v="0"/>
    <x v="9"/>
    <x v="17"/>
    <s v="SE1_OTHER"/>
    <x v="11"/>
    <x v="0"/>
    <s v="GBPR_WOODWASTE"/>
    <x v="0"/>
    <x v="6"/>
    <n v="28.099124343257401"/>
    <n v="10256.180385289001"/>
    <n v="36922.249387040298"/>
  </r>
  <r>
    <x v="0"/>
    <x v="0"/>
    <x v="0"/>
    <x v="9"/>
    <x v="17"/>
    <s v="SE1_OTHER"/>
    <x v="11"/>
    <x v="0"/>
    <s v="GBPR_WOODWASTE"/>
    <x v="0"/>
    <x v="7"/>
    <n v="28.099124343257401"/>
    <n v="10256.180385289001"/>
    <n v="36922.249387040298"/>
  </r>
  <r>
    <x v="0"/>
    <x v="0"/>
    <x v="0"/>
    <x v="9"/>
    <x v="17"/>
    <s v="SE1_OTHER"/>
    <x v="11"/>
    <x v="0"/>
    <s v="GBPR_WOODWASTE"/>
    <x v="0"/>
    <x v="8"/>
    <n v="28.099124343257401"/>
    <n v="10256.180385289001"/>
    <n v="36922.249387040298"/>
  </r>
  <r>
    <x v="0"/>
    <x v="0"/>
    <x v="0"/>
    <x v="9"/>
    <x v="17"/>
    <s v="SE1_OTHER"/>
    <x v="11"/>
    <x v="0"/>
    <s v="GBPR_WOODWASTE"/>
    <x v="0"/>
    <x v="9"/>
    <n v="28.099124343257401"/>
    <n v="10256.180385289001"/>
    <n v="36922.249387040298"/>
  </r>
  <r>
    <x v="0"/>
    <x v="0"/>
    <x v="0"/>
    <x v="9"/>
    <x v="17"/>
    <s v="SE1_OTHER"/>
    <x v="11"/>
    <x v="0"/>
    <s v="GBPR_WOODWASTE"/>
    <x v="0"/>
    <x v="10"/>
    <n v="28.099124343257401"/>
    <n v="10256.180385289001"/>
    <n v="36922.249387040298"/>
  </r>
  <r>
    <x v="0"/>
    <x v="0"/>
    <x v="0"/>
    <x v="9"/>
    <x v="17"/>
    <s v="SE1_OTHER"/>
    <x v="11"/>
    <x v="0"/>
    <s v="GBPR_WOODWASTE"/>
    <x v="0"/>
    <x v="11"/>
    <n v="28.099124343257401"/>
    <n v="10256.180385289001"/>
    <n v="36922.249387040298"/>
  </r>
  <r>
    <x v="0"/>
    <x v="0"/>
    <x v="0"/>
    <x v="9"/>
    <x v="17"/>
    <s v="SE1_OTHER"/>
    <x v="11"/>
    <x v="0"/>
    <s v="GBPR_WOODWASTE"/>
    <x v="0"/>
    <x v="12"/>
    <n v="28.099124343257401"/>
    <n v="10256.180385289001"/>
    <n v="36922.249387040298"/>
  </r>
  <r>
    <x v="0"/>
    <x v="0"/>
    <x v="0"/>
    <x v="9"/>
    <x v="17"/>
    <s v="SE1_OTHER"/>
    <x v="11"/>
    <x v="0"/>
    <s v="GBPR_WOODWASTE"/>
    <x v="0"/>
    <x v="13"/>
    <n v="28.099124343257401"/>
    <n v="10256.180385289001"/>
    <n v="36922.249387040298"/>
  </r>
  <r>
    <x v="0"/>
    <x v="0"/>
    <x v="0"/>
    <x v="9"/>
    <x v="17"/>
    <s v="SE1_OTHER"/>
    <x v="11"/>
    <x v="0"/>
    <s v="GBPR_WOODWASTE"/>
    <x v="0"/>
    <x v="14"/>
    <n v="28.099124343257401"/>
    <n v="10256.180385289001"/>
    <n v="36922.249387040298"/>
  </r>
  <r>
    <x v="0"/>
    <x v="0"/>
    <x v="0"/>
    <x v="9"/>
    <x v="17"/>
    <s v="SE1_OTHER"/>
    <x v="11"/>
    <x v="0"/>
    <s v="GBPR_WOODWASTE"/>
    <x v="0"/>
    <x v="15"/>
    <n v="28.099124343257401"/>
    <n v="10256.180385289001"/>
    <n v="36922.249387040298"/>
  </r>
  <r>
    <x v="0"/>
    <x v="0"/>
    <x v="0"/>
    <x v="9"/>
    <x v="17"/>
    <s v="SE1_OTHER"/>
    <x v="11"/>
    <x v="0"/>
    <s v="GBPR_WOODWASTE"/>
    <x v="0"/>
    <x v="16"/>
    <n v="28.099124343257401"/>
    <n v="10256.180385289001"/>
    <n v="36922.249387040298"/>
  </r>
  <r>
    <x v="0"/>
    <x v="0"/>
    <x v="0"/>
    <x v="9"/>
    <x v="17"/>
    <s v="SE1_OTHER"/>
    <x v="11"/>
    <x v="0"/>
    <s v="GBPR_WOODWASTE"/>
    <x v="0"/>
    <x v="17"/>
    <n v="28.099124343257401"/>
    <n v="10256.180385289001"/>
    <n v="36922.249387040298"/>
  </r>
  <r>
    <x v="0"/>
    <x v="0"/>
    <x v="0"/>
    <x v="9"/>
    <x v="17"/>
    <s v="SE1_OTHER"/>
    <x v="11"/>
    <x v="0"/>
    <s v="GBPR_WOODWASTE"/>
    <x v="0"/>
    <x v="18"/>
    <n v="28.099124343257401"/>
    <n v="10256.180385289001"/>
    <n v="36922.249387040298"/>
  </r>
  <r>
    <x v="0"/>
    <x v="0"/>
    <x v="0"/>
    <x v="9"/>
    <x v="17"/>
    <s v="SE1_OTHER"/>
    <x v="11"/>
    <x v="0"/>
    <s v="GBPR_WOODWASTE"/>
    <x v="0"/>
    <x v="19"/>
    <n v="28.099124343257401"/>
    <n v="10256.180385289001"/>
    <n v="36922.249387040298"/>
  </r>
  <r>
    <x v="0"/>
    <x v="0"/>
    <x v="0"/>
    <x v="9"/>
    <x v="17"/>
    <s v="SE1_OTHER"/>
    <x v="11"/>
    <x v="0"/>
    <s v="GBPR_WOODWASTE"/>
    <x v="0"/>
    <x v="20"/>
    <n v="28.099124343257401"/>
    <n v="10256.180385289001"/>
    <n v="36922.249387040298"/>
  </r>
  <r>
    <x v="0"/>
    <x v="0"/>
    <x v="0"/>
    <x v="9"/>
    <x v="17"/>
    <s v="SE1_OTHER"/>
    <x v="11"/>
    <x v="0"/>
    <s v="GBPR_WOODWASTE"/>
    <x v="0"/>
    <x v="21"/>
    <n v="28.099124343257401"/>
    <n v="10256.180385289001"/>
    <n v="36922.249387040298"/>
  </r>
  <r>
    <x v="0"/>
    <x v="0"/>
    <x v="0"/>
    <x v="9"/>
    <x v="17"/>
    <s v="SE1_OTHER"/>
    <x v="11"/>
    <x v="0"/>
    <s v="GBPR_WOODWASTE"/>
    <x v="0"/>
    <x v="22"/>
    <n v="28.099124343257401"/>
    <n v="10256.180385289001"/>
    <n v="36922.249387040298"/>
  </r>
  <r>
    <x v="0"/>
    <x v="0"/>
    <x v="0"/>
    <x v="9"/>
    <x v="17"/>
    <s v="SE1_OTHER"/>
    <x v="11"/>
    <x v="0"/>
    <s v="GBPR_WOODWASTE"/>
    <x v="0"/>
    <x v="23"/>
    <n v="28.099124343257401"/>
    <n v="10256.180385289001"/>
    <n v="36922.249387040298"/>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3"/>
    <n v="407.485221835787"/>
    <n v="148732.105970062"/>
    <n v="535435.58149222401"/>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1"/>
    <x v="0"/>
    <x v="23"/>
    <n v="407.485221835787"/>
    <n v="148732.105970062"/>
    <n v="535435.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3"/>
    <n v="515.485221835787"/>
    <n v="188152.105970062"/>
    <n v="677347.58149222401"/>
  </r>
  <r>
    <x v="0"/>
    <x v="0"/>
    <x v="0"/>
    <x v="9"/>
    <x v="18"/>
    <s v="SE2A"/>
    <x v="6"/>
    <x v="7"/>
    <s v="GNR_RES_WTR_NOPMP_MC-02"/>
    <x v="0"/>
    <x v="4"/>
    <n v="515.485221835787"/>
    <n v="188152.105970062"/>
    <n v="677347.58149222401"/>
  </r>
  <r>
    <x v="0"/>
    <x v="0"/>
    <x v="0"/>
    <x v="9"/>
    <x v="18"/>
    <s v="SE2A"/>
    <x v="6"/>
    <x v="7"/>
    <s v="GNR_RES_WTR_NOPMP_MC-02"/>
    <x v="0"/>
    <x v="5"/>
    <n v="515.485221835787"/>
    <n v="188152.105970062"/>
    <n v="677347.58149222401"/>
  </r>
  <r>
    <x v="0"/>
    <x v="0"/>
    <x v="0"/>
    <x v="9"/>
    <x v="18"/>
    <s v="SE2A"/>
    <x v="6"/>
    <x v="7"/>
    <s v="GNR_RES_WTR_NOPMP_MC-02"/>
    <x v="0"/>
    <x v="6"/>
    <n v="515.485221835787"/>
    <n v="188152.105970062"/>
    <n v="677347.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515.485221835787"/>
    <n v="188152.105970062"/>
    <n v="677347.58149222401"/>
  </r>
  <r>
    <x v="0"/>
    <x v="0"/>
    <x v="0"/>
    <x v="9"/>
    <x v="18"/>
    <s v="SE2A"/>
    <x v="6"/>
    <x v="7"/>
    <s v="GNR_RES_WTR_NOPMP_MC-02"/>
    <x v="0"/>
    <x v="22"/>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3"/>
    <n v="515.485221835787"/>
    <n v="188152.105970062"/>
    <n v="677347.58149222401"/>
  </r>
  <r>
    <x v="0"/>
    <x v="0"/>
    <x v="0"/>
    <x v="9"/>
    <x v="18"/>
    <s v="SE2A"/>
    <x v="6"/>
    <x v="7"/>
    <s v="GNR_RES_WTR_NOPMP_MC-03"/>
    <x v="0"/>
    <x v="4"/>
    <n v="515.485221835787"/>
    <n v="188152.105970062"/>
    <n v="677347.58149222401"/>
  </r>
  <r>
    <x v="0"/>
    <x v="0"/>
    <x v="0"/>
    <x v="9"/>
    <x v="18"/>
    <s v="SE2A"/>
    <x v="6"/>
    <x v="7"/>
    <s v="GNR_RES_WTR_NOPMP_MC-03"/>
    <x v="0"/>
    <x v="5"/>
    <n v="515.485221835787"/>
    <n v="188152.105970062"/>
    <n v="677347.58149222401"/>
  </r>
  <r>
    <x v="0"/>
    <x v="0"/>
    <x v="0"/>
    <x v="9"/>
    <x v="18"/>
    <s v="SE2A"/>
    <x v="6"/>
    <x v="7"/>
    <s v="GNR_RES_WTR_NOPMP_MC-03"/>
    <x v="0"/>
    <x v="6"/>
    <n v="515.485221835787"/>
    <n v="188152.105970062"/>
    <n v="677347.58149222401"/>
  </r>
  <r>
    <x v="0"/>
    <x v="0"/>
    <x v="0"/>
    <x v="9"/>
    <x v="18"/>
    <s v="SE2A"/>
    <x v="6"/>
    <x v="7"/>
    <s v="GNR_RES_WTR_NOPMP_MC-03"/>
    <x v="0"/>
    <x v="7"/>
    <n v="515.485221835787"/>
    <n v="188152.105970062"/>
    <n v="677347.58149222401"/>
  </r>
  <r>
    <x v="0"/>
    <x v="0"/>
    <x v="0"/>
    <x v="9"/>
    <x v="18"/>
    <s v="SE2A"/>
    <x v="6"/>
    <x v="7"/>
    <s v="GNR_RES_WTR_NOPMP_MC-03"/>
    <x v="0"/>
    <x v="8"/>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3"/>
    <x v="0"/>
    <x v="21"/>
    <n v="515.485221835787"/>
    <n v="188152.105970062"/>
    <n v="677347.58149222401"/>
  </r>
  <r>
    <x v="0"/>
    <x v="0"/>
    <x v="0"/>
    <x v="9"/>
    <x v="18"/>
    <s v="SE2A"/>
    <x v="6"/>
    <x v="7"/>
    <s v="GNR_RES_WTR_NOPMP_MC-03"/>
    <x v="0"/>
    <x v="22"/>
    <n v="515.485221835787"/>
    <n v="188152.105970062"/>
    <n v="677347.58149222401"/>
  </r>
  <r>
    <x v="0"/>
    <x v="0"/>
    <x v="0"/>
    <x v="9"/>
    <x v="18"/>
    <s v="SE2A"/>
    <x v="6"/>
    <x v="7"/>
    <s v="GNR_RES_WTR_NOPMP_MC-04"/>
    <x v="0"/>
    <x v="0"/>
    <n v="139.32513733674901"/>
    <n v="50853.675127913302"/>
    <n v="183073.230460488"/>
  </r>
  <r>
    <x v="0"/>
    <x v="0"/>
    <x v="0"/>
    <x v="9"/>
    <x v="18"/>
    <s v="SE2A"/>
    <x v="6"/>
    <x v="7"/>
    <s v="GNR_RES_WTR_NOPMP_MC-04"/>
    <x v="0"/>
    <x v="1"/>
    <n v="15.516289238959899"/>
    <n v="5663.4455722203502"/>
    <n v="20388.4040599933"/>
  </r>
  <r>
    <x v="0"/>
    <x v="0"/>
    <x v="0"/>
    <x v="9"/>
    <x v="18"/>
    <s v="SE2A"/>
    <x v="6"/>
    <x v="7"/>
    <s v="GNR_RES_WTR_NOPMP_MC-04"/>
    <x v="0"/>
    <x v="2"/>
    <n v="270.49609686057101"/>
    <n v="98731.075354108398"/>
    <n v="355431.87127479003"/>
  </r>
  <r>
    <x v="0"/>
    <x v="0"/>
    <x v="0"/>
    <x v="9"/>
    <x v="18"/>
    <s v="SE2A"/>
    <x v="6"/>
    <x v="7"/>
    <s v="GNR_RES_WTR_NOPMP_MC-04"/>
    <x v="0"/>
    <x v="3"/>
    <n v="515.485221835787"/>
    <n v="188152.105970062"/>
    <n v="677347.58149222401"/>
  </r>
  <r>
    <x v="0"/>
    <x v="0"/>
    <x v="0"/>
    <x v="9"/>
    <x v="18"/>
    <s v="SE2A"/>
    <x v="6"/>
    <x v="7"/>
    <s v="GNR_RES_WTR_NOPMP_MC-04"/>
    <x v="0"/>
    <x v="4"/>
    <n v="515.485221835787"/>
    <n v="188152.105970062"/>
    <n v="677347.58149222401"/>
  </r>
  <r>
    <x v="0"/>
    <x v="0"/>
    <x v="0"/>
    <x v="9"/>
    <x v="18"/>
    <s v="SE2A"/>
    <x v="6"/>
    <x v="7"/>
    <s v="GNR_RES_WTR_NOPMP_MC-04"/>
    <x v="0"/>
    <x v="5"/>
    <n v="515.485221835787"/>
    <n v="188152.105970062"/>
    <n v="677347.58149222401"/>
  </r>
  <r>
    <x v="0"/>
    <x v="0"/>
    <x v="0"/>
    <x v="9"/>
    <x v="18"/>
    <s v="SE2A"/>
    <x v="6"/>
    <x v="7"/>
    <s v="GNR_RES_WTR_NOPMP_MC-04"/>
    <x v="0"/>
    <x v="6"/>
    <n v="515.485221835787"/>
    <n v="188152.105970062"/>
    <n v="677347.58149222401"/>
  </r>
  <r>
    <x v="0"/>
    <x v="0"/>
    <x v="0"/>
    <x v="9"/>
    <x v="18"/>
    <s v="SE2A"/>
    <x v="6"/>
    <x v="7"/>
    <s v="GNR_RES_WTR_NOPMP_MC-04"/>
    <x v="0"/>
    <x v="7"/>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8"/>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4"/>
    <x v="0"/>
    <x v="21"/>
    <n v="515.485221835787"/>
    <n v="188152.105970062"/>
    <n v="677347.58149222401"/>
  </r>
  <r>
    <x v="0"/>
    <x v="0"/>
    <x v="0"/>
    <x v="9"/>
    <x v="18"/>
    <s v="SE2A"/>
    <x v="6"/>
    <x v="7"/>
    <s v="GNR_RES_WTR_NOPMP_MC-04"/>
    <x v="0"/>
    <x v="22"/>
    <n v="175.181825404297"/>
    <n v="63941.366272568397"/>
    <n v="230188.91858124599"/>
  </r>
  <r>
    <x v="0"/>
    <x v="0"/>
    <x v="0"/>
    <x v="9"/>
    <x v="18"/>
    <s v="SE2A"/>
    <x v="6"/>
    <x v="7"/>
    <s v="GNR_RES_WTR_NOPMP_MC-05"/>
    <x v="0"/>
    <x v="6"/>
    <n v="515.485221835787"/>
    <n v="188152.105970062"/>
    <n v="677347.58149222401"/>
  </r>
  <r>
    <x v="0"/>
    <x v="0"/>
    <x v="0"/>
    <x v="9"/>
    <x v="18"/>
    <s v="SE2A"/>
    <x v="6"/>
    <x v="7"/>
    <s v="GNR_RES_WTR_NOPMP_MC-05"/>
    <x v="0"/>
    <x v="7"/>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8"/>
    <n v="515.485221835787"/>
    <n v="188152.105970062"/>
    <n v="677347.58149222401"/>
  </r>
  <r>
    <x v="0"/>
    <x v="0"/>
    <x v="0"/>
    <x v="9"/>
    <x v="18"/>
    <s v="SE2A"/>
    <x v="6"/>
    <x v="7"/>
    <s v="GNR_RES_WTR_NOPMP_MC-05"/>
    <x v="0"/>
    <x v="19"/>
    <n v="515.485221835787"/>
    <n v="188152.105970062"/>
    <n v="677347.58149222401"/>
  </r>
  <r>
    <x v="0"/>
    <x v="0"/>
    <x v="0"/>
    <x v="9"/>
    <x v="18"/>
    <s v="SE2A"/>
    <x v="6"/>
    <x v="7"/>
    <s v="GNR_RES_WTR_NOPMP_MC-05"/>
    <x v="0"/>
    <x v="20"/>
    <n v="515.485221835787"/>
    <n v="188152.105970062"/>
    <n v="677347.58149222401"/>
  </r>
  <r>
    <x v="0"/>
    <x v="0"/>
    <x v="0"/>
    <x v="9"/>
    <x v="18"/>
    <s v="SE2A"/>
    <x v="6"/>
    <x v="7"/>
    <s v="GNR_RES_WTR_NOPMP_MC-06"/>
    <x v="0"/>
    <x v="6"/>
    <n v="515.485221835787"/>
    <n v="188152.105970062"/>
    <n v="677347.58149222401"/>
  </r>
  <r>
    <x v="0"/>
    <x v="0"/>
    <x v="0"/>
    <x v="9"/>
    <x v="18"/>
    <s v="SE2A"/>
    <x v="6"/>
    <x v="7"/>
    <s v="GNR_RES_WTR_NOPMP_MC-06"/>
    <x v="0"/>
    <x v="7"/>
    <n v="515.485221835787"/>
    <n v="188152.105970062"/>
    <n v="677347.58149222401"/>
  </r>
  <r>
    <x v="0"/>
    <x v="0"/>
    <x v="0"/>
    <x v="9"/>
    <x v="18"/>
    <s v="SE2A"/>
    <x v="6"/>
    <x v="7"/>
    <s v="GNR_RES_WTR_NOPMP_MC-06"/>
    <x v="0"/>
    <x v="8"/>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267.46224130052002"/>
    <n v="97623.718074689998"/>
    <n v="351445.385068884"/>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7"/>
    <x v="0"/>
    <x v="7"/>
    <n v="515.485221835787"/>
    <n v="188152.105970062"/>
    <n v="677347.58149222401"/>
  </r>
  <r>
    <x v="0"/>
    <x v="0"/>
    <x v="0"/>
    <x v="9"/>
    <x v="18"/>
    <s v="SE2A"/>
    <x v="6"/>
    <x v="7"/>
    <s v="GNR_RES_WTR_NOPMP_MC-07"/>
    <x v="0"/>
    <x v="8"/>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515.485221835787"/>
    <n v="188152.105970062"/>
    <n v="677347.58149222401"/>
  </r>
  <r>
    <x v="0"/>
    <x v="0"/>
    <x v="0"/>
    <x v="9"/>
    <x v="18"/>
    <s v="SE2A"/>
    <x v="6"/>
    <x v="7"/>
    <s v="GNR_RES_WTR_NOPMP_MC-07"/>
    <x v="0"/>
    <x v="11"/>
    <n v="300.50398476030801"/>
    <n v="109683.954437512"/>
    <n v="394862.23597504402"/>
  </r>
  <r>
    <x v="0"/>
    <x v="0"/>
    <x v="0"/>
    <x v="9"/>
    <x v="18"/>
    <s v="SE2A"/>
    <x v="6"/>
    <x v="7"/>
    <s v="GNR_RES_WTR_NOPMP_MC-08"/>
    <x v="0"/>
    <x v="7"/>
    <n v="126.489762473879"/>
    <n v="46168.763302965897"/>
    <n v="166207.547890677"/>
  </r>
  <r>
    <x v="0"/>
    <x v="0"/>
    <x v="0"/>
    <x v="9"/>
    <x v="18"/>
    <s v="SE2A"/>
    <x v="6"/>
    <x v="7"/>
    <s v="GNR_RES_WTR_NOPMP_MC-08"/>
    <x v="0"/>
    <x v="8"/>
    <n v="515.485221835787"/>
    <n v="188152.105970062"/>
    <n v="677347.58149222401"/>
  </r>
  <r>
    <x v="0"/>
    <x v="0"/>
    <x v="0"/>
    <x v="9"/>
    <x v="18"/>
    <s v="SE2A"/>
    <x v="6"/>
    <x v="7"/>
    <s v="GNR_RES_WTR_NOPMP_MC-08"/>
    <x v="0"/>
    <x v="9"/>
    <n v="87.447868630145393"/>
    <n v="31918.4720500031"/>
    <n v="114906.499380011"/>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2"/>
    <n v="108"/>
    <n v="39420"/>
    <n v="141912"/>
  </r>
  <r>
    <x v="0"/>
    <x v="0"/>
    <x v="0"/>
    <x v="9"/>
    <x v="18"/>
    <s v="SE2A"/>
    <x v="6"/>
    <x v="7"/>
    <s v="GNR_RES_WTR_PMP_MC-01"/>
    <x v="0"/>
    <x v="3"/>
    <n v="108"/>
    <n v="39420"/>
    <n v="141912"/>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8"/>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7"/>
    <s v="GNR_RES_WTR_PMP_MC-01"/>
    <x v="0"/>
    <x v="23"/>
    <n v="108"/>
    <n v="39420"/>
    <n v="141912"/>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2"/>
    <n v="1671.24697052902"/>
    <n v="610005.14424309297"/>
    <n v="2196018.5192751298"/>
  </r>
  <r>
    <x v="0"/>
    <x v="0"/>
    <x v="0"/>
    <x v="9"/>
    <x v="18"/>
    <s v="SE2A"/>
    <x v="6"/>
    <x v="4"/>
    <s v="GNR_ROR_WTR"/>
    <x v="0"/>
    <x v="3"/>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8"/>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0"/>
    <n v="323.22607996570002"/>
    <n v="117977.519187481"/>
    <n v="424719.06907492998"/>
  </r>
  <r>
    <x v="0"/>
    <x v="0"/>
    <x v="0"/>
    <x v="9"/>
    <x v="18"/>
    <s v="SE2A"/>
    <x v="7"/>
    <x v="5"/>
    <s v="GNR_WT_WIND_ONS"/>
    <x v="0"/>
    <x v="1"/>
    <n v="212.283689093021"/>
    <n v="77483.546518952702"/>
    <n v="278940.76746822998"/>
  </r>
  <r>
    <x v="0"/>
    <x v="0"/>
    <x v="0"/>
    <x v="9"/>
    <x v="18"/>
    <s v="SE2A"/>
    <x v="7"/>
    <x v="5"/>
    <s v="GNR_WT_WIND_ONS"/>
    <x v="0"/>
    <x v="2"/>
    <n v="208.699441105483"/>
    <n v="76175.296003501193"/>
    <n v="274231.06561260403"/>
  </r>
  <r>
    <x v="0"/>
    <x v="0"/>
    <x v="0"/>
    <x v="9"/>
    <x v="18"/>
    <s v="SE2A"/>
    <x v="7"/>
    <x v="5"/>
    <s v="GNR_WT_WIND_ONS"/>
    <x v="0"/>
    <x v="3"/>
    <n v="157.28210947579001"/>
    <n v="57407.969958663198"/>
    <n v="206668.69185118799"/>
  </r>
  <r>
    <x v="0"/>
    <x v="0"/>
    <x v="0"/>
    <x v="9"/>
    <x v="18"/>
    <s v="SE2A"/>
    <x v="7"/>
    <x v="5"/>
    <s v="GNR_WT_WIND_ONS"/>
    <x v="0"/>
    <x v="4"/>
    <n v="148.10720142365801"/>
    <n v="54059.128519635102"/>
    <n v="194612.86267068601"/>
  </r>
  <r>
    <x v="0"/>
    <x v="0"/>
    <x v="0"/>
    <x v="9"/>
    <x v="18"/>
    <s v="SE2A"/>
    <x v="7"/>
    <x v="5"/>
    <s v="GNR_WT_WIND_ONS"/>
    <x v="0"/>
    <x v="5"/>
    <n v="127.512722785104"/>
    <n v="46542.143816563097"/>
    <n v="167551.717739627"/>
  </r>
  <r>
    <x v="0"/>
    <x v="0"/>
    <x v="0"/>
    <x v="9"/>
    <x v="18"/>
    <s v="SE2A"/>
    <x v="7"/>
    <x v="5"/>
    <s v="GNR_WT_WIND_ONS"/>
    <x v="0"/>
    <x v="6"/>
    <n v="128.02462075021299"/>
    <n v="46728.986573827598"/>
    <n v="168224.35166577899"/>
  </r>
  <r>
    <x v="0"/>
    <x v="0"/>
    <x v="0"/>
    <x v="9"/>
    <x v="18"/>
    <s v="SE2A"/>
    <x v="7"/>
    <x v="5"/>
    <s v="GNR_WT_WIND_ONS"/>
    <x v="0"/>
    <x v="7"/>
    <n v="200.083841953269"/>
    <n v="73030.602312943302"/>
    <n v="262910.16832659597"/>
  </r>
  <r>
    <x v="0"/>
    <x v="0"/>
    <x v="0"/>
    <x v="9"/>
    <x v="18"/>
    <s v="SE2A"/>
    <x v="7"/>
    <x v="5"/>
    <s v="GNR_WT_WIND_ONS"/>
    <x v="0"/>
    <x v="8"/>
    <n v="309.96910443949503"/>
    <n v="113138.72312041601"/>
    <n v="407299.40323349601"/>
  </r>
  <r>
    <x v="0"/>
    <x v="0"/>
    <x v="0"/>
    <x v="9"/>
    <x v="18"/>
    <s v="SE2A"/>
    <x v="7"/>
    <x v="5"/>
    <s v="GNR_WT_WIND_ONS"/>
    <x v="0"/>
    <x v="9"/>
    <n v="416.58278821446999"/>
    <n v="152052.71769828201"/>
    <n v="547389.78371381399"/>
  </r>
  <r>
    <x v="0"/>
    <x v="0"/>
    <x v="0"/>
    <x v="9"/>
    <x v="18"/>
    <s v="SE2A"/>
    <x v="7"/>
    <x v="5"/>
    <s v="GNR_WT_WIND_ONS"/>
    <x v="0"/>
    <x v="10"/>
    <n v="596.65293781612502"/>
    <n v="217778.32230288599"/>
    <n v="784001.96029038797"/>
  </r>
  <r>
    <x v="0"/>
    <x v="0"/>
    <x v="0"/>
    <x v="9"/>
    <x v="18"/>
    <s v="SE2A"/>
    <x v="7"/>
    <x v="5"/>
    <s v="GNR_WT_WIND_ONS"/>
    <x v="0"/>
    <x v="11"/>
    <n v="865.62731566730895"/>
    <n v="315953.97021856799"/>
    <n v="1137434.2927868399"/>
  </r>
  <r>
    <x v="0"/>
    <x v="0"/>
    <x v="0"/>
    <x v="9"/>
    <x v="18"/>
    <s v="SE2A"/>
    <x v="7"/>
    <x v="5"/>
    <s v="GNR_WT_WIND_ONS"/>
    <x v="0"/>
    <x v="12"/>
    <n v="1025.00206439814"/>
    <n v="374125.75350532198"/>
    <n v="1346852.7126191601"/>
  </r>
  <r>
    <x v="0"/>
    <x v="0"/>
    <x v="0"/>
    <x v="9"/>
    <x v="18"/>
    <s v="SE2A"/>
    <x v="7"/>
    <x v="5"/>
    <s v="GNR_WT_WIND_ONS"/>
    <x v="0"/>
    <x v="13"/>
    <n v="1075.28886710645"/>
    <n v="392480.43649385299"/>
    <n v="1412929.5713778699"/>
  </r>
  <r>
    <x v="0"/>
    <x v="0"/>
    <x v="0"/>
    <x v="9"/>
    <x v="18"/>
    <s v="SE2A"/>
    <x v="7"/>
    <x v="5"/>
    <s v="GNR_WT_WIND_ONS"/>
    <x v="0"/>
    <x v="14"/>
    <n v="1142.3571975898799"/>
    <n v="416960.377120308"/>
    <n v="1501057.3576331099"/>
  </r>
  <r>
    <x v="0"/>
    <x v="0"/>
    <x v="0"/>
    <x v="9"/>
    <x v="18"/>
    <s v="SE2A"/>
    <x v="7"/>
    <x v="5"/>
    <s v="GNR_WT_WIND_ONS"/>
    <x v="0"/>
    <x v="15"/>
    <n v="1252.24679479015"/>
    <n v="457070.08009840501"/>
    <n v="1645452.2883542599"/>
  </r>
  <r>
    <x v="0"/>
    <x v="0"/>
    <x v="0"/>
    <x v="9"/>
    <x v="18"/>
    <s v="SE2A"/>
    <x v="7"/>
    <x v="5"/>
    <s v="GNR_WT_WIND_ONS"/>
    <x v="0"/>
    <x v="16"/>
    <n v="1284.8997659173001"/>
    <n v="468988.41455981397"/>
    <n v="1688358.29241533"/>
  </r>
  <r>
    <x v="0"/>
    <x v="0"/>
    <x v="0"/>
    <x v="9"/>
    <x v="18"/>
    <s v="SE2A"/>
    <x v="7"/>
    <x v="5"/>
    <s v="GNR_WT_WIND_ONS"/>
    <x v="0"/>
    <x v="17"/>
    <n v="1073.6338564703501"/>
    <n v="391876.35761167901"/>
    <n v="1410754.88740204"/>
  </r>
  <r>
    <x v="0"/>
    <x v="0"/>
    <x v="0"/>
    <x v="9"/>
    <x v="18"/>
    <s v="SE2A"/>
    <x v="7"/>
    <x v="5"/>
    <s v="GNR_WT_WIND_ONS"/>
    <x v="0"/>
    <x v="18"/>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A"/>
    <x v="10"/>
    <x v="0"/>
    <s v="GBPR_IND_BIO"/>
    <x v="0"/>
    <x v="0"/>
    <n v="364.7"/>
    <n v="133115.5"/>
    <n v="479215.8"/>
  </r>
  <r>
    <x v="0"/>
    <x v="0"/>
    <x v="0"/>
    <x v="9"/>
    <x v="18"/>
    <s v="SE2A"/>
    <x v="10"/>
    <x v="0"/>
    <s v="GBPR_IND_BIO"/>
    <x v="0"/>
    <x v="1"/>
    <n v="364.7"/>
    <n v="133115.5"/>
    <n v="479215.8"/>
  </r>
  <r>
    <x v="0"/>
    <x v="0"/>
    <x v="0"/>
    <x v="9"/>
    <x v="18"/>
    <s v="SE2A"/>
    <x v="10"/>
    <x v="0"/>
    <s v="GBPR_IND_BIO"/>
    <x v="0"/>
    <x v="2"/>
    <n v="364.7"/>
    <n v="133115.5"/>
    <n v="479215.8"/>
  </r>
  <r>
    <x v="0"/>
    <x v="0"/>
    <x v="0"/>
    <x v="9"/>
    <x v="18"/>
    <s v="SE2A"/>
    <x v="10"/>
    <x v="0"/>
    <s v="GBPR_IND_BIO"/>
    <x v="0"/>
    <x v="3"/>
    <n v="364.7"/>
    <n v="133115.5"/>
    <n v="479215.8"/>
  </r>
  <r>
    <x v="0"/>
    <x v="0"/>
    <x v="0"/>
    <x v="9"/>
    <x v="18"/>
    <s v="SE2A"/>
    <x v="10"/>
    <x v="0"/>
    <s v="GBPR_IND_BIO"/>
    <x v="0"/>
    <x v="4"/>
    <n v="364.7"/>
    <n v="133115.5"/>
    <n v="479215.8"/>
  </r>
  <r>
    <x v="0"/>
    <x v="0"/>
    <x v="0"/>
    <x v="9"/>
    <x v="18"/>
    <s v="SE2A"/>
    <x v="10"/>
    <x v="0"/>
    <s v="GBPR_IND_BIO"/>
    <x v="0"/>
    <x v="5"/>
    <n v="364.7"/>
    <n v="133115.5"/>
    <n v="479215.8"/>
  </r>
  <r>
    <x v="0"/>
    <x v="0"/>
    <x v="0"/>
    <x v="9"/>
    <x v="18"/>
    <s v="SE2A"/>
    <x v="10"/>
    <x v="0"/>
    <s v="GBPR_IND_BIO"/>
    <x v="0"/>
    <x v="6"/>
    <n v="364.7"/>
    <n v="133115.5"/>
    <n v="479215.8"/>
  </r>
  <r>
    <x v="0"/>
    <x v="0"/>
    <x v="0"/>
    <x v="9"/>
    <x v="18"/>
    <s v="SE2A"/>
    <x v="10"/>
    <x v="0"/>
    <s v="GBPR_IND_BIO"/>
    <x v="0"/>
    <x v="7"/>
    <n v="364.7"/>
    <n v="133115.5"/>
    <n v="479215.8"/>
  </r>
  <r>
    <x v="0"/>
    <x v="0"/>
    <x v="0"/>
    <x v="9"/>
    <x v="18"/>
    <s v="SE2A"/>
    <x v="10"/>
    <x v="0"/>
    <s v="GBPR_IND_BIO"/>
    <x v="0"/>
    <x v="8"/>
    <n v="364.7"/>
    <n v="133115.5"/>
    <n v="479215.8"/>
  </r>
  <r>
    <x v="0"/>
    <x v="0"/>
    <x v="0"/>
    <x v="9"/>
    <x v="18"/>
    <s v="SE2A"/>
    <x v="10"/>
    <x v="0"/>
    <s v="GBPR_IND_BIO"/>
    <x v="0"/>
    <x v="9"/>
    <n v="364.7"/>
    <n v="133115.5"/>
    <n v="479215.8"/>
  </r>
  <r>
    <x v="0"/>
    <x v="0"/>
    <x v="0"/>
    <x v="9"/>
    <x v="18"/>
    <s v="SE2A"/>
    <x v="10"/>
    <x v="0"/>
    <s v="GBPR_IND_BIO"/>
    <x v="0"/>
    <x v="10"/>
    <n v="364.7"/>
    <n v="133115.5"/>
    <n v="479215.8"/>
  </r>
  <r>
    <x v="0"/>
    <x v="0"/>
    <x v="0"/>
    <x v="9"/>
    <x v="18"/>
    <s v="SE2A"/>
    <x v="10"/>
    <x v="0"/>
    <s v="GBPR_IND_BIO"/>
    <x v="0"/>
    <x v="11"/>
    <n v="364.7"/>
    <n v="133115.5"/>
    <n v="479215.8"/>
  </r>
  <r>
    <x v="0"/>
    <x v="0"/>
    <x v="0"/>
    <x v="9"/>
    <x v="18"/>
    <s v="SE2A"/>
    <x v="10"/>
    <x v="0"/>
    <s v="GBPR_IND_BIO"/>
    <x v="0"/>
    <x v="12"/>
    <n v="364.7"/>
    <n v="133115.5"/>
    <n v="479215.8"/>
  </r>
  <r>
    <x v="0"/>
    <x v="0"/>
    <x v="0"/>
    <x v="9"/>
    <x v="18"/>
    <s v="SE2A"/>
    <x v="10"/>
    <x v="0"/>
    <s v="GBPR_IND_BIO"/>
    <x v="0"/>
    <x v="13"/>
    <n v="364.7"/>
    <n v="133115.5"/>
    <n v="479215.8"/>
  </r>
  <r>
    <x v="0"/>
    <x v="0"/>
    <x v="0"/>
    <x v="9"/>
    <x v="18"/>
    <s v="SE2A"/>
    <x v="10"/>
    <x v="0"/>
    <s v="GBPR_IND_BIO"/>
    <x v="0"/>
    <x v="14"/>
    <n v="364.7"/>
    <n v="133115.5"/>
    <n v="479215.8"/>
  </r>
  <r>
    <x v="0"/>
    <x v="0"/>
    <x v="0"/>
    <x v="9"/>
    <x v="18"/>
    <s v="SE2A"/>
    <x v="10"/>
    <x v="0"/>
    <s v="GBPR_IND_BIO"/>
    <x v="0"/>
    <x v="15"/>
    <n v="364.7"/>
    <n v="133115.5"/>
    <n v="479215.8"/>
  </r>
  <r>
    <x v="0"/>
    <x v="0"/>
    <x v="0"/>
    <x v="9"/>
    <x v="18"/>
    <s v="SE2A"/>
    <x v="10"/>
    <x v="0"/>
    <s v="GBPR_IND_BIO"/>
    <x v="0"/>
    <x v="16"/>
    <n v="364.7"/>
    <n v="133115.5"/>
    <n v="479215.8"/>
  </r>
  <r>
    <x v="0"/>
    <x v="0"/>
    <x v="0"/>
    <x v="9"/>
    <x v="18"/>
    <s v="SE2A"/>
    <x v="10"/>
    <x v="0"/>
    <s v="GBPR_IND_BIO"/>
    <x v="0"/>
    <x v="17"/>
    <n v="364.7"/>
    <n v="133115.5"/>
    <n v="479215.8"/>
  </r>
  <r>
    <x v="0"/>
    <x v="0"/>
    <x v="0"/>
    <x v="9"/>
    <x v="18"/>
    <s v="SE2A"/>
    <x v="10"/>
    <x v="0"/>
    <s v="GBPR_IND_BIO"/>
    <x v="0"/>
    <x v="18"/>
    <n v="364.7"/>
    <n v="133115.5"/>
    <n v="479215.8"/>
  </r>
  <r>
    <x v="0"/>
    <x v="0"/>
    <x v="0"/>
    <x v="9"/>
    <x v="18"/>
    <s v="SE2A"/>
    <x v="10"/>
    <x v="0"/>
    <s v="GBPR_IND_BIO"/>
    <x v="0"/>
    <x v="19"/>
    <n v="364.7"/>
    <n v="133115.5"/>
    <n v="479215.8"/>
  </r>
  <r>
    <x v="0"/>
    <x v="0"/>
    <x v="0"/>
    <x v="9"/>
    <x v="18"/>
    <s v="SE2A"/>
    <x v="10"/>
    <x v="0"/>
    <s v="GBPR_IND_BIO"/>
    <x v="0"/>
    <x v="20"/>
    <n v="364.7"/>
    <n v="133115.5"/>
    <n v="479215.8"/>
  </r>
  <r>
    <x v="0"/>
    <x v="0"/>
    <x v="0"/>
    <x v="9"/>
    <x v="18"/>
    <s v="SE2A"/>
    <x v="10"/>
    <x v="0"/>
    <s v="GBPR_IND_BIO"/>
    <x v="0"/>
    <x v="21"/>
    <n v="364.7"/>
    <n v="133115.5"/>
    <n v="479215.8"/>
  </r>
  <r>
    <x v="0"/>
    <x v="0"/>
    <x v="0"/>
    <x v="9"/>
    <x v="18"/>
    <s v="SE2A"/>
    <x v="10"/>
    <x v="0"/>
    <s v="GBPR_IND_BIO"/>
    <x v="0"/>
    <x v="22"/>
    <n v="364.7"/>
    <n v="133115.5"/>
    <n v="479215.8"/>
  </r>
  <r>
    <x v="0"/>
    <x v="0"/>
    <x v="0"/>
    <x v="9"/>
    <x v="18"/>
    <s v="SE2A"/>
    <x v="10"/>
    <x v="0"/>
    <s v="GBPR_IND_BIO"/>
    <x v="0"/>
    <x v="23"/>
    <n v="364.7"/>
    <n v="133115.5"/>
    <n v="479215.8"/>
  </r>
  <r>
    <x v="0"/>
    <x v="0"/>
    <x v="0"/>
    <x v="9"/>
    <x v="18"/>
    <s v="SE2_EL"/>
    <x v="1"/>
    <x v="0"/>
    <s v="GBPR_MUNIWASTE_24"/>
    <x v="0"/>
    <x v="0"/>
    <n v="41.725879512812497"/>
    <n v="15229.9460221766"/>
    <n v="54827.805679835597"/>
  </r>
  <r>
    <x v="0"/>
    <x v="0"/>
    <x v="0"/>
    <x v="9"/>
    <x v="18"/>
    <s v="SE2_EL"/>
    <x v="1"/>
    <x v="0"/>
    <s v="GBPR_MUNIWASTE_24"/>
    <x v="0"/>
    <x v="1"/>
    <n v="41.725879512812497"/>
    <n v="15229.9460221766"/>
    <n v="54827.805679835597"/>
  </r>
  <r>
    <x v="0"/>
    <x v="0"/>
    <x v="0"/>
    <x v="9"/>
    <x v="18"/>
    <s v="SE2_EL"/>
    <x v="1"/>
    <x v="0"/>
    <s v="GBPR_MUNIWASTE_24"/>
    <x v="0"/>
    <x v="2"/>
    <n v="41.725879512812497"/>
    <n v="15229.9460221766"/>
    <n v="54827.805679835597"/>
  </r>
  <r>
    <x v="0"/>
    <x v="0"/>
    <x v="0"/>
    <x v="9"/>
    <x v="18"/>
    <s v="SE2_EL"/>
    <x v="1"/>
    <x v="0"/>
    <s v="GBPR_MUNIWASTE_24"/>
    <x v="0"/>
    <x v="3"/>
    <n v="41.725879512812497"/>
    <n v="15229.9460221766"/>
    <n v="54827.805679835597"/>
  </r>
  <r>
    <x v="0"/>
    <x v="0"/>
    <x v="0"/>
    <x v="9"/>
    <x v="18"/>
    <s v="SE2_EL"/>
    <x v="1"/>
    <x v="0"/>
    <s v="GBPR_MUNIWASTE_24"/>
    <x v="0"/>
    <x v="4"/>
    <n v="41.725879512812497"/>
    <n v="15229.9460221766"/>
    <n v="54827.805679835597"/>
  </r>
  <r>
    <x v="0"/>
    <x v="0"/>
    <x v="0"/>
    <x v="9"/>
    <x v="18"/>
    <s v="SE2_EL"/>
    <x v="1"/>
    <x v="0"/>
    <s v="GBPR_MUNIWASTE_24"/>
    <x v="0"/>
    <x v="5"/>
    <n v="41.725879512812497"/>
    <n v="15229.9460221766"/>
    <n v="54827.805679835597"/>
  </r>
  <r>
    <x v="0"/>
    <x v="0"/>
    <x v="0"/>
    <x v="9"/>
    <x v="18"/>
    <s v="SE2_EL"/>
    <x v="1"/>
    <x v="0"/>
    <s v="GBPR_MUNIWASTE_24"/>
    <x v="0"/>
    <x v="6"/>
    <n v="41.725879512812497"/>
    <n v="15229.9460221766"/>
    <n v="54827.805679835597"/>
  </r>
  <r>
    <x v="0"/>
    <x v="0"/>
    <x v="0"/>
    <x v="9"/>
    <x v="18"/>
    <s v="SE2_EL"/>
    <x v="1"/>
    <x v="0"/>
    <s v="GBPR_MUNIWASTE_24"/>
    <x v="0"/>
    <x v="7"/>
    <n v="41.725879512812497"/>
    <n v="15229.9460221766"/>
    <n v="54827.805679835597"/>
  </r>
  <r>
    <x v="0"/>
    <x v="0"/>
    <x v="0"/>
    <x v="9"/>
    <x v="18"/>
    <s v="SE2_EL"/>
    <x v="1"/>
    <x v="0"/>
    <s v="GBPR_MUNIWASTE_24"/>
    <x v="0"/>
    <x v="8"/>
    <n v="41.725879512812497"/>
    <n v="15229.9460221766"/>
    <n v="54827.805679835597"/>
  </r>
  <r>
    <x v="0"/>
    <x v="0"/>
    <x v="0"/>
    <x v="9"/>
    <x v="18"/>
    <s v="SE2_EL"/>
    <x v="1"/>
    <x v="0"/>
    <s v="GBPR_MUNIWASTE_24"/>
    <x v="0"/>
    <x v="9"/>
    <n v="41.725879512812497"/>
    <n v="15229.9460221766"/>
    <n v="54827.805679835597"/>
  </r>
  <r>
    <x v="0"/>
    <x v="0"/>
    <x v="0"/>
    <x v="9"/>
    <x v="18"/>
    <s v="SE2_EL"/>
    <x v="1"/>
    <x v="0"/>
    <s v="GBPR_MUNIWASTE_24"/>
    <x v="0"/>
    <x v="10"/>
    <n v="41.725879512812497"/>
    <n v="15229.9460221766"/>
    <n v="54827.805679835597"/>
  </r>
  <r>
    <x v="0"/>
    <x v="0"/>
    <x v="0"/>
    <x v="9"/>
    <x v="18"/>
    <s v="SE2_EL"/>
    <x v="1"/>
    <x v="0"/>
    <s v="GBPR_MUNIWASTE_24"/>
    <x v="0"/>
    <x v="11"/>
    <n v="41.725879512812497"/>
    <n v="15229.9460221766"/>
    <n v="54827.805679835597"/>
  </r>
  <r>
    <x v="0"/>
    <x v="0"/>
    <x v="0"/>
    <x v="9"/>
    <x v="18"/>
    <s v="SE2_EL"/>
    <x v="1"/>
    <x v="0"/>
    <s v="GBPR_MUNIWASTE_24"/>
    <x v="0"/>
    <x v="12"/>
    <n v="41.725879512812497"/>
    <n v="15229.9460221766"/>
    <n v="54827.805679835597"/>
  </r>
  <r>
    <x v="0"/>
    <x v="0"/>
    <x v="0"/>
    <x v="9"/>
    <x v="18"/>
    <s v="SE2_EL"/>
    <x v="1"/>
    <x v="0"/>
    <s v="GBPR_MUNIWASTE_24"/>
    <x v="0"/>
    <x v="13"/>
    <n v="41.725879512812497"/>
    <n v="15229.9460221766"/>
    <n v="54827.805679835597"/>
  </r>
  <r>
    <x v="0"/>
    <x v="0"/>
    <x v="0"/>
    <x v="9"/>
    <x v="18"/>
    <s v="SE2_EL"/>
    <x v="1"/>
    <x v="0"/>
    <s v="GBPR_MUNIWASTE_24"/>
    <x v="0"/>
    <x v="14"/>
    <n v="41.725879512812497"/>
    <n v="15229.9460221766"/>
    <n v="54827.805679835597"/>
  </r>
  <r>
    <x v="0"/>
    <x v="0"/>
    <x v="0"/>
    <x v="9"/>
    <x v="18"/>
    <s v="SE2_EL"/>
    <x v="1"/>
    <x v="0"/>
    <s v="GBPR_MUNIWASTE_24"/>
    <x v="0"/>
    <x v="15"/>
    <n v="41.725879512812497"/>
    <n v="15229.9460221766"/>
    <n v="54827.805679835597"/>
  </r>
  <r>
    <x v="0"/>
    <x v="0"/>
    <x v="0"/>
    <x v="9"/>
    <x v="18"/>
    <s v="SE2_EL"/>
    <x v="1"/>
    <x v="0"/>
    <s v="GBPR_MUNIWASTE_24"/>
    <x v="0"/>
    <x v="16"/>
    <n v="41.725879512812497"/>
    <n v="15229.9460221766"/>
    <n v="54827.805679835597"/>
  </r>
  <r>
    <x v="0"/>
    <x v="0"/>
    <x v="0"/>
    <x v="9"/>
    <x v="18"/>
    <s v="SE2_EL"/>
    <x v="1"/>
    <x v="0"/>
    <s v="GBPR_MUNIWASTE_24"/>
    <x v="0"/>
    <x v="17"/>
    <n v="41.725879512812497"/>
    <n v="15229.9460221766"/>
    <n v="54827.805679835597"/>
  </r>
  <r>
    <x v="0"/>
    <x v="0"/>
    <x v="0"/>
    <x v="9"/>
    <x v="18"/>
    <s v="SE2_EL"/>
    <x v="1"/>
    <x v="0"/>
    <s v="GBPR_MUNIWASTE_24"/>
    <x v="0"/>
    <x v="18"/>
    <n v="41.725879512812497"/>
    <n v="15229.9460221766"/>
    <n v="54827.805679835597"/>
  </r>
  <r>
    <x v="0"/>
    <x v="0"/>
    <x v="0"/>
    <x v="9"/>
    <x v="18"/>
    <s v="SE2_EL"/>
    <x v="1"/>
    <x v="0"/>
    <s v="GBPR_MUNIWASTE_24"/>
    <x v="0"/>
    <x v="19"/>
    <n v="41.725879512812497"/>
    <n v="15229.9460221766"/>
    <n v="54827.805679835597"/>
  </r>
  <r>
    <x v="0"/>
    <x v="0"/>
    <x v="0"/>
    <x v="9"/>
    <x v="18"/>
    <s v="SE2_EL"/>
    <x v="1"/>
    <x v="0"/>
    <s v="GBPR_MUNIWASTE_24"/>
    <x v="0"/>
    <x v="20"/>
    <n v="41.725879512812497"/>
    <n v="15229.9460221766"/>
    <n v="54827.805679835597"/>
  </r>
  <r>
    <x v="0"/>
    <x v="0"/>
    <x v="0"/>
    <x v="9"/>
    <x v="18"/>
    <s v="SE2_EL"/>
    <x v="1"/>
    <x v="0"/>
    <s v="GBPR_MUNIWASTE_24"/>
    <x v="0"/>
    <x v="21"/>
    <n v="41.725879512812497"/>
    <n v="15229.9460221766"/>
    <n v="54827.805679835597"/>
  </r>
  <r>
    <x v="0"/>
    <x v="0"/>
    <x v="0"/>
    <x v="9"/>
    <x v="18"/>
    <s v="SE2_EL"/>
    <x v="1"/>
    <x v="0"/>
    <s v="GBPR_MUNIWASTE_24"/>
    <x v="0"/>
    <x v="22"/>
    <n v="41.725879512812497"/>
    <n v="15229.9460221766"/>
    <n v="54827.805679835597"/>
  </r>
  <r>
    <x v="0"/>
    <x v="0"/>
    <x v="0"/>
    <x v="9"/>
    <x v="18"/>
    <s v="SE2_EL"/>
    <x v="1"/>
    <x v="0"/>
    <s v="GBPR_MUNIWASTE_24"/>
    <x v="0"/>
    <x v="23"/>
    <n v="41.725879512812497"/>
    <n v="15229.9460221766"/>
    <n v="54827.805679835597"/>
  </r>
  <r>
    <x v="0"/>
    <x v="0"/>
    <x v="0"/>
    <x v="9"/>
    <x v="18"/>
    <s v="SE2_EL"/>
    <x v="4"/>
    <x v="0"/>
    <s v="GBPR_WOODCHIPS_37"/>
    <x v="0"/>
    <x v="0"/>
    <n v="9.7705449602299801"/>
    <n v="3566.2489104839401"/>
    <n v="12838.4960777422"/>
  </r>
  <r>
    <x v="0"/>
    <x v="0"/>
    <x v="0"/>
    <x v="9"/>
    <x v="18"/>
    <s v="SE2_EL"/>
    <x v="4"/>
    <x v="0"/>
    <s v="GBPR_WOODCHIPS_37"/>
    <x v="0"/>
    <x v="1"/>
    <n v="9.7705449602299801"/>
    <n v="3566.2489104839401"/>
    <n v="12838.4960777422"/>
  </r>
  <r>
    <x v="0"/>
    <x v="0"/>
    <x v="0"/>
    <x v="9"/>
    <x v="18"/>
    <s v="SE2_EL"/>
    <x v="4"/>
    <x v="0"/>
    <s v="GBPR_WOODCHIPS_37"/>
    <x v="0"/>
    <x v="2"/>
    <n v="9.7705449602299801"/>
    <n v="3566.2489104839401"/>
    <n v="12838.4960777422"/>
  </r>
  <r>
    <x v="0"/>
    <x v="0"/>
    <x v="0"/>
    <x v="9"/>
    <x v="18"/>
    <s v="SE2_EL"/>
    <x v="4"/>
    <x v="0"/>
    <s v="GBPR_WOODCHIPS_37"/>
    <x v="0"/>
    <x v="3"/>
    <n v="9.7705449602299801"/>
    <n v="3566.2489104839401"/>
    <n v="12838.4960777422"/>
  </r>
  <r>
    <x v="0"/>
    <x v="0"/>
    <x v="0"/>
    <x v="9"/>
    <x v="18"/>
    <s v="SE2_EL"/>
    <x v="4"/>
    <x v="0"/>
    <s v="GBPR_WOODCHIPS_37"/>
    <x v="0"/>
    <x v="4"/>
    <n v="9.7705449602299801"/>
    <n v="3566.2489104839401"/>
    <n v="12838.4960777422"/>
  </r>
  <r>
    <x v="0"/>
    <x v="0"/>
    <x v="0"/>
    <x v="9"/>
    <x v="18"/>
    <s v="SE2_EL"/>
    <x v="4"/>
    <x v="0"/>
    <s v="GBPR_WOODCHIPS_37"/>
    <x v="0"/>
    <x v="5"/>
    <n v="9.7705449602299801"/>
    <n v="3566.2489104839401"/>
    <n v="12838.4960777422"/>
  </r>
  <r>
    <x v="0"/>
    <x v="0"/>
    <x v="0"/>
    <x v="9"/>
    <x v="18"/>
    <s v="SE2_EL"/>
    <x v="4"/>
    <x v="0"/>
    <s v="GBPR_WOODCHIPS_37"/>
    <x v="0"/>
    <x v="6"/>
    <n v="9.7705449602299801"/>
    <n v="3566.2489104839401"/>
    <n v="12838.4960777422"/>
  </r>
  <r>
    <x v="0"/>
    <x v="0"/>
    <x v="0"/>
    <x v="9"/>
    <x v="18"/>
    <s v="SE2_EL"/>
    <x v="4"/>
    <x v="0"/>
    <s v="GBPR_WOODCHIPS_37"/>
    <x v="0"/>
    <x v="7"/>
    <n v="9.7705449602299801"/>
    <n v="3566.2489104839401"/>
    <n v="12838.4960777422"/>
  </r>
  <r>
    <x v="0"/>
    <x v="0"/>
    <x v="0"/>
    <x v="9"/>
    <x v="18"/>
    <s v="SE2_EL"/>
    <x v="4"/>
    <x v="0"/>
    <s v="GBPR_WOODCHIPS_37"/>
    <x v="0"/>
    <x v="8"/>
    <n v="9.7705449602299801"/>
    <n v="3566.2489104839401"/>
    <n v="12838.4960777422"/>
  </r>
  <r>
    <x v="0"/>
    <x v="0"/>
    <x v="0"/>
    <x v="9"/>
    <x v="18"/>
    <s v="SE2_EL"/>
    <x v="4"/>
    <x v="0"/>
    <s v="GBPR_WOODCHIPS_37"/>
    <x v="0"/>
    <x v="9"/>
    <n v="9.7705449602299801"/>
    <n v="3566.2489104839401"/>
    <n v="12838.4960777422"/>
  </r>
  <r>
    <x v="0"/>
    <x v="0"/>
    <x v="0"/>
    <x v="9"/>
    <x v="18"/>
    <s v="SE2_EL"/>
    <x v="4"/>
    <x v="0"/>
    <s v="GBPR_WOODCHIPS_37"/>
    <x v="0"/>
    <x v="10"/>
    <n v="9.7705449602299801"/>
    <n v="3566.2489104839401"/>
    <n v="12838.4960777422"/>
  </r>
  <r>
    <x v="0"/>
    <x v="0"/>
    <x v="0"/>
    <x v="9"/>
    <x v="18"/>
    <s v="SE2_EL"/>
    <x v="4"/>
    <x v="0"/>
    <s v="GBPR_WOODCHIPS_37"/>
    <x v="0"/>
    <x v="11"/>
    <n v="9.7705449602299801"/>
    <n v="3566.2489104839401"/>
    <n v="12838.4960777422"/>
  </r>
  <r>
    <x v="0"/>
    <x v="0"/>
    <x v="0"/>
    <x v="9"/>
    <x v="18"/>
    <s v="SE2_EL"/>
    <x v="4"/>
    <x v="0"/>
    <s v="GBPR_WOODCHIPS_37"/>
    <x v="0"/>
    <x v="12"/>
    <n v="9.7705449602299801"/>
    <n v="3566.2489104839401"/>
    <n v="12838.4960777422"/>
  </r>
  <r>
    <x v="0"/>
    <x v="0"/>
    <x v="0"/>
    <x v="9"/>
    <x v="18"/>
    <s v="SE2_EL"/>
    <x v="4"/>
    <x v="0"/>
    <s v="GBPR_WOODCHIPS_37"/>
    <x v="0"/>
    <x v="13"/>
    <n v="9.7705449602299801"/>
    <n v="3566.2489104839401"/>
    <n v="12838.4960777422"/>
  </r>
  <r>
    <x v="0"/>
    <x v="0"/>
    <x v="0"/>
    <x v="9"/>
    <x v="18"/>
    <s v="SE2_EL"/>
    <x v="4"/>
    <x v="0"/>
    <s v="GBPR_WOODCHIPS_37"/>
    <x v="0"/>
    <x v="14"/>
    <n v="9.7705449602299801"/>
    <n v="3566.2489104839401"/>
    <n v="12838.4960777422"/>
  </r>
  <r>
    <x v="0"/>
    <x v="0"/>
    <x v="0"/>
    <x v="9"/>
    <x v="18"/>
    <s v="SE2_EL"/>
    <x v="4"/>
    <x v="0"/>
    <s v="GBPR_WOODCHIPS_37"/>
    <x v="0"/>
    <x v="15"/>
    <n v="9.7705449602299801"/>
    <n v="3566.2489104839401"/>
    <n v="12838.4960777422"/>
  </r>
  <r>
    <x v="0"/>
    <x v="0"/>
    <x v="0"/>
    <x v="9"/>
    <x v="18"/>
    <s v="SE2_EL"/>
    <x v="4"/>
    <x v="0"/>
    <s v="GBPR_WOODCHIPS_37"/>
    <x v="0"/>
    <x v="16"/>
    <n v="9.7705449602299801"/>
    <n v="3566.2489104839401"/>
    <n v="12838.4960777422"/>
  </r>
  <r>
    <x v="0"/>
    <x v="0"/>
    <x v="0"/>
    <x v="9"/>
    <x v="18"/>
    <s v="SE2_EL"/>
    <x v="4"/>
    <x v="0"/>
    <s v="GBPR_WOODCHIPS_37"/>
    <x v="0"/>
    <x v="17"/>
    <n v="9.7705449602299801"/>
    <n v="3566.2489104839401"/>
    <n v="12838.4960777422"/>
  </r>
  <r>
    <x v="0"/>
    <x v="0"/>
    <x v="0"/>
    <x v="9"/>
    <x v="18"/>
    <s v="SE2_EL"/>
    <x v="4"/>
    <x v="0"/>
    <s v="GBPR_WOODCHIPS_37"/>
    <x v="0"/>
    <x v="18"/>
    <n v="9.7705449602299801"/>
    <n v="3566.2489104839401"/>
    <n v="12838.4960777422"/>
  </r>
  <r>
    <x v="0"/>
    <x v="0"/>
    <x v="0"/>
    <x v="9"/>
    <x v="18"/>
    <s v="SE2_EL"/>
    <x v="4"/>
    <x v="0"/>
    <s v="GBPR_WOODCHIPS_37"/>
    <x v="0"/>
    <x v="19"/>
    <n v="9.7705449602299801"/>
    <n v="3566.2489104839401"/>
    <n v="12838.4960777422"/>
  </r>
  <r>
    <x v="0"/>
    <x v="0"/>
    <x v="0"/>
    <x v="9"/>
    <x v="18"/>
    <s v="SE2_EL"/>
    <x v="4"/>
    <x v="0"/>
    <s v="GBPR_WOODCHIPS_37"/>
    <x v="0"/>
    <x v="20"/>
    <n v="9.7705449602299801"/>
    <n v="3566.2489104839401"/>
    <n v="12838.4960777422"/>
  </r>
  <r>
    <x v="0"/>
    <x v="0"/>
    <x v="0"/>
    <x v="9"/>
    <x v="18"/>
    <s v="SE2_EL"/>
    <x v="4"/>
    <x v="0"/>
    <s v="GBPR_WOODCHIPS_37"/>
    <x v="0"/>
    <x v="21"/>
    <n v="9.7705449602299801"/>
    <n v="3566.2489104839401"/>
    <n v="12838.4960777422"/>
  </r>
  <r>
    <x v="0"/>
    <x v="0"/>
    <x v="0"/>
    <x v="9"/>
    <x v="18"/>
    <s v="SE2_EL"/>
    <x v="4"/>
    <x v="0"/>
    <s v="GBPR_WOODCHIPS_37"/>
    <x v="0"/>
    <x v="22"/>
    <n v="9.7705449602299801"/>
    <n v="3566.2489104839401"/>
    <n v="12838.4960777422"/>
  </r>
  <r>
    <x v="0"/>
    <x v="0"/>
    <x v="0"/>
    <x v="9"/>
    <x v="18"/>
    <s v="SE2_EL"/>
    <x v="4"/>
    <x v="0"/>
    <s v="GBPR_WOODCHIPS_37"/>
    <x v="0"/>
    <x v="23"/>
    <n v="9.7705449602299801"/>
    <n v="3566.2489104839401"/>
    <n v="12838.4960777422"/>
  </r>
  <r>
    <x v="0"/>
    <x v="0"/>
    <x v="0"/>
    <x v="9"/>
    <x v="18"/>
    <s v="SE2_EL"/>
    <x v="11"/>
    <x v="0"/>
    <s v="GBPR_WOODWASTE_25"/>
    <x v="0"/>
    <x v="0"/>
    <n v="46.255099219151198"/>
    <n v="16883.1112149902"/>
    <n v="60779.200373964697"/>
  </r>
  <r>
    <x v="0"/>
    <x v="0"/>
    <x v="0"/>
    <x v="9"/>
    <x v="18"/>
    <s v="SE2_EL"/>
    <x v="11"/>
    <x v="0"/>
    <s v="GBPR_WOODWASTE_25"/>
    <x v="0"/>
    <x v="1"/>
    <n v="46.255099219151198"/>
    <n v="16883.1112149902"/>
    <n v="60779.200373964697"/>
  </r>
  <r>
    <x v="0"/>
    <x v="0"/>
    <x v="0"/>
    <x v="9"/>
    <x v="18"/>
    <s v="SE2_EL"/>
    <x v="11"/>
    <x v="0"/>
    <s v="GBPR_WOODWASTE_25"/>
    <x v="0"/>
    <x v="2"/>
    <n v="46.255099219151198"/>
    <n v="16883.1112149902"/>
    <n v="60779.200373964697"/>
  </r>
  <r>
    <x v="0"/>
    <x v="0"/>
    <x v="0"/>
    <x v="9"/>
    <x v="18"/>
    <s v="SE2_EL"/>
    <x v="11"/>
    <x v="0"/>
    <s v="GBPR_WOODWASTE_25"/>
    <x v="0"/>
    <x v="3"/>
    <n v="46.255099219151198"/>
    <n v="16883.1112149902"/>
    <n v="60779.200373964697"/>
  </r>
  <r>
    <x v="0"/>
    <x v="0"/>
    <x v="0"/>
    <x v="9"/>
    <x v="18"/>
    <s v="SE2_EL"/>
    <x v="11"/>
    <x v="0"/>
    <s v="GBPR_WOODWASTE_25"/>
    <x v="0"/>
    <x v="4"/>
    <n v="46.255099219151198"/>
    <n v="16883.1112149902"/>
    <n v="60779.200373964697"/>
  </r>
  <r>
    <x v="0"/>
    <x v="0"/>
    <x v="0"/>
    <x v="9"/>
    <x v="18"/>
    <s v="SE2_EL"/>
    <x v="11"/>
    <x v="0"/>
    <s v="GBPR_WOODWASTE_25"/>
    <x v="0"/>
    <x v="5"/>
    <n v="46.255099219151198"/>
    <n v="16883.1112149902"/>
    <n v="60779.200373964697"/>
  </r>
  <r>
    <x v="0"/>
    <x v="0"/>
    <x v="0"/>
    <x v="9"/>
    <x v="18"/>
    <s v="SE2_EL"/>
    <x v="11"/>
    <x v="0"/>
    <s v="GBPR_WOODWASTE_25"/>
    <x v="0"/>
    <x v="6"/>
    <n v="46.255099219151198"/>
    <n v="16883.1112149902"/>
    <n v="60779.200373964697"/>
  </r>
  <r>
    <x v="0"/>
    <x v="0"/>
    <x v="0"/>
    <x v="9"/>
    <x v="18"/>
    <s v="SE2_EL"/>
    <x v="11"/>
    <x v="0"/>
    <s v="GBPR_WOODWASTE_25"/>
    <x v="0"/>
    <x v="7"/>
    <n v="46.255099219151198"/>
    <n v="16883.1112149902"/>
    <n v="60779.200373964697"/>
  </r>
  <r>
    <x v="0"/>
    <x v="0"/>
    <x v="0"/>
    <x v="9"/>
    <x v="18"/>
    <s v="SE2_EL"/>
    <x v="11"/>
    <x v="0"/>
    <s v="GBPR_WOODWASTE_25"/>
    <x v="0"/>
    <x v="8"/>
    <n v="46.255099219151198"/>
    <n v="16883.1112149902"/>
    <n v="60779.200373964697"/>
  </r>
  <r>
    <x v="0"/>
    <x v="0"/>
    <x v="0"/>
    <x v="9"/>
    <x v="18"/>
    <s v="SE2_EL"/>
    <x v="11"/>
    <x v="0"/>
    <s v="GBPR_WOODWASTE_25"/>
    <x v="0"/>
    <x v="9"/>
    <n v="46.255099219151198"/>
    <n v="16883.1112149902"/>
    <n v="60779.200373964697"/>
  </r>
  <r>
    <x v="0"/>
    <x v="0"/>
    <x v="0"/>
    <x v="9"/>
    <x v="18"/>
    <s v="SE2_EL"/>
    <x v="11"/>
    <x v="0"/>
    <s v="GBPR_WOODWASTE_25"/>
    <x v="0"/>
    <x v="10"/>
    <n v="46.255099219151198"/>
    <n v="16883.1112149902"/>
    <n v="60779.200373964697"/>
  </r>
  <r>
    <x v="0"/>
    <x v="0"/>
    <x v="0"/>
    <x v="9"/>
    <x v="18"/>
    <s v="SE2_EL"/>
    <x v="11"/>
    <x v="0"/>
    <s v="GBPR_WOODWASTE_25"/>
    <x v="0"/>
    <x v="11"/>
    <n v="46.255099219151198"/>
    <n v="16883.1112149902"/>
    <n v="60779.200373964697"/>
  </r>
  <r>
    <x v="0"/>
    <x v="0"/>
    <x v="0"/>
    <x v="9"/>
    <x v="18"/>
    <s v="SE2_EL"/>
    <x v="11"/>
    <x v="0"/>
    <s v="GBPR_WOODWASTE_25"/>
    <x v="0"/>
    <x v="12"/>
    <n v="46.255099219151198"/>
    <n v="16883.1112149902"/>
    <n v="60779.200373964697"/>
  </r>
  <r>
    <x v="0"/>
    <x v="0"/>
    <x v="0"/>
    <x v="9"/>
    <x v="18"/>
    <s v="SE2_EL"/>
    <x v="11"/>
    <x v="0"/>
    <s v="GBPR_WOODWASTE_25"/>
    <x v="0"/>
    <x v="13"/>
    <n v="46.255099219151198"/>
    <n v="16883.1112149902"/>
    <n v="60779.200373964697"/>
  </r>
  <r>
    <x v="0"/>
    <x v="0"/>
    <x v="0"/>
    <x v="9"/>
    <x v="18"/>
    <s v="SE2_EL"/>
    <x v="11"/>
    <x v="0"/>
    <s v="GBPR_WOODWASTE_25"/>
    <x v="0"/>
    <x v="14"/>
    <n v="46.255099219151198"/>
    <n v="16883.1112149902"/>
    <n v="60779.200373964697"/>
  </r>
  <r>
    <x v="0"/>
    <x v="0"/>
    <x v="0"/>
    <x v="9"/>
    <x v="18"/>
    <s v="SE2_EL"/>
    <x v="11"/>
    <x v="0"/>
    <s v="GBPR_WOODWASTE_25"/>
    <x v="0"/>
    <x v="15"/>
    <n v="46.255099219151198"/>
    <n v="16883.1112149902"/>
    <n v="60779.200373964697"/>
  </r>
  <r>
    <x v="0"/>
    <x v="0"/>
    <x v="0"/>
    <x v="9"/>
    <x v="18"/>
    <s v="SE2_EL"/>
    <x v="11"/>
    <x v="0"/>
    <s v="GBPR_WOODWASTE_25"/>
    <x v="0"/>
    <x v="16"/>
    <n v="46.255099219151198"/>
    <n v="16883.1112149902"/>
    <n v="60779.200373964697"/>
  </r>
  <r>
    <x v="0"/>
    <x v="0"/>
    <x v="0"/>
    <x v="9"/>
    <x v="18"/>
    <s v="SE2_EL"/>
    <x v="11"/>
    <x v="0"/>
    <s v="GBPR_WOODWASTE_25"/>
    <x v="0"/>
    <x v="17"/>
    <n v="46.255099219151198"/>
    <n v="16883.1112149902"/>
    <n v="60779.200373964697"/>
  </r>
  <r>
    <x v="0"/>
    <x v="0"/>
    <x v="0"/>
    <x v="9"/>
    <x v="18"/>
    <s v="SE2_EL"/>
    <x v="11"/>
    <x v="0"/>
    <s v="GBPR_WOODWASTE_25"/>
    <x v="0"/>
    <x v="18"/>
    <n v="46.255099219151198"/>
    <n v="16883.1112149902"/>
    <n v="60779.200373964697"/>
  </r>
  <r>
    <x v="0"/>
    <x v="0"/>
    <x v="0"/>
    <x v="9"/>
    <x v="18"/>
    <s v="SE2_EL"/>
    <x v="11"/>
    <x v="0"/>
    <s v="GBPR_WOODWASTE_25"/>
    <x v="0"/>
    <x v="19"/>
    <n v="46.255099219151198"/>
    <n v="16883.1112149902"/>
    <n v="60779.200373964697"/>
  </r>
  <r>
    <x v="0"/>
    <x v="0"/>
    <x v="0"/>
    <x v="9"/>
    <x v="18"/>
    <s v="SE2_EL"/>
    <x v="11"/>
    <x v="0"/>
    <s v="GBPR_WOODWASTE_25"/>
    <x v="0"/>
    <x v="20"/>
    <n v="46.255099219151198"/>
    <n v="16883.1112149902"/>
    <n v="60779.200373964697"/>
  </r>
  <r>
    <x v="0"/>
    <x v="0"/>
    <x v="0"/>
    <x v="9"/>
    <x v="18"/>
    <s v="SE2_EL"/>
    <x v="11"/>
    <x v="0"/>
    <s v="GBPR_WOODWASTE_25"/>
    <x v="0"/>
    <x v="21"/>
    <n v="46.255099219151198"/>
    <n v="16883.1112149902"/>
    <n v="60779.200373964697"/>
  </r>
  <r>
    <x v="0"/>
    <x v="0"/>
    <x v="0"/>
    <x v="9"/>
    <x v="18"/>
    <s v="SE2_EL"/>
    <x v="11"/>
    <x v="0"/>
    <s v="GBPR_WOODWASTE_25"/>
    <x v="0"/>
    <x v="22"/>
    <n v="46.255099219151198"/>
    <n v="16883.1112149902"/>
    <n v="60779.200373964697"/>
  </r>
  <r>
    <x v="0"/>
    <x v="0"/>
    <x v="0"/>
    <x v="9"/>
    <x v="18"/>
    <s v="SE2_EL"/>
    <x v="11"/>
    <x v="0"/>
    <s v="GBPR_WOODWASTE_25"/>
    <x v="0"/>
    <x v="23"/>
    <n v="46.255099219151198"/>
    <n v="16883.1112149902"/>
    <n v="60779.200373964697"/>
  </r>
  <r>
    <x v="0"/>
    <x v="0"/>
    <x v="0"/>
    <x v="9"/>
    <x v="18"/>
    <s v="SE2_EL"/>
    <x v="11"/>
    <x v="1"/>
    <s v="GEXT_WOODWASTE_HORNEBORG"/>
    <x v="0"/>
    <x v="0"/>
    <n v="33.884238178634"/>
    <n v="12367.7469352014"/>
    <n v="44523.888966724997"/>
  </r>
  <r>
    <x v="0"/>
    <x v="0"/>
    <x v="0"/>
    <x v="9"/>
    <x v="18"/>
    <s v="SE2_EL"/>
    <x v="11"/>
    <x v="1"/>
    <s v="GEXT_WOODWASTE_HORNEBORG"/>
    <x v="0"/>
    <x v="1"/>
    <n v="33.884238178634"/>
    <n v="12367.7469352014"/>
    <n v="44523.888966724997"/>
  </r>
  <r>
    <x v="0"/>
    <x v="0"/>
    <x v="0"/>
    <x v="9"/>
    <x v="18"/>
    <s v="SE2_EL"/>
    <x v="11"/>
    <x v="1"/>
    <s v="GEXT_WOODWASTE_HORNEBORG"/>
    <x v="0"/>
    <x v="2"/>
    <n v="33.884238178634"/>
    <n v="12367.7469352014"/>
    <n v="44523.888966724997"/>
  </r>
  <r>
    <x v="0"/>
    <x v="0"/>
    <x v="0"/>
    <x v="9"/>
    <x v="18"/>
    <s v="SE2_EL"/>
    <x v="11"/>
    <x v="1"/>
    <s v="GEXT_WOODWASTE_HORNEBORG"/>
    <x v="0"/>
    <x v="3"/>
    <n v="33.884238178634"/>
    <n v="12367.7469352014"/>
    <n v="44523.888966724997"/>
  </r>
  <r>
    <x v="0"/>
    <x v="0"/>
    <x v="0"/>
    <x v="9"/>
    <x v="18"/>
    <s v="SE2_EL"/>
    <x v="11"/>
    <x v="1"/>
    <s v="GEXT_WOODWASTE_HORNEBORG"/>
    <x v="0"/>
    <x v="4"/>
    <n v="33.884238178634"/>
    <n v="12367.7469352014"/>
    <n v="44523.888966724997"/>
  </r>
  <r>
    <x v="0"/>
    <x v="0"/>
    <x v="0"/>
    <x v="9"/>
    <x v="18"/>
    <s v="SE2_EL"/>
    <x v="11"/>
    <x v="1"/>
    <s v="GEXT_WOODWASTE_HORNEBORG"/>
    <x v="0"/>
    <x v="5"/>
    <n v="33.884238178634"/>
    <n v="12367.7469352014"/>
    <n v="44523.888966724997"/>
  </r>
  <r>
    <x v="0"/>
    <x v="0"/>
    <x v="0"/>
    <x v="9"/>
    <x v="18"/>
    <s v="SE2_EL"/>
    <x v="11"/>
    <x v="1"/>
    <s v="GEXT_WOODWASTE_HORNEBORG"/>
    <x v="0"/>
    <x v="6"/>
    <n v="33.884238178634"/>
    <n v="12367.7469352014"/>
    <n v="44523.888966724997"/>
  </r>
  <r>
    <x v="0"/>
    <x v="0"/>
    <x v="0"/>
    <x v="9"/>
    <x v="18"/>
    <s v="SE2_EL"/>
    <x v="11"/>
    <x v="1"/>
    <s v="GEXT_WOODWASTE_HORNEBORG"/>
    <x v="0"/>
    <x v="7"/>
    <n v="33.884238178634"/>
    <n v="12367.7469352014"/>
    <n v="44523.888966724997"/>
  </r>
  <r>
    <x v="0"/>
    <x v="0"/>
    <x v="0"/>
    <x v="9"/>
    <x v="18"/>
    <s v="SE2_EL"/>
    <x v="11"/>
    <x v="1"/>
    <s v="GEXT_WOODWASTE_HORNEBORG"/>
    <x v="0"/>
    <x v="8"/>
    <n v="33.884238178634"/>
    <n v="12367.7469352014"/>
    <n v="44523.888966724997"/>
  </r>
  <r>
    <x v="0"/>
    <x v="0"/>
    <x v="0"/>
    <x v="9"/>
    <x v="18"/>
    <s v="SE2_EL"/>
    <x v="11"/>
    <x v="1"/>
    <s v="GEXT_WOODWASTE_HORNEBORG"/>
    <x v="0"/>
    <x v="9"/>
    <n v="33.884238178634"/>
    <n v="12367.7469352014"/>
    <n v="44523.888966724997"/>
  </r>
  <r>
    <x v="0"/>
    <x v="0"/>
    <x v="0"/>
    <x v="9"/>
    <x v="18"/>
    <s v="SE2_EL"/>
    <x v="11"/>
    <x v="1"/>
    <s v="GEXT_WOODWASTE_HORNEBORG"/>
    <x v="0"/>
    <x v="10"/>
    <n v="33.884238178634"/>
    <n v="12367.7469352014"/>
    <n v="44523.888966724997"/>
  </r>
  <r>
    <x v="0"/>
    <x v="0"/>
    <x v="0"/>
    <x v="9"/>
    <x v="18"/>
    <s v="SE2_EL"/>
    <x v="11"/>
    <x v="1"/>
    <s v="GEXT_WOODWASTE_HORNEBORG"/>
    <x v="0"/>
    <x v="11"/>
    <n v="33.884238178634"/>
    <n v="12367.7469352014"/>
    <n v="44523.888966724997"/>
  </r>
  <r>
    <x v="0"/>
    <x v="0"/>
    <x v="0"/>
    <x v="9"/>
    <x v="18"/>
    <s v="SE2_EL"/>
    <x v="11"/>
    <x v="1"/>
    <s v="GEXT_WOODWASTE_HORNEBORG"/>
    <x v="0"/>
    <x v="12"/>
    <n v="33.884238178634"/>
    <n v="12367.7469352014"/>
    <n v="44523.888966724997"/>
  </r>
  <r>
    <x v="0"/>
    <x v="0"/>
    <x v="0"/>
    <x v="9"/>
    <x v="18"/>
    <s v="SE2_EL"/>
    <x v="11"/>
    <x v="1"/>
    <s v="GEXT_WOODWASTE_HORNEBORG"/>
    <x v="0"/>
    <x v="13"/>
    <n v="33.884238178634"/>
    <n v="12367.7469352014"/>
    <n v="44523.888966724997"/>
  </r>
  <r>
    <x v="0"/>
    <x v="0"/>
    <x v="0"/>
    <x v="9"/>
    <x v="18"/>
    <s v="SE2_EL"/>
    <x v="11"/>
    <x v="1"/>
    <s v="GEXT_WOODWASTE_HORNEBORG"/>
    <x v="0"/>
    <x v="14"/>
    <n v="33.884238178634"/>
    <n v="12367.7469352014"/>
    <n v="44523.888966724997"/>
  </r>
  <r>
    <x v="0"/>
    <x v="0"/>
    <x v="0"/>
    <x v="9"/>
    <x v="18"/>
    <s v="SE2_EL"/>
    <x v="11"/>
    <x v="1"/>
    <s v="GEXT_WOODWASTE_HORNEBORG"/>
    <x v="0"/>
    <x v="15"/>
    <n v="33.884238178634"/>
    <n v="12367.7469352014"/>
    <n v="44523.888966724997"/>
  </r>
  <r>
    <x v="0"/>
    <x v="0"/>
    <x v="0"/>
    <x v="9"/>
    <x v="18"/>
    <s v="SE2_EL"/>
    <x v="11"/>
    <x v="1"/>
    <s v="GEXT_WOODWASTE_HORNEBORG"/>
    <x v="0"/>
    <x v="16"/>
    <n v="33.884238178634"/>
    <n v="12367.7469352014"/>
    <n v="44523.888966724997"/>
  </r>
  <r>
    <x v="0"/>
    <x v="0"/>
    <x v="0"/>
    <x v="9"/>
    <x v="18"/>
    <s v="SE2_EL"/>
    <x v="11"/>
    <x v="1"/>
    <s v="GEXT_WOODWASTE_HORNEBORG"/>
    <x v="0"/>
    <x v="17"/>
    <n v="33.884238178634"/>
    <n v="12367.7469352014"/>
    <n v="44523.888966724997"/>
  </r>
  <r>
    <x v="0"/>
    <x v="0"/>
    <x v="0"/>
    <x v="9"/>
    <x v="18"/>
    <s v="SE2_EL"/>
    <x v="11"/>
    <x v="1"/>
    <s v="GEXT_WOODWASTE_HORNEBORG"/>
    <x v="0"/>
    <x v="18"/>
    <n v="33.884238178634"/>
    <n v="12367.7469352014"/>
    <n v="44523.888966724997"/>
  </r>
  <r>
    <x v="0"/>
    <x v="0"/>
    <x v="0"/>
    <x v="9"/>
    <x v="18"/>
    <s v="SE2_EL"/>
    <x v="11"/>
    <x v="1"/>
    <s v="GEXT_WOODWASTE_HORNEBORG"/>
    <x v="0"/>
    <x v="19"/>
    <n v="33.884238178634"/>
    <n v="12367.7469352014"/>
    <n v="44523.888966724997"/>
  </r>
  <r>
    <x v="0"/>
    <x v="0"/>
    <x v="0"/>
    <x v="9"/>
    <x v="18"/>
    <s v="SE2_EL"/>
    <x v="11"/>
    <x v="1"/>
    <s v="GEXT_WOODWASTE_HORNEBORG"/>
    <x v="0"/>
    <x v="20"/>
    <n v="33.884238178634"/>
    <n v="12367.7469352014"/>
    <n v="44523.888966724997"/>
  </r>
  <r>
    <x v="0"/>
    <x v="0"/>
    <x v="0"/>
    <x v="9"/>
    <x v="18"/>
    <s v="SE2_EL"/>
    <x v="11"/>
    <x v="1"/>
    <s v="GEXT_WOODWASTE_HORNEBORG"/>
    <x v="0"/>
    <x v="21"/>
    <n v="33.884238178634"/>
    <n v="12367.7469352014"/>
    <n v="44523.888966724997"/>
  </r>
  <r>
    <x v="0"/>
    <x v="0"/>
    <x v="0"/>
    <x v="9"/>
    <x v="18"/>
    <s v="SE2_EL"/>
    <x v="11"/>
    <x v="1"/>
    <s v="GEXT_WOODWASTE_HORNEBORG"/>
    <x v="0"/>
    <x v="22"/>
    <n v="33.884238178634"/>
    <n v="12367.7469352014"/>
    <n v="44523.888966724997"/>
  </r>
  <r>
    <x v="0"/>
    <x v="0"/>
    <x v="0"/>
    <x v="9"/>
    <x v="18"/>
    <s v="SE2_EL"/>
    <x v="11"/>
    <x v="1"/>
    <s v="GEXT_WOODWASTE_HORNEBORG"/>
    <x v="0"/>
    <x v="23"/>
    <n v="33.884238178634"/>
    <n v="12367.7469352014"/>
    <n v="44523.888966724997"/>
  </r>
  <r>
    <x v="0"/>
    <x v="0"/>
    <x v="0"/>
    <x v="9"/>
    <x v="18"/>
    <s v="SE2_OTHER"/>
    <x v="1"/>
    <x v="0"/>
    <s v="GBPR_MUNIWASTE_24"/>
    <x v="0"/>
    <x v="0"/>
    <n v="3.1627952466180802"/>
    <n v="1154.4202650156001"/>
    <n v="4155.9129540561598"/>
  </r>
  <r>
    <x v="0"/>
    <x v="0"/>
    <x v="0"/>
    <x v="9"/>
    <x v="18"/>
    <s v="SE2_OTHER"/>
    <x v="1"/>
    <x v="0"/>
    <s v="GBPR_MUNIWASTE_24"/>
    <x v="0"/>
    <x v="1"/>
    <n v="3.1627952466180802"/>
    <n v="1154.4202650156001"/>
    <n v="4155.9129540561598"/>
  </r>
  <r>
    <x v="0"/>
    <x v="0"/>
    <x v="0"/>
    <x v="9"/>
    <x v="18"/>
    <s v="SE2_OTHER"/>
    <x v="1"/>
    <x v="0"/>
    <s v="GBPR_MUNIWASTE_24"/>
    <x v="0"/>
    <x v="2"/>
    <n v="3.1627952466180802"/>
    <n v="1154.4202650156001"/>
    <n v="4155.9129540561598"/>
  </r>
  <r>
    <x v="0"/>
    <x v="0"/>
    <x v="0"/>
    <x v="9"/>
    <x v="18"/>
    <s v="SE2_OTHER"/>
    <x v="1"/>
    <x v="0"/>
    <s v="GBPR_MUNIWASTE_24"/>
    <x v="0"/>
    <x v="3"/>
    <n v="3.1627952466180802"/>
    <n v="1154.4202650156001"/>
    <n v="4155.9129540561598"/>
  </r>
  <r>
    <x v="0"/>
    <x v="0"/>
    <x v="0"/>
    <x v="9"/>
    <x v="18"/>
    <s v="SE2_OTHER"/>
    <x v="1"/>
    <x v="0"/>
    <s v="GBPR_MUNIWASTE_24"/>
    <x v="0"/>
    <x v="4"/>
    <n v="3.1627952466180802"/>
    <n v="1154.4202650156001"/>
    <n v="4155.9129540561598"/>
  </r>
  <r>
    <x v="0"/>
    <x v="0"/>
    <x v="0"/>
    <x v="9"/>
    <x v="18"/>
    <s v="SE2_OTHER"/>
    <x v="1"/>
    <x v="0"/>
    <s v="GBPR_MUNIWASTE_24"/>
    <x v="0"/>
    <x v="5"/>
    <n v="3.1627952466180802"/>
    <n v="1154.4202650156001"/>
    <n v="4155.9129540561598"/>
  </r>
  <r>
    <x v="0"/>
    <x v="0"/>
    <x v="0"/>
    <x v="9"/>
    <x v="18"/>
    <s v="SE2_OTHER"/>
    <x v="1"/>
    <x v="0"/>
    <s v="GBPR_MUNIWASTE_24"/>
    <x v="0"/>
    <x v="6"/>
    <n v="3.1627952466180802"/>
    <n v="1154.4202650156001"/>
    <n v="4155.9129540561598"/>
  </r>
  <r>
    <x v="0"/>
    <x v="0"/>
    <x v="0"/>
    <x v="9"/>
    <x v="18"/>
    <s v="SE2_OTHER"/>
    <x v="1"/>
    <x v="0"/>
    <s v="GBPR_MUNIWASTE_24"/>
    <x v="0"/>
    <x v="7"/>
    <n v="3.1627952466180802"/>
    <n v="1154.4202650156001"/>
    <n v="4155.9129540561598"/>
  </r>
  <r>
    <x v="0"/>
    <x v="0"/>
    <x v="0"/>
    <x v="9"/>
    <x v="18"/>
    <s v="SE2_OTHER"/>
    <x v="1"/>
    <x v="0"/>
    <s v="GBPR_MUNIWASTE_24"/>
    <x v="0"/>
    <x v="8"/>
    <n v="3.1627952466180802"/>
    <n v="1154.4202650156001"/>
    <n v="4155.9129540561598"/>
  </r>
  <r>
    <x v="0"/>
    <x v="0"/>
    <x v="0"/>
    <x v="9"/>
    <x v="18"/>
    <s v="SE2_OTHER"/>
    <x v="1"/>
    <x v="0"/>
    <s v="GBPR_MUNIWASTE_24"/>
    <x v="0"/>
    <x v="9"/>
    <n v="3.1627952466180802"/>
    <n v="1154.4202650156001"/>
    <n v="4155.9129540561598"/>
  </r>
  <r>
    <x v="0"/>
    <x v="0"/>
    <x v="0"/>
    <x v="9"/>
    <x v="18"/>
    <s v="SE2_OTHER"/>
    <x v="1"/>
    <x v="0"/>
    <s v="GBPR_MUNIWASTE_24"/>
    <x v="0"/>
    <x v="10"/>
    <n v="3.1627952466180802"/>
    <n v="1154.4202650156001"/>
    <n v="4155.9129540561598"/>
  </r>
  <r>
    <x v="0"/>
    <x v="0"/>
    <x v="0"/>
    <x v="9"/>
    <x v="18"/>
    <s v="SE2_OTHER"/>
    <x v="1"/>
    <x v="0"/>
    <s v="GBPR_MUNIWASTE_24"/>
    <x v="0"/>
    <x v="11"/>
    <n v="3.1627952466180802"/>
    <n v="1154.4202650156001"/>
    <n v="4155.9129540561598"/>
  </r>
  <r>
    <x v="0"/>
    <x v="0"/>
    <x v="0"/>
    <x v="9"/>
    <x v="18"/>
    <s v="SE2_OTHER"/>
    <x v="1"/>
    <x v="0"/>
    <s v="GBPR_MUNIWASTE_24"/>
    <x v="0"/>
    <x v="12"/>
    <n v="3.1627952466180802"/>
    <n v="1154.4202650156001"/>
    <n v="4155.9129540561598"/>
  </r>
  <r>
    <x v="0"/>
    <x v="0"/>
    <x v="0"/>
    <x v="9"/>
    <x v="18"/>
    <s v="SE2_OTHER"/>
    <x v="1"/>
    <x v="0"/>
    <s v="GBPR_MUNIWASTE_24"/>
    <x v="0"/>
    <x v="13"/>
    <n v="3.1627952466180802"/>
    <n v="1154.4202650156001"/>
    <n v="4155.9129540561598"/>
  </r>
  <r>
    <x v="0"/>
    <x v="0"/>
    <x v="0"/>
    <x v="9"/>
    <x v="18"/>
    <s v="SE2_OTHER"/>
    <x v="1"/>
    <x v="0"/>
    <s v="GBPR_MUNIWASTE_24"/>
    <x v="0"/>
    <x v="14"/>
    <n v="3.1627952466180802"/>
    <n v="1154.4202650156001"/>
    <n v="4155.9129540561598"/>
  </r>
  <r>
    <x v="0"/>
    <x v="0"/>
    <x v="0"/>
    <x v="9"/>
    <x v="18"/>
    <s v="SE2_OTHER"/>
    <x v="1"/>
    <x v="0"/>
    <s v="GBPR_MUNIWASTE_24"/>
    <x v="0"/>
    <x v="15"/>
    <n v="3.1627952466180802"/>
    <n v="1154.4202650156001"/>
    <n v="4155.9129540561598"/>
  </r>
  <r>
    <x v="0"/>
    <x v="0"/>
    <x v="0"/>
    <x v="9"/>
    <x v="18"/>
    <s v="SE2_OTHER"/>
    <x v="1"/>
    <x v="0"/>
    <s v="GBPR_MUNIWASTE_24"/>
    <x v="0"/>
    <x v="16"/>
    <n v="3.1627952466180802"/>
    <n v="1154.4202650156001"/>
    <n v="4155.9129540561598"/>
  </r>
  <r>
    <x v="0"/>
    <x v="0"/>
    <x v="0"/>
    <x v="9"/>
    <x v="18"/>
    <s v="SE2_OTHER"/>
    <x v="1"/>
    <x v="0"/>
    <s v="GBPR_MUNIWASTE_24"/>
    <x v="0"/>
    <x v="17"/>
    <n v="3.1627952466180802"/>
    <n v="1154.4202650156001"/>
    <n v="4155.9129540561598"/>
  </r>
  <r>
    <x v="0"/>
    <x v="0"/>
    <x v="0"/>
    <x v="9"/>
    <x v="18"/>
    <s v="SE2_OTHER"/>
    <x v="1"/>
    <x v="0"/>
    <s v="GBPR_MUNIWASTE_24"/>
    <x v="0"/>
    <x v="18"/>
    <n v="3.1627952466180802"/>
    <n v="1154.4202650156001"/>
    <n v="4155.9129540561598"/>
  </r>
  <r>
    <x v="0"/>
    <x v="0"/>
    <x v="0"/>
    <x v="9"/>
    <x v="18"/>
    <s v="SE2_OTHER"/>
    <x v="1"/>
    <x v="0"/>
    <s v="GBPR_MUNIWASTE_24"/>
    <x v="0"/>
    <x v="19"/>
    <n v="3.1627952466180802"/>
    <n v="1154.4202650156001"/>
    <n v="4155.9129540561598"/>
  </r>
  <r>
    <x v="0"/>
    <x v="0"/>
    <x v="0"/>
    <x v="9"/>
    <x v="18"/>
    <s v="SE2_OTHER"/>
    <x v="1"/>
    <x v="0"/>
    <s v="GBPR_MUNIWASTE_24"/>
    <x v="0"/>
    <x v="20"/>
    <n v="3.1627952466180802"/>
    <n v="1154.4202650156001"/>
    <n v="4155.9129540561598"/>
  </r>
  <r>
    <x v="0"/>
    <x v="0"/>
    <x v="0"/>
    <x v="9"/>
    <x v="18"/>
    <s v="SE2_OTHER"/>
    <x v="1"/>
    <x v="0"/>
    <s v="GBPR_MUNIWASTE_24"/>
    <x v="0"/>
    <x v="21"/>
    <n v="3.1627952466180802"/>
    <n v="1154.4202650156001"/>
    <n v="4155.9129540561598"/>
  </r>
  <r>
    <x v="0"/>
    <x v="0"/>
    <x v="0"/>
    <x v="9"/>
    <x v="18"/>
    <s v="SE2_OTHER"/>
    <x v="1"/>
    <x v="0"/>
    <s v="GBPR_MUNIWASTE_24"/>
    <x v="0"/>
    <x v="22"/>
    <n v="3.1627952466180802"/>
    <n v="1154.4202650156001"/>
    <n v="4155.9129540561598"/>
  </r>
  <r>
    <x v="0"/>
    <x v="0"/>
    <x v="0"/>
    <x v="9"/>
    <x v="18"/>
    <s v="SE2_OTHER"/>
    <x v="1"/>
    <x v="0"/>
    <s v="GBPR_MUNIWASTE_24"/>
    <x v="0"/>
    <x v="23"/>
    <n v="3.1627952466180802"/>
    <n v="1154.4202650156001"/>
    <n v="4155.9129540561598"/>
  </r>
  <r>
    <x v="0"/>
    <x v="0"/>
    <x v="0"/>
    <x v="9"/>
    <x v="18"/>
    <s v="SE2_OTHER"/>
    <x v="4"/>
    <x v="0"/>
    <s v="GBPR_WOODCHIPS_37"/>
    <x v="0"/>
    <x v="0"/>
    <n v="7.6934500875656697"/>
    <n v="2808.1092819614701"/>
    <n v="10109.1934150613"/>
  </r>
  <r>
    <x v="0"/>
    <x v="0"/>
    <x v="0"/>
    <x v="9"/>
    <x v="18"/>
    <s v="SE2_OTHER"/>
    <x v="4"/>
    <x v="0"/>
    <s v="GBPR_WOODCHIPS_37"/>
    <x v="0"/>
    <x v="1"/>
    <n v="7.6934500875656697"/>
    <n v="2808.1092819614701"/>
    <n v="10109.1934150613"/>
  </r>
  <r>
    <x v="0"/>
    <x v="0"/>
    <x v="0"/>
    <x v="9"/>
    <x v="18"/>
    <s v="SE2_OTHER"/>
    <x v="4"/>
    <x v="0"/>
    <s v="GBPR_WOODCHIPS_37"/>
    <x v="0"/>
    <x v="2"/>
    <n v="7.6934500875656697"/>
    <n v="2808.1092819614701"/>
    <n v="10109.1934150613"/>
  </r>
  <r>
    <x v="0"/>
    <x v="0"/>
    <x v="0"/>
    <x v="9"/>
    <x v="18"/>
    <s v="SE2_OTHER"/>
    <x v="4"/>
    <x v="0"/>
    <s v="GBPR_WOODCHIPS_37"/>
    <x v="0"/>
    <x v="3"/>
    <n v="7.6934500875656697"/>
    <n v="2808.1092819614701"/>
    <n v="10109.1934150613"/>
  </r>
  <r>
    <x v="0"/>
    <x v="0"/>
    <x v="0"/>
    <x v="9"/>
    <x v="18"/>
    <s v="SE2_OTHER"/>
    <x v="4"/>
    <x v="0"/>
    <s v="GBPR_WOODCHIPS_37"/>
    <x v="0"/>
    <x v="4"/>
    <n v="7.6934500875656697"/>
    <n v="2808.1092819614701"/>
    <n v="10109.1934150613"/>
  </r>
  <r>
    <x v="0"/>
    <x v="0"/>
    <x v="0"/>
    <x v="9"/>
    <x v="18"/>
    <s v="SE2_OTHER"/>
    <x v="4"/>
    <x v="0"/>
    <s v="GBPR_WOODCHIPS_37"/>
    <x v="0"/>
    <x v="5"/>
    <n v="7.6934500875656697"/>
    <n v="2808.1092819614701"/>
    <n v="10109.1934150613"/>
  </r>
  <r>
    <x v="0"/>
    <x v="0"/>
    <x v="0"/>
    <x v="9"/>
    <x v="18"/>
    <s v="SE2_OTHER"/>
    <x v="4"/>
    <x v="0"/>
    <s v="GBPR_WOODCHIPS_37"/>
    <x v="0"/>
    <x v="6"/>
    <n v="7.6934500875656697"/>
    <n v="2808.1092819614701"/>
    <n v="10109.1934150613"/>
  </r>
  <r>
    <x v="0"/>
    <x v="0"/>
    <x v="0"/>
    <x v="9"/>
    <x v="18"/>
    <s v="SE2_OTHER"/>
    <x v="4"/>
    <x v="0"/>
    <s v="GBPR_WOODCHIPS_37"/>
    <x v="0"/>
    <x v="7"/>
    <n v="7.6934500875656697"/>
    <n v="2808.1092819614701"/>
    <n v="10109.1934150613"/>
  </r>
  <r>
    <x v="0"/>
    <x v="0"/>
    <x v="0"/>
    <x v="9"/>
    <x v="18"/>
    <s v="SE2_OTHER"/>
    <x v="4"/>
    <x v="0"/>
    <s v="GBPR_WOODCHIPS_37"/>
    <x v="0"/>
    <x v="8"/>
    <n v="7.6934500875656697"/>
    <n v="2808.1092819614701"/>
    <n v="10109.1934150613"/>
  </r>
  <r>
    <x v="0"/>
    <x v="0"/>
    <x v="0"/>
    <x v="9"/>
    <x v="18"/>
    <s v="SE2_OTHER"/>
    <x v="4"/>
    <x v="0"/>
    <s v="GBPR_WOODCHIPS_37"/>
    <x v="0"/>
    <x v="9"/>
    <n v="7.6934500875656697"/>
    <n v="2808.1092819614701"/>
    <n v="10109.1934150613"/>
  </r>
  <r>
    <x v="0"/>
    <x v="0"/>
    <x v="0"/>
    <x v="9"/>
    <x v="18"/>
    <s v="SE2_OTHER"/>
    <x v="4"/>
    <x v="0"/>
    <s v="GBPR_WOODCHIPS_37"/>
    <x v="0"/>
    <x v="10"/>
    <n v="7.6934500875656697"/>
    <n v="2808.1092819614701"/>
    <n v="10109.1934150613"/>
  </r>
  <r>
    <x v="0"/>
    <x v="0"/>
    <x v="0"/>
    <x v="9"/>
    <x v="18"/>
    <s v="SE2_OTHER"/>
    <x v="4"/>
    <x v="0"/>
    <s v="GBPR_WOODCHIPS_37"/>
    <x v="0"/>
    <x v="11"/>
    <n v="7.6934500875656697"/>
    <n v="2808.1092819614701"/>
    <n v="10109.1934150613"/>
  </r>
  <r>
    <x v="0"/>
    <x v="0"/>
    <x v="0"/>
    <x v="9"/>
    <x v="18"/>
    <s v="SE2_OTHER"/>
    <x v="4"/>
    <x v="0"/>
    <s v="GBPR_WOODCHIPS_37"/>
    <x v="0"/>
    <x v="12"/>
    <n v="7.6934500875656697"/>
    <n v="2808.1092819614701"/>
    <n v="10109.1934150613"/>
  </r>
  <r>
    <x v="0"/>
    <x v="0"/>
    <x v="0"/>
    <x v="9"/>
    <x v="18"/>
    <s v="SE2_OTHER"/>
    <x v="4"/>
    <x v="0"/>
    <s v="GBPR_WOODCHIPS_37"/>
    <x v="0"/>
    <x v="13"/>
    <n v="7.6934500875656697"/>
    <n v="2808.1092819614701"/>
    <n v="10109.1934150613"/>
  </r>
  <r>
    <x v="0"/>
    <x v="0"/>
    <x v="0"/>
    <x v="9"/>
    <x v="18"/>
    <s v="SE2_OTHER"/>
    <x v="4"/>
    <x v="0"/>
    <s v="GBPR_WOODCHIPS_37"/>
    <x v="0"/>
    <x v="14"/>
    <n v="7.6934500875656697"/>
    <n v="2808.1092819614701"/>
    <n v="10109.1934150613"/>
  </r>
  <r>
    <x v="0"/>
    <x v="0"/>
    <x v="0"/>
    <x v="9"/>
    <x v="18"/>
    <s v="SE2_OTHER"/>
    <x v="4"/>
    <x v="0"/>
    <s v="GBPR_WOODCHIPS_37"/>
    <x v="0"/>
    <x v="15"/>
    <n v="7.6934500875656697"/>
    <n v="2808.1092819614701"/>
    <n v="10109.1934150613"/>
  </r>
  <r>
    <x v="0"/>
    <x v="0"/>
    <x v="0"/>
    <x v="9"/>
    <x v="18"/>
    <s v="SE2_OTHER"/>
    <x v="4"/>
    <x v="0"/>
    <s v="GBPR_WOODCHIPS_37"/>
    <x v="0"/>
    <x v="16"/>
    <n v="7.6934500875656697"/>
    <n v="2808.1092819614701"/>
    <n v="10109.1934150613"/>
  </r>
  <r>
    <x v="0"/>
    <x v="0"/>
    <x v="0"/>
    <x v="9"/>
    <x v="18"/>
    <s v="SE2_OTHER"/>
    <x v="4"/>
    <x v="0"/>
    <s v="GBPR_WOODCHIPS_37"/>
    <x v="0"/>
    <x v="17"/>
    <n v="7.6934500875656697"/>
    <n v="2808.1092819614701"/>
    <n v="10109.1934150613"/>
  </r>
  <r>
    <x v="0"/>
    <x v="0"/>
    <x v="0"/>
    <x v="9"/>
    <x v="18"/>
    <s v="SE2_OTHER"/>
    <x v="4"/>
    <x v="0"/>
    <s v="GBPR_WOODCHIPS_37"/>
    <x v="0"/>
    <x v="18"/>
    <n v="7.6934500875656697"/>
    <n v="2808.1092819614701"/>
    <n v="10109.1934150613"/>
  </r>
  <r>
    <x v="0"/>
    <x v="0"/>
    <x v="0"/>
    <x v="9"/>
    <x v="18"/>
    <s v="SE2_OTHER"/>
    <x v="4"/>
    <x v="0"/>
    <s v="GBPR_WOODCHIPS_37"/>
    <x v="0"/>
    <x v="19"/>
    <n v="7.6934500875656697"/>
    <n v="2808.1092819614701"/>
    <n v="10109.1934150613"/>
  </r>
  <r>
    <x v="0"/>
    <x v="0"/>
    <x v="0"/>
    <x v="9"/>
    <x v="18"/>
    <s v="SE2_OTHER"/>
    <x v="4"/>
    <x v="0"/>
    <s v="GBPR_WOODCHIPS_37"/>
    <x v="0"/>
    <x v="20"/>
    <n v="7.6934500875656697"/>
    <n v="2808.1092819614701"/>
    <n v="10109.1934150613"/>
  </r>
  <r>
    <x v="0"/>
    <x v="0"/>
    <x v="0"/>
    <x v="9"/>
    <x v="18"/>
    <s v="SE2_OTHER"/>
    <x v="4"/>
    <x v="0"/>
    <s v="GBPR_WOODCHIPS_37"/>
    <x v="0"/>
    <x v="21"/>
    <n v="7.6934500875656697"/>
    <n v="2808.1092819614701"/>
    <n v="10109.1934150613"/>
  </r>
  <r>
    <x v="0"/>
    <x v="0"/>
    <x v="0"/>
    <x v="9"/>
    <x v="18"/>
    <s v="SE2_OTHER"/>
    <x v="4"/>
    <x v="0"/>
    <s v="GBPR_WOODCHIPS_37"/>
    <x v="0"/>
    <x v="22"/>
    <n v="7.6934500875656697"/>
    <n v="2808.1092819614701"/>
    <n v="10109.1934150613"/>
  </r>
  <r>
    <x v="0"/>
    <x v="0"/>
    <x v="0"/>
    <x v="9"/>
    <x v="18"/>
    <s v="SE2_OTHER"/>
    <x v="4"/>
    <x v="0"/>
    <s v="GBPR_WOODCHIPS_37"/>
    <x v="0"/>
    <x v="23"/>
    <n v="7.6934500875656697"/>
    <n v="2808.1092819614701"/>
    <n v="10109.1934150613"/>
  </r>
  <r>
    <x v="0"/>
    <x v="0"/>
    <x v="0"/>
    <x v="9"/>
    <x v="18"/>
    <s v="SE2_OTHER"/>
    <x v="11"/>
    <x v="0"/>
    <s v="GBPR_WOODWASTE_36"/>
    <x v="0"/>
    <x v="0"/>
    <n v="43.576919441298401"/>
    <n v="15905.575596073901"/>
    <n v="57260.072145866099"/>
  </r>
  <r>
    <x v="0"/>
    <x v="0"/>
    <x v="0"/>
    <x v="9"/>
    <x v="18"/>
    <s v="SE2_OTHER"/>
    <x v="11"/>
    <x v="0"/>
    <s v="GBPR_WOODWASTE_36"/>
    <x v="0"/>
    <x v="1"/>
    <n v="43.576919441298401"/>
    <n v="15905.575596073901"/>
    <n v="57260.072145866099"/>
  </r>
  <r>
    <x v="0"/>
    <x v="0"/>
    <x v="0"/>
    <x v="9"/>
    <x v="18"/>
    <s v="SE2_OTHER"/>
    <x v="11"/>
    <x v="0"/>
    <s v="GBPR_WOODWASTE_36"/>
    <x v="0"/>
    <x v="2"/>
    <n v="43.576919441298401"/>
    <n v="15905.575596073901"/>
    <n v="57260.072145866099"/>
  </r>
  <r>
    <x v="0"/>
    <x v="0"/>
    <x v="0"/>
    <x v="9"/>
    <x v="18"/>
    <s v="SE2_OTHER"/>
    <x v="11"/>
    <x v="0"/>
    <s v="GBPR_WOODWASTE_36"/>
    <x v="0"/>
    <x v="3"/>
    <n v="43.576919441298401"/>
    <n v="15905.575596073901"/>
    <n v="57260.072145866099"/>
  </r>
  <r>
    <x v="0"/>
    <x v="0"/>
    <x v="0"/>
    <x v="9"/>
    <x v="18"/>
    <s v="SE2_OTHER"/>
    <x v="11"/>
    <x v="0"/>
    <s v="GBPR_WOODWASTE_36"/>
    <x v="0"/>
    <x v="4"/>
    <n v="43.576919441298401"/>
    <n v="15905.575596073901"/>
    <n v="57260.072145866099"/>
  </r>
  <r>
    <x v="0"/>
    <x v="0"/>
    <x v="0"/>
    <x v="9"/>
    <x v="18"/>
    <s v="SE2_OTHER"/>
    <x v="11"/>
    <x v="0"/>
    <s v="GBPR_WOODWASTE_36"/>
    <x v="0"/>
    <x v="5"/>
    <n v="43.576919441298401"/>
    <n v="15905.575596073901"/>
    <n v="57260.072145866099"/>
  </r>
  <r>
    <x v="0"/>
    <x v="0"/>
    <x v="0"/>
    <x v="9"/>
    <x v="18"/>
    <s v="SE2_OTHER"/>
    <x v="11"/>
    <x v="0"/>
    <s v="GBPR_WOODWASTE_36"/>
    <x v="0"/>
    <x v="6"/>
    <n v="43.576919441298401"/>
    <n v="15905.575596073901"/>
    <n v="57260.072145866099"/>
  </r>
  <r>
    <x v="0"/>
    <x v="0"/>
    <x v="0"/>
    <x v="9"/>
    <x v="18"/>
    <s v="SE2_OTHER"/>
    <x v="11"/>
    <x v="0"/>
    <s v="GBPR_WOODWASTE_36"/>
    <x v="0"/>
    <x v="7"/>
    <n v="43.576919441298401"/>
    <n v="15905.575596073901"/>
    <n v="57260.072145866099"/>
  </r>
  <r>
    <x v="0"/>
    <x v="0"/>
    <x v="0"/>
    <x v="9"/>
    <x v="18"/>
    <s v="SE2_OTHER"/>
    <x v="11"/>
    <x v="0"/>
    <s v="GBPR_WOODWASTE_36"/>
    <x v="0"/>
    <x v="8"/>
    <n v="43.576919441298401"/>
    <n v="15905.575596073901"/>
    <n v="57260.072145866099"/>
  </r>
  <r>
    <x v="0"/>
    <x v="0"/>
    <x v="0"/>
    <x v="9"/>
    <x v="18"/>
    <s v="SE2_OTHER"/>
    <x v="11"/>
    <x v="0"/>
    <s v="GBPR_WOODWASTE_36"/>
    <x v="0"/>
    <x v="9"/>
    <n v="43.576919441298401"/>
    <n v="15905.575596073901"/>
    <n v="57260.072145866099"/>
  </r>
  <r>
    <x v="0"/>
    <x v="0"/>
    <x v="0"/>
    <x v="9"/>
    <x v="18"/>
    <s v="SE2_OTHER"/>
    <x v="11"/>
    <x v="0"/>
    <s v="GBPR_WOODWASTE_36"/>
    <x v="0"/>
    <x v="10"/>
    <n v="43.576919441298401"/>
    <n v="15905.575596073901"/>
    <n v="57260.072145866099"/>
  </r>
  <r>
    <x v="0"/>
    <x v="0"/>
    <x v="0"/>
    <x v="9"/>
    <x v="18"/>
    <s v="SE2_OTHER"/>
    <x v="11"/>
    <x v="0"/>
    <s v="GBPR_WOODWASTE_36"/>
    <x v="0"/>
    <x v="11"/>
    <n v="43.576919441298401"/>
    <n v="15905.575596073901"/>
    <n v="57260.072145866099"/>
  </r>
  <r>
    <x v="0"/>
    <x v="0"/>
    <x v="0"/>
    <x v="9"/>
    <x v="18"/>
    <s v="SE2_OTHER"/>
    <x v="11"/>
    <x v="0"/>
    <s v="GBPR_WOODWASTE_36"/>
    <x v="0"/>
    <x v="12"/>
    <n v="43.576919441298401"/>
    <n v="15905.575596073901"/>
    <n v="57260.072145866099"/>
  </r>
  <r>
    <x v="0"/>
    <x v="0"/>
    <x v="0"/>
    <x v="9"/>
    <x v="18"/>
    <s v="SE2_OTHER"/>
    <x v="11"/>
    <x v="0"/>
    <s v="GBPR_WOODWASTE_36"/>
    <x v="0"/>
    <x v="13"/>
    <n v="43.576919441298401"/>
    <n v="15905.575596073901"/>
    <n v="57260.072145866099"/>
  </r>
  <r>
    <x v="0"/>
    <x v="0"/>
    <x v="0"/>
    <x v="9"/>
    <x v="18"/>
    <s v="SE2_OTHER"/>
    <x v="11"/>
    <x v="0"/>
    <s v="GBPR_WOODWASTE_36"/>
    <x v="0"/>
    <x v="14"/>
    <n v="43.576919441298401"/>
    <n v="15905.575596073901"/>
    <n v="57260.072145866099"/>
  </r>
  <r>
    <x v="0"/>
    <x v="0"/>
    <x v="0"/>
    <x v="9"/>
    <x v="18"/>
    <s v="SE2_OTHER"/>
    <x v="11"/>
    <x v="0"/>
    <s v="GBPR_WOODWASTE_36"/>
    <x v="0"/>
    <x v="15"/>
    <n v="43.576919441298401"/>
    <n v="15905.575596073901"/>
    <n v="57260.072145866099"/>
  </r>
  <r>
    <x v="0"/>
    <x v="0"/>
    <x v="0"/>
    <x v="9"/>
    <x v="18"/>
    <s v="SE2_OTHER"/>
    <x v="11"/>
    <x v="0"/>
    <s v="GBPR_WOODWASTE_36"/>
    <x v="0"/>
    <x v="16"/>
    <n v="43.576919441298401"/>
    <n v="15905.575596073901"/>
    <n v="57260.072145866099"/>
  </r>
  <r>
    <x v="0"/>
    <x v="0"/>
    <x v="0"/>
    <x v="9"/>
    <x v="18"/>
    <s v="SE2_OTHER"/>
    <x v="11"/>
    <x v="0"/>
    <s v="GBPR_WOODWASTE_36"/>
    <x v="0"/>
    <x v="17"/>
    <n v="43.576919441298401"/>
    <n v="15905.575596073901"/>
    <n v="57260.072145866099"/>
  </r>
  <r>
    <x v="0"/>
    <x v="0"/>
    <x v="0"/>
    <x v="9"/>
    <x v="18"/>
    <s v="SE2_OTHER"/>
    <x v="11"/>
    <x v="0"/>
    <s v="GBPR_WOODWASTE_36"/>
    <x v="0"/>
    <x v="18"/>
    <n v="43.576919441298401"/>
    <n v="15905.575596073901"/>
    <n v="57260.072145866099"/>
  </r>
  <r>
    <x v="0"/>
    <x v="0"/>
    <x v="0"/>
    <x v="9"/>
    <x v="18"/>
    <s v="SE2_OTHER"/>
    <x v="11"/>
    <x v="0"/>
    <s v="GBPR_WOODWASTE_36"/>
    <x v="0"/>
    <x v="19"/>
    <n v="43.576919441298401"/>
    <n v="15905.575596073901"/>
    <n v="57260.072145866099"/>
  </r>
  <r>
    <x v="0"/>
    <x v="0"/>
    <x v="0"/>
    <x v="9"/>
    <x v="18"/>
    <s v="SE2_OTHER"/>
    <x v="11"/>
    <x v="0"/>
    <s v="GBPR_WOODWASTE_36"/>
    <x v="0"/>
    <x v="20"/>
    <n v="43.576919441298401"/>
    <n v="15905.575596073901"/>
    <n v="57260.072145866099"/>
  </r>
  <r>
    <x v="0"/>
    <x v="0"/>
    <x v="0"/>
    <x v="9"/>
    <x v="18"/>
    <s v="SE2_OTHER"/>
    <x v="11"/>
    <x v="0"/>
    <s v="GBPR_WOODWASTE_36"/>
    <x v="0"/>
    <x v="21"/>
    <n v="43.576919441298401"/>
    <n v="15905.575596073901"/>
    <n v="57260.072145866099"/>
  </r>
  <r>
    <x v="0"/>
    <x v="0"/>
    <x v="0"/>
    <x v="9"/>
    <x v="18"/>
    <s v="SE2_OTHER"/>
    <x v="11"/>
    <x v="0"/>
    <s v="GBPR_WOODWASTE_36"/>
    <x v="0"/>
    <x v="22"/>
    <n v="43.576919441298401"/>
    <n v="15905.575596073901"/>
    <n v="57260.072145866099"/>
  </r>
  <r>
    <x v="0"/>
    <x v="0"/>
    <x v="0"/>
    <x v="9"/>
    <x v="18"/>
    <s v="SE2_OTHER"/>
    <x v="11"/>
    <x v="0"/>
    <s v="GBPR_WOODWASTE_36"/>
    <x v="0"/>
    <x v="23"/>
    <n v="43.576919441298401"/>
    <n v="15905.575596073901"/>
    <n v="57260.072145866099"/>
  </r>
  <r>
    <x v="0"/>
    <x v="0"/>
    <x v="0"/>
    <x v="9"/>
    <x v="19"/>
    <s v="SE3A"/>
    <x v="13"/>
    <x v="2"/>
    <s v="GCND_NUCLEAR"/>
    <x v="0"/>
    <x v="0"/>
    <n v="7274.4849626155001"/>
    <n v="2655187.0113546601"/>
    <n v="9558673.2408767603"/>
  </r>
  <r>
    <x v="0"/>
    <x v="0"/>
    <x v="0"/>
    <x v="9"/>
    <x v="19"/>
    <s v="SE3A"/>
    <x v="13"/>
    <x v="2"/>
    <s v="GCND_NUCLEAR"/>
    <x v="0"/>
    <x v="1"/>
    <n v="7274.4849626155001"/>
    <n v="2655187.0113546601"/>
    <n v="9558673.2408767603"/>
  </r>
  <r>
    <x v="0"/>
    <x v="0"/>
    <x v="0"/>
    <x v="9"/>
    <x v="19"/>
    <s v="SE3A"/>
    <x v="13"/>
    <x v="2"/>
    <s v="GCND_NUCLEAR"/>
    <x v="0"/>
    <x v="2"/>
    <n v="7274.4849626155001"/>
    <n v="2655187.0113546601"/>
    <n v="9558673.2408767603"/>
  </r>
  <r>
    <x v="0"/>
    <x v="0"/>
    <x v="0"/>
    <x v="9"/>
    <x v="19"/>
    <s v="SE3A"/>
    <x v="13"/>
    <x v="2"/>
    <s v="GCND_NUCLEAR"/>
    <x v="0"/>
    <x v="3"/>
    <n v="7274.4849626155001"/>
    <n v="2655187.0113546601"/>
    <n v="9558673.2408767603"/>
  </r>
  <r>
    <x v="0"/>
    <x v="0"/>
    <x v="0"/>
    <x v="9"/>
    <x v="19"/>
    <s v="SE3A"/>
    <x v="13"/>
    <x v="2"/>
    <s v="GCND_NUCLEAR"/>
    <x v="0"/>
    <x v="4"/>
    <n v="7274.4849626155001"/>
    <n v="2655187.0113546601"/>
    <n v="9558673.2408767603"/>
  </r>
  <r>
    <x v="0"/>
    <x v="0"/>
    <x v="0"/>
    <x v="9"/>
    <x v="19"/>
    <s v="SE3A"/>
    <x v="13"/>
    <x v="2"/>
    <s v="GCND_NUCLEAR"/>
    <x v="0"/>
    <x v="5"/>
    <n v="7274.4849626155001"/>
    <n v="2655187.0113546601"/>
    <n v="9558673.2408767603"/>
  </r>
  <r>
    <x v="0"/>
    <x v="0"/>
    <x v="0"/>
    <x v="9"/>
    <x v="19"/>
    <s v="SE3A"/>
    <x v="13"/>
    <x v="2"/>
    <s v="GCND_NUCLEAR"/>
    <x v="0"/>
    <x v="6"/>
    <n v="7274.4849626155001"/>
    <n v="2655187.0113546601"/>
    <n v="9558673.2408767603"/>
  </r>
  <r>
    <x v="0"/>
    <x v="0"/>
    <x v="0"/>
    <x v="9"/>
    <x v="19"/>
    <s v="SE3A"/>
    <x v="13"/>
    <x v="2"/>
    <s v="GCND_NUCLEAR"/>
    <x v="0"/>
    <x v="7"/>
    <n v="7274.4849626155001"/>
    <n v="2655187.0113546601"/>
    <n v="9558673.2408767603"/>
  </r>
  <r>
    <x v="0"/>
    <x v="0"/>
    <x v="0"/>
    <x v="9"/>
    <x v="19"/>
    <s v="SE3A"/>
    <x v="13"/>
    <x v="2"/>
    <s v="GCND_NUCLEAR"/>
    <x v="0"/>
    <x v="8"/>
    <n v="7274.4849626155001"/>
    <n v="2655187.0113546601"/>
    <n v="9558673.2408767603"/>
  </r>
  <r>
    <x v="0"/>
    <x v="0"/>
    <x v="0"/>
    <x v="9"/>
    <x v="19"/>
    <s v="SE3A"/>
    <x v="13"/>
    <x v="2"/>
    <s v="GCND_NUCLEAR"/>
    <x v="0"/>
    <x v="9"/>
    <n v="7274.4849626155001"/>
    <n v="2655187.0113546601"/>
    <n v="9558673.2408767603"/>
  </r>
  <r>
    <x v="0"/>
    <x v="0"/>
    <x v="0"/>
    <x v="9"/>
    <x v="19"/>
    <s v="SE3A"/>
    <x v="13"/>
    <x v="2"/>
    <s v="GCND_NUCLEAR"/>
    <x v="0"/>
    <x v="10"/>
    <n v="7274.4849626155001"/>
    <n v="2655187.0113546601"/>
    <n v="9558673.2408767603"/>
  </r>
  <r>
    <x v="0"/>
    <x v="0"/>
    <x v="0"/>
    <x v="9"/>
    <x v="19"/>
    <s v="SE3A"/>
    <x v="13"/>
    <x v="2"/>
    <s v="GCND_NUCLEAR"/>
    <x v="0"/>
    <x v="11"/>
    <n v="7274.4849626155001"/>
    <n v="2655187.0113546601"/>
    <n v="9558673.2408767603"/>
  </r>
  <r>
    <x v="0"/>
    <x v="0"/>
    <x v="0"/>
    <x v="9"/>
    <x v="19"/>
    <s v="SE3A"/>
    <x v="13"/>
    <x v="2"/>
    <s v="GCND_NUCLEAR"/>
    <x v="0"/>
    <x v="12"/>
    <n v="7274.4849626155001"/>
    <n v="2655187.0113546601"/>
    <n v="9558673.2408767603"/>
  </r>
  <r>
    <x v="0"/>
    <x v="0"/>
    <x v="0"/>
    <x v="9"/>
    <x v="19"/>
    <s v="SE3A"/>
    <x v="13"/>
    <x v="2"/>
    <s v="GCND_NUCLEAR"/>
    <x v="0"/>
    <x v="13"/>
    <n v="7274.4849626155001"/>
    <n v="2655187.0113546601"/>
    <n v="9558673.2408767603"/>
  </r>
  <r>
    <x v="0"/>
    <x v="0"/>
    <x v="0"/>
    <x v="9"/>
    <x v="19"/>
    <s v="SE3A"/>
    <x v="13"/>
    <x v="2"/>
    <s v="GCND_NUCLEAR"/>
    <x v="0"/>
    <x v="14"/>
    <n v="7274.4849626155001"/>
    <n v="2655187.0113546601"/>
    <n v="9558673.2408767603"/>
  </r>
  <r>
    <x v="0"/>
    <x v="0"/>
    <x v="0"/>
    <x v="9"/>
    <x v="19"/>
    <s v="SE3A"/>
    <x v="13"/>
    <x v="2"/>
    <s v="GCND_NUCLEAR"/>
    <x v="0"/>
    <x v="15"/>
    <n v="7274.4849626155001"/>
    <n v="2655187.0113546601"/>
    <n v="9558673.2408767603"/>
  </r>
  <r>
    <x v="0"/>
    <x v="0"/>
    <x v="0"/>
    <x v="9"/>
    <x v="19"/>
    <s v="SE3A"/>
    <x v="13"/>
    <x v="2"/>
    <s v="GCND_NUCLEAR"/>
    <x v="0"/>
    <x v="16"/>
    <n v="7274.4849626155001"/>
    <n v="2655187.0113546601"/>
    <n v="9558673.2408767603"/>
  </r>
  <r>
    <x v="0"/>
    <x v="0"/>
    <x v="0"/>
    <x v="9"/>
    <x v="19"/>
    <s v="SE3A"/>
    <x v="13"/>
    <x v="2"/>
    <s v="GCND_NUCLEAR"/>
    <x v="0"/>
    <x v="17"/>
    <n v="7274.4849626155001"/>
    <n v="2655187.0113546601"/>
    <n v="9558673.2408767603"/>
  </r>
  <r>
    <x v="0"/>
    <x v="0"/>
    <x v="0"/>
    <x v="9"/>
    <x v="19"/>
    <s v="SE3A"/>
    <x v="13"/>
    <x v="2"/>
    <s v="GCND_NUCLEAR"/>
    <x v="0"/>
    <x v="18"/>
    <n v="7274.4849626155001"/>
    <n v="2655187.0113546601"/>
    <n v="9558673.2408767603"/>
  </r>
  <r>
    <x v="0"/>
    <x v="0"/>
    <x v="0"/>
    <x v="9"/>
    <x v="19"/>
    <s v="SE3A"/>
    <x v="13"/>
    <x v="2"/>
    <s v="GCND_NUCLEAR"/>
    <x v="0"/>
    <x v="19"/>
    <n v="7274.4849626155001"/>
    <n v="2655187.0113546601"/>
    <n v="9558673.2408767603"/>
  </r>
  <r>
    <x v="0"/>
    <x v="0"/>
    <x v="0"/>
    <x v="9"/>
    <x v="19"/>
    <s v="SE3A"/>
    <x v="13"/>
    <x v="2"/>
    <s v="GCND_NUCLEAR"/>
    <x v="0"/>
    <x v="20"/>
    <n v="7274.4849626155001"/>
    <n v="2655187.0113546601"/>
    <n v="9558673.2408767603"/>
  </r>
  <r>
    <x v="0"/>
    <x v="0"/>
    <x v="0"/>
    <x v="9"/>
    <x v="19"/>
    <s v="SE3A"/>
    <x v="13"/>
    <x v="2"/>
    <s v="GCND_NUCLEAR"/>
    <x v="0"/>
    <x v="21"/>
    <n v="7274.4849626155001"/>
    <n v="2655187.0113546601"/>
    <n v="9558673.2408767603"/>
  </r>
  <r>
    <x v="0"/>
    <x v="0"/>
    <x v="0"/>
    <x v="9"/>
    <x v="19"/>
    <s v="SE3A"/>
    <x v="13"/>
    <x v="2"/>
    <s v="GCND_NUCLEAR"/>
    <x v="0"/>
    <x v="22"/>
    <n v="7274.4849626155001"/>
    <n v="2655187.0113546601"/>
    <n v="9558673.2408767603"/>
  </r>
  <r>
    <x v="0"/>
    <x v="0"/>
    <x v="0"/>
    <x v="9"/>
    <x v="19"/>
    <s v="SE3A"/>
    <x v="13"/>
    <x v="2"/>
    <s v="GCND_NUCLEAR"/>
    <x v="0"/>
    <x v="23"/>
    <n v="7274.4849626155001"/>
    <n v="2655187.0113546601"/>
    <n v="9558673.2408767603"/>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2"/>
    <n v="131.6"/>
    <n v="48034"/>
    <n v="172922.4"/>
  </r>
  <r>
    <x v="0"/>
    <x v="0"/>
    <x v="0"/>
    <x v="9"/>
    <x v="19"/>
    <s v="SE3A"/>
    <x v="6"/>
    <x v="7"/>
    <s v="GNR_RES_WTR_NOPMP_MC-01"/>
    <x v="0"/>
    <x v="3"/>
    <n v="131.6"/>
    <n v="48034"/>
    <n v="172922.4"/>
  </r>
  <r>
    <x v="0"/>
    <x v="0"/>
    <x v="0"/>
    <x v="9"/>
    <x v="19"/>
    <s v="SE3A"/>
    <x v="6"/>
    <x v="7"/>
    <s v="GNR_RES_WTR_NOPMP_MC-01"/>
    <x v="0"/>
    <x v="4"/>
    <n v="131.6"/>
    <n v="48034"/>
    <n v="172922.4"/>
  </r>
  <r>
    <x v="0"/>
    <x v="0"/>
    <x v="0"/>
    <x v="9"/>
    <x v="19"/>
    <s v="SE3A"/>
    <x v="6"/>
    <x v="7"/>
    <s v="GNR_RES_WTR_NOPMP_MC-01"/>
    <x v="0"/>
    <x v="5"/>
    <n v="131.6"/>
    <n v="48034"/>
    <n v="172922.4"/>
  </r>
  <r>
    <x v="0"/>
    <x v="0"/>
    <x v="0"/>
    <x v="9"/>
    <x v="19"/>
    <s v="SE3A"/>
    <x v="6"/>
    <x v="7"/>
    <s v="GNR_RES_WTR_NOPMP_MC-01"/>
    <x v="0"/>
    <x v="6"/>
    <n v="131.6"/>
    <n v="48034"/>
    <n v="172922.4"/>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8"/>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1"/>
    <x v="0"/>
    <x v="22"/>
    <n v="131.6"/>
    <n v="48034"/>
    <n v="172922.4"/>
  </r>
  <r>
    <x v="0"/>
    <x v="0"/>
    <x v="0"/>
    <x v="9"/>
    <x v="19"/>
    <s v="SE3A"/>
    <x v="6"/>
    <x v="7"/>
    <s v="GNR_RES_WTR_NOPMP_MC-01"/>
    <x v="0"/>
    <x v="23"/>
    <n v="129.972681005309"/>
    <n v="47440.028566937697"/>
    <n v="170784.102840976"/>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2"/>
    <n v="131.6"/>
    <n v="48034"/>
    <n v="172922.4"/>
  </r>
  <r>
    <x v="0"/>
    <x v="0"/>
    <x v="0"/>
    <x v="9"/>
    <x v="19"/>
    <s v="SE3A"/>
    <x v="6"/>
    <x v="7"/>
    <s v="GNR_RES_WTR_NOPMP_MC-02"/>
    <x v="0"/>
    <x v="3"/>
    <n v="131.6"/>
    <n v="48034"/>
    <n v="172922.4"/>
  </r>
  <r>
    <x v="0"/>
    <x v="0"/>
    <x v="0"/>
    <x v="9"/>
    <x v="19"/>
    <s v="SE3A"/>
    <x v="6"/>
    <x v="7"/>
    <s v="GNR_RES_WTR_NOPMP_MC-02"/>
    <x v="0"/>
    <x v="4"/>
    <n v="131.6"/>
    <n v="48034"/>
    <n v="172922.4"/>
  </r>
  <r>
    <x v="0"/>
    <x v="0"/>
    <x v="0"/>
    <x v="9"/>
    <x v="19"/>
    <s v="SE3A"/>
    <x v="6"/>
    <x v="7"/>
    <s v="GNR_RES_WTR_NOPMP_MC-02"/>
    <x v="0"/>
    <x v="5"/>
    <n v="131.6"/>
    <n v="48034"/>
    <n v="172922.4"/>
  </r>
  <r>
    <x v="0"/>
    <x v="0"/>
    <x v="0"/>
    <x v="9"/>
    <x v="19"/>
    <s v="SE3A"/>
    <x v="6"/>
    <x v="7"/>
    <s v="GNR_RES_WTR_NOPMP_MC-02"/>
    <x v="0"/>
    <x v="6"/>
    <n v="131.6"/>
    <n v="48034"/>
    <n v="172922.4"/>
  </r>
  <r>
    <x v="0"/>
    <x v="0"/>
    <x v="0"/>
    <x v="9"/>
    <x v="19"/>
    <s v="SE3A"/>
    <x v="6"/>
    <x v="7"/>
    <s v="GNR_RES_WTR_NOPMP_MC-02"/>
    <x v="0"/>
    <x v="7"/>
    <n v="131.6"/>
    <n v="48034"/>
    <n v="172922.4"/>
  </r>
  <r>
    <x v="0"/>
    <x v="0"/>
    <x v="0"/>
    <x v="9"/>
    <x v="19"/>
    <s v="SE3A"/>
    <x v="6"/>
    <x v="7"/>
    <s v="GNR_RES_WTR_NOPMP_MC-02"/>
    <x v="0"/>
    <x v="8"/>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8"/>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2"/>
    <x v="0"/>
    <x v="21"/>
    <n v="131.6"/>
    <n v="48034"/>
    <n v="172922.4"/>
  </r>
  <r>
    <x v="0"/>
    <x v="0"/>
    <x v="0"/>
    <x v="9"/>
    <x v="19"/>
    <s v="SE3A"/>
    <x v="6"/>
    <x v="7"/>
    <s v="GNR_RES_WTR_NOPMP_MC-02"/>
    <x v="0"/>
    <x v="22"/>
    <n v="131.6"/>
    <n v="48034"/>
    <n v="172922.4"/>
  </r>
  <r>
    <x v="0"/>
    <x v="0"/>
    <x v="0"/>
    <x v="9"/>
    <x v="19"/>
    <s v="SE3A"/>
    <x v="6"/>
    <x v="7"/>
    <s v="GNR_RES_WTR_NOPMP_MC-03"/>
    <x v="0"/>
    <x v="0"/>
    <n v="131.6"/>
    <n v="48034"/>
    <n v="172922.4"/>
  </r>
  <r>
    <x v="0"/>
    <x v="0"/>
    <x v="0"/>
    <x v="9"/>
    <x v="19"/>
    <s v="SE3A"/>
    <x v="6"/>
    <x v="7"/>
    <s v="GNR_RES_WTR_NOPMP_MC-03"/>
    <x v="0"/>
    <x v="1"/>
    <n v="131.6"/>
    <n v="48034"/>
    <n v="172922.4"/>
  </r>
  <r>
    <x v="0"/>
    <x v="0"/>
    <x v="0"/>
    <x v="9"/>
    <x v="19"/>
    <s v="SE3A"/>
    <x v="6"/>
    <x v="7"/>
    <s v="GNR_RES_WTR_NOPMP_MC-03"/>
    <x v="0"/>
    <x v="2"/>
    <n v="131.6"/>
    <n v="48034"/>
    <n v="172922.4"/>
  </r>
  <r>
    <x v="0"/>
    <x v="0"/>
    <x v="0"/>
    <x v="9"/>
    <x v="19"/>
    <s v="SE3A"/>
    <x v="6"/>
    <x v="7"/>
    <s v="GNR_RES_WTR_NOPMP_MC-03"/>
    <x v="0"/>
    <x v="3"/>
    <n v="131.6"/>
    <n v="48034"/>
    <n v="172922.4"/>
  </r>
  <r>
    <x v="0"/>
    <x v="0"/>
    <x v="0"/>
    <x v="9"/>
    <x v="19"/>
    <s v="SE3A"/>
    <x v="6"/>
    <x v="7"/>
    <s v="GNR_RES_WTR_NOPMP_MC-03"/>
    <x v="0"/>
    <x v="4"/>
    <n v="131.6"/>
    <n v="48034"/>
    <n v="172922.4"/>
  </r>
  <r>
    <x v="0"/>
    <x v="0"/>
    <x v="0"/>
    <x v="9"/>
    <x v="19"/>
    <s v="SE3A"/>
    <x v="6"/>
    <x v="7"/>
    <s v="GNR_RES_WTR_NOPMP_MC-03"/>
    <x v="0"/>
    <x v="5"/>
    <n v="131.6"/>
    <n v="48034"/>
    <n v="172922.4"/>
  </r>
  <r>
    <x v="0"/>
    <x v="0"/>
    <x v="0"/>
    <x v="9"/>
    <x v="19"/>
    <s v="SE3A"/>
    <x v="6"/>
    <x v="7"/>
    <s v="GNR_RES_WTR_NOPMP_MC-03"/>
    <x v="0"/>
    <x v="6"/>
    <n v="131.6"/>
    <n v="48034"/>
    <n v="172922.4"/>
  </r>
  <r>
    <x v="0"/>
    <x v="0"/>
    <x v="0"/>
    <x v="9"/>
    <x v="19"/>
    <s v="SE3A"/>
    <x v="6"/>
    <x v="7"/>
    <s v="GNR_RES_WTR_NOPMP_MC-03"/>
    <x v="0"/>
    <x v="7"/>
    <n v="131.6"/>
    <n v="48034"/>
    <n v="172922.4"/>
  </r>
  <r>
    <x v="0"/>
    <x v="0"/>
    <x v="0"/>
    <x v="9"/>
    <x v="19"/>
    <s v="SE3A"/>
    <x v="6"/>
    <x v="7"/>
    <s v="GNR_RES_WTR_NOPMP_MC-03"/>
    <x v="0"/>
    <x v="8"/>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8"/>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3"/>
    <x v="0"/>
    <x v="21"/>
    <n v="131.6"/>
    <n v="48034"/>
    <n v="172922.4"/>
  </r>
  <r>
    <x v="0"/>
    <x v="0"/>
    <x v="0"/>
    <x v="9"/>
    <x v="19"/>
    <s v="SE3A"/>
    <x v="6"/>
    <x v="7"/>
    <s v="GNR_RES_WTR_NOPMP_MC-03"/>
    <x v="0"/>
    <x v="22"/>
    <n v="131.6"/>
    <n v="48034"/>
    <n v="172922.4"/>
  </r>
  <r>
    <x v="0"/>
    <x v="0"/>
    <x v="0"/>
    <x v="9"/>
    <x v="19"/>
    <s v="SE3A"/>
    <x v="6"/>
    <x v="7"/>
    <s v="GNR_RES_WTR_NOPMP_MC-04"/>
    <x v="0"/>
    <x v="5"/>
    <n v="131.6"/>
    <n v="48034"/>
    <n v="172922.4"/>
  </r>
  <r>
    <x v="0"/>
    <x v="0"/>
    <x v="0"/>
    <x v="9"/>
    <x v="19"/>
    <s v="SE3A"/>
    <x v="6"/>
    <x v="7"/>
    <s v="GNR_RES_WTR_NOPMP_MC-04"/>
    <x v="0"/>
    <x v="6"/>
    <n v="131.6"/>
    <n v="48034"/>
    <n v="172922.4"/>
  </r>
  <r>
    <x v="0"/>
    <x v="0"/>
    <x v="0"/>
    <x v="9"/>
    <x v="19"/>
    <s v="SE3A"/>
    <x v="6"/>
    <x v="7"/>
    <s v="GNR_RES_WTR_NOPMP_MC-04"/>
    <x v="0"/>
    <x v="7"/>
    <n v="131.6"/>
    <n v="48034"/>
    <n v="172922.4"/>
  </r>
  <r>
    <x v="0"/>
    <x v="0"/>
    <x v="0"/>
    <x v="9"/>
    <x v="19"/>
    <s v="SE3A"/>
    <x v="6"/>
    <x v="7"/>
    <s v="GNR_RES_WTR_NOPMP_MC-04"/>
    <x v="0"/>
    <x v="8"/>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8"/>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4"/>
    <x v="0"/>
    <x v="21"/>
    <n v="131.6"/>
    <n v="48034"/>
    <n v="172922.4"/>
  </r>
  <r>
    <x v="0"/>
    <x v="0"/>
    <x v="0"/>
    <x v="9"/>
    <x v="19"/>
    <s v="SE3A"/>
    <x v="6"/>
    <x v="7"/>
    <s v="GNR_RES_WTR_NOPMP_MC-05"/>
    <x v="0"/>
    <x v="6"/>
    <n v="131.6"/>
    <n v="48034"/>
    <n v="172922.4"/>
  </r>
  <r>
    <x v="0"/>
    <x v="0"/>
    <x v="0"/>
    <x v="9"/>
    <x v="19"/>
    <s v="SE3A"/>
    <x v="6"/>
    <x v="7"/>
    <s v="GNR_RES_WTR_NOPMP_MC-05"/>
    <x v="0"/>
    <x v="7"/>
    <n v="131.6"/>
    <n v="48034"/>
    <n v="172922.4"/>
  </r>
  <r>
    <x v="0"/>
    <x v="0"/>
    <x v="0"/>
    <x v="9"/>
    <x v="19"/>
    <s v="SE3A"/>
    <x v="6"/>
    <x v="7"/>
    <s v="GNR_RES_WTR_NOPMP_MC-05"/>
    <x v="0"/>
    <x v="8"/>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5"/>
    <x v="0"/>
    <x v="18"/>
    <n v="131.6"/>
    <n v="48034"/>
    <n v="172922.4"/>
  </r>
  <r>
    <x v="0"/>
    <x v="0"/>
    <x v="0"/>
    <x v="9"/>
    <x v="19"/>
    <s v="SE3A"/>
    <x v="6"/>
    <x v="7"/>
    <s v="GNR_RES_WTR_NOPMP_MC-05"/>
    <x v="0"/>
    <x v="19"/>
    <n v="131.6"/>
    <n v="48034"/>
    <n v="172922.4"/>
  </r>
  <r>
    <x v="0"/>
    <x v="0"/>
    <x v="0"/>
    <x v="9"/>
    <x v="19"/>
    <s v="SE3A"/>
    <x v="6"/>
    <x v="7"/>
    <s v="GNR_RES_WTR_NOPMP_MC-05"/>
    <x v="0"/>
    <x v="20"/>
    <n v="107.06643282224"/>
    <n v="39079.2479801175"/>
    <n v="140685.292728423"/>
  </r>
  <r>
    <x v="0"/>
    <x v="0"/>
    <x v="0"/>
    <x v="9"/>
    <x v="19"/>
    <s v="SE3A"/>
    <x v="6"/>
    <x v="7"/>
    <s v="GNR_RES_WTR_NOPMP_MC-06"/>
    <x v="0"/>
    <x v="7"/>
    <n v="131.6"/>
    <n v="48034"/>
    <n v="172922.4"/>
  </r>
  <r>
    <x v="0"/>
    <x v="0"/>
    <x v="0"/>
    <x v="9"/>
    <x v="19"/>
    <s v="SE3A"/>
    <x v="6"/>
    <x v="7"/>
    <s v="GNR_RES_WTR_NOPMP_MC-06"/>
    <x v="0"/>
    <x v="8"/>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131.6"/>
    <n v="48034"/>
    <n v="172922.4"/>
  </r>
  <r>
    <x v="0"/>
    <x v="0"/>
    <x v="0"/>
    <x v="9"/>
    <x v="19"/>
    <s v="SE3A"/>
    <x v="6"/>
    <x v="7"/>
    <s v="GNR_RES_WTR_NOPMP_MC-06"/>
    <x v="0"/>
    <x v="12"/>
    <n v="131.6"/>
    <n v="48034"/>
    <n v="172922.4"/>
  </r>
  <r>
    <x v="0"/>
    <x v="0"/>
    <x v="0"/>
    <x v="9"/>
    <x v="19"/>
    <s v="SE3A"/>
    <x v="6"/>
    <x v="7"/>
    <s v="GNR_RES_WTR_NOPMP_MC-07"/>
    <x v="0"/>
    <x v="7"/>
    <n v="131.6"/>
    <n v="48034"/>
    <n v="172922.4"/>
  </r>
  <r>
    <x v="0"/>
    <x v="0"/>
    <x v="0"/>
    <x v="9"/>
    <x v="19"/>
    <s v="SE3A"/>
    <x v="6"/>
    <x v="7"/>
    <s v="GNR_RES_WTR_NOPMP_MC-07"/>
    <x v="0"/>
    <x v="8"/>
    <n v="131.6"/>
    <n v="48034"/>
    <n v="172922.4"/>
  </r>
  <r>
    <x v="0"/>
    <x v="0"/>
    <x v="0"/>
    <x v="9"/>
    <x v="19"/>
    <s v="SE3A"/>
    <x v="6"/>
    <x v="7"/>
    <s v="GNR_RES_WTR_NOPMP_MC-07"/>
    <x v="0"/>
    <x v="9"/>
    <n v="131.6"/>
    <n v="48034"/>
    <n v="172922.4"/>
  </r>
  <r>
    <x v="0"/>
    <x v="0"/>
    <x v="0"/>
    <x v="9"/>
    <x v="19"/>
    <s v="SE3A"/>
    <x v="6"/>
    <x v="7"/>
    <s v="GNR_RES_WTR_NOPMP_MC-07"/>
    <x v="0"/>
    <x v="10"/>
    <n v="121.7325978045"/>
    <n v="44432.398198642302"/>
    <n v="159956.63351511199"/>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2"/>
    <n v="612.63215465133601"/>
    <n v="223610.73644773799"/>
    <n v="804998.651211855"/>
  </r>
  <r>
    <x v="0"/>
    <x v="0"/>
    <x v="0"/>
    <x v="9"/>
    <x v="19"/>
    <s v="SE3A"/>
    <x v="6"/>
    <x v="4"/>
    <s v="GNR_ROR_WTR"/>
    <x v="0"/>
    <x v="3"/>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8"/>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0"/>
    <n v="630.20853809515404"/>
    <n v="230026.116404731"/>
    <n v="828094.019057033"/>
  </r>
  <r>
    <x v="0"/>
    <x v="0"/>
    <x v="0"/>
    <x v="9"/>
    <x v="19"/>
    <s v="SE3A"/>
    <x v="7"/>
    <x v="5"/>
    <s v="GNR_WT_WIND_ONS"/>
    <x v="0"/>
    <x v="1"/>
    <n v="579.90689185148904"/>
    <n v="211666.01552579299"/>
    <n v="761997.65589285595"/>
  </r>
  <r>
    <x v="0"/>
    <x v="0"/>
    <x v="0"/>
    <x v="9"/>
    <x v="19"/>
    <s v="SE3A"/>
    <x v="7"/>
    <x v="5"/>
    <s v="GNR_WT_WIND_ONS"/>
    <x v="0"/>
    <x v="2"/>
    <n v="484.39772577407001"/>
    <n v="176805.16990753499"/>
    <n v="636498.611667127"/>
  </r>
  <r>
    <x v="0"/>
    <x v="0"/>
    <x v="0"/>
    <x v="9"/>
    <x v="19"/>
    <s v="SE3A"/>
    <x v="7"/>
    <x v="5"/>
    <s v="GNR_WT_WIND_ONS"/>
    <x v="0"/>
    <x v="3"/>
    <n v="326.61875594709801"/>
    <n v="119215.845920691"/>
    <n v="429177.04531448701"/>
  </r>
  <r>
    <x v="0"/>
    <x v="0"/>
    <x v="0"/>
    <x v="9"/>
    <x v="19"/>
    <s v="SE3A"/>
    <x v="7"/>
    <x v="5"/>
    <s v="GNR_WT_WIND_ONS"/>
    <x v="0"/>
    <x v="4"/>
    <n v="314.45614213319999"/>
    <n v="114776.49187861801"/>
    <n v="413195.37076302402"/>
  </r>
  <r>
    <x v="0"/>
    <x v="0"/>
    <x v="0"/>
    <x v="9"/>
    <x v="19"/>
    <s v="SE3A"/>
    <x v="7"/>
    <x v="5"/>
    <s v="GNR_WT_WIND_ONS"/>
    <x v="0"/>
    <x v="5"/>
    <n v="253.32181962193101"/>
    <n v="92462.464162004995"/>
    <n v="332864.87098321802"/>
  </r>
  <r>
    <x v="0"/>
    <x v="0"/>
    <x v="0"/>
    <x v="9"/>
    <x v="19"/>
    <s v="SE3A"/>
    <x v="7"/>
    <x v="5"/>
    <s v="GNR_WT_WIND_ONS"/>
    <x v="0"/>
    <x v="6"/>
    <n v="229.02111023963499"/>
    <n v="83592.705237466696"/>
    <n v="300933.73885487998"/>
  </r>
  <r>
    <x v="0"/>
    <x v="0"/>
    <x v="0"/>
    <x v="9"/>
    <x v="19"/>
    <s v="SE3A"/>
    <x v="7"/>
    <x v="5"/>
    <s v="GNR_WT_WIND_ONS"/>
    <x v="0"/>
    <x v="7"/>
    <n v="290.23404835149501"/>
    <n v="105935.427648296"/>
    <n v="381367.539533865"/>
  </r>
  <r>
    <x v="0"/>
    <x v="0"/>
    <x v="0"/>
    <x v="9"/>
    <x v="19"/>
    <s v="SE3A"/>
    <x v="7"/>
    <x v="5"/>
    <s v="GNR_WT_WIND_ONS"/>
    <x v="0"/>
    <x v="8"/>
    <n v="341.828714981524"/>
    <n v="124767.480968256"/>
    <n v="449162.93148572301"/>
  </r>
  <r>
    <x v="0"/>
    <x v="0"/>
    <x v="0"/>
    <x v="9"/>
    <x v="19"/>
    <s v="SE3A"/>
    <x v="7"/>
    <x v="5"/>
    <s v="GNR_WT_WIND_ONS"/>
    <x v="0"/>
    <x v="9"/>
    <n v="366.085104322625"/>
    <n v="133621.06307775801"/>
    <n v="481035.82707992999"/>
  </r>
  <r>
    <x v="0"/>
    <x v="0"/>
    <x v="0"/>
    <x v="9"/>
    <x v="19"/>
    <s v="SE3A"/>
    <x v="7"/>
    <x v="5"/>
    <s v="GNR_WT_WIND_ONS"/>
    <x v="0"/>
    <x v="10"/>
    <n v="466.50690668697302"/>
    <n v="170275.02094074499"/>
    <n v="612990.07538668194"/>
  </r>
  <r>
    <x v="0"/>
    <x v="0"/>
    <x v="0"/>
    <x v="9"/>
    <x v="19"/>
    <s v="SE3A"/>
    <x v="7"/>
    <x v="5"/>
    <s v="GNR_WT_WIND_ONS"/>
    <x v="0"/>
    <x v="11"/>
    <n v="484.76302372561099"/>
    <n v="176938.50365984801"/>
    <n v="636978.61317545304"/>
  </r>
  <r>
    <x v="0"/>
    <x v="0"/>
    <x v="0"/>
    <x v="9"/>
    <x v="19"/>
    <s v="SE3A"/>
    <x v="7"/>
    <x v="5"/>
    <s v="GNR_WT_WIND_ONS"/>
    <x v="0"/>
    <x v="12"/>
    <n v="538.46831379855098"/>
    <n v="196540.934536471"/>
    <n v="707547.36433129502"/>
  </r>
  <r>
    <x v="0"/>
    <x v="0"/>
    <x v="0"/>
    <x v="9"/>
    <x v="19"/>
    <s v="SE3A"/>
    <x v="7"/>
    <x v="5"/>
    <s v="GNR_WT_WIND_ONS"/>
    <x v="0"/>
    <x v="13"/>
    <n v="656.69087293918301"/>
    <n v="239692.16862280201"/>
    <n v="862891.80704208696"/>
  </r>
  <r>
    <x v="0"/>
    <x v="0"/>
    <x v="0"/>
    <x v="9"/>
    <x v="19"/>
    <s v="SE3A"/>
    <x v="7"/>
    <x v="5"/>
    <s v="GNR_WT_WIND_ONS"/>
    <x v="0"/>
    <x v="14"/>
    <n v="735.71913857775405"/>
    <n v="268537.48558088002"/>
    <n v="966734.94809116796"/>
  </r>
  <r>
    <x v="0"/>
    <x v="0"/>
    <x v="0"/>
    <x v="9"/>
    <x v="19"/>
    <s v="SE3A"/>
    <x v="7"/>
    <x v="5"/>
    <s v="GNR_WT_WIND_ONS"/>
    <x v="0"/>
    <x v="15"/>
    <n v="790.35722815734005"/>
    <n v="288480.38827742898"/>
    <n v="1038529.39779875"/>
  </r>
  <r>
    <x v="0"/>
    <x v="0"/>
    <x v="0"/>
    <x v="9"/>
    <x v="19"/>
    <s v="SE3A"/>
    <x v="7"/>
    <x v="5"/>
    <s v="GNR_WT_WIND_ONS"/>
    <x v="0"/>
    <x v="16"/>
    <n v="802.40127836496401"/>
    <n v="292876.466603212"/>
    <n v="1054355.2797715601"/>
  </r>
  <r>
    <x v="0"/>
    <x v="0"/>
    <x v="0"/>
    <x v="9"/>
    <x v="19"/>
    <s v="SE3A"/>
    <x v="7"/>
    <x v="5"/>
    <s v="GNR_WT_WIND_ONS"/>
    <x v="0"/>
    <x v="17"/>
    <n v="849.83711408234603"/>
    <n v="310190.54664005601"/>
    <n v="1116685.9679042001"/>
  </r>
  <r>
    <x v="0"/>
    <x v="0"/>
    <x v="0"/>
    <x v="9"/>
    <x v="19"/>
    <s v="SE3A"/>
    <x v="7"/>
    <x v="5"/>
    <s v="GNR_WT_WIND_ONS"/>
    <x v="0"/>
    <x v="18"/>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A"/>
    <x v="10"/>
    <x v="0"/>
    <s v="GBPR_IND_BIO"/>
    <x v="0"/>
    <x v="0"/>
    <n v="567.79999999999995"/>
    <n v="207247"/>
    <n v="746089.2"/>
  </r>
  <r>
    <x v="0"/>
    <x v="0"/>
    <x v="0"/>
    <x v="9"/>
    <x v="19"/>
    <s v="SE3A"/>
    <x v="10"/>
    <x v="0"/>
    <s v="GBPR_IND_BIO"/>
    <x v="0"/>
    <x v="1"/>
    <n v="567.79999999999995"/>
    <n v="207247"/>
    <n v="746089.2"/>
  </r>
  <r>
    <x v="0"/>
    <x v="0"/>
    <x v="0"/>
    <x v="9"/>
    <x v="19"/>
    <s v="SE3A"/>
    <x v="10"/>
    <x v="0"/>
    <s v="GBPR_IND_BIO"/>
    <x v="0"/>
    <x v="2"/>
    <n v="567.79999999999995"/>
    <n v="207247"/>
    <n v="746089.2"/>
  </r>
  <r>
    <x v="0"/>
    <x v="0"/>
    <x v="0"/>
    <x v="9"/>
    <x v="19"/>
    <s v="SE3A"/>
    <x v="10"/>
    <x v="0"/>
    <s v="GBPR_IND_BIO"/>
    <x v="0"/>
    <x v="3"/>
    <n v="567.79999999999995"/>
    <n v="207247"/>
    <n v="746089.2"/>
  </r>
  <r>
    <x v="0"/>
    <x v="0"/>
    <x v="0"/>
    <x v="9"/>
    <x v="19"/>
    <s v="SE3A"/>
    <x v="10"/>
    <x v="0"/>
    <s v="GBPR_IND_BIO"/>
    <x v="0"/>
    <x v="4"/>
    <n v="567.79999999999995"/>
    <n v="207247"/>
    <n v="746089.2"/>
  </r>
  <r>
    <x v="0"/>
    <x v="0"/>
    <x v="0"/>
    <x v="9"/>
    <x v="19"/>
    <s v="SE3A"/>
    <x v="10"/>
    <x v="0"/>
    <s v="GBPR_IND_BIO"/>
    <x v="0"/>
    <x v="5"/>
    <n v="567.79999999999995"/>
    <n v="207247"/>
    <n v="746089.2"/>
  </r>
  <r>
    <x v="0"/>
    <x v="0"/>
    <x v="0"/>
    <x v="9"/>
    <x v="19"/>
    <s v="SE3A"/>
    <x v="10"/>
    <x v="0"/>
    <s v="GBPR_IND_BIO"/>
    <x v="0"/>
    <x v="6"/>
    <n v="567.79999999999995"/>
    <n v="207247"/>
    <n v="746089.2"/>
  </r>
  <r>
    <x v="0"/>
    <x v="0"/>
    <x v="0"/>
    <x v="9"/>
    <x v="19"/>
    <s v="SE3A"/>
    <x v="10"/>
    <x v="0"/>
    <s v="GBPR_IND_BIO"/>
    <x v="0"/>
    <x v="7"/>
    <n v="567.79999999999995"/>
    <n v="207247"/>
    <n v="746089.2"/>
  </r>
  <r>
    <x v="0"/>
    <x v="0"/>
    <x v="0"/>
    <x v="9"/>
    <x v="19"/>
    <s v="SE3A"/>
    <x v="10"/>
    <x v="0"/>
    <s v="GBPR_IND_BIO"/>
    <x v="0"/>
    <x v="8"/>
    <n v="567.79999999999995"/>
    <n v="207247"/>
    <n v="746089.2"/>
  </r>
  <r>
    <x v="0"/>
    <x v="0"/>
    <x v="0"/>
    <x v="9"/>
    <x v="19"/>
    <s v="SE3A"/>
    <x v="10"/>
    <x v="0"/>
    <s v="GBPR_IND_BIO"/>
    <x v="0"/>
    <x v="9"/>
    <n v="567.79999999999995"/>
    <n v="207247"/>
    <n v="746089.2"/>
  </r>
  <r>
    <x v="0"/>
    <x v="0"/>
    <x v="0"/>
    <x v="9"/>
    <x v="19"/>
    <s v="SE3A"/>
    <x v="10"/>
    <x v="0"/>
    <s v="GBPR_IND_BIO"/>
    <x v="0"/>
    <x v="10"/>
    <n v="567.79999999999995"/>
    <n v="207247"/>
    <n v="746089.2"/>
  </r>
  <r>
    <x v="0"/>
    <x v="0"/>
    <x v="0"/>
    <x v="9"/>
    <x v="19"/>
    <s v="SE3A"/>
    <x v="10"/>
    <x v="0"/>
    <s v="GBPR_IND_BIO"/>
    <x v="0"/>
    <x v="11"/>
    <n v="567.79999999999995"/>
    <n v="207247"/>
    <n v="746089.2"/>
  </r>
  <r>
    <x v="0"/>
    <x v="0"/>
    <x v="0"/>
    <x v="9"/>
    <x v="19"/>
    <s v="SE3A"/>
    <x v="10"/>
    <x v="0"/>
    <s v="GBPR_IND_BIO"/>
    <x v="0"/>
    <x v="12"/>
    <n v="567.79999999999995"/>
    <n v="207247"/>
    <n v="746089.2"/>
  </r>
  <r>
    <x v="0"/>
    <x v="0"/>
    <x v="0"/>
    <x v="9"/>
    <x v="19"/>
    <s v="SE3A"/>
    <x v="10"/>
    <x v="0"/>
    <s v="GBPR_IND_BIO"/>
    <x v="0"/>
    <x v="13"/>
    <n v="567.79999999999995"/>
    <n v="207247"/>
    <n v="746089.2"/>
  </r>
  <r>
    <x v="0"/>
    <x v="0"/>
    <x v="0"/>
    <x v="9"/>
    <x v="19"/>
    <s v="SE3A"/>
    <x v="10"/>
    <x v="0"/>
    <s v="GBPR_IND_BIO"/>
    <x v="0"/>
    <x v="14"/>
    <n v="567.79999999999995"/>
    <n v="207247"/>
    <n v="746089.2"/>
  </r>
  <r>
    <x v="0"/>
    <x v="0"/>
    <x v="0"/>
    <x v="9"/>
    <x v="19"/>
    <s v="SE3A"/>
    <x v="10"/>
    <x v="0"/>
    <s v="GBPR_IND_BIO"/>
    <x v="0"/>
    <x v="15"/>
    <n v="567.79999999999995"/>
    <n v="207247"/>
    <n v="746089.2"/>
  </r>
  <r>
    <x v="0"/>
    <x v="0"/>
    <x v="0"/>
    <x v="9"/>
    <x v="19"/>
    <s v="SE3A"/>
    <x v="10"/>
    <x v="0"/>
    <s v="GBPR_IND_BIO"/>
    <x v="0"/>
    <x v="16"/>
    <n v="567.79999999999995"/>
    <n v="207247"/>
    <n v="746089.2"/>
  </r>
  <r>
    <x v="0"/>
    <x v="0"/>
    <x v="0"/>
    <x v="9"/>
    <x v="19"/>
    <s v="SE3A"/>
    <x v="10"/>
    <x v="0"/>
    <s v="GBPR_IND_BIO"/>
    <x v="0"/>
    <x v="17"/>
    <n v="567.79999999999995"/>
    <n v="207247"/>
    <n v="746089.2"/>
  </r>
  <r>
    <x v="0"/>
    <x v="0"/>
    <x v="0"/>
    <x v="9"/>
    <x v="19"/>
    <s v="SE3A"/>
    <x v="10"/>
    <x v="0"/>
    <s v="GBPR_IND_BIO"/>
    <x v="0"/>
    <x v="18"/>
    <n v="567.79999999999995"/>
    <n v="207247"/>
    <n v="746089.2"/>
  </r>
  <r>
    <x v="0"/>
    <x v="0"/>
    <x v="0"/>
    <x v="9"/>
    <x v="19"/>
    <s v="SE3A"/>
    <x v="10"/>
    <x v="0"/>
    <s v="GBPR_IND_BIO"/>
    <x v="0"/>
    <x v="19"/>
    <n v="567.79999999999995"/>
    <n v="207247"/>
    <n v="746089.2"/>
  </r>
  <r>
    <x v="0"/>
    <x v="0"/>
    <x v="0"/>
    <x v="9"/>
    <x v="19"/>
    <s v="SE3A"/>
    <x v="10"/>
    <x v="0"/>
    <s v="GBPR_IND_BIO"/>
    <x v="0"/>
    <x v="20"/>
    <n v="567.79999999999995"/>
    <n v="207247"/>
    <n v="746089.2"/>
  </r>
  <r>
    <x v="0"/>
    <x v="0"/>
    <x v="0"/>
    <x v="9"/>
    <x v="19"/>
    <s v="SE3A"/>
    <x v="10"/>
    <x v="0"/>
    <s v="GBPR_IND_BIO"/>
    <x v="0"/>
    <x v="21"/>
    <n v="567.79999999999995"/>
    <n v="207247"/>
    <n v="746089.2"/>
  </r>
  <r>
    <x v="0"/>
    <x v="0"/>
    <x v="0"/>
    <x v="9"/>
    <x v="19"/>
    <s v="SE3A"/>
    <x v="10"/>
    <x v="0"/>
    <s v="GBPR_IND_BIO"/>
    <x v="0"/>
    <x v="22"/>
    <n v="567.79999999999995"/>
    <n v="207247"/>
    <n v="746089.2"/>
  </r>
  <r>
    <x v="0"/>
    <x v="0"/>
    <x v="0"/>
    <x v="9"/>
    <x v="19"/>
    <s v="SE3A"/>
    <x v="10"/>
    <x v="0"/>
    <s v="GBPR_IND_BIO"/>
    <x v="0"/>
    <x v="23"/>
    <n v="567.79999999999995"/>
    <n v="207247"/>
    <n v="746089.2"/>
  </r>
  <r>
    <x v="0"/>
    <x v="0"/>
    <x v="0"/>
    <x v="9"/>
    <x v="19"/>
    <s v="SE3_EL"/>
    <x v="1"/>
    <x v="0"/>
    <s v="GBPR_MUNIWASTE_24"/>
    <x v="0"/>
    <x v="0"/>
    <n v="46.222048776481302"/>
    <n v="16871.047803415699"/>
    <n v="60735.7720922964"/>
  </r>
  <r>
    <x v="0"/>
    <x v="0"/>
    <x v="0"/>
    <x v="9"/>
    <x v="19"/>
    <s v="SE3_EL"/>
    <x v="1"/>
    <x v="0"/>
    <s v="GBPR_MUNIWASTE_24"/>
    <x v="0"/>
    <x v="1"/>
    <n v="46.222048776481302"/>
    <n v="16871.047803415699"/>
    <n v="60735.7720922964"/>
  </r>
  <r>
    <x v="0"/>
    <x v="0"/>
    <x v="0"/>
    <x v="9"/>
    <x v="19"/>
    <s v="SE3_EL"/>
    <x v="1"/>
    <x v="0"/>
    <s v="GBPR_MUNIWASTE_24"/>
    <x v="0"/>
    <x v="2"/>
    <n v="46.222048776481302"/>
    <n v="16871.047803415699"/>
    <n v="60735.7720922964"/>
  </r>
  <r>
    <x v="0"/>
    <x v="0"/>
    <x v="0"/>
    <x v="9"/>
    <x v="19"/>
    <s v="SE3_EL"/>
    <x v="1"/>
    <x v="0"/>
    <s v="GBPR_MUNIWASTE_24"/>
    <x v="0"/>
    <x v="3"/>
    <n v="46.222048776481302"/>
    <n v="16871.047803415699"/>
    <n v="60735.7720922964"/>
  </r>
  <r>
    <x v="0"/>
    <x v="0"/>
    <x v="0"/>
    <x v="9"/>
    <x v="19"/>
    <s v="SE3_EL"/>
    <x v="1"/>
    <x v="0"/>
    <s v="GBPR_MUNIWASTE_24"/>
    <x v="0"/>
    <x v="4"/>
    <n v="46.222048776481302"/>
    <n v="16871.047803415699"/>
    <n v="60735.7720922964"/>
  </r>
  <r>
    <x v="0"/>
    <x v="0"/>
    <x v="0"/>
    <x v="9"/>
    <x v="19"/>
    <s v="SE3_EL"/>
    <x v="1"/>
    <x v="0"/>
    <s v="GBPR_MUNIWASTE_24"/>
    <x v="0"/>
    <x v="5"/>
    <n v="46.222048776481302"/>
    <n v="16871.047803415699"/>
    <n v="60735.7720922964"/>
  </r>
  <r>
    <x v="0"/>
    <x v="0"/>
    <x v="0"/>
    <x v="9"/>
    <x v="19"/>
    <s v="SE3_EL"/>
    <x v="1"/>
    <x v="0"/>
    <s v="GBPR_MUNIWASTE_24"/>
    <x v="0"/>
    <x v="6"/>
    <n v="46.222048776481302"/>
    <n v="16871.047803415699"/>
    <n v="60735.7720922964"/>
  </r>
  <r>
    <x v="0"/>
    <x v="0"/>
    <x v="0"/>
    <x v="9"/>
    <x v="19"/>
    <s v="SE3_EL"/>
    <x v="1"/>
    <x v="0"/>
    <s v="GBPR_MUNIWASTE_24"/>
    <x v="0"/>
    <x v="7"/>
    <n v="46.222048776481302"/>
    <n v="16871.047803415699"/>
    <n v="60735.7720922964"/>
  </r>
  <r>
    <x v="0"/>
    <x v="0"/>
    <x v="0"/>
    <x v="9"/>
    <x v="19"/>
    <s v="SE3_EL"/>
    <x v="1"/>
    <x v="0"/>
    <s v="GBPR_MUNIWASTE_24"/>
    <x v="0"/>
    <x v="8"/>
    <n v="46.222048776481302"/>
    <n v="16871.047803415699"/>
    <n v="60735.7720922964"/>
  </r>
  <r>
    <x v="0"/>
    <x v="0"/>
    <x v="0"/>
    <x v="9"/>
    <x v="19"/>
    <s v="SE3_EL"/>
    <x v="1"/>
    <x v="0"/>
    <s v="GBPR_MUNIWASTE_24"/>
    <x v="0"/>
    <x v="9"/>
    <n v="46.222048776481302"/>
    <n v="16871.047803415699"/>
    <n v="60735.7720922964"/>
  </r>
  <r>
    <x v="0"/>
    <x v="0"/>
    <x v="0"/>
    <x v="9"/>
    <x v="19"/>
    <s v="SE3_EL"/>
    <x v="1"/>
    <x v="0"/>
    <s v="GBPR_MUNIWASTE_24"/>
    <x v="0"/>
    <x v="10"/>
    <n v="46.222048776481302"/>
    <n v="16871.047803415699"/>
    <n v="60735.7720922964"/>
  </r>
  <r>
    <x v="0"/>
    <x v="0"/>
    <x v="0"/>
    <x v="9"/>
    <x v="19"/>
    <s v="SE3_EL"/>
    <x v="1"/>
    <x v="0"/>
    <s v="GBPR_MUNIWASTE_24"/>
    <x v="0"/>
    <x v="11"/>
    <n v="46.222048776481302"/>
    <n v="16871.047803415699"/>
    <n v="60735.7720922964"/>
  </r>
  <r>
    <x v="0"/>
    <x v="0"/>
    <x v="0"/>
    <x v="9"/>
    <x v="19"/>
    <s v="SE3_EL"/>
    <x v="1"/>
    <x v="0"/>
    <s v="GBPR_MUNIWASTE_24"/>
    <x v="0"/>
    <x v="12"/>
    <n v="46.222048776481302"/>
    <n v="16871.047803415699"/>
    <n v="60735.7720922964"/>
  </r>
  <r>
    <x v="0"/>
    <x v="0"/>
    <x v="0"/>
    <x v="9"/>
    <x v="19"/>
    <s v="SE3_EL"/>
    <x v="1"/>
    <x v="0"/>
    <s v="GBPR_MUNIWASTE_24"/>
    <x v="0"/>
    <x v="13"/>
    <n v="46.222048776481302"/>
    <n v="16871.047803415699"/>
    <n v="60735.7720922964"/>
  </r>
  <r>
    <x v="0"/>
    <x v="0"/>
    <x v="0"/>
    <x v="9"/>
    <x v="19"/>
    <s v="SE3_EL"/>
    <x v="1"/>
    <x v="0"/>
    <s v="GBPR_MUNIWASTE_24"/>
    <x v="0"/>
    <x v="14"/>
    <n v="46.222048776481302"/>
    <n v="16871.047803415699"/>
    <n v="60735.7720922964"/>
  </r>
  <r>
    <x v="0"/>
    <x v="0"/>
    <x v="0"/>
    <x v="9"/>
    <x v="19"/>
    <s v="SE3_EL"/>
    <x v="1"/>
    <x v="0"/>
    <s v="GBPR_MUNIWASTE_24"/>
    <x v="0"/>
    <x v="15"/>
    <n v="46.222048776481302"/>
    <n v="16871.047803415699"/>
    <n v="60735.7720922964"/>
  </r>
  <r>
    <x v="0"/>
    <x v="0"/>
    <x v="0"/>
    <x v="9"/>
    <x v="19"/>
    <s v="SE3_EL"/>
    <x v="1"/>
    <x v="0"/>
    <s v="GBPR_MUNIWASTE_24"/>
    <x v="0"/>
    <x v="16"/>
    <n v="46.222048776481302"/>
    <n v="16871.047803415699"/>
    <n v="60735.7720922964"/>
  </r>
  <r>
    <x v="0"/>
    <x v="0"/>
    <x v="0"/>
    <x v="9"/>
    <x v="19"/>
    <s v="SE3_EL"/>
    <x v="1"/>
    <x v="0"/>
    <s v="GBPR_MUNIWASTE_24"/>
    <x v="0"/>
    <x v="17"/>
    <n v="46.222048776481302"/>
    <n v="16871.047803415699"/>
    <n v="60735.7720922964"/>
  </r>
  <r>
    <x v="0"/>
    <x v="0"/>
    <x v="0"/>
    <x v="9"/>
    <x v="19"/>
    <s v="SE3_EL"/>
    <x v="1"/>
    <x v="0"/>
    <s v="GBPR_MUNIWASTE_24"/>
    <x v="0"/>
    <x v="18"/>
    <n v="46.222048776481302"/>
    <n v="16871.047803415699"/>
    <n v="60735.7720922964"/>
  </r>
  <r>
    <x v="0"/>
    <x v="0"/>
    <x v="0"/>
    <x v="9"/>
    <x v="19"/>
    <s v="SE3_EL"/>
    <x v="1"/>
    <x v="0"/>
    <s v="GBPR_MUNIWASTE_24"/>
    <x v="0"/>
    <x v="19"/>
    <n v="46.222048776481302"/>
    <n v="16871.047803415699"/>
    <n v="60735.7720922964"/>
  </r>
  <r>
    <x v="0"/>
    <x v="0"/>
    <x v="0"/>
    <x v="9"/>
    <x v="19"/>
    <s v="SE3_EL"/>
    <x v="1"/>
    <x v="0"/>
    <s v="GBPR_MUNIWASTE_24"/>
    <x v="0"/>
    <x v="20"/>
    <n v="46.222048776481302"/>
    <n v="16871.047803415699"/>
    <n v="60735.7720922964"/>
  </r>
  <r>
    <x v="0"/>
    <x v="0"/>
    <x v="0"/>
    <x v="9"/>
    <x v="19"/>
    <s v="SE3_EL"/>
    <x v="1"/>
    <x v="0"/>
    <s v="GBPR_MUNIWASTE_24"/>
    <x v="0"/>
    <x v="21"/>
    <n v="46.222048776481302"/>
    <n v="16871.047803415699"/>
    <n v="60735.7720922964"/>
  </r>
  <r>
    <x v="0"/>
    <x v="0"/>
    <x v="0"/>
    <x v="9"/>
    <x v="19"/>
    <s v="SE3_EL"/>
    <x v="1"/>
    <x v="0"/>
    <s v="GBPR_MUNIWASTE_24"/>
    <x v="0"/>
    <x v="22"/>
    <n v="46.222048776481302"/>
    <n v="16871.047803415699"/>
    <n v="60735.7720922964"/>
  </r>
  <r>
    <x v="0"/>
    <x v="0"/>
    <x v="0"/>
    <x v="9"/>
    <x v="19"/>
    <s v="SE3_EL"/>
    <x v="1"/>
    <x v="0"/>
    <s v="GBPR_MUNIWASTE_24"/>
    <x v="0"/>
    <x v="23"/>
    <n v="46.222048776481302"/>
    <n v="16871.047803415699"/>
    <n v="60735.7720922964"/>
  </r>
  <r>
    <x v="0"/>
    <x v="0"/>
    <x v="0"/>
    <x v="9"/>
    <x v="19"/>
    <s v="SE3_EL"/>
    <x v="1"/>
    <x v="0"/>
    <s v="GBPR_MUNIWASTE_LINK"/>
    <x v="0"/>
    <x v="0"/>
    <n v="28.242772365308799"/>
    <n v="10308.6119133377"/>
    <n v="37111.002888015697"/>
  </r>
  <r>
    <x v="0"/>
    <x v="0"/>
    <x v="0"/>
    <x v="9"/>
    <x v="19"/>
    <s v="SE3_EL"/>
    <x v="1"/>
    <x v="0"/>
    <s v="GBPR_MUNIWASTE_LINK"/>
    <x v="0"/>
    <x v="1"/>
    <n v="28.242772365308799"/>
    <n v="10308.6119133377"/>
    <n v="37111.002888015697"/>
  </r>
  <r>
    <x v="0"/>
    <x v="0"/>
    <x v="0"/>
    <x v="9"/>
    <x v="19"/>
    <s v="SE3_EL"/>
    <x v="1"/>
    <x v="0"/>
    <s v="GBPR_MUNIWASTE_LINK"/>
    <x v="0"/>
    <x v="2"/>
    <n v="28.242772365308799"/>
    <n v="10308.6119133377"/>
    <n v="37111.002888015697"/>
  </r>
  <r>
    <x v="0"/>
    <x v="0"/>
    <x v="0"/>
    <x v="9"/>
    <x v="19"/>
    <s v="SE3_EL"/>
    <x v="1"/>
    <x v="0"/>
    <s v="GBPR_MUNIWASTE_LINK"/>
    <x v="0"/>
    <x v="3"/>
    <n v="28.242772365308799"/>
    <n v="10308.6119133377"/>
    <n v="37111.002888015697"/>
  </r>
  <r>
    <x v="0"/>
    <x v="0"/>
    <x v="0"/>
    <x v="9"/>
    <x v="19"/>
    <s v="SE3_EL"/>
    <x v="1"/>
    <x v="0"/>
    <s v="GBPR_MUNIWASTE_LINK"/>
    <x v="0"/>
    <x v="4"/>
    <n v="28.242772365308799"/>
    <n v="10308.6119133377"/>
    <n v="37111.002888015697"/>
  </r>
  <r>
    <x v="0"/>
    <x v="0"/>
    <x v="0"/>
    <x v="9"/>
    <x v="19"/>
    <s v="SE3_EL"/>
    <x v="1"/>
    <x v="0"/>
    <s v="GBPR_MUNIWASTE_LINK"/>
    <x v="0"/>
    <x v="5"/>
    <n v="28.242772365308799"/>
    <n v="10308.6119133377"/>
    <n v="37111.002888015697"/>
  </r>
  <r>
    <x v="0"/>
    <x v="0"/>
    <x v="0"/>
    <x v="9"/>
    <x v="19"/>
    <s v="SE3_EL"/>
    <x v="1"/>
    <x v="0"/>
    <s v="GBPR_MUNIWASTE_LINK"/>
    <x v="0"/>
    <x v="6"/>
    <n v="28.242772365308799"/>
    <n v="10308.6119133377"/>
    <n v="37111.002888015697"/>
  </r>
  <r>
    <x v="0"/>
    <x v="0"/>
    <x v="0"/>
    <x v="9"/>
    <x v="19"/>
    <s v="SE3_EL"/>
    <x v="1"/>
    <x v="0"/>
    <s v="GBPR_MUNIWASTE_LINK"/>
    <x v="0"/>
    <x v="7"/>
    <n v="28.242772365308799"/>
    <n v="10308.6119133377"/>
    <n v="37111.002888015697"/>
  </r>
  <r>
    <x v="0"/>
    <x v="0"/>
    <x v="0"/>
    <x v="9"/>
    <x v="19"/>
    <s v="SE3_EL"/>
    <x v="1"/>
    <x v="0"/>
    <s v="GBPR_MUNIWASTE_LINK"/>
    <x v="0"/>
    <x v="8"/>
    <n v="28.242772365308799"/>
    <n v="10308.6119133377"/>
    <n v="37111.002888015697"/>
  </r>
  <r>
    <x v="0"/>
    <x v="0"/>
    <x v="0"/>
    <x v="9"/>
    <x v="19"/>
    <s v="SE3_EL"/>
    <x v="1"/>
    <x v="0"/>
    <s v="GBPR_MUNIWASTE_LINK"/>
    <x v="0"/>
    <x v="9"/>
    <n v="28.242772365308799"/>
    <n v="10308.6119133377"/>
    <n v="37111.002888015697"/>
  </r>
  <r>
    <x v="0"/>
    <x v="0"/>
    <x v="0"/>
    <x v="9"/>
    <x v="19"/>
    <s v="SE3_EL"/>
    <x v="1"/>
    <x v="0"/>
    <s v="GBPR_MUNIWASTE_LINK"/>
    <x v="0"/>
    <x v="10"/>
    <n v="28.242772365308799"/>
    <n v="10308.6119133377"/>
    <n v="37111.002888015697"/>
  </r>
  <r>
    <x v="0"/>
    <x v="0"/>
    <x v="0"/>
    <x v="9"/>
    <x v="19"/>
    <s v="SE3_EL"/>
    <x v="1"/>
    <x v="0"/>
    <s v="GBPR_MUNIWASTE_LINK"/>
    <x v="0"/>
    <x v="11"/>
    <n v="28.242772365308799"/>
    <n v="10308.6119133377"/>
    <n v="37111.002888015697"/>
  </r>
  <r>
    <x v="0"/>
    <x v="0"/>
    <x v="0"/>
    <x v="9"/>
    <x v="19"/>
    <s v="SE3_EL"/>
    <x v="1"/>
    <x v="0"/>
    <s v="GBPR_MUNIWASTE_LINK"/>
    <x v="0"/>
    <x v="12"/>
    <n v="28.242772365308799"/>
    <n v="10308.6119133377"/>
    <n v="37111.002888015697"/>
  </r>
  <r>
    <x v="0"/>
    <x v="0"/>
    <x v="0"/>
    <x v="9"/>
    <x v="19"/>
    <s v="SE3_EL"/>
    <x v="1"/>
    <x v="0"/>
    <s v="GBPR_MUNIWASTE_LINK"/>
    <x v="0"/>
    <x v="13"/>
    <n v="28.242772365308799"/>
    <n v="10308.6119133377"/>
    <n v="37111.002888015697"/>
  </r>
  <r>
    <x v="0"/>
    <x v="0"/>
    <x v="0"/>
    <x v="9"/>
    <x v="19"/>
    <s v="SE3_EL"/>
    <x v="1"/>
    <x v="0"/>
    <s v="GBPR_MUNIWASTE_LINK"/>
    <x v="0"/>
    <x v="14"/>
    <n v="28.242772365308799"/>
    <n v="10308.6119133377"/>
    <n v="37111.002888015697"/>
  </r>
  <r>
    <x v="0"/>
    <x v="0"/>
    <x v="0"/>
    <x v="9"/>
    <x v="19"/>
    <s v="SE3_EL"/>
    <x v="1"/>
    <x v="0"/>
    <s v="GBPR_MUNIWASTE_LINK"/>
    <x v="0"/>
    <x v="15"/>
    <n v="28.242772365308799"/>
    <n v="10308.6119133377"/>
    <n v="37111.002888015697"/>
  </r>
  <r>
    <x v="0"/>
    <x v="0"/>
    <x v="0"/>
    <x v="9"/>
    <x v="19"/>
    <s v="SE3_EL"/>
    <x v="1"/>
    <x v="0"/>
    <s v="GBPR_MUNIWASTE_LINK"/>
    <x v="0"/>
    <x v="16"/>
    <n v="28.242772365308799"/>
    <n v="10308.6119133377"/>
    <n v="37111.002888015697"/>
  </r>
  <r>
    <x v="0"/>
    <x v="0"/>
    <x v="0"/>
    <x v="9"/>
    <x v="19"/>
    <s v="SE3_EL"/>
    <x v="1"/>
    <x v="0"/>
    <s v="GBPR_MUNIWASTE_LINK"/>
    <x v="0"/>
    <x v="17"/>
    <n v="28.242772365308799"/>
    <n v="10308.6119133377"/>
    <n v="37111.002888015697"/>
  </r>
  <r>
    <x v="0"/>
    <x v="0"/>
    <x v="0"/>
    <x v="9"/>
    <x v="19"/>
    <s v="SE3_EL"/>
    <x v="1"/>
    <x v="0"/>
    <s v="GBPR_MUNIWASTE_LINK"/>
    <x v="0"/>
    <x v="18"/>
    <n v="28.242772365308799"/>
    <n v="10308.6119133377"/>
    <n v="37111.002888015697"/>
  </r>
  <r>
    <x v="0"/>
    <x v="0"/>
    <x v="0"/>
    <x v="9"/>
    <x v="19"/>
    <s v="SE3_EL"/>
    <x v="1"/>
    <x v="0"/>
    <s v="GBPR_MUNIWASTE_LINK"/>
    <x v="0"/>
    <x v="19"/>
    <n v="28.242772365308799"/>
    <n v="10308.6119133377"/>
    <n v="37111.002888015697"/>
  </r>
  <r>
    <x v="0"/>
    <x v="0"/>
    <x v="0"/>
    <x v="9"/>
    <x v="19"/>
    <s v="SE3_EL"/>
    <x v="1"/>
    <x v="0"/>
    <s v="GBPR_MUNIWASTE_LINK"/>
    <x v="0"/>
    <x v="20"/>
    <n v="28.242772365308799"/>
    <n v="10308.6119133377"/>
    <n v="37111.002888015697"/>
  </r>
  <r>
    <x v="0"/>
    <x v="0"/>
    <x v="0"/>
    <x v="9"/>
    <x v="19"/>
    <s v="SE3_EL"/>
    <x v="1"/>
    <x v="0"/>
    <s v="GBPR_MUNIWASTE_LINK"/>
    <x v="0"/>
    <x v="21"/>
    <n v="28.242772365308799"/>
    <n v="10308.6119133377"/>
    <n v="37111.002888015697"/>
  </r>
  <r>
    <x v="0"/>
    <x v="0"/>
    <x v="0"/>
    <x v="9"/>
    <x v="19"/>
    <s v="SE3_EL"/>
    <x v="1"/>
    <x v="0"/>
    <s v="GBPR_MUNIWASTE_LINK"/>
    <x v="0"/>
    <x v="22"/>
    <n v="28.242772365308799"/>
    <n v="10308.6119133377"/>
    <n v="37111.002888015697"/>
  </r>
  <r>
    <x v="0"/>
    <x v="0"/>
    <x v="0"/>
    <x v="9"/>
    <x v="19"/>
    <s v="SE3_EL"/>
    <x v="1"/>
    <x v="0"/>
    <s v="GBPR_MUNIWASTE_LINK"/>
    <x v="0"/>
    <x v="23"/>
    <n v="28.242772365308799"/>
    <n v="10308.6119133377"/>
    <n v="37111.002888015697"/>
  </r>
  <r>
    <x v="0"/>
    <x v="0"/>
    <x v="0"/>
    <x v="9"/>
    <x v="19"/>
    <s v="SE3_EL"/>
    <x v="16"/>
    <x v="0"/>
    <s v="GBPR_RECYCLEDWOOD_SE3EL"/>
    <x v="0"/>
    <x v="0"/>
    <n v="63.7184429500698"/>
    <n v="23257.2316767755"/>
    <n v="83726.034036391793"/>
  </r>
  <r>
    <x v="0"/>
    <x v="0"/>
    <x v="0"/>
    <x v="9"/>
    <x v="19"/>
    <s v="SE3_EL"/>
    <x v="16"/>
    <x v="0"/>
    <s v="GBPR_RECYCLEDWOOD_SE3EL"/>
    <x v="0"/>
    <x v="1"/>
    <n v="63.7184429500698"/>
    <n v="23257.2316767755"/>
    <n v="83726.034036391793"/>
  </r>
  <r>
    <x v="0"/>
    <x v="0"/>
    <x v="0"/>
    <x v="9"/>
    <x v="19"/>
    <s v="SE3_EL"/>
    <x v="16"/>
    <x v="0"/>
    <s v="GBPR_RECYCLEDWOOD_SE3EL"/>
    <x v="0"/>
    <x v="2"/>
    <n v="63.7184429500698"/>
    <n v="23257.2316767755"/>
    <n v="83726.034036391793"/>
  </r>
  <r>
    <x v="0"/>
    <x v="0"/>
    <x v="0"/>
    <x v="9"/>
    <x v="19"/>
    <s v="SE3_EL"/>
    <x v="16"/>
    <x v="0"/>
    <s v="GBPR_RECYCLEDWOOD_SE3EL"/>
    <x v="0"/>
    <x v="3"/>
    <n v="63.7184429500698"/>
    <n v="23257.2316767755"/>
    <n v="83726.034036391793"/>
  </r>
  <r>
    <x v="0"/>
    <x v="0"/>
    <x v="0"/>
    <x v="9"/>
    <x v="19"/>
    <s v="SE3_EL"/>
    <x v="16"/>
    <x v="0"/>
    <s v="GBPR_RECYCLEDWOOD_SE3EL"/>
    <x v="0"/>
    <x v="4"/>
    <n v="63.7184429500698"/>
    <n v="23257.2316767755"/>
    <n v="83726.034036391793"/>
  </r>
  <r>
    <x v="0"/>
    <x v="0"/>
    <x v="0"/>
    <x v="9"/>
    <x v="19"/>
    <s v="SE3_EL"/>
    <x v="16"/>
    <x v="0"/>
    <s v="GBPR_RECYCLEDWOOD_SE3EL"/>
    <x v="0"/>
    <x v="5"/>
    <n v="63.7184429500698"/>
    <n v="23257.2316767755"/>
    <n v="83726.034036391793"/>
  </r>
  <r>
    <x v="0"/>
    <x v="0"/>
    <x v="0"/>
    <x v="9"/>
    <x v="19"/>
    <s v="SE3_EL"/>
    <x v="16"/>
    <x v="0"/>
    <s v="GBPR_RECYCLEDWOOD_SE3EL"/>
    <x v="0"/>
    <x v="6"/>
    <n v="63.7184429500698"/>
    <n v="23257.2316767755"/>
    <n v="83726.034036391793"/>
  </r>
  <r>
    <x v="0"/>
    <x v="0"/>
    <x v="0"/>
    <x v="9"/>
    <x v="19"/>
    <s v="SE3_EL"/>
    <x v="16"/>
    <x v="0"/>
    <s v="GBPR_RECYCLEDWOOD_SE3EL"/>
    <x v="0"/>
    <x v="7"/>
    <n v="63.7184429500698"/>
    <n v="23257.2316767755"/>
    <n v="83726.034036391793"/>
  </r>
  <r>
    <x v="0"/>
    <x v="0"/>
    <x v="0"/>
    <x v="9"/>
    <x v="19"/>
    <s v="SE3_EL"/>
    <x v="16"/>
    <x v="0"/>
    <s v="GBPR_RECYCLEDWOOD_SE3EL"/>
    <x v="0"/>
    <x v="8"/>
    <n v="63.7184429500698"/>
    <n v="23257.2316767755"/>
    <n v="83726.034036391793"/>
  </r>
  <r>
    <x v="0"/>
    <x v="0"/>
    <x v="0"/>
    <x v="9"/>
    <x v="19"/>
    <s v="SE3_EL"/>
    <x v="16"/>
    <x v="0"/>
    <s v="GBPR_RECYCLEDWOOD_SE3EL"/>
    <x v="0"/>
    <x v="9"/>
    <n v="63.7184429500698"/>
    <n v="23257.2316767755"/>
    <n v="83726.034036391793"/>
  </r>
  <r>
    <x v="0"/>
    <x v="0"/>
    <x v="0"/>
    <x v="9"/>
    <x v="19"/>
    <s v="SE3_EL"/>
    <x v="16"/>
    <x v="0"/>
    <s v="GBPR_RECYCLEDWOOD_SE3EL"/>
    <x v="0"/>
    <x v="10"/>
    <n v="63.7184429500698"/>
    <n v="23257.2316767755"/>
    <n v="83726.034036391793"/>
  </r>
  <r>
    <x v="0"/>
    <x v="0"/>
    <x v="0"/>
    <x v="9"/>
    <x v="19"/>
    <s v="SE3_EL"/>
    <x v="16"/>
    <x v="0"/>
    <s v="GBPR_RECYCLEDWOOD_SE3EL"/>
    <x v="0"/>
    <x v="11"/>
    <n v="63.7184429500698"/>
    <n v="23257.2316767755"/>
    <n v="83726.034036391793"/>
  </r>
  <r>
    <x v="0"/>
    <x v="0"/>
    <x v="0"/>
    <x v="9"/>
    <x v="19"/>
    <s v="SE3_EL"/>
    <x v="16"/>
    <x v="0"/>
    <s v="GBPR_RECYCLEDWOOD_SE3EL"/>
    <x v="0"/>
    <x v="12"/>
    <n v="63.7184429500698"/>
    <n v="23257.2316767755"/>
    <n v="83726.034036391793"/>
  </r>
  <r>
    <x v="0"/>
    <x v="0"/>
    <x v="0"/>
    <x v="9"/>
    <x v="19"/>
    <s v="SE3_EL"/>
    <x v="16"/>
    <x v="0"/>
    <s v="GBPR_RECYCLEDWOOD_SE3EL"/>
    <x v="0"/>
    <x v="13"/>
    <n v="63.7184429500698"/>
    <n v="23257.2316767755"/>
    <n v="83726.034036391793"/>
  </r>
  <r>
    <x v="0"/>
    <x v="0"/>
    <x v="0"/>
    <x v="9"/>
    <x v="19"/>
    <s v="SE3_EL"/>
    <x v="16"/>
    <x v="0"/>
    <s v="GBPR_RECYCLEDWOOD_SE3EL"/>
    <x v="0"/>
    <x v="14"/>
    <n v="63.7184429500698"/>
    <n v="23257.2316767755"/>
    <n v="83726.034036391793"/>
  </r>
  <r>
    <x v="0"/>
    <x v="0"/>
    <x v="0"/>
    <x v="9"/>
    <x v="19"/>
    <s v="SE3_EL"/>
    <x v="16"/>
    <x v="0"/>
    <s v="GBPR_RECYCLEDWOOD_SE3EL"/>
    <x v="0"/>
    <x v="15"/>
    <n v="63.7184429500698"/>
    <n v="23257.2316767755"/>
    <n v="83726.034036391793"/>
  </r>
  <r>
    <x v="0"/>
    <x v="0"/>
    <x v="0"/>
    <x v="9"/>
    <x v="19"/>
    <s v="SE3_EL"/>
    <x v="16"/>
    <x v="0"/>
    <s v="GBPR_RECYCLEDWOOD_SE3EL"/>
    <x v="0"/>
    <x v="16"/>
    <n v="63.7184429500698"/>
    <n v="23257.2316767755"/>
    <n v="83726.034036391793"/>
  </r>
  <r>
    <x v="0"/>
    <x v="0"/>
    <x v="0"/>
    <x v="9"/>
    <x v="19"/>
    <s v="SE3_EL"/>
    <x v="16"/>
    <x v="0"/>
    <s v="GBPR_RECYCLEDWOOD_SE3EL"/>
    <x v="0"/>
    <x v="17"/>
    <n v="63.7184429500698"/>
    <n v="23257.2316767755"/>
    <n v="83726.034036391793"/>
  </r>
  <r>
    <x v="0"/>
    <x v="0"/>
    <x v="0"/>
    <x v="9"/>
    <x v="19"/>
    <s v="SE3_EL"/>
    <x v="16"/>
    <x v="0"/>
    <s v="GBPR_RECYCLEDWOOD_SE3EL"/>
    <x v="0"/>
    <x v="18"/>
    <n v="63.7184429500698"/>
    <n v="23257.2316767755"/>
    <n v="83726.034036391793"/>
  </r>
  <r>
    <x v="0"/>
    <x v="0"/>
    <x v="0"/>
    <x v="9"/>
    <x v="19"/>
    <s v="SE3_EL"/>
    <x v="16"/>
    <x v="0"/>
    <s v="GBPR_RECYCLEDWOOD_SE3EL"/>
    <x v="0"/>
    <x v="19"/>
    <n v="63.7184429500698"/>
    <n v="23257.2316767755"/>
    <n v="83726.034036391793"/>
  </r>
  <r>
    <x v="0"/>
    <x v="0"/>
    <x v="0"/>
    <x v="9"/>
    <x v="19"/>
    <s v="SE3_EL"/>
    <x v="16"/>
    <x v="0"/>
    <s v="GBPR_RECYCLEDWOOD_SE3EL"/>
    <x v="0"/>
    <x v="20"/>
    <n v="63.7184429500698"/>
    <n v="23257.2316767755"/>
    <n v="83726.034036391793"/>
  </r>
  <r>
    <x v="0"/>
    <x v="0"/>
    <x v="0"/>
    <x v="9"/>
    <x v="19"/>
    <s v="SE3_EL"/>
    <x v="16"/>
    <x v="0"/>
    <s v="GBPR_RECYCLEDWOOD_SE3EL"/>
    <x v="0"/>
    <x v="21"/>
    <n v="63.7184429500698"/>
    <n v="23257.2316767755"/>
    <n v="83726.034036391793"/>
  </r>
  <r>
    <x v="0"/>
    <x v="0"/>
    <x v="0"/>
    <x v="9"/>
    <x v="19"/>
    <s v="SE3_EL"/>
    <x v="16"/>
    <x v="0"/>
    <s v="GBPR_RECYCLEDWOOD_SE3EL"/>
    <x v="0"/>
    <x v="22"/>
    <n v="63.7184429500698"/>
    <n v="23257.2316767755"/>
    <n v="83726.034036391793"/>
  </r>
  <r>
    <x v="0"/>
    <x v="0"/>
    <x v="0"/>
    <x v="9"/>
    <x v="19"/>
    <s v="SE3_EL"/>
    <x v="16"/>
    <x v="0"/>
    <s v="GBPR_RECYCLEDWOOD_SE3EL"/>
    <x v="0"/>
    <x v="23"/>
    <n v="63.7184429500698"/>
    <n v="23257.2316767755"/>
    <n v="83726.034036391793"/>
  </r>
  <r>
    <x v="0"/>
    <x v="0"/>
    <x v="0"/>
    <x v="9"/>
    <x v="19"/>
    <s v="SE3_EL"/>
    <x v="4"/>
    <x v="0"/>
    <s v="GBPR_WOODCHIPS_25"/>
    <x v="0"/>
    <x v="0"/>
    <n v="15.2827979598577"/>
    <n v="5578.2212553480704"/>
    <n v="20081.5965192531"/>
  </r>
  <r>
    <x v="0"/>
    <x v="0"/>
    <x v="0"/>
    <x v="9"/>
    <x v="19"/>
    <s v="SE3_EL"/>
    <x v="4"/>
    <x v="0"/>
    <s v="GBPR_WOODCHIPS_25"/>
    <x v="0"/>
    <x v="1"/>
    <n v="15.2827979598577"/>
    <n v="5578.2212553480704"/>
    <n v="20081.5965192531"/>
  </r>
  <r>
    <x v="0"/>
    <x v="0"/>
    <x v="0"/>
    <x v="9"/>
    <x v="19"/>
    <s v="SE3_EL"/>
    <x v="4"/>
    <x v="0"/>
    <s v="GBPR_WOODCHIPS_25"/>
    <x v="0"/>
    <x v="2"/>
    <n v="15.2827979598577"/>
    <n v="5578.2212553480704"/>
    <n v="20081.5965192531"/>
  </r>
  <r>
    <x v="0"/>
    <x v="0"/>
    <x v="0"/>
    <x v="9"/>
    <x v="19"/>
    <s v="SE3_EL"/>
    <x v="4"/>
    <x v="0"/>
    <s v="GBPR_WOODCHIPS_25"/>
    <x v="0"/>
    <x v="3"/>
    <n v="15.2827979598577"/>
    <n v="5578.2212553480704"/>
    <n v="20081.5965192531"/>
  </r>
  <r>
    <x v="0"/>
    <x v="0"/>
    <x v="0"/>
    <x v="9"/>
    <x v="19"/>
    <s v="SE3_EL"/>
    <x v="4"/>
    <x v="0"/>
    <s v="GBPR_WOODCHIPS_25"/>
    <x v="0"/>
    <x v="4"/>
    <n v="15.2827979598577"/>
    <n v="5578.2212553480704"/>
    <n v="20081.5965192531"/>
  </r>
  <r>
    <x v="0"/>
    <x v="0"/>
    <x v="0"/>
    <x v="9"/>
    <x v="19"/>
    <s v="SE3_EL"/>
    <x v="4"/>
    <x v="0"/>
    <s v="GBPR_WOODCHIPS_25"/>
    <x v="0"/>
    <x v="5"/>
    <n v="15.2827979598577"/>
    <n v="5578.2212553480704"/>
    <n v="20081.5965192531"/>
  </r>
  <r>
    <x v="0"/>
    <x v="0"/>
    <x v="0"/>
    <x v="9"/>
    <x v="19"/>
    <s v="SE3_EL"/>
    <x v="4"/>
    <x v="0"/>
    <s v="GBPR_WOODCHIPS_25"/>
    <x v="0"/>
    <x v="6"/>
    <n v="15.2827979598577"/>
    <n v="5578.2212553480704"/>
    <n v="20081.5965192531"/>
  </r>
  <r>
    <x v="0"/>
    <x v="0"/>
    <x v="0"/>
    <x v="9"/>
    <x v="19"/>
    <s v="SE3_EL"/>
    <x v="4"/>
    <x v="0"/>
    <s v="GBPR_WOODCHIPS_25"/>
    <x v="0"/>
    <x v="7"/>
    <n v="15.2827979598577"/>
    <n v="5578.2212553480704"/>
    <n v="20081.5965192531"/>
  </r>
  <r>
    <x v="0"/>
    <x v="0"/>
    <x v="0"/>
    <x v="9"/>
    <x v="19"/>
    <s v="SE3_EL"/>
    <x v="4"/>
    <x v="0"/>
    <s v="GBPR_WOODCHIPS_25"/>
    <x v="0"/>
    <x v="8"/>
    <n v="15.2827979598577"/>
    <n v="5578.2212553480704"/>
    <n v="20081.5965192531"/>
  </r>
  <r>
    <x v="0"/>
    <x v="0"/>
    <x v="0"/>
    <x v="9"/>
    <x v="19"/>
    <s v="SE3_EL"/>
    <x v="4"/>
    <x v="0"/>
    <s v="GBPR_WOODCHIPS_25"/>
    <x v="0"/>
    <x v="9"/>
    <n v="15.2827979598577"/>
    <n v="5578.2212553480704"/>
    <n v="20081.5965192531"/>
  </r>
  <r>
    <x v="0"/>
    <x v="0"/>
    <x v="0"/>
    <x v="9"/>
    <x v="19"/>
    <s v="SE3_EL"/>
    <x v="4"/>
    <x v="0"/>
    <s v="GBPR_WOODCHIPS_25"/>
    <x v="0"/>
    <x v="10"/>
    <n v="15.2827979598577"/>
    <n v="5578.2212553480704"/>
    <n v="20081.5965192531"/>
  </r>
  <r>
    <x v="0"/>
    <x v="0"/>
    <x v="0"/>
    <x v="9"/>
    <x v="19"/>
    <s v="SE3_EL"/>
    <x v="4"/>
    <x v="0"/>
    <s v="GBPR_WOODCHIPS_25"/>
    <x v="0"/>
    <x v="11"/>
    <n v="15.2827979598577"/>
    <n v="5578.2212553480704"/>
    <n v="20081.5965192531"/>
  </r>
  <r>
    <x v="0"/>
    <x v="0"/>
    <x v="0"/>
    <x v="9"/>
    <x v="19"/>
    <s v="SE3_EL"/>
    <x v="4"/>
    <x v="0"/>
    <s v="GBPR_WOODCHIPS_25"/>
    <x v="0"/>
    <x v="12"/>
    <n v="15.2827979598577"/>
    <n v="5578.2212553480704"/>
    <n v="20081.5965192531"/>
  </r>
  <r>
    <x v="0"/>
    <x v="0"/>
    <x v="0"/>
    <x v="9"/>
    <x v="19"/>
    <s v="SE3_EL"/>
    <x v="4"/>
    <x v="0"/>
    <s v="GBPR_WOODCHIPS_25"/>
    <x v="0"/>
    <x v="13"/>
    <n v="15.2827979598577"/>
    <n v="5578.2212553480704"/>
    <n v="20081.5965192531"/>
  </r>
  <r>
    <x v="0"/>
    <x v="0"/>
    <x v="0"/>
    <x v="9"/>
    <x v="19"/>
    <s v="SE3_EL"/>
    <x v="4"/>
    <x v="0"/>
    <s v="GBPR_WOODCHIPS_25"/>
    <x v="0"/>
    <x v="14"/>
    <n v="15.2827979598577"/>
    <n v="5578.2212553480704"/>
    <n v="20081.5965192531"/>
  </r>
  <r>
    <x v="0"/>
    <x v="0"/>
    <x v="0"/>
    <x v="9"/>
    <x v="19"/>
    <s v="SE3_EL"/>
    <x v="4"/>
    <x v="0"/>
    <s v="GBPR_WOODCHIPS_25"/>
    <x v="0"/>
    <x v="15"/>
    <n v="15.2827979598577"/>
    <n v="5578.2212553480704"/>
    <n v="20081.5965192531"/>
  </r>
  <r>
    <x v="0"/>
    <x v="0"/>
    <x v="0"/>
    <x v="9"/>
    <x v="19"/>
    <s v="SE3_EL"/>
    <x v="4"/>
    <x v="0"/>
    <s v="GBPR_WOODCHIPS_25"/>
    <x v="0"/>
    <x v="16"/>
    <n v="15.2827979598577"/>
    <n v="5578.2212553480704"/>
    <n v="20081.5965192531"/>
  </r>
  <r>
    <x v="0"/>
    <x v="0"/>
    <x v="0"/>
    <x v="9"/>
    <x v="19"/>
    <s v="SE3_EL"/>
    <x v="4"/>
    <x v="0"/>
    <s v="GBPR_WOODCHIPS_25"/>
    <x v="0"/>
    <x v="17"/>
    <n v="15.2827979598577"/>
    <n v="5578.2212553480704"/>
    <n v="20081.5965192531"/>
  </r>
  <r>
    <x v="0"/>
    <x v="0"/>
    <x v="0"/>
    <x v="9"/>
    <x v="19"/>
    <s v="SE3_EL"/>
    <x v="4"/>
    <x v="0"/>
    <s v="GBPR_WOODCHIPS_25"/>
    <x v="0"/>
    <x v="18"/>
    <n v="15.2827979598577"/>
    <n v="5578.2212553480704"/>
    <n v="20081.5965192531"/>
  </r>
  <r>
    <x v="0"/>
    <x v="0"/>
    <x v="0"/>
    <x v="9"/>
    <x v="19"/>
    <s v="SE3_EL"/>
    <x v="4"/>
    <x v="0"/>
    <s v="GBPR_WOODCHIPS_25"/>
    <x v="0"/>
    <x v="19"/>
    <n v="15.2827979598577"/>
    <n v="5578.2212553480704"/>
    <n v="20081.5965192531"/>
  </r>
  <r>
    <x v="0"/>
    <x v="0"/>
    <x v="0"/>
    <x v="9"/>
    <x v="19"/>
    <s v="SE3_EL"/>
    <x v="4"/>
    <x v="0"/>
    <s v="GBPR_WOODCHIPS_25"/>
    <x v="0"/>
    <x v="20"/>
    <n v="15.2827979598577"/>
    <n v="5578.2212553480704"/>
    <n v="20081.5965192531"/>
  </r>
  <r>
    <x v="0"/>
    <x v="0"/>
    <x v="0"/>
    <x v="9"/>
    <x v="19"/>
    <s v="SE3_EL"/>
    <x v="4"/>
    <x v="0"/>
    <s v="GBPR_WOODCHIPS_25"/>
    <x v="0"/>
    <x v="21"/>
    <n v="15.2827979598577"/>
    <n v="5578.2212553480704"/>
    <n v="20081.5965192531"/>
  </r>
  <r>
    <x v="0"/>
    <x v="0"/>
    <x v="0"/>
    <x v="9"/>
    <x v="19"/>
    <s v="SE3_EL"/>
    <x v="4"/>
    <x v="0"/>
    <s v="GBPR_WOODCHIPS_25"/>
    <x v="0"/>
    <x v="22"/>
    <n v="15.2827979598577"/>
    <n v="5578.2212553480704"/>
    <n v="20081.5965192531"/>
  </r>
  <r>
    <x v="0"/>
    <x v="0"/>
    <x v="0"/>
    <x v="9"/>
    <x v="19"/>
    <s v="SE3_EL"/>
    <x v="4"/>
    <x v="0"/>
    <s v="GBPR_WOODCHIPS_25"/>
    <x v="0"/>
    <x v="23"/>
    <n v="15.2827979598577"/>
    <n v="5578.2212553480704"/>
    <n v="20081.5965192531"/>
  </r>
  <r>
    <x v="0"/>
    <x v="0"/>
    <x v="0"/>
    <x v="9"/>
    <x v="19"/>
    <s v="SE3_EL"/>
    <x v="11"/>
    <x v="0"/>
    <s v="GBPR_WOODWASTE_25"/>
    <x v="0"/>
    <x v="0"/>
    <n v="54.082549912434303"/>
    <n v="19740.130718038501"/>
    <n v="71064.470584938696"/>
  </r>
  <r>
    <x v="0"/>
    <x v="0"/>
    <x v="0"/>
    <x v="9"/>
    <x v="19"/>
    <s v="SE3_EL"/>
    <x v="11"/>
    <x v="0"/>
    <s v="GBPR_WOODWASTE_25"/>
    <x v="0"/>
    <x v="1"/>
    <n v="54.082549912434303"/>
    <n v="19740.130718038501"/>
    <n v="71064.470584938696"/>
  </r>
  <r>
    <x v="0"/>
    <x v="0"/>
    <x v="0"/>
    <x v="9"/>
    <x v="19"/>
    <s v="SE3_EL"/>
    <x v="11"/>
    <x v="0"/>
    <s v="GBPR_WOODWASTE_25"/>
    <x v="0"/>
    <x v="2"/>
    <n v="54.082549912434303"/>
    <n v="19740.130718038501"/>
    <n v="71064.470584938696"/>
  </r>
  <r>
    <x v="0"/>
    <x v="0"/>
    <x v="0"/>
    <x v="9"/>
    <x v="19"/>
    <s v="SE3_EL"/>
    <x v="11"/>
    <x v="0"/>
    <s v="GBPR_WOODWASTE_25"/>
    <x v="0"/>
    <x v="3"/>
    <n v="54.082549912434303"/>
    <n v="19740.130718038501"/>
    <n v="71064.470584938696"/>
  </r>
  <r>
    <x v="0"/>
    <x v="0"/>
    <x v="0"/>
    <x v="9"/>
    <x v="19"/>
    <s v="SE3_EL"/>
    <x v="11"/>
    <x v="0"/>
    <s v="GBPR_WOODWASTE_25"/>
    <x v="0"/>
    <x v="4"/>
    <n v="54.082549912434303"/>
    <n v="19740.130718038501"/>
    <n v="71064.470584938696"/>
  </r>
  <r>
    <x v="0"/>
    <x v="0"/>
    <x v="0"/>
    <x v="9"/>
    <x v="19"/>
    <s v="SE3_EL"/>
    <x v="11"/>
    <x v="0"/>
    <s v="GBPR_WOODWASTE_25"/>
    <x v="0"/>
    <x v="5"/>
    <n v="54.082549912434303"/>
    <n v="19740.130718038501"/>
    <n v="71064.470584938696"/>
  </r>
  <r>
    <x v="0"/>
    <x v="0"/>
    <x v="0"/>
    <x v="9"/>
    <x v="19"/>
    <s v="SE3_EL"/>
    <x v="11"/>
    <x v="0"/>
    <s v="GBPR_WOODWASTE_25"/>
    <x v="0"/>
    <x v="6"/>
    <n v="54.082549912434303"/>
    <n v="19740.130718038501"/>
    <n v="71064.470584938696"/>
  </r>
  <r>
    <x v="0"/>
    <x v="0"/>
    <x v="0"/>
    <x v="9"/>
    <x v="19"/>
    <s v="SE3_EL"/>
    <x v="11"/>
    <x v="0"/>
    <s v="GBPR_WOODWASTE_25"/>
    <x v="0"/>
    <x v="7"/>
    <n v="54.082549912434303"/>
    <n v="19740.130718038501"/>
    <n v="71064.470584938696"/>
  </r>
  <r>
    <x v="0"/>
    <x v="0"/>
    <x v="0"/>
    <x v="9"/>
    <x v="19"/>
    <s v="SE3_EL"/>
    <x v="11"/>
    <x v="0"/>
    <s v="GBPR_WOODWASTE_25"/>
    <x v="0"/>
    <x v="8"/>
    <n v="54.082549912434303"/>
    <n v="19740.130718038501"/>
    <n v="71064.470584938696"/>
  </r>
  <r>
    <x v="0"/>
    <x v="0"/>
    <x v="0"/>
    <x v="9"/>
    <x v="19"/>
    <s v="SE3_EL"/>
    <x v="11"/>
    <x v="0"/>
    <s v="GBPR_WOODWASTE_25"/>
    <x v="0"/>
    <x v="9"/>
    <n v="54.082549912434303"/>
    <n v="19740.130718038501"/>
    <n v="71064.470584938696"/>
  </r>
  <r>
    <x v="0"/>
    <x v="0"/>
    <x v="0"/>
    <x v="9"/>
    <x v="19"/>
    <s v="SE3_EL"/>
    <x v="11"/>
    <x v="0"/>
    <s v="GBPR_WOODWASTE_25"/>
    <x v="0"/>
    <x v="10"/>
    <n v="54.082549912434303"/>
    <n v="19740.130718038501"/>
    <n v="71064.470584938696"/>
  </r>
  <r>
    <x v="0"/>
    <x v="0"/>
    <x v="0"/>
    <x v="9"/>
    <x v="19"/>
    <s v="SE3_EL"/>
    <x v="11"/>
    <x v="0"/>
    <s v="GBPR_WOODWASTE_25"/>
    <x v="0"/>
    <x v="11"/>
    <n v="54.082549912434303"/>
    <n v="19740.130718038501"/>
    <n v="71064.470584938696"/>
  </r>
  <r>
    <x v="0"/>
    <x v="0"/>
    <x v="0"/>
    <x v="9"/>
    <x v="19"/>
    <s v="SE3_EL"/>
    <x v="11"/>
    <x v="0"/>
    <s v="GBPR_WOODWASTE_25"/>
    <x v="0"/>
    <x v="12"/>
    <n v="54.082549912434303"/>
    <n v="19740.130718038501"/>
    <n v="71064.470584938696"/>
  </r>
  <r>
    <x v="0"/>
    <x v="0"/>
    <x v="0"/>
    <x v="9"/>
    <x v="19"/>
    <s v="SE3_EL"/>
    <x v="11"/>
    <x v="0"/>
    <s v="GBPR_WOODWASTE_25"/>
    <x v="0"/>
    <x v="13"/>
    <n v="54.082549912434303"/>
    <n v="19740.130718038501"/>
    <n v="71064.470584938696"/>
  </r>
  <r>
    <x v="0"/>
    <x v="0"/>
    <x v="0"/>
    <x v="9"/>
    <x v="19"/>
    <s v="SE3_EL"/>
    <x v="11"/>
    <x v="0"/>
    <s v="GBPR_WOODWASTE_25"/>
    <x v="0"/>
    <x v="14"/>
    <n v="54.082549912434303"/>
    <n v="19740.130718038501"/>
    <n v="71064.470584938696"/>
  </r>
  <r>
    <x v="0"/>
    <x v="0"/>
    <x v="0"/>
    <x v="9"/>
    <x v="19"/>
    <s v="SE3_EL"/>
    <x v="11"/>
    <x v="0"/>
    <s v="GBPR_WOODWASTE_25"/>
    <x v="0"/>
    <x v="15"/>
    <n v="54.082549912434303"/>
    <n v="19740.130718038501"/>
    <n v="71064.470584938696"/>
  </r>
  <r>
    <x v="0"/>
    <x v="0"/>
    <x v="0"/>
    <x v="9"/>
    <x v="19"/>
    <s v="SE3_EL"/>
    <x v="11"/>
    <x v="0"/>
    <s v="GBPR_WOODWASTE_25"/>
    <x v="0"/>
    <x v="16"/>
    <n v="54.082549912434303"/>
    <n v="19740.130718038501"/>
    <n v="71064.470584938696"/>
  </r>
  <r>
    <x v="0"/>
    <x v="0"/>
    <x v="0"/>
    <x v="9"/>
    <x v="19"/>
    <s v="SE3_EL"/>
    <x v="11"/>
    <x v="0"/>
    <s v="GBPR_WOODWASTE_25"/>
    <x v="0"/>
    <x v="17"/>
    <n v="54.082549912434303"/>
    <n v="19740.130718038501"/>
    <n v="71064.470584938696"/>
  </r>
  <r>
    <x v="0"/>
    <x v="0"/>
    <x v="0"/>
    <x v="9"/>
    <x v="19"/>
    <s v="SE3_EL"/>
    <x v="11"/>
    <x v="0"/>
    <s v="GBPR_WOODWASTE_25"/>
    <x v="0"/>
    <x v="18"/>
    <n v="54.082549912434303"/>
    <n v="19740.130718038501"/>
    <n v="71064.470584938696"/>
  </r>
  <r>
    <x v="0"/>
    <x v="0"/>
    <x v="0"/>
    <x v="9"/>
    <x v="19"/>
    <s v="SE3_EL"/>
    <x v="11"/>
    <x v="0"/>
    <s v="GBPR_WOODWASTE_25"/>
    <x v="0"/>
    <x v="19"/>
    <n v="54.082549912434303"/>
    <n v="19740.130718038501"/>
    <n v="71064.470584938696"/>
  </r>
  <r>
    <x v="0"/>
    <x v="0"/>
    <x v="0"/>
    <x v="9"/>
    <x v="19"/>
    <s v="SE3_EL"/>
    <x v="11"/>
    <x v="0"/>
    <s v="GBPR_WOODWASTE_25"/>
    <x v="0"/>
    <x v="20"/>
    <n v="54.082549912434303"/>
    <n v="19740.130718038501"/>
    <n v="71064.470584938696"/>
  </r>
  <r>
    <x v="0"/>
    <x v="0"/>
    <x v="0"/>
    <x v="9"/>
    <x v="19"/>
    <s v="SE3_EL"/>
    <x v="11"/>
    <x v="0"/>
    <s v="GBPR_WOODWASTE_25"/>
    <x v="0"/>
    <x v="21"/>
    <n v="54.082549912434303"/>
    <n v="19740.130718038501"/>
    <n v="71064.470584938696"/>
  </r>
  <r>
    <x v="0"/>
    <x v="0"/>
    <x v="0"/>
    <x v="9"/>
    <x v="19"/>
    <s v="SE3_EL"/>
    <x v="11"/>
    <x v="0"/>
    <s v="GBPR_WOODWASTE_25"/>
    <x v="0"/>
    <x v="22"/>
    <n v="54.082549912434303"/>
    <n v="19740.130718038501"/>
    <n v="71064.470584938696"/>
  </r>
  <r>
    <x v="0"/>
    <x v="0"/>
    <x v="0"/>
    <x v="9"/>
    <x v="19"/>
    <s v="SE3_EL"/>
    <x v="11"/>
    <x v="0"/>
    <s v="GBPR_WOODWASTE_25"/>
    <x v="0"/>
    <x v="23"/>
    <n v="54.082549912434303"/>
    <n v="19740.130718038501"/>
    <n v="71064.470584938696"/>
  </r>
  <r>
    <x v="0"/>
    <x v="0"/>
    <x v="0"/>
    <x v="9"/>
    <x v="19"/>
    <s v="SE3_EL"/>
    <x v="11"/>
    <x v="0"/>
    <s v="GBPR_WOODWASTE_ABY"/>
    <x v="0"/>
    <x v="0"/>
    <n v="101.938213660245"/>
    <n v="37207.4479859895"/>
    <n v="133946.812749562"/>
  </r>
  <r>
    <x v="0"/>
    <x v="0"/>
    <x v="0"/>
    <x v="9"/>
    <x v="19"/>
    <s v="SE3_EL"/>
    <x v="11"/>
    <x v="0"/>
    <s v="GBPR_WOODWASTE_ABY"/>
    <x v="0"/>
    <x v="1"/>
    <n v="101.938213660245"/>
    <n v="37207.4479859895"/>
    <n v="133946.812749562"/>
  </r>
  <r>
    <x v="0"/>
    <x v="0"/>
    <x v="0"/>
    <x v="9"/>
    <x v="19"/>
    <s v="SE3_EL"/>
    <x v="11"/>
    <x v="0"/>
    <s v="GBPR_WOODWASTE_ABY"/>
    <x v="0"/>
    <x v="2"/>
    <n v="101.938213660245"/>
    <n v="37207.4479859895"/>
    <n v="133946.812749562"/>
  </r>
  <r>
    <x v="0"/>
    <x v="0"/>
    <x v="0"/>
    <x v="9"/>
    <x v="19"/>
    <s v="SE3_EL"/>
    <x v="11"/>
    <x v="0"/>
    <s v="GBPR_WOODWASTE_ABY"/>
    <x v="0"/>
    <x v="3"/>
    <n v="101.938213660245"/>
    <n v="37207.4479859895"/>
    <n v="133946.812749562"/>
  </r>
  <r>
    <x v="0"/>
    <x v="0"/>
    <x v="0"/>
    <x v="9"/>
    <x v="19"/>
    <s v="SE3_EL"/>
    <x v="11"/>
    <x v="0"/>
    <s v="GBPR_WOODWASTE_ABY"/>
    <x v="0"/>
    <x v="4"/>
    <n v="101.938213660245"/>
    <n v="37207.4479859895"/>
    <n v="133946.812749562"/>
  </r>
  <r>
    <x v="0"/>
    <x v="0"/>
    <x v="0"/>
    <x v="9"/>
    <x v="19"/>
    <s v="SE3_EL"/>
    <x v="11"/>
    <x v="0"/>
    <s v="GBPR_WOODWASTE_ABY"/>
    <x v="0"/>
    <x v="5"/>
    <n v="101.938213660245"/>
    <n v="37207.4479859895"/>
    <n v="133946.812749562"/>
  </r>
  <r>
    <x v="0"/>
    <x v="0"/>
    <x v="0"/>
    <x v="9"/>
    <x v="19"/>
    <s v="SE3_EL"/>
    <x v="11"/>
    <x v="0"/>
    <s v="GBPR_WOODWASTE_ABY"/>
    <x v="0"/>
    <x v="6"/>
    <n v="101.938213660245"/>
    <n v="37207.4479859895"/>
    <n v="133946.812749562"/>
  </r>
  <r>
    <x v="0"/>
    <x v="0"/>
    <x v="0"/>
    <x v="9"/>
    <x v="19"/>
    <s v="SE3_EL"/>
    <x v="11"/>
    <x v="0"/>
    <s v="GBPR_WOODWASTE_ABY"/>
    <x v="0"/>
    <x v="7"/>
    <n v="101.938213660245"/>
    <n v="37207.4479859895"/>
    <n v="133946.812749562"/>
  </r>
  <r>
    <x v="0"/>
    <x v="0"/>
    <x v="0"/>
    <x v="9"/>
    <x v="19"/>
    <s v="SE3_EL"/>
    <x v="11"/>
    <x v="0"/>
    <s v="GBPR_WOODWASTE_ABY"/>
    <x v="0"/>
    <x v="8"/>
    <n v="101.938213660245"/>
    <n v="37207.4479859895"/>
    <n v="133946.812749562"/>
  </r>
  <r>
    <x v="0"/>
    <x v="0"/>
    <x v="0"/>
    <x v="9"/>
    <x v="19"/>
    <s v="SE3_EL"/>
    <x v="11"/>
    <x v="0"/>
    <s v="GBPR_WOODWASTE_ABY"/>
    <x v="0"/>
    <x v="9"/>
    <n v="101.938213660245"/>
    <n v="37207.4479859895"/>
    <n v="133946.812749562"/>
  </r>
  <r>
    <x v="0"/>
    <x v="0"/>
    <x v="0"/>
    <x v="9"/>
    <x v="19"/>
    <s v="SE3_EL"/>
    <x v="11"/>
    <x v="0"/>
    <s v="GBPR_WOODWASTE_ABY"/>
    <x v="0"/>
    <x v="10"/>
    <n v="101.938213660245"/>
    <n v="37207.4479859895"/>
    <n v="133946.812749562"/>
  </r>
  <r>
    <x v="0"/>
    <x v="0"/>
    <x v="0"/>
    <x v="9"/>
    <x v="19"/>
    <s v="SE3_EL"/>
    <x v="11"/>
    <x v="0"/>
    <s v="GBPR_WOODWASTE_ABY"/>
    <x v="0"/>
    <x v="11"/>
    <n v="101.938213660245"/>
    <n v="37207.4479859895"/>
    <n v="133946.812749562"/>
  </r>
  <r>
    <x v="0"/>
    <x v="0"/>
    <x v="0"/>
    <x v="9"/>
    <x v="19"/>
    <s v="SE3_EL"/>
    <x v="11"/>
    <x v="0"/>
    <s v="GBPR_WOODWASTE_ABY"/>
    <x v="0"/>
    <x v="12"/>
    <n v="101.938213660245"/>
    <n v="37207.4479859895"/>
    <n v="133946.812749562"/>
  </r>
  <r>
    <x v="0"/>
    <x v="0"/>
    <x v="0"/>
    <x v="9"/>
    <x v="19"/>
    <s v="SE3_EL"/>
    <x v="11"/>
    <x v="0"/>
    <s v="GBPR_WOODWASTE_ABY"/>
    <x v="0"/>
    <x v="13"/>
    <n v="101.938213660245"/>
    <n v="37207.4479859895"/>
    <n v="133946.812749562"/>
  </r>
  <r>
    <x v="0"/>
    <x v="0"/>
    <x v="0"/>
    <x v="9"/>
    <x v="19"/>
    <s v="SE3_EL"/>
    <x v="11"/>
    <x v="0"/>
    <s v="GBPR_WOODWASTE_ABY"/>
    <x v="0"/>
    <x v="14"/>
    <n v="101.938213660245"/>
    <n v="37207.4479859895"/>
    <n v="133946.812749562"/>
  </r>
  <r>
    <x v="0"/>
    <x v="0"/>
    <x v="0"/>
    <x v="9"/>
    <x v="19"/>
    <s v="SE3_EL"/>
    <x v="11"/>
    <x v="0"/>
    <s v="GBPR_WOODWASTE_ABY"/>
    <x v="0"/>
    <x v="15"/>
    <n v="101.938213660245"/>
    <n v="37207.4479859895"/>
    <n v="133946.812749562"/>
  </r>
  <r>
    <x v="0"/>
    <x v="0"/>
    <x v="0"/>
    <x v="9"/>
    <x v="19"/>
    <s v="SE3_EL"/>
    <x v="11"/>
    <x v="0"/>
    <s v="GBPR_WOODWASTE_ABY"/>
    <x v="0"/>
    <x v="16"/>
    <n v="101.938213660245"/>
    <n v="37207.4479859895"/>
    <n v="133946.812749562"/>
  </r>
  <r>
    <x v="0"/>
    <x v="0"/>
    <x v="0"/>
    <x v="9"/>
    <x v="19"/>
    <s v="SE3_EL"/>
    <x v="11"/>
    <x v="0"/>
    <s v="GBPR_WOODWASTE_ABY"/>
    <x v="0"/>
    <x v="17"/>
    <n v="101.938213660245"/>
    <n v="37207.4479859895"/>
    <n v="133946.812749562"/>
  </r>
  <r>
    <x v="0"/>
    <x v="0"/>
    <x v="0"/>
    <x v="9"/>
    <x v="19"/>
    <s v="SE3_EL"/>
    <x v="11"/>
    <x v="0"/>
    <s v="GBPR_WOODWASTE_ABY"/>
    <x v="0"/>
    <x v="18"/>
    <n v="101.938213660245"/>
    <n v="37207.4479859895"/>
    <n v="133946.812749562"/>
  </r>
  <r>
    <x v="0"/>
    <x v="0"/>
    <x v="0"/>
    <x v="9"/>
    <x v="19"/>
    <s v="SE3_EL"/>
    <x v="11"/>
    <x v="0"/>
    <s v="GBPR_WOODWASTE_ABY"/>
    <x v="0"/>
    <x v="19"/>
    <n v="101.938213660245"/>
    <n v="37207.4479859895"/>
    <n v="133946.812749562"/>
  </r>
  <r>
    <x v="0"/>
    <x v="0"/>
    <x v="0"/>
    <x v="9"/>
    <x v="19"/>
    <s v="SE3_EL"/>
    <x v="11"/>
    <x v="0"/>
    <s v="GBPR_WOODWASTE_ABY"/>
    <x v="0"/>
    <x v="20"/>
    <n v="101.938213660245"/>
    <n v="37207.4479859895"/>
    <n v="133946.812749562"/>
  </r>
  <r>
    <x v="0"/>
    <x v="0"/>
    <x v="0"/>
    <x v="9"/>
    <x v="19"/>
    <s v="SE3_EL"/>
    <x v="11"/>
    <x v="0"/>
    <s v="GBPR_WOODWASTE_ABY"/>
    <x v="0"/>
    <x v="21"/>
    <n v="101.938213660245"/>
    <n v="37207.4479859895"/>
    <n v="133946.812749562"/>
  </r>
  <r>
    <x v="0"/>
    <x v="0"/>
    <x v="0"/>
    <x v="9"/>
    <x v="19"/>
    <s v="SE3_EL"/>
    <x v="11"/>
    <x v="0"/>
    <s v="GBPR_WOODWASTE_ABY"/>
    <x v="0"/>
    <x v="22"/>
    <n v="101.938213660245"/>
    <n v="37207.4479859895"/>
    <n v="133946.812749562"/>
  </r>
  <r>
    <x v="0"/>
    <x v="0"/>
    <x v="0"/>
    <x v="9"/>
    <x v="19"/>
    <s v="SE3_EL"/>
    <x v="11"/>
    <x v="0"/>
    <s v="GBPR_WOODWASTE_ABY"/>
    <x v="0"/>
    <x v="23"/>
    <n v="101.938213660245"/>
    <n v="37207.4479859895"/>
    <n v="133946.812749562"/>
  </r>
  <r>
    <x v="0"/>
    <x v="0"/>
    <x v="0"/>
    <x v="9"/>
    <x v="19"/>
    <s v="SE3_GOT"/>
    <x v="1"/>
    <x v="0"/>
    <s v="GBPR_MUNIWASTE_24"/>
    <x v="0"/>
    <x v="0"/>
    <n v="40.6"/>
    <n v="14819"/>
    <n v="53348.4"/>
  </r>
  <r>
    <x v="0"/>
    <x v="0"/>
    <x v="0"/>
    <x v="9"/>
    <x v="19"/>
    <s v="SE3_GOT"/>
    <x v="1"/>
    <x v="0"/>
    <s v="GBPR_MUNIWASTE_24"/>
    <x v="0"/>
    <x v="1"/>
    <n v="40.6"/>
    <n v="14819"/>
    <n v="53348.4"/>
  </r>
  <r>
    <x v="0"/>
    <x v="0"/>
    <x v="0"/>
    <x v="9"/>
    <x v="19"/>
    <s v="SE3_GOT"/>
    <x v="1"/>
    <x v="0"/>
    <s v="GBPR_MUNIWASTE_24"/>
    <x v="0"/>
    <x v="2"/>
    <n v="40.6"/>
    <n v="14819"/>
    <n v="53348.4"/>
  </r>
  <r>
    <x v="0"/>
    <x v="0"/>
    <x v="0"/>
    <x v="9"/>
    <x v="19"/>
    <s v="SE3_GOT"/>
    <x v="1"/>
    <x v="0"/>
    <s v="GBPR_MUNIWASTE_24"/>
    <x v="0"/>
    <x v="3"/>
    <n v="40.6"/>
    <n v="14819"/>
    <n v="53348.4"/>
  </r>
  <r>
    <x v="0"/>
    <x v="0"/>
    <x v="0"/>
    <x v="9"/>
    <x v="19"/>
    <s v="SE3_GOT"/>
    <x v="1"/>
    <x v="0"/>
    <s v="GBPR_MUNIWASTE_24"/>
    <x v="0"/>
    <x v="4"/>
    <n v="40.6"/>
    <n v="14819"/>
    <n v="53348.4"/>
  </r>
  <r>
    <x v="0"/>
    <x v="0"/>
    <x v="0"/>
    <x v="9"/>
    <x v="19"/>
    <s v="SE3_GOT"/>
    <x v="1"/>
    <x v="0"/>
    <s v="GBPR_MUNIWASTE_24"/>
    <x v="0"/>
    <x v="5"/>
    <n v="40.6"/>
    <n v="14819"/>
    <n v="53348.4"/>
  </r>
  <r>
    <x v="0"/>
    <x v="0"/>
    <x v="0"/>
    <x v="9"/>
    <x v="19"/>
    <s v="SE3_GOT"/>
    <x v="1"/>
    <x v="0"/>
    <s v="GBPR_MUNIWASTE_24"/>
    <x v="0"/>
    <x v="6"/>
    <n v="40.6"/>
    <n v="14819"/>
    <n v="53348.4"/>
  </r>
  <r>
    <x v="0"/>
    <x v="0"/>
    <x v="0"/>
    <x v="9"/>
    <x v="19"/>
    <s v="SE3_GOT"/>
    <x v="1"/>
    <x v="0"/>
    <s v="GBPR_MUNIWASTE_24"/>
    <x v="0"/>
    <x v="7"/>
    <n v="40.6"/>
    <n v="14819"/>
    <n v="53348.4"/>
  </r>
  <r>
    <x v="0"/>
    <x v="0"/>
    <x v="0"/>
    <x v="9"/>
    <x v="19"/>
    <s v="SE3_GOT"/>
    <x v="1"/>
    <x v="0"/>
    <s v="GBPR_MUNIWASTE_24"/>
    <x v="0"/>
    <x v="8"/>
    <n v="40.6"/>
    <n v="14819"/>
    <n v="53348.4"/>
  </r>
  <r>
    <x v="0"/>
    <x v="0"/>
    <x v="0"/>
    <x v="9"/>
    <x v="19"/>
    <s v="SE3_GOT"/>
    <x v="1"/>
    <x v="0"/>
    <s v="GBPR_MUNIWASTE_24"/>
    <x v="0"/>
    <x v="9"/>
    <n v="40.6"/>
    <n v="14819"/>
    <n v="53348.4"/>
  </r>
  <r>
    <x v="0"/>
    <x v="0"/>
    <x v="0"/>
    <x v="9"/>
    <x v="19"/>
    <s v="SE3_GOT"/>
    <x v="1"/>
    <x v="0"/>
    <s v="GBPR_MUNIWASTE_24"/>
    <x v="0"/>
    <x v="10"/>
    <n v="40.6"/>
    <n v="14819"/>
    <n v="53348.4"/>
  </r>
  <r>
    <x v="0"/>
    <x v="0"/>
    <x v="0"/>
    <x v="9"/>
    <x v="19"/>
    <s v="SE3_GOT"/>
    <x v="1"/>
    <x v="0"/>
    <s v="GBPR_MUNIWASTE_24"/>
    <x v="0"/>
    <x v="11"/>
    <n v="40.6"/>
    <n v="14819"/>
    <n v="53348.4"/>
  </r>
  <r>
    <x v="0"/>
    <x v="0"/>
    <x v="0"/>
    <x v="9"/>
    <x v="19"/>
    <s v="SE3_GOT"/>
    <x v="1"/>
    <x v="0"/>
    <s v="GBPR_MUNIWASTE_24"/>
    <x v="0"/>
    <x v="12"/>
    <n v="40.6"/>
    <n v="14819"/>
    <n v="53348.4"/>
  </r>
  <r>
    <x v="0"/>
    <x v="0"/>
    <x v="0"/>
    <x v="9"/>
    <x v="19"/>
    <s v="SE3_GOT"/>
    <x v="1"/>
    <x v="0"/>
    <s v="GBPR_MUNIWASTE_24"/>
    <x v="0"/>
    <x v="13"/>
    <n v="40.6"/>
    <n v="14819"/>
    <n v="53348.4"/>
  </r>
  <r>
    <x v="0"/>
    <x v="0"/>
    <x v="0"/>
    <x v="9"/>
    <x v="19"/>
    <s v="SE3_GOT"/>
    <x v="1"/>
    <x v="0"/>
    <s v="GBPR_MUNIWASTE_24"/>
    <x v="0"/>
    <x v="14"/>
    <n v="40.6"/>
    <n v="14819"/>
    <n v="53348.4"/>
  </r>
  <r>
    <x v="0"/>
    <x v="0"/>
    <x v="0"/>
    <x v="9"/>
    <x v="19"/>
    <s v="SE3_GOT"/>
    <x v="1"/>
    <x v="0"/>
    <s v="GBPR_MUNIWASTE_24"/>
    <x v="0"/>
    <x v="15"/>
    <n v="40.6"/>
    <n v="14819"/>
    <n v="53348.4"/>
  </r>
  <r>
    <x v="0"/>
    <x v="0"/>
    <x v="0"/>
    <x v="9"/>
    <x v="19"/>
    <s v="SE3_GOT"/>
    <x v="1"/>
    <x v="0"/>
    <s v="GBPR_MUNIWASTE_24"/>
    <x v="0"/>
    <x v="16"/>
    <n v="40.6"/>
    <n v="14819"/>
    <n v="53348.4"/>
  </r>
  <r>
    <x v="0"/>
    <x v="0"/>
    <x v="0"/>
    <x v="9"/>
    <x v="19"/>
    <s v="SE3_GOT"/>
    <x v="1"/>
    <x v="0"/>
    <s v="GBPR_MUNIWASTE_24"/>
    <x v="0"/>
    <x v="17"/>
    <n v="40.6"/>
    <n v="14819"/>
    <n v="53348.4"/>
  </r>
  <r>
    <x v="0"/>
    <x v="0"/>
    <x v="0"/>
    <x v="9"/>
    <x v="19"/>
    <s v="SE3_GOT"/>
    <x v="1"/>
    <x v="0"/>
    <s v="GBPR_MUNIWASTE_24"/>
    <x v="0"/>
    <x v="18"/>
    <n v="40.6"/>
    <n v="14819"/>
    <n v="53348.4"/>
  </r>
  <r>
    <x v="0"/>
    <x v="0"/>
    <x v="0"/>
    <x v="9"/>
    <x v="19"/>
    <s v="SE3_GOT"/>
    <x v="1"/>
    <x v="0"/>
    <s v="GBPR_MUNIWASTE_24"/>
    <x v="0"/>
    <x v="19"/>
    <n v="40.6"/>
    <n v="14819"/>
    <n v="53348.4"/>
  </r>
  <r>
    <x v="0"/>
    <x v="0"/>
    <x v="0"/>
    <x v="9"/>
    <x v="19"/>
    <s v="SE3_GOT"/>
    <x v="1"/>
    <x v="0"/>
    <s v="GBPR_MUNIWASTE_24"/>
    <x v="0"/>
    <x v="20"/>
    <n v="40.6"/>
    <n v="14819"/>
    <n v="53348.4"/>
  </r>
  <r>
    <x v="0"/>
    <x v="0"/>
    <x v="0"/>
    <x v="9"/>
    <x v="19"/>
    <s v="SE3_GOT"/>
    <x v="1"/>
    <x v="0"/>
    <s v="GBPR_MUNIWASTE_24"/>
    <x v="0"/>
    <x v="21"/>
    <n v="40.6"/>
    <n v="14819"/>
    <n v="53348.4"/>
  </r>
  <r>
    <x v="0"/>
    <x v="0"/>
    <x v="0"/>
    <x v="9"/>
    <x v="19"/>
    <s v="SE3_GOT"/>
    <x v="1"/>
    <x v="0"/>
    <s v="GBPR_MUNIWASTE_24"/>
    <x v="0"/>
    <x v="22"/>
    <n v="40.6"/>
    <n v="14819"/>
    <n v="53348.4"/>
  </r>
  <r>
    <x v="0"/>
    <x v="0"/>
    <x v="0"/>
    <x v="9"/>
    <x v="19"/>
    <s v="SE3_GOT"/>
    <x v="1"/>
    <x v="0"/>
    <s v="GBPR_MUNIWASTE_24"/>
    <x v="0"/>
    <x v="23"/>
    <n v="40.6"/>
    <n v="14819"/>
    <n v="53348.4"/>
  </r>
  <r>
    <x v="0"/>
    <x v="0"/>
    <x v="0"/>
    <x v="9"/>
    <x v="19"/>
    <s v="SE3_GOT"/>
    <x v="11"/>
    <x v="0"/>
    <s v="GBPR_WOODWASTE_GOT"/>
    <x v="0"/>
    <x v="0"/>
    <n v="10.743782837127799"/>
    <n v="3921.48073555166"/>
    <n v="14117.330647986"/>
  </r>
  <r>
    <x v="0"/>
    <x v="0"/>
    <x v="0"/>
    <x v="9"/>
    <x v="19"/>
    <s v="SE3_GOT"/>
    <x v="11"/>
    <x v="0"/>
    <s v="GBPR_WOODWASTE_GOT"/>
    <x v="0"/>
    <x v="1"/>
    <n v="10.743782837127799"/>
    <n v="3921.48073555166"/>
    <n v="14117.330647986"/>
  </r>
  <r>
    <x v="0"/>
    <x v="0"/>
    <x v="0"/>
    <x v="9"/>
    <x v="19"/>
    <s v="SE3_GOT"/>
    <x v="11"/>
    <x v="0"/>
    <s v="GBPR_WOODWASTE_GOT"/>
    <x v="0"/>
    <x v="2"/>
    <n v="10.743782837127799"/>
    <n v="3921.48073555166"/>
    <n v="14117.330647986"/>
  </r>
  <r>
    <x v="0"/>
    <x v="0"/>
    <x v="0"/>
    <x v="9"/>
    <x v="19"/>
    <s v="SE3_GOT"/>
    <x v="11"/>
    <x v="0"/>
    <s v="GBPR_WOODWASTE_GOT"/>
    <x v="0"/>
    <x v="3"/>
    <n v="10.743782837127799"/>
    <n v="3921.48073555166"/>
    <n v="14117.330647986"/>
  </r>
  <r>
    <x v="0"/>
    <x v="0"/>
    <x v="0"/>
    <x v="9"/>
    <x v="19"/>
    <s v="SE3_GOT"/>
    <x v="11"/>
    <x v="0"/>
    <s v="GBPR_WOODWASTE_GOT"/>
    <x v="0"/>
    <x v="4"/>
    <n v="10.743782837127799"/>
    <n v="3921.48073555166"/>
    <n v="14117.330647986"/>
  </r>
  <r>
    <x v="0"/>
    <x v="0"/>
    <x v="0"/>
    <x v="9"/>
    <x v="19"/>
    <s v="SE3_GOT"/>
    <x v="11"/>
    <x v="0"/>
    <s v="GBPR_WOODWASTE_GOT"/>
    <x v="0"/>
    <x v="5"/>
    <n v="10.743782837127799"/>
    <n v="3921.48073555166"/>
    <n v="14117.330647986"/>
  </r>
  <r>
    <x v="0"/>
    <x v="0"/>
    <x v="0"/>
    <x v="9"/>
    <x v="19"/>
    <s v="SE3_GOT"/>
    <x v="11"/>
    <x v="0"/>
    <s v="GBPR_WOODWASTE_GOT"/>
    <x v="0"/>
    <x v="6"/>
    <n v="10.743782837127799"/>
    <n v="3921.48073555166"/>
    <n v="14117.330647986"/>
  </r>
  <r>
    <x v="0"/>
    <x v="0"/>
    <x v="0"/>
    <x v="9"/>
    <x v="19"/>
    <s v="SE3_GOT"/>
    <x v="11"/>
    <x v="0"/>
    <s v="GBPR_WOODWASTE_GOT"/>
    <x v="0"/>
    <x v="7"/>
    <n v="10.743782837127799"/>
    <n v="3921.48073555166"/>
    <n v="14117.330647986"/>
  </r>
  <r>
    <x v="0"/>
    <x v="0"/>
    <x v="0"/>
    <x v="9"/>
    <x v="19"/>
    <s v="SE3_GOT"/>
    <x v="11"/>
    <x v="0"/>
    <s v="GBPR_WOODWASTE_GOT"/>
    <x v="0"/>
    <x v="8"/>
    <n v="10.743782837127799"/>
    <n v="3921.48073555166"/>
    <n v="14117.330647986"/>
  </r>
  <r>
    <x v="0"/>
    <x v="0"/>
    <x v="0"/>
    <x v="9"/>
    <x v="19"/>
    <s v="SE3_GOT"/>
    <x v="11"/>
    <x v="0"/>
    <s v="GBPR_WOODWASTE_GOT"/>
    <x v="0"/>
    <x v="9"/>
    <n v="10.743782837127799"/>
    <n v="3921.48073555166"/>
    <n v="14117.330647986"/>
  </r>
  <r>
    <x v="0"/>
    <x v="0"/>
    <x v="0"/>
    <x v="9"/>
    <x v="19"/>
    <s v="SE3_GOT"/>
    <x v="11"/>
    <x v="0"/>
    <s v="GBPR_WOODWASTE_GOT"/>
    <x v="0"/>
    <x v="10"/>
    <n v="10.743782837127799"/>
    <n v="3921.48073555166"/>
    <n v="14117.330647986"/>
  </r>
  <r>
    <x v="0"/>
    <x v="0"/>
    <x v="0"/>
    <x v="9"/>
    <x v="19"/>
    <s v="SE3_GOT"/>
    <x v="11"/>
    <x v="0"/>
    <s v="GBPR_WOODWASTE_GOT"/>
    <x v="0"/>
    <x v="11"/>
    <n v="10.743782837127799"/>
    <n v="3921.48073555166"/>
    <n v="14117.330647986"/>
  </r>
  <r>
    <x v="0"/>
    <x v="0"/>
    <x v="0"/>
    <x v="9"/>
    <x v="19"/>
    <s v="SE3_GOT"/>
    <x v="11"/>
    <x v="0"/>
    <s v="GBPR_WOODWASTE_GOT"/>
    <x v="0"/>
    <x v="12"/>
    <n v="10.743782837127799"/>
    <n v="3921.48073555166"/>
    <n v="14117.330647986"/>
  </r>
  <r>
    <x v="0"/>
    <x v="0"/>
    <x v="0"/>
    <x v="9"/>
    <x v="19"/>
    <s v="SE3_GOT"/>
    <x v="11"/>
    <x v="0"/>
    <s v="GBPR_WOODWASTE_GOT"/>
    <x v="0"/>
    <x v="13"/>
    <n v="10.743782837127799"/>
    <n v="3921.48073555166"/>
    <n v="14117.330647986"/>
  </r>
  <r>
    <x v="0"/>
    <x v="0"/>
    <x v="0"/>
    <x v="9"/>
    <x v="19"/>
    <s v="SE3_GOT"/>
    <x v="11"/>
    <x v="0"/>
    <s v="GBPR_WOODWASTE_GOT"/>
    <x v="0"/>
    <x v="14"/>
    <n v="10.743782837127799"/>
    <n v="3921.48073555166"/>
    <n v="14117.330647986"/>
  </r>
  <r>
    <x v="0"/>
    <x v="0"/>
    <x v="0"/>
    <x v="9"/>
    <x v="19"/>
    <s v="SE3_GOT"/>
    <x v="11"/>
    <x v="0"/>
    <s v="GBPR_WOODWASTE_GOT"/>
    <x v="0"/>
    <x v="15"/>
    <n v="10.743782837127799"/>
    <n v="3921.48073555166"/>
    <n v="14117.330647986"/>
  </r>
  <r>
    <x v="0"/>
    <x v="0"/>
    <x v="0"/>
    <x v="9"/>
    <x v="19"/>
    <s v="SE3_GOT"/>
    <x v="11"/>
    <x v="0"/>
    <s v="GBPR_WOODWASTE_GOT"/>
    <x v="0"/>
    <x v="16"/>
    <n v="10.743782837127799"/>
    <n v="3921.48073555166"/>
    <n v="14117.330647986"/>
  </r>
  <r>
    <x v="0"/>
    <x v="0"/>
    <x v="0"/>
    <x v="9"/>
    <x v="19"/>
    <s v="SE3_GOT"/>
    <x v="11"/>
    <x v="0"/>
    <s v="GBPR_WOODWASTE_GOT"/>
    <x v="0"/>
    <x v="17"/>
    <n v="10.743782837127799"/>
    <n v="3921.48073555166"/>
    <n v="14117.330647986"/>
  </r>
  <r>
    <x v="0"/>
    <x v="0"/>
    <x v="0"/>
    <x v="9"/>
    <x v="19"/>
    <s v="SE3_GOT"/>
    <x v="11"/>
    <x v="0"/>
    <s v="GBPR_WOODWASTE_GOT"/>
    <x v="0"/>
    <x v="18"/>
    <n v="10.743782837127799"/>
    <n v="3921.48073555166"/>
    <n v="14117.330647986"/>
  </r>
  <r>
    <x v="0"/>
    <x v="0"/>
    <x v="0"/>
    <x v="9"/>
    <x v="19"/>
    <s v="SE3_GOT"/>
    <x v="11"/>
    <x v="0"/>
    <s v="GBPR_WOODWASTE_GOT"/>
    <x v="0"/>
    <x v="19"/>
    <n v="10.743782837127799"/>
    <n v="3921.48073555166"/>
    <n v="14117.330647986"/>
  </r>
  <r>
    <x v="0"/>
    <x v="0"/>
    <x v="0"/>
    <x v="9"/>
    <x v="19"/>
    <s v="SE3_GOT"/>
    <x v="11"/>
    <x v="0"/>
    <s v="GBPR_WOODWASTE_GOT"/>
    <x v="0"/>
    <x v="20"/>
    <n v="10.743782837127799"/>
    <n v="3921.48073555166"/>
    <n v="14117.330647986"/>
  </r>
  <r>
    <x v="0"/>
    <x v="0"/>
    <x v="0"/>
    <x v="9"/>
    <x v="19"/>
    <s v="SE3_GOT"/>
    <x v="11"/>
    <x v="0"/>
    <s v="GBPR_WOODWASTE_GOT"/>
    <x v="0"/>
    <x v="21"/>
    <n v="10.743782837127799"/>
    <n v="3921.48073555166"/>
    <n v="14117.330647986"/>
  </r>
  <r>
    <x v="0"/>
    <x v="0"/>
    <x v="0"/>
    <x v="9"/>
    <x v="19"/>
    <s v="SE3_GOT"/>
    <x v="11"/>
    <x v="0"/>
    <s v="GBPR_WOODWASTE_GOT"/>
    <x v="0"/>
    <x v="22"/>
    <n v="10.743782837127799"/>
    <n v="3921.48073555166"/>
    <n v="14117.330647986"/>
  </r>
  <r>
    <x v="0"/>
    <x v="0"/>
    <x v="0"/>
    <x v="9"/>
    <x v="19"/>
    <s v="SE3_GOT"/>
    <x v="11"/>
    <x v="0"/>
    <s v="GBPR_WOODWASTE_GOT"/>
    <x v="0"/>
    <x v="23"/>
    <n v="10.743782837127799"/>
    <n v="3921.48073555166"/>
    <n v="14117.330647986"/>
  </r>
  <r>
    <x v="0"/>
    <x v="0"/>
    <x v="0"/>
    <x v="9"/>
    <x v="19"/>
    <s v="SE3_HP"/>
    <x v="1"/>
    <x v="0"/>
    <s v="GBPR_MUNIWASTE_24"/>
    <x v="0"/>
    <x v="0"/>
    <n v="33.168980159344798"/>
    <n v="12106.6777581608"/>
    <n v="43584.039929379003"/>
  </r>
  <r>
    <x v="0"/>
    <x v="0"/>
    <x v="0"/>
    <x v="9"/>
    <x v="19"/>
    <s v="SE3_HP"/>
    <x v="1"/>
    <x v="0"/>
    <s v="GBPR_MUNIWASTE_24"/>
    <x v="0"/>
    <x v="1"/>
    <n v="33.168980159344798"/>
    <n v="12106.6777581608"/>
    <n v="43584.039929379003"/>
  </r>
  <r>
    <x v="0"/>
    <x v="0"/>
    <x v="0"/>
    <x v="9"/>
    <x v="19"/>
    <s v="SE3_HP"/>
    <x v="1"/>
    <x v="0"/>
    <s v="GBPR_MUNIWASTE_24"/>
    <x v="0"/>
    <x v="2"/>
    <n v="33.168980159344798"/>
    <n v="12106.6777581608"/>
    <n v="43584.039929379003"/>
  </r>
  <r>
    <x v="0"/>
    <x v="0"/>
    <x v="0"/>
    <x v="9"/>
    <x v="19"/>
    <s v="SE3_HP"/>
    <x v="1"/>
    <x v="0"/>
    <s v="GBPR_MUNIWASTE_24"/>
    <x v="0"/>
    <x v="3"/>
    <n v="33.168980159344798"/>
    <n v="12106.6777581608"/>
    <n v="43584.039929379003"/>
  </r>
  <r>
    <x v="0"/>
    <x v="0"/>
    <x v="0"/>
    <x v="9"/>
    <x v="19"/>
    <s v="SE3_HP"/>
    <x v="1"/>
    <x v="0"/>
    <s v="GBPR_MUNIWASTE_24"/>
    <x v="0"/>
    <x v="4"/>
    <n v="33.168980159344798"/>
    <n v="12106.6777581608"/>
    <n v="43584.039929379003"/>
  </r>
  <r>
    <x v="0"/>
    <x v="0"/>
    <x v="0"/>
    <x v="9"/>
    <x v="19"/>
    <s v="SE3_HP"/>
    <x v="1"/>
    <x v="0"/>
    <s v="GBPR_MUNIWASTE_24"/>
    <x v="0"/>
    <x v="5"/>
    <n v="33.168980159344798"/>
    <n v="12106.6777581608"/>
    <n v="43584.039929379003"/>
  </r>
  <r>
    <x v="0"/>
    <x v="0"/>
    <x v="0"/>
    <x v="9"/>
    <x v="19"/>
    <s v="SE3_HP"/>
    <x v="1"/>
    <x v="0"/>
    <s v="GBPR_MUNIWASTE_24"/>
    <x v="0"/>
    <x v="6"/>
    <n v="33.168980159344798"/>
    <n v="12106.6777581608"/>
    <n v="43584.039929379003"/>
  </r>
  <r>
    <x v="0"/>
    <x v="0"/>
    <x v="0"/>
    <x v="9"/>
    <x v="19"/>
    <s v="SE3_HP"/>
    <x v="1"/>
    <x v="0"/>
    <s v="GBPR_MUNIWASTE_24"/>
    <x v="0"/>
    <x v="7"/>
    <n v="33.168980159344798"/>
    <n v="12106.6777581608"/>
    <n v="43584.039929379003"/>
  </r>
  <r>
    <x v="0"/>
    <x v="0"/>
    <x v="0"/>
    <x v="9"/>
    <x v="19"/>
    <s v="SE3_HP"/>
    <x v="1"/>
    <x v="0"/>
    <s v="GBPR_MUNIWASTE_24"/>
    <x v="0"/>
    <x v="8"/>
    <n v="33.168980159344798"/>
    <n v="12106.6777581608"/>
    <n v="43584.039929379003"/>
  </r>
  <r>
    <x v="0"/>
    <x v="0"/>
    <x v="0"/>
    <x v="9"/>
    <x v="19"/>
    <s v="SE3_HP"/>
    <x v="1"/>
    <x v="0"/>
    <s v="GBPR_MUNIWASTE_24"/>
    <x v="0"/>
    <x v="9"/>
    <n v="33.168980159344798"/>
    <n v="12106.6777581608"/>
    <n v="43584.039929379003"/>
  </r>
  <r>
    <x v="0"/>
    <x v="0"/>
    <x v="0"/>
    <x v="9"/>
    <x v="19"/>
    <s v="SE3_HP"/>
    <x v="1"/>
    <x v="0"/>
    <s v="GBPR_MUNIWASTE_24"/>
    <x v="0"/>
    <x v="10"/>
    <n v="33.168980159344798"/>
    <n v="12106.6777581608"/>
    <n v="43584.039929379003"/>
  </r>
  <r>
    <x v="0"/>
    <x v="0"/>
    <x v="0"/>
    <x v="9"/>
    <x v="19"/>
    <s v="SE3_HP"/>
    <x v="1"/>
    <x v="0"/>
    <s v="GBPR_MUNIWASTE_24"/>
    <x v="0"/>
    <x v="11"/>
    <n v="33.168980159344798"/>
    <n v="12106.6777581608"/>
    <n v="43584.039929379003"/>
  </r>
  <r>
    <x v="0"/>
    <x v="0"/>
    <x v="0"/>
    <x v="9"/>
    <x v="19"/>
    <s v="SE3_HP"/>
    <x v="1"/>
    <x v="0"/>
    <s v="GBPR_MUNIWASTE_24"/>
    <x v="0"/>
    <x v="12"/>
    <n v="33.168980159344798"/>
    <n v="12106.6777581608"/>
    <n v="43584.039929379003"/>
  </r>
  <r>
    <x v="0"/>
    <x v="0"/>
    <x v="0"/>
    <x v="9"/>
    <x v="19"/>
    <s v="SE3_HP"/>
    <x v="1"/>
    <x v="0"/>
    <s v="GBPR_MUNIWASTE_24"/>
    <x v="0"/>
    <x v="13"/>
    <n v="33.168980159344798"/>
    <n v="12106.6777581608"/>
    <n v="43584.039929379003"/>
  </r>
  <r>
    <x v="0"/>
    <x v="0"/>
    <x v="0"/>
    <x v="9"/>
    <x v="19"/>
    <s v="SE3_HP"/>
    <x v="1"/>
    <x v="0"/>
    <s v="GBPR_MUNIWASTE_24"/>
    <x v="0"/>
    <x v="14"/>
    <n v="33.168980159344798"/>
    <n v="12106.6777581608"/>
    <n v="43584.039929379003"/>
  </r>
  <r>
    <x v="0"/>
    <x v="0"/>
    <x v="0"/>
    <x v="9"/>
    <x v="19"/>
    <s v="SE3_HP"/>
    <x v="1"/>
    <x v="0"/>
    <s v="GBPR_MUNIWASTE_24"/>
    <x v="0"/>
    <x v="15"/>
    <n v="33.168980159344798"/>
    <n v="12106.6777581608"/>
    <n v="43584.039929379003"/>
  </r>
  <r>
    <x v="0"/>
    <x v="0"/>
    <x v="0"/>
    <x v="9"/>
    <x v="19"/>
    <s v="SE3_HP"/>
    <x v="1"/>
    <x v="0"/>
    <s v="GBPR_MUNIWASTE_24"/>
    <x v="0"/>
    <x v="16"/>
    <n v="33.168980159344798"/>
    <n v="12106.6777581608"/>
    <n v="43584.039929379003"/>
  </r>
  <r>
    <x v="0"/>
    <x v="0"/>
    <x v="0"/>
    <x v="9"/>
    <x v="19"/>
    <s v="SE3_HP"/>
    <x v="1"/>
    <x v="0"/>
    <s v="GBPR_MUNIWASTE_24"/>
    <x v="0"/>
    <x v="17"/>
    <n v="33.168980159344798"/>
    <n v="12106.6777581608"/>
    <n v="43584.039929379003"/>
  </r>
  <r>
    <x v="0"/>
    <x v="0"/>
    <x v="0"/>
    <x v="9"/>
    <x v="19"/>
    <s v="SE3_HP"/>
    <x v="1"/>
    <x v="0"/>
    <s v="GBPR_MUNIWASTE_24"/>
    <x v="0"/>
    <x v="18"/>
    <n v="33.168980159344798"/>
    <n v="12106.6777581608"/>
    <n v="43584.039929379003"/>
  </r>
  <r>
    <x v="0"/>
    <x v="0"/>
    <x v="0"/>
    <x v="9"/>
    <x v="19"/>
    <s v="SE3_HP"/>
    <x v="1"/>
    <x v="0"/>
    <s v="GBPR_MUNIWASTE_24"/>
    <x v="0"/>
    <x v="19"/>
    <n v="33.168980159344798"/>
    <n v="12106.6777581608"/>
    <n v="43584.039929379003"/>
  </r>
  <r>
    <x v="0"/>
    <x v="0"/>
    <x v="0"/>
    <x v="9"/>
    <x v="19"/>
    <s v="SE3_HP"/>
    <x v="1"/>
    <x v="0"/>
    <s v="GBPR_MUNIWASTE_24"/>
    <x v="0"/>
    <x v="20"/>
    <n v="33.168980159344798"/>
    <n v="12106.6777581608"/>
    <n v="43584.039929379003"/>
  </r>
  <r>
    <x v="0"/>
    <x v="0"/>
    <x v="0"/>
    <x v="9"/>
    <x v="19"/>
    <s v="SE3_HP"/>
    <x v="1"/>
    <x v="0"/>
    <s v="GBPR_MUNIWASTE_24"/>
    <x v="0"/>
    <x v="21"/>
    <n v="33.168980159344798"/>
    <n v="12106.6777581608"/>
    <n v="43584.039929379003"/>
  </r>
  <r>
    <x v="0"/>
    <x v="0"/>
    <x v="0"/>
    <x v="9"/>
    <x v="19"/>
    <s v="SE3_HP"/>
    <x v="1"/>
    <x v="0"/>
    <s v="GBPR_MUNIWASTE_24"/>
    <x v="0"/>
    <x v="22"/>
    <n v="33.168980159344798"/>
    <n v="12106.6777581608"/>
    <n v="43584.039929379003"/>
  </r>
  <r>
    <x v="0"/>
    <x v="0"/>
    <x v="0"/>
    <x v="9"/>
    <x v="19"/>
    <s v="SE3_HP"/>
    <x v="1"/>
    <x v="0"/>
    <s v="GBPR_MUNIWASTE_24"/>
    <x v="0"/>
    <x v="23"/>
    <n v="33.168980159344798"/>
    <n v="12106.6777581608"/>
    <n v="43584.039929379003"/>
  </r>
  <r>
    <x v="0"/>
    <x v="0"/>
    <x v="0"/>
    <x v="9"/>
    <x v="19"/>
    <s v="SE3_HP"/>
    <x v="4"/>
    <x v="0"/>
    <s v="GBPR_WOODCHIPS_08"/>
    <x v="0"/>
    <x v="0"/>
    <n v="0.51509794577693002"/>
    <n v="188.010750208579"/>
    <n v="676.83870075088498"/>
  </r>
  <r>
    <x v="0"/>
    <x v="0"/>
    <x v="0"/>
    <x v="9"/>
    <x v="19"/>
    <s v="SE3_HP"/>
    <x v="4"/>
    <x v="0"/>
    <s v="GBPR_WOODCHIPS_08"/>
    <x v="0"/>
    <x v="1"/>
    <n v="0.51509794577693002"/>
    <n v="188.010750208579"/>
    <n v="676.83870075088498"/>
  </r>
  <r>
    <x v="0"/>
    <x v="0"/>
    <x v="0"/>
    <x v="9"/>
    <x v="19"/>
    <s v="SE3_HP"/>
    <x v="4"/>
    <x v="0"/>
    <s v="GBPR_WOODCHIPS_08"/>
    <x v="0"/>
    <x v="2"/>
    <n v="0.51509794577693002"/>
    <n v="188.010750208579"/>
    <n v="676.83870075088498"/>
  </r>
  <r>
    <x v="0"/>
    <x v="0"/>
    <x v="0"/>
    <x v="9"/>
    <x v="19"/>
    <s v="SE3_HP"/>
    <x v="4"/>
    <x v="0"/>
    <s v="GBPR_WOODCHIPS_08"/>
    <x v="0"/>
    <x v="3"/>
    <n v="0.51509794577693002"/>
    <n v="188.010750208579"/>
    <n v="676.83870075088498"/>
  </r>
  <r>
    <x v="0"/>
    <x v="0"/>
    <x v="0"/>
    <x v="9"/>
    <x v="19"/>
    <s v="SE3_HP"/>
    <x v="4"/>
    <x v="0"/>
    <s v="GBPR_WOODCHIPS_08"/>
    <x v="0"/>
    <x v="4"/>
    <n v="0.51509794577693002"/>
    <n v="188.010750208579"/>
    <n v="676.83870075088498"/>
  </r>
  <r>
    <x v="0"/>
    <x v="0"/>
    <x v="0"/>
    <x v="9"/>
    <x v="19"/>
    <s v="SE3_HP"/>
    <x v="4"/>
    <x v="0"/>
    <s v="GBPR_WOODCHIPS_08"/>
    <x v="0"/>
    <x v="5"/>
    <n v="0.51509794577693002"/>
    <n v="188.010750208579"/>
    <n v="676.83870075088498"/>
  </r>
  <r>
    <x v="0"/>
    <x v="0"/>
    <x v="0"/>
    <x v="9"/>
    <x v="19"/>
    <s v="SE3_HP"/>
    <x v="4"/>
    <x v="0"/>
    <s v="GBPR_WOODCHIPS_08"/>
    <x v="0"/>
    <x v="6"/>
    <n v="0.51509794577693002"/>
    <n v="188.010750208579"/>
    <n v="676.83870075088498"/>
  </r>
  <r>
    <x v="0"/>
    <x v="0"/>
    <x v="0"/>
    <x v="9"/>
    <x v="19"/>
    <s v="SE3_HP"/>
    <x v="4"/>
    <x v="0"/>
    <s v="GBPR_WOODCHIPS_08"/>
    <x v="0"/>
    <x v="7"/>
    <n v="0.51509794577693002"/>
    <n v="188.010750208579"/>
    <n v="676.83870075088498"/>
  </r>
  <r>
    <x v="0"/>
    <x v="0"/>
    <x v="0"/>
    <x v="9"/>
    <x v="19"/>
    <s v="SE3_HP"/>
    <x v="4"/>
    <x v="0"/>
    <s v="GBPR_WOODCHIPS_08"/>
    <x v="0"/>
    <x v="8"/>
    <n v="0.51509794577693002"/>
    <n v="188.010750208579"/>
    <n v="676.83870075088498"/>
  </r>
  <r>
    <x v="0"/>
    <x v="0"/>
    <x v="0"/>
    <x v="9"/>
    <x v="19"/>
    <s v="SE3_HP"/>
    <x v="4"/>
    <x v="0"/>
    <s v="GBPR_WOODCHIPS_08"/>
    <x v="0"/>
    <x v="9"/>
    <n v="0.51509794577693002"/>
    <n v="188.010750208579"/>
    <n v="676.83870075088498"/>
  </r>
  <r>
    <x v="0"/>
    <x v="0"/>
    <x v="0"/>
    <x v="9"/>
    <x v="19"/>
    <s v="SE3_HP"/>
    <x v="4"/>
    <x v="0"/>
    <s v="GBPR_WOODCHIPS_08"/>
    <x v="0"/>
    <x v="10"/>
    <n v="0.51509794577693002"/>
    <n v="188.010750208579"/>
    <n v="676.83870075088498"/>
  </r>
  <r>
    <x v="0"/>
    <x v="0"/>
    <x v="0"/>
    <x v="9"/>
    <x v="19"/>
    <s v="SE3_HP"/>
    <x v="4"/>
    <x v="0"/>
    <s v="GBPR_WOODCHIPS_08"/>
    <x v="0"/>
    <x v="11"/>
    <n v="0.51509794577693002"/>
    <n v="188.010750208579"/>
    <n v="676.83870075088498"/>
  </r>
  <r>
    <x v="0"/>
    <x v="0"/>
    <x v="0"/>
    <x v="9"/>
    <x v="19"/>
    <s v="SE3_HP"/>
    <x v="4"/>
    <x v="0"/>
    <s v="GBPR_WOODCHIPS_08"/>
    <x v="0"/>
    <x v="12"/>
    <n v="0.51509794577693002"/>
    <n v="188.010750208579"/>
    <n v="676.83870075088498"/>
  </r>
  <r>
    <x v="0"/>
    <x v="0"/>
    <x v="0"/>
    <x v="9"/>
    <x v="19"/>
    <s v="SE3_HP"/>
    <x v="4"/>
    <x v="0"/>
    <s v="GBPR_WOODCHIPS_08"/>
    <x v="0"/>
    <x v="13"/>
    <n v="0.51509794577693002"/>
    <n v="188.010750208579"/>
    <n v="676.83870075088498"/>
  </r>
  <r>
    <x v="0"/>
    <x v="0"/>
    <x v="0"/>
    <x v="9"/>
    <x v="19"/>
    <s v="SE3_HP"/>
    <x v="4"/>
    <x v="0"/>
    <s v="GBPR_WOODCHIPS_08"/>
    <x v="0"/>
    <x v="14"/>
    <n v="0.51509794577693002"/>
    <n v="188.010750208579"/>
    <n v="676.83870075088498"/>
  </r>
  <r>
    <x v="0"/>
    <x v="0"/>
    <x v="0"/>
    <x v="9"/>
    <x v="19"/>
    <s v="SE3_HP"/>
    <x v="4"/>
    <x v="0"/>
    <s v="GBPR_WOODCHIPS_08"/>
    <x v="0"/>
    <x v="15"/>
    <n v="0.51509794577693002"/>
    <n v="188.010750208579"/>
    <n v="676.83870075088498"/>
  </r>
  <r>
    <x v="0"/>
    <x v="0"/>
    <x v="0"/>
    <x v="9"/>
    <x v="19"/>
    <s v="SE3_HP"/>
    <x v="4"/>
    <x v="0"/>
    <s v="GBPR_WOODCHIPS_08"/>
    <x v="0"/>
    <x v="16"/>
    <n v="0.51509794577693002"/>
    <n v="188.010750208579"/>
    <n v="676.83870075088498"/>
  </r>
  <r>
    <x v="0"/>
    <x v="0"/>
    <x v="0"/>
    <x v="9"/>
    <x v="19"/>
    <s v="SE3_HP"/>
    <x v="4"/>
    <x v="0"/>
    <s v="GBPR_WOODCHIPS_08"/>
    <x v="0"/>
    <x v="17"/>
    <n v="0.51509794577693002"/>
    <n v="188.010750208579"/>
    <n v="676.83870075088498"/>
  </r>
  <r>
    <x v="0"/>
    <x v="0"/>
    <x v="0"/>
    <x v="9"/>
    <x v="19"/>
    <s v="SE3_HP"/>
    <x v="4"/>
    <x v="0"/>
    <s v="GBPR_WOODCHIPS_08"/>
    <x v="0"/>
    <x v="18"/>
    <n v="0.51509794577693002"/>
    <n v="188.010750208579"/>
    <n v="676.83870075088498"/>
  </r>
  <r>
    <x v="0"/>
    <x v="0"/>
    <x v="0"/>
    <x v="9"/>
    <x v="19"/>
    <s v="SE3_HP"/>
    <x v="4"/>
    <x v="0"/>
    <s v="GBPR_WOODCHIPS_08"/>
    <x v="0"/>
    <x v="19"/>
    <n v="0.51509794577693002"/>
    <n v="188.010750208579"/>
    <n v="676.83870075088498"/>
  </r>
  <r>
    <x v="0"/>
    <x v="0"/>
    <x v="0"/>
    <x v="9"/>
    <x v="19"/>
    <s v="SE3_HP"/>
    <x v="4"/>
    <x v="0"/>
    <s v="GBPR_WOODCHIPS_08"/>
    <x v="0"/>
    <x v="20"/>
    <n v="0.51509794577693002"/>
    <n v="188.010750208579"/>
    <n v="676.83870075088498"/>
  </r>
  <r>
    <x v="0"/>
    <x v="0"/>
    <x v="0"/>
    <x v="9"/>
    <x v="19"/>
    <s v="SE3_HP"/>
    <x v="4"/>
    <x v="0"/>
    <s v="GBPR_WOODCHIPS_08"/>
    <x v="0"/>
    <x v="21"/>
    <n v="0.51509794577693002"/>
    <n v="188.010750208579"/>
    <n v="676.83870075088498"/>
  </r>
  <r>
    <x v="0"/>
    <x v="0"/>
    <x v="0"/>
    <x v="9"/>
    <x v="19"/>
    <s v="SE3_HP"/>
    <x v="4"/>
    <x v="0"/>
    <s v="GBPR_WOODCHIPS_08"/>
    <x v="0"/>
    <x v="22"/>
    <n v="0.51509794577693002"/>
    <n v="188.010750208579"/>
    <n v="676.83870075088498"/>
  </r>
  <r>
    <x v="0"/>
    <x v="0"/>
    <x v="0"/>
    <x v="9"/>
    <x v="19"/>
    <s v="SE3_HP"/>
    <x v="4"/>
    <x v="0"/>
    <s v="GBPR_WOODCHIPS_08"/>
    <x v="0"/>
    <x v="23"/>
    <n v="0.51509794577693002"/>
    <n v="188.010750208579"/>
    <n v="676.83870075088498"/>
  </r>
  <r>
    <x v="0"/>
    <x v="0"/>
    <x v="0"/>
    <x v="9"/>
    <x v="19"/>
    <s v="SE3_HP"/>
    <x v="11"/>
    <x v="0"/>
    <s v="GBPR_WOODWASTE_36"/>
    <x v="0"/>
    <x v="0"/>
    <n v="24.793345008756599"/>
    <n v="9049.5709281961499"/>
    <n v="32578.455341506098"/>
  </r>
  <r>
    <x v="0"/>
    <x v="0"/>
    <x v="0"/>
    <x v="9"/>
    <x v="19"/>
    <s v="SE3_HP"/>
    <x v="11"/>
    <x v="0"/>
    <s v="GBPR_WOODWASTE_36"/>
    <x v="0"/>
    <x v="1"/>
    <n v="24.793345008756599"/>
    <n v="9049.5709281961499"/>
    <n v="32578.455341506098"/>
  </r>
  <r>
    <x v="0"/>
    <x v="0"/>
    <x v="0"/>
    <x v="9"/>
    <x v="19"/>
    <s v="SE3_HP"/>
    <x v="11"/>
    <x v="0"/>
    <s v="GBPR_WOODWASTE_36"/>
    <x v="0"/>
    <x v="2"/>
    <n v="24.793345008756599"/>
    <n v="9049.5709281961499"/>
    <n v="32578.455341506098"/>
  </r>
  <r>
    <x v="0"/>
    <x v="0"/>
    <x v="0"/>
    <x v="9"/>
    <x v="19"/>
    <s v="SE3_HP"/>
    <x v="11"/>
    <x v="0"/>
    <s v="GBPR_WOODWASTE_36"/>
    <x v="0"/>
    <x v="3"/>
    <n v="24.793345008756599"/>
    <n v="9049.5709281961499"/>
    <n v="32578.455341506098"/>
  </r>
  <r>
    <x v="0"/>
    <x v="0"/>
    <x v="0"/>
    <x v="9"/>
    <x v="19"/>
    <s v="SE3_HP"/>
    <x v="11"/>
    <x v="0"/>
    <s v="GBPR_WOODWASTE_36"/>
    <x v="0"/>
    <x v="4"/>
    <n v="24.793345008756599"/>
    <n v="9049.5709281961499"/>
    <n v="32578.455341506098"/>
  </r>
  <r>
    <x v="0"/>
    <x v="0"/>
    <x v="0"/>
    <x v="9"/>
    <x v="19"/>
    <s v="SE3_HP"/>
    <x v="11"/>
    <x v="0"/>
    <s v="GBPR_WOODWASTE_36"/>
    <x v="0"/>
    <x v="5"/>
    <n v="24.793345008756599"/>
    <n v="9049.5709281961499"/>
    <n v="32578.455341506098"/>
  </r>
  <r>
    <x v="0"/>
    <x v="0"/>
    <x v="0"/>
    <x v="9"/>
    <x v="19"/>
    <s v="SE3_HP"/>
    <x v="11"/>
    <x v="0"/>
    <s v="GBPR_WOODWASTE_36"/>
    <x v="0"/>
    <x v="6"/>
    <n v="24.793345008756599"/>
    <n v="9049.5709281961499"/>
    <n v="32578.455341506098"/>
  </r>
  <r>
    <x v="0"/>
    <x v="0"/>
    <x v="0"/>
    <x v="9"/>
    <x v="19"/>
    <s v="SE3_HP"/>
    <x v="11"/>
    <x v="0"/>
    <s v="GBPR_WOODWASTE_36"/>
    <x v="0"/>
    <x v="7"/>
    <n v="24.793345008756599"/>
    <n v="9049.5709281961499"/>
    <n v="32578.455341506098"/>
  </r>
  <r>
    <x v="0"/>
    <x v="0"/>
    <x v="0"/>
    <x v="9"/>
    <x v="19"/>
    <s v="SE3_HP"/>
    <x v="11"/>
    <x v="0"/>
    <s v="GBPR_WOODWASTE_36"/>
    <x v="0"/>
    <x v="8"/>
    <n v="24.793345008756599"/>
    <n v="9049.5709281961499"/>
    <n v="32578.455341506098"/>
  </r>
  <r>
    <x v="0"/>
    <x v="0"/>
    <x v="0"/>
    <x v="9"/>
    <x v="19"/>
    <s v="SE3_HP"/>
    <x v="11"/>
    <x v="0"/>
    <s v="GBPR_WOODWASTE_36"/>
    <x v="0"/>
    <x v="9"/>
    <n v="24.793345008756599"/>
    <n v="9049.5709281961499"/>
    <n v="32578.455341506098"/>
  </r>
  <r>
    <x v="0"/>
    <x v="0"/>
    <x v="0"/>
    <x v="9"/>
    <x v="19"/>
    <s v="SE3_HP"/>
    <x v="11"/>
    <x v="0"/>
    <s v="GBPR_WOODWASTE_36"/>
    <x v="0"/>
    <x v="10"/>
    <n v="24.793345008756599"/>
    <n v="9049.5709281961499"/>
    <n v="32578.455341506098"/>
  </r>
  <r>
    <x v="0"/>
    <x v="0"/>
    <x v="0"/>
    <x v="9"/>
    <x v="19"/>
    <s v="SE3_HP"/>
    <x v="11"/>
    <x v="0"/>
    <s v="GBPR_WOODWASTE_36"/>
    <x v="0"/>
    <x v="11"/>
    <n v="24.793345008756599"/>
    <n v="9049.5709281961499"/>
    <n v="32578.455341506098"/>
  </r>
  <r>
    <x v="0"/>
    <x v="0"/>
    <x v="0"/>
    <x v="9"/>
    <x v="19"/>
    <s v="SE3_HP"/>
    <x v="11"/>
    <x v="0"/>
    <s v="GBPR_WOODWASTE_36"/>
    <x v="0"/>
    <x v="12"/>
    <n v="24.793345008756599"/>
    <n v="9049.5709281961499"/>
    <n v="32578.455341506098"/>
  </r>
  <r>
    <x v="0"/>
    <x v="0"/>
    <x v="0"/>
    <x v="9"/>
    <x v="19"/>
    <s v="SE3_HP"/>
    <x v="11"/>
    <x v="0"/>
    <s v="GBPR_WOODWASTE_36"/>
    <x v="0"/>
    <x v="13"/>
    <n v="24.793345008756599"/>
    <n v="9049.5709281961499"/>
    <n v="32578.455341506098"/>
  </r>
  <r>
    <x v="0"/>
    <x v="0"/>
    <x v="0"/>
    <x v="9"/>
    <x v="19"/>
    <s v="SE3_HP"/>
    <x v="11"/>
    <x v="0"/>
    <s v="GBPR_WOODWASTE_36"/>
    <x v="0"/>
    <x v="14"/>
    <n v="24.793345008756599"/>
    <n v="9049.5709281961499"/>
    <n v="32578.455341506098"/>
  </r>
  <r>
    <x v="0"/>
    <x v="0"/>
    <x v="0"/>
    <x v="9"/>
    <x v="19"/>
    <s v="SE3_HP"/>
    <x v="11"/>
    <x v="0"/>
    <s v="GBPR_WOODWASTE_36"/>
    <x v="0"/>
    <x v="15"/>
    <n v="24.793345008756599"/>
    <n v="9049.5709281961499"/>
    <n v="32578.455341506098"/>
  </r>
  <r>
    <x v="0"/>
    <x v="0"/>
    <x v="0"/>
    <x v="9"/>
    <x v="19"/>
    <s v="SE3_HP"/>
    <x v="11"/>
    <x v="0"/>
    <s v="GBPR_WOODWASTE_36"/>
    <x v="0"/>
    <x v="16"/>
    <n v="24.793345008756599"/>
    <n v="9049.5709281961499"/>
    <n v="32578.455341506098"/>
  </r>
  <r>
    <x v="0"/>
    <x v="0"/>
    <x v="0"/>
    <x v="9"/>
    <x v="19"/>
    <s v="SE3_HP"/>
    <x v="11"/>
    <x v="0"/>
    <s v="GBPR_WOODWASTE_36"/>
    <x v="0"/>
    <x v="17"/>
    <n v="24.793345008756599"/>
    <n v="9049.5709281961499"/>
    <n v="32578.455341506098"/>
  </r>
  <r>
    <x v="0"/>
    <x v="0"/>
    <x v="0"/>
    <x v="9"/>
    <x v="19"/>
    <s v="SE3_HP"/>
    <x v="11"/>
    <x v="0"/>
    <s v="GBPR_WOODWASTE_36"/>
    <x v="0"/>
    <x v="18"/>
    <n v="24.793345008756599"/>
    <n v="9049.5709281961499"/>
    <n v="32578.455341506098"/>
  </r>
  <r>
    <x v="0"/>
    <x v="0"/>
    <x v="0"/>
    <x v="9"/>
    <x v="19"/>
    <s v="SE3_HP"/>
    <x v="11"/>
    <x v="0"/>
    <s v="GBPR_WOODWASTE_36"/>
    <x v="0"/>
    <x v="19"/>
    <n v="24.793345008756599"/>
    <n v="9049.5709281961499"/>
    <n v="32578.455341506098"/>
  </r>
  <r>
    <x v="0"/>
    <x v="0"/>
    <x v="0"/>
    <x v="9"/>
    <x v="19"/>
    <s v="SE3_HP"/>
    <x v="11"/>
    <x v="0"/>
    <s v="GBPR_WOODWASTE_36"/>
    <x v="0"/>
    <x v="20"/>
    <n v="24.793345008756599"/>
    <n v="9049.5709281961499"/>
    <n v="32578.455341506098"/>
  </r>
  <r>
    <x v="0"/>
    <x v="0"/>
    <x v="0"/>
    <x v="9"/>
    <x v="19"/>
    <s v="SE3_HP"/>
    <x v="11"/>
    <x v="0"/>
    <s v="GBPR_WOODWASTE_36"/>
    <x v="0"/>
    <x v="21"/>
    <n v="24.793345008756599"/>
    <n v="9049.5709281961499"/>
    <n v="32578.455341506098"/>
  </r>
  <r>
    <x v="0"/>
    <x v="0"/>
    <x v="0"/>
    <x v="9"/>
    <x v="19"/>
    <s v="SE3_HP"/>
    <x v="11"/>
    <x v="0"/>
    <s v="GBPR_WOODWASTE_36"/>
    <x v="0"/>
    <x v="22"/>
    <n v="24.793345008756599"/>
    <n v="9049.5709281961499"/>
    <n v="32578.455341506098"/>
  </r>
  <r>
    <x v="0"/>
    <x v="0"/>
    <x v="0"/>
    <x v="9"/>
    <x v="19"/>
    <s v="SE3_HP"/>
    <x v="11"/>
    <x v="0"/>
    <s v="GBPR_WOODWASTE_36"/>
    <x v="0"/>
    <x v="23"/>
    <n v="24.793345008756599"/>
    <n v="9049.5709281961499"/>
    <n v="32578.455341506098"/>
  </r>
  <r>
    <x v="0"/>
    <x v="0"/>
    <x v="0"/>
    <x v="9"/>
    <x v="19"/>
    <s v="SE3_HP"/>
    <x v="11"/>
    <x v="1"/>
    <s v="GEXT_WOODWASTE"/>
    <x v="0"/>
    <x v="0"/>
    <n v="168.26339257970301"/>
    <n v="61416.138291591502"/>
    <n v="221098.09784972999"/>
  </r>
  <r>
    <x v="0"/>
    <x v="0"/>
    <x v="0"/>
    <x v="9"/>
    <x v="19"/>
    <s v="SE3_HP"/>
    <x v="11"/>
    <x v="1"/>
    <s v="GEXT_WOODWASTE"/>
    <x v="0"/>
    <x v="1"/>
    <n v="168.26339257970301"/>
    <n v="61416.138291591502"/>
    <n v="221098.09784972999"/>
  </r>
  <r>
    <x v="0"/>
    <x v="0"/>
    <x v="0"/>
    <x v="9"/>
    <x v="19"/>
    <s v="SE3_HP"/>
    <x v="11"/>
    <x v="1"/>
    <s v="GEXT_WOODWASTE"/>
    <x v="0"/>
    <x v="2"/>
    <n v="168.26339257970301"/>
    <n v="61416.138291591502"/>
    <n v="221098.09784972999"/>
  </r>
  <r>
    <x v="0"/>
    <x v="0"/>
    <x v="0"/>
    <x v="9"/>
    <x v="19"/>
    <s v="SE3_HP"/>
    <x v="11"/>
    <x v="1"/>
    <s v="GEXT_WOODWASTE"/>
    <x v="0"/>
    <x v="3"/>
    <n v="168.26339257970301"/>
    <n v="61416.138291591502"/>
    <n v="221098.09784972999"/>
  </r>
  <r>
    <x v="0"/>
    <x v="0"/>
    <x v="0"/>
    <x v="9"/>
    <x v="19"/>
    <s v="SE3_HP"/>
    <x v="11"/>
    <x v="1"/>
    <s v="GEXT_WOODWASTE"/>
    <x v="0"/>
    <x v="4"/>
    <n v="168.26339257970301"/>
    <n v="61416.138291591502"/>
    <n v="221098.09784972999"/>
  </r>
  <r>
    <x v="0"/>
    <x v="0"/>
    <x v="0"/>
    <x v="9"/>
    <x v="19"/>
    <s v="SE3_HP"/>
    <x v="11"/>
    <x v="1"/>
    <s v="GEXT_WOODWASTE"/>
    <x v="0"/>
    <x v="5"/>
    <n v="168.26339257970301"/>
    <n v="61416.138291591502"/>
    <n v="221098.09784972999"/>
  </r>
  <r>
    <x v="0"/>
    <x v="0"/>
    <x v="0"/>
    <x v="9"/>
    <x v="19"/>
    <s v="SE3_HP"/>
    <x v="11"/>
    <x v="1"/>
    <s v="GEXT_WOODWASTE"/>
    <x v="0"/>
    <x v="6"/>
    <n v="168.26339257970301"/>
    <n v="61416.138291591502"/>
    <n v="221098.09784972999"/>
  </r>
  <r>
    <x v="0"/>
    <x v="0"/>
    <x v="0"/>
    <x v="9"/>
    <x v="19"/>
    <s v="SE3_HP"/>
    <x v="11"/>
    <x v="1"/>
    <s v="GEXT_WOODWASTE"/>
    <x v="0"/>
    <x v="7"/>
    <n v="168.26339257970301"/>
    <n v="61416.138291591502"/>
    <n v="221098.09784972999"/>
  </r>
  <r>
    <x v="0"/>
    <x v="0"/>
    <x v="0"/>
    <x v="9"/>
    <x v="19"/>
    <s v="SE3_HP"/>
    <x v="11"/>
    <x v="1"/>
    <s v="GEXT_WOODWASTE"/>
    <x v="0"/>
    <x v="8"/>
    <n v="168.26339257970301"/>
    <n v="61416.138291591502"/>
    <n v="221098.09784972999"/>
  </r>
  <r>
    <x v="0"/>
    <x v="0"/>
    <x v="0"/>
    <x v="9"/>
    <x v="19"/>
    <s v="SE3_HP"/>
    <x v="11"/>
    <x v="1"/>
    <s v="GEXT_WOODWASTE"/>
    <x v="0"/>
    <x v="9"/>
    <n v="168.26339257970301"/>
    <n v="61416.138291591502"/>
    <n v="221098.09784972999"/>
  </r>
  <r>
    <x v="0"/>
    <x v="0"/>
    <x v="0"/>
    <x v="9"/>
    <x v="19"/>
    <s v="SE3_HP"/>
    <x v="11"/>
    <x v="1"/>
    <s v="GEXT_WOODWASTE"/>
    <x v="0"/>
    <x v="10"/>
    <n v="168.26339257970301"/>
    <n v="61416.138291591502"/>
    <n v="221098.09784972999"/>
  </r>
  <r>
    <x v="0"/>
    <x v="0"/>
    <x v="0"/>
    <x v="9"/>
    <x v="19"/>
    <s v="SE3_HP"/>
    <x v="11"/>
    <x v="1"/>
    <s v="GEXT_WOODWASTE"/>
    <x v="0"/>
    <x v="11"/>
    <n v="168.26339257970301"/>
    <n v="61416.138291591502"/>
    <n v="221098.09784972999"/>
  </r>
  <r>
    <x v="0"/>
    <x v="0"/>
    <x v="0"/>
    <x v="9"/>
    <x v="19"/>
    <s v="SE3_HP"/>
    <x v="11"/>
    <x v="1"/>
    <s v="GEXT_WOODWASTE"/>
    <x v="0"/>
    <x v="12"/>
    <n v="168.26339257970301"/>
    <n v="61416.138291591502"/>
    <n v="221098.09784972999"/>
  </r>
  <r>
    <x v="0"/>
    <x v="0"/>
    <x v="0"/>
    <x v="9"/>
    <x v="19"/>
    <s v="SE3_HP"/>
    <x v="11"/>
    <x v="1"/>
    <s v="GEXT_WOODWASTE"/>
    <x v="0"/>
    <x v="13"/>
    <n v="168.26339257970301"/>
    <n v="61416.138291591502"/>
    <n v="221098.09784972999"/>
  </r>
  <r>
    <x v="0"/>
    <x v="0"/>
    <x v="0"/>
    <x v="9"/>
    <x v="19"/>
    <s v="SE3_HP"/>
    <x v="11"/>
    <x v="1"/>
    <s v="GEXT_WOODWASTE"/>
    <x v="0"/>
    <x v="14"/>
    <n v="168.26339257970301"/>
    <n v="61416.138291591502"/>
    <n v="221098.09784972999"/>
  </r>
  <r>
    <x v="0"/>
    <x v="0"/>
    <x v="0"/>
    <x v="9"/>
    <x v="19"/>
    <s v="SE3_HP"/>
    <x v="11"/>
    <x v="1"/>
    <s v="GEXT_WOODWASTE"/>
    <x v="0"/>
    <x v="15"/>
    <n v="168.26339257970301"/>
    <n v="61416.138291591502"/>
    <n v="221098.09784972999"/>
  </r>
  <r>
    <x v="0"/>
    <x v="0"/>
    <x v="0"/>
    <x v="9"/>
    <x v="19"/>
    <s v="SE3_HP"/>
    <x v="11"/>
    <x v="1"/>
    <s v="GEXT_WOODWASTE"/>
    <x v="0"/>
    <x v="16"/>
    <n v="168.26339257970301"/>
    <n v="61416.138291591502"/>
    <n v="221098.09784972999"/>
  </r>
  <r>
    <x v="0"/>
    <x v="0"/>
    <x v="0"/>
    <x v="9"/>
    <x v="19"/>
    <s v="SE3_HP"/>
    <x v="11"/>
    <x v="1"/>
    <s v="GEXT_WOODWASTE"/>
    <x v="0"/>
    <x v="17"/>
    <n v="168.26339257970301"/>
    <n v="61416.138291591502"/>
    <n v="221098.09784972999"/>
  </r>
  <r>
    <x v="0"/>
    <x v="0"/>
    <x v="0"/>
    <x v="9"/>
    <x v="19"/>
    <s v="SE3_HP"/>
    <x v="11"/>
    <x v="1"/>
    <s v="GEXT_WOODWASTE"/>
    <x v="0"/>
    <x v="18"/>
    <n v="168.26339257970301"/>
    <n v="61416.138291591502"/>
    <n v="221098.09784972999"/>
  </r>
  <r>
    <x v="0"/>
    <x v="0"/>
    <x v="0"/>
    <x v="9"/>
    <x v="19"/>
    <s v="SE3_HP"/>
    <x v="11"/>
    <x v="1"/>
    <s v="GEXT_WOODWASTE"/>
    <x v="0"/>
    <x v="19"/>
    <n v="168.26339257970301"/>
    <n v="61416.138291591502"/>
    <n v="221098.09784972999"/>
  </r>
  <r>
    <x v="0"/>
    <x v="0"/>
    <x v="0"/>
    <x v="9"/>
    <x v="19"/>
    <s v="SE3_HP"/>
    <x v="11"/>
    <x v="1"/>
    <s v="GEXT_WOODWASTE"/>
    <x v="0"/>
    <x v="20"/>
    <n v="168.26339257970301"/>
    <n v="61416.138291591502"/>
    <n v="221098.09784972999"/>
  </r>
  <r>
    <x v="0"/>
    <x v="0"/>
    <x v="0"/>
    <x v="9"/>
    <x v="19"/>
    <s v="SE3_HP"/>
    <x v="11"/>
    <x v="1"/>
    <s v="GEXT_WOODWASTE"/>
    <x v="0"/>
    <x v="21"/>
    <n v="168.26339257970301"/>
    <n v="61416.138291591502"/>
    <n v="221098.09784972999"/>
  </r>
  <r>
    <x v="0"/>
    <x v="0"/>
    <x v="0"/>
    <x v="9"/>
    <x v="19"/>
    <s v="SE3_HP"/>
    <x v="11"/>
    <x v="1"/>
    <s v="GEXT_WOODWASTE"/>
    <x v="0"/>
    <x v="22"/>
    <n v="168.26339257970301"/>
    <n v="61416.138291591502"/>
    <n v="221098.09784972999"/>
  </r>
  <r>
    <x v="0"/>
    <x v="0"/>
    <x v="0"/>
    <x v="9"/>
    <x v="19"/>
    <s v="SE3_HP"/>
    <x v="11"/>
    <x v="1"/>
    <s v="GEXT_WOODWASTE"/>
    <x v="0"/>
    <x v="23"/>
    <n v="168.26339257970301"/>
    <n v="61416.138291591502"/>
    <n v="221098.09784972999"/>
  </r>
  <r>
    <x v="0"/>
    <x v="0"/>
    <x v="0"/>
    <x v="9"/>
    <x v="19"/>
    <s v="SE3_OTHER"/>
    <x v="1"/>
    <x v="0"/>
    <s v="GBPR_MUNIWASTE_24"/>
    <x v="0"/>
    <x v="0"/>
    <n v="28.917506225872899"/>
    <n v="10554.889772443599"/>
    <n v="37997.603180796898"/>
  </r>
  <r>
    <x v="0"/>
    <x v="0"/>
    <x v="0"/>
    <x v="9"/>
    <x v="19"/>
    <s v="SE3_OTHER"/>
    <x v="1"/>
    <x v="0"/>
    <s v="GBPR_MUNIWASTE_24"/>
    <x v="0"/>
    <x v="1"/>
    <n v="28.917506225872899"/>
    <n v="10554.889772443599"/>
    <n v="37997.603180796898"/>
  </r>
  <r>
    <x v="0"/>
    <x v="0"/>
    <x v="0"/>
    <x v="9"/>
    <x v="19"/>
    <s v="SE3_OTHER"/>
    <x v="1"/>
    <x v="0"/>
    <s v="GBPR_MUNIWASTE_24"/>
    <x v="0"/>
    <x v="2"/>
    <n v="28.917506225872899"/>
    <n v="10554.889772443599"/>
    <n v="37997.603180796898"/>
  </r>
  <r>
    <x v="0"/>
    <x v="0"/>
    <x v="0"/>
    <x v="9"/>
    <x v="19"/>
    <s v="SE3_OTHER"/>
    <x v="1"/>
    <x v="0"/>
    <s v="GBPR_MUNIWASTE_24"/>
    <x v="0"/>
    <x v="3"/>
    <n v="28.917506225872899"/>
    <n v="10554.889772443599"/>
    <n v="37997.603180796898"/>
  </r>
  <r>
    <x v="0"/>
    <x v="0"/>
    <x v="0"/>
    <x v="9"/>
    <x v="19"/>
    <s v="SE3_OTHER"/>
    <x v="1"/>
    <x v="0"/>
    <s v="GBPR_MUNIWASTE_24"/>
    <x v="0"/>
    <x v="4"/>
    <n v="28.917506225872899"/>
    <n v="10554.889772443599"/>
    <n v="37997.603180796898"/>
  </r>
  <r>
    <x v="0"/>
    <x v="0"/>
    <x v="0"/>
    <x v="9"/>
    <x v="19"/>
    <s v="SE3_OTHER"/>
    <x v="1"/>
    <x v="0"/>
    <s v="GBPR_MUNIWASTE_24"/>
    <x v="0"/>
    <x v="5"/>
    <n v="28.917506225872899"/>
    <n v="10554.889772443599"/>
    <n v="37997.603180796898"/>
  </r>
  <r>
    <x v="0"/>
    <x v="0"/>
    <x v="0"/>
    <x v="9"/>
    <x v="19"/>
    <s v="SE3_OTHER"/>
    <x v="1"/>
    <x v="0"/>
    <s v="GBPR_MUNIWASTE_24"/>
    <x v="0"/>
    <x v="6"/>
    <n v="28.917506225872899"/>
    <n v="10554.889772443599"/>
    <n v="37997.603180796898"/>
  </r>
  <r>
    <x v="0"/>
    <x v="0"/>
    <x v="0"/>
    <x v="9"/>
    <x v="19"/>
    <s v="SE3_OTHER"/>
    <x v="1"/>
    <x v="0"/>
    <s v="GBPR_MUNIWASTE_24"/>
    <x v="0"/>
    <x v="7"/>
    <n v="28.917506225872899"/>
    <n v="10554.889772443599"/>
    <n v="37997.603180796898"/>
  </r>
  <r>
    <x v="0"/>
    <x v="0"/>
    <x v="0"/>
    <x v="9"/>
    <x v="19"/>
    <s v="SE3_OTHER"/>
    <x v="1"/>
    <x v="0"/>
    <s v="GBPR_MUNIWASTE_24"/>
    <x v="0"/>
    <x v="8"/>
    <n v="28.917506225872899"/>
    <n v="10554.889772443599"/>
    <n v="37997.603180796898"/>
  </r>
  <r>
    <x v="0"/>
    <x v="0"/>
    <x v="0"/>
    <x v="9"/>
    <x v="19"/>
    <s v="SE3_OTHER"/>
    <x v="1"/>
    <x v="0"/>
    <s v="GBPR_MUNIWASTE_24"/>
    <x v="0"/>
    <x v="9"/>
    <n v="28.917506225872899"/>
    <n v="10554.889772443599"/>
    <n v="37997.603180796898"/>
  </r>
  <r>
    <x v="0"/>
    <x v="0"/>
    <x v="0"/>
    <x v="9"/>
    <x v="19"/>
    <s v="SE3_OTHER"/>
    <x v="1"/>
    <x v="0"/>
    <s v="GBPR_MUNIWASTE_24"/>
    <x v="0"/>
    <x v="10"/>
    <n v="28.917506225872899"/>
    <n v="10554.889772443599"/>
    <n v="37997.603180796898"/>
  </r>
  <r>
    <x v="0"/>
    <x v="0"/>
    <x v="0"/>
    <x v="9"/>
    <x v="19"/>
    <s v="SE3_OTHER"/>
    <x v="1"/>
    <x v="0"/>
    <s v="GBPR_MUNIWASTE_24"/>
    <x v="0"/>
    <x v="11"/>
    <n v="28.917506225872899"/>
    <n v="10554.889772443599"/>
    <n v="37997.603180796898"/>
  </r>
  <r>
    <x v="0"/>
    <x v="0"/>
    <x v="0"/>
    <x v="9"/>
    <x v="19"/>
    <s v="SE3_OTHER"/>
    <x v="1"/>
    <x v="0"/>
    <s v="GBPR_MUNIWASTE_24"/>
    <x v="0"/>
    <x v="12"/>
    <n v="28.917506225872899"/>
    <n v="10554.889772443599"/>
    <n v="37997.603180796898"/>
  </r>
  <r>
    <x v="0"/>
    <x v="0"/>
    <x v="0"/>
    <x v="9"/>
    <x v="19"/>
    <s v="SE3_OTHER"/>
    <x v="1"/>
    <x v="0"/>
    <s v="GBPR_MUNIWASTE_24"/>
    <x v="0"/>
    <x v="13"/>
    <n v="28.917506225872899"/>
    <n v="10554.889772443599"/>
    <n v="37997.603180796898"/>
  </r>
  <r>
    <x v="0"/>
    <x v="0"/>
    <x v="0"/>
    <x v="9"/>
    <x v="19"/>
    <s v="SE3_OTHER"/>
    <x v="1"/>
    <x v="0"/>
    <s v="GBPR_MUNIWASTE_24"/>
    <x v="0"/>
    <x v="14"/>
    <n v="28.917506225872899"/>
    <n v="10554.889772443599"/>
    <n v="37997.603180796898"/>
  </r>
  <r>
    <x v="0"/>
    <x v="0"/>
    <x v="0"/>
    <x v="9"/>
    <x v="19"/>
    <s v="SE3_OTHER"/>
    <x v="1"/>
    <x v="0"/>
    <s v="GBPR_MUNIWASTE_24"/>
    <x v="0"/>
    <x v="15"/>
    <n v="28.917506225872899"/>
    <n v="10554.889772443599"/>
    <n v="37997.603180796898"/>
  </r>
  <r>
    <x v="0"/>
    <x v="0"/>
    <x v="0"/>
    <x v="9"/>
    <x v="19"/>
    <s v="SE3_OTHER"/>
    <x v="1"/>
    <x v="0"/>
    <s v="GBPR_MUNIWASTE_24"/>
    <x v="0"/>
    <x v="16"/>
    <n v="28.917506225872899"/>
    <n v="10554.889772443599"/>
    <n v="37997.603180796898"/>
  </r>
  <r>
    <x v="0"/>
    <x v="0"/>
    <x v="0"/>
    <x v="9"/>
    <x v="19"/>
    <s v="SE3_OTHER"/>
    <x v="1"/>
    <x v="0"/>
    <s v="GBPR_MUNIWASTE_24"/>
    <x v="0"/>
    <x v="17"/>
    <n v="28.917506225872899"/>
    <n v="10554.889772443599"/>
    <n v="37997.603180796898"/>
  </r>
  <r>
    <x v="0"/>
    <x v="0"/>
    <x v="0"/>
    <x v="9"/>
    <x v="19"/>
    <s v="SE3_OTHER"/>
    <x v="1"/>
    <x v="0"/>
    <s v="GBPR_MUNIWASTE_24"/>
    <x v="0"/>
    <x v="18"/>
    <n v="28.917506225872899"/>
    <n v="10554.889772443599"/>
    <n v="37997.603180796898"/>
  </r>
  <r>
    <x v="0"/>
    <x v="0"/>
    <x v="0"/>
    <x v="9"/>
    <x v="19"/>
    <s v="SE3_OTHER"/>
    <x v="1"/>
    <x v="0"/>
    <s v="GBPR_MUNIWASTE_24"/>
    <x v="0"/>
    <x v="19"/>
    <n v="28.917506225872899"/>
    <n v="10554.889772443599"/>
    <n v="37997.603180796898"/>
  </r>
  <r>
    <x v="0"/>
    <x v="0"/>
    <x v="0"/>
    <x v="9"/>
    <x v="19"/>
    <s v="SE3_OTHER"/>
    <x v="1"/>
    <x v="0"/>
    <s v="GBPR_MUNIWASTE_24"/>
    <x v="0"/>
    <x v="20"/>
    <n v="28.917506225872899"/>
    <n v="10554.889772443599"/>
    <n v="37997.603180796898"/>
  </r>
  <r>
    <x v="0"/>
    <x v="0"/>
    <x v="0"/>
    <x v="9"/>
    <x v="19"/>
    <s v="SE3_OTHER"/>
    <x v="1"/>
    <x v="0"/>
    <s v="GBPR_MUNIWASTE_24"/>
    <x v="0"/>
    <x v="21"/>
    <n v="28.917506225872899"/>
    <n v="10554.889772443599"/>
    <n v="37997.603180796898"/>
  </r>
  <r>
    <x v="0"/>
    <x v="0"/>
    <x v="0"/>
    <x v="9"/>
    <x v="19"/>
    <s v="SE3_OTHER"/>
    <x v="1"/>
    <x v="0"/>
    <s v="GBPR_MUNIWASTE_24"/>
    <x v="0"/>
    <x v="22"/>
    <n v="28.917506225872899"/>
    <n v="10554.889772443599"/>
    <n v="37997.603180796898"/>
  </r>
  <r>
    <x v="0"/>
    <x v="0"/>
    <x v="0"/>
    <x v="9"/>
    <x v="19"/>
    <s v="SE3_OTHER"/>
    <x v="1"/>
    <x v="0"/>
    <s v="GBPR_MUNIWASTE_24"/>
    <x v="0"/>
    <x v="23"/>
    <n v="28.917506225872899"/>
    <n v="10554.889772443599"/>
    <n v="37997.603180796898"/>
  </r>
  <r>
    <x v="0"/>
    <x v="0"/>
    <x v="0"/>
    <x v="9"/>
    <x v="19"/>
    <s v="SE3_OTHER"/>
    <x v="16"/>
    <x v="0"/>
    <s v="GBPR_RECYCLEDWOOD_SE3OTHER"/>
    <x v="0"/>
    <x v="0"/>
    <n v="38.364923920971698"/>
    <n v="14003.1972311547"/>
    <n v="50411.510032156802"/>
  </r>
  <r>
    <x v="0"/>
    <x v="0"/>
    <x v="0"/>
    <x v="9"/>
    <x v="19"/>
    <s v="SE3_OTHER"/>
    <x v="16"/>
    <x v="0"/>
    <s v="GBPR_RECYCLEDWOOD_SE3OTHER"/>
    <x v="0"/>
    <x v="1"/>
    <n v="38.364923920971698"/>
    <n v="14003.1972311547"/>
    <n v="50411.510032156802"/>
  </r>
  <r>
    <x v="0"/>
    <x v="0"/>
    <x v="0"/>
    <x v="9"/>
    <x v="19"/>
    <s v="SE3_OTHER"/>
    <x v="16"/>
    <x v="0"/>
    <s v="GBPR_RECYCLEDWOOD_SE3OTHER"/>
    <x v="0"/>
    <x v="2"/>
    <n v="38.364923920971698"/>
    <n v="14003.1972311547"/>
    <n v="50411.510032156802"/>
  </r>
  <r>
    <x v="0"/>
    <x v="0"/>
    <x v="0"/>
    <x v="9"/>
    <x v="19"/>
    <s v="SE3_OTHER"/>
    <x v="16"/>
    <x v="0"/>
    <s v="GBPR_RECYCLEDWOOD_SE3OTHER"/>
    <x v="0"/>
    <x v="3"/>
    <n v="38.364923920971698"/>
    <n v="14003.1972311547"/>
    <n v="50411.510032156802"/>
  </r>
  <r>
    <x v="0"/>
    <x v="0"/>
    <x v="0"/>
    <x v="9"/>
    <x v="19"/>
    <s v="SE3_OTHER"/>
    <x v="16"/>
    <x v="0"/>
    <s v="GBPR_RECYCLEDWOOD_SE3OTHER"/>
    <x v="0"/>
    <x v="4"/>
    <n v="38.364923920971698"/>
    <n v="14003.1972311547"/>
    <n v="50411.510032156802"/>
  </r>
  <r>
    <x v="0"/>
    <x v="0"/>
    <x v="0"/>
    <x v="9"/>
    <x v="19"/>
    <s v="SE3_OTHER"/>
    <x v="16"/>
    <x v="0"/>
    <s v="GBPR_RECYCLEDWOOD_SE3OTHER"/>
    <x v="0"/>
    <x v="5"/>
    <n v="38.364923920971698"/>
    <n v="14003.1972311547"/>
    <n v="50411.510032156802"/>
  </r>
  <r>
    <x v="0"/>
    <x v="0"/>
    <x v="0"/>
    <x v="9"/>
    <x v="19"/>
    <s v="SE3_OTHER"/>
    <x v="16"/>
    <x v="0"/>
    <s v="GBPR_RECYCLEDWOOD_SE3OTHER"/>
    <x v="0"/>
    <x v="6"/>
    <n v="38.364923920971698"/>
    <n v="14003.1972311547"/>
    <n v="50411.510032156802"/>
  </r>
  <r>
    <x v="0"/>
    <x v="0"/>
    <x v="0"/>
    <x v="9"/>
    <x v="19"/>
    <s v="SE3_OTHER"/>
    <x v="16"/>
    <x v="0"/>
    <s v="GBPR_RECYCLEDWOOD_SE3OTHER"/>
    <x v="0"/>
    <x v="7"/>
    <n v="38.364923920971698"/>
    <n v="14003.1972311547"/>
    <n v="50411.510032156802"/>
  </r>
  <r>
    <x v="0"/>
    <x v="0"/>
    <x v="0"/>
    <x v="9"/>
    <x v="19"/>
    <s v="SE3_OTHER"/>
    <x v="16"/>
    <x v="0"/>
    <s v="GBPR_RECYCLEDWOOD_SE3OTHER"/>
    <x v="0"/>
    <x v="8"/>
    <n v="38.364923920971698"/>
    <n v="14003.1972311547"/>
    <n v="50411.510032156802"/>
  </r>
  <r>
    <x v="0"/>
    <x v="0"/>
    <x v="0"/>
    <x v="9"/>
    <x v="19"/>
    <s v="SE3_OTHER"/>
    <x v="16"/>
    <x v="0"/>
    <s v="GBPR_RECYCLEDWOOD_SE3OTHER"/>
    <x v="0"/>
    <x v="9"/>
    <n v="38.364923920971698"/>
    <n v="14003.1972311547"/>
    <n v="50411.510032156802"/>
  </r>
  <r>
    <x v="0"/>
    <x v="0"/>
    <x v="0"/>
    <x v="9"/>
    <x v="19"/>
    <s v="SE3_OTHER"/>
    <x v="16"/>
    <x v="0"/>
    <s v="GBPR_RECYCLEDWOOD_SE3OTHER"/>
    <x v="0"/>
    <x v="10"/>
    <n v="38.364923920971698"/>
    <n v="14003.1972311547"/>
    <n v="50411.510032156802"/>
  </r>
  <r>
    <x v="0"/>
    <x v="0"/>
    <x v="0"/>
    <x v="9"/>
    <x v="19"/>
    <s v="SE3_OTHER"/>
    <x v="16"/>
    <x v="0"/>
    <s v="GBPR_RECYCLEDWOOD_SE3OTHER"/>
    <x v="0"/>
    <x v="11"/>
    <n v="38.364923920971698"/>
    <n v="14003.1972311547"/>
    <n v="50411.510032156802"/>
  </r>
  <r>
    <x v="0"/>
    <x v="0"/>
    <x v="0"/>
    <x v="9"/>
    <x v="19"/>
    <s v="SE3_OTHER"/>
    <x v="16"/>
    <x v="0"/>
    <s v="GBPR_RECYCLEDWOOD_SE3OTHER"/>
    <x v="0"/>
    <x v="12"/>
    <n v="38.364923920971698"/>
    <n v="14003.1972311547"/>
    <n v="50411.510032156802"/>
  </r>
  <r>
    <x v="0"/>
    <x v="0"/>
    <x v="0"/>
    <x v="9"/>
    <x v="19"/>
    <s v="SE3_OTHER"/>
    <x v="16"/>
    <x v="0"/>
    <s v="GBPR_RECYCLEDWOOD_SE3OTHER"/>
    <x v="0"/>
    <x v="13"/>
    <n v="38.364923920971698"/>
    <n v="14003.1972311547"/>
    <n v="50411.510032156802"/>
  </r>
  <r>
    <x v="0"/>
    <x v="0"/>
    <x v="0"/>
    <x v="9"/>
    <x v="19"/>
    <s v="SE3_OTHER"/>
    <x v="16"/>
    <x v="0"/>
    <s v="GBPR_RECYCLEDWOOD_SE3OTHER"/>
    <x v="0"/>
    <x v="14"/>
    <n v="38.364923920971698"/>
    <n v="14003.1972311547"/>
    <n v="50411.510032156802"/>
  </r>
  <r>
    <x v="0"/>
    <x v="0"/>
    <x v="0"/>
    <x v="9"/>
    <x v="19"/>
    <s v="SE3_OTHER"/>
    <x v="16"/>
    <x v="0"/>
    <s v="GBPR_RECYCLEDWOOD_SE3OTHER"/>
    <x v="0"/>
    <x v="15"/>
    <n v="38.364923920971698"/>
    <n v="14003.1972311547"/>
    <n v="50411.510032156802"/>
  </r>
  <r>
    <x v="0"/>
    <x v="0"/>
    <x v="0"/>
    <x v="9"/>
    <x v="19"/>
    <s v="SE3_OTHER"/>
    <x v="16"/>
    <x v="0"/>
    <s v="GBPR_RECYCLEDWOOD_SE3OTHER"/>
    <x v="0"/>
    <x v="16"/>
    <n v="38.364923920971698"/>
    <n v="14003.1972311547"/>
    <n v="50411.510032156802"/>
  </r>
  <r>
    <x v="0"/>
    <x v="0"/>
    <x v="0"/>
    <x v="9"/>
    <x v="19"/>
    <s v="SE3_OTHER"/>
    <x v="16"/>
    <x v="0"/>
    <s v="GBPR_RECYCLEDWOOD_SE3OTHER"/>
    <x v="0"/>
    <x v="17"/>
    <n v="38.364923920971698"/>
    <n v="14003.1972311547"/>
    <n v="50411.510032156802"/>
  </r>
  <r>
    <x v="0"/>
    <x v="0"/>
    <x v="0"/>
    <x v="9"/>
    <x v="19"/>
    <s v="SE3_OTHER"/>
    <x v="16"/>
    <x v="0"/>
    <s v="GBPR_RECYCLEDWOOD_SE3OTHER"/>
    <x v="0"/>
    <x v="18"/>
    <n v="38.364923920971698"/>
    <n v="14003.1972311547"/>
    <n v="50411.510032156802"/>
  </r>
  <r>
    <x v="0"/>
    <x v="0"/>
    <x v="0"/>
    <x v="9"/>
    <x v="19"/>
    <s v="SE3_OTHER"/>
    <x v="16"/>
    <x v="0"/>
    <s v="GBPR_RECYCLEDWOOD_SE3OTHER"/>
    <x v="0"/>
    <x v="19"/>
    <n v="38.364923920971698"/>
    <n v="14003.1972311547"/>
    <n v="50411.510032156802"/>
  </r>
  <r>
    <x v="0"/>
    <x v="0"/>
    <x v="0"/>
    <x v="9"/>
    <x v="19"/>
    <s v="SE3_OTHER"/>
    <x v="16"/>
    <x v="0"/>
    <s v="GBPR_RECYCLEDWOOD_SE3OTHER"/>
    <x v="0"/>
    <x v="20"/>
    <n v="38.364923920971698"/>
    <n v="14003.1972311547"/>
    <n v="50411.510032156802"/>
  </r>
  <r>
    <x v="0"/>
    <x v="0"/>
    <x v="0"/>
    <x v="9"/>
    <x v="19"/>
    <s v="SE3_OTHER"/>
    <x v="16"/>
    <x v="0"/>
    <s v="GBPR_RECYCLEDWOOD_SE3OTHER"/>
    <x v="0"/>
    <x v="21"/>
    <n v="38.364923920971698"/>
    <n v="14003.1972311547"/>
    <n v="50411.510032156802"/>
  </r>
  <r>
    <x v="0"/>
    <x v="0"/>
    <x v="0"/>
    <x v="9"/>
    <x v="19"/>
    <s v="SE3_OTHER"/>
    <x v="16"/>
    <x v="0"/>
    <s v="GBPR_RECYCLEDWOOD_SE3OTHER"/>
    <x v="0"/>
    <x v="22"/>
    <n v="38.364923920971698"/>
    <n v="14003.1972311547"/>
    <n v="50411.510032156802"/>
  </r>
  <r>
    <x v="0"/>
    <x v="0"/>
    <x v="0"/>
    <x v="9"/>
    <x v="19"/>
    <s v="SE3_OTHER"/>
    <x v="16"/>
    <x v="0"/>
    <s v="GBPR_RECYCLEDWOOD_SE3OTHER"/>
    <x v="0"/>
    <x v="23"/>
    <n v="38.364923920971698"/>
    <n v="14003.1972311547"/>
    <n v="50411.510032156802"/>
  </r>
  <r>
    <x v="0"/>
    <x v="0"/>
    <x v="0"/>
    <x v="9"/>
    <x v="19"/>
    <s v="SE3_OTHER"/>
    <x v="4"/>
    <x v="0"/>
    <s v="GBPR_WOODCHIPS_25"/>
    <x v="0"/>
    <x v="0"/>
    <n v="14.201137843673999"/>
    <n v="5183.4153129409997"/>
    <n v="18660.2951265876"/>
  </r>
  <r>
    <x v="0"/>
    <x v="0"/>
    <x v="0"/>
    <x v="9"/>
    <x v="19"/>
    <s v="SE3_OTHER"/>
    <x v="4"/>
    <x v="0"/>
    <s v="GBPR_WOODCHIPS_25"/>
    <x v="0"/>
    <x v="1"/>
    <n v="14.201137843673999"/>
    <n v="5183.4153129409997"/>
    <n v="18660.2951265876"/>
  </r>
  <r>
    <x v="0"/>
    <x v="0"/>
    <x v="0"/>
    <x v="9"/>
    <x v="19"/>
    <s v="SE3_OTHER"/>
    <x v="4"/>
    <x v="0"/>
    <s v="GBPR_WOODCHIPS_25"/>
    <x v="0"/>
    <x v="2"/>
    <n v="14.201137843673999"/>
    <n v="5183.4153129409997"/>
    <n v="18660.2951265876"/>
  </r>
  <r>
    <x v="0"/>
    <x v="0"/>
    <x v="0"/>
    <x v="9"/>
    <x v="19"/>
    <s v="SE3_OTHER"/>
    <x v="4"/>
    <x v="0"/>
    <s v="GBPR_WOODCHIPS_25"/>
    <x v="0"/>
    <x v="3"/>
    <n v="14.201137843673999"/>
    <n v="5183.4153129409997"/>
    <n v="18660.2951265876"/>
  </r>
  <r>
    <x v="0"/>
    <x v="0"/>
    <x v="0"/>
    <x v="9"/>
    <x v="19"/>
    <s v="SE3_OTHER"/>
    <x v="4"/>
    <x v="0"/>
    <s v="GBPR_WOODCHIPS_25"/>
    <x v="0"/>
    <x v="4"/>
    <n v="14.201137843673999"/>
    <n v="5183.4153129409997"/>
    <n v="18660.2951265876"/>
  </r>
  <r>
    <x v="0"/>
    <x v="0"/>
    <x v="0"/>
    <x v="9"/>
    <x v="19"/>
    <s v="SE3_OTHER"/>
    <x v="4"/>
    <x v="0"/>
    <s v="GBPR_WOODCHIPS_25"/>
    <x v="0"/>
    <x v="5"/>
    <n v="14.201137843673999"/>
    <n v="5183.4153129409997"/>
    <n v="18660.2951265876"/>
  </r>
  <r>
    <x v="0"/>
    <x v="0"/>
    <x v="0"/>
    <x v="9"/>
    <x v="19"/>
    <s v="SE3_OTHER"/>
    <x v="4"/>
    <x v="0"/>
    <s v="GBPR_WOODCHIPS_25"/>
    <x v="0"/>
    <x v="6"/>
    <n v="14.201137843673999"/>
    <n v="5183.4153129409997"/>
    <n v="18660.2951265876"/>
  </r>
  <r>
    <x v="0"/>
    <x v="0"/>
    <x v="0"/>
    <x v="9"/>
    <x v="19"/>
    <s v="SE3_OTHER"/>
    <x v="4"/>
    <x v="0"/>
    <s v="GBPR_WOODCHIPS_25"/>
    <x v="0"/>
    <x v="7"/>
    <n v="14.201137843673999"/>
    <n v="5183.4153129409997"/>
    <n v="18660.2951265876"/>
  </r>
  <r>
    <x v="0"/>
    <x v="0"/>
    <x v="0"/>
    <x v="9"/>
    <x v="19"/>
    <s v="SE3_OTHER"/>
    <x v="4"/>
    <x v="0"/>
    <s v="GBPR_WOODCHIPS_25"/>
    <x v="0"/>
    <x v="8"/>
    <n v="14.201137843673999"/>
    <n v="5183.4153129409997"/>
    <n v="18660.2951265876"/>
  </r>
  <r>
    <x v="0"/>
    <x v="0"/>
    <x v="0"/>
    <x v="9"/>
    <x v="19"/>
    <s v="SE3_OTHER"/>
    <x v="4"/>
    <x v="0"/>
    <s v="GBPR_WOODCHIPS_25"/>
    <x v="0"/>
    <x v="9"/>
    <n v="14.201137843673999"/>
    <n v="5183.4153129409997"/>
    <n v="18660.2951265876"/>
  </r>
  <r>
    <x v="0"/>
    <x v="0"/>
    <x v="0"/>
    <x v="9"/>
    <x v="19"/>
    <s v="SE3_OTHER"/>
    <x v="4"/>
    <x v="0"/>
    <s v="GBPR_WOODCHIPS_25"/>
    <x v="0"/>
    <x v="10"/>
    <n v="14.201137843673999"/>
    <n v="5183.4153129409997"/>
    <n v="18660.2951265876"/>
  </r>
  <r>
    <x v="0"/>
    <x v="0"/>
    <x v="0"/>
    <x v="9"/>
    <x v="19"/>
    <s v="SE3_OTHER"/>
    <x v="4"/>
    <x v="0"/>
    <s v="GBPR_WOODCHIPS_25"/>
    <x v="0"/>
    <x v="11"/>
    <n v="14.201137843673999"/>
    <n v="5183.4153129409997"/>
    <n v="18660.2951265876"/>
  </r>
  <r>
    <x v="0"/>
    <x v="0"/>
    <x v="0"/>
    <x v="9"/>
    <x v="19"/>
    <s v="SE3_OTHER"/>
    <x v="4"/>
    <x v="0"/>
    <s v="GBPR_WOODCHIPS_25"/>
    <x v="0"/>
    <x v="12"/>
    <n v="14.201137843673999"/>
    <n v="5183.4153129409997"/>
    <n v="18660.2951265876"/>
  </r>
  <r>
    <x v="0"/>
    <x v="0"/>
    <x v="0"/>
    <x v="9"/>
    <x v="19"/>
    <s v="SE3_OTHER"/>
    <x v="4"/>
    <x v="0"/>
    <s v="GBPR_WOODCHIPS_25"/>
    <x v="0"/>
    <x v="13"/>
    <n v="14.201137843673999"/>
    <n v="5183.4153129409997"/>
    <n v="18660.2951265876"/>
  </r>
  <r>
    <x v="0"/>
    <x v="0"/>
    <x v="0"/>
    <x v="9"/>
    <x v="19"/>
    <s v="SE3_OTHER"/>
    <x v="4"/>
    <x v="0"/>
    <s v="GBPR_WOODCHIPS_25"/>
    <x v="0"/>
    <x v="14"/>
    <n v="14.201137843673999"/>
    <n v="5183.4153129409997"/>
    <n v="18660.2951265876"/>
  </r>
  <r>
    <x v="0"/>
    <x v="0"/>
    <x v="0"/>
    <x v="9"/>
    <x v="19"/>
    <s v="SE3_OTHER"/>
    <x v="4"/>
    <x v="0"/>
    <s v="GBPR_WOODCHIPS_25"/>
    <x v="0"/>
    <x v="15"/>
    <n v="14.201137843673999"/>
    <n v="5183.4153129409997"/>
    <n v="18660.2951265876"/>
  </r>
  <r>
    <x v="0"/>
    <x v="0"/>
    <x v="0"/>
    <x v="9"/>
    <x v="19"/>
    <s v="SE3_OTHER"/>
    <x v="4"/>
    <x v="0"/>
    <s v="GBPR_WOODCHIPS_25"/>
    <x v="0"/>
    <x v="16"/>
    <n v="14.201137843673999"/>
    <n v="5183.4153129409997"/>
    <n v="18660.2951265876"/>
  </r>
  <r>
    <x v="0"/>
    <x v="0"/>
    <x v="0"/>
    <x v="9"/>
    <x v="19"/>
    <s v="SE3_OTHER"/>
    <x v="4"/>
    <x v="0"/>
    <s v="GBPR_WOODCHIPS_25"/>
    <x v="0"/>
    <x v="17"/>
    <n v="14.201137843673999"/>
    <n v="5183.4153129409997"/>
    <n v="18660.2951265876"/>
  </r>
  <r>
    <x v="0"/>
    <x v="0"/>
    <x v="0"/>
    <x v="9"/>
    <x v="19"/>
    <s v="SE3_OTHER"/>
    <x v="4"/>
    <x v="0"/>
    <s v="GBPR_WOODCHIPS_25"/>
    <x v="0"/>
    <x v="18"/>
    <n v="14.201137843673999"/>
    <n v="5183.4153129409997"/>
    <n v="18660.2951265876"/>
  </r>
  <r>
    <x v="0"/>
    <x v="0"/>
    <x v="0"/>
    <x v="9"/>
    <x v="19"/>
    <s v="SE3_OTHER"/>
    <x v="4"/>
    <x v="0"/>
    <s v="GBPR_WOODCHIPS_25"/>
    <x v="0"/>
    <x v="19"/>
    <n v="14.201137843673999"/>
    <n v="5183.4153129409997"/>
    <n v="18660.2951265876"/>
  </r>
  <r>
    <x v="0"/>
    <x v="0"/>
    <x v="0"/>
    <x v="9"/>
    <x v="19"/>
    <s v="SE3_OTHER"/>
    <x v="4"/>
    <x v="0"/>
    <s v="GBPR_WOODCHIPS_25"/>
    <x v="0"/>
    <x v="20"/>
    <n v="14.201137843673999"/>
    <n v="5183.4153129409997"/>
    <n v="18660.2951265876"/>
  </r>
  <r>
    <x v="0"/>
    <x v="0"/>
    <x v="0"/>
    <x v="9"/>
    <x v="19"/>
    <s v="SE3_OTHER"/>
    <x v="4"/>
    <x v="0"/>
    <s v="GBPR_WOODCHIPS_25"/>
    <x v="0"/>
    <x v="21"/>
    <n v="14.201137843673999"/>
    <n v="5183.4153129409997"/>
    <n v="18660.2951265876"/>
  </r>
  <r>
    <x v="0"/>
    <x v="0"/>
    <x v="0"/>
    <x v="9"/>
    <x v="19"/>
    <s v="SE3_OTHER"/>
    <x v="4"/>
    <x v="0"/>
    <s v="GBPR_WOODCHIPS_25"/>
    <x v="0"/>
    <x v="22"/>
    <n v="14.201137843673999"/>
    <n v="5183.4153129409997"/>
    <n v="18660.2951265876"/>
  </r>
  <r>
    <x v="0"/>
    <x v="0"/>
    <x v="0"/>
    <x v="9"/>
    <x v="19"/>
    <s v="SE3_OTHER"/>
    <x v="4"/>
    <x v="0"/>
    <s v="GBPR_WOODCHIPS_25"/>
    <x v="0"/>
    <x v="23"/>
    <n v="14.201137843673999"/>
    <n v="5183.4153129409997"/>
    <n v="18660.2951265876"/>
  </r>
  <r>
    <x v="0"/>
    <x v="0"/>
    <x v="0"/>
    <x v="9"/>
    <x v="19"/>
    <s v="SE3_OTHER"/>
    <x v="4"/>
    <x v="0"/>
    <s v="GBPR_WOODCHIPS_37"/>
    <x v="0"/>
    <x v="0"/>
    <n v="37.794073555166399"/>
    <n v="13794.836847635701"/>
    <n v="49661.412651488601"/>
  </r>
  <r>
    <x v="0"/>
    <x v="0"/>
    <x v="0"/>
    <x v="9"/>
    <x v="19"/>
    <s v="SE3_OTHER"/>
    <x v="4"/>
    <x v="0"/>
    <s v="GBPR_WOODCHIPS_37"/>
    <x v="0"/>
    <x v="1"/>
    <n v="37.794073555166399"/>
    <n v="13794.836847635701"/>
    <n v="49661.412651488601"/>
  </r>
  <r>
    <x v="0"/>
    <x v="0"/>
    <x v="0"/>
    <x v="9"/>
    <x v="19"/>
    <s v="SE3_OTHER"/>
    <x v="4"/>
    <x v="0"/>
    <s v="GBPR_WOODCHIPS_37"/>
    <x v="0"/>
    <x v="2"/>
    <n v="37.794073555166399"/>
    <n v="13794.836847635701"/>
    <n v="49661.412651488601"/>
  </r>
  <r>
    <x v="0"/>
    <x v="0"/>
    <x v="0"/>
    <x v="9"/>
    <x v="19"/>
    <s v="SE3_OTHER"/>
    <x v="4"/>
    <x v="0"/>
    <s v="GBPR_WOODCHIPS_37"/>
    <x v="0"/>
    <x v="3"/>
    <n v="37.794073555166399"/>
    <n v="13794.836847635701"/>
    <n v="49661.412651488601"/>
  </r>
  <r>
    <x v="0"/>
    <x v="0"/>
    <x v="0"/>
    <x v="9"/>
    <x v="19"/>
    <s v="SE3_OTHER"/>
    <x v="4"/>
    <x v="0"/>
    <s v="GBPR_WOODCHIPS_37"/>
    <x v="0"/>
    <x v="4"/>
    <n v="37.794073555166399"/>
    <n v="13794.836847635701"/>
    <n v="49661.412651488601"/>
  </r>
  <r>
    <x v="0"/>
    <x v="0"/>
    <x v="0"/>
    <x v="9"/>
    <x v="19"/>
    <s v="SE3_OTHER"/>
    <x v="4"/>
    <x v="0"/>
    <s v="GBPR_WOODCHIPS_37"/>
    <x v="0"/>
    <x v="5"/>
    <n v="37.794073555166399"/>
    <n v="13794.836847635701"/>
    <n v="49661.412651488601"/>
  </r>
  <r>
    <x v="0"/>
    <x v="0"/>
    <x v="0"/>
    <x v="9"/>
    <x v="19"/>
    <s v="SE3_OTHER"/>
    <x v="4"/>
    <x v="0"/>
    <s v="GBPR_WOODCHIPS_37"/>
    <x v="0"/>
    <x v="6"/>
    <n v="37.794073555166399"/>
    <n v="13794.836847635701"/>
    <n v="49661.412651488601"/>
  </r>
  <r>
    <x v="0"/>
    <x v="0"/>
    <x v="0"/>
    <x v="9"/>
    <x v="19"/>
    <s v="SE3_OTHER"/>
    <x v="4"/>
    <x v="0"/>
    <s v="GBPR_WOODCHIPS_37"/>
    <x v="0"/>
    <x v="7"/>
    <n v="37.794073555166399"/>
    <n v="13794.836847635701"/>
    <n v="49661.412651488601"/>
  </r>
  <r>
    <x v="0"/>
    <x v="0"/>
    <x v="0"/>
    <x v="9"/>
    <x v="19"/>
    <s v="SE3_OTHER"/>
    <x v="4"/>
    <x v="0"/>
    <s v="GBPR_WOODCHIPS_37"/>
    <x v="0"/>
    <x v="8"/>
    <n v="37.794073555166399"/>
    <n v="13794.836847635701"/>
    <n v="49661.412651488601"/>
  </r>
  <r>
    <x v="0"/>
    <x v="0"/>
    <x v="0"/>
    <x v="9"/>
    <x v="19"/>
    <s v="SE3_OTHER"/>
    <x v="4"/>
    <x v="0"/>
    <s v="GBPR_WOODCHIPS_37"/>
    <x v="0"/>
    <x v="9"/>
    <n v="37.794073555166399"/>
    <n v="13794.836847635701"/>
    <n v="49661.412651488601"/>
  </r>
  <r>
    <x v="0"/>
    <x v="0"/>
    <x v="0"/>
    <x v="9"/>
    <x v="19"/>
    <s v="SE3_OTHER"/>
    <x v="4"/>
    <x v="0"/>
    <s v="GBPR_WOODCHIPS_37"/>
    <x v="0"/>
    <x v="10"/>
    <n v="37.794073555166399"/>
    <n v="13794.836847635701"/>
    <n v="49661.412651488601"/>
  </r>
  <r>
    <x v="0"/>
    <x v="0"/>
    <x v="0"/>
    <x v="9"/>
    <x v="19"/>
    <s v="SE3_OTHER"/>
    <x v="4"/>
    <x v="0"/>
    <s v="GBPR_WOODCHIPS_37"/>
    <x v="0"/>
    <x v="11"/>
    <n v="37.794073555166399"/>
    <n v="13794.836847635701"/>
    <n v="49661.412651488601"/>
  </r>
  <r>
    <x v="0"/>
    <x v="0"/>
    <x v="0"/>
    <x v="9"/>
    <x v="19"/>
    <s v="SE3_OTHER"/>
    <x v="4"/>
    <x v="0"/>
    <s v="GBPR_WOODCHIPS_37"/>
    <x v="0"/>
    <x v="12"/>
    <n v="37.794073555166399"/>
    <n v="13794.836847635701"/>
    <n v="49661.412651488601"/>
  </r>
  <r>
    <x v="0"/>
    <x v="0"/>
    <x v="0"/>
    <x v="9"/>
    <x v="19"/>
    <s v="SE3_OTHER"/>
    <x v="4"/>
    <x v="0"/>
    <s v="GBPR_WOODCHIPS_37"/>
    <x v="0"/>
    <x v="13"/>
    <n v="37.794073555166399"/>
    <n v="13794.836847635701"/>
    <n v="49661.412651488601"/>
  </r>
  <r>
    <x v="0"/>
    <x v="0"/>
    <x v="0"/>
    <x v="9"/>
    <x v="19"/>
    <s v="SE3_OTHER"/>
    <x v="4"/>
    <x v="0"/>
    <s v="GBPR_WOODCHIPS_37"/>
    <x v="0"/>
    <x v="14"/>
    <n v="37.794073555166399"/>
    <n v="13794.836847635701"/>
    <n v="49661.412651488601"/>
  </r>
  <r>
    <x v="0"/>
    <x v="0"/>
    <x v="0"/>
    <x v="9"/>
    <x v="19"/>
    <s v="SE3_OTHER"/>
    <x v="4"/>
    <x v="0"/>
    <s v="GBPR_WOODCHIPS_37"/>
    <x v="0"/>
    <x v="15"/>
    <n v="37.794073555166399"/>
    <n v="13794.836847635701"/>
    <n v="49661.412651488601"/>
  </r>
  <r>
    <x v="0"/>
    <x v="0"/>
    <x v="0"/>
    <x v="9"/>
    <x v="19"/>
    <s v="SE3_OTHER"/>
    <x v="4"/>
    <x v="0"/>
    <s v="GBPR_WOODCHIPS_37"/>
    <x v="0"/>
    <x v="16"/>
    <n v="37.794073555166399"/>
    <n v="13794.836847635701"/>
    <n v="49661.412651488601"/>
  </r>
  <r>
    <x v="0"/>
    <x v="0"/>
    <x v="0"/>
    <x v="9"/>
    <x v="19"/>
    <s v="SE3_OTHER"/>
    <x v="4"/>
    <x v="0"/>
    <s v="GBPR_WOODCHIPS_37"/>
    <x v="0"/>
    <x v="17"/>
    <n v="37.794073555166399"/>
    <n v="13794.836847635701"/>
    <n v="49661.412651488601"/>
  </r>
  <r>
    <x v="0"/>
    <x v="0"/>
    <x v="0"/>
    <x v="9"/>
    <x v="19"/>
    <s v="SE3_OTHER"/>
    <x v="4"/>
    <x v="0"/>
    <s v="GBPR_WOODCHIPS_37"/>
    <x v="0"/>
    <x v="18"/>
    <n v="37.794073555166399"/>
    <n v="13794.836847635701"/>
    <n v="49661.412651488601"/>
  </r>
  <r>
    <x v="0"/>
    <x v="0"/>
    <x v="0"/>
    <x v="9"/>
    <x v="19"/>
    <s v="SE3_OTHER"/>
    <x v="4"/>
    <x v="0"/>
    <s v="GBPR_WOODCHIPS_37"/>
    <x v="0"/>
    <x v="19"/>
    <n v="37.794073555166399"/>
    <n v="13794.836847635701"/>
    <n v="49661.412651488601"/>
  </r>
  <r>
    <x v="0"/>
    <x v="0"/>
    <x v="0"/>
    <x v="9"/>
    <x v="19"/>
    <s v="SE3_OTHER"/>
    <x v="4"/>
    <x v="0"/>
    <s v="GBPR_WOODCHIPS_37"/>
    <x v="0"/>
    <x v="20"/>
    <n v="37.794073555166399"/>
    <n v="13794.836847635701"/>
    <n v="49661.412651488601"/>
  </r>
  <r>
    <x v="0"/>
    <x v="0"/>
    <x v="0"/>
    <x v="9"/>
    <x v="19"/>
    <s v="SE3_OTHER"/>
    <x v="4"/>
    <x v="0"/>
    <s v="GBPR_WOODCHIPS_37"/>
    <x v="0"/>
    <x v="21"/>
    <n v="37.794073555166399"/>
    <n v="13794.836847635701"/>
    <n v="49661.412651488601"/>
  </r>
  <r>
    <x v="0"/>
    <x v="0"/>
    <x v="0"/>
    <x v="9"/>
    <x v="19"/>
    <s v="SE3_OTHER"/>
    <x v="4"/>
    <x v="0"/>
    <s v="GBPR_WOODCHIPS_37"/>
    <x v="0"/>
    <x v="22"/>
    <n v="37.794073555166399"/>
    <n v="13794.836847635701"/>
    <n v="49661.412651488601"/>
  </r>
  <r>
    <x v="0"/>
    <x v="0"/>
    <x v="0"/>
    <x v="9"/>
    <x v="19"/>
    <s v="SE3_OTHER"/>
    <x v="4"/>
    <x v="0"/>
    <s v="GBPR_WOODCHIPS_37"/>
    <x v="0"/>
    <x v="23"/>
    <n v="37.794073555166399"/>
    <n v="13794.836847635701"/>
    <n v="49661.412651488601"/>
  </r>
  <r>
    <x v="0"/>
    <x v="0"/>
    <x v="0"/>
    <x v="9"/>
    <x v="19"/>
    <s v="SE3_OTHER"/>
    <x v="11"/>
    <x v="0"/>
    <s v="GBPR_WOODWASTE_25"/>
    <x v="0"/>
    <x v="0"/>
    <n v="149.360812802102"/>
    <n v="54516.696672767102"/>
    <n v="196260.10802196199"/>
  </r>
  <r>
    <x v="0"/>
    <x v="0"/>
    <x v="0"/>
    <x v="9"/>
    <x v="19"/>
    <s v="SE3_OTHER"/>
    <x v="11"/>
    <x v="0"/>
    <s v="GBPR_WOODWASTE_25"/>
    <x v="0"/>
    <x v="1"/>
    <n v="149.360812802102"/>
    <n v="54516.696672767102"/>
    <n v="196260.10802196199"/>
  </r>
  <r>
    <x v="0"/>
    <x v="0"/>
    <x v="0"/>
    <x v="9"/>
    <x v="19"/>
    <s v="SE3_OTHER"/>
    <x v="11"/>
    <x v="0"/>
    <s v="GBPR_WOODWASTE_25"/>
    <x v="0"/>
    <x v="2"/>
    <n v="149.360812802102"/>
    <n v="54516.696672767102"/>
    <n v="196260.10802196199"/>
  </r>
  <r>
    <x v="0"/>
    <x v="0"/>
    <x v="0"/>
    <x v="9"/>
    <x v="19"/>
    <s v="SE3_OTHER"/>
    <x v="11"/>
    <x v="0"/>
    <s v="GBPR_WOODWASTE_25"/>
    <x v="0"/>
    <x v="3"/>
    <n v="149.360812802102"/>
    <n v="54516.696672767102"/>
    <n v="196260.10802196199"/>
  </r>
  <r>
    <x v="0"/>
    <x v="0"/>
    <x v="0"/>
    <x v="9"/>
    <x v="19"/>
    <s v="SE3_OTHER"/>
    <x v="11"/>
    <x v="0"/>
    <s v="GBPR_WOODWASTE_25"/>
    <x v="0"/>
    <x v="4"/>
    <n v="149.360812802102"/>
    <n v="54516.696672767102"/>
    <n v="196260.10802196199"/>
  </r>
  <r>
    <x v="0"/>
    <x v="0"/>
    <x v="0"/>
    <x v="9"/>
    <x v="19"/>
    <s v="SE3_OTHER"/>
    <x v="11"/>
    <x v="0"/>
    <s v="GBPR_WOODWASTE_25"/>
    <x v="0"/>
    <x v="5"/>
    <n v="149.360812802102"/>
    <n v="54516.696672767102"/>
    <n v="196260.10802196199"/>
  </r>
  <r>
    <x v="0"/>
    <x v="0"/>
    <x v="0"/>
    <x v="9"/>
    <x v="19"/>
    <s v="SE3_OTHER"/>
    <x v="11"/>
    <x v="0"/>
    <s v="GBPR_WOODWASTE_25"/>
    <x v="0"/>
    <x v="6"/>
    <n v="149.360812802102"/>
    <n v="54516.696672767102"/>
    <n v="196260.10802196199"/>
  </r>
  <r>
    <x v="0"/>
    <x v="0"/>
    <x v="0"/>
    <x v="9"/>
    <x v="19"/>
    <s v="SE3_OTHER"/>
    <x v="11"/>
    <x v="0"/>
    <s v="GBPR_WOODWASTE_25"/>
    <x v="0"/>
    <x v="7"/>
    <n v="149.360812802102"/>
    <n v="54516.696672767102"/>
    <n v="196260.10802196199"/>
  </r>
  <r>
    <x v="0"/>
    <x v="0"/>
    <x v="0"/>
    <x v="9"/>
    <x v="19"/>
    <s v="SE3_OTHER"/>
    <x v="11"/>
    <x v="0"/>
    <s v="GBPR_WOODWASTE_25"/>
    <x v="0"/>
    <x v="8"/>
    <n v="149.360812802102"/>
    <n v="54516.696672767102"/>
    <n v="196260.10802196199"/>
  </r>
  <r>
    <x v="0"/>
    <x v="0"/>
    <x v="0"/>
    <x v="9"/>
    <x v="19"/>
    <s v="SE3_OTHER"/>
    <x v="11"/>
    <x v="0"/>
    <s v="GBPR_WOODWASTE_25"/>
    <x v="0"/>
    <x v="9"/>
    <n v="149.360812802102"/>
    <n v="54516.696672767102"/>
    <n v="196260.10802196199"/>
  </r>
  <r>
    <x v="0"/>
    <x v="0"/>
    <x v="0"/>
    <x v="9"/>
    <x v="19"/>
    <s v="SE3_OTHER"/>
    <x v="11"/>
    <x v="0"/>
    <s v="GBPR_WOODWASTE_25"/>
    <x v="0"/>
    <x v="10"/>
    <n v="149.360812802102"/>
    <n v="54516.696672767102"/>
    <n v="196260.10802196199"/>
  </r>
  <r>
    <x v="0"/>
    <x v="0"/>
    <x v="0"/>
    <x v="9"/>
    <x v="19"/>
    <s v="SE3_OTHER"/>
    <x v="11"/>
    <x v="0"/>
    <s v="GBPR_WOODWASTE_25"/>
    <x v="0"/>
    <x v="11"/>
    <n v="149.360812802102"/>
    <n v="54516.696672767102"/>
    <n v="196260.10802196199"/>
  </r>
  <r>
    <x v="0"/>
    <x v="0"/>
    <x v="0"/>
    <x v="9"/>
    <x v="19"/>
    <s v="SE3_OTHER"/>
    <x v="11"/>
    <x v="0"/>
    <s v="GBPR_WOODWASTE_25"/>
    <x v="0"/>
    <x v="12"/>
    <n v="149.360812802102"/>
    <n v="54516.696672767102"/>
    <n v="196260.10802196199"/>
  </r>
  <r>
    <x v="0"/>
    <x v="0"/>
    <x v="0"/>
    <x v="9"/>
    <x v="19"/>
    <s v="SE3_OTHER"/>
    <x v="11"/>
    <x v="0"/>
    <s v="GBPR_WOODWASTE_25"/>
    <x v="0"/>
    <x v="13"/>
    <n v="149.360812802102"/>
    <n v="54516.696672767102"/>
    <n v="196260.10802196199"/>
  </r>
  <r>
    <x v="0"/>
    <x v="0"/>
    <x v="0"/>
    <x v="9"/>
    <x v="19"/>
    <s v="SE3_OTHER"/>
    <x v="11"/>
    <x v="0"/>
    <s v="GBPR_WOODWASTE_25"/>
    <x v="0"/>
    <x v="14"/>
    <n v="149.360812802102"/>
    <n v="54516.696672767102"/>
    <n v="196260.10802196199"/>
  </r>
  <r>
    <x v="0"/>
    <x v="0"/>
    <x v="0"/>
    <x v="9"/>
    <x v="19"/>
    <s v="SE3_OTHER"/>
    <x v="11"/>
    <x v="0"/>
    <s v="GBPR_WOODWASTE_25"/>
    <x v="0"/>
    <x v="15"/>
    <n v="149.360812802102"/>
    <n v="54516.696672767102"/>
    <n v="196260.10802196199"/>
  </r>
  <r>
    <x v="0"/>
    <x v="0"/>
    <x v="0"/>
    <x v="9"/>
    <x v="19"/>
    <s v="SE3_OTHER"/>
    <x v="11"/>
    <x v="0"/>
    <s v="GBPR_WOODWASTE_25"/>
    <x v="0"/>
    <x v="16"/>
    <n v="149.360812802102"/>
    <n v="54516.696672767102"/>
    <n v="196260.10802196199"/>
  </r>
  <r>
    <x v="0"/>
    <x v="0"/>
    <x v="0"/>
    <x v="9"/>
    <x v="19"/>
    <s v="SE3_OTHER"/>
    <x v="11"/>
    <x v="0"/>
    <s v="GBPR_WOODWASTE_25"/>
    <x v="0"/>
    <x v="17"/>
    <n v="149.360812802102"/>
    <n v="54516.696672767102"/>
    <n v="196260.10802196199"/>
  </r>
  <r>
    <x v="0"/>
    <x v="0"/>
    <x v="0"/>
    <x v="9"/>
    <x v="19"/>
    <s v="SE3_OTHER"/>
    <x v="11"/>
    <x v="0"/>
    <s v="GBPR_WOODWASTE_25"/>
    <x v="0"/>
    <x v="18"/>
    <n v="149.360812802102"/>
    <n v="54516.696672767102"/>
    <n v="196260.10802196199"/>
  </r>
  <r>
    <x v="0"/>
    <x v="0"/>
    <x v="0"/>
    <x v="9"/>
    <x v="19"/>
    <s v="SE3_OTHER"/>
    <x v="11"/>
    <x v="0"/>
    <s v="GBPR_WOODWASTE_25"/>
    <x v="0"/>
    <x v="19"/>
    <n v="149.360812802102"/>
    <n v="54516.696672767102"/>
    <n v="196260.10802196199"/>
  </r>
  <r>
    <x v="0"/>
    <x v="0"/>
    <x v="0"/>
    <x v="9"/>
    <x v="19"/>
    <s v="SE3_OTHER"/>
    <x v="11"/>
    <x v="0"/>
    <s v="GBPR_WOODWASTE_25"/>
    <x v="0"/>
    <x v="20"/>
    <n v="149.360812802102"/>
    <n v="54516.696672767102"/>
    <n v="196260.10802196199"/>
  </r>
  <r>
    <x v="0"/>
    <x v="0"/>
    <x v="0"/>
    <x v="9"/>
    <x v="19"/>
    <s v="SE3_OTHER"/>
    <x v="11"/>
    <x v="0"/>
    <s v="GBPR_WOODWASTE_25"/>
    <x v="0"/>
    <x v="21"/>
    <n v="149.360812802102"/>
    <n v="54516.696672767102"/>
    <n v="196260.10802196199"/>
  </r>
  <r>
    <x v="0"/>
    <x v="0"/>
    <x v="0"/>
    <x v="9"/>
    <x v="19"/>
    <s v="SE3_OTHER"/>
    <x v="11"/>
    <x v="0"/>
    <s v="GBPR_WOODWASTE_25"/>
    <x v="0"/>
    <x v="22"/>
    <n v="149.360812802102"/>
    <n v="54516.696672767102"/>
    <n v="196260.10802196199"/>
  </r>
  <r>
    <x v="0"/>
    <x v="0"/>
    <x v="0"/>
    <x v="9"/>
    <x v="19"/>
    <s v="SE3_OTHER"/>
    <x v="11"/>
    <x v="0"/>
    <s v="GBPR_WOODWASTE_25"/>
    <x v="0"/>
    <x v="23"/>
    <n v="149.360812802102"/>
    <n v="54516.696672767102"/>
    <n v="196260.10802196199"/>
  </r>
  <r>
    <x v="0"/>
    <x v="0"/>
    <x v="0"/>
    <x v="9"/>
    <x v="19"/>
    <s v="SE3_STO"/>
    <x v="17"/>
    <x v="1"/>
    <s v="GEXT_BIOOIL_VARTAN"/>
    <x v="0"/>
    <x v="0"/>
    <n v="190"/>
    <n v="69350"/>
    <n v="249660"/>
  </r>
  <r>
    <x v="0"/>
    <x v="0"/>
    <x v="0"/>
    <x v="9"/>
    <x v="19"/>
    <s v="SE3_STO"/>
    <x v="17"/>
    <x v="1"/>
    <s v="GEXT_BIOOIL_VARTAN"/>
    <x v="0"/>
    <x v="1"/>
    <n v="190"/>
    <n v="69350"/>
    <n v="249660"/>
  </r>
  <r>
    <x v="0"/>
    <x v="0"/>
    <x v="0"/>
    <x v="9"/>
    <x v="19"/>
    <s v="SE3_STO"/>
    <x v="17"/>
    <x v="1"/>
    <s v="GEXT_BIOOIL_VARTAN"/>
    <x v="0"/>
    <x v="2"/>
    <n v="190"/>
    <n v="69350"/>
    <n v="249660"/>
  </r>
  <r>
    <x v="0"/>
    <x v="0"/>
    <x v="0"/>
    <x v="9"/>
    <x v="19"/>
    <s v="SE3_STO"/>
    <x v="17"/>
    <x v="1"/>
    <s v="GEXT_BIOOIL_VARTAN"/>
    <x v="0"/>
    <x v="3"/>
    <n v="190"/>
    <n v="69350"/>
    <n v="249660"/>
  </r>
  <r>
    <x v="0"/>
    <x v="0"/>
    <x v="0"/>
    <x v="9"/>
    <x v="19"/>
    <s v="SE3_STO"/>
    <x v="17"/>
    <x v="1"/>
    <s v="GEXT_BIOOIL_VARTAN"/>
    <x v="0"/>
    <x v="4"/>
    <n v="190"/>
    <n v="69350"/>
    <n v="249660"/>
  </r>
  <r>
    <x v="0"/>
    <x v="0"/>
    <x v="0"/>
    <x v="9"/>
    <x v="19"/>
    <s v="SE3_STO"/>
    <x v="17"/>
    <x v="1"/>
    <s v="GEXT_BIOOIL_VARTAN"/>
    <x v="0"/>
    <x v="5"/>
    <n v="190"/>
    <n v="69350"/>
    <n v="249660"/>
  </r>
  <r>
    <x v="0"/>
    <x v="0"/>
    <x v="0"/>
    <x v="9"/>
    <x v="19"/>
    <s v="SE3_STO"/>
    <x v="17"/>
    <x v="1"/>
    <s v="GEXT_BIOOIL_VARTAN"/>
    <x v="0"/>
    <x v="6"/>
    <n v="190"/>
    <n v="69350"/>
    <n v="249660"/>
  </r>
  <r>
    <x v="0"/>
    <x v="0"/>
    <x v="0"/>
    <x v="9"/>
    <x v="19"/>
    <s v="SE3_STO"/>
    <x v="17"/>
    <x v="1"/>
    <s v="GEXT_BIOOIL_VARTAN"/>
    <x v="0"/>
    <x v="7"/>
    <n v="190"/>
    <n v="69350"/>
    <n v="249660"/>
  </r>
  <r>
    <x v="0"/>
    <x v="0"/>
    <x v="0"/>
    <x v="9"/>
    <x v="19"/>
    <s v="SE3_STO"/>
    <x v="17"/>
    <x v="1"/>
    <s v="GEXT_BIOOIL_VARTAN"/>
    <x v="0"/>
    <x v="8"/>
    <n v="190"/>
    <n v="69350"/>
    <n v="249660"/>
  </r>
  <r>
    <x v="0"/>
    <x v="0"/>
    <x v="0"/>
    <x v="9"/>
    <x v="19"/>
    <s v="SE3_STO"/>
    <x v="17"/>
    <x v="1"/>
    <s v="GEXT_BIOOIL_VARTAN"/>
    <x v="0"/>
    <x v="9"/>
    <n v="190"/>
    <n v="69350"/>
    <n v="249660"/>
  </r>
  <r>
    <x v="0"/>
    <x v="0"/>
    <x v="0"/>
    <x v="9"/>
    <x v="19"/>
    <s v="SE3_STO"/>
    <x v="17"/>
    <x v="1"/>
    <s v="GEXT_BIOOIL_VARTAN"/>
    <x v="0"/>
    <x v="10"/>
    <n v="190"/>
    <n v="69350"/>
    <n v="249660"/>
  </r>
  <r>
    <x v="0"/>
    <x v="0"/>
    <x v="0"/>
    <x v="9"/>
    <x v="19"/>
    <s v="SE3_STO"/>
    <x v="17"/>
    <x v="1"/>
    <s v="GEXT_BIOOIL_VARTAN"/>
    <x v="0"/>
    <x v="11"/>
    <n v="190"/>
    <n v="69350"/>
    <n v="249660"/>
  </r>
  <r>
    <x v="0"/>
    <x v="0"/>
    <x v="0"/>
    <x v="9"/>
    <x v="19"/>
    <s v="SE3_STO"/>
    <x v="17"/>
    <x v="1"/>
    <s v="GEXT_BIOOIL_VARTAN"/>
    <x v="0"/>
    <x v="12"/>
    <n v="190"/>
    <n v="69350"/>
    <n v="249660"/>
  </r>
  <r>
    <x v="0"/>
    <x v="0"/>
    <x v="0"/>
    <x v="9"/>
    <x v="19"/>
    <s v="SE3_STO"/>
    <x v="17"/>
    <x v="1"/>
    <s v="GEXT_BIOOIL_VARTAN"/>
    <x v="0"/>
    <x v="13"/>
    <n v="190"/>
    <n v="69350"/>
    <n v="249660"/>
  </r>
  <r>
    <x v="0"/>
    <x v="0"/>
    <x v="0"/>
    <x v="9"/>
    <x v="19"/>
    <s v="SE3_STO"/>
    <x v="17"/>
    <x v="1"/>
    <s v="GEXT_BIOOIL_VARTAN"/>
    <x v="0"/>
    <x v="14"/>
    <n v="190"/>
    <n v="69350"/>
    <n v="249660"/>
  </r>
  <r>
    <x v="0"/>
    <x v="0"/>
    <x v="0"/>
    <x v="9"/>
    <x v="19"/>
    <s v="SE3_STO"/>
    <x v="17"/>
    <x v="1"/>
    <s v="GEXT_BIOOIL_VARTAN"/>
    <x v="0"/>
    <x v="15"/>
    <n v="190"/>
    <n v="69350"/>
    <n v="249660"/>
  </r>
  <r>
    <x v="0"/>
    <x v="0"/>
    <x v="0"/>
    <x v="9"/>
    <x v="19"/>
    <s v="SE3_STO"/>
    <x v="17"/>
    <x v="1"/>
    <s v="GEXT_BIOOIL_VARTAN"/>
    <x v="0"/>
    <x v="16"/>
    <n v="190"/>
    <n v="69350"/>
    <n v="249660"/>
  </r>
  <r>
    <x v="0"/>
    <x v="0"/>
    <x v="0"/>
    <x v="9"/>
    <x v="19"/>
    <s v="SE3_STO"/>
    <x v="17"/>
    <x v="1"/>
    <s v="GEXT_BIOOIL_VARTAN"/>
    <x v="0"/>
    <x v="17"/>
    <n v="190"/>
    <n v="69350"/>
    <n v="249660"/>
  </r>
  <r>
    <x v="0"/>
    <x v="0"/>
    <x v="0"/>
    <x v="9"/>
    <x v="19"/>
    <s v="SE3_STO"/>
    <x v="17"/>
    <x v="1"/>
    <s v="GEXT_BIOOIL_VARTAN"/>
    <x v="0"/>
    <x v="18"/>
    <n v="190"/>
    <n v="69350"/>
    <n v="249660"/>
  </r>
  <r>
    <x v="0"/>
    <x v="0"/>
    <x v="0"/>
    <x v="9"/>
    <x v="19"/>
    <s v="SE3_STO"/>
    <x v="17"/>
    <x v="1"/>
    <s v="GEXT_BIOOIL_VARTAN"/>
    <x v="0"/>
    <x v="19"/>
    <n v="190"/>
    <n v="69350"/>
    <n v="249660"/>
  </r>
  <r>
    <x v="0"/>
    <x v="0"/>
    <x v="0"/>
    <x v="9"/>
    <x v="19"/>
    <s v="SE3_STO"/>
    <x v="17"/>
    <x v="1"/>
    <s v="GEXT_BIOOIL_VARTAN"/>
    <x v="0"/>
    <x v="20"/>
    <n v="190"/>
    <n v="69350"/>
    <n v="249660"/>
  </r>
  <r>
    <x v="0"/>
    <x v="0"/>
    <x v="0"/>
    <x v="9"/>
    <x v="19"/>
    <s v="SE3_STO"/>
    <x v="17"/>
    <x v="1"/>
    <s v="GEXT_BIOOIL_VARTAN"/>
    <x v="0"/>
    <x v="21"/>
    <n v="190"/>
    <n v="69350"/>
    <n v="249660"/>
  </r>
  <r>
    <x v="0"/>
    <x v="0"/>
    <x v="0"/>
    <x v="9"/>
    <x v="19"/>
    <s v="SE3_STO"/>
    <x v="17"/>
    <x v="1"/>
    <s v="GEXT_BIOOIL_VARTAN"/>
    <x v="0"/>
    <x v="22"/>
    <n v="190"/>
    <n v="69350"/>
    <n v="249660"/>
  </r>
  <r>
    <x v="0"/>
    <x v="0"/>
    <x v="0"/>
    <x v="9"/>
    <x v="19"/>
    <s v="SE3_STO"/>
    <x v="17"/>
    <x v="1"/>
    <s v="GEXT_BIOOIL_VARTAN"/>
    <x v="0"/>
    <x v="23"/>
    <n v="190"/>
    <n v="69350"/>
    <n v="249660"/>
  </r>
  <r>
    <x v="0"/>
    <x v="0"/>
    <x v="0"/>
    <x v="9"/>
    <x v="19"/>
    <s v="SE3_STO"/>
    <x v="1"/>
    <x v="0"/>
    <s v="GBPR_MUNIWASTE_HOGDALEN"/>
    <x v="0"/>
    <x v="0"/>
    <n v="50.189942221941898"/>
    <n v="18319.328911008801"/>
    <n v="65949.584079631706"/>
  </r>
  <r>
    <x v="0"/>
    <x v="0"/>
    <x v="0"/>
    <x v="9"/>
    <x v="19"/>
    <s v="SE3_STO"/>
    <x v="1"/>
    <x v="0"/>
    <s v="GBPR_MUNIWASTE_HOGDALEN"/>
    <x v="0"/>
    <x v="1"/>
    <n v="50.189942221941898"/>
    <n v="18319.328911008801"/>
    <n v="65949.584079631706"/>
  </r>
  <r>
    <x v="0"/>
    <x v="0"/>
    <x v="0"/>
    <x v="9"/>
    <x v="19"/>
    <s v="SE3_STO"/>
    <x v="1"/>
    <x v="0"/>
    <s v="GBPR_MUNIWASTE_HOGDALEN"/>
    <x v="0"/>
    <x v="2"/>
    <n v="50.189942221941898"/>
    <n v="18319.328911008801"/>
    <n v="65949.584079631706"/>
  </r>
  <r>
    <x v="0"/>
    <x v="0"/>
    <x v="0"/>
    <x v="9"/>
    <x v="19"/>
    <s v="SE3_STO"/>
    <x v="1"/>
    <x v="0"/>
    <s v="GBPR_MUNIWASTE_HOGDALEN"/>
    <x v="0"/>
    <x v="3"/>
    <n v="50.189942221941898"/>
    <n v="18319.328911008801"/>
    <n v="65949.584079631706"/>
  </r>
  <r>
    <x v="0"/>
    <x v="0"/>
    <x v="0"/>
    <x v="9"/>
    <x v="19"/>
    <s v="SE3_STO"/>
    <x v="1"/>
    <x v="0"/>
    <s v="GBPR_MUNIWASTE_HOGDALEN"/>
    <x v="0"/>
    <x v="4"/>
    <n v="50.189942221941898"/>
    <n v="18319.328911008801"/>
    <n v="65949.584079631706"/>
  </r>
  <r>
    <x v="0"/>
    <x v="0"/>
    <x v="0"/>
    <x v="9"/>
    <x v="19"/>
    <s v="SE3_STO"/>
    <x v="1"/>
    <x v="0"/>
    <s v="GBPR_MUNIWASTE_HOGDALEN"/>
    <x v="0"/>
    <x v="5"/>
    <n v="50.189942221941898"/>
    <n v="18319.328911008801"/>
    <n v="65949.584079631706"/>
  </r>
  <r>
    <x v="0"/>
    <x v="0"/>
    <x v="0"/>
    <x v="9"/>
    <x v="19"/>
    <s v="SE3_STO"/>
    <x v="1"/>
    <x v="0"/>
    <s v="GBPR_MUNIWASTE_HOGDALEN"/>
    <x v="0"/>
    <x v="6"/>
    <n v="50.189942221941898"/>
    <n v="18319.328911008801"/>
    <n v="65949.584079631706"/>
  </r>
  <r>
    <x v="0"/>
    <x v="0"/>
    <x v="0"/>
    <x v="9"/>
    <x v="19"/>
    <s v="SE3_STO"/>
    <x v="1"/>
    <x v="0"/>
    <s v="GBPR_MUNIWASTE_HOGDALEN"/>
    <x v="0"/>
    <x v="7"/>
    <n v="50.189942221941898"/>
    <n v="18319.328911008801"/>
    <n v="65949.584079631706"/>
  </r>
  <r>
    <x v="0"/>
    <x v="0"/>
    <x v="0"/>
    <x v="9"/>
    <x v="19"/>
    <s v="SE3_STO"/>
    <x v="1"/>
    <x v="0"/>
    <s v="GBPR_MUNIWASTE_HOGDALEN"/>
    <x v="0"/>
    <x v="8"/>
    <n v="50.189942221941898"/>
    <n v="18319.328911008801"/>
    <n v="65949.584079631706"/>
  </r>
  <r>
    <x v="0"/>
    <x v="0"/>
    <x v="0"/>
    <x v="9"/>
    <x v="19"/>
    <s v="SE3_STO"/>
    <x v="1"/>
    <x v="0"/>
    <s v="GBPR_MUNIWASTE_HOGDALEN"/>
    <x v="0"/>
    <x v="9"/>
    <n v="50.189942221941898"/>
    <n v="18319.328911008801"/>
    <n v="65949.584079631706"/>
  </r>
  <r>
    <x v="0"/>
    <x v="0"/>
    <x v="0"/>
    <x v="9"/>
    <x v="19"/>
    <s v="SE3_STO"/>
    <x v="1"/>
    <x v="0"/>
    <s v="GBPR_MUNIWASTE_HOGDALEN"/>
    <x v="0"/>
    <x v="10"/>
    <n v="50.189942221941898"/>
    <n v="18319.328911008801"/>
    <n v="65949.584079631706"/>
  </r>
  <r>
    <x v="0"/>
    <x v="0"/>
    <x v="0"/>
    <x v="9"/>
    <x v="19"/>
    <s v="SE3_STO"/>
    <x v="1"/>
    <x v="0"/>
    <s v="GBPR_MUNIWASTE_HOGDALEN"/>
    <x v="0"/>
    <x v="11"/>
    <n v="50.189942221941898"/>
    <n v="18319.328911008801"/>
    <n v="65949.584079631706"/>
  </r>
  <r>
    <x v="0"/>
    <x v="0"/>
    <x v="0"/>
    <x v="9"/>
    <x v="19"/>
    <s v="SE3_STO"/>
    <x v="1"/>
    <x v="0"/>
    <s v="GBPR_MUNIWASTE_HOGDALEN"/>
    <x v="0"/>
    <x v="12"/>
    <n v="50.189942221941898"/>
    <n v="18319.328911008801"/>
    <n v="65949.584079631706"/>
  </r>
  <r>
    <x v="0"/>
    <x v="0"/>
    <x v="0"/>
    <x v="9"/>
    <x v="19"/>
    <s v="SE3_STO"/>
    <x v="1"/>
    <x v="0"/>
    <s v="GBPR_MUNIWASTE_HOGDALEN"/>
    <x v="0"/>
    <x v="13"/>
    <n v="50.189942221941898"/>
    <n v="18319.328911008801"/>
    <n v="65949.584079631706"/>
  </r>
  <r>
    <x v="0"/>
    <x v="0"/>
    <x v="0"/>
    <x v="9"/>
    <x v="19"/>
    <s v="SE3_STO"/>
    <x v="1"/>
    <x v="0"/>
    <s v="GBPR_MUNIWASTE_HOGDALEN"/>
    <x v="0"/>
    <x v="14"/>
    <n v="50.189942221941898"/>
    <n v="18319.328911008801"/>
    <n v="65949.584079631706"/>
  </r>
  <r>
    <x v="0"/>
    <x v="0"/>
    <x v="0"/>
    <x v="9"/>
    <x v="19"/>
    <s v="SE3_STO"/>
    <x v="1"/>
    <x v="0"/>
    <s v="GBPR_MUNIWASTE_HOGDALEN"/>
    <x v="0"/>
    <x v="15"/>
    <n v="50.189942221941898"/>
    <n v="18319.328911008801"/>
    <n v="65949.584079631706"/>
  </r>
  <r>
    <x v="0"/>
    <x v="0"/>
    <x v="0"/>
    <x v="9"/>
    <x v="19"/>
    <s v="SE3_STO"/>
    <x v="1"/>
    <x v="0"/>
    <s v="GBPR_MUNIWASTE_HOGDALEN"/>
    <x v="0"/>
    <x v="16"/>
    <n v="50.189942221941898"/>
    <n v="18319.328911008801"/>
    <n v="65949.584079631706"/>
  </r>
  <r>
    <x v="0"/>
    <x v="0"/>
    <x v="0"/>
    <x v="9"/>
    <x v="19"/>
    <s v="SE3_STO"/>
    <x v="1"/>
    <x v="0"/>
    <s v="GBPR_MUNIWASTE_HOGDALEN"/>
    <x v="0"/>
    <x v="17"/>
    <n v="50.189942221941898"/>
    <n v="18319.328911008801"/>
    <n v="65949.584079631706"/>
  </r>
  <r>
    <x v="0"/>
    <x v="0"/>
    <x v="0"/>
    <x v="9"/>
    <x v="19"/>
    <s v="SE3_STO"/>
    <x v="1"/>
    <x v="0"/>
    <s v="GBPR_MUNIWASTE_HOGDALEN"/>
    <x v="0"/>
    <x v="18"/>
    <n v="50.189942221941898"/>
    <n v="18319.328911008801"/>
    <n v="65949.584079631706"/>
  </r>
  <r>
    <x v="0"/>
    <x v="0"/>
    <x v="0"/>
    <x v="9"/>
    <x v="19"/>
    <s v="SE3_STO"/>
    <x v="1"/>
    <x v="0"/>
    <s v="GBPR_MUNIWASTE_HOGDALEN"/>
    <x v="0"/>
    <x v="19"/>
    <n v="50.189942221941898"/>
    <n v="18319.328911008801"/>
    <n v="65949.584079631706"/>
  </r>
  <r>
    <x v="0"/>
    <x v="0"/>
    <x v="0"/>
    <x v="9"/>
    <x v="19"/>
    <s v="SE3_STO"/>
    <x v="1"/>
    <x v="0"/>
    <s v="GBPR_MUNIWASTE_HOGDALEN"/>
    <x v="0"/>
    <x v="20"/>
    <n v="50.189942221941898"/>
    <n v="18319.328911008801"/>
    <n v="65949.584079631706"/>
  </r>
  <r>
    <x v="0"/>
    <x v="0"/>
    <x v="0"/>
    <x v="9"/>
    <x v="19"/>
    <s v="SE3_STO"/>
    <x v="1"/>
    <x v="0"/>
    <s v="GBPR_MUNIWASTE_HOGDALEN"/>
    <x v="0"/>
    <x v="21"/>
    <n v="50.189942221941898"/>
    <n v="18319.328911008801"/>
    <n v="65949.584079631706"/>
  </r>
  <r>
    <x v="0"/>
    <x v="0"/>
    <x v="0"/>
    <x v="9"/>
    <x v="19"/>
    <s v="SE3_STO"/>
    <x v="1"/>
    <x v="0"/>
    <s v="GBPR_MUNIWASTE_HOGDALEN"/>
    <x v="0"/>
    <x v="22"/>
    <n v="50.189942221941898"/>
    <n v="18319.328911008801"/>
    <n v="65949.584079631706"/>
  </r>
  <r>
    <x v="0"/>
    <x v="0"/>
    <x v="0"/>
    <x v="9"/>
    <x v="19"/>
    <s v="SE3_STO"/>
    <x v="1"/>
    <x v="0"/>
    <s v="GBPR_MUNIWASTE_HOGDALEN"/>
    <x v="0"/>
    <x v="23"/>
    <n v="50.189942221941898"/>
    <n v="18319.328911008801"/>
    <n v="65949.584079631706"/>
  </r>
  <r>
    <x v="0"/>
    <x v="0"/>
    <x v="0"/>
    <x v="9"/>
    <x v="19"/>
    <s v="SE3_STO"/>
    <x v="8"/>
    <x v="0"/>
    <s v="GBPR_WOODPELLETS_HASSELBY"/>
    <x v="0"/>
    <x v="0"/>
    <n v="75"/>
    <n v="27375"/>
    <n v="98550"/>
  </r>
  <r>
    <x v="0"/>
    <x v="0"/>
    <x v="0"/>
    <x v="9"/>
    <x v="19"/>
    <s v="SE3_STO"/>
    <x v="8"/>
    <x v="0"/>
    <s v="GBPR_WOODPELLETS_HASSELBY"/>
    <x v="0"/>
    <x v="1"/>
    <n v="75"/>
    <n v="27375"/>
    <n v="98550"/>
  </r>
  <r>
    <x v="0"/>
    <x v="0"/>
    <x v="0"/>
    <x v="9"/>
    <x v="19"/>
    <s v="SE3_STO"/>
    <x v="8"/>
    <x v="0"/>
    <s v="GBPR_WOODPELLETS_HASSELBY"/>
    <x v="0"/>
    <x v="2"/>
    <n v="75"/>
    <n v="27375"/>
    <n v="98550"/>
  </r>
  <r>
    <x v="0"/>
    <x v="0"/>
    <x v="0"/>
    <x v="9"/>
    <x v="19"/>
    <s v="SE3_STO"/>
    <x v="8"/>
    <x v="0"/>
    <s v="GBPR_WOODPELLETS_HASSELBY"/>
    <x v="0"/>
    <x v="3"/>
    <n v="75"/>
    <n v="27375"/>
    <n v="98550"/>
  </r>
  <r>
    <x v="0"/>
    <x v="0"/>
    <x v="0"/>
    <x v="9"/>
    <x v="19"/>
    <s v="SE3_STO"/>
    <x v="8"/>
    <x v="0"/>
    <s v="GBPR_WOODPELLETS_HASSELBY"/>
    <x v="0"/>
    <x v="4"/>
    <n v="75"/>
    <n v="27375"/>
    <n v="98550"/>
  </r>
  <r>
    <x v="0"/>
    <x v="0"/>
    <x v="0"/>
    <x v="9"/>
    <x v="19"/>
    <s v="SE3_STO"/>
    <x v="8"/>
    <x v="0"/>
    <s v="GBPR_WOODPELLETS_HASSELBY"/>
    <x v="0"/>
    <x v="5"/>
    <n v="75"/>
    <n v="27375"/>
    <n v="98550"/>
  </r>
  <r>
    <x v="0"/>
    <x v="0"/>
    <x v="0"/>
    <x v="9"/>
    <x v="19"/>
    <s v="SE3_STO"/>
    <x v="8"/>
    <x v="0"/>
    <s v="GBPR_WOODPELLETS_HASSELBY"/>
    <x v="0"/>
    <x v="6"/>
    <n v="75"/>
    <n v="27375"/>
    <n v="98550"/>
  </r>
  <r>
    <x v="0"/>
    <x v="0"/>
    <x v="0"/>
    <x v="9"/>
    <x v="19"/>
    <s v="SE3_STO"/>
    <x v="8"/>
    <x v="0"/>
    <s v="GBPR_WOODPELLETS_HASSELBY"/>
    <x v="0"/>
    <x v="7"/>
    <n v="75"/>
    <n v="27375"/>
    <n v="98550"/>
  </r>
  <r>
    <x v="0"/>
    <x v="0"/>
    <x v="0"/>
    <x v="9"/>
    <x v="19"/>
    <s v="SE3_STO"/>
    <x v="8"/>
    <x v="0"/>
    <s v="GBPR_WOODPELLETS_HASSELBY"/>
    <x v="0"/>
    <x v="8"/>
    <n v="75"/>
    <n v="27375"/>
    <n v="98550"/>
  </r>
  <r>
    <x v="0"/>
    <x v="0"/>
    <x v="0"/>
    <x v="9"/>
    <x v="19"/>
    <s v="SE3_STO"/>
    <x v="8"/>
    <x v="0"/>
    <s v="GBPR_WOODPELLETS_HASSELBY"/>
    <x v="0"/>
    <x v="9"/>
    <n v="75"/>
    <n v="27375"/>
    <n v="98550"/>
  </r>
  <r>
    <x v="0"/>
    <x v="0"/>
    <x v="0"/>
    <x v="9"/>
    <x v="19"/>
    <s v="SE3_STO"/>
    <x v="8"/>
    <x v="0"/>
    <s v="GBPR_WOODPELLETS_HASSELBY"/>
    <x v="0"/>
    <x v="10"/>
    <n v="75"/>
    <n v="27375"/>
    <n v="98550"/>
  </r>
  <r>
    <x v="0"/>
    <x v="0"/>
    <x v="0"/>
    <x v="9"/>
    <x v="19"/>
    <s v="SE3_STO"/>
    <x v="8"/>
    <x v="0"/>
    <s v="GBPR_WOODPELLETS_HASSELBY"/>
    <x v="0"/>
    <x v="11"/>
    <n v="75"/>
    <n v="27375"/>
    <n v="98550"/>
  </r>
  <r>
    <x v="0"/>
    <x v="0"/>
    <x v="0"/>
    <x v="9"/>
    <x v="19"/>
    <s v="SE3_STO"/>
    <x v="8"/>
    <x v="0"/>
    <s v="GBPR_WOODPELLETS_HASSELBY"/>
    <x v="0"/>
    <x v="12"/>
    <n v="75"/>
    <n v="27375"/>
    <n v="98550"/>
  </r>
  <r>
    <x v="0"/>
    <x v="0"/>
    <x v="0"/>
    <x v="9"/>
    <x v="19"/>
    <s v="SE3_STO"/>
    <x v="8"/>
    <x v="0"/>
    <s v="GBPR_WOODPELLETS_HASSELBY"/>
    <x v="0"/>
    <x v="13"/>
    <n v="75"/>
    <n v="27375"/>
    <n v="98550"/>
  </r>
  <r>
    <x v="0"/>
    <x v="0"/>
    <x v="0"/>
    <x v="9"/>
    <x v="19"/>
    <s v="SE3_STO"/>
    <x v="8"/>
    <x v="0"/>
    <s v="GBPR_WOODPELLETS_HASSELBY"/>
    <x v="0"/>
    <x v="14"/>
    <n v="75"/>
    <n v="27375"/>
    <n v="98550"/>
  </r>
  <r>
    <x v="0"/>
    <x v="0"/>
    <x v="0"/>
    <x v="9"/>
    <x v="19"/>
    <s v="SE3_STO"/>
    <x v="8"/>
    <x v="0"/>
    <s v="GBPR_WOODPELLETS_HASSELBY"/>
    <x v="0"/>
    <x v="15"/>
    <n v="75"/>
    <n v="27375"/>
    <n v="98550"/>
  </r>
  <r>
    <x v="0"/>
    <x v="0"/>
    <x v="0"/>
    <x v="9"/>
    <x v="19"/>
    <s v="SE3_STO"/>
    <x v="8"/>
    <x v="0"/>
    <s v="GBPR_WOODPELLETS_HASSELBY"/>
    <x v="0"/>
    <x v="16"/>
    <n v="75"/>
    <n v="27375"/>
    <n v="98550"/>
  </r>
  <r>
    <x v="0"/>
    <x v="0"/>
    <x v="0"/>
    <x v="9"/>
    <x v="19"/>
    <s v="SE3_STO"/>
    <x v="8"/>
    <x v="0"/>
    <s v="GBPR_WOODPELLETS_HASSELBY"/>
    <x v="0"/>
    <x v="17"/>
    <n v="75"/>
    <n v="27375"/>
    <n v="98550"/>
  </r>
  <r>
    <x v="0"/>
    <x v="0"/>
    <x v="0"/>
    <x v="9"/>
    <x v="19"/>
    <s v="SE3_STO"/>
    <x v="8"/>
    <x v="0"/>
    <s v="GBPR_WOODPELLETS_HASSELBY"/>
    <x v="0"/>
    <x v="18"/>
    <n v="75"/>
    <n v="27375"/>
    <n v="98550"/>
  </r>
  <r>
    <x v="0"/>
    <x v="0"/>
    <x v="0"/>
    <x v="9"/>
    <x v="19"/>
    <s v="SE3_STO"/>
    <x v="8"/>
    <x v="0"/>
    <s v="GBPR_WOODPELLETS_HASSELBY"/>
    <x v="0"/>
    <x v="19"/>
    <n v="75"/>
    <n v="27375"/>
    <n v="98550"/>
  </r>
  <r>
    <x v="0"/>
    <x v="0"/>
    <x v="0"/>
    <x v="9"/>
    <x v="19"/>
    <s v="SE3_STO"/>
    <x v="8"/>
    <x v="0"/>
    <s v="GBPR_WOODPELLETS_HASSELBY"/>
    <x v="0"/>
    <x v="20"/>
    <n v="75"/>
    <n v="27375"/>
    <n v="98550"/>
  </r>
  <r>
    <x v="0"/>
    <x v="0"/>
    <x v="0"/>
    <x v="9"/>
    <x v="19"/>
    <s v="SE3_STO"/>
    <x v="8"/>
    <x v="0"/>
    <s v="GBPR_WOODPELLETS_HASSELBY"/>
    <x v="0"/>
    <x v="21"/>
    <n v="75"/>
    <n v="27375"/>
    <n v="98550"/>
  </r>
  <r>
    <x v="0"/>
    <x v="0"/>
    <x v="0"/>
    <x v="9"/>
    <x v="19"/>
    <s v="SE3_STO"/>
    <x v="8"/>
    <x v="0"/>
    <s v="GBPR_WOODPELLETS_HASSELBY"/>
    <x v="0"/>
    <x v="22"/>
    <n v="75"/>
    <n v="27375"/>
    <n v="98550"/>
  </r>
  <r>
    <x v="0"/>
    <x v="0"/>
    <x v="0"/>
    <x v="9"/>
    <x v="19"/>
    <s v="SE3_STO"/>
    <x v="8"/>
    <x v="0"/>
    <s v="GBPR_WOODPELLETS_HASSELBY"/>
    <x v="0"/>
    <x v="23"/>
    <n v="75"/>
    <n v="27375"/>
    <n v="98550"/>
  </r>
  <r>
    <x v="0"/>
    <x v="0"/>
    <x v="0"/>
    <x v="9"/>
    <x v="19"/>
    <s v="SE3_STO"/>
    <x v="11"/>
    <x v="0"/>
    <s v="GBPR_WOODWASTE"/>
    <x v="0"/>
    <x v="0"/>
    <n v="96.694045534150604"/>
    <n v="35293.326619965002"/>
    <n v="127055.97583187401"/>
  </r>
  <r>
    <x v="0"/>
    <x v="0"/>
    <x v="0"/>
    <x v="9"/>
    <x v="19"/>
    <s v="SE3_STO"/>
    <x v="11"/>
    <x v="0"/>
    <s v="GBPR_WOODWASTE"/>
    <x v="0"/>
    <x v="1"/>
    <n v="96.694045534150604"/>
    <n v="35293.326619965002"/>
    <n v="127055.97583187401"/>
  </r>
  <r>
    <x v="0"/>
    <x v="0"/>
    <x v="0"/>
    <x v="9"/>
    <x v="19"/>
    <s v="SE3_STO"/>
    <x v="11"/>
    <x v="0"/>
    <s v="GBPR_WOODWASTE"/>
    <x v="0"/>
    <x v="2"/>
    <n v="96.694045534150604"/>
    <n v="35293.326619965002"/>
    <n v="127055.97583187401"/>
  </r>
  <r>
    <x v="0"/>
    <x v="0"/>
    <x v="0"/>
    <x v="9"/>
    <x v="19"/>
    <s v="SE3_STO"/>
    <x v="11"/>
    <x v="0"/>
    <s v="GBPR_WOODWASTE"/>
    <x v="0"/>
    <x v="3"/>
    <n v="96.694045534150604"/>
    <n v="35293.326619965002"/>
    <n v="127055.97583187401"/>
  </r>
  <r>
    <x v="0"/>
    <x v="0"/>
    <x v="0"/>
    <x v="9"/>
    <x v="19"/>
    <s v="SE3_STO"/>
    <x v="11"/>
    <x v="0"/>
    <s v="GBPR_WOODWASTE"/>
    <x v="0"/>
    <x v="4"/>
    <n v="96.694045534150604"/>
    <n v="35293.326619965002"/>
    <n v="127055.97583187401"/>
  </r>
  <r>
    <x v="0"/>
    <x v="0"/>
    <x v="0"/>
    <x v="9"/>
    <x v="19"/>
    <s v="SE3_STO"/>
    <x v="11"/>
    <x v="0"/>
    <s v="GBPR_WOODWASTE"/>
    <x v="0"/>
    <x v="5"/>
    <n v="96.694045534150604"/>
    <n v="35293.326619965002"/>
    <n v="127055.97583187401"/>
  </r>
  <r>
    <x v="0"/>
    <x v="0"/>
    <x v="0"/>
    <x v="9"/>
    <x v="19"/>
    <s v="SE3_STO"/>
    <x v="11"/>
    <x v="0"/>
    <s v="GBPR_WOODWASTE"/>
    <x v="0"/>
    <x v="6"/>
    <n v="96.694045534150604"/>
    <n v="35293.326619965002"/>
    <n v="127055.97583187401"/>
  </r>
  <r>
    <x v="0"/>
    <x v="0"/>
    <x v="0"/>
    <x v="9"/>
    <x v="19"/>
    <s v="SE3_STO"/>
    <x v="11"/>
    <x v="0"/>
    <s v="GBPR_WOODWASTE"/>
    <x v="0"/>
    <x v="7"/>
    <n v="96.694045534150604"/>
    <n v="35293.326619965002"/>
    <n v="127055.97583187401"/>
  </r>
  <r>
    <x v="0"/>
    <x v="0"/>
    <x v="0"/>
    <x v="9"/>
    <x v="19"/>
    <s v="SE3_STO"/>
    <x v="11"/>
    <x v="0"/>
    <s v="GBPR_WOODWASTE"/>
    <x v="0"/>
    <x v="8"/>
    <n v="96.694045534150604"/>
    <n v="35293.326619965002"/>
    <n v="127055.97583187401"/>
  </r>
  <r>
    <x v="0"/>
    <x v="0"/>
    <x v="0"/>
    <x v="9"/>
    <x v="19"/>
    <s v="SE3_STO"/>
    <x v="11"/>
    <x v="0"/>
    <s v="GBPR_WOODWASTE"/>
    <x v="0"/>
    <x v="9"/>
    <n v="96.694045534150604"/>
    <n v="35293.326619965002"/>
    <n v="127055.97583187401"/>
  </r>
  <r>
    <x v="0"/>
    <x v="0"/>
    <x v="0"/>
    <x v="9"/>
    <x v="19"/>
    <s v="SE3_STO"/>
    <x v="11"/>
    <x v="0"/>
    <s v="GBPR_WOODWASTE"/>
    <x v="0"/>
    <x v="10"/>
    <n v="96.694045534150604"/>
    <n v="35293.326619965002"/>
    <n v="127055.97583187401"/>
  </r>
  <r>
    <x v="0"/>
    <x v="0"/>
    <x v="0"/>
    <x v="9"/>
    <x v="19"/>
    <s v="SE3_STO"/>
    <x v="11"/>
    <x v="0"/>
    <s v="GBPR_WOODWASTE"/>
    <x v="0"/>
    <x v="11"/>
    <n v="96.694045534150604"/>
    <n v="35293.326619965002"/>
    <n v="127055.97583187401"/>
  </r>
  <r>
    <x v="0"/>
    <x v="0"/>
    <x v="0"/>
    <x v="9"/>
    <x v="19"/>
    <s v="SE3_STO"/>
    <x v="11"/>
    <x v="0"/>
    <s v="GBPR_WOODWASTE"/>
    <x v="0"/>
    <x v="12"/>
    <n v="96.694045534150604"/>
    <n v="35293.326619965002"/>
    <n v="127055.97583187401"/>
  </r>
  <r>
    <x v="0"/>
    <x v="0"/>
    <x v="0"/>
    <x v="9"/>
    <x v="19"/>
    <s v="SE3_STO"/>
    <x v="11"/>
    <x v="0"/>
    <s v="GBPR_WOODWASTE"/>
    <x v="0"/>
    <x v="13"/>
    <n v="96.694045534150604"/>
    <n v="35293.326619965002"/>
    <n v="127055.97583187401"/>
  </r>
  <r>
    <x v="0"/>
    <x v="0"/>
    <x v="0"/>
    <x v="9"/>
    <x v="19"/>
    <s v="SE3_STO"/>
    <x v="11"/>
    <x v="0"/>
    <s v="GBPR_WOODWASTE"/>
    <x v="0"/>
    <x v="14"/>
    <n v="96.694045534150604"/>
    <n v="35293.326619965002"/>
    <n v="127055.97583187401"/>
  </r>
  <r>
    <x v="0"/>
    <x v="0"/>
    <x v="0"/>
    <x v="9"/>
    <x v="19"/>
    <s v="SE3_STO"/>
    <x v="11"/>
    <x v="0"/>
    <s v="GBPR_WOODWASTE"/>
    <x v="0"/>
    <x v="15"/>
    <n v="96.694045534150604"/>
    <n v="35293.326619965002"/>
    <n v="127055.97583187401"/>
  </r>
  <r>
    <x v="0"/>
    <x v="0"/>
    <x v="0"/>
    <x v="9"/>
    <x v="19"/>
    <s v="SE3_STO"/>
    <x v="11"/>
    <x v="0"/>
    <s v="GBPR_WOODWASTE"/>
    <x v="0"/>
    <x v="16"/>
    <n v="96.694045534150604"/>
    <n v="35293.326619965002"/>
    <n v="127055.97583187401"/>
  </r>
  <r>
    <x v="0"/>
    <x v="0"/>
    <x v="0"/>
    <x v="9"/>
    <x v="19"/>
    <s v="SE3_STO"/>
    <x v="11"/>
    <x v="0"/>
    <s v="GBPR_WOODWASTE"/>
    <x v="0"/>
    <x v="17"/>
    <n v="96.694045534150604"/>
    <n v="35293.326619965002"/>
    <n v="127055.97583187401"/>
  </r>
  <r>
    <x v="0"/>
    <x v="0"/>
    <x v="0"/>
    <x v="9"/>
    <x v="19"/>
    <s v="SE3_STO"/>
    <x v="11"/>
    <x v="0"/>
    <s v="GBPR_WOODWASTE"/>
    <x v="0"/>
    <x v="18"/>
    <n v="96.694045534150604"/>
    <n v="35293.326619965002"/>
    <n v="127055.97583187401"/>
  </r>
  <r>
    <x v="0"/>
    <x v="0"/>
    <x v="0"/>
    <x v="9"/>
    <x v="19"/>
    <s v="SE3_STO"/>
    <x v="11"/>
    <x v="0"/>
    <s v="GBPR_WOODWASTE"/>
    <x v="0"/>
    <x v="19"/>
    <n v="96.694045534150604"/>
    <n v="35293.326619965002"/>
    <n v="127055.97583187401"/>
  </r>
  <r>
    <x v="0"/>
    <x v="0"/>
    <x v="0"/>
    <x v="9"/>
    <x v="19"/>
    <s v="SE3_STO"/>
    <x v="11"/>
    <x v="0"/>
    <s v="GBPR_WOODWASTE"/>
    <x v="0"/>
    <x v="20"/>
    <n v="96.694045534150604"/>
    <n v="35293.326619965002"/>
    <n v="127055.97583187401"/>
  </r>
  <r>
    <x v="0"/>
    <x v="0"/>
    <x v="0"/>
    <x v="9"/>
    <x v="19"/>
    <s v="SE3_STO"/>
    <x v="11"/>
    <x v="0"/>
    <s v="GBPR_WOODWASTE"/>
    <x v="0"/>
    <x v="21"/>
    <n v="96.694045534150604"/>
    <n v="35293.326619965002"/>
    <n v="127055.97583187401"/>
  </r>
  <r>
    <x v="0"/>
    <x v="0"/>
    <x v="0"/>
    <x v="9"/>
    <x v="19"/>
    <s v="SE3_STO"/>
    <x v="11"/>
    <x v="0"/>
    <s v="GBPR_WOODWASTE"/>
    <x v="0"/>
    <x v="22"/>
    <n v="96.694045534150604"/>
    <n v="35293.326619965002"/>
    <n v="127055.97583187401"/>
  </r>
  <r>
    <x v="0"/>
    <x v="0"/>
    <x v="0"/>
    <x v="9"/>
    <x v="19"/>
    <s v="SE3_STO"/>
    <x v="11"/>
    <x v="0"/>
    <s v="GBPR_WOODWASTE"/>
    <x v="0"/>
    <x v="23"/>
    <n v="96.694045534150604"/>
    <n v="35293.326619965002"/>
    <n v="127055.97583187401"/>
  </r>
  <r>
    <x v="0"/>
    <x v="0"/>
    <x v="0"/>
    <x v="9"/>
    <x v="19"/>
    <s v="SE3_STO"/>
    <x v="11"/>
    <x v="0"/>
    <s v="GBPR_WOODWASTE_BRISTA"/>
    <x v="0"/>
    <x v="0"/>
    <n v="40.390612959719803"/>
    <n v="14742.5737302977"/>
    <n v="53073.265429071798"/>
  </r>
  <r>
    <x v="0"/>
    <x v="0"/>
    <x v="0"/>
    <x v="9"/>
    <x v="19"/>
    <s v="SE3_STO"/>
    <x v="11"/>
    <x v="0"/>
    <s v="GBPR_WOODWASTE_BRISTA"/>
    <x v="0"/>
    <x v="1"/>
    <n v="40.390612959719803"/>
    <n v="14742.5737302977"/>
    <n v="53073.265429071798"/>
  </r>
  <r>
    <x v="0"/>
    <x v="0"/>
    <x v="0"/>
    <x v="9"/>
    <x v="19"/>
    <s v="SE3_STO"/>
    <x v="11"/>
    <x v="0"/>
    <s v="GBPR_WOODWASTE_BRISTA"/>
    <x v="0"/>
    <x v="2"/>
    <n v="40.390612959719803"/>
    <n v="14742.5737302977"/>
    <n v="53073.265429071798"/>
  </r>
  <r>
    <x v="0"/>
    <x v="0"/>
    <x v="0"/>
    <x v="9"/>
    <x v="19"/>
    <s v="SE3_STO"/>
    <x v="11"/>
    <x v="0"/>
    <s v="GBPR_WOODWASTE_BRISTA"/>
    <x v="0"/>
    <x v="3"/>
    <n v="40.390612959719803"/>
    <n v="14742.5737302977"/>
    <n v="53073.265429071798"/>
  </r>
  <r>
    <x v="0"/>
    <x v="0"/>
    <x v="0"/>
    <x v="9"/>
    <x v="19"/>
    <s v="SE3_STO"/>
    <x v="11"/>
    <x v="0"/>
    <s v="GBPR_WOODWASTE_BRISTA"/>
    <x v="0"/>
    <x v="4"/>
    <n v="40.390612959719803"/>
    <n v="14742.5737302977"/>
    <n v="53073.265429071798"/>
  </r>
  <r>
    <x v="0"/>
    <x v="0"/>
    <x v="0"/>
    <x v="9"/>
    <x v="19"/>
    <s v="SE3_STO"/>
    <x v="11"/>
    <x v="0"/>
    <s v="GBPR_WOODWASTE_BRISTA"/>
    <x v="0"/>
    <x v="5"/>
    <n v="40.390612959719803"/>
    <n v="14742.5737302977"/>
    <n v="53073.265429071798"/>
  </r>
  <r>
    <x v="0"/>
    <x v="0"/>
    <x v="0"/>
    <x v="9"/>
    <x v="19"/>
    <s v="SE3_STO"/>
    <x v="11"/>
    <x v="0"/>
    <s v="GBPR_WOODWASTE_BRISTA"/>
    <x v="0"/>
    <x v="6"/>
    <n v="40.390612959719803"/>
    <n v="14742.5737302977"/>
    <n v="53073.265429071798"/>
  </r>
  <r>
    <x v="0"/>
    <x v="0"/>
    <x v="0"/>
    <x v="9"/>
    <x v="19"/>
    <s v="SE3_STO"/>
    <x v="11"/>
    <x v="0"/>
    <s v="GBPR_WOODWASTE_BRISTA"/>
    <x v="0"/>
    <x v="7"/>
    <n v="40.390612959719803"/>
    <n v="14742.5737302977"/>
    <n v="53073.265429071798"/>
  </r>
  <r>
    <x v="0"/>
    <x v="0"/>
    <x v="0"/>
    <x v="9"/>
    <x v="19"/>
    <s v="SE3_STO"/>
    <x v="11"/>
    <x v="0"/>
    <s v="GBPR_WOODWASTE_BRISTA"/>
    <x v="0"/>
    <x v="8"/>
    <n v="40.390612959719803"/>
    <n v="14742.5737302977"/>
    <n v="53073.265429071798"/>
  </r>
  <r>
    <x v="0"/>
    <x v="0"/>
    <x v="0"/>
    <x v="9"/>
    <x v="19"/>
    <s v="SE3_STO"/>
    <x v="11"/>
    <x v="0"/>
    <s v="GBPR_WOODWASTE_BRISTA"/>
    <x v="0"/>
    <x v="9"/>
    <n v="40.390612959719803"/>
    <n v="14742.5737302977"/>
    <n v="53073.265429071798"/>
  </r>
  <r>
    <x v="0"/>
    <x v="0"/>
    <x v="0"/>
    <x v="9"/>
    <x v="19"/>
    <s v="SE3_STO"/>
    <x v="11"/>
    <x v="0"/>
    <s v="GBPR_WOODWASTE_BRISTA"/>
    <x v="0"/>
    <x v="10"/>
    <n v="40.390612959719803"/>
    <n v="14742.5737302977"/>
    <n v="53073.265429071798"/>
  </r>
  <r>
    <x v="0"/>
    <x v="0"/>
    <x v="0"/>
    <x v="9"/>
    <x v="19"/>
    <s v="SE3_STO"/>
    <x v="11"/>
    <x v="0"/>
    <s v="GBPR_WOODWASTE_BRISTA"/>
    <x v="0"/>
    <x v="11"/>
    <n v="40.390612959719803"/>
    <n v="14742.5737302977"/>
    <n v="53073.265429071798"/>
  </r>
  <r>
    <x v="0"/>
    <x v="0"/>
    <x v="0"/>
    <x v="9"/>
    <x v="19"/>
    <s v="SE3_STO"/>
    <x v="11"/>
    <x v="0"/>
    <s v="GBPR_WOODWASTE_BRISTA"/>
    <x v="0"/>
    <x v="12"/>
    <n v="40.390612959719803"/>
    <n v="14742.5737302977"/>
    <n v="53073.265429071798"/>
  </r>
  <r>
    <x v="0"/>
    <x v="0"/>
    <x v="0"/>
    <x v="9"/>
    <x v="19"/>
    <s v="SE3_STO"/>
    <x v="11"/>
    <x v="0"/>
    <s v="GBPR_WOODWASTE_BRISTA"/>
    <x v="0"/>
    <x v="13"/>
    <n v="40.390612959719803"/>
    <n v="14742.5737302977"/>
    <n v="53073.265429071798"/>
  </r>
  <r>
    <x v="0"/>
    <x v="0"/>
    <x v="0"/>
    <x v="9"/>
    <x v="19"/>
    <s v="SE3_STO"/>
    <x v="11"/>
    <x v="0"/>
    <s v="GBPR_WOODWASTE_BRISTA"/>
    <x v="0"/>
    <x v="14"/>
    <n v="40.390612959719803"/>
    <n v="14742.5737302977"/>
    <n v="53073.265429071798"/>
  </r>
  <r>
    <x v="0"/>
    <x v="0"/>
    <x v="0"/>
    <x v="9"/>
    <x v="19"/>
    <s v="SE3_STO"/>
    <x v="11"/>
    <x v="0"/>
    <s v="GBPR_WOODWASTE_BRISTA"/>
    <x v="0"/>
    <x v="15"/>
    <n v="40.390612959719803"/>
    <n v="14742.5737302977"/>
    <n v="53073.265429071798"/>
  </r>
  <r>
    <x v="0"/>
    <x v="0"/>
    <x v="0"/>
    <x v="9"/>
    <x v="19"/>
    <s v="SE3_STO"/>
    <x v="11"/>
    <x v="0"/>
    <s v="GBPR_WOODWASTE_BRISTA"/>
    <x v="0"/>
    <x v="16"/>
    <n v="40.390612959719803"/>
    <n v="14742.5737302977"/>
    <n v="53073.265429071798"/>
  </r>
  <r>
    <x v="0"/>
    <x v="0"/>
    <x v="0"/>
    <x v="9"/>
    <x v="19"/>
    <s v="SE3_STO"/>
    <x v="11"/>
    <x v="0"/>
    <s v="GBPR_WOODWASTE_BRISTA"/>
    <x v="0"/>
    <x v="17"/>
    <n v="40.390612959719803"/>
    <n v="14742.5737302977"/>
    <n v="53073.265429071798"/>
  </r>
  <r>
    <x v="0"/>
    <x v="0"/>
    <x v="0"/>
    <x v="9"/>
    <x v="19"/>
    <s v="SE3_STO"/>
    <x v="11"/>
    <x v="0"/>
    <s v="GBPR_WOODWASTE_BRISTA"/>
    <x v="0"/>
    <x v="18"/>
    <n v="40.390612959719803"/>
    <n v="14742.5737302977"/>
    <n v="53073.265429071798"/>
  </r>
  <r>
    <x v="0"/>
    <x v="0"/>
    <x v="0"/>
    <x v="9"/>
    <x v="19"/>
    <s v="SE3_STO"/>
    <x v="11"/>
    <x v="0"/>
    <s v="GBPR_WOODWASTE_BRISTA"/>
    <x v="0"/>
    <x v="19"/>
    <n v="40.390612959719803"/>
    <n v="14742.5737302977"/>
    <n v="53073.265429071798"/>
  </r>
  <r>
    <x v="0"/>
    <x v="0"/>
    <x v="0"/>
    <x v="9"/>
    <x v="19"/>
    <s v="SE3_STO"/>
    <x v="11"/>
    <x v="0"/>
    <s v="GBPR_WOODWASTE_BRISTA"/>
    <x v="0"/>
    <x v="20"/>
    <n v="40.390612959719803"/>
    <n v="14742.5737302977"/>
    <n v="53073.265429071798"/>
  </r>
  <r>
    <x v="0"/>
    <x v="0"/>
    <x v="0"/>
    <x v="9"/>
    <x v="19"/>
    <s v="SE3_STO"/>
    <x v="11"/>
    <x v="0"/>
    <s v="GBPR_WOODWASTE_BRISTA"/>
    <x v="0"/>
    <x v="21"/>
    <n v="40.390612959719803"/>
    <n v="14742.5737302977"/>
    <n v="53073.265429071798"/>
  </r>
  <r>
    <x v="0"/>
    <x v="0"/>
    <x v="0"/>
    <x v="9"/>
    <x v="19"/>
    <s v="SE3_STO"/>
    <x v="11"/>
    <x v="0"/>
    <s v="GBPR_WOODWASTE_BRISTA"/>
    <x v="0"/>
    <x v="22"/>
    <n v="40.390612959719803"/>
    <n v="14742.5737302977"/>
    <n v="53073.265429071798"/>
  </r>
  <r>
    <x v="0"/>
    <x v="0"/>
    <x v="0"/>
    <x v="9"/>
    <x v="19"/>
    <s v="SE3_STO"/>
    <x v="11"/>
    <x v="0"/>
    <s v="GBPR_WOODWASTE_BRISTA"/>
    <x v="0"/>
    <x v="23"/>
    <n v="40.390612959719803"/>
    <n v="14742.5737302977"/>
    <n v="53073.265429071798"/>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3"/>
    <n v="15.287300663378099"/>
    <n v="5579.8647421330097"/>
    <n v="20087.513071678801"/>
  </r>
  <r>
    <x v="0"/>
    <x v="0"/>
    <x v="0"/>
    <x v="9"/>
    <x v="20"/>
    <s v="SE4A"/>
    <x v="6"/>
    <x v="7"/>
    <s v="GNR_RES_WTR_NOPMP_MC-01"/>
    <x v="0"/>
    <x v="4"/>
    <n v="15.287300663378099"/>
    <n v="5579.8647421330097"/>
    <n v="20087.513071678801"/>
  </r>
  <r>
    <x v="0"/>
    <x v="0"/>
    <x v="0"/>
    <x v="9"/>
    <x v="20"/>
    <s v="SE4A"/>
    <x v="6"/>
    <x v="7"/>
    <s v="GNR_RES_WTR_NOPMP_MC-01"/>
    <x v="0"/>
    <x v="5"/>
    <n v="15.287300663378099"/>
    <n v="5579.8647421330097"/>
    <n v="20087.513071678801"/>
  </r>
  <r>
    <x v="0"/>
    <x v="0"/>
    <x v="0"/>
    <x v="9"/>
    <x v="20"/>
    <s v="SE4A"/>
    <x v="6"/>
    <x v="7"/>
    <s v="GNR_RES_WTR_NOPMP_MC-01"/>
    <x v="0"/>
    <x v="6"/>
    <n v="15.287300663378099"/>
    <n v="5579.8647421330097"/>
    <n v="20087.513071678801"/>
  </r>
  <r>
    <x v="0"/>
    <x v="0"/>
    <x v="0"/>
    <x v="9"/>
    <x v="20"/>
    <s v="SE4A"/>
    <x v="6"/>
    <x v="7"/>
    <s v="GNR_RES_WTR_NOPMP_MC-01"/>
    <x v="0"/>
    <x v="7"/>
    <n v="15.287300663378099"/>
    <n v="5579.8647421330097"/>
    <n v="20087.513071678801"/>
  </r>
  <r>
    <x v="0"/>
    <x v="0"/>
    <x v="0"/>
    <x v="9"/>
    <x v="20"/>
    <s v="SE4A"/>
    <x v="6"/>
    <x v="7"/>
    <s v="GNR_RES_WTR_NOPMP_MC-01"/>
    <x v="0"/>
    <x v="8"/>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1"/>
    <x v="0"/>
    <x v="20"/>
    <n v="15.287300663378099"/>
    <n v="5579.8647421330097"/>
    <n v="20087.513071678801"/>
  </r>
  <r>
    <x v="0"/>
    <x v="0"/>
    <x v="0"/>
    <x v="9"/>
    <x v="20"/>
    <s v="SE4A"/>
    <x v="6"/>
    <x v="7"/>
    <s v="GNR_RES_WTR_NOPMP_MC-01"/>
    <x v="0"/>
    <x v="21"/>
    <n v="15.287300663378099"/>
    <n v="5579.8647421330097"/>
    <n v="20087.513071678801"/>
  </r>
  <r>
    <x v="0"/>
    <x v="0"/>
    <x v="0"/>
    <x v="9"/>
    <x v="20"/>
    <s v="SE4A"/>
    <x v="6"/>
    <x v="7"/>
    <s v="GNR_RES_WTR_NOPMP_MC-01"/>
    <x v="0"/>
    <x v="22"/>
    <n v="15.287300663378099"/>
    <n v="5579.8647421330097"/>
    <n v="20087.513071678801"/>
  </r>
  <r>
    <x v="0"/>
    <x v="0"/>
    <x v="0"/>
    <x v="9"/>
    <x v="20"/>
    <s v="SE4A"/>
    <x v="6"/>
    <x v="7"/>
    <s v="GNR_RES_WTR_NOPMP_MC-01"/>
    <x v="0"/>
    <x v="23"/>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3"/>
    <n v="15.287300663378099"/>
    <n v="5579.8647421330097"/>
    <n v="20087.513071678801"/>
  </r>
  <r>
    <x v="0"/>
    <x v="0"/>
    <x v="0"/>
    <x v="9"/>
    <x v="20"/>
    <s v="SE4A"/>
    <x v="6"/>
    <x v="7"/>
    <s v="GNR_RES_WTR_NOPMP_MC-02"/>
    <x v="0"/>
    <x v="4"/>
    <n v="15.287300663378099"/>
    <n v="5579.8647421330097"/>
    <n v="20087.513071678801"/>
  </r>
  <r>
    <x v="0"/>
    <x v="0"/>
    <x v="0"/>
    <x v="9"/>
    <x v="20"/>
    <s v="SE4A"/>
    <x v="6"/>
    <x v="7"/>
    <s v="GNR_RES_WTR_NOPMP_MC-02"/>
    <x v="0"/>
    <x v="5"/>
    <n v="15.287300663378099"/>
    <n v="5579.8647421330097"/>
    <n v="20087.513071678801"/>
  </r>
  <r>
    <x v="0"/>
    <x v="0"/>
    <x v="0"/>
    <x v="9"/>
    <x v="20"/>
    <s v="SE4A"/>
    <x v="6"/>
    <x v="7"/>
    <s v="GNR_RES_WTR_NOPMP_MC-02"/>
    <x v="0"/>
    <x v="6"/>
    <n v="15.287300663378099"/>
    <n v="5579.8647421330097"/>
    <n v="20087.513071678801"/>
  </r>
  <r>
    <x v="0"/>
    <x v="0"/>
    <x v="0"/>
    <x v="9"/>
    <x v="20"/>
    <s v="SE4A"/>
    <x v="6"/>
    <x v="7"/>
    <s v="GNR_RES_WTR_NOPMP_MC-02"/>
    <x v="0"/>
    <x v="7"/>
    <n v="15.287300663378099"/>
    <n v="5579.8647421330097"/>
    <n v="20087.513071678801"/>
  </r>
  <r>
    <x v="0"/>
    <x v="0"/>
    <x v="0"/>
    <x v="9"/>
    <x v="20"/>
    <s v="SE4A"/>
    <x v="6"/>
    <x v="7"/>
    <s v="GNR_RES_WTR_NOPMP_MC-02"/>
    <x v="0"/>
    <x v="8"/>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2"/>
    <x v="0"/>
    <x v="20"/>
    <n v="15.287300663378099"/>
    <n v="5579.8647421330097"/>
    <n v="20087.513071678801"/>
  </r>
  <r>
    <x v="0"/>
    <x v="0"/>
    <x v="0"/>
    <x v="9"/>
    <x v="20"/>
    <s v="SE4A"/>
    <x v="6"/>
    <x v="7"/>
    <s v="GNR_RES_WTR_NOPMP_MC-02"/>
    <x v="0"/>
    <x v="21"/>
    <n v="15.287300663378099"/>
    <n v="5579.8647421330097"/>
    <n v="20087.513071678801"/>
  </r>
  <r>
    <x v="0"/>
    <x v="0"/>
    <x v="0"/>
    <x v="9"/>
    <x v="20"/>
    <s v="SE4A"/>
    <x v="6"/>
    <x v="7"/>
    <s v="GNR_RES_WTR_NOPMP_MC-02"/>
    <x v="0"/>
    <x v="22"/>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3"/>
    <n v="15.287300663378099"/>
    <n v="5579.8647421330097"/>
    <n v="20087.513071678801"/>
  </r>
  <r>
    <x v="0"/>
    <x v="0"/>
    <x v="0"/>
    <x v="9"/>
    <x v="20"/>
    <s v="SE4A"/>
    <x v="6"/>
    <x v="7"/>
    <s v="GNR_RES_WTR_NOPMP_MC-03"/>
    <x v="0"/>
    <x v="4"/>
    <n v="15.287300663378099"/>
    <n v="5579.8647421330097"/>
    <n v="20087.513071678801"/>
  </r>
  <r>
    <x v="0"/>
    <x v="0"/>
    <x v="0"/>
    <x v="9"/>
    <x v="20"/>
    <s v="SE4A"/>
    <x v="6"/>
    <x v="7"/>
    <s v="GNR_RES_WTR_NOPMP_MC-03"/>
    <x v="0"/>
    <x v="5"/>
    <n v="15.287300663378099"/>
    <n v="5579.8647421330097"/>
    <n v="20087.513071678801"/>
  </r>
  <r>
    <x v="0"/>
    <x v="0"/>
    <x v="0"/>
    <x v="9"/>
    <x v="20"/>
    <s v="SE4A"/>
    <x v="6"/>
    <x v="7"/>
    <s v="GNR_RES_WTR_NOPMP_MC-03"/>
    <x v="0"/>
    <x v="6"/>
    <n v="15.287300663378099"/>
    <n v="5579.8647421330097"/>
    <n v="20087.513071678801"/>
  </r>
  <r>
    <x v="0"/>
    <x v="0"/>
    <x v="0"/>
    <x v="9"/>
    <x v="20"/>
    <s v="SE4A"/>
    <x v="6"/>
    <x v="7"/>
    <s v="GNR_RES_WTR_NOPMP_MC-03"/>
    <x v="0"/>
    <x v="7"/>
    <n v="15.287300663378099"/>
    <n v="5579.8647421330097"/>
    <n v="20087.513071678801"/>
  </r>
  <r>
    <x v="0"/>
    <x v="0"/>
    <x v="0"/>
    <x v="9"/>
    <x v="20"/>
    <s v="SE4A"/>
    <x v="6"/>
    <x v="7"/>
    <s v="GNR_RES_WTR_NOPMP_MC-03"/>
    <x v="0"/>
    <x v="8"/>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3"/>
    <x v="0"/>
    <x v="20"/>
    <n v="15.287300663378099"/>
    <n v="5579.8647421330097"/>
    <n v="20087.513071678801"/>
  </r>
  <r>
    <x v="0"/>
    <x v="0"/>
    <x v="0"/>
    <x v="9"/>
    <x v="20"/>
    <s v="SE4A"/>
    <x v="6"/>
    <x v="7"/>
    <s v="GNR_RES_WTR_NOPMP_MC-03"/>
    <x v="0"/>
    <x v="21"/>
    <n v="15.287300663378099"/>
    <n v="5579.8647421330097"/>
    <n v="20087.513071678801"/>
  </r>
  <r>
    <x v="0"/>
    <x v="0"/>
    <x v="0"/>
    <x v="9"/>
    <x v="20"/>
    <s v="SE4A"/>
    <x v="6"/>
    <x v="7"/>
    <s v="GNR_RES_WTR_NOPMP_MC-03"/>
    <x v="0"/>
    <x v="22"/>
    <n v="15.287300663378099"/>
    <n v="5579.8647421330097"/>
    <n v="20087.513071678801"/>
  </r>
  <r>
    <x v="0"/>
    <x v="0"/>
    <x v="0"/>
    <x v="9"/>
    <x v="20"/>
    <s v="SE4A"/>
    <x v="6"/>
    <x v="7"/>
    <s v="GNR_RES_WTR_NOPMP_MC-04"/>
    <x v="0"/>
    <x v="5"/>
    <n v="15.287300663378099"/>
    <n v="5579.8647421330097"/>
    <n v="20087.513071678801"/>
  </r>
  <r>
    <x v="0"/>
    <x v="0"/>
    <x v="0"/>
    <x v="9"/>
    <x v="20"/>
    <s v="SE4A"/>
    <x v="6"/>
    <x v="7"/>
    <s v="GNR_RES_WTR_NOPMP_MC-04"/>
    <x v="0"/>
    <x v="6"/>
    <n v="15.287300663378099"/>
    <n v="5579.8647421330097"/>
    <n v="20087.513071678801"/>
  </r>
  <r>
    <x v="0"/>
    <x v="0"/>
    <x v="0"/>
    <x v="9"/>
    <x v="20"/>
    <s v="SE4A"/>
    <x v="6"/>
    <x v="7"/>
    <s v="GNR_RES_WTR_NOPMP_MC-04"/>
    <x v="0"/>
    <x v="7"/>
    <n v="15.287300663378099"/>
    <n v="5579.8647421330097"/>
    <n v="20087.513071678801"/>
  </r>
  <r>
    <x v="0"/>
    <x v="0"/>
    <x v="0"/>
    <x v="9"/>
    <x v="20"/>
    <s v="SE4A"/>
    <x v="6"/>
    <x v="7"/>
    <s v="GNR_RES_WTR_NOPMP_MC-04"/>
    <x v="0"/>
    <x v="8"/>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15.287300663378099"/>
    <n v="5579.8647421330097"/>
    <n v="20087.513071678801"/>
  </r>
  <r>
    <x v="0"/>
    <x v="0"/>
    <x v="0"/>
    <x v="9"/>
    <x v="20"/>
    <s v="SE4A"/>
    <x v="6"/>
    <x v="7"/>
    <s v="GNR_RES_WTR_NOPMP_MC-04"/>
    <x v="0"/>
    <x v="13"/>
    <n v="15.287300663378099"/>
    <n v="5579.8647421330097"/>
    <n v="20087.51307167880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8"/>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4"/>
    <x v="0"/>
    <x v="20"/>
    <n v="15.287300663378099"/>
    <n v="5579.8647421330097"/>
    <n v="20087.513071678801"/>
  </r>
  <r>
    <x v="0"/>
    <x v="0"/>
    <x v="0"/>
    <x v="9"/>
    <x v="20"/>
    <s v="SE4A"/>
    <x v="6"/>
    <x v="7"/>
    <s v="GNR_RES_WTR_NOPMP_MC-04"/>
    <x v="0"/>
    <x v="21"/>
    <n v="15.287300663378099"/>
    <n v="5579.8647421330097"/>
    <n v="20087.513071678801"/>
  </r>
  <r>
    <x v="0"/>
    <x v="0"/>
    <x v="0"/>
    <x v="9"/>
    <x v="20"/>
    <s v="SE4A"/>
    <x v="6"/>
    <x v="7"/>
    <s v="GNR_RES_WTR_NOPMP_MC-05"/>
    <x v="0"/>
    <x v="6"/>
    <n v="15.287300663378099"/>
    <n v="5579.8647421330097"/>
    <n v="20087.513071678801"/>
  </r>
  <r>
    <x v="0"/>
    <x v="0"/>
    <x v="0"/>
    <x v="9"/>
    <x v="20"/>
    <s v="SE4A"/>
    <x v="6"/>
    <x v="7"/>
    <s v="GNR_RES_WTR_NOPMP_MC-05"/>
    <x v="0"/>
    <x v="7"/>
    <n v="15.287300663378099"/>
    <n v="5579.8647421330097"/>
    <n v="20087.513071678801"/>
  </r>
  <r>
    <x v="0"/>
    <x v="0"/>
    <x v="0"/>
    <x v="9"/>
    <x v="20"/>
    <s v="SE4A"/>
    <x v="6"/>
    <x v="7"/>
    <s v="GNR_RES_WTR_NOPMP_MC-05"/>
    <x v="0"/>
    <x v="8"/>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2"/>
    <n v="15.287300663378099"/>
    <n v="5579.8647421330097"/>
    <n v="20087.513071678801"/>
  </r>
  <r>
    <x v="0"/>
    <x v="0"/>
    <x v="0"/>
    <x v="9"/>
    <x v="20"/>
    <s v="SE4A"/>
    <x v="6"/>
    <x v="7"/>
    <s v="GNR_RES_WTR_NOPMP_MC-05"/>
    <x v="0"/>
    <x v="13"/>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8"/>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5"/>
    <x v="0"/>
    <x v="20"/>
    <n v="15.287300663378099"/>
    <n v="5579.8647421330097"/>
    <n v="20087.513071678801"/>
  </r>
  <r>
    <x v="0"/>
    <x v="0"/>
    <x v="0"/>
    <x v="9"/>
    <x v="20"/>
    <s v="SE4A"/>
    <x v="6"/>
    <x v="7"/>
    <s v="GNR_RES_WTR_NOPMP_MC-06"/>
    <x v="0"/>
    <x v="6"/>
    <n v="15.287300663378099"/>
    <n v="5579.8647421330097"/>
    <n v="20087.513071678801"/>
  </r>
  <r>
    <x v="0"/>
    <x v="0"/>
    <x v="0"/>
    <x v="9"/>
    <x v="20"/>
    <s v="SE4A"/>
    <x v="6"/>
    <x v="7"/>
    <s v="GNR_RES_WTR_NOPMP_MC-06"/>
    <x v="0"/>
    <x v="7"/>
    <n v="15.287300663378099"/>
    <n v="5579.8647421330097"/>
    <n v="20087.513071678801"/>
  </r>
  <r>
    <x v="0"/>
    <x v="0"/>
    <x v="0"/>
    <x v="9"/>
    <x v="20"/>
    <s v="SE4A"/>
    <x v="6"/>
    <x v="7"/>
    <s v="GNR_RES_WTR_NOPMP_MC-06"/>
    <x v="0"/>
    <x v="8"/>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2"/>
    <n v="15.287300663378099"/>
    <n v="5579.8647421330097"/>
    <n v="20087.513071678801"/>
  </r>
  <r>
    <x v="0"/>
    <x v="0"/>
    <x v="0"/>
    <x v="9"/>
    <x v="20"/>
    <s v="SE4A"/>
    <x v="6"/>
    <x v="7"/>
    <s v="GNR_RES_WTR_NOPMP_MC-06"/>
    <x v="0"/>
    <x v="13"/>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6"/>
    <x v="0"/>
    <x v="17"/>
    <n v="4.3977166291945604"/>
    <n v="1605.1665696560201"/>
    <n v="5778.5996507616601"/>
  </r>
  <r>
    <x v="0"/>
    <x v="0"/>
    <x v="0"/>
    <x v="9"/>
    <x v="20"/>
    <s v="SE4A"/>
    <x v="6"/>
    <x v="7"/>
    <s v="GNR_RES_WTR_NOPMP_MC-06"/>
    <x v="0"/>
    <x v="18"/>
    <n v="15.287300663378099"/>
    <n v="5579.8647421330097"/>
    <n v="20087.513071678801"/>
  </r>
  <r>
    <x v="0"/>
    <x v="0"/>
    <x v="0"/>
    <x v="9"/>
    <x v="20"/>
    <s v="SE4A"/>
    <x v="6"/>
    <x v="7"/>
    <s v="GNR_RES_WTR_NOPMP_MC-06"/>
    <x v="0"/>
    <x v="19"/>
    <n v="15.287300663378099"/>
    <n v="5579.8647421330097"/>
    <n v="20087.513071678801"/>
  </r>
  <r>
    <x v="0"/>
    <x v="0"/>
    <x v="0"/>
    <x v="9"/>
    <x v="20"/>
    <s v="SE4A"/>
    <x v="6"/>
    <x v="7"/>
    <s v="GNR_RES_WTR_NOPMP_MC-07"/>
    <x v="0"/>
    <x v="7"/>
    <n v="15.287300663378099"/>
    <n v="5579.8647421330097"/>
    <n v="20087.513071678801"/>
  </r>
  <r>
    <x v="0"/>
    <x v="0"/>
    <x v="0"/>
    <x v="9"/>
    <x v="20"/>
    <s v="SE4A"/>
    <x v="6"/>
    <x v="7"/>
    <s v="GNR_RES_WTR_NOPMP_MC-07"/>
    <x v="0"/>
    <x v="8"/>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7"/>
    <x v="0"/>
    <x v="11"/>
    <n v="15.287300663378099"/>
    <n v="5579.8647421330097"/>
    <n v="20087.513071678801"/>
  </r>
  <r>
    <x v="0"/>
    <x v="0"/>
    <x v="0"/>
    <x v="9"/>
    <x v="20"/>
    <s v="SE4A"/>
    <x v="6"/>
    <x v="7"/>
    <s v="GNR_RES_WTR_NOPMP_MC-08"/>
    <x v="0"/>
    <x v="7"/>
    <n v="15.287300663378099"/>
    <n v="5579.8647421330097"/>
    <n v="20087.513071678801"/>
  </r>
  <r>
    <x v="0"/>
    <x v="0"/>
    <x v="0"/>
    <x v="9"/>
    <x v="20"/>
    <s v="SE4A"/>
    <x v="6"/>
    <x v="7"/>
    <s v="GNR_RES_WTR_NOPMP_MC-08"/>
    <x v="0"/>
    <x v="8"/>
    <n v="15.287300663378099"/>
    <n v="5579.8647421330097"/>
    <n v="20087.513071678801"/>
  </r>
  <r>
    <x v="0"/>
    <x v="0"/>
    <x v="0"/>
    <x v="9"/>
    <x v="20"/>
    <s v="SE4A"/>
    <x v="6"/>
    <x v="7"/>
    <s v="GNR_RES_WTR_NOPMP_MC-08"/>
    <x v="0"/>
    <x v="9"/>
    <n v="15.287300663378099"/>
    <n v="5579.8647421330097"/>
    <n v="20087.5130716788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2"/>
    <n v="102.50081849851099"/>
    <n v="37412.798751956601"/>
    <n v="134686.07550704401"/>
  </r>
  <r>
    <x v="0"/>
    <x v="0"/>
    <x v="0"/>
    <x v="9"/>
    <x v="20"/>
    <s v="SE4A"/>
    <x v="6"/>
    <x v="4"/>
    <s v="GNR_ROR_WTR"/>
    <x v="0"/>
    <x v="3"/>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8"/>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0"/>
    <n v="210.00501244287699"/>
    <n v="76651.829541650193"/>
    <n v="275946.58634994098"/>
  </r>
  <r>
    <x v="0"/>
    <x v="0"/>
    <x v="0"/>
    <x v="9"/>
    <x v="20"/>
    <s v="SE4A"/>
    <x v="7"/>
    <x v="5"/>
    <s v="GNR_WT_WIND_ONS"/>
    <x v="0"/>
    <x v="1"/>
    <n v="199.311168280972"/>
    <n v="72748.576422554805"/>
    <n v="261894.87512119699"/>
  </r>
  <r>
    <x v="0"/>
    <x v="0"/>
    <x v="0"/>
    <x v="9"/>
    <x v="20"/>
    <s v="SE4A"/>
    <x v="7"/>
    <x v="5"/>
    <s v="GNR_WT_WIND_ONS"/>
    <x v="0"/>
    <x v="2"/>
    <n v="189.13801045626099"/>
    <n v="69035.373816535197"/>
    <n v="248527.34573952699"/>
  </r>
  <r>
    <x v="0"/>
    <x v="0"/>
    <x v="0"/>
    <x v="9"/>
    <x v="20"/>
    <s v="SE4A"/>
    <x v="7"/>
    <x v="5"/>
    <s v="GNR_WT_WIND_ONS"/>
    <x v="0"/>
    <x v="3"/>
    <n v="179.12441692860301"/>
    <n v="65380.412178940198"/>
    <n v="235369.48384418499"/>
  </r>
  <r>
    <x v="0"/>
    <x v="0"/>
    <x v="0"/>
    <x v="9"/>
    <x v="20"/>
    <s v="SE4A"/>
    <x v="7"/>
    <x v="5"/>
    <s v="GNR_WT_WIND_ONS"/>
    <x v="0"/>
    <x v="4"/>
    <n v="147.713738355864"/>
    <n v="53915.514499890203"/>
    <n v="194095.852199605"/>
  </r>
  <r>
    <x v="0"/>
    <x v="0"/>
    <x v="0"/>
    <x v="9"/>
    <x v="20"/>
    <s v="SE4A"/>
    <x v="7"/>
    <x v="5"/>
    <s v="GNR_WT_WIND_ONS"/>
    <x v="0"/>
    <x v="5"/>
    <n v="136.203412954111"/>
    <n v="49714.245728250498"/>
    <n v="178971.28462170201"/>
  </r>
  <r>
    <x v="0"/>
    <x v="0"/>
    <x v="0"/>
    <x v="9"/>
    <x v="20"/>
    <s v="SE4A"/>
    <x v="7"/>
    <x v="5"/>
    <s v="GNR_WT_WIND_ONS"/>
    <x v="0"/>
    <x v="6"/>
    <n v="112.8691610396"/>
    <n v="41197.2437794539"/>
    <n v="148310.077606034"/>
  </r>
  <r>
    <x v="0"/>
    <x v="0"/>
    <x v="0"/>
    <x v="9"/>
    <x v="20"/>
    <s v="SE4A"/>
    <x v="7"/>
    <x v="5"/>
    <s v="GNR_WT_WIND_ONS"/>
    <x v="0"/>
    <x v="7"/>
    <n v="80.358898968112399"/>
    <n v="29330.998123361001"/>
    <n v="105591.5932441"/>
  </r>
  <r>
    <x v="0"/>
    <x v="0"/>
    <x v="0"/>
    <x v="9"/>
    <x v="20"/>
    <s v="SE4A"/>
    <x v="7"/>
    <x v="5"/>
    <s v="GNR_WT_WIND_ONS"/>
    <x v="0"/>
    <x v="8"/>
    <n v="64.708133936406199"/>
    <n v="23618.468886788301"/>
    <n v="85026.487992437804"/>
  </r>
  <r>
    <x v="0"/>
    <x v="0"/>
    <x v="0"/>
    <x v="9"/>
    <x v="20"/>
    <s v="SE4A"/>
    <x v="7"/>
    <x v="5"/>
    <s v="GNR_WT_WIND_ONS"/>
    <x v="0"/>
    <x v="9"/>
    <n v="68.032344276904695"/>
    <n v="24831.805661070201"/>
    <n v="89394.500379852805"/>
  </r>
  <r>
    <x v="0"/>
    <x v="0"/>
    <x v="0"/>
    <x v="9"/>
    <x v="20"/>
    <s v="SE4A"/>
    <x v="7"/>
    <x v="5"/>
    <s v="GNR_WT_WIND_ONS"/>
    <x v="0"/>
    <x v="10"/>
    <n v="63.623292106542898"/>
    <n v="23222.501618888102"/>
    <n v="83601.005827997302"/>
  </r>
  <r>
    <x v="0"/>
    <x v="0"/>
    <x v="0"/>
    <x v="9"/>
    <x v="20"/>
    <s v="SE4A"/>
    <x v="7"/>
    <x v="5"/>
    <s v="GNR_WT_WIND_ONS"/>
    <x v="0"/>
    <x v="11"/>
    <n v="66.379611404164706"/>
    <n v="24228.558162520101"/>
    <n v="87222.809385072396"/>
  </r>
  <r>
    <x v="0"/>
    <x v="0"/>
    <x v="0"/>
    <x v="9"/>
    <x v="20"/>
    <s v="SE4A"/>
    <x v="7"/>
    <x v="5"/>
    <s v="GNR_WT_WIND_ONS"/>
    <x v="0"/>
    <x v="12"/>
    <n v="74.687189692910806"/>
    <n v="27260.824237912399"/>
    <n v="98138.967256484801"/>
  </r>
  <r>
    <x v="0"/>
    <x v="0"/>
    <x v="0"/>
    <x v="9"/>
    <x v="20"/>
    <s v="SE4A"/>
    <x v="7"/>
    <x v="5"/>
    <s v="GNR_WT_WIND_ONS"/>
    <x v="0"/>
    <x v="13"/>
    <n v="87.505343305589193"/>
    <n v="31939.450306539999"/>
    <n v="114982.021103544"/>
  </r>
  <r>
    <x v="0"/>
    <x v="0"/>
    <x v="0"/>
    <x v="9"/>
    <x v="20"/>
    <s v="SE4A"/>
    <x v="7"/>
    <x v="5"/>
    <s v="GNR_WT_WIND_ONS"/>
    <x v="0"/>
    <x v="14"/>
    <n v="135.468231992451"/>
    <n v="49445.904677244704"/>
    <n v="178005.256838081"/>
  </r>
  <r>
    <x v="0"/>
    <x v="0"/>
    <x v="0"/>
    <x v="9"/>
    <x v="20"/>
    <s v="SE4A"/>
    <x v="7"/>
    <x v="5"/>
    <s v="GNR_WT_WIND_ONS"/>
    <x v="0"/>
    <x v="15"/>
    <n v="209.91291686164701"/>
    <n v="76618.214654501193"/>
    <n v="275825.572756204"/>
  </r>
  <r>
    <x v="0"/>
    <x v="0"/>
    <x v="0"/>
    <x v="9"/>
    <x v="20"/>
    <s v="SE4A"/>
    <x v="7"/>
    <x v="5"/>
    <s v="GNR_WT_WIND_ONS"/>
    <x v="0"/>
    <x v="16"/>
    <n v="322.23606026591602"/>
    <n v="117616.161997059"/>
    <n v="423418.18318941299"/>
  </r>
  <r>
    <x v="0"/>
    <x v="0"/>
    <x v="0"/>
    <x v="9"/>
    <x v="20"/>
    <s v="SE4A"/>
    <x v="7"/>
    <x v="5"/>
    <s v="GNR_WT_WIND_ONS"/>
    <x v="0"/>
    <x v="17"/>
    <n v="519.72459112731201"/>
    <n v="189699.47576146899"/>
    <n v="682918.11274128803"/>
  </r>
  <r>
    <x v="0"/>
    <x v="0"/>
    <x v="0"/>
    <x v="9"/>
    <x v="20"/>
    <s v="SE4A"/>
    <x v="7"/>
    <x v="5"/>
    <s v="GNR_WT_WIND_ONS"/>
    <x v="0"/>
    <x v="18"/>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A"/>
    <x v="10"/>
    <x v="0"/>
    <s v="GBPR_IND_BIO"/>
    <x v="0"/>
    <x v="0"/>
    <n v="258.89999999999998"/>
    <n v="94498.5"/>
    <n v="340194.6"/>
  </r>
  <r>
    <x v="0"/>
    <x v="0"/>
    <x v="0"/>
    <x v="9"/>
    <x v="20"/>
    <s v="SE4A"/>
    <x v="10"/>
    <x v="0"/>
    <s v="GBPR_IND_BIO"/>
    <x v="0"/>
    <x v="1"/>
    <n v="258.89999999999998"/>
    <n v="94498.5"/>
    <n v="340194.6"/>
  </r>
  <r>
    <x v="0"/>
    <x v="0"/>
    <x v="0"/>
    <x v="9"/>
    <x v="20"/>
    <s v="SE4A"/>
    <x v="10"/>
    <x v="0"/>
    <s v="GBPR_IND_BIO"/>
    <x v="0"/>
    <x v="2"/>
    <n v="258.89999999999998"/>
    <n v="94498.5"/>
    <n v="340194.6"/>
  </r>
  <r>
    <x v="0"/>
    <x v="0"/>
    <x v="0"/>
    <x v="9"/>
    <x v="20"/>
    <s v="SE4A"/>
    <x v="10"/>
    <x v="0"/>
    <s v="GBPR_IND_BIO"/>
    <x v="0"/>
    <x v="3"/>
    <n v="258.89999999999998"/>
    <n v="94498.5"/>
    <n v="340194.6"/>
  </r>
  <r>
    <x v="0"/>
    <x v="0"/>
    <x v="0"/>
    <x v="9"/>
    <x v="20"/>
    <s v="SE4A"/>
    <x v="10"/>
    <x v="0"/>
    <s v="GBPR_IND_BIO"/>
    <x v="0"/>
    <x v="4"/>
    <n v="258.89999999999998"/>
    <n v="94498.5"/>
    <n v="340194.6"/>
  </r>
  <r>
    <x v="0"/>
    <x v="0"/>
    <x v="0"/>
    <x v="9"/>
    <x v="20"/>
    <s v="SE4A"/>
    <x v="10"/>
    <x v="0"/>
    <s v="GBPR_IND_BIO"/>
    <x v="0"/>
    <x v="5"/>
    <n v="258.89999999999998"/>
    <n v="94498.5"/>
    <n v="340194.6"/>
  </r>
  <r>
    <x v="0"/>
    <x v="0"/>
    <x v="0"/>
    <x v="9"/>
    <x v="20"/>
    <s v="SE4A"/>
    <x v="10"/>
    <x v="0"/>
    <s v="GBPR_IND_BIO"/>
    <x v="0"/>
    <x v="6"/>
    <n v="258.89999999999998"/>
    <n v="94498.5"/>
    <n v="340194.6"/>
  </r>
  <r>
    <x v="0"/>
    <x v="0"/>
    <x v="0"/>
    <x v="9"/>
    <x v="20"/>
    <s v="SE4A"/>
    <x v="10"/>
    <x v="0"/>
    <s v="GBPR_IND_BIO"/>
    <x v="0"/>
    <x v="7"/>
    <n v="258.89999999999998"/>
    <n v="94498.5"/>
    <n v="340194.6"/>
  </r>
  <r>
    <x v="0"/>
    <x v="0"/>
    <x v="0"/>
    <x v="9"/>
    <x v="20"/>
    <s v="SE4A"/>
    <x v="10"/>
    <x v="0"/>
    <s v="GBPR_IND_BIO"/>
    <x v="0"/>
    <x v="8"/>
    <n v="258.89999999999998"/>
    <n v="94498.5"/>
    <n v="340194.6"/>
  </r>
  <r>
    <x v="0"/>
    <x v="0"/>
    <x v="0"/>
    <x v="9"/>
    <x v="20"/>
    <s v="SE4A"/>
    <x v="10"/>
    <x v="0"/>
    <s v="GBPR_IND_BIO"/>
    <x v="0"/>
    <x v="9"/>
    <n v="258.89999999999998"/>
    <n v="94498.5"/>
    <n v="340194.6"/>
  </r>
  <r>
    <x v="0"/>
    <x v="0"/>
    <x v="0"/>
    <x v="9"/>
    <x v="20"/>
    <s v="SE4A"/>
    <x v="10"/>
    <x v="0"/>
    <s v="GBPR_IND_BIO"/>
    <x v="0"/>
    <x v="10"/>
    <n v="258.89999999999998"/>
    <n v="94498.5"/>
    <n v="340194.6"/>
  </r>
  <r>
    <x v="0"/>
    <x v="0"/>
    <x v="0"/>
    <x v="9"/>
    <x v="20"/>
    <s v="SE4A"/>
    <x v="10"/>
    <x v="0"/>
    <s v="GBPR_IND_BIO"/>
    <x v="0"/>
    <x v="11"/>
    <n v="258.89999999999998"/>
    <n v="94498.5"/>
    <n v="340194.6"/>
  </r>
  <r>
    <x v="0"/>
    <x v="0"/>
    <x v="0"/>
    <x v="9"/>
    <x v="20"/>
    <s v="SE4A"/>
    <x v="10"/>
    <x v="0"/>
    <s v="GBPR_IND_BIO"/>
    <x v="0"/>
    <x v="12"/>
    <n v="258.89999999999998"/>
    <n v="94498.5"/>
    <n v="340194.6"/>
  </r>
  <r>
    <x v="0"/>
    <x v="0"/>
    <x v="0"/>
    <x v="9"/>
    <x v="20"/>
    <s v="SE4A"/>
    <x v="10"/>
    <x v="0"/>
    <s v="GBPR_IND_BIO"/>
    <x v="0"/>
    <x v="13"/>
    <n v="258.89999999999998"/>
    <n v="94498.5"/>
    <n v="340194.6"/>
  </r>
  <r>
    <x v="0"/>
    <x v="0"/>
    <x v="0"/>
    <x v="9"/>
    <x v="20"/>
    <s v="SE4A"/>
    <x v="10"/>
    <x v="0"/>
    <s v="GBPR_IND_BIO"/>
    <x v="0"/>
    <x v="14"/>
    <n v="258.89999999999998"/>
    <n v="94498.5"/>
    <n v="340194.6"/>
  </r>
  <r>
    <x v="0"/>
    <x v="0"/>
    <x v="0"/>
    <x v="9"/>
    <x v="20"/>
    <s v="SE4A"/>
    <x v="10"/>
    <x v="0"/>
    <s v="GBPR_IND_BIO"/>
    <x v="0"/>
    <x v="15"/>
    <n v="258.89999999999998"/>
    <n v="94498.5"/>
    <n v="340194.6"/>
  </r>
  <r>
    <x v="0"/>
    <x v="0"/>
    <x v="0"/>
    <x v="9"/>
    <x v="20"/>
    <s v="SE4A"/>
    <x v="10"/>
    <x v="0"/>
    <s v="GBPR_IND_BIO"/>
    <x v="0"/>
    <x v="16"/>
    <n v="258.89999999999998"/>
    <n v="94498.5"/>
    <n v="340194.6"/>
  </r>
  <r>
    <x v="0"/>
    <x v="0"/>
    <x v="0"/>
    <x v="9"/>
    <x v="20"/>
    <s v="SE4A"/>
    <x v="10"/>
    <x v="0"/>
    <s v="GBPR_IND_BIO"/>
    <x v="0"/>
    <x v="17"/>
    <n v="258.89999999999998"/>
    <n v="94498.5"/>
    <n v="340194.6"/>
  </r>
  <r>
    <x v="0"/>
    <x v="0"/>
    <x v="0"/>
    <x v="9"/>
    <x v="20"/>
    <s v="SE4A"/>
    <x v="10"/>
    <x v="0"/>
    <s v="GBPR_IND_BIO"/>
    <x v="0"/>
    <x v="18"/>
    <n v="258.89999999999998"/>
    <n v="94498.5"/>
    <n v="340194.6"/>
  </r>
  <r>
    <x v="0"/>
    <x v="0"/>
    <x v="0"/>
    <x v="9"/>
    <x v="20"/>
    <s v="SE4A"/>
    <x v="10"/>
    <x v="0"/>
    <s v="GBPR_IND_BIO"/>
    <x v="0"/>
    <x v="19"/>
    <n v="258.89999999999998"/>
    <n v="94498.5"/>
    <n v="340194.6"/>
  </r>
  <r>
    <x v="0"/>
    <x v="0"/>
    <x v="0"/>
    <x v="9"/>
    <x v="20"/>
    <s v="SE4A"/>
    <x v="10"/>
    <x v="0"/>
    <s v="GBPR_IND_BIO"/>
    <x v="0"/>
    <x v="20"/>
    <n v="258.89999999999998"/>
    <n v="94498.5"/>
    <n v="340194.6"/>
  </r>
  <r>
    <x v="0"/>
    <x v="0"/>
    <x v="0"/>
    <x v="9"/>
    <x v="20"/>
    <s v="SE4A"/>
    <x v="10"/>
    <x v="0"/>
    <s v="GBPR_IND_BIO"/>
    <x v="0"/>
    <x v="21"/>
    <n v="258.89999999999998"/>
    <n v="94498.5"/>
    <n v="340194.6"/>
  </r>
  <r>
    <x v="0"/>
    <x v="0"/>
    <x v="0"/>
    <x v="9"/>
    <x v="20"/>
    <s v="SE4A"/>
    <x v="10"/>
    <x v="0"/>
    <s v="GBPR_IND_BIO"/>
    <x v="0"/>
    <x v="22"/>
    <n v="258.89999999999998"/>
    <n v="94498.5"/>
    <n v="340194.6"/>
  </r>
  <r>
    <x v="0"/>
    <x v="0"/>
    <x v="0"/>
    <x v="9"/>
    <x v="20"/>
    <s v="SE4A"/>
    <x v="10"/>
    <x v="0"/>
    <s v="GBPR_IND_BIO"/>
    <x v="0"/>
    <x v="23"/>
    <n v="258.89999999999998"/>
    <n v="94498.5"/>
    <n v="340194.6"/>
  </r>
  <r>
    <x v="0"/>
    <x v="0"/>
    <x v="0"/>
    <x v="9"/>
    <x v="20"/>
    <s v="SE4_EL"/>
    <x v="16"/>
    <x v="0"/>
    <s v="GBPR_RECYCLEDWOOD"/>
    <x v="0"/>
    <x v="0"/>
    <n v="24.0457040261917"/>
    <n v="8776.6819695599697"/>
    <n v="31596.055090415899"/>
  </r>
  <r>
    <x v="0"/>
    <x v="0"/>
    <x v="0"/>
    <x v="9"/>
    <x v="20"/>
    <s v="SE4_EL"/>
    <x v="16"/>
    <x v="0"/>
    <s v="GBPR_RECYCLEDWOOD"/>
    <x v="0"/>
    <x v="1"/>
    <n v="24.0457040261917"/>
    <n v="8776.6819695599697"/>
    <n v="31596.055090415899"/>
  </r>
  <r>
    <x v="0"/>
    <x v="0"/>
    <x v="0"/>
    <x v="9"/>
    <x v="20"/>
    <s v="SE4_EL"/>
    <x v="16"/>
    <x v="0"/>
    <s v="GBPR_RECYCLEDWOOD"/>
    <x v="0"/>
    <x v="2"/>
    <n v="24.0457040261917"/>
    <n v="8776.6819695599697"/>
    <n v="31596.055090415899"/>
  </r>
  <r>
    <x v="0"/>
    <x v="0"/>
    <x v="0"/>
    <x v="9"/>
    <x v="20"/>
    <s v="SE4_EL"/>
    <x v="16"/>
    <x v="0"/>
    <s v="GBPR_RECYCLEDWOOD"/>
    <x v="0"/>
    <x v="3"/>
    <n v="24.0457040261917"/>
    <n v="8776.6819695599697"/>
    <n v="31596.055090415899"/>
  </r>
  <r>
    <x v="0"/>
    <x v="0"/>
    <x v="0"/>
    <x v="9"/>
    <x v="20"/>
    <s v="SE4_EL"/>
    <x v="16"/>
    <x v="0"/>
    <s v="GBPR_RECYCLEDWOOD"/>
    <x v="0"/>
    <x v="4"/>
    <n v="24.0457040261917"/>
    <n v="8776.6819695599697"/>
    <n v="31596.055090415899"/>
  </r>
  <r>
    <x v="0"/>
    <x v="0"/>
    <x v="0"/>
    <x v="9"/>
    <x v="20"/>
    <s v="SE4_EL"/>
    <x v="16"/>
    <x v="0"/>
    <s v="GBPR_RECYCLEDWOOD"/>
    <x v="0"/>
    <x v="5"/>
    <n v="24.0457040261917"/>
    <n v="8776.6819695599697"/>
    <n v="31596.055090415899"/>
  </r>
  <r>
    <x v="0"/>
    <x v="0"/>
    <x v="0"/>
    <x v="9"/>
    <x v="20"/>
    <s v="SE4_EL"/>
    <x v="16"/>
    <x v="0"/>
    <s v="GBPR_RECYCLEDWOOD"/>
    <x v="0"/>
    <x v="6"/>
    <n v="24.0457040261917"/>
    <n v="8776.6819695599697"/>
    <n v="31596.055090415899"/>
  </r>
  <r>
    <x v="0"/>
    <x v="0"/>
    <x v="0"/>
    <x v="9"/>
    <x v="20"/>
    <s v="SE4_EL"/>
    <x v="16"/>
    <x v="0"/>
    <s v="GBPR_RECYCLEDWOOD"/>
    <x v="0"/>
    <x v="7"/>
    <n v="24.0457040261917"/>
    <n v="8776.6819695599697"/>
    <n v="31596.055090415899"/>
  </r>
  <r>
    <x v="0"/>
    <x v="0"/>
    <x v="0"/>
    <x v="9"/>
    <x v="20"/>
    <s v="SE4_EL"/>
    <x v="16"/>
    <x v="0"/>
    <s v="GBPR_RECYCLEDWOOD"/>
    <x v="0"/>
    <x v="8"/>
    <n v="24.0457040261917"/>
    <n v="8776.6819695599697"/>
    <n v="31596.055090415899"/>
  </r>
  <r>
    <x v="0"/>
    <x v="0"/>
    <x v="0"/>
    <x v="9"/>
    <x v="20"/>
    <s v="SE4_EL"/>
    <x v="16"/>
    <x v="0"/>
    <s v="GBPR_RECYCLEDWOOD"/>
    <x v="0"/>
    <x v="9"/>
    <n v="24.0457040261917"/>
    <n v="8776.6819695599697"/>
    <n v="31596.055090415899"/>
  </r>
  <r>
    <x v="0"/>
    <x v="0"/>
    <x v="0"/>
    <x v="9"/>
    <x v="20"/>
    <s v="SE4_EL"/>
    <x v="16"/>
    <x v="0"/>
    <s v="GBPR_RECYCLEDWOOD"/>
    <x v="0"/>
    <x v="10"/>
    <n v="24.0457040261917"/>
    <n v="8776.6819695599697"/>
    <n v="31596.055090415899"/>
  </r>
  <r>
    <x v="0"/>
    <x v="0"/>
    <x v="0"/>
    <x v="9"/>
    <x v="20"/>
    <s v="SE4_EL"/>
    <x v="16"/>
    <x v="0"/>
    <s v="GBPR_RECYCLEDWOOD"/>
    <x v="0"/>
    <x v="11"/>
    <n v="24.0457040261917"/>
    <n v="8776.6819695599697"/>
    <n v="31596.055090415899"/>
  </r>
  <r>
    <x v="0"/>
    <x v="0"/>
    <x v="0"/>
    <x v="9"/>
    <x v="20"/>
    <s v="SE4_EL"/>
    <x v="16"/>
    <x v="0"/>
    <s v="GBPR_RECYCLEDWOOD"/>
    <x v="0"/>
    <x v="12"/>
    <n v="24.0457040261917"/>
    <n v="8776.6819695599697"/>
    <n v="31596.055090415899"/>
  </r>
  <r>
    <x v="0"/>
    <x v="0"/>
    <x v="0"/>
    <x v="9"/>
    <x v="20"/>
    <s v="SE4_EL"/>
    <x v="16"/>
    <x v="0"/>
    <s v="GBPR_RECYCLEDWOOD"/>
    <x v="0"/>
    <x v="13"/>
    <n v="24.0457040261917"/>
    <n v="8776.6819695599697"/>
    <n v="31596.055090415899"/>
  </r>
  <r>
    <x v="0"/>
    <x v="0"/>
    <x v="0"/>
    <x v="9"/>
    <x v="20"/>
    <s v="SE4_EL"/>
    <x v="16"/>
    <x v="0"/>
    <s v="GBPR_RECYCLEDWOOD"/>
    <x v="0"/>
    <x v="14"/>
    <n v="24.0457040261917"/>
    <n v="8776.6819695599697"/>
    <n v="31596.055090415899"/>
  </r>
  <r>
    <x v="0"/>
    <x v="0"/>
    <x v="0"/>
    <x v="9"/>
    <x v="20"/>
    <s v="SE4_EL"/>
    <x v="16"/>
    <x v="0"/>
    <s v="GBPR_RECYCLEDWOOD"/>
    <x v="0"/>
    <x v="15"/>
    <n v="24.0457040261917"/>
    <n v="8776.6819695599697"/>
    <n v="31596.055090415899"/>
  </r>
  <r>
    <x v="0"/>
    <x v="0"/>
    <x v="0"/>
    <x v="9"/>
    <x v="20"/>
    <s v="SE4_EL"/>
    <x v="16"/>
    <x v="0"/>
    <s v="GBPR_RECYCLEDWOOD"/>
    <x v="0"/>
    <x v="16"/>
    <n v="24.0457040261917"/>
    <n v="8776.6819695599697"/>
    <n v="31596.055090415899"/>
  </r>
  <r>
    <x v="0"/>
    <x v="0"/>
    <x v="0"/>
    <x v="9"/>
    <x v="20"/>
    <s v="SE4_EL"/>
    <x v="16"/>
    <x v="0"/>
    <s v="GBPR_RECYCLEDWOOD"/>
    <x v="0"/>
    <x v="17"/>
    <n v="24.0457040261917"/>
    <n v="8776.6819695599697"/>
    <n v="31596.055090415899"/>
  </r>
  <r>
    <x v="0"/>
    <x v="0"/>
    <x v="0"/>
    <x v="9"/>
    <x v="20"/>
    <s v="SE4_EL"/>
    <x v="16"/>
    <x v="0"/>
    <s v="GBPR_RECYCLEDWOOD"/>
    <x v="0"/>
    <x v="18"/>
    <n v="24.0457040261917"/>
    <n v="8776.6819695599697"/>
    <n v="31596.055090415899"/>
  </r>
  <r>
    <x v="0"/>
    <x v="0"/>
    <x v="0"/>
    <x v="9"/>
    <x v="20"/>
    <s v="SE4_EL"/>
    <x v="16"/>
    <x v="0"/>
    <s v="GBPR_RECYCLEDWOOD"/>
    <x v="0"/>
    <x v="19"/>
    <n v="24.0457040261917"/>
    <n v="8776.6819695599697"/>
    <n v="31596.055090415899"/>
  </r>
  <r>
    <x v="0"/>
    <x v="0"/>
    <x v="0"/>
    <x v="9"/>
    <x v="20"/>
    <s v="SE4_EL"/>
    <x v="16"/>
    <x v="0"/>
    <s v="GBPR_RECYCLEDWOOD"/>
    <x v="0"/>
    <x v="20"/>
    <n v="24.0457040261917"/>
    <n v="8776.6819695599697"/>
    <n v="31596.055090415899"/>
  </r>
  <r>
    <x v="0"/>
    <x v="0"/>
    <x v="0"/>
    <x v="9"/>
    <x v="20"/>
    <s v="SE4_EL"/>
    <x v="16"/>
    <x v="0"/>
    <s v="GBPR_RECYCLEDWOOD"/>
    <x v="0"/>
    <x v="21"/>
    <n v="24.0457040261917"/>
    <n v="8776.6819695599697"/>
    <n v="31596.055090415899"/>
  </r>
  <r>
    <x v="0"/>
    <x v="0"/>
    <x v="0"/>
    <x v="9"/>
    <x v="20"/>
    <s v="SE4_EL"/>
    <x v="16"/>
    <x v="0"/>
    <s v="GBPR_RECYCLEDWOOD"/>
    <x v="0"/>
    <x v="22"/>
    <n v="24.0457040261917"/>
    <n v="8776.6819695599697"/>
    <n v="31596.055090415899"/>
  </r>
  <r>
    <x v="0"/>
    <x v="0"/>
    <x v="0"/>
    <x v="9"/>
    <x v="20"/>
    <s v="SE4_EL"/>
    <x v="16"/>
    <x v="0"/>
    <s v="GBPR_RECYCLEDWOOD"/>
    <x v="0"/>
    <x v="23"/>
    <n v="24.0457040261917"/>
    <n v="8776.6819695599697"/>
    <n v="31596.055090415899"/>
  </r>
  <r>
    <x v="0"/>
    <x v="0"/>
    <x v="0"/>
    <x v="9"/>
    <x v="20"/>
    <s v="SE4_EL"/>
    <x v="16"/>
    <x v="0"/>
    <s v="GBPR_RECYCLEDWOOD_SE4EL"/>
    <x v="0"/>
    <x v="0"/>
    <n v="2.4982549637601799"/>
    <n v="911.86306177246399"/>
    <n v="3282.7070223808701"/>
  </r>
  <r>
    <x v="0"/>
    <x v="0"/>
    <x v="0"/>
    <x v="9"/>
    <x v="20"/>
    <s v="SE4_EL"/>
    <x v="16"/>
    <x v="0"/>
    <s v="GBPR_RECYCLEDWOOD_SE4EL"/>
    <x v="0"/>
    <x v="1"/>
    <n v="2.4982549637601799"/>
    <n v="911.86306177246399"/>
    <n v="3282.7070223808701"/>
  </r>
  <r>
    <x v="0"/>
    <x v="0"/>
    <x v="0"/>
    <x v="9"/>
    <x v="20"/>
    <s v="SE4_EL"/>
    <x v="16"/>
    <x v="0"/>
    <s v="GBPR_RECYCLEDWOOD_SE4EL"/>
    <x v="0"/>
    <x v="2"/>
    <n v="2.4982549637601799"/>
    <n v="911.86306177246399"/>
    <n v="3282.7070223808701"/>
  </r>
  <r>
    <x v="0"/>
    <x v="0"/>
    <x v="0"/>
    <x v="9"/>
    <x v="20"/>
    <s v="SE4_EL"/>
    <x v="16"/>
    <x v="0"/>
    <s v="GBPR_RECYCLEDWOOD_SE4EL"/>
    <x v="0"/>
    <x v="3"/>
    <n v="2.4982549637601799"/>
    <n v="911.86306177246399"/>
    <n v="3282.7070223808701"/>
  </r>
  <r>
    <x v="0"/>
    <x v="0"/>
    <x v="0"/>
    <x v="9"/>
    <x v="20"/>
    <s v="SE4_EL"/>
    <x v="16"/>
    <x v="0"/>
    <s v="GBPR_RECYCLEDWOOD_SE4EL"/>
    <x v="0"/>
    <x v="4"/>
    <n v="2.4982549637601799"/>
    <n v="911.86306177246399"/>
    <n v="3282.7070223808701"/>
  </r>
  <r>
    <x v="0"/>
    <x v="0"/>
    <x v="0"/>
    <x v="9"/>
    <x v="20"/>
    <s v="SE4_EL"/>
    <x v="16"/>
    <x v="0"/>
    <s v="GBPR_RECYCLEDWOOD_SE4EL"/>
    <x v="0"/>
    <x v="5"/>
    <n v="2.4982549637601799"/>
    <n v="911.86306177246399"/>
    <n v="3282.7070223808701"/>
  </r>
  <r>
    <x v="0"/>
    <x v="0"/>
    <x v="0"/>
    <x v="9"/>
    <x v="20"/>
    <s v="SE4_EL"/>
    <x v="16"/>
    <x v="0"/>
    <s v="GBPR_RECYCLEDWOOD_SE4EL"/>
    <x v="0"/>
    <x v="6"/>
    <n v="2.4982549637601799"/>
    <n v="911.86306177246399"/>
    <n v="3282.7070223808701"/>
  </r>
  <r>
    <x v="0"/>
    <x v="0"/>
    <x v="0"/>
    <x v="9"/>
    <x v="20"/>
    <s v="SE4_EL"/>
    <x v="16"/>
    <x v="0"/>
    <s v="GBPR_RECYCLEDWOOD_SE4EL"/>
    <x v="0"/>
    <x v="7"/>
    <n v="2.4982549637601799"/>
    <n v="911.86306177246399"/>
    <n v="3282.7070223808701"/>
  </r>
  <r>
    <x v="0"/>
    <x v="0"/>
    <x v="0"/>
    <x v="9"/>
    <x v="20"/>
    <s v="SE4_EL"/>
    <x v="16"/>
    <x v="0"/>
    <s v="GBPR_RECYCLEDWOOD_SE4EL"/>
    <x v="0"/>
    <x v="8"/>
    <n v="2.4982549637601799"/>
    <n v="911.86306177246399"/>
    <n v="3282.7070223808701"/>
  </r>
  <r>
    <x v="0"/>
    <x v="0"/>
    <x v="0"/>
    <x v="9"/>
    <x v="20"/>
    <s v="SE4_EL"/>
    <x v="16"/>
    <x v="0"/>
    <s v="GBPR_RECYCLEDWOOD_SE4EL"/>
    <x v="0"/>
    <x v="9"/>
    <n v="2.4982549637601799"/>
    <n v="911.86306177246399"/>
    <n v="3282.7070223808701"/>
  </r>
  <r>
    <x v="0"/>
    <x v="0"/>
    <x v="0"/>
    <x v="9"/>
    <x v="20"/>
    <s v="SE4_EL"/>
    <x v="16"/>
    <x v="0"/>
    <s v="GBPR_RECYCLEDWOOD_SE4EL"/>
    <x v="0"/>
    <x v="10"/>
    <n v="2.4982549637601799"/>
    <n v="911.86306177246399"/>
    <n v="3282.7070223808701"/>
  </r>
  <r>
    <x v="0"/>
    <x v="0"/>
    <x v="0"/>
    <x v="9"/>
    <x v="20"/>
    <s v="SE4_EL"/>
    <x v="16"/>
    <x v="0"/>
    <s v="GBPR_RECYCLEDWOOD_SE4EL"/>
    <x v="0"/>
    <x v="11"/>
    <n v="2.4982549637601799"/>
    <n v="911.86306177246399"/>
    <n v="3282.7070223808701"/>
  </r>
  <r>
    <x v="0"/>
    <x v="0"/>
    <x v="0"/>
    <x v="9"/>
    <x v="20"/>
    <s v="SE4_EL"/>
    <x v="16"/>
    <x v="0"/>
    <s v="GBPR_RECYCLEDWOOD_SE4EL"/>
    <x v="0"/>
    <x v="12"/>
    <n v="2.4982549637601799"/>
    <n v="911.86306177246399"/>
    <n v="3282.7070223808701"/>
  </r>
  <r>
    <x v="0"/>
    <x v="0"/>
    <x v="0"/>
    <x v="9"/>
    <x v="20"/>
    <s v="SE4_EL"/>
    <x v="16"/>
    <x v="0"/>
    <s v="GBPR_RECYCLEDWOOD_SE4EL"/>
    <x v="0"/>
    <x v="13"/>
    <n v="2.4982549637601799"/>
    <n v="911.86306177246399"/>
    <n v="3282.7070223808701"/>
  </r>
  <r>
    <x v="0"/>
    <x v="0"/>
    <x v="0"/>
    <x v="9"/>
    <x v="20"/>
    <s v="SE4_EL"/>
    <x v="16"/>
    <x v="0"/>
    <s v="GBPR_RECYCLEDWOOD_SE4EL"/>
    <x v="0"/>
    <x v="14"/>
    <n v="2.4982549637601799"/>
    <n v="911.86306177246399"/>
    <n v="3282.7070223808701"/>
  </r>
  <r>
    <x v="0"/>
    <x v="0"/>
    <x v="0"/>
    <x v="9"/>
    <x v="20"/>
    <s v="SE4_EL"/>
    <x v="16"/>
    <x v="0"/>
    <s v="GBPR_RECYCLEDWOOD_SE4EL"/>
    <x v="0"/>
    <x v="15"/>
    <n v="2.4982549637601799"/>
    <n v="911.86306177246399"/>
    <n v="3282.7070223808701"/>
  </r>
  <r>
    <x v="0"/>
    <x v="0"/>
    <x v="0"/>
    <x v="9"/>
    <x v="20"/>
    <s v="SE4_EL"/>
    <x v="16"/>
    <x v="0"/>
    <s v="GBPR_RECYCLEDWOOD_SE4EL"/>
    <x v="0"/>
    <x v="16"/>
    <n v="2.4982549637601799"/>
    <n v="911.86306177246399"/>
    <n v="3282.7070223808701"/>
  </r>
  <r>
    <x v="0"/>
    <x v="0"/>
    <x v="0"/>
    <x v="9"/>
    <x v="20"/>
    <s v="SE4_EL"/>
    <x v="16"/>
    <x v="0"/>
    <s v="GBPR_RECYCLEDWOOD_SE4EL"/>
    <x v="0"/>
    <x v="17"/>
    <n v="2.4982549637601799"/>
    <n v="911.86306177246399"/>
    <n v="3282.7070223808701"/>
  </r>
  <r>
    <x v="0"/>
    <x v="0"/>
    <x v="0"/>
    <x v="9"/>
    <x v="20"/>
    <s v="SE4_EL"/>
    <x v="16"/>
    <x v="0"/>
    <s v="GBPR_RECYCLEDWOOD_SE4EL"/>
    <x v="0"/>
    <x v="18"/>
    <n v="2.4982549637601799"/>
    <n v="911.86306177246399"/>
    <n v="3282.7070223808701"/>
  </r>
  <r>
    <x v="0"/>
    <x v="0"/>
    <x v="0"/>
    <x v="9"/>
    <x v="20"/>
    <s v="SE4_EL"/>
    <x v="16"/>
    <x v="0"/>
    <s v="GBPR_RECYCLEDWOOD_SE4EL"/>
    <x v="0"/>
    <x v="19"/>
    <n v="2.4982549637601799"/>
    <n v="911.86306177246399"/>
    <n v="3282.7070223808701"/>
  </r>
  <r>
    <x v="0"/>
    <x v="0"/>
    <x v="0"/>
    <x v="9"/>
    <x v="20"/>
    <s v="SE4_EL"/>
    <x v="16"/>
    <x v="0"/>
    <s v="GBPR_RECYCLEDWOOD_SE4EL"/>
    <x v="0"/>
    <x v="20"/>
    <n v="2.4982549637601799"/>
    <n v="911.86306177246399"/>
    <n v="3282.7070223808701"/>
  </r>
  <r>
    <x v="0"/>
    <x v="0"/>
    <x v="0"/>
    <x v="9"/>
    <x v="20"/>
    <s v="SE4_EL"/>
    <x v="16"/>
    <x v="0"/>
    <s v="GBPR_RECYCLEDWOOD_SE4EL"/>
    <x v="0"/>
    <x v="21"/>
    <n v="2.4982549637601799"/>
    <n v="911.86306177246399"/>
    <n v="3282.7070223808701"/>
  </r>
  <r>
    <x v="0"/>
    <x v="0"/>
    <x v="0"/>
    <x v="9"/>
    <x v="20"/>
    <s v="SE4_EL"/>
    <x v="16"/>
    <x v="0"/>
    <s v="GBPR_RECYCLEDWOOD_SE4EL"/>
    <x v="0"/>
    <x v="22"/>
    <n v="2.4982549637601799"/>
    <n v="911.86306177246399"/>
    <n v="3282.7070223808701"/>
  </r>
  <r>
    <x v="0"/>
    <x v="0"/>
    <x v="0"/>
    <x v="9"/>
    <x v="20"/>
    <s v="SE4_EL"/>
    <x v="16"/>
    <x v="0"/>
    <s v="GBPR_RECYCLEDWOOD_SE4EL"/>
    <x v="0"/>
    <x v="23"/>
    <n v="2.4982549637601799"/>
    <n v="911.86306177246399"/>
    <n v="3282.7070223808701"/>
  </r>
  <r>
    <x v="0"/>
    <x v="0"/>
    <x v="0"/>
    <x v="9"/>
    <x v="20"/>
    <s v="SE4_HP"/>
    <x v="1"/>
    <x v="0"/>
    <s v="GBPR_MUNIWASTE_65"/>
    <x v="0"/>
    <x v="0"/>
    <n v="18"/>
    <n v="6570"/>
    <n v="23652"/>
  </r>
  <r>
    <x v="0"/>
    <x v="0"/>
    <x v="0"/>
    <x v="9"/>
    <x v="20"/>
    <s v="SE4_HP"/>
    <x v="1"/>
    <x v="0"/>
    <s v="GBPR_MUNIWASTE_65"/>
    <x v="0"/>
    <x v="1"/>
    <n v="18"/>
    <n v="6570"/>
    <n v="23652"/>
  </r>
  <r>
    <x v="0"/>
    <x v="0"/>
    <x v="0"/>
    <x v="9"/>
    <x v="20"/>
    <s v="SE4_HP"/>
    <x v="1"/>
    <x v="0"/>
    <s v="GBPR_MUNIWASTE_65"/>
    <x v="0"/>
    <x v="2"/>
    <n v="18"/>
    <n v="6570"/>
    <n v="23652"/>
  </r>
  <r>
    <x v="0"/>
    <x v="0"/>
    <x v="0"/>
    <x v="9"/>
    <x v="20"/>
    <s v="SE4_HP"/>
    <x v="1"/>
    <x v="0"/>
    <s v="GBPR_MUNIWASTE_65"/>
    <x v="0"/>
    <x v="3"/>
    <n v="18"/>
    <n v="6570"/>
    <n v="23652"/>
  </r>
  <r>
    <x v="0"/>
    <x v="0"/>
    <x v="0"/>
    <x v="9"/>
    <x v="20"/>
    <s v="SE4_HP"/>
    <x v="1"/>
    <x v="0"/>
    <s v="GBPR_MUNIWASTE_65"/>
    <x v="0"/>
    <x v="4"/>
    <n v="18"/>
    <n v="6570"/>
    <n v="23652"/>
  </r>
  <r>
    <x v="0"/>
    <x v="0"/>
    <x v="0"/>
    <x v="9"/>
    <x v="20"/>
    <s v="SE4_HP"/>
    <x v="1"/>
    <x v="0"/>
    <s v="GBPR_MUNIWASTE_65"/>
    <x v="0"/>
    <x v="5"/>
    <n v="18"/>
    <n v="6570"/>
    <n v="23652"/>
  </r>
  <r>
    <x v="0"/>
    <x v="0"/>
    <x v="0"/>
    <x v="9"/>
    <x v="20"/>
    <s v="SE4_HP"/>
    <x v="1"/>
    <x v="0"/>
    <s v="GBPR_MUNIWASTE_65"/>
    <x v="0"/>
    <x v="6"/>
    <n v="18"/>
    <n v="6570"/>
    <n v="23652"/>
  </r>
  <r>
    <x v="0"/>
    <x v="0"/>
    <x v="0"/>
    <x v="9"/>
    <x v="20"/>
    <s v="SE4_HP"/>
    <x v="1"/>
    <x v="0"/>
    <s v="GBPR_MUNIWASTE_65"/>
    <x v="0"/>
    <x v="7"/>
    <n v="18"/>
    <n v="6570"/>
    <n v="23652"/>
  </r>
  <r>
    <x v="0"/>
    <x v="0"/>
    <x v="0"/>
    <x v="9"/>
    <x v="20"/>
    <s v="SE4_HP"/>
    <x v="1"/>
    <x v="0"/>
    <s v="GBPR_MUNIWASTE_65"/>
    <x v="0"/>
    <x v="8"/>
    <n v="18"/>
    <n v="6570"/>
    <n v="23652"/>
  </r>
  <r>
    <x v="0"/>
    <x v="0"/>
    <x v="0"/>
    <x v="9"/>
    <x v="20"/>
    <s v="SE4_HP"/>
    <x v="1"/>
    <x v="0"/>
    <s v="GBPR_MUNIWASTE_65"/>
    <x v="0"/>
    <x v="9"/>
    <n v="18"/>
    <n v="6570"/>
    <n v="23652"/>
  </r>
  <r>
    <x v="0"/>
    <x v="0"/>
    <x v="0"/>
    <x v="9"/>
    <x v="20"/>
    <s v="SE4_HP"/>
    <x v="1"/>
    <x v="0"/>
    <s v="GBPR_MUNIWASTE_65"/>
    <x v="0"/>
    <x v="10"/>
    <n v="18"/>
    <n v="6570"/>
    <n v="23652"/>
  </r>
  <r>
    <x v="0"/>
    <x v="0"/>
    <x v="0"/>
    <x v="9"/>
    <x v="20"/>
    <s v="SE4_HP"/>
    <x v="1"/>
    <x v="0"/>
    <s v="GBPR_MUNIWASTE_65"/>
    <x v="0"/>
    <x v="11"/>
    <n v="18"/>
    <n v="6570"/>
    <n v="23652"/>
  </r>
  <r>
    <x v="0"/>
    <x v="0"/>
    <x v="0"/>
    <x v="9"/>
    <x v="20"/>
    <s v="SE4_HP"/>
    <x v="1"/>
    <x v="0"/>
    <s v="GBPR_MUNIWASTE_65"/>
    <x v="0"/>
    <x v="12"/>
    <n v="18"/>
    <n v="6570"/>
    <n v="23652"/>
  </r>
  <r>
    <x v="0"/>
    <x v="0"/>
    <x v="0"/>
    <x v="9"/>
    <x v="20"/>
    <s v="SE4_HP"/>
    <x v="1"/>
    <x v="0"/>
    <s v="GBPR_MUNIWASTE_65"/>
    <x v="0"/>
    <x v="13"/>
    <n v="18"/>
    <n v="6570"/>
    <n v="23652"/>
  </r>
  <r>
    <x v="0"/>
    <x v="0"/>
    <x v="0"/>
    <x v="9"/>
    <x v="20"/>
    <s v="SE4_HP"/>
    <x v="1"/>
    <x v="0"/>
    <s v="GBPR_MUNIWASTE_65"/>
    <x v="0"/>
    <x v="14"/>
    <n v="18"/>
    <n v="6570"/>
    <n v="23652"/>
  </r>
  <r>
    <x v="0"/>
    <x v="0"/>
    <x v="0"/>
    <x v="9"/>
    <x v="20"/>
    <s v="SE4_HP"/>
    <x v="1"/>
    <x v="0"/>
    <s v="GBPR_MUNIWASTE_65"/>
    <x v="0"/>
    <x v="15"/>
    <n v="18"/>
    <n v="6570"/>
    <n v="23652"/>
  </r>
  <r>
    <x v="0"/>
    <x v="0"/>
    <x v="0"/>
    <x v="9"/>
    <x v="20"/>
    <s v="SE4_HP"/>
    <x v="1"/>
    <x v="0"/>
    <s v="GBPR_MUNIWASTE_65"/>
    <x v="0"/>
    <x v="16"/>
    <n v="18"/>
    <n v="6570"/>
    <n v="23652"/>
  </r>
  <r>
    <x v="0"/>
    <x v="0"/>
    <x v="0"/>
    <x v="9"/>
    <x v="20"/>
    <s v="SE4_HP"/>
    <x v="1"/>
    <x v="0"/>
    <s v="GBPR_MUNIWASTE_65"/>
    <x v="0"/>
    <x v="17"/>
    <n v="18"/>
    <n v="6570"/>
    <n v="23652"/>
  </r>
  <r>
    <x v="0"/>
    <x v="0"/>
    <x v="0"/>
    <x v="9"/>
    <x v="20"/>
    <s v="SE4_HP"/>
    <x v="1"/>
    <x v="0"/>
    <s v="GBPR_MUNIWASTE_65"/>
    <x v="0"/>
    <x v="18"/>
    <n v="18"/>
    <n v="6570"/>
    <n v="23652"/>
  </r>
  <r>
    <x v="0"/>
    <x v="0"/>
    <x v="0"/>
    <x v="9"/>
    <x v="20"/>
    <s v="SE4_HP"/>
    <x v="1"/>
    <x v="0"/>
    <s v="GBPR_MUNIWASTE_65"/>
    <x v="0"/>
    <x v="19"/>
    <n v="18"/>
    <n v="6570"/>
    <n v="23652"/>
  </r>
  <r>
    <x v="0"/>
    <x v="0"/>
    <x v="0"/>
    <x v="9"/>
    <x v="20"/>
    <s v="SE4_HP"/>
    <x v="1"/>
    <x v="0"/>
    <s v="GBPR_MUNIWASTE_65"/>
    <x v="0"/>
    <x v="20"/>
    <n v="18"/>
    <n v="6570"/>
    <n v="23652"/>
  </r>
  <r>
    <x v="0"/>
    <x v="0"/>
    <x v="0"/>
    <x v="9"/>
    <x v="20"/>
    <s v="SE4_HP"/>
    <x v="1"/>
    <x v="0"/>
    <s v="GBPR_MUNIWASTE_65"/>
    <x v="0"/>
    <x v="21"/>
    <n v="18"/>
    <n v="6570"/>
    <n v="23652"/>
  </r>
  <r>
    <x v="0"/>
    <x v="0"/>
    <x v="0"/>
    <x v="9"/>
    <x v="20"/>
    <s v="SE4_HP"/>
    <x v="1"/>
    <x v="0"/>
    <s v="GBPR_MUNIWASTE_65"/>
    <x v="0"/>
    <x v="22"/>
    <n v="18"/>
    <n v="6570"/>
    <n v="23652"/>
  </r>
  <r>
    <x v="0"/>
    <x v="0"/>
    <x v="0"/>
    <x v="9"/>
    <x v="20"/>
    <s v="SE4_HP"/>
    <x v="1"/>
    <x v="0"/>
    <s v="GBPR_MUNIWASTE_65"/>
    <x v="0"/>
    <x v="23"/>
    <n v="18"/>
    <n v="6570"/>
    <n v="23652"/>
  </r>
  <r>
    <x v="0"/>
    <x v="0"/>
    <x v="0"/>
    <x v="9"/>
    <x v="20"/>
    <s v="SE4_HP"/>
    <x v="8"/>
    <x v="0"/>
    <s v="GBPR_WOODPELLETS"/>
    <x v="0"/>
    <x v="0"/>
    <n v="69"/>
    <n v="25185"/>
    <n v="90666"/>
  </r>
  <r>
    <x v="0"/>
    <x v="0"/>
    <x v="0"/>
    <x v="9"/>
    <x v="20"/>
    <s v="SE4_HP"/>
    <x v="8"/>
    <x v="0"/>
    <s v="GBPR_WOODPELLETS"/>
    <x v="0"/>
    <x v="1"/>
    <n v="69"/>
    <n v="25185"/>
    <n v="90666"/>
  </r>
  <r>
    <x v="0"/>
    <x v="0"/>
    <x v="0"/>
    <x v="9"/>
    <x v="20"/>
    <s v="SE4_HP"/>
    <x v="8"/>
    <x v="0"/>
    <s v="GBPR_WOODPELLETS"/>
    <x v="0"/>
    <x v="2"/>
    <n v="69"/>
    <n v="25185"/>
    <n v="90666"/>
  </r>
  <r>
    <x v="0"/>
    <x v="0"/>
    <x v="0"/>
    <x v="9"/>
    <x v="20"/>
    <s v="SE4_HP"/>
    <x v="8"/>
    <x v="0"/>
    <s v="GBPR_WOODPELLETS"/>
    <x v="0"/>
    <x v="3"/>
    <n v="69"/>
    <n v="25185"/>
    <n v="90666"/>
  </r>
  <r>
    <x v="0"/>
    <x v="0"/>
    <x v="0"/>
    <x v="9"/>
    <x v="20"/>
    <s v="SE4_HP"/>
    <x v="8"/>
    <x v="0"/>
    <s v="GBPR_WOODPELLETS"/>
    <x v="0"/>
    <x v="4"/>
    <n v="69"/>
    <n v="25185"/>
    <n v="90666"/>
  </r>
  <r>
    <x v="0"/>
    <x v="0"/>
    <x v="0"/>
    <x v="9"/>
    <x v="20"/>
    <s v="SE4_HP"/>
    <x v="8"/>
    <x v="0"/>
    <s v="GBPR_WOODPELLETS"/>
    <x v="0"/>
    <x v="5"/>
    <n v="69"/>
    <n v="25185"/>
    <n v="90666"/>
  </r>
  <r>
    <x v="0"/>
    <x v="0"/>
    <x v="0"/>
    <x v="9"/>
    <x v="20"/>
    <s v="SE4_HP"/>
    <x v="8"/>
    <x v="0"/>
    <s v="GBPR_WOODPELLETS"/>
    <x v="0"/>
    <x v="6"/>
    <n v="69"/>
    <n v="25185"/>
    <n v="90666"/>
  </r>
  <r>
    <x v="0"/>
    <x v="0"/>
    <x v="0"/>
    <x v="9"/>
    <x v="20"/>
    <s v="SE4_HP"/>
    <x v="8"/>
    <x v="0"/>
    <s v="GBPR_WOODPELLETS"/>
    <x v="0"/>
    <x v="7"/>
    <n v="69"/>
    <n v="25185"/>
    <n v="90666"/>
  </r>
  <r>
    <x v="0"/>
    <x v="0"/>
    <x v="0"/>
    <x v="9"/>
    <x v="20"/>
    <s v="SE4_HP"/>
    <x v="8"/>
    <x v="0"/>
    <s v="GBPR_WOODPELLETS"/>
    <x v="0"/>
    <x v="8"/>
    <n v="69"/>
    <n v="25185"/>
    <n v="90666"/>
  </r>
  <r>
    <x v="0"/>
    <x v="0"/>
    <x v="0"/>
    <x v="9"/>
    <x v="20"/>
    <s v="SE4_HP"/>
    <x v="8"/>
    <x v="0"/>
    <s v="GBPR_WOODPELLETS"/>
    <x v="0"/>
    <x v="9"/>
    <n v="69"/>
    <n v="25185"/>
    <n v="90666"/>
  </r>
  <r>
    <x v="0"/>
    <x v="0"/>
    <x v="0"/>
    <x v="9"/>
    <x v="20"/>
    <s v="SE4_HP"/>
    <x v="8"/>
    <x v="0"/>
    <s v="GBPR_WOODPELLETS"/>
    <x v="0"/>
    <x v="10"/>
    <n v="69"/>
    <n v="25185"/>
    <n v="90666"/>
  </r>
  <r>
    <x v="0"/>
    <x v="0"/>
    <x v="0"/>
    <x v="9"/>
    <x v="20"/>
    <s v="SE4_HP"/>
    <x v="8"/>
    <x v="0"/>
    <s v="GBPR_WOODPELLETS"/>
    <x v="0"/>
    <x v="11"/>
    <n v="69"/>
    <n v="25185"/>
    <n v="90666"/>
  </r>
  <r>
    <x v="0"/>
    <x v="0"/>
    <x v="0"/>
    <x v="9"/>
    <x v="20"/>
    <s v="SE4_HP"/>
    <x v="8"/>
    <x v="0"/>
    <s v="GBPR_WOODPELLETS"/>
    <x v="0"/>
    <x v="12"/>
    <n v="69"/>
    <n v="25185"/>
    <n v="90666"/>
  </r>
  <r>
    <x v="0"/>
    <x v="0"/>
    <x v="0"/>
    <x v="9"/>
    <x v="20"/>
    <s v="SE4_HP"/>
    <x v="8"/>
    <x v="0"/>
    <s v="GBPR_WOODPELLETS"/>
    <x v="0"/>
    <x v="13"/>
    <n v="69"/>
    <n v="25185"/>
    <n v="90666"/>
  </r>
  <r>
    <x v="0"/>
    <x v="0"/>
    <x v="0"/>
    <x v="9"/>
    <x v="20"/>
    <s v="SE4_HP"/>
    <x v="8"/>
    <x v="0"/>
    <s v="GBPR_WOODPELLETS"/>
    <x v="0"/>
    <x v="14"/>
    <n v="69"/>
    <n v="25185"/>
    <n v="90666"/>
  </r>
  <r>
    <x v="0"/>
    <x v="0"/>
    <x v="0"/>
    <x v="9"/>
    <x v="20"/>
    <s v="SE4_HP"/>
    <x v="8"/>
    <x v="0"/>
    <s v="GBPR_WOODPELLETS"/>
    <x v="0"/>
    <x v="15"/>
    <n v="69"/>
    <n v="25185"/>
    <n v="90666"/>
  </r>
  <r>
    <x v="0"/>
    <x v="0"/>
    <x v="0"/>
    <x v="9"/>
    <x v="20"/>
    <s v="SE4_HP"/>
    <x v="8"/>
    <x v="0"/>
    <s v="GBPR_WOODPELLETS"/>
    <x v="0"/>
    <x v="16"/>
    <n v="69"/>
    <n v="25185"/>
    <n v="90666"/>
  </r>
  <r>
    <x v="0"/>
    <x v="0"/>
    <x v="0"/>
    <x v="9"/>
    <x v="20"/>
    <s v="SE4_HP"/>
    <x v="8"/>
    <x v="0"/>
    <s v="GBPR_WOODPELLETS"/>
    <x v="0"/>
    <x v="17"/>
    <n v="69"/>
    <n v="25185"/>
    <n v="90666"/>
  </r>
  <r>
    <x v="0"/>
    <x v="0"/>
    <x v="0"/>
    <x v="9"/>
    <x v="20"/>
    <s v="SE4_HP"/>
    <x v="8"/>
    <x v="0"/>
    <s v="GBPR_WOODPELLETS"/>
    <x v="0"/>
    <x v="18"/>
    <n v="69"/>
    <n v="25185"/>
    <n v="90666"/>
  </r>
  <r>
    <x v="0"/>
    <x v="0"/>
    <x v="0"/>
    <x v="9"/>
    <x v="20"/>
    <s v="SE4_HP"/>
    <x v="8"/>
    <x v="0"/>
    <s v="GBPR_WOODPELLETS"/>
    <x v="0"/>
    <x v="19"/>
    <n v="69"/>
    <n v="25185"/>
    <n v="90666"/>
  </r>
  <r>
    <x v="0"/>
    <x v="0"/>
    <x v="0"/>
    <x v="9"/>
    <x v="20"/>
    <s v="SE4_HP"/>
    <x v="8"/>
    <x v="0"/>
    <s v="GBPR_WOODPELLETS"/>
    <x v="0"/>
    <x v="20"/>
    <n v="69"/>
    <n v="25185"/>
    <n v="90666"/>
  </r>
  <r>
    <x v="0"/>
    <x v="0"/>
    <x v="0"/>
    <x v="9"/>
    <x v="20"/>
    <s v="SE4_HP"/>
    <x v="8"/>
    <x v="0"/>
    <s v="GBPR_WOODPELLETS"/>
    <x v="0"/>
    <x v="21"/>
    <n v="69"/>
    <n v="25185"/>
    <n v="90666"/>
  </r>
  <r>
    <x v="0"/>
    <x v="0"/>
    <x v="0"/>
    <x v="9"/>
    <x v="20"/>
    <s v="SE4_HP"/>
    <x v="8"/>
    <x v="0"/>
    <s v="GBPR_WOODPELLETS"/>
    <x v="0"/>
    <x v="22"/>
    <n v="69"/>
    <n v="25185"/>
    <n v="90666"/>
  </r>
  <r>
    <x v="0"/>
    <x v="0"/>
    <x v="0"/>
    <x v="9"/>
    <x v="20"/>
    <s v="SE4_HP"/>
    <x v="8"/>
    <x v="0"/>
    <s v="GBPR_WOODPELLETS"/>
    <x v="0"/>
    <x v="23"/>
    <n v="69"/>
    <n v="25185"/>
    <n v="90666"/>
  </r>
  <r>
    <x v="0"/>
    <x v="0"/>
    <x v="0"/>
    <x v="9"/>
    <x v="20"/>
    <s v="SE4_MAL"/>
    <x v="1"/>
    <x v="0"/>
    <s v="GBPR_MUNIWASTE_24"/>
    <x v="0"/>
    <x v="0"/>
    <n v="25.331143353475198"/>
    <n v="9245.8673240184598"/>
    <n v="33285.122366466501"/>
  </r>
  <r>
    <x v="0"/>
    <x v="0"/>
    <x v="0"/>
    <x v="9"/>
    <x v="20"/>
    <s v="SE4_MAL"/>
    <x v="1"/>
    <x v="0"/>
    <s v="GBPR_MUNIWASTE_24"/>
    <x v="0"/>
    <x v="1"/>
    <n v="25.331143353475198"/>
    <n v="9245.8673240184598"/>
    <n v="33285.122366466501"/>
  </r>
  <r>
    <x v="0"/>
    <x v="0"/>
    <x v="0"/>
    <x v="9"/>
    <x v="20"/>
    <s v="SE4_MAL"/>
    <x v="1"/>
    <x v="0"/>
    <s v="GBPR_MUNIWASTE_24"/>
    <x v="0"/>
    <x v="2"/>
    <n v="25.331143353475198"/>
    <n v="9245.8673240184598"/>
    <n v="33285.122366466501"/>
  </r>
  <r>
    <x v="0"/>
    <x v="0"/>
    <x v="0"/>
    <x v="9"/>
    <x v="20"/>
    <s v="SE4_MAL"/>
    <x v="1"/>
    <x v="0"/>
    <s v="GBPR_MUNIWASTE_24"/>
    <x v="0"/>
    <x v="3"/>
    <n v="25.331143353475198"/>
    <n v="9245.8673240184598"/>
    <n v="33285.122366466501"/>
  </r>
  <r>
    <x v="0"/>
    <x v="0"/>
    <x v="0"/>
    <x v="9"/>
    <x v="20"/>
    <s v="SE4_MAL"/>
    <x v="1"/>
    <x v="0"/>
    <s v="GBPR_MUNIWASTE_24"/>
    <x v="0"/>
    <x v="4"/>
    <n v="25.331143353475198"/>
    <n v="9245.8673240184598"/>
    <n v="33285.122366466501"/>
  </r>
  <r>
    <x v="0"/>
    <x v="0"/>
    <x v="0"/>
    <x v="9"/>
    <x v="20"/>
    <s v="SE4_MAL"/>
    <x v="1"/>
    <x v="0"/>
    <s v="GBPR_MUNIWASTE_24"/>
    <x v="0"/>
    <x v="5"/>
    <n v="25.331143353475198"/>
    <n v="9245.8673240184598"/>
    <n v="33285.122366466501"/>
  </r>
  <r>
    <x v="0"/>
    <x v="0"/>
    <x v="0"/>
    <x v="9"/>
    <x v="20"/>
    <s v="SE4_MAL"/>
    <x v="1"/>
    <x v="0"/>
    <s v="GBPR_MUNIWASTE_24"/>
    <x v="0"/>
    <x v="6"/>
    <n v="25.331143353475198"/>
    <n v="9245.8673240184598"/>
    <n v="33285.122366466501"/>
  </r>
  <r>
    <x v="0"/>
    <x v="0"/>
    <x v="0"/>
    <x v="9"/>
    <x v="20"/>
    <s v="SE4_MAL"/>
    <x v="1"/>
    <x v="0"/>
    <s v="GBPR_MUNIWASTE_24"/>
    <x v="0"/>
    <x v="7"/>
    <n v="25.331143353475198"/>
    <n v="9245.8673240184598"/>
    <n v="33285.122366466501"/>
  </r>
  <r>
    <x v="0"/>
    <x v="0"/>
    <x v="0"/>
    <x v="9"/>
    <x v="20"/>
    <s v="SE4_MAL"/>
    <x v="1"/>
    <x v="0"/>
    <s v="GBPR_MUNIWASTE_24"/>
    <x v="0"/>
    <x v="8"/>
    <n v="25.331143353475198"/>
    <n v="9245.8673240184598"/>
    <n v="33285.122366466501"/>
  </r>
  <r>
    <x v="0"/>
    <x v="0"/>
    <x v="0"/>
    <x v="9"/>
    <x v="20"/>
    <s v="SE4_MAL"/>
    <x v="1"/>
    <x v="0"/>
    <s v="GBPR_MUNIWASTE_24"/>
    <x v="0"/>
    <x v="9"/>
    <n v="25.331143353475198"/>
    <n v="9245.8673240184598"/>
    <n v="33285.122366466501"/>
  </r>
  <r>
    <x v="0"/>
    <x v="0"/>
    <x v="0"/>
    <x v="9"/>
    <x v="20"/>
    <s v="SE4_MAL"/>
    <x v="1"/>
    <x v="0"/>
    <s v="GBPR_MUNIWASTE_24"/>
    <x v="0"/>
    <x v="10"/>
    <n v="25.331143353475198"/>
    <n v="9245.8673240184598"/>
    <n v="33285.122366466501"/>
  </r>
  <r>
    <x v="0"/>
    <x v="0"/>
    <x v="0"/>
    <x v="9"/>
    <x v="20"/>
    <s v="SE4_MAL"/>
    <x v="1"/>
    <x v="0"/>
    <s v="GBPR_MUNIWASTE_24"/>
    <x v="0"/>
    <x v="11"/>
    <n v="25.331143353475198"/>
    <n v="9245.8673240184598"/>
    <n v="33285.122366466501"/>
  </r>
  <r>
    <x v="0"/>
    <x v="0"/>
    <x v="0"/>
    <x v="9"/>
    <x v="20"/>
    <s v="SE4_MAL"/>
    <x v="1"/>
    <x v="0"/>
    <s v="GBPR_MUNIWASTE_24"/>
    <x v="0"/>
    <x v="12"/>
    <n v="25.331143353475198"/>
    <n v="9245.8673240184598"/>
    <n v="33285.122366466501"/>
  </r>
  <r>
    <x v="0"/>
    <x v="0"/>
    <x v="0"/>
    <x v="9"/>
    <x v="20"/>
    <s v="SE4_MAL"/>
    <x v="1"/>
    <x v="0"/>
    <s v="GBPR_MUNIWASTE_24"/>
    <x v="0"/>
    <x v="13"/>
    <n v="25.331143353475198"/>
    <n v="9245.8673240184598"/>
    <n v="33285.122366466501"/>
  </r>
  <r>
    <x v="0"/>
    <x v="0"/>
    <x v="0"/>
    <x v="9"/>
    <x v="20"/>
    <s v="SE4_MAL"/>
    <x v="1"/>
    <x v="0"/>
    <s v="GBPR_MUNIWASTE_24"/>
    <x v="0"/>
    <x v="14"/>
    <n v="25.331143353475198"/>
    <n v="9245.8673240184598"/>
    <n v="33285.122366466501"/>
  </r>
  <r>
    <x v="0"/>
    <x v="0"/>
    <x v="0"/>
    <x v="9"/>
    <x v="20"/>
    <s v="SE4_MAL"/>
    <x v="1"/>
    <x v="0"/>
    <s v="GBPR_MUNIWASTE_24"/>
    <x v="0"/>
    <x v="15"/>
    <n v="25.331143353475198"/>
    <n v="9245.8673240184598"/>
    <n v="33285.122366466501"/>
  </r>
  <r>
    <x v="0"/>
    <x v="0"/>
    <x v="0"/>
    <x v="9"/>
    <x v="20"/>
    <s v="SE4_MAL"/>
    <x v="1"/>
    <x v="0"/>
    <s v="GBPR_MUNIWASTE_24"/>
    <x v="0"/>
    <x v="16"/>
    <n v="25.331143353475198"/>
    <n v="9245.8673240184598"/>
    <n v="33285.122366466501"/>
  </r>
  <r>
    <x v="0"/>
    <x v="0"/>
    <x v="0"/>
    <x v="9"/>
    <x v="20"/>
    <s v="SE4_MAL"/>
    <x v="1"/>
    <x v="0"/>
    <s v="GBPR_MUNIWASTE_24"/>
    <x v="0"/>
    <x v="17"/>
    <n v="25.331143353475198"/>
    <n v="9245.8673240184598"/>
    <n v="33285.122366466501"/>
  </r>
  <r>
    <x v="0"/>
    <x v="0"/>
    <x v="0"/>
    <x v="9"/>
    <x v="20"/>
    <s v="SE4_MAL"/>
    <x v="1"/>
    <x v="0"/>
    <s v="GBPR_MUNIWASTE_24"/>
    <x v="0"/>
    <x v="18"/>
    <n v="25.331143353475198"/>
    <n v="9245.8673240184598"/>
    <n v="33285.122366466501"/>
  </r>
  <r>
    <x v="0"/>
    <x v="0"/>
    <x v="0"/>
    <x v="9"/>
    <x v="20"/>
    <s v="SE4_MAL"/>
    <x v="1"/>
    <x v="0"/>
    <s v="GBPR_MUNIWASTE_24"/>
    <x v="0"/>
    <x v="19"/>
    <n v="25.331143353475198"/>
    <n v="9245.8673240184598"/>
    <n v="33285.122366466501"/>
  </r>
  <r>
    <x v="0"/>
    <x v="0"/>
    <x v="0"/>
    <x v="9"/>
    <x v="20"/>
    <s v="SE4_MAL"/>
    <x v="1"/>
    <x v="0"/>
    <s v="GBPR_MUNIWASTE_24"/>
    <x v="0"/>
    <x v="20"/>
    <n v="25.331143353475198"/>
    <n v="9245.8673240184598"/>
    <n v="33285.122366466501"/>
  </r>
  <r>
    <x v="0"/>
    <x v="0"/>
    <x v="0"/>
    <x v="9"/>
    <x v="20"/>
    <s v="SE4_MAL"/>
    <x v="1"/>
    <x v="0"/>
    <s v="GBPR_MUNIWASTE_24"/>
    <x v="0"/>
    <x v="21"/>
    <n v="25.331143353475198"/>
    <n v="9245.8673240184598"/>
    <n v="33285.122366466501"/>
  </r>
  <r>
    <x v="0"/>
    <x v="0"/>
    <x v="0"/>
    <x v="9"/>
    <x v="20"/>
    <s v="SE4_MAL"/>
    <x v="1"/>
    <x v="0"/>
    <s v="GBPR_MUNIWASTE_24"/>
    <x v="0"/>
    <x v="22"/>
    <n v="25.331143353475198"/>
    <n v="9245.8673240184598"/>
    <n v="33285.122366466501"/>
  </r>
  <r>
    <x v="0"/>
    <x v="0"/>
    <x v="0"/>
    <x v="9"/>
    <x v="20"/>
    <s v="SE4_MAL"/>
    <x v="1"/>
    <x v="0"/>
    <s v="GBPR_MUNIWASTE_24"/>
    <x v="0"/>
    <x v="23"/>
    <n v="25.331143353475198"/>
    <n v="9245.8673240184598"/>
    <n v="33285.122366466501"/>
  </r>
  <r>
    <x v="0"/>
    <x v="0"/>
    <x v="0"/>
    <x v="9"/>
    <x v="20"/>
    <s v="SE4_MAL"/>
    <x v="2"/>
    <x v="1"/>
    <s v="GEXT_NATGAS_ORESUND"/>
    <x v="0"/>
    <x v="5"/>
    <n v="421.011671808698"/>
    <n v="153669.26021017501"/>
    <n v="553209.33675662905"/>
  </r>
  <r>
    <x v="0"/>
    <x v="0"/>
    <x v="0"/>
    <x v="9"/>
    <x v="20"/>
    <s v="SE4_MAL"/>
    <x v="2"/>
    <x v="1"/>
    <s v="GEXT_NATGAS_ORESUND"/>
    <x v="0"/>
    <x v="6"/>
    <n v="432.778607201846"/>
    <n v="157964.19162867399"/>
    <n v="568671.08986322605"/>
  </r>
  <r>
    <x v="0"/>
    <x v="0"/>
    <x v="0"/>
    <x v="9"/>
    <x v="20"/>
    <s v="SE4_MAL"/>
    <x v="2"/>
    <x v="1"/>
    <s v="GEXT_NATGAS_ORESUND"/>
    <x v="0"/>
    <x v="7"/>
    <n v="440"/>
    <n v="160600"/>
    <n v="578160"/>
  </r>
  <r>
    <x v="0"/>
    <x v="0"/>
    <x v="0"/>
    <x v="9"/>
    <x v="20"/>
    <s v="SE4_MAL"/>
    <x v="2"/>
    <x v="1"/>
    <s v="GEXT_NATGAS_ORESUND"/>
    <x v="0"/>
    <x v="8"/>
    <n v="440"/>
    <n v="160600"/>
    <n v="578160"/>
  </r>
  <r>
    <x v="0"/>
    <x v="0"/>
    <x v="0"/>
    <x v="9"/>
    <x v="20"/>
    <s v="SE4_MAL"/>
    <x v="2"/>
    <x v="1"/>
    <s v="GEXT_NATGAS_ORESUND"/>
    <x v="0"/>
    <x v="9"/>
    <n v="440"/>
    <n v="160600"/>
    <n v="578160"/>
  </r>
  <r>
    <x v="0"/>
    <x v="0"/>
    <x v="0"/>
    <x v="9"/>
    <x v="20"/>
    <s v="SE4_MAL"/>
    <x v="2"/>
    <x v="1"/>
    <s v="GEXT_NATGAS_ORESUND"/>
    <x v="0"/>
    <x v="10"/>
    <n v="439.42852400089902"/>
    <n v="160391.41126032799"/>
    <n v="577409.08053718205"/>
  </r>
  <r>
    <x v="0"/>
    <x v="0"/>
    <x v="0"/>
    <x v="9"/>
    <x v="20"/>
    <s v="SE4_MAL"/>
    <x v="2"/>
    <x v="1"/>
    <s v="GEXT_NATGAS_ORESUND"/>
    <x v="0"/>
    <x v="11"/>
    <n v="434.55351416268502"/>
    <n v="158612.03266937999"/>
    <n v="571003.31760976801"/>
  </r>
  <r>
    <x v="0"/>
    <x v="0"/>
    <x v="0"/>
    <x v="9"/>
    <x v="20"/>
    <s v="SE4_MAL"/>
    <x v="2"/>
    <x v="1"/>
    <s v="GEXT_NATGAS_ORESUND"/>
    <x v="0"/>
    <x v="12"/>
    <n v="436.10953161564998"/>
    <n v="159179.97903971199"/>
    <n v="573047.92454296397"/>
  </r>
  <r>
    <x v="0"/>
    <x v="0"/>
    <x v="0"/>
    <x v="9"/>
    <x v="20"/>
    <s v="SE4_MAL"/>
    <x v="2"/>
    <x v="1"/>
    <s v="GEXT_NATGAS_ORESUND"/>
    <x v="0"/>
    <x v="13"/>
    <n v="436.37458796125901"/>
    <n v="159276.72460586001"/>
    <n v="573396.20858109405"/>
  </r>
  <r>
    <x v="0"/>
    <x v="0"/>
    <x v="0"/>
    <x v="9"/>
    <x v="20"/>
    <s v="SE4_MAL"/>
    <x v="2"/>
    <x v="1"/>
    <s v="GEXT_NATGAS_ORESUND"/>
    <x v="0"/>
    <x v="14"/>
    <n v="436.46006425856001"/>
    <n v="159307.92345437399"/>
    <n v="573508.524435748"/>
  </r>
  <r>
    <x v="0"/>
    <x v="0"/>
    <x v="0"/>
    <x v="9"/>
    <x v="20"/>
    <s v="SE4_MAL"/>
    <x v="2"/>
    <x v="1"/>
    <s v="GEXT_NATGAS_ORESUND"/>
    <x v="0"/>
    <x v="15"/>
    <n v="436.03122260843901"/>
    <n v="159151.39625208001"/>
    <n v="572945.02650748903"/>
  </r>
  <r>
    <x v="0"/>
    <x v="0"/>
    <x v="0"/>
    <x v="9"/>
    <x v="20"/>
    <s v="SE4_MAL"/>
    <x v="2"/>
    <x v="1"/>
    <s v="GEXT_NATGAS_ORESUND"/>
    <x v="0"/>
    <x v="16"/>
    <n v="435.957311924436"/>
    <n v="159124.41885241901"/>
    <n v="572847.90786870895"/>
  </r>
  <r>
    <x v="0"/>
    <x v="0"/>
    <x v="0"/>
    <x v="9"/>
    <x v="20"/>
    <s v="SE4_MAL"/>
    <x v="2"/>
    <x v="1"/>
    <s v="GEXT_NATGAS_ORESUND"/>
    <x v="0"/>
    <x v="17"/>
    <n v="436.88290197596001"/>
    <n v="159462.25922122499"/>
    <n v="574064.133196412"/>
  </r>
  <r>
    <x v="0"/>
    <x v="0"/>
    <x v="0"/>
    <x v="9"/>
    <x v="20"/>
    <s v="SE4_MAL"/>
    <x v="2"/>
    <x v="1"/>
    <s v="GEXT_NATGAS_ORESUND"/>
    <x v="0"/>
    <x v="18"/>
    <n v="437.80316563270299"/>
    <n v="159798.155455937"/>
    <n v="575273.35964137199"/>
  </r>
  <r>
    <x v="0"/>
    <x v="0"/>
    <x v="0"/>
    <x v="9"/>
    <x v="20"/>
    <s v="SE4_MAL"/>
    <x v="2"/>
    <x v="1"/>
    <s v="GEXT_NATGAS_ORESUND"/>
    <x v="0"/>
    <x v="19"/>
    <n v="438.74366862484902"/>
    <n v="160141.43904806999"/>
    <n v="576509.18057305203"/>
  </r>
  <r>
    <x v="0"/>
    <x v="0"/>
    <x v="0"/>
    <x v="9"/>
    <x v="20"/>
    <s v="SE4_MAL"/>
    <x v="2"/>
    <x v="1"/>
    <s v="GEXT_NATGAS_ORESUND"/>
    <x v="0"/>
    <x v="20"/>
    <n v="440"/>
    <n v="160600"/>
    <n v="578160"/>
  </r>
  <r>
    <x v="0"/>
    <x v="0"/>
    <x v="0"/>
    <x v="9"/>
    <x v="20"/>
    <s v="SE4_MAL"/>
    <x v="2"/>
    <x v="1"/>
    <s v="GEXT_NATGAS_ORESUND"/>
    <x v="0"/>
    <x v="21"/>
    <n v="440"/>
    <n v="160600"/>
    <n v="578160"/>
  </r>
  <r>
    <x v="0"/>
    <x v="0"/>
    <x v="0"/>
    <x v="9"/>
    <x v="20"/>
    <s v="SE4_OTHER"/>
    <x v="1"/>
    <x v="0"/>
    <s v="GBPR_MUNIWASTE_19"/>
    <x v="0"/>
    <x v="0"/>
    <n v="11.5403463801819"/>
    <n v="4212.2264287664102"/>
    <n v="15164.0151435591"/>
  </r>
  <r>
    <x v="0"/>
    <x v="0"/>
    <x v="0"/>
    <x v="9"/>
    <x v="20"/>
    <s v="SE4_OTHER"/>
    <x v="1"/>
    <x v="0"/>
    <s v="GBPR_MUNIWASTE_19"/>
    <x v="0"/>
    <x v="1"/>
    <n v="11.5403463801819"/>
    <n v="4212.2264287664102"/>
    <n v="15164.0151435591"/>
  </r>
  <r>
    <x v="0"/>
    <x v="0"/>
    <x v="0"/>
    <x v="9"/>
    <x v="20"/>
    <s v="SE4_OTHER"/>
    <x v="1"/>
    <x v="0"/>
    <s v="GBPR_MUNIWASTE_19"/>
    <x v="0"/>
    <x v="2"/>
    <n v="11.5403463801819"/>
    <n v="4212.2264287664102"/>
    <n v="15164.0151435591"/>
  </r>
  <r>
    <x v="0"/>
    <x v="0"/>
    <x v="0"/>
    <x v="9"/>
    <x v="20"/>
    <s v="SE4_OTHER"/>
    <x v="1"/>
    <x v="0"/>
    <s v="GBPR_MUNIWASTE_19"/>
    <x v="0"/>
    <x v="3"/>
    <n v="11.5403463801819"/>
    <n v="4212.2264287664102"/>
    <n v="15164.0151435591"/>
  </r>
  <r>
    <x v="0"/>
    <x v="0"/>
    <x v="0"/>
    <x v="9"/>
    <x v="20"/>
    <s v="SE4_OTHER"/>
    <x v="1"/>
    <x v="0"/>
    <s v="GBPR_MUNIWASTE_19"/>
    <x v="0"/>
    <x v="4"/>
    <n v="11.5403463801819"/>
    <n v="4212.2264287664102"/>
    <n v="15164.0151435591"/>
  </r>
  <r>
    <x v="0"/>
    <x v="0"/>
    <x v="0"/>
    <x v="9"/>
    <x v="20"/>
    <s v="SE4_OTHER"/>
    <x v="1"/>
    <x v="0"/>
    <s v="GBPR_MUNIWASTE_19"/>
    <x v="0"/>
    <x v="5"/>
    <n v="11.5403463801819"/>
    <n v="4212.2264287664102"/>
    <n v="15164.0151435591"/>
  </r>
  <r>
    <x v="0"/>
    <x v="0"/>
    <x v="0"/>
    <x v="9"/>
    <x v="20"/>
    <s v="SE4_OTHER"/>
    <x v="1"/>
    <x v="0"/>
    <s v="GBPR_MUNIWASTE_19"/>
    <x v="0"/>
    <x v="6"/>
    <n v="11.5403463801819"/>
    <n v="4212.2264287664102"/>
    <n v="15164.0151435591"/>
  </r>
  <r>
    <x v="0"/>
    <x v="0"/>
    <x v="0"/>
    <x v="9"/>
    <x v="20"/>
    <s v="SE4_OTHER"/>
    <x v="1"/>
    <x v="0"/>
    <s v="GBPR_MUNIWASTE_19"/>
    <x v="0"/>
    <x v="7"/>
    <n v="11.5403463801819"/>
    <n v="4212.2264287664102"/>
    <n v="15164.0151435591"/>
  </r>
  <r>
    <x v="0"/>
    <x v="0"/>
    <x v="0"/>
    <x v="9"/>
    <x v="20"/>
    <s v="SE4_OTHER"/>
    <x v="1"/>
    <x v="0"/>
    <s v="GBPR_MUNIWASTE_19"/>
    <x v="0"/>
    <x v="8"/>
    <n v="11.5403463801819"/>
    <n v="4212.2264287664102"/>
    <n v="15164.0151435591"/>
  </r>
  <r>
    <x v="0"/>
    <x v="0"/>
    <x v="0"/>
    <x v="9"/>
    <x v="20"/>
    <s v="SE4_OTHER"/>
    <x v="1"/>
    <x v="0"/>
    <s v="GBPR_MUNIWASTE_19"/>
    <x v="0"/>
    <x v="9"/>
    <n v="11.5403463801819"/>
    <n v="4212.2264287664102"/>
    <n v="15164.0151435591"/>
  </r>
  <r>
    <x v="0"/>
    <x v="0"/>
    <x v="0"/>
    <x v="9"/>
    <x v="20"/>
    <s v="SE4_OTHER"/>
    <x v="1"/>
    <x v="0"/>
    <s v="GBPR_MUNIWASTE_19"/>
    <x v="0"/>
    <x v="10"/>
    <n v="11.5403463801819"/>
    <n v="4212.2264287664102"/>
    <n v="15164.0151435591"/>
  </r>
  <r>
    <x v="0"/>
    <x v="0"/>
    <x v="0"/>
    <x v="9"/>
    <x v="20"/>
    <s v="SE4_OTHER"/>
    <x v="1"/>
    <x v="0"/>
    <s v="GBPR_MUNIWASTE_19"/>
    <x v="0"/>
    <x v="11"/>
    <n v="11.5403463801819"/>
    <n v="4212.2264287664102"/>
    <n v="15164.0151435591"/>
  </r>
  <r>
    <x v="0"/>
    <x v="0"/>
    <x v="0"/>
    <x v="9"/>
    <x v="20"/>
    <s v="SE4_OTHER"/>
    <x v="1"/>
    <x v="0"/>
    <s v="GBPR_MUNIWASTE_19"/>
    <x v="0"/>
    <x v="12"/>
    <n v="11.5403463801819"/>
    <n v="4212.2264287664102"/>
    <n v="15164.0151435591"/>
  </r>
  <r>
    <x v="0"/>
    <x v="0"/>
    <x v="0"/>
    <x v="9"/>
    <x v="20"/>
    <s v="SE4_OTHER"/>
    <x v="1"/>
    <x v="0"/>
    <s v="GBPR_MUNIWASTE_19"/>
    <x v="0"/>
    <x v="13"/>
    <n v="11.5403463801819"/>
    <n v="4212.2264287664102"/>
    <n v="15164.0151435591"/>
  </r>
  <r>
    <x v="0"/>
    <x v="0"/>
    <x v="0"/>
    <x v="9"/>
    <x v="20"/>
    <s v="SE4_OTHER"/>
    <x v="1"/>
    <x v="0"/>
    <s v="GBPR_MUNIWASTE_19"/>
    <x v="0"/>
    <x v="14"/>
    <n v="11.5403463801819"/>
    <n v="4212.2264287664102"/>
    <n v="15164.0151435591"/>
  </r>
  <r>
    <x v="0"/>
    <x v="0"/>
    <x v="0"/>
    <x v="9"/>
    <x v="20"/>
    <s v="SE4_OTHER"/>
    <x v="1"/>
    <x v="0"/>
    <s v="GBPR_MUNIWASTE_19"/>
    <x v="0"/>
    <x v="15"/>
    <n v="11.5403463801819"/>
    <n v="4212.2264287664102"/>
    <n v="15164.0151435591"/>
  </r>
  <r>
    <x v="0"/>
    <x v="0"/>
    <x v="0"/>
    <x v="9"/>
    <x v="20"/>
    <s v="SE4_OTHER"/>
    <x v="1"/>
    <x v="0"/>
    <s v="GBPR_MUNIWASTE_19"/>
    <x v="0"/>
    <x v="16"/>
    <n v="11.5403463801819"/>
    <n v="4212.2264287664102"/>
    <n v="15164.0151435591"/>
  </r>
  <r>
    <x v="0"/>
    <x v="0"/>
    <x v="0"/>
    <x v="9"/>
    <x v="20"/>
    <s v="SE4_OTHER"/>
    <x v="1"/>
    <x v="0"/>
    <s v="GBPR_MUNIWASTE_19"/>
    <x v="0"/>
    <x v="17"/>
    <n v="11.5403463801819"/>
    <n v="4212.2264287664102"/>
    <n v="15164.0151435591"/>
  </r>
  <r>
    <x v="0"/>
    <x v="0"/>
    <x v="0"/>
    <x v="9"/>
    <x v="20"/>
    <s v="SE4_OTHER"/>
    <x v="1"/>
    <x v="0"/>
    <s v="GBPR_MUNIWASTE_19"/>
    <x v="0"/>
    <x v="18"/>
    <n v="11.5403463801819"/>
    <n v="4212.2264287664102"/>
    <n v="15164.0151435591"/>
  </r>
  <r>
    <x v="0"/>
    <x v="0"/>
    <x v="0"/>
    <x v="9"/>
    <x v="20"/>
    <s v="SE4_OTHER"/>
    <x v="1"/>
    <x v="0"/>
    <s v="GBPR_MUNIWASTE_19"/>
    <x v="0"/>
    <x v="19"/>
    <n v="11.5403463801819"/>
    <n v="4212.2264287664102"/>
    <n v="15164.0151435591"/>
  </r>
  <r>
    <x v="0"/>
    <x v="0"/>
    <x v="0"/>
    <x v="9"/>
    <x v="20"/>
    <s v="SE4_OTHER"/>
    <x v="1"/>
    <x v="0"/>
    <s v="GBPR_MUNIWASTE_19"/>
    <x v="0"/>
    <x v="20"/>
    <n v="11.5403463801819"/>
    <n v="4212.2264287664102"/>
    <n v="15164.0151435591"/>
  </r>
  <r>
    <x v="0"/>
    <x v="0"/>
    <x v="0"/>
    <x v="9"/>
    <x v="20"/>
    <s v="SE4_OTHER"/>
    <x v="1"/>
    <x v="0"/>
    <s v="GBPR_MUNIWASTE_19"/>
    <x v="0"/>
    <x v="21"/>
    <n v="11.5403463801819"/>
    <n v="4212.2264287664102"/>
    <n v="15164.0151435591"/>
  </r>
  <r>
    <x v="0"/>
    <x v="0"/>
    <x v="0"/>
    <x v="9"/>
    <x v="20"/>
    <s v="SE4_OTHER"/>
    <x v="1"/>
    <x v="0"/>
    <s v="GBPR_MUNIWASTE_19"/>
    <x v="0"/>
    <x v="22"/>
    <n v="11.5403463801819"/>
    <n v="4212.2264287664102"/>
    <n v="15164.0151435591"/>
  </r>
  <r>
    <x v="0"/>
    <x v="0"/>
    <x v="0"/>
    <x v="9"/>
    <x v="20"/>
    <s v="SE4_OTHER"/>
    <x v="1"/>
    <x v="0"/>
    <s v="GBPR_MUNIWASTE_19"/>
    <x v="0"/>
    <x v="23"/>
    <n v="11.5403463801819"/>
    <n v="4212.2264287664102"/>
    <n v="15164.0151435591"/>
  </r>
  <r>
    <x v="0"/>
    <x v="0"/>
    <x v="0"/>
    <x v="9"/>
    <x v="20"/>
    <s v="SE4_OTHER"/>
    <x v="4"/>
    <x v="0"/>
    <s v="GBPR_WOODCHIPS"/>
    <x v="0"/>
    <x v="0"/>
    <n v="29.812119089317001"/>
    <n v="10881.4234676007"/>
    <n v="39173.124483362502"/>
  </r>
  <r>
    <x v="0"/>
    <x v="0"/>
    <x v="0"/>
    <x v="9"/>
    <x v="20"/>
    <s v="SE4_OTHER"/>
    <x v="4"/>
    <x v="0"/>
    <s v="GBPR_WOODCHIPS"/>
    <x v="0"/>
    <x v="1"/>
    <n v="29.812119089317001"/>
    <n v="10881.4234676007"/>
    <n v="39173.124483362502"/>
  </r>
  <r>
    <x v="0"/>
    <x v="0"/>
    <x v="0"/>
    <x v="9"/>
    <x v="20"/>
    <s v="SE4_OTHER"/>
    <x v="4"/>
    <x v="0"/>
    <s v="GBPR_WOODCHIPS"/>
    <x v="0"/>
    <x v="2"/>
    <n v="29.812119089317001"/>
    <n v="10881.4234676007"/>
    <n v="39173.124483362502"/>
  </r>
  <r>
    <x v="0"/>
    <x v="0"/>
    <x v="0"/>
    <x v="9"/>
    <x v="20"/>
    <s v="SE4_OTHER"/>
    <x v="4"/>
    <x v="0"/>
    <s v="GBPR_WOODCHIPS"/>
    <x v="0"/>
    <x v="3"/>
    <n v="29.812119089317001"/>
    <n v="10881.4234676007"/>
    <n v="39173.124483362502"/>
  </r>
  <r>
    <x v="0"/>
    <x v="0"/>
    <x v="0"/>
    <x v="9"/>
    <x v="20"/>
    <s v="SE4_OTHER"/>
    <x v="4"/>
    <x v="0"/>
    <s v="GBPR_WOODCHIPS"/>
    <x v="0"/>
    <x v="4"/>
    <n v="29.812119089317001"/>
    <n v="10881.4234676007"/>
    <n v="39173.124483362502"/>
  </r>
  <r>
    <x v="0"/>
    <x v="0"/>
    <x v="0"/>
    <x v="9"/>
    <x v="20"/>
    <s v="SE4_OTHER"/>
    <x v="4"/>
    <x v="0"/>
    <s v="GBPR_WOODCHIPS"/>
    <x v="0"/>
    <x v="5"/>
    <n v="29.812119089317001"/>
    <n v="10881.4234676007"/>
    <n v="39173.124483362502"/>
  </r>
  <r>
    <x v="0"/>
    <x v="0"/>
    <x v="0"/>
    <x v="9"/>
    <x v="20"/>
    <s v="SE4_OTHER"/>
    <x v="4"/>
    <x v="0"/>
    <s v="GBPR_WOODCHIPS"/>
    <x v="0"/>
    <x v="6"/>
    <n v="29.812119089317001"/>
    <n v="10881.4234676007"/>
    <n v="39173.124483362502"/>
  </r>
  <r>
    <x v="0"/>
    <x v="0"/>
    <x v="0"/>
    <x v="9"/>
    <x v="20"/>
    <s v="SE4_OTHER"/>
    <x v="4"/>
    <x v="0"/>
    <s v="GBPR_WOODCHIPS"/>
    <x v="0"/>
    <x v="7"/>
    <n v="29.812119089317001"/>
    <n v="10881.4234676007"/>
    <n v="39173.124483362502"/>
  </r>
  <r>
    <x v="0"/>
    <x v="0"/>
    <x v="0"/>
    <x v="9"/>
    <x v="20"/>
    <s v="SE4_OTHER"/>
    <x v="4"/>
    <x v="0"/>
    <s v="GBPR_WOODCHIPS"/>
    <x v="0"/>
    <x v="8"/>
    <n v="29.812119089317001"/>
    <n v="10881.4234676007"/>
    <n v="39173.124483362502"/>
  </r>
  <r>
    <x v="0"/>
    <x v="0"/>
    <x v="0"/>
    <x v="9"/>
    <x v="20"/>
    <s v="SE4_OTHER"/>
    <x v="4"/>
    <x v="0"/>
    <s v="GBPR_WOODCHIPS"/>
    <x v="0"/>
    <x v="9"/>
    <n v="29.812119089317001"/>
    <n v="10881.4234676007"/>
    <n v="39173.124483362502"/>
  </r>
  <r>
    <x v="0"/>
    <x v="0"/>
    <x v="0"/>
    <x v="9"/>
    <x v="20"/>
    <s v="SE4_OTHER"/>
    <x v="4"/>
    <x v="0"/>
    <s v="GBPR_WOODCHIPS"/>
    <x v="0"/>
    <x v="10"/>
    <n v="29.812119089317001"/>
    <n v="10881.4234676007"/>
    <n v="39173.124483362502"/>
  </r>
  <r>
    <x v="0"/>
    <x v="0"/>
    <x v="0"/>
    <x v="9"/>
    <x v="20"/>
    <s v="SE4_OTHER"/>
    <x v="4"/>
    <x v="0"/>
    <s v="GBPR_WOODCHIPS"/>
    <x v="0"/>
    <x v="11"/>
    <n v="29.812119089317001"/>
    <n v="10881.4234676007"/>
    <n v="39173.124483362502"/>
  </r>
  <r>
    <x v="0"/>
    <x v="0"/>
    <x v="0"/>
    <x v="9"/>
    <x v="20"/>
    <s v="SE4_OTHER"/>
    <x v="4"/>
    <x v="0"/>
    <s v="GBPR_WOODCHIPS"/>
    <x v="0"/>
    <x v="12"/>
    <n v="29.812119089317001"/>
    <n v="10881.4234676007"/>
    <n v="39173.124483362502"/>
  </r>
  <r>
    <x v="0"/>
    <x v="0"/>
    <x v="0"/>
    <x v="9"/>
    <x v="20"/>
    <s v="SE4_OTHER"/>
    <x v="4"/>
    <x v="0"/>
    <s v="GBPR_WOODCHIPS"/>
    <x v="0"/>
    <x v="13"/>
    <n v="29.812119089317001"/>
    <n v="10881.4234676007"/>
    <n v="39173.124483362502"/>
  </r>
  <r>
    <x v="0"/>
    <x v="0"/>
    <x v="0"/>
    <x v="9"/>
    <x v="20"/>
    <s v="SE4_OTHER"/>
    <x v="4"/>
    <x v="0"/>
    <s v="GBPR_WOODCHIPS"/>
    <x v="0"/>
    <x v="14"/>
    <n v="29.812119089317001"/>
    <n v="10881.4234676007"/>
    <n v="39173.124483362502"/>
  </r>
  <r>
    <x v="0"/>
    <x v="0"/>
    <x v="0"/>
    <x v="9"/>
    <x v="20"/>
    <s v="SE4_OTHER"/>
    <x v="4"/>
    <x v="0"/>
    <s v="GBPR_WOODCHIPS"/>
    <x v="0"/>
    <x v="15"/>
    <n v="29.812119089317001"/>
    <n v="10881.4234676007"/>
    <n v="39173.124483362502"/>
  </r>
  <r>
    <x v="0"/>
    <x v="0"/>
    <x v="0"/>
    <x v="9"/>
    <x v="20"/>
    <s v="SE4_OTHER"/>
    <x v="4"/>
    <x v="0"/>
    <s v="GBPR_WOODCHIPS"/>
    <x v="0"/>
    <x v="16"/>
    <n v="29.812119089317001"/>
    <n v="10881.4234676007"/>
    <n v="39173.124483362502"/>
  </r>
  <r>
    <x v="0"/>
    <x v="0"/>
    <x v="0"/>
    <x v="9"/>
    <x v="20"/>
    <s v="SE4_OTHER"/>
    <x v="4"/>
    <x v="0"/>
    <s v="GBPR_WOODCHIPS"/>
    <x v="0"/>
    <x v="17"/>
    <n v="29.812119089317001"/>
    <n v="10881.4234676007"/>
    <n v="39173.124483362502"/>
  </r>
  <r>
    <x v="0"/>
    <x v="0"/>
    <x v="0"/>
    <x v="9"/>
    <x v="20"/>
    <s v="SE4_OTHER"/>
    <x v="4"/>
    <x v="0"/>
    <s v="GBPR_WOODCHIPS"/>
    <x v="0"/>
    <x v="18"/>
    <n v="29.812119089317001"/>
    <n v="10881.4234676007"/>
    <n v="39173.124483362502"/>
  </r>
  <r>
    <x v="0"/>
    <x v="0"/>
    <x v="0"/>
    <x v="9"/>
    <x v="20"/>
    <s v="SE4_OTHER"/>
    <x v="4"/>
    <x v="0"/>
    <s v="GBPR_WOODCHIPS"/>
    <x v="0"/>
    <x v="19"/>
    <n v="29.812119089317001"/>
    <n v="10881.4234676007"/>
    <n v="39173.124483362502"/>
  </r>
  <r>
    <x v="0"/>
    <x v="0"/>
    <x v="0"/>
    <x v="9"/>
    <x v="20"/>
    <s v="SE4_OTHER"/>
    <x v="4"/>
    <x v="0"/>
    <s v="GBPR_WOODCHIPS"/>
    <x v="0"/>
    <x v="20"/>
    <n v="29.812119089317001"/>
    <n v="10881.4234676007"/>
    <n v="39173.124483362502"/>
  </r>
  <r>
    <x v="0"/>
    <x v="0"/>
    <x v="0"/>
    <x v="9"/>
    <x v="20"/>
    <s v="SE4_OTHER"/>
    <x v="4"/>
    <x v="0"/>
    <s v="GBPR_WOODCHIPS"/>
    <x v="0"/>
    <x v="21"/>
    <n v="29.812119089317001"/>
    <n v="10881.4234676007"/>
    <n v="39173.124483362502"/>
  </r>
  <r>
    <x v="0"/>
    <x v="0"/>
    <x v="0"/>
    <x v="9"/>
    <x v="20"/>
    <s v="SE4_OTHER"/>
    <x v="4"/>
    <x v="0"/>
    <s v="GBPR_WOODCHIPS"/>
    <x v="0"/>
    <x v="22"/>
    <n v="29.812119089317001"/>
    <n v="10881.4234676007"/>
    <n v="39173.124483362502"/>
  </r>
  <r>
    <x v="0"/>
    <x v="0"/>
    <x v="0"/>
    <x v="9"/>
    <x v="20"/>
    <s v="SE4_OTHER"/>
    <x v="4"/>
    <x v="0"/>
    <s v="GBPR_WOODCHIPS"/>
    <x v="0"/>
    <x v="23"/>
    <n v="29.812119089317001"/>
    <n v="10881.4234676007"/>
    <n v="39173.124483362502"/>
  </r>
  <r>
    <x v="0"/>
    <x v="0"/>
    <x v="0"/>
    <x v="9"/>
    <x v="20"/>
    <s v="SE4_OTHER"/>
    <x v="4"/>
    <x v="0"/>
    <s v="GBPR_WOODCHIPS_25"/>
    <x v="0"/>
    <x v="0"/>
    <n v="23.054458844133102"/>
    <n v="8414.8774781085704"/>
    <n v="30293.558921190899"/>
  </r>
  <r>
    <x v="0"/>
    <x v="0"/>
    <x v="0"/>
    <x v="9"/>
    <x v="20"/>
    <s v="SE4_OTHER"/>
    <x v="4"/>
    <x v="0"/>
    <s v="GBPR_WOODCHIPS_25"/>
    <x v="0"/>
    <x v="1"/>
    <n v="23.054458844133102"/>
    <n v="8414.8774781085704"/>
    <n v="30293.558921190899"/>
  </r>
  <r>
    <x v="0"/>
    <x v="0"/>
    <x v="0"/>
    <x v="9"/>
    <x v="20"/>
    <s v="SE4_OTHER"/>
    <x v="4"/>
    <x v="0"/>
    <s v="GBPR_WOODCHIPS_25"/>
    <x v="0"/>
    <x v="2"/>
    <n v="23.054458844133102"/>
    <n v="8414.8774781085704"/>
    <n v="30293.558921190899"/>
  </r>
  <r>
    <x v="0"/>
    <x v="0"/>
    <x v="0"/>
    <x v="9"/>
    <x v="20"/>
    <s v="SE4_OTHER"/>
    <x v="4"/>
    <x v="0"/>
    <s v="GBPR_WOODCHIPS_25"/>
    <x v="0"/>
    <x v="3"/>
    <n v="23.054458844133102"/>
    <n v="8414.8774781085704"/>
    <n v="30293.558921190899"/>
  </r>
  <r>
    <x v="0"/>
    <x v="0"/>
    <x v="0"/>
    <x v="9"/>
    <x v="20"/>
    <s v="SE4_OTHER"/>
    <x v="4"/>
    <x v="0"/>
    <s v="GBPR_WOODCHIPS_25"/>
    <x v="0"/>
    <x v="4"/>
    <n v="23.054458844133102"/>
    <n v="8414.8774781085704"/>
    <n v="30293.558921190899"/>
  </r>
  <r>
    <x v="0"/>
    <x v="0"/>
    <x v="0"/>
    <x v="9"/>
    <x v="20"/>
    <s v="SE4_OTHER"/>
    <x v="4"/>
    <x v="0"/>
    <s v="GBPR_WOODCHIPS_25"/>
    <x v="0"/>
    <x v="5"/>
    <n v="23.054458844133102"/>
    <n v="8414.8774781085704"/>
    <n v="30293.558921190899"/>
  </r>
  <r>
    <x v="0"/>
    <x v="0"/>
    <x v="0"/>
    <x v="9"/>
    <x v="20"/>
    <s v="SE4_OTHER"/>
    <x v="4"/>
    <x v="0"/>
    <s v="GBPR_WOODCHIPS_25"/>
    <x v="0"/>
    <x v="6"/>
    <n v="23.054458844133102"/>
    <n v="8414.8774781085704"/>
    <n v="30293.558921190899"/>
  </r>
  <r>
    <x v="0"/>
    <x v="0"/>
    <x v="0"/>
    <x v="9"/>
    <x v="20"/>
    <s v="SE4_OTHER"/>
    <x v="4"/>
    <x v="0"/>
    <s v="GBPR_WOODCHIPS_25"/>
    <x v="0"/>
    <x v="7"/>
    <n v="23.054458844133102"/>
    <n v="8414.8774781085704"/>
    <n v="30293.558921190899"/>
  </r>
  <r>
    <x v="0"/>
    <x v="0"/>
    <x v="0"/>
    <x v="9"/>
    <x v="20"/>
    <s v="SE4_OTHER"/>
    <x v="4"/>
    <x v="0"/>
    <s v="GBPR_WOODCHIPS_25"/>
    <x v="0"/>
    <x v="8"/>
    <n v="23.054458844133102"/>
    <n v="8414.8774781085704"/>
    <n v="30293.558921190899"/>
  </r>
  <r>
    <x v="0"/>
    <x v="0"/>
    <x v="0"/>
    <x v="9"/>
    <x v="20"/>
    <s v="SE4_OTHER"/>
    <x v="4"/>
    <x v="0"/>
    <s v="GBPR_WOODCHIPS_25"/>
    <x v="0"/>
    <x v="9"/>
    <n v="23.054458844133102"/>
    <n v="8414.8774781085704"/>
    <n v="30293.558921190899"/>
  </r>
  <r>
    <x v="0"/>
    <x v="0"/>
    <x v="0"/>
    <x v="9"/>
    <x v="20"/>
    <s v="SE4_OTHER"/>
    <x v="4"/>
    <x v="0"/>
    <s v="GBPR_WOODCHIPS_25"/>
    <x v="0"/>
    <x v="10"/>
    <n v="23.054458844133102"/>
    <n v="8414.8774781085704"/>
    <n v="30293.558921190899"/>
  </r>
  <r>
    <x v="0"/>
    <x v="0"/>
    <x v="0"/>
    <x v="9"/>
    <x v="20"/>
    <s v="SE4_OTHER"/>
    <x v="4"/>
    <x v="0"/>
    <s v="GBPR_WOODCHIPS_25"/>
    <x v="0"/>
    <x v="11"/>
    <n v="23.054458844133102"/>
    <n v="8414.8774781085704"/>
    <n v="30293.558921190899"/>
  </r>
  <r>
    <x v="0"/>
    <x v="0"/>
    <x v="0"/>
    <x v="9"/>
    <x v="20"/>
    <s v="SE4_OTHER"/>
    <x v="4"/>
    <x v="0"/>
    <s v="GBPR_WOODCHIPS_25"/>
    <x v="0"/>
    <x v="12"/>
    <n v="23.054458844133102"/>
    <n v="8414.8774781085704"/>
    <n v="30293.558921190899"/>
  </r>
  <r>
    <x v="0"/>
    <x v="0"/>
    <x v="0"/>
    <x v="9"/>
    <x v="20"/>
    <s v="SE4_OTHER"/>
    <x v="4"/>
    <x v="0"/>
    <s v="GBPR_WOODCHIPS_25"/>
    <x v="0"/>
    <x v="13"/>
    <n v="23.054458844133102"/>
    <n v="8414.8774781085704"/>
    <n v="30293.558921190899"/>
  </r>
  <r>
    <x v="0"/>
    <x v="0"/>
    <x v="0"/>
    <x v="9"/>
    <x v="20"/>
    <s v="SE4_OTHER"/>
    <x v="4"/>
    <x v="0"/>
    <s v="GBPR_WOODCHIPS_25"/>
    <x v="0"/>
    <x v="14"/>
    <n v="23.054458844133102"/>
    <n v="8414.8774781085704"/>
    <n v="30293.558921190899"/>
  </r>
  <r>
    <x v="0"/>
    <x v="0"/>
    <x v="0"/>
    <x v="9"/>
    <x v="20"/>
    <s v="SE4_OTHER"/>
    <x v="4"/>
    <x v="0"/>
    <s v="GBPR_WOODCHIPS_25"/>
    <x v="0"/>
    <x v="15"/>
    <n v="23.054458844133102"/>
    <n v="8414.8774781085704"/>
    <n v="30293.558921190899"/>
  </r>
  <r>
    <x v="0"/>
    <x v="0"/>
    <x v="0"/>
    <x v="9"/>
    <x v="20"/>
    <s v="SE4_OTHER"/>
    <x v="4"/>
    <x v="0"/>
    <s v="GBPR_WOODCHIPS_25"/>
    <x v="0"/>
    <x v="16"/>
    <n v="23.054458844133102"/>
    <n v="8414.8774781085704"/>
    <n v="30293.558921190899"/>
  </r>
  <r>
    <x v="0"/>
    <x v="0"/>
    <x v="0"/>
    <x v="9"/>
    <x v="20"/>
    <s v="SE4_OTHER"/>
    <x v="4"/>
    <x v="0"/>
    <s v="GBPR_WOODCHIPS_25"/>
    <x v="0"/>
    <x v="17"/>
    <n v="23.054458844133102"/>
    <n v="8414.8774781085704"/>
    <n v="30293.558921190899"/>
  </r>
  <r>
    <x v="0"/>
    <x v="0"/>
    <x v="0"/>
    <x v="9"/>
    <x v="20"/>
    <s v="SE4_OTHER"/>
    <x v="4"/>
    <x v="0"/>
    <s v="GBPR_WOODCHIPS_25"/>
    <x v="0"/>
    <x v="18"/>
    <n v="23.054458844133102"/>
    <n v="8414.8774781085704"/>
    <n v="30293.558921190899"/>
  </r>
  <r>
    <x v="0"/>
    <x v="0"/>
    <x v="0"/>
    <x v="9"/>
    <x v="20"/>
    <s v="SE4_OTHER"/>
    <x v="4"/>
    <x v="0"/>
    <s v="GBPR_WOODCHIPS_25"/>
    <x v="0"/>
    <x v="19"/>
    <n v="23.054458844133102"/>
    <n v="8414.8774781085704"/>
    <n v="30293.558921190899"/>
  </r>
  <r>
    <x v="0"/>
    <x v="0"/>
    <x v="0"/>
    <x v="9"/>
    <x v="20"/>
    <s v="SE4_OTHER"/>
    <x v="4"/>
    <x v="0"/>
    <s v="GBPR_WOODCHIPS_25"/>
    <x v="0"/>
    <x v="20"/>
    <n v="23.054458844133102"/>
    <n v="8414.8774781085704"/>
    <n v="30293.558921190899"/>
  </r>
  <r>
    <x v="0"/>
    <x v="0"/>
    <x v="0"/>
    <x v="9"/>
    <x v="20"/>
    <s v="SE4_OTHER"/>
    <x v="4"/>
    <x v="0"/>
    <s v="GBPR_WOODCHIPS_25"/>
    <x v="0"/>
    <x v="21"/>
    <n v="23.054458844133102"/>
    <n v="8414.8774781085704"/>
    <n v="30293.558921190899"/>
  </r>
  <r>
    <x v="0"/>
    <x v="0"/>
    <x v="0"/>
    <x v="9"/>
    <x v="20"/>
    <s v="SE4_OTHER"/>
    <x v="4"/>
    <x v="0"/>
    <s v="GBPR_WOODCHIPS_25"/>
    <x v="0"/>
    <x v="22"/>
    <n v="23.054458844133102"/>
    <n v="8414.8774781085704"/>
    <n v="30293.558921190899"/>
  </r>
  <r>
    <x v="0"/>
    <x v="0"/>
    <x v="0"/>
    <x v="9"/>
    <x v="20"/>
    <s v="SE4_OTHER"/>
    <x v="4"/>
    <x v="0"/>
    <s v="GBPR_WOODCHIPS_25"/>
    <x v="0"/>
    <x v="23"/>
    <n v="23.054458844133102"/>
    <n v="8414.8774781085704"/>
    <n v="30293.558921190899"/>
  </r>
  <r>
    <x v="0"/>
    <x v="0"/>
    <x v="0"/>
    <x v="9"/>
    <x v="20"/>
    <s v="SE4_OTHER"/>
    <x v="11"/>
    <x v="0"/>
    <s v="GBPR_WOODWASTE_36"/>
    <x v="0"/>
    <x v="0"/>
    <n v="69.950290718038502"/>
    <n v="25531.8561120841"/>
    <n v="91914.682003502603"/>
  </r>
  <r>
    <x v="0"/>
    <x v="0"/>
    <x v="0"/>
    <x v="9"/>
    <x v="20"/>
    <s v="SE4_OTHER"/>
    <x v="11"/>
    <x v="0"/>
    <s v="GBPR_WOODWASTE_36"/>
    <x v="0"/>
    <x v="1"/>
    <n v="69.950290718038502"/>
    <n v="25531.8561120841"/>
    <n v="91914.682003502603"/>
  </r>
  <r>
    <x v="0"/>
    <x v="0"/>
    <x v="0"/>
    <x v="9"/>
    <x v="20"/>
    <s v="SE4_OTHER"/>
    <x v="11"/>
    <x v="0"/>
    <s v="GBPR_WOODWASTE_36"/>
    <x v="0"/>
    <x v="2"/>
    <n v="69.950290718038502"/>
    <n v="25531.8561120841"/>
    <n v="91914.682003502603"/>
  </r>
  <r>
    <x v="0"/>
    <x v="0"/>
    <x v="0"/>
    <x v="9"/>
    <x v="20"/>
    <s v="SE4_OTHER"/>
    <x v="11"/>
    <x v="0"/>
    <s v="GBPR_WOODWASTE_36"/>
    <x v="0"/>
    <x v="3"/>
    <n v="69.950290718038502"/>
    <n v="25531.8561120841"/>
    <n v="91914.682003502603"/>
  </r>
  <r>
    <x v="0"/>
    <x v="0"/>
    <x v="0"/>
    <x v="9"/>
    <x v="20"/>
    <s v="SE4_OTHER"/>
    <x v="11"/>
    <x v="0"/>
    <s v="GBPR_WOODWASTE_36"/>
    <x v="0"/>
    <x v="4"/>
    <n v="69.950290718038502"/>
    <n v="25531.8561120841"/>
    <n v="91914.682003502603"/>
  </r>
  <r>
    <x v="0"/>
    <x v="0"/>
    <x v="0"/>
    <x v="9"/>
    <x v="20"/>
    <s v="SE4_OTHER"/>
    <x v="11"/>
    <x v="0"/>
    <s v="GBPR_WOODWASTE_36"/>
    <x v="0"/>
    <x v="5"/>
    <n v="69.950290718038502"/>
    <n v="25531.8561120841"/>
    <n v="91914.682003502603"/>
  </r>
  <r>
    <x v="0"/>
    <x v="0"/>
    <x v="0"/>
    <x v="9"/>
    <x v="20"/>
    <s v="SE4_OTHER"/>
    <x v="11"/>
    <x v="0"/>
    <s v="GBPR_WOODWASTE_36"/>
    <x v="0"/>
    <x v="6"/>
    <n v="69.950290718038502"/>
    <n v="25531.8561120841"/>
    <n v="91914.682003502603"/>
  </r>
  <r>
    <x v="0"/>
    <x v="0"/>
    <x v="0"/>
    <x v="9"/>
    <x v="20"/>
    <s v="SE4_OTHER"/>
    <x v="11"/>
    <x v="0"/>
    <s v="GBPR_WOODWASTE_36"/>
    <x v="0"/>
    <x v="7"/>
    <n v="69.950290718038502"/>
    <n v="25531.8561120841"/>
    <n v="91914.682003502603"/>
  </r>
  <r>
    <x v="0"/>
    <x v="0"/>
    <x v="0"/>
    <x v="9"/>
    <x v="20"/>
    <s v="SE4_OTHER"/>
    <x v="11"/>
    <x v="0"/>
    <s v="GBPR_WOODWASTE_36"/>
    <x v="0"/>
    <x v="8"/>
    <n v="69.950290718038502"/>
    <n v="25531.8561120841"/>
    <n v="91914.682003502603"/>
  </r>
  <r>
    <x v="0"/>
    <x v="0"/>
    <x v="0"/>
    <x v="9"/>
    <x v="20"/>
    <s v="SE4_OTHER"/>
    <x v="11"/>
    <x v="0"/>
    <s v="GBPR_WOODWASTE_36"/>
    <x v="0"/>
    <x v="9"/>
    <n v="69.950290718038502"/>
    <n v="25531.8561120841"/>
    <n v="91914.682003502603"/>
  </r>
  <r>
    <x v="0"/>
    <x v="0"/>
    <x v="0"/>
    <x v="9"/>
    <x v="20"/>
    <s v="SE4_OTHER"/>
    <x v="11"/>
    <x v="0"/>
    <s v="GBPR_WOODWASTE_36"/>
    <x v="0"/>
    <x v="10"/>
    <n v="69.950290718038502"/>
    <n v="25531.8561120841"/>
    <n v="91914.682003502603"/>
  </r>
  <r>
    <x v="0"/>
    <x v="0"/>
    <x v="0"/>
    <x v="9"/>
    <x v="20"/>
    <s v="SE4_OTHER"/>
    <x v="11"/>
    <x v="0"/>
    <s v="GBPR_WOODWASTE_36"/>
    <x v="0"/>
    <x v="11"/>
    <n v="69.950290718038502"/>
    <n v="25531.8561120841"/>
    <n v="91914.682003502603"/>
  </r>
  <r>
    <x v="0"/>
    <x v="0"/>
    <x v="0"/>
    <x v="9"/>
    <x v="20"/>
    <s v="SE4_OTHER"/>
    <x v="11"/>
    <x v="0"/>
    <s v="GBPR_WOODWASTE_36"/>
    <x v="0"/>
    <x v="12"/>
    <n v="69.950290718038502"/>
    <n v="25531.8561120841"/>
    <n v="91914.682003502603"/>
  </r>
  <r>
    <x v="0"/>
    <x v="0"/>
    <x v="0"/>
    <x v="9"/>
    <x v="20"/>
    <s v="SE4_OTHER"/>
    <x v="11"/>
    <x v="0"/>
    <s v="GBPR_WOODWASTE_36"/>
    <x v="0"/>
    <x v="13"/>
    <n v="69.950290718038502"/>
    <n v="25531.8561120841"/>
    <n v="91914.682003502603"/>
  </r>
  <r>
    <x v="0"/>
    <x v="0"/>
    <x v="0"/>
    <x v="9"/>
    <x v="20"/>
    <s v="SE4_OTHER"/>
    <x v="11"/>
    <x v="0"/>
    <s v="GBPR_WOODWASTE_36"/>
    <x v="0"/>
    <x v="14"/>
    <n v="69.950290718038502"/>
    <n v="25531.8561120841"/>
    <n v="91914.682003502603"/>
  </r>
  <r>
    <x v="0"/>
    <x v="0"/>
    <x v="0"/>
    <x v="9"/>
    <x v="20"/>
    <s v="SE4_OTHER"/>
    <x v="11"/>
    <x v="0"/>
    <s v="GBPR_WOODWASTE_36"/>
    <x v="0"/>
    <x v="15"/>
    <n v="69.950290718038502"/>
    <n v="25531.8561120841"/>
    <n v="91914.682003502603"/>
  </r>
  <r>
    <x v="0"/>
    <x v="0"/>
    <x v="0"/>
    <x v="9"/>
    <x v="20"/>
    <s v="SE4_OTHER"/>
    <x v="11"/>
    <x v="0"/>
    <s v="GBPR_WOODWASTE_36"/>
    <x v="0"/>
    <x v="16"/>
    <n v="69.950290718038502"/>
    <n v="25531.8561120841"/>
    <n v="91914.682003502603"/>
  </r>
  <r>
    <x v="0"/>
    <x v="0"/>
    <x v="0"/>
    <x v="9"/>
    <x v="20"/>
    <s v="SE4_OTHER"/>
    <x v="11"/>
    <x v="0"/>
    <s v="GBPR_WOODWASTE_36"/>
    <x v="0"/>
    <x v="17"/>
    <n v="69.950290718038502"/>
    <n v="25531.8561120841"/>
    <n v="91914.682003502603"/>
  </r>
  <r>
    <x v="0"/>
    <x v="0"/>
    <x v="0"/>
    <x v="9"/>
    <x v="20"/>
    <s v="SE4_OTHER"/>
    <x v="11"/>
    <x v="0"/>
    <s v="GBPR_WOODWASTE_36"/>
    <x v="0"/>
    <x v="18"/>
    <n v="69.950290718038502"/>
    <n v="25531.8561120841"/>
    <n v="91914.682003502603"/>
  </r>
  <r>
    <x v="0"/>
    <x v="0"/>
    <x v="0"/>
    <x v="9"/>
    <x v="20"/>
    <s v="SE4_OTHER"/>
    <x v="11"/>
    <x v="0"/>
    <s v="GBPR_WOODWASTE_36"/>
    <x v="0"/>
    <x v="19"/>
    <n v="69.950290718038502"/>
    <n v="25531.8561120841"/>
    <n v="91914.682003502603"/>
  </r>
  <r>
    <x v="0"/>
    <x v="0"/>
    <x v="0"/>
    <x v="9"/>
    <x v="20"/>
    <s v="SE4_OTHER"/>
    <x v="11"/>
    <x v="0"/>
    <s v="GBPR_WOODWASTE_36"/>
    <x v="0"/>
    <x v="20"/>
    <n v="69.950290718038502"/>
    <n v="25531.8561120841"/>
    <n v="91914.682003502603"/>
  </r>
  <r>
    <x v="0"/>
    <x v="0"/>
    <x v="0"/>
    <x v="9"/>
    <x v="20"/>
    <s v="SE4_OTHER"/>
    <x v="11"/>
    <x v="0"/>
    <s v="GBPR_WOODWASTE_36"/>
    <x v="0"/>
    <x v="21"/>
    <n v="69.950290718038502"/>
    <n v="25531.8561120841"/>
    <n v="91914.682003502603"/>
  </r>
  <r>
    <x v="0"/>
    <x v="0"/>
    <x v="0"/>
    <x v="9"/>
    <x v="20"/>
    <s v="SE4_OTHER"/>
    <x v="11"/>
    <x v="0"/>
    <s v="GBPR_WOODWASTE_36"/>
    <x v="0"/>
    <x v="22"/>
    <n v="69.950290718038502"/>
    <n v="25531.8561120841"/>
    <n v="91914.682003502603"/>
  </r>
  <r>
    <x v="0"/>
    <x v="0"/>
    <x v="0"/>
    <x v="9"/>
    <x v="20"/>
    <s v="SE4_OTHER"/>
    <x v="11"/>
    <x v="0"/>
    <s v="GBPR_WOODWASTE_36"/>
    <x v="0"/>
    <x v="23"/>
    <n v="69.950290718038502"/>
    <n v="25531.8561120841"/>
    <n v="91914.682003502603"/>
  </r>
  <r>
    <x v="0"/>
    <x v="0"/>
    <x v="0"/>
    <x v="10"/>
    <x v="21"/>
    <s v="UK_A"/>
    <x v="0"/>
    <x v="2"/>
    <s v="GNR_ST_BGAS_CND_E-40"/>
    <x v="0"/>
    <x v="0"/>
    <n v="1229"/>
    <n v="448585"/>
    <n v="1614906"/>
  </r>
  <r>
    <x v="0"/>
    <x v="0"/>
    <x v="0"/>
    <x v="10"/>
    <x v="21"/>
    <s v="UK_A"/>
    <x v="0"/>
    <x v="2"/>
    <s v="GNR_ST_BGAS_CND_E-40"/>
    <x v="0"/>
    <x v="1"/>
    <n v="1229"/>
    <n v="448585"/>
    <n v="1614906"/>
  </r>
  <r>
    <x v="0"/>
    <x v="0"/>
    <x v="0"/>
    <x v="10"/>
    <x v="21"/>
    <s v="UK_A"/>
    <x v="0"/>
    <x v="2"/>
    <s v="GNR_ST_BGAS_CND_E-40"/>
    <x v="0"/>
    <x v="2"/>
    <n v="1229"/>
    <n v="448585"/>
    <n v="1614906"/>
  </r>
  <r>
    <x v="0"/>
    <x v="0"/>
    <x v="0"/>
    <x v="10"/>
    <x v="21"/>
    <s v="UK_A"/>
    <x v="0"/>
    <x v="2"/>
    <s v="GNR_ST_BGAS_CND_E-40"/>
    <x v="0"/>
    <x v="3"/>
    <n v="1229"/>
    <n v="448585"/>
    <n v="1614906"/>
  </r>
  <r>
    <x v="0"/>
    <x v="0"/>
    <x v="0"/>
    <x v="10"/>
    <x v="21"/>
    <s v="UK_A"/>
    <x v="0"/>
    <x v="2"/>
    <s v="GNR_ST_BGAS_CND_E-40"/>
    <x v="0"/>
    <x v="4"/>
    <n v="1229"/>
    <n v="448585"/>
    <n v="1614906"/>
  </r>
  <r>
    <x v="0"/>
    <x v="0"/>
    <x v="0"/>
    <x v="10"/>
    <x v="21"/>
    <s v="UK_A"/>
    <x v="0"/>
    <x v="2"/>
    <s v="GNR_ST_BGAS_CND_E-40"/>
    <x v="0"/>
    <x v="5"/>
    <n v="1229"/>
    <n v="448585"/>
    <n v="1614906"/>
  </r>
  <r>
    <x v="0"/>
    <x v="0"/>
    <x v="0"/>
    <x v="10"/>
    <x v="21"/>
    <s v="UK_A"/>
    <x v="0"/>
    <x v="2"/>
    <s v="GNR_ST_BGAS_CND_E-40"/>
    <x v="0"/>
    <x v="6"/>
    <n v="1229"/>
    <n v="448585"/>
    <n v="1614906"/>
  </r>
  <r>
    <x v="0"/>
    <x v="0"/>
    <x v="0"/>
    <x v="10"/>
    <x v="21"/>
    <s v="UK_A"/>
    <x v="0"/>
    <x v="2"/>
    <s v="GNR_ST_BGAS_CND_E-40"/>
    <x v="0"/>
    <x v="7"/>
    <n v="1229"/>
    <n v="448585"/>
    <n v="1614906"/>
  </r>
  <r>
    <x v="0"/>
    <x v="0"/>
    <x v="0"/>
    <x v="10"/>
    <x v="21"/>
    <s v="UK_A"/>
    <x v="0"/>
    <x v="2"/>
    <s v="GNR_ST_BGAS_CND_E-40"/>
    <x v="0"/>
    <x v="8"/>
    <n v="1229"/>
    <n v="448585"/>
    <n v="1614906"/>
  </r>
  <r>
    <x v="0"/>
    <x v="0"/>
    <x v="0"/>
    <x v="10"/>
    <x v="21"/>
    <s v="UK_A"/>
    <x v="0"/>
    <x v="2"/>
    <s v="GNR_ST_BGAS_CND_E-40"/>
    <x v="0"/>
    <x v="9"/>
    <n v="1229"/>
    <n v="448585"/>
    <n v="1614906"/>
  </r>
  <r>
    <x v="0"/>
    <x v="0"/>
    <x v="0"/>
    <x v="10"/>
    <x v="21"/>
    <s v="UK_A"/>
    <x v="0"/>
    <x v="2"/>
    <s v="GNR_ST_BGAS_CND_E-40"/>
    <x v="0"/>
    <x v="10"/>
    <n v="1229"/>
    <n v="448585"/>
    <n v="1614906"/>
  </r>
  <r>
    <x v="0"/>
    <x v="0"/>
    <x v="0"/>
    <x v="10"/>
    <x v="21"/>
    <s v="UK_A"/>
    <x v="0"/>
    <x v="2"/>
    <s v="GNR_ST_BGAS_CND_E-40"/>
    <x v="0"/>
    <x v="11"/>
    <n v="1229"/>
    <n v="448585"/>
    <n v="1614906"/>
  </r>
  <r>
    <x v="0"/>
    <x v="0"/>
    <x v="0"/>
    <x v="10"/>
    <x v="21"/>
    <s v="UK_A"/>
    <x v="0"/>
    <x v="2"/>
    <s v="GNR_ST_BGAS_CND_E-40"/>
    <x v="0"/>
    <x v="12"/>
    <n v="1229"/>
    <n v="448585"/>
    <n v="1614906"/>
  </r>
  <r>
    <x v="0"/>
    <x v="0"/>
    <x v="0"/>
    <x v="10"/>
    <x v="21"/>
    <s v="UK_A"/>
    <x v="0"/>
    <x v="2"/>
    <s v="GNR_ST_BGAS_CND_E-40"/>
    <x v="0"/>
    <x v="13"/>
    <n v="1229"/>
    <n v="448585"/>
    <n v="1614906"/>
  </r>
  <r>
    <x v="0"/>
    <x v="0"/>
    <x v="0"/>
    <x v="10"/>
    <x v="21"/>
    <s v="UK_A"/>
    <x v="0"/>
    <x v="2"/>
    <s v="GNR_ST_BGAS_CND_E-40"/>
    <x v="0"/>
    <x v="14"/>
    <n v="1229"/>
    <n v="448585"/>
    <n v="1614906"/>
  </r>
  <r>
    <x v="0"/>
    <x v="0"/>
    <x v="0"/>
    <x v="10"/>
    <x v="21"/>
    <s v="UK_A"/>
    <x v="0"/>
    <x v="2"/>
    <s v="GNR_ST_BGAS_CND_E-40"/>
    <x v="0"/>
    <x v="15"/>
    <n v="1229"/>
    <n v="448585"/>
    <n v="1614906"/>
  </r>
  <r>
    <x v="0"/>
    <x v="0"/>
    <x v="0"/>
    <x v="10"/>
    <x v="21"/>
    <s v="UK_A"/>
    <x v="0"/>
    <x v="2"/>
    <s v="GNR_ST_BGAS_CND_E-40"/>
    <x v="0"/>
    <x v="16"/>
    <n v="1229"/>
    <n v="448585"/>
    <n v="1614906"/>
  </r>
  <r>
    <x v="0"/>
    <x v="0"/>
    <x v="0"/>
    <x v="10"/>
    <x v="21"/>
    <s v="UK_A"/>
    <x v="0"/>
    <x v="2"/>
    <s v="GNR_ST_BGAS_CND_E-40"/>
    <x v="0"/>
    <x v="17"/>
    <n v="1229"/>
    <n v="448585"/>
    <n v="1614906"/>
  </r>
  <r>
    <x v="0"/>
    <x v="0"/>
    <x v="0"/>
    <x v="10"/>
    <x v="21"/>
    <s v="UK_A"/>
    <x v="0"/>
    <x v="2"/>
    <s v="GNR_ST_BGAS_CND_E-40"/>
    <x v="0"/>
    <x v="18"/>
    <n v="1229"/>
    <n v="448585"/>
    <n v="1614906"/>
  </r>
  <r>
    <x v="0"/>
    <x v="0"/>
    <x v="0"/>
    <x v="10"/>
    <x v="21"/>
    <s v="UK_A"/>
    <x v="0"/>
    <x v="2"/>
    <s v="GNR_ST_BGAS_CND_E-40"/>
    <x v="0"/>
    <x v="19"/>
    <n v="1229"/>
    <n v="448585"/>
    <n v="1614906"/>
  </r>
  <r>
    <x v="0"/>
    <x v="0"/>
    <x v="0"/>
    <x v="10"/>
    <x v="21"/>
    <s v="UK_A"/>
    <x v="0"/>
    <x v="2"/>
    <s v="GNR_ST_BGAS_CND_E-40"/>
    <x v="0"/>
    <x v="20"/>
    <n v="1229"/>
    <n v="448585"/>
    <n v="1614906"/>
  </r>
  <r>
    <x v="0"/>
    <x v="0"/>
    <x v="0"/>
    <x v="10"/>
    <x v="21"/>
    <s v="UK_A"/>
    <x v="0"/>
    <x v="2"/>
    <s v="GNR_ST_BGAS_CND_E-40"/>
    <x v="0"/>
    <x v="21"/>
    <n v="1229"/>
    <n v="448585"/>
    <n v="1614906"/>
  </r>
  <r>
    <x v="0"/>
    <x v="0"/>
    <x v="0"/>
    <x v="10"/>
    <x v="21"/>
    <s v="UK_A"/>
    <x v="0"/>
    <x v="2"/>
    <s v="GNR_ST_BGAS_CND_E-40"/>
    <x v="0"/>
    <x v="22"/>
    <n v="1229"/>
    <n v="448585"/>
    <n v="1614906"/>
  </r>
  <r>
    <x v="0"/>
    <x v="0"/>
    <x v="0"/>
    <x v="10"/>
    <x v="21"/>
    <s v="UK_A"/>
    <x v="0"/>
    <x v="2"/>
    <s v="GNR_ST_BGAS_CND_E-40"/>
    <x v="0"/>
    <x v="23"/>
    <n v="1229"/>
    <n v="448585"/>
    <n v="1614906"/>
  </r>
  <r>
    <x v="0"/>
    <x v="0"/>
    <x v="0"/>
    <x v="10"/>
    <x v="21"/>
    <s v="UK_A"/>
    <x v="0"/>
    <x v="2"/>
    <s v="GNR_ST_BGAS_CND_E-45"/>
    <x v="0"/>
    <x v="0"/>
    <n v="2401"/>
    <n v="876365"/>
    <n v="3154914"/>
  </r>
  <r>
    <x v="0"/>
    <x v="0"/>
    <x v="0"/>
    <x v="10"/>
    <x v="21"/>
    <s v="UK_A"/>
    <x v="0"/>
    <x v="2"/>
    <s v="GNR_ST_BGAS_CND_E-45"/>
    <x v="0"/>
    <x v="1"/>
    <n v="2401"/>
    <n v="876365"/>
    <n v="3154914"/>
  </r>
  <r>
    <x v="0"/>
    <x v="0"/>
    <x v="0"/>
    <x v="10"/>
    <x v="21"/>
    <s v="UK_A"/>
    <x v="0"/>
    <x v="2"/>
    <s v="GNR_ST_BGAS_CND_E-45"/>
    <x v="0"/>
    <x v="2"/>
    <n v="2401"/>
    <n v="876365"/>
    <n v="3154914"/>
  </r>
  <r>
    <x v="0"/>
    <x v="0"/>
    <x v="0"/>
    <x v="10"/>
    <x v="21"/>
    <s v="UK_A"/>
    <x v="0"/>
    <x v="2"/>
    <s v="GNR_ST_BGAS_CND_E-45"/>
    <x v="0"/>
    <x v="3"/>
    <n v="2401"/>
    <n v="876365"/>
    <n v="3154914"/>
  </r>
  <r>
    <x v="0"/>
    <x v="0"/>
    <x v="0"/>
    <x v="10"/>
    <x v="21"/>
    <s v="UK_A"/>
    <x v="0"/>
    <x v="2"/>
    <s v="GNR_ST_BGAS_CND_E-45"/>
    <x v="0"/>
    <x v="4"/>
    <n v="2401"/>
    <n v="876365"/>
    <n v="3154914"/>
  </r>
  <r>
    <x v="0"/>
    <x v="0"/>
    <x v="0"/>
    <x v="10"/>
    <x v="21"/>
    <s v="UK_A"/>
    <x v="0"/>
    <x v="2"/>
    <s v="GNR_ST_BGAS_CND_E-45"/>
    <x v="0"/>
    <x v="5"/>
    <n v="2401"/>
    <n v="876365"/>
    <n v="3154914"/>
  </r>
  <r>
    <x v="0"/>
    <x v="0"/>
    <x v="0"/>
    <x v="10"/>
    <x v="21"/>
    <s v="UK_A"/>
    <x v="0"/>
    <x v="2"/>
    <s v="GNR_ST_BGAS_CND_E-45"/>
    <x v="0"/>
    <x v="6"/>
    <n v="2401"/>
    <n v="876365"/>
    <n v="3154914"/>
  </r>
  <r>
    <x v="0"/>
    <x v="0"/>
    <x v="0"/>
    <x v="10"/>
    <x v="21"/>
    <s v="UK_A"/>
    <x v="0"/>
    <x v="2"/>
    <s v="GNR_ST_BGAS_CND_E-45"/>
    <x v="0"/>
    <x v="7"/>
    <n v="2401"/>
    <n v="876365"/>
    <n v="3154914"/>
  </r>
  <r>
    <x v="0"/>
    <x v="0"/>
    <x v="0"/>
    <x v="10"/>
    <x v="21"/>
    <s v="UK_A"/>
    <x v="0"/>
    <x v="2"/>
    <s v="GNR_ST_BGAS_CND_E-45"/>
    <x v="0"/>
    <x v="8"/>
    <n v="2401"/>
    <n v="876365"/>
    <n v="3154914"/>
  </r>
  <r>
    <x v="0"/>
    <x v="0"/>
    <x v="0"/>
    <x v="10"/>
    <x v="21"/>
    <s v="UK_A"/>
    <x v="0"/>
    <x v="2"/>
    <s v="GNR_ST_BGAS_CND_E-45"/>
    <x v="0"/>
    <x v="9"/>
    <n v="2401"/>
    <n v="876365"/>
    <n v="3154914"/>
  </r>
  <r>
    <x v="0"/>
    <x v="0"/>
    <x v="0"/>
    <x v="10"/>
    <x v="21"/>
    <s v="UK_A"/>
    <x v="0"/>
    <x v="2"/>
    <s v="GNR_ST_BGAS_CND_E-45"/>
    <x v="0"/>
    <x v="10"/>
    <n v="2401"/>
    <n v="876365"/>
    <n v="3154914"/>
  </r>
  <r>
    <x v="0"/>
    <x v="0"/>
    <x v="0"/>
    <x v="10"/>
    <x v="21"/>
    <s v="UK_A"/>
    <x v="0"/>
    <x v="2"/>
    <s v="GNR_ST_BGAS_CND_E-45"/>
    <x v="0"/>
    <x v="11"/>
    <n v="2401"/>
    <n v="876365"/>
    <n v="3154914"/>
  </r>
  <r>
    <x v="0"/>
    <x v="0"/>
    <x v="0"/>
    <x v="10"/>
    <x v="21"/>
    <s v="UK_A"/>
    <x v="0"/>
    <x v="2"/>
    <s v="GNR_ST_BGAS_CND_E-45"/>
    <x v="0"/>
    <x v="12"/>
    <n v="2401"/>
    <n v="876365"/>
    <n v="3154914"/>
  </r>
  <r>
    <x v="0"/>
    <x v="0"/>
    <x v="0"/>
    <x v="10"/>
    <x v="21"/>
    <s v="UK_A"/>
    <x v="0"/>
    <x v="2"/>
    <s v="GNR_ST_BGAS_CND_E-45"/>
    <x v="0"/>
    <x v="13"/>
    <n v="2401"/>
    <n v="876365"/>
    <n v="3154914"/>
  </r>
  <r>
    <x v="0"/>
    <x v="0"/>
    <x v="0"/>
    <x v="10"/>
    <x v="21"/>
    <s v="UK_A"/>
    <x v="0"/>
    <x v="2"/>
    <s v="GNR_ST_BGAS_CND_E-45"/>
    <x v="0"/>
    <x v="14"/>
    <n v="2401"/>
    <n v="876365"/>
    <n v="3154914"/>
  </r>
  <r>
    <x v="0"/>
    <x v="0"/>
    <x v="0"/>
    <x v="10"/>
    <x v="21"/>
    <s v="UK_A"/>
    <x v="0"/>
    <x v="2"/>
    <s v="GNR_ST_BGAS_CND_E-45"/>
    <x v="0"/>
    <x v="15"/>
    <n v="2401"/>
    <n v="876365"/>
    <n v="3154914"/>
  </r>
  <r>
    <x v="0"/>
    <x v="0"/>
    <x v="0"/>
    <x v="10"/>
    <x v="21"/>
    <s v="UK_A"/>
    <x v="0"/>
    <x v="2"/>
    <s v="GNR_ST_BGAS_CND_E-45"/>
    <x v="0"/>
    <x v="16"/>
    <n v="2401"/>
    <n v="876365"/>
    <n v="3154914"/>
  </r>
  <r>
    <x v="0"/>
    <x v="0"/>
    <x v="0"/>
    <x v="10"/>
    <x v="21"/>
    <s v="UK_A"/>
    <x v="0"/>
    <x v="2"/>
    <s v="GNR_ST_BGAS_CND_E-45"/>
    <x v="0"/>
    <x v="17"/>
    <n v="2401"/>
    <n v="876365"/>
    <n v="3154914"/>
  </r>
  <r>
    <x v="0"/>
    <x v="0"/>
    <x v="0"/>
    <x v="10"/>
    <x v="21"/>
    <s v="UK_A"/>
    <x v="0"/>
    <x v="2"/>
    <s v="GNR_ST_BGAS_CND_E-45"/>
    <x v="0"/>
    <x v="18"/>
    <n v="2401"/>
    <n v="876365"/>
    <n v="3154914"/>
  </r>
  <r>
    <x v="0"/>
    <x v="0"/>
    <x v="0"/>
    <x v="10"/>
    <x v="21"/>
    <s v="UK_A"/>
    <x v="0"/>
    <x v="2"/>
    <s v="GNR_ST_BGAS_CND_E-45"/>
    <x v="0"/>
    <x v="19"/>
    <n v="2401"/>
    <n v="876365"/>
    <n v="3154914"/>
  </r>
  <r>
    <x v="0"/>
    <x v="0"/>
    <x v="0"/>
    <x v="10"/>
    <x v="21"/>
    <s v="UK_A"/>
    <x v="0"/>
    <x v="2"/>
    <s v="GNR_ST_BGAS_CND_E-45"/>
    <x v="0"/>
    <x v="20"/>
    <n v="2401"/>
    <n v="876365"/>
    <n v="3154914"/>
  </r>
  <r>
    <x v="0"/>
    <x v="0"/>
    <x v="0"/>
    <x v="10"/>
    <x v="21"/>
    <s v="UK_A"/>
    <x v="0"/>
    <x v="2"/>
    <s v="GNR_ST_BGAS_CND_E-45"/>
    <x v="0"/>
    <x v="21"/>
    <n v="2401"/>
    <n v="876365"/>
    <n v="3154914"/>
  </r>
  <r>
    <x v="0"/>
    <x v="0"/>
    <x v="0"/>
    <x v="10"/>
    <x v="21"/>
    <s v="UK_A"/>
    <x v="0"/>
    <x v="2"/>
    <s v="GNR_ST_BGAS_CND_E-45"/>
    <x v="0"/>
    <x v="22"/>
    <n v="2401"/>
    <n v="876365"/>
    <n v="3154914"/>
  </r>
  <r>
    <x v="0"/>
    <x v="0"/>
    <x v="0"/>
    <x v="10"/>
    <x v="21"/>
    <s v="UK_A"/>
    <x v="0"/>
    <x v="2"/>
    <s v="GNR_ST_BGAS_CND_E-45"/>
    <x v="0"/>
    <x v="23"/>
    <n v="2401"/>
    <n v="876365"/>
    <n v="3154914"/>
  </r>
  <r>
    <x v="0"/>
    <x v="0"/>
    <x v="0"/>
    <x v="10"/>
    <x v="21"/>
    <s v="UK_A"/>
    <x v="1"/>
    <x v="2"/>
    <s v="GNR_ST_MSW_CND_E-40"/>
    <x v="0"/>
    <x v="0"/>
    <n v="806"/>
    <n v="294190"/>
    <n v="1059084"/>
  </r>
  <r>
    <x v="0"/>
    <x v="0"/>
    <x v="0"/>
    <x v="10"/>
    <x v="21"/>
    <s v="UK_A"/>
    <x v="1"/>
    <x v="2"/>
    <s v="GNR_ST_MSW_CND_E-40"/>
    <x v="0"/>
    <x v="1"/>
    <n v="806"/>
    <n v="294190"/>
    <n v="1059084"/>
  </r>
  <r>
    <x v="0"/>
    <x v="0"/>
    <x v="0"/>
    <x v="10"/>
    <x v="21"/>
    <s v="UK_A"/>
    <x v="1"/>
    <x v="2"/>
    <s v="GNR_ST_MSW_CND_E-40"/>
    <x v="0"/>
    <x v="2"/>
    <n v="806"/>
    <n v="294190"/>
    <n v="1059084"/>
  </r>
  <r>
    <x v="0"/>
    <x v="0"/>
    <x v="0"/>
    <x v="10"/>
    <x v="21"/>
    <s v="UK_A"/>
    <x v="1"/>
    <x v="2"/>
    <s v="GNR_ST_MSW_CND_E-40"/>
    <x v="0"/>
    <x v="3"/>
    <n v="806"/>
    <n v="294190"/>
    <n v="1059084"/>
  </r>
  <r>
    <x v="0"/>
    <x v="0"/>
    <x v="0"/>
    <x v="10"/>
    <x v="21"/>
    <s v="UK_A"/>
    <x v="1"/>
    <x v="2"/>
    <s v="GNR_ST_MSW_CND_E-40"/>
    <x v="0"/>
    <x v="4"/>
    <n v="806"/>
    <n v="294190"/>
    <n v="1059084"/>
  </r>
  <r>
    <x v="0"/>
    <x v="0"/>
    <x v="0"/>
    <x v="10"/>
    <x v="21"/>
    <s v="UK_A"/>
    <x v="1"/>
    <x v="2"/>
    <s v="GNR_ST_MSW_CND_E-40"/>
    <x v="0"/>
    <x v="5"/>
    <n v="806"/>
    <n v="294190"/>
    <n v="1059084"/>
  </r>
  <r>
    <x v="0"/>
    <x v="0"/>
    <x v="0"/>
    <x v="10"/>
    <x v="21"/>
    <s v="UK_A"/>
    <x v="1"/>
    <x v="2"/>
    <s v="GNR_ST_MSW_CND_E-40"/>
    <x v="0"/>
    <x v="6"/>
    <n v="806"/>
    <n v="294190"/>
    <n v="1059084"/>
  </r>
  <r>
    <x v="0"/>
    <x v="0"/>
    <x v="0"/>
    <x v="10"/>
    <x v="21"/>
    <s v="UK_A"/>
    <x v="1"/>
    <x v="2"/>
    <s v="GNR_ST_MSW_CND_E-40"/>
    <x v="0"/>
    <x v="7"/>
    <n v="806"/>
    <n v="294190"/>
    <n v="1059084"/>
  </r>
  <r>
    <x v="0"/>
    <x v="0"/>
    <x v="0"/>
    <x v="10"/>
    <x v="21"/>
    <s v="UK_A"/>
    <x v="1"/>
    <x v="2"/>
    <s v="GNR_ST_MSW_CND_E-40"/>
    <x v="0"/>
    <x v="8"/>
    <n v="806"/>
    <n v="294190"/>
    <n v="1059084"/>
  </r>
  <r>
    <x v="0"/>
    <x v="0"/>
    <x v="0"/>
    <x v="10"/>
    <x v="21"/>
    <s v="UK_A"/>
    <x v="1"/>
    <x v="2"/>
    <s v="GNR_ST_MSW_CND_E-40"/>
    <x v="0"/>
    <x v="9"/>
    <n v="806"/>
    <n v="294190"/>
    <n v="1059084"/>
  </r>
  <r>
    <x v="0"/>
    <x v="0"/>
    <x v="0"/>
    <x v="10"/>
    <x v="21"/>
    <s v="UK_A"/>
    <x v="1"/>
    <x v="2"/>
    <s v="GNR_ST_MSW_CND_E-40"/>
    <x v="0"/>
    <x v="10"/>
    <n v="806"/>
    <n v="294190"/>
    <n v="1059084"/>
  </r>
  <r>
    <x v="0"/>
    <x v="0"/>
    <x v="0"/>
    <x v="10"/>
    <x v="21"/>
    <s v="UK_A"/>
    <x v="1"/>
    <x v="2"/>
    <s v="GNR_ST_MSW_CND_E-40"/>
    <x v="0"/>
    <x v="11"/>
    <n v="806"/>
    <n v="294190"/>
    <n v="1059084"/>
  </r>
  <r>
    <x v="0"/>
    <x v="0"/>
    <x v="0"/>
    <x v="10"/>
    <x v="21"/>
    <s v="UK_A"/>
    <x v="1"/>
    <x v="2"/>
    <s v="GNR_ST_MSW_CND_E-40"/>
    <x v="0"/>
    <x v="12"/>
    <n v="806"/>
    <n v="294190"/>
    <n v="1059084"/>
  </r>
  <r>
    <x v="0"/>
    <x v="0"/>
    <x v="0"/>
    <x v="10"/>
    <x v="21"/>
    <s v="UK_A"/>
    <x v="1"/>
    <x v="2"/>
    <s v="GNR_ST_MSW_CND_E-40"/>
    <x v="0"/>
    <x v="13"/>
    <n v="806"/>
    <n v="294190"/>
    <n v="1059084"/>
  </r>
  <r>
    <x v="0"/>
    <x v="0"/>
    <x v="0"/>
    <x v="10"/>
    <x v="21"/>
    <s v="UK_A"/>
    <x v="1"/>
    <x v="2"/>
    <s v="GNR_ST_MSW_CND_E-40"/>
    <x v="0"/>
    <x v="14"/>
    <n v="806"/>
    <n v="294190"/>
    <n v="1059084"/>
  </r>
  <r>
    <x v="0"/>
    <x v="0"/>
    <x v="0"/>
    <x v="10"/>
    <x v="21"/>
    <s v="UK_A"/>
    <x v="1"/>
    <x v="2"/>
    <s v="GNR_ST_MSW_CND_E-40"/>
    <x v="0"/>
    <x v="15"/>
    <n v="806"/>
    <n v="294190"/>
    <n v="1059084"/>
  </r>
  <r>
    <x v="0"/>
    <x v="0"/>
    <x v="0"/>
    <x v="10"/>
    <x v="21"/>
    <s v="UK_A"/>
    <x v="1"/>
    <x v="2"/>
    <s v="GNR_ST_MSW_CND_E-40"/>
    <x v="0"/>
    <x v="16"/>
    <n v="806"/>
    <n v="294190"/>
    <n v="1059084"/>
  </r>
  <r>
    <x v="0"/>
    <x v="0"/>
    <x v="0"/>
    <x v="10"/>
    <x v="21"/>
    <s v="UK_A"/>
    <x v="1"/>
    <x v="2"/>
    <s v="GNR_ST_MSW_CND_E-40"/>
    <x v="0"/>
    <x v="17"/>
    <n v="806"/>
    <n v="294190"/>
    <n v="1059084"/>
  </r>
  <r>
    <x v="0"/>
    <x v="0"/>
    <x v="0"/>
    <x v="10"/>
    <x v="21"/>
    <s v="UK_A"/>
    <x v="1"/>
    <x v="2"/>
    <s v="GNR_ST_MSW_CND_E-40"/>
    <x v="0"/>
    <x v="18"/>
    <n v="806"/>
    <n v="294190"/>
    <n v="1059084"/>
  </r>
  <r>
    <x v="0"/>
    <x v="0"/>
    <x v="0"/>
    <x v="10"/>
    <x v="21"/>
    <s v="UK_A"/>
    <x v="1"/>
    <x v="2"/>
    <s v="GNR_ST_MSW_CND_E-40"/>
    <x v="0"/>
    <x v="19"/>
    <n v="806"/>
    <n v="294190"/>
    <n v="1059084"/>
  </r>
  <r>
    <x v="0"/>
    <x v="0"/>
    <x v="0"/>
    <x v="10"/>
    <x v="21"/>
    <s v="UK_A"/>
    <x v="1"/>
    <x v="2"/>
    <s v="GNR_ST_MSW_CND_E-40"/>
    <x v="0"/>
    <x v="20"/>
    <n v="806"/>
    <n v="294190"/>
    <n v="1059084"/>
  </r>
  <r>
    <x v="0"/>
    <x v="0"/>
    <x v="0"/>
    <x v="10"/>
    <x v="21"/>
    <s v="UK_A"/>
    <x v="1"/>
    <x v="2"/>
    <s v="GNR_ST_MSW_CND_E-40"/>
    <x v="0"/>
    <x v="21"/>
    <n v="806"/>
    <n v="294190"/>
    <n v="1059084"/>
  </r>
  <r>
    <x v="0"/>
    <x v="0"/>
    <x v="0"/>
    <x v="10"/>
    <x v="21"/>
    <s v="UK_A"/>
    <x v="1"/>
    <x v="2"/>
    <s v="GNR_ST_MSW_CND_E-40"/>
    <x v="0"/>
    <x v="22"/>
    <n v="806"/>
    <n v="294190"/>
    <n v="1059084"/>
  </r>
  <r>
    <x v="0"/>
    <x v="0"/>
    <x v="0"/>
    <x v="10"/>
    <x v="21"/>
    <s v="UK_A"/>
    <x v="1"/>
    <x v="2"/>
    <s v="GNR_ST_MSW_CND_E-40"/>
    <x v="0"/>
    <x v="23"/>
    <n v="806"/>
    <n v="294190"/>
    <n v="1059084"/>
  </r>
  <r>
    <x v="0"/>
    <x v="0"/>
    <x v="0"/>
    <x v="10"/>
    <x v="21"/>
    <s v="UK_A"/>
    <x v="2"/>
    <x v="2"/>
    <s v="GNR_CC_NGAS_CND_E-56"/>
    <x v="0"/>
    <x v="19"/>
    <n v="7596.78438969334"/>
    <n v="2772826.3022380699"/>
    <n v="9982174.6880570408"/>
  </r>
  <r>
    <x v="0"/>
    <x v="0"/>
    <x v="0"/>
    <x v="10"/>
    <x v="21"/>
    <s v="UK_A"/>
    <x v="13"/>
    <x v="2"/>
    <s v="GNR_ST_NUCL_CND_E-33"/>
    <x v="0"/>
    <x v="0"/>
    <n v="9401"/>
    <n v="3431365"/>
    <n v="12352914"/>
  </r>
  <r>
    <x v="0"/>
    <x v="0"/>
    <x v="0"/>
    <x v="10"/>
    <x v="21"/>
    <s v="UK_A"/>
    <x v="13"/>
    <x v="2"/>
    <s v="GNR_ST_NUCL_CND_E-33"/>
    <x v="0"/>
    <x v="1"/>
    <n v="9401"/>
    <n v="3431365"/>
    <n v="12352914"/>
  </r>
  <r>
    <x v="0"/>
    <x v="0"/>
    <x v="0"/>
    <x v="10"/>
    <x v="21"/>
    <s v="UK_A"/>
    <x v="13"/>
    <x v="2"/>
    <s v="GNR_ST_NUCL_CND_E-33"/>
    <x v="0"/>
    <x v="2"/>
    <n v="9401"/>
    <n v="3431365"/>
    <n v="12352914"/>
  </r>
  <r>
    <x v="0"/>
    <x v="0"/>
    <x v="0"/>
    <x v="10"/>
    <x v="21"/>
    <s v="UK_A"/>
    <x v="13"/>
    <x v="2"/>
    <s v="GNR_ST_NUCL_CND_E-33"/>
    <x v="0"/>
    <x v="3"/>
    <n v="9401"/>
    <n v="3431365"/>
    <n v="12352914"/>
  </r>
  <r>
    <x v="0"/>
    <x v="0"/>
    <x v="0"/>
    <x v="10"/>
    <x v="21"/>
    <s v="UK_A"/>
    <x v="13"/>
    <x v="2"/>
    <s v="GNR_ST_NUCL_CND_E-33"/>
    <x v="0"/>
    <x v="4"/>
    <n v="9401"/>
    <n v="3431365"/>
    <n v="12352914"/>
  </r>
  <r>
    <x v="0"/>
    <x v="0"/>
    <x v="0"/>
    <x v="10"/>
    <x v="21"/>
    <s v="UK_A"/>
    <x v="13"/>
    <x v="2"/>
    <s v="GNR_ST_NUCL_CND_E-33"/>
    <x v="0"/>
    <x v="5"/>
    <n v="9401"/>
    <n v="3431365"/>
    <n v="12352914"/>
  </r>
  <r>
    <x v="0"/>
    <x v="0"/>
    <x v="0"/>
    <x v="10"/>
    <x v="21"/>
    <s v="UK_A"/>
    <x v="13"/>
    <x v="2"/>
    <s v="GNR_ST_NUCL_CND_E-33"/>
    <x v="0"/>
    <x v="6"/>
    <n v="9401"/>
    <n v="3431365"/>
    <n v="12352914"/>
  </r>
  <r>
    <x v="0"/>
    <x v="0"/>
    <x v="0"/>
    <x v="10"/>
    <x v="21"/>
    <s v="UK_A"/>
    <x v="13"/>
    <x v="2"/>
    <s v="GNR_ST_NUCL_CND_E-33"/>
    <x v="0"/>
    <x v="7"/>
    <n v="9401"/>
    <n v="3431365"/>
    <n v="12352914"/>
  </r>
  <r>
    <x v="0"/>
    <x v="0"/>
    <x v="0"/>
    <x v="10"/>
    <x v="21"/>
    <s v="UK_A"/>
    <x v="13"/>
    <x v="2"/>
    <s v="GNR_ST_NUCL_CND_E-33"/>
    <x v="0"/>
    <x v="8"/>
    <n v="9401"/>
    <n v="3431365"/>
    <n v="12352914"/>
  </r>
  <r>
    <x v="0"/>
    <x v="0"/>
    <x v="0"/>
    <x v="10"/>
    <x v="21"/>
    <s v="UK_A"/>
    <x v="13"/>
    <x v="2"/>
    <s v="GNR_ST_NUCL_CND_E-33"/>
    <x v="0"/>
    <x v="9"/>
    <n v="9401"/>
    <n v="3431365"/>
    <n v="12352914"/>
  </r>
  <r>
    <x v="0"/>
    <x v="0"/>
    <x v="0"/>
    <x v="10"/>
    <x v="21"/>
    <s v="UK_A"/>
    <x v="13"/>
    <x v="2"/>
    <s v="GNR_ST_NUCL_CND_E-33"/>
    <x v="0"/>
    <x v="10"/>
    <n v="9401"/>
    <n v="3431365"/>
    <n v="12352914"/>
  </r>
  <r>
    <x v="0"/>
    <x v="0"/>
    <x v="0"/>
    <x v="10"/>
    <x v="21"/>
    <s v="UK_A"/>
    <x v="13"/>
    <x v="2"/>
    <s v="GNR_ST_NUCL_CND_E-33"/>
    <x v="0"/>
    <x v="11"/>
    <n v="9401"/>
    <n v="3431365"/>
    <n v="12352914"/>
  </r>
  <r>
    <x v="0"/>
    <x v="0"/>
    <x v="0"/>
    <x v="10"/>
    <x v="21"/>
    <s v="UK_A"/>
    <x v="13"/>
    <x v="2"/>
    <s v="GNR_ST_NUCL_CND_E-33"/>
    <x v="0"/>
    <x v="12"/>
    <n v="9401"/>
    <n v="3431365"/>
    <n v="12352914"/>
  </r>
  <r>
    <x v="0"/>
    <x v="0"/>
    <x v="0"/>
    <x v="10"/>
    <x v="21"/>
    <s v="UK_A"/>
    <x v="13"/>
    <x v="2"/>
    <s v="GNR_ST_NUCL_CND_E-33"/>
    <x v="0"/>
    <x v="13"/>
    <n v="9401"/>
    <n v="3431365"/>
    <n v="12352914"/>
  </r>
  <r>
    <x v="0"/>
    <x v="0"/>
    <x v="0"/>
    <x v="10"/>
    <x v="21"/>
    <s v="UK_A"/>
    <x v="13"/>
    <x v="2"/>
    <s v="GNR_ST_NUCL_CND_E-33"/>
    <x v="0"/>
    <x v="14"/>
    <n v="9401"/>
    <n v="3431365"/>
    <n v="12352914"/>
  </r>
  <r>
    <x v="0"/>
    <x v="0"/>
    <x v="0"/>
    <x v="10"/>
    <x v="21"/>
    <s v="UK_A"/>
    <x v="13"/>
    <x v="2"/>
    <s v="GNR_ST_NUCL_CND_E-33"/>
    <x v="0"/>
    <x v="15"/>
    <n v="9401"/>
    <n v="3431365"/>
    <n v="12352914"/>
  </r>
  <r>
    <x v="0"/>
    <x v="0"/>
    <x v="0"/>
    <x v="10"/>
    <x v="21"/>
    <s v="UK_A"/>
    <x v="13"/>
    <x v="2"/>
    <s v="GNR_ST_NUCL_CND_E-33"/>
    <x v="0"/>
    <x v="16"/>
    <n v="9401"/>
    <n v="3431365"/>
    <n v="12352914"/>
  </r>
  <r>
    <x v="0"/>
    <x v="0"/>
    <x v="0"/>
    <x v="10"/>
    <x v="21"/>
    <s v="UK_A"/>
    <x v="13"/>
    <x v="2"/>
    <s v="GNR_ST_NUCL_CND_E-33"/>
    <x v="0"/>
    <x v="17"/>
    <n v="9401"/>
    <n v="3431365"/>
    <n v="12352914"/>
  </r>
  <r>
    <x v="0"/>
    <x v="0"/>
    <x v="0"/>
    <x v="10"/>
    <x v="21"/>
    <s v="UK_A"/>
    <x v="13"/>
    <x v="2"/>
    <s v="GNR_ST_NUCL_CND_E-33"/>
    <x v="0"/>
    <x v="18"/>
    <n v="9401"/>
    <n v="3431365"/>
    <n v="12352914"/>
  </r>
  <r>
    <x v="0"/>
    <x v="0"/>
    <x v="0"/>
    <x v="10"/>
    <x v="21"/>
    <s v="UK_A"/>
    <x v="13"/>
    <x v="2"/>
    <s v="GNR_ST_NUCL_CND_E-33"/>
    <x v="0"/>
    <x v="19"/>
    <n v="9401"/>
    <n v="3431365"/>
    <n v="12352914"/>
  </r>
  <r>
    <x v="0"/>
    <x v="0"/>
    <x v="0"/>
    <x v="10"/>
    <x v="21"/>
    <s v="UK_A"/>
    <x v="13"/>
    <x v="2"/>
    <s v="GNR_ST_NUCL_CND_E-33"/>
    <x v="0"/>
    <x v="20"/>
    <n v="9401"/>
    <n v="3431365"/>
    <n v="12352914"/>
  </r>
  <r>
    <x v="0"/>
    <x v="0"/>
    <x v="0"/>
    <x v="10"/>
    <x v="21"/>
    <s v="UK_A"/>
    <x v="13"/>
    <x v="2"/>
    <s v="GNR_ST_NUCL_CND_E-33"/>
    <x v="0"/>
    <x v="21"/>
    <n v="9401"/>
    <n v="3431365"/>
    <n v="12352914"/>
  </r>
  <r>
    <x v="0"/>
    <x v="0"/>
    <x v="0"/>
    <x v="10"/>
    <x v="21"/>
    <s v="UK_A"/>
    <x v="13"/>
    <x v="2"/>
    <s v="GNR_ST_NUCL_CND_E-33"/>
    <x v="0"/>
    <x v="22"/>
    <n v="9401"/>
    <n v="3431365"/>
    <n v="12352914"/>
  </r>
  <r>
    <x v="0"/>
    <x v="0"/>
    <x v="0"/>
    <x v="10"/>
    <x v="21"/>
    <s v="UK_A"/>
    <x v="13"/>
    <x v="2"/>
    <s v="GNR_ST_NUCL_CND_E-33"/>
    <x v="0"/>
    <x v="23"/>
    <n v="9401"/>
    <n v="3431365"/>
    <n v="12352914"/>
  </r>
  <r>
    <x v="0"/>
    <x v="0"/>
    <x v="0"/>
    <x v="10"/>
    <x v="21"/>
    <s v="UK_A"/>
    <x v="5"/>
    <x v="3"/>
    <s v="GNR_PV_SUN"/>
    <x v="0"/>
    <x v="5"/>
    <n v="91.934696158323504"/>
    <n v="33556.164097788103"/>
    <n v="120802.190752037"/>
  </r>
  <r>
    <x v="0"/>
    <x v="0"/>
    <x v="0"/>
    <x v="10"/>
    <x v="21"/>
    <s v="UK_A"/>
    <x v="5"/>
    <x v="3"/>
    <s v="GNR_PV_SUN"/>
    <x v="0"/>
    <x v="6"/>
    <n v="183.86939231664701"/>
    <n v="67112.328195576294"/>
    <n v="241604.38150407499"/>
  </r>
  <r>
    <x v="0"/>
    <x v="0"/>
    <x v="0"/>
    <x v="10"/>
    <x v="21"/>
    <s v="UK_A"/>
    <x v="5"/>
    <x v="3"/>
    <s v="GNR_PV_SUN"/>
    <x v="0"/>
    <x v="7"/>
    <n v="220.643270779977"/>
    <n v="80534.793834691605"/>
    <n v="289925.25780488999"/>
  </r>
  <r>
    <x v="0"/>
    <x v="0"/>
    <x v="0"/>
    <x v="10"/>
    <x v="21"/>
    <s v="UK_A"/>
    <x v="5"/>
    <x v="3"/>
    <s v="GNR_PV_SUN"/>
    <x v="0"/>
    <x v="8"/>
    <n v="220.643270779977"/>
    <n v="80534.793834691605"/>
    <n v="289925.25780488999"/>
  </r>
  <r>
    <x v="0"/>
    <x v="0"/>
    <x v="0"/>
    <x v="10"/>
    <x v="21"/>
    <s v="UK_A"/>
    <x v="5"/>
    <x v="3"/>
    <s v="GNR_PV_SUN"/>
    <x v="0"/>
    <x v="9"/>
    <n v="937.73390081489902"/>
    <n v="342272.87379743799"/>
    <n v="1232182.3456707799"/>
  </r>
  <r>
    <x v="0"/>
    <x v="0"/>
    <x v="0"/>
    <x v="10"/>
    <x v="21"/>
    <s v="UK_A"/>
    <x v="5"/>
    <x v="3"/>
    <s v="GNR_PV_SUN"/>
    <x v="0"/>
    <x v="10"/>
    <n v="1949.0155585564601"/>
    <n v="711390.678873108"/>
    <n v="2561006.4439431899"/>
  </r>
  <r>
    <x v="0"/>
    <x v="0"/>
    <x v="0"/>
    <x v="10"/>
    <x v="21"/>
    <s v="UK_A"/>
    <x v="5"/>
    <x v="3"/>
    <s v="GNR_PV_SUN"/>
    <x v="0"/>
    <x v="11"/>
    <n v="2813.2017024447"/>
    <n v="1026818.62139232"/>
    <n v="3696547.03701234"/>
  </r>
  <r>
    <x v="0"/>
    <x v="0"/>
    <x v="0"/>
    <x v="10"/>
    <x v="21"/>
    <s v="UK_A"/>
    <x v="5"/>
    <x v="3"/>
    <s v="GNR_PV_SUN"/>
    <x v="0"/>
    <x v="12"/>
    <n v="3401.5837578579799"/>
    <n v="1241578.07161816"/>
    <n v="4469681.05782538"/>
  </r>
  <r>
    <x v="0"/>
    <x v="0"/>
    <x v="0"/>
    <x v="10"/>
    <x v="21"/>
    <s v="UK_A"/>
    <x v="5"/>
    <x v="3"/>
    <s v="GNR_PV_SUN"/>
    <x v="0"/>
    <x v="13"/>
    <n v="2868.3625201396999"/>
    <n v="1046952.31985099"/>
    <n v="3769028.35146356"/>
  </r>
  <r>
    <x v="0"/>
    <x v="0"/>
    <x v="0"/>
    <x v="10"/>
    <x v="21"/>
    <s v="UK_A"/>
    <x v="5"/>
    <x v="3"/>
    <s v="GNR_PV_SUN"/>
    <x v="0"/>
    <x v="14"/>
    <n v="1930.6286193248"/>
    <n v="704679.44605355104"/>
    <n v="2536846.0057927798"/>
  </r>
  <r>
    <x v="0"/>
    <x v="0"/>
    <x v="0"/>
    <x v="10"/>
    <x v="21"/>
    <s v="UK_A"/>
    <x v="5"/>
    <x v="3"/>
    <s v="GNR_PV_SUN"/>
    <x v="0"/>
    <x v="15"/>
    <n v="900.96002235157005"/>
    <n v="328850.40815832303"/>
    <n v="1183861.46936996"/>
  </r>
  <r>
    <x v="0"/>
    <x v="0"/>
    <x v="0"/>
    <x v="10"/>
    <x v="21"/>
    <s v="UK_A"/>
    <x v="5"/>
    <x v="3"/>
    <s v="GNR_PV_SUN"/>
    <x v="0"/>
    <x v="16"/>
    <n v="183.86939231664701"/>
    <n v="67112.328195576294"/>
    <n v="241604.38150407499"/>
  </r>
  <r>
    <x v="0"/>
    <x v="0"/>
    <x v="0"/>
    <x v="10"/>
    <x v="21"/>
    <s v="UK_A"/>
    <x v="5"/>
    <x v="3"/>
    <s v="GNR_PV_SUN"/>
    <x v="0"/>
    <x v="17"/>
    <n v="36.773878463329403"/>
    <n v="13422.4656391152"/>
    <n v="48320.876300814904"/>
  </r>
  <r>
    <x v="0"/>
    <x v="0"/>
    <x v="0"/>
    <x v="10"/>
    <x v="21"/>
    <s v="UK_A"/>
    <x v="5"/>
    <x v="3"/>
    <s v="GNR_PV_SUN"/>
    <x v="0"/>
    <x v="18"/>
    <n v="36.773878463329403"/>
    <n v="13422.4656391152"/>
    <n v="48320.876300814904"/>
  </r>
  <r>
    <x v="0"/>
    <x v="0"/>
    <x v="0"/>
    <x v="10"/>
    <x v="21"/>
    <s v="UK_A"/>
    <x v="5"/>
    <x v="3"/>
    <s v="GNR_PV_SUN"/>
    <x v="0"/>
    <x v="19"/>
    <n v="18.386939231664702"/>
    <n v="6711.2328195576301"/>
    <n v="24160.438150407499"/>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2"/>
    <n v="602.97643832497397"/>
    <n v="220086.39998861501"/>
    <n v="792311.03995901602"/>
  </r>
  <r>
    <x v="0"/>
    <x v="0"/>
    <x v="0"/>
    <x v="10"/>
    <x v="21"/>
    <s v="UK_A"/>
    <x v="6"/>
    <x v="4"/>
    <s v="GNR_ROR_WTR"/>
    <x v="0"/>
    <x v="3"/>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8"/>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0"/>
    <n v="3871.3346559148999"/>
    <n v="1413037.14940894"/>
    <n v="5086933.7378721898"/>
  </r>
  <r>
    <x v="0"/>
    <x v="0"/>
    <x v="0"/>
    <x v="10"/>
    <x v="21"/>
    <s v="UK_A"/>
    <x v="7"/>
    <x v="5"/>
    <s v="GNR_WT_WIND_ONS"/>
    <x v="0"/>
    <x v="1"/>
    <n v="4037.88959422784"/>
    <n v="1473829.7018931599"/>
    <n v="5305786.9268153803"/>
  </r>
  <r>
    <x v="0"/>
    <x v="0"/>
    <x v="0"/>
    <x v="10"/>
    <x v="21"/>
    <s v="UK_A"/>
    <x v="7"/>
    <x v="5"/>
    <s v="GNR_WT_WIND_ONS"/>
    <x v="0"/>
    <x v="2"/>
    <n v="4217.25645087255"/>
    <n v="1539298.60456848"/>
    <n v="5541474.9764465299"/>
  </r>
  <r>
    <x v="0"/>
    <x v="0"/>
    <x v="0"/>
    <x v="10"/>
    <x v="21"/>
    <s v="UK_A"/>
    <x v="7"/>
    <x v="5"/>
    <s v="GNR_WT_WIND_ONS"/>
    <x v="0"/>
    <x v="3"/>
    <n v="4407.2999061270702"/>
    <n v="1608664.4657363801"/>
    <n v="5791192.0766509697"/>
  </r>
  <r>
    <x v="0"/>
    <x v="0"/>
    <x v="0"/>
    <x v="10"/>
    <x v="21"/>
    <s v="UK_A"/>
    <x v="7"/>
    <x v="5"/>
    <s v="GNR_WT_WIND_ONS"/>
    <x v="0"/>
    <x v="4"/>
    <n v="4447.87098084432"/>
    <n v="1623472.9080081801"/>
    <n v="5844502.46882944"/>
  </r>
  <r>
    <x v="0"/>
    <x v="0"/>
    <x v="0"/>
    <x v="10"/>
    <x v="21"/>
    <s v="UK_A"/>
    <x v="7"/>
    <x v="5"/>
    <s v="GNR_WT_WIND_ONS"/>
    <x v="0"/>
    <x v="5"/>
    <n v="4407.2999061270702"/>
    <n v="1608664.4657363801"/>
    <n v="5791192.0766509697"/>
  </r>
  <r>
    <x v="0"/>
    <x v="0"/>
    <x v="0"/>
    <x v="10"/>
    <x v="21"/>
    <s v="UK_A"/>
    <x v="7"/>
    <x v="5"/>
    <s v="GNR_WT_WIND_ONS"/>
    <x v="0"/>
    <x v="6"/>
    <n v="4452.1416202882301"/>
    <n v="1625031.6914052099"/>
    <n v="5850114.0890587401"/>
  </r>
  <r>
    <x v="0"/>
    <x v="0"/>
    <x v="0"/>
    <x v="10"/>
    <x v="21"/>
    <s v="UK_A"/>
    <x v="7"/>
    <x v="5"/>
    <s v="GNR_WT_WIND_ONS"/>
    <x v="0"/>
    <x v="7"/>
    <n v="4573.8548444400003"/>
    <n v="1669457.0182206"/>
    <n v="6010045.2655941704"/>
  </r>
  <r>
    <x v="0"/>
    <x v="0"/>
    <x v="0"/>
    <x v="10"/>
    <x v="21"/>
    <s v="UK_A"/>
    <x v="7"/>
    <x v="5"/>
    <s v="GNR_WT_WIND_ONS"/>
    <x v="0"/>
    <x v="8"/>
    <n v="4699.8387080356897"/>
    <n v="1715441.1284330301"/>
    <n v="6175588.0623589"/>
  </r>
  <r>
    <x v="0"/>
    <x v="0"/>
    <x v="0"/>
    <x v="10"/>
    <x v="21"/>
    <s v="UK_A"/>
    <x v="7"/>
    <x v="5"/>
    <s v="GNR_WT_WIND_ONS"/>
    <x v="0"/>
    <x v="9"/>
    <n v="4509.7952527811904"/>
    <n v="1646075.2672651301"/>
    <n v="5925870.9621544797"/>
  </r>
  <r>
    <x v="0"/>
    <x v="0"/>
    <x v="0"/>
    <x v="10"/>
    <x v="21"/>
    <s v="UK_A"/>
    <x v="7"/>
    <x v="5"/>
    <s v="GNR_WT_WIND_ONS"/>
    <x v="0"/>
    <x v="10"/>
    <n v="4020.80703645216"/>
    <n v="1467594.56830504"/>
    <n v="5283340.4458981398"/>
  </r>
  <r>
    <x v="0"/>
    <x v="0"/>
    <x v="0"/>
    <x v="10"/>
    <x v="21"/>
    <s v="UK_A"/>
    <x v="7"/>
    <x v="5"/>
    <s v="GNR_WT_WIND_ONS"/>
    <x v="0"/>
    <x v="11"/>
    <n v="3649.2614048309802"/>
    <n v="1331980.4127633099"/>
    <n v="4795129.4859479098"/>
  </r>
  <r>
    <x v="0"/>
    <x v="0"/>
    <x v="0"/>
    <x v="10"/>
    <x v="21"/>
    <s v="UK_A"/>
    <x v="7"/>
    <x v="5"/>
    <s v="GNR_WT_WIND_ONS"/>
    <x v="0"/>
    <x v="12"/>
    <n v="3604.4196906698198"/>
    <n v="1315613.18709448"/>
    <n v="4736207.4735401403"/>
  </r>
  <r>
    <x v="0"/>
    <x v="0"/>
    <x v="0"/>
    <x v="10"/>
    <x v="21"/>
    <s v="UK_A"/>
    <x v="7"/>
    <x v="5"/>
    <s v="GNR_WT_WIND_ONS"/>
    <x v="0"/>
    <x v="13"/>
    <n v="3333.2340859808"/>
    <n v="1216630.44138299"/>
    <n v="4379869.5889787599"/>
  </r>
  <r>
    <x v="0"/>
    <x v="0"/>
    <x v="0"/>
    <x v="10"/>
    <x v="21"/>
    <s v="UK_A"/>
    <x v="7"/>
    <x v="5"/>
    <s v="GNR_WT_WIND_ONS"/>
    <x v="0"/>
    <x v="14"/>
    <n v="2498.3240746941201"/>
    <n v="911888.28726335499"/>
    <n v="3282797.8341480801"/>
  </r>
  <r>
    <x v="0"/>
    <x v="0"/>
    <x v="0"/>
    <x v="10"/>
    <x v="21"/>
    <s v="UK_A"/>
    <x v="7"/>
    <x v="5"/>
    <s v="GNR_WT_WIND_ONS"/>
    <x v="0"/>
    <x v="15"/>
    <n v="1864.13411727177"/>
    <n v="680408.952804195"/>
    <n v="2449472.2300951001"/>
  </r>
  <r>
    <x v="0"/>
    <x v="0"/>
    <x v="0"/>
    <x v="10"/>
    <x v="21"/>
    <s v="UK_A"/>
    <x v="7"/>
    <x v="5"/>
    <s v="GNR_WT_WIND_ONS"/>
    <x v="0"/>
    <x v="16"/>
    <n v="1422.1229348258801"/>
    <n v="519074.87121144799"/>
    <n v="1868669.53636121"/>
  </r>
  <r>
    <x v="0"/>
    <x v="0"/>
    <x v="0"/>
    <x v="10"/>
    <x v="21"/>
    <s v="UK_A"/>
    <x v="7"/>
    <x v="5"/>
    <s v="GNR_WT_WIND_ONS"/>
    <x v="0"/>
    <x v="17"/>
    <n v="1140.26073152706"/>
    <n v="416195.16700737702"/>
    <n v="1498302.6012265601"/>
  </r>
  <r>
    <x v="0"/>
    <x v="0"/>
    <x v="0"/>
    <x v="10"/>
    <x v="21"/>
    <s v="UK_A"/>
    <x v="7"/>
    <x v="5"/>
    <s v="GNR_WT_WIND_ONS"/>
    <x v="0"/>
    <x v="18"/>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0"/>
    <n v="2148.8929378575799"/>
    <n v="784345.92231801595"/>
    <n v="2823645.3203448602"/>
  </r>
  <r>
    <x v="0"/>
    <x v="0"/>
    <x v="0"/>
    <x v="10"/>
    <x v="21"/>
    <s v="UK_Offshore"/>
    <x v="7"/>
    <x v="5"/>
    <s v="GNR_WT_WIND_OFF"/>
    <x v="0"/>
    <x v="1"/>
    <n v="2241.3439302198999"/>
    <n v="818090.534530262"/>
    <n v="2945125.9243089398"/>
  </r>
  <r>
    <x v="0"/>
    <x v="0"/>
    <x v="0"/>
    <x v="10"/>
    <x v="21"/>
    <s v="UK_Offshore"/>
    <x v="7"/>
    <x v="5"/>
    <s v="GNR_WT_WIND_OFF"/>
    <x v="0"/>
    <x v="2"/>
    <n v="2340.9065373793201"/>
    <n v="854430.88614345202"/>
    <n v="3075951.1901164302"/>
  </r>
  <r>
    <x v="0"/>
    <x v="0"/>
    <x v="0"/>
    <x v="10"/>
    <x v="21"/>
    <s v="UK_Offshore"/>
    <x v="7"/>
    <x v="5"/>
    <s v="GNR_WT_WIND_OFF"/>
    <x v="0"/>
    <x v="3"/>
    <n v="2446.395490203"/>
    <n v="892934.35392409598"/>
    <n v="3214563.6741267499"/>
  </r>
  <r>
    <x v="0"/>
    <x v="0"/>
    <x v="0"/>
    <x v="10"/>
    <x v="21"/>
    <s v="UK_Offshore"/>
    <x v="7"/>
    <x v="5"/>
    <s v="GNR_WT_WIND_OFF"/>
    <x v="0"/>
    <x v="4"/>
    <n v="2468.91560372716"/>
    <n v="901154.19536041201"/>
    <n v="3244155.1032974799"/>
  </r>
  <r>
    <x v="0"/>
    <x v="0"/>
    <x v="0"/>
    <x v="10"/>
    <x v="21"/>
    <s v="UK_Offshore"/>
    <x v="7"/>
    <x v="5"/>
    <s v="GNR_WT_WIND_OFF"/>
    <x v="0"/>
    <x v="5"/>
    <n v="2446.395490203"/>
    <n v="892934.35392409598"/>
    <n v="3214563.6741267499"/>
  </r>
  <r>
    <x v="0"/>
    <x v="0"/>
    <x v="0"/>
    <x v="10"/>
    <x v="21"/>
    <s v="UK_Offshore"/>
    <x v="7"/>
    <x v="5"/>
    <s v="GNR_WT_WIND_OFF"/>
    <x v="0"/>
    <x v="6"/>
    <n v="2471.2861419928499"/>
    <n v="902019.44182739197"/>
    <n v="3247269.99057861"/>
  </r>
  <r>
    <x v="0"/>
    <x v="0"/>
    <x v="0"/>
    <x v="10"/>
    <x v="21"/>
    <s v="UK_Offshore"/>
    <x v="7"/>
    <x v="5"/>
    <s v="GNR_WT_WIND_OFF"/>
    <x v="0"/>
    <x v="7"/>
    <n v="2538.84648256532"/>
    <n v="926678.96613634296"/>
    <n v="3336044.27809083"/>
  </r>
  <r>
    <x v="0"/>
    <x v="0"/>
    <x v="0"/>
    <x v="10"/>
    <x v="21"/>
    <s v="UK_Offshore"/>
    <x v="7"/>
    <x v="5"/>
    <s v="GNR_WT_WIND_OFF"/>
    <x v="0"/>
    <x v="8"/>
    <n v="2608.77736140349"/>
    <n v="952203.73691227403"/>
    <n v="3427933.4528841898"/>
  </r>
  <r>
    <x v="0"/>
    <x v="0"/>
    <x v="0"/>
    <x v="10"/>
    <x v="21"/>
    <s v="UK_Offshore"/>
    <x v="7"/>
    <x v="5"/>
    <s v="GNR_WT_WIND_OFF"/>
    <x v="0"/>
    <x v="9"/>
    <n v="2503.28840857982"/>
    <n v="913700.26913163404"/>
    <n v="3289320.9688738799"/>
  </r>
  <r>
    <x v="0"/>
    <x v="0"/>
    <x v="0"/>
    <x v="10"/>
    <x v="21"/>
    <s v="UK_Offshore"/>
    <x v="7"/>
    <x v="5"/>
    <s v="GNR_WT_WIND_OFF"/>
    <x v="0"/>
    <x v="10"/>
    <n v="2231.8617771570998"/>
    <n v="814629.54866234004"/>
    <n v="2932666.37518442"/>
  </r>
  <r>
    <x v="0"/>
    <x v="0"/>
    <x v="0"/>
    <x v="10"/>
    <x v="21"/>
    <s v="UK_Offshore"/>
    <x v="7"/>
    <x v="5"/>
    <s v="GNR_WT_WIND_OFF"/>
    <x v="0"/>
    <x v="11"/>
    <n v="2025.62494804115"/>
    <n v="739353.10603501904"/>
    <n v="2661671.1817260701"/>
  </r>
  <r>
    <x v="0"/>
    <x v="0"/>
    <x v="0"/>
    <x v="10"/>
    <x v="21"/>
    <s v="UK_Offshore"/>
    <x v="7"/>
    <x v="5"/>
    <s v="GNR_WT_WIND_OFF"/>
    <x v="0"/>
    <x v="12"/>
    <n v="2000.7342962513001"/>
    <n v="730268.01813172305"/>
    <n v="2628964.8652742002"/>
  </r>
  <r>
    <x v="0"/>
    <x v="0"/>
    <x v="0"/>
    <x v="10"/>
    <x v="21"/>
    <s v="UK_Offshore"/>
    <x v="7"/>
    <x v="5"/>
    <s v="GNR_WT_WIND_OFF"/>
    <x v="0"/>
    <x v="13"/>
    <n v="1850.2051163793101"/>
    <n v="675324.86747844703"/>
    <n v="2431169.5229224102"/>
  </r>
  <r>
    <x v="0"/>
    <x v="0"/>
    <x v="0"/>
    <x v="10"/>
    <x v="21"/>
    <s v="UK_Offshore"/>
    <x v="7"/>
    <x v="5"/>
    <s v="GNR_WT_WIND_OFF"/>
    <x v="0"/>
    <x v="14"/>
    <n v="1386.7648854348399"/>
    <n v="506169.18318371801"/>
    <n v="1822209.0594613799"/>
  </r>
  <r>
    <x v="0"/>
    <x v="0"/>
    <x v="0"/>
    <x v="10"/>
    <x v="21"/>
    <s v="UK_Offshore"/>
    <x v="7"/>
    <x v="5"/>
    <s v="GNR_WT_WIND_OFF"/>
    <x v="0"/>
    <x v="15"/>
    <n v="1034.7399529782999"/>
    <n v="377680.08283708099"/>
    <n v="1359648.2982134901"/>
  </r>
  <r>
    <x v="0"/>
    <x v="0"/>
    <x v="0"/>
    <x v="10"/>
    <x v="21"/>
    <s v="UK_Offshore"/>
    <x v="7"/>
    <x v="5"/>
    <s v="GNR_WT_WIND_OFF"/>
    <x v="0"/>
    <x v="16"/>
    <n v="789.38924247829402"/>
    <n v="288127.07350457698"/>
    <n v="1037257.4646164801"/>
  </r>
  <r>
    <x v="0"/>
    <x v="0"/>
    <x v="0"/>
    <x v="10"/>
    <x v="21"/>
    <s v="UK_Offshore"/>
    <x v="7"/>
    <x v="5"/>
    <s v="GNR_WT_WIND_OFF"/>
    <x v="0"/>
    <x v="17"/>
    <n v="632.93371694205598"/>
    <n v="231020.806683851"/>
    <n v="831674.90406186203"/>
  </r>
  <r>
    <x v="0"/>
    <x v="0"/>
    <x v="0"/>
    <x v="10"/>
    <x v="21"/>
    <s v="UK_Offshore"/>
    <x v="7"/>
    <x v="5"/>
    <s v="GNR_WT_WIND_OFF"/>
    <x v="0"/>
    <x v="18"/>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pivotCacheRecords>
</file>

<file path=xl/pivotCache/pivotCacheRecords15.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16.xml><?xml version="1.0" encoding="utf-8"?>
<pivotCacheRecords xmlns="http://schemas.openxmlformats.org/spreadsheetml/2006/main" xmlns:r="http://schemas.openxmlformats.org/officeDocument/2006/relationships" count="553">
  <r>
    <x v="0"/>
    <x v="0"/>
    <x v="0"/>
    <x v="0"/>
    <x v="0"/>
    <s v="DK1_Large"/>
    <x v="0"/>
    <s v="GNR_BO_BGAS_E-90"/>
    <n v="3.6792000000000001E-3"/>
    <n v="1.3245120000000001E-2"/>
  </r>
  <r>
    <x v="0"/>
    <x v="0"/>
    <x v="0"/>
    <x v="0"/>
    <x v="0"/>
    <s v="DK1_Large"/>
    <x v="0"/>
    <s v="GNR_BO_BGAS_E-95"/>
    <n v="8.6677894736842103E-3"/>
    <n v="3.1204042105263199E-2"/>
  </r>
  <r>
    <x v="0"/>
    <x v="0"/>
    <x v="0"/>
    <x v="0"/>
    <x v="0"/>
    <s v="DK1_Large"/>
    <x v="0"/>
    <s v="GNR_ENG_BGAS_BP_E-31"/>
    <n v="7.0645161290322604E-3"/>
    <n v="2.54322580645161E-2"/>
  </r>
  <r>
    <x v="0"/>
    <x v="0"/>
    <x v="0"/>
    <x v="0"/>
    <x v="0"/>
    <s v="DK1_Large"/>
    <x v="0"/>
    <s v="GNR_ENG_BGAS_BP_E-36"/>
    <n v="1.9709999999999998E-2"/>
    <n v="7.0956000000000005E-2"/>
  </r>
  <r>
    <x v="0"/>
    <x v="0"/>
    <x v="0"/>
    <x v="0"/>
    <x v="0"/>
    <s v="DK1_Large"/>
    <x v="0"/>
    <s v="GNR_ENG_BGAS_BP_E-37"/>
    <n v="2.74637837837838E-2"/>
    <n v="9.8869621621621606E-2"/>
  </r>
  <r>
    <x v="0"/>
    <x v="0"/>
    <x v="0"/>
    <x v="0"/>
    <x v="0"/>
    <s v="DK1_Large"/>
    <x v="0"/>
    <s v="GNR_ENG_BGAS_BP_E-39"/>
    <n v="9.2429230769230805E-2"/>
    <n v="0.33274523076923102"/>
  </r>
  <r>
    <x v="0"/>
    <x v="0"/>
    <x v="0"/>
    <x v="0"/>
    <x v="0"/>
    <s v="DK1_Large"/>
    <x v="0"/>
    <s v="GNR_ENG_BGAS_BP_E-40"/>
    <n v="2.7221700000000001E-2"/>
    <n v="9.7998119999999897E-2"/>
  </r>
  <r>
    <x v="0"/>
    <x v="0"/>
    <x v="0"/>
    <x v="0"/>
    <x v="0"/>
    <s v="DK1_Large"/>
    <x v="0"/>
    <s v="GNR_ENG_BGAS_BP_E-41"/>
    <n v="5.7196390243902502E-2"/>
    <n v="0.205907004878049"/>
  </r>
  <r>
    <x v="0"/>
    <x v="0"/>
    <x v="0"/>
    <x v="0"/>
    <x v="0"/>
    <s v="DK1_Large"/>
    <x v="0"/>
    <s v="GNR_ENG_BGAS_BP_E-42"/>
    <n v="6.2633999999999995E-2"/>
    <n v="0.2254824"/>
  </r>
  <r>
    <x v="0"/>
    <x v="0"/>
    <x v="0"/>
    <x v="0"/>
    <x v="0"/>
    <s v="DK1_Large"/>
    <x v="0"/>
    <s v="GNR_ENG_BGAS_BP_E-43"/>
    <n v="6.2073767441860501E-2"/>
    <n v="0.22346556279069801"/>
  </r>
  <r>
    <x v="0"/>
    <x v="0"/>
    <x v="0"/>
    <x v="0"/>
    <x v="0"/>
    <s v="DK1_Large"/>
    <x v="1"/>
    <s v="GNR_BO_BIOIL_E-79"/>
    <n v="6.0987341772151898E-2"/>
    <n v="0.21955443037974701"/>
  </r>
  <r>
    <x v="0"/>
    <x v="0"/>
    <x v="0"/>
    <x v="0"/>
    <x v="0"/>
    <s v="DK1_Large"/>
    <x v="1"/>
    <s v="GNR_BO_BIOIL_E-85"/>
    <n v="1.13261647058824"/>
    <n v="4.0774192941176501"/>
  </r>
  <r>
    <x v="0"/>
    <x v="0"/>
    <x v="0"/>
    <x v="0"/>
    <x v="0"/>
    <s v="DK1_Large"/>
    <x v="1"/>
    <s v="GNR_BO_BIOIL_E-93"/>
    <n v="0.218529032258065"/>
    <n v="0.78670451612903203"/>
  </r>
  <r>
    <x v="0"/>
    <x v="0"/>
    <x v="0"/>
    <x v="0"/>
    <x v="0"/>
    <s v="DK1_Large"/>
    <x v="1"/>
    <s v="GNR_BO_BIOIL_E-94"/>
    <n v="0.93191489361702096"/>
    <n v="3.35489361702128"/>
  </r>
  <r>
    <x v="0"/>
    <x v="0"/>
    <x v="0"/>
    <x v="0"/>
    <x v="0"/>
    <s v="DK1_Large"/>
    <x v="2"/>
    <s v="GNR_BO_MSW_E-105"/>
    <n v="0.31702857142857099"/>
    <n v="1.1413028571428601"/>
  </r>
  <r>
    <x v="0"/>
    <x v="0"/>
    <x v="0"/>
    <x v="0"/>
    <x v="0"/>
    <s v="DK1_Large"/>
    <x v="2"/>
    <s v="GNR_ST_MSW_BP_E-18"/>
    <n v="0.13869999999999999"/>
    <n v="0.49932000000000099"/>
  </r>
  <r>
    <x v="0"/>
    <x v="0"/>
    <x v="0"/>
    <x v="0"/>
    <x v="0"/>
    <s v="DK1_Large"/>
    <x v="2"/>
    <s v="GNR_ST_MSW_BP_E-19"/>
    <n v="0.41494736842105301"/>
    <n v="1.4938105263157899"/>
  </r>
  <r>
    <x v="0"/>
    <x v="0"/>
    <x v="0"/>
    <x v="0"/>
    <x v="0"/>
    <s v="DK1_Large"/>
    <x v="2"/>
    <s v="GNR_ST_MSW_BP_E-22"/>
    <n v="1.2343636363636401"/>
    <n v="4.4437090909090999"/>
  </r>
  <r>
    <x v="0"/>
    <x v="0"/>
    <x v="0"/>
    <x v="0"/>
    <x v="0"/>
    <s v="DK1_Large"/>
    <x v="2"/>
    <s v="GNR_ST_MSW_BP_E-23"/>
    <n v="1.37341565217391"/>
    <n v="4.9442963478260902"/>
  </r>
  <r>
    <x v="0"/>
    <x v="0"/>
    <x v="0"/>
    <x v="0"/>
    <x v="0"/>
    <s v="DK1_Large"/>
    <x v="2"/>
    <s v="GNR_ST_MSW_BP_E-27"/>
    <n v="0.58075555555555702"/>
    <n v="2.0907200000000099"/>
  </r>
  <r>
    <x v="0"/>
    <x v="0"/>
    <x v="0"/>
    <x v="0"/>
    <x v="0"/>
    <s v="DK1_Large"/>
    <x v="3"/>
    <s v="GNR_ENG_NGAS_BP_E-40"/>
    <n v="0.11409900000000001"/>
    <n v="0.41075640000000002"/>
  </r>
  <r>
    <x v="0"/>
    <x v="0"/>
    <x v="0"/>
    <x v="0"/>
    <x v="0"/>
    <s v="DK1_Large"/>
    <x v="3"/>
    <s v="GNR_ENG_NGAS_BP_E-41"/>
    <n v="8.1190243902439105E-2"/>
    <n v="0.292284878048781"/>
  </r>
  <r>
    <x v="0"/>
    <x v="0"/>
    <x v="0"/>
    <x v="0"/>
    <x v="0"/>
    <s v="DK1_Large"/>
    <x v="3"/>
    <s v="GNR_ENG_NGAS_BP_E-42"/>
    <n v="4.7137142857142801E-2"/>
    <n v="0.169693714285714"/>
  </r>
  <r>
    <x v="0"/>
    <x v="0"/>
    <x v="0"/>
    <x v="0"/>
    <x v="0"/>
    <s v="DK1_Large"/>
    <x v="3"/>
    <s v="GNR_ENG_NGAS_BP_E-43"/>
    <n v="0.18314511627907001"/>
    <n v="0.65932241860465102"/>
  </r>
  <r>
    <x v="0"/>
    <x v="0"/>
    <x v="0"/>
    <x v="0"/>
    <x v="0"/>
    <s v="DK1_Large"/>
    <x v="3"/>
    <s v="GNR_ENG_NGAS_BP_E-44"/>
    <n v="6.2514545454545406E-2"/>
    <n v="0.22505236363636399"/>
  </r>
  <r>
    <x v="0"/>
    <x v="0"/>
    <x v="0"/>
    <x v="0"/>
    <x v="0"/>
    <s v="DK1_Large"/>
    <x v="3"/>
    <s v="GNR_ENG_NGAS_BP_E-46"/>
    <n v="5.56069565217392E-2"/>
    <n v="0.20018504347826099"/>
  </r>
  <r>
    <x v="0"/>
    <x v="0"/>
    <x v="0"/>
    <x v="0"/>
    <x v="0"/>
    <s v="DK1_Large"/>
    <x v="3"/>
    <s v="GNR_ST_NGAS_EXT_E-47"/>
    <n v="0.68507572188223498"/>
    <n v="2.4662725987760399"/>
  </r>
  <r>
    <x v="0"/>
    <x v="0"/>
    <x v="0"/>
    <x v="0"/>
    <x v="0"/>
    <s v="DK1_Large"/>
    <x v="4"/>
    <s v="GNR_BO_STRW_E-100"/>
    <n v="9.4432799999999997E-2"/>
    <n v="0.33995808"/>
  </r>
  <r>
    <x v="0"/>
    <x v="0"/>
    <x v="0"/>
    <x v="0"/>
    <x v="0"/>
    <s v="DK1_Large"/>
    <x v="4"/>
    <s v="GNR_BO_STRW_E-102"/>
    <n v="5.4105882352941101E-2"/>
    <n v="0.19478117647058801"/>
  </r>
  <r>
    <x v="0"/>
    <x v="0"/>
    <x v="0"/>
    <x v="0"/>
    <x v="0"/>
    <s v="DK1_Large"/>
    <x v="4"/>
    <s v="GNR_ST_STRW_BP_E-26"/>
    <n v="1.0444615384615401"/>
    <n v="3.7600615384615401"/>
  </r>
  <r>
    <x v="0"/>
    <x v="0"/>
    <x v="0"/>
    <x v="0"/>
    <x v="0"/>
    <s v="DK1_Large"/>
    <x v="5"/>
    <s v="GNR_EH_HEAT"/>
    <n v="1.5254664"/>
    <n v="5.4916790400000002"/>
  </r>
  <r>
    <x v="0"/>
    <x v="0"/>
    <x v="0"/>
    <x v="0"/>
    <x v="0"/>
    <s v="DK1_Large"/>
    <x v="6"/>
    <s v="GNR_BO_WOODCHI_E-100"/>
    <n v="0.17519999999999999"/>
    <n v="0.63071999999999995"/>
  </r>
  <r>
    <x v="0"/>
    <x v="0"/>
    <x v="0"/>
    <x v="0"/>
    <x v="0"/>
    <s v="DK1_Large"/>
    <x v="6"/>
    <s v="GNR_ST_WOODCHI_BP_E-23"/>
    <n v="0.28565217391304398"/>
    <n v="1.0283478260869601"/>
  </r>
  <r>
    <x v="0"/>
    <x v="0"/>
    <x v="0"/>
    <x v="0"/>
    <x v="0"/>
    <s v="DK1_Large"/>
    <x v="7"/>
    <s v="GNR_BO_WOODPEL_E-100"/>
    <n v="0.11693724"/>
    <n v="0.42097406399999998"/>
  </r>
  <r>
    <x v="0"/>
    <x v="0"/>
    <x v="0"/>
    <x v="0"/>
    <x v="0"/>
    <s v="DK1_Large"/>
    <x v="7"/>
    <s v="GNR_BO_WOODPEL_E-102"/>
    <n v="1.5458823529411801E-2"/>
    <n v="5.5651764705882303E-2"/>
  </r>
  <r>
    <x v="0"/>
    <x v="0"/>
    <x v="0"/>
    <x v="0"/>
    <x v="0"/>
    <s v="DK1_MedSmall"/>
    <x v="0"/>
    <s v="GNR_BO_BGAS_E-100"/>
    <n v="5.1684000000000001E-3"/>
    <n v="1.860624E-2"/>
  </r>
  <r>
    <x v="0"/>
    <x v="0"/>
    <x v="0"/>
    <x v="0"/>
    <x v="0"/>
    <s v="DK1_MedSmall"/>
    <x v="0"/>
    <s v="GNR_BO_BGAS_E-95"/>
    <n v="2.6894736842105302E-3"/>
    <n v="9.6821052631578895E-3"/>
  </r>
  <r>
    <x v="0"/>
    <x v="0"/>
    <x v="0"/>
    <x v="0"/>
    <x v="0"/>
    <s v="DK1_MedSmall"/>
    <x v="0"/>
    <s v="GNR_ENG_BGAS_BP_E-33"/>
    <n v="4.5127272727272698E-3"/>
    <n v="1.6245818181818202E-2"/>
  </r>
  <r>
    <x v="0"/>
    <x v="0"/>
    <x v="0"/>
    <x v="0"/>
    <x v="0"/>
    <s v="DK1_MedSmall"/>
    <x v="0"/>
    <s v="GNR_ENG_BGAS_BP_E-38"/>
    <n v="3.9189473684210496E-3"/>
    <n v="1.4108210526315799E-2"/>
  </r>
  <r>
    <x v="0"/>
    <x v="0"/>
    <x v="0"/>
    <x v="0"/>
    <x v="0"/>
    <s v="DK1_MedSmall"/>
    <x v="1"/>
    <s v="GNR_BO_BIOIL_E-113"/>
    <n v="0.13444721523306899"/>
    <n v="0.48400997483904801"/>
  </r>
  <r>
    <x v="0"/>
    <x v="0"/>
    <x v="0"/>
    <x v="0"/>
    <x v="0"/>
    <s v="DK1_MedSmall"/>
    <x v="2"/>
    <s v="GNR_BO_MSW_E-100"/>
    <n v="5.6939999999999998E-2"/>
    <n v="0.204984"/>
  </r>
  <r>
    <x v="0"/>
    <x v="0"/>
    <x v="0"/>
    <x v="0"/>
    <x v="0"/>
    <s v="DK1_MedSmall"/>
    <x v="2"/>
    <s v="GNR_ST_MSW_BP_E-17"/>
    <n v="0.123670588235294"/>
    <n v="0.44521411764705898"/>
  </r>
  <r>
    <x v="0"/>
    <x v="0"/>
    <x v="0"/>
    <x v="0"/>
    <x v="0"/>
    <s v="DK1_MedSmall"/>
    <x v="2"/>
    <s v="GNR_ST_MSW_BP_E-20"/>
    <n v="0.14454"/>
    <n v="0.52034400000000003"/>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4"/>
    <s v="GNR_BO_STRW_E-102"/>
    <n v="9.2151764705882294E-2"/>
    <n v="0.33174635294117599"/>
  </r>
  <r>
    <x v="0"/>
    <x v="0"/>
    <x v="0"/>
    <x v="0"/>
    <x v="0"/>
    <s v="DK1_MedSmall"/>
    <x v="4"/>
    <s v="GNR_ST_STRW_BP_E-21"/>
    <n v="0.73"/>
    <n v="2.6280000000000001"/>
  </r>
  <r>
    <x v="0"/>
    <x v="0"/>
    <x v="0"/>
    <x v="0"/>
    <x v="0"/>
    <s v="DK1_MedSmall"/>
    <x v="5"/>
    <s v="GNR_EH_HEAT"/>
    <n v="0.1095"/>
    <n v="0.39419999999999999"/>
  </r>
  <r>
    <x v="0"/>
    <x v="0"/>
    <x v="0"/>
    <x v="0"/>
    <x v="0"/>
    <s v="DK1_MedSmall"/>
    <x v="5"/>
    <s v="GNR_GEO_HEAT_HO"/>
    <n v="7.2707999999999995E-2"/>
    <n v="0.2617488"/>
  </r>
  <r>
    <x v="0"/>
    <x v="0"/>
    <x v="0"/>
    <x v="0"/>
    <x v="0"/>
    <s v="DK1_MedSmall"/>
    <x v="6"/>
    <s v="GNR_BO_WOODCHI_E-100"/>
    <n v="1.8395999999999999E-2"/>
    <n v="6.6225599999999996E-2"/>
  </r>
  <r>
    <x v="0"/>
    <x v="0"/>
    <x v="0"/>
    <x v="0"/>
    <x v="0"/>
    <s v="DK1_MedSmall"/>
    <x v="6"/>
    <s v="GNR_BO_WOODCHI_E-110"/>
    <n v="0.13538181818181799"/>
    <n v="0.48737454545454501"/>
  </r>
  <r>
    <x v="0"/>
    <x v="0"/>
    <x v="0"/>
    <x v="0"/>
    <x v="0"/>
    <s v="DK1_MedSmall"/>
    <x v="7"/>
    <s v="GNR_BO_WOODPEL_E-100"/>
    <n v="3.5040000000000002E-2"/>
    <n v="0.12614400000000001"/>
  </r>
  <r>
    <x v="0"/>
    <x v="0"/>
    <x v="0"/>
    <x v="0"/>
    <x v="0"/>
    <s v="DK1_Medium"/>
    <x v="0"/>
    <s v="GNR_ENG_BGAS_BP_E-32"/>
    <n v="7.93875000000001E-3"/>
    <n v="2.8579500000000001E-2"/>
  </r>
  <r>
    <x v="0"/>
    <x v="0"/>
    <x v="0"/>
    <x v="0"/>
    <x v="0"/>
    <s v="DK1_Medium"/>
    <x v="0"/>
    <s v="GNR_ENG_BGAS_BP_E-34"/>
    <n v="1.6489411764705902E-2"/>
    <n v="5.9361882352941202E-2"/>
  </r>
  <r>
    <x v="0"/>
    <x v="0"/>
    <x v="0"/>
    <x v="0"/>
    <x v="0"/>
    <s v="DK1_Medium"/>
    <x v="0"/>
    <s v="GNR_ENG_BGAS_BP_E-35"/>
    <n v="9.5108571428571403E-3"/>
    <n v="3.4239085714285702E-2"/>
  </r>
  <r>
    <x v="0"/>
    <x v="0"/>
    <x v="0"/>
    <x v="0"/>
    <x v="0"/>
    <s v="DK1_Medium"/>
    <x v="0"/>
    <s v="GNR_ENG_BGAS_BP_E-37"/>
    <n v="5.9189189189189202E-2"/>
    <n v="0.21308108108108101"/>
  </r>
  <r>
    <x v="0"/>
    <x v="0"/>
    <x v="0"/>
    <x v="0"/>
    <x v="0"/>
    <s v="DK1_Medium"/>
    <x v="0"/>
    <s v="GNR_ENG_BGAS_BP_E-39"/>
    <n v="1.4150769230769199E-2"/>
    <n v="5.0942769230769201E-2"/>
  </r>
  <r>
    <x v="0"/>
    <x v="0"/>
    <x v="0"/>
    <x v="0"/>
    <x v="0"/>
    <s v="DK1_Medium"/>
    <x v="0"/>
    <s v="GNR_ENG_BGAS_BP_E-41"/>
    <n v="7.0870536585365795E-2"/>
    <n v="0.25513393170731702"/>
  </r>
  <r>
    <x v="0"/>
    <x v="0"/>
    <x v="0"/>
    <x v="0"/>
    <x v="0"/>
    <s v="DK1_Medium"/>
    <x v="0"/>
    <s v="GNR_ENG_BGAS_BP_E-42"/>
    <n v="1.2722857142857201E-2"/>
    <n v="4.5802285714285802E-2"/>
  </r>
  <r>
    <x v="0"/>
    <x v="0"/>
    <x v="0"/>
    <x v="0"/>
    <x v="0"/>
    <s v="DK1_Medium"/>
    <x v="2"/>
    <s v="GNR_ST_MSW_BP_E-18"/>
    <n v="0.34066666666666701"/>
    <n v="1.2263999999999999"/>
  </r>
  <r>
    <x v="0"/>
    <x v="0"/>
    <x v="0"/>
    <x v="0"/>
    <x v="0"/>
    <s v="DK1_Medium"/>
    <x v="2"/>
    <s v="GNR_ST_MSW_BP_E-21"/>
    <n v="1.1262857142857201"/>
    <n v="4.0546285714285801"/>
  </r>
  <r>
    <x v="0"/>
    <x v="0"/>
    <x v="0"/>
    <x v="0"/>
    <x v="0"/>
    <s v="DK1_Medium"/>
    <x v="2"/>
    <s v="GNR_ST_MSW_BP_E-22"/>
    <n v="2.4926181818181798"/>
    <n v="8.9734254545454704"/>
  </r>
  <r>
    <x v="0"/>
    <x v="0"/>
    <x v="0"/>
    <x v="0"/>
    <x v="0"/>
    <s v="DK1_Medium"/>
    <x v="3"/>
    <s v="GNR_GT_NGAS_BP_E-47"/>
    <n v="5.6278228563722901E-2"/>
    <n v="0.202601622829403"/>
  </r>
  <r>
    <x v="0"/>
    <x v="0"/>
    <x v="0"/>
    <x v="0"/>
    <x v="0"/>
    <s v="DK1_Medium"/>
    <x v="6"/>
    <s v="GNR_ST_WOODCHI_BP_E-27"/>
    <n v="1.6871111111111201"/>
    <n v="6.0736000000000203"/>
  </r>
  <r>
    <x v="0"/>
    <x v="0"/>
    <x v="0"/>
    <x v="0"/>
    <x v="0"/>
    <s v="DK1_Medium"/>
    <x v="6"/>
    <s v="GNR_ST_WOODCHI_BP_E-30"/>
    <n v="2.6396799999999998"/>
    <n v="9.5028480000000002"/>
  </r>
  <r>
    <x v="0"/>
    <x v="0"/>
    <x v="0"/>
    <x v="0"/>
    <x v="0"/>
    <s v="DK1_NoDH"/>
    <x v="0"/>
    <s v="GNR_ENG_BGAS_BP_E-30"/>
    <n v="1.2555999999999999E-2"/>
    <n v="4.5201600000000002E-2"/>
  </r>
  <r>
    <x v="0"/>
    <x v="0"/>
    <x v="0"/>
    <x v="0"/>
    <x v="0"/>
    <s v="DK1_NoDH"/>
    <x v="0"/>
    <s v="GNR_ENG_BGAS_BP_E-31"/>
    <n v="1.3281290322580601E-2"/>
    <n v="4.7812645161290301E-2"/>
  </r>
  <r>
    <x v="0"/>
    <x v="0"/>
    <x v="0"/>
    <x v="0"/>
    <x v="0"/>
    <s v="DK1_NoDH"/>
    <x v="0"/>
    <s v="GNR_ENG_BGAS_BP_E-32"/>
    <n v="3.2576250000000001E-2"/>
    <n v="0.1172745"/>
  </r>
  <r>
    <x v="0"/>
    <x v="0"/>
    <x v="0"/>
    <x v="0"/>
    <x v="0"/>
    <s v="DK1_NoDH"/>
    <x v="0"/>
    <s v="GNR_ENG_BGAS_BP_E-33"/>
    <n v="2.4421818181818201E-2"/>
    <n v="8.7918545454545402E-2"/>
  </r>
  <r>
    <x v="0"/>
    <x v="0"/>
    <x v="0"/>
    <x v="0"/>
    <x v="0"/>
    <s v="DK1_NoDH"/>
    <x v="0"/>
    <s v="GNR_ENG_BGAS_BP_E-34"/>
    <n v="7.3996235294117696E-2"/>
    <n v="0.26638644705882403"/>
  </r>
  <r>
    <x v="0"/>
    <x v="0"/>
    <x v="0"/>
    <x v="0"/>
    <x v="0"/>
    <s v="DK1_NoDH"/>
    <x v="0"/>
    <s v="GNR_ENG_BGAS_BP_E-35"/>
    <n v="5.4812571428571398E-2"/>
    <n v="0.19732525714285701"/>
  </r>
  <r>
    <x v="0"/>
    <x v="0"/>
    <x v="0"/>
    <x v="0"/>
    <x v="0"/>
    <s v="DK1_NoDH"/>
    <x v="0"/>
    <s v="GNR_ENG_BGAS_BP_E-36"/>
    <n v="5.0613333333333399E-2"/>
    <n v="0.18220800000000001"/>
  </r>
  <r>
    <x v="0"/>
    <x v="0"/>
    <x v="0"/>
    <x v="0"/>
    <x v="0"/>
    <s v="DK1_NoDH"/>
    <x v="0"/>
    <s v="GNR_ENG_BGAS_BP_E-37"/>
    <n v="0.10301286486486499"/>
    <n v="0.37084631351351399"/>
  </r>
  <r>
    <x v="0"/>
    <x v="0"/>
    <x v="0"/>
    <x v="0"/>
    <x v="0"/>
    <s v="DK1_NoDH"/>
    <x v="0"/>
    <s v="GNR_ENG_BGAS_BP_E-38"/>
    <n v="4.3800000000000002E-3"/>
    <n v="1.5768000000000001E-2"/>
  </r>
  <r>
    <x v="0"/>
    <x v="0"/>
    <x v="0"/>
    <x v="0"/>
    <x v="0"/>
    <s v="DK1_NoDH"/>
    <x v="0"/>
    <s v="GNR_ENG_BGAS_BP_E-39"/>
    <n v="2.6055384615384598E-2"/>
    <n v="9.3799384615384604E-2"/>
  </r>
  <r>
    <x v="0"/>
    <x v="0"/>
    <x v="0"/>
    <x v="0"/>
    <x v="0"/>
    <s v="DK1_NoDH"/>
    <x v="0"/>
    <s v="GNR_ENG_BGAS_BP_E-40"/>
    <n v="5.6939999999999998E-2"/>
    <n v="0.204984"/>
  </r>
  <r>
    <x v="0"/>
    <x v="0"/>
    <x v="0"/>
    <x v="0"/>
    <x v="0"/>
    <s v="DK1_NoDH"/>
    <x v="0"/>
    <s v="GNR_ENG_BGAS_BP_E-42"/>
    <n v="2.92E-2"/>
    <n v="0.10512000000000001"/>
  </r>
  <r>
    <x v="0"/>
    <x v="0"/>
    <x v="0"/>
    <x v="0"/>
    <x v="0"/>
    <s v="DK1_NoDH"/>
    <x v="0"/>
    <s v="GNR_ENG_BGAS_BP_E-43"/>
    <n v="0.122232558139535"/>
    <n v="0.44003720930232598"/>
  </r>
  <r>
    <x v="0"/>
    <x v="0"/>
    <x v="0"/>
    <x v="0"/>
    <x v="0"/>
    <s v="DK1_NoDH"/>
    <x v="0"/>
    <s v="GNR_ENG_BGAS_CND_E-36"/>
    <n v="3.4066666666666703E-2"/>
    <n v="0.12264"/>
  </r>
  <r>
    <x v="0"/>
    <x v="0"/>
    <x v="0"/>
    <x v="0"/>
    <x v="0"/>
    <s v="DK1_NoDH"/>
    <x v="0"/>
    <s v="GNR_ENG_BGAS_CND_E-42"/>
    <n v="7.3000000000000001E-3"/>
    <n v="2.6280000000000001E-2"/>
  </r>
  <r>
    <x v="0"/>
    <x v="0"/>
    <x v="0"/>
    <x v="0"/>
    <x v="0"/>
    <s v="DK1_NoDH"/>
    <x v="8"/>
    <s v="GNR_PV_SUN"/>
    <n v="0.56990659346167905"/>
    <n v="2.05166373646205"/>
  </r>
  <r>
    <x v="0"/>
    <x v="0"/>
    <x v="0"/>
    <x v="0"/>
    <x v="0"/>
    <s v="DK1_NoDH"/>
    <x v="9"/>
    <s v="GNR_ROR_WTR"/>
    <n v="3.3449832846470198E-2"/>
    <n v="0.120419398247293"/>
  </r>
  <r>
    <x v="0"/>
    <x v="0"/>
    <x v="0"/>
    <x v="0"/>
    <x v="0"/>
    <s v="DK1_NoDH"/>
    <x v="10"/>
    <s v="GNR_WT_WIND_ONS"/>
    <n v="10.4267294285003"/>
    <n v="37.536225942601099"/>
  </r>
  <r>
    <x v="0"/>
    <x v="0"/>
    <x v="0"/>
    <x v="0"/>
    <x v="0"/>
    <s v="DK1_Offshore"/>
    <x v="10"/>
    <s v="GNR_WT_WIND_OFF"/>
    <n v="3.66971220000001"/>
    <n v="13.210963919999999"/>
  </r>
  <r>
    <x v="0"/>
    <x v="0"/>
    <x v="0"/>
    <x v="0"/>
    <x v="0"/>
    <s v="DK1_Rural"/>
    <x v="0"/>
    <s v="GNR_ENG_BGAS_BP_E-30"/>
    <n v="0.17519999999999999"/>
    <n v="0.63071999999999995"/>
  </r>
  <r>
    <x v="0"/>
    <x v="0"/>
    <x v="0"/>
    <x v="0"/>
    <x v="0"/>
    <s v="DK1_Rural"/>
    <x v="0"/>
    <s v="GNR_ENG_BGAS_BP_E-34"/>
    <n v="2.6614941176470602E-2"/>
    <n v="9.5813788235294198E-2"/>
  </r>
  <r>
    <x v="0"/>
    <x v="0"/>
    <x v="0"/>
    <x v="0"/>
    <x v="0"/>
    <s v="DK1_Rural"/>
    <x v="0"/>
    <s v="GNR_ENG_BGAS_BP_E-35"/>
    <n v="2.6280000000000001E-2"/>
    <n v="9.4607999999999998E-2"/>
  </r>
  <r>
    <x v="0"/>
    <x v="0"/>
    <x v="0"/>
    <x v="0"/>
    <x v="0"/>
    <s v="DK1_Rural"/>
    <x v="0"/>
    <s v="GNR_ENG_BGAS_BP_E-37"/>
    <n v="0.11826"/>
    <n v="0.425736"/>
  </r>
  <r>
    <x v="0"/>
    <x v="0"/>
    <x v="0"/>
    <x v="0"/>
    <x v="0"/>
    <s v="DK1_Rural"/>
    <x v="0"/>
    <s v="GNR_ENG_BGAS_BP_E-38"/>
    <n v="1.8442105263157899E-2"/>
    <n v="6.6391578947368302E-2"/>
  </r>
  <r>
    <x v="0"/>
    <x v="0"/>
    <x v="0"/>
    <x v="0"/>
    <x v="0"/>
    <s v="DK1_Rural"/>
    <x v="0"/>
    <s v="GNR_ENG_BGAS_BP_E-39"/>
    <n v="8.13107692307692E-2"/>
    <n v="0.292718769230769"/>
  </r>
  <r>
    <x v="0"/>
    <x v="0"/>
    <x v="0"/>
    <x v="0"/>
    <x v="0"/>
    <s v="DK1_Rural"/>
    <x v="0"/>
    <s v="GNR_ENG_BGAS_BP_E-40"/>
    <n v="0.136656"/>
    <n v="0.491961599999999"/>
  </r>
  <r>
    <x v="0"/>
    <x v="0"/>
    <x v="0"/>
    <x v="0"/>
    <x v="0"/>
    <s v="DK1_Rural"/>
    <x v="0"/>
    <s v="GNR_ENG_BGAS_BP_E-41"/>
    <n v="4.4462341463414601E-2"/>
    <n v="0.16006442926829301"/>
  </r>
  <r>
    <x v="0"/>
    <x v="0"/>
    <x v="0"/>
    <x v="0"/>
    <x v="0"/>
    <s v="DK1_Rural"/>
    <x v="0"/>
    <s v="GNR_ENG_BGAS_BP_E-42"/>
    <n v="0.177911428571429"/>
    <n v="0.64048114285714297"/>
  </r>
  <r>
    <x v="0"/>
    <x v="0"/>
    <x v="0"/>
    <x v="0"/>
    <x v="0"/>
    <s v="DK1_Rural"/>
    <x v="0"/>
    <s v="GNR_ENG_BGAS_BP_E-43"/>
    <n v="0.10471255813953501"/>
    <n v="0.37696520930232502"/>
  </r>
  <r>
    <x v="0"/>
    <x v="0"/>
    <x v="0"/>
    <x v="0"/>
    <x v="0"/>
    <s v="DK1_Rural"/>
    <x v="3"/>
    <s v="GNR_ENG_NGAS_BP_E-47"/>
    <n v="1.14936170212766E-2"/>
    <n v="4.1377021276595802E-2"/>
  </r>
  <r>
    <x v="0"/>
    <x v="0"/>
    <x v="0"/>
    <x v="0"/>
    <x v="0"/>
    <s v="DK1_Rural"/>
    <x v="4"/>
    <s v="GNR_BO_STRW_E-100"/>
    <n v="1.1683212000000001"/>
    <n v="4.2059563200000003"/>
  </r>
  <r>
    <x v="0"/>
    <x v="0"/>
    <x v="0"/>
    <x v="0"/>
    <x v="0"/>
    <s v="DK1_Rural"/>
    <x v="4"/>
    <s v="GNR_BO_STRW_E-102"/>
    <n v="0.48918588235294103"/>
    <n v="1.7610691764705899"/>
  </r>
  <r>
    <x v="0"/>
    <x v="0"/>
    <x v="0"/>
    <x v="0"/>
    <x v="0"/>
    <s v="DK1_Rural"/>
    <x v="4"/>
    <s v="GNR_ST_STRW_BP_E-26"/>
    <n v="7.7492307692307694E-2"/>
    <n v="0.27897230769230802"/>
  </r>
  <r>
    <x v="0"/>
    <x v="0"/>
    <x v="0"/>
    <x v="0"/>
    <x v="0"/>
    <s v="DK1_Rural"/>
    <x v="5"/>
    <s v="GNR_EH_HEAT"/>
    <n v="0.76220759999999999"/>
    <n v="2.7439473599999999"/>
  </r>
  <r>
    <x v="0"/>
    <x v="0"/>
    <x v="0"/>
    <x v="0"/>
    <x v="0"/>
    <s v="DK1_Rural"/>
    <x v="6"/>
    <s v="GNR_BO_WOODCHI_E-107"/>
    <n v="2.46357964132531E-2"/>
    <n v="8.8688867087710996E-2"/>
  </r>
  <r>
    <x v="0"/>
    <x v="0"/>
    <x v="0"/>
    <x v="0"/>
    <x v="0"/>
    <s v="DK1_Rural"/>
    <x v="6"/>
    <s v="GNR_BO_WOODCHI_E-108"/>
    <n v="1.6560185185185199E-2"/>
    <n v="5.96166666666667E-2"/>
  </r>
  <r>
    <x v="0"/>
    <x v="0"/>
    <x v="0"/>
    <x v="0"/>
    <x v="0"/>
    <s v="DK1_Rural"/>
    <x v="6"/>
    <s v="GNR_BO_WOODCHI_E-110"/>
    <n v="0.75756979435245397"/>
    <n v="2.7272512596688299"/>
  </r>
  <r>
    <x v="0"/>
    <x v="0"/>
    <x v="0"/>
    <x v="0"/>
    <x v="0"/>
    <s v="DK1_Rural"/>
    <x v="6"/>
    <s v="GNR_BO_WOODCHI_E-112"/>
    <n v="0.125307072530118"/>
    <n v="0.45110546110842598"/>
  </r>
  <r>
    <x v="0"/>
    <x v="0"/>
    <x v="0"/>
    <x v="0"/>
    <x v="0"/>
    <s v="DK1_Rural"/>
    <x v="6"/>
    <s v="GNR_BO_WOODCHI_E-113"/>
    <n v="3.6581274174035401E-2"/>
    <n v="0.131692587026527"/>
  </r>
  <r>
    <x v="0"/>
    <x v="0"/>
    <x v="0"/>
    <x v="0"/>
    <x v="0"/>
    <s v="DK1_Rural"/>
    <x v="6"/>
    <s v="GNR_BO_WOODCHI_E-114"/>
    <n v="0.15996521739130401"/>
    <n v="0.57587478260869596"/>
  </r>
  <r>
    <x v="0"/>
    <x v="0"/>
    <x v="0"/>
    <x v="0"/>
    <x v="0"/>
    <s v="DK1_Rural"/>
    <x v="6"/>
    <s v="GNR_BO_WOODCHI_E-117"/>
    <n v="0.14974358974359001"/>
    <n v="0.53907692307692301"/>
  </r>
  <r>
    <x v="0"/>
    <x v="0"/>
    <x v="0"/>
    <x v="0"/>
    <x v="0"/>
    <s v="DK1_Rural"/>
    <x v="6"/>
    <s v="GNR_BO_WOODCHI_E-120"/>
    <n v="0.17519999999999999"/>
    <n v="0.63071999999999995"/>
  </r>
  <r>
    <x v="0"/>
    <x v="0"/>
    <x v="0"/>
    <x v="0"/>
    <x v="0"/>
    <s v="DK1_Rural"/>
    <x v="6"/>
    <s v="GNR_ST_WOODCHI_BP_E-17"/>
    <n v="3.8647058823529402E-2"/>
    <n v="0.139129411764706"/>
  </r>
  <r>
    <x v="0"/>
    <x v="0"/>
    <x v="0"/>
    <x v="0"/>
    <x v="0"/>
    <s v="DK1_Rural"/>
    <x v="6"/>
    <s v="GNR_ST_WOODCHI_BP_E-27"/>
    <n v="0.15248888888888901"/>
    <n v="0.548960000000002"/>
  </r>
  <r>
    <x v="0"/>
    <x v="0"/>
    <x v="0"/>
    <x v="0"/>
    <x v="0"/>
    <s v="DK1_Rural"/>
    <x v="7"/>
    <s v="GNR_ST_WOODPEL_BP_E-30"/>
    <n v="5.5772000000000002E-2"/>
    <n v="0.20077919999999999"/>
  </r>
  <r>
    <x v="0"/>
    <x v="0"/>
    <x v="0"/>
    <x v="0"/>
    <x v="0"/>
    <s v="DK1_Rural"/>
    <x v="11"/>
    <s v="GNR_BO_WOODWST_E-100"/>
    <n v="0.26937"/>
    <n v="0.96973200000000004"/>
  </r>
  <r>
    <x v="0"/>
    <x v="0"/>
    <x v="0"/>
    <x v="0"/>
    <x v="0"/>
    <s v="DK1_Rural"/>
    <x v="11"/>
    <s v="GNR_BO_WOODWST_E-113"/>
    <n v="3.0736842105263201E-2"/>
    <n v="0.110652631578947"/>
  </r>
  <r>
    <x v="0"/>
    <x v="0"/>
    <x v="0"/>
    <x v="0"/>
    <x v="0"/>
    <s v="DK1_Rural"/>
    <x v="11"/>
    <s v="GNR_BO_WOODWST_E-84"/>
    <n v="6.0589999999999998E-2"/>
    <n v="0.21812400000000001"/>
  </r>
  <r>
    <x v="0"/>
    <x v="0"/>
    <x v="0"/>
    <x v="0"/>
    <x v="0"/>
    <s v="DK1_Rural"/>
    <x v="11"/>
    <s v="GNR_BO_WOODWST_E-86"/>
    <n v="3.0558139534883701E-2"/>
    <n v="0.110009302325581"/>
  </r>
  <r>
    <x v="0"/>
    <x v="0"/>
    <x v="0"/>
    <x v="0"/>
    <x v="0"/>
    <s v="DK1_Rural"/>
    <x v="11"/>
    <s v="GNR_BO_WOODWST_E-89"/>
    <n v="6.8898876404494394E-2"/>
    <n v="0.24803595505618001"/>
  </r>
  <r>
    <x v="0"/>
    <x v="0"/>
    <x v="0"/>
    <x v="0"/>
    <x v="0"/>
    <s v="DK1_Rural"/>
    <x v="11"/>
    <s v="GNR_BO_WOODWST_E-90"/>
    <n v="8.7599999999999997E-2"/>
    <n v="0.31535999999999997"/>
  </r>
  <r>
    <x v="0"/>
    <x v="0"/>
    <x v="0"/>
    <x v="0"/>
    <x v="0"/>
    <s v="DK1_Rural"/>
    <x v="11"/>
    <s v="GNR_BO_WOODWST_E-91"/>
    <n v="3.0323076923076901E-2"/>
    <n v="0.109163076923077"/>
  </r>
  <r>
    <x v="0"/>
    <x v="0"/>
    <x v="0"/>
    <x v="0"/>
    <x v="0"/>
    <s v="DK1_Rural"/>
    <x v="11"/>
    <s v="GNR_BO_WOODWST_E-94"/>
    <n v="8.6668085106383005E-3"/>
    <n v="3.1200510638297901E-2"/>
  </r>
  <r>
    <x v="0"/>
    <x v="0"/>
    <x v="0"/>
    <x v="0"/>
    <x v="0"/>
    <s v="DK1_Small"/>
    <x v="2"/>
    <s v="GNR_BO_MSW_E-105"/>
    <n v="0.19088506622280901"/>
    <n v="0.68718623840211102"/>
  </r>
  <r>
    <x v="0"/>
    <x v="0"/>
    <x v="0"/>
    <x v="0"/>
    <x v="0"/>
    <s v="DK1_Small"/>
    <x v="2"/>
    <s v="GNR_ST_MSW_BP_E-20"/>
    <n v="0.126582"/>
    <n v="0.45569520000000102"/>
  </r>
  <r>
    <x v="0"/>
    <x v="0"/>
    <x v="0"/>
    <x v="0"/>
    <x v="0"/>
    <s v="DK1_Small"/>
    <x v="5"/>
    <s v="GNR_EH_HEAT"/>
    <n v="0.12264"/>
    <n v="0.44150400000000001"/>
  </r>
  <r>
    <x v="0"/>
    <x v="0"/>
    <x v="0"/>
    <x v="0"/>
    <x v="0"/>
    <s v="DK1_Small"/>
    <x v="6"/>
    <s v="GNR_ST_WOODCHI_BP_E-15"/>
    <n v="3.5040000000000002E-2"/>
    <n v="0.12614400000000001"/>
  </r>
  <r>
    <x v="0"/>
    <x v="0"/>
    <x v="0"/>
    <x v="0"/>
    <x v="0"/>
    <s v="DK1_Small"/>
    <x v="11"/>
    <s v="GNR_BO_WOODWST_E-100"/>
    <n v="1.533E-2"/>
    <n v="5.5188000000000001E-2"/>
  </r>
  <r>
    <x v="0"/>
    <x v="0"/>
    <x v="0"/>
    <x v="0"/>
    <x v="0"/>
    <s v="DK1_Small"/>
    <x v="11"/>
    <s v="GNR_BO_WOODWST_E-89"/>
    <n v="1.7500314606741601E-2"/>
    <n v="6.3001132584269606E-2"/>
  </r>
  <r>
    <x v="0"/>
    <x v="0"/>
    <x v="0"/>
    <x v="0"/>
    <x v="1"/>
    <s v="DK2_Large"/>
    <x v="0"/>
    <s v="GNR_BO_BGAS_E-90"/>
    <n v="0.1168"/>
    <n v="0.42048000000000002"/>
  </r>
  <r>
    <x v="0"/>
    <x v="0"/>
    <x v="0"/>
    <x v="0"/>
    <x v="1"/>
    <s v="DK2_Large"/>
    <x v="0"/>
    <s v="GNR_BO_BGAS_E-95"/>
    <n v="7.0080000000000003E-3"/>
    <n v="2.5228799999999999E-2"/>
  </r>
  <r>
    <x v="0"/>
    <x v="0"/>
    <x v="0"/>
    <x v="0"/>
    <x v="1"/>
    <s v="DK2_Large"/>
    <x v="0"/>
    <s v="GNR_ENG_BGAS_BP_E-38"/>
    <n v="1.38315789473684E-2"/>
    <n v="4.9793684210526303E-2"/>
  </r>
  <r>
    <x v="0"/>
    <x v="0"/>
    <x v="0"/>
    <x v="0"/>
    <x v="1"/>
    <s v="DK2_Large"/>
    <x v="0"/>
    <s v="GNR_ENG_BGAS_BP_E-42"/>
    <n v="6.3551714285714295E-2"/>
    <n v="0.22878617142857199"/>
  </r>
  <r>
    <x v="0"/>
    <x v="0"/>
    <x v="0"/>
    <x v="0"/>
    <x v="1"/>
    <s v="DK2_Large"/>
    <x v="2"/>
    <s v="GNR_ST_MSW_BP_E-16"/>
    <n v="1.5603750000000001"/>
    <n v="5.6173500000000098"/>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7"/>
    <n v="0.62942222222222399"/>
    <n v="2.2659199999999999"/>
  </r>
  <r>
    <x v="0"/>
    <x v="0"/>
    <x v="0"/>
    <x v="0"/>
    <x v="1"/>
    <s v="DK2_Large"/>
    <x v="3"/>
    <s v="GNR_ENG_NGAS_BP_E-40"/>
    <n v="9.0337500000000001E-2"/>
    <n v="0.32521499999999998"/>
  </r>
  <r>
    <x v="0"/>
    <x v="0"/>
    <x v="0"/>
    <x v="0"/>
    <x v="1"/>
    <s v="DK2_Large"/>
    <x v="3"/>
    <s v="GNR_ST_NGAS_BP_E-39"/>
    <n v="1.4581282051282101"/>
    <n v="5.24926153846154"/>
  </r>
  <r>
    <x v="0"/>
    <x v="0"/>
    <x v="0"/>
    <x v="0"/>
    <x v="1"/>
    <s v="DK2_Large"/>
    <x v="5"/>
    <s v="GNR_GEO_HEAT_HO"/>
    <n v="0.12264"/>
    <n v="0.44150400000000001"/>
  </r>
  <r>
    <x v="0"/>
    <x v="0"/>
    <x v="0"/>
    <x v="0"/>
    <x v="1"/>
    <s v="DK2_Large"/>
    <x v="6"/>
    <s v="GNR_ST_WOODCHI_BP_E-24"/>
    <n v="0.40150000000000002"/>
    <n v="1.4454"/>
  </r>
  <r>
    <x v="0"/>
    <x v="0"/>
    <x v="0"/>
    <x v="0"/>
    <x v="1"/>
    <s v="DK2_Large"/>
    <x v="6"/>
    <s v="GNR_ST_WOODCHI_BP_E-27"/>
    <n v="0.48666666666666802"/>
    <n v="1.75200000000001"/>
  </r>
  <r>
    <x v="0"/>
    <x v="0"/>
    <x v="0"/>
    <x v="0"/>
    <x v="1"/>
    <s v="DK2_Large"/>
    <x v="7"/>
    <s v="GNR_BO_WOODPEL_E-100"/>
    <n v="0.28908"/>
    <n v="1.0406880000000001"/>
  </r>
  <r>
    <x v="0"/>
    <x v="0"/>
    <x v="0"/>
    <x v="0"/>
    <x v="1"/>
    <s v="DK2_Large"/>
    <x v="7"/>
    <s v="GNR_ST_WOODPEL_BP_E-18"/>
    <n v="3.11466666666667"/>
    <n v="11.2128"/>
  </r>
  <r>
    <x v="0"/>
    <x v="0"/>
    <x v="0"/>
    <x v="0"/>
    <x v="1"/>
    <s v="DK2_Large"/>
    <x v="7"/>
    <s v="GNR_ST_WOODPEL_EXT_E-50"/>
    <n v="9.9513599999999993"/>
    <n v="35.824896000000003"/>
  </r>
  <r>
    <x v="0"/>
    <x v="0"/>
    <x v="0"/>
    <x v="0"/>
    <x v="1"/>
    <s v="DK2_Large"/>
    <x v="11"/>
    <s v="GNR_BO_WOODWST_E-90"/>
    <n v="6.4824000000000007E-2"/>
    <n v="0.2333664"/>
  </r>
  <r>
    <x v="0"/>
    <x v="0"/>
    <x v="0"/>
    <x v="0"/>
    <x v="1"/>
    <s v="DK2_MedSmall"/>
    <x v="0"/>
    <s v="GNR_ENG_BGAS_BP_E-38"/>
    <n v="5.7631578947368398E-3"/>
    <n v="2.0747368421052601E-2"/>
  </r>
  <r>
    <x v="0"/>
    <x v="0"/>
    <x v="0"/>
    <x v="0"/>
    <x v="1"/>
    <s v="DK2_MedSmall"/>
    <x v="2"/>
    <s v="GNR_ST_MSW_BP_E-21"/>
    <n v="0.279485714285715"/>
    <n v="1.0061485714285701"/>
  </r>
  <r>
    <x v="0"/>
    <x v="0"/>
    <x v="0"/>
    <x v="0"/>
    <x v="1"/>
    <s v="DK2_MedSmall"/>
    <x v="2"/>
    <s v="GNR_ST_MSW_BP_E-25"/>
    <n v="0.381936000000001"/>
    <n v="1.3749696"/>
  </r>
  <r>
    <x v="0"/>
    <x v="0"/>
    <x v="0"/>
    <x v="0"/>
    <x v="1"/>
    <s v="DK2_MedSmall"/>
    <x v="2"/>
    <s v="GNR_ST_MSW_BP_E-28"/>
    <n v="0.38936689655172502"/>
    <n v="1.4017208275862101"/>
  </r>
  <r>
    <x v="0"/>
    <x v="0"/>
    <x v="0"/>
    <x v="0"/>
    <x v="1"/>
    <s v="DK2_Medium"/>
    <x v="0"/>
    <s v="GNR_BO_BGAS_E-100"/>
    <n v="3.5040000000000002E-3"/>
    <n v="1.26144E-2"/>
  </r>
  <r>
    <x v="0"/>
    <x v="0"/>
    <x v="0"/>
    <x v="0"/>
    <x v="1"/>
    <s v="DK2_Medium"/>
    <x v="0"/>
    <s v="GNR_BO_BGAS_E-99"/>
    <n v="2.5660606060606099E-3"/>
    <n v="9.2378181818181804E-3"/>
  </r>
  <r>
    <x v="0"/>
    <x v="0"/>
    <x v="0"/>
    <x v="0"/>
    <x v="1"/>
    <s v="DK2_Medium"/>
    <x v="2"/>
    <s v="GNR_BO_MSW_E-105"/>
    <n v="0.17519999999999999"/>
    <n v="0.63071999999999995"/>
  </r>
  <r>
    <x v="0"/>
    <x v="0"/>
    <x v="0"/>
    <x v="0"/>
    <x v="1"/>
    <s v="DK2_Medium"/>
    <x v="2"/>
    <s v="GNR_ST_MSW_BP_E-23"/>
    <n v="0.30469565217391298"/>
    <n v="1.09690434782609"/>
  </r>
  <r>
    <x v="0"/>
    <x v="0"/>
    <x v="0"/>
    <x v="0"/>
    <x v="1"/>
    <s v="DK2_Medium"/>
    <x v="2"/>
    <s v="GNR_ST_MSW_BP_E-25"/>
    <n v="0.25929600000000003"/>
    <n v="0.93346560000000101"/>
  </r>
  <r>
    <x v="0"/>
    <x v="0"/>
    <x v="0"/>
    <x v="0"/>
    <x v="1"/>
    <s v="DK2_Medium"/>
    <x v="3"/>
    <s v="GNR_ENG_NGAS_BP_E-42"/>
    <n v="2.4333333333333301E-2"/>
    <n v="8.7599999999999997E-2"/>
  </r>
  <r>
    <x v="0"/>
    <x v="0"/>
    <x v="0"/>
    <x v="0"/>
    <x v="1"/>
    <s v="DK2_Medium"/>
    <x v="3"/>
    <s v="GNR_GT_NGAS_BP_E-42"/>
    <n v="0.25342877445970702"/>
    <n v="0.91234358805494398"/>
  </r>
  <r>
    <x v="0"/>
    <x v="0"/>
    <x v="0"/>
    <x v="0"/>
    <x v="1"/>
    <s v="DK2_Medium"/>
    <x v="3"/>
    <s v="GNR_GT_NGAS_BP_E-44"/>
    <n v="1.213625"/>
    <n v="4.3690499999999997"/>
  </r>
  <r>
    <x v="0"/>
    <x v="0"/>
    <x v="0"/>
    <x v="0"/>
    <x v="1"/>
    <s v="DK2_Medium"/>
    <x v="5"/>
    <s v="GNR_EH_HEAT"/>
    <n v="1.7520000000000001E-2"/>
    <n v="6.3072000000000003E-2"/>
  </r>
  <r>
    <x v="0"/>
    <x v="0"/>
    <x v="0"/>
    <x v="0"/>
    <x v="1"/>
    <s v="DK2_Medium"/>
    <x v="6"/>
    <s v="GNR_BO_WOODCHI_E-100"/>
    <n v="4.8705600000000002E-2"/>
    <n v="0.17534015999999999"/>
  </r>
  <r>
    <x v="0"/>
    <x v="0"/>
    <x v="0"/>
    <x v="0"/>
    <x v="1"/>
    <s v="DK2_Medium"/>
    <x v="6"/>
    <s v="GNR_BO_WOODCHI_E-110"/>
    <n v="0.116587636363636"/>
    <n v="0.41971549090909099"/>
  </r>
  <r>
    <x v="0"/>
    <x v="0"/>
    <x v="0"/>
    <x v="0"/>
    <x v="1"/>
    <s v="DK2_Medium"/>
    <x v="6"/>
    <s v="GNR_ST_WOODCHI_BP_E-27"/>
    <n v="1.0706666666666699E-2"/>
    <n v="3.8544000000000099E-2"/>
  </r>
  <r>
    <x v="0"/>
    <x v="0"/>
    <x v="0"/>
    <x v="0"/>
    <x v="1"/>
    <s v="DK2_Medium"/>
    <x v="7"/>
    <s v="GNR_BO_WOODPEL_E-100"/>
    <n v="8.7600000000000004E-3"/>
    <n v="3.1536000000000002E-2"/>
  </r>
  <r>
    <x v="0"/>
    <x v="0"/>
    <x v="0"/>
    <x v="0"/>
    <x v="1"/>
    <s v="DK2_Medium"/>
    <x v="7"/>
    <s v="GNR_BO_WOODPEL_E-102"/>
    <n v="8.15882352941176E-2"/>
    <n v="0.29371764705882297"/>
  </r>
  <r>
    <x v="0"/>
    <x v="0"/>
    <x v="0"/>
    <x v="0"/>
    <x v="1"/>
    <s v="DK2_Medium"/>
    <x v="11"/>
    <s v="GNR_BO_WOODWST_E-82"/>
    <n v="7.47804878048781E-3"/>
    <n v="2.69209756097561E-2"/>
  </r>
  <r>
    <x v="0"/>
    <x v="0"/>
    <x v="0"/>
    <x v="0"/>
    <x v="1"/>
    <s v="DK2_NoDH"/>
    <x v="0"/>
    <s v="GNR_ENG_BGAS_BP_E-31"/>
    <n v="2.8258064516129E-3"/>
    <n v="1.01729032258064E-2"/>
  </r>
  <r>
    <x v="0"/>
    <x v="0"/>
    <x v="0"/>
    <x v="0"/>
    <x v="1"/>
    <s v="DK2_NoDH"/>
    <x v="0"/>
    <s v="GNR_ENG_BGAS_BP_E-32"/>
    <n v="3.01125E-3"/>
    <n v="1.0840499999999999E-2"/>
  </r>
  <r>
    <x v="0"/>
    <x v="0"/>
    <x v="0"/>
    <x v="0"/>
    <x v="1"/>
    <s v="DK2_NoDH"/>
    <x v="0"/>
    <s v="GNR_ENG_BGAS_BP_E-33"/>
    <n v="6.1054545454545502E-3"/>
    <n v="2.1979636363636298E-2"/>
  </r>
  <r>
    <x v="0"/>
    <x v="0"/>
    <x v="0"/>
    <x v="0"/>
    <x v="1"/>
    <s v="DK2_NoDH"/>
    <x v="0"/>
    <s v="GNR_ENG_BGAS_BP_E-34"/>
    <n v="2.5764705882352999E-3"/>
    <n v="9.2752941176470708E-3"/>
  </r>
  <r>
    <x v="0"/>
    <x v="0"/>
    <x v="0"/>
    <x v="0"/>
    <x v="1"/>
    <s v="DK2_NoDH"/>
    <x v="0"/>
    <s v="GNR_ENG_BGAS_BP_E-35"/>
    <n v="5.5062857142857101E-3"/>
    <n v="1.9822628571428601E-2"/>
  </r>
  <r>
    <x v="0"/>
    <x v="0"/>
    <x v="0"/>
    <x v="0"/>
    <x v="1"/>
    <s v="DK2_NoDH"/>
    <x v="0"/>
    <s v="GNR_ENG_BGAS_BP_E-36"/>
    <n v="1.5330000000000001E-3"/>
    <n v="5.5187999999999999E-3"/>
  </r>
  <r>
    <x v="0"/>
    <x v="0"/>
    <x v="0"/>
    <x v="0"/>
    <x v="1"/>
    <s v="DK2_NoDH"/>
    <x v="0"/>
    <s v="GNR_ENG_BGAS_BP_E-37"/>
    <n v="2.3675675675675699E-3"/>
    <n v="8.5232432432432396E-3"/>
  </r>
  <r>
    <x v="0"/>
    <x v="0"/>
    <x v="0"/>
    <x v="0"/>
    <x v="1"/>
    <s v="DK2_NoDH"/>
    <x v="0"/>
    <s v="GNR_ENG_BGAS_BP_E-38"/>
    <n v="8.3681052631578903E-3"/>
    <n v="3.0125178947368401E-2"/>
  </r>
  <r>
    <x v="0"/>
    <x v="0"/>
    <x v="0"/>
    <x v="0"/>
    <x v="1"/>
    <s v="DK2_NoDH"/>
    <x v="0"/>
    <s v="GNR_ENG_BGAS_BP_E-39"/>
    <n v="1.8418461538461502E-2"/>
    <n v="6.6306461538461495E-2"/>
  </r>
  <r>
    <x v="0"/>
    <x v="0"/>
    <x v="0"/>
    <x v="0"/>
    <x v="1"/>
    <s v="DK2_NoDH"/>
    <x v="0"/>
    <s v="GNR_ENG_BGAS_BP_E-40"/>
    <n v="8.7599999999999896E-4"/>
    <n v="3.1535999999999999E-3"/>
  </r>
  <r>
    <x v="0"/>
    <x v="0"/>
    <x v="0"/>
    <x v="0"/>
    <x v="1"/>
    <s v="DK2_NoDH"/>
    <x v="0"/>
    <s v="GNR_ENG_BGAS_BP_E-42"/>
    <n v="9.1771428571428601E-2"/>
    <n v="0.33037714285714298"/>
  </r>
  <r>
    <x v="0"/>
    <x v="0"/>
    <x v="0"/>
    <x v="0"/>
    <x v="1"/>
    <s v="DK2_NoDH"/>
    <x v="0"/>
    <s v="GNR_ENG_BGAS_CND_E-32"/>
    <n v="3.5587499999999998E-3"/>
    <n v="1.28115E-2"/>
  </r>
  <r>
    <x v="0"/>
    <x v="0"/>
    <x v="0"/>
    <x v="0"/>
    <x v="1"/>
    <s v="DK2_NoDH"/>
    <x v="0"/>
    <s v="GNR_ENG_BGAS_CND_E-35"/>
    <n v="7.7588571428571403E-3"/>
    <n v="2.79318857142857E-2"/>
  </r>
  <r>
    <x v="0"/>
    <x v="0"/>
    <x v="0"/>
    <x v="0"/>
    <x v="1"/>
    <s v="DK2_NoDH"/>
    <x v="3"/>
    <s v="GNR_ENG_NGAS_BP_E-46"/>
    <n v="0.12868413880260701"/>
    <n v="0.463262899689384"/>
  </r>
  <r>
    <x v="0"/>
    <x v="0"/>
    <x v="0"/>
    <x v="0"/>
    <x v="1"/>
    <s v="DK2_NoDH"/>
    <x v="8"/>
    <s v="GNR_PV_SUN"/>
    <n v="0.29146560783759401"/>
    <n v="1.0492761882153401"/>
  </r>
  <r>
    <x v="0"/>
    <x v="0"/>
    <x v="0"/>
    <x v="0"/>
    <x v="1"/>
    <s v="DK2_NoDH"/>
    <x v="9"/>
    <s v="GNR_ROR_WTR"/>
    <n v="7.2297909610526402E-5"/>
    <n v="2.6027247459789498E-4"/>
  </r>
  <r>
    <x v="0"/>
    <x v="0"/>
    <x v="0"/>
    <x v="0"/>
    <x v="1"/>
    <s v="DK2_NoDH"/>
    <x v="10"/>
    <s v="GNR_WT_WIND_ONS"/>
    <n v="1.8714861274999901"/>
    <n v="6.7373500589999802"/>
  </r>
  <r>
    <x v="0"/>
    <x v="0"/>
    <x v="0"/>
    <x v="0"/>
    <x v="1"/>
    <s v="DK2_Offshore"/>
    <x v="10"/>
    <s v="GNR_WT_WIND_OFF"/>
    <n v="1.946472"/>
    <n v="7.0072992000000198"/>
  </r>
  <r>
    <x v="0"/>
    <x v="0"/>
    <x v="0"/>
    <x v="0"/>
    <x v="1"/>
    <s v="DK2_Rural"/>
    <x v="0"/>
    <s v="GNR_ENG_BGAS_BP_E-34"/>
    <n v="1.9581176470588199E-2"/>
    <n v="7.0492235294117703E-2"/>
  </r>
  <r>
    <x v="0"/>
    <x v="0"/>
    <x v="0"/>
    <x v="0"/>
    <x v="1"/>
    <s v="DK2_Rural"/>
    <x v="0"/>
    <s v="GNR_ENG_BGAS_BP_E-39"/>
    <n v="2.2686153846153901E-2"/>
    <n v="8.1670153846153906E-2"/>
  </r>
  <r>
    <x v="0"/>
    <x v="0"/>
    <x v="0"/>
    <x v="0"/>
    <x v="1"/>
    <s v="DK2_Rural"/>
    <x v="0"/>
    <s v="GNR_ENG_BGAS_BP_E-40"/>
    <n v="1.1606999999999999E-2"/>
    <n v="4.1785200000000002E-2"/>
  </r>
  <r>
    <x v="0"/>
    <x v="0"/>
    <x v="0"/>
    <x v="0"/>
    <x v="1"/>
    <s v="DK2_Rural"/>
    <x v="0"/>
    <s v="GNR_ENG_BGAS_BP_E-41"/>
    <n v="4.2731707317073202E-2"/>
    <n v="0.153834146341463"/>
  </r>
  <r>
    <x v="0"/>
    <x v="0"/>
    <x v="0"/>
    <x v="0"/>
    <x v="1"/>
    <s v="DK2_Rural"/>
    <x v="0"/>
    <s v="GNR_ENG_BGAS_BP_E-42"/>
    <n v="0.119594857142857"/>
    <n v="0.43054148571428602"/>
  </r>
  <r>
    <x v="0"/>
    <x v="0"/>
    <x v="0"/>
    <x v="0"/>
    <x v="1"/>
    <s v="DK2_Rural"/>
    <x v="2"/>
    <s v="GNR_BO_MSW_E-105"/>
    <n v="5.8400000000000001E-2"/>
    <n v="0.21024000000000001"/>
  </r>
  <r>
    <x v="0"/>
    <x v="0"/>
    <x v="0"/>
    <x v="0"/>
    <x v="1"/>
    <s v="DK2_Rural"/>
    <x v="3"/>
    <s v="GNR_ENG_NGAS_BP_E-46"/>
    <n v="7.8554347826086997E-3"/>
    <n v="2.8279565217391299E-2"/>
  </r>
  <r>
    <x v="0"/>
    <x v="0"/>
    <x v="0"/>
    <x v="0"/>
    <x v="1"/>
    <s v="DK2_Rural"/>
    <x v="4"/>
    <s v="GNR_BO_STRW_E-100"/>
    <n v="0.583028747097735"/>
    <n v="2.0989034895518501"/>
  </r>
  <r>
    <x v="0"/>
    <x v="0"/>
    <x v="0"/>
    <x v="0"/>
    <x v="1"/>
    <s v="DK2_Rural"/>
    <x v="4"/>
    <s v="GNR_BO_STRW_E-102"/>
    <n v="0.40843823306793903"/>
    <n v="1.47037763904458"/>
  </r>
  <r>
    <x v="0"/>
    <x v="0"/>
    <x v="0"/>
    <x v="0"/>
    <x v="1"/>
    <s v="DK2_Rural"/>
    <x v="4"/>
    <s v="GNR_ST_STRW_BP_E-24"/>
    <n v="0.1825"/>
    <n v="0.65700000000000003"/>
  </r>
  <r>
    <x v="0"/>
    <x v="0"/>
    <x v="0"/>
    <x v="0"/>
    <x v="1"/>
    <s v="DK2_Rural"/>
    <x v="4"/>
    <s v="GNR_ST_STRW_BP_E-27"/>
    <n v="0.323795555555555"/>
    <n v="1.165664"/>
  </r>
  <r>
    <x v="0"/>
    <x v="0"/>
    <x v="0"/>
    <x v="0"/>
    <x v="1"/>
    <s v="DK2_Rural"/>
    <x v="4"/>
    <s v="GNR_ST_STRW_BP_E-28"/>
    <n v="0.347379310344828"/>
    <n v="1.2505655172413801"/>
  </r>
  <r>
    <x v="0"/>
    <x v="0"/>
    <x v="0"/>
    <x v="0"/>
    <x v="1"/>
    <s v="DK2_Rural"/>
    <x v="5"/>
    <s v="GNR_EH_HEAT"/>
    <n v="0.14454"/>
    <n v="0.52034400000000003"/>
  </r>
  <r>
    <x v="0"/>
    <x v="0"/>
    <x v="0"/>
    <x v="0"/>
    <x v="1"/>
    <s v="DK2_Rural"/>
    <x v="6"/>
    <s v="GNR_BO_WOODCHI_E-119"/>
    <n v="1.2396504235236199E-2"/>
    <n v="4.4627415246850398E-2"/>
  </r>
  <r>
    <x v="0"/>
    <x v="0"/>
    <x v="0"/>
    <x v="0"/>
    <x v="1"/>
    <s v="DK2_Rural"/>
    <x v="11"/>
    <s v="GNR_BO_WOODWST_E-100"/>
    <n v="5.5188000000000001E-2"/>
    <n v="0.19867679999999999"/>
  </r>
  <r>
    <x v="0"/>
    <x v="0"/>
    <x v="0"/>
    <x v="0"/>
    <x v="1"/>
    <s v="DK2_Small"/>
    <x v="3"/>
    <s v="GNR_ENG_NGAS_BP_E-46"/>
    <n v="0.47854258072220901"/>
    <n v="1.7227532905999501"/>
  </r>
  <r>
    <x v="0"/>
    <x v="0"/>
    <x v="0"/>
    <x v="1"/>
    <x v="2"/>
    <s v="EE_Industry"/>
    <x v="0"/>
    <s v="GNR_ST_BGAS_EXT_E-38"/>
    <n v="2.28006246746486E-3"/>
    <n v="8.2082248828735001E-3"/>
  </r>
  <r>
    <x v="0"/>
    <x v="0"/>
    <x v="0"/>
    <x v="1"/>
    <x v="2"/>
    <s v="EE_Industry"/>
    <x v="12"/>
    <s v="GNR_ENG_RETORT-GAS_E-44"/>
    <n v="1.5546764753700699"/>
    <n v="5.5968353113322697"/>
  </r>
  <r>
    <x v="0"/>
    <x v="0"/>
    <x v="0"/>
    <x v="1"/>
    <x v="2"/>
    <s v="EE_Industry"/>
    <x v="13"/>
    <s v="IMAVERE_ST_WOOD_BP"/>
    <n v="0.38086985086985098"/>
    <n v="1.3711314631314599"/>
  </r>
  <r>
    <x v="0"/>
    <x v="0"/>
    <x v="0"/>
    <x v="1"/>
    <x v="2"/>
    <s v="EE_Industry"/>
    <x v="13"/>
    <s v="OSULA_ST_WOOD_BP"/>
    <n v="0.38086985086985098"/>
    <n v="1.3711314631314599"/>
  </r>
  <r>
    <x v="0"/>
    <x v="0"/>
    <x v="0"/>
    <x v="1"/>
    <x v="2"/>
    <s v="EE_Industry"/>
    <x v="11"/>
    <s v="GNR_ST_WOODWST_BP_E-53"/>
    <n v="0.93384905660377304"/>
    <n v="3.36185660377358"/>
  </r>
  <r>
    <x v="0"/>
    <x v="0"/>
    <x v="0"/>
    <x v="1"/>
    <x v="2"/>
    <s v="EE_Kohtla_Jarve"/>
    <x v="3"/>
    <s v="GNR_BO_NGAS_HO_E-85"/>
    <n v="0.210293725490247"/>
    <n v="0.75705741176488806"/>
  </r>
  <r>
    <x v="0"/>
    <x v="0"/>
    <x v="0"/>
    <x v="1"/>
    <x v="2"/>
    <s v="EE_Kohtla_Jarve"/>
    <x v="3"/>
    <s v="GNR_ENG_NGAS_EXT_E-44"/>
    <n v="0.31818794000612199"/>
    <n v="1.14547658402204"/>
  </r>
  <r>
    <x v="0"/>
    <x v="0"/>
    <x v="0"/>
    <x v="1"/>
    <x v="2"/>
    <s v="EE_Narva"/>
    <x v="14"/>
    <s v="GNR_BO_FUELOIL_HO_E-85"/>
    <n v="0.584434977912061"/>
    <n v="2.1039659204834198"/>
  </r>
  <r>
    <x v="0"/>
    <x v="0"/>
    <x v="0"/>
    <x v="1"/>
    <x v="2"/>
    <s v="EE_Parnu"/>
    <x v="0"/>
    <s v="GNR_ST_BGAS_EXT_E-38"/>
    <n v="2.28006246746486E-3"/>
    <n v="8.2082248828735001E-3"/>
  </r>
  <r>
    <x v="0"/>
    <x v="0"/>
    <x v="0"/>
    <x v="1"/>
    <x v="2"/>
    <s v="EE_Parnu"/>
    <x v="13"/>
    <s v="PARNU-1_ST_WOOD_BP"/>
    <n v="0.66652207152593301"/>
    <n v="2.39947945749336"/>
  </r>
  <r>
    <x v="0"/>
    <x v="0"/>
    <x v="0"/>
    <x v="1"/>
    <x v="2"/>
    <s v="EE_Rural"/>
    <x v="0"/>
    <s v="GNR_ST_BGAS_EXT_E-38"/>
    <n v="7.5242061426340504E-2"/>
    <n v="0.27087142113482598"/>
  </r>
  <r>
    <x v="0"/>
    <x v="0"/>
    <x v="0"/>
    <x v="1"/>
    <x v="2"/>
    <s v="EE_Rural"/>
    <x v="3"/>
    <s v="GNR_ENG_NGAS_EXT_E-44"/>
    <n v="2.38640955004591E-2"/>
    <n v="8.5910743801652895E-2"/>
  </r>
  <r>
    <x v="0"/>
    <x v="0"/>
    <x v="0"/>
    <x v="1"/>
    <x v="2"/>
    <s v="EE_Rural"/>
    <x v="9"/>
    <s v="GNR_ROR_WTR"/>
    <n v="0.03"/>
    <n v="0.108"/>
  </r>
  <r>
    <x v="0"/>
    <x v="0"/>
    <x v="0"/>
    <x v="1"/>
    <x v="2"/>
    <s v="EE_Rural"/>
    <x v="10"/>
    <s v="GNR_WT_WIND_ONS"/>
    <n v="0.78061100000000005"/>
    <n v="2.8101995999999998"/>
  </r>
  <r>
    <x v="0"/>
    <x v="0"/>
    <x v="0"/>
    <x v="1"/>
    <x v="2"/>
    <s v="EE_Rural"/>
    <x v="11"/>
    <s v="EBAVERE_ST_WOODWST_BP"/>
    <n v="0.34578947368421098"/>
    <n v="1.24484210526316"/>
  </r>
  <r>
    <x v="0"/>
    <x v="0"/>
    <x v="0"/>
    <x v="1"/>
    <x v="2"/>
    <s v="EE_Sillamae"/>
    <x v="3"/>
    <s v="GNR_ENG_NGAS_EXT_E-44"/>
    <n v="0.198867462503826"/>
    <n v="0.715922865013774"/>
  </r>
  <r>
    <x v="0"/>
    <x v="0"/>
    <x v="0"/>
    <x v="1"/>
    <x v="2"/>
    <s v="EE_Sillamae"/>
    <x v="13"/>
    <s v="SILLAMAE_ST_WOOD_BP"/>
    <n v="0.53131304347826103"/>
    <n v="1.91272695652174"/>
  </r>
  <r>
    <x v="0"/>
    <x v="0"/>
    <x v="0"/>
    <x v="1"/>
    <x v="2"/>
    <s v="EE_Tallinn"/>
    <x v="2"/>
    <s v="IRU_ST_MSW_BP"/>
    <n v="0.49640000000000001"/>
    <n v="1.78704"/>
  </r>
  <r>
    <x v="0"/>
    <x v="0"/>
    <x v="0"/>
    <x v="1"/>
    <x v="2"/>
    <s v="EE_Tallinn"/>
    <x v="3"/>
    <s v="GNR_ENG_NGAS_EXT_E-44"/>
    <n v="2.9830119375573901E-2"/>
    <n v="0.107388429752066"/>
  </r>
  <r>
    <x v="0"/>
    <x v="0"/>
    <x v="0"/>
    <x v="1"/>
    <x v="2"/>
    <s v="EE_Tallinn"/>
    <x v="3"/>
    <s v="IRU_ST_NGAS_BP"/>
    <n v="1.6927996870014099"/>
    <n v="6.0940788732050803"/>
  </r>
  <r>
    <x v="0"/>
    <x v="0"/>
    <x v="0"/>
    <x v="1"/>
    <x v="2"/>
    <s v="EE_Tallinn"/>
    <x v="13"/>
    <s v="MUSTAMAE_ST_WOOD_BP"/>
    <n v="0.409435096826401"/>
    <n v="1.4739663485750401"/>
  </r>
  <r>
    <x v="0"/>
    <x v="0"/>
    <x v="0"/>
    <x v="1"/>
    <x v="2"/>
    <s v="EE_Tallinn"/>
    <x v="13"/>
    <s v="VAO-1_ST_WOOD_BP"/>
    <n v="0.63795658572522795"/>
    <n v="2.2966437086108198"/>
  </r>
  <r>
    <x v="0"/>
    <x v="0"/>
    <x v="0"/>
    <x v="1"/>
    <x v="2"/>
    <s v="EE_Tallinn"/>
    <x v="13"/>
    <s v="VAO-2_ST_WOOD_BP"/>
    <n v="0.72365242329204404"/>
    <n v="2.60514872385136"/>
  </r>
  <r>
    <x v="0"/>
    <x v="0"/>
    <x v="0"/>
    <x v="1"/>
    <x v="2"/>
    <s v="EE_Tartu"/>
    <x v="3"/>
    <s v="GNR_BO_NGAS_HO_E-85"/>
    <n v="0.114746699054338"/>
    <n v="0.41308811659561601"/>
  </r>
  <r>
    <x v="0"/>
    <x v="0"/>
    <x v="0"/>
    <x v="1"/>
    <x v="2"/>
    <s v="EE_Tartu"/>
    <x v="13"/>
    <s v="TARTU-1_ST_WOOD_BP"/>
    <n v="0.66652207152593301"/>
    <n v="2.39947945749336"/>
  </r>
  <r>
    <x v="0"/>
    <x v="0"/>
    <x v="0"/>
    <x v="1"/>
    <x v="2"/>
    <s v="EE_Urban"/>
    <x v="0"/>
    <s v="GNR_ST_BGAS_EXT_E-38"/>
    <n v="2.28006246746486E-3"/>
    <n v="8.2082248828735001E-3"/>
  </r>
  <r>
    <x v="0"/>
    <x v="0"/>
    <x v="0"/>
    <x v="1"/>
    <x v="2"/>
    <s v="EE_Urban"/>
    <x v="3"/>
    <s v="GNR_ENG_NGAS_EXT_E-44"/>
    <n v="1.7898071625344399E-2"/>
    <n v="6.4433057851239706E-2"/>
  </r>
  <r>
    <x v="0"/>
    <x v="0"/>
    <x v="0"/>
    <x v="1"/>
    <x v="2"/>
    <s v="EE_Urban"/>
    <x v="13"/>
    <s v="GNR_ST_WOOD_BP_E-53"/>
    <n v="0.19833962264150901"/>
    <n v="0.71402264150943395"/>
  </r>
  <r>
    <x v="0"/>
    <x v="0"/>
    <x v="0"/>
    <x v="2"/>
    <x v="3"/>
    <s v="FIN_EL"/>
    <x v="6"/>
    <s v="GBPR_WOODCHIPS"/>
    <n v="1.4282235774632099"/>
    <n v="5.1416048788675699"/>
  </r>
  <r>
    <x v="0"/>
    <x v="0"/>
    <x v="0"/>
    <x v="2"/>
    <x v="3"/>
    <s v="FIN_EL"/>
    <x v="6"/>
    <s v="GHOB_WOODCHIPS"/>
    <n v="0.29199999999999998"/>
    <n v="1.0511999999999999"/>
  </r>
  <r>
    <x v="0"/>
    <x v="0"/>
    <x v="0"/>
    <x v="2"/>
    <x v="3"/>
    <s v="FIN_EL"/>
    <x v="11"/>
    <s v="GBPR_WOODWASTE_FINEL"/>
    <n v="3.08590909090909"/>
    <n v="11.1092727272727"/>
  </r>
  <r>
    <x v="0"/>
    <x v="0"/>
    <x v="0"/>
    <x v="2"/>
    <x v="3"/>
    <s v="FIN_ESPOO"/>
    <x v="15"/>
    <s v="GHOB_NATGAS_EXETS"/>
    <n v="0.20611764705882399"/>
    <n v="0.74202352941176497"/>
  </r>
  <r>
    <x v="0"/>
    <x v="0"/>
    <x v="0"/>
    <x v="2"/>
    <x v="3"/>
    <s v="FIN_GAS"/>
    <x v="15"/>
    <s v="GHOB_NATGAS_EXETS"/>
    <n v="1.7931470588235301"/>
    <n v="6.4553294117647004"/>
  </r>
  <r>
    <x v="0"/>
    <x v="0"/>
    <x v="0"/>
    <x v="2"/>
    <x v="3"/>
    <s v="FIN_HELS"/>
    <x v="3"/>
    <s v="GEXT_NATGAS_VOUSAARI"/>
    <n v="0.42868385971083101"/>
    <n v="1.54326189495899"/>
  </r>
  <r>
    <x v="0"/>
    <x v="0"/>
    <x v="0"/>
    <x v="2"/>
    <x v="3"/>
    <s v="FIN_HP"/>
    <x v="0"/>
    <s v="GHOB_BIOGAS"/>
    <n v="4.1223529411764701E-2"/>
    <n v="0.14840470588235299"/>
  </r>
  <r>
    <x v="0"/>
    <x v="0"/>
    <x v="0"/>
    <x v="2"/>
    <x v="3"/>
    <s v="FIN_HP"/>
    <x v="5"/>
    <s v="GHOB_WASTEHEAT"/>
    <n v="4.6126373626373403E-2"/>
    <n v="0.166054945054944"/>
  </r>
  <r>
    <x v="0"/>
    <x v="0"/>
    <x v="0"/>
    <x v="2"/>
    <x v="3"/>
    <s v="FIN_HP"/>
    <x v="6"/>
    <s v="GHOB_WOODCHIPS"/>
    <n v="0.84485333333333401"/>
    <n v="3.0414720000000002"/>
  </r>
  <r>
    <x v="0"/>
    <x v="0"/>
    <x v="0"/>
    <x v="2"/>
    <x v="3"/>
    <s v="FIN_HP"/>
    <x v="7"/>
    <s v="GHOB_WOODPELLETS"/>
    <n v="1.6546666666666699E-2"/>
    <n v="5.9568000000000003E-2"/>
  </r>
  <r>
    <x v="0"/>
    <x v="0"/>
    <x v="0"/>
    <x v="2"/>
    <x v="3"/>
    <s v="FIN_HP"/>
    <x v="11"/>
    <s v="GHOB_WOODWASTE"/>
    <n v="0.30402352941176503"/>
    <n v="1.0944847058823499"/>
  </r>
  <r>
    <x v="0"/>
    <x v="0"/>
    <x v="0"/>
    <x v="2"/>
    <x v="3"/>
    <s v="FIN_OTHER"/>
    <x v="0"/>
    <s v="GHOB_BIOGAS"/>
    <n v="8.6569411764705895E-2"/>
    <n v="0.311649882352941"/>
  </r>
  <r>
    <x v="0"/>
    <x v="0"/>
    <x v="0"/>
    <x v="2"/>
    <x v="3"/>
    <s v="FIN_OTHER"/>
    <x v="15"/>
    <s v="GHOB_NATGAS_EXETS"/>
    <n v="1.49435294117647"/>
    <n v="5.3796705882352898"/>
  </r>
  <r>
    <x v="0"/>
    <x v="0"/>
    <x v="0"/>
    <x v="2"/>
    <x v="3"/>
    <s v="FIN_OTHER"/>
    <x v="5"/>
    <s v="GHOB_WASTEHEAT"/>
    <n v="1.8822568681318601"/>
    <n v="6.7761247252747001"/>
  </r>
  <r>
    <x v="0"/>
    <x v="0"/>
    <x v="0"/>
    <x v="2"/>
    <x v="3"/>
    <s v="FIN_OTHER"/>
    <x v="6"/>
    <s v="GBPR_WOODCHIPS_FINOTHER"/>
    <n v="7.4384406091370501"/>
    <n v="26.7783861928934"/>
  </r>
  <r>
    <x v="0"/>
    <x v="0"/>
    <x v="0"/>
    <x v="2"/>
    <x v="3"/>
    <s v="FIN_OTHER"/>
    <x v="6"/>
    <s v="GHOB_WOODCHIPS"/>
    <n v="5.1080533333333298"/>
    <n v="18.388991999999998"/>
  </r>
  <r>
    <x v="0"/>
    <x v="0"/>
    <x v="0"/>
    <x v="2"/>
    <x v="3"/>
    <s v="FIN_OTHER"/>
    <x v="7"/>
    <s v="GBPR_WOODPELLETS"/>
    <n v="3.3426509259777297E-2"/>
    <n v="0.120335433335198"/>
  </r>
  <r>
    <x v="0"/>
    <x v="0"/>
    <x v="0"/>
    <x v="2"/>
    <x v="3"/>
    <s v="FIN_OTHER"/>
    <x v="7"/>
    <s v="GHOB_WOODPELLETS"/>
    <n v="0.55869333333333304"/>
    <n v="2.0112960000000002"/>
  </r>
  <r>
    <x v="0"/>
    <x v="0"/>
    <x v="0"/>
    <x v="2"/>
    <x v="3"/>
    <s v="FIN_OTHER"/>
    <x v="11"/>
    <s v="GBPR_WOODWASTE_FINOTHER"/>
    <n v="3.7731537037037"/>
    <n v="13.583353333333299"/>
  </r>
  <r>
    <x v="0"/>
    <x v="0"/>
    <x v="0"/>
    <x v="2"/>
    <x v="3"/>
    <s v="FIN_OTHER"/>
    <x v="11"/>
    <s v="GHOB_WOODWASTE"/>
    <n v="1.7190211764705901"/>
    <n v="6.1884762352941198"/>
  </r>
  <r>
    <x v="0"/>
    <x v="0"/>
    <x v="0"/>
    <x v="2"/>
    <x v="3"/>
    <s v="FIN_TAMP"/>
    <x v="3"/>
    <s v="GEXT_NATGAS_TAMPERE"/>
    <n v="4.5227916800000001"/>
    <n v="16.282050047999999"/>
  </r>
  <r>
    <x v="0"/>
    <x v="0"/>
    <x v="0"/>
    <x v="2"/>
    <x v="3"/>
    <s v="FIN_TAMP"/>
    <x v="15"/>
    <s v="GHOB_NATGAS_EXETS"/>
    <n v="0.22672941176470601"/>
    <n v="0.81622588235294102"/>
  </r>
  <r>
    <x v="0"/>
    <x v="0"/>
    <x v="0"/>
    <x v="2"/>
    <x v="3"/>
    <s v="FinA"/>
    <x v="16"/>
    <s v="GCND_NUCLEAR"/>
    <n v="72.575688959999994"/>
    <n v="261.27248025599999"/>
  </r>
  <r>
    <x v="0"/>
    <x v="0"/>
    <x v="0"/>
    <x v="2"/>
    <x v="3"/>
    <s v="FinA"/>
    <x v="9"/>
    <s v="GNR_RES_WTR_NOPMP_MC-01"/>
    <n v="1.09980504752811"/>
    <n v="3.9592981711011799"/>
  </r>
  <r>
    <x v="0"/>
    <x v="0"/>
    <x v="0"/>
    <x v="2"/>
    <x v="3"/>
    <s v="FinA"/>
    <x v="9"/>
    <s v="GNR_RES_WTR_NOPMP_MC-02"/>
    <n v="1.04482087599216"/>
    <n v="3.7613551535717802"/>
  </r>
  <r>
    <x v="0"/>
    <x v="0"/>
    <x v="0"/>
    <x v="2"/>
    <x v="3"/>
    <s v="FinA"/>
    <x v="9"/>
    <s v="GNR_RES_WTR_NOPMP_MC-03"/>
    <n v="1.0311615000000001"/>
    <n v="3.7121814"/>
  </r>
  <r>
    <x v="0"/>
    <x v="0"/>
    <x v="0"/>
    <x v="2"/>
    <x v="3"/>
    <s v="FinA"/>
    <x v="9"/>
    <s v="GNR_RES_WTR_NOPMP_MC-04"/>
    <n v="1.0311615000000001"/>
    <n v="3.7121814"/>
  </r>
  <r>
    <x v="0"/>
    <x v="0"/>
    <x v="0"/>
    <x v="2"/>
    <x v="3"/>
    <s v="FinA"/>
    <x v="9"/>
    <s v="GNR_RES_WTR_NOPMP_MC-05"/>
    <n v="0.98831815207580898"/>
    <n v="3.5579453474729101"/>
  </r>
  <r>
    <x v="0"/>
    <x v="0"/>
    <x v="0"/>
    <x v="2"/>
    <x v="3"/>
    <s v="FinA"/>
    <x v="9"/>
    <s v="GNR_RES_WTR_NOPMP_MC-06"/>
    <n v="0.94281638234179899"/>
    <n v="3.3941389764304799"/>
  </r>
  <r>
    <x v="0"/>
    <x v="0"/>
    <x v="0"/>
    <x v="2"/>
    <x v="3"/>
    <s v="FinA"/>
    <x v="9"/>
    <s v="GNR_RES_WTR_NOPMP_MC-07"/>
    <n v="0.89984947517815295"/>
    <n v="3.2394581106413498"/>
  </r>
  <r>
    <x v="0"/>
    <x v="0"/>
    <x v="0"/>
    <x v="2"/>
    <x v="3"/>
    <s v="FinA"/>
    <x v="9"/>
    <s v="GNR_RES_WTR_NOPMP_MC-08"/>
    <n v="0.81150472922171601"/>
    <n v="2.9214170251981799"/>
  </r>
  <r>
    <x v="0"/>
    <x v="0"/>
    <x v="0"/>
    <x v="2"/>
    <x v="3"/>
    <s v="FinA"/>
    <x v="9"/>
    <s v="GNR_RES_WTR_NOPMP_MC-09"/>
    <n v="0.75823752639469399"/>
    <n v="2.7296550950209002"/>
  </r>
  <r>
    <x v="0"/>
    <x v="0"/>
    <x v="0"/>
    <x v="2"/>
    <x v="3"/>
    <s v="FinA"/>
    <x v="9"/>
    <s v="GNR_RES_WTR_NOPMP_MC-10"/>
    <n v="0.49542481126756799"/>
    <n v="1.7835293205632401"/>
  </r>
  <r>
    <x v="0"/>
    <x v="0"/>
    <x v="0"/>
    <x v="2"/>
    <x v="3"/>
    <s v="FinA"/>
    <x v="9"/>
    <s v="GNR_ROR_WTR"/>
    <n v="8.0631208425029399"/>
    <n v="29.027235033010601"/>
  </r>
  <r>
    <x v="0"/>
    <x v="0"/>
    <x v="0"/>
    <x v="2"/>
    <x v="3"/>
    <s v="FinA"/>
    <x v="10"/>
    <s v="GNR_WT_WIND_ONS"/>
    <n v="2.967977935"/>
    <n v="10.684720565999999"/>
  </r>
  <r>
    <x v="0"/>
    <x v="0"/>
    <x v="0"/>
    <x v="2"/>
    <x v="3"/>
    <s v="FinA"/>
    <x v="13"/>
    <s v="GBPR_IND_BIO"/>
    <n v="9.6637385086823304"/>
    <n v="34.789458631256402"/>
  </r>
  <r>
    <x v="0"/>
    <x v="0"/>
    <x v="0"/>
    <x v="2"/>
    <x v="3"/>
    <s v="FinA"/>
    <x v="13"/>
    <s v="GBPR_WOOD_IND"/>
    <n v="58.529548440748499"/>
    <n v="210.70637438669399"/>
  </r>
  <r>
    <x v="0"/>
    <x v="0"/>
    <x v="0"/>
    <x v="2"/>
    <x v="3"/>
    <s v="FinA"/>
    <x v="13"/>
    <s v="GCND_COFIRING"/>
    <n v="5.7005699999999999"/>
    <n v="20.522051999999999"/>
  </r>
  <r>
    <x v="0"/>
    <x v="0"/>
    <x v="0"/>
    <x v="2"/>
    <x v="3"/>
    <s v="FinA"/>
    <x v="6"/>
    <s v="GCND_WOODCHIPS"/>
    <n v="0.160554231974922"/>
    <n v="0.57799523510971795"/>
  </r>
  <r>
    <x v="0"/>
    <x v="0"/>
    <x v="0"/>
    <x v="3"/>
    <x v="4"/>
    <s v="DE4-E_A"/>
    <x v="0"/>
    <s v="GNR_ENG_BGAS_BP_E-45"/>
    <n v="5.0029333333333301E-2"/>
    <n v="0.1801056"/>
  </r>
  <r>
    <x v="0"/>
    <x v="0"/>
    <x v="0"/>
    <x v="3"/>
    <x v="4"/>
    <s v="DE4-E_A"/>
    <x v="0"/>
    <s v="GNR_ENG_BGAS_CND_E-44"/>
    <n v="36.386053636363599"/>
    <n v="130.98979309090899"/>
  </r>
  <r>
    <x v="0"/>
    <x v="0"/>
    <x v="0"/>
    <x v="3"/>
    <x v="4"/>
    <s v="DE4-E_A"/>
    <x v="0"/>
    <s v="GNR_ST_BGAS_BP_E-38"/>
    <n v="5.3113263157894703"/>
    <n v="19.120774736842101"/>
  </r>
  <r>
    <x v="0"/>
    <x v="0"/>
    <x v="0"/>
    <x v="3"/>
    <x v="4"/>
    <s v="DE4-E_A"/>
    <x v="0"/>
    <s v="GNR_ST_BGAS_CND_E-38"/>
    <n v="1.70128421052632"/>
    <n v="6.1246231578947397"/>
  </r>
  <r>
    <x v="0"/>
    <x v="0"/>
    <x v="0"/>
    <x v="3"/>
    <x v="4"/>
    <s v="DE4-E_A"/>
    <x v="17"/>
    <s v="AGG-DE4-E_RES_WTR_PMP"/>
    <n v="4.66092865211239"/>
    <n v="16.7793431476046"/>
  </r>
  <r>
    <x v="0"/>
    <x v="0"/>
    <x v="0"/>
    <x v="3"/>
    <x v="4"/>
    <s v="DE4-E_A"/>
    <x v="2"/>
    <s v="GNR_ST_MSW_BP_E-33"/>
    <n v="8.4653454545454796"/>
    <n v="30.4752436363637"/>
  </r>
  <r>
    <x v="0"/>
    <x v="0"/>
    <x v="0"/>
    <x v="3"/>
    <x v="4"/>
    <s v="DE4-E_A"/>
    <x v="2"/>
    <s v="GNR_ST_MSW_CND_E-33"/>
    <n v="1.7281090909090899"/>
    <n v="6.2211927272727303"/>
  </r>
  <r>
    <x v="0"/>
    <x v="0"/>
    <x v="0"/>
    <x v="3"/>
    <x v="4"/>
    <s v="DE4-E_A"/>
    <x v="8"/>
    <s v="GNR_PV_SUN"/>
    <n v="11.438265235278299"/>
    <n v="41.1777548470018"/>
  </r>
  <r>
    <x v="0"/>
    <x v="0"/>
    <x v="0"/>
    <x v="3"/>
    <x v="4"/>
    <s v="DE4-E_A"/>
    <x v="5"/>
    <s v="GNR_GEO_HEAT_EO"/>
    <n v="1.9272E-3"/>
    <n v="6.9379200000000002E-3"/>
  </r>
  <r>
    <x v="0"/>
    <x v="0"/>
    <x v="0"/>
    <x v="3"/>
    <x v="4"/>
    <s v="DE4-E_A"/>
    <x v="9"/>
    <s v="GNR_ROR_WTR"/>
    <n v="2.6530440910678799"/>
    <n v="9.5509587278443497"/>
  </r>
  <r>
    <x v="0"/>
    <x v="0"/>
    <x v="0"/>
    <x v="3"/>
    <x v="4"/>
    <s v="DE4-E_A"/>
    <x v="10"/>
    <s v="GNR_WT_WIND_ONS"/>
    <n v="40.504328129999998"/>
    <n v="145.81558126799999"/>
  </r>
  <r>
    <x v="0"/>
    <x v="0"/>
    <x v="0"/>
    <x v="3"/>
    <x v="4"/>
    <s v="DE4-E_Offshore_A"/>
    <x v="10"/>
    <s v="GNR_WT_WIND_OFF"/>
    <n v="1.4729939999999999"/>
    <n v="5.3027784000000002"/>
  </r>
  <r>
    <x v="0"/>
    <x v="0"/>
    <x v="0"/>
    <x v="3"/>
    <x v="5"/>
    <s v="DE4-N_A"/>
    <x v="0"/>
    <s v="GNR_BO_BGAS_E-80"/>
    <n v="2.1900000000000001E-3"/>
    <n v="7.8840000000000004E-3"/>
  </r>
  <r>
    <x v="0"/>
    <x v="0"/>
    <x v="0"/>
    <x v="3"/>
    <x v="5"/>
    <s v="DE4-N_A"/>
    <x v="0"/>
    <s v="GNR_ENG_BGAS_BP_E-45"/>
    <n v="9.3439999999999999E-3"/>
    <n v="3.3638399999999999E-2"/>
  </r>
  <r>
    <x v="0"/>
    <x v="0"/>
    <x v="0"/>
    <x v="3"/>
    <x v="5"/>
    <s v="DE4-N_A"/>
    <x v="0"/>
    <s v="GNR_ENG_BGAS_CND_E-44"/>
    <n v="9.6423709090909107"/>
    <n v="34.712535272727301"/>
  </r>
  <r>
    <x v="0"/>
    <x v="0"/>
    <x v="0"/>
    <x v="3"/>
    <x v="5"/>
    <s v="DE4-N_A"/>
    <x v="0"/>
    <s v="GNR_ST_BGAS_BP_E-38"/>
    <n v="0.46105263157894699"/>
    <n v="1.65978947368421"/>
  </r>
  <r>
    <x v="0"/>
    <x v="0"/>
    <x v="0"/>
    <x v="3"/>
    <x v="5"/>
    <s v="DE4-N_A"/>
    <x v="17"/>
    <s v="AGG-DE4-N_RES_WTR_PMP"/>
    <n v="0.3225228"/>
    <n v="1.1610820799999999"/>
  </r>
  <r>
    <x v="0"/>
    <x v="0"/>
    <x v="0"/>
    <x v="3"/>
    <x v="5"/>
    <s v="DE4-N_A"/>
    <x v="2"/>
    <s v="GNR_BO_MSW_E-80"/>
    <n v="3.3944999999999999E-3"/>
    <n v="1.2220200000000001E-2"/>
  </r>
  <r>
    <x v="0"/>
    <x v="0"/>
    <x v="0"/>
    <x v="3"/>
    <x v="5"/>
    <s v="DE4-N_A"/>
    <x v="2"/>
    <s v="GNR_ST_MSW_BP_E-33"/>
    <n v="1.08836363636364"/>
    <n v="3.9181090909091001"/>
  </r>
  <r>
    <x v="0"/>
    <x v="0"/>
    <x v="0"/>
    <x v="3"/>
    <x v="5"/>
    <s v="DE4-N_A"/>
    <x v="3"/>
    <s v="GNR_CC_NGAS_BP_E-57"/>
    <n v="1.9517894736842101"/>
    <n v="7.0264421052631603"/>
  </r>
  <r>
    <x v="0"/>
    <x v="0"/>
    <x v="0"/>
    <x v="3"/>
    <x v="5"/>
    <s v="DE4-N_A"/>
    <x v="16"/>
    <s v="GNR_ST_NUCL_CND_E-33"/>
    <n v="37.429090909090903"/>
    <n v="134.744727272727"/>
  </r>
  <r>
    <x v="0"/>
    <x v="0"/>
    <x v="0"/>
    <x v="3"/>
    <x v="5"/>
    <s v="DE4-N_A"/>
    <x v="8"/>
    <s v="GNR_PV_SUN"/>
    <n v="1.6803275310545001"/>
    <n v="6.0491791117962102"/>
  </r>
  <r>
    <x v="0"/>
    <x v="0"/>
    <x v="0"/>
    <x v="3"/>
    <x v="5"/>
    <s v="DE4-N_A"/>
    <x v="9"/>
    <s v="GNR_ROR_WTR"/>
    <n v="2.3376999999999998E-2"/>
    <n v="8.4157200000000001E-2"/>
  </r>
  <r>
    <x v="0"/>
    <x v="0"/>
    <x v="0"/>
    <x v="3"/>
    <x v="5"/>
    <s v="DE4-N_A"/>
    <x v="10"/>
    <s v="GNR_WT_WIND_ONS"/>
    <n v="17.132994289999999"/>
    <n v="61.678779444"/>
  </r>
  <r>
    <x v="0"/>
    <x v="0"/>
    <x v="0"/>
    <x v="3"/>
    <x v="5"/>
    <s v="DE4-N_Offshore_A"/>
    <x v="10"/>
    <s v="GNR_WT_WIND_OFF"/>
    <n v="4.0293000000000001"/>
    <n v="14.50548"/>
  </r>
  <r>
    <x v="0"/>
    <x v="0"/>
    <x v="0"/>
    <x v="3"/>
    <x v="6"/>
    <s v="DE4-S_A"/>
    <x v="0"/>
    <s v="GNR_ENG_BGAS_BP_E-45"/>
    <n v="0.92194133333333395"/>
    <n v="3.3189888000000001"/>
  </r>
  <r>
    <x v="0"/>
    <x v="0"/>
    <x v="0"/>
    <x v="3"/>
    <x v="6"/>
    <s v="DE4-S_A"/>
    <x v="0"/>
    <s v="GNR_ENG_BGAS_CND_E-44"/>
    <n v="50.304499090909097"/>
    <n v="181.096196727273"/>
  </r>
  <r>
    <x v="0"/>
    <x v="0"/>
    <x v="0"/>
    <x v="3"/>
    <x v="6"/>
    <s v="DE4-S_A"/>
    <x v="0"/>
    <s v="GNR_ST_BGAS_BP_E-38"/>
    <n v="6.0213473684210603"/>
    <n v="21.6768505263158"/>
  </r>
  <r>
    <x v="0"/>
    <x v="0"/>
    <x v="0"/>
    <x v="3"/>
    <x v="6"/>
    <s v="DE4-S_A"/>
    <x v="0"/>
    <s v="GNR_ST_BGAS_CND_E-38"/>
    <n v="0.92902105263157897"/>
    <n v="3.3444757894736798"/>
  </r>
  <r>
    <x v="0"/>
    <x v="0"/>
    <x v="0"/>
    <x v="3"/>
    <x v="6"/>
    <s v="DE4-S_A"/>
    <x v="17"/>
    <s v="AGG-DE4-S_RES_WTR_PMP"/>
    <n v="3.8193412053366398"/>
    <n v="13.749628339211901"/>
  </r>
  <r>
    <x v="0"/>
    <x v="0"/>
    <x v="0"/>
    <x v="3"/>
    <x v="6"/>
    <s v="DE4-S_A"/>
    <x v="2"/>
    <s v="GNR_ST_MSW_BP_E-33"/>
    <n v="10.6155272727273"/>
    <n v="38.215898181818297"/>
  </r>
  <r>
    <x v="0"/>
    <x v="0"/>
    <x v="0"/>
    <x v="3"/>
    <x v="6"/>
    <s v="DE4-S_A"/>
    <x v="2"/>
    <s v="GNR_ST_MSW_CND_E-33"/>
    <n v="1.06181818181818"/>
    <n v="3.8225454545454598"/>
  </r>
  <r>
    <x v="0"/>
    <x v="0"/>
    <x v="0"/>
    <x v="3"/>
    <x v="6"/>
    <s v="DE4-S_A"/>
    <x v="16"/>
    <s v="GNR_ST_NUCL_CND_E-33"/>
    <n v="177.69527272727299"/>
    <n v="639.70298181818202"/>
  </r>
  <r>
    <x v="0"/>
    <x v="0"/>
    <x v="0"/>
    <x v="3"/>
    <x v="6"/>
    <s v="DE4-S_A"/>
    <x v="8"/>
    <s v="GNR_PV_SUN"/>
    <n v="21.7176092114785"/>
    <n v="78.183393161322698"/>
  </r>
  <r>
    <x v="0"/>
    <x v="0"/>
    <x v="0"/>
    <x v="3"/>
    <x v="6"/>
    <s v="DE4-S_A"/>
    <x v="5"/>
    <s v="GNR_GEO_HEAT_EO"/>
    <n v="0.39209759999999999"/>
    <n v="1.41155136"/>
  </r>
  <r>
    <x v="0"/>
    <x v="0"/>
    <x v="0"/>
    <x v="3"/>
    <x v="6"/>
    <s v="DE4-S_A"/>
    <x v="9"/>
    <s v="GNR_RES_WTR_NOPMP"/>
    <n v="0.59766271944701799"/>
    <n v="2.1515857900092699"/>
  </r>
  <r>
    <x v="0"/>
    <x v="0"/>
    <x v="0"/>
    <x v="3"/>
    <x v="6"/>
    <s v="DE4-S_A"/>
    <x v="9"/>
    <s v="GNR_ROR_WTR"/>
    <n v="38.207127800000002"/>
    <n v="137.54566008"/>
  </r>
  <r>
    <x v="0"/>
    <x v="0"/>
    <x v="0"/>
    <x v="3"/>
    <x v="6"/>
    <s v="DE4-S_A"/>
    <x v="10"/>
    <s v="GNR_WT_WIND_ONS"/>
    <n v="13.97148009"/>
    <n v="50.297328323999999"/>
  </r>
  <r>
    <x v="0"/>
    <x v="0"/>
    <x v="0"/>
    <x v="3"/>
    <x v="7"/>
    <s v="DE4-W_A"/>
    <x v="0"/>
    <s v="GNR_BO_BGAS_E-80"/>
    <n v="1.4234999999999999E-2"/>
    <n v="5.1246E-2"/>
  </r>
  <r>
    <x v="0"/>
    <x v="0"/>
    <x v="0"/>
    <x v="3"/>
    <x v="7"/>
    <s v="DE4-W_A"/>
    <x v="0"/>
    <s v="GNR_ENG_BGAS_BP_E-45"/>
    <n v="0.34241866666666698"/>
    <n v="1.2327071999999999"/>
  </r>
  <r>
    <x v="0"/>
    <x v="0"/>
    <x v="0"/>
    <x v="3"/>
    <x v="7"/>
    <s v="DE4-W_A"/>
    <x v="0"/>
    <s v="GNR_ENG_BGAS_CND_E-44"/>
    <n v="50.598954545454603"/>
    <n v="182.156236363636"/>
  </r>
  <r>
    <x v="0"/>
    <x v="0"/>
    <x v="0"/>
    <x v="3"/>
    <x v="7"/>
    <s v="DE4-W_A"/>
    <x v="0"/>
    <s v="GNR_ST_BGAS_BP_E-33"/>
    <n v="0.88661818181818197"/>
    <n v="3.1918254545454499"/>
  </r>
  <r>
    <x v="0"/>
    <x v="0"/>
    <x v="0"/>
    <x v="3"/>
    <x v="7"/>
    <s v="DE4-W_A"/>
    <x v="0"/>
    <s v="GNR_ST_BGAS_BP_E-38"/>
    <n v="3.0959684210526301"/>
    <n v="11.145486315789499"/>
  </r>
  <r>
    <x v="0"/>
    <x v="0"/>
    <x v="0"/>
    <x v="3"/>
    <x v="7"/>
    <s v="DE4-W_A"/>
    <x v="0"/>
    <s v="GNR_ST_BGAS_CND_E-38"/>
    <n v="2.1784736842105299"/>
    <n v="7.8425052631579"/>
  </r>
  <r>
    <x v="0"/>
    <x v="0"/>
    <x v="0"/>
    <x v="3"/>
    <x v="7"/>
    <s v="DE4-W_A"/>
    <x v="17"/>
    <s v="AGG-DE4-W_RES_WTR_PMP"/>
    <n v="2.5681859999999999"/>
    <n v="9.2454695999999998"/>
  </r>
  <r>
    <x v="0"/>
    <x v="0"/>
    <x v="0"/>
    <x v="3"/>
    <x v="7"/>
    <s v="DE4-W_A"/>
    <x v="2"/>
    <s v="GNR_BO_MSW_E-80"/>
    <n v="4.7742E-2"/>
    <n v="0.1718712"/>
  </r>
  <r>
    <x v="0"/>
    <x v="0"/>
    <x v="0"/>
    <x v="3"/>
    <x v="7"/>
    <s v="DE4-W_A"/>
    <x v="2"/>
    <s v="GNR_ST_MSW_BP_E-33"/>
    <n v="15.3724727272728"/>
    <n v="55.340901818181997"/>
  </r>
  <r>
    <x v="0"/>
    <x v="0"/>
    <x v="0"/>
    <x v="3"/>
    <x v="7"/>
    <s v="DE4-W_A"/>
    <x v="2"/>
    <s v="GNR_ST_MSW_CND_E-33"/>
    <n v="4.5870545454545404"/>
    <n v="16.513396363636399"/>
  </r>
  <r>
    <x v="0"/>
    <x v="0"/>
    <x v="0"/>
    <x v="3"/>
    <x v="7"/>
    <s v="DE4-W_A"/>
    <x v="3"/>
    <s v="GNR_CC_NGAS_BP_E-55"/>
    <n v="2.9996860660266198"/>
    <n v="10.798869837695801"/>
  </r>
  <r>
    <x v="0"/>
    <x v="0"/>
    <x v="0"/>
    <x v="3"/>
    <x v="7"/>
    <s v="DE4-W_A"/>
    <x v="16"/>
    <s v="GNR_ST_NUCL_CND_E-33"/>
    <n v="71.566545454545405"/>
    <n v="257.63956363636402"/>
  </r>
  <r>
    <x v="0"/>
    <x v="0"/>
    <x v="0"/>
    <x v="3"/>
    <x v="7"/>
    <s v="DE4-W_A"/>
    <x v="8"/>
    <s v="GNR_PV_SUN"/>
    <n v="10.6223389660178"/>
    <n v="38.240420277664001"/>
  </r>
  <r>
    <x v="0"/>
    <x v="0"/>
    <x v="0"/>
    <x v="3"/>
    <x v="7"/>
    <s v="DE4-W_A"/>
    <x v="9"/>
    <s v="GNR_ROR_WTR"/>
    <n v="1.7424299999999999"/>
    <n v="6.272748"/>
  </r>
  <r>
    <x v="0"/>
    <x v="0"/>
    <x v="0"/>
    <x v="3"/>
    <x v="7"/>
    <s v="DE4-W_A"/>
    <x v="10"/>
    <s v="GNR_WT_WIND_ONS"/>
    <n v="38.021413850000002"/>
    <n v="136.87708986000001"/>
  </r>
  <r>
    <x v="0"/>
    <x v="0"/>
    <x v="0"/>
    <x v="3"/>
    <x v="7"/>
    <s v="DE4-W_Offshore_A"/>
    <x v="10"/>
    <s v="GNR_WT_WIND_OFF"/>
    <n v="0.49694700000000003"/>
    <n v="1.7890092"/>
  </r>
  <r>
    <x v="0"/>
    <x v="0"/>
    <x v="0"/>
    <x v="4"/>
    <x v="8"/>
    <s v="LV_Other_DH"/>
    <x v="0"/>
    <s v="GNR_GT_BGAS_BP_E-30"/>
    <n v="1.7867346405228799"/>
    <n v="6.4322447058823498"/>
  </r>
  <r>
    <x v="0"/>
    <x v="0"/>
    <x v="0"/>
    <x v="4"/>
    <x v="8"/>
    <s v="LV_Other_DH"/>
    <x v="13"/>
    <s v="GNR_ST_WOOD_BP_E-30"/>
    <n v="1.5561882352941201"/>
    <n v="5.6022776470588198"/>
  </r>
  <r>
    <x v="0"/>
    <x v="0"/>
    <x v="0"/>
    <x v="4"/>
    <x v="8"/>
    <s v="LV_RigaR"/>
    <x v="3"/>
    <s v="RIGA-TEC2_CC_NGAS_EXT"/>
    <n v="4.9514755397108399"/>
    <n v="17.825311942959001"/>
  </r>
  <r>
    <x v="0"/>
    <x v="0"/>
    <x v="0"/>
    <x v="4"/>
    <x v="8"/>
    <s v="LV_RigaR"/>
    <x v="9"/>
    <s v="GNR_RES_WTR_NOPMP"/>
    <n v="4.0200000000000001E-4"/>
    <n v="1.4472E-3"/>
  </r>
  <r>
    <x v="0"/>
    <x v="0"/>
    <x v="0"/>
    <x v="4"/>
    <x v="8"/>
    <s v="LV_Rural"/>
    <x v="10"/>
    <s v="GNR_WT_WIND_ONS"/>
    <n v="0.11622"/>
    <n v="0.41839199999999999"/>
  </r>
  <r>
    <x v="0"/>
    <x v="0"/>
    <x v="0"/>
    <x v="5"/>
    <x v="9"/>
    <s v="LT_KauU"/>
    <x v="2"/>
    <s v="KAUNAS_ST_MSW_BP"/>
    <n v="0.80672871432093995"/>
    <n v="2.9042233715553798"/>
  </r>
  <r>
    <x v="0"/>
    <x v="0"/>
    <x v="0"/>
    <x v="5"/>
    <x v="9"/>
    <s v="LT_KauU"/>
    <x v="9"/>
    <s v="GNR_ROR_WTR"/>
    <n v="0.61343999999999999"/>
    <n v="2.2083840000000001"/>
  </r>
  <r>
    <x v="0"/>
    <x v="0"/>
    <x v="0"/>
    <x v="5"/>
    <x v="9"/>
    <s v="LT_KlaU"/>
    <x v="8"/>
    <s v="GNR_PV_SUN"/>
    <n v="8.7830410424068805E-2"/>
    <n v="0.316189477526648"/>
  </r>
  <r>
    <x v="0"/>
    <x v="0"/>
    <x v="0"/>
    <x v="5"/>
    <x v="9"/>
    <s v="LT_KlaU"/>
    <x v="13"/>
    <s v="KLAIPEDA_ST_WOOD_BP"/>
    <n v="1.30712490445267"/>
    <n v="4.7056496560296202"/>
  </r>
  <r>
    <x v="0"/>
    <x v="0"/>
    <x v="0"/>
    <x v="5"/>
    <x v="9"/>
    <s v="LT_Other_DH"/>
    <x v="0"/>
    <s v="GNR_ENG_BGAS_EXT_E-33"/>
    <n v="1.03527272727273"/>
    <n v="3.7269818181818199"/>
  </r>
  <r>
    <x v="0"/>
    <x v="0"/>
    <x v="0"/>
    <x v="5"/>
    <x v="9"/>
    <s v="LT_Other_DH"/>
    <x v="18"/>
    <s v="LIFOSA_ST_HEAT_BP"/>
    <n v="0.747176470588235"/>
    <n v="2.6898352941176502"/>
  </r>
  <r>
    <x v="0"/>
    <x v="0"/>
    <x v="0"/>
    <x v="5"/>
    <x v="9"/>
    <s v="LT_Other_DH"/>
    <x v="11"/>
    <s v="EBAVERE_ST_WOODWST_BP"/>
    <n v="0.35962105263157901"/>
    <n v="1.29463578947368"/>
  </r>
  <r>
    <x v="0"/>
    <x v="0"/>
    <x v="0"/>
    <x v="5"/>
    <x v="9"/>
    <s v="LT_Panevezys"/>
    <x v="13"/>
    <s v="GNR_ST_WOOD_EXT_E-14"/>
    <n v="0.161029411764706"/>
    <n v="0.57970588235294096"/>
  </r>
  <r>
    <x v="0"/>
    <x v="0"/>
    <x v="0"/>
    <x v="5"/>
    <x v="9"/>
    <s v="LT_Rural"/>
    <x v="10"/>
    <s v="GNR_WT_WIND_ONS"/>
    <n v="0.98593299999999995"/>
    <n v="3.5493587999999998"/>
  </r>
  <r>
    <x v="0"/>
    <x v="0"/>
    <x v="0"/>
    <x v="5"/>
    <x v="9"/>
    <s v="LT_SiaU"/>
    <x v="13"/>
    <s v="SIAULIAI_ST_WOOD_BP"/>
    <n v="0.41259066937119698"/>
    <n v="1.4853264097363099"/>
  </r>
  <r>
    <x v="0"/>
    <x v="0"/>
    <x v="0"/>
    <x v="5"/>
    <x v="9"/>
    <s v="LT_VilU"/>
    <x v="2"/>
    <s v="VILNIUS_ST_MSW_BP"/>
    <n v="2.76675451510213"/>
    <n v="9.9603162543676707"/>
  </r>
  <r>
    <x v="0"/>
    <x v="0"/>
    <x v="0"/>
    <x v="5"/>
    <x v="9"/>
    <s v="LT_VilU"/>
    <x v="3"/>
    <s v="GNR_CC_NGAS_CND_E-58"/>
    <n v="4.9514755397108301"/>
    <n v="17.825311942959001"/>
  </r>
  <r>
    <x v="0"/>
    <x v="0"/>
    <x v="0"/>
    <x v="5"/>
    <x v="9"/>
    <s v="LT_VilU"/>
    <x v="13"/>
    <s v="VILNIUS_ST_WOOD_BP"/>
    <n v="0.76280898876404601"/>
    <n v="2.7461123595505601"/>
  </r>
  <r>
    <x v="0"/>
    <x v="0"/>
    <x v="0"/>
    <x v="6"/>
    <x v="10"/>
    <s v="NL_A"/>
    <x v="2"/>
    <s v="GNR_ST_MSW_CND_E-40"/>
    <n v="14.9796"/>
    <n v="53.926560000000002"/>
  </r>
  <r>
    <x v="0"/>
    <x v="0"/>
    <x v="0"/>
    <x v="6"/>
    <x v="10"/>
    <s v="NL_A"/>
    <x v="3"/>
    <s v="GNR_CC_NGAS_CND_E-38"/>
    <n v="4.9514755397108301"/>
    <n v="17.825311942959001"/>
  </r>
  <r>
    <x v="0"/>
    <x v="0"/>
    <x v="0"/>
    <x v="6"/>
    <x v="10"/>
    <s v="NL_A"/>
    <x v="16"/>
    <s v="GNR_ST_NUCL_CND_E-33"/>
    <n v="13.670909090909101"/>
    <n v="49.215272727272698"/>
  </r>
  <r>
    <x v="0"/>
    <x v="0"/>
    <x v="0"/>
    <x v="6"/>
    <x v="10"/>
    <s v="NL_A"/>
    <x v="8"/>
    <s v="GNR_PV_SUN"/>
    <n v="0.83486304"/>
    <n v="3.005506944"/>
  </r>
  <r>
    <x v="0"/>
    <x v="0"/>
    <x v="0"/>
    <x v="6"/>
    <x v="10"/>
    <s v="NL_A"/>
    <x v="9"/>
    <s v="GNR_ROR_WTR"/>
    <n v="0.15959999999999999"/>
    <n v="0.57455999999999996"/>
  </r>
  <r>
    <x v="0"/>
    <x v="0"/>
    <x v="0"/>
    <x v="6"/>
    <x v="10"/>
    <s v="NL_A"/>
    <x v="10"/>
    <s v="GNR_WT_WIND_OFF"/>
    <n v="0.70642000000000005"/>
    <n v="2.5431119999999998"/>
  </r>
  <r>
    <x v="0"/>
    <x v="0"/>
    <x v="0"/>
    <x v="6"/>
    <x v="10"/>
    <s v="NL_A"/>
    <x v="10"/>
    <s v="GNR_WT_WIND_ONS"/>
    <n v="7.0527600000000001"/>
    <n v="25.389935999999999"/>
  </r>
  <r>
    <x v="0"/>
    <x v="0"/>
    <x v="0"/>
    <x v="6"/>
    <x v="10"/>
    <s v="NL_A"/>
    <x v="13"/>
    <s v="GNR_ST_WOOD_CND_E-50"/>
    <n v="7.008"/>
    <n v="25.2288"/>
  </r>
  <r>
    <x v="0"/>
    <x v="0"/>
    <x v="0"/>
    <x v="7"/>
    <x v="11"/>
    <s v="NO1_A1"/>
    <x v="2"/>
    <s v="GBPR_MUNIWASTE"/>
    <n v="0.33727569892473103"/>
    <n v="1.2141925161290299"/>
  </r>
  <r>
    <x v="0"/>
    <x v="0"/>
    <x v="0"/>
    <x v="7"/>
    <x v="11"/>
    <s v="NO1_A1"/>
    <x v="2"/>
    <s v="GHOB_MUNIWASTE"/>
    <n v="7.6716988235294103E-2"/>
    <n v="0.27618115764705897"/>
  </r>
  <r>
    <x v="0"/>
    <x v="0"/>
    <x v="0"/>
    <x v="7"/>
    <x v="11"/>
    <s v="NO1_A1"/>
    <x v="5"/>
    <s v="GHOB_WASTEHEAT"/>
    <n v="2.5974162087911999E-2"/>
    <n v="9.3506983516483094E-2"/>
  </r>
  <r>
    <x v="0"/>
    <x v="0"/>
    <x v="0"/>
    <x v="7"/>
    <x v="11"/>
    <s v="NO1_A1"/>
    <x v="9"/>
    <s v="GNR_RES_WTR_NOPMP_MC-01"/>
    <n v="1.3431999999999999"/>
    <n v="4.8355199999999998"/>
  </r>
  <r>
    <x v="0"/>
    <x v="0"/>
    <x v="0"/>
    <x v="7"/>
    <x v="11"/>
    <s v="NO1_A1"/>
    <x v="9"/>
    <s v="GNR_RES_WTR_NOPMP_MC-02"/>
    <n v="1.1869057559729199"/>
    <n v="4.2728607215025098"/>
  </r>
  <r>
    <x v="0"/>
    <x v="0"/>
    <x v="0"/>
    <x v="7"/>
    <x v="11"/>
    <s v="NO1_A1"/>
    <x v="9"/>
    <s v="GNR_RES_WTR_NOPMP_MC-03"/>
    <n v="0.91875899047755205"/>
    <n v="3.3075323657191902"/>
  </r>
  <r>
    <x v="0"/>
    <x v="0"/>
    <x v="0"/>
    <x v="7"/>
    <x v="11"/>
    <s v="NO1_A1"/>
    <x v="9"/>
    <s v="GNR_RES_WTR_NOPMP_MC-04"/>
    <n v="0.81759999999999999"/>
    <n v="2.9433600000000002"/>
  </r>
  <r>
    <x v="0"/>
    <x v="0"/>
    <x v="0"/>
    <x v="7"/>
    <x v="11"/>
    <s v="NO1_A1"/>
    <x v="9"/>
    <s v="GNR_RES_WTR_NOPMP_MC-05"/>
    <n v="0.30944596466419999"/>
    <n v="1.1140054727911199"/>
  </r>
  <r>
    <x v="0"/>
    <x v="0"/>
    <x v="0"/>
    <x v="7"/>
    <x v="11"/>
    <s v="NO1_A1"/>
    <x v="9"/>
    <s v="GNR_RES_WTR_NOPMP_MC-06"/>
    <n v="0.23297499935071"/>
    <n v="0.83870999766255705"/>
  </r>
  <r>
    <x v="0"/>
    <x v="0"/>
    <x v="0"/>
    <x v="7"/>
    <x v="11"/>
    <s v="NO1_A1"/>
    <x v="9"/>
    <s v="GNR_RES_WTR_NOPMP_MC-07"/>
    <n v="1.9571925116313501E-2"/>
    <n v="7.0458930418728805E-2"/>
  </r>
  <r>
    <x v="0"/>
    <x v="0"/>
    <x v="0"/>
    <x v="7"/>
    <x v="11"/>
    <s v="NO1_A1"/>
    <x v="9"/>
    <s v="GNR_ROR_WTR"/>
    <n v="8.2207838348424804"/>
    <n v="29.5948218054329"/>
  </r>
  <r>
    <x v="0"/>
    <x v="0"/>
    <x v="0"/>
    <x v="7"/>
    <x v="11"/>
    <s v="NO1_A1"/>
    <x v="6"/>
    <s v="GHOB_WOODCHIPS"/>
    <n v="0.57723601417507198"/>
    <n v="2.07804965103026"/>
  </r>
  <r>
    <x v="0"/>
    <x v="0"/>
    <x v="0"/>
    <x v="7"/>
    <x v="11"/>
    <s v="NO1_A1"/>
    <x v="11"/>
    <s v="GHOB_WOODWASTE"/>
    <n v="0.54621176470588195"/>
    <n v="1.96636235294118"/>
  </r>
  <r>
    <x v="0"/>
    <x v="0"/>
    <x v="0"/>
    <x v="7"/>
    <x v="11"/>
    <s v="NO1_A2"/>
    <x v="1"/>
    <s v="GHOB_BIOOIL"/>
    <n v="0.526877495256171"/>
    <n v="1.89675898292222"/>
  </r>
  <r>
    <x v="0"/>
    <x v="0"/>
    <x v="0"/>
    <x v="7"/>
    <x v="11"/>
    <s v="NO1_A2"/>
    <x v="2"/>
    <s v="GBPR_MUNIWASTE"/>
    <n v="0.45628192114694799"/>
    <n v="1.64261491612901"/>
  </r>
  <r>
    <x v="0"/>
    <x v="0"/>
    <x v="0"/>
    <x v="7"/>
    <x v="11"/>
    <s v="NO1_A2"/>
    <x v="2"/>
    <s v="GHOB_MUNIWASTE"/>
    <n v="0.32978823529411799"/>
    <n v="1.18723764705882"/>
  </r>
  <r>
    <x v="0"/>
    <x v="0"/>
    <x v="0"/>
    <x v="7"/>
    <x v="11"/>
    <s v="NO1_A2"/>
    <x v="7"/>
    <s v="GHOB_WOODPELLETS"/>
    <n v="0.54506666666666703"/>
    <n v="1.96224"/>
  </r>
  <r>
    <x v="0"/>
    <x v="0"/>
    <x v="0"/>
    <x v="7"/>
    <x v="11"/>
    <s v="NO1_A2"/>
    <x v="11"/>
    <s v="GHOB_WOODWASTE"/>
    <n v="0.164894117647059"/>
    <n v="0.59361882352941198"/>
  </r>
  <r>
    <x v="0"/>
    <x v="0"/>
    <x v="0"/>
    <x v="7"/>
    <x v="12"/>
    <s v="NO2_A1"/>
    <x v="2"/>
    <s v="GBPR_MUNIWASTE"/>
    <n v="0.44421677419354799"/>
    <n v="1.59918038709677"/>
  </r>
  <r>
    <x v="0"/>
    <x v="0"/>
    <x v="0"/>
    <x v="7"/>
    <x v="12"/>
    <s v="NO2_A1"/>
    <x v="5"/>
    <s v="GHOB_WASTEHEAT"/>
    <n v="3.7727902169053001E-2"/>
    <n v="0.13582044780859101"/>
  </r>
  <r>
    <x v="0"/>
    <x v="0"/>
    <x v="0"/>
    <x v="7"/>
    <x v="12"/>
    <s v="NO2_A1"/>
    <x v="9"/>
    <s v="GNR_RES_WTR_NOPMP_MC-01"/>
    <n v="3.2166024084082498"/>
    <n v="11.579768670269701"/>
  </r>
  <r>
    <x v="0"/>
    <x v="0"/>
    <x v="0"/>
    <x v="7"/>
    <x v="12"/>
    <s v="NO2_A1"/>
    <x v="9"/>
    <s v="GNR_RES_WTR_NOPMP_MC-02"/>
    <n v="7.7718024084082398"/>
    <n v="27.978488670269702"/>
  </r>
  <r>
    <x v="0"/>
    <x v="0"/>
    <x v="0"/>
    <x v="7"/>
    <x v="12"/>
    <s v="NO2_A1"/>
    <x v="9"/>
    <s v="GNR_RES_WTR_NOPMP_MC-03"/>
    <n v="7.7718024084082398"/>
    <n v="27.978488670269702"/>
  </r>
  <r>
    <x v="0"/>
    <x v="0"/>
    <x v="0"/>
    <x v="7"/>
    <x v="12"/>
    <s v="NO2_A1"/>
    <x v="9"/>
    <s v="GNR_RES_WTR_NOPMP_MC-04"/>
    <n v="7.7718024084082398"/>
    <n v="27.978488670269702"/>
  </r>
  <r>
    <x v="0"/>
    <x v="0"/>
    <x v="0"/>
    <x v="7"/>
    <x v="12"/>
    <s v="NO2_A1"/>
    <x v="9"/>
    <s v="GNR_RES_WTR_NOPMP_MC-05"/>
    <n v="5.7423086895111499"/>
    <n v="20.672311282240099"/>
  </r>
  <r>
    <x v="0"/>
    <x v="0"/>
    <x v="0"/>
    <x v="7"/>
    <x v="12"/>
    <s v="NO2_A1"/>
    <x v="9"/>
    <s v="GNR_RES_WTR_NOPMP_MC-06"/>
    <n v="0.65270088227285605"/>
    <n v="2.3497231761822799"/>
  </r>
  <r>
    <x v="0"/>
    <x v="0"/>
    <x v="0"/>
    <x v="7"/>
    <x v="12"/>
    <s v="NO2_A1"/>
    <x v="9"/>
    <s v="GNR_RES_WTR_PMP_MC-01"/>
    <n v="4.5552000000000001"/>
    <n v="16.398720000000001"/>
  </r>
  <r>
    <x v="0"/>
    <x v="0"/>
    <x v="0"/>
    <x v="7"/>
    <x v="12"/>
    <s v="NO2_A1"/>
    <x v="9"/>
    <s v="GNR_ROR_WTR"/>
    <n v="9.2743043586350105"/>
    <n v="33.387495691086102"/>
  </r>
  <r>
    <x v="0"/>
    <x v="0"/>
    <x v="0"/>
    <x v="7"/>
    <x v="12"/>
    <s v="NO2_A1"/>
    <x v="10"/>
    <s v="GNR_WT_WIND_ONS"/>
    <n v="1.5001477000000001"/>
    <n v="5.40053172"/>
  </r>
  <r>
    <x v="0"/>
    <x v="0"/>
    <x v="0"/>
    <x v="7"/>
    <x v="12"/>
    <s v="NO2_A1"/>
    <x v="11"/>
    <s v="GHOB_WOODWASTE"/>
    <n v="5.1473281156544301E-2"/>
    <n v="0.18530381216355901"/>
  </r>
  <r>
    <x v="0"/>
    <x v="0"/>
    <x v="0"/>
    <x v="7"/>
    <x v="13"/>
    <s v="NO3_A1"/>
    <x v="2"/>
    <s v="GBPR_MUNIWASTE"/>
    <n v="0.17645277419354799"/>
    <n v="0.63522998709677403"/>
  </r>
  <r>
    <x v="0"/>
    <x v="0"/>
    <x v="0"/>
    <x v="7"/>
    <x v="13"/>
    <s v="NO3_A1"/>
    <x v="3"/>
    <s v="GCND_NATGAS4"/>
    <n v="4.86260691577756"/>
    <n v="17.5053848967992"/>
  </r>
  <r>
    <x v="0"/>
    <x v="0"/>
    <x v="0"/>
    <x v="7"/>
    <x v="13"/>
    <s v="NO3_A1"/>
    <x v="5"/>
    <s v="GHOB_WASTEHEAT"/>
    <n v="3.7702293956043798E-2"/>
    <n v="0.13572825824175799"/>
  </r>
  <r>
    <x v="0"/>
    <x v="0"/>
    <x v="0"/>
    <x v="7"/>
    <x v="13"/>
    <s v="NO3_A1"/>
    <x v="9"/>
    <s v="GNR_RES_WTR_NOPMP_MC-01"/>
    <n v="1.94337545966466"/>
    <n v="6.9961516547927696"/>
  </r>
  <r>
    <x v="0"/>
    <x v="0"/>
    <x v="0"/>
    <x v="7"/>
    <x v="13"/>
    <s v="NO3_A1"/>
    <x v="9"/>
    <s v="GNR_RES_WTR_NOPMP_MC-02"/>
    <n v="2.4716034596646601"/>
    <n v="8.8977724547927703"/>
  </r>
  <r>
    <x v="0"/>
    <x v="0"/>
    <x v="0"/>
    <x v="7"/>
    <x v="13"/>
    <s v="NO3_A1"/>
    <x v="9"/>
    <s v="GNR_RES_WTR_NOPMP_MC-03"/>
    <n v="2.4716034596646601"/>
    <n v="8.8977724547927703"/>
  </r>
  <r>
    <x v="0"/>
    <x v="0"/>
    <x v="0"/>
    <x v="7"/>
    <x v="13"/>
    <s v="NO3_A1"/>
    <x v="9"/>
    <s v="GNR_RES_WTR_NOPMP_MC-04"/>
    <n v="2.11656972333979"/>
    <n v="7.6196510040232504"/>
  </r>
  <r>
    <x v="0"/>
    <x v="0"/>
    <x v="0"/>
    <x v="7"/>
    <x v="13"/>
    <s v="NO3_A1"/>
    <x v="9"/>
    <s v="GNR_RES_WTR_NOPMP_MC-05"/>
    <n v="1.5576211851681701"/>
    <n v="5.6074362666054096"/>
  </r>
  <r>
    <x v="0"/>
    <x v="0"/>
    <x v="0"/>
    <x v="7"/>
    <x v="13"/>
    <s v="NO3_A1"/>
    <x v="9"/>
    <s v="GNR_RES_WTR_NOPMP_MC-06"/>
    <n v="0.67755989970377395"/>
    <n v="2.4392156389335899"/>
  </r>
  <r>
    <x v="0"/>
    <x v="0"/>
    <x v="0"/>
    <x v="7"/>
    <x v="13"/>
    <s v="NO3_A1"/>
    <x v="9"/>
    <s v="GNR_RES_WTR_NOPMP_MC-07"/>
    <n v="0.45570227982794098"/>
    <n v="1.64052820738059"/>
  </r>
  <r>
    <x v="0"/>
    <x v="0"/>
    <x v="0"/>
    <x v="7"/>
    <x v="13"/>
    <s v="NO3_A1"/>
    <x v="9"/>
    <s v="GNR_RES_WTR_NOPMP_MC-08"/>
    <n v="0.30895043245808201"/>
    <n v="1.1122215568491001"/>
  </r>
  <r>
    <x v="0"/>
    <x v="0"/>
    <x v="0"/>
    <x v="7"/>
    <x v="13"/>
    <s v="NO3_A1"/>
    <x v="9"/>
    <s v="GNR_RES_WTR_PMP_MC-01"/>
    <n v="0.52822800000000003"/>
    <n v="1.9016207999999999"/>
  </r>
  <r>
    <x v="0"/>
    <x v="0"/>
    <x v="0"/>
    <x v="7"/>
    <x v="13"/>
    <s v="NO3_A1"/>
    <x v="9"/>
    <s v="GNR_ROR_WTR"/>
    <n v="6.0353824559844602"/>
    <n v="21.727376841544"/>
  </r>
  <r>
    <x v="0"/>
    <x v="0"/>
    <x v="0"/>
    <x v="7"/>
    <x v="13"/>
    <s v="NO3_A1"/>
    <x v="10"/>
    <s v="GNR_WT_WIND_ONS"/>
    <n v="1.0027718999999999"/>
    <n v="3.6099788400000001"/>
  </r>
  <r>
    <x v="0"/>
    <x v="0"/>
    <x v="0"/>
    <x v="7"/>
    <x v="13"/>
    <s v="NO3_A1"/>
    <x v="6"/>
    <s v="GHOB_WOODCHIPS"/>
    <n v="6.9640106813039407E-2"/>
    <n v="0.25070438452694199"/>
  </r>
  <r>
    <x v="0"/>
    <x v="0"/>
    <x v="0"/>
    <x v="7"/>
    <x v="13"/>
    <s v="NO3_A2"/>
    <x v="2"/>
    <s v="GHOB_MUNIWASTE"/>
    <n v="0.72141176470588297"/>
    <n v="2.5970823529411802"/>
  </r>
  <r>
    <x v="0"/>
    <x v="0"/>
    <x v="0"/>
    <x v="7"/>
    <x v="13"/>
    <s v="NO3_A2"/>
    <x v="6"/>
    <s v="GHOB_WOODCHIPS"/>
    <n v="1.2733523589220599E-2"/>
    <n v="4.5840684921194197E-2"/>
  </r>
  <r>
    <x v="0"/>
    <x v="0"/>
    <x v="0"/>
    <x v="7"/>
    <x v="14"/>
    <s v="NO4_A1"/>
    <x v="2"/>
    <s v="GBPR_MUNIWASTE"/>
    <n v="6.8409383225806501E-3"/>
    <n v="2.46273779612903E-2"/>
  </r>
  <r>
    <x v="0"/>
    <x v="0"/>
    <x v="0"/>
    <x v="7"/>
    <x v="14"/>
    <s v="NO4_A1"/>
    <x v="2"/>
    <s v="GHOB_MUNIWASTE"/>
    <n v="0.164894117647059"/>
    <n v="0.59361882352941198"/>
  </r>
  <r>
    <x v="0"/>
    <x v="0"/>
    <x v="0"/>
    <x v="7"/>
    <x v="14"/>
    <s v="NO4_A1"/>
    <x v="5"/>
    <s v="GHOB_WASTEHEAT"/>
    <n v="8.7987060439560102E-2"/>
    <n v="0.31675341758241599"/>
  </r>
  <r>
    <x v="0"/>
    <x v="0"/>
    <x v="0"/>
    <x v="7"/>
    <x v="14"/>
    <s v="NO4_A1"/>
    <x v="9"/>
    <s v="GNR_RES_WTR_NOPMP_MC-01"/>
    <n v="3.67537745819287"/>
    <n v="13.231358849494301"/>
  </r>
  <r>
    <x v="0"/>
    <x v="0"/>
    <x v="0"/>
    <x v="7"/>
    <x v="14"/>
    <s v="NO4_A1"/>
    <x v="9"/>
    <s v="GNR_RES_WTR_NOPMP_MC-02"/>
    <n v="3.67537745819287"/>
    <n v="13.231358849494301"/>
  </r>
  <r>
    <x v="0"/>
    <x v="0"/>
    <x v="0"/>
    <x v="7"/>
    <x v="14"/>
    <s v="NO4_A1"/>
    <x v="9"/>
    <s v="GNR_RES_WTR_NOPMP_MC-03"/>
    <n v="3.67537745819287"/>
    <n v="13.231358849494301"/>
  </r>
  <r>
    <x v="0"/>
    <x v="0"/>
    <x v="0"/>
    <x v="7"/>
    <x v="14"/>
    <s v="NO4_A1"/>
    <x v="9"/>
    <s v="GNR_RES_WTR_NOPMP_MC-04"/>
    <n v="3.67537745819287"/>
    <n v="13.231358849494301"/>
  </r>
  <r>
    <x v="0"/>
    <x v="0"/>
    <x v="0"/>
    <x v="7"/>
    <x v="14"/>
    <s v="NO4_A1"/>
    <x v="9"/>
    <s v="GNR_RES_WTR_NOPMP_MC-05"/>
    <n v="3.4131249571627"/>
    <n v="12.2872498457857"/>
  </r>
  <r>
    <x v="0"/>
    <x v="0"/>
    <x v="0"/>
    <x v="7"/>
    <x v="14"/>
    <s v="NO4_A1"/>
    <x v="9"/>
    <s v="GNR_RES_WTR_NOPMP_MC-06"/>
    <n v="2.7064931038584601"/>
    <n v="9.7433751738904508"/>
  </r>
  <r>
    <x v="0"/>
    <x v="0"/>
    <x v="0"/>
    <x v="7"/>
    <x v="14"/>
    <s v="NO4_A1"/>
    <x v="9"/>
    <s v="GNR_RES_WTR_NOPMP_MC-07"/>
    <n v="0.25046052482479703"/>
    <n v="0.90165788936926805"/>
  </r>
  <r>
    <x v="0"/>
    <x v="0"/>
    <x v="0"/>
    <x v="7"/>
    <x v="14"/>
    <s v="NO4_A1"/>
    <x v="9"/>
    <s v="GNR_ROR_WTR"/>
    <n v="3.2123587841587899"/>
    <n v="11.5644916229716"/>
  </r>
  <r>
    <x v="0"/>
    <x v="0"/>
    <x v="0"/>
    <x v="7"/>
    <x v="14"/>
    <s v="NO4_A1"/>
    <x v="10"/>
    <s v="GNR_WT_WIND_ONS"/>
    <n v="0.819936"/>
    <n v="2.9517696"/>
  </r>
  <r>
    <x v="0"/>
    <x v="0"/>
    <x v="0"/>
    <x v="7"/>
    <x v="14"/>
    <s v="NO4_A1"/>
    <x v="6"/>
    <s v="GHOB_WOODCHIPS"/>
    <n v="1.5408934225860401E-2"/>
    <n v="5.5472163213097302E-2"/>
  </r>
  <r>
    <x v="0"/>
    <x v="0"/>
    <x v="0"/>
    <x v="7"/>
    <x v="15"/>
    <s v="NO5_A1"/>
    <x v="19"/>
    <s v="GHOB_LPG"/>
    <n v="7.90099810246679E-2"/>
    <n v="0.28443593168880399"/>
  </r>
  <r>
    <x v="0"/>
    <x v="0"/>
    <x v="0"/>
    <x v="7"/>
    <x v="15"/>
    <s v="NO5_A1"/>
    <x v="2"/>
    <s v="GBPR_MUNIWASTE"/>
    <n v="0.32904946236559102"/>
    <n v="1.1845780645161299"/>
  </r>
  <r>
    <x v="0"/>
    <x v="0"/>
    <x v="0"/>
    <x v="7"/>
    <x v="15"/>
    <s v="NO5_A1"/>
    <x v="9"/>
    <s v="GNR_RES_WTR_NOPMP_MC-01"/>
    <n v="1.3507327989206199"/>
    <n v="4.8626380761142496"/>
  </r>
  <r>
    <x v="0"/>
    <x v="0"/>
    <x v="0"/>
    <x v="7"/>
    <x v="15"/>
    <s v="NO5_A1"/>
    <x v="9"/>
    <s v="GNR_RES_WTR_NOPMP_MC-02"/>
    <n v="5.2401727989206197"/>
    <n v="18.864622076114198"/>
  </r>
  <r>
    <x v="0"/>
    <x v="0"/>
    <x v="0"/>
    <x v="7"/>
    <x v="15"/>
    <s v="NO5_A1"/>
    <x v="9"/>
    <s v="GNR_RES_WTR_NOPMP_MC-03"/>
    <n v="5.2401727989206197"/>
    <n v="18.864622076114198"/>
  </r>
  <r>
    <x v="0"/>
    <x v="0"/>
    <x v="0"/>
    <x v="7"/>
    <x v="15"/>
    <s v="NO5_A1"/>
    <x v="9"/>
    <s v="GNR_RES_WTR_NOPMP_MC-04"/>
    <n v="5.2401727989206197"/>
    <n v="18.864622076114198"/>
  </r>
  <r>
    <x v="0"/>
    <x v="0"/>
    <x v="0"/>
    <x v="7"/>
    <x v="15"/>
    <s v="NO5_A1"/>
    <x v="9"/>
    <s v="GNR_RES_WTR_NOPMP_MC-05"/>
    <n v="4.2982970837830896"/>
    <n v="15.473869501619101"/>
  </r>
  <r>
    <x v="0"/>
    <x v="0"/>
    <x v="0"/>
    <x v="7"/>
    <x v="15"/>
    <s v="NO5_A1"/>
    <x v="9"/>
    <s v="GNR_RES_WTR_NOPMP_MC-06"/>
    <n v="0.14343428250611401"/>
    <n v="0.51636341702201005"/>
  </r>
  <r>
    <x v="0"/>
    <x v="0"/>
    <x v="0"/>
    <x v="7"/>
    <x v="15"/>
    <s v="NO5_A1"/>
    <x v="9"/>
    <s v="GNR_RES_WTR_PMP_MC-01"/>
    <n v="3.88944"/>
    <n v="14.001984"/>
  </r>
  <r>
    <x v="0"/>
    <x v="0"/>
    <x v="0"/>
    <x v="7"/>
    <x v="15"/>
    <s v="NO5_A1"/>
    <x v="9"/>
    <s v="GNR_ROR_WTR"/>
    <n v="9.43591967443969"/>
    <n v="33.969310827982902"/>
  </r>
  <r>
    <x v="0"/>
    <x v="0"/>
    <x v="0"/>
    <x v="8"/>
    <x v="16"/>
    <s v="PL_A"/>
    <x v="0"/>
    <s v="GNR_ST_BGAS_CND_E-37"/>
    <n v="8.6179459459459498"/>
    <n v="31.024605405405399"/>
  </r>
  <r>
    <x v="0"/>
    <x v="0"/>
    <x v="0"/>
    <x v="8"/>
    <x v="16"/>
    <s v="PL_A"/>
    <x v="2"/>
    <s v="GNR_ST_MSW_BP_E-15"/>
    <n v="1.9856"/>
    <n v="7.1481599999999998"/>
  </r>
  <r>
    <x v="0"/>
    <x v="0"/>
    <x v="0"/>
    <x v="8"/>
    <x v="16"/>
    <s v="PL_A"/>
    <x v="3"/>
    <s v="NOWA-1_ST_NGAS_BP"/>
    <n v="2.1632333333333298"/>
    <n v="7.7876399999999997"/>
  </r>
  <r>
    <x v="0"/>
    <x v="0"/>
    <x v="0"/>
    <x v="8"/>
    <x v="16"/>
    <s v="PL_A"/>
    <x v="3"/>
    <s v="RZES-2_ST_NGAS_BP"/>
    <n v="0.54506666666666703"/>
    <n v="1.96224"/>
  </r>
  <r>
    <x v="0"/>
    <x v="0"/>
    <x v="0"/>
    <x v="8"/>
    <x v="16"/>
    <s v="PL_A"/>
    <x v="3"/>
    <s v="ZIEL-1_ST_NGAS_BP"/>
    <n v="0.17844444444444499"/>
    <n v="0.64239999999999997"/>
  </r>
  <r>
    <x v="0"/>
    <x v="0"/>
    <x v="0"/>
    <x v="8"/>
    <x v="16"/>
    <s v="PL_A"/>
    <x v="3"/>
    <s v="ZIEL-3_ST_NGAS_BP"/>
    <n v="2.06473109526639"/>
    <n v="7.4330319429590199"/>
  </r>
  <r>
    <x v="0"/>
    <x v="0"/>
    <x v="0"/>
    <x v="8"/>
    <x v="16"/>
    <s v="PL_A"/>
    <x v="4"/>
    <s v="BIAL-1_ST_STRAW_BP"/>
    <n v="4.3126153846153796"/>
    <n v="15.5254153846154"/>
  </r>
  <r>
    <x v="0"/>
    <x v="0"/>
    <x v="0"/>
    <x v="8"/>
    <x v="16"/>
    <s v="PL_A"/>
    <x v="4"/>
    <s v="GNR_BO_STRAW_HO_E-100"/>
    <n v="50.1832119238316"/>
    <n v="180.65956292579401"/>
  </r>
  <r>
    <x v="0"/>
    <x v="0"/>
    <x v="0"/>
    <x v="8"/>
    <x v="16"/>
    <s v="PL_A"/>
    <x v="4"/>
    <s v="GNR_ST_STRAW_BP_E-15"/>
    <n v="4.7888000000000002"/>
    <n v="17.23968"/>
  </r>
  <r>
    <x v="0"/>
    <x v="0"/>
    <x v="0"/>
    <x v="8"/>
    <x v="16"/>
    <s v="PL_A"/>
    <x v="4"/>
    <s v="LODZ-3_ST_STRAW_EXT"/>
    <n v="2.6582068965517198"/>
    <n v="9.5695448275862098"/>
  </r>
  <r>
    <x v="0"/>
    <x v="0"/>
    <x v="0"/>
    <x v="8"/>
    <x v="16"/>
    <s v="PL_A"/>
    <x v="8"/>
    <s v="GNR_PV_SUN"/>
    <n v="1.09788013030086E-3"/>
    <n v="3.9523684690831E-3"/>
  </r>
  <r>
    <x v="0"/>
    <x v="0"/>
    <x v="0"/>
    <x v="8"/>
    <x v="16"/>
    <s v="PL_A"/>
    <x v="10"/>
    <s v="GNR_WT_WIND_ONS"/>
    <n v="6.9265800000000004"/>
    <n v="24.935687999999999"/>
  </r>
  <r>
    <x v="0"/>
    <x v="0"/>
    <x v="0"/>
    <x v="8"/>
    <x v="16"/>
    <s v="PL_A"/>
    <x v="13"/>
    <s v="GNR_BO_WOOD_HO_E-100"/>
    <n v="0.92068246561461198"/>
    <n v="3.3144568762126001"/>
  </r>
  <r>
    <x v="0"/>
    <x v="0"/>
    <x v="0"/>
    <x v="8"/>
    <x v="16"/>
    <s v="PL_A"/>
    <x v="13"/>
    <s v="GNR_ST_WOOD_EXT_E-45"/>
    <n v="22.970666666666698"/>
    <n v="82.694400000000002"/>
  </r>
  <r>
    <x v="0"/>
    <x v="0"/>
    <x v="0"/>
    <x v="8"/>
    <x v="16"/>
    <s v="PL_Rural"/>
    <x v="9"/>
    <s v="GNR_ROR_WTR"/>
    <n v="2.3110249999999999"/>
    <n v="8.3196899999999996"/>
  </r>
  <r>
    <x v="0"/>
    <x v="0"/>
    <x v="0"/>
    <x v="9"/>
    <x v="17"/>
    <s v="SE1A"/>
    <x v="9"/>
    <s v="GNR_RES_WTR_NOPMP_MC-01"/>
    <n v="3.5521799999999999"/>
    <n v="12.787848"/>
  </r>
  <r>
    <x v="0"/>
    <x v="0"/>
    <x v="0"/>
    <x v="9"/>
    <x v="17"/>
    <s v="SE1A"/>
    <x v="9"/>
    <s v="GNR_RES_WTR_NOPMP_MC-02"/>
    <n v="3.5521799999999999"/>
    <n v="12.787848"/>
  </r>
  <r>
    <x v="0"/>
    <x v="0"/>
    <x v="0"/>
    <x v="9"/>
    <x v="17"/>
    <s v="SE1A"/>
    <x v="9"/>
    <s v="GNR_RES_WTR_NOPMP_MC-03"/>
    <n v="3.5521799999999999"/>
    <n v="12.787848"/>
  </r>
  <r>
    <x v="0"/>
    <x v="0"/>
    <x v="0"/>
    <x v="9"/>
    <x v="17"/>
    <s v="SE1A"/>
    <x v="9"/>
    <s v="GNR_RES_WTR_NOPMP_MC-04"/>
    <n v="2.3623238019699202"/>
    <n v="8.5043656870917204"/>
  </r>
  <r>
    <x v="0"/>
    <x v="0"/>
    <x v="0"/>
    <x v="9"/>
    <x v="17"/>
    <s v="SE1A"/>
    <x v="9"/>
    <s v="GNR_RES_WTR_NOPMP_MC-05"/>
    <n v="0.283509411613732"/>
    <n v="1.02063388180944"/>
  </r>
  <r>
    <x v="0"/>
    <x v="0"/>
    <x v="0"/>
    <x v="9"/>
    <x v="17"/>
    <s v="SE1A"/>
    <x v="9"/>
    <s v="GNR_ROR_WTR"/>
    <n v="4.9412659291283996"/>
    <n v="17.788557344862198"/>
  </r>
  <r>
    <x v="0"/>
    <x v="0"/>
    <x v="0"/>
    <x v="9"/>
    <x v="17"/>
    <s v="SE1A"/>
    <x v="10"/>
    <s v="GNR_WT_WIND_ONS"/>
    <n v="1.3272919999999999"/>
    <n v="4.7782511999999997"/>
  </r>
  <r>
    <x v="0"/>
    <x v="0"/>
    <x v="0"/>
    <x v="9"/>
    <x v="17"/>
    <s v="SE1A"/>
    <x v="13"/>
    <s v="GBPR_IND_BIO"/>
    <n v="4.1554075587334003"/>
    <n v="14.959467211440201"/>
  </r>
  <r>
    <x v="0"/>
    <x v="0"/>
    <x v="0"/>
    <x v="9"/>
    <x v="17"/>
    <s v="SE1_EL"/>
    <x v="2"/>
    <s v="GBPR_MUNIWASTE"/>
    <n v="0.16184098599587399"/>
    <n v="0.58262754958514695"/>
  </r>
  <r>
    <x v="0"/>
    <x v="0"/>
    <x v="0"/>
    <x v="9"/>
    <x v="17"/>
    <s v="SE1_EL"/>
    <x v="5"/>
    <s v="GHOB_WASTEHEAT"/>
    <n v="1.0020238276214899"/>
    <n v="3.6072857794373698"/>
  </r>
  <r>
    <x v="0"/>
    <x v="0"/>
    <x v="0"/>
    <x v="9"/>
    <x v="17"/>
    <s v="SE1_EL"/>
    <x v="11"/>
    <s v="GBPR_WOODWASTE_25"/>
    <n v="0.112103279427872"/>
    <n v="0.40357180594033798"/>
  </r>
  <r>
    <x v="0"/>
    <x v="0"/>
    <x v="0"/>
    <x v="9"/>
    <x v="17"/>
    <s v="SE1_OTHER"/>
    <x v="5"/>
    <s v="GHOB_WASTEHEAT"/>
    <n v="0.31385989010988902"/>
    <n v="1.1298956043956001"/>
  </r>
  <r>
    <x v="0"/>
    <x v="0"/>
    <x v="0"/>
    <x v="9"/>
    <x v="17"/>
    <s v="SE1_OTHER"/>
    <x v="6"/>
    <s v="GBPR_WOODCHIPS_25"/>
    <n v="0.14359649737303001"/>
    <n v="0.51694739054290695"/>
  </r>
  <r>
    <x v="0"/>
    <x v="0"/>
    <x v="0"/>
    <x v="9"/>
    <x v="17"/>
    <s v="SE1_OTHER"/>
    <x v="11"/>
    <s v="GBPR_WOODWASTE"/>
    <n v="0.85386876368320896"/>
    <n v="3.0739275492595501"/>
  </r>
  <r>
    <x v="0"/>
    <x v="0"/>
    <x v="0"/>
    <x v="9"/>
    <x v="17"/>
    <s v="SE1_OTHER"/>
    <x v="11"/>
    <s v="GHOB_WOODWASTE"/>
    <n v="0.206935694407855"/>
    <n v="0.74496849986827895"/>
  </r>
  <r>
    <x v="0"/>
    <x v="0"/>
    <x v="0"/>
    <x v="9"/>
    <x v="18"/>
    <s v="SE2A"/>
    <x v="9"/>
    <s v="GNR_RES_WTR_NOPMP_MC-01"/>
    <n v="3.5695705432814999"/>
    <n v="12.8504539558134"/>
  </r>
  <r>
    <x v="0"/>
    <x v="0"/>
    <x v="0"/>
    <x v="9"/>
    <x v="18"/>
    <s v="SE2A"/>
    <x v="9"/>
    <s v="GNR_RES_WTR_NOPMP_MC-02"/>
    <n v="4.32749843731143"/>
    <n v="15.5789943743212"/>
  </r>
  <r>
    <x v="0"/>
    <x v="0"/>
    <x v="0"/>
    <x v="9"/>
    <x v="18"/>
    <s v="SE2A"/>
    <x v="9"/>
    <s v="GNR_RES_WTR_NOPMP_MC-03"/>
    <n v="4.32749843731143"/>
    <n v="15.5789943743212"/>
  </r>
  <r>
    <x v="0"/>
    <x v="0"/>
    <x v="0"/>
    <x v="9"/>
    <x v="18"/>
    <s v="SE2A"/>
    <x v="9"/>
    <s v="GNR_RES_WTR_NOPMP_MC-04"/>
    <n v="3.7940795757579902"/>
    <n v="13.6586864727288"/>
  </r>
  <r>
    <x v="0"/>
    <x v="0"/>
    <x v="0"/>
    <x v="9"/>
    <x v="18"/>
    <s v="SE2A"/>
    <x v="9"/>
    <s v="GNR_RES_WTR_NOPMP_MC-05"/>
    <n v="2.8222815895509301"/>
    <n v="10.1602137223834"/>
  </r>
  <r>
    <x v="0"/>
    <x v="0"/>
    <x v="0"/>
    <x v="9"/>
    <x v="18"/>
    <s v="SE2A"/>
    <x v="9"/>
    <s v="GNR_RES_WTR_NOPMP_MC-06"/>
    <n v="1.9791447777753099"/>
    <n v="7.1249211999911299"/>
  </r>
  <r>
    <x v="0"/>
    <x v="0"/>
    <x v="0"/>
    <x v="9"/>
    <x v="18"/>
    <s v="SE2A"/>
    <x v="9"/>
    <s v="GNR_RES_WTR_NOPMP_MC-07"/>
    <n v="0.86229237831776095"/>
    <n v="3.1042525619439401"/>
  </r>
  <r>
    <x v="0"/>
    <x v="0"/>
    <x v="0"/>
    <x v="9"/>
    <x v="18"/>
    <s v="SE2A"/>
    <x v="9"/>
    <s v="GNR_RES_WTR_NOPMP_MC-08"/>
    <n v="0.26623934132303101"/>
    <n v="0.95846162876291197"/>
  </r>
  <r>
    <x v="0"/>
    <x v="0"/>
    <x v="0"/>
    <x v="9"/>
    <x v="18"/>
    <s v="SE2A"/>
    <x v="9"/>
    <s v="GNR_RES_WTR_PMP_MC-01"/>
    <n v="0.94608000000000003"/>
    <n v="3.405888"/>
  </r>
  <r>
    <x v="0"/>
    <x v="0"/>
    <x v="0"/>
    <x v="9"/>
    <x v="18"/>
    <s v="SE2A"/>
    <x v="9"/>
    <s v="GNR_ROR_WTR"/>
    <n v="14.6401234618342"/>
    <n v="52.704444462603199"/>
  </r>
  <r>
    <x v="0"/>
    <x v="0"/>
    <x v="0"/>
    <x v="9"/>
    <x v="18"/>
    <s v="SE2A"/>
    <x v="10"/>
    <s v="GNR_WT_WIND_ONS"/>
    <n v="5.7980369999999999"/>
    <n v="20.872933199999999"/>
  </r>
  <r>
    <x v="0"/>
    <x v="0"/>
    <x v="0"/>
    <x v="9"/>
    <x v="18"/>
    <s v="SE2A"/>
    <x v="13"/>
    <s v="GBPR_IND_BIO"/>
    <n v="11.7478847803881"/>
    <n v="42.292385209397402"/>
  </r>
  <r>
    <x v="0"/>
    <x v="0"/>
    <x v="0"/>
    <x v="9"/>
    <x v="18"/>
    <s v="SE2_EL"/>
    <x v="2"/>
    <s v="GBPR_MUNIWASTE_24"/>
    <n v="2.09834811861099"/>
    <n v="7.5540532269995797"/>
  </r>
  <r>
    <x v="0"/>
    <x v="0"/>
    <x v="0"/>
    <x v="9"/>
    <x v="18"/>
    <s v="SE2_EL"/>
    <x v="6"/>
    <s v="GBPR_WOODCHIPS_37"/>
    <n v="0.36012980398253103"/>
    <n v="1.2964672943371101"/>
  </r>
  <r>
    <x v="0"/>
    <x v="0"/>
    <x v="0"/>
    <x v="9"/>
    <x v="18"/>
    <s v="SE2_EL"/>
    <x v="11"/>
    <s v="GBPR_WOODWASTE_25"/>
    <n v="2.3022424384077498"/>
    <n v="8.2880727782679102"/>
  </r>
  <r>
    <x v="0"/>
    <x v="0"/>
    <x v="0"/>
    <x v="9"/>
    <x v="18"/>
    <s v="SE2_EL"/>
    <x v="11"/>
    <s v="GEXT_WOODWASTE_HORNEBORG"/>
    <n v="0.89947250437828397"/>
    <n v="3.2381010157618202"/>
  </r>
  <r>
    <x v="0"/>
    <x v="0"/>
    <x v="0"/>
    <x v="9"/>
    <x v="18"/>
    <s v="SE2_OTHER"/>
    <x v="2"/>
    <s v="GBPR_MUNIWASTE_24"/>
    <n v="0.15905345873548299"/>
    <n v="0.57259245144773696"/>
  </r>
  <r>
    <x v="0"/>
    <x v="0"/>
    <x v="0"/>
    <x v="9"/>
    <x v="18"/>
    <s v="SE2_OTHER"/>
    <x v="5"/>
    <s v="GHOB_WASTEHEAT"/>
    <n v="0.13128808170756701"/>
    <n v="0.47263709414724198"/>
  </r>
  <r>
    <x v="0"/>
    <x v="0"/>
    <x v="0"/>
    <x v="9"/>
    <x v="18"/>
    <s v="SE2_OTHER"/>
    <x v="6"/>
    <s v="GBPR_WOODCHIPS_37"/>
    <n v="0.28357074075827099"/>
    <n v="1.02085466672978"/>
  </r>
  <r>
    <x v="0"/>
    <x v="0"/>
    <x v="0"/>
    <x v="9"/>
    <x v="18"/>
    <s v="SE2_OTHER"/>
    <x v="11"/>
    <s v="GBPR_WOODWASTE_36"/>
    <n v="1.63875627353489"/>
    <n v="5.8995225847255899"/>
  </r>
  <r>
    <x v="0"/>
    <x v="0"/>
    <x v="0"/>
    <x v="9"/>
    <x v="18"/>
    <s v="SE2_OTHER"/>
    <x v="11"/>
    <s v="GHOB_WOODWASTE"/>
    <n v="0.34745241915969699"/>
    <n v="1.2508287089749099"/>
  </r>
  <r>
    <x v="0"/>
    <x v="0"/>
    <x v="0"/>
    <x v="9"/>
    <x v="19"/>
    <s v="SE3A"/>
    <x v="16"/>
    <s v="GCND_NUCLEAR"/>
    <n v="182.06996649289101"/>
    <n v="655.45187937440699"/>
  </r>
  <r>
    <x v="0"/>
    <x v="0"/>
    <x v="0"/>
    <x v="9"/>
    <x v="19"/>
    <s v="SE3A"/>
    <x v="9"/>
    <s v="GNR_RES_WTR_NOPMP_MC-01"/>
    <n v="1.15222202856694"/>
    <n v="4.1479993028409803"/>
  </r>
  <r>
    <x v="0"/>
    <x v="0"/>
    <x v="0"/>
    <x v="9"/>
    <x v="19"/>
    <s v="SE3A"/>
    <x v="9"/>
    <s v="GNR_RES_WTR_NOPMP_MC-02"/>
    <n v="1.1047819999999999"/>
    <n v="3.9772151999999998"/>
  </r>
  <r>
    <x v="0"/>
    <x v="0"/>
    <x v="0"/>
    <x v="9"/>
    <x v="19"/>
    <s v="SE3A"/>
    <x v="9"/>
    <s v="GNR_RES_WTR_NOPMP_MC-03"/>
    <n v="1.1047819999999999"/>
    <n v="3.9772151999999998"/>
  </r>
  <r>
    <x v="0"/>
    <x v="0"/>
    <x v="0"/>
    <x v="9"/>
    <x v="19"/>
    <s v="SE3A"/>
    <x v="9"/>
    <s v="GNR_RES_WTR_NOPMP_MC-04"/>
    <n v="0.81657800000000003"/>
    <n v="2.9396808000000001"/>
  </r>
  <r>
    <x v="0"/>
    <x v="0"/>
    <x v="0"/>
    <x v="9"/>
    <x v="19"/>
    <s v="SE3A"/>
    <x v="9"/>
    <s v="GNR_RES_WTR_NOPMP_MC-05"/>
    <n v="0.71155524798011804"/>
    <n v="2.5615988927284201"/>
  </r>
  <r>
    <x v="0"/>
    <x v="0"/>
    <x v="0"/>
    <x v="9"/>
    <x v="19"/>
    <s v="SE3A"/>
    <x v="9"/>
    <s v="GNR_RES_WTR_NOPMP_MC-06"/>
    <n v="0.28820400000000002"/>
    <n v="1.0375344"/>
  </r>
  <r>
    <x v="0"/>
    <x v="0"/>
    <x v="0"/>
    <x v="9"/>
    <x v="19"/>
    <s v="SE3A"/>
    <x v="9"/>
    <s v="GNR_RES_WTR_NOPMP_MC-07"/>
    <n v="0.18853439819864201"/>
    <n v="0.67872383351511201"/>
  </r>
  <r>
    <x v="0"/>
    <x v="0"/>
    <x v="0"/>
    <x v="9"/>
    <x v="19"/>
    <s v="SE3A"/>
    <x v="9"/>
    <s v="GNR_ROR_WTR"/>
    <n v="5.3666576747457002"/>
    <n v="19.319967629084498"/>
  </r>
  <r>
    <x v="0"/>
    <x v="0"/>
    <x v="0"/>
    <x v="9"/>
    <x v="19"/>
    <s v="SE3A"/>
    <x v="10"/>
    <s v="GNR_WT_WIND_ONS"/>
    <n v="4.6407759999999998"/>
    <n v="16.706793600000001"/>
  </r>
  <r>
    <x v="0"/>
    <x v="0"/>
    <x v="0"/>
    <x v="9"/>
    <x v="19"/>
    <s v="SE3A"/>
    <x v="13"/>
    <s v="GBPR_IND_BIO"/>
    <n v="18.290235750766101"/>
    <n v="65.844848702757901"/>
  </r>
  <r>
    <x v="0"/>
    <x v="0"/>
    <x v="0"/>
    <x v="9"/>
    <x v="19"/>
    <s v="SE3_EL"/>
    <x v="2"/>
    <s v="GBPR_MUNIWASTE_24"/>
    <n v="2.3244554751372699"/>
    <n v="8.3680397104941804"/>
  </r>
  <r>
    <x v="0"/>
    <x v="0"/>
    <x v="0"/>
    <x v="9"/>
    <x v="19"/>
    <s v="SE3_EL"/>
    <x v="2"/>
    <s v="GBPR_MUNIWASTE_LINK"/>
    <n v="2.1075384356157101"/>
    <n v="7.5871383682165501"/>
  </r>
  <r>
    <x v="0"/>
    <x v="0"/>
    <x v="0"/>
    <x v="9"/>
    <x v="19"/>
    <s v="SE3_EL"/>
    <x v="2"/>
    <s v="GHOB_MUNIWASTE"/>
    <n v="1.8324392432951799"/>
    <n v="6.5967812758626501"/>
  </r>
  <r>
    <x v="0"/>
    <x v="0"/>
    <x v="0"/>
    <x v="9"/>
    <x v="19"/>
    <s v="SE3_EL"/>
    <x v="20"/>
    <s v="GBPR_RECYCLEDWOOD_SE3EL"/>
    <n v="1.9965908356069699"/>
    <n v="7.1877270081850799"/>
  </r>
  <r>
    <x v="0"/>
    <x v="0"/>
    <x v="0"/>
    <x v="9"/>
    <x v="19"/>
    <s v="SE3_EL"/>
    <x v="20"/>
    <s v="GHOB_RECYCLEDWOOD"/>
    <n v="8.6044941401202807E-2"/>
    <n v="0.30976178904432999"/>
  </r>
  <r>
    <x v="0"/>
    <x v="0"/>
    <x v="0"/>
    <x v="9"/>
    <x v="19"/>
    <s v="SE3_EL"/>
    <x v="5"/>
    <s v="GHOB_WASTEHEAT"/>
    <n v="0.23845329670329601"/>
    <n v="0.85843186813186501"/>
  </r>
  <r>
    <x v="0"/>
    <x v="0"/>
    <x v="0"/>
    <x v="9"/>
    <x v="19"/>
    <s v="SE3_EL"/>
    <x v="6"/>
    <s v="GBPR_WOODCHIPS_25"/>
    <n v="0.76066653482019198"/>
    <n v="2.73839952535269"/>
  </r>
  <r>
    <x v="0"/>
    <x v="0"/>
    <x v="0"/>
    <x v="9"/>
    <x v="19"/>
    <s v="SE3_EL"/>
    <x v="11"/>
    <s v="GBPR_WOODWASTE_25"/>
    <n v="2.6918360070052501"/>
    <n v="9.6906096252189204"/>
  </r>
  <r>
    <x v="0"/>
    <x v="0"/>
    <x v="0"/>
    <x v="9"/>
    <x v="19"/>
    <s v="SE3_EL"/>
    <x v="11"/>
    <s v="GBPR_WOODWASTE_ABY"/>
    <n v="1.8515006254691"/>
    <n v="6.6654022516887501"/>
  </r>
  <r>
    <x v="0"/>
    <x v="0"/>
    <x v="0"/>
    <x v="9"/>
    <x v="19"/>
    <s v="SE3_EL"/>
    <x v="11"/>
    <s v="GHOB_WOODWASTE"/>
    <n v="0.58845633452147905"/>
    <n v="2.1184428042773198"/>
  </r>
  <r>
    <x v="0"/>
    <x v="0"/>
    <x v="0"/>
    <x v="9"/>
    <x v="19"/>
    <s v="SE3_GOT"/>
    <x v="2"/>
    <s v="GBPR_MUNIWASTE_24"/>
    <n v="2.04172888888889"/>
    <n v="7.3502239999999999"/>
  </r>
  <r>
    <x v="0"/>
    <x v="0"/>
    <x v="0"/>
    <x v="9"/>
    <x v="19"/>
    <s v="SE3_GOT"/>
    <x v="5"/>
    <s v="GHOB_WASTEHEAT"/>
    <n v="1.03583791208791"/>
    <n v="3.7290164835164701"/>
  </r>
  <r>
    <x v="0"/>
    <x v="0"/>
    <x v="0"/>
    <x v="9"/>
    <x v="19"/>
    <s v="SE3_GOT"/>
    <x v="7"/>
    <s v="GHOB_WOODPELLETS"/>
    <n v="1.00229939668173"/>
    <n v="3.60827782805424"/>
  </r>
  <r>
    <x v="0"/>
    <x v="0"/>
    <x v="0"/>
    <x v="9"/>
    <x v="19"/>
    <s v="SE3_GOT"/>
    <x v="11"/>
    <s v="GBPR_WOODWASTE_GOT"/>
    <n v="0.88850392869135597"/>
    <n v="3.1986141432888799"/>
  </r>
  <r>
    <x v="0"/>
    <x v="0"/>
    <x v="0"/>
    <x v="9"/>
    <x v="19"/>
    <s v="SE3_HP"/>
    <x v="1"/>
    <s v="GHOB_BIOOIL"/>
    <n v="4.81606941224429E-2"/>
    <n v="0.17337849884079401"/>
  </r>
  <r>
    <x v="0"/>
    <x v="0"/>
    <x v="0"/>
    <x v="9"/>
    <x v="19"/>
    <s v="SE3_HP"/>
    <x v="2"/>
    <s v="GBPR_MUNIWASTE_24"/>
    <n v="1.66803115779105"/>
    <n v="6.0049121680477802"/>
  </r>
  <r>
    <x v="0"/>
    <x v="0"/>
    <x v="0"/>
    <x v="9"/>
    <x v="19"/>
    <s v="SE3_HP"/>
    <x v="5"/>
    <s v="GHOB_WASTEHEAT"/>
    <n v="3.0082417582417501E-5"/>
    <n v="1.08296703296703E-4"/>
  </r>
  <r>
    <x v="0"/>
    <x v="0"/>
    <x v="0"/>
    <x v="9"/>
    <x v="19"/>
    <s v="SE3_HP"/>
    <x v="6"/>
    <s v="GBPR_WOODCHIPS_08"/>
    <n v="6.9222139849522399E-2"/>
    <n v="0.24919970345828099"/>
  </r>
  <r>
    <x v="0"/>
    <x v="0"/>
    <x v="0"/>
    <x v="9"/>
    <x v="19"/>
    <s v="SE3_HP"/>
    <x v="6"/>
    <s v="GHOB_WOODCHIPS"/>
    <n v="0.126533333333333"/>
    <n v="0.45551999999999998"/>
  </r>
  <r>
    <x v="0"/>
    <x v="0"/>
    <x v="0"/>
    <x v="9"/>
    <x v="19"/>
    <s v="SE3_HP"/>
    <x v="7"/>
    <s v="GHOB_WOODPELLETS"/>
    <n v="1.94871066666667"/>
    <n v="7.0153584000000002"/>
  </r>
  <r>
    <x v="0"/>
    <x v="0"/>
    <x v="0"/>
    <x v="9"/>
    <x v="19"/>
    <s v="SE3_HP"/>
    <x v="11"/>
    <s v="GBPR_WOODWASTE_36"/>
    <n v="0.93238003502626998"/>
    <n v="3.3565681260945701"/>
  </r>
  <r>
    <x v="0"/>
    <x v="0"/>
    <x v="0"/>
    <x v="9"/>
    <x v="19"/>
    <s v="SE3_HP"/>
    <x v="11"/>
    <s v="GEXT_WOODWASTE"/>
    <n v="4.3099044415151999"/>
    <n v="15.5156559894547"/>
  </r>
  <r>
    <x v="0"/>
    <x v="0"/>
    <x v="0"/>
    <x v="9"/>
    <x v="19"/>
    <s v="SE3_HP"/>
    <x v="11"/>
    <s v="GHOB_WOODWASTE"/>
    <n v="0.179339073377975"/>
    <n v="0.64562066416070896"/>
  </r>
  <r>
    <x v="0"/>
    <x v="0"/>
    <x v="0"/>
    <x v="9"/>
    <x v="19"/>
    <s v="SE3_OTHER"/>
    <x v="2"/>
    <s v="GBPR_MUNIWASTE_24"/>
    <n v="1.45422925753667"/>
    <n v="5.2352253271320297"/>
  </r>
  <r>
    <x v="0"/>
    <x v="0"/>
    <x v="0"/>
    <x v="9"/>
    <x v="19"/>
    <s v="SE3_OTHER"/>
    <x v="2"/>
    <s v="GHOB_MUNIWASTE"/>
    <n v="0.80175945535783"/>
    <n v="2.8863340392881902"/>
  </r>
  <r>
    <x v="0"/>
    <x v="0"/>
    <x v="0"/>
    <x v="9"/>
    <x v="19"/>
    <s v="SE3_OTHER"/>
    <x v="20"/>
    <s v="GBPR_RECYCLEDWOOD_SE3OTHER"/>
    <n v="1.6226635955080699"/>
    <n v="5.8415889438290503"/>
  </r>
  <r>
    <x v="0"/>
    <x v="0"/>
    <x v="0"/>
    <x v="9"/>
    <x v="19"/>
    <s v="SE3_OTHER"/>
    <x v="5"/>
    <s v="GHOB_WASTEHEAT"/>
    <n v="1.1178602947223699"/>
    <n v="4.0242970610005502"/>
  </r>
  <r>
    <x v="0"/>
    <x v="0"/>
    <x v="0"/>
    <x v="9"/>
    <x v="19"/>
    <s v="SE3_OTHER"/>
    <x v="6"/>
    <s v="GBPR_WOODCHIPS_25"/>
    <n v="0.706829360855591"/>
    <n v="2.5445856990801299"/>
  </r>
  <r>
    <x v="0"/>
    <x v="0"/>
    <x v="0"/>
    <x v="9"/>
    <x v="19"/>
    <s v="SE3_OTHER"/>
    <x v="6"/>
    <s v="GBPR_WOODCHIPS_37"/>
    <n v="1.39304126397501"/>
    <n v="5.01494855031003"/>
  </r>
  <r>
    <x v="0"/>
    <x v="0"/>
    <x v="0"/>
    <x v="9"/>
    <x v="19"/>
    <s v="SE3_OTHER"/>
    <x v="11"/>
    <s v="GBPR_WOODWASTE_25"/>
    <n v="7.4340950008318698"/>
    <n v="26.762742002994798"/>
  </r>
  <r>
    <x v="0"/>
    <x v="0"/>
    <x v="0"/>
    <x v="9"/>
    <x v="19"/>
    <s v="SE3_OTHER"/>
    <x v="11"/>
    <s v="GHOB_WOODWASTE"/>
    <n v="1.46902546900029"/>
    <n v="5.2884916884010504"/>
  </r>
  <r>
    <x v="0"/>
    <x v="0"/>
    <x v="0"/>
    <x v="9"/>
    <x v="19"/>
    <s v="SE3_STO"/>
    <x v="1"/>
    <s v="GEXT_BIOOIL_VARTAN"/>
    <n v="4.0595121951219504"/>
    <n v="14.614243902439"/>
  </r>
  <r>
    <x v="0"/>
    <x v="0"/>
    <x v="0"/>
    <x v="9"/>
    <x v="19"/>
    <s v="SE3_STO"/>
    <x v="1"/>
    <s v="GHOB_BIOOIL"/>
    <n v="1.36477333754356"/>
    <n v="4.9131840151568298"/>
  </r>
  <r>
    <x v="0"/>
    <x v="0"/>
    <x v="0"/>
    <x v="9"/>
    <x v="19"/>
    <s v="SE3_STO"/>
    <x v="2"/>
    <s v="GBPR_MUNIWASTE_HOGDALEN"/>
    <n v="1.6516474319766601"/>
    <n v="5.9459307551159997"/>
  </r>
  <r>
    <x v="0"/>
    <x v="0"/>
    <x v="0"/>
    <x v="9"/>
    <x v="19"/>
    <s v="SE3_STO"/>
    <x v="2"/>
    <s v="GHOB_MUNIWASTE"/>
    <n v="1.17147583935945"/>
    <n v="4.21731302169401"/>
  </r>
  <r>
    <x v="0"/>
    <x v="0"/>
    <x v="0"/>
    <x v="9"/>
    <x v="19"/>
    <s v="SE3_STO"/>
    <x v="7"/>
    <s v="GBPR_WOODPELLETS_HASSELBY"/>
    <n v="3.1394044321329702"/>
    <n v="11.3018559556787"/>
  </r>
  <r>
    <x v="0"/>
    <x v="0"/>
    <x v="0"/>
    <x v="9"/>
    <x v="19"/>
    <s v="SE3_STO"/>
    <x v="11"/>
    <s v="GBPR_WOODWASTE"/>
    <n v="2.9383130985569199"/>
    <n v="10.5779271548049"/>
  </r>
  <r>
    <x v="0"/>
    <x v="0"/>
    <x v="0"/>
    <x v="9"/>
    <x v="19"/>
    <s v="SE3_STO"/>
    <x v="11"/>
    <s v="GBPR_WOODWASTE_BRISTA"/>
    <n v="1.62036013258871"/>
    <n v="5.8332964773193599"/>
  </r>
  <r>
    <x v="0"/>
    <x v="0"/>
    <x v="0"/>
    <x v="9"/>
    <x v="20"/>
    <s v="SE4A"/>
    <x v="9"/>
    <s v="GNR_RES_WTR_NOPMP_MC-01"/>
    <n v="0.133916753811192"/>
    <n v="0.482100313720292"/>
  </r>
  <r>
    <x v="0"/>
    <x v="0"/>
    <x v="0"/>
    <x v="9"/>
    <x v="20"/>
    <s v="SE4A"/>
    <x v="9"/>
    <s v="GNR_RES_WTR_NOPMP_MC-02"/>
    <n v="0.12833688906905899"/>
    <n v="0.462012800648613"/>
  </r>
  <r>
    <x v="0"/>
    <x v="0"/>
    <x v="0"/>
    <x v="9"/>
    <x v="20"/>
    <s v="SE4A"/>
    <x v="9"/>
    <s v="GNR_RES_WTR_NOPMP_MC-03"/>
    <n v="0.12833688906905899"/>
    <n v="0.462012800648613"/>
  </r>
  <r>
    <x v="0"/>
    <x v="0"/>
    <x v="0"/>
    <x v="9"/>
    <x v="20"/>
    <s v="SE4A"/>
    <x v="9"/>
    <s v="GNR_RES_WTR_NOPMP_MC-04"/>
    <n v="9.4857700616261101E-2"/>
    <n v="0.34148772221854001"/>
  </r>
  <r>
    <x v="0"/>
    <x v="0"/>
    <x v="0"/>
    <x v="9"/>
    <x v="20"/>
    <s v="SE4A"/>
    <x v="9"/>
    <s v="GNR_RES_WTR_NOPMP_MC-05"/>
    <n v="8.3697971131995105E-2"/>
    <n v="0.30131269607518202"/>
  </r>
  <r>
    <x v="0"/>
    <x v="0"/>
    <x v="0"/>
    <x v="9"/>
    <x v="20"/>
    <s v="SE4A"/>
    <x v="9"/>
    <s v="GNR_RES_WTR_NOPMP_MC-06"/>
    <n v="7.4143408217385104E-2"/>
    <n v="0.26691626958258602"/>
  </r>
  <r>
    <x v="0"/>
    <x v="0"/>
    <x v="0"/>
    <x v="9"/>
    <x v="20"/>
    <s v="SE4A"/>
    <x v="9"/>
    <s v="GNR_RES_WTR_NOPMP_MC-07"/>
    <n v="2.7899323710664999E-2"/>
    <n v="0.100437565358394"/>
  </r>
  <r>
    <x v="0"/>
    <x v="0"/>
    <x v="0"/>
    <x v="9"/>
    <x v="20"/>
    <s v="SE4A"/>
    <x v="9"/>
    <s v="GNR_RES_WTR_NOPMP_MC-08"/>
    <n v="1.6739594226399E-2"/>
    <n v="6.0262539215036499E-2"/>
  </r>
  <r>
    <x v="0"/>
    <x v="0"/>
    <x v="0"/>
    <x v="9"/>
    <x v="20"/>
    <s v="SE4A"/>
    <x v="9"/>
    <s v="GNR_ROR_WTR"/>
    <n v="0.89790717004695797"/>
    <n v="3.2324658121690502"/>
  </r>
  <r>
    <x v="0"/>
    <x v="0"/>
    <x v="0"/>
    <x v="9"/>
    <x v="20"/>
    <s v="SE4A"/>
    <x v="10"/>
    <s v="GNR_WT_WIND_ONS"/>
    <n v="2.8917470000000001"/>
    <n v="10.410289199999999"/>
  </r>
  <r>
    <x v="0"/>
    <x v="0"/>
    <x v="0"/>
    <x v="9"/>
    <x v="20"/>
    <s v="SE4A"/>
    <x v="13"/>
    <s v="GBPR_IND_BIO"/>
    <n v="8.3398063329928505"/>
    <n v="30.023302798774299"/>
  </r>
  <r>
    <x v="0"/>
    <x v="0"/>
    <x v="0"/>
    <x v="9"/>
    <x v="20"/>
    <s v="SE4_EL"/>
    <x v="20"/>
    <s v="GBPR_RECYCLEDWOOD"/>
    <n v="0.730694498444874"/>
    <n v="2.63050019440155"/>
  </r>
  <r>
    <x v="0"/>
    <x v="0"/>
    <x v="0"/>
    <x v="9"/>
    <x v="20"/>
    <s v="SE4_EL"/>
    <x v="20"/>
    <s v="GBPR_RECYCLEDWOOD_SE4EL"/>
    <n v="9.9483431819100507E-2"/>
    <n v="0.35814035454876197"/>
  </r>
  <r>
    <x v="0"/>
    <x v="0"/>
    <x v="0"/>
    <x v="9"/>
    <x v="20"/>
    <s v="SE4_EL"/>
    <x v="20"/>
    <s v="GHOB_RECYCLEDWOOD"/>
    <n v="4.0758880313176003E-2"/>
    <n v="0.146731969127434"/>
  </r>
  <r>
    <x v="0"/>
    <x v="0"/>
    <x v="0"/>
    <x v="9"/>
    <x v="20"/>
    <s v="SE4_EL"/>
    <x v="4"/>
    <s v="GHOB_STRAW"/>
    <n v="2.5764705882352901E-2"/>
    <n v="9.2752941176470594E-2"/>
  </r>
  <r>
    <x v="0"/>
    <x v="0"/>
    <x v="0"/>
    <x v="9"/>
    <x v="20"/>
    <s v="SE4_EL"/>
    <x v="5"/>
    <s v="GHOB_WASTEHEAT"/>
    <n v="9.1249999999999595E-2"/>
    <n v="0.32849999999999902"/>
  </r>
  <r>
    <x v="0"/>
    <x v="0"/>
    <x v="0"/>
    <x v="9"/>
    <x v="20"/>
    <s v="SE4_EL"/>
    <x v="7"/>
    <s v="GHOB_WOODPELLETS"/>
    <n v="9.9889130157086101E-3"/>
    <n v="3.5960086856550999E-2"/>
  </r>
  <r>
    <x v="0"/>
    <x v="0"/>
    <x v="0"/>
    <x v="9"/>
    <x v="20"/>
    <s v="SE4_EL"/>
    <x v="11"/>
    <s v="GHOB_WOODWASTE"/>
    <n v="0.56807689436489095"/>
    <n v="2.0450768197136102"/>
  </r>
  <r>
    <x v="0"/>
    <x v="0"/>
    <x v="0"/>
    <x v="9"/>
    <x v="20"/>
    <s v="SE4_HP"/>
    <x v="2"/>
    <s v="GBPR_MUNIWASTE_65"/>
    <n v="0.45329523809523797"/>
    <n v="1.6318628571428599"/>
  </r>
  <r>
    <x v="0"/>
    <x v="0"/>
    <x v="0"/>
    <x v="9"/>
    <x v="20"/>
    <s v="SE4_HP"/>
    <x v="7"/>
    <s v="GBPR_WOODPELLETS"/>
    <n v="2.0967537626587598"/>
    <n v="7.5483135455715296"/>
  </r>
  <r>
    <x v="0"/>
    <x v="0"/>
    <x v="0"/>
    <x v="9"/>
    <x v="20"/>
    <s v="SE4_MAL"/>
    <x v="2"/>
    <s v="GBPR_MUNIWASTE_24"/>
    <n v="1.27387505353143"/>
    <n v="4.5859501927131596"/>
  </r>
  <r>
    <x v="0"/>
    <x v="0"/>
    <x v="0"/>
    <x v="9"/>
    <x v="20"/>
    <s v="SE4_MAL"/>
    <x v="2"/>
    <s v="GHOB_MUNIWASTE"/>
    <n v="0.50206107401119204"/>
    <n v="1.8074198664402901"/>
  </r>
  <r>
    <x v="0"/>
    <x v="0"/>
    <x v="0"/>
    <x v="9"/>
    <x v="20"/>
    <s v="SE4_MAL"/>
    <x v="3"/>
    <s v="GEXT_NATGAS_ORESUND"/>
    <n v="4.9514755397108301"/>
    <n v="17.825311942959001"/>
  </r>
  <r>
    <x v="0"/>
    <x v="0"/>
    <x v="0"/>
    <x v="9"/>
    <x v="20"/>
    <s v="SE4_MAL"/>
    <x v="5"/>
    <s v="GHOB_WASTEHEAT"/>
    <n v="0.108296703296703"/>
    <n v="0.38986813186813102"/>
  </r>
  <r>
    <x v="0"/>
    <x v="0"/>
    <x v="0"/>
    <x v="9"/>
    <x v="20"/>
    <s v="SE4_MAL"/>
    <x v="6"/>
    <s v="GHOB_WOODCHIPS"/>
    <n v="0.68133333333333401"/>
    <n v="2.4527999999999999"/>
  </r>
  <r>
    <x v="0"/>
    <x v="0"/>
    <x v="0"/>
    <x v="9"/>
    <x v="20"/>
    <s v="SE4_OTHER"/>
    <x v="2"/>
    <s v="GBPR_MUNIWASTE_19"/>
    <n v="0.70351571231326704"/>
    <n v="2.5326565643277599"/>
  </r>
  <r>
    <x v="0"/>
    <x v="0"/>
    <x v="0"/>
    <x v="9"/>
    <x v="20"/>
    <s v="SE4_OTHER"/>
    <x v="2"/>
    <s v="GHOB_MUNIWASTE"/>
    <n v="9.9525570721292103E-2"/>
    <n v="0.35829205459665198"/>
  </r>
  <r>
    <x v="0"/>
    <x v="0"/>
    <x v="0"/>
    <x v="9"/>
    <x v="20"/>
    <s v="SE4_OTHER"/>
    <x v="5"/>
    <s v="GHOB_WASTEHEAT"/>
    <n v="0.44137905891180801"/>
    <n v="1.5889646120825101"/>
  </r>
  <r>
    <x v="0"/>
    <x v="0"/>
    <x v="0"/>
    <x v="9"/>
    <x v="20"/>
    <s v="SE4_OTHER"/>
    <x v="6"/>
    <s v="GBPR_WOODCHIPS"/>
    <n v="0.90592279526603503"/>
    <n v="3.2613220629577202"/>
  </r>
  <r>
    <x v="0"/>
    <x v="0"/>
    <x v="0"/>
    <x v="9"/>
    <x v="20"/>
    <s v="SE4_OTHER"/>
    <x v="6"/>
    <s v="GBPR_WOODCHIPS_25"/>
    <n v="1.1474832924693501"/>
    <n v="4.1309398528896599"/>
  </r>
  <r>
    <x v="0"/>
    <x v="0"/>
    <x v="0"/>
    <x v="9"/>
    <x v="20"/>
    <s v="SE4_OTHER"/>
    <x v="11"/>
    <s v="GBPR_WOODWASTE_36"/>
    <n v="2.6305548721541201"/>
    <n v="9.4699975397548197"/>
  </r>
  <r>
    <x v="0"/>
    <x v="0"/>
    <x v="0"/>
    <x v="9"/>
    <x v="20"/>
    <s v="SE4_OTHER"/>
    <x v="11"/>
    <s v="GHOB_WOODWASTE"/>
    <n v="0.85149236469102496"/>
    <n v="3.0653725128876901"/>
  </r>
  <r>
    <x v="0"/>
    <x v="0"/>
    <x v="0"/>
    <x v="10"/>
    <x v="21"/>
    <s v="UK_A"/>
    <x v="0"/>
    <s v="GNR_ST_BGAS_CND_E-40"/>
    <n v="26.915099999999999"/>
    <n v="96.894360000000006"/>
  </r>
  <r>
    <x v="0"/>
    <x v="0"/>
    <x v="0"/>
    <x v="10"/>
    <x v="21"/>
    <s v="UK_A"/>
    <x v="0"/>
    <s v="GNR_ST_BGAS_CND_E-45"/>
    <n v="46.739466666666701"/>
    <n v="168.26208"/>
  </r>
  <r>
    <x v="0"/>
    <x v="0"/>
    <x v="0"/>
    <x v="10"/>
    <x v="21"/>
    <s v="UK_A"/>
    <x v="2"/>
    <s v="GNR_ST_MSW_CND_E-40"/>
    <n v="17.651399999999999"/>
    <n v="63.54504"/>
  </r>
  <r>
    <x v="0"/>
    <x v="0"/>
    <x v="0"/>
    <x v="10"/>
    <x v="21"/>
    <s v="UK_A"/>
    <x v="3"/>
    <s v="GNR_CC_NGAS_CND_E-56"/>
    <n v="4.9514755397108301"/>
    <n v="17.825311942959001"/>
  </r>
  <r>
    <x v="0"/>
    <x v="0"/>
    <x v="0"/>
    <x v="10"/>
    <x v="21"/>
    <s v="UK_A"/>
    <x v="16"/>
    <s v="GNR_ST_NUCL_CND_E-33"/>
    <n v="249.553818181818"/>
    <n v="898.39374545454496"/>
  </r>
  <r>
    <x v="0"/>
    <x v="0"/>
    <x v="0"/>
    <x v="10"/>
    <x v="21"/>
    <s v="UK_A"/>
    <x v="8"/>
    <s v="GNR_PV_SUN"/>
    <n v="5.7649489919999999"/>
    <n v="20.753816371199999"/>
  </r>
  <r>
    <x v="0"/>
    <x v="0"/>
    <x v="0"/>
    <x v="10"/>
    <x v="21"/>
    <s v="UK_A"/>
    <x v="9"/>
    <s v="GNR_ROR_WTR"/>
    <n v="5.28207359972677"/>
    <n v="19.015464959016398"/>
  </r>
  <r>
    <x v="0"/>
    <x v="0"/>
    <x v="0"/>
    <x v="10"/>
    <x v="21"/>
    <s v="UK_A"/>
    <x v="10"/>
    <s v="GNR_WT_WIND_ONS"/>
    <n v="26.306808"/>
    <n v="94.704508799999999"/>
  </r>
  <r>
    <x v="0"/>
    <x v="0"/>
    <x v="0"/>
    <x v="10"/>
    <x v="21"/>
    <s v="UK_Offshore"/>
    <x v="10"/>
    <s v="GNR_WT_WIND_OFF"/>
    <n v="14.602332000000001"/>
    <n v="52.568395199999998"/>
  </r>
</pivotCacheRecords>
</file>

<file path=xl/pivotCache/pivotCacheRecords17.xml><?xml version="1.0" encoding="utf-8"?>
<pivotCacheRecords xmlns="http://schemas.openxmlformats.org/spreadsheetml/2006/main" xmlns:r="http://schemas.openxmlformats.org/officeDocument/2006/relationships" count="615">
  <r>
    <x v="0"/>
    <x v="0"/>
    <x v="0"/>
    <x v="0"/>
    <x v="0"/>
    <s v="DK1_Large"/>
    <x v="0"/>
    <x v="0"/>
    <n v="167.790284324298"/>
    <n v="0.16779028432429799"/>
    <n v="-121.575235187364"/>
    <n v="-0.121575235187364"/>
    <n v="5.3210449574301703E-3"/>
    <n v="5.3210449574301596E-6"/>
  </r>
  <r>
    <x v="0"/>
    <x v="0"/>
    <x v="0"/>
    <x v="0"/>
    <x v="0"/>
    <s v="DK1_Large"/>
    <x v="1"/>
    <x v="1"/>
    <m/>
    <m/>
    <n v="-17.593310354285698"/>
    <n v="-1.7593310354285699E-2"/>
    <n v="4.5652114285714297E-3"/>
    <n v="4.5652114285714299E-6"/>
  </r>
  <r>
    <x v="0"/>
    <x v="0"/>
    <x v="0"/>
    <x v="0"/>
    <x v="0"/>
    <s v="DK1_Large"/>
    <x v="1"/>
    <x v="2"/>
    <m/>
    <m/>
    <n v="-7.6970732800000103"/>
    <n v="-7.6970732800000097E-3"/>
    <n v="1.9972800000000001E-3"/>
    <n v="1.9972799999999998E-6"/>
  </r>
  <r>
    <x v="0"/>
    <x v="0"/>
    <x v="0"/>
    <x v="0"/>
    <x v="0"/>
    <s v="DK1_Large"/>
    <x v="1"/>
    <x v="3"/>
    <m/>
    <m/>
    <n v="-23.027255242105301"/>
    <n v="-2.3027255242105301E-2"/>
    <n v="5.9752421052631597E-3"/>
    <n v="5.9752421052631602E-6"/>
  </r>
  <r>
    <x v="0"/>
    <x v="0"/>
    <x v="0"/>
    <x v="0"/>
    <x v="0"/>
    <s v="DK1_Large"/>
    <x v="1"/>
    <x v="4"/>
    <m/>
    <m/>
    <n v="-68.5002693818182"/>
    <n v="-6.8500269381818302E-2"/>
    <n v="1.7774836363636401E-2"/>
    <n v="1.7774836363636401E-5"/>
  </r>
  <r>
    <x v="0"/>
    <x v="0"/>
    <x v="0"/>
    <x v="0"/>
    <x v="0"/>
    <s v="DK1_Large"/>
    <x v="1"/>
    <x v="5"/>
    <m/>
    <m/>
    <n v="-76.216877568000001"/>
    <n v="-7.6216877567999997E-2"/>
    <n v="1.9777185391304301E-2"/>
    <n v="1.9777185391304298E-5"/>
  </r>
  <r>
    <x v="0"/>
    <x v="0"/>
    <x v="0"/>
    <x v="0"/>
    <x v="0"/>
    <s v="DK1_Large"/>
    <x v="1"/>
    <x v="6"/>
    <m/>
    <m/>
    <n v="-32.228681102222303"/>
    <n v="-3.2228681102222302E-2"/>
    <n v="8.3628800000000204E-3"/>
    <n v="8.3628800000000198E-6"/>
  </r>
  <r>
    <x v="0"/>
    <x v="0"/>
    <x v="0"/>
    <x v="0"/>
    <x v="0"/>
    <s v="DK1_Large"/>
    <x v="2"/>
    <x v="7"/>
    <m/>
    <m/>
    <m/>
    <m/>
    <n v="9.7112329411764699E-5"/>
    <n v="9.7112329411764704E-8"/>
  </r>
  <r>
    <x v="0"/>
    <x v="0"/>
    <x v="0"/>
    <x v="0"/>
    <x v="0"/>
    <s v="DK1_Large"/>
    <x v="2"/>
    <x v="8"/>
    <m/>
    <m/>
    <m/>
    <m/>
    <n v="2.4299317894736899E-4"/>
    <n v="2.42993178947369E-7"/>
  </r>
  <r>
    <x v="0"/>
    <x v="0"/>
    <x v="0"/>
    <x v="0"/>
    <x v="0"/>
    <s v="DK1_Large"/>
    <x v="2"/>
    <x v="9"/>
    <m/>
    <m/>
    <m/>
    <m/>
    <n v="1.0883963076923099E-3"/>
    <n v="1.08839630769231E-6"/>
  </r>
  <r>
    <x v="0"/>
    <x v="0"/>
    <x v="0"/>
    <x v="0"/>
    <x v="0"/>
    <s v="DK1_Large"/>
    <x v="2"/>
    <x v="10"/>
    <m/>
    <m/>
    <m/>
    <m/>
    <n v="4.107564E-4"/>
    <n v="4.1075640000000002E-7"/>
  </r>
  <r>
    <x v="0"/>
    <x v="0"/>
    <x v="0"/>
    <x v="0"/>
    <x v="0"/>
    <s v="DK1_Large"/>
    <x v="2"/>
    <x v="11"/>
    <m/>
    <m/>
    <m/>
    <m/>
    <n v="2.92284878048781E-4"/>
    <n v="2.9228487804878098E-7"/>
  </r>
  <r>
    <x v="0"/>
    <x v="0"/>
    <x v="0"/>
    <x v="0"/>
    <x v="0"/>
    <s v="DK1_Large"/>
    <x v="2"/>
    <x v="12"/>
    <m/>
    <m/>
    <m/>
    <m/>
    <n v="1.6969371428571399E-4"/>
    <n v="1.6969371428571401E-7"/>
  </r>
  <r>
    <x v="0"/>
    <x v="0"/>
    <x v="0"/>
    <x v="0"/>
    <x v="0"/>
    <s v="DK1_Large"/>
    <x v="2"/>
    <x v="13"/>
    <m/>
    <m/>
    <m/>
    <m/>
    <n v="6.59322418604651E-4"/>
    <n v="6.5932241860465096E-7"/>
  </r>
  <r>
    <x v="0"/>
    <x v="0"/>
    <x v="0"/>
    <x v="0"/>
    <x v="0"/>
    <s v="DK1_Large"/>
    <x v="2"/>
    <x v="14"/>
    <m/>
    <m/>
    <m/>
    <m/>
    <n v="2.2505236363636399E-4"/>
    <n v="2.2505236363636401E-7"/>
  </r>
  <r>
    <x v="0"/>
    <x v="0"/>
    <x v="0"/>
    <x v="0"/>
    <x v="0"/>
    <s v="DK1_Large"/>
    <x v="2"/>
    <x v="15"/>
    <m/>
    <m/>
    <m/>
    <m/>
    <n v="2.00185043478261E-4"/>
    <n v="2.0018504347826099E-7"/>
  </r>
  <r>
    <x v="0"/>
    <x v="0"/>
    <x v="0"/>
    <x v="0"/>
    <x v="0"/>
    <s v="DK1_Large"/>
    <x v="2"/>
    <x v="16"/>
    <m/>
    <m/>
    <m/>
    <m/>
    <n v="6.3266666666666701E-4"/>
    <n v="6.3266666666666701E-7"/>
  </r>
  <r>
    <x v="0"/>
    <x v="0"/>
    <x v="0"/>
    <x v="0"/>
    <x v="0"/>
    <s v="DK1_Large"/>
    <x v="2"/>
    <x v="17"/>
    <m/>
    <m/>
    <m/>
    <m/>
    <n v="2.63023659574468E-2"/>
    <n v="2.6302365957446801E-5"/>
  </r>
  <r>
    <x v="0"/>
    <x v="0"/>
    <x v="0"/>
    <x v="0"/>
    <x v="0"/>
    <s v="DK1_Large"/>
    <x v="3"/>
    <x v="18"/>
    <m/>
    <m/>
    <n v="-8.8831453846153803"/>
    <n v="-8.8831453846153798E-3"/>
    <n v="1.50402461538462E-2"/>
    <n v="1.5040246153846101E-5"/>
  </r>
  <r>
    <x v="0"/>
    <x v="0"/>
    <x v="0"/>
    <x v="0"/>
    <x v="0"/>
    <s v="DK1_Large"/>
    <x v="4"/>
    <x v="19"/>
    <m/>
    <m/>
    <m/>
    <m/>
    <m/>
    <m/>
  </r>
  <r>
    <x v="0"/>
    <x v="0"/>
    <x v="0"/>
    <x v="0"/>
    <x v="0"/>
    <s v="DK1_Large"/>
    <x v="5"/>
    <x v="20"/>
    <m/>
    <m/>
    <m/>
    <m/>
    <m/>
    <m/>
  </r>
  <r>
    <x v="0"/>
    <x v="0"/>
    <x v="0"/>
    <x v="0"/>
    <x v="0"/>
    <s v="DK1_MedSmall"/>
    <x v="1"/>
    <x v="21"/>
    <m/>
    <m/>
    <n v="-3.1598511359999999"/>
    <n v="-3.1598511359999999E-3"/>
    <n v="8.1993599999999995E-4"/>
    <n v="8.1993600000000002E-7"/>
  </r>
  <r>
    <x v="0"/>
    <x v="0"/>
    <x v="0"/>
    <x v="0"/>
    <x v="0"/>
    <s v="DK1_MedSmall"/>
    <x v="1"/>
    <x v="22"/>
    <m/>
    <m/>
    <n v="-6.8630250917647002"/>
    <n v="-6.8630250917647096E-3"/>
    <n v="1.78085647058824E-3"/>
    <n v="1.7808564705882401E-6"/>
  </r>
  <r>
    <x v="0"/>
    <x v="0"/>
    <x v="0"/>
    <x v="0"/>
    <x v="0"/>
    <s v="DK1_MedSmall"/>
    <x v="1"/>
    <x v="23"/>
    <m/>
    <m/>
    <n v="-8.0211605760000104"/>
    <n v="-8.0211605760000092E-3"/>
    <n v="2.0813759999999998E-3"/>
    <n v="2.0813759999999999E-6"/>
  </r>
  <r>
    <x v="0"/>
    <x v="0"/>
    <x v="0"/>
    <x v="0"/>
    <x v="0"/>
    <s v="DK1_MedSmall"/>
    <x v="1"/>
    <x v="24"/>
    <m/>
    <m/>
    <n v="-23.1490925714286"/>
    <n v="-2.3149092571428598E-2"/>
    <n v="6.0068571428571497E-3"/>
    <n v="6.0068571428571497E-6"/>
  </r>
  <r>
    <x v="0"/>
    <x v="0"/>
    <x v="0"/>
    <x v="0"/>
    <x v="0"/>
    <s v="DK1_MedSmall"/>
    <x v="1"/>
    <x v="4"/>
    <m/>
    <m/>
    <n v="-9.9435874909091009"/>
    <n v="-9.9435874909091001E-3"/>
    <n v="2.5802181818181799E-3"/>
    <n v="2.5802181818181899E-6"/>
  </r>
  <r>
    <x v="0"/>
    <x v="0"/>
    <x v="0"/>
    <x v="0"/>
    <x v="0"/>
    <s v="DK1_MedSmall"/>
    <x v="1"/>
    <x v="25"/>
    <m/>
    <m/>
    <n v="-13.0881408"/>
    <n v="-1.30881408E-2"/>
    <n v="3.39618461538462E-3"/>
    <n v="3.3961846153846198E-6"/>
  </r>
  <r>
    <x v="0"/>
    <x v="0"/>
    <x v="0"/>
    <x v="0"/>
    <x v="0"/>
    <s v="DK1_MedSmall"/>
    <x v="2"/>
    <x v="26"/>
    <m/>
    <m/>
    <m/>
    <m/>
    <n v="5.6764800000000002E-5"/>
    <n v="5.6764800000000002E-8"/>
  </r>
  <r>
    <x v="0"/>
    <x v="0"/>
    <x v="0"/>
    <x v="0"/>
    <x v="0"/>
    <s v="DK1_MedSmall"/>
    <x v="2"/>
    <x v="27"/>
    <m/>
    <m/>
    <m/>
    <m/>
    <n v="8.52324324324325E-5"/>
    <n v="8.5232432432432406E-8"/>
  </r>
  <r>
    <x v="0"/>
    <x v="0"/>
    <x v="0"/>
    <x v="0"/>
    <x v="0"/>
    <s v="DK1_MedSmall"/>
    <x v="2"/>
    <x v="10"/>
    <m/>
    <m/>
    <m/>
    <m/>
    <n v="9.8329247999999893E-4"/>
    <n v="9.8329248000000001E-7"/>
  </r>
  <r>
    <x v="0"/>
    <x v="0"/>
    <x v="0"/>
    <x v="0"/>
    <x v="0"/>
    <s v="DK1_MedSmall"/>
    <x v="2"/>
    <x v="11"/>
    <m/>
    <m/>
    <m/>
    <m/>
    <n v="6.5533346341463395E-4"/>
    <n v="6.5533346341463496E-7"/>
  </r>
  <r>
    <x v="0"/>
    <x v="0"/>
    <x v="0"/>
    <x v="0"/>
    <x v="0"/>
    <s v="DK1_MedSmall"/>
    <x v="2"/>
    <x v="15"/>
    <m/>
    <m/>
    <m/>
    <m/>
    <n v="1.5150991304347801E-4"/>
    <n v="1.51509913043478E-7"/>
  </r>
  <r>
    <x v="0"/>
    <x v="0"/>
    <x v="0"/>
    <x v="0"/>
    <x v="0"/>
    <s v="DK1_MedSmall"/>
    <x v="2"/>
    <x v="28"/>
    <m/>
    <m/>
    <m/>
    <m/>
    <n v="1.7293935483870999E-3"/>
    <n v="1.7293935483871E-6"/>
  </r>
  <r>
    <x v="0"/>
    <x v="0"/>
    <x v="0"/>
    <x v="0"/>
    <x v="0"/>
    <s v="DK1_MedSmall"/>
    <x v="3"/>
    <x v="29"/>
    <m/>
    <m/>
    <n v="-0.48984422426470597"/>
    <n v="-4.89844224264706E-4"/>
    <n v="8.2936588235294102E-4"/>
    <n v="8.2936588235294101E-7"/>
  </r>
  <r>
    <x v="0"/>
    <x v="0"/>
    <x v="0"/>
    <x v="0"/>
    <x v="0"/>
    <s v="DK1_MedSmall"/>
    <x v="3"/>
    <x v="30"/>
    <m/>
    <m/>
    <n v="-6.2086499999999996"/>
    <n v="-6.2086499999999996E-3"/>
    <n v="1.0512000000000001E-2"/>
    <n v="1.0512E-5"/>
  </r>
  <r>
    <x v="0"/>
    <x v="0"/>
    <x v="0"/>
    <x v="0"/>
    <x v="0"/>
    <s v="DK1_MedSmall"/>
    <x v="4"/>
    <x v="19"/>
    <m/>
    <m/>
    <m/>
    <m/>
    <m/>
    <m/>
  </r>
  <r>
    <x v="0"/>
    <x v="0"/>
    <x v="0"/>
    <x v="0"/>
    <x v="0"/>
    <s v="DK1_MedSmall"/>
    <x v="4"/>
    <x v="31"/>
    <m/>
    <m/>
    <m/>
    <m/>
    <m/>
    <m/>
  </r>
  <r>
    <x v="0"/>
    <x v="0"/>
    <x v="0"/>
    <x v="0"/>
    <x v="0"/>
    <s v="DK1_MedSmall"/>
    <x v="5"/>
    <x v="32"/>
    <m/>
    <m/>
    <m/>
    <m/>
    <m/>
    <m/>
  </r>
  <r>
    <x v="0"/>
    <x v="0"/>
    <x v="0"/>
    <x v="0"/>
    <x v="0"/>
    <s v="DK1_Medium"/>
    <x v="1"/>
    <x v="4"/>
    <m/>
    <m/>
    <n v="-5.7376172335845803"/>
    <n v="-5.73761723358458E-3"/>
    <n v="1.48882929022781E-3"/>
    <n v="1.4888292902278099E-6"/>
  </r>
  <r>
    <x v="0"/>
    <x v="0"/>
    <x v="0"/>
    <x v="0"/>
    <x v="0"/>
    <s v="DK1_Medium"/>
    <x v="2"/>
    <x v="7"/>
    <m/>
    <m/>
    <m/>
    <m/>
    <n v="3.3159176470588202E-5"/>
    <n v="3.3159176470588201E-8"/>
  </r>
  <r>
    <x v="0"/>
    <x v="0"/>
    <x v="0"/>
    <x v="0"/>
    <x v="0"/>
    <s v="DK1_Medium"/>
    <x v="2"/>
    <x v="33"/>
    <m/>
    <m/>
    <m/>
    <m/>
    <n v="1.05777E-4"/>
    <n v="1.0577699999999999E-7"/>
  </r>
  <r>
    <x v="0"/>
    <x v="0"/>
    <x v="0"/>
    <x v="0"/>
    <x v="0"/>
    <s v="DK1_Medium"/>
    <x v="2"/>
    <x v="10"/>
    <m/>
    <m/>
    <m/>
    <m/>
    <n v="1.0048815E-4"/>
    <n v="1.0048814999999999E-7"/>
  </r>
  <r>
    <x v="0"/>
    <x v="0"/>
    <x v="0"/>
    <x v="0"/>
    <x v="0"/>
    <s v="DK1_Medium"/>
    <x v="2"/>
    <x v="11"/>
    <m/>
    <m/>
    <m/>
    <m/>
    <n v="3.3074341463414699E-4"/>
    <n v="3.30743414634147E-7"/>
  </r>
  <r>
    <x v="0"/>
    <x v="0"/>
    <x v="0"/>
    <x v="0"/>
    <x v="0"/>
    <s v="DK1_Medium"/>
    <x v="2"/>
    <x v="12"/>
    <m/>
    <m/>
    <m/>
    <m/>
    <n v="7.5310971428571496E-4"/>
    <n v="7.5310971428571397E-7"/>
  </r>
  <r>
    <x v="0"/>
    <x v="0"/>
    <x v="0"/>
    <x v="0"/>
    <x v="0"/>
    <s v="DK1_Medium"/>
    <x v="2"/>
    <x v="13"/>
    <m/>
    <m/>
    <m/>
    <m/>
    <n v="1.0414213953488401E-4"/>
    <n v="1.04142139534884E-7"/>
  </r>
  <r>
    <x v="0"/>
    <x v="0"/>
    <x v="0"/>
    <x v="0"/>
    <x v="0"/>
    <s v="DK1_Medium"/>
    <x v="2"/>
    <x v="14"/>
    <m/>
    <m/>
    <m/>
    <m/>
    <n v="3.35428363636364E-4"/>
    <n v="3.3542836363636402E-7"/>
  </r>
  <r>
    <x v="0"/>
    <x v="0"/>
    <x v="0"/>
    <x v="0"/>
    <x v="0"/>
    <s v="DK1_Medium"/>
    <x v="2"/>
    <x v="28"/>
    <m/>
    <m/>
    <m/>
    <m/>
    <n v="1.90741935483871E-4"/>
    <n v="1.9074193548387099E-7"/>
  </r>
  <r>
    <x v="0"/>
    <x v="0"/>
    <x v="0"/>
    <x v="0"/>
    <x v="0"/>
    <s v="DK1_Medium"/>
    <x v="2"/>
    <x v="34"/>
    <m/>
    <m/>
    <m/>
    <m/>
    <n v="6.0248427906976799E-3"/>
    <n v="6.0248427906976798E-6"/>
  </r>
  <r>
    <x v="0"/>
    <x v="0"/>
    <x v="0"/>
    <x v="0"/>
    <x v="0"/>
    <s v="DK1_Medium"/>
    <x v="2"/>
    <x v="35"/>
    <m/>
    <m/>
    <m/>
    <m/>
    <n v="4.0853454545454497E-3"/>
    <n v="4.08534545454546E-6"/>
  </r>
  <r>
    <x v="0"/>
    <x v="0"/>
    <x v="0"/>
    <x v="0"/>
    <x v="0"/>
    <s v="DK1_Medium"/>
    <x v="2"/>
    <x v="36"/>
    <m/>
    <m/>
    <m/>
    <m/>
    <n v="7.28347404255319E-3"/>
    <n v="7.2834740425531899E-6"/>
  </r>
  <r>
    <x v="0"/>
    <x v="0"/>
    <x v="0"/>
    <x v="0"/>
    <x v="0"/>
    <s v="DK1_Medium"/>
    <x v="4"/>
    <x v="31"/>
    <m/>
    <m/>
    <m/>
    <m/>
    <m/>
    <m/>
  </r>
  <r>
    <x v="0"/>
    <x v="0"/>
    <x v="0"/>
    <x v="0"/>
    <x v="0"/>
    <s v="DK1_Medium"/>
    <x v="5"/>
    <x v="37"/>
    <m/>
    <m/>
    <m/>
    <m/>
    <m/>
    <m/>
  </r>
  <r>
    <x v="0"/>
    <x v="0"/>
    <x v="0"/>
    <x v="0"/>
    <x v="0"/>
    <s v="DK1_Medium"/>
    <x v="5"/>
    <x v="38"/>
    <m/>
    <m/>
    <m/>
    <m/>
    <m/>
    <m/>
  </r>
  <r>
    <x v="0"/>
    <x v="0"/>
    <x v="0"/>
    <x v="0"/>
    <x v="0"/>
    <s v="DK1_NoDH"/>
    <x v="2"/>
    <x v="39"/>
    <m/>
    <m/>
    <m/>
    <m/>
    <n v="2.6877272727272701E-6"/>
    <n v="2.6877272727272701E-9"/>
  </r>
  <r>
    <x v="0"/>
    <x v="0"/>
    <x v="0"/>
    <x v="0"/>
    <x v="0"/>
    <s v="DK1_NoDH"/>
    <x v="2"/>
    <x v="26"/>
    <m/>
    <m/>
    <m/>
    <m/>
    <n v="8.9802514285714294E-5"/>
    <n v="8.9802514285714296E-8"/>
  </r>
  <r>
    <x v="0"/>
    <x v="0"/>
    <x v="0"/>
    <x v="0"/>
    <x v="0"/>
    <s v="DK1_NoDH"/>
    <x v="2"/>
    <x v="33"/>
    <m/>
    <m/>
    <m/>
    <m/>
    <n v="1.7220700000000001E-4"/>
    <n v="1.72207E-7"/>
  </r>
  <r>
    <x v="0"/>
    <x v="0"/>
    <x v="0"/>
    <x v="0"/>
    <x v="0"/>
    <s v="DK1_NoDH"/>
    <x v="2"/>
    <x v="27"/>
    <m/>
    <m/>
    <m/>
    <m/>
    <n v="1.96354216216216E-3"/>
    <n v="1.96354216216216E-6"/>
  </r>
  <r>
    <x v="0"/>
    <x v="0"/>
    <x v="0"/>
    <x v="0"/>
    <x v="0"/>
    <s v="DK1_NoDH"/>
    <x v="2"/>
    <x v="8"/>
    <m/>
    <m/>
    <m/>
    <m/>
    <n v="8.5479157894736903E-4"/>
    <n v="8.5479157894736898E-7"/>
  </r>
  <r>
    <x v="0"/>
    <x v="0"/>
    <x v="0"/>
    <x v="0"/>
    <x v="0"/>
    <s v="DK1_NoDH"/>
    <x v="2"/>
    <x v="9"/>
    <m/>
    <m/>
    <m/>
    <m/>
    <n v="8.0164107692307703E-4"/>
    <n v="8.0164107692307703E-7"/>
  </r>
  <r>
    <x v="0"/>
    <x v="0"/>
    <x v="0"/>
    <x v="0"/>
    <x v="0"/>
    <s v="DK1_NoDH"/>
    <x v="2"/>
    <x v="10"/>
    <m/>
    <m/>
    <m/>
    <m/>
    <n v="2.130651E-4"/>
    <n v="2.130651E-7"/>
  </r>
  <r>
    <x v="0"/>
    <x v="0"/>
    <x v="0"/>
    <x v="0"/>
    <x v="0"/>
    <s v="DK1_NoDH"/>
    <x v="2"/>
    <x v="11"/>
    <m/>
    <m/>
    <m/>
    <m/>
    <n v="5.8306346341463402E-4"/>
    <n v="5.8306346341463501E-7"/>
  </r>
  <r>
    <x v="0"/>
    <x v="0"/>
    <x v="0"/>
    <x v="0"/>
    <x v="0"/>
    <s v="DK1_NoDH"/>
    <x v="2"/>
    <x v="12"/>
    <m/>
    <m/>
    <m/>
    <m/>
    <n v="8.3495314285714196E-4"/>
    <n v="8.3495314285714304E-7"/>
  </r>
  <r>
    <x v="0"/>
    <x v="0"/>
    <x v="0"/>
    <x v="0"/>
    <x v="0"/>
    <s v="DK1_NoDH"/>
    <x v="2"/>
    <x v="13"/>
    <m/>
    <m/>
    <m/>
    <m/>
    <n v="9.0508319999999995E-4"/>
    <n v="9.0508319999999996E-7"/>
  </r>
  <r>
    <x v="0"/>
    <x v="0"/>
    <x v="0"/>
    <x v="0"/>
    <x v="0"/>
    <s v="DK1_NoDH"/>
    <x v="2"/>
    <x v="15"/>
    <m/>
    <m/>
    <m/>
    <m/>
    <n v="3.2941408695652199E-4"/>
    <n v="3.29414086956522E-7"/>
  </r>
  <r>
    <x v="0"/>
    <x v="0"/>
    <x v="0"/>
    <x v="0"/>
    <x v="0"/>
    <s v="DK1_NoDH"/>
    <x v="2"/>
    <x v="40"/>
    <m/>
    <m/>
    <m/>
    <m/>
    <n v="3.1382165853658501E-3"/>
    <n v="3.1382165853658498E-6"/>
  </r>
  <r>
    <x v="0"/>
    <x v="0"/>
    <x v="0"/>
    <x v="0"/>
    <x v="0"/>
    <s v="DK1_NoDH"/>
    <x v="2"/>
    <x v="41"/>
    <m/>
    <m/>
    <m/>
    <m/>
    <n v="4.3876173913043497E-5"/>
    <n v="4.3876173913043503E-8"/>
  </r>
  <r>
    <x v="0"/>
    <x v="0"/>
    <x v="0"/>
    <x v="0"/>
    <x v="0"/>
    <s v="DK1_NoDH"/>
    <x v="2"/>
    <x v="42"/>
    <m/>
    <m/>
    <m/>
    <m/>
    <n v="6.5512285714285697E-4"/>
    <n v="6.5512285714285697E-7"/>
  </r>
  <r>
    <x v="0"/>
    <x v="0"/>
    <x v="0"/>
    <x v="0"/>
    <x v="0"/>
    <s v="DK1_NoDH"/>
    <x v="2"/>
    <x v="43"/>
    <m/>
    <m/>
    <m/>
    <m/>
    <n v="1.26621818181818E-4"/>
    <n v="1.2662181818181801E-7"/>
  </r>
  <r>
    <x v="0"/>
    <x v="0"/>
    <x v="0"/>
    <x v="0"/>
    <x v="0"/>
    <s v="DK1_NoDH"/>
    <x v="2"/>
    <x v="44"/>
    <m/>
    <m/>
    <m/>
    <m/>
    <n v="2.1900000000000001E-4"/>
    <n v="2.1899999999999999E-7"/>
  </r>
  <r>
    <x v="0"/>
    <x v="0"/>
    <x v="0"/>
    <x v="0"/>
    <x v="0"/>
    <s v="DK1_NoDH"/>
    <x v="6"/>
    <x v="45"/>
    <m/>
    <m/>
    <m/>
    <m/>
    <m/>
    <m/>
  </r>
  <r>
    <x v="0"/>
    <x v="0"/>
    <x v="0"/>
    <x v="0"/>
    <x v="0"/>
    <s v="DK1_NoDH"/>
    <x v="7"/>
    <x v="46"/>
    <m/>
    <m/>
    <m/>
    <m/>
    <m/>
    <m/>
  </r>
  <r>
    <x v="0"/>
    <x v="0"/>
    <x v="0"/>
    <x v="0"/>
    <x v="0"/>
    <s v="DK1_NoDH"/>
    <x v="8"/>
    <x v="47"/>
    <m/>
    <m/>
    <m/>
    <m/>
    <m/>
    <m/>
  </r>
  <r>
    <x v="0"/>
    <x v="0"/>
    <x v="0"/>
    <x v="0"/>
    <x v="0"/>
    <s v="DK1_Offshore"/>
    <x v="8"/>
    <x v="48"/>
    <m/>
    <m/>
    <m/>
    <m/>
    <m/>
    <m/>
  </r>
  <r>
    <x v="0"/>
    <x v="0"/>
    <x v="0"/>
    <x v="0"/>
    <x v="0"/>
    <s v="DK1_Rural"/>
    <x v="2"/>
    <x v="39"/>
    <m/>
    <m/>
    <m/>
    <m/>
    <n v="8.9590909090909106E-5"/>
    <n v="8.9590909090909094E-8"/>
  </r>
  <r>
    <x v="0"/>
    <x v="0"/>
    <x v="0"/>
    <x v="0"/>
    <x v="0"/>
    <s v="DK1_Rural"/>
    <x v="2"/>
    <x v="7"/>
    <m/>
    <m/>
    <m/>
    <m/>
    <n v="2.32616647058823E-4"/>
    <n v="2.3261664705882301E-7"/>
  </r>
  <r>
    <x v="0"/>
    <x v="0"/>
    <x v="0"/>
    <x v="0"/>
    <x v="0"/>
    <s v="DK1_Rural"/>
    <x v="2"/>
    <x v="33"/>
    <m/>
    <m/>
    <m/>
    <m/>
    <n v="1.134931E-3"/>
    <n v="1.1349309999999999E-6"/>
  </r>
  <r>
    <x v="0"/>
    <x v="0"/>
    <x v="0"/>
    <x v="0"/>
    <x v="0"/>
    <s v="DK1_Rural"/>
    <x v="2"/>
    <x v="27"/>
    <m/>
    <m/>
    <m/>
    <m/>
    <n v="1.1539761081081101E-3"/>
    <n v="1.15397610810811E-6"/>
  </r>
  <r>
    <x v="0"/>
    <x v="0"/>
    <x v="0"/>
    <x v="0"/>
    <x v="0"/>
    <s v="DK1_Rural"/>
    <x v="2"/>
    <x v="8"/>
    <m/>
    <m/>
    <m/>
    <m/>
    <n v="3.3062043044623898E-3"/>
    <n v="3.3062043044623899E-6"/>
  </r>
  <r>
    <x v="0"/>
    <x v="0"/>
    <x v="0"/>
    <x v="0"/>
    <x v="0"/>
    <s v="DK1_Rural"/>
    <x v="2"/>
    <x v="9"/>
    <m/>
    <m/>
    <m/>
    <m/>
    <n v="3.9749510769230799E-3"/>
    <n v="3.9749510769230796E-6"/>
  </r>
  <r>
    <x v="0"/>
    <x v="0"/>
    <x v="0"/>
    <x v="0"/>
    <x v="0"/>
    <s v="DK1_Rural"/>
    <x v="2"/>
    <x v="10"/>
    <m/>
    <m/>
    <m/>
    <m/>
    <n v="5.3319163500000002E-3"/>
    <n v="5.33191635E-6"/>
  </r>
  <r>
    <x v="0"/>
    <x v="0"/>
    <x v="0"/>
    <x v="0"/>
    <x v="0"/>
    <s v="DK1_Rural"/>
    <x v="2"/>
    <x v="11"/>
    <m/>
    <m/>
    <m/>
    <m/>
    <n v="7.8779313347400008E-3"/>
    <n v="7.8779313347400001E-6"/>
  </r>
  <r>
    <x v="0"/>
    <x v="0"/>
    <x v="0"/>
    <x v="0"/>
    <x v="0"/>
    <s v="DK1_Rural"/>
    <x v="2"/>
    <x v="12"/>
    <m/>
    <m/>
    <m/>
    <m/>
    <n v="5.7622278857142797E-3"/>
    <n v="5.7622278857142799E-6"/>
  </r>
  <r>
    <x v="0"/>
    <x v="0"/>
    <x v="0"/>
    <x v="0"/>
    <x v="0"/>
    <s v="DK1_Rural"/>
    <x v="2"/>
    <x v="13"/>
    <m/>
    <m/>
    <m/>
    <m/>
    <n v="3.5593143069767401E-3"/>
    <n v="3.5593143069767399E-6"/>
  </r>
  <r>
    <x v="0"/>
    <x v="0"/>
    <x v="0"/>
    <x v="0"/>
    <x v="0"/>
    <s v="DK1_Rural"/>
    <x v="2"/>
    <x v="14"/>
    <m/>
    <m/>
    <m/>
    <m/>
    <n v="3.8724774545454599E-3"/>
    <n v="3.8724774545454599E-6"/>
  </r>
  <r>
    <x v="0"/>
    <x v="0"/>
    <x v="0"/>
    <x v="0"/>
    <x v="0"/>
    <s v="DK1_Rural"/>
    <x v="2"/>
    <x v="49"/>
    <m/>
    <m/>
    <m/>
    <m/>
    <n v="7.3163519999999997E-4"/>
    <n v="7.3163520000000001E-7"/>
  </r>
  <r>
    <x v="0"/>
    <x v="0"/>
    <x v="0"/>
    <x v="0"/>
    <x v="0"/>
    <s v="DK1_Rural"/>
    <x v="2"/>
    <x v="15"/>
    <m/>
    <m/>
    <m/>
    <m/>
    <n v="1.48356313043478E-3"/>
    <n v="1.4835631304347801E-6"/>
  </r>
  <r>
    <x v="0"/>
    <x v="0"/>
    <x v="0"/>
    <x v="0"/>
    <x v="0"/>
    <s v="DK1_Rural"/>
    <x v="2"/>
    <x v="50"/>
    <m/>
    <m/>
    <m/>
    <m/>
    <n v="2.4826212765957401E-4"/>
    <n v="2.4826212765957499E-7"/>
  </r>
  <r>
    <x v="0"/>
    <x v="0"/>
    <x v="0"/>
    <x v="0"/>
    <x v="0"/>
    <s v="DK1_Rural"/>
    <x v="2"/>
    <x v="42"/>
    <m/>
    <m/>
    <m/>
    <m/>
    <n v="1.38908571428571E-4"/>
    <n v="1.3890857142857101E-7"/>
  </r>
  <r>
    <x v="0"/>
    <x v="0"/>
    <x v="0"/>
    <x v="0"/>
    <x v="0"/>
    <s v="DK1_Rural"/>
    <x v="2"/>
    <x v="51"/>
    <m/>
    <m/>
    <m/>
    <m/>
    <n v="1.3797000000000001E-4"/>
    <n v="1.3797000000000001E-7"/>
  </r>
  <r>
    <x v="0"/>
    <x v="0"/>
    <x v="0"/>
    <x v="0"/>
    <x v="0"/>
    <s v="DK1_Rural"/>
    <x v="2"/>
    <x v="52"/>
    <m/>
    <m/>
    <m/>
    <m/>
    <n v="4.6150243902439E-4"/>
    <n v="4.6150243902439101E-7"/>
  </r>
  <r>
    <x v="0"/>
    <x v="0"/>
    <x v="0"/>
    <x v="0"/>
    <x v="0"/>
    <s v="DK1_Rural"/>
    <x v="3"/>
    <x v="18"/>
    <m/>
    <m/>
    <n v="-0.62176878963204696"/>
    <n v="-6.2176878963204701E-4"/>
    <n v="1.0527302258320399E-3"/>
    <n v="1.05273022583204E-6"/>
  </r>
  <r>
    <x v="0"/>
    <x v="0"/>
    <x v="0"/>
    <x v="0"/>
    <x v="0"/>
    <s v="DK1_Rural"/>
    <x v="4"/>
    <x v="19"/>
    <m/>
    <m/>
    <m/>
    <m/>
    <m/>
    <m/>
  </r>
  <r>
    <x v="0"/>
    <x v="0"/>
    <x v="0"/>
    <x v="0"/>
    <x v="0"/>
    <s v="DK1_Rural"/>
    <x v="5"/>
    <x v="37"/>
    <m/>
    <m/>
    <m/>
    <m/>
    <m/>
    <m/>
  </r>
  <r>
    <x v="0"/>
    <x v="0"/>
    <x v="0"/>
    <x v="0"/>
    <x v="0"/>
    <s v="DK1_Rural"/>
    <x v="9"/>
    <x v="53"/>
    <m/>
    <m/>
    <m/>
    <m/>
    <m/>
    <m/>
  </r>
  <r>
    <x v="0"/>
    <x v="0"/>
    <x v="0"/>
    <x v="0"/>
    <x v="0"/>
    <s v="DK1_Small"/>
    <x v="1"/>
    <x v="1"/>
    <m/>
    <m/>
    <n v="-2.9646937019555599"/>
    <n v="-2.9646937019555601E-3"/>
    <n v="7.6929544797601395E-4"/>
    <n v="7.6929544797601403E-7"/>
  </r>
  <r>
    <x v="0"/>
    <x v="0"/>
    <x v="0"/>
    <x v="0"/>
    <x v="0"/>
    <s v="DK1_Small"/>
    <x v="1"/>
    <x v="23"/>
    <m/>
    <m/>
    <n v="-1.4634566959999999"/>
    <n v="-1.463456696E-3"/>
    <n v="3.7974599999999998E-4"/>
    <n v="3.7974599999999999E-7"/>
  </r>
  <r>
    <x v="0"/>
    <x v="0"/>
    <x v="0"/>
    <x v="0"/>
    <x v="0"/>
    <s v="DK1_Small"/>
    <x v="2"/>
    <x v="8"/>
    <m/>
    <m/>
    <m/>
    <m/>
    <n v="3.2282905263157901E-4"/>
    <n v="3.2282905263157899E-7"/>
  </r>
  <r>
    <x v="0"/>
    <x v="0"/>
    <x v="0"/>
    <x v="0"/>
    <x v="0"/>
    <s v="DK1_Small"/>
    <x v="2"/>
    <x v="9"/>
    <m/>
    <m/>
    <m/>
    <m/>
    <n v="5.9837538461538497E-5"/>
    <n v="5.98375384615385E-8"/>
  </r>
  <r>
    <x v="0"/>
    <x v="0"/>
    <x v="0"/>
    <x v="0"/>
    <x v="0"/>
    <s v="DK1_Small"/>
    <x v="2"/>
    <x v="11"/>
    <m/>
    <m/>
    <m/>
    <m/>
    <n v="1.1383726829268301E-4"/>
    <n v="1.1383726829268301E-7"/>
  </r>
  <r>
    <x v="0"/>
    <x v="0"/>
    <x v="0"/>
    <x v="0"/>
    <x v="0"/>
    <s v="DK1_Small"/>
    <x v="2"/>
    <x v="12"/>
    <m/>
    <m/>
    <m/>
    <m/>
    <n v="1.05870857142857E-3"/>
    <n v="1.0587085714285701E-6"/>
  </r>
  <r>
    <x v="0"/>
    <x v="0"/>
    <x v="0"/>
    <x v="0"/>
    <x v="0"/>
    <s v="DK1_Small"/>
    <x v="2"/>
    <x v="28"/>
    <m/>
    <m/>
    <m/>
    <m/>
    <n v="3.4163999999999999E-4"/>
    <n v="3.4163999999999998E-7"/>
  </r>
  <r>
    <x v="0"/>
    <x v="0"/>
    <x v="0"/>
    <x v="0"/>
    <x v="0"/>
    <s v="DK1_Small"/>
    <x v="4"/>
    <x v="19"/>
    <m/>
    <m/>
    <m/>
    <m/>
    <m/>
    <m/>
  </r>
  <r>
    <x v="0"/>
    <x v="0"/>
    <x v="0"/>
    <x v="0"/>
    <x v="0"/>
    <s v="DK1_Small"/>
    <x v="10"/>
    <x v="54"/>
    <m/>
    <m/>
    <n v="-0.13314105000000001"/>
    <n v="-1.3314104999999999E-4"/>
    <n v="2.20752E-4"/>
    <n v="2.2075199999999999E-7"/>
  </r>
  <r>
    <x v="0"/>
    <x v="0"/>
    <x v="0"/>
    <x v="0"/>
    <x v="0"/>
    <s v="DK1_Small"/>
    <x v="10"/>
    <x v="55"/>
    <m/>
    <m/>
    <n v="-0.150823091662771"/>
    <n v="-1.50823091662771E-4"/>
    <n v="2.5006937477765098E-4"/>
    <n v="2.5006937477765102E-7"/>
  </r>
  <r>
    <x v="0"/>
    <x v="0"/>
    <x v="0"/>
    <x v="0"/>
    <x v="1"/>
    <s v="DK2_Large"/>
    <x v="11"/>
    <x v="56"/>
    <m/>
    <m/>
    <n v="2.1448703571428601E-3"/>
    <n v="2.1448703571428601E-6"/>
    <n v="3.4317925714285702E-4"/>
    <n v="3.4317925714285701E-7"/>
  </r>
  <r>
    <x v="0"/>
    <x v="0"/>
    <x v="0"/>
    <x v="0"/>
    <x v="1"/>
    <s v="DK2_Large"/>
    <x v="0"/>
    <x v="57"/>
    <n v="467.78152244653501"/>
    <n v="0.46778152244653498"/>
    <n v="-338.938865481768"/>
    <n v="-0.33893886548176799"/>
    <n v="1.4834509168494801E-2"/>
    <n v="1.48345091684948E-5"/>
  </r>
  <r>
    <x v="0"/>
    <x v="0"/>
    <x v="0"/>
    <x v="0"/>
    <x v="1"/>
    <s v="DK2_Large"/>
    <x v="1"/>
    <x v="58"/>
    <m/>
    <m/>
    <n v="-86.592074400000101"/>
    <n v="-8.6592074400000094E-2"/>
    <n v="2.24694E-2"/>
    <n v="2.2469399999999999E-5"/>
  </r>
  <r>
    <x v="0"/>
    <x v="0"/>
    <x v="0"/>
    <x v="0"/>
    <x v="1"/>
    <s v="DK2_Large"/>
    <x v="1"/>
    <x v="23"/>
    <m/>
    <m/>
    <n v="-94.795534079999996"/>
    <n v="-9.4795534080000105E-2"/>
    <n v="2.4598080000000001E-2"/>
    <n v="2.4598079999999999E-5"/>
  </r>
  <r>
    <x v="0"/>
    <x v="0"/>
    <x v="0"/>
    <x v="0"/>
    <x v="1"/>
    <s v="DK2_Large"/>
    <x v="1"/>
    <x v="24"/>
    <m/>
    <m/>
    <n v="-31.714256822857202"/>
    <n v="-3.1714256822857202E-2"/>
    <n v="8.2293942857143004E-3"/>
    <n v="8.2293942857142993E-6"/>
  </r>
  <r>
    <x v="0"/>
    <x v="0"/>
    <x v="0"/>
    <x v="0"/>
    <x v="1"/>
    <s v="DK2_Large"/>
    <x v="1"/>
    <x v="6"/>
    <m/>
    <m/>
    <n v="-34.929408568888903"/>
    <n v="-3.4929408568888903E-2"/>
    <n v="9.0636800000000201E-3"/>
    <n v="9.0636800000000199E-6"/>
  </r>
  <r>
    <x v="0"/>
    <x v="0"/>
    <x v="0"/>
    <x v="0"/>
    <x v="1"/>
    <s v="DK2_Large"/>
    <x v="2"/>
    <x v="7"/>
    <m/>
    <m/>
    <m/>
    <m/>
    <n v="9.0897882352941099E-5"/>
    <n v="9.0897882352941205E-8"/>
  </r>
  <r>
    <x v="0"/>
    <x v="0"/>
    <x v="0"/>
    <x v="0"/>
    <x v="1"/>
    <s v="DK2_Large"/>
    <x v="2"/>
    <x v="33"/>
    <m/>
    <m/>
    <m/>
    <m/>
    <n v="2.4528000000000001E-4"/>
    <n v="2.4527999999999998E-7"/>
  </r>
  <r>
    <x v="0"/>
    <x v="0"/>
    <x v="0"/>
    <x v="0"/>
    <x v="1"/>
    <s v="DK2_Large"/>
    <x v="2"/>
    <x v="8"/>
    <m/>
    <m/>
    <m/>
    <m/>
    <n v="3.3361768421052599E-4"/>
    <n v="3.3361768421052698E-7"/>
  </r>
  <r>
    <x v="0"/>
    <x v="0"/>
    <x v="0"/>
    <x v="0"/>
    <x v="1"/>
    <s v="DK2_Large"/>
    <x v="2"/>
    <x v="10"/>
    <m/>
    <m/>
    <m/>
    <m/>
    <n v="4.3362000000000001E-4"/>
    <n v="4.3361999999999999E-7"/>
  </r>
  <r>
    <x v="0"/>
    <x v="0"/>
    <x v="0"/>
    <x v="0"/>
    <x v="1"/>
    <s v="DK2_Large"/>
    <x v="2"/>
    <x v="44"/>
    <m/>
    <m/>
    <m/>
    <m/>
    <n v="2.0323199999999998E-3"/>
    <n v="2.0323200000000001E-6"/>
  </r>
  <r>
    <x v="0"/>
    <x v="0"/>
    <x v="0"/>
    <x v="0"/>
    <x v="1"/>
    <s v="DK2_Large"/>
    <x v="2"/>
    <x v="59"/>
    <m/>
    <m/>
    <m/>
    <m/>
    <n v="6.6306461538461498E-3"/>
    <n v="6.63064615384615E-6"/>
  </r>
  <r>
    <x v="0"/>
    <x v="0"/>
    <x v="0"/>
    <x v="0"/>
    <x v="1"/>
    <s v="DK2_Large"/>
    <x v="4"/>
    <x v="31"/>
    <m/>
    <m/>
    <m/>
    <m/>
    <m/>
    <m/>
  </r>
  <r>
    <x v="0"/>
    <x v="0"/>
    <x v="0"/>
    <x v="0"/>
    <x v="1"/>
    <s v="DK2_Large"/>
    <x v="5"/>
    <x v="60"/>
    <m/>
    <m/>
    <m/>
    <m/>
    <m/>
    <m/>
  </r>
  <r>
    <x v="0"/>
    <x v="0"/>
    <x v="0"/>
    <x v="0"/>
    <x v="1"/>
    <s v="DK2_Large"/>
    <x v="5"/>
    <x v="37"/>
    <m/>
    <m/>
    <m/>
    <m/>
    <m/>
    <m/>
  </r>
  <r>
    <x v="0"/>
    <x v="0"/>
    <x v="0"/>
    <x v="0"/>
    <x v="1"/>
    <s v="DK2_Large"/>
    <x v="9"/>
    <x v="61"/>
    <m/>
    <m/>
    <m/>
    <m/>
    <m/>
    <m/>
  </r>
  <r>
    <x v="0"/>
    <x v="0"/>
    <x v="0"/>
    <x v="0"/>
    <x v="1"/>
    <s v="DK2_Large"/>
    <x v="10"/>
    <x v="62"/>
    <m/>
    <m/>
    <n v="-0.56299644000000004"/>
    <n v="-5.6299644000000005E-4"/>
    <n v="9.3346559999999996E-4"/>
    <n v="9.3346559999999998E-7"/>
  </r>
  <r>
    <x v="0"/>
    <x v="0"/>
    <x v="0"/>
    <x v="0"/>
    <x v="1"/>
    <s v="DK2_MedSmall"/>
    <x v="1"/>
    <x v="1"/>
    <m/>
    <m/>
    <n v="-3.0523967038871902"/>
    <n v="-3.05239670388719E-3"/>
    <n v="7.9205311771954605E-4"/>
    <n v="7.92053117719546E-7"/>
  </r>
  <r>
    <x v="0"/>
    <x v="0"/>
    <x v="0"/>
    <x v="0"/>
    <x v="1"/>
    <s v="DK2_MedSmall"/>
    <x v="1"/>
    <x v="24"/>
    <m/>
    <m/>
    <n v="-7.7549460114285802"/>
    <n v="-7.7549460114285798E-3"/>
    <n v="2.0122971428571499E-3"/>
    <n v="2.0122971428571501E-6"/>
  </r>
  <r>
    <x v="0"/>
    <x v="0"/>
    <x v="0"/>
    <x v="0"/>
    <x v="1"/>
    <s v="DK2_MedSmall"/>
    <x v="1"/>
    <x v="63"/>
    <m/>
    <m/>
    <n v="-10.9718783060126"/>
    <n v="-1.09718783060126E-2"/>
    <n v="2.8470448839267E-3"/>
    <n v="2.8470448839267001E-6"/>
  </r>
  <r>
    <x v="0"/>
    <x v="0"/>
    <x v="0"/>
    <x v="0"/>
    <x v="1"/>
    <s v="DK2_MedSmall"/>
    <x v="1"/>
    <x v="64"/>
    <m/>
    <m/>
    <n v="-15.062111176905001"/>
    <n v="-1.5062111176905001E-2"/>
    <n v="3.9084015855191103E-3"/>
    <n v="3.9084015855191099E-6"/>
  </r>
  <r>
    <x v="0"/>
    <x v="0"/>
    <x v="0"/>
    <x v="0"/>
    <x v="1"/>
    <s v="DK2_MedSmall"/>
    <x v="2"/>
    <x v="10"/>
    <m/>
    <m/>
    <m/>
    <m/>
    <n v="1.1668319999999999E-4"/>
    <n v="1.166832E-7"/>
  </r>
  <r>
    <x v="0"/>
    <x v="0"/>
    <x v="0"/>
    <x v="0"/>
    <x v="1"/>
    <s v="DK2_MedSmall"/>
    <x v="2"/>
    <x v="12"/>
    <m/>
    <m/>
    <m/>
    <m/>
    <n v="2.32765714285714E-4"/>
    <n v="2.3276571428571401E-7"/>
  </r>
  <r>
    <x v="0"/>
    <x v="0"/>
    <x v="0"/>
    <x v="0"/>
    <x v="1"/>
    <s v="DK2_MedSmall"/>
    <x v="4"/>
    <x v="19"/>
    <m/>
    <m/>
    <m/>
    <m/>
    <m/>
    <m/>
  </r>
  <r>
    <x v="0"/>
    <x v="0"/>
    <x v="0"/>
    <x v="0"/>
    <x v="1"/>
    <s v="DK2_Medium"/>
    <x v="0"/>
    <x v="65"/>
    <n v="325.00594065773902"/>
    <n v="0.32500594065773902"/>
    <n v="-235.48844816537101"/>
    <n v="-0.23548844816537101"/>
    <n v="1.03067423041566E-2"/>
    <n v="1.03067423041566E-5"/>
  </r>
  <r>
    <x v="0"/>
    <x v="0"/>
    <x v="0"/>
    <x v="0"/>
    <x v="1"/>
    <s v="DK2_Medium"/>
    <x v="1"/>
    <x v="5"/>
    <m/>
    <m/>
    <n v="-6.8083919583357497"/>
    <n v="-6.8083919583357497E-3"/>
    <n v="1.7666799568971799E-3"/>
    <n v="1.7666799568971799E-6"/>
  </r>
  <r>
    <x v="0"/>
    <x v="0"/>
    <x v="0"/>
    <x v="0"/>
    <x v="1"/>
    <s v="DK2_Medium"/>
    <x v="1"/>
    <x v="63"/>
    <m/>
    <m/>
    <n v="-5.9956149760000104"/>
    <n v="-5.9956149760000002E-3"/>
    <n v="1.555776E-3"/>
    <n v="1.555776E-6"/>
  </r>
  <r>
    <x v="0"/>
    <x v="0"/>
    <x v="0"/>
    <x v="0"/>
    <x v="1"/>
    <s v="DK2_Medium"/>
    <x v="2"/>
    <x v="39"/>
    <m/>
    <m/>
    <m/>
    <m/>
    <n v="5.5745454545454501E-5"/>
    <n v="5.5745454545454503E-8"/>
  </r>
  <r>
    <x v="0"/>
    <x v="0"/>
    <x v="0"/>
    <x v="0"/>
    <x v="1"/>
    <s v="DK2_Medium"/>
    <x v="2"/>
    <x v="26"/>
    <m/>
    <m/>
    <m/>
    <m/>
    <n v="1.80205714285714E-4"/>
    <n v="1.8020571428571399E-7"/>
  </r>
  <r>
    <x v="0"/>
    <x v="0"/>
    <x v="0"/>
    <x v="0"/>
    <x v="1"/>
    <s v="DK2_Medium"/>
    <x v="2"/>
    <x v="8"/>
    <m/>
    <m/>
    <m/>
    <m/>
    <n v="8.0499789473684305E-5"/>
    <n v="8.0499789473684199E-8"/>
  </r>
  <r>
    <x v="0"/>
    <x v="0"/>
    <x v="0"/>
    <x v="0"/>
    <x v="1"/>
    <s v="DK2_Medium"/>
    <x v="2"/>
    <x v="9"/>
    <m/>
    <m/>
    <m/>
    <m/>
    <n v="9.1050092307692302E-4"/>
    <n v="9.1050092307692401E-7"/>
  </r>
  <r>
    <x v="0"/>
    <x v="0"/>
    <x v="0"/>
    <x v="0"/>
    <x v="1"/>
    <s v="DK2_Medium"/>
    <x v="2"/>
    <x v="11"/>
    <m/>
    <m/>
    <m/>
    <m/>
    <n v="2.3844292682926899E-4"/>
    <n v="2.38442926829268E-7"/>
  </r>
  <r>
    <x v="0"/>
    <x v="0"/>
    <x v="0"/>
    <x v="0"/>
    <x v="1"/>
    <s v="DK2_Medium"/>
    <x v="2"/>
    <x v="12"/>
    <m/>
    <m/>
    <m/>
    <m/>
    <n v="1.5017142857142899E-4"/>
    <n v="1.5017142857142901E-7"/>
  </r>
  <r>
    <x v="0"/>
    <x v="0"/>
    <x v="0"/>
    <x v="0"/>
    <x v="1"/>
    <s v="DK2_Medium"/>
    <x v="2"/>
    <x v="66"/>
    <m/>
    <m/>
    <m/>
    <m/>
    <n v="4.4300571428571396E-3"/>
    <n v="4.4300571428571397E-6"/>
  </r>
  <r>
    <x v="0"/>
    <x v="0"/>
    <x v="0"/>
    <x v="0"/>
    <x v="1"/>
    <s v="DK2_Medium"/>
    <x v="2"/>
    <x v="35"/>
    <m/>
    <m/>
    <m/>
    <m/>
    <n v="5.5187999999999999E-3"/>
    <n v="5.5188000000000004E-6"/>
  </r>
  <r>
    <x v="0"/>
    <x v="0"/>
    <x v="0"/>
    <x v="0"/>
    <x v="1"/>
    <s v="DK2_Medium"/>
    <x v="5"/>
    <x v="37"/>
    <m/>
    <m/>
    <m/>
    <m/>
    <m/>
    <m/>
  </r>
  <r>
    <x v="0"/>
    <x v="0"/>
    <x v="0"/>
    <x v="0"/>
    <x v="1"/>
    <s v="DK2_NoDH"/>
    <x v="2"/>
    <x v="39"/>
    <m/>
    <m/>
    <m/>
    <m/>
    <n v="8.9192727272727199E-5"/>
    <n v="8.9192727272727297E-8"/>
  </r>
  <r>
    <x v="0"/>
    <x v="0"/>
    <x v="0"/>
    <x v="0"/>
    <x v="1"/>
    <s v="DK2_NoDH"/>
    <x v="2"/>
    <x v="7"/>
    <m/>
    <m/>
    <m/>
    <m/>
    <n v="3.90799058823529E-4"/>
    <n v="3.90799058823529E-7"/>
  </r>
  <r>
    <x v="0"/>
    <x v="0"/>
    <x v="0"/>
    <x v="0"/>
    <x v="1"/>
    <s v="DK2_NoDH"/>
    <x v="2"/>
    <x v="26"/>
    <m/>
    <m/>
    <m/>
    <m/>
    <n v="3.3315531428571401E-4"/>
    <n v="3.33155314285714E-7"/>
  </r>
  <r>
    <x v="0"/>
    <x v="0"/>
    <x v="0"/>
    <x v="0"/>
    <x v="1"/>
    <s v="DK2_NoDH"/>
    <x v="2"/>
    <x v="33"/>
    <m/>
    <m/>
    <m/>
    <m/>
    <n v="2.9634350000000003E-4"/>
    <n v="2.9634350000000001E-7"/>
  </r>
  <r>
    <x v="0"/>
    <x v="0"/>
    <x v="0"/>
    <x v="0"/>
    <x v="1"/>
    <s v="DK2_NoDH"/>
    <x v="2"/>
    <x v="27"/>
    <m/>
    <m/>
    <m/>
    <m/>
    <n v="2.30340648648649E-4"/>
    <n v="2.3034064864864899E-7"/>
  </r>
  <r>
    <x v="0"/>
    <x v="0"/>
    <x v="0"/>
    <x v="0"/>
    <x v="1"/>
    <s v="DK2_NoDH"/>
    <x v="2"/>
    <x v="8"/>
    <m/>
    <m/>
    <m/>
    <m/>
    <n v="3.1204042105263202E-4"/>
    <n v="3.1204042105263201E-7"/>
  </r>
  <r>
    <x v="0"/>
    <x v="0"/>
    <x v="0"/>
    <x v="0"/>
    <x v="1"/>
    <s v="DK2_NoDH"/>
    <x v="2"/>
    <x v="9"/>
    <m/>
    <m/>
    <m/>
    <m/>
    <n v="6.5902153846153803E-4"/>
    <n v="6.5902153846153899E-7"/>
  </r>
  <r>
    <x v="0"/>
    <x v="0"/>
    <x v="0"/>
    <x v="0"/>
    <x v="1"/>
    <s v="DK2_NoDH"/>
    <x v="2"/>
    <x v="10"/>
    <m/>
    <m/>
    <m/>
    <m/>
    <n v="6.3308519999999999E-4"/>
    <n v="6.3308520000000002E-7"/>
  </r>
  <r>
    <x v="0"/>
    <x v="0"/>
    <x v="0"/>
    <x v="0"/>
    <x v="1"/>
    <s v="DK2_NoDH"/>
    <x v="2"/>
    <x v="11"/>
    <m/>
    <m/>
    <m/>
    <m/>
    <n v="1.2660550243902399E-3"/>
    <n v="1.26605502439025E-6"/>
  </r>
  <r>
    <x v="0"/>
    <x v="0"/>
    <x v="0"/>
    <x v="0"/>
    <x v="1"/>
    <s v="DK2_NoDH"/>
    <x v="2"/>
    <x v="15"/>
    <m/>
    <m/>
    <m/>
    <m/>
    <n v="6.4717356521739103E-4"/>
    <n v="6.4717356521739096E-7"/>
  </r>
  <r>
    <x v="0"/>
    <x v="0"/>
    <x v="0"/>
    <x v="0"/>
    <x v="1"/>
    <s v="DK2_NoDH"/>
    <x v="2"/>
    <x v="42"/>
    <m/>
    <m/>
    <m/>
    <m/>
    <n v="2.2995000000000001E-4"/>
    <n v="2.2994999999999999E-7"/>
  </r>
  <r>
    <x v="0"/>
    <x v="0"/>
    <x v="0"/>
    <x v="0"/>
    <x v="1"/>
    <s v="DK2_NoDH"/>
    <x v="2"/>
    <x v="59"/>
    <m/>
    <m/>
    <m/>
    <m/>
    <n v="4.7627446153846202E-4"/>
    <n v="4.7627446153846202E-7"/>
  </r>
  <r>
    <x v="0"/>
    <x v="0"/>
    <x v="0"/>
    <x v="0"/>
    <x v="1"/>
    <s v="DK2_NoDH"/>
    <x v="6"/>
    <x v="45"/>
    <m/>
    <m/>
    <m/>
    <m/>
    <m/>
    <m/>
  </r>
  <r>
    <x v="0"/>
    <x v="0"/>
    <x v="0"/>
    <x v="0"/>
    <x v="1"/>
    <s v="DK2_NoDH"/>
    <x v="7"/>
    <x v="46"/>
    <m/>
    <m/>
    <m/>
    <m/>
    <m/>
    <m/>
  </r>
  <r>
    <x v="0"/>
    <x v="0"/>
    <x v="0"/>
    <x v="0"/>
    <x v="1"/>
    <s v="DK2_NoDH"/>
    <x v="8"/>
    <x v="47"/>
    <m/>
    <m/>
    <m/>
    <m/>
    <m/>
    <m/>
  </r>
  <r>
    <x v="0"/>
    <x v="0"/>
    <x v="0"/>
    <x v="0"/>
    <x v="1"/>
    <s v="DK2_Offshore"/>
    <x v="8"/>
    <x v="48"/>
    <m/>
    <m/>
    <m/>
    <m/>
    <m/>
    <m/>
  </r>
  <r>
    <x v="0"/>
    <x v="0"/>
    <x v="0"/>
    <x v="0"/>
    <x v="1"/>
    <s v="DK2_Rural"/>
    <x v="11"/>
    <x v="67"/>
    <m/>
    <m/>
    <n v="2.5521923076923098E-4"/>
    <n v="2.55219230769231E-7"/>
    <n v="4.0835076923076901E-5"/>
    <n v="4.0835076923076898E-8"/>
  </r>
  <r>
    <x v="0"/>
    <x v="0"/>
    <x v="0"/>
    <x v="0"/>
    <x v="1"/>
    <s v="DK2_Rural"/>
    <x v="11"/>
    <x v="68"/>
    <m/>
    <m/>
    <n v="2.1763125000000001E-4"/>
    <n v="2.1763125000000001E-7"/>
    <n v="3.4820999999999997E-5"/>
    <n v="3.4820999999999998E-8"/>
  </r>
  <r>
    <x v="0"/>
    <x v="0"/>
    <x v="0"/>
    <x v="0"/>
    <x v="1"/>
    <s v="DK2_Rural"/>
    <x v="11"/>
    <x v="69"/>
    <m/>
    <m/>
    <n v="1.44219512195122E-3"/>
    <n v="1.44219512195122E-6"/>
    <n v="2.30751219512195E-4"/>
    <n v="2.30751219512195E-7"/>
  </r>
  <r>
    <x v="0"/>
    <x v="0"/>
    <x v="0"/>
    <x v="0"/>
    <x v="1"/>
    <s v="DK2_Rural"/>
    <x v="11"/>
    <x v="56"/>
    <m/>
    <m/>
    <n v="4.0363264285714299E-3"/>
    <n v="4.03632642857143E-6"/>
    <n v="6.4581222857142899E-4"/>
    <n v="6.4581222857142899E-7"/>
  </r>
  <r>
    <x v="0"/>
    <x v="0"/>
    <x v="0"/>
    <x v="0"/>
    <x v="1"/>
    <s v="DK2_Rural"/>
    <x v="0"/>
    <x v="70"/>
    <n v="39.422252571428601"/>
    <n v="3.9422252571428597E-2"/>
    <n v="0.29754216"/>
    <n v="2.9754215999999999E-4"/>
    <n v="1.2501771428571401E-3"/>
    <n v="1.25017714285714E-6"/>
  </r>
  <r>
    <x v="0"/>
    <x v="0"/>
    <x v="0"/>
    <x v="0"/>
    <x v="1"/>
    <s v="DK2_Rural"/>
    <x v="1"/>
    <x v="1"/>
    <m/>
    <m/>
    <n v="-3.2408729599999999"/>
    <n v="-3.2408729600000002E-3"/>
    <n v="8.4095999999999997E-4"/>
    <n v="8.4096000000000003E-7"/>
  </r>
  <r>
    <x v="0"/>
    <x v="0"/>
    <x v="0"/>
    <x v="0"/>
    <x v="1"/>
    <s v="DK2_Rural"/>
    <x v="2"/>
    <x v="39"/>
    <m/>
    <m/>
    <m/>
    <m/>
    <n v="6.5652218181818105E-4"/>
    <n v="6.5652218181818097E-7"/>
  </r>
  <r>
    <x v="0"/>
    <x v="0"/>
    <x v="0"/>
    <x v="0"/>
    <x v="1"/>
    <s v="DK2_Rural"/>
    <x v="2"/>
    <x v="7"/>
    <m/>
    <m/>
    <m/>
    <m/>
    <n v="3.6822917647058801E-4"/>
    <n v="3.6822917647058798E-7"/>
  </r>
  <r>
    <x v="0"/>
    <x v="0"/>
    <x v="0"/>
    <x v="0"/>
    <x v="1"/>
    <s v="DK2_Rural"/>
    <x v="2"/>
    <x v="26"/>
    <m/>
    <m/>
    <m/>
    <m/>
    <n v="6.5684982857142798E-4"/>
    <n v="6.5684982857142899E-7"/>
  </r>
  <r>
    <x v="0"/>
    <x v="0"/>
    <x v="0"/>
    <x v="0"/>
    <x v="1"/>
    <s v="DK2_Rural"/>
    <x v="2"/>
    <x v="33"/>
    <m/>
    <m/>
    <m/>
    <m/>
    <n v="1.15194E-4"/>
    <n v="1.1519400000000001E-7"/>
  </r>
  <r>
    <x v="0"/>
    <x v="0"/>
    <x v="0"/>
    <x v="0"/>
    <x v="1"/>
    <s v="DK2_Rural"/>
    <x v="2"/>
    <x v="27"/>
    <m/>
    <m/>
    <m/>
    <m/>
    <n v="1.5427070270270299E-4"/>
    <n v="1.54270702702703E-7"/>
  </r>
  <r>
    <x v="0"/>
    <x v="0"/>
    <x v="0"/>
    <x v="0"/>
    <x v="1"/>
    <s v="DK2_Rural"/>
    <x v="2"/>
    <x v="8"/>
    <m/>
    <m/>
    <m/>
    <m/>
    <n v="2.6432147368421097E-4"/>
    <n v="2.64321473684211E-7"/>
  </r>
  <r>
    <x v="0"/>
    <x v="0"/>
    <x v="0"/>
    <x v="0"/>
    <x v="1"/>
    <s v="DK2_Rural"/>
    <x v="2"/>
    <x v="9"/>
    <m/>
    <m/>
    <m/>
    <m/>
    <n v="2.1104861538461502E-3"/>
    <n v="2.1104861538461499E-6"/>
  </r>
  <r>
    <x v="0"/>
    <x v="0"/>
    <x v="0"/>
    <x v="0"/>
    <x v="1"/>
    <s v="DK2_Rural"/>
    <x v="2"/>
    <x v="10"/>
    <m/>
    <m/>
    <m/>
    <m/>
    <n v="2.0734920000000001E-3"/>
    <n v="2.0734919999999999E-6"/>
  </r>
  <r>
    <x v="0"/>
    <x v="0"/>
    <x v="0"/>
    <x v="0"/>
    <x v="1"/>
    <s v="DK2_Rural"/>
    <x v="2"/>
    <x v="11"/>
    <m/>
    <m/>
    <m/>
    <m/>
    <n v="4.1812120975609799E-4"/>
    <n v="4.1812120975609801E-7"/>
  </r>
  <r>
    <x v="0"/>
    <x v="0"/>
    <x v="0"/>
    <x v="0"/>
    <x v="1"/>
    <s v="DK2_Rural"/>
    <x v="2"/>
    <x v="12"/>
    <m/>
    <m/>
    <m/>
    <m/>
    <n v="1.14130285714286E-4"/>
    <n v="1.14130285714286E-7"/>
  </r>
  <r>
    <x v="0"/>
    <x v="0"/>
    <x v="0"/>
    <x v="0"/>
    <x v="1"/>
    <s v="DK2_Rural"/>
    <x v="2"/>
    <x v="13"/>
    <m/>
    <m/>
    <m/>
    <m/>
    <n v="1.8166202790697699E-4"/>
    <n v="1.8166202790697699E-7"/>
  </r>
  <r>
    <x v="0"/>
    <x v="0"/>
    <x v="0"/>
    <x v="0"/>
    <x v="1"/>
    <s v="DK2_Rural"/>
    <x v="2"/>
    <x v="49"/>
    <m/>
    <m/>
    <m/>
    <m/>
    <n v="3.5040000000000003E-5"/>
    <n v="3.5040000000000001E-8"/>
  </r>
  <r>
    <x v="0"/>
    <x v="0"/>
    <x v="0"/>
    <x v="0"/>
    <x v="1"/>
    <s v="DK2_Rural"/>
    <x v="2"/>
    <x v="15"/>
    <m/>
    <m/>
    <m/>
    <m/>
    <n v="3.7706086956521703E-5"/>
    <n v="3.7706086956521698E-8"/>
  </r>
  <r>
    <x v="0"/>
    <x v="0"/>
    <x v="0"/>
    <x v="0"/>
    <x v="1"/>
    <s v="DK2_Rural"/>
    <x v="3"/>
    <x v="29"/>
    <m/>
    <m/>
    <n v="-1.56858677887457"/>
    <n v="-1.5685867788745699E-3"/>
    <n v="2.65580830285641E-3"/>
    <n v="2.6558083028564099E-6"/>
  </r>
  <r>
    <x v="0"/>
    <x v="0"/>
    <x v="0"/>
    <x v="0"/>
    <x v="1"/>
    <s v="DK2_Rural"/>
    <x v="3"/>
    <x v="71"/>
    <m/>
    <m/>
    <n v="-1.5521624999999999"/>
    <n v="-1.5521624999999999E-3"/>
    <n v="2.6280000000000001E-3"/>
    <n v="2.6280000000000001E-6"/>
  </r>
  <r>
    <x v="0"/>
    <x v="0"/>
    <x v="0"/>
    <x v="0"/>
    <x v="1"/>
    <s v="DK2_Rural"/>
    <x v="3"/>
    <x v="72"/>
    <m/>
    <m/>
    <n v="-2.7538811999999999"/>
    <n v="-2.7538812000000002E-3"/>
    <n v="4.6626560000000003E-3"/>
    <n v="4.6626559999999999E-6"/>
  </r>
  <r>
    <x v="0"/>
    <x v="0"/>
    <x v="0"/>
    <x v="0"/>
    <x v="1"/>
    <s v="DK2_Rural"/>
    <x v="3"/>
    <x v="73"/>
    <m/>
    <m/>
    <n v="-2.95446103448276"/>
    <n v="-2.9544610344827602E-3"/>
    <n v="5.0022620689655203E-3"/>
    <n v="5.0022620689655197E-6"/>
  </r>
  <r>
    <x v="0"/>
    <x v="0"/>
    <x v="0"/>
    <x v="0"/>
    <x v="1"/>
    <s v="DK2_Rural"/>
    <x v="4"/>
    <x v="19"/>
    <m/>
    <m/>
    <m/>
    <m/>
    <m/>
    <m/>
  </r>
  <r>
    <x v="0"/>
    <x v="0"/>
    <x v="0"/>
    <x v="0"/>
    <x v="1"/>
    <s v="DK2_Rural"/>
    <x v="10"/>
    <x v="54"/>
    <m/>
    <m/>
    <n v="-0.47930778000000002"/>
    <n v="-4.7930778000000002E-4"/>
    <n v="7.9470720000000003E-4"/>
    <n v="7.9470719999999995E-7"/>
  </r>
  <r>
    <x v="0"/>
    <x v="0"/>
    <x v="0"/>
    <x v="0"/>
    <x v="1"/>
    <s v="DK2_Small"/>
    <x v="2"/>
    <x v="15"/>
    <m/>
    <m/>
    <m/>
    <m/>
    <n v="2.6394260869565199E-3"/>
    <n v="2.6394260869565201E-6"/>
  </r>
  <r>
    <x v="0"/>
    <x v="0"/>
    <x v="0"/>
    <x v="1"/>
    <x v="2"/>
    <s v="EE_Enefit"/>
    <x v="12"/>
    <x v="74"/>
    <n v="87.844771041729601"/>
    <n v="8.7844771041729594E-2"/>
    <m/>
    <m/>
    <n v="1.5465628704529901E-3"/>
    <n v="1.54656287045299E-6"/>
  </r>
  <r>
    <x v="0"/>
    <x v="0"/>
    <x v="0"/>
    <x v="1"/>
    <x v="2"/>
    <s v="EE_Industry"/>
    <x v="12"/>
    <x v="75"/>
    <n v="390.652561983471"/>
    <n v="0.39065256198347098"/>
    <m/>
    <m/>
    <n v="6.87768595041322E-3"/>
    <n v="6.8776859504132304E-6"/>
  </r>
  <r>
    <x v="0"/>
    <x v="0"/>
    <x v="0"/>
    <x v="1"/>
    <x v="2"/>
    <s v="EE_Industry"/>
    <x v="13"/>
    <x v="76"/>
    <m/>
    <m/>
    <n v="1.42632412419075E-2"/>
    <n v="1.42632412419075E-5"/>
    <n v="2.2821185987052001E-3"/>
    <n v="2.2821185987051999E-6"/>
  </r>
  <r>
    <x v="0"/>
    <x v="0"/>
    <x v="0"/>
    <x v="1"/>
    <x v="2"/>
    <s v="EE_Industry"/>
    <x v="13"/>
    <x v="77"/>
    <m/>
    <m/>
    <n v="1.2854357466857501E-2"/>
    <n v="1.28543574668575E-5"/>
    <n v="2.0566971946971899E-3"/>
    <n v="2.0566971946971902E-6"/>
  </r>
  <r>
    <x v="0"/>
    <x v="0"/>
    <x v="0"/>
    <x v="1"/>
    <x v="2"/>
    <s v="EE_Industry"/>
    <x v="10"/>
    <x v="78"/>
    <m/>
    <m/>
    <n v="8.4046415094339605E-2"/>
    <n v="8.4046415094339599E-5"/>
    <n v="1.3447426415094299E-2"/>
    <n v="1.34474264150943E-5"/>
  </r>
  <r>
    <x v="0"/>
    <x v="0"/>
    <x v="0"/>
    <x v="1"/>
    <x v="2"/>
    <s v="EE_Kohtla_Jarve"/>
    <x v="2"/>
    <x v="79"/>
    <m/>
    <m/>
    <m/>
    <m/>
    <n v="7.5705741176488803E-4"/>
    <n v="7.5705741176488802E-7"/>
  </r>
  <r>
    <x v="0"/>
    <x v="0"/>
    <x v="0"/>
    <x v="1"/>
    <x v="2"/>
    <s v="EE_Kohtla_Jarve"/>
    <x v="2"/>
    <x v="80"/>
    <m/>
    <m/>
    <m/>
    <m/>
    <n v="1.14547658402204E-3"/>
    <n v="1.1454765840220401E-6"/>
  </r>
  <r>
    <x v="0"/>
    <x v="0"/>
    <x v="0"/>
    <x v="1"/>
    <x v="2"/>
    <s v="EE_Narva"/>
    <x v="14"/>
    <x v="81"/>
    <n v="25.5077325179479"/>
    <n v="2.5507732517947902E-2"/>
    <n v="0.15373579328384801"/>
    <n v="1.5373579328384801E-4"/>
    <n v="6.8939817616075398E-4"/>
    <n v="6.8939817616075401E-7"/>
  </r>
  <r>
    <x v="0"/>
    <x v="0"/>
    <x v="0"/>
    <x v="1"/>
    <x v="2"/>
    <s v="EE_Narva"/>
    <x v="15"/>
    <x v="82"/>
    <n v="495.994934456853"/>
    <n v="0.495994934456853"/>
    <n v="0.173598227059899"/>
    <n v="1.73598227059899E-4"/>
    <n v="1.4588086307554499E-2"/>
    <n v="1.4588086307554501E-5"/>
  </r>
  <r>
    <x v="0"/>
    <x v="0"/>
    <x v="0"/>
    <x v="1"/>
    <x v="2"/>
    <s v="EE_Parnu"/>
    <x v="13"/>
    <x v="83"/>
    <m/>
    <m/>
    <n v="4.0648193597641297E-2"/>
    <n v="4.0648193597641303E-5"/>
    <n v="6.5037109756226098E-3"/>
    <n v="6.5037109756226096E-6"/>
  </r>
  <r>
    <x v="0"/>
    <x v="0"/>
    <x v="0"/>
    <x v="1"/>
    <x v="2"/>
    <s v="EE_Rural"/>
    <x v="2"/>
    <x v="80"/>
    <m/>
    <m/>
    <m/>
    <m/>
    <n v="8.5910743801652901E-5"/>
    <n v="8.5910743801652894E-8"/>
  </r>
  <r>
    <x v="0"/>
    <x v="0"/>
    <x v="0"/>
    <x v="1"/>
    <x v="2"/>
    <s v="EE_Rural"/>
    <x v="7"/>
    <x v="46"/>
    <m/>
    <m/>
    <m/>
    <m/>
    <m/>
    <m/>
  </r>
  <r>
    <x v="0"/>
    <x v="0"/>
    <x v="0"/>
    <x v="1"/>
    <x v="2"/>
    <s v="EE_Rural"/>
    <x v="8"/>
    <x v="47"/>
    <m/>
    <m/>
    <m/>
    <m/>
    <m/>
    <m/>
  </r>
  <r>
    <x v="0"/>
    <x v="0"/>
    <x v="0"/>
    <x v="1"/>
    <x v="2"/>
    <s v="EE_Rural"/>
    <x v="10"/>
    <x v="84"/>
    <m/>
    <m/>
    <n v="3.11210526315789E-2"/>
    <n v="3.11210526315789E-5"/>
    <n v="4.9793684210526299E-3"/>
    <n v="4.9793684210526302E-6"/>
  </r>
  <r>
    <x v="0"/>
    <x v="0"/>
    <x v="0"/>
    <x v="1"/>
    <x v="2"/>
    <s v="EE_Sillamae"/>
    <x v="2"/>
    <x v="80"/>
    <m/>
    <m/>
    <m/>
    <m/>
    <n v="7.1592286501377396E-4"/>
    <n v="7.1592286501377396E-7"/>
  </r>
  <r>
    <x v="0"/>
    <x v="0"/>
    <x v="0"/>
    <x v="1"/>
    <x v="2"/>
    <s v="EE_Tallinn"/>
    <x v="1"/>
    <x v="85"/>
    <m/>
    <m/>
    <n v="0.27877824000000001"/>
    <n v="2.7877824E-4"/>
    <n v="7.1481599999999998E-3"/>
    <n v="7.1481600000000002E-6"/>
  </r>
  <r>
    <x v="0"/>
    <x v="0"/>
    <x v="0"/>
    <x v="1"/>
    <x v="2"/>
    <s v="EE_Tallinn"/>
    <x v="2"/>
    <x v="80"/>
    <m/>
    <m/>
    <m/>
    <m/>
    <n v="1.07388429752066E-4"/>
    <n v="1.07388429752066E-7"/>
  </r>
  <r>
    <x v="0"/>
    <x v="0"/>
    <x v="0"/>
    <x v="1"/>
    <x v="2"/>
    <s v="EE_Tallinn"/>
    <x v="2"/>
    <x v="86"/>
    <m/>
    <m/>
    <m/>
    <m/>
    <n v="8.2812033791438994E-3"/>
    <n v="8.2812033791439E-6"/>
  </r>
  <r>
    <x v="0"/>
    <x v="0"/>
    <x v="0"/>
    <x v="1"/>
    <x v="2"/>
    <s v="EE_Tallinn"/>
    <x v="13"/>
    <x v="87"/>
    <m/>
    <m/>
    <n v="1.59091334603709E-2"/>
    <n v="1.5909133460370901E-5"/>
    <n v="2.5454613536593398E-3"/>
    <n v="2.5454613536593401E-6"/>
  </r>
  <r>
    <x v="0"/>
    <x v="0"/>
    <x v="0"/>
    <x v="1"/>
    <x v="2"/>
    <s v="EE_Tallinn"/>
    <x v="13"/>
    <x v="88"/>
    <m/>
    <m/>
    <n v="5.7416092715270498E-2"/>
    <n v="5.74160927152705E-5"/>
    <n v="9.1865748344432795E-3"/>
    <n v="9.1865748344432695E-6"/>
  </r>
  <r>
    <x v="0"/>
    <x v="0"/>
    <x v="0"/>
    <x v="1"/>
    <x v="2"/>
    <s v="EE_Tallinn"/>
    <x v="13"/>
    <x v="89"/>
    <m/>
    <m/>
    <n v="6.0688449045223802E-2"/>
    <n v="6.06884490452237E-5"/>
    <n v="9.7101518472358008E-3"/>
    <n v="9.7101518472357997E-6"/>
  </r>
  <r>
    <x v="0"/>
    <x v="0"/>
    <x v="0"/>
    <x v="1"/>
    <x v="2"/>
    <s v="EE_Tartu"/>
    <x v="2"/>
    <x v="79"/>
    <m/>
    <m/>
    <m/>
    <m/>
    <n v="4.1308811659561601E-4"/>
    <n v="4.1308811659561599E-7"/>
  </r>
  <r>
    <x v="0"/>
    <x v="0"/>
    <x v="0"/>
    <x v="1"/>
    <x v="2"/>
    <s v="EE_Tartu"/>
    <x v="13"/>
    <x v="90"/>
    <m/>
    <m/>
    <n v="5.9986986437334001E-2"/>
    <n v="5.9986986437334002E-5"/>
    <n v="9.5979178299734399E-3"/>
    <n v="9.5979178299734393E-6"/>
  </r>
  <r>
    <x v="0"/>
    <x v="0"/>
    <x v="0"/>
    <x v="1"/>
    <x v="2"/>
    <s v="EE_Urban"/>
    <x v="2"/>
    <x v="80"/>
    <m/>
    <m/>
    <m/>
    <m/>
    <n v="6.4433057851239706E-5"/>
    <n v="6.4433057851239697E-8"/>
  </r>
  <r>
    <x v="0"/>
    <x v="0"/>
    <x v="0"/>
    <x v="1"/>
    <x v="2"/>
    <s v="EE_Urban"/>
    <x v="13"/>
    <x v="91"/>
    <m/>
    <m/>
    <n v="1.7850566037735799E-2"/>
    <n v="1.7850566037735801E-5"/>
    <n v="2.85609056603774E-3"/>
    <n v="2.8560905660377302E-6"/>
  </r>
  <r>
    <x v="0"/>
    <x v="0"/>
    <x v="0"/>
    <x v="2"/>
    <x v="3"/>
    <s v="FIN_EL"/>
    <x v="2"/>
    <x v="92"/>
    <m/>
    <m/>
    <m/>
    <m/>
    <n v="7.1703998828697001E-3"/>
    <n v="7.1703998828696896E-6"/>
  </r>
  <r>
    <x v="0"/>
    <x v="0"/>
    <x v="0"/>
    <x v="2"/>
    <x v="3"/>
    <s v="FIN_EL"/>
    <x v="2"/>
    <x v="93"/>
    <m/>
    <m/>
    <m/>
    <m/>
    <n v="7.3822909090909003E-3"/>
    <n v="7.3822909090909099E-6"/>
  </r>
  <r>
    <x v="0"/>
    <x v="0"/>
    <x v="0"/>
    <x v="2"/>
    <x v="3"/>
    <s v="FIN_EL"/>
    <x v="5"/>
    <x v="94"/>
    <m/>
    <m/>
    <m/>
    <m/>
    <m/>
    <m/>
  </r>
  <r>
    <x v="0"/>
    <x v="0"/>
    <x v="0"/>
    <x v="2"/>
    <x v="3"/>
    <s v="FIN_EL"/>
    <x v="10"/>
    <x v="95"/>
    <m/>
    <m/>
    <n v="0.27773181818181802"/>
    <n v="2.7773181818181801E-4"/>
    <n v="4.4437090909090898E-2"/>
    <n v="4.4437090909090899E-5"/>
  </r>
  <r>
    <x v="0"/>
    <x v="0"/>
    <x v="0"/>
    <x v="2"/>
    <x v="3"/>
    <s v="FIN_ESPOO"/>
    <x v="2"/>
    <x v="96"/>
    <m/>
    <m/>
    <m/>
    <m/>
    <n v="4.8553377049180297E-3"/>
    <n v="4.8553377049180299E-6"/>
  </r>
  <r>
    <x v="0"/>
    <x v="0"/>
    <x v="0"/>
    <x v="2"/>
    <x v="3"/>
    <s v="FIN_ESPOO"/>
    <x v="2"/>
    <x v="97"/>
    <m/>
    <m/>
    <m/>
    <m/>
    <n v="1.60546909090909E-2"/>
    <n v="1.6054690909090901E-5"/>
  </r>
  <r>
    <x v="0"/>
    <x v="0"/>
    <x v="0"/>
    <x v="2"/>
    <x v="3"/>
    <s v="FIN_ESPOO"/>
    <x v="2"/>
    <x v="98"/>
    <m/>
    <m/>
    <m/>
    <m/>
    <n v="1.0650521211806199E-3"/>
    <n v="1.0650521211806201E-6"/>
  </r>
  <r>
    <x v="0"/>
    <x v="0"/>
    <x v="0"/>
    <x v="2"/>
    <x v="3"/>
    <s v="FIN_ESPOO"/>
    <x v="16"/>
    <x v="99"/>
    <m/>
    <m/>
    <m/>
    <m/>
    <n v="2.7162571371261597E-4"/>
    <n v="2.7162571371261598E-7"/>
  </r>
  <r>
    <x v="0"/>
    <x v="0"/>
    <x v="0"/>
    <x v="2"/>
    <x v="3"/>
    <s v="FIN_GAS"/>
    <x v="2"/>
    <x v="100"/>
    <m/>
    <m/>
    <m/>
    <m/>
    <n v="6.1036765008576303E-3"/>
    <n v="6.1036765008576399E-6"/>
  </r>
  <r>
    <x v="0"/>
    <x v="0"/>
    <x v="0"/>
    <x v="2"/>
    <x v="3"/>
    <s v="FIN_GAS"/>
    <x v="2"/>
    <x v="101"/>
    <m/>
    <m/>
    <m/>
    <m/>
    <n v="4.0136727272727301E-3"/>
    <n v="4.0136727272727303E-6"/>
  </r>
  <r>
    <x v="0"/>
    <x v="0"/>
    <x v="0"/>
    <x v="2"/>
    <x v="3"/>
    <s v="FIN_GAS"/>
    <x v="2"/>
    <x v="98"/>
    <m/>
    <m/>
    <m/>
    <m/>
    <n v="8.4880441739398297E-4"/>
    <n v="8.4880441739398304E-7"/>
  </r>
  <r>
    <x v="0"/>
    <x v="0"/>
    <x v="0"/>
    <x v="2"/>
    <x v="3"/>
    <s v="FIN_HELS"/>
    <x v="2"/>
    <x v="102"/>
    <m/>
    <m/>
    <m/>
    <m/>
    <n v="4.9356563792709801E-3"/>
    <n v="4.9356563792709797E-6"/>
  </r>
  <r>
    <x v="0"/>
    <x v="0"/>
    <x v="0"/>
    <x v="2"/>
    <x v="3"/>
    <s v="FIN_HELS"/>
    <x v="2"/>
    <x v="103"/>
    <m/>
    <m/>
    <m/>
    <m/>
    <n v="1.10895824175824E-2"/>
    <n v="1.10895824175824E-5"/>
  </r>
  <r>
    <x v="0"/>
    <x v="0"/>
    <x v="0"/>
    <x v="2"/>
    <x v="3"/>
    <s v="FIN_HELS"/>
    <x v="2"/>
    <x v="104"/>
    <m/>
    <m/>
    <m/>
    <m/>
    <n v="2.8503692307692299E-2"/>
    <n v="2.8503692307692298E-5"/>
  </r>
  <r>
    <x v="0"/>
    <x v="0"/>
    <x v="0"/>
    <x v="2"/>
    <x v="3"/>
    <s v="FIN_HELS"/>
    <x v="2"/>
    <x v="98"/>
    <m/>
    <m/>
    <m/>
    <m/>
    <n v="2.3059217508281799E-2"/>
    <n v="2.3059217508281799E-5"/>
  </r>
  <r>
    <x v="0"/>
    <x v="0"/>
    <x v="0"/>
    <x v="2"/>
    <x v="3"/>
    <s v="FIN_HP"/>
    <x v="11"/>
    <x v="105"/>
    <m/>
    <m/>
    <n v="3.7101176470588299E-3"/>
    <n v="3.7101176470588298E-6"/>
    <n v="5.9361882352941195E-4"/>
    <n v="5.9361882352941201E-7"/>
  </r>
  <r>
    <x v="0"/>
    <x v="0"/>
    <x v="0"/>
    <x v="2"/>
    <x v="3"/>
    <s v="FIN_HP"/>
    <x v="0"/>
    <x v="106"/>
    <n v="982.16581846014606"/>
    <n v="0.98216581846014595"/>
    <n v="7.4129639997943304"/>
    <n v="7.41296399979434E-3"/>
    <n v="3.11469075621611E-2"/>
    <n v="3.1146907562161101E-5"/>
  </r>
  <r>
    <x v="0"/>
    <x v="0"/>
    <x v="0"/>
    <x v="2"/>
    <x v="3"/>
    <s v="FIN_HP"/>
    <x v="17"/>
    <x v="107"/>
    <n v="17.834181539854399"/>
    <n v="1.7834181539854398E-2"/>
    <n v="4.0001902519299498E-2"/>
    <n v="4.0001902519299602E-5"/>
    <n v="5.0002378149124405E-4"/>
    <n v="5.0002378149124401E-7"/>
  </r>
  <r>
    <x v="0"/>
    <x v="0"/>
    <x v="0"/>
    <x v="2"/>
    <x v="3"/>
    <s v="FIN_HP"/>
    <x v="4"/>
    <x v="108"/>
    <m/>
    <m/>
    <m/>
    <m/>
    <m/>
    <m/>
  </r>
  <r>
    <x v="0"/>
    <x v="0"/>
    <x v="0"/>
    <x v="2"/>
    <x v="3"/>
    <s v="FIN_HP"/>
    <x v="5"/>
    <x v="109"/>
    <m/>
    <m/>
    <m/>
    <m/>
    <m/>
    <m/>
  </r>
  <r>
    <x v="0"/>
    <x v="0"/>
    <x v="0"/>
    <x v="2"/>
    <x v="3"/>
    <s v="FIN_HP"/>
    <x v="9"/>
    <x v="110"/>
    <m/>
    <m/>
    <m/>
    <m/>
    <m/>
    <m/>
  </r>
  <r>
    <x v="0"/>
    <x v="0"/>
    <x v="0"/>
    <x v="2"/>
    <x v="3"/>
    <s v="FIN_HP"/>
    <x v="10"/>
    <x v="111"/>
    <m/>
    <m/>
    <n v="2.7362117647058801E-2"/>
    <n v="2.7362117647058799E-5"/>
    <n v="4.3779388235294101E-3"/>
    <n v="4.3779388235294099E-6"/>
  </r>
  <r>
    <x v="0"/>
    <x v="0"/>
    <x v="0"/>
    <x v="2"/>
    <x v="3"/>
    <s v="FIN_OTHER"/>
    <x v="2"/>
    <x v="112"/>
    <m/>
    <m/>
    <m/>
    <m/>
    <n v="1.42342036363636E-2"/>
    <n v="1.42342036363636E-5"/>
  </r>
  <r>
    <x v="0"/>
    <x v="0"/>
    <x v="0"/>
    <x v="2"/>
    <x v="3"/>
    <s v="FIN_OTHER"/>
    <x v="2"/>
    <x v="98"/>
    <m/>
    <m/>
    <m/>
    <m/>
    <n v="9.3226459077706807E-3"/>
    <n v="9.3226459077706806E-6"/>
  </r>
  <r>
    <x v="0"/>
    <x v="0"/>
    <x v="0"/>
    <x v="2"/>
    <x v="3"/>
    <s v="FIN_OTHER"/>
    <x v="16"/>
    <x v="99"/>
    <m/>
    <m/>
    <m/>
    <m/>
    <n v="4.8422426552990703E-3"/>
    <n v="4.8422426552990698E-6"/>
  </r>
  <r>
    <x v="0"/>
    <x v="0"/>
    <x v="0"/>
    <x v="2"/>
    <x v="3"/>
    <s v="FIN_OTHER"/>
    <x v="4"/>
    <x v="108"/>
    <m/>
    <m/>
    <m/>
    <m/>
    <m/>
    <m/>
  </r>
  <r>
    <x v="0"/>
    <x v="0"/>
    <x v="0"/>
    <x v="2"/>
    <x v="3"/>
    <s v="FIN_OTHER"/>
    <x v="5"/>
    <x v="113"/>
    <m/>
    <m/>
    <m/>
    <m/>
    <m/>
    <m/>
  </r>
  <r>
    <x v="0"/>
    <x v="0"/>
    <x v="0"/>
    <x v="2"/>
    <x v="3"/>
    <s v="FIN_OTHER"/>
    <x v="5"/>
    <x v="109"/>
    <m/>
    <m/>
    <m/>
    <m/>
    <m/>
    <m/>
  </r>
  <r>
    <x v="0"/>
    <x v="0"/>
    <x v="0"/>
    <x v="2"/>
    <x v="3"/>
    <s v="FIN_OTHER"/>
    <x v="9"/>
    <x v="114"/>
    <m/>
    <m/>
    <m/>
    <m/>
    <m/>
    <m/>
  </r>
  <r>
    <x v="0"/>
    <x v="0"/>
    <x v="0"/>
    <x v="2"/>
    <x v="3"/>
    <s v="FIN_OTHER"/>
    <x v="9"/>
    <x v="110"/>
    <m/>
    <m/>
    <m/>
    <m/>
    <m/>
    <m/>
  </r>
  <r>
    <x v="0"/>
    <x v="0"/>
    <x v="0"/>
    <x v="2"/>
    <x v="3"/>
    <s v="FIN_OTHER"/>
    <x v="10"/>
    <x v="115"/>
    <m/>
    <m/>
    <n v="0.33958383333333297"/>
    <n v="3.3958383333333302E-4"/>
    <n v="5.43334133333334E-2"/>
    <n v="5.4333413333333302E-5"/>
  </r>
  <r>
    <x v="0"/>
    <x v="0"/>
    <x v="0"/>
    <x v="2"/>
    <x v="3"/>
    <s v="FIN_OTHER"/>
    <x v="10"/>
    <x v="111"/>
    <m/>
    <m/>
    <n v="0.15471190588235301"/>
    <n v="1.5471190588235299E-4"/>
    <n v="2.4753904941176502E-2"/>
    <n v="2.47539049411765E-5"/>
  </r>
  <r>
    <x v="0"/>
    <x v="0"/>
    <x v="0"/>
    <x v="2"/>
    <x v="3"/>
    <s v="FIN_TAMP"/>
    <x v="2"/>
    <x v="116"/>
    <m/>
    <m/>
    <m/>
    <m/>
    <n v="2.3546879999999999E-2"/>
    <n v="2.3546879999999998E-5"/>
  </r>
  <r>
    <x v="0"/>
    <x v="0"/>
    <x v="0"/>
    <x v="2"/>
    <x v="3"/>
    <s v="FinA"/>
    <x v="2"/>
    <x v="117"/>
    <m/>
    <m/>
    <m/>
    <m/>
    <n v="2.7769598181818199E-2"/>
    <n v="2.7769598181818201E-5"/>
  </r>
  <r>
    <x v="0"/>
    <x v="0"/>
    <x v="0"/>
    <x v="2"/>
    <x v="3"/>
    <s v="FinA"/>
    <x v="2"/>
    <x v="118"/>
    <m/>
    <m/>
    <m/>
    <m/>
    <n v="2.1524571428571399E-4"/>
    <n v="2.15245714285714E-7"/>
  </r>
  <r>
    <x v="0"/>
    <x v="0"/>
    <x v="0"/>
    <x v="2"/>
    <x v="3"/>
    <s v="FinA"/>
    <x v="2"/>
    <x v="119"/>
    <m/>
    <m/>
    <m/>
    <m/>
    <n v="7.7933793103448102E-4"/>
    <n v="7.7933793103448097E-7"/>
  </r>
  <r>
    <x v="0"/>
    <x v="0"/>
    <x v="0"/>
    <x v="2"/>
    <x v="3"/>
    <s v="FinA"/>
    <x v="2"/>
    <x v="120"/>
    <m/>
    <m/>
    <m/>
    <m/>
    <n v="1.1300399999999999E-3"/>
    <n v="1.13004E-6"/>
  </r>
  <r>
    <x v="0"/>
    <x v="0"/>
    <x v="0"/>
    <x v="2"/>
    <x v="3"/>
    <s v="FinA"/>
    <x v="18"/>
    <x v="121"/>
    <m/>
    <m/>
    <m/>
    <m/>
    <m/>
    <m/>
  </r>
  <r>
    <x v="0"/>
    <x v="0"/>
    <x v="0"/>
    <x v="2"/>
    <x v="3"/>
    <s v="FinA"/>
    <x v="7"/>
    <x v="122"/>
    <m/>
    <m/>
    <m/>
    <m/>
    <m/>
    <m/>
  </r>
  <r>
    <x v="0"/>
    <x v="0"/>
    <x v="0"/>
    <x v="2"/>
    <x v="3"/>
    <s v="FinA"/>
    <x v="7"/>
    <x v="123"/>
    <m/>
    <m/>
    <m/>
    <m/>
    <m/>
    <m/>
  </r>
  <r>
    <x v="0"/>
    <x v="0"/>
    <x v="0"/>
    <x v="2"/>
    <x v="3"/>
    <s v="FinA"/>
    <x v="7"/>
    <x v="124"/>
    <m/>
    <m/>
    <m/>
    <m/>
    <m/>
    <m/>
  </r>
  <r>
    <x v="0"/>
    <x v="0"/>
    <x v="0"/>
    <x v="2"/>
    <x v="3"/>
    <s v="FinA"/>
    <x v="7"/>
    <x v="125"/>
    <m/>
    <m/>
    <m/>
    <m/>
    <m/>
    <m/>
  </r>
  <r>
    <x v="0"/>
    <x v="0"/>
    <x v="0"/>
    <x v="2"/>
    <x v="3"/>
    <s v="FinA"/>
    <x v="7"/>
    <x v="126"/>
    <m/>
    <m/>
    <m/>
    <m/>
    <m/>
    <m/>
  </r>
  <r>
    <x v="0"/>
    <x v="0"/>
    <x v="0"/>
    <x v="2"/>
    <x v="3"/>
    <s v="FinA"/>
    <x v="7"/>
    <x v="127"/>
    <m/>
    <m/>
    <m/>
    <m/>
    <m/>
    <m/>
  </r>
  <r>
    <x v="0"/>
    <x v="0"/>
    <x v="0"/>
    <x v="2"/>
    <x v="3"/>
    <s v="FinA"/>
    <x v="7"/>
    <x v="128"/>
    <m/>
    <m/>
    <m/>
    <m/>
    <m/>
    <m/>
  </r>
  <r>
    <x v="0"/>
    <x v="0"/>
    <x v="0"/>
    <x v="2"/>
    <x v="3"/>
    <s v="FinA"/>
    <x v="7"/>
    <x v="129"/>
    <m/>
    <m/>
    <m/>
    <m/>
    <m/>
    <m/>
  </r>
  <r>
    <x v="0"/>
    <x v="0"/>
    <x v="0"/>
    <x v="2"/>
    <x v="3"/>
    <s v="FinA"/>
    <x v="7"/>
    <x v="130"/>
    <m/>
    <m/>
    <m/>
    <m/>
    <m/>
    <m/>
  </r>
  <r>
    <x v="0"/>
    <x v="0"/>
    <x v="0"/>
    <x v="2"/>
    <x v="3"/>
    <s v="FinA"/>
    <x v="7"/>
    <x v="46"/>
    <m/>
    <m/>
    <m/>
    <m/>
    <m/>
    <m/>
  </r>
  <r>
    <x v="0"/>
    <x v="0"/>
    <x v="0"/>
    <x v="2"/>
    <x v="3"/>
    <s v="FinA"/>
    <x v="8"/>
    <x v="47"/>
    <m/>
    <m/>
    <m/>
    <m/>
    <m/>
    <m/>
  </r>
  <r>
    <x v="0"/>
    <x v="0"/>
    <x v="0"/>
    <x v="2"/>
    <x v="3"/>
    <s v="FinA"/>
    <x v="13"/>
    <x v="131"/>
    <m/>
    <m/>
    <n v="0.50734627170582203"/>
    <n v="5.07346271705822E-4"/>
    <n v="8.1175403472931604E-2"/>
    <n v="8.11754034729316E-5"/>
  </r>
  <r>
    <x v="0"/>
    <x v="0"/>
    <x v="0"/>
    <x v="2"/>
    <x v="3"/>
    <s v="FinA"/>
    <x v="13"/>
    <x v="132"/>
    <m/>
    <m/>
    <n v="4.2732523116662202"/>
    <n v="4.2732523116662197E-3"/>
    <n v="0.68372036986659501"/>
    <n v="6.83720369866595E-4"/>
  </r>
  <r>
    <x v="0"/>
    <x v="0"/>
    <x v="0"/>
    <x v="2"/>
    <x v="3"/>
    <s v="FinA"/>
    <x v="13"/>
    <x v="133"/>
    <m/>
    <m/>
    <n v="0.51305129999999999"/>
    <n v="5.1305130000000004E-4"/>
    <n v="8.2088207999999996E-2"/>
    <n v="8.2088208000000095E-5"/>
  </r>
  <r>
    <x v="0"/>
    <x v="0"/>
    <x v="0"/>
    <x v="2"/>
    <x v="3"/>
    <s v="FinA"/>
    <x v="5"/>
    <x v="134"/>
    <m/>
    <m/>
    <m/>
    <m/>
    <m/>
    <m/>
  </r>
  <r>
    <x v="0"/>
    <x v="0"/>
    <x v="0"/>
    <x v="3"/>
    <x v="4"/>
    <s v="DE4-E_A"/>
    <x v="11"/>
    <x v="135"/>
    <m/>
    <m/>
    <n v="2.0637099999999999E-3"/>
    <n v="2.0637100000000001E-6"/>
    <n v="3.3019359999999999E-4"/>
    <n v="3.301936E-7"/>
  </r>
  <r>
    <x v="0"/>
    <x v="0"/>
    <x v="0"/>
    <x v="3"/>
    <x v="4"/>
    <s v="DE4-E_A"/>
    <x v="11"/>
    <x v="136"/>
    <m/>
    <m/>
    <n v="1.41144898807838"/>
    <n v="1.41144898807838E-3"/>
    <n v="0.22583183809254001"/>
    <n v="2.2583183809253999E-4"/>
  </r>
  <r>
    <x v="0"/>
    <x v="0"/>
    <x v="0"/>
    <x v="3"/>
    <x v="4"/>
    <s v="DE4-E_A"/>
    <x v="11"/>
    <x v="137"/>
    <m/>
    <m/>
    <n v="0.219092210526316"/>
    <n v="2.1909221052631599E-4"/>
    <n v="3.5054753684210502E-2"/>
    <n v="3.5054753684210501E-5"/>
  </r>
  <r>
    <x v="0"/>
    <x v="0"/>
    <x v="0"/>
    <x v="3"/>
    <x v="4"/>
    <s v="DE4-E_A"/>
    <x v="11"/>
    <x v="138"/>
    <m/>
    <m/>
    <n v="1.91394473684211E-2"/>
    <n v="1.9139447368421101E-5"/>
    <n v="3.0623115789473699E-3"/>
    <n v="3.0623115789473701E-6"/>
  </r>
  <r>
    <x v="0"/>
    <x v="0"/>
    <x v="0"/>
    <x v="3"/>
    <x v="4"/>
    <s v="DE4-E_A"/>
    <x v="19"/>
    <x v="139"/>
    <m/>
    <m/>
    <m/>
    <m/>
    <m/>
    <m/>
  </r>
  <r>
    <x v="0"/>
    <x v="0"/>
    <x v="0"/>
    <x v="3"/>
    <x v="4"/>
    <s v="DE4-E_A"/>
    <x v="19"/>
    <x v="140"/>
    <m/>
    <m/>
    <m/>
    <m/>
    <m/>
    <m/>
  </r>
  <r>
    <x v="0"/>
    <x v="0"/>
    <x v="0"/>
    <x v="3"/>
    <x v="4"/>
    <s v="DE4-E_A"/>
    <x v="19"/>
    <x v="141"/>
    <m/>
    <m/>
    <m/>
    <m/>
    <m/>
    <m/>
  </r>
  <r>
    <x v="0"/>
    <x v="0"/>
    <x v="0"/>
    <x v="3"/>
    <x v="4"/>
    <s v="DE4-E_A"/>
    <x v="1"/>
    <x v="142"/>
    <m/>
    <m/>
    <n v="-313.90863663226202"/>
    <n v="-0.31390863663226198"/>
    <n v="8.1454784041355005E-2"/>
    <n v="8.1454784041355002E-5"/>
  </r>
  <r>
    <x v="0"/>
    <x v="0"/>
    <x v="0"/>
    <x v="3"/>
    <x v="4"/>
    <s v="DE4-E_A"/>
    <x v="1"/>
    <x v="143"/>
    <m/>
    <m/>
    <n v="0.97050606545454499"/>
    <n v="9.7050606545454499E-4"/>
    <n v="2.48847709090909E-2"/>
    <n v="2.4884770909090901E-5"/>
  </r>
  <r>
    <x v="0"/>
    <x v="0"/>
    <x v="0"/>
    <x v="3"/>
    <x v="4"/>
    <s v="DE4-E_A"/>
    <x v="2"/>
    <x v="144"/>
    <m/>
    <m/>
    <m/>
    <m/>
    <n v="0.118997823396226"/>
    <n v="1.18997823396226E-4"/>
  </r>
  <r>
    <x v="0"/>
    <x v="0"/>
    <x v="0"/>
    <x v="3"/>
    <x v="4"/>
    <s v="DE4-E_A"/>
    <x v="2"/>
    <x v="145"/>
    <m/>
    <m/>
    <m/>
    <m/>
    <n v="9.8936470588235296E-3"/>
    <n v="9.8936470588235293E-6"/>
  </r>
  <r>
    <x v="0"/>
    <x v="0"/>
    <x v="0"/>
    <x v="3"/>
    <x v="4"/>
    <s v="DE4-E_A"/>
    <x v="2"/>
    <x v="146"/>
    <m/>
    <m/>
    <m/>
    <m/>
    <n v="2.7663157894736801E-3"/>
    <n v="2.7663157894736901E-6"/>
  </r>
  <r>
    <x v="0"/>
    <x v="0"/>
    <x v="0"/>
    <x v="3"/>
    <x v="4"/>
    <s v="DE4-E_A"/>
    <x v="2"/>
    <x v="147"/>
    <m/>
    <m/>
    <m/>
    <m/>
    <n v="1.8730724210526298E-2"/>
    <n v="1.8730724210526301E-5"/>
  </r>
  <r>
    <x v="0"/>
    <x v="0"/>
    <x v="0"/>
    <x v="3"/>
    <x v="4"/>
    <s v="DE4-E_A"/>
    <x v="2"/>
    <x v="148"/>
    <m/>
    <m/>
    <m/>
    <m/>
    <n v="4.0185874285714303E-2"/>
    <n v="4.0185874285714303E-5"/>
  </r>
  <r>
    <x v="0"/>
    <x v="0"/>
    <x v="0"/>
    <x v="3"/>
    <x v="4"/>
    <s v="DE4-E_A"/>
    <x v="2"/>
    <x v="149"/>
    <m/>
    <m/>
    <m/>
    <m/>
    <n v="2.69581935483871E-3"/>
    <n v="2.6958193548387102E-6"/>
  </r>
  <r>
    <x v="0"/>
    <x v="0"/>
    <x v="0"/>
    <x v="3"/>
    <x v="4"/>
    <s v="DE4-E_A"/>
    <x v="2"/>
    <x v="150"/>
    <m/>
    <m/>
    <m/>
    <m/>
    <n v="0.101496126315789"/>
    <n v="1.01496126315789E-4"/>
  </r>
  <r>
    <x v="0"/>
    <x v="0"/>
    <x v="0"/>
    <x v="3"/>
    <x v="4"/>
    <s v="DE4-E_A"/>
    <x v="2"/>
    <x v="151"/>
    <m/>
    <m/>
    <m/>
    <m/>
    <n v="3.3195789473684199E-3"/>
    <n v="3.3195789473684199E-6"/>
  </r>
  <r>
    <x v="0"/>
    <x v="0"/>
    <x v="0"/>
    <x v="3"/>
    <x v="4"/>
    <s v="DE4-E_A"/>
    <x v="6"/>
    <x v="45"/>
    <m/>
    <m/>
    <m/>
    <m/>
    <m/>
    <m/>
  </r>
  <r>
    <x v="0"/>
    <x v="0"/>
    <x v="0"/>
    <x v="3"/>
    <x v="4"/>
    <s v="DE4-E_A"/>
    <x v="4"/>
    <x v="152"/>
    <m/>
    <m/>
    <m/>
    <m/>
    <m/>
    <m/>
  </r>
  <r>
    <x v="0"/>
    <x v="0"/>
    <x v="0"/>
    <x v="3"/>
    <x v="4"/>
    <s v="DE4-E_A"/>
    <x v="7"/>
    <x v="46"/>
    <m/>
    <m/>
    <m/>
    <m/>
    <m/>
    <m/>
  </r>
  <r>
    <x v="0"/>
    <x v="0"/>
    <x v="0"/>
    <x v="3"/>
    <x v="4"/>
    <s v="DE4-E_A"/>
    <x v="8"/>
    <x v="47"/>
    <m/>
    <m/>
    <m/>
    <m/>
    <m/>
    <m/>
  </r>
  <r>
    <x v="0"/>
    <x v="0"/>
    <x v="0"/>
    <x v="3"/>
    <x v="4"/>
    <s v="DE4-E_Offshore_A"/>
    <x v="8"/>
    <x v="48"/>
    <m/>
    <m/>
    <m/>
    <m/>
    <m/>
    <m/>
  </r>
  <r>
    <x v="0"/>
    <x v="0"/>
    <x v="0"/>
    <x v="3"/>
    <x v="5"/>
    <s v="DE4-N_A"/>
    <x v="11"/>
    <x v="153"/>
    <m/>
    <m/>
    <n v="1.9709999999999999E-4"/>
    <n v="1.9710000000000001E-7"/>
    <n v="3.1535999999999998E-5"/>
    <n v="3.1535999999999999E-8"/>
  </r>
  <r>
    <x v="0"/>
    <x v="0"/>
    <x v="0"/>
    <x v="3"/>
    <x v="5"/>
    <s v="DE4-N_A"/>
    <x v="11"/>
    <x v="135"/>
    <m/>
    <m/>
    <n v="8.4095999999999997E-4"/>
    <n v="8.4096000000000003E-7"/>
    <n v="1.345536E-4"/>
    <n v="1.3455360000000001E-7"/>
  </r>
  <r>
    <x v="0"/>
    <x v="0"/>
    <x v="0"/>
    <x v="3"/>
    <x v="5"/>
    <s v="DE4-N_A"/>
    <x v="11"/>
    <x v="136"/>
    <m/>
    <m/>
    <n v="0.108476672727273"/>
    <n v="1.08476672727273E-4"/>
    <n v="1.7356267636363599E-2"/>
    <n v="1.73562676363636E-5"/>
  </r>
  <r>
    <x v="0"/>
    <x v="0"/>
    <x v="0"/>
    <x v="3"/>
    <x v="5"/>
    <s v="DE4-N_A"/>
    <x v="11"/>
    <x v="137"/>
    <m/>
    <m/>
    <n v="4.14947368421053E-2"/>
    <n v="4.14947368421052E-5"/>
    <n v="6.6391578947368503E-3"/>
    <n v="6.6391578947368397E-6"/>
  </r>
  <r>
    <x v="0"/>
    <x v="0"/>
    <x v="0"/>
    <x v="3"/>
    <x v="5"/>
    <s v="DE4-N_A"/>
    <x v="0"/>
    <x v="154"/>
    <n v="269.89654857142801"/>
    <n v="0.26989654857142797"/>
    <n v="2.0370627450317098"/>
    <n v="2.03706274503171E-3"/>
    <n v="8.5590871639987902E-3"/>
    <n v="8.5590871639987908E-6"/>
  </r>
  <r>
    <x v="0"/>
    <x v="0"/>
    <x v="0"/>
    <x v="3"/>
    <x v="5"/>
    <s v="DE4-N_A"/>
    <x v="19"/>
    <x v="155"/>
    <m/>
    <m/>
    <m/>
    <m/>
    <m/>
    <m/>
  </r>
  <r>
    <x v="0"/>
    <x v="0"/>
    <x v="0"/>
    <x v="3"/>
    <x v="5"/>
    <s v="DE4-N_A"/>
    <x v="19"/>
    <x v="156"/>
    <m/>
    <m/>
    <m/>
    <m/>
    <m/>
    <m/>
  </r>
  <r>
    <x v="0"/>
    <x v="0"/>
    <x v="0"/>
    <x v="3"/>
    <x v="5"/>
    <s v="DE4-N_A"/>
    <x v="19"/>
    <x v="141"/>
    <m/>
    <m/>
    <m/>
    <m/>
    <m/>
    <m/>
  </r>
  <r>
    <x v="0"/>
    <x v="0"/>
    <x v="0"/>
    <x v="3"/>
    <x v="5"/>
    <s v="DE4-N_A"/>
    <x v="14"/>
    <x v="157"/>
    <n v="496.73705142857102"/>
    <n v="0.496737051428571"/>
    <n v="2.9938476342857201"/>
    <n v="2.9938476342857099E-3"/>
    <n v="1.34253257142857E-2"/>
    <n v="1.34253257142857E-5"/>
  </r>
  <r>
    <x v="0"/>
    <x v="0"/>
    <x v="0"/>
    <x v="3"/>
    <x v="5"/>
    <s v="DE4-N_A"/>
    <x v="14"/>
    <x v="158"/>
    <n v="233.3664"/>
    <n v="0.2333664"/>
    <n v="1.4065056"/>
    <n v="1.4065055999999999E-3"/>
    <n v="6.3071999999999998E-3"/>
    <n v="6.3072000000000004E-6"/>
  </r>
  <r>
    <x v="0"/>
    <x v="0"/>
    <x v="0"/>
    <x v="3"/>
    <x v="5"/>
    <s v="DE4-N_A"/>
    <x v="1"/>
    <x v="159"/>
    <m/>
    <m/>
    <n v="-0.1883757408"/>
    <n v="-1.883757408E-4"/>
    <n v="4.8880800000000001E-5"/>
    <n v="4.8880800000000002E-8"/>
  </r>
  <r>
    <x v="0"/>
    <x v="0"/>
    <x v="0"/>
    <x v="3"/>
    <x v="5"/>
    <s v="DE4-N_A"/>
    <x v="1"/>
    <x v="142"/>
    <m/>
    <m/>
    <n v="-60.398086981818402"/>
    <n v="-6.0398086981818401E-2"/>
    <n v="1.56724363636364E-2"/>
    <n v="1.5672436363636399E-5"/>
  </r>
  <r>
    <x v="0"/>
    <x v="0"/>
    <x v="0"/>
    <x v="3"/>
    <x v="5"/>
    <s v="DE4-N_A"/>
    <x v="2"/>
    <x v="160"/>
    <m/>
    <m/>
    <m/>
    <m/>
    <n v="7.0264421052631601E-3"/>
    <n v="7.0264421052631604E-6"/>
  </r>
  <r>
    <x v="0"/>
    <x v="0"/>
    <x v="0"/>
    <x v="3"/>
    <x v="5"/>
    <s v="DE4-N_A"/>
    <x v="2"/>
    <x v="59"/>
    <m/>
    <m/>
    <m/>
    <m/>
    <n v="1.03907076923077E-2"/>
    <n v="1.03907076923077E-5"/>
  </r>
  <r>
    <x v="0"/>
    <x v="0"/>
    <x v="0"/>
    <x v="3"/>
    <x v="5"/>
    <s v="DE4-N_A"/>
    <x v="18"/>
    <x v="161"/>
    <m/>
    <m/>
    <m/>
    <m/>
    <m/>
    <m/>
  </r>
  <r>
    <x v="0"/>
    <x v="0"/>
    <x v="0"/>
    <x v="3"/>
    <x v="5"/>
    <s v="DE4-N_A"/>
    <x v="6"/>
    <x v="45"/>
    <m/>
    <m/>
    <m/>
    <m/>
    <m/>
    <m/>
  </r>
  <r>
    <x v="0"/>
    <x v="0"/>
    <x v="0"/>
    <x v="3"/>
    <x v="5"/>
    <s v="DE4-N_A"/>
    <x v="7"/>
    <x v="46"/>
    <m/>
    <m/>
    <m/>
    <m/>
    <m/>
    <m/>
  </r>
  <r>
    <x v="0"/>
    <x v="0"/>
    <x v="0"/>
    <x v="3"/>
    <x v="5"/>
    <s v="DE4-N_A"/>
    <x v="8"/>
    <x v="47"/>
    <m/>
    <m/>
    <m/>
    <m/>
    <m/>
    <m/>
  </r>
  <r>
    <x v="0"/>
    <x v="0"/>
    <x v="0"/>
    <x v="3"/>
    <x v="5"/>
    <s v="DE4-N_Offshore_A"/>
    <x v="8"/>
    <x v="48"/>
    <m/>
    <m/>
    <m/>
    <m/>
    <m/>
    <m/>
  </r>
  <r>
    <x v="0"/>
    <x v="0"/>
    <x v="0"/>
    <x v="3"/>
    <x v="6"/>
    <s v="DE4-S_A"/>
    <x v="11"/>
    <x v="135"/>
    <m/>
    <m/>
    <n v="6.9145600000000002E-3"/>
    <n v="6.9145600000000004E-6"/>
    <n v="1.1063296000000001E-3"/>
    <n v="1.1063295999999999E-6"/>
  </r>
  <r>
    <x v="0"/>
    <x v="0"/>
    <x v="0"/>
    <x v="3"/>
    <x v="6"/>
    <s v="DE4-S_A"/>
    <x v="11"/>
    <x v="136"/>
    <m/>
    <m/>
    <n v="0.56592561477272696"/>
    <n v="5.6592561477272697E-4"/>
    <n v="9.0548098363636406E-2"/>
    <n v="9.0548098363636397E-5"/>
  </r>
  <r>
    <x v="0"/>
    <x v="0"/>
    <x v="0"/>
    <x v="3"/>
    <x v="6"/>
    <s v="DE4-S_A"/>
    <x v="11"/>
    <x v="138"/>
    <m/>
    <m/>
    <n v="6.9676578947368397E-3"/>
    <n v="6.96765789473684E-6"/>
    <n v="1.1148252631578901E-3"/>
    <n v="1.1148252631578901E-6"/>
  </r>
  <r>
    <x v="0"/>
    <x v="0"/>
    <x v="0"/>
    <x v="3"/>
    <x v="6"/>
    <s v="DE4-S_A"/>
    <x v="19"/>
    <x v="162"/>
    <m/>
    <m/>
    <m/>
    <m/>
    <m/>
    <m/>
  </r>
  <r>
    <x v="0"/>
    <x v="0"/>
    <x v="0"/>
    <x v="3"/>
    <x v="6"/>
    <s v="DE4-S_A"/>
    <x v="19"/>
    <x v="163"/>
    <m/>
    <m/>
    <m/>
    <m/>
    <m/>
    <m/>
  </r>
  <r>
    <x v="0"/>
    <x v="0"/>
    <x v="0"/>
    <x v="3"/>
    <x v="6"/>
    <s v="DE4-S_A"/>
    <x v="19"/>
    <x v="141"/>
    <m/>
    <m/>
    <m/>
    <m/>
    <m/>
    <m/>
  </r>
  <r>
    <x v="0"/>
    <x v="0"/>
    <x v="0"/>
    <x v="3"/>
    <x v="6"/>
    <s v="DE4-S_A"/>
    <x v="1"/>
    <x v="142"/>
    <m/>
    <m/>
    <n v="-171.82150903272799"/>
    <n v="-0.171821509032728"/>
    <n v="4.45852145454547E-2"/>
    <n v="4.4585214545454699E-5"/>
  </r>
  <r>
    <x v="0"/>
    <x v="0"/>
    <x v="0"/>
    <x v="3"/>
    <x v="6"/>
    <s v="DE4-S_A"/>
    <x v="1"/>
    <x v="143"/>
    <m/>
    <m/>
    <n v="0.59631709090909102"/>
    <n v="5.9631709090909098E-4"/>
    <n v="1.52901818181818E-2"/>
    <n v="1.5290181818181798E-5"/>
  </r>
  <r>
    <x v="0"/>
    <x v="0"/>
    <x v="0"/>
    <x v="3"/>
    <x v="6"/>
    <s v="DE4-S_A"/>
    <x v="2"/>
    <x v="144"/>
    <m/>
    <m/>
    <m/>
    <m/>
    <n v="0.193256178113207"/>
    <n v="1.9325617811320799E-4"/>
  </r>
  <r>
    <x v="0"/>
    <x v="0"/>
    <x v="0"/>
    <x v="3"/>
    <x v="6"/>
    <s v="DE4-S_A"/>
    <x v="2"/>
    <x v="164"/>
    <m/>
    <m/>
    <m/>
    <m/>
    <n v="6.0358437209302403E-2"/>
    <n v="6.0358437209302298E-5"/>
  </r>
  <r>
    <x v="0"/>
    <x v="0"/>
    <x v="0"/>
    <x v="3"/>
    <x v="6"/>
    <s v="DE4-S_A"/>
    <x v="2"/>
    <x v="146"/>
    <m/>
    <m/>
    <m/>
    <m/>
    <n v="0.101722964210526"/>
    <n v="1.01722964210526E-4"/>
  </r>
  <r>
    <x v="0"/>
    <x v="0"/>
    <x v="0"/>
    <x v="3"/>
    <x v="6"/>
    <s v="DE4-S_A"/>
    <x v="2"/>
    <x v="15"/>
    <m/>
    <m/>
    <m/>
    <m/>
    <n v="2.2692208695652199E-3"/>
    <n v="2.26922086956522E-6"/>
  </r>
  <r>
    <x v="0"/>
    <x v="0"/>
    <x v="0"/>
    <x v="3"/>
    <x v="6"/>
    <s v="DE4-S_A"/>
    <x v="2"/>
    <x v="165"/>
    <m/>
    <m/>
    <m/>
    <m/>
    <n v="3.6135E-3"/>
    <n v="3.6134999999999998E-6"/>
  </r>
  <r>
    <x v="0"/>
    <x v="0"/>
    <x v="0"/>
    <x v="3"/>
    <x v="6"/>
    <s v="DE4-S_A"/>
    <x v="2"/>
    <x v="166"/>
    <m/>
    <m/>
    <m/>
    <m/>
    <n v="9.5247243243243296E-3"/>
    <n v="9.5247243243243308E-6"/>
  </r>
  <r>
    <x v="0"/>
    <x v="0"/>
    <x v="0"/>
    <x v="3"/>
    <x v="6"/>
    <s v="DE4-S_A"/>
    <x v="2"/>
    <x v="167"/>
    <m/>
    <m/>
    <m/>
    <m/>
    <n v="1.6429238709677399E-2"/>
    <n v="1.6429238709677399E-5"/>
  </r>
  <r>
    <x v="0"/>
    <x v="0"/>
    <x v="0"/>
    <x v="3"/>
    <x v="6"/>
    <s v="DE4-S_A"/>
    <x v="2"/>
    <x v="150"/>
    <m/>
    <m/>
    <m/>
    <m/>
    <n v="8.1844218947368402E-2"/>
    <n v="8.1844218947368398E-5"/>
  </r>
  <r>
    <x v="0"/>
    <x v="0"/>
    <x v="0"/>
    <x v="3"/>
    <x v="6"/>
    <s v="DE4-S_A"/>
    <x v="2"/>
    <x v="168"/>
    <m/>
    <m/>
    <m/>
    <m/>
    <n v="3.6353999999999997E-2"/>
    <n v="3.6353999999999998E-5"/>
  </r>
  <r>
    <x v="0"/>
    <x v="0"/>
    <x v="0"/>
    <x v="3"/>
    <x v="6"/>
    <s v="DE4-S_A"/>
    <x v="18"/>
    <x v="161"/>
    <m/>
    <m/>
    <m/>
    <m/>
    <m/>
    <m/>
  </r>
  <r>
    <x v="0"/>
    <x v="0"/>
    <x v="0"/>
    <x v="3"/>
    <x v="6"/>
    <s v="DE4-S_A"/>
    <x v="6"/>
    <x v="45"/>
    <m/>
    <m/>
    <m/>
    <m/>
    <m/>
    <m/>
  </r>
  <r>
    <x v="0"/>
    <x v="0"/>
    <x v="0"/>
    <x v="3"/>
    <x v="6"/>
    <s v="DE4-S_A"/>
    <x v="4"/>
    <x v="152"/>
    <m/>
    <m/>
    <m/>
    <m/>
    <m/>
    <m/>
  </r>
  <r>
    <x v="0"/>
    <x v="0"/>
    <x v="0"/>
    <x v="3"/>
    <x v="6"/>
    <s v="DE4-S_A"/>
    <x v="7"/>
    <x v="169"/>
    <m/>
    <m/>
    <m/>
    <m/>
    <m/>
    <m/>
  </r>
  <r>
    <x v="0"/>
    <x v="0"/>
    <x v="0"/>
    <x v="3"/>
    <x v="6"/>
    <s v="DE4-S_A"/>
    <x v="7"/>
    <x v="46"/>
    <m/>
    <m/>
    <m/>
    <m/>
    <m/>
    <m/>
  </r>
  <r>
    <x v="0"/>
    <x v="0"/>
    <x v="0"/>
    <x v="3"/>
    <x v="6"/>
    <s v="DE4-S_A"/>
    <x v="8"/>
    <x v="47"/>
    <m/>
    <m/>
    <m/>
    <m/>
    <m/>
    <m/>
  </r>
  <r>
    <x v="0"/>
    <x v="0"/>
    <x v="0"/>
    <x v="3"/>
    <x v="7"/>
    <s v="DE4-W_A"/>
    <x v="11"/>
    <x v="135"/>
    <m/>
    <m/>
    <n v="3.85221E-3"/>
    <n v="3.85221E-6"/>
    <n v="6.1635360000000003E-4"/>
    <n v="6.1635359999999997E-7"/>
  </r>
  <r>
    <x v="0"/>
    <x v="0"/>
    <x v="0"/>
    <x v="3"/>
    <x v="7"/>
    <s v="DE4-W_A"/>
    <x v="11"/>
    <x v="136"/>
    <m/>
    <m/>
    <n v="1.31111780900523"/>
    <n v="1.3111178090052301E-3"/>
    <n v="0.209778849440837"/>
    <n v="2.0977884944083699E-4"/>
  </r>
  <r>
    <x v="0"/>
    <x v="0"/>
    <x v="0"/>
    <x v="3"/>
    <x v="7"/>
    <s v="DE4-W_A"/>
    <x v="11"/>
    <x v="137"/>
    <m/>
    <m/>
    <n v="2.3219763157894702E-2"/>
    <n v="2.32197631578947E-5"/>
    <n v="3.7151621052631599E-3"/>
    <n v="3.7151621052631601E-6"/>
  </r>
  <r>
    <x v="0"/>
    <x v="0"/>
    <x v="0"/>
    <x v="3"/>
    <x v="7"/>
    <s v="DE4-W_A"/>
    <x v="11"/>
    <x v="138"/>
    <m/>
    <m/>
    <n v="2.4507828947368401E-2"/>
    <n v="2.45078289473684E-5"/>
    <n v="3.9212526315789498E-3"/>
    <n v="3.9212526315789503E-6"/>
  </r>
  <r>
    <x v="0"/>
    <x v="0"/>
    <x v="0"/>
    <x v="3"/>
    <x v="7"/>
    <s v="DE4-W_A"/>
    <x v="19"/>
    <x v="170"/>
    <m/>
    <m/>
    <m/>
    <m/>
    <m/>
    <m/>
  </r>
  <r>
    <x v="0"/>
    <x v="0"/>
    <x v="0"/>
    <x v="3"/>
    <x v="7"/>
    <s v="DE4-W_A"/>
    <x v="19"/>
    <x v="171"/>
    <m/>
    <m/>
    <m/>
    <m/>
    <m/>
    <m/>
  </r>
  <r>
    <x v="0"/>
    <x v="0"/>
    <x v="0"/>
    <x v="3"/>
    <x v="7"/>
    <s v="DE4-W_A"/>
    <x v="19"/>
    <x v="141"/>
    <m/>
    <m/>
    <m/>
    <m/>
    <m/>
    <m/>
  </r>
  <r>
    <x v="0"/>
    <x v="0"/>
    <x v="0"/>
    <x v="3"/>
    <x v="7"/>
    <s v="DE4-W_A"/>
    <x v="1"/>
    <x v="142"/>
    <m/>
    <m/>
    <n v="-349.76003046725401"/>
    <n v="-0.34976003046725401"/>
    <n v="9.07577059798549E-2"/>
    <n v="9.0757705979854897E-5"/>
  </r>
  <r>
    <x v="0"/>
    <x v="0"/>
    <x v="0"/>
    <x v="3"/>
    <x v="7"/>
    <s v="DE4-W_A"/>
    <x v="1"/>
    <x v="143"/>
    <m/>
    <m/>
    <n v="2.5760898327272699"/>
    <n v="2.5760898327272701E-3"/>
    <n v="6.6053585454545496E-2"/>
    <n v="6.6053585454545506E-5"/>
  </r>
  <r>
    <x v="0"/>
    <x v="0"/>
    <x v="0"/>
    <x v="3"/>
    <x v="7"/>
    <s v="DE4-W_A"/>
    <x v="2"/>
    <x v="172"/>
    <m/>
    <m/>
    <m/>
    <m/>
    <n v="8.8543384615384704E-3"/>
    <n v="8.8543384615384594E-6"/>
  </r>
  <r>
    <x v="0"/>
    <x v="0"/>
    <x v="0"/>
    <x v="3"/>
    <x v="7"/>
    <s v="DE4-W_A"/>
    <x v="2"/>
    <x v="173"/>
    <m/>
    <m/>
    <m/>
    <m/>
    <n v="0.31084175127272801"/>
    <n v="3.1084175127272802E-4"/>
  </r>
  <r>
    <x v="0"/>
    <x v="0"/>
    <x v="0"/>
    <x v="3"/>
    <x v="7"/>
    <s v="DE4-W_A"/>
    <x v="2"/>
    <x v="174"/>
    <m/>
    <m/>
    <m/>
    <m/>
    <n v="7.6700057142857103E-2"/>
    <n v="7.6700057142857104E-5"/>
  </r>
  <r>
    <x v="0"/>
    <x v="0"/>
    <x v="0"/>
    <x v="3"/>
    <x v="7"/>
    <s v="DE4-W_A"/>
    <x v="2"/>
    <x v="146"/>
    <m/>
    <m/>
    <m/>
    <m/>
    <n v="0.16207844210526301"/>
    <n v="1.62078442105263E-4"/>
  </r>
  <r>
    <x v="0"/>
    <x v="0"/>
    <x v="0"/>
    <x v="3"/>
    <x v="7"/>
    <s v="DE4-W_A"/>
    <x v="2"/>
    <x v="175"/>
    <m/>
    <m/>
    <m/>
    <m/>
    <n v="1.0034181818181799E-3"/>
    <n v="1.00341818181818E-6"/>
  </r>
  <r>
    <x v="0"/>
    <x v="0"/>
    <x v="0"/>
    <x v="3"/>
    <x v="7"/>
    <s v="DE4-W_A"/>
    <x v="2"/>
    <x v="28"/>
    <m/>
    <m/>
    <m/>
    <m/>
    <n v="4.8490838709677403E-3"/>
    <n v="4.8490838709677504E-6"/>
  </r>
  <r>
    <x v="0"/>
    <x v="0"/>
    <x v="0"/>
    <x v="3"/>
    <x v="7"/>
    <s v="DE4-W_A"/>
    <x v="2"/>
    <x v="176"/>
    <m/>
    <m/>
    <m/>
    <m/>
    <n v="2.02072984615385E-2"/>
    <n v="2.0207298461538499E-5"/>
  </r>
  <r>
    <x v="0"/>
    <x v="0"/>
    <x v="0"/>
    <x v="3"/>
    <x v="7"/>
    <s v="DE4-W_A"/>
    <x v="2"/>
    <x v="177"/>
    <m/>
    <m/>
    <m/>
    <m/>
    <n v="3.6351318280673499E-2"/>
    <n v="3.6351318280673503E-5"/>
  </r>
  <r>
    <x v="0"/>
    <x v="0"/>
    <x v="0"/>
    <x v="3"/>
    <x v="7"/>
    <s v="DE4-W_A"/>
    <x v="2"/>
    <x v="178"/>
    <m/>
    <m/>
    <m/>
    <m/>
    <n v="6.8196599999999996E-2"/>
    <n v="6.8196599999999997E-5"/>
  </r>
  <r>
    <x v="0"/>
    <x v="0"/>
    <x v="0"/>
    <x v="3"/>
    <x v="7"/>
    <s v="DE4-W_A"/>
    <x v="2"/>
    <x v="179"/>
    <m/>
    <m/>
    <m/>
    <m/>
    <n v="1.2178390909090901E-2"/>
    <n v="1.21783909090909E-5"/>
  </r>
  <r>
    <x v="0"/>
    <x v="0"/>
    <x v="0"/>
    <x v="3"/>
    <x v="7"/>
    <s v="DE4-W_A"/>
    <x v="2"/>
    <x v="150"/>
    <m/>
    <m/>
    <m/>
    <m/>
    <n v="0.17828628631578899"/>
    <n v="1.78286286315789E-4"/>
  </r>
  <r>
    <x v="0"/>
    <x v="0"/>
    <x v="0"/>
    <x v="3"/>
    <x v="7"/>
    <s v="DE4-W_A"/>
    <x v="2"/>
    <x v="168"/>
    <m/>
    <m/>
    <m/>
    <m/>
    <n v="0.1906176"/>
    <n v="1.9061760000000001E-4"/>
  </r>
  <r>
    <x v="0"/>
    <x v="0"/>
    <x v="0"/>
    <x v="3"/>
    <x v="7"/>
    <s v="DE4-W_A"/>
    <x v="2"/>
    <x v="180"/>
    <m/>
    <m/>
    <m/>
    <m/>
    <n v="3.2182892307692302E-3"/>
    <n v="3.2182892307692299E-6"/>
  </r>
  <r>
    <x v="0"/>
    <x v="0"/>
    <x v="0"/>
    <x v="3"/>
    <x v="7"/>
    <s v="DE4-W_A"/>
    <x v="18"/>
    <x v="161"/>
    <m/>
    <m/>
    <m/>
    <m/>
    <m/>
    <m/>
  </r>
  <r>
    <x v="0"/>
    <x v="0"/>
    <x v="0"/>
    <x v="3"/>
    <x v="7"/>
    <s v="DE4-W_A"/>
    <x v="6"/>
    <x v="45"/>
    <m/>
    <m/>
    <m/>
    <m/>
    <m/>
    <m/>
  </r>
  <r>
    <x v="0"/>
    <x v="0"/>
    <x v="0"/>
    <x v="3"/>
    <x v="7"/>
    <s v="DE4-W_A"/>
    <x v="7"/>
    <x v="46"/>
    <m/>
    <m/>
    <m/>
    <m/>
    <m/>
    <m/>
  </r>
  <r>
    <x v="0"/>
    <x v="0"/>
    <x v="0"/>
    <x v="3"/>
    <x v="7"/>
    <s v="DE4-W_A"/>
    <x v="8"/>
    <x v="47"/>
    <m/>
    <m/>
    <m/>
    <m/>
    <m/>
    <m/>
  </r>
  <r>
    <x v="0"/>
    <x v="0"/>
    <x v="0"/>
    <x v="3"/>
    <x v="7"/>
    <s v="DE4-W_Offshore_A"/>
    <x v="8"/>
    <x v="48"/>
    <m/>
    <m/>
    <m/>
    <m/>
    <m/>
    <m/>
  </r>
  <r>
    <x v="0"/>
    <x v="0"/>
    <x v="0"/>
    <x v="4"/>
    <x v="8"/>
    <s v="LV_Other_DH"/>
    <x v="2"/>
    <x v="181"/>
    <m/>
    <m/>
    <m/>
    <m/>
    <n v="6.6743801848739501E-3"/>
    <n v="6.6743801848739501E-6"/>
  </r>
  <r>
    <x v="0"/>
    <x v="0"/>
    <x v="0"/>
    <x v="4"/>
    <x v="8"/>
    <s v="LV_Other_DH"/>
    <x v="13"/>
    <x v="182"/>
    <m/>
    <m/>
    <n v="0.14005694117647099"/>
    <n v="1.4005694117647099E-4"/>
    <n v="2.24091105882353E-2"/>
    <n v="2.2409110588235301E-5"/>
  </r>
  <r>
    <x v="0"/>
    <x v="0"/>
    <x v="0"/>
    <x v="4"/>
    <x v="8"/>
    <s v="LV_RigaR"/>
    <x v="2"/>
    <x v="183"/>
    <m/>
    <m/>
    <m/>
    <m/>
    <n v="3.5542927058823601E-3"/>
    <n v="3.5542927058823598E-6"/>
  </r>
  <r>
    <x v="0"/>
    <x v="0"/>
    <x v="0"/>
    <x v="4"/>
    <x v="8"/>
    <s v="LV_RigaR"/>
    <x v="2"/>
    <x v="184"/>
    <m/>
    <m/>
    <m/>
    <m/>
    <n v="1.04922282131661E-2"/>
    <n v="1.04922282131661E-5"/>
  </r>
  <r>
    <x v="0"/>
    <x v="0"/>
    <x v="0"/>
    <x v="4"/>
    <x v="8"/>
    <s v="LV_RigaR"/>
    <x v="2"/>
    <x v="185"/>
    <m/>
    <m/>
    <m/>
    <m/>
    <n v="4.87424842105263E-2"/>
    <n v="4.8742484210526298E-5"/>
  </r>
  <r>
    <x v="0"/>
    <x v="0"/>
    <x v="0"/>
    <x v="4"/>
    <x v="8"/>
    <s v="LV_RigaR"/>
    <x v="7"/>
    <x v="169"/>
    <m/>
    <m/>
    <m/>
    <m/>
    <m/>
    <m/>
  </r>
  <r>
    <x v="0"/>
    <x v="0"/>
    <x v="0"/>
    <x v="4"/>
    <x v="8"/>
    <s v="LV_Rural"/>
    <x v="8"/>
    <x v="47"/>
    <m/>
    <m/>
    <m/>
    <m/>
    <m/>
    <m/>
  </r>
  <r>
    <x v="0"/>
    <x v="0"/>
    <x v="0"/>
    <x v="5"/>
    <x v="9"/>
    <s v="LT_KauU"/>
    <x v="1"/>
    <x v="186"/>
    <m/>
    <m/>
    <n v="0.45305884596264001"/>
    <n v="4.5305884596264E-4"/>
    <n v="1.16168934862215E-2"/>
    <n v="1.1616893486221501E-5"/>
  </r>
  <r>
    <x v="0"/>
    <x v="0"/>
    <x v="0"/>
    <x v="5"/>
    <x v="9"/>
    <s v="LT_KauU"/>
    <x v="2"/>
    <x v="187"/>
    <m/>
    <m/>
    <m/>
    <m/>
    <n v="3.8773770491803299E-3"/>
    <n v="3.8773770491803303E-6"/>
  </r>
  <r>
    <x v="0"/>
    <x v="0"/>
    <x v="0"/>
    <x v="5"/>
    <x v="9"/>
    <s v="LT_KauU"/>
    <x v="2"/>
    <x v="188"/>
    <m/>
    <m/>
    <m/>
    <m/>
    <n v="7.4601290322580697E-3"/>
    <n v="7.4601290322580598E-6"/>
  </r>
  <r>
    <x v="0"/>
    <x v="0"/>
    <x v="0"/>
    <x v="5"/>
    <x v="9"/>
    <s v="LT_KauU"/>
    <x v="7"/>
    <x v="46"/>
    <m/>
    <m/>
    <m/>
    <m/>
    <m/>
    <m/>
  </r>
  <r>
    <x v="0"/>
    <x v="0"/>
    <x v="0"/>
    <x v="5"/>
    <x v="9"/>
    <s v="LT_KlaU"/>
    <x v="6"/>
    <x v="45"/>
    <m/>
    <m/>
    <m/>
    <m/>
    <m/>
    <m/>
  </r>
  <r>
    <x v="0"/>
    <x v="0"/>
    <x v="0"/>
    <x v="5"/>
    <x v="9"/>
    <s v="LT_Other_DH"/>
    <x v="20"/>
    <x v="189"/>
    <m/>
    <m/>
    <m/>
    <m/>
    <m/>
    <m/>
  </r>
  <r>
    <x v="0"/>
    <x v="0"/>
    <x v="0"/>
    <x v="5"/>
    <x v="9"/>
    <s v="LT_Other_DH"/>
    <x v="2"/>
    <x v="190"/>
    <m/>
    <m/>
    <m/>
    <m/>
    <n v="1.82576842105263E-3"/>
    <n v="1.82576842105263E-6"/>
  </r>
  <r>
    <x v="0"/>
    <x v="0"/>
    <x v="0"/>
    <x v="5"/>
    <x v="9"/>
    <s v="LT_Other_DH"/>
    <x v="2"/>
    <x v="191"/>
    <m/>
    <m/>
    <m/>
    <m/>
    <n v="4.3810586719635796E-3"/>
    <n v="4.3810586719635804E-6"/>
  </r>
  <r>
    <x v="0"/>
    <x v="0"/>
    <x v="0"/>
    <x v="5"/>
    <x v="9"/>
    <s v="LT_Other_DH"/>
    <x v="2"/>
    <x v="192"/>
    <m/>
    <m/>
    <m/>
    <m/>
    <n v="1.84887529411765E-4"/>
    <n v="1.84887529411765E-7"/>
  </r>
  <r>
    <x v="0"/>
    <x v="0"/>
    <x v="0"/>
    <x v="5"/>
    <x v="9"/>
    <s v="LT_Other_DH"/>
    <x v="2"/>
    <x v="193"/>
    <m/>
    <m/>
    <m/>
    <m/>
    <n v="2.9335813953488399E-4"/>
    <n v="2.93358139534884E-7"/>
  </r>
  <r>
    <x v="0"/>
    <x v="0"/>
    <x v="0"/>
    <x v="5"/>
    <x v="9"/>
    <s v="LT_Other_DH"/>
    <x v="10"/>
    <x v="84"/>
    <m/>
    <m/>
    <n v="3.23658947368421E-2"/>
    <n v="3.2365894736842097E-5"/>
    <n v="5.1785431578947397E-3"/>
    <n v="5.1785431578947398E-6"/>
  </r>
  <r>
    <x v="0"/>
    <x v="0"/>
    <x v="0"/>
    <x v="5"/>
    <x v="9"/>
    <s v="LT_Panevezys"/>
    <x v="2"/>
    <x v="194"/>
    <m/>
    <m/>
    <m/>
    <m/>
    <n v="2.6596626506024102E-3"/>
    <n v="2.6596626506024098E-6"/>
  </r>
  <r>
    <x v="0"/>
    <x v="0"/>
    <x v="0"/>
    <x v="5"/>
    <x v="9"/>
    <s v="LT_Rural"/>
    <x v="8"/>
    <x v="47"/>
    <m/>
    <m/>
    <m/>
    <m/>
    <m/>
    <m/>
  </r>
  <r>
    <x v="0"/>
    <x v="0"/>
    <x v="0"/>
    <x v="5"/>
    <x v="9"/>
    <s v="LT_SiaU"/>
    <x v="13"/>
    <x v="195"/>
    <m/>
    <m/>
    <n v="1.85665801217039E-2"/>
    <n v="1.8566580121703901E-5"/>
    <n v="2.9706528194726198E-3"/>
    <n v="2.9706528194726201E-6"/>
  </r>
  <r>
    <x v="0"/>
    <x v="0"/>
    <x v="0"/>
    <x v="5"/>
    <x v="9"/>
    <s v="LT_VilU"/>
    <x v="1"/>
    <x v="196"/>
    <m/>
    <m/>
    <n v="1.55380933568136"/>
    <n v="1.5538093356813601E-3"/>
    <n v="3.9841265017470699E-2"/>
    <n v="3.9841265017470697E-5"/>
  </r>
  <r>
    <x v="0"/>
    <x v="0"/>
    <x v="0"/>
    <x v="5"/>
    <x v="9"/>
    <s v="LT_VilU"/>
    <x v="2"/>
    <x v="197"/>
    <m/>
    <m/>
    <m/>
    <m/>
    <n v="2.4739448275862101E-2"/>
    <n v="2.4739448275862101E-5"/>
  </r>
  <r>
    <x v="0"/>
    <x v="0"/>
    <x v="0"/>
    <x v="5"/>
    <x v="9"/>
    <s v="LT_VilU"/>
    <x v="2"/>
    <x v="198"/>
    <m/>
    <m/>
    <m/>
    <m/>
    <n v="5.0189920424403199E-2"/>
    <n v="5.0189920424403202E-5"/>
  </r>
  <r>
    <x v="0"/>
    <x v="0"/>
    <x v="0"/>
    <x v="5"/>
    <x v="9"/>
    <s v="LT_VilU"/>
    <x v="2"/>
    <x v="199"/>
    <m/>
    <m/>
    <m/>
    <m/>
    <n v="2.91101538461538E-2"/>
    <n v="2.9110153846153801E-5"/>
  </r>
  <r>
    <x v="0"/>
    <x v="0"/>
    <x v="0"/>
    <x v="5"/>
    <x v="9"/>
    <s v="LT_VilU"/>
    <x v="7"/>
    <x v="200"/>
    <m/>
    <m/>
    <m/>
    <m/>
    <m/>
    <m/>
  </r>
  <r>
    <x v="0"/>
    <x v="0"/>
    <x v="0"/>
    <x v="6"/>
    <x v="10"/>
    <s v="NL_A"/>
    <x v="0"/>
    <x v="201"/>
    <n v="1000"/>
    <n v="1"/>
    <n v="7.5475687103594096"/>
    <n v="7.5475687103594103E-3"/>
    <n v="3.1712473572938701E-2"/>
    <n v="3.1712473572938701E-5"/>
  </r>
  <r>
    <x v="0"/>
    <x v="0"/>
    <x v="0"/>
    <x v="6"/>
    <x v="10"/>
    <s v="NL_A"/>
    <x v="1"/>
    <x v="202"/>
    <m/>
    <m/>
    <n v="-831.28391423999994"/>
    <n v="-0.83128391424000003"/>
    <n v="0.21570623999999999"/>
    <n v="2.1570623999999999E-4"/>
  </r>
  <r>
    <x v="0"/>
    <x v="0"/>
    <x v="0"/>
    <x v="6"/>
    <x v="10"/>
    <s v="NL_A"/>
    <x v="2"/>
    <x v="203"/>
    <m/>
    <m/>
    <m/>
    <m/>
    <n v="1.6168390607987"/>
    <n v="1.6168390607987E-3"/>
  </r>
  <r>
    <x v="0"/>
    <x v="0"/>
    <x v="0"/>
    <x v="6"/>
    <x v="10"/>
    <s v="NL_A"/>
    <x v="18"/>
    <x v="161"/>
    <m/>
    <m/>
    <m/>
    <m/>
    <m/>
    <m/>
  </r>
  <r>
    <x v="0"/>
    <x v="0"/>
    <x v="0"/>
    <x v="6"/>
    <x v="10"/>
    <s v="NL_A"/>
    <x v="6"/>
    <x v="45"/>
    <m/>
    <m/>
    <m/>
    <m/>
    <m/>
    <m/>
  </r>
  <r>
    <x v="0"/>
    <x v="0"/>
    <x v="0"/>
    <x v="6"/>
    <x v="10"/>
    <s v="NL_A"/>
    <x v="7"/>
    <x v="46"/>
    <m/>
    <m/>
    <m/>
    <m/>
    <m/>
    <m/>
  </r>
  <r>
    <x v="0"/>
    <x v="0"/>
    <x v="0"/>
    <x v="6"/>
    <x v="10"/>
    <s v="NL_A"/>
    <x v="8"/>
    <x v="48"/>
    <m/>
    <m/>
    <m/>
    <m/>
    <m/>
    <m/>
  </r>
  <r>
    <x v="0"/>
    <x v="0"/>
    <x v="0"/>
    <x v="6"/>
    <x v="10"/>
    <s v="NL_A"/>
    <x v="8"/>
    <x v="47"/>
    <m/>
    <m/>
    <m/>
    <m/>
    <m/>
    <m/>
  </r>
  <r>
    <x v="0"/>
    <x v="0"/>
    <x v="0"/>
    <x v="6"/>
    <x v="10"/>
    <s v="NL_A"/>
    <x v="13"/>
    <x v="204"/>
    <m/>
    <m/>
    <n v="0.63071999999999995"/>
    <n v="6.3071999999999998E-4"/>
    <n v="0.1009152"/>
    <n v="1.0091520000000001E-4"/>
  </r>
  <r>
    <x v="0"/>
    <x v="0"/>
    <x v="0"/>
    <x v="7"/>
    <x v="11"/>
    <s v="NO1_A1"/>
    <x v="21"/>
    <x v="205"/>
    <n v="53.844937411764697"/>
    <n v="5.3844937411764701E-2"/>
    <m/>
    <m/>
    <m/>
    <m/>
  </r>
  <r>
    <x v="0"/>
    <x v="0"/>
    <x v="0"/>
    <x v="7"/>
    <x v="11"/>
    <s v="NO1_A1"/>
    <x v="21"/>
    <x v="206"/>
    <n v="97.389104188235294"/>
    <n v="9.7389104188235306E-2"/>
    <m/>
    <m/>
    <m/>
    <m/>
  </r>
  <r>
    <x v="0"/>
    <x v="0"/>
    <x v="0"/>
    <x v="7"/>
    <x v="11"/>
    <s v="NO1_A1"/>
    <x v="1"/>
    <x v="207"/>
    <m/>
    <m/>
    <n v="0.18941403251612901"/>
    <n v="1.89414032516129E-4"/>
    <n v="4.8567700645161301E-3"/>
    <n v="4.8567700645161299E-6"/>
  </r>
  <r>
    <x v="0"/>
    <x v="0"/>
    <x v="0"/>
    <x v="7"/>
    <x v="11"/>
    <s v="NO1_A1"/>
    <x v="1"/>
    <x v="208"/>
    <m/>
    <m/>
    <n v="4.3084260592941202E-2"/>
    <n v="4.3084260592941197E-5"/>
    <n v="1.1047246305882399E-3"/>
    <n v="1.10472463058824E-6"/>
  </r>
  <r>
    <x v="0"/>
    <x v="0"/>
    <x v="0"/>
    <x v="7"/>
    <x v="11"/>
    <s v="NO1_A1"/>
    <x v="4"/>
    <x v="108"/>
    <m/>
    <m/>
    <m/>
    <m/>
    <m/>
    <m/>
  </r>
  <r>
    <x v="0"/>
    <x v="0"/>
    <x v="0"/>
    <x v="7"/>
    <x v="11"/>
    <s v="NO1_A1"/>
    <x v="7"/>
    <x v="122"/>
    <m/>
    <m/>
    <m/>
    <m/>
    <m/>
    <m/>
  </r>
  <r>
    <x v="0"/>
    <x v="0"/>
    <x v="0"/>
    <x v="7"/>
    <x v="11"/>
    <s v="NO1_A1"/>
    <x v="7"/>
    <x v="123"/>
    <m/>
    <m/>
    <m/>
    <m/>
    <m/>
    <m/>
  </r>
  <r>
    <x v="0"/>
    <x v="0"/>
    <x v="0"/>
    <x v="7"/>
    <x v="11"/>
    <s v="NO1_A1"/>
    <x v="7"/>
    <x v="124"/>
    <m/>
    <m/>
    <m/>
    <m/>
    <m/>
    <m/>
  </r>
  <r>
    <x v="0"/>
    <x v="0"/>
    <x v="0"/>
    <x v="7"/>
    <x v="11"/>
    <s v="NO1_A1"/>
    <x v="7"/>
    <x v="125"/>
    <m/>
    <m/>
    <m/>
    <m/>
    <m/>
    <m/>
  </r>
  <r>
    <x v="0"/>
    <x v="0"/>
    <x v="0"/>
    <x v="7"/>
    <x v="11"/>
    <s v="NO1_A1"/>
    <x v="7"/>
    <x v="126"/>
    <m/>
    <m/>
    <m/>
    <m/>
    <m/>
    <m/>
  </r>
  <r>
    <x v="0"/>
    <x v="0"/>
    <x v="0"/>
    <x v="7"/>
    <x v="11"/>
    <s v="NO1_A1"/>
    <x v="7"/>
    <x v="127"/>
    <m/>
    <m/>
    <m/>
    <m/>
    <m/>
    <m/>
  </r>
  <r>
    <x v="0"/>
    <x v="0"/>
    <x v="0"/>
    <x v="7"/>
    <x v="11"/>
    <s v="NO1_A1"/>
    <x v="7"/>
    <x v="46"/>
    <m/>
    <m/>
    <m/>
    <m/>
    <m/>
    <m/>
  </r>
  <r>
    <x v="0"/>
    <x v="0"/>
    <x v="0"/>
    <x v="7"/>
    <x v="11"/>
    <s v="NO1_A1"/>
    <x v="10"/>
    <x v="111"/>
    <m/>
    <m/>
    <n v="4.4541896069474299E-2"/>
    <n v="4.4541896069474303E-5"/>
    <n v="7.1267033711158801E-3"/>
    <n v="7.1267033711158804E-6"/>
  </r>
  <r>
    <x v="0"/>
    <x v="0"/>
    <x v="0"/>
    <x v="7"/>
    <x v="11"/>
    <s v="NO1_A2"/>
    <x v="21"/>
    <x v="206"/>
    <n v="234.10842352941199"/>
    <n v="0.234108423529412"/>
    <m/>
    <m/>
    <m/>
    <m/>
  </r>
  <r>
    <x v="0"/>
    <x v="0"/>
    <x v="0"/>
    <x v="7"/>
    <x v="11"/>
    <s v="NO1_A2"/>
    <x v="1"/>
    <x v="207"/>
    <m/>
    <m/>
    <n v="0.25624792691612602"/>
    <n v="2.5624792691612602E-4"/>
    <n v="6.5704596645160497E-3"/>
    <n v="6.57045966451605E-6"/>
  </r>
  <r>
    <x v="0"/>
    <x v="0"/>
    <x v="0"/>
    <x v="7"/>
    <x v="11"/>
    <s v="NO1_A2"/>
    <x v="1"/>
    <x v="208"/>
    <m/>
    <m/>
    <n v="0.185209072941177"/>
    <n v="1.85209072941176E-4"/>
    <n v="4.7489505882352904E-3"/>
    <n v="4.7489505882352902E-6"/>
  </r>
  <r>
    <x v="0"/>
    <x v="0"/>
    <x v="0"/>
    <x v="7"/>
    <x v="11"/>
    <s v="NO1_A2"/>
    <x v="10"/>
    <x v="111"/>
    <m/>
    <m/>
    <n v="1.48404705882353E-2"/>
    <n v="1.4840470588235301E-5"/>
    <n v="2.37447529411765E-3"/>
    <n v="2.3744752941176502E-6"/>
  </r>
  <r>
    <x v="0"/>
    <x v="0"/>
    <x v="0"/>
    <x v="7"/>
    <x v="12"/>
    <s v="NO2_A1"/>
    <x v="21"/>
    <x v="205"/>
    <n v="0.93389117434134095"/>
    <n v="9.3389117434134101E-4"/>
    <m/>
    <m/>
    <m/>
    <m/>
  </r>
  <r>
    <x v="0"/>
    <x v="0"/>
    <x v="0"/>
    <x v="7"/>
    <x v="12"/>
    <s v="NO2_A1"/>
    <x v="21"/>
    <x v="206"/>
    <n v="10.7587793731793"/>
    <n v="1.07587793731793E-2"/>
    <m/>
    <m/>
    <m/>
    <m/>
  </r>
  <r>
    <x v="0"/>
    <x v="0"/>
    <x v="0"/>
    <x v="7"/>
    <x v="12"/>
    <s v="NO2_A1"/>
    <x v="1"/>
    <x v="207"/>
    <m/>
    <m/>
    <n v="0.249472140387097"/>
    <n v="2.4947214038709701E-4"/>
    <n v="6.3967215483870998E-3"/>
    <n v="6.3967215483870999E-6"/>
  </r>
  <r>
    <x v="0"/>
    <x v="0"/>
    <x v="0"/>
    <x v="7"/>
    <x v="12"/>
    <s v="NO2_A1"/>
    <x v="4"/>
    <x v="108"/>
    <m/>
    <m/>
    <m/>
    <m/>
    <m/>
    <m/>
  </r>
  <r>
    <x v="0"/>
    <x v="0"/>
    <x v="0"/>
    <x v="7"/>
    <x v="12"/>
    <s v="NO2_A1"/>
    <x v="7"/>
    <x v="122"/>
    <m/>
    <m/>
    <m/>
    <m/>
    <m/>
    <m/>
  </r>
  <r>
    <x v="0"/>
    <x v="0"/>
    <x v="0"/>
    <x v="7"/>
    <x v="12"/>
    <s v="NO2_A1"/>
    <x v="7"/>
    <x v="123"/>
    <m/>
    <m/>
    <m/>
    <m/>
    <m/>
    <m/>
  </r>
  <r>
    <x v="0"/>
    <x v="0"/>
    <x v="0"/>
    <x v="7"/>
    <x v="12"/>
    <s v="NO2_A1"/>
    <x v="7"/>
    <x v="124"/>
    <m/>
    <m/>
    <m/>
    <m/>
    <m/>
    <m/>
  </r>
  <r>
    <x v="0"/>
    <x v="0"/>
    <x v="0"/>
    <x v="7"/>
    <x v="12"/>
    <s v="NO2_A1"/>
    <x v="7"/>
    <x v="125"/>
    <m/>
    <m/>
    <m/>
    <m/>
    <m/>
    <m/>
  </r>
  <r>
    <x v="0"/>
    <x v="0"/>
    <x v="0"/>
    <x v="7"/>
    <x v="12"/>
    <s v="NO2_A1"/>
    <x v="7"/>
    <x v="126"/>
    <m/>
    <m/>
    <m/>
    <m/>
    <m/>
    <m/>
  </r>
  <r>
    <x v="0"/>
    <x v="0"/>
    <x v="0"/>
    <x v="7"/>
    <x v="12"/>
    <s v="NO2_A1"/>
    <x v="7"/>
    <x v="127"/>
    <m/>
    <m/>
    <m/>
    <m/>
    <m/>
    <m/>
  </r>
  <r>
    <x v="0"/>
    <x v="0"/>
    <x v="0"/>
    <x v="7"/>
    <x v="12"/>
    <s v="NO2_A1"/>
    <x v="7"/>
    <x v="128"/>
    <m/>
    <m/>
    <m/>
    <m/>
    <m/>
    <m/>
  </r>
  <r>
    <x v="0"/>
    <x v="0"/>
    <x v="0"/>
    <x v="7"/>
    <x v="12"/>
    <s v="NO2_A1"/>
    <x v="7"/>
    <x v="209"/>
    <m/>
    <m/>
    <m/>
    <m/>
    <m/>
    <m/>
  </r>
  <r>
    <x v="0"/>
    <x v="0"/>
    <x v="0"/>
    <x v="7"/>
    <x v="12"/>
    <s v="NO2_A1"/>
    <x v="7"/>
    <x v="46"/>
    <m/>
    <m/>
    <m/>
    <m/>
    <m/>
    <m/>
  </r>
  <r>
    <x v="0"/>
    <x v="0"/>
    <x v="0"/>
    <x v="7"/>
    <x v="12"/>
    <s v="NO2_A1"/>
    <x v="8"/>
    <x v="47"/>
    <m/>
    <m/>
    <m/>
    <m/>
    <m/>
    <m/>
  </r>
  <r>
    <x v="0"/>
    <x v="0"/>
    <x v="0"/>
    <x v="7"/>
    <x v="13"/>
    <s v="NO3_A1"/>
    <x v="21"/>
    <x v="205"/>
    <n v="7.3537726967130697"/>
    <n v="7.3537726967130802E-3"/>
    <m/>
    <m/>
    <m/>
    <m/>
  </r>
  <r>
    <x v="0"/>
    <x v="0"/>
    <x v="0"/>
    <x v="7"/>
    <x v="13"/>
    <s v="NO3_A1"/>
    <x v="21"/>
    <x v="206"/>
    <n v="9.5264848006230398"/>
    <n v="9.5264848006230401E-3"/>
    <m/>
    <m/>
    <m/>
    <m/>
  </r>
  <r>
    <x v="0"/>
    <x v="0"/>
    <x v="0"/>
    <x v="7"/>
    <x v="13"/>
    <s v="NO3_A1"/>
    <x v="1"/>
    <x v="207"/>
    <m/>
    <m/>
    <n v="9.9095877987096806E-2"/>
    <n v="9.9095877987096694E-5"/>
    <n v="2.5409199483871002E-3"/>
    <n v="2.5409199483871E-6"/>
  </r>
  <r>
    <x v="0"/>
    <x v="0"/>
    <x v="0"/>
    <x v="7"/>
    <x v="13"/>
    <s v="NO3_A1"/>
    <x v="4"/>
    <x v="108"/>
    <m/>
    <m/>
    <m/>
    <m/>
    <m/>
    <m/>
  </r>
  <r>
    <x v="0"/>
    <x v="0"/>
    <x v="0"/>
    <x v="7"/>
    <x v="13"/>
    <s v="NO3_A1"/>
    <x v="7"/>
    <x v="122"/>
    <m/>
    <m/>
    <m/>
    <m/>
    <m/>
    <m/>
  </r>
  <r>
    <x v="0"/>
    <x v="0"/>
    <x v="0"/>
    <x v="7"/>
    <x v="13"/>
    <s v="NO3_A1"/>
    <x v="7"/>
    <x v="123"/>
    <m/>
    <m/>
    <m/>
    <m/>
    <m/>
    <m/>
  </r>
  <r>
    <x v="0"/>
    <x v="0"/>
    <x v="0"/>
    <x v="7"/>
    <x v="13"/>
    <s v="NO3_A1"/>
    <x v="7"/>
    <x v="124"/>
    <m/>
    <m/>
    <m/>
    <m/>
    <m/>
    <m/>
  </r>
  <r>
    <x v="0"/>
    <x v="0"/>
    <x v="0"/>
    <x v="7"/>
    <x v="13"/>
    <s v="NO3_A1"/>
    <x v="7"/>
    <x v="125"/>
    <m/>
    <m/>
    <m/>
    <m/>
    <m/>
    <m/>
  </r>
  <r>
    <x v="0"/>
    <x v="0"/>
    <x v="0"/>
    <x v="7"/>
    <x v="13"/>
    <s v="NO3_A1"/>
    <x v="7"/>
    <x v="126"/>
    <m/>
    <m/>
    <m/>
    <m/>
    <m/>
    <m/>
  </r>
  <r>
    <x v="0"/>
    <x v="0"/>
    <x v="0"/>
    <x v="7"/>
    <x v="13"/>
    <s v="NO3_A1"/>
    <x v="7"/>
    <x v="127"/>
    <m/>
    <m/>
    <m/>
    <m/>
    <m/>
    <m/>
  </r>
  <r>
    <x v="0"/>
    <x v="0"/>
    <x v="0"/>
    <x v="7"/>
    <x v="13"/>
    <s v="NO3_A1"/>
    <x v="7"/>
    <x v="128"/>
    <m/>
    <m/>
    <m/>
    <m/>
    <m/>
    <m/>
  </r>
  <r>
    <x v="0"/>
    <x v="0"/>
    <x v="0"/>
    <x v="7"/>
    <x v="13"/>
    <s v="NO3_A1"/>
    <x v="7"/>
    <x v="209"/>
    <m/>
    <m/>
    <m/>
    <m/>
    <m/>
    <m/>
  </r>
  <r>
    <x v="0"/>
    <x v="0"/>
    <x v="0"/>
    <x v="7"/>
    <x v="13"/>
    <s v="NO3_A1"/>
    <x v="7"/>
    <x v="46"/>
    <m/>
    <m/>
    <m/>
    <m/>
    <m/>
    <m/>
  </r>
  <r>
    <x v="0"/>
    <x v="0"/>
    <x v="0"/>
    <x v="7"/>
    <x v="13"/>
    <s v="NO3_A1"/>
    <x v="8"/>
    <x v="47"/>
    <m/>
    <m/>
    <m/>
    <m/>
    <m/>
    <m/>
  </r>
  <r>
    <x v="0"/>
    <x v="0"/>
    <x v="0"/>
    <x v="7"/>
    <x v="13"/>
    <s v="NO3_A2"/>
    <x v="21"/>
    <x v="205"/>
    <n v="6.7350356385102801"/>
    <n v="6.7350356385102797E-3"/>
    <m/>
    <m/>
    <m/>
    <m/>
  </r>
  <r>
    <x v="0"/>
    <x v="0"/>
    <x v="0"/>
    <x v="7"/>
    <x v="13"/>
    <s v="NO3_A2"/>
    <x v="21"/>
    <x v="206"/>
    <n v="8.6368614126574297"/>
    <n v="8.6368614126574195E-3"/>
    <m/>
    <m/>
    <m/>
    <m/>
  </r>
  <r>
    <x v="0"/>
    <x v="0"/>
    <x v="0"/>
    <x v="7"/>
    <x v="13"/>
    <s v="NO3_A2"/>
    <x v="1"/>
    <x v="208"/>
    <m/>
    <m/>
    <n v="0.37311156322504302"/>
    <n v="3.7311156322504302E-4"/>
    <n v="9.5669631596164793E-3"/>
    <n v="9.5669631596164697E-6"/>
  </r>
  <r>
    <x v="0"/>
    <x v="0"/>
    <x v="0"/>
    <x v="7"/>
    <x v="14"/>
    <s v="NO4_A1"/>
    <x v="21"/>
    <x v="205"/>
    <n v="6.0349378647993204"/>
    <n v="6.0349378647993196E-3"/>
    <m/>
    <m/>
    <m/>
    <m/>
  </r>
  <r>
    <x v="0"/>
    <x v="0"/>
    <x v="0"/>
    <x v="7"/>
    <x v="14"/>
    <s v="NO4_A1"/>
    <x v="21"/>
    <x v="206"/>
    <n v="1.45404867788131"/>
    <n v="1.45404867788131E-3"/>
    <m/>
    <m/>
    <m/>
    <m/>
  </r>
  <r>
    <x v="0"/>
    <x v="0"/>
    <x v="0"/>
    <x v="7"/>
    <x v="14"/>
    <s v="NO4_A1"/>
    <x v="1"/>
    <x v="207"/>
    <m/>
    <m/>
    <n v="3.84187096196129E-3"/>
    <n v="3.8418709619612897E-6"/>
    <n v="9.8509511845161295E-5"/>
    <n v="9.8509511845161295E-8"/>
  </r>
  <r>
    <x v="0"/>
    <x v="0"/>
    <x v="0"/>
    <x v="7"/>
    <x v="14"/>
    <s v="NO4_A1"/>
    <x v="1"/>
    <x v="208"/>
    <m/>
    <m/>
    <n v="8.2760249632448393E-2"/>
    <n v="8.2760249632448393E-5"/>
    <n v="2.12205768288329E-3"/>
    <n v="2.1220576828832902E-6"/>
  </r>
  <r>
    <x v="0"/>
    <x v="0"/>
    <x v="0"/>
    <x v="7"/>
    <x v="14"/>
    <s v="NO4_A1"/>
    <x v="4"/>
    <x v="108"/>
    <m/>
    <m/>
    <m/>
    <m/>
    <m/>
    <m/>
  </r>
  <r>
    <x v="0"/>
    <x v="0"/>
    <x v="0"/>
    <x v="7"/>
    <x v="14"/>
    <s v="NO4_A1"/>
    <x v="7"/>
    <x v="122"/>
    <m/>
    <m/>
    <m/>
    <m/>
    <m/>
    <m/>
  </r>
  <r>
    <x v="0"/>
    <x v="0"/>
    <x v="0"/>
    <x v="7"/>
    <x v="14"/>
    <s v="NO4_A1"/>
    <x v="7"/>
    <x v="123"/>
    <m/>
    <m/>
    <m/>
    <m/>
    <m/>
    <m/>
  </r>
  <r>
    <x v="0"/>
    <x v="0"/>
    <x v="0"/>
    <x v="7"/>
    <x v="14"/>
    <s v="NO4_A1"/>
    <x v="7"/>
    <x v="124"/>
    <m/>
    <m/>
    <m/>
    <m/>
    <m/>
    <m/>
  </r>
  <r>
    <x v="0"/>
    <x v="0"/>
    <x v="0"/>
    <x v="7"/>
    <x v="14"/>
    <s v="NO4_A1"/>
    <x v="7"/>
    <x v="125"/>
    <m/>
    <m/>
    <m/>
    <m/>
    <m/>
    <m/>
  </r>
  <r>
    <x v="0"/>
    <x v="0"/>
    <x v="0"/>
    <x v="7"/>
    <x v="14"/>
    <s v="NO4_A1"/>
    <x v="7"/>
    <x v="126"/>
    <m/>
    <m/>
    <m/>
    <m/>
    <m/>
    <m/>
  </r>
  <r>
    <x v="0"/>
    <x v="0"/>
    <x v="0"/>
    <x v="7"/>
    <x v="14"/>
    <s v="NO4_A1"/>
    <x v="7"/>
    <x v="127"/>
    <m/>
    <m/>
    <m/>
    <m/>
    <m/>
    <m/>
  </r>
  <r>
    <x v="0"/>
    <x v="0"/>
    <x v="0"/>
    <x v="7"/>
    <x v="14"/>
    <s v="NO4_A1"/>
    <x v="7"/>
    <x v="128"/>
    <m/>
    <m/>
    <m/>
    <m/>
    <m/>
    <m/>
  </r>
  <r>
    <x v="0"/>
    <x v="0"/>
    <x v="0"/>
    <x v="7"/>
    <x v="14"/>
    <s v="NO4_A1"/>
    <x v="7"/>
    <x v="129"/>
    <m/>
    <m/>
    <m/>
    <m/>
    <m/>
    <m/>
  </r>
  <r>
    <x v="0"/>
    <x v="0"/>
    <x v="0"/>
    <x v="7"/>
    <x v="14"/>
    <s v="NO4_A1"/>
    <x v="7"/>
    <x v="46"/>
    <m/>
    <m/>
    <m/>
    <m/>
    <m/>
    <m/>
  </r>
  <r>
    <x v="0"/>
    <x v="0"/>
    <x v="0"/>
    <x v="7"/>
    <x v="14"/>
    <s v="NO4_A1"/>
    <x v="8"/>
    <x v="47"/>
    <m/>
    <m/>
    <m/>
    <m/>
    <m/>
    <m/>
  </r>
  <r>
    <x v="0"/>
    <x v="0"/>
    <x v="0"/>
    <x v="7"/>
    <x v="15"/>
    <s v="NO5_A1"/>
    <x v="21"/>
    <x v="206"/>
    <n v="19.703720466034099"/>
    <n v="1.9703720466034101E-2"/>
    <m/>
    <m/>
    <m/>
    <m/>
  </r>
  <r>
    <x v="0"/>
    <x v="0"/>
    <x v="0"/>
    <x v="7"/>
    <x v="15"/>
    <s v="NO5_A1"/>
    <x v="1"/>
    <x v="207"/>
    <m/>
    <m/>
    <n v="0.18479417806451601"/>
    <n v="1.8479417806451599E-4"/>
    <n v="4.73831225806452E-3"/>
    <n v="4.7383122580645204E-6"/>
  </r>
  <r>
    <x v="0"/>
    <x v="0"/>
    <x v="0"/>
    <x v="7"/>
    <x v="15"/>
    <s v="NO5_A1"/>
    <x v="7"/>
    <x v="122"/>
    <m/>
    <m/>
    <m/>
    <m/>
    <m/>
    <m/>
  </r>
  <r>
    <x v="0"/>
    <x v="0"/>
    <x v="0"/>
    <x v="7"/>
    <x v="15"/>
    <s v="NO5_A1"/>
    <x v="7"/>
    <x v="123"/>
    <m/>
    <m/>
    <m/>
    <m/>
    <m/>
    <m/>
  </r>
  <r>
    <x v="0"/>
    <x v="0"/>
    <x v="0"/>
    <x v="7"/>
    <x v="15"/>
    <s v="NO5_A1"/>
    <x v="7"/>
    <x v="124"/>
    <m/>
    <m/>
    <m/>
    <m/>
    <m/>
    <m/>
  </r>
  <r>
    <x v="0"/>
    <x v="0"/>
    <x v="0"/>
    <x v="7"/>
    <x v="15"/>
    <s v="NO5_A1"/>
    <x v="7"/>
    <x v="125"/>
    <m/>
    <m/>
    <m/>
    <m/>
    <m/>
    <m/>
  </r>
  <r>
    <x v="0"/>
    <x v="0"/>
    <x v="0"/>
    <x v="7"/>
    <x v="15"/>
    <s v="NO5_A1"/>
    <x v="7"/>
    <x v="126"/>
    <m/>
    <m/>
    <m/>
    <m/>
    <m/>
    <m/>
  </r>
  <r>
    <x v="0"/>
    <x v="0"/>
    <x v="0"/>
    <x v="7"/>
    <x v="15"/>
    <s v="NO5_A1"/>
    <x v="7"/>
    <x v="127"/>
    <m/>
    <m/>
    <m/>
    <m/>
    <m/>
    <m/>
  </r>
  <r>
    <x v="0"/>
    <x v="0"/>
    <x v="0"/>
    <x v="7"/>
    <x v="15"/>
    <s v="NO5_A1"/>
    <x v="7"/>
    <x v="209"/>
    <m/>
    <m/>
    <m/>
    <m/>
    <m/>
    <m/>
  </r>
  <r>
    <x v="0"/>
    <x v="0"/>
    <x v="0"/>
    <x v="7"/>
    <x v="15"/>
    <s v="NO5_A1"/>
    <x v="7"/>
    <x v="46"/>
    <m/>
    <m/>
    <m/>
    <m/>
    <m/>
    <m/>
  </r>
  <r>
    <x v="0"/>
    <x v="0"/>
    <x v="0"/>
    <x v="8"/>
    <x v="16"/>
    <s v="PL_A"/>
    <x v="11"/>
    <x v="210"/>
    <m/>
    <m/>
    <n v="0.34820412230851"/>
    <n v="3.4820412230851002E-4"/>
    <n v="5.5712659569361701E-2"/>
    <n v="5.5712659569361697E-5"/>
  </r>
  <r>
    <x v="0"/>
    <x v="0"/>
    <x v="0"/>
    <x v="8"/>
    <x v="16"/>
    <s v="PL_A"/>
    <x v="0"/>
    <x v="211"/>
    <n v="6.0706800000000003"/>
    <n v="6.0706800000000002E-3"/>
    <n v="4.5818874418604598E-2"/>
    <n v="4.5818874418604602E-5"/>
    <n v="1.9251627906976699E-4"/>
    <n v="1.9251627906976699E-7"/>
  </r>
  <r>
    <x v="0"/>
    <x v="0"/>
    <x v="0"/>
    <x v="8"/>
    <x v="16"/>
    <s v="PL_A"/>
    <x v="0"/>
    <x v="212"/>
    <n v="41.322814054054"/>
    <n v="4.1322814054053997E-2"/>
    <n v="0.31188677837837803"/>
    <n v="3.1188677837837802E-4"/>
    <n v="1.3104486486486501E-3"/>
    <n v="1.3104486486486501E-6"/>
  </r>
  <r>
    <x v="0"/>
    <x v="0"/>
    <x v="0"/>
    <x v="8"/>
    <x v="16"/>
    <s v="PL_A"/>
    <x v="0"/>
    <x v="213"/>
    <n v="16.129812720535298"/>
    <n v="1.6129812720535298E-2"/>
    <n v="0.121740869793469"/>
    <n v="1.21740869793469E-4"/>
    <n v="5.1151625963642602E-4"/>
    <n v="5.1151625963642604E-7"/>
  </r>
  <r>
    <x v="0"/>
    <x v="0"/>
    <x v="0"/>
    <x v="8"/>
    <x v="16"/>
    <s v="PL_A"/>
    <x v="0"/>
    <x v="214"/>
    <n v="710.18782679651497"/>
    <n v="0.71018782679651404"/>
    <n v="5.3601914200075198"/>
    <n v="5.3601914200075203E-3"/>
    <n v="2.2521812689107201E-2"/>
    <n v="2.2521812689107199E-5"/>
  </r>
  <r>
    <x v="0"/>
    <x v="0"/>
    <x v="0"/>
    <x v="8"/>
    <x v="16"/>
    <s v="PL_A"/>
    <x v="0"/>
    <x v="215"/>
    <n v="13.673484"/>
    <n v="1.3673484E-2"/>
    <n v="0.10320156"/>
    <n v="1.0320156E-4"/>
    <n v="4.3362000000000001E-4"/>
    <n v="4.3361999999999999E-7"/>
  </r>
  <r>
    <x v="0"/>
    <x v="0"/>
    <x v="0"/>
    <x v="8"/>
    <x v="16"/>
    <s v="PL_A"/>
    <x v="0"/>
    <x v="216"/>
    <n v="48.365722293831503"/>
    <n v="4.8365722293831501E-2"/>
    <n v="0.36504361223885501"/>
    <n v="3.65043612238855E-4"/>
    <n v="1.5337966900792199E-3"/>
    <n v="1.5337966900792199E-6"/>
  </r>
  <r>
    <x v="0"/>
    <x v="0"/>
    <x v="0"/>
    <x v="8"/>
    <x v="16"/>
    <s v="PL_A"/>
    <x v="1"/>
    <x v="217"/>
    <m/>
    <m/>
    <n v="-110.18968064000001"/>
    <n v="-0.11018968064"/>
    <n v="2.8592639999999999E-2"/>
    <n v="2.8592640000000001E-5"/>
  </r>
  <r>
    <x v="0"/>
    <x v="0"/>
    <x v="0"/>
    <x v="8"/>
    <x v="16"/>
    <s v="PL_A"/>
    <x v="2"/>
    <x v="218"/>
    <m/>
    <m/>
    <m/>
    <m/>
    <n v="2.9854080000000002E-2"/>
    <n v="2.9854080000000001E-5"/>
  </r>
  <r>
    <x v="0"/>
    <x v="0"/>
    <x v="0"/>
    <x v="8"/>
    <x v="16"/>
    <s v="PL_A"/>
    <x v="2"/>
    <x v="219"/>
    <m/>
    <m/>
    <m/>
    <m/>
    <n v="5.4662399999999998E-3"/>
    <n v="5.4662399999999997E-6"/>
  </r>
  <r>
    <x v="0"/>
    <x v="0"/>
    <x v="0"/>
    <x v="8"/>
    <x v="16"/>
    <s v="PL_A"/>
    <x v="2"/>
    <x v="220"/>
    <m/>
    <m/>
    <m/>
    <m/>
    <n v="8.9001600000000007E-3"/>
    <n v="8.9001600000000005E-6"/>
  </r>
  <r>
    <x v="0"/>
    <x v="0"/>
    <x v="0"/>
    <x v="8"/>
    <x v="16"/>
    <s v="PL_A"/>
    <x v="2"/>
    <x v="221"/>
    <m/>
    <m/>
    <m/>
    <m/>
    <n v="2.2425600000000002E-3"/>
    <n v="2.2425600000000001E-6"/>
  </r>
  <r>
    <x v="0"/>
    <x v="0"/>
    <x v="0"/>
    <x v="8"/>
    <x v="16"/>
    <s v="PL_A"/>
    <x v="2"/>
    <x v="222"/>
    <m/>
    <m/>
    <m/>
    <m/>
    <n v="7.0080000000000001E-4"/>
    <n v="7.0079999999999897E-7"/>
  </r>
  <r>
    <x v="0"/>
    <x v="0"/>
    <x v="0"/>
    <x v="8"/>
    <x v="16"/>
    <s v="PL_A"/>
    <x v="2"/>
    <x v="223"/>
    <m/>
    <m/>
    <m/>
    <m/>
    <n v="8.4095999999999997E-3"/>
    <n v="8.4096000000000101E-6"/>
  </r>
  <r>
    <x v="0"/>
    <x v="0"/>
    <x v="0"/>
    <x v="8"/>
    <x v="16"/>
    <s v="PL_A"/>
    <x v="3"/>
    <x v="224"/>
    <m/>
    <m/>
    <n v="0.38813538461538499"/>
    <n v="3.8813538461538502E-4"/>
    <n v="6.21016615384615E-2"/>
    <n v="6.2101661538461605E-5"/>
  </r>
  <r>
    <x v="0"/>
    <x v="0"/>
    <x v="0"/>
    <x v="8"/>
    <x v="16"/>
    <s v="PL_A"/>
    <x v="3"/>
    <x v="225"/>
    <m/>
    <m/>
    <n v="2.7912220158917398"/>
    <n v="2.7912220158917401E-3"/>
    <n v="0.44659552254267798"/>
    <n v="4.4659552254267801E-4"/>
  </r>
  <r>
    <x v="0"/>
    <x v="0"/>
    <x v="0"/>
    <x v="8"/>
    <x v="16"/>
    <s v="PL_A"/>
    <x v="3"/>
    <x v="226"/>
    <m/>
    <m/>
    <n v="0.43099199999999999"/>
    <n v="4.30992E-4"/>
    <n v="6.8958720000000001E-2"/>
    <n v="6.8958719999999996E-5"/>
  </r>
  <r>
    <x v="0"/>
    <x v="0"/>
    <x v="0"/>
    <x v="8"/>
    <x v="16"/>
    <s v="PL_A"/>
    <x v="3"/>
    <x v="227"/>
    <m/>
    <m/>
    <n v="0.23923862068965501"/>
    <n v="2.3923862068965499E-4"/>
    <n v="3.8278179310344801E-2"/>
    <n v="3.8278179310344799E-5"/>
  </r>
  <r>
    <x v="0"/>
    <x v="0"/>
    <x v="0"/>
    <x v="8"/>
    <x v="16"/>
    <s v="PL_A"/>
    <x v="6"/>
    <x v="45"/>
    <m/>
    <m/>
    <m/>
    <m/>
    <m/>
    <m/>
  </r>
  <r>
    <x v="0"/>
    <x v="0"/>
    <x v="0"/>
    <x v="8"/>
    <x v="16"/>
    <s v="PL_A"/>
    <x v="7"/>
    <x v="200"/>
    <m/>
    <m/>
    <m/>
    <m/>
    <m/>
    <m/>
  </r>
  <r>
    <x v="0"/>
    <x v="0"/>
    <x v="0"/>
    <x v="8"/>
    <x v="16"/>
    <s v="PL_A"/>
    <x v="8"/>
    <x v="47"/>
    <m/>
    <m/>
    <m/>
    <m/>
    <m/>
    <m/>
  </r>
  <r>
    <x v="0"/>
    <x v="0"/>
    <x v="0"/>
    <x v="8"/>
    <x v="16"/>
    <s v="PL_A"/>
    <x v="13"/>
    <x v="228"/>
    <m/>
    <m/>
    <n v="2.0673599999999999"/>
    <n v="2.0673599999999999E-3"/>
    <n v="0.3307776"/>
    <n v="3.3077760000000002E-4"/>
  </r>
  <r>
    <x v="0"/>
    <x v="0"/>
    <x v="0"/>
    <x v="8"/>
    <x v="16"/>
    <s v="PL_Rural"/>
    <x v="0"/>
    <x v="229"/>
    <n v="164.24966013506301"/>
    <n v="0.16424966013506301"/>
    <n v="1.2396855955225701"/>
    <n v="1.23968559552257E-3"/>
    <n v="5.20876300639736E-3"/>
    <n v="5.2087630063973599E-6"/>
  </r>
  <r>
    <x v="0"/>
    <x v="0"/>
    <x v="0"/>
    <x v="8"/>
    <x v="16"/>
    <s v="PL_Rural"/>
    <x v="7"/>
    <x v="46"/>
    <m/>
    <m/>
    <m/>
    <m/>
    <m/>
    <m/>
  </r>
  <r>
    <x v="0"/>
    <x v="0"/>
    <x v="0"/>
    <x v="9"/>
    <x v="17"/>
    <s v="SE1A"/>
    <x v="7"/>
    <x v="122"/>
    <m/>
    <m/>
    <m/>
    <m/>
    <m/>
    <m/>
  </r>
  <r>
    <x v="0"/>
    <x v="0"/>
    <x v="0"/>
    <x v="9"/>
    <x v="17"/>
    <s v="SE1A"/>
    <x v="7"/>
    <x v="123"/>
    <m/>
    <m/>
    <m/>
    <m/>
    <m/>
    <m/>
  </r>
  <r>
    <x v="0"/>
    <x v="0"/>
    <x v="0"/>
    <x v="9"/>
    <x v="17"/>
    <s v="SE1A"/>
    <x v="7"/>
    <x v="124"/>
    <m/>
    <m/>
    <m/>
    <m/>
    <m/>
    <m/>
  </r>
  <r>
    <x v="0"/>
    <x v="0"/>
    <x v="0"/>
    <x v="9"/>
    <x v="17"/>
    <s v="SE1A"/>
    <x v="7"/>
    <x v="125"/>
    <m/>
    <m/>
    <m/>
    <m/>
    <m/>
    <m/>
  </r>
  <r>
    <x v="0"/>
    <x v="0"/>
    <x v="0"/>
    <x v="9"/>
    <x v="17"/>
    <s v="SE1A"/>
    <x v="7"/>
    <x v="126"/>
    <m/>
    <m/>
    <m/>
    <m/>
    <m/>
    <m/>
  </r>
  <r>
    <x v="0"/>
    <x v="0"/>
    <x v="0"/>
    <x v="9"/>
    <x v="17"/>
    <s v="SE1A"/>
    <x v="7"/>
    <x v="127"/>
    <m/>
    <m/>
    <m/>
    <m/>
    <m/>
    <m/>
  </r>
  <r>
    <x v="0"/>
    <x v="0"/>
    <x v="0"/>
    <x v="9"/>
    <x v="17"/>
    <s v="SE1A"/>
    <x v="7"/>
    <x v="46"/>
    <m/>
    <m/>
    <m/>
    <m/>
    <m/>
    <m/>
  </r>
  <r>
    <x v="0"/>
    <x v="0"/>
    <x v="0"/>
    <x v="9"/>
    <x v="17"/>
    <s v="SE1A"/>
    <x v="8"/>
    <x v="47"/>
    <m/>
    <m/>
    <m/>
    <m/>
    <m/>
    <m/>
  </r>
  <r>
    <x v="0"/>
    <x v="0"/>
    <x v="0"/>
    <x v="9"/>
    <x v="17"/>
    <s v="SE1_EL"/>
    <x v="1"/>
    <x v="207"/>
    <m/>
    <m/>
    <n v="9.0889897735282901E-2"/>
    <n v="9.0889897735282898E-5"/>
    <n v="2.3305101983405901E-3"/>
    <n v="2.3305101983405902E-6"/>
  </r>
  <r>
    <x v="0"/>
    <x v="0"/>
    <x v="0"/>
    <x v="9"/>
    <x v="17"/>
    <s v="SE1_EL"/>
    <x v="4"/>
    <x v="108"/>
    <m/>
    <m/>
    <m/>
    <m/>
    <m/>
    <m/>
  </r>
  <r>
    <x v="0"/>
    <x v="0"/>
    <x v="0"/>
    <x v="9"/>
    <x v="17"/>
    <s v="SE1_EL"/>
    <x v="10"/>
    <x v="230"/>
    <m/>
    <m/>
    <n v="1.00892951485085E-2"/>
    <n v="1.0089295148508499E-5"/>
    <n v="1.61428722376135E-3"/>
    <n v="1.6142872237613499E-6"/>
  </r>
  <r>
    <x v="0"/>
    <x v="0"/>
    <x v="0"/>
    <x v="9"/>
    <x v="17"/>
    <s v="SE1_OTHER"/>
    <x v="2"/>
    <x v="231"/>
    <m/>
    <m/>
    <m/>
    <m/>
    <n v="7.9605232199204005E-5"/>
    <n v="7.9605232199204002E-8"/>
  </r>
  <r>
    <x v="0"/>
    <x v="0"/>
    <x v="0"/>
    <x v="9"/>
    <x v="17"/>
    <s v="SE1_OTHER"/>
    <x v="4"/>
    <x v="108"/>
    <m/>
    <m/>
    <m/>
    <m/>
    <m/>
    <m/>
  </r>
  <r>
    <x v="0"/>
    <x v="0"/>
    <x v="0"/>
    <x v="9"/>
    <x v="17"/>
    <s v="SE1_OTHER"/>
    <x v="5"/>
    <x v="232"/>
    <m/>
    <m/>
    <m/>
    <m/>
    <m/>
    <m/>
  </r>
  <r>
    <x v="0"/>
    <x v="0"/>
    <x v="0"/>
    <x v="9"/>
    <x v="17"/>
    <s v="SE1_OTHER"/>
    <x v="10"/>
    <x v="233"/>
    <m/>
    <m/>
    <n v="7.6848188731488701E-2"/>
    <n v="7.6848188731488805E-5"/>
    <n v="1.22957101970382E-2"/>
    <n v="1.2295710197038201E-5"/>
  </r>
  <r>
    <x v="0"/>
    <x v="0"/>
    <x v="0"/>
    <x v="9"/>
    <x v="17"/>
    <s v="SE1_OTHER"/>
    <x v="10"/>
    <x v="111"/>
    <m/>
    <m/>
    <n v="2.4761019790254399E-2"/>
    <n v="2.47610197902545E-5"/>
    <n v="3.9617631664407103E-3"/>
    <n v="3.9617631664407099E-6"/>
  </r>
  <r>
    <x v="0"/>
    <x v="0"/>
    <x v="0"/>
    <x v="9"/>
    <x v="18"/>
    <s v="SE2A"/>
    <x v="7"/>
    <x v="122"/>
    <m/>
    <m/>
    <m/>
    <m/>
    <m/>
    <m/>
  </r>
  <r>
    <x v="0"/>
    <x v="0"/>
    <x v="0"/>
    <x v="9"/>
    <x v="18"/>
    <s v="SE2A"/>
    <x v="7"/>
    <x v="123"/>
    <m/>
    <m/>
    <m/>
    <m/>
    <m/>
    <m/>
  </r>
  <r>
    <x v="0"/>
    <x v="0"/>
    <x v="0"/>
    <x v="9"/>
    <x v="18"/>
    <s v="SE2A"/>
    <x v="7"/>
    <x v="124"/>
    <m/>
    <m/>
    <m/>
    <m/>
    <m/>
    <m/>
  </r>
  <r>
    <x v="0"/>
    <x v="0"/>
    <x v="0"/>
    <x v="9"/>
    <x v="18"/>
    <s v="SE2A"/>
    <x v="7"/>
    <x v="125"/>
    <m/>
    <m/>
    <m/>
    <m/>
    <m/>
    <m/>
  </r>
  <r>
    <x v="0"/>
    <x v="0"/>
    <x v="0"/>
    <x v="9"/>
    <x v="18"/>
    <s v="SE2A"/>
    <x v="7"/>
    <x v="126"/>
    <m/>
    <m/>
    <m/>
    <m/>
    <m/>
    <m/>
  </r>
  <r>
    <x v="0"/>
    <x v="0"/>
    <x v="0"/>
    <x v="9"/>
    <x v="18"/>
    <s v="SE2A"/>
    <x v="7"/>
    <x v="127"/>
    <m/>
    <m/>
    <m/>
    <m/>
    <m/>
    <m/>
  </r>
  <r>
    <x v="0"/>
    <x v="0"/>
    <x v="0"/>
    <x v="9"/>
    <x v="18"/>
    <s v="SE2A"/>
    <x v="7"/>
    <x v="128"/>
    <m/>
    <m/>
    <m/>
    <m/>
    <m/>
    <m/>
  </r>
  <r>
    <x v="0"/>
    <x v="0"/>
    <x v="0"/>
    <x v="9"/>
    <x v="18"/>
    <s v="SE2A"/>
    <x v="7"/>
    <x v="129"/>
    <m/>
    <m/>
    <m/>
    <m/>
    <m/>
    <m/>
  </r>
  <r>
    <x v="0"/>
    <x v="0"/>
    <x v="0"/>
    <x v="9"/>
    <x v="18"/>
    <s v="SE2A"/>
    <x v="7"/>
    <x v="130"/>
    <m/>
    <m/>
    <m/>
    <m/>
    <m/>
    <m/>
  </r>
  <r>
    <x v="0"/>
    <x v="0"/>
    <x v="0"/>
    <x v="9"/>
    <x v="18"/>
    <s v="SE2A"/>
    <x v="7"/>
    <x v="209"/>
    <m/>
    <m/>
    <m/>
    <m/>
    <m/>
    <m/>
  </r>
  <r>
    <x v="0"/>
    <x v="0"/>
    <x v="0"/>
    <x v="9"/>
    <x v="18"/>
    <s v="SE2A"/>
    <x v="7"/>
    <x v="46"/>
    <m/>
    <m/>
    <m/>
    <m/>
    <m/>
    <m/>
  </r>
  <r>
    <x v="0"/>
    <x v="0"/>
    <x v="0"/>
    <x v="9"/>
    <x v="18"/>
    <s v="SE2A"/>
    <x v="8"/>
    <x v="47"/>
    <m/>
    <m/>
    <m/>
    <m/>
    <m/>
    <m/>
  </r>
  <r>
    <x v="0"/>
    <x v="0"/>
    <x v="0"/>
    <x v="9"/>
    <x v="18"/>
    <s v="SE2A"/>
    <x v="13"/>
    <x v="131"/>
    <m/>
    <m/>
    <n v="0.61676395097037795"/>
    <n v="6.1676395097037796E-4"/>
    <n v="9.8682232155260494E-2"/>
    <n v="9.8682232155260498E-5"/>
  </r>
  <r>
    <x v="0"/>
    <x v="0"/>
    <x v="0"/>
    <x v="9"/>
    <x v="18"/>
    <s v="SE2_EL"/>
    <x v="1"/>
    <x v="234"/>
    <m/>
    <m/>
    <n v="1.1784323034119299"/>
    <n v="1.17843230341193E-3"/>
    <n v="3.0216212907998301E-2"/>
    <n v="3.0216212907998299E-5"/>
  </r>
  <r>
    <x v="0"/>
    <x v="0"/>
    <x v="0"/>
    <x v="9"/>
    <x v="18"/>
    <s v="SE2_EL"/>
    <x v="10"/>
    <x v="230"/>
    <m/>
    <m/>
    <n v="0.20720181945669799"/>
    <n v="2.0720181945669801E-4"/>
    <n v="3.3152291113071601E-2"/>
    <n v="3.31522911130716E-5"/>
  </r>
  <r>
    <x v="0"/>
    <x v="0"/>
    <x v="0"/>
    <x v="9"/>
    <x v="18"/>
    <s v="SE2_EL"/>
    <x v="10"/>
    <x v="235"/>
    <m/>
    <m/>
    <n v="8.0952525394045599E-2"/>
    <n v="8.0952525394045605E-5"/>
    <n v="1.2952404063047301E-2"/>
    <n v="1.2952404063047301E-5"/>
  </r>
  <r>
    <x v="0"/>
    <x v="0"/>
    <x v="0"/>
    <x v="9"/>
    <x v="18"/>
    <s v="SE2_OTHER"/>
    <x v="1"/>
    <x v="234"/>
    <m/>
    <m/>
    <n v="8.9324422425847094E-2"/>
    <n v="8.9324422425847002E-5"/>
    <n v="2.29036980579095E-3"/>
    <n v="2.2903698057909498E-6"/>
  </r>
  <r>
    <x v="0"/>
    <x v="0"/>
    <x v="0"/>
    <x v="9"/>
    <x v="18"/>
    <s v="SE2_OTHER"/>
    <x v="4"/>
    <x v="108"/>
    <m/>
    <m/>
    <m/>
    <m/>
    <m/>
    <m/>
  </r>
  <r>
    <x v="0"/>
    <x v="0"/>
    <x v="0"/>
    <x v="9"/>
    <x v="18"/>
    <s v="SE2_OTHER"/>
    <x v="10"/>
    <x v="236"/>
    <m/>
    <m/>
    <n v="0.14748806461814001"/>
    <n v="1.4748806461814E-4"/>
    <n v="2.3598090338902401E-2"/>
    <n v="2.3598090338902402E-5"/>
  </r>
  <r>
    <x v="0"/>
    <x v="0"/>
    <x v="0"/>
    <x v="9"/>
    <x v="18"/>
    <s v="SE2_OTHER"/>
    <x v="10"/>
    <x v="111"/>
    <m/>
    <m/>
    <n v="4.9588529928841302E-2"/>
    <n v="4.9588529928841301E-5"/>
    <n v="7.9341647886146099E-3"/>
    <n v="7.9341647886146104E-6"/>
  </r>
  <r>
    <x v="0"/>
    <x v="0"/>
    <x v="0"/>
    <x v="9"/>
    <x v="19"/>
    <s v="SE3A"/>
    <x v="18"/>
    <x v="121"/>
    <m/>
    <m/>
    <m/>
    <m/>
    <m/>
    <m/>
  </r>
  <r>
    <x v="0"/>
    <x v="0"/>
    <x v="0"/>
    <x v="9"/>
    <x v="19"/>
    <s v="SE3A"/>
    <x v="7"/>
    <x v="122"/>
    <m/>
    <m/>
    <m/>
    <m/>
    <m/>
    <m/>
  </r>
  <r>
    <x v="0"/>
    <x v="0"/>
    <x v="0"/>
    <x v="9"/>
    <x v="19"/>
    <s v="SE3A"/>
    <x v="7"/>
    <x v="123"/>
    <m/>
    <m/>
    <m/>
    <m/>
    <m/>
    <m/>
  </r>
  <r>
    <x v="0"/>
    <x v="0"/>
    <x v="0"/>
    <x v="9"/>
    <x v="19"/>
    <s v="SE3A"/>
    <x v="7"/>
    <x v="124"/>
    <m/>
    <m/>
    <m/>
    <m/>
    <m/>
    <m/>
  </r>
  <r>
    <x v="0"/>
    <x v="0"/>
    <x v="0"/>
    <x v="9"/>
    <x v="19"/>
    <s v="SE3A"/>
    <x v="7"/>
    <x v="125"/>
    <m/>
    <m/>
    <m/>
    <m/>
    <m/>
    <m/>
  </r>
  <r>
    <x v="0"/>
    <x v="0"/>
    <x v="0"/>
    <x v="9"/>
    <x v="19"/>
    <s v="SE3A"/>
    <x v="7"/>
    <x v="126"/>
    <m/>
    <m/>
    <m/>
    <m/>
    <m/>
    <m/>
  </r>
  <r>
    <x v="0"/>
    <x v="0"/>
    <x v="0"/>
    <x v="9"/>
    <x v="19"/>
    <s v="SE3A"/>
    <x v="7"/>
    <x v="127"/>
    <m/>
    <m/>
    <m/>
    <m/>
    <m/>
    <m/>
  </r>
  <r>
    <x v="0"/>
    <x v="0"/>
    <x v="0"/>
    <x v="9"/>
    <x v="19"/>
    <s v="SE3A"/>
    <x v="7"/>
    <x v="128"/>
    <m/>
    <m/>
    <m/>
    <m/>
    <m/>
    <m/>
  </r>
  <r>
    <x v="0"/>
    <x v="0"/>
    <x v="0"/>
    <x v="9"/>
    <x v="19"/>
    <s v="SE3A"/>
    <x v="7"/>
    <x v="129"/>
    <m/>
    <m/>
    <m/>
    <m/>
    <m/>
    <m/>
  </r>
  <r>
    <x v="0"/>
    <x v="0"/>
    <x v="0"/>
    <x v="9"/>
    <x v="19"/>
    <s v="SE3A"/>
    <x v="7"/>
    <x v="130"/>
    <m/>
    <m/>
    <m/>
    <m/>
    <m/>
    <m/>
  </r>
  <r>
    <x v="0"/>
    <x v="0"/>
    <x v="0"/>
    <x v="9"/>
    <x v="19"/>
    <s v="SE3A"/>
    <x v="7"/>
    <x v="46"/>
    <m/>
    <m/>
    <m/>
    <m/>
    <m/>
    <m/>
  </r>
  <r>
    <x v="0"/>
    <x v="0"/>
    <x v="0"/>
    <x v="9"/>
    <x v="19"/>
    <s v="SE3A"/>
    <x v="8"/>
    <x v="47"/>
    <m/>
    <m/>
    <m/>
    <m/>
    <m/>
    <m/>
  </r>
  <r>
    <x v="0"/>
    <x v="0"/>
    <x v="0"/>
    <x v="9"/>
    <x v="19"/>
    <s v="SE3A"/>
    <x v="13"/>
    <x v="131"/>
    <m/>
    <m/>
    <n v="1.09802752322343"/>
    <n v="1.09802752322343E-3"/>
    <n v="0.175684403715749"/>
    <n v="1.7568440371574899E-4"/>
  </r>
  <r>
    <x v="0"/>
    <x v="0"/>
    <x v="0"/>
    <x v="9"/>
    <x v="19"/>
    <s v="SE3_EL"/>
    <x v="0"/>
    <x v="237"/>
    <n v="48.769214021810598"/>
    <n v="4.87692140218106E-2"/>
    <n v="0.368088993779839"/>
    <n v="3.68088993779839E-4"/>
    <n v="1.5465924108396601E-3"/>
    <n v="1.5465924108396601E-6"/>
  </r>
  <r>
    <x v="0"/>
    <x v="0"/>
    <x v="0"/>
    <x v="9"/>
    <x v="19"/>
    <s v="SE3_EL"/>
    <x v="1"/>
    <x v="234"/>
    <m/>
    <m/>
    <n v="1.3054141948370901"/>
    <n v="1.30541419483709E-3"/>
    <n v="3.3472158841976699E-2"/>
    <n v="3.3472158841976702E-5"/>
  </r>
  <r>
    <x v="0"/>
    <x v="0"/>
    <x v="0"/>
    <x v="9"/>
    <x v="19"/>
    <s v="SE3_EL"/>
    <x v="1"/>
    <x v="238"/>
    <m/>
    <m/>
    <n v="1.1835935854417801"/>
    <n v="1.1835935854417801E-3"/>
    <n v="3.0348553472866201E-2"/>
    <n v="3.03485534728662E-5"/>
  </r>
  <r>
    <x v="0"/>
    <x v="0"/>
    <x v="0"/>
    <x v="9"/>
    <x v="19"/>
    <s v="SE3_EL"/>
    <x v="1"/>
    <x v="208"/>
    <m/>
    <m/>
    <n v="1.02909787903457"/>
    <n v="1.02909787903457E-3"/>
    <n v="2.63871251034506E-2"/>
    <n v="2.6387125103450599E-5"/>
  </r>
  <r>
    <x v="0"/>
    <x v="0"/>
    <x v="0"/>
    <x v="9"/>
    <x v="19"/>
    <s v="SE3_EL"/>
    <x v="2"/>
    <x v="231"/>
    <m/>
    <m/>
    <m/>
    <m/>
    <n v="2.7296746764601001E-4"/>
    <n v="2.7296746764601002E-7"/>
  </r>
  <r>
    <x v="0"/>
    <x v="0"/>
    <x v="0"/>
    <x v="9"/>
    <x v="19"/>
    <s v="SE3_EL"/>
    <x v="22"/>
    <x v="239"/>
    <m/>
    <m/>
    <m/>
    <m/>
    <m/>
    <m/>
  </r>
  <r>
    <x v="0"/>
    <x v="0"/>
    <x v="0"/>
    <x v="9"/>
    <x v="19"/>
    <s v="SE3_EL"/>
    <x v="22"/>
    <x v="240"/>
    <m/>
    <m/>
    <m/>
    <m/>
    <m/>
    <m/>
  </r>
  <r>
    <x v="0"/>
    <x v="0"/>
    <x v="0"/>
    <x v="9"/>
    <x v="19"/>
    <s v="SE3_EL"/>
    <x v="4"/>
    <x v="108"/>
    <m/>
    <m/>
    <m/>
    <m/>
    <m/>
    <m/>
  </r>
  <r>
    <x v="0"/>
    <x v="0"/>
    <x v="0"/>
    <x v="9"/>
    <x v="19"/>
    <s v="SE3_EL"/>
    <x v="10"/>
    <x v="230"/>
    <m/>
    <m/>
    <n v="0.242265240630473"/>
    <n v="2.4226524063047301E-4"/>
    <n v="3.8762438500875698E-2"/>
    <n v="3.8762438500875699E-5"/>
  </r>
  <r>
    <x v="0"/>
    <x v="0"/>
    <x v="0"/>
    <x v="9"/>
    <x v="19"/>
    <s v="SE3_EL"/>
    <x v="10"/>
    <x v="241"/>
    <m/>
    <m/>
    <n v="0.166635056292219"/>
    <n v="1.6663505629221901E-4"/>
    <n v="2.6661609006754999E-2"/>
    <n v="2.6661609006755E-5"/>
  </r>
  <r>
    <x v="0"/>
    <x v="0"/>
    <x v="0"/>
    <x v="9"/>
    <x v="19"/>
    <s v="SE3_EL"/>
    <x v="10"/>
    <x v="111"/>
    <m/>
    <m/>
    <n v="5.29610701069331E-2"/>
    <n v="5.29610701069331E-5"/>
    <n v="8.4737712171093008E-3"/>
    <n v="8.4737712171093005E-6"/>
  </r>
  <r>
    <x v="0"/>
    <x v="0"/>
    <x v="0"/>
    <x v="9"/>
    <x v="19"/>
    <s v="SE3_GOT"/>
    <x v="1"/>
    <x v="234"/>
    <m/>
    <m/>
    <n v="1.1466349440000001"/>
    <n v="1.146634944E-3"/>
    <n v="2.9400895999999999E-2"/>
    <n v="2.9400896000000001E-5"/>
  </r>
  <r>
    <x v="0"/>
    <x v="0"/>
    <x v="0"/>
    <x v="9"/>
    <x v="19"/>
    <s v="SE3_GOT"/>
    <x v="2"/>
    <x v="242"/>
    <m/>
    <m/>
    <m/>
    <m/>
    <n v="1.87852281081081E-2"/>
    <n v="1.87852281081081E-5"/>
  </r>
  <r>
    <x v="0"/>
    <x v="0"/>
    <x v="0"/>
    <x v="9"/>
    <x v="19"/>
    <s v="SE3_GOT"/>
    <x v="10"/>
    <x v="243"/>
    <m/>
    <m/>
    <n v="5.6642125454074002E-2"/>
    <n v="5.6642125454074E-5"/>
    <n v="9.0627400726518304E-3"/>
    <n v="9.0627400726518301E-6"/>
  </r>
  <r>
    <x v="0"/>
    <x v="0"/>
    <x v="0"/>
    <x v="9"/>
    <x v="19"/>
    <s v="SE3_HP"/>
    <x v="1"/>
    <x v="234"/>
    <m/>
    <m/>
    <n v="0.93676629821545399"/>
    <n v="9.3676629821545397E-4"/>
    <n v="2.4019648672191099E-2"/>
    <n v="2.4019648672191101E-5"/>
  </r>
  <r>
    <x v="0"/>
    <x v="0"/>
    <x v="0"/>
    <x v="9"/>
    <x v="19"/>
    <s v="SE3_HP"/>
    <x v="4"/>
    <x v="108"/>
    <m/>
    <m/>
    <m/>
    <m/>
    <m/>
    <m/>
  </r>
  <r>
    <x v="0"/>
    <x v="0"/>
    <x v="0"/>
    <x v="9"/>
    <x v="19"/>
    <s v="SE3_HP"/>
    <x v="10"/>
    <x v="236"/>
    <m/>
    <m/>
    <n v="8.3914203152364295E-2"/>
    <n v="8.3914203152364204E-5"/>
    <n v="1.3426272504378301E-2"/>
    <n v="1.34262725043783E-5"/>
  </r>
  <r>
    <x v="0"/>
    <x v="0"/>
    <x v="0"/>
    <x v="9"/>
    <x v="19"/>
    <s v="SE3_HP"/>
    <x v="10"/>
    <x v="244"/>
    <m/>
    <m/>
    <n v="0.38789139973636699"/>
    <n v="3.8789139973636799E-4"/>
    <n v="6.2062623957818801E-2"/>
    <n v="6.2062623957818806E-5"/>
  </r>
  <r>
    <x v="0"/>
    <x v="0"/>
    <x v="0"/>
    <x v="9"/>
    <x v="19"/>
    <s v="SE3_HP"/>
    <x v="10"/>
    <x v="111"/>
    <m/>
    <m/>
    <n v="1.6140516604017701E-2"/>
    <n v="1.61405166040177E-5"/>
    <n v="2.58248265664283E-3"/>
    <n v="2.5824826566428298E-6"/>
  </r>
  <r>
    <x v="0"/>
    <x v="0"/>
    <x v="0"/>
    <x v="9"/>
    <x v="19"/>
    <s v="SE3_OTHER"/>
    <x v="1"/>
    <x v="234"/>
    <m/>
    <m/>
    <n v="0.81669515103259605"/>
    <n v="8.1669515103259603E-4"/>
    <n v="2.09409013085281E-2"/>
    <n v="2.0940901308528099E-5"/>
  </r>
  <r>
    <x v="0"/>
    <x v="0"/>
    <x v="0"/>
    <x v="9"/>
    <x v="19"/>
    <s v="SE3_OTHER"/>
    <x v="1"/>
    <x v="208"/>
    <m/>
    <m/>
    <n v="0.68817037409994297"/>
    <n v="6.8817037409994296E-4"/>
    <n v="1.76453942076908E-2"/>
    <n v="1.7645394207690801E-5"/>
  </r>
  <r>
    <x v="0"/>
    <x v="0"/>
    <x v="0"/>
    <x v="9"/>
    <x v="19"/>
    <s v="SE3_OTHER"/>
    <x v="22"/>
    <x v="245"/>
    <m/>
    <m/>
    <m/>
    <m/>
    <m/>
    <m/>
  </r>
  <r>
    <x v="0"/>
    <x v="0"/>
    <x v="0"/>
    <x v="9"/>
    <x v="19"/>
    <s v="SE3_OTHER"/>
    <x v="4"/>
    <x v="108"/>
    <m/>
    <m/>
    <m/>
    <m/>
    <m/>
    <m/>
  </r>
  <r>
    <x v="0"/>
    <x v="0"/>
    <x v="0"/>
    <x v="9"/>
    <x v="19"/>
    <s v="SE3_OTHER"/>
    <x v="5"/>
    <x v="246"/>
    <m/>
    <m/>
    <m/>
    <m/>
    <m/>
    <m/>
  </r>
  <r>
    <x v="0"/>
    <x v="0"/>
    <x v="0"/>
    <x v="9"/>
    <x v="19"/>
    <s v="SE3_OTHER"/>
    <x v="10"/>
    <x v="230"/>
    <m/>
    <m/>
    <n v="0.66906855007486898"/>
    <n v="6.6906855007486899E-4"/>
    <n v="0.107050968011979"/>
    <n v="1.0705096801197901E-4"/>
  </r>
  <r>
    <x v="0"/>
    <x v="0"/>
    <x v="0"/>
    <x v="9"/>
    <x v="19"/>
    <s v="SE3_OTHER"/>
    <x v="10"/>
    <x v="111"/>
    <m/>
    <m/>
    <n v="0.21077976364548301"/>
    <n v="2.10779763645483E-4"/>
    <n v="3.3724762183277197E-2"/>
    <n v="3.3724762183277203E-5"/>
  </r>
  <r>
    <x v="0"/>
    <x v="0"/>
    <x v="0"/>
    <x v="9"/>
    <x v="19"/>
    <s v="SE3_STO"/>
    <x v="0"/>
    <x v="247"/>
    <n v="951.23078597819006"/>
    <n v="0.95123078597819"/>
    <n v="7.1794797165795696"/>
    <n v="7.1794797165795803E-3"/>
    <n v="3.01658811620991E-2"/>
    <n v="3.0165881162099101E-5"/>
  </r>
  <r>
    <x v="0"/>
    <x v="0"/>
    <x v="0"/>
    <x v="9"/>
    <x v="19"/>
    <s v="SE3_STO"/>
    <x v="1"/>
    <x v="248"/>
    <m/>
    <m/>
    <n v="0.92756519779809499"/>
    <n v="9.2756519779809603E-4"/>
    <n v="2.3783723020464002E-2"/>
    <n v="2.3783723020464001E-5"/>
  </r>
  <r>
    <x v="0"/>
    <x v="0"/>
    <x v="0"/>
    <x v="9"/>
    <x v="19"/>
    <s v="SE3_STO"/>
    <x v="1"/>
    <x v="208"/>
    <m/>
    <m/>
    <n v="0.65790083138426503"/>
    <n v="6.5790083138426503E-4"/>
    <n v="1.6869252086776001E-2"/>
    <n v="1.6869252086776001E-5"/>
  </r>
  <r>
    <x v="0"/>
    <x v="0"/>
    <x v="0"/>
    <x v="9"/>
    <x v="19"/>
    <s v="SE3_STO"/>
    <x v="9"/>
    <x v="249"/>
    <m/>
    <m/>
    <m/>
    <m/>
    <m/>
    <m/>
  </r>
  <r>
    <x v="0"/>
    <x v="0"/>
    <x v="0"/>
    <x v="9"/>
    <x v="19"/>
    <s v="SE3_STO"/>
    <x v="10"/>
    <x v="233"/>
    <m/>
    <m/>
    <n v="0.26444817887012301"/>
    <n v="2.64448178870123E-4"/>
    <n v="4.23117086192197E-2"/>
    <n v="4.2311708619219701E-5"/>
  </r>
  <r>
    <x v="0"/>
    <x v="0"/>
    <x v="0"/>
    <x v="9"/>
    <x v="19"/>
    <s v="SE3_STO"/>
    <x v="10"/>
    <x v="250"/>
    <m/>
    <m/>
    <n v="0.14583241193298399"/>
    <n v="1.4583241193298399E-4"/>
    <n v="2.3333185909277399E-2"/>
    <n v="2.33331859092775E-5"/>
  </r>
  <r>
    <x v="0"/>
    <x v="0"/>
    <x v="0"/>
    <x v="9"/>
    <x v="20"/>
    <s v="SE4A"/>
    <x v="7"/>
    <x v="122"/>
    <m/>
    <m/>
    <m/>
    <m/>
    <m/>
    <m/>
  </r>
  <r>
    <x v="0"/>
    <x v="0"/>
    <x v="0"/>
    <x v="9"/>
    <x v="20"/>
    <s v="SE4A"/>
    <x v="7"/>
    <x v="123"/>
    <m/>
    <m/>
    <m/>
    <m/>
    <m/>
    <m/>
  </r>
  <r>
    <x v="0"/>
    <x v="0"/>
    <x v="0"/>
    <x v="9"/>
    <x v="20"/>
    <s v="SE4A"/>
    <x v="7"/>
    <x v="124"/>
    <m/>
    <m/>
    <m/>
    <m/>
    <m/>
    <m/>
  </r>
  <r>
    <x v="0"/>
    <x v="0"/>
    <x v="0"/>
    <x v="9"/>
    <x v="20"/>
    <s v="SE4A"/>
    <x v="7"/>
    <x v="125"/>
    <m/>
    <m/>
    <m/>
    <m/>
    <m/>
    <m/>
  </r>
  <r>
    <x v="0"/>
    <x v="0"/>
    <x v="0"/>
    <x v="9"/>
    <x v="20"/>
    <s v="SE4A"/>
    <x v="7"/>
    <x v="126"/>
    <m/>
    <m/>
    <m/>
    <m/>
    <m/>
    <m/>
  </r>
  <r>
    <x v="0"/>
    <x v="0"/>
    <x v="0"/>
    <x v="9"/>
    <x v="20"/>
    <s v="SE4A"/>
    <x v="7"/>
    <x v="127"/>
    <m/>
    <m/>
    <m/>
    <m/>
    <m/>
    <m/>
  </r>
  <r>
    <x v="0"/>
    <x v="0"/>
    <x v="0"/>
    <x v="9"/>
    <x v="20"/>
    <s v="SE4A"/>
    <x v="7"/>
    <x v="128"/>
    <m/>
    <m/>
    <m/>
    <m/>
    <m/>
    <m/>
  </r>
  <r>
    <x v="0"/>
    <x v="0"/>
    <x v="0"/>
    <x v="9"/>
    <x v="20"/>
    <s v="SE4A"/>
    <x v="7"/>
    <x v="129"/>
    <m/>
    <m/>
    <m/>
    <m/>
    <m/>
    <m/>
  </r>
  <r>
    <x v="0"/>
    <x v="0"/>
    <x v="0"/>
    <x v="9"/>
    <x v="20"/>
    <s v="SE4A"/>
    <x v="7"/>
    <x v="130"/>
    <m/>
    <m/>
    <m/>
    <m/>
    <m/>
    <m/>
  </r>
  <r>
    <x v="0"/>
    <x v="0"/>
    <x v="0"/>
    <x v="9"/>
    <x v="20"/>
    <s v="SE4A"/>
    <x v="7"/>
    <x v="251"/>
    <m/>
    <m/>
    <m/>
    <m/>
    <m/>
    <m/>
  </r>
  <r>
    <x v="0"/>
    <x v="0"/>
    <x v="0"/>
    <x v="9"/>
    <x v="20"/>
    <s v="SE4A"/>
    <x v="7"/>
    <x v="46"/>
    <m/>
    <m/>
    <m/>
    <m/>
    <m/>
    <m/>
  </r>
  <r>
    <x v="0"/>
    <x v="0"/>
    <x v="0"/>
    <x v="9"/>
    <x v="20"/>
    <s v="SE4A"/>
    <x v="8"/>
    <x v="47"/>
    <m/>
    <m/>
    <m/>
    <m/>
    <m/>
    <m/>
  </r>
  <r>
    <x v="0"/>
    <x v="0"/>
    <x v="0"/>
    <x v="9"/>
    <x v="20"/>
    <s v="SE4A"/>
    <x v="13"/>
    <x v="131"/>
    <m/>
    <m/>
    <n v="0.71930829622063297"/>
    <n v="7.1930829622063395E-4"/>
    <n v="0.11508932739530101"/>
    <n v="1.15089327395301E-4"/>
  </r>
  <r>
    <x v="0"/>
    <x v="0"/>
    <x v="0"/>
    <x v="9"/>
    <x v="20"/>
    <s v="SE4_EL"/>
    <x v="2"/>
    <x v="98"/>
    <m/>
    <m/>
    <m/>
    <m/>
    <n v="3.7392257787915401E-5"/>
    <n v="3.7392257787915402E-8"/>
  </r>
  <r>
    <x v="0"/>
    <x v="0"/>
    <x v="0"/>
    <x v="9"/>
    <x v="20"/>
    <s v="SE4_EL"/>
    <x v="22"/>
    <x v="252"/>
    <m/>
    <m/>
    <m/>
    <m/>
    <m/>
    <m/>
  </r>
  <r>
    <x v="0"/>
    <x v="0"/>
    <x v="0"/>
    <x v="9"/>
    <x v="20"/>
    <s v="SE4_EL"/>
    <x v="22"/>
    <x v="253"/>
    <m/>
    <m/>
    <m/>
    <m/>
    <m/>
    <m/>
  </r>
  <r>
    <x v="0"/>
    <x v="0"/>
    <x v="0"/>
    <x v="9"/>
    <x v="20"/>
    <s v="SE4_EL"/>
    <x v="22"/>
    <x v="240"/>
    <m/>
    <m/>
    <m/>
    <m/>
    <m/>
    <m/>
  </r>
  <r>
    <x v="0"/>
    <x v="0"/>
    <x v="0"/>
    <x v="9"/>
    <x v="20"/>
    <s v="SE4_EL"/>
    <x v="3"/>
    <x v="254"/>
    <m/>
    <m/>
    <n v="2.3188235294117599E-3"/>
    <n v="2.3188235294117701E-6"/>
    <n v="3.7101176470588198E-4"/>
    <n v="3.7101176470588198E-7"/>
  </r>
  <r>
    <x v="0"/>
    <x v="0"/>
    <x v="0"/>
    <x v="9"/>
    <x v="20"/>
    <s v="SE4_EL"/>
    <x v="4"/>
    <x v="108"/>
    <m/>
    <m/>
    <m/>
    <m/>
    <m/>
    <m/>
  </r>
  <r>
    <x v="0"/>
    <x v="0"/>
    <x v="0"/>
    <x v="9"/>
    <x v="20"/>
    <s v="SE4_EL"/>
    <x v="10"/>
    <x v="111"/>
    <m/>
    <m/>
    <n v="5.1126920492840199E-2"/>
    <n v="5.1126920492840199E-5"/>
    <n v="8.1803072788544304E-3"/>
    <n v="8.1803072788544299E-6"/>
  </r>
  <r>
    <x v="0"/>
    <x v="0"/>
    <x v="0"/>
    <x v="9"/>
    <x v="20"/>
    <s v="SE4_HP"/>
    <x v="1"/>
    <x v="255"/>
    <m/>
    <m/>
    <n v="0.25457060571428602"/>
    <n v="2.5457060571428599E-4"/>
    <n v="6.5274514285714198E-3"/>
    <n v="6.5274514285714298E-6"/>
  </r>
  <r>
    <x v="0"/>
    <x v="0"/>
    <x v="0"/>
    <x v="9"/>
    <x v="20"/>
    <s v="SE4_HP"/>
    <x v="2"/>
    <x v="112"/>
    <m/>
    <m/>
    <m/>
    <m/>
    <n v="3.8703272727272698E-3"/>
    <n v="3.8703272727272801E-6"/>
  </r>
  <r>
    <x v="0"/>
    <x v="0"/>
    <x v="0"/>
    <x v="9"/>
    <x v="20"/>
    <s v="SE4_HP"/>
    <x v="9"/>
    <x v="114"/>
    <m/>
    <m/>
    <m/>
    <m/>
    <m/>
    <m/>
  </r>
  <r>
    <x v="0"/>
    <x v="0"/>
    <x v="0"/>
    <x v="9"/>
    <x v="20"/>
    <s v="SE4_MAL"/>
    <x v="1"/>
    <x v="234"/>
    <m/>
    <m/>
    <n v="0.71540823006325205"/>
    <n v="7.1540823006325204E-4"/>
    <n v="1.8343800770852601E-2"/>
    <n v="1.8343800770852598E-5"/>
  </r>
  <r>
    <x v="0"/>
    <x v="0"/>
    <x v="0"/>
    <x v="9"/>
    <x v="20"/>
    <s v="SE4_MAL"/>
    <x v="1"/>
    <x v="208"/>
    <m/>
    <m/>
    <n v="8.61310186914164E-2"/>
    <n v="8.6131018691416395E-5"/>
    <n v="2.2084876587542602E-3"/>
    <n v="2.2084876587542702E-6"/>
  </r>
  <r>
    <x v="0"/>
    <x v="0"/>
    <x v="0"/>
    <x v="9"/>
    <x v="20"/>
    <s v="SE4_MAL"/>
    <x v="2"/>
    <x v="256"/>
    <m/>
    <m/>
    <m/>
    <m/>
    <n v="6.7520587117493999E-3"/>
    <n v="6.7520587117493996E-6"/>
  </r>
  <r>
    <x v="0"/>
    <x v="0"/>
    <x v="0"/>
    <x v="9"/>
    <x v="20"/>
    <s v="SE4_MAL"/>
    <x v="2"/>
    <x v="257"/>
    <m/>
    <m/>
    <m/>
    <m/>
    <n v="2.5228799999999999E-2"/>
    <n v="2.5228800000000001E-5"/>
  </r>
  <r>
    <x v="0"/>
    <x v="0"/>
    <x v="0"/>
    <x v="9"/>
    <x v="20"/>
    <s v="SE4_MAL"/>
    <x v="4"/>
    <x v="108"/>
    <m/>
    <m/>
    <m/>
    <m/>
    <m/>
    <m/>
  </r>
  <r>
    <x v="0"/>
    <x v="0"/>
    <x v="0"/>
    <x v="9"/>
    <x v="20"/>
    <s v="SE4_OTHER"/>
    <x v="1"/>
    <x v="258"/>
    <m/>
    <m/>
    <n v="0.39509442403513101"/>
    <n v="3.9509442403513098E-4"/>
    <n v="1.0130626257311001E-2"/>
    <n v="1.0130626257311E-5"/>
  </r>
  <r>
    <x v="0"/>
    <x v="0"/>
    <x v="0"/>
    <x v="9"/>
    <x v="20"/>
    <s v="SE4_OTHER"/>
    <x v="1"/>
    <x v="208"/>
    <m/>
    <m/>
    <n v="7.6152021232728795E-2"/>
    <n v="7.6152021232728804E-5"/>
    <n v="1.95261592904433E-3"/>
    <n v="1.9526159290443301E-6"/>
  </r>
  <r>
    <x v="0"/>
    <x v="0"/>
    <x v="0"/>
    <x v="9"/>
    <x v="20"/>
    <s v="SE4_OTHER"/>
    <x v="4"/>
    <x v="108"/>
    <m/>
    <m/>
    <m/>
    <m/>
    <m/>
    <m/>
  </r>
  <r>
    <x v="0"/>
    <x v="0"/>
    <x v="0"/>
    <x v="9"/>
    <x v="20"/>
    <s v="SE4_OTHER"/>
    <x v="5"/>
    <x v="94"/>
    <m/>
    <m/>
    <m/>
    <m/>
    <m/>
    <m/>
  </r>
  <r>
    <x v="0"/>
    <x v="0"/>
    <x v="0"/>
    <x v="9"/>
    <x v="20"/>
    <s v="SE4_OTHER"/>
    <x v="5"/>
    <x v="232"/>
    <m/>
    <m/>
    <m/>
    <m/>
    <m/>
    <m/>
  </r>
  <r>
    <x v="0"/>
    <x v="0"/>
    <x v="0"/>
    <x v="9"/>
    <x v="20"/>
    <s v="SE4_OTHER"/>
    <x v="10"/>
    <x v="236"/>
    <m/>
    <m/>
    <n v="0.23674993849387099"/>
    <n v="2.3674993849387099E-4"/>
    <n v="3.78799901590193E-2"/>
    <n v="3.7879990159019298E-5"/>
  </r>
  <r>
    <x v="0"/>
    <x v="0"/>
    <x v="0"/>
    <x v="9"/>
    <x v="20"/>
    <s v="SE4_OTHER"/>
    <x v="10"/>
    <x v="111"/>
    <m/>
    <m/>
    <n v="0.142687099911951"/>
    <n v="1.4268709991195101E-4"/>
    <n v="2.2829935985912101E-2"/>
    <n v="2.2829935985912099E-5"/>
  </r>
  <r>
    <x v="0"/>
    <x v="0"/>
    <x v="0"/>
    <x v="10"/>
    <x v="21"/>
    <s v="UK_A"/>
    <x v="11"/>
    <x v="259"/>
    <m/>
    <m/>
    <n v="0.320028399952415"/>
    <n v="3.2002839995241502E-4"/>
    <n v="5.12045439923864E-2"/>
    <n v="5.1204543992386401E-5"/>
  </r>
  <r>
    <x v="0"/>
    <x v="0"/>
    <x v="0"/>
    <x v="10"/>
    <x v="21"/>
    <s v="UK_A"/>
    <x v="0"/>
    <x v="260"/>
    <n v="1000"/>
    <n v="1"/>
    <n v="7.5475687103594096"/>
    <n v="7.5475687103594103E-3"/>
    <n v="3.1712473572938701E-2"/>
    <n v="3.1712473572938701E-5"/>
  </r>
  <r>
    <x v="0"/>
    <x v="0"/>
    <x v="0"/>
    <x v="10"/>
    <x v="21"/>
    <s v="UK_A"/>
    <x v="1"/>
    <x v="202"/>
    <m/>
    <m/>
    <n v="-979.55385216000002"/>
    <n v="-0.97955385215999902"/>
    <n v="0.25418015999999999"/>
    <n v="2.5418016000000002E-4"/>
  </r>
  <r>
    <x v="0"/>
    <x v="0"/>
    <x v="0"/>
    <x v="10"/>
    <x v="21"/>
    <s v="UK_A"/>
    <x v="2"/>
    <x v="261"/>
    <m/>
    <m/>
    <m/>
    <m/>
    <n v="0.56107692981621204"/>
    <n v="5.6107692981621304E-4"/>
  </r>
  <r>
    <x v="0"/>
    <x v="0"/>
    <x v="0"/>
    <x v="10"/>
    <x v="21"/>
    <s v="UK_A"/>
    <x v="2"/>
    <x v="262"/>
    <m/>
    <m/>
    <m/>
    <m/>
    <n v="0.36265174634032499"/>
    <n v="3.6265174634032398E-4"/>
  </r>
  <r>
    <x v="0"/>
    <x v="0"/>
    <x v="0"/>
    <x v="10"/>
    <x v="21"/>
    <s v="UK_A"/>
    <x v="2"/>
    <x v="263"/>
    <m/>
    <m/>
    <m/>
    <m/>
    <n v="0.51020742857142898"/>
    <n v="5.1020742857142904E-4"/>
  </r>
  <r>
    <x v="0"/>
    <x v="0"/>
    <x v="0"/>
    <x v="10"/>
    <x v="21"/>
    <s v="UK_A"/>
    <x v="2"/>
    <x v="264"/>
    <m/>
    <m/>
    <m/>
    <m/>
    <n v="2.3795345454545501E-2"/>
    <n v="2.3795345454545502E-5"/>
  </r>
  <r>
    <x v="0"/>
    <x v="0"/>
    <x v="0"/>
    <x v="10"/>
    <x v="21"/>
    <s v="UK_A"/>
    <x v="2"/>
    <x v="148"/>
    <m/>
    <m/>
    <m/>
    <m/>
    <n v="1.7256817714823E-2"/>
    <n v="1.7256817714823E-5"/>
  </r>
  <r>
    <x v="0"/>
    <x v="0"/>
    <x v="0"/>
    <x v="10"/>
    <x v="21"/>
    <s v="UK_A"/>
    <x v="2"/>
    <x v="265"/>
    <m/>
    <m/>
    <m/>
    <m/>
    <n v="3.5239074303176299E-2"/>
    <n v="3.5239074303176302E-5"/>
  </r>
  <r>
    <x v="0"/>
    <x v="0"/>
    <x v="0"/>
    <x v="10"/>
    <x v="21"/>
    <s v="UK_A"/>
    <x v="2"/>
    <x v="266"/>
    <m/>
    <m/>
    <m/>
    <m/>
    <n v="1.1457044334975399E-2"/>
    <n v="1.1457044334975401E-5"/>
  </r>
  <r>
    <x v="0"/>
    <x v="0"/>
    <x v="0"/>
    <x v="10"/>
    <x v="21"/>
    <s v="UK_A"/>
    <x v="18"/>
    <x v="161"/>
    <m/>
    <m/>
    <m/>
    <m/>
    <m/>
    <m/>
  </r>
  <r>
    <x v="0"/>
    <x v="0"/>
    <x v="0"/>
    <x v="10"/>
    <x v="21"/>
    <s v="UK_A"/>
    <x v="6"/>
    <x v="45"/>
    <m/>
    <m/>
    <m/>
    <m/>
    <m/>
    <m/>
  </r>
  <r>
    <x v="0"/>
    <x v="0"/>
    <x v="0"/>
    <x v="10"/>
    <x v="21"/>
    <s v="UK_A"/>
    <x v="7"/>
    <x v="200"/>
    <m/>
    <m/>
    <m/>
    <m/>
    <m/>
    <m/>
  </r>
  <r>
    <x v="0"/>
    <x v="0"/>
    <x v="0"/>
    <x v="10"/>
    <x v="21"/>
    <s v="UK_A"/>
    <x v="7"/>
    <x v="46"/>
    <m/>
    <m/>
    <m/>
    <m/>
    <m/>
    <m/>
  </r>
  <r>
    <x v="0"/>
    <x v="0"/>
    <x v="0"/>
    <x v="10"/>
    <x v="21"/>
    <s v="UK_A"/>
    <x v="8"/>
    <x v="47"/>
    <m/>
    <m/>
    <m/>
    <m/>
    <m/>
    <m/>
  </r>
  <r>
    <x v="0"/>
    <x v="0"/>
    <x v="0"/>
    <x v="10"/>
    <x v="21"/>
    <s v="UK_Offshore"/>
    <x v="8"/>
    <x v="48"/>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G6" firstHeaderRow="1" firstDataRow="3" firstDataCol="4" rowPageCount="1" colPageCount="1"/>
  <pivotFields count="8">
    <pivotField axis="axisCol"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axis="axisCol"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colFields count="2">
    <field x="0"/>
    <field x="4"/>
  </colFields>
  <pageFields count="1">
    <pageField fld="3" hier="-1"/>
  </pageFields>
  <dataFields count="1">
    <dataField name="Average of OMONEY/MWh" fld="7" subtotal="average" baseField="4"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6" firstHeaderRow="1" firstDataRow="2" firstDataCol="4" rowPageCount="2" colPageCount="1"/>
  <pivotFields count="10">
    <pivotField axis="axisPage"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colFields count="1">
    <field x="5"/>
  </colFields>
  <pageFields count="2">
    <pageField fld="0" hier="-1"/>
    <pageField fld="3" hier="-1"/>
  </pageFields>
  <dataFields count="1">
    <dataField name="Sum of OMONEY/MWh" fld="9"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M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5"/>
        <item h="1" x="12"/>
        <item x="7"/>
        <item x="2"/>
        <item x="1"/>
        <item x="6"/>
        <item x="14"/>
        <item x="13"/>
        <item x="11"/>
        <item x="10"/>
        <item x="3"/>
        <item x="4"/>
        <item x="15"/>
        <item x="16"/>
        <item h="1" x="9"/>
        <item h="1" x="0"/>
        <item h="1" x="8"/>
        <item h="1"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9">
    <i>
      <x/>
    </i>
    <i>
      <x v="2"/>
    </i>
    <i>
      <x v="3"/>
    </i>
    <i>
      <x v="4"/>
    </i>
    <i>
      <x v="5"/>
    </i>
    <i>
      <x v="8"/>
    </i>
    <i>
      <x v="9"/>
    </i>
    <i>
      <x v="12"/>
    </i>
    <i t="grand">
      <x/>
    </i>
  </colItems>
  <pageFields count="1">
    <pageField fld="0" item="0" hier="-1"/>
  </pageFields>
  <dataFields count="1">
    <dataField name="Sum of TWh" fld="9" baseField="0" baseItem="0"/>
  </dataFields>
  <formats count="3">
    <format dxfId="2">
      <pivotArea collapsedLevelsAreSubtotals="1" fieldPosition="0">
        <references count="1">
          <reference field="6" count="1">
            <x v="0"/>
          </reference>
        </references>
      </pivotArea>
    </format>
    <format dxfId="1">
      <pivotArea collapsedLevelsAreSubtotals="1" fieldPosition="0">
        <references count="1">
          <reference field="6" count="1">
            <x v="1"/>
          </reference>
        </references>
      </pivotArea>
    </format>
    <format dxfId="0">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1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O31"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9">
        <item x="0"/>
        <item x="2"/>
        <item x="8"/>
        <item x="6"/>
        <item x="1"/>
        <item x="7"/>
        <item x="4"/>
        <item x="3"/>
        <item x="5"/>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7"/>
  </colFields>
  <colItems count="10">
    <i>
      <x/>
    </i>
    <i>
      <x v="1"/>
    </i>
    <i>
      <x v="2"/>
    </i>
    <i>
      <x v="3"/>
    </i>
    <i>
      <x v="4"/>
    </i>
    <i>
      <x v="5"/>
    </i>
    <i>
      <x v="6"/>
    </i>
    <i>
      <x v="7"/>
    </i>
    <i>
      <x v="8"/>
    </i>
    <i t="grand">
      <x/>
    </i>
  </colItems>
  <pageFields count="2">
    <pageField fld="0" hier="-1"/>
    <pageField fld="3"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O13"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3"/>
        <item x="6"/>
        <item x="8"/>
        <item x="1"/>
        <item x="5"/>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6">
        <item x="12"/>
        <item x="3"/>
        <item x="9"/>
        <item x="6"/>
        <item h="1" x="2"/>
        <item x="4"/>
        <item x="5"/>
        <item x="7"/>
        <item x="14"/>
        <item x="15"/>
        <item x="10"/>
        <item h="1" x="13"/>
        <item h="1" x="0"/>
        <item h="1" x="1"/>
        <item h="1" x="8"/>
        <item h="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10">
    <i>
      <x/>
      <x/>
      <x/>
    </i>
    <i>
      <x v="1"/>
      <x/>
      <x/>
    </i>
    <i>
      <x v="2"/>
      <x/>
      <x/>
    </i>
    <i>
      <x v="3"/>
      <x/>
      <x/>
    </i>
    <i>
      <x v="4"/>
      <x/>
      <x/>
    </i>
    <i>
      <x v="5"/>
      <x/>
      <x/>
    </i>
    <i>
      <x v="6"/>
      <x/>
      <x/>
    </i>
    <i>
      <x v="7"/>
      <x/>
      <x/>
    </i>
    <i>
      <x v="8"/>
      <x/>
      <x/>
    </i>
    <i t="grand">
      <x/>
    </i>
  </rowItems>
  <colFields count="1">
    <field x="6"/>
  </colFields>
  <colItems count="11">
    <i>
      <x/>
    </i>
    <i>
      <x v="1"/>
    </i>
    <i>
      <x v="2"/>
    </i>
    <i>
      <x v="3"/>
    </i>
    <i>
      <x v="5"/>
    </i>
    <i>
      <x v="6"/>
    </i>
    <i>
      <x v="7"/>
    </i>
    <i>
      <x v="8"/>
    </i>
    <i>
      <x v="9"/>
    </i>
    <i>
      <x v="10"/>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U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9">
        <item x="0"/>
        <item x="1"/>
        <item x="3"/>
        <item x="5"/>
        <item x="6"/>
        <item x="8"/>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6">
        <item x="12"/>
        <item x="3"/>
        <item x="9"/>
        <item x="6"/>
        <item x="2"/>
        <item x="4"/>
        <item x="5"/>
        <item x="7"/>
        <item x="14"/>
        <item x="15"/>
        <item x="10"/>
        <item x="13"/>
        <item x="0"/>
        <item x="1"/>
        <item x="8"/>
        <item x="1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7">
    <i>
      <x/>
    </i>
    <i>
      <x v="1"/>
    </i>
    <i>
      <x v="2"/>
    </i>
    <i>
      <x v="3"/>
    </i>
    <i>
      <x v="4"/>
    </i>
    <i>
      <x v="5"/>
    </i>
    <i>
      <x v="6"/>
    </i>
    <i>
      <x v="7"/>
    </i>
    <i>
      <x v="8"/>
    </i>
    <i>
      <x v="9"/>
    </i>
    <i>
      <x v="10"/>
    </i>
    <i>
      <x v="11"/>
    </i>
    <i>
      <x v="12"/>
    </i>
    <i>
      <x v="13"/>
    </i>
    <i>
      <x v="14"/>
    </i>
    <i>
      <x v="15"/>
    </i>
    <i t="grand">
      <x/>
    </i>
  </colItems>
  <pageFields count="1">
    <pageField fld="3" hier="-1"/>
  </pageFields>
  <dataFields count="1">
    <dataField name="Sum of MW" fld="10" baseField="0" baseItem="0"/>
  </dataFields>
  <chartFormats count="12">
    <chartFormat chart="1" format="93" series="1">
      <pivotArea type="data" outline="0" fieldPosition="0">
        <references count="1">
          <reference field="4294967294" count="1" selected="0">
            <x v="0"/>
          </reference>
        </references>
      </pivotArea>
    </chartFormat>
    <chartFormat chart="1" format="115" series="1">
      <pivotArea type="data" outline="0" fieldPosition="0">
        <references count="2">
          <reference field="4294967294" count="1" selected="0">
            <x v="0"/>
          </reference>
          <reference field="6" count="1" selected="0">
            <x v="0"/>
          </reference>
        </references>
      </pivotArea>
    </chartFormat>
    <chartFormat chart="1" format="118" series="1">
      <pivotArea type="data" outline="0" fieldPosition="0">
        <references count="2">
          <reference field="4294967294" count="1" selected="0">
            <x v="0"/>
          </reference>
          <reference field="6" count="1" selected="0">
            <x v="1"/>
          </reference>
        </references>
      </pivotArea>
    </chartFormat>
    <chartFormat chart="1" format="126" series="1">
      <pivotArea type="data" outline="0" fieldPosition="0">
        <references count="2">
          <reference field="4294967294" count="1" selected="0">
            <x v="0"/>
          </reference>
          <reference field="6" count="1" selected="0">
            <x v="2"/>
          </reference>
        </references>
      </pivotArea>
    </chartFormat>
    <chartFormat chart="1" format="166" series="1">
      <pivotArea type="data" outline="0" fieldPosition="0">
        <references count="2">
          <reference field="4294967294" count="1" selected="0">
            <x v="0"/>
          </reference>
          <reference field="6" count="1" selected="0">
            <x v="3"/>
          </reference>
        </references>
      </pivotArea>
    </chartFormat>
    <chartFormat chart="1" format="174" series="1">
      <pivotArea type="data" outline="0" fieldPosition="0">
        <references count="2">
          <reference field="4294967294" count="1" selected="0">
            <x v="0"/>
          </reference>
          <reference field="6" count="1" selected="0">
            <x v="4"/>
          </reference>
        </references>
      </pivotArea>
    </chartFormat>
    <chartFormat chart="1" format="180" series="1">
      <pivotArea type="data" outline="0" fieldPosition="0">
        <references count="2">
          <reference field="4294967294" count="1" selected="0">
            <x v="0"/>
          </reference>
          <reference field="6" count="1" selected="0">
            <x v="5"/>
          </reference>
        </references>
      </pivotArea>
    </chartFormat>
    <chartFormat chart="1" format="181" series="1">
      <pivotArea type="data" outline="0" fieldPosition="0">
        <references count="2">
          <reference field="4294967294" count="1" selected="0">
            <x v="0"/>
          </reference>
          <reference field="6" count="1" selected="0">
            <x v="6"/>
          </reference>
        </references>
      </pivotArea>
    </chartFormat>
    <chartFormat chart="1" format="182" series="1">
      <pivotArea type="data" outline="0" fieldPosition="0">
        <references count="2">
          <reference field="4294967294" count="1" selected="0">
            <x v="0"/>
          </reference>
          <reference field="6" count="1" selected="0">
            <x v="7"/>
          </reference>
        </references>
      </pivotArea>
    </chartFormat>
    <chartFormat chart="1" format="184" series="1">
      <pivotArea type="data" outline="0" fieldPosition="0">
        <references count="2">
          <reference field="4294967294" count="1" selected="0">
            <x v="0"/>
          </reference>
          <reference field="6" count="1" selected="0">
            <x v="8"/>
          </reference>
        </references>
      </pivotArea>
    </chartFormat>
    <chartFormat chart="1" format="186" series="1">
      <pivotArea type="data" outline="0" fieldPosition="0">
        <references count="2">
          <reference field="4294967294" count="1" selected="0">
            <x v="0"/>
          </reference>
          <reference field="6" count="1" selected="0">
            <x v="9"/>
          </reference>
        </references>
      </pivotArea>
    </chartFormat>
    <chartFormat chart="1" format="196"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P32" firstHeaderRow="1" firstDataRow="4" firstDataCol="2"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1">
        <item x="0"/>
        <item h="1"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1">
        <item h="1" x="8"/>
        <item h="1" x="0"/>
        <item h="1" x="1"/>
        <item h="1" x="17"/>
        <item h="1" x="18"/>
        <item h="1" x="19"/>
        <item h="1" x="2"/>
        <item x="3"/>
        <item h="1" x="15"/>
        <item h="1" x="16"/>
        <item h="1" x="20"/>
        <item h="1" x="4"/>
        <item h="1" x="5"/>
        <item h="1" x="9"/>
        <item h="1" x="10"/>
        <item h="1" x="13"/>
        <item h="1" x="6"/>
        <item h="1" x="7"/>
        <item h="1" x="11"/>
        <item h="1" x="12"/>
        <item h="1" x="14"/>
      </items>
      <extLst>
        <ext xmlns:x14="http://schemas.microsoft.com/office/spreadsheetml/2009/9/main" uri="{2946ED86-A175-432a-8AC1-64E0C546D7DE}">
          <x14:pivotField fillDownLabels="1"/>
        </ext>
      </extLst>
    </pivotField>
    <pivotField axis="axisCol" compact="0" outline="0" showAll="0" defaultSubtotal="0">
      <items count="221">
        <item x="146"/>
        <item x="151"/>
        <item x="155"/>
        <item x="158"/>
        <item x="187"/>
        <item x="105"/>
        <item x="138"/>
        <item x="175"/>
        <item x="217"/>
        <item x="196"/>
        <item x="215"/>
        <item x="209"/>
        <item x="200"/>
        <item x="212"/>
        <item x="201"/>
        <item x="207"/>
        <item x="213"/>
        <item x="139"/>
        <item x="114"/>
        <item x="205"/>
        <item x="194"/>
        <item x="197"/>
        <item x="123"/>
        <item x="124"/>
        <item x="210"/>
        <item x="195"/>
        <item x="193"/>
        <item x="199"/>
        <item x="203"/>
        <item x="211"/>
        <item x="116"/>
        <item x="125"/>
        <item x="204"/>
        <item x="140"/>
        <item x="127"/>
        <item x="141"/>
        <item x="208"/>
        <item x="126"/>
        <item x="206"/>
        <item x="198"/>
        <item x="119"/>
        <item x="177"/>
        <item x="180"/>
        <item x="176"/>
        <item x="117"/>
        <item x="202"/>
        <item x="214"/>
        <item x="120"/>
        <item x="115"/>
        <item x="121"/>
        <item x="122"/>
        <item x="35"/>
        <item x="150"/>
        <item x="0"/>
        <item x="1"/>
        <item x="86"/>
        <item x="38"/>
        <item x="10"/>
        <item x="11"/>
        <item x="12"/>
        <item x="13"/>
        <item x="39"/>
        <item x="14"/>
        <item x="152"/>
        <item x="188"/>
        <item x="27"/>
        <item x="28"/>
        <item x="191"/>
        <item x="31"/>
        <item x="61"/>
        <item x="62"/>
        <item x="46"/>
        <item x="63"/>
        <item x="64"/>
        <item x="65"/>
        <item x="66"/>
        <item x="95"/>
        <item x="67"/>
        <item x="33"/>
        <item x="34"/>
        <item x="70"/>
        <item x="71"/>
        <item x="89"/>
        <item x="72"/>
        <item x="73"/>
        <item x="74"/>
        <item x="75"/>
        <item x="76"/>
        <item x="77"/>
        <item x="153"/>
        <item x="173"/>
        <item x="220"/>
        <item x="170"/>
        <item x="30"/>
        <item x="53"/>
        <item x="2"/>
        <item x="47"/>
        <item x="36"/>
        <item x="48"/>
        <item x="49"/>
        <item x="3"/>
        <item x="4"/>
        <item x="37"/>
        <item x="5"/>
        <item x="6"/>
        <item x="7"/>
        <item x="8"/>
        <item x="9"/>
        <item x="142"/>
        <item x="90"/>
        <item x="91"/>
        <item x="54"/>
        <item x="55"/>
        <item x="143"/>
        <item x="165"/>
        <item x="102"/>
        <item x="149"/>
        <item x="45"/>
        <item x="160"/>
        <item x="56"/>
        <item x="156"/>
        <item x="128"/>
        <item x="129"/>
        <item x="130"/>
        <item x="131"/>
        <item x="132"/>
        <item x="133"/>
        <item x="134"/>
        <item x="135"/>
        <item x="136"/>
        <item x="137"/>
        <item x="178"/>
        <item x="57"/>
        <item x="157"/>
        <item x="144"/>
        <item x="181"/>
        <item x="145"/>
        <item x="218"/>
        <item x="219"/>
        <item x="96"/>
        <item x="182"/>
        <item x="79"/>
        <item x="40"/>
        <item x="15"/>
        <item x="16"/>
        <item x="41"/>
        <item x="42"/>
        <item x="17"/>
        <item x="18"/>
        <item x="84"/>
        <item x="43"/>
        <item x="19"/>
        <item x="85"/>
        <item x="147"/>
        <item x="148"/>
        <item x="172"/>
        <item x="154"/>
        <item x="189"/>
        <item x="44"/>
        <item x="92"/>
        <item x="29"/>
        <item x="93"/>
        <item x="94"/>
        <item x="161"/>
        <item x="113"/>
        <item x="174"/>
        <item x="167"/>
        <item x="192"/>
        <item x="78"/>
        <item x="68"/>
        <item x="32"/>
        <item x="81"/>
        <item x="51"/>
        <item x="52"/>
        <item x="82"/>
        <item x="69"/>
        <item x="83"/>
        <item x="100"/>
        <item x="59"/>
        <item x="58"/>
        <item x="98"/>
        <item x="107"/>
        <item x="163"/>
        <item x="164"/>
        <item x="166"/>
        <item x="190"/>
        <item x="109"/>
        <item x="99"/>
        <item x="104"/>
        <item x="162"/>
        <item x="168"/>
        <item x="106"/>
        <item x="186"/>
        <item x="112"/>
        <item x="110"/>
        <item x="111"/>
        <item x="169"/>
        <item x="171"/>
        <item x="20"/>
        <item x="21"/>
        <item x="22"/>
        <item x="23"/>
        <item x="24"/>
        <item x="25"/>
        <item x="26"/>
        <item x="50"/>
        <item x="60"/>
        <item x="80"/>
        <item x="87"/>
        <item x="88"/>
        <item x="97"/>
        <item x="101"/>
        <item x="103"/>
        <item x="108"/>
        <item x="118"/>
        <item x="159"/>
        <item x="179"/>
        <item x="183"/>
        <item x="184"/>
        <item x="185"/>
        <item x="216"/>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3">
    <field x="3"/>
    <field x="6"/>
    <field x="7"/>
  </colFields>
  <colItems count="13">
    <i>
      <x/>
      <x v="7"/>
      <x v="198"/>
    </i>
    <i r="2">
      <x v="199"/>
    </i>
    <i r="2">
      <x v="200"/>
    </i>
    <i r="2">
      <x v="201"/>
    </i>
    <i r="2">
      <x v="202"/>
    </i>
    <i r="2">
      <x v="203"/>
    </i>
    <i r="2">
      <x v="204"/>
    </i>
    <i r="2">
      <x v="205"/>
    </i>
    <i r="2">
      <x v="206"/>
    </i>
    <i r="2">
      <x v="207"/>
    </i>
    <i r="2">
      <x v="208"/>
    </i>
    <i r="2">
      <x v="209"/>
    </i>
    <i t="grand">
      <x/>
    </i>
  </colItems>
  <pageFields count="1">
    <pageField fld="1" hier="-1"/>
  </pageFields>
  <dataFields count="1">
    <dataField name="Sum of GJ" fld="12" baseField="0" baseItem="0"/>
  </dataFields>
  <chartFormats count="12">
    <chartFormat chart="0" format="35" series="1">
      <pivotArea type="data" outline="0" fieldPosition="0">
        <references count="4">
          <reference field="4294967294" count="1" selected="0">
            <x v="0"/>
          </reference>
          <reference field="3" count="1" selected="0">
            <x v="0"/>
          </reference>
          <reference field="6" count="1" selected="0">
            <x v="7"/>
          </reference>
          <reference field="7" count="1" selected="0">
            <x v="198"/>
          </reference>
        </references>
      </pivotArea>
    </chartFormat>
    <chartFormat chart="0" format="36" series="1">
      <pivotArea type="data" outline="0" fieldPosition="0">
        <references count="4">
          <reference field="4294967294" count="1" selected="0">
            <x v="0"/>
          </reference>
          <reference field="3" count="1" selected="0">
            <x v="0"/>
          </reference>
          <reference field="6" count="1" selected="0">
            <x v="7"/>
          </reference>
          <reference field="7" count="1" selected="0">
            <x v="199"/>
          </reference>
        </references>
      </pivotArea>
    </chartFormat>
    <chartFormat chart="0" format="37" series="1">
      <pivotArea type="data" outline="0" fieldPosition="0">
        <references count="4">
          <reference field="4294967294" count="1" selected="0">
            <x v="0"/>
          </reference>
          <reference field="3" count="1" selected="0">
            <x v="0"/>
          </reference>
          <reference field="6" count="1" selected="0">
            <x v="7"/>
          </reference>
          <reference field="7" count="1" selected="0">
            <x v="200"/>
          </reference>
        </references>
      </pivotArea>
    </chartFormat>
    <chartFormat chart="0" format="38" series="1">
      <pivotArea type="data" outline="0" fieldPosition="0">
        <references count="4">
          <reference field="4294967294" count="1" selected="0">
            <x v="0"/>
          </reference>
          <reference field="3" count="1" selected="0">
            <x v="0"/>
          </reference>
          <reference field="6" count="1" selected="0">
            <x v="7"/>
          </reference>
          <reference field="7" count="1" selected="0">
            <x v="201"/>
          </reference>
        </references>
      </pivotArea>
    </chartFormat>
    <chartFormat chart="0" format="39" series="1">
      <pivotArea type="data" outline="0" fieldPosition="0">
        <references count="4">
          <reference field="4294967294" count="1" selected="0">
            <x v="0"/>
          </reference>
          <reference field="3" count="1" selected="0">
            <x v="0"/>
          </reference>
          <reference field="6" count="1" selected="0">
            <x v="7"/>
          </reference>
          <reference field="7" count="1" selected="0">
            <x v="202"/>
          </reference>
        </references>
      </pivotArea>
    </chartFormat>
    <chartFormat chart="0" format="40" series="1">
      <pivotArea type="data" outline="0" fieldPosition="0">
        <references count="4">
          <reference field="4294967294" count="1" selected="0">
            <x v="0"/>
          </reference>
          <reference field="3" count="1" selected="0">
            <x v="0"/>
          </reference>
          <reference field="6" count="1" selected="0">
            <x v="7"/>
          </reference>
          <reference field="7" count="1" selected="0">
            <x v="203"/>
          </reference>
        </references>
      </pivotArea>
    </chartFormat>
    <chartFormat chart="0" format="41" series="1">
      <pivotArea type="data" outline="0" fieldPosition="0">
        <references count="4">
          <reference field="4294967294" count="1" selected="0">
            <x v="0"/>
          </reference>
          <reference field="3" count="1" selected="0">
            <x v="0"/>
          </reference>
          <reference field="6" count="1" selected="0">
            <x v="7"/>
          </reference>
          <reference field="7" count="1" selected="0">
            <x v="204"/>
          </reference>
        </references>
      </pivotArea>
    </chartFormat>
    <chartFormat chart="0" format="42" series="1">
      <pivotArea type="data" outline="0" fieldPosition="0">
        <references count="4">
          <reference field="4294967294" count="1" selected="0">
            <x v="0"/>
          </reference>
          <reference field="3" count="1" selected="0">
            <x v="0"/>
          </reference>
          <reference field="6" count="1" selected="0">
            <x v="7"/>
          </reference>
          <reference field="7" count="1" selected="0">
            <x v="205"/>
          </reference>
        </references>
      </pivotArea>
    </chartFormat>
    <chartFormat chart="0" format="43" series="1">
      <pivotArea type="data" outline="0" fieldPosition="0">
        <references count="4">
          <reference field="4294967294" count="1" selected="0">
            <x v="0"/>
          </reference>
          <reference field="3" count="1" selected="0">
            <x v="0"/>
          </reference>
          <reference field="6" count="1" selected="0">
            <x v="7"/>
          </reference>
          <reference field="7" count="1" selected="0">
            <x v="206"/>
          </reference>
        </references>
      </pivotArea>
    </chartFormat>
    <chartFormat chart="0" format="44" series="1">
      <pivotArea type="data" outline="0" fieldPosition="0">
        <references count="4">
          <reference field="4294967294" count="1" selected="0">
            <x v="0"/>
          </reference>
          <reference field="3" count="1" selected="0">
            <x v="0"/>
          </reference>
          <reference field="6" count="1" selected="0">
            <x v="7"/>
          </reference>
          <reference field="7" count="1" selected="0">
            <x v="207"/>
          </reference>
        </references>
      </pivotArea>
    </chartFormat>
    <chartFormat chart="0" format="45" series="1">
      <pivotArea type="data" outline="0" fieldPosition="0">
        <references count="4">
          <reference field="4294967294" count="1" selected="0">
            <x v="0"/>
          </reference>
          <reference field="3" count="1" selected="0">
            <x v="0"/>
          </reference>
          <reference field="6" count="1" selected="0">
            <x v="7"/>
          </reference>
          <reference field="7" count="1" selected="0">
            <x v="208"/>
          </reference>
        </references>
      </pivotArea>
    </chartFormat>
    <chartFormat chart="0" format="46" series="1">
      <pivotArea type="data" outline="0" fieldPosition="0">
        <references count="4">
          <reference field="4294967294" count="1" selected="0">
            <x v="0"/>
          </reference>
          <reference field="3" count="1" selected="0">
            <x v="0"/>
          </reference>
          <reference field="6" count="1" selected="0">
            <x v="7"/>
          </reference>
          <reference field="7" count="1" selected="0">
            <x v="20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X17" firstHeaderRow="1" firstDataRow="2" firstDataCol="1" rowPageCount="2" colPageCount="1"/>
  <pivotFields count="10">
    <pivotField showAll="0"/>
    <pivotField axis="axisPage" showAll="0">
      <items count="2">
        <item x="0"/>
        <item t="default"/>
      </items>
    </pivotField>
    <pivotField axis="axisPage" showAll="0" defaultSubtotal="0">
      <items count="1">
        <item x="0"/>
      </items>
    </pivotField>
    <pivotField axis="axisRow" showAll="0">
      <items count="12">
        <item x="0"/>
        <item x="3"/>
        <item x="7"/>
        <item x="9"/>
        <item x="6"/>
        <item x="10"/>
        <item x="1"/>
        <item x="4"/>
        <item x="5"/>
        <item x="8"/>
        <item x="2"/>
        <item t="default"/>
      </items>
    </pivotField>
    <pivotField showAll="0"/>
    <pivotField showAll="0"/>
    <pivotField axis="axisCol" showAll="0">
      <items count="22">
        <item x="8"/>
        <item x="17"/>
        <item x="10"/>
        <item x="3"/>
        <item x="2"/>
        <item x="11"/>
        <item x="5"/>
        <item x="9"/>
        <item x="16"/>
        <item x="13"/>
        <item x="4"/>
        <item x="6"/>
        <item x="18"/>
        <item x="19"/>
        <item x="20"/>
        <item x="12"/>
        <item x="15"/>
        <item x="0"/>
        <item x="1"/>
        <item x="7"/>
        <item x="14"/>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2">
    <i>
      <x/>
    </i>
    <i>
      <x v="1"/>
    </i>
    <i>
      <x v="2"/>
    </i>
    <i>
      <x v="3"/>
    </i>
    <i>
      <x v="4"/>
    </i>
    <i>
      <x v="5"/>
    </i>
    <i>
      <x v="6"/>
    </i>
    <i>
      <x v="7"/>
    </i>
    <i>
      <x v="8"/>
    </i>
    <i>
      <x v="9"/>
    </i>
    <i>
      <x v="10"/>
    </i>
    <i>
      <x v="11"/>
    </i>
    <i>
      <x v="12"/>
    </i>
    <i>
      <x v="13"/>
    </i>
    <i>
      <x v="14"/>
    </i>
    <i>
      <x v="15"/>
    </i>
    <i>
      <x v="16"/>
    </i>
    <i>
      <x v="17"/>
    </i>
    <i>
      <x v="18"/>
    </i>
    <i>
      <x v="19"/>
    </i>
    <i>
      <x v="20"/>
    </i>
    <i t="grand">
      <x/>
    </i>
  </colItems>
  <pageFields count="2">
    <pageField fld="1" item="0" hier="-1"/>
    <pageField fld="2" item="0" hier="-1"/>
  </pageFields>
  <dataFields count="1">
    <dataField name="Sum of TWh" fld="8" baseField="0" baseItem="0"/>
  </dataFields>
  <chartFormats count="23">
    <chartFormat chart="0" format="21" series="1">
      <pivotArea type="data" outline="0" fieldPosition="0">
        <references count="1">
          <reference field="6" count="1" selected="0">
            <x v="0"/>
          </reference>
        </references>
      </pivotArea>
    </chartFormat>
    <chartFormat chart="0" format="27" series="1">
      <pivotArea type="data" outline="0" fieldPosition="0">
        <references count="1">
          <reference field="6" count="1" selected="0">
            <x v="1"/>
          </reference>
        </references>
      </pivotArea>
    </chartFormat>
    <chartFormat chart="0" format="37" series="1">
      <pivotArea type="data" outline="0" fieldPosition="0">
        <references count="1">
          <reference field="6" count="1" selected="0">
            <x v="2"/>
          </reference>
        </references>
      </pivotArea>
    </chartFormat>
    <chartFormat chart="0" format="63" series="1">
      <pivotArea type="data" outline="0" fieldPosition="0">
        <references count="2">
          <reference field="4294967294" count="1" selected="0">
            <x v="0"/>
          </reference>
          <reference field="6" count="1" selected="0">
            <x v="1"/>
          </reference>
        </references>
      </pivotArea>
    </chartFormat>
    <chartFormat chart="0" format="73" series="1">
      <pivotArea type="data" outline="0" fieldPosition="0">
        <references count="2">
          <reference field="4294967294" count="1" selected="0">
            <x v="0"/>
          </reference>
          <reference field="6" count="1" selected="0">
            <x v="2"/>
          </reference>
        </references>
      </pivotArea>
    </chartFormat>
    <chartFormat chart="0" format="78" series="1">
      <pivotArea type="data" outline="0" fieldPosition="0">
        <references count="2">
          <reference field="4294967294" count="1" selected="0">
            <x v="0"/>
          </reference>
          <reference field="6" count="1" selected="0">
            <x v="3"/>
          </reference>
        </references>
      </pivotArea>
    </chartFormat>
    <chartFormat chart="0" format="82" series="1">
      <pivotArea type="data" outline="0" fieldPosition="0">
        <references count="2">
          <reference field="4294967294" count="1" selected="0">
            <x v="0"/>
          </reference>
          <reference field="6" count="1" selected="0">
            <x v="4"/>
          </reference>
        </references>
      </pivotArea>
    </chartFormat>
    <chartFormat chart="0" format="84" series="1">
      <pivotArea type="data" outline="0" fieldPosition="0">
        <references count="2">
          <reference field="4294967294" count="1" selected="0">
            <x v="0"/>
          </reference>
          <reference field="6" count="1" selected="0">
            <x v="5"/>
          </reference>
        </references>
      </pivotArea>
    </chartFormat>
    <chartFormat chart="0" format="110" series="1">
      <pivotArea type="data" outline="0" fieldPosition="0">
        <references count="2">
          <reference field="4294967294" count="1" selected="0">
            <x v="0"/>
          </reference>
          <reference field="6" count="1" selected="0">
            <x v="6"/>
          </reference>
        </references>
      </pivotArea>
    </chartFormat>
    <chartFormat chart="0" format="112" series="1">
      <pivotArea type="data" outline="0" fieldPosition="0">
        <references count="2">
          <reference field="4294967294" count="1" selected="0">
            <x v="0"/>
          </reference>
          <reference field="6" count="1" selected="0">
            <x v="7"/>
          </reference>
        </references>
      </pivotArea>
    </chartFormat>
    <chartFormat chart="0" format="114" series="1">
      <pivotArea type="data" outline="0" fieldPosition="0">
        <references count="2">
          <reference field="4294967294" count="1" selected="0">
            <x v="0"/>
          </reference>
          <reference field="6" count="1" selected="0">
            <x v="8"/>
          </reference>
        </references>
      </pivotArea>
    </chartFormat>
    <chartFormat chart="0" format="122" series="1">
      <pivotArea type="data" outline="0" fieldPosition="0">
        <references count="2">
          <reference field="4294967294" count="1" selected="0">
            <x v="0"/>
          </reference>
          <reference field="6" count="1" selected="0">
            <x v="9"/>
          </reference>
        </references>
      </pivotArea>
    </chartFormat>
    <chartFormat chart="0" format="125" series="1">
      <pivotArea type="data" outline="0" fieldPosition="0">
        <references count="2">
          <reference field="4294967294" count="1" selected="0">
            <x v="0"/>
          </reference>
          <reference field="6" count="1" selected="0">
            <x v="10"/>
          </reference>
        </references>
      </pivotArea>
    </chartFormat>
    <chartFormat chart="0" format="126" series="1">
      <pivotArea type="data" outline="0" fieldPosition="0">
        <references count="2">
          <reference field="4294967294" count="1" selected="0">
            <x v="0"/>
          </reference>
          <reference field="6" count="1" selected="0">
            <x v="11"/>
          </reference>
        </references>
      </pivotArea>
    </chartFormat>
    <chartFormat chart="0" format="129" series="1">
      <pivotArea type="data" outline="0" fieldPosition="0">
        <references count="2">
          <reference field="4294967294" count="1" selected="0">
            <x v="0"/>
          </reference>
          <reference field="6" count="1" selected="0">
            <x v="12"/>
          </reference>
        </references>
      </pivotArea>
    </chartFormat>
    <chartFormat chart="0" format="130" series="1">
      <pivotArea type="data" outline="0" fieldPosition="0">
        <references count="2">
          <reference field="4294967294" count="1" selected="0">
            <x v="0"/>
          </reference>
          <reference field="6" count="1" selected="0">
            <x v="13"/>
          </reference>
        </references>
      </pivotArea>
    </chartFormat>
    <chartFormat chart="0" format="132" series="1">
      <pivotArea type="data" outline="0" fieldPosition="0">
        <references count="2">
          <reference field="4294967294" count="1" selected="0">
            <x v="0"/>
          </reference>
          <reference field="6" count="1" selected="0">
            <x v="14"/>
          </reference>
        </references>
      </pivotArea>
    </chartFormat>
    <chartFormat chart="0" format="143" series="1">
      <pivotArea type="data" outline="0" fieldPosition="0">
        <references count="2">
          <reference field="4294967294" count="1" selected="0">
            <x v="0"/>
          </reference>
          <reference field="6" count="1" selected="0">
            <x v="15"/>
          </reference>
        </references>
      </pivotArea>
    </chartFormat>
    <chartFormat chart="0" format="145" series="1">
      <pivotArea type="data" outline="0" fieldPosition="0">
        <references count="2">
          <reference field="4294967294" count="1" selected="0">
            <x v="0"/>
          </reference>
          <reference field="6" count="1" selected="0">
            <x v="16"/>
          </reference>
        </references>
      </pivotArea>
    </chartFormat>
    <chartFormat chart="0" format="148" series="1">
      <pivotArea type="data" outline="0" fieldPosition="0">
        <references count="2">
          <reference field="4294967294" count="1" selected="0">
            <x v="0"/>
          </reference>
          <reference field="6" count="1" selected="0">
            <x v="17"/>
          </reference>
        </references>
      </pivotArea>
    </chartFormat>
    <chartFormat chart="0" format="149" series="1">
      <pivotArea type="data" outline="0" fieldPosition="0">
        <references count="2">
          <reference field="4294967294" count="1" selected="0">
            <x v="0"/>
          </reference>
          <reference field="6" count="1" selected="0">
            <x v="18"/>
          </reference>
        </references>
      </pivotArea>
    </chartFormat>
    <chartFormat chart="0" format="150" series="1">
      <pivotArea type="data" outline="0" fieldPosition="0">
        <references count="2">
          <reference field="4294967294" count="1" selected="0">
            <x v="0"/>
          </reference>
          <reference field="6" count="1" selected="0">
            <x v="19"/>
          </reference>
        </references>
      </pivotArea>
    </chartFormat>
    <chartFormat chart="0" format="151" series="1">
      <pivotArea type="data" outline="0" fieldPosition="0">
        <references count="2">
          <reference field="4294967294" count="1" selected="0">
            <x v="0"/>
          </reference>
          <reference field="6"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2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H78" firstHeaderRow="0" firstDataRow="1" firstDataCol="4"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6"/>
        <item h="1" x="7"/>
        <item h="1" x="8"/>
        <item h="1" x="9"/>
        <item h="1" x="10"/>
        <item h="1" x="4"/>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67">
        <item x="206"/>
        <item x="81"/>
        <item x="75"/>
        <item x="0"/>
        <item x="57"/>
        <item x="65"/>
        <item x="70"/>
        <item x="74"/>
        <item x="82"/>
        <item x="106"/>
        <item x="107"/>
        <item x="154"/>
        <item x="157"/>
        <item x="158"/>
        <item x="201"/>
        <item x="205"/>
        <item x="211"/>
        <item x="212"/>
        <item x="213"/>
        <item x="214"/>
        <item x="215"/>
        <item x="216"/>
        <item x="229"/>
        <item x="237"/>
        <item x="247"/>
        <item x="2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6"/>
        <item x="67"/>
        <item x="68"/>
        <item x="69"/>
        <item x="71"/>
        <item x="72"/>
        <item x="73"/>
        <item x="76"/>
        <item x="77"/>
        <item x="78"/>
        <item x="79"/>
        <item x="80"/>
        <item x="83"/>
        <item x="84"/>
        <item x="85"/>
        <item x="86"/>
        <item x="87"/>
        <item x="88"/>
        <item x="89"/>
        <item x="90"/>
        <item x="91"/>
        <item x="92"/>
        <item x="93"/>
        <item x="94"/>
        <item x="95"/>
        <item x="96"/>
        <item x="97"/>
        <item x="98"/>
        <item x="99"/>
        <item x="100"/>
        <item x="101"/>
        <item x="102"/>
        <item x="103"/>
        <item x="104"/>
        <item x="105"/>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5"/>
        <item x="156"/>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2"/>
        <item x="203"/>
        <item x="204"/>
        <item x="207"/>
        <item x="208"/>
        <item x="209"/>
        <item x="210"/>
        <item x="217"/>
        <item x="218"/>
        <item x="219"/>
        <item x="220"/>
        <item x="221"/>
        <item x="222"/>
        <item x="223"/>
        <item x="224"/>
        <item x="225"/>
        <item x="226"/>
        <item x="227"/>
        <item x="228"/>
        <item x="230"/>
        <item x="231"/>
        <item x="232"/>
        <item x="233"/>
        <item x="234"/>
        <item x="235"/>
        <item x="236"/>
        <item x="238"/>
        <item x="239"/>
        <item x="240"/>
        <item x="241"/>
        <item x="242"/>
        <item x="243"/>
        <item x="244"/>
        <item x="245"/>
        <item x="246"/>
        <item x="248"/>
        <item x="249"/>
        <item x="250"/>
        <item x="251"/>
        <item x="252"/>
        <item x="253"/>
        <item x="254"/>
        <item x="255"/>
        <item x="256"/>
        <item x="257"/>
        <item x="258"/>
        <item x="259"/>
        <item x="261"/>
        <item x="262"/>
        <item x="263"/>
        <item x="264"/>
        <item x="265"/>
        <item x="266"/>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3"/>
    <field x="7"/>
  </rowFields>
  <rowItems count="75">
    <i>
      <x/>
      <x/>
      <x/>
      <x v="3"/>
    </i>
    <i r="3">
      <x v="4"/>
    </i>
    <i r="3">
      <x v="5"/>
    </i>
    <i r="3">
      <x v="6"/>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i r="3">
      <x v="77"/>
    </i>
    <i r="3">
      <x v="78"/>
    </i>
    <i r="3">
      <x v="79"/>
    </i>
    <i r="3">
      <x v="80"/>
    </i>
    <i r="3">
      <x v="81"/>
    </i>
    <i r="3">
      <x v="82"/>
    </i>
    <i r="3">
      <x v="83"/>
    </i>
    <i r="3">
      <x v="84"/>
    </i>
    <i r="3">
      <x v="85"/>
    </i>
    <i r="3">
      <x v="86"/>
    </i>
    <i r="3">
      <x v="87"/>
    </i>
    <i r="3">
      <x v="88"/>
    </i>
    <i r="3">
      <x v="89"/>
    </i>
    <i r="3">
      <x v="90"/>
    </i>
    <i r="3">
      <x v="91"/>
    </i>
    <i r="3">
      <x v="92"/>
    </i>
    <i r="3">
      <x v="93"/>
    </i>
    <i r="3">
      <x v="94"/>
    </i>
    <i r="3">
      <x v="95"/>
    </i>
    <i t="grand">
      <x/>
    </i>
  </rowItems>
  <colFields count="1">
    <field x="-2"/>
  </colFields>
  <colItems count="3">
    <i>
      <x/>
    </i>
    <i i="1">
      <x v="1"/>
    </i>
    <i i="2">
      <x v="2"/>
    </i>
  </colItems>
  <pageFields count="1">
    <pageField fld="0" hier="-1"/>
  </pageFields>
  <dataFields count="3">
    <dataField name="Sum of CO2 kilotons" fld="8" baseField="0" baseItem="0"/>
    <dataField name="Sum of N2O kilotons" fld="12" baseField="0" baseItem="0"/>
    <dataField name="Sum of SO2 kilotons" fld="10" baseField="0" baseItem="0"/>
  </dataFields>
  <chartFormats count="3">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Q8" firstHeaderRow="1" firstDataRow="3"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m="1" x="1"/>
        <item m="1" x="2"/>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11">
        <item h="1" x="0"/>
        <item x="1"/>
        <item h="1" x="2"/>
        <item h="1" x="3"/>
        <item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8"/>
        <item x="0"/>
        <item x="24"/>
        <item x="1"/>
        <item x="19"/>
        <item x="7"/>
        <item x="22"/>
        <item x="16"/>
        <item x="2"/>
        <item x="20"/>
        <item x="3"/>
        <item x="4"/>
        <item x="18"/>
        <item x="17"/>
        <item x="23"/>
        <item x="12"/>
        <item x="15"/>
        <item x="5"/>
        <item x="21"/>
        <item x="9"/>
        <item x="10"/>
        <item x="13"/>
        <item x="6"/>
        <item x="11"/>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m="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1"/>
      <x/>
      <x v="3"/>
    </i>
    <i>
      <x v="4"/>
      <x/>
      <x v="3"/>
    </i>
    <i>
      <x v="5"/>
      <x/>
      <x v="3"/>
    </i>
    <i t="grand">
      <x/>
    </i>
  </rowItems>
  <colFields count="2">
    <field x="6"/>
    <field x="8"/>
  </colFields>
  <colItems count="13">
    <i>
      <x/>
      <x v="1"/>
    </i>
    <i>
      <x v="1"/>
      <x v="1"/>
    </i>
    <i>
      <x v="5"/>
      <x v="1"/>
    </i>
    <i>
      <x v="6"/>
      <x v="1"/>
    </i>
    <i>
      <x v="10"/>
      <x v="1"/>
    </i>
    <i>
      <x v="11"/>
      <x v="1"/>
    </i>
    <i>
      <x v="15"/>
      <x v="1"/>
    </i>
    <i>
      <x v="16"/>
      <x v="1"/>
    </i>
    <i>
      <x v="19"/>
      <x v="1"/>
    </i>
    <i>
      <x v="20"/>
      <x v="1"/>
    </i>
    <i>
      <x v="21"/>
      <x v="1"/>
    </i>
    <i>
      <x v="24"/>
      <x v="1"/>
    </i>
    <i t="grand">
      <x/>
    </i>
  </colItems>
  <dataFields count="1">
    <dataField name="Sum of GW" fld="11" baseField="0" baseItem="0"/>
  </dataFields>
  <chartFormats count="15">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3">
          <reference field="4294967294" count="1" selected="0">
            <x v="0"/>
          </reference>
          <reference field="6" count="1" selected="0">
            <x v="0"/>
          </reference>
          <reference field="8" count="1" selected="0">
            <x v="1"/>
          </reference>
        </references>
      </pivotArea>
    </chartFormat>
    <chartFormat chart="0" format="4" series="1">
      <pivotArea type="data" outline="0" fieldPosition="0">
        <references count="3">
          <reference field="4294967294" count="1" selected="0">
            <x v="0"/>
          </reference>
          <reference field="6" count="1" selected="0">
            <x v="1"/>
          </reference>
          <reference field="8" count="1" selected="0">
            <x v="1"/>
          </reference>
        </references>
      </pivotArea>
    </chartFormat>
    <chartFormat chart="0" format="5" series="1">
      <pivotArea type="data" outline="0" fieldPosition="0">
        <references count="3">
          <reference field="4294967294" count="1" selected="0">
            <x v="0"/>
          </reference>
          <reference field="6" count="1" selected="0">
            <x v="5"/>
          </reference>
          <reference field="8" count="1" selected="0">
            <x v="1"/>
          </reference>
        </references>
      </pivotArea>
    </chartFormat>
    <chartFormat chart="0" format="6" series="1">
      <pivotArea type="data" outline="0" fieldPosition="0">
        <references count="3">
          <reference field="4294967294" count="1" selected="0">
            <x v="0"/>
          </reference>
          <reference field="6" count="1" selected="0">
            <x v="6"/>
          </reference>
          <reference field="8" count="1" selected="0">
            <x v="1"/>
          </reference>
        </references>
      </pivotArea>
    </chartFormat>
    <chartFormat chart="0" format="7" series="1">
      <pivotArea type="data" outline="0" fieldPosition="0">
        <references count="3">
          <reference field="4294967294" count="1" selected="0">
            <x v="0"/>
          </reference>
          <reference field="6" count="1" selected="0">
            <x v="10"/>
          </reference>
          <reference field="8" count="1" selected="0">
            <x v="1"/>
          </reference>
        </references>
      </pivotArea>
    </chartFormat>
    <chartFormat chart="0" format="8" series="1">
      <pivotArea type="data" outline="0" fieldPosition="0">
        <references count="3">
          <reference field="4294967294" count="1" selected="0">
            <x v="0"/>
          </reference>
          <reference field="6" count="1" selected="0">
            <x v="11"/>
          </reference>
          <reference field="8" count="1" selected="0">
            <x v="1"/>
          </reference>
        </references>
      </pivotArea>
    </chartFormat>
    <chartFormat chart="0" format="9" series="1">
      <pivotArea type="data" outline="0" fieldPosition="0">
        <references count="3">
          <reference field="4294967294" count="1" selected="0">
            <x v="0"/>
          </reference>
          <reference field="6" count="1" selected="0">
            <x v="15"/>
          </reference>
          <reference field="8" count="1" selected="0">
            <x v="1"/>
          </reference>
        </references>
      </pivotArea>
    </chartFormat>
    <chartFormat chart="0" format="10" series="1">
      <pivotArea type="data" outline="0" fieldPosition="0">
        <references count="3">
          <reference field="4294967294" count="1" selected="0">
            <x v="0"/>
          </reference>
          <reference field="6" count="1" selected="0">
            <x v="16"/>
          </reference>
          <reference field="8" count="1" selected="0">
            <x v="1"/>
          </reference>
        </references>
      </pivotArea>
    </chartFormat>
    <chartFormat chart="0" format="11" series="1">
      <pivotArea type="data" outline="0" fieldPosition="0">
        <references count="3">
          <reference field="4294967294" count="1" selected="0">
            <x v="0"/>
          </reference>
          <reference field="6" count="1" selected="0">
            <x v="19"/>
          </reference>
          <reference field="8" count="1" selected="0">
            <x v="1"/>
          </reference>
        </references>
      </pivotArea>
    </chartFormat>
    <chartFormat chart="0" format="12" series="1">
      <pivotArea type="data" outline="0" fieldPosition="0">
        <references count="3">
          <reference field="4294967294" count="1" selected="0">
            <x v="0"/>
          </reference>
          <reference field="6" count="1" selected="0">
            <x v="20"/>
          </reference>
          <reference field="8" count="1" selected="0">
            <x v="1"/>
          </reference>
        </references>
      </pivotArea>
    </chartFormat>
    <chartFormat chart="0" format="13" series="1">
      <pivotArea type="data" outline="0" fieldPosition="0">
        <references count="3">
          <reference field="4294967294" count="1" selected="0">
            <x v="0"/>
          </reference>
          <reference field="6" count="1" selected="0">
            <x v="21"/>
          </reference>
          <reference field="8" count="1" selected="0">
            <x v="1"/>
          </reference>
        </references>
      </pivotArea>
    </chartFormat>
    <chartFormat chart="0" format="14" series="1">
      <pivotArea type="data" outline="0" fieldPosition="0">
        <references count="3">
          <reference field="4294967294" count="1" selected="0">
            <x v="0"/>
          </reference>
          <reference field="6" count="1" selected="0">
            <x v="24"/>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R10" sqref="R10"/>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244</v>
      </c>
    </row>
    <row r="9" spans="1:9996" x14ac:dyDescent="0.25">
      <c r="F9" s="8" t="s">
        <v>194</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265</v>
      </c>
    </row>
    <row r="12" spans="1:9996" ht="15.75" thickBot="1" x14ac:dyDescent="0.3"/>
    <row r="13" spans="1:9996" x14ac:dyDescent="0.25">
      <c r="A13"/>
      <c r="B13" s="17"/>
      <c r="C13" s="18"/>
      <c r="D13" s="19"/>
      <c r="E13"/>
      <c r="F13" s="8" t="s">
        <v>192</v>
      </c>
    </row>
    <row r="14" spans="1:9996" x14ac:dyDescent="0.25">
      <c r="A14"/>
      <c r="B14" s="20">
        <v>2</v>
      </c>
      <c r="C14" s="21" t="s">
        <v>156</v>
      </c>
      <c r="D14" s="22"/>
      <c r="E14"/>
      <c r="G14" s="1" t="s">
        <v>11</v>
      </c>
      <c r="H14"/>
      <c r="I14"/>
    </row>
    <row r="15" spans="1:9996" ht="15.75" thickBot="1" x14ac:dyDescent="0.3">
      <c r="A15"/>
      <c r="B15" s="20"/>
      <c r="C15" s="21" t="s">
        <v>139</v>
      </c>
      <c r="D15" s="22"/>
      <c r="E15"/>
      <c r="G15" s="2" t="s">
        <v>6</v>
      </c>
      <c r="H15"/>
    </row>
    <row r="16" spans="1:9996" x14ac:dyDescent="0.25">
      <c r="A16"/>
      <c r="B16" s="20"/>
      <c r="C16" s="21"/>
      <c r="D16" s="22"/>
      <c r="E16"/>
      <c r="G16" s="2" t="s">
        <v>7</v>
      </c>
      <c r="H16"/>
      <c r="J16" s="9" t="s">
        <v>191</v>
      </c>
      <c r="K16" s="10"/>
    </row>
    <row r="17" spans="1:11" x14ac:dyDescent="0.25">
      <c r="A17"/>
      <c r="B17" s="20" t="b">
        <v>1</v>
      </c>
      <c r="C17" s="21" t="s">
        <v>130</v>
      </c>
      <c r="D17" s="22"/>
      <c r="E17"/>
      <c r="G17" s="2" t="s">
        <v>18</v>
      </c>
      <c r="H17"/>
      <c r="J17" s="11" t="s">
        <v>176</v>
      </c>
      <c r="K17" s="12" t="s">
        <v>184</v>
      </c>
    </row>
    <row r="18" spans="1:11" x14ac:dyDescent="0.25">
      <c r="A18"/>
      <c r="B18" s="20" t="b">
        <v>1</v>
      </c>
      <c r="C18" s="21" t="s">
        <v>131</v>
      </c>
      <c r="D18" s="22"/>
      <c r="E18"/>
      <c r="G18" s="2" t="s">
        <v>8</v>
      </c>
      <c r="H18"/>
      <c r="J18" s="11" t="s">
        <v>177</v>
      </c>
      <c r="K18" s="12" t="s">
        <v>185</v>
      </c>
    </row>
    <row r="19" spans="1:11" x14ac:dyDescent="0.25">
      <c r="A19"/>
      <c r="B19" s="20" t="b">
        <v>1</v>
      </c>
      <c r="C19" s="21" t="s">
        <v>132</v>
      </c>
      <c r="D19" s="22"/>
      <c r="E19"/>
      <c r="F19" s="15"/>
      <c r="G19" s="2" t="s">
        <v>17</v>
      </c>
      <c r="H19"/>
      <c r="J19" s="11" t="s">
        <v>178</v>
      </c>
      <c r="K19" s="12" t="s">
        <v>186</v>
      </c>
    </row>
    <row r="20" spans="1:11" x14ac:dyDescent="0.25">
      <c r="A20"/>
      <c r="B20" s="20" t="b">
        <v>1</v>
      </c>
      <c r="C20" s="21" t="s">
        <v>133</v>
      </c>
      <c r="D20" s="22"/>
      <c r="E20"/>
      <c r="G20" s="2" t="s">
        <v>175</v>
      </c>
      <c r="H20"/>
      <c r="J20" s="11" t="s">
        <v>179</v>
      </c>
      <c r="K20" s="12" t="s">
        <v>187</v>
      </c>
    </row>
    <row r="21" spans="1:11" x14ac:dyDescent="0.25">
      <c r="A21"/>
      <c r="B21" s="20" t="b">
        <v>1</v>
      </c>
      <c r="C21" s="21" t="s">
        <v>134</v>
      </c>
      <c r="D21" s="22"/>
      <c r="E21"/>
      <c r="G21" s="2" t="s">
        <v>207</v>
      </c>
      <c r="H21"/>
      <c r="J21" s="11" t="s">
        <v>180</v>
      </c>
      <c r="K21" s="12" t="s">
        <v>188</v>
      </c>
    </row>
    <row r="22" spans="1:11" x14ac:dyDescent="0.25">
      <c r="A22"/>
      <c r="B22" s="20" t="b">
        <v>1</v>
      </c>
      <c r="C22" s="21" t="s">
        <v>135</v>
      </c>
      <c r="D22" s="22"/>
      <c r="E22"/>
      <c r="G22" s="2" t="s">
        <v>16</v>
      </c>
      <c r="H22"/>
      <c r="J22" s="11" t="s">
        <v>181</v>
      </c>
      <c r="K22" s="12" t="s">
        <v>138</v>
      </c>
    </row>
    <row r="23" spans="1:11" x14ac:dyDescent="0.25">
      <c r="A23"/>
      <c r="B23" s="20" t="b">
        <v>1</v>
      </c>
      <c r="C23" s="21" t="s">
        <v>136</v>
      </c>
      <c r="D23" s="22"/>
      <c r="E23"/>
      <c r="G23" s="2" t="s">
        <v>19</v>
      </c>
      <c r="H23"/>
      <c r="J23" s="11" t="s">
        <v>182</v>
      </c>
      <c r="K23" s="12" t="s">
        <v>189</v>
      </c>
    </row>
    <row r="24" spans="1:11" x14ac:dyDescent="0.25">
      <c r="A24"/>
      <c r="B24" s="20" t="b">
        <v>1</v>
      </c>
      <c r="C24" s="21" t="s">
        <v>137</v>
      </c>
      <c r="D24" s="22"/>
      <c r="E24"/>
      <c r="G24" s="2" t="s">
        <v>20</v>
      </c>
      <c r="H24"/>
      <c r="J24" s="11" t="s">
        <v>183</v>
      </c>
      <c r="K24" s="12" t="s">
        <v>190</v>
      </c>
    </row>
    <row r="25" spans="1:11" x14ac:dyDescent="0.25">
      <c r="A25"/>
      <c r="B25" s="20" t="b">
        <v>1</v>
      </c>
      <c r="C25" s="21" t="s">
        <v>138</v>
      </c>
      <c r="D25" s="22"/>
      <c r="E25"/>
      <c r="G25" s="2" t="s">
        <v>21</v>
      </c>
      <c r="H25"/>
      <c r="J25" s="11"/>
      <c r="K25" s="12"/>
    </row>
    <row r="26" spans="1:11" x14ac:dyDescent="0.25">
      <c r="A26"/>
      <c r="B26" s="20" t="b">
        <v>1</v>
      </c>
      <c r="C26" s="21" t="s">
        <v>168</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158</v>
      </c>
      <c r="D31" s="22"/>
      <c r="E31"/>
      <c r="G31"/>
      <c r="H31"/>
    </row>
    <row r="32" spans="1:11" x14ac:dyDescent="0.25">
      <c r="A32"/>
      <c r="B32" s="20"/>
      <c r="C32" s="21" t="s">
        <v>159</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10" r:id="rId22" name="Check Box 76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11" r:id="rId23" name="Check Box 76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12" r:id="rId24" name="Check Box 76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13" r:id="rId25" name="Check Box 76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14" r:id="rId26" name="Check Box 76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15" r:id="rId27" name="Check Box 76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16" r:id="rId28" name="Check Box 76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17" r:id="rId29" name="Check Box 76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18" r:id="rId30" name="Check Box 77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19" r:id="rId31" name="Check Box 77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20" r:id="rId32" name="Check Box 77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6"/>
  <sheetViews>
    <sheetView topLeftCell="A25" zoomScaleNormal="100" workbookViewId="0">
      <selection activeCell="E41" sqref="E41"/>
    </sheetView>
  </sheetViews>
  <sheetFormatPr defaultRowHeight="15" x14ac:dyDescent="0.25"/>
  <cols>
    <col min="4" max="4" width="38.85546875" customWidth="1"/>
  </cols>
  <sheetData>
    <row r="1" spans="2:5" x14ac:dyDescent="0.25">
      <c r="B1" t="s">
        <v>2</v>
      </c>
      <c r="C1" t="b">
        <f t="shared" ref="C1:C12" si="0">VGE_T</f>
        <v>1</v>
      </c>
      <c r="D1" t="s">
        <v>4</v>
      </c>
      <c r="E1" t="s">
        <v>24</v>
      </c>
    </row>
    <row r="2" spans="2:5" x14ac:dyDescent="0.25">
      <c r="B2" t="s">
        <v>1</v>
      </c>
      <c r="C2" t="b">
        <f t="shared" si="0"/>
        <v>1</v>
      </c>
      <c r="D2" t="s">
        <v>4</v>
      </c>
      <c r="E2" t="s">
        <v>70</v>
      </c>
    </row>
    <row r="3" spans="2:5" x14ac:dyDescent="0.25">
      <c r="B3" t="s">
        <v>3</v>
      </c>
      <c r="C3" t="b">
        <f t="shared" si="0"/>
        <v>1</v>
      </c>
      <c r="D3" t="s">
        <v>4</v>
      </c>
      <c r="E3" t="s">
        <v>211</v>
      </c>
    </row>
    <row r="4" spans="2:5" x14ac:dyDescent="0.25">
      <c r="B4" t="s">
        <v>2</v>
      </c>
      <c r="C4" t="b">
        <f t="shared" si="0"/>
        <v>1</v>
      </c>
      <c r="D4" t="s">
        <v>38</v>
      </c>
      <c r="E4" t="s">
        <v>29</v>
      </c>
    </row>
    <row r="5" spans="2:5" x14ac:dyDescent="0.25">
      <c r="B5" t="s">
        <v>1</v>
      </c>
      <c r="C5" t="b">
        <f t="shared" si="0"/>
        <v>1</v>
      </c>
      <c r="D5" t="s">
        <v>38</v>
      </c>
      <c r="E5" t="s">
        <v>122</v>
      </c>
    </row>
    <row r="6" spans="2:5" x14ac:dyDescent="0.25">
      <c r="B6" t="s">
        <v>3</v>
      </c>
      <c r="C6" t="b">
        <f t="shared" si="0"/>
        <v>1</v>
      </c>
      <c r="D6" t="s">
        <v>38</v>
      </c>
      <c r="E6" t="s">
        <v>124</v>
      </c>
    </row>
    <row r="7" spans="2:5" x14ac:dyDescent="0.25">
      <c r="B7" t="s">
        <v>193</v>
      </c>
      <c r="C7" t="b">
        <f t="shared" si="0"/>
        <v>1</v>
      </c>
      <c r="D7" t="s">
        <v>38</v>
      </c>
      <c r="E7" t="s">
        <v>254</v>
      </c>
    </row>
    <row r="8" spans="2:5" x14ac:dyDescent="0.25">
      <c r="B8" t="s">
        <v>193</v>
      </c>
      <c r="C8" t="b">
        <f t="shared" si="0"/>
        <v>1</v>
      </c>
      <c r="D8" t="s">
        <v>38</v>
      </c>
      <c r="E8" t="s">
        <v>253</v>
      </c>
    </row>
    <row r="9" spans="2:5" x14ac:dyDescent="0.25">
      <c r="B9" t="s">
        <v>193</v>
      </c>
      <c r="C9" t="b">
        <f t="shared" si="0"/>
        <v>1</v>
      </c>
      <c r="D9" t="s">
        <v>38</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25</v>
      </c>
    </row>
    <row r="11" spans="2:5" x14ac:dyDescent="0.25">
      <c r="B11" t="s">
        <v>1</v>
      </c>
      <c r="C11" t="b">
        <f t="shared" si="0"/>
        <v>1</v>
      </c>
      <c r="D11" t="s">
        <v>5</v>
      </c>
      <c r="E11" t="s">
        <v>123</v>
      </c>
    </row>
    <row r="12" spans="2:5" x14ac:dyDescent="0.25">
      <c r="B12" t="s">
        <v>3</v>
      </c>
      <c r="C12" t="b">
        <f t="shared" si="0"/>
        <v>1</v>
      </c>
      <c r="D12" t="s">
        <v>5</v>
      </c>
      <c r="E12" t="s">
        <v>129</v>
      </c>
    </row>
    <row r="13" spans="2:5" x14ac:dyDescent="0.25">
      <c r="B13" t="s">
        <v>2</v>
      </c>
      <c r="C13" t="b">
        <f>QEEQ</f>
        <v>1</v>
      </c>
      <c r="D13" t="s">
        <v>22</v>
      </c>
      <c r="E13" t="s">
        <v>26</v>
      </c>
    </row>
    <row r="14" spans="2:5" x14ac:dyDescent="0.25">
      <c r="B14" t="s">
        <v>1</v>
      </c>
      <c r="C14" t="b">
        <f>QEEQ</f>
        <v>1</v>
      </c>
      <c r="D14" t="s">
        <v>22</v>
      </c>
      <c r="E14" t="s">
        <v>113</v>
      </c>
    </row>
    <row r="15" spans="2:5" x14ac:dyDescent="0.25">
      <c r="B15" t="s">
        <v>3</v>
      </c>
      <c r="C15" t="b">
        <f>QEEQ</f>
        <v>1</v>
      </c>
      <c r="D15" t="s">
        <v>22</v>
      </c>
      <c r="E15" t="s">
        <v>114</v>
      </c>
    </row>
    <row r="16" spans="2:5" x14ac:dyDescent="0.25">
      <c r="B16" t="s">
        <v>2</v>
      </c>
      <c r="C16" t="b">
        <f>QHEQ</f>
        <v>1</v>
      </c>
      <c r="D16" t="s">
        <v>107</v>
      </c>
      <c r="E16" t="s">
        <v>108</v>
      </c>
    </row>
    <row r="17" spans="2:5" x14ac:dyDescent="0.25">
      <c r="B17" t="s">
        <v>1</v>
      </c>
      <c r="C17" t="b">
        <f>QHEQ</f>
        <v>1</v>
      </c>
      <c r="D17" t="s">
        <v>107</v>
      </c>
      <c r="E17" t="s">
        <v>152</v>
      </c>
    </row>
    <row r="18" spans="2:5" x14ac:dyDescent="0.25">
      <c r="B18" t="s">
        <v>3</v>
      </c>
      <c r="C18" t="b">
        <f>QHEQ</f>
        <v>1</v>
      </c>
      <c r="D18" t="s">
        <v>107</v>
      </c>
      <c r="E18" t="s">
        <v>155</v>
      </c>
    </row>
    <row r="19" spans="2:5" x14ac:dyDescent="0.25">
      <c r="B19" t="s">
        <v>2</v>
      </c>
      <c r="C19" t="b">
        <f t="shared" ref="C19:C28" si="1">VGH_T</f>
        <v>1</v>
      </c>
      <c r="D19" t="s">
        <v>30</v>
      </c>
      <c r="E19" t="s">
        <v>31</v>
      </c>
    </row>
    <row r="20" spans="2:5" x14ac:dyDescent="0.25">
      <c r="B20" t="s">
        <v>1</v>
      </c>
      <c r="C20" t="b">
        <f t="shared" si="1"/>
        <v>1</v>
      </c>
      <c r="D20" t="s">
        <v>30</v>
      </c>
      <c r="E20" t="s">
        <v>71</v>
      </c>
    </row>
    <row r="21" spans="2:5" x14ac:dyDescent="0.25">
      <c r="B21" t="s">
        <v>3</v>
      </c>
      <c r="C21" t="b">
        <f t="shared" si="1"/>
        <v>1</v>
      </c>
      <c r="D21" t="s">
        <v>30</v>
      </c>
      <c r="E21" t="s">
        <v>210</v>
      </c>
    </row>
    <row r="22" spans="2:5" x14ac:dyDescent="0.25">
      <c r="B22" t="s">
        <v>2</v>
      </c>
      <c r="C22" t="b">
        <f t="shared" si="1"/>
        <v>1</v>
      </c>
      <c r="D22" t="s">
        <v>34</v>
      </c>
      <c r="E22" t="s">
        <v>36</v>
      </c>
    </row>
    <row r="23" spans="2:5" x14ac:dyDescent="0.25">
      <c r="B23" t="s">
        <v>1</v>
      </c>
      <c r="C23" t="b">
        <f t="shared" si="1"/>
        <v>1</v>
      </c>
      <c r="D23" t="s">
        <v>34</v>
      </c>
      <c r="E23" t="s">
        <v>72</v>
      </c>
    </row>
    <row r="24" spans="2:5" x14ac:dyDescent="0.25">
      <c r="B24" t="s">
        <v>3</v>
      </c>
      <c r="C24" t="b">
        <f t="shared" si="1"/>
        <v>1</v>
      </c>
      <c r="D24" t="s">
        <v>34</v>
      </c>
      <c r="E24" t="s">
        <v>73</v>
      </c>
    </row>
    <row r="25" spans="2:5" x14ac:dyDescent="0.25">
      <c r="B25" t="s">
        <v>193</v>
      </c>
      <c r="C25" t="b">
        <f t="shared" si="1"/>
        <v>1</v>
      </c>
      <c r="D25" t="s">
        <v>34</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35</v>
      </c>
      <c r="E26" t="s">
        <v>40</v>
      </c>
    </row>
    <row r="27" spans="2:5" x14ac:dyDescent="0.25">
      <c r="B27" t="s">
        <v>1</v>
      </c>
      <c r="C27" t="b">
        <f t="shared" si="1"/>
        <v>1</v>
      </c>
      <c r="D27" t="s">
        <v>35</v>
      </c>
      <c r="E27" t="s">
        <v>74</v>
      </c>
    </row>
    <row r="28" spans="2:5" x14ac:dyDescent="0.25">
      <c r="B28" t="s">
        <v>3</v>
      </c>
      <c r="C28" t="b">
        <f t="shared" si="1"/>
        <v>1</v>
      </c>
      <c r="D28" t="s">
        <v>35</v>
      </c>
      <c r="E28" t="s">
        <v>84</v>
      </c>
    </row>
    <row r="29" spans="2:5" x14ac:dyDescent="0.25">
      <c r="B29" t="s">
        <v>2</v>
      </c>
      <c r="C29" t="b">
        <f t="shared" ref="C29:C45" si="2">VGF_T</f>
        <v>1</v>
      </c>
      <c r="D29" t="s">
        <v>51</v>
      </c>
      <c r="E29" t="s">
        <v>52</v>
      </c>
    </row>
    <row r="30" spans="2:5" x14ac:dyDescent="0.25">
      <c r="B30" t="s">
        <v>1</v>
      </c>
      <c r="C30" t="b">
        <f t="shared" si="2"/>
        <v>1</v>
      </c>
      <c r="D30" t="s">
        <v>51</v>
      </c>
      <c r="E30" t="s">
        <v>75</v>
      </c>
    </row>
    <row r="31" spans="2:5" x14ac:dyDescent="0.25">
      <c r="B31" t="s">
        <v>3</v>
      </c>
      <c r="C31" t="b">
        <f t="shared" si="2"/>
        <v>1</v>
      </c>
      <c r="D31" t="s">
        <v>51</v>
      </c>
      <c r="E31" t="s">
        <v>212</v>
      </c>
    </row>
    <row r="32" spans="2:5" x14ac:dyDescent="0.25">
      <c r="B32" t="s">
        <v>2</v>
      </c>
      <c r="C32" t="b">
        <f t="shared" si="2"/>
        <v>1</v>
      </c>
      <c r="D32" t="s">
        <v>53</v>
      </c>
      <c r="E32" t="s">
        <v>55</v>
      </c>
    </row>
    <row r="33" spans="2:5" x14ac:dyDescent="0.25">
      <c r="B33" t="s">
        <v>1</v>
      </c>
      <c r="C33" t="b">
        <f t="shared" si="2"/>
        <v>1</v>
      </c>
      <c r="D33" t="s">
        <v>53</v>
      </c>
      <c r="E33" t="s">
        <v>76</v>
      </c>
    </row>
    <row r="34" spans="2:5" x14ac:dyDescent="0.25">
      <c r="B34" t="s">
        <v>3</v>
      </c>
      <c r="C34" t="b">
        <f t="shared" si="2"/>
        <v>1</v>
      </c>
      <c r="D34" t="s">
        <v>53</v>
      </c>
      <c r="E34" t="s">
        <v>77</v>
      </c>
    </row>
    <row r="35" spans="2:5" x14ac:dyDescent="0.25">
      <c r="B35" t="s">
        <v>193</v>
      </c>
      <c r="C35" t="b">
        <f t="shared" si="2"/>
        <v>1</v>
      </c>
      <c r="D35" t="s">
        <v>53</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54</v>
      </c>
      <c r="E36" t="s">
        <v>57</v>
      </c>
    </row>
    <row r="37" spans="2:5" x14ac:dyDescent="0.25">
      <c r="B37" t="s">
        <v>1</v>
      </c>
      <c r="C37" t="b">
        <f t="shared" si="2"/>
        <v>1</v>
      </c>
      <c r="D37" t="s">
        <v>54</v>
      </c>
      <c r="E37" t="s">
        <v>78</v>
      </c>
    </row>
    <row r="38" spans="2:5" x14ac:dyDescent="0.25">
      <c r="B38" t="s">
        <v>3</v>
      </c>
      <c r="C38" t="b">
        <f t="shared" si="2"/>
        <v>1</v>
      </c>
      <c r="D38" t="s">
        <v>54</v>
      </c>
      <c r="E38" t="s">
        <v>79</v>
      </c>
    </row>
    <row r="39" spans="2:5" x14ac:dyDescent="0.25">
      <c r="B39" t="s">
        <v>2</v>
      </c>
      <c r="C39" t="b">
        <f t="shared" si="2"/>
        <v>1</v>
      </c>
      <c r="D39" t="s">
        <v>61</v>
      </c>
      <c r="E39" t="s">
        <v>60</v>
      </c>
    </row>
    <row r="40" spans="2:5" x14ac:dyDescent="0.25">
      <c r="B40" t="s">
        <v>1</v>
      </c>
      <c r="C40" t="b">
        <f t="shared" si="2"/>
        <v>1</v>
      </c>
      <c r="D40" t="s">
        <v>61</v>
      </c>
      <c r="E40" t="s">
        <v>80</v>
      </c>
    </row>
    <row r="41" spans="2:5" x14ac:dyDescent="0.25">
      <c r="B41" t="s">
        <v>3</v>
      </c>
      <c r="C41" t="b">
        <f t="shared" si="2"/>
        <v>1</v>
      </c>
      <c r="D41" t="s">
        <v>61</v>
      </c>
      <c r="E41" t="s">
        <v>81</v>
      </c>
    </row>
    <row r="42" spans="2:5" x14ac:dyDescent="0.25">
      <c r="B42" t="s">
        <v>193</v>
      </c>
      <c r="C42" t="b">
        <f t="shared" si="2"/>
        <v>1</v>
      </c>
      <c r="D42" t="s">
        <v>61</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66</v>
      </c>
      <c r="E43" t="s">
        <v>67</v>
      </c>
    </row>
    <row r="44" spans="2:5" x14ac:dyDescent="0.25">
      <c r="B44" t="s">
        <v>1</v>
      </c>
      <c r="C44" t="b">
        <f t="shared" si="2"/>
        <v>1</v>
      </c>
      <c r="D44" t="s">
        <v>66</v>
      </c>
      <c r="E44" t="s">
        <v>82</v>
      </c>
    </row>
    <row r="45" spans="2:5" x14ac:dyDescent="0.25">
      <c r="B45" t="s">
        <v>3</v>
      </c>
      <c r="C45" t="b">
        <f t="shared" si="2"/>
        <v>1</v>
      </c>
      <c r="D45" t="s">
        <v>66</v>
      </c>
      <c r="E45" t="s">
        <v>83</v>
      </c>
    </row>
    <row r="46" spans="2:5" x14ac:dyDescent="0.25">
      <c r="B46" t="s">
        <v>2</v>
      </c>
      <c r="C46" t="b">
        <f t="shared" ref="C46:C52" si="3">STO</f>
        <v>1</v>
      </c>
      <c r="D46" t="s">
        <v>87</v>
      </c>
      <c r="E46" t="s">
        <v>88</v>
      </c>
    </row>
    <row r="47" spans="2:5" x14ac:dyDescent="0.25">
      <c r="B47" t="s">
        <v>1</v>
      </c>
      <c r="C47" t="b">
        <f t="shared" si="3"/>
        <v>1</v>
      </c>
      <c r="D47" t="s">
        <v>87</v>
      </c>
      <c r="E47" t="s">
        <v>94</v>
      </c>
    </row>
    <row r="48" spans="2:5" x14ac:dyDescent="0.25">
      <c r="B48" t="s">
        <v>3</v>
      </c>
      <c r="C48" t="b">
        <f t="shared" si="3"/>
        <v>1</v>
      </c>
      <c r="D48" t="s">
        <v>87</v>
      </c>
      <c r="E48" s="6" t="s">
        <v>95</v>
      </c>
    </row>
    <row r="49" spans="2:5" x14ac:dyDescent="0.25">
      <c r="B49" t="s">
        <v>193</v>
      </c>
      <c r="C49" t="b">
        <f t="shared" si="3"/>
        <v>1</v>
      </c>
      <c r="D49" t="s">
        <v>87</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89</v>
      </c>
      <c r="E50" t="s">
        <v>90</v>
      </c>
    </row>
    <row r="51" spans="2:5" x14ac:dyDescent="0.25">
      <c r="B51" t="s">
        <v>1</v>
      </c>
      <c r="C51" t="b">
        <f t="shared" si="3"/>
        <v>1</v>
      </c>
      <c r="D51" t="s">
        <v>89</v>
      </c>
      <c r="E51" t="s">
        <v>96</v>
      </c>
    </row>
    <row r="52" spans="2:5" x14ac:dyDescent="0.25">
      <c r="B52" t="s">
        <v>3</v>
      </c>
      <c r="C52" t="b">
        <f t="shared" si="3"/>
        <v>1</v>
      </c>
      <c r="D52" t="s">
        <v>89</v>
      </c>
      <c r="E52" s="6" t="s">
        <v>97</v>
      </c>
    </row>
    <row r="53" spans="2:5" x14ac:dyDescent="0.25">
      <c r="B53" t="s">
        <v>2</v>
      </c>
      <c r="C53" t="b">
        <f t="shared" ref="C53:C65" si="4">IGK</f>
        <v>1</v>
      </c>
      <c r="D53" t="s">
        <v>266</v>
      </c>
      <c r="E53" s="6" t="s">
        <v>267</v>
      </c>
    </row>
    <row r="54" spans="2:5" x14ac:dyDescent="0.25">
      <c r="B54" t="s">
        <v>1</v>
      </c>
      <c r="C54" t="b">
        <f t="shared" si="4"/>
        <v>1</v>
      </c>
      <c r="D54" t="s">
        <v>266</v>
      </c>
      <c r="E54" s="6" t="s">
        <v>268</v>
      </c>
    </row>
    <row r="55" spans="2:5" x14ac:dyDescent="0.25">
      <c r="B55" t="s">
        <v>3</v>
      </c>
      <c r="C55" t="b">
        <f t="shared" si="4"/>
        <v>1</v>
      </c>
      <c r="D55" t="s">
        <v>266</v>
      </c>
      <c r="E55" s="6" t="s">
        <v>269</v>
      </c>
    </row>
    <row r="56" spans="2:5" x14ac:dyDescent="0.25">
      <c r="B56" t="s">
        <v>193</v>
      </c>
      <c r="C56" t="b">
        <f t="shared" si="4"/>
        <v>1</v>
      </c>
      <c r="D56" t="s">
        <v>266</v>
      </c>
      <c r="E56" t="s">
        <v>270</v>
      </c>
    </row>
    <row r="57" spans="2:5" x14ac:dyDescent="0.25">
      <c r="B57" t="s">
        <v>193</v>
      </c>
      <c r="C57" t="b">
        <f t="shared" si="4"/>
        <v>1</v>
      </c>
      <c r="D57" t="s">
        <v>266</v>
      </c>
      <c r="E57" t="s">
        <v>271</v>
      </c>
    </row>
    <row r="58" spans="2:5" x14ac:dyDescent="0.25">
      <c r="B58" t="s">
        <v>2</v>
      </c>
      <c r="C58" t="b">
        <f>VGKN</f>
        <v>1</v>
      </c>
      <c r="D58" t="s">
        <v>272</v>
      </c>
      <c r="E58" t="s">
        <v>273</v>
      </c>
    </row>
    <row r="59" spans="2:5" x14ac:dyDescent="0.25">
      <c r="B59" t="s">
        <v>1</v>
      </c>
      <c r="C59" t="b">
        <f>VGKN</f>
        <v>1</v>
      </c>
      <c r="D59" t="s">
        <v>272</v>
      </c>
      <c r="E59" t="s">
        <v>274</v>
      </c>
    </row>
    <row r="60" spans="2:5" x14ac:dyDescent="0.25">
      <c r="B60" t="s">
        <v>3</v>
      </c>
      <c r="C60" t="b">
        <f>VGKN</f>
        <v>1</v>
      </c>
      <c r="D60" t="s">
        <v>272</v>
      </c>
      <c r="E60" t="s">
        <v>275</v>
      </c>
    </row>
    <row r="61" spans="2:5" x14ac:dyDescent="0.25">
      <c r="B61" t="s">
        <v>193</v>
      </c>
      <c r="C61" t="b">
        <f>VGKN</f>
        <v>1</v>
      </c>
      <c r="D61" t="s">
        <v>272</v>
      </c>
      <c r="E61" t="s">
        <v>276</v>
      </c>
    </row>
    <row r="62" spans="2:5" x14ac:dyDescent="0.25">
      <c r="B62" t="s">
        <v>193</v>
      </c>
      <c r="C62" t="b">
        <f>VGKN</f>
        <v>1</v>
      </c>
      <c r="D62" t="s">
        <v>272</v>
      </c>
      <c r="E62" t="s">
        <v>277</v>
      </c>
    </row>
    <row r="63" spans="2:5" x14ac:dyDescent="0.25">
      <c r="B63" t="s">
        <v>2</v>
      </c>
      <c r="C63" t="b">
        <f t="shared" si="4"/>
        <v>1</v>
      </c>
      <c r="D63" t="s">
        <v>280</v>
      </c>
      <c r="E63" s="6" t="s">
        <v>281</v>
      </c>
    </row>
    <row r="64" spans="2:5" x14ac:dyDescent="0.25">
      <c r="B64" t="s">
        <v>1</v>
      </c>
      <c r="C64" t="b">
        <f t="shared" si="4"/>
        <v>1</v>
      </c>
      <c r="D64" t="s">
        <v>280</v>
      </c>
      <c r="E64" s="6" t="s">
        <v>282</v>
      </c>
    </row>
    <row r="65" spans="2:5" x14ac:dyDescent="0.25">
      <c r="B65" t="s">
        <v>3</v>
      </c>
      <c r="C65" t="b">
        <f t="shared" si="4"/>
        <v>1</v>
      </c>
      <c r="D65" t="s">
        <v>280</v>
      </c>
      <c r="E65" s="6" t="s">
        <v>283</v>
      </c>
    </row>
    <row r="66" spans="2:5" x14ac:dyDescent="0.25">
      <c r="B66" t="s">
        <v>2</v>
      </c>
      <c r="C66" t="b">
        <f t="shared" ref="C66:C77" si="5">DE</f>
        <v>1</v>
      </c>
      <c r="D66" t="s">
        <v>101</v>
      </c>
      <c r="E66" s="6" t="s">
        <v>99</v>
      </c>
    </row>
    <row r="67" spans="2:5" x14ac:dyDescent="0.25">
      <c r="B67" t="s">
        <v>1</v>
      </c>
      <c r="C67" t="b">
        <f t="shared" si="5"/>
        <v>1</v>
      </c>
      <c r="D67" t="s">
        <v>101</v>
      </c>
      <c r="E67" s="6" t="s">
        <v>217</v>
      </c>
    </row>
    <row r="68" spans="2:5" x14ac:dyDescent="0.25">
      <c r="B68" t="s">
        <v>3</v>
      </c>
      <c r="C68" t="b">
        <f t="shared" si="5"/>
        <v>1</v>
      </c>
      <c r="D68" t="s">
        <v>101</v>
      </c>
      <c r="E68" s="6" t="s">
        <v>218</v>
      </c>
    </row>
    <row r="69" spans="2:5" x14ac:dyDescent="0.25">
      <c r="B69" t="s">
        <v>2</v>
      </c>
      <c r="C69" t="b">
        <f t="shared" si="5"/>
        <v>1</v>
      </c>
      <c r="D69" t="s">
        <v>103</v>
      </c>
      <c r="E69" s="6" t="s">
        <v>106</v>
      </c>
    </row>
    <row r="70" spans="2:5" x14ac:dyDescent="0.25">
      <c r="B70" t="s">
        <v>1</v>
      </c>
      <c r="C70" t="b">
        <f t="shared" si="5"/>
        <v>1</v>
      </c>
      <c r="D70" t="s">
        <v>103</v>
      </c>
      <c r="E70" s="6" t="s">
        <v>219</v>
      </c>
    </row>
    <row r="71" spans="2:5" x14ac:dyDescent="0.25">
      <c r="B71" t="s">
        <v>3</v>
      </c>
      <c r="C71" t="b">
        <f t="shared" si="5"/>
        <v>1</v>
      </c>
      <c r="D71" t="s">
        <v>103</v>
      </c>
      <c r="E71" s="6" t="s">
        <v>220</v>
      </c>
    </row>
    <row r="72" spans="2:5" x14ac:dyDescent="0.25">
      <c r="B72" t="s">
        <v>2</v>
      </c>
      <c r="C72" t="b">
        <f t="shared" si="5"/>
        <v>1</v>
      </c>
      <c r="D72" t="s">
        <v>100</v>
      </c>
      <c r="E72" s="6" t="s">
        <v>102</v>
      </c>
    </row>
    <row r="73" spans="2:5" x14ac:dyDescent="0.25">
      <c r="B73" t="s">
        <v>1</v>
      </c>
      <c r="C73" t="b">
        <f t="shared" si="5"/>
        <v>1</v>
      </c>
      <c r="D73" t="s">
        <v>100</v>
      </c>
      <c r="E73" s="6" t="s">
        <v>221</v>
      </c>
    </row>
    <row r="74" spans="2:5" x14ac:dyDescent="0.25">
      <c r="B74" t="s">
        <v>3</v>
      </c>
      <c r="C74" t="b">
        <f t="shared" si="5"/>
        <v>1</v>
      </c>
      <c r="D74" t="s">
        <v>100</v>
      </c>
      <c r="E74" s="6" t="s">
        <v>222</v>
      </c>
    </row>
    <row r="75" spans="2:5" x14ac:dyDescent="0.25">
      <c r="B75" t="s">
        <v>2</v>
      </c>
      <c r="C75" t="b">
        <f t="shared" si="5"/>
        <v>1</v>
      </c>
      <c r="D75" t="s">
        <v>104</v>
      </c>
      <c r="E75" s="8" t="s">
        <v>105</v>
      </c>
    </row>
    <row r="76" spans="2:5" x14ac:dyDescent="0.25">
      <c r="B76" t="s">
        <v>1</v>
      </c>
      <c r="C76" t="b">
        <f t="shared" si="5"/>
        <v>1</v>
      </c>
      <c r="D76" t="s">
        <v>104</v>
      </c>
      <c r="E76" s="8" t="s">
        <v>223</v>
      </c>
    </row>
    <row r="77" spans="2:5" x14ac:dyDescent="0.25">
      <c r="B77" t="s">
        <v>3</v>
      </c>
      <c r="C77" t="b">
        <f t="shared" si="5"/>
        <v>1</v>
      </c>
      <c r="D77" t="s">
        <v>104</v>
      </c>
      <c r="E77" s="8" t="s">
        <v>224</v>
      </c>
    </row>
    <row r="78" spans="2:5" x14ac:dyDescent="0.25">
      <c r="B78" t="s">
        <v>2</v>
      </c>
      <c r="C78" t="b">
        <f t="shared" ref="C78:C86" si="6">VX_T</f>
        <v>1</v>
      </c>
      <c r="D78" t="s">
        <v>115</v>
      </c>
      <c r="E78" s="6" t="s">
        <v>118</v>
      </c>
    </row>
    <row r="79" spans="2:5" x14ac:dyDescent="0.25">
      <c r="B79" t="s">
        <v>1</v>
      </c>
      <c r="C79" t="b">
        <f t="shared" si="6"/>
        <v>1</v>
      </c>
      <c r="D79" t="s">
        <v>115</v>
      </c>
      <c r="E79" s="6" t="s">
        <v>119</v>
      </c>
    </row>
    <row r="80" spans="2:5" x14ac:dyDescent="0.25">
      <c r="B80" t="s">
        <v>3</v>
      </c>
      <c r="C80" t="b">
        <f t="shared" si="6"/>
        <v>1</v>
      </c>
      <c r="D80" t="s">
        <v>115</v>
      </c>
      <c r="E80" s="6" t="s">
        <v>120</v>
      </c>
    </row>
    <row r="81" spans="2:5" x14ac:dyDescent="0.25">
      <c r="B81" t="s">
        <v>2</v>
      </c>
      <c r="C81" t="b">
        <f t="shared" si="6"/>
        <v>1</v>
      </c>
      <c r="D81" t="s">
        <v>116</v>
      </c>
      <c r="E81" s="6" t="s">
        <v>117</v>
      </c>
    </row>
    <row r="82" spans="2:5" x14ac:dyDescent="0.25">
      <c r="B82" t="s">
        <v>1</v>
      </c>
      <c r="C82" t="b">
        <f t="shared" si="6"/>
        <v>1</v>
      </c>
      <c r="D82" t="s">
        <v>116</v>
      </c>
      <c r="E82" s="6" t="s">
        <v>121</v>
      </c>
    </row>
    <row r="83" spans="2:5" x14ac:dyDescent="0.25">
      <c r="B83" t="s">
        <v>3</v>
      </c>
      <c r="C83" t="b">
        <f t="shared" si="6"/>
        <v>1</v>
      </c>
      <c r="D83" t="s">
        <v>116</v>
      </c>
      <c r="E83" s="6" t="s">
        <v>142</v>
      </c>
    </row>
    <row r="84" spans="2:5" x14ac:dyDescent="0.25">
      <c r="B84" t="s">
        <v>2</v>
      </c>
      <c r="C84" t="b">
        <f t="shared" si="6"/>
        <v>1</v>
      </c>
      <c r="D84" t="s">
        <v>164</v>
      </c>
      <c r="E84" t="s">
        <v>160</v>
      </c>
    </row>
    <row r="85" spans="2:5" x14ac:dyDescent="0.25">
      <c r="B85" t="s">
        <v>1</v>
      </c>
      <c r="C85" t="b">
        <f t="shared" si="6"/>
        <v>1</v>
      </c>
      <c r="D85" t="s">
        <v>164</v>
      </c>
      <c r="E85" t="s">
        <v>162</v>
      </c>
    </row>
    <row r="86" spans="2:5" x14ac:dyDescent="0.25">
      <c r="B86" t="s">
        <v>3</v>
      </c>
      <c r="C86" t="b">
        <f t="shared" si="6"/>
        <v>1</v>
      </c>
      <c r="D86" t="s">
        <v>164</v>
      </c>
      <c r="E86" t="s">
        <v>163</v>
      </c>
    </row>
  </sheetData>
  <conditionalFormatting sqref="C16:C18">
    <cfRule type="containsText" dxfId="8" priority="1" operator="containsText" text="TRUE">
      <formula>NOT(ISERROR(SEARCH("TRUE",C16)))</formula>
    </cfRule>
  </conditionalFormatting>
  <conditionalFormatting sqref="C1:C15 C19:C86">
    <cfRule type="containsText" dxfId="7" priority="19" operator="containsText" text="TRUE">
      <formula>NOT(ISERROR(SEARCH("TRUE",C1)))</formula>
    </cfRule>
    <cfRule type="colorScale" priority="20">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6"/>
  <sheetViews>
    <sheetView topLeftCell="A26" zoomScaleNormal="100" workbookViewId="0">
      <selection activeCell="F37" sqref="F37"/>
    </sheetView>
  </sheetViews>
  <sheetFormatPr defaultRowHeight="15" x14ac:dyDescent="0.25"/>
  <cols>
    <col min="3" max="3" width="6.140625" bestFit="1" customWidth="1"/>
    <col min="4" max="4" width="40.140625" bestFit="1" customWidth="1"/>
  </cols>
  <sheetData>
    <row r="1" spans="1:5" x14ac:dyDescent="0.25">
      <c r="A1">
        <v>1.9999999552965164E-2</v>
      </c>
      <c r="B1" t="s">
        <v>2</v>
      </c>
      <c r="C1" t="b">
        <f t="shared" ref="C1:C12" si="0">VGE_T</f>
        <v>1</v>
      </c>
      <c r="D1" t="s">
        <v>4</v>
      </c>
      <c r="E1" t="s">
        <v>24</v>
      </c>
    </row>
    <row r="2" spans="1:5" x14ac:dyDescent="0.25">
      <c r="A2">
        <v>2.9999999329447746E-2</v>
      </c>
      <c r="B2" t="s">
        <v>1</v>
      </c>
      <c r="C2" t="b">
        <f t="shared" si="0"/>
        <v>1</v>
      </c>
      <c r="D2" t="s">
        <v>4</v>
      </c>
      <c r="E2" t="s">
        <v>27</v>
      </c>
    </row>
    <row r="3" spans="1:5" x14ac:dyDescent="0.25">
      <c r="A3">
        <v>0.15999999642372131</v>
      </c>
      <c r="B3" t="s">
        <v>3</v>
      </c>
      <c r="C3" t="b">
        <f t="shared" si="0"/>
        <v>1</v>
      </c>
      <c r="D3" t="s">
        <v>4</v>
      </c>
      <c r="E3" t="s">
        <v>28</v>
      </c>
    </row>
    <row r="4" spans="1:5" x14ac:dyDescent="0.25">
      <c r="A4">
        <v>0.18000000715255737</v>
      </c>
      <c r="B4" t="s">
        <v>2</v>
      </c>
      <c r="C4" t="b">
        <f t="shared" si="0"/>
        <v>1</v>
      </c>
      <c r="D4" t="s">
        <v>38</v>
      </c>
      <c r="E4" t="s">
        <v>29</v>
      </c>
    </row>
    <row r="5" spans="1:5" x14ac:dyDescent="0.25">
      <c r="A5">
        <v>0.20999999344348907</v>
      </c>
      <c r="B5" t="s">
        <v>1</v>
      </c>
      <c r="C5" t="b">
        <f t="shared" si="0"/>
        <v>1</v>
      </c>
      <c r="D5" t="s">
        <v>38</v>
      </c>
      <c r="E5" t="s">
        <v>127</v>
      </c>
    </row>
    <row r="6" spans="1:5" x14ac:dyDescent="0.25">
      <c r="A6">
        <v>0.47999998927116394</v>
      </c>
      <c r="B6" t="s">
        <v>3</v>
      </c>
      <c r="C6" t="b">
        <f t="shared" si="0"/>
        <v>1</v>
      </c>
      <c r="D6" t="s">
        <v>38</v>
      </c>
      <c r="E6" t="s">
        <v>128</v>
      </c>
    </row>
    <row r="7" spans="1:5" x14ac:dyDescent="0.25">
      <c r="A7">
        <v>4.869999885559082</v>
      </c>
      <c r="B7" t="s">
        <v>193</v>
      </c>
      <c r="C7" t="b">
        <f t="shared" si="0"/>
        <v>1</v>
      </c>
      <c r="D7" t="s">
        <v>38</v>
      </c>
      <c r="E7" t="s">
        <v>254</v>
      </c>
    </row>
    <row r="8" spans="1:5" x14ac:dyDescent="0.25">
      <c r="A8">
        <v>4.880000114440918</v>
      </c>
      <c r="B8" t="s">
        <v>193</v>
      </c>
      <c r="C8" t="b">
        <f t="shared" si="0"/>
        <v>1</v>
      </c>
      <c r="D8" t="s">
        <v>38</v>
      </c>
      <c r="E8" t="s">
        <v>253</v>
      </c>
    </row>
    <row r="9" spans="1:5" x14ac:dyDescent="0.25">
      <c r="A9">
        <v>4.880000114440918</v>
      </c>
      <c r="B9" t="s">
        <v>193</v>
      </c>
      <c r="C9" t="b">
        <f t="shared" si="0"/>
        <v>1</v>
      </c>
      <c r="D9" t="s">
        <v>38</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4.8899998664855957</v>
      </c>
      <c r="B10" t="s">
        <v>2</v>
      </c>
      <c r="C10" t="b">
        <f t="shared" si="0"/>
        <v>1</v>
      </c>
      <c r="D10" t="s">
        <v>5</v>
      </c>
      <c r="E10" t="s">
        <v>25</v>
      </c>
    </row>
    <row r="11" spans="1:5" x14ac:dyDescent="0.25">
      <c r="A11">
        <v>4.9099998474121094</v>
      </c>
      <c r="B11" t="s">
        <v>1</v>
      </c>
      <c r="C11" t="b">
        <f t="shared" si="0"/>
        <v>1</v>
      </c>
      <c r="D11" t="s">
        <v>5</v>
      </c>
      <c r="E11" t="s">
        <v>125</v>
      </c>
    </row>
    <row r="12" spans="1:5" x14ac:dyDescent="0.25">
      <c r="A12">
        <v>4.9699997901916504</v>
      </c>
      <c r="B12" t="s">
        <v>3</v>
      </c>
      <c r="C12" t="b">
        <f t="shared" si="0"/>
        <v>1</v>
      </c>
      <c r="D12" t="s">
        <v>5</v>
      </c>
      <c r="E12" t="s">
        <v>126</v>
      </c>
    </row>
    <row r="13" spans="1:5" x14ac:dyDescent="0.25">
      <c r="A13">
        <v>4.9800000190734863</v>
      </c>
      <c r="B13" t="s">
        <v>2</v>
      </c>
      <c r="C13" t="b">
        <f>QEEQ</f>
        <v>1</v>
      </c>
      <c r="D13" t="s">
        <v>22</v>
      </c>
      <c r="E13" t="s">
        <v>26</v>
      </c>
    </row>
    <row r="14" spans="1:5" x14ac:dyDescent="0.25">
      <c r="A14">
        <v>4.9899997711181641</v>
      </c>
      <c r="B14" t="s">
        <v>1</v>
      </c>
      <c r="C14" t="b">
        <f>QEEQ</f>
        <v>1</v>
      </c>
      <c r="D14" t="s">
        <v>22</v>
      </c>
      <c r="E14" t="s">
        <v>23</v>
      </c>
    </row>
    <row r="15" spans="1:5" x14ac:dyDescent="0.25">
      <c r="A15">
        <v>4.9899997711181641</v>
      </c>
      <c r="B15" t="s">
        <v>3</v>
      </c>
      <c r="C15" t="b">
        <f>QEEQ</f>
        <v>1</v>
      </c>
      <c r="D15" t="s">
        <v>22</v>
      </c>
      <c r="E15" t="s">
        <v>249</v>
      </c>
    </row>
    <row r="16" spans="1:5" x14ac:dyDescent="0.25">
      <c r="A16">
        <v>5.0100002288818359</v>
      </c>
      <c r="B16" t="s">
        <v>2</v>
      </c>
      <c r="C16" t="b">
        <f>QHEQ</f>
        <v>1</v>
      </c>
      <c r="D16" t="s">
        <v>107</v>
      </c>
      <c r="E16" t="s">
        <v>108</v>
      </c>
    </row>
    <row r="17" spans="1:5" x14ac:dyDescent="0.25">
      <c r="A17">
        <v>5.0199999809265137</v>
      </c>
      <c r="B17" t="s">
        <v>1</v>
      </c>
      <c r="C17" t="b">
        <f>QHEQ</f>
        <v>1</v>
      </c>
      <c r="D17" t="s">
        <v>107</v>
      </c>
      <c r="E17" t="s">
        <v>151</v>
      </c>
    </row>
    <row r="18" spans="1:5" x14ac:dyDescent="0.25">
      <c r="A18">
        <v>5.0300002098083496</v>
      </c>
      <c r="B18" t="s">
        <v>3</v>
      </c>
      <c r="C18" t="b">
        <f>QHEQ</f>
        <v>1</v>
      </c>
      <c r="D18" t="s">
        <v>107</v>
      </c>
      <c r="E18" t="s">
        <v>250</v>
      </c>
    </row>
    <row r="19" spans="1:5" x14ac:dyDescent="0.25">
      <c r="A19">
        <v>5.0500001907348633</v>
      </c>
      <c r="B19" t="s">
        <v>2</v>
      </c>
      <c r="C19" t="b">
        <f t="shared" ref="C19:C28" si="1">VGH_T</f>
        <v>1</v>
      </c>
      <c r="D19" t="s">
        <v>30</v>
      </c>
      <c r="E19" t="s">
        <v>31</v>
      </c>
    </row>
    <row r="20" spans="1:5" x14ac:dyDescent="0.25">
      <c r="A20">
        <v>5.059999942779541</v>
      </c>
      <c r="B20" t="s">
        <v>1</v>
      </c>
      <c r="C20" t="b">
        <f t="shared" si="1"/>
        <v>1</v>
      </c>
      <c r="D20" t="s">
        <v>30</v>
      </c>
      <c r="E20" t="s">
        <v>33</v>
      </c>
    </row>
    <row r="21" spans="1:5" x14ac:dyDescent="0.25">
      <c r="A21">
        <v>5.1700000762939453</v>
      </c>
      <c r="B21" t="s">
        <v>3</v>
      </c>
      <c r="C21" t="b">
        <f t="shared" si="1"/>
        <v>1</v>
      </c>
      <c r="D21" t="s">
        <v>30</v>
      </c>
      <c r="E21" t="s">
        <v>32</v>
      </c>
    </row>
    <row r="22" spans="1:5" x14ac:dyDescent="0.25">
      <c r="A22">
        <v>5.1999998092651367</v>
      </c>
      <c r="B22" t="s">
        <v>2</v>
      </c>
      <c r="C22" t="b">
        <f t="shared" si="1"/>
        <v>1</v>
      </c>
      <c r="D22" t="s">
        <v>34</v>
      </c>
      <c r="E22" t="s">
        <v>36</v>
      </c>
    </row>
    <row r="23" spans="1:5" x14ac:dyDescent="0.25">
      <c r="A23">
        <v>5.1999998092651367</v>
      </c>
      <c r="B23" t="s">
        <v>1</v>
      </c>
      <c r="C23" t="b">
        <f t="shared" si="1"/>
        <v>1</v>
      </c>
      <c r="D23" t="s">
        <v>34</v>
      </c>
      <c r="E23" t="s">
        <v>37</v>
      </c>
    </row>
    <row r="24" spans="1:5" x14ac:dyDescent="0.25">
      <c r="A24">
        <v>5.440000057220459</v>
      </c>
      <c r="B24" t="s">
        <v>3</v>
      </c>
      <c r="C24" t="b">
        <f t="shared" si="1"/>
        <v>1</v>
      </c>
      <c r="D24" t="s">
        <v>34</v>
      </c>
      <c r="E24" t="s">
        <v>39</v>
      </c>
    </row>
    <row r="25" spans="1:5" x14ac:dyDescent="0.25">
      <c r="A25">
        <v>5.4499998092651367</v>
      </c>
      <c r="B25" t="s">
        <v>193</v>
      </c>
      <c r="C25" t="b">
        <f t="shared" si="1"/>
        <v>1</v>
      </c>
      <c r="D25" t="s">
        <v>34</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5.4499998092651367</v>
      </c>
      <c r="B26" t="s">
        <v>2</v>
      </c>
      <c r="C26" t="b">
        <f t="shared" si="1"/>
        <v>1</v>
      </c>
      <c r="D26" t="s">
        <v>35</v>
      </c>
      <c r="E26" t="s">
        <v>40</v>
      </c>
    </row>
    <row r="27" spans="1:5" x14ac:dyDescent="0.25">
      <c r="A27">
        <v>5.4600000381469727</v>
      </c>
      <c r="B27" t="s">
        <v>1</v>
      </c>
      <c r="C27" t="b">
        <f t="shared" si="1"/>
        <v>1</v>
      </c>
      <c r="D27" t="s">
        <v>35</v>
      </c>
      <c r="E27" t="s">
        <v>41</v>
      </c>
    </row>
    <row r="28" spans="1:5" x14ac:dyDescent="0.25">
      <c r="A28">
        <v>5.5199999809265137</v>
      </c>
      <c r="B28" t="s">
        <v>3</v>
      </c>
      <c r="C28" t="b">
        <f t="shared" si="1"/>
        <v>1</v>
      </c>
      <c r="D28" t="s">
        <v>35</v>
      </c>
      <c r="E28" t="s">
        <v>42</v>
      </c>
    </row>
    <row r="29" spans="1:5" x14ac:dyDescent="0.25">
      <c r="A29">
        <v>5.5300002098083496</v>
      </c>
      <c r="B29" t="s">
        <v>2</v>
      </c>
      <c r="C29" t="b">
        <f t="shared" ref="C29:C44" si="2">VGF_T</f>
        <v>1</v>
      </c>
      <c r="D29" t="s">
        <v>51</v>
      </c>
      <c r="E29" t="s">
        <v>52</v>
      </c>
    </row>
    <row r="30" spans="1:5" x14ac:dyDescent="0.25">
      <c r="A30">
        <v>5.559999942779541</v>
      </c>
      <c r="B30" t="s">
        <v>1</v>
      </c>
      <c r="C30" t="b">
        <f t="shared" si="2"/>
        <v>1</v>
      </c>
      <c r="D30" t="s">
        <v>51</v>
      </c>
      <c r="E30" t="s">
        <v>62</v>
      </c>
    </row>
    <row r="31" spans="1:5" x14ac:dyDescent="0.25">
      <c r="A31">
        <v>5.619999885559082</v>
      </c>
      <c r="B31" t="s">
        <v>3</v>
      </c>
      <c r="C31" t="b">
        <f t="shared" si="2"/>
        <v>1</v>
      </c>
      <c r="D31" t="s">
        <v>51</v>
      </c>
      <c r="E31" t="s">
        <v>63</v>
      </c>
    </row>
    <row r="32" spans="1:5" x14ac:dyDescent="0.25">
      <c r="A32">
        <v>5.6599998474121094</v>
      </c>
      <c r="B32" t="s">
        <v>2</v>
      </c>
      <c r="C32" t="b">
        <f t="shared" si="2"/>
        <v>1</v>
      </c>
      <c r="D32" t="s">
        <v>53</v>
      </c>
      <c r="E32" t="s">
        <v>55</v>
      </c>
    </row>
    <row r="33" spans="1:5" x14ac:dyDescent="0.25">
      <c r="A33">
        <v>5.679999828338623</v>
      </c>
      <c r="B33" t="s">
        <v>1</v>
      </c>
      <c r="C33" t="b">
        <f t="shared" si="2"/>
        <v>1</v>
      </c>
      <c r="D33" t="s">
        <v>53</v>
      </c>
      <c r="E33" t="s">
        <v>56</v>
      </c>
    </row>
    <row r="34" spans="1:5" x14ac:dyDescent="0.25">
      <c r="A34">
        <v>5.9499998092651367</v>
      </c>
      <c r="B34" t="s">
        <v>3</v>
      </c>
      <c r="C34" t="b">
        <f t="shared" si="2"/>
        <v>1</v>
      </c>
      <c r="D34" t="s">
        <v>53</v>
      </c>
      <c r="E34" t="s">
        <v>64</v>
      </c>
    </row>
    <row r="35" spans="1:5" x14ac:dyDescent="0.25">
      <c r="A35">
        <v>5.9499998092651367</v>
      </c>
      <c r="B35" t="s">
        <v>193</v>
      </c>
      <c r="C35" t="b">
        <f t="shared" si="2"/>
        <v>1</v>
      </c>
      <c r="D35" t="s">
        <v>53</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5.9699997901916504</v>
      </c>
      <c r="B36" t="s">
        <v>2</v>
      </c>
      <c r="C36" t="b">
        <f t="shared" si="2"/>
        <v>1</v>
      </c>
      <c r="D36" t="s">
        <v>54</v>
      </c>
      <c r="E36" t="s">
        <v>57</v>
      </c>
    </row>
    <row r="37" spans="1:5" x14ac:dyDescent="0.25">
      <c r="A37">
        <v>5.9800000190734863</v>
      </c>
      <c r="B37" t="s">
        <v>1</v>
      </c>
      <c r="C37" t="b">
        <f t="shared" si="2"/>
        <v>1</v>
      </c>
      <c r="D37" t="s">
        <v>54</v>
      </c>
      <c r="E37" t="s">
        <v>58</v>
      </c>
    </row>
    <row r="38" spans="1:5" x14ac:dyDescent="0.25">
      <c r="A38">
        <v>6.0399999618530273</v>
      </c>
      <c r="B38" t="s">
        <v>3</v>
      </c>
      <c r="C38" t="b">
        <f t="shared" si="2"/>
        <v>1</v>
      </c>
      <c r="D38" t="s">
        <v>54</v>
      </c>
      <c r="E38" t="s">
        <v>59</v>
      </c>
    </row>
    <row r="39" spans="1:5" x14ac:dyDescent="0.25">
      <c r="A39">
        <v>6.0500001907348633</v>
      </c>
      <c r="B39" t="s">
        <v>2</v>
      </c>
      <c r="C39" t="b">
        <f t="shared" si="2"/>
        <v>1</v>
      </c>
      <c r="D39" t="s">
        <v>61</v>
      </c>
      <c r="E39" t="s">
        <v>60</v>
      </c>
    </row>
    <row r="40" spans="1:5" x14ac:dyDescent="0.25">
      <c r="A40">
        <v>6.0500001907348633</v>
      </c>
      <c r="B40" t="s">
        <v>1</v>
      </c>
      <c r="C40" t="b">
        <f t="shared" si="2"/>
        <v>1</v>
      </c>
      <c r="D40" t="s">
        <v>61</v>
      </c>
      <c r="E40" t="s">
        <v>65</v>
      </c>
    </row>
    <row r="41" spans="1:5" x14ac:dyDescent="0.25">
      <c r="A41">
        <v>6.2300000190734863</v>
      </c>
      <c r="B41" t="s">
        <v>3</v>
      </c>
      <c r="C41" t="b">
        <f t="shared" si="2"/>
        <v>1</v>
      </c>
      <c r="D41" t="s">
        <v>61</v>
      </c>
      <c r="E41" t="s">
        <v>317</v>
      </c>
    </row>
    <row r="42" spans="1:5" x14ac:dyDescent="0.25">
      <c r="A42">
        <v>6.2399997711181641</v>
      </c>
      <c r="B42" t="s">
        <v>2</v>
      </c>
      <c r="C42" t="b">
        <f t="shared" si="2"/>
        <v>1</v>
      </c>
      <c r="D42" t="s">
        <v>66</v>
      </c>
      <c r="E42" t="s">
        <v>67</v>
      </c>
    </row>
    <row r="43" spans="1:5" x14ac:dyDescent="0.25">
      <c r="A43">
        <v>6.25</v>
      </c>
      <c r="B43" t="s">
        <v>1</v>
      </c>
      <c r="C43" t="b">
        <f t="shared" si="2"/>
        <v>1</v>
      </c>
      <c r="D43" t="s">
        <v>66</v>
      </c>
      <c r="E43" t="s">
        <v>68</v>
      </c>
    </row>
    <row r="44" spans="1:5" x14ac:dyDescent="0.25">
      <c r="A44">
        <v>6.380000114440918</v>
      </c>
      <c r="B44" t="s">
        <v>3</v>
      </c>
      <c r="C44" t="b">
        <f t="shared" si="2"/>
        <v>1</v>
      </c>
      <c r="D44" t="s">
        <v>66</v>
      </c>
      <c r="E44" t="s">
        <v>69</v>
      </c>
    </row>
    <row r="45" spans="1:5" x14ac:dyDescent="0.25">
      <c r="A45">
        <v>6.380000114440918</v>
      </c>
      <c r="B45" t="s">
        <v>2</v>
      </c>
      <c r="C45" t="b">
        <f t="shared" ref="C45:C51" si="3">STO</f>
        <v>1</v>
      </c>
      <c r="D45" t="s">
        <v>87</v>
      </c>
      <c r="E45" t="s">
        <v>88</v>
      </c>
    </row>
    <row r="46" spans="1:5" x14ac:dyDescent="0.25">
      <c r="A46">
        <v>6.3899998664855957</v>
      </c>
      <c r="B46" t="s">
        <v>1</v>
      </c>
      <c r="C46" t="b">
        <f t="shared" si="3"/>
        <v>1</v>
      </c>
      <c r="D46" t="s">
        <v>87</v>
      </c>
      <c r="E46" t="s">
        <v>91</v>
      </c>
    </row>
    <row r="47" spans="1:5" x14ac:dyDescent="0.25">
      <c r="A47">
        <v>6.4099998474121094</v>
      </c>
      <c r="B47" t="s">
        <v>3</v>
      </c>
      <c r="C47" t="b">
        <f t="shared" si="3"/>
        <v>1</v>
      </c>
      <c r="D47" t="s">
        <v>87</v>
      </c>
      <c r="E47" s="6" t="s">
        <v>92</v>
      </c>
    </row>
    <row r="48" spans="1:5" x14ac:dyDescent="0.25">
      <c r="A48">
        <v>6.4200000762939453</v>
      </c>
      <c r="B48" t="s">
        <v>193</v>
      </c>
      <c r="C48" t="b">
        <f t="shared" si="3"/>
        <v>1</v>
      </c>
      <c r="D48" t="s">
        <v>87</v>
      </c>
      <c r="E48" s="6" t="str">
        <f>"DELETE FROM 'Heat Storage volume' WHERE NOT (COUNTRY IN ( " &amp; C_filter &amp; "));"</f>
        <v>DELETE FROM 'Heat Storage volume' WHERE NOT (COUNTRY IN ( 'DENMARK' , 'NORWAY' , 'GERMANY' , 'SWEDEN' , 'FINLAND' , 'NETHERLANDS' , 'UNITED_KINGDOM' , 'ESTONIA' , 'LATVIA' , 'LITHUANIA' , 'POLAND'));</v>
      </c>
    </row>
    <row r="49" spans="1:5" x14ac:dyDescent="0.25">
      <c r="A49">
        <v>6.429999828338623</v>
      </c>
      <c r="B49" t="s">
        <v>2</v>
      </c>
      <c r="C49" t="b">
        <f t="shared" si="3"/>
        <v>1</v>
      </c>
      <c r="D49" t="s">
        <v>89</v>
      </c>
      <c r="E49" t="s">
        <v>90</v>
      </c>
    </row>
    <row r="50" spans="1:5" x14ac:dyDescent="0.25">
      <c r="A50">
        <v>6.440000057220459</v>
      </c>
      <c r="B50" t="s">
        <v>1</v>
      </c>
      <c r="C50" t="b">
        <f t="shared" si="3"/>
        <v>1</v>
      </c>
      <c r="D50" t="s">
        <v>89</v>
      </c>
      <c r="E50" t="s">
        <v>93</v>
      </c>
    </row>
    <row r="51" spans="1:5" x14ac:dyDescent="0.25">
      <c r="A51">
        <v>6.4499998092651367</v>
      </c>
      <c r="B51" t="s">
        <v>3</v>
      </c>
      <c r="C51" t="b">
        <f t="shared" si="3"/>
        <v>1</v>
      </c>
      <c r="D51" t="s">
        <v>89</v>
      </c>
      <c r="E51" s="6" t="s">
        <v>98</v>
      </c>
    </row>
    <row r="52" spans="1:5" x14ac:dyDescent="0.25">
      <c r="A52">
        <v>6.4600000381469727</v>
      </c>
      <c r="B52" t="s">
        <v>2</v>
      </c>
      <c r="C52" t="b">
        <f t="shared" ref="C52:C64" si="4">IGK</f>
        <v>1</v>
      </c>
      <c r="D52" t="s">
        <v>266</v>
      </c>
      <c r="E52" s="6" t="s">
        <v>267</v>
      </c>
    </row>
    <row r="53" spans="1:5" x14ac:dyDescent="0.25">
      <c r="A53">
        <v>6.4800000190734863</v>
      </c>
      <c r="B53" t="s">
        <v>1</v>
      </c>
      <c r="C53" t="b">
        <f t="shared" si="4"/>
        <v>1</v>
      </c>
      <c r="D53" t="s">
        <v>266</v>
      </c>
      <c r="E53" s="6" t="s">
        <v>268</v>
      </c>
    </row>
    <row r="54" spans="1:5" x14ac:dyDescent="0.25">
      <c r="A54">
        <v>6.7899999618530273</v>
      </c>
      <c r="B54" t="s">
        <v>3</v>
      </c>
      <c r="C54" t="b">
        <f t="shared" si="4"/>
        <v>1</v>
      </c>
      <c r="D54" t="s">
        <v>266</v>
      </c>
      <c r="E54" s="6" t="s">
        <v>269</v>
      </c>
    </row>
    <row r="55" spans="1:5" x14ac:dyDescent="0.25">
      <c r="A55">
        <v>7.4800000190734863</v>
      </c>
      <c r="B55" t="s">
        <v>193</v>
      </c>
      <c r="C55" t="b">
        <f t="shared" si="4"/>
        <v>1</v>
      </c>
      <c r="D55" t="s">
        <v>266</v>
      </c>
      <c r="E55" t="s">
        <v>270</v>
      </c>
    </row>
    <row r="56" spans="1:5" x14ac:dyDescent="0.25">
      <c r="A56">
        <v>11.159999847412109</v>
      </c>
      <c r="B56" t="s">
        <v>193</v>
      </c>
      <c r="C56" t="b">
        <f t="shared" si="4"/>
        <v>1</v>
      </c>
      <c r="D56" t="s">
        <v>266</v>
      </c>
      <c r="E56" t="s">
        <v>271</v>
      </c>
    </row>
    <row r="57" spans="1:5" x14ac:dyDescent="0.25">
      <c r="A57">
        <v>11.180000305175781</v>
      </c>
      <c r="B57" t="s">
        <v>2</v>
      </c>
      <c r="C57" t="b">
        <f>VGKN</f>
        <v>1</v>
      </c>
      <c r="D57" t="s">
        <v>272</v>
      </c>
      <c r="E57" t="s">
        <v>273</v>
      </c>
    </row>
    <row r="58" spans="1:5" x14ac:dyDescent="0.25">
      <c r="A58">
        <v>11.199999809265137</v>
      </c>
      <c r="B58" t="s">
        <v>1</v>
      </c>
      <c r="C58" t="b">
        <f>VGKN</f>
        <v>1</v>
      </c>
      <c r="D58" t="s">
        <v>272</v>
      </c>
      <c r="E58" t="s">
        <v>278</v>
      </c>
    </row>
    <row r="59" spans="1:5" x14ac:dyDescent="0.25">
      <c r="A59">
        <v>11.220000267028809</v>
      </c>
      <c r="B59" t="s">
        <v>3</v>
      </c>
      <c r="C59" t="b">
        <f>VGKN</f>
        <v>1</v>
      </c>
      <c r="D59" t="s">
        <v>272</v>
      </c>
      <c r="E59" t="s">
        <v>279</v>
      </c>
    </row>
    <row r="60" spans="1:5" x14ac:dyDescent="0.25">
      <c r="A60">
        <v>11.289999961853027</v>
      </c>
      <c r="B60" t="s">
        <v>193</v>
      </c>
      <c r="C60" t="b">
        <f>VGKN</f>
        <v>1</v>
      </c>
      <c r="D60" t="s">
        <v>272</v>
      </c>
      <c r="E60" t="s">
        <v>276</v>
      </c>
    </row>
    <row r="61" spans="1:5" x14ac:dyDescent="0.25">
      <c r="A61">
        <v>11.520000457763672</v>
      </c>
      <c r="B61" t="s">
        <v>193</v>
      </c>
      <c r="C61" t="b">
        <f>VGKN</f>
        <v>1</v>
      </c>
      <c r="D61" t="s">
        <v>272</v>
      </c>
      <c r="E61" t="s">
        <v>277</v>
      </c>
    </row>
    <row r="62" spans="1:5" x14ac:dyDescent="0.25">
      <c r="A62">
        <v>11.550000190734863</v>
      </c>
      <c r="B62" t="s">
        <v>2</v>
      </c>
      <c r="C62" t="b">
        <f t="shared" si="4"/>
        <v>1</v>
      </c>
      <c r="D62" t="s">
        <v>280</v>
      </c>
      <c r="E62" s="6" t="s">
        <v>281</v>
      </c>
    </row>
    <row r="63" spans="1:5" x14ac:dyDescent="0.25">
      <c r="A63">
        <v>11.550000190734863</v>
      </c>
      <c r="B63" t="s">
        <v>1</v>
      </c>
      <c r="C63" t="b">
        <f t="shared" si="4"/>
        <v>1</v>
      </c>
      <c r="D63" t="s">
        <v>280</v>
      </c>
      <c r="E63" s="6" t="s">
        <v>284</v>
      </c>
    </row>
    <row r="64" spans="1:5" x14ac:dyDescent="0.25">
      <c r="A64">
        <v>11.630000114440918</v>
      </c>
      <c r="B64" t="s">
        <v>3</v>
      </c>
      <c r="C64" t="b">
        <f t="shared" si="4"/>
        <v>1</v>
      </c>
      <c r="D64" t="s">
        <v>280</v>
      </c>
      <c r="E64" s="6" t="s">
        <v>285</v>
      </c>
    </row>
    <row r="65" spans="1:5" x14ac:dyDescent="0.25">
      <c r="A65">
        <v>11.640000343322754</v>
      </c>
      <c r="B65" t="s">
        <v>2</v>
      </c>
      <c r="C65" t="b">
        <f t="shared" ref="C65:C70" si="5">VGKN</f>
        <v>1</v>
      </c>
      <c r="D65" t="s">
        <v>289</v>
      </c>
      <c r="E65" s="6" t="s">
        <v>286</v>
      </c>
    </row>
    <row r="66" spans="1:5" x14ac:dyDescent="0.25">
      <c r="A66">
        <v>11.680000305175781</v>
      </c>
      <c r="B66" t="s">
        <v>1</v>
      </c>
      <c r="C66" t="b">
        <f t="shared" si="5"/>
        <v>1</v>
      </c>
      <c r="D66" t="s">
        <v>289</v>
      </c>
      <c r="E66" s="6" t="s">
        <v>287</v>
      </c>
    </row>
    <row r="67" spans="1:5" x14ac:dyDescent="0.25">
      <c r="A67">
        <v>11.789999961853027</v>
      </c>
      <c r="B67" t="s">
        <v>3</v>
      </c>
      <c r="C67" t="b">
        <f t="shared" si="5"/>
        <v>1</v>
      </c>
      <c r="D67" t="s">
        <v>289</v>
      </c>
      <c r="E67" s="6" t="s">
        <v>288</v>
      </c>
    </row>
    <row r="68" spans="1:5" x14ac:dyDescent="0.25">
      <c r="A68">
        <v>11.800000190734863</v>
      </c>
      <c r="B68" t="s">
        <v>2</v>
      </c>
      <c r="C68" t="b">
        <f t="shared" si="5"/>
        <v>1</v>
      </c>
      <c r="D68" t="s">
        <v>290</v>
      </c>
      <c r="E68" s="6" t="s">
        <v>291</v>
      </c>
    </row>
    <row r="69" spans="1:5" x14ac:dyDescent="0.25">
      <c r="A69">
        <v>11.810000419616699</v>
      </c>
      <c r="B69" t="s">
        <v>1</v>
      </c>
      <c r="C69" t="b">
        <f t="shared" si="5"/>
        <v>1</v>
      </c>
      <c r="D69" t="s">
        <v>290</v>
      </c>
      <c r="E69" s="6" t="s">
        <v>292</v>
      </c>
    </row>
    <row r="70" spans="1:5" x14ac:dyDescent="0.25">
      <c r="A70">
        <v>11.829999923706055</v>
      </c>
      <c r="B70" t="s">
        <v>3</v>
      </c>
      <c r="C70" t="b">
        <f t="shared" si="5"/>
        <v>1</v>
      </c>
      <c r="D70" t="s">
        <v>290</v>
      </c>
      <c r="E70" s="6" t="s">
        <v>296</v>
      </c>
    </row>
    <row r="71" spans="1:5" x14ac:dyDescent="0.25">
      <c r="A71">
        <v>11.840000152587891</v>
      </c>
      <c r="B71" t="s">
        <v>2</v>
      </c>
      <c r="C71" t="b">
        <f t="shared" ref="C71:C82" si="6">DE</f>
        <v>1</v>
      </c>
      <c r="D71" t="s">
        <v>101</v>
      </c>
      <c r="E71" s="6" t="s">
        <v>99</v>
      </c>
    </row>
    <row r="72" spans="1:5" x14ac:dyDescent="0.25">
      <c r="A72">
        <v>11.850000381469727</v>
      </c>
      <c r="B72" t="s">
        <v>1</v>
      </c>
      <c r="C72" t="b">
        <f t="shared" si="6"/>
        <v>1</v>
      </c>
      <c r="D72" t="s">
        <v>101</v>
      </c>
      <c r="E72" s="6" t="s">
        <v>217</v>
      </c>
    </row>
    <row r="73" spans="1:5" x14ac:dyDescent="0.25">
      <c r="A73">
        <v>11.890000343322754</v>
      </c>
      <c r="B73" t="s">
        <v>3</v>
      </c>
      <c r="C73" t="b">
        <f t="shared" si="6"/>
        <v>1</v>
      </c>
      <c r="D73" t="s">
        <v>101</v>
      </c>
      <c r="E73" s="6" t="s">
        <v>218</v>
      </c>
    </row>
    <row r="74" spans="1:5" x14ac:dyDescent="0.25">
      <c r="A74">
        <v>11.909999847412109</v>
      </c>
      <c r="B74" t="s">
        <v>2</v>
      </c>
      <c r="C74" t="b">
        <f t="shared" si="6"/>
        <v>1</v>
      </c>
      <c r="D74" t="s">
        <v>103</v>
      </c>
      <c r="E74" s="6" t="s">
        <v>106</v>
      </c>
    </row>
    <row r="75" spans="1:5" x14ac:dyDescent="0.25">
      <c r="A75">
        <v>11.939999580383301</v>
      </c>
      <c r="B75" t="s">
        <v>1</v>
      </c>
      <c r="C75" t="b">
        <f t="shared" si="6"/>
        <v>1</v>
      </c>
      <c r="D75" t="s">
        <v>103</v>
      </c>
      <c r="E75" s="6" t="s">
        <v>219</v>
      </c>
    </row>
    <row r="76" spans="1:5" x14ac:dyDescent="0.25">
      <c r="A76">
        <v>11.949999809265137</v>
      </c>
      <c r="B76" t="s">
        <v>3</v>
      </c>
      <c r="C76" t="b">
        <f t="shared" si="6"/>
        <v>1</v>
      </c>
      <c r="D76" t="s">
        <v>103</v>
      </c>
      <c r="E76" s="6" t="s">
        <v>220</v>
      </c>
    </row>
    <row r="77" spans="1:5" x14ac:dyDescent="0.25">
      <c r="A77">
        <v>11.970000267028809</v>
      </c>
      <c r="B77" t="s">
        <v>2</v>
      </c>
      <c r="C77" t="b">
        <f t="shared" si="6"/>
        <v>1</v>
      </c>
      <c r="D77" t="s">
        <v>100</v>
      </c>
      <c r="E77" s="6" t="s">
        <v>102</v>
      </c>
    </row>
    <row r="78" spans="1:5" x14ac:dyDescent="0.25">
      <c r="A78">
        <v>11.979999542236328</v>
      </c>
      <c r="B78" t="s">
        <v>1</v>
      </c>
      <c r="C78" t="b">
        <f t="shared" si="6"/>
        <v>1</v>
      </c>
      <c r="D78" t="s">
        <v>100</v>
      </c>
      <c r="E78" s="6" t="s">
        <v>221</v>
      </c>
    </row>
    <row r="79" spans="1:5" x14ac:dyDescent="0.25">
      <c r="A79">
        <v>12.119999885559082</v>
      </c>
      <c r="B79" t="s">
        <v>3</v>
      </c>
      <c r="C79" t="b">
        <f t="shared" si="6"/>
        <v>1</v>
      </c>
      <c r="D79" t="s">
        <v>100</v>
      </c>
      <c r="E79" s="6" t="s">
        <v>222</v>
      </c>
    </row>
    <row r="80" spans="1:5" x14ac:dyDescent="0.25">
      <c r="A80">
        <v>12.130000114440918</v>
      </c>
      <c r="B80" t="s">
        <v>2</v>
      </c>
      <c r="C80" t="b">
        <f t="shared" si="6"/>
        <v>1</v>
      </c>
      <c r="D80" t="s">
        <v>104</v>
      </c>
      <c r="E80" s="8" t="s">
        <v>105</v>
      </c>
    </row>
    <row r="81" spans="1:5" x14ac:dyDescent="0.25">
      <c r="A81">
        <v>12.149999618530273</v>
      </c>
      <c r="B81" t="s">
        <v>1</v>
      </c>
      <c r="C81" t="b">
        <f t="shared" si="6"/>
        <v>1</v>
      </c>
      <c r="D81" t="s">
        <v>104</v>
      </c>
      <c r="E81" s="8" t="s">
        <v>223</v>
      </c>
    </row>
    <row r="82" spans="1:5" x14ac:dyDescent="0.25">
      <c r="A82">
        <v>12.170000076293945</v>
      </c>
      <c r="B82" t="s">
        <v>3</v>
      </c>
      <c r="C82" t="b">
        <f t="shared" si="6"/>
        <v>1</v>
      </c>
      <c r="D82" t="s">
        <v>104</v>
      </c>
      <c r="E82" s="8" t="s">
        <v>224</v>
      </c>
    </row>
    <row r="83" spans="1:5" x14ac:dyDescent="0.25">
      <c r="A83">
        <v>12.189999580383301</v>
      </c>
      <c r="B83" t="s">
        <v>2</v>
      </c>
      <c r="C83" t="b">
        <f t="shared" ref="C83:C91" si="7">VX_T</f>
        <v>1</v>
      </c>
      <c r="D83" t="s">
        <v>115</v>
      </c>
      <c r="E83" s="6" t="s">
        <v>118</v>
      </c>
    </row>
    <row r="84" spans="1:5" x14ac:dyDescent="0.25">
      <c r="A84">
        <v>12.199999809265137</v>
      </c>
      <c r="B84" t="s">
        <v>1</v>
      </c>
      <c r="C84" t="b">
        <f t="shared" si="7"/>
        <v>1</v>
      </c>
      <c r="D84" t="s">
        <v>115</v>
      </c>
      <c r="E84" s="6" t="s">
        <v>140</v>
      </c>
    </row>
    <row r="85" spans="1:5" x14ac:dyDescent="0.25">
      <c r="A85">
        <v>12.25</v>
      </c>
      <c r="B85" t="s">
        <v>3</v>
      </c>
      <c r="C85" t="b">
        <f t="shared" si="7"/>
        <v>1</v>
      </c>
      <c r="D85" t="s">
        <v>115</v>
      </c>
      <c r="E85" s="6" t="s">
        <v>141</v>
      </c>
    </row>
    <row r="86" spans="1:5" x14ac:dyDescent="0.25">
      <c r="A86">
        <v>12.260000228881836</v>
      </c>
      <c r="B86" t="s">
        <v>2</v>
      </c>
      <c r="C86" t="b">
        <f t="shared" si="7"/>
        <v>1</v>
      </c>
      <c r="D86" t="s">
        <v>116</v>
      </c>
      <c r="E86" s="6" t="s">
        <v>117</v>
      </c>
    </row>
    <row r="87" spans="1:5" x14ac:dyDescent="0.25">
      <c r="A87">
        <v>12.270000457763672</v>
      </c>
      <c r="B87" t="s">
        <v>1</v>
      </c>
      <c r="C87" t="b">
        <f t="shared" si="7"/>
        <v>1</v>
      </c>
      <c r="D87" t="s">
        <v>116</v>
      </c>
      <c r="E87" s="6" t="s">
        <v>143</v>
      </c>
    </row>
    <row r="88" spans="1:5" x14ac:dyDescent="0.25">
      <c r="A88">
        <v>12.300000190734863</v>
      </c>
      <c r="B88" t="s">
        <v>3</v>
      </c>
      <c r="C88" t="b">
        <f t="shared" si="7"/>
        <v>1</v>
      </c>
      <c r="D88" t="s">
        <v>116</v>
      </c>
      <c r="E88" s="6" t="s">
        <v>144</v>
      </c>
    </row>
    <row r="89" spans="1:5" x14ac:dyDescent="0.25">
      <c r="A89">
        <v>12.310000419616699</v>
      </c>
      <c r="B89" t="s">
        <v>2</v>
      </c>
      <c r="C89" t="b">
        <f t="shared" si="7"/>
        <v>1</v>
      </c>
      <c r="D89" t="s">
        <v>161</v>
      </c>
      <c r="E89" t="s">
        <v>160</v>
      </c>
    </row>
    <row r="90" spans="1:5" x14ac:dyDescent="0.25">
      <c r="A90">
        <v>12.319999694824219</v>
      </c>
      <c r="B90" t="s">
        <v>1</v>
      </c>
      <c r="C90" t="b">
        <f t="shared" si="7"/>
        <v>1</v>
      </c>
      <c r="D90" t="s">
        <v>161</v>
      </c>
      <c r="E90" t="s">
        <v>157</v>
      </c>
    </row>
    <row r="91" spans="1:5" x14ac:dyDescent="0.25">
      <c r="A91">
        <v>12.420000076293945</v>
      </c>
      <c r="B91" t="s">
        <v>3</v>
      </c>
      <c r="C91" t="b">
        <f t="shared" si="7"/>
        <v>1</v>
      </c>
      <c r="D91" t="s">
        <v>161</v>
      </c>
      <c r="E91" t="s">
        <v>165</v>
      </c>
    </row>
    <row r="94" spans="1:5" x14ac:dyDescent="0.25">
      <c r="E94" s="6"/>
    </row>
    <row r="95" spans="1:5" x14ac:dyDescent="0.25">
      <c r="E95" s="6"/>
    </row>
    <row r="96" spans="1: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row r="109" spans="5:5" x14ac:dyDescent="0.25">
      <c r="E109" s="6"/>
    </row>
    <row r="110" spans="5:5" x14ac:dyDescent="0.25">
      <c r="E110" s="6"/>
    </row>
    <row r="111" spans="5:5" x14ac:dyDescent="0.25">
      <c r="E111" s="6"/>
    </row>
    <row r="112" spans="5:5" x14ac:dyDescent="0.25">
      <c r="E112" s="6"/>
    </row>
    <row r="113" spans="5:5" x14ac:dyDescent="0.25">
      <c r="E113" s="6"/>
    </row>
    <row r="114" spans="5:5" x14ac:dyDescent="0.25">
      <c r="E114" s="6"/>
    </row>
    <row r="115" spans="5:5" x14ac:dyDescent="0.25">
      <c r="E115" s="6"/>
    </row>
    <row r="116" spans="5:5" x14ac:dyDescent="0.25">
      <c r="E116" s="6"/>
    </row>
  </sheetData>
  <conditionalFormatting sqref="C10:C24 C26:C34 C36:C47 C1:C8 C49:C56 C62:C91">
    <cfRule type="containsText" dxfId="6" priority="18" operator="containsText" text="TRUE">
      <formula>NOT(ISERROR(SEARCH("TRUE",C1)))</formula>
    </cfRule>
  </conditionalFormatting>
  <conditionalFormatting sqref="C9">
    <cfRule type="colorScale" priority="15">
      <colorScale>
        <cfvo type="min"/>
        <cfvo type="percentile" val="50"/>
        <cfvo type="max"/>
        <color rgb="FFF8696B"/>
        <color rgb="FFFCFCFF"/>
        <color rgb="FF63BE7B"/>
      </colorScale>
    </cfRule>
  </conditionalFormatting>
  <conditionalFormatting sqref="C25">
    <cfRule type="colorScale" priority="10">
      <colorScale>
        <cfvo type="min"/>
        <cfvo type="percentile" val="50"/>
        <cfvo type="max"/>
        <color rgb="FFF8696B"/>
        <color rgb="FFFCFCFF"/>
        <color rgb="FF63BE7B"/>
      </colorScale>
    </cfRule>
  </conditionalFormatting>
  <conditionalFormatting sqref="C35">
    <cfRule type="colorScale" priority="8">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57:C61">
    <cfRule type="containsText" dxfId="5" priority="1" operator="containsText" text="TRUE">
      <formula>NOT(ISERROR(SEARCH("TRUE",C57)))</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NOT(ISERROR(SEARCH("TRUE",Queries_BB3!C49)))</xm:f>
            <x14:dxf>
              <font>
                <color rgb="FF006100"/>
              </font>
              <fill>
                <patternFill>
                  <bgColor rgb="FFC6EFCE"/>
                </patternFill>
              </fill>
            </x14:dxf>
          </x14:cfRule>
          <xm:sqref>C48</xm:sqref>
        </x14:conditionalFormatting>
        <x14:conditionalFormatting xmlns:xm="http://schemas.microsoft.com/office/excel/2006/main">
          <x14:cfRule type="containsText" priority="21" operator="containsText" text="TRUE" id="{49790E47-265C-4B12-A427-32C13585EFDD}">
            <xm:f>NOT(ISERROR(SEARCH("TRUE",Queries_BB3!C9)))</xm:f>
            <x14:dxf>
              <font>
                <color rgb="FF006100"/>
              </font>
              <fill>
                <patternFill>
                  <bgColor rgb="FFC6EFCE"/>
                </patternFill>
              </fill>
            </x14:dxf>
          </x14:cfRule>
          <xm:sqref>C25 C35 C9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6" width="10.28515625" customWidth="1"/>
    <col min="7" max="7" width="11.28515625" customWidth="1"/>
    <col min="8"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195</v>
      </c>
    </row>
    <row r="4" spans="2:10" x14ac:dyDescent="0.25">
      <c r="B4" s="1" t="s">
        <v>112</v>
      </c>
      <c r="F4" s="1" t="s">
        <v>213</v>
      </c>
      <c r="G4" s="1" t="s">
        <v>85</v>
      </c>
    </row>
    <row r="6" spans="2:10" x14ac:dyDescent="0.25">
      <c r="B6" s="1" t="s">
        <v>167</v>
      </c>
      <c r="C6" s="1" t="s">
        <v>214</v>
      </c>
      <c r="D6" s="1" t="s">
        <v>15</v>
      </c>
      <c r="E6" s="1" t="s">
        <v>86</v>
      </c>
    </row>
    <row r="7" spans="2:10" x14ac:dyDescent="0.25">
      <c r="J7" s="3"/>
    </row>
    <row r="8" spans="2:10" x14ac:dyDescent="0.25">
      <c r="J8" s="3"/>
    </row>
    <row r="9" spans="2:10" x14ac:dyDescent="0.25">
      <c r="J9" s="3"/>
    </row>
    <row r="10" spans="2:10" x14ac:dyDescent="0.25">
      <c r="J10" s="3"/>
    </row>
    <row r="11" spans="2:10" x14ac:dyDescent="0.25">
      <c r="J11" s="3"/>
    </row>
    <row r="12" spans="2:10" x14ac:dyDescent="0.25">
      <c r="J12" s="3"/>
    </row>
    <row r="13" spans="2:10" x14ac:dyDescent="0.25">
      <c r="J13" s="3"/>
    </row>
    <row r="14" spans="2:10" x14ac:dyDescent="0.25">
      <c r="J14" s="3"/>
    </row>
    <row r="15" spans="2:10" x14ac:dyDescent="0.25">
      <c r="J15" s="3"/>
    </row>
    <row r="16" spans="2:10" x14ac:dyDescent="0.25">
      <c r="J16" s="3"/>
    </row>
    <row r="17" spans="10:10" x14ac:dyDescent="0.25">
      <c r="J17" s="3"/>
    </row>
    <row r="18" spans="10:10" x14ac:dyDescent="0.25">
      <c r="J18" s="3"/>
    </row>
    <row r="19" spans="10:10" x14ac:dyDescent="0.25">
      <c r="J19" s="3"/>
    </row>
    <row r="20" spans="10:10" x14ac:dyDescent="0.25">
      <c r="J20" s="3"/>
    </row>
    <row r="21" spans="10:10" x14ac:dyDescent="0.25">
      <c r="J21" s="3"/>
    </row>
    <row r="22" spans="10:10" x14ac:dyDescent="0.25">
      <c r="J22" s="3"/>
    </row>
    <row r="23" spans="10:10" x14ac:dyDescent="0.25">
      <c r="J23" s="3"/>
    </row>
    <row r="24" spans="10:10" x14ac:dyDescent="0.25">
      <c r="J24" s="3"/>
    </row>
    <row r="25" spans="10:10" x14ac:dyDescent="0.25">
      <c r="J25" s="3"/>
    </row>
    <row r="26" spans="10:10" x14ac:dyDescent="0.25">
      <c r="J26" s="3"/>
    </row>
    <row r="27" spans="10:10" x14ac:dyDescent="0.25">
      <c r="J27" s="3"/>
    </row>
    <row r="28" spans="10:10" x14ac:dyDescent="0.25">
      <c r="J28" s="3"/>
    </row>
    <row r="29" spans="10:10" x14ac:dyDescent="0.25">
      <c r="J29" s="3"/>
    </row>
    <row r="30" spans="10:10" x14ac:dyDescent="0.25">
      <c r="J30" s="3"/>
    </row>
    <row r="31" spans="10:10" x14ac:dyDescent="0.25">
      <c r="J31" s="3"/>
    </row>
    <row r="32" spans="10: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6"/>
  <sheetViews>
    <sheetView topLeftCell="A7"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6" width="7.42578125" customWidth="1"/>
    <col min="7" max="53" width="15.42578125" bestFit="1" customWidth="1"/>
    <col min="54" max="54" width="12" customWidth="1"/>
    <col min="55" max="222" width="23.42578125" bestFit="1" customWidth="1"/>
    <col min="223" max="223" width="11.28515625" bestFit="1" customWidth="1"/>
  </cols>
  <sheetData>
    <row r="2" spans="2:6" x14ac:dyDescent="0.25">
      <c r="B2" s="1" t="s">
        <v>169</v>
      </c>
      <c r="C2" t="s">
        <v>195</v>
      </c>
    </row>
    <row r="3" spans="2:6" x14ac:dyDescent="0.25">
      <c r="B3" s="1" t="s">
        <v>11</v>
      </c>
      <c r="C3" t="s">
        <v>195</v>
      </c>
    </row>
    <row r="5" spans="2:6" x14ac:dyDescent="0.25">
      <c r="B5" s="1" t="s">
        <v>153</v>
      </c>
      <c r="F5" s="1" t="s">
        <v>154</v>
      </c>
    </row>
    <row r="6" spans="2:6" x14ac:dyDescent="0.25">
      <c r="B6" s="1" t="s">
        <v>167</v>
      </c>
      <c r="C6" s="1" t="s">
        <v>214</v>
      </c>
      <c r="D6" s="1" t="s">
        <v>15</v>
      </c>
      <c r="E6" s="1" t="s">
        <v>86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M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2" width="13.5703125" customWidth="1"/>
    <col min="13"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3" x14ac:dyDescent="0.25">
      <c r="B1" s="1" t="s">
        <v>169</v>
      </c>
      <c r="C1" t="s">
        <v>209</v>
      </c>
    </row>
    <row r="3" spans="2:13" x14ac:dyDescent="0.25">
      <c r="B3" s="1" t="s">
        <v>13</v>
      </c>
      <c r="E3" s="1" t="s">
        <v>12</v>
      </c>
    </row>
    <row r="4" spans="2:13" x14ac:dyDescent="0.25">
      <c r="B4" s="1" t="s">
        <v>11</v>
      </c>
      <c r="C4" s="1" t="s">
        <v>167</v>
      </c>
      <c r="D4" s="1" t="s">
        <v>214</v>
      </c>
      <c r="E4" t="s">
        <v>9</v>
      </c>
      <c r="F4" t="s">
        <v>201</v>
      </c>
      <c r="G4" t="s">
        <v>202</v>
      </c>
      <c r="H4" t="s">
        <v>205</v>
      </c>
      <c r="I4" t="s">
        <v>10</v>
      </c>
      <c r="J4" t="s">
        <v>204</v>
      </c>
      <c r="K4" t="s">
        <v>149</v>
      </c>
      <c r="L4" t="s">
        <v>243</v>
      </c>
      <c r="M4" t="s">
        <v>0</v>
      </c>
    </row>
    <row r="5" spans="2:13" x14ac:dyDescent="0.25">
      <c r="B5" t="s">
        <v>16</v>
      </c>
      <c r="C5" t="s">
        <v>215</v>
      </c>
      <c r="D5" t="s">
        <v>215</v>
      </c>
      <c r="E5" s="5"/>
      <c r="F5" s="5">
        <v>0.78061100000000005</v>
      </c>
      <c r="G5" s="3">
        <v>0.75020790923040903</v>
      </c>
      <c r="H5" s="3">
        <v>0.14892</v>
      </c>
      <c r="I5" s="3">
        <v>0.03</v>
      </c>
      <c r="J5" s="3">
        <v>0.20147999999999999</v>
      </c>
      <c r="K5" s="3">
        <v>1.2071279999999998</v>
      </c>
      <c r="L5" s="3"/>
      <c r="M5" s="3">
        <v>3.118346909230409</v>
      </c>
    </row>
    <row r="6" spans="2:13" x14ac:dyDescent="0.25">
      <c r="B6" t="s">
        <v>19</v>
      </c>
      <c r="C6" t="s">
        <v>215</v>
      </c>
      <c r="D6" t="s">
        <v>215</v>
      </c>
      <c r="E6" s="5"/>
      <c r="F6" s="5">
        <v>0.11622</v>
      </c>
      <c r="G6" s="3">
        <v>2.82234105763518</v>
      </c>
      <c r="H6" s="3"/>
      <c r="I6" s="3">
        <v>4.0200000000000001E-4</v>
      </c>
      <c r="J6" s="3"/>
      <c r="K6" s="3">
        <v>0.47304000000000002</v>
      </c>
      <c r="L6" s="3"/>
      <c r="M6" s="3">
        <v>3.4120030576351801</v>
      </c>
    </row>
    <row r="7" spans="2:13" x14ac:dyDescent="0.25">
      <c r="B7" t="s">
        <v>20</v>
      </c>
      <c r="C7" t="s">
        <v>215</v>
      </c>
      <c r="D7" t="s">
        <v>215</v>
      </c>
      <c r="E7" s="5">
        <v>8.7830410424068805E-2</v>
      </c>
      <c r="F7" s="5">
        <v>0.98593299999999995</v>
      </c>
      <c r="G7" s="3">
        <v>2.8718558130322802</v>
      </c>
      <c r="H7" s="3">
        <v>1.01616</v>
      </c>
      <c r="I7" s="3">
        <v>0.61343999999999999</v>
      </c>
      <c r="J7" s="3">
        <v>9.1104000000000004E-2</v>
      </c>
      <c r="K7" s="3">
        <v>0.42310799999999998</v>
      </c>
      <c r="L7" s="3">
        <v>0.32412000000000002</v>
      </c>
      <c r="M7" s="3">
        <v>6.4135512234563485</v>
      </c>
    </row>
    <row r="8" spans="2:13" x14ac:dyDescent="0.25">
      <c r="B8" t="s">
        <v>0</v>
      </c>
      <c r="E8" s="5">
        <v>8.7830410424068805E-2</v>
      </c>
      <c r="F8" s="5">
        <v>1.8827639999999999</v>
      </c>
      <c r="G8" s="3">
        <v>6.4444047798978694</v>
      </c>
      <c r="H8" s="3">
        <v>1.1650799999999999</v>
      </c>
      <c r="I8" s="3">
        <v>0.64384200000000003</v>
      </c>
      <c r="J8" s="3">
        <v>0.29258400000000001</v>
      </c>
      <c r="K8" s="3">
        <v>2.1032759999999997</v>
      </c>
      <c r="L8" s="3">
        <v>0.32412000000000002</v>
      </c>
      <c r="M8" s="3">
        <v>12.943901190321938</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31"/>
  <sheetViews>
    <sheetView zoomScale="70" zoomScaleNormal="70" workbookViewId="0">
      <selection activeCell="K17" sqref="K17"/>
    </sheetView>
  </sheetViews>
  <sheetFormatPr defaultRowHeight="15" x14ac:dyDescent="0.25"/>
  <cols>
    <col min="2" max="2" width="16" bestFit="1" customWidth="1"/>
    <col min="3" max="3" width="9.5703125" customWidth="1"/>
    <col min="4" max="5" width="9.140625" customWidth="1"/>
    <col min="6" max="14" width="18.7109375" bestFit="1" customWidth="1"/>
    <col min="15"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5" x14ac:dyDescent="0.25">
      <c r="B2" s="1" t="s">
        <v>169</v>
      </c>
      <c r="C2" t="s">
        <v>209</v>
      </c>
    </row>
    <row r="3" spans="2:15" x14ac:dyDescent="0.25">
      <c r="B3" s="1" t="s">
        <v>11</v>
      </c>
      <c r="C3" t="s">
        <v>195</v>
      </c>
    </row>
    <row r="5" spans="2:15" x14ac:dyDescent="0.25">
      <c r="B5" s="1" t="s">
        <v>14</v>
      </c>
      <c r="F5" s="1" t="s">
        <v>255</v>
      </c>
    </row>
    <row r="6" spans="2:15" x14ac:dyDescent="0.25">
      <c r="B6" s="1" t="s">
        <v>167</v>
      </c>
      <c r="C6" s="1" t="s">
        <v>214</v>
      </c>
      <c r="D6" s="1" t="s">
        <v>15</v>
      </c>
      <c r="E6" s="1" t="s">
        <v>86</v>
      </c>
      <c r="F6" t="s">
        <v>257</v>
      </c>
      <c r="G6" t="s">
        <v>259</v>
      </c>
      <c r="H6" t="s">
        <v>262</v>
      </c>
      <c r="I6" t="s">
        <v>263</v>
      </c>
      <c r="J6" t="s">
        <v>258</v>
      </c>
      <c r="K6" t="s">
        <v>264</v>
      </c>
      <c r="L6" t="s">
        <v>260</v>
      </c>
      <c r="M6" t="s">
        <v>256</v>
      </c>
      <c r="N6" t="s">
        <v>261</v>
      </c>
      <c r="O6" t="s">
        <v>0</v>
      </c>
    </row>
    <row r="7" spans="2:15" x14ac:dyDescent="0.25">
      <c r="B7" t="s">
        <v>215</v>
      </c>
      <c r="C7" t="s">
        <v>215</v>
      </c>
      <c r="D7" t="s">
        <v>251</v>
      </c>
      <c r="E7" t="s">
        <v>45</v>
      </c>
      <c r="F7" s="3">
        <v>9699.2936076229962</v>
      </c>
      <c r="G7" s="3">
        <v>45035.353773973635</v>
      </c>
      <c r="H7" s="3">
        <v>1922.044534146843</v>
      </c>
      <c r="I7" s="3">
        <v>-126.09637188208617</v>
      </c>
      <c r="J7" s="3">
        <v>2480.04302321976</v>
      </c>
      <c r="K7" s="3">
        <v>13706.107228792593</v>
      </c>
      <c r="L7" s="3">
        <v>13829.162535144897</v>
      </c>
      <c r="M7" s="3"/>
      <c r="N7" s="3">
        <v>17311.331966654056</v>
      </c>
      <c r="O7" s="3">
        <v>103857.24029767269</v>
      </c>
    </row>
    <row r="8" spans="2:15" x14ac:dyDescent="0.25">
      <c r="B8" t="s">
        <v>215</v>
      </c>
      <c r="C8" t="s">
        <v>215</v>
      </c>
      <c r="D8" t="s">
        <v>251</v>
      </c>
      <c r="E8" t="s">
        <v>46</v>
      </c>
      <c r="F8" s="3">
        <v>9681.6154347236534</v>
      </c>
      <c r="G8" s="3">
        <v>45018.88199521738</v>
      </c>
      <c r="H8" s="3">
        <v>683.05633531305398</v>
      </c>
      <c r="I8" s="3">
        <v>-126.09637188208617</v>
      </c>
      <c r="J8" s="3">
        <v>2369.5283624408489</v>
      </c>
      <c r="K8" s="3">
        <v>13054.399007480335</v>
      </c>
      <c r="L8" s="3">
        <v>13829.162535144897</v>
      </c>
      <c r="M8" s="3"/>
      <c r="N8" s="3">
        <v>17318.522643738739</v>
      </c>
      <c r="O8" s="3">
        <v>101829.06994217684</v>
      </c>
    </row>
    <row r="9" spans="2:15" x14ac:dyDescent="0.25">
      <c r="B9" t="s">
        <v>215</v>
      </c>
      <c r="C9" t="s">
        <v>215</v>
      </c>
      <c r="D9" t="s">
        <v>251</v>
      </c>
      <c r="E9" t="s">
        <v>47</v>
      </c>
      <c r="F9" s="3">
        <v>9663.3499661604365</v>
      </c>
      <c r="G9" s="3">
        <v>45018.88199521738</v>
      </c>
      <c r="H9" s="3">
        <v>1887.995901095805</v>
      </c>
      <c r="I9" s="3">
        <v>-126.09637188208617</v>
      </c>
      <c r="J9" s="3">
        <v>2370.5637547469869</v>
      </c>
      <c r="K9" s="3">
        <v>12988.05898876723</v>
      </c>
      <c r="L9" s="3">
        <v>13829.162535144897</v>
      </c>
      <c r="M9" s="3"/>
      <c r="N9" s="3">
        <v>17210.80544110779</v>
      </c>
      <c r="O9" s="3">
        <v>102842.72221035844</v>
      </c>
    </row>
    <row r="10" spans="2:15" x14ac:dyDescent="0.25">
      <c r="B10" t="s">
        <v>215</v>
      </c>
      <c r="C10" t="s">
        <v>215</v>
      </c>
      <c r="D10" t="s">
        <v>251</v>
      </c>
      <c r="E10" t="s">
        <v>48</v>
      </c>
      <c r="F10" s="3">
        <v>9669.732439341371</v>
      </c>
      <c r="G10" s="3">
        <v>45018.88199521738</v>
      </c>
      <c r="H10" s="3">
        <v>119.1</v>
      </c>
      <c r="I10" s="3">
        <v>-126.09637188208617</v>
      </c>
      <c r="J10" s="3">
        <v>2374.5928186216761</v>
      </c>
      <c r="K10" s="3">
        <v>13329.004010515611</v>
      </c>
      <c r="L10" s="3">
        <v>13829.162535144897</v>
      </c>
      <c r="M10" s="3"/>
      <c r="N10" s="3">
        <v>16825.233279227745</v>
      </c>
      <c r="O10" s="3">
        <v>101039.61070618659</v>
      </c>
    </row>
    <row r="11" spans="2:15" x14ac:dyDescent="0.25">
      <c r="B11" t="s">
        <v>215</v>
      </c>
      <c r="C11" t="s">
        <v>215</v>
      </c>
      <c r="D11" t="s">
        <v>251</v>
      </c>
      <c r="E11" t="s">
        <v>49</v>
      </c>
      <c r="F11" s="3">
        <v>10279.030723915586</v>
      </c>
      <c r="G11" s="3">
        <v>45135.508334357801</v>
      </c>
      <c r="H11" s="3">
        <v>1254.8974421061637</v>
      </c>
      <c r="I11" s="3">
        <v>-126.09637188208617</v>
      </c>
      <c r="J11" s="3">
        <v>2448.5812168215061</v>
      </c>
      <c r="K11" s="3">
        <v>14212.83232316979</v>
      </c>
      <c r="L11" s="3">
        <v>13829.162535144897</v>
      </c>
      <c r="M11" s="3"/>
      <c r="N11" s="3">
        <v>16070.588950084248</v>
      </c>
      <c r="O11" s="3">
        <v>103104.5051537179</v>
      </c>
    </row>
    <row r="12" spans="2:15" x14ac:dyDescent="0.25">
      <c r="B12" t="s">
        <v>215</v>
      </c>
      <c r="C12" t="s">
        <v>215</v>
      </c>
      <c r="D12" t="s">
        <v>251</v>
      </c>
      <c r="E12" t="s">
        <v>50</v>
      </c>
      <c r="F12" s="3">
        <v>9710.6052612721833</v>
      </c>
      <c r="G12" s="3">
        <v>45473.88199521738</v>
      </c>
      <c r="H12" s="3">
        <v>1176.7439277568501</v>
      </c>
      <c r="I12" s="3">
        <v>-126.09637188208617</v>
      </c>
      <c r="J12" s="3">
        <v>3035.0998993441667</v>
      </c>
      <c r="K12" s="3">
        <v>15440.97681834264</v>
      </c>
      <c r="L12" s="3">
        <v>13829.162535144897</v>
      </c>
      <c r="M12" s="3">
        <v>91.934696158323504</v>
      </c>
      <c r="N12" s="3">
        <v>15373.778556644525</v>
      </c>
      <c r="O12" s="3">
        <v>104006.08731799887</v>
      </c>
    </row>
    <row r="13" spans="2:15" x14ac:dyDescent="0.25">
      <c r="B13" t="s">
        <v>215</v>
      </c>
      <c r="C13" t="s">
        <v>215</v>
      </c>
      <c r="D13" t="s">
        <v>251</v>
      </c>
      <c r="E13" t="s">
        <v>170</v>
      </c>
      <c r="F13" s="3">
        <v>9708.7550842077726</v>
      </c>
      <c r="G13" s="3">
        <v>45773.88199521738</v>
      </c>
      <c r="H13" s="3">
        <v>1146</v>
      </c>
      <c r="I13" s="3">
        <v>-181.63970729019746</v>
      </c>
      <c r="J13" s="3">
        <v>3259.6358871716557</v>
      </c>
      <c r="K13" s="3">
        <v>18561.966028374274</v>
      </c>
      <c r="L13" s="3">
        <v>13829.162535144897</v>
      </c>
      <c r="M13" s="3">
        <v>183.86939231664701</v>
      </c>
      <c r="N13" s="3">
        <v>14270.277819800309</v>
      </c>
      <c r="O13" s="3">
        <v>106551.90903494274</v>
      </c>
    </row>
    <row r="14" spans="2:15" x14ac:dyDescent="0.25">
      <c r="B14" t="s">
        <v>215</v>
      </c>
      <c r="C14" t="s">
        <v>215</v>
      </c>
      <c r="D14" t="s">
        <v>251</v>
      </c>
      <c r="E14" t="s">
        <v>171</v>
      </c>
      <c r="F14" s="3">
        <v>9765.1982786442368</v>
      </c>
      <c r="G14" s="3">
        <v>45773.88199521738</v>
      </c>
      <c r="H14" s="3">
        <v>2415</v>
      </c>
      <c r="I14" s="3">
        <v>-126.09637188208617</v>
      </c>
      <c r="J14" s="3">
        <v>3929.7575112246768</v>
      </c>
      <c r="K14" s="3">
        <v>21167.920776074268</v>
      </c>
      <c r="L14" s="3">
        <v>13829.162535144897</v>
      </c>
      <c r="M14" s="3">
        <v>220.643270779977</v>
      </c>
      <c r="N14" s="3">
        <v>14486.213089911464</v>
      </c>
      <c r="O14" s="3">
        <v>111461.68108511483</v>
      </c>
    </row>
    <row r="15" spans="2:15" x14ac:dyDescent="0.25">
      <c r="B15" t="s">
        <v>215</v>
      </c>
      <c r="C15" t="s">
        <v>215</v>
      </c>
      <c r="D15" t="s">
        <v>251</v>
      </c>
      <c r="E15" t="s">
        <v>172</v>
      </c>
      <c r="F15" s="3">
        <v>9764.2176462407551</v>
      </c>
      <c r="G15" s="3">
        <v>45773.88199521738</v>
      </c>
      <c r="H15" s="3">
        <v>1567.3273972602728</v>
      </c>
      <c r="I15" s="3">
        <v>-223.64739229024946</v>
      </c>
      <c r="J15" s="3">
        <v>3968.8198662359459</v>
      </c>
      <c r="K15" s="3">
        <v>22188.136954812453</v>
      </c>
      <c r="L15" s="3">
        <v>13829.162535144897</v>
      </c>
      <c r="M15" s="3">
        <v>1176.0805771593928</v>
      </c>
      <c r="N15" s="3">
        <v>15373.130235023491</v>
      </c>
      <c r="O15" s="3">
        <v>113417.10981480432</v>
      </c>
    </row>
    <row r="16" spans="2:15" x14ac:dyDescent="0.25">
      <c r="B16" t="s">
        <v>215</v>
      </c>
      <c r="C16" t="s">
        <v>215</v>
      </c>
      <c r="D16" t="s">
        <v>251</v>
      </c>
      <c r="E16" t="s">
        <v>173</v>
      </c>
      <c r="F16" s="3">
        <v>9707.7521004263072</v>
      </c>
      <c r="G16" s="3">
        <v>45773.88199521738</v>
      </c>
      <c r="H16" s="3">
        <v>4578</v>
      </c>
      <c r="I16" s="3">
        <v>-223.64739229024946</v>
      </c>
      <c r="J16" s="3">
        <v>3643.1971332875896</v>
      </c>
      <c r="K16" s="3">
        <v>21618.585234143378</v>
      </c>
      <c r="L16" s="3">
        <v>13829.162535144897</v>
      </c>
      <c r="M16" s="3">
        <v>8130.4619303789168</v>
      </c>
      <c r="N16" s="3">
        <v>15993.88832320045</v>
      </c>
      <c r="O16" s="3">
        <v>123051.28185950867</v>
      </c>
    </row>
    <row r="17" spans="2:15" x14ac:dyDescent="0.25">
      <c r="B17" t="s">
        <v>215</v>
      </c>
      <c r="C17" t="s">
        <v>215</v>
      </c>
      <c r="D17" t="s">
        <v>251</v>
      </c>
      <c r="E17" t="s">
        <v>174</v>
      </c>
      <c r="F17" s="3">
        <v>9412.8596312897644</v>
      </c>
      <c r="G17" s="3">
        <v>45773.88199521738</v>
      </c>
      <c r="H17" s="3">
        <v>16.641369863013701</v>
      </c>
      <c r="I17" s="3">
        <v>-215.24892036887337</v>
      </c>
      <c r="J17" s="3">
        <v>3699.6682022286127</v>
      </c>
      <c r="K17" s="3">
        <v>21238.486268165601</v>
      </c>
      <c r="L17" s="3">
        <v>13829.162535144897</v>
      </c>
      <c r="M17" s="3">
        <v>18563.825332569784</v>
      </c>
      <c r="N17" s="3">
        <v>16842.929557754676</v>
      </c>
      <c r="O17" s="3">
        <v>129162.20597186484</v>
      </c>
    </row>
    <row r="18" spans="2:15" x14ac:dyDescent="0.25">
      <c r="B18" t="s">
        <v>215</v>
      </c>
      <c r="C18" t="s">
        <v>215</v>
      </c>
      <c r="D18" t="s">
        <v>251</v>
      </c>
      <c r="E18" t="s">
        <v>208</v>
      </c>
      <c r="F18" s="3">
        <v>9678.1230774689902</v>
      </c>
      <c r="G18" s="3">
        <v>45773.88199521738</v>
      </c>
      <c r="H18" s="3">
        <v>1661.8317488185398</v>
      </c>
      <c r="I18" s="3">
        <v>-208.59177669092497</v>
      </c>
      <c r="J18" s="3">
        <v>3571.857634333699</v>
      </c>
      <c r="K18" s="3">
        <v>20383.402904964649</v>
      </c>
      <c r="L18" s="3">
        <v>13829.162535144897</v>
      </c>
      <c r="M18" s="3">
        <v>28115.141446769296</v>
      </c>
      <c r="N18" s="3">
        <v>17702.689269213217</v>
      </c>
      <c r="O18" s="3">
        <v>140507.49883523973</v>
      </c>
    </row>
    <row r="19" spans="2:15" x14ac:dyDescent="0.25">
      <c r="B19" t="s">
        <v>215</v>
      </c>
      <c r="C19" t="s">
        <v>215</v>
      </c>
      <c r="D19" t="s">
        <v>251</v>
      </c>
      <c r="E19" t="s">
        <v>228</v>
      </c>
      <c r="F19" s="3">
        <v>9690.6637124212739</v>
      </c>
      <c r="G19" s="3">
        <v>45773.88199521738</v>
      </c>
      <c r="H19" s="3">
        <v>1146</v>
      </c>
      <c r="I19" s="3">
        <v>-205.44963919765468</v>
      </c>
      <c r="J19" s="3">
        <v>3566.9506751754116</v>
      </c>
      <c r="K19" s="3">
        <v>19869.441915448577</v>
      </c>
      <c r="L19" s="3">
        <v>13829.162535144897</v>
      </c>
      <c r="M19" s="3">
        <v>32167.59619761975</v>
      </c>
      <c r="N19" s="3">
        <v>19900.164076742749</v>
      </c>
      <c r="O19" s="3">
        <v>145738.41146857236</v>
      </c>
    </row>
    <row r="20" spans="2:15" x14ac:dyDescent="0.25">
      <c r="B20" t="s">
        <v>215</v>
      </c>
      <c r="C20" t="s">
        <v>215</v>
      </c>
      <c r="D20" t="s">
        <v>251</v>
      </c>
      <c r="E20" t="s">
        <v>229</v>
      </c>
      <c r="F20" s="3">
        <v>12888.634539683952</v>
      </c>
      <c r="G20" s="3">
        <v>45773.88199521738</v>
      </c>
      <c r="H20" s="3">
        <v>1651.220405143652</v>
      </c>
      <c r="I20" s="3">
        <v>-204.53348919370296</v>
      </c>
      <c r="J20" s="3">
        <v>3561.0001294018657</v>
      </c>
      <c r="K20" s="3">
        <v>19081.937882907965</v>
      </c>
      <c r="L20" s="3">
        <v>13829.162535144897</v>
      </c>
      <c r="M20" s="3">
        <v>27881.221233303357</v>
      </c>
      <c r="N20" s="3">
        <v>21843.206837636131</v>
      </c>
      <c r="O20" s="3">
        <v>146305.73206924551</v>
      </c>
    </row>
    <row r="21" spans="2:15" x14ac:dyDescent="0.25">
      <c r="B21" t="s">
        <v>215</v>
      </c>
      <c r="C21" t="s">
        <v>215</v>
      </c>
      <c r="D21" t="s">
        <v>251</v>
      </c>
      <c r="E21" t="s">
        <v>230</v>
      </c>
      <c r="F21" s="3">
        <v>9729.1162646547582</v>
      </c>
      <c r="G21" s="3">
        <v>45773.88199521738</v>
      </c>
      <c r="H21" s="3"/>
      <c r="I21" s="3">
        <v>-206.30349069756085</v>
      </c>
      <c r="J21" s="3">
        <v>3566.1448057285434</v>
      </c>
      <c r="K21" s="3">
        <v>19010.00533098786</v>
      </c>
      <c r="L21" s="3">
        <v>13829.162535144897</v>
      </c>
      <c r="M21" s="3">
        <v>18207.360577234642</v>
      </c>
      <c r="N21" s="3">
        <v>22975.854937674332</v>
      </c>
      <c r="O21" s="3">
        <v>132885.22295594486</v>
      </c>
    </row>
    <row r="22" spans="2:15" x14ac:dyDescent="0.25">
      <c r="B22" t="s">
        <v>215</v>
      </c>
      <c r="C22" t="s">
        <v>215</v>
      </c>
      <c r="D22" t="s">
        <v>251</v>
      </c>
      <c r="E22" t="s">
        <v>231</v>
      </c>
      <c r="F22" s="3">
        <v>9680.143436491413</v>
      </c>
      <c r="G22" s="3">
        <v>50928.842831080707</v>
      </c>
      <c r="H22" s="3">
        <v>364.77133298230501</v>
      </c>
      <c r="I22" s="3">
        <v>-134.48853844080347</v>
      </c>
      <c r="J22" s="3">
        <v>3576.5988569108868</v>
      </c>
      <c r="K22" s="3">
        <v>19182.58007840917</v>
      </c>
      <c r="L22" s="3">
        <v>13829.162535144897</v>
      </c>
      <c r="M22" s="3">
        <v>9142.2192496858097</v>
      </c>
      <c r="N22" s="3">
        <v>24828.31849067349</v>
      </c>
      <c r="O22" s="3">
        <v>131398.14827293786</v>
      </c>
    </row>
    <row r="23" spans="2:15" x14ac:dyDescent="0.25">
      <c r="B23" t="s">
        <v>215</v>
      </c>
      <c r="C23" t="s">
        <v>215</v>
      </c>
      <c r="D23" t="s">
        <v>251</v>
      </c>
      <c r="E23" t="s">
        <v>232</v>
      </c>
      <c r="F23" s="3">
        <v>9427.2682968392783</v>
      </c>
      <c r="G23" s="3">
        <v>45773.88199521738</v>
      </c>
      <c r="H23" s="3">
        <v>1250.83724470328</v>
      </c>
      <c r="I23" s="3">
        <v>-201.42693511548845</v>
      </c>
      <c r="J23" s="3">
        <v>3703.5077807245152</v>
      </c>
      <c r="K23" s="3">
        <v>19326.942528018681</v>
      </c>
      <c r="L23" s="3">
        <v>13829.162535144897</v>
      </c>
      <c r="M23" s="3">
        <v>1256.898982558145</v>
      </c>
      <c r="N23" s="3">
        <v>27359.207206460971</v>
      </c>
      <c r="O23" s="3">
        <v>121726.27963455165</v>
      </c>
    </row>
    <row r="24" spans="2:15" x14ac:dyDescent="0.25">
      <c r="B24" t="s">
        <v>215</v>
      </c>
      <c r="C24" t="s">
        <v>215</v>
      </c>
      <c r="D24" t="s">
        <v>251</v>
      </c>
      <c r="E24" t="s">
        <v>233</v>
      </c>
      <c r="F24" s="3">
        <v>9395.6820023141681</v>
      </c>
      <c r="G24" s="3">
        <v>45773.88199521738</v>
      </c>
      <c r="H24" s="3">
        <v>2317.5807541567801</v>
      </c>
      <c r="I24" s="3">
        <v>-128.4983790957381</v>
      </c>
      <c r="J24" s="3">
        <v>3598.0770439674711</v>
      </c>
      <c r="K24" s="3">
        <v>18395.820988371332</v>
      </c>
      <c r="L24" s="3">
        <v>13829.162535144897</v>
      </c>
      <c r="M24" s="3">
        <v>36.773878463329403</v>
      </c>
      <c r="N24" s="3">
        <v>29740.490665036625</v>
      </c>
      <c r="O24" s="3">
        <v>122958.97148357623</v>
      </c>
    </row>
    <row r="25" spans="2:15" x14ac:dyDescent="0.25">
      <c r="B25" t="s">
        <v>215</v>
      </c>
      <c r="C25" t="s">
        <v>215</v>
      </c>
      <c r="D25" t="s">
        <v>251</v>
      </c>
      <c r="E25" t="s">
        <v>234</v>
      </c>
      <c r="F25" s="3">
        <v>9685.2479780870271</v>
      </c>
      <c r="G25" s="3">
        <v>45737.323106383112</v>
      </c>
      <c r="H25" s="3">
        <v>2263.9903941850334</v>
      </c>
      <c r="I25" s="3">
        <v>-192.33953417648246</v>
      </c>
      <c r="J25" s="3">
        <v>3647.3263044998848</v>
      </c>
      <c r="K25" s="3">
        <v>18213.812868279267</v>
      </c>
      <c r="L25" s="3">
        <v>13829.162535144897</v>
      </c>
      <c r="M25" s="3">
        <v>36.773878463329403</v>
      </c>
      <c r="N25" s="3">
        <v>33353.71920618997</v>
      </c>
      <c r="O25" s="3">
        <v>126575.01673705604</v>
      </c>
    </row>
    <row r="26" spans="2:15" x14ac:dyDescent="0.25">
      <c r="B26" t="s">
        <v>215</v>
      </c>
      <c r="C26" t="s">
        <v>215</v>
      </c>
      <c r="D26" t="s">
        <v>251</v>
      </c>
      <c r="E26" t="s">
        <v>235</v>
      </c>
      <c r="F26" s="3">
        <v>10245.621367031876</v>
      </c>
      <c r="G26" s="3">
        <v>53070.666384910721</v>
      </c>
      <c r="H26" s="3"/>
      <c r="I26" s="3">
        <v>-185.35709103704232</v>
      </c>
      <c r="J26" s="3">
        <v>3417.0898688058287</v>
      </c>
      <c r="K26" s="3">
        <v>18188.056676289867</v>
      </c>
      <c r="L26" s="3">
        <v>13829.162535144897</v>
      </c>
      <c r="M26" s="3">
        <v>18.386939231664702</v>
      </c>
      <c r="N26" s="3">
        <v>36487.941214878956</v>
      </c>
      <c r="O26" s="3">
        <v>135071.5678952568</v>
      </c>
    </row>
    <row r="27" spans="2:15" x14ac:dyDescent="0.25">
      <c r="B27" t="s">
        <v>215</v>
      </c>
      <c r="C27" t="s">
        <v>215</v>
      </c>
      <c r="D27" t="s">
        <v>251</v>
      </c>
      <c r="E27" t="s">
        <v>236</v>
      </c>
      <c r="F27" s="3">
        <v>9448.3022764608104</v>
      </c>
      <c r="G27" s="3">
        <v>45473.88199521738</v>
      </c>
      <c r="H27" s="3">
        <v>119.1</v>
      </c>
      <c r="I27" s="3">
        <v>-176.16672365441843</v>
      </c>
      <c r="J27" s="3">
        <v>3370.7580907003912</v>
      </c>
      <c r="K27" s="3">
        <v>17538.523735921579</v>
      </c>
      <c r="L27" s="3">
        <v>13829.162535144897</v>
      </c>
      <c r="M27" s="3"/>
      <c r="N27" s="3">
        <v>38564.951405288346</v>
      </c>
      <c r="O27" s="3">
        <v>128168.51331507899</v>
      </c>
    </row>
    <row r="28" spans="2:15" x14ac:dyDescent="0.25">
      <c r="B28" t="s">
        <v>215</v>
      </c>
      <c r="C28" t="s">
        <v>215</v>
      </c>
      <c r="D28" t="s">
        <v>251</v>
      </c>
      <c r="E28" t="s">
        <v>237</v>
      </c>
      <c r="F28" s="3">
        <v>9447.210438349779</v>
      </c>
      <c r="G28" s="3">
        <v>45473.88199521738</v>
      </c>
      <c r="H28" s="3">
        <v>2163</v>
      </c>
      <c r="I28" s="3">
        <v>-170.27306505939544</v>
      </c>
      <c r="J28" s="3">
        <v>3310.5647226434189</v>
      </c>
      <c r="K28" s="3">
        <v>16313.077658715169</v>
      </c>
      <c r="L28" s="3">
        <v>13829.162535144897</v>
      </c>
      <c r="M28" s="3"/>
      <c r="N28" s="3">
        <v>40924.497954198225</v>
      </c>
      <c r="O28" s="3">
        <v>131291.12223920945</v>
      </c>
    </row>
    <row r="29" spans="2:15" x14ac:dyDescent="0.25">
      <c r="B29" t="s">
        <v>215</v>
      </c>
      <c r="C29" t="s">
        <v>215</v>
      </c>
      <c r="D29" t="s">
        <v>251</v>
      </c>
      <c r="E29" t="s">
        <v>238</v>
      </c>
      <c r="F29" s="3">
        <v>9446.3915597665055</v>
      </c>
      <c r="G29" s="3">
        <v>45018.88199521738</v>
      </c>
      <c r="H29" s="3">
        <v>1448.2273972602741</v>
      </c>
      <c r="I29" s="3">
        <v>-150.44381895058376</v>
      </c>
      <c r="J29" s="3">
        <v>2759.9221535395209</v>
      </c>
      <c r="K29" s="3">
        <v>14682.573814111836</v>
      </c>
      <c r="L29" s="3">
        <v>13829.162535144897</v>
      </c>
      <c r="M29" s="3"/>
      <c r="N29" s="3">
        <v>44003.310531339106</v>
      </c>
      <c r="O29" s="3">
        <v>131038.02616742894</v>
      </c>
    </row>
    <row r="30" spans="2:15" x14ac:dyDescent="0.25">
      <c r="B30" t="s">
        <v>215</v>
      </c>
      <c r="C30" t="s">
        <v>215</v>
      </c>
      <c r="D30" t="s">
        <v>251</v>
      </c>
      <c r="E30" t="s">
        <v>239</v>
      </c>
      <c r="F30" s="3">
        <v>9446.1186002387476</v>
      </c>
      <c r="G30" s="3">
        <v>45018.88199521738</v>
      </c>
      <c r="H30" s="3"/>
      <c r="I30" s="3">
        <v>-132.3644380544529</v>
      </c>
      <c r="J30" s="3">
        <v>2633.5542272542289</v>
      </c>
      <c r="K30" s="3">
        <v>12221.626525065443</v>
      </c>
      <c r="L30" s="3">
        <v>13829.162535144897</v>
      </c>
      <c r="M30" s="3"/>
      <c r="N30" s="3">
        <v>45979.24053604174</v>
      </c>
      <c r="O30" s="3">
        <v>128996.21998090798</v>
      </c>
    </row>
    <row r="31" spans="2:15" x14ac:dyDescent="0.25">
      <c r="B31" t="s">
        <v>0</v>
      </c>
      <c r="F31" s="3">
        <v>235270.93372365367</v>
      </c>
      <c r="G31" s="3">
        <v>1104936.4523398364</v>
      </c>
      <c r="H31" s="3">
        <v>31153.366184791867</v>
      </c>
      <c r="I31" s="3">
        <v>-4023.0949347784212</v>
      </c>
      <c r="J31" s="3">
        <v>77862.839969029083</v>
      </c>
      <c r="K31" s="3">
        <v>419914.27654612967</v>
      </c>
      <c r="L31" s="3">
        <v>331899.9008434774</v>
      </c>
      <c r="M31" s="3">
        <v>145229.18758269236</v>
      </c>
      <c r="N31" s="3">
        <v>580740.2921945214</v>
      </c>
      <c r="O31" s="3">
        <v>2922984.154449353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O13"/>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4" width="16" bestFit="1" customWidth="1"/>
    <col min="15" max="15" width="12" bestFit="1" customWidth="1"/>
    <col min="16"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5" x14ac:dyDescent="0.25">
      <c r="B2" s="1" t="s">
        <v>13</v>
      </c>
      <c r="E2" s="1" t="s">
        <v>12</v>
      </c>
    </row>
    <row r="3" spans="2:15" x14ac:dyDescent="0.25">
      <c r="B3" s="1" t="s">
        <v>11</v>
      </c>
      <c r="C3" s="1" t="s">
        <v>167</v>
      </c>
      <c r="D3" s="1" t="s">
        <v>214</v>
      </c>
      <c r="E3" t="s">
        <v>198</v>
      </c>
      <c r="F3" t="s">
        <v>205</v>
      </c>
      <c r="G3" t="s">
        <v>204</v>
      </c>
      <c r="H3" t="s">
        <v>240</v>
      </c>
      <c r="I3" t="s">
        <v>202</v>
      </c>
      <c r="J3" t="s">
        <v>200</v>
      </c>
      <c r="K3" t="s">
        <v>203</v>
      </c>
      <c r="L3" t="s">
        <v>241</v>
      </c>
      <c r="M3" t="s">
        <v>206</v>
      </c>
      <c r="N3" t="s">
        <v>149</v>
      </c>
      <c r="O3" t="s">
        <v>0</v>
      </c>
    </row>
    <row r="4" spans="2:15" x14ac:dyDescent="0.25">
      <c r="B4" t="s">
        <v>6</v>
      </c>
      <c r="C4" t="s">
        <v>215</v>
      </c>
      <c r="D4" t="s">
        <v>215</v>
      </c>
      <c r="E4" s="3"/>
      <c r="F4" s="3">
        <v>11.794092465135027</v>
      </c>
      <c r="G4" s="3">
        <v>0.70805328000000001</v>
      </c>
      <c r="H4" s="3">
        <v>2.8772220000000006</v>
      </c>
      <c r="I4" s="3">
        <v>2.4288670066854738</v>
      </c>
      <c r="J4" s="3">
        <v>4.4330046276034709</v>
      </c>
      <c r="K4" s="3">
        <v>6.8596290780172398</v>
      </c>
      <c r="L4" s="3"/>
      <c r="M4" s="3"/>
      <c r="N4" s="3"/>
      <c r="O4" s="3">
        <v>29.100868457441209</v>
      </c>
    </row>
    <row r="5" spans="2:15" x14ac:dyDescent="0.25">
      <c r="B5" t="s">
        <v>18</v>
      </c>
      <c r="C5" t="s">
        <v>215</v>
      </c>
      <c r="D5" t="s">
        <v>215</v>
      </c>
      <c r="E5" s="3"/>
      <c r="F5" s="3">
        <v>39.697170708811839</v>
      </c>
      <c r="G5" s="3"/>
      <c r="H5" s="3"/>
      <c r="I5" s="3">
        <v>2.30195611359553</v>
      </c>
      <c r="J5" s="3"/>
      <c r="K5" s="3"/>
      <c r="L5" s="3"/>
      <c r="M5" s="3"/>
      <c r="N5" s="3"/>
      <c r="O5" s="3">
        <v>41.999126822407369</v>
      </c>
    </row>
    <row r="6" spans="2:15" x14ac:dyDescent="0.25">
      <c r="B6" t="s">
        <v>7</v>
      </c>
      <c r="C6" t="s">
        <v>215</v>
      </c>
      <c r="D6" t="s">
        <v>215</v>
      </c>
      <c r="E6" s="3">
        <v>6.5700000000000003E-3</v>
      </c>
      <c r="F6" s="3">
        <v>2.3012602890322542</v>
      </c>
      <c r="G6" s="3">
        <v>0.64819228898306269</v>
      </c>
      <c r="H6" s="3">
        <v>0.18939141865256892</v>
      </c>
      <c r="I6" s="3"/>
      <c r="J6" s="3"/>
      <c r="K6" s="3">
        <v>0.60751672092287334</v>
      </c>
      <c r="L6" s="3">
        <v>6.7158483870967706E-2</v>
      </c>
      <c r="M6" s="3"/>
      <c r="N6" s="3"/>
      <c r="O6" s="3">
        <v>3.8200892014617267</v>
      </c>
    </row>
    <row r="7" spans="2:15" x14ac:dyDescent="0.25">
      <c r="B7" t="s">
        <v>8</v>
      </c>
      <c r="C7" t="s">
        <v>215</v>
      </c>
      <c r="D7" t="s">
        <v>215</v>
      </c>
      <c r="E7" s="3"/>
      <c r="F7" s="3">
        <v>15.334098485643652</v>
      </c>
      <c r="G7" s="3">
        <v>20.565206075767485</v>
      </c>
      <c r="H7" s="3">
        <v>4.4802791475786146</v>
      </c>
      <c r="I7" s="3">
        <v>8.8952219642025501E-2</v>
      </c>
      <c r="J7" s="3">
        <v>2.1899999999999999E-2</v>
      </c>
      <c r="K7" s="3">
        <v>4.5689445921917535</v>
      </c>
      <c r="L7" s="3"/>
      <c r="M7" s="3">
        <v>2.8957776574300063</v>
      </c>
      <c r="N7" s="3">
        <v>26.287963636363632</v>
      </c>
      <c r="O7" s="3">
        <v>74.243121814617169</v>
      </c>
    </row>
    <row r="8" spans="2:15" x14ac:dyDescent="0.25">
      <c r="B8" t="s">
        <v>16</v>
      </c>
      <c r="C8" t="s">
        <v>215</v>
      </c>
      <c r="D8" t="s">
        <v>215</v>
      </c>
      <c r="E8" s="3"/>
      <c r="F8" s="3">
        <v>0.29783999999999999</v>
      </c>
      <c r="G8" s="3">
        <v>1.106526315789474</v>
      </c>
      <c r="H8" s="3"/>
      <c r="I8" s="3">
        <v>1.1419344501535735</v>
      </c>
      <c r="J8" s="3"/>
      <c r="K8" s="3"/>
      <c r="L8" s="3"/>
      <c r="M8" s="3"/>
      <c r="N8" s="3">
        <v>3.0484817145844216</v>
      </c>
      <c r="O8" s="3">
        <v>5.5947824805274688</v>
      </c>
    </row>
    <row r="9" spans="2:15" x14ac:dyDescent="0.25">
      <c r="B9" t="s">
        <v>20</v>
      </c>
      <c r="C9" t="s">
        <v>215</v>
      </c>
      <c r="D9" t="s">
        <v>215</v>
      </c>
      <c r="E9" s="3"/>
      <c r="F9" s="3">
        <v>2.5841840458597689</v>
      </c>
      <c r="G9" s="3">
        <v>0.23974736842105299</v>
      </c>
      <c r="H9" s="3"/>
      <c r="I9" s="3"/>
      <c r="J9" s="3"/>
      <c r="K9" s="3"/>
      <c r="L9" s="3"/>
      <c r="M9" s="3"/>
      <c r="N9" s="3">
        <v>2.0448731343448712</v>
      </c>
      <c r="O9" s="3">
        <v>4.8688045486256932</v>
      </c>
    </row>
    <row r="10" spans="2:15" x14ac:dyDescent="0.25">
      <c r="B10" t="s">
        <v>21</v>
      </c>
      <c r="C10" t="s">
        <v>215</v>
      </c>
      <c r="D10" t="s">
        <v>215</v>
      </c>
      <c r="E10" s="3"/>
      <c r="F10" s="3">
        <v>1.4892000000000001</v>
      </c>
      <c r="G10" s="3"/>
      <c r="H10" s="3"/>
      <c r="I10" s="3">
        <v>2.228163992869876</v>
      </c>
      <c r="J10" s="3">
        <v>56.578011923831596</v>
      </c>
      <c r="K10" s="3"/>
      <c r="L10" s="3"/>
      <c r="M10" s="3"/>
      <c r="N10" s="3">
        <v>0.92068246561461198</v>
      </c>
      <c r="O10" s="3">
        <v>61.216058382316085</v>
      </c>
    </row>
    <row r="11" spans="2:15" x14ac:dyDescent="0.25">
      <c r="B11" t="s">
        <v>17</v>
      </c>
      <c r="C11" t="s">
        <v>215</v>
      </c>
      <c r="D11" t="s">
        <v>215</v>
      </c>
      <c r="E11" s="3">
        <v>1.7949409248369081</v>
      </c>
      <c r="F11" s="3"/>
      <c r="G11" s="3">
        <v>6.14284725925926</v>
      </c>
      <c r="H11" s="3">
        <v>1.9283832417582336</v>
      </c>
      <c r="I11" s="3">
        <v>2.7750309899167878</v>
      </c>
      <c r="J11" s="3"/>
      <c r="K11" s="3">
        <v>11.159820260630774</v>
      </c>
      <c r="L11" s="3"/>
      <c r="M11" s="3"/>
      <c r="N11" s="3">
        <v>27.837213759213768</v>
      </c>
      <c r="O11" s="3">
        <v>51.638236435615731</v>
      </c>
    </row>
    <row r="12" spans="2:15" x14ac:dyDescent="0.25">
      <c r="B12" t="s">
        <v>19</v>
      </c>
      <c r="C12" t="s">
        <v>215</v>
      </c>
      <c r="D12" t="s">
        <v>215</v>
      </c>
      <c r="E12" s="3"/>
      <c r="F12" s="3"/>
      <c r="G12" s="3"/>
      <c r="H12" s="3"/>
      <c r="I12" s="3"/>
      <c r="J12" s="3"/>
      <c r="K12" s="3"/>
      <c r="L12" s="3"/>
      <c r="M12" s="3"/>
      <c r="N12" s="3">
        <v>0.92752941176470505</v>
      </c>
      <c r="O12" s="3">
        <v>0.92752941176470505</v>
      </c>
    </row>
    <row r="13" spans="2:15" x14ac:dyDescent="0.25">
      <c r="B13" t="s">
        <v>0</v>
      </c>
      <c r="E13" s="3">
        <v>1.8015109248369081</v>
      </c>
      <c r="F13" s="3">
        <v>73.497845994482532</v>
      </c>
      <c r="G13" s="3">
        <v>29.410572588220333</v>
      </c>
      <c r="H13" s="3">
        <v>9.4752758079894175</v>
      </c>
      <c r="I13" s="3">
        <v>10.964904772863266</v>
      </c>
      <c r="J13" s="3">
        <v>61.032916551435065</v>
      </c>
      <c r="K13" s="3">
        <v>23.195910651762638</v>
      </c>
      <c r="L13" s="3">
        <v>6.7158483870967706E-2</v>
      </c>
      <c r="M13" s="3">
        <v>2.8957776574300063</v>
      </c>
      <c r="N13" s="3">
        <v>61.066744121886011</v>
      </c>
      <c r="O13" s="3">
        <v>273.40861755477709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U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0" width="16" bestFit="1" customWidth="1"/>
    <col min="21" max="21" width="12.28515625" customWidth="1"/>
    <col min="22" max="23" width="12.28515625" bestFit="1" customWidth="1"/>
    <col min="24"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1" x14ac:dyDescent="0.25">
      <c r="B1" s="1" t="s">
        <v>11</v>
      </c>
      <c r="C1" t="s">
        <v>195</v>
      </c>
    </row>
    <row r="3" spans="2:21" x14ac:dyDescent="0.25">
      <c r="B3" s="1" t="s">
        <v>14</v>
      </c>
      <c r="E3" s="1" t="s">
        <v>12</v>
      </c>
    </row>
    <row r="4" spans="2:21" x14ac:dyDescent="0.25">
      <c r="B4" s="1" t="s">
        <v>167</v>
      </c>
      <c r="C4" s="1" t="s">
        <v>15</v>
      </c>
      <c r="D4" s="1" t="s">
        <v>86</v>
      </c>
      <c r="E4" t="s">
        <v>198</v>
      </c>
      <c r="F4" t="s">
        <v>205</v>
      </c>
      <c r="G4" t="s">
        <v>204</v>
      </c>
      <c r="H4" t="s">
        <v>240</v>
      </c>
      <c r="I4" t="s">
        <v>243</v>
      </c>
      <c r="J4" t="s">
        <v>202</v>
      </c>
      <c r="K4" t="s">
        <v>200</v>
      </c>
      <c r="L4" t="s">
        <v>203</v>
      </c>
      <c r="M4" t="s">
        <v>241</v>
      </c>
      <c r="N4" t="s">
        <v>206</v>
      </c>
      <c r="O4" t="s">
        <v>149</v>
      </c>
      <c r="P4" t="s">
        <v>252</v>
      </c>
      <c r="Q4" t="s">
        <v>148</v>
      </c>
      <c r="R4" t="s">
        <v>297</v>
      </c>
      <c r="S4" t="s">
        <v>298</v>
      </c>
      <c r="T4" t="s">
        <v>294</v>
      </c>
      <c r="U4" t="s">
        <v>0</v>
      </c>
    </row>
    <row r="5" spans="2:21" x14ac:dyDescent="0.25">
      <c r="B5" t="s">
        <v>215</v>
      </c>
      <c r="C5" t="s">
        <v>251</v>
      </c>
      <c r="D5" t="s">
        <v>45</v>
      </c>
      <c r="E5" s="3">
        <v>164.95</v>
      </c>
      <c r="F5" s="3">
        <v>8283.8631595559564</v>
      </c>
      <c r="G5" s="3">
        <v>3100.1146483863095</v>
      </c>
      <c r="H5" s="3">
        <v>987.92919983858508</v>
      </c>
      <c r="I5" s="3">
        <v>11853.973366123928</v>
      </c>
      <c r="J5" s="3">
        <v>1056.3257138842068</v>
      </c>
      <c r="K5" s="3">
        <v>7672.1870870749362</v>
      </c>
      <c r="L5" s="3">
        <v>2513.7090786332615</v>
      </c>
      <c r="M5" s="3">
        <v>2.4178105738039801</v>
      </c>
      <c r="N5" s="3">
        <v>322.21911612317092</v>
      </c>
      <c r="O5" s="3">
        <v>7316.3096471102754</v>
      </c>
      <c r="P5" s="3">
        <v>316.52860767244601</v>
      </c>
      <c r="Q5" s="3">
        <v>1339.3417842454048</v>
      </c>
      <c r="R5" s="3">
        <v>255.084206113383</v>
      </c>
      <c r="S5" s="3">
        <v>1205.5004754250917</v>
      </c>
      <c r="T5" s="3">
        <v>57.16</v>
      </c>
      <c r="U5" s="3">
        <v>46447.613900760756</v>
      </c>
    </row>
    <row r="6" spans="2:21" x14ac:dyDescent="0.25">
      <c r="B6" t="s">
        <v>215</v>
      </c>
      <c r="C6" t="s">
        <v>251</v>
      </c>
      <c r="D6" t="s">
        <v>46</v>
      </c>
      <c r="E6" s="3">
        <v>164.95</v>
      </c>
      <c r="F6" s="3">
        <v>8283.5027110603933</v>
      </c>
      <c r="G6" s="3">
        <v>3100.1146483863095</v>
      </c>
      <c r="H6" s="3">
        <v>1046.3424611750436</v>
      </c>
      <c r="I6" s="3">
        <v>11860.516353887706</v>
      </c>
      <c r="J6" s="3">
        <v>1034.7858425612944</v>
      </c>
      <c r="K6" s="3">
        <v>7670.6754334275793</v>
      </c>
      <c r="L6" s="3">
        <v>2553.195609418633</v>
      </c>
      <c r="M6" s="3">
        <v>2.3349853872847102</v>
      </c>
      <c r="N6" s="3">
        <v>322.21911612317092</v>
      </c>
      <c r="O6" s="3">
        <v>7367.9878748789333</v>
      </c>
      <c r="P6" s="3">
        <v>315.11397551797</v>
      </c>
      <c r="Q6" s="3">
        <v>1339.3417842454048</v>
      </c>
      <c r="R6" s="3">
        <v>281.21427586225172</v>
      </c>
      <c r="S6" s="3">
        <v>1591.9060731473496</v>
      </c>
      <c r="T6" s="3">
        <v>57.16</v>
      </c>
      <c r="U6" s="3">
        <v>46991.361145079325</v>
      </c>
    </row>
    <row r="7" spans="2:21" x14ac:dyDescent="0.25">
      <c r="B7" t="s">
        <v>215</v>
      </c>
      <c r="C7" t="s">
        <v>251</v>
      </c>
      <c r="D7" t="s">
        <v>47</v>
      </c>
      <c r="E7" s="3">
        <v>164.95</v>
      </c>
      <c r="F7" s="3">
        <v>8283.1750306098802</v>
      </c>
      <c r="G7" s="3">
        <v>3100.1146483863095</v>
      </c>
      <c r="H7" s="3">
        <v>987.67791567134407</v>
      </c>
      <c r="I7" s="3">
        <v>11860.515752641015</v>
      </c>
      <c r="J7" s="3">
        <v>1016.410127523936</v>
      </c>
      <c r="K7" s="3">
        <v>7669.9123139501835</v>
      </c>
      <c r="L7" s="3">
        <v>2513.2548089070574</v>
      </c>
      <c r="M7" s="3">
        <v>2.5520205108980201</v>
      </c>
      <c r="N7" s="3">
        <v>322.21911612317092</v>
      </c>
      <c r="O7" s="3">
        <v>7384.1373210566353</v>
      </c>
      <c r="P7" s="3">
        <v>315.92046840363503</v>
      </c>
      <c r="Q7" s="3">
        <v>1339.3417842454048</v>
      </c>
      <c r="R7" s="3">
        <v>258.22018438620978</v>
      </c>
      <c r="S7" s="3">
        <v>1591.9060731473496</v>
      </c>
      <c r="T7" s="3">
        <v>57.16</v>
      </c>
      <c r="U7" s="3">
        <v>46867.467565563042</v>
      </c>
    </row>
    <row r="8" spans="2:21" x14ac:dyDescent="0.25">
      <c r="B8" t="s">
        <v>215</v>
      </c>
      <c r="C8" t="s">
        <v>251</v>
      </c>
      <c r="D8" t="s">
        <v>48</v>
      </c>
      <c r="E8" s="3">
        <v>164.95</v>
      </c>
      <c r="F8" s="3">
        <v>8291.7631034831084</v>
      </c>
      <c r="G8" s="3">
        <v>3100.1146483863095</v>
      </c>
      <c r="H8" s="3">
        <v>1050.3854668706149</v>
      </c>
      <c r="I8" s="3">
        <v>11899.769543814698</v>
      </c>
      <c r="J8" s="3">
        <v>1029.2154625134121</v>
      </c>
      <c r="K8" s="3">
        <v>7671.3625487218324</v>
      </c>
      <c r="L8" s="3">
        <v>2521.6909914466014</v>
      </c>
      <c r="M8" s="3">
        <v>2.9353421706606602</v>
      </c>
      <c r="N8" s="3">
        <v>322.21911612317092</v>
      </c>
      <c r="O8" s="3">
        <v>7335.6889825235276</v>
      </c>
      <c r="P8" s="3">
        <v>318.89304732382698</v>
      </c>
      <c r="Q8" s="3">
        <v>1339.3417842454048</v>
      </c>
      <c r="R8" s="3">
        <v>266.39607974199322</v>
      </c>
      <c r="S8" s="3">
        <v>1591.9060731473496</v>
      </c>
      <c r="T8" s="3">
        <v>57.16</v>
      </c>
      <c r="U8" s="3">
        <v>46963.792190512519</v>
      </c>
    </row>
    <row r="9" spans="2:21" x14ac:dyDescent="0.25">
      <c r="B9" t="s">
        <v>215</v>
      </c>
      <c r="C9" t="s">
        <v>251</v>
      </c>
      <c r="D9" t="s">
        <v>49</v>
      </c>
      <c r="E9" s="3">
        <v>164.95</v>
      </c>
      <c r="F9" s="3">
        <v>8378.5603863619872</v>
      </c>
      <c r="G9" s="3">
        <v>3102.9399750134926</v>
      </c>
      <c r="H9" s="3">
        <v>1072.1189176499038</v>
      </c>
      <c r="I9" s="3">
        <v>12213.219851185879</v>
      </c>
      <c r="J9" s="3">
        <v>1562.4064165659402</v>
      </c>
      <c r="K9" s="3">
        <v>7672.8742023691893</v>
      </c>
      <c r="L9" s="3">
        <v>2538.0127491831245</v>
      </c>
      <c r="M9" s="3">
        <v>4.7618605742745999</v>
      </c>
      <c r="N9" s="3">
        <v>322.21911612317092</v>
      </c>
      <c r="O9" s="3">
        <v>7229.1026377506632</v>
      </c>
      <c r="P9" s="3">
        <v>326.13587041128</v>
      </c>
      <c r="Q9" s="3">
        <v>1339.3417842454048</v>
      </c>
      <c r="R9" s="3">
        <v>300.82185114724336</v>
      </c>
      <c r="S9" s="3">
        <v>1497.2419355043064</v>
      </c>
      <c r="T9" s="3">
        <v>57.16</v>
      </c>
      <c r="U9" s="3">
        <v>47781.867554085868</v>
      </c>
    </row>
    <row r="10" spans="2:21" x14ac:dyDescent="0.25">
      <c r="B10" t="s">
        <v>215</v>
      </c>
      <c r="C10" t="s">
        <v>251</v>
      </c>
      <c r="D10" t="s">
        <v>50</v>
      </c>
      <c r="E10" s="3">
        <v>164.95</v>
      </c>
      <c r="F10" s="3">
        <v>8421.8192829206328</v>
      </c>
      <c r="G10" s="3">
        <v>3262.8048537740597</v>
      </c>
      <c r="H10" s="3">
        <v>1081.6880974482187</v>
      </c>
      <c r="I10" s="3">
        <v>12203.669849810518</v>
      </c>
      <c r="J10" s="3">
        <v>1111.3783600336558</v>
      </c>
      <c r="K10" s="3">
        <v>7696.9232376680511</v>
      </c>
      <c r="L10" s="3">
        <v>2614.4375342740268</v>
      </c>
      <c r="M10" s="3">
        <v>8.4907793242854392</v>
      </c>
      <c r="N10" s="3">
        <v>322.21911612317092</v>
      </c>
      <c r="O10" s="3">
        <v>7074.0679544446893</v>
      </c>
      <c r="P10" s="3">
        <v>339.52372111809899</v>
      </c>
      <c r="Q10" s="3">
        <v>1339.3417842454048</v>
      </c>
      <c r="R10" s="3">
        <v>345.73052764895084</v>
      </c>
      <c r="S10" s="3">
        <v>960.79496203623876</v>
      </c>
      <c r="T10" s="3">
        <v>57.16</v>
      </c>
      <c r="U10" s="3">
        <v>47005.000060870007</v>
      </c>
    </row>
    <row r="11" spans="2:21" x14ac:dyDescent="0.25">
      <c r="B11" t="s">
        <v>215</v>
      </c>
      <c r="C11" t="s">
        <v>251</v>
      </c>
      <c r="D11" t="s">
        <v>170</v>
      </c>
      <c r="E11" s="3">
        <v>219.38246869994907</v>
      </c>
      <c r="F11" s="3">
        <v>8436.1716866530551</v>
      </c>
      <c r="G11" s="3">
        <v>3650.2777810187326</v>
      </c>
      <c r="H11" s="3">
        <v>1102.8730056842669</v>
      </c>
      <c r="I11" s="3">
        <v>12707.907387091624</v>
      </c>
      <c r="J11" s="3">
        <v>1270.4797265338866</v>
      </c>
      <c r="K11" s="3">
        <v>7757.1145374446314</v>
      </c>
      <c r="L11" s="3">
        <v>2709.5114076742097</v>
      </c>
      <c r="M11" s="3">
        <v>13.4324970408765</v>
      </c>
      <c r="N11" s="3">
        <v>429.00179913542991</v>
      </c>
      <c r="O11" s="3">
        <v>6877.0447110767063</v>
      </c>
      <c r="P11" s="3">
        <v>366.52607491453898</v>
      </c>
      <c r="Q11" s="3">
        <v>1339.3417842454048</v>
      </c>
      <c r="R11" s="3">
        <v>547.94212624668739</v>
      </c>
      <c r="S11" s="3">
        <v>974.79496203623876</v>
      </c>
      <c r="T11" s="3">
        <v>57.16</v>
      </c>
      <c r="U11" s="3">
        <v>48458.961955496248</v>
      </c>
    </row>
    <row r="12" spans="2:21" x14ac:dyDescent="0.25">
      <c r="B12" t="s">
        <v>215</v>
      </c>
      <c r="C12" t="s">
        <v>251</v>
      </c>
      <c r="D12" t="s">
        <v>171</v>
      </c>
      <c r="E12" s="3">
        <v>164.95</v>
      </c>
      <c r="F12" s="3">
        <v>8444.7241464114159</v>
      </c>
      <c r="G12" s="3">
        <v>3795.2726235721989</v>
      </c>
      <c r="H12" s="3">
        <v>1116.6004110754309</v>
      </c>
      <c r="I12" s="3">
        <v>13811.567653678316</v>
      </c>
      <c r="J12" s="3">
        <v>1752.8082865524377</v>
      </c>
      <c r="K12" s="3">
        <v>7538.151331939086</v>
      </c>
      <c r="L12" s="3">
        <v>2717.7584734149841</v>
      </c>
      <c r="M12" s="3">
        <v>18.203337198540702</v>
      </c>
      <c r="N12" s="3">
        <v>322.21911612317092</v>
      </c>
      <c r="O12" s="3">
        <v>6865.9887735469702</v>
      </c>
      <c r="P12" s="3">
        <v>382.61812028962004</v>
      </c>
      <c r="Q12" s="3">
        <v>1339.8417842454048</v>
      </c>
      <c r="R12" s="3">
        <v>422.01040662681953</v>
      </c>
      <c r="S12" s="3">
        <v>960.79496203623876</v>
      </c>
      <c r="T12" s="3">
        <v>57.16</v>
      </c>
      <c r="U12" s="3">
        <v>49710.669426710629</v>
      </c>
    </row>
    <row r="13" spans="2:21" x14ac:dyDescent="0.25">
      <c r="B13" t="s">
        <v>215</v>
      </c>
      <c r="C13" t="s">
        <v>251</v>
      </c>
      <c r="D13" t="s">
        <v>172</v>
      </c>
      <c r="E13" s="3">
        <v>260.55</v>
      </c>
      <c r="F13" s="3">
        <v>8446.0021001684127</v>
      </c>
      <c r="G13" s="3">
        <v>3798.9892505872981</v>
      </c>
      <c r="H13" s="3">
        <v>1119.0096608151468</v>
      </c>
      <c r="I13" s="3">
        <v>13501.811438331211</v>
      </c>
      <c r="J13" s="3">
        <v>1664.0540201198939</v>
      </c>
      <c r="K13" s="3">
        <v>7328.2085316289258</v>
      </c>
      <c r="L13" s="3">
        <v>2715.0895802622767</v>
      </c>
      <c r="M13" s="3">
        <v>18.413680611421899</v>
      </c>
      <c r="N13" s="3">
        <v>322.21911612317092</v>
      </c>
      <c r="O13" s="3">
        <v>6865.9887735469702</v>
      </c>
      <c r="P13" s="3">
        <v>386.65342526277902</v>
      </c>
      <c r="Q13" s="3">
        <v>1339.8417842454048</v>
      </c>
      <c r="R13" s="3">
        <v>642.03819477855109</v>
      </c>
      <c r="S13" s="3">
        <v>960.79496203623876</v>
      </c>
      <c r="T13" s="3">
        <v>57.16</v>
      </c>
      <c r="U13" s="3">
        <v>49426.8245185177</v>
      </c>
    </row>
    <row r="14" spans="2:21" x14ac:dyDescent="0.25">
      <c r="B14" t="s">
        <v>215</v>
      </c>
      <c r="C14" t="s">
        <v>251</v>
      </c>
      <c r="D14" t="s">
        <v>173</v>
      </c>
      <c r="E14" s="3">
        <v>260.55</v>
      </c>
      <c r="F14" s="3">
        <v>8445.838259943157</v>
      </c>
      <c r="G14" s="3">
        <v>3749.5523775701336</v>
      </c>
      <c r="H14" s="3">
        <v>1122.7899968894528</v>
      </c>
      <c r="I14" s="3">
        <v>13461.007278913385</v>
      </c>
      <c r="J14" s="3">
        <v>1243.7949698708862</v>
      </c>
      <c r="K14" s="3">
        <v>7137.6450667319959</v>
      </c>
      <c r="L14" s="3">
        <v>2731.7826726715371</v>
      </c>
      <c r="M14" s="3">
        <v>17.110407746510798</v>
      </c>
      <c r="N14" s="3">
        <v>322.21911612317092</v>
      </c>
      <c r="O14" s="3">
        <v>6865.9887735469702</v>
      </c>
      <c r="P14" s="3">
        <v>387.69478017846302</v>
      </c>
      <c r="Q14" s="3">
        <v>1339.8417842454048</v>
      </c>
      <c r="R14" s="3">
        <v>624.87585180686096</v>
      </c>
      <c r="S14" s="3">
        <v>960.79496203623876</v>
      </c>
      <c r="T14" s="3">
        <v>57.135595491798398</v>
      </c>
      <c r="U14" s="3">
        <v>48728.621893765965</v>
      </c>
    </row>
    <row r="15" spans="2:21" x14ac:dyDescent="0.25">
      <c r="B15" t="s">
        <v>215</v>
      </c>
      <c r="C15" t="s">
        <v>251</v>
      </c>
      <c r="D15" t="s">
        <v>174</v>
      </c>
      <c r="E15" s="3">
        <v>252.3194975170515</v>
      </c>
      <c r="F15" s="3">
        <v>8446.1331723486182</v>
      </c>
      <c r="G15" s="3">
        <v>3747.0148627329258</v>
      </c>
      <c r="H15" s="3">
        <v>1117.5157960616389</v>
      </c>
      <c r="I15" s="3">
        <v>13218.843455920793</v>
      </c>
      <c r="J15" s="3">
        <v>983.35498875949872</v>
      </c>
      <c r="K15" s="3">
        <v>7255.4609372483255</v>
      </c>
      <c r="L15" s="3">
        <v>2729.4190945879222</v>
      </c>
      <c r="M15" s="3">
        <v>15.611602196331599</v>
      </c>
      <c r="N15" s="3">
        <v>322.21911612317092</v>
      </c>
      <c r="O15" s="3">
        <v>6865.9887735469702</v>
      </c>
      <c r="P15" s="3">
        <v>381.86282267246901</v>
      </c>
      <c r="Q15" s="3">
        <v>1339.8417842454048</v>
      </c>
      <c r="R15" s="3">
        <v>591.93998182337612</v>
      </c>
      <c r="S15" s="3">
        <v>961.73078695110644</v>
      </c>
      <c r="T15" s="3">
        <v>55.749697752180403</v>
      </c>
      <c r="U15" s="3">
        <v>48285.006370487783</v>
      </c>
    </row>
    <row r="16" spans="2:21" x14ac:dyDescent="0.25">
      <c r="B16" t="s">
        <v>215</v>
      </c>
      <c r="C16" t="s">
        <v>251</v>
      </c>
      <c r="D16" t="s">
        <v>208</v>
      </c>
      <c r="E16" s="3">
        <v>245.7954967126621</v>
      </c>
      <c r="F16" s="3">
        <v>8445.838259943157</v>
      </c>
      <c r="G16" s="3">
        <v>3663.1877267229229</v>
      </c>
      <c r="H16" s="3">
        <v>1115.3988387801749</v>
      </c>
      <c r="I16" s="3">
        <v>13160.368217077281</v>
      </c>
      <c r="J16" s="3">
        <v>1164.3958191383704</v>
      </c>
      <c r="K16" s="3">
        <v>6824.3458108845261</v>
      </c>
      <c r="L16" s="3">
        <v>2732.6180903754007</v>
      </c>
      <c r="M16" s="3">
        <v>13.767386443380399</v>
      </c>
      <c r="N16" s="3">
        <v>322.21911612317092</v>
      </c>
      <c r="O16" s="3">
        <v>6865.9887735469702</v>
      </c>
      <c r="P16" s="3">
        <v>377.98246952915997</v>
      </c>
      <c r="Q16" s="3">
        <v>1339.8417842454048</v>
      </c>
      <c r="R16" s="3">
        <v>547.5080493532281</v>
      </c>
      <c r="S16" s="3">
        <v>960.79496203623876</v>
      </c>
      <c r="T16" s="3">
        <v>54.599141138157897</v>
      </c>
      <c r="U16" s="3">
        <v>47834.6499420502</v>
      </c>
    </row>
    <row r="17" spans="2:21" x14ac:dyDescent="0.25">
      <c r="B17" t="s">
        <v>215</v>
      </c>
      <c r="C17" t="s">
        <v>251</v>
      </c>
      <c r="D17" t="s">
        <v>228</v>
      </c>
      <c r="E17" s="3">
        <v>242.7162019692571</v>
      </c>
      <c r="F17" s="3">
        <v>8444.0032494202896</v>
      </c>
      <c r="G17" s="3">
        <v>3590.7230414574865</v>
      </c>
      <c r="H17" s="3">
        <v>1115.6127944287498</v>
      </c>
      <c r="I17" s="3">
        <v>12830.594853945335</v>
      </c>
      <c r="J17" s="3">
        <v>1163.0616096218585</v>
      </c>
      <c r="K17" s="3">
        <v>6701.6100199339762</v>
      </c>
      <c r="L17" s="3">
        <v>2725.1425103385604</v>
      </c>
      <c r="M17" s="3">
        <v>12.1960697873065</v>
      </c>
      <c r="N17" s="3">
        <v>322.21911612317092</v>
      </c>
      <c r="O17" s="3">
        <v>6865.9887735469702</v>
      </c>
      <c r="P17" s="3">
        <v>376.583489537432</v>
      </c>
      <c r="Q17" s="3">
        <v>1339.8417842454048</v>
      </c>
      <c r="R17" s="3">
        <v>568.82624237429741</v>
      </c>
      <c r="S17" s="3">
        <v>960.79496203623876</v>
      </c>
      <c r="T17" s="3">
        <v>57.16</v>
      </c>
      <c r="U17" s="3">
        <v>47317.074718766344</v>
      </c>
    </row>
    <row r="18" spans="2:21" x14ac:dyDescent="0.25">
      <c r="B18" t="s">
        <v>215</v>
      </c>
      <c r="C18" t="s">
        <v>251</v>
      </c>
      <c r="D18" t="s">
        <v>229</v>
      </c>
      <c r="E18" s="3">
        <v>241.81837496538452</v>
      </c>
      <c r="F18" s="3">
        <v>8442.7252956632929</v>
      </c>
      <c r="G18" s="3">
        <v>3546.4596622999138</v>
      </c>
      <c r="H18" s="3">
        <v>1114.562864903372</v>
      </c>
      <c r="I18" s="3">
        <v>12800.966523719129</v>
      </c>
      <c r="J18" s="3">
        <v>3832.8002105069118</v>
      </c>
      <c r="K18" s="3">
        <v>6601.483453632196</v>
      </c>
      <c r="L18" s="3">
        <v>2696.7231281616023</v>
      </c>
      <c r="M18" s="3">
        <v>10.7331159105947</v>
      </c>
      <c r="N18" s="3">
        <v>322.21911612317092</v>
      </c>
      <c r="O18" s="3">
        <v>6865.9887735469702</v>
      </c>
      <c r="P18" s="3">
        <v>376.34996238073802</v>
      </c>
      <c r="Q18" s="3">
        <v>1339.8417842454048</v>
      </c>
      <c r="R18" s="3">
        <v>554.02978615121049</v>
      </c>
      <c r="S18" s="3">
        <v>970.48933359846092</v>
      </c>
      <c r="T18" s="3">
        <v>55.190499968715002</v>
      </c>
      <c r="U18" s="3">
        <v>49772.38188577706</v>
      </c>
    </row>
    <row r="19" spans="2:21" x14ac:dyDescent="0.25">
      <c r="B19" t="s">
        <v>215</v>
      </c>
      <c r="C19" t="s">
        <v>251</v>
      </c>
      <c r="D19" t="s">
        <v>230</v>
      </c>
      <c r="E19" s="3">
        <v>243.55297643916521</v>
      </c>
      <c r="F19" s="3">
        <v>8443.2495843841134</v>
      </c>
      <c r="G19" s="3">
        <v>3496.979297126858</v>
      </c>
      <c r="H19" s="3">
        <v>1113.9203680535009</v>
      </c>
      <c r="I19" s="3">
        <v>12783.35070590853</v>
      </c>
      <c r="J19" s="3">
        <v>1199.8390568788395</v>
      </c>
      <c r="K19" s="3">
        <v>6540.1155581569255</v>
      </c>
      <c r="L19" s="3">
        <v>2704.4714342447492</v>
      </c>
      <c r="M19" s="3">
        <v>9.6904087971999093</v>
      </c>
      <c r="N19" s="3">
        <v>322.21911612317092</v>
      </c>
      <c r="O19" s="3">
        <v>6865.9887735469702</v>
      </c>
      <c r="P19" s="3">
        <v>377.34186701887</v>
      </c>
      <c r="Q19" s="3">
        <v>1339.8417842454048</v>
      </c>
      <c r="R19" s="3">
        <v>548.99857465226785</v>
      </c>
      <c r="S19" s="3">
        <v>960.79496203623876</v>
      </c>
      <c r="T19" s="3">
        <v>52.2980279101129</v>
      </c>
      <c r="U19" s="3">
        <v>47002.652495522911</v>
      </c>
    </row>
    <row r="20" spans="2:21" x14ac:dyDescent="0.25">
      <c r="B20" t="s">
        <v>215</v>
      </c>
      <c r="C20" t="s">
        <v>251</v>
      </c>
      <c r="D20" t="s">
        <v>231</v>
      </c>
      <c r="E20" s="3">
        <v>173.17432322754294</v>
      </c>
      <c r="F20" s="3">
        <v>8443.7411050598803</v>
      </c>
      <c r="G20" s="3">
        <v>3475.3748916132781</v>
      </c>
      <c r="H20" s="3">
        <v>1120.2270191808518</v>
      </c>
      <c r="I20" s="3">
        <v>12831.745115103791</v>
      </c>
      <c r="J20" s="3">
        <v>1162.7598323488694</v>
      </c>
      <c r="K20" s="3">
        <v>6494.8971088593462</v>
      </c>
      <c r="L20" s="3">
        <v>2688.8727445448321</v>
      </c>
      <c r="M20" s="3">
        <v>7.4794538232291998</v>
      </c>
      <c r="N20" s="3">
        <v>386.94780035510007</v>
      </c>
      <c r="O20" s="3">
        <v>6865.9887735469702</v>
      </c>
      <c r="P20" s="3">
        <v>382.98280080148999</v>
      </c>
      <c r="Q20" s="3">
        <v>1339.8417842454048</v>
      </c>
      <c r="R20" s="3">
        <v>555.21846281939997</v>
      </c>
      <c r="S20" s="3">
        <v>960.79496203623876</v>
      </c>
      <c r="T20" s="3">
        <v>57.16</v>
      </c>
      <c r="U20" s="3">
        <v>46947.20617756623</v>
      </c>
    </row>
    <row r="21" spans="2:21" x14ac:dyDescent="0.25">
      <c r="B21" t="s">
        <v>215</v>
      </c>
      <c r="C21" t="s">
        <v>251</v>
      </c>
      <c r="D21" t="s">
        <v>232</v>
      </c>
      <c r="E21" s="3">
        <v>238.77395196873431</v>
      </c>
      <c r="F21" s="3">
        <v>8444.0360174653415</v>
      </c>
      <c r="G21" s="3">
        <v>3370.056548011778</v>
      </c>
      <c r="H21" s="3">
        <v>1109.5646972052018</v>
      </c>
      <c r="I21" s="3">
        <v>12671.021567438584</v>
      </c>
      <c r="J21" s="3">
        <v>997.85169741755135</v>
      </c>
      <c r="K21" s="3">
        <v>6709.5795534578456</v>
      </c>
      <c r="L21" s="3">
        <v>2671.7723005514813</v>
      </c>
      <c r="M21" s="3">
        <v>6.0326594205541904</v>
      </c>
      <c r="N21" s="3">
        <v>351.0863795393177</v>
      </c>
      <c r="O21" s="3">
        <v>6865.9887735469702</v>
      </c>
      <c r="P21" s="3">
        <v>378.49771476201204</v>
      </c>
      <c r="Q21" s="3">
        <v>1339.8417842454048</v>
      </c>
      <c r="R21" s="3">
        <v>578.61335051990352</v>
      </c>
      <c r="S21" s="3">
        <v>960.79496203623876</v>
      </c>
      <c r="T21" s="3">
        <v>57.16</v>
      </c>
      <c r="U21" s="3">
        <v>46750.671957586921</v>
      </c>
    </row>
    <row r="22" spans="2:21" x14ac:dyDescent="0.25">
      <c r="B22" t="s">
        <v>215</v>
      </c>
      <c r="C22" t="s">
        <v>251</v>
      </c>
      <c r="D22" t="s">
        <v>233</v>
      </c>
      <c r="E22" s="3">
        <v>167.30396706937887</v>
      </c>
      <c r="F22" s="3">
        <v>8444.9207546817233</v>
      </c>
      <c r="G22" s="3">
        <v>3251.6998458322705</v>
      </c>
      <c r="H22" s="3">
        <v>1104.3849645561888</v>
      </c>
      <c r="I22" s="3">
        <v>12791.586355550729</v>
      </c>
      <c r="J22" s="3">
        <v>850.40033774950882</v>
      </c>
      <c r="K22" s="3">
        <v>6709.6096564419158</v>
      </c>
      <c r="L22" s="3">
        <v>2675.9404059899725</v>
      </c>
      <c r="M22" s="3">
        <v>4.7209889704802697</v>
      </c>
      <c r="N22" s="3">
        <v>322.21911612317092</v>
      </c>
      <c r="O22" s="3">
        <v>6865.9887735469702</v>
      </c>
      <c r="P22" s="3">
        <v>374.37738029969501</v>
      </c>
      <c r="Q22" s="3">
        <v>1339.8417842454048</v>
      </c>
      <c r="R22" s="3">
        <v>530.79076694920957</v>
      </c>
      <c r="S22" s="3">
        <v>960.79496203623876</v>
      </c>
      <c r="T22" s="3">
        <v>57.16</v>
      </c>
      <c r="U22" s="3">
        <v>46451.740060042866</v>
      </c>
    </row>
    <row r="23" spans="2:21" x14ac:dyDescent="0.25">
      <c r="B23" t="s">
        <v>215</v>
      </c>
      <c r="C23" t="s">
        <v>251</v>
      </c>
      <c r="D23" t="s">
        <v>234</v>
      </c>
      <c r="E23" s="3">
        <v>229.86829904850839</v>
      </c>
      <c r="F23" s="3">
        <v>8444.7896825015196</v>
      </c>
      <c r="G23" s="3">
        <v>3169.4700154959282</v>
      </c>
      <c r="H23" s="3">
        <v>1101.2910632995688</v>
      </c>
      <c r="I23" s="3">
        <v>12734.410901920925</v>
      </c>
      <c r="J23" s="3">
        <v>1224.8545687582509</v>
      </c>
      <c r="K23" s="3">
        <v>6381.850985615406</v>
      </c>
      <c r="L23" s="3">
        <v>2658.8506780527623</v>
      </c>
      <c r="M23" s="3">
        <v>3.7920136736157102</v>
      </c>
      <c r="N23" s="3">
        <v>322.21911612317092</v>
      </c>
      <c r="O23" s="3">
        <v>6865.9887735469702</v>
      </c>
      <c r="P23" s="3">
        <v>375.08156739542596</v>
      </c>
      <c r="Q23" s="3">
        <v>1339.8417842454048</v>
      </c>
      <c r="R23" s="3">
        <v>498.17786465031395</v>
      </c>
      <c r="S23" s="3">
        <v>960.79496203623876</v>
      </c>
      <c r="T23" s="3">
        <v>57.16</v>
      </c>
      <c r="U23" s="3">
        <v>46368.44227636401</v>
      </c>
    </row>
    <row r="24" spans="2:21" x14ac:dyDescent="0.25">
      <c r="B24" t="s">
        <v>215</v>
      </c>
      <c r="C24" t="s">
        <v>251</v>
      </c>
      <c r="D24" t="s">
        <v>235</v>
      </c>
      <c r="E24" s="3">
        <v>223.02550477185702</v>
      </c>
      <c r="F24" s="3">
        <v>8400.303660376987</v>
      </c>
      <c r="G24" s="3">
        <v>3139.8291138445547</v>
      </c>
      <c r="H24" s="3">
        <v>1095.3284250951567</v>
      </c>
      <c r="I24" s="3">
        <v>12441.062150942396</v>
      </c>
      <c r="J24" s="3">
        <v>1504.2453575323373</v>
      </c>
      <c r="K24" s="3">
        <v>6336.6325363178457</v>
      </c>
      <c r="L24" s="3">
        <v>2654.4718327826617</v>
      </c>
      <c r="M24" s="3">
        <v>3.66499963586431</v>
      </c>
      <c r="N24" s="3">
        <v>322.21911612317092</v>
      </c>
      <c r="O24" s="3">
        <v>6865.9887735469702</v>
      </c>
      <c r="P24" s="3">
        <v>372.11956391503901</v>
      </c>
      <c r="Q24" s="3">
        <v>1339.8417842454048</v>
      </c>
      <c r="R24" s="3">
        <v>451.4281687979493</v>
      </c>
      <c r="S24" s="3">
        <v>1591.9060731473496</v>
      </c>
      <c r="T24" s="3">
        <v>57.16</v>
      </c>
      <c r="U24" s="3">
        <v>46799.227061075551</v>
      </c>
    </row>
    <row r="25" spans="2:21" x14ac:dyDescent="0.25">
      <c r="B25" t="s">
        <v>215</v>
      </c>
      <c r="C25" t="s">
        <v>251</v>
      </c>
      <c r="D25" t="s">
        <v>236</v>
      </c>
      <c r="E25" s="3">
        <v>214.0189447368856</v>
      </c>
      <c r="F25" s="3">
        <v>8362.7524781845186</v>
      </c>
      <c r="G25" s="3">
        <v>3108.8924538301126</v>
      </c>
      <c r="H25" s="3">
        <v>1089.1946043507955</v>
      </c>
      <c r="I25" s="3">
        <v>12309.696413585087</v>
      </c>
      <c r="J25" s="3">
        <v>823.13637008319677</v>
      </c>
      <c r="K25" s="3">
        <v>6297.8738654913459</v>
      </c>
      <c r="L25" s="3">
        <v>2657.7890359813391</v>
      </c>
      <c r="M25" s="3">
        <v>3.14854222911337</v>
      </c>
      <c r="N25" s="3">
        <v>322.21911612317092</v>
      </c>
      <c r="O25" s="3">
        <v>6865.9887735469702</v>
      </c>
      <c r="P25" s="3">
        <v>368.09071485516597</v>
      </c>
      <c r="Q25" s="3">
        <v>1339.8417842454048</v>
      </c>
      <c r="R25" s="3">
        <v>407.84598148791241</v>
      </c>
      <c r="S25" s="3">
        <v>1540.1443465547397</v>
      </c>
      <c r="T25" s="3">
        <v>57.16</v>
      </c>
      <c r="U25" s="3">
        <v>45767.793425285759</v>
      </c>
    </row>
    <row r="26" spans="2:21" x14ac:dyDescent="0.25">
      <c r="B26" t="s">
        <v>215</v>
      </c>
      <c r="C26" t="s">
        <v>251</v>
      </c>
      <c r="D26" t="s">
        <v>237</v>
      </c>
      <c r="E26" s="3">
        <v>208.2431593137631</v>
      </c>
      <c r="F26" s="3">
        <v>8301.3811031183795</v>
      </c>
      <c r="G26" s="3">
        <v>3093.0136227009025</v>
      </c>
      <c r="H26" s="3">
        <v>1071.4118411086051</v>
      </c>
      <c r="I26" s="3">
        <v>12057.178695007538</v>
      </c>
      <c r="J26" s="3">
        <v>815.84563757710214</v>
      </c>
      <c r="K26" s="3">
        <v>6216.5835679042784</v>
      </c>
      <c r="L26" s="3">
        <v>2641.4169664160622</v>
      </c>
      <c r="M26" s="3">
        <v>1.6410807920505199</v>
      </c>
      <c r="N26" s="3">
        <v>322.21911612317092</v>
      </c>
      <c r="O26" s="3">
        <v>6865.9887735469702</v>
      </c>
      <c r="P26" s="3">
        <v>364.46182307952802</v>
      </c>
      <c r="Q26" s="3">
        <v>1339.3417842454048</v>
      </c>
      <c r="R26" s="3">
        <v>348.86459227080832</v>
      </c>
      <c r="S26" s="3">
        <v>1522.6430885688994</v>
      </c>
      <c r="T26" s="3">
        <v>57.16</v>
      </c>
      <c r="U26" s="3">
        <v>45227.394851773461</v>
      </c>
    </row>
    <row r="27" spans="2:21" x14ac:dyDescent="0.25">
      <c r="B27" t="s">
        <v>215</v>
      </c>
      <c r="C27" t="s">
        <v>251</v>
      </c>
      <c r="D27" t="s">
        <v>238</v>
      </c>
      <c r="E27" s="3">
        <v>188.81049812712757</v>
      </c>
      <c r="F27" s="3">
        <v>8293.3331245757508</v>
      </c>
      <c r="G27" s="3">
        <v>3090.395720710002</v>
      </c>
      <c r="H27" s="3">
        <v>990.12041105273909</v>
      </c>
      <c r="I27" s="3">
        <v>11991.628428133727</v>
      </c>
      <c r="J27" s="3">
        <v>796.80765711826018</v>
      </c>
      <c r="K27" s="3">
        <v>6173.2225666639324</v>
      </c>
      <c r="L27" s="3">
        <v>2603.5805132893815</v>
      </c>
      <c r="M27" s="3">
        <v>0.65239450840167401</v>
      </c>
      <c r="N27" s="3">
        <v>322.21911612317092</v>
      </c>
      <c r="O27" s="3">
        <v>6865.9887735469702</v>
      </c>
      <c r="P27" s="3">
        <v>355.35195736357599</v>
      </c>
      <c r="Q27" s="3">
        <v>1339.3417842454048</v>
      </c>
      <c r="R27" s="3">
        <v>297.49426927035785</v>
      </c>
      <c r="S27" s="3">
        <v>1544.3539542185742</v>
      </c>
      <c r="T27" s="3">
        <v>57.16</v>
      </c>
      <c r="U27" s="3">
        <v>44910.461168947382</v>
      </c>
    </row>
    <row r="28" spans="2:21" x14ac:dyDescent="0.25">
      <c r="B28" t="s">
        <v>215</v>
      </c>
      <c r="C28" t="s">
        <v>251</v>
      </c>
      <c r="D28" t="s">
        <v>239</v>
      </c>
      <c r="E28" s="3">
        <v>171.0927048489194</v>
      </c>
      <c r="F28" s="3">
        <v>8291.3342738276278</v>
      </c>
      <c r="G28" s="3">
        <v>3073.5189431435401</v>
      </c>
      <c r="H28" s="3">
        <v>1013.7109267216791</v>
      </c>
      <c r="I28" s="3">
        <v>11918.267638466545</v>
      </c>
      <c r="J28" s="3">
        <v>779.82292449583781</v>
      </c>
      <c r="K28" s="3">
        <v>6155.150092367413</v>
      </c>
      <c r="L28" s="3">
        <v>2580.9285006129976</v>
      </c>
      <c r="M28" s="3">
        <v>0.21240889514948999</v>
      </c>
      <c r="N28" s="3">
        <v>322.21911612317092</v>
      </c>
      <c r="O28" s="3">
        <v>6865.9887735469702</v>
      </c>
      <c r="P28" s="3">
        <v>347.12969310495998</v>
      </c>
      <c r="Q28" s="3">
        <v>1339.3417842454048</v>
      </c>
      <c r="R28" s="3">
        <v>239.61684356067786</v>
      </c>
      <c r="S28" s="3">
        <v>1591.9060731473496</v>
      </c>
      <c r="T28" s="3">
        <v>57.16</v>
      </c>
      <c r="U28" s="3">
        <v>44747.400697108242</v>
      </c>
    </row>
    <row r="29" spans="2:21" x14ac:dyDescent="0.25">
      <c r="B29" t="s">
        <v>0</v>
      </c>
      <c r="E29" s="3">
        <v>4935.6463694161876</v>
      </c>
      <c r="F29" s="3">
        <v>201363.96162871926</v>
      </c>
      <c r="G29" s="3">
        <v>80576.91120060363</v>
      </c>
      <c r="H29" s="3">
        <v>25959.659747916234</v>
      </c>
      <c r="I29" s="3">
        <v>301914.67949819867</v>
      </c>
      <c r="J29" s="3">
        <v>30040.834994145949</v>
      </c>
      <c r="K29" s="3">
        <v>167213.47000393167</v>
      </c>
      <c r="L29" s="3">
        <v>63550.440141815445</v>
      </c>
      <c r="M29" s="3">
        <v>183.99584622182917</v>
      </c>
      <c r="N29" s="3">
        <v>7933.63741761644</v>
      </c>
      <c r="O29" s="3">
        <v>167306.14827913989</v>
      </c>
      <c r="P29" s="3">
        <v>8663.82191780822</v>
      </c>
      <c r="Q29" s="3">
        <v>32151.202821889707</v>
      </c>
      <c r="R29" s="3">
        <v>10663.686639039859</v>
      </c>
      <c r="S29" s="3">
        <v>28745.17383099279</v>
      </c>
      <c r="T29" s="3">
        <v>1361.0129622609647</v>
      </c>
      <c r="U29" s="3">
        <v>1132564.2832997167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P32"/>
  <sheetViews>
    <sheetView workbookViewId="0">
      <selection activeCell="D7" sqref="D7"/>
    </sheetView>
  </sheetViews>
  <sheetFormatPr defaultRowHeight="15" x14ac:dyDescent="0.25"/>
  <cols>
    <col min="2" max="2" width="30.85546875" customWidth="1"/>
    <col min="3" max="3" width="7.85546875" customWidth="1"/>
    <col min="4" max="15" width="24.42578125" customWidth="1"/>
    <col min="16" max="16" width="12" customWidth="1"/>
    <col min="17" max="32" width="25.85546875" customWidth="1"/>
    <col min="33" max="33" width="25.85546875" bestFit="1" customWidth="1"/>
    <col min="34" max="34" width="25.85546875" customWidth="1"/>
    <col min="35" max="36" width="25.85546875" bestFit="1" customWidth="1"/>
    <col min="37" max="37" width="25.85546875"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16" x14ac:dyDescent="0.25">
      <c r="B2" s="1" t="s">
        <v>167</v>
      </c>
      <c r="C2" t="s">
        <v>215</v>
      </c>
    </row>
    <row r="4" spans="2:16" x14ac:dyDescent="0.25">
      <c r="B4" s="1" t="s">
        <v>299</v>
      </c>
      <c r="D4" s="1" t="s">
        <v>11</v>
      </c>
      <c r="E4" s="1" t="s">
        <v>12</v>
      </c>
      <c r="F4" s="1" t="s">
        <v>216</v>
      </c>
    </row>
    <row r="5" spans="2:16" x14ac:dyDescent="0.25">
      <c r="D5" t="s">
        <v>6</v>
      </c>
      <c r="E5" t="s">
        <v>6</v>
      </c>
      <c r="F5" t="s">
        <v>6</v>
      </c>
      <c r="G5" t="s">
        <v>6</v>
      </c>
      <c r="H5" t="s">
        <v>6</v>
      </c>
      <c r="I5" t="s">
        <v>6</v>
      </c>
      <c r="J5" t="s">
        <v>6</v>
      </c>
      <c r="K5" t="s">
        <v>6</v>
      </c>
      <c r="L5" t="s">
        <v>6</v>
      </c>
      <c r="M5" t="s">
        <v>6</v>
      </c>
      <c r="N5" t="s">
        <v>6</v>
      </c>
      <c r="O5" t="s">
        <v>6</v>
      </c>
      <c r="P5" t="s">
        <v>0</v>
      </c>
    </row>
    <row r="6" spans="2:16" x14ac:dyDescent="0.25">
      <c r="D6" t="s">
        <v>202</v>
      </c>
      <c r="E6" t="s">
        <v>202</v>
      </c>
      <c r="F6" t="s">
        <v>202</v>
      </c>
      <c r="G6" t="s">
        <v>202</v>
      </c>
      <c r="H6" t="s">
        <v>202</v>
      </c>
      <c r="I6" t="s">
        <v>202</v>
      </c>
      <c r="J6" t="s">
        <v>202</v>
      </c>
      <c r="K6" t="s">
        <v>202</v>
      </c>
      <c r="L6" t="s">
        <v>202</v>
      </c>
      <c r="M6" t="s">
        <v>202</v>
      </c>
      <c r="N6" t="s">
        <v>202</v>
      </c>
      <c r="O6" t="s">
        <v>202</v>
      </c>
    </row>
    <row r="7" spans="2:16" x14ac:dyDescent="0.25">
      <c r="B7" s="1" t="s">
        <v>15</v>
      </c>
      <c r="C7" s="1" t="s">
        <v>86</v>
      </c>
      <c r="D7" t="s">
        <v>301</v>
      </c>
      <c r="E7" t="s">
        <v>302</v>
      </c>
      <c r="F7" t="s">
        <v>303</v>
      </c>
      <c r="G7" t="s">
        <v>304</v>
      </c>
      <c r="H7" t="s">
        <v>305</v>
      </c>
      <c r="I7" t="s">
        <v>306</v>
      </c>
      <c r="J7" t="s">
        <v>308</v>
      </c>
      <c r="K7" t="s">
        <v>310</v>
      </c>
      <c r="L7" t="s">
        <v>309</v>
      </c>
      <c r="M7" t="s">
        <v>300</v>
      </c>
      <c r="N7" t="s">
        <v>311</v>
      </c>
      <c r="O7" t="s">
        <v>307</v>
      </c>
    </row>
    <row r="8" spans="2:16" x14ac:dyDescent="0.25">
      <c r="B8" t="s">
        <v>251</v>
      </c>
      <c r="C8" t="s">
        <v>45</v>
      </c>
      <c r="D8" s="3">
        <v>35182.35</v>
      </c>
      <c r="E8" s="3">
        <v>12178.5365853659</v>
      </c>
      <c r="F8" s="3">
        <v>7070.5714285714303</v>
      </c>
      <c r="G8" s="3">
        <v>27471.767441860498</v>
      </c>
      <c r="H8" s="3">
        <v>9377.1818181818198</v>
      </c>
      <c r="I8" s="3">
        <v>100761.9709089573</v>
      </c>
      <c r="J8" s="3"/>
      <c r="K8" s="3"/>
      <c r="L8" s="3"/>
      <c r="M8" s="3">
        <v>276276.92307692301</v>
      </c>
      <c r="N8" s="3"/>
      <c r="O8" s="3">
        <v>229950</v>
      </c>
      <c r="P8" s="3">
        <v>698269.30125985993</v>
      </c>
    </row>
    <row r="9" spans="2:16" x14ac:dyDescent="0.25">
      <c r="B9" t="s">
        <v>251</v>
      </c>
      <c r="C9" t="s">
        <v>46</v>
      </c>
      <c r="D9" s="3">
        <v>35182.35</v>
      </c>
      <c r="E9" s="3">
        <v>12178.5365853659</v>
      </c>
      <c r="F9" s="3">
        <v>7070.5714285714303</v>
      </c>
      <c r="G9" s="3">
        <v>27471.767441860498</v>
      </c>
      <c r="H9" s="3">
        <v>9377.1818181818198</v>
      </c>
      <c r="I9" s="3">
        <v>46105.40664751477</v>
      </c>
      <c r="J9" s="3"/>
      <c r="K9" s="3"/>
      <c r="L9" s="3"/>
      <c r="M9" s="3">
        <v>276276.92307692301</v>
      </c>
      <c r="N9" s="3"/>
      <c r="O9" s="3">
        <v>229950</v>
      </c>
      <c r="P9" s="3">
        <v>643612.73699841741</v>
      </c>
    </row>
    <row r="10" spans="2:16" x14ac:dyDescent="0.25">
      <c r="B10" t="s">
        <v>251</v>
      </c>
      <c r="C10" t="s">
        <v>47</v>
      </c>
      <c r="D10" s="3">
        <v>17114.849999999999</v>
      </c>
      <c r="E10" s="3">
        <v>12178.5365853659</v>
      </c>
      <c r="F10" s="3">
        <v>7070.5714285714303</v>
      </c>
      <c r="G10" s="3">
        <v>27471.767441860498</v>
      </c>
      <c r="H10" s="3">
        <v>9377.1818181818198</v>
      </c>
      <c r="I10" s="3">
        <v>8341.04347826087</v>
      </c>
      <c r="J10" s="3"/>
      <c r="K10" s="3"/>
      <c r="L10" s="3"/>
      <c r="M10" s="3">
        <v>276276.92307692301</v>
      </c>
      <c r="N10" s="3"/>
      <c r="O10" s="3">
        <v>229950</v>
      </c>
      <c r="P10" s="3">
        <v>587780.87382916349</v>
      </c>
    </row>
    <row r="11" spans="2:16" x14ac:dyDescent="0.25">
      <c r="B11" t="s">
        <v>251</v>
      </c>
      <c r="C11" t="s">
        <v>48</v>
      </c>
      <c r="D11" s="3">
        <v>35182.35</v>
      </c>
      <c r="E11" s="3">
        <v>12178.5365853659</v>
      </c>
      <c r="F11" s="3">
        <v>7070.5714285714303</v>
      </c>
      <c r="G11" s="3">
        <v>27471.767441860498</v>
      </c>
      <c r="H11" s="3">
        <v>9377.1818181818198</v>
      </c>
      <c r="I11" s="3">
        <v>14760.421428514321</v>
      </c>
      <c r="J11" s="3"/>
      <c r="K11" s="3"/>
      <c r="L11" s="3"/>
      <c r="M11" s="3">
        <v>276276.92307692301</v>
      </c>
      <c r="N11" s="3"/>
      <c r="O11" s="3">
        <v>229950</v>
      </c>
      <c r="P11" s="3">
        <v>612267.75177941704</v>
      </c>
    </row>
    <row r="12" spans="2:16" x14ac:dyDescent="0.25">
      <c r="B12" t="s">
        <v>251</v>
      </c>
      <c r="C12" t="s">
        <v>49</v>
      </c>
      <c r="D12" s="3">
        <v>35182.35</v>
      </c>
      <c r="E12" s="3">
        <v>12178.5365853659</v>
      </c>
      <c r="F12" s="3">
        <v>7070.5714285714303</v>
      </c>
      <c r="G12" s="3">
        <v>27471.767441860498</v>
      </c>
      <c r="H12" s="3">
        <v>9377.1818181818198</v>
      </c>
      <c r="I12" s="3">
        <v>146853.78260869591</v>
      </c>
      <c r="J12" s="3"/>
      <c r="K12" s="3"/>
      <c r="L12" s="3"/>
      <c r="M12" s="3">
        <v>276276.92307692301</v>
      </c>
      <c r="N12" s="3"/>
      <c r="O12" s="3">
        <v>229950</v>
      </c>
      <c r="P12" s="3">
        <v>744361.11295959854</v>
      </c>
    </row>
    <row r="13" spans="2:16" x14ac:dyDescent="0.25">
      <c r="B13" t="s">
        <v>251</v>
      </c>
      <c r="C13" t="s">
        <v>50</v>
      </c>
      <c r="D13" s="3">
        <v>35182.35</v>
      </c>
      <c r="E13" s="3">
        <v>12178.5365853659</v>
      </c>
      <c r="F13" s="3">
        <v>13327.71428571429</v>
      </c>
      <c r="G13" s="3">
        <v>27471.767441860498</v>
      </c>
      <c r="H13" s="3">
        <v>9377.1818181818198</v>
      </c>
      <c r="I13" s="3">
        <v>146853.78260869591</v>
      </c>
      <c r="J13" s="3"/>
      <c r="K13" s="3"/>
      <c r="L13" s="3"/>
      <c r="M13" s="3">
        <v>276276.92307692301</v>
      </c>
      <c r="N13" s="3"/>
      <c r="O13" s="3">
        <v>229950</v>
      </c>
      <c r="P13" s="3">
        <v>750618.25581674138</v>
      </c>
    </row>
    <row r="14" spans="2:16" x14ac:dyDescent="0.25">
      <c r="B14" t="s">
        <v>251</v>
      </c>
      <c r="C14" t="s">
        <v>170</v>
      </c>
      <c r="D14" s="3">
        <v>35182.35</v>
      </c>
      <c r="E14" s="3">
        <v>12178.5365853659</v>
      </c>
      <c r="F14" s="3">
        <v>13327.71428571429</v>
      </c>
      <c r="G14" s="3">
        <v>27471.767441860498</v>
      </c>
      <c r="H14" s="3">
        <v>9377.1818181818198</v>
      </c>
      <c r="I14" s="3">
        <v>146853.78260869591</v>
      </c>
      <c r="J14" s="3">
        <v>163238.096301307</v>
      </c>
      <c r="K14" s="3"/>
      <c r="L14" s="3">
        <v>10344.255319148901</v>
      </c>
      <c r="M14" s="3">
        <v>276276.92307692301</v>
      </c>
      <c r="N14" s="3"/>
      <c r="O14" s="3">
        <v>229950</v>
      </c>
      <c r="P14" s="3">
        <v>924200.60743719735</v>
      </c>
    </row>
    <row r="15" spans="2:16" x14ac:dyDescent="0.25">
      <c r="B15" t="s">
        <v>251</v>
      </c>
      <c r="C15" t="s">
        <v>171</v>
      </c>
      <c r="D15" s="3">
        <v>35182.35</v>
      </c>
      <c r="E15" s="3">
        <v>12178.5365853659</v>
      </c>
      <c r="F15" s="3">
        <v>13327.71428571429</v>
      </c>
      <c r="G15" s="3">
        <v>27471.767441860498</v>
      </c>
      <c r="H15" s="3">
        <v>9377.1818181818198</v>
      </c>
      <c r="I15" s="3">
        <v>146853.78260869591</v>
      </c>
      <c r="J15" s="3">
        <v>1095931.9148936199</v>
      </c>
      <c r="K15" s="3">
        <v>176878.889311412</v>
      </c>
      <c r="L15" s="3">
        <v>10344.255319148901</v>
      </c>
      <c r="M15" s="3">
        <v>276276.92307692301</v>
      </c>
      <c r="N15" s="3"/>
      <c r="O15" s="3">
        <v>229950</v>
      </c>
      <c r="P15" s="3">
        <v>2033773.3153409224</v>
      </c>
    </row>
    <row r="16" spans="2:16" x14ac:dyDescent="0.25">
      <c r="B16" t="s">
        <v>251</v>
      </c>
      <c r="C16" t="s">
        <v>172</v>
      </c>
      <c r="D16" s="3">
        <v>35182.35</v>
      </c>
      <c r="E16" s="3">
        <v>12178.5365853659</v>
      </c>
      <c r="F16" s="3">
        <v>13327.71428571429</v>
      </c>
      <c r="G16" s="3">
        <v>27471.767441860498</v>
      </c>
      <c r="H16" s="3">
        <v>9377.1818181818198</v>
      </c>
      <c r="I16" s="3">
        <v>146853.78260869591</v>
      </c>
      <c r="J16" s="3">
        <v>1095931.9148936199</v>
      </c>
      <c r="K16" s="3">
        <v>25722.7335179908</v>
      </c>
      <c r="L16" s="3">
        <v>10344.255319148901</v>
      </c>
      <c r="M16" s="3">
        <v>276276.92307692301</v>
      </c>
      <c r="N16" s="3">
        <v>184585.714285714</v>
      </c>
      <c r="O16" s="3">
        <v>229950</v>
      </c>
      <c r="P16" s="3">
        <v>2067202.8738332153</v>
      </c>
    </row>
    <row r="17" spans="2:16" x14ac:dyDescent="0.25">
      <c r="B17" t="s">
        <v>251</v>
      </c>
      <c r="C17" t="s">
        <v>173</v>
      </c>
      <c r="D17" s="3">
        <v>35182.35</v>
      </c>
      <c r="E17" s="3">
        <v>12178.5365853659</v>
      </c>
      <c r="F17" s="3">
        <v>13327.71428571429</v>
      </c>
      <c r="G17" s="3">
        <v>27471.767441860498</v>
      </c>
      <c r="H17" s="3">
        <v>9377.1818181818198</v>
      </c>
      <c r="I17" s="3">
        <v>146853.78260869591</v>
      </c>
      <c r="J17" s="3">
        <v>111170.672687504</v>
      </c>
      <c r="K17" s="3"/>
      <c r="L17" s="3">
        <v>10344.255319148901</v>
      </c>
      <c r="M17" s="3">
        <v>276276.92307692301</v>
      </c>
      <c r="N17" s="3">
        <v>53508.994451409097</v>
      </c>
      <c r="O17" s="3">
        <v>229950</v>
      </c>
      <c r="P17" s="3">
        <v>925642.17827480345</v>
      </c>
    </row>
    <row r="18" spans="2:16" x14ac:dyDescent="0.25">
      <c r="B18" t="s">
        <v>251</v>
      </c>
      <c r="C18" t="s">
        <v>174</v>
      </c>
      <c r="D18" s="3">
        <v>35182.35</v>
      </c>
      <c r="E18" s="3">
        <v>12178.5365853659</v>
      </c>
      <c r="F18" s="3">
        <v>13327.71428571429</v>
      </c>
      <c r="G18" s="3">
        <v>27471.767441860498</v>
      </c>
      <c r="H18" s="3">
        <v>9377.1818181818198</v>
      </c>
      <c r="I18" s="3">
        <v>146853.78260869591</v>
      </c>
      <c r="J18" s="3"/>
      <c r="K18" s="3"/>
      <c r="L18" s="3"/>
      <c r="M18" s="3">
        <v>276276.92307692301</v>
      </c>
      <c r="N18" s="3">
        <v>61736.561194159098</v>
      </c>
      <c r="O18" s="3">
        <v>229950</v>
      </c>
      <c r="P18" s="3">
        <v>812354.81701090059</v>
      </c>
    </row>
    <row r="19" spans="2:16" x14ac:dyDescent="0.25">
      <c r="B19" t="s">
        <v>251</v>
      </c>
      <c r="C19" t="s">
        <v>208</v>
      </c>
      <c r="D19" s="3">
        <v>35182.35</v>
      </c>
      <c r="E19" s="3">
        <v>12178.5365853659</v>
      </c>
      <c r="F19" s="3">
        <v>13327.71428571429</v>
      </c>
      <c r="G19" s="3">
        <v>27471.767441860498</v>
      </c>
      <c r="H19" s="3">
        <v>9377.1818181818198</v>
      </c>
      <c r="I19" s="3">
        <v>146853.78260869591</v>
      </c>
      <c r="J19" s="3"/>
      <c r="K19" s="3"/>
      <c r="L19" s="3"/>
      <c r="M19" s="3">
        <v>276276.92307692301</v>
      </c>
      <c r="N19" s="3"/>
      <c r="O19" s="3">
        <v>229950</v>
      </c>
      <c r="P19" s="3">
        <v>750618.25581674138</v>
      </c>
    </row>
    <row r="20" spans="2:16" x14ac:dyDescent="0.25">
      <c r="B20" t="s">
        <v>251</v>
      </c>
      <c r="C20" t="s">
        <v>228</v>
      </c>
      <c r="D20" s="3">
        <v>35182.35</v>
      </c>
      <c r="E20" s="3">
        <v>12178.5365853659</v>
      </c>
      <c r="F20" s="3">
        <v>13327.71428571429</v>
      </c>
      <c r="G20" s="3">
        <v>27471.767441860498</v>
      </c>
      <c r="H20" s="3">
        <v>9377.1818181818198</v>
      </c>
      <c r="I20" s="3">
        <v>146853.78260869591</v>
      </c>
      <c r="J20" s="3"/>
      <c r="K20" s="3"/>
      <c r="L20" s="3"/>
      <c r="M20" s="3">
        <v>276276.92307692301</v>
      </c>
      <c r="N20" s="3">
        <v>50051.268350721599</v>
      </c>
      <c r="O20" s="3">
        <v>229950</v>
      </c>
      <c r="P20" s="3">
        <v>800669.52416746307</v>
      </c>
    </row>
    <row r="21" spans="2:16" x14ac:dyDescent="0.25">
      <c r="B21" t="s">
        <v>251</v>
      </c>
      <c r="C21" t="s">
        <v>229</v>
      </c>
      <c r="D21" s="3">
        <v>35182.35</v>
      </c>
      <c r="E21" s="3">
        <v>12178.5365853659</v>
      </c>
      <c r="F21" s="3">
        <v>13327.71428571429</v>
      </c>
      <c r="G21" s="3">
        <v>27471.767441860498</v>
      </c>
      <c r="H21" s="3">
        <v>9377.1818181818198</v>
      </c>
      <c r="I21" s="3">
        <v>146853.78260869591</v>
      </c>
      <c r="J21" s="3"/>
      <c r="K21" s="3"/>
      <c r="L21" s="3"/>
      <c r="M21" s="3">
        <v>276276.92307692301</v>
      </c>
      <c r="N21" s="3">
        <v>184585.714285714</v>
      </c>
      <c r="O21" s="3">
        <v>229950</v>
      </c>
      <c r="P21" s="3">
        <v>935203.97010245547</v>
      </c>
    </row>
    <row r="22" spans="2:16" x14ac:dyDescent="0.25">
      <c r="B22" t="s">
        <v>251</v>
      </c>
      <c r="C22" t="s">
        <v>230</v>
      </c>
      <c r="D22" s="3">
        <v>35182.35</v>
      </c>
      <c r="E22" s="3">
        <v>12178.5365853659</v>
      </c>
      <c r="F22" s="3">
        <v>13327.71428571429</v>
      </c>
      <c r="G22" s="3">
        <v>27471.767441860498</v>
      </c>
      <c r="H22" s="3">
        <v>9377.1818181818198</v>
      </c>
      <c r="I22" s="3">
        <v>146853.78260869591</v>
      </c>
      <c r="J22" s="3"/>
      <c r="K22" s="3"/>
      <c r="L22" s="3"/>
      <c r="M22" s="3">
        <v>276276.92307692301</v>
      </c>
      <c r="N22" s="3">
        <v>184585.714285714</v>
      </c>
      <c r="O22" s="3">
        <v>229950</v>
      </c>
      <c r="P22" s="3">
        <v>935203.97010245547</v>
      </c>
    </row>
    <row r="23" spans="2:16" x14ac:dyDescent="0.25">
      <c r="B23" t="s">
        <v>251</v>
      </c>
      <c r="C23" t="s">
        <v>231</v>
      </c>
      <c r="D23" s="3">
        <v>35182.35</v>
      </c>
      <c r="E23" s="3">
        <v>12178.5365853659</v>
      </c>
      <c r="F23" s="3">
        <v>13327.71428571429</v>
      </c>
      <c r="G23" s="3">
        <v>27471.767441860498</v>
      </c>
      <c r="H23" s="3">
        <v>9377.1818181818198</v>
      </c>
      <c r="I23" s="3">
        <v>146853.78260869591</v>
      </c>
      <c r="J23" s="3"/>
      <c r="K23" s="3"/>
      <c r="L23" s="3"/>
      <c r="M23" s="3">
        <v>276276.92307692301</v>
      </c>
      <c r="N23" s="3">
        <v>35355.932422800397</v>
      </c>
      <c r="O23" s="3">
        <v>229950</v>
      </c>
      <c r="P23" s="3">
        <v>785974.18823954184</v>
      </c>
    </row>
    <row r="24" spans="2:16" x14ac:dyDescent="0.25">
      <c r="B24" t="s">
        <v>251</v>
      </c>
      <c r="C24" t="s">
        <v>232</v>
      </c>
      <c r="D24" s="3">
        <v>35182.35</v>
      </c>
      <c r="E24" s="3">
        <v>12178.5365853659</v>
      </c>
      <c r="F24" s="3">
        <v>13327.71428571429</v>
      </c>
      <c r="G24" s="3">
        <v>27471.767441860498</v>
      </c>
      <c r="H24" s="3">
        <v>9377.1818181818198</v>
      </c>
      <c r="I24" s="3">
        <v>146853.78260869591</v>
      </c>
      <c r="J24" s="3"/>
      <c r="K24" s="3"/>
      <c r="L24" s="3"/>
      <c r="M24" s="3">
        <v>276276.92307692301</v>
      </c>
      <c r="N24" s="3">
        <v>40542.521573831502</v>
      </c>
      <c r="O24" s="3">
        <v>229950</v>
      </c>
      <c r="P24" s="3">
        <v>791160.77739057294</v>
      </c>
    </row>
    <row r="25" spans="2:16" x14ac:dyDescent="0.25">
      <c r="B25" t="s">
        <v>251</v>
      </c>
      <c r="C25" t="s">
        <v>233</v>
      </c>
      <c r="D25" s="3">
        <v>35182.35</v>
      </c>
      <c r="E25" s="3">
        <v>12178.5365853659</v>
      </c>
      <c r="F25" s="3">
        <v>13327.71428571429</v>
      </c>
      <c r="G25" s="3">
        <v>27471.767441860498</v>
      </c>
      <c r="H25" s="3">
        <v>9377.1818181818198</v>
      </c>
      <c r="I25" s="3">
        <v>146853.78260869591</v>
      </c>
      <c r="J25" s="3"/>
      <c r="K25" s="3"/>
      <c r="L25" s="3"/>
      <c r="M25" s="3">
        <v>276276.92307692301</v>
      </c>
      <c r="N25" s="3">
        <v>56102.289026924504</v>
      </c>
      <c r="O25" s="3">
        <v>229950</v>
      </c>
      <c r="P25" s="3">
        <v>806720.54484366591</v>
      </c>
    </row>
    <row r="26" spans="2:16" x14ac:dyDescent="0.25">
      <c r="B26" t="s">
        <v>251</v>
      </c>
      <c r="C26" t="s">
        <v>234</v>
      </c>
      <c r="D26" s="3">
        <v>35182.35</v>
      </c>
      <c r="E26" s="3">
        <v>12178.5365853659</v>
      </c>
      <c r="F26" s="3">
        <v>13327.71428571429</v>
      </c>
      <c r="G26" s="3">
        <v>27471.767441860498</v>
      </c>
      <c r="H26" s="3">
        <v>9377.1818181818198</v>
      </c>
      <c r="I26" s="3">
        <v>146853.78260869591</v>
      </c>
      <c r="J26" s="3"/>
      <c r="K26" s="3"/>
      <c r="L26" s="3"/>
      <c r="M26" s="3">
        <v>276276.92307692301</v>
      </c>
      <c r="N26" s="3">
        <v>61288.878177955601</v>
      </c>
      <c r="O26" s="3">
        <v>229950</v>
      </c>
      <c r="P26" s="3">
        <v>811907.13399469701</v>
      </c>
    </row>
    <row r="27" spans="2:16" x14ac:dyDescent="0.25">
      <c r="B27" t="s">
        <v>251</v>
      </c>
      <c r="C27" t="s">
        <v>235</v>
      </c>
      <c r="D27" s="3">
        <v>17114.849999999999</v>
      </c>
      <c r="E27" s="3">
        <v>12178.5365853659</v>
      </c>
      <c r="F27" s="3">
        <v>7070.5714285714303</v>
      </c>
      <c r="G27" s="3">
        <v>27471.767441860498</v>
      </c>
      <c r="H27" s="3">
        <v>9377.1818181818198</v>
      </c>
      <c r="I27" s="3">
        <v>8341.04347826087</v>
      </c>
      <c r="J27" s="3"/>
      <c r="K27" s="3"/>
      <c r="L27" s="3"/>
      <c r="M27" s="3"/>
      <c r="N27" s="3"/>
      <c r="O27" s="3"/>
      <c r="P27" s="3">
        <v>81553.950752240518</v>
      </c>
    </row>
    <row r="28" spans="2:16" x14ac:dyDescent="0.25">
      <c r="B28" t="s">
        <v>251</v>
      </c>
      <c r="C28" t="s">
        <v>236</v>
      </c>
      <c r="D28" s="3">
        <v>17114.849999999999</v>
      </c>
      <c r="E28" s="3">
        <v>12178.5365853659</v>
      </c>
      <c r="F28" s="3">
        <v>7070.5714285714303</v>
      </c>
      <c r="G28" s="3">
        <v>27471.767441860498</v>
      </c>
      <c r="H28" s="3">
        <v>9377.1818181818198</v>
      </c>
      <c r="I28" s="3">
        <v>8341.04347826087</v>
      </c>
      <c r="J28" s="3"/>
      <c r="K28" s="3"/>
      <c r="L28" s="3"/>
      <c r="M28" s="3"/>
      <c r="N28" s="3"/>
      <c r="O28" s="3"/>
      <c r="P28" s="3">
        <v>81553.950752240518</v>
      </c>
    </row>
    <row r="29" spans="2:16" x14ac:dyDescent="0.25">
      <c r="B29" t="s">
        <v>251</v>
      </c>
      <c r="C29" t="s">
        <v>237</v>
      </c>
      <c r="D29" s="3">
        <v>17114.849999999999</v>
      </c>
      <c r="E29" s="3">
        <v>12178.5365853659</v>
      </c>
      <c r="F29" s="3">
        <v>7070.5714285714303</v>
      </c>
      <c r="G29" s="3">
        <v>27471.767441860498</v>
      </c>
      <c r="H29" s="3">
        <v>9377.1818181818198</v>
      </c>
      <c r="I29" s="3">
        <v>8341.04347826087</v>
      </c>
      <c r="J29" s="3"/>
      <c r="K29" s="3"/>
      <c r="L29" s="3"/>
      <c r="M29" s="3"/>
      <c r="N29" s="3"/>
      <c r="O29" s="3"/>
      <c r="P29" s="3">
        <v>81553.950752240518</v>
      </c>
    </row>
    <row r="30" spans="2:16" x14ac:dyDescent="0.25">
      <c r="B30" t="s">
        <v>251</v>
      </c>
      <c r="C30" t="s">
        <v>238</v>
      </c>
      <c r="D30" s="3">
        <v>17114.849999999999</v>
      </c>
      <c r="E30" s="3">
        <v>12178.5365853659</v>
      </c>
      <c r="F30" s="3">
        <v>7070.5714285714303</v>
      </c>
      <c r="G30" s="3">
        <v>27471.767441860498</v>
      </c>
      <c r="H30" s="3">
        <v>9377.1818181818198</v>
      </c>
      <c r="I30" s="3">
        <v>8341.04347826087</v>
      </c>
      <c r="J30" s="3"/>
      <c r="K30" s="3"/>
      <c r="L30" s="3"/>
      <c r="M30" s="3"/>
      <c r="N30" s="3"/>
      <c r="O30" s="3"/>
      <c r="P30" s="3">
        <v>81553.950752240518</v>
      </c>
    </row>
    <row r="31" spans="2:16" x14ac:dyDescent="0.25">
      <c r="B31" t="s">
        <v>251</v>
      </c>
      <c r="C31" t="s">
        <v>239</v>
      </c>
      <c r="D31" s="3">
        <v>17114.849999999999</v>
      </c>
      <c r="E31" s="3">
        <v>12178.5365853659</v>
      </c>
      <c r="F31" s="3">
        <v>7070.5714285714303</v>
      </c>
      <c r="G31" s="3">
        <v>27471.767441860498</v>
      </c>
      <c r="H31" s="3">
        <v>9377.1818181818198</v>
      </c>
      <c r="I31" s="3">
        <v>8341.04347826087</v>
      </c>
      <c r="J31" s="3"/>
      <c r="K31" s="3"/>
      <c r="L31" s="3"/>
      <c r="M31" s="3"/>
      <c r="N31" s="3"/>
      <c r="O31" s="3"/>
      <c r="P31" s="3">
        <v>81553.950752240518</v>
      </c>
    </row>
    <row r="32" spans="2:16" x14ac:dyDescent="0.25">
      <c r="B32" t="s">
        <v>0</v>
      </c>
      <c r="D32" s="3">
        <v>735971.39999999967</v>
      </c>
      <c r="E32" s="3">
        <v>292284.87804878148</v>
      </c>
      <c r="F32" s="3">
        <v>257293.71428571432</v>
      </c>
      <c r="G32" s="3">
        <v>659322.41860465216</v>
      </c>
      <c r="H32" s="3">
        <v>225052.36363636373</v>
      </c>
      <c r="I32" s="3">
        <v>2414480.7989849886</v>
      </c>
      <c r="J32" s="3">
        <v>2466272.5987760508</v>
      </c>
      <c r="K32" s="3">
        <v>202601.6228294028</v>
      </c>
      <c r="L32" s="3">
        <v>41377.021276595602</v>
      </c>
      <c r="M32" s="3">
        <v>5249261.5384615371</v>
      </c>
      <c r="N32" s="3">
        <v>912343.58805494383</v>
      </c>
      <c r="O32" s="3">
        <v>4369050</v>
      </c>
      <c r="P32" s="3">
        <v>17825311.942959029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X17"/>
  <sheetViews>
    <sheetView workbookViewId="0">
      <selection activeCell="J8" sqref="J8"/>
    </sheetView>
  </sheetViews>
  <sheetFormatPr defaultRowHeight="15" x14ac:dyDescent="0.25"/>
  <cols>
    <col min="2" max="2" width="17.7109375" bestFit="1" customWidth="1"/>
    <col min="3" max="3" width="16.28515625" bestFit="1" customWidth="1"/>
    <col min="4" max="6" width="12" bestFit="1" customWidth="1"/>
    <col min="7" max="7" width="12.5703125" bestFit="1" customWidth="1"/>
    <col min="8" max="8" width="13.5703125" bestFit="1" customWidth="1"/>
    <col min="9" max="13" width="12" bestFit="1" customWidth="1"/>
    <col min="14" max="14" width="12.28515625" bestFit="1" customWidth="1"/>
    <col min="15" max="16" width="12" bestFit="1" customWidth="1"/>
    <col min="17" max="17" width="16" bestFit="1" customWidth="1"/>
    <col min="18" max="18" width="12" bestFit="1" customWidth="1"/>
    <col min="19" max="19" width="14.7109375" bestFit="1" customWidth="1"/>
    <col min="20" max="21" width="12" bestFit="1" customWidth="1"/>
    <col min="22" max="22" width="14.140625" bestFit="1" customWidth="1"/>
    <col min="23" max="27" width="12" bestFit="1" customWidth="1"/>
    <col min="28" max="28" width="14.28515625" bestFit="1" customWidth="1"/>
    <col min="29" max="30" width="12" bestFit="1" customWidth="1"/>
    <col min="31" max="31" width="16" bestFit="1" customWidth="1"/>
    <col min="32" max="32" width="12" bestFit="1" customWidth="1"/>
  </cols>
  <sheetData>
    <row r="1" spans="2:24" x14ac:dyDescent="0.25">
      <c r="B1" s="1" t="s">
        <v>167</v>
      </c>
      <c r="C1" t="s">
        <v>215</v>
      </c>
    </row>
    <row r="2" spans="2:24" x14ac:dyDescent="0.25">
      <c r="B2" s="1" t="s">
        <v>214</v>
      </c>
      <c r="C2" t="s">
        <v>215</v>
      </c>
    </row>
    <row r="4" spans="2:24" x14ac:dyDescent="0.25">
      <c r="B4" s="1" t="s">
        <v>13</v>
      </c>
      <c r="C4" s="1" t="s">
        <v>43</v>
      </c>
    </row>
    <row r="5" spans="2:24" x14ac:dyDescent="0.25">
      <c r="B5" s="1" t="s">
        <v>44</v>
      </c>
      <c r="C5" t="s">
        <v>9</v>
      </c>
      <c r="D5" t="s">
        <v>198</v>
      </c>
      <c r="E5" t="s">
        <v>201</v>
      </c>
      <c r="F5" t="s">
        <v>202</v>
      </c>
      <c r="G5" t="s">
        <v>205</v>
      </c>
      <c r="H5" t="s">
        <v>204</v>
      </c>
      <c r="I5" t="s">
        <v>240</v>
      </c>
      <c r="J5" t="s">
        <v>10</v>
      </c>
      <c r="K5" t="s">
        <v>199</v>
      </c>
      <c r="L5" t="s">
        <v>149</v>
      </c>
      <c r="M5" t="s">
        <v>200</v>
      </c>
      <c r="N5" t="s">
        <v>203</v>
      </c>
      <c r="O5" t="s">
        <v>243</v>
      </c>
      <c r="P5" t="s">
        <v>241</v>
      </c>
      <c r="Q5" t="s">
        <v>206</v>
      </c>
      <c r="R5" t="s">
        <v>242</v>
      </c>
      <c r="S5" t="s">
        <v>252</v>
      </c>
      <c r="T5" t="s">
        <v>148</v>
      </c>
      <c r="U5" t="s">
        <v>297</v>
      </c>
      <c r="V5" t="s">
        <v>298</v>
      </c>
      <c r="W5" t="s">
        <v>294</v>
      </c>
      <c r="X5" t="s">
        <v>0</v>
      </c>
    </row>
    <row r="6" spans="2:24" x14ac:dyDescent="0.25">
      <c r="B6" s="2" t="s">
        <v>6</v>
      </c>
      <c r="C6" s="3">
        <v>0.86137220129927305</v>
      </c>
      <c r="D6" s="3"/>
      <c r="E6" s="3">
        <v>17.9143997560003</v>
      </c>
      <c r="F6" s="3">
        <v>4.9514755397108452</v>
      </c>
      <c r="G6" s="3">
        <v>15.811433029861528</v>
      </c>
      <c r="H6" s="3">
        <v>0.74706410686558578</v>
      </c>
      <c r="I6" s="3">
        <v>2.8772220000000006</v>
      </c>
      <c r="J6" s="3">
        <v>3.3522130756080723E-2</v>
      </c>
      <c r="K6" s="3"/>
      <c r="L6" s="3"/>
      <c r="M6" s="3">
        <v>5.5952932216316702</v>
      </c>
      <c r="N6" s="3">
        <v>7.6897230546405488</v>
      </c>
      <c r="O6" s="3"/>
      <c r="P6" s="3"/>
      <c r="Q6" s="3"/>
      <c r="R6" s="3"/>
      <c r="S6" s="3"/>
      <c r="T6" s="3">
        <v>2.7145002578078592</v>
      </c>
      <c r="U6" s="3">
        <v>2.4784949534685468</v>
      </c>
      <c r="V6" s="3">
        <v>13.668662965490199</v>
      </c>
      <c r="W6" s="3"/>
      <c r="X6" s="3">
        <v>75.343163217532435</v>
      </c>
    </row>
    <row r="7" spans="2:24" x14ac:dyDescent="0.25">
      <c r="B7" s="2" t="s">
        <v>18</v>
      </c>
      <c r="C7" s="3">
        <v>45.458540943829099</v>
      </c>
      <c r="D7" s="3">
        <v>11.370978657449029</v>
      </c>
      <c r="E7" s="3">
        <v>115.62945736</v>
      </c>
      <c r="F7" s="3">
        <v>4.9514755397108301</v>
      </c>
      <c r="G7" s="3">
        <v>42.969827409091032</v>
      </c>
      <c r="H7" s="3"/>
      <c r="I7" s="3">
        <v>0.39402480000000001</v>
      </c>
      <c r="J7" s="3">
        <v>43.223641610514896</v>
      </c>
      <c r="K7" s="3">
        <v>286.69090909090932</v>
      </c>
      <c r="L7" s="3"/>
      <c r="M7" s="3"/>
      <c r="N7" s="3"/>
      <c r="O7" s="3"/>
      <c r="P7" s="3"/>
      <c r="Q7" s="3"/>
      <c r="R7" s="3"/>
      <c r="S7" s="3"/>
      <c r="T7" s="3">
        <v>168.85712838118025</v>
      </c>
      <c r="U7" s="3"/>
      <c r="V7" s="3"/>
      <c r="W7" s="3"/>
      <c r="X7" s="3">
        <v>719.54598379268441</v>
      </c>
    </row>
    <row r="8" spans="2:24" x14ac:dyDescent="0.25">
      <c r="B8" s="2" t="s">
        <v>7</v>
      </c>
      <c r="C8" s="3"/>
      <c r="D8" s="3"/>
      <c r="E8" s="3">
        <v>3.3228556000000005</v>
      </c>
      <c r="F8" s="3">
        <v>4.86260691577756</v>
      </c>
      <c r="G8" s="3">
        <v>3.0429286750293008</v>
      </c>
      <c r="H8" s="3">
        <v>0.76257916350948518</v>
      </c>
      <c r="I8" s="3">
        <v>0.18939141865256892</v>
      </c>
      <c r="J8" s="3">
        <v>137.49465082914</v>
      </c>
      <c r="K8" s="3"/>
      <c r="L8" s="3"/>
      <c r="M8" s="3"/>
      <c r="N8" s="3">
        <v>0.67501857880319249</v>
      </c>
      <c r="O8" s="3"/>
      <c r="P8" s="3">
        <v>7.90099810246679E-2</v>
      </c>
      <c r="Q8" s="3"/>
      <c r="R8" s="3"/>
      <c r="S8" s="3"/>
      <c r="T8" s="3"/>
      <c r="U8" s="3">
        <v>0.526877495256171</v>
      </c>
      <c r="V8" s="3">
        <v>0.54506666666666703</v>
      </c>
      <c r="W8" s="3"/>
      <c r="X8" s="3">
        <v>151.5009853238596</v>
      </c>
    </row>
    <row r="9" spans="2:24" x14ac:dyDescent="0.25">
      <c r="B9" s="2" t="s">
        <v>8</v>
      </c>
      <c r="C9" s="3"/>
      <c r="D9" s="3"/>
      <c r="E9" s="3">
        <v>14.657852</v>
      </c>
      <c r="F9" s="3">
        <v>4.9514755397108301</v>
      </c>
      <c r="G9" s="3">
        <v>20.504820396973471</v>
      </c>
      <c r="H9" s="3">
        <v>35.314669650794016</v>
      </c>
      <c r="I9" s="3">
        <v>4.4802791475786146</v>
      </c>
      <c r="J9" s="3">
        <v>68.097598734566006</v>
      </c>
      <c r="K9" s="3">
        <v>182.06996649289101</v>
      </c>
      <c r="L9" s="3">
        <v>42.533334422880451</v>
      </c>
      <c r="M9" s="3">
        <v>2.5764705882352901E-2</v>
      </c>
      <c r="N9" s="3">
        <v>6.5783290960161995</v>
      </c>
      <c r="O9" s="3"/>
      <c r="P9" s="3"/>
      <c r="Q9" s="3">
        <v>4.5762361830933935</v>
      </c>
      <c r="R9" s="3"/>
      <c r="S9" s="3"/>
      <c r="T9" s="3"/>
      <c r="U9" s="3">
        <v>5.4724462267879534</v>
      </c>
      <c r="V9" s="3">
        <v>8.1971571711558386</v>
      </c>
      <c r="W9" s="3"/>
      <c r="X9" s="3">
        <v>397.45992976833014</v>
      </c>
    </row>
    <row r="10" spans="2:24" x14ac:dyDescent="0.25">
      <c r="B10" s="2" t="s">
        <v>175</v>
      </c>
      <c r="C10" s="3">
        <v>0.83486304</v>
      </c>
      <c r="D10" s="3"/>
      <c r="E10" s="3">
        <v>7.7591800000000006</v>
      </c>
      <c r="F10" s="3">
        <v>4.9514755397108301</v>
      </c>
      <c r="G10" s="3">
        <v>14.9796</v>
      </c>
      <c r="H10" s="3"/>
      <c r="I10" s="3"/>
      <c r="J10" s="3">
        <v>0.15959999999999999</v>
      </c>
      <c r="K10" s="3">
        <v>13.670909090909101</v>
      </c>
      <c r="L10" s="3">
        <v>7.008</v>
      </c>
      <c r="M10" s="3"/>
      <c r="N10" s="3"/>
      <c r="O10" s="3"/>
      <c r="P10" s="3"/>
      <c r="Q10" s="3"/>
      <c r="R10" s="3"/>
      <c r="S10" s="3"/>
      <c r="T10" s="3"/>
      <c r="U10" s="3"/>
      <c r="V10" s="3"/>
      <c r="W10" s="3"/>
      <c r="X10" s="3">
        <v>49.363627670619934</v>
      </c>
    </row>
    <row r="11" spans="2:24" x14ac:dyDescent="0.25">
      <c r="B11" s="2" t="s">
        <v>207</v>
      </c>
      <c r="C11" s="3">
        <v>5.7649489919999999</v>
      </c>
      <c r="D11" s="3"/>
      <c r="E11" s="3">
        <v>40.909140000000001</v>
      </c>
      <c r="F11" s="3">
        <v>4.9514755397108301</v>
      </c>
      <c r="G11" s="3">
        <v>17.651399999999999</v>
      </c>
      <c r="H11" s="3"/>
      <c r="I11" s="3"/>
      <c r="J11" s="3">
        <v>5.28207359972677</v>
      </c>
      <c r="K11" s="3">
        <v>249.553818181818</v>
      </c>
      <c r="L11" s="3"/>
      <c r="M11" s="3"/>
      <c r="N11" s="3"/>
      <c r="O11" s="3"/>
      <c r="P11" s="3"/>
      <c r="Q11" s="3"/>
      <c r="R11" s="3"/>
      <c r="S11" s="3"/>
      <c r="T11" s="3">
        <v>73.654566666666696</v>
      </c>
      <c r="U11" s="3"/>
      <c r="V11" s="3"/>
      <c r="W11" s="3"/>
      <c r="X11" s="3">
        <v>397.76742297992234</v>
      </c>
    </row>
    <row r="12" spans="2:24" x14ac:dyDescent="0.25">
      <c r="B12" s="2" t="s">
        <v>16</v>
      </c>
      <c r="C12" s="3"/>
      <c r="D12" s="3"/>
      <c r="E12" s="3">
        <v>0.78061100000000005</v>
      </c>
      <c r="F12" s="3">
        <v>2.6064878005573204</v>
      </c>
      <c r="G12" s="3">
        <v>0.49640000000000001</v>
      </c>
      <c r="H12" s="3">
        <v>1.279638530287984</v>
      </c>
      <c r="I12" s="3"/>
      <c r="J12" s="3">
        <v>0.03</v>
      </c>
      <c r="K12" s="3"/>
      <c r="L12" s="3">
        <v>4.5954806167550108</v>
      </c>
      <c r="M12" s="3"/>
      <c r="N12" s="3"/>
      <c r="O12" s="3"/>
      <c r="P12" s="3"/>
      <c r="Q12" s="3"/>
      <c r="R12" s="3">
        <v>1.5546764753700699</v>
      </c>
      <c r="S12" s="3"/>
      <c r="T12" s="3">
        <v>8.2082248828735077E-2</v>
      </c>
      <c r="U12" s="3"/>
      <c r="V12" s="3"/>
      <c r="W12" s="3">
        <v>0.584434977912061</v>
      </c>
      <c r="X12" s="3">
        <v>12.00981164971118</v>
      </c>
    </row>
    <row r="13" spans="2:24" x14ac:dyDescent="0.25">
      <c r="B13" s="2" t="s">
        <v>19</v>
      </c>
      <c r="C13" s="3"/>
      <c r="D13" s="3"/>
      <c r="E13" s="3">
        <v>0.11622</v>
      </c>
      <c r="F13" s="3">
        <v>4.9514755397108399</v>
      </c>
      <c r="G13" s="3"/>
      <c r="H13" s="3"/>
      <c r="I13" s="3"/>
      <c r="J13" s="3">
        <v>4.0200000000000001E-4</v>
      </c>
      <c r="K13" s="3"/>
      <c r="L13" s="3">
        <v>1.5561882352941201</v>
      </c>
      <c r="M13" s="3"/>
      <c r="N13" s="3"/>
      <c r="O13" s="3"/>
      <c r="P13" s="3"/>
      <c r="Q13" s="3"/>
      <c r="R13" s="3"/>
      <c r="S13" s="3"/>
      <c r="T13" s="3">
        <v>1.7867346405228799</v>
      </c>
      <c r="U13" s="3"/>
      <c r="V13" s="3"/>
      <c r="W13" s="3"/>
      <c r="X13" s="3">
        <v>8.4110204155278403</v>
      </c>
    </row>
    <row r="14" spans="2:24" x14ac:dyDescent="0.25">
      <c r="B14" s="2" t="s">
        <v>20</v>
      </c>
      <c r="C14" s="3">
        <v>8.7830410424068805E-2</v>
      </c>
      <c r="D14" s="3"/>
      <c r="E14" s="3">
        <v>0.98593299999999995</v>
      </c>
      <c r="F14" s="3">
        <v>4.9514755397108301</v>
      </c>
      <c r="G14" s="3">
        <v>3.5734832294230698</v>
      </c>
      <c r="H14" s="3">
        <v>0.35962105263157901</v>
      </c>
      <c r="I14" s="3"/>
      <c r="J14" s="3">
        <v>0.61343999999999999</v>
      </c>
      <c r="K14" s="3"/>
      <c r="L14" s="3">
        <v>2.6435539743526189</v>
      </c>
      <c r="M14" s="3"/>
      <c r="N14" s="3"/>
      <c r="O14" s="3">
        <v>0.747176470588235</v>
      </c>
      <c r="P14" s="3"/>
      <c r="Q14" s="3"/>
      <c r="R14" s="3"/>
      <c r="S14" s="3"/>
      <c r="T14" s="3">
        <v>1.03527272727273</v>
      </c>
      <c r="U14" s="3"/>
      <c r="V14" s="3"/>
      <c r="W14" s="3"/>
      <c r="X14" s="3">
        <v>14.997786404403133</v>
      </c>
    </row>
    <row r="15" spans="2:24" x14ac:dyDescent="0.25">
      <c r="B15" s="2" t="s">
        <v>21</v>
      </c>
      <c r="C15" s="3">
        <v>1.09788013030086E-3</v>
      </c>
      <c r="D15" s="3"/>
      <c r="E15" s="3">
        <v>6.9265800000000004</v>
      </c>
      <c r="F15" s="3">
        <v>4.9514755397108319</v>
      </c>
      <c r="G15" s="3">
        <v>1.9856</v>
      </c>
      <c r="H15" s="3"/>
      <c r="I15" s="3"/>
      <c r="J15" s="3">
        <v>2.3110249999999999</v>
      </c>
      <c r="K15" s="3"/>
      <c r="L15" s="3">
        <v>23.891349132281309</v>
      </c>
      <c r="M15" s="3">
        <v>61.942834204998697</v>
      </c>
      <c r="N15" s="3"/>
      <c r="O15" s="3"/>
      <c r="P15" s="3"/>
      <c r="Q15" s="3"/>
      <c r="R15" s="3"/>
      <c r="S15" s="3"/>
      <c r="T15" s="3">
        <v>8.6179459459459498</v>
      </c>
      <c r="U15" s="3"/>
      <c r="V15" s="3"/>
      <c r="W15" s="3"/>
      <c r="X15" s="3">
        <v>110.62790770306709</v>
      </c>
    </row>
    <row r="16" spans="2:24" x14ac:dyDescent="0.25">
      <c r="B16" s="2" t="s">
        <v>17</v>
      </c>
      <c r="C16" s="3"/>
      <c r="D16" s="3"/>
      <c r="E16" s="3">
        <v>2.967977935</v>
      </c>
      <c r="F16" s="3">
        <v>4.951475539710831</v>
      </c>
      <c r="G16" s="3"/>
      <c r="H16" s="3">
        <v>8.8821075004951453</v>
      </c>
      <c r="I16" s="3">
        <v>1.9283832417582336</v>
      </c>
      <c r="J16" s="3">
        <v>17.166220842502952</v>
      </c>
      <c r="K16" s="3">
        <v>72.575688959999994</v>
      </c>
      <c r="L16" s="3">
        <v>73.893856949430827</v>
      </c>
      <c r="M16" s="3"/>
      <c r="N16" s="3">
        <v>15.272125085241845</v>
      </c>
      <c r="O16" s="3"/>
      <c r="P16" s="3"/>
      <c r="Q16" s="3"/>
      <c r="R16" s="3"/>
      <c r="S16" s="3">
        <v>3.7203470588235299</v>
      </c>
      <c r="T16" s="3">
        <v>0.12779294117647061</v>
      </c>
      <c r="U16" s="3"/>
      <c r="V16" s="3">
        <v>0.60866650925977706</v>
      </c>
      <c r="W16" s="3"/>
      <c r="X16" s="3">
        <v>202.09464256339962</v>
      </c>
    </row>
    <row r="17" spans="2:24" x14ac:dyDescent="0.25">
      <c r="B17" s="2" t="s">
        <v>0</v>
      </c>
      <c r="C17" s="3">
        <v>53.008653467682748</v>
      </c>
      <c r="D17" s="3">
        <v>11.370978657449029</v>
      </c>
      <c r="E17" s="3">
        <v>211.97020665100027</v>
      </c>
      <c r="F17" s="3">
        <v>52.032374573732383</v>
      </c>
      <c r="G17" s="3">
        <v>121.01549274037841</v>
      </c>
      <c r="H17" s="3">
        <v>47.345680004583798</v>
      </c>
      <c r="I17" s="3">
        <v>9.8693006079894179</v>
      </c>
      <c r="J17" s="3">
        <v>274.41217474720668</v>
      </c>
      <c r="K17" s="3">
        <v>804.56129181652739</v>
      </c>
      <c r="L17" s="3">
        <v>156.12176333099433</v>
      </c>
      <c r="M17" s="3">
        <v>67.56389213251272</v>
      </c>
      <c r="N17" s="3">
        <v>30.215195814701787</v>
      </c>
      <c r="O17" s="3">
        <v>0.747176470588235</v>
      </c>
      <c r="P17" s="3">
        <v>7.90099810246679E-2</v>
      </c>
      <c r="Q17" s="3">
        <v>4.5762361830933935</v>
      </c>
      <c r="R17" s="3">
        <v>1.5546764753700699</v>
      </c>
      <c r="S17" s="3">
        <v>3.7203470588235299</v>
      </c>
      <c r="T17" s="3">
        <v>256.8760238094016</v>
      </c>
      <c r="U17" s="3">
        <v>8.4778186755126708</v>
      </c>
      <c r="V17" s="3">
        <v>23.019553312572484</v>
      </c>
      <c r="W17" s="3">
        <v>0.584434977912061</v>
      </c>
      <c r="X17" s="3">
        <v>2139.1222814890575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78"/>
  <sheetViews>
    <sheetView topLeftCell="B1" workbookViewId="0">
      <selection activeCell="D12" sqref="D12"/>
    </sheetView>
  </sheetViews>
  <sheetFormatPr defaultRowHeight="15" x14ac:dyDescent="0.25"/>
  <cols>
    <col min="2" max="2" width="36.28515625" bestFit="1" customWidth="1"/>
    <col min="3" max="3" width="20.5703125" bestFit="1" customWidth="1"/>
    <col min="4" max="4" width="11.85546875" bestFit="1" customWidth="1"/>
    <col min="5" max="5" width="27.28515625" bestFit="1" customWidth="1"/>
    <col min="6" max="6" width="19" bestFit="1" customWidth="1"/>
    <col min="7" max="7" width="19.28515625" bestFit="1" customWidth="1"/>
    <col min="8" max="8" width="18.85546875" bestFit="1"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8" x14ac:dyDescent="0.25">
      <c r="B1" s="1" t="s">
        <v>169</v>
      </c>
      <c r="C1" t="s">
        <v>195</v>
      </c>
    </row>
    <row r="3" spans="2:8" x14ac:dyDescent="0.25">
      <c r="B3" s="1" t="s">
        <v>167</v>
      </c>
      <c r="C3" s="1" t="s">
        <v>214</v>
      </c>
      <c r="D3" s="1" t="s">
        <v>11</v>
      </c>
      <c r="E3" s="1" t="s">
        <v>216</v>
      </c>
      <c r="F3" t="s">
        <v>312</v>
      </c>
      <c r="G3" t="s">
        <v>111</v>
      </c>
      <c r="H3" t="s">
        <v>110</v>
      </c>
    </row>
    <row r="4" spans="2:8" x14ac:dyDescent="0.25">
      <c r="B4" t="s">
        <v>215</v>
      </c>
      <c r="C4" t="s">
        <v>215</v>
      </c>
      <c r="D4" t="s">
        <v>6</v>
      </c>
      <c r="E4" t="s">
        <v>313</v>
      </c>
      <c r="F4" s="3">
        <v>167.790284324298</v>
      </c>
      <c r="G4" s="3">
        <v>5.3210449574301703E-3</v>
      </c>
      <c r="H4" s="3">
        <v>-121.575235187364</v>
      </c>
    </row>
    <row r="5" spans="2:8" x14ac:dyDescent="0.25">
      <c r="B5" t="s">
        <v>215</v>
      </c>
      <c r="C5" t="s">
        <v>215</v>
      </c>
      <c r="D5" t="s">
        <v>6</v>
      </c>
      <c r="E5" t="s">
        <v>314</v>
      </c>
      <c r="F5" s="3">
        <v>467.78152244653501</v>
      </c>
      <c r="G5" s="3">
        <v>1.4834509168494801E-2</v>
      </c>
      <c r="H5" s="3">
        <v>-338.938865481768</v>
      </c>
    </row>
    <row r="6" spans="2:8" x14ac:dyDescent="0.25">
      <c r="B6" t="s">
        <v>215</v>
      </c>
      <c r="C6" t="s">
        <v>215</v>
      </c>
      <c r="D6" t="s">
        <v>6</v>
      </c>
      <c r="E6" t="s">
        <v>315</v>
      </c>
      <c r="F6" s="3">
        <v>325.00594065773902</v>
      </c>
      <c r="G6" s="3">
        <v>1.03067423041566E-2</v>
      </c>
      <c r="H6" s="3">
        <v>-235.48844816537101</v>
      </c>
    </row>
    <row r="7" spans="2:8" x14ac:dyDescent="0.25">
      <c r="B7" t="s">
        <v>215</v>
      </c>
      <c r="C7" t="s">
        <v>215</v>
      </c>
      <c r="D7" t="s">
        <v>6</v>
      </c>
      <c r="E7" t="s">
        <v>316</v>
      </c>
      <c r="F7" s="3">
        <v>39.422252571428601</v>
      </c>
      <c r="G7" s="3">
        <v>1.2501771428571401E-3</v>
      </c>
      <c r="H7" s="3">
        <v>0.29754216</v>
      </c>
    </row>
    <row r="8" spans="2:8" x14ac:dyDescent="0.25">
      <c r="B8" t="s">
        <v>215</v>
      </c>
      <c r="C8" t="s">
        <v>215</v>
      </c>
      <c r="D8" t="s">
        <v>6</v>
      </c>
      <c r="E8" t="s">
        <v>318</v>
      </c>
      <c r="F8" s="3"/>
      <c r="G8" s="3">
        <v>6.9675199942669892E-3</v>
      </c>
      <c r="H8" s="3">
        <v>-26.85127372012845</v>
      </c>
    </row>
    <row r="9" spans="2:8" x14ac:dyDescent="0.25">
      <c r="B9" t="s">
        <v>215</v>
      </c>
      <c r="C9" t="s">
        <v>215</v>
      </c>
      <c r="D9" t="s">
        <v>6</v>
      </c>
      <c r="E9" t="s">
        <v>319</v>
      </c>
      <c r="F9" s="3"/>
      <c r="G9" s="3">
        <v>1.9972800000000001E-3</v>
      </c>
      <c r="H9" s="3">
        <v>-7.6970732800000103</v>
      </c>
    </row>
    <row r="10" spans="2:8" x14ac:dyDescent="0.25">
      <c r="B10" t="s">
        <v>215</v>
      </c>
      <c r="C10" t="s">
        <v>215</v>
      </c>
      <c r="D10" t="s">
        <v>6</v>
      </c>
      <c r="E10" t="s">
        <v>320</v>
      </c>
      <c r="F10" s="3"/>
      <c r="G10" s="3">
        <v>5.9752421052631597E-3</v>
      </c>
      <c r="H10" s="3">
        <v>-23.027255242105301</v>
      </c>
    </row>
    <row r="11" spans="2:8" x14ac:dyDescent="0.25">
      <c r="B11" t="s">
        <v>215</v>
      </c>
      <c r="C11" t="s">
        <v>215</v>
      </c>
      <c r="D11" t="s">
        <v>6</v>
      </c>
      <c r="E11" t="s">
        <v>321</v>
      </c>
      <c r="F11" s="3"/>
      <c r="G11" s="3">
        <v>2.1843883835682393E-2</v>
      </c>
      <c r="H11" s="3">
        <v>-84.181474106311882</v>
      </c>
    </row>
    <row r="12" spans="2:8" x14ac:dyDescent="0.25">
      <c r="B12" t="s">
        <v>215</v>
      </c>
      <c r="C12" t="s">
        <v>215</v>
      </c>
      <c r="D12" t="s">
        <v>6</v>
      </c>
      <c r="E12" t="s">
        <v>322</v>
      </c>
      <c r="F12" s="3"/>
      <c r="G12" s="3">
        <v>2.154386534820148E-2</v>
      </c>
      <c r="H12" s="3">
        <v>-83.025269526335748</v>
      </c>
    </row>
    <row r="13" spans="2:8" x14ac:dyDescent="0.25">
      <c r="B13" t="s">
        <v>215</v>
      </c>
      <c r="C13" t="s">
        <v>215</v>
      </c>
      <c r="D13" t="s">
        <v>6</v>
      </c>
      <c r="E13" t="s">
        <v>323</v>
      </c>
      <c r="F13" s="3"/>
      <c r="G13" s="3">
        <v>1.7426560000000042E-2</v>
      </c>
      <c r="H13" s="3">
        <v>-67.158089671111213</v>
      </c>
    </row>
    <row r="14" spans="2:8" x14ac:dyDescent="0.25">
      <c r="B14" t="s">
        <v>215</v>
      </c>
      <c r="C14" t="s">
        <v>215</v>
      </c>
      <c r="D14" t="s">
        <v>6</v>
      </c>
      <c r="E14" t="s">
        <v>324</v>
      </c>
      <c r="F14" s="3"/>
      <c r="G14" s="3">
        <v>1.2128142705882341E-3</v>
      </c>
      <c r="H14" s="3"/>
    </row>
    <row r="15" spans="2:8" x14ac:dyDescent="0.25">
      <c r="B15" t="s">
        <v>215</v>
      </c>
      <c r="C15" t="s">
        <v>215</v>
      </c>
      <c r="D15" t="s">
        <v>6</v>
      </c>
      <c r="E15" t="s">
        <v>325</v>
      </c>
      <c r="F15" s="3"/>
      <c r="G15" s="3">
        <v>5.7172974834097615E-3</v>
      </c>
      <c r="H15" s="3"/>
    </row>
    <row r="16" spans="2:8" x14ac:dyDescent="0.25">
      <c r="B16" t="s">
        <v>215</v>
      </c>
      <c r="C16" t="s">
        <v>215</v>
      </c>
      <c r="D16" t="s">
        <v>6</v>
      </c>
      <c r="E16" t="s">
        <v>326</v>
      </c>
      <c r="F16" s="3"/>
      <c r="G16" s="3">
        <v>9.6048346153846179E-3</v>
      </c>
      <c r="H16" s="3"/>
    </row>
    <row r="17" spans="2:8" x14ac:dyDescent="0.25">
      <c r="B17" t="s">
        <v>215</v>
      </c>
      <c r="C17" t="s">
        <v>215</v>
      </c>
      <c r="D17" t="s">
        <v>6</v>
      </c>
      <c r="E17" t="s">
        <v>301</v>
      </c>
      <c r="F17" s="3"/>
      <c r="G17" s="3">
        <v>1.0296398879999998E-2</v>
      </c>
      <c r="H17" s="3"/>
    </row>
    <row r="18" spans="2:8" x14ac:dyDescent="0.25">
      <c r="B18" t="s">
        <v>215</v>
      </c>
      <c r="C18" t="s">
        <v>215</v>
      </c>
      <c r="D18" t="s">
        <v>6</v>
      </c>
      <c r="E18" t="s">
        <v>302</v>
      </c>
      <c r="F18" s="3"/>
      <c r="G18" s="3">
        <v>1.1775812983520489E-2</v>
      </c>
      <c r="H18" s="3"/>
    </row>
    <row r="19" spans="2:8" x14ac:dyDescent="0.25">
      <c r="B19" t="s">
        <v>215</v>
      </c>
      <c r="C19" t="s">
        <v>215</v>
      </c>
      <c r="D19" t="s">
        <v>6</v>
      </c>
      <c r="E19" t="s">
        <v>303</v>
      </c>
      <c r="F19" s="3"/>
      <c r="G19" s="3">
        <v>9.0757604571428483E-3</v>
      </c>
      <c r="H19" s="3"/>
    </row>
    <row r="20" spans="2:8" x14ac:dyDescent="0.25">
      <c r="B20" t="s">
        <v>215</v>
      </c>
      <c r="C20" t="s">
        <v>215</v>
      </c>
      <c r="D20" t="s">
        <v>6</v>
      </c>
      <c r="E20" t="s">
        <v>304</v>
      </c>
      <c r="F20" s="3"/>
      <c r="G20" s="3">
        <v>5.4095240930232521E-3</v>
      </c>
      <c r="H20" s="3"/>
    </row>
    <row r="21" spans="2:8" x14ac:dyDescent="0.25">
      <c r="B21" t="s">
        <v>215</v>
      </c>
      <c r="C21" t="s">
        <v>215</v>
      </c>
      <c r="D21" t="s">
        <v>6</v>
      </c>
      <c r="E21" t="s">
        <v>305</v>
      </c>
      <c r="F21" s="3"/>
      <c r="G21" s="3">
        <v>4.432958181818188E-3</v>
      </c>
      <c r="H21" s="3"/>
    </row>
    <row r="22" spans="2:8" x14ac:dyDescent="0.25">
      <c r="B22" t="s">
        <v>215</v>
      </c>
      <c r="C22" t="s">
        <v>215</v>
      </c>
      <c r="D22" t="s">
        <v>6</v>
      </c>
      <c r="E22" t="s">
        <v>306</v>
      </c>
      <c r="F22" s="3"/>
      <c r="G22" s="3">
        <v>5.4889779130434732E-3</v>
      </c>
      <c r="H22" s="3"/>
    </row>
    <row r="23" spans="2:8" x14ac:dyDescent="0.25">
      <c r="B23" t="s">
        <v>215</v>
      </c>
      <c r="C23" t="s">
        <v>215</v>
      </c>
      <c r="D23" t="s">
        <v>6</v>
      </c>
      <c r="E23" t="s">
        <v>327</v>
      </c>
      <c r="F23" s="3"/>
      <c r="G23" s="3">
        <v>6.3266666666666701E-4</v>
      </c>
      <c r="H23" s="3"/>
    </row>
    <row r="24" spans="2:8" x14ac:dyDescent="0.25">
      <c r="B24" t="s">
        <v>215</v>
      </c>
      <c r="C24" t="s">
        <v>215</v>
      </c>
      <c r="D24" t="s">
        <v>6</v>
      </c>
      <c r="E24" t="s">
        <v>308</v>
      </c>
      <c r="F24" s="3"/>
      <c r="G24" s="3">
        <v>2.63023659574468E-2</v>
      </c>
      <c r="H24" s="3"/>
    </row>
    <row r="25" spans="2:8" x14ac:dyDescent="0.25">
      <c r="B25" t="s">
        <v>215</v>
      </c>
      <c r="C25" t="s">
        <v>215</v>
      </c>
      <c r="D25" t="s">
        <v>6</v>
      </c>
      <c r="E25" t="s">
        <v>328</v>
      </c>
      <c r="F25" s="3"/>
      <c r="G25" s="3">
        <v>1.6092976379678239E-2</v>
      </c>
      <c r="H25" s="3">
        <v>-9.5049141742474266</v>
      </c>
    </row>
    <row r="26" spans="2:8" x14ac:dyDescent="0.25">
      <c r="B26" t="s">
        <v>215</v>
      </c>
      <c r="C26" t="s">
        <v>215</v>
      </c>
      <c r="D26" t="s">
        <v>6</v>
      </c>
      <c r="E26" t="s">
        <v>329</v>
      </c>
      <c r="F26" s="3"/>
      <c r="G26" s="3"/>
      <c r="H26" s="3"/>
    </row>
    <row r="27" spans="2:8" x14ac:dyDescent="0.25">
      <c r="B27" t="s">
        <v>215</v>
      </c>
      <c r="C27" t="s">
        <v>215</v>
      </c>
      <c r="D27" t="s">
        <v>6</v>
      </c>
      <c r="E27" t="s">
        <v>330</v>
      </c>
      <c r="F27" s="3"/>
      <c r="G27" s="3"/>
      <c r="H27" s="3"/>
    </row>
    <row r="28" spans="2:8" x14ac:dyDescent="0.25">
      <c r="B28" t="s">
        <v>215</v>
      </c>
      <c r="C28" t="s">
        <v>215</v>
      </c>
      <c r="D28" t="s">
        <v>6</v>
      </c>
      <c r="E28" t="s">
        <v>331</v>
      </c>
      <c r="F28" s="3"/>
      <c r="G28" s="3">
        <v>8.1993599999999995E-4</v>
      </c>
      <c r="H28" s="3">
        <v>-3.1598511359999999</v>
      </c>
    </row>
    <row r="29" spans="2:8" x14ac:dyDescent="0.25">
      <c r="B29" t="s">
        <v>215</v>
      </c>
      <c r="C29" t="s">
        <v>215</v>
      </c>
      <c r="D29" t="s">
        <v>6</v>
      </c>
      <c r="E29" t="s">
        <v>332</v>
      </c>
      <c r="F29" s="3"/>
      <c r="G29" s="3">
        <v>1.78085647058824E-3</v>
      </c>
      <c r="H29" s="3">
        <v>-6.8630250917647002</v>
      </c>
    </row>
    <row r="30" spans="2:8" x14ac:dyDescent="0.25">
      <c r="B30" t="s">
        <v>215</v>
      </c>
      <c r="C30" t="s">
        <v>215</v>
      </c>
      <c r="D30" t="s">
        <v>6</v>
      </c>
      <c r="E30" t="s">
        <v>333</v>
      </c>
      <c r="F30" s="3"/>
      <c r="G30" s="3">
        <v>2.7059202000000001E-2</v>
      </c>
      <c r="H30" s="3">
        <v>-104.280151352</v>
      </c>
    </row>
    <row r="31" spans="2:8" x14ac:dyDescent="0.25">
      <c r="B31" t="s">
        <v>215</v>
      </c>
      <c r="C31" t="s">
        <v>215</v>
      </c>
      <c r="D31" t="s">
        <v>6</v>
      </c>
      <c r="E31" t="s">
        <v>334</v>
      </c>
      <c r="F31" s="3"/>
      <c r="G31" s="3">
        <v>1.62485485714286E-2</v>
      </c>
      <c r="H31" s="3">
        <v>-62.618295405714385</v>
      </c>
    </row>
    <row r="32" spans="2:8" x14ac:dyDescent="0.25">
      <c r="B32" t="s">
        <v>215</v>
      </c>
      <c r="C32" t="s">
        <v>215</v>
      </c>
      <c r="D32" t="s">
        <v>6</v>
      </c>
      <c r="E32" t="s">
        <v>335</v>
      </c>
      <c r="F32" s="3"/>
      <c r="G32" s="3">
        <v>3.39618461538462E-3</v>
      </c>
      <c r="H32" s="3">
        <v>-13.0881408</v>
      </c>
    </row>
    <row r="33" spans="2:8" x14ac:dyDescent="0.25">
      <c r="B33" t="s">
        <v>215</v>
      </c>
      <c r="C33" t="s">
        <v>215</v>
      </c>
      <c r="D33" t="s">
        <v>6</v>
      </c>
      <c r="E33" t="s">
        <v>336</v>
      </c>
      <c r="F33" s="3"/>
      <c r="G33" s="3">
        <v>1.3167781714285703E-3</v>
      </c>
      <c r="H33" s="3"/>
    </row>
    <row r="34" spans="2:8" x14ac:dyDescent="0.25">
      <c r="B34" t="s">
        <v>215</v>
      </c>
      <c r="C34" t="s">
        <v>215</v>
      </c>
      <c r="D34" t="s">
        <v>6</v>
      </c>
      <c r="E34" t="s">
        <v>337</v>
      </c>
      <c r="F34" s="3"/>
      <c r="G34" s="3">
        <v>3.5873620540540544E-3</v>
      </c>
      <c r="H34" s="3"/>
    </row>
    <row r="35" spans="2:8" x14ac:dyDescent="0.25">
      <c r="B35" t="s">
        <v>215</v>
      </c>
      <c r="C35" t="s">
        <v>215</v>
      </c>
      <c r="D35" t="s">
        <v>6</v>
      </c>
      <c r="E35" t="s">
        <v>338</v>
      </c>
      <c r="F35" s="3"/>
      <c r="G35" s="3">
        <v>2.2617754838709708E-3</v>
      </c>
      <c r="H35" s="3"/>
    </row>
    <row r="36" spans="2:8" x14ac:dyDescent="0.25">
      <c r="B36" t="s">
        <v>215</v>
      </c>
      <c r="C36" t="s">
        <v>215</v>
      </c>
      <c r="D36" t="s">
        <v>6</v>
      </c>
      <c r="E36" t="s">
        <v>339</v>
      </c>
      <c r="F36" s="3"/>
      <c r="G36" s="3">
        <v>3.4851741852093511E-3</v>
      </c>
      <c r="H36" s="3">
        <v>-2.0584310031392761</v>
      </c>
    </row>
    <row r="37" spans="2:8" x14ac:dyDescent="0.25">
      <c r="B37" t="s">
        <v>215</v>
      </c>
      <c r="C37" t="s">
        <v>215</v>
      </c>
      <c r="D37" t="s">
        <v>6</v>
      </c>
      <c r="E37" t="s">
        <v>340</v>
      </c>
      <c r="F37" s="3"/>
      <c r="G37" s="3">
        <v>1.0512000000000001E-2</v>
      </c>
      <c r="H37" s="3">
        <v>-6.2086499999999996</v>
      </c>
    </row>
    <row r="38" spans="2:8" x14ac:dyDescent="0.25">
      <c r="B38" t="s">
        <v>215</v>
      </c>
      <c r="C38" t="s">
        <v>215</v>
      </c>
      <c r="D38" t="s">
        <v>6</v>
      </c>
      <c r="E38" t="s">
        <v>341</v>
      </c>
      <c r="F38" s="3"/>
      <c r="G38" s="3"/>
      <c r="H38" s="3"/>
    </row>
    <row r="39" spans="2:8" x14ac:dyDescent="0.25">
      <c r="B39" t="s">
        <v>215</v>
      </c>
      <c r="C39" t="s">
        <v>215</v>
      </c>
      <c r="D39" t="s">
        <v>6</v>
      </c>
      <c r="E39" t="s">
        <v>342</v>
      </c>
      <c r="F39" s="3"/>
      <c r="G39" s="3"/>
      <c r="H39" s="3"/>
    </row>
    <row r="40" spans="2:8" x14ac:dyDescent="0.25">
      <c r="B40" t="s">
        <v>215</v>
      </c>
      <c r="C40" t="s">
        <v>215</v>
      </c>
      <c r="D40" t="s">
        <v>6</v>
      </c>
      <c r="E40" t="s">
        <v>343</v>
      </c>
      <c r="F40" s="3"/>
      <c r="G40" s="3">
        <v>2.0697325000000001E-3</v>
      </c>
      <c r="H40" s="3"/>
    </row>
    <row r="41" spans="2:8" x14ac:dyDescent="0.25">
      <c r="B41" t="s">
        <v>215</v>
      </c>
      <c r="C41" t="s">
        <v>215</v>
      </c>
      <c r="D41" t="s">
        <v>6</v>
      </c>
      <c r="E41" t="s">
        <v>344</v>
      </c>
      <c r="F41" s="3"/>
      <c r="G41" s="3">
        <v>6.0248427906976799E-3</v>
      </c>
      <c r="H41" s="3"/>
    </row>
    <row r="42" spans="2:8" x14ac:dyDescent="0.25">
      <c r="B42" t="s">
        <v>215</v>
      </c>
      <c r="C42" t="s">
        <v>215</v>
      </c>
      <c r="D42" t="s">
        <v>6</v>
      </c>
      <c r="E42" t="s">
        <v>307</v>
      </c>
      <c r="F42" s="3"/>
      <c r="G42" s="3">
        <v>9.6041454545454496E-3</v>
      </c>
      <c r="H42" s="3"/>
    </row>
    <row r="43" spans="2:8" x14ac:dyDescent="0.25">
      <c r="B43" t="s">
        <v>215</v>
      </c>
      <c r="C43" t="s">
        <v>215</v>
      </c>
      <c r="D43" t="s">
        <v>6</v>
      </c>
      <c r="E43" t="s">
        <v>310</v>
      </c>
      <c r="F43" s="3"/>
      <c r="G43" s="3">
        <v>7.28347404255319E-3</v>
      </c>
      <c r="H43" s="3"/>
    </row>
    <row r="44" spans="2:8" x14ac:dyDescent="0.25">
      <c r="B44" t="s">
        <v>215</v>
      </c>
      <c r="C44" t="s">
        <v>215</v>
      </c>
      <c r="D44" t="s">
        <v>6</v>
      </c>
      <c r="E44" t="s">
        <v>345</v>
      </c>
      <c r="F44" s="3"/>
      <c r="G44" s="3"/>
      <c r="H44" s="3"/>
    </row>
    <row r="45" spans="2:8" x14ac:dyDescent="0.25">
      <c r="B45" t="s">
        <v>215</v>
      </c>
      <c r="C45" t="s">
        <v>215</v>
      </c>
      <c r="D45" t="s">
        <v>6</v>
      </c>
      <c r="E45" t="s">
        <v>346</v>
      </c>
      <c r="F45" s="3"/>
      <c r="G45" s="3"/>
      <c r="H45" s="3"/>
    </row>
    <row r="46" spans="2:8" x14ac:dyDescent="0.25">
      <c r="B46" t="s">
        <v>215</v>
      </c>
      <c r="C46" t="s">
        <v>215</v>
      </c>
      <c r="D46" t="s">
        <v>6</v>
      </c>
      <c r="E46" t="s">
        <v>347</v>
      </c>
      <c r="F46" s="3"/>
      <c r="G46" s="3">
        <v>8.9373899999999908E-4</v>
      </c>
      <c r="H46" s="3"/>
    </row>
    <row r="47" spans="2:8" x14ac:dyDescent="0.25">
      <c r="B47" t="s">
        <v>215</v>
      </c>
      <c r="C47" t="s">
        <v>215</v>
      </c>
      <c r="D47" t="s">
        <v>6</v>
      </c>
      <c r="E47" t="s">
        <v>348</v>
      </c>
      <c r="F47" s="3"/>
      <c r="G47" s="3">
        <v>3.1382165853658501E-3</v>
      </c>
      <c r="H47" s="3"/>
    </row>
    <row r="48" spans="2:8" x14ac:dyDescent="0.25">
      <c r="B48" t="s">
        <v>215</v>
      </c>
      <c r="C48" t="s">
        <v>215</v>
      </c>
      <c r="D48" t="s">
        <v>6</v>
      </c>
      <c r="E48" t="s">
        <v>349</v>
      </c>
      <c r="F48" s="3"/>
      <c r="G48" s="3">
        <v>4.3876173913043497E-5</v>
      </c>
      <c r="H48" s="3"/>
    </row>
    <row r="49" spans="2:8" x14ac:dyDescent="0.25">
      <c r="B49" t="s">
        <v>215</v>
      </c>
      <c r="C49" t="s">
        <v>215</v>
      </c>
      <c r="D49" t="s">
        <v>6</v>
      </c>
      <c r="E49" t="s">
        <v>350</v>
      </c>
      <c r="F49" s="3"/>
      <c r="G49" s="3">
        <v>1.0239814285714279E-3</v>
      </c>
      <c r="H49" s="3"/>
    </row>
    <row r="50" spans="2:8" x14ac:dyDescent="0.25">
      <c r="B50" t="s">
        <v>215</v>
      </c>
      <c r="C50" t="s">
        <v>215</v>
      </c>
      <c r="D50" t="s">
        <v>6</v>
      </c>
      <c r="E50" t="s">
        <v>351</v>
      </c>
      <c r="F50" s="3"/>
      <c r="G50" s="3">
        <v>1.26621818181818E-4</v>
      </c>
      <c r="H50" s="3"/>
    </row>
    <row r="51" spans="2:8" x14ac:dyDescent="0.25">
      <c r="B51" t="s">
        <v>215</v>
      </c>
      <c r="C51" t="s">
        <v>215</v>
      </c>
      <c r="D51" t="s">
        <v>6</v>
      </c>
      <c r="E51" t="s">
        <v>352</v>
      </c>
      <c r="F51" s="3"/>
      <c r="G51" s="3">
        <v>2.2513199999999998E-3</v>
      </c>
      <c r="H51" s="3"/>
    </row>
    <row r="52" spans="2:8" x14ac:dyDescent="0.25">
      <c r="B52" t="s">
        <v>215</v>
      </c>
      <c r="C52" t="s">
        <v>215</v>
      </c>
      <c r="D52" t="s">
        <v>6</v>
      </c>
      <c r="E52" t="s">
        <v>353</v>
      </c>
      <c r="F52" s="3"/>
      <c r="G52" s="3"/>
      <c r="H52" s="3"/>
    </row>
    <row r="53" spans="2:8" x14ac:dyDescent="0.25">
      <c r="B53" t="s">
        <v>215</v>
      </c>
      <c r="C53" t="s">
        <v>215</v>
      </c>
      <c r="D53" t="s">
        <v>6</v>
      </c>
      <c r="E53" t="s">
        <v>354</v>
      </c>
      <c r="F53" s="3"/>
      <c r="G53" s="3"/>
      <c r="H53" s="3"/>
    </row>
    <row r="54" spans="2:8" x14ac:dyDescent="0.25">
      <c r="B54" t="s">
        <v>215</v>
      </c>
      <c r="C54" t="s">
        <v>215</v>
      </c>
      <c r="D54" t="s">
        <v>6</v>
      </c>
      <c r="E54" t="s">
        <v>355</v>
      </c>
      <c r="F54" s="3"/>
      <c r="G54" s="3"/>
      <c r="H54" s="3"/>
    </row>
    <row r="55" spans="2:8" x14ac:dyDescent="0.25">
      <c r="B55" t="s">
        <v>215</v>
      </c>
      <c r="C55" t="s">
        <v>215</v>
      </c>
      <c r="D55" t="s">
        <v>6</v>
      </c>
      <c r="E55" t="s">
        <v>356</v>
      </c>
      <c r="F55" s="3"/>
      <c r="G55" s="3"/>
      <c r="H55" s="3"/>
    </row>
    <row r="56" spans="2:8" x14ac:dyDescent="0.25">
      <c r="B56" t="s">
        <v>215</v>
      </c>
      <c r="C56" t="s">
        <v>215</v>
      </c>
      <c r="D56" t="s">
        <v>6</v>
      </c>
      <c r="E56" t="s">
        <v>357</v>
      </c>
      <c r="F56" s="3"/>
      <c r="G56" s="3">
        <v>7.6667519999999993E-4</v>
      </c>
      <c r="H56" s="3"/>
    </row>
    <row r="57" spans="2:8" x14ac:dyDescent="0.25">
      <c r="B57" t="s">
        <v>215</v>
      </c>
      <c r="C57" t="s">
        <v>215</v>
      </c>
      <c r="D57" t="s">
        <v>6</v>
      </c>
      <c r="E57" t="s">
        <v>309</v>
      </c>
      <c r="F57" s="3"/>
      <c r="G57" s="3">
        <v>2.4826212765957401E-4</v>
      </c>
      <c r="H57" s="3"/>
    </row>
    <row r="58" spans="2:8" x14ac:dyDescent="0.25">
      <c r="B58" t="s">
        <v>215</v>
      </c>
      <c r="C58" t="s">
        <v>215</v>
      </c>
      <c r="D58" t="s">
        <v>6</v>
      </c>
      <c r="E58" t="s">
        <v>358</v>
      </c>
      <c r="F58" s="3"/>
      <c r="G58" s="3">
        <v>1.3797000000000001E-4</v>
      </c>
      <c r="H58" s="3"/>
    </row>
    <row r="59" spans="2:8" x14ac:dyDescent="0.25">
      <c r="B59" t="s">
        <v>215</v>
      </c>
      <c r="C59" t="s">
        <v>215</v>
      </c>
      <c r="D59" t="s">
        <v>6</v>
      </c>
      <c r="E59" t="s">
        <v>359</v>
      </c>
      <c r="F59" s="3"/>
      <c r="G59" s="3">
        <v>4.6150243902439E-4</v>
      </c>
      <c r="H59" s="3"/>
    </row>
    <row r="60" spans="2:8" x14ac:dyDescent="0.25">
      <c r="B60" t="s">
        <v>215</v>
      </c>
      <c r="C60" t="s">
        <v>215</v>
      </c>
      <c r="D60" t="s">
        <v>6</v>
      </c>
      <c r="E60" t="s">
        <v>360</v>
      </c>
      <c r="F60" s="3"/>
      <c r="G60" s="3"/>
      <c r="H60" s="3"/>
    </row>
    <row r="61" spans="2:8" x14ac:dyDescent="0.25">
      <c r="B61" t="s">
        <v>215</v>
      </c>
      <c r="C61" t="s">
        <v>215</v>
      </c>
      <c r="D61" t="s">
        <v>6</v>
      </c>
      <c r="E61" t="s">
        <v>361</v>
      </c>
      <c r="F61" s="3"/>
      <c r="G61" s="3">
        <v>1.0154592000000001E-3</v>
      </c>
      <c r="H61" s="3">
        <v>-0.61244883000000006</v>
      </c>
    </row>
    <row r="62" spans="2:8" x14ac:dyDescent="0.25">
      <c r="B62" t="s">
        <v>215</v>
      </c>
      <c r="C62" t="s">
        <v>215</v>
      </c>
      <c r="D62" t="s">
        <v>6</v>
      </c>
      <c r="E62" t="s">
        <v>362</v>
      </c>
      <c r="F62" s="3"/>
      <c r="G62" s="3">
        <v>2.5006937477765098E-4</v>
      </c>
      <c r="H62" s="3">
        <v>-0.150823091662771</v>
      </c>
    </row>
    <row r="63" spans="2:8" x14ac:dyDescent="0.25">
      <c r="B63" t="s">
        <v>215</v>
      </c>
      <c r="C63" t="s">
        <v>215</v>
      </c>
      <c r="D63" t="s">
        <v>6</v>
      </c>
      <c r="E63" t="s">
        <v>363</v>
      </c>
      <c r="F63" s="3"/>
      <c r="G63" s="3">
        <v>9.8899148571428589E-4</v>
      </c>
      <c r="H63" s="3">
        <v>6.1811967857142904E-3</v>
      </c>
    </row>
    <row r="64" spans="2:8" x14ac:dyDescent="0.25">
      <c r="B64" t="s">
        <v>215</v>
      </c>
      <c r="C64" t="s">
        <v>215</v>
      </c>
      <c r="D64" t="s">
        <v>6</v>
      </c>
      <c r="E64" t="s">
        <v>364</v>
      </c>
      <c r="F64" s="3"/>
      <c r="G64" s="3">
        <v>2.24694E-2</v>
      </c>
      <c r="H64" s="3">
        <v>-86.592074400000101</v>
      </c>
    </row>
    <row r="65" spans="2:8" x14ac:dyDescent="0.25">
      <c r="B65" t="s">
        <v>215</v>
      </c>
      <c r="C65" t="s">
        <v>215</v>
      </c>
      <c r="D65" t="s">
        <v>6</v>
      </c>
      <c r="E65" t="s">
        <v>300</v>
      </c>
      <c r="F65" s="3"/>
      <c r="G65" s="3">
        <v>7.1069206153846123E-3</v>
      </c>
      <c r="H65" s="3"/>
    </row>
    <row r="66" spans="2:8" x14ac:dyDescent="0.25">
      <c r="B66" t="s">
        <v>215</v>
      </c>
      <c r="C66" t="s">
        <v>215</v>
      </c>
      <c r="D66" t="s">
        <v>6</v>
      </c>
      <c r="E66" t="s">
        <v>365</v>
      </c>
      <c r="F66" s="3"/>
      <c r="G66" s="3"/>
      <c r="H66" s="3"/>
    </row>
    <row r="67" spans="2:8" x14ac:dyDescent="0.25">
      <c r="B67" t="s">
        <v>215</v>
      </c>
      <c r="C67" t="s">
        <v>215</v>
      </c>
      <c r="D67" t="s">
        <v>6</v>
      </c>
      <c r="E67" t="s">
        <v>366</v>
      </c>
      <c r="F67" s="3"/>
      <c r="G67" s="3"/>
      <c r="H67" s="3"/>
    </row>
    <row r="68" spans="2:8" x14ac:dyDescent="0.25">
      <c r="B68" t="s">
        <v>215</v>
      </c>
      <c r="C68" t="s">
        <v>215</v>
      </c>
      <c r="D68" t="s">
        <v>6</v>
      </c>
      <c r="E68" t="s">
        <v>367</v>
      </c>
      <c r="F68" s="3"/>
      <c r="G68" s="3">
        <v>9.3346559999999996E-4</v>
      </c>
      <c r="H68" s="3">
        <v>-0.56299644000000004</v>
      </c>
    </row>
    <row r="69" spans="2:8" x14ac:dyDescent="0.25">
      <c r="B69" t="s">
        <v>215</v>
      </c>
      <c r="C69" t="s">
        <v>215</v>
      </c>
      <c r="D69" t="s">
        <v>6</v>
      </c>
      <c r="E69" t="s">
        <v>368</v>
      </c>
      <c r="F69" s="3"/>
      <c r="G69" s="3">
        <v>4.4028208839267001E-3</v>
      </c>
      <c r="H69" s="3">
        <v>-16.967493282012612</v>
      </c>
    </row>
    <row r="70" spans="2:8" x14ac:dyDescent="0.25">
      <c r="B70" t="s">
        <v>215</v>
      </c>
      <c r="C70" t="s">
        <v>215</v>
      </c>
      <c r="D70" t="s">
        <v>6</v>
      </c>
      <c r="E70" t="s">
        <v>369</v>
      </c>
      <c r="F70" s="3"/>
      <c r="G70" s="3">
        <v>3.9084015855191103E-3</v>
      </c>
      <c r="H70" s="3">
        <v>-15.062111176905001</v>
      </c>
    </row>
    <row r="71" spans="2:8" x14ac:dyDescent="0.25">
      <c r="B71" t="s">
        <v>215</v>
      </c>
      <c r="C71" t="s">
        <v>215</v>
      </c>
      <c r="D71" t="s">
        <v>6</v>
      </c>
      <c r="E71" t="s">
        <v>311</v>
      </c>
      <c r="F71" s="3"/>
      <c r="G71" s="3">
        <v>4.4300571428571396E-3</v>
      </c>
      <c r="H71" s="3"/>
    </row>
    <row r="72" spans="2:8" x14ac:dyDescent="0.25">
      <c r="B72" t="s">
        <v>215</v>
      </c>
      <c r="C72" t="s">
        <v>215</v>
      </c>
      <c r="D72" t="s">
        <v>6</v>
      </c>
      <c r="E72" t="s">
        <v>370</v>
      </c>
      <c r="F72" s="3"/>
      <c r="G72" s="3">
        <v>4.0835076923076901E-5</v>
      </c>
      <c r="H72" s="3">
        <v>2.5521923076923098E-4</v>
      </c>
    </row>
    <row r="73" spans="2:8" x14ac:dyDescent="0.25">
      <c r="B73" t="s">
        <v>215</v>
      </c>
      <c r="C73" t="s">
        <v>215</v>
      </c>
      <c r="D73" t="s">
        <v>6</v>
      </c>
      <c r="E73" t="s">
        <v>371</v>
      </c>
      <c r="F73" s="3"/>
      <c r="G73" s="3">
        <v>3.4820999999999997E-5</v>
      </c>
      <c r="H73" s="3">
        <v>2.1763125000000001E-4</v>
      </c>
    </row>
    <row r="74" spans="2:8" x14ac:dyDescent="0.25">
      <c r="B74" t="s">
        <v>215</v>
      </c>
      <c r="C74" t="s">
        <v>215</v>
      </c>
      <c r="D74" t="s">
        <v>6</v>
      </c>
      <c r="E74" t="s">
        <v>372</v>
      </c>
      <c r="F74" s="3"/>
      <c r="G74" s="3">
        <v>2.30751219512195E-4</v>
      </c>
      <c r="H74" s="3">
        <v>1.44219512195122E-3</v>
      </c>
    </row>
    <row r="75" spans="2:8" x14ac:dyDescent="0.25">
      <c r="B75" t="s">
        <v>215</v>
      </c>
      <c r="C75" t="s">
        <v>215</v>
      </c>
      <c r="D75" t="s">
        <v>6</v>
      </c>
      <c r="E75" t="s">
        <v>373</v>
      </c>
      <c r="F75" s="3"/>
      <c r="G75" s="3">
        <v>2.6280000000000001E-3</v>
      </c>
      <c r="H75" s="3">
        <v>-1.5521624999999999</v>
      </c>
    </row>
    <row r="76" spans="2:8" x14ac:dyDescent="0.25">
      <c r="B76" t="s">
        <v>215</v>
      </c>
      <c r="C76" t="s">
        <v>215</v>
      </c>
      <c r="D76" t="s">
        <v>6</v>
      </c>
      <c r="E76" t="s">
        <v>374</v>
      </c>
      <c r="F76" s="3"/>
      <c r="G76" s="3">
        <v>4.6626560000000003E-3</v>
      </c>
      <c r="H76" s="3">
        <v>-2.7538811999999999</v>
      </c>
    </row>
    <row r="77" spans="2:8" x14ac:dyDescent="0.25">
      <c r="B77" t="s">
        <v>215</v>
      </c>
      <c r="C77" t="s">
        <v>215</v>
      </c>
      <c r="D77" t="s">
        <v>6</v>
      </c>
      <c r="E77" t="s">
        <v>375</v>
      </c>
      <c r="F77" s="3"/>
      <c r="G77" s="3">
        <v>5.0022620689655203E-3</v>
      </c>
      <c r="H77" s="3">
        <v>-2.95446103448276</v>
      </c>
    </row>
    <row r="78" spans="2:8" x14ac:dyDescent="0.25">
      <c r="B78" t="s">
        <v>0</v>
      </c>
      <c r="F78" s="3">
        <v>1000.0000000000007</v>
      </c>
      <c r="G78" s="3">
        <v>0.37615630110413251</v>
      </c>
      <c r="H78" s="3">
        <v>-1322.6272568960364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86</v>
      </c>
      <c r="E5" t="s">
        <v>109</v>
      </c>
    </row>
    <row r="6" spans="3:5" x14ac:dyDescent="0.25">
      <c r="C6" t="s">
        <v>251</v>
      </c>
      <c r="D6" t="s">
        <v>45</v>
      </c>
      <c r="E6" s="3">
        <v>34227.409340962418</v>
      </c>
    </row>
    <row r="7" spans="3:5" x14ac:dyDescent="0.25">
      <c r="C7" t="s">
        <v>251</v>
      </c>
      <c r="D7" t="s">
        <v>46</v>
      </c>
      <c r="E7" s="3">
        <v>43610.121279394334</v>
      </c>
    </row>
    <row r="8" spans="3:5" x14ac:dyDescent="0.25">
      <c r="C8" t="s">
        <v>251</v>
      </c>
      <c r="D8" t="s">
        <v>47</v>
      </c>
      <c r="E8" s="3">
        <v>56451.07517572221</v>
      </c>
    </row>
    <row r="9" spans="3:5" x14ac:dyDescent="0.25">
      <c r="C9" t="s">
        <v>251</v>
      </c>
      <c r="D9" t="s">
        <v>48</v>
      </c>
      <c r="E9" s="3">
        <v>68006.561854422805</v>
      </c>
    </row>
    <row r="10" spans="3:5" x14ac:dyDescent="0.25">
      <c r="C10" t="s">
        <v>251</v>
      </c>
      <c r="D10" t="s">
        <v>49</v>
      </c>
      <c r="E10" s="3">
        <v>78789.023605851311</v>
      </c>
    </row>
    <row r="11" spans="3:5" x14ac:dyDescent="0.25">
      <c r="C11" t="s">
        <v>251</v>
      </c>
      <c r="D11" t="s">
        <v>50</v>
      </c>
      <c r="E11" s="3">
        <v>87399.677257453004</v>
      </c>
    </row>
    <row r="12" spans="3:5" x14ac:dyDescent="0.25">
      <c r="C12" t="s">
        <v>251</v>
      </c>
      <c r="D12" t="s">
        <v>170</v>
      </c>
      <c r="E12" s="3">
        <v>88329.393180912724</v>
      </c>
    </row>
    <row r="13" spans="3:5" x14ac:dyDescent="0.25">
      <c r="C13" t="s">
        <v>251</v>
      </c>
      <c r="D13" t="s">
        <v>171</v>
      </c>
      <c r="E13" s="3">
        <v>84097.833756104126</v>
      </c>
    </row>
    <row r="14" spans="3:5" x14ac:dyDescent="0.25">
      <c r="C14" t="s">
        <v>251</v>
      </c>
      <c r="D14" t="s">
        <v>172</v>
      </c>
      <c r="E14" s="3">
        <v>73808.361375868277</v>
      </c>
    </row>
    <row r="15" spans="3:5" x14ac:dyDescent="0.25">
      <c r="C15" t="s">
        <v>251</v>
      </c>
      <c r="D15" t="s">
        <v>173</v>
      </c>
      <c r="E15" s="3">
        <v>65343.121264986963</v>
      </c>
    </row>
    <row r="16" spans="3:5" x14ac:dyDescent="0.25">
      <c r="C16" t="s">
        <v>251</v>
      </c>
      <c r="D16" t="s">
        <v>174</v>
      </c>
      <c r="E16" s="3">
        <v>55409.843751631262</v>
      </c>
    </row>
    <row r="17" spans="3:5" x14ac:dyDescent="0.25">
      <c r="C17" t="s">
        <v>251</v>
      </c>
      <c r="D17" t="s">
        <v>208</v>
      </c>
      <c r="E17" s="3">
        <v>47264.906157123674</v>
      </c>
    </row>
    <row r="18" spans="3:5" x14ac:dyDescent="0.25">
      <c r="C18" t="s">
        <v>251</v>
      </c>
      <c r="D18" t="s">
        <v>228</v>
      </c>
      <c r="E18" s="3">
        <v>40314.996523092115</v>
      </c>
    </row>
    <row r="19" spans="3:5" x14ac:dyDescent="0.25">
      <c r="C19" t="s">
        <v>251</v>
      </c>
      <c r="D19" t="s">
        <v>229</v>
      </c>
      <c r="E19" s="3">
        <v>35019.839701233635</v>
      </c>
    </row>
    <row r="20" spans="3:5" x14ac:dyDescent="0.25">
      <c r="C20" t="s">
        <v>251</v>
      </c>
      <c r="D20" t="s">
        <v>230</v>
      </c>
      <c r="E20" s="3">
        <v>30303.764750258655</v>
      </c>
    </row>
    <row r="21" spans="3:5" x14ac:dyDescent="0.25">
      <c r="C21" t="s">
        <v>251</v>
      </c>
      <c r="D21" t="s">
        <v>231</v>
      </c>
      <c r="E21" s="3">
        <v>25701.027037041313</v>
      </c>
    </row>
    <row r="22" spans="3:5" x14ac:dyDescent="0.25">
      <c r="C22" t="s">
        <v>251</v>
      </c>
      <c r="D22" t="s">
        <v>232</v>
      </c>
      <c r="E22" s="3">
        <v>20432.497576573329</v>
      </c>
    </row>
    <row r="23" spans="3:5" x14ac:dyDescent="0.25">
      <c r="C23" t="s">
        <v>251</v>
      </c>
      <c r="D23" t="s">
        <v>233</v>
      </c>
      <c r="E23" s="3">
        <v>16376.657578349766</v>
      </c>
    </row>
    <row r="24" spans="3:5" x14ac:dyDescent="0.25">
      <c r="C24" t="s">
        <v>251</v>
      </c>
      <c r="D24" t="s">
        <v>234</v>
      </c>
      <c r="E24" s="3">
        <v>12196.622746870684</v>
      </c>
    </row>
    <row r="25" spans="3:5" x14ac:dyDescent="0.25">
      <c r="C25" t="s">
        <v>251</v>
      </c>
      <c r="D25" t="s">
        <v>235</v>
      </c>
      <c r="E25" s="3">
        <v>8857.2819851566292</v>
      </c>
    </row>
    <row r="26" spans="3:5" x14ac:dyDescent="0.25">
      <c r="C26" t="s">
        <v>251</v>
      </c>
      <c r="D26" t="s">
        <v>236</v>
      </c>
      <c r="E26" s="3">
        <v>9143.1038794465894</v>
      </c>
    </row>
    <row r="27" spans="3:5" x14ac:dyDescent="0.25">
      <c r="C27" t="s">
        <v>251</v>
      </c>
      <c r="D27" t="s">
        <v>237</v>
      </c>
      <c r="E27" s="3">
        <v>10705.351000981018</v>
      </c>
    </row>
    <row r="28" spans="3:5" x14ac:dyDescent="0.25">
      <c r="C28" t="s">
        <v>251</v>
      </c>
      <c r="D28" t="s">
        <v>238</v>
      </c>
      <c r="E28" s="3">
        <v>15693.949551372851</v>
      </c>
    </row>
    <row r="29" spans="3:5" x14ac:dyDescent="0.25">
      <c r="C29" t="s">
        <v>251</v>
      </c>
      <c r="D29" t="s">
        <v>239</v>
      </c>
      <c r="E29" s="3">
        <v>23012.925347952871</v>
      </c>
    </row>
    <row r="30" spans="3:5" x14ac:dyDescent="0.25">
      <c r="C30" t="s">
        <v>0</v>
      </c>
      <c r="E30" s="3">
        <v>1030495.3456787625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9.5703125" customWidth="1"/>
    <col min="6" max="6" width="9.5703125" bestFit="1"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109</v>
      </c>
      <c r="D4" s="1" t="s">
        <v>43</v>
      </c>
    </row>
    <row r="5" spans="3:8" x14ac:dyDescent="0.25">
      <c r="C5" s="1" t="s">
        <v>44</v>
      </c>
      <c r="D5" t="s">
        <v>18</v>
      </c>
      <c r="E5" t="s">
        <v>8</v>
      </c>
      <c r="F5" t="s">
        <v>7</v>
      </c>
      <c r="G5" t="s">
        <v>17</v>
      </c>
      <c r="H5" t="s">
        <v>0</v>
      </c>
    </row>
    <row r="6" spans="3:8" x14ac:dyDescent="0.25">
      <c r="C6" s="2" t="s">
        <v>251</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9" width="12" bestFit="1"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145</v>
      </c>
      <c r="E4" s="1" t="s">
        <v>146</v>
      </c>
      <c r="F4" s="1" t="s">
        <v>150</v>
      </c>
    </row>
    <row r="5" spans="3:9" x14ac:dyDescent="0.25">
      <c r="E5" t="s">
        <v>197</v>
      </c>
      <c r="F5" t="s">
        <v>197</v>
      </c>
      <c r="G5" t="s">
        <v>197</v>
      </c>
      <c r="H5" t="s">
        <v>197</v>
      </c>
      <c r="I5" t="s">
        <v>0</v>
      </c>
    </row>
    <row r="6" spans="3:9" x14ac:dyDescent="0.25">
      <c r="C6" s="1" t="s">
        <v>15</v>
      </c>
      <c r="D6" s="1" t="s">
        <v>86</v>
      </c>
      <c r="E6" t="s">
        <v>196</v>
      </c>
      <c r="F6" t="s">
        <v>226</v>
      </c>
      <c r="G6" t="s">
        <v>225</v>
      </c>
      <c r="H6" t="s">
        <v>227</v>
      </c>
    </row>
    <row r="7" spans="3:9" x14ac:dyDescent="0.25">
      <c r="C7" t="s">
        <v>251</v>
      </c>
      <c r="D7" t="s">
        <v>45</v>
      </c>
      <c r="E7" s="3">
        <v>0</v>
      </c>
      <c r="F7" s="3">
        <v>0</v>
      </c>
      <c r="G7" s="3">
        <v>0</v>
      </c>
      <c r="H7" s="3">
        <v>0</v>
      </c>
      <c r="I7" s="3">
        <v>0</v>
      </c>
    </row>
    <row r="8" spans="3:9" x14ac:dyDescent="0.25">
      <c r="C8" t="s">
        <v>251</v>
      </c>
      <c r="D8" t="s">
        <v>46</v>
      </c>
      <c r="E8" s="3">
        <v>0</v>
      </c>
      <c r="F8" s="3">
        <v>0</v>
      </c>
      <c r="G8" s="3">
        <v>0</v>
      </c>
      <c r="H8" s="3">
        <v>0</v>
      </c>
      <c r="I8" s="3">
        <v>0</v>
      </c>
    </row>
    <row r="9" spans="3:9" x14ac:dyDescent="0.25">
      <c r="C9" t="s">
        <v>251</v>
      </c>
      <c r="D9" t="s">
        <v>47</v>
      </c>
      <c r="E9" s="3">
        <v>0</v>
      </c>
      <c r="F9" s="3">
        <v>0</v>
      </c>
      <c r="G9" s="3">
        <v>5.1901593025655804E-4</v>
      </c>
      <c r="H9" s="3">
        <v>0</v>
      </c>
      <c r="I9" s="3">
        <v>5.1901593025655804E-4</v>
      </c>
    </row>
    <row r="10" spans="3:9" x14ac:dyDescent="0.25">
      <c r="C10" t="s">
        <v>251</v>
      </c>
      <c r="D10" t="s">
        <v>48</v>
      </c>
      <c r="E10" s="3">
        <v>0</v>
      </c>
      <c r="F10" s="3">
        <v>0</v>
      </c>
      <c r="G10" s="3">
        <v>0</v>
      </c>
      <c r="H10" s="3">
        <v>0</v>
      </c>
      <c r="I10" s="3">
        <v>0</v>
      </c>
    </row>
    <row r="11" spans="3:9" x14ac:dyDescent="0.25">
      <c r="C11" t="s">
        <v>251</v>
      </c>
      <c r="D11" t="s">
        <v>49</v>
      </c>
      <c r="E11" s="3">
        <v>0</v>
      </c>
      <c r="F11" s="3">
        <v>0</v>
      </c>
      <c r="G11" s="3">
        <v>0</v>
      </c>
      <c r="H11" s="3">
        <v>0</v>
      </c>
      <c r="I11" s="3">
        <v>0</v>
      </c>
    </row>
    <row r="12" spans="3:9" x14ac:dyDescent="0.25">
      <c r="C12" t="s">
        <v>251</v>
      </c>
      <c r="D12" t="s">
        <v>50</v>
      </c>
      <c r="E12" s="3">
        <v>0</v>
      </c>
      <c r="F12" s="3">
        <v>0</v>
      </c>
      <c r="G12" s="3">
        <v>0</v>
      </c>
      <c r="H12" s="3">
        <v>-3.4343469809347299E-2</v>
      </c>
      <c r="I12" s="3">
        <v>-3.4343469809347299E-2</v>
      </c>
    </row>
    <row r="13" spans="3:9" x14ac:dyDescent="0.25">
      <c r="C13" t="s">
        <v>251</v>
      </c>
      <c r="D13" t="s">
        <v>170</v>
      </c>
      <c r="E13" s="3">
        <v>0</v>
      </c>
      <c r="F13" s="3">
        <v>0</v>
      </c>
      <c r="G13" s="3">
        <v>0</v>
      </c>
      <c r="H13" s="3">
        <v>0</v>
      </c>
      <c r="I13" s="3">
        <v>0</v>
      </c>
    </row>
    <row r="14" spans="3:9" x14ac:dyDescent="0.25">
      <c r="C14" t="s">
        <v>251</v>
      </c>
      <c r="D14" t="s">
        <v>171</v>
      </c>
      <c r="E14" s="3">
        <v>0</v>
      </c>
      <c r="F14" s="3">
        <v>0</v>
      </c>
      <c r="G14" s="3">
        <v>0</v>
      </c>
      <c r="H14" s="3">
        <v>0</v>
      </c>
      <c r="I14" s="3">
        <v>0</v>
      </c>
    </row>
    <row r="15" spans="3:9" x14ac:dyDescent="0.25">
      <c r="C15" t="s">
        <v>251</v>
      </c>
      <c r="D15" t="s">
        <v>172</v>
      </c>
      <c r="E15" s="3">
        <v>0</v>
      </c>
      <c r="F15" s="3">
        <v>0</v>
      </c>
      <c r="G15" s="3">
        <v>0</v>
      </c>
      <c r="H15" s="3">
        <v>0</v>
      </c>
      <c r="I15" s="3">
        <v>0</v>
      </c>
    </row>
    <row r="16" spans="3:9" x14ac:dyDescent="0.25">
      <c r="C16" t="s">
        <v>251</v>
      </c>
      <c r="D16" t="s">
        <v>173</v>
      </c>
      <c r="E16" s="3">
        <v>0</v>
      </c>
      <c r="F16" s="3">
        <v>0</v>
      </c>
      <c r="G16" s="3">
        <v>0</v>
      </c>
      <c r="H16" s="3">
        <v>0</v>
      </c>
      <c r="I16" s="3">
        <v>0</v>
      </c>
    </row>
    <row r="17" spans="3:9" x14ac:dyDescent="0.25">
      <c r="C17" t="s">
        <v>251</v>
      </c>
      <c r="D17" t="s">
        <v>174</v>
      </c>
      <c r="E17" s="3">
        <v>0</v>
      </c>
      <c r="F17" s="3">
        <v>0</v>
      </c>
      <c r="G17" s="3">
        <v>0</v>
      </c>
      <c r="H17" s="3">
        <v>0</v>
      </c>
      <c r="I17" s="3">
        <v>0</v>
      </c>
    </row>
    <row r="18" spans="3:9" x14ac:dyDescent="0.25">
      <c r="C18" t="s">
        <v>251</v>
      </c>
      <c r="D18" t="s">
        <v>208</v>
      </c>
      <c r="E18" s="3">
        <v>0</v>
      </c>
      <c r="F18" s="3">
        <v>0</v>
      </c>
      <c r="G18" s="3">
        <v>0</v>
      </c>
      <c r="H18" s="3">
        <v>0</v>
      </c>
      <c r="I18" s="3">
        <v>0</v>
      </c>
    </row>
    <row r="19" spans="3:9" x14ac:dyDescent="0.25">
      <c r="C19" t="s">
        <v>251</v>
      </c>
      <c r="D19" t="s">
        <v>228</v>
      </c>
      <c r="E19" s="3">
        <v>0</v>
      </c>
      <c r="F19" s="3">
        <v>0</v>
      </c>
      <c r="G19" s="3">
        <v>0</v>
      </c>
      <c r="H19" s="3">
        <v>0</v>
      </c>
      <c r="I19" s="3">
        <v>0</v>
      </c>
    </row>
    <row r="20" spans="3:9" x14ac:dyDescent="0.25">
      <c r="C20" t="s">
        <v>251</v>
      </c>
      <c r="D20" t="s">
        <v>229</v>
      </c>
      <c r="E20" s="3">
        <v>0</v>
      </c>
      <c r="F20" s="3">
        <v>0</v>
      </c>
      <c r="G20" s="3">
        <v>0</v>
      </c>
      <c r="H20" s="3">
        <v>0</v>
      </c>
      <c r="I20" s="3">
        <v>0</v>
      </c>
    </row>
    <row r="21" spans="3:9" x14ac:dyDescent="0.25">
      <c r="C21" t="s">
        <v>251</v>
      </c>
      <c r="D21" t="s">
        <v>230</v>
      </c>
      <c r="E21" s="3">
        <v>0</v>
      </c>
      <c r="F21" s="3">
        <v>0</v>
      </c>
      <c r="G21" s="3">
        <v>0</v>
      </c>
      <c r="H21" s="3">
        <v>0</v>
      </c>
      <c r="I21" s="3">
        <v>0</v>
      </c>
    </row>
    <row r="22" spans="3:9" x14ac:dyDescent="0.25">
      <c r="C22" t="s">
        <v>251</v>
      </c>
      <c r="D22" t="s">
        <v>231</v>
      </c>
      <c r="E22" s="3">
        <v>-0.12955561046880201</v>
      </c>
      <c r="F22" s="3">
        <v>0</v>
      </c>
      <c r="G22" s="3">
        <v>0</v>
      </c>
      <c r="H22" s="3">
        <v>0</v>
      </c>
      <c r="I22" s="3">
        <v>-0.12955561046880201</v>
      </c>
    </row>
    <row r="23" spans="3:9" x14ac:dyDescent="0.25">
      <c r="C23" t="s">
        <v>251</v>
      </c>
      <c r="D23" t="s">
        <v>232</v>
      </c>
      <c r="E23" s="3">
        <v>0</v>
      </c>
      <c r="F23" s="3">
        <v>0</v>
      </c>
      <c r="G23" s="3">
        <v>0</v>
      </c>
      <c r="H23" s="3">
        <v>0</v>
      </c>
      <c r="I23" s="3">
        <v>0</v>
      </c>
    </row>
    <row r="24" spans="3:9" x14ac:dyDescent="0.25">
      <c r="C24" t="s">
        <v>251</v>
      </c>
      <c r="D24" t="s">
        <v>233</v>
      </c>
      <c r="E24" s="3">
        <v>0</v>
      </c>
      <c r="F24" s="3">
        <v>0</v>
      </c>
      <c r="G24" s="3">
        <v>0</v>
      </c>
      <c r="H24" s="3">
        <v>0</v>
      </c>
      <c r="I24" s="3">
        <v>0</v>
      </c>
    </row>
    <row r="25" spans="3:9" x14ac:dyDescent="0.25">
      <c r="C25" t="s">
        <v>251</v>
      </c>
      <c r="D25" t="s">
        <v>234</v>
      </c>
      <c r="E25" s="3">
        <v>-2.9496349605708499E-2</v>
      </c>
      <c r="F25" s="3">
        <v>0</v>
      </c>
      <c r="G25" s="3">
        <v>0</v>
      </c>
      <c r="H25" s="3">
        <v>0</v>
      </c>
      <c r="I25" s="3">
        <v>-2.9496349605708499E-2</v>
      </c>
    </row>
    <row r="26" spans="3:9" x14ac:dyDescent="0.25">
      <c r="C26" t="s">
        <v>251</v>
      </c>
      <c r="D26" t="s">
        <v>235</v>
      </c>
      <c r="E26" s="3">
        <v>0</v>
      </c>
      <c r="F26" s="3">
        <v>0</v>
      </c>
      <c r="G26" s="3">
        <v>8.16024731420886E-2</v>
      </c>
      <c r="H26" s="3">
        <v>0</v>
      </c>
      <c r="I26" s="3">
        <v>8.16024731420886E-2</v>
      </c>
    </row>
    <row r="27" spans="3:9" x14ac:dyDescent="0.25">
      <c r="C27" t="s">
        <v>251</v>
      </c>
      <c r="D27" t="s">
        <v>236</v>
      </c>
      <c r="E27" s="3">
        <v>0</v>
      </c>
      <c r="F27" s="3">
        <v>0</v>
      </c>
      <c r="G27" s="3">
        <v>0.37347496921664203</v>
      </c>
      <c r="H27" s="3">
        <v>0</v>
      </c>
      <c r="I27" s="3">
        <v>0.37347496921664203</v>
      </c>
    </row>
    <row r="28" spans="3:9" x14ac:dyDescent="0.25">
      <c r="C28" t="s">
        <v>251</v>
      </c>
      <c r="D28" t="s">
        <v>237</v>
      </c>
      <c r="E28" s="3">
        <v>4.2752998303794802E-2</v>
      </c>
      <c r="F28" s="3">
        <v>0</v>
      </c>
      <c r="G28" s="3">
        <v>0.52649999999999997</v>
      </c>
      <c r="H28" s="3">
        <v>0</v>
      </c>
      <c r="I28" s="3">
        <v>0.56925299830379472</v>
      </c>
    </row>
    <row r="29" spans="3:9" x14ac:dyDescent="0.25">
      <c r="C29" t="s">
        <v>251</v>
      </c>
      <c r="D29" t="s">
        <v>238</v>
      </c>
      <c r="E29" s="3">
        <v>0</v>
      </c>
      <c r="F29" s="3">
        <v>0</v>
      </c>
      <c r="G29" s="3">
        <v>0.52649999999999997</v>
      </c>
      <c r="H29" s="3">
        <v>0.20435220537920001</v>
      </c>
      <c r="I29" s="3">
        <v>0.73085220537919993</v>
      </c>
    </row>
    <row r="30" spans="3:9" x14ac:dyDescent="0.25">
      <c r="C30" t="s">
        <v>251</v>
      </c>
      <c r="D30" t="s">
        <v>239</v>
      </c>
      <c r="E30" s="3">
        <v>0</v>
      </c>
      <c r="F30" s="3">
        <v>0</v>
      </c>
      <c r="G30" s="3">
        <v>0.52649999999999997</v>
      </c>
      <c r="H30" s="3">
        <v>0.381344732456182</v>
      </c>
      <c r="I30" s="3">
        <v>0.90784473245618202</v>
      </c>
    </row>
    <row r="31" spans="3:9" x14ac:dyDescent="0.25">
      <c r="C31" t="s">
        <v>0</v>
      </c>
      <c r="E31" s="3">
        <v>-0.11629896177071569</v>
      </c>
      <c r="F31" s="3">
        <v>0</v>
      </c>
      <c r="G31" s="3">
        <v>2.035096458288987</v>
      </c>
      <c r="H31" s="3">
        <v>0.55135346802603469</v>
      </c>
      <c r="I31" s="3">
        <v>2.470150964544306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11" sqref="D7:D14"/>
    </sheetView>
  </sheetViews>
  <sheetFormatPr defaultRowHeight="15" x14ac:dyDescent="0.25"/>
  <cols>
    <col min="3" max="3" width="13.140625" customWidth="1"/>
    <col min="4" max="4" width="16.28515625" customWidth="1"/>
    <col min="5" max="5" width="8.28515625" customWidth="1"/>
    <col min="6" max="7" width="11.28515625"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147</v>
      </c>
      <c r="F5" s="1" t="s">
        <v>247</v>
      </c>
    </row>
    <row r="6" spans="3:7" x14ac:dyDescent="0.25">
      <c r="C6" s="1" t="s">
        <v>248</v>
      </c>
      <c r="D6" s="1" t="s">
        <v>167</v>
      </c>
      <c r="E6" s="1" t="s">
        <v>214</v>
      </c>
      <c r="F6" t="s">
        <v>16</v>
      </c>
      <c r="G6" t="s">
        <v>0</v>
      </c>
    </row>
    <row r="7" spans="3:7" x14ac:dyDescent="0.25">
      <c r="C7" t="s">
        <v>8</v>
      </c>
      <c r="D7" t="s">
        <v>215</v>
      </c>
      <c r="E7" t="s">
        <v>215</v>
      </c>
      <c r="F7" s="3">
        <v>0</v>
      </c>
      <c r="G7" s="3">
        <v>0</v>
      </c>
    </row>
    <row r="8" spans="3:7" x14ac:dyDescent="0.25">
      <c r="C8" t="s">
        <v>19</v>
      </c>
      <c r="D8" t="s">
        <v>215</v>
      </c>
      <c r="E8" t="s">
        <v>215</v>
      </c>
      <c r="F8" s="3">
        <v>0</v>
      </c>
      <c r="G8" s="3">
        <v>0</v>
      </c>
    </row>
    <row r="9" spans="3:7" x14ac:dyDescent="0.25">
      <c r="C9" t="s">
        <v>17</v>
      </c>
      <c r="D9" t="s">
        <v>215</v>
      </c>
      <c r="E9" t="s">
        <v>215</v>
      </c>
      <c r="F9" s="3">
        <v>0</v>
      </c>
      <c r="G9" s="3">
        <v>0</v>
      </c>
    </row>
    <row r="10" spans="3:7" x14ac:dyDescent="0.25">
      <c r="C10" t="s">
        <v>0</v>
      </c>
      <c r="F10" s="3">
        <v>0</v>
      </c>
      <c r="G10" s="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169</v>
      </c>
      <c r="C4" s="1" t="s">
        <v>15</v>
      </c>
      <c r="D4" s="1" t="s">
        <v>86</v>
      </c>
      <c r="E4" t="s">
        <v>6</v>
      </c>
      <c r="F4" t="s">
        <v>18</v>
      </c>
      <c r="G4" t="s">
        <v>7</v>
      </c>
      <c r="H4" t="s">
        <v>8</v>
      </c>
      <c r="I4" t="s">
        <v>175</v>
      </c>
      <c r="J4" t="s">
        <v>207</v>
      </c>
      <c r="K4" t="s">
        <v>16</v>
      </c>
      <c r="L4" t="s">
        <v>19</v>
      </c>
      <c r="M4" t="s">
        <v>20</v>
      </c>
      <c r="N4" t="s">
        <v>21</v>
      </c>
      <c r="O4" t="s">
        <v>17</v>
      </c>
      <c r="P4" t="s">
        <v>0</v>
      </c>
    </row>
    <row r="5" spans="2:16" x14ac:dyDescent="0.25">
      <c r="B5" t="s">
        <v>209</v>
      </c>
      <c r="C5" t="s">
        <v>251</v>
      </c>
      <c r="D5" t="s">
        <v>45</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209</v>
      </c>
      <c r="C6" t="s">
        <v>251</v>
      </c>
      <c r="D6" t="s">
        <v>46</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209</v>
      </c>
      <c r="C7" t="s">
        <v>251</v>
      </c>
      <c r="D7" t="s">
        <v>47</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209</v>
      </c>
      <c r="C8" t="s">
        <v>251</v>
      </c>
      <c r="D8" t="s">
        <v>48</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209</v>
      </c>
      <c r="C9" t="s">
        <v>251</v>
      </c>
      <c r="D9" t="s">
        <v>49</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209</v>
      </c>
      <c r="C10" t="s">
        <v>251</v>
      </c>
      <c r="D10" t="s">
        <v>50</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209</v>
      </c>
      <c r="C11" t="s">
        <v>251</v>
      </c>
      <c r="D11" t="s">
        <v>170</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209</v>
      </c>
      <c r="C12" t="s">
        <v>251</v>
      </c>
      <c r="D12" t="s">
        <v>171</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209</v>
      </c>
      <c r="C13" t="s">
        <v>251</v>
      </c>
      <c r="D13" t="s">
        <v>172</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209</v>
      </c>
      <c r="C14" t="s">
        <v>251</v>
      </c>
      <c r="D14" t="s">
        <v>173</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209</v>
      </c>
      <c r="C15" t="s">
        <v>251</v>
      </c>
      <c r="D15" t="s">
        <v>174</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209</v>
      </c>
      <c r="C16" t="s">
        <v>251</v>
      </c>
      <c r="D16" t="s">
        <v>208</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209</v>
      </c>
      <c r="C17" t="s">
        <v>251</v>
      </c>
      <c r="D17" t="s">
        <v>228</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209</v>
      </c>
      <c r="C18" t="s">
        <v>251</v>
      </c>
      <c r="D18" t="s">
        <v>229</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209</v>
      </c>
      <c r="C19" t="s">
        <v>251</v>
      </c>
      <c r="D19" t="s">
        <v>230</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209</v>
      </c>
      <c r="C20" t="s">
        <v>251</v>
      </c>
      <c r="D20" t="s">
        <v>231</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209</v>
      </c>
      <c r="C21" t="s">
        <v>251</v>
      </c>
      <c r="D21" t="s">
        <v>232</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209</v>
      </c>
      <c r="C22" t="s">
        <v>251</v>
      </c>
      <c r="D22" t="s">
        <v>233</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209</v>
      </c>
      <c r="C23" t="s">
        <v>251</v>
      </c>
      <c r="D23" t="s">
        <v>234</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209</v>
      </c>
      <c r="C24" t="s">
        <v>251</v>
      </c>
      <c r="D24" t="s">
        <v>235</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209</v>
      </c>
      <c r="C25" t="s">
        <v>251</v>
      </c>
      <c r="D25" t="s">
        <v>236</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209</v>
      </c>
      <c r="C26" t="s">
        <v>251</v>
      </c>
      <c r="D26" t="s">
        <v>237</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209</v>
      </c>
      <c r="C27" t="s">
        <v>251</v>
      </c>
      <c r="D27" t="s">
        <v>238</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209</v>
      </c>
      <c r="C28" t="s">
        <v>251</v>
      </c>
      <c r="D28" t="s">
        <v>239</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169</v>
      </c>
      <c r="D2" t="s">
        <v>209</v>
      </c>
    </row>
    <row r="4" spans="3:5" x14ac:dyDescent="0.25">
      <c r="C4" s="1" t="s">
        <v>13</v>
      </c>
      <c r="D4" s="1" t="s">
        <v>43</v>
      </c>
    </row>
    <row r="5" spans="3:5" x14ac:dyDescent="0.25">
      <c r="C5" s="1" t="s">
        <v>44</v>
      </c>
      <c r="D5" t="s">
        <v>215</v>
      </c>
      <c r="E5" t="s">
        <v>0</v>
      </c>
    </row>
    <row r="6" spans="3:5" x14ac:dyDescent="0.25">
      <c r="C6" s="2" t="s">
        <v>6</v>
      </c>
      <c r="D6" s="3">
        <v>30.971806999999998</v>
      </c>
      <c r="E6" s="3">
        <v>30.971806999999998</v>
      </c>
    </row>
    <row r="7" spans="3:5" x14ac:dyDescent="0.25">
      <c r="C7" s="2" t="s">
        <v>18</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175</v>
      </c>
      <c r="D10" s="3">
        <v>111.094668</v>
      </c>
      <c r="E10" s="3">
        <v>111.094668</v>
      </c>
    </row>
    <row r="11" spans="3:5" x14ac:dyDescent="0.25">
      <c r="C11" s="2" t="s">
        <v>207</v>
      </c>
      <c r="D11" s="3">
        <v>322.90002489405998</v>
      </c>
      <c r="E11" s="3">
        <v>322.90002489405998</v>
      </c>
    </row>
    <row r="12" spans="3:5" x14ac:dyDescent="0.25">
      <c r="C12" s="2" t="s">
        <v>16</v>
      </c>
      <c r="D12" s="3">
        <v>8.6</v>
      </c>
      <c r="E12" s="3">
        <v>8.6</v>
      </c>
    </row>
    <row r="13" spans="3:5" x14ac:dyDescent="0.25">
      <c r="C13" s="2" t="s">
        <v>19</v>
      </c>
      <c r="D13" s="3">
        <v>7.798</v>
      </c>
      <c r="E13" s="3">
        <v>7.798</v>
      </c>
    </row>
    <row r="14" spans="3:5" x14ac:dyDescent="0.25">
      <c r="C14" s="2" t="s">
        <v>20</v>
      </c>
      <c r="D14" s="3">
        <v>10.055966111111101</v>
      </c>
      <c r="E14" s="3">
        <v>10.055966111111101</v>
      </c>
    </row>
    <row r="15" spans="3:5" x14ac:dyDescent="0.25">
      <c r="C15" s="2" t="s">
        <v>21</v>
      </c>
      <c r="D15" s="3">
        <v>155.567216</v>
      </c>
      <c r="E15" s="3">
        <v>155.567216</v>
      </c>
    </row>
    <row r="16" spans="3:5" x14ac:dyDescent="0.25">
      <c r="C16" s="2" t="s">
        <v>17</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8"/>
  <sheetViews>
    <sheetView workbookViewId="0">
      <selection activeCell="O27" sqref="O27"/>
    </sheetView>
  </sheetViews>
  <sheetFormatPr defaultRowHeight="15" x14ac:dyDescent="0.25"/>
  <cols>
    <col min="2" max="3" width="15.5703125" customWidth="1"/>
    <col min="4" max="4" width="13.140625" customWidth="1"/>
    <col min="5" max="16" width="15.5703125" customWidth="1"/>
    <col min="17" max="17" width="12" customWidth="1"/>
    <col min="18" max="19" width="15.5703125" customWidth="1"/>
    <col min="20" max="20" width="12" customWidth="1"/>
    <col min="21" max="28" width="16" customWidth="1"/>
    <col min="29" max="29" width="12" customWidth="1"/>
    <col min="30" max="117" width="20" bestFit="1" customWidth="1"/>
    <col min="118" max="118" width="12" bestFit="1" customWidth="1"/>
  </cols>
  <sheetData>
    <row r="2" spans="2:17" x14ac:dyDescent="0.25">
      <c r="B2" s="1" t="s">
        <v>145</v>
      </c>
      <c r="E2" s="1" t="s">
        <v>12</v>
      </c>
      <c r="F2" s="1" t="s">
        <v>295</v>
      </c>
    </row>
    <row r="3" spans="2:17" x14ac:dyDescent="0.25">
      <c r="E3" t="s">
        <v>9</v>
      </c>
      <c r="F3" t="s">
        <v>148</v>
      </c>
      <c r="G3" t="s">
        <v>294</v>
      </c>
      <c r="H3" t="s">
        <v>243</v>
      </c>
      <c r="I3" t="s">
        <v>205</v>
      </c>
      <c r="J3" t="s">
        <v>202</v>
      </c>
      <c r="K3" t="s">
        <v>242</v>
      </c>
      <c r="L3" t="s">
        <v>166</v>
      </c>
      <c r="M3" t="s">
        <v>10</v>
      </c>
      <c r="N3" t="s">
        <v>201</v>
      </c>
      <c r="O3" t="s">
        <v>149</v>
      </c>
      <c r="P3" t="s">
        <v>204</v>
      </c>
      <c r="Q3" t="s">
        <v>0</v>
      </c>
    </row>
    <row r="4" spans="2:17" x14ac:dyDescent="0.25">
      <c r="B4" s="1" t="s">
        <v>11</v>
      </c>
      <c r="C4" s="1" t="s">
        <v>245</v>
      </c>
      <c r="D4" s="1" t="s">
        <v>246</v>
      </c>
      <c r="E4" t="s">
        <v>293</v>
      </c>
      <c r="F4" t="s">
        <v>293</v>
      </c>
      <c r="G4" t="s">
        <v>293</v>
      </c>
      <c r="H4" t="s">
        <v>293</v>
      </c>
      <c r="I4" t="s">
        <v>293</v>
      </c>
      <c r="J4" t="s">
        <v>293</v>
      </c>
      <c r="K4" t="s">
        <v>293</v>
      </c>
      <c r="L4" t="s">
        <v>293</v>
      </c>
      <c r="M4" t="s">
        <v>293</v>
      </c>
      <c r="N4" t="s">
        <v>293</v>
      </c>
      <c r="O4" t="s">
        <v>293</v>
      </c>
      <c r="P4" t="s">
        <v>293</v>
      </c>
    </row>
    <row r="5" spans="2:17" x14ac:dyDescent="0.25">
      <c r="B5" t="s">
        <v>16</v>
      </c>
      <c r="C5" t="s">
        <v>215</v>
      </c>
      <c r="D5" t="s">
        <v>215</v>
      </c>
      <c r="E5" s="3"/>
      <c r="F5" s="3">
        <v>3.5999999999999995E-3</v>
      </c>
      <c r="G5" s="3"/>
      <c r="H5" s="3"/>
      <c r="I5" s="3">
        <v>1.7000000000000001E-2</v>
      </c>
      <c r="J5" s="3">
        <v>0.1236</v>
      </c>
      <c r="K5" s="3">
        <v>0.13</v>
      </c>
      <c r="L5" s="3">
        <v>1.9949999999999999</v>
      </c>
      <c r="M5" s="3">
        <v>4.0000000000000001E-3</v>
      </c>
      <c r="N5" s="3">
        <v>0.40300000000000002</v>
      </c>
      <c r="O5" s="3">
        <v>0.13780000000000003</v>
      </c>
      <c r="P5" s="3">
        <v>2.3E-2</v>
      </c>
      <c r="Q5" s="3">
        <v>2.8369999999999997</v>
      </c>
    </row>
    <row r="6" spans="2:17" x14ac:dyDescent="0.25">
      <c r="B6" t="s">
        <v>19</v>
      </c>
      <c r="C6" t="s">
        <v>215</v>
      </c>
      <c r="D6" t="s">
        <v>215</v>
      </c>
      <c r="E6" s="3"/>
      <c r="F6" s="3">
        <v>6.2E-2</v>
      </c>
      <c r="G6" s="3"/>
      <c r="H6" s="3"/>
      <c r="I6" s="3"/>
      <c r="J6" s="3">
        <v>1.19299</v>
      </c>
      <c r="K6" s="3"/>
      <c r="L6" s="3"/>
      <c r="M6" s="3">
        <v>1.6160000000000001</v>
      </c>
      <c r="N6" s="3">
        <v>0.06</v>
      </c>
      <c r="O6" s="3">
        <v>5.3999999999999999E-2</v>
      </c>
      <c r="P6" s="3"/>
      <c r="Q6" s="3">
        <v>2.9849899999999998</v>
      </c>
    </row>
    <row r="7" spans="2:17" x14ac:dyDescent="0.25">
      <c r="B7" t="s">
        <v>20</v>
      </c>
      <c r="C7" t="s">
        <v>215</v>
      </c>
      <c r="D7" t="s">
        <v>215</v>
      </c>
      <c r="E7" s="3">
        <v>0.08</v>
      </c>
      <c r="F7" s="3">
        <v>3.9E-2</v>
      </c>
      <c r="G7" s="3">
        <v>0.16</v>
      </c>
      <c r="H7" s="3">
        <v>3.6999999999999998E-2</v>
      </c>
      <c r="I7" s="3">
        <v>0.11599999999999999</v>
      </c>
      <c r="J7" s="3">
        <v>1.7222000000000002</v>
      </c>
      <c r="K7" s="3"/>
      <c r="L7" s="3"/>
      <c r="M7" s="3">
        <v>0.2235446808510638</v>
      </c>
      <c r="N7" s="3">
        <v>0.50900000000000001</v>
      </c>
      <c r="O7" s="3">
        <v>4.8299999999999996E-2</v>
      </c>
      <c r="P7" s="3">
        <v>1.04E-2</v>
      </c>
      <c r="Q7" s="3">
        <v>2.9454446808510641</v>
      </c>
    </row>
    <row r="8" spans="2:17" x14ac:dyDescent="0.25">
      <c r="B8" t="s">
        <v>0</v>
      </c>
      <c r="E8" s="3">
        <v>0.08</v>
      </c>
      <c r="F8" s="3">
        <v>0.1046</v>
      </c>
      <c r="G8" s="3">
        <v>0.16</v>
      </c>
      <c r="H8" s="3">
        <v>3.6999999999999998E-2</v>
      </c>
      <c r="I8" s="3">
        <v>0.13300000000000001</v>
      </c>
      <c r="J8" s="3">
        <v>3.0387900000000001</v>
      </c>
      <c r="K8" s="3">
        <v>0.13</v>
      </c>
      <c r="L8" s="3">
        <v>1.9949999999999999</v>
      </c>
      <c r="M8" s="3">
        <v>1.8435446808510638</v>
      </c>
      <c r="N8" s="3">
        <v>0.97199999999999998</v>
      </c>
      <c r="O8" s="3">
        <v>0.24010000000000004</v>
      </c>
      <c r="P8" s="3">
        <v>3.3399999999999999E-2</v>
      </c>
      <c r="Q8" s="3">
        <v>8.7674346808510641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vt:i4>
      </vt:variant>
    </vt:vector>
  </HeadingPairs>
  <TitlesOfParts>
    <vt:vector size="32"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2018-04-19T18:06:23Z</dcterms:modified>
</cp:coreProperties>
</file>